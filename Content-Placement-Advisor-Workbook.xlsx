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Inputs" sheetId="2" state="visible" r:id="rId2"/>
    <sheet xmlns:r="http://schemas.openxmlformats.org/officeDocument/2006/relationships" name="Placement Rules" sheetId="3" state="visible" r:id="rId3"/>
    <sheet xmlns:r="http://schemas.openxmlformats.org/officeDocument/2006/relationships" name="Terms" sheetId="4" state="visible" r:id="rId4"/>
    <sheet xmlns:r="http://schemas.openxmlformats.org/officeDocument/2006/relationships" name="Lists" sheetId="5" state="hidden" r:id="rId5"/>
    <sheet xmlns:r="http://schemas.openxmlformats.org/officeDocument/2006/relationships" name="Inferred Review" sheetId="6" state="visible" r:id="rId6"/>
  </sheets>
  <definedNames>
    <definedName name="input_affiliations">Inputs!$C$5</definedName>
    <definedName name="input_announcement_category">Inputs!$C$6</definedName>
    <definedName name="input_area_of_focus">Inputs!$C$7</definedName>
    <definedName name="input_audience">Inputs!$C$8</definedName>
    <definedName name="input_challenge_opportunities">Inputs!$C$9</definedName>
    <definedName name="input_context">Inputs!$C$10</definedName>
    <definedName name="input_enews_announcement_type">Inputs!$C$11</definedName>
    <definedName name="input_enews_audience">Inputs!$C$12</definedName>
    <definedName name="input_event_location">Inputs!$C$13</definedName>
    <definedName name="input_event_type">Inputs!$C$14</definedName>
    <definedName name="input_executive_education_focus">Inputs!$C$15</definedName>
    <definedName name="input_faculty_category">Inputs!$C$16</definedName>
    <definedName name="input_faculty_discipline">Inputs!$C$17</definedName>
    <definedName name="input_faculty_expertise">Inputs!$C$18</definedName>
    <definedName name="input_global_network_school">Inputs!$C$19</definedName>
    <definedName name="input_industry">Inputs!$C$20</definedName>
    <definedName name="input_location">Inputs!$C$21</definedName>
    <definedName name="input_modality">Inputs!$C$22</definedName>
    <definedName name="input_organizer">Inputs!$C$23</definedName>
    <definedName name="input_profile_type">Inputs!$C$24</definedName>
    <definedName name="input_program">Inputs!$C$25</definedName>
    <definedName name="input_story_categories">Inputs!$C$26</definedName>
    <definedName name="input_story_type">Inputs!$C$27</definedName>
    <definedName name="input_topics">Inputs!$C$28</definedName>
    <definedName name="input_content_type">Inputs!$B$2</definedName>
    <definedName name="_xlnm._FilterDatabase" localSheetId="2" hidden="1">'Placement Rules'!$A$1:$JQ$234</definedName>
    <definedName name="_xlnm._FilterDatabase" localSheetId="3" hidden="1">'Terms'!$A$1:$E$1057</definedName>
    <definedName name="_xlnm._FilterDatabase" localSheetId="5" hidden="1">'Inferred Review'!$A$1:$N$45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2F3"/>
      </patternFill>
    </fill>
    <fill>
      <patternFill patternType="solid">
        <fgColor rgb="00EEF2F7"/>
      </patternFill>
    </fill>
    <fill>
      <patternFill patternType="solid">
        <fgColor rgb="00E8F4FD"/>
      </patternFill>
    </fill>
  </fills>
  <borders count="2">
    <border>
      <left/>
      <right/>
      <top/>
      <bottom/>
      <diagonal/>
    </border>
    <border>
      <bottom style="thin">
        <color rgb="00D0D7DE"/>
      </bottom>
    </border>
  </borders>
  <cellStyleXfs count="1">
    <xf numFmtId="0" fontId="0" fillId="0" borderId="0"/>
  </cellStyleXfs>
  <cellXfs count="8">
    <xf numFmtId="0" fontId="0" fillId="0" borderId="0" pivotButton="0" quotePrefix="0" xfId="0"/>
    <xf numFmtId="0" fontId="1" fillId="2" borderId="0" pivotButton="0" quotePrefix="0" xfId="0"/>
    <xf numFmtId="0" fontId="1"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1" fillId="3" borderId="0" applyAlignment="1" pivotButton="0" quotePrefix="0" xfId="0">
      <alignment vertical="top" wrapText="1"/>
    </xf>
    <xf numFmtId="0" fontId="1" fillId="3" borderId="1" applyAlignment="1" pivotButton="0" quotePrefix="0" xfId="0">
      <alignment vertical="top" wrapText="1"/>
    </xf>
  </cellXfs>
  <cellStyles count="1">
    <cellStyle name="Normal" xfId="0" builtinId="0" hidden="0"/>
  </cellStyles>
  <dxfs count="3">
    <dxf>
      <fill>
        <patternFill patternType="solid">
          <fgColor rgb="00E6F4EA"/>
        </patternFill>
      </fill>
    </dxf>
    <dxf>
      <fill>
        <patternFill patternType="solid">
          <fgColor rgb="00FFF3D9"/>
        </patternFill>
      </fill>
    </dxf>
    <dxf>
      <fill>
        <patternFill patternType="solid">
          <fgColor rgb="00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64" customWidth="1" min="1" max="1"/>
    <col width="18" customWidth="1" min="2" max="2"/>
  </cols>
  <sheetData>
    <row r="1">
      <c r="A1" s="1" t="inlineStr">
        <is>
          <t>Content Placement Advisor Workbook</t>
        </is>
      </c>
    </row>
    <row r="2">
      <c r="A2" t="inlineStr">
        <is>
          <t>This workbook mirrors the current placement-map logic used by the local advisor. Enter a content type and comma-separated term IDs on the Inputs sheet, then review the Placement Rules sheet.</t>
        </is>
      </c>
    </row>
    <row r="3">
      <c r="A3" s="2" t="inlineStr">
        <is>
          <t>Status meanings:</t>
        </is>
      </c>
    </row>
    <row r="4">
      <c r="A4" t="inlineStr">
        <is>
          <t>Will appear - matches the current rule set and has no item limit.</t>
        </is>
      </c>
    </row>
    <row r="5">
      <c r="A5" t="inlineStr">
        <is>
          <t>Eligible but limited - matches the current rule set, but the view is capped by a result limit.</t>
        </is>
      </c>
    </row>
    <row r="6">
      <c r="A6" t="inlineStr">
        <is>
          <t>Excluded - does not match one or more content type, taxonomy, or contextual rules.</t>
        </is>
      </c>
    </row>
    <row r="7">
      <c r="A7" t="inlineStr">
        <is>
          <t>This workbook relies on modern Excel formulas such as TEXTSPLIT and is designed for Excel 365.</t>
        </is>
      </c>
    </row>
    <row r="10">
      <c r="A10" s="2" t="inlineStr">
        <is>
          <t>Current rule inventory</t>
        </is>
      </c>
    </row>
    <row r="11">
      <c r="A11" t="inlineStr">
        <is>
          <t>Grouped/page rule rows</t>
        </is>
      </c>
      <c r="B11" t="n">
        <v>233</v>
      </c>
    </row>
    <row r="12">
      <c r="A12" t="inlineStr">
        <is>
          <t>Unique view/display definitions</t>
        </is>
      </c>
      <c r="B12" t="n">
        <v>42</v>
      </c>
    </row>
    <row r="13">
      <c r="A13" t="inlineStr">
        <is>
          <t>Inferred/manual review rows</t>
        </is>
      </c>
      <c r="B13" t="n">
        <v>44</v>
      </c>
    </row>
    <row r="15">
      <c r="A15" s="2" t="inlineStr">
        <is>
          <t>Status counts (recalculate after editing Inputs)</t>
        </is>
      </c>
    </row>
    <row r="16">
      <c r="A16" t="inlineStr">
        <is>
          <t>Will appear</t>
        </is>
      </c>
      <c r="B16">
        <f>COUNTIF('Placement Rules'!$A:$A,"Will appear")</f>
        <v/>
      </c>
    </row>
    <row r="17">
      <c r="A17" t="inlineStr">
        <is>
          <t>Eligible but limited</t>
        </is>
      </c>
      <c r="B17">
        <f>COUNTIF('Placement Rules'!$A:$A,"Eligible but limited")</f>
        <v/>
      </c>
    </row>
    <row r="18">
      <c r="A18" t="inlineStr">
        <is>
          <t>Excluded</t>
        </is>
      </c>
      <c r="B18">
        <f>COUNTIF('Placement Rules'!$A:$A,"Excluded")</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8"/>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28" customWidth="1" min="3" max="3"/>
    <col width="52" customWidth="1" min="4" max="4"/>
  </cols>
  <sheetData>
    <row r="1">
      <c r="A1" s="3" t="inlineStr">
        <is>
          <t>Scenario inputs</t>
        </is>
      </c>
    </row>
    <row r="2">
      <c r="A2" s="4" t="inlineStr">
        <is>
          <t>Content type</t>
        </is>
      </c>
      <c r="B2" s="5" t="inlineStr">
        <is>
          <t>story</t>
        </is>
      </c>
      <c r="C2" s="4" t="n"/>
      <c r="D2" s="4" t="n"/>
    </row>
    <row r="3">
      <c r="A3" s="4" t="n"/>
      <c r="B3" s="4" t="n"/>
      <c r="C3" s="4" t="n"/>
      <c r="D3" s="4" t="n"/>
    </row>
    <row r="4">
      <c r="A4" s="6" t="inlineStr">
        <is>
          <t>Field label</t>
        </is>
      </c>
      <c r="B4" s="6" t="inlineStr">
        <is>
          <t>Dimension</t>
        </is>
      </c>
      <c r="C4" s="6" t="inlineStr">
        <is>
          <t>Selected term IDs</t>
        </is>
      </c>
      <c r="D4" s="6" t="inlineStr">
        <is>
          <t>Examples</t>
        </is>
      </c>
    </row>
    <row r="5">
      <c r="A5" s="4" t="inlineStr">
        <is>
          <t>Affiliation</t>
        </is>
      </c>
      <c r="B5" s="4" t="inlineStr">
        <is>
          <t>affiliations</t>
        </is>
      </c>
      <c r="C5" s="5" t="inlineStr"/>
      <c r="D5" s="4" t="inlineStr">
        <is>
          <t>Adam Smith Society (1046), Admissions Ambassadors (297), Africa Business and Society Club (1048)</t>
        </is>
      </c>
    </row>
    <row r="6">
      <c r="A6" s="4" t="inlineStr">
        <is>
          <t>Announcement category</t>
        </is>
      </c>
      <c r="B6" s="4" t="inlineStr">
        <is>
          <t>announcement_category</t>
        </is>
      </c>
      <c r="C6" s="5" t="inlineStr"/>
      <c r="D6" s="4" t="inlineStr">
        <is>
          <t>CDO Event (1555), Club Event (1501), Club Meeting (1507)</t>
        </is>
      </c>
    </row>
    <row r="7">
      <c r="A7" s="4" t="inlineStr">
        <is>
          <t>Area of Focus</t>
        </is>
      </c>
      <c r="B7" s="4" t="inlineStr">
        <is>
          <t>area_of_focus</t>
        </is>
      </c>
      <c r="C7" s="5" t="inlineStr"/>
      <c r="D7" s="4" t="inlineStr">
        <is>
          <t>Asset Management (287), Healthcare (289), Sustainability (288)</t>
        </is>
      </c>
    </row>
    <row r="8">
      <c r="A8" s="4" t="inlineStr">
        <is>
          <t>Audience</t>
        </is>
      </c>
      <c r="B8" s="4" t="inlineStr">
        <is>
          <t>audience</t>
        </is>
      </c>
      <c r="C8" s="5" t="inlineStr"/>
      <c r="D8" s="4" t="inlineStr">
        <is>
          <t>Alumni (15), Executive Education (16), Prospective Students (17)</t>
        </is>
      </c>
    </row>
    <row r="9">
      <c r="A9" s="4" t="inlineStr">
        <is>
          <t>Opportunity Type</t>
        </is>
      </c>
      <c r="B9" s="4" t="inlineStr">
        <is>
          <t>challenge_opportunities</t>
        </is>
      </c>
      <c r="C9" s="5" t="inlineStr"/>
      <c r="D9" s="4" t="inlineStr">
        <is>
          <t>Building wealth (1646), Culture &amp; creativity (1641), Economic opportunity (1637)</t>
        </is>
      </c>
    </row>
    <row r="10">
      <c r="A10" s="4" t="inlineStr">
        <is>
          <t>Courses Context</t>
        </is>
      </c>
      <c r="B10" s="4" t="inlineStr">
        <is>
          <t>context</t>
        </is>
      </c>
      <c r="C10" s="5" t="inlineStr"/>
      <c r="D10" s="4" t="inlineStr">
        <is>
          <t>Advisory Board Member Highlights (1213), All SOM (77), Alumni (1142)</t>
        </is>
      </c>
    </row>
    <row r="11">
      <c r="A11" s="4" t="inlineStr">
        <is>
          <t>Announcement type</t>
        </is>
      </c>
      <c r="B11" s="4" t="inlineStr">
        <is>
          <t>enews_announcement_type</t>
        </is>
      </c>
      <c r="C11" s="5" t="inlineStr"/>
      <c r="D11" s="4" t="inlineStr">
        <is>
          <t>Announcements (1199), Events around Yale (1204), Events at SOM (1198)</t>
        </is>
      </c>
    </row>
    <row r="12">
      <c r="A12" s="4" t="inlineStr">
        <is>
          <t>eNews audience</t>
        </is>
      </c>
      <c r="B12" s="4" t="inlineStr">
        <is>
          <t>enews_audience</t>
        </is>
      </c>
      <c r="C12" s="5" t="inlineStr"/>
      <c r="D12" s="4" t="inlineStr">
        <is>
          <t>Doctoral (1195), EMBA (1196), Faculty &amp; Staff (1197)</t>
        </is>
      </c>
    </row>
    <row r="13">
      <c r="A13" s="4" t="inlineStr">
        <is>
          <t>Event Region</t>
        </is>
      </c>
      <c r="B13" s="4" t="inlineStr">
        <is>
          <t>event_location</t>
        </is>
      </c>
      <c r="C13" s="5" t="inlineStr"/>
      <c r="D13" s="4" t="inlineStr">
        <is>
          <t>Africa (1032), Asia Pacific (1033), Australia (1034)</t>
        </is>
      </c>
    </row>
    <row r="14">
      <c r="A14" s="4" t="inlineStr">
        <is>
          <t>Event Type</t>
        </is>
      </c>
      <c r="B14" s="4" t="inlineStr">
        <is>
          <t>event_type</t>
        </is>
      </c>
      <c r="C14" s="5" t="inlineStr"/>
      <c r="D14" s="4" t="inlineStr">
        <is>
          <t>Admissions Events (994), Admissions Officer-hosted Event (1206), Admissions Panels (997)</t>
        </is>
      </c>
    </row>
    <row r="15">
      <c r="A15" s="4" t="inlineStr">
        <is>
          <t>Executive Education Focus</t>
        </is>
      </c>
      <c r="B15" s="4" t="inlineStr">
        <is>
          <t>executive_education_focus</t>
        </is>
      </c>
      <c r="C15" s="5" t="inlineStr"/>
      <c r="D15" s="4" t="inlineStr">
        <is>
          <t>Education (1022), Finance (1023), Global Business (1024)</t>
        </is>
      </c>
    </row>
    <row r="16">
      <c r="A16" s="4" t="inlineStr">
        <is>
          <t>Faculty Category</t>
        </is>
      </c>
      <c r="B16" s="4" t="inlineStr">
        <is>
          <t>faculty_category</t>
        </is>
      </c>
      <c r="C16" s="5" t="inlineStr"/>
      <c r="D16" s="4" t="inlineStr">
        <is>
          <t>Affiliated Faculty (224), Emeriti Faculty (192), Visiting Instructors &amp; Scholars (225)</t>
        </is>
      </c>
    </row>
    <row r="17">
      <c r="A17" s="4" t="inlineStr">
        <is>
          <t>Faculty Discipline</t>
        </is>
      </c>
      <c r="B17" s="4" t="inlineStr">
        <is>
          <t>faculty_discipline</t>
        </is>
      </c>
      <c r="C17" s="5" t="inlineStr"/>
      <c r="D17" s="4" t="inlineStr">
        <is>
          <t>Accounting (136), Economics (157), Finance (142)</t>
        </is>
      </c>
    </row>
    <row r="18">
      <c r="A18" s="4" t="inlineStr">
        <is>
          <t>Expertise</t>
        </is>
      </c>
      <c r="B18" s="4" t="inlineStr">
        <is>
          <t>faculty_expertise</t>
        </is>
      </c>
      <c r="C18" s="5" t="inlineStr"/>
      <c r="D18" s="4" t="inlineStr">
        <is>
          <t>Accounting (137), Activist Investors (248), Advertising (231)</t>
        </is>
      </c>
    </row>
    <row r="19">
      <c r="A19" s="4" t="inlineStr">
        <is>
          <t>Global Network</t>
        </is>
      </c>
      <c r="B19" s="4" t="inlineStr">
        <is>
          <t>global_network_school</t>
        </is>
      </c>
      <c r="C19" s="5" t="inlineStr"/>
      <c r="D19" s="4" t="inlineStr">
        <is>
          <t>Asian Institute of Management (270), Business School, Renmin University of China (1162), Cambridge Judge Business School (1163)</t>
        </is>
      </c>
    </row>
    <row r="20">
      <c r="A20" s="4" t="inlineStr">
        <is>
          <t>Industry</t>
        </is>
      </c>
      <c r="B20" s="4" t="inlineStr">
        <is>
          <t>industry</t>
        </is>
      </c>
      <c r="C20" s="5" t="inlineStr"/>
      <c r="D20" s="4" t="inlineStr">
        <is>
          <t>Arts Management (306), Automotive (282), Construction (276)</t>
        </is>
      </c>
    </row>
    <row r="21">
      <c r="A21" s="4" t="inlineStr">
        <is>
          <t>Citizenship</t>
        </is>
      </c>
      <c r="B21" s="4" t="inlineStr">
        <is>
          <t>location</t>
        </is>
      </c>
      <c r="C21" s="5" t="inlineStr"/>
      <c r="D21" s="4" t="inlineStr">
        <is>
          <t>Africa (1112), Asia (1113), Australia (1114)</t>
        </is>
      </c>
    </row>
    <row r="22">
      <c r="A22" s="4" t="inlineStr">
        <is>
          <t>Modality</t>
        </is>
      </c>
      <c r="B22" s="4" t="inlineStr">
        <is>
          <t>modality</t>
        </is>
      </c>
      <c r="C22" s="5" t="inlineStr"/>
      <c r="D22" s="4" t="inlineStr">
        <is>
          <t>Blended (1292), In-Person (1293), Live Online (1294)</t>
        </is>
      </c>
    </row>
    <row r="23">
      <c r="A23" s="4" t="inlineStr">
        <is>
          <t>Organizer</t>
        </is>
      </c>
      <c r="B23" s="4" t="inlineStr">
        <is>
          <t>organizer</t>
        </is>
      </c>
      <c r="C23" s="5" t="inlineStr"/>
      <c r="D23" s="4" t="inlineStr">
        <is>
          <t>1stGenYale (1379), Academic Affairs &amp; Student Life (1221), Academic Affairs and Student Life (1297)</t>
        </is>
      </c>
    </row>
    <row r="24">
      <c r="A24" s="4" t="inlineStr">
        <is>
          <t>Profile Type</t>
        </is>
      </c>
      <c r="B24" s="4" t="inlineStr">
        <is>
          <t>profile_type</t>
        </is>
      </c>
      <c r="C24" s="5" t="inlineStr"/>
      <c r="D24" s="4" t="inlineStr">
        <is>
          <t>Alumni (1549), Ambassador (1552), Faculty (1550)</t>
        </is>
      </c>
    </row>
    <row r="25">
      <c r="A25" s="4" t="inlineStr">
        <is>
          <t>Program</t>
        </is>
      </c>
      <c r="B25" s="4" t="inlineStr">
        <is>
          <t>program</t>
        </is>
      </c>
      <c r="C25" s="5" t="inlineStr"/>
      <c r="D25" s="4" t="inlineStr">
        <is>
          <t>Doctoral Programs (79), Double Degrees (1635), Joint Programs (87)</t>
        </is>
      </c>
    </row>
    <row r="26">
      <c r="A26" s="4" t="inlineStr">
        <is>
          <t>Story Categories</t>
        </is>
      </c>
      <c r="B26" s="4" t="inlineStr">
        <is>
          <t>story_categories</t>
        </is>
      </c>
      <c r="C26" s="5" t="inlineStr"/>
      <c r="D26" s="4" t="inlineStr"/>
    </row>
    <row r="27">
      <c r="A27" s="4" t="inlineStr">
        <is>
          <t>Story Type</t>
        </is>
      </c>
      <c r="B27" s="4" t="inlineStr">
        <is>
          <t>story_type</t>
        </is>
      </c>
      <c r="C27" s="5" t="inlineStr"/>
      <c r="D27" s="4" t="inlineStr">
        <is>
          <t>Announcement (1170), Blog (974), Five questions (1157)</t>
        </is>
      </c>
    </row>
    <row r="28">
      <c r="A28" s="4" t="inlineStr">
        <is>
          <t>Topics</t>
        </is>
      </c>
      <c r="B28" s="4" t="inlineStr">
        <is>
          <t>topics</t>
        </is>
      </c>
      <c r="C28" s="5" t="inlineStr"/>
      <c r="D28" s="4" t="inlineStr">
        <is>
          <t>Accounting (130), Admissions (109), AI (Artificial Intelligence) (1749)</t>
        </is>
      </c>
    </row>
  </sheetData>
  <dataValidations count="1">
    <dataValidation sqref="B2" showDropDown="0" showInputMessage="0" showErrorMessage="0" allowBlank="0" type="list">
      <formula1>=Lists!$A$2:$A$14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Q234"/>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42" customWidth="1" min="3" max="3"/>
    <col width="48" customWidth="1" min="4" max="4"/>
    <col width="10" customWidth="1" min="5" max="5"/>
    <col width="18" customWidth="1" min="6" max="6"/>
    <col width="18" customWidth="1" min="7" max="7"/>
    <col width="18" customWidth="1" min="8" max="8"/>
    <col width="10" customWidth="1" min="9" max="9"/>
    <col width="18" customWidth="1" min="10" max="10"/>
    <col width="16" customWidth="1" min="11" max="11"/>
    <col width="72"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 hidden="1" width="13" customWidth="1" min="137" max="137"/>
    <col hidden="1" width="13" customWidth="1" min="138" max="138"/>
    <col hidden="1" width="13" customWidth="1" min="139" max="139"/>
    <col hidden="1" width="13" customWidth="1" min="140" max="140"/>
    <col hidden="1" width="13" customWidth="1" min="141" max="141"/>
    <col hidden="1" width="13" customWidth="1" min="142" max="142"/>
    <col hidden="1" width="13" customWidth="1" min="143" max="143"/>
    <col hidden="1" width="13" customWidth="1" min="144" max="144"/>
    <col hidden="1" width="13" customWidth="1" min="145" max="145"/>
    <col hidden="1" width="13" customWidth="1" min="146" max="146"/>
    <col hidden="1" width="13" customWidth="1" min="147" max="147"/>
    <col hidden="1" width="13" customWidth="1" min="148" max="148"/>
    <col hidden="1" width="13" customWidth="1" min="149" max="149"/>
    <col hidden="1" width="13" customWidth="1" min="150" max="150"/>
    <col hidden="1" width="13" customWidth="1" min="151" max="151"/>
    <col hidden="1" width="13" customWidth="1" min="152" max="152"/>
    <col hidden="1" width="13" customWidth="1" min="153" max="153"/>
    <col hidden="1" width="13" customWidth="1" min="154" max="154"/>
    <col hidden="1" width="13" customWidth="1" min="155" max="155"/>
    <col hidden="1" width="13" customWidth="1" min="156" max="156"/>
    <col hidden="1" width="13" customWidth="1" min="157" max="157"/>
    <col hidden="1" width="13" customWidth="1" min="158" max="158"/>
    <col hidden="1" width="13" customWidth="1" min="159" max="159"/>
    <col hidden="1" width="13" customWidth="1" min="160" max="160"/>
    <col hidden="1" width="13" customWidth="1" min="161" max="161"/>
    <col hidden="1" width="13" customWidth="1" min="162" max="162"/>
    <col hidden="1" width="13" customWidth="1" min="163" max="163"/>
    <col hidden="1" width="13" customWidth="1" min="164" max="164"/>
    <col hidden="1" width="13" customWidth="1" min="165" max="165"/>
    <col hidden="1" width="13" customWidth="1" min="166" max="166"/>
    <col hidden="1" width="13" customWidth="1" min="167" max="167"/>
    <col hidden="1" width="13" customWidth="1" min="168" max="168"/>
    <col hidden="1" width="13" customWidth="1" min="169" max="169"/>
    <col hidden="1" width="13" customWidth="1" min="170" max="170"/>
    <col hidden="1" width="13" customWidth="1" min="171" max="171"/>
    <col hidden="1" width="13" customWidth="1" min="172" max="172"/>
    <col hidden="1" width="13" customWidth="1" min="173" max="173"/>
    <col hidden="1" width="13" customWidth="1" min="174" max="174"/>
    <col hidden="1" width="13" customWidth="1" min="175" max="175"/>
    <col hidden="1" width="13" customWidth="1" min="176" max="176"/>
    <col hidden="1" width="13" customWidth="1" min="177" max="177"/>
    <col hidden="1" width="13" customWidth="1" min="178" max="178"/>
    <col hidden="1" width="13" customWidth="1" min="179" max="179"/>
    <col hidden="1" width="13" customWidth="1" min="180" max="180"/>
    <col hidden="1" width="13" customWidth="1" min="181" max="181"/>
    <col hidden="1" width="13" customWidth="1" min="182" max="182"/>
    <col hidden="1" width="13" customWidth="1" min="183" max="183"/>
    <col hidden="1" width="13" customWidth="1" min="184" max="184"/>
    <col hidden="1" width="13" customWidth="1" min="185" max="185"/>
    <col hidden="1" width="13" customWidth="1" min="186" max="186"/>
    <col hidden="1" width="13" customWidth="1" min="187" max="187"/>
    <col hidden="1" width="13" customWidth="1" min="188" max="188"/>
    <col hidden="1" width="13" customWidth="1" min="189" max="189"/>
    <col hidden="1" width="13" customWidth="1" min="190" max="190"/>
    <col hidden="1" width="13" customWidth="1" min="191" max="191"/>
    <col hidden="1" width="13" customWidth="1" min="192" max="192"/>
    <col hidden="1" width="13" customWidth="1" min="193" max="193"/>
    <col hidden="1" width="13" customWidth="1" min="194" max="194"/>
    <col hidden="1" width="13" customWidth="1" min="195" max="195"/>
    <col hidden="1" width="13" customWidth="1" min="196" max="196"/>
    <col hidden="1" width="13" customWidth="1" min="197" max="197"/>
    <col hidden="1" width="13" customWidth="1" min="198" max="198"/>
    <col hidden="1" width="13" customWidth="1" min="199" max="199"/>
    <col hidden="1" width="13" customWidth="1" min="200" max="200"/>
    <col hidden="1" width="13" customWidth="1" min="201" max="201"/>
    <col hidden="1" width="13" customWidth="1" min="202" max="202"/>
    <col hidden="1" width="13" customWidth="1" min="203" max="203"/>
    <col hidden="1" width="13" customWidth="1" min="204" max="204"/>
    <col hidden="1" width="13" customWidth="1" min="205" max="205"/>
    <col hidden="1" width="13" customWidth="1" min="206" max="206"/>
    <col hidden="1" width="13" customWidth="1" min="207" max="207"/>
    <col hidden="1" width="13" customWidth="1" min="208" max="208"/>
    <col hidden="1" width="13" customWidth="1" min="209" max="209"/>
    <col hidden="1" width="13" customWidth="1" min="210" max="210"/>
    <col hidden="1" width="13" customWidth="1" min="211" max="211"/>
    <col hidden="1" width="13" customWidth="1" min="212" max="212"/>
    <col hidden="1" width="13" customWidth="1" min="213" max="213"/>
    <col hidden="1" width="13" customWidth="1" min="214" max="214"/>
    <col hidden="1" width="13" customWidth="1" min="215" max="215"/>
    <col hidden="1" width="13" customWidth="1" min="216" max="216"/>
    <col hidden="1" width="13" customWidth="1" min="217" max="217"/>
    <col hidden="1" width="13" customWidth="1" min="218" max="218"/>
    <col hidden="1" width="13" customWidth="1" min="219" max="219"/>
    <col hidden="1" width="13" customWidth="1" min="220" max="220"/>
    <col hidden="1" width="13" customWidth="1" min="221" max="221"/>
    <col hidden="1" width="13" customWidth="1" min="222" max="222"/>
    <col hidden="1" width="13" customWidth="1" min="223" max="223"/>
    <col hidden="1" width="13" customWidth="1" min="224" max="224"/>
    <col hidden="1" width="13" customWidth="1" min="225" max="225"/>
    <col hidden="1" width="13" customWidth="1" min="226" max="226"/>
    <col hidden="1" width="13" customWidth="1" min="227" max="227"/>
    <col hidden="1" width="13" customWidth="1" min="228" max="228"/>
    <col hidden="1" width="13" customWidth="1" min="229" max="229"/>
    <col hidden="1" width="13" customWidth="1" min="230" max="230"/>
    <col hidden="1" width="13" customWidth="1" min="231" max="231"/>
    <col hidden="1" width="13" customWidth="1" min="232" max="232"/>
    <col hidden="1" width="13" customWidth="1" min="233" max="233"/>
    <col hidden="1" width="13" customWidth="1" min="234" max="234"/>
    <col hidden="1" width="13" customWidth="1" min="235" max="235"/>
    <col hidden="1" width="13" customWidth="1" min="236" max="236"/>
    <col hidden="1" width="13" customWidth="1" min="237" max="237"/>
    <col hidden="1" width="13" customWidth="1" min="238" max="238"/>
    <col hidden="1" width="13" customWidth="1" min="239" max="239"/>
    <col hidden="1" width="13" customWidth="1" min="240" max="240"/>
    <col hidden="1" width="13" customWidth="1" min="241" max="241"/>
    <col hidden="1" width="13" customWidth="1" min="242" max="242"/>
    <col hidden="1" width="13" customWidth="1" min="243" max="243"/>
    <col hidden="1" width="13" customWidth="1" min="244" max="244"/>
    <col hidden="1" width="13" customWidth="1" min="245" max="245"/>
    <col hidden="1" width="13" customWidth="1" min="246" max="246"/>
    <col hidden="1" width="13" customWidth="1" min="247" max="247"/>
    <col hidden="1" width="13" customWidth="1" min="248" max="248"/>
    <col hidden="1" width="13" customWidth="1" min="249" max="249"/>
    <col hidden="1" width="13" customWidth="1" min="250" max="250"/>
    <col hidden="1" width="13" customWidth="1" min="251" max="251"/>
    <col hidden="1" width="13" customWidth="1" min="252" max="252"/>
    <col hidden="1" width="13" customWidth="1" min="253" max="253"/>
    <col hidden="1" width="13" customWidth="1" min="254" max="254"/>
    <col hidden="1" width="13" customWidth="1" min="255" max="255"/>
    <col hidden="1" width="13" customWidth="1" min="256" max="256"/>
    <col hidden="1" width="13" customWidth="1" min="257" max="257"/>
    <col hidden="1" width="13" customWidth="1" min="258" max="258"/>
    <col hidden="1" width="13" customWidth="1" min="259" max="259"/>
    <col hidden="1" width="13" customWidth="1" min="260" max="260"/>
    <col hidden="1" width="13" customWidth="1" min="261" max="261"/>
    <col hidden="1" width="13" customWidth="1" min="262" max="262"/>
    <col hidden="1" width="13" customWidth="1" min="263" max="263"/>
    <col hidden="1" width="13" customWidth="1" min="264" max="264"/>
    <col hidden="1" width="13" customWidth="1" min="265" max="265"/>
    <col hidden="1" width="13" customWidth="1" min="266" max="266"/>
    <col hidden="1" width="13" customWidth="1" min="267" max="267"/>
    <col hidden="1" width="13" customWidth="1" min="268" max="268"/>
    <col hidden="1" width="13" customWidth="1" min="269" max="269"/>
    <col hidden="1" width="13" customWidth="1" min="270" max="270"/>
    <col hidden="1" width="13" customWidth="1" min="271" max="271"/>
    <col hidden="1" width="13" customWidth="1" min="272" max="272"/>
    <col hidden="1" width="13" customWidth="1" min="273" max="273"/>
    <col hidden="1" width="13" customWidth="1" min="274" max="274"/>
    <col hidden="1" width="13" customWidth="1" min="275" max="275"/>
    <col hidden="1" width="13" customWidth="1" min="276" max="276"/>
    <col hidden="1" width="13" customWidth="1" min="277" max="277"/>
  </cols>
  <sheetData>
    <row r="1">
      <c r="A1" s="3" t="inlineStr">
        <is>
          <t>Status</t>
        </is>
      </c>
      <c r="B1" s="3" t="inlineStr">
        <is>
          <t>Surface label</t>
        </is>
      </c>
      <c r="C1" s="3" t="inlineStr">
        <is>
          <t>Sample page</t>
        </is>
      </c>
      <c r="D1" s="3" t="inlineStr">
        <is>
          <t>Sample pages</t>
        </is>
      </c>
      <c r="E1" s="3" t="inlineStr">
        <is>
          <t>Page count</t>
        </is>
      </c>
      <c r="F1" s="3" t="inlineStr">
        <is>
          <t>Content types</t>
        </is>
      </c>
      <c r="G1" s="3" t="inlineStr">
        <is>
          <t>View ID</t>
        </is>
      </c>
      <c r="H1" s="3" t="inlineStr">
        <is>
          <t>Display ID</t>
        </is>
      </c>
      <c r="I1" s="3" t="inlineStr">
        <is>
          <t>Limit</t>
        </is>
      </c>
      <c r="J1" s="3" t="inlineStr">
        <is>
          <t>Source</t>
        </is>
      </c>
      <c r="K1" s="3" t="inlineStr">
        <is>
          <t>Location type</t>
        </is>
      </c>
      <c r="L1" s="3" t="inlineStr">
        <is>
          <t>Rule summary</t>
        </is>
      </c>
      <c r="M1" s="7" t="inlineStr">
        <is>
          <t>req_any__affiliations</t>
        </is>
      </c>
      <c r="N1" s="7" t="inlineStr">
        <is>
          <t>req_any_labels__affiliations</t>
        </is>
      </c>
      <c r="O1" s="7" t="inlineStr">
        <is>
          <t>req_all__affiliations</t>
        </is>
      </c>
      <c r="P1" s="7" t="inlineStr">
        <is>
          <t>req_all_labels__affiliations</t>
        </is>
      </c>
      <c r="Q1" s="7" t="inlineStr">
        <is>
          <t>exclude__affiliations</t>
        </is>
      </c>
      <c r="R1" s="7" t="inlineStr">
        <is>
          <t>exclude_labels__affiliations</t>
        </is>
      </c>
      <c r="S1" s="7" t="inlineStr">
        <is>
          <t>ctx_any__affiliations</t>
        </is>
      </c>
      <c r="T1" s="7" t="inlineStr">
        <is>
          <t>ctx_any_labels__affiliations</t>
        </is>
      </c>
      <c r="U1" s="7" t="inlineStr">
        <is>
          <t>ctx_all__affiliations</t>
        </is>
      </c>
      <c r="V1" s="7" t="inlineStr">
        <is>
          <t>ctx_all_labels__affiliations</t>
        </is>
      </c>
      <c r="W1" s="7" t="inlineStr">
        <is>
          <t>req_any__announcement_category</t>
        </is>
      </c>
      <c r="X1" s="7" t="inlineStr">
        <is>
          <t>req_any_labels__announcement_category</t>
        </is>
      </c>
      <c r="Y1" s="7" t="inlineStr">
        <is>
          <t>req_all__announcement_category</t>
        </is>
      </c>
      <c r="Z1" s="7" t="inlineStr">
        <is>
          <t>req_all_labels__announcement_category</t>
        </is>
      </c>
      <c r="AA1" s="7" t="inlineStr">
        <is>
          <t>exclude__announcement_category</t>
        </is>
      </c>
      <c r="AB1" s="7" t="inlineStr">
        <is>
          <t>exclude_labels__announcement_category</t>
        </is>
      </c>
      <c r="AC1" s="7" t="inlineStr">
        <is>
          <t>ctx_any__announcement_category</t>
        </is>
      </c>
      <c r="AD1" s="7" t="inlineStr">
        <is>
          <t>ctx_any_labels__announcement_category</t>
        </is>
      </c>
      <c r="AE1" s="7" t="inlineStr">
        <is>
          <t>ctx_all__announcement_category</t>
        </is>
      </c>
      <c r="AF1" s="7" t="inlineStr">
        <is>
          <t>ctx_all_labels__announcement_category</t>
        </is>
      </c>
      <c r="AG1" s="7" t="inlineStr">
        <is>
          <t>req_any__area_of_focus</t>
        </is>
      </c>
      <c r="AH1" s="7" t="inlineStr">
        <is>
          <t>req_any_labels__area_of_focus</t>
        </is>
      </c>
      <c r="AI1" s="7" t="inlineStr">
        <is>
          <t>req_all__area_of_focus</t>
        </is>
      </c>
      <c r="AJ1" s="7" t="inlineStr">
        <is>
          <t>req_all_labels__area_of_focus</t>
        </is>
      </c>
      <c r="AK1" s="7" t="inlineStr">
        <is>
          <t>exclude__area_of_focus</t>
        </is>
      </c>
      <c r="AL1" s="7" t="inlineStr">
        <is>
          <t>exclude_labels__area_of_focus</t>
        </is>
      </c>
      <c r="AM1" s="7" t="inlineStr">
        <is>
          <t>ctx_any__area_of_focus</t>
        </is>
      </c>
      <c r="AN1" s="7" t="inlineStr">
        <is>
          <t>ctx_any_labels__area_of_focus</t>
        </is>
      </c>
      <c r="AO1" s="7" t="inlineStr">
        <is>
          <t>ctx_all__area_of_focus</t>
        </is>
      </c>
      <c r="AP1" s="7" t="inlineStr">
        <is>
          <t>ctx_all_labels__area_of_focus</t>
        </is>
      </c>
      <c r="AQ1" s="7" t="inlineStr">
        <is>
          <t>req_any__audience</t>
        </is>
      </c>
      <c r="AR1" s="7" t="inlineStr">
        <is>
          <t>req_any_labels__audience</t>
        </is>
      </c>
      <c r="AS1" s="7" t="inlineStr">
        <is>
          <t>req_all__audience</t>
        </is>
      </c>
      <c r="AT1" s="7" t="inlineStr">
        <is>
          <t>req_all_labels__audience</t>
        </is>
      </c>
      <c r="AU1" s="7" t="inlineStr">
        <is>
          <t>exclude__audience</t>
        </is>
      </c>
      <c r="AV1" s="7" t="inlineStr">
        <is>
          <t>exclude_labels__audience</t>
        </is>
      </c>
      <c r="AW1" s="7" t="inlineStr">
        <is>
          <t>ctx_any__audience</t>
        </is>
      </c>
      <c r="AX1" s="7" t="inlineStr">
        <is>
          <t>ctx_any_labels__audience</t>
        </is>
      </c>
      <c r="AY1" s="7" t="inlineStr">
        <is>
          <t>ctx_all__audience</t>
        </is>
      </c>
      <c r="AZ1" s="7" t="inlineStr">
        <is>
          <t>ctx_all_labels__audience</t>
        </is>
      </c>
      <c r="BA1" s="7" t="inlineStr">
        <is>
          <t>req_any__challenge_opportunities</t>
        </is>
      </c>
      <c r="BB1" s="7" t="inlineStr">
        <is>
          <t>req_any_labels__challenge_opportunities</t>
        </is>
      </c>
      <c r="BC1" s="7" t="inlineStr">
        <is>
          <t>req_all__challenge_opportunities</t>
        </is>
      </c>
      <c r="BD1" s="7" t="inlineStr">
        <is>
          <t>req_all_labels__challenge_opportunities</t>
        </is>
      </c>
      <c r="BE1" s="7" t="inlineStr">
        <is>
          <t>exclude__challenge_opportunities</t>
        </is>
      </c>
      <c r="BF1" s="7" t="inlineStr">
        <is>
          <t>exclude_labels__challenge_opportunities</t>
        </is>
      </c>
      <c r="BG1" s="7" t="inlineStr">
        <is>
          <t>ctx_any__challenge_opportunities</t>
        </is>
      </c>
      <c r="BH1" s="7" t="inlineStr">
        <is>
          <t>ctx_any_labels__challenge_opportunities</t>
        </is>
      </c>
      <c r="BI1" s="7" t="inlineStr">
        <is>
          <t>ctx_all__challenge_opportunities</t>
        </is>
      </c>
      <c r="BJ1" s="7" t="inlineStr">
        <is>
          <t>ctx_all_labels__challenge_opportunities</t>
        </is>
      </c>
      <c r="BK1" s="7" t="inlineStr">
        <is>
          <t>req_any__context</t>
        </is>
      </c>
      <c r="BL1" s="7" t="inlineStr">
        <is>
          <t>req_any_labels__context</t>
        </is>
      </c>
      <c r="BM1" s="7" t="inlineStr">
        <is>
          <t>req_all__context</t>
        </is>
      </c>
      <c r="BN1" s="7" t="inlineStr">
        <is>
          <t>req_all_labels__context</t>
        </is>
      </c>
      <c r="BO1" s="7" t="inlineStr">
        <is>
          <t>exclude__context</t>
        </is>
      </c>
      <c r="BP1" s="7" t="inlineStr">
        <is>
          <t>exclude_labels__context</t>
        </is>
      </c>
      <c r="BQ1" s="7" t="inlineStr">
        <is>
          <t>ctx_any__context</t>
        </is>
      </c>
      <c r="BR1" s="7" t="inlineStr">
        <is>
          <t>ctx_any_labels__context</t>
        </is>
      </c>
      <c r="BS1" s="7" t="inlineStr">
        <is>
          <t>ctx_all__context</t>
        </is>
      </c>
      <c r="BT1" s="7" t="inlineStr">
        <is>
          <t>ctx_all_labels__context</t>
        </is>
      </c>
      <c r="BU1" s="7" t="inlineStr">
        <is>
          <t>req_any__enews_announcement_type</t>
        </is>
      </c>
      <c r="BV1" s="7" t="inlineStr">
        <is>
          <t>req_any_labels__enews_announcement_type</t>
        </is>
      </c>
      <c r="BW1" s="7" t="inlineStr">
        <is>
          <t>req_all__enews_announcement_type</t>
        </is>
      </c>
      <c r="BX1" s="7" t="inlineStr">
        <is>
          <t>req_all_labels__enews_announcement_type</t>
        </is>
      </c>
      <c r="BY1" s="7" t="inlineStr">
        <is>
          <t>exclude__enews_announcement_type</t>
        </is>
      </c>
      <c r="BZ1" s="7" t="inlineStr">
        <is>
          <t>exclude_labels__enews_announcement_type</t>
        </is>
      </c>
      <c r="CA1" s="7" t="inlineStr">
        <is>
          <t>ctx_any__enews_announcement_type</t>
        </is>
      </c>
      <c r="CB1" s="7" t="inlineStr">
        <is>
          <t>ctx_any_labels__enews_announcement_type</t>
        </is>
      </c>
      <c r="CC1" s="7" t="inlineStr">
        <is>
          <t>ctx_all__enews_announcement_type</t>
        </is>
      </c>
      <c r="CD1" s="7" t="inlineStr">
        <is>
          <t>ctx_all_labels__enews_announcement_type</t>
        </is>
      </c>
      <c r="CE1" s="7" t="inlineStr">
        <is>
          <t>req_any__enews_audience</t>
        </is>
      </c>
      <c r="CF1" s="7" t="inlineStr">
        <is>
          <t>req_any_labels__enews_audience</t>
        </is>
      </c>
      <c r="CG1" s="7" t="inlineStr">
        <is>
          <t>req_all__enews_audience</t>
        </is>
      </c>
      <c r="CH1" s="7" t="inlineStr">
        <is>
          <t>req_all_labels__enews_audience</t>
        </is>
      </c>
      <c r="CI1" s="7" t="inlineStr">
        <is>
          <t>exclude__enews_audience</t>
        </is>
      </c>
      <c r="CJ1" s="7" t="inlineStr">
        <is>
          <t>exclude_labels__enews_audience</t>
        </is>
      </c>
      <c r="CK1" s="7" t="inlineStr">
        <is>
          <t>ctx_any__enews_audience</t>
        </is>
      </c>
      <c r="CL1" s="7" t="inlineStr">
        <is>
          <t>ctx_any_labels__enews_audience</t>
        </is>
      </c>
      <c r="CM1" s="7" t="inlineStr">
        <is>
          <t>ctx_all__enews_audience</t>
        </is>
      </c>
      <c r="CN1" s="7" t="inlineStr">
        <is>
          <t>ctx_all_labels__enews_audience</t>
        </is>
      </c>
      <c r="CO1" s="7" t="inlineStr">
        <is>
          <t>req_any__event_location</t>
        </is>
      </c>
      <c r="CP1" s="7" t="inlineStr">
        <is>
          <t>req_any_labels__event_location</t>
        </is>
      </c>
      <c r="CQ1" s="7" t="inlineStr">
        <is>
          <t>req_all__event_location</t>
        </is>
      </c>
      <c r="CR1" s="7" t="inlineStr">
        <is>
          <t>req_all_labels__event_location</t>
        </is>
      </c>
      <c r="CS1" s="7" t="inlineStr">
        <is>
          <t>exclude__event_location</t>
        </is>
      </c>
      <c r="CT1" s="7" t="inlineStr">
        <is>
          <t>exclude_labels__event_location</t>
        </is>
      </c>
      <c r="CU1" s="7" t="inlineStr">
        <is>
          <t>ctx_any__event_location</t>
        </is>
      </c>
      <c r="CV1" s="7" t="inlineStr">
        <is>
          <t>ctx_any_labels__event_location</t>
        </is>
      </c>
      <c r="CW1" s="7" t="inlineStr">
        <is>
          <t>ctx_all__event_location</t>
        </is>
      </c>
      <c r="CX1" s="7" t="inlineStr">
        <is>
          <t>ctx_all_labels__event_location</t>
        </is>
      </c>
      <c r="CY1" s="7" t="inlineStr">
        <is>
          <t>req_any__event_type</t>
        </is>
      </c>
      <c r="CZ1" s="7" t="inlineStr">
        <is>
          <t>req_any_labels__event_type</t>
        </is>
      </c>
      <c r="DA1" s="7" t="inlineStr">
        <is>
          <t>req_all__event_type</t>
        </is>
      </c>
      <c r="DB1" s="7" t="inlineStr">
        <is>
          <t>req_all_labels__event_type</t>
        </is>
      </c>
      <c r="DC1" s="7" t="inlineStr">
        <is>
          <t>exclude__event_type</t>
        </is>
      </c>
      <c r="DD1" s="7" t="inlineStr">
        <is>
          <t>exclude_labels__event_type</t>
        </is>
      </c>
      <c r="DE1" s="7" t="inlineStr">
        <is>
          <t>ctx_any__event_type</t>
        </is>
      </c>
      <c r="DF1" s="7" t="inlineStr">
        <is>
          <t>ctx_any_labels__event_type</t>
        </is>
      </c>
      <c r="DG1" s="7" t="inlineStr">
        <is>
          <t>ctx_all__event_type</t>
        </is>
      </c>
      <c r="DH1" s="7" t="inlineStr">
        <is>
          <t>ctx_all_labels__event_type</t>
        </is>
      </c>
      <c r="DI1" s="7" t="inlineStr">
        <is>
          <t>req_any__executive_education_focus</t>
        </is>
      </c>
      <c r="DJ1" s="7" t="inlineStr">
        <is>
          <t>req_any_labels__executive_education_focus</t>
        </is>
      </c>
      <c r="DK1" s="7" t="inlineStr">
        <is>
          <t>req_all__executive_education_focus</t>
        </is>
      </c>
      <c r="DL1" s="7" t="inlineStr">
        <is>
          <t>req_all_labels__executive_education_focus</t>
        </is>
      </c>
      <c r="DM1" s="7" t="inlineStr">
        <is>
          <t>exclude__executive_education_focus</t>
        </is>
      </c>
      <c r="DN1" s="7" t="inlineStr">
        <is>
          <t>exclude_labels__executive_education_focus</t>
        </is>
      </c>
      <c r="DO1" s="7" t="inlineStr">
        <is>
          <t>ctx_any__executive_education_focus</t>
        </is>
      </c>
      <c r="DP1" s="7" t="inlineStr">
        <is>
          <t>ctx_any_labels__executive_education_focus</t>
        </is>
      </c>
      <c r="DQ1" s="7" t="inlineStr">
        <is>
          <t>ctx_all__executive_education_focus</t>
        </is>
      </c>
      <c r="DR1" s="7" t="inlineStr">
        <is>
          <t>ctx_all_labels__executive_education_focus</t>
        </is>
      </c>
      <c r="DS1" s="7" t="inlineStr">
        <is>
          <t>req_any__faculty_category</t>
        </is>
      </c>
      <c r="DT1" s="7" t="inlineStr">
        <is>
          <t>req_any_labels__faculty_category</t>
        </is>
      </c>
      <c r="DU1" s="7" t="inlineStr">
        <is>
          <t>req_all__faculty_category</t>
        </is>
      </c>
      <c r="DV1" s="7" t="inlineStr">
        <is>
          <t>req_all_labels__faculty_category</t>
        </is>
      </c>
      <c r="DW1" s="7" t="inlineStr">
        <is>
          <t>exclude__faculty_category</t>
        </is>
      </c>
      <c r="DX1" s="7" t="inlineStr">
        <is>
          <t>exclude_labels__faculty_category</t>
        </is>
      </c>
      <c r="DY1" s="7" t="inlineStr">
        <is>
          <t>ctx_any__faculty_category</t>
        </is>
      </c>
      <c r="DZ1" s="7" t="inlineStr">
        <is>
          <t>ctx_any_labels__faculty_category</t>
        </is>
      </c>
      <c r="EA1" s="7" t="inlineStr">
        <is>
          <t>ctx_all__faculty_category</t>
        </is>
      </c>
      <c r="EB1" s="7" t="inlineStr">
        <is>
          <t>ctx_all_labels__faculty_category</t>
        </is>
      </c>
      <c r="EC1" s="7" t="inlineStr">
        <is>
          <t>req_any__faculty_discipline</t>
        </is>
      </c>
      <c r="ED1" s="7" t="inlineStr">
        <is>
          <t>req_any_labels__faculty_discipline</t>
        </is>
      </c>
      <c r="EE1" s="7" t="inlineStr">
        <is>
          <t>req_all__faculty_discipline</t>
        </is>
      </c>
      <c r="EF1" s="7" t="inlineStr">
        <is>
          <t>req_all_labels__faculty_discipline</t>
        </is>
      </c>
      <c r="EG1" s="7" t="inlineStr">
        <is>
          <t>exclude__faculty_discipline</t>
        </is>
      </c>
      <c r="EH1" s="7" t="inlineStr">
        <is>
          <t>exclude_labels__faculty_discipline</t>
        </is>
      </c>
      <c r="EI1" s="7" t="inlineStr">
        <is>
          <t>ctx_any__faculty_discipline</t>
        </is>
      </c>
      <c r="EJ1" s="7" t="inlineStr">
        <is>
          <t>ctx_any_labels__faculty_discipline</t>
        </is>
      </c>
      <c r="EK1" s="7" t="inlineStr">
        <is>
          <t>ctx_all__faculty_discipline</t>
        </is>
      </c>
      <c r="EL1" s="7" t="inlineStr">
        <is>
          <t>ctx_all_labels__faculty_discipline</t>
        </is>
      </c>
      <c r="EM1" s="7" t="inlineStr">
        <is>
          <t>req_any__faculty_expertise</t>
        </is>
      </c>
      <c r="EN1" s="7" t="inlineStr">
        <is>
          <t>req_any_labels__faculty_expertise</t>
        </is>
      </c>
      <c r="EO1" s="7" t="inlineStr">
        <is>
          <t>req_all__faculty_expertise</t>
        </is>
      </c>
      <c r="EP1" s="7" t="inlineStr">
        <is>
          <t>req_all_labels__faculty_expertise</t>
        </is>
      </c>
      <c r="EQ1" s="7" t="inlineStr">
        <is>
          <t>exclude__faculty_expertise</t>
        </is>
      </c>
      <c r="ER1" s="7" t="inlineStr">
        <is>
          <t>exclude_labels__faculty_expertise</t>
        </is>
      </c>
      <c r="ES1" s="7" t="inlineStr">
        <is>
          <t>ctx_any__faculty_expertise</t>
        </is>
      </c>
      <c r="ET1" s="7" t="inlineStr">
        <is>
          <t>ctx_any_labels__faculty_expertise</t>
        </is>
      </c>
      <c r="EU1" s="7" t="inlineStr">
        <is>
          <t>ctx_all__faculty_expertise</t>
        </is>
      </c>
      <c r="EV1" s="7" t="inlineStr">
        <is>
          <t>ctx_all_labels__faculty_expertise</t>
        </is>
      </c>
      <c r="EW1" s="7" t="inlineStr">
        <is>
          <t>req_any__global_network_school</t>
        </is>
      </c>
      <c r="EX1" s="7" t="inlineStr">
        <is>
          <t>req_any_labels__global_network_school</t>
        </is>
      </c>
      <c r="EY1" s="7" t="inlineStr">
        <is>
          <t>req_all__global_network_school</t>
        </is>
      </c>
      <c r="EZ1" s="7" t="inlineStr">
        <is>
          <t>req_all_labels__global_network_school</t>
        </is>
      </c>
      <c r="FA1" s="7" t="inlineStr">
        <is>
          <t>exclude__global_network_school</t>
        </is>
      </c>
      <c r="FB1" s="7" t="inlineStr">
        <is>
          <t>exclude_labels__global_network_school</t>
        </is>
      </c>
      <c r="FC1" s="7" t="inlineStr">
        <is>
          <t>ctx_any__global_network_school</t>
        </is>
      </c>
      <c r="FD1" s="7" t="inlineStr">
        <is>
          <t>ctx_any_labels__global_network_school</t>
        </is>
      </c>
      <c r="FE1" s="7" t="inlineStr">
        <is>
          <t>ctx_all__global_network_school</t>
        </is>
      </c>
      <c r="FF1" s="7" t="inlineStr">
        <is>
          <t>ctx_all_labels__global_network_school</t>
        </is>
      </c>
      <c r="FG1" s="7" t="inlineStr">
        <is>
          <t>req_any__industry</t>
        </is>
      </c>
      <c r="FH1" s="7" t="inlineStr">
        <is>
          <t>req_any_labels__industry</t>
        </is>
      </c>
      <c r="FI1" s="7" t="inlineStr">
        <is>
          <t>req_all__industry</t>
        </is>
      </c>
      <c r="FJ1" s="7" t="inlineStr">
        <is>
          <t>req_all_labels__industry</t>
        </is>
      </c>
      <c r="FK1" s="7" t="inlineStr">
        <is>
          <t>exclude__industry</t>
        </is>
      </c>
      <c r="FL1" s="7" t="inlineStr">
        <is>
          <t>exclude_labels__industry</t>
        </is>
      </c>
      <c r="FM1" s="7" t="inlineStr">
        <is>
          <t>ctx_any__industry</t>
        </is>
      </c>
      <c r="FN1" s="7" t="inlineStr">
        <is>
          <t>ctx_any_labels__industry</t>
        </is>
      </c>
      <c r="FO1" s="7" t="inlineStr">
        <is>
          <t>ctx_all__industry</t>
        </is>
      </c>
      <c r="FP1" s="7" t="inlineStr">
        <is>
          <t>ctx_all_labels__industry</t>
        </is>
      </c>
      <c r="FQ1" s="7" t="inlineStr">
        <is>
          <t>req_any__location</t>
        </is>
      </c>
      <c r="FR1" s="7" t="inlineStr">
        <is>
          <t>req_any_labels__location</t>
        </is>
      </c>
      <c r="FS1" s="7" t="inlineStr">
        <is>
          <t>req_all__location</t>
        </is>
      </c>
      <c r="FT1" s="7" t="inlineStr">
        <is>
          <t>req_all_labels__location</t>
        </is>
      </c>
      <c r="FU1" s="7" t="inlineStr">
        <is>
          <t>exclude__location</t>
        </is>
      </c>
      <c r="FV1" s="7" t="inlineStr">
        <is>
          <t>exclude_labels__location</t>
        </is>
      </c>
      <c r="FW1" s="7" t="inlineStr">
        <is>
          <t>ctx_any__location</t>
        </is>
      </c>
      <c r="FX1" s="7" t="inlineStr">
        <is>
          <t>ctx_any_labels__location</t>
        </is>
      </c>
      <c r="FY1" s="7" t="inlineStr">
        <is>
          <t>ctx_all__location</t>
        </is>
      </c>
      <c r="FZ1" s="7" t="inlineStr">
        <is>
          <t>ctx_all_labels__location</t>
        </is>
      </c>
      <c r="GA1" s="7" t="inlineStr">
        <is>
          <t>req_any__modality</t>
        </is>
      </c>
      <c r="GB1" s="7" t="inlineStr">
        <is>
          <t>req_any_labels__modality</t>
        </is>
      </c>
      <c r="GC1" s="7" t="inlineStr">
        <is>
          <t>req_all__modality</t>
        </is>
      </c>
      <c r="GD1" s="7" t="inlineStr">
        <is>
          <t>req_all_labels__modality</t>
        </is>
      </c>
      <c r="GE1" s="7" t="inlineStr">
        <is>
          <t>exclude__modality</t>
        </is>
      </c>
      <c r="GF1" s="7" t="inlineStr">
        <is>
          <t>exclude_labels__modality</t>
        </is>
      </c>
      <c r="GG1" s="7" t="inlineStr">
        <is>
          <t>ctx_any__modality</t>
        </is>
      </c>
      <c r="GH1" s="7" t="inlineStr">
        <is>
          <t>ctx_any_labels__modality</t>
        </is>
      </c>
      <c r="GI1" s="7" t="inlineStr">
        <is>
          <t>ctx_all__modality</t>
        </is>
      </c>
      <c r="GJ1" s="7" t="inlineStr">
        <is>
          <t>ctx_all_labels__modality</t>
        </is>
      </c>
      <c r="GK1" s="7" t="inlineStr">
        <is>
          <t>req_any__organizer</t>
        </is>
      </c>
      <c r="GL1" s="7" t="inlineStr">
        <is>
          <t>req_any_labels__organizer</t>
        </is>
      </c>
      <c r="GM1" s="7" t="inlineStr">
        <is>
          <t>req_all__organizer</t>
        </is>
      </c>
      <c r="GN1" s="7" t="inlineStr">
        <is>
          <t>req_all_labels__organizer</t>
        </is>
      </c>
      <c r="GO1" s="7" t="inlineStr">
        <is>
          <t>exclude__organizer</t>
        </is>
      </c>
      <c r="GP1" s="7" t="inlineStr">
        <is>
          <t>exclude_labels__organizer</t>
        </is>
      </c>
      <c r="GQ1" s="7" t="inlineStr">
        <is>
          <t>ctx_any__organizer</t>
        </is>
      </c>
      <c r="GR1" s="7" t="inlineStr">
        <is>
          <t>ctx_any_labels__organizer</t>
        </is>
      </c>
      <c r="GS1" s="7" t="inlineStr">
        <is>
          <t>ctx_all__organizer</t>
        </is>
      </c>
      <c r="GT1" s="7" t="inlineStr">
        <is>
          <t>ctx_all_labels__organizer</t>
        </is>
      </c>
      <c r="GU1" s="7" t="inlineStr">
        <is>
          <t>req_any__profile_type</t>
        </is>
      </c>
      <c r="GV1" s="7" t="inlineStr">
        <is>
          <t>req_any_labels__profile_type</t>
        </is>
      </c>
      <c r="GW1" s="7" t="inlineStr">
        <is>
          <t>req_all__profile_type</t>
        </is>
      </c>
      <c r="GX1" s="7" t="inlineStr">
        <is>
          <t>req_all_labels__profile_type</t>
        </is>
      </c>
      <c r="GY1" s="7" t="inlineStr">
        <is>
          <t>exclude__profile_type</t>
        </is>
      </c>
      <c r="GZ1" s="7" t="inlineStr">
        <is>
          <t>exclude_labels__profile_type</t>
        </is>
      </c>
      <c r="HA1" s="7" t="inlineStr">
        <is>
          <t>ctx_any__profile_type</t>
        </is>
      </c>
      <c r="HB1" s="7" t="inlineStr">
        <is>
          <t>ctx_any_labels__profile_type</t>
        </is>
      </c>
      <c r="HC1" s="7" t="inlineStr">
        <is>
          <t>ctx_all__profile_type</t>
        </is>
      </c>
      <c r="HD1" s="7" t="inlineStr">
        <is>
          <t>ctx_all_labels__profile_type</t>
        </is>
      </c>
      <c r="HE1" s="7" t="inlineStr">
        <is>
          <t>req_any__program</t>
        </is>
      </c>
      <c r="HF1" s="7" t="inlineStr">
        <is>
          <t>req_any_labels__program</t>
        </is>
      </c>
      <c r="HG1" s="7" t="inlineStr">
        <is>
          <t>req_all__program</t>
        </is>
      </c>
      <c r="HH1" s="7" t="inlineStr">
        <is>
          <t>req_all_labels__program</t>
        </is>
      </c>
      <c r="HI1" s="7" t="inlineStr">
        <is>
          <t>exclude__program</t>
        </is>
      </c>
      <c r="HJ1" s="7" t="inlineStr">
        <is>
          <t>exclude_labels__program</t>
        </is>
      </c>
      <c r="HK1" s="7" t="inlineStr">
        <is>
          <t>ctx_any__program</t>
        </is>
      </c>
      <c r="HL1" s="7" t="inlineStr">
        <is>
          <t>ctx_any_labels__program</t>
        </is>
      </c>
      <c r="HM1" s="7" t="inlineStr">
        <is>
          <t>ctx_all__program</t>
        </is>
      </c>
      <c r="HN1" s="7" t="inlineStr">
        <is>
          <t>ctx_all_labels__program</t>
        </is>
      </c>
      <c r="HO1" s="7" t="inlineStr">
        <is>
          <t>req_any__story_categories</t>
        </is>
      </c>
      <c r="HP1" s="7" t="inlineStr">
        <is>
          <t>req_any_labels__story_categories</t>
        </is>
      </c>
      <c r="HQ1" s="7" t="inlineStr">
        <is>
          <t>req_all__story_categories</t>
        </is>
      </c>
      <c r="HR1" s="7" t="inlineStr">
        <is>
          <t>req_all_labels__story_categories</t>
        </is>
      </c>
      <c r="HS1" s="7" t="inlineStr">
        <is>
          <t>exclude__story_categories</t>
        </is>
      </c>
      <c r="HT1" s="7" t="inlineStr">
        <is>
          <t>exclude_labels__story_categories</t>
        </is>
      </c>
      <c r="HU1" s="7" t="inlineStr">
        <is>
          <t>ctx_any__story_categories</t>
        </is>
      </c>
      <c r="HV1" s="7" t="inlineStr">
        <is>
          <t>ctx_any_labels__story_categories</t>
        </is>
      </c>
      <c r="HW1" s="7" t="inlineStr">
        <is>
          <t>ctx_all__story_categories</t>
        </is>
      </c>
      <c r="HX1" s="7" t="inlineStr">
        <is>
          <t>ctx_all_labels__story_categories</t>
        </is>
      </c>
      <c r="HY1" s="7" t="inlineStr">
        <is>
          <t>req_any__story_type</t>
        </is>
      </c>
      <c r="HZ1" s="7" t="inlineStr">
        <is>
          <t>req_any_labels__story_type</t>
        </is>
      </c>
      <c r="IA1" s="7" t="inlineStr">
        <is>
          <t>req_all__story_type</t>
        </is>
      </c>
      <c r="IB1" s="7" t="inlineStr">
        <is>
          <t>req_all_labels__story_type</t>
        </is>
      </c>
      <c r="IC1" s="7" t="inlineStr">
        <is>
          <t>exclude__story_type</t>
        </is>
      </c>
      <c r="ID1" s="7" t="inlineStr">
        <is>
          <t>exclude_labels__story_type</t>
        </is>
      </c>
      <c r="IE1" s="7" t="inlineStr">
        <is>
          <t>ctx_any__story_type</t>
        </is>
      </c>
      <c r="IF1" s="7" t="inlineStr">
        <is>
          <t>ctx_any_labels__story_type</t>
        </is>
      </c>
      <c r="IG1" s="7" t="inlineStr">
        <is>
          <t>ctx_all__story_type</t>
        </is>
      </c>
      <c r="IH1" s="7" t="inlineStr">
        <is>
          <t>ctx_all_labels__story_type</t>
        </is>
      </c>
      <c r="II1" s="7" t="inlineStr">
        <is>
          <t>req_any__topics</t>
        </is>
      </c>
      <c r="IJ1" s="7" t="inlineStr">
        <is>
          <t>req_any_labels__topics</t>
        </is>
      </c>
      <c r="IK1" s="7" t="inlineStr">
        <is>
          <t>req_all__topics</t>
        </is>
      </c>
      <c r="IL1" s="7" t="inlineStr">
        <is>
          <t>req_all_labels__topics</t>
        </is>
      </c>
      <c r="IM1" s="7" t="inlineStr">
        <is>
          <t>exclude__topics</t>
        </is>
      </c>
      <c r="IN1" s="7" t="inlineStr">
        <is>
          <t>exclude_labels__topics</t>
        </is>
      </c>
      <c r="IO1" s="7" t="inlineStr">
        <is>
          <t>ctx_any__topics</t>
        </is>
      </c>
      <c r="IP1" s="7" t="inlineStr">
        <is>
          <t>ctx_any_labels__topics</t>
        </is>
      </c>
      <c r="IQ1" s="7" t="inlineStr">
        <is>
          <t>ctx_all__topics</t>
        </is>
      </c>
      <c r="IR1" s="7" t="inlineStr">
        <is>
          <t>ctx_all_labels__topics</t>
        </is>
      </c>
      <c r="IS1" s="7" t="inlineStr">
        <is>
          <t>helper_content_type_match</t>
        </is>
      </c>
      <c r="IT1" s="7" t="inlineStr">
        <is>
          <t>helper_match__affiliations</t>
        </is>
      </c>
      <c r="IU1" s="7" t="inlineStr">
        <is>
          <t>helper_match__announcement_category</t>
        </is>
      </c>
      <c r="IV1" s="7" t="inlineStr">
        <is>
          <t>helper_match__area_of_focus</t>
        </is>
      </c>
      <c r="IW1" s="7" t="inlineStr">
        <is>
          <t>helper_match__audience</t>
        </is>
      </c>
      <c r="IX1" s="7" t="inlineStr">
        <is>
          <t>helper_match__challenge_opportunities</t>
        </is>
      </c>
      <c r="IY1" s="7" t="inlineStr">
        <is>
          <t>helper_match__context</t>
        </is>
      </c>
      <c r="IZ1" s="7" t="inlineStr">
        <is>
          <t>helper_match__enews_announcement_type</t>
        </is>
      </c>
      <c r="JA1" s="7" t="inlineStr">
        <is>
          <t>helper_match__enews_audience</t>
        </is>
      </c>
      <c r="JB1" s="7" t="inlineStr">
        <is>
          <t>helper_match__event_location</t>
        </is>
      </c>
      <c r="JC1" s="7" t="inlineStr">
        <is>
          <t>helper_match__event_type</t>
        </is>
      </c>
      <c r="JD1" s="7" t="inlineStr">
        <is>
          <t>helper_match__executive_education_focus</t>
        </is>
      </c>
      <c r="JE1" s="7" t="inlineStr">
        <is>
          <t>helper_match__faculty_category</t>
        </is>
      </c>
      <c r="JF1" s="7" t="inlineStr">
        <is>
          <t>helper_match__faculty_discipline</t>
        </is>
      </c>
      <c r="JG1" s="7" t="inlineStr">
        <is>
          <t>helper_match__faculty_expertise</t>
        </is>
      </c>
      <c r="JH1" s="7" t="inlineStr">
        <is>
          <t>helper_match__global_network_school</t>
        </is>
      </c>
      <c r="JI1" s="7" t="inlineStr">
        <is>
          <t>helper_match__industry</t>
        </is>
      </c>
      <c r="JJ1" s="7" t="inlineStr">
        <is>
          <t>helper_match__location</t>
        </is>
      </c>
      <c r="JK1" s="7" t="inlineStr">
        <is>
          <t>helper_match__modality</t>
        </is>
      </c>
      <c r="JL1" s="7" t="inlineStr">
        <is>
          <t>helper_match__organizer</t>
        </is>
      </c>
      <c r="JM1" s="7" t="inlineStr">
        <is>
          <t>helper_match__profile_type</t>
        </is>
      </c>
      <c r="JN1" s="7" t="inlineStr">
        <is>
          <t>helper_match__program</t>
        </is>
      </c>
      <c r="JO1" s="7" t="inlineStr">
        <is>
          <t>helper_match__story_categories</t>
        </is>
      </c>
      <c r="JP1" s="7" t="inlineStr">
        <is>
          <t>helper_match__story_type</t>
        </is>
      </c>
      <c r="JQ1" s="7" t="inlineStr">
        <is>
          <t>helper_match__topics</t>
        </is>
      </c>
    </row>
    <row r="2">
      <c r="A2" s="4">
        <f>IF(NOT(IS2),"Excluded",IF(AND(IT2,IU2,IV2,IW2,IX2,IY2,IZ2,JA2,JB2,JC2,JD2,JE2,JF2,JG2,JH2,JI2,JJ2,JK2,JL2,JM2,JN2,JO2,JP2,JQ2),IF(I2&gt;0,"Eligible but limited","Will appear"),"Excluded"))</f>
        <v/>
      </c>
      <c r="B2" s="4" t="inlineStr">
        <is>
          <t>A Day in the Life</t>
        </is>
      </c>
      <c r="C2" s="4" t="inlineStr">
        <is>
          <t>/about/headlines/all-headlines/day-life</t>
        </is>
      </c>
      <c r="D2" s="4" t="inlineStr">
        <is>
          <t>/about/headlines/all-headlines/day-life</t>
        </is>
      </c>
      <c r="E2" s="4" t="n">
        <v>1</v>
      </c>
      <c r="F2" s="4" t="inlineStr">
        <is>
          <t>story</t>
        </is>
      </c>
      <c r="G2" s="4" t="inlineStr">
        <is>
          <t>stories_list</t>
        </is>
      </c>
      <c r="H2" s="4" t="inlineStr">
        <is>
          <t>embed_1</t>
        </is>
      </c>
      <c r="I2" s="4" t="n">
        <v>10</v>
      </c>
      <c r="J2" s="4" t="inlineStr">
        <is>
          <t>Explicit args</t>
        </is>
      </c>
      <c r="K2" s="4" t="inlineStr">
        <is>
          <t>Page placement</t>
        </is>
      </c>
      <c r="L2" s="4" t="inlineStr">
        <is>
          <t>Content type: story; Context uses Courses Context: Day in the Life (1485); Limited to 10 item(s); Source: Explicit args</t>
        </is>
      </c>
      <c r="M2" t="inlineStr"/>
      <c r="N2" t="inlineStr"/>
      <c r="O2" t="inlineStr"/>
      <c r="P2" t="inlineStr"/>
      <c r="Q2" t="inlineStr"/>
      <c r="R2" t="inlineStr"/>
      <c r="S2" t="inlineStr"/>
      <c r="T2" t="inlineStr"/>
      <c r="U2" t="inlineStr"/>
      <c r="V2" t="inlineStr"/>
      <c r="W2" t="inlineStr"/>
      <c r="X2" t="inlineStr"/>
      <c r="Y2" t="inlineStr"/>
      <c r="Z2" t="inlineStr"/>
      <c r="AA2" t="inlineStr"/>
      <c r="AB2" t="inlineStr"/>
      <c r="AC2" t="inlineStr"/>
      <c r="AD2" t="inlineStr"/>
      <c r="AE2" t="inlineStr"/>
      <c r="AF2" t="inlineStr"/>
      <c r="AG2" t="inlineStr"/>
      <c r="AH2" t="inlineStr"/>
      <c r="AI2" t="inlineStr"/>
      <c r="AJ2" t="inlineStr"/>
      <c r="AK2" t="inlineStr"/>
      <c r="AL2" t="inlineStr"/>
      <c r="AM2" t="inlineStr"/>
      <c r="AN2" t="inlineStr"/>
      <c r="AO2" t="inlineStr"/>
      <c r="AP2" t="inlineStr"/>
      <c r="AQ2" t="inlineStr"/>
      <c r="AR2" t="inlineStr"/>
      <c r="AS2" t="inlineStr"/>
      <c r="AT2" t="inlineStr"/>
      <c r="AU2" t="inlineStr"/>
      <c r="AV2" t="inlineStr"/>
      <c r="AW2" t="inlineStr"/>
      <c r="AX2" t="inlineStr"/>
      <c r="AY2" t="inlineStr"/>
      <c r="AZ2" t="inlineStr"/>
      <c r="BA2" t="inlineStr"/>
      <c r="BB2" t="inlineStr"/>
      <c r="BC2" t="inlineStr"/>
      <c r="BD2" t="inlineStr"/>
      <c r="BE2" t="inlineStr"/>
      <c r="BF2" t="inlineStr"/>
      <c r="BG2" t="inlineStr"/>
      <c r="BH2" t="inlineStr"/>
      <c r="BI2" t="inlineStr"/>
      <c r="BJ2" t="inlineStr"/>
      <c r="BK2" t="inlineStr"/>
      <c r="BL2" t="inlineStr"/>
      <c r="BM2" t="inlineStr"/>
      <c r="BN2" t="inlineStr"/>
      <c r="BO2" t="inlineStr"/>
      <c r="BP2" t="inlineStr"/>
      <c r="BQ2" t="inlineStr">
        <is>
          <t>1485</t>
        </is>
      </c>
      <c r="BR2" t="inlineStr">
        <is>
          <t>Day in the Life (1485)</t>
        </is>
      </c>
      <c r="BS2" t="inlineStr"/>
      <c r="BT2" t="inlineStr"/>
      <c r="BU2" t="inlineStr"/>
      <c r="BV2" t="inlineStr"/>
      <c r="BW2" t="inlineStr"/>
      <c r="BX2" t="inlineStr"/>
      <c r="BY2" t="inlineStr"/>
      <c r="BZ2" t="inlineStr"/>
      <c r="CA2" t="inlineStr"/>
      <c r="CB2" t="inlineStr"/>
      <c r="CC2" t="inlineStr"/>
      <c r="CD2" t="inlineStr"/>
      <c r="CE2" t="inlineStr"/>
      <c r="CF2" t="inlineStr"/>
      <c r="CG2" t="inlineStr"/>
      <c r="CH2" t="inlineStr"/>
      <c r="CI2" t="inlineStr"/>
      <c r="CJ2" t="inlineStr"/>
      <c r="CK2" t="inlineStr"/>
      <c r="CL2" t="inlineStr"/>
      <c r="CM2" t="inlineStr"/>
      <c r="CN2" t="inlineStr"/>
      <c r="CO2" t="inlineStr"/>
      <c r="CP2" t="inlineStr"/>
      <c r="CQ2" t="inlineStr"/>
      <c r="CR2" t="inlineStr"/>
      <c r="CS2" t="inlineStr"/>
      <c r="CT2" t="inlineStr"/>
      <c r="CU2" t="inlineStr"/>
      <c r="CV2" t="inlineStr"/>
      <c r="CW2" t="inlineStr"/>
      <c r="CX2" t="inlineStr"/>
      <c r="CY2" t="inlineStr"/>
      <c r="CZ2" t="inlineStr"/>
      <c r="DA2" t="inlineStr"/>
      <c r="DB2" t="inlineStr"/>
      <c r="DC2" t="inlineStr"/>
      <c r="DD2" t="inlineStr"/>
      <c r="DE2" t="inlineStr"/>
      <c r="DF2" t="inlineStr"/>
      <c r="DG2" t="inlineStr"/>
      <c r="DH2" t="inlineStr"/>
      <c r="DI2" t="inlineStr"/>
      <c r="DJ2" t="inlineStr"/>
      <c r="DK2" t="inlineStr"/>
      <c r="DL2" t="inlineStr"/>
      <c r="DM2" t="inlineStr"/>
      <c r="DN2" t="inlineStr"/>
      <c r="DO2" t="inlineStr"/>
      <c r="DP2" t="inlineStr"/>
      <c r="DQ2" t="inlineStr"/>
      <c r="DR2" t="inlineStr"/>
      <c r="DS2" t="inlineStr"/>
      <c r="DT2" t="inlineStr"/>
      <c r="DU2" t="inlineStr"/>
      <c r="DV2" t="inlineStr"/>
      <c r="DW2" t="inlineStr"/>
      <c r="DX2" t="inlineStr"/>
      <c r="DY2" t="inlineStr"/>
      <c r="DZ2" t="inlineStr"/>
      <c r="EA2" t="inlineStr"/>
      <c r="EB2" t="inlineStr"/>
      <c r="EC2" t="inlineStr"/>
      <c r="ED2" t="inlineStr"/>
      <c r="EE2" t="inlineStr"/>
      <c r="EF2" t="inlineStr"/>
      <c r="EG2" t="inlineStr"/>
      <c r="EH2" t="inlineStr"/>
      <c r="EI2" t="inlineStr"/>
      <c r="EJ2" t="inlineStr"/>
      <c r="EK2" t="inlineStr"/>
      <c r="EL2" t="inlineStr"/>
      <c r="EM2" t="inlineStr"/>
      <c r="EN2" t="inlineStr"/>
      <c r="EO2" t="inlineStr"/>
      <c r="EP2" t="inlineStr"/>
      <c r="EQ2" t="inlineStr"/>
      <c r="ER2" t="inlineStr"/>
      <c r="ES2" t="inlineStr"/>
      <c r="ET2" t="inlineStr"/>
      <c r="EU2" t="inlineStr"/>
      <c r="EV2" t="inlineStr"/>
      <c r="EW2" t="inlineStr"/>
      <c r="EX2" t="inlineStr"/>
      <c r="EY2" t="inlineStr"/>
      <c r="EZ2" t="inlineStr"/>
      <c r="FA2" t="inlineStr"/>
      <c r="FB2" t="inlineStr"/>
      <c r="FC2" t="inlineStr"/>
      <c r="FD2" t="inlineStr"/>
      <c r="FE2" t="inlineStr"/>
      <c r="FF2" t="inlineStr"/>
      <c r="FG2" t="inlineStr"/>
      <c r="FH2" t="inlineStr"/>
      <c r="FI2" t="inlineStr"/>
      <c r="FJ2" t="inlineStr"/>
      <c r="FK2" t="inlineStr"/>
      <c r="FL2" t="inlineStr"/>
      <c r="FM2" t="inlineStr"/>
      <c r="FN2" t="inlineStr"/>
      <c r="FO2" t="inlineStr"/>
      <c r="FP2" t="inlineStr"/>
      <c r="FQ2" t="inlineStr"/>
      <c r="FR2" t="inlineStr"/>
      <c r="FS2" t="inlineStr"/>
      <c r="FT2" t="inlineStr"/>
      <c r="FU2" t="inlineStr"/>
      <c r="FV2" t="inlineStr"/>
      <c r="FW2" t="inlineStr"/>
      <c r="FX2" t="inlineStr"/>
      <c r="FY2" t="inlineStr"/>
      <c r="FZ2" t="inlineStr"/>
      <c r="GA2" t="inlineStr"/>
      <c r="GB2" t="inlineStr"/>
      <c r="GC2" t="inlineStr"/>
      <c r="GD2" t="inlineStr"/>
      <c r="GE2" t="inlineStr"/>
      <c r="GF2" t="inlineStr"/>
      <c r="GG2" t="inlineStr"/>
      <c r="GH2" t="inlineStr"/>
      <c r="GI2" t="inlineStr"/>
      <c r="GJ2" t="inlineStr"/>
      <c r="GK2" t="inlineStr"/>
      <c r="GL2" t="inlineStr"/>
      <c r="GM2" t="inlineStr"/>
      <c r="GN2" t="inlineStr"/>
      <c r="GO2" t="inlineStr"/>
      <c r="GP2" t="inlineStr"/>
      <c r="GQ2" t="inlineStr"/>
      <c r="GR2" t="inlineStr"/>
      <c r="GS2" t="inlineStr"/>
      <c r="GT2" t="inlineStr"/>
      <c r="GU2" t="inlineStr"/>
      <c r="GV2" t="inlineStr"/>
      <c r="GW2" t="inlineStr"/>
      <c r="GX2" t="inlineStr"/>
      <c r="GY2" t="inlineStr"/>
      <c r="GZ2" t="inlineStr"/>
      <c r="HA2" t="inlineStr"/>
      <c r="HB2" t="inlineStr"/>
      <c r="HC2" t="inlineStr"/>
      <c r="HD2" t="inlineStr"/>
      <c r="HE2" t="inlineStr"/>
      <c r="HF2" t="inlineStr"/>
      <c r="HG2" t="inlineStr"/>
      <c r="HH2" t="inlineStr"/>
      <c r="HI2" t="inlineStr"/>
      <c r="HJ2" t="inlineStr"/>
      <c r="HK2" t="inlineStr"/>
      <c r="HL2" t="inlineStr"/>
      <c r="HM2" t="inlineStr"/>
      <c r="HN2" t="inlineStr"/>
      <c r="HO2" t="inlineStr"/>
      <c r="HP2" t="inlineStr"/>
      <c r="HQ2" t="inlineStr"/>
      <c r="HR2" t="inlineStr"/>
      <c r="HS2" t="inlineStr"/>
      <c r="HT2" t="inlineStr"/>
      <c r="HU2" t="inlineStr"/>
      <c r="HV2" t="inlineStr"/>
      <c r="HW2" t="inlineStr"/>
      <c r="HX2" t="inlineStr"/>
      <c r="HY2" t="inlineStr"/>
      <c r="HZ2" t="inlineStr"/>
      <c r="IA2" t="inlineStr"/>
      <c r="IB2" t="inlineStr"/>
      <c r="IC2" t="inlineStr"/>
      <c r="ID2" t="inlineStr"/>
      <c r="IE2" t="inlineStr"/>
      <c r="IF2" t="inlineStr"/>
      <c r="IG2" t="inlineStr"/>
      <c r="IH2" t="inlineStr"/>
      <c r="II2" t="inlineStr"/>
      <c r="IJ2" t="inlineStr"/>
      <c r="IK2" t="inlineStr"/>
      <c r="IL2" t="inlineStr"/>
      <c r="IM2" t="inlineStr"/>
      <c r="IN2" t="inlineStr"/>
      <c r="IO2" t="inlineStr"/>
      <c r="IP2" t="inlineStr"/>
      <c r="IQ2" t="inlineStr"/>
      <c r="IR2" t="inlineStr"/>
      <c r="IS2">
        <f>IF(input_content_type="",FALSE,ISNUMBER(SEARCH(","&amp;LOWER(input_content_type)&amp;",",","&amp;LOWER(F2)&amp;",")))</f>
        <v/>
      </c>
      <c r="IT2">
        <f>AND(IF(M2="",TRUE,IF(input_affiliations="",FALSE,SUMPRODUCT(--ISNUMBER(SEARCH(","&amp;TRIM(TEXTSPLIT(M2,","))&amp;",",","&amp;SUBSTITUTE(input_affiliations," ","")&amp;",")))&gt;0)),IF(O2="",TRUE,IF(input_affiliations="",FALSE,SUMPRODUCT(--ISNUMBER(SEARCH(","&amp;TRIM(TEXTSPLIT(O2,","))&amp;",",","&amp;SUBSTITUTE(input_affiliations," ","")&amp;",")))=COUNTA(TEXTSPLIT(O2,",")))),IF(Q2="",TRUE,IF(input_affiliations="",TRUE,SUMPRODUCT(--ISNUMBER(SEARCH(","&amp;TRIM(TEXTSPLIT(Q2,","))&amp;",",","&amp;SUBSTITUTE(input_affiliations," ","")&amp;",")))=0)),IF(S2="",TRUE,IF(input_affiliations="",FALSE,SUMPRODUCT(--ISNUMBER(SEARCH(","&amp;TRIM(TEXTSPLIT(S2,","))&amp;",",","&amp;SUBSTITUTE(input_affiliations," ","")&amp;",")))&gt;0)),IF(U2="",TRUE,IF(input_affiliations="",FALSE,SUMPRODUCT(--ISNUMBER(SEARCH(","&amp;TRIM(TEXTSPLIT(U2,","))&amp;",",","&amp;SUBSTITUTE(input_affiliations," ","")&amp;",")))=COUNTA(TEXTSPLIT(U2,",")))))</f>
        <v/>
      </c>
      <c r="IU2">
        <f>AND(IF(W2="",TRUE,IF(input_announcement_category="",FALSE,SUMPRODUCT(--ISNUMBER(SEARCH(","&amp;TRIM(TEXTSPLIT(W2,","))&amp;",",","&amp;SUBSTITUTE(input_announcement_category," ","")&amp;",")))&gt;0)),IF(Y2="",TRUE,IF(input_announcement_category="",FALSE,SUMPRODUCT(--ISNUMBER(SEARCH(","&amp;TRIM(TEXTSPLIT(Y2,","))&amp;",",","&amp;SUBSTITUTE(input_announcement_category," ","")&amp;",")))=COUNTA(TEXTSPLIT(Y2,",")))),IF(AA2="",TRUE,IF(input_announcement_category="",TRUE,SUMPRODUCT(--ISNUMBER(SEARCH(","&amp;TRIM(TEXTSPLIT(AA2,","))&amp;",",","&amp;SUBSTITUTE(input_announcement_category," ","")&amp;",")))=0)),IF(AC2="",TRUE,IF(input_announcement_category="",FALSE,SUMPRODUCT(--ISNUMBER(SEARCH(","&amp;TRIM(TEXTSPLIT(AC2,","))&amp;",",","&amp;SUBSTITUTE(input_announcement_category," ","")&amp;",")))&gt;0)),IF(AE2="",TRUE,IF(input_announcement_category="",FALSE,SUMPRODUCT(--ISNUMBER(SEARCH(","&amp;TRIM(TEXTSPLIT(AE2,","))&amp;",",","&amp;SUBSTITUTE(input_announcement_category," ","")&amp;",")))=COUNTA(TEXTSPLIT(AE2,",")))))</f>
        <v/>
      </c>
      <c r="IV2">
        <f>AND(IF(AG2="",TRUE,IF(input_area_of_focus="",FALSE,SUMPRODUCT(--ISNUMBER(SEARCH(","&amp;TRIM(TEXTSPLIT(AG2,","))&amp;",",","&amp;SUBSTITUTE(input_area_of_focus," ","")&amp;",")))&gt;0)),IF(AI2="",TRUE,IF(input_area_of_focus="",FALSE,SUMPRODUCT(--ISNUMBER(SEARCH(","&amp;TRIM(TEXTSPLIT(AI2,","))&amp;",",","&amp;SUBSTITUTE(input_area_of_focus," ","")&amp;",")))=COUNTA(TEXTSPLIT(AI2,",")))),IF(AK2="",TRUE,IF(input_area_of_focus="",TRUE,SUMPRODUCT(--ISNUMBER(SEARCH(","&amp;TRIM(TEXTSPLIT(AK2,","))&amp;",",","&amp;SUBSTITUTE(input_area_of_focus," ","")&amp;",")))=0)),IF(AM2="",TRUE,IF(input_area_of_focus="",FALSE,SUMPRODUCT(--ISNUMBER(SEARCH(","&amp;TRIM(TEXTSPLIT(AM2,","))&amp;",",","&amp;SUBSTITUTE(input_area_of_focus," ","")&amp;",")))&gt;0)),IF(AO2="",TRUE,IF(input_area_of_focus="",FALSE,SUMPRODUCT(--ISNUMBER(SEARCH(","&amp;TRIM(TEXTSPLIT(AO2,","))&amp;",",","&amp;SUBSTITUTE(input_area_of_focus," ","")&amp;",")))=COUNTA(TEXTSPLIT(AO2,",")))))</f>
        <v/>
      </c>
      <c r="IW2">
        <f>AND(IF(AQ2="",TRUE,IF(input_audience="",FALSE,SUMPRODUCT(--ISNUMBER(SEARCH(","&amp;TRIM(TEXTSPLIT(AQ2,","))&amp;",",","&amp;SUBSTITUTE(input_audience," ","")&amp;",")))&gt;0)),IF(AS2="",TRUE,IF(input_audience="",FALSE,SUMPRODUCT(--ISNUMBER(SEARCH(","&amp;TRIM(TEXTSPLIT(AS2,","))&amp;",",","&amp;SUBSTITUTE(input_audience," ","")&amp;",")))=COUNTA(TEXTSPLIT(AS2,",")))),IF(AU2="",TRUE,IF(input_audience="",TRUE,SUMPRODUCT(--ISNUMBER(SEARCH(","&amp;TRIM(TEXTSPLIT(AU2,","))&amp;",",","&amp;SUBSTITUTE(input_audience," ","")&amp;",")))=0)),IF(AW2="",TRUE,IF(input_audience="",FALSE,SUMPRODUCT(--ISNUMBER(SEARCH(","&amp;TRIM(TEXTSPLIT(AW2,","))&amp;",",","&amp;SUBSTITUTE(input_audience," ","")&amp;",")))&gt;0)),IF(AY2="",TRUE,IF(input_audience="",FALSE,SUMPRODUCT(--ISNUMBER(SEARCH(","&amp;TRIM(TEXTSPLIT(AY2,","))&amp;",",","&amp;SUBSTITUTE(input_audience," ","")&amp;",")))=COUNTA(TEXTSPLIT(AY2,",")))))</f>
        <v/>
      </c>
      <c r="IX2">
        <f>AND(IF(BA2="",TRUE,IF(input_challenge_opportunities="",FALSE,SUMPRODUCT(--ISNUMBER(SEARCH(","&amp;TRIM(TEXTSPLIT(BA2,","))&amp;",",","&amp;SUBSTITUTE(input_challenge_opportunities," ","")&amp;",")))&gt;0)),IF(BC2="",TRUE,IF(input_challenge_opportunities="",FALSE,SUMPRODUCT(--ISNUMBER(SEARCH(","&amp;TRIM(TEXTSPLIT(BC2,","))&amp;",",","&amp;SUBSTITUTE(input_challenge_opportunities," ","")&amp;",")))=COUNTA(TEXTSPLIT(BC2,",")))),IF(BE2="",TRUE,IF(input_challenge_opportunities="",TRUE,SUMPRODUCT(--ISNUMBER(SEARCH(","&amp;TRIM(TEXTSPLIT(BE2,","))&amp;",",","&amp;SUBSTITUTE(input_challenge_opportunities," ","")&amp;",")))=0)),IF(BG2="",TRUE,IF(input_challenge_opportunities="",FALSE,SUMPRODUCT(--ISNUMBER(SEARCH(","&amp;TRIM(TEXTSPLIT(BG2,","))&amp;",",","&amp;SUBSTITUTE(input_challenge_opportunities," ","")&amp;",")))&gt;0)),IF(BI2="",TRUE,IF(input_challenge_opportunities="",FALSE,SUMPRODUCT(--ISNUMBER(SEARCH(","&amp;TRIM(TEXTSPLIT(BI2,","))&amp;",",","&amp;SUBSTITUTE(input_challenge_opportunities," ","")&amp;",")))=COUNTA(TEXTSPLIT(BI2,",")))))</f>
        <v/>
      </c>
      <c r="IY2">
        <f>AND(IF(BK2="",TRUE,IF(input_context="",FALSE,SUMPRODUCT(--ISNUMBER(SEARCH(","&amp;TRIM(TEXTSPLIT(BK2,","))&amp;",",","&amp;SUBSTITUTE(input_context," ","")&amp;",")))&gt;0)),IF(BM2="",TRUE,IF(input_context="",FALSE,SUMPRODUCT(--ISNUMBER(SEARCH(","&amp;TRIM(TEXTSPLIT(BM2,","))&amp;",",","&amp;SUBSTITUTE(input_context," ","")&amp;",")))=COUNTA(TEXTSPLIT(BM2,",")))),IF(BO2="",TRUE,IF(input_context="",TRUE,SUMPRODUCT(--ISNUMBER(SEARCH(","&amp;TRIM(TEXTSPLIT(BO2,","))&amp;",",","&amp;SUBSTITUTE(input_context," ","")&amp;",")))=0)),IF(BQ2="",TRUE,IF(input_context="",FALSE,SUMPRODUCT(--ISNUMBER(SEARCH(","&amp;TRIM(TEXTSPLIT(BQ2,","))&amp;",",","&amp;SUBSTITUTE(input_context," ","")&amp;",")))&gt;0)),IF(BS2="",TRUE,IF(input_context="",FALSE,SUMPRODUCT(--ISNUMBER(SEARCH(","&amp;TRIM(TEXTSPLIT(BS2,","))&amp;",",","&amp;SUBSTITUTE(input_context," ","")&amp;",")))=COUNTA(TEXTSPLIT(BS2,",")))))</f>
        <v/>
      </c>
      <c r="IZ2">
        <f>AND(IF(BU2="",TRUE,IF(input_enews_announcement_type="",FALSE,SUMPRODUCT(--ISNUMBER(SEARCH(","&amp;TRIM(TEXTSPLIT(BU2,","))&amp;",",","&amp;SUBSTITUTE(input_enews_announcement_type," ","")&amp;",")))&gt;0)),IF(BW2="",TRUE,IF(input_enews_announcement_type="",FALSE,SUMPRODUCT(--ISNUMBER(SEARCH(","&amp;TRIM(TEXTSPLIT(BW2,","))&amp;",",","&amp;SUBSTITUTE(input_enews_announcement_type," ","")&amp;",")))=COUNTA(TEXTSPLIT(BW2,",")))),IF(BY2="",TRUE,IF(input_enews_announcement_type="",TRUE,SUMPRODUCT(--ISNUMBER(SEARCH(","&amp;TRIM(TEXTSPLIT(BY2,","))&amp;",",","&amp;SUBSTITUTE(input_enews_announcement_type," ","")&amp;",")))=0)),IF(CA2="",TRUE,IF(input_enews_announcement_type="",FALSE,SUMPRODUCT(--ISNUMBER(SEARCH(","&amp;TRIM(TEXTSPLIT(CA2,","))&amp;",",","&amp;SUBSTITUTE(input_enews_announcement_type," ","")&amp;",")))&gt;0)),IF(CC2="",TRUE,IF(input_enews_announcement_type="",FALSE,SUMPRODUCT(--ISNUMBER(SEARCH(","&amp;TRIM(TEXTSPLIT(CC2,","))&amp;",",","&amp;SUBSTITUTE(input_enews_announcement_type," ","")&amp;",")))=COUNTA(TEXTSPLIT(CC2,",")))))</f>
        <v/>
      </c>
      <c r="JA2">
        <f>AND(IF(CE2="",TRUE,IF(input_enews_audience="",FALSE,SUMPRODUCT(--ISNUMBER(SEARCH(","&amp;TRIM(TEXTSPLIT(CE2,","))&amp;",",","&amp;SUBSTITUTE(input_enews_audience," ","")&amp;",")))&gt;0)),IF(CG2="",TRUE,IF(input_enews_audience="",FALSE,SUMPRODUCT(--ISNUMBER(SEARCH(","&amp;TRIM(TEXTSPLIT(CG2,","))&amp;",",","&amp;SUBSTITUTE(input_enews_audience," ","")&amp;",")))=COUNTA(TEXTSPLIT(CG2,",")))),IF(CI2="",TRUE,IF(input_enews_audience="",TRUE,SUMPRODUCT(--ISNUMBER(SEARCH(","&amp;TRIM(TEXTSPLIT(CI2,","))&amp;",",","&amp;SUBSTITUTE(input_enews_audience," ","")&amp;",")))=0)),IF(CK2="",TRUE,IF(input_enews_audience="",FALSE,SUMPRODUCT(--ISNUMBER(SEARCH(","&amp;TRIM(TEXTSPLIT(CK2,","))&amp;",",","&amp;SUBSTITUTE(input_enews_audience," ","")&amp;",")))&gt;0)),IF(CM2="",TRUE,IF(input_enews_audience="",FALSE,SUMPRODUCT(--ISNUMBER(SEARCH(","&amp;TRIM(TEXTSPLIT(CM2,","))&amp;",",","&amp;SUBSTITUTE(input_enews_audience," ","")&amp;",")))=COUNTA(TEXTSPLIT(CM2,",")))))</f>
        <v/>
      </c>
      <c r="JB2">
        <f>AND(IF(CO2="",TRUE,IF(input_event_location="",FALSE,SUMPRODUCT(--ISNUMBER(SEARCH(","&amp;TRIM(TEXTSPLIT(CO2,","))&amp;",",","&amp;SUBSTITUTE(input_event_location," ","")&amp;",")))&gt;0)),IF(CQ2="",TRUE,IF(input_event_location="",FALSE,SUMPRODUCT(--ISNUMBER(SEARCH(","&amp;TRIM(TEXTSPLIT(CQ2,","))&amp;",",","&amp;SUBSTITUTE(input_event_location," ","")&amp;",")))=COUNTA(TEXTSPLIT(CQ2,",")))),IF(CS2="",TRUE,IF(input_event_location="",TRUE,SUMPRODUCT(--ISNUMBER(SEARCH(","&amp;TRIM(TEXTSPLIT(CS2,","))&amp;",",","&amp;SUBSTITUTE(input_event_location," ","")&amp;",")))=0)),IF(CU2="",TRUE,IF(input_event_location="",FALSE,SUMPRODUCT(--ISNUMBER(SEARCH(","&amp;TRIM(TEXTSPLIT(CU2,","))&amp;",",","&amp;SUBSTITUTE(input_event_location," ","")&amp;",")))&gt;0)),IF(CW2="",TRUE,IF(input_event_location="",FALSE,SUMPRODUCT(--ISNUMBER(SEARCH(","&amp;TRIM(TEXTSPLIT(CW2,","))&amp;",",","&amp;SUBSTITUTE(input_event_location," ","")&amp;",")))=COUNTA(TEXTSPLIT(CW2,",")))))</f>
        <v/>
      </c>
      <c r="JC2">
        <f>AND(IF(CY2="",TRUE,IF(input_event_type="",FALSE,SUMPRODUCT(--ISNUMBER(SEARCH(","&amp;TRIM(TEXTSPLIT(CY2,","))&amp;",",","&amp;SUBSTITUTE(input_event_type," ","")&amp;",")))&gt;0)),IF(DA2="",TRUE,IF(input_event_type="",FALSE,SUMPRODUCT(--ISNUMBER(SEARCH(","&amp;TRIM(TEXTSPLIT(DA2,","))&amp;",",","&amp;SUBSTITUTE(input_event_type," ","")&amp;",")))=COUNTA(TEXTSPLIT(DA2,",")))),IF(DC2="",TRUE,IF(input_event_type="",TRUE,SUMPRODUCT(--ISNUMBER(SEARCH(","&amp;TRIM(TEXTSPLIT(DC2,","))&amp;",",","&amp;SUBSTITUTE(input_event_type," ","")&amp;",")))=0)),IF(DE2="",TRUE,IF(input_event_type="",FALSE,SUMPRODUCT(--ISNUMBER(SEARCH(","&amp;TRIM(TEXTSPLIT(DE2,","))&amp;",",","&amp;SUBSTITUTE(input_event_type," ","")&amp;",")))&gt;0)),IF(DG2="",TRUE,IF(input_event_type="",FALSE,SUMPRODUCT(--ISNUMBER(SEARCH(","&amp;TRIM(TEXTSPLIT(DG2,","))&amp;",",","&amp;SUBSTITUTE(input_event_type," ","")&amp;",")))=COUNTA(TEXTSPLIT(DG2,",")))))</f>
        <v/>
      </c>
      <c r="JD2">
        <f>AND(IF(DI2="",TRUE,IF(input_executive_education_focus="",FALSE,SUMPRODUCT(--ISNUMBER(SEARCH(","&amp;TRIM(TEXTSPLIT(DI2,","))&amp;",",","&amp;SUBSTITUTE(input_executive_education_focus," ","")&amp;",")))&gt;0)),IF(DK2="",TRUE,IF(input_executive_education_focus="",FALSE,SUMPRODUCT(--ISNUMBER(SEARCH(","&amp;TRIM(TEXTSPLIT(DK2,","))&amp;",",","&amp;SUBSTITUTE(input_executive_education_focus," ","")&amp;",")))=COUNTA(TEXTSPLIT(DK2,",")))),IF(DM2="",TRUE,IF(input_executive_education_focus="",TRUE,SUMPRODUCT(--ISNUMBER(SEARCH(","&amp;TRIM(TEXTSPLIT(DM2,","))&amp;",",","&amp;SUBSTITUTE(input_executive_education_focus," ","")&amp;",")))=0)),IF(DO2="",TRUE,IF(input_executive_education_focus="",FALSE,SUMPRODUCT(--ISNUMBER(SEARCH(","&amp;TRIM(TEXTSPLIT(DO2,","))&amp;",",","&amp;SUBSTITUTE(input_executive_education_focus," ","")&amp;",")))&gt;0)),IF(DQ2="",TRUE,IF(input_executive_education_focus="",FALSE,SUMPRODUCT(--ISNUMBER(SEARCH(","&amp;TRIM(TEXTSPLIT(DQ2,","))&amp;",",","&amp;SUBSTITUTE(input_executive_education_focus," ","")&amp;",")))=COUNTA(TEXTSPLIT(DQ2,",")))))</f>
        <v/>
      </c>
      <c r="JE2">
        <f>AND(IF(DS2="",TRUE,IF(input_faculty_category="",FALSE,SUMPRODUCT(--ISNUMBER(SEARCH(","&amp;TRIM(TEXTSPLIT(DS2,","))&amp;",",","&amp;SUBSTITUTE(input_faculty_category," ","")&amp;",")))&gt;0)),IF(DU2="",TRUE,IF(input_faculty_category="",FALSE,SUMPRODUCT(--ISNUMBER(SEARCH(","&amp;TRIM(TEXTSPLIT(DU2,","))&amp;",",","&amp;SUBSTITUTE(input_faculty_category," ","")&amp;",")))=COUNTA(TEXTSPLIT(DU2,",")))),IF(DW2="",TRUE,IF(input_faculty_category="",TRUE,SUMPRODUCT(--ISNUMBER(SEARCH(","&amp;TRIM(TEXTSPLIT(DW2,","))&amp;",",","&amp;SUBSTITUTE(input_faculty_category," ","")&amp;",")))=0)),IF(DY2="",TRUE,IF(input_faculty_category="",FALSE,SUMPRODUCT(--ISNUMBER(SEARCH(","&amp;TRIM(TEXTSPLIT(DY2,","))&amp;",",","&amp;SUBSTITUTE(input_faculty_category," ","")&amp;",")))&gt;0)),IF(EA2="",TRUE,IF(input_faculty_category="",FALSE,SUMPRODUCT(--ISNUMBER(SEARCH(","&amp;TRIM(TEXTSPLIT(EA2,","))&amp;",",","&amp;SUBSTITUTE(input_faculty_category," ","")&amp;",")))=COUNTA(TEXTSPLIT(EA2,",")))))</f>
        <v/>
      </c>
      <c r="JF2">
        <f>AND(IF(EC2="",TRUE,IF(input_faculty_discipline="",FALSE,SUMPRODUCT(--ISNUMBER(SEARCH(","&amp;TRIM(TEXTSPLIT(EC2,","))&amp;",",","&amp;SUBSTITUTE(input_faculty_discipline," ","")&amp;",")))&gt;0)),IF(EE2="",TRUE,IF(input_faculty_discipline="",FALSE,SUMPRODUCT(--ISNUMBER(SEARCH(","&amp;TRIM(TEXTSPLIT(EE2,","))&amp;",",","&amp;SUBSTITUTE(input_faculty_discipline," ","")&amp;",")))=COUNTA(TEXTSPLIT(EE2,",")))),IF(EG2="",TRUE,IF(input_faculty_discipline="",TRUE,SUMPRODUCT(--ISNUMBER(SEARCH(","&amp;TRIM(TEXTSPLIT(EG2,","))&amp;",",","&amp;SUBSTITUTE(input_faculty_discipline," ","")&amp;",")))=0)),IF(EI2="",TRUE,IF(input_faculty_discipline="",FALSE,SUMPRODUCT(--ISNUMBER(SEARCH(","&amp;TRIM(TEXTSPLIT(EI2,","))&amp;",",","&amp;SUBSTITUTE(input_faculty_discipline," ","")&amp;",")))&gt;0)),IF(EK2="",TRUE,IF(input_faculty_discipline="",FALSE,SUMPRODUCT(--ISNUMBER(SEARCH(","&amp;TRIM(TEXTSPLIT(EK2,","))&amp;",",","&amp;SUBSTITUTE(input_faculty_discipline," ","")&amp;",")))=COUNTA(TEXTSPLIT(EK2,",")))))</f>
        <v/>
      </c>
      <c r="JG2">
        <f>AND(IF(EM2="",TRUE,IF(input_faculty_expertise="",FALSE,SUMPRODUCT(--ISNUMBER(SEARCH(","&amp;TRIM(TEXTSPLIT(EM2,","))&amp;",",","&amp;SUBSTITUTE(input_faculty_expertise," ","")&amp;",")))&gt;0)),IF(EO2="",TRUE,IF(input_faculty_expertise="",FALSE,SUMPRODUCT(--ISNUMBER(SEARCH(","&amp;TRIM(TEXTSPLIT(EO2,","))&amp;",",","&amp;SUBSTITUTE(input_faculty_expertise," ","")&amp;",")))=COUNTA(TEXTSPLIT(EO2,",")))),IF(EQ2="",TRUE,IF(input_faculty_expertise="",TRUE,SUMPRODUCT(--ISNUMBER(SEARCH(","&amp;TRIM(TEXTSPLIT(EQ2,","))&amp;",",","&amp;SUBSTITUTE(input_faculty_expertise," ","")&amp;",")))=0)),IF(ES2="",TRUE,IF(input_faculty_expertise="",FALSE,SUMPRODUCT(--ISNUMBER(SEARCH(","&amp;TRIM(TEXTSPLIT(ES2,","))&amp;",",","&amp;SUBSTITUTE(input_faculty_expertise," ","")&amp;",")))&gt;0)),IF(EU2="",TRUE,IF(input_faculty_expertise="",FALSE,SUMPRODUCT(--ISNUMBER(SEARCH(","&amp;TRIM(TEXTSPLIT(EU2,","))&amp;",",","&amp;SUBSTITUTE(input_faculty_expertise," ","")&amp;",")))=COUNTA(TEXTSPLIT(EU2,",")))))</f>
        <v/>
      </c>
      <c r="JH2">
        <f>AND(IF(EW2="",TRUE,IF(input_global_network_school="",FALSE,SUMPRODUCT(--ISNUMBER(SEARCH(","&amp;TRIM(TEXTSPLIT(EW2,","))&amp;",",","&amp;SUBSTITUTE(input_global_network_school," ","")&amp;",")))&gt;0)),IF(EY2="",TRUE,IF(input_global_network_school="",FALSE,SUMPRODUCT(--ISNUMBER(SEARCH(","&amp;TRIM(TEXTSPLIT(EY2,","))&amp;",",","&amp;SUBSTITUTE(input_global_network_school," ","")&amp;",")))=COUNTA(TEXTSPLIT(EY2,",")))),IF(FA2="",TRUE,IF(input_global_network_school="",TRUE,SUMPRODUCT(--ISNUMBER(SEARCH(","&amp;TRIM(TEXTSPLIT(FA2,","))&amp;",",","&amp;SUBSTITUTE(input_global_network_school," ","")&amp;",")))=0)),IF(FC2="",TRUE,IF(input_global_network_school="",FALSE,SUMPRODUCT(--ISNUMBER(SEARCH(","&amp;TRIM(TEXTSPLIT(FC2,","))&amp;",",","&amp;SUBSTITUTE(input_global_network_school," ","")&amp;",")))&gt;0)),IF(FE2="",TRUE,IF(input_global_network_school="",FALSE,SUMPRODUCT(--ISNUMBER(SEARCH(","&amp;TRIM(TEXTSPLIT(FE2,","))&amp;",",","&amp;SUBSTITUTE(input_global_network_school," ","")&amp;",")))=COUNTA(TEXTSPLIT(FE2,",")))))</f>
        <v/>
      </c>
      <c r="JI2">
        <f>AND(IF(FG2="",TRUE,IF(input_industry="",FALSE,SUMPRODUCT(--ISNUMBER(SEARCH(","&amp;TRIM(TEXTSPLIT(FG2,","))&amp;",",","&amp;SUBSTITUTE(input_industry," ","")&amp;",")))&gt;0)),IF(FI2="",TRUE,IF(input_industry="",FALSE,SUMPRODUCT(--ISNUMBER(SEARCH(","&amp;TRIM(TEXTSPLIT(FI2,","))&amp;",",","&amp;SUBSTITUTE(input_industry," ","")&amp;",")))=COUNTA(TEXTSPLIT(FI2,",")))),IF(FK2="",TRUE,IF(input_industry="",TRUE,SUMPRODUCT(--ISNUMBER(SEARCH(","&amp;TRIM(TEXTSPLIT(FK2,","))&amp;",",","&amp;SUBSTITUTE(input_industry," ","")&amp;",")))=0)),IF(FM2="",TRUE,IF(input_industry="",FALSE,SUMPRODUCT(--ISNUMBER(SEARCH(","&amp;TRIM(TEXTSPLIT(FM2,","))&amp;",",","&amp;SUBSTITUTE(input_industry," ","")&amp;",")))&gt;0)),IF(FO2="",TRUE,IF(input_industry="",FALSE,SUMPRODUCT(--ISNUMBER(SEARCH(","&amp;TRIM(TEXTSPLIT(FO2,","))&amp;",",","&amp;SUBSTITUTE(input_industry," ","")&amp;",")))=COUNTA(TEXTSPLIT(FO2,",")))))</f>
        <v/>
      </c>
      <c r="JJ2">
        <f>AND(IF(FQ2="",TRUE,IF(input_location="",FALSE,SUMPRODUCT(--ISNUMBER(SEARCH(","&amp;TRIM(TEXTSPLIT(FQ2,","))&amp;",",","&amp;SUBSTITUTE(input_location," ","")&amp;",")))&gt;0)),IF(FS2="",TRUE,IF(input_location="",FALSE,SUMPRODUCT(--ISNUMBER(SEARCH(","&amp;TRIM(TEXTSPLIT(FS2,","))&amp;",",","&amp;SUBSTITUTE(input_location," ","")&amp;",")))=COUNTA(TEXTSPLIT(FS2,",")))),IF(FU2="",TRUE,IF(input_location="",TRUE,SUMPRODUCT(--ISNUMBER(SEARCH(","&amp;TRIM(TEXTSPLIT(FU2,","))&amp;",",","&amp;SUBSTITUTE(input_location," ","")&amp;",")))=0)),IF(FW2="",TRUE,IF(input_location="",FALSE,SUMPRODUCT(--ISNUMBER(SEARCH(","&amp;TRIM(TEXTSPLIT(FW2,","))&amp;",",","&amp;SUBSTITUTE(input_location," ","")&amp;",")))&gt;0)),IF(FY2="",TRUE,IF(input_location="",FALSE,SUMPRODUCT(--ISNUMBER(SEARCH(","&amp;TRIM(TEXTSPLIT(FY2,","))&amp;",",","&amp;SUBSTITUTE(input_location," ","")&amp;",")))=COUNTA(TEXTSPLIT(FY2,",")))))</f>
        <v/>
      </c>
      <c r="JK2">
        <f>AND(IF(GA2="",TRUE,IF(input_modality="",FALSE,SUMPRODUCT(--ISNUMBER(SEARCH(","&amp;TRIM(TEXTSPLIT(GA2,","))&amp;",",","&amp;SUBSTITUTE(input_modality," ","")&amp;",")))&gt;0)),IF(GC2="",TRUE,IF(input_modality="",FALSE,SUMPRODUCT(--ISNUMBER(SEARCH(","&amp;TRIM(TEXTSPLIT(GC2,","))&amp;",",","&amp;SUBSTITUTE(input_modality," ","")&amp;",")))=COUNTA(TEXTSPLIT(GC2,",")))),IF(GE2="",TRUE,IF(input_modality="",TRUE,SUMPRODUCT(--ISNUMBER(SEARCH(","&amp;TRIM(TEXTSPLIT(GE2,","))&amp;",",","&amp;SUBSTITUTE(input_modality," ","")&amp;",")))=0)),IF(GG2="",TRUE,IF(input_modality="",FALSE,SUMPRODUCT(--ISNUMBER(SEARCH(","&amp;TRIM(TEXTSPLIT(GG2,","))&amp;",",","&amp;SUBSTITUTE(input_modality," ","")&amp;",")))&gt;0)),IF(GI2="",TRUE,IF(input_modality="",FALSE,SUMPRODUCT(--ISNUMBER(SEARCH(","&amp;TRIM(TEXTSPLIT(GI2,","))&amp;",",","&amp;SUBSTITUTE(input_modality," ","")&amp;",")))=COUNTA(TEXTSPLIT(GI2,",")))))</f>
        <v/>
      </c>
      <c r="JL2">
        <f>AND(IF(GK2="",TRUE,IF(input_organizer="",FALSE,SUMPRODUCT(--ISNUMBER(SEARCH(","&amp;TRIM(TEXTSPLIT(GK2,","))&amp;",",","&amp;SUBSTITUTE(input_organizer," ","")&amp;",")))&gt;0)),IF(GM2="",TRUE,IF(input_organizer="",FALSE,SUMPRODUCT(--ISNUMBER(SEARCH(","&amp;TRIM(TEXTSPLIT(GM2,","))&amp;",",","&amp;SUBSTITUTE(input_organizer," ","")&amp;",")))=COUNTA(TEXTSPLIT(GM2,",")))),IF(GO2="",TRUE,IF(input_organizer="",TRUE,SUMPRODUCT(--ISNUMBER(SEARCH(","&amp;TRIM(TEXTSPLIT(GO2,","))&amp;",",","&amp;SUBSTITUTE(input_organizer," ","")&amp;",")))=0)),IF(GQ2="",TRUE,IF(input_organizer="",FALSE,SUMPRODUCT(--ISNUMBER(SEARCH(","&amp;TRIM(TEXTSPLIT(GQ2,","))&amp;",",","&amp;SUBSTITUTE(input_organizer," ","")&amp;",")))&gt;0)),IF(GS2="",TRUE,IF(input_organizer="",FALSE,SUMPRODUCT(--ISNUMBER(SEARCH(","&amp;TRIM(TEXTSPLIT(GS2,","))&amp;",",","&amp;SUBSTITUTE(input_organizer," ","")&amp;",")))=COUNTA(TEXTSPLIT(GS2,",")))))</f>
        <v/>
      </c>
      <c r="JM2">
        <f>AND(IF(GU2="",TRUE,IF(input_profile_type="",FALSE,SUMPRODUCT(--ISNUMBER(SEARCH(","&amp;TRIM(TEXTSPLIT(GU2,","))&amp;",",","&amp;SUBSTITUTE(input_profile_type," ","")&amp;",")))&gt;0)),IF(GW2="",TRUE,IF(input_profile_type="",FALSE,SUMPRODUCT(--ISNUMBER(SEARCH(","&amp;TRIM(TEXTSPLIT(GW2,","))&amp;",",","&amp;SUBSTITUTE(input_profile_type," ","")&amp;",")))=COUNTA(TEXTSPLIT(GW2,",")))),IF(GY2="",TRUE,IF(input_profile_type="",TRUE,SUMPRODUCT(--ISNUMBER(SEARCH(","&amp;TRIM(TEXTSPLIT(GY2,","))&amp;",",","&amp;SUBSTITUTE(input_profile_type," ","")&amp;",")))=0)),IF(HA2="",TRUE,IF(input_profile_type="",FALSE,SUMPRODUCT(--ISNUMBER(SEARCH(","&amp;TRIM(TEXTSPLIT(HA2,","))&amp;",",","&amp;SUBSTITUTE(input_profile_type," ","")&amp;",")))&gt;0)),IF(HC2="",TRUE,IF(input_profile_type="",FALSE,SUMPRODUCT(--ISNUMBER(SEARCH(","&amp;TRIM(TEXTSPLIT(HC2,","))&amp;",",","&amp;SUBSTITUTE(input_profile_type," ","")&amp;",")))=COUNTA(TEXTSPLIT(HC2,",")))))</f>
        <v/>
      </c>
      <c r="JN2">
        <f>AND(IF(HE2="",TRUE,IF(input_program="",FALSE,SUMPRODUCT(--ISNUMBER(SEARCH(","&amp;TRIM(TEXTSPLIT(HE2,","))&amp;",",","&amp;SUBSTITUTE(input_program," ","")&amp;",")))&gt;0)),IF(HG2="",TRUE,IF(input_program="",FALSE,SUMPRODUCT(--ISNUMBER(SEARCH(","&amp;TRIM(TEXTSPLIT(HG2,","))&amp;",",","&amp;SUBSTITUTE(input_program," ","")&amp;",")))=COUNTA(TEXTSPLIT(HG2,",")))),IF(HI2="",TRUE,IF(input_program="",TRUE,SUMPRODUCT(--ISNUMBER(SEARCH(","&amp;TRIM(TEXTSPLIT(HI2,","))&amp;",",","&amp;SUBSTITUTE(input_program," ","")&amp;",")))=0)),IF(HK2="",TRUE,IF(input_program="",FALSE,SUMPRODUCT(--ISNUMBER(SEARCH(","&amp;TRIM(TEXTSPLIT(HK2,","))&amp;",",","&amp;SUBSTITUTE(input_program," ","")&amp;",")))&gt;0)),IF(HM2="",TRUE,IF(input_program="",FALSE,SUMPRODUCT(--ISNUMBER(SEARCH(","&amp;TRIM(TEXTSPLIT(HM2,","))&amp;",",","&amp;SUBSTITUTE(input_program," ","")&amp;",")))=COUNTA(TEXTSPLIT(HM2,",")))))</f>
        <v/>
      </c>
      <c r="JO2">
        <f>AND(IF(HO2="",TRUE,IF(input_story_categories="",FALSE,SUMPRODUCT(--ISNUMBER(SEARCH(","&amp;TRIM(TEXTSPLIT(HO2,","))&amp;",",","&amp;SUBSTITUTE(input_story_categories," ","")&amp;",")))&gt;0)),IF(HQ2="",TRUE,IF(input_story_categories="",FALSE,SUMPRODUCT(--ISNUMBER(SEARCH(","&amp;TRIM(TEXTSPLIT(HQ2,","))&amp;",",","&amp;SUBSTITUTE(input_story_categories," ","")&amp;",")))=COUNTA(TEXTSPLIT(HQ2,",")))),IF(HS2="",TRUE,IF(input_story_categories="",TRUE,SUMPRODUCT(--ISNUMBER(SEARCH(","&amp;TRIM(TEXTSPLIT(HS2,","))&amp;",",","&amp;SUBSTITUTE(input_story_categories," ","")&amp;",")))=0)),IF(HU2="",TRUE,IF(input_story_categories="",FALSE,SUMPRODUCT(--ISNUMBER(SEARCH(","&amp;TRIM(TEXTSPLIT(HU2,","))&amp;",",","&amp;SUBSTITUTE(input_story_categories," ","")&amp;",")))&gt;0)),IF(HW2="",TRUE,IF(input_story_categories="",FALSE,SUMPRODUCT(--ISNUMBER(SEARCH(","&amp;TRIM(TEXTSPLIT(HW2,","))&amp;",",","&amp;SUBSTITUTE(input_story_categories," ","")&amp;",")))=COUNTA(TEXTSPLIT(HW2,",")))))</f>
        <v/>
      </c>
      <c r="JP2">
        <f>AND(IF(HY2="",TRUE,IF(input_story_type="",FALSE,SUMPRODUCT(--ISNUMBER(SEARCH(","&amp;TRIM(TEXTSPLIT(HY2,","))&amp;",",","&amp;SUBSTITUTE(input_story_type," ","")&amp;",")))&gt;0)),IF(IA2="",TRUE,IF(input_story_type="",FALSE,SUMPRODUCT(--ISNUMBER(SEARCH(","&amp;TRIM(TEXTSPLIT(IA2,","))&amp;",",","&amp;SUBSTITUTE(input_story_type," ","")&amp;",")))=COUNTA(TEXTSPLIT(IA2,",")))),IF(IC2="",TRUE,IF(input_story_type="",TRUE,SUMPRODUCT(--ISNUMBER(SEARCH(","&amp;TRIM(TEXTSPLIT(IC2,","))&amp;",",","&amp;SUBSTITUTE(input_story_type," ","")&amp;",")))=0)),IF(IE2="",TRUE,IF(input_story_type="",FALSE,SUMPRODUCT(--ISNUMBER(SEARCH(","&amp;TRIM(TEXTSPLIT(IE2,","))&amp;",",","&amp;SUBSTITUTE(input_story_type," ","")&amp;",")))&gt;0)),IF(IG2="",TRUE,IF(input_story_type="",FALSE,SUMPRODUCT(--ISNUMBER(SEARCH(","&amp;TRIM(TEXTSPLIT(IG2,","))&amp;",",","&amp;SUBSTITUTE(input_story_type," ","")&amp;",")))=COUNTA(TEXTSPLIT(IG2,",")))))</f>
        <v/>
      </c>
      <c r="JQ2">
        <f>AND(IF(II2="",TRUE,IF(input_topics="",FALSE,SUMPRODUCT(--ISNUMBER(SEARCH(","&amp;TRIM(TEXTSPLIT(II2,","))&amp;",",","&amp;SUBSTITUTE(input_topics," ","")&amp;",")))&gt;0)),IF(IK2="",TRUE,IF(input_topics="",FALSE,SUMPRODUCT(--ISNUMBER(SEARCH(","&amp;TRIM(TEXTSPLIT(IK2,","))&amp;",",","&amp;SUBSTITUTE(input_topics," ","")&amp;",")))=COUNTA(TEXTSPLIT(IK2,",")))),IF(IM2="",TRUE,IF(input_topics="",TRUE,SUMPRODUCT(--ISNUMBER(SEARCH(","&amp;TRIM(TEXTSPLIT(IM2,","))&amp;",",","&amp;SUBSTITUTE(input_topics," ","")&amp;",")))=0)),IF(IO2="",TRUE,IF(input_topics="",FALSE,SUMPRODUCT(--ISNUMBER(SEARCH(","&amp;TRIM(TEXTSPLIT(IO2,","))&amp;",",","&amp;SUBSTITUTE(input_topics," ","")&amp;",")))&gt;0)),IF(IQ2="",TRUE,IF(input_topics="",FALSE,SUMPRODUCT(--ISNUMBER(SEARCH(","&amp;TRIM(TEXTSPLIT(IQ2,","))&amp;",",","&amp;SUBSTITUTE(input_topics," ","")&amp;",")))=COUNTA(TEXTSPLIT(IQ2,",")))))</f>
        <v/>
      </c>
    </row>
    <row r="3">
      <c r="A3" s="4">
        <f>IF(NOT(IS3),"Excluded",IF(AND(IT3,IU3,IV3,IW3,IX3,IY3,IZ3,JA3,JB3,JC3,JD3,JE3,JF3,JG3,JH3,JI3,JJ3,JK3,JL3,JM3,JN3,JO3,JP3,JQ3),IF(I3&gt;0,"Eligible but limited","Will appear"),"Excluded"))</f>
        <v/>
      </c>
      <c r="B3" s="4" t="inlineStr">
        <is>
          <t>A Day in the Life</t>
        </is>
      </c>
      <c r="C3" s="4" t="inlineStr">
        <is>
          <t>/programs/mba/student-experience/day-life</t>
        </is>
      </c>
      <c r="D3" s="4" t="inlineStr">
        <is>
          <t>/programs/mba/student-experience/day-life</t>
        </is>
      </c>
      <c r="E3" s="4" t="n">
        <v>1</v>
      </c>
      <c r="F3" s="4" t="inlineStr">
        <is>
          <t>story</t>
        </is>
      </c>
      <c r="G3" s="4" t="inlineStr">
        <is>
          <t>stories_list</t>
        </is>
      </c>
      <c r="H3" s="4" t="inlineStr">
        <is>
          <t>embed_1</t>
        </is>
      </c>
      <c r="I3" s="4" t="n">
        <v>10</v>
      </c>
      <c r="J3" s="4" t="inlineStr">
        <is>
          <t>Explicit args</t>
        </is>
      </c>
      <c r="K3" s="4" t="inlineStr">
        <is>
          <t>Page placement</t>
        </is>
      </c>
      <c r="L3" s="4" t="inlineStr">
        <is>
          <t>Content type: story; Context needs all Courses Context: Day in the Life (1485), MBA (92); Limited to 10 item(s); Source: Explicit args</t>
        </is>
      </c>
      <c r="M3" t="inlineStr"/>
      <c r="N3" t="inlineStr"/>
      <c r="O3" t="inlineStr"/>
      <c r="P3" t="inlineStr"/>
      <c r="Q3" t="inlineStr"/>
      <c r="R3" t="inlineStr"/>
      <c r="S3" t="inlineStr"/>
      <c r="T3" t="inlineStr"/>
      <c r="U3" t="inlineStr"/>
      <c r="V3" t="inlineStr"/>
      <c r="W3" t="inlineStr"/>
      <c r="X3" t="inlineStr"/>
      <c r="Y3" t="inlineStr"/>
      <c r="Z3" t="inlineStr"/>
      <c r="AA3" t="inlineStr"/>
      <c r="AB3" t="inlineStr"/>
      <c r="AC3" t="inlineStr"/>
      <c r="AD3" t="inlineStr"/>
      <c r="AE3" t="inlineStr"/>
      <c r="AF3" t="inlineStr"/>
      <c r="AG3" t="inlineStr"/>
      <c r="AH3" t="inlineStr"/>
      <c r="AI3" t="inlineStr"/>
      <c r="AJ3" t="inlineStr"/>
      <c r="AK3" t="inlineStr"/>
      <c r="AL3" t="inlineStr"/>
      <c r="AM3" t="inlineStr"/>
      <c r="AN3" t="inlineStr"/>
      <c r="AO3" t="inlineStr"/>
      <c r="AP3" t="inlineStr"/>
      <c r="AQ3" t="inlineStr"/>
      <c r="AR3" t="inlineStr"/>
      <c r="AS3" t="inlineStr"/>
      <c r="AT3" t="inlineStr"/>
      <c r="AU3" t="inlineStr"/>
      <c r="AV3" t="inlineStr"/>
      <c r="AW3" t="inlineStr"/>
      <c r="AX3" t="inlineStr"/>
      <c r="AY3" t="inlineStr"/>
      <c r="AZ3" t="inlineStr"/>
      <c r="BA3" t="inlineStr"/>
      <c r="BB3" t="inlineStr"/>
      <c r="BC3" t="inlineStr"/>
      <c r="BD3" t="inlineStr"/>
      <c r="BE3" t="inlineStr"/>
      <c r="BF3" t="inlineStr"/>
      <c r="BG3" t="inlineStr"/>
      <c r="BH3" t="inlineStr"/>
      <c r="BI3" t="inlineStr"/>
      <c r="BJ3" t="inlineStr"/>
      <c r="BK3" t="inlineStr"/>
      <c r="BL3" t="inlineStr"/>
      <c r="BM3" t="inlineStr"/>
      <c r="BN3" t="inlineStr"/>
      <c r="BO3" t="inlineStr"/>
      <c r="BP3" t="inlineStr"/>
      <c r="BQ3" t="inlineStr"/>
      <c r="BR3" t="inlineStr"/>
      <c r="BS3" t="inlineStr">
        <is>
          <t>1485, 92</t>
        </is>
      </c>
      <c r="BT3" t="inlineStr">
        <is>
          <t>Day in the Life (1485), MBA (92)</t>
        </is>
      </c>
      <c r="BU3" t="inlineStr"/>
      <c r="BV3" t="inlineStr"/>
      <c r="BW3" t="inlineStr"/>
      <c r="BX3" t="inlineStr"/>
      <c r="BY3" t="inlineStr"/>
      <c r="BZ3" t="inlineStr"/>
      <c r="CA3" t="inlineStr"/>
      <c r="CB3" t="inlineStr"/>
      <c r="CC3" t="inlineStr"/>
      <c r="CD3" t="inlineStr"/>
      <c r="CE3" t="inlineStr"/>
      <c r="CF3" t="inlineStr"/>
      <c r="CG3" t="inlineStr"/>
      <c r="CH3" t="inlineStr"/>
      <c r="CI3" t="inlineStr"/>
      <c r="CJ3" t="inlineStr"/>
      <c r="CK3" t="inlineStr"/>
      <c r="CL3" t="inlineStr"/>
      <c r="CM3" t="inlineStr"/>
      <c r="CN3" t="inlineStr"/>
      <c r="CO3" t="inlineStr"/>
      <c r="CP3" t="inlineStr"/>
      <c r="CQ3" t="inlineStr"/>
      <c r="CR3" t="inlineStr"/>
      <c r="CS3" t="inlineStr"/>
      <c r="CT3" t="inlineStr"/>
      <c r="CU3" t="inlineStr"/>
      <c r="CV3" t="inlineStr"/>
      <c r="CW3" t="inlineStr"/>
      <c r="CX3" t="inlineStr"/>
      <c r="CY3" t="inlineStr"/>
      <c r="CZ3" t="inlineStr"/>
      <c r="DA3" t="inlineStr"/>
      <c r="DB3" t="inlineStr"/>
      <c r="DC3" t="inlineStr"/>
      <c r="DD3" t="inlineStr"/>
      <c r="DE3" t="inlineStr"/>
      <c r="DF3" t="inlineStr"/>
      <c r="DG3" t="inlineStr"/>
      <c r="DH3" t="inlineStr"/>
      <c r="DI3" t="inlineStr"/>
      <c r="DJ3" t="inlineStr"/>
      <c r="DK3" t="inlineStr"/>
      <c r="DL3" t="inlineStr"/>
      <c r="DM3" t="inlineStr"/>
      <c r="DN3" t="inlineStr"/>
      <c r="DO3" t="inlineStr"/>
      <c r="DP3" t="inlineStr"/>
      <c r="DQ3" t="inlineStr"/>
      <c r="DR3" t="inlineStr"/>
      <c r="DS3" t="inlineStr"/>
      <c r="DT3" t="inlineStr"/>
      <c r="DU3" t="inlineStr"/>
      <c r="DV3" t="inlineStr"/>
      <c r="DW3" t="inlineStr"/>
      <c r="DX3" t="inlineStr"/>
      <c r="DY3" t="inlineStr"/>
      <c r="DZ3" t="inlineStr"/>
      <c r="EA3" t="inlineStr"/>
      <c r="EB3" t="inlineStr"/>
      <c r="EC3" t="inlineStr"/>
      <c r="ED3" t="inlineStr"/>
      <c r="EE3" t="inlineStr"/>
      <c r="EF3" t="inlineStr"/>
      <c r="EG3" t="inlineStr"/>
      <c r="EH3" t="inlineStr"/>
      <c r="EI3" t="inlineStr"/>
      <c r="EJ3" t="inlineStr"/>
      <c r="EK3" t="inlineStr"/>
      <c r="EL3" t="inlineStr"/>
      <c r="EM3" t="inlineStr"/>
      <c r="EN3" t="inlineStr"/>
      <c r="EO3" t="inlineStr"/>
      <c r="EP3" t="inlineStr"/>
      <c r="EQ3" t="inlineStr"/>
      <c r="ER3" t="inlineStr"/>
      <c r="ES3" t="inlineStr"/>
      <c r="ET3" t="inlineStr"/>
      <c r="EU3" t="inlineStr"/>
      <c r="EV3" t="inlineStr"/>
      <c r="EW3" t="inlineStr"/>
      <c r="EX3" t="inlineStr"/>
      <c r="EY3" t="inlineStr"/>
      <c r="EZ3" t="inlineStr"/>
      <c r="FA3" t="inlineStr"/>
      <c r="FB3" t="inlineStr"/>
      <c r="FC3" t="inlineStr"/>
      <c r="FD3" t="inlineStr"/>
      <c r="FE3" t="inlineStr"/>
      <c r="FF3" t="inlineStr"/>
      <c r="FG3" t="inlineStr"/>
      <c r="FH3" t="inlineStr"/>
      <c r="FI3" t="inlineStr"/>
      <c r="FJ3" t="inlineStr"/>
      <c r="FK3" t="inlineStr"/>
      <c r="FL3" t="inlineStr"/>
      <c r="FM3" t="inlineStr"/>
      <c r="FN3" t="inlineStr"/>
      <c r="FO3" t="inlineStr"/>
      <c r="FP3" t="inlineStr"/>
      <c r="FQ3" t="inlineStr"/>
      <c r="FR3" t="inlineStr"/>
      <c r="FS3" t="inlineStr"/>
      <c r="FT3" t="inlineStr"/>
      <c r="FU3" t="inlineStr"/>
      <c r="FV3" t="inlineStr"/>
      <c r="FW3" t="inlineStr"/>
      <c r="FX3" t="inlineStr"/>
      <c r="FY3" t="inlineStr"/>
      <c r="FZ3" t="inlineStr"/>
      <c r="GA3" t="inlineStr"/>
      <c r="GB3" t="inlineStr"/>
      <c r="GC3" t="inlineStr"/>
      <c r="GD3" t="inlineStr"/>
      <c r="GE3" t="inlineStr"/>
      <c r="GF3" t="inlineStr"/>
      <c r="GG3" t="inlineStr"/>
      <c r="GH3" t="inlineStr"/>
      <c r="GI3" t="inlineStr"/>
      <c r="GJ3" t="inlineStr"/>
      <c r="GK3" t="inlineStr"/>
      <c r="GL3" t="inlineStr"/>
      <c r="GM3" t="inlineStr"/>
      <c r="GN3" t="inlineStr"/>
      <c r="GO3" t="inlineStr"/>
      <c r="GP3" t="inlineStr"/>
      <c r="GQ3" t="inlineStr"/>
      <c r="GR3" t="inlineStr"/>
      <c r="GS3" t="inlineStr"/>
      <c r="GT3" t="inlineStr"/>
      <c r="GU3" t="inlineStr"/>
      <c r="GV3" t="inlineStr"/>
      <c r="GW3" t="inlineStr"/>
      <c r="GX3" t="inlineStr"/>
      <c r="GY3" t="inlineStr"/>
      <c r="GZ3" t="inlineStr"/>
      <c r="HA3" t="inlineStr"/>
      <c r="HB3" t="inlineStr"/>
      <c r="HC3" t="inlineStr"/>
      <c r="HD3" t="inlineStr"/>
      <c r="HE3" t="inlineStr"/>
      <c r="HF3" t="inlineStr"/>
      <c r="HG3" t="inlineStr"/>
      <c r="HH3" t="inlineStr"/>
      <c r="HI3" t="inlineStr"/>
      <c r="HJ3" t="inlineStr"/>
      <c r="HK3" t="inlineStr"/>
      <c r="HL3" t="inlineStr"/>
      <c r="HM3" t="inlineStr"/>
      <c r="HN3" t="inlineStr"/>
      <c r="HO3" t="inlineStr"/>
      <c r="HP3" t="inlineStr"/>
      <c r="HQ3" t="inlineStr"/>
      <c r="HR3" t="inlineStr"/>
      <c r="HS3" t="inlineStr"/>
      <c r="HT3" t="inlineStr"/>
      <c r="HU3" t="inlineStr"/>
      <c r="HV3" t="inlineStr"/>
      <c r="HW3" t="inlineStr"/>
      <c r="HX3" t="inlineStr"/>
      <c r="HY3" t="inlineStr"/>
      <c r="HZ3" t="inlineStr"/>
      <c r="IA3" t="inlineStr"/>
      <c r="IB3" t="inlineStr"/>
      <c r="IC3" t="inlineStr"/>
      <c r="ID3" t="inlineStr"/>
      <c r="IE3" t="inlineStr"/>
      <c r="IF3" t="inlineStr"/>
      <c r="IG3" t="inlineStr"/>
      <c r="IH3" t="inlineStr"/>
      <c r="II3" t="inlineStr"/>
      <c r="IJ3" t="inlineStr"/>
      <c r="IK3" t="inlineStr"/>
      <c r="IL3" t="inlineStr"/>
      <c r="IM3" t="inlineStr"/>
      <c r="IN3" t="inlineStr"/>
      <c r="IO3" t="inlineStr"/>
      <c r="IP3" t="inlineStr"/>
      <c r="IQ3" t="inlineStr"/>
      <c r="IR3" t="inlineStr"/>
      <c r="IS3">
        <f>IF(input_content_type="",FALSE,ISNUMBER(SEARCH(","&amp;LOWER(input_content_type)&amp;",",","&amp;LOWER(F3)&amp;",")))</f>
        <v/>
      </c>
      <c r="IT3">
        <f>AND(IF(M3="",TRUE,IF(input_affiliations="",FALSE,SUMPRODUCT(--ISNUMBER(SEARCH(","&amp;TRIM(TEXTSPLIT(M3,","))&amp;",",","&amp;SUBSTITUTE(input_affiliations," ","")&amp;",")))&gt;0)),IF(O3="",TRUE,IF(input_affiliations="",FALSE,SUMPRODUCT(--ISNUMBER(SEARCH(","&amp;TRIM(TEXTSPLIT(O3,","))&amp;",",","&amp;SUBSTITUTE(input_affiliations," ","")&amp;",")))=COUNTA(TEXTSPLIT(O3,",")))),IF(Q3="",TRUE,IF(input_affiliations="",TRUE,SUMPRODUCT(--ISNUMBER(SEARCH(","&amp;TRIM(TEXTSPLIT(Q3,","))&amp;",",","&amp;SUBSTITUTE(input_affiliations," ","")&amp;",")))=0)),IF(S3="",TRUE,IF(input_affiliations="",FALSE,SUMPRODUCT(--ISNUMBER(SEARCH(","&amp;TRIM(TEXTSPLIT(S3,","))&amp;",",","&amp;SUBSTITUTE(input_affiliations," ","")&amp;",")))&gt;0)),IF(U3="",TRUE,IF(input_affiliations="",FALSE,SUMPRODUCT(--ISNUMBER(SEARCH(","&amp;TRIM(TEXTSPLIT(U3,","))&amp;",",","&amp;SUBSTITUTE(input_affiliations," ","")&amp;",")))=COUNTA(TEXTSPLIT(U3,",")))))</f>
        <v/>
      </c>
      <c r="IU3">
        <f>AND(IF(W3="",TRUE,IF(input_announcement_category="",FALSE,SUMPRODUCT(--ISNUMBER(SEARCH(","&amp;TRIM(TEXTSPLIT(W3,","))&amp;",",","&amp;SUBSTITUTE(input_announcement_category," ","")&amp;",")))&gt;0)),IF(Y3="",TRUE,IF(input_announcement_category="",FALSE,SUMPRODUCT(--ISNUMBER(SEARCH(","&amp;TRIM(TEXTSPLIT(Y3,","))&amp;",",","&amp;SUBSTITUTE(input_announcement_category," ","")&amp;",")))=COUNTA(TEXTSPLIT(Y3,",")))),IF(AA3="",TRUE,IF(input_announcement_category="",TRUE,SUMPRODUCT(--ISNUMBER(SEARCH(","&amp;TRIM(TEXTSPLIT(AA3,","))&amp;",",","&amp;SUBSTITUTE(input_announcement_category," ","")&amp;",")))=0)),IF(AC3="",TRUE,IF(input_announcement_category="",FALSE,SUMPRODUCT(--ISNUMBER(SEARCH(","&amp;TRIM(TEXTSPLIT(AC3,","))&amp;",",","&amp;SUBSTITUTE(input_announcement_category," ","")&amp;",")))&gt;0)),IF(AE3="",TRUE,IF(input_announcement_category="",FALSE,SUMPRODUCT(--ISNUMBER(SEARCH(","&amp;TRIM(TEXTSPLIT(AE3,","))&amp;",",","&amp;SUBSTITUTE(input_announcement_category," ","")&amp;",")))=COUNTA(TEXTSPLIT(AE3,",")))))</f>
        <v/>
      </c>
      <c r="IV3">
        <f>AND(IF(AG3="",TRUE,IF(input_area_of_focus="",FALSE,SUMPRODUCT(--ISNUMBER(SEARCH(","&amp;TRIM(TEXTSPLIT(AG3,","))&amp;",",","&amp;SUBSTITUTE(input_area_of_focus," ","")&amp;",")))&gt;0)),IF(AI3="",TRUE,IF(input_area_of_focus="",FALSE,SUMPRODUCT(--ISNUMBER(SEARCH(","&amp;TRIM(TEXTSPLIT(AI3,","))&amp;",",","&amp;SUBSTITUTE(input_area_of_focus," ","")&amp;",")))=COUNTA(TEXTSPLIT(AI3,",")))),IF(AK3="",TRUE,IF(input_area_of_focus="",TRUE,SUMPRODUCT(--ISNUMBER(SEARCH(","&amp;TRIM(TEXTSPLIT(AK3,","))&amp;",",","&amp;SUBSTITUTE(input_area_of_focus," ","")&amp;",")))=0)),IF(AM3="",TRUE,IF(input_area_of_focus="",FALSE,SUMPRODUCT(--ISNUMBER(SEARCH(","&amp;TRIM(TEXTSPLIT(AM3,","))&amp;",",","&amp;SUBSTITUTE(input_area_of_focus," ","")&amp;",")))&gt;0)),IF(AO3="",TRUE,IF(input_area_of_focus="",FALSE,SUMPRODUCT(--ISNUMBER(SEARCH(","&amp;TRIM(TEXTSPLIT(AO3,","))&amp;",",","&amp;SUBSTITUTE(input_area_of_focus," ","")&amp;",")))=COUNTA(TEXTSPLIT(AO3,",")))))</f>
        <v/>
      </c>
      <c r="IW3">
        <f>AND(IF(AQ3="",TRUE,IF(input_audience="",FALSE,SUMPRODUCT(--ISNUMBER(SEARCH(","&amp;TRIM(TEXTSPLIT(AQ3,","))&amp;",",","&amp;SUBSTITUTE(input_audience," ","")&amp;",")))&gt;0)),IF(AS3="",TRUE,IF(input_audience="",FALSE,SUMPRODUCT(--ISNUMBER(SEARCH(","&amp;TRIM(TEXTSPLIT(AS3,","))&amp;",",","&amp;SUBSTITUTE(input_audience," ","")&amp;",")))=COUNTA(TEXTSPLIT(AS3,",")))),IF(AU3="",TRUE,IF(input_audience="",TRUE,SUMPRODUCT(--ISNUMBER(SEARCH(","&amp;TRIM(TEXTSPLIT(AU3,","))&amp;",",","&amp;SUBSTITUTE(input_audience," ","")&amp;",")))=0)),IF(AW3="",TRUE,IF(input_audience="",FALSE,SUMPRODUCT(--ISNUMBER(SEARCH(","&amp;TRIM(TEXTSPLIT(AW3,","))&amp;",",","&amp;SUBSTITUTE(input_audience," ","")&amp;",")))&gt;0)),IF(AY3="",TRUE,IF(input_audience="",FALSE,SUMPRODUCT(--ISNUMBER(SEARCH(","&amp;TRIM(TEXTSPLIT(AY3,","))&amp;",",","&amp;SUBSTITUTE(input_audience," ","")&amp;",")))=COUNTA(TEXTSPLIT(AY3,",")))))</f>
        <v/>
      </c>
      <c r="IX3">
        <f>AND(IF(BA3="",TRUE,IF(input_challenge_opportunities="",FALSE,SUMPRODUCT(--ISNUMBER(SEARCH(","&amp;TRIM(TEXTSPLIT(BA3,","))&amp;",",","&amp;SUBSTITUTE(input_challenge_opportunities," ","")&amp;",")))&gt;0)),IF(BC3="",TRUE,IF(input_challenge_opportunities="",FALSE,SUMPRODUCT(--ISNUMBER(SEARCH(","&amp;TRIM(TEXTSPLIT(BC3,","))&amp;",",","&amp;SUBSTITUTE(input_challenge_opportunities," ","")&amp;",")))=COUNTA(TEXTSPLIT(BC3,",")))),IF(BE3="",TRUE,IF(input_challenge_opportunities="",TRUE,SUMPRODUCT(--ISNUMBER(SEARCH(","&amp;TRIM(TEXTSPLIT(BE3,","))&amp;",",","&amp;SUBSTITUTE(input_challenge_opportunities," ","")&amp;",")))=0)),IF(BG3="",TRUE,IF(input_challenge_opportunities="",FALSE,SUMPRODUCT(--ISNUMBER(SEARCH(","&amp;TRIM(TEXTSPLIT(BG3,","))&amp;",",","&amp;SUBSTITUTE(input_challenge_opportunities," ","")&amp;",")))&gt;0)),IF(BI3="",TRUE,IF(input_challenge_opportunities="",FALSE,SUMPRODUCT(--ISNUMBER(SEARCH(","&amp;TRIM(TEXTSPLIT(BI3,","))&amp;",",","&amp;SUBSTITUTE(input_challenge_opportunities," ","")&amp;",")))=COUNTA(TEXTSPLIT(BI3,",")))))</f>
        <v/>
      </c>
      <c r="IY3">
        <f>AND(IF(BK3="",TRUE,IF(input_context="",FALSE,SUMPRODUCT(--ISNUMBER(SEARCH(","&amp;TRIM(TEXTSPLIT(BK3,","))&amp;",",","&amp;SUBSTITUTE(input_context," ","")&amp;",")))&gt;0)),IF(BM3="",TRUE,IF(input_context="",FALSE,SUMPRODUCT(--ISNUMBER(SEARCH(","&amp;TRIM(TEXTSPLIT(BM3,","))&amp;",",","&amp;SUBSTITUTE(input_context," ","")&amp;",")))=COUNTA(TEXTSPLIT(BM3,",")))),IF(BO3="",TRUE,IF(input_context="",TRUE,SUMPRODUCT(--ISNUMBER(SEARCH(","&amp;TRIM(TEXTSPLIT(BO3,","))&amp;",",","&amp;SUBSTITUTE(input_context," ","")&amp;",")))=0)),IF(BQ3="",TRUE,IF(input_context="",FALSE,SUMPRODUCT(--ISNUMBER(SEARCH(","&amp;TRIM(TEXTSPLIT(BQ3,","))&amp;",",","&amp;SUBSTITUTE(input_context," ","")&amp;",")))&gt;0)),IF(BS3="",TRUE,IF(input_context="",FALSE,SUMPRODUCT(--ISNUMBER(SEARCH(","&amp;TRIM(TEXTSPLIT(BS3,","))&amp;",",","&amp;SUBSTITUTE(input_context," ","")&amp;",")))=COUNTA(TEXTSPLIT(BS3,",")))))</f>
        <v/>
      </c>
      <c r="IZ3">
        <f>AND(IF(BU3="",TRUE,IF(input_enews_announcement_type="",FALSE,SUMPRODUCT(--ISNUMBER(SEARCH(","&amp;TRIM(TEXTSPLIT(BU3,","))&amp;",",","&amp;SUBSTITUTE(input_enews_announcement_type," ","")&amp;",")))&gt;0)),IF(BW3="",TRUE,IF(input_enews_announcement_type="",FALSE,SUMPRODUCT(--ISNUMBER(SEARCH(","&amp;TRIM(TEXTSPLIT(BW3,","))&amp;",",","&amp;SUBSTITUTE(input_enews_announcement_type," ","")&amp;",")))=COUNTA(TEXTSPLIT(BW3,",")))),IF(BY3="",TRUE,IF(input_enews_announcement_type="",TRUE,SUMPRODUCT(--ISNUMBER(SEARCH(","&amp;TRIM(TEXTSPLIT(BY3,","))&amp;",",","&amp;SUBSTITUTE(input_enews_announcement_type," ","")&amp;",")))=0)),IF(CA3="",TRUE,IF(input_enews_announcement_type="",FALSE,SUMPRODUCT(--ISNUMBER(SEARCH(","&amp;TRIM(TEXTSPLIT(CA3,","))&amp;",",","&amp;SUBSTITUTE(input_enews_announcement_type," ","")&amp;",")))&gt;0)),IF(CC3="",TRUE,IF(input_enews_announcement_type="",FALSE,SUMPRODUCT(--ISNUMBER(SEARCH(","&amp;TRIM(TEXTSPLIT(CC3,","))&amp;",",","&amp;SUBSTITUTE(input_enews_announcement_type," ","")&amp;",")))=COUNTA(TEXTSPLIT(CC3,",")))))</f>
        <v/>
      </c>
      <c r="JA3">
        <f>AND(IF(CE3="",TRUE,IF(input_enews_audience="",FALSE,SUMPRODUCT(--ISNUMBER(SEARCH(","&amp;TRIM(TEXTSPLIT(CE3,","))&amp;",",","&amp;SUBSTITUTE(input_enews_audience," ","")&amp;",")))&gt;0)),IF(CG3="",TRUE,IF(input_enews_audience="",FALSE,SUMPRODUCT(--ISNUMBER(SEARCH(","&amp;TRIM(TEXTSPLIT(CG3,","))&amp;",",","&amp;SUBSTITUTE(input_enews_audience," ","")&amp;",")))=COUNTA(TEXTSPLIT(CG3,",")))),IF(CI3="",TRUE,IF(input_enews_audience="",TRUE,SUMPRODUCT(--ISNUMBER(SEARCH(","&amp;TRIM(TEXTSPLIT(CI3,","))&amp;",",","&amp;SUBSTITUTE(input_enews_audience," ","")&amp;",")))=0)),IF(CK3="",TRUE,IF(input_enews_audience="",FALSE,SUMPRODUCT(--ISNUMBER(SEARCH(","&amp;TRIM(TEXTSPLIT(CK3,","))&amp;",",","&amp;SUBSTITUTE(input_enews_audience," ","")&amp;",")))&gt;0)),IF(CM3="",TRUE,IF(input_enews_audience="",FALSE,SUMPRODUCT(--ISNUMBER(SEARCH(","&amp;TRIM(TEXTSPLIT(CM3,","))&amp;",",","&amp;SUBSTITUTE(input_enews_audience," ","")&amp;",")))=COUNTA(TEXTSPLIT(CM3,",")))))</f>
        <v/>
      </c>
      <c r="JB3">
        <f>AND(IF(CO3="",TRUE,IF(input_event_location="",FALSE,SUMPRODUCT(--ISNUMBER(SEARCH(","&amp;TRIM(TEXTSPLIT(CO3,","))&amp;",",","&amp;SUBSTITUTE(input_event_location," ","")&amp;",")))&gt;0)),IF(CQ3="",TRUE,IF(input_event_location="",FALSE,SUMPRODUCT(--ISNUMBER(SEARCH(","&amp;TRIM(TEXTSPLIT(CQ3,","))&amp;",",","&amp;SUBSTITUTE(input_event_location," ","")&amp;",")))=COUNTA(TEXTSPLIT(CQ3,",")))),IF(CS3="",TRUE,IF(input_event_location="",TRUE,SUMPRODUCT(--ISNUMBER(SEARCH(","&amp;TRIM(TEXTSPLIT(CS3,","))&amp;",",","&amp;SUBSTITUTE(input_event_location," ","")&amp;",")))=0)),IF(CU3="",TRUE,IF(input_event_location="",FALSE,SUMPRODUCT(--ISNUMBER(SEARCH(","&amp;TRIM(TEXTSPLIT(CU3,","))&amp;",",","&amp;SUBSTITUTE(input_event_location," ","")&amp;",")))&gt;0)),IF(CW3="",TRUE,IF(input_event_location="",FALSE,SUMPRODUCT(--ISNUMBER(SEARCH(","&amp;TRIM(TEXTSPLIT(CW3,","))&amp;",",","&amp;SUBSTITUTE(input_event_location," ","")&amp;",")))=COUNTA(TEXTSPLIT(CW3,",")))))</f>
        <v/>
      </c>
      <c r="JC3">
        <f>AND(IF(CY3="",TRUE,IF(input_event_type="",FALSE,SUMPRODUCT(--ISNUMBER(SEARCH(","&amp;TRIM(TEXTSPLIT(CY3,","))&amp;",",","&amp;SUBSTITUTE(input_event_type," ","")&amp;",")))&gt;0)),IF(DA3="",TRUE,IF(input_event_type="",FALSE,SUMPRODUCT(--ISNUMBER(SEARCH(","&amp;TRIM(TEXTSPLIT(DA3,","))&amp;",",","&amp;SUBSTITUTE(input_event_type," ","")&amp;",")))=COUNTA(TEXTSPLIT(DA3,",")))),IF(DC3="",TRUE,IF(input_event_type="",TRUE,SUMPRODUCT(--ISNUMBER(SEARCH(","&amp;TRIM(TEXTSPLIT(DC3,","))&amp;",",","&amp;SUBSTITUTE(input_event_type," ","")&amp;",")))=0)),IF(DE3="",TRUE,IF(input_event_type="",FALSE,SUMPRODUCT(--ISNUMBER(SEARCH(","&amp;TRIM(TEXTSPLIT(DE3,","))&amp;",",","&amp;SUBSTITUTE(input_event_type," ","")&amp;",")))&gt;0)),IF(DG3="",TRUE,IF(input_event_type="",FALSE,SUMPRODUCT(--ISNUMBER(SEARCH(","&amp;TRIM(TEXTSPLIT(DG3,","))&amp;",",","&amp;SUBSTITUTE(input_event_type," ","")&amp;",")))=COUNTA(TEXTSPLIT(DG3,",")))))</f>
        <v/>
      </c>
      <c r="JD3">
        <f>AND(IF(DI3="",TRUE,IF(input_executive_education_focus="",FALSE,SUMPRODUCT(--ISNUMBER(SEARCH(","&amp;TRIM(TEXTSPLIT(DI3,","))&amp;",",","&amp;SUBSTITUTE(input_executive_education_focus," ","")&amp;",")))&gt;0)),IF(DK3="",TRUE,IF(input_executive_education_focus="",FALSE,SUMPRODUCT(--ISNUMBER(SEARCH(","&amp;TRIM(TEXTSPLIT(DK3,","))&amp;",",","&amp;SUBSTITUTE(input_executive_education_focus," ","")&amp;",")))=COUNTA(TEXTSPLIT(DK3,",")))),IF(DM3="",TRUE,IF(input_executive_education_focus="",TRUE,SUMPRODUCT(--ISNUMBER(SEARCH(","&amp;TRIM(TEXTSPLIT(DM3,","))&amp;",",","&amp;SUBSTITUTE(input_executive_education_focus," ","")&amp;",")))=0)),IF(DO3="",TRUE,IF(input_executive_education_focus="",FALSE,SUMPRODUCT(--ISNUMBER(SEARCH(","&amp;TRIM(TEXTSPLIT(DO3,","))&amp;",",","&amp;SUBSTITUTE(input_executive_education_focus," ","")&amp;",")))&gt;0)),IF(DQ3="",TRUE,IF(input_executive_education_focus="",FALSE,SUMPRODUCT(--ISNUMBER(SEARCH(","&amp;TRIM(TEXTSPLIT(DQ3,","))&amp;",",","&amp;SUBSTITUTE(input_executive_education_focus," ","")&amp;",")))=COUNTA(TEXTSPLIT(DQ3,",")))))</f>
        <v/>
      </c>
      <c r="JE3">
        <f>AND(IF(DS3="",TRUE,IF(input_faculty_category="",FALSE,SUMPRODUCT(--ISNUMBER(SEARCH(","&amp;TRIM(TEXTSPLIT(DS3,","))&amp;",",","&amp;SUBSTITUTE(input_faculty_category," ","")&amp;",")))&gt;0)),IF(DU3="",TRUE,IF(input_faculty_category="",FALSE,SUMPRODUCT(--ISNUMBER(SEARCH(","&amp;TRIM(TEXTSPLIT(DU3,","))&amp;",",","&amp;SUBSTITUTE(input_faculty_category," ","")&amp;",")))=COUNTA(TEXTSPLIT(DU3,",")))),IF(DW3="",TRUE,IF(input_faculty_category="",TRUE,SUMPRODUCT(--ISNUMBER(SEARCH(","&amp;TRIM(TEXTSPLIT(DW3,","))&amp;",",","&amp;SUBSTITUTE(input_faculty_category," ","")&amp;",")))=0)),IF(DY3="",TRUE,IF(input_faculty_category="",FALSE,SUMPRODUCT(--ISNUMBER(SEARCH(","&amp;TRIM(TEXTSPLIT(DY3,","))&amp;",",","&amp;SUBSTITUTE(input_faculty_category," ","")&amp;",")))&gt;0)),IF(EA3="",TRUE,IF(input_faculty_category="",FALSE,SUMPRODUCT(--ISNUMBER(SEARCH(","&amp;TRIM(TEXTSPLIT(EA3,","))&amp;",",","&amp;SUBSTITUTE(input_faculty_category," ","")&amp;",")))=COUNTA(TEXTSPLIT(EA3,",")))))</f>
        <v/>
      </c>
      <c r="JF3">
        <f>AND(IF(EC3="",TRUE,IF(input_faculty_discipline="",FALSE,SUMPRODUCT(--ISNUMBER(SEARCH(","&amp;TRIM(TEXTSPLIT(EC3,","))&amp;",",","&amp;SUBSTITUTE(input_faculty_discipline," ","")&amp;",")))&gt;0)),IF(EE3="",TRUE,IF(input_faculty_discipline="",FALSE,SUMPRODUCT(--ISNUMBER(SEARCH(","&amp;TRIM(TEXTSPLIT(EE3,","))&amp;",",","&amp;SUBSTITUTE(input_faculty_discipline," ","")&amp;",")))=COUNTA(TEXTSPLIT(EE3,",")))),IF(EG3="",TRUE,IF(input_faculty_discipline="",TRUE,SUMPRODUCT(--ISNUMBER(SEARCH(","&amp;TRIM(TEXTSPLIT(EG3,","))&amp;",",","&amp;SUBSTITUTE(input_faculty_discipline," ","")&amp;",")))=0)),IF(EI3="",TRUE,IF(input_faculty_discipline="",FALSE,SUMPRODUCT(--ISNUMBER(SEARCH(","&amp;TRIM(TEXTSPLIT(EI3,","))&amp;",",","&amp;SUBSTITUTE(input_faculty_discipline," ","")&amp;",")))&gt;0)),IF(EK3="",TRUE,IF(input_faculty_discipline="",FALSE,SUMPRODUCT(--ISNUMBER(SEARCH(","&amp;TRIM(TEXTSPLIT(EK3,","))&amp;",",","&amp;SUBSTITUTE(input_faculty_discipline," ","")&amp;",")))=COUNTA(TEXTSPLIT(EK3,",")))))</f>
        <v/>
      </c>
      <c r="JG3">
        <f>AND(IF(EM3="",TRUE,IF(input_faculty_expertise="",FALSE,SUMPRODUCT(--ISNUMBER(SEARCH(","&amp;TRIM(TEXTSPLIT(EM3,","))&amp;",",","&amp;SUBSTITUTE(input_faculty_expertise," ","")&amp;",")))&gt;0)),IF(EO3="",TRUE,IF(input_faculty_expertise="",FALSE,SUMPRODUCT(--ISNUMBER(SEARCH(","&amp;TRIM(TEXTSPLIT(EO3,","))&amp;",",","&amp;SUBSTITUTE(input_faculty_expertise," ","")&amp;",")))=COUNTA(TEXTSPLIT(EO3,",")))),IF(EQ3="",TRUE,IF(input_faculty_expertise="",TRUE,SUMPRODUCT(--ISNUMBER(SEARCH(","&amp;TRIM(TEXTSPLIT(EQ3,","))&amp;",",","&amp;SUBSTITUTE(input_faculty_expertise," ","")&amp;",")))=0)),IF(ES3="",TRUE,IF(input_faculty_expertise="",FALSE,SUMPRODUCT(--ISNUMBER(SEARCH(","&amp;TRIM(TEXTSPLIT(ES3,","))&amp;",",","&amp;SUBSTITUTE(input_faculty_expertise," ","")&amp;",")))&gt;0)),IF(EU3="",TRUE,IF(input_faculty_expertise="",FALSE,SUMPRODUCT(--ISNUMBER(SEARCH(","&amp;TRIM(TEXTSPLIT(EU3,","))&amp;",",","&amp;SUBSTITUTE(input_faculty_expertise," ","")&amp;",")))=COUNTA(TEXTSPLIT(EU3,",")))))</f>
        <v/>
      </c>
      <c r="JH3">
        <f>AND(IF(EW3="",TRUE,IF(input_global_network_school="",FALSE,SUMPRODUCT(--ISNUMBER(SEARCH(","&amp;TRIM(TEXTSPLIT(EW3,","))&amp;",",","&amp;SUBSTITUTE(input_global_network_school," ","")&amp;",")))&gt;0)),IF(EY3="",TRUE,IF(input_global_network_school="",FALSE,SUMPRODUCT(--ISNUMBER(SEARCH(","&amp;TRIM(TEXTSPLIT(EY3,","))&amp;",",","&amp;SUBSTITUTE(input_global_network_school," ","")&amp;",")))=COUNTA(TEXTSPLIT(EY3,",")))),IF(FA3="",TRUE,IF(input_global_network_school="",TRUE,SUMPRODUCT(--ISNUMBER(SEARCH(","&amp;TRIM(TEXTSPLIT(FA3,","))&amp;",",","&amp;SUBSTITUTE(input_global_network_school," ","")&amp;",")))=0)),IF(FC3="",TRUE,IF(input_global_network_school="",FALSE,SUMPRODUCT(--ISNUMBER(SEARCH(","&amp;TRIM(TEXTSPLIT(FC3,","))&amp;",",","&amp;SUBSTITUTE(input_global_network_school," ","")&amp;",")))&gt;0)),IF(FE3="",TRUE,IF(input_global_network_school="",FALSE,SUMPRODUCT(--ISNUMBER(SEARCH(","&amp;TRIM(TEXTSPLIT(FE3,","))&amp;",",","&amp;SUBSTITUTE(input_global_network_school," ","")&amp;",")))=COUNTA(TEXTSPLIT(FE3,",")))))</f>
        <v/>
      </c>
      <c r="JI3">
        <f>AND(IF(FG3="",TRUE,IF(input_industry="",FALSE,SUMPRODUCT(--ISNUMBER(SEARCH(","&amp;TRIM(TEXTSPLIT(FG3,","))&amp;",",","&amp;SUBSTITUTE(input_industry," ","")&amp;",")))&gt;0)),IF(FI3="",TRUE,IF(input_industry="",FALSE,SUMPRODUCT(--ISNUMBER(SEARCH(","&amp;TRIM(TEXTSPLIT(FI3,","))&amp;",",","&amp;SUBSTITUTE(input_industry," ","")&amp;",")))=COUNTA(TEXTSPLIT(FI3,",")))),IF(FK3="",TRUE,IF(input_industry="",TRUE,SUMPRODUCT(--ISNUMBER(SEARCH(","&amp;TRIM(TEXTSPLIT(FK3,","))&amp;",",","&amp;SUBSTITUTE(input_industry," ","")&amp;",")))=0)),IF(FM3="",TRUE,IF(input_industry="",FALSE,SUMPRODUCT(--ISNUMBER(SEARCH(","&amp;TRIM(TEXTSPLIT(FM3,","))&amp;",",","&amp;SUBSTITUTE(input_industry," ","")&amp;",")))&gt;0)),IF(FO3="",TRUE,IF(input_industry="",FALSE,SUMPRODUCT(--ISNUMBER(SEARCH(","&amp;TRIM(TEXTSPLIT(FO3,","))&amp;",",","&amp;SUBSTITUTE(input_industry," ","")&amp;",")))=COUNTA(TEXTSPLIT(FO3,",")))))</f>
        <v/>
      </c>
      <c r="JJ3">
        <f>AND(IF(FQ3="",TRUE,IF(input_location="",FALSE,SUMPRODUCT(--ISNUMBER(SEARCH(","&amp;TRIM(TEXTSPLIT(FQ3,","))&amp;",",","&amp;SUBSTITUTE(input_location," ","")&amp;",")))&gt;0)),IF(FS3="",TRUE,IF(input_location="",FALSE,SUMPRODUCT(--ISNUMBER(SEARCH(","&amp;TRIM(TEXTSPLIT(FS3,","))&amp;",",","&amp;SUBSTITUTE(input_location," ","")&amp;",")))=COUNTA(TEXTSPLIT(FS3,",")))),IF(FU3="",TRUE,IF(input_location="",TRUE,SUMPRODUCT(--ISNUMBER(SEARCH(","&amp;TRIM(TEXTSPLIT(FU3,","))&amp;",",","&amp;SUBSTITUTE(input_location," ","")&amp;",")))=0)),IF(FW3="",TRUE,IF(input_location="",FALSE,SUMPRODUCT(--ISNUMBER(SEARCH(","&amp;TRIM(TEXTSPLIT(FW3,","))&amp;",",","&amp;SUBSTITUTE(input_location," ","")&amp;",")))&gt;0)),IF(FY3="",TRUE,IF(input_location="",FALSE,SUMPRODUCT(--ISNUMBER(SEARCH(","&amp;TRIM(TEXTSPLIT(FY3,","))&amp;",",","&amp;SUBSTITUTE(input_location," ","")&amp;",")))=COUNTA(TEXTSPLIT(FY3,",")))))</f>
        <v/>
      </c>
      <c r="JK3">
        <f>AND(IF(GA3="",TRUE,IF(input_modality="",FALSE,SUMPRODUCT(--ISNUMBER(SEARCH(","&amp;TRIM(TEXTSPLIT(GA3,","))&amp;",",","&amp;SUBSTITUTE(input_modality," ","")&amp;",")))&gt;0)),IF(GC3="",TRUE,IF(input_modality="",FALSE,SUMPRODUCT(--ISNUMBER(SEARCH(","&amp;TRIM(TEXTSPLIT(GC3,","))&amp;",",","&amp;SUBSTITUTE(input_modality," ","")&amp;",")))=COUNTA(TEXTSPLIT(GC3,",")))),IF(GE3="",TRUE,IF(input_modality="",TRUE,SUMPRODUCT(--ISNUMBER(SEARCH(","&amp;TRIM(TEXTSPLIT(GE3,","))&amp;",",","&amp;SUBSTITUTE(input_modality," ","")&amp;",")))=0)),IF(GG3="",TRUE,IF(input_modality="",FALSE,SUMPRODUCT(--ISNUMBER(SEARCH(","&amp;TRIM(TEXTSPLIT(GG3,","))&amp;",",","&amp;SUBSTITUTE(input_modality," ","")&amp;",")))&gt;0)),IF(GI3="",TRUE,IF(input_modality="",FALSE,SUMPRODUCT(--ISNUMBER(SEARCH(","&amp;TRIM(TEXTSPLIT(GI3,","))&amp;",",","&amp;SUBSTITUTE(input_modality," ","")&amp;",")))=COUNTA(TEXTSPLIT(GI3,",")))))</f>
        <v/>
      </c>
      <c r="JL3">
        <f>AND(IF(GK3="",TRUE,IF(input_organizer="",FALSE,SUMPRODUCT(--ISNUMBER(SEARCH(","&amp;TRIM(TEXTSPLIT(GK3,","))&amp;",",","&amp;SUBSTITUTE(input_organizer," ","")&amp;",")))&gt;0)),IF(GM3="",TRUE,IF(input_organizer="",FALSE,SUMPRODUCT(--ISNUMBER(SEARCH(","&amp;TRIM(TEXTSPLIT(GM3,","))&amp;",",","&amp;SUBSTITUTE(input_organizer," ","")&amp;",")))=COUNTA(TEXTSPLIT(GM3,",")))),IF(GO3="",TRUE,IF(input_organizer="",TRUE,SUMPRODUCT(--ISNUMBER(SEARCH(","&amp;TRIM(TEXTSPLIT(GO3,","))&amp;",",","&amp;SUBSTITUTE(input_organizer," ","")&amp;",")))=0)),IF(GQ3="",TRUE,IF(input_organizer="",FALSE,SUMPRODUCT(--ISNUMBER(SEARCH(","&amp;TRIM(TEXTSPLIT(GQ3,","))&amp;",",","&amp;SUBSTITUTE(input_organizer," ","")&amp;",")))&gt;0)),IF(GS3="",TRUE,IF(input_organizer="",FALSE,SUMPRODUCT(--ISNUMBER(SEARCH(","&amp;TRIM(TEXTSPLIT(GS3,","))&amp;",",","&amp;SUBSTITUTE(input_organizer," ","")&amp;",")))=COUNTA(TEXTSPLIT(GS3,",")))))</f>
        <v/>
      </c>
      <c r="JM3">
        <f>AND(IF(GU3="",TRUE,IF(input_profile_type="",FALSE,SUMPRODUCT(--ISNUMBER(SEARCH(","&amp;TRIM(TEXTSPLIT(GU3,","))&amp;",",","&amp;SUBSTITUTE(input_profile_type," ","")&amp;",")))&gt;0)),IF(GW3="",TRUE,IF(input_profile_type="",FALSE,SUMPRODUCT(--ISNUMBER(SEARCH(","&amp;TRIM(TEXTSPLIT(GW3,","))&amp;",",","&amp;SUBSTITUTE(input_profile_type," ","")&amp;",")))=COUNTA(TEXTSPLIT(GW3,",")))),IF(GY3="",TRUE,IF(input_profile_type="",TRUE,SUMPRODUCT(--ISNUMBER(SEARCH(","&amp;TRIM(TEXTSPLIT(GY3,","))&amp;",",","&amp;SUBSTITUTE(input_profile_type," ","")&amp;",")))=0)),IF(HA3="",TRUE,IF(input_profile_type="",FALSE,SUMPRODUCT(--ISNUMBER(SEARCH(","&amp;TRIM(TEXTSPLIT(HA3,","))&amp;",",","&amp;SUBSTITUTE(input_profile_type," ","")&amp;",")))&gt;0)),IF(HC3="",TRUE,IF(input_profile_type="",FALSE,SUMPRODUCT(--ISNUMBER(SEARCH(","&amp;TRIM(TEXTSPLIT(HC3,","))&amp;",",","&amp;SUBSTITUTE(input_profile_type," ","")&amp;",")))=COUNTA(TEXTSPLIT(HC3,",")))))</f>
        <v/>
      </c>
      <c r="JN3">
        <f>AND(IF(HE3="",TRUE,IF(input_program="",FALSE,SUMPRODUCT(--ISNUMBER(SEARCH(","&amp;TRIM(TEXTSPLIT(HE3,","))&amp;",",","&amp;SUBSTITUTE(input_program," ","")&amp;",")))&gt;0)),IF(HG3="",TRUE,IF(input_program="",FALSE,SUMPRODUCT(--ISNUMBER(SEARCH(","&amp;TRIM(TEXTSPLIT(HG3,","))&amp;",",","&amp;SUBSTITUTE(input_program," ","")&amp;",")))=COUNTA(TEXTSPLIT(HG3,",")))),IF(HI3="",TRUE,IF(input_program="",TRUE,SUMPRODUCT(--ISNUMBER(SEARCH(","&amp;TRIM(TEXTSPLIT(HI3,","))&amp;",",","&amp;SUBSTITUTE(input_program," ","")&amp;",")))=0)),IF(HK3="",TRUE,IF(input_program="",FALSE,SUMPRODUCT(--ISNUMBER(SEARCH(","&amp;TRIM(TEXTSPLIT(HK3,","))&amp;",",","&amp;SUBSTITUTE(input_program," ","")&amp;",")))&gt;0)),IF(HM3="",TRUE,IF(input_program="",FALSE,SUMPRODUCT(--ISNUMBER(SEARCH(","&amp;TRIM(TEXTSPLIT(HM3,","))&amp;",",","&amp;SUBSTITUTE(input_program," ","")&amp;",")))=COUNTA(TEXTSPLIT(HM3,",")))))</f>
        <v/>
      </c>
      <c r="JO3">
        <f>AND(IF(HO3="",TRUE,IF(input_story_categories="",FALSE,SUMPRODUCT(--ISNUMBER(SEARCH(","&amp;TRIM(TEXTSPLIT(HO3,","))&amp;",",","&amp;SUBSTITUTE(input_story_categories," ","")&amp;",")))&gt;0)),IF(HQ3="",TRUE,IF(input_story_categories="",FALSE,SUMPRODUCT(--ISNUMBER(SEARCH(","&amp;TRIM(TEXTSPLIT(HQ3,","))&amp;",",","&amp;SUBSTITUTE(input_story_categories," ","")&amp;",")))=COUNTA(TEXTSPLIT(HQ3,",")))),IF(HS3="",TRUE,IF(input_story_categories="",TRUE,SUMPRODUCT(--ISNUMBER(SEARCH(","&amp;TRIM(TEXTSPLIT(HS3,","))&amp;",",","&amp;SUBSTITUTE(input_story_categories," ","")&amp;",")))=0)),IF(HU3="",TRUE,IF(input_story_categories="",FALSE,SUMPRODUCT(--ISNUMBER(SEARCH(","&amp;TRIM(TEXTSPLIT(HU3,","))&amp;",",","&amp;SUBSTITUTE(input_story_categories," ","")&amp;",")))&gt;0)),IF(HW3="",TRUE,IF(input_story_categories="",FALSE,SUMPRODUCT(--ISNUMBER(SEARCH(","&amp;TRIM(TEXTSPLIT(HW3,","))&amp;",",","&amp;SUBSTITUTE(input_story_categories," ","")&amp;",")))=COUNTA(TEXTSPLIT(HW3,",")))))</f>
        <v/>
      </c>
      <c r="JP3">
        <f>AND(IF(HY3="",TRUE,IF(input_story_type="",FALSE,SUMPRODUCT(--ISNUMBER(SEARCH(","&amp;TRIM(TEXTSPLIT(HY3,","))&amp;",",","&amp;SUBSTITUTE(input_story_type," ","")&amp;",")))&gt;0)),IF(IA3="",TRUE,IF(input_story_type="",FALSE,SUMPRODUCT(--ISNUMBER(SEARCH(","&amp;TRIM(TEXTSPLIT(IA3,","))&amp;",",","&amp;SUBSTITUTE(input_story_type," ","")&amp;",")))=COUNTA(TEXTSPLIT(IA3,",")))),IF(IC3="",TRUE,IF(input_story_type="",TRUE,SUMPRODUCT(--ISNUMBER(SEARCH(","&amp;TRIM(TEXTSPLIT(IC3,","))&amp;",",","&amp;SUBSTITUTE(input_story_type," ","")&amp;",")))=0)),IF(IE3="",TRUE,IF(input_story_type="",FALSE,SUMPRODUCT(--ISNUMBER(SEARCH(","&amp;TRIM(TEXTSPLIT(IE3,","))&amp;",",","&amp;SUBSTITUTE(input_story_type," ","")&amp;",")))&gt;0)),IF(IG3="",TRUE,IF(input_story_type="",FALSE,SUMPRODUCT(--ISNUMBER(SEARCH(","&amp;TRIM(TEXTSPLIT(IG3,","))&amp;",",","&amp;SUBSTITUTE(input_story_type," ","")&amp;",")))=COUNTA(TEXTSPLIT(IG3,",")))))</f>
        <v/>
      </c>
      <c r="JQ3">
        <f>AND(IF(II3="",TRUE,IF(input_topics="",FALSE,SUMPRODUCT(--ISNUMBER(SEARCH(","&amp;TRIM(TEXTSPLIT(II3,","))&amp;",",","&amp;SUBSTITUTE(input_topics," ","")&amp;",")))&gt;0)),IF(IK3="",TRUE,IF(input_topics="",FALSE,SUMPRODUCT(--ISNUMBER(SEARCH(","&amp;TRIM(TEXTSPLIT(IK3,","))&amp;",",","&amp;SUBSTITUTE(input_topics," ","")&amp;",")))=COUNTA(TEXTSPLIT(IK3,",")))),IF(IM3="",TRUE,IF(input_topics="",TRUE,SUMPRODUCT(--ISNUMBER(SEARCH(","&amp;TRIM(TEXTSPLIT(IM3,","))&amp;",",","&amp;SUBSTITUTE(input_topics," ","")&amp;",")))=0)),IF(IO3="",TRUE,IF(input_topics="",FALSE,SUMPRODUCT(--ISNUMBER(SEARCH(","&amp;TRIM(TEXTSPLIT(IO3,","))&amp;",",","&amp;SUBSTITUTE(input_topics," ","")&amp;",")))&gt;0)),IF(IQ3="",TRUE,IF(input_topics="",FALSE,SUMPRODUCT(--ISNUMBER(SEARCH(","&amp;TRIM(TEXTSPLIT(IQ3,","))&amp;",",","&amp;SUBSTITUTE(input_topics," ","")&amp;",")))=COUNTA(TEXTSPLIT(IQ3,",")))))</f>
        <v/>
      </c>
    </row>
    <row r="4">
      <c r="A4" s="4">
        <f>IF(NOT(IS4),"Excluded",IF(AND(IT4,IU4,IV4,IW4,IX4,IY4,IZ4,JA4,JB4,JC4,JD4,JE4,JF4,JG4,JH4,JI4,JJ4,JK4,JL4,JM4,JN4,JO4,JP4,JQ4),IF(I4&gt;0,"Eligible but limited","Will appear"),"Excluded"))</f>
        <v/>
      </c>
      <c r="B4" s="4" t="inlineStr">
        <is>
          <t>Admissions Events</t>
        </is>
      </c>
      <c r="C4" s="4" t="inlineStr">
        <is>
          <t>/centers/the-broad-center/masters-degree-in-public-education-management/admissions-events</t>
        </is>
      </c>
      <c r="D4" s="4" t="inlineStr">
        <is>
          <t>/centers/the-broad-center/masters-degree-in-public-education-management/admissions-events</t>
        </is>
      </c>
      <c r="E4" s="4" t="n">
        <v>1</v>
      </c>
      <c r="F4" s="4" t="inlineStr">
        <is>
          <t>event</t>
        </is>
      </c>
      <c r="G4" s="4" t="inlineStr">
        <is>
          <t>event_list</t>
        </is>
      </c>
      <c r="H4" s="4" t="inlineStr">
        <is>
          <t>embed_no_filters</t>
        </is>
      </c>
      <c r="I4" s="4" t="n">
        <v>8</v>
      </c>
      <c r="J4" s="4" t="inlineStr">
        <is>
          <t>Explicit args</t>
        </is>
      </c>
      <c r="K4" s="4" t="inlineStr">
        <is>
          <t>Page placement</t>
        </is>
      </c>
      <c r="L4" s="4" t="inlineStr">
        <is>
          <t>Content type: event; Context uses Program: Master’s Degree in Public Education Management (85), Master's Degree in Public Education Management (1011); Limited to 8 item(s); Source: Explicit args</t>
        </is>
      </c>
      <c r="M4" t="inlineStr"/>
      <c r="N4" t="inlineStr"/>
      <c r="O4" t="inlineStr"/>
      <c r="P4" t="inlineStr"/>
      <c r="Q4" t="inlineStr"/>
      <c r="R4" t="inlineStr"/>
      <c r="S4" t="inlineStr"/>
      <c r="T4" t="inlineStr"/>
      <c r="U4" t="inlineStr"/>
      <c r="V4" t="inlineStr"/>
      <c r="W4" t="inlineStr"/>
      <c r="X4" t="inlineStr"/>
      <c r="Y4" t="inlineStr"/>
      <c r="Z4" t="inlineStr"/>
      <c r="AA4" t="inlineStr"/>
      <c r="AB4" t="inlineStr"/>
      <c r="AC4" t="inlineStr"/>
      <c r="AD4" t="inlineStr"/>
      <c r="AE4" t="inlineStr"/>
      <c r="AF4" t="inlineStr"/>
      <c r="AG4" t="inlineStr"/>
      <c r="AH4" t="inlineStr"/>
      <c r="AI4" t="inlineStr"/>
      <c r="AJ4" t="inlineStr"/>
      <c r="AK4" t="inlineStr"/>
      <c r="AL4" t="inlineStr"/>
      <c r="AM4" t="inlineStr"/>
      <c r="AN4" t="inlineStr"/>
      <c r="AO4" t="inlineStr"/>
      <c r="AP4" t="inlineStr"/>
      <c r="AQ4" t="inlineStr"/>
      <c r="AR4" t="inlineStr"/>
      <c r="AS4" t="inlineStr"/>
      <c r="AT4" t="inlineStr"/>
      <c r="AU4" t="inlineStr"/>
      <c r="AV4" t="inlineStr"/>
      <c r="AW4" t="inlineStr"/>
      <c r="AX4" t="inlineStr"/>
      <c r="AY4" t="inlineStr"/>
      <c r="AZ4" t="inlineStr"/>
      <c r="BA4" t="inlineStr"/>
      <c r="BB4" t="inlineStr"/>
      <c r="BC4" t="inlineStr"/>
      <c r="BD4" t="inlineStr"/>
      <c r="BE4" t="inlineStr"/>
      <c r="BF4" t="inlineStr"/>
      <c r="BG4" t="inlineStr"/>
      <c r="BH4" t="inlineStr"/>
      <c r="BI4" t="inlineStr"/>
      <c r="BJ4" t="inlineStr"/>
      <c r="BK4" t="inlineStr"/>
      <c r="BL4" t="inlineStr"/>
      <c r="BM4" t="inlineStr"/>
      <c r="BN4" t="inlineStr"/>
      <c r="BO4" t="inlineStr"/>
      <c r="BP4" t="inlineStr"/>
      <c r="BQ4" t="inlineStr"/>
      <c r="BR4" t="inlineStr"/>
      <c r="BS4" t="inlineStr"/>
      <c r="BT4" t="inlineStr"/>
      <c r="BU4" t="inlineStr"/>
      <c r="BV4" t="inlineStr"/>
      <c r="BW4" t="inlineStr"/>
      <c r="BX4" t="inlineStr"/>
      <c r="BY4" t="inlineStr"/>
      <c r="BZ4" t="inlineStr"/>
      <c r="CA4" t="inlineStr"/>
      <c r="CB4" t="inlineStr"/>
      <c r="CC4" t="inlineStr"/>
      <c r="CD4" t="inlineStr"/>
      <c r="CE4" t="inlineStr"/>
      <c r="CF4" t="inlineStr"/>
      <c r="CG4" t="inlineStr"/>
      <c r="CH4" t="inlineStr"/>
      <c r="CI4" t="inlineStr"/>
      <c r="CJ4" t="inlineStr"/>
      <c r="CK4" t="inlineStr"/>
      <c r="CL4" t="inlineStr"/>
      <c r="CM4" t="inlineStr"/>
      <c r="CN4" t="inlineStr"/>
      <c r="CO4" t="inlineStr"/>
      <c r="CP4" t="inlineStr"/>
      <c r="CQ4" t="inlineStr"/>
      <c r="CR4" t="inlineStr"/>
      <c r="CS4" t="inlineStr"/>
      <c r="CT4" t="inlineStr"/>
      <c r="CU4" t="inlineStr"/>
      <c r="CV4" t="inlineStr"/>
      <c r="CW4" t="inlineStr"/>
      <c r="CX4" t="inlineStr"/>
      <c r="CY4" t="inlineStr"/>
      <c r="CZ4" t="inlineStr"/>
      <c r="DA4" t="inlineStr"/>
      <c r="DB4" t="inlineStr"/>
      <c r="DC4" t="inlineStr"/>
      <c r="DD4" t="inlineStr"/>
      <c r="DE4" t="inlineStr"/>
      <c r="DF4" t="inlineStr"/>
      <c r="DG4" t="inlineStr"/>
      <c r="DH4" t="inlineStr"/>
      <c r="DI4" t="inlineStr"/>
      <c r="DJ4" t="inlineStr"/>
      <c r="DK4" t="inlineStr"/>
      <c r="DL4" t="inlineStr"/>
      <c r="DM4" t="inlineStr"/>
      <c r="DN4" t="inlineStr"/>
      <c r="DO4" t="inlineStr"/>
      <c r="DP4" t="inlineStr"/>
      <c r="DQ4" t="inlineStr"/>
      <c r="DR4" t="inlineStr"/>
      <c r="DS4" t="inlineStr"/>
      <c r="DT4" t="inlineStr"/>
      <c r="DU4" t="inlineStr"/>
      <c r="DV4" t="inlineStr"/>
      <c r="DW4" t="inlineStr"/>
      <c r="DX4" t="inlineStr"/>
      <c r="DY4" t="inlineStr"/>
      <c r="DZ4" t="inlineStr"/>
      <c r="EA4" t="inlineStr"/>
      <c r="EB4" t="inlineStr"/>
      <c r="EC4" t="inlineStr"/>
      <c r="ED4" t="inlineStr"/>
      <c r="EE4" t="inlineStr"/>
      <c r="EF4" t="inlineStr"/>
      <c r="EG4" t="inlineStr"/>
      <c r="EH4" t="inlineStr"/>
      <c r="EI4" t="inlineStr"/>
      <c r="EJ4" t="inlineStr"/>
      <c r="EK4" t="inlineStr"/>
      <c r="EL4" t="inlineStr"/>
      <c r="EM4" t="inlineStr"/>
      <c r="EN4" t="inlineStr"/>
      <c r="EO4" t="inlineStr"/>
      <c r="EP4" t="inlineStr"/>
      <c r="EQ4" t="inlineStr"/>
      <c r="ER4" t="inlineStr"/>
      <c r="ES4" t="inlineStr"/>
      <c r="ET4" t="inlineStr"/>
      <c r="EU4" t="inlineStr"/>
      <c r="EV4" t="inlineStr"/>
      <c r="EW4" t="inlineStr"/>
      <c r="EX4" t="inlineStr"/>
      <c r="EY4" t="inlineStr"/>
      <c r="EZ4" t="inlineStr"/>
      <c r="FA4" t="inlineStr"/>
      <c r="FB4" t="inlineStr"/>
      <c r="FC4" t="inlineStr"/>
      <c r="FD4" t="inlineStr"/>
      <c r="FE4" t="inlineStr"/>
      <c r="FF4" t="inlineStr"/>
      <c r="FG4" t="inlineStr"/>
      <c r="FH4" t="inlineStr"/>
      <c r="FI4" t="inlineStr"/>
      <c r="FJ4" t="inlineStr"/>
      <c r="FK4" t="inlineStr"/>
      <c r="FL4" t="inlineStr"/>
      <c r="FM4" t="inlineStr"/>
      <c r="FN4" t="inlineStr"/>
      <c r="FO4" t="inlineStr"/>
      <c r="FP4" t="inlineStr"/>
      <c r="FQ4" t="inlineStr"/>
      <c r="FR4" t="inlineStr"/>
      <c r="FS4" t="inlineStr"/>
      <c r="FT4" t="inlineStr"/>
      <c r="FU4" t="inlineStr"/>
      <c r="FV4" t="inlineStr"/>
      <c r="FW4" t="inlineStr"/>
      <c r="FX4" t="inlineStr"/>
      <c r="FY4" t="inlineStr"/>
      <c r="FZ4" t="inlineStr"/>
      <c r="GA4" t="inlineStr"/>
      <c r="GB4" t="inlineStr"/>
      <c r="GC4" t="inlineStr"/>
      <c r="GD4" t="inlineStr"/>
      <c r="GE4" t="inlineStr"/>
      <c r="GF4" t="inlineStr"/>
      <c r="GG4" t="inlineStr"/>
      <c r="GH4" t="inlineStr"/>
      <c r="GI4" t="inlineStr"/>
      <c r="GJ4" t="inlineStr"/>
      <c r="GK4" t="inlineStr"/>
      <c r="GL4" t="inlineStr"/>
      <c r="GM4" t="inlineStr"/>
      <c r="GN4" t="inlineStr"/>
      <c r="GO4" t="inlineStr"/>
      <c r="GP4" t="inlineStr"/>
      <c r="GQ4" t="inlineStr"/>
      <c r="GR4" t="inlineStr"/>
      <c r="GS4" t="inlineStr"/>
      <c r="GT4" t="inlineStr"/>
      <c r="GU4" t="inlineStr"/>
      <c r="GV4" t="inlineStr"/>
      <c r="GW4" t="inlineStr"/>
      <c r="GX4" t="inlineStr"/>
      <c r="GY4" t="inlineStr"/>
      <c r="GZ4" t="inlineStr"/>
      <c r="HA4" t="inlineStr"/>
      <c r="HB4" t="inlineStr"/>
      <c r="HC4" t="inlineStr"/>
      <c r="HD4" t="inlineStr"/>
      <c r="HE4" t="inlineStr"/>
      <c r="HF4" t="inlineStr"/>
      <c r="HG4" t="inlineStr"/>
      <c r="HH4" t="inlineStr"/>
      <c r="HI4" t="inlineStr"/>
      <c r="HJ4" t="inlineStr"/>
      <c r="HK4" t="inlineStr">
        <is>
          <t>85, 1011</t>
        </is>
      </c>
      <c r="HL4" t="inlineStr">
        <is>
          <t>Master’s Degree in Public Education Management (85), Master's Degree in Public Education Management (1011)</t>
        </is>
      </c>
      <c r="HM4" t="inlineStr"/>
      <c r="HN4" t="inlineStr"/>
      <c r="HO4" t="inlineStr"/>
      <c r="HP4" t="inlineStr"/>
      <c r="HQ4" t="inlineStr"/>
      <c r="HR4" t="inlineStr"/>
      <c r="HS4" t="inlineStr"/>
      <c r="HT4" t="inlineStr"/>
      <c r="HU4" t="inlineStr"/>
      <c r="HV4" t="inlineStr"/>
      <c r="HW4" t="inlineStr"/>
      <c r="HX4" t="inlineStr"/>
      <c r="HY4" t="inlineStr"/>
      <c r="HZ4" t="inlineStr"/>
      <c r="IA4" t="inlineStr"/>
      <c r="IB4" t="inlineStr"/>
      <c r="IC4" t="inlineStr"/>
      <c r="ID4" t="inlineStr"/>
      <c r="IE4" t="inlineStr"/>
      <c r="IF4" t="inlineStr"/>
      <c r="IG4" t="inlineStr"/>
      <c r="IH4" t="inlineStr"/>
      <c r="II4" t="inlineStr"/>
      <c r="IJ4" t="inlineStr"/>
      <c r="IK4" t="inlineStr"/>
      <c r="IL4" t="inlineStr"/>
      <c r="IM4" t="inlineStr"/>
      <c r="IN4" t="inlineStr"/>
      <c r="IO4" t="inlineStr"/>
      <c r="IP4" t="inlineStr"/>
      <c r="IQ4" t="inlineStr"/>
      <c r="IR4" t="inlineStr"/>
      <c r="IS4">
        <f>IF(input_content_type="",FALSE,ISNUMBER(SEARCH(","&amp;LOWER(input_content_type)&amp;",",","&amp;LOWER(F4)&amp;",")))</f>
        <v/>
      </c>
      <c r="IT4">
        <f>AND(IF(M4="",TRUE,IF(input_affiliations="",FALSE,SUMPRODUCT(--ISNUMBER(SEARCH(","&amp;TRIM(TEXTSPLIT(M4,","))&amp;",",","&amp;SUBSTITUTE(input_affiliations," ","")&amp;",")))&gt;0)),IF(O4="",TRUE,IF(input_affiliations="",FALSE,SUMPRODUCT(--ISNUMBER(SEARCH(","&amp;TRIM(TEXTSPLIT(O4,","))&amp;",",","&amp;SUBSTITUTE(input_affiliations," ","")&amp;",")))=COUNTA(TEXTSPLIT(O4,",")))),IF(Q4="",TRUE,IF(input_affiliations="",TRUE,SUMPRODUCT(--ISNUMBER(SEARCH(","&amp;TRIM(TEXTSPLIT(Q4,","))&amp;",",","&amp;SUBSTITUTE(input_affiliations," ","")&amp;",")))=0)),IF(S4="",TRUE,IF(input_affiliations="",FALSE,SUMPRODUCT(--ISNUMBER(SEARCH(","&amp;TRIM(TEXTSPLIT(S4,","))&amp;",",","&amp;SUBSTITUTE(input_affiliations," ","")&amp;",")))&gt;0)),IF(U4="",TRUE,IF(input_affiliations="",FALSE,SUMPRODUCT(--ISNUMBER(SEARCH(","&amp;TRIM(TEXTSPLIT(U4,","))&amp;",",","&amp;SUBSTITUTE(input_affiliations," ","")&amp;",")))=COUNTA(TEXTSPLIT(U4,",")))))</f>
        <v/>
      </c>
      <c r="IU4">
        <f>AND(IF(W4="",TRUE,IF(input_announcement_category="",FALSE,SUMPRODUCT(--ISNUMBER(SEARCH(","&amp;TRIM(TEXTSPLIT(W4,","))&amp;",",","&amp;SUBSTITUTE(input_announcement_category," ","")&amp;",")))&gt;0)),IF(Y4="",TRUE,IF(input_announcement_category="",FALSE,SUMPRODUCT(--ISNUMBER(SEARCH(","&amp;TRIM(TEXTSPLIT(Y4,","))&amp;",",","&amp;SUBSTITUTE(input_announcement_category," ","")&amp;",")))=COUNTA(TEXTSPLIT(Y4,",")))),IF(AA4="",TRUE,IF(input_announcement_category="",TRUE,SUMPRODUCT(--ISNUMBER(SEARCH(","&amp;TRIM(TEXTSPLIT(AA4,","))&amp;",",","&amp;SUBSTITUTE(input_announcement_category," ","")&amp;",")))=0)),IF(AC4="",TRUE,IF(input_announcement_category="",FALSE,SUMPRODUCT(--ISNUMBER(SEARCH(","&amp;TRIM(TEXTSPLIT(AC4,","))&amp;",",","&amp;SUBSTITUTE(input_announcement_category," ","")&amp;",")))&gt;0)),IF(AE4="",TRUE,IF(input_announcement_category="",FALSE,SUMPRODUCT(--ISNUMBER(SEARCH(","&amp;TRIM(TEXTSPLIT(AE4,","))&amp;",",","&amp;SUBSTITUTE(input_announcement_category," ","")&amp;",")))=COUNTA(TEXTSPLIT(AE4,",")))))</f>
        <v/>
      </c>
      <c r="IV4">
        <f>AND(IF(AG4="",TRUE,IF(input_area_of_focus="",FALSE,SUMPRODUCT(--ISNUMBER(SEARCH(","&amp;TRIM(TEXTSPLIT(AG4,","))&amp;",",","&amp;SUBSTITUTE(input_area_of_focus," ","")&amp;",")))&gt;0)),IF(AI4="",TRUE,IF(input_area_of_focus="",FALSE,SUMPRODUCT(--ISNUMBER(SEARCH(","&amp;TRIM(TEXTSPLIT(AI4,","))&amp;",",","&amp;SUBSTITUTE(input_area_of_focus," ","")&amp;",")))=COUNTA(TEXTSPLIT(AI4,",")))),IF(AK4="",TRUE,IF(input_area_of_focus="",TRUE,SUMPRODUCT(--ISNUMBER(SEARCH(","&amp;TRIM(TEXTSPLIT(AK4,","))&amp;",",","&amp;SUBSTITUTE(input_area_of_focus," ","")&amp;",")))=0)),IF(AM4="",TRUE,IF(input_area_of_focus="",FALSE,SUMPRODUCT(--ISNUMBER(SEARCH(","&amp;TRIM(TEXTSPLIT(AM4,","))&amp;",",","&amp;SUBSTITUTE(input_area_of_focus," ","")&amp;",")))&gt;0)),IF(AO4="",TRUE,IF(input_area_of_focus="",FALSE,SUMPRODUCT(--ISNUMBER(SEARCH(","&amp;TRIM(TEXTSPLIT(AO4,","))&amp;",",","&amp;SUBSTITUTE(input_area_of_focus," ","")&amp;",")))=COUNTA(TEXTSPLIT(AO4,",")))))</f>
        <v/>
      </c>
      <c r="IW4">
        <f>AND(IF(AQ4="",TRUE,IF(input_audience="",FALSE,SUMPRODUCT(--ISNUMBER(SEARCH(","&amp;TRIM(TEXTSPLIT(AQ4,","))&amp;",",","&amp;SUBSTITUTE(input_audience," ","")&amp;",")))&gt;0)),IF(AS4="",TRUE,IF(input_audience="",FALSE,SUMPRODUCT(--ISNUMBER(SEARCH(","&amp;TRIM(TEXTSPLIT(AS4,","))&amp;",",","&amp;SUBSTITUTE(input_audience," ","")&amp;",")))=COUNTA(TEXTSPLIT(AS4,",")))),IF(AU4="",TRUE,IF(input_audience="",TRUE,SUMPRODUCT(--ISNUMBER(SEARCH(","&amp;TRIM(TEXTSPLIT(AU4,","))&amp;",",","&amp;SUBSTITUTE(input_audience," ","")&amp;",")))=0)),IF(AW4="",TRUE,IF(input_audience="",FALSE,SUMPRODUCT(--ISNUMBER(SEARCH(","&amp;TRIM(TEXTSPLIT(AW4,","))&amp;",",","&amp;SUBSTITUTE(input_audience," ","")&amp;",")))&gt;0)),IF(AY4="",TRUE,IF(input_audience="",FALSE,SUMPRODUCT(--ISNUMBER(SEARCH(","&amp;TRIM(TEXTSPLIT(AY4,","))&amp;",",","&amp;SUBSTITUTE(input_audience," ","")&amp;",")))=COUNTA(TEXTSPLIT(AY4,",")))))</f>
        <v/>
      </c>
      <c r="IX4">
        <f>AND(IF(BA4="",TRUE,IF(input_challenge_opportunities="",FALSE,SUMPRODUCT(--ISNUMBER(SEARCH(","&amp;TRIM(TEXTSPLIT(BA4,","))&amp;",",","&amp;SUBSTITUTE(input_challenge_opportunities," ","")&amp;",")))&gt;0)),IF(BC4="",TRUE,IF(input_challenge_opportunities="",FALSE,SUMPRODUCT(--ISNUMBER(SEARCH(","&amp;TRIM(TEXTSPLIT(BC4,","))&amp;",",","&amp;SUBSTITUTE(input_challenge_opportunities," ","")&amp;",")))=COUNTA(TEXTSPLIT(BC4,",")))),IF(BE4="",TRUE,IF(input_challenge_opportunities="",TRUE,SUMPRODUCT(--ISNUMBER(SEARCH(","&amp;TRIM(TEXTSPLIT(BE4,","))&amp;",",","&amp;SUBSTITUTE(input_challenge_opportunities," ","")&amp;",")))=0)),IF(BG4="",TRUE,IF(input_challenge_opportunities="",FALSE,SUMPRODUCT(--ISNUMBER(SEARCH(","&amp;TRIM(TEXTSPLIT(BG4,","))&amp;",",","&amp;SUBSTITUTE(input_challenge_opportunities," ","")&amp;",")))&gt;0)),IF(BI4="",TRUE,IF(input_challenge_opportunities="",FALSE,SUMPRODUCT(--ISNUMBER(SEARCH(","&amp;TRIM(TEXTSPLIT(BI4,","))&amp;",",","&amp;SUBSTITUTE(input_challenge_opportunities," ","")&amp;",")))=COUNTA(TEXTSPLIT(BI4,",")))))</f>
        <v/>
      </c>
      <c r="IY4">
        <f>AND(IF(BK4="",TRUE,IF(input_context="",FALSE,SUMPRODUCT(--ISNUMBER(SEARCH(","&amp;TRIM(TEXTSPLIT(BK4,","))&amp;",",","&amp;SUBSTITUTE(input_context," ","")&amp;",")))&gt;0)),IF(BM4="",TRUE,IF(input_context="",FALSE,SUMPRODUCT(--ISNUMBER(SEARCH(","&amp;TRIM(TEXTSPLIT(BM4,","))&amp;",",","&amp;SUBSTITUTE(input_context," ","")&amp;",")))=COUNTA(TEXTSPLIT(BM4,",")))),IF(BO4="",TRUE,IF(input_context="",TRUE,SUMPRODUCT(--ISNUMBER(SEARCH(","&amp;TRIM(TEXTSPLIT(BO4,","))&amp;",",","&amp;SUBSTITUTE(input_context," ","")&amp;",")))=0)),IF(BQ4="",TRUE,IF(input_context="",FALSE,SUMPRODUCT(--ISNUMBER(SEARCH(","&amp;TRIM(TEXTSPLIT(BQ4,","))&amp;",",","&amp;SUBSTITUTE(input_context," ","")&amp;",")))&gt;0)),IF(BS4="",TRUE,IF(input_context="",FALSE,SUMPRODUCT(--ISNUMBER(SEARCH(","&amp;TRIM(TEXTSPLIT(BS4,","))&amp;",",","&amp;SUBSTITUTE(input_context," ","")&amp;",")))=COUNTA(TEXTSPLIT(BS4,",")))))</f>
        <v/>
      </c>
      <c r="IZ4">
        <f>AND(IF(BU4="",TRUE,IF(input_enews_announcement_type="",FALSE,SUMPRODUCT(--ISNUMBER(SEARCH(","&amp;TRIM(TEXTSPLIT(BU4,","))&amp;",",","&amp;SUBSTITUTE(input_enews_announcement_type," ","")&amp;",")))&gt;0)),IF(BW4="",TRUE,IF(input_enews_announcement_type="",FALSE,SUMPRODUCT(--ISNUMBER(SEARCH(","&amp;TRIM(TEXTSPLIT(BW4,","))&amp;",",","&amp;SUBSTITUTE(input_enews_announcement_type," ","")&amp;",")))=COUNTA(TEXTSPLIT(BW4,",")))),IF(BY4="",TRUE,IF(input_enews_announcement_type="",TRUE,SUMPRODUCT(--ISNUMBER(SEARCH(","&amp;TRIM(TEXTSPLIT(BY4,","))&amp;",",","&amp;SUBSTITUTE(input_enews_announcement_type," ","")&amp;",")))=0)),IF(CA4="",TRUE,IF(input_enews_announcement_type="",FALSE,SUMPRODUCT(--ISNUMBER(SEARCH(","&amp;TRIM(TEXTSPLIT(CA4,","))&amp;",",","&amp;SUBSTITUTE(input_enews_announcement_type," ","")&amp;",")))&gt;0)),IF(CC4="",TRUE,IF(input_enews_announcement_type="",FALSE,SUMPRODUCT(--ISNUMBER(SEARCH(","&amp;TRIM(TEXTSPLIT(CC4,","))&amp;",",","&amp;SUBSTITUTE(input_enews_announcement_type," ","")&amp;",")))=COUNTA(TEXTSPLIT(CC4,",")))))</f>
        <v/>
      </c>
      <c r="JA4">
        <f>AND(IF(CE4="",TRUE,IF(input_enews_audience="",FALSE,SUMPRODUCT(--ISNUMBER(SEARCH(","&amp;TRIM(TEXTSPLIT(CE4,","))&amp;",",","&amp;SUBSTITUTE(input_enews_audience," ","")&amp;",")))&gt;0)),IF(CG4="",TRUE,IF(input_enews_audience="",FALSE,SUMPRODUCT(--ISNUMBER(SEARCH(","&amp;TRIM(TEXTSPLIT(CG4,","))&amp;",",","&amp;SUBSTITUTE(input_enews_audience," ","")&amp;",")))=COUNTA(TEXTSPLIT(CG4,",")))),IF(CI4="",TRUE,IF(input_enews_audience="",TRUE,SUMPRODUCT(--ISNUMBER(SEARCH(","&amp;TRIM(TEXTSPLIT(CI4,","))&amp;",",","&amp;SUBSTITUTE(input_enews_audience," ","")&amp;",")))=0)),IF(CK4="",TRUE,IF(input_enews_audience="",FALSE,SUMPRODUCT(--ISNUMBER(SEARCH(","&amp;TRIM(TEXTSPLIT(CK4,","))&amp;",",","&amp;SUBSTITUTE(input_enews_audience," ","")&amp;",")))&gt;0)),IF(CM4="",TRUE,IF(input_enews_audience="",FALSE,SUMPRODUCT(--ISNUMBER(SEARCH(","&amp;TRIM(TEXTSPLIT(CM4,","))&amp;",",","&amp;SUBSTITUTE(input_enews_audience," ","")&amp;",")))=COUNTA(TEXTSPLIT(CM4,",")))))</f>
        <v/>
      </c>
      <c r="JB4">
        <f>AND(IF(CO4="",TRUE,IF(input_event_location="",FALSE,SUMPRODUCT(--ISNUMBER(SEARCH(","&amp;TRIM(TEXTSPLIT(CO4,","))&amp;",",","&amp;SUBSTITUTE(input_event_location," ","")&amp;",")))&gt;0)),IF(CQ4="",TRUE,IF(input_event_location="",FALSE,SUMPRODUCT(--ISNUMBER(SEARCH(","&amp;TRIM(TEXTSPLIT(CQ4,","))&amp;",",","&amp;SUBSTITUTE(input_event_location," ","")&amp;",")))=COUNTA(TEXTSPLIT(CQ4,",")))),IF(CS4="",TRUE,IF(input_event_location="",TRUE,SUMPRODUCT(--ISNUMBER(SEARCH(","&amp;TRIM(TEXTSPLIT(CS4,","))&amp;",",","&amp;SUBSTITUTE(input_event_location," ","")&amp;",")))=0)),IF(CU4="",TRUE,IF(input_event_location="",FALSE,SUMPRODUCT(--ISNUMBER(SEARCH(","&amp;TRIM(TEXTSPLIT(CU4,","))&amp;",",","&amp;SUBSTITUTE(input_event_location," ","")&amp;",")))&gt;0)),IF(CW4="",TRUE,IF(input_event_location="",FALSE,SUMPRODUCT(--ISNUMBER(SEARCH(","&amp;TRIM(TEXTSPLIT(CW4,","))&amp;",",","&amp;SUBSTITUTE(input_event_location," ","")&amp;",")))=COUNTA(TEXTSPLIT(CW4,",")))))</f>
        <v/>
      </c>
      <c r="JC4">
        <f>AND(IF(CY4="",TRUE,IF(input_event_type="",FALSE,SUMPRODUCT(--ISNUMBER(SEARCH(","&amp;TRIM(TEXTSPLIT(CY4,","))&amp;",",","&amp;SUBSTITUTE(input_event_type," ","")&amp;",")))&gt;0)),IF(DA4="",TRUE,IF(input_event_type="",FALSE,SUMPRODUCT(--ISNUMBER(SEARCH(","&amp;TRIM(TEXTSPLIT(DA4,","))&amp;",",","&amp;SUBSTITUTE(input_event_type," ","")&amp;",")))=COUNTA(TEXTSPLIT(DA4,",")))),IF(DC4="",TRUE,IF(input_event_type="",TRUE,SUMPRODUCT(--ISNUMBER(SEARCH(","&amp;TRIM(TEXTSPLIT(DC4,","))&amp;",",","&amp;SUBSTITUTE(input_event_type," ","")&amp;",")))=0)),IF(DE4="",TRUE,IF(input_event_type="",FALSE,SUMPRODUCT(--ISNUMBER(SEARCH(","&amp;TRIM(TEXTSPLIT(DE4,","))&amp;",",","&amp;SUBSTITUTE(input_event_type," ","")&amp;",")))&gt;0)),IF(DG4="",TRUE,IF(input_event_type="",FALSE,SUMPRODUCT(--ISNUMBER(SEARCH(","&amp;TRIM(TEXTSPLIT(DG4,","))&amp;",",","&amp;SUBSTITUTE(input_event_type," ","")&amp;",")))=COUNTA(TEXTSPLIT(DG4,",")))))</f>
        <v/>
      </c>
      <c r="JD4">
        <f>AND(IF(DI4="",TRUE,IF(input_executive_education_focus="",FALSE,SUMPRODUCT(--ISNUMBER(SEARCH(","&amp;TRIM(TEXTSPLIT(DI4,","))&amp;",",","&amp;SUBSTITUTE(input_executive_education_focus," ","")&amp;",")))&gt;0)),IF(DK4="",TRUE,IF(input_executive_education_focus="",FALSE,SUMPRODUCT(--ISNUMBER(SEARCH(","&amp;TRIM(TEXTSPLIT(DK4,","))&amp;",",","&amp;SUBSTITUTE(input_executive_education_focus," ","")&amp;",")))=COUNTA(TEXTSPLIT(DK4,",")))),IF(DM4="",TRUE,IF(input_executive_education_focus="",TRUE,SUMPRODUCT(--ISNUMBER(SEARCH(","&amp;TRIM(TEXTSPLIT(DM4,","))&amp;",",","&amp;SUBSTITUTE(input_executive_education_focus," ","")&amp;",")))=0)),IF(DO4="",TRUE,IF(input_executive_education_focus="",FALSE,SUMPRODUCT(--ISNUMBER(SEARCH(","&amp;TRIM(TEXTSPLIT(DO4,","))&amp;",",","&amp;SUBSTITUTE(input_executive_education_focus," ","")&amp;",")))&gt;0)),IF(DQ4="",TRUE,IF(input_executive_education_focus="",FALSE,SUMPRODUCT(--ISNUMBER(SEARCH(","&amp;TRIM(TEXTSPLIT(DQ4,","))&amp;",",","&amp;SUBSTITUTE(input_executive_education_focus," ","")&amp;",")))=COUNTA(TEXTSPLIT(DQ4,",")))))</f>
        <v/>
      </c>
      <c r="JE4">
        <f>AND(IF(DS4="",TRUE,IF(input_faculty_category="",FALSE,SUMPRODUCT(--ISNUMBER(SEARCH(","&amp;TRIM(TEXTSPLIT(DS4,","))&amp;",",","&amp;SUBSTITUTE(input_faculty_category," ","")&amp;",")))&gt;0)),IF(DU4="",TRUE,IF(input_faculty_category="",FALSE,SUMPRODUCT(--ISNUMBER(SEARCH(","&amp;TRIM(TEXTSPLIT(DU4,","))&amp;",",","&amp;SUBSTITUTE(input_faculty_category," ","")&amp;",")))=COUNTA(TEXTSPLIT(DU4,",")))),IF(DW4="",TRUE,IF(input_faculty_category="",TRUE,SUMPRODUCT(--ISNUMBER(SEARCH(","&amp;TRIM(TEXTSPLIT(DW4,","))&amp;",",","&amp;SUBSTITUTE(input_faculty_category," ","")&amp;",")))=0)),IF(DY4="",TRUE,IF(input_faculty_category="",FALSE,SUMPRODUCT(--ISNUMBER(SEARCH(","&amp;TRIM(TEXTSPLIT(DY4,","))&amp;",",","&amp;SUBSTITUTE(input_faculty_category," ","")&amp;",")))&gt;0)),IF(EA4="",TRUE,IF(input_faculty_category="",FALSE,SUMPRODUCT(--ISNUMBER(SEARCH(","&amp;TRIM(TEXTSPLIT(EA4,","))&amp;",",","&amp;SUBSTITUTE(input_faculty_category," ","")&amp;",")))=COUNTA(TEXTSPLIT(EA4,",")))))</f>
        <v/>
      </c>
      <c r="JF4">
        <f>AND(IF(EC4="",TRUE,IF(input_faculty_discipline="",FALSE,SUMPRODUCT(--ISNUMBER(SEARCH(","&amp;TRIM(TEXTSPLIT(EC4,","))&amp;",",","&amp;SUBSTITUTE(input_faculty_discipline," ","")&amp;",")))&gt;0)),IF(EE4="",TRUE,IF(input_faculty_discipline="",FALSE,SUMPRODUCT(--ISNUMBER(SEARCH(","&amp;TRIM(TEXTSPLIT(EE4,","))&amp;",",","&amp;SUBSTITUTE(input_faculty_discipline," ","")&amp;",")))=COUNTA(TEXTSPLIT(EE4,",")))),IF(EG4="",TRUE,IF(input_faculty_discipline="",TRUE,SUMPRODUCT(--ISNUMBER(SEARCH(","&amp;TRIM(TEXTSPLIT(EG4,","))&amp;",",","&amp;SUBSTITUTE(input_faculty_discipline," ","")&amp;",")))=0)),IF(EI4="",TRUE,IF(input_faculty_discipline="",FALSE,SUMPRODUCT(--ISNUMBER(SEARCH(","&amp;TRIM(TEXTSPLIT(EI4,","))&amp;",",","&amp;SUBSTITUTE(input_faculty_discipline," ","")&amp;",")))&gt;0)),IF(EK4="",TRUE,IF(input_faculty_discipline="",FALSE,SUMPRODUCT(--ISNUMBER(SEARCH(","&amp;TRIM(TEXTSPLIT(EK4,","))&amp;",",","&amp;SUBSTITUTE(input_faculty_discipline," ","")&amp;",")))=COUNTA(TEXTSPLIT(EK4,",")))))</f>
        <v/>
      </c>
      <c r="JG4">
        <f>AND(IF(EM4="",TRUE,IF(input_faculty_expertise="",FALSE,SUMPRODUCT(--ISNUMBER(SEARCH(","&amp;TRIM(TEXTSPLIT(EM4,","))&amp;",",","&amp;SUBSTITUTE(input_faculty_expertise," ","")&amp;",")))&gt;0)),IF(EO4="",TRUE,IF(input_faculty_expertise="",FALSE,SUMPRODUCT(--ISNUMBER(SEARCH(","&amp;TRIM(TEXTSPLIT(EO4,","))&amp;",",","&amp;SUBSTITUTE(input_faculty_expertise," ","")&amp;",")))=COUNTA(TEXTSPLIT(EO4,",")))),IF(EQ4="",TRUE,IF(input_faculty_expertise="",TRUE,SUMPRODUCT(--ISNUMBER(SEARCH(","&amp;TRIM(TEXTSPLIT(EQ4,","))&amp;",",","&amp;SUBSTITUTE(input_faculty_expertise," ","")&amp;",")))=0)),IF(ES4="",TRUE,IF(input_faculty_expertise="",FALSE,SUMPRODUCT(--ISNUMBER(SEARCH(","&amp;TRIM(TEXTSPLIT(ES4,","))&amp;",",","&amp;SUBSTITUTE(input_faculty_expertise," ","")&amp;",")))&gt;0)),IF(EU4="",TRUE,IF(input_faculty_expertise="",FALSE,SUMPRODUCT(--ISNUMBER(SEARCH(","&amp;TRIM(TEXTSPLIT(EU4,","))&amp;",",","&amp;SUBSTITUTE(input_faculty_expertise," ","")&amp;",")))=COUNTA(TEXTSPLIT(EU4,",")))))</f>
        <v/>
      </c>
      <c r="JH4">
        <f>AND(IF(EW4="",TRUE,IF(input_global_network_school="",FALSE,SUMPRODUCT(--ISNUMBER(SEARCH(","&amp;TRIM(TEXTSPLIT(EW4,","))&amp;",",","&amp;SUBSTITUTE(input_global_network_school," ","")&amp;",")))&gt;0)),IF(EY4="",TRUE,IF(input_global_network_school="",FALSE,SUMPRODUCT(--ISNUMBER(SEARCH(","&amp;TRIM(TEXTSPLIT(EY4,","))&amp;",",","&amp;SUBSTITUTE(input_global_network_school," ","")&amp;",")))=COUNTA(TEXTSPLIT(EY4,",")))),IF(FA4="",TRUE,IF(input_global_network_school="",TRUE,SUMPRODUCT(--ISNUMBER(SEARCH(","&amp;TRIM(TEXTSPLIT(FA4,","))&amp;",",","&amp;SUBSTITUTE(input_global_network_school," ","")&amp;",")))=0)),IF(FC4="",TRUE,IF(input_global_network_school="",FALSE,SUMPRODUCT(--ISNUMBER(SEARCH(","&amp;TRIM(TEXTSPLIT(FC4,","))&amp;",",","&amp;SUBSTITUTE(input_global_network_school," ","")&amp;",")))&gt;0)),IF(FE4="",TRUE,IF(input_global_network_school="",FALSE,SUMPRODUCT(--ISNUMBER(SEARCH(","&amp;TRIM(TEXTSPLIT(FE4,","))&amp;",",","&amp;SUBSTITUTE(input_global_network_school," ","")&amp;",")))=COUNTA(TEXTSPLIT(FE4,",")))))</f>
        <v/>
      </c>
      <c r="JI4">
        <f>AND(IF(FG4="",TRUE,IF(input_industry="",FALSE,SUMPRODUCT(--ISNUMBER(SEARCH(","&amp;TRIM(TEXTSPLIT(FG4,","))&amp;",",","&amp;SUBSTITUTE(input_industry," ","")&amp;",")))&gt;0)),IF(FI4="",TRUE,IF(input_industry="",FALSE,SUMPRODUCT(--ISNUMBER(SEARCH(","&amp;TRIM(TEXTSPLIT(FI4,","))&amp;",",","&amp;SUBSTITUTE(input_industry," ","")&amp;",")))=COUNTA(TEXTSPLIT(FI4,",")))),IF(FK4="",TRUE,IF(input_industry="",TRUE,SUMPRODUCT(--ISNUMBER(SEARCH(","&amp;TRIM(TEXTSPLIT(FK4,","))&amp;",",","&amp;SUBSTITUTE(input_industry," ","")&amp;",")))=0)),IF(FM4="",TRUE,IF(input_industry="",FALSE,SUMPRODUCT(--ISNUMBER(SEARCH(","&amp;TRIM(TEXTSPLIT(FM4,","))&amp;",",","&amp;SUBSTITUTE(input_industry," ","")&amp;",")))&gt;0)),IF(FO4="",TRUE,IF(input_industry="",FALSE,SUMPRODUCT(--ISNUMBER(SEARCH(","&amp;TRIM(TEXTSPLIT(FO4,","))&amp;",",","&amp;SUBSTITUTE(input_industry," ","")&amp;",")))=COUNTA(TEXTSPLIT(FO4,",")))))</f>
        <v/>
      </c>
      <c r="JJ4">
        <f>AND(IF(FQ4="",TRUE,IF(input_location="",FALSE,SUMPRODUCT(--ISNUMBER(SEARCH(","&amp;TRIM(TEXTSPLIT(FQ4,","))&amp;",",","&amp;SUBSTITUTE(input_location," ","")&amp;",")))&gt;0)),IF(FS4="",TRUE,IF(input_location="",FALSE,SUMPRODUCT(--ISNUMBER(SEARCH(","&amp;TRIM(TEXTSPLIT(FS4,","))&amp;",",","&amp;SUBSTITUTE(input_location," ","")&amp;",")))=COUNTA(TEXTSPLIT(FS4,",")))),IF(FU4="",TRUE,IF(input_location="",TRUE,SUMPRODUCT(--ISNUMBER(SEARCH(","&amp;TRIM(TEXTSPLIT(FU4,","))&amp;",",","&amp;SUBSTITUTE(input_location," ","")&amp;",")))=0)),IF(FW4="",TRUE,IF(input_location="",FALSE,SUMPRODUCT(--ISNUMBER(SEARCH(","&amp;TRIM(TEXTSPLIT(FW4,","))&amp;",",","&amp;SUBSTITUTE(input_location," ","")&amp;",")))&gt;0)),IF(FY4="",TRUE,IF(input_location="",FALSE,SUMPRODUCT(--ISNUMBER(SEARCH(","&amp;TRIM(TEXTSPLIT(FY4,","))&amp;",",","&amp;SUBSTITUTE(input_location," ","")&amp;",")))=COUNTA(TEXTSPLIT(FY4,",")))))</f>
        <v/>
      </c>
      <c r="JK4">
        <f>AND(IF(GA4="",TRUE,IF(input_modality="",FALSE,SUMPRODUCT(--ISNUMBER(SEARCH(","&amp;TRIM(TEXTSPLIT(GA4,","))&amp;",",","&amp;SUBSTITUTE(input_modality," ","")&amp;",")))&gt;0)),IF(GC4="",TRUE,IF(input_modality="",FALSE,SUMPRODUCT(--ISNUMBER(SEARCH(","&amp;TRIM(TEXTSPLIT(GC4,","))&amp;",",","&amp;SUBSTITUTE(input_modality," ","")&amp;",")))=COUNTA(TEXTSPLIT(GC4,",")))),IF(GE4="",TRUE,IF(input_modality="",TRUE,SUMPRODUCT(--ISNUMBER(SEARCH(","&amp;TRIM(TEXTSPLIT(GE4,","))&amp;",",","&amp;SUBSTITUTE(input_modality," ","")&amp;",")))=0)),IF(GG4="",TRUE,IF(input_modality="",FALSE,SUMPRODUCT(--ISNUMBER(SEARCH(","&amp;TRIM(TEXTSPLIT(GG4,","))&amp;",",","&amp;SUBSTITUTE(input_modality," ","")&amp;",")))&gt;0)),IF(GI4="",TRUE,IF(input_modality="",FALSE,SUMPRODUCT(--ISNUMBER(SEARCH(","&amp;TRIM(TEXTSPLIT(GI4,","))&amp;",",","&amp;SUBSTITUTE(input_modality," ","")&amp;",")))=COUNTA(TEXTSPLIT(GI4,",")))))</f>
        <v/>
      </c>
      <c r="JL4">
        <f>AND(IF(GK4="",TRUE,IF(input_organizer="",FALSE,SUMPRODUCT(--ISNUMBER(SEARCH(","&amp;TRIM(TEXTSPLIT(GK4,","))&amp;",",","&amp;SUBSTITUTE(input_organizer," ","")&amp;",")))&gt;0)),IF(GM4="",TRUE,IF(input_organizer="",FALSE,SUMPRODUCT(--ISNUMBER(SEARCH(","&amp;TRIM(TEXTSPLIT(GM4,","))&amp;",",","&amp;SUBSTITUTE(input_organizer," ","")&amp;",")))=COUNTA(TEXTSPLIT(GM4,",")))),IF(GO4="",TRUE,IF(input_organizer="",TRUE,SUMPRODUCT(--ISNUMBER(SEARCH(","&amp;TRIM(TEXTSPLIT(GO4,","))&amp;",",","&amp;SUBSTITUTE(input_organizer," ","")&amp;",")))=0)),IF(GQ4="",TRUE,IF(input_organizer="",FALSE,SUMPRODUCT(--ISNUMBER(SEARCH(","&amp;TRIM(TEXTSPLIT(GQ4,","))&amp;",",","&amp;SUBSTITUTE(input_organizer," ","")&amp;",")))&gt;0)),IF(GS4="",TRUE,IF(input_organizer="",FALSE,SUMPRODUCT(--ISNUMBER(SEARCH(","&amp;TRIM(TEXTSPLIT(GS4,","))&amp;",",","&amp;SUBSTITUTE(input_organizer," ","")&amp;",")))=COUNTA(TEXTSPLIT(GS4,",")))))</f>
        <v/>
      </c>
      <c r="JM4">
        <f>AND(IF(GU4="",TRUE,IF(input_profile_type="",FALSE,SUMPRODUCT(--ISNUMBER(SEARCH(","&amp;TRIM(TEXTSPLIT(GU4,","))&amp;",",","&amp;SUBSTITUTE(input_profile_type," ","")&amp;",")))&gt;0)),IF(GW4="",TRUE,IF(input_profile_type="",FALSE,SUMPRODUCT(--ISNUMBER(SEARCH(","&amp;TRIM(TEXTSPLIT(GW4,","))&amp;",",","&amp;SUBSTITUTE(input_profile_type," ","")&amp;",")))=COUNTA(TEXTSPLIT(GW4,",")))),IF(GY4="",TRUE,IF(input_profile_type="",TRUE,SUMPRODUCT(--ISNUMBER(SEARCH(","&amp;TRIM(TEXTSPLIT(GY4,","))&amp;",",","&amp;SUBSTITUTE(input_profile_type," ","")&amp;",")))=0)),IF(HA4="",TRUE,IF(input_profile_type="",FALSE,SUMPRODUCT(--ISNUMBER(SEARCH(","&amp;TRIM(TEXTSPLIT(HA4,","))&amp;",",","&amp;SUBSTITUTE(input_profile_type," ","")&amp;",")))&gt;0)),IF(HC4="",TRUE,IF(input_profile_type="",FALSE,SUMPRODUCT(--ISNUMBER(SEARCH(","&amp;TRIM(TEXTSPLIT(HC4,","))&amp;",",","&amp;SUBSTITUTE(input_profile_type," ","")&amp;",")))=COUNTA(TEXTSPLIT(HC4,",")))))</f>
        <v/>
      </c>
      <c r="JN4">
        <f>AND(IF(HE4="",TRUE,IF(input_program="",FALSE,SUMPRODUCT(--ISNUMBER(SEARCH(","&amp;TRIM(TEXTSPLIT(HE4,","))&amp;",",","&amp;SUBSTITUTE(input_program," ","")&amp;",")))&gt;0)),IF(HG4="",TRUE,IF(input_program="",FALSE,SUMPRODUCT(--ISNUMBER(SEARCH(","&amp;TRIM(TEXTSPLIT(HG4,","))&amp;",",","&amp;SUBSTITUTE(input_program," ","")&amp;",")))=COUNTA(TEXTSPLIT(HG4,",")))),IF(HI4="",TRUE,IF(input_program="",TRUE,SUMPRODUCT(--ISNUMBER(SEARCH(","&amp;TRIM(TEXTSPLIT(HI4,","))&amp;",",","&amp;SUBSTITUTE(input_program," ","")&amp;",")))=0)),IF(HK4="",TRUE,IF(input_program="",FALSE,SUMPRODUCT(--ISNUMBER(SEARCH(","&amp;TRIM(TEXTSPLIT(HK4,","))&amp;",",","&amp;SUBSTITUTE(input_program," ","")&amp;",")))&gt;0)),IF(HM4="",TRUE,IF(input_program="",FALSE,SUMPRODUCT(--ISNUMBER(SEARCH(","&amp;TRIM(TEXTSPLIT(HM4,","))&amp;",",","&amp;SUBSTITUTE(input_program," ","")&amp;",")))=COUNTA(TEXTSPLIT(HM4,",")))))</f>
        <v/>
      </c>
      <c r="JO4">
        <f>AND(IF(HO4="",TRUE,IF(input_story_categories="",FALSE,SUMPRODUCT(--ISNUMBER(SEARCH(","&amp;TRIM(TEXTSPLIT(HO4,","))&amp;",",","&amp;SUBSTITUTE(input_story_categories," ","")&amp;",")))&gt;0)),IF(HQ4="",TRUE,IF(input_story_categories="",FALSE,SUMPRODUCT(--ISNUMBER(SEARCH(","&amp;TRIM(TEXTSPLIT(HQ4,","))&amp;",",","&amp;SUBSTITUTE(input_story_categories," ","")&amp;",")))=COUNTA(TEXTSPLIT(HQ4,",")))),IF(HS4="",TRUE,IF(input_story_categories="",TRUE,SUMPRODUCT(--ISNUMBER(SEARCH(","&amp;TRIM(TEXTSPLIT(HS4,","))&amp;",",","&amp;SUBSTITUTE(input_story_categories," ","")&amp;",")))=0)),IF(HU4="",TRUE,IF(input_story_categories="",FALSE,SUMPRODUCT(--ISNUMBER(SEARCH(","&amp;TRIM(TEXTSPLIT(HU4,","))&amp;",",","&amp;SUBSTITUTE(input_story_categories," ","")&amp;",")))&gt;0)),IF(HW4="",TRUE,IF(input_story_categories="",FALSE,SUMPRODUCT(--ISNUMBER(SEARCH(","&amp;TRIM(TEXTSPLIT(HW4,","))&amp;",",","&amp;SUBSTITUTE(input_story_categories," ","")&amp;",")))=COUNTA(TEXTSPLIT(HW4,",")))))</f>
        <v/>
      </c>
      <c r="JP4">
        <f>AND(IF(HY4="",TRUE,IF(input_story_type="",FALSE,SUMPRODUCT(--ISNUMBER(SEARCH(","&amp;TRIM(TEXTSPLIT(HY4,","))&amp;",",","&amp;SUBSTITUTE(input_story_type," ","")&amp;",")))&gt;0)),IF(IA4="",TRUE,IF(input_story_type="",FALSE,SUMPRODUCT(--ISNUMBER(SEARCH(","&amp;TRIM(TEXTSPLIT(IA4,","))&amp;",",","&amp;SUBSTITUTE(input_story_type," ","")&amp;",")))=COUNTA(TEXTSPLIT(IA4,",")))),IF(IC4="",TRUE,IF(input_story_type="",TRUE,SUMPRODUCT(--ISNUMBER(SEARCH(","&amp;TRIM(TEXTSPLIT(IC4,","))&amp;",",","&amp;SUBSTITUTE(input_story_type," ","")&amp;",")))=0)),IF(IE4="",TRUE,IF(input_story_type="",FALSE,SUMPRODUCT(--ISNUMBER(SEARCH(","&amp;TRIM(TEXTSPLIT(IE4,","))&amp;",",","&amp;SUBSTITUTE(input_story_type," ","")&amp;",")))&gt;0)),IF(IG4="",TRUE,IF(input_story_type="",FALSE,SUMPRODUCT(--ISNUMBER(SEARCH(","&amp;TRIM(TEXTSPLIT(IG4,","))&amp;",",","&amp;SUBSTITUTE(input_story_type," ","")&amp;",")))=COUNTA(TEXTSPLIT(IG4,",")))))</f>
        <v/>
      </c>
      <c r="JQ4">
        <f>AND(IF(II4="",TRUE,IF(input_topics="",FALSE,SUMPRODUCT(--ISNUMBER(SEARCH(","&amp;TRIM(TEXTSPLIT(II4,","))&amp;",",","&amp;SUBSTITUTE(input_topics," ","")&amp;",")))&gt;0)),IF(IK4="",TRUE,IF(input_topics="",FALSE,SUMPRODUCT(--ISNUMBER(SEARCH(","&amp;TRIM(TEXTSPLIT(IK4,","))&amp;",",","&amp;SUBSTITUTE(input_topics," ","")&amp;",")))=COUNTA(TEXTSPLIT(IK4,",")))),IF(IM4="",TRUE,IF(input_topics="",TRUE,SUMPRODUCT(--ISNUMBER(SEARCH(","&amp;TRIM(TEXTSPLIT(IM4,","))&amp;",",","&amp;SUBSTITUTE(input_topics," ","")&amp;",")))=0)),IF(IO4="",TRUE,IF(input_topics="",FALSE,SUMPRODUCT(--ISNUMBER(SEARCH(","&amp;TRIM(TEXTSPLIT(IO4,","))&amp;",",","&amp;SUBSTITUTE(input_topics," ","")&amp;",")))&gt;0)),IF(IQ4="",TRUE,IF(input_topics="",FALSE,SUMPRODUCT(--ISNUMBER(SEARCH(","&amp;TRIM(TEXTSPLIT(IQ4,","))&amp;",",","&amp;SUBSTITUTE(input_topics," ","")&amp;",")))=COUNTA(TEXTSPLIT(IQ4,",")))))</f>
        <v/>
      </c>
    </row>
    <row r="5">
      <c r="A5" s="4">
        <f>IF(NOT(IS5),"Excluded",IF(AND(IT5,IU5,IV5,IW5,IX5,IY5,IZ5,JA5,JB5,JC5,JD5,JE5,JF5,JG5,JH5,JI5,JJ5,JK5,JL5,JM5,JN5,JO5,JP5,JQ5),IF(I5&gt;0,"Eligible but limited","Will appear"),"Excluded"))</f>
        <v/>
      </c>
      <c r="B5" s="4" t="inlineStr">
        <is>
          <t>Admissions Events</t>
        </is>
      </c>
      <c r="C5" s="4" t="inlineStr">
        <is>
          <t>/programs/mms-asset-management/admissions/admissions-events</t>
        </is>
      </c>
      <c r="D5" s="4" t="inlineStr">
        <is>
          <t>/programs/mms-asset-management/admissions/admissions-events</t>
        </is>
      </c>
      <c r="E5" s="4" t="n">
        <v>1</v>
      </c>
      <c r="F5" s="4" t="inlineStr">
        <is>
          <t>event</t>
        </is>
      </c>
      <c r="G5" s="4" t="inlineStr">
        <is>
          <t>external_event_list</t>
        </is>
      </c>
      <c r="H5" s="4" t="inlineStr">
        <is>
          <t>embed_filter_modality_type_location</t>
        </is>
      </c>
      <c r="I5" s="4" t="n">
        <v>8</v>
      </c>
      <c r="J5" s="4" t="inlineStr">
        <is>
          <t>Explicit args</t>
        </is>
      </c>
      <c r="K5" s="4" t="inlineStr">
        <is>
          <t>Page placement</t>
        </is>
      </c>
      <c r="L5" s="4" t="inlineStr">
        <is>
          <t>Content type: event; Context needs all Courses Context: Master's Degree in Asset Management (930), Admissions Events (994); Needs any Event Type: Admissions Events (994); Limited to 8 item(s); Source: Explicit args</t>
        </is>
      </c>
      <c r="M5" t="inlineStr"/>
      <c r="N5" t="inlineStr"/>
      <c r="O5" t="inlineStr"/>
      <c r="P5" t="inlineStr"/>
      <c r="Q5" t="inlineStr"/>
      <c r="R5" t="inlineStr"/>
      <c r="S5" t="inlineStr"/>
      <c r="T5" t="inlineStr"/>
      <c r="U5" t="inlineStr"/>
      <c r="V5" t="inlineStr"/>
      <c r="W5" t="inlineStr"/>
      <c r="X5" t="inlineStr"/>
      <c r="Y5" t="inlineStr"/>
      <c r="Z5" t="inlineStr"/>
      <c r="AA5" t="inlineStr"/>
      <c r="AB5" t="inlineStr"/>
      <c r="AC5" t="inlineStr"/>
      <c r="AD5" t="inlineStr"/>
      <c r="AE5" t="inlineStr"/>
      <c r="AF5" t="inlineStr"/>
      <c r="AG5" t="inlineStr"/>
      <c r="AH5" t="inlineStr"/>
      <c r="AI5" t="inlineStr"/>
      <c r="AJ5" t="inlineStr"/>
      <c r="AK5" t="inlineStr"/>
      <c r="AL5" t="inlineStr"/>
      <c r="AM5" t="inlineStr"/>
      <c r="AN5" t="inlineStr"/>
      <c r="AO5" t="inlineStr"/>
      <c r="AP5" t="inlineStr"/>
      <c r="AQ5" t="inlineStr"/>
      <c r="AR5" t="inlineStr"/>
      <c r="AS5" t="inlineStr"/>
      <c r="AT5" t="inlineStr"/>
      <c r="AU5" t="inlineStr"/>
      <c r="AV5" t="inlineStr"/>
      <c r="AW5" t="inlineStr"/>
      <c r="AX5" t="inlineStr"/>
      <c r="AY5" t="inlineStr"/>
      <c r="AZ5" t="inlineStr"/>
      <c r="BA5" t="inlineStr"/>
      <c r="BB5" t="inlineStr"/>
      <c r="BC5" t="inlineStr"/>
      <c r="BD5" t="inlineStr"/>
      <c r="BE5" t="inlineStr"/>
      <c r="BF5" t="inlineStr"/>
      <c r="BG5" t="inlineStr"/>
      <c r="BH5" t="inlineStr"/>
      <c r="BI5" t="inlineStr"/>
      <c r="BJ5" t="inlineStr"/>
      <c r="BK5" t="inlineStr"/>
      <c r="BL5" t="inlineStr"/>
      <c r="BM5" t="inlineStr"/>
      <c r="BN5" t="inlineStr"/>
      <c r="BO5" t="inlineStr"/>
      <c r="BP5" t="inlineStr"/>
      <c r="BQ5" t="inlineStr"/>
      <c r="BR5" t="inlineStr"/>
      <c r="BS5" t="inlineStr">
        <is>
          <t>930, 994</t>
        </is>
      </c>
      <c r="BT5" t="inlineStr">
        <is>
          <t>Master's Degree in Asset Management (930), Admissions Events (994)</t>
        </is>
      </c>
      <c r="BU5" t="inlineStr"/>
      <c r="BV5" t="inlineStr"/>
      <c r="BW5" t="inlineStr"/>
      <c r="BX5" t="inlineStr"/>
      <c r="BY5" t="inlineStr"/>
      <c r="BZ5" t="inlineStr"/>
      <c r="CA5" t="inlineStr"/>
      <c r="CB5" t="inlineStr"/>
      <c r="CC5" t="inlineStr"/>
      <c r="CD5" t="inlineStr"/>
      <c r="CE5" t="inlineStr"/>
      <c r="CF5" t="inlineStr"/>
      <c r="CG5" t="inlineStr"/>
      <c r="CH5" t="inlineStr"/>
      <c r="CI5" t="inlineStr"/>
      <c r="CJ5" t="inlineStr"/>
      <c r="CK5" t="inlineStr"/>
      <c r="CL5" t="inlineStr"/>
      <c r="CM5" t="inlineStr"/>
      <c r="CN5" t="inlineStr"/>
      <c r="CO5" t="inlineStr"/>
      <c r="CP5" t="inlineStr"/>
      <c r="CQ5" t="inlineStr"/>
      <c r="CR5" t="inlineStr"/>
      <c r="CS5" t="inlineStr"/>
      <c r="CT5" t="inlineStr"/>
      <c r="CU5" t="inlineStr"/>
      <c r="CV5" t="inlineStr"/>
      <c r="CW5" t="inlineStr"/>
      <c r="CX5" t="inlineStr"/>
      <c r="CY5" t="inlineStr">
        <is>
          <t>994</t>
        </is>
      </c>
      <c r="CZ5" t="inlineStr">
        <is>
          <t>Admissions Events (994)</t>
        </is>
      </c>
      <c r="DA5" t="inlineStr"/>
      <c r="DB5" t="inlineStr"/>
      <c r="DC5" t="inlineStr"/>
      <c r="DD5" t="inlineStr"/>
      <c r="DE5" t="inlineStr"/>
      <c r="DF5" t="inlineStr"/>
      <c r="DG5" t="inlineStr"/>
      <c r="DH5" t="inlineStr"/>
      <c r="DI5" t="inlineStr"/>
      <c r="DJ5" t="inlineStr"/>
      <c r="DK5" t="inlineStr"/>
      <c r="DL5" t="inlineStr"/>
      <c r="DM5" t="inlineStr"/>
      <c r="DN5" t="inlineStr"/>
      <c r="DO5" t="inlineStr"/>
      <c r="DP5" t="inlineStr"/>
      <c r="DQ5" t="inlineStr"/>
      <c r="DR5" t="inlineStr"/>
      <c r="DS5" t="inlineStr"/>
      <c r="DT5" t="inlineStr"/>
      <c r="DU5" t="inlineStr"/>
      <c r="DV5" t="inlineStr"/>
      <c r="DW5" t="inlineStr"/>
      <c r="DX5" t="inlineStr"/>
      <c r="DY5" t="inlineStr"/>
      <c r="DZ5" t="inlineStr"/>
      <c r="EA5" t="inlineStr"/>
      <c r="EB5" t="inlineStr"/>
      <c r="EC5" t="inlineStr"/>
      <c r="ED5" t="inlineStr"/>
      <c r="EE5" t="inlineStr"/>
      <c r="EF5" t="inlineStr"/>
      <c r="EG5" t="inlineStr"/>
      <c r="EH5" t="inlineStr"/>
      <c r="EI5" t="inlineStr"/>
      <c r="EJ5" t="inlineStr"/>
      <c r="EK5" t="inlineStr"/>
      <c r="EL5" t="inlineStr"/>
      <c r="EM5" t="inlineStr"/>
      <c r="EN5" t="inlineStr"/>
      <c r="EO5" t="inlineStr"/>
      <c r="EP5" t="inlineStr"/>
      <c r="EQ5" t="inlineStr"/>
      <c r="ER5" t="inlineStr"/>
      <c r="ES5" t="inlineStr"/>
      <c r="ET5" t="inlineStr"/>
      <c r="EU5" t="inlineStr"/>
      <c r="EV5" t="inlineStr"/>
      <c r="EW5" t="inlineStr"/>
      <c r="EX5" t="inlineStr"/>
      <c r="EY5" t="inlineStr"/>
      <c r="EZ5" t="inlineStr"/>
      <c r="FA5" t="inlineStr"/>
      <c r="FB5" t="inlineStr"/>
      <c r="FC5" t="inlineStr"/>
      <c r="FD5" t="inlineStr"/>
      <c r="FE5" t="inlineStr"/>
      <c r="FF5" t="inlineStr"/>
      <c r="FG5" t="inlineStr"/>
      <c r="FH5" t="inlineStr"/>
      <c r="FI5" t="inlineStr"/>
      <c r="FJ5" t="inlineStr"/>
      <c r="FK5" t="inlineStr"/>
      <c r="FL5" t="inlineStr"/>
      <c r="FM5" t="inlineStr"/>
      <c r="FN5" t="inlineStr"/>
      <c r="FO5" t="inlineStr"/>
      <c r="FP5" t="inlineStr"/>
      <c r="FQ5" t="inlineStr"/>
      <c r="FR5" t="inlineStr"/>
      <c r="FS5" t="inlineStr"/>
      <c r="FT5" t="inlineStr"/>
      <c r="FU5" t="inlineStr"/>
      <c r="FV5" t="inlineStr"/>
      <c r="FW5" t="inlineStr"/>
      <c r="FX5" t="inlineStr"/>
      <c r="FY5" t="inlineStr"/>
      <c r="FZ5" t="inlineStr"/>
      <c r="GA5" t="inlineStr"/>
      <c r="GB5" t="inlineStr"/>
      <c r="GC5" t="inlineStr"/>
      <c r="GD5" t="inlineStr"/>
      <c r="GE5" t="inlineStr"/>
      <c r="GF5" t="inlineStr"/>
      <c r="GG5" t="inlineStr"/>
      <c r="GH5" t="inlineStr"/>
      <c r="GI5" t="inlineStr"/>
      <c r="GJ5" t="inlineStr"/>
      <c r="GK5" t="inlineStr"/>
      <c r="GL5" t="inlineStr"/>
      <c r="GM5" t="inlineStr"/>
      <c r="GN5" t="inlineStr"/>
      <c r="GO5" t="inlineStr"/>
      <c r="GP5" t="inlineStr"/>
      <c r="GQ5" t="inlineStr"/>
      <c r="GR5" t="inlineStr"/>
      <c r="GS5" t="inlineStr"/>
      <c r="GT5" t="inlineStr"/>
      <c r="GU5" t="inlineStr"/>
      <c r="GV5" t="inlineStr"/>
      <c r="GW5" t="inlineStr"/>
      <c r="GX5" t="inlineStr"/>
      <c r="GY5" t="inlineStr"/>
      <c r="GZ5" t="inlineStr"/>
      <c r="HA5" t="inlineStr"/>
      <c r="HB5" t="inlineStr"/>
      <c r="HC5" t="inlineStr"/>
      <c r="HD5" t="inlineStr"/>
      <c r="HE5" t="inlineStr"/>
      <c r="HF5" t="inlineStr"/>
      <c r="HG5" t="inlineStr"/>
      <c r="HH5" t="inlineStr"/>
      <c r="HI5" t="inlineStr"/>
      <c r="HJ5" t="inlineStr"/>
      <c r="HK5" t="inlineStr"/>
      <c r="HL5" t="inlineStr"/>
      <c r="HM5" t="inlineStr"/>
      <c r="HN5" t="inlineStr"/>
      <c r="HO5" t="inlineStr"/>
      <c r="HP5" t="inlineStr"/>
      <c r="HQ5" t="inlineStr"/>
      <c r="HR5" t="inlineStr"/>
      <c r="HS5" t="inlineStr"/>
      <c r="HT5" t="inlineStr"/>
      <c r="HU5" t="inlineStr"/>
      <c r="HV5" t="inlineStr"/>
      <c r="HW5" t="inlineStr"/>
      <c r="HX5" t="inlineStr"/>
      <c r="HY5" t="inlineStr"/>
      <c r="HZ5" t="inlineStr"/>
      <c r="IA5" t="inlineStr"/>
      <c r="IB5" t="inlineStr"/>
      <c r="IC5" t="inlineStr"/>
      <c r="ID5" t="inlineStr"/>
      <c r="IE5" t="inlineStr"/>
      <c r="IF5" t="inlineStr"/>
      <c r="IG5" t="inlineStr"/>
      <c r="IH5" t="inlineStr"/>
      <c r="II5" t="inlineStr"/>
      <c r="IJ5" t="inlineStr"/>
      <c r="IK5" t="inlineStr"/>
      <c r="IL5" t="inlineStr"/>
      <c r="IM5" t="inlineStr"/>
      <c r="IN5" t="inlineStr"/>
      <c r="IO5" t="inlineStr"/>
      <c r="IP5" t="inlineStr"/>
      <c r="IQ5" t="inlineStr"/>
      <c r="IR5" t="inlineStr"/>
      <c r="IS5">
        <f>IF(input_content_type="",FALSE,ISNUMBER(SEARCH(","&amp;LOWER(input_content_type)&amp;",",","&amp;LOWER(F5)&amp;",")))</f>
        <v/>
      </c>
      <c r="IT5">
        <f>AND(IF(M5="",TRUE,IF(input_affiliations="",FALSE,SUMPRODUCT(--ISNUMBER(SEARCH(","&amp;TRIM(TEXTSPLIT(M5,","))&amp;",",","&amp;SUBSTITUTE(input_affiliations," ","")&amp;",")))&gt;0)),IF(O5="",TRUE,IF(input_affiliations="",FALSE,SUMPRODUCT(--ISNUMBER(SEARCH(","&amp;TRIM(TEXTSPLIT(O5,","))&amp;",",","&amp;SUBSTITUTE(input_affiliations," ","")&amp;",")))=COUNTA(TEXTSPLIT(O5,",")))),IF(Q5="",TRUE,IF(input_affiliations="",TRUE,SUMPRODUCT(--ISNUMBER(SEARCH(","&amp;TRIM(TEXTSPLIT(Q5,","))&amp;",",","&amp;SUBSTITUTE(input_affiliations," ","")&amp;",")))=0)),IF(S5="",TRUE,IF(input_affiliations="",FALSE,SUMPRODUCT(--ISNUMBER(SEARCH(","&amp;TRIM(TEXTSPLIT(S5,","))&amp;",",","&amp;SUBSTITUTE(input_affiliations," ","")&amp;",")))&gt;0)),IF(U5="",TRUE,IF(input_affiliations="",FALSE,SUMPRODUCT(--ISNUMBER(SEARCH(","&amp;TRIM(TEXTSPLIT(U5,","))&amp;",",","&amp;SUBSTITUTE(input_affiliations," ","")&amp;",")))=COUNTA(TEXTSPLIT(U5,",")))))</f>
        <v/>
      </c>
      <c r="IU5">
        <f>AND(IF(W5="",TRUE,IF(input_announcement_category="",FALSE,SUMPRODUCT(--ISNUMBER(SEARCH(","&amp;TRIM(TEXTSPLIT(W5,","))&amp;",",","&amp;SUBSTITUTE(input_announcement_category," ","")&amp;",")))&gt;0)),IF(Y5="",TRUE,IF(input_announcement_category="",FALSE,SUMPRODUCT(--ISNUMBER(SEARCH(","&amp;TRIM(TEXTSPLIT(Y5,","))&amp;",",","&amp;SUBSTITUTE(input_announcement_category," ","")&amp;",")))=COUNTA(TEXTSPLIT(Y5,",")))),IF(AA5="",TRUE,IF(input_announcement_category="",TRUE,SUMPRODUCT(--ISNUMBER(SEARCH(","&amp;TRIM(TEXTSPLIT(AA5,","))&amp;",",","&amp;SUBSTITUTE(input_announcement_category," ","")&amp;",")))=0)),IF(AC5="",TRUE,IF(input_announcement_category="",FALSE,SUMPRODUCT(--ISNUMBER(SEARCH(","&amp;TRIM(TEXTSPLIT(AC5,","))&amp;",",","&amp;SUBSTITUTE(input_announcement_category," ","")&amp;",")))&gt;0)),IF(AE5="",TRUE,IF(input_announcement_category="",FALSE,SUMPRODUCT(--ISNUMBER(SEARCH(","&amp;TRIM(TEXTSPLIT(AE5,","))&amp;",",","&amp;SUBSTITUTE(input_announcement_category," ","")&amp;",")))=COUNTA(TEXTSPLIT(AE5,",")))))</f>
        <v/>
      </c>
      <c r="IV5">
        <f>AND(IF(AG5="",TRUE,IF(input_area_of_focus="",FALSE,SUMPRODUCT(--ISNUMBER(SEARCH(","&amp;TRIM(TEXTSPLIT(AG5,","))&amp;",",","&amp;SUBSTITUTE(input_area_of_focus," ","")&amp;",")))&gt;0)),IF(AI5="",TRUE,IF(input_area_of_focus="",FALSE,SUMPRODUCT(--ISNUMBER(SEARCH(","&amp;TRIM(TEXTSPLIT(AI5,","))&amp;",",","&amp;SUBSTITUTE(input_area_of_focus," ","")&amp;",")))=COUNTA(TEXTSPLIT(AI5,",")))),IF(AK5="",TRUE,IF(input_area_of_focus="",TRUE,SUMPRODUCT(--ISNUMBER(SEARCH(","&amp;TRIM(TEXTSPLIT(AK5,","))&amp;",",","&amp;SUBSTITUTE(input_area_of_focus," ","")&amp;",")))=0)),IF(AM5="",TRUE,IF(input_area_of_focus="",FALSE,SUMPRODUCT(--ISNUMBER(SEARCH(","&amp;TRIM(TEXTSPLIT(AM5,","))&amp;",",","&amp;SUBSTITUTE(input_area_of_focus," ","")&amp;",")))&gt;0)),IF(AO5="",TRUE,IF(input_area_of_focus="",FALSE,SUMPRODUCT(--ISNUMBER(SEARCH(","&amp;TRIM(TEXTSPLIT(AO5,","))&amp;",",","&amp;SUBSTITUTE(input_area_of_focus," ","")&amp;",")))=COUNTA(TEXTSPLIT(AO5,",")))))</f>
        <v/>
      </c>
      <c r="IW5">
        <f>AND(IF(AQ5="",TRUE,IF(input_audience="",FALSE,SUMPRODUCT(--ISNUMBER(SEARCH(","&amp;TRIM(TEXTSPLIT(AQ5,","))&amp;",",","&amp;SUBSTITUTE(input_audience," ","")&amp;",")))&gt;0)),IF(AS5="",TRUE,IF(input_audience="",FALSE,SUMPRODUCT(--ISNUMBER(SEARCH(","&amp;TRIM(TEXTSPLIT(AS5,","))&amp;",",","&amp;SUBSTITUTE(input_audience," ","")&amp;",")))=COUNTA(TEXTSPLIT(AS5,",")))),IF(AU5="",TRUE,IF(input_audience="",TRUE,SUMPRODUCT(--ISNUMBER(SEARCH(","&amp;TRIM(TEXTSPLIT(AU5,","))&amp;",",","&amp;SUBSTITUTE(input_audience," ","")&amp;",")))=0)),IF(AW5="",TRUE,IF(input_audience="",FALSE,SUMPRODUCT(--ISNUMBER(SEARCH(","&amp;TRIM(TEXTSPLIT(AW5,","))&amp;",",","&amp;SUBSTITUTE(input_audience," ","")&amp;",")))&gt;0)),IF(AY5="",TRUE,IF(input_audience="",FALSE,SUMPRODUCT(--ISNUMBER(SEARCH(","&amp;TRIM(TEXTSPLIT(AY5,","))&amp;",",","&amp;SUBSTITUTE(input_audience," ","")&amp;",")))=COUNTA(TEXTSPLIT(AY5,",")))))</f>
        <v/>
      </c>
      <c r="IX5">
        <f>AND(IF(BA5="",TRUE,IF(input_challenge_opportunities="",FALSE,SUMPRODUCT(--ISNUMBER(SEARCH(","&amp;TRIM(TEXTSPLIT(BA5,","))&amp;",",","&amp;SUBSTITUTE(input_challenge_opportunities," ","")&amp;",")))&gt;0)),IF(BC5="",TRUE,IF(input_challenge_opportunities="",FALSE,SUMPRODUCT(--ISNUMBER(SEARCH(","&amp;TRIM(TEXTSPLIT(BC5,","))&amp;",",","&amp;SUBSTITUTE(input_challenge_opportunities," ","")&amp;",")))=COUNTA(TEXTSPLIT(BC5,",")))),IF(BE5="",TRUE,IF(input_challenge_opportunities="",TRUE,SUMPRODUCT(--ISNUMBER(SEARCH(","&amp;TRIM(TEXTSPLIT(BE5,","))&amp;",",","&amp;SUBSTITUTE(input_challenge_opportunities," ","")&amp;",")))=0)),IF(BG5="",TRUE,IF(input_challenge_opportunities="",FALSE,SUMPRODUCT(--ISNUMBER(SEARCH(","&amp;TRIM(TEXTSPLIT(BG5,","))&amp;",",","&amp;SUBSTITUTE(input_challenge_opportunities," ","")&amp;",")))&gt;0)),IF(BI5="",TRUE,IF(input_challenge_opportunities="",FALSE,SUMPRODUCT(--ISNUMBER(SEARCH(","&amp;TRIM(TEXTSPLIT(BI5,","))&amp;",",","&amp;SUBSTITUTE(input_challenge_opportunities," ","")&amp;",")))=COUNTA(TEXTSPLIT(BI5,",")))))</f>
        <v/>
      </c>
      <c r="IY5">
        <f>AND(IF(BK5="",TRUE,IF(input_context="",FALSE,SUMPRODUCT(--ISNUMBER(SEARCH(","&amp;TRIM(TEXTSPLIT(BK5,","))&amp;",",","&amp;SUBSTITUTE(input_context," ","")&amp;",")))&gt;0)),IF(BM5="",TRUE,IF(input_context="",FALSE,SUMPRODUCT(--ISNUMBER(SEARCH(","&amp;TRIM(TEXTSPLIT(BM5,","))&amp;",",","&amp;SUBSTITUTE(input_context," ","")&amp;",")))=COUNTA(TEXTSPLIT(BM5,",")))),IF(BO5="",TRUE,IF(input_context="",TRUE,SUMPRODUCT(--ISNUMBER(SEARCH(","&amp;TRIM(TEXTSPLIT(BO5,","))&amp;",",","&amp;SUBSTITUTE(input_context," ","")&amp;",")))=0)),IF(BQ5="",TRUE,IF(input_context="",FALSE,SUMPRODUCT(--ISNUMBER(SEARCH(","&amp;TRIM(TEXTSPLIT(BQ5,","))&amp;",",","&amp;SUBSTITUTE(input_context," ","")&amp;",")))&gt;0)),IF(BS5="",TRUE,IF(input_context="",FALSE,SUMPRODUCT(--ISNUMBER(SEARCH(","&amp;TRIM(TEXTSPLIT(BS5,","))&amp;",",","&amp;SUBSTITUTE(input_context," ","")&amp;",")))=COUNTA(TEXTSPLIT(BS5,",")))))</f>
        <v/>
      </c>
      <c r="IZ5">
        <f>AND(IF(BU5="",TRUE,IF(input_enews_announcement_type="",FALSE,SUMPRODUCT(--ISNUMBER(SEARCH(","&amp;TRIM(TEXTSPLIT(BU5,","))&amp;",",","&amp;SUBSTITUTE(input_enews_announcement_type," ","")&amp;",")))&gt;0)),IF(BW5="",TRUE,IF(input_enews_announcement_type="",FALSE,SUMPRODUCT(--ISNUMBER(SEARCH(","&amp;TRIM(TEXTSPLIT(BW5,","))&amp;",",","&amp;SUBSTITUTE(input_enews_announcement_type," ","")&amp;",")))=COUNTA(TEXTSPLIT(BW5,",")))),IF(BY5="",TRUE,IF(input_enews_announcement_type="",TRUE,SUMPRODUCT(--ISNUMBER(SEARCH(","&amp;TRIM(TEXTSPLIT(BY5,","))&amp;",",","&amp;SUBSTITUTE(input_enews_announcement_type," ","")&amp;",")))=0)),IF(CA5="",TRUE,IF(input_enews_announcement_type="",FALSE,SUMPRODUCT(--ISNUMBER(SEARCH(","&amp;TRIM(TEXTSPLIT(CA5,","))&amp;",",","&amp;SUBSTITUTE(input_enews_announcement_type," ","")&amp;",")))&gt;0)),IF(CC5="",TRUE,IF(input_enews_announcement_type="",FALSE,SUMPRODUCT(--ISNUMBER(SEARCH(","&amp;TRIM(TEXTSPLIT(CC5,","))&amp;",",","&amp;SUBSTITUTE(input_enews_announcement_type," ","")&amp;",")))=COUNTA(TEXTSPLIT(CC5,",")))))</f>
        <v/>
      </c>
      <c r="JA5">
        <f>AND(IF(CE5="",TRUE,IF(input_enews_audience="",FALSE,SUMPRODUCT(--ISNUMBER(SEARCH(","&amp;TRIM(TEXTSPLIT(CE5,","))&amp;",",","&amp;SUBSTITUTE(input_enews_audience," ","")&amp;",")))&gt;0)),IF(CG5="",TRUE,IF(input_enews_audience="",FALSE,SUMPRODUCT(--ISNUMBER(SEARCH(","&amp;TRIM(TEXTSPLIT(CG5,","))&amp;",",","&amp;SUBSTITUTE(input_enews_audience," ","")&amp;",")))=COUNTA(TEXTSPLIT(CG5,",")))),IF(CI5="",TRUE,IF(input_enews_audience="",TRUE,SUMPRODUCT(--ISNUMBER(SEARCH(","&amp;TRIM(TEXTSPLIT(CI5,","))&amp;",",","&amp;SUBSTITUTE(input_enews_audience," ","")&amp;",")))=0)),IF(CK5="",TRUE,IF(input_enews_audience="",FALSE,SUMPRODUCT(--ISNUMBER(SEARCH(","&amp;TRIM(TEXTSPLIT(CK5,","))&amp;",",","&amp;SUBSTITUTE(input_enews_audience," ","")&amp;",")))&gt;0)),IF(CM5="",TRUE,IF(input_enews_audience="",FALSE,SUMPRODUCT(--ISNUMBER(SEARCH(","&amp;TRIM(TEXTSPLIT(CM5,","))&amp;",",","&amp;SUBSTITUTE(input_enews_audience," ","")&amp;",")))=COUNTA(TEXTSPLIT(CM5,",")))))</f>
        <v/>
      </c>
      <c r="JB5">
        <f>AND(IF(CO5="",TRUE,IF(input_event_location="",FALSE,SUMPRODUCT(--ISNUMBER(SEARCH(","&amp;TRIM(TEXTSPLIT(CO5,","))&amp;",",","&amp;SUBSTITUTE(input_event_location," ","")&amp;",")))&gt;0)),IF(CQ5="",TRUE,IF(input_event_location="",FALSE,SUMPRODUCT(--ISNUMBER(SEARCH(","&amp;TRIM(TEXTSPLIT(CQ5,","))&amp;",",","&amp;SUBSTITUTE(input_event_location," ","")&amp;",")))=COUNTA(TEXTSPLIT(CQ5,",")))),IF(CS5="",TRUE,IF(input_event_location="",TRUE,SUMPRODUCT(--ISNUMBER(SEARCH(","&amp;TRIM(TEXTSPLIT(CS5,","))&amp;",",","&amp;SUBSTITUTE(input_event_location," ","")&amp;",")))=0)),IF(CU5="",TRUE,IF(input_event_location="",FALSE,SUMPRODUCT(--ISNUMBER(SEARCH(","&amp;TRIM(TEXTSPLIT(CU5,","))&amp;",",","&amp;SUBSTITUTE(input_event_location," ","")&amp;",")))&gt;0)),IF(CW5="",TRUE,IF(input_event_location="",FALSE,SUMPRODUCT(--ISNUMBER(SEARCH(","&amp;TRIM(TEXTSPLIT(CW5,","))&amp;",",","&amp;SUBSTITUTE(input_event_location," ","")&amp;",")))=COUNTA(TEXTSPLIT(CW5,",")))))</f>
        <v/>
      </c>
      <c r="JC5">
        <f>AND(IF(CY5="",TRUE,IF(input_event_type="",FALSE,SUMPRODUCT(--ISNUMBER(SEARCH(","&amp;TRIM(TEXTSPLIT(CY5,","))&amp;",",","&amp;SUBSTITUTE(input_event_type," ","")&amp;",")))&gt;0)),IF(DA5="",TRUE,IF(input_event_type="",FALSE,SUMPRODUCT(--ISNUMBER(SEARCH(","&amp;TRIM(TEXTSPLIT(DA5,","))&amp;",",","&amp;SUBSTITUTE(input_event_type," ","")&amp;",")))=COUNTA(TEXTSPLIT(DA5,",")))),IF(DC5="",TRUE,IF(input_event_type="",TRUE,SUMPRODUCT(--ISNUMBER(SEARCH(","&amp;TRIM(TEXTSPLIT(DC5,","))&amp;",",","&amp;SUBSTITUTE(input_event_type," ","")&amp;",")))=0)),IF(DE5="",TRUE,IF(input_event_type="",FALSE,SUMPRODUCT(--ISNUMBER(SEARCH(","&amp;TRIM(TEXTSPLIT(DE5,","))&amp;",",","&amp;SUBSTITUTE(input_event_type," ","")&amp;",")))&gt;0)),IF(DG5="",TRUE,IF(input_event_type="",FALSE,SUMPRODUCT(--ISNUMBER(SEARCH(","&amp;TRIM(TEXTSPLIT(DG5,","))&amp;",",","&amp;SUBSTITUTE(input_event_type," ","")&amp;",")))=COUNTA(TEXTSPLIT(DG5,",")))))</f>
        <v/>
      </c>
      <c r="JD5">
        <f>AND(IF(DI5="",TRUE,IF(input_executive_education_focus="",FALSE,SUMPRODUCT(--ISNUMBER(SEARCH(","&amp;TRIM(TEXTSPLIT(DI5,","))&amp;",",","&amp;SUBSTITUTE(input_executive_education_focus," ","")&amp;",")))&gt;0)),IF(DK5="",TRUE,IF(input_executive_education_focus="",FALSE,SUMPRODUCT(--ISNUMBER(SEARCH(","&amp;TRIM(TEXTSPLIT(DK5,","))&amp;",",","&amp;SUBSTITUTE(input_executive_education_focus," ","")&amp;",")))=COUNTA(TEXTSPLIT(DK5,",")))),IF(DM5="",TRUE,IF(input_executive_education_focus="",TRUE,SUMPRODUCT(--ISNUMBER(SEARCH(","&amp;TRIM(TEXTSPLIT(DM5,","))&amp;",",","&amp;SUBSTITUTE(input_executive_education_focus," ","")&amp;",")))=0)),IF(DO5="",TRUE,IF(input_executive_education_focus="",FALSE,SUMPRODUCT(--ISNUMBER(SEARCH(","&amp;TRIM(TEXTSPLIT(DO5,","))&amp;",",","&amp;SUBSTITUTE(input_executive_education_focus," ","")&amp;",")))&gt;0)),IF(DQ5="",TRUE,IF(input_executive_education_focus="",FALSE,SUMPRODUCT(--ISNUMBER(SEARCH(","&amp;TRIM(TEXTSPLIT(DQ5,","))&amp;",",","&amp;SUBSTITUTE(input_executive_education_focus," ","")&amp;",")))=COUNTA(TEXTSPLIT(DQ5,",")))))</f>
        <v/>
      </c>
      <c r="JE5">
        <f>AND(IF(DS5="",TRUE,IF(input_faculty_category="",FALSE,SUMPRODUCT(--ISNUMBER(SEARCH(","&amp;TRIM(TEXTSPLIT(DS5,","))&amp;",",","&amp;SUBSTITUTE(input_faculty_category," ","")&amp;",")))&gt;0)),IF(DU5="",TRUE,IF(input_faculty_category="",FALSE,SUMPRODUCT(--ISNUMBER(SEARCH(","&amp;TRIM(TEXTSPLIT(DU5,","))&amp;",",","&amp;SUBSTITUTE(input_faculty_category," ","")&amp;",")))=COUNTA(TEXTSPLIT(DU5,",")))),IF(DW5="",TRUE,IF(input_faculty_category="",TRUE,SUMPRODUCT(--ISNUMBER(SEARCH(","&amp;TRIM(TEXTSPLIT(DW5,","))&amp;",",","&amp;SUBSTITUTE(input_faculty_category," ","")&amp;",")))=0)),IF(DY5="",TRUE,IF(input_faculty_category="",FALSE,SUMPRODUCT(--ISNUMBER(SEARCH(","&amp;TRIM(TEXTSPLIT(DY5,","))&amp;",",","&amp;SUBSTITUTE(input_faculty_category," ","")&amp;",")))&gt;0)),IF(EA5="",TRUE,IF(input_faculty_category="",FALSE,SUMPRODUCT(--ISNUMBER(SEARCH(","&amp;TRIM(TEXTSPLIT(EA5,","))&amp;",",","&amp;SUBSTITUTE(input_faculty_category," ","")&amp;",")))=COUNTA(TEXTSPLIT(EA5,",")))))</f>
        <v/>
      </c>
      <c r="JF5">
        <f>AND(IF(EC5="",TRUE,IF(input_faculty_discipline="",FALSE,SUMPRODUCT(--ISNUMBER(SEARCH(","&amp;TRIM(TEXTSPLIT(EC5,","))&amp;",",","&amp;SUBSTITUTE(input_faculty_discipline," ","")&amp;",")))&gt;0)),IF(EE5="",TRUE,IF(input_faculty_discipline="",FALSE,SUMPRODUCT(--ISNUMBER(SEARCH(","&amp;TRIM(TEXTSPLIT(EE5,","))&amp;",",","&amp;SUBSTITUTE(input_faculty_discipline," ","")&amp;",")))=COUNTA(TEXTSPLIT(EE5,",")))),IF(EG5="",TRUE,IF(input_faculty_discipline="",TRUE,SUMPRODUCT(--ISNUMBER(SEARCH(","&amp;TRIM(TEXTSPLIT(EG5,","))&amp;",",","&amp;SUBSTITUTE(input_faculty_discipline," ","")&amp;",")))=0)),IF(EI5="",TRUE,IF(input_faculty_discipline="",FALSE,SUMPRODUCT(--ISNUMBER(SEARCH(","&amp;TRIM(TEXTSPLIT(EI5,","))&amp;",",","&amp;SUBSTITUTE(input_faculty_discipline," ","")&amp;",")))&gt;0)),IF(EK5="",TRUE,IF(input_faculty_discipline="",FALSE,SUMPRODUCT(--ISNUMBER(SEARCH(","&amp;TRIM(TEXTSPLIT(EK5,","))&amp;",",","&amp;SUBSTITUTE(input_faculty_discipline," ","")&amp;",")))=COUNTA(TEXTSPLIT(EK5,",")))))</f>
        <v/>
      </c>
      <c r="JG5">
        <f>AND(IF(EM5="",TRUE,IF(input_faculty_expertise="",FALSE,SUMPRODUCT(--ISNUMBER(SEARCH(","&amp;TRIM(TEXTSPLIT(EM5,","))&amp;",",","&amp;SUBSTITUTE(input_faculty_expertise," ","")&amp;",")))&gt;0)),IF(EO5="",TRUE,IF(input_faculty_expertise="",FALSE,SUMPRODUCT(--ISNUMBER(SEARCH(","&amp;TRIM(TEXTSPLIT(EO5,","))&amp;",",","&amp;SUBSTITUTE(input_faculty_expertise," ","")&amp;",")))=COUNTA(TEXTSPLIT(EO5,",")))),IF(EQ5="",TRUE,IF(input_faculty_expertise="",TRUE,SUMPRODUCT(--ISNUMBER(SEARCH(","&amp;TRIM(TEXTSPLIT(EQ5,","))&amp;",",","&amp;SUBSTITUTE(input_faculty_expertise," ","")&amp;",")))=0)),IF(ES5="",TRUE,IF(input_faculty_expertise="",FALSE,SUMPRODUCT(--ISNUMBER(SEARCH(","&amp;TRIM(TEXTSPLIT(ES5,","))&amp;",",","&amp;SUBSTITUTE(input_faculty_expertise," ","")&amp;",")))&gt;0)),IF(EU5="",TRUE,IF(input_faculty_expertise="",FALSE,SUMPRODUCT(--ISNUMBER(SEARCH(","&amp;TRIM(TEXTSPLIT(EU5,","))&amp;",",","&amp;SUBSTITUTE(input_faculty_expertise," ","")&amp;",")))=COUNTA(TEXTSPLIT(EU5,",")))))</f>
        <v/>
      </c>
      <c r="JH5">
        <f>AND(IF(EW5="",TRUE,IF(input_global_network_school="",FALSE,SUMPRODUCT(--ISNUMBER(SEARCH(","&amp;TRIM(TEXTSPLIT(EW5,","))&amp;",",","&amp;SUBSTITUTE(input_global_network_school," ","")&amp;",")))&gt;0)),IF(EY5="",TRUE,IF(input_global_network_school="",FALSE,SUMPRODUCT(--ISNUMBER(SEARCH(","&amp;TRIM(TEXTSPLIT(EY5,","))&amp;",",","&amp;SUBSTITUTE(input_global_network_school," ","")&amp;",")))=COUNTA(TEXTSPLIT(EY5,",")))),IF(FA5="",TRUE,IF(input_global_network_school="",TRUE,SUMPRODUCT(--ISNUMBER(SEARCH(","&amp;TRIM(TEXTSPLIT(FA5,","))&amp;",",","&amp;SUBSTITUTE(input_global_network_school," ","")&amp;",")))=0)),IF(FC5="",TRUE,IF(input_global_network_school="",FALSE,SUMPRODUCT(--ISNUMBER(SEARCH(","&amp;TRIM(TEXTSPLIT(FC5,","))&amp;",",","&amp;SUBSTITUTE(input_global_network_school," ","")&amp;",")))&gt;0)),IF(FE5="",TRUE,IF(input_global_network_school="",FALSE,SUMPRODUCT(--ISNUMBER(SEARCH(","&amp;TRIM(TEXTSPLIT(FE5,","))&amp;",",","&amp;SUBSTITUTE(input_global_network_school," ","")&amp;",")))=COUNTA(TEXTSPLIT(FE5,",")))))</f>
        <v/>
      </c>
      <c r="JI5">
        <f>AND(IF(FG5="",TRUE,IF(input_industry="",FALSE,SUMPRODUCT(--ISNUMBER(SEARCH(","&amp;TRIM(TEXTSPLIT(FG5,","))&amp;",",","&amp;SUBSTITUTE(input_industry," ","")&amp;",")))&gt;0)),IF(FI5="",TRUE,IF(input_industry="",FALSE,SUMPRODUCT(--ISNUMBER(SEARCH(","&amp;TRIM(TEXTSPLIT(FI5,","))&amp;",",","&amp;SUBSTITUTE(input_industry," ","")&amp;",")))=COUNTA(TEXTSPLIT(FI5,",")))),IF(FK5="",TRUE,IF(input_industry="",TRUE,SUMPRODUCT(--ISNUMBER(SEARCH(","&amp;TRIM(TEXTSPLIT(FK5,","))&amp;",",","&amp;SUBSTITUTE(input_industry," ","")&amp;",")))=0)),IF(FM5="",TRUE,IF(input_industry="",FALSE,SUMPRODUCT(--ISNUMBER(SEARCH(","&amp;TRIM(TEXTSPLIT(FM5,","))&amp;",",","&amp;SUBSTITUTE(input_industry," ","")&amp;",")))&gt;0)),IF(FO5="",TRUE,IF(input_industry="",FALSE,SUMPRODUCT(--ISNUMBER(SEARCH(","&amp;TRIM(TEXTSPLIT(FO5,","))&amp;",",","&amp;SUBSTITUTE(input_industry," ","")&amp;",")))=COUNTA(TEXTSPLIT(FO5,",")))))</f>
        <v/>
      </c>
      <c r="JJ5">
        <f>AND(IF(FQ5="",TRUE,IF(input_location="",FALSE,SUMPRODUCT(--ISNUMBER(SEARCH(","&amp;TRIM(TEXTSPLIT(FQ5,","))&amp;",",","&amp;SUBSTITUTE(input_location," ","")&amp;",")))&gt;0)),IF(FS5="",TRUE,IF(input_location="",FALSE,SUMPRODUCT(--ISNUMBER(SEARCH(","&amp;TRIM(TEXTSPLIT(FS5,","))&amp;",",","&amp;SUBSTITUTE(input_location," ","")&amp;",")))=COUNTA(TEXTSPLIT(FS5,",")))),IF(FU5="",TRUE,IF(input_location="",TRUE,SUMPRODUCT(--ISNUMBER(SEARCH(","&amp;TRIM(TEXTSPLIT(FU5,","))&amp;",",","&amp;SUBSTITUTE(input_location," ","")&amp;",")))=0)),IF(FW5="",TRUE,IF(input_location="",FALSE,SUMPRODUCT(--ISNUMBER(SEARCH(","&amp;TRIM(TEXTSPLIT(FW5,","))&amp;",",","&amp;SUBSTITUTE(input_location," ","")&amp;",")))&gt;0)),IF(FY5="",TRUE,IF(input_location="",FALSE,SUMPRODUCT(--ISNUMBER(SEARCH(","&amp;TRIM(TEXTSPLIT(FY5,","))&amp;",",","&amp;SUBSTITUTE(input_location," ","")&amp;",")))=COUNTA(TEXTSPLIT(FY5,",")))))</f>
        <v/>
      </c>
      <c r="JK5">
        <f>AND(IF(GA5="",TRUE,IF(input_modality="",FALSE,SUMPRODUCT(--ISNUMBER(SEARCH(","&amp;TRIM(TEXTSPLIT(GA5,","))&amp;",",","&amp;SUBSTITUTE(input_modality," ","")&amp;",")))&gt;0)),IF(GC5="",TRUE,IF(input_modality="",FALSE,SUMPRODUCT(--ISNUMBER(SEARCH(","&amp;TRIM(TEXTSPLIT(GC5,","))&amp;",",","&amp;SUBSTITUTE(input_modality," ","")&amp;",")))=COUNTA(TEXTSPLIT(GC5,",")))),IF(GE5="",TRUE,IF(input_modality="",TRUE,SUMPRODUCT(--ISNUMBER(SEARCH(","&amp;TRIM(TEXTSPLIT(GE5,","))&amp;",",","&amp;SUBSTITUTE(input_modality," ","")&amp;",")))=0)),IF(GG5="",TRUE,IF(input_modality="",FALSE,SUMPRODUCT(--ISNUMBER(SEARCH(","&amp;TRIM(TEXTSPLIT(GG5,","))&amp;",",","&amp;SUBSTITUTE(input_modality," ","")&amp;",")))&gt;0)),IF(GI5="",TRUE,IF(input_modality="",FALSE,SUMPRODUCT(--ISNUMBER(SEARCH(","&amp;TRIM(TEXTSPLIT(GI5,","))&amp;",",","&amp;SUBSTITUTE(input_modality," ","")&amp;",")))=COUNTA(TEXTSPLIT(GI5,",")))))</f>
        <v/>
      </c>
      <c r="JL5">
        <f>AND(IF(GK5="",TRUE,IF(input_organizer="",FALSE,SUMPRODUCT(--ISNUMBER(SEARCH(","&amp;TRIM(TEXTSPLIT(GK5,","))&amp;",",","&amp;SUBSTITUTE(input_organizer," ","")&amp;",")))&gt;0)),IF(GM5="",TRUE,IF(input_organizer="",FALSE,SUMPRODUCT(--ISNUMBER(SEARCH(","&amp;TRIM(TEXTSPLIT(GM5,","))&amp;",",","&amp;SUBSTITUTE(input_organizer," ","")&amp;",")))=COUNTA(TEXTSPLIT(GM5,",")))),IF(GO5="",TRUE,IF(input_organizer="",TRUE,SUMPRODUCT(--ISNUMBER(SEARCH(","&amp;TRIM(TEXTSPLIT(GO5,","))&amp;",",","&amp;SUBSTITUTE(input_organizer," ","")&amp;",")))=0)),IF(GQ5="",TRUE,IF(input_organizer="",FALSE,SUMPRODUCT(--ISNUMBER(SEARCH(","&amp;TRIM(TEXTSPLIT(GQ5,","))&amp;",",","&amp;SUBSTITUTE(input_organizer," ","")&amp;",")))&gt;0)),IF(GS5="",TRUE,IF(input_organizer="",FALSE,SUMPRODUCT(--ISNUMBER(SEARCH(","&amp;TRIM(TEXTSPLIT(GS5,","))&amp;",",","&amp;SUBSTITUTE(input_organizer," ","")&amp;",")))=COUNTA(TEXTSPLIT(GS5,",")))))</f>
        <v/>
      </c>
      <c r="JM5">
        <f>AND(IF(GU5="",TRUE,IF(input_profile_type="",FALSE,SUMPRODUCT(--ISNUMBER(SEARCH(","&amp;TRIM(TEXTSPLIT(GU5,","))&amp;",",","&amp;SUBSTITUTE(input_profile_type," ","")&amp;",")))&gt;0)),IF(GW5="",TRUE,IF(input_profile_type="",FALSE,SUMPRODUCT(--ISNUMBER(SEARCH(","&amp;TRIM(TEXTSPLIT(GW5,","))&amp;",",","&amp;SUBSTITUTE(input_profile_type," ","")&amp;",")))=COUNTA(TEXTSPLIT(GW5,",")))),IF(GY5="",TRUE,IF(input_profile_type="",TRUE,SUMPRODUCT(--ISNUMBER(SEARCH(","&amp;TRIM(TEXTSPLIT(GY5,","))&amp;",",","&amp;SUBSTITUTE(input_profile_type," ","")&amp;",")))=0)),IF(HA5="",TRUE,IF(input_profile_type="",FALSE,SUMPRODUCT(--ISNUMBER(SEARCH(","&amp;TRIM(TEXTSPLIT(HA5,","))&amp;",",","&amp;SUBSTITUTE(input_profile_type," ","")&amp;",")))&gt;0)),IF(HC5="",TRUE,IF(input_profile_type="",FALSE,SUMPRODUCT(--ISNUMBER(SEARCH(","&amp;TRIM(TEXTSPLIT(HC5,","))&amp;",",","&amp;SUBSTITUTE(input_profile_type," ","")&amp;",")))=COUNTA(TEXTSPLIT(HC5,",")))))</f>
        <v/>
      </c>
      <c r="JN5">
        <f>AND(IF(HE5="",TRUE,IF(input_program="",FALSE,SUMPRODUCT(--ISNUMBER(SEARCH(","&amp;TRIM(TEXTSPLIT(HE5,","))&amp;",",","&amp;SUBSTITUTE(input_program," ","")&amp;",")))&gt;0)),IF(HG5="",TRUE,IF(input_program="",FALSE,SUMPRODUCT(--ISNUMBER(SEARCH(","&amp;TRIM(TEXTSPLIT(HG5,","))&amp;",",","&amp;SUBSTITUTE(input_program," ","")&amp;",")))=COUNTA(TEXTSPLIT(HG5,",")))),IF(HI5="",TRUE,IF(input_program="",TRUE,SUMPRODUCT(--ISNUMBER(SEARCH(","&amp;TRIM(TEXTSPLIT(HI5,","))&amp;",",","&amp;SUBSTITUTE(input_program," ","")&amp;",")))=0)),IF(HK5="",TRUE,IF(input_program="",FALSE,SUMPRODUCT(--ISNUMBER(SEARCH(","&amp;TRIM(TEXTSPLIT(HK5,","))&amp;",",","&amp;SUBSTITUTE(input_program," ","")&amp;",")))&gt;0)),IF(HM5="",TRUE,IF(input_program="",FALSE,SUMPRODUCT(--ISNUMBER(SEARCH(","&amp;TRIM(TEXTSPLIT(HM5,","))&amp;",",","&amp;SUBSTITUTE(input_program," ","")&amp;",")))=COUNTA(TEXTSPLIT(HM5,",")))))</f>
        <v/>
      </c>
      <c r="JO5">
        <f>AND(IF(HO5="",TRUE,IF(input_story_categories="",FALSE,SUMPRODUCT(--ISNUMBER(SEARCH(","&amp;TRIM(TEXTSPLIT(HO5,","))&amp;",",","&amp;SUBSTITUTE(input_story_categories," ","")&amp;",")))&gt;0)),IF(HQ5="",TRUE,IF(input_story_categories="",FALSE,SUMPRODUCT(--ISNUMBER(SEARCH(","&amp;TRIM(TEXTSPLIT(HQ5,","))&amp;",",","&amp;SUBSTITUTE(input_story_categories," ","")&amp;",")))=COUNTA(TEXTSPLIT(HQ5,",")))),IF(HS5="",TRUE,IF(input_story_categories="",TRUE,SUMPRODUCT(--ISNUMBER(SEARCH(","&amp;TRIM(TEXTSPLIT(HS5,","))&amp;",",","&amp;SUBSTITUTE(input_story_categories," ","")&amp;",")))=0)),IF(HU5="",TRUE,IF(input_story_categories="",FALSE,SUMPRODUCT(--ISNUMBER(SEARCH(","&amp;TRIM(TEXTSPLIT(HU5,","))&amp;",",","&amp;SUBSTITUTE(input_story_categories," ","")&amp;",")))&gt;0)),IF(HW5="",TRUE,IF(input_story_categories="",FALSE,SUMPRODUCT(--ISNUMBER(SEARCH(","&amp;TRIM(TEXTSPLIT(HW5,","))&amp;",",","&amp;SUBSTITUTE(input_story_categories," ","")&amp;",")))=COUNTA(TEXTSPLIT(HW5,",")))))</f>
        <v/>
      </c>
      <c r="JP5">
        <f>AND(IF(HY5="",TRUE,IF(input_story_type="",FALSE,SUMPRODUCT(--ISNUMBER(SEARCH(","&amp;TRIM(TEXTSPLIT(HY5,","))&amp;",",","&amp;SUBSTITUTE(input_story_type," ","")&amp;",")))&gt;0)),IF(IA5="",TRUE,IF(input_story_type="",FALSE,SUMPRODUCT(--ISNUMBER(SEARCH(","&amp;TRIM(TEXTSPLIT(IA5,","))&amp;",",","&amp;SUBSTITUTE(input_story_type," ","")&amp;",")))=COUNTA(TEXTSPLIT(IA5,",")))),IF(IC5="",TRUE,IF(input_story_type="",TRUE,SUMPRODUCT(--ISNUMBER(SEARCH(","&amp;TRIM(TEXTSPLIT(IC5,","))&amp;",",","&amp;SUBSTITUTE(input_story_type," ","")&amp;",")))=0)),IF(IE5="",TRUE,IF(input_story_type="",FALSE,SUMPRODUCT(--ISNUMBER(SEARCH(","&amp;TRIM(TEXTSPLIT(IE5,","))&amp;",",","&amp;SUBSTITUTE(input_story_type," ","")&amp;",")))&gt;0)),IF(IG5="",TRUE,IF(input_story_type="",FALSE,SUMPRODUCT(--ISNUMBER(SEARCH(","&amp;TRIM(TEXTSPLIT(IG5,","))&amp;",",","&amp;SUBSTITUTE(input_story_type," ","")&amp;",")))=COUNTA(TEXTSPLIT(IG5,",")))))</f>
        <v/>
      </c>
      <c r="JQ5">
        <f>AND(IF(II5="",TRUE,IF(input_topics="",FALSE,SUMPRODUCT(--ISNUMBER(SEARCH(","&amp;TRIM(TEXTSPLIT(II5,","))&amp;",",","&amp;SUBSTITUTE(input_topics," ","")&amp;",")))&gt;0)),IF(IK5="",TRUE,IF(input_topics="",FALSE,SUMPRODUCT(--ISNUMBER(SEARCH(","&amp;TRIM(TEXTSPLIT(IK5,","))&amp;",",","&amp;SUBSTITUTE(input_topics," ","")&amp;",")))=COUNTA(TEXTSPLIT(IK5,",")))),IF(IM5="",TRUE,IF(input_topics="",TRUE,SUMPRODUCT(--ISNUMBER(SEARCH(","&amp;TRIM(TEXTSPLIT(IM5,","))&amp;",",","&amp;SUBSTITUTE(input_topics," ","")&amp;",")))=0)),IF(IO5="",TRUE,IF(input_topics="",FALSE,SUMPRODUCT(--ISNUMBER(SEARCH(","&amp;TRIM(TEXTSPLIT(IO5,","))&amp;",",","&amp;SUBSTITUTE(input_topics," ","")&amp;",")))&gt;0)),IF(IQ5="",TRUE,IF(input_topics="",FALSE,SUMPRODUCT(--ISNUMBER(SEARCH(","&amp;TRIM(TEXTSPLIT(IQ5,","))&amp;",",","&amp;SUBSTITUTE(input_topics," ","")&amp;",")))=COUNTA(TEXTSPLIT(IQ5,",")))))</f>
        <v/>
      </c>
    </row>
    <row r="6">
      <c r="A6" s="4">
        <f>IF(NOT(IS6),"Excluded",IF(AND(IT6,IU6,IV6,IW6,IX6,IY6,IZ6,JA6,JB6,JC6,JD6,JE6,JF6,JG6,JH6,JI6,JJ6,JK6,JL6,JM6,JN6,JO6,JP6,JQ6),IF(I6&gt;0,"Eligible but limited","Will appear"),"Excluded"))</f>
        <v/>
      </c>
      <c r="B6" s="4" t="inlineStr">
        <is>
          <t>AI &amp; Data Analytics</t>
        </is>
      </c>
      <c r="C6" s="4" t="inlineStr">
        <is>
          <t>/the-som-experience/interests-and-industries/ai-data-analytics</t>
        </is>
      </c>
      <c r="D6" s="4" t="inlineStr">
        <is>
          <t>/the-som-experience/interests-and-industries/ai-data-analytics</t>
        </is>
      </c>
      <c r="E6" s="4" t="n">
        <v>1</v>
      </c>
      <c r="F6" s="4" t="inlineStr">
        <is>
          <t>story</t>
        </is>
      </c>
      <c r="G6" s="4" t="inlineStr">
        <is>
          <t>stories_list</t>
        </is>
      </c>
      <c r="H6" s="4" t="inlineStr">
        <is>
          <t>embed_1</t>
        </is>
      </c>
      <c r="I6" s="4" t="n">
        <v>10</v>
      </c>
      <c r="J6" s="4" t="inlineStr">
        <is>
          <t>Explicit args</t>
        </is>
      </c>
      <c r="K6" s="4" t="inlineStr">
        <is>
          <t>Page placement</t>
        </is>
      </c>
      <c r="L6" s="4" t="inlineStr">
        <is>
          <t>Content type: story; Context needs all Courses Context: Startup Stories (1166), AI (Artificial Intelligence) (1749); Limited to 10 item(s); Source: Explicit args</t>
        </is>
      </c>
      <c r="M6" t="inlineStr"/>
      <c r="N6" t="inlineStr"/>
      <c r="O6" t="inlineStr"/>
      <c r="P6" t="inlineStr"/>
      <c r="Q6" t="inlineStr"/>
      <c r="R6" t="inlineStr"/>
      <c r="S6" t="inlineStr"/>
      <c r="T6" t="inlineStr"/>
      <c r="U6" t="inlineStr"/>
      <c r="V6" t="inlineStr"/>
      <c r="W6" t="inlineStr"/>
      <c r="X6" t="inlineStr"/>
      <c r="Y6" t="inlineStr"/>
      <c r="Z6" t="inlineStr"/>
      <c r="AA6" t="inlineStr"/>
      <c r="AB6" t="inlineStr"/>
      <c r="AC6" t="inlineStr"/>
      <c r="AD6" t="inlineStr"/>
      <c r="AE6" t="inlineStr"/>
      <c r="AF6" t="inlineStr"/>
      <c r="AG6" t="inlineStr"/>
      <c r="AH6" t="inlineStr"/>
      <c r="AI6" t="inlineStr"/>
      <c r="AJ6" t="inlineStr"/>
      <c r="AK6" t="inlineStr"/>
      <c r="AL6" t="inlineStr"/>
      <c r="AM6" t="inlineStr"/>
      <c r="AN6" t="inlineStr"/>
      <c r="AO6" t="inlineStr"/>
      <c r="AP6" t="inlineStr"/>
      <c r="AQ6" t="inlineStr"/>
      <c r="AR6" t="inlineStr"/>
      <c r="AS6" t="inlineStr"/>
      <c r="AT6" t="inlineStr"/>
      <c r="AU6" t="inlineStr"/>
      <c r="AV6" t="inlineStr"/>
      <c r="AW6" t="inlineStr"/>
      <c r="AX6" t="inlineStr"/>
      <c r="AY6" t="inlineStr"/>
      <c r="AZ6" t="inlineStr"/>
      <c r="BA6" t="inlineStr"/>
      <c r="BB6" t="inlineStr"/>
      <c r="BC6" t="inlineStr"/>
      <c r="BD6" t="inlineStr"/>
      <c r="BE6" t="inlineStr"/>
      <c r="BF6" t="inlineStr"/>
      <c r="BG6" t="inlineStr"/>
      <c r="BH6" t="inlineStr"/>
      <c r="BI6" t="inlineStr"/>
      <c r="BJ6" t="inlineStr"/>
      <c r="BK6" t="inlineStr"/>
      <c r="BL6" t="inlineStr"/>
      <c r="BM6" t="inlineStr"/>
      <c r="BN6" t="inlineStr"/>
      <c r="BO6" t="inlineStr"/>
      <c r="BP6" t="inlineStr"/>
      <c r="BQ6" t="inlineStr"/>
      <c r="BR6" t="inlineStr"/>
      <c r="BS6" t="inlineStr">
        <is>
          <t>1166, 1749</t>
        </is>
      </c>
      <c r="BT6" t="inlineStr">
        <is>
          <t>Startup Stories (1166), AI (Artificial Intelligence) (1749)</t>
        </is>
      </c>
      <c r="BU6" t="inlineStr"/>
      <c r="BV6" t="inlineStr"/>
      <c r="BW6" t="inlineStr"/>
      <c r="BX6" t="inlineStr"/>
      <c r="BY6" t="inlineStr"/>
      <c r="BZ6" t="inlineStr"/>
      <c r="CA6" t="inlineStr"/>
      <c r="CB6" t="inlineStr"/>
      <c r="CC6" t="inlineStr"/>
      <c r="CD6" t="inlineStr"/>
      <c r="CE6" t="inlineStr"/>
      <c r="CF6" t="inlineStr"/>
      <c r="CG6" t="inlineStr"/>
      <c r="CH6" t="inlineStr"/>
      <c r="CI6" t="inlineStr"/>
      <c r="CJ6" t="inlineStr"/>
      <c r="CK6" t="inlineStr"/>
      <c r="CL6" t="inlineStr"/>
      <c r="CM6" t="inlineStr"/>
      <c r="CN6" t="inlineStr"/>
      <c r="CO6" t="inlineStr"/>
      <c r="CP6" t="inlineStr"/>
      <c r="CQ6" t="inlineStr"/>
      <c r="CR6" t="inlineStr"/>
      <c r="CS6" t="inlineStr"/>
      <c r="CT6" t="inlineStr"/>
      <c r="CU6" t="inlineStr"/>
      <c r="CV6" t="inlineStr"/>
      <c r="CW6" t="inlineStr"/>
      <c r="CX6" t="inlineStr"/>
      <c r="CY6" t="inlineStr"/>
      <c r="CZ6" t="inlineStr"/>
      <c r="DA6" t="inlineStr"/>
      <c r="DB6" t="inlineStr"/>
      <c r="DC6" t="inlineStr"/>
      <c r="DD6" t="inlineStr"/>
      <c r="DE6" t="inlineStr"/>
      <c r="DF6" t="inlineStr"/>
      <c r="DG6" t="inlineStr"/>
      <c r="DH6" t="inlineStr"/>
      <c r="DI6" t="inlineStr"/>
      <c r="DJ6" t="inlineStr"/>
      <c r="DK6" t="inlineStr"/>
      <c r="DL6" t="inlineStr"/>
      <c r="DM6" t="inlineStr"/>
      <c r="DN6" t="inlineStr"/>
      <c r="DO6" t="inlineStr"/>
      <c r="DP6" t="inlineStr"/>
      <c r="DQ6" t="inlineStr"/>
      <c r="DR6" t="inlineStr"/>
      <c r="DS6" t="inlineStr"/>
      <c r="DT6" t="inlineStr"/>
      <c r="DU6" t="inlineStr"/>
      <c r="DV6" t="inlineStr"/>
      <c r="DW6" t="inlineStr"/>
      <c r="DX6" t="inlineStr"/>
      <c r="DY6" t="inlineStr"/>
      <c r="DZ6" t="inlineStr"/>
      <c r="EA6" t="inlineStr"/>
      <c r="EB6" t="inlineStr"/>
      <c r="EC6" t="inlineStr"/>
      <c r="ED6" t="inlineStr"/>
      <c r="EE6" t="inlineStr"/>
      <c r="EF6" t="inlineStr"/>
      <c r="EG6" t="inlineStr"/>
      <c r="EH6" t="inlineStr"/>
      <c r="EI6" t="inlineStr"/>
      <c r="EJ6" t="inlineStr"/>
      <c r="EK6" t="inlineStr"/>
      <c r="EL6" t="inlineStr"/>
      <c r="EM6" t="inlineStr"/>
      <c r="EN6" t="inlineStr"/>
      <c r="EO6" t="inlineStr"/>
      <c r="EP6" t="inlineStr"/>
      <c r="EQ6" t="inlineStr"/>
      <c r="ER6" t="inlineStr"/>
      <c r="ES6" t="inlineStr"/>
      <c r="ET6" t="inlineStr"/>
      <c r="EU6" t="inlineStr"/>
      <c r="EV6" t="inlineStr"/>
      <c r="EW6" t="inlineStr"/>
      <c r="EX6" t="inlineStr"/>
      <c r="EY6" t="inlineStr"/>
      <c r="EZ6" t="inlineStr"/>
      <c r="FA6" t="inlineStr"/>
      <c r="FB6" t="inlineStr"/>
      <c r="FC6" t="inlineStr"/>
      <c r="FD6" t="inlineStr"/>
      <c r="FE6" t="inlineStr"/>
      <c r="FF6" t="inlineStr"/>
      <c r="FG6" t="inlineStr"/>
      <c r="FH6" t="inlineStr"/>
      <c r="FI6" t="inlineStr"/>
      <c r="FJ6" t="inlineStr"/>
      <c r="FK6" t="inlineStr"/>
      <c r="FL6" t="inlineStr"/>
      <c r="FM6" t="inlineStr"/>
      <c r="FN6" t="inlineStr"/>
      <c r="FO6" t="inlineStr"/>
      <c r="FP6" t="inlineStr"/>
      <c r="FQ6" t="inlineStr"/>
      <c r="FR6" t="inlineStr"/>
      <c r="FS6" t="inlineStr"/>
      <c r="FT6" t="inlineStr"/>
      <c r="FU6" t="inlineStr"/>
      <c r="FV6" t="inlineStr"/>
      <c r="FW6" t="inlineStr"/>
      <c r="FX6" t="inlineStr"/>
      <c r="FY6" t="inlineStr"/>
      <c r="FZ6" t="inlineStr"/>
      <c r="GA6" t="inlineStr"/>
      <c r="GB6" t="inlineStr"/>
      <c r="GC6" t="inlineStr"/>
      <c r="GD6" t="inlineStr"/>
      <c r="GE6" t="inlineStr"/>
      <c r="GF6" t="inlineStr"/>
      <c r="GG6" t="inlineStr"/>
      <c r="GH6" t="inlineStr"/>
      <c r="GI6" t="inlineStr"/>
      <c r="GJ6" t="inlineStr"/>
      <c r="GK6" t="inlineStr"/>
      <c r="GL6" t="inlineStr"/>
      <c r="GM6" t="inlineStr"/>
      <c r="GN6" t="inlineStr"/>
      <c r="GO6" t="inlineStr"/>
      <c r="GP6" t="inlineStr"/>
      <c r="GQ6" t="inlineStr"/>
      <c r="GR6" t="inlineStr"/>
      <c r="GS6" t="inlineStr"/>
      <c r="GT6" t="inlineStr"/>
      <c r="GU6" t="inlineStr"/>
      <c r="GV6" t="inlineStr"/>
      <c r="GW6" t="inlineStr"/>
      <c r="GX6" t="inlineStr"/>
      <c r="GY6" t="inlineStr"/>
      <c r="GZ6" t="inlineStr"/>
      <c r="HA6" t="inlineStr"/>
      <c r="HB6" t="inlineStr"/>
      <c r="HC6" t="inlineStr"/>
      <c r="HD6" t="inlineStr"/>
      <c r="HE6" t="inlineStr"/>
      <c r="HF6" t="inlineStr"/>
      <c r="HG6" t="inlineStr"/>
      <c r="HH6" t="inlineStr"/>
      <c r="HI6" t="inlineStr"/>
      <c r="HJ6" t="inlineStr"/>
      <c r="HK6" t="inlineStr"/>
      <c r="HL6" t="inlineStr"/>
      <c r="HM6" t="inlineStr"/>
      <c r="HN6" t="inlineStr"/>
      <c r="HO6" t="inlineStr"/>
      <c r="HP6" t="inlineStr"/>
      <c r="HQ6" t="inlineStr"/>
      <c r="HR6" t="inlineStr"/>
      <c r="HS6" t="inlineStr"/>
      <c r="HT6" t="inlineStr"/>
      <c r="HU6" t="inlineStr"/>
      <c r="HV6" t="inlineStr"/>
      <c r="HW6" t="inlineStr"/>
      <c r="HX6" t="inlineStr"/>
      <c r="HY6" t="inlineStr"/>
      <c r="HZ6" t="inlineStr"/>
      <c r="IA6" t="inlineStr"/>
      <c r="IB6" t="inlineStr"/>
      <c r="IC6" t="inlineStr"/>
      <c r="ID6" t="inlineStr"/>
      <c r="IE6" t="inlineStr"/>
      <c r="IF6" t="inlineStr"/>
      <c r="IG6" t="inlineStr"/>
      <c r="IH6" t="inlineStr"/>
      <c r="II6" t="inlineStr"/>
      <c r="IJ6" t="inlineStr"/>
      <c r="IK6" t="inlineStr"/>
      <c r="IL6" t="inlineStr"/>
      <c r="IM6" t="inlineStr"/>
      <c r="IN6" t="inlineStr"/>
      <c r="IO6" t="inlineStr"/>
      <c r="IP6" t="inlineStr"/>
      <c r="IQ6" t="inlineStr"/>
      <c r="IR6" t="inlineStr"/>
      <c r="IS6">
        <f>IF(input_content_type="",FALSE,ISNUMBER(SEARCH(","&amp;LOWER(input_content_type)&amp;",",","&amp;LOWER(F6)&amp;",")))</f>
        <v/>
      </c>
      <c r="IT6">
        <f>AND(IF(M6="",TRUE,IF(input_affiliations="",FALSE,SUMPRODUCT(--ISNUMBER(SEARCH(","&amp;TRIM(TEXTSPLIT(M6,","))&amp;",",","&amp;SUBSTITUTE(input_affiliations," ","")&amp;",")))&gt;0)),IF(O6="",TRUE,IF(input_affiliations="",FALSE,SUMPRODUCT(--ISNUMBER(SEARCH(","&amp;TRIM(TEXTSPLIT(O6,","))&amp;",",","&amp;SUBSTITUTE(input_affiliations," ","")&amp;",")))=COUNTA(TEXTSPLIT(O6,",")))),IF(Q6="",TRUE,IF(input_affiliations="",TRUE,SUMPRODUCT(--ISNUMBER(SEARCH(","&amp;TRIM(TEXTSPLIT(Q6,","))&amp;",",","&amp;SUBSTITUTE(input_affiliations," ","")&amp;",")))=0)),IF(S6="",TRUE,IF(input_affiliations="",FALSE,SUMPRODUCT(--ISNUMBER(SEARCH(","&amp;TRIM(TEXTSPLIT(S6,","))&amp;",",","&amp;SUBSTITUTE(input_affiliations," ","")&amp;",")))&gt;0)),IF(U6="",TRUE,IF(input_affiliations="",FALSE,SUMPRODUCT(--ISNUMBER(SEARCH(","&amp;TRIM(TEXTSPLIT(U6,","))&amp;",",","&amp;SUBSTITUTE(input_affiliations," ","")&amp;",")))=COUNTA(TEXTSPLIT(U6,",")))))</f>
        <v/>
      </c>
      <c r="IU6">
        <f>AND(IF(W6="",TRUE,IF(input_announcement_category="",FALSE,SUMPRODUCT(--ISNUMBER(SEARCH(","&amp;TRIM(TEXTSPLIT(W6,","))&amp;",",","&amp;SUBSTITUTE(input_announcement_category," ","")&amp;",")))&gt;0)),IF(Y6="",TRUE,IF(input_announcement_category="",FALSE,SUMPRODUCT(--ISNUMBER(SEARCH(","&amp;TRIM(TEXTSPLIT(Y6,","))&amp;",",","&amp;SUBSTITUTE(input_announcement_category," ","")&amp;",")))=COUNTA(TEXTSPLIT(Y6,",")))),IF(AA6="",TRUE,IF(input_announcement_category="",TRUE,SUMPRODUCT(--ISNUMBER(SEARCH(","&amp;TRIM(TEXTSPLIT(AA6,","))&amp;",",","&amp;SUBSTITUTE(input_announcement_category," ","")&amp;",")))=0)),IF(AC6="",TRUE,IF(input_announcement_category="",FALSE,SUMPRODUCT(--ISNUMBER(SEARCH(","&amp;TRIM(TEXTSPLIT(AC6,","))&amp;",",","&amp;SUBSTITUTE(input_announcement_category," ","")&amp;",")))&gt;0)),IF(AE6="",TRUE,IF(input_announcement_category="",FALSE,SUMPRODUCT(--ISNUMBER(SEARCH(","&amp;TRIM(TEXTSPLIT(AE6,","))&amp;",",","&amp;SUBSTITUTE(input_announcement_category," ","")&amp;",")))=COUNTA(TEXTSPLIT(AE6,",")))))</f>
        <v/>
      </c>
      <c r="IV6">
        <f>AND(IF(AG6="",TRUE,IF(input_area_of_focus="",FALSE,SUMPRODUCT(--ISNUMBER(SEARCH(","&amp;TRIM(TEXTSPLIT(AG6,","))&amp;",",","&amp;SUBSTITUTE(input_area_of_focus," ","")&amp;",")))&gt;0)),IF(AI6="",TRUE,IF(input_area_of_focus="",FALSE,SUMPRODUCT(--ISNUMBER(SEARCH(","&amp;TRIM(TEXTSPLIT(AI6,","))&amp;",",","&amp;SUBSTITUTE(input_area_of_focus," ","")&amp;",")))=COUNTA(TEXTSPLIT(AI6,",")))),IF(AK6="",TRUE,IF(input_area_of_focus="",TRUE,SUMPRODUCT(--ISNUMBER(SEARCH(","&amp;TRIM(TEXTSPLIT(AK6,","))&amp;",",","&amp;SUBSTITUTE(input_area_of_focus," ","")&amp;",")))=0)),IF(AM6="",TRUE,IF(input_area_of_focus="",FALSE,SUMPRODUCT(--ISNUMBER(SEARCH(","&amp;TRIM(TEXTSPLIT(AM6,","))&amp;",",","&amp;SUBSTITUTE(input_area_of_focus," ","")&amp;",")))&gt;0)),IF(AO6="",TRUE,IF(input_area_of_focus="",FALSE,SUMPRODUCT(--ISNUMBER(SEARCH(","&amp;TRIM(TEXTSPLIT(AO6,","))&amp;",",","&amp;SUBSTITUTE(input_area_of_focus," ","")&amp;",")))=COUNTA(TEXTSPLIT(AO6,",")))))</f>
        <v/>
      </c>
      <c r="IW6">
        <f>AND(IF(AQ6="",TRUE,IF(input_audience="",FALSE,SUMPRODUCT(--ISNUMBER(SEARCH(","&amp;TRIM(TEXTSPLIT(AQ6,","))&amp;",",","&amp;SUBSTITUTE(input_audience," ","")&amp;",")))&gt;0)),IF(AS6="",TRUE,IF(input_audience="",FALSE,SUMPRODUCT(--ISNUMBER(SEARCH(","&amp;TRIM(TEXTSPLIT(AS6,","))&amp;",",","&amp;SUBSTITUTE(input_audience," ","")&amp;",")))=COUNTA(TEXTSPLIT(AS6,",")))),IF(AU6="",TRUE,IF(input_audience="",TRUE,SUMPRODUCT(--ISNUMBER(SEARCH(","&amp;TRIM(TEXTSPLIT(AU6,","))&amp;",",","&amp;SUBSTITUTE(input_audience," ","")&amp;",")))=0)),IF(AW6="",TRUE,IF(input_audience="",FALSE,SUMPRODUCT(--ISNUMBER(SEARCH(","&amp;TRIM(TEXTSPLIT(AW6,","))&amp;",",","&amp;SUBSTITUTE(input_audience," ","")&amp;",")))&gt;0)),IF(AY6="",TRUE,IF(input_audience="",FALSE,SUMPRODUCT(--ISNUMBER(SEARCH(","&amp;TRIM(TEXTSPLIT(AY6,","))&amp;",",","&amp;SUBSTITUTE(input_audience," ","")&amp;",")))=COUNTA(TEXTSPLIT(AY6,",")))))</f>
        <v/>
      </c>
      <c r="IX6">
        <f>AND(IF(BA6="",TRUE,IF(input_challenge_opportunities="",FALSE,SUMPRODUCT(--ISNUMBER(SEARCH(","&amp;TRIM(TEXTSPLIT(BA6,","))&amp;",",","&amp;SUBSTITUTE(input_challenge_opportunities," ","")&amp;",")))&gt;0)),IF(BC6="",TRUE,IF(input_challenge_opportunities="",FALSE,SUMPRODUCT(--ISNUMBER(SEARCH(","&amp;TRIM(TEXTSPLIT(BC6,","))&amp;",",","&amp;SUBSTITUTE(input_challenge_opportunities," ","")&amp;",")))=COUNTA(TEXTSPLIT(BC6,",")))),IF(BE6="",TRUE,IF(input_challenge_opportunities="",TRUE,SUMPRODUCT(--ISNUMBER(SEARCH(","&amp;TRIM(TEXTSPLIT(BE6,","))&amp;",",","&amp;SUBSTITUTE(input_challenge_opportunities," ","")&amp;",")))=0)),IF(BG6="",TRUE,IF(input_challenge_opportunities="",FALSE,SUMPRODUCT(--ISNUMBER(SEARCH(","&amp;TRIM(TEXTSPLIT(BG6,","))&amp;",",","&amp;SUBSTITUTE(input_challenge_opportunities," ","")&amp;",")))&gt;0)),IF(BI6="",TRUE,IF(input_challenge_opportunities="",FALSE,SUMPRODUCT(--ISNUMBER(SEARCH(","&amp;TRIM(TEXTSPLIT(BI6,","))&amp;",",","&amp;SUBSTITUTE(input_challenge_opportunities," ","")&amp;",")))=COUNTA(TEXTSPLIT(BI6,",")))))</f>
        <v/>
      </c>
      <c r="IY6">
        <f>AND(IF(BK6="",TRUE,IF(input_context="",FALSE,SUMPRODUCT(--ISNUMBER(SEARCH(","&amp;TRIM(TEXTSPLIT(BK6,","))&amp;",",","&amp;SUBSTITUTE(input_context," ","")&amp;",")))&gt;0)),IF(BM6="",TRUE,IF(input_context="",FALSE,SUMPRODUCT(--ISNUMBER(SEARCH(","&amp;TRIM(TEXTSPLIT(BM6,","))&amp;",",","&amp;SUBSTITUTE(input_context," ","")&amp;",")))=COUNTA(TEXTSPLIT(BM6,",")))),IF(BO6="",TRUE,IF(input_context="",TRUE,SUMPRODUCT(--ISNUMBER(SEARCH(","&amp;TRIM(TEXTSPLIT(BO6,","))&amp;",",","&amp;SUBSTITUTE(input_context," ","")&amp;",")))=0)),IF(BQ6="",TRUE,IF(input_context="",FALSE,SUMPRODUCT(--ISNUMBER(SEARCH(","&amp;TRIM(TEXTSPLIT(BQ6,","))&amp;",",","&amp;SUBSTITUTE(input_context," ","")&amp;",")))&gt;0)),IF(BS6="",TRUE,IF(input_context="",FALSE,SUMPRODUCT(--ISNUMBER(SEARCH(","&amp;TRIM(TEXTSPLIT(BS6,","))&amp;",",","&amp;SUBSTITUTE(input_context," ","")&amp;",")))=COUNTA(TEXTSPLIT(BS6,",")))))</f>
        <v/>
      </c>
      <c r="IZ6">
        <f>AND(IF(BU6="",TRUE,IF(input_enews_announcement_type="",FALSE,SUMPRODUCT(--ISNUMBER(SEARCH(","&amp;TRIM(TEXTSPLIT(BU6,","))&amp;",",","&amp;SUBSTITUTE(input_enews_announcement_type," ","")&amp;",")))&gt;0)),IF(BW6="",TRUE,IF(input_enews_announcement_type="",FALSE,SUMPRODUCT(--ISNUMBER(SEARCH(","&amp;TRIM(TEXTSPLIT(BW6,","))&amp;",",","&amp;SUBSTITUTE(input_enews_announcement_type," ","")&amp;",")))=COUNTA(TEXTSPLIT(BW6,",")))),IF(BY6="",TRUE,IF(input_enews_announcement_type="",TRUE,SUMPRODUCT(--ISNUMBER(SEARCH(","&amp;TRIM(TEXTSPLIT(BY6,","))&amp;",",","&amp;SUBSTITUTE(input_enews_announcement_type," ","")&amp;",")))=0)),IF(CA6="",TRUE,IF(input_enews_announcement_type="",FALSE,SUMPRODUCT(--ISNUMBER(SEARCH(","&amp;TRIM(TEXTSPLIT(CA6,","))&amp;",",","&amp;SUBSTITUTE(input_enews_announcement_type," ","")&amp;",")))&gt;0)),IF(CC6="",TRUE,IF(input_enews_announcement_type="",FALSE,SUMPRODUCT(--ISNUMBER(SEARCH(","&amp;TRIM(TEXTSPLIT(CC6,","))&amp;",",","&amp;SUBSTITUTE(input_enews_announcement_type," ","")&amp;",")))=COUNTA(TEXTSPLIT(CC6,",")))))</f>
        <v/>
      </c>
      <c r="JA6">
        <f>AND(IF(CE6="",TRUE,IF(input_enews_audience="",FALSE,SUMPRODUCT(--ISNUMBER(SEARCH(","&amp;TRIM(TEXTSPLIT(CE6,","))&amp;",",","&amp;SUBSTITUTE(input_enews_audience," ","")&amp;",")))&gt;0)),IF(CG6="",TRUE,IF(input_enews_audience="",FALSE,SUMPRODUCT(--ISNUMBER(SEARCH(","&amp;TRIM(TEXTSPLIT(CG6,","))&amp;",",","&amp;SUBSTITUTE(input_enews_audience," ","")&amp;",")))=COUNTA(TEXTSPLIT(CG6,",")))),IF(CI6="",TRUE,IF(input_enews_audience="",TRUE,SUMPRODUCT(--ISNUMBER(SEARCH(","&amp;TRIM(TEXTSPLIT(CI6,","))&amp;",",","&amp;SUBSTITUTE(input_enews_audience," ","")&amp;",")))=0)),IF(CK6="",TRUE,IF(input_enews_audience="",FALSE,SUMPRODUCT(--ISNUMBER(SEARCH(","&amp;TRIM(TEXTSPLIT(CK6,","))&amp;",",","&amp;SUBSTITUTE(input_enews_audience," ","")&amp;",")))&gt;0)),IF(CM6="",TRUE,IF(input_enews_audience="",FALSE,SUMPRODUCT(--ISNUMBER(SEARCH(","&amp;TRIM(TEXTSPLIT(CM6,","))&amp;",",","&amp;SUBSTITUTE(input_enews_audience," ","")&amp;",")))=COUNTA(TEXTSPLIT(CM6,",")))))</f>
        <v/>
      </c>
      <c r="JB6">
        <f>AND(IF(CO6="",TRUE,IF(input_event_location="",FALSE,SUMPRODUCT(--ISNUMBER(SEARCH(","&amp;TRIM(TEXTSPLIT(CO6,","))&amp;",",","&amp;SUBSTITUTE(input_event_location," ","")&amp;",")))&gt;0)),IF(CQ6="",TRUE,IF(input_event_location="",FALSE,SUMPRODUCT(--ISNUMBER(SEARCH(","&amp;TRIM(TEXTSPLIT(CQ6,","))&amp;",",","&amp;SUBSTITUTE(input_event_location," ","")&amp;",")))=COUNTA(TEXTSPLIT(CQ6,",")))),IF(CS6="",TRUE,IF(input_event_location="",TRUE,SUMPRODUCT(--ISNUMBER(SEARCH(","&amp;TRIM(TEXTSPLIT(CS6,","))&amp;",",","&amp;SUBSTITUTE(input_event_location," ","")&amp;",")))=0)),IF(CU6="",TRUE,IF(input_event_location="",FALSE,SUMPRODUCT(--ISNUMBER(SEARCH(","&amp;TRIM(TEXTSPLIT(CU6,","))&amp;",",","&amp;SUBSTITUTE(input_event_location," ","")&amp;",")))&gt;0)),IF(CW6="",TRUE,IF(input_event_location="",FALSE,SUMPRODUCT(--ISNUMBER(SEARCH(","&amp;TRIM(TEXTSPLIT(CW6,","))&amp;",",","&amp;SUBSTITUTE(input_event_location," ","")&amp;",")))=COUNTA(TEXTSPLIT(CW6,",")))))</f>
        <v/>
      </c>
      <c r="JC6">
        <f>AND(IF(CY6="",TRUE,IF(input_event_type="",FALSE,SUMPRODUCT(--ISNUMBER(SEARCH(","&amp;TRIM(TEXTSPLIT(CY6,","))&amp;",",","&amp;SUBSTITUTE(input_event_type," ","")&amp;",")))&gt;0)),IF(DA6="",TRUE,IF(input_event_type="",FALSE,SUMPRODUCT(--ISNUMBER(SEARCH(","&amp;TRIM(TEXTSPLIT(DA6,","))&amp;",",","&amp;SUBSTITUTE(input_event_type," ","")&amp;",")))=COUNTA(TEXTSPLIT(DA6,",")))),IF(DC6="",TRUE,IF(input_event_type="",TRUE,SUMPRODUCT(--ISNUMBER(SEARCH(","&amp;TRIM(TEXTSPLIT(DC6,","))&amp;",",","&amp;SUBSTITUTE(input_event_type," ","")&amp;",")))=0)),IF(DE6="",TRUE,IF(input_event_type="",FALSE,SUMPRODUCT(--ISNUMBER(SEARCH(","&amp;TRIM(TEXTSPLIT(DE6,","))&amp;",",","&amp;SUBSTITUTE(input_event_type," ","")&amp;",")))&gt;0)),IF(DG6="",TRUE,IF(input_event_type="",FALSE,SUMPRODUCT(--ISNUMBER(SEARCH(","&amp;TRIM(TEXTSPLIT(DG6,","))&amp;",",","&amp;SUBSTITUTE(input_event_type," ","")&amp;",")))=COUNTA(TEXTSPLIT(DG6,",")))))</f>
        <v/>
      </c>
      <c r="JD6">
        <f>AND(IF(DI6="",TRUE,IF(input_executive_education_focus="",FALSE,SUMPRODUCT(--ISNUMBER(SEARCH(","&amp;TRIM(TEXTSPLIT(DI6,","))&amp;",",","&amp;SUBSTITUTE(input_executive_education_focus," ","")&amp;",")))&gt;0)),IF(DK6="",TRUE,IF(input_executive_education_focus="",FALSE,SUMPRODUCT(--ISNUMBER(SEARCH(","&amp;TRIM(TEXTSPLIT(DK6,","))&amp;",",","&amp;SUBSTITUTE(input_executive_education_focus," ","")&amp;",")))=COUNTA(TEXTSPLIT(DK6,",")))),IF(DM6="",TRUE,IF(input_executive_education_focus="",TRUE,SUMPRODUCT(--ISNUMBER(SEARCH(","&amp;TRIM(TEXTSPLIT(DM6,","))&amp;",",","&amp;SUBSTITUTE(input_executive_education_focus," ","")&amp;",")))=0)),IF(DO6="",TRUE,IF(input_executive_education_focus="",FALSE,SUMPRODUCT(--ISNUMBER(SEARCH(","&amp;TRIM(TEXTSPLIT(DO6,","))&amp;",",","&amp;SUBSTITUTE(input_executive_education_focus," ","")&amp;",")))&gt;0)),IF(DQ6="",TRUE,IF(input_executive_education_focus="",FALSE,SUMPRODUCT(--ISNUMBER(SEARCH(","&amp;TRIM(TEXTSPLIT(DQ6,","))&amp;",",","&amp;SUBSTITUTE(input_executive_education_focus," ","")&amp;",")))=COUNTA(TEXTSPLIT(DQ6,",")))))</f>
        <v/>
      </c>
      <c r="JE6">
        <f>AND(IF(DS6="",TRUE,IF(input_faculty_category="",FALSE,SUMPRODUCT(--ISNUMBER(SEARCH(","&amp;TRIM(TEXTSPLIT(DS6,","))&amp;",",","&amp;SUBSTITUTE(input_faculty_category," ","")&amp;",")))&gt;0)),IF(DU6="",TRUE,IF(input_faculty_category="",FALSE,SUMPRODUCT(--ISNUMBER(SEARCH(","&amp;TRIM(TEXTSPLIT(DU6,","))&amp;",",","&amp;SUBSTITUTE(input_faculty_category," ","")&amp;",")))=COUNTA(TEXTSPLIT(DU6,",")))),IF(DW6="",TRUE,IF(input_faculty_category="",TRUE,SUMPRODUCT(--ISNUMBER(SEARCH(","&amp;TRIM(TEXTSPLIT(DW6,","))&amp;",",","&amp;SUBSTITUTE(input_faculty_category," ","")&amp;",")))=0)),IF(DY6="",TRUE,IF(input_faculty_category="",FALSE,SUMPRODUCT(--ISNUMBER(SEARCH(","&amp;TRIM(TEXTSPLIT(DY6,","))&amp;",",","&amp;SUBSTITUTE(input_faculty_category," ","")&amp;",")))&gt;0)),IF(EA6="",TRUE,IF(input_faculty_category="",FALSE,SUMPRODUCT(--ISNUMBER(SEARCH(","&amp;TRIM(TEXTSPLIT(EA6,","))&amp;",",","&amp;SUBSTITUTE(input_faculty_category," ","")&amp;",")))=COUNTA(TEXTSPLIT(EA6,",")))))</f>
        <v/>
      </c>
      <c r="JF6">
        <f>AND(IF(EC6="",TRUE,IF(input_faculty_discipline="",FALSE,SUMPRODUCT(--ISNUMBER(SEARCH(","&amp;TRIM(TEXTSPLIT(EC6,","))&amp;",",","&amp;SUBSTITUTE(input_faculty_discipline," ","")&amp;",")))&gt;0)),IF(EE6="",TRUE,IF(input_faculty_discipline="",FALSE,SUMPRODUCT(--ISNUMBER(SEARCH(","&amp;TRIM(TEXTSPLIT(EE6,","))&amp;",",","&amp;SUBSTITUTE(input_faculty_discipline," ","")&amp;",")))=COUNTA(TEXTSPLIT(EE6,",")))),IF(EG6="",TRUE,IF(input_faculty_discipline="",TRUE,SUMPRODUCT(--ISNUMBER(SEARCH(","&amp;TRIM(TEXTSPLIT(EG6,","))&amp;",",","&amp;SUBSTITUTE(input_faculty_discipline," ","")&amp;",")))=0)),IF(EI6="",TRUE,IF(input_faculty_discipline="",FALSE,SUMPRODUCT(--ISNUMBER(SEARCH(","&amp;TRIM(TEXTSPLIT(EI6,","))&amp;",",","&amp;SUBSTITUTE(input_faculty_discipline," ","")&amp;",")))&gt;0)),IF(EK6="",TRUE,IF(input_faculty_discipline="",FALSE,SUMPRODUCT(--ISNUMBER(SEARCH(","&amp;TRIM(TEXTSPLIT(EK6,","))&amp;",",","&amp;SUBSTITUTE(input_faculty_discipline," ","")&amp;",")))=COUNTA(TEXTSPLIT(EK6,",")))))</f>
        <v/>
      </c>
      <c r="JG6">
        <f>AND(IF(EM6="",TRUE,IF(input_faculty_expertise="",FALSE,SUMPRODUCT(--ISNUMBER(SEARCH(","&amp;TRIM(TEXTSPLIT(EM6,","))&amp;",",","&amp;SUBSTITUTE(input_faculty_expertise," ","")&amp;",")))&gt;0)),IF(EO6="",TRUE,IF(input_faculty_expertise="",FALSE,SUMPRODUCT(--ISNUMBER(SEARCH(","&amp;TRIM(TEXTSPLIT(EO6,","))&amp;",",","&amp;SUBSTITUTE(input_faculty_expertise," ","")&amp;",")))=COUNTA(TEXTSPLIT(EO6,",")))),IF(EQ6="",TRUE,IF(input_faculty_expertise="",TRUE,SUMPRODUCT(--ISNUMBER(SEARCH(","&amp;TRIM(TEXTSPLIT(EQ6,","))&amp;",",","&amp;SUBSTITUTE(input_faculty_expertise," ","")&amp;",")))=0)),IF(ES6="",TRUE,IF(input_faculty_expertise="",FALSE,SUMPRODUCT(--ISNUMBER(SEARCH(","&amp;TRIM(TEXTSPLIT(ES6,","))&amp;",",","&amp;SUBSTITUTE(input_faculty_expertise," ","")&amp;",")))&gt;0)),IF(EU6="",TRUE,IF(input_faculty_expertise="",FALSE,SUMPRODUCT(--ISNUMBER(SEARCH(","&amp;TRIM(TEXTSPLIT(EU6,","))&amp;",",","&amp;SUBSTITUTE(input_faculty_expertise," ","")&amp;",")))=COUNTA(TEXTSPLIT(EU6,",")))))</f>
        <v/>
      </c>
      <c r="JH6">
        <f>AND(IF(EW6="",TRUE,IF(input_global_network_school="",FALSE,SUMPRODUCT(--ISNUMBER(SEARCH(","&amp;TRIM(TEXTSPLIT(EW6,","))&amp;",",","&amp;SUBSTITUTE(input_global_network_school," ","")&amp;",")))&gt;0)),IF(EY6="",TRUE,IF(input_global_network_school="",FALSE,SUMPRODUCT(--ISNUMBER(SEARCH(","&amp;TRIM(TEXTSPLIT(EY6,","))&amp;",",","&amp;SUBSTITUTE(input_global_network_school," ","")&amp;",")))=COUNTA(TEXTSPLIT(EY6,",")))),IF(FA6="",TRUE,IF(input_global_network_school="",TRUE,SUMPRODUCT(--ISNUMBER(SEARCH(","&amp;TRIM(TEXTSPLIT(FA6,","))&amp;",",","&amp;SUBSTITUTE(input_global_network_school," ","")&amp;",")))=0)),IF(FC6="",TRUE,IF(input_global_network_school="",FALSE,SUMPRODUCT(--ISNUMBER(SEARCH(","&amp;TRIM(TEXTSPLIT(FC6,","))&amp;",",","&amp;SUBSTITUTE(input_global_network_school," ","")&amp;",")))&gt;0)),IF(FE6="",TRUE,IF(input_global_network_school="",FALSE,SUMPRODUCT(--ISNUMBER(SEARCH(","&amp;TRIM(TEXTSPLIT(FE6,","))&amp;",",","&amp;SUBSTITUTE(input_global_network_school," ","")&amp;",")))=COUNTA(TEXTSPLIT(FE6,",")))))</f>
        <v/>
      </c>
      <c r="JI6">
        <f>AND(IF(FG6="",TRUE,IF(input_industry="",FALSE,SUMPRODUCT(--ISNUMBER(SEARCH(","&amp;TRIM(TEXTSPLIT(FG6,","))&amp;",",","&amp;SUBSTITUTE(input_industry," ","")&amp;",")))&gt;0)),IF(FI6="",TRUE,IF(input_industry="",FALSE,SUMPRODUCT(--ISNUMBER(SEARCH(","&amp;TRIM(TEXTSPLIT(FI6,","))&amp;",",","&amp;SUBSTITUTE(input_industry," ","")&amp;",")))=COUNTA(TEXTSPLIT(FI6,",")))),IF(FK6="",TRUE,IF(input_industry="",TRUE,SUMPRODUCT(--ISNUMBER(SEARCH(","&amp;TRIM(TEXTSPLIT(FK6,","))&amp;",",","&amp;SUBSTITUTE(input_industry," ","")&amp;",")))=0)),IF(FM6="",TRUE,IF(input_industry="",FALSE,SUMPRODUCT(--ISNUMBER(SEARCH(","&amp;TRIM(TEXTSPLIT(FM6,","))&amp;",",","&amp;SUBSTITUTE(input_industry," ","")&amp;",")))&gt;0)),IF(FO6="",TRUE,IF(input_industry="",FALSE,SUMPRODUCT(--ISNUMBER(SEARCH(","&amp;TRIM(TEXTSPLIT(FO6,","))&amp;",",","&amp;SUBSTITUTE(input_industry," ","")&amp;",")))=COUNTA(TEXTSPLIT(FO6,",")))))</f>
        <v/>
      </c>
      <c r="JJ6">
        <f>AND(IF(FQ6="",TRUE,IF(input_location="",FALSE,SUMPRODUCT(--ISNUMBER(SEARCH(","&amp;TRIM(TEXTSPLIT(FQ6,","))&amp;",",","&amp;SUBSTITUTE(input_location," ","")&amp;",")))&gt;0)),IF(FS6="",TRUE,IF(input_location="",FALSE,SUMPRODUCT(--ISNUMBER(SEARCH(","&amp;TRIM(TEXTSPLIT(FS6,","))&amp;",",","&amp;SUBSTITUTE(input_location," ","")&amp;",")))=COUNTA(TEXTSPLIT(FS6,",")))),IF(FU6="",TRUE,IF(input_location="",TRUE,SUMPRODUCT(--ISNUMBER(SEARCH(","&amp;TRIM(TEXTSPLIT(FU6,","))&amp;",",","&amp;SUBSTITUTE(input_location," ","")&amp;",")))=0)),IF(FW6="",TRUE,IF(input_location="",FALSE,SUMPRODUCT(--ISNUMBER(SEARCH(","&amp;TRIM(TEXTSPLIT(FW6,","))&amp;",",","&amp;SUBSTITUTE(input_location," ","")&amp;",")))&gt;0)),IF(FY6="",TRUE,IF(input_location="",FALSE,SUMPRODUCT(--ISNUMBER(SEARCH(","&amp;TRIM(TEXTSPLIT(FY6,","))&amp;",",","&amp;SUBSTITUTE(input_location," ","")&amp;",")))=COUNTA(TEXTSPLIT(FY6,",")))))</f>
        <v/>
      </c>
      <c r="JK6">
        <f>AND(IF(GA6="",TRUE,IF(input_modality="",FALSE,SUMPRODUCT(--ISNUMBER(SEARCH(","&amp;TRIM(TEXTSPLIT(GA6,","))&amp;",",","&amp;SUBSTITUTE(input_modality," ","")&amp;",")))&gt;0)),IF(GC6="",TRUE,IF(input_modality="",FALSE,SUMPRODUCT(--ISNUMBER(SEARCH(","&amp;TRIM(TEXTSPLIT(GC6,","))&amp;",",","&amp;SUBSTITUTE(input_modality," ","")&amp;",")))=COUNTA(TEXTSPLIT(GC6,",")))),IF(GE6="",TRUE,IF(input_modality="",TRUE,SUMPRODUCT(--ISNUMBER(SEARCH(","&amp;TRIM(TEXTSPLIT(GE6,","))&amp;",",","&amp;SUBSTITUTE(input_modality," ","")&amp;",")))=0)),IF(GG6="",TRUE,IF(input_modality="",FALSE,SUMPRODUCT(--ISNUMBER(SEARCH(","&amp;TRIM(TEXTSPLIT(GG6,","))&amp;",",","&amp;SUBSTITUTE(input_modality," ","")&amp;",")))&gt;0)),IF(GI6="",TRUE,IF(input_modality="",FALSE,SUMPRODUCT(--ISNUMBER(SEARCH(","&amp;TRIM(TEXTSPLIT(GI6,","))&amp;",",","&amp;SUBSTITUTE(input_modality," ","")&amp;",")))=COUNTA(TEXTSPLIT(GI6,",")))))</f>
        <v/>
      </c>
      <c r="JL6">
        <f>AND(IF(GK6="",TRUE,IF(input_organizer="",FALSE,SUMPRODUCT(--ISNUMBER(SEARCH(","&amp;TRIM(TEXTSPLIT(GK6,","))&amp;",",","&amp;SUBSTITUTE(input_organizer," ","")&amp;",")))&gt;0)),IF(GM6="",TRUE,IF(input_organizer="",FALSE,SUMPRODUCT(--ISNUMBER(SEARCH(","&amp;TRIM(TEXTSPLIT(GM6,","))&amp;",",","&amp;SUBSTITUTE(input_organizer," ","")&amp;",")))=COUNTA(TEXTSPLIT(GM6,",")))),IF(GO6="",TRUE,IF(input_organizer="",TRUE,SUMPRODUCT(--ISNUMBER(SEARCH(","&amp;TRIM(TEXTSPLIT(GO6,","))&amp;",",","&amp;SUBSTITUTE(input_organizer," ","")&amp;",")))=0)),IF(GQ6="",TRUE,IF(input_organizer="",FALSE,SUMPRODUCT(--ISNUMBER(SEARCH(","&amp;TRIM(TEXTSPLIT(GQ6,","))&amp;",",","&amp;SUBSTITUTE(input_organizer," ","")&amp;",")))&gt;0)),IF(GS6="",TRUE,IF(input_organizer="",FALSE,SUMPRODUCT(--ISNUMBER(SEARCH(","&amp;TRIM(TEXTSPLIT(GS6,","))&amp;",",","&amp;SUBSTITUTE(input_organizer," ","")&amp;",")))=COUNTA(TEXTSPLIT(GS6,",")))))</f>
        <v/>
      </c>
      <c r="JM6">
        <f>AND(IF(GU6="",TRUE,IF(input_profile_type="",FALSE,SUMPRODUCT(--ISNUMBER(SEARCH(","&amp;TRIM(TEXTSPLIT(GU6,","))&amp;",",","&amp;SUBSTITUTE(input_profile_type," ","")&amp;",")))&gt;0)),IF(GW6="",TRUE,IF(input_profile_type="",FALSE,SUMPRODUCT(--ISNUMBER(SEARCH(","&amp;TRIM(TEXTSPLIT(GW6,","))&amp;",",","&amp;SUBSTITUTE(input_profile_type," ","")&amp;",")))=COUNTA(TEXTSPLIT(GW6,",")))),IF(GY6="",TRUE,IF(input_profile_type="",TRUE,SUMPRODUCT(--ISNUMBER(SEARCH(","&amp;TRIM(TEXTSPLIT(GY6,","))&amp;",",","&amp;SUBSTITUTE(input_profile_type," ","")&amp;",")))=0)),IF(HA6="",TRUE,IF(input_profile_type="",FALSE,SUMPRODUCT(--ISNUMBER(SEARCH(","&amp;TRIM(TEXTSPLIT(HA6,","))&amp;",",","&amp;SUBSTITUTE(input_profile_type," ","")&amp;",")))&gt;0)),IF(HC6="",TRUE,IF(input_profile_type="",FALSE,SUMPRODUCT(--ISNUMBER(SEARCH(","&amp;TRIM(TEXTSPLIT(HC6,","))&amp;",",","&amp;SUBSTITUTE(input_profile_type," ","")&amp;",")))=COUNTA(TEXTSPLIT(HC6,",")))))</f>
        <v/>
      </c>
      <c r="JN6">
        <f>AND(IF(HE6="",TRUE,IF(input_program="",FALSE,SUMPRODUCT(--ISNUMBER(SEARCH(","&amp;TRIM(TEXTSPLIT(HE6,","))&amp;",",","&amp;SUBSTITUTE(input_program," ","")&amp;",")))&gt;0)),IF(HG6="",TRUE,IF(input_program="",FALSE,SUMPRODUCT(--ISNUMBER(SEARCH(","&amp;TRIM(TEXTSPLIT(HG6,","))&amp;",",","&amp;SUBSTITUTE(input_program," ","")&amp;",")))=COUNTA(TEXTSPLIT(HG6,",")))),IF(HI6="",TRUE,IF(input_program="",TRUE,SUMPRODUCT(--ISNUMBER(SEARCH(","&amp;TRIM(TEXTSPLIT(HI6,","))&amp;",",","&amp;SUBSTITUTE(input_program," ","")&amp;",")))=0)),IF(HK6="",TRUE,IF(input_program="",FALSE,SUMPRODUCT(--ISNUMBER(SEARCH(","&amp;TRIM(TEXTSPLIT(HK6,","))&amp;",",","&amp;SUBSTITUTE(input_program," ","")&amp;",")))&gt;0)),IF(HM6="",TRUE,IF(input_program="",FALSE,SUMPRODUCT(--ISNUMBER(SEARCH(","&amp;TRIM(TEXTSPLIT(HM6,","))&amp;",",","&amp;SUBSTITUTE(input_program," ","")&amp;",")))=COUNTA(TEXTSPLIT(HM6,",")))))</f>
        <v/>
      </c>
      <c r="JO6">
        <f>AND(IF(HO6="",TRUE,IF(input_story_categories="",FALSE,SUMPRODUCT(--ISNUMBER(SEARCH(","&amp;TRIM(TEXTSPLIT(HO6,","))&amp;",",","&amp;SUBSTITUTE(input_story_categories," ","")&amp;",")))&gt;0)),IF(HQ6="",TRUE,IF(input_story_categories="",FALSE,SUMPRODUCT(--ISNUMBER(SEARCH(","&amp;TRIM(TEXTSPLIT(HQ6,","))&amp;",",","&amp;SUBSTITUTE(input_story_categories," ","")&amp;",")))=COUNTA(TEXTSPLIT(HQ6,",")))),IF(HS6="",TRUE,IF(input_story_categories="",TRUE,SUMPRODUCT(--ISNUMBER(SEARCH(","&amp;TRIM(TEXTSPLIT(HS6,","))&amp;",",","&amp;SUBSTITUTE(input_story_categories," ","")&amp;",")))=0)),IF(HU6="",TRUE,IF(input_story_categories="",FALSE,SUMPRODUCT(--ISNUMBER(SEARCH(","&amp;TRIM(TEXTSPLIT(HU6,","))&amp;",",","&amp;SUBSTITUTE(input_story_categories," ","")&amp;",")))&gt;0)),IF(HW6="",TRUE,IF(input_story_categories="",FALSE,SUMPRODUCT(--ISNUMBER(SEARCH(","&amp;TRIM(TEXTSPLIT(HW6,","))&amp;",",","&amp;SUBSTITUTE(input_story_categories," ","")&amp;",")))=COUNTA(TEXTSPLIT(HW6,",")))))</f>
        <v/>
      </c>
      <c r="JP6">
        <f>AND(IF(HY6="",TRUE,IF(input_story_type="",FALSE,SUMPRODUCT(--ISNUMBER(SEARCH(","&amp;TRIM(TEXTSPLIT(HY6,","))&amp;",",","&amp;SUBSTITUTE(input_story_type," ","")&amp;",")))&gt;0)),IF(IA6="",TRUE,IF(input_story_type="",FALSE,SUMPRODUCT(--ISNUMBER(SEARCH(","&amp;TRIM(TEXTSPLIT(IA6,","))&amp;",",","&amp;SUBSTITUTE(input_story_type," ","")&amp;",")))=COUNTA(TEXTSPLIT(IA6,",")))),IF(IC6="",TRUE,IF(input_story_type="",TRUE,SUMPRODUCT(--ISNUMBER(SEARCH(","&amp;TRIM(TEXTSPLIT(IC6,","))&amp;",",","&amp;SUBSTITUTE(input_story_type," ","")&amp;",")))=0)),IF(IE6="",TRUE,IF(input_story_type="",FALSE,SUMPRODUCT(--ISNUMBER(SEARCH(","&amp;TRIM(TEXTSPLIT(IE6,","))&amp;",",","&amp;SUBSTITUTE(input_story_type," ","")&amp;",")))&gt;0)),IF(IG6="",TRUE,IF(input_story_type="",FALSE,SUMPRODUCT(--ISNUMBER(SEARCH(","&amp;TRIM(TEXTSPLIT(IG6,","))&amp;",",","&amp;SUBSTITUTE(input_story_type," ","")&amp;",")))=COUNTA(TEXTSPLIT(IG6,",")))))</f>
        <v/>
      </c>
      <c r="JQ6">
        <f>AND(IF(II6="",TRUE,IF(input_topics="",FALSE,SUMPRODUCT(--ISNUMBER(SEARCH(","&amp;TRIM(TEXTSPLIT(II6,","))&amp;",",","&amp;SUBSTITUTE(input_topics," ","")&amp;",")))&gt;0)),IF(IK6="",TRUE,IF(input_topics="",FALSE,SUMPRODUCT(--ISNUMBER(SEARCH(","&amp;TRIM(TEXTSPLIT(IK6,","))&amp;",",","&amp;SUBSTITUTE(input_topics," ","")&amp;",")))=COUNTA(TEXTSPLIT(IK6,",")))),IF(IM6="",TRUE,IF(input_topics="",TRUE,SUMPRODUCT(--ISNUMBER(SEARCH(","&amp;TRIM(TEXTSPLIT(IM6,","))&amp;",",","&amp;SUBSTITUTE(input_topics," ","")&amp;",")))=0)),IF(IO6="",TRUE,IF(input_topics="",FALSE,SUMPRODUCT(--ISNUMBER(SEARCH(","&amp;TRIM(TEXTSPLIT(IO6,","))&amp;",",","&amp;SUBSTITUTE(input_topics," ","")&amp;",")))&gt;0)),IF(IQ6="",TRUE,IF(input_topics="",FALSE,SUMPRODUCT(--ISNUMBER(SEARCH(","&amp;TRIM(TEXTSPLIT(IQ6,","))&amp;",",","&amp;SUBSTITUTE(input_topics," ","")&amp;",")))=COUNTA(TEXTSPLIT(IQ6,",")))))</f>
        <v/>
      </c>
    </row>
    <row r="7">
      <c r="A7" s="4">
        <f>IF(NOT(IS7),"Excluded",IF(AND(IT7,IU7,IV7,IW7,IX7,IY7,IZ7,JA7,JB7,JC7,JD7,JE7,JF7,JG7,JH7,JI7,JJ7,JK7,JL7,JM7,JN7,JO7,JP7,JQ7),IF(I7&gt;0,"Eligible but limited","Will appear"),"Excluded"))</f>
        <v/>
      </c>
      <c r="B7" s="4" t="inlineStr">
        <is>
          <t>All blogs</t>
        </is>
      </c>
      <c r="C7" s="4" t="inlineStr">
        <is>
          <t>/centers/center-for-customer-insights</t>
        </is>
      </c>
      <c r="D7" s="4" t="inlineStr">
        <is>
          <t>/centers/center-for-customer-insights</t>
        </is>
      </c>
      <c r="E7" s="4" t="n">
        <v>1</v>
      </c>
      <c r="F7" s="4" t="inlineStr">
        <is>
          <t>story</t>
        </is>
      </c>
      <c r="G7" s="4" t="inlineStr">
        <is>
          <t>stories_grid_with_images</t>
        </is>
      </c>
      <c r="H7" s="4" t="inlineStr">
        <is>
          <t>embed_blog</t>
        </is>
      </c>
      <c r="I7" s="4" t="n">
        <v>3</v>
      </c>
      <c r="J7" s="4" t="inlineStr">
        <is>
          <t>Section inferred</t>
        </is>
      </c>
      <c r="K7" s="4" t="inlineStr">
        <is>
          <t>Page placement</t>
        </is>
      </c>
      <c r="L7" s="4" t="inlineStr">
        <is>
          <t>Content type: story; Context uses Courses Context: Center for Customer Insights (944); Needs any Story Type: Blog (974); Limited to 3 item(s); Source: Section inferred</t>
        </is>
      </c>
      <c r="M7" t="inlineStr"/>
      <c r="N7" t="inlineStr"/>
      <c r="O7" t="inlineStr"/>
      <c r="P7" t="inlineStr"/>
      <c r="Q7" t="inlineStr"/>
      <c r="R7" t="inlineStr"/>
      <c r="S7" t="inlineStr"/>
      <c r="T7" t="inlineStr"/>
      <c r="U7" t="inlineStr"/>
      <c r="V7" t="inlineStr"/>
      <c r="W7" t="inlineStr"/>
      <c r="X7" t="inlineStr"/>
      <c r="Y7" t="inlineStr"/>
      <c r="Z7" t="inlineStr"/>
      <c r="AA7" t="inlineStr"/>
      <c r="AB7" t="inlineStr"/>
      <c r="AC7" t="inlineStr"/>
      <c r="AD7" t="inlineStr"/>
      <c r="AE7" t="inlineStr"/>
      <c r="AF7" t="inlineStr"/>
      <c r="AG7" t="inlineStr"/>
      <c r="AH7" t="inlineStr"/>
      <c r="AI7" t="inlineStr"/>
      <c r="AJ7" t="inlineStr"/>
      <c r="AK7" t="inlineStr"/>
      <c r="AL7" t="inlineStr"/>
      <c r="AM7" t="inlineStr"/>
      <c r="AN7" t="inlineStr"/>
      <c r="AO7" t="inlineStr"/>
      <c r="AP7" t="inlineStr"/>
      <c r="AQ7" t="inlineStr"/>
      <c r="AR7" t="inlineStr"/>
      <c r="AS7" t="inlineStr"/>
      <c r="AT7" t="inlineStr"/>
      <c r="AU7" t="inlineStr"/>
      <c r="AV7" t="inlineStr"/>
      <c r="AW7" t="inlineStr"/>
      <c r="AX7" t="inlineStr"/>
      <c r="AY7" t="inlineStr"/>
      <c r="AZ7" t="inlineStr"/>
      <c r="BA7" t="inlineStr"/>
      <c r="BB7" t="inlineStr"/>
      <c r="BC7" t="inlineStr"/>
      <c r="BD7" t="inlineStr"/>
      <c r="BE7" t="inlineStr"/>
      <c r="BF7" t="inlineStr"/>
      <c r="BG7" t="inlineStr"/>
      <c r="BH7" t="inlineStr"/>
      <c r="BI7" t="inlineStr"/>
      <c r="BJ7" t="inlineStr"/>
      <c r="BK7" t="inlineStr"/>
      <c r="BL7" t="inlineStr"/>
      <c r="BM7" t="inlineStr"/>
      <c r="BN7" t="inlineStr"/>
      <c r="BO7" t="inlineStr"/>
      <c r="BP7" t="inlineStr"/>
      <c r="BQ7" t="inlineStr">
        <is>
          <t>944</t>
        </is>
      </c>
      <c r="BR7" t="inlineStr">
        <is>
          <t>Center for Customer Insights (944)</t>
        </is>
      </c>
      <c r="BS7" t="inlineStr"/>
      <c r="BT7" t="inlineStr"/>
      <c r="BU7" t="inlineStr"/>
      <c r="BV7" t="inlineStr"/>
      <c r="BW7" t="inlineStr"/>
      <c r="BX7" t="inlineStr"/>
      <c r="BY7" t="inlineStr"/>
      <c r="BZ7" t="inlineStr"/>
      <c r="CA7" t="inlineStr"/>
      <c r="CB7" t="inlineStr"/>
      <c r="CC7" t="inlineStr"/>
      <c r="CD7" t="inlineStr"/>
      <c r="CE7" t="inlineStr"/>
      <c r="CF7" t="inlineStr"/>
      <c r="CG7" t="inlineStr"/>
      <c r="CH7" t="inlineStr"/>
      <c r="CI7" t="inlineStr"/>
      <c r="CJ7" t="inlineStr"/>
      <c r="CK7" t="inlineStr"/>
      <c r="CL7" t="inlineStr"/>
      <c r="CM7" t="inlineStr"/>
      <c r="CN7" t="inlineStr"/>
      <c r="CO7" t="inlineStr"/>
      <c r="CP7" t="inlineStr"/>
      <c r="CQ7" t="inlineStr"/>
      <c r="CR7" t="inlineStr"/>
      <c r="CS7" t="inlineStr"/>
      <c r="CT7" t="inlineStr"/>
      <c r="CU7" t="inlineStr"/>
      <c r="CV7" t="inlineStr"/>
      <c r="CW7" t="inlineStr"/>
      <c r="CX7" t="inlineStr"/>
      <c r="CY7" t="inlineStr"/>
      <c r="CZ7" t="inlineStr"/>
      <c r="DA7" t="inlineStr"/>
      <c r="DB7" t="inlineStr"/>
      <c r="DC7" t="inlineStr"/>
      <c r="DD7" t="inlineStr"/>
      <c r="DE7" t="inlineStr"/>
      <c r="DF7" t="inlineStr"/>
      <c r="DG7" t="inlineStr"/>
      <c r="DH7" t="inlineStr"/>
      <c r="DI7" t="inlineStr"/>
      <c r="DJ7" t="inlineStr"/>
      <c r="DK7" t="inlineStr"/>
      <c r="DL7" t="inlineStr"/>
      <c r="DM7" t="inlineStr"/>
      <c r="DN7" t="inlineStr"/>
      <c r="DO7" t="inlineStr"/>
      <c r="DP7" t="inlineStr"/>
      <c r="DQ7" t="inlineStr"/>
      <c r="DR7" t="inlineStr"/>
      <c r="DS7" t="inlineStr"/>
      <c r="DT7" t="inlineStr"/>
      <c r="DU7" t="inlineStr"/>
      <c r="DV7" t="inlineStr"/>
      <c r="DW7" t="inlineStr"/>
      <c r="DX7" t="inlineStr"/>
      <c r="DY7" t="inlineStr"/>
      <c r="DZ7" t="inlineStr"/>
      <c r="EA7" t="inlineStr"/>
      <c r="EB7" t="inlineStr"/>
      <c r="EC7" t="inlineStr"/>
      <c r="ED7" t="inlineStr"/>
      <c r="EE7" t="inlineStr"/>
      <c r="EF7" t="inlineStr"/>
      <c r="EG7" t="inlineStr"/>
      <c r="EH7" t="inlineStr"/>
      <c r="EI7" t="inlineStr"/>
      <c r="EJ7" t="inlineStr"/>
      <c r="EK7" t="inlineStr"/>
      <c r="EL7" t="inlineStr"/>
      <c r="EM7" t="inlineStr"/>
      <c r="EN7" t="inlineStr"/>
      <c r="EO7" t="inlineStr"/>
      <c r="EP7" t="inlineStr"/>
      <c r="EQ7" t="inlineStr"/>
      <c r="ER7" t="inlineStr"/>
      <c r="ES7" t="inlineStr"/>
      <c r="ET7" t="inlineStr"/>
      <c r="EU7" t="inlineStr"/>
      <c r="EV7" t="inlineStr"/>
      <c r="EW7" t="inlineStr"/>
      <c r="EX7" t="inlineStr"/>
      <c r="EY7" t="inlineStr"/>
      <c r="EZ7" t="inlineStr"/>
      <c r="FA7" t="inlineStr"/>
      <c r="FB7" t="inlineStr"/>
      <c r="FC7" t="inlineStr"/>
      <c r="FD7" t="inlineStr"/>
      <c r="FE7" t="inlineStr"/>
      <c r="FF7" t="inlineStr"/>
      <c r="FG7" t="inlineStr"/>
      <c r="FH7" t="inlineStr"/>
      <c r="FI7" t="inlineStr"/>
      <c r="FJ7" t="inlineStr"/>
      <c r="FK7" t="inlineStr"/>
      <c r="FL7" t="inlineStr"/>
      <c r="FM7" t="inlineStr"/>
      <c r="FN7" t="inlineStr"/>
      <c r="FO7" t="inlineStr"/>
      <c r="FP7" t="inlineStr"/>
      <c r="FQ7" t="inlineStr"/>
      <c r="FR7" t="inlineStr"/>
      <c r="FS7" t="inlineStr"/>
      <c r="FT7" t="inlineStr"/>
      <c r="FU7" t="inlineStr"/>
      <c r="FV7" t="inlineStr"/>
      <c r="FW7" t="inlineStr"/>
      <c r="FX7" t="inlineStr"/>
      <c r="FY7" t="inlineStr"/>
      <c r="FZ7" t="inlineStr"/>
      <c r="GA7" t="inlineStr"/>
      <c r="GB7" t="inlineStr"/>
      <c r="GC7" t="inlineStr"/>
      <c r="GD7" t="inlineStr"/>
      <c r="GE7" t="inlineStr"/>
      <c r="GF7" t="inlineStr"/>
      <c r="GG7" t="inlineStr"/>
      <c r="GH7" t="inlineStr"/>
      <c r="GI7" t="inlineStr"/>
      <c r="GJ7" t="inlineStr"/>
      <c r="GK7" t="inlineStr"/>
      <c r="GL7" t="inlineStr"/>
      <c r="GM7" t="inlineStr"/>
      <c r="GN7" t="inlineStr"/>
      <c r="GO7" t="inlineStr"/>
      <c r="GP7" t="inlineStr"/>
      <c r="GQ7" t="inlineStr"/>
      <c r="GR7" t="inlineStr"/>
      <c r="GS7" t="inlineStr"/>
      <c r="GT7" t="inlineStr"/>
      <c r="GU7" t="inlineStr"/>
      <c r="GV7" t="inlineStr"/>
      <c r="GW7" t="inlineStr"/>
      <c r="GX7" t="inlineStr"/>
      <c r="GY7" t="inlineStr"/>
      <c r="GZ7" t="inlineStr"/>
      <c r="HA7" t="inlineStr"/>
      <c r="HB7" t="inlineStr"/>
      <c r="HC7" t="inlineStr"/>
      <c r="HD7" t="inlineStr"/>
      <c r="HE7" t="inlineStr"/>
      <c r="HF7" t="inlineStr"/>
      <c r="HG7" t="inlineStr"/>
      <c r="HH7" t="inlineStr"/>
      <c r="HI7" t="inlineStr"/>
      <c r="HJ7" t="inlineStr"/>
      <c r="HK7" t="inlineStr"/>
      <c r="HL7" t="inlineStr"/>
      <c r="HM7" t="inlineStr"/>
      <c r="HN7" t="inlineStr"/>
      <c r="HO7" t="inlineStr"/>
      <c r="HP7" t="inlineStr"/>
      <c r="HQ7" t="inlineStr"/>
      <c r="HR7" t="inlineStr"/>
      <c r="HS7" t="inlineStr"/>
      <c r="HT7" t="inlineStr"/>
      <c r="HU7" t="inlineStr"/>
      <c r="HV7" t="inlineStr"/>
      <c r="HW7" t="inlineStr"/>
      <c r="HX7" t="inlineStr"/>
      <c r="HY7" t="inlineStr">
        <is>
          <t>974</t>
        </is>
      </c>
      <c r="HZ7" t="inlineStr">
        <is>
          <t>Blog (974)</t>
        </is>
      </c>
      <c r="IA7" t="inlineStr"/>
      <c r="IB7" t="inlineStr"/>
      <c r="IC7" t="inlineStr"/>
      <c r="ID7" t="inlineStr"/>
      <c r="IE7" t="inlineStr"/>
      <c r="IF7" t="inlineStr"/>
      <c r="IG7" t="inlineStr"/>
      <c r="IH7" t="inlineStr"/>
      <c r="II7" t="inlineStr"/>
      <c r="IJ7" t="inlineStr"/>
      <c r="IK7" t="inlineStr"/>
      <c r="IL7" t="inlineStr"/>
      <c r="IM7" t="inlineStr"/>
      <c r="IN7" t="inlineStr"/>
      <c r="IO7" t="inlineStr"/>
      <c r="IP7" t="inlineStr"/>
      <c r="IQ7" t="inlineStr"/>
      <c r="IR7" t="inlineStr"/>
      <c r="IS7">
        <f>IF(input_content_type="",FALSE,ISNUMBER(SEARCH(","&amp;LOWER(input_content_type)&amp;",",","&amp;LOWER(F7)&amp;",")))</f>
        <v/>
      </c>
      <c r="IT7">
        <f>AND(IF(M7="",TRUE,IF(input_affiliations="",FALSE,SUMPRODUCT(--ISNUMBER(SEARCH(","&amp;TRIM(TEXTSPLIT(M7,","))&amp;",",","&amp;SUBSTITUTE(input_affiliations," ","")&amp;",")))&gt;0)),IF(O7="",TRUE,IF(input_affiliations="",FALSE,SUMPRODUCT(--ISNUMBER(SEARCH(","&amp;TRIM(TEXTSPLIT(O7,","))&amp;",",","&amp;SUBSTITUTE(input_affiliations," ","")&amp;",")))=COUNTA(TEXTSPLIT(O7,",")))),IF(Q7="",TRUE,IF(input_affiliations="",TRUE,SUMPRODUCT(--ISNUMBER(SEARCH(","&amp;TRIM(TEXTSPLIT(Q7,","))&amp;",",","&amp;SUBSTITUTE(input_affiliations," ","")&amp;",")))=0)),IF(S7="",TRUE,IF(input_affiliations="",FALSE,SUMPRODUCT(--ISNUMBER(SEARCH(","&amp;TRIM(TEXTSPLIT(S7,","))&amp;",",","&amp;SUBSTITUTE(input_affiliations," ","")&amp;",")))&gt;0)),IF(U7="",TRUE,IF(input_affiliations="",FALSE,SUMPRODUCT(--ISNUMBER(SEARCH(","&amp;TRIM(TEXTSPLIT(U7,","))&amp;",",","&amp;SUBSTITUTE(input_affiliations," ","")&amp;",")))=COUNTA(TEXTSPLIT(U7,",")))))</f>
        <v/>
      </c>
      <c r="IU7">
        <f>AND(IF(W7="",TRUE,IF(input_announcement_category="",FALSE,SUMPRODUCT(--ISNUMBER(SEARCH(","&amp;TRIM(TEXTSPLIT(W7,","))&amp;",",","&amp;SUBSTITUTE(input_announcement_category," ","")&amp;",")))&gt;0)),IF(Y7="",TRUE,IF(input_announcement_category="",FALSE,SUMPRODUCT(--ISNUMBER(SEARCH(","&amp;TRIM(TEXTSPLIT(Y7,","))&amp;",",","&amp;SUBSTITUTE(input_announcement_category," ","")&amp;",")))=COUNTA(TEXTSPLIT(Y7,",")))),IF(AA7="",TRUE,IF(input_announcement_category="",TRUE,SUMPRODUCT(--ISNUMBER(SEARCH(","&amp;TRIM(TEXTSPLIT(AA7,","))&amp;",",","&amp;SUBSTITUTE(input_announcement_category," ","")&amp;",")))=0)),IF(AC7="",TRUE,IF(input_announcement_category="",FALSE,SUMPRODUCT(--ISNUMBER(SEARCH(","&amp;TRIM(TEXTSPLIT(AC7,","))&amp;",",","&amp;SUBSTITUTE(input_announcement_category," ","")&amp;",")))&gt;0)),IF(AE7="",TRUE,IF(input_announcement_category="",FALSE,SUMPRODUCT(--ISNUMBER(SEARCH(","&amp;TRIM(TEXTSPLIT(AE7,","))&amp;",",","&amp;SUBSTITUTE(input_announcement_category," ","")&amp;",")))=COUNTA(TEXTSPLIT(AE7,",")))))</f>
        <v/>
      </c>
      <c r="IV7">
        <f>AND(IF(AG7="",TRUE,IF(input_area_of_focus="",FALSE,SUMPRODUCT(--ISNUMBER(SEARCH(","&amp;TRIM(TEXTSPLIT(AG7,","))&amp;",",","&amp;SUBSTITUTE(input_area_of_focus," ","")&amp;",")))&gt;0)),IF(AI7="",TRUE,IF(input_area_of_focus="",FALSE,SUMPRODUCT(--ISNUMBER(SEARCH(","&amp;TRIM(TEXTSPLIT(AI7,","))&amp;",",","&amp;SUBSTITUTE(input_area_of_focus," ","")&amp;",")))=COUNTA(TEXTSPLIT(AI7,",")))),IF(AK7="",TRUE,IF(input_area_of_focus="",TRUE,SUMPRODUCT(--ISNUMBER(SEARCH(","&amp;TRIM(TEXTSPLIT(AK7,","))&amp;",",","&amp;SUBSTITUTE(input_area_of_focus," ","")&amp;",")))=0)),IF(AM7="",TRUE,IF(input_area_of_focus="",FALSE,SUMPRODUCT(--ISNUMBER(SEARCH(","&amp;TRIM(TEXTSPLIT(AM7,","))&amp;",",","&amp;SUBSTITUTE(input_area_of_focus," ","")&amp;",")))&gt;0)),IF(AO7="",TRUE,IF(input_area_of_focus="",FALSE,SUMPRODUCT(--ISNUMBER(SEARCH(","&amp;TRIM(TEXTSPLIT(AO7,","))&amp;",",","&amp;SUBSTITUTE(input_area_of_focus," ","")&amp;",")))=COUNTA(TEXTSPLIT(AO7,",")))))</f>
        <v/>
      </c>
      <c r="IW7">
        <f>AND(IF(AQ7="",TRUE,IF(input_audience="",FALSE,SUMPRODUCT(--ISNUMBER(SEARCH(","&amp;TRIM(TEXTSPLIT(AQ7,","))&amp;",",","&amp;SUBSTITUTE(input_audience," ","")&amp;",")))&gt;0)),IF(AS7="",TRUE,IF(input_audience="",FALSE,SUMPRODUCT(--ISNUMBER(SEARCH(","&amp;TRIM(TEXTSPLIT(AS7,","))&amp;",",","&amp;SUBSTITUTE(input_audience," ","")&amp;",")))=COUNTA(TEXTSPLIT(AS7,",")))),IF(AU7="",TRUE,IF(input_audience="",TRUE,SUMPRODUCT(--ISNUMBER(SEARCH(","&amp;TRIM(TEXTSPLIT(AU7,","))&amp;",",","&amp;SUBSTITUTE(input_audience," ","")&amp;",")))=0)),IF(AW7="",TRUE,IF(input_audience="",FALSE,SUMPRODUCT(--ISNUMBER(SEARCH(","&amp;TRIM(TEXTSPLIT(AW7,","))&amp;",",","&amp;SUBSTITUTE(input_audience," ","")&amp;",")))&gt;0)),IF(AY7="",TRUE,IF(input_audience="",FALSE,SUMPRODUCT(--ISNUMBER(SEARCH(","&amp;TRIM(TEXTSPLIT(AY7,","))&amp;",",","&amp;SUBSTITUTE(input_audience," ","")&amp;",")))=COUNTA(TEXTSPLIT(AY7,",")))))</f>
        <v/>
      </c>
      <c r="IX7">
        <f>AND(IF(BA7="",TRUE,IF(input_challenge_opportunities="",FALSE,SUMPRODUCT(--ISNUMBER(SEARCH(","&amp;TRIM(TEXTSPLIT(BA7,","))&amp;",",","&amp;SUBSTITUTE(input_challenge_opportunities," ","")&amp;",")))&gt;0)),IF(BC7="",TRUE,IF(input_challenge_opportunities="",FALSE,SUMPRODUCT(--ISNUMBER(SEARCH(","&amp;TRIM(TEXTSPLIT(BC7,","))&amp;",",","&amp;SUBSTITUTE(input_challenge_opportunities," ","")&amp;",")))=COUNTA(TEXTSPLIT(BC7,",")))),IF(BE7="",TRUE,IF(input_challenge_opportunities="",TRUE,SUMPRODUCT(--ISNUMBER(SEARCH(","&amp;TRIM(TEXTSPLIT(BE7,","))&amp;",",","&amp;SUBSTITUTE(input_challenge_opportunities," ","")&amp;",")))=0)),IF(BG7="",TRUE,IF(input_challenge_opportunities="",FALSE,SUMPRODUCT(--ISNUMBER(SEARCH(","&amp;TRIM(TEXTSPLIT(BG7,","))&amp;",",","&amp;SUBSTITUTE(input_challenge_opportunities," ","")&amp;",")))&gt;0)),IF(BI7="",TRUE,IF(input_challenge_opportunities="",FALSE,SUMPRODUCT(--ISNUMBER(SEARCH(","&amp;TRIM(TEXTSPLIT(BI7,","))&amp;",",","&amp;SUBSTITUTE(input_challenge_opportunities," ","")&amp;",")))=COUNTA(TEXTSPLIT(BI7,",")))))</f>
        <v/>
      </c>
      <c r="IY7">
        <f>AND(IF(BK7="",TRUE,IF(input_context="",FALSE,SUMPRODUCT(--ISNUMBER(SEARCH(","&amp;TRIM(TEXTSPLIT(BK7,","))&amp;",",","&amp;SUBSTITUTE(input_context," ","")&amp;",")))&gt;0)),IF(BM7="",TRUE,IF(input_context="",FALSE,SUMPRODUCT(--ISNUMBER(SEARCH(","&amp;TRIM(TEXTSPLIT(BM7,","))&amp;",",","&amp;SUBSTITUTE(input_context," ","")&amp;",")))=COUNTA(TEXTSPLIT(BM7,",")))),IF(BO7="",TRUE,IF(input_context="",TRUE,SUMPRODUCT(--ISNUMBER(SEARCH(","&amp;TRIM(TEXTSPLIT(BO7,","))&amp;",",","&amp;SUBSTITUTE(input_context," ","")&amp;",")))=0)),IF(BQ7="",TRUE,IF(input_context="",FALSE,SUMPRODUCT(--ISNUMBER(SEARCH(","&amp;TRIM(TEXTSPLIT(BQ7,","))&amp;",",","&amp;SUBSTITUTE(input_context," ","")&amp;",")))&gt;0)),IF(BS7="",TRUE,IF(input_context="",FALSE,SUMPRODUCT(--ISNUMBER(SEARCH(","&amp;TRIM(TEXTSPLIT(BS7,","))&amp;",",","&amp;SUBSTITUTE(input_context," ","")&amp;",")))=COUNTA(TEXTSPLIT(BS7,",")))))</f>
        <v/>
      </c>
      <c r="IZ7">
        <f>AND(IF(BU7="",TRUE,IF(input_enews_announcement_type="",FALSE,SUMPRODUCT(--ISNUMBER(SEARCH(","&amp;TRIM(TEXTSPLIT(BU7,","))&amp;",",","&amp;SUBSTITUTE(input_enews_announcement_type," ","")&amp;",")))&gt;0)),IF(BW7="",TRUE,IF(input_enews_announcement_type="",FALSE,SUMPRODUCT(--ISNUMBER(SEARCH(","&amp;TRIM(TEXTSPLIT(BW7,","))&amp;",",","&amp;SUBSTITUTE(input_enews_announcement_type," ","")&amp;",")))=COUNTA(TEXTSPLIT(BW7,",")))),IF(BY7="",TRUE,IF(input_enews_announcement_type="",TRUE,SUMPRODUCT(--ISNUMBER(SEARCH(","&amp;TRIM(TEXTSPLIT(BY7,","))&amp;",",","&amp;SUBSTITUTE(input_enews_announcement_type," ","")&amp;",")))=0)),IF(CA7="",TRUE,IF(input_enews_announcement_type="",FALSE,SUMPRODUCT(--ISNUMBER(SEARCH(","&amp;TRIM(TEXTSPLIT(CA7,","))&amp;",",","&amp;SUBSTITUTE(input_enews_announcement_type," ","")&amp;",")))&gt;0)),IF(CC7="",TRUE,IF(input_enews_announcement_type="",FALSE,SUMPRODUCT(--ISNUMBER(SEARCH(","&amp;TRIM(TEXTSPLIT(CC7,","))&amp;",",","&amp;SUBSTITUTE(input_enews_announcement_type," ","")&amp;",")))=COUNTA(TEXTSPLIT(CC7,",")))))</f>
        <v/>
      </c>
      <c r="JA7">
        <f>AND(IF(CE7="",TRUE,IF(input_enews_audience="",FALSE,SUMPRODUCT(--ISNUMBER(SEARCH(","&amp;TRIM(TEXTSPLIT(CE7,","))&amp;",",","&amp;SUBSTITUTE(input_enews_audience," ","")&amp;",")))&gt;0)),IF(CG7="",TRUE,IF(input_enews_audience="",FALSE,SUMPRODUCT(--ISNUMBER(SEARCH(","&amp;TRIM(TEXTSPLIT(CG7,","))&amp;",",","&amp;SUBSTITUTE(input_enews_audience," ","")&amp;",")))=COUNTA(TEXTSPLIT(CG7,",")))),IF(CI7="",TRUE,IF(input_enews_audience="",TRUE,SUMPRODUCT(--ISNUMBER(SEARCH(","&amp;TRIM(TEXTSPLIT(CI7,","))&amp;",",","&amp;SUBSTITUTE(input_enews_audience," ","")&amp;",")))=0)),IF(CK7="",TRUE,IF(input_enews_audience="",FALSE,SUMPRODUCT(--ISNUMBER(SEARCH(","&amp;TRIM(TEXTSPLIT(CK7,","))&amp;",",","&amp;SUBSTITUTE(input_enews_audience," ","")&amp;",")))&gt;0)),IF(CM7="",TRUE,IF(input_enews_audience="",FALSE,SUMPRODUCT(--ISNUMBER(SEARCH(","&amp;TRIM(TEXTSPLIT(CM7,","))&amp;",",","&amp;SUBSTITUTE(input_enews_audience," ","")&amp;",")))=COUNTA(TEXTSPLIT(CM7,",")))))</f>
        <v/>
      </c>
      <c r="JB7">
        <f>AND(IF(CO7="",TRUE,IF(input_event_location="",FALSE,SUMPRODUCT(--ISNUMBER(SEARCH(","&amp;TRIM(TEXTSPLIT(CO7,","))&amp;",",","&amp;SUBSTITUTE(input_event_location," ","")&amp;",")))&gt;0)),IF(CQ7="",TRUE,IF(input_event_location="",FALSE,SUMPRODUCT(--ISNUMBER(SEARCH(","&amp;TRIM(TEXTSPLIT(CQ7,","))&amp;",",","&amp;SUBSTITUTE(input_event_location," ","")&amp;",")))=COUNTA(TEXTSPLIT(CQ7,",")))),IF(CS7="",TRUE,IF(input_event_location="",TRUE,SUMPRODUCT(--ISNUMBER(SEARCH(","&amp;TRIM(TEXTSPLIT(CS7,","))&amp;",",","&amp;SUBSTITUTE(input_event_location," ","")&amp;",")))=0)),IF(CU7="",TRUE,IF(input_event_location="",FALSE,SUMPRODUCT(--ISNUMBER(SEARCH(","&amp;TRIM(TEXTSPLIT(CU7,","))&amp;",",","&amp;SUBSTITUTE(input_event_location," ","")&amp;",")))&gt;0)),IF(CW7="",TRUE,IF(input_event_location="",FALSE,SUMPRODUCT(--ISNUMBER(SEARCH(","&amp;TRIM(TEXTSPLIT(CW7,","))&amp;",",","&amp;SUBSTITUTE(input_event_location," ","")&amp;",")))=COUNTA(TEXTSPLIT(CW7,",")))))</f>
        <v/>
      </c>
      <c r="JC7">
        <f>AND(IF(CY7="",TRUE,IF(input_event_type="",FALSE,SUMPRODUCT(--ISNUMBER(SEARCH(","&amp;TRIM(TEXTSPLIT(CY7,","))&amp;",",","&amp;SUBSTITUTE(input_event_type," ","")&amp;",")))&gt;0)),IF(DA7="",TRUE,IF(input_event_type="",FALSE,SUMPRODUCT(--ISNUMBER(SEARCH(","&amp;TRIM(TEXTSPLIT(DA7,","))&amp;",",","&amp;SUBSTITUTE(input_event_type," ","")&amp;",")))=COUNTA(TEXTSPLIT(DA7,",")))),IF(DC7="",TRUE,IF(input_event_type="",TRUE,SUMPRODUCT(--ISNUMBER(SEARCH(","&amp;TRIM(TEXTSPLIT(DC7,","))&amp;",",","&amp;SUBSTITUTE(input_event_type," ","")&amp;",")))=0)),IF(DE7="",TRUE,IF(input_event_type="",FALSE,SUMPRODUCT(--ISNUMBER(SEARCH(","&amp;TRIM(TEXTSPLIT(DE7,","))&amp;",",","&amp;SUBSTITUTE(input_event_type," ","")&amp;",")))&gt;0)),IF(DG7="",TRUE,IF(input_event_type="",FALSE,SUMPRODUCT(--ISNUMBER(SEARCH(","&amp;TRIM(TEXTSPLIT(DG7,","))&amp;",",","&amp;SUBSTITUTE(input_event_type," ","")&amp;",")))=COUNTA(TEXTSPLIT(DG7,",")))))</f>
        <v/>
      </c>
      <c r="JD7">
        <f>AND(IF(DI7="",TRUE,IF(input_executive_education_focus="",FALSE,SUMPRODUCT(--ISNUMBER(SEARCH(","&amp;TRIM(TEXTSPLIT(DI7,","))&amp;",",","&amp;SUBSTITUTE(input_executive_education_focus," ","")&amp;",")))&gt;0)),IF(DK7="",TRUE,IF(input_executive_education_focus="",FALSE,SUMPRODUCT(--ISNUMBER(SEARCH(","&amp;TRIM(TEXTSPLIT(DK7,","))&amp;",",","&amp;SUBSTITUTE(input_executive_education_focus," ","")&amp;",")))=COUNTA(TEXTSPLIT(DK7,",")))),IF(DM7="",TRUE,IF(input_executive_education_focus="",TRUE,SUMPRODUCT(--ISNUMBER(SEARCH(","&amp;TRIM(TEXTSPLIT(DM7,","))&amp;",",","&amp;SUBSTITUTE(input_executive_education_focus," ","")&amp;",")))=0)),IF(DO7="",TRUE,IF(input_executive_education_focus="",FALSE,SUMPRODUCT(--ISNUMBER(SEARCH(","&amp;TRIM(TEXTSPLIT(DO7,","))&amp;",",","&amp;SUBSTITUTE(input_executive_education_focus," ","")&amp;",")))&gt;0)),IF(DQ7="",TRUE,IF(input_executive_education_focus="",FALSE,SUMPRODUCT(--ISNUMBER(SEARCH(","&amp;TRIM(TEXTSPLIT(DQ7,","))&amp;",",","&amp;SUBSTITUTE(input_executive_education_focus," ","")&amp;",")))=COUNTA(TEXTSPLIT(DQ7,",")))))</f>
        <v/>
      </c>
      <c r="JE7">
        <f>AND(IF(DS7="",TRUE,IF(input_faculty_category="",FALSE,SUMPRODUCT(--ISNUMBER(SEARCH(","&amp;TRIM(TEXTSPLIT(DS7,","))&amp;",",","&amp;SUBSTITUTE(input_faculty_category," ","")&amp;",")))&gt;0)),IF(DU7="",TRUE,IF(input_faculty_category="",FALSE,SUMPRODUCT(--ISNUMBER(SEARCH(","&amp;TRIM(TEXTSPLIT(DU7,","))&amp;",",","&amp;SUBSTITUTE(input_faculty_category," ","")&amp;",")))=COUNTA(TEXTSPLIT(DU7,",")))),IF(DW7="",TRUE,IF(input_faculty_category="",TRUE,SUMPRODUCT(--ISNUMBER(SEARCH(","&amp;TRIM(TEXTSPLIT(DW7,","))&amp;",",","&amp;SUBSTITUTE(input_faculty_category," ","")&amp;",")))=0)),IF(DY7="",TRUE,IF(input_faculty_category="",FALSE,SUMPRODUCT(--ISNUMBER(SEARCH(","&amp;TRIM(TEXTSPLIT(DY7,","))&amp;",",","&amp;SUBSTITUTE(input_faculty_category," ","")&amp;",")))&gt;0)),IF(EA7="",TRUE,IF(input_faculty_category="",FALSE,SUMPRODUCT(--ISNUMBER(SEARCH(","&amp;TRIM(TEXTSPLIT(EA7,","))&amp;",",","&amp;SUBSTITUTE(input_faculty_category," ","")&amp;",")))=COUNTA(TEXTSPLIT(EA7,",")))))</f>
        <v/>
      </c>
      <c r="JF7">
        <f>AND(IF(EC7="",TRUE,IF(input_faculty_discipline="",FALSE,SUMPRODUCT(--ISNUMBER(SEARCH(","&amp;TRIM(TEXTSPLIT(EC7,","))&amp;",",","&amp;SUBSTITUTE(input_faculty_discipline," ","")&amp;",")))&gt;0)),IF(EE7="",TRUE,IF(input_faculty_discipline="",FALSE,SUMPRODUCT(--ISNUMBER(SEARCH(","&amp;TRIM(TEXTSPLIT(EE7,","))&amp;",",","&amp;SUBSTITUTE(input_faculty_discipline," ","")&amp;",")))=COUNTA(TEXTSPLIT(EE7,",")))),IF(EG7="",TRUE,IF(input_faculty_discipline="",TRUE,SUMPRODUCT(--ISNUMBER(SEARCH(","&amp;TRIM(TEXTSPLIT(EG7,","))&amp;",",","&amp;SUBSTITUTE(input_faculty_discipline," ","")&amp;",")))=0)),IF(EI7="",TRUE,IF(input_faculty_discipline="",FALSE,SUMPRODUCT(--ISNUMBER(SEARCH(","&amp;TRIM(TEXTSPLIT(EI7,","))&amp;",",","&amp;SUBSTITUTE(input_faculty_discipline," ","")&amp;",")))&gt;0)),IF(EK7="",TRUE,IF(input_faculty_discipline="",FALSE,SUMPRODUCT(--ISNUMBER(SEARCH(","&amp;TRIM(TEXTSPLIT(EK7,","))&amp;",",","&amp;SUBSTITUTE(input_faculty_discipline," ","")&amp;",")))=COUNTA(TEXTSPLIT(EK7,",")))))</f>
        <v/>
      </c>
      <c r="JG7">
        <f>AND(IF(EM7="",TRUE,IF(input_faculty_expertise="",FALSE,SUMPRODUCT(--ISNUMBER(SEARCH(","&amp;TRIM(TEXTSPLIT(EM7,","))&amp;",",","&amp;SUBSTITUTE(input_faculty_expertise," ","")&amp;",")))&gt;0)),IF(EO7="",TRUE,IF(input_faculty_expertise="",FALSE,SUMPRODUCT(--ISNUMBER(SEARCH(","&amp;TRIM(TEXTSPLIT(EO7,","))&amp;",",","&amp;SUBSTITUTE(input_faculty_expertise," ","")&amp;",")))=COUNTA(TEXTSPLIT(EO7,",")))),IF(EQ7="",TRUE,IF(input_faculty_expertise="",TRUE,SUMPRODUCT(--ISNUMBER(SEARCH(","&amp;TRIM(TEXTSPLIT(EQ7,","))&amp;",",","&amp;SUBSTITUTE(input_faculty_expertise," ","")&amp;",")))=0)),IF(ES7="",TRUE,IF(input_faculty_expertise="",FALSE,SUMPRODUCT(--ISNUMBER(SEARCH(","&amp;TRIM(TEXTSPLIT(ES7,","))&amp;",",","&amp;SUBSTITUTE(input_faculty_expertise," ","")&amp;",")))&gt;0)),IF(EU7="",TRUE,IF(input_faculty_expertise="",FALSE,SUMPRODUCT(--ISNUMBER(SEARCH(","&amp;TRIM(TEXTSPLIT(EU7,","))&amp;",",","&amp;SUBSTITUTE(input_faculty_expertise," ","")&amp;",")))=COUNTA(TEXTSPLIT(EU7,",")))))</f>
        <v/>
      </c>
      <c r="JH7">
        <f>AND(IF(EW7="",TRUE,IF(input_global_network_school="",FALSE,SUMPRODUCT(--ISNUMBER(SEARCH(","&amp;TRIM(TEXTSPLIT(EW7,","))&amp;",",","&amp;SUBSTITUTE(input_global_network_school," ","")&amp;",")))&gt;0)),IF(EY7="",TRUE,IF(input_global_network_school="",FALSE,SUMPRODUCT(--ISNUMBER(SEARCH(","&amp;TRIM(TEXTSPLIT(EY7,","))&amp;",",","&amp;SUBSTITUTE(input_global_network_school," ","")&amp;",")))=COUNTA(TEXTSPLIT(EY7,",")))),IF(FA7="",TRUE,IF(input_global_network_school="",TRUE,SUMPRODUCT(--ISNUMBER(SEARCH(","&amp;TRIM(TEXTSPLIT(FA7,","))&amp;",",","&amp;SUBSTITUTE(input_global_network_school," ","")&amp;",")))=0)),IF(FC7="",TRUE,IF(input_global_network_school="",FALSE,SUMPRODUCT(--ISNUMBER(SEARCH(","&amp;TRIM(TEXTSPLIT(FC7,","))&amp;",",","&amp;SUBSTITUTE(input_global_network_school," ","")&amp;",")))&gt;0)),IF(FE7="",TRUE,IF(input_global_network_school="",FALSE,SUMPRODUCT(--ISNUMBER(SEARCH(","&amp;TRIM(TEXTSPLIT(FE7,","))&amp;",",","&amp;SUBSTITUTE(input_global_network_school," ","")&amp;",")))=COUNTA(TEXTSPLIT(FE7,",")))))</f>
        <v/>
      </c>
      <c r="JI7">
        <f>AND(IF(FG7="",TRUE,IF(input_industry="",FALSE,SUMPRODUCT(--ISNUMBER(SEARCH(","&amp;TRIM(TEXTSPLIT(FG7,","))&amp;",",","&amp;SUBSTITUTE(input_industry," ","")&amp;",")))&gt;0)),IF(FI7="",TRUE,IF(input_industry="",FALSE,SUMPRODUCT(--ISNUMBER(SEARCH(","&amp;TRIM(TEXTSPLIT(FI7,","))&amp;",",","&amp;SUBSTITUTE(input_industry," ","")&amp;",")))=COUNTA(TEXTSPLIT(FI7,",")))),IF(FK7="",TRUE,IF(input_industry="",TRUE,SUMPRODUCT(--ISNUMBER(SEARCH(","&amp;TRIM(TEXTSPLIT(FK7,","))&amp;",",","&amp;SUBSTITUTE(input_industry," ","")&amp;",")))=0)),IF(FM7="",TRUE,IF(input_industry="",FALSE,SUMPRODUCT(--ISNUMBER(SEARCH(","&amp;TRIM(TEXTSPLIT(FM7,","))&amp;",",","&amp;SUBSTITUTE(input_industry," ","")&amp;",")))&gt;0)),IF(FO7="",TRUE,IF(input_industry="",FALSE,SUMPRODUCT(--ISNUMBER(SEARCH(","&amp;TRIM(TEXTSPLIT(FO7,","))&amp;",",","&amp;SUBSTITUTE(input_industry," ","")&amp;",")))=COUNTA(TEXTSPLIT(FO7,",")))))</f>
        <v/>
      </c>
      <c r="JJ7">
        <f>AND(IF(FQ7="",TRUE,IF(input_location="",FALSE,SUMPRODUCT(--ISNUMBER(SEARCH(","&amp;TRIM(TEXTSPLIT(FQ7,","))&amp;",",","&amp;SUBSTITUTE(input_location," ","")&amp;",")))&gt;0)),IF(FS7="",TRUE,IF(input_location="",FALSE,SUMPRODUCT(--ISNUMBER(SEARCH(","&amp;TRIM(TEXTSPLIT(FS7,","))&amp;",",","&amp;SUBSTITUTE(input_location," ","")&amp;",")))=COUNTA(TEXTSPLIT(FS7,",")))),IF(FU7="",TRUE,IF(input_location="",TRUE,SUMPRODUCT(--ISNUMBER(SEARCH(","&amp;TRIM(TEXTSPLIT(FU7,","))&amp;",",","&amp;SUBSTITUTE(input_location," ","")&amp;",")))=0)),IF(FW7="",TRUE,IF(input_location="",FALSE,SUMPRODUCT(--ISNUMBER(SEARCH(","&amp;TRIM(TEXTSPLIT(FW7,","))&amp;",",","&amp;SUBSTITUTE(input_location," ","")&amp;",")))&gt;0)),IF(FY7="",TRUE,IF(input_location="",FALSE,SUMPRODUCT(--ISNUMBER(SEARCH(","&amp;TRIM(TEXTSPLIT(FY7,","))&amp;",",","&amp;SUBSTITUTE(input_location," ","")&amp;",")))=COUNTA(TEXTSPLIT(FY7,",")))))</f>
        <v/>
      </c>
      <c r="JK7">
        <f>AND(IF(GA7="",TRUE,IF(input_modality="",FALSE,SUMPRODUCT(--ISNUMBER(SEARCH(","&amp;TRIM(TEXTSPLIT(GA7,","))&amp;",",","&amp;SUBSTITUTE(input_modality," ","")&amp;",")))&gt;0)),IF(GC7="",TRUE,IF(input_modality="",FALSE,SUMPRODUCT(--ISNUMBER(SEARCH(","&amp;TRIM(TEXTSPLIT(GC7,","))&amp;",",","&amp;SUBSTITUTE(input_modality," ","")&amp;",")))=COUNTA(TEXTSPLIT(GC7,",")))),IF(GE7="",TRUE,IF(input_modality="",TRUE,SUMPRODUCT(--ISNUMBER(SEARCH(","&amp;TRIM(TEXTSPLIT(GE7,","))&amp;",",","&amp;SUBSTITUTE(input_modality," ","")&amp;",")))=0)),IF(GG7="",TRUE,IF(input_modality="",FALSE,SUMPRODUCT(--ISNUMBER(SEARCH(","&amp;TRIM(TEXTSPLIT(GG7,","))&amp;",",","&amp;SUBSTITUTE(input_modality," ","")&amp;",")))&gt;0)),IF(GI7="",TRUE,IF(input_modality="",FALSE,SUMPRODUCT(--ISNUMBER(SEARCH(","&amp;TRIM(TEXTSPLIT(GI7,","))&amp;",",","&amp;SUBSTITUTE(input_modality," ","")&amp;",")))=COUNTA(TEXTSPLIT(GI7,",")))))</f>
        <v/>
      </c>
      <c r="JL7">
        <f>AND(IF(GK7="",TRUE,IF(input_organizer="",FALSE,SUMPRODUCT(--ISNUMBER(SEARCH(","&amp;TRIM(TEXTSPLIT(GK7,","))&amp;",",","&amp;SUBSTITUTE(input_organizer," ","")&amp;",")))&gt;0)),IF(GM7="",TRUE,IF(input_organizer="",FALSE,SUMPRODUCT(--ISNUMBER(SEARCH(","&amp;TRIM(TEXTSPLIT(GM7,","))&amp;",",","&amp;SUBSTITUTE(input_organizer," ","")&amp;",")))=COUNTA(TEXTSPLIT(GM7,",")))),IF(GO7="",TRUE,IF(input_organizer="",TRUE,SUMPRODUCT(--ISNUMBER(SEARCH(","&amp;TRIM(TEXTSPLIT(GO7,","))&amp;",",","&amp;SUBSTITUTE(input_organizer," ","")&amp;",")))=0)),IF(GQ7="",TRUE,IF(input_organizer="",FALSE,SUMPRODUCT(--ISNUMBER(SEARCH(","&amp;TRIM(TEXTSPLIT(GQ7,","))&amp;",",","&amp;SUBSTITUTE(input_organizer," ","")&amp;",")))&gt;0)),IF(GS7="",TRUE,IF(input_organizer="",FALSE,SUMPRODUCT(--ISNUMBER(SEARCH(","&amp;TRIM(TEXTSPLIT(GS7,","))&amp;",",","&amp;SUBSTITUTE(input_organizer," ","")&amp;",")))=COUNTA(TEXTSPLIT(GS7,",")))))</f>
        <v/>
      </c>
      <c r="JM7">
        <f>AND(IF(GU7="",TRUE,IF(input_profile_type="",FALSE,SUMPRODUCT(--ISNUMBER(SEARCH(","&amp;TRIM(TEXTSPLIT(GU7,","))&amp;",",","&amp;SUBSTITUTE(input_profile_type," ","")&amp;",")))&gt;0)),IF(GW7="",TRUE,IF(input_profile_type="",FALSE,SUMPRODUCT(--ISNUMBER(SEARCH(","&amp;TRIM(TEXTSPLIT(GW7,","))&amp;",",","&amp;SUBSTITUTE(input_profile_type," ","")&amp;",")))=COUNTA(TEXTSPLIT(GW7,",")))),IF(GY7="",TRUE,IF(input_profile_type="",TRUE,SUMPRODUCT(--ISNUMBER(SEARCH(","&amp;TRIM(TEXTSPLIT(GY7,","))&amp;",",","&amp;SUBSTITUTE(input_profile_type," ","")&amp;",")))=0)),IF(HA7="",TRUE,IF(input_profile_type="",FALSE,SUMPRODUCT(--ISNUMBER(SEARCH(","&amp;TRIM(TEXTSPLIT(HA7,","))&amp;",",","&amp;SUBSTITUTE(input_profile_type," ","")&amp;",")))&gt;0)),IF(HC7="",TRUE,IF(input_profile_type="",FALSE,SUMPRODUCT(--ISNUMBER(SEARCH(","&amp;TRIM(TEXTSPLIT(HC7,","))&amp;",",","&amp;SUBSTITUTE(input_profile_type," ","")&amp;",")))=COUNTA(TEXTSPLIT(HC7,",")))))</f>
        <v/>
      </c>
      <c r="JN7">
        <f>AND(IF(HE7="",TRUE,IF(input_program="",FALSE,SUMPRODUCT(--ISNUMBER(SEARCH(","&amp;TRIM(TEXTSPLIT(HE7,","))&amp;",",","&amp;SUBSTITUTE(input_program," ","")&amp;",")))&gt;0)),IF(HG7="",TRUE,IF(input_program="",FALSE,SUMPRODUCT(--ISNUMBER(SEARCH(","&amp;TRIM(TEXTSPLIT(HG7,","))&amp;",",","&amp;SUBSTITUTE(input_program," ","")&amp;",")))=COUNTA(TEXTSPLIT(HG7,",")))),IF(HI7="",TRUE,IF(input_program="",TRUE,SUMPRODUCT(--ISNUMBER(SEARCH(","&amp;TRIM(TEXTSPLIT(HI7,","))&amp;",",","&amp;SUBSTITUTE(input_program," ","")&amp;",")))=0)),IF(HK7="",TRUE,IF(input_program="",FALSE,SUMPRODUCT(--ISNUMBER(SEARCH(","&amp;TRIM(TEXTSPLIT(HK7,","))&amp;",",","&amp;SUBSTITUTE(input_program," ","")&amp;",")))&gt;0)),IF(HM7="",TRUE,IF(input_program="",FALSE,SUMPRODUCT(--ISNUMBER(SEARCH(","&amp;TRIM(TEXTSPLIT(HM7,","))&amp;",",","&amp;SUBSTITUTE(input_program," ","")&amp;",")))=COUNTA(TEXTSPLIT(HM7,",")))))</f>
        <v/>
      </c>
      <c r="JO7">
        <f>AND(IF(HO7="",TRUE,IF(input_story_categories="",FALSE,SUMPRODUCT(--ISNUMBER(SEARCH(","&amp;TRIM(TEXTSPLIT(HO7,","))&amp;",",","&amp;SUBSTITUTE(input_story_categories," ","")&amp;",")))&gt;0)),IF(HQ7="",TRUE,IF(input_story_categories="",FALSE,SUMPRODUCT(--ISNUMBER(SEARCH(","&amp;TRIM(TEXTSPLIT(HQ7,","))&amp;",",","&amp;SUBSTITUTE(input_story_categories," ","")&amp;",")))=COUNTA(TEXTSPLIT(HQ7,",")))),IF(HS7="",TRUE,IF(input_story_categories="",TRUE,SUMPRODUCT(--ISNUMBER(SEARCH(","&amp;TRIM(TEXTSPLIT(HS7,","))&amp;",",","&amp;SUBSTITUTE(input_story_categories," ","")&amp;",")))=0)),IF(HU7="",TRUE,IF(input_story_categories="",FALSE,SUMPRODUCT(--ISNUMBER(SEARCH(","&amp;TRIM(TEXTSPLIT(HU7,","))&amp;",",","&amp;SUBSTITUTE(input_story_categories," ","")&amp;",")))&gt;0)),IF(HW7="",TRUE,IF(input_story_categories="",FALSE,SUMPRODUCT(--ISNUMBER(SEARCH(","&amp;TRIM(TEXTSPLIT(HW7,","))&amp;",",","&amp;SUBSTITUTE(input_story_categories," ","")&amp;",")))=COUNTA(TEXTSPLIT(HW7,",")))))</f>
        <v/>
      </c>
      <c r="JP7">
        <f>AND(IF(HY7="",TRUE,IF(input_story_type="",FALSE,SUMPRODUCT(--ISNUMBER(SEARCH(","&amp;TRIM(TEXTSPLIT(HY7,","))&amp;",",","&amp;SUBSTITUTE(input_story_type," ","")&amp;",")))&gt;0)),IF(IA7="",TRUE,IF(input_story_type="",FALSE,SUMPRODUCT(--ISNUMBER(SEARCH(","&amp;TRIM(TEXTSPLIT(IA7,","))&amp;",",","&amp;SUBSTITUTE(input_story_type," ","")&amp;",")))=COUNTA(TEXTSPLIT(IA7,",")))),IF(IC7="",TRUE,IF(input_story_type="",TRUE,SUMPRODUCT(--ISNUMBER(SEARCH(","&amp;TRIM(TEXTSPLIT(IC7,","))&amp;",",","&amp;SUBSTITUTE(input_story_type," ","")&amp;",")))=0)),IF(IE7="",TRUE,IF(input_story_type="",FALSE,SUMPRODUCT(--ISNUMBER(SEARCH(","&amp;TRIM(TEXTSPLIT(IE7,","))&amp;",",","&amp;SUBSTITUTE(input_story_type," ","")&amp;",")))&gt;0)),IF(IG7="",TRUE,IF(input_story_type="",FALSE,SUMPRODUCT(--ISNUMBER(SEARCH(","&amp;TRIM(TEXTSPLIT(IG7,","))&amp;",",","&amp;SUBSTITUTE(input_story_type," ","")&amp;",")))=COUNTA(TEXTSPLIT(IG7,",")))))</f>
        <v/>
      </c>
      <c r="JQ7">
        <f>AND(IF(II7="",TRUE,IF(input_topics="",FALSE,SUMPRODUCT(--ISNUMBER(SEARCH(","&amp;TRIM(TEXTSPLIT(II7,","))&amp;",",","&amp;SUBSTITUTE(input_topics," ","")&amp;",")))&gt;0)),IF(IK7="",TRUE,IF(input_topics="",FALSE,SUMPRODUCT(--ISNUMBER(SEARCH(","&amp;TRIM(TEXTSPLIT(IK7,","))&amp;",",","&amp;SUBSTITUTE(input_topics," ","")&amp;",")))=COUNTA(TEXTSPLIT(IK7,",")))),IF(IM7="",TRUE,IF(input_topics="",TRUE,SUMPRODUCT(--ISNUMBER(SEARCH(","&amp;TRIM(TEXTSPLIT(IM7,","))&amp;",",","&amp;SUBSTITUTE(input_topics," ","")&amp;",")))=0)),IF(IO7="",TRUE,IF(input_topics="",FALSE,SUMPRODUCT(--ISNUMBER(SEARCH(","&amp;TRIM(TEXTSPLIT(IO7,","))&amp;",",","&amp;SUBSTITUTE(input_topics," ","")&amp;",")))&gt;0)),IF(IQ7="",TRUE,IF(input_topics="",FALSE,SUMPRODUCT(--ISNUMBER(SEARCH(","&amp;TRIM(TEXTSPLIT(IQ7,","))&amp;",",","&amp;SUBSTITUTE(input_topics," ","")&amp;",")))=COUNTA(TEXTSPLIT(IQ7,",")))))</f>
        <v/>
      </c>
    </row>
    <row r="8">
      <c r="A8" s="4">
        <f>IF(NOT(IS8),"Excluded",IF(AND(IT8,IU8,IV8,IW8,IX8,IY8,IZ8,JA8,JB8,JC8,JD8,JE8,JF8,JG8,JH8,JI8,JJ8,JK8,JL8,JM8,JN8,JO8,JP8,JQ8),IF(I8&gt;0,"Eligible but limited","Will appear"),"Excluded"))</f>
        <v/>
      </c>
      <c r="B8" s="4" t="inlineStr">
        <is>
          <t>All blogs</t>
        </is>
      </c>
      <c r="C8" s="4" t="inlineStr">
        <is>
          <t>/programs/mba/admissions</t>
        </is>
      </c>
      <c r="D8" s="4" t="inlineStr">
        <is>
          <t>/programs/mba/admissions</t>
        </is>
      </c>
      <c r="E8" s="4" t="n">
        <v>1</v>
      </c>
      <c r="F8" s="4" t="inlineStr">
        <is>
          <t>story</t>
        </is>
      </c>
      <c r="G8" s="4" t="inlineStr">
        <is>
          <t>stories_grid_with_images</t>
        </is>
      </c>
      <c r="H8" s="4" t="inlineStr">
        <is>
          <t>embed_blog</t>
        </is>
      </c>
      <c r="I8" s="4" t="n">
        <v>3</v>
      </c>
      <c r="J8" s="4" t="inlineStr">
        <is>
          <t>Section inferred</t>
        </is>
      </c>
      <c r="K8" s="4" t="inlineStr">
        <is>
          <t>Page placement</t>
        </is>
      </c>
      <c r="L8" s="4" t="inlineStr">
        <is>
          <t>Content type: story; Context uses Courses Context: MBA (92); Needs any Story Type: Blog (974); Limited to 3 item(s); Source: Section inferred</t>
        </is>
      </c>
      <c r="M8" t="inlineStr"/>
      <c r="N8" t="inlineStr"/>
      <c r="O8" t="inlineStr"/>
      <c r="P8" t="inlineStr"/>
      <c r="Q8" t="inlineStr"/>
      <c r="R8" t="inlineStr"/>
      <c r="S8" t="inlineStr"/>
      <c r="T8" t="inlineStr"/>
      <c r="U8" t="inlineStr"/>
      <c r="V8" t="inlineStr"/>
      <c r="W8" t="inlineStr"/>
      <c r="X8" t="inlineStr"/>
      <c r="Y8" t="inlineStr"/>
      <c r="Z8" t="inlineStr"/>
      <c r="AA8" t="inlineStr"/>
      <c r="AB8" t="inlineStr"/>
      <c r="AC8" t="inlineStr"/>
      <c r="AD8" t="inlineStr"/>
      <c r="AE8" t="inlineStr"/>
      <c r="AF8" t="inlineStr"/>
      <c r="AG8" t="inlineStr"/>
      <c r="AH8" t="inlineStr"/>
      <c r="AI8" t="inlineStr"/>
      <c r="AJ8" t="inlineStr"/>
      <c r="AK8" t="inlineStr"/>
      <c r="AL8" t="inlineStr"/>
      <c r="AM8" t="inlineStr"/>
      <c r="AN8" t="inlineStr"/>
      <c r="AO8" t="inlineStr"/>
      <c r="AP8" t="inlineStr"/>
      <c r="AQ8" t="inlineStr"/>
      <c r="AR8" t="inlineStr"/>
      <c r="AS8" t="inlineStr"/>
      <c r="AT8" t="inlineStr"/>
      <c r="AU8" t="inlineStr"/>
      <c r="AV8" t="inlineStr"/>
      <c r="AW8" t="inlineStr"/>
      <c r="AX8" t="inlineStr"/>
      <c r="AY8" t="inlineStr"/>
      <c r="AZ8" t="inlineStr"/>
      <c r="BA8" t="inlineStr"/>
      <c r="BB8" t="inlineStr"/>
      <c r="BC8" t="inlineStr"/>
      <c r="BD8" t="inlineStr"/>
      <c r="BE8" t="inlineStr"/>
      <c r="BF8" t="inlineStr"/>
      <c r="BG8" t="inlineStr"/>
      <c r="BH8" t="inlineStr"/>
      <c r="BI8" t="inlineStr"/>
      <c r="BJ8" t="inlineStr"/>
      <c r="BK8" t="inlineStr"/>
      <c r="BL8" t="inlineStr"/>
      <c r="BM8" t="inlineStr"/>
      <c r="BN8" t="inlineStr"/>
      <c r="BO8" t="inlineStr"/>
      <c r="BP8" t="inlineStr"/>
      <c r="BQ8" t="inlineStr">
        <is>
          <t>92</t>
        </is>
      </c>
      <c r="BR8" t="inlineStr">
        <is>
          <t>MBA (92)</t>
        </is>
      </c>
      <c r="BS8" t="inlineStr"/>
      <c r="BT8" t="inlineStr"/>
      <c r="BU8" t="inlineStr"/>
      <c r="BV8" t="inlineStr"/>
      <c r="BW8" t="inlineStr"/>
      <c r="BX8" t="inlineStr"/>
      <c r="BY8" t="inlineStr"/>
      <c r="BZ8" t="inlineStr"/>
      <c r="CA8" t="inlineStr"/>
      <c r="CB8" t="inlineStr"/>
      <c r="CC8" t="inlineStr"/>
      <c r="CD8" t="inlineStr"/>
      <c r="CE8" t="inlineStr"/>
      <c r="CF8" t="inlineStr"/>
      <c r="CG8" t="inlineStr"/>
      <c r="CH8" t="inlineStr"/>
      <c r="CI8" t="inlineStr"/>
      <c r="CJ8" t="inlineStr"/>
      <c r="CK8" t="inlineStr"/>
      <c r="CL8" t="inlineStr"/>
      <c r="CM8" t="inlineStr"/>
      <c r="CN8" t="inlineStr"/>
      <c r="CO8" t="inlineStr"/>
      <c r="CP8" t="inlineStr"/>
      <c r="CQ8" t="inlineStr"/>
      <c r="CR8" t="inlineStr"/>
      <c r="CS8" t="inlineStr"/>
      <c r="CT8" t="inlineStr"/>
      <c r="CU8" t="inlineStr"/>
      <c r="CV8" t="inlineStr"/>
      <c r="CW8" t="inlineStr"/>
      <c r="CX8" t="inlineStr"/>
      <c r="CY8" t="inlineStr"/>
      <c r="CZ8" t="inlineStr"/>
      <c r="DA8" t="inlineStr"/>
      <c r="DB8" t="inlineStr"/>
      <c r="DC8" t="inlineStr"/>
      <c r="DD8" t="inlineStr"/>
      <c r="DE8" t="inlineStr"/>
      <c r="DF8" t="inlineStr"/>
      <c r="DG8" t="inlineStr"/>
      <c r="DH8" t="inlineStr"/>
      <c r="DI8" t="inlineStr"/>
      <c r="DJ8" t="inlineStr"/>
      <c r="DK8" t="inlineStr"/>
      <c r="DL8" t="inlineStr"/>
      <c r="DM8" t="inlineStr"/>
      <c r="DN8" t="inlineStr"/>
      <c r="DO8" t="inlineStr"/>
      <c r="DP8" t="inlineStr"/>
      <c r="DQ8" t="inlineStr"/>
      <c r="DR8" t="inlineStr"/>
      <c r="DS8" t="inlineStr"/>
      <c r="DT8" t="inlineStr"/>
      <c r="DU8" t="inlineStr"/>
      <c r="DV8" t="inlineStr"/>
      <c r="DW8" t="inlineStr"/>
      <c r="DX8" t="inlineStr"/>
      <c r="DY8" t="inlineStr"/>
      <c r="DZ8" t="inlineStr"/>
      <c r="EA8" t="inlineStr"/>
      <c r="EB8" t="inlineStr"/>
      <c r="EC8" t="inlineStr"/>
      <c r="ED8" t="inlineStr"/>
      <c r="EE8" t="inlineStr"/>
      <c r="EF8" t="inlineStr"/>
      <c r="EG8" t="inlineStr"/>
      <c r="EH8" t="inlineStr"/>
      <c r="EI8" t="inlineStr"/>
      <c r="EJ8" t="inlineStr"/>
      <c r="EK8" t="inlineStr"/>
      <c r="EL8" t="inlineStr"/>
      <c r="EM8" t="inlineStr"/>
      <c r="EN8" t="inlineStr"/>
      <c r="EO8" t="inlineStr"/>
      <c r="EP8" t="inlineStr"/>
      <c r="EQ8" t="inlineStr"/>
      <c r="ER8" t="inlineStr"/>
      <c r="ES8" t="inlineStr"/>
      <c r="ET8" t="inlineStr"/>
      <c r="EU8" t="inlineStr"/>
      <c r="EV8" t="inlineStr"/>
      <c r="EW8" t="inlineStr"/>
      <c r="EX8" t="inlineStr"/>
      <c r="EY8" t="inlineStr"/>
      <c r="EZ8" t="inlineStr"/>
      <c r="FA8" t="inlineStr"/>
      <c r="FB8" t="inlineStr"/>
      <c r="FC8" t="inlineStr"/>
      <c r="FD8" t="inlineStr"/>
      <c r="FE8" t="inlineStr"/>
      <c r="FF8" t="inlineStr"/>
      <c r="FG8" t="inlineStr"/>
      <c r="FH8" t="inlineStr"/>
      <c r="FI8" t="inlineStr"/>
      <c r="FJ8" t="inlineStr"/>
      <c r="FK8" t="inlineStr"/>
      <c r="FL8" t="inlineStr"/>
      <c r="FM8" t="inlineStr"/>
      <c r="FN8" t="inlineStr"/>
      <c r="FO8" t="inlineStr"/>
      <c r="FP8" t="inlineStr"/>
      <c r="FQ8" t="inlineStr"/>
      <c r="FR8" t="inlineStr"/>
      <c r="FS8" t="inlineStr"/>
      <c r="FT8" t="inlineStr"/>
      <c r="FU8" t="inlineStr"/>
      <c r="FV8" t="inlineStr"/>
      <c r="FW8" t="inlineStr"/>
      <c r="FX8" t="inlineStr"/>
      <c r="FY8" t="inlineStr"/>
      <c r="FZ8" t="inlineStr"/>
      <c r="GA8" t="inlineStr"/>
      <c r="GB8" t="inlineStr"/>
      <c r="GC8" t="inlineStr"/>
      <c r="GD8" t="inlineStr"/>
      <c r="GE8" t="inlineStr"/>
      <c r="GF8" t="inlineStr"/>
      <c r="GG8" t="inlineStr"/>
      <c r="GH8" t="inlineStr"/>
      <c r="GI8" t="inlineStr"/>
      <c r="GJ8" t="inlineStr"/>
      <c r="GK8" t="inlineStr"/>
      <c r="GL8" t="inlineStr"/>
      <c r="GM8" t="inlineStr"/>
      <c r="GN8" t="inlineStr"/>
      <c r="GO8" t="inlineStr"/>
      <c r="GP8" t="inlineStr"/>
      <c r="GQ8" t="inlineStr"/>
      <c r="GR8" t="inlineStr"/>
      <c r="GS8" t="inlineStr"/>
      <c r="GT8" t="inlineStr"/>
      <c r="GU8" t="inlineStr"/>
      <c r="GV8" t="inlineStr"/>
      <c r="GW8" t="inlineStr"/>
      <c r="GX8" t="inlineStr"/>
      <c r="GY8" t="inlineStr"/>
      <c r="GZ8" t="inlineStr"/>
      <c r="HA8" t="inlineStr"/>
      <c r="HB8" t="inlineStr"/>
      <c r="HC8" t="inlineStr"/>
      <c r="HD8" t="inlineStr"/>
      <c r="HE8" t="inlineStr"/>
      <c r="HF8" t="inlineStr"/>
      <c r="HG8" t="inlineStr"/>
      <c r="HH8" t="inlineStr"/>
      <c r="HI8" t="inlineStr"/>
      <c r="HJ8" t="inlineStr"/>
      <c r="HK8" t="inlineStr"/>
      <c r="HL8" t="inlineStr"/>
      <c r="HM8" t="inlineStr"/>
      <c r="HN8" t="inlineStr"/>
      <c r="HO8" t="inlineStr"/>
      <c r="HP8" t="inlineStr"/>
      <c r="HQ8" t="inlineStr"/>
      <c r="HR8" t="inlineStr"/>
      <c r="HS8" t="inlineStr"/>
      <c r="HT8" t="inlineStr"/>
      <c r="HU8" t="inlineStr"/>
      <c r="HV8" t="inlineStr"/>
      <c r="HW8" t="inlineStr"/>
      <c r="HX8" t="inlineStr"/>
      <c r="HY8" t="inlineStr">
        <is>
          <t>974</t>
        </is>
      </c>
      <c r="HZ8" t="inlineStr">
        <is>
          <t>Blog (974)</t>
        </is>
      </c>
      <c r="IA8" t="inlineStr"/>
      <c r="IB8" t="inlineStr"/>
      <c r="IC8" t="inlineStr"/>
      <c r="ID8" t="inlineStr"/>
      <c r="IE8" t="inlineStr"/>
      <c r="IF8" t="inlineStr"/>
      <c r="IG8" t="inlineStr"/>
      <c r="IH8" t="inlineStr"/>
      <c r="II8" t="inlineStr"/>
      <c r="IJ8" t="inlineStr"/>
      <c r="IK8" t="inlineStr"/>
      <c r="IL8" t="inlineStr"/>
      <c r="IM8" t="inlineStr"/>
      <c r="IN8" t="inlineStr"/>
      <c r="IO8" t="inlineStr"/>
      <c r="IP8" t="inlineStr"/>
      <c r="IQ8" t="inlineStr"/>
      <c r="IR8" t="inlineStr"/>
      <c r="IS8">
        <f>IF(input_content_type="",FALSE,ISNUMBER(SEARCH(","&amp;LOWER(input_content_type)&amp;",",","&amp;LOWER(F8)&amp;",")))</f>
        <v/>
      </c>
      <c r="IT8">
        <f>AND(IF(M8="",TRUE,IF(input_affiliations="",FALSE,SUMPRODUCT(--ISNUMBER(SEARCH(","&amp;TRIM(TEXTSPLIT(M8,","))&amp;",",","&amp;SUBSTITUTE(input_affiliations," ","")&amp;",")))&gt;0)),IF(O8="",TRUE,IF(input_affiliations="",FALSE,SUMPRODUCT(--ISNUMBER(SEARCH(","&amp;TRIM(TEXTSPLIT(O8,","))&amp;",",","&amp;SUBSTITUTE(input_affiliations," ","")&amp;",")))=COUNTA(TEXTSPLIT(O8,",")))),IF(Q8="",TRUE,IF(input_affiliations="",TRUE,SUMPRODUCT(--ISNUMBER(SEARCH(","&amp;TRIM(TEXTSPLIT(Q8,","))&amp;",",","&amp;SUBSTITUTE(input_affiliations," ","")&amp;",")))=0)),IF(S8="",TRUE,IF(input_affiliations="",FALSE,SUMPRODUCT(--ISNUMBER(SEARCH(","&amp;TRIM(TEXTSPLIT(S8,","))&amp;",",","&amp;SUBSTITUTE(input_affiliations," ","")&amp;",")))&gt;0)),IF(U8="",TRUE,IF(input_affiliations="",FALSE,SUMPRODUCT(--ISNUMBER(SEARCH(","&amp;TRIM(TEXTSPLIT(U8,","))&amp;",",","&amp;SUBSTITUTE(input_affiliations," ","")&amp;",")))=COUNTA(TEXTSPLIT(U8,",")))))</f>
        <v/>
      </c>
      <c r="IU8">
        <f>AND(IF(W8="",TRUE,IF(input_announcement_category="",FALSE,SUMPRODUCT(--ISNUMBER(SEARCH(","&amp;TRIM(TEXTSPLIT(W8,","))&amp;",",","&amp;SUBSTITUTE(input_announcement_category," ","")&amp;",")))&gt;0)),IF(Y8="",TRUE,IF(input_announcement_category="",FALSE,SUMPRODUCT(--ISNUMBER(SEARCH(","&amp;TRIM(TEXTSPLIT(Y8,","))&amp;",",","&amp;SUBSTITUTE(input_announcement_category," ","")&amp;",")))=COUNTA(TEXTSPLIT(Y8,",")))),IF(AA8="",TRUE,IF(input_announcement_category="",TRUE,SUMPRODUCT(--ISNUMBER(SEARCH(","&amp;TRIM(TEXTSPLIT(AA8,","))&amp;",",","&amp;SUBSTITUTE(input_announcement_category," ","")&amp;",")))=0)),IF(AC8="",TRUE,IF(input_announcement_category="",FALSE,SUMPRODUCT(--ISNUMBER(SEARCH(","&amp;TRIM(TEXTSPLIT(AC8,","))&amp;",",","&amp;SUBSTITUTE(input_announcement_category," ","")&amp;",")))&gt;0)),IF(AE8="",TRUE,IF(input_announcement_category="",FALSE,SUMPRODUCT(--ISNUMBER(SEARCH(","&amp;TRIM(TEXTSPLIT(AE8,","))&amp;",",","&amp;SUBSTITUTE(input_announcement_category," ","")&amp;",")))=COUNTA(TEXTSPLIT(AE8,",")))))</f>
        <v/>
      </c>
      <c r="IV8">
        <f>AND(IF(AG8="",TRUE,IF(input_area_of_focus="",FALSE,SUMPRODUCT(--ISNUMBER(SEARCH(","&amp;TRIM(TEXTSPLIT(AG8,","))&amp;",",","&amp;SUBSTITUTE(input_area_of_focus," ","")&amp;",")))&gt;0)),IF(AI8="",TRUE,IF(input_area_of_focus="",FALSE,SUMPRODUCT(--ISNUMBER(SEARCH(","&amp;TRIM(TEXTSPLIT(AI8,","))&amp;",",","&amp;SUBSTITUTE(input_area_of_focus," ","")&amp;",")))=COUNTA(TEXTSPLIT(AI8,",")))),IF(AK8="",TRUE,IF(input_area_of_focus="",TRUE,SUMPRODUCT(--ISNUMBER(SEARCH(","&amp;TRIM(TEXTSPLIT(AK8,","))&amp;",",","&amp;SUBSTITUTE(input_area_of_focus," ","")&amp;",")))=0)),IF(AM8="",TRUE,IF(input_area_of_focus="",FALSE,SUMPRODUCT(--ISNUMBER(SEARCH(","&amp;TRIM(TEXTSPLIT(AM8,","))&amp;",",","&amp;SUBSTITUTE(input_area_of_focus," ","")&amp;",")))&gt;0)),IF(AO8="",TRUE,IF(input_area_of_focus="",FALSE,SUMPRODUCT(--ISNUMBER(SEARCH(","&amp;TRIM(TEXTSPLIT(AO8,","))&amp;",",","&amp;SUBSTITUTE(input_area_of_focus," ","")&amp;",")))=COUNTA(TEXTSPLIT(AO8,",")))))</f>
        <v/>
      </c>
      <c r="IW8">
        <f>AND(IF(AQ8="",TRUE,IF(input_audience="",FALSE,SUMPRODUCT(--ISNUMBER(SEARCH(","&amp;TRIM(TEXTSPLIT(AQ8,","))&amp;",",","&amp;SUBSTITUTE(input_audience," ","")&amp;",")))&gt;0)),IF(AS8="",TRUE,IF(input_audience="",FALSE,SUMPRODUCT(--ISNUMBER(SEARCH(","&amp;TRIM(TEXTSPLIT(AS8,","))&amp;",",","&amp;SUBSTITUTE(input_audience," ","")&amp;",")))=COUNTA(TEXTSPLIT(AS8,",")))),IF(AU8="",TRUE,IF(input_audience="",TRUE,SUMPRODUCT(--ISNUMBER(SEARCH(","&amp;TRIM(TEXTSPLIT(AU8,","))&amp;",",","&amp;SUBSTITUTE(input_audience," ","")&amp;",")))=0)),IF(AW8="",TRUE,IF(input_audience="",FALSE,SUMPRODUCT(--ISNUMBER(SEARCH(","&amp;TRIM(TEXTSPLIT(AW8,","))&amp;",",","&amp;SUBSTITUTE(input_audience," ","")&amp;",")))&gt;0)),IF(AY8="",TRUE,IF(input_audience="",FALSE,SUMPRODUCT(--ISNUMBER(SEARCH(","&amp;TRIM(TEXTSPLIT(AY8,","))&amp;",",","&amp;SUBSTITUTE(input_audience," ","")&amp;",")))=COUNTA(TEXTSPLIT(AY8,",")))))</f>
        <v/>
      </c>
      <c r="IX8">
        <f>AND(IF(BA8="",TRUE,IF(input_challenge_opportunities="",FALSE,SUMPRODUCT(--ISNUMBER(SEARCH(","&amp;TRIM(TEXTSPLIT(BA8,","))&amp;",",","&amp;SUBSTITUTE(input_challenge_opportunities," ","")&amp;",")))&gt;0)),IF(BC8="",TRUE,IF(input_challenge_opportunities="",FALSE,SUMPRODUCT(--ISNUMBER(SEARCH(","&amp;TRIM(TEXTSPLIT(BC8,","))&amp;",",","&amp;SUBSTITUTE(input_challenge_opportunities," ","")&amp;",")))=COUNTA(TEXTSPLIT(BC8,",")))),IF(BE8="",TRUE,IF(input_challenge_opportunities="",TRUE,SUMPRODUCT(--ISNUMBER(SEARCH(","&amp;TRIM(TEXTSPLIT(BE8,","))&amp;",",","&amp;SUBSTITUTE(input_challenge_opportunities," ","")&amp;",")))=0)),IF(BG8="",TRUE,IF(input_challenge_opportunities="",FALSE,SUMPRODUCT(--ISNUMBER(SEARCH(","&amp;TRIM(TEXTSPLIT(BG8,","))&amp;",",","&amp;SUBSTITUTE(input_challenge_opportunities," ","")&amp;",")))&gt;0)),IF(BI8="",TRUE,IF(input_challenge_opportunities="",FALSE,SUMPRODUCT(--ISNUMBER(SEARCH(","&amp;TRIM(TEXTSPLIT(BI8,","))&amp;",",","&amp;SUBSTITUTE(input_challenge_opportunities," ","")&amp;",")))=COUNTA(TEXTSPLIT(BI8,",")))))</f>
        <v/>
      </c>
      <c r="IY8">
        <f>AND(IF(BK8="",TRUE,IF(input_context="",FALSE,SUMPRODUCT(--ISNUMBER(SEARCH(","&amp;TRIM(TEXTSPLIT(BK8,","))&amp;",",","&amp;SUBSTITUTE(input_context," ","")&amp;",")))&gt;0)),IF(BM8="",TRUE,IF(input_context="",FALSE,SUMPRODUCT(--ISNUMBER(SEARCH(","&amp;TRIM(TEXTSPLIT(BM8,","))&amp;",",","&amp;SUBSTITUTE(input_context," ","")&amp;",")))=COUNTA(TEXTSPLIT(BM8,",")))),IF(BO8="",TRUE,IF(input_context="",TRUE,SUMPRODUCT(--ISNUMBER(SEARCH(","&amp;TRIM(TEXTSPLIT(BO8,","))&amp;",",","&amp;SUBSTITUTE(input_context," ","")&amp;",")))=0)),IF(BQ8="",TRUE,IF(input_context="",FALSE,SUMPRODUCT(--ISNUMBER(SEARCH(","&amp;TRIM(TEXTSPLIT(BQ8,","))&amp;",",","&amp;SUBSTITUTE(input_context," ","")&amp;",")))&gt;0)),IF(BS8="",TRUE,IF(input_context="",FALSE,SUMPRODUCT(--ISNUMBER(SEARCH(","&amp;TRIM(TEXTSPLIT(BS8,","))&amp;",",","&amp;SUBSTITUTE(input_context," ","")&amp;",")))=COUNTA(TEXTSPLIT(BS8,",")))))</f>
        <v/>
      </c>
      <c r="IZ8">
        <f>AND(IF(BU8="",TRUE,IF(input_enews_announcement_type="",FALSE,SUMPRODUCT(--ISNUMBER(SEARCH(","&amp;TRIM(TEXTSPLIT(BU8,","))&amp;",",","&amp;SUBSTITUTE(input_enews_announcement_type," ","")&amp;",")))&gt;0)),IF(BW8="",TRUE,IF(input_enews_announcement_type="",FALSE,SUMPRODUCT(--ISNUMBER(SEARCH(","&amp;TRIM(TEXTSPLIT(BW8,","))&amp;",",","&amp;SUBSTITUTE(input_enews_announcement_type," ","")&amp;",")))=COUNTA(TEXTSPLIT(BW8,",")))),IF(BY8="",TRUE,IF(input_enews_announcement_type="",TRUE,SUMPRODUCT(--ISNUMBER(SEARCH(","&amp;TRIM(TEXTSPLIT(BY8,","))&amp;",",","&amp;SUBSTITUTE(input_enews_announcement_type," ","")&amp;",")))=0)),IF(CA8="",TRUE,IF(input_enews_announcement_type="",FALSE,SUMPRODUCT(--ISNUMBER(SEARCH(","&amp;TRIM(TEXTSPLIT(CA8,","))&amp;",",","&amp;SUBSTITUTE(input_enews_announcement_type," ","")&amp;",")))&gt;0)),IF(CC8="",TRUE,IF(input_enews_announcement_type="",FALSE,SUMPRODUCT(--ISNUMBER(SEARCH(","&amp;TRIM(TEXTSPLIT(CC8,","))&amp;",",","&amp;SUBSTITUTE(input_enews_announcement_type," ","")&amp;",")))=COUNTA(TEXTSPLIT(CC8,",")))))</f>
        <v/>
      </c>
      <c r="JA8">
        <f>AND(IF(CE8="",TRUE,IF(input_enews_audience="",FALSE,SUMPRODUCT(--ISNUMBER(SEARCH(","&amp;TRIM(TEXTSPLIT(CE8,","))&amp;",",","&amp;SUBSTITUTE(input_enews_audience," ","")&amp;",")))&gt;0)),IF(CG8="",TRUE,IF(input_enews_audience="",FALSE,SUMPRODUCT(--ISNUMBER(SEARCH(","&amp;TRIM(TEXTSPLIT(CG8,","))&amp;",",","&amp;SUBSTITUTE(input_enews_audience," ","")&amp;",")))=COUNTA(TEXTSPLIT(CG8,",")))),IF(CI8="",TRUE,IF(input_enews_audience="",TRUE,SUMPRODUCT(--ISNUMBER(SEARCH(","&amp;TRIM(TEXTSPLIT(CI8,","))&amp;",",","&amp;SUBSTITUTE(input_enews_audience," ","")&amp;",")))=0)),IF(CK8="",TRUE,IF(input_enews_audience="",FALSE,SUMPRODUCT(--ISNUMBER(SEARCH(","&amp;TRIM(TEXTSPLIT(CK8,","))&amp;",",","&amp;SUBSTITUTE(input_enews_audience," ","")&amp;",")))&gt;0)),IF(CM8="",TRUE,IF(input_enews_audience="",FALSE,SUMPRODUCT(--ISNUMBER(SEARCH(","&amp;TRIM(TEXTSPLIT(CM8,","))&amp;",",","&amp;SUBSTITUTE(input_enews_audience," ","")&amp;",")))=COUNTA(TEXTSPLIT(CM8,",")))))</f>
        <v/>
      </c>
      <c r="JB8">
        <f>AND(IF(CO8="",TRUE,IF(input_event_location="",FALSE,SUMPRODUCT(--ISNUMBER(SEARCH(","&amp;TRIM(TEXTSPLIT(CO8,","))&amp;",",","&amp;SUBSTITUTE(input_event_location," ","")&amp;",")))&gt;0)),IF(CQ8="",TRUE,IF(input_event_location="",FALSE,SUMPRODUCT(--ISNUMBER(SEARCH(","&amp;TRIM(TEXTSPLIT(CQ8,","))&amp;",",","&amp;SUBSTITUTE(input_event_location," ","")&amp;",")))=COUNTA(TEXTSPLIT(CQ8,",")))),IF(CS8="",TRUE,IF(input_event_location="",TRUE,SUMPRODUCT(--ISNUMBER(SEARCH(","&amp;TRIM(TEXTSPLIT(CS8,","))&amp;",",","&amp;SUBSTITUTE(input_event_location," ","")&amp;",")))=0)),IF(CU8="",TRUE,IF(input_event_location="",FALSE,SUMPRODUCT(--ISNUMBER(SEARCH(","&amp;TRIM(TEXTSPLIT(CU8,","))&amp;",",","&amp;SUBSTITUTE(input_event_location," ","")&amp;",")))&gt;0)),IF(CW8="",TRUE,IF(input_event_location="",FALSE,SUMPRODUCT(--ISNUMBER(SEARCH(","&amp;TRIM(TEXTSPLIT(CW8,","))&amp;",",","&amp;SUBSTITUTE(input_event_location," ","")&amp;",")))=COUNTA(TEXTSPLIT(CW8,",")))))</f>
        <v/>
      </c>
      <c r="JC8">
        <f>AND(IF(CY8="",TRUE,IF(input_event_type="",FALSE,SUMPRODUCT(--ISNUMBER(SEARCH(","&amp;TRIM(TEXTSPLIT(CY8,","))&amp;",",","&amp;SUBSTITUTE(input_event_type," ","")&amp;",")))&gt;0)),IF(DA8="",TRUE,IF(input_event_type="",FALSE,SUMPRODUCT(--ISNUMBER(SEARCH(","&amp;TRIM(TEXTSPLIT(DA8,","))&amp;",",","&amp;SUBSTITUTE(input_event_type," ","")&amp;",")))=COUNTA(TEXTSPLIT(DA8,",")))),IF(DC8="",TRUE,IF(input_event_type="",TRUE,SUMPRODUCT(--ISNUMBER(SEARCH(","&amp;TRIM(TEXTSPLIT(DC8,","))&amp;",",","&amp;SUBSTITUTE(input_event_type," ","")&amp;",")))=0)),IF(DE8="",TRUE,IF(input_event_type="",FALSE,SUMPRODUCT(--ISNUMBER(SEARCH(","&amp;TRIM(TEXTSPLIT(DE8,","))&amp;",",","&amp;SUBSTITUTE(input_event_type," ","")&amp;",")))&gt;0)),IF(DG8="",TRUE,IF(input_event_type="",FALSE,SUMPRODUCT(--ISNUMBER(SEARCH(","&amp;TRIM(TEXTSPLIT(DG8,","))&amp;",",","&amp;SUBSTITUTE(input_event_type," ","")&amp;",")))=COUNTA(TEXTSPLIT(DG8,",")))))</f>
        <v/>
      </c>
      <c r="JD8">
        <f>AND(IF(DI8="",TRUE,IF(input_executive_education_focus="",FALSE,SUMPRODUCT(--ISNUMBER(SEARCH(","&amp;TRIM(TEXTSPLIT(DI8,","))&amp;",",","&amp;SUBSTITUTE(input_executive_education_focus," ","")&amp;",")))&gt;0)),IF(DK8="",TRUE,IF(input_executive_education_focus="",FALSE,SUMPRODUCT(--ISNUMBER(SEARCH(","&amp;TRIM(TEXTSPLIT(DK8,","))&amp;",",","&amp;SUBSTITUTE(input_executive_education_focus," ","")&amp;",")))=COUNTA(TEXTSPLIT(DK8,",")))),IF(DM8="",TRUE,IF(input_executive_education_focus="",TRUE,SUMPRODUCT(--ISNUMBER(SEARCH(","&amp;TRIM(TEXTSPLIT(DM8,","))&amp;",",","&amp;SUBSTITUTE(input_executive_education_focus," ","")&amp;",")))=0)),IF(DO8="",TRUE,IF(input_executive_education_focus="",FALSE,SUMPRODUCT(--ISNUMBER(SEARCH(","&amp;TRIM(TEXTSPLIT(DO8,","))&amp;",",","&amp;SUBSTITUTE(input_executive_education_focus," ","")&amp;",")))&gt;0)),IF(DQ8="",TRUE,IF(input_executive_education_focus="",FALSE,SUMPRODUCT(--ISNUMBER(SEARCH(","&amp;TRIM(TEXTSPLIT(DQ8,","))&amp;",",","&amp;SUBSTITUTE(input_executive_education_focus," ","")&amp;",")))=COUNTA(TEXTSPLIT(DQ8,",")))))</f>
        <v/>
      </c>
      <c r="JE8">
        <f>AND(IF(DS8="",TRUE,IF(input_faculty_category="",FALSE,SUMPRODUCT(--ISNUMBER(SEARCH(","&amp;TRIM(TEXTSPLIT(DS8,","))&amp;",",","&amp;SUBSTITUTE(input_faculty_category," ","")&amp;",")))&gt;0)),IF(DU8="",TRUE,IF(input_faculty_category="",FALSE,SUMPRODUCT(--ISNUMBER(SEARCH(","&amp;TRIM(TEXTSPLIT(DU8,","))&amp;",",","&amp;SUBSTITUTE(input_faculty_category," ","")&amp;",")))=COUNTA(TEXTSPLIT(DU8,",")))),IF(DW8="",TRUE,IF(input_faculty_category="",TRUE,SUMPRODUCT(--ISNUMBER(SEARCH(","&amp;TRIM(TEXTSPLIT(DW8,","))&amp;",",","&amp;SUBSTITUTE(input_faculty_category," ","")&amp;",")))=0)),IF(DY8="",TRUE,IF(input_faculty_category="",FALSE,SUMPRODUCT(--ISNUMBER(SEARCH(","&amp;TRIM(TEXTSPLIT(DY8,","))&amp;",",","&amp;SUBSTITUTE(input_faculty_category," ","")&amp;",")))&gt;0)),IF(EA8="",TRUE,IF(input_faculty_category="",FALSE,SUMPRODUCT(--ISNUMBER(SEARCH(","&amp;TRIM(TEXTSPLIT(EA8,","))&amp;",",","&amp;SUBSTITUTE(input_faculty_category," ","")&amp;",")))=COUNTA(TEXTSPLIT(EA8,",")))))</f>
        <v/>
      </c>
      <c r="JF8">
        <f>AND(IF(EC8="",TRUE,IF(input_faculty_discipline="",FALSE,SUMPRODUCT(--ISNUMBER(SEARCH(","&amp;TRIM(TEXTSPLIT(EC8,","))&amp;",",","&amp;SUBSTITUTE(input_faculty_discipline," ","")&amp;",")))&gt;0)),IF(EE8="",TRUE,IF(input_faculty_discipline="",FALSE,SUMPRODUCT(--ISNUMBER(SEARCH(","&amp;TRIM(TEXTSPLIT(EE8,","))&amp;",",","&amp;SUBSTITUTE(input_faculty_discipline," ","")&amp;",")))=COUNTA(TEXTSPLIT(EE8,",")))),IF(EG8="",TRUE,IF(input_faculty_discipline="",TRUE,SUMPRODUCT(--ISNUMBER(SEARCH(","&amp;TRIM(TEXTSPLIT(EG8,","))&amp;",",","&amp;SUBSTITUTE(input_faculty_discipline," ","")&amp;",")))=0)),IF(EI8="",TRUE,IF(input_faculty_discipline="",FALSE,SUMPRODUCT(--ISNUMBER(SEARCH(","&amp;TRIM(TEXTSPLIT(EI8,","))&amp;",",","&amp;SUBSTITUTE(input_faculty_discipline," ","")&amp;",")))&gt;0)),IF(EK8="",TRUE,IF(input_faculty_discipline="",FALSE,SUMPRODUCT(--ISNUMBER(SEARCH(","&amp;TRIM(TEXTSPLIT(EK8,","))&amp;",",","&amp;SUBSTITUTE(input_faculty_discipline," ","")&amp;",")))=COUNTA(TEXTSPLIT(EK8,",")))))</f>
        <v/>
      </c>
      <c r="JG8">
        <f>AND(IF(EM8="",TRUE,IF(input_faculty_expertise="",FALSE,SUMPRODUCT(--ISNUMBER(SEARCH(","&amp;TRIM(TEXTSPLIT(EM8,","))&amp;",",","&amp;SUBSTITUTE(input_faculty_expertise," ","")&amp;",")))&gt;0)),IF(EO8="",TRUE,IF(input_faculty_expertise="",FALSE,SUMPRODUCT(--ISNUMBER(SEARCH(","&amp;TRIM(TEXTSPLIT(EO8,","))&amp;",",","&amp;SUBSTITUTE(input_faculty_expertise," ","")&amp;",")))=COUNTA(TEXTSPLIT(EO8,",")))),IF(EQ8="",TRUE,IF(input_faculty_expertise="",TRUE,SUMPRODUCT(--ISNUMBER(SEARCH(","&amp;TRIM(TEXTSPLIT(EQ8,","))&amp;",",","&amp;SUBSTITUTE(input_faculty_expertise," ","")&amp;",")))=0)),IF(ES8="",TRUE,IF(input_faculty_expertise="",FALSE,SUMPRODUCT(--ISNUMBER(SEARCH(","&amp;TRIM(TEXTSPLIT(ES8,","))&amp;",",","&amp;SUBSTITUTE(input_faculty_expertise," ","")&amp;",")))&gt;0)),IF(EU8="",TRUE,IF(input_faculty_expertise="",FALSE,SUMPRODUCT(--ISNUMBER(SEARCH(","&amp;TRIM(TEXTSPLIT(EU8,","))&amp;",",","&amp;SUBSTITUTE(input_faculty_expertise," ","")&amp;",")))=COUNTA(TEXTSPLIT(EU8,",")))))</f>
        <v/>
      </c>
      <c r="JH8">
        <f>AND(IF(EW8="",TRUE,IF(input_global_network_school="",FALSE,SUMPRODUCT(--ISNUMBER(SEARCH(","&amp;TRIM(TEXTSPLIT(EW8,","))&amp;",",","&amp;SUBSTITUTE(input_global_network_school," ","")&amp;",")))&gt;0)),IF(EY8="",TRUE,IF(input_global_network_school="",FALSE,SUMPRODUCT(--ISNUMBER(SEARCH(","&amp;TRIM(TEXTSPLIT(EY8,","))&amp;",",","&amp;SUBSTITUTE(input_global_network_school," ","")&amp;",")))=COUNTA(TEXTSPLIT(EY8,",")))),IF(FA8="",TRUE,IF(input_global_network_school="",TRUE,SUMPRODUCT(--ISNUMBER(SEARCH(","&amp;TRIM(TEXTSPLIT(FA8,","))&amp;",",","&amp;SUBSTITUTE(input_global_network_school," ","")&amp;",")))=0)),IF(FC8="",TRUE,IF(input_global_network_school="",FALSE,SUMPRODUCT(--ISNUMBER(SEARCH(","&amp;TRIM(TEXTSPLIT(FC8,","))&amp;",",","&amp;SUBSTITUTE(input_global_network_school," ","")&amp;",")))&gt;0)),IF(FE8="",TRUE,IF(input_global_network_school="",FALSE,SUMPRODUCT(--ISNUMBER(SEARCH(","&amp;TRIM(TEXTSPLIT(FE8,","))&amp;",",","&amp;SUBSTITUTE(input_global_network_school," ","")&amp;",")))=COUNTA(TEXTSPLIT(FE8,",")))))</f>
        <v/>
      </c>
      <c r="JI8">
        <f>AND(IF(FG8="",TRUE,IF(input_industry="",FALSE,SUMPRODUCT(--ISNUMBER(SEARCH(","&amp;TRIM(TEXTSPLIT(FG8,","))&amp;",",","&amp;SUBSTITUTE(input_industry," ","")&amp;",")))&gt;0)),IF(FI8="",TRUE,IF(input_industry="",FALSE,SUMPRODUCT(--ISNUMBER(SEARCH(","&amp;TRIM(TEXTSPLIT(FI8,","))&amp;",",","&amp;SUBSTITUTE(input_industry," ","")&amp;",")))=COUNTA(TEXTSPLIT(FI8,",")))),IF(FK8="",TRUE,IF(input_industry="",TRUE,SUMPRODUCT(--ISNUMBER(SEARCH(","&amp;TRIM(TEXTSPLIT(FK8,","))&amp;",",","&amp;SUBSTITUTE(input_industry," ","")&amp;",")))=0)),IF(FM8="",TRUE,IF(input_industry="",FALSE,SUMPRODUCT(--ISNUMBER(SEARCH(","&amp;TRIM(TEXTSPLIT(FM8,","))&amp;",",","&amp;SUBSTITUTE(input_industry," ","")&amp;",")))&gt;0)),IF(FO8="",TRUE,IF(input_industry="",FALSE,SUMPRODUCT(--ISNUMBER(SEARCH(","&amp;TRIM(TEXTSPLIT(FO8,","))&amp;",",","&amp;SUBSTITUTE(input_industry," ","")&amp;",")))=COUNTA(TEXTSPLIT(FO8,",")))))</f>
        <v/>
      </c>
      <c r="JJ8">
        <f>AND(IF(FQ8="",TRUE,IF(input_location="",FALSE,SUMPRODUCT(--ISNUMBER(SEARCH(","&amp;TRIM(TEXTSPLIT(FQ8,","))&amp;",",","&amp;SUBSTITUTE(input_location," ","")&amp;",")))&gt;0)),IF(FS8="",TRUE,IF(input_location="",FALSE,SUMPRODUCT(--ISNUMBER(SEARCH(","&amp;TRIM(TEXTSPLIT(FS8,","))&amp;",",","&amp;SUBSTITUTE(input_location," ","")&amp;",")))=COUNTA(TEXTSPLIT(FS8,",")))),IF(FU8="",TRUE,IF(input_location="",TRUE,SUMPRODUCT(--ISNUMBER(SEARCH(","&amp;TRIM(TEXTSPLIT(FU8,","))&amp;",",","&amp;SUBSTITUTE(input_location," ","")&amp;",")))=0)),IF(FW8="",TRUE,IF(input_location="",FALSE,SUMPRODUCT(--ISNUMBER(SEARCH(","&amp;TRIM(TEXTSPLIT(FW8,","))&amp;",",","&amp;SUBSTITUTE(input_location," ","")&amp;",")))&gt;0)),IF(FY8="",TRUE,IF(input_location="",FALSE,SUMPRODUCT(--ISNUMBER(SEARCH(","&amp;TRIM(TEXTSPLIT(FY8,","))&amp;",",","&amp;SUBSTITUTE(input_location," ","")&amp;",")))=COUNTA(TEXTSPLIT(FY8,",")))))</f>
        <v/>
      </c>
      <c r="JK8">
        <f>AND(IF(GA8="",TRUE,IF(input_modality="",FALSE,SUMPRODUCT(--ISNUMBER(SEARCH(","&amp;TRIM(TEXTSPLIT(GA8,","))&amp;",",","&amp;SUBSTITUTE(input_modality," ","")&amp;",")))&gt;0)),IF(GC8="",TRUE,IF(input_modality="",FALSE,SUMPRODUCT(--ISNUMBER(SEARCH(","&amp;TRIM(TEXTSPLIT(GC8,","))&amp;",",","&amp;SUBSTITUTE(input_modality," ","")&amp;",")))=COUNTA(TEXTSPLIT(GC8,",")))),IF(GE8="",TRUE,IF(input_modality="",TRUE,SUMPRODUCT(--ISNUMBER(SEARCH(","&amp;TRIM(TEXTSPLIT(GE8,","))&amp;",",","&amp;SUBSTITUTE(input_modality," ","")&amp;",")))=0)),IF(GG8="",TRUE,IF(input_modality="",FALSE,SUMPRODUCT(--ISNUMBER(SEARCH(","&amp;TRIM(TEXTSPLIT(GG8,","))&amp;",",","&amp;SUBSTITUTE(input_modality," ","")&amp;",")))&gt;0)),IF(GI8="",TRUE,IF(input_modality="",FALSE,SUMPRODUCT(--ISNUMBER(SEARCH(","&amp;TRIM(TEXTSPLIT(GI8,","))&amp;",",","&amp;SUBSTITUTE(input_modality," ","")&amp;",")))=COUNTA(TEXTSPLIT(GI8,",")))))</f>
        <v/>
      </c>
      <c r="JL8">
        <f>AND(IF(GK8="",TRUE,IF(input_organizer="",FALSE,SUMPRODUCT(--ISNUMBER(SEARCH(","&amp;TRIM(TEXTSPLIT(GK8,","))&amp;",",","&amp;SUBSTITUTE(input_organizer," ","")&amp;",")))&gt;0)),IF(GM8="",TRUE,IF(input_organizer="",FALSE,SUMPRODUCT(--ISNUMBER(SEARCH(","&amp;TRIM(TEXTSPLIT(GM8,","))&amp;",",","&amp;SUBSTITUTE(input_organizer," ","")&amp;",")))=COUNTA(TEXTSPLIT(GM8,",")))),IF(GO8="",TRUE,IF(input_organizer="",TRUE,SUMPRODUCT(--ISNUMBER(SEARCH(","&amp;TRIM(TEXTSPLIT(GO8,","))&amp;",",","&amp;SUBSTITUTE(input_organizer," ","")&amp;",")))=0)),IF(GQ8="",TRUE,IF(input_organizer="",FALSE,SUMPRODUCT(--ISNUMBER(SEARCH(","&amp;TRIM(TEXTSPLIT(GQ8,","))&amp;",",","&amp;SUBSTITUTE(input_organizer," ","")&amp;",")))&gt;0)),IF(GS8="",TRUE,IF(input_organizer="",FALSE,SUMPRODUCT(--ISNUMBER(SEARCH(","&amp;TRIM(TEXTSPLIT(GS8,","))&amp;",",","&amp;SUBSTITUTE(input_organizer," ","")&amp;",")))=COUNTA(TEXTSPLIT(GS8,",")))))</f>
        <v/>
      </c>
      <c r="JM8">
        <f>AND(IF(GU8="",TRUE,IF(input_profile_type="",FALSE,SUMPRODUCT(--ISNUMBER(SEARCH(","&amp;TRIM(TEXTSPLIT(GU8,","))&amp;",",","&amp;SUBSTITUTE(input_profile_type," ","")&amp;",")))&gt;0)),IF(GW8="",TRUE,IF(input_profile_type="",FALSE,SUMPRODUCT(--ISNUMBER(SEARCH(","&amp;TRIM(TEXTSPLIT(GW8,","))&amp;",",","&amp;SUBSTITUTE(input_profile_type," ","")&amp;",")))=COUNTA(TEXTSPLIT(GW8,",")))),IF(GY8="",TRUE,IF(input_profile_type="",TRUE,SUMPRODUCT(--ISNUMBER(SEARCH(","&amp;TRIM(TEXTSPLIT(GY8,","))&amp;",",","&amp;SUBSTITUTE(input_profile_type," ","")&amp;",")))=0)),IF(HA8="",TRUE,IF(input_profile_type="",FALSE,SUMPRODUCT(--ISNUMBER(SEARCH(","&amp;TRIM(TEXTSPLIT(HA8,","))&amp;",",","&amp;SUBSTITUTE(input_profile_type," ","")&amp;",")))&gt;0)),IF(HC8="",TRUE,IF(input_profile_type="",FALSE,SUMPRODUCT(--ISNUMBER(SEARCH(","&amp;TRIM(TEXTSPLIT(HC8,","))&amp;",",","&amp;SUBSTITUTE(input_profile_type," ","")&amp;",")))=COUNTA(TEXTSPLIT(HC8,",")))))</f>
        <v/>
      </c>
      <c r="JN8">
        <f>AND(IF(HE8="",TRUE,IF(input_program="",FALSE,SUMPRODUCT(--ISNUMBER(SEARCH(","&amp;TRIM(TEXTSPLIT(HE8,","))&amp;",",","&amp;SUBSTITUTE(input_program," ","")&amp;",")))&gt;0)),IF(HG8="",TRUE,IF(input_program="",FALSE,SUMPRODUCT(--ISNUMBER(SEARCH(","&amp;TRIM(TEXTSPLIT(HG8,","))&amp;",",","&amp;SUBSTITUTE(input_program," ","")&amp;",")))=COUNTA(TEXTSPLIT(HG8,",")))),IF(HI8="",TRUE,IF(input_program="",TRUE,SUMPRODUCT(--ISNUMBER(SEARCH(","&amp;TRIM(TEXTSPLIT(HI8,","))&amp;",",","&amp;SUBSTITUTE(input_program," ","")&amp;",")))=0)),IF(HK8="",TRUE,IF(input_program="",FALSE,SUMPRODUCT(--ISNUMBER(SEARCH(","&amp;TRIM(TEXTSPLIT(HK8,","))&amp;",",","&amp;SUBSTITUTE(input_program," ","")&amp;",")))&gt;0)),IF(HM8="",TRUE,IF(input_program="",FALSE,SUMPRODUCT(--ISNUMBER(SEARCH(","&amp;TRIM(TEXTSPLIT(HM8,","))&amp;",",","&amp;SUBSTITUTE(input_program," ","")&amp;",")))=COUNTA(TEXTSPLIT(HM8,",")))))</f>
        <v/>
      </c>
      <c r="JO8">
        <f>AND(IF(HO8="",TRUE,IF(input_story_categories="",FALSE,SUMPRODUCT(--ISNUMBER(SEARCH(","&amp;TRIM(TEXTSPLIT(HO8,","))&amp;",",","&amp;SUBSTITUTE(input_story_categories," ","")&amp;",")))&gt;0)),IF(HQ8="",TRUE,IF(input_story_categories="",FALSE,SUMPRODUCT(--ISNUMBER(SEARCH(","&amp;TRIM(TEXTSPLIT(HQ8,","))&amp;",",","&amp;SUBSTITUTE(input_story_categories," ","")&amp;",")))=COUNTA(TEXTSPLIT(HQ8,",")))),IF(HS8="",TRUE,IF(input_story_categories="",TRUE,SUMPRODUCT(--ISNUMBER(SEARCH(","&amp;TRIM(TEXTSPLIT(HS8,","))&amp;",",","&amp;SUBSTITUTE(input_story_categories," ","")&amp;",")))=0)),IF(HU8="",TRUE,IF(input_story_categories="",FALSE,SUMPRODUCT(--ISNUMBER(SEARCH(","&amp;TRIM(TEXTSPLIT(HU8,","))&amp;",",","&amp;SUBSTITUTE(input_story_categories," ","")&amp;",")))&gt;0)),IF(HW8="",TRUE,IF(input_story_categories="",FALSE,SUMPRODUCT(--ISNUMBER(SEARCH(","&amp;TRIM(TEXTSPLIT(HW8,","))&amp;",",","&amp;SUBSTITUTE(input_story_categories," ","")&amp;",")))=COUNTA(TEXTSPLIT(HW8,",")))))</f>
        <v/>
      </c>
      <c r="JP8">
        <f>AND(IF(HY8="",TRUE,IF(input_story_type="",FALSE,SUMPRODUCT(--ISNUMBER(SEARCH(","&amp;TRIM(TEXTSPLIT(HY8,","))&amp;",",","&amp;SUBSTITUTE(input_story_type," ","")&amp;",")))&gt;0)),IF(IA8="",TRUE,IF(input_story_type="",FALSE,SUMPRODUCT(--ISNUMBER(SEARCH(","&amp;TRIM(TEXTSPLIT(IA8,","))&amp;",",","&amp;SUBSTITUTE(input_story_type," ","")&amp;",")))=COUNTA(TEXTSPLIT(IA8,",")))),IF(IC8="",TRUE,IF(input_story_type="",TRUE,SUMPRODUCT(--ISNUMBER(SEARCH(","&amp;TRIM(TEXTSPLIT(IC8,","))&amp;",",","&amp;SUBSTITUTE(input_story_type," ","")&amp;",")))=0)),IF(IE8="",TRUE,IF(input_story_type="",FALSE,SUMPRODUCT(--ISNUMBER(SEARCH(","&amp;TRIM(TEXTSPLIT(IE8,","))&amp;",",","&amp;SUBSTITUTE(input_story_type," ","")&amp;",")))&gt;0)),IF(IG8="",TRUE,IF(input_story_type="",FALSE,SUMPRODUCT(--ISNUMBER(SEARCH(","&amp;TRIM(TEXTSPLIT(IG8,","))&amp;",",","&amp;SUBSTITUTE(input_story_type," ","")&amp;",")))=COUNTA(TEXTSPLIT(IG8,",")))))</f>
        <v/>
      </c>
      <c r="JQ8">
        <f>AND(IF(II8="",TRUE,IF(input_topics="",FALSE,SUMPRODUCT(--ISNUMBER(SEARCH(","&amp;TRIM(TEXTSPLIT(II8,","))&amp;",",","&amp;SUBSTITUTE(input_topics," ","")&amp;",")))&gt;0)),IF(IK8="",TRUE,IF(input_topics="",FALSE,SUMPRODUCT(--ISNUMBER(SEARCH(","&amp;TRIM(TEXTSPLIT(IK8,","))&amp;",",","&amp;SUBSTITUTE(input_topics," ","")&amp;",")))=COUNTA(TEXTSPLIT(IK8,",")))),IF(IM8="",TRUE,IF(input_topics="",TRUE,SUMPRODUCT(--ISNUMBER(SEARCH(","&amp;TRIM(TEXTSPLIT(IM8,","))&amp;",",","&amp;SUBSTITUTE(input_topics," ","")&amp;",")))=0)),IF(IO8="",TRUE,IF(input_topics="",FALSE,SUMPRODUCT(--ISNUMBER(SEARCH(","&amp;TRIM(TEXTSPLIT(IO8,","))&amp;",",","&amp;SUBSTITUTE(input_topics," ","")&amp;",")))&gt;0)),IF(IQ8="",TRUE,IF(input_topics="",FALSE,SUMPRODUCT(--ISNUMBER(SEARCH(","&amp;TRIM(TEXTSPLIT(IQ8,","))&amp;",",","&amp;SUBSTITUTE(input_topics," ","")&amp;",")))=COUNTA(TEXTSPLIT(IQ8,",")))))</f>
        <v/>
      </c>
    </row>
    <row r="9">
      <c r="A9" s="4">
        <f>IF(NOT(IS9),"Excluded",IF(AND(IT9,IU9,IV9,IW9,IX9,IY9,IZ9,JA9,JB9,JC9,JD9,JE9,JF9,JG9,JH9,JI9,JJ9,JK9,JL9,JM9,JN9,JO9,JP9,JQ9),IF(I9&gt;0,"Eligible but limited","Will appear"),"Excluded"))</f>
        <v/>
      </c>
      <c r="B9" s="4" t="inlineStr">
        <is>
          <t>All blogs</t>
        </is>
      </c>
      <c r="C9" s="4" t="inlineStr">
        <is>
          <t>/programs/mba/admissions/application-information/application-guide</t>
        </is>
      </c>
      <c r="D9" s="4" t="inlineStr">
        <is>
          <t>/programs/mba/admissions/application-information/application-guide</t>
        </is>
      </c>
      <c r="E9" s="4" t="n">
        <v>1</v>
      </c>
      <c r="F9" s="4" t="inlineStr">
        <is>
          <t>story</t>
        </is>
      </c>
      <c r="G9" s="4" t="inlineStr">
        <is>
          <t>stories_grid_with_images</t>
        </is>
      </c>
      <c r="H9" s="4" t="inlineStr">
        <is>
          <t>embed_blog</t>
        </is>
      </c>
      <c r="I9" s="4" t="n">
        <v>3</v>
      </c>
      <c r="J9" s="4" t="inlineStr">
        <is>
          <t>Section inferred</t>
        </is>
      </c>
      <c r="K9" s="4" t="inlineStr">
        <is>
          <t>Page placement</t>
        </is>
      </c>
      <c r="L9" s="4" t="inlineStr">
        <is>
          <t>Content type: story; Context uses Courses Context: MBA (92); Needs any Story Type: Blog (974); Limited to 3 item(s); Source: Section inferred</t>
        </is>
      </c>
      <c r="M9" t="inlineStr"/>
      <c r="N9" t="inlineStr"/>
      <c r="O9" t="inlineStr"/>
      <c r="P9" t="inlineStr"/>
      <c r="Q9" t="inlineStr"/>
      <c r="R9" t="inlineStr"/>
      <c r="S9" t="inlineStr"/>
      <c r="T9" t="inlineStr"/>
      <c r="U9" t="inlineStr"/>
      <c r="V9" t="inlineStr"/>
      <c r="W9" t="inlineStr"/>
      <c r="X9" t="inlineStr"/>
      <c r="Y9" t="inlineStr"/>
      <c r="Z9" t="inlineStr"/>
      <c r="AA9" t="inlineStr"/>
      <c r="AB9" t="inlineStr"/>
      <c r="AC9" t="inlineStr"/>
      <c r="AD9" t="inlineStr"/>
      <c r="AE9" t="inlineStr"/>
      <c r="AF9" t="inlineStr"/>
      <c r="AG9" t="inlineStr"/>
      <c r="AH9" t="inlineStr"/>
      <c r="AI9" t="inlineStr"/>
      <c r="AJ9" t="inlineStr"/>
      <c r="AK9" t="inlineStr"/>
      <c r="AL9" t="inlineStr"/>
      <c r="AM9" t="inlineStr"/>
      <c r="AN9" t="inlineStr"/>
      <c r="AO9" t="inlineStr"/>
      <c r="AP9" t="inlineStr"/>
      <c r="AQ9" t="inlineStr"/>
      <c r="AR9" t="inlineStr"/>
      <c r="AS9" t="inlineStr"/>
      <c r="AT9" t="inlineStr"/>
      <c r="AU9" t="inlineStr"/>
      <c r="AV9" t="inlineStr"/>
      <c r="AW9" t="inlineStr"/>
      <c r="AX9" t="inlineStr"/>
      <c r="AY9" t="inlineStr"/>
      <c r="AZ9" t="inlineStr"/>
      <c r="BA9" t="inlineStr"/>
      <c r="BB9" t="inlineStr"/>
      <c r="BC9" t="inlineStr"/>
      <c r="BD9" t="inlineStr"/>
      <c r="BE9" t="inlineStr"/>
      <c r="BF9" t="inlineStr"/>
      <c r="BG9" t="inlineStr"/>
      <c r="BH9" t="inlineStr"/>
      <c r="BI9" t="inlineStr"/>
      <c r="BJ9" t="inlineStr"/>
      <c r="BK9" t="inlineStr"/>
      <c r="BL9" t="inlineStr"/>
      <c r="BM9" t="inlineStr"/>
      <c r="BN9" t="inlineStr"/>
      <c r="BO9" t="inlineStr"/>
      <c r="BP9" t="inlineStr"/>
      <c r="BQ9" t="inlineStr">
        <is>
          <t>92</t>
        </is>
      </c>
      <c r="BR9" t="inlineStr">
        <is>
          <t>MBA (92)</t>
        </is>
      </c>
      <c r="BS9" t="inlineStr"/>
      <c r="BT9" t="inlineStr"/>
      <c r="BU9" t="inlineStr"/>
      <c r="BV9" t="inlineStr"/>
      <c r="BW9" t="inlineStr"/>
      <c r="BX9" t="inlineStr"/>
      <c r="BY9" t="inlineStr"/>
      <c r="BZ9" t="inlineStr"/>
      <c r="CA9" t="inlineStr"/>
      <c r="CB9" t="inlineStr"/>
      <c r="CC9" t="inlineStr"/>
      <c r="CD9" t="inlineStr"/>
      <c r="CE9" t="inlineStr"/>
      <c r="CF9" t="inlineStr"/>
      <c r="CG9" t="inlineStr"/>
      <c r="CH9" t="inlineStr"/>
      <c r="CI9" t="inlineStr"/>
      <c r="CJ9" t="inlineStr"/>
      <c r="CK9" t="inlineStr"/>
      <c r="CL9" t="inlineStr"/>
      <c r="CM9" t="inlineStr"/>
      <c r="CN9" t="inlineStr"/>
      <c r="CO9" t="inlineStr"/>
      <c r="CP9" t="inlineStr"/>
      <c r="CQ9" t="inlineStr"/>
      <c r="CR9" t="inlineStr"/>
      <c r="CS9" t="inlineStr"/>
      <c r="CT9" t="inlineStr"/>
      <c r="CU9" t="inlineStr"/>
      <c r="CV9" t="inlineStr"/>
      <c r="CW9" t="inlineStr"/>
      <c r="CX9" t="inlineStr"/>
      <c r="CY9" t="inlineStr"/>
      <c r="CZ9" t="inlineStr"/>
      <c r="DA9" t="inlineStr"/>
      <c r="DB9" t="inlineStr"/>
      <c r="DC9" t="inlineStr"/>
      <c r="DD9" t="inlineStr"/>
      <c r="DE9" t="inlineStr"/>
      <c r="DF9" t="inlineStr"/>
      <c r="DG9" t="inlineStr"/>
      <c r="DH9" t="inlineStr"/>
      <c r="DI9" t="inlineStr"/>
      <c r="DJ9" t="inlineStr"/>
      <c r="DK9" t="inlineStr"/>
      <c r="DL9" t="inlineStr"/>
      <c r="DM9" t="inlineStr"/>
      <c r="DN9" t="inlineStr"/>
      <c r="DO9" t="inlineStr"/>
      <c r="DP9" t="inlineStr"/>
      <c r="DQ9" t="inlineStr"/>
      <c r="DR9" t="inlineStr"/>
      <c r="DS9" t="inlineStr"/>
      <c r="DT9" t="inlineStr"/>
      <c r="DU9" t="inlineStr"/>
      <c r="DV9" t="inlineStr"/>
      <c r="DW9" t="inlineStr"/>
      <c r="DX9" t="inlineStr"/>
      <c r="DY9" t="inlineStr"/>
      <c r="DZ9" t="inlineStr"/>
      <c r="EA9" t="inlineStr"/>
      <c r="EB9" t="inlineStr"/>
      <c r="EC9" t="inlineStr"/>
      <c r="ED9" t="inlineStr"/>
      <c r="EE9" t="inlineStr"/>
      <c r="EF9" t="inlineStr"/>
      <c r="EG9" t="inlineStr"/>
      <c r="EH9" t="inlineStr"/>
      <c r="EI9" t="inlineStr"/>
      <c r="EJ9" t="inlineStr"/>
      <c r="EK9" t="inlineStr"/>
      <c r="EL9" t="inlineStr"/>
      <c r="EM9" t="inlineStr"/>
      <c r="EN9" t="inlineStr"/>
      <c r="EO9" t="inlineStr"/>
      <c r="EP9" t="inlineStr"/>
      <c r="EQ9" t="inlineStr"/>
      <c r="ER9" t="inlineStr"/>
      <c r="ES9" t="inlineStr"/>
      <c r="ET9" t="inlineStr"/>
      <c r="EU9" t="inlineStr"/>
      <c r="EV9" t="inlineStr"/>
      <c r="EW9" t="inlineStr"/>
      <c r="EX9" t="inlineStr"/>
      <c r="EY9" t="inlineStr"/>
      <c r="EZ9" t="inlineStr"/>
      <c r="FA9" t="inlineStr"/>
      <c r="FB9" t="inlineStr"/>
      <c r="FC9" t="inlineStr"/>
      <c r="FD9" t="inlineStr"/>
      <c r="FE9" t="inlineStr"/>
      <c r="FF9" t="inlineStr"/>
      <c r="FG9" t="inlineStr"/>
      <c r="FH9" t="inlineStr"/>
      <c r="FI9" t="inlineStr"/>
      <c r="FJ9" t="inlineStr"/>
      <c r="FK9" t="inlineStr"/>
      <c r="FL9" t="inlineStr"/>
      <c r="FM9" t="inlineStr"/>
      <c r="FN9" t="inlineStr"/>
      <c r="FO9" t="inlineStr"/>
      <c r="FP9" t="inlineStr"/>
      <c r="FQ9" t="inlineStr"/>
      <c r="FR9" t="inlineStr"/>
      <c r="FS9" t="inlineStr"/>
      <c r="FT9" t="inlineStr"/>
      <c r="FU9" t="inlineStr"/>
      <c r="FV9" t="inlineStr"/>
      <c r="FW9" t="inlineStr"/>
      <c r="FX9" t="inlineStr"/>
      <c r="FY9" t="inlineStr"/>
      <c r="FZ9" t="inlineStr"/>
      <c r="GA9" t="inlineStr"/>
      <c r="GB9" t="inlineStr"/>
      <c r="GC9" t="inlineStr"/>
      <c r="GD9" t="inlineStr"/>
      <c r="GE9" t="inlineStr"/>
      <c r="GF9" t="inlineStr"/>
      <c r="GG9" t="inlineStr"/>
      <c r="GH9" t="inlineStr"/>
      <c r="GI9" t="inlineStr"/>
      <c r="GJ9" t="inlineStr"/>
      <c r="GK9" t="inlineStr"/>
      <c r="GL9" t="inlineStr"/>
      <c r="GM9" t="inlineStr"/>
      <c r="GN9" t="inlineStr"/>
      <c r="GO9" t="inlineStr"/>
      <c r="GP9" t="inlineStr"/>
      <c r="GQ9" t="inlineStr"/>
      <c r="GR9" t="inlineStr"/>
      <c r="GS9" t="inlineStr"/>
      <c r="GT9" t="inlineStr"/>
      <c r="GU9" t="inlineStr"/>
      <c r="GV9" t="inlineStr"/>
      <c r="GW9" t="inlineStr"/>
      <c r="GX9" t="inlineStr"/>
      <c r="GY9" t="inlineStr"/>
      <c r="GZ9" t="inlineStr"/>
      <c r="HA9" t="inlineStr"/>
      <c r="HB9" t="inlineStr"/>
      <c r="HC9" t="inlineStr"/>
      <c r="HD9" t="inlineStr"/>
      <c r="HE9" t="inlineStr"/>
      <c r="HF9" t="inlineStr"/>
      <c r="HG9" t="inlineStr"/>
      <c r="HH9" t="inlineStr"/>
      <c r="HI9" t="inlineStr"/>
      <c r="HJ9" t="inlineStr"/>
      <c r="HK9" t="inlineStr"/>
      <c r="HL9" t="inlineStr"/>
      <c r="HM9" t="inlineStr"/>
      <c r="HN9" t="inlineStr"/>
      <c r="HO9" t="inlineStr"/>
      <c r="HP9" t="inlineStr"/>
      <c r="HQ9" t="inlineStr"/>
      <c r="HR9" t="inlineStr"/>
      <c r="HS9" t="inlineStr"/>
      <c r="HT9" t="inlineStr"/>
      <c r="HU9" t="inlineStr"/>
      <c r="HV9" t="inlineStr"/>
      <c r="HW9" t="inlineStr"/>
      <c r="HX9" t="inlineStr"/>
      <c r="HY9" t="inlineStr">
        <is>
          <t>974</t>
        </is>
      </c>
      <c r="HZ9" t="inlineStr">
        <is>
          <t>Blog (974)</t>
        </is>
      </c>
      <c r="IA9" t="inlineStr"/>
      <c r="IB9" t="inlineStr"/>
      <c r="IC9" t="inlineStr"/>
      <c r="ID9" t="inlineStr"/>
      <c r="IE9" t="inlineStr"/>
      <c r="IF9" t="inlineStr"/>
      <c r="IG9" t="inlineStr"/>
      <c r="IH9" t="inlineStr"/>
      <c r="II9" t="inlineStr"/>
      <c r="IJ9" t="inlineStr"/>
      <c r="IK9" t="inlineStr"/>
      <c r="IL9" t="inlineStr"/>
      <c r="IM9" t="inlineStr"/>
      <c r="IN9" t="inlineStr"/>
      <c r="IO9" t="inlineStr"/>
      <c r="IP9" t="inlineStr"/>
      <c r="IQ9" t="inlineStr"/>
      <c r="IR9" t="inlineStr"/>
      <c r="IS9">
        <f>IF(input_content_type="",FALSE,ISNUMBER(SEARCH(","&amp;LOWER(input_content_type)&amp;",",","&amp;LOWER(F9)&amp;",")))</f>
        <v/>
      </c>
      <c r="IT9">
        <f>AND(IF(M9="",TRUE,IF(input_affiliations="",FALSE,SUMPRODUCT(--ISNUMBER(SEARCH(","&amp;TRIM(TEXTSPLIT(M9,","))&amp;",",","&amp;SUBSTITUTE(input_affiliations," ","")&amp;",")))&gt;0)),IF(O9="",TRUE,IF(input_affiliations="",FALSE,SUMPRODUCT(--ISNUMBER(SEARCH(","&amp;TRIM(TEXTSPLIT(O9,","))&amp;",",","&amp;SUBSTITUTE(input_affiliations," ","")&amp;",")))=COUNTA(TEXTSPLIT(O9,",")))),IF(Q9="",TRUE,IF(input_affiliations="",TRUE,SUMPRODUCT(--ISNUMBER(SEARCH(","&amp;TRIM(TEXTSPLIT(Q9,","))&amp;",",","&amp;SUBSTITUTE(input_affiliations," ","")&amp;",")))=0)),IF(S9="",TRUE,IF(input_affiliations="",FALSE,SUMPRODUCT(--ISNUMBER(SEARCH(","&amp;TRIM(TEXTSPLIT(S9,","))&amp;",",","&amp;SUBSTITUTE(input_affiliations," ","")&amp;",")))&gt;0)),IF(U9="",TRUE,IF(input_affiliations="",FALSE,SUMPRODUCT(--ISNUMBER(SEARCH(","&amp;TRIM(TEXTSPLIT(U9,","))&amp;",",","&amp;SUBSTITUTE(input_affiliations," ","")&amp;",")))=COUNTA(TEXTSPLIT(U9,",")))))</f>
        <v/>
      </c>
      <c r="IU9">
        <f>AND(IF(W9="",TRUE,IF(input_announcement_category="",FALSE,SUMPRODUCT(--ISNUMBER(SEARCH(","&amp;TRIM(TEXTSPLIT(W9,","))&amp;",",","&amp;SUBSTITUTE(input_announcement_category," ","")&amp;",")))&gt;0)),IF(Y9="",TRUE,IF(input_announcement_category="",FALSE,SUMPRODUCT(--ISNUMBER(SEARCH(","&amp;TRIM(TEXTSPLIT(Y9,","))&amp;",",","&amp;SUBSTITUTE(input_announcement_category," ","")&amp;",")))=COUNTA(TEXTSPLIT(Y9,",")))),IF(AA9="",TRUE,IF(input_announcement_category="",TRUE,SUMPRODUCT(--ISNUMBER(SEARCH(","&amp;TRIM(TEXTSPLIT(AA9,","))&amp;",",","&amp;SUBSTITUTE(input_announcement_category," ","")&amp;",")))=0)),IF(AC9="",TRUE,IF(input_announcement_category="",FALSE,SUMPRODUCT(--ISNUMBER(SEARCH(","&amp;TRIM(TEXTSPLIT(AC9,","))&amp;",",","&amp;SUBSTITUTE(input_announcement_category," ","")&amp;",")))&gt;0)),IF(AE9="",TRUE,IF(input_announcement_category="",FALSE,SUMPRODUCT(--ISNUMBER(SEARCH(","&amp;TRIM(TEXTSPLIT(AE9,","))&amp;",",","&amp;SUBSTITUTE(input_announcement_category," ","")&amp;",")))=COUNTA(TEXTSPLIT(AE9,",")))))</f>
        <v/>
      </c>
      <c r="IV9">
        <f>AND(IF(AG9="",TRUE,IF(input_area_of_focus="",FALSE,SUMPRODUCT(--ISNUMBER(SEARCH(","&amp;TRIM(TEXTSPLIT(AG9,","))&amp;",",","&amp;SUBSTITUTE(input_area_of_focus," ","")&amp;",")))&gt;0)),IF(AI9="",TRUE,IF(input_area_of_focus="",FALSE,SUMPRODUCT(--ISNUMBER(SEARCH(","&amp;TRIM(TEXTSPLIT(AI9,","))&amp;",",","&amp;SUBSTITUTE(input_area_of_focus," ","")&amp;",")))=COUNTA(TEXTSPLIT(AI9,",")))),IF(AK9="",TRUE,IF(input_area_of_focus="",TRUE,SUMPRODUCT(--ISNUMBER(SEARCH(","&amp;TRIM(TEXTSPLIT(AK9,","))&amp;",",","&amp;SUBSTITUTE(input_area_of_focus," ","")&amp;",")))=0)),IF(AM9="",TRUE,IF(input_area_of_focus="",FALSE,SUMPRODUCT(--ISNUMBER(SEARCH(","&amp;TRIM(TEXTSPLIT(AM9,","))&amp;",",","&amp;SUBSTITUTE(input_area_of_focus," ","")&amp;",")))&gt;0)),IF(AO9="",TRUE,IF(input_area_of_focus="",FALSE,SUMPRODUCT(--ISNUMBER(SEARCH(","&amp;TRIM(TEXTSPLIT(AO9,","))&amp;",",","&amp;SUBSTITUTE(input_area_of_focus," ","")&amp;",")))=COUNTA(TEXTSPLIT(AO9,",")))))</f>
        <v/>
      </c>
      <c r="IW9">
        <f>AND(IF(AQ9="",TRUE,IF(input_audience="",FALSE,SUMPRODUCT(--ISNUMBER(SEARCH(","&amp;TRIM(TEXTSPLIT(AQ9,","))&amp;",",","&amp;SUBSTITUTE(input_audience," ","")&amp;",")))&gt;0)),IF(AS9="",TRUE,IF(input_audience="",FALSE,SUMPRODUCT(--ISNUMBER(SEARCH(","&amp;TRIM(TEXTSPLIT(AS9,","))&amp;",",","&amp;SUBSTITUTE(input_audience," ","")&amp;",")))=COUNTA(TEXTSPLIT(AS9,",")))),IF(AU9="",TRUE,IF(input_audience="",TRUE,SUMPRODUCT(--ISNUMBER(SEARCH(","&amp;TRIM(TEXTSPLIT(AU9,","))&amp;",",","&amp;SUBSTITUTE(input_audience," ","")&amp;",")))=0)),IF(AW9="",TRUE,IF(input_audience="",FALSE,SUMPRODUCT(--ISNUMBER(SEARCH(","&amp;TRIM(TEXTSPLIT(AW9,","))&amp;",",","&amp;SUBSTITUTE(input_audience," ","")&amp;",")))&gt;0)),IF(AY9="",TRUE,IF(input_audience="",FALSE,SUMPRODUCT(--ISNUMBER(SEARCH(","&amp;TRIM(TEXTSPLIT(AY9,","))&amp;",",","&amp;SUBSTITUTE(input_audience," ","")&amp;",")))=COUNTA(TEXTSPLIT(AY9,",")))))</f>
        <v/>
      </c>
      <c r="IX9">
        <f>AND(IF(BA9="",TRUE,IF(input_challenge_opportunities="",FALSE,SUMPRODUCT(--ISNUMBER(SEARCH(","&amp;TRIM(TEXTSPLIT(BA9,","))&amp;",",","&amp;SUBSTITUTE(input_challenge_opportunities," ","")&amp;",")))&gt;0)),IF(BC9="",TRUE,IF(input_challenge_opportunities="",FALSE,SUMPRODUCT(--ISNUMBER(SEARCH(","&amp;TRIM(TEXTSPLIT(BC9,","))&amp;",",","&amp;SUBSTITUTE(input_challenge_opportunities," ","")&amp;",")))=COUNTA(TEXTSPLIT(BC9,",")))),IF(BE9="",TRUE,IF(input_challenge_opportunities="",TRUE,SUMPRODUCT(--ISNUMBER(SEARCH(","&amp;TRIM(TEXTSPLIT(BE9,","))&amp;",",","&amp;SUBSTITUTE(input_challenge_opportunities," ","")&amp;",")))=0)),IF(BG9="",TRUE,IF(input_challenge_opportunities="",FALSE,SUMPRODUCT(--ISNUMBER(SEARCH(","&amp;TRIM(TEXTSPLIT(BG9,","))&amp;",",","&amp;SUBSTITUTE(input_challenge_opportunities," ","")&amp;",")))&gt;0)),IF(BI9="",TRUE,IF(input_challenge_opportunities="",FALSE,SUMPRODUCT(--ISNUMBER(SEARCH(","&amp;TRIM(TEXTSPLIT(BI9,","))&amp;",",","&amp;SUBSTITUTE(input_challenge_opportunities," ","")&amp;",")))=COUNTA(TEXTSPLIT(BI9,",")))))</f>
        <v/>
      </c>
      <c r="IY9">
        <f>AND(IF(BK9="",TRUE,IF(input_context="",FALSE,SUMPRODUCT(--ISNUMBER(SEARCH(","&amp;TRIM(TEXTSPLIT(BK9,","))&amp;",",","&amp;SUBSTITUTE(input_context," ","")&amp;",")))&gt;0)),IF(BM9="",TRUE,IF(input_context="",FALSE,SUMPRODUCT(--ISNUMBER(SEARCH(","&amp;TRIM(TEXTSPLIT(BM9,","))&amp;",",","&amp;SUBSTITUTE(input_context," ","")&amp;",")))=COUNTA(TEXTSPLIT(BM9,",")))),IF(BO9="",TRUE,IF(input_context="",TRUE,SUMPRODUCT(--ISNUMBER(SEARCH(","&amp;TRIM(TEXTSPLIT(BO9,","))&amp;",",","&amp;SUBSTITUTE(input_context," ","")&amp;",")))=0)),IF(BQ9="",TRUE,IF(input_context="",FALSE,SUMPRODUCT(--ISNUMBER(SEARCH(","&amp;TRIM(TEXTSPLIT(BQ9,","))&amp;",",","&amp;SUBSTITUTE(input_context," ","")&amp;",")))&gt;0)),IF(BS9="",TRUE,IF(input_context="",FALSE,SUMPRODUCT(--ISNUMBER(SEARCH(","&amp;TRIM(TEXTSPLIT(BS9,","))&amp;",",","&amp;SUBSTITUTE(input_context," ","")&amp;",")))=COUNTA(TEXTSPLIT(BS9,",")))))</f>
        <v/>
      </c>
      <c r="IZ9">
        <f>AND(IF(BU9="",TRUE,IF(input_enews_announcement_type="",FALSE,SUMPRODUCT(--ISNUMBER(SEARCH(","&amp;TRIM(TEXTSPLIT(BU9,","))&amp;",",","&amp;SUBSTITUTE(input_enews_announcement_type," ","")&amp;",")))&gt;0)),IF(BW9="",TRUE,IF(input_enews_announcement_type="",FALSE,SUMPRODUCT(--ISNUMBER(SEARCH(","&amp;TRIM(TEXTSPLIT(BW9,","))&amp;",",","&amp;SUBSTITUTE(input_enews_announcement_type," ","")&amp;",")))=COUNTA(TEXTSPLIT(BW9,",")))),IF(BY9="",TRUE,IF(input_enews_announcement_type="",TRUE,SUMPRODUCT(--ISNUMBER(SEARCH(","&amp;TRIM(TEXTSPLIT(BY9,","))&amp;",",","&amp;SUBSTITUTE(input_enews_announcement_type," ","")&amp;",")))=0)),IF(CA9="",TRUE,IF(input_enews_announcement_type="",FALSE,SUMPRODUCT(--ISNUMBER(SEARCH(","&amp;TRIM(TEXTSPLIT(CA9,","))&amp;",",","&amp;SUBSTITUTE(input_enews_announcement_type," ","")&amp;",")))&gt;0)),IF(CC9="",TRUE,IF(input_enews_announcement_type="",FALSE,SUMPRODUCT(--ISNUMBER(SEARCH(","&amp;TRIM(TEXTSPLIT(CC9,","))&amp;",",","&amp;SUBSTITUTE(input_enews_announcement_type," ","")&amp;",")))=COUNTA(TEXTSPLIT(CC9,",")))))</f>
        <v/>
      </c>
      <c r="JA9">
        <f>AND(IF(CE9="",TRUE,IF(input_enews_audience="",FALSE,SUMPRODUCT(--ISNUMBER(SEARCH(","&amp;TRIM(TEXTSPLIT(CE9,","))&amp;",",","&amp;SUBSTITUTE(input_enews_audience," ","")&amp;",")))&gt;0)),IF(CG9="",TRUE,IF(input_enews_audience="",FALSE,SUMPRODUCT(--ISNUMBER(SEARCH(","&amp;TRIM(TEXTSPLIT(CG9,","))&amp;",",","&amp;SUBSTITUTE(input_enews_audience," ","")&amp;",")))=COUNTA(TEXTSPLIT(CG9,",")))),IF(CI9="",TRUE,IF(input_enews_audience="",TRUE,SUMPRODUCT(--ISNUMBER(SEARCH(","&amp;TRIM(TEXTSPLIT(CI9,","))&amp;",",","&amp;SUBSTITUTE(input_enews_audience," ","")&amp;",")))=0)),IF(CK9="",TRUE,IF(input_enews_audience="",FALSE,SUMPRODUCT(--ISNUMBER(SEARCH(","&amp;TRIM(TEXTSPLIT(CK9,","))&amp;",",","&amp;SUBSTITUTE(input_enews_audience," ","")&amp;",")))&gt;0)),IF(CM9="",TRUE,IF(input_enews_audience="",FALSE,SUMPRODUCT(--ISNUMBER(SEARCH(","&amp;TRIM(TEXTSPLIT(CM9,","))&amp;",",","&amp;SUBSTITUTE(input_enews_audience," ","")&amp;",")))=COUNTA(TEXTSPLIT(CM9,",")))))</f>
        <v/>
      </c>
      <c r="JB9">
        <f>AND(IF(CO9="",TRUE,IF(input_event_location="",FALSE,SUMPRODUCT(--ISNUMBER(SEARCH(","&amp;TRIM(TEXTSPLIT(CO9,","))&amp;",",","&amp;SUBSTITUTE(input_event_location," ","")&amp;",")))&gt;0)),IF(CQ9="",TRUE,IF(input_event_location="",FALSE,SUMPRODUCT(--ISNUMBER(SEARCH(","&amp;TRIM(TEXTSPLIT(CQ9,","))&amp;",",","&amp;SUBSTITUTE(input_event_location," ","")&amp;",")))=COUNTA(TEXTSPLIT(CQ9,",")))),IF(CS9="",TRUE,IF(input_event_location="",TRUE,SUMPRODUCT(--ISNUMBER(SEARCH(","&amp;TRIM(TEXTSPLIT(CS9,","))&amp;",",","&amp;SUBSTITUTE(input_event_location," ","")&amp;",")))=0)),IF(CU9="",TRUE,IF(input_event_location="",FALSE,SUMPRODUCT(--ISNUMBER(SEARCH(","&amp;TRIM(TEXTSPLIT(CU9,","))&amp;",",","&amp;SUBSTITUTE(input_event_location," ","")&amp;",")))&gt;0)),IF(CW9="",TRUE,IF(input_event_location="",FALSE,SUMPRODUCT(--ISNUMBER(SEARCH(","&amp;TRIM(TEXTSPLIT(CW9,","))&amp;",",","&amp;SUBSTITUTE(input_event_location," ","")&amp;",")))=COUNTA(TEXTSPLIT(CW9,",")))))</f>
        <v/>
      </c>
      <c r="JC9">
        <f>AND(IF(CY9="",TRUE,IF(input_event_type="",FALSE,SUMPRODUCT(--ISNUMBER(SEARCH(","&amp;TRIM(TEXTSPLIT(CY9,","))&amp;",",","&amp;SUBSTITUTE(input_event_type," ","")&amp;",")))&gt;0)),IF(DA9="",TRUE,IF(input_event_type="",FALSE,SUMPRODUCT(--ISNUMBER(SEARCH(","&amp;TRIM(TEXTSPLIT(DA9,","))&amp;",",","&amp;SUBSTITUTE(input_event_type," ","")&amp;",")))=COUNTA(TEXTSPLIT(DA9,",")))),IF(DC9="",TRUE,IF(input_event_type="",TRUE,SUMPRODUCT(--ISNUMBER(SEARCH(","&amp;TRIM(TEXTSPLIT(DC9,","))&amp;",",","&amp;SUBSTITUTE(input_event_type," ","")&amp;",")))=0)),IF(DE9="",TRUE,IF(input_event_type="",FALSE,SUMPRODUCT(--ISNUMBER(SEARCH(","&amp;TRIM(TEXTSPLIT(DE9,","))&amp;",",","&amp;SUBSTITUTE(input_event_type," ","")&amp;",")))&gt;0)),IF(DG9="",TRUE,IF(input_event_type="",FALSE,SUMPRODUCT(--ISNUMBER(SEARCH(","&amp;TRIM(TEXTSPLIT(DG9,","))&amp;",",","&amp;SUBSTITUTE(input_event_type," ","")&amp;",")))=COUNTA(TEXTSPLIT(DG9,",")))))</f>
        <v/>
      </c>
      <c r="JD9">
        <f>AND(IF(DI9="",TRUE,IF(input_executive_education_focus="",FALSE,SUMPRODUCT(--ISNUMBER(SEARCH(","&amp;TRIM(TEXTSPLIT(DI9,","))&amp;",",","&amp;SUBSTITUTE(input_executive_education_focus," ","")&amp;",")))&gt;0)),IF(DK9="",TRUE,IF(input_executive_education_focus="",FALSE,SUMPRODUCT(--ISNUMBER(SEARCH(","&amp;TRIM(TEXTSPLIT(DK9,","))&amp;",",","&amp;SUBSTITUTE(input_executive_education_focus," ","")&amp;",")))=COUNTA(TEXTSPLIT(DK9,",")))),IF(DM9="",TRUE,IF(input_executive_education_focus="",TRUE,SUMPRODUCT(--ISNUMBER(SEARCH(","&amp;TRIM(TEXTSPLIT(DM9,","))&amp;",",","&amp;SUBSTITUTE(input_executive_education_focus," ","")&amp;",")))=0)),IF(DO9="",TRUE,IF(input_executive_education_focus="",FALSE,SUMPRODUCT(--ISNUMBER(SEARCH(","&amp;TRIM(TEXTSPLIT(DO9,","))&amp;",",","&amp;SUBSTITUTE(input_executive_education_focus," ","")&amp;",")))&gt;0)),IF(DQ9="",TRUE,IF(input_executive_education_focus="",FALSE,SUMPRODUCT(--ISNUMBER(SEARCH(","&amp;TRIM(TEXTSPLIT(DQ9,","))&amp;",",","&amp;SUBSTITUTE(input_executive_education_focus," ","")&amp;",")))=COUNTA(TEXTSPLIT(DQ9,",")))))</f>
        <v/>
      </c>
      <c r="JE9">
        <f>AND(IF(DS9="",TRUE,IF(input_faculty_category="",FALSE,SUMPRODUCT(--ISNUMBER(SEARCH(","&amp;TRIM(TEXTSPLIT(DS9,","))&amp;",",","&amp;SUBSTITUTE(input_faculty_category," ","")&amp;",")))&gt;0)),IF(DU9="",TRUE,IF(input_faculty_category="",FALSE,SUMPRODUCT(--ISNUMBER(SEARCH(","&amp;TRIM(TEXTSPLIT(DU9,","))&amp;",",","&amp;SUBSTITUTE(input_faculty_category," ","")&amp;",")))=COUNTA(TEXTSPLIT(DU9,",")))),IF(DW9="",TRUE,IF(input_faculty_category="",TRUE,SUMPRODUCT(--ISNUMBER(SEARCH(","&amp;TRIM(TEXTSPLIT(DW9,","))&amp;",",","&amp;SUBSTITUTE(input_faculty_category," ","")&amp;",")))=0)),IF(DY9="",TRUE,IF(input_faculty_category="",FALSE,SUMPRODUCT(--ISNUMBER(SEARCH(","&amp;TRIM(TEXTSPLIT(DY9,","))&amp;",",","&amp;SUBSTITUTE(input_faculty_category," ","")&amp;",")))&gt;0)),IF(EA9="",TRUE,IF(input_faculty_category="",FALSE,SUMPRODUCT(--ISNUMBER(SEARCH(","&amp;TRIM(TEXTSPLIT(EA9,","))&amp;",",","&amp;SUBSTITUTE(input_faculty_category," ","")&amp;",")))=COUNTA(TEXTSPLIT(EA9,",")))))</f>
        <v/>
      </c>
      <c r="JF9">
        <f>AND(IF(EC9="",TRUE,IF(input_faculty_discipline="",FALSE,SUMPRODUCT(--ISNUMBER(SEARCH(","&amp;TRIM(TEXTSPLIT(EC9,","))&amp;",",","&amp;SUBSTITUTE(input_faculty_discipline," ","")&amp;",")))&gt;0)),IF(EE9="",TRUE,IF(input_faculty_discipline="",FALSE,SUMPRODUCT(--ISNUMBER(SEARCH(","&amp;TRIM(TEXTSPLIT(EE9,","))&amp;",",","&amp;SUBSTITUTE(input_faculty_discipline," ","")&amp;",")))=COUNTA(TEXTSPLIT(EE9,",")))),IF(EG9="",TRUE,IF(input_faculty_discipline="",TRUE,SUMPRODUCT(--ISNUMBER(SEARCH(","&amp;TRIM(TEXTSPLIT(EG9,","))&amp;",",","&amp;SUBSTITUTE(input_faculty_discipline," ","")&amp;",")))=0)),IF(EI9="",TRUE,IF(input_faculty_discipline="",FALSE,SUMPRODUCT(--ISNUMBER(SEARCH(","&amp;TRIM(TEXTSPLIT(EI9,","))&amp;",",","&amp;SUBSTITUTE(input_faculty_discipline," ","")&amp;",")))&gt;0)),IF(EK9="",TRUE,IF(input_faculty_discipline="",FALSE,SUMPRODUCT(--ISNUMBER(SEARCH(","&amp;TRIM(TEXTSPLIT(EK9,","))&amp;",",","&amp;SUBSTITUTE(input_faculty_discipline," ","")&amp;",")))=COUNTA(TEXTSPLIT(EK9,",")))))</f>
        <v/>
      </c>
      <c r="JG9">
        <f>AND(IF(EM9="",TRUE,IF(input_faculty_expertise="",FALSE,SUMPRODUCT(--ISNUMBER(SEARCH(","&amp;TRIM(TEXTSPLIT(EM9,","))&amp;",",","&amp;SUBSTITUTE(input_faculty_expertise," ","")&amp;",")))&gt;0)),IF(EO9="",TRUE,IF(input_faculty_expertise="",FALSE,SUMPRODUCT(--ISNUMBER(SEARCH(","&amp;TRIM(TEXTSPLIT(EO9,","))&amp;",",","&amp;SUBSTITUTE(input_faculty_expertise," ","")&amp;",")))=COUNTA(TEXTSPLIT(EO9,",")))),IF(EQ9="",TRUE,IF(input_faculty_expertise="",TRUE,SUMPRODUCT(--ISNUMBER(SEARCH(","&amp;TRIM(TEXTSPLIT(EQ9,","))&amp;",",","&amp;SUBSTITUTE(input_faculty_expertise," ","")&amp;",")))=0)),IF(ES9="",TRUE,IF(input_faculty_expertise="",FALSE,SUMPRODUCT(--ISNUMBER(SEARCH(","&amp;TRIM(TEXTSPLIT(ES9,","))&amp;",",","&amp;SUBSTITUTE(input_faculty_expertise," ","")&amp;",")))&gt;0)),IF(EU9="",TRUE,IF(input_faculty_expertise="",FALSE,SUMPRODUCT(--ISNUMBER(SEARCH(","&amp;TRIM(TEXTSPLIT(EU9,","))&amp;",",","&amp;SUBSTITUTE(input_faculty_expertise," ","")&amp;",")))=COUNTA(TEXTSPLIT(EU9,",")))))</f>
        <v/>
      </c>
      <c r="JH9">
        <f>AND(IF(EW9="",TRUE,IF(input_global_network_school="",FALSE,SUMPRODUCT(--ISNUMBER(SEARCH(","&amp;TRIM(TEXTSPLIT(EW9,","))&amp;",",","&amp;SUBSTITUTE(input_global_network_school," ","")&amp;",")))&gt;0)),IF(EY9="",TRUE,IF(input_global_network_school="",FALSE,SUMPRODUCT(--ISNUMBER(SEARCH(","&amp;TRIM(TEXTSPLIT(EY9,","))&amp;",",","&amp;SUBSTITUTE(input_global_network_school," ","")&amp;",")))=COUNTA(TEXTSPLIT(EY9,",")))),IF(FA9="",TRUE,IF(input_global_network_school="",TRUE,SUMPRODUCT(--ISNUMBER(SEARCH(","&amp;TRIM(TEXTSPLIT(FA9,","))&amp;",",","&amp;SUBSTITUTE(input_global_network_school," ","")&amp;",")))=0)),IF(FC9="",TRUE,IF(input_global_network_school="",FALSE,SUMPRODUCT(--ISNUMBER(SEARCH(","&amp;TRIM(TEXTSPLIT(FC9,","))&amp;",",","&amp;SUBSTITUTE(input_global_network_school," ","")&amp;",")))&gt;0)),IF(FE9="",TRUE,IF(input_global_network_school="",FALSE,SUMPRODUCT(--ISNUMBER(SEARCH(","&amp;TRIM(TEXTSPLIT(FE9,","))&amp;",",","&amp;SUBSTITUTE(input_global_network_school," ","")&amp;",")))=COUNTA(TEXTSPLIT(FE9,",")))))</f>
        <v/>
      </c>
      <c r="JI9">
        <f>AND(IF(FG9="",TRUE,IF(input_industry="",FALSE,SUMPRODUCT(--ISNUMBER(SEARCH(","&amp;TRIM(TEXTSPLIT(FG9,","))&amp;",",","&amp;SUBSTITUTE(input_industry," ","")&amp;",")))&gt;0)),IF(FI9="",TRUE,IF(input_industry="",FALSE,SUMPRODUCT(--ISNUMBER(SEARCH(","&amp;TRIM(TEXTSPLIT(FI9,","))&amp;",",","&amp;SUBSTITUTE(input_industry," ","")&amp;",")))=COUNTA(TEXTSPLIT(FI9,",")))),IF(FK9="",TRUE,IF(input_industry="",TRUE,SUMPRODUCT(--ISNUMBER(SEARCH(","&amp;TRIM(TEXTSPLIT(FK9,","))&amp;",",","&amp;SUBSTITUTE(input_industry," ","")&amp;",")))=0)),IF(FM9="",TRUE,IF(input_industry="",FALSE,SUMPRODUCT(--ISNUMBER(SEARCH(","&amp;TRIM(TEXTSPLIT(FM9,","))&amp;",",","&amp;SUBSTITUTE(input_industry," ","")&amp;",")))&gt;0)),IF(FO9="",TRUE,IF(input_industry="",FALSE,SUMPRODUCT(--ISNUMBER(SEARCH(","&amp;TRIM(TEXTSPLIT(FO9,","))&amp;",",","&amp;SUBSTITUTE(input_industry," ","")&amp;",")))=COUNTA(TEXTSPLIT(FO9,",")))))</f>
        <v/>
      </c>
      <c r="JJ9">
        <f>AND(IF(FQ9="",TRUE,IF(input_location="",FALSE,SUMPRODUCT(--ISNUMBER(SEARCH(","&amp;TRIM(TEXTSPLIT(FQ9,","))&amp;",",","&amp;SUBSTITUTE(input_location," ","")&amp;",")))&gt;0)),IF(FS9="",TRUE,IF(input_location="",FALSE,SUMPRODUCT(--ISNUMBER(SEARCH(","&amp;TRIM(TEXTSPLIT(FS9,","))&amp;",",","&amp;SUBSTITUTE(input_location," ","")&amp;",")))=COUNTA(TEXTSPLIT(FS9,",")))),IF(FU9="",TRUE,IF(input_location="",TRUE,SUMPRODUCT(--ISNUMBER(SEARCH(","&amp;TRIM(TEXTSPLIT(FU9,","))&amp;",",","&amp;SUBSTITUTE(input_location," ","")&amp;",")))=0)),IF(FW9="",TRUE,IF(input_location="",FALSE,SUMPRODUCT(--ISNUMBER(SEARCH(","&amp;TRIM(TEXTSPLIT(FW9,","))&amp;",",","&amp;SUBSTITUTE(input_location," ","")&amp;",")))&gt;0)),IF(FY9="",TRUE,IF(input_location="",FALSE,SUMPRODUCT(--ISNUMBER(SEARCH(","&amp;TRIM(TEXTSPLIT(FY9,","))&amp;",",","&amp;SUBSTITUTE(input_location," ","")&amp;",")))=COUNTA(TEXTSPLIT(FY9,",")))))</f>
        <v/>
      </c>
      <c r="JK9">
        <f>AND(IF(GA9="",TRUE,IF(input_modality="",FALSE,SUMPRODUCT(--ISNUMBER(SEARCH(","&amp;TRIM(TEXTSPLIT(GA9,","))&amp;",",","&amp;SUBSTITUTE(input_modality," ","")&amp;",")))&gt;0)),IF(GC9="",TRUE,IF(input_modality="",FALSE,SUMPRODUCT(--ISNUMBER(SEARCH(","&amp;TRIM(TEXTSPLIT(GC9,","))&amp;",",","&amp;SUBSTITUTE(input_modality," ","")&amp;",")))=COUNTA(TEXTSPLIT(GC9,",")))),IF(GE9="",TRUE,IF(input_modality="",TRUE,SUMPRODUCT(--ISNUMBER(SEARCH(","&amp;TRIM(TEXTSPLIT(GE9,","))&amp;",",","&amp;SUBSTITUTE(input_modality," ","")&amp;",")))=0)),IF(GG9="",TRUE,IF(input_modality="",FALSE,SUMPRODUCT(--ISNUMBER(SEARCH(","&amp;TRIM(TEXTSPLIT(GG9,","))&amp;",",","&amp;SUBSTITUTE(input_modality," ","")&amp;",")))&gt;0)),IF(GI9="",TRUE,IF(input_modality="",FALSE,SUMPRODUCT(--ISNUMBER(SEARCH(","&amp;TRIM(TEXTSPLIT(GI9,","))&amp;",",","&amp;SUBSTITUTE(input_modality," ","")&amp;",")))=COUNTA(TEXTSPLIT(GI9,",")))))</f>
        <v/>
      </c>
      <c r="JL9">
        <f>AND(IF(GK9="",TRUE,IF(input_organizer="",FALSE,SUMPRODUCT(--ISNUMBER(SEARCH(","&amp;TRIM(TEXTSPLIT(GK9,","))&amp;",",","&amp;SUBSTITUTE(input_organizer," ","")&amp;",")))&gt;0)),IF(GM9="",TRUE,IF(input_organizer="",FALSE,SUMPRODUCT(--ISNUMBER(SEARCH(","&amp;TRIM(TEXTSPLIT(GM9,","))&amp;",",","&amp;SUBSTITUTE(input_organizer," ","")&amp;",")))=COUNTA(TEXTSPLIT(GM9,",")))),IF(GO9="",TRUE,IF(input_organizer="",TRUE,SUMPRODUCT(--ISNUMBER(SEARCH(","&amp;TRIM(TEXTSPLIT(GO9,","))&amp;",",","&amp;SUBSTITUTE(input_organizer," ","")&amp;",")))=0)),IF(GQ9="",TRUE,IF(input_organizer="",FALSE,SUMPRODUCT(--ISNUMBER(SEARCH(","&amp;TRIM(TEXTSPLIT(GQ9,","))&amp;",",","&amp;SUBSTITUTE(input_organizer," ","")&amp;",")))&gt;0)),IF(GS9="",TRUE,IF(input_organizer="",FALSE,SUMPRODUCT(--ISNUMBER(SEARCH(","&amp;TRIM(TEXTSPLIT(GS9,","))&amp;",",","&amp;SUBSTITUTE(input_organizer," ","")&amp;",")))=COUNTA(TEXTSPLIT(GS9,",")))))</f>
        <v/>
      </c>
      <c r="JM9">
        <f>AND(IF(GU9="",TRUE,IF(input_profile_type="",FALSE,SUMPRODUCT(--ISNUMBER(SEARCH(","&amp;TRIM(TEXTSPLIT(GU9,","))&amp;",",","&amp;SUBSTITUTE(input_profile_type," ","")&amp;",")))&gt;0)),IF(GW9="",TRUE,IF(input_profile_type="",FALSE,SUMPRODUCT(--ISNUMBER(SEARCH(","&amp;TRIM(TEXTSPLIT(GW9,","))&amp;",",","&amp;SUBSTITUTE(input_profile_type," ","")&amp;",")))=COUNTA(TEXTSPLIT(GW9,",")))),IF(GY9="",TRUE,IF(input_profile_type="",TRUE,SUMPRODUCT(--ISNUMBER(SEARCH(","&amp;TRIM(TEXTSPLIT(GY9,","))&amp;",",","&amp;SUBSTITUTE(input_profile_type," ","")&amp;",")))=0)),IF(HA9="",TRUE,IF(input_profile_type="",FALSE,SUMPRODUCT(--ISNUMBER(SEARCH(","&amp;TRIM(TEXTSPLIT(HA9,","))&amp;",",","&amp;SUBSTITUTE(input_profile_type," ","")&amp;",")))&gt;0)),IF(HC9="",TRUE,IF(input_profile_type="",FALSE,SUMPRODUCT(--ISNUMBER(SEARCH(","&amp;TRIM(TEXTSPLIT(HC9,","))&amp;",",","&amp;SUBSTITUTE(input_profile_type," ","")&amp;",")))=COUNTA(TEXTSPLIT(HC9,",")))))</f>
        <v/>
      </c>
      <c r="JN9">
        <f>AND(IF(HE9="",TRUE,IF(input_program="",FALSE,SUMPRODUCT(--ISNUMBER(SEARCH(","&amp;TRIM(TEXTSPLIT(HE9,","))&amp;",",","&amp;SUBSTITUTE(input_program," ","")&amp;",")))&gt;0)),IF(HG9="",TRUE,IF(input_program="",FALSE,SUMPRODUCT(--ISNUMBER(SEARCH(","&amp;TRIM(TEXTSPLIT(HG9,","))&amp;",",","&amp;SUBSTITUTE(input_program," ","")&amp;",")))=COUNTA(TEXTSPLIT(HG9,",")))),IF(HI9="",TRUE,IF(input_program="",TRUE,SUMPRODUCT(--ISNUMBER(SEARCH(","&amp;TRIM(TEXTSPLIT(HI9,","))&amp;",",","&amp;SUBSTITUTE(input_program," ","")&amp;",")))=0)),IF(HK9="",TRUE,IF(input_program="",FALSE,SUMPRODUCT(--ISNUMBER(SEARCH(","&amp;TRIM(TEXTSPLIT(HK9,","))&amp;",",","&amp;SUBSTITUTE(input_program," ","")&amp;",")))&gt;0)),IF(HM9="",TRUE,IF(input_program="",FALSE,SUMPRODUCT(--ISNUMBER(SEARCH(","&amp;TRIM(TEXTSPLIT(HM9,","))&amp;",",","&amp;SUBSTITUTE(input_program," ","")&amp;",")))=COUNTA(TEXTSPLIT(HM9,",")))))</f>
        <v/>
      </c>
      <c r="JO9">
        <f>AND(IF(HO9="",TRUE,IF(input_story_categories="",FALSE,SUMPRODUCT(--ISNUMBER(SEARCH(","&amp;TRIM(TEXTSPLIT(HO9,","))&amp;",",","&amp;SUBSTITUTE(input_story_categories," ","")&amp;",")))&gt;0)),IF(HQ9="",TRUE,IF(input_story_categories="",FALSE,SUMPRODUCT(--ISNUMBER(SEARCH(","&amp;TRIM(TEXTSPLIT(HQ9,","))&amp;",",","&amp;SUBSTITUTE(input_story_categories," ","")&amp;",")))=COUNTA(TEXTSPLIT(HQ9,",")))),IF(HS9="",TRUE,IF(input_story_categories="",TRUE,SUMPRODUCT(--ISNUMBER(SEARCH(","&amp;TRIM(TEXTSPLIT(HS9,","))&amp;",",","&amp;SUBSTITUTE(input_story_categories," ","")&amp;",")))=0)),IF(HU9="",TRUE,IF(input_story_categories="",FALSE,SUMPRODUCT(--ISNUMBER(SEARCH(","&amp;TRIM(TEXTSPLIT(HU9,","))&amp;",",","&amp;SUBSTITUTE(input_story_categories," ","")&amp;",")))&gt;0)),IF(HW9="",TRUE,IF(input_story_categories="",FALSE,SUMPRODUCT(--ISNUMBER(SEARCH(","&amp;TRIM(TEXTSPLIT(HW9,","))&amp;",",","&amp;SUBSTITUTE(input_story_categories," ","")&amp;",")))=COUNTA(TEXTSPLIT(HW9,",")))))</f>
        <v/>
      </c>
      <c r="JP9">
        <f>AND(IF(HY9="",TRUE,IF(input_story_type="",FALSE,SUMPRODUCT(--ISNUMBER(SEARCH(","&amp;TRIM(TEXTSPLIT(HY9,","))&amp;",",","&amp;SUBSTITUTE(input_story_type," ","")&amp;",")))&gt;0)),IF(IA9="",TRUE,IF(input_story_type="",FALSE,SUMPRODUCT(--ISNUMBER(SEARCH(","&amp;TRIM(TEXTSPLIT(IA9,","))&amp;",",","&amp;SUBSTITUTE(input_story_type," ","")&amp;",")))=COUNTA(TEXTSPLIT(IA9,",")))),IF(IC9="",TRUE,IF(input_story_type="",TRUE,SUMPRODUCT(--ISNUMBER(SEARCH(","&amp;TRIM(TEXTSPLIT(IC9,","))&amp;",",","&amp;SUBSTITUTE(input_story_type," ","")&amp;",")))=0)),IF(IE9="",TRUE,IF(input_story_type="",FALSE,SUMPRODUCT(--ISNUMBER(SEARCH(","&amp;TRIM(TEXTSPLIT(IE9,","))&amp;",",","&amp;SUBSTITUTE(input_story_type," ","")&amp;",")))&gt;0)),IF(IG9="",TRUE,IF(input_story_type="",FALSE,SUMPRODUCT(--ISNUMBER(SEARCH(","&amp;TRIM(TEXTSPLIT(IG9,","))&amp;",",","&amp;SUBSTITUTE(input_story_type," ","")&amp;",")))=COUNTA(TEXTSPLIT(IG9,",")))))</f>
        <v/>
      </c>
      <c r="JQ9">
        <f>AND(IF(II9="",TRUE,IF(input_topics="",FALSE,SUMPRODUCT(--ISNUMBER(SEARCH(","&amp;TRIM(TEXTSPLIT(II9,","))&amp;",",","&amp;SUBSTITUTE(input_topics," ","")&amp;",")))&gt;0)),IF(IK9="",TRUE,IF(input_topics="",FALSE,SUMPRODUCT(--ISNUMBER(SEARCH(","&amp;TRIM(TEXTSPLIT(IK9,","))&amp;",",","&amp;SUBSTITUTE(input_topics," ","")&amp;",")))=COUNTA(TEXTSPLIT(IK9,",")))),IF(IM9="",TRUE,IF(input_topics="",TRUE,SUMPRODUCT(--ISNUMBER(SEARCH(","&amp;TRIM(TEXTSPLIT(IM9,","))&amp;",",","&amp;SUBSTITUTE(input_topics," ","")&amp;",")))=0)),IF(IO9="",TRUE,IF(input_topics="",FALSE,SUMPRODUCT(--ISNUMBER(SEARCH(","&amp;TRIM(TEXTSPLIT(IO9,","))&amp;",",","&amp;SUBSTITUTE(input_topics," ","")&amp;",")))&gt;0)),IF(IQ9="",TRUE,IF(input_topics="",FALSE,SUMPRODUCT(--ISNUMBER(SEARCH(","&amp;TRIM(TEXTSPLIT(IQ9,","))&amp;",",","&amp;SUBSTITUTE(input_topics," ","")&amp;",")))=COUNTA(TEXTSPLIT(IQ9,",")))))</f>
        <v/>
      </c>
    </row>
    <row r="10">
      <c r="A10" s="4">
        <f>IF(NOT(IS10),"Excluded",IF(AND(IT10,IU10,IV10,IW10,IX10,IY10,IZ10,JA10,JB10,JC10,JD10,JE10,JF10,JG10,JH10,JI10,JJ10,JK10,JL10,JM10,JN10,JO10,JP10,JQ10),IF(I10&gt;0,"Eligible but limited","Will appear"),"Excluded"))</f>
        <v/>
      </c>
      <c r="B10" s="4" t="inlineStr">
        <is>
          <t>All blogs</t>
        </is>
      </c>
      <c r="C10" s="4" t="inlineStr">
        <is>
          <t>/programs/mba/career-paths</t>
        </is>
      </c>
      <c r="D10" s="4" t="inlineStr">
        <is>
          <t>/programs/mba/career-paths</t>
        </is>
      </c>
      <c r="E10" s="4" t="n">
        <v>1</v>
      </c>
      <c r="F10" s="4" t="inlineStr">
        <is>
          <t>story</t>
        </is>
      </c>
      <c r="G10" s="4" t="inlineStr">
        <is>
          <t>stories_grid_with_images</t>
        </is>
      </c>
      <c r="H10" s="4" t="inlineStr">
        <is>
          <t>embed_blog</t>
        </is>
      </c>
      <c r="I10" s="4" t="n">
        <v>3</v>
      </c>
      <c r="J10" s="4" t="inlineStr">
        <is>
          <t>Section inferred</t>
        </is>
      </c>
      <c r="K10" s="4" t="inlineStr">
        <is>
          <t>Page placement</t>
        </is>
      </c>
      <c r="L10" s="4" t="inlineStr">
        <is>
          <t>Content type: story; Context uses Courses Context: MBA (92); Needs any Story Type: Blog (974); Limited to 3 item(s); Source: Section inferred</t>
        </is>
      </c>
      <c r="M10" t="inlineStr"/>
      <c r="N10" t="inlineStr"/>
      <c r="O10" t="inlineStr"/>
      <c r="P10" t="inlineStr"/>
      <c r="Q10" t="inlineStr"/>
      <c r="R10" t="inlineStr"/>
      <c r="S10" t="inlineStr"/>
      <c r="T10" t="inlineStr"/>
      <c r="U10" t="inlineStr"/>
      <c r="V10" t="inlineStr"/>
      <c r="W10" t="inlineStr"/>
      <c r="X10" t="inlineStr"/>
      <c r="Y10" t="inlineStr"/>
      <c r="Z10" t="inlineStr"/>
      <c r="AA10" t="inlineStr"/>
      <c r="AB10" t="inlineStr"/>
      <c r="AC10" t="inlineStr"/>
      <c r="AD10" t="inlineStr"/>
      <c r="AE10" t="inlineStr"/>
      <c r="AF10" t="inlineStr"/>
      <c r="AG10" t="inlineStr"/>
      <c r="AH10" t="inlineStr"/>
      <c r="AI10" t="inlineStr"/>
      <c r="AJ10" t="inlineStr"/>
      <c r="AK10" t="inlineStr"/>
      <c r="AL10" t="inlineStr"/>
      <c r="AM10" t="inlineStr"/>
      <c r="AN10" t="inlineStr"/>
      <c r="AO10" t="inlineStr"/>
      <c r="AP10" t="inlineStr"/>
      <c r="AQ10" t="inlineStr"/>
      <c r="AR10" t="inlineStr"/>
      <c r="AS10" t="inlineStr"/>
      <c r="AT10" t="inlineStr"/>
      <c r="AU10" t="inlineStr"/>
      <c r="AV10" t="inlineStr"/>
      <c r="AW10" t="inlineStr"/>
      <c r="AX10" t="inlineStr"/>
      <c r="AY10" t="inlineStr"/>
      <c r="AZ10" t="inlineStr"/>
      <c r="BA10" t="inlineStr"/>
      <c r="BB10" t="inlineStr"/>
      <c r="BC10" t="inlineStr"/>
      <c r="BD10" t="inlineStr"/>
      <c r="BE10" t="inlineStr"/>
      <c r="BF10" t="inlineStr"/>
      <c r="BG10" t="inlineStr"/>
      <c r="BH10" t="inlineStr"/>
      <c r="BI10" t="inlineStr"/>
      <c r="BJ10" t="inlineStr"/>
      <c r="BK10" t="inlineStr"/>
      <c r="BL10" t="inlineStr"/>
      <c r="BM10" t="inlineStr"/>
      <c r="BN10" t="inlineStr"/>
      <c r="BO10" t="inlineStr"/>
      <c r="BP10" t="inlineStr"/>
      <c r="BQ10" t="inlineStr">
        <is>
          <t>92</t>
        </is>
      </c>
      <c r="BR10" t="inlineStr">
        <is>
          <t>MBA (92)</t>
        </is>
      </c>
      <c r="BS10" t="inlineStr"/>
      <c r="BT10" t="inlineStr"/>
      <c r="BU10" t="inlineStr"/>
      <c r="BV10" t="inlineStr"/>
      <c r="BW10" t="inlineStr"/>
      <c r="BX10" t="inlineStr"/>
      <c r="BY10" t="inlineStr"/>
      <c r="BZ10" t="inlineStr"/>
      <c r="CA10" t="inlineStr"/>
      <c r="CB10" t="inlineStr"/>
      <c r="CC10" t="inlineStr"/>
      <c r="CD10" t="inlineStr"/>
      <c r="CE10" t="inlineStr"/>
      <c r="CF10" t="inlineStr"/>
      <c r="CG10" t="inlineStr"/>
      <c r="CH10" t="inlineStr"/>
      <c r="CI10" t="inlineStr"/>
      <c r="CJ10" t="inlineStr"/>
      <c r="CK10" t="inlineStr"/>
      <c r="CL10" t="inlineStr"/>
      <c r="CM10" t="inlineStr"/>
      <c r="CN10" t="inlineStr"/>
      <c r="CO10" t="inlineStr"/>
      <c r="CP10" t="inlineStr"/>
      <c r="CQ10" t="inlineStr"/>
      <c r="CR10" t="inlineStr"/>
      <c r="CS10" t="inlineStr"/>
      <c r="CT10" t="inlineStr"/>
      <c r="CU10" t="inlineStr"/>
      <c r="CV10" t="inlineStr"/>
      <c r="CW10" t="inlineStr"/>
      <c r="CX10" t="inlineStr"/>
      <c r="CY10" t="inlineStr"/>
      <c r="CZ10" t="inlineStr"/>
      <c r="DA10" t="inlineStr"/>
      <c r="DB10" t="inlineStr"/>
      <c r="DC10" t="inlineStr"/>
      <c r="DD10" t="inlineStr"/>
      <c r="DE10" t="inlineStr"/>
      <c r="DF10" t="inlineStr"/>
      <c r="DG10" t="inlineStr"/>
      <c r="DH10" t="inlineStr"/>
      <c r="DI10" t="inlineStr"/>
      <c r="DJ10" t="inlineStr"/>
      <c r="DK10" t="inlineStr"/>
      <c r="DL10" t="inlineStr"/>
      <c r="DM10" t="inlineStr"/>
      <c r="DN10" t="inlineStr"/>
      <c r="DO10" t="inlineStr"/>
      <c r="DP10" t="inlineStr"/>
      <c r="DQ10" t="inlineStr"/>
      <c r="DR10" t="inlineStr"/>
      <c r="DS10" t="inlineStr"/>
      <c r="DT10" t="inlineStr"/>
      <c r="DU10" t="inlineStr"/>
      <c r="DV10" t="inlineStr"/>
      <c r="DW10" t="inlineStr"/>
      <c r="DX10" t="inlineStr"/>
      <c r="DY10" t="inlineStr"/>
      <c r="DZ10" t="inlineStr"/>
      <c r="EA10" t="inlineStr"/>
      <c r="EB10" t="inlineStr"/>
      <c r="EC10" t="inlineStr"/>
      <c r="ED10" t="inlineStr"/>
      <c r="EE10" t="inlineStr"/>
      <c r="EF10" t="inlineStr"/>
      <c r="EG10" t="inlineStr"/>
      <c r="EH10" t="inlineStr"/>
      <c r="EI10" t="inlineStr"/>
      <c r="EJ10" t="inlineStr"/>
      <c r="EK10" t="inlineStr"/>
      <c r="EL10" t="inlineStr"/>
      <c r="EM10" t="inlineStr"/>
      <c r="EN10" t="inlineStr"/>
      <c r="EO10" t="inlineStr"/>
      <c r="EP10" t="inlineStr"/>
      <c r="EQ10" t="inlineStr"/>
      <c r="ER10" t="inlineStr"/>
      <c r="ES10" t="inlineStr"/>
      <c r="ET10" t="inlineStr"/>
      <c r="EU10" t="inlineStr"/>
      <c r="EV10" t="inlineStr"/>
      <c r="EW10" t="inlineStr"/>
      <c r="EX10" t="inlineStr"/>
      <c r="EY10" t="inlineStr"/>
      <c r="EZ10" t="inlineStr"/>
      <c r="FA10" t="inlineStr"/>
      <c r="FB10" t="inlineStr"/>
      <c r="FC10" t="inlineStr"/>
      <c r="FD10" t="inlineStr"/>
      <c r="FE10" t="inlineStr"/>
      <c r="FF10" t="inlineStr"/>
      <c r="FG10" t="inlineStr"/>
      <c r="FH10" t="inlineStr"/>
      <c r="FI10" t="inlineStr"/>
      <c r="FJ10" t="inlineStr"/>
      <c r="FK10" t="inlineStr"/>
      <c r="FL10" t="inlineStr"/>
      <c r="FM10" t="inlineStr"/>
      <c r="FN10" t="inlineStr"/>
      <c r="FO10" t="inlineStr"/>
      <c r="FP10" t="inlineStr"/>
      <c r="FQ10" t="inlineStr"/>
      <c r="FR10" t="inlineStr"/>
      <c r="FS10" t="inlineStr"/>
      <c r="FT10" t="inlineStr"/>
      <c r="FU10" t="inlineStr"/>
      <c r="FV10" t="inlineStr"/>
      <c r="FW10" t="inlineStr"/>
      <c r="FX10" t="inlineStr"/>
      <c r="FY10" t="inlineStr"/>
      <c r="FZ10" t="inlineStr"/>
      <c r="GA10" t="inlineStr"/>
      <c r="GB10" t="inlineStr"/>
      <c r="GC10" t="inlineStr"/>
      <c r="GD10" t="inlineStr"/>
      <c r="GE10" t="inlineStr"/>
      <c r="GF10" t="inlineStr"/>
      <c r="GG10" t="inlineStr"/>
      <c r="GH10" t="inlineStr"/>
      <c r="GI10" t="inlineStr"/>
      <c r="GJ10" t="inlineStr"/>
      <c r="GK10" t="inlineStr"/>
      <c r="GL10" t="inlineStr"/>
      <c r="GM10" t="inlineStr"/>
      <c r="GN10" t="inlineStr"/>
      <c r="GO10" t="inlineStr"/>
      <c r="GP10" t="inlineStr"/>
      <c r="GQ10" t="inlineStr"/>
      <c r="GR10" t="inlineStr"/>
      <c r="GS10" t="inlineStr"/>
      <c r="GT10" t="inlineStr"/>
      <c r="GU10" t="inlineStr"/>
      <c r="GV10" t="inlineStr"/>
      <c r="GW10" t="inlineStr"/>
      <c r="GX10" t="inlineStr"/>
      <c r="GY10" t="inlineStr"/>
      <c r="GZ10" t="inlineStr"/>
      <c r="HA10" t="inlineStr"/>
      <c r="HB10" t="inlineStr"/>
      <c r="HC10" t="inlineStr"/>
      <c r="HD10" t="inlineStr"/>
      <c r="HE10" t="inlineStr"/>
      <c r="HF10" t="inlineStr"/>
      <c r="HG10" t="inlineStr"/>
      <c r="HH10" t="inlineStr"/>
      <c r="HI10" t="inlineStr"/>
      <c r="HJ10" t="inlineStr"/>
      <c r="HK10" t="inlineStr"/>
      <c r="HL10" t="inlineStr"/>
      <c r="HM10" t="inlineStr"/>
      <c r="HN10" t="inlineStr"/>
      <c r="HO10" t="inlineStr"/>
      <c r="HP10" t="inlineStr"/>
      <c r="HQ10" t="inlineStr"/>
      <c r="HR10" t="inlineStr"/>
      <c r="HS10" t="inlineStr"/>
      <c r="HT10" t="inlineStr"/>
      <c r="HU10" t="inlineStr"/>
      <c r="HV10" t="inlineStr"/>
      <c r="HW10" t="inlineStr"/>
      <c r="HX10" t="inlineStr"/>
      <c r="HY10" t="inlineStr">
        <is>
          <t>974</t>
        </is>
      </c>
      <c r="HZ10" t="inlineStr">
        <is>
          <t>Blog (974)</t>
        </is>
      </c>
      <c r="IA10" t="inlineStr"/>
      <c r="IB10" t="inlineStr"/>
      <c r="IC10" t="inlineStr"/>
      <c r="ID10" t="inlineStr"/>
      <c r="IE10" t="inlineStr"/>
      <c r="IF10" t="inlineStr"/>
      <c r="IG10" t="inlineStr"/>
      <c r="IH10" t="inlineStr"/>
      <c r="II10" t="inlineStr"/>
      <c r="IJ10" t="inlineStr"/>
      <c r="IK10" t="inlineStr"/>
      <c r="IL10" t="inlineStr"/>
      <c r="IM10" t="inlineStr"/>
      <c r="IN10" t="inlineStr"/>
      <c r="IO10" t="inlineStr"/>
      <c r="IP10" t="inlineStr"/>
      <c r="IQ10" t="inlineStr"/>
      <c r="IR10" t="inlineStr"/>
      <c r="IS10">
        <f>IF(input_content_type="",FALSE,ISNUMBER(SEARCH(","&amp;LOWER(input_content_type)&amp;",",","&amp;LOWER(F10)&amp;",")))</f>
        <v/>
      </c>
      <c r="IT10">
        <f>AND(IF(M10="",TRUE,IF(input_affiliations="",FALSE,SUMPRODUCT(--ISNUMBER(SEARCH(","&amp;TRIM(TEXTSPLIT(M10,","))&amp;",",","&amp;SUBSTITUTE(input_affiliations," ","")&amp;",")))&gt;0)),IF(O10="",TRUE,IF(input_affiliations="",FALSE,SUMPRODUCT(--ISNUMBER(SEARCH(","&amp;TRIM(TEXTSPLIT(O10,","))&amp;",",","&amp;SUBSTITUTE(input_affiliations," ","")&amp;",")))=COUNTA(TEXTSPLIT(O10,",")))),IF(Q10="",TRUE,IF(input_affiliations="",TRUE,SUMPRODUCT(--ISNUMBER(SEARCH(","&amp;TRIM(TEXTSPLIT(Q10,","))&amp;",",","&amp;SUBSTITUTE(input_affiliations," ","")&amp;",")))=0)),IF(S10="",TRUE,IF(input_affiliations="",FALSE,SUMPRODUCT(--ISNUMBER(SEARCH(","&amp;TRIM(TEXTSPLIT(S10,","))&amp;",",","&amp;SUBSTITUTE(input_affiliations," ","")&amp;",")))&gt;0)),IF(U10="",TRUE,IF(input_affiliations="",FALSE,SUMPRODUCT(--ISNUMBER(SEARCH(","&amp;TRIM(TEXTSPLIT(U10,","))&amp;",",","&amp;SUBSTITUTE(input_affiliations," ","")&amp;",")))=COUNTA(TEXTSPLIT(U10,",")))))</f>
        <v/>
      </c>
      <c r="IU10">
        <f>AND(IF(W10="",TRUE,IF(input_announcement_category="",FALSE,SUMPRODUCT(--ISNUMBER(SEARCH(","&amp;TRIM(TEXTSPLIT(W10,","))&amp;",",","&amp;SUBSTITUTE(input_announcement_category," ","")&amp;",")))&gt;0)),IF(Y10="",TRUE,IF(input_announcement_category="",FALSE,SUMPRODUCT(--ISNUMBER(SEARCH(","&amp;TRIM(TEXTSPLIT(Y10,","))&amp;",",","&amp;SUBSTITUTE(input_announcement_category," ","")&amp;",")))=COUNTA(TEXTSPLIT(Y10,",")))),IF(AA10="",TRUE,IF(input_announcement_category="",TRUE,SUMPRODUCT(--ISNUMBER(SEARCH(","&amp;TRIM(TEXTSPLIT(AA10,","))&amp;",",","&amp;SUBSTITUTE(input_announcement_category," ","")&amp;",")))=0)),IF(AC10="",TRUE,IF(input_announcement_category="",FALSE,SUMPRODUCT(--ISNUMBER(SEARCH(","&amp;TRIM(TEXTSPLIT(AC10,","))&amp;",",","&amp;SUBSTITUTE(input_announcement_category," ","")&amp;",")))&gt;0)),IF(AE10="",TRUE,IF(input_announcement_category="",FALSE,SUMPRODUCT(--ISNUMBER(SEARCH(","&amp;TRIM(TEXTSPLIT(AE10,","))&amp;",",","&amp;SUBSTITUTE(input_announcement_category," ","")&amp;",")))=COUNTA(TEXTSPLIT(AE10,",")))))</f>
        <v/>
      </c>
      <c r="IV10">
        <f>AND(IF(AG10="",TRUE,IF(input_area_of_focus="",FALSE,SUMPRODUCT(--ISNUMBER(SEARCH(","&amp;TRIM(TEXTSPLIT(AG10,","))&amp;",",","&amp;SUBSTITUTE(input_area_of_focus," ","")&amp;",")))&gt;0)),IF(AI10="",TRUE,IF(input_area_of_focus="",FALSE,SUMPRODUCT(--ISNUMBER(SEARCH(","&amp;TRIM(TEXTSPLIT(AI10,","))&amp;",",","&amp;SUBSTITUTE(input_area_of_focus," ","")&amp;",")))=COUNTA(TEXTSPLIT(AI10,",")))),IF(AK10="",TRUE,IF(input_area_of_focus="",TRUE,SUMPRODUCT(--ISNUMBER(SEARCH(","&amp;TRIM(TEXTSPLIT(AK10,","))&amp;",",","&amp;SUBSTITUTE(input_area_of_focus," ","")&amp;",")))=0)),IF(AM10="",TRUE,IF(input_area_of_focus="",FALSE,SUMPRODUCT(--ISNUMBER(SEARCH(","&amp;TRIM(TEXTSPLIT(AM10,","))&amp;",",","&amp;SUBSTITUTE(input_area_of_focus," ","")&amp;",")))&gt;0)),IF(AO10="",TRUE,IF(input_area_of_focus="",FALSE,SUMPRODUCT(--ISNUMBER(SEARCH(","&amp;TRIM(TEXTSPLIT(AO10,","))&amp;",",","&amp;SUBSTITUTE(input_area_of_focus," ","")&amp;",")))=COUNTA(TEXTSPLIT(AO10,",")))))</f>
        <v/>
      </c>
      <c r="IW10">
        <f>AND(IF(AQ10="",TRUE,IF(input_audience="",FALSE,SUMPRODUCT(--ISNUMBER(SEARCH(","&amp;TRIM(TEXTSPLIT(AQ10,","))&amp;",",","&amp;SUBSTITUTE(input_audience," ","")&amp;",")))&gt;0)),IF(AS10="",TRUE,IF(input_audience="",FALSE,SUMPRODUCT(--ISNUMBER(SEARCH(","&amp;TRIM(TEXTSPLIT(AS10,","))&amp;",",","&amp;SUBSTITUTE(input_audience," ","")&amp;",")))=COUNTA(TEXTSPLIT(AS10,",")))),IF(AU10="",TRUE,IF(input_audience="",TRUE,SUMPRODUCT(--ISNUMBER(SEARCH(","&amp;TRIM(TEXTSPLIT(AU10,","))&amp;",",","&amp;SUBSTITUTE(input_audience," ","")&amp;",")))=0)),IF(AW10="",TRUE,IF(input_audience="",FALSE,SUMPRODUCT(--ISNUMBER(SEARCH(","&amp;TRIM(TEXTSPLIT(AW10,","))&amp;",",","&amp;SUBSTITUTE(input_audience," ","")&amp;",")))&gt;0)),IF(AY10="",TRUE,IF(input_audience="",FALSE,SUMPRODUCT(--ISNUMBER(SEARCH(","&amp;TRIM(TEXTSPLIT(AY10,","))&amp;",",","&amp;SUBSTITUTE(input_audience," ","")&amp;",")))=COUNTA(TEXTSPLIT(AY10,",")))))</f>
        <v/>
      </c>
      <c r="IX10">
        <f>AND(IF(BA10="",TRUE,IF(input_challenge_opportunities="",FALSE,SUMPRODUCT(--ISNUMBER(SEARCH(","&amp;TRIM(TEXTSPLIT(BA10,","))&amp;",",","&amp;SUBSTITUTE(input_challenge_opportunities," ","")&amp;",")))&gt;0)),IF(BC10="",TRUE,IF(input_challenge_opportunities="",FALSE,SUMPRODUCT(--ISNUMBER(SEARCH(","&amp;TRIM(TEXTSPLIT(BC10,","))&amp;",",","&amp;SUBSTITUTE(input_challenge_opportunities," ","")&amp;",")))=COUNTA(TEXTSPLIT(BC10,",")))),IF(BE10="",TRUE,IF(input_challenge_opportunities="",TRUE,SUMPRODUCT(--ISNUMBER(SEARCH(","&amp;TRIM(TEXTSPLIT(BE10,","))&amp;",",","&amp;SUBSTITUTE(input_challenge_opportunities," ","")&amp;",")))=0)),IF(BG10="",TRUE,IF(input_challenge_opportunities="",FALSE,SUMPRODUCT(--ISNUMBER(SEARCH(","&amp;TRIM(TEXTSPLIT(BG10,","))&amp;",",","&amp;SUBSTITUTE(input_challenge_opportunities," ","")&amp;",")))&gt;0)),IF(BI10="",TRUE,IF(input_challenge_opportunities="",FALSE,SUMPRODUCT(--ISNUMBER(SEARCH(","&amp;TRIM(TEXTSPLIT(BI10,","))&amp;",",","&amp;SUBSTITUTE(input_challenge_opportunities," ","")&amp;",")))=COUNTA(TEXTSPLIT(BI10,",")))))</f>
        <v/>
      </c>
      <c r="IY10">
        <f>AND(IF(BK10="",TRUE,IF(input_context="",FALSE,SUMPRODUCT(--ISNUMBER(SEARCH(","&amp;TRIM(TEXTSPLIT(BK10,","))&amp;",",","&amp;SUBSTITUTE(input_context," ","")&amp;",")))&gt;0)),IF(BM10="",TRUE,IF(input_context="",FALSE,SUMPRODUCT(--ISNUMBER(SEARCH(","&amp;TRIM(TEXTSPLIT(BM10,","))&amp;",",","&amp;SUBSTITUTE(input_context," ","")&amp;",")))=COUNTA(TEXTSPLIT(BM10,",")))),IF(BO10="",TRUE,IF(input_context="",TRUE,SUMPRODUCT(--ISNUMBER(SEARCH(","&amp;TRIM(TEXTSPLIT(BO10,","))&amp;",",","&amp;SUBSTITUTE(input_context," ","")&amp;",")))=0)),IF(BQ10="",TRUE,IF(input_context="",FALSE,SUMPRODUCT(--ISNUMBER(SEARCH(","&amp;TRIM(TEXTSPLIT(BQ10,","))&amp;",",","&amp;SUBSTITUTE(input_context," ","")&amp;",")))&gt;0)),IF(BS10="",TRUE,IF(input_context="",FALSE,SUMPRODUCT(--ISNUMBER(SEARCH(","&amp;TRIM(TEXTSPLIT(BS10,","))&amp;",",","&amp;SUBSTITUTE(input_context," ","")&amp;",")))=COUNTA(TEXTSPLIT(BS10,",")))))</f>
        <v/>
      </c>
      <c r="IZ10">
        <f>AND(IF(BU10="",TRUE,IF(input_enews_announcement_type="",FALSE,SUMPRODUCT(--ISNUMBER(SEARCH(","&amp;TRIM(TEXTSPLIT(BU10,","))&amp;",",","&amp;SUBSTITUTE(input_enews_announcement_type," ","")&amp;",")))&gt;0)),IF(BW10="",TRUE,IF(input_enews_announcement_type="",FALSE,SUMPRODUCT(--ISNUMBER(SEARCH(","&amp;TRIM(TEXTSPLIT(BW10,","))&amp;",",","&amp;SUBSTITUTE(input_enews_announcement_type," ","")&amp;",")))=COUNTA(TEXTSPLIT(BW10,",")))),IF(BY10="",TRUE,IF(input_enews_announcement_type="",TRUE,SUMPRODUCT(--ISNUMBER(SEARCH(","&amp;TRIM(TEXTSPLIT(BY10,","))&amp;",",","&amp;SUBSTITUTE(input_enews_announcement_type," ","")&amp;",")))=0)),IF(CA10="",TRUE,IF(input_enews_announcement_type="",FALSE,SUMPRODUCT(--ISNUMBER(SEARCH(","&amp;TRIM(TEXTSPLIT(CA10,","))&amp;",",","&amp;SUBSTITUTE(input_enews_announcement_type," ","")&amp;",")))&gt;0)),IF(CC10="",TRUE,IF(input_enews_announcement_type="",FALSE,SUMPRODUCT(--ISNUMBER(SEARCH(","&amp;TRIM(TEXTSPLIT(CC10,","))&amp;",",","&amp;SUBSTITUTE(input_enews_announcement_type," ","")&amp;",")))=COUNTA(TEXTSPLIT(CC10,",")))))</f>
        <v/>
      </c>
      <c r="JA10">
        <f>AND(IF(CE10="",TRUE,IF(input_enews_audience="",FALSE,SUMPRODUCT(--ISNUMBER(SEARCH(","&amp;TRIM(TEXTSPLIT(CE10,","))&amp;",",","&amp;SUBSTITUTE(input_enews_audience," ","")&amp;",")))&gt;0)),IF(CG10="",TRUE,IF(input_enews_audience="",FALSE,SUMPRODUCT(--ISNUMBER(SEARCH(","&amp;TRIM(TEXTSPLIT(CG10,","))&amp;",",","&amp;SUBSTITUTE(input_enews_audience," ","")&amp;",")))=COUNTA(TEXTSPLIT(CG10,",")))),IF(CI10="",TRUE,IF(input_enews_audience="",TRUE,SUMPRODUCT(--ISNUMBER(SEARCH(","&amp;TRIM(TEXTSPLIT(CI10,","))&amp;",",","&amp;SUBSTITUTE(input_enews_audience," ","")&amp;",")))=0)),IF(CK10="",TRUE,IF(input_enews_audience="",FALSE,SUMPRODUCT(--ISNUMBER(SEARCH(","&amp;TRIM(TEXTSPLIT(CK10,","))&amp;",",","&amp;SUBSTITUTE(input_enews_audience," ","")&amp;",")))&gt;0)),IF(CM10="",TRUE,IF(input_enews_audience="",FALSE,SUMPRODUCT(--ISNUMBER(SEARCH(","&amp;TRIM(TEXTSPLIT(CM10,","))&amp;",",","&amp;SUBSTITUTE(input_enews_audience," ","")&amp;",")))=COUNTA(TEXTSPLIT(CM10,",")))))</f>
        <v/>
      </c>
      <c r="JB10">
        <f>AND(IF(CO10="",TRUE,IF(input_event_location="",FALSE,SUMPRODUCT(--ISNUMBER(SEARCH(","&amp;TRIM(TEXTSPLIT(CO10,","))&amp;",",","&amp;SUBSTITUTE(input_event_location," ","")&amp;",")))&gt;0)),IF(CQ10="",TRUE,IF(input_event_location="",FALSE,SUMPRODUCT(--ISNUMBER(SEARCH(","&amp;TRIM(TEXTSPLIT(CQ10,","))&amp;",",","&amp;SUBSTITUTE(input_event_location," ","")&amp;",")))=COUNTA(TEXTSPLIT(CQ10,",")))),IF(CS10="",TRUE,IF(input_event_location="",TRUE,SUMPRODUCT(--ISNUMBER(SEARCH(","&amp;TRIM(TEXTSPLIT(CS10,","))&amp;",",","&amp;SUBSTITUTE(input_event_location," ","")&amp;",")))=0)),IF(CU10="",TRUE,IF(input_event_location="",FALSE,SUMPRODUCT(--ISNUMBER(SEARCH(","&amp;TRIM(TEXTSPLIT(CU10,","))&amp;",",","&amp;SUBSTITUTE(input_event_location," ","")&amp;",")))&gt;0)),IF(CW10="",TRUE,IF(input_event_location="",FALSE,SUMPRODUCT(--ISNUMBER(SEARCH(","&amp;TRIM(TEXTSPLIT(CW10,","))&amp;",",","&amp;SUBSTITUTE(input_event_location," ","")&amp;",")))=COUNTA(TEXTSPLIT(CW10,",")))))</f>
        <v/>
      </c>
      <c r="JC10">
        <f>AND(IF(CY10="",TRUE,IF(input_event_type="",FALSE,SUMPRODUCT(--ISNUMBER(SEARCH(","&amp;TRIM(TEXTSPLIT(CY10,","))&amp;",",","&amp;SUBSTITUTE(input_event_type," ","")&amp;",")))&gt;0)),IF(DA10="",TRUE,IF(input_event_type="",FALSE,SUMPRODUCT(--ISNUMBER(SEARCH(","&amp;TRIM(TEXTSPLIT(DA10,","))&amp;",",","&amp;SUBSTITUTE(input_event_type," ","")&amp;",")))=COUNTA(TEXTSPLIT(DA10,",")))),IF(DC10="",TRUE,IF(input_event_type="",TRUE,SUMPRODUCT(--ISNUMBER(SEARCH(","&amp;TRIM(TEXTSPLIT(DC10,","))&amp;",",","&amp;SUBSTITUTE(input_event_type," ","")&amp;",")))=0)),IF(DE10="",TRUE,IF(input_event_type="",FALSE,SUMPRODUCT(--ISNUMBER(SEARCH(","&amp;TRIM(TEXTSPLIT(DE10,","))&amp;",",","&amp;SUBSTITUTE(input_event_type," ","")&amp;",")))&gt;0)),IF(DG10="",TRUE,IF(input_event_type="",FALSE,SUMPRODUCT(--ISNUMBER(SEARCH(","&amp;TRIM(TEXTSPLIT(DG10,","))&amp;",",","&amp;SUBSTITUTE(input_event_type," ","")&amp;",")))=COUNTA(TEXTSPLIT(DG10,",")))))</f>
        <v/>
      </c>
      <c r="JD10">
        <f>AND(IF(DI10="",TRUE,IF(input_executive_education_focus="",FALSE,SUMPRODUCT(--ISNUMBER(SEARCH(","&amp;TRIM(TEXTSPLIT(DI10,","))&amp;",",","&amp;SUBSTITUTE(input_executive_education_focus," ","")&amp;",")))&gt;0)),IF(DK10="",TRUE,IF(input_executive_education_focus="",FALSE,SUMPRODUCT(--ISNUMBER(SEARCH(","&amp;TRIM(TEXTSPLIT(DK10,","))&amp;",",","&amp;SUBSTITUTE(input_executive_education_focus," ","")&amp;",")))=COUNTA(TEXTSPLIT(DK10,",")))),IF(DM10="",TRUE,IF(input_executive_education_focus="",TRUE,SUMPRODUCT(--ISNUMBER(SEARCH(","&amp;TRIM(TEXTSPLIT(DM10,","))&amp;",",","&amp;SUBSTITUTE(input_executive_education_focus," ","")&amp;",")))=0)),IF(DO10="",TRUE,IF(input_executive_education_focus="",FALSE,SUMPRODUCT(--ISNUMBER(SEARCH(","&amp;TRIM(TEXTSPLIT(DO10,","))&amp;",",","&amp;SUBSTITUTE(input_executive_education_focus," ","")&amp;",")))&gt;0)),IF(DQ10="",TRUE,IF(input_executive_education_focus="",FALSE,SUMPRODUCT(--ISNUMBER(SEARCH(","&amp;TRIM(TEXTSPLIT(DQ10,","))&amp;",",","&amp;SUBSTITUTE(input_executive_education_focus," ","")&amp;",")))=COUNTA(TEXTSPLIT(DQ10,",")))))</f>
        <v/>
      </c>
      <c r="JE10">
        <f>AND(IF(DS10="",TRUE,IF(input_faculty_category="",FALSE,SUMPRODUCT(--ISNUMBER(SEARCH(","&amp;TRIM(TEXTSPLIT(DS10,","))&amp;",",","&amp;SUBSTITUTE(input_faculty_category," ","")&amp;",")))&gt;0)),IF(DU10="",TRUE,IF(input_faculty_category="",FALSE,SUMPRODUCT(--ISNUMBER(SEARCH(","&amp;TRIM(TEXTSPLIT(DU10,","))&amp;",",","&amp;SUBSTITUTE(input_faculty_category," ","")&amp;",")))=COUNTA(TEXTSPLIT(DU10,",")))),IF(DW10="",TRUE,IF(input_faculty_category="",TRUE,SUMPRODUCT(--ISNUMBER(SEARCH(","&amp;TRIM(TEXTSPLIT(DW10,","))&amp;",",","&amp;SUBSTITUTE(input_faculty_category," ","")&amp;",")))=0)),IF(DY10="",TRUE,IF(input_faculty_category="",FALSE,SUMPRODUCT(--ISNUMBER(SEARCH(","&amp;TRIM(TEXTSPLIT(DY10,","))&amp;",",","&amp;SUBSTITUTE(input_faculty_category," ","")&amp;",")))&gt;0)),IF(EA10="",TRUE,IF(input_faculty_category="",FALSE,SUMPRODUCT(--ISNUMBER(SEARCH(","&amp;TRIM(TEXTSPLIT(EA10,","))&amp;",",","&amp;SUBSTITUTE(input_faculty_category," ","")&amp;",")))=COUNTA(TEXTSPLIT(EA10,",")))))</f>
        <v/>
      </c>
      <c r="JF10">
        <f>AND(IF(EC10="",TRUE,IF(input_faculty_discipline="",FALSE,SUMPRODUCT(--ISNUMBER(SEARCH(","&amp;TRIM(TEXTSPLIT(EC10,","))&amp;",",","&amp;SUBSTITUTE(input_faculty_discipline," ","")&amp;",")))&gt;0)),IF(EE10="",TRUE,IF(input_faculty_discipline="",FALSE,SUMPRODUCT(--ISNUMBER(SEARCH(","&amp;TRIM(TEXTSPLIT(EE10,","))&amp;",",","&amp;SUBSTITUTE(input_faculty_discipline," ","")&amp;",")))=COUNTA(TEXTSPLIT(EE10,",")))),IF(EG10="",TRUE,IF(input_faculty_discipline="",TRUE,SUMPRODUCT(--ISNUMBER(SEARCH(","&amp;TRIM(TEXTSPLIT(EG10,","))&amp;",",","&amp;SUBSTITUTE(input_faculty_discipline," ","")&amp;",")))=0)),IF(EI10="",TRUE,IF(input_faculty_discipline="",FALSE,SUMPRODUCT(--ISNUMBER(SEARCH(","&amp;TRIM(TEXTSPLIT(EI10,","))&amp;",",","&amp;SUBSTITUTE(input_faculty_discipline," ","")&amp;",")))&gt;0)),IF(EK10="",TRUE,IF(input_faculty_discipline="",FALSE,SUMPRODUCT(--ISNUMBER(SEARCH(","&amp;TRIM(TEXTSPLIT(EK10,","))&amp;",",","&amp;SUBSTITUTE(input_faculty_discipline," ","")&amp;",")))=COUNTA(TEXTSPLIT(EK10,",")))))</f>
        <v/>
      </c>
      <c r="JG10">
        <f>AND(IF(EM10="",TRUE,IF(input_faculty_expertise="",FALSE,SUMPRODUCT(--ISNUMBER(SEARCH(","&amp;TRIM(TEXTSPLIT(EM10,","))&amp;",",","&amp;SUBSTITUTE(input_faculty_expertise," ","")&amp;",")))&gt;0)),IF(EO10="",TRUE,IF(input_faculty_expertise="",FALSE,SUMPRODUCT(--ISNUMBER(SEARCH(","&amp;TRIM(TEXTSPLIT(EO10,","))&amp;",",","&amp;SUBSTITUTE(input_faculty_expertise," ","")&amp;",")))=COUNTA(TEXTSPLIT(EO10,",")))),IF(EQ10="",TRUE,IF(input_faculty_expertise="",TRUE,SUMPRODUCT(--ISNUMBER(SEARCH(","&amp;TRIM(TEXTSPLIT(EQ10,","))&amp;",",","&amp;SUBSTITUTE(input_faculty_expertise," ","")&amp;",")))=0)),IF(ES10="",TRUE,IF(input_faculty_expertise="",FALSE,SUMPRODUCT(--ISNUMBER(SEARCH(","&amp;TRIM(TEXTSPLIT(ES10,","))&amp;",",","&amp;SUBSTITUTE(input_faculty_expertise," ","")&amp;",")))&gt;0)),IF(EU10="",TRUE,IF(input_faculty_expertise="",FALSE,SUMPRODUCT(--ISNUMBER(SEARCH(","&amp;TRIM(TEXTSPLIT(EU10,","))&amp;",",","&amp;SUBSTITUTE(input_faculty_expertise," ","")&amp;",")))=COUNTA(TEXTSPLIT(EU10,",")))))</f>
        <v/>
      </c>
      <c r="JH10">
        <f>AND(IF(EW10="",TRUE,IF(input_global_network_school="",FALSE,SUMPRODUCT(--ISNUMBER(SEARCH(","&amp;TRIM(TEXTSPLIT(EW10,","))&amp;",",","&amp;SUBSTITUTE(input_global_network_school," ","")&amp;",")))&gt;0)),IF(EY10="",TRUE,IF(input_global_network_school="",FALSE,SUMPRODUCT(--ISNUMBER(SEARCH(","&amp;TRIM(TEXTSPLIT(EY10,","))&amp;",",","&amp;SUBSTITUTE(input_global_network_school," ","")&amp;",")))=COUNTA(TEXTSPLIT(EY10,",")))),IF(FA10="",TRUE,IF(input_global_network_school="",TRUE,SUMPRODUCT(--ISNUMBER(SEARCH(","&amp;TRIM(TEXTSPLIT(FA10,","))&amp;",",","&amp;SUBSTITUTE(input_global_network_school," ","")&amp;",")))=0)),IF(FC10="",TRUE,IF(input_global_network_school="",FALSE,SUMPRODUCT(--ISNUMBER(SEARCH(","&amp;TRIM(TEXTSPLIT(FC10,","))&amp;",",","&amp;SUBSTITUTE(input_global_network_school," ","")&amp;",")))&gt;0)),IF(FE10="",TRUE,IF(input_global_network_school="",FALSE,SUMPRODUCT(--ISNUMBER(SEARCH(","&amp;TRIM(TEXTSPLIT(FE10,","))&amp;",",","&amp;SUBSTITUTE(input_global_network_school," ","")&amp;",")))=COUNTA(TEXTSPLIT(FE10,",")))))</f>
        <v/>
      </c>
      <c r="JI10">
        <f>AND(IF(FG10="",TRUE,IF(input_industry="",FALSE,SUMPRODUCT(--ISNUMBER(SEARCH(","&amp;TRIM(TEXTSPLIT(FG10,","))&amp;",",","&amp;SUBSTITUTE(input_industry," ","")&amp;",")))&gt;0)),IF(FI10="",TRUE,IF(input_industry="",FALSE,SUMPRODUCT(--ISNUMBER(SEARCH(","&amp;TRIM(TEXTSPLIT(FI10,","))&amp;",",","&amp;SUBSTITUTE(input_industry," ","")&amp;",")))=COUNTA(TEXTSPLIT(FI10,",")))),IF(FK10="",TRUE,IF(input_industry="",TRUE,SUMPRODUCT(--ISNUMBER(SEARCH(","&amp;TRIM(TEXTSPLIT(FK10,","))&amp;",",","&amp;SUBSTITUTE(input_industry," ","")&amp;",")))=0)),IF(FM10="",TRUE,IF(input_industry="",FALSE,SUMPRODUCT(--ISNUMBER(SEARCH(","&amp;TRIM(TEXTSPLIT(FM10,","))&amp;",",","&amp;SUBSTITUTE(input_industry," ","")&amp;",")))&gt;0)),IF(FO10="",TRUE,IF(input_industry="",FALSE,SUMPRODUCT(--ISNUMBER(SEARCH(","&amp;TRIM(TEXTSPLIT(FO10,","))&amp;",",","&amp;SUBSTITUTE(input_industry," ","")&amp;",")))=COUNTA(TEXTSPLIT(FO10,",")))))</f>
        <v/>
      </c>
      <c r="JJ10">
        <f>AND(IF(FQ10="",TRUE,IF(input_location="",FALSE,SUMPRODUCT(--ISNUMBER(SEARCH(","&amp;TRIM(TEXTSPLIT(FQ10,","))&amp;",",","&amp;SUBSTITUTE(input_location," ","")&amp;",")))&gt;0)),IF(FS10="",TRUE,IF(input_location="",FALSE,SUMPRODUCT(--ISNUMBER(SEARCH(","&amp;TRIM(TEXTSPLIT(FS10,","))&amp;",",","&amp;SUBSTITUTE(input_location," ","")&amp;",")))=COUNTA(TEXTSPLIT(FS10,",")))),IF(FU10="",TRUE,IF(input_location="",TRUE,SUMPRODUCT(--ISNUMBER(SEARCH(","&amp;TRIM(TEXTSPLIT(FU10,","))&amp;",",","&amp;SUBSTITUTE(input_location," ","")&amp;",")))=0)),IF(FW10="",TRUE,IF(input_location="",FALSE,SUMPRODUCT(--ISNUMBER(SEARCH(","&amp;TRIM(TEXTSPLIT(FW10,","))&amp;",",","&amp;SUBSTITUTE(input_location," ","")&amp;",")))&gt;0)),IF(FY10="",TRUE,IF(input_location="",FALSE,SUMPRODUCT(--ISNUMBER(SEARCH(","&amp;TRIM(TEXTSPLIT(FY10,","))&amp;",",","&amp;SUBSTITUTE(input_location," ","")&amp;",")))=COUNTA(TEXTSPLIT(FY10,",")))))</f>
        <v/>
      </c>
      <c r="JK10">
        <f>AND(IF(GA10="",TRUE,IF(input_modality="",FALSE,SUMPRODUCT(--ISNUMBER(SEARCH(","&amp;TRIM(TEXTSPLIT(GA10,","))&amp;",",","&amp;SUBSTITUTE(input_modality," ","")&amp;",")))&gt;0)),IF(GC10="",TRUE,IF(input_modality="",FALSE,SUMPRODUCT(--ISNUMBER(SEARCH(","&amp;TRIM(TEXTSPLIT(GC10,","))&amp;",",","&amp;SUBSTITUTE(input_modality," ","")&amp;",")))=COUNTA(TEXTSPLIT(GC10,",")))),IF(GE10="",TRUE,IF(input_modality="",TRUE,SUMPRODUCT(--ISNUMBER(SEARCH(","&amp;TRIM(TEXTSPLIT(GE10,","))&amp;",",","&amp;SUBSTITUTE(input_modality," ","")&amp;",")))=0)),IF(GG10="",TRUE,IF(input_modality="",FALSE,SUMPRODUCT(--ISNUMBER(SEARCH(","&amp;TRIM(TEXTSPLIT(GG10,","))&amp;",",","&amp;SUBSTITUTE(input_modality," ","")&amp;",")))&gt;0)),IF(GI10="",TRUE,IF(input_modality="",FALSE,SUMPRODUCT(--ISNUMBER(SEARCH(","&amp;TRIM(TEXTSPLIT(GI10,","))&amp;",",","&amp;SUBSTITUTE(input_modality," ","")&amp;",")))=COUNTA(TEXTSPLIT(GI10,",")))))</f>
        <v/>
      </c>
      <c r="JL10">
        <f>AND(IF(GK10="",TRUE,IF(input_organizer="",FALSE,SUMPRODUCT(--ISNUMBER(SEARCH(","&amp;TRIM(TEXTSPLIT(GK10,","))&amp;",",","&amp;SUBSTITUTE(input_organizer," ","")&amp;",")))&gt;0)),IF(GM10="",TRUE,IF(input_organizer="",FALSE,SUMPRODUCT(--ISNUMBER(SEARCH(","&amp;TRIM(TEXTSPLIT(GM10,","))&amp;",",","&amp;SUBSTITUTE(input_organizer," ","")&amp;",")))=COUNTA(TEXTSPLIT(GM10,",")))),IF(GO10="",TRUE,IF(input_organizer="",TRUE,SUMPRODUCT(--ISNUMBER(SEARCH(","&amp;TRIM(TEXTSPLIT(GO10,","))&amp;",",","&amp;SUBSTITUTE(input_organizer," ","")&amp;",")))=0)),IF(GQ10="",TRUE,IF(input_organizer="",FALSE,SUMPRODUCT(--ISNUMBER(SEARCH(","&amp;TRIM(TEXTSPLIT(GQ10,","))&amp;",",","&amp;SUBSTITUTE(input_organizer," ","")&amp;",")))&gt;0)),IF(GS10="",TRUE,IF(input_organizer="",FALSE,SUMPRODUCT(--ISNUMBER(SEARCH(","&amp;TRIM(TEXTSPLIT(GS10,","))&amp;",",","&amp;SUBSTITUTE(input_organizer," ","")&amp;",")))=COUNTA(TEXTSPLIT(GS10,",")))))</f>
        <v/>
      </c>
      <c r="JM10">
        <f>AND(IF(GU10="",TRUE,IF(input_profile_type="",FALSE,SUMPRODUCT(--ISNUMBER(SEARCH(","&amp;TRIM(TEXTSPLIT(GU10,","))&amp;",",","&amp;SUBSTITUTE(input_profile_type," ","")&amp;",")))&gt;0)),IF(GW10="",TRUE,IF(input_profile_type="",FALSE,SUMPRODUCT(--ISNUMBER(SEARCH(","&amp;TRIM(TEXTSPLIT(GW10,","))&amp;",",","&amp;SUBSTITUTE(input_profile_type," ","")&amp;",")))=COUNTA(TEXTSPLIT(GW10,",")))),IF(GY10="",TRUE,IF(input_profile_type="",TRUE,SUMPRODUCT(--ISNUMBER(SEARCH(","&amp;TRIM(TEXTSPLIT(GY10,","))&amp;",",","&amp;SUBSTITUTE(input_profile_type," ","")&amp;",")))=0)),IF(HA10="",TRUE,IF(input_profile_type="",FALSE,SUMPRODUCT(--ISNUMBER(SEARCH(","&amp;TRIM(TEXTSPLIT(HA10,","))&amp;",",","&amp;SUBSTITUTE(input_profile_type," ","")&amp;",")))&gt;0)),IF(HC10="",TRUE,IF(input_profile_type="",FALSE,SUMPRODUCT(--ISNUMBER(SEARCH(","&amp;TRIM(TEXTSPLIT(HC10,","))&amp;",",","&amp;SUBSTITUTE(input_profile_type," ","")&amp;",")))=COUNTA(TEXTSPLIT(HC10,",")))))</f>
        <v/>
      </c>
      <c r="JN10">
        <f>AND(IF(HE10="",TRUE,IF(input_program="",FALSE,SUMPRODUCT(--ISNUMBER(SEARCH(","&amp;TRIM(TEXTSPLIT(HE10,","))&amp;",",","&amp;SUBSTITUTE(input_program," ","")&amp;",")))&gt;0)),IF(HG10="",TRUE,IF(input_program="",FALSE,SUMPRODUCT(--ISNUMBER(SEARCH(","&amp;TRIM(TEXTSPLIT(HG10,","))&amp;",",","&amp;SUBSTITUTE(input_program," ","")&amp;",")))=COUNTA(TEXTSPLIT(HG10,",")))),IF(HI10="",TRUE,IF(input_program="",TRUE,SUMPRODUCT(--ISNUMBER(SEARCH(","&amp;TRIM(TEXTSPLIT(HI10,","))&amp;",",","&amp;SUBSTITUTE(input_program," ","")&amp;",")))=0)),IF(HK10="",TRUE,IF(input_program="",FALSE,SUMPRODUCT(--ISNUMBER(SEARCH(","&amp;TRIM(TEXTSPLIT(HK10,","))&amp;",",","&amp;SUBSTITUTE(input_program," ","")&amp;",")))&gt;0)),IF(HM10="",TRUE,IF(input_program="",FALSE,SUMPRODUCT(--ISNUMBER(SEARCH(","&amp;TRIM(TEXTSPLIT(HM10,","))&amp;",",","&amp;SUBSTITUTE(input_program," ","")&amp;",")))=COUNTA(TEXTSPLIT(HM10,",")))))</f>
        <v/>
      </c>
      <c r="JO10">
        <f>AND(IF(HO10="",TRUE,IF(input_story_categories="",FALSE,SUMPRODUCT(--ISNUMBER(SEARCH(","&amp;TRIM(TEXTSPLIT(HO10,","))&amp;",",","&amp;SUBSTITUTE(input_story_categories," ","")&amp;",")))&gt;0)),IF(HQ10="",TRUE,IF(input_story_categories="",FALSE,SUMPRODUCT(--ISNUMBER(SEARCH(","&amp;TRIM(TEXTSPLIT(HQ10,","))&amp;",",","&amp;SUBSTITUTE(input_story_categories," ","")&amp;",")))=COUNTA(TEXTSPLIT(HQ10,",")))),IF(HS10="",TRUE,IF(input_story_categories="",TRUE,SUMPRODUCT(--ISNUMBER(SEARCH(","&amp;TRIM(TEXTSPLIT(HS10,","))&amp;",",","&amp;SUBSTITUTE(input_story_categories," ","")&amp;",")))=0)),IF(HU10="",TRUE,IF(input_story_categories="",FALSE,SUMPRODUCT(--ISNUMBER(SEARCH(","&amp;TRIM(TEXTSPLIT(HU10,","))&amp;",",","&amp;SUBSTITUTE(input_story_categories," ","")&amp;",")))&gt;0)),IF(HW10="",TRUE,IF(input_story_categories="",FALSE,SUMPRODUCT(--ISNUMBER(SEARCH(","&amp;TRIM(TEXTSPLIT(HW10,","))&amp;",",","&amp;SUBSTITUTE(input_story_categories," ","")&amp;",")))=COUNTA(TEXTSPLIT(HW10,",")))))</f>
        <v/>
      </c>
      <c r="JP10">
        <f>AND(IF(HY10="",TRUE,IF(input_story_type="",FALSE,SUMPRODUCT(--ISNUMBER(SEARCH(","&amp;TRIM(TEXTSPLIT(HY10,","))&amp;",",","&amp;SUBSTITUTE(input_story_type," ","")&amp;",")))&gt;0)),IF(IA10="",TRUE,IF(input_story_type="",FALSE,SUMPRODUCT(--ISNUMBER(SEARCH(","&amp;TRIM(TEXTSPLIT(IA10,","))&amp;",",","&amp;SUBSTITUTE(input_story_type," ","")&amp;",")))=COUNTA(TEXTSPLIT(IA10,",")))),IF(IC10="",TRUE,IF(input_story_type="",TRUE,SUMPRODUCT(--ISNUMBER(SEARCH(","&amp;TRIM(TEXTSPLIT(IC10,","))&amp;",",","&amp;SUBSTITUTE(input_story_type," ","")&amp;",")))=0)),IF(IE10="",TRUE,IF(input_story_type="",FALSE,SUMPRODUCT(--ISNUMBER(SEARCH(","&amp;TRIM(TEXTSPLIT(IE10,","))&amp;",",","&amp;SUBSTITUTE(input_story_type," ","")&amp;",")))&gt;0)),IF(IG10="",TRUE,IF(input_story_type="",FALSE,SUMPRODUCT(--ISNUMBER(SEARCH(","&amp;TRIM(TEXTSPLIT(IG10,","))&amp;",",","&amp;SUBSTITUTE(input_story_type," ","")&amp;",")))=COUNTA(TEXTSPLIT(IG10,",")))))</f>
        <v/>
      </c>
      <c r="JQ10">
        <f>AND(IF(II10="",TRUE,IF(input_topics="",FALSE,SUMPRODUCT(--ISNUMBER(SEARCH(","&amp;TRIM(TEXTSPLIT(II10,","))&amp;",",","&amp;SUBSTITUTE(input_topics," ","")&amp;",")))&gt;0)),IF(IK10="",TRUE,IF(input_topics="",FALSE,SUMPRODUCT(--ISNUMBER(SEARCH(","&amp;TRIM(TEXTSPLIT(IK10,","))&amp;",",","&amp;SUBSTITUTE(input_topics," ","")&amp;",")))=COUNTA(TEXTSPLIT(IK10,",")))),IF(IM10="",TRUE,IF(input_topics="",TRUE,SUMPRODUCT(--ISNUMBER(SEARCH(","&amp;TRIM(TEXTSPLIT(IM10,","))&amp;",",","&amp;SUBSTITUTE(input_topics," ","")&amp;",")))=0)),IF(IO10="",TRUE,IF(input_topics="",FALSE,SUMPRODUCT(--ISNUMBER(SEARCH(","&amp;TRIM(TEXTSPLIT(IO10,","))&amp;",",","&amp;SUBSTITUTE(input_topics," ","")&amp;",")))&gt;0)),IF(IQ10="",TRUE,IF(input_topics="",FALSE,SUMPRODUCT(--ISNUMBER(SEARCH(","&amp;TRIM(TEXTSPLIT(IQ10,","))&amp;",",","&amp;SUBSTITUTE(input_topics," ","")&amp;",")))=COUNTA(TEXTSPLIT(IQ10,",")))))</f>
        <v/>
      </c>
    </row>
    <row r="11">
      <c r="A11" s="4">
        <f>IF(NOT(IS11),"Excluded",IF(AND(IT11,IU11,IV11,IW11,IX11,IY11,IZ11,JA11,JB11,JC11,JD11,JE11,JF11,JG11,JH11,JI11,JJ11,JK11,JL11,JM11,JN11,JO11,JP11,JQ11),IF(I11&gt;0,"Eligible but limited","Will appear"),"Excluded"))</f>
        <v/>
      </c>
      <c r="B11" s="4" t="inlineStr">
        <is>
          <t>All blogs</t>
        </is>
      </c>
      <c r="C11" s="4" t="inlineStr">
        <is>
          <t>/the-som-experience</t>
        </is>
      </c>
      <c r="D11" s="4" t="inlineStr">
        <is>
          <t>/the-som-experience</t>
        </is>
      </c>
      <c r="E11" s="4" t="n">
        <v>1</v>
      </c>
      <c r="F11" s="4" t="inlineStr">
        <is>
          <t>story</t>
        </is>
      </c>
      <c r="G11" s="4" t="inlineStr">
        <is>
          <t>stories_grid_with_images</t>
        </is>
      </c>
      <c r="H11" s="4" t="inlineStr">
        <is>
          <t>embed_blog</t>
        </is>
      </c>
      <c r="I11" s="4" t="n">
        <v>3</v>
      </c>
      <c r="J11" s="4" t="inlineStr">
        <is>
          <t>View/config rules</t>
        </is>
      </c>
      <c r="K11" s="4" t="inlineStr">
        <is>
          <t>Page placement</t>
        </is>
      </c>
      <c r="L11" s="4" t="inlineStr">
        <is>
          <t>Content type: story; Needs any Story Type: Blog (974); Limited to 3 item(s); Source: View/config rules</t>
        </is>
      </c>
      <c r="M11" t="inlineStr"/>
      <c r="N11" t="inlineStr"/>
      <c r="O11" t="inlineStr"/>
      <c r="P11" t="inlineStr"/>
      <c r="Q11" t="inlineStr"/>
      <c r="R11" t="inlineStr"/>
      <c r="S11" t="inlineStr"/>
      <c r="T11" t="inlineStr"/>
      <c r="U11" t="inlineStr"/>
      <c r="V11" t="inlineStr"/>
      <c r="W11" t="inlineStr"/>
      <c r="X11" t="inlineStr"/>
      <c r="Y11" t="inlineStr"/>
      <c r="Z11" t="inlineStr"/>
      <c r="AA11" t="inlineStr"/>
      <c r="AB11" t="inlineStr"/>
      <c r="AC11" t="inlineStr"/>
      <c r="AD11" t="inlineStr"/>
      <c r="AE11" t="inlineStr"/>
      <c r="AF11" t="inlineStr"/>
      <c r="AG11" t="inlineStr"/>
      <c r="AH11" t="inlineStr"/>
      <c r="AI11" t="inlineStr"/>
      <c r="AJ11" t="inlineStr"/>
      <c r="AK11" t="inlineStr"/>
      <c r="AL11" t="inlineStr"/>
      <c r="AM11" t="inlineStr"/>
      <c r="AN11" t="inlineStr"/>
      <c r="AO11" t="inlineStr"/>
      <c r="AP11" t="inlineStr"/>
      <c r="AQ11" t="inlineStr"/>
      <c r="AR11" t="inlineStr"/>
      <c r="AS11" t="inlineStr"/>
      <c r="AT11" t="inlineStr"/>
      <c r="AU11" t="inlineStr"/>
      <c r="AV11" t="inlineStr"/>
      <c r="AW11" t="inlineStr"/>
      <c r="AX11" t="inlineStr"/>
      <c r="AY11" t="inlineStr"/>
      <c r="AZ11" t="inlineStr"/>
      <c r="BA11" t="inlineStr"/>
      <c r="BB11" t="inlineStr"/>
      <c r="BC11" t="inlineStr"/>
      <c r="BD11" t="inlineStr"/>
      <c r="BE11" t="inlineStr"/>
      <c r="BF11" t="inlineStr"/>
      <c r="BG11" t="inlineStr"/>
      <c r="BH11" t="inlineStr"/>
      <c r="BI11" t="inlineStr"/>
      <c r="BJ11" t="inlineStr"/>
      <c r="BK11" t="inlineStr"/>
      <c r="BL11" t="inlineStr"/>
      <c r="BM11" t="inlineStr"/>
      <c r="BN11" t="inlineStr"/>
      <c r="BO11" t="inlineStr"/>
      <c r="BP11" t="inlineStr"/>
      <c r="BQ11" t="inlineStr"/>
      <c r="BR11" t="inlineStr"/>
      <c r="BS11" t="inlineStr"/>
      <c r="BT11" t="inlineStr"/>
      <c r="BU11" t="inlineStr"/>
      <c r="BV11" t="inlineStr"/>
      <c r="BW11" t="inlineStr"/>
      <c r="BX11" t="inlineStr"/>
      <c r="BY11" t="inlineStr"/>
      <c r="BZ11" t="inlineStr"/>
      <c r="CA11" t="inlineStr"/>
      <c r="CB11" t="inlineStr"/>
      <c r="CC11" t="inlineStr"/>
      <c r="CD11" t="inlineStr"/>
      <c r="CE11" t="inlineStr"/>
      <c r="CF11" t="inlineStr"/>
      <c r="CG11" t="inlineStr"/>
      <c r="CH11" t="inlineStr"/>
      <c r="CI11" t="inlineStr"/>
      <c r="CJ11" t="inlineStr"/>
      <c r="CK11" t="inlineStr"/>
      <c r="CL11" t="inlineStr"/>
      <c r="CM11" t="inlineStr"/>
      <c r="CN11" t="inlineStr"/>
      <c r="CO11" t="inlineStr"/>
      <c r="CP11" t="inlineStr"/>
      <c r="CQ11" t="inlineStr"/>
      <c r="CR11" t="inlineStr"/>
      <c r="CS11" t="inlineStr"/>
      <c r="CT11" t="inlineStr"/>
      <c r="CU11" t="inlineStr"/>
      <c r="CV11" t="inlineStr"/>
      <c r="CW11" t="inlineStr"/>
      <c r="CX11" t="inlineStr"/>
      <c r="CY11" t="inlineStr"/>
      <c r="CZ11" t="inlineStr"/>
      <c r="DA11" t="inlineStr"/>
      <c r="DB11" t="inlineStr"/>
      <c r="DC11" t="inlineStr"/>
      <c r="DD11" t="inlineStr"/>
      <c r="DE11" t="inlineStr"/>
      <c r="DF11" t="inlineStr"/>
      <c r="DG11" t="inlineStr"/>
      <c r="DH11" t="inlineStr"/>
      <c r="DI11" t="inlineStr"/>
      <c r="DJ11" t="inlineStr"/>
      <c r="DK11" t="inlineStr"/>
      <c r="DL11" t="inlineStr"/>
      <c r="DM11" t="inlineStr"/>
      <c r="DN11" t="inlineStr"/>
      <c r="DO11" t="inlineStr"/>
      <c r="DP11" t="inlineStr"/>
      <c r="DQ11" t="inlineStr"/>
      <c r="DR11" t="inlineStr"/>
      <c r="DS11" t="inlineStr"/>
      <c r="DT11" t="inlineStr"/>
      <c r="DU11" t="inlineStr"/>
      <c r="DV11" t="inlineStr"/>
      <c r="DW11" t="inlineStr"/>
      <c r="DX11" t="inlineStr"/>
      <c r="DY11" t="inlineStr"/>
      <c r="DZ11" t="inlineStr"/>
      <c r="EA11" t="inlineStr"/>
      <c r="EB11" t="inlineStr"/>
      <c r="EC11" t="inlineStr"/>
      <c r="ED11" t="inlineStr"/>
      <c r="EE11" t="inlineStr"/>
      <c r="EF11" t="inlineStr"/>
      <c r="EG11" t="inlineStr"/>
      <c r="EH11" t="inlineStr"/>
      <c r="EI11" t="inlineStr"/>
      <c r="EJ11" t="inlineStr"/>
      <c r="EK11" t="inlineStr"/>
      <c r="EL11" t="inlineStr"/>
      <c r="EM11" t="inlineStr"/>
      <c r="EN11" t="inlineStr"/>
      <c r="EO11" t="inlineStr"/>
      <c r="EP11" t="inlineStr"/>
      <c r="EQ11" t="inlineStr"/>
      <c r="ER11" t="inlineStr"/>
      <c r="ES11" t="inlineStr"/>
      <c r="ET11" t="inlineStr"/>
      <c r="EU11" t="inlineStr"/>
      <c r="EV11" t="inlineStr"/>
      <c r="EW11" t="inlineStr"/>
      <c r="EX11" t="inlineStr"/>
      <c r="EY11" t="inlineStr"/>
      <c r="EZ11" t="inlineStr"/>
      <c r="FA11" t="inlineStr"/>
      <c r="FB11" t="inlineStr"/>
      <c r="FC11" t="inlineStr"/>
      <c r="FD11" t="inlineStr"/>
      <c r="FE11" t="inlineStr"/>
      <c r="FF11" t="inlineStr"/>
      <c r="FG11" t="inlineStr"/>
      <c r="FH11" t="inlineStr"/>
      <c r="FI11" t="inlineStr"/>
      <c r="FJ11" t="inlineStr"/>
      <c r="FK11" t="inlineStr"/>
      <c r="FL11" t="inlineStr"/>
      <c r="FM11" t="inlineStr"/>
      <c r="FN11" t="inlineStr"/>
      <c r="FO11" t="inlineStr"/>
      <c r="FP11" t="inlineStr"/>
      <c r="FQ11" t="inlineStr"/>
      <c r="FR11" t="inlineStr"/>
      <c r="FS11" t="inlineStr"/>
      <c r="FT11" t="inlineStr"/>
      <c r="FU11" t="inlineStr"/>
      <c r="FV11" t="inlineStr"/>
      <c r="FW11" t="inlineStr"/>
      <c r="FX11" t="inlineStr"/>
      <c r="FY11" t="inlineStr"/>
      <c r="FZ11" t="inlineStr"/>
      <c r="GA11" t="inlineStr"/>
      <c r="GB11" t="inlineStr"/>
      <c r="GC11" t="inlineStr"/>
      <c r="GD11" t="inlineStr"/>
      <c r="GE11" t="inlineStr"/>
      <c r="GF11" t="inlineStr"/>
      <c r="GG11" t="inlineStr"/>
      <c r="GH11" t="inlineStr"/>
      <c r="GI11" t="inlineStr"/>
      <c r="GJ11" t="inlineStr"/>
      <c r="GK11" t="inlineStr"/>
      <c r="GL11" t="inlineStr"/>
      <c r="GM11" t="inlineStr"/>
      <c r="GN11" t="inlineStr"/>
      <c r="GO11" t="inlineStr"/>
      <c r="GP11" t="inlineStr"/>
      <c r="GQ11" t="inlineStr"/>
      <c r="GR11" t="inlineStr"/>
      <c r="GS11" t="inlineStr"/>
      <c r="GT11" t="inlineStr"/>
      <c r="GU11" t="inlineStr"/>
      <c r="GV11" t="inlineStr"/>
      <c r="GW11" t="inlineStr"/>
      <c r="GX11" t="inlineStr"/>
      <c r="GY11" t="inlineStr"/>
      <c r="GZ11" t="inlineStr"/>
      <c r="HA11" t="inlineStr"/>
      <c r="HB11" t="inlineStr"/>
      <c r="HC11" t="inlineStr"/>
      <c r="HD11" t="inlineStr"/>
      <c r="HE11" t="inlineStr"/>
      <c r="HF11" t="inlineStr"/>
      <c r="HG11" t="inlineStr"/>
      <c r="HH11" t="inlineStr"/>
      <c r="HI11" t="inlineStr"/>
      <c r="HJ11" t="inlineStr"/>
      <c r="HK11" t="inlineStr"/>
      <c r="HL11" t="inlineStr"/>
      <c r="HM11" t="inlineStr"/>
      <c r="HN11" t="inlineStr"/>
      <c r="HO11" t="inlineStr"/>
      <c r="HP11" t="inlineStr"/>
      <c r="HQ11" t="inlineStr"/>
      <c r="HR11" t="inlineStr"/>
      <c r="HS11" t="inlineStr"/>
      <c r="HT11" t="inlineStr"/>
      <c r="HU11" t="inlineStr"/>
      <c r="HV11" t="inlineStr"/>
      <c r="HW11" t="inlineStr"/>
      <c r="HX11" t="inlineStr"/>
      <c r="HY11" t="inlineStr">
        <is>
          <t>974</t>
        </is>
      </c>
      <c r="HZ11" t="inlineStr">
        <is>
          <t>Blog (974)</t>
        </is>
      </c>
      <c r="IA11" t="inlineStr"/>
      <c r="IB11" t="inlineStr"/>
      <c r="IC11" t="inlineStr"/>
      <c r="ID11" t="inlineStr"/>
      <c r="IE11" t="inlineStr"/>
      <c r="IF11" t="inlineStr"/>
      <c r="IG11" t="inlineStr"/>
      <c r="IH11" t="inlineStr"/>
      <c r="II11" t="inlineStr"/>
      <c r="IJ11" t="inlineStr"/>
      <c r="IK11" t="inlineStr"/>
      <c r="IL11" t="inlineStr"/>
      <c r="IM11" t="inlineStr"/>
      <c r="IN11" t="inlineStr"/>
      <c r="IO11" t="inlineStr"/>
      <c r="IP11" t="inlineStr"/>
      <c r="IQ11" t="inlineStr"/>
      <c r="IR11" t="inlineStr"/>
      <c r="IS11">
        <f>IF(input_content_type="",FALSE,ISNUMBER(SEARCH(","&amp;LOWER(input_content_type)&amp;",",","&amp;LOWER(F11)&amp;",")))</f>
        <v/>
      </c>
      <c r="IT11">
        <f>AND(IF(M11="",TRUE,IF(input_affiliations="",FALSE,SUMPRODUCT(--ISNUMBER(SEARCH(","&amp;TRIM(TEXTSPLIT(M11,","))&amp;",",","&amp;SUBSTITUTE(input_affiliations," ","")&amp;",")))&gt;0)),IF(O11="",TRUE,IF(input_affiliations="",FALSE,SUMPRODUCT(--ISNUMBER(SEARCH(","&amp;TRIM(TEXTSPLIT(O11,","))&amp;",",","&amp;SUBSTITUTE(input_affiliations," ","")&amp;",")))=COUNTA(TEXTSPLIT(O11,",")))),IF(Q11="",TRUE,IF(input_affiliations="",TRUE,SUMPRODUCT(--ISNUMBER(SEARCH(","&amp;TRIM(TEXTSPLIT(Q11,","))&amp;",",","&amp;SUBSTITUTE(input_affiliations," ","")&amp;",")))=0)),IF(S11="",TRUE,IF(input_affiliations="",FALSE,SUMPRODUCT(--ISNUMBER(SEARCH(","&amp;TRIM(TEXTSPLIT(S11,","))&amp;",",","&amp;SUBSTITUTE(input_affiliations," ","")&amp;",")))&gt;0)),IF(U11="",TRUE,IF(input_affiliations="",FALSE,SUMPRODUCT(--ISNUMBER(SEARCH(","&amp;TRIM(TEXTSPLIT(U11,","))&amp;",",","&amp;SUBSTITUTE(input_affiliations," ","")&amp;",")))=COUNTA(TEXTSPLIT(U11,",")))))</f>
        <v/>
      </c>
      <c r="IU11">
        <f>AND(IF(W11="",TRUE,IF(input_announcement_category="",FALSE,SUMPRODUCT(--ISNUMBER(SEARCH(","&amp;TRIM(TEXTSPLIT(W11,","))&amp;",",","&amp;SUBSTITUTE(input_announcement_category," ","")&amp;",")))&gt;0)),IF(Y11="",TRUE,IF(input_announcement_category="",FALSE,SUMPRODUCT(--ISNUMBER(SEARCH(","&amp;TRIM(TEXTSPLIT(Y11,","))&amp;",",","&amp;SUBSTITUTE(input_announcement_category," ","")&amp;",")))=COUNTA(TEXTSPLIT(Y11,",")))),IF(AA11="",TRUE,IF(input_announcement_category="",TRUE,SUMPRODUCT(--ISNUMBER(SEARCH(","&amp;TRIM(TEXTSPLIT(AA11,","))&amp;",",","&amp;SUBSTITUTE(input_announcement_category," ","")&amp;",")))=0)),IF(AC11="",TRUE,IF(input_announcement_category="",FALSE,SUMPRODUCT(--ISNUMBER(SEARCH(","&amp;TRIM(TEXTSPLIT(AC11,","))&amp;",",","&amp;SUBSTITUTE(input_announcement_category," ","")&amp;",")))&gt;0)),IF(AE11="",TRUE,IF(input_announcement_category="",FALSE,SUMPRODUCT(--ISNUMBER(SEARCH(","&amp;TRIM(TEXTSPLIT(AE11,","))&amp;",",","&amp;SUBSTITUTE(input_announcement_category," ","")&amp;",")))=COUNTA(TEXTSPLIT(AE11,",")))))</f>
        <v/>
      </c>
      <c r="IV11">
        <f>AND(IF(AG11="",TRUE,IF(input_area_of_focus="",FALSE,SUMPRODUCT(--ISNUMBER(SEARCH(","&amp;TRIM(TEXTSPLIT(AG11,","))&amp;",",","&amp;SUBSTITUTE(input_area_of_focus," ","")&amp;",")))&gt;0)),IF(AI11="",TRUE,IF(input_area_of_focus="",FALSE,SUMPRODUCT(--ISNUMBER(SEARCH(","&amp;TRIM(TEXTSPLIT(AI11,","))&amp;",",","&amp;SUBSTITUTE(input_area_of_focus," ","")&amp;",")))=COUNTA(TEXTSPLIT(AI11,",")))),IF(AK11="",TRUE,IF(input_area_of_focus="",TRUE,SUMPRODUCT(--ISNUMBER(SEARCH(","&amp;TRIM(TEXTSPLIT(AK11,","))&amp;",",","&amp;SUBSTITUTE(input_area_of_focus," ","")&amp;",")))=0)),IF(AM11="",TRUE,IF(input_area_of_focus="",FALSE,SUMPRODUCT(--ISNUMBER(SEARCH(","&amp;TRIM(TEXTSPLIT(AM11,","))&amp;",",","&amp;SUBSTITUTE(input_area_of_focus," ","")&amp;",")))&gt;0)),IF(AO11="",TRUE,IF(input_area_of_focus="",FALSE,SUMPRODUCT(--ISNUMBER(SEARCH(","&amp;TRIM(TEXTSPLIT(AO11,","))&amp;",",","&amp;SUBSTITUTE(input_area_of_focus," ","")&amp;",")))=COUNTA(TEXTSPLIT(AO11,",")))))</f>
        <v/>
      </c>
      <c r="IW11">
        <f>AND(IF(AQ11="",TRUE,IF(input_audience="",FALSE,SUMPRODUCT(--ISNUMBER(SEARCH(","&amp;TRIM(TEXTSPLIT(AQ11,","))&amp;",",","&amp;SUBSTITUTE(input_audience," ","")&amp;",")))&gt;0)),IF(AS11="",TRUE,IF(input_audience="",FALSE,SUMPRODUCT(--ISNUMBER(SEARCH(","&amp;TRIM(TEXTSPLIT(AS11,","))&amp;",",","&amp;SUBSTITUTE(input_audience," ","")&amp;",")))=COUNTA(TEXTSPLIT(AS11,",")))),IF(AU11="",TRUE,IF(input_audience="",TRUE,SUMPRODUCT(--ISNUMBER(SEARCH(","&amp;TRIM(TEXTSPLIT(AU11,","))&amp;",",","&amp;SUBSTITUTE(input_audience," ","")&amp;",")))=0)),IF(AW11="",TRUE,IF(input_audience="",FALSE,SUMPRODUCT(--ISNUMBER(SEARCH(","&amp;TRIM(TEXTSPLIT(AW11,","))&amp;",",","&amp;SUBSTITUTE(input_audience," ","")&amp;",")))&gt;0)),IF(AY11="",TRUE,IF(input_audience="",FALSE,SUMPRODUCT(--ISNUMBER(SEARCH(","&amp;TRIM(TEXTSPLIT(AY11,","))&amp;",",","&amp;SUBSTITUTE(input_audience," ","")&amp;",")))=COUNTA(TEXTSPLIT(AY11,",")))))</f>
        <v/>
      </c>
      <c r="IX11">
        <f>AND(IF(BA11="",TRUE,IF(input_challenge_opportunities="",FALSE,SUMPRODUCT(--ISNUMBER(SEARCH(","&amp;TRIM(TEXTSPLIT(BA11,","))&amp;",",","&amp;SUBSTITUTE(input_challenge_opportunities," ","")&amp;",")))&gt;0)),IF(BC11="",TRUE,IF(input_challenge_opportunities="",FALSE,SUMPRODUCT(--ISNUMBER(SEARCH(","&amp;TRIM(TEXTSPLIT(BC11,","))&amp;",",","&amp;SUBSTITUTE(input_challenge_opportunities," ","")&amp;",")))=COUNTA(TEXTSPLIT(BC11,",")))),IF(BE11="",TRUE,IF(input_challenge_opportunities="",TRUE,SUMPRODUCT(--ISNUMBER(SEARCH(","&amp;TRIM(TEXTSPLIT(BE11,","))&amp;",",","&amp;SUBSTITUTE(input_challenge_opportunities," ","")&amp;",")))=0)),IF(BG11="",TRUE,IF(input_challenge_opportunities="",FALSE,SUMPRODUCT(--ISNUMBER(SEARCH(","&amp;TRIM(TEXTSPLIT(BG11,","))&amp;",",","&amp;SUBSTITUTE(input_challenge_opportunities," ","")&amp;",")))&gt;0)),IF(BI11="",TRUE,IF(input_challenge_opportunities="",FALSE,SUMPRODUCT(--ISNUMBER(SEARCH(","&amp;TRIM(TEXTSPLIT(BI11,","))&amp;",",","&amp;SUBSTITUTE(input_challenge_opportunities," ","")&amp;",")))=COUNTA(TEXTSPLIT(BI11,",")))))</f>
        <v/>
      </c>
      <c r="IY11">
        <f>AND(IF(BK11="",TRUE,IF(input_context="",FALSE,SUMPRODUCT(--ISNUMBER(SEARCH(","&amp;TRIM(TEXTSPLIT(BK11,","))&amp;",",","&amp;SUBSTITUTE(input_context," ","")&amp;",")))&gt;0)),IF(BM11="",TRUE,IF(input_context="",FALSE,SUMPRODUCT(--ISNUMBER(SEARCH(","&amp;TRIM(TEXTSPLIT(BM11,","))&amp;",",","&amp;SUBSTITUTE(input_context," ","")&amp;",")))=COUNTA(TEXTSPLIT(BM11,",")))),IF(BO11="",TRUE,IF(input_context="",TRUE,SUMPRODUCT(--ISNUMBER(SEARCH(","&amp;TRIM(TEXTSPLIT(BO11,","))&amp;",",","&amp;SUBSTITUTE(input_context," ","")&amp;",")))=0)),IF(BQ11="",TRUE,IF(input_context="",FALSE,SUMPRODUCT(--ISNUMBER(SEARCH(","&amp;TRIM(TEXTSPLIT(BQ11,","))&amp;",",","&amp;SUBSTITUTE(input_context," ","")&amp;",")))&gt;0)),IF(BS11="",TRUE,IF(input_context="",FALSE,SUMPRODUCT(--ISNUMBER(SEARCH(","&amp;TRIM(TEXTSPLIT(BS11,","))&amp;",",","&amp;SUBSTITUTE(input_context," ","")&amp;",")))=COUNTA(TEXTSPLIT(BS11,",")))))</f>
        <v/>
      </c>
      <c r="IZ11">
        <f>AND(IF(BU11="",TRUE,IF(input_enews_announcement_type="",FALSE,SUMPRODUCT(--ISNUMBER(SEARCH(","&amp;TRIM(TEXTSPLIT(BU11,","))&amp;",",","&amp;SUBSTITUTE(input_enews_announcement_type," ","")&amp;",")))&gt;0)),IF(BW11="",TRUE,IF(input_enews_announcement_type="",FALSE,SUMPRODUCT(--ISNUMBER(SEARCH(","&amp;TRIM(TEXTSPLIT(BW11,","))&amp;",",","&amp;SUBSTITUTE(input_enews_announcement_type," ","")&amp;",")))=COUNTA(TEXTSPLIT(BW11,",")))),IF(BY11="",TRUE,IF(input_enews_announcement_type="",TRUE,SUMPRODUCT(--ISNUMBER(SEARCH(","&amp;TRIM(TEXTSPLIT(BY11,","))&amp;",",","&amp;SUBSTITUTE(input_enews_announcement_type," ","")&amp;",")))=0)),IF(CA11="",TRUE,IF(input_enews_announcement_type="",FALSE,SUMPRODUCT(--ISNUMBER(SEARCH(","&amp;TRIM(TEXTSPLIT(CA11,","))&amp;",",","&amp;SUBSTITUTE(input_enews_announcement_type," ","")&amp;",")))&gt;0)),IF(CC11="",TRUE,IF(input_enews_announcement_type="",FALSE,SUMPRODUCT(--ISNUMBER(SEARCH(","&amp;TRIM(TEXTSPLIT(CC11,","))&amp;",",","&amp;SUBSTITUTE(input_enews_announcement_type," ","")&amp;",")))=COUNTA(TEXTSPLIT(CC11,",")))))</f>
        <v/>
      </c>
      <c r="JA11">
        <f>AND(IF(CE11="",TRUE,IF(input_enews_audience="",FALSE,SUMPRODUCT(--ISNUMBER(SEARCH(","&amp;TRIM(TEXTSPLIT(CE11,","))&amp;",",","&amp;SUBSTITUTE(input_enews_audience," ","")&amp;",")))&gt;0)),IF(CG11="",TRUE,IF(input_enews_audience="",FALSE,SUMPRODUCT(--ISNUMBER(SEARCH(","&amp;TRIM(TEXTSPLIT(CG11,","))&amp;",",","&amp;SUBSTITUTE(input_enews_audience," ","")&amp;",")))=COUNTA(TEXTSPLIT(CG11,",")))),IF(CI11="",TRUE,IF(input_enews_audience="",TRUE,SUMPRODUCT(--ISNUMBER(SEARCH(","&amp;TRIM(TEXTSPLIT(CI11,","))&amp;",",","&amp;SUBSTITUTE(input_enews_audience," ","")&amp;",")))=0)),IF(CK11="",TRUE,IF(input_enews_audience="",FALSE,SUMPRODUCT(--ISNUMBER(SEARCH(","&amp;TRIM(TEXTSPLIT(CK11,","))&amp;",",","&amp;SUBSTITUTE(input_enews_audience," ","")&amp;",")))&gt;0)),IF(CM11="",TRUE,IF(input_enews_audience="",FALSE,SUMPRODUCT(--ISNUMBER(SEARCH(","&amp;TRIM(TEXTSPLIT(CM11,","))&amp;",",","&amp;SUBSTITUTE(input_enews_audience," ","")&amp;",")))=COUNTA(TEXTSPLIT(CM11,",")))))</f>
        <v/>
      </c>
      <c r="JB11">
        <f>AND(IF(CO11="",TRUE,IF(input_event_location="",FALSE,SUMPRODUCT(--ISNUMBER(SEARCH(","&amp;TRIM(TEXTSPLIT(CO11,","))&amp;",",","&amp;SUBSTITUTE(input_event_location," ","")&amp;",")))&gt;0)),IF(CQ11="",TRUE,IF(input_event_location="",FALSE,SUMPRODUCT(--ISNUMBER(SEARCH(","&amp;TRIM(TEXTSPLIT(CQ11,","))&amp;",",","&amp;SUBSTITUTE(input_event_location," ","")&amp;",")))=COUNTA(TEXTSPLIT(CQ11,",")))),IF(CS11="",TRUE,IF(input_event_location="",TRUE,SUMPRODUCT(--ISNUMBER(SEARCH(","&amp;TRIM(TEXTSPLIT(CS11,","))&amp;",",","&amp;SUBSTITUTE(input_event_location," ","")&amp;",")))=0)),IF(CU11="",TRUE,IF(input_event_location="",FALSE,SUMPRODUCT(--ISNUMBER(SEARCH(","&amp;TRIM(TEXTSPLIT(CU11,","))&amp;",",","&amp;SUBSTITUTE(input_event_location," ","")&amp;",")))&gt;0)),IF(CW11="",TRUE,IF(input_event_location="",FALSE,SUMPRODUCT(--ISNUMBER(SEARCH(","&amp;TRIM(TEXTSPLIT(CW11,","))&amp;",",","&amp;SUBSTITUTE(input_event_location," ","")&amp;",")))=COUNTA(TEXTSPLIT(CW11,",")))))</f>
        <v/>
      </c>
      <c r="JC11">
        <f>AND(IF(CY11="",TRUE,IF(input_event_type="",FALSE,SUMPRODUCT(--ISNUMBER(SEARCH(","&amp;TRIM(TEXTSPLIT(CY11,","))&amp;",",","&amp;SUBSTITUTE(input_event_type," ","")&amp;",")))&gt;0)),IF(DA11="",TRUE,IF(input_event_type="",FALSE,SUMPRODUCT(--ISNUMBER(SEARCH(","&amp;TRIM(TEXTSPLIT(DA11,","))&amp;",",","&amp;SUBSTITUTE(input_event_type," ","")&amp;",")))=COUNTA(TEXTSPLIT(DA11,",")))),IF(DC11="",TRUE,IF(input_event_type="",TRUE,SUMPRODUCT(--ISNUMBER(SEARCH(","&amp;TRIM(TEXTSPLIT(DC11,","))&amp;",",","&amp;SUBSTITUTE(input_event_type," ","")&amp;",")))=0)),IF(DE11="",TRUE,IF(input_event_type="",FALSE,SUMPRODUCT(--ISNUMBER(SEARCH(","&amp;TRIM(TEXTSPLIT(DE11,","))&amp;",",","&amp;SUBSTITUTE(input_event_type," ","")&amp;",")))&gt;0)),IF(DG11="",TRUE,IF(input_event_type="",FALSE,SUMPRODUCT(--ISNUMBER(SEARCH(","&amp;TRIM(TEXTSPLIT(DG11,","))&amp;",",","&amp;SUBSTITUTE(input_event_type," ","")&amp;",")))=COUNTA(TEXTSPLIT(DG11,",")))))</f>
        <v/>
      </c>
      <c r="JD11">
        <f>AND(IF(DI11="",TRUE,IF(input_executive_education_focus="",FALSE,SUMPRODUCT(--ISNUMBER(SEARCH(","&amp;TRIM(TEXTSPLIT(DI11,","))&amp;",",","&amp;SUBSTITUTE(input_executive_education_focus," ","")&amp;",")))&gt;0)),IF(DK11="",TRUE,IF(input_executive_education_focus="",FALSE,SUMPRODUCT(--ISNUMBER(SEARCH(","&amp;TRIM(TEXTSPLIT(DK11,","))&amp;",",","&amp;SUBSTITUTE(input_executive_education_focus," ","")&amp;",")))=COUNTA(TEXTSPLIT(DK11,",")))),IF(DM11="",TRUE,IF(input_executive_education_focus="",TRUE,SUMPRODUCT(--ISNUMBER(SEARCH(","&amp;TRIM(TEXTSPLIT(DM11,","))&amp;",",","&amp;SUBSTITUTE(input_executive_education_focus," ","")&amp;",")))=0)),IF(DO11="",TRUE,IF(input_executive_education_focus="",FALSE,SUMPRODUCT(--ISNUMBER(SEARCH(","&amp;TRIM(TEXTSPLIT(DO11,","))&amp;",",","&amp;SUBSTITUTE(input_executive_education_focus," ","")&amp;",")))&gt;0)),IF(DQ11="",TRUE,IF(input_executive_education_focus="",FALSE,SUMPRODUCT(--ISNUMBER(SEARCH(","&amp;TRIM(TEXTSPLIT(DQ11,","))&amp;",",","&amp;SUBSTITUTE(input_executive_education_focus," ","")&amp;",")))=COUNTA(TEXTSPLIT(DQ11,",")))))</f>
        <v/>
      </c>
      <c r="JE11">
        <f>AND(IF(DS11="",TRUE,IF(input_faculty_category="",FALSE,SUMPRODUCT(--ISNUMBER(SEARCH(","&amp;TRIM(TEXTSPLIT(DS11,","))&amp;",",","&amp;SUBSTITUTE(input_faculty_category," ","")&amp;",")))&gt;0)),IF(DU11="",TRUE,IF(input_faculty_category="",FALSE,SUMPRODUCT(--ISNUMBER(SEARCH(","&amp;TRIM(TEXTSPLIT(DU11,","))&amp;",",","&amp;SUBSTITUTE(input_faculty_category," ","")&amp;",")))=COUNTA(TEXTSPLIT(DU11,",")))),IF(DW11="",TRUE,IF(input_faculty_category="",TRUE,SUMPRODUCT(--ISNUMBER(SEARCH(","&amp;TRIM(TEXTSPLIT(DW11,","))&amp;",",","&amp;SUBSTITUTE(input_faculty_category," ","")&amp;",")))=0)),IF(DY11="",TRUE,IF(input_faculty_category="",FALSE,SUMPRODUCT(--ISNUMBER(SEARCH(","&amp;TRIM(TEXTSPLIT(DY11,","))&amp;",",","&amp;SUBSTITUTE(input_faculty_category," ","")&amp;",")))&gt;0)),IF(EA11="",TRUE,IF(input_faculty_category="",FALSE,SUMPRODUCT(--ISNUMBER(SEARCH(","&amp;TRIM(TEXTSPLIT(EA11,","))&amp;",",","&amp;SUBSTITUTE(input_faculty_category," ","")&amp;",")))=COUNTA(TEXTSPLIT(EA11,",")))))</f>
        <v/>
      </c>
      <c r="JF11">
        <f>AND(IF(EC11="",TRUE,IF(input_faculty_discipline="",FALSE,SUMPRODUCT(--ISNUMBER(SEARCH(","&amp;TRIM(TEXTSPLIT(EC11,","))&amp;",",","&amp;SUBSTITUTE(input_faculty_discipline," ","")&amp;",")))&gt;0)),IF(EE11="",TRUE,IF(input_faculty_discipline="",FALSE,SUMPRODUCT(--ISNUMBER(SEARCH(","&amp;TRIM(TEXTSPLIT(EE11,","))&amp;",",","&amp;SUBSTITUTE(input_faculty_discipline," ","")&amp;",")))=COUNTA(TEXTSPLIT(EE11,",")))),IF(EG11="",TRUE,IF(input_faculty_discipline="",TRUE,SUMPRODUCT(--ISNUMBER(SEARCH(","&amp;TRIM(TEXTSPLIT(EG11,","))&amp;",",","&amp;SUBSTITUTE(input_faculty_discipline," ","")&amp;",")))=0)),IF(EI11="",TRUE,IF(input_faculty_discipline="",FALSE,SUMPRODUCT(--ISNUMBER(SEARCH(","&amp;TRIM(TEXTSPLIT(EI11,","))&amp;",",","&amp;SUBSTITUTE(input_faculty_discipline," ","")&amp;",")))&gt;0)),IF(EK11="",TRUE,IF(input_faculty_discipline="",FALSE,SUMPRODUCT(--ISNUMBER(SEARCH(","&amp;TRIM(TEXTSPLIT(EK11,","))&amp;",",","&amp;SUBSTITUTE(input_faculty_discipline," ","")&amp;",")))=COUNTA(TEXTSPLIT(EK11,",")))))</f>
        <v/>
      </c>
      <c r="JG11">
        <f>AND(IF(EM11="",TRUE,IF(input_faculty_expertise="",FALSE,SUMPRODUCT(--ISNUMBER(SEARCH(","&amp;TRIM(TEXTSPLIT(EM11,","))&amp;",",","&amp;SUBSTITUTE(input_faculty_expertise," ","")&amp;",")))&gt;0)),IF(EO11="",TRUE,IF(input_faculty_expertise="",FALSE,SUMPRODUCT(--ISNUMBER(SEARCH(","&amp;TRIM(TEXTSPLIT(EO11,","))&amp;",",","&amp;SUBSTITUTE(input_faculty_expertise," ","")&amp;",")))=COUNTA(TEXTSPLIT(EO11,",")))),IF(EQ11="",TRUE,IF(input_faculty_expertise="",TRUE,SUMPRODUCT(--ISNUMBER(SEARCH(","&amp;TRIM(TEXTSPLIT(EQ11,","))&amp;",",","&amp;SUBSTITUTE(input_faculty_expertise," ","")&amp;",")))=0)),IF(ES11="",TRUE,IF(input_faculty_expertise="",FALSE,SUMPRODUCT(--ISNUMBER(SEARCH(","&amp;TRIM(TEXTSPLIT(ES11,","))&amp;",",","&amp;SUBSTITUTE(input_faculty_expertise," ","")&amp;",")))&gt;0)),IF(EU11="",TRUE,IF(input_faculty_expertise="",FALSE,SUMPRODUCT(--ISNUMBER(SEARCH(","&amp;TRIM(TEXTSPLIT(EU11,","))&amp;",",","&amp;SUBSTITUTE(input_faculty_expertise," ","")&amp;",")))=COUNTA(TEXTSPLIT(EU11,",")))))</f>
        <v/>
      </c>
      <c r="JH11">
        <f>AND(IF(EW11="",TRUE,IF(input_global_network_school="",FALSE,SUMPRODUCT(--ISNUMBER(SEARCH(","&amp;TRIM(TEXTSPLIT(EW11,","))&amp;",",","&amp;SUBSTITUTE(input_global_network_school," ","")&amp;",")))&gt;0)),IF(EY11="",TRUE,IF(input_global_network_school="",FALSE,SUMPRODUCT(--ISNUMBER(SEARCH(","&amp;TRIM(TEXTSPLIT(EY11,","))&amp;",",","&amp;SUBSTITUTE(input_global_network_school," ","")&amp;",")))=COUNTA(TEXTSPLIT(EY11,",")))),IF(FA11="",TRUE,IF(input_global_network_school="",TRUE,SUMPRODUCT(--ISNUMBER(SEARCH(","&amp;TRIM(TEXTSPLIT(FA11,","))&amp;",",","&amp;SUBSTITUTE(input_global_network_school," ","")&amp;",")))=0)),IF(FC11="",TRUE,IF(input_global_network_school="",FALSE,SUMPRODUCT(--ISNUMBER(SEARCH(","&amp;TRIM(TEXTSPLIT(FC11,","))&amp;",",","&amp;SUBSTITUTE(input_global_network_school," ","")&amp;",")))&gt;0)),IF(FE11="",TRUE,IF(input_global_network_school="",FALSE,SUMPRODUCT(--ISNUMBER(SEARCH(","&amp;TRIM(TEXTSPLIT(FE11,","))&amp;",",","&amp;SUBSTITUTE(input_global_network_school," ","")&amp;",")))=COUNTA(TEXTSPLIT(FE11,",")))))</f>
        <v/>
      </c>
      <c r="JI11">
        <f>AND(IF(FG11="",TRUE,IF(input_industry="",FALSE,SUMPRODUCT(--ISNUMBER(SEARCH(","&amp;TRIM(TEXTSPLIT(FG11,","))&amp;",",","&amp;SUBSTITUTE(input_industry," ","")&amp;",")))&gt;0)),IF(FI11="",TRUE,IF(input_industry="",FALSE,SUMPRODUCT(--ISNUMBER(SEARCH(","&amp;TRIM(TEXTSPLIT(FI11,","))&amp;",",","&amp;SUBSTITUTE(input_industry," ","")&amp;",")))=COUNTA(TEXTSPLIT(FI11,",")))),IF(FK11="",TRUE,IF(input_industry="",TRUE,SUMPRODUCT(--ISNUMBER(SEARCH(","&amp;TRIM(TEXTSPLIT(FK11,","))&amp;",",","&amp;SUBSTITUTE(input_industry," ","")&amp;",")))=0)),IF(FM11="",TRUE,IF(input_industry="",FALSE,SUMPRODUCT(--ISNUMBER(SEARCH(","&amp;TRIM(TEXTSPLIT(FM11,","))&amp;",",","&amp;SUBSTITUTE(input_industry," ","")&amp;",")))&gt;0)),IF(FO11="",TRUE,IF(input_industry="",FALSE,SUMPRODUCT(--ISNUMBER(SEARCH(","&amp;TRIM(TEXTSPLIT(FO11,","))&amp;",",","&amp;SUBSTITUTE(input_industry," ","")&amp;",")))=COUNTA(TEXTSPLIT(FO11,",")))))</f>
        <v/>
      </c>
      <c r="JJ11">
        <f>AND(IF(FQ11="",TRUE,IF(input_location="",FALSE,SUMPRODUCT(--ISNUMBER(SEARCH(","&amp;TRIM(TEXTSPLIT(FQ11,","))&amp;",",","&amp;SUBSTITUTE(input_location," ","")&amp;",")))&gt;0)),IF(FS11="",TRUE,IF(input_location="",FALSE,SUMPRODUCT(--ISNUMBER(SEARCH(","&amp;TRIM(TEXTSPLIT(FS11,","))&amp;",",","&amp;SUBSTITUTE(input_location," ","")&amp;",")))=COUNTA(TEXTSPLIT(FS11,",")))),IF(FU11="",TRUE,IF(input_location="",TRUE,SUMPRODUCT(--ISNUMBER(SEARCH(","&amp;TRIM(TEXTSPLIT(FU11,","))&amp;",",","&amp;SUBSTITUTE(input_location," ","")&amp;",")))=0)),IF(FW11="",TRUE,IF(input_location="",FALSE,SUMPRODUCT(--ISNUMBER(SEARCH(","&amp;TRIM(TEXTSPLIT(FW11,","))&amp;",",","&amp;SUBSTITUTE(input_location," ","")&amp;",")))&gt;0)),IF(FY11="",TRUE,IF(input_location="",FALSE,SUMPRODUCT(--ISNUMBER(SEARCH(","&amp;TRIM(TEXTSPLIT(FY11,","))&amp;",",","&amp;SUBSTITUTE(input_location," ","")&amp;",")))=COUNTA(TEXTSPLIT(FY11,",")))))</f>
        <v/>
      </c>
      <c r="JK11">
        <f>AND(IF(GA11="",TRUE,IF(input_modality="",FALSE,SUMPRODUCT(--ISNUMBER(SEARCH(","&amp;TRIM(TEXTSPLIT(GA11,","))&amp;",",","&amp;SUBSTITUTE(input_modality," ","")&amp;",")))&gt;0)),IF(GC11="",TRUE,IF(input_modality="",FALSE,SUMPRODUCT(--ISNUMBER(SEARCH(","&amp;TRIM(TEXTSPLIT(GC11,","))&amp;",",","&amp;SUBSTITUTE(input_modality," ","")&amp;",")))=COUNTA(TEXTSPLIT(GC11,",")))),IF(GE11="",TRUE,IF(input_modality="",TRUE,SUMPRODUCT(--ISNUMBER(SEARCH(","&amp;TRIM(TEXTSPLIT(GE11,","))&amp;",",","&amp;SUBSTITUTE(input_modality," ","")&amp;",")))=0)),IF(GG11="",TRUE,IF(input_modality="",FALSE,SUMPRODUCT(--ISNUMBER(SEARCH(","&amp;TRIM(TEXTSPLIT(GG11,","))&amp;",",","&amp;SUBSTITUTE(input_modality," ","")&amp;",")))&gt;0)),IF(GI11="",TRUE,IF(input_modality="",FALSE,SUMPRODUCT(--ISNUMBER(SEARCH(","&amp;TRIM(TEXTSPLIT(GI11,","))&amp;",",","&amp;SUBSTITUTE(input_modality," ","")&amp;",")))=COUNTA(TEXTSPLIT(GI11,",")))))</f>
        <v/>
      </c>
      <c r="JL11">
        <f>AND(IF(GK11="",TRUE,IF(input_organizer="",FALSE,SUMPRODUCT(--ISNUMBER(SEARCH(","&amp;TRIM(TEXTSPLIT(GK11,","))&amp;",",","&amp;SUBSTITUTE(input_organizer," ","")&amp;",")))&gt;0)),IF(GM11="",TRUE,IF(input_organizer="",FALSE,SUMPRODUCT(--ISNUMBER(SEARCH(","&amp;TRIM(TEXTSPLIT(GM11,","))&amp;",",","&amp;SUBSTITUTE(input_organizer," ","")&amp;",")))=COUNTA(TEXTSPLIT(GM11,",")))),IF(GO11="",TRUE,IF(input_organizer="",TRUE,SUMPRODUCT(--ISNUMBER(SEARCH(","&amp;TRIM(TEXTSPLIT(GO11,","))&amp;",",","&amp;SUBSTITUTE(input_organizer," ","")&amp;",")))=0)),IF(GQ11="",TRUE,IF(input_organizer="",FALSE,SUMPRODUCT(--ISNUMBER(SEARCH(","&amp;TRIM(TEXTSPLIT(GQ11,","))&amp;",",","&amp;SUBSTITUTE(input_organizer," ","")&amp;",")))&gt;0)),IF(GS11="",TRUE,IF(input_organizer="",FALSE,SUMPRODUCT(--ISNUMBER(SEARCH(","&amp;TRIM(TEXTSPLIT(GS11,","))&amp;",",","&amp;SUBSTITUTE(input_organizer," ","")&amp;",")))=COUNTA(TEXTSPLIT(GS11,",")))))</f>
        <v/>
      </c>
      <c r="JM11">
        <f>AND(IF(GU11="",TRUE,IF(input_profile_type="",FALSE,SUMPRODUCT(--ISNUMBER(SEARCH(","&amp;TRIM(TEXTSPLIT(GU11,","))&amp;",",","&amp;SUBSTITUTE(input_profile_type," ","")&amp;",")))&gt;0)),IF(GW11="",TRUE,IF(input_profile_type="",FALSE,SUMPRODUCT(--ISNUMBER(SEARCH(","&amp;TRIM(TEXTSPLIT(GW11,","))&amp;",",","&amp;SUBSTITUTE(input_profile_type," ","")&amp;",")))=COUNTA(TEXTSPLIT(GW11,",")))),IF(GY11="",TRUE,IF(input_profile_type="",TRUE,SUMPRODUCT(--ISNUMBER(SEARCH(","&amp;TRIM(TEXTSPLIT(GY11,","))&amp;",",","&amp;SUBSTITUTE(input_profile_type," ","")&amp;",")))=0)),IF(HA11="",TRUE,IF(input_profile_type="",FALSE,SUMPRODUCT(--ISNUMBER(SEARCH(","&amp;TRIM(TEXTSPLIT(HA11,","))&amp;",",","&amp;SUBSTITUTE(input_profile_type," ","")&amp;",")))&gt;0)),IF(HC11="",TRUE,IF(input_profile_type="",FALSE,SUMPRODUCT(--ISNUMBER(SEARCH(","&amp;TRIM(TEXTSPLIT(HC11,","))&amp;",",","&amp;SUBSTITUTE(input_profile_type," ","")&amp;",")))=COUNTA(TEXTSPLIT(HC11,",")))))</f>
        <v/>
      </c>
      <c r="JN11">
        <f>AND(IF(HE11="",TRUE,IF(input_program="",FALSE,SUMPRODUCT(--ISNUMBER(SEARCH(","&amp;TRIM(TEXTSPLIT(HE11,","))&amp;",",","&amp;SUBSTITUTE(input_program," ","")&amp;",")))&gt;0)),IF(HG11="",TRUE,IF(input_program="",FALSE,SUMPRODUCT(--ISNUMBER(SEARCH(","&amp;TRIM(TEXTSPLIT(HG11,","))&amp;",",","&amp;SUBSTITUTE(input_program," ","")&amp;",")))=COUNTA(TEXTSPLIT(HG11,",")))),IF(HI11="",TRUE,IF(input_program="",TRUE,SUMPRODUCT(--ISNUMBER(SEARCH(","&amp;TRIM(TEXTSPLIT(HI11,","))&amp;",",","&amp;SUBSTITUTE(input_program," ","")&amp;",")))=0)),IF(HK11="",TRUE,IF(input_program="",FALSE,SUMPRODUCT(--ISNUMBER(SEARCH(","&amp;TRIM(TEXTSPLIT(HK11,","))&amp;",",","&amp;SUBSTITUTE(input_program," ","")&amp;",")))&gt;0)),IF(HM11="",TRUE,IF(input_program="",FALSE,SUMPRODUCT(--ISNUMBER(SEARCH(","&amp;TRIM(TEXTSPLIT(HM11,","))&amp;",",","&amp;SUBSTITUTE(input_program," ","")&amp;",")))=COUNTA(TEXTSPLIT(HM11,",")))))</f>
        <v/>
      </c>
      <c r="JO11">
        <f>AND(IF(HO11="",TRUE,IF(input_story_categories="",FALSE,SUMPRODUCT(--ISNUMBER(SEARCH(","&amp;TRIM(TEXTSPLIT(HO11,","))&amp;",",","&amp;SUBSTITUTE(input_story_categories," ","")&amp;",")))&gt;0)),IF(HQ11="",TRUE,IF(input_story_categories="",FALSE,SUMPRODUCT(--ISNUMBER(SEARCH(","&amp;TRIM(TEXTSPLIT(HQ11,","))&amp;",",","&amp;SUBSTITUTE(input_story_categories," ","")&amp;",")))=COUNTA(TEXTSPLIT(HQ11,",")))),IF(HS11="",TRUE,IF(input_story_categories="",TRUE,SUMPRODUCT(--ISNUMBER(SEARCH(","&amp;TRIM(TEXTSPLIT(HS11,","))&amp;",",","&amp;SUBSTITUTE(input_story_categories," ","")&amp;",")))=0)),IF(HU11="",TRUE,IF(input_story_categories="",FALSE,SUMPRODUCT(--ISNUMBER(SEARCH(","&amp;TRIM(TEXTSPLIT(HU11,","))&amp;",",","&amp;SUBSTITUTE(input_story_categories," ","")&amp;",")))&gt;0)),IF(HW11="",TRUE,IF(input_story_categories="",FALSE,SUMPRODUCT(--ISNUMBER(SEARCH(","&amp;TRIM(TEXTSPLIT(HW11,","))&amp;",",","&amp;SUBSTITUTE(input_story_categories," ","")&amp;",")))=COUNTA(TEXTSPLIT(HW11,",")))))</f>
        <v/>
      </c>
      <c r="JP11">
        <f>AND(IF(HY11="",TRUE,IF(input_story_type="",FALSE,SUMPRODUCT(--ISNUMBER(SEARCH(","&amp;TRIM(TEXTSPLIT(HY11,","))&amp;",",","&amp;SUBSTITUTE(input_story_type," ","")&amp;",")))&gt;0)),IF(IA11="",TRUE,IF(input_story_type="",FALSE,SUMPRODUCT(--ISNUMBER(SEARCH(","&amp;TRIM(TEXTSPLIT(IA11,","))&amp;",",","&amp;SUBSTITUTE(input_story_type," ","")&amp;",")))=COUNTA(TEXTSPLIT(IA11,",")))),IF(IC11="",TRUE,IF(input_story_type="",TRUE,SUMPRODUCT(--ISNUMBER(SEARCH(","&amp;TRIM(TEXTSPLIT(IC11,","))&amp;",",","&amp;SUBSTITUTE(input_story_type," ","")&amp;",")))=0)),IF(IE11="",TRUE,IF(input_story_type="",FALSE,SUMPRODUCT(--ISNUMBER(SEARCH(","&amp;TRIM(TEXTSPLIT(IE11,","))&amp;",",","&amp;SUBSTITUTE(input_story_type," ","")&amp;",")))&gt;0)),IF(IG11="",TRUE,IF(input_story_type="",FALSE,SUMPRODUCT(--ISNUMBER(SEARCH(","&amp;TRIM(TEXTSPLIT(IG11,","))&amp;",",","&amp;SUBSTITUTE(input_story_type," ","")&amp;",")))=COUNTA(TEXTSPLIT(IG11,",")))))</f>
        <v/>
      </c>
      <c r="JQ11">
        <f>AND(IF(II11="",TRUE,IF(input_topics="",FALSE,SUMPRODUCT(--ISNUMBER(SEARCH(","&amp;TRIM(TEXTSPLIT(II11,","))&amp;",",","&amp;SUBSTITUTE(input_topics," ","")&amp;",")))&gt;0)),IF(IK11="",TRUE,IF(input_topics="",FALSE,SUMPRODUCT(--ISNUMBER(SEARCH(","&amp;TRIM(TEXTSPLIT(IK11,","))&amp;",",","&amp;SUBSTITUTE(input_topics," ","")&amp;",")))=COUNTA(TEXTSPLIT(IK11,",")))),IF(IM11="",TRUE,IF(input_topics="",TRUE,SUMPRODUCT(--ISNUMBER(SEARCH(","&amp;TRIM(TEXTSPLIT(IM11,","))&amp;",",","&amp;SUBSTITUTE(input_topics," ","")&amp;",")))=0)),IF(IO11="",TRUE,IF(input_topics="",FALSE,SUMPRODUCT(--ISNUMBER(SEARCH(","&amp;TRIM(TEXTSPLIT(IO11,","))&amp;",",","&amp;SUBSTITUTE(input_topics," ","")&amp;",")))&gt;0)),IF(IQ11="",TRUE,IF(input_topics="",FALSE,SUMPRODUCT(--ISNUMBER(SEARCH(","&amp;TRIM(TEXTSPLIT(IQ11,","))&amp;",",","&amp;SUBSTITUTE(input_topics," ","")&amp;",")))=COUNTA(TEXTSPLIT(IQ11,",")))))</f>
        <v/>
      </c>
    </row>
    <row r="12">
      <c r="A12" s="4">
        <f>IF(NOT(IS12),"Excluded",IF(AND(IT12,IU12,IV12,IW12,IX12,IY12,IZ12,JA12,JB12,JC12,JD12,JE12,JF12,JG12,JH12,JI12,JJ12,JK12,JL12,JM12,JN12,JO12,JP12,JQ12),IF(I12&gt;0,"Eligible but limited","Will appear"),"Excluded"))</f>
        <v/>
      </c>
      <c r="B12" s="4" t="inlineStr">
        <is>
          <t>All Headlines</t>
        </is>
      </c>
      <c r="C12" s="4" t="inlineStr">
        <is>
          <t>/about/headlines</t>
        </is>
      </c>
      <c r="D12" s="4" t="inlineStr">
        <is>
          <t>/about/headlines</t>
        </is>
      </c>
      <c r="E12" s="4" t="n">
        <v>1</v>
      </c>
      <c r="F12" s="4" t="inlineStr">
        <is>
          <t>story</t>
        </is>
      </c>
      <c r="G12" s="4" t="inlineStr">
        <is>
          <t>stories_list</t>
        </is>
      </c>
      <c r="H12" s="4" t="inlineStr">
        <is>
          <t>embed_1</t>
        </is>
      </c>
      <c r="I12" s="4" t="n">
        <v>10</v>
      </c>
      <c r="J12" s="4" t="inlineStr">
        <is>
          <t>Explicit args</t>
        </is>
      </c>
      <c r="K12" s="4" t="inlineStr">
        <is>
          <t>Page placement</t>
        </is>
      </c>
      <c r="L12" s="4" t="inlineStr">
        <is>
          <t>Content type: story; Context uses Courses Context: Executive Education (967), Joint Degrees (973), Master of Advanced Management (932), Master's Degree in Asset Management (930), Master's Degree in Global Business and Society (950), Master's Degree in Systemic Risk (949), MBA (92), MBA For Executives (928), 93, Programs (94), Yale Global Executive Leadership Program (968), All SOM (77), Headlines (1390); Limited to 10 item(s); Source: Explicit args</t>
        </is>
      </c>
      <c r="M12" t="inlineStr"/>
      <c r="N12" t="inlineStr"/>
      <c r="O12" t="inlineStr"/>
      <c r="P12" t="inlineStr"/>
      <c r="Q12" t="inlineStr"/>
      <c r="R12" t="inlineStr"/>
      <c r="S12" t="inlineStr"/>
      <c r="T12" t="inlineStr"/>
      <c r="U12" t="inlineStr"/>
      <c r="V12" t="inlineStr"/>
      <c r="W12" t="inlineStr"/>
      <c r="X12" t="inlineStr"/>
      <c r="Y12" t="inlineStr"/>
      <c r="Z12" t="inlineStr"/>
      <c r="AA12" t="inlineStr"/>
      <c r="AB12" t="inlineStr"/>
      <c r="AC12" t="inlineStr"/>
      <c r="AD12" t="inlineStr"/>
      <c r="AE12" t="inlineStr"/>
      <c r="AF12" t="inlineStr"/>
      <c r="AG12" t="inlineStr"/>
      <c r="AH12" t="inlineStr"/>
      <c r="AI12" t="inlineStr"/>
      <c r="AJ12" t="inlineStr"/>
      <c r="AK12" t="inlineStr"/>
      <c r="AL12" t="inlineStr"/>
      <c r="AM12" t="inlineStr"/>
      <c r="AN12" t="inlineStr"/>
      <c r="AO12" t="inlineStr"/>
      <c r="AP12" t="inlineStr"/>
      <c r="AQ12" t="inlineStr"/>
      <c r="AR12" t="inlineStr"/>
      <c r="AS12" t="inlineStr"/>
      <c r="AT12" t="inlineStr"/>
      <c r="AU12" t="inlineStr"/>
      <c r="AV12" t="inlineStr"/>
      <c r="AW12" t="inlineStr"/>
      <c r="AX12" t="inlineStr"/>
      <c r="AY12" t="inlineStr"/>
      <c r="AZ12" t="inlineStr"/>
      <c r="BA12" t="inlineStr"/>
      <c r="BB12" t="inlineStr"/>
      <c r="BC12" t="inlineStr"/>
      <c r="BD12" t="inlineStr"/>
      <c r="BE12" t="inlineStr"/>
      <c r="BF12" t="inlineStr"/>
      <c r="BG12" t="inlineStr"/>
      <c r="BH12" t="inlineStr"/>
      <c r="BI12" t="inlineStr"/>
      <c r="BJ12" t="inlineStr"/>
      <c r="BK12" t="inlineStr"/>
      <c r="BL12" t="inlineStr"/>
      <c r="BM12" t="inlineStr"/>
      <c r="BN12" t="inlineStr"/>
      <c r="BO12" t="inlineStr"/>
      <c r="BP12" t="inlineStr"/>
      <c r="BQ12" t="inlineStr">
        <is>
          <t>967, 973, 932, 930, 950, 949, 92, 928, 93, 94, 968, 77, 1390</t>
        </is>
      </c>
      <c r="BR12" t="inlineStr">
        <is>
          <t>Executive Education (967), Joint Degrees (973), Master of Advanced Management (932), Master's Degree in Asset Management (930), Master's Degree in Global Business and Society (950), Master's Degree in Systemic Risk (949), MBA (92), MBA For Executives (928), 93, Programs (94), Yale Global Executive Leadership Program (968), All SOM (77), Headlines (1390)</t>
        </is>
      </c>
      <c r="BS12" t="inlineStr"/>
      <c r="BT12" t="inlineStr"/>
      <c r="BU12" t="inlineStr"/>
      <c r="BV12" t="inlineStr"/>
      <c r="BW12" t="inlineStr"/>
      <c r="BX12" t="inlineStr"/>
      <c r="BY12" t="inlineStr"/>
      <c r="BZ12" t="inlineStr"/>
      <c r="CA12" t="inlineStr"/>
      <c r="CB12" t="inlineStr"/>
      <c r="CC12" t="inlineStr"/>
      <c r="CD12" t="inlineStr"/>
      <c r="CE12" t="inlineStr"/>
      <c r="CF12" t="inlineStr"/>
      <c r="CG12" t="inlineStr"/>
      <c r="CH12" t="inlineStr"/>
      <c r="CI12" t="inlineStr"/>
      <c r="CJ12" t="inlineStr"/>
      <c r="CK12" t="inlineStr"/>
      <c r="CL12" t="inlineStr"/>
      <c r="CM12" t="inlineStr"/>
      <c r="CN12" t="inlineStr"/>
      <c r="CO12" t="inlineStr"/>
      <c r="CP12" t="inlineStr"/>
      <c r="CQ12" t="inlineStr"/>
      <c r="CR12" t="inlineStr"/>
      <c r="CS12" t="inlineStr"/>
      <c r="CT12" t="inlineStr"/>
      <c r="CU12" t="inlineStr"/>
      <c r="CV12" t="inlineStr"/>
      <c r="CW12" t="inlineStr"/>
      <c r="CX12" t="inlineStr"/>
      <c r="CY12" t="inlineStr"/>
      <c r="CZ12" t="inlineStr"/>
      <c r="DA12" t="inlineStr"/>
      <c r="DB12" t="inlineStr"/>
      <c r="DC12" t="inlineStr"/>
      <c r="DD12" t="inlineStr"/>
      <c r="DE12" t="inlineStr"/>
      <c r="DF12" t="inlineStr"/>
      <c r="DG12" t="inlineStr"/>
      <c r="DH12" t="inlineStr"/>
      <c r="DI12" t="inlineStr"/>
      <c r="DJ12" t="inlineStr"/>
      <c r="DK12" t="inlineStr"/>
      <c r="DL12" t="inlineStr"/>
      <c r="DM12" t="inlineStr"/>
      <c r="DN12" t="inlineStr"/>
      <c r="DO12" t="inlineStr"/>
      <c r="DP12" t="inlineStr"/>
      <c r="DQ12" t="inlineStr"/>
      <c r="DR12" t="inlineStr"/>
      <c r="DS12" t="inlineStr"/>
      <c r="DT12" t="inlineStr"/>
      <c r="DU12" t="inlineStr"/>
      <c r="DV12" t="inlineStr"/>
      <c r="DW12" t="inlineStr"/>
      <c r="DX12" t="inlineStr"/>
      <c r="DY12" t="inlineStr"/>
      <c r="DZ12" t="inlineStr"/>
      <c r="EA12" t="inlineStr"/>
      <c r="EB12" t="inlineStr"/>
      <c r="EC12" t="inlineStr"/>
      <c r="ED12" t="inlineStr"/>
      <c r="EE12" t="inlineStr"/>
      <c r="EF12" t="inlineStr"/>
      <c r="EG12" t="inlineStr"/>
      <c r="EH12" t="inlineStr"/>
      <c r="EI12" t="inlineStr"/>
      <c r="EJ12" t="inlineStr"/>
      <c r="EK12" t="inlineStr"/>
      <c r="EL12" t="inlineStr"/>
      <c r="EM12" t="inlineStr"/>
      <c r="EN12" t="inlineStr"/>
      <c r="EO12" t="inlineStr"/>
      <c r="EP12" t="inlineStr"/>
      <c r="EQ12" t="inlineStr"/>
      <c r="ER12" t="inlineStr"/>
      <c r="ES12" t="inlineStr"/>
      <c r="ET12" t="inlineStr"/>
      <c r="EU12" t="inlineStr"/>
      <c r="EV12" t="inlineStr"/>
      <c r="EW12" t="inlineStr"/>
      <c r="EX12" t="inlineStr"/>
      <c r="EY12" t="inlineStr"/>
      <c r="EZ12" t="inlineStr"/>
      <c r="FA12" t="inlineStr"/>
      <c r="FB12" t="inlineStr"/>
      <c r="FC12" t="inlineStr"/>
      <c r="FD12" t="inlineStr"/>
      <c r="FE12" t="inlineStr"/>
      <c r="FF12" t="inlineStr"/>
      <c r="FG12" t="inlineStr"/>
      <c r="FH12" t="inlineStr"/>
      <c r="FI12" t="inlineStr"/>
      <c r="FJ12" t="inlineStr"/>
      <c r="FK12" t="inlineStr"/>
      <c r="FL12" t="inlineStr"/>
      <c r="FM12" t="inlineStr"/>
      <c r="FN12" t="inlineStr"/>
      <c r="FO12" t="inlineStr"/>
      <c r="FP12" t="inlineStr"/>
      <c r="FQ12" t="inlineStr"/>
      <c r="FR12" t="inlineStr"/>
      <c r="FS12" t="inlineStr"/>
      <c r="FT12" t="inlineStr"/>
      <c r="FU12" t="inlineStr"/>
      <c r="FV12" t="inlineStr"/>
      <c r="FW12" t="inlineStr"/>
      <c r="FX12" t="inlineStr"/>
      <c r="FY12" t="inlineStr"/>
      <c r="FZ12" t="inlineStr"/>
      <c r="GA12" t="inlineStr"/>
      <c r="GB12" t="inlineStr"/>
      <c r="GC12" t="inlineStr"/>
      <c r="GD12" t="inlineStr"/>
      <c r="GE12" t="inlineStr"/>
      <c r="GF12" t="inlineStr"/>
      <c r="GG12" t="inlineStr"/>
      <c r="GH12" t="inlineStr"/>
      <c r="GI12" t="inlineStr"/>
      <c r="GJ12" t="inlineStr"/>
      <c r="GK12" t="inlineStr"/>
      <c r="GL12" t="inlineStr"/>
      <c r="GM12" t="inlineStr"/>
      <c r="GN12" t="inlineStr"/>
      <c r="GO12" t="inlineStr"/>
      <c r="GP12" t="inlineStr"/>
      <c r="GQ12" t="inlineStr"/>
      <c r="GR12" t="inlineStr"/>
      <c r="GS12" t="inlineStr"/>
      <c r="GT12" t="inlineStr"/>
      <c r="GU12" t="inlineStr"/>
      <c r="GV12" t="inlineStr"/>
      <c r="GW12" t="inlineStr"/>
      <c r="GX12" t="inlineStr"/>
      <c r="GY12" t="inlineStr"/>
      <c r="GZ12" t="inlineStr"/>
      <c r="HA12" t="inlineStr"/>
      <c r="HB12" t="inlineStr"/>
      <c r="HC12" t="inlineStr"/>
      <c r="HD12" t="inlineStr"/>
      <c r="HE12" t="inlineStr"/>
      <c r="HF12" t="inlineStr"/>
      <c r="HG12" t="inlineStr"/>
      <c r="HH12" t="inlineStr"/>
      <c r="HI12" t="inlineStr"/>
      <c r="HJ12" t="inlineStr"/>
      <c r="HK12" t="inlineStr"/>
      <c r="HL12" t="inlineStr"/>
      <c r="HM12" t="inlineStr"/>
      <c r="HN12" t="inlineStr"/>
      <c r="HO12" t="inlineStr"/>
      <c r="HP12" t="inlineStr"/>
      <c r="HQ12" t="inlineStr"/>
      <c r="HR12" t="inlineStr"/>
      <c r="HS12" t="inlineStr"/>
      <c r="HT12" t="inlineStr"/>
      <c r="HU12" t="inlineStr"/>
      <c r="HV12" t="inlineStr"/>
      <c r="HW12" t="inlineStr"/>
      <c r="HX12" t="inlineStr"/>
      <c r="HY12" t="inlineStr"/>
      <c r="HZ12" t="inlineStr"/>
      <c r="IA12" t="inlineStr"/>
      <c r="IB12" t="inlineStr"/>
      <c r="IC12" t="inlineStr"/>
      <c r="ID12" t="inlineStr"/>
      <c r="IE12" t="inlineStr"/>
      <c r="IF12" t="inlineStr"/>
      <c r="IG12" t="inlineStr"/>
      <c r="IH12" t="inlineStr"/>
      <c r="II12" t="inlineStr"/>
      <c r="IJ12" t="inlineStr"/>
      <c r="IK12" t="inlineStr"/>
      <c r="IL12" t="inlineStr"/>
      <c r="IM12" t="inlineStr"/>
      <c r="IN12" t="inlineStr"/>
      <c r="IO12" t="inlineStr"/>
      <c r="IP12" t="inlineStr"/>
      <c r="IQ12" t="inlineStr"/>
      <c r="IR12" t="inlineStr"/>
      <c r="IS12">
        <f>IF(input_content_type="",FALSE,ISNUMBER(SEARCH(","&amp;LOWER(input_content_type)&amp;",",","&amp;LOWER(F12)&amp;",")))</f>
        <v/>
      </c>
      <c r="IT12">
        <f>AND(IF(M12="",TRUE,IF(input_affiliations="",FALSE,SUMPRODUCT(--ISNUMBER(SEARCH(","&amp;TRIM(TEXTSPLIT(M12,","))&amp;",",","&amp;SUBSTITUTE(input_affiliations," ","")&amp;",")))&gt;0)),IF(O12="",TRUE,IF(input_affiliations="",FALSE,SUMPRODUCT(--ISNUMBER(SEARCH(","&amp;TRIM(TEXTSPLIT(O12,","))&amp;",",","&amp;SUBSTITUTE(input_affiliations," ","")&amp;",")))=COUNTA(TEXTSPLIT(O12,",")))),IF(Q12="",TRUE,IF(input_affiliations="",TRUE,SUMPRODUCT(--ISNUMBER(SEARCH(","&amp;TRIM(TEXTSPLIT(Q12,","))&amp;",",","&amp;SUBSTITUTE(input_affiliations," ","")&amp;",")))=0)),IF(S12="",TRUE,IF(input_affiliations="",FALSE,SUMPRODUCT(--ISNUMBER(SEARCH(","&amp;TRIM(TEXTSPLIT(S12,","))&amp;",",","&amp;SUBSTITUTE(input_affiliations," ","")&amp;",")))&gt;0)),IF(U12="",TRUE,IF(input_affiliations="",FALSE,SUMPRODUCT(--ISNUMBER(SEARCH(","&amp;TRIM(TEXTSPLIT(U12,","))&amp;",",","&amp;SUBSTITUTE(input_affiliations," ","")&amp;",")))=COUNTA(TEXTSPLIT(U12,",")))))</f>
        <v/>
      </c>
      <c r="IU12">
        <f>AND(IF(W12="",TRUE,IF(input_announcement_category="",FALSE,SUMPRODUCT(--ISNUMBER(SEARCH(","&amp;TRIM(TEXTSPLIT(W12,","))&amp;",",","&amp;SUBSTITUTE(input_announcement_category," ","")&amp;",")))&gt;0)),IF(Y12="",TRUE,IF(input_announcement_category="",FALSE,SUMPRODUCT(--ISNUMBER(SEARCH(","&amp;TRIM(TEXTSPLIT(Y12,","))&amp;",",","&amp;SUBSTITUTE(input_announcement_category," ","")&amp;",")))=COUNTA(TEXTSPLIT(Y12,",")))),IF(AA12="",TRUE,IF(input_announcement_category="",TRUE,SUMPRODUCT(--ISNUMBER(SEARCH(","&amp;TRIM(TEXTSPLIT(AA12,","))&amp;",",","&amp;SUBSTITUTE(input_announcement_category," ","")&amp;",")))=0)),IF(AC12="",TRUE,IF(input_announcement_category="",FALSE,SUMPRODUCT(--ISNUMBER(SEARCH(","&amp;TRIM(TEXTSPLIT(AC12,","))&amp;",",","&amp;SUBSTITUTE(input_announcement_category," ","")&amp;",")))&gt;0)),IF(AE12="",TRUE,IF(input_announcement_category="",FALSE,SUMPRODUCT(--ISNUMBER(SEARCH(","&amp;TRIM(TEXTSPLIT(AE12,","))&amp;",",","&amp;SUBSTITUTE(input_announcement_category," ","")&amp;",")))=COUNTA(TEXTSPLIT(AE12,",")))))</f>
        <v/>
      </c>
      <c r="IV12">
        <f>AND(IF(AG12="",TRUE,IF(input_area_of_focus="",FALSE,SUMPRODUCT(--ISNUMBER(SEARCH(","&amp;TRIM(TEXTSPLIT(AG12,","))&amp;",",","&amp;SUBSTITUTE(input_area_of_focus," ","")&amp;",")))&gt;0)),IF(AI12="",TRUE,IF(input_area_of_focus="",FALSE,SUMPRODUCT(--ISNUMBER(SEARCH(","&amp;TRIM(TEXTSPLIT(AI12,","))&amp;",",","&amp;SUBSTITUTE(input_area_of_focus," ","")&amp;",")))=COUNTA(TEXTSPLIT(AI12,",")))),IF(AK12="",TRUE,IF(input_area_of_focus="",TRUE,SUMPRODUCT(--ISNUMBER(SEARCH(","&amp;TRIM(TEXTSPLIT(AK12,","))&amp;",",","&amp;SUBSTITUTE(input_area_of_focus," ","")&amp;",")))=0)),IF(AM12="",TRUE,IF(input_area_of_focus="",FALSE,SUMPRODUCT(--ISNUMBER(SEARCH(","&amp;TRIM(TEXTSPLIT(AM12,","))&amp;",",","&amp;SUBSTITUTE(input_area_of_focus," ","")&amp;",")))&gt;0)),IF(AO12="",TRUE,IF(input_area_of_focus="",FALSE,SUMPRODUCT(--ISNUMBER(SEARCH(","&amp;TRIM(TEXTSPLIT(AO12,","))&amp;",",","&amp;SUBSTITUTE(input_area_of_focus," ","")&amp;",")))=COUNTA(TEXTSPLIT(AO12,",")))))</f>
        <v/>
      </c>
      <c r="IW12">
        <f>AND(IF(AQ12="",TRUE,IF(input_audience="",FALSE,SUMPRODUCT(--ISNUMBER(SEARCH(","&amp;TRIM(TEXTSPLIT(AQ12,","))&amp;",",","&amp;SUBSTITUTE(input_audience," ","")&amp;",")))&gt;0)),IF(AS12="",TRUE,IF(input_audience="",FALSE,SUMPRODUCT(--ISNUMBER(SEARCH(","&amp;TRIM(TEXTSPLIT(AS12,","))&amp;",",","&amp;SUBSTITUTE(input_audience," ","")&amp;",")))=COUNTA(TEXTSPLIT(AS12,",")))),IF(AU12="",TRUE,IF(input_audience="",TRUE,SUMPRODUCT(--ISNUMBER(SEARCH(","&amp;TRIM(TEXTSPLIT(AU12,","))&amp;",",","&amp;SUBSTITUTE(input_audience," ","")&amp;",")))=0)),IF(AW12="",TRUE,IF(input_audience="",FALSE,SUMPRODUCT(--ISNUMBER(SEARCH(","&amp;TRIM(TEXTSPLIT(AW12,","))&amp;",",","&amp;SUBSTITUTE(input_audience," ","")&amp;",")))&gt;0)),IF(AY12="",TRUE,IF(input_audience="",FALSE,SUMPRODUCT(--ISNUMBER(SEARCH(","&amp;TRIM(TEXTSPLIT(AY12,","))&amp;",",","&amp;SUBSTITUTE(input_audience," ","")&amp;",")))=COUNTA(TEXTSPLIT(AY12,",")))))</f>
        <v/>
      </c>
      <c r="IX12">
        <f>AND(IF(BA12="",TRUE,IF(input_challenge_opportunities="",FALSE,SUMPRODUCT(--ISNUMBER(SEARCH(","&amp;TRIM(TEXTSPLIT(BA12,","))&amp;",",","&amp;SUBSTITUTE(input_challenge_opportunities," ","")&amp;",")))&gt;0)),IF(BC12="",TRUE,IF(input_challenge_opportunities="",FALSE,SUMPRODUCT(--ISNUMBER(SEARCH(","&amp;TRIM(TEXTSPLIT(BC12,","))&amp;",",","&amp;SUBSTITUTE(input_challenge_opportunities," ","")&amp;",")))=COUNTA(TEXTSPLIT(BC12,",")))),IF(BE12="",TRUE,IF(input_challenge_opportunities="",TRUE,SUMPRODUCT(--ISNUMBER(SEARCH(","&amp;TRIM(TEXTSPLIT(BE12,","))&amp;",",","&amp;SUBSTITUTE(input_challenge_opportunities," ","")&amp;",")))=0)),IF(BG12="",TRUE,IF(input_challenge_opportunities="",FALSE,SUMPRODUCT(--ISNUMBER(SEARCH(","&amp;TRIM(TEXTSPLIT(BG12,","))&amp;",",","&amp;SUBSTITUTE(input_challenge_opportunities," ","")&amp;",")))&gt;0)),IF(BI12="",TRUE,IF(input_challenge_opportunities="",FALSE,SUMPRODUCT(--ISNUMBER(SEARCH(","&amp;TRIM(TEXTSPLIT(BI12,","))&amp;",",","&amp;SUBSTITUTE(input_challenge_opportunities," ","")&amp;",")))=COUNTA(TEXTSPLIT(BI12,",")))))</f>
        <v/>
      </c>
      <c r="IY12">
        <f>AND(IF(BK12="",TRUE,IF(input_context="",FALSE,SUMPRODUCT(--ISNUMBER(SEARCH(","&amp;TRIM(TEXTSPLIT(BK12,","))&amp;",",","&amp;SUBSTITUTE(input_context," ","")&amp;",")))&gt;0)),IF(BM12="",TRUE,IF(input_context="",FALSE,SUMPRODUCT(--ISNUMBER(SEARCH(","&amp;TRIM(TEXTSPLIT(BM12,","))&amp;",",","&amp;SUBSTITUTE(input_context," ","")&amp;",")))=COUNTA(TEXTSPLIT(BM12,",")))),IF(BO12="",TRUE,IF(input_context="",TRUE,SUMPRODUCT(--ISNUMBER(SEARCH(","&amp;TRIM(TEXTSPLIT(BO12,","))&amp;",",","&amp;SUBSTITUTE(input_context," ","")&amp;",")))=0)),IF(BQ12="",TRUE,IF(input_context="",FALSE,SUMPRODUCT(--ISNUMBER(SEARCH(","&amp;TRIM(TEXTSPLIT(BQ12,","))&amp;",",","&amp;SUBSTITUTE(input_context," ","")&amp;",")))&gt;0)),IF(BS12="",TRUE,IF(input_context="",FALSE,SUMPRODUCT(--ISNUMBER(SEARCH(","&amp;TRIM(TEXTSPLIT(BS12,","))&amp;",",","&amp;SUBSTITUTE(input_context," ","")&amp;",")))=COUNTA(TEXTSPLIT(BS12,",")))))</f>
        <v/>
      </c>
      <c r="IZ12">
        <f>AND(IF(BU12="",TRUE,IF(input_enews_announcement_type="",FALSE,SUMPRODUCT(--ISNUMBER(SEARCH(","&amp;TRIM(TEXTSPLIT(BU12,","))&amp;",",","&amp;SUBSTITUTE(input_enews_announcement_type," ","")&amp;",")))&gt;0)),IF(BW12="",TRUE,IF(input_enews_announcement_type="",FALSE,SUMPRODUCT(--ISNUMBER(SEARCH(","&amp;TRIM(TEXTSPLIT(BW12,","))&amp;",",","&amp;SUBSTITUTE(input_enews_announcement_type," ","")&amp;",")))=COUNTA(TEXTSPLIT(BW12,",")))),IF(BY12="",TRUE,IF(input_enews_announcement_type="",TRUE,SUMPRODUCT(--ISNUMBER(SEARCH(","&amp;TRIM(TEXTSPLIT(BY12,","))&amp;",",","&amp;SUBSTITUTE(input_enews_announcement_type," ","")&amp;",")))=0)),IF(CA12="",TRUE,IF(input_enews_announcement_type="",FALSE,SUMPRODUCT(--ISNUMBER(SEARCH(","&amp;TRIM(TEXTSPLIT(CA12,","))&amp;",",","&amp;SUBSTITUTE(input_enews_announcement_type," ","")&amp;",")))&gt;0)),IF(CC12="",TRUE,IF(input_enews_announcement_type="",FALSE,SUMPRODUCT(--ISNUMBER(SEARCH(","&amp;TRIM(TEXTSPLIT(CC12,","))&amp;",",","&amp;SUBSTITUTE(input_enews_announcement_type," ","")&amp;",")))=COUNTA(TEXTSPLIT(CC12,",")))))</f>
        <v/>
      </c>
      <c r="JA12">
        <f>AND(IF(CE12="",TRUE,IF(input_enews_audience="",FALSE,SUMPRODUCT(--ISNUMBER(SEARCH(","&amp;TRIM(TEXTSPLIT(CE12,","))&amp;",",","&amp;SUBSTITUTE(input_enews_audience," ","")&amp;",")))&gt;0)),IF(CG12="",TRUE,IF(input_enews_audience="",FALSE,SUMPRODUCT(--ISNUMBER(SEARCH(","&amp;TRIM(TEXTSPLIT(CG12,","))&amp;",",","&amp;SUBSTITUTE(input_enews_audience," ","")&amp;",")))=COUNTA(TEXTSPLIT(CG12,",")))),IF(CI12="",TRUE,IF(input_enews_audience="",TRUE,SUMPRODUCT(--ISNUMBER(SEARCH(","&amp;TRIM(TEXTSPLIT(CI12,","))&amp;",",","&amp;SUBSTITUTE(input_enews_audience," ","")&amp;",")))=0)),IF(CK12="",TRUE,IF(input_enews_audience="",FALSE,SUMPRODUCT(--ISNUMBER(SEARCH(","&amp;TRIM(TEXTSPLIT(CK12,","))&amp;",",","&amp;SUBSTITUTE(input_enews_audience," ","")&amp;",")))&gt;0)),IF(CM12="",TRUE,IF(input_enews_audience="",FALSE,SUMPRODUCT(--ISNUMBER(SEARCH(","&amp;TRIM(TEXTSPLIT(CM12,","))&amp;",",","&amp;SUBSTITUTE(input_enews_audience," ","")&amp;",")))=COUNTA(TEXTSPLIT(CM12,",")))))</f>
        <v/>
      </c>
      <c r="JB12">
        <f>AND(IF(CO12="",TRUE,IF(input_event_location="",FALSE,SUMPRODUCT(--ISNUMBER(SEARCH(","&amp;TRIM(TEXTSPLIT(CO12,","))&amp;",",","&amp;SUBSTITUTE(input_event_location," ","")&amp;",")))&gt;0)),IF(CQ12="",TRUE,IF(input_event_location="",FALSE,SUMPRODUCT(--ISNUMBER(SEARCH(","&amp;TRIM(TEXTSPLIT(CQ12,","))&amp;",",","&amp;SUBSTITUTE(input_event_location," ","")&amp;",")))=COUNTA(TEXTSPLIT(CQ12,",")))),IF(CS12="",TRUE,IF(input_event_location="",TRUE,SUMPRODUCT(--ISNUMBER(SEARCH(","&amp;TRIM(TEXTSPLIT(CS12,","))&amp;",",","&amp;SUBSTITUTE(input_event_location," ","")&amp;",")))=0)),IF(CU12="",TRUE,IF(input_event_location="",FALSE,SUMPRODUCT(--ISNUMBER(SEARCH(","&amp;TRIM(TEXTSPLIT(CU12,","))&amp;",",","&amp;SUBSTITUTE(input_event_location," ","")&amp;",")))&gt;0)),IF(CW12="",TRUE,IF(input_event_location="",FALSE,SUMPRODUCT(--ISNUMBER(SEARCH(","&amp;TRIM(TEXTSPLIT(CW12,","))&amp;",",","&amp;SUBSTITUTE(input_event_location," ","")&amp;",")))=COUNTA(TEXTSPLIT(CW12,",")))))</f>
        <v/>
      </c>
      <c r="JC12">
        <f>AND(IF(CY12="",TRUE,IF(input_event_type="",FALSE,SUMPRODUCT(--ISNUMBER(SEARCH(","&amp;TRIM(TEXTSPLIT(CY12,","))&amp;",",","&amp;SUBSTITUTE(input_event_type," ","")&amp;",")))&gt;0)),IF(DA12="",TRUE,IF(input_event_type="",FALSE,SUMPRODUCT(--ISNUMBER(SEARCH(","&amp;TRIM(TEXTSPLIT(DA12,","))&amp;",",","&amp;SUBSTITUTE(input_event_type," ","")&amp;",")))=COUNTA(TEXTSPLIT(DA12,",")))),IF(DC12="",TRUE,IF(input_event_type="",TRUE,SUMPRODUCT(--ISNUMBER(SEARCH(","&amp;TRIM(TEXTSPLIT(DC12,","))&amp;",",","&amp;SUBSTITUTE(input_event_type," ","")&amp;",")))=0)),IF(DE12="",TRUE,IF(input_event_type="",FALSE,SUMPRODUCT(--ISNUMBER(SEARCH(","&amp;TRIM(TEXTSPLIT(DE12,","))&amp;",",","&amp;SUBSTITUTE(input_event_type," ","")&amp;",")))&gt;0)),IF(DG12="",TRUE,IF(input_event_type="",FALSE,SUMPRODUCT(--ISNUMBER(SEARCH(","&amp;TRIM(TEXTSPLIT(DG12,","))&amp;",",","&amp;SUBSTITUTE(input_event_type," ","")&amp;",")))=COUNTA(TEXTSPLIT(DG12,",")))))</f>
        <v/>
      </c>
      <c r="JD12">
        <f>AND(IF(DI12="",TRUE,IF(input_executive_education_focus="",FALSE,SUMPRODUCT(--ISNUMBER(SEARCH(","&amp;TRIM(TEXTSPLIT(DI12,","))&amp;",",","&amp;SUBSTITUTE(input_executive_education_focus," ","")&amp;",")))&gt;0)),IF(DK12="",TRUE,IF(input_executive_education_focus="",FALSE,SUMPRODUCT(--ISNUMBER(SEARCH(","&amp;TRIM(TEXTSPLIT(DK12,","))&amp;",",","&amp;SUBSTITUTE(input_executive_education_focus," ","")&amp;",")))=COUNTA(TEXTSPLIT(DK12,",")))),IF(DM12="",TRUE,IF(input_executive_education_focus="",TRUE,SUMPRODUCT(--ISNUMBER(SEARCH(","&amp;TRIM(TEXTSPLIT(DM12,","))&amp;",",","&amp;SUBSTITUTE(input_executive_education_focus," ","")&amp;",")))=0)),IF(DO12="",TRUE,IF(input_executive_education_focus="",FALSE,SUMPRODUCT(--ISNUMBER(SEARCH(","&amp;TRIM(TEXTSPLIT(DO12,","))&amp;",",","&amp;SUBSTITUTE(input_executive_education_focus," ","")&amp;",")))&gt;0)),IF(DQ12="",TRUE,IF(input_executive_education_focus="",FALSE,SUMPRODUCT(--ISNUMBER(SEARCH(","&amp;TRIM(TEXTSPLIT(DQ12,","))&amp;",",","&amp;SUBSTITUTE(input_executive_education_focus," ","")&amp;",")))=COUNTA(TEXTSPLIT(DQ12,",")))))</f>
        <v/>
      </c>
      <c r="JE12">
        <f>AND(IF(DS12="",TRUE,IF(input_faculty_category="",FALSE,SUMPRODUCT(--ISNUMBER(SEARCH(","&amp;TRIM(TEXTSPLIT(DS12,","))&amp;",",","&amp;SUBSTITUTE(input_faculty_category," ","")&amp;",")))&gt;0)),IF(DU12="",TRUE,IF(input_faculty_category="",FALSE,SUMPRODUCT(--ISNUMBER(SEARCH(","&amp;TRIM(TEXTSPLIT(DU12,","))&amp;",",","&amp;SUBSTITUTE(input_faculty_category," ","")&amp;",")))=COUNTA(TEXTSPLIT(DU12,",")))),IF(DW12="",TRUE,IF(input_faculty_category="",TRUE,SUMPRODUCT(--ISNUMBER(SEARCH(","&amp;TRIM(TEXTSPLIT(DW12,","))&amp;",",","&amp;SUBSTITUTE(input_faculty_category," ","")&amp;",")))=0)),IF(DY12="",TRUE,IF(input_faculty_category="",FALSE,SUMPRODUCT(--ISNUMBER(SEARCH(","&amp;TRIM(TEXTSPLIT(DY12,","))&amp;",",","&amp;SUBSTITUTE(input_faculty_category," ","")&amp;",")))&gt;0)),IF(EA12="",TRUE,IF(input_faculty_category="",FALSE,SUMPRODUCT(--ISNUMBER(SEARCH(","&amp;TRIM(TEXTSPLIT(EA12,","))&amp;",",","&amp;SUBSTITUTE(input_faculty_category," ","")&amp;",")))=COUNTA(TEXTSPLIT(EA12,",")))))</f>
        <v/>
      </c>
      <c r="JF12">
        <f>AND(IF(EC12="",TRUE,IF(input_faculty_discipline="",FALSE,SUMPRODUCT(--ISNUMBER(SEARCH(","&amp;TRIM(TEXTSPLIT(EC12,","))&amp;",",","&amp;SUBSTITUTE(input_faculty_discipline," ","")&amp;",")))&gt;0)),IF(EE12="",TRUE,IF(input_faculty_discipline="",FALSE,SUMPRODUCT(--ISNUMBER(SEARCH(","&amp;TRIM(TEXTSPLIT(EE12,","))&amp;",",","&amp;SUBSTITUTE(input_faculty_discipline," ","")&amp;",")))=COUNTA(TEXTSPLIT(EE12,",")))),IF(EG12="",TRUE,IF(input_faculty_discipline="",TRUE,SUMPRODUCT(--ISNUMBER(SEARCH(","&amp;TRIM(TEXTSPLIT(EG12,","))&amp;",",","&amp;SUBSTITUTE(input_faculty_discipline," ","")&amp;",")))=0)),IF(EI12="",TRUE,IF(input_faculty_discipline="",FALSE,SUMPRODUCT(--ISNUMBER(SEARCH(","&amp;TRIM(TEXTSPLIT(EI12,","))&amp;",",","&amp;SUBSTITUTE(input_faculty_discipline," ","")&amp;",")))&gt;0)),IF(EK12="",TRUE,IF(input_faculty_discipline="",FALSE,SUMPRODUCT(--ISNUMBER(SEARCH(","&amp;TRIM(TEXTSPLIT(EK12,","))&amp;",",","&amp;SUBSTITUTE(input_faculty_discipline," ","")&amp;",")))=COUNTA(TEXTSPLIT(EK12,",")))))</f>
        <v/>
      </c>
      <c r="JG12">
        <f>AND(IF(EM12="",TRUE,IF(input_faculty_expertise="",FALSE,SUMPRODUCT(--ISNUMBER(SEARCH(","&amp;TRIM(TEXTSPLIT(EM12,","))&amp;",",","&amp;SUBSTITUTE(input_faculty_expertise," ","")&amp;",")))&gt;0)),IF(EO12="",TRUE,IF(input_faculty_expertise="",FALSE,SUMPRODUCT(--ISNUMBER(SEARCH(","&amp;TRIM(TEXTSPLIT(EO12,","))&amp;",",","&amp;SUBSTITUTE(input_faculty_expertise," ","")&amp;",")))=COUNTA(TEXTSPLIT(EO12,",")))),IF(EQ12="",TRUE,IF(input_faculty_expertise="",TRUE,SUMPRODUCT(--ISNUMBER(SEARCH(","&amp;TRIM(TEXTSPLIT(EQ12,","))&amp;",",","&amp;SUBSTITUTE(input_faculty_expertise," ","")&amp;",")))=0)),IF(ES12="",TRUE,IF(input_faculty_expertise="",FALSE,SUMPRODUCT(--ISNUMBER(SEARCH(","&amp;TRIM(TEXTSPLIT(ES12,","))&amp;",",","&amp;SUBSTITUTE(input_faculty_expertise," ","")&amp;",")))&gt;0)),IF(EU12="",TRUE,IF(input_faculty_expertise="",FALSE,SUMPRODUCT(--ISNUMBER(SEARCH(","&amp;TRIM(TEXTSPLIT(EU12,","))&amp;",",","&amp;SUBSTITUTE(input_faculty_expertise," ","")&amp;",")))=COUNTA(TEXTSPLIT(EU12,",")))))</f>
        <v/>
      </c>
      <c r="JH12">
        <f>AND(IF(EW12="",TRUE,IF(input_global_network_school="",FALSE,SUMPRODUCT(--ISNUMBER(SEARCH(","&amp;TRIM(TEXTSPLIT(EW12,","))&amp;",",","&amp;SUBSTITUTE(input_global_network_school," ","")&amp;",")))&gt;0)),IF(EY12="",TRUE,IF(input_global_network_school="",FALSE,SUMPRODUCT(--ISNUMBER(SEARCH(","&amp;TRIM(TEXTSPLIT(EY12,","))&amp;",",","&amp;SUBSTITUTE(input_global_network_school," ","")&amp;",")))=COUNTA(TEXTSPLIT(EY12,",")))),IF(FA12="",TRUE,IF(input_global_network_school="",TRUE,SUMPRODUCT(--ISNUMBER(SEARCH(","&amp;TRIM(TEXTSPLIT(FA12,","))&amp;",",","&amp;SUBSTITUTE(input_global_network_school," ","")&amp;",")))=0)),IF(FC12="",TRUE,IF(input_global_network_school="",FALSE,SUMPRODUCT(--ISNUMBER(SEARCH(","&amp;TRIM(TEXTSPLIT(FC12,","))&amp;",",","&amp;SUBSTITUTE(input_global_network_school," ","")&amp;",")))&gt;0)),IF(FE12="",TRUE,IF(input_global_network_school="",FALSE,SUMPRODUCT(--ISNUMBER(SEARCH(","&amp;TRIM(TEXTSPLIT(FE12,","))&amp;",",","&amp;SUBSTITUTE(input_global_network_school," ","")&amp;",")))=COUNTA(TEXTSPLIT(FE12,",")))))</f>
        <v/>
      </c>
      <c r="JI12">
        <f>AND(IF(FG12="",TRUE,IF(input_industry="",FALSE,SUMPRODUCT(--ISNUMBER(SEARCH(","&amp;TRIM(TEXTSPLIT(FG12,","))&amp;",",","&amp;SUBSTITUTE(input_industry," ","")&amp;",")))&gt;0)),IF(FI12="",TRUE,IF(input_industry="",FALSE,SUMPRODUCT(--ISNUMBER(SEARCH(","&amp;TRIM(TEXTSPLIT(FI12,","))&amp;",",","&amp;SUBSTITUTE(input_industry," ","")&amp;",")))=COUNTA(TEXTSPLIT(FI12,",")))),IF(FK12="",TRUE,IF(input_industry="",TRUE,SUMPRODUCT(--ISNUMBER(SEARCH(","&amp;TRIM(TEXTSPLIT(FK12,","))&amp;",",","&amp;SUBSTITUTE(input_industry," ","")&amp;",")))=0)),IF(FM12="",TRUE,IF(input_industry="",FALSE,SUMPRODUCT(--ISNUMBER(SEARCH(","&amp;TRIM(TEXTSPLIT(FM12,","))&amp;",",","&amp;SUBSTITUTE(input_industry," ","")&amp;",")))&gt;0)),IF(FO12="",TRUE,IF(input_industry="",FALSE,SUMPRODUCT(--ISNUMBER(SEARCH(","&amp;TRIM(TEXTSPLIT(FO12,","))&amp;",",","&amp;SUBSTITUTE(input_industry," ","")&amp;",")))=COUNTA(TEXTSPLIT(FO12,",")))))</f>
        <v/>
      </c>
      <c r="JJ12">
        <f>AND(IF(FQ12="",TRUE,IF(input_location="",FALSE,SUMPRODUCT(--ISNUMBER(SEARCH(","&amp;TRIM(TEXTSPLIT(FQ12,","))&amp;",",","&amp;SUBSTITUTE(input_location," ","")&amp;",")))&gt;0)),IF(FS12="",TRUE,IF(input_location="",FALSE,SUMPRODUCT(--ISNUMBER(SEARCH(","&amp;TRIM(TEXTSPLIT(FS12,","))&amp;",",","&amp;SUBSTITUTE(input_location," ","")&amp;",")))=COUNTA(TEXTSPLIT(FS12,",")))),IF(FU12="",TRUE,IF(input_location="",TRUE,SUMPRODUCT(--ISNUMBER(SEARCH(","&amp;TRIM(TEXTSPLIT(FU12,","))&amp;",",","&amp;SUBSTITUTE(input_location," ","")&amp;",")))=0)),IF(FW12="",TRUE,IF(input_location="",FALSE,SUMPRODUCT(--ISNUMBER(SEARCH(","&amp;TRIM(TEXTSPLIT(FW12,","))&amp;",",","&amp;SUBSTITUTE(input_location," ","")&amp;",")))&gt;0)),IF(FY12="",TRUE,IF(input_location="",FALSE,SUMPRODUCT(--ISNUMBER(SEARCH(","&amp;TRIM(TEXTSPLIT(FY12,","))&amp;",",","&amp;SUBSTITUTE(input_location," ","")&amp;",")))=COUNTA(TEXTSPLIT(FY12,",")))))</f>
        <v/>
      </c>
      <c r="JK12">
        <f>AND(IF(GA12="",TRUE,IF(input_modality="",FALSE,SUMPRODUCT(--ISNUMBER(SEARCH(","&amp;TRIM(TEXTSPLIT(GA12,","))&amp;",",","&amp;SUBSTITUTE(input_modality," ","")&amp;",")))&gt;0)),IF(GC12="",TRUE,IF(input_modality="",FALSE,SUMPRODUCT(--ISNUMBER(SEARCH(","&amp;TRIM(TEXTSPLIT(GC12,","))&amp;",",","&amp;SUBSTITUTE(input_modality," ","")&amp;",")))=COUNTA(TEXTSPLIT(GC12,",")))),IF(GE12="",TRUE,IF(input_modality="",TRUE,SUMPRODUCT(--ISNUMBER(SEARCH(","&amp;TRIM(TEXTSPLIT(GE12,","))&amp;",",","&amp;SUBSTITUTE(input_modality," ","")&amp;",")))=0)),IF(GG12="",TRUE,IF(input_modality="",FALSE,SUMPRODUCT(--ISNUMBER(SEARCH(","&amp;TRIM(TEXTSPLIT(GG12,","))&amp;",",","&amp;SUBSTITUTE(input_modality," ","")&amp;",")))&gt;0)),IF(GI12="",TRUE,IF(input_modality="",FALSE,SUMPRODUCT(--ISNUMBER(SEARCH(","&amp;TRIM(TEXTSPLIT(GI12,","))&amp;",",","&amp;SUBSTITUTE(input_modality," ","")&amp;",")))=COUNTA(TEXTSPLIT(GI12,",")))))</f>
        <v/>
      </c>
      <c r="JL12">
        <f>AND(IF(GK12="",TRUE,IF(input_organizer="",FALSE,SUMPRODUCT(--ISNUMBER(SEARCH(","&amp;TRIM(TEXTSPLIT(GK12,","))&amp;",",","&amp;SUBSTITUTE(input_organizer," ","")&amp;",")))&gt;0)),IF(GM12="",TRUE,IF(input_organizer="",FALSE,SUMPRODUCT(--ISNUMBER(SEARCH(","&amp;TRIM(TEXTSPLIT(GM12,","))&amp;",",","&amp;SUBSTITUTE(input_organizer," ","")&amp;",")))=COUNTA(TEXTSPLIT(GM12,",")))),IF(GO12="",TRUE,IF(input_organizer="",TRUE,SUMPRODUCT(--ISNUMBER(SEARCH(","&amp;TRIM(TEXTSPLIT(GO12,","))&amp;",",","&amp;SUBSTITUTE(input_organizer," ","")&amp;",")))=0)),IF(GQ12="",TRUE,IF(input_organizer="",FALSE,SUMPRODUCT(--ISNUMBER(SEARCH(","&amp;TRIM(TEXTSPLIT(GQ12,","))&amp;",",","&amp;SUBSTITUTE(input_organizer," ","")&amp;",")))&gt;0)),IF(GS12="",TRUE,IF(input_organizer="",FALSE,SUMPRODUCT(--ISNUMBER(SEARCH(","&amp;TRIM(TEXTSPLIT(GS12,","))&amp;",",","&amp;SUBSTITUTE(input_organizer," ","")&amp;",")))=COUNTA(TEXTSPLIT(GS12,",")))))</f>
        <v/>
      </c>
      <c r="JM12">
        <f>AND(IF(GU12="",TRUE,IF(input_profile_type="",FALSE,SUMPRODUCT(--ISNUMBER(SEARCH(","&amp;TRIM(TEXTSPLIT(GU12,","))&amp;",",","&amp;SUBSTITUTE(input_profile_type," ","")&amp;",")))&gt;0)),IF(GW12="",TRUE,IF(input_profile_type="",FALSE,SUMPRODUCT(--ISNUMBER(SEARCH(","&amp;TRIM(TEXTSPLIT(GW12,","))&amp;",",","&amp;SUBSTITUTE(input_profile_type," ","")&amp;",")))=COUNTA(TEXTSPLIT(GW12,",")))),IF(GY12="",TRUE,IF(input_profile_type="",TRUE,SUMPRODUCT(--ISNUMBER(SEARCH(","&amp;TRIM(TEXTSPLIT(GY12,","))&amp;",",","&amp;SUBSTITUTE(input_profile_type," ","")&amp;",")))=0)),IF(HA12="",TRUE,IF(input_profile_type="",FALSE,SUMPRODUCT(--ISNUMBER(SEARCH(","&amp;TRIM(TEXTSPLIT(HA12,","))&amp;",",","&amp;SUBSTITUTE(input_profile_type," ","")&amp;",")))&gt;0)),IF(HC12="",TRUE,IF(input_profile_type="",FALSE,SUMPRODUCT(--ISNUMBER(SEARCH(","&amp;TRIM(TEXTSPLIT(HC12,","))&amp;",",","&amp;SUBSTITUTE(input_profile_type," ","")&amp;",")))=COUNTA(TEXTSPLIT(HC12,",")))))</f>
        <v/>
      </c>
      <c r="JN12">
        <f>AND(IF(HE12="",TRUE,IF(input_program="",FALSE,SUMPRODUCT(--ISNUMBER(SEARCH(","&amp;TRIM(TEXTSPLIT(HE12,","))&amp;",",","&amp;SUBSTITUTE(input_program," ","")&amp;",")))&gt;0)),IF(HG12="",TRUE,IF(input_program="",FALSE,SUMPRODUCT(--ISNUMBER(SEARCH(","&amp;TRIM(TEXTSPLIT(HG12,","))&amp;",",","&amp;SUBSTITUTE(input_program," ","")&amp;",")))=COUNTA(TEXTSPLIT(HG12,",")))),IF(HI12="",TRUE,IF(input_program="",TRUE,SUMPRODUCT(--ISNUMBER(SEARCH(","&amp;TRIM(TEXTSPLIT(HI12,","))&amp;",",","&amp;SUBSTITUTE(input_program," ","")&amp;",")))=0)),IF(HK12="",TRUE,IF(input_program="",FALSE,SUMPRODUCT(--ISNUMBER(SEARCH(","&amp;TRIM(TEXTSPLIT(HK12,","))&amp;",",","&amp;SUBSTITUTE(input_program," ","")&amp;",")))&gt;0)),IF(HM12="",TRUE,IF(input_program="",FALSE,SUMPRODUCT(--ISNUMBER(SEARCH(","&amp;TRIM(TEXTSPLIT(HM12,","))&amp;",",","&amp;SUBSTITUTE(input_program," ","")&amp;",")))=COUNTA(TEXTSPLIT(HM12,",")))))</f>
        <v/>
      </c>
      <c r="JO12">
        <f>AND(IF(HO12="",TRUE,IF(input_story_categories="",FALSE,SUMPRODUCT(--ISNUMBER(SEARCH(","&amp;TRIM(TEXTSPLIT(HO12,","))&amp;",",","&amp;SUBSTITUTE(input_story_categories," ","")&amp;",")))&gt;0)),IF(HQ12="",TRUE,IF(input_story_categories="",FALSE,SUMPRODUCT(--ISNUMBER(SEARCH(","&amp;TRIM(TEXTSPLIT(HQ12,","))&amp;",",","&amp;SUBSTITUTE(input_story_categories," ","")&amp;",")))=COUNTA(TEXTSPLIT(HQ12,",")))),IF(HS12="",TRUE,IF(input_story_categories="",TRUE,SUMPRODUCT(--ISNUMBER(SEARCH(","&amp;TRIM(TEXTSPLIT(HS12,","))&amp;",",","&amp;SUBSTITUTE(input_story_categories," ","")&amp;",")))=0)),IF(HU12="",TRUE,IF(input_story_categories="",FALSE,SUMPRODUCT(--ISNUMBER(SEARCH(","&amp;TRIM(TEXTSPLIT(HU12,","))&amp;",",","&amp;SUBSTITUTE(input_story_categories," ","")&amp;",")))&gt;0)),IF(HW12="",TRUE,IF(input_story_categories="",FALSE,SUMPRODUCT(--ISNUMBER(SEARCH(","&amp;TRIM(TEXTSPLIT(HW12,","))&amp;",",","&amp;SUBSTITUTE(input_story_categories," ","")&amp;",")))=COUNTA(TEXTSPLIT(HW12,",")))))</f>
        <v/>
      </c>
      <c r="JP12">
        <f>AND(IF(HY12="",TRUE,IF(input_story_type="",FALSE,SUMPRODUCT(--ISNUMBER(SEARCH(","&amp;TRIM(TEXTSPLIT(HY12,","))&amp;",",","&amp;SUBSTITUTE(input_story_type," ","")&amp;",")))&gt;0)),IF(IA12="",TRUE,IF(input_story_type="",FALSE,SUMPRODUCT(--ISNUMBER(SEARCH(","&amp;TRIM(TEXTSPLIT(IA12,","))&amp;",",","&amp;SUBSTITUTE(input_story_type," ","")&amp;",")))=COUNTA(TEXTSPLIT(IA12,",")))),IF(IC12="",TRUE,IF(input_story_type="",TRUE,SUMPRODUCT(--ISNUMBER(SEARCH(","&amp;TRIM(TEXTSPLIT(IC12,","))&amp;",",","&amp;SUBSTITUTE(input_story_type," ","")&amp;",")))=0)),IF(IE12="",TRUE,IF(input_story_type="",FALSE,SUMPRODUCT(--ISNUMBER(SEARCH(","&amp;TRIM(TEXTSPLIT(IE12,","))&amp;",",","&amp;SUBSTITUTE(input_story_type," ","")&amp;",")))&gt;0)),IF(IG12="",TRUE,IF(input_story_type="",FALSE,SUMPRODUCT(--ISNUMBER(SEARCH(","&amp;TRIM(TEXTSPLIT(IG12,","))&amp;",",","&amp;SUBSTITUTE(input_story_type," ","")&amp;",")))=COUNTA(TEXTSPLIT(IG12,",")))))</f>
        <v/>
      </c>
      <c r="JQ12">
        <f>AND(IF(II12="",TRUE,IF(input_topics="",FALSE,SUMPRODUCT(--ISNUMBER(SEARCH(","&amp;TRIM(TEXTSPLIT(II12,","))&amp;",",","&amp;SUBSTITUTE(input_topics," ","")&amp;",")))&gt;0)),IF(IK12="",TRUE,IF(input_topics="",FALSE,SUMPRODUCT(--ISNUMBER(SEARCH(","&amp;TRIM(TEXTSPLIT(IK12,","))&amp;",",","&amp;SUBSTITUTE(input_topics," ","")&amp;",")))=COUNTA(TEXTSPLIT(IK12,",")))),IF(IM12="",TRUE,IF(input_topics="",TRUE,SUMPRODUCT(--ISNUMBER(SEARCH(","&amp;TRIM(TEXTSPLIT(IM12,","))&amp;",",","&amp;SUBSTITUTE(input_topics," ","")&amp;",")))=0)),IF(IO12="",TRUE,IF(input_topics="",FALSE,SUMPRODUCT(--ISNUMBER(SEARCH(","&amp;TRIM(TEXTSPLIT(IO12,","))&amp;",",","&amp;SUBSTITUTE(input_topics," ","")&amp;",")))&gt;0)),IF(IQ12="",TRUE,IF(input_topics="",FALSE,SUMPRODUCT(--ISNUMBER(SEARCH(","&amp;TRIM(TEXTSPLIT(IQ12,","))&amp;",",","&amp;SUBSTITUTE(input_topics," ","")&amp;",")))=COUNTA(TEXTSPLIT(IQ12,",")))))</f>
        <v/>
      </c>
    </row>
    <row r="13">
      <c r="A13" s="4">
        <f>IF(NOT(IS13),"Excluded",IF(AND(IT13,IU13,IV13,IW13,IX13,IY13,IZ13,JA13,JB13,JC13,JD13,JE13,JF13,JG13,JH13,JI13,JJ13,JK13,JL13,JM13,JN13,JO13,JP13,JQ13),IF(I13&gt;0,"Eligible but limited","Will appear"),"Excluded"))</f>
        <v/>
      </c>
      <c r="B13" s="4" t="inlineStr">
        <is>
          <t>All news</t>
        </is>
      </c>
      <c r="C13" s="4" t="inlineStr">
        <is>
          <t>/case-studies</t>
        </is>
      </c>
      <c r="D13" s="4" t="inlineStr">
        <is>
          <t>/case-studies</t>
        </is>
      </c>
      <c r="E13" s="4" t="n">
        <v>1</v>
      </c>
      <c r="F13" s="4" t="inlineStr">
        <is>
          <t>story</t>
        </is>
      </c>
      <c r="G13" s="4" t="inlineStr">
        <is>
          <t>stories_grid_without_images</t>
        </is>
      </c>
      <c r="H13" s="4" t="inlineStr">
        <is>
          <t>embed_news</t>
        </is>
      </c>
      <c r="I13" s="4" t="n">
        <v>3</v>
      </c>
      <c r="J13" s="4" t="inlineStr">
        <is>
          <t>Manual override</t>
        </is>
      </c>
      <c r="K13" s="4" t="inlineStr">
        <is>
          <t>Page placement</t>
        </is>
      </c>
      <c r="L13" s="4" t="inlineStr">
        <is>
          <t>Content type: story; Context uses Courses Context: Case Study Research and Development (942); Needs any Story Type: News (924); Limited to 3 item(s); Source: Manual override</t>
        </is>
      </c>
      <c r="M13" t="inlineStr"/>
      <c r="N13" t="inlineStr"/>
      <c r="O13" t="inlineStr"/>
      <c r="P13" t="inlineStr"/>
      <c r="Q13" t="inlineStr"/>
      <c r="R13" t="inlineStr"/>
      <c r="S13" t="inlineStr"/>
      <c r="T13" t="inlineStr"/>
      <c r="U13" t="inlineStr"/>
      <c r="V13" t="inlineStr"/>
      <c r="W13" t="inlineStr"/>
      <c r="X13" t="inlineStr"/>
      <c r="Y13" t="inlineStr"/>
      <c r="Z13" t="inlineStr"/>
      <c r="AA13" t="inlineStr"/>
      <c r="AB13" t="inlineStr"/>
      <c r="AC13" t="inlineStr"/>
      <c r="AD13" t="inlineStr"/>
      <c r="AE13" t="inlineStr"/>
      <c r="AF13" t="inlineStr"/>
      <c r="AG13" t="inlineStr"/>
      <c r="AH13" t="inlineStr"/>
      <c r="AI13" t="inlineStr"/>
      <c r="AJ13" t="inlineStr"/>
      <c r="AK13" t="inlineStr"/>
      <c r="AL13" t="inlineStr"/>
      <c r="AM13" t="inlineStr"/>
      <c r="AN13" t="inlineStr"/>
      <c r="AO13" t="inlineStr"/>
      <c r="AP13" t="inlineStr"/>
      <c r="AQ13" t="inlineStr"/>
      <c r="AR13" t="inlineStr"/>
      <c r="AS13" t="inlineStr"/>
      <c r="AT13" t="inlineStr"/>
      <c r="AU13" t="inlineStr"/>
      <c r="AV13" t="inlineStr"/>
      <c r="AW13" t="inlineStr"/>
      <c r="AX13" t="inlineStr"/>
      <c r="AY13" t="inlineStr"/>
      <c r="AZ13" t="inlineStr"/>
      <c r="BA13" t="inlineStr"/>
      <c r="BB13" t="inlineStr"/>
      <c r="BC13" t="inlineStr"/>
      <c r="BD13" t="inlineStr"/>
      <c r="BE13" t="inlineStr"/>
      <c r="BF13" t="inlineStr"/>
      <c r="BG13" t="inlineStr"/>
      <c r="BH13" t="inlineStr"/>
      <c r="BI13" t="inlineStr"/>
      <c r="BJ13" t="inlineStr"/>
      <c r="BK13" t="inlineStr"/>
      <c r="BL13" t="inlineStr"/>
      <c r="BM13" t="inlineStr"/>
      <c r="BN13" t="inlineStr"/>
      <c r="BO13" t="inlineStr"/>
      <c r="BP13" t="inlineStr"/>
      <c r="BQ13" t="inlineStr">
        <is>
          <t>942</t>
        </is>
      </c>
      <c r="BR13" t="inlineStr">
        <is>
          <t>Case Study Research and Development (942)</t>
        </is>
      </c>
      <c r="BS13" t="inlineStr"/>
      <c r="BT13" t="inlineStr"/>
      <c r="BU13" t="inlineStr"/>
      <c r="BV13" t="inlineStr"/>
      <c r="BW13" t="inlineStr"/>
      <c r="BX13" t="inlineStr"/>
      <c r="BY13" t="inlineStr"/>
      <c r="BZ13" t="inlineStr"/>
      <c r="CA13" t="inlineStr"/>
      <c r="CB13" t="inlineStr"/>
      <c r="CC13" t="inlineStr"/>
      <c r="CD13" t="inlineStr"/>
      <c r="CE13" t="inlineStr"/>
      <c r="CF13" t="inlineStr"/>
      <c r="CG13" t="inlineStr"/>
      <c r="CH13" t="inlineStr"/>
      <c r="CI13" t="inlineStr"/>
      <c r="CJ13" t="inlineStr"/>
      <c r="CK13" t="inlineStr"/>
      <c r="CL13" t="inlineStr"/>
      <c r="CM13" t="inlineStr"/>
      <c r="CN13" t="inlineStr"/>
      <c r="CO13" t="inlineStr"/>
      <c r="CP13" t="inlineStr"/>
      <c r="CQ13" t="inlineStr"/>
      <c r="CR13" t="inlineStr"/>
      <c r="CS13" t="inlineStr"/>
      <c r="CT13" t="inlineStr"/>
      <c r="CU13" t="inlineStr"/>
      <c r="CV13" t="inlineStr"/>
      <c r="CW13" t="inlineStr"/>
      <c r="CX13" t="inlineStr"/>
      <c r="CY13" t="inlineStr"/>
      <c r="CZ13" t="inlineStr"/>
      <c r="DA13" t="inlineStr"/>
      <c r="DB13" t="inlineStr"/>
      <c r="DC13" t="inlineStr"/>
      <c r="DD13" t="inlineStr"/>
      <c r="DE13" t="inlineStr"/>
      <c r="DF13" t="inlineStr"/>
      <c r="DG13" t="inlineStr"/>
      <c r="DH13" t="inlineStr"/>
      <c r="DI13" t="inlineStr"/>
      <c r="DJ13" t="inlineStr"/>
      <c r="DK13" t="inlineStr"/>
      <c r="DL13" t="inlineStr"/>
      <c r="DM13" t="inlineStr"/>
      <c r="DN13" t="inlineStr"/>
      <c r="DO13" t="inlineStr"/>
      <c r="DP13" t="inlineStr"/>
      <c r="DQ13" t="inlineStr"/>
      <c r="DR13" t="inlineStr"/>
      <c r="DS13" t="inlineStr"/>
      <c r="DT13" t="inlineStr"/>
      <c r="DU13" t="inlineStr"/>
      <c r="DV13" t="inlineStr"/>
      <c r="DW13" t="inlineStr"/>
      <c r="DX13" t="inlineStr"/>
      <c r="DY13" t="inlineStr"/>
      <c r="DZ13" t="inlineStr"/>
      <c r="EA13" t="inlineStr"/>
      <c r="EB13" t="inlineStr"/>
      <c r="EC13" t="inlineStr"/>
      <c r="ED13" t="inlineStr"/>
      <c r="EE13" t="inlineStr"/>
      <c r="EF13" t="inlineStr"/>
      <c r="EG13" t="inlineStr"/>
      <c r="EH13" t="inlineStr"/>
      <c r="EI13" t="inlineStr"/>
      <c r="EJ13" t="inlineStr"/>
      <c r="EK13" t="inlineStr"/>
      <c r="EL13" t="inlineStr"/>
      <c r="EM13" t="inlineStr"/>
      <c r="EN13" t="inlineStr"/>
      <c r="EO13" t="inlineStr"/>
      <c r="EP13" t="inlineStr"/>
      <c r="EQ13" t="inlineStr"/>
      <c r="ER13" t="inlineStr"/>
      <c r="ES13" t="inlineStr"/>
      <c r="ET13" t="inlineStr"/>
      <c r="EU13" t="inlineStr"/>
      <c r="EV13" t="inlineStr"/>
      <c r="EW13" t="inlineStr"/>
      <c r="EX13" t="inlineStr"/>
      <c r="EY13" t="inlineStr"/>
      <c r="EZ13" t="inlineStr"/>
      <c r="FA13" t="inlineStr"/>
      <c r="FB13" t="inlineStr"/>
      <c r="FC13" t="inlineStr"/>
      <c r="FD13" t="inlineStr"/>
      <c r="FE13" t="inlineStr"/>
      <c r="FF13" t="inlineStr"/>
      <c r="FG13" t="inlineStr"/>
      <c r="FH13" t="inlineStr"/>
      <c r="FI13" t="inlineStr"/>
      <c r="FJ13" t="inlineStr"/>
      <c r="FK13" t="inlineStr"/>
      <c r="FL13" t="inlineStr"/>
      <c r="FM13" t="inlineStr"/>
      <c r="FN13" t="inlineStr"/>
      <c r="FO13" t="inlineStr"/>
      <c r="FP13" t="inlineStr"/>
      <c r="FQ13" t="inlineStr"/>
      <c r="FR13" t="inlineStr"/>
      <c r="FS13" t="inlineStr"/>
      <c r="FT13" t="inlineStr"/>
      <c r="FU13" t="inlineStr"/>
      <c r="FV13" t="inlineStr"/>
      <c r="FW13" t="inlineStr"/>
      <c r="FX13" t="inlineStr"/>
      <c r="FY13" t="inlineStr"/>
      <c r="FZ13" t="inlineStr"/>
      <c r="GA13" t="inlineStr"/>
      <c r="GB13" t="inlineStr"/>
      <c r="GC13" t="inlineStr"/>
      <c r="GD13" t="inlineStr"/>
      <c r="GE13" t="inlineStr"/>
      <c r="GF13" t="inlineStr"/>
      <c r="GG13" t="inlineStr"/>
      <c r="GH13" t="inlineStr"/>
      <c r="GI13" t="inlineStr"/>
      <c r="GJ13" t="inlineStr"/>
      <c r="GK13" t="inlineStr"/>
      <c r="GL13" t="inlineStr"/>
      <c r="GM13" t="inlineStr"/>
      <c r="GN13" t="inlineStr"/>
      <c r="GO13" t="inlineStr"/>
      <c r="GP13" t="inlineStr"/>
      <c r="GQ13" t="inlineStr"/>
      <c r="GR13" t="inlineStr"/>
      <c r="GS13" t="inlineStr"/>
      <c r="GT13" t="inlineStr"/>
      <c r="GU13" t="inlineStr"/>
      <c r="GV13" t="inlineStr"/>
      <c r="GW13" t="inlineStr"/>
      <c r="GX13" t="inlineStr"/>
      <c r="GY13" t="inlineStr"/>
      <c r="GZ13" t="inlineStr"/>
      <c r="HA13" t="inlineStr"/>
      <c r="HB13" t="inlineStr"/>
      <c r="HC13" t="inlineStr"/>
      <c r="HD13" t="inlineStr"/>
      <c r="HE13" t="inlineStr"/>
      <c r="HF13" t="inlineStr"/>
      <c r="HG13" t="inlineStr"/>
      <c r="HH13" t="inlineStr"/>
      <c r="HI13" t="inlineStr"/>
      <c r="HJ13" t="inlineStr"/>
      <c r="HK13" t="inlineStr"/>
      <c r="HL13" t="inlineStr"/>
      <c r="HM13" t="inlineStr"/>
      <c r="HN13" t="inlineStr"/>
      <c r="HO13" t="inlineStr"/>
      <c r="HP13" t="inlineStr"/>
      <c r="HQ13" t="inlineStr"/>
      <c r="HR13" t="inlineStr"/>
      <c r="HS13" t="inlineStr"/>
      <c r="HT13" t="inlineStr"/>
      <c r="HU13" t="inlineStr"/>
      <c r="HV13" t="inlineStr"/>
      <c r="HW13" t="inlineStr"/>
      <c r="HX13" t="inlineStr"/>
      <c r="HY13" t="inlineStr">
        <is>
          <t>924</t>
        </is>
      </c>
      <c r="HZ13" t="inlineStr">
        <is>
          <t>News (924)</t>
        </is>
      </c>
      <c r="IA13" t="inlineStr"/>
      <c r="IB13" t="inlineStr"/>
      <c r="IC13" t="inlineStr"/>
      <c r="ID13" t="inlineStr"/>
      <c r="IE13" t="inlineStr"/>
      <c r="IF13" t="inlineStr"/>
      <c r="IG13" t="inlineStr"/>
      <c r="IH13" t="inlineStr"/>
      <c r="II13" t="inlineStr"/>
      <c r="IJ13" t="inlineStr"/>
      <c r="IK13" t="inlineStr"/>
      <c r="IL13" t="inlineStr"/>
      <c r="IM13" t="inlineStr"/>
      <c r="IN13" t="inlineStr"/>
      <c r="IO13" t="inlineStr"/>
      <c r="IP13" t="inlineStr"/>
      <c r="IQ13" t="inlineStr"/>
      <c r="IR13" t="inlineStr"/>
      <c r="IS13">
        <f>IF(input_content_type="",FALSE,ISNUMBER(SEARCH(","&amp;LOWER(input_content_type)&amp;",",","&amp;LOWER(F13)&amp;",")))</f>
        <v/>
      </c>
      <c r="IT13">
        <f>AND(IF(M13="",TRUE,IF(input_affiliations="",FALSE,SUMPRODUCT(--ISNUMBER(SEARCH(","&amp;TRIM(TEXTSPLIT(M13,","))&amp;",",","&amp;SUBSTITUTE(input_affiliations," ","")&amp;",")))&gt;0)),IF(O13="",TRUE,IF(input_affiliations="",FALSE,SUMPRODUCT(--ISNUMBER(SEARCH(","&amp;TRIM(TEXTSPLIT(O13,","))&amp;",",","&amp;SUBSTITUTE(input_affiliations," ","")&amp;",")))=COUNTA(TEXTSPLIT(O13,",")))),IF(Q13="",TRUE,IF(input_affiliations="",TRUE,SUMPRODUCT(--ISNUMBER(SEARCH(","&amp;TRIM(TEXTSPLIT(Q13,","))&amp;",",","&amp;SUBSTITUTE(input_affiliations," ","")&amp;",")))=0)),IF(S13="",TRUE,IF(input_affiliations="",FALSE,SUMPRODUCT(--ISNUMBER(SEARCH(","&amp;TRIM(TEXTSPLIT(S13,","))&amp;",",","&amp;SUBSTITUTE(input_affiliations," ","")&amp;",")))&gt;0)),IF(U13="",TRUE,IF(input_affiliations="",FALSE,SUMPRODUCT(--ISNUMBER(SEARCH(","&amp;TRIM(TEXTSPLIT(U13,","))&amp;",",","&amp;SUBSTITUTE(input_affiliations," ","")&amp;",")))=COUNTA(TEXTSPLIT(U13,",")))))</f>
        <v/>
      </c>
      <c r="IU13">
        <f>AND(IF(W13="",TRUE,IF(input_announcement_category="",FALSE,SUMPRODUCT(--ISNUMBER(SEARCH(","&amp;TRIM(TEXTSPLIT(W13,","))&amp;",",","&amp;SUBSTITUTE(input_announcement_category," ","")&amp;",")))&gt;0)),IF(Y13="",TRUE,IF(input_announcement_category="",FALSE,SUMPRODUCT(--ISNUMBER(SEARCH(","&amp;TRIM(TEXTSPLIT(Y13,","))&amp;",",","&amp;SUBSTITUTE(input_announcement_category," ","")&amp;",")))=COUNTA(TEXTSPLIT(Y13,",")))),IF(AA13="",TRUE,IF(input_announcement_category="",TRUE,SUMPRODUCT(--ISNUMBER(SEARCH(","&amp;TRIM(TEXTSPLIT(AA13,","))&amp;",",","&amp;SUBSTITUTE(input_announcement_category," ","")&amp;",")))=0)),IF(AC13="",TRUE,IF(input_announcement_category="",FALSE,SUMPRODUCT(--ISNUMBER(SEARCH(","&amp;TRIM(TEXTSPLIT(AC13,","))&amp;",",","&amp;SUBSTITUTE(input_announcement_category," ","")&amp;",")))&gt;0)),IF(AE13="",TRUE,IF(input_announcement_category="",FALSE,SUMPRODUCT(--ISNUMBER(SEARCH(","&amp;TRIM(TEXTSPLIT(AE13,","))&amp;",",","&amp;SUBSTITUTE(input_announcement_category," ","")&amp;",")))=COUNTA(TEXTSPLIT(AE13,",")))))</f>
        <v/>
      </c>
      <c r="IV13">
        <f>AND(IF(AG13="",TRUE,IF(input_area_of_focus="",FALSE,SUMPRODUCT(--ISNUMBER(SEARCH(","&amp;TRIM(TEXTSPLIT(AG13,","))&amp;",",","&amp;SUBSTITUTE(input_area_of_focus," ","")&amp;",")))&gt;0)),IF(AI13="",TRUE,IF(input_area_of_focus="",FALSE,SUMPRODUCT(--ISNUMBER(SEARCH(","&amp;TRIM(TEXTSPLIT(AI13,","))&amp;",",","&amp;SUBSTITUTE(input_area_of_focus," ","")&amp;",")))=COUNTA(TEXTSPLIT(AI13,",")))),IF(AK13="",TRUE,IF(input_area_of_focus="",TRUE,SUMPRODUCT(--ISNUMBER(SEARCH(","&amp;TRIM(TEXTSPLIT(AK13,","))&amp;",",","&amp;SUBSTITUTE(input_area_of_focus," ","")&amp;",")))=0)),IF(AM13="",TRUE,IF(input_area_of_focus="",FALSE,SUMPRODUCT(--ISNUMBER(SEARCH(","&amp;TRIM(TEXTSPLIT(AM13,","))&amp;",",","&amp;SUBSTITUTE(input_area_of_focus," ","")&amp;",")))&gt;0)),IF(AO13="",TRUE,IF(input_area_of_focus="",FALSE,SUMPRODUCT(--ISNUMBER(SEARCH(","&amp;TRIM(TEXTSPLIT(AO13,","))&amp;",",","&amp;SUBSTITUTE(input_area_of_focus," ","")&amp;",")))=COUNTA(TEXTSPLIT(AO13,",")))))</f>
        <v/>
      </c>
      <c r="IW13">
        <f>AND(IF(AQ13="",TRUE,IF(input_audience="",FALSE,SUMPRODUCT(--ISNUMBER(SEARCH(","&amp;TRIM(TEXTSPLIT(AQ13,","))&amp;",",","&amp;SUBSTITUTE(input_audience," ","")&amp;",")))&gt;0)),IF(AS13="",TRUE,IF(input_audience="",FALSE,SUMPRODUCT(--ISNUMBER(SEARCH(","&amp;TRIM(TEXTSPLIT(AS13,","))&amp;",",","&amp;SUBSTITUTE(input_audience," ","")&amp;",")))=COUNTA(TEXTSPLIT(AS13,",")))),IF(AU13="",TRUE,IF(input_audience="",TRUE,SUMPRODUCT(--ISNUMBER(SEARCH(","&amp;TRIM(TEXTSPLIT(AU13,","))&amp;",",","&amp;SUBSTITUTE(input_audience," ","")&amp;",")))=0)),IF(AW13="",TRUE,IF(input_audience="",FALSE,SUMPRODUCT(--ISNUMBER(SEARCH(","&amp;TRIM(TEXTSPLIT(AW13,","))&amp;",",","&amp;SUBSTITUTE(input_audience," ","")&amp;",")))&gt;0)),IF(AY13="",TRUE,IF(input_audience="",FALSE,SUMPRODUCT(--ISNUMBER(SEARCH(","&amp;TRIM(TEXTSPLIT(AY13,","))&amp;",",","&amp;SUBSTITUTE(input_audience," ","")&amp;",")))=COUNTA(TEXTSPLIT(AY13,",")))))</f>
        <v/>
      </c>
      <c r="IX13">
        <f>AND(IF(BA13="",TRUE,IF(input_challenge_opportunities="",FALSE,SUMPRODUCT(--ISNUMBER(SEARCH(","&amp;TRIM(TEXTSPLIT(BA13,","))&amp;",",","&amp;SUBSTITUTE(input_challenge_opportunities," ","")&amp;",")))&gt;0)),IF(BC13="",TRUE,IF(input_challenge_opportunities="",FALSE,SUMPRODUCT(--ISNUMBER(SEARCH(","&amp;TRIM(TEXTSPLIT(BC13,","))&amp;",",","&amp;SUBSTITUTE(input_challenge_opportunities," ","")&amp;",")))=COUNTA(TEXTSPLIT(BC13,",")))),IF(BE13="",TRUE,IF(input_challenge_opportunities="",TRUE,SUMPRODUCT(--ISNUMBER(SEARCH(","&amp;TRIM(TEXTSPLIT(BE13,","))&amp;",",","&amp;SUBSTITUTE(input_challenge_opportunities," ","")&amp;",")))=0)),IF(BG13="",TRUE,IF(input_challenge_opportunities="",FALSE,SUMPRODUCT(--ISNUMBER(SEARCH(","&amp;TRIM(TEXTSPLIT(BG13,","))&amp;",",","&amp;SUBSTITUTE(input_challenge_opportunities," ","")&amp;",")))&gt;0)),IF(BI13="",TRUE,IF(input_challenge_opportunities="",FALSE,SUMPRODUCT(--ISNUMBER(SEARCH(","&amp;TRIM(TEXTSPLIT(BI13,","))&amp;",",","&amp;SUBSTITUTE(input_challenge_opportunities," ","")&amp;",")))=COUNTA(TEXTSPLIT(BI13,",")))))</f>
        <v/>
      </c>
      <c r="IY13">
        <f>AND(IF(BK13="",TRUE,IF(input_context="",FALSE,SUMPRODUCT(--ISNUMBER(SEARCH(","&amp;TRIM(TEXTSPLIT(BK13,","))&amp;",",","&amp;SUBSTITUTE(input_context," ","")&amp;",")))&gt;0)),IF(BM13="",TRUE,IF(input_context="",FALSE,SUMPRODUCT(--ISNUMBER(SEARCH(","&amp;TRIM(TEXTSPLIT(BM13,","))&amp;",",","&amp;SUBSTITUTE(input_context," ","")&amp;",")))=COUNTA(TEXTSPLIT(BM13,",")))),IF(BO13="",TRUE,IF(input_context="",TRUE,SUMPRODUCT(--ISNUMBER(SEARCH(","&amp;TRIM(TEXTSPLIT(BO13,","))&amp;",",","&amp;SUBSTITUTE(input_context," ","")&amp;",")))=0)),IF(BQ13="",TRUE,IF(input_context="",FALSE,SUMPRODUCT(--ISNUMBER(SEARCH(","&amp;TRIM(TEXTSPLIT(BQ13,","))&amp;",",","&amp;SUBSTITUTE(input_context," ","")&amp;",")))&gt;0)),IF(BS13="",TRUE,IF(input_context="",FALSE,SUMPRODUCT(--ISNUMBER(SEARCH(","&amp;TRIM(TEXTSPLIT(BS13,","))&amp;",",","&amp;SUBSTITUTE(input_context," ","")&amp;",")))=COUNTA(TEXTSPLIT(BS13,",")))))</f>
        <v/>
      </c>
      <c r="IZ13">
        <f>AND(IF(BU13="",TRUE,IF(input_enews_announcement_type="",FALSE,SUMPRODUCT(--ISNUMBER(SEARCH(","&amp;TRIM(TEXTSPLIT(BU13,","))&amp;",",","&amp;SUBSTITUTE(input_enews_announcement_type," ","")&amp;",")))&gt;0)),IF(BW13="",TRUE,IF(input_enews_announcement_type="",FALSE,SUMPRODUCT(--ISNUMBER(SEARCH(","&amp;TRIM(TEXTSPLIT(BW13,","))&amp;",",","&amp;SUBSTITUTE(input_enews_announcement_type," ","")&amp;",")))=COUNTA(TEXTSPLIT(BW13,",")))),IF(BY13="",TRUE,IF(input_enews_announcement_type="",TRUE,SUMPRODUCT(--ISNUMBER(SEARCH(","&amp;TRIM(TEXTSPLIT(BY13,","))&amp;",",","&amp;SUBSTITUTE(input_enews_announcement_type," ","")&amp;",")))=0)),IF(CA13="",TRUE,IF(input_enews_announcement_type="",FALSE,SUMPRODUCT(--ISNUMBER(SEARCH(","&amp;TRIM(TEXTSPLIT(CA13,","))&amp;",",","&amp;SUBSTITUTE(input_enews_announcement_type," ","")&amp;",")))&gt;0)),IF(CC13="",TRUE,IF(input_enews_announcement_type="",FALSE,SUMPRODUCT(--ISNUMBER(SEARCH(","&amp;TRIM(TEXTSPLIT(CC13,","))&amp;",",","&amp;SUBSTITUTE(input_enews_announcement_type," ","")&amp;",")))=COUNTA(TEXTSPLIT(CC13,",")))))</f>
        <v/>
      </c>
      <c r="JA13">
        <f>AND(IF(CE13="",TRUE,IF(input_enews_audience="",FALSE,SUMPRODUCT(--ISNUMBER(SEARCH(","&amp;TRIM(TEXTSPLIT(CE13,","))&amp;",",","&amp;SUBSTITUTE(input_enews_audience," ","")&amp;",")))&gt;0)),IF(CG13="",TRUE,IF(input_enews_audience="",FALSE,SUMPRODUCT(--ISNUMBER(SEARCH(","&amp;TRIM(TEXTSPLIT(CG13,","))&amp;",",","&amp;SUBSTITUTE(input_enews_audience," ","")&amp;",")))=COUNTA(TEXTSPLIT(CG13,",")))),IF(CI13="",TRUE,IF(input_enews_audience="",TRUE,SUMPRODUCT(--ISNUMBER(SEARCH(","&amp;TRIM(TEXTSPLIT(CI13,","))&amp;",",","&amp;SUBSTITUTE(input_enews_audience," ","")&amp;",")))=0)),IF(CK13="",TRUE,IF(input_enews_audience="",FALSE,SUMPRODUCT(--ISNUMBER(SEARCH(","&amp;TRIM(TEXTSPLIT(CK13,","))&amp;",",","&amp;SUBSTITUTE(input_enews_audience," ","")&amp;",")))&gt;0)),IF(CM13="",TRUE,IF(input_enews_audience="",FALSE,SUMPRODUCT(--ISNUMBER(SEARCH(","&amp;TRIM(TEXTSPLIT(CM13,","))&amp;",",","&amp;SUBSTITUTE(input_enews_audience," ","")&amp;",")))=COUNTA(TEXTSPLIT(CM13,",")))))</f>
        <v/>
      </c>
      <c r="JB13">
        <f>AND(IF(CO13="",TRUE,IF(input_event_location="",FALSE,SUMPRODUCT(--ISNUMBER(SEARCH(","&amp;TRIM(TEXTSPLIT(CO13,","))&amp;",",","&amp;SUBSTITUTE(input_event_location," ","")&amp;",")))&gt;0)),IF(CQ13="",TRUE,IF(input_event_location="",FALSE,SUMPRODUCT(--ISNUMBER(SEARCH(","&amp;TRIM(TEXTSPLIT(CQ13,","))&amp;",",","&amp;SUBSTITUTE(input_event_location," ","")&amp;",")))=COUNTA(TEXTSPLIT(CQ13,",")))),IF(CS13="",TRUE,IF(input_event_location="",TRUE,SUMPRODUCT(--ISNUMBER(SEARCH(","&amp;TRIM(TEXTSPLIT(CS13,","))&amp;",",","&amp;SUBSTITUTE(input_event_location," ","")&amp;",")))=0)),IF(CU13="",TRUE,IF(input_event_location="",FALSE,SUMPRODUCT(--ISNUMBER(SEARCH(","&amp;TRIM(TEXTSPLIT(CU13,","))&amp;",",","&amp;SUBSTITUTE(input_event_location," ","")&amp;",")))&gt;0)),IF(CW13="",TRUE,IF(input_event_location="",FALSE,SUMPRODUCT(--ISNUMBER(SEARCH(","&amp;TRIM(TEXTSPLIT(CW13,","))&amp;",",","&amp;SUBSTITUTE(input_event_location," ","")&amp;",")))=COUNTA(TEXTSPLIT(CW13,",")))))</f>
        <v/>
      </c>
      <c r="JC13">
        <f>AND(IF(CY13="",TRUE,IF(input_event_type="",FALSE,SUMPRODUCT(--ISNUMBER(SEARCH(","&amp;TRIM(TEXTSPLIT(CY13,","))&amp;",",","&amp;SUBSTITUTE(input_event_type," ","")&amp;",")))&gt;0)),IF(DA13="",TRUE,IF(input_event_type="",FALSE,SUMPRODUCT(--ISNUMBER(SEARCH(","&amp;TRIM(TEXTSPLIT(DA13,","))&amp;",",","&amp;SUBSTITUTE(input_event_type," ","")&amp;",")))=COUNTA(TEXTSPLIT(DA13,",")))),IF(DC13="",TRUE,IF(input_event_type="",TRUE,SUMPRODUCT(--ISNUMBER(SEARCH(","&amp;TRIM(TEXTSPLIT(DC13,","))&amp;",",","&amp;SUBSTITUTE(input_event_type," ","")&amp;",")))=0)),IF(DE13="",TRUE,IF(input_event_type="",FALSE,SUMPRODUCT(--ISNUMBER(SEARCH(","&amp;TRIM(TEXTSPLIT(DE13,","))&amp;",",","&amp;SUBSTITUTE(input_event_type," ","")&amp;",")))&gt;0)),IF(DG13="",TRUE,IF(input_event_type="",FALSE,SUMPRODUCT(--ISNUMBER(SEARCH(","&amp;TRIM(TEXTSPLIT(DG13,","))&amp;",",","&amp;SUBSTITUTE(input_event_type," ","")&amp;",")))=COUNTA(TEXTSPLIT(DG13,",")))))</f>
        <v/>
      </c>
      <c r="JD13">
        <f>AND(IF(DI13="",TRUE,IF(input_executive_education_focus="",FALSE,SUMPRODUCT(--ISNUMBER(SEARCH(","&amp;TRIM(TEXTSPLIT(DI13,","))&amp;",",","&amp;SUBSTITUTE(input_executive_education_focus," ","")&amp;",")))&gt;0)),IF(DK13="",TRUE,IF(input_executive_education_focus="",FALSE,SUMPRODUCT(--ISNUMBER(SEARCH(","&amp;TRIM(TEXTSPLIT(DK13,","))&amp;",",","&amp;SUBSTITUTE(input_executive_education_focus," ","")&amp;",")))=COUNTA(TEXTSPLIT(DK13,",")))),IF(DM13="",TRUE,IF(input_executive_education_focus="",TRUE,SUMPRODUCT(--ISNUMBER(SEARCH(","&amp;TRIM(TEXTSPLIT(DM13,","))&amp;",",","&amp;SUBSTITUTE(input_executive_education_focus," ","")&amp;",")))=0)),IF(DO13="",TRUE,IF(input_executive_education_focus="",FALSE,SUMPRODUCT(--ISNUMBER(SEARCH(","&amp;TRIM(TEXTSPLIT(DO13,","))&amp;",",","&amp;SUBSTITUTE(input_executive_education_focus," ","")&amp;",")))&gt;0)),IF(DQ13="",TRUE,IF(input_executive_education_focus="",FALSE,SUMPRODUCT(--ISNUMBER(SEARCH(","&amp;TRIM(TEXTSPLIT(DQ13,","))&amp;",",","&amp;SUBSTITUTE(input_executive_education_focus," ","")&amp;",")))=COUNTA(TEXTSPLIT(DQ13,",")))))</f>
        <v/>
      </c>
      <c r="JE13">
        <f>AND(IF(DS13="",TRUE,IF(input_faculty_category="",FALSE,SUMPRODUCT(--ISNUMBER(SEARCH(","&amp;TRIM(TEXTSPLIT(DS13,","))&amp;",",","&amp;SUBSTITUTE(input_faculty_category," ","")&amp;",")))&gt;0)),IF(DU13="",TRUE,IF(input_faculty_category="",FALSE,SUMPRODUCT(--ISNUMBER(SEARCH(","&amp;TRIM(TEXTSPLIT(DU13,","))&amp;",",","&amp;SUBSTITUTE(input_faculty_category," ","")&amp;",")))=COUNTA(TEXTSPLIT(DU13,",")))),IF(DW13="",TRUE,IF(input_faculty_category="",TRUE,SUMPRODUCT(--ISNUMBER(SEARCH(","&amp;TRIM(TEXTSPLIT(DW13,","))&amp;",",","&amp;SUBSTITUTE(input_faculty_category," ","")&amp;",")))=0)),IF(DY13="",TRUE,IF(input_faculty_category="",FALSE,SUMPRODUCT(--ISNUMBER(SEARCH(","&amp;TRIM(TEXTSPLIT(DY13,","))&amp;",",","&amp;SUBSTITUTE(input_faculty_category," ","")&amp;",")))&gt;0)),IF(EA13="",TRUE,IF(input_faculty_category="",FALSE,SUMPRODUCT(--ISNUMBER(SEARCH(","&amp;TRIM(TEXTSPLIT(EA13,","))&amp;",",","&amp;SUBSTITUTE(input_faculty_category," ","")&amp;",")))=COUNTA(TEXTSPLIT(EA13,",")))))</f>
        <v/>
      </c>
      <c r="JF13">
        <f>AND(IF(EC13="",TRUE,IF(input_faculty_discipline="",FALSE,SUMPRODUCT(--ISNUMBER(SEARCH(","&amp;TRIM(TEXTSPLIT(EC13,","))&amp;",",","&amp;SUBSTITUTE(input_faculty_discipline," ","")&amp;",")))&gt;0)),IF(EE13="",TRUE,IF(input_faculty_discipline="",FALSE,SUMPRODUCT(--ISNUMBER(SEARCH(","&amp;TRIM(TEXTSPLIT(EE13,","))&amp;",",","&amp;SUBSTITUTE(input_faculty_discipline," ","")&amp;",")))=COUNTA(TEXTSPLIT(EE13,",")))),IF(EG13="",TRUE,IF(input_faculty_discipline="",TRUE,SUMPRODUCT(--ISNUMBER(SEARCH(","&amp;TRIM(TEXTSPLIT(EG13,","))&amp;",",","&amp;SUBSTITUTE(input_faculty_discipline," ","")&amp;",")))=0)),IF(EI13="",TRUE,IF(input_faculty_discipline="",FALSE,SUMPRODUCT(--ISNUMBER(SEARCH(","&amp;TRIM(TEXTSPLIT(EI13,","))&amp;",",","&amp;SUBSTITUTE(input_faculty_discipline," ","")&amp;",")))&gt;0)),IF(EK13="",TRUE,IF(input_faculty_discipline="",FALSE,SUMPRODUCT(--ISNUMBER(SEARCH(","&amp;TRIM(TEXTSPLIT(EK13,","))&amp;",",","&amp;SUBSTITUTE(input_faculty_discipline," ","")&amp;",")))=COUNTA(TEXTSPLIT(EK13,",")))))</f>
        <v/>
      </c>
      <c r="JG13">
        <f>AND(IF(EM13="",TRUE,IF(input_faculty_expertise="",FALSE,SUMPRODUCT(--ISNUMBER(SEARCH(","&amp;TRIM(TEXTSPLIT(EM13,","))&amp;",",","&amp;SUBSTITUTE(input_faculty_expertise," ","")&amp;",")))&gt;0)),IF(EO13="",TRUE,IF(input_faculty_expertise="",FALSE,SUMPRODUCT(--ISNUMBER(SEARCH(","&amp;TRIM(TEXTSPLIT(EO13,","))&amp;",",","&amp;SUBSTITUTE(input_faculty_expertise," ","")&amp;",")))=COUNTA(TEXTSPLIT(EO13,",")))),IF(EQ13="",TRUE,IF(input_faculty_expertise="",TRUE,SUMPRODUCT(--ISNUMBER(SEARCH(","&amp;TRIM(TEXTSPLIT(EQ13,","))&amp;",",","&amp;SUBSTITUTE(input_faculty_expertise," ","")&amp;",")))=0)),IF(ES13="",TRUE,IF(input_faculty_expertise="",FALSE,SUMPRODUCT(--ISNUMBER(SEARCH(","&amp;TRIM(TEXTSPLIT(ES13,","))&amp;",",","&amp;SUBSTITUTE(input_faculty_expertise," ","")&amp;",")))&gt;0)),IF(EU13="",TRUE,IF(input_faculty_expertise="",FALSE,SUMPRODUCT(--ISNUMBER(SEARCH(","&amp;TRIM(TEXTSPLIT(EU13,","))&amp;",",","&amp;SUBSTITUTE(input_faculty_expertise," ","")&amp;",")))=COUNTA(TEXTSPLIT(EU13,",")))))</f>
        <v/>
      </c>
      <c r="JH13">
        <f>AND(IF(EW13="",TRUE,IF(input_global_network_school="",FALSE,SUMPRODUCT(--ISNUMBER(SEARCH(","&amp;TRIM(TEXTSPLIT(EW13,","))&amp;",",","&amp;SUBSTITUTE(input_global_network_school," ","")&amp;",")))&gt;0)),IF(EY13="",TRUE,IF(input_global_network_school="",FALSE,SUMPRODUCT(--ISNUMBER(SEARCH(","&amp;TRIM(TEXTSPLIT(EY13,","))&amp;",",","&amp;SUBSTITUTE(input_global_network_school," ","")&amp;",")))=COUNTA(TEXTSPLIT(EY13,",")))),IF(FA13="",TRUE,IF(input_global_network_school="",TRUE,SUMPRODUCT(--ISNUMBER(SEARCH(","&amp;TRIM(TEXTSPLIT(FA13,","))&amp;",",","&amp;SUBSTITUTE(input_global_network_school," ","")&amp;",")))=0)),IF(FC13="",TRUE,IF(input_global_network_school="",FALSE,SUMPRODUCT(--ISNUMBER(SEARCH(","&amp;TRIM(TEXTSPLIT(FC13,","))&amp;",",","&amp;SUBSTITUTE(input_global_network_school," ","")&amp;",")))&gt;0)),IF(FE13="",TRUE,IF(input_global_network_school="",FALSE,SUMPRODUCT(--ISNUMBER(SEARCH(","&amp;TRIM(TEXTSPLIT(FE13,","))&amp;",",","&amp;SUBSTITUTE(input_global_network_school," ","")&amp;",")))=COUNTA(TEXTSPLIT(FE13,",")))))</f>
        <v/>
      </c>
      <c r="JI13">
        <f>AND(IF(FG13="",TRUE,IF(input_industry="",FALSE,SUMPRODUCT(--ISNUMBER(SEARCH(","&amp;TRIM(TEXTSPLIT(FG13,","))&amp;",",","&amp;SUBSTITUTE(input_industry," ","")&amp;",")))&gt;0)),IF(FI13="",TRUE,IF(input_industry="",FALSE,SUMPRODUCT(--ISNUMBER(SEARCH(","&amp;TRIM(TEXTSPLIT(FI13,","))&amp;",",","&amp;SUBSTITUTE(input_industry," ","")&amp;",")))=COUNTA(TEXTSPLIT(FI13,",")))),IF(FK13="",TRUE,IF(input_industry="",TRUE,SUMPRODUCT(--ISNUMBER(SEARCH(","&amp;TRIM(TEXTSPLIT(FK13,","))&amp;",",","&amp;SUBSTITUTE(input_industry," ","")&amp;",")))=0)),IF(FM13="",TRUE,IF(input_industry="",FALSE,SUMPRODUCT(--ISNUMBER(SEARCH(","&amp;TRIM(TEXTSPLIT(FM13,","))&amp;",",","&amp;SUBSTITUTE(input_industry," ","")&amp;",")))&gt;0)),IF(FO13="",TRUE,IF(input_industry="",FALSE,SUMPRODUCT(--ISNUMBER(SEARCH(","&amp;TRIM(TEXTSPLIT(FO13,","))&amp;",",","&amp;SUBSTITUTE(input_industry," ","")&amp;",")))=COUNTA(TEXTSPLIT(FO13,",")))))</f>
        <v/>
      </c>
      <c r="JJ13">
        <f>AND(IF(FQ13="",TRUE,IF(input_location="",FALSE,SUMPRODUCT(--ISNUMBER(SEARCH(","&amp;TRIM(TEXTSPLIT(FQ13,","))&amp;",",","&amp;SUBSTITUTE(input_location," ","")&amp;",")))&gt;0)),IF(FS13="",TRUE,IF(input_location="",FALSE,SUMPRODUCT(--ISNUMBER(SEARCH(","&amp;TRIM(TEXTSPLIT(FS13,","))&amp;",",","&amp;SUBSTITUTE(input_location," ","")&amp;",")))=COUNTA(TEXTSPLIT(FS13,",")))),IF(FU13="",TRUE,IF(input_location="",TRUE,SUMPRODUCT(--ISNUMBER(SEARCH(","&amp;TRIM(TEXTSPLIT(FU13,","))&amp;",",","&amp;SUBSTITUTE(input_location," ","")&amp;",")))=0)),IF(FW13="",TRUE,IF(input_location="",FALSE,SUMPRODUCT(--ISNUMBER(SEARCH(","&amp;TRIM(TEXTSPLIT(FW13,","))&amp;",",","&amp;SUBSTITUTE(input_location," ","")&amp;",")))&gt;0)),IF(FY13="",TRUE,IF(input_location="",FALSE,SUMPRODUCT(--ISNUMBER(SEARCH(","&amp;TRIM(TEXTSPLIT(FY13,","))&amp;",",","&amp;SUBSTITUTE(input_location," ","")&amp;",")))=COUNTA(TEXTSPLIT(FY13,",")))))</f>
        <v/>
      </c>
      <c r="JK13">
        <f>AND(IF(GA13="",TRUE,IF(input_modality="",FALSE,SUMPRODUCT(--ISNUMBER(SEARCH(","&amp;TRIM(TEXTSPLIT(GA13,","))&amp;",",","&amp;SUBSTITUTE(input_modality," ","")&amp;",")))&gt;0)),IF(GC13="",TRUE,IF(input_modality="",FALSE,SUMPRODUCT(--ISNUMBER(SEARCH(","&amp;TRIM(TEXTSPLIT(GC13,","))&amp;",",","&amp;SUBSTITUTE(input_modality," ","")&amp;",")))=COUNTA(TEXTSPLIT(GC13,",")))),IF(GE13="",TRUE,IF(input_modality="",TRUE,SUMPRODUCT(--ISNUMBER(SEARCH(","&amp;TRIM(TEXTSPLIT(GE13,","))&amp;",",","&amp;SUBSTITUTE(input_modality," ","")&amp;",")))=0)),IF(GG13="",TRUE,IF(input_modality="",FALSE,SUMPRODUCT(--ISNUMBER(SEARCH(","&amp;TRIM(TEXTSPLIT(GG13,","))&amp;",",","&amp;SUBSTITUTE(input_modality," ","")&amp;",")))&gt;0)),IF(GI13="",TRUE,IF(input_modality="",FALSE,SUMPRODUCT(--ISNUMBER(SEARCH(","&amp;TRIM(TEXTSPLIT(GI13,","))&amp;",",","&amp;SUBSTITUTE(input_modality," ","")&amp;",")))=COUNTA(TEXTSPLIT(GI13,",")))))</f>
        <v/>
      </c>
      <c r="JL13">
        <f>AND(IF(GK13="",TRUE,IF(input_organizer="",FALSE,SUMPRODUCT(--ISNUMBER(SEARCH(","&amp;TRIM(TEXTSPLIT(GK13,","))&amp;",",","&amp;SUBSTITUTE(input_organizer," ","")&amp;",")))&gt;0)),IF(GM13="",TRUE,IF(input_organizer="",FALSE,SUMPRODUCT(--ISNUMBER(SEARCH(","&amp;TRIM(TEXTSPLIT(GM13,","))&amp;",",","&amp;SUBSTITUTE(input_organizer," ","")&amp;",")))=COUNTA(TEXTSPLIT(GM13,",")))),IF(GO13="",TRUE,IF(input_organizer="",TRUE,SUMPRODUCT(--ISNUMBER(SEARCH(","&amp;TRIM(TEXTSPLIT(GO13,","))&amp;",",","&amp;SUBSTITUTE(input_organizer," ","")&amp;",")))=0)),IF(GQ13="",TRUE,IF(input_organizer="",FALSE,SUMPRODUCT(--ISNUMBER(SEARCH(","&amp;TRIM(TEXTSPLIT(GQ13,","))&amp;",",","&amp;SUBSTITUTE(input_organizer," ","")&amp;",")))&gt;0)),IF(GS13="",TRUE,IF(input_organizer="",FALSE,SUMPRODUCT(--ISNUMBER(SEARCH(","&amp;TRIM(TEXTSPLIT(GS13,","))&amp;",",","&amp;SUBSTITUTE(input_organizer," ","")&amp;",")))=COUNTA(TEXTSPLIT(GS13,",")))))</f>
        <v/>
      </c>
      <c r="JM13">
        <f>AND(IF(GU13="",TRUE,IF(input_profile_type="",FALSE,SUMPRODUCT(--ISNUMBER(SEARCH(","&amp;TRIM(TEXTSPLIT(GU13,","))&amp;",",","&amp;SUBSTITUTE(input_profile_type," ","")&amp;",")))&gt;0)),IF(GW13="",TRUE,IF(input_profile_type="",FALSE,SUMPRODUCT(--ISNUMBER(SEARCH(","&amp;TRIM(TEXTSPLIT(GW13,","))&amp;",",","&amp;SUBSTITUTE(input_profile_type," ","")&amp;",")))=COUNTA(TEXTSPLIT(GW13,",")))),IF(GY13="",TRUE,IF(input_profile_type="",TRUE,SUMPRODUCT(--ISNUMBER(SEARCH(","&amp;TRIM(TEXTSPLIT(GY13,","))&amp;",",","&amp;SUBSTITUTE(input_profile_type," ","")&amp;",")))=0)),IF(HA13="",TRUE,IF(input_profile_type="",FALSE,SUMPRODUCT(--ISNUMBER(SEARCH(","&amp;TRIM(TEXTSPLIT(HA13,","))&amp;",",","&amp;SUBSTITUTE(input_profile_type," ","")&amp;",")))&gt;0)),IF(HC13="",TRUE,IF(input_profile_type="",FALSE,SUMPRODUCT(--ISNUMBER(SEARCH(","&amp;TRIM(TEXTSPLIT(HC13,","))&amp;",",","&amp;SUBSTITUTE(input_profile_type," ","")&amp;",")))=COUNTA(TEXTSPLIT(HC13,",")))))</f>
        <v/>
      </c>
      <c r="JN13">
        <f>AND(IF(HE13="",TRUE,IF(input_program="",FALSE,SUMPRODUCT(--ISNUMBER(SEARCH(","&amp;TRIM(TEXTSPLIT(HE13,","))&amp;",",","&amp;SUBSTITUTE(input_program," ","")&amp;",")))&gt;0)),IF(HG13="",TRUE,IF(input_program="",FALSE,SUMPRODUCT(--ISNUMBER(SEARCH(","&amp;TRIM(TEXTSPLIT(HG13,","))&amp;",",","&amp;SUBSTITUTE(input_program," ","")&amp;",")))=COUNTA(TEXTSPLIT(HG13,",")))),IF(HI13="",TRUE,IF(input_program="",TRUE,SUMPRODUCT(--ISNUMBER(SEARCH(","&amp;TRIM(TEXTSPLIT(HI13,","))&amp;",",","&amp;SUBSTITUTE(input_program," ","")&amp;",")))=0)),IF(HK13="",TRUE,IF(input_program="",FALSE,SUMPRODUCT(--ISNUMBER(SEARCH(","&amp;TRIM(TEXTSPLIT(HK13,","))&amp;",",","&amp;SUBSTITUTE(input_program," ","")&amp;",")))&gt;0)),IF(HM13="",TRUE,IF(input_program="",FALSE,SUMPRODUCT(--ISNUMBER(SEARCH(","&amp;TRIM(TEXTSPLIT(HM13,","))&amp;",",","&amp;SUBSTITUTE(input_program," ","")&amp;",")))=COUNTA(TEXTSPLIT(HM13,",")))))</f>
        <v/>
      </c>
      <c r="JO13">
        <f>AND(IF(HO13="",TRUE,IF(input_story_categories="",FALSE,SUMPRODUCT(--ISNUMBER(SEARCH(","&amp;TRIM(TEXTSPLIT(HO13,","))&amp;",",","&amp;SUBSTITUTE(input_story_categories," ","")&amp;",")))&gt;0)),IF(HQ13="",TRUE,IF(input_story_categories="",FALSE,SUMPRODUCT(--ISNUMBER(SEARCH(","&amp;TRIM(TEXTSPLIT(HQ13,","))&amp;",",","&amp;SUBSTITUTE(input_story_categories," ","")&amp;",")))=COUNTA(TEXTSPLIT(HQ13,",")))),IF(HS13="",TRUE,IF(input_story_categories="",TRUE,SUMPRODUCT(--ISNUMBER(SEARCH(","&amp;TRIM(TEXTSPLIT(HS13,","))&amp;",",","&amp;SUBSTITUTE(input_story_categories," ","")&amp;",")))=0)),IF(HU13="",TRUE,IF(input_story_categories="",FALSE,SUMPRODUCT(--ISNUMBER(SEARCH(","&amp;TRIM(TEXTSPLIT(HU13,","))&amp;",",","&amp;SUBSTITUTE(input_story_categories," ","")&amp;",")))&gt;0)),IF(HW13="",TRUE,IF(input_story_categories="",FALSE,SUMPRODUCT(--ISNUMBER(SEARCH(","&amp;TRIM(TEXTSPLIT(HW13,","))&amp;",",","&amp;SUBSTITUTE(input_story_categories," ","")&amp;",")))=COUNTA(TEXTSPLIT(HW13,",")))))</f>
        <v/>
      </c>
      <c r="JP13">
        <f>AND(IF(HY13="",TRUE,IF(input_story_type="",FALSE,SUMPRODUCT(--ISNUMBER(SEARCH(","&amp;TRIM(TEXTSPLIT(HY13,","))&amp;",",","&amp;SUBSTITUTE(input_story_type," ","")&amp;",")))&gt;0)),IF(IA13="",TRUE,IF(input_story_type="",FALSE,SUMPRODUCT(--ISNUMBER(SEARCH(","&amp;TRIM(TEXTSPLIT(IA13,","))&amp;",",","&amp;SUBSTITUTE(input_story_type," ","")&amp;",")))=COUNTA(TEXTSPLIT(IA13,",")))),IF(IC13="",TRUE,IF(input_story_type="",TRUE,SUMPRODUCT(--ISNUMBER(SEARCH(","&amp;TRIM(TEXTSPLIT(IC13,","))&amp;",",","&amp;SUBSTITUTE(input_story_type," ","")&amp;",")))=0)),IF(IE13="",TRUE,IF(input_story_type="",FALSE,SUMPRODUCT(--ISNUMBER(SEARCH(","&amp;TRIM(TEXTSPLIT(IE13,","))&amp;",",","&amp;SUBSTITUTE(input_story_type," ","")&amp;",")))&gt;0)),IF(IG13="",TRUE,IF(input_story_type="",FALSE,SUMPRODUCT(--ISNUMBER(SEARCH(","&amp;TRIM(TEXTSPLIT(IG13,","))&amp;",",","&amp;SUBSTITUTE(input_story_type," ","")&amp;",")))=COUNTA(TEXTSPLIT(IG13,",")))))</f>
        <v/>
      </c>
      <c r="JQ13">
        <f>AND(IF(II13="",TRUE,IF(input_topics="",FALSE,SUMPRODUCT(--ISNUMBER(SEARCH(","&amp;TRIM(TEXTSPLIT(II13,","))&amp;",",","&amp;SUBSTITUTE(input_topics," ","")&amp;",")))&gt;0)),IF(IK13="",TRUE,IF(input_topics="",FALSE,SUMPRODUCT(--ISNUMBER(SEARCH(","&amp;TRIM(TEXTSPLIT(IK13,","))&amp;",",","&amp;SUBSTITUTE(input_topics," ","")&amp;",")))=COUNTA(TEXTSPLIT(IK13,",")))),IF(IM13="",TRUE,IF(input_topics="",TRUE,SUMPRODUCT(--ISNUMBER(SEARCH(","&amp;TRIM(TEXTSPLIT(IM13,","))&amp;",",","&amp;SUBSTITUTE(input_topics," ","")&amp;",")))=0)),IF(IO13="",TRUE,IF(input_topics="",FALSE,SUMPRODUCT(--ISNUMBER(SEARCH(","&amp;TRIM(TEXTSPLIT(IO13,","))&amp;",",","&amp;SUBSTITUTE(input_topics," ","")&amp;",")))&gt;0)),IF(IQ13="",TRUE,IF(input_topics="",FALSE,SUMPRODUCT(--ISNUMBER(SEARCH(","&amp;TRIM(TEXTSPLIT(IQ13,","))&amp;",",","&amp;SUBSTITUTE(input_topics," ","")&amp;",")))=COUNTA(TEXTSPLIT(IQ13,",")))))</f>
        <v/>
      </c>
    </row>
    <row r="14">
      <c r="A14" s="4">
        <f>IF(NOT(IS14),"Excluded",IF(AND(IT14,IU14,IV14,IW14,IX14,IY14,IZ14,JA14,JB14,JC14,JD14,JE14,JF14,JG14,JH14,JI14,JJ14,JK14,JL14,JM14,JN14,JO14,JP14,JQ14),IF(I14&gt;0,"Eligible but limited","Will appear"),"Excluded"))</f>
        <v/>
      </c>
      <c r="B14" s="4" t="inlineStr">
        <is>
          <t>All news</t>
        </is>
      </c>
      <c r="C14" s="4" t="inlineStr">
        <is>
          <t>/centers/chief-executive-leadership-institute</t>
        </is>
      </c>
      <c r="D14" s="4" t="inlineStr">
        <is>
          <t>/centers/chief-executive-leadership-institute</t>
        </is>
      </c>
      <c r="E14" s="4" t="n">
        <v>1</v>
      </c>
      <c r="F14" s="4" t="inlineStr">
        <is>
          <t>story</t>
        </is>
      </c>
      <c r="G14" s="4" t="inlineStr">
        <is>
          <t>stories_grid_with_images</t>
        </is>
      </c>
      <c r="H14" s="4" t="inlineStr">
        <is>
          <t>embed_news</t>
        </is>
      </c>
      <c r="I14" s="4" t="n">
        <v>3</v>
      </c>
      <c r="J14" s="4" t="inlineStr">
        <is>
          <t>Section inferred</t>
        </is>
      </c>
      <c r="K14" s="4" t="inlineStr">
        <is>
          <t>Page placement</t>
        </is>
      </c>
      <c r="L14" s="4" t="inlineStr">
        <is>
          <t>Content type: story; Context uses Courses Context: Chief Executive Leadership Institute (925); Needs any Story Type: News (924); Limited to 3 item(s); Source: Section inferred</t>
        </is>
      </c>
      <c r="M14" t="inlineStr"/>
      <c r="N14" t="inlineStr"/>
      <c r="O14" t="inlineStr"/>
      <c r="P14" t="inlineStr"/>
      <c r="Q14" t="inlineStr"/>
      <c r="R14" t="inlineStr"/>
      <c r="S14" t="inlineStr"/>
      <c r="T14" t="inlineStr"/>
      <c r="U14" t="inlineStr"/>
      <c r="V14" t="inlineStr"/>
      <c r="W14" t="inlineStr"/>
      <c r="X14" t="inlineStr"/>
      <c r="Y14" t="inlineStr"/>
      <c r="Z14" t="inlineStr"/>
      <c r="AA14" t="inlineStr"/>
      <c r="AB14" t="inlineStr"/>
      <c r="AC14" t="inlineStr"/>
      <c r="AD14" t="inlineStr"/>
      <c r="AE14" t="inlineStr"/>
      <c r="AF14" t="inlineStr"/>
      <c r="AG14" t="inlineStr"/>
      <c r="AH14" t="inlineStr"/>
      <c r="AI14" t="inlineStr"/>
      <c r="AJ14" t="inlineStr"/>
      <c r="AK14" t="inlineStr"/>
      <c r="AL14" t="inlineStr"/>
      <c r="AM14" t="inlineStr"/>
      <c r="AN14" t="inlineStr"/>
      <c r="AO14" t="inlineStr"/>
      <c r="AP14" t="inlineStr"/>
      <c r="AQ14" t="inlineStr"/>
      <c r="AR14" t="inlineStr"/>
      <c r="AS14" t="inlineStr"/>
      <c r="AT14" t="inlineStr"/>
      <c r="AU14" t="inlineStr"/>
      <c r="AV14" t="inlineStr"/>
      <c r="AW14" t="inlineStr"/>
      <c r="AX14" t="inlineStr"/>
      <c r="AY14" t="inlineStr"/>
      <c r="AZ14" t="inlineStr"/>
      <c r="BA14" t="inlineStr"/>
      <c r="BB14" t="inlineStr"/>
      <c r="BC14" t="inlineStr"/>
      <c r="BD14" t="inlineStr"/>
      <c r="BE14" t="inlineStr"/>
      <c r="BF14" t="inlineStr"/>
      <c r="BG14" t="inlineStr"/>
      <c r="BH14" t="inlineStr"/>
      <c r="BI14" t="inlineStr"/>
      <c r="BJ14" t="inlineStr"/>
      <c r="BK14" t="inlineStr"/>
      <c r="BL14" t="inlineStr"/>
      <c r="BM14" t="inlineStr"/>
      <c r="BN14" t="inlineStr"/>
      <c r="BO14" t="inlineStr"/>
      <c r="BP14" t="inlineStr"/>
      <c r="BQ14" t="inlineStr">
        <is>
          <t>925</t>
        </is>
      </c>
      <c r="BR14" t="inlineStr">
        <is>
          <t>Chief Executive Leadership Institute (925)</t>
        </is>
      </c>
      <c r="BS14" t="inlineStr"/>
      <c r="BT14" t="inlineStr"/>
      <c r="BU14" t="inlineStr"/>
      <c r="BV14" t="inlineStr"/>
      <c r="BW14" t="inlineStr"/>
      <c r="BX14" t="inlineStr"/>
      <c r="BY14" t="inlineStr"/>
      <c r="BZ14" t="inlineStr"/>
      <c r="CA14" t="inlineStr"/>
      <c r="CB14" t="inlineStr"/>
      <c r="CC14" t="inlineStr"/>
      <c r="CD14" t="inlineStr"/>
      <c r="CE14" t="inlineStr"/>
      <c r="CF14" t="inlineStr"/>
      <c r="CG14" t="inlineStr"/>
      <c r="CH14" t="inlineStr"/>
      <c r="CI14" t="inlineStr"/>
      <c r="CJ14" t="inlineStr"/>
      <c r="CK14" t="inlineStr"/>
      <c r="CL14" t="inlineStr"/>
      <c r="CM14" t="inlineStr"/>
      <c r="CN14" t="inlineStr"/>
      <c r="CO14" t="inlineStr"/>
      <c r="CP14" t="inlineStr"/>
      <c r="CQ14" t="inlineStr"/>
      <c r="CR14" t="inlineStr"/>
      <c r="CS14" t="inlineStr"/>
      <c r="CT14" t="inlineStr"/>
      <c r="CU14" t="inlineStr"/>
      <c r="CV14" t="inlineStr"/>
      <c r="CW14" t="inlineStr"/>
      <c r="CX14" t="inlineStr"/>
      <c r="CY14" t="inlineStr"/>
      <c r="CZ14" t="inlineStr"/>
      <c r="DA14" t="inlineStr"/>
      <c r="DB14" t="inlineStr"/>
      <c r="DC14" t="inlineStr"/>
      <c r="DD14" t="inlineStr"/>
      <c r="DE14" t="inlineStr"/>
      <c r="DF14" t="inlineStr"/>
      <c r="DG14" t="inlineStr"/>
      <c r="DH14" t="inlineStr"/>
      <c r="DI14" t="inlineStr"/>
      <c r="DJ14" t="inlineStr"/>
      <c r="DK14" t="inlineStr"/>
      <c r="DL14" t="inlineStr"/>
      <c r="DM14" t="inlineStr"/>
      <c r="DN14" t="inlineStr"/>
      <c r="DO14" t="inlineStr"/>
      <c r="DP14" t="inlineStr"/>
      <c r="DQ14" t="inlineStr"/>
      <c r="DR14" t="inlineStr"/>
      <c r="DS14" t="inlineStr"/>
      <c r="DT14" t="inlineStr"/>
      <c r="DU14" t="inlineStr"/>
      <c r="DV14" t="inlineStr"/>
      <c r="DW14" t="inlineStr"/>
      <c r="DX14" t="inlineStr"/>
      <c r="DY14" t="inlineStr"/>
      <c r="DZ14" t="inlineStr"/>
      <c r="EA14" t="inlineStr"/>
      <c r="EB14" t="inlineStr"/>
      <c r="EC14" t="inlineStr"/>
      <c r="ED14" t="inlineStr"/>
      <c r="EE14" t="inlineStr"/>
      <c r="EF14" t="inlineStr"/>
      <c r="EG14" t="inlineStr"/>
      <c r="EH14" t="inlineStr"/>
      <c r="EI14" t="inlineStr"/>
      <c r="EJ14" t="inlineStr"/>
      <c r="EK14" t="inlineStr"/>
      <c r="EL14" t="inlineStr"/>
      <c r="EM14" t="inlineStr"/>
      <c r="EN14" t="inlineStr"/>
      <c r="EO14" t="inlineStr"/>
      <c r="EP14" t="inlineStr"/>
      <c r="EQ14" t="inlineStr"/>
      <c r="ER14" t="inlineStr"/>
      <c r="ES14" t="inlineStr"/>
      <c r="ET14" t="inlineStr"/>
      <c r="EU14" t="inlineStr"/>
      <c r="EV14" t="inlineStr"/>
      <c r="EW14" t="inlineStr"/>
      <c r="EX14" t="inlineStr"/>
      <c r="EY14" t="inlineStr"/>
      <c r="EZ14" t="inlineStr"/>
      <c r="FA14" t="inlineStr"/>
      <c r="FB14" t="inlineStr"/>
      <c r="FC14" t="inlineStr"/>
      <c r="FD14" t="inlineStr"/>
      <c r="FE14" t="inlineStr"/>
      <c r="FF14" t="inlineStr"/>
      <c r="FG14" t="inlineStr"/>
      <c r="FH14" t="inlineStr"/>
      <c r="FI14" t="inlineStr"/>
      <c r="FJ14" t="inlineStr"/>
      <c r="FK14" t="inlineStr"/>
      <c r="FL14" t="inlineStr"/>
      <c r="FM14" t="inlineStr"/>
      <c r="FN14" t="inlineStr"/>
      <c r="FO14" t="inlineStr"/>
      <c r="FP14" t="inlineStr"/>
      <c r="FQ14" t="inlineStr"/>
      <c r="FR14" t="inlineStr"/>
      <c r="FS14" t="inlineStr"/>
      <c r="FT14" t="inlineStr"/>
      <c r="FU14" t="inlineStr"/>
      <c r="FV14" t="inlineStr"/>
      <c r="FW14" t="inlineStr"/>
      <c r="FX14" t="inlineStr"/>
      <c r="FY14" t="inlineStr"/>
      <c r="FZ14" t="inlineStr"/>
      <c r="GA14" t="inlineStr"/>
      <c r="GB14" t="inlineStr"/>
      <c r="GC14" t="inlineStr"/>
      <c r="GD14" t="inlineStr"/>
      <c r="GE14" t="inlineStr"/>
      <c r="GF14" t="inlineStr"/>
      <c r="GG14" t="inlineStr"/>
      <c r="GH14" t="inlineStr"/>
      <c r="GI14" t="inlineStr"/>
      <c r="GJ14" t="inlineStr"/>
      <c r="GK14" t="inlineStr"/>
      <c r="GL14" t="inlineStr"/>
      <c r="GM14" t="inlineStr"/>
      <c r="GN14" t="inlineStr"/>
      <c r="GO14" t="inlineStr"/>
      <c r="GP14" t="inlineStr"/>
      <c r="GQ14" t="inlineStr"/>
      <c r="GR14" t="inlineStr"/>
      <c r="GS14" t="inlineStr"/>
      <c r="GT14" t="inlineStr"/>
      <c r="GU14" t="inlineStr"/>
      <c r="GV14" t="inlineStr"/>
      <c r="GW14" t="inlineStr"/>
      <c r="GX14" t="inlineStr"/>
      <c r="GY14" t="inlineStr"/>
      <c r="GZ14" t="inlineStr"/>
      <c r="HA14" t="inlineStr"/>
      <c r="HB14" t="inlineStr"/>
      <c r="HC14" t="inlineStr"/>
      <c r="HD14" t="inlineStr"/>
      <c r="HE14" t="inlineStr"/>
      <c r="HF14" t="inlineStr"/>
      <c r="HG14" t="inlineStr"/>
      <c r="HH14" t="inlineStr"/>
      <c r="HI14" t="inlineStr"/>
      <c r="HJ14" t="inlineStr"/>
      <c r="HK14" t="inlineStr"/>
      <c r="HL14" t="inlineStr"/>
      <c r="HM14" t="inlineStr"/>
      <c r="HN14" t="inlineStr"/>
      <c r="HO14" t="inlineStr"/>
      <c r="HP14" t="inlineStr"/>
      <c r="HQ14" t="inlineStr"/>
      <c r="HR14" t="inlineStr"/>
      <c r="HS14" t="inlineStr"/>
      <c r="HT14" t="inlineStr"/>
      <c r="HU14" t="inlineStr"/>
      <c r="HV14" t="inlineStr"/>
      <c r="HW14" t="inlineStr"/>
      <c r="HX14" t="inlineStr"/>
      <c r="HY14" t="inlineStr">
        <is>
          <t>924</t>
        </is>
      </c>
      <c r="HZ14" t="inlineStr">
        <is>
          <t>News (924)</t>
        </is>
      </c>
      <c r="IA14" t="inlineStr"/>
      <c r="IB14" t="inlineStr"/>
      <c r="IC14" t="inlineStr"/>
      <c r="ID14" t="inlineStr"/>
      <c r="IE14" t="inlineStr"/>
      <c r="IF14" t="inlineStr"/>
      <c r="IG14" t="inlineStr"/>
      <c r="IH14" t="inlineStr"/>
      <c r="II14" t="inlineStr"/>
      <c r="IJ14" t="inlineStr"/>
      <c r="IK14" t="inlineStr"/>
      <c r="IL14" t="inlineStr"/>
      <c r="IM14" t="inlineStr"/>
      <c r="IN14" t="inlineStr"/>
      <c r="IO14" t="inlineStr"/>
      <c r="IP14" t="inlineStr"/>
      <c r="IQ14" t="inlineStr"/>
      <c r="IR14" t="inlineStr"/>
      <c r="IS14">
        <f>IF(input_content_type="",FALSE,ISNUMBER(SEARCH(","&amp;LOWER(input_content_type)&amp;",",","&amp;LOWER(F14)&amp;",")))</f>
        <v/>
      </c>
      <c r="IT14">
        <f>AND(IF(M14="",TRUE,IF(input_affiliations="",FALSE,SUMPRODUCT(--ISNUMBER(SEARCH(","&amp;TRIM(TEXTSPLIT(M14,","))&amp;",",","&amp;SUBSTITUTE(input_affiliations," ","")&amp;",")))&gt;0)),IF(O14="",TRUE,IF(input_affiliations="",FALSE,SUMPRODUCT(--ISNUMBER(SEARCH(","&amp;TRIM(TEXTSPLIT(O14,","))&amp;",",","&amp;SUBSTITUTE(input_affiliations," ","")&amp;",")))=COUNTA(TEXTSPLIT(O14,",")))),IF(Q14="",TRUE,IF(input_affiliations="",TRUE,SUMPRODUCT(--ISNUMBER(SEARCH(","&amp;TRIM(TEXTSPLIT(Q14,","))&amp;",",","&amp;SUBSTITUTE(input_affiliations," ","")&amp;",")))=0)),IF(S14="",TRUE,IF(input_affiliations="",FALSE,SUMPRODUCT(--ISNUMBER(SEARCH(","&amp;TRIM(TEXTSPLIT(S14,","))&amp;",",","&amp;SUBSTITUTE(input_affiliations," ","")&amp;",")))&gt;0)),IF(U14="",TRUE,IF(input_affiliations="",FALSE,SUMPRODUCT(--ISNUMBER(SEARCH(","&amp;TRIM(TEXTSPLIT(U14,","))&amp;",",","&amp;SUBSTITUTE(input_affiliations," ","")&amp;",")))=COUNTA(TEXTSPLIT(U14,",")))))</f>
        <v/>
      </c>
      <c r="IU14">
        <f>AND(IF(W14="",TRUE,IF(input_announcement_category="",FALSE,SUMPRODUCT(--ISNUMBER(SEARCH(","&amp;TRIM(TEXTSPLIT(W14,","))&amp;",",","&amp;SUBSTITUTE(input_announcement_category," ","")&amp;",")))&gt;0)),IF(Y14="",TRUE,IF(input_announcement_category="",FALSE,SUMPRODUCT(--ISNUMBER(SEARCH(","&amp;TRIM(TEXTSPLIT(Y14,","))&amp;",",","&amp;SUBSTITUTE(input_announcement_category," ","")&amp;",")))=COUNTA(TEXTSPLIT(Y14,",")))),IF(AA14="",TRUE,IF(input_announcement_category="",TRUE,SUMPRODUCT(--ISNUMBER(SEARCH(","&amp;TRIM(TEXTSPLIT(AA14,","))&amp;",",","&amp;SUBSTITUTE(input_announcement_category," ","")&amp;",")))=0)),IF(AC14="",TRUE,IF(input_announcement_category="",FALSE,SUMPRODUCT(--ISNUMBER(SEARCH(","&amp;TRIM(TEXTSPLIT(AC14,","))&amp;",",","&amp;SUBSTITUTE(input_announcement_category," ","")&amp;",")))&gt;0)),IF(AE14="",TRUE,IF(input_announcement_category="",FALSE,SUMPRODUCT(--ISNUMBER(SEARCH(","&amp;TRIM(TEXTSPLIT(AE14,","))&amp;",",","&amp;SUBSTITUTE(input_announcement_category," ","")&amp;",")))=COUNTA(TEXTSPLIT(AE14,",")))))</f>
        <v/>
      </c>
      <c r="IV14">
        <f>AND(IF(AG14="",TRUE,IF(input_area_of_focus="",FALSE,SUMPRODUCT(--ISNUMBER(SEARCH(","&amp;TRIM(TEXTSPLIT(AG14,","))&amp;",",","&amp;SUBSTITUTE(input_area_of_focus," ","")&amp;",")))&gt;0)),IF(AI14="",TRUE,IF(input_area_of_focus="",FALSE,SUMPRODUCT(--ISNUMBER(SEARCH(","&amp;TRIM(TEXTSPLIT(AI14,","))&amp;",",","&amp;SUBSTITUTE(input_area_of_focus," ","")&amp;",")))=COUNTA(TEXTSPLIT(AI14,",")))),IF(AK14="",TRUE,IF(input_area_of_focus="",TRUE,SUMPRODUCT(--ISNUMBER(SEARCH(","&amp;TRIM(TEXTSPLIT(AK14,","))&amp;",",","&amp;SUBSTITUTE(input_area_of_focus," ","")&amp;",")))=0)),IF(AM14="",TRUE,IF(input_area_of_focus="",FALSE,SUMPRODUCT(--ISNUMBER(SEARCH(","&amp;TRIM(TEXTSPLIT(AM14,","))&amp;",",","&amp;SUBSTITUTE(input_area_of_focus," ","")&amp;",")))&gt;0)),IF(AO14="",TRUE,IF(input_area_of_focus="",FALSE,SUMPRODUCT(--ISNUMBER(SEARCH(","&amp;TRIM(TEXTSPLIT(AO14,","))&amp;",",","&amp;SUBSTITUTE(input_area_of_focus," ","")&amp;",")))=COUNTA(TEXTSPLIT(AO14,",")))))</f>
        <v/>
      </c>
      <c r="IW14">
        <f>AND(IF(AQ14="",TRUE,IF(input_audience="",FALSE,SUMPRODUCT(--ISNUMBER(SEARCH(","&amp;TRIM(TEXTSPLIT(AQ14,","))&amp;",",","&amp;SUBSTITUTE(input_audience," ","")&amp;",")))&gt;0)),IF(AS14="",TRUE,IF(input_audience="",FALSE,SUMPRODUCT(--ISNUMBER(SEARCH(","&amp;TRIM(TEXTSPLIT(AS14,","))&amp;",",","&amp;SUBSTITUTE(input_audience," ","")&amp;",")))=COUNTA(TEXTSPLIT(AS14,",")))),IF(AU14="",TRUE,IF(input_audience="",TRUE,SUMPRODUCT(--ISNUMBER(SEARCH(","&amp;TRIM(TEXTSPLIT(AU14,","))&amp;",",","&amp;SUBSTITUTE(input_audience," ","")&amp;",")))=0)),IF(AW14="",TRUE,IF(input_audience="",FALSE,SUMPRODUCT(--ISNUMBER(SEARCH(","&amp;TRIM(TEXTSPLIT(AW14,","))&amp;",",","&amp;SUBSTITUTE(input_audience," ","")&amp;",")))&gt;0)),IF(AY14="",TRUE,IF(input_audience="",FALSE,SUMPRODUCT(--ISNUMBER(SEARCH(","&amp;TRIM(TEXTSPLIT(AY14,","))&amp;",",","&amp;SUBSTITUTE(input_audience," ","")&amp;",")))=COUNTA(TEXTSPLIT(AY14,",")))))</f>
        <v/>
      </c>
      <c r="IX14">
        <f>AND(IF(BA14="",TRUE,IF(input_challenge_opportunities="",FALSE,SUMPRODUCT(--ISNUMBER(SEARCH(","&amp;TRIM(TEXTSPLIT(BA14,","))&amp;",",","&amp;SUBSTITUTE(input_challenge_opportunities," ","")&amp;",")))&gt;0)),IF(BC14="",TRUE,IF(input_challenge_opportunities="",FALSE,SUMPRODUCT(--ISNUMBER(SEARCH(","&amp;TRIM(TEXTSPLIT(BC14,","))&amp;",",","&amp;SUBSTITUTE(input_challenge_opportunities," ","")&amp;",")))=COUNTA(TEXTSPLIT(BC14,",")))),IF(BE14="",TRUE,IF(input_challenge_opportunities="",TRUE,SUMPRODUCT(--ISNUMBER(SEARCH(","&amp;TRIM(TEXTSPLIT(BE14,","))&amp;",",","&amp;SUBSTITUTE(input_challenge_opportunities," ","")&amp;",")))=0)),IF(BG14="",TRUE,IF(input_challenge_opportunities="",FALSE,SUMPRODUCT(--ISNUMBER(SEARCH(","&amp;TRIM(TEXTSPLIT(BG14,","))&amp;",",","&amp;SUBSTITUTE(input_challenge_opportunities," ","")&amp;",")))&gt;0)),IF(BI14="",TRUE,IF(input_challenge_opportunities="",FALSE,SUMPRODUCT(--ISNUMBER(SEARCH(","&amp;TRIM(TEXTSPLIT(BI14,","))&amp;",",","&amp;SUBSTITUTE(input_challenge_opportunities," ","")&amp;",")))=COUNTA(TEXTSPLIT(BI14,",")))))</f>
        <v/>
      </c>
      <c r="IY14">
        <f>AND(IF(BK14="",TRUE,IF(input_context="",FALSE,SUMPRODUCT(--ISNUMBER(SEARCH(","&amp;TRIM(TEXTSPLIT(BK14,","))&amp;",",","&amp;SUBSTITUTE(input_context," ","")&amp;",")))&gt;0)),IF(BM14="",TRUE,IF(input_context="",FALSE,SUMPRODUCT(--ISNUMBER(SEARCH(","&amp;TRIM(TEXTSPLIT(BM14,","))&amp;",",","&amp;SUBSTITUTE(input_context," ","")&amp;",")))=COUNTA(TEXTSPLIT(BM14,",")))),IF(BO14="",TRUE,IF(input_context="",TRUE,SUMPRODUCT(--ISNUMBER(SEARCH(","&amp;TRIM(TEXTSPLIT(BO14,","))&amp;",",","&amp;SUBSTITUTE(input_context," ","")&amp;",")))=0)),IF(BQ14="",TRUE,IF(input_context="",FALSE,SUMPRODUCT(--ISNUMBER(SEARCH(","&amp;TRIM(TEXTSPLIT(BQ14,","))&amp;",",","&amp;SUBSTITUTE(input_context," ","")&amp;",")))&gt;0)),IF(BS14="",TRUE,IF(input_context="",FALSE,SUMPRODUCT(--ISNUMBER(SEARCH(","&amp;TRIM(TEXTSPLIT(BS14,","))&amp;",",","&amp;SUBSTITUTE(input_context," ","")&amp;",")))=COUNTA(TEXTSPLIT(BS14,",")))))</f>
        <v/>
      </c>
      <c r="IZ14">
        <f>AND(IF(BU14="",TRUE,IF(input_enews_announcement_type="",FALSE,SUMPRODUCT(--ISNUMBER(SEARCH(","&amp;TRIM(TEXTSPLIT(BU14,","))&amp;",",","&amp;SUBSTITUTE(input_enews_announcement_type," ","")&amp;",")))&gt;0)),IF(BW14="",TRUE,IF(input_enews_announcement_type="",FALSE,SUMPRODUCT(--ISNUMBER(SEARCH(","&amp;TRIM(TEXTSPLIT(BW14,","))&amp;",",","&amp;SUBSTITUTE(input_enews_announcement_type," ","")&amp;",")))=COUNTA(TEXTSPLIT(BW14,",")))),IF(BY14="",TRUE,IF(input_enews_announcement_type="",TRUE,SUMPRODUCT(--ISNUMBER(SEARCH(","&amp;TRIM(TEXTSPLIT(BY14,","))&amp;",",","&amp;SUBSTITUTE(input_enews_announcement_type," ","")&amp;",")))=0)),IF(CA14="",TRUE,IF(input_enews_announcement_type="",FALSE,SUMPRODUCT(--ISNUMBER(SEARCH(","&amp;TRIM(TEXTSPLIT(CA14,","))&amp;",",","&amp;SUBSTITUTE(input_enews_announcement_type," ","")&amp;",")))&gt;0)),IF(CC14="",TRUE,IF(input_enews_announcement_type="",FALSE,SUMPRODUCT(--ISNUMBER(SEARCH(","&amp;TRIM(TEXTSPLIT(CC14,","))&amp;",",","&amp;SUBSTITUTE(input_enews_announcement_type," ","")&amp;",")))=COUNTA(TEXTSPLIT(CC14,",")))))</f>
        <v/>
      </c>
      <c r="JA14">
        <f>AND(IF(CE14="",TRUE,IF(input_enews_audience="",FALSE,SUMPRODUCT(--ISNUMBER(SEARCH(","&amp;TRIM(TEXTSPLIT(CE14,","))&amp;",",","&amp;SUBSTITUTE(input_enews_audience," ","")&amp;",")))&gt;0)),IF(CG14="",TRUE,IF(input_enews_audience="",FALSE,SUMPRODUCT(--ISNUMBER(SEARCH(","&amp;TRIM(TEXTSPLIT(CG14,","))&amp;",",","&amp;SUBSTITUTE(input_enews_audience," ","")&amp;",")))=COUNTA(TEXTSPLIT(CG14,",")))),IF(CI14="",TRUE,IF(input_enews_audience="",TRUE,SUMPRODUCT(--ISNUMBER(SEARCH(","&amp;TRIM(TEXTSPLIT(CI14,","))&amp;",",","&amp;SUBSTITUTE(input_enews_audience," ","")&amp;",")))=0)),IF(CK14="",TRUE,IF(input_enews_audience="",FALSE,SUMPRODUCT(--ISNUMBER(SEARCH(","&amp;TRIM(TEXTSPLIT(CK14,","))&amp;",",","&amp;SUBSTITUTE(input_enews_audience," ","")&amp;",")))&gt;0)),IF(CM14="",TRUE,IF(input_enews_audience="",FALSE,SUMPRODUCT(--ISNUMBER(SEARCH(","&amp;TRIM(TEXTSPLIT(CM14,","))&amp;",",","&amp;SUBSTITUTE(input_enews_audience," ","")&amp;",")))=COUNTA(TEXTSPLIT(CM14,",")))))</f>
        <v/>
      </c>
      <c r="JB14">
        <f>AND(IF(CO14="",TRUE,IF(input_event_location="",FALSE,SUMPRODUCT(--ISNUMBER(SEARCH(","&amp;TRIM(TEXTSPLIT(CO14,","))&amp;",",","&amp;SUBSTITUTE(input_event_location," ","")&amp;",")))&gt;0)),IF(CQ14="",TRUE,IF(input_event_location="",FALSE,SUMPRODUCT(--ISNUMBER(SEARCH(","&amp;TRIM(TEXTSPLIT(CQ14,","))&amp;",",","&amp;SUBSTITUTE(input_event_location," ","")&amp;",")))=COUNTA(TEXTSPLIT(CQ14,",")))),IF(CS14="",TRUE,IF(input_event_location="",TRUE,SUMPRODUCT(--ISNUMBER(SEARCH(","&amp;TRIM(TEXTSPLIT(CS14,","))&amp;",",","&amp;SUBSTITUTE(input_event_location," ","")&amp;",")))=0)),IF(CU14="",TRUE,IF(input_event_location="",FALSE,SUMPRODUCT(--ISNUMBER(SEARCH(","&amp;TRIM(TEXTSPLIT(CU14,","))&amp;",",","&amp;SUBSTITUTE(input_event_location," ","")&amp;",")))&gt;0)),IF(CW14="",TRUE,IF(input_event_location="",FALSE,SUMPRODUCT(--ISNUMBER(SEARCH(","&amp;TRIM(TEXTSPLIT(CW14,","))&amp;",",","&amp;SUBSTITUTE(input_event_location," ","")&amp;",")))=COUNTA(TEXTSPLIT(CW14,",")))))</f>
        <v/>
      </c>
      <c r="JC14">
        <f>AND(IF(CY14="",TRUE,IF(input_event_type="",FALSE,SUMPRODUCT(--ISNUMBER(SEARCH(","&amp;TRIM(TEXTSPLIT(CY14,","))&amp;",",","&amp;SUBSTITUTE(input_event_type," ","")&amp;",")))&gt;0)),IF(DA14="",TRUE,IF(input_event_type="",FALSE,SUMPRODUCT(--ISNUMBER(SEARCH(","&amp;TRIM(TEXTSPLIT(DA14,","))&amp;",",","&amp;SUBSTITUTE(input_event_type," ","")&amp;",")))=COUNTA(TEXTSPLIT(DA14,",")))),IF(DC14="",TRUE,IF(input_event_type="",TRUE,SUMPRODUCT(--ISNUMBER(SEARCH(","&amp;TRIM(TEXTSPLIT(DC14,","))&amp;",",","&amp;SUBSTITUTE(input_event_type," ","")&amp;",")))=0)),IF(DE14="",TRUE,IF(input_event_type="",FALSE,SUMPRODUCT(--ISNUMBER(SEARCH(","&amp;TRIM(TEXTSPLIT(DE14,","))&amp;",",","&amp;SUBSTITUTE(input_event_type," ","")&amp;",")))&gt;0)),IF(DG14="",TRUE,IF(input_event_type="",FALSE,SUMPRODUCT(--ISNUMBER(SEARCH(","&amp;TRIM(TEXTSPLIT(DG14,","))&amp;",",","&amp;SUBSTITUTE(input_event_type," ","")&amp;",")))=COUNTA(TEXTSPLIT(DG14,",")))))</f>
        <v/>
      </c>
      <c r="JD14">
        <f>AND(IF(DI14="",TRUE,IF(input_executive_education_focus="",FALSE,SUMPRODUCT(--ISNUMBER(SEARCH(","&amp;TRIM(TEXTSPLIT(DI14,","))&amp;",",","&amp;SUBSTITUTE(input_executive_education_focus," ","")&amp;",")))&gt;0)),IF(DK14="",TRUE,IF(input_executive_education_focus="",FALSE,SUMPRODUCT(--ISNUMBER(SEARCH(","&amp;TRIM(TEXTSPLIT(DK14,","))&amp;",",","&amp;SUBSTITUTE(input_executive_education_focus," ","")&amp;",")))=COUNTA(TEXTSPLIT(DK14,",")))),IF(DM14="",TRUE,IF(input_executive_education_focus="",TRUE,SUMPRODUCT(--ISNUMBER(SEARCH(","&amp;TRIM(TEXTSPLIT(DM14,","))&amp;",",","&amp;SUBSTITUTE(input_executive_education_focus," ","")&amp;",")))=0)),IF(DO14="",TRUE,IF(input_executive_education_focus="",FALSE,SUMPRODUCT(--ISNUMBER(SEARCH(","&amp;TRIM(TEXTSPLIT(DO14,","))&amp;",",","&amp;SUBSTITUTE(input_executive_education_focus," ","")&amp;",")))&gt;0)),IF(DQ14="",TRUE,IF(input_executive_education_focus="",FALSE,SUMPRODUCT(--ISNUMBER(SEARCH(","&amp;TRIM(TEXTSPLIT(DQ14,","))&amp;",",","&amp;SUBSTITUTE(input_executive_education_focus," ","")&amp;",")))=COUNTA(TEXTSPLIT(DQ14,",")))))</f>
        <v/>
      </c>
      <c r="JE14">
        <f>AND(IF(DS14="",TRUE,IF(input_faculty_category="",FALSE,SUMPRODUCT(--ISNUMBER(SEARCH(","&amp;TRIM(TEXTSPLIT(DS14,","))&amp;",",","&amp;SUBSTITUTE(input_faculty_category," ","")&amp;",")))&gt;0)),IF(DU14="",TRUE,IF(input_faculty_category="",FALSE,SUMPRODUCT(--ISNUMBER(SEARCH(","&amp;TRIM(TEXTSPLIT(DU14,","))&amp;",",","&amp;SUBSTITUTE(input_faculty_category," ","")&amp;",")))=COUNTA(TEXTSPLIT(DU14,",")))),IF(DW14="",TRUE,IF(input_faculty_category="",TRUE,SUMPRODUCT(--ISNUMBER(SEARCH(","&amp;TRIM(TEXTSPLIT(DW14,","))&amp;",",","&amp;SUBSTITUTE(input_faculty_category," ","")&amp;",")))=0)),IF(DY14="",TRUE,IF(input_faculty_category="",FALSE,SUMPRODUCT(--ISNUMBER(SEARCH(","&amp;TRIM(TEXTSPLIT(DY14,","))&amp;",",","&amp;SUBSTITUTE(input_faculty_category," ","")&amp;",")))&gt;0)),IF(EA14="",TRUE,IF(input_faculty_category="",FALSE,SUMPRODUCT(--ISNUMBER(SEARCH(","&amp;TRIM(TEXTSPLIT(EA14,","))&amp;",",","&amp;SUBSTITUTE(input_faculty_category," ","")&amp;",")))=COUNTA(TEXTSPLIT(EA14,",")))))</f>
        <v/>
      </c>
      <c r="JF14">
        <f>AND(IF(EC14="",TRUE,IF(input_faculty_discipline="",FALSE,SUMPRODUCT(--ISNUMBER(SEARCH(","&amp;TRIM(TEXTSPLIT(EC14,","))&amp;",",","&amp;SUBSTITUTE(input_faculty_discipline," ","")&amp;",")))&gt;0)),IF(EE14="",TRUE,IF(input_faculty_discipline="",FALSE,SUMPRODUCT(--ISNUMBER(SEARCH(","&amp;TRIM(TEXTSPLIT(EE14,","))&amp;",",","&amp;SUBSTITUTE(input_faculty_discipline," ","")&amp;",")))=COUNTA(TEXTSPLIT(EE14,",")))),IF(EG14="",TRUE,IF(input_faculty_discipline="",TRUE,SUMPRODUCT(--ISNUMBER(SEARCH(","&amp;TRIM(TEXTSPLIT(EG14,","))&amp;",",","&amp;SUBSTITUTE(input_faculty_discipline," ","")&amp;",")))=0)),IF(EI14="",TRUE,IF(input_faculty_discipline="",FALSE,SUMPRODUCT(--ISNUMBER(SEARCH(","&amp;TRIM(TEXTSPLIT(EI14,","))&amp;",",","&amp;SUBSTITUTE(input_faculty_discipline," ","")&amp;",")))&gt;0)),IF(EK14="",TRUE,IF(input_faculty_discipline="",FALSE,SUMPRODUCT(--ISNUMBER(SEARCH(","&amp;TRIM(TEXTSPLIT(EK14,","))&amp;",",","&amp;SUBSTITUTE(input_faculty_discipline," ","")&amp;",")))=COUNTA(TEXTSPLIT(EK14,",")))))</f>
        <v/>
      </c>
      <c r="JG14">
        <f>AND(IF(EM14="",TRUE,IF(input_faculty_expertise="",FALSE,SUMPRODUCT(--ISNUMBER(SEARCH(","&amp;TRIM(TEXTSPLIT(EM14,","))&amp;",",","&amp;SUBSTITUTE(input_faculty_expertise," ","")&amp;",")))&gt;0)),IF(EO14="",TRUE,IF(input_faculty_expertise="",FALSE,SUMPRODUCT(--ISNUMBER(SEARCH(","&amp;TRIM(TEXTSPLIT(EO14,","))&amp;",",","&amp;SUBSTITUTE(input_faculty_expertise," ","")&amp;",")))=COUNTA(TEXTSPLIT(EO14,",")))),IF(EQ14="",TRUE,IF(input_faculty_expertise="",TRUE,SUMPRODUCT(--ISNUMBER(SEARCH(","&amp;TRIM(TEXTSPLIT(EQ14,","))&amp;",",","&amp;SUBSTITUTE(input_faculty_expertise," ","")&amp;",")))=0)),IF(ES14="",TRUE,IF(input_faculty_expertise="",FALSE,SUMPRODUCT(--ISNUMBER(SEARCH(","&amp;TRIM(TEXTSPLIT(ES14,","))&amp;",",","&amp;SUBSTITUTE(input_faculty_expertise," ","")&amp;",")))&gt;0)),IF(EU14="",TRUE,IF(input_faculty_expertise="",FALSE,SUMPRODUCT(--ISNUMBER(SEARCH(","&amp;TRIM(TEXTSPLIT(EU14,","))&amp;",",","&amp;SUBSTITUTE(input_faculty_expertise," ","")&amp;",")))=COUNTA(TEXTSPLIT(EU14,",")))))</f>
        <v/>
      </c>
      <c r="JH14">
        <f>AND(IF(EW14="",TRUE,IF(input_global_network_school="",FALSE,SUMPRODUCT(--ISNUMBER(SEARCH(","&amp;TRIM(TEXTSPLIT(EW14,","))&amp;",",","&amp;SUBSTITUTE(input_global_network_school," ","")&amp;",")))&gt;0)),IF(EY14="",TRUE,IF(input_global_network_school="",FALSE,SUMPRODUCT(--ISNUMBER(SEARCH(","&amp;TRIM(TEXTSPLIT(EY14,","))&amp;",",","&amp;SUBSTITUTE(input_global_network_school," ","")&amp;",")))=COUNTA(TEXTSPLIT(EY14,",")))),IF(FA14="",TRUE,IF(input_global_network_school="",TRUE,SUMPRODUCT(--ISNUMBER(SEARCH(","&amp;TRIM(TEXTSPLIT(FA14,","))&amp;",",","&amp;SUBSTITUTE(input_global_network_school," ","")&amp;",")))=0)),IF(FC14="",TRUE,IF(input_global_network_school="",FALSE,SUMPRODUCT(--ISNUMBER(SEARCH(","&amp;TRIM(TEXTSPLIT(FC14,","))&amp;",",","&amp;SUBSTITUTE(input_global_network_school," ","")&amp;",")))&gt;0)),IF(FE14="",TRUE,IF(input_global_network_school="",FALSE,SUMPRODUCT(--ISNUMBER(SEARCH(","&amp;TRIM(TEXTSPLIT(FE14,","))&amp;",",","&amp;SUBSTITUTE(input_global_network_school," ","")&amp;",")))=COUNTA(TEXTSPLIT(FE14,",")))))</f>
        <v/>
      </c>
      <c r="JI14">
        <f>AND(IF(FG14="",TRUE,IF(input_industry="",FALSE,SUMPRODUCT(--ISNUMBER(SEARCH(","&amp;TRIM(TEXTSPLIT(FG14,","))&amp;",",","&amp;SUBSTITUTE(input_industry," ","")&amp;",")))&gt;0)),IF(FI14="",TRUE,IF(input_industry="",FALSE,SUMPRODUCT(--ISNUMBER(SEARCH(","&amp;TRIM(TEXTSPLIT(FI14,","))&amp;",",","&amp;SUBSTITUTE(input_industry," ","")&amp;",")))=COUNTA(TEXTSPLIT(FI14,",")))),IF(FK14="",TRUE,IF(input_industry="",TRUE,SUMPRODUCT(--ISNUMBER(SEARCH(","&amp;TRIM(TEXTSPLIT(FK14,","))&amp;",",","&amp;SUBSTITUTE(input_industry," ","")&amp;",")))=0)),IF(FM14="",TRUE,IF(input_industry="",FALSE,SUMPRODUCT(--ISNUMBER(SEARCH(","&amp;TRIM(TEXTSPLIT(FM14,","))&amp;",",","&amp;SUBSTITUTE(input_industry," ","")&amp;",")))&gt;0)),IF(FO14="",TRUE,IF(input_industry="",FALSE,SUMPRODUCT(--ISNUMBER(SEARCH(","&amp;TRIM(TEXTSPLIT(FO14,","))&amp;",",","&amp;SUBSTITUTE(input_industry," ","")&amp;",")))=COUNTA(TEXTSPLIT(FO14,",")))))</f>
        <v/>
      </c>
      <c r="JJ14">
        <f>AND(IF(FQ14="",TRUE,IF(input_location="",FALSE,SUMPRODUCT(--ISNUMBER(SEARCH(","&amp;TRIM(TEXTSPLIT(FQ14,","))&amp;",",","&amp;SUBSTITUTE(input_location," ","")&amp;",")))&gt;0)),IF(FS14="",TRUE,IF(input_location="",FALSE,SUMPRODUCT(--ISNUMBER(SEARCH(","&amp;TRIM(TEXTSPLIT(FS14,","))&amp;",",","&amp;SUBSTITUTE(input_location," ","")&amp;",")))=COUNTA(TEXTSPLIT(FS14,",")))),IF(FU14="",TRUE,IF(input_location="",TRUE,SUMPRODUCT(--ISNUMBER(SEARCH(","&amp;TRIM(TEXTSPLIT(FU14,","))&amp;",",","&amp;SUBSTITUTE(input_location," ","")&amp;",")))=0)),IF(FW14="",TRUE,IF(input_location="",FALSE,SUMPRODUCT(--ISNUMBER(SEARCH(","&amp;TRIM(TEXTSPLIT(FW14,","))&amp;",",","&amp;SUBSTITUTE(input_location," ","")&amp;",")))&gt;0)),IF(FY14="",TRUE,IF(input_location="",FALSE,SUMPRODUCT(--ISNUMBER(SEARCH(","&amp;TRIM(TEXTSPLIT(FY14,","))&amp;",",","&amp;SUBSTITUTE(input_location," ","")&amp;",")))=COUNTA(TEXTSPLIT(FY14,",")))))</f>
        <v/>
      </c>
      <c r="JK14">
        <f>AND(IF(GA14="",TRUE,IF(input_modality="",FALSE,SUMPRODUCT(--ISNUMBER(SEARCH(","&amp;TRIM(TEXTSPLIT(GA14,","))&amp;",",","&amp;SUBSTITUTE(input_modality," ","")&amp;",")))&gt;0)),IF(GC14="",TRUE,IF(input_modality="",FALSE,SUMPRODUCT(--ISNUMBER(SEARCH(","&amp;TRIM(TEXTSPLIT(GC14,","))&amp;",",","&amp;SUBSTITUTE(input_modality," ","")&amp;",")))=COUNTA(TEXTSPLIT(GC14,",")))),IF(GE14="",TRUE,IF(input_modality="",TRUE,SUMPRODUCT(--ISNUMBER(SEARCH(","&amp;TRIM(TEXTSPLIT(GE14,","))&amp;",",","&amp;SUBSTITUTE(input_modality," ","")&amp;",")))=0)),IF(GG14="",TRUE,IF(input_modality="",FALSE,SUMPRODUCT(--ISNUMBER(SEARCH(","&amp;TRIM(TEXTSPLIT(GG14,","))&amp;",",","&amp;SUBSTITUTE(input_modality," ","")&amp;",")))&gt;0)),IF(GI14="",TRUE,IF(input_modality="",FALSE,SUMPRODUCT(--ISNUMBER(SEARCH(","&amp;TRIM(TEXTSPLIT(GI14,","))&amp;",",","&amp;SUBSTITUTE(input_modality," ","")&amp;",")))=COUNTA(TEXTSPLIT(GI14,",")))))</f>
        <v/>
      </c>
      <c r="JL14">
        <f>AND(IF(GK14="",TRUE,IF(input_organizer="",FALSE,SUMPRODUCT(--ISNUMBER(SEARCH(","&amp;TRIM(TEXTSPLIT(GK14,","))&amp;",",","&amp;SUBSTITUTE(input_organizer," ","")&amp;",")))&gt;0)),IF(GM14="",TRUE,IF(input_organizer="",FALSE,SUMPRODUCT(--ISNUMBER(SEARCH(","&amp;TRIM(TEXTSPLIT(GM14,","))&amp;",",","&amp;SUBSTITUTE(input_organizer," ","")&amp;",")))=COUNTA(TEXTSPLIT(GM14,",")))),IF(GO14="",TRUE,IF(input_organizer="",TRUE,SUMPRODUCT(--ISNUMBER(SEARCH(","&amp;TRIM(TEXTSPLIT(GO14,","))&amp;",",","&amp;SUBSTITUTE(input_organizer," ","")&amp;",")))=0)),IF(GQ14="",TRUE,IF(input_organizer="",FALSE,SUMPRODUCT(--ISNUMBER(SEARCH(","&amp;TRIM(TEXTSPLIT(GQ14,","))&amp;",",","&amp;SUBSTITUTE(input_organizer," ","")&amp;",")))&gt;0)),IF(GS14="",TRUE,IF(input_organizer="",FALSE,SUMPRODUCT(--ISNUMBER(SEARCH(","&amp;TRIM(TEXTSPLIT(GS14,","))&amp;",",","&amp;SUBSTITUTE(input_organizer," ","")&amp;",")))=COUNTA(TEXTSPLIT(GS14,",")))))</f>
        <v/>
      </c>
      <c r="JM14">
        <f>AND(IF(GU14="",TRUE,IF(input_profile_type="",FALSE,SUMPRODUCT(--ISNUMBER(SEARCH(","&amp;TRIM(TEXTSPLIT(GU14,","))&amp;",",","&amp;SUBSTITUTE(input_profile_type," ","")&amp;",")))&gt;0)),IF(GW14="",TRUE,IF(input_profile_type="",FALSE,SUMPRODUCT(--ISNUMBER(SEARCH(","&amp;TRIM(TEXTSPLIT(GW14,","))&amp;",",","&amp;SUBSTITUTE(input_profile_type," ","")&amp;",")))=COUNTA(TEXTSPLIT(GW14,",")))),IF(GY14="",TRUE,IF(input_profile_type="",TRUE,SUMPRODUCT(--ISNUMBER(SEARCH(","&amp;TRIM(TEXTSPLIT(GY14,","))&amp;",",","&amp;SUBSTITUTE(input_profile_type," ","")&amp;",")))=0)),IF(HA14="",TRUE,IF(input_profile_type="",FALSE,SUMPRODUCT(--ISNUMBER(SEARCH(","&amp;TRIM(TEXTSPLIT(HA14,","))&amp;",",","&amp;SUBSTITUTE(input_profile_type," ","")&amp;",")))&gt;0)),IF(HC14="",TRUE,IF(input_profile_type="",FALSE,SUMPRODUCT(--ISNUMBER(SEARCH(","&amp;TRIM(TEXTSPLIT(HC14,","))&amp;",",","&amp;SUBSTITUTE(input_profile_type," ","")&amp;",")))=COUNTA(TEXTSPLIT(HC14,",")))))</f>
        <v/>
      </c>
      <c r="JN14">
        <f>AND(IF(HE14="",TRUE,IF(input_program="",FALSE,SUMPRODUCT(--ISNUMBER(SEARCH(","&amp;TRIM(TEXTSPLIT(HE14,","))&amp;",",","&amp;SUBSTITUTE(input_program," ","")&amp;",")))&gt;0)),IF(HG14="",TRUE,IF(input_program="",FALSE,SUMPRODUCT(--ISNUMBER(SEARCH(","&amp;TRIM(TEXTSPLIT(HG14,","))&amp;",",","&amp;SUBSTITUTE(input_program," ","")&amp;",")))=COUNTA(TEXTSPLIT(HG14,",")))),IF(HI14="",TRUE,IF(input_program="",TRUE,SUMPRODUCT(--ISNUMBER(SEARCH(","&amp;TRIM(TEXTSPLIT(HI14,","))&amp;",",","&amp;SUBSTITUTE(input_program," ","")&amp;",")))=0)),IF(HK14="",TRUE,IF(input_program="",FALSE,SUMPRODUCT(--ISNUMBER(SEARCH(","&amp;TRIM(TEXTSPLIT(HK14,","))&amp;",",","&amp;SUBSTITUTE(input_program," ","")&amp;",")))&gt;0)),IF(HM14="",TRUE,IF(input_program="",FALSE,SUMPRODUCT(--ISNUMBER(SEARCH(","&amp;TRIM(TEXTSPLIT(HM14,","))&amp;",",","&amp;SUBSTITUTE(input_program," ","")&amp;",")))=COUNTA(TEXTSPLIT(HM14,",")))))</f>
        <v/>
      </c>
      <c r="JO14">
        <f>AND(IF(HO14="",TRUE,IF(input_story_categories="",FALSE,SUMPRODUCT(--ISNUMBER(SEARCH(","&amp;TRIM(TEXTSPLIT(HO14,","))&amp;",",","&amp;SUBSTITUTE(input_story_categories," ","")&amp;",")))&gt;0)),IF(HQ14="",TRUE,IF(input_story_categories="",FALSE,SUMPRODUCT(--ISNUMBER(SEARCH(","&amp;TRIM(TEXTSPLIT(HQ14,","))&amp;",",","&amp;SUBSTITUTE(input_story_categories," ","")&amp;",")))=COUNTA(TEXTSPLIT(HQ14,",")))),IF(HS14="",TRUE,IF(input_story_categories="",TRUE,SUMPRODUCT(--ISNUMBER(SEARCH(","&amp;TRIM(TEXTSPLIT(HS14,","))&amp;",",","&amp;SUBSTITUTE(input_story_categories," ","")&amp;",")))=0)),IF(HU14="",TRUE,IF(input_story_categories="",FALSE,SUMPRODUCT(--ISNUMBER(SEARCH(","&amp;TRIM(TEXTSPLIT(HU14,","))&amp;",",","&amp;SUBSTITUTE(input_story_categories," ","")&amp;",")))&gt;0)),IF(HW14="",TRUE,IF(input_story_categories="",FALSE,SUMPRODUCT(--ISNUMBER(SEARCH(","&amp;TRIM(TEXTSPLIT(HW14,","))&amp;",",","&amp;SUBSTITUTE(input_story_categories," ","")&amp;",")))=COUNTA(TEXTSPLIT(HW14,",")))))</f>
        <v/>
      </c>
      <c r="JP14">
        <f>AND(IF(HY14="",TRUE,IF(input_story_type="",FALSE,SUMPRODUCT(--ISNUMBER(SEARCH(","&amp;TRIM(TEXTSPLIT(HY14,","))&amp;",",","&amp;SUBSTITUTE(input_story_type," ","")&amp;",")))&gt;0)),IF(IA14="",TRUE,IF(input_story_type="",FALSE,SUMPRODUCT(--ISNUMBER(SEARCH(","&amp;TRIM(TEXTSPLIT(IA14,","))&amp;",",","&amp;SUBSTITUTE(input_story_type," ","")&amp;",")))=COUNTA(TEXTSPLIT(IA14,",")))),IF(IC14="",TRUE,IF(input_story_type="",TRUE,SUMPRODUCT(--ISNUMBER(SEARCH(","&amp;TRIM(TEXTSPLIT(IC14,","))&amp;",",","&amp;SUBSTITUTE(input_story_type," ","")&amp;",")))=0)),IF(IE14="",TRUE,IF(input_story_type="",FALSE,SUMPRODUCT(--ISNUMBER(SEARCH(","&amp;TRIM(TEXTSPLIT(IE14,","))&amp;",",","&amp;SUBSTITUTE(input_story_type," ","")&amp;",")))&gt;0)),IF(IG14="",TRUE,IF(input_story_type="",FALSE,SUMPRODUCT(--ISNUMBER(SEARCH(","&amp;TRIM(TEXTSPLIT(IG14,","))&amp;",",","&amp;SUBSTITUTE(input_story_type," ","")&amp;",")))=COUNTA(TEXTSPLIT(IG14,",")))))</f>
        <v/>
      </c>
      <c r="JQ14">
        <f>AND(IF(II14="",TRUE,IF(input_topics="",FALSE,SUMPRODUCT(--ISNUMBER(SEARCH(","&amp;TRIM(TEXTSPLIT(II14,","))&amp;",",","&amp;SUBSTITUTE(input_topics," ","")&amp;",")))&gt;0)),IF(IK14="",TRUE,IF(input_topics="",FALSE,SUMPRODUCT(--ISNUMBER(SEARCH(","&amp;TRIM(TEXTSPLIT(IK14,","))&amp;",",","&amp;SUBSTITUTE(input_topics," ","")&amp;",")))=COUNTA(TEXTSPLIT(IK14,",")))),IF(IM14="",TRUE,IF(input_topics="",TRUE,SUMPRODUCT(--ISNUMBER(SEARCH(","&amp;TRIM(TEXTSPLIT(IM14,","))&amp;",",","&amp;SUBSTITUTE(input_topics," ","")&amp;",")))=0)),IF(IO14="",TRUE,IF(input_topics="",FALSE,SUMPRODUCT(--ISNUMBER(SEARCH(","&amp;TRIM(TEXTSPLIT(IO14,","))&amp;",",","&amp;SUBSTITUTE(input_topics," ","")&amp;",")))&gt;0)),IF(IQ14="",TRUE,IF(input_topics="",FALSE,SUMPRODUCT(--ISNUMBER(SEARCH(","&amp;TRIM(TEXTSPLIT(IQ14,","))&amp;",",","&amp;SUBSTITUTE(input_topics," ","")&amp;",")))=COUNTA(TEXTSPLIT(IQ14,",")))))</f>
        <v/>
      </c>
    </row>
    <row r="15">
      <c r="A15" s="4">
        <f>IF(NOT(IS15),"Excluded",IF(AND(IT15,IU15,IV15,IW15,IX15,IY15,IZ15,JA15,JB15,JC15,JD15,JE15,JF15,JG15,JH15,JI15,JJ15,JK15,JL15,JM15,JN15,JO15,JP15,JQ15),IF(I15&gt;0,"Eligible but limited","Will appear"),"Excluded"))</f>
        <v/>
      </c>
      <c r="B15" s="4" t="inlineStr">
        <is>
          <t>All news</t>
        </is>
      </c>
      <c r="C15" s="4" t="inlineStr">
        <is>
          <t>/faculty-research</t>
        </is>
      </c>
      <c r="D15" s="4" t="inlineStr">
        <is>
          <t>/faculty-research</t>
        </is>
      </c>
      <c r="E15" s="4" t="n">
        <v>1</v>
      </c>
      <c r="F15" s="4" t="inlineStr">
        <is>
          <t>story</t>
        </is>
      </c>
      <c r="G15" s="4" t="inlineStr">
        <is>
          <t>stories_grid_with_images</t>
        </is>
      </c>
      <c r="H15" s="4" t="inlineStr">
        <is>
          <t>embed_news</t>
        </is>
      </c>
      <c r="I15" s="4" t="n">
        <v>3</v>
      </c>
      <c r="J15" s="4" t="inlineStr">
        <is>
          <t>View/config rules</t>
        </is>
      </c>
      <c r="K15" s="4" t="inlineStr">
        <is>
          <t>Page placement</t>
        </is>
      </c>
      <c r="L15" s="4" t="inlineStr">
        <is>
          <t>Content type: story; Needs any Story Type: News (924); Limited to 3 item(s); Source: View/config rules</t>
        </is>
      </c>
      <c r="M15" t="inlineStr"/>
      <c r="N15" t="inlineStr"/>
      <c r="O15" t="inlineStr"/>
      <c r="P15" t="inlineStr"/>
      <c r="Q15" t="inlineStr"/>
      <c r="R15" t="inlineStr"/>
      <c r="S15" t="inlineStr"/>
      <c r="T15" t="inlineStr"/>
      <c r="U15" t="inlineStr"/>
      <c r="V15" t="inlineStr"/>
      <c r="W15" t="inlineStr"/>
      <c r="X15" t="inlineStr"/>
      <c r="Y15" t="inlineStr"/>
      <c r="Z15" t="inlineStr"/>
      <c r="AA15" t="inlineStr"/>
      <c r="AB15" t="inlineStr"/>
      <c r="AC15" t="inlineStr"/>
      <c r="AD15" t="inlineStr"/>
      <c r="AE15" t="inlineStr"/>
      <c r="AF15" t="inlineStr"/>
      <c r="AG15" t="inlineStr"/>
      <c r="AH15" t="inlineStr"/>
      <c r="AI15" t="inlineStr"/>
      <c r="AJ15" t="inlineStr"/>
      <c r="AK15" t="inlineStr"/>
      <c r="AL15" t="inlineStr"/>
      <c r="AM15" t="inlineStr"/>
      <c r="AN15" t="inlineStr"/>
      <c r="AO15" t="inlineStr"/>
      <c r="AP15" t="inlineStr"/>
      <c r="AQ15" t="inlineStr"/>
      <c r="AR15" t="inlineStr"/>
      <c r="AS15" t="inlineStr"/>
      <c r="AT15" t="inlineStr"/>
      <c r="AU15" t="inlineStr"/>
      <c r="AV15" t="inlineStr"/>
      <c r="AW15" t="inlineStr"/>
      <c r="AX15" t="inlineStr"/>
      <c r="AY15" t="inlineStr"/>
      <c r="AZ15" t="inlineStr"/>
      <c r="BA15" t="inlineStr"/>
      <c r="BB15" t="inlineStr"/>
      <c r="BC15" t="inlineStr"/>
      <c r="BD15" t="inlineStr"/>
      <c r="BE15" t="inlineStr"/>
      <c r="BF15" t="inlineStr"/>
      <c r="BG15" t="inlineStr"/>
      <c r="BH15" t="inlineStr"/>
      <c r="BI15" t="inlineStr"/>
      <c r="BJ15" t="inlineStr"/>
      <c r="BK15" t="inlineStr"/>
      <c r="BL15" t="inlineStr"/>
      <c r="BM15" t="inlineStr"/>
      <c r="BN15" t="inlineStr"/>
      <c r="BO15" t="inlineStr"/>
      <c r="BP15" t="inlineStr"/>
      <c r="BQ15" t="inlineStr"/>
      <c r="BR15" t="inlineStr"/>
      <c r="BS15" t="inlineStr"/>
      <c r="BT15" t="inlineStr"/>
      <c r="BU15" t="inlineStr"/>
      <c r="BV15" t="inlineStr"/>
      <c r="BW15" t="inlineStr"/>
      <c r="BX15" t="inlineStr"/>
      <c r="BY15" t="inlineStr"/>
      <c r="BZ15" t="inlineStr"/>
      <c r="CA15" t="inlineStr"/>
      <c r="CB15" t="inlineStr"/>
      <c r="CC15" t="inlineStr"/>
      <c r="CD15" t="inlineStr"/>
      <c r="CE15" t="inlineStr"/>
      <c r="CF15" t="inlineStr"/>
      <c r="CG15" t="inlineStr"/>
      <c r="CH15" t="inlineStr"/>
      <c r="CI15" t="inlineStr"/>
      <c r="CJ15" t="inlineStr"/>
      <c r="CK15" t="inlineStr"/>
      <c r="CL15" t="inlineStr"/>
      <c r="CM15" t="inlineStr"/>
      <c r="CN15" t="inlineStr"/>
      <c r="CO15" t="inlineStr"/>
      <c r="CP15" t="inlineStr"/>
      <c r="CQ15" t="inlineStr"/>
      <c r="CR15" t="inlineStr"/>
      <c r="CS15" t="inlineStr"/>
      <c r="CT15" t="inlineStr"/>
      <c r="CU15" t="inlineStr"/>
      <c r="CV15" t="inlineStr"/>
      <c r="CW15" t="inlineStr"/>
      <c r="CX15" t="inlineStr"/>
      <c r="CY15" t="inlineStr"/>
      <c r="CZ15" t="inlineStr"/>
      <c r="DA15" t="inlineStr"/>
      <c r="DB15" t="inlineStr"/>
      <c r="DC15" t="inlineStr"/>
      <c r="DD15" t="inlineStr"/>
      <c r="DE15" t="inlineStr"/>
      <c r="DF15" t="inlineStr"/>
      <c r="DG15" t="inlineStr"/>
      <c r="DH15" t="inlineStr"/>
      <c r="DI15" t="inlineStr"/>
      <c r="DJ15" t="inlineStr"/>
      <c r="DK15" t="inlineStr"/>
      <c r="DL15" t="inlineStr"/>
      <c r="DM15" t="inlineStr"/>
      <c r="DN15" t="inlineStr"/>
      <c r="DO15" t="inlineStr"/>
      <c r="DP15" t="inlineStr"/>
      <c r="DQ15" t="inlineStr"/>
      <c r="DR15" t="inlineStr"/>
      <c r="DS15" t="inlineStr"/>
      <c r="DT15" t="inlineStr"/>
      <c r="DU15" t="inlineStr"/>
      <c r="DV15" t="inlineStr"/>
      <c r="DW15" t="inlineStr"/>
      <c r="DX15" t="inlineStr"/>
      <c r="DY15" t="inlineStr"/>
      <c r="DZ15" t="inlineStr"/>
      <c r="EA15" t="inlineStr"/>
      <c r="EB15" t="inlineStr"/>
      <c r="EC15" t="inlineStr"/>
      <c r="ED15" t="inlineStr"/>
      <c r="EE15" t="inlineStr"/>
      <c r="EF15" t="inlineStr"/>
      <c r="EG15" t="inlineStr"/>
      <c r="EH15" t="inlineStr"/>
      <c r="EI15" t="inlineStr"/>
      <c r="EJ15" t="inlineStr"/>
      <c r="EK15" t="inlineStr"/>
      <c r="EL15" t="inlineStr"/>
      <c r="EM15" t="inlineStr"/>
      <c r="EN15" t="inlineStr"/>
      <c r="EO15" t="inlineStr"/>
      <c r="EP15" t="inlineStr"/>
      <c r="EQ15" t="inlineStr"/>
      <c r="ER15" t="inlineStr"/>
      <c r="ES15" t="inlineStr"/>
      <c r="ET15" t="inlineStr"/>
      <c r="EU15" t="inlineStr"/>
      <c r="EV15" t="inlineStr"/>
      <c r="EW15" t="inlineStr"/>
      <c r="EX15" t="inlineStr"/>
      <c r="EY15" t="inlineStr"/>
      <c r="EZ15" t="inlineStr"/>
      <c r="FA15" t="inlineStr"/>
      <c r="FB15" t="inlineStr"/>
      <c r="FC15" t="inlineStr"/>
      <c r="FD15" t="inlineStr"/>
      <c r="FE15" t="inlineStr"/>
      <c r="FF15" t="inlineStr"/>
      <c r="FG15" t="inlineStr"/>
      <c r="FH15" t="inlineStr"/>
      <c r="FI15" t="inlineStr"/>
      <c r="FJ15" t="inlineStr"/>
      <c r="FK15" t="inlineStr"/>
      <c r="FL15" t="inlineStr"/>
      <c r="FM15" t="inlineStr"/>
      <c r="FN15" t="inlineStr"/>
      <c r="FO15" t="inlineStr"/>
      <c r="FP15" t="inlineStr"/>
      <c r="FQ15" t="inlineStr"/>
      <c r="FR15" t="inlineStr"/>
      <c r="FS15" t="inlineStr"/>
      <c r="FT15" t="inlineStr"/>
      <c r="FU15" t="inlineStr"/>
      <c r="FV15" t="inlineStr"/>
      <c r="FW15" t="inlineStr"/>
      <c r="FX15" t="inlineStr"/>
      <c r="FY15" t="inlineStr"/>
      <c r="FZ15" t="inlineStr"/>
      <c r="GA15" t="inlineStr"/>
      <c r="GB15" t="inlineStr"/>
      <c r="GC15" t="inlineStr"/>
      <c r="GD15" t="inlineStr"/>
      <c r="GE15" t="inlineStr"/>
      <c r="GF15" t="inlineStr"/>
      <c r="GG15" t="inlineStr"/>
      <c r="GH15" t="inlineStr"/>
      <c r="GI15" t="inlineStr"/>
      <c r="GJ15" t="inlineStr"/>
      <c r="GK15" t="inlineStr"/>
      <c r="GL15" t="inlineStr"/>
      <c r="GM15" t="inlineStr"/>
      <c r="GN15" t="inlineStr"/>
      <c r="GO15" t="inlineStr"/>
      <c r="GP15" t="inlineStr"/>
      <c r="GQ15" t="inlineStr"/>
      <c r="GR15" t="inlineStr"/>
      <c r="GS15" t="inlineStr"/>
      <c r="GT15" t="inlineStr"/>
      <c r="GU15" t="inlineStr"/>
      <c r="GV15" t="inlineStr"/>
      <c r="GW15" t="inlineStr"/>
      <c r="GX15" t="inlineStr"/>
      <c r="GY15" t="inlineStr"/>
      <c r="GZ15" t="inlineStr"/>
      <c r="HA15" t="inlineStr"/>
      <c r="HB15" t="inlineStr"/>
      <c r="HC15" t="inlineStr"/>
      <c r="HD15" t="inlineStr"/>
      <c r="HE15" t="inlineStr"/>
      <c r="HF15" t="inlineStr"/>
      <c r="HG15" t="inlineStr"/>
      <c r="HH15" t="inlineStr"/>
      <c r="HI15" t="inlineStr"/>
      <c r="HJ15" t="inlineStr"/>
      <c r="HK15" t="inlineStr"/>
      <c r="HL15" t="inlineStr"/>
      <c r="HM15" t="inlineStr"/>
      <c r="HN15" t="inlineStr"/>
      <c r="HO15" t="inlineStr"/>
      <c r="HP15" t="inlineStr"/>
      <c r="HQ15" t="inlineStr"/>
      <c r="HR15" t="inlineStr"/>
      <c r="HS15" t="inlineStr"/>
      <c r="HT15" t="inlineStr"/>
      <c r="HU15" t="inlineStr"/>
      <c r="HV15" t="inlineStr"/>
      <c r="HW15" t="inlineStr"/>
      <c r="HX15" t="inlineStr"/>
      <c r="HY15" t="inlineStr">
        <is>
          <t>924</t>
        </is>
      </c>
      <c r="HZ15" t="inlineStr">
        <is>
          <t>News (924)</t>
        </is>
      </c>
      <c r="IA15" t="inlineStr"/>
      <c r="IB15" t="inlineStr"/>
      <c r="IC15" t="inlineStr"/>
      <c r="ID15" t="inlineStr"/>
      <c r="IE15" t="inlineStr"/>
      <c r="IF15" t="inlineStr"/>
      <c r="IG15" t="inlineStr"/>
      <c r="IH15" t="inlineStr"/>
      <c r="II15" t="inlineStr"/>
      <c r="IJ15" t="inlineStr"/>
      <c r="IK15" t="inlineStr"/>
      <c r="IL15" t="inlineStr"/>
      <c r="IM15" t="inlineStr"/>
      <c r="IN15" t="inlineStr"/>
      <c r="IO15" t="inlineStr"/>
      <c r="IP15" t="inlineStr"/>
      <c r="IQ15" t="inlineStr"/>
      <c r="IR15" t="inlineStr"/>
      <c r="IS15">
        <f>IF(input_content_type="",FALSE,ISNUMBER(SEARCH(","&amp;LOWER(input_content_type)&amp;",",","&amp;LOWER(F15)&amp;",")))</f>
        <v/>
      </c>
      <c r="IT15">
        <f>AND(IF(M15="",TRUE,IF(input_affiliations="",FALSE,SUMPRODUCT(--ISNUMBER(SEARCH(","&amp;TRIM(TEXTSPLIT(M15,","))&amp;",",","&amp;SUBSTITUTE(input_affiliations," ","")&amp;",")))&gt;0)),IF(O15="",TRUE,IF(input_affiliations="",FALSE,SUMPRODUCT(--ISNUMBER(SEARCH(","&amp;TRIM(TEXTSPLIT(O15,","))&amp;",",","&amp;SUBSTITUTE(input_affiliations," ","")&amp;",")))=COUNTA(TEXTSPLIT(O15,",")))),IF(Q15="",TRUE,IF(input_affiliations="",TRUE,SUMPRODUCT(--ISNUMBER(SEARCH(","&amp;TRIM(TEXTSPLIT(Q15,","))&amp;",",","&amp;SUBSTITUTE(input_affiliations," ","")&amp;",")))=0)),IF(S15="",TRUE,IF(input_affiliations="",FALSE,SUMPRODUCT(--ISNUMBER(SEARCH(","&amp;TRIM(TEXTSPLIT(S15,","))&amp;",",","&amp;SUBSTITUTE(input_affiliations," ","")&amp;",")))&gt;0)),IF(U15="",TRUE,IF(input_affiliations="",FALSE,SUMPRODUCT(--ISNUMBER(SEARCH(","&amp;TRIM(TEXTSPLIT(U15,","))&amp;",",","&amp;SUBSTITUTE(input_affiliations," ","")&amp;",")))=COUNTA(TEXTSPLIT(U15,",")))))</f>
        <v/>
      </c>
      <c r="IU15">
        <f>AND(IF(W15="",TRUE,IF(input_announcement_category="",FALSE,SUMPRODUCT(--ISNUMBER(SEARCH(","&amp;TRIM(TEXTSPLIT(W15,","))&amp;",",","&amp;SUBSTITUTE(input_announcement_category," ","")&amp;",")))&gt;0)),IF(Y15="",TRUE,IF(input_announcement_category="",FALSE,SUMPRODUCT(--ISNUMBER(SEARCH(","&amp;TRIM(TEXTSPLIT(Y15,","))&amp;",",","&amp;SUBSTITUTE(input_announcement_category," ","")&amp;",")))=COUNTA(TEXTSPLIT(Y15,",")))),IF(AA15="",TRUE,IF(input_announcement_category="",TRUE,SUMPRODUCT(--ISNUMBER(SEARCH(","&amp;TRIM(TEXTSPLIT(AA15,","))&amp;",",","&amp;SUBSTITUTE(input_announcement_category," ","")&amp;",")))=0)),IF(AC15="",TRUE,IF(input_announcement_category="",FALSE,SUMPRODUCT(--ISNUMBER(SEARCH(","&amp;TRIM(TEXTSPLIT(AC15,","))&amp;",",","&amp;SUBSTITUTE(input_announcement_category," ","")&amp;",")))&gt;0)),IF(AE15="",TRUE,IF(input_announcement_category="",FALSE,SUMPRODUCT(--ISNUMBER(SEARCH(","&amp;TRIM(TEXTSPLIT(AE15,","))&amp;",",","&amp;SUBSTITUTE(input_announcement_category," ","")&amp;",")))=COUNTA(TEXTSPLIT(AE15,",")))))</f>
        <v/>
      </c>
      <c r="IV15">
        <f>AND(IF(AG15="",TRUE,IF(input_area_of_focus="",FALSE,SUMPRODUCT(--ISNUMBER(SEARCH(","&amp;TRIM(TEXTSPLIT(AG15,","))&amp;",",","&amp;SUBSTITUTE(input_area_of_focus," ","")&amp;",")))&gt;0)),IF(AI15="",TRUE,IF(input_area_of_focus="",FALSE,SUMPRODUCT(--ISNUMBER(SEARCH(","&amp;TRIM(TEXTSPLIT(AI15,","))&amp;",",","&amp;SUBSTITUTE(input_area_of_focus," ","")&amp;",")))=COUNTA(TEXTSPLIT(AI15,",")))),IF(AK15="",TRUE,IF(input_area_of_focus="",TRUE,SUMPRODUCT(--ISNUMBER(SEARCH(","&amp;TRIM(TEXTSPLIT(AK15,","))&amp;",",","&amp;SUBSTITUTE(input_area_of_focus," ","")&amp;",")))=0)),IF(AM15="",TRUE,IF(input_area_of_focus="",FALSE,SUMPRODUCT(--ISNUMBER(SEARCH(","&amp;TRIM(TEXTSPLIT(AM15,","))&amp;",",","&amp;SUBSTITUTE(input_area_of_focus," ","")&amp;",")))&gt;0)),IF(AO15="",TRUE,IF(input_area_of_focus="",FALSE,SUMPRODUCT(--ISNUMBER(SEARCH(","&amp;TRIM(TEXTSPLIT(AO15,","))&amp;",",","&amp;SUBSTITUTE(input_area_of_focus," ","")&amp;",")))=COUNTA(TEXTSPLIT(AO15,",")))))</f>
        <v/>
      </c>
      <c r="IW15">
        <f>AND(IF(AQ15="",TRUE,IF(input_audience="",FALSE,SUMPRODUCT(--ISNUMBER(SEARCH(","&amp;TRIM(TEXTSPLIT(AQ15,","))&amp;",",","&amp;SUBSTITUTE(input_audience," ","")&amp;",")))&gt;0)),IF(AS15="",TRUE,IF(input_audience="",FALSE,SUMPRODUCT(--ISNUMBER(SEARCH(","&amp;TRIM(TEXTSPLIT(AS15,","))&amp;",",","&amp;SUBSTITUTE(input_audience," ","")&amp;",")))=COUNTA(TEXTSPLIT(AS15,",")))),IF(AU15="",TRUE,IF(input_audience="",TRUE,SUMPRODUCT(--ISNUMBER(SEARCH(","&amp;TRIM(TEXTSPLIT(AU15,","))&amp;",",","&amp;SUBSTITUTE(input_audience," ","")&amp;",")))=0)),IF(AW15="",TRUE,IF(input_audience="",FALSE,SUMPRODUCT(--ISNUMBER(SEARCH(","&amp;TRIM(TEXTSPLIT(AW15,","))&amp;",",","&amp;SUBSTITUTE(input_audience," ","")&amp;",")))&gt;0)),IF(AY15="",TRUE,IF(input_audience="",FALSE,SUMPRODUCT(--ISNUMBER(SEARCH(","&amp;TRIM(TEXTSPLIT(AY15,","))&amp;",",","&amp;SUBSTITUTE(input_audience," ","")&amp;",")))=COUNTA(TEXTSPLIT(AY15,",")))))</f>
        <v/>
      </c>
      <c r="IX15">
        <f>AND(IF(BA15="",TRUE,IF(input_challenge_opportunities="",FALSE,SUMPRODUCT(--ISNUMBER(SEARCH(","&amp;TRIM(TEXTSPLIT(BA15,","))&amp;",",","&amp;SUBSTITUTE(input_challenge_opportunities," ","")&amp;",")))&gt;0)),IF(BC15="",TRUE,IF(input_challenge_opportunities="",FALSE,SUMPRODUCT(--ISNUMBER(SEARCH(","&amp;TRIM(TEXTSPLIT(BC15,","))&amp;",",","&amp;SUBSTITUTE(input_challenge_opportunities," ","")&amp;",")))=COUNTA(TEXTSPLIT(BC15,",")))),IF(BE15="",TRUE,IF(input_challenge_opportunities="",TRUE,SUMPRODUCT(--ISNUMBER(SEARCH(","&amp;TRIM(TEXTSPLIT(BE15,","))&amp;",",","&amp;SUBSTITUTE(input_challenge_opportunities," ","")&amp;",")))=0)),IF(BG15="",TRUE,IF(input_challenge_opportunities="",FALSE,SUMPRODUCT(--ISNUMBER(SEARCH(","&amp;TRIM(TEXTSPLIT(BG15,","))&amp;",",","&amp;SUBSTITUTE(input_challenge_opportunities," ","")&amp;",")))&gt;0)),IF(BI15="",TRUE,IF(input_challenge_opportunities="",FALSE,SUMPRODUCT(--ISNUMBER(SEARCH(","&amp;TRIM(TEXTSPLIT(BI15,","))&amp;",",","&amp;SUBSTITUTE(input_challenge_opportunities," ","")&amp;",")))=COUNTA(TEXTSPLIT(BI15,",")))))</f>
        <v/>
      </c>
      <c r="IY15">
        <f>AND(IF(BK15="",TRUE,IF(input_context="",FALSE,SUMPRODUCT(--ISNUMBER(SEARCH(","&amp;TRIM(TEXTSPLIT(BK15,","))&amp;",",","&amp;SUBSTITUTE(input_context," ","")&amp;",")))&gt;0)),IF(BM15="",TRUE,IF(input_context="",FALSE,SUMPRODUCT(--ISNUMBER(SEARCH(","&amp;TRIM(TEXTSPLIT(BM15,","))&amp;",",","&amp;SUBSTITUTE(input_context," ","")&amp;",")))=COUNTA(TEXTSPLIT(BM15,",")))),IF(BO15="",TRUE,IF(input_context="",TRUE,SUMPRODUCT(--ISNUMBER(SEARCH(","&amp;TRIM(TEXTSPLIT(BO15,","))&amp;",",","&amp;SUBSTITUTE(input_context," ","")&amp;",")))=0)),IF(BQ15="",TRUE,IF(input_context="",FALSE,SUMPRODUCT(--ISNUMBER(SEARCH(","&amp;TRIM(TEXTSPLIT(BQ15,","))&amp;",",","&amp;SUBSTITUTE(input_context," ","")&amp;",")))&gt;0)),IF(BS15="",TRUE,IF(input_context="",FALSE,SUMPRODUCT(--ISNUMBER(SEARCH(","&amp;TRIM(TEXTSPLIT(BS15,","))&amp;",",","&amp;SUBSTITUTE(input_context," ","")&amp;",")))=COUNTA(TEXTSPLIT(BS15,",")))))</f>
        <v/>
      </c>
      <c r="IZ15">
        <f>AND(IF(BU15="",TRUE,IF(input_enews_announcement_type="",FALSE,SUMPRODUCT(--ISNUMBER(SEARCH(","&amp;TRIM(TEXTSPLIT(BU15,","))&amp;",",","&amp;SUBSTITUTE(input_enews_announcement_type," ","")&amp;",")))&gt;0)),IF(BW15="",TRUE,IF(input_enews_announcement_type="",FALSE,SUMPRODUCT(--ISNUMBER(SEARCH(","&amp;TRIM(TEXTSPLIT(BW15,","))&amp;",",","&amp;SUBSTITUTE(input_enews_announcement_type," ","")&amp;",")))=COUNTA(TEXTSPLIT(BW15,",")))),IF(BY15="",TRUE,IF(input_enews_announcement_type="",TRUE,SUMPRODUCT(--ISNUMBER(SEARCH(","&amp;TRIM(TEXTSPLIT(BY15,","))&amp;",",","&amp;SUBSTITUTE(input_enews_announcement_type," ","")&amp;",")))=0)),IF(CA15="",TRUE,IF(input_enews_announcement_type="",FALSE,SUMPRODUCT(--ISNUMBER(SEARCH(","&amp;TRIM(TEXTSPLIT(CA15,","))&amp;",",","&amp;SUBSTITUTE(input_enews_announcement_type," ","")&amp;",")))&gt;0)),IF(CC15="",TRUE,IF(input_enews_announcement_type="",FALSE,SUMPRODUCT(--ISNUMBER(SEARCH(","&amp;TRIM(TEXTSPLIT(CC15,","))&amp;",",","&amp;SUBSTITUTE(input_enews_announcement_type," ","")&amp;",")))=COUNTA(TEXTSPLIT(CC15,",")))))</f>
        <v/>
      </c>
      <c r="JA15">
        <f>AND(IF(CE15="",TRUE,IF(input_enews_audience="",FALSE,SUMPRODUCT(--ISNUMBER(SEARCH(","&amp;TRIM(TEXTSPLIT(CE15,","))&amp;",",","&amp;SUBSTITUTE(input_enews_audience," ","")&amp;",")))&gt;0)),IF(CG15="",TRUE,IF(input_enews_audience="",FALSE,SUMPRODUCT(--ISNUMBER(SEARCH(","&amp;TRIM(TEXTSPLIT(CG15,","))&amp;",",","&amp;SUBSTITUTE(input_enews_audience," ","")&amp;",")))=COUNTA(TEXTSPLIT(CG15,",")))),IF(CI15="",TRUE,IF(input_enews_audience="",TRUE,SUMPRODUCT(--ISNUMBER(SEARCH(","&amp;TRIM(TEXTSPLIT(CI15,","))&amp;",",","&amp;SUBSTITUTE(input_enews_audience," ","")&amp;",")))=0)),IF(CK15="",TRUE,IF(input_enews_audience="",FALSE,SUMPRODUCT(--ISNUMBER(SEARCH(","&amp;TRIM(TEXTSPLIT(CK15,","))&amp;",",","&amp;SUBSTITUTE(input_enews_audience," ","")&amp;",")))&gt;0)),IF(CM15="",TRUE,IF(input_enews_audience="",FALSE,SUMPRODUCT(--ISNUMBER(SEARCH(","&amp;TRIM(TEXTSPLIT(CM15,","))&amp;",",","&amp;SUBSTITUTE(input_enews_audience," ","")&amp;",")))=COUNTA(TEXTSPLIT(CM15,",")))))</f>
        <v/>
      </c>
      <c r="JB15">
        <f>AND(IF(CO15="",TRUE,IF(input_event_location="",FALSE,SUMPRODUCT(--ISNUMBER(SEARCH(","&amp;TRIM(TEXTSPLIT(CO15,","))&amp;",",","&amp;SUBSTITUTE(input_event_location," ","")&amp;",")))&gt;0)),IF(CQ15="",TRUE,IF(input_event_location="",FALSE,SUMPRODUCT(--ISNUMBER(SEARCH(","&amp;TRIM(TEXTSPLIT(CQ15,","))&amp;",",","&amp;SUBSTITUTE(input_event_location," ","")&amp;",")))=COUNTA(TEXTSPLIT(CQ15,",")))),IF(CS15="",TRUE,IF(input_event_location="",TRUE,SUMPRODUCT(--ISNUMBER(SEARCH(","&amp;TRIM(TEXTSPLIT(CS15,","))&amp;",",","&amp;SUBSTITUTE(input_event_location," ","")&amp;",")))=0)),IF(CU15="",TRUE,IF(input_event_location="",FALSE,SUMPRODUCT(--ISNUMBER(SEARCH(","&amp;TRIM(TEXTSPLIT(CU15,","))&amp;",",","&amp;SUBSTITUTE(input_event_location," ","")&amp;",")))&gt;0)),IF(CW15="",TRUE,IF(input_event_location="",FALSE,SUMPRODUCT(--ISNUMBER(SEARCH(","&amp;TRIM(TEXTSPLIT(CW15,","))&amp;",",","&amp;SUBSTITUTE(input_event_location," ","")&amp;",")))=COUNTA(TEXTSPLIT(CW15,",")))))</f>
        <v/>
      </c>
      <c r="JC15">
        <f>AND(IF(CY15="",TRUE,IF(input_event_type="",FALSE,SUMPRODUCT(--ISNUMBER(SEARCH(","&amp;TRIM(TEXTSPLIT(CY15,","))&amp;",",","&amp;SUBSTITUTE(input_event_type," ","")&amp;",")))&gt;0)),IF(DA15="",TRUE,IF(input_event_type="",FALSE,SUMPRODUCT(--ISNUMBER(SEARCH(","&amp;TRIM(TEXTSPLIT(DA15,","))&amp;",",","&amp;SUBSTITUTE(input_event_type," ","")&amp;",")))=COUNTA(TEXTSPLIT(DA15,",")))),IF(DC15="",TRUE,IF(input_event_type="",TRUE,SUMPRODUCT(--ISNUMBER(SEARCH(","&amp;TRIM(TEXTSPLIT(DC15,","))&amp;",",","&amp;SUBSTITUTE(input_event_type," ","")&amp;",")))=0)),IF(DE15="",TRUE,IF(input_event_type="",FALSE,SUMPRODUCT(--ISNUMBER(SEARCH(","&amp;TRIM(TEXTSPLIT(DE15,","))&amp;",",","&amp;SUBSTITUTE(input_event_type," ","")&amp;",")))&gt;0)),IF(DG15="",TRUE,IF(input_event_type="",FALSE,SUMPRODUCT(--ISNUMBER(SEARCH(","&amp;TRIM(TEXTSPLIT(DG15,","))&amp;",",","&amp;SUBSTITUTE(input_event_type," ","")&amp;",")))=COUNTA(TEXTSPLIT(DG15,",")))))</f>
        <v/>
      </c>
      <c r="JD15">
        <f>AND(IF(DI15="",TRUE,IF(input_executive_education_focus="",FALSE,SUMPRODUCT(--ISNUMBER(SEARCH(","&amp;TRIM(TEXTSPLIT(DI15,","))&amp;",",","&amp;SUBSTITUTE(input_executive_education_focus," ","")&amp;",")))&gt;0)),IF(DK15="",TRUE,IF(input_executive_education_focus="",FALSE,SUMPRODUCT(--ISNUMBER(SEARCH(","&amp;TRIM(TEXTSPLIT(DK15,","))&amp;",",","&amp;SUBSTITUTE(input_executive_education_focus," ","")&amp;",")))=COUNTA(TEXTSPLIT(DK15,",")))),IF(DM15="",TRUE,IF(input_executive_education_focus="",TRUE,SUMPRODUCT(--ISNUMBER(SEARCH(","&amp;TRIM(TEXTSPLIT(DM15,","))&amp;",",","&amp;SUBSTITUTE(input_executive_education_focus," ","")&amp;",")))=0)),IF(DO15="",TRUE,IF(input_executive_education_focus="",FALSE,SUMPRODUCT(--ISNUMBER(SEARCH(","&amp;TRIM(TEXTSPLIT(DO15,","))&amp;",",","&amp;SUBSTITUTE(input_executive_education_focus," ","")&amp;",")))&gt;0)),IF(DQ15="",TRUE,IF(input_executive_education_focus="",FALSE,SUMPRODUCT(--ISNUMBER(SEARCH(","&amp;TRIM(TEXTSPLIT(DQ15,","))&amp;",",","&amp;SUBSTITUTE(input_executive_education_focus," ","")&amp;",")))=COUNTA(TEXTSPLIT(DQ15,",")))))</f>
        <v/>
      </c>
      <c r="JE15">
        <f>AND(IF(DS15="",TRUE,IF(input_faculty_category="",FALSE,SUMPRODUCT(--ISNUMBER(SEARCH(","&amp;TRIM(TEXTSPLIT(DS15,","))&amp;",",","&amp;SUBSTITUTE(input_faculty_category," ","")&amp;",")))&gt;0)),IF(DU15="",TRUE,IF(input_faculty_category="",FALSE,SUMPRODUCT(--ISNUMBER(SEARCH(","&amp;TRIM(TEXTSPLIT(DU15,","))&amp;",",","&amp;SUBSTITUTE(input_faculty_category," ","")&amp;",")))=COUNTA(TEXTSPLIT(DU15,",")))),IF(DW15="",TRUE,IF(input_faculty_category="",TRUE,SUMPRODUCT(--ISNUMBER(SEARCH(","&amp;TRIM(TEXTSPLIT(DW15,","))&amp;",",","&amp;SUBSTITUTE(input_faculty_category," ","")&amp;",")))=0)),IF(DY15="",TRUE,IF(input_faculty_category="",FALSE,SUMPRODUCT(--ISNUMBER(SEARCH(","&amp;TRIM(TEXTSPLIT(DY15,","))&amp;",",","&amp;SUBSTITUTE(input_faculty_category," ","")&amp;",")))&gt;0)),IF(EA15="",TRUE,IF(input_faculty_category="",FALSE,SUMPRODUCT(--ISNUMBER(SEARCH(","&amp;TRIM(TEXTSPLIT(EA15,","))&amp;",",","&amp;SUBSTITUTE(input_faculty_category," ","")&amp;",")))=COUNTA(TEXTSPLIT(EA15,",")))))</f>
        <v/>
      </c>
      <c r="JF15">
        <f>AND(IF(EC15="",TRUE,IF(input_faculty_discipline="",FALSE,SUMPRODUCT(--ISNUMBER(SEARCH(","&amp;TRIM(TEXTSPLIT(EC15,","))&amp;",",","&amp;SUBSTITUTE(input_faculty_discipline," ","")&amp;",")))&gt;0)),IF(EE15="",TRUE,IF(input_faculty_discipline="",FALSE,SUMPRODUCT(--ISNUMBER(SEARCH(","&amp;TRIM(TEXTSPLIT(EE15,","))&amp;",",","&amp;SUBSTITUTE(input_faculty_discipline," ","")&amp;",")))=COUNTA(TEXTSPLIT(EE15,",")))),IF(EG15="",TRUE,IF(input_faculty_discipline="",TRUE,SUMPRODUCT(--ISNUMBER(SEARCH(","&amp;TRIM(TEXTSPLIT(EG15,","))&amp;",",","&amp;SUBSTITUTE(input_faculty_discipline," ","")&amp;",")))=0)),IF(EI15="",TRUE,IF(input_faculty_discipline="",FALSE,SUMPRODUCT(--ISNUMBER(SEARCH(","&amp;TRIM(TEXTSPLIT(EI15,","))&amp;",",","&amp;SUBSTITUTE(input_faculty_discipline," ","")&amp;",")))&gt;0)),IF(EK15="",TRUE,IF(input_faculty_discipline="",FALSE,SUMPRODUCT(--ISNUMBER(SEARCH(","&amp;TRIM(TEXTSPLIT(EK15,","))&amp;",",","&amp;SUBSTITUTE(input_faculty_discipline," ","")&amp;",")))=COUNTA(TEXTSPLIT(EK15,",")))))</f>
        <v/>
      </c>
      <c r="JG15">
        <f>AND(IF(EM15="",TRUE,IF(input_faculty_expertise="",FALSE,SUMPRODUCT(--ISNUMBER(SEARCH(","&amp;TRIM(TEXTSPLIT(EM15,","))&amp;",",","&amp;SUBSTITUTE(input_faculty_expertise," ","")&amp;",")))&gt;0)),IF(EO15="",TRUE,IF(input_faculty_expertise="",FALSE,SUMPRODUCT(--ISNUMBER(SEARCH(","&amp;TRIM(TEXTSPLIT(EO15,","))&amp;",",","&amp;SUBSTITUTE(input_faculty_expertise," ","")&amp;",")))=COUNTA(TEXTSPLIT(EO15,",")))),IF(EQ15="",TRUE,IF(input_faculty_expertise="",TRUE,SUMPRODUCT(--ISNUMBER(SEARCH(","&amp;TRIM(TEXTSPLIT(EQ15,","))&amp;",",","&amp;SUBSTITUTE(input_faculty_expertise," ","")&amp;",")))=0)),IF(ES15="",TRUE,IF(input_faculty_expertise="",FALSE,SUMPRODUCT(--ISNUMBER(SEARCH(","&amp;TRIM(TEXTSPLIT(ES15,","))&amp;",",","&amp;SUBSTITUTE(input_faculty_expertise," ","")&amp;",")))&gt;0)),IF(EU15="",TRUE,IF(input_faculty_expertise="",FALSE,SUMPRODUCT(--ISNUMBER(SEARCH(","&amp;TRIM(TEXTSPLIT(EU15,","))&amp;",",","&amp;SUBSTITUTE(input_faculty_expertise," ","")&amp;",")))=COUNTA(TEXTSPLIT(EU15,",")))))</f>
        <v/>
      </c>
      <c r="JH15">
        <f>AND(IF(EW15="",TRUE,IF(input_global_network_school="",FALSE,SUMPRODUCT(--ISNUMBER(SEARCH(","&amp;TRIM(TEXTSPLIT(EW15,","))&amp;",",","&amp;SUBSTITUTE(input_global_network_school," ","")&amp;",")))&gt;0)),IF(EY15="",TRUE,IF(input_global_network_school="",FALSE,SUMPRODUCT(--ISNUMBER(SEARCH(","&amp;TRIM(TEXTSPLIT(EY15,","))&amp;",",","&amp;SUBSTITUTE(input_global_network_school," ","")&amp;",")))=COUNTA(TEXTSPLIT(EY15,",")))),IF(FA15="",TRUE,IF(input_global_network_school="",TRUE,SUMPRODUCT(--ISNUMBER(SEARCH(","&amp;TRIM(TEXTSPLIT(FA15,","))&amp;",",","&amp;SUBSTITUTE(input_global_network_school," ","")&amp;",")))=0)),IF(FC15="",TRUE,IF(input_global_network_school="",FALSE,SUMPRODUCT(--ISNUMBER(SEARCH(","&amp;TRIM(TEXTSPLIT(FC15,","))&amp;",",","&amp;SUBSTITUTE(input_global_network_school," ","")&amp;",")))&gt;0)),IF(FE15="",TRUE,IF(input_global_network_school="",FALSE,SUMPRODUCT(--ISNUMBER(SEARCH(","&amp;TRIM(TEXTSPLIT(FE15,","))&amp;",",","&amp;SUBSTITUTE(input_global_network_school," ","")&amp;",")))=COUNTA(TEXTSPLIT(FE15,",")))))</f>
        <v/>
      </c>
      <c r="JI15">
        <f>AND(IF(FG15="",TRUE,IF(input_industry="",FALSE,SUMPRODUCT(--ISNUMBER(SEARCH(","&amp;TRIM(TEXTSPLIT(FG15,","))&amp;",",","&amp;SUBSTITUTE(input_industry," ","")&amp;",")))&gt;0)),IF(FI15="",TRUE,IF(input_industry="",FALSE,SUMPRODUCT(--ISNUMBER(SEARCH(","&amp;TRIM(TEXTSPLIT(FI15,","))&amp;",",","&amp;SUBSTITUTE(input_industry," ","")&amp;",")))=COUNTA(TEXTSPLIT(FI15,",")))),IF(FK15="",TRUE,IF(input_industry="",TRUE,SUMPRODUCT(--ISNUMBER(SEARCH(","&amp;TRIM(TEXTSPLIT(FK15,","))&amp;",",","&amp;SUBSTITUTE(input_industry," ","")&amp;",")))=0)),IF(FM15="",TRUE,IF(input_industry="",FALSE,SUMPRODUCT(--ISNUMBER(SEARCH(","&amp;TRIM(TEXTSPLIT(FM15,","))&amp;",",","&amp;SUBSTITUTE(input_industry," ","")&amp;",")))&gt;0)),IF(FO15="",TRUE,IF(input_industry="",FALSE,SUMPRODUCT(--ISNUMBER(SEARCH(","&amp;TRIM(TEXTSPLIT(FO15,","))&amp;",",","&amp;SUBSTITUTE(input_industry," ","")&amp;",")))=COUNTA(TEXTSPLIT(FO15,",")))))</f>
        <v/>
      </c>
      <c r="JJ15">
        <f>AND(IF(FQ15="",TRUE,IF(input_location="",FALSE,SUMPRODUCT(--ISNUMBER(SEARCH(","&amp;TRIM(TEXTSPLIT(FQ15,","))&amp;",",","&amp;SUBSTITUTE(input_location," ","")&amp;",")))&gt;0)),IF(FS15="",TRUE,IF(input_location="",FALSE,SUMPRODUCT(--ISNUMBER(SEARCH(","&amp;TRIM(TEXTSPLIT(FS15,","))&amp;",",","&amp;SUBSTITUTE(input_location," ","")&amp;",")))=COUNTA(TEXTSPLIT(FS15,",")))),IF(FU15="",TRUE,IF(input_location="",TRUE,SUMPRODUCT(--ISNUMBER(SEARCH(","&amp;TRIM(TEXTSPLIT(FU15,","))&amp;",",","&amp;SUBSTITUTE(input_location," ","")&amp;",")))=0)),IF(FW15="",TRUE,IF(input_location="",FALSE,SUMPRODUCT(--ISNUMBER(SEARCH(","&amp;TRIM(TEXTSPLIT(FW15,","))&amp;",",","&amp;SUBSTITUTE(input_location," ","")&amp;",")))&gt;0)),IF(FY15="",TRUE,IF(input_location="",FALSE,SUMPRODUCT(--ISNUMBER(SEARCH(","&amp;TRIM(TEXTSPLIT(FY15,","))&amp;",",","&amp;SUBSTITUTE(input_location," ","")&amp;",")))=COUNTA(TEXTSPLIT(FY15,",")))))</f>
        <v/>
      </c>
      <c r="JK15">
        <f>AND(IF(GA15="",TRUE,IF(input_modality="",FALSE,SUMPRODUCT(--ISNUMBER(SEARCH(","&amp;TRIM(TEXTSPLIT(GA15,","))&amp;",",","&amp;SUBSTITUTE(input_modality," ","")&amp;",")))&gt;0)),IF(GC15="",TRUE,IF(input_modality="",FALSE,SUMPRODUCT(--ISNUMBER(SEARCH(","&amp;TRIM(TEXTSPLIT(GC15,","))&amp;",",","&amp;SUBSTITUTE(input_modality," ","")&amp;",")))=COUNTA(TEXTSPLIT(GC15,",")))),IF(GE15="",TRUE,IF(input_modality="",TRUE,SUMPRODUCT(--ISNUMBER(SEARCH(","&amp;TRIM(TEXTSPLIT(GE15,","))&amp;",",","&amp;SUBSTITUTE(input_modality," ","")&amp;",")))=0)),IF(GG15="",TRUE,IF(input_modality="",FALSE,SUMPRODUCT(--ISNUMBER(SEARCH(","&amp;TRIM(TEXTSPLIT(GG15,","))&amp;",",","&amp;SUBSTITUTE(input_modality," ","")&amp;",")))&gt;0)),IF(GI15="",TRUE,IF(input_modality="",FALSE,SUMPRODUCT(--ISNUMBER(SEARCH(","&amp;TRIM(TEXTSPLIT(GI15,","))&amp;",",","&amp;SUBSTITUTE(input_modality," ","")&amp;",")))=COUNTA(TEXTSPLIT(GI15,",")))))</f>
        <v/>
      </c>
      <c r="JL15">
        <f>AND(IF(GK15="",TRUE,IF(input_organizer="",FALSE,SUMPRODUCT(--ISNUMBER(SEARCH(","&amp;TRIM(TEXTSPLIT(GK15,","))&amp;",",","&amp;SUBSTITUTE(input_organizer," ","")&amp;",")))&gt;0)),IF(GM15="",TRUE,IF(input_organizer="",FALSE,SUMPRODUCT(--ISNUMBER(SEARCH(","&amp;TRIM(TEXTSPLIT(GM15,","))&amp;",",","&amp;SUBSTITUTE(input_organizer," ","")&amp;",")))=COUNTA(TEXTSPLIT(GM15,",")))),IF(GO15="",TRUE,IF(input_organizer="",TRUE,SUMPRODUCT(--ISNUMBER(SEARCH(","&amp;TRIM(TEXTSPLIT(GO15,","))&amp;",",","&amp;SUBSTITUTE(input_organizer," ","")&amp;",")))=0)),IF(GQ15="",TRUE,IF(input_organizer="",FALSE,SUMPRODUCT(--ISNUMBER(SEARCH(","&amp;TRIM(TEXTSPLIT(GQ15,","))&amp;",",","&amp;SUBSTITUTE(input_organizer," ","")&amp;",")))&gt;0)),IF(GS15="",TRUE,IF(input_organizer="",FALSE,SUMPRODUCT(--ISNUMBER(SEARCH(","&amp;TRIM(TEXTSPLIT(GS15,","))&amp;",",","&amp;SUBSTITUTE(input_organizer," ","")&amp;",")))=COUNTA(TEXTSPLIT(GS15,",")))))</f>
        <v/>
      </c>
      <c r="JM15">
        <f>AND(IF(GU15="",TRUE,IF(input_profile_type="",FALSE,SUMPRODUCT(--ISNUMBER(SEARCH(","&amp;TRIM(TEXTSPLIT(GU15,","))&amp;",",","&amp;SUBSTITUTE(input_profile_type," ","")&amp;",")))&gt;0)),IF(GW15="",TRUE,IF(input_profile_type="",FALSE,SUMPRODUCT(--ISNUMBER(SEARCH(","&amp;TRIM(TEXTSPLIT(GW15,","))&amp;",",","&amp;SUBSTITUTE(input_profile_type," ","")&amp;",")))=COUNTA(TEXTSPLIT(GW15,",")))),IF(GY15="",TRUE,IF(input_profile_type="",TRUE,SUMPRODUCT(--ISNUMBER(SEARCH(","&amp;TRIM(TEXTSPLIT(GY15,","))&amp;",",","&amp;SUBSTITUTE(input_profile_type," ","")&amp;",")))=0)),IF(HA15="",TRUE,IF(input_profile_type="",FALSE,SUMPRODUCT(--ISNUMBER(SEARCH(","&amp;TRIM(TEXTSPLIT(HA15,","))&amp;",",","&amp;SUBSTITUTE(input_profile_type," ","")&amp;",")))&gt;0)),IF(HC15="",TRUE,IF(input_profile_type="",FALSE,SUMPRODUCT(--ISNUMBER(SEARCH(","&amp;TRIM(TEXTSPLIT(HC15,","))&amp;",",","&amp;SUBSTITUTE(input_profile_type," ","")&amp;",")))=COUNTA(TEXTSPLIT(HC15,",")))))</f>
        <v/>
      </c>
      <c r="JN15">
        <f>AND(IF(HE15="",TRUE,IF(input_program="",FALSE,SUMPRODUCT(--ISNUMBER(SEARCH(","&amp;TRIM(TEXTSPLIT(HE15,","))&amp;",",","&amp;SUBSTITUTE(input_program," ","")&amp;",")))&gt;0)),IF(HG15="",TRUE,IF(input_program="",FALSE,SUMPRODUCT(--ISNUMBER(SEARCH(","&amp;TRIM(TEXTSPLIT(HG15,","))&amp;",",","&amp;SUBSTITUTE(input_program," ","")&amp;",")))=COUNTA(TEXTSPLIT(HG15,",")))),IF(HI15="",TRUE,IF(input_program="",TRUE,SUMPRODUCT(--ISNUMBER(SEARCH(","&amp;TRIM(TEXTSPLIT(HI15,","))&amp;",",","&amp;SUBSTITUTE(input_program," ","")&amp;",")))=0)),IF(HK15="",TRUE,IF(input_program="",FALSE,SUMPRODUCT(--ISNUMBER(SEARCH(","&amp;TRIM(TEXTSPLIT(HK15,","))&amp;",",","&amp;SUBSTITUTE(input_program," ","")&amp;",")))&gt;0)),IF(HM15="",TRUE,IF(input_program="",FALSE,SUMPRODUCT(--ISNUMBER(SEARCH(","&amp;TRIM(TEXTSPLIT(HM15,","))&amp;",",","&amp;SUBSTITUTE(input_program," ","")&amp;",")))=COUNTA(TEXTSPLIT(HM15,",")))))</f>
        <v/>
      </c>
      <c r="JO15">
        <f>AND(IF(HO15="",TRUE,IF(input_story_categories="",FALSE,SUMPRODUCT(--ISNUMBER(SEARCH(","&amp;TRIM(TEXTSPLIT(HO15,","))&amp;",",","&amp;SUBSTITUTE(input_story_categories," ","")&amp;",")))&gt;0)),IF(HQ15="",TRUE,IF(input_story_categories="",FALSE,SUMPRODUCT(--ISNUMBER(SEARCH(","&amp;TRIM(TEXTSPLIT(HQ15,","))&amp;",",","&amp;SUBSTITUTE(input_story_categories," ","")&amp;",")))=COUNTA(TEXTSPLIT(HQ15,",")))),IF(HS15="",TRUE,IF(input_story_categories="",TRUE,SUMPRODUCT(--ISNUMBER(SEARCH(","&amp;TRIM(TEXTSPLIT(HS15,","))&amp;",",","&amp;SUBSTITUTE(input_story_categories," ","")&amp;",")))=0)),IF(HU15="",TRUE,IF(input_story_categories="",FALSE,SUMPRODUCT(--ISNUMBER(SEARCH(","&amp;TRIM(TEXTSPLIT(HU15,","))&amp;",",","&amp;SUBSTITUTE(input_story_categories," ","")&amp;",")))&gt;0)),IF(HW15="",TRUE,IF(input_story_categories="",FALSE,SUMPRODUCT(--ISNUMBER(SEARCH(","&amp;TRIM(TEXTSPLIT(HW15,","))&amp;",",","&amp;SUBSTITUTE(input_story_categories," ","")&amp;",")))=COUNTA(TEXTSPLIT(HW15,",")))))</f>
        <v/>
      </c>
      <c r="JP15">
        <f>AND(IF(HY15="",TRUE,IF(input_story_type="",FALSE,SUMPRODUCT(--ISNUMBER(SEARCH(","&amp;TRIM(TEXTSPLIT(HY15,","))&amp;",",","&amp;SUBSTITUTE(input_story_type," ","")&amp;",")))&gt;0)),IF(IA15="",TRUE,IF(input_story_type="",FALSE,SUMPRODUCT(--ISNUMBER(SEARCH(","&amp;TRIM(TEXTSPLIT(IA15,","))&amp;",",","&amp;SUBSTITUTE(input_story_type," ","")&amp;",")))=COUNTA(TEXTSPLIT(IA15,",")))),IF(IC15="",TRUE,IF(input_story_type="",TRUE,SUMPRODUCT(--ISNUMBER(SEARCH(","&amp;TRIM(TEXTSPLIT(IC15,","))&amp;",",","&amp;SUBSTITUTE(input_story_type," ","")&amp;",")))=0)),IF(IE15="",TRUE,IF(input_story_type="",FALSE,SUMPRODUCT(--ISNUMBER(SEARCH(","&amp;TRIM(TEXTSPLIT(IE15,","))&amp;",",","&amp;SUBSTITUTE(input_story_type," ","")&amp;",")))&gt;0)),IF(IG15="",TRUE,IF(input_story_type="",FALSE,SUMPRODUCT(--ISNUMBER(SEARCH(","&amp;TRIM(TEXTSPLIT(IG15,","))&amp;",",","&amp;SUBSTITUTE(input_story_type," ","")&amp;",")))=COUNTA(TEXTSPLIT(IG15,",")))))</f>
        <v/>
      </c>
      <c r="JQ15">
        <f>AND(IF(II15="",TRUE,IF(input_topics="",FALSE,SUMPRODUCT(--ISNUMBER(SEARCH(","&amp;TRIM(TEXTSPLIT(II15,","))&amp;",",","&amp;SUBSTITUTE(input_topics," ","")&amp;",")))&gt;0)),IF(IK15="",TRUE,IF(input_topics="",FALSE,SUMPRODUCT(--ISNUMBER(SEARCH(","&amp;TRIM(TEXTSPLIT(IK15,","))&amp;",",","&amp;SUBSTITUTE(input_topics," ","")&amp;",")))=COUNTA(TEXTSPLIT(IK15,",")))),IF(IM15="",TRUE,IF(input_topics="",TRUE,SUMPRODUCT(--ISNUMBER(SEARCH(","&amp;TRIM(TEXTSPLIT(IM15,","))&amp;",",","&amp;SUBSTITUTE(input_topics," ","")&amp;",")))=0)),IF(IO15="",TRUE,IF(input_topics="",FALSE,SUMPRODUCT(--ISNUMBER(SEARCH(","&amp;TRIM(TEXTSPLIT(IO15,","))&amp;",",","&amp;SUBSTITUTE(input_topics," ","")&amp;",")))&gt;0)),IF(IQ15="",TRUE,IF(input_topics="",FALSE,SUMPRODUCT(--ISNUMBER(SEARCH(","&amp;TRIM(TEXTSPLIT(IQ15,","))&amp;",",","&amp;SUBSTITUTE(input_topics," ","")&amp;",")))=COUNTA(TEXTSPLIT(IQ15,",")))))</f>
        <v/>
      </c>
    </row>
    <row r="16">
      <c r="A16" s="4">
        <f>IF(NOT(IS16),"Excluded",IF(AND(IT16,IU16,IV16,IW16,IX16,IY16,IZ16,JA16,JB16,JC16,JD16,JE16,JF16,JG16,JH16,JI16,JJ16,JK16,JL16,JM16,JN16,JO16,JP16,JQ16),IF(I16&gt;0,"Eligible but limited","Will appear"),"Excluded"))</f>
        <v/>
      </c>
      <c r="B16" s="4" t="inlineStr">
        <is>
          <t>All Publications by Author</t>
        </is>
      </c>
      <c r="C16" s="4" t="inlineStr">
        <is>
          <t>/faculty-research/faculty-directory/alp-simsek</t>
        </is>
      </c>
      <c r="D16" s="4" t="inlineStr">
        <is>
          <t>/faculty-research/faculty-directory/alp-simsek</t>
        </is>
      </c>
      <c r="E16" s="4" t="n">
        <v>1</v>
      </c>
      <c r="F16" s="4" t="inlineStr">
        <is>
          <t>publications</t>
        </is>
      </c>
      <c r="G16" s="4" t="inlineStr">
        <is>
          <t>publication_teaser_list</t>
        </is>
      </c>
      <c r="H16" s="4" t="inlineStr">
        <is>
          <t>publication_teaser_list_all_by_author</t>
        </is>
      </c>
      <c r="I16" s="4" t="inlineStr"/>
      <c r="J16" s="4" t="inlineStr">
        <is>
          <t>View/config rules</t>
        </is>
      </c>
      <c r="K16" s="4" t="inlineStr">
        <is>
          <t>Page placement</t>
        </is>
      </c>
      <c r="L16" s="4" t="inlineStr">
        <is>
          <t>Content type: publications; Source: View/config rules</t>
        </is>
      </c>
      <c r="M16" t="inlineStr"/>
      <c r="N16" t="inlineStr"/>
      <c r="O16" t="inlineStr"/>
      <c r="P16" t="inlineStr"/>
      <c r="Q16" t="inlineStr"/>
      <c r="R16" t="inlineStr"/>
      <c r="S16" t="inlineStr"/>
      <c r="T16" t="inlineStr"/>
      <c r="U16" t="inlineStr"/>
      <c r="V16" t="inlineStr"/>
      <c r="W16" t="inlineStr"/>
      <c r="X16" t="inlineStr"/>
      <c r="Y16" t="inlineStr"/>
      <c r="Z16" t="inlineStr"/>
      <c r="AA16" t="inlineStr"/>
      <c r="AB16" t="inlineStr"/>
      <c r="AC16" t="inlineStr"/>
      <c r="AD16" t="inlineStr"/>
      <c r="AE16" t="inlineStr"/>
      <c r="AF16" t="inlineStr"/>
      <c r="AG16" t="inlineStr"/>
      <c r="AH16" t="inlineStr"/>
      <c r="AI16" t="inlineStr"/>
      <c r="AJ16" t="inlineStr"/>
      <c r="AK16" t="inlineStr"/>
      <c r="AL16" t="inlineStr"/>
      <c r="AM16" t="inlineStr"/>
      <c r="AN16" t="inlineStr"/>
      <c r="AO16" t="inlineStr"/>
      <c r="AP16" t="inlineStr"/>
      <c r="AQ16" t="inlineStr"/>
      <c r="AR16" t="inlineStr"/>
      <c r="AS16" t="inlineStr"/>
      <c r="AT16" t="inlineStr"/>
      <c r="AU16" t="inlineStr"/>
      <c r="AV16" t="inlineStr"/>
      <c r="AW16" t="inlineStr"/>
      <c r="AX16" t="inlineStr"/>
      <c r="AY16" t="inlineStr"/>
      <c r="AZ16" t="inlineStr"/>
      <c r="BA16" t="inlineStr"/>
      <c r="BB16" t="inlineStr"/>
      <c r="BC16" t="inlineStr"/>
      <c r="BD16" t="inlineStr"/>
      <c r="BE16" t="inlineStr"/>
      <c r="BF16" t="inlineStr"/>
      <c r="BG16" t="inlineStr"/>
      <c r="BH16" t="inlineStr"/>
      <c r="BI16" t="inlineStr"/>
      <c r="BJ16" t="inlineStr"/>
      <c r="BK16" t="inlineStr"/>
      <c r="BL16" t="inlineStr"/>
      <c r="BM16" t="inlineStr"/>
      <c r="BN16" t="inlineStr"/>
      <c r="BO16" t="inlineStr"/>
      <c r="BP16" t="inlineStr"/>
      <c r="BQ16" t="inlineStr"/>
      <c r="BR16" t="inlineStr"/>
      <c r="BS16" t="inlineStr"/>
      <c r="BT16" t="inlineStr"/>
      <c r="BU16" t="inlineStr"/>
      <c r="BV16" t="inlineStr"/>
      <c r="BW16" t="inlineStr"/>
      <c r="BX16" t="inlineStr"/>
      <c r="BY16" t="inlineStr"/>
      <c r="BZ16" t="inlineStr"/>
      <c r="CA16" t="inlineStr"/>
      <c r="CB16" t="inlineStr"/>
      <c r="CC16" t="inlineStr"/>
      <c r="CD16" t="inlineStr"/>
      <c r="CE16" t="inlineStr"/>
      <c r="CF16" t="inlineStr"/>
      <c r="CG16" t="inlineStr"/>
      <c r="CH16" t="inlineStr"/>
      <c r="CI16" t="inlineStr"/>
      <c r="CJ16" t="inlineStr"/>
      <c r="CK16" t="inlineStr"/>
      <c r="CL16" t="inlineStr"/>
      <c r="CM16" t="inlineStr"/>
      <c r="CN16" t="inlineStr"/>
      <c r="CO16" t="inlineStr"/>
      <c r="CP16" t="inlineStr"/>
      <c r="CQ16" t="inlineStr"/>
      <c r="CR16" t="inlineStr"/>
      <c r="CS16" t="inlineStr"/>
      <c r="CT16" t="inlineStr"/>
      <c r="CU16" t="inlineStr"/>
      <c r="CV16" t="inlineStr"/>
      <c r="CW16" t="inlineStr"/>
      <c r="CX16" t="inlineStr"/>
      <c r="CY16" t="inlineStr"/>
      <c r="CZ16" t="inlineStr"/>
      <c r="DA16" t="inlineStr"/>
      <c r="DB16" t="inlineStr"/>
      <c r="DC16" t="inlineStr"/>
      <c r="DD16" t="inlineStr"/>
      <c r="DE16" t="inlineStr"/>
      <c r="DF16" t="inlineStr"/>
      <c r="DG16" t="inlineStr"/>
      <c r="DH16" t="inlineStr"/>
      <c r="DI16" t="inlineStr"/>
      <c r="DJ16" t="inlineStr"/>
      <c r="DK16" t="inlineStr"/>
      <c r="DL16" t="inlineStr"/>
      <c r="DM16" t="inlineStr"/>
      <c r="DN16" t="inlineStr"/>
      <c r="DO16" t="inlineStr"/>
      <c r="DP16" t="inlineStr"/>
      <c r="DQ16" t="inlineStr"/>
      <c r="DR16" t="inlineStr"/>
      <c r="DS16" t="inlineStr"/>
      <c r="DT16" t="inlineStr"/>
      <c r="DU16" t="inlineStr"/>
      <c r="DV16" t="inlineStr"/>
      <c r="DW16" t="inlineStr"/>
      <c r="DX16" t="inlineStr"/>
      <c r="DY16" t="inlineStr"/>
      <c r="DZ16" t="inlineStr"/>
      <c r="EA16" t="inlineStr"/>
      <c r="EB16" t="inlineStr"/>
      <c r="EC16" t="inlineStr"/>
      <c r="ED16" t="inlineStr"/>
      <c r="EE16" t="inlineStr"/>
      <c r="EF16" t="inlineStr"/>
      <c r="EG16" t="inlineStr"/>
      <c r="EH16" t="inlineStr"/>
      <c r="EI16" t="inlineStr"/>
      <c r="EJ16" t="inlineStr"/>
      <c r="EK16" t="inlineStr"/>
      <c r="EL16" t="inlineStr"/>
      <c r="EM16" t="inlineStr"/>
      <c r="EN16" t="inlineStr"/>
      <c r="EO16" t="inlineStr"/>
      <c r="EP16" t="inlineStr"/>
      <c r="EQ16" t="inlineStr"/>
      <c r="ER16" t="inlineStr"/>
      <c r="ES16" t="inlineStr"/>
      <c r="ET16" t="inlineStr"/>
      <c r="EU16" t="inlineStr"/>
      <c r="EV16" t="inlineStr"/>
      <c r="EW16" t="inlineStr"/>
      <c r="EX16" t="inlineStr"/>
      <c r="EY16" t="inlineStr"/>
      <c r="EZ16" t="inlineStr"/>
      <c r="FA16" t="inlineStr"/>
      <c r="FB16" t="inlineStr"/>
      <c r="FC16" t="inlineStr"/>
      <c r="FD16" t="inlineStr"/>
      <c r="FE16" t="inlineStr"/>
      <c r="FF16" t="inlineStr"/>
      <c r="FG16" t="inlineStr"/>
      <c r="FH16" t="inlineStr"/>
      <c r="FI16" t="inlineStr"/>
      <c r="FJ16" t="inlineStr"/>
      <c r="FK16" t="inlineStr"/>
      <c r="FL16" t="inlineStr"/>
      <c r="FM16" t="inlineStr"/>
      <c r="FN16" t="inlineStr"/>
      <c r="FO16" t="inlineStr"/>
      <c r="FP16" t="inlineStr"/>
      <c r="FQ16" t="inlineStr"/>
      <c r="FR16" t="inlineStr"/>
      <c r="FS16" t="inlineStr"/>
      <c r="FT16" t="inlineStr"/>
      <c r="FU16" t="inlineStr"/>
      <c r="FV16" t="inlineStr"/>
      <c r="FW16" t="inlineStr"/>
      <c r="FX16" t="inlineStr"/>
      <c r="FY16" t="inlineStr"/>
      <c r="FZ16" t="inlineStr"/>
      <c r="GA16" t="inlineStr"/>
      <c r="GB16" t="inlineStr"/>
      <c r="GC16" t="inlineStr"/>
      <c r="GD16" t="inlineStr"/>
      <c r="GE16" t="inlineStr"/>
      <c r="GF16" t="inlineStr"/>
      <c r="GG16" t="inlineStr"/>
      <c r="GH16" t="inlineStr"/>
      <c r="GI16" t="inlineStr"/>
      <c r="GJ16" t="inlineStr"/>
      <c r="GK16" t="inlineStr"/>
      <c r="GL16" t="inlineStr"/>
      <c r="GM16" t="inlineStr"/>
      <c r="GN16" t="inlineStr"/>
      <c r="GO16" t="inlineStr"/>
      <c r="GP16" t="inlineStr"/>
      <c r="GQ16" t="inlineStr"/>
      <c r="GR16" t="inlineStr"/>
      <c r="GS16" t="inlineStr"/>
      <c r="GT16" t="inlineStr"/>
      <c r="GU16" t="inlineStr"/>
      <c r="GV16" t="inlineStr"/>
      <c r="GW16" t="inlineStr"/>
      <c r="GX16" t="inlineStr"/>
      <c r="GY16" t="inlineStr"/>
      <c r="GZ16" t="inlineStr"/>
      <c r="HA16" t="inlineStr"/>
      <c r="HB16" t="inlineStr"/>
      <c r="HC16" t="inlineStr"/>
      <c r="HD16" t="inlineStr"/>
      <c r="HE16" t="inlineStr"/>
      <c r="HF16" t="inlineStr"/>
      <c r="HG16" t="inlineStr"/>
      <c r="HH16" t="inlineStr"/>
      <c r="HI16" t="inlineStr"/>
      <c r="HJ16" t="inlineStr"/>
      <c r="HK16" t="inlineStr"/>
      <c r="HL16" t="inlineStr"/>
      <c r="HM16" t="inlineStr"/>
      <c r="HN16" t="inlineStr"/>
      <c r="HO16" t="inlineStr"/>
      <c r="HP16" t="inlineStr"/>
      <c r="HQ16" t="inlineStr"/>
      <c r="HR16" t="inlineStr"/>
      <c r="HS16" t="inlineStr"/>
      <c r="HT16" t="inlineStr"/>
      <c r="HU16" t="inlineStr"/>
      <c r="HV16" t="inlineStr"/>
      <c r="HW16" t="inlineStr"/>
      <c r="HX16" t="inlineStr"/>
      <c r="HY16" t="inlineStr"/>
      <c r="HZ16" t="inlineStr"/>
      <c r="IA16" t="inlineStr"/>
      <c r="IB16" t="inlineStr"/>
      <c r="IC16" t="inlineStr"/>
      <c r="ID16" t="inlineStr"/>
      <c r="IE16" t="inlineStr"/>
      <c r="IF16" t="inlineStr"/>
      <c r="IG16" t="inlineStr"/>
      <c r="IH16" t="inlineStr"/>
      <c r="II16" t="inlineStr"/>
      <c r="IJ16" t="inlineStr"/>
      <c r="IK16" t="inlineStr"/>
      <c r="IL16" t="inlineStr"/>
      <c r="IM16" t="inlineStr"/>
      <c r="IN16" t="inlineStr"/>
      <c r="IO16" t="inlineStr"/>
      <c r="IP16" t="inlineStr"/>
      <c r="IQ16" t="inlineStr"/>
      <c r="IR16" t="inlineStr"/>
      <c r="IS16">
        <f>IF(input_content_type="",FALSE,ISNUMBER(SEARCH(","&amp;LOWER(input_content_type)&amp;",",","&amp;LOWER(F16)&amp;",")))</f>
        <v/>
      </c>
      <c r="IT16">
        <f>AND(IF(M16="",TRUE,IF(input_affiliations="",FALSE,SUMPRODUCT(--ISNUMBER(SEARCH(","&amp;TRIM(TEXTSPLIT(M16,","))&amp;",",","&amp;SUBSTITUTE(input_affiliations," ","")&amp;",")))&gt;0)),IF(O16="",TRUE,IF(input_affiliations="",FALSE,SUMPRODUCT(--ISNUMBER(SEARCH(","&amp;TRIM(TEXTSPLIT(O16,","))&amp;",",","&amp;SUBSTITUTE(input_affiliations," ","")&amp;",")))=COUNTA(TEXTSPLIT(O16,",")))),IF(Q16="",TRUE,IF(input_affiliations="",TRUE,SUMPRODUCT(--ISNUMBER(SEARCH(","&amp;TRIM(TEXTSPLIT(Q16,","))&amp;",",","&amp;SUBSTITUTE(input_affiliations," ","")&amp;",")))=0)),IF(S16="",TRUE,IF(input_affiliations="",FALSE,SUMPRODUCT(--ISNUMBER(SEARCH(","&amp;TRIM(TEXTSPLIT(S16,","))&amp;",",","&amp;SUBSTITUTE(input_affiliations," ","")&amp;",")))&gt;0)),IF(U16="",TRUE,IF(input_affiliations="",FALSE,SUMPRODUCT(--ISNUMBER(SEARCH(","&amp;TRIM(TEXTSPLIT(U16,","))&amp;",",","&amp;SUBSTITUTE(input_affiliations," ","")&amp;",")))=COUNTA(TEXTSPLIT(U16,",")))))</f>
        <v/>
      </c>
      <c r="IU16">
        <f>AND(IF(W16="",TRUE,IF(input_announcement_category="",FALSE,SUMPRODUCT(--ISNUMBER(SEARCH(","&amp;TRIM(TEXTSPLIT(W16,","))&amp;",",","&amp;SUBSTITUTE(input_announcement_category," ","")&amp;",")))&gt;0)),IF(Y16="",TRUE,IF(input_announcement_category="",FALSE,SUMPRODUCT(--ISNUMBER(SEARCH(","&amp;TRIM(TEXTSPLIT(Y16,","))&amp;",",","&amp;SUBSTITUTE(input_announcement_category," ","")&amp;",")))=COUNTA(TEXTSPLIT(Y16,",")))),IF(AA16="",TRUE,IF(input_announcement_category="",TRUE,SUMPRODUCT(--ISNUMBER(SEARCH(","&amp;TRIM(TEXTSPLIT(AA16,","))&amp;",",","&amp;SUBSTITUTE(input_announcement_category," ","")&amp;",")))=0)),IF(AC16="",TRUE,IF(input_announcement_category="",FALSE,SUMPRODUCT(--ISNUMBER(SEARCH(","&amp;TRIM(TEXTSPLIT(AC16,","))&amp;",",","&amp;SUBSTITUTE(input_announcement_category," ","")&amp;",")))&gt;0)),IF(AE16="",TRUE,IF(input_announcement_category="",FALSE,SUMPRODUCT(--ISNUMBER(SEARCH(","&amp;TRIM(TEXTSPLIT(AE16,","))&amp;",",","&amp;SUBSTITUTE(input_announcement_category," ","")&amp;",")))=COUNTA(TEXTSPLIT(AE16,",")))))</f>
        <v/>
      </c>
      <c r="IV16">
        <f>AND(IF(AG16="",TRUE,IF(input_area_of_focus="",FALSE,SUMPRODUCT(--ISNUMBER(SEARCH(","&amp;TRIM(TEXTSPLIT(AG16,","))&amp;",",","&amp;SUBSTITUTE(input_area_of_focus," ","")&amp;",")))&gt;0)),IF(AI16="",TRUE,IF(input_area_of_focus="",FALSE,SUMPRODUCT(--ISNUMBER(SEARCH(","&amp;TRIM(TEXTSPLIT(AI16,","))&amp;",",","&amp;SUBSTITUTE(input_area_of_focus," ","")&amp;",")))=COUNTA(TEXTSPLIT(AI16,",")))),IF(AK16="",TRUE,IF(input_area_of_focus="",TRUE,SUMPRODUCT(--ISNUMBER(SEARCH(","&amp;TRIM(TEXTSPLIT(AK16,","))&amp;",",","&amp;SUBSTITUTE(input_area_of_focus," ","")&amp;",")))=0)),IF(AM16="",TRUE,IF(input_area_of_focus="",FALSE,SUMPRODUCT(--ISNUMBER(SEARCH(","&amp;TRIM(TEXTSPLIT(AM16,","))&amp;",",","&amp;SUBSTITUTE(input_area_of_focus," ","")&amp;",")))&gt;0)),IF(AO16="",TRUE,IF(input_area_of_focus="",FALSE,SUMPRODUCT(--ISNUMBER(SEARCH(","&amp;TRIM(TEXTSPLIT(AO16,","))&amp;",",","&amp;SUBSTITUTE(input_area_of_focus," ","")&amp;",")))=COUNTA(TEXTSPLIT(AO16,",")))))</f>
        <v/>
      </c>
      <c r="IW16">
        <f>AND(IF(AQ16="",TRUE,IF(input_audience="",FALSE,SUMPRODUCT(--ISNUMBER(SEARCH(","&amp;TRIM(TEXTSPLIT(AQ16,","))&amp;",",","&amp;SUBSTITUTE(input_audience," ","")&amp;",")))&gt;0)),IF(AS16="",TRUE,IF(input_audience="",FALSE,SUMPRODUCT(--ISNUMBER(SEARCH(","&amp;TRIM(TEXTSPLIT(AS16,","))&amp;",",","&amp;SUBSTITUTE(input_audience," ","")&amp;",")))=COUNTA(TEXTSPLIT(AS16,",")))),IF(AU16="",TRUE,IF(input_audience="",TRUE,SUMPRODUCT(--ISNUMBER(SEARCH(","&amp;TRIM(TEXTSPLIT(AU16,","))&amp;",",","&amp;SUBSTITUTE(input_audience," ","")&amp;",")))=0)),IF(AW16="",TRUE,IF(input_audience="",FALSE,SUMPRODUCT(--ISNUMBER(SEARCH(","&amp;TRIM(TEXTSPLIT(AW16,","))&amp;",",","&amp;SUBSTITUTE(input_audience," ","")&amp;",")))&gt;0)),IF(AY16="",TRUE,IF(input_audience="",FALSE,SUMPRODUCT(--ISNUMBER(SEARCH(","&amp;TRIM(TEXTSPLIT(AY16,","))&amp;",",","&amp;SUBSTITUTE(input_audience," ","")&amp;",")))=COUNTA(TEXTSPLIT(AY16,",")))))</f>
        <v/>
      </c>
      <c r="IX16">
        <f>AND(IF(BA16="",TRUE,IF(input_challenge_opportunities="",FALSE,SUMPRODUCT(--ISNUMBER(SEARCH(","&amp;TRIM(TEXTSPLIT(BA16,","))&amp;",",","&amp;SUBSTITUTE(input_challenge_opportunities," ","")&amp;",")))&gt;0)),IF(BC16="",TRUE,IF(input_challenge_opportunities="",FALSE,SUMPRODUCT(--ISNUMBER(SEARCH(","&amp;TRIM(TEXTSPLIT(BC16,","))&amp;",",","&amp;SUBSTITUTE(input_challenge_opportunities," ","")&amp;",")))=COUNTA(TEXTSPLIT(BC16,",")))),IF(BE16="",TRUE,IF(input_challenge_opportunities="",TRUE,SUMPRODUCT(--ISNUMBER(SEARCH(","&amp;TRIM(TEXTSPLIT(BE16,","))&amp;",",","&amp;SUBSTITUTE(input_challenge_opportunities," ","")&amp;",")))=0)),IF(BG16="",TRUE,IF(input_challenge_opportunities="",FALSE,SUMPRODUCT(--ISNUMBER(SEARCH(","&amp;TRIM(TEXTSPLIT(BG16,","))&amp;",",","&amp;SUBSTITUTE(input_challenge_opportunities," ","")&amp;",")))&gt;0)),IF(BI16="",TRUE,IF(input_challenge_opportunities="",FALSE,SUMPRODUCT(--ISNUMBER(SEARCH(","&amp;TRIM(TEXTSPLIT(BI16,","))&amp;",",","&amp;SUBSTITUTE(input_challenge_opportunities," ","")&amp;",")))=COUNTA(TEXTSPLIT(BI16,",")))))</f>
        <v/>
      </c>
      <c r="IY16">
        <f>AND(IF(BK16="",TRUE,IF(input_context="",FALSE,SUMPRODUCT(--ISNUMBER(SEARCH(","&amp;TRIM(TEXTSPLIT(BK16,","))&amp;",",","&amp;SUBSTITUTE(input_context," ","")&amp;",")))&gt;0)),IF(BM16="",TRUE,IF(input_context="",FALSE,SUMPRODUCT(--ISNUMBER(SEARCH(","&amp;TRIM(TEXTSPLIT(BM16,","))&amp;",",","&amp;SUBSTITUTE(input_context," ","")&amp;",")))=COUNTA(TEXTSPLIT(BM16,",")))),IF(BO16="",TRUE,IF(input_context="",TRUE,SUMPRODUCT(--ISNUMBER(SEARCH(","&amp;TRIM(TEXTSPLIT(BO16,","))&amp;",",","&amp;SUBSTITUTE(input_context," ","")&amp;",")))=0)),IF(BQ16="",TRUE,IF(input_context="",FALSE,SUMPRODUCT(--ISNUMBER(SEARCH(","&amp;TRIM(TEXTSPLIT(BQ16,","))&amp;",",","&amp;SUBSTITUTE(input_context," ","")&amp;",")))&gt;0)),IF(BS16="",TRUE,IF(input_context="",FALSE,SUMPRODUCT(--ISNUMBER(SEARCH(","&amp;TRIM(TEXTSPLIT(BS16,","))&amp;",",","&amp;SUBSTITUTE(input_context," ","")&amp;",")))=COUNTA(TEXTSPLIT(BS16,",")))))</f>
        <v/>
      </c>
      <c r="IZ16">
        <f>AND(IF(BU16="",TRUE,IF(input_enews_announcement_type="",FALSE,SUMPRODUCT(--ISNUMBER(SEARCH(","&amp;TRIM(TEXTSPLIT(BU16,","))&amp;",",","&amp;SUBSTITUTE(input_enews_announcement_type," ","")&amp;",")))&gt;0)),IF(BW16="",TRUE,IF(input_enews_announcement_type="",FALSE,SUMPRODUCT(--ISNUMBER(SEARCH(","&amp;TRIM(TEXTSPLIT(BW16,","))&amp;",",","&amp;SUBSTITUTE(input_enews_announcement_type," ","")&amp;",")))=COUNTA(TEXTSPLIT(BW16,",")))),IF(BY16="",TRUE,IF(input_enews_announcement_type="",TRUE,SUMPRODUCT(--ISNUMBER(SEARCH(","&amp;TRIM(TEXTSPLIT(BY16,","))&amp;",",","&amp;SUBSTITUTE(input_enews_announcement_type," ","")&amp;",")))=0)),IF(CA16="",TRUE,IF(input_enews_announcement_type="",FALSE,SUMPRODUCT(--ISNUMBER(SEARCH(","&amp;TRIM(TEXTSPLIT(CA16,","))&amp;",",","&amp;SUBSTITUTE(input_enews_announcement_type," ","")&amp;",")))&gt;0)),IF(CC16="",TRUE,IF(input_enews_announcement_type="",FALSE,SUMPRODUCT(--ISNUMBER(SEARCH(","&amp;TRIM(TEXTSPLIT(CC16,","))&amp;",",","&amp;SUBSTITUTE(input_enews_announcement_type," ","")&amp;",")))=COUNTA(TEXTSPLIT(CC16,",")))))</f>
        <v/>
      </c>
      <c r="JA16">
        <f>AND(IF(CE16="",TRUE,IF(input_enews_audience="",FALSE,SUMPRODUCT(--ISNUMBER(SEARCH(","&amp;TRIM(TEXTSPLIT(CE16,","))&amp;",",","&amp;SUBSTITUTE(input_enews_audience," ","")&amp;",")))&gt;0)),IF(CG16="",TRUE,IF(input_enews_audience="",FALSE,SUMPRODUCT(--ISNUMBER(SEARCH(","&amp;TRIM(TEXTSPLIT(CG16,","))&amp;",",","&amp;SUBSTITUTE(input_enews_audience," ","")&amp;",")))=COUNTA(TEXTSPLIT(CG16,",")))),IF(CI16="",TRUE,IF(input_enews_audience="",TRUE,SUMPRODUCT(--ISNUMBER(SEARCH(","&amp;TRIM(TEXTSPLIT(CI16,","))&amp;",",","&amp;SUBSTITUTE(input_enews_audience," ","")&amp;",")))=0)),IF(CK16="",TRUE,IF(input_enews_audience="",FALSE,SUMPRODUCT(--ISNUMBER(SEARCH(","&amp;TRIM(TEXTSPLIT(CK16,","))&amp;",",","&amp;SUBSTITUTE(input_enews_audience," ","")&amp;",")))&gt;0)),IF(CM16="",TRUE,IF(input_enews_audience="",FALSE,SUMPRODUCT(--ISNUMBER(SEARCH(","&amp;TRIM(TEXTSPLIT(CM16,","))&amp;",",","&amp;SUBSTITUTE(input_enews_audience," ","")&amp;",")))=COUNTA(TEXTSPLIT(CM16,",")))))</f>
        <v/>
      </c>
      <c r="JB16">
        <f>AND(IF(CO16="",TRUE,IF(input_event_location="",FALSE,SUMPRODUCT(--ISNUMBER(SEARCH(","&amp;TRIM(TEXTSPLIT(CO16,","))&amp;",",","&amp;SUBSTITUTE(input_event_location," ","")&amp;",")))&gt;0)),IF(CQ16="",TRUE,IF(input_event_location="",FALSE,SUMPRODUCT(--ISNUMBER(SEARCH(","&amp;TRIM(TEXTSPLIT(CQ16,","))&amp;",",","&amp;SUBSTITUTE(input_event_location," ","")&amp;",")))=COUNTA(TEXTSPLIT(CQ16,",")))),IF(CS16="",TRUE,IF(input_event_location="",TRUE,SUMPRODUCT(--ISNUMBER(SEARCH(","&amp;TRIM(TEXTSPLIT(CS16,","))&amp;",",","&amp;SUBSTITUTE(input_event_location," ","")&amp;",")))=0)),IF(CU16="",TRUE,IF(input_event_location="",FALSE,SUMPRODUCT(--ISNUMBER(SEARCH(","&amp;TRIM(TEXTSPLIT(CU16,","))&amp;",",","&amp;SUBSTITUTE(input_event_location," ","")&amp;",")))&gt;0)),IF(CW16="",TRUE,IF(input_event_location="",FALSE,SUMPRODUCT(--ISNUMBER(SEARCH(","&amp;TRIM(TEXTSPLIT(CW16,","))&amp;",",","&amp;SUBSTITUTE(input_event_location," ","")&amp;",")))=COUNTA(TEXTSPLIT(CW16,",")))))</f>
        <v/>
      </c>
      <c r="JC16">
        <f>AND(IF(CY16="",TRUE,IF(input_event_type="",FALSE,SUMPRODUCT(--ISNUMBER(SEARCH(","&amp;TRIM(TEXTSPLIT(CY16,","))&amp;",",","&amp;SUBSTITUTE(input_event_type," ","")&amp;",")))&gt;0)),IF(DA16="",TRUE,IF(input_event_type="",FALSE,SUMPRODUCT(--ISNUMBER(SEARCH(","&amp;TRIM(TEXTSPLIT(DA16,","))&amp;",",","&amp;SUBSTITUTE(input_event_type," ","")&amp;",")))=COUNTA(TEXTSPLIT(DA16,",")))),IF(DC16="",TRUE,IF(input_event_type="",TRUE,SUMPRODUCT(--ISNUMBER(SEARCH(","&amp;TRIM(TEXTSPLIT(DC16,","))&amp;",",","&amp;SUBSTITUTE(input_event_type," ","")&amp;",")))=0)),IF(DE16="",TRUE,IF(input_event_type="",FALSE,SUMPRODUCT(--ISNUMBER(SEARCH(","&amp;TRIM(TEXTSPLIT(DE16,","))&amp;",",","&amp;SUBSTITUTE(input_event_type," ","")&amp;",")))&gt;0)),IF(DG16="",TRUE,IF(input_event_type="",FALSE,SUMPRODUCT(--ISNUMBER(SEARCH(","&amp;TRIM(TEXTSPLIT(DG16,","))&amp;",",","&amp;SUBSTITUTE(input_event_type," ","")&amp;",")))=COUNTA(TEXTSPLIT(DG16,",")))))</f>
        <v/>
      </c>
      <c r="JD16">
        <f>AND(IF(DI16="",TRUE,IF(input_executive_education_focus="",FALSE,SUMPRODUCT(--ISNUMBER(SEARCH(","&amp;TRIM(TEXTSPLIT(DI16,","))&amp;",",","&amp;SUBSTITUTE(input_executive_education_focus," ","")&amp;",")))&gt;0)),IF(DK16="",TRUE,IF(input_executive_education_focus="",FALSE,SUMPRODUCT(--ISNUMBER(SEARCH(","&amp;TRIM(TEXTSPLIT(DK16,","))&amp;",",","&amp;SUBSTITUTE(input_executive_education_focus," ","")&amp;",")))=COUNTA(TEXTSPLIT(DK16,",")))),IF(DM16="",TRUE,IF(input_executive_education_focus="",TRUE,SUMPRODUCT(--ISNUMBER(SEARCH(","&amp;TRIM(TEXTSPLIT(DM16,","))&amp;",",","&amp;SUBSTITUTE(input_executive_education_focus," ","")&amp;",")))=0)),IF(DO16="",TRUE,IF(input_executive_education_focus="",FALSE,SUMPRODUCT(--ISNUMBER(SEARCH(","&amp;TRIM(TEXTSPLIT(DO16,","))&amp;",",","&amp;SUBSTITUTE(input_executive_education_focus," ","")&amp;",")))&gt;0)),IF(DQ16="",TRUE,IF(input_executive_education_focus="",FALSE,SUMPRODUCT(--ISNUMBER(SEARCH(","&amp;TRIM(TEXTSPLIT(DQ16,","))&amp;",",","&amp;SUBSTITUTE(input_executive_education_focus," ","")&amp;",")))=COUNTA(TEXTSPLIT(DQ16,",")))))</f>
        <v/>
      </c>
      <c r="JE16">
        <f>AND(IF(DS16="",TRUE,IF(input_faculty_category="",FALSE,SUMPRODUCT(--ISNUMBER(SEARCH(","&amp;TRIM(TEXTSPLIT(DS16,","))&amp;",",","&amp;SUBSTITUTE(input_faculty_category," ","")&amp;",")))&gt;0)),IF(DU16="",TRUE,IF(input_faculty_category="",FALSE,SUMPRODUCT(--ISNUMBER(SEARCH(","&amp;TRIM(TEXTSPLIT(DU16,","))&amp;",",","&amp;SUBSTITUTE(input_faculty_category," ","")&amp;",")))=COUNTA(TEXTSPLIT(DU16,",")))),IF(DW16="",TRUE,IF(input_faculty_category="",TRUE,SUMPRODUCT(--ISNUMBER(SEARCH(","&amp;TRIM(TEXTSPLIT(DW16,","))&amp;",",","&amp;SUBSTITUTE(input_faculty_category," ","")&amp;",")))=0)),IF(DY16="",TRUE,IF(input_faculty_category="",FALSE,SUMPRODUCT(--ISNUMBER(SEARCH(","&amp;TRIM(TEXTSPLIT(DY16,","))&amp;",",","&amp;SUBSTITUTE(input_faculty_category," ","")&amp;",")))&gt;0)),IF(EA16="",TRUE,IF(input_faculty_category="",FALSE,SUMPRODUCT(--ISNUMBER(SEARCH(","&amp;TRIM(TEXTSPLIT(EA16,","))&amp;",",","&amp;SUBSTITUTE(input_faculty_category," ","")&amp;",")))=COUNTA(TEXTSPLIT(EA16,",")))))</f>
        <v/>
      </c>
      <c r="JF16">
        <f>AND(IF(EC16="",TRUE,IF(input_faculty_discipline="",FALSE,SUMPRODUCT(--ISNUMBER(SEARCH(","&amp;TRIM(TEXTSPLIT(EC16,","))&amp;",",","&amp;SUBSTITUTE(input_faculty_discipline," ","")&amp;",")))&gt;0)),IF(EE16="",TRUE,IF(input_faculty_discipline="",FALSE,SUMPRODUCT(--ISNUMBER(SEARCH(","&amp;TRIM(TEXTSPLIT(EE16,","))&amp;",",","&amp;SUBSTITUTE(input_faculty_discipline," ","")&amp;",")))=COUNTA(TEXTSPLIT(EE16,",")))),IF(EG16="",TRUE,IF(input_faculty_discipline="",TRUE,SUMPRODUCT(--ISNUMBER(SEARCH(","&amp;TRIM(TEXTSPLIT(EG16,","))&amp;",",","&amp;SUBSTITUTE(input_faculty_discipline," ","")&amp;",")))=0)),IF(EI16="",TRUE,IF(input_faculty_discipline="",FALSE,SUMPRODUCT(--ISNUMBER(SEARCH(","&amp;TRIM(TEXTSPLIT(EI16,","))&amp;",",","&amp;SUBSTITUTE(input_faculty_discipline," ","")&amp;",")))&gt;0)),IF(EK16="",TRUE,IF(input_faculty_discipline="",FALSE,SUMPRODUCT(--ISNUMBER(SEARCH(","&amp;TRIM(TEXTSPLIT(EK16,","))&amp;",",","&amp;SUBSTITUTE(input_faculty_discipline," ","")&amp;",")))=COUNTA(TEXTSPLIT(EK16,",")))))</f>
        <v/>
      </c>
      <c r="JG16">
        <f>AND(IF(EM16="",TRUE,IF(input_faculty_expertise="",FALSE,SUMPRODUCT(--ISNUMBER(SEARCH(","&amp;TRIM(TEXTSPLIT(EM16,","))&amp;",",","&amp;SUBSTITUTE(input_faculty_expertise," ","")&amp;",")))&gt;0)),IF(EO16="",TRUE,IF(input_faculty_expertise="",FALSE,SUMPRODUCT(--ISNUMBER(SEARCH(","&amp;TRIM(TEXTSPLIT(EO16,","))&amp;",",","&amp;SUBSTITUTE(input_faculty_expertise," ","")&amp;",")))=COUNTA(TEXTSPLIT(EO16,",")))),IF(EQ16="",TRUE,IF(input_faculty_expertise="",TRUE,SUMPRODUCT(--ISNUMBER(SEARCH(","&amp;TRIM(TEXTSPLIT(EQ16,","))&amp;",",","&amp;SUBSTITUTE(input_faculty_expertise," ","")&amp;",")))=0)),IF(ES16="",TRUE,IF(input_faculty_expertise="",FALSE,SUMPRODUCT(--ISNUMBER(SEARCH(","&amp;TRIM(TEXTSPLIT(ES16,","))&amp;",",","&amp;SUBSTITUTE(input_faculty_expertise," ","")&amp;",")))&gt;0)),IF(EU16="",TRUE,IF(input_faculty_expertise="",FALSE,SUMPRODUCT(--ISNUMBER(SEARCH(","&amp;TRIM(TEXTSPLIT(EU16,","))&amp;",",","&amp;SUBSTITUTE(input_faculty_expertise," ","")&amp;",")))=COUNTA(TEXTSPLIT(EU16,",")))))</f>
        <v/>
      </c>
      <c r="JH16">
        <f>AND(IF(EW16="",TRUE,IF(input_global_network_school="",FALSE,SUMPRODUCT(--ISNUMBER(SEARCH(","&amp;TRIM(TEXTSPLIT(EW16,","))&amp;",",","&amp;SUBSTITUTE(input_global_network_school," ","")&amp;",")))&gt;0)),IF(EY16="",TRUE,IF(input_global_network_school="",FALSE,SUMPRODUCT(--ISNUMBER(SEARCH(","&amp;TRIM(TEXTSPLIT(EY16,","))&amp;",",","&amp;SUBSTITUTE(input_global_network_school," ","")&amp;",")))=COUNTA(TEXTSPLIT(EY16,",")))),IF(FA16="",TRUE,IF(input_global_network_school="",TRUE,SUMPRODUCT(--ISNUMBER(SEARCH(","&amp;TRIM(TEXTSPLIT(FA16,","))&amp;",",","&amp;SUBSTITUTE(input_global_network_school," ","")&amp;",")))=0)),IF(FC16="",TRUE,IF(input_global_network_school="",FALSE,SUMPRODUCT(--ISNUMBER(SEARCH(","&amp;TRIM(TEXTSPLIT(FC16,","))&amp;",",","&amp;SUBSTITUTE(input_global_network_school," ","")&amp;",")))&gt;0)),IF(FE16="",TRUE,IF(input_global_network_school="",FALSE,SUMPRODUCT(--ISNUMBER(SEARCH(","&amp;TRIM(TEXTSPLIT(FE16,","))&amp;",",","&amp;SUBSTITUTE(input_global_network_school," ","")&amp;",")))=COUNTA(TEXTSPLIT(FE16,",")))))</f>
        <v/>
      </c>
      <c r="JI16">
        <f>AND(IF(FG16="",TRUE,IF(input_industry="",FALSE,SUMPRODUCT(--ISNUMBER(SEARCH(","&amp;TRIM(TEXTSPLIT(FG16,","))&amp;",",","&amp;SUBSTITUTE(input_industry," ","")&amp;",")))&gt;0)),IF(FI16="",TRUE,IF(input_industry="",FALSE,SUMPRODUCT(--ISNUMBER(SEARCH(","&amp;TRIM(TEXTSPLIT(FI16,","))&amp;",",","&amp;SUBSTITUTE(input_industry," ","")&amp;",")))=COUNTA(TEXTSPLIT(FI16,",")))),IF(FK16="",TRUE,IF(input_industry="",TRUE,SUMPRODUCT(--ISNUMBER(SEARCH(","&amp;TRIM(TEXTSPLIT(FK16,","))&amp;",",","&amp;SUBSTITUTE(input_industry," ","")&amp;",")))=0)),IF(FM16="",TRUE,IF(input_industry="",FALSE,SUMPRODUCT(--ISNUMBER(SEARCH(","&amp;TRIM(TEXTSPLIT(FM16,","))&amp;",",","&amp;SUBSTITUTE(input_industry," ","")&amp;",")))&gt;0)),IF(FO16="",TRUE,IF(input_industry="",FALSE,SUMPRODUCT(--ISNUMBER(SEARCH(","&amp;TRIM(TEXTSPLIT(FO16,","))&amp;",",","&amp;SUBSTITUTE(input_industry," ","")&amp;",")))=COUNTA(TEXTSPLIT(FO16,",")))))</f>
        <v/>
      </c>
      <c r="JJ16">
        <f>AND(IF(FQ16="",TRUE,IF(input_location="",FALSE,SUMPRODUCT(--ISNUMBER(SEARCH(","&amp;TRIM(TEXTSPLIT(FQ16,","))&amp;",",","&amp;SUBSTITUTE(input_location," ","")&amp;",")))&gt;0)),IF(FS16="",TRUE,IF(input_location="",FALSE,SUMPRODUCT(--ISNUMBER(SEARCH(","&amp;TRIM(TEXTSPLIT(FS16,","))&amp;",",","&amp;SUBSTITUTE(input_location," ","")&amp;",")))=COUNTA(TEXTSPLIT(FS16,",")))),IF(FU16="",TRUE,IF(input_location="",TRUE,SUMPRODUCT(--ISNUMBER(SEARCH(","&amp;TRIM(TEXTSPLIT(FU16,","))&amp;",",","&amp;SUBSTITUTE(input_location," ","")&amp;",")))=0)),IF(FW16="",TRUE,IF(input_location="",FALSE,SUMPRODUCT(--ISNUMBER(SEARCH(","&amp;TRIM(TEXTSPLIT(FW16,","))&amp;",",","&amp;SUBSTITUTE(input_location," ","")&amp;",")))&gt;0)),IF(FY16="",TRUE,IF(input_location="",FALSE,SUMPRODUCT(--ISNUMBER(SEARCH(","&amp;TRIM(TEXTSPLIT(FY16,","))&amp;",",","&amp;SUBSTITUTE(input_location," ","")&amp;",")))=COUNTA(TEXTSPLIT(FY16,",")))))</f>
        <v/>
      </c>
      <c r="JK16">
        <f>AND(IF(GA16="",TRUE,IF(input_modality="",FALSE,SUMPRODUCT(--ISNUMBER(SEARCH(","&amp;TRIM(TEXTSPLIT(GA16,","))&amp;",",","&amp;SUBSTITUTE(input_modality," ","")&amp;",")))&gt;0)),IF(GC16="",TRUE,IF(input_modality="",FALSE,SUMPRODUCT(--ISNUMBER(SEARCH(","&amp;TRIM(TEXTSPLIT(GC16,","))&amp;",",","&amp;SUBSTITUTE(input_modality," ","")&amp;",")))=COUNTA(TEXTSPLIT(GC16,",")))),IF(GE16="",TRUE,IF(input_modality="",TRUE,SUMPRODUCT(--ISNUMBER(SEARCH(","&amp;TRIM(TEXTSPLIT(GE16,","))&amp;",",","&amp;SUBSTITUTE(input_modality," ","")&amp;",")))=0)),IF(GG16="",TRUE,IF(input_modality="",FALSE,SUMPRODUCT(--ISNUMBER(SEARCH(","&amp;TRIM(TEXTSPLIT(GG16,","))&amp;",",","&amp;SUBSTITUTE(input_modality," ","")&amp;",")))&gt;0)),IF(GI16="",TRUE,IF(input_modality="",FALSE,SUMPRODUCT(--ISNUMBER(SEARCH(","&amp;TRIM(TEXTSPLIT(GI16,","))&amp;",",","&amp;SUBSTITUTE(input_modality," ","")&amp;",")))=COUNTA(TEXTSPLIT(GI16,",")))))</f>
        <v/>
      </c>
      <c r="JL16">
        <f>AND(IF(GK16="",TRUE,IF(input_organizer="",FALSE,SUMPRODUCT(--ISNUMBER(SEARCH(","&amp;TRIM(TEXTSPLIT(GK16,","))&amp;",",","&amp;SUBSTITUTE(input_organizer," ","")&amp;",")))&gt;0)),IF(GM16="",TRUE,IF(input_organizer="",FALSE,SUMPRODUCT(--ISNUMBER(SEARCH(","&amp;TRIM(TEXTSPLIT(GM16,","))&amp;",",","&amp;SUBSTITUTE(input_organizer," ","")&amp;",")))=COUNTA(TEXTSPLIT(GM16,",")))),IF(GO16="",TRUE,IF(input_organizer="",TRUE,SUMPRODUCT(--ISNUMBER(SEARCH(","&amp;TRIM(TEXTSPLIT(GO16,","))&amp;",",","&amp;SUBSTITUTE(input_organizer," ","")&amp;",")))=0)),IF(GQ16="",TRUE,IF(input_organizer="",FALSE,SUMPRODUCT(--ISNUMBER(SEARCH(","&amp;TRIM(TEXTSPLIT(GQ16,","))&amp;",",","&amp;SUBSTITUTE(input_organizer," ","")&amp;",")))&gt;0)),IF(GS16="",TRUE,IF(input_organizer="",FALSE,SUMPRODUCT(--ISNUMBER(SEARCH(","&amp;TRIM(TEXTSPLIT(GS16,","))&amp;",",","&amp;SUBSTITUTE(input_organizer," ","")&amp;",")))=COUNTA(TEXTSPLIT(GS16,",")))))</f>
        <v/>
      </c>
      <c r="JM16">
        <f>AND(IF(GU16="",TRUE,IF(input_profile_type="",FALSE,SUMPRODUCT(--ISNUMBER(SEARCH(","&amp;TRIM(TEXTSPLIT(GU16,","))&amp;",",","&amp;SUBSTITUTE(input_profile_type," ","")&amp;",")))&gt;0)),IF(GW16="",TRUE,IF(input_profile_type="",FALSE,SUMPRODUCT(--ISNUMBER(SEARCH(","&amp;TRIM(TEXTSPLIT(GW16,","))&amp;",",","&amp;SUBSTITUTE(input_profile_type," ","")&amp;",")))=COUNTA(TEXTSPLIT(GW16,",")))),IF(GY16="",TRUE,IF(input_profile_type="",TRUE,SUMPRODUCT(--ISNUMBER(SEARCH(","&amp;TRIM(TEXTSPLIT(GY16,","))&amp;",",","&amp;SUBSTITUTE(input_profile_type," ","")&amp;",")))=0)),IF(HA16="",TRUE,IF(input_profile_type="",FALSE,SUMPRODUCT(--ISNUMBER(SEARCH(","&amp;TRIM(TEXTSPLIT(HA16,","))&amp;",",","&amp;SUBSTITUTE(input_profile_type," ","")&amp;",")))&gt;0)),IF(HC16="",TRUE,IF(input_profile_type="",FALSE,SUMPRODUCT(--ISNUMBER(SEARCH(","&amp;TRIM(TEXTSPLIT(HC16,","))&amp;",",","&amp;SUBSTITUTE(input_profile_type," ","")&amp;",")))=COUNTA(TEXTSPLIT(HC16,",")))))</f>
        <v/>
      </c>
      <c r="JN16">
        <f>AND(IF(HE16="",TRUE,IF(input_program="",FALSE,SUMPRODUCT(--ISNUMBER(SEARCH(","&amp;TRIM(TEXTSPLIT(HE16,","))&amp;",",","&amp;SUBSTITUTE(input_program," ","")&amp;",")))&gt;0)),IF(HG16="",TRUE,IF(input_program="",FALSE,SUMPRODUCT(--ISNUMBER(SEARCH(","&amp;TRIM(TEXTSPLIT(HG16,","))&amp;",",","&amp;SUBSTITUTE(input_program," ","")&amp;",")))=COUNTA(TEXTSPLIT(HG16,",")))),IF(HI16="",TRUE,IF(input_program="",TRUE,SUMPRODUCT(--ISNUMBER(SEARCH(","&amp;TRIM(TEXTSPLIT(HI16,","))&amp;",",","&amp;SUBSTITUTE(input_program," ","")&amp;",")))=0)),IF(HK16="",TRUE,IF(input_program="",FALSE,SUMPRODUCT(--ISNUMBER(SEARCH(","&amp;TRIM(TEXTSPLIT(HK16,","))&amp;",",","&amp;SUBSTITUTE(input_program," ","")&amp;",")))&gt;0)),IF(HM16="",TRUE,IF(input_program="",FALSE,SUMPRODUCT(--ISNUMBER(SEARCH(","&amp;TRIM(TEXTSPLIT(HM16,","))&amp;",",","&amp;SUBSTITUTE(input_program," ","")&amp;",")))=COUNTA(TEXTSPLIT(HM16,",")))))</f>
        <v/>
      </c>
      <c r="JO16">
        <f>AND(IF(HO16="",TRUE,IF(input_story_categories="",FALSE,SUMPRODUCT(--ISNUMBER(SEARCH(","&amp;TRIM(TEXTSPLIT(HO16,","))&amp;",",","&amp;SUBSTITUTE(input_story_categories," ","")&amp;",")))&gt;0)),IF(HQ16="",TRUE,IF(input_story_categories="",FALSE,SUMPRODUCT(--ISNUMBER(SEARCH(","&amp;TRIM(TEXTSPLIT(HQ16,","))&amp;",",","&amp;SUBSTITUTE(input_story_categories," ","")&amp;",")))=COUNTA(TEXTSPLIT(HQ16,",")))),IF(HS16="",TRUE,IF(input_story_categories="",TRUE,SUMPRODUCT(--ISNUMBER(SEARCH(","&amp;TRIM(TEXTSPLIT(HS16,","))&amp;",",","&amp;SUBSTITUTE(input_story_categories," ","")&amp;",")))=0)),IF(HU16="",TRUE,IF(input_story_categories="",FALSE,SUMPRODUCT(--ISNUMBER(SEARCH(","&amp;TRIM(TEXTSPLIT(HU16,","))&amp;",",","&amp;SUBSTITUTE(input_story_categories," ","")&amp;",")))&gt;0)),IF(HW16="",TRUE,IF(input_story_categories="",FALSE,SUMPRODUCT(--ISNUMBER(SEARCH(","&amp;TRIM(TEXTSPLIT(HW16,","))&amp;",",","&amp;SUBSTITUTE(input_story_categories," ","")&amp;",")))=COUNTA(TEXTSPLIT(HW16,",")))))</f>
        <v/>
      </c>
      <c r="JP16">
        <f>AND(IF(HY16="",TRUE,IF(input_story_type="",FALSE,SUMPRODUCT(--ISNUMBER(SEARCH(","&amp;TRIM(TEXTSPLIT(HY16,","))&amp;",",","&amp;SUBSTITUTE(input_story_type," ","")&amp;",")))&gt;0)),IF(IA16="",TRUE,IF(input_story_type="",FALSE,SUMPRODUCT(--ISNUMBER(SEARCH(","&amp;TRIM(TEXTSPLIT(IA16,","))&amp;",",","&amp;SUBSTITUTE(input_story_type," ","")&amp;",")))=COUNTA(TEXTSPLIT(IA16,",")))),IF(IC16="",TRUE,IF(input_story_type="",TRUE,SUMPRODUCT(--ISNUMBER(SEARCH(","&amp;TRIM(TEXTSPLIT(IC16,","))&amp;",",","&amp;SUBSTITUTE(input_story_type," ","")&amp;",")))=0)),IF(IE16="",TRUE,IF(input_story_type="",FALSE,SUMPRODUCT(--ISNUMBER(SEARCH(","&amp;TRIM(TEXTSPLIT(IE16,","))&amp;",",","&amp;SUBSTITUTE(input_story_type," ","")&amp;",")))&gt;0)),IF(IG16="",TRUE,IF(input_story_type="",FALSE,SUMPRODUCT(--ISNUMBER(SEARCH(","&amp;TRIM(TEXTSPLIT(IG16,","))&amp;",",","&amp;SUBSTITUTE(input_story_type," ","")&amp;",")))=COUNTA(TEXTSPLIT(IG16,",")))))</f>
        <v/>
      </c>
      <c r="JQ16">
        <f>AND(IF(II16="",TRUE,IF(input_topics="",FALSE,SUMPRODUCT(--ISNUMBER(SEARCH(","&amp;TRIM(TEXTSPLIT(II16,","))&amp;",",","&amp;SUBSTITUTE(input_topics," ","")&amp;",")))&gt;0)),IF(IK16="",TRUE,IF(input_topics="",FALSE,SUMPRODUCT(--ISNUMBER(SEARCH(","&amp;TRIM(TEXTSPLIT(IK16,","))&amp;",",","&amp;SUBSTITUTE(input_topics," ","")&amp;",")))=COUNTA(TEXTSPLIT(IK16,",")))),IF(IM16="",TRUE,IF(input_topics="",TRUE,SUMPRODUCT(--ISNUMBER(SEARCH(","&amp;TRIM(TEXTSPLIT(IM16,","))&amp;",",","&amp;SUBSTITUTE(input_topics," ","")&amp;",")))=0)),IF(IO16="",TRUE,IF(input_topics="",FALSE,SUMPRODUCT(--ISNUMBER(SEARCH(","&amp;TRIM(TEXTSPLIT(IO16,","))&amp;",",","&amp;SUBSTITUTE(input_topics," ","")&amp;",")))&gt;0)),IF(IQ16="",TRUE,IF(input_topics="",FALSE,SUMPRODUCT(--ISNUMBER(SEARCH(","&amp;TRIM(TEXTSPLIT(IQ16,","))&amp;",",","&amp;SUBSTITUTE(input_topics," ","")&amp;",")))=COUNTA(TEXTSPLIT(IQ16,",")))))</f>
        <v/>
      </c>
    </row>
    <row r="17">
      <c r="A17" s="4">
        <f>IF(NOT(IS17),"Excluded",IF(AND(IT17,IU17,IV17,IW17,IX17,IY17,IZ17,JA17,JB17,JC17,JD17,JE17,JF17,JG17,JH17,JI17,JJ17,JK17,JL17,JM17,JN17,JO17,JP17,JQ17),IF(I17&gt;0,"Eligible but limited","Will appear"),"Excluded"))</f>
        <v/>
      </c>
      <c r="B17" s="4" t="inlineStr">
        <is>
          <t>All Publications by Author</t>
        </is>
      </c>
      <c r="C17" s="4" t="inlineStr">
        <is>
          <t>/faculty-research/faculty-directory/andrew-metrick</t>
        </is>
      </c>
      <c r="D17" s="4" t="inlineStr">
        <is>
          <t>/faculty-research/faculty-directory/andrew-metrick</t>
        </is>
      </c>
      <c r="E17" s="4" t="n">
        <v>1</v>
      </c>
      <c r="F17" s="4" t="inlineStr">
        <is>
          <t>publications</t>
        </is>
      </c>
      <c r="G17" s="4" t="inlineStr">
        <is>
          <t>publication_teaser_list</t>
        </is>
      </c>
      <c r="H17" s="4" t="inlineStr">
        <is>
          <t>publication_teaser_list_all_by_author</t>
        </is>
      </c>
      <c r="I17" s="4" t="inlineStr"/>
      <c r="J17" s="4" t="inlineStr">
        <is>
          <t>View/config rules</t>
        </is>
      </c>
      <c r="K17" s="4" t="inlineStr">
        <is>
          <t>Page placement</t>
        </is>
      </c>
      <c r="L17" s="4" t="inlineStr">
        <is>
          <t>Content type: publications; Source: View/config rules</t>
        </is>
      </c>
      <c r="M17" t="inlineStr"/>
      <c r="N17" t="inlineStr"/>
      <c r="O17" t="inlineStr"/>
      <c r="P17" t="inlineStr"/>
      <c r="Q17" t="inlineStr"/>
      <c r="R17" t="inlineStr"/>
      <c r="S17" t="inlineStr"/>
      <c r="T17" t="inlineStr"/>
      <c r="U17" t="inlineStr"/>
      <c r="V17" t="inlineStr"/>
      <c r="W17" t="inlineStr"/>
      <c r="X17" t="inlineStr"/>
      <c r="Y17" t="inlineStr"/>
      <c r="Z17" t="inlineStr"/>
      <c r="AA17" t="inlineStr"/>
      <c r="AB17" t="inlineStr"/>
      <c r="AC17" t="inlineStr"/>
      <c r="AD17" t="inlineStr"/>
      <c r="AE17" t="inlineStr"/>
      <c r="AF17" t="inlineStr"/>
      <c r="AG17" t="inlineStr"/>
      <c r="AH17" t="inlineStr"/>
      <c r="AI17" t="inlineStr"/>
      <c r="AJ17" t="inlineStr"/>
      <c r="AK17" t="inlineStr"/>
      <c r="AL17" t="inlineStr"/>
      <c r="AM17" t="inlineStr"/>
      <c r="AN17" t="inlineStr"/>
      <c r="AO17" t="inlineStr"/>
      <c r="AP17" t="inlineStr"/>
      <c r="AQ17" t="inlineStr"/>
      <c r="AR17" t="inlineStr"/>
      <c r="AS17" t="inlineStr"/>
      <c r="AT17" t="inlineStr"/>
      <c r="AU17" t="inlineStr"/>
      <c r="AV17" t="inlineStr"/>
      <c r="AW17" t="inlineStr"/>
      <c r="AX17" t="inlineStr"/>
      <c r="AY17" t="inlineStr"/>
      <c r="AZ17" t="inlineStr"/>
      <c r="BA17" t="inlineStr"/>
      <c r="BB17" t="inlineStr"/>
      <c r="BC17" t="inlineStr"/>
      <c r="BD17" t="inlineStr"/>
      <c r="BE17" t="inlineStr"/>
      <c r="BF17" t="inlineStr"/>
      <c r="BG17" t="inlineStr"/>
      <c r="BH17" t="inlineStr"/>
      <c r="BI17" t="inlineStr"/>
      <c r="BJ17" t="inlineStr"/>
      <c r="BK17" t="inlineStr"/>
      <c r="BL17" t="inlineStr"/>
      <c r="BM17" t="inlineStr"/>
      <c r="BN17" t="inlineStr"/>
      <c r="BO17" t="inlineStr"/>
      <c r="BP17" t="inlineStr"/>
      <c r="BQ17" t="inlineStr"/>
      <c r="BR17" t="inlineStr"/>
      <c r="BS17" t="inlineStr"/>
      <c r="BT17" t="inlineStr"/>
      <c r="BU17" t="inlineStr"/>
      <c r="BV17" t="inlineStr"/>
      <c r="BW17" t="inlineStr"/>
      <c r="BX17" t="inlineStr"/>
      <c r="BY17" t="inlineStr"/>
      <c r="BZ17" t="inlineStr"/>
      <c r="CA17" t="inlineStr"/>
      <c r="CB17" t="inlineStr"/>
      <c r="CC17" t="inlineStr"/>
      <c r="CD17" t="inlineStr"/>
      <c r="CE17" t="inlineStr"/>
      <c r="CF17" t="inlineStr"/>
      <c r="CG17" t="inlineStr"/>
      <c r="CH17" t="inlineStr"/>
      <c r="CI17" t="inlineStr"/>
      <c r="CJ17" t="inlineStr"/>
      <c r="CK17" t="inlineStr"/>
      <c r="CL17" t="inlineStr"/>
      <c r="CM17" t="inlineStr"/>
      <c r="CN17" t="inlineStr"/>
      <c r="CO17" t="inlineStr"/>
      <c r="CP17" t="inlineStr"/>
      <c r="CQ17" t="inlineStr"/>
      <c r="CR17" t="inlineStr"/>
      <c r="CS17" t="inlineStr"/>
      <c r="CT17" t="inlineStr"/>
      <c r="CU17" t="inlineStr"/>
      <c r="CV17" t="inlineStr"/>
      <c r="CW17" t="inlineStr"/>
      <c r="CX17" t="inlineStr"/>
      <c r="CY17" t="inlineStr"/>
      <c r="CZ17" t="inlineStr"/>
      <c r="DA17" t="inlineStr"/>
      <c r="DB17" t="inlineStr"/>
      <c r="DC17" t="inlineStr"/>
      <c r="DD17" t="inlineStr"/>
      <c r="DE17" t="inlineStr"/>
      <c r="DF17" t="inlineStr"/>
      <c r="DG17" t="inlineStr"/>
      <c r="DH17" t="inlineStr"/>
      <c r="DI17" t="inlineStr"/>
      <c r="DJ17" t="inlineStr"/>
      <c r="DK17" t="inlineStr"/>
      <c r="DL17" t="inlineStr"/>
      <c r="DM17" t="inlineStr"/>
      <c r="DN17" t="inlineStr"/>
      <c r="DO17" t="inlineStr"/>
      <c r="DP17" t="inlineStr"/>
      <c r="DQ17" t="inlineStr"/>
      <c r="DR17" t="inlineStr"/>
      <c r="DS17" t="inlineStr"/>
      <c r="DT17" t="inlineStr"/>
      <c r="DU17" t="inlineStr"/>
      <c r="DV17" t="inlineStr"/>
      <c r="DW17" t="inlineStr"/>
      <c r="DX17" t="inlineStr"/>
      <c r="DY17" t="inlineStr"/>
      <c r="DZ17" t="inlineStr"/>
      <c r="EA17" t="inlineStr"/>
      <c r="EB17" t="inlineStr"/>
      <c r="EC17" t="inlineStr"/>
      <c r="ED17" t="inlineStr"/>
      <c r="EE17" t="inlineStr"/>
      <c r="EF17" t="inlineStr"/>
      <c r="EG17" t="inlineStr"/>
      <c r="EH17" t="inlineStr"/>
      <c r="EI17" t="inlineStr"/>
      <c r="EJ17" t="inlineStr"/>
      <c r="EK17" t="inlineStr"/>
      <c r="EL17" t="inlineStr"/>
      <c r="EM17" t="inlineStr"/>
      <c r="EN17" t="inlineStr"/>
      <c r="EO17" t="inlineStr"/>
      <c r="EP17" t="inlineStr"/>
      <c r="EQ17" t="inlineStr"/>
      <c r="ER17" t="inlineStr"/>
      <c r="ES17" t="inlineStr"/>
      <c r="ET17" t="inlineStr"/>
      <c r="EU17" t="inlineStr"/>
      <c r="EV17" t="inlineStr"/>
      <c r="EW17" t="inlineStr"/>
      <c r="EX17" t="inlineStr"/>
      <c r="EY17" t="inlineStr"/>
      <c r="EZ17" t="inlineStr"/>
      <c r="FA17" t="inlineStr"/>
      <c r="FB17" t="inlineStr"/>
      <c r="FC17" t="inlineStr"/>
      <c r="FD17" t="inlineStr"/>
      <c r="FE17" t="inlineStr"/>
      <c r="FF17" t="inlineStr"/>
      <c r="FG17" t="inlineStr"/>
      <c r="FH17" t="inlineStr"/>
      <c r="FI17" t="inlineStr"/>
      <c r="FJ17" t="inlineStr"/>
      <c r="FK17" t="inlineStr"/>
      <c r="FL17" t="inlineStr"/>
      <c r="FM17" t="inlineStr"/>
      <c r="FN17" t="inlineStr"/>
      <c r="FO17" t="inlineStr"/>
      <c r="FP17" t="inlineStr"/>
      <c r="FQ17" t="inlineStr"/>
      <c r="FR17" t="inlineStr"/>
      <c r="FS17" t="inlineStr"/>
      <c r="FT17" t="inlineStr"/>
      <c r="FU17" t="inlineStr"/>
      <c r="FV17" t="inlineStr"/>
      <c r="FW17" t="inlineStr"/>
      <c r="FX17" t="inlineStr"/>
      <c r="FY17" t="inlineStr"/>
      <c r="FZ17" t="inlineStr"/>
      <c r="GA17" t="inlineStr"/>
      <c r="GB17" t="inlineStr"/>
      <c r="GC17" t="inlineStr"/>
      <c r="GD17" t="inlineStr"/>
      <c r="GE17" t="inlineStr"/>
      <c r="GF17" t="inlineStr"/>
      <c r="GG17" t="inlineStr"/>
      <c r="GH17" t="inlineStr"/>
      <c r="GI17" t="inlineStr"/>
      <c r="GJ17" t="inlineStr"/>
      <c r="GK17" t="inlineStr"/>
      <c r="GL17" t="inlineStr"/>
      <c r="GM17" t="inlineStr"/>
      <c r="GN17" t="inlineStr"/>
      <c r="GO17" t="inlineStr"/>
      <c r="GP17" t="inlineStr"/>
      <c r="GQ17" t="inlineStr"/>
      <c r="GR17" t="inlineStr"/>
      <c r="GS17" t="inlineStr"/>
      <c r="GT17" t="inlineStr"/>
      <c r="GU17" t="inlineStr"/>
      <c r="GV17" t="inlineStr"/>
      <c r="GW17" t="inlineStr"/>
      <c r="GX17" t="inlineStr"/>
      <c r="GY17" t="inlineStr"/>
      <c r="GZ17" t="inlineStr"/>
      <c r="HA17" t="inlineStr"/>
      <c r="HB17" t="inlineStr"/>
      <c r="HC17" t="inlineStr"/>
      <c r="HD17" t="inlineStr"/>
      <c r="HE17" t="inlineStr"/>
      <c r="HF17" t="inlineStr"/>
      <c r="HG17" t="inlineStr"/>
      <c r="HH17" t="inlineStr"/>
      <c r="HI17" t="inlineStr"/>
      <c r="HJ17" t="inlineStr"/>
      <c r="HK17" t="inlineStr"/>
      <c r="HL17" t="inlineStr"/>
      <c r="HM17" t="inlineStr"/>
      <c r="HN17" t="inlineStr"/>
      <c r="HO17" t="inlineStr"/>
      <c r="HP17" t="inlineStr"/>
      <c r="HQ17" t="inlineStr"/>
      <c r="HR17" t="inlineStr"/>
      <c r="HS17" t="inlineStr"/>
      <c r="HT17" t="inlineStr"/>
      <c r="HU17" t="inlineStr"/>
      <c r="HV17" t="inlineStr"/>
      <c r="HW17" t="inlineStr"/>
      <c r="HX17" t="inlineStr"/>
      <c r="HY17" t="inlineStr"/>
      <c r="HZ17" t="inlineStr"/>
      <c r="IA17" t="inlineStr"/>
      <c r="IB17" t="inlineStr"/>
      <c r="IC17" t="inlineStr"/>
      <c r="ID17" t="inlineStr"/>
      <c r="IE17" t="inlineStr"/>
      <c r="IF17" t="inlineStr"/>
      <c r="IG17" t="inlineStr"/>
      <c r="IH17" t="inlineStr"/>
      <c r="II17" t="inlineStr"/>
      <c r="IJ17" t="inlineStr"/>
      <c r="IK17" t="inlineStr"/>
      <c r="IL17" t="inlineStr"/>
      <c r="IM17" t="inlineStr"/>
      <c r="IN17" t="inlineStr"/>
      <c r="IO17" t="inlineStr"/>
      <c r="IP17" t="inlineStr"/>
      <c r="IQ17" t="inlineStr"/>
      <c r="IR17" t="inlineStr"/>
      <c r="IS17">
        <f>IF(input_content_type="",FALSE,ISNUMBER(SEARCH(","&amp;LOWER(input_content_type)&amp;",",","&amp;LOWER(F17)&amp;",")))</f>
        <v/>
      </c>
      <c r="IT17">
        <f>AND(IF(M17="",TRUE,IF(input_affiliations="",FALSE,SUMPRODUCT(--ISNUMBER(SEARCH(","&amp;TRIM(TEXTSPLIT(M17,","))&amp;",",","&amp;SUBSTITUTE(input_affiliations," ","")&amp;",")))&gt;0)),IF(O17="",TRUE,IF(input_affiliations="",FALSE,SUMPRODUCT(--ISNUMBER(SEARCH(","&amp;TRIM(TEXTSPLIT(O17,","))&amp;",",","&amp;SUBSTITUTE(input_affiliations," ","")&amp;",")))=COUNTA(TEXTSPLIT(O17,",")))),IF(Q17="",TRUE,IF(input_affiliations="",TRUE,SUMPRODUCT(--ISNUMBER(SEARCH(","&amp;TRIM(TEXTSPLIT(Q17,","))&amp;",",","&amp;SUBSTITUTE(input_affiliations," ","")&amp;",")))=0)),IF(S17="",TRUE,IF(input_affiliations="",FALSE,SUMPRODUCT(--ISNUMBER(SEARCH(","&amp;TRIM(TEXTSPLIT(S17,","))&amp;",",","&amp;SUBSTITUTE(input_affiliations," ","")&amp;",")))&gt;0)),IF(U17="",TRUE,IF(input_affiliations="",FALSE,SUMPRODUCT(--ISNUMBER(SEARCH(","&amp;TRIM(TEXTSPLIT(U17,","))&amp;",",","&amp;SUBSTITUTE(input_affiliations," ","")&amp;",")))=COUNTA(TEXTSPLIT(U17,",")))))</f>
        <v/>
      </c>
      <c r="IU17">
        <f>AND(IF(W17="",TRUE,IF(input_announcement_category="",FALSE,SUMPRODUCT(--ISNUMBER(SEARCH(","&amp;TRIM(TEXTSPLIT(W17,","))&amp;",",","&amp;SUBSTITUTE(input_announcement_category," ","")&amp;",")))&gt;0)),IF(Y17="",TRUE,IF(input_announcement_category="",FALSE,SUMPRODUCT(--ISNUMBER(SEARCH(","&amp;TRIM(TEXTSPLIT(Y17,","))&amp;",",","&amp;SUBSTITUTE(input_announcement_category," ","")&amp;",")))=COUNTA(TEXTSPLIT(Y17,",")))),IF(AA17="",TRUE,IF(input_announcement_category="",TRUE,SUMPRODUCT(--ISNUMBER(SEARCH(","&amp;TRIM(TEXTSPLIT(AA17,","))&amp;",",","&amp;SUBSTITUTE(input_announcement_category," ","")&amp;",")))=0)),IF(AC17="",TRUE,IF(input_announcement_category="",FALSE,SUMPRODUCT(--ISNUMBER(SEARCH(","&amp;TRIM(TEXTSPLIT(AC17,","))&amp;",",","&amp;SUBSTITUTE(input_announcement_category," ","")&amp;",")))&gt;0)),IF(AE17="",TRUE,IF(input_announcement_category="",FALSE,SUMPRODUCT(--ISNUMBER(SEARCH(","&amp;TRIM(TEXTSPLIT(AE17,","))&amp;",",","&amp;SUBSTITUTE(input_announcement_category," ","")&amp;",")))=COUNTA(TEXTSPLIT(AE17,",")))))</f>
        <v/>
      </c>
      <c r="IV17">
        <f>AND(IF(AG17="",TRUE,IF(input_area_of_focus="",FALSE,SUMPRODUCT(--ISNUMBER(SEARCH(","&amp;TRIM(TEXTSPLIT(AG17,","))&amp;",",","&amp;SUBSTITUTE(input_area_of_focus," ","")&amp;",")))&gt;0)),IF(AI17="",TRUE,IF(input_area_of_focus="",FALSE,SUMPRODUCT(--ISNUMBER(SEARCH(","&amp;TRIM(TEXTSPLIT(AI17,","))&amp;",",","&amp;SUBSTITUTE(input_area_of_focus," ","")&amp;",")))=COUNTA(TEXTSPLIT(AI17,",")))),IF(AK17="",TRUE,IF(input_area_of_focus="",TRUE,SUMPRODUCT(--ISNUMBER(SEARCH(","&amp;TRIM(TEXTSPLIT(AK17,","))&amp;",",","&amp;SUBSTITUTE(input_area_of_focus," ","")&amp;",")))=0)),IF(AM17="",TRUE,IF(input_area_of_focus="",FALSE,SUMPRODUCT(--ISNUMBER(SEARCH(","&amp;TRIM(TEXTSPLIT(AM17,","))&amp;",",","&amp;SUBSTITUTE(input_area_of_focus," ","")&amp;",")))&gt;0)),IF(AO17="",TRUE,IF(input_area_of_focus="",FALSE,SUMPRODUCT(--ISNUMBER(SEARCH(","&amp;TRIM(TEXTSPLIT(AO17,","))&amp;",",","&amp;SUBSTITUTE(input_area_of_focus," ","")&amp;",")))=COUNTA(TEXTSPLIT(AO17,",")))))</f>
        <v/>
      </c>
      <c r="IW17">
        <f>AND(IF(AQ17="",TRUE,IF(input_audience="",FALSE,SUMPRODUCT(--ISNUMBER(SEARCH(","&amp;TRIM(TEXTSPLIT(AQ17,","))&amp;",",","&amp;SUBSTITUTE(input_audience," ","")&amp;",")))&gt;0)),IF(AS17="",TRUE,IF(input_audience="",FALSE,SUMPRODUCT(--ISNUMBER(SEARCH(","&amp;TRIM(TEXTSPLIT(AS17,","))&amp;",",","&amp;SUBSTITUTE(input_audience," ","")&amp;",")))=COUNTA(TEXTSPLIT(AS17,",")))),IF(AU17="",TRUE,IF(input_audience="",TRUE,SUMPRODUCT(--ISNUMBER(SEARCH(","&amp;TRIM(TEXTSPLIT(AU17,","))&amp;",",","&amp;SUBSTITUTE(input_audience," ","")&amp;",")))=0)),IF(AW17="",TRUE,IF(input_audience="",FALSE,SUMPRODUCT(--ISNUMBER(SEARCH(","&amp;TRIM(TEXTSPLIT(AW17,","))&amp;",",","&amp;SUBSTITUTE(input_audience," ","")&amp;",")))&gt;0)),IF(AY17="",TRUE,IF(input_audience="",FALSE,SUMPRODUCT(--ISNUMBER(SEARCH(","&amp;TRIM(TEXTSPLIT(AY17,","))&amp;",",","&amp;SUBSTITUTE(input_audience," ","")&amp;",")))=COUNTA(TEXTSPLIT(AY17,",")))))</f>
        <v/>
      </c>
      <c r="IX17">
        <f>AND(IF(BA17="",TRUE,IF(input_challenge_opportunities="",FALSE,SUMPRODUCT(--ISNUMBER(SEARCH(","&amp;TRIM(TEXTSPLIT(BA17,","))&amp;",",","&amp;SUBSTITUTE(input_challenge_opportunities," ","")&amp;",")))&gt;0)),IF(BC17="",TRUE,IF(input_challenge_opportunities="",FALSE,SUMPRODUCT(--ISNUMBER(SEARCH(","&amp;TRIM(TEXTSPLIT(BC17,","))&amp;",",","&amp;SUBSTITUTE(input_challenge_opportunities," ","")&amp;",")))=COUNTA(TEXTSPLIT(BC17,",")))),IF(BE17="",TRUE,IF(input_challenge_opportunities="",TRUE,SUMPRODUCT(--ISNUMBER(SEARCH(","&amp;TRIM(TEXTSPLIT(BE17,","))&amp;",",","&amp;SUBSTITUTE(input_challenge_opportunities," ","")&amp;",")))=0)),IF(BG17="",TRUE,IF(input_challenge_opportunities="",FALSE,SUMPRODUCT(--ISNUMBER(SEARCH(","&amp;TRIM(TEXTSPLIT(BG17,","))&amp;",",","&amp;SUBSTITUTE(input_challenge_opportunities," ","")&amp;",")))&gt;0)),IF(BI17="",TRUE,IF(input_challenge_opportunities="",FALSE,SUMPRODUCT(--ISNUMBER(SEARCH(","&amp;TRIM(TEXTSPLIT(BI17,","))&amp;",",","&amp;SUBSTITUTE(input_challenge_opportunities," ","")&amp;",")))=COUNTA(TEXTSPLIT(BI17,",")))))</f>
        <v/>
      </c>
      <c r="IY17">
        <f>AND(IF(BK17="",TRUE,IF(input_context="",FALSE,SUMPRODUCT(--ISNUMBER(SEARCH(","&amp;TRIM(TEXTSPLIT(BK17,","))&amp;",",","&amp;SUBSTITUTE(input_context," ","")&amp;",")))&gt;0)),IF(BM17="",TRUE,IF(input_context="",FALSE,SUMPRODUCT(--ISNUMBER(SEARCH(","&amp;TRIM(TEXTSPLIT(BM17,","))&amp;",",","&amp;SUBSTITUTE(input_context," ","")&amp;",")))=COUNTA(TEXTSPLIT(BM17,",")))),IF(BO17="",TRUE,IF(input_context="",TRUE,SUMPRODUCT(--ISNUMBER(SEARCH(","&amp;TRIM(TEXTSPLIT(BO17,","))&amp;",",","&amp;SUBSTITUTE(input_context," ","")&amp;",")))=0)),IF(BQ17="",TRUE,IF(input_context="",FALSE,SUMPRODUCT(--ISNUMBER(SEARCH(","&amp;TRIM(TEXTSPLIT(BQ17,","))&amp;",",","&amp;SUBSTITUTE(input_context," ","")&amp;",")))&gt;0)),IF(BS17="",TRUE,IF(input_context="",FALSE,SUMPRODUCT(--ISNUMBER(SEARCH(","&amp;TRIM(TEXTSPLIT(BS17,","))&amp;",",","&amp;SUBSTITUTE(input_context," ","")&amp;",")))=COUNTA(TEXTSPLIT(BS17,",")))))</f>
        <v/>
      </c>
      <c r="IZ17">
        <f>AND(IF(BU17="",TRUE,IF(input_enews_announcement_type="",FALSE,SUMPRODUCT(--ISNUMBER(SEARCH(","&amp;TRIM(TEXTSPLIT(BU17,","))&amp;",",","&amp;SUBSTITUTE(input_enews_announcement_type," ","")&amp;",")))&gt;0)),IF(BW17="",TRUE,IF(input_enews_announcement_type="",FALSE,SUMPRODUCT(--ISNUMBER(SEARCH(","&amp;TRIM(TEXTSPLIT(BW17,","))&amp;",",","&amp;SUBSTITUTE(input_enews_announcement_type," ","")&amp;",")))=COUNTA(TEXTSPLIT(BW17,",")))),IF(BY17="",TRUE,IF(input_enews_announcement_type="",TRUE,SUMPRODUCT(--ISNUMBER(SEARCH(","&amp;TRIM(TEXTSPLIT(BY17,","))&amp;",",","&amp;SUBSTITUTE(input_enews_announcement_type," ","")&amp;",")))=0)),IF(CA17="",TRUE,IF(input_enews_announcement_type="",FALSE,SUMPRODUCT(--ISNUMBER(SEARCH(","&amp;TRIM(TEXTSPLIT(CA17,","))&amp;",",","&amp;SUBSTITUTE(input_enews_announcement_type," ","")&amp;",")))&gt;0)),IF(CC17="",TRUE,IF(input_enews_announcement_type="",FALSE,SUMPRODUCT(--ISNUMBER(SEARCH(","&amp;TRIM(TEXTSPLIT(CC17,","))&amp;",",","&amp;SUBSTITUTE(input_enews_announcement_type," ","")&amp;",")))=COUNTA(TEXTSPLIT(CC17,",")))))</f>
        <v/>
      </c>
      <c r="JA17">
        <f>AND(IF(CE17="",TRUE,IF(input_enews_audience="",FALSE,SUMPRODUCT(--ISNUMBER(SEARCH(","&amp;TRIM(TEXTSPLIT(CE17,","))&amp;",",","&amp;SUBSTITUTE(input_enews_audience," ","")&amp;",")))&gt;0)),IF(CG17="",TRUE,IF(input_enews_audience="",FALSE,SUMPRODUCT(--ISNUMBER(SEARCH(","&amp;TRIM(TEXTSPLIT(CG17,","))&amp;",",","&amp;SUBSTITUTE(input_enews_audience," ","")&amp;",")))=COUNTA(TEXTSPLIT(CG17,",")))),IF(CI17="",TRUE,IF(input_enews_audience="",TRUE,SUMPRODUCT(--ISNUMBER(SEARCH(","&amp;TRIM(TEXTSPLIT(CI17,","))&amp;",",","&amp;SUBSTITUTE(input_enews_audience," ","")&amp;",")))=0)),IF(CK17="",TRUE,IF(input_enews_audience="",FALSE,SUMPRODUCT(--ISNUMBER(SEARCH(","&amp;TRIM(TEXTSPLIT(CK17,","))&amp;",",","&amp;SUBSTITUTE(input_enews_audience," ","")&amp;",")))&gt;0)),IF(CM17="",TRUE,IF(input_enews_audience="",FALSE,SUMPRODUCT(--ISNUMBER(SEARCH(","&amp;TRIM(TEXTSPLIT(CM17,","))&amp;",",","&amp;SUBSTITUTE(input_enews_audience," ","")&amp;",")))=COUNTA(TEXTSPLIT(CM17,",")))))</f>
        <v/>
      </c>
      <c r="JB17">
        <f>AND(IF(CO17="",TRUE,IF(input_event_location="",FALSE,SUMPRODUCT(--ISNUMBER(SEARCH(","&amp;TRIM(TEXTSPLIT(CO17,","))&amp;",",","&amp;SUBSTITUTE(input_event_location," ","")&amp;",")))&gt;0)),IF(CQ17="",TRUE,IF(input_event_location="",FALSE,SUMPRODUCT(--ISNUMBER(SEARCH(","&amp;TRIM(TEXTSPLIT(CQ17,","))&amp;",",","&amp;SUBSTITUTE(input_event_location," ","")&amp;",")))=COUNTA(TEXTSPLIT(CQ17,",")))),IF(CS17="",TRUE,IF(input_event_location="",TRUE,SUMPRODUCT(--ISNUMBER(SEARCH(","&amp;TRIM(TEXTSPLIT(CS17,","))&amp;",",","&amp;SUBSTITUTE(input_event_location," ","")&amp;",")))=0)),IF(CU17="",TRUE,IF(input_event_location="",FALSE,SUMPRODUCT(--ISNUMBER(SEARCH(","&amp;TRIM(TEXTSPLIT(CU17,","))&amp;",",","&amp;SUBSTITUTE(input_event_location," ","")&amp;",")))&gt;0)),IF(CW17="",TRUE,IF(input_event_location="",FALSE,SUMPRODUCT(--ISNUMBER(SEARCH(","&amp;TRIM(TEXTSPLIT(CW17,","))&amp;",",","&amp;SUBSTITUTE(input_event_location," ","")&amp;",")))=COUNTA(TEXTSPLIT(CW17,",")))))</f>
        <v/>
      </c>
      <c r="JC17">
        <f>AND(IF(CY17="",TRUE,IF(input_event_type="",FALSE,SUMPRODUCT(--ISNUMBER(SEARCH(","&amp;TRIM(TEXTSPLIT(CY17,","))&amp;",",","&amp;SUBSTITUTE(input_event_type," ","")&amp;",")))&gt;0)),IF(DA17="",TRUE,IF(input_event_type="",FALSE,SUMPRODUCT(--ISNUMBER(SEARCH(","&amp;TRIM(TEXTSPLIT(DA17,","))&amp;",",","&amp;SUBSTITUTE(input_event_type," ","")&amp;",")))=COUNTA(TEXTSPLIT(DA17,",")))),IF(DC17="",TRUE,IF(input_event_type="",TRUE,SUMPRODUCT(--ISNUMBER(SEARCH(","&amp;TRIM(TEXTSPLIT(DC17,","))&amp;",",","&amp;SUBSTITUTE(input_event_type," ","")&amp;",")))=0)),IF(DE17="",TRUE,IF(input_event_type="",FALSE,SUMPRODUCT(--ISNUMBER(SEARCH(","&amp;TRIM(TEXTSPLIT(DE17,","))&amp;",",","&amp;SUBSTITUTE(input_event_type," ","")&amp;",")))&gt;0)),IF(DG17="",TRUE,IF(input_event_type="",FALSE,SUMPRODUCT(--ISNUMBER(SEARCH(","&amp;TRIM(TEXTSPLIT(DG17,","))&amp;",",","&amp;SUBSTITUTE(input_event_type," ","")&amp;",")))=COUNTA(TEXTSPLIT(DG17,",")))))</f>
        <v/>
      </c>
      <c r="JD17">
        <f>AND(IF(DI17="",TRUE,IF(input_executive_education_focus="",FALSE,SUMPRODUCT(--ISNUMBER(SEARCH(","&amp;TRIM(TEXTSPLIT(DI17,","))&amp;",",","&amp;SUBSTITUTE(input_executive_education_focus," ","")&amp;",")))&gt;0)),IF(DK17="",TRUE,IF(input_executive_education_focus="",FALSE,SUMPRODUCT(--ISNUMBER(SEARCH(","&amp;TRIM(TEXTSPLIT(DK17,","))&amp;",",","&amp;SUBSTITUTE(input_executive_education_focus," ","")&amp;",")))=COUNTA(TEXTSPLIT(DK17,",")))),IF(DM17="",TRUE,IF(input_executive_education_focus="",TRUE,SUMPRODUCT(--ISNUMBER(SEARCH(","&amp;TRIM(TEXTSPLIT(DM17,","))&amp;",",","&amp;SUBSTITUTE(input_executive_education_focus," ","")&amp;",")))=0)),IF(DO17="",TRUE,IF(input_executive_education_focus="",FALSE,SUMPRODUCT(--ISNUMBER(SEARCH(","&amp;TRIM(TEXTSPLIT(DO17,","))&amp;",",","&amp;SUBSTITUTE(input_executive_education_focus," ","")&amp;",")))&gt;0)),IF(DQ17="",TRUE,IF(input_executive_education_focus="",FALSE,SUMPRODUCT(--ISNUMBER(SEARCH(","&amp;TRIM(TEXTSPLIT(DQ17,","))&amp;",",","&amp;SUBSTITUTE(input_executive_education_focus," ","")&amp;",")))=COUNTA(TEXTSPLIT(DQ17,",")))))</f>
        <v/>
      </c>
      <c r="JE17">
        <f>AND(IF(DS17="",TRUE,IF(input_faculty_category="",FALSE,SUMPRODUCT(--ISNUMBER(SEARCH(","&amp;TRIM(TEXTSPLIT(DS17,","))&amp;",",","&amp;SUBSTITUTE(input_faculty_category," ","")&amp;",")))&gt;0)),IF(DU17="",TRUE,IF(input_faculty_category="",FALSE,SUMPRODUCT(--ISNUMBER(SEARCH(","&amp;TRIM(TEXTSPLIT(DU17,","))&amp;",",","&amp;SUBSTITUTE(input_faculty_category," ","")&amp;",")))=COUNTA(TEXTSPLIT(DU17,",")))),IF(DW17="",TRUE,IF(input_faculty_category="",TRUE,SUMPRODUCT(--ISNUMBER(SEARCH(","&amp;TRIM(TEXTSPLIT(DW17,","))&amp;",",","&amp;SUBSTITUTE(input_faculty_category," ","")&amp;",")))=0)),IF(DY17="",TRUE,IF(input_faculty_category="",FALSE,SUMPRODUCT(--ISNUMBER(SEARCH(","&amp;TRIM(TEXTSPLIT(DY17,","))&amp;",",","&amp;SUBSTITUTE(input_faculty_category," ","")&amp;",")))&gt;0)),IF(EA17="",TRUE,IF(input_faculty_category="",FALSE,SUMPRODUCT(--ISNUMBER(SEARCH(","&amp;TRIM(TEXTSPLIT(EA17,","))&amp;",",","&amp;SUBSTITUTE(input_faculty_category," ","")&amp;",")))=COUNTA(TEXTSPLIT(EA17,",")))))</f>
        <v/>
      </c>
      <c r="JF17">
        <f>AND(IF(EC17="",TRUE,IF(input_faculty_discipline="",FALSE,SUMPRODUCT(--ISNUMBER(SEARCH(","&amp;TRIM(TEXTSPLIT(EC17,","))&amp;",",","&amp;SUBSTITUTE(input_faculty_discipline," ","")&amp;",")))&gt;0)),IF(EE17="",TRUE,IF(input_faculty_discipline="",FALSE,SUMPRODUCT(--ISNUMBER(SEARCH(","&amp;TRIM(TEXTSPLIT(EE17,","))&amp;",",","&amp;SUBSTITUTE(input_faculty_discipline," ","")&amp;",")))=COUNTA(TEXTSPLIT(EE17,",")))),IF(EG17="",TRUE,IF(input_faculty_discipline="",TRUE,SUMPRODUCT(--ISNUMBER(SEARCH(","&amp;TRIM(TEXTSPLIT(EG17,","))&amp;",",","&amp;SUBSTITUTE(input_faculty_discipline," ","")&amp;",")))=0)),IF(EI17="",TRUE,IF(input_faculty_discipline="",FALSE,SUMPRODUCT(--ISNUMBER(SEARCH(","&amp;TRIM(TEXTSPLIT(EI17,","))&amp;",",","&amp;SUBSTITUTE(input_faculty_discipline," ","")&amp;",")))&gt;0)),IF(EK17="",TRUE,IF(input_faculty_discipline="",FALSE,SUMPRODUCT(--ISNUMBER(SEARCH(","&amp;TRIM(TEXTSPLIT(EK17,","))&amp;",",","&amp;SUBSTITUTE(input_faculty_discipline," ","")&amp;",")))=COUNTA(TEXTSPLIT(EK17,",")))))</f>
        <v/>
      </c>
      <c r="JG17">
        <f>AND(IF(EM17="",TRUE,IF(input_faculty_expertise="",FALSE,SUMPRODUCT(--ISNUMBER(SEARCH(","&amp;TRIM(TEXTSPLIT(EM17,","))&amp;",",","&amp;SUBSTITUTE(input_faculty_expertise," ","")&amp;",")))&gt;0)),IF(EO17="",TRUE,IF(input_faculty_expertise="",FALSE,SUMPRODUCT(--ISNUMBER(SEARCH(","&amp;TRIM(TEXTSPLIT(EO17,","))&amp;",",","&amp;SUBSTITUTE(input_faculty_expertise," ","")&amp;",")))=COUNTA(TEXTSPLIT(EO17,",")))),IF(EQ17="",TRUE,IF(input_faculty_expertise="",TRUE,SUMPRODUCT(--ISNUMBER(SEARCH(","&amp;TRIM(TEXTSPLIT(EQ17,","))&amp;",",","&amp;SUBSTITUTE(input_faculty_expertise," ","")&amp;",")))=0)),IF(ES17="",TRUE,IF(input_faculty_expertise="",FALSE,SUMPRODUCT(--ISNUMBER(SEARCH(","&amp;TRIM(TEXTSPLIT(ES17,","))&amp;",",","&amp;SUBSTITUTE(input_faculty_expertise," ","")&amp;",")))&gt;0)),IF(EU17="",TRUE,IF(input_faculty_expertise="",FALSE,SUMPRODUCT(--ISNUMBER(SEARCH(","&amp;TRIM(TEXTSPLIT(EU17,","))&amp;",",","&amp;SUBSTITUTE(input_faculty_expertise," ","")&amp;",")))=COUNTA(TEXTSPLIT(EU17,",")))))</f>
        <v/>
      </c>
      <c r="JH17">
        <f>AND(IF(EW17="",TRUE,IF(input_global_network_school="",FALSE,SUMPRODUCT(--ISNUMBER(SEARCH(","&amp;TRIM(TEXTSPLIT(EW17,","))&amp;",",","&amp;SUBSTITUTE(input_global_network_school," ","")&amp;",")))&gt;0)),IF(EY17="",TRUE,IF(input_global_network_school="",FALSE,SUMPRODUCT(--ISNUMBER(SEARCH(","&amp;TRIM(TEXTSPLIT(EY17,","))&amp;",",","&amp;SUBSTITUTE(input_global_network_school," ","")&amp;",")))=COUNTA(TEXTSPLIT(EY17,",")))),IF(FA17="",TRUE,IF(input_global_network_school="",TRUE,SUMPRODUCT(--ISNUMBER(SEARCH(","&amp;TRIM(TEXTSPLIT(FA17,","))&amp;",",","&amp;SUBSTITUTE(input_global_network_school," ","")&amp;",")))=0)),IF(FC17="",TRUE,IF(input_global_network_school="",FALSE,SUMPRODUCT(--ISNUMBER(SEARCH(","&amp;TRIM(TEXTSPLIT(FC17,","))&amp;",",","&amp;SUBSTITUTE(input_global_network_school," ","")&amp;",")))&gt;0)),IF(FE17="",TRUE,IF(input_global_network_school="",FALSE,SUMPRODUCT(--ISNUMBER(SEARCH(","&amp;TRIM(TEXTSPLIT(FE17,","))&amp;",",","&amp;SUBSTITUTE(input_global_network_school," ","")&amp;",")))=COUNTA(TEXTSPLIT(FE17,",")))))</f>
        <v/>
      </c>
      <c r="JI17">
        <f>AND(IF(FG17="",TRUE,IF(input_industry="",FALSE,SUMPRODUCT(--ISNUMBER(SEARCH(","&amp;TRIM(TEXTSPLIT(FG17,","))&amp;",",","&amp;SUBSTITUTE(input_industry," ","")&amp;",")))&gt;0)),IF(FI17="",TRUE,IF(input_industry="",FALSE,SUMPRODUCT(--ISNUMBER(SEARCH(","&amp;TRIM(TEXTSPLIT(FI17,","))&amp;",",","&amp;SUBSTITUTE(input_industry," ","")&amp;",")))=COUNTA(TEXTSPLIT(FI17,",")))),IF(FK17="",TRUE,IF(input_industry="",TRUE,SUMPRODUCT(--ISNUMBER(SEARCH(","&amp;TRIM(TEXTSPLIT(FK17,","))&amp;",",","&amp;SUBSTITUTE(input_industry," ","")&amp;",")))=0)),IF(FM17="",TRUE,IF(input_industry="",FALSE,SUMPRODUCT(--ISNUMBER(SEARCH(","&amp;TRIM(TEXTSPLIT(FM17,","))&amp;",",","&amp;SUBSTITUTE(input_industry," ","")&amp;",")))&gt;0)),IF(FO17="",TRUE,IF(input_industry="",FALSE,SUMPRODUCT(--ISNUMBER(SEARCH(","&amp;TRIM(TEXTSPLIT(FO17,","))&amp;",",","&amp;SUBSTITUTE(input_industry," ","")&amp;",")))=COUNTA(TEXTSPLIT(FO17,",")))))</f>
        <v/>
      </c>
      <c r="JJ17">
        <f>AND(IF(FQ17="",TRUE,IF(input_location="",FALSE,SUMPRODUCT(--ISNUMBER(SEARCH(","&amp;TRIM(TEXTSPLIT(FQ17,","))&amp;",",","&amp;SUBSTITUTE(input_location," ","")&amp;",")))&gt;0)),IF(FS17="",TRUE,IF(input_location="",FALSE,SUMPRODUCT(--ISNUMBER(SEARCH(","&amp;TRIM(TEXTSPLIT(FS17,","))&amp;",",","&amp;SUBSTITUTE(input_location," ","")&amp;",")))=COUNTA(TEXTSPLIT(FS17,",")))),IF(FU17="",TRUE,IF(input_location="",TRUE,SUMPRODUCT(--ISNUMBER(SEARCH(","&amp;TRIM(TEXTSPLIT(FU17,","))&amp;",",","&amp;SUBSTITUTE(input_location," ","")&amp;",")))=0)),IF(FW17="",TRUE,IF(input_location="",FALSE,SUMPRODUCT(--ISNUMBER(SEARCH(","&amp;TRIM(TEXTSPLIT(FW17,","))&amp;",",","&amp;SUBSTITUTE(input_location," ","")&amp;",")))&gt;0)),IF(FY17="",TRUE,IF(input_location="",FALSE,SUMPRODUCT(--ISNUMBER(SEARCH(","&amp;TRIM(TEXTSPLIT(FY17,","))&amp;",",","&amp;SUBSTITUTE(input_location," ","")&amp;",")))=COUNTA(TEXTSPLIT(FY17,",")))))</f>
        <v/>
      </c>
      <c r="JK17">
        <f>AND(IF(GA17="",TRUE,IF(input_modality="",FALSE,SUMPRODUCT(--ISNUMBER(SEARCH(","&amp;TRIM(TEXTSPLIT(GA17,","))&amp;",",","&amp;SUBSTITUTE(input_modality," ","")&amp;",")))&gt;0)),IF(GC17="",TRUE,IF(input_modality="",FALSE,SUMPRODUCT(--ISNUMBER(SEARCH(","&amp;TRIM(TEXTSPLIT(GC17,","))&amp;",",","&amp;SUBSTITUTE(input_modality," ","")&amp;",")))=COUNTA(TEXTSPLIT(GC17,",")))),IF(GE17="",TRUE,IF(input_modality="",TRUE,SUMPRODUCT(--ISNUMBER(SEARCH(","&amp;TRIM(TEXTSPLIT(GE17,","))&amp;",",","&amp;SUBSTITUTE(input_modality," ","")&amp;",")))=0)),IF(GG17="",TRUE,IF(input_modality="",FALSE,SUMPRODUCT(--ISNUMBER(SEARCH(","&amp;TRIM(TEXTSPLIT(GG17,","))&amp;",",","&amp;SUBSTITUTE(input_modality," ","")&amp;",")))&gt;0)),IF(GI17="",TRUE,IF(input_modality="",FALSE,SUMPRODUCT(--ISNUMBER(SEARCH(","&amp;TRIM(TEXTSPLIT(GI17,","))&amp;",",","&amp;SUBSTITUTE(input_modality," ","")&amp;",")))=COUNTA(TEXTSPLIT(GI17,",")))))</f>
        <v/>
      </c>
      <c r="JL17">
        <f>AND(IF(GK17="",TRUE,IF(input_organizer="",FALSE,SUMPRODUCT(--ISNUMBER(SEARCH(","&amp;TRIM(TEXTSPLIT(GK17,","))&amp;",",","&amp;SUBSTITUTE(input_organizer," ","")&amp;",")))&gt;0)),IF(GM17="",TRUE,IF(input_organizer="",FALSE,SUMPRODUCT(--ISNUMBER(SEARCH(","&amp;TRIM(TEXTSPLIT(GM17,","))&amp;",",","&amp;SUBSTITUTE(input_organizer," ","")&amp;",")))=COUNTA(TEXTSPLIT(GM17,",")))),IF(GO17="",TRUE,IF(input_organizer="",TRUE,SUMPRODUCT(--ISNUMBER(SEARCH(","&amp;TRIM(TEXTSPLIT(GO17,","))&amp;",",","&amp;SUBSTITUTE(input_organizer," ","")&amp;",")))=0)),IF(GQ17="",TRUE,IF(input_organizer="",FALSE,SUMPRODUCT(--ISNUMBER(SEARCH(","&amp;TRIM(TEXTSPLIT(GQ17,","))&amp;",",","&amp;SUBSTITUTE(input_organizer," ","")&amp;",")))&gt;0)),IF(GS17="",TRUE,IF(input_organizer="",FALSE,SUMPRODUCT(--ISNUMBER(SEARCH(","&amp;TRIM(TEXTSPLIT(GS17,","))&amp;",",","&amp;SUBSTITUTE(input_organizer," ","")&amp;",")))=COUNTA(TEXTSPLIT(GS17,",")))))</f>
        <v/>
      </c>
      <c r="JM17">
        <f>AND(IF(GU17="",TRUE,IF(input_profile_type="",FALSE,SUMPRODUCT(--ISNUMBER(SEARCH(","&amp;TRIM(TEXTSPLIT(GU17,","))&amp;",",","&amp;SUBSTITUTE(input_profile_type," ","")&amp;",")))&gt;0)),IF(GW17="",TRUE,IF(input_profile_type="",FALSE,SUMPRODUCT(--ISNUMBER(SEARCH(","&amp;TRIM(TEXTSPLIT(GW17,","))&amp;",",","&amp;SUBSTITUTE(input_profile_type," ","")&amp;",")))=COUNTA(TEXTSPLIT(GW17,",")))),IF(GY17="",TRUE,IF(input_profile_type="",TRUE,SUMPRODUCT(--ISNUMBER(SEARCH(","&amp;TRIM(TEXTSPLIT(GY17,","))&amp;",",","&amp;SUBSTITUTE(input_profile_type," ","")&amp;",")))=0)),IF(HA17="",TRUE,IF(input_profile_type="",FALSE,SUMPRODUCT(--ISNUMBER(SEARCH(","&amp;TRIM(TEXTSPLIT(HA17,","))&amp;",",","&amp;SUBSTITUTE(input_profile_type," ","")&amp;",")))&gt;0)),IF(HC17="",TRUE,IF(input_profile_type="",FALSE,SUMPRODUCT(--ISNUMBER(SEARCH(","&amp;TRIM(TEXTSPLIT(HC17,","))&amp;",",","&amp;SUBSTITUTE(input_profile_type," ","")&amp;",")))=COUNTA(TEXTSPLIT(HC17,",")))))</f>
        <v/>
      </c>
      <c r="JN17">
        <f>AND(IF(HE17="",TRUE,IF(input_program="",FALSE,SUMPRODUCT(--ISNUMBER(SEARCH(","&amp;TRIM(TEXTSPLIT(HE17,","))&amp;",",","&amp;SUBSTITUTE(input_program," ","")&amp;",")))&gt;0)),IF(HG17="",TRUE,IF(input_program="",FALSE,SUMPRODUCT(--ISNUMBER(SEARCH(","&amp;TRIM(TEXTSPLIT(HG17,","))&amp;",",","&amp;SUBSTITUTE(input_program," ","")&amp;",")))=COUNTA(TEXTSPLIT(HG17,",")))),IF(HI17="",TRUE,IF(input_program="",TRUE,SUMPRODUCT(--ISNUMBER(SEARCH(","&amp;TRIM(TEXTSPLIT(HI17,","))&amp;",",","&amp;SUBSTITUTE(input_program," ","")&amp;",")))=0)),IF(HK17="",TRUE,IF(input_program="",FALSE,SUMPRODUCT(--ISNUMBER(SEARCH(","&amp;TRIM(TEXTSPLIT(HK17,","))&amp;",",","&amp;SUBSTITUTE(input_program," ","")&amp;",")))&gt;0)),IF(HM17="",TRUE,IF(input_program="",FALSE,SUMPRODUCT(--ISNUMBER(SEARCH(","&amp;TRIM(TEXTSPLIT(HM17,","))&amp;",",","&amp;SUBSTITUTE(input_program," ","")&amp;",")))=COUNTA(TEXTSPLIT(HM17,",")))))</f>
        <v/>
      </c>
      <c r="JO17">
        <f>AND(IF(HO17="",TRUE,IF(input_story_categories="",FALSE,SUMPRODUCT(--ISNUMBER(SEARCH(","&amp;TRIM(TEXTSPLIT(HO17,","))&amp;",",","&amp;SUBSTITUTE(input_story_categories," ","")&amp;",")))&gt;0)),IF(HQ17="",TRUE,IF(input_story_categories="",FALSE,SUMPRODUCT(--ISNUMBER(SEARCH(","&amp;TRIM(TEXTSPLIT(HQ17,","))&amp;",",","&amp;SUBSTITUTE(input_story_categories," ","")&amp;",")))=COUNTA(TEXTSPLIT(HQ17,",")))),IF(HS17="",TRUE,IF(input_story_categories="",TRUE,SUMPRODUCT(--ISNUMBER(SEARCH(","&amp;TRIM(TEXTSPLIT(HS17,","))&amp;",",","&amp;SUBSTITUTE(input_story_categories," ","")&amp;",")))=0)),IF(HU17="",TRUE,IF(input_story_categories="",FALSE,SUMPRODUCT(--ISNUMBER(SEARCH(","&amp;TRIM(TEXTSPLIT(HU17,","))&amp;",",","&amp;SUBSTITUTE(input_story_categories," ","")&amp;",")))&gt;0)),IF(HW17="",TRUE,IF(input_story_categories="",FALSE,SUMPRODUCT(--ISNUMBER(SEARCH(","&amp;TRIM(TEXTSPLIT(HW17,","))&amp;",",","&amp;SUBSTITUTE(input_story_categories," ","")&amp;",")))=COUNTA(TEXTSPLIT(HW17,",")))))</f>
        <v/>
      </c>
      <c r="JP17">
        <f>AND(IF(HY17="",TRUE,IF(input_story_type="",FALSE,SUMPRODUCT(--ISNUMBER(SEARCH(","&amp;TRIM(TEXTSPLIT(HY17,","))&amp;",",","&amp;SUBSTITUTE(input_story_type," ","")&amp;",")))&gt;0)),IF(IA17="",TRUE,IF(input_story_type="",FALSE,SUMPRODUCT(--ISNUMBER(SEARCH(","&amp;TRIM(TEXTSPLIT(IA17,","))&amp;",",","&amp;SUBSTITUTE(input_story_type," ","")&amp;",")))=COUNTA(TEXTSPLIT(IA17,",")))),IF(IC17="",TRUE,IF(input_story_type="",TRUE,SUMPRODUCT(--ISNUMBER(SEARCH(","&amp;TRIM(TEXTSPLIT(IC17,","))&amp;",",","&amp;SUBSTITUTE(input_story_type," ","")&amp;",")))=0)),IF(IE17="",TRUE,IF(input_story_type="",FALSE,SUMPRODUCT(--ISNUMBER(SEARCH(","&amp;TRIM(TEXTSPLIT(IE17,","))&amp;",",","&amp;SUBSTITUTE(input_story_type," ","")&amp;",")))&gt;0)),IF(IG17="",TRUE,IF(input_story_type="",FALSE,SUMPRODUCT(--ISNUMBER(SEARCH(","&amp;TRIM(TEXTSPLIT(IG17,","))&amp;",",","&amp;SUBSTITUTE(input_story_type," ","")&amp;",")))=COUNTA(TEXTSPLIT(IG17,",")))))</f>
        <v/>
      </c>
      <c r="JQ17">
        <f>AND(IF(II17="",TRUE,IF(input_topics="",FALSE,SUMPRODUCT(--ISNUMBER(SEARCH(","&amp;TRIM(TEXTSPLIT(II17,","))&amp;",",","&amp;SUBSTITUTE(input_topics," ","")&amp;",")))&gt;0)),IF(IK17="",TRUE,IF(input_topics="",FALSE,SUMPRODUCT(--ISNUMBER(SEARCH(","&amp;TRIM(TEXTSPLIT(IK17,","))&amp;",",","&amp;SUBSTITUTE(input_topics," ","")&amp;",")))=COUNTA(TEXTSPLIT(IK17,",")))),IF(IM17="",TRUE,IF(input_topics="",TRUE,SUMPRODUCT(--ISNUMBER(SEARCH(","&amp;TRIM(TEXTSPLIT(IM17,","))&amp;",",","&amp;SUBSTITUTE(input_topics," ","")&amp;",")))=0)),IF(IO17="",TRUE,IF(input_topics="",FALSE,SUMPRODUCT(--ISNUMBER(SEARCH(","&amp;TRIM(TEXTSPLIT(IO17,","))&amp;",",","&amp;SUBSTITUTE(input_topics," ","")&amp;",")))&gt;0)),IF(IQ17="",TRUE,IF(input_topics="",FALSE,SUMPRODUCT(--ISNUMBER(SEARCH(","&amp;TRIM(TEXTSPLIT(IQ17,","))&amp;",",","&amp;SUBSTITUTE(input_topics," ","")&amp;",")))=COUNTA(TEXTSPLIT(IQ17,",")))))</f>
        <v/>
      </c>
    </row>
    <row r="18">
      <c r="A18" s="4">
        <f>IF(NOT(IS18),"Excluded",IF(AND(IT18,IU18,IV18,IW18,IX18,IY18,IZ18,JA18,JB18,JC18,JD18,JE18,JF18,JG18,JH18,JI18,JJ18,JK18,JL18,JM18,JN18,JO18,JP18,JQ18),IF(I18&gt;0,"Eligible but limited","Will appear"),"Excluded"))</f>
        <v/>
      </c>
      <c r="B18" s="4" t="inlineStr">
        <is>
          <t>All Publications by Author</t>
        </is>
      </c>
      <c r="C18" s="4" t="inlineStr">
        <is>
          <t>/faculty-research/faculty-directory/anjani-jain</t>
        </is>
      </c>
      <c r="D18" s="4" t="inlineStr">
        <is>
          <t>/faculty-research/faculty-directory/anjani-jain</t>
        </is>
      </c>
      <c r="E18" s="4" t="n">
        <v>1</v>
      </c>
      <c r="F18" s="4" t="inlineStr">
        <is>
          <t>publications</t>
        </is>
      </c>
      <c r="G18" s="4" t="inlineStr">
        <is>
          <t>publication_teaser_list</t>
        </is>
      </c>
      <c r="H18" s="4" t="inlineStr">
        <is>
          <t>publication_teaser_list_all_by_author</t>
        </is>
      </c>
      <c r="I18" s="4" t="inlineStr"/>
      <c r="J18" s="4" t="inlineStr">
        <is>
          <t>View/config rules</t>
        </is>
      </c>
      <c r="K18" s="4" t="inlineStr">
        <is>
          <t>Page placement</t>
        </is>
      </c>
      <c r="L18" s="4" t="inlineStr">
        <is>
          <t>Content type: publications; Source: View/config rules</t>
        </is>
      </c>
      <c r="M18" t="inlineStr"/>
      <c r="N18" t="inlineStr"/>
      <c r="O18" t="inlineStr"/>
      <c r="P18" t="inlineStr"/>
      <c r="Q18" t="inlineStr"/>
      <c r="R18" t="inlineStr"/>
      <c r="S18" t="inlineStr"/>
      <c r="T18" t="inlineStr"/>
      <c r="U18" t="inlineStr"/>
      <c r="V18" t="inlineStr"/>
      <c r="W18" t="inlineStr"/>
      <c r="X18" t="inlineStr"/>
      <c r="Y18" t="inlineStr"/>
      <c r="Z18" t="inlineStr"/>
      <c r="AA18" t="inlineStr"/>
      <c r="AB18" t="inlineStr"/>
      <c r="AC18" t="inlineStr"/>
      <c r="AD18" t="inlineStr"/>
      <c r="AE18" t="inlineStr"/>
      <c r="AF18" t="inlineStr"/>
      <c r="AG18" t="inlineStr"/>
      <c r="AH18" t="inlineStr"/>
      <c r="AI18" t="inlineStr"/>
      <c r="AJ18" t="inlineStr"/>
      <c r="AK18" t="inlineStr"/>
      <c r="AL18" t="inlineStr"/>
      <c r="AM18" t="inlineStr"/>
      <c r="AN18" t="inlineStr"/>
      <c r="AO18" t="inlineStr"/>
      <c r="AP18" t="inlineStr"/>
      <c r="AQ18" t="inlineStr"/>
      <c r="AR18" t="inlineStr"/>
      <c r="AS18" t="inlineStr"/>
      <c r="AT18" t="inlineStr"/>
      <c r="AU18" t="inlineStr"/>
      <c r="AV18" t="inlineStr"/>
      <c r="AW18" t="inlineStr"/>
      <c r="AX18" t="inlineStr"/>
      <c r="AY18" t="inlineStr"/>
      <c r="AZ18" t="inlineStr"/>
      <c r="BA18" t="inlineStr"/>
      <c r="BB18" t="inlineStr"/>
      <c r="BC18" t="inlineStr"/>
      <c r="BD18" t="inlineStr"/>
      <c r="BE18" t="inlineStr"/>
      <c r="BF18" t="inlineStr"/>
      <c r="BG18" t="inlineStr"/>
      <c r="BH18" t="inlineStr"/>
      <c r="BI18" t="inlineStr"/>
      <c r="BJ18" t="inlineStr"/>
      <c r="BK18" t="inlineStr"/>
      <c r="BL18" t="inlineStr"/>
      <c r="BM18" t="inlineStr"/>
      <c r="BN18" t="inlineStr"/>
      <c r="BO18" t="inlineStr"/>
      <c r="BP18" t="inlineStr"/>
      <c r="BQ18" t="inlineStr"/>
      <c r="BR18" t="inlineStr"/>
      <c r="BS18" t="inlineStr"/>
      <c r="BT18" t="inlineStr"/>
      <c r="BU18" t="inlineStr"/>
      <c r="BV18" t="inlineStr"/>
      <c r="BW18" t="inlineStr"/>
      <c r="BX18" t="inlineStr"/>
      <c r="BY18" t="inlineStr"/>
      <c r="BZ18" t="inlineStr"/>
      <c r="CA18" t="inlineStr"/>
      <c r="CB18" t="inlineStr"/>
      <c r="CC18" t="inlineStr"/>
      <c r="CD18" t="inlineStr"/>
      <c r="CE18" t="inlineStr"/>
      <c r="CF18" t="inlineStr"/>
      <c r="CG18" t="inlineStr"/>
      <c r="CH18" t="inlineStr"/>
      <c r="CI18" t="inlineStr"/>
      <c r="CJ18" t="inlineStr"/>
      <c r="CK18" t="inlineStr"/>
      <c r="CL18" t="inlineStr"/>
      <c r="CM18" t="inlineStr"/>
      <c r="CN18" t="inlineStr"/>
      <c r="CO18" t="inlineStr"/>
      <c r="CP18" t="inlineStr"/>
      <c r="CQ18" t="inlineStr"/>
      <c r="CR18" t="inlineStr"/>
      <c r="CS18" t="inlineStr"/>
      <c r="CT18" t="inlineStr"/>
      <c r="CU18" t="inlineStr"/>
      <c r="CV18" t="inlineStr"/>
      <c r="CW18" t="inlineStr"/>
      <c r="CX18" t="inlineStr"/>
      <c r="CY18" t="inlineStr"/>
      <c r="CZ18" t="inlineStr"/>
      <c r="DA18" t="inlineStr"/>
      <c r="DB18" t="inlineStr"/>
      <c r="DC18" t="inlineStr"/>
      <c r="DD18" t="inlineStr"/>
      <c r="DE18" t="inlineStr"/>
      <c r="DF18" t="inlineStr"/>
      <c r="DG18" t="inlineStr"/>
      <c r="DH18" t="inlineStr"/>
      <c r="DI18" t="inlineStr"/>
      <c r="DJ18" t="inlineStr"/>
      <c r="DK18" t="inlineStr"/>
      <c r="DL18" t="inlineStr"/>
      <c r="DM18" t="inlineStr"/>
      <c r="DN18" t="inlineStr"/>
      <c r="DO18" t="inlineStr"/>
      <c r="DP18" t="inlineStr"/>
      <c r="DQ18" t="inlineStr"/>
      <c r="DR18" t="inlineStr"/>
      <c r="DS18" t="inlineStr"/>
      <c r="DT18" t="inlineStr"/>
      <c r="DU18" t="inlineStr"/>
      <c r="DV18" t="inlineStr"/>
      <c r="DW18" t="inlineStr"/>
      <c r="DX18" t="inlineStr"/>
      <c r="DY18" t="inlineStr"/>
      <c r="DZ18" t="inlineStr"/>
      <c r="EA18" t="inlineStr"/>
      <c r="EB18" t="inlineStr"/>
      <c r="EC18" t="inlineStr"/>
      <c r="ED18" t="inlineStr"/>
      <c r="EE18" t="inlineStr"/>
      <c r="EF18" t="inlineStr"/>
      <c r="EG18" t="inlineStr"/>
      <c r="EH18" t="inlineStr"/>
      <c r="EI18" t="inlineStr"/>
      <c r="EJ18" t="inlineStr"/>
      <c r="EK18" t="inlineStr"/>
      <c r="EL18" t="inlineStr"/>
      <c r="EM18" t="inlineStr"/>
      <c r="EN18" t="inlineStr"/>
      <c r="EO18" t="inlineStr"/>
      <c r="EP18" t="inlineStr"/>
      <c r="EQ18" t="inlineStr"/>
      <c r="ER18" t="inlineStr"/>
      <c r="ES18" t="inlineStr"/>
      <c r="ET18" t="inlineStr"/>
      <c r="EU18" t="inlineStr"/>
      <c r="EV18" t="inlineStr"/>
      <c r="EW18" t="inlineStr"/>
      <c r="EX18" t="inlineStr"/>
      <c r="EY18" t="inlineStr"/>
      <c r="EZ18" t="inlineStr"/>
      <c r="FA18" t="inlineStr"/>
      <c r="FB18" t="inlineStr"/>
      <c r="FC18" t="inlineStr"/>
      <c r="FD18" t="inlineStr"/>
      <c r="FE18" t="inlineStr"/>
      <c r="FF18" t="inlineStr"/>
      <c r="FG18" t="inlineStr"/>
      <c r="FH18" t="inlineStr"/>
      <c r="FI18" t="inlineStr"/>
      <c r="FJ18" t="inlineStr"/>
      <c r="FK18" t="inlineStr"/>
      <c r="FL18" t="inlineStr"/>
      <c r="FM18" t="inlineStr"/>
      <c r="FN18" t="inlineStr"/>
      <c r="FO18" t="inlineStr"/>
      <c r="FP18" t="inlineStr"/>
      <c r="FQ18" t="inlineStr"/>
      <c r="FR18" t="inlineStr"/>
      <c r="FS18" t="inlineStr"/>
      <c r="FT18" t="inlineStr"/>
      <c r="FU18" t="inlineStr"/>
      <c r="FV18" t="inlineStr"/>
      <c r="FW18" t="inlineStr"/>
      <c r="FX18" t="inlineStr"/>
      <c r="FY18" t="inlineStr"/>
      <c r="FZ18" t="inlineStr"/>
      <c r="GA18" t="inlineStr"/>
      <c r="GB18" t="inlineStr"/>
      <c r="GC18" t="inlineStr"/>
      <c r="GD18" t="inlineStr"/>
      <c r="GE18" t="inlineStr"/>
      <c r="GF18" t="inlineStr"/>
      <c r="GG18" t="inlineStr"/>
      <c r="GH18" t="inlineStr"/>
      <c r="GI18" t="inlineStr"/>
      <c r="GJ18" t="inlineStr"/>
      <c r="GK18" t="inlineStr"/>
      <c r="GL18" t="inlineStr"/>
      <c r="GM18" t="inlineStr"/>
      <c r="GN18" t="inlineStr"/>
      <c r="GO18" t="inlineStr"/>
      <c r="GP18" t="inlineStr"/>
      <c r="GQ18" t="inlineStr"/>
      <c r="GR18" t="inlineStr"/>
      <c r="GS18" t="inlineStr"/>
      <c r="GT18" t="inlineStr"/>
      <c r="GU18" t="inlineStr"/>
      <c r="GV18" t="inlineStr"/>
      <c r="GW18" t="inlineStr"/>
      <c r="GX18" t="inlineStr"/>
      <c r="GY18" t="inlineStr"/>
      <c r="GZ18" t="inlineStr"/>
      <c r="HA18" t="inlineStr"/>
      <c r="HB18" t="inlineStr"/>
      <c r="HC18" t="inlineStr"/>
      <c r="HD18" t="inlineStr"/>
      <c r="HE18" t="inlineStr"/>
      <c r="HF18" t="inlineStr"/>
      <c r="HG18" t="inlineStr"/>
      <c r="HH18" t="inlineStr"/>
      <c r="HI18" t="inlineStr"/>
      <c r="HJ18" t="inlineStr"/>
      <c r="HK18" t="inlineStr"/>
      <c r="HL18" t="inlineStr"/>
      <c r="HM18" t="inlineStr"/>
      <c r="HN18" t="inlineStr"/>
      <c r="HO18" t="inlineStr"/>
      <c r="HP18" t="inlineStr"/>
      <c r="HQ18" t="inlineStr"/>
      <c r="HR18" t="inlineStr"/>
      <c r="HS18" t="inlineStr"/>
      <c r="HT18" t="inlineStr"/>
      <c r="HU18" t="inlineStr"/>
      <c r="HV18" t="inlineStr"/>
      <c r="HW18" t="inlineStr"/>
      <c r="HX18" t="inlineStr"/>
      <c r="HY18" t="inlineStr"/>
      <c r="HZ18" t="inlineStr"/>
      <c r="IA18" t="inlineStr"/>
      <c r="IB18" t="inlineStr"/>
      <c r="IC18" t="inlineStr"/>
      <c r="ID18" t="inlineStr"/>
      <c r="IE18" t="inlineStr"/>
      <c r="IF18" t="inlineStr"/>
      <c r="IG18" t="inlineStr"/>
      <c r="IH18" t="inlineStr"/>
      <c r="II18" t="inlineStr"/>
      <c r="IJ18" t="inlineStr"/>
      <c r="IK18" t="inlineStr"/>
      <c r="IL18" t="inlineStr"/>
      <c r="IM18" t="inlineStr"/>
      <c r="IN18" t="inlineStr"/>
      <c r="IO18" t="inlineStr"/>
      <c r="IP18" t="inlineStr"/>
      <c r="IQ18" t="inlineStr"/>
      <c r="IR18" t="inlineStr"/>
      <c r="IS18">
        <f>IF(input_content_type="",FALSE,ISNUMBER(SEARCH(","&amp;LOWER(input_content_type)&amp;",",","&amp;LOWER(F18)&amp;",")))</f>
        <v/>
      </c>
      <c r="IT18">
        <f>AND(IF(M18="",TRUE,IF(input_affiliations="",FALSE,SUMPRODUCT(--ISNUMBER(SEARCH(","&amp;TRIM(TEXTSPLIT(M18,","))&amp;",",","&amp;SUBSTITUTE(input_affiliations," ","")&amp;",")))&gt;0)),IF(O18="",TRUE,IF(input_affiliations="",FALSE,SUMPRODUCT(--ISNUMBER(SEARCH(","&amp;TRIM(TEXTSPLIT(O18,","))&amp;",",","&amp;SUBSTITUTE(input_affiliations," ","")&amp;",")))=COUNTA(TEXTSPLIT(O18,",")))),IF(Q18="",TRUE,IF(input_affiliations="",TRUE,SUMPRODUCT(--ISNUMBER(SEARCH(","&amp;TRIM(TEXTSPLIT(Q18,","))&amp;",",","&amp;SUBSTITUTE(input_affiliations," ","")&amp;",")))=0)),IF(S18="",TRUE,IF(input_affiliations="",FALSE,SUMPRODUCT(--ISNUMBER(SEARCH(","&amp;TRIM(TEXTSPLIT(S18,","))&amp;",",","&amp;SUBSTITUTE(input_affiliations," ","")&amp;",")))&gt;0)),IF(U18="",TRUE,IF(input_affiliations="",FALSE,SUMPRODUCT(--ISNUMBER(SEARCH(","&amp;TRIM(TEXTSPLIT(U18,","))&amp;",",","&amp;SUBSTITUTE(input_affiliations," ","")&amp;",")))=COUNTA(TEXTSPLIT(U18,",")))))</f>
        <v/>
      </c>
      <c r="IU18">
        <f>AND(IF(W18="",TRUE,IF(input_announcement_category="",FALSE,SUMPRODUCT(--ISNUMBER(SEARCH(","&amp;TRIM(TEXTSPLIT(W18,","))&amp;",",","&amp;SUBSTITUTE(input_announcement_category," ","")&amp;",")))&gt;0)),IF(Y18="",TRUE,IF(input_announcement_category="",FALSE,SUMPRODUCT(--ISNUMBER(SEARCH(","&amp;TRIM(TEXTSPLIT(Y18,","))&amp;",",","&amp;SUBSTITUTE(input_announcement_category," ","")&amp;",")))=COUNTA(TEXTSPLIT(Y18,",")))),IF(AA18="",TRUE,IF(input_announcement_category="",TRUE,SUMPRODUCT(--ISNUMBER(SEARCH(","&amp;TRIM(TEXTSPLIT(AA18,","))&amp;",",","&amp;SUBSTITUTE(input_announcement_category," ","")&amp;",")))=0)),IF(AC18="",TRUE,IF(input_announcement_category="",FALSE,SUMPRODUCT(--ISNUMBER(SEARCH(","&amp;TRIM(TEXTSPLIT(AC18,","))&amp;",",","&amp;SUBSTITUTE(input_announcement_category," ","")&amp;",")))&gt;0)),IF(AE18="",TRUE,IF(input_announcement_category="",FALSE,SUMPRODUCT(--ISNUMBER(SEARCH(","&amp;TRIM(TEXTSPLIT(AE18,","))&amp;",",","&amp;SUBSTITUTE(input_announcement_category," ","")&amp;",")))=COUNTA(TEXTSPLIT(AE18,",")))))</f>
        <v/>
      </c>
      <c r="IV18">
        <f>AND(IF(AG18="",TRUE,IF(input_area_of_focus="",FALSE,SUMPRODUCT(--ISNUMBER(SEARCH(","&amp;TRIM(TEXTSPLIT(AG18,","))&amp;",",","&amp;SUBSTITUTE(input_area_of_focus," ","")&amp;",")))&gt;0)),IF(AI18="",TRUE,IF(input_area_of_focus="",FALSE,SUMPRODUCT(--ISNUMBER(SEARCH(","&amp;TRIM(TEXTSPLIT(AI18,","))&amp;",",","&amp;SUBSTITUTE(input_area_of_focus," ","")&amp;",")))=COUNTA(TEXTSPLIT(AI18,",")))),IF(AK18="",TRUE,IF(input_area_of_focus="",TRUE,SUMPRODUCT(--ISNUMBER(SEARCH(","&amp;TRIM(TEXTSPLIT(AK18,","))&amp;",",","&amp;SUBSTITUTE(input_area_of_focus," ","")&amp;",")))=0)),IF(AM18="",TRUE,IF(input_area_of_focus="",FALSE,SUMPRODUCT(--ISNUMBER(SEARCH(","&amp;TRIM(TEXTSPLIT(AM18,","))&amp;",",","&amp;SUBSTITUTE(input_area_of_focus," ","")&amp;",")))&gt;0)),IF(AO18="",TRUE,IF(input_area_of_focus="",FALSE,SUMPRODUCT(--ISNUMBER(SEARCH(","&amp;TRIM(TEXTSPLIT(AO18,","))&amp;",",","&amp;SUBSTITUTE(input_area_of_focus," ","")&amp;",")))=COUNTA(TEXTSPLIT(AO18,",")))))</f>
        <v/>
      </c>
      <c r="IW18">
        <f>AND(IF(AQ18="",TRUE,IF(input_audience="",FALSE,SUMPRODUCT(--ISNUMBER(SEARCH(","&amp;TRIM(TEXTSPLIT(AQ18,","))&amp;",",","&amp;SUBSTITUTE(input_audience," ","")&amp;",")))&gt;0)),IF(AS18="",TRUE,IF(input_audience="",FALSE,SUMPRODUCT(--ISNUMBER(SEARCH(","&amp;TRIM(TEXTSPLIT(AS18,","))&amp;",",","&amp;SUBSTITUTE(input_audience," ","")&amp;",")))=COUNTA(TEXTSPLIT(AS18,",")))),IF(AU18="",TRUE,IF(input_audience="",TRUE,SUMPRODUCT(--ISNUMBER(SEARCH(","&amp;TRIM(TEXTSPLIT(AU18,","))&amp;",",","&amp;SUBSTITUTE(input_audience," ","")&amp;",")))=0)),IF(AW18="",TRUE,IF(input_audience="",FALSE,SUMPRODUCT(--ISNUMBER(SEARCH(","&amp;TRIM(TEXTSPLIT(AW18,","))&amp;",",","&amp;SUBSTITUTE(input_audience," ","")&amp;",")))&gt;0)),IF(AY18="",TRUE,IF(input_audience="",FALSE,SUMPRODUCT(--ISNUMBER(SEARCH(","&amp;TRIM(TEXTSPLIT(AY18,","))&amp;",",","&amp;SUBSTITUTE(input_audience," ","")&amp;",")))=COUNTA(TEXTSPLIT(AY18,",")))))</f>
        <v/>
      </c>
      <c r="IX18">
        <f>AND(IF(BA18="",TRUE,IF(input_challenge_opportunities="",FALSE,SUMPRODUCT(--ISNUMBER(SEARCH(","&amp;TRIM(TEXTSPLIT(BA18,","))&amp;",",","&amp;SUBSTITUTE(input_challenge_opportunities," ","")&amp;",")))&gt;0)),IF(BC18="",TRUE,IF(input_challenge_opportunities="",FALSE,SUMPRODUCT(--ISNUMBER(SEARCH(","&amp;TRIM(TEXTSPLIT(BC18,","))&amp;",",","&amp;SUBSTITUTE(input_challenge_opportunities," ","")&amp;",")))=COUNTA(TEXTSPLIT(BC18,",")))),IF(BE18="",TRUE,IF(input_challenge_opportunities="",TRUE,SUMPRODUCT(--ISNUMBER(SEARCH(","&amp;TRIM(TEXTSPLIT(BE18,","))&amp;",",","&amp;SUBSTITUTE(input_challenge_opportunities," ","")&amp;",")))=0)),IF(BG18="",TRUE,IF(input_challenge_opportunities="",FALSE,SUMPRODUCT(--ISNUMBER(SEARCH(","&amp;TRIM(TEXTSPLIT(BG18,","))&amp;",",","&amp;SUBSTITUTE(input_challenge_opportunities," ","")&amp;",")))&gt;0)),IF(BI18="",TRUE,IF(input_challenge_opportunities="",FALSE,SUMPRODUCT(--ISNUMBER(SEARCH(","&amp;TRIM(TEXTSPLIT(BI18,","))&amp;",",","&amp;SUBSTITUTE(input_challenge_opportunities," ","")&amp;",")))=COUNTA(TEXTSPLIT(BI18,",")))))</f>
        <v/>
      </c>
      <c r="IY18">
        <f>AND(IF(BK18="",TRUE,IF(input_context="",FALSE,SUMPRODUCT(--ISNUMBER(SEARCH(","&amp;TRIM(TEXTSPLIT(BK18,","))&amp;",",","&amp;SUBSTITUTE(input_context," ","")&amp;",")))&gt;0)),IF(BM18="",TRUE,IF(input_context="",FALSE,SUMPRODUCT(--ISNUMBER(SEARCH(","&amp;TRIM(TEXTSPLIT(BM18,","))&amp;",",","&amp;SUBSTITUTE(input_context," ","")&amp;",")))=COUNTA(TEXTSPLIT(BM18,",")))),IF(BO18="",TRUE,IF(input_context="",TRUE,SUMPRODUCT(--ISNUMBER(SEARCH(","&amp;TRIM(TEXTSPLIT(BO18,","))&amp;",",","&amp;SUBSTITUTE(input_context," ","")&amp;",")))=0)),IF(BQ18="",TRUE,IF(input_context="",FALSE,SUMPRODUCT(--ISNUMBER(SEARCH(","&amp;TRIM(TEXTSPLIT(BQ18,","))&amp;",",","&amp;SUBSTITUTE(input_context," ","")&amp;",")))&gt;0)),IF(BS18="",TRUE,IF(input_context="",FALSE,SUMPRODUCT(--ISNUMBER(SEARCH(","&amp;TRIM(TEXTSPLIT(BS18,","))&amp;",",","&amp;SUBSTITUTE(input_context," ","")&amp;",")))=COUNTA(TEXTSPLIT(BS18,",")))))</f>
        <v/>
      </c>
      <c r="IZ18">
        <f>AND(IF(BU18="",TRUE,IF(input_enews_announcement_type="",FALSE,SUMPRODUCT(--ISNUMBER(SEARCH(","&amp;TRIM(TEXTSPLIT(BU18,","))&amp;",",","&amp;SUBSTITUTE(input_enews_announcement_type," ","")&amp;",")))&gt;0)),IF(BW18="",TRUE,IF(input_enews_announcement_type="",FALSE,SUMPRODUCT(--ISNUMBER(SEARCH(","&amp;TRIM(TEXTSPLIT(BW18,","))&amp;",",","&amp;SUBSTITUTE(input_enews_announcement_type," ","")&amp;",")))=COUNTA(TEXTSPLIT(BW18,",")))),IF(BY18="",TRUE,IF(input_enews_announcement_type="",TRUE,SUMPRODUCT(--ISNUMBER(SEARCH(","&amp;TRIM(TEXTSPLIT(BY18,","))&amp;",",","&amp;SUBSTITUTE(input_enews_announcement_type," ","")&amp;",")))=0)),IF(CA18="",TRUE,IF(input_enews_announcement_type="",FALSE,SUMPRODUCT(--ISNUMBER(SEARCH(","&amp;TRIM(TEXTSPLIT(CA18,","))&amp;",",","&amp;SUBSTITUTE(input_enews_announcement_type," ","")&amp;",")))&gt;0)),IF(CC18="",TRUE,IF(input_enews_announcement_type="",FALSE,SUMPRODUCT(--ISNUMBER(SEARCH(","&amp;TRIM(TEXTSPLIT(CC18,","))&amp;",",","&amp;SUBSTITUTE(input_enews_announcement_type," ","")&amp;",")))=COUNTA(TEXTSPLIT(CC18,",")))))</f>
        <v/>
      </c>
      <c r="JA18">
        <f>AND(IF(CE18="",TRUE,IF(input_enews_audience="",FALSE,SUMPRODUCT(--ISNUMBER(SEARCH(","&amp;TRIM(TEXTSPLIT(CE18,","))&amp;",",","&amp;SUBSTITUTE(input_enews_audience," ","")&amp;",")))&gt;0)),IF(CG18="",TRUE,IF(input_enews_audience="",FALSE,SUMPRODUCT(--ISNUMBER(SEARCH(","&amp;TRIM(TEXTSPLIT(CG18,","))&amp;",",","&amp;SUBSTITUTE(input_enews_audience," ","")&amp;",")))=COUNTA(TEXTSPLIT(CG18,",")))),IF(CI18="",TRUE,IF(input_enews_audience="",TRUE,SUMPRODUCT(--ISNUMBER(SEARCH(","&amp;TRIM(TEXTSPLIT(CI18,","))&amp;",",","&amp;SUBSTITUTE(input_enews_audience," ","")&amp;",")))=0)),IF(CK18="",TRUE,IF(input_enews_audience="",FALSE,SUMPRODUCT(--ISNUMBER(SEARCH(","&amp;TRIM(TEXTSPLIT(CK18,","))&amp;",",","&amp;SUBSTITUTE(input_enews_audience," ","")&amp;",")))&gt;0)),IF(CM18="",TRUE,IF(input_enews_audience="",FALSE,SUMPRODUCT(--ISNUMBER(SEARCH(","&amp;TRIM(TEXTSPLIT(CM18,","))&amp;",",","&amp;SUBSTITUTE(input_enews_audience," ","")&amp;",")))=COUNTA(TEXTSPLIT(CM18,",")))))</f>
        <v/>
      </c>
      <c r="JB18">
        <f>AND(IF(CO18="",TRUE,IF(input_event_location="",FALSE,SUMPRODUCT(--ISNUMBER(SEARCH(","&amp;TRIM(TEXTSPLIT(CO18,","))&amp;",",","&amp;SUBSTITUTE(input_event_location," ","")&amp;",")))&gt;0)),IF(CQ18="",TRUE,IF(input_event_location="",FALSE,SUMPRODUCT(--ISNUMBER(SEARCH(","&amp;TRIM(TEXTSPLIT(CQ18,","))&amp;",",","&amp;SUBSTITUTE(input_event_location," ","")&amp;",")))=COUNTA(TEXTSPLIT(CQ18,",")))),IF(CS18="",TRUE,IF(input_event_location="",TRUE,SUMPRODUCT(--ISNUMBER(SEARCH(","&amp;TRIM(TEXTSPLIT(CS18,","))&amp;",",","&amp;SUBSTITUTE(input_event_location," ","")&amp;",")))=0)),IF(CU18="",TRUE,IF(input_event_location="",FALSE,SUMPRODUCT(--ISNUMBER(SEARCH(","&amp;TRIM(TEXTSPLIT(CU18,","))&amp;",",","&amp;SUBSTITUTE(input_event_location," ","")&amp;",")))&gt;0)),IF(CW18="",TRUE,IF(input_event_location="",FALSE,SUMPRODUCT(--ISNUMBER(SEARCH(","&amp;TRIM(TEXTSPLIT(CW18,","))&amp;",",","&amp;SUBSTITUTE(input_event_location," ","")&amp;",")))=COUNTA(TEXTSPLIT(CW18,",")))))</f>
        <v/>
      </c>
      <c r="JC18">
        <f>AND(IF(CY18="",TRUE,IF(input_event_type="",FALSE,SUMPRODUCT(--ISNUMBER(SEARCH(","&amp;TRIM(TEXTSPLIT(CY18,","))&amp;",",","&amp;SUBSTITUTE(input_event_type," ","")&amp;",")))&gt;0)),IF(DA18="",TRUE,IF(input_event_type="",FALSE,SUMPRODUCT(--ISNUMBER(SEARCH(","&amp;TRIM(TEXTSPLIT(DA18,","))&amp;",",","&amp;SUBSTITUTE(input_event_type," ","")&amp;",")))=COUNTA(TEXTSPLIT(DA18,",")))),IF(DC18="",TRUE,IF(input_event_type="",TRUE,SUMPRODUCT(--ISNUMBER(SEARCH(","&amp;TRIM(TEXTSPLIT(DC18,","))&amp;",",","&amp;SUBSTITUTE(input_event_type," ","")&amp;",")))=0)),IF(DE18="",TRUE,IF(input_event_type="",FALSE,SUMPRODUCT(--ISNUMBER(SEARCH(","&amp;TRIM(TEXTSPLIT(DE18,","))&amp;",",","&amp;SUBSTITUTE(input_event_type," ","")&amp;",")))&gt;0)),IF(DG18="",TRUE,IF(input_event_type="",FALSE,SUMPRODUCT(--ISNUMBER(SEARCH(","&amp;TRIM(TEXTSPLIT(DG18,","))&amp;",",","&amp;SUBSTITUTE(input_event_type," ","")&amp;",")))=COUNTA(TEXTSPLIT(DG18,",")))))</f>
        <v/>
      </c>
      <c r="JD18">
        <f>AND(IF(DI18="",TRUE,IF(input_executive_education_focus="",FALSE,SUMPRODUCT(--ISNUMBER(SEARCH(","&amp;TRIM(TEXTSPLIT(DI18,","))&amp;",",","&amp;SUBSTITUTE(input_executive_education_focus," ","")&amp;",")))&gt;0)),IF(DK18="",TRUE,IF(input_executive_education_focus="",FALSE,SUMPRODUCT(--ISNUMBER(SEARCH(","&amp;TRIM(TEXTSPLIT(DK18,","))&amp;",",","&amp;SUBSTITUTE(input_executive_education_focus," ","")&amp;",")))=COUNTA(TEXTSPLIT(DK18,",")))),IF(DM18="",TRUE,IF(input_executive_education_focus="",TRUE,SUMPRODUCT(--ISNUMBER(SEARCH(","&amp;TRIM(TEXTSPLIT(DM18,","))&amp;",",","&amp;SUBSTITUTE(input_executive_education_focus," ","")&amp;",")))=0)),IF(DO18="",TRUE,IF(input_executive_education_focus="",FALSE,SUMPRODUCT(--ISNUMBER(SEARCH(","&amp;TRIM(TEXTSPLIT(DO18,","))&amp;",",","&amp;SUBSTITUTE(input_executive_education_focus," ","")&amp;",")))&gt;0)),IF(DQ18="",TRUE,IF(input_executive_education_focus="",FALSE,SUMPRODUCT(--ISNUMBER(SEARCH(","&amp;TRIM(TEXTSPLIT(DQ18,","))&amp;",",","&amp;SUBSTITUTE(input_executive_education_focus," ","")&amp;",")))=COUNTA(TEXTSPLIT(DQ18,",")))))</f>
        <v/>
      </c>
      <c r="JE18">
        <f>AND(IF(DS18="",TRUE,IF(input_faculty_category="",FALSE,SUMPRODUCT(--ISNUMBER(SEARCH(","&amp;TRIM(TEXTSPLIT(DS18,","))&amp;",",","&amp;SUBSTITUTE(input_faculty_category," ","")&amp;",")))&gt;0)),IF(DU18="",TRUE,IF(input_faculty_category="",FALSE,SUMPRODUCT(--ISNUMBER(SEARCH(","&amp;TRIM(TEXTSPLIT(DU18,","))&amp;",",","&amp;SUBSTITUTE(input_faculty_category," ","")&amp;",")))=COUNTA(TEXTSPLIT(DU18,",")))),IF(DW18="",TRUE,IF(input_faculty_category="",TRUE,SUMPRODUCT(--ISNUMBER(SEARCH(","&amp;TRIM(TEXTSPLIT(DW18,","))&amp;",",","&amp;SUBSTITUTE(input_faculty_category," ","")&amp;",")))=0)),IF(DY18="",TRUE,IF(input_faculty_category="",FALSE,SUMPRODUCT(--ISNUMBER(SEARCH(","&amp;TRIM(TEXTSPLIT(DY18,","))&amp;",",","&amp;SUBSTITUTE(input_faculty_category," ","")&amp;",")))&gt;0)),IF(EA18="",TRUE,IF(input_faculty_category="",FALSE,SUMPRODUCT(--ISNUMBER(SEARCH(","&amp;TRIM(TEXTSPLIT(EA18,","))&amp;",",","&amp;SUBSTITUTE(input_faculty_category," ","")&amp;",")))=COUNTA(TEXTSPLIT(EA18,",")))))</f>
        <v/>
      </c>
      <c r="JF18">
        <f>AND(IF(EC18="",TRUE,IF(input_faculty_discipline="",FALSE,SUMPRODUCT(--ISNUMBER(SEARCH(","&amp;TRIM(TEXTSPLIT(EC18,","))&amp;",",","&amp;SUBSTITUTE(input_faculty_discipline," ","")&amp;",")))&gt;0)),IF(EE18="",TRUE,IF(input_faculty_discipline="",FALSE,SUMPRODUCT(--ISNUMBER(SEARCH(","&amp;TRIM(TEXTSPLIT(EE18,","))&amp;",",","&amp;SUBSTITUTE(input_faculty_discipline," ","")&amp;",")))=COUNTA(TEXTSPLIT(EE18,",")))),IF(EG18="",TRUE,IF(input_faculty_discipline="",TRUE,SUMPRODUCT(--ISNUMBER(SEARCH(","&amp;TRIM(TEXTSPLIT(EG18,","))&amp;",",","&amp;SUBSTITUTE(input_faculty_discipline," ","")&amp;",")))=0)),IF(EI18="",TRUE,IF(input_faculty_discipline="",FALSE,SUMPRODUCT(--ISNUMBER(SEARCH(","&amp;TRIM(TEXTSPLIT(EI18,","))&amp;",",","&amp;SUBSTITUTE(input_faculty_discipline," ","")&amp;",")))&gt;0)),IF(EK18="",TRUE,IF(input_faculty_discipline="",FALSE,SUMPRODUCT(--ISNUMBER(SEARCH(","&amp;TRIM(TEXTSPLIT(EK18,","))&amp;",",","&amp;SUBSTITUTE(input_faculty_discipline," ","")&amp;",")))=COUNTA(TEXTSPLIT(EK18,",")))))</f>
        <v/>
      </c>
      <c r="JG18">
        <f>AND(IF(EM18="",TRUE,IF(input_faculty_expertise="",FALSE,SUMPRODUCT(--ISNUMBER(SEARCH(","&amp;TRIM(TEXTSPLIT(EM18,","))&amp;",",","&amp;SUBSTITUTE(input_faculty_expertise," ","")&amp;",")))&gt;0)),IF(EO18="",TRUE,IF(input_faculty_expertise="",FALSE,SUMPRODUCT(--ISNUMBER(SEARCH(","&amp;TRIM(TEXTSPLIT(EO18,","))&amp;",",","&amp;SUBSTITUTE(input_faculty_expertise," ","")&amp;",")))=COUNTA(TEXTSPLIT(EO18,",")))),IF(EQ18="",TRUE,IF(input_faculty_expertise="",TRUE,SUMPRODUCT(--ISNUMBER(SEARCH(","&amp;TRIM(TEXTSPLIT(EQ18,","))&amp;",",","&amp;SUBSTITUTE(input_faculty_expertise," ","")&amp;",")))=0)),IF(ES18="",TRUE,IF(input_faculty_expertise="",FALSE,SUMPRODUCT(--ISNUMBER(SEARCH(","&amp;TRIM(TEXTSPLIT(ES18,","))&amp;",",","&amp;SUBSTITUTE(input_faculty_expertise," ","")&amp;",")))&gt;0)),IF(EU18="",TRUE,IF(input_faculty_expertise="",FALSE,SUMPRODUCT(--ISNUMBER(SEARCH(","&amp;TRIM(TEXTSPLIT(EU18,","))&amp;",",","&amp;SUBSTITUTE(input_faculty_expertise," ","")&amp;",")))=COUNTA(TEXTSPLIT(EU18,",")))))</f>
        <v/>
      </c>
      <c r="JH18">
        <f>AND(IF(EW18="",TRUE,IF(input_global_network_school="",FALSE,SUMPRODUCT(--ISNUMBER(SEARCH(","&amp;TRIM(TEXTSPLIT(EW18,","))&amp;",",","&amp;SUBSTITUTE(input_global_network_school," ","")&amp;",")))&gt;0)),IF(EY18="",TRUE,IF(input_global_network_school="",FALSE,SUMPRODUCT(--ISNUMBER(SEARCH(","&amp;TRIM(TEXTSPLIT(EY18,","))&amp;",",","&amp;SUBSTITUTE(input_global_network_school," ","")&amp;",")))=COUNTA(TEXTSPLIT(EY18,",")))),IF(FA18="",TRUE,IF(input_global_network_school="",TRUE,SUMPRODUCT(--ISNUMBER(SEARCH(","&amp;TRIM(TEXTSPLIT(FA18,","))&amp;",",","&amp;SUBSTITUTE(input_global_network_school," ","")&amp;",")))=0)),IF(FC18="",TRUE,IF(input_global_network_school="",FALSE,SUMPRODUCT(--ISNUMBER(SEARCH(","&amp;TRIM(TEXTSPLIT(FC18,","))&amp;",",","&amp;SUBSTITUTE(input_global_network_school," ","")&amp;",")))&gt;0)),IF(FE18="",TRUE,IF(input_global_network_school="",FALSE,SUMPRODUCT(--ISNUMBER(SEARCH(","&amp;TRIM(TEXTSPLIT(FE18,","))&amp;",",","&amp;SUBSTITUTE(input_global_network_school," ","")&amp;",")))=COUNTA(TEXTSPLIT(FE18,",")))))</f>
        <v/>
      </c>
      <c r="JI18">
        <f>AND(IF(FG18="",TRUE,IF(input_industry="",FALSE,SUMPRODUCT(--ISNUMBER(SEARCH(","&amp;TRIM(TEXTSPLIT(FG18,","))&amp;",",","&amp;SUBSTITUTE(input_industry," ","")&amp;",")))&gt;0)),IF(FI18="",TRUE,IF(input_industry="",FALSE,SUMPRODUCT(--ISNUMBER(SEARCH(","&amp;TRIM(TEXTSPLIT(FI18,","))&amp;",",","&amp;SUBSTITUTE(input_industry," ","")&amp;",")))=COUNTA(TEXTSPLIT(FI18,",")))),IF(FK18="",TRUE,IF(input_industry="",TRUE,SUMPRODUCT(--ISNUMBER(SEARCH(","&amp;TRIM(TEXTSPLIT(FK18,","))&amp;",",","&amp;SUBSTITUTE(input_industry," ","")&amp;",")))=0)),IF(FM18="",TRUE,IF(input_industry="",FALSE,SUMPRODUCT(--ISNUMBER(SEARCH(","&amp;TRIM(TEXTSPLIT(FM18,","))&amp;",",","&amp;SUBSTITUTE(input_industry," ","")&amp;",")))&gt;0)),IF(FO18="",TRUE,IF(input_industry="",FALSE,SUMPRODUCT(--ISNUMBER(SEARCH(","&amp;TRIM(TEXTSPLIT(FO18,","))&amp;",",","&amp;SUBSTITUTE(input_industry," ","")&amp;",")))=COUNTA(TEXTSPLIT(FO18,",")))))</f>
        <v/>
      </c>
      <c r="JJ18">
        <f>AND(IF(FQ18="",TRUE,IF(input_location="",FALSE,SUMPRODUCT(--ISNUMBER(SEARCH(","&amp;TRIM(TEXTSPLIT(FQ18,","))&amp;",",","&amp;SUBSTITUTE(input_location," ","")&amp;",")))&gt;0)),IF(FS18="",TRUE,IF(input_location="",FALSE,SUMPRODUCT(--ISNUMBER(SEARCH(","&amp;TRIM(TEXTSPLIT(FS18,","))&amp;",",","&amp;SUBSTITUTE(input_location," ","")&amp;",")))=COUNTA(TEXTSPLIT(FS18,",")))),IF(FU18="",TRUE,IF(input_location="",TRUE,SUMPRODUCT(--ISNUMBER(SEARCH(","&amp;TRIM(TEXTSPLIT(FU18,","))&amp;",",","&amp;SUBSTITUTE(input_location," ","")&amp;",")))=0)),IF(FW18="",TRUE,IF(input_location="",FALSE,SUMPRODUCT(--ISNUMBER(SEARCH(","&amp;TRIM(TEXTSPLIT(FW18,","))&amp;",",","&amp;SUBSTITUTE(input_location," ","")&amp;",")))&gt;0)),IF(FY18="",TRUE,IF(input_location="",FALSE,SUMPRODUCT(--ISNUMBER(SEARCH(","&amp;TRIM(TEXTSPLIT(FY18,","))&amp;",",","&amp;SUBSTITUTE(input_location," ","")&amp;",")))=COUNTA(TEXTSPLIT(FY18,",")))))</f>
        <v/>
      </c>
      <c r="JK18">
        <f>AND(IF(GA18="",TRUE,IF(input_modality="",FALSE,SUMPRODUCT(--ISNUMBER(SEARCH(","&amp;TRIM(TEXTSPLIT(GA18,","))&amp;",",","&amp;SUBSTITUTE(input_modality," ","")&amp;",")))&gt;0)),IF(GC18="",TRUE,IF(input_modality="",FALSE,SUMPRODUCT(--ISNUMBER(SEARCH(","&amp;TRIM(TEXTSPLIT(GC18,","))&amp;",",","&amp;SUBSTITUTE(input_modality," ","")&amp;",")))=COUNTA(TEXTSPLIT(GC18,",")))),IF(GE18="",TRUE,IF(input_modality="",TRUE,SUMPRODUCT(--ISNUMBER(SEARCH(","&amp;TRIM(TEXTSPLIT(GE18,","))&amp;",",","&amp;SUBSTITUTE(input_modality," ","")&amp;",")))=0)),IF(GG18="",TRUE,IF(input_modality="",FALSE,SUMPRODUCT(--ISNUMBER(SEARCH(","&amp;TRIM(TEXTSPLIT(GG18,","))&amp;",",","&amp;SUBSTITUTE(input_modality," ","")&amp;",")))&gt;0)),IF(GI18="",TRUE,IF(input_modality="",FALSE,SUMPRODUCT(--ISNUMBER(SEARCH(","&amp;TRIM(TEXTSPLIT(GI18,","))&amp;",",","&amp;SUBSTITUTE(input_modality," ","")&amp;",")))=COUNTA(TEXTSPLIT(GI18,",")))))</f>
        <v/>
      </c>
      <c r="JL18">
        <f>AND(IF(GK18="",TRUE,IF(input_organizer="",FALSE,SUMPRODUCT(--ISNUMBER(SEARCH(","&amp;TRIM(TEXTSPLIT(GK18,","))&amp;",",","&amp;SUBSTITUTE(input_organizer," ","")&amp;",")))&gt;0)),IF(GM18="",TRUE,IF(input_organizer="",FALSE,SUMPRODUCT(--ISNUMBER(SEARCH(","&amp;TRIM(TEXTSPLIT(GM18,","))&amp;",",","&amp;SUBSTITUTE(input_organizer," ","")&amp;",")))=COUNTA(TEXTSPLIT(GM18,",")))),IF(GO18="",TRUE,IF(input_organizer="",TRUE,SUMPRODUCT(--ISNUMBER(SEARCH(","&amp;TRIM(TEXTSPLIT(GO18,","))&amp;",",","&amp;SUBSTITUTE(input_organizer," ","")&amp;",")))=0)),IF(GQ18="",TRUE,IF(input_organizer="",FALSE,SUMPRODUCT(--ISNUMBER(SEARCH(","&amp;TRIM(TEXTSPLIT(GQ18,","))&amp;",",","&amp;SUBSTITUTE(input_organizer," ","")&amp;",")))&gt;0)),IF(GS18="",TRUE,IF(input_organizer="",FALSE,SUMPRODUCT(--ISNUMBER(SEARCH(","&amp;TRIM(TEXTSPLIT(GS18,","))&amp;",",","&amp;SUBSTITUTE(input_organizer," ","")&amp;",")))=COUNTA(TEXTSPLIT(GS18,",")))))</f>
        <v/>
      </c>
      <c r="JM18">
        <f>AND(IF(GU18="",TRUE,IF(input_profile_type="",FALSE,SUMPRODUCT(--ISNUMBER(SEARCH(","&amp;TRIM(TEXTSPLIT(GU18,","))&amp;",",","&amp;SUBSTITUTE(input_profile_type," ","")&amp;",")))&gt;0)),IF(GW18="",TRUE,IF(input_profile_type="",FALSE,SUMPRODUCT(--ISNUMBER(SEARCH(","&amp;TRIM(TEXTSPLIT(GW18,","))&amp;",",","&amp;SUBSTITUTE(input_profile_type," ","")&amp;",")))=COUNTA(TEXTSPLIT(GW18,",")))),IF(GY18="",TRUE,IF(input_profile_type="",TRUE,SUMPRODUCT(--ISNUMBER(SEARCH(","&amp;TRIM(TEXTSPLIT(GY18,","))&amp;",",","&amp;SUBSTITUTE(input_profile_type," ","")&amp;",")))=0)),IF(HA18="",TRUE,IF(input_profile_type="",FALSE,SUMPRODUCT(--ISNUMBER(SEARCH(","&amp;TRIM(TEXTSPLIT(HA18,","))&amp;",",","&amp;SUBSTITUTE(input_profile_type," ","")&amp;",")))&gt;0)),IF(HC18="",TRUE,IF(input_profile_type="",FALSE,SUMPRODUCT(--ISNUMBER(SEARCH(","&amp;TRIM(TEXTSPLIT(HC18,","))&amp;",",","&amp;SUBSTITUTE(input_profile_type," ","")&amp;",")))=COUNTA(TEXTSPLIT(HC18,",")))))</f>
        <v/>
      </c>
      <c r="JN18">
        <f>AND(IF(HE18="",TRUE,IF(input_program="",FALSE,SUMPRODUCT(--ISNUMBER(SEARCH(","&amp;TRIM(TEXTSPLIT(HE18,","))&amp;",",","&amp;SUBSTITUTE(input_program," ","")&amp;",")))&gt;0)),IF(HG18="",TRUE,IF(input_program="",FALSE,SUMPRODUCT(--ISNUMBER(SEARCH(","&amp;TRIM(TEXTSPLIT(HG18,","))&amp;",",","&amp;SUBSTITUTE(input_program," ","")&amp;",")))=COUNTA(TEXTSPLIT(HG18,",")))),IF(HI18="",TRUE,IF(input_program="",TRUE,SUMPRODUCT(--ISNUMBER(SEARCH(","&amp;TRIM(TEXTSPLIT(HI18,","))&amp;",",","&amp;SUBSTITUTE(input_program," ","")&amp;",")))=0)),IF(HK18="",TRUE,IF(input_program="",FALSE,SUMPRODUCT(--ISNUMBER(SEARCH(","&amp;TRIM(TEXTSPLIT(HK18,","))&amp;",",","&amp;SUBSTITUTE(input_program," ","")&amp;",")))&gt;0)),IF(HM18="",TRUE,IF(input_program="",FALSE,SUMPRODUCT(--ISNUMBER(SEARCH(","&amp;TRIM(TEXTSPLIT(HM18,","))&amp;",",","&amp;SUBSTITUTE(input_program," ","")&amp;",")))=COUNTA(TEXTSPLIT(HM18,",")))))</f>
        <v/>
      </c>
      <c r="JO18">
        <f>AND(IF(HO18="",TRUE,IF(input_story_categories="",FALSE,SUMPRODUCT(--ISNUMBER(SEARCH(","&amp;TRIM(TEXTSPLIT(HO18,","))&amp;",",","&amp;SUBSTITUTE(input_story_categories," ","")&amp;",")))&gt;0)),IF(HQ18="",TRUE,IF(input_story_categories="",FALSE,SUMPRODUCT(--ISNUMBER(SEARCH(","&amp;TRIM(TEXTSPLIT(HQ18,","))&amp;",",","&amp;SUBSTITUTE(input_story_categories," ","")&amp;",")))=COUNTA(TEXTSPLIT(HQ18,",")))),IF(HS18="",TRUE,IF(input_story_categories="",TRUE,SUMPRODUCT(--ISNUMBER(SEARCH(","&amp;TRIM(TEXTSPLIT(HS18,","))&amp;",",","&amp;SUBSTITUTE(input_story_categories," ","")&amp;",")))=0)),IF(HU18="",TRUE,IF(input_story_categories="",FALSE,SUMPRODUCT(--ISNUMBER(SEARCH(","&amp;TRIM(TEXTSPLIT(HU18,","))&amp;",",","&amp;SUBSTITUTE(input_story_categories," ","")&amp;",")))&gt;0)),IF(HW18="",TRUE,IF(input_story_categories="",FALSE,SUMPRODUCT(--ISNUMBER(SEARCH(","&amp;TRIM(TEXTSPLIT(HW18,","))&amp;",",","&amp;SUBSTITUTE(input_story_categories," ","")&amp;",")))=COUNTA(TEXTSPLIT(HW18,",")))))</f>
        <v/>
      </c>
      <c r="JP18">
        <f>AND(IF(HY18="",TRUE,IF(input_story_type="",FALSE,SUMPRODUCT(--ISNUMBER(SEARCH(","&amp;TRIM(TEXTSPLIT(HY18,","))&amp;",",","&amp;SUBSTITUTE(input_story_type," ","")&amp;",")))&gt;0)),IF(IA18="",TRUE,IF(input_story_type="",FALSE,SUMPRODUCT(--ISNUMBER(SEARCH(","&amp;TRIM(TEXTSPLIT(IA18,","))&amp;",",","&amp;SUBSTITUTE(input_story_type," ","")&amp;",")))=COUNTA(TEXTSPLIT(IA18,",")))),IF(IC18="",TRUE,IF(input_story_type="",TRUE,SUMPRODUCT(--ISNUMBER(SEARCH(","&amp;TRIM(TEXTSPLIT(IC18,","))&amp;",",","&amp;SUBSTITUTE(input_story_type," ","")&amp;",")))=0)),IF(IE18="",TRUE,IF(input_story_type="",FALSE,SUMPRODUCT(--ISNUMBER(SEARCH(","&amp;TRIM(TEXTSPLIT(IE18,","))&amp;",",","&amp;SUBSTITUTE(input_story_type," ","")&amp;",")))&gt;0)),IF(IG18="",TRUE,IF(input_story_type="",FALSE,SUMPRODUCT(--ISNUMBER(SEARCH(","&amp;TRIM(TEXTSPLIT(IG18,","))&amp;",",","&amp;SUBSTITUTE(input_story_type," ","")&amp;",")))=COUNTA(TEXTSPLIT(IG18,",")))))</f>
        <v/>
      </c>
      <c r="JQ18">
        <f>AND(IF(II18="",TRUE,IF(input_topics="",FALSE,SUMPRODUCT(--ISNUMBER(SEARCH(","&amp;TRIM(TEXTSPLIT(II18,","))&amp;",",","&amp;SUBSTITUTE(input_topics," ","")&amp;",")))&gt;0)),IF(IK18="",TRUE,IF(input_topics="",FALSE,SUMPRODUCT(--ISNUMBER(SEARCH(","&amp;TRIM(TEXTSPLIT(IK18,","))&amp;",",","&amp;SUBSTITUTE(input_topics," ","")&amp;",")))=COUNTA(TEXTSPLIT(IK18,",")))),IF(IM18="",TRUE,IF(input_topics="",TRUE,SUMPRODUCT(--ISNUMBER(SEARCH(","&amp;TRIM(TEXTSPLIT(IM18,","))&amp;",",","&amp;SUBSTITUTE(input_topics," ","")&amp;",")))=0)),IF(IO18="",TRUE,IF(input_topics="",FALSE,SUMPRODUCT(--ISNUMBER(SEARCH(","&amp;TRIM(TEXTSPLIT(IO18,","))&amp;",",","&amp;SUBSTITUTE(input_topics," ","")&amp;",")))&gt;0)),IF(IQ18="",TRUE,IF(input_topics="",FALSE,SUMPRODUCT(--ISNUMBER(SEARCH(","&amp;TRIM(TEXTSPLIT(IQ18,","))&amp;",",","&amp;SUBSTITUTE(input_topics," ","")&amp;",")))=COUNTA(TEXTSPLIT(IQ18,",")))))</f>
        <v/>
      </c>
    </row>
    <row r="19">
      <c r="A19" s="4">
        <f>IF(NOT(IS19),"Excluded",IF(AND(IT19,IU19,IV19,IW19,IX19,IY19,IZ19,JA19,JB19,JC19,JD19,JE19,JF19,JG19,JH19,JI19,JJ19,JK19,JL19,JM19,JN19,JO19,JP19,JQ19),IF(I19&gt;0,"Eligible but limited","Will appear"),"Excluded"))</f>
        <v/>
      </c>
      <c r="B19" s="4" t="inlineStr">
        <is>
          <t>All Publications by Author</t>
        </is>
      </c>
      <c r="C19" s="4" t="inlineStr">
        <is>
          <t>/faculty-research/faculty-directory/balazs-kovacs</t>
        </is>
      </c>
      <c r="D19" s="4" t="inlineStr">
        <is>
          <t>/faculty-research/faculty-directory/balazs-kovacs</t>
        </is>
      </c>
      <c r="E19" s="4" t="n">
        <v>1</v>
      </c>
      <c r="F19" s="4" t="inlineStr">
        <is>
          <t>publications</t>
        </is>
      </c>
      <c r="G19" s="4" t="inlineStr">
        <is>
          <t>publication_teaser_list</t>
        </is>
      </c>
      <c r="H19" s="4" t="inlineStr">
        <is>
          <t>publication_teaser_list_all_by_author</t>
        </is>
      </c>
      <c r="I19" s="4" t="inlineStr"/>
      <c r="J19" s="4" t="inlineStr">
        <is>
          <t>View/config rules</t>
        </is>
      </c>
      <c r="K19" s="4" t="inlineStr">
        <is>
          <t>Page placement</t>
        </is>
      </c>
      <c r="L19" s="4" t="inlineStr">
        <is>
          <t>Content type: publications; Source: View/config rules</t>
        </is>
      </c>
      <c r="M19" t="inlineStr"/>
      <c r="N19" t="inlineStr"/>
      <c r="O19" t="inlineStr"/>
      <c r="P19" t="inlineStr"/>
      <c r="Q19" t="inlineStr"/>
      <c r="R19" t="inlineStr"/>
      <c r="S19" t="inlineStr"/>
      <c r="T19" t="inlineStr"/>
      <c r="U19" t="inlineStr"/>
      <c r="V19" t="inlineStr"/>
      <c r="W19" t="inlineStr"/>
      <c r="X19" t="inlineStr"/>
      <c r="Y19" t="inlineStr"/>
      <c r="Z19" t="inlineStr"/>
      <c r="AA19" t="inlineStr"/>
      <c r="AB19" t="inlineStr"/>
      <c r="AC19" t="inlineStr"/>
      <c r="AD19" t="inlineStr"/>
      <c r="AE19" t="inlineStr"/>
      <c r="AF19" t="inlineStr"/>
      <c r="AG19" t="inlineStr"/>
      <c r="AH19" t="inlineStr"/>
      <c r="AI19" t="inlineStr"/>
      <c r="AJ19" t="inlineStr"/>
      <c r="AK19" t="inlineStr"/>
      <c r="AL19" t="inlineStr"/>
      <c r="AM19" t="inlineStr"/>
      <c r="AN19" t="inlineStr"/>
      <c r="AO19" t="inlineStr"/>
      <c r="AP19" t="inlineStr"/>
      <c r="AQ19" t="inlineStr"/>
      <c r="AR19" t="inlineStr"/>
      <c r="AS19" t="inlineStr"/>
      <c r="AT19" t="inlineStr"/>
      <c r="AU19" t="inlineStr"/>
      <c r="AV19" t="inlineStr"/>
      <c r="AW19" t="inlineStr"/>
      <c r="AX19" t="inlineStr"/>
      <c r="AY19" t="inlineStr"/>
      <c r="AZ19" t="inlineStr"/>
      <c r="BA19" t="inlineStr"/>
      <c r="BB19" t="inlineStr"/>
      <c r="BC19" t="inlineStr"/>
      <c r="BD19" t="inlineStr"/>
      <c r="BE19" t="inlineStr"/>
      <c r="BF19" t="inlineStr"/>
      <c r="BG19" t="inlineStr"/>
      <c r="BH19" t="inlineStr"/>
      <c r="BI19" t="inlineStr"/>
      <c r="BJ19" t="inlineStr"/>
      <c r="BK19" t="inlineStr"/>
      <c r="BL19" t="inlineStr"/>
      <c r="BM19" t="inlineStr"/>
      <c r="BN19" t="inlineStr"/>
      <c r="BO19" t="inlineStr"/>
      <c r="BP19" t="inlineStr"/>
      <c r="BQ19" t="inlineStr"/>
      <c r="BR19" t="inlineStr"/>
      <c r="BS19" t="inlineStr"/>
      <c r="BT19" t="inlineStr"/>
      <c r="BU19" t="inlineStr"/>
      <c r="BV19" t="inlineStr"/>
      <c r="BW19" t="inlineStr"/>
      <c r="BX19" t="inlineStr"/>
      <c r="BY19" t="inlineStr"/>
      <c r="BZ19" t="inlineStr"/>
      <c r="CA19" t="inlineStr"/>
      <c r="CB19" t="inlineStr"/>
      <c r="CC19" t="inlineStr"/>
      <c r="CD19" t="inlineStr"/>
      <c r="CE19" t="inlineStr"/>
      <c r="CF19" t="inlineStr"/>
      <c r="CG19" t="inlineStr"/>
      <c r="CH19" t="inlineStr"/>
      <c r="CI19" t="inlineStr"/>
      <c r="CJ19" t="inlineStr"/>
      <c r="CK19" t="inlineStr"/>
      <c r="CL19" t="inlineStr"/>
      <c r="CM19" t="inlineStr"/>
      <c r="CN19" t="inlineStr"/>
      <c r="CO19" t="inlineStr"/>
      <c r="CP19" t="inlineStr"/>
      <c r="CQ19" t="inlineStr"/>
      <c r="CR19" t="inlineStr"/>
      <c r="CS19" t="inlineStr"/>
      <c r="CT19" t="inlineStr"/>
      <c r="CU19" t="inlineStr"/>
      <c r="CV19" t="inlineStr"/>
      <c r="CW19" t="inlineStr"/>
      <c r="CX19" t="inlineStr"/>
      <c r="CY19" t="inlineStr"/>
      <c r="CZ19" t="inlineStr"/>
      <c r="DA19" t="inlineStr"/>
      <c r="DB19" t="inlineStr"/>
      <c r="DC19" t="inlineStr"/>
      <c r="DD19" t="inlineStr"/>
      <c r="DE19" t="inlineStr"/>
      <c r="DF19" t="inlineStr"/>
      <c r="DG19" t="inlineStr"/>
      <c r="DH19" t="inlineStr"/>
      <c r="DI19" t="inlineStr"/>
      <c r="DJ19" t="inlineStr"/>
      <c r="DK19" t="inlineStr"/>
      <c r="DL19" t="inlineStr"/>
      <c r="DM19" t="inlineStr"/>
      <c r="DN19" t="inlineStr"/>
      <c r="DO19" t="inlineStr"/>
      <c r="DP19" t="inlineStr"/>
      <c r="DQ19" t="inlineStr"/>
      <c r="DR19" t="inlineStr"/>
      <c r="DS19" t="inlineStr"/>
      <c r="DT19" t="inlineStr"/>
      <c r="DU19" t="inlineStr"/>
      <c r="DV19" t="inlineStr"/>
      <c r="DW19" t="inlineStr"/>
      <c r="DX19" t="inlineStr"/>
      <c r="DY19" t="inlineStr"/>
      <c r="DZ19" t="inlineStr"/>
      <c r="EA19" t="inlineStr"/>
      <c r="EB19" t="inlineStr"/>
      <c r="EC19" t="inlineStr"/>
      <c r="ED19" t="inlineStr"/>
      <c r="EE19" t="inlineStr"/>
      <c r="EF19" t="inlineStr"/>
      <c r="EG19" t="inlineStr"/>
      <c r="EH19" t="inlineStr"/>
      <c r="EI19" t="inlineStr"/>
      <c r="EJ19" t="inlineStr"/>
      <c r="EK19" t="inlineStr"/>
      <c r="EL19" t="inlineStr"/>
      <c r="EM19" t="inlineStr"/>
      <c r="EN19" t="inlineStr"/>
      <c r="EO19" t="inlineStr"/>
      <c r="EP19" t="inlineStr"/>
      <c r="EQ19" t="inlineStr"/>
      <c r="ER19" t="inlineStr"/>
      <c r="ES19" t="inlineStr"/>
      <c r="ET19" t="inlineStr"/>
      <c r="EU19" t="inlineStr"/>
      <c r="EV19" t="inlineStr"/>
      <c r="EW19" t="inlineStr"/>
      <c r="EX19" t="inlineStr"/>
      <c r="EY19" t="inlineStr"/>
      <c r="EZ19" t="inlineStr"/>
      <c r="FA19" t="inlineStr"/>
      <c r="FB19" t="inlineStr"/>
      <c r="FC19" t="inlineStr"/>
      <c r="FD19" t="inlineStr"/>
      <c r="FE19" t="inlineStr"/>
      <c r="FF19" t="inlineStr"/>
      <c r="FG19" t="inlineStr"/>
      <c r="FH19" t="inlineStr"/>
      <c r="FI19" t="inlineStr"/>
      <c r="FJ19" t="inlineStr"/>
      <c r="FK19" t="inlineStr"/>
      <c r="FL19" t="inlineStr"/>
      <c r="FM19" t="inlineStr"/>
      <c r="FN19" t="inlineStr"/>
      <c r="FO19" t="inlineStr"/>
      <c r="FP19" t="inlineStr"/>
      <c r="FQ19" t="inlineStr"/>
      <c r="FR19" t="inlineStr"/>
      <c r="FS19" t="inlineStr"/>
      <c r="FT19" t="inlineStr"/>
      <c r="FU19" t="inlineStr"/>
      <c r="FV19" t="inlineStr"/>
      <c r="FW19" t="inlineStr"/>
      <c r="FX19" t="inlineStr"/>
      <c r="FY19" t="inlineStr"/>
      <c r="FZ19" t="inlineStr"/>
      <c r="GA19" t="inlineStr"/>
      <c r="GB19" t="inlineStr"/>
      <c r="GC19" t="inlineStr"/>
      <c r="GD19" t="inlineStr"/>
      <c r="GE19" t="inlineStr"/>
      <c r="GF19" t="inlineStr"/>
      <c r="GG19" t="inlineStr"/>
      <c r="GH19" t="inlineStr"/>
      <c r="GI19" t="inlineStr"/>
      <c r="GJ19" t="inlineStr"/>
      <c r="GK19" t="inlineStr"/>
      <c r="GL19" t="inlineStr"/>
      <c r="GM19" t="inlineStr"/>
      <c r="GN19" t="inlineStr"/>
      <c r="GO19" t="inlineStr"/>
      <c r="GP19" t="inlineStr"/>
      <c r="GQ19" t="inlineStr"/>
      <c r="GR19" t="inlineStr"/>
      <c r="GS19" t="inlineStr"/>
      <c r="GT19" t="inlineStr"/>
      <c r="GU19" t="inlineStr"/>
      <c r="GV19" t="inlineStr"/>
      <c r="GW19" t="inlineStr"/>
      <c r="GX19" t="inlineStr"/>
      <c r="GY19" t="inlineStr"/>
      <c r="GZ19" t="inlineStr"/>
      <c r="HA19" t="inlineStr"/>
      <c r="HB19" t="inlineStr"/>
      <c r="HC19" t="inlineStr"/>
      <c r="HD19" t="inlineStr"/>
      <c r="HE19" t="inlineStr"/>
      <c r="HF19" t="inlineStr"/>
      <c r="HG19" t="inlineStr"/>
      <c r="HH19" t="inlineStr"/>
      <c r="HI19" t="inlineStr"/>
      <c r="HJ19" t="inlineStr"/>
      <c r="HK19" t="inlineStr"/>
      <c r="HL19" t="inlineStr"/>
      <c r="HM19" t="inlineStr"/>
      <c r="HN19" t="inlineStr"/>
      <c r="HO19" t="inlineStr"/>
      <c r="HP19" t="inlineStr"/>
      <c r="HQ19" t="inlineStr"/>
      <c r="HR19" t="inlineStr"/>
      <c r="HS19" t="inlineStr"/>
      <c r="HT19" t="inlineStr"/>
      <c r="HU19" t="inlineStr"/>
      <c r="HV19" t="inlineStr"/>
      <c r="HW19" t="inlineStr"/>
      <c r="HX19" t="inlineStr"/>
      <c r="HY19" t="inlineStr"/>
      <c r="HZ19" t="inlineStr"/>
      <c r="IA19" t="inlineStr"/>
      <c r="IB19" t="inlineStr"/>
      <c r="IC19" t="inlineStr"/>
      <c r="ID19" t="inlineStr"/>
      <c r="IE19" t="inlineStr"/>
      <c r="IF19" t="inlineStr"/>
      <c r="IG19" t="inlineStr"/>
      <c r="IH19" t="inlineStr"/>
      <c r="II19" t="inlineStr"/>
      <c r="IJ19" t="inlineStr"/>
      <c r="IK19" t="inlineStr"/>
      <c r="IL19" t="inlineStr"/>
      <c r="IM19" t="inlineStr"/>
      <c r="IN19" t="inlineStr"/>
      <c r="IO19" t="inlineStr"/>
      <c r="IP19" t="inlineStr"/>
      <c r="IQ19" t="inlineStr"/>
      <c r="IR19" t="inlineStr"/>
      <c r="IS19">
        <f>IF(input_content_type="",FALSE,ISNUMBER(SEARCH(","&amp;LOWER(input_content_type)&amp;",",","&amp;LOWER(F19)&amp;",")))</f>
        <v/>
      </c>
      <c r="IT19">
        <f>AND(IF(M19="",TRUE,IF(input_affiliations="",FALSE,SUMPRODUCT(--ISNUMBER(SEARCH(","&amp;TRIM(TEXTSPLIT(M19,","))&amp;",",","&amp;SUBSTITUTE(input_affiliations," ","")&amp;",")))&gt;0)),IF(O19="",TRUE,IF(input_affiliations="",FALSE,SUMPRODUCT(--ISNUMBER(SEARCH(","&amp;TRIM(TEXTSPLIT(O19,","))&amp;",",","&amp;SUBSTITUTE(input_affiliations," ","")&amp;",")))=COUNTA(TEXTSPLIT(O19,",")))),IF(Q19="",TRUE,IF(input_affiliations="",TRUE,SUMPRODUCT(--ISNUMBER(SEARCH(","&amp;TRIM(TEXTSPLIT(Q19,","))&amp;",",","&amp;SUBSTITUTE(input_affiliations," ","")&amp;",")))=0)),IF(S19="",TRUE,IF(input_affiliations="",FALSE,SUMPRODUCT(--ISNUMBER(SEARCH(","&amp;TRIM(TEXTSPLIT(S19,","))&amp;",",","&amp;SUBSTITUTE(input_affiliations," ","")&amp;",")))&gt;0)),IF(U19="",TRUE,IF(input_affiliations="",FALSE,SUMPRODUCT(--ISNUMBER(SEARCH(","&amp;TRIM(TEXTSPLIT(U19,","))&amp;",",","&amp;SUBSTITUTE(input_affiliations," ","")&amp;",")))=COUNTA(TEXTSPLIT(U19,",")))))</f>
        <v/>
      </c>
      <c r="IU19">
        <f>AND(IF(W19="",TRUE,IF(input_announcement_category="",FALSE,SUMPRODUCT(--ISNUMBER(SEARCH(","&amp;TRIM(TEXTSPLIT(W19,","))&amp;",",","&amp;SUBSTITUTE(input_announcement_category," ","")&amp;",")))&gt;0)),IF(Y19="",TRUE,IF(input_announcement_category="",FALSE,SUMPRODUCT(--ISNUMBER(SEARCH(","&amp;TRIM(TEXTSPLIT(Y19,","))&amp;",",","&amp;SUBSTITUTE(input_announcement_category," ","")&amp;",")))=COUNTA(TEXTSPLIT(Y19,",")))),IF(AA19="",TRUE,IF(input_announcement_category="",TRUE,SUMPRODUCT(--ISNUMBER(SEARCH(","&amp;TRIM(TEXTSPLIT(AA19,","))&amp;",",","&amp;SUBSTITUTE(input_announcement_category," ","")&amp;",")))=0)),IF(AC19="",TRUE,IF(input_announcement_category="",FALSE,SUMPRODUCT(--ISNUMBER(SEARCH(","&amp;TRIM(TEXTSPLIT(AC19,","))&amp;",",","&amp;SUBSTITUTE(input_announcement_category," ","")&amp;",")))&gt;0)),IF(AE19="",TRUE,IF(input_announcement_category="",FALSE,SUMPRODUCT(--ISNUMBER(SEARCH(","&amp;TRIM(TEXTSPLIT(AE19,","))&amp;",",","&amp;SUBSTITUTE(input_announcement_category," ","")&amp;",")))=COUNTA(TEXTSPLIT(AE19,",")))))</f>
        <v/>
      </c>
      <c r="IV19">
        <f>AND(IF(AG19="",TRUE,IF(input_area_of_focus="",FALSE,SUMPRODUCT(--ISNUMBER(SEARCH(","&amp;TRIM(TEXTSPLIT(AG19,","))&amp;",",","&amp;SUBSTITUTE(input_area_of_focus," ","")&amp;",")))&gt;0)),IF(AI19="",TRUE,IF(input_area_of_focus="",FALSE,SUMPRODUCT(--ISNUMBER(SEARCH(","&amp;TRIM(TEXTSPLIT(AI19,","))&amp;",",","&amp;SUBSTITUTE(input_area_of_focus," ","")&amp;",")))=COUNTA(TEXTSPLIT(AI19,",")))),IF(AK19="",TRUE,IF(input_area_of_focus="",TRUE,SUMPRODUCT(--ISNUMBER(SEARCH(","&amp;TRIM(TEXTSPLIT(AK19,","))&amp;",",","&amp;SUBSTITUTE(input_area_of_focus," ","")&amp;",")))=0)),IF(AM19="",TRUE,IF(input_area_of_focus="",FALSE,SUMPRODUCT(--ISNUMBER(SEARCH(","&amp;TRIM(TEXTSPLIT(AM19,","))&amp;",",","&amp;SUBSTITUTE(input_area_of_focus," ","")&amp;",")))&gt;0)),IF(AO19="",TRUE,IF(input_area_of_focus="",FALSE,SUMPRODUCT(--ISNUMBER(SEARCH(","&amp;TRIM(TEXTSPLIT(AO19,","))&amp;",",","&amp;SUBSTITUTE(input_area_of_focus," ","")&amp;",")))=COUNTA(TEXTSPLIT(AO19,",")))))</f>
        <v/>
      </c>
      <c r="IW19">
        <f>AND(IF(AQ19="",TRUE,IF(input_audience="",FALSE,SUMPRODUCT(--ISNUMBER(SEARCH(","&amp;TRIM(TEXTSPLIT(AQ19,","))&amp;",",","&amp;SUBSTITUTE(input_audience," ","")&amp;",")))&gt;0)),IF(AS19="",TRUE,IF(input_audience="",FALSE,SUMPRODUCT(--ISNUMBER(SEARCH(","&amp;TRIM(TEXTSPLIT(AS19,","))&amp;",",","&amp;SUBSTITUTE(input_audience," ","")&amp;",")))=COUNTA(TEXTSPLIT(AS19,",")))),IF(AU19="",TRUE,IF(input_audience="",TRUE,SUMPRODUCT(--ISNUMBER(SEARCH(","&amp;TRIM(TEXTSPLIT(AU19,","))&amp;",",","&amp;SUBSTITUTE(input_audience," ","")&amp;",")))=0)),IF(AW19="",TRUE,IF(input_audience="",FALSE,SUMPRODUCT(--ISNUMBER(SEARCH(","&amp;TRIM(TEXTSPLIT(AW19,","))&amp;",",","&amp;SUBSTITUTE(input_audience," ","")&amp;",")))&gt;0)),IF(AY19="",TRUE,IF(input_audience="",FALSE,SUMPRODUCT(--ISNUMBER(SEARCH(","&amp;TRIM(TEXTSPLIT(AY19,","))&amp;",",","&amp;SUBSTITUTE(input_audience," ","")&amp;",")))=COUNTA(TEXTSPLIT(AY19,",")))))</f>
        <v/>
      </c>
      <c r="IX19">
        <f>AND(IF(BA19="",TRUE,IF(input_challenge_opportunities="",FALSE,SUMPRODUCT(--ISNUMBER(SEARCH(","&amp;TRIM(TEXTSPLIT(BA19,","))&amp;",",","&amp;SUBSTITUTE(input_challenge_opportunities," ","")&amp;",")))&gt;0)),IF(BC19="",TRUE,IF(input_challenge_opportunities="",FALSE,SUMPRODUCT(--ISNUMBER(SEARCH(","&amp;TRIM(TEXTSPLIT(BC19,","))&amp;",",","&amp;SUBSTITUTE(input_challenge_opportunities," ","")&amp;",")))=COUNTA(TEXTSPLIT(BC19,",")))),IF(BE19="",TRUE,IF(input_challenge_opportunities="",TRUE,SUMPRODUCT(--ISNUMBER(SEARCH(","&amp;TRIM(TEXTSPLIT(BE19,","))&amp;",",","&amp;SUBSTITUTE(input_challenge_opportunities," ","")&amp;",")))=0)),IF(BG19="",TRUE,IF(input_challenge_opportunities="",FALSE,SUMPRODUCT(--ISNUMBER(SEARCH(","&amp;TRIM(TEXTSPLIT(BG19,","))&amp;",",","&amp;SUBSTITUTE(input_challenge_opportunities," ","")&amp;",")))&gt;0)),IF(BI19="",TRUE,IF(input_challenge_opportunities="",FALSE,SUMPRODUCT(--ISNUMBER(SEARCH(","&amp;TRIM(TEXTSPLIT(BI19,","))&amp;",",","&amp;SUBSTITUTE(input_challenge_opportunities," ","")&amp;",")))=COUNTA(TEXTSPLIT(BI19,",")))))</f>
        <v/>
      </c>
      <c r="IY19">
        <f>AND(IF(BK19="",TRUE,IF(input_context="",FALSE,SUMPRODUCT(--ISNUMBER(SEARCH(","&amp;TRIM(TEXTSPLIT(BK19,","))&amp;",",","&amp;SUBSTITUTE(input_context," ","")&amp;",")))&gt;0)),IF(BM19="",TRUE,IF(input_context="",FALSE,SUMPRODUCT(--ISNUMBER(SEARCH(","&amp;TRIM(TEXTSPLIT(BM19,","))&amp;",",","&amp;SUBSTITUTE(input_context," ","")&amp;",")))=COUNTA(TEXTSPLIT(BM19,",")))),IF(BO19="",TRUE,IF(input_context="",TRUE,SUMPRODUCT(--ISNUMBER(SEARCH(","&amp;TRIM(TEXTSPLIT(BO19,","))&amp;",",","&amp;SUBSTITUTE(input_context," ","")&amp;",")))=0)),IF(BQ19="",TRUE,IF(input_context="",FALSE,SUMPRODUCT(--ISNUMBER(SEARCH(","&amp;TRIM(TEXTSPLIT(BQ19,","))&amp;",",","&amp;SUBSTITUTE(input_context," ","")&amp;",")))&gt;0)),IF(BS19="",TRUE,IF(input_context="",FALSE,SUMPRODUCT(--ISNUMBER(SEARCH(","&amp;TRIM(TEXTSPLIT(BS19,","))&amp;",",","&amp;SUBSTITUTE(input_context," ","")&amp;",")))=COUNTA(TEXTSPLIT(BS19,",")))))</f>
        <v/>
      </c>
      <c r="IZ19">
        <f>AND(IF(BU19="",TRUE,IF(input_enews_announcement_type="",FALSE,SUMPRODUCT(--ISNUMBER(SEARCH(","&amp;TRIM(TEXTSPLIT(BU19,","))&amp;",",","&amp;SUBSTITUTE(input_enews_announcement_type," ","")&amp;",")))&gt;0)),IF(BW19="",TRUE,IF(input_enews_announcement_type="",FALSE,SUMPRODUCT(--ISNUMBER(SEARCH(","&amp;TRIM(TEXTSPLIT(BW19,","))&amp;",",","&amp;SUBSTITUTE(input_enews_announcement_type," ","")&amp;",")))=COUNTA(TEXTSPLIT(BW19,",")))),IF(BY19="",TRUE,IF(input_enews_announcement_type="",TRUE,SUMPRODUCT(--ISNUMBER(SEARCH(","&amp;TRIM(TEXTSPLIT(BY19,","))&amp;",",","&amp;SUBSTITUTE(input_enews_announcement_type," ","")&amp;",")))=0)),IF(CA19="",TRUE,IF(input_enews_announcement_type="",FALSE,SUMPRODUCT(--ISNUMBER(SEARCH(","&amp;TRIM(TEXTSPLIT(CA19,","))&amp;",",","&amp;SUBSTITUTE(input_enews_announcement_type," ","")&amp;",")))&gt;0)),IF(CC19="",TRUE,IF(input_enews_announcement_type="",FALSE,SUMPRODUCT(--ISNUMBER(SEARCH(","&amp;TRIM(TEXTSPLIT(CC19,","))&amp;",",","&amp;SUBSTITUTE(input_enews_announcement_type," ","")&amp;",")))=COUNTA(TEXTSPLIT(CC19,",")))))</f>
        <v/>
      </c>
      <c r="JA19">
        <f>AND(IF(CE19="",TRUE,IF(input_enews_audience="",FALSE,SUMPRODUCT(--ISNUMBER(SEARCH(","&amp;TRIM(TEXTSPLIT(CE19,","))&amp;",",","&amp;SUBSTITUTE(input_enews_audience," ","")&amp;",")))&gt;0)),IF(CG19="",TRUE,IF(input_enews_audience="",FALSE,SUMPRODUCT(--ISNUMBER(SEARCH(","&amp;TRIM(TEXTSPLIT(CG19,","))&amp;",",","&amp;SUBSTITUTE(input_enews_audience," ","")&amp;",")))=COUNTA(TEXTSPLIT(CG19,",")))),IF(CI19="",TRUE,IF(input_enews_audience="",TRUE,SUMPRODUCT(--ISNUMBER(SEARCH(","&amp;TRIM(TEXTSPLIT(CI19,","))&amp;",",","&amp;SUBSTITUTE(input_enews_audience," ","")&amp;",")))=0)),IF(CK19="",TRUE,IF(input_enews_audience="",FALSE,SUMPRODUCT(--ISNUMBER(SEARCH(","&amp;TRIM(TEXTSPLIT(CK19,","))&amp;",",","&amp;SUBSTITUTE(input_enews_audience," ","")&amp;",")))&gt;0)),IF(CM19="",TRUE,IF(input_enews_audience="",FALSE,SUMPRODUCT(--ISNUMBER(SEARCH(","&amp;TRIM(TEXTSPLIT(CM19,","))&amp;",",","&amp;SUBSTITUTE(input_enews_audience," ","")&amp;",")))=COUNTA(TEXTSPLIT(CM19,",")))))</f>
        <v/>
      </c>
      <c r="JB19">
        <f>AND(IF(CO19="",TRUE,IF(input_event_location="",FALSE,SUMPRODUCT(--ISNUMBER(SEARCH(","&amp;TRIM(TEXTSPLIT(CO19,","))&amp;",",","&amp;SUBSTITUTE(input_event_location," ","")&amp;",")))&gt;0)),IF(CQ19="",TRUE,IF(input_event_location="",FALSE,SUMPRODUCT(--ISNUMBER(SEARCH(","&amp;TRIM(TEXTSPLIT(CQ19,","))&amp;",",","&amp;SUBSTITUTE(input_event_location," ","")&amp;",")))=COUNTA(TEXTSPLIT(CQ19,",")))),IF(CS19="",TRUE,IF(input_event_location="",TRUE,SUMPRODUCT(--ISNUMBER(SEARCH(","&amp;TRIM(TEXTSPLIT(CS19,","))&amp;",",","&amp;SUBSTITUTE(input_event_location," ","")&amp;",")))=0)),IF(CU19="",TRUE,IF(input_event_location="",FALSE,SUMPRODUCT(--ISNUMBER(SEARCH(","&amp;TRIM(TEXTSPLIT(CU19,","))&amp;",",","&amp;SUBSTITUTE(input_event_location," ","")&amp;",")))&gt;0)),IF(CW19="",TRUE,IF(input_event_location="",FALSE,SUMPRODUCT(--ISNUMBER(SEARCH(","&amp;TRIM(TEXTSPLIT(CW19,","))&amp;",",","&amp;SUBSTITUTE(input_event_location," ","")&amp;",")))=COUNTA(TEXTSPLIT(CW19,",")))))</f>
        <v/>
      </c>
      <c r="JC19">
        <f>AND(IF(CY19="",TRUE,IF(input_event_type="",FALSE,SUMPRODUCT(--ISNUMBER(SEARCH(","&amp;TRIM(TEXTSPLIT(CY19,","))&amp;",",","&amp;SUBSTITUTE(input_event_type," ","")&amp;",")))&gt;0)),IF(DA19="",TRUE,IF(input_event_type="",FALSE,SUMPRODUCT(--ISNUMBER(SEARCH(","&amp;TRIM(TEXTSPLIT(DA19,","))&amp;",",","&amp;SUBSTITUTE(input_event_type," ","")&amp;",")))=COUNTA(TEXTSPLIT(DA19,",")))),IF(DC19="",TRUE,IF(input_event_type="",TRUE,SUMPRODUCT(--ISNUMBER(SEARCH(","&amp;TRIM(TEXTSPLIT(DC19,","))&amp;",",","&amp;SUBSTITUTE(input_event_type," ","")&amp;",")))=0)),IF(DE19="",TRUE,IF(input_event_type="",FALSE,SUMPRODUCT(--ISNUMBER(SEARCH(","&amp;TRIM(TEXTSPLIT(DE19,","))&amp;",",","&amp;SUBSTITUTE(input_event_type," ","")&amp;",")))&gt;0)),IF(DG19="",TRUE,IF(input_event_type="",FALSE,SUMPRODUCT(--ISNUMBER(SEARCH(","&amp;TRIM(TEXTSPLIT(DG19,","))&amp;",",","&amp;SUBSTITUTE(input_event_type," ","")&amp;",")))=COUNTA(TEXTSPLIT(DG19,",")))))</f>
        <v/>
      </c>
      <c r="JD19">
        <f>AND(IF(DI19="",TRUE,IF(input_executive_education_focus="",FALSE,SUMPRODUCT(--ISNUMBER(SEARCH(","&amp;TRIM(TEXTSPLIT(DI19,","))&amp;",",","&amp;SUBSTITUTE(input_executive_education_focus," ","")&amp;",")))&gt;0)),IF(DK19="",TRUE,IF(input_executive_education_focus="",FALSE,SUMPRODUCT(--ISNUMBER(SEARCH(","&amp;TRIM(TEXTSPLIT(DK19,","))&amp;",",","&amp;SUBSTITUTE(input_executive_education_focus," ","")&amp;",")))=COUNTA(TEXTSPLIT(DK19,",")))),IF(DM19="",TRUE,IF(input_executive_education_focus="",TRUE,SUMPRODUCT(--ISNUMBER(SEARCH(","&amp;TRIM(TEXTSPLIT(DM19,","))&amp;",",","&amp;SUBSTITUTE(input_executive_education_focus," ","")&amp;",")))=0)),IF(DO19="",TRUE,IF(input_executive_education_focus="",FALSE,SUMPRODUCT(--ISNUMBER(SEARCH(","&amp;TRIM(TEXTSPLIT(DO19,","))&amp;",",","&amp;SUBSTITUTE(input_executive_education_focus," ","")&amp;",")))&gt;0)),IF(DQ19="",TRUE,IF(input_executive_education_focus="",FALSE,SUMPRODUCT(--ISNUMBER(SEARCH(","&amp;TRIM(TEXTSPLIT(DQ19,","))&amp;",",","&amp;SUBSTITUTE(input_executive_education_focus," ","")&amp;",")))=COUNTA(TEXTSPLIT(DQ19,",")))))</f>
        <v/>
      </c>
      <c r="JE19">
        <f>AND(IF(DS19="",TRUE,IF(input_faculty_category="",FALSE,SUMPRODUCT(--ISNUMBER(SEARCH(","&amp;TRIM(TEXTSPLIT(DS19,","))&amp;",",","&amp;SUBSTITUTE(input_faculty_category," ","")&amp;",")))&gt;0)),IF(DU19="",TRUE,IF(input_faculty_category="",FALSE,SUMPRODUCT(--ISNUMBER(SEARCH(","&amp;TRIM(TEXTSPLIT(DU19,","))&amp;",",","&amp;SUBSTITUTE(input_faculty_category," ","")&amp;",")))=COUNTA(TEXTSPLIT(DU19,",")))),IF(DW19="",TRUE,IF(input_faculty_category="",TRUE,SUMPRODUCT(--ISNUMBER(SEARCH(","&amp;TRIM(TEXTSPLIT(DW19,","))&amp;",",","&amp;SUBSTITUTE(input_faculty_category," ","")&amp;",")))=0)),IF(DY19="",TRUE,IF(input_faculty_category="",FALSE,SUMPRODUCT(--ISNUMBER(SEARCH(","&amp;TRIM(TEXTSPLIT(DY19,","))&amp;",",","&amp;SUBSTITUTE(input_faculty_category," ","")&amp;",")))&gt;0)),IF(EA19="",TRUE,IF(input_faculty_category="",FALSE,SUMPRODUCT(--ISNUMBER(SEARCH(","&amp;TRIM(TEXTSPLIT(EA19,","))&amp;",",","&amp;SUBSTITUTE(input_faculty_category," ","")&amp;",")))=COUNTA(TEXTSPLIT(EA19,",")))))</f>
        <v/>
      </c>
      <c r="JF19">
        <f>AND(IF(EC19="",TRUE,IF(input_faculty_discipline="",FALSE,SUMPRODUCT(--ISNUMBER(SEARCH(","&amp;TRIM(TEXTSPLIT(EC19,","))&amp;",",","&amp;SUBSTITUTE(input_faculty_discipline," ","")&amp;",")))&gt;0)),IF(EE19="",TRUE,IF(input_faculty_discipline="",FALSE,SUMPRODUCT(--ISNUMBER(SEARCH(","&amp;TRIM(TEXTSPLIT(EE19,","))&amp;",",","&amp;SUBSTITUTE(input_faculty_discipline," ","")&amp;",")))=COUNTA(TEXTSPLIT(EE19,",")))),IF(EG19="",TRUE,IF(input_faculty_discipline="",TRUE,SUMPRODUCT(--ISNUMBER(SEARCH(","&amp;TRIM(TEXTSPLIT(EG19,","))&amp;",",","&amp;SUBSTITUTE(input_faculty_discipline," ","")&amp;",")))=0)),IF(EI19="",TRUE,IF(input_faculty_discipline="",FALSE,SUMPRODUCT(--ISNUMBER(SEARCH(","&amp;TRIM(TEXTSPLIT(EI19,","))&amp;",",","&amp;SUBSTITUTE(input_faculty_discipline," ","")&amp;",")))&gt;0)),IF(EK19="",TRUE,IF(input_faculty_discipline="",FALSE,SUMPRODUCT(--ISNUMBER(SEARCH(","&amp;TRIM(TEXTSPLIT(EK19,","))&amp;",",","&amp;SUBSTITUTE(input_faculty_discipline," ","")&amp;",")))=COUNTA(TEXTSPLIT(EK19,",")))))</f>
        <v/>
      </c>
      <c r="JG19">
        <f>AND(IF(EM19="",TRUE,IF(input_faculty_expertise="",FALSE,SUMPRODUCT(--ISNUMBER(SEARCH(","&amp;TRIM(TEXTSPLIT(EM19,","))&amp;",",","&amp;SUBSTITUTE(input_faculty_expertise," ","")&amp;",")))&gt;0)),IF(EO19="",TRUE,IF(input_faculty_expertise="",FALSE,SUMPRODUCT(--ISNUMBER(SEARCH(","&amp;TRIM(TEXTSPLIT(EO19,","))&amp;",",","&amp;SUBSTITUTE(input_faculty_expertise," ","")&amp;",")))=COUNTA(TEXTSPLIT(EO19,",")))),IF(EQ19="",TRUE,IF(input_faculty_expertise="",TRUE,SUMPRODUCT(--ISNUMBER(SEARCH(","&amp;TRIM(TEXTSPLIT(EQ19,","))&amp;",",","&amp;SUBSTITUTE(input_faculty_expertise," ","")&amp;",")))=0)),IF(ES19="",TRUE,IF(input_faculty_expertise="",FALSE,SUMPRODUCT(--ISNUMBER(SEARCH(","&amp;TRIM(TEXTSPLIT(ES19,","))&amp;",",","&amp;SUBSTITUTE(input_faculty_expertise," ","")&amp;",")))&gt;0)),IF(EU19="",TRUE,IF(input_faculty_expertise="",FALSE,SUMPRODUCT(--ISNUMBER(SEARCH(","&amp;TRIM(TEXTSPLIT(EU19,","))&amp;",",","&amp;SUBSTITUTE(input_faculty_expertise," ","")&amp;",")))=COUNTA(TEXTSPLIT(EU19,",")))))</f>
        <v/>
      </c>
      <c r="JH19">
        <f>AND(IF(EW19="",TRUE,IF(input_global_network_school="",FALSE,SUMPRODUCT(--ISNUMBER(SEARCH(","&amp;TRIM(TEXTSPLIT(EW19,","))&amp;",",","&amp;SUBSTITUTE(input_global_network_school," ","")&amp;",")))&gt;0)),IF(EY19="",TRUE,IF(input_global_network_school="",FALSE,SUMPRODUCT(--ISNUMBER(SEARCH(","&amp;TRIM(TEXTSPLIT(EY19,","))&amp;",",","&amp;SUBSTITUTE(input_global_network_school," ","")&amp;",")))=COUNTA(TEXTSPLIT(EY19,",")))),IF(FA19="",TRUE,IF(input_global_network_school="",TRUE,SUMPRODUCT(--ISNUMBER(SEARCH(","&amp;TRIM(TEXTSPLIT(FA19,","))&amp;",",","&amp;SUBSTITUTE(input_global_network_school," ","")&amp;",")))=0)),IF(FC19="",TRUE,IF(input_global_network_school="",FALSE,SUMPRODUCT(--ISNUMBER(SEARCH(","&amp;TRIM(TEXTSPLIT(FC19,","))&amp;",",","&amp;SUBSTITUTE(input_global_network_school," ","")&amp;",")))&gt;0)),IF(FE19="",TRUE,IF(input_global_network_school="",FALSE,SUMPRODUCT(--ISNUMBER(SEARCH(","&amp;TRIM(TEXTSPLIT(FE19,","))&amp;",",","&amp;SUBSTITUTE(input_global_network_school," ","")&amp;",")))=COUNTA(TEXTSPLIT(FE19,",")))))</f>
        <v/>
      </c>
      <c r="JI19">
        <f>AND(IF(FG19="",TRUE,IF(input_industry="",FALSE,SUMPRODUCT(--ISNUMBER(SEARCH(","&amp;TRIM(TEXTSPLIT(FG19,","))&amp;",",","&amp;SUBSTITUTE(input_industry," ","")&amp;",")))&gt;0)),IF(FI19="",TRUE,IF(input_industry="",FALSE,SUMPRODUCT(--ISNUMBER(SEARCH(","&amp;TRIM(TEXTSPLIT(FI19,","))&amp;",",","&amp;SUBSTITUTE(input_industry," ","")&amp;",")))=COUNTA(TEXTSPLIT(FI19,",")))),IF(FK19="",TRUE,IF(input_industry="",TRUE,SUMPRODUCT(--ISNUMBER(SEARCH(","&amp;TRIM(TEXTSPLIT(FK19,","))&amp;",",","&amp;SUBSTITUTE(input_industry," ","")&amp;",")))=0)),IF(FM19="",TRUE,IF(input_industry="",FALSE,SUMPRODUCT(--ISNUMBER(SEARCH(","&amp;TRIM(TEXTSPLIT(FM19,","))&amp;",",","&amp;SUBSTITUTE(input_industry," ","")&amp;",")))&gt;0)),IF(FO19="",TRUE,IF(input_industry="",FALSE,SUMPRODUCT(--ISNUMBER(SEARCH(","&amp;TRIM(TEXTSPLIT(FO19,","))&amp;",",","&amp;SUBSTITUTE(input_industry," ","")&amp;",")))=COUNTA(TEXTSPLIT(FO19,",")))))</f>
        <v/>
      </c>
      <c r="JJ19">
        <f>AND(IF(FQ19="",TRUE,IF(input_location="",FALSE,SUMPRODUCT(--ISNUMBER(SEARCH(","&amp;TRIM(TEXTSPLIT(FQ19,","))&amp;",",","&amp;SUBSTITUTE(input_location," ","")&amp;",")))&gt;0)),IF(FS19="",TRUE,IF(input_location="",FALSE,SUMPRODUCT(--ISNUMBER(SEARCH(","&amp;TRIM(TEXTSPLIT(FS19,","))&amp;",",","&amp;SUBSTITUTE(input_location," ","")&amp;",")))=COUNTA(TEXTSPLIT(FS19,",")))),IF(FU19="",TRUE,IF(input_location="",TRUE,SUMPRODUCT(--ISNUMBER(SEARCH(","&amp;TRIM(TEXTSPLIT(FU19,","))&amp;",",","&amp;SUBSTITUTE(input_location," ","")&amp;",")))=0)),IF(FW19="",TRUE,IF(input_location="",FALSE,SUMPRODUCT(--ISNUMBER(SEARCH(","&amp;TRIM(TEXTSPLIT(FW19,","))&amp;",",","&amp;SUBSTITUTE(input_location," ","")&amp;",")))&gt;0)),IF(FY19="",TRUE,IF(input_location="",FALSE,SUMPRODUCT(--ISNUMBER(SEARCH(","&amp;TRIM(TEXTSPLIT(FY19,","))&amp;",",","&amp;SUBSTITUTE(input_location," ","")&amp;",")))=COUNTA(TEXTSPLIT(FY19,",")))))</f>
        <v/>
      </c>
      <c r="JK19">
        <f>AND(IF(GA19="",TRUE,IF(input_modality="",FALSE,SUMPRODUCT(--ISNUMBER(SEARCH(","&amp;TRIM(TEXTSPLIT(GA19,","))&amp;",",","&amp;SUBSTITUTE(input_modality," ","")&amp;",")))&gt;0)),IF(GC19="",TRUE,IF(input_modality="",FALSE,SUMPRODUCT(--ISNUMBER(SEARCH(","&amp;TRIM(TEXTSPLIT(GC19,","))&amp;",",","&amp;SUBSTITUTE(input_modality," ","")&amp;",")))=COUNTA(TEXTSPLIT(GC19,",")))),IF(GE19="",TRUE,IF(input_modality="",TRUE,SUMPRODUCT(--ISNUMBER(SEARCH(","&amp;TRIM(TEXTSPLIT(GE19,","))&amp;",",","&amp;SUBSTITUTE(input_modality," ","")&amp;",")))=0)),IF(GG19="",TRUE,IF(input_modality="",FALSE,SUMPRODUCT(--ISNUMBER(SEARCH(","&amp;TRIM(TEXTSPLIT(GG19,","))&amp;",",","&amp;SUBSTITUTE(input_modality," ","")&amp;",")))&gt;0)),IF(GI19="",TRUE,IF(input_modality="",FALSE,SUMPRODUCT(--ISNUMBER(SEARCH(","&amp;TRIM(TEXTSPLIT(GI19,","))&amp;",",","&amp;SUBSTITUTE(input_modality," ","")&amp;",")))=COUNTA(TEXTSPLIT(GI19,",")))))</f>
        <v/>
      </c>
      <c r="JL19">
        <f>AND(IF(GK19="",TRUE,IF(input_organizer="",FALSE,SUMPRODUCT(--ISNUMBER(SEARCH(","&amp;TRIM(TEXTSPLIT(GK19,","))&amp;",",","&amp;SUBSTITUTE(input_organizer," ","")&amp;",")))&gt;0)),IF(GM19="",TRUE,IF(input_organizer="",FALSE,SUMPRODUCT(--ISNUMBER(SEARCH(","&amp;TRIM(TEXTSPLIT(GM19,","))&amp;",",","&amp;SUBSTITUTE(input_organizer," ","")&amp;",")))=COUNTA(TEXTSPLIT(GM19,",")))),IF(GO19="",TRUE,IF(input_organizer="",TRUE,SUMPRODUCT(--ISNUMBER(SEARCH(","&amp;TRIM(TEXTSPLIT(GO19,","))&amp;",",","&amp;SUBSTITUTE(input_organizer," ","")&amp;",")))=0)),IF(GQ19="",TRUE,IF(input_organizer="",FALSE,SUMPRODUCT(--ISNUMBER(SEARCH(","&amp;TRIM(TEXTSPLIT(GQ19,","))&amp;",",","&amp;SUBSTITUTE(input_organizer," ","")&amp;",")))&gt;0)),IF(GS19="",TRUE,IF(input_organizer="",FALSE,SUMPRODUCT(--ISNUMBER(SEARCH(","&amp;TRIM(TEXTSPLIT(GS19,","))&amp;",",","&amp;SUBSTITUTE(input_organizer," ","")&amp;",")))=COUNTA(TEXTSPLIT(GS19,",")))))</f>
        <v/>
      </c>
      <c r="JM19">
        <f>AND(IF(GU19="",TRUE,IF(input_profile_type="",FALSE,SUMPRODUCT(--ISNUMBER(SEARCH(","&amp;TRIM(TEXTSPLIT(GU19,","))&amp;",",","&amp;SUBSTITUTE(input_profile_type," ","")&amp;",")))&gt;0)),IF(GW19="",TRUE,IF(input_profile_type="",FALSE,SUMPRODUCT(--ISNUMBER(SEARCH(","&amp;TRIM(TEXTSPLIT(GW19,","))&amp;",",","&amp;SUBSTITUTE(input_profile_type," ","")&amp;",")))=COUNTA(TEXTSPLIT(GW19,",")))),IF(GY19="",TRUE,IF(input_profile_type="",TRUE,SUMPRODUCT(--ISNUMBER(SEARCH(","&amp;TRIM(TEXTSPLIT(GY19,","))&amp;",",","&amp;SUBSTITUTE(input_profile_type," ","")&amp;",")))=0)),IF(HA19="",TRUE,IF(input_profile_type="",FALSE,SUMPRODUCT(--ISNUMBER(SEARCH(","&amp;TRIM(TEXTSPLIT(HA19,","))&amp;",",","&amp;SUBSTITUTE(input_profile_type," ","")&amp;",")))&gt;0)),IF(HC19="",TRUE,IF(input_profile_type="",FALSE,SUMPRODUCT(--ISNUMBER(SEARCH(","&amp;TRIM(TEXTSPLIT(HC19,","))&amp;",",","&amp;SUBSTITUTE(input_profile_type," ","")&amp;",")))=COUNTA(TEXTSPLIT(HC19,",")))))</f>
        <v/>
      </c>
      <c r="JN19">
        <f>AND(IF(HE19="",TRUE,IF(input_program="",FALSE,SUMPRODUCT(--ISNUMBER(SEARCH(","&amp;TRIM(TEXTSPLIT(HE19,","))&amp;",",","&amp;SUBSTITUTE(input_program," ","")&amp;",")))&gt;0)),IF(HG19="",TRUE,IF(input_program="",FALSE,SUMPRODUCT(--ISNUMBER(SEARCH(","&amp;TRIM(TEXTSPLIT(HG19,","))&amp;",",","&amp;SUBSTITUTE(input_program," ","")&amp;",")))=COUNTA(TEXTSPLIT(HG19,",")))),IF(HI19="",TRUE,IF(input_program="",TRUE,SUMPRODUCT(--ISNUMBER(SEARCH(","&amp;TRIM(TEXTSPLIT(HI19,","))&amp;",",","&amp;SUBSTITUTE(input_program," ","")&amp;",")))=0)),IF(HK19="",TRUE,IF(input_program="",FALSE,SUMPRODUCT(--ISNUMBER(SEARCH(","&amp;TRIM(TEXTSPLIT(HK19,","))&amp;",",","&amp;SUBSTITUTE(input_program," ","")&amp;",")))&gt;0)),IF(HM19="",TRUE,IF(input_program="",FALSE,SUMPRODUCT(--ISNUMBER(SEARCH(","&amp;TRIM(TEXTSPLIT(HM19,","))&amp;",",","&amp;SUBSTITUTE(input_program," ","")&amp;",")))=COUNTA(TEXTSPLIT(HM19,",")))))</f>
        <v/>
      </c>
      <c r="JO19">
        <f>AND(IF(HO19="",TRUE,IF(input_story_categories="",FALSE,SUMPRODUCT(--ISNUMBER(SEARCH(","&amp;TRIM(TEXTSPLIT(HO19,","))&amp;",",","&amp;SUBSTITUTE(input_story_categories," ","")&amp;",")))&gt;0)),IF(HQ19="",TRUE,IF(input_story_categories="",FALSE,SUMPRODUCT(--ISNUMBER(SEARCH(","&amp;TRIM(TEXTSPLIT(HQ19,","))&amp;",",","&amp;SUBSTITUTE(input_story_categories," ","")&amp;",")))=COUNTA(TEXTSPLIT(HQ19,",")))),IF(HS19="",TRUE,IF(input_story_categories="",TRUE,SUMPRODUCT(--ISNUMBER(SEARCH(","&amp;TRIM(TEXTSPLIT(HS19,","))&amp;",",","&amp;SUBSTITUTE(input_story_categories," ","")&amp;",")))=0)),IF(HU19="",TRUE,IF(input_story_categories="",FALSE,SUMPRODUCT(--ISNUMBER(SEARCH(","&amp;TRIM(TEXTSPLIT(HU19,","))&amp;",",","&amp;SUBSTITUTE(input_story_categories," ","")&amp;",")))&gt;0)),IF(HW19="",TRUE,IF(input_story_categories="",FALSE,SUMPRODUCT(--ISNUMBER(SEARCH(","&amp;TRIM(TEXTSPLIT(HW19,","))&amp;",",","&amp;SUBSTITUTE(input_story_categories," ","")&amp;",")))=COUNTA(TEXTSPLIT(HW19,",")))))</f>
        <v/>
      </c>
      <c r="JP19">
        <f>AND(IF(HY19="",TRUE,IF(input_story_type="",FALSE,SUMPRODUCT(--ISNUMBER(SEARCH(","&amp;TRIM(TEXTSPLIT(HY19,","))&amp;",",","&amp;SUBSTITUTE(input_story_type," ","")&amp;",")))&gt;0)),IF(IA19="",TRUE,IF(input_story_type="",FALSE,SUMPRODUCT(--ISNUMBER(SEARCH(","&amp;TRIM(TEXTSPLIT(IA19,","))&amp;",",","&amp;SUBSTITUTE(input_story_type," ","")&amp;",")))=COUNTA(TEXTSPLIT(IA19,",")))),IF(IC19="",TRUE,IF(input_story_type="",TRUE,SUMPRODUCT(--ISNUMBER(SEARCH(","&amp;TRIM(TEXTSPLIT(IC19,","))&amp;",",","&amp;SUBSTITUTE(input_story_type," ","")&amp;",")))=0)),IF(IE19="",TRUE,IF(input_story_type="",FALSE,SUMPRODUCT(--ISNUMBER(SEARCH(","&amp;TRIM(TEXTSPLIT(IE19,","))&amp;",",","&amp;SUBSTITUTE(input_story_type," ","")&amp;",")))&gt;0)),IF(IG19="",TRUE,IF(input_story_type="",FALSE,SUMPRODUCT(--ISNUMBER(SEARCH(","&amp;TRIM(TEXTSPLIT(IG19,","))&amp;",",","&amp;SUBSTITUTE(input_story_type," ","")&amp;",")))=COUNTA(TEXTSPLIT(IG19,",")))))</f>
        <v/>
      </c>
      <c r="JQ19">
        <f>AND(IF(II19="",TRUE,IF(input_topics="",FALSE,SUMPRODUCT(--ISNUMBER(SEARCH(","&amp;TRIM(TEXTSPLIT(II19,","))&amp;",",","&amp;SUBSTITUTE(input_topics," ","")&amp;",")))&gt;0)),IF(IK19="",TRUE,IF(input_topics="",FALSE,SUMPRODUCT(--ISNUMBER(SEARCH(","&amp;TRIM(TEXTSPLIT(IK19,","))&amp;",",","&amp;SUBSTITUTE(input_topics," ","")&amp;",")))=COUNTA(TEXTSPLIT(IK19,",")))),IF(IM19="",TRUE,IF(input_topics="",TRUE,SUMPRODUCT(--ISNUMBER(SEARCH(","&amp;TRIM(TEXTSPLIT(IM19,","))&amp;",",","&amp;SUBSTITUTE(input_topics," ","")&amp;",")))=0)),IF(IO19="",TRUE,IF(input_topics="",FALSE,SUMPRODUCT(--ISNUMBER(SEARCH(","&amp;TRIM(TEXTSPLIT(IO19,","))&amp;",",","&amp;SUBSTITUTE(input_topics," ","")&amp;",")))&gt;0)),IF(IQ19="",TRUE,IF(input_topics="",FALSE,SUMPRODUCT(--ISNUMBER(SEARCH(","&amp;TRIM(TEXTSPLIT(IQ19,","))&amp;",",","&amp;SUBSTITUTE(input_topics," ","")&amp;",")))=COUNTA(TEXTSPLIT(IQ19,",")))))</f>
        <v/>
      </c>
    </row>
    <row r="20">
      <c r="A20" s="4">
        <f>IF(NOT(IS20),"Excluded",IF(AND(IT20,IU20,IV20,IW20,IX20,IY20,IZ20,JA20,JB20,JC20,JD20,JE20,JF20,JG20,JH20,JI20,JJ20,JK20,JL20,JM20,JN20,JO20,JP20,JQ20),IF(I20&gt;0,"Eligible but limited","Will appear"),"Excluded"))</f>
        <v/>
      </c>
      <c r="B20" s="4" t="inlineStr">
        <is>
          <t>All Publications by Author</t>
        </is>
      </c>
      <c r="C20" s="4" t="inlineStr">
        <is>
          <t>/faculty-research/faculty-directory/barry-nalebuff</t>
        </is>
      </c>
      <c r="D20" s="4" t="inlineStr">
        <is>
          <t>/faculty-research/faculty-directory/barry-nalebuff</t>
        </is>
      </c>
      <c r="E20" s="4" t="n">
        <v>1</v>
      </c>
      <c r="F20" s="4" t="inlineStr">
        <is>
          <t>publications</t>
        </is>
      </c>
      <c r="G20" s="4" t="inlineStr">
        <is>
          <t>publication_teaser_list</t>
        </is>
      </c>
      <c r="H20" s="4" t="inlineStr">
        <is>
          <t>publication_teaser_list_all_by_author</t>
        </is>
      </c>
      <c r="I20" s="4" t="inlineStr"/>
      <c r="J20" s="4" t="inlineStr">
        <is>
          <t>View/config rules</t>
        </is>
      </c>
      <c r="K20" s="4" t="inlineStr">
        <is>
          <t>Page placement</t>
        </is>
      </c>
      <c r="L20" s="4" t="inlineStr">
        <is>
          <t>Content type: publications; Source: View/config rules</t>
        </is>
      </c>
      <c r="M20" t="inlineStr"/>
      <c r="N20" t="inlineStr"/>
      <c r="O20" t="inlineStr"/>
      <c r="P20" t="inlineStr"/>
      <c r="Q20" t="inlineStr"/>
      <c r="R20" t="inlineStr"/>
      <c r="S20" t="inlineStr"/>
      <c r="T20" t="inlineStr"/>
      <c r="U20" t="inlineStr"/>
      <c r="V20" t="inlineStr"/>
      <c r="W20" t="inlineStr"/>
      <c r="X20" t="inlineStr"/>
      <c r="Y20" t="inlineStr"/>
      <c r="Z20" t="inlineStr"/>
      <c r="AA20" t="inlineStr"/>
      <c r="AB20" t="inlineStr"/>
      <c r="AC20" t="inlineStr"/>
      <c r="AD20" t="inlineStr"/>
      <c r="AE20" t="inlineStr"/>
      <c r="AF20" t="inlineStr"/>
      <c r="AG20" t="inlineStr"/>
      <c r="AH20" t="inlineStr"/>
      <c r="AI20" t="inlineStr"/>
      <c r="AJ20" t="inlineStr"/>
      <c r="AK20" t="inlineStr"/>
      <c r="AL20" t="inlineStr"/>
      <c r="AM20" t="inlineStr"/>
      <c r="AN20" t="inlineStr"/>
      <c r="AO20" t="inlineStr"/>
      <c r="AP20" t="inlineStr"/>
      <c r="AQ20" t="inlineStr"/>
      <c r="AR20" t="inlineStr"/>
      <c r="AS20" t="inlineStr"/>
      <c r="AT20" t="inlineStr"/>
      <c r="AU20" t="inlineStr"/>
      <c r="AV20" t="inlineStr"/>
      <c r="AW20" t="inlineStr"/>
      <c r="AX20" t="inlineStr"/>
      <c r="AY20" t="inlineStr"/>
      <c r="AZ20" t="inlineStr"/>
      <c r="BA20" t="inlineStr"/>
      <c r="BB20" t="inlineStr"/>
      <c r="BC20" t="inlineStr"/>
      <c r="BD20" t="inlineStr"/>
      <c r="BE20" t="inlineStr"/>
      <c r="BF20" t="inlineStr"/>
      <c r="BG20" t="inlineStr"/>
      <c r="BH20" t="inlineStr"/>
      <c r="BI20" t="inlineStr"/>
      <c r="BJ20" t="inlineStr"/>
      <c r="BK20" t="inlineStr"/>
      <c r="BL20" t="inlineStr"/>
      <c r="BM20" t="inlineStr"/>
      <c r="BN20" t="inlineStr"/>
      <c r="BO20" t="inlineStr"/>
      <c r="BP20" t="inlineStr"/>
      <c r="BQ20" t="inlineStr"/>
      <c r="BR20" t="inlineStr"/>
      <c r="BS20" t="inlineStr"/>
      <c r="BT20" t="inlineStr"/>
      <c r="BU20" t="inlineStr"/>
      <c r="BV20" t="inlineStr"/>
      <c r="BW20" t="inlineStr"/>
      <c r="BX20" t="inlineStr"/>
      <c r="BY20" t="inlineStr"/>
      <c r="BZ20" t="inlineStr"/>
      <c r="CA20" t="inlineStr"/>
      <c r="CB20" t="inlineStr"/>
      <c r="CC20" t="inlineStr"/>
      <c r="CD20" t="inlineStr"/>
      <c r="CE20" t="inlineStr"/>
      <c r="CF20" t="inlineStr"/>
      <c r="CG20" t="inlineStr"/>
      <c r="CH20" t="inlineStr"/>
      <c r="CI20" t="inlineStr"/>
      <c r="CJ20" t="inlineStr"/>
      <c r="CK20" t="inlineStr"/>
      <c r="CL20" t="inlineStr"/>
      <c r="CM20" t="inlineStr"/>
      <c r="CN20" t="inlineStr"/>
      <c r="CO20" t="inlineStr"/>
      <c r="CP20" t="inlineStr"/>
      <c r="CQ20" t="inlineStr"/>
      <c r="CR20" t="inlineStr"/>
      <c r="CS20" t="inlineStr"/>
      <c r="CT20" t="inlineStr"/>
      <c r="CU20" t="inlineStr"/>
      <c r="CV20" t="inlineStr"/>
      <c r="CW20" t="inlineStr"/>
      <c r="CX20" t="inlineStr"/>
      <c r="CY20" t="inlineStr"/>
      <c r="CZ20" t="inlineStr"/>
      <c r="DA20" t="inlineStr"/>
      <c r="DB20" t="inlineStr"/>
      <c r="DC20" t="inlineStr"/>
      <c r="DD20" t="inlineStr"/>
      <c r="DE20" t="inlineStr"/>
      <c r="DF20" t="inlineStr"/>
      <c r="DG20" t="inlineStr"/>
      <c r="DH20" t="inlineStr"/>
      <c r="DI20" t="inlineStr"/>
      <c r="DJ20" t="inlineStr"/>
      <c r="DK20" t="inlineStr"/>
      <c r="DL20" t="inlineStr"/>
      <c r="DM20" t="inlineStr"/>
      <c r="DN20" t="inlineStr"/>
      <c r="DO20" t="inlineStr"/>
      <c r="DP20" t="inlineStr"/>
      <c r="DQ20" t="inlineStr"/>
      <c r="DR20" t="inlineStr"/>
      <c r="DS20" t="inlineStr"/>
      <c r="DT20" t="inlineStr"/>
      <c r="DU20" t="inlineStr"/>
      <c r="DV20" t="inlineStr"/>
      <c r="DW20" t="inlineStr"/>
      <c r="DX20" t="inlineStr"/>
      <c r="DY20" t="inlineStr"/>
      <c r="DZ20" t="inlineStr"/>
      <c r="EA20" t="inlineStr"/>
      <c r="EB20" t="inlineStr"/>
      <c r="EC20" t="inlineStr"/>
      <c r="ED20" t="inlineStr"/>
      <c r="EE20" t="inlineStr"/>
      <c r="EF20" t="inlineStr"/>
      <c r="EG20" t="inlineStr"/>
      <c r="EH20" t="inlineStr"/>
      <c r="EI20" t="inlineStr"/>
      <c r="EJ20" t="inlineStr"/>
      <c r="EK20" t="inlineStr"/>
      <c r="EL20" t="inlineStr"/>
      <c r="EM20" t="inlineStr"/>
      <c r="EN20" t="inlineStr"/>
      <c r="EO20" t="inlineStr"/>
      <c r="EP20" t="inlineStr"/>
      <c r="EQ20" t="inlineStr"/>
      <c r="ER20" t="inlineStr"/>
      <c r="ES20" t="inlineStr"/>
      <c r="ET20" t="inlineStr"/>
      <c r="EU20" t="inlineStr"/>
      <c r="EV20" t="inlineStr"/>
      <c r="EW20" t="inlineStr"/>
      <c r="EX20" t="inlineStr"/>
      <c r="EY20" t="inlineStr"/>
      <c r="EZ20" t="inlineStr"/>
      <c r="FA20" t="inlineStr"/>
      <c r="FB20" t="inlineStr"/>
      <c r="FC20" t="inlineStr"/>
      <c r="FD20" t="inlineStr"/>
      <c r="FE20" t="inlineStr"/>
      <c r="FF20" t="inlineStr"/>
      <c r="FG20" t="inlineStr"/>
      <c r="FH20" t="inlineStr"/>
      <c r="FI20" t="inlineStr"/>
      <c r="FJ20" t="inlineStr"/>
      <c r="FK20" t="inlineStr"/>
      <c r="FL20" t="inlineStr"/>
      <c r="FM20" t="inlineStr"/>
      <c r="FN20" t="inlineStr"/>
      <c r="FO20" t="inlineStr"/>
      <c r="FP20" t="inlineStr"/>
      <c r="FQ20" t="inlineStr"/>
      <c r="FR20" t="inlineStr"/>
      <c r="FS20" t="inlineStr"/>
      <c r="FT20" t="inlineStr"/>
      <c r="FU20" t="inlineStr"/>
      <c r="FV20" t="inlineStr"/>
      <c r="FW20" t="inlineStr"/>
      <c r="FX20" t="inlineStr"/>
      <c r="FY20" t="inlineStr"/>
      <c r="FZ20" t="inlineStr"/>
      <c r="GA20" t="inlineStr"/>
      <c r="GB20" t="inlineStr"/>
      <c r="GC20" t="inlineStr"/>
      <c r="GD20" t="inlineStr"/>
      <c r="GE20" t="inlineStr"/>
      <c r="GF20" t="inlineStr"/>
      <c r="GG20" t="inlineStr"/>
      <c r="GH20" t="inlineStr"/>
      <c r="GI20" t="inlineStr"/>
      <c r="GJ20" t="inlineStr"/>
      <c r="GK20" t="inlineStr"/>
      <c r="GL20" t="inlineStr"/>
      <c r="GM20" t="inlineStr"/>
      <c r="GN20" t="inlineStr"/>
      <c r="GO20" t="inlineStr"/>
      <c r="GP20" t="inlineStr"/>
      <c r="GQ20" t="inlineStr"/>
      <c r="GR20" t="inlineStr"/>
      <c r="GS20" t="inlineStr"/>
      <c r="GT20" t="inlineStr"/>
      <c r="GU20" t="inlineStr"/>
      <c r="GV20" t="inlineStr"/>
      <c r="GW20" t="inlineStr"/>
      <c r="GX20" t="inlineStr"/>
      <c r="GY20" t="inlineStr"/>
      <c r="GZ20" t="inlineStr"/>
      <c r="HA20" t="inlineStr"/>
      <c r="HB20" t="inlineStr"/>
      <c r="HC20" t="inlineStr"/>
      <c r="HD20" t="inlineStr"/>
      <c r="HE20" t="inlineStr"/>
      <c r="HF20" t="inlineStr"/>
      <c r="HG20" t="inlineStr"/>
      <c r="HH20" t="inlineStr"/>
      <c r="HI20" t="inlineStr"/>
      <c r="HJ20" t="inlineStr"/>
      <c r="HK20" t="inlineStr"/>
      <c r="HL20" t="inlineStr"/>
      <c r="HM20" t="inlineStr"/>
      <c r="HN20" t="inlineStr"/>
      <c r="HO20" t="inlineStr"/>
      <c r="HP20" t="inlineStr"/>
      <c r="HQ20" t="inlineStr"/>
      <c r="HR20" t="inlineStr"/>
      <c r="HS20" t="inlineStr"/>
      <c r="HT20" t="inlineStr"/>
      <c r="HU20" t="inlineStr"/>
      <c r="HV20" t="inlineStr"/>
      <c r="HW20" t="inlineStr"/>
      <c r="HX20" t="inlineStr"/>
      <c r="HY20" t="inlineStr"/>
      <c r="HZ20" t="inlineStr"/>
      <c r="IA20" t="inlineStr"/>
      <c r="IB20" t="inlineStr"/>
      <c r="IC20" t="inlineStr"/>
      <c r="ID20" t="inlineStr"/>
      <c r="IE20" t="inlineStr"/>
      <c r="IF20" t="inlineStr"/>
      <c r="IG20" t="inlineStr"/>
      <c r="IH20" t="inlineStr"/>
      <c r="II20" t="inlineStr"/>
      <c r="IJ20" t="inlineStr"/>
      <c r="IK20" t="inlineStr"/>
      <c r="IL20" t="inlineStr"/>
      <c r="IM20" t="inlineStr"/>
      <c r="IN20" t="inlineStr"/>
      <c r="IO20" t="inlineStr"/>
      <c r="IP20" t="inlineStr"/>
      <c r="IQ20" t="inlineStr"/>
      <c r="IR20" t="inlineStr"/>
      <c r="IS20">
        <f>IF(input_content_type="",FALSE,ISNUMBER(SEARCH(","&amp;LOWER(input_content_type)&amp;",",","&amp;LOWER(F20)&amp;",")))</f>
        <v/>
      </c>
      <c r="IT20">
        <f>AND(IF(M20="",TRUE,IF(input_affiliations="",FALSE,SUMPRODUCT(--ISNUMBER(SEARCH(","&amp;TRIM(TEXTSPLIT(M20,","))&amp;",",","&amp;SUBSTITUTE(input_affiliations," ","")&amp;",")))&gt;0)),IF(O20="",TRUE,IF(input_affiliations="",FALSE,SUMPRODUCT(--ISNUMBER(SEARCH(","&amp;TRIM(TEXTSPLIT(O20,","))&amp;",",","&amp;SUBSTITUTE(input_affiliations," ","")&amp;",")))=COUNTA(TEXTSPLIT(O20,",")))),IF(Q20="",TRUE,IF(input_affiliations="",TRUE,SUMPRODUCT(--ISNUMBER(SEARCH(","&amp;TRIM(TEXTSPLIT(Q20,","))&amp;",",","&amp;SUBSTITUTE(input_affiliations," ","")&amp;",")))=0)),IF(S20="",TRUE,IF(input_affiliations="",FALSE,SUMPRODUCT(--ISNUMBER(SEARCH(","&amp;TRIM(TEXTSPLIT(S20,","))&amp;",",","&amp;SUBSTITUTE(input_affiliations," ","")&amp;",")))&gt;0)),IF(U20="",TRUE,IF(input_affiliations="",FALSE,SUMPRODUCT(--ISNUMBER(SEARCH(","&amp;TRIM(TEXTSPLIT(U20,","))&amp;",",","&amp;SUBSTITUTE(input_affiliations," ","")&amp;",")))=COUNTA(TEXTSPLIT(U20,",")))))</f>
        <v/>
      </c>
      <c r="IU20">
        <f>AND(IF(W20="",TRUE,IF(input_announcement_category="",FALSE,SUMPRODUCT(--ISNUMBER(SEARCH(","&amp;TRIM(TEXTSPLIT(W20,","))&amp;",",","&amp;SUBSTITUTE(input_announcement_category," ","")&amp;",")))&gt;0)),IF(Y20="",TRUE,IF(input_announcement_category="",FALSE,SUMPRODUCT(--ISNUMBER(SEARCH(","&amp;TRIM(TEXTSPLIT(Y20,","))&amp;",",","&amp;SUBSTITUTE(input_announcement_category," ","")&amp;",")))=COUNTA(TEXTSPLIT(Y20,",")))),IF(AA20="",TRUE,IF(input_announcement_category="",TRUE,SUMPRODUCT(--ISNUMBER(SEARCH(","&amp;TRIM(TEXTSPLIT(AA20,","))&amp;",",","&amp;SUBSTITUTE(input_announcement_category," ","")&amp;",")))=0)),IF(AC20="",TRUE,IF(input_announcement_category="",FALSE,SUMPRODUCT(--ISNUMBER(SEARCH(","&amp;TRIM(TEXTSPLIT(AC20,","))&amp;",",","&amp;SUBSTITUTE(input_announcement_category," ","")&amp;",")))&gt;0)),IF(AE20="",TRUE,IF(input_announcement_category="",FALSE,SUMPRODUCT(--ISNUMBER(SEARCH(","&amp;TRIM(TEXTSPLIT(AE20,","))&amp;",",","&amp;SUBSTITUTE(input_announcement_category," ","")&amp;",")))=COUNTA(TEXTSPLIT(AE20,",")))))</f>
        <v/>
      </c>
      <c r="IV20">
        <f>AND(IF(AG20="",TRUE,IF(input_area_of_focus="",FALSE,SUMPRODUCT(--ISNUMBER(SEARCH(","&amp;TRIM(TEXTSPLIT(AG20,","))&amp;",",","&amp;SUBSTITUTE(input_area_of_focus," ","")&amp;",")))&gt;0)),IF(AI20="",TRUE,IF(input_area_of_focus="",FALSE,SUMPRODUCT(--ISNUMBER(SEARCH(","&amp;TRIM(TEXTSPLIT(AI20,","))&amp;",",","&amp;SUBSTITUTE(input_area_of_focus," ","")&amp;",")))=COUNTA(TEXTSPLIT(AI20,",")))),IF(AK20="",TRUE,IF(input_area_of_focus="",TRUE,SUMPRODUCT(--ISNUMBER(SEARCH(","&amp;TRIM(TEXTSPLIT(AK20,","))&amp;",",","&amp;SUBSTITUTE(input_area_of_focus," ","")&amp;",")))=0)),IF(AM20="",TRUE,IF(input_area_of_focus="",FALSE,SUMPRODUCT(--ISNUMBER(SEARCH(","&amp;TRIM(TEXTSPLIT(AM20,","))&amp;",",","&amp;SUBSTITUTE(input_area_of_focus," ","")&amp;",")))&gt;0)),IF(AO20="",TRUE,IF(input_area_of_focus="",FALSE,SUMPRODUCT(--ISNUMBER(SEARCH(","&amp;TRIM(TEXTSPLIT(AO20,","))&amp;",",","&amp;SUBSTITUTE(input_area_of_focus," ","")&amp;",")))=COUNTA(TEXTSPLIT(AO20,",")))))</f>
        <v/>
      </c>
      <c r="IW20">
        <f>AND(IF(AQ20="",TRUE,IF(input_audience="",FALSE,SUMPRODUCT(--ISNUMBER(SEARCH(","&amp;TRIM(TEXTSPLIT(AQ20,","))&amp;",",","&amp;SUBSTITUTE(input_audience," ","")&amp;",")))&gt;0)),IF(AS20="",TRUE,IF(input_audience="",FALSE,SUMPRODUCT(--ISNUMBER(SEARCH(","&amp;TRIM(TEXTSPLIT(AS20,","))&amp;",",","&amp;SUBSTITUTE(input_audience," ","")&amp;",")))=COUNTA(TEXTSPLIT(AS20,",")))),IF(AU20="",TRUE,IF(input_audience="",TRUE,SUMPRODUCT(--ISNUMBER(SEARCH(","&amp;TRIM(TEXTSPLIT(AU20,","))&amp;",",","&amp;SUBSTITUTE(input_audience," ","")&amp;",")))=0)),IF(AW20="",TRUE,IF(input_audience="",FALSE,SUMPRODUCT(--ISNUMBER(SEARCH(","&amp;TRIM(TEXTSPLIT(AW20,","))&amp;",",","&amp;SUBSTITUTE(input_audience," ","")&amp;",")))&gt;0)),IF(AY20="",TRUE,IF(input_audience="",FALSE,SUMPRODUCT(--ISNUMBER(SEARCH(","&amp;TRIM(TEXTSPLIT(AY20,","))&amp;",",","&amp;SUBSTITUTE(input_audience," ","")&amp;",")))=COUNTA(TEXTSPLIT(AY20,",")))))</f>
        <v/>
      </c>
      <c r="IX20">
        <f>AND(IF(BA20="",TRUE,IF(input_challenge_opportunities="",FALSE,SUMPRODUCT(--ISNUMBER(SEARCH(","&amp;TRIM(TEXTSPLIT(BA20,","))&amp;",",","&amp;SUBSTITUTE(input_challenge_opportunities," ","")&amp;",")))&gt;0)),IF(BC20="",TRUE,IF(input_challenge_opportunities="",FALSE,SUMPRODUCT(--ISNUMBER(SEARCH(","&amp;TRIM(TEXTSPLIT(BC20,","))&amp;",",","&amp;SUBSTITUTE(input_challenge_opportunities," ","")&amp;",")))=COUNTA(TEXTSPLIT(BC20,",")))),IF(BE20="",TRUE,IF(input_challenge_opportunities="",TRUE,SUMPRODUCT(--ISNUMBER(SEARCH(","&amp;TRIM(TEXTSPLIT(BE20,","))&amp;",",","&amp;SUBSTITUTE(input_challenge_opportunities," ","")&amp;",")))=0)),IF(BG20="",TRUE,IF(input_challenge_opportunities="",FALSE,SUMPRODUCT(--ISNUMBER(SEARCH(","&amp;TRIM(TEXTSPLIT(BG20,","))&amp;",",","&amp;SUBSTITUTE(input_challenge_opportunities," ","")&amp;",")))&gt;0)),IF(BI20="",TRUE,IF(input_challenge_opportunities="",FALSE,SUMPRODUCT(--ISNUMBER(SEARCH(","&amp;TRIM(TEXTSPLIT(BI20,","))&amp;",",","&amp;SUBSTITUTE(input_challenge_opportunities," ","")&amp;",")))=COUNTA(TEXTSPLIT(BI20,",")))))</f>
        <v/>
      </c>
      <c r="IY20">
        <f>AND(IF(BK20="",TRUE,IF(input_context="",FALSE,SUMPRODUCT(--ISNUMBER(SEARCH(","&amp;TRIM(TEXTSPLIT(BK20,","))&amp;",",","&amp;SUBSTITUTE(input_context," ","")&amp;",")))&gt;0)),IF(BM20="",TRUE,IF(input_context="",FALSE,SUMPRODUCT(--ISNUMBER(SEARCH(","&amp;TRIM(TEXTSPLIT(BM20,","))&amp;",",","&amp;SUBSTITUTE(input_context," ","")&amp;",")))=COUNTA(TEXTSPLIT(BM20,",")))),IF(BO20="",TRUE,IF(input_context="",TRUE,SUMPRODUCT(--ISNUMBER(SEARCH(","&amp;TRIM(TEXTSPLIT(BO20,","))&amp;",",","&amp;SUBSTITUTE(input_context," ","")&amp;",")))=0)),IF(BQ20="",TRUE,IF(input_context="",FALSE,SUMPRODUCT(--ISNUMBER(SEARCH(","&amp;TRIM(TEXTSPLIT(BQ20,","))&amp;",",","&amp;SUBSTITUTE(input_context," ","")&amp;",")))&gt;0)),IF(BS20="",TRUE,IF(input_context="",FALSE,SUMPRODUCT(--ISNUMBER(SEARCH(","&amp;TRIM(TEXTSPLIT(BS20,","))&amp;",",","&amp;SUBSTITUTE(input_context," ","")&amp;",")))=COUNTA(TEXTSPLIT(BS20,",")))))</f>
        <v/>
      </c>
      <c r="IZ20">
        <f>AND(IF(BU20="",TRUE,IF(input_enews_announcement_type="",FALSE,SUMPRODUCT(--ISNUMBER(SEARCH(","&amp;TRIM(TEXTSPLIT(BU20,","))&amp;",",","&amp;SUBSTITUTE(input_enews_announcement_type," ","")&amp;",")))&gt;0)),IF(BW20="",TRUE,IF(input_enews_announcement_type="",FALSE,SUMPRODUCT(--ISNUMBER(SEARCH(","&amp;TRIM(TEXTSPLIT(BW20,","))&amp;",",","&amp;SUBSTITUTE(input_enews_announcement_type," ","")&amp;",")))=COUNTA(TEXTSPLIT(BW20,",")))),IF(BY20="",TRUE,IF(input_enews_announcement_type="",TRUE,SUMPRODUCT(--ISNUMBER(SEARCH(","&amp;TRIM(TEXTSPLIT(BY20,","))&amp;",",","&amp;SUBSTITUTE(input_enews_announcement_type," ","")&amp;",")))=0)),IF(CA20="",TRUE,IF(input_enews_announcement_type="",FALSE,SUMPRODUCT(--ISNUMBER(SEARCH(","&amp;TRIM(TEXTSPLIT(CA20,","))&amp;",",","&amp;SUBSTITUTE(input_enews_announcement_type," ","")&amp;",")))&gt;0)),IF(CC20="",TRUE,IF(input_enews_announcement_type="",FALSE,SUMPRODUCT(--ISNUMBER(SEARCH(","&amp;TRIM(TEXTSPLIT(CC20,","))&amp;",",","&amp;SUBSTITUTE(input_enews_announcement_type," ","")&amp;",")))=COUNTA(TEXTSPLIT(CC20,",")))))</f>
        <v/>
      </c>
      <c r="JA20">
        <f>AND(IF(CE20="",TRUE,IF(input_enews_audience="",FALSE,SUMPRODUCT(--ISNUMBER(SEARCH(","&amp;TRIM(TEXTSPLIT(CE20,","))&amp;",",","&amp;SUBSTITUTE(input_enews_audience," ","")&amp;",")))&gt;0)),IF(CG20="",TRUE,IF(input_enews_audience="",FALSE,SUMPRODUCT(--ISNUMBER(SEARCH(","&amp;TRIM(TEXTSPLIT(CG20,","))&amp;",",","&amp;SUBSTITUTE(input_enews_audience," ","")&amp;",")))=COUNTA(TEXTSPLIT(CG20,",")))),IF(CI20="",TRUE,IF(input_enews_audience="",TRUE,SUMPRODUCT(--ISNUMBER(SEARCH(","&amp;TRIM(TEXTSPLIT(CI20,","))&amp;",",","&amp;SUBSTITUTE(input_enews_audience," ","")&amp;",")))=0)),IF(CK20="",TRUE,IF(input_enews_audience="",FALSE,SUMPRODUCT(--ISNUMBER(SEARCH(","&amp;TRIM(TEXTSPLIT(CK20,","))&amp;",",","&amp;SUBSTITUTE(input_enews_audience," ","")&amp;",")))&gt;0)),IF(CM20="",TRUE,IF(input_enews_audience="",FALSE,SUMPRODUCT(--ISNUMBER(SEARCH(","&amp;TRIM(TEXTSPLIT(CM20,","))&amp;",",","&amp;SUBSTITUTE(input_enews_audience," ","")&amp;",")))=COUNTA(TEXTSPLIT(CM20,",")))))</f>
        <v/>
      </c>
      <c r="JB20">
        <f>AND(IF(CO20="",TRUE,IF(input_event_location="",FALSE,SUMPRODUCT(--ISNUMBER(SEARCH(","&amp;TRIM(TEXTSPLIT(CO20,","))&amp;",",","&amp;SUBSTITUTE(input_event_location," ","")&amp;",")))&gt;0)),IF(CQ20="",TRUE,IF(input_event_location="",FALSE,SUMPRODUCT(--ISNUMBER(SEARCH(","&amp;TRIM(TEXTSPLIT(CQ20,","))&amp;",",","&amp;SUBSTITUTE(input_event_location," ","")&amp;",")))=COUNTA(TEXTSPLIT(CQ20,",")))),IF(CS20="",TRUE,IF(input_event_location="",TRUE,SUMPRODUCT(--ISNUMBER(SEARCH(","&amp;TRIM(TEXTSPLIT(CS20,","))&amp;",",","&amp;SUBSTITUTE(input_event_location," ","")&amp;",")))=0)),IF(CU20="",TRUE,IF(input_event_location="",FALSE,SUMPRODUCT(--ISNUMBER(SEARCH(","&amp;TRIM(TEXTSPLIT(CU20,","))&amp;",",","&amp;SUBSTITUTE(input_event_location," ","")&amp;",")))&gt;0)),IF(CW20="",TRUE,IF(input_event_location="",FALSE,SUMPRODUCT(--ISNUMBER(SEARCH(","&amp;TRIM(TEXTSPLIT(CW20,","))&amp;",",","&amp;SUBSTITUTE(input_event_location," ","")&amp;",")))=COUNTA(TEXTSPLIT(CW20,",")))))</f>
        <v/>
      </c>
      <c r="JC20">
        <f>AND(IF(CY20="",TRUE,IF(input_event_type="",FALSE,SUMPRODUCT(--ISNUMBER(SEARCH(","&amp;TRIM(TEXTSPLIT(CY20,","))&amp;",",","&amp;SUBSTITUTE(input_event_type," ","")&amp;",")))&gt;0)),IF(DA20="",TRUE,IF(input_event_type="",FALSE,SUMPRODUCT(--ISNUMBER(SEARCH(","&amp;TRIM(TEXTSPLIT(DA20,","))&amp;",",","&amp;SUBSTITUTE(input_event_type," ","")&amp;",")))=COUNTA(TEXTSPLIT(DA20,",")))),IF(DC20="",TRUE,IF(input_event_type="",TRUE,SUMPRODUCT(--ISNUMBER(SEARCH(","&amp;TRIM(TEXTSPLIT(DC20,","))&amp;",",","&amp;SUBSTITUTE(input_event_type," ","")&amp;",")))=0)),IF(DE20="",TRUE,IF(input_event_type="",FALSE,SUMPRODUCT(--ISNUMBER(SEARCH(","&amp;TRIM(TEXTSPLIT(DE20,","))&amp;",",","&amp;SUBSTITUTE(input_event_type," ","")&amp;",")))&gt;0)),IF(DG20="",TRUE,IF(input_event_type="",FALSE,SUMPRODUCT(--ISNUMBER(SEARCH(","&amp;TRIM(TEXTSPLIT(DG20,","))&amp;",",","&amp;SUBSTITUTE(input_event_type," ","")&amp;",")))=COUNTA(TEXTSPLIT(DG20,",")))))</f>
        <v/>
      </c>
      <c r="JD20">
        <f>AND(IF(DI20="",TRUE,IF(input_executive_education_focus="",FALSE,SUMPRODUCT(--ISNUMBER(SEARCH(","&amp;TRIM(TEXTSPLIT(DI20,","))&amp;",",","&amp;SUBSTITUTE(input_executive_education_focus," ","")&amp;",")))&gt;0)),IF(DK20="",TRUE,IF(input_executive_education_focus="",FALSE,SUMPRODUCT(--ISNUMBER(SEARCH(","&amp;TRIM(TEXTSPLIT(DK20,","))&amp;",",","&amp;SUBSTITUTE(input_executive_education_focus," ","")&amp;",")))=COUNTA(TEXTSPLIT(DK20,",")))),IF(DM20="",TRUE,IF(input_executive_education_focus="",TRUE,SUMPRODUCT(--ISNUMBER(SEARCH(","&amp;TRIM(TEXTSPLIT(DM20,","))&amp;",",","&amp;SUBSTITUTE(input_executive_education_focus," ","")&amp;",")))=0)),IF(DO20="",TRUE,IF(input_executive_education_focus="",FALSE,SUMPRODUCT(--ISNUMBER(SEARCH(","&amp;TRIM(TEXTSPLIT(DO20,","))&amp;",",","&amp;SUBSTITUTE(input_executive_education_focus," ","")&amp;",")))&gt;0)),IF(DQ20="",TRUE,IF(input_executive_education_focus="",FALSE,SUMPRODUCT(--ISNUMBER(SEARCH(","&amp;TRIM(TEXTSPLIT(DQ20,","))&amp;",",","&amp;SUBSTITUTE(input_executive_education_focus," ","")&amp;",")))=COUNTA(TEXTSPLIT(DQ20,",")))))</f>
        <v/>
      </c>
      <c r="JE20">
        <f>AND(IF(DS20="",TRUE,IF(input_faculty_category="",FALSE,SUMPRODUCT(--ISNUMBER(SEARCH(","&amp;TRIM(TEXTSPLIT(DS20,","))&amp;",",","&amp;SUBSTITUTE(input_faculty_category," ","")&amp;",")))&gt;0)),IF(DU20="",TRUE,IF(input_faculty_category="",FALSE,SUMPRODUCT(--ISNUMBER(SEARCH(","&amp;TRIM(TEXTSPLIT(DU20,","))&amp;",",","&amp;SUBSTITUTE(input_faculty_category," ","")&amp;",")))=COUNTA(TEXTSPLIT(DU20,",")))),IF(DW20="",TRUE,IF(input_faculty_category="",TRUE,SUMPRODUCT(--ISNUMBER(SEARCH(","&amp;TRIM(TEXTSPLIT(DW20,","))&amp;",",","&amp;SUBSTITUTE(input_faculty_category," ","")&amp;",")))=0)),IF(DY20="",TRUE,IF(input_faculty_category="",FALSE,SUMPRODUCT(--ISNUMBER(SEARCH(","&amp;TRIM(TEXTSPLIT(DY20,","))&amp;",",","&amp;SUBSTITUTE(input_faculty_category," ","")&amp;",")))&gt;0)),IF(EA20="",TRUE,IF(input_faculty_category="",FALSE,SUMPRODUCT(--ISNUMBER(SEARCH(","&amp;TRIM(TEXTSPLIT(EA20,","))&amp;",",","&amp;SUBSTITUTE(input_faculty_category," ","")&amp;",")))=COUNTA(TEXTSPLIT(EA20,",")))))</f>
        <v/>
      </c>
      <c r="JF20">
        <f>AND(IF(EC20="",TRUE,IF(input_faculty_discipline="",FALSE,SUMPRODUCT(--ISNUMBER(SEARCH(","&amp;TRIM(TEXTSPLIT(EC20,","))&amp;",",","&amp;SUBSTITUTE(input_faculty_discipline," ","")&amp;",")))&gt;0)),IF(EE20="",TRUE,IF(input_faculty_discipline="",FALSE,SUMPRODUCT(--ISNUMBER(SEARCH(","&amp;TRIM(TEXTSPLIT(EE20,","))&amp;",",","&amp;SUBSTITUTE(input_faculty_discipline," ","")&amp;",")))=COUNTA(TEXTSPLIT(EE20,",")))),IF(EG20="",TRUE,IF(input_faculty_discipline="",TRUE,SUMPRODUCT(--ISNUMBER(SEARCH(","&amp;TRIM(TEXTSPLIT(EG20,","))&amp;",",","&amp;SUBSTITUTE(input_faculty_discipline," ","")&amp;",")))=0)),IF(EI20="",TRUE,IF(input_faculty_discipline="",FALSE,SUMPRODUCT(--ISNUMBER(SEARCH(","&amp;TRIM(TEXTSPLIT(EI20,","))&amp;",",","&amp;SUBSTITUTE(input_faculty_discipline," ","")&amp;",")))&gt;0)),IF(EK20="",TRUE,IF(input_faculty_discipline="",FALSE,SUMPRODUCT(--ISNUMBER(SEARCH(","&amp;TRIM(TEXTSPLIT(EK20,","))&amp;",",","&amp;SUBSTITUTE(input_faculty_discipline," ","")&amp;",")))=COUNTA(TEXTSPLIT(EK20,",")))))</f>
        <v/>
      </c>
      <c r="JG20">
        <f>AND(IF(EM20="",TRUE,IF(input_faculty_expertise="",FALSE,SUMPRODUCT(--ISNUMBER(SEARCH(","&amp;TRIM(TEXTSPLIT(EM20,","))&amp;",",","&amp;SUBSTITUTE(input_faculty_expertise," ","")&amp;",")))&gt;0)),IF(EO20="",TRUE,IF(input_faculty_expertise="",FALSE,SUMPRODUCT(--ISNUMBER(SEARCH(","&amp;TRIM(TEXTSPLIT(EO20,","))&amp;",",","&amp;SUBSTITUTE(input_faculty_expertise," ","")&amp;",")))=COUNTA(TEXTSPLIT(EO20,",")))),IF(EQ20="",TRUE,IF(input_faculty_expertise="",TRUE,SUMPRODUCT(--ISNUMBER(SEARCH(","&amp;TRIM(TEXTSPLIT(EQ20,","))&amp;",",","&amp;SUBSTITUTE(input_faculty_expertise," ","")&amp;",")))=0)),IF(ES20="",TRUE,IF(input_faculty_expertise="",FALSE,SUMPRODUCT(--ISNUMBER(SEARCH(","&amp;TRIM(TEXTSPLIT(ES20,","))&amp;",",","&amp;SUBSTITUTE(input_faculty_expertise," ","")&amp;",")))&gt;0)),IF(EU20="",TRUE,IF(input_faculty_expertise="",FALSE,SUMPRODUCT(--ISNUMBER(SEARCH(","&amp;TRIM(TEXTSPLIT(EU20,","))&amp;",",","&amp;SUBSTITUTE(input_faculty_expertise," ","")&amp;",")))=COUNTA(TEXTSPLIT(EU20,",")))))</f>
        <v/>
      </c>
      <c r="JH20">
        <f>AND(IF(EW20="",TRUE,IF(input_global_network_school="",FALSE,SUMPRODUCT(--ISNUMBER(SEARCH(","&amp;TRIM(TEXTSPLIT(EW20,","))&amp;",",","&amp;SUBSTITUTE(input_global_network_school," ","")&amp;",")))&gt;0)),IF(EY20="",TRUE,IF(input_global_network_school="",FALSE,SUMPRODUCT(--ISNUMBER(SEARCH(","&amp;TRIM(TEXTSPLIT(EY20,","))&amp;",",","&amp;SUBSTITUTE(input_global_network_school," ","")&amp;",")))=COUNTA(TEXTSPLIT(EY20,",")))),IF(FA20="",TRUE,IF(input_global_network_school="",TRUE,SUMPRODUCT(--ISNUMBER(SEARCH(","&amp;TRIM(TEXTSPLIT(FA20,","))&amp;",",","&amp;SUBSTITUTE(input_global_network_school," ","")&amp;",")))=0)),IF(FC20="",TRUE,IF(input_global_network_school="",FALSE,SUMPRODUCT(--ISNUMBER(SEARCH(","&amp;TRIM(TEXTSPLIT(FC20,","))&amp;",",","&amp;SUBSTITUTE(input_global_network_school," ","")&amp;",")))&gt;0)),IF(FE20="",TRUE,IF(input_global_network_school="",FALSE,SUMPRODUCT(--ISNUMBER(SEARCH(","&amp;TRIM(TEXTSPLIT(FE20,","))&amp;",",","&amp;SUBSTITUTE(input_global_network_school," ","")&amp;",")))=COUNTA(TEXTSPLIT(FE20,",")))))</f>
        <v/>
      </c>
      <c r="JI20">
        <f>AND(IF(FG20="",TRUE,IF(input_industry="",FALSE,SUMPRODUCT(--ISNUMBER(SEARCH(","&amp;TRIM(TEXTSPLIT(FG20,","))&amp;",",","&amp;SUBSTITUTE(input_industry," ","")&amp;",")))&gt;0)),IF(FI20="",TRUE,IF(input_industry="",FALSE,SUMPRODUCT(--ISNUMBER(SEARCH(","&amp;TRIM(TEXTSPLIT(FI20,","))&amp;",",","&amp;SUBSTITUTE(input_industry," ","")&amp;",")))=COUNTA(TEXTSPLIT(FI20,",")))),IF(FK20="",TRUE,IF(input_industry="",TRUE,SUMPRODUCT(--ISNUMBER(SEARCH(","&amp;TRIM(TEXTSPLIT(FK20,","))&amp;",",","&amp;SUBSTITUTE(input_industry," ","")&amp;",")))=0)),IF(FM20="",TRUE,IF(input_industry="",FALSE,SUMPRODUCT(--ISNUMBER(SEARCH(","&amp;TRIM(TEXTSPLIT(FM20,","))&amp;",",","&amp;SUBSTITUTE(input_industry," ","")&amp;",")))&gt;0)),IF(FO20="",TRUE,IF(input_industry="",FALSE,SUMPRODUCT(--ISNUMBER(SEARCH(","&amp;TRIM(TEXTSPLIT(FO20,","))&amp;",",","&amp;SUBSTITUTE(input_industry," ","")&amp;",")))=COUNTA(TEXTSPLIT(FO20,",")))))</f>
        <v/>
      </c>
      <c r="JJ20">
        <f>AND(IF(FQ20="",TRUE,IF(input_location="",FALSE,SUMPRODUCT(--ISNUMBER(SEARCH(","&amp;TRIM(TEXTSPLIT(FQ20,","))&amp;",",","&amp;SUBSTITUTE(input_location," ","")&amp;",")))&gt;0)),IF(FS20="",TRUE,IF(input_location="",FALSE,SUMPRODUCT(--ISNUMBER(SEARCH(","&amp;TRIM(TEXTSPLIT(FS20,","))&amp;",",","&amp;SUBSTITUTE(input_location," ","")&amp;",")))=COUNTA(TEXTSPLIT(FS20,",")))),IF(FU20="",TRUE,IF(input_location="",TRUE,SUMPRODUCT(--ISNUMBER(SEARCH(","&amp;TRIM(TEXTSPLIT(FU20,","))&amp;",",","&amp;SUBSTITUTE(input_location," ","")&amp;",")))=0)),IF(FW20="",TRUE,IF(input_location="",FALSE,SUMPRODUCT(--ISNUMBER(SEARCH(","&amp;TRIM(TEXTSPLIT(FW20,","))&amp;",",","&amp;SUBSTITUTE(input_location," ","")&amp;",")))&gt;0)),IF(FY20="",TRUE,IF(input_location="",FALSE,SUMPRODUCT(--ISNUMBER(SEARCH(","&amp;TRIM(TEXTSPLIT(FY20,","))&amp;",",","&amp;SUBSTITUTE(input_location," ","")&amp;",")))=COUNTA(TEXTSPLIT(FY20,",")))))</f>
        <v/>
      </c>
      <c r="JK20">
        <f>AND(IF(GA20="",TRUE,IF(input_modality="",FALSE,SUMPRODUCT(--ISNUMBER(SEARCH(","&amp;TRIM(TEXTSPLIT(GA20,","))&amp;",",","&amp;SUBSTITUTE(input_modality," ","")&amp;",")))&gt;0)),IF(GC20="",TRUE,IF(input_modality="",FALSE,SUMPRODUCT(--ISNUMBER(SEARCH(","&amp;TRIM(TEXTSPLIT(GC20,","))&amp;",",","&amp;SUBSTITUTE(input_modality," ","")&amp;",")))=COUNTA(TEXTSPLIT(GC20,",")))),IF(GE20="",TRUE,IF(input_modality="",TRUE,SUMPRODUCT(--ISNUMBER(SEARCH(","&amp;TRIM(TEXTSPLIT(GE20,","))&amp;",",","&amp;SUBSTITUTE(input_modality," ","")&amp;",")))=0)),IF(GG20="",TRUE,IF(input_modality="",FALSE,SUMPRODUCT(--ISNUMBER(SEARCH(","&amp;TRIM(TEXTSPLIT(GG20,","))&amp;",",","&amp;SUBSTITUTE(input_modality," ","")&amp;",")))&gt;0)),IF(GI20="",TRUE,IF(input_modality="",FALSE,SUMPRODUCT(--ISNUMBER(SEARCH(","&amp;TRIM(TEXTSPLIT(GI20,","))&amp;",",","&amp;SUBSTITUTE(input_modality," ","")&amp;",")))=COUNTA(TEXTSPLIT(GI20,",")))))</f>
        <v/>
      </c>
      <c r="JL20">
        <f>AND(IF(GK20="",TRUE,IF(input_organizer="",FALSE,SUMPRODUCT(--ISNUMBER(SEARCH(","&amp;TRIM(TEXTSPLIT(GK20,","))&amp;",",","&amp;SUBSTITUTE(input_organizer," ","")&amp;",")))&gt;0)),IF(GM20="",TRUE,IF(input_organizer="",FALSE,SUMPRODUCT(--ISNUMBER(SEARCH(","&amp;TRIM(TEXTSPLIT(GM20,","))&amp;",",","&amp;SUBSTITUTE(input_organizer," ","")&amp;",")))=COUNTA(TEXTSPLIT(GM20,",")))),IF(GO20="",TRUE,IF(input_organizer="",TRUE,SUMPRODUCT(--ISNUMBER(SEARCH(","&amp;TRIM(TEXTSPLIT(GO20,","))&amp;",",","&amp;SUBSTITUTE(input_organizer," ","")&amp;",")))=0)),IF(GQ20="",TRUE,IF(input_organizer="",FALSE,SUMPRODUCT(--ISNUMBER(SEARCH(","&amp;TRIM(TEXTSPLIT(GQ20,","))&amp;",",","&amp;SUBSTITUTE(input_organizer," ","")&amp;",")))&gt;0)),IF(GS20="",TRUE,IF(input_organizer="",FALSE,SUMPRODUCT(--ISNUMBER(SEARCH(","&amp;TRIM(TEXTSPLIT(GS20,","))&amp;",",","&amp;SUBSTITUTE(input_organizer," ","")&amp;",")))=COUNTA(TEXTSPLIT(GS20,",")))))</f>
        <v/>
      </c>
      <c r="JM20">
        <f>AND(IF(GU20="",TRUE,IF(input_profile_type="",FALSE,SUMPRODUCT(--ISNUMBER(SEARCH(","&amp;TRIM(TEXTSPLIT(GU20,","))&amp;",",","&amp;SUBSTITUTE(input_profile_type," ","")&amp;",")))&gt;0)),IF(GW20="",TRUE,IF(input_profile_type="",FALSE,SUMPRODUCT(--ISNUMBER(SEARCH(","&amp;TRIM(TEXTSPLIT(GW20,","))&amp;",",","&amp;SUBSTITUTE(input_profile_type," ","")&amp;",")))=COUNTA(TEXTSPLIT(GW20,",")))),IF(GY20="",TRUE,IF(input_profile_type="",TRUE,SUMPRODUCT(--ISNUMBER(SEARCH(","&amp;TRIM(TEXTSPLIT(GY20,","))&amp;",",","&amp;SUBSTITUTE(input_profile_type," ","")&amp;",")))=0)),IF(HA20="",TRUE,IF(input_profile_type="",FALSE,SUMPRODUCT(--ISNUMBER(SEARCH(","&amp;TRIM(TEXTSPLIT(HA20,","))&amp;",",","&amp;SUBSTITUTE(input_profile_type," ","")&amp;",")))&gt;0)),IF(HC20="",TRUE,IF(input_profile_type="",FALSE,SUMPRODUCT(--ISNUMBER(SEARCH(","&amp;TRIM(TEXTSPLIT(HC20,","))&amp;",",","&amp;SUBSTITUTE(input_profile_type," ","")&amp;",")))=COUNTA(TEXTSPLIT(HC20,",")))))</f>
        <v/>
      </c>
      <c r="JN20">
        <f>AND(IF(HE20="",TRUE,IF(input_program="",FALSE,SUMPRODUCT(--ISNUMBER(SEARCH(","&amp;TRIM(TEXTSPLIT(HE20,","))&amp;",",","&amp;SUBSTITUTE(input_program," ","")&amp;",")))&gt;0)),IF(HG20="",TRUE,IF(input_program="",FALSE,SUMPRODUCT(--ISNUMBER(SEARCH(","&amp;TRIM(TEXTSPLIT(HG20,","))&amp;",",","&amp;SUBSTITUTE(input_program," ","")&amp;",")))=COUNTA(TEXTSPLIT(HG20,",")))),IF(HI20="",TRUE,IF(input_program="",TRUE,SUMPRODUCT(--ISNUMBER(SEARCH(","&amp;TRIM(TEXTSPLIT(HI20,","))&amp;",",","&amp;SUBSTITUTE(input_program," ","")&amp;",")))=0)),IF(HK20="",TRUE,IF(input_program="",FALSE,SUMPRODUCT(--ISNUMBER(SEARCH(","&amp;TRIM(TEXTSPLIT(HK20,","))&amp;",",","&amp;SUBSTITUTE(input_program," ","")&amp;",")))&gt;0)),IF(HM20="",TRUE,IF(input_program="",FALSE,SUMPRODUCT(--ISNUMBER(SEARCH(","&amp;TRIM(TEXTSPLIT(HM20,","))&amp;",",","&amp;SUBSTITUTE(input_program," ","")&amp;",")))=COUNTA(TEXTSPLIT(HM20,",")))))</f>
        <v/>
      </c>
      <c r="JO20">
        <f>AND(IF(HO20="",TRUE,IF(input_story_categories="",FALSE,SUMPRODUCT(--ISNUMBER(SEARCH(","&amp;TRIM(TEXTSPLIT(HO20,","))&amp;",",","&amp;SUBSTITUTE(input_story_categories," ","")&amp;",")))&gt;0)),IF(HQ20="",TRUE,IF(input_story_categories="",FALSE,SUMPRODUCT(--ISNUMBER(SEARCH(","&amp;TRIM(TEXTSPLIT(HQ20,","))&amp;",",","&amp;SUBSTITUTE(input_story_categories," ","")&amp;",")))=COUNTA(TEXTSPLIT(HQ20,",")))),IF(HS20="",TRUE,IF(input_story_categories="",TRUE,SUMPRODUCT(--ISNUMBER(SEARCH(","&amp;TRIM(TEXTSPLIT(HS20,","))&amp;",",","&amp;SUBSTITUTE(input_story_categories," ","")&amp;",")))=0)),IF(HU20="",TRUE,IF(input_story_categories="",FALSE,SUMPRODUCT(--ISNUMBER(SEARCH(","&amp;TRIM(TEXTSPLIT(HU20,","))&amp;",",","&amp;SUBSTITUTE(input_story_categories," ","")&amp;",")))&gt;0)),IF(HW20="",TRUE,IF(input_story_categories="",FALSE,SUMPRODUCT(--ISNUMBER(SEARCH(","&amp;TRIM(TEXTSPLIT(HW20,","))&amp;",",","&amp;SUBSTITUTE(input_story_categories," ","")&amp;",")))=COUNTA(TEXTSPLIT(HW20,",")))))</f>
        <v/>
      </c>
      <c r="JP20">
        <f>AND(IF(HY20="",TRUE,IF(input_story_type="",FALSE,SUMPRODUCT(--ISNUMBER(SEARCH(","&amp;TRIM(TEXTSPLIT(HY20,","))&amp;",",","&amp;SUBSTITUTE(input_story_type," ","")&amp;",")))&gt;0)),IF(IA20="",TRUE,IF(input_story_type="",FALSE,SUMPRODUCT(--ISNUMBER(SEARCH(","&amp;TRIM(TEXTSPLIT(IA20,","))&amp;",",","&amp;SUBSTITUTE(input_story_type," ","")&amp;",")))=COUNTA(TEXTSPLIT(IA20,",")))),IF(IC20="",TRUE,IF(input_story_type="",TRUE,SUMPRODUCT(--ISNUMBER(SEARCH(","&amp;TRIM(TEXTSPLIT(IC20,","))&amp;",",","&amp;SUBSTITUTE(input_story_type," ","")&amp;",")))=0)),IF(IE20="",TRUE,IF(input_story_type="",FALSE,SUMPRODUCT(--ISNUMBER(SEARCH(","&amp;TRIM(TEXTSPLIT(IE20,","))&amp;",",","&amp;SUBSTITUTE(input_story_type," ","")&amp;",")))&gt;0)),IF(IG20="",TRUE,IF(input_story_type="",FALSE,SUMPRODUCT(--ISNUMBER(SEARCH(","&amp;TRIM(TEXTSPLIT(IG20,","))&amp;",",","&amp;SUBSTITUTE(input_story_type," ","")&amp;",")))=COUNTA(TEXTSPLIT(IG20,",")))))</f>
        <v/>
      </c>
      <c r="JQ20">
        <f>AND(IF(II20="",TRUE,IF(input_topics="",FALSE,SUMPRODUCT(--ISNUMBER(SEARCH(","&amp;TRIM(TEXTSPLIT(II20,","))&amp;",",","&amp;SUBSTITUTE(input_topics," ","")&amp;",")))&gt;0)),IF(IK20="",TRUE,IF(input_topics="",FALSE,SUMPRODUCT(--ISNUMBER(SEARCH(","&amp;TRIM(TEXTSPLIT(IK20,","))&amp;",",","&amp;SUBSTITUTE(input_topics," ","")&amp;",")))=COUNTA(TEXTSPLIT(IK20,",")))),IF(IM20="",TRUE,IF(input_topics="",TRUE,SUMPRODUCT(--ISNUMBER(SEARCH(","&amp;TRIM(TEXTSPLIT(IM20,","))&amp;",",","&amp;SUBSTITUTE(input_topics," ","")&amp;",")))=0)),IF(IO20="",TRUE,IF(input_topics="",FALSE,SUMPRODUCT(--ISNUMBER(SEARCH(","&amp;TRIM(TEXTSPLIT(IO20,","))&amp;",",","&amp;SUBSTITUTE(input_topics," ","")&amp;",")))&gt;0)),IF(IQ20="",TRUE,IF(input_topics="",FALSE,SUMPRODUCT(--ISNUMBER(SEARCH(","&amp;TRIM(TEXTSPLIT(IQ20,","))&amp;",",","&amp;SUBSTITUTE(input_topics," ","")&amp;",")))=COUNTA(TEXTSPLIT(IQ20,",")))))</f>
        <v/>
      </c>
    </row>
    <row r="21">
      <c r="A21" s="4">
        <f>IF(NOT(IS21),"Excluded",IF(AND(IT21,IU21,IV21,IW21,IX21,IY21,IZ21,JA21,JB21,JC21,JD21,JE21,JF21,JG21,JH21,JI21,JJ21,JK21,JL21,JM21,JN21,JO21,JP21,JQ21),IF(I21&gt;0,"Eligible but limited","Will appear"),"Excluded"))</f>
        <v/>
      </c>
      <c r="B21" s="4" t="inlineStr">
        <is>
          <t>All Publications by Author</t>
        </is>
      </c>
      <c r="C21" s="4" t="inlineStr">
        <is>
          <t>/faculty-research/faculty-directory/beth-anne-helgason</t>
        </is>
      </c>
      <c r="D21" s="4" t="inlineStr">
        <is>
          <t>/faculty-research/faculty-directory/beth-anne-helgason</t>
        </is>
      </c>
      <c r="E21" s="4" t="n">
        <v>1</v>
      </c>
      <c r="F21" s="4" t="inlineStr">
        <is>
          <t>publications</t>
        </is>
      </c>
      <c r="G21" s="4" t="inlineStr">
        <is>
          <t>publication_teaser_list</t>
        </is>
      </c>
      <c r="H21" s="4" t="inlineStr">
        <is>
          <t>publication_teaser_list_all_by_author</t>
        </is>
      </c>
      <c r="I21" s="4" t="inlineStr"/>
      <c r="J21" s="4" t="inlineStr">
        <is>
          <t>View/config rules</t>
        </is>
      </c>
      <c r="K21" s="4" t="inlineStr">
        <is>
          <t>Page placement</t>
        </is>
      </c>
      <c r="L21" s="4" t="inlineStr">
        <is>
          <t>Content type: publications; Source: View/config rules</t>
        </is>
      </c>
      <c r="M21" t="inlineStr"/>
      <c r="N21" t="inlineStr"/>
      <c r="O21" t="inlineStr"/>
      <c r="P21" t="inlineStr"/>
      <c r="Q21" t="inlineStr"/>
      <c r="R21" t="inlineStr"/>
      <c r="S21" t="inlineStr"/>
      <c r="T21" t="inlineStr"/>
      <c r="U21" t="inlineStr"/>
      <c r="V21" t="inlineStr"/>
      <c r="W21" t="inlineStr"/>
      <c r="X21" t="inlineStr"/>
      <c r="Y21" t="inlineStr"/>
      <c r="Z21" t="inlineStr"/>
      <c r="AA21" t="inlineStr"/>
      <c r="AB21" t="inlineStr"/>
      <c r="AC21" t="inlineStr"/>
      <c r="AD21" t="inlineStr"/>
      <c r="AE21" t="inlineStr"/>
      <c r="AF21" t="inlineStr"/>
      <c r="AG21" t="inlineStr"/>
      <c r="AH21" t="inlineStr"/>
      <c r="AI21" t="inlineStr"/>
      <c r="AJ21" t="inlineStr"/>
      <c r="AK21" t="inlineStr"/>
      <c r="AL21" t="inlineStr"/>
      <c r="AM21" t="inlineStr"/>
      <c r="AN21" t="inlineStr"/>
      <c r="AO21" t="inlineStr"/>
      <c r="AP21" t="inlineStr"/>
      <c r="AQ21" t="inlineStr"/>
      <c r="AR21" t="inlineStr"/>
      <c r="AS21" t="inlineStr"/>
      <c r="AT21" t="inlineStr"/>
      <c r="AU21" t="inlineStr"/>
      <c r="AV21" t="inlineStr"/>
      <c r="AW21" t="inlineStr"/>
      <c r="AX21" t="inlineStr"/>
      <c r="AY21" t="inlineStr"/>
      <c r="AZ21" t="inlineStr"/>
      <c r="BA21" t="inlineStr"/>
      <c r="BB21" t="inlineStr"/>
      <c r="BC21" t="inlineStr"/>
      <c r="BD21" t="inlineStr"/>
      <c r="BE21" t="inlineStr"/>
      <c r="BF21" t="inlineStr"/>
      <c r="BG21" t="inlineStr"/>
      <c r="BH21" t="inlineStr"/>
      <c r="BI21" t="inlineStr"/>
      <c r="BJ21" t="inlineStr"/>
      <c r="BK21" t="inlineStr"/>
      <c r="BL21" t="inlineStr"/>
      <c r="BM21" t="inlineStr"/>
      <c r="BN21" t="inlineStr"/>
      <c r="BO21" t="inlineStr"/>
      <c r="BP21" t="inlineStr"/>
      <c r="BQ21" t="inlineStr"/>
      <c r="BR21" t="inlineStr"/>
      <c r="BS21" t="inlineStr"/>
      <c r="BT21" t="inlineStr"/>
      <c r="BU21" t="inlineStr"/>
      <c r="BV21" t="inlineStr"/>
      <c r="BW21" t="inlineStr"/>
      <c r="BX21" t="inlineStr"/>
      <c r="BY21" t="inlineStr"/>
      <c r="BZ21" t="inlineStr"/>
      <c r="CA21" t="inlineStr"/>
      <c r="CB21" t="inlineStr"/>
      <c r="CC21" t="inlineStr"/>
      <c r="CD21" t="inlineStr"/>
      <c r="CE21" t="inlineStr"/>
      <c r="CF21" t="inlineStr"/>
      <c r="CG21" t="inlineStr"/>
      <c r="CH21" t="inlineStr"/>
      <c r="CI21" t="inlineStr"/>
      <c r="CJ21" t="inlineStr"/>
      <c r="CK21" t="inlineStr"/>
      <c r="CL21" t="inlineStr"/>
      <c r="CM21" t="inlineStr"/>
      <c r="CN21" t="inlineStr"/>
      <c r="CO21" t="inlineStr"/>
      <c r="CP21" t="inlineStr"/>
      <c r="CQ21" t="inlineStr"/>
      <c r="CR21" t="inlineStr"/>
      <c r="CS21" t="inlineStr"/>
      <c r="CT21" t="inlineStr"/>
      <c r="CU21" t="inlineStr"/>
      <c r="CV21" t="inlineStr"/>
      <c r="CW21" t="inlineStr"/>
      <c r="CX21" t="inlineStr"/>
      <c r="CY21" t="inlineStr"/>
      <c r="CZ21" t="inlineStr"/>
      <c r="DA21" t="inlineStr"/>
      <c r="DB21" t="inlineStr"/>
      <c r="DC21" t="inlineStr"/>
      <c r="DD21" t="inlineStr"/>
      <c r="DE21" t="inlineStr"/>
      <c r="DF21" t="inlineStr"/>
      <c r="DG21" t="inlineStr"/>
      <c r="DH21" t="inlineStr"/>
      <c r="DI21" t="inlineStr"/>
      <c r="DJ21" t="inlineStr"/>
      <c r="DK21" t="inlineStr"/>
      <c r="DL21" t="inlineStr"/>
      <c r="DM21" t="inlineStr"/>
      <c r="DN21" t="inlineStr"/>
      <c r="DO21" t="inlineStr"/>
      <c r="DP21" t="inlineStr"/>
      <c r="DQ21" t="inlineStr"/>
      <c r="DR21" t="inlineStr"/>
      <c r="DS21" t="inlineStr"/>
      <c r="DT21" t="inlineStr"/>
      <c r="DU21" t="inlineStr"/>
      <c r="DV21" t="inlineStr"/>
      <c r="DW21" t="inlineStr"/>
      <c r="DX21" t="inlineStr"/>
      <c r="DY21" t="inlineStr"/>
      <c r="DZ21" t="inlineStr"/>
      <c r="EA21" t="inlineStr"/>
      <c r="EB21" t="inlineStr"/>
      <c r="EC21" t="inlineStr"/>
      <c r="ED21" t="inlineStr"/>
      <c r="EE21" t="inlineStr"/>
      <c r="EF21" t="inlineStr"/>
      <c r="EG21" t="inlineStr"/>
      <c r="EH21" t="inlineStr"/>
      <c r="EI21" t="inlineStr"/>
      <c r="EJ21" t="inlineStr"/>
      <c r="EK21" t="inlineStr"/>
      <c r="EL21" t="inlineStr"/>
      <c r="EM21" t="inlineStr"/>
      <c r="EN21" t="inlineStr"/>
      <c r="EO21" t="inlineStr"/>
      <c r="EP21" t="inlineStr"/>
      <c r="EQ21" t="inlineStr"/>
      <c r="ER21" t="inlineStr"/>
      <c r="ES21" t="inlineStr"/>
      <c r="ET21" t="inlineStr"/>
      <c r="EU21" t="inlineStr"/>
      <c r="EV21" t="inlineStr"/>
      <c r="EW21" t="inlineStr"/>
      <c r="EX21" t="inlineStr"/>
      <c r="EY21" t="inlineStr"/>
      <c r="EZ21" t="inlineStr"/>
      <c r="FA21" t="inlineStr"/>
      <c r="FB21" t="inlineStr"/>
      <c r="FC21" t="inlineStr"/>
      <c r="FD21" t="inlineStr"/>
      <c r="FE21" t="inlineStr"/>
      <c r="FF21" t="inlineStr"/>
      <c r="FG21" t="inlineStr"/>
      <c r="FH21" t="inlineStr"/>
      <c r="FI21" t="inlineStr"/>
      <c r="FJ21" t="inlineStr"/>
      <c r="FK21" t="inlineStr"/>
      <c r="FL21" t="inlineStr"/>
      <c r="FM21" t="inlineStr"/>
      <c r="FN21" t="inlineStr"/>
      <c r="FO21" t="inlineStr"/>
      <c r="FP21" t="inlineStr"/>
      <c r="FQ21" t="inlineStr"/>
      <c r="FR21" t="inlineStr"/>
      <c r="FS21" t="inlineStr"/>
      <c r="FT21" t="inlineStr"/>
      <c r="FU21" t="inlineStr"/>
      <c r="FV21" t="inlineStr"/>
      <c r="FW21" t="inlineStr"/>
      <c r="FX21" t="inlineStr"/>
      <c r="FY21" t="inlineStr"/>
      <c r="FZ21" t="inlineStr"/>
      <c r="GA21" t="inlineStr"/>
      <c r="GB21" t="inlineStr"/>
      <c r="GC21" t="inlineStr"/>
      <c r="GD21" t="inlineStr"/>
      <c r="GE21" t="inlineStr"/>
      <c r="GF21" t="inlineStr"/>
      <c r="GG21" t="inlineStr"/>
      <c r="GH21" t="inlineStr"/>
      <c r="GI21" t="inlineStr"/>
      <c r="GJ21" t="inlineStr"/>
      <c r="GK21" t="inlineStr"/>
      <c r="GL21" t="inlineStr"/>
      <c r="GM21" t="inlineStr"/>
      <c r="GN21" t="inlineStr"/>
      <c r="GO21" t="inlineStr"/>
      <c r="GP21" t="inlineStr"/>
      <c r="GQ21" t="inlineStr"/>
      <c r="GR21" t="inlineStr"/>
      <c r="GS21" t="inlineStr"/>
      <c r="GT21" t="inlineStr"/>
      <c r="GU21" t="inlineStr"/>
      <c r="GV21" t="inlineStr"/>
      <c r="GW21" t="inlineStr"/>
      <c r="GX21" t="inlineStr"/>
      <c r="GY21" t="inlineStr"/>
      <c r="GZ21" t="inlineStr"/>
      <c r="HA21" t="inlineStr"/>
      <c r="HB21" t="inlineStr"/>
      <c r="HC21" t="inlineStr"/>
      <c r="HD21" t="inlineStr"/>
      <c r="HE21" t="inlineStr"/>
      <c r="HF21" t="inlineStr"/>
      <c r="HG21" t="inlineStr"/>
      <c r="HH21" t="inlineStr"/>
      <c r="HI21" t="inlineStr"/>
      <c r="HJ21" t="inlineStr"/>
      <c r="HK21" t="inlineStr"/>
      <c r="HL21" t="inlineStr"/>
      <c r="HM21" t="inlineStr"/>
      <c r="HN21" t="inlineStr"/>
      <c r="HO21" t="inlineStr"/>
      <c r="HP21" t="inlineStr"/>
      <c r="HQ21" t="inlineStr"/>
      <c r="HR21" t="inlineStr"/>
      <c r="HS21" t="inlineStr"/>
      <c r="HT21" t="inlineStr"/>
      <c r="HU21" t="inlineStr"/>
      <c r="HV21" t="inlineStr"/>
      <c r="HW21" t="inlineStr"/>
      <c r="HX21" t="inlineStr"/>
      <c r="HY21" t="inlineStr"/>
      <c r="HZ21" t="inlineStr"/>
      <c r="IA21" t="inlineStr"/>
      <c r="IB21" t="inlineStr"/>
      <c r="IC21" t="inlineStr"/>
      <c r="ID21" t="inlineStr"/>
      <c r="IE21" t="inlineStr"/>
      <c r="IF21" t="inlineStr"/>
      <c r="IG21" t="inlineStr"/>
      <c r="IH21" t="inlineStr"/>
      <c r="II21" t="inlineStr"/>
      <c r="IJ21" t="inlineStr"/>
      <c r="IK21" t="inlineStr"/>
      <c r="IL21" t="inlineStr"/>
      <c r="IM21" t="inlineStr"/>
      <c r="IN21" t="inlineStr"/>
      <c r="IO21" t="inlineStr"/>
      <c r="IP21" t="inlineStr"/>
      <c r="IQ21" t="inlineStr"/>
      <c r="IR21" t="inlineStr"/>
      <c r="IS21">
        <f>IF(input_content_type="",FALSE,ISNUMBER(SEARCH(","&amp;LOWER(input_content_type)&amp;",",","&amp;LOWER(F21)&amp;",")))</f>
        <v/>
      </c>
      <c r="IT21">
        <f>AND(IF(M21="",TRUE,IF(input_affiliations="",FALSE,SUMPRODUCT(--ISNUMBER(SEARCH(","&amp;TRIM(TEXTSPLIT(M21,","))&amp;",",","&amp;SUBSTITUTE(input_affiliations," ","")&amp;",")))&gt;0)),IF(O21="",TRUE,IF(input_affiliations="",FALSE,SUMPRODUCT(--ISNUMBER(SEARCH(","&amp;TRIM(TEXTSPLIT(O21,","))&amp;",",","&amp;SUBSTITUTE(input_affiliations," ","")&amp;",")))=COUNTA(TEXTSPLIT(O21,",")))),IF(Q21="",TRUE,IF(input_affiliations="",TRUE,SUMPRODUCT(--ISNUMBER(SEARCH(","&amp;TRIM(TEXTSPLIT(Q21,","))&amp;",",","&amp;SUBSTITUTE(input_affiliations," ","")&amp;",")))=0)),IF(S21="",TRUE,IF(input_affiliations="",FALSE,SUMPRODUCT(--ISNUMBER(SEARCH(","&amp;TRIM(TEXTSPLIT(S21,","))&amp;",",","&amp;SUBSTITUTE(input_affiliations," ","")&amp;",")))&gt;0)),IF(U21="",TRUE,IF(input_affiliations="",FALSE,SUMPRODUCT(--ISNUMBER(SEARCH(","&amp;TRIM(TEXTSPLIT(U21,","))&amp;",",","&amp;SUBSTITUTE(input_affiliations," ","")&amp;",")))=COUNTA(TEXTSPLIT(U21,",")))))</f>
        <v/>
      </c>
      <c r="IU21">
        <f>AND(IF(W21="",TRUE,IF(input_announcement_category="",FALSE,SUMPRODUCT(--ISNUMBER(SEARCH(","&amp;TRIM(TEXTSPLIT(W21,","))&amp;",",","&amp;SUBSTITUTE(input_announcement_category," ","")&amp;",")))&gt;0)),IF(Y21="",TRUE,IF(input_announcement_category="",FALSE,SUMPRODUCT(--ISNUMBER(SEARCH(","&amp;TRIM(TEXTSPLIT(Y21,","))&amp;",",","&amp;SUBSTITUTE(input_announcement_category," ","")&amp;",")))=COUNTA(TEXTSPLIT(Y21,",")))),IF(AA21="",TRUE,IF(input_announcement_category="",TRUE,SUMPRODUCT(--ISNUMBER(SEARCH(","&amp;TRIM(TEXTSPLIT(AA21,","))&amp;",",","&amp;SUBSTITUTE(input_announcement_category," ","")&amp;",")))=0)),IF(AC21="",TRUE,IF(input_announcement_category="",FALSE,SUMPRODUCT(--ISNUMBER(SEARCH(","&amp;TRIM(TEXTSPLIT(AC21,","))&amp;",",","&amp;SUBSTITUTE(input_announcement_category," ","")&amp;",")))&gt;0)),IF(AE21="",TRUE,IF(input_announcement_category="",FALSE,SUMPRODUCT(--ISNUMBER(SEARCH(","&amp;TRIM(TEXTSPLIT(AE21,","))&amp;",",","&amp;SUBSTITUTE(input_announcement_category," ","")&amp;",")))=COUNTA(TEXTSPLIT(AE21,",")))))</f>
        <v/>
      </c>
      <c r="IV21">
        <f>AND(IF(AG21="",TRUE,IF(input_area_of_focus="",FALSE,SUMPRODUCT(--ISNUMBER(SEARCH(","&amp;TRIM(TEXTSPLIT(AG21,","))&amp;",",","&amp;SUBSTITUTE(input_area_of_focus," ","")&amp;",")))&gt;0)),IF(AI21="",TRUE,IF(input_area_of_focus="",FALSE,SUMPRODUCT(--ISNUMBER(SEARCH(","&amp;TRIM(TEXTSPLIT(AI21,","))&amp;",",","&amp;SUBSTITUTE(input_area_of_focus," ","")&amp;",")))=COUNTA(TEXTSPLIT(AI21,",")))),IF(AK21="",TRUE,IF(input_area_of_focus="",TRUE,SUMPRODUCT(--ISNUMBER(SEARCH(","&amp;TRIM(TEXTSPLIT(AK21,","))&amp;",",","&amp;SUBSTITUTE(input_area_of_focus," ","")&amp;",")))=0)),IF(AM21="",TRUE,IF(input_area_of_focus="",FALSE,SUMPRODUCT(--ISNUMBER(SEARCH(","&amp;TRIM(TEXTSPLIT(AM21,","))&amp;",",","&amp;SUBSTITUTE(input_area_of_focus," ","")&amp;",")))&gt;0)),IF(AO21="",TRUE,IF(input_area_of_focus="",FALSE,SUMPRODUCT(--ISNUMBER(SEARCH(","&amp;TRIM(TEXTSPLIT(AO21,","))&amp;",",","&amp;SUBSTITUTE(input_area_of_focus," ","")&amp;",")))=COUNTA(TEXTSPLIT(AO21,",")))))</f>
        <v/>
      </c>
      <c r="IW21">
        <f>AND(IF(AQ21="",TRUE,IF(input_audience="",FALSE,SUMPRODUCT(--ISNUMBER(SEARCH(","&amp;TRIM(TEXTSPLIT(AQ21,","))&amp;",",","&amp;SUBSTITUTE(input_audience," ","")&amp;",")))&gt;0)),IF(AS21="",TRUE,IF(input_audience="",FALSE,SUMPRODUCT(--ISNUMBER(SEARCH(","&amp;TRIM(TEXTSPLIT(AS21,","))&amp;",",","&amp;SUBSTITUTE(input_audience," ","")&amp;",")))=COUNTA(TEXTSPLIT(AS21,",")))),IF(AU21="",TRUE,IF(input_audience="",TRUE,SUMPRODUCT(--ISNUMBER(SEARCH(","&amp;TRIM(TEXTSPLIT(AU21,","))&amp;",",","&amp;SUBSTITUTE(input_audience," ","")&amp;",")))=0)),IF(AW21="",TRUE,IF(input_audience="",FALSE,SUMPRODUCT(--ISNUMBER(SEARCH(","&amp;TRIM(TEXTSPLIT(AW21,","))&amp;",",","&amp;SUBSTITUTE(input_audience," ","")&amp;",")))&gt;0)),IF(AY21="",TRUE,IF(input_audience="",FALSE,SUMPRODUCT(--ISNUMBER(SEARCH(","&amp;TRIM(TEXTSPLIT(AY21,","))&amp;",",","&amp;SUBSTITUTE(input_audience," ","")&amp;",")))=COUNTA(TEXTSPLIT(AY21,",")))))</f>
        <v/>
      </c>
      <c r="IX21">
        <f>AND(IF(BA21="",TRUE,IF(input_challenge_opportunities="",FALSE,SUMPRODUCT(--ISNUMBER(SEARCH(","&amp;TRIM(TEXTSPLIT(BA21,","))&amp;",",","&amp;SUBSTITUTE(input_challenge_opportunities," ","")&amp;",")))&gt;0)),IF(BC21="",TRUE,IF(input_challenge_opportunities="",FALSE,SUMPRODUCT(--ISNUMBER(SEARCH(","&amp;TRIM(TEXTSPLIT(BC21,","))&amp;",",","&amp;SUBSTITUTE(input_challenge_opportunities," ","")&amp;",")))=COUNTA(TEXTSPLIT(BC21,",")))),IF(BE21="",TRUE,IF(input_challenge_opportunities="",TRUE,SUMPRODUCT(--ISNUMBER(SEARCH(","&amp;TRIM(TEXTSPLIT(BE21,","))&amp;",",","&amp;SUBSTITUTE(input_challenge_opportunities," ","")&amp;",")))=0)),IF(BG21="",TRUE,IF(input_challenge_opportunities="",FALSE,SUMPRODUCT(--ISNUMBER(SEARCH(","&amp;TRIM(TEXTSPLIT(BG21,","))&amp;",",","&amp;SUBSTITUTE(input_challenge_opportunities," ","")&amp;",")))&gt;0)),IF(BI21="",TRUE,IF(input_challenge_opportunities="",FALSE,SUMPRODUCT(--ISNUMBER(SEARCH(","&amp;TRIM(TEXTSPLIT(BI21,","))&amp;",",","&amp;SUBSTITUTE(input_challenge_opportunities," ","")&amp;",")))=COUNTA(TEXTSPLIT(BI21,",")))))</f>
        <v/>
      </c>
      <c r="IY21">
        <f>AND(IF(BK21="",TRUE,IF(input_context="",FALSE,SUMPRODUCT(--ISNUMBER(SEARCH(","&amp;TRIM(TEXTSPLIT(BK21,","))&amp;",",","&amp;SUBSTITUTE(input_context," ","")&amp;",")))&gt;0)),IF(BM21="",TRUE,IF(input_context="",FALSE,SUMPRODUCT(--ISNUMBER(SEARCH(","&amp;TRIM(TEXTSPLIT(BM21,","))&amp;",",","&amp;SUBSTITUTE(input_context," ","")&amp;",")))=COUNTA(TEXTSPLIT(BM21,",")))),IF(BO21="",TRUE,IF(input_context="",TRUE,SUMPRODUCT(--ISNUMBER(SEARCH(","&amp;TRIM(TEXTSPLIT(BO21,","))&amp;",",","&amp;SUBSTITUTE(input_context," ","")&amp;",")))=0)),IF(BQ21="",TRUE,IF(input_context="",FALSE,SUMPRODUCT(--ISNUMBER(SEARCH(","&amp;TRIM(TEXTSPLIT(BQ21,","))&amp;",",","&amp;SUBSTITUTE(input_context," ","")&amp;",")))&gt;0)),IF(BS21="",TRUE,IF(input_context="",FALSE,SUMPRODUCT(--ISNUMBER(SEARCH(","&amp;TRIM(TEXTSPLIT(BS21,","))&amp;",",","&amp;SUBSTITUTE(input_context," ","")&amp;",")))=COUNTA(TEXTSPLIT(BS21,",")))))</f>
        <v/>
      </c>
      <c r="IZ21">
        <f>AND(IF(BU21="",TRUE,IF(input_enews_announcement_type="",FALSE,SUMPRODUCT(--ISNUMBER(SEARCH(","&amp;TRIM(TEXTSPLIT(BU21,","))&amp;",",","&amp;SUBSTITUTE(input_enews_announcement_type," ","")&amp;",")))&gt;0)),IF(BW21="",TRUE,IF(input_enews_announcement_type="",FALSE,SUMPRODUCT(--ISNUMBER(SEARCH(","&amp;TRIM(TEXTSPLIT(BW21,","))&amp;",",","&amp;SUBSTITUTE(input_enews_announcement_type," ","")&amp;",")))=COUNTA(TEXTSPLIT(BW21,",")))),IF(BY21="",TRUE,IF(input_enews_announcement_type="",TRUE,SUMPRODUCT(--ISNUMBER(SEARCH(","&amp;TRIM(TEXTSPLIT(BY21,","))&amp;",",","&amp;SUBSTITUTE(input_enews_announcement_type," ","")&amp;",")))=0)),IF(CA21="",TRUE,IF(input_enews_announcement_type="",FALSE,SUMPRODUCT(--ISNUMBER(SEARCH(","&amp;TRIM(TEXTSPLIT(CA21,","))&amp;",",","&amp;SUBSTITUTE(input_enews_announcement_type," ","")&amp;",")))&gt;0)),IF(CC21="",TRUE,IF(input_enews_announcement_type="",FALSE,SUMPRODUCT(--ISNUMBER(SEARCH(","&amp;TRIM(TEXTSPLIT(CC21,","))&amp;",",","&amp;SUBSTITUTE(input_enews_announcement_type," ","")&amp;",")))=COUNTA(TEXTSPLIT(CC21,",")))))</f>
        <v/>
      </c>
      <c r="JA21">
        <f>AND(IF(CE21="",TRUE,IF(input_enews_audience="",FALSE,SUMPRODUCT(--ISNUMBER(SEARCH(","&amp;TRIM(TEXTSPLIT(CE21,","))&amp;",",","&amp;SUBSTITUTE(input_enews_audience," ","")&amp;",")))&gt;0)),IF(CG21="",TRUE,IF(input_enews_audience="",FALSE,SUMPRODUCT(--ISNUMBER(SEARCH(","&amp;TRIM(TEXTSPLIT(CG21,","))&amp;",",","&amp;SUBSTITUTE(input_enews_audience," ","")&amp;",")))=COUNTA(TEXTSPLIT(CG21,",")))),IF(CI21="",TRUE,IF(input_enews_audience="",TRUE,SUMPRODUCT(--ISNUMBER(SEARCH(","&amp;TRIM(TEXTSPLIT(CI21,","))&amp;",",","&amp;SUBSTITUTE(input_enews_audience," ","")&amp;",")))=0)),IF(CK21="",TRUE,IF(input_enews_audience="",FALSE,SUMPRODUCT(--ISNUMBER(SEARCH(","&amp;TRIM(TEXTSPLIT(CK21,","))&amp;",",","&amp;SUBSTITUTE(input_enews_audience," ","")&amp;",")))&gt;0)),IF(CM21="",TRUE,IF(input_enews_audience="",FALSE,SUMPRODUCT(--ISNUMBER(SEARCH(","&amp;TRIM(TEXTSPLIT(CM21,","))&amp;",",","&amp;SUBSTITUTE(input_enews_audience," ","")&amp;",")))=COUNTA(TEXTSPLIT(CM21,",")))))</f>
        <v/>
      </c>
      <c r="JB21">
        <f>AND(IF(CO21="",TRUE,IF(input_event_location="",FALSE,SUMPRODUCT(--ISNUMBER(SEARCH(","&amp;TRIM(TEXTSPLIT(CO21,","))&amp;",",","&amp;SUBSTITUTE(input_event_location," ","")&amp;",")))&gt;0)),IF(CQ21="",TRUE,IF(input_event_location="",FALSE,SUMPRODUCT(--ISNUMBER(SEARCH(","&amp;TRIM(TEXTSPLIT(CQ21,","))&amp;",",","&amp;SUBSTITUTE(input_event_location," ","")&amp;",")))=COUNTA(TEXTSPLIT(CQ21,",")))),IF(CS21="",TRUE,IF(input_event_location="",TRUE,SUMPRODUCT(--ISNUMBER(SEARCH(","&amp;TRIM(TEXTSPLIT(CS21,","))&amp;",",","&amp;SUBSTITUTE(input_event_location," ","")&amp;",")))=0)),IF(CU21="",TRUE,IF(input_event_location="",FALSE,SUMPRODUCT(--ISNUMBER(SEARCH(","&amp;TRIM(TEXTSPLIT(CU21,","))&amp;",",","&amp;SUBSTITUTE(input_event_location," ","")&amp;",")))&gt;0)),IF(CW21="",TRUE,IF(input_event_location="",FALSE,SUMPRODUCT(--ISNUMBER(SEARCH(","&amp;TRIM(TEXTSPLIT(CW21,","))&amp;",",","&amp;SUBSTITUTE(input_event_location," ","")&amp;",")))=COUNTA(TEXTSPLIT(CW21,",")))))</f>
        <v/>
      </c>
      <c r="JC21">
        <f>AND(IF(CY21="",TRUE,IF(input_event_type="",FALSE,SUMPRODUCT(--ISNUMBER(SEARCH(","&amp;TRIM(TEXTSPLIT(CY21,","))&amp;",",","&amp;SUBSTITUTE(input_event_type," ","")&amp;",")))&gt;0)),IF(DA21="",TRUE,IF(input_event_type="",FALSE,SUMPRODUCT(--ISNUMBER(SEARCH(","&amp;TRIM(TEXTSPLIT(DA21,","))&amp;",",","&amp;SUBSTITUTE(input_event_type," ","")&amp;",")))=COUNTA(TEXTSPLIT(DA21,",")))),IF(DC21="",TRUE,IF(input_event_type="",TRUE,SUMPRODUCT(--ISNUMBER(SEARCH(","&amp;TRIM(TEXTSPLIT(DC21,","))&amp;",",","&amp;SUBSTITUTE(input_event_type," ","")&amp;",")))=0)),IF(DE21="",TRUE,IF(input_event_type="",FALSE,SUMPRODUCT(--ISNUMBER(SEARCH(","&amp;TRIM(TEXTSPLIT(DE21,","))&amp;",",","&amp;SUBSTITUTE(input_event_type," ","")&amp;",")))&gt;0)),IF(DG21="",TRUE,IF(input_event_type="",FALSE,SUMPRODUCT(--ISNUMBER(SEARCH(","&amp;TRIM(TEXTSPLIT(DG21,","))&amp;",",","&amp;SUBSTITUTE(input_event_type," ","")&amp;",")))=COUNTA(TEXTSPLIT(DG21,",")))))</f>
        <v/>
      </c>
      <c r="JD21">
        <f>AND(IF(DI21="",TRUE,IF(input_executive_education_focus="",FALSE,SUMPRODUCT(--ISNUMBER(SEARCH(","&amp;TRIM(TEXTSPLIT(DI21,","))&amp;",",","&amp;SUBSTITUTE(input_executive_education_focus," ","")&amp;",")))&gt;0)),IF(DK21="",TRUE,IF(input_executive_education_focus="",FALSE,SUMPRODUCT(--ISNUMBER(SEARCH(","&amp;TRIM(TEXTSPLIT(DK21,","))&amp;",",","&amp;SUBSTITUTE(input_executive_education_focus," ","")&amp;",")))=COUNTA(TEXTSPLIT(DK21,",")))),IF(DM21="",TRUE,IF(input_executive_education_focus="",TRUE,SUMPRODUCT(--ISNUMBER(SEARCH(","&amp;TRIM(TEXTSPLIT(DM21,","))&amp;",",","&amp;SUBSTITUTE(input_executive_education_focus," ","")&amp;",")))=0)),IF(DO21="",TRUE,IF(input_executive_education_focus="",FALSE,SUMPRODUCT(--ISNUMBER(SEARCH(","&amp;TRIM(TEXTSPLIT(DO21,","))&amp;",",","&amp;SUBSTITUTE(input_executive_education_focus," ","")&amp;",")))&gt;0)),IF(DQ21="",TRUE,IF(input_executive_education_focus="",FALSE,SUMPRODUCT(--ISNUMBER(SEARCH(","&amp;TRIM(TEXTSPLIT(DQ21,","))&amp;",",","&amp;SUBSTITUTE(input_executive_education_focus," ","")&amp;",")))=COUNTA(TEXTSPLIT(DQ21,",")))))</f>
        <v/>
      </c>
      <c r="JE21">
        <f>AND(IF(DS21="",TRUE,IF(input_faculty_category="",FALSE,SUMPRODUCT(--ISNUMBER(SEARCH(","&amp;TRIM(TEXTSPLIT(DS21,","))&amp;",",","&amp;SUBSTITUTE(input_faculty_category," ","")&amp;",")))&gt;0)),IF(DU21="",TRUE,IF(input_faculty_category="",FALSE,SUMPRODUCT(--ISNUMBER(SEARCH(","&amp;TRIM(TEXTSPLIT(DU21,","))&amp;",",","&amp;SUBSTITUTE(input_faculty_category," ","")&amp;",")))=COUNTA(TEXTSPLIT(DU21,",")))),IF(DW21="",TRUE,IF(input_faculty_category="",TRUE,SUMPRODUCT(--ISNUMBER(SEARCH(","&amp;TRIM(TEXTSPLIT(DW21,","))&amp;",",","&amp;SUBSTITUTE(input_faculty_category," ","")&amp;",")))=0)),IF(DY21="",TRUE,IF(input_faculty_category="",FALSE,SUMPRODUCT(--ISNUMBER(SEARCH(","&amp;TRIM(TEXTSPLIT(DY21,","))&amp;",",","&amp;SUBSTITUTE(input_faculty_category," ","")&amp;",")))&gt;0)),IF(EA21="",TRUE,IF(input_faculty_category="",FALSE,SUMPRODUCT(--ISNUMBER(SEARCH(","&amp;TRIM(TEXTSPLIT(EA21,","))&amp;",",","&amp;SUBSTITUTE(input_faculty_category," ","")&amp;",")))=COUNTA(TEXTSPLIT(EA21,",")))))</f>
        <v/>
      </c>
      <c r="JF21">
        <f>AND(IF(EC21="",TRUE,IF(input_faculty_discipline="",FALSE,SUMPRODUCT(--ISNUMBER(SEARCH(","&amp;TRIM(TEXTSPLIT(EC21,","))&amp;",",","&amp;SUBSTITUTE(input_faculty_discipline," ","")&amp;",")))&gt;0)),IF(EE21="",TRUE,IF(input_faculty_discipline="",FALSE,SUMPRODUCT(--ISNUMBER(SEARCH(","&amp;TRIM(TEXTSPLIT(EE21,","))&amp;",",","&amp;SUBSTITUTE(input_faculty_discipline," ","")&amp;",")))=COUNTA(TEXTSPLIT(EE21,",")))),IF(EG21="",TRUE,IF(input_faculty_discipline="",TRUE,SUMPRODUCT(--ISNUMBER(SEARCH(","&amp;TRIM(TEXTSPLIT(EG21,","))&amp;",",","&amp;SUBSTITUTE(input_faculty_discipline," ","")&amp;",")))=0)),IF(EI21="",TRUE,IF(input_faculty_discipline="",FALSE,SUMPRODUCT(--ISNUMBER(SEARCH(","&amp;TRIM(TEXTSPLIT(EI21,","))&amp;",",","&amp;SUBSTITUTE(input_faculty_discipline," ","")&amp;",")))&gt;0)),IF(EK21="",TRUE,IF(input_faculty_discipline="",FALSE,SUMPRODUCT(--ISNUMBER(SEARCH(","&amp;TRIM(TEXTSPLIT(EK21,","))&amp;",",","&amp;SUBSTITUTE(input_faculty_discipline," ","")&amp;",")))=COUNTA(TEXTSPLIT(EK21,",")))))</f>
        <v/>
      </c>
      <c r="JG21">
        <f>AND(IF(EM21="",TRUE,IF(input_faculty_expertise="",FALSE,SUMPRODUCT(--ISNUMBER(SEARCH(","&amp;TRIM(TEXTSPLIT(EM21,","))&amp;",",","&amp;SUBSTITUTE(input_faculty_expertise," ","")&amp;",")))&gt;0)),IF(EO21="",TRUE,IF(input_faculty_expertise="",FALSE,SUMPRODUCT(--ISNUMBER(SEARCH(","&amp;TRIM(TEXTSPLIT(EO21,","))&amp;",",","&amp;SUBSTITUTE(input_faculty_expertise," ","")&amp;",")))=COUNTA(TEXTSPLIT(EO21,",")))),IF(EQ21="",TRUE,IF(input_faculty_expertise="",TRUE,SUMPRODUCT(--ISNUMBER(SEARCH(","&amp;TRIM(TEXTSPLIT(EQ21,","))&amp;",",","&amp;SUBSTITUTE(input_faculty_expertise," ","")&amp;",")))=0)),IF(ES21="",TRUE,IF(input_faculty_expertise="",FALSE,SUMPRODUCT(--ISNUMBER(SEARCH(","&amp;TRIM(TEXTSPLIT(ES21,","))&amp;",",","&amp;SUBSTITUTE(input_faculty_expertise," ","")&amp;",")))&gt;0)),IF(EU21="",TRUE,IF(input_faculty_expertise="",FALSE,SUMPRODUCT(--ISNUMBER(SEARCH(","&amp;TRIM(TEXTSPLIT(EU21,","))&amp;",",","&amp;SUBSTITUTE(input_faculty_expertise," ","")&amp;",")))=COUNTA(TEXTSPLIT(EU21,",")))))</f>
        <v/>
      </c>
      <c r="JH21">
        <f>AND(IF(EW21="",TRUE,IF(input_global_network_school="",FALSE,SUMPRODUCT(--ISNUMBER(SEARCH(","&amp;TRIM(TEXTSPLIT(EW21,","))&amp;",",","&amp;SUBSTITUTE(input_global_network_school," ","")&amp;",")))&gt;0)),IF(EY21="",TRUE,IF(input_global_network_school="",FALSE,SUMPRODUCT(--ISNUMBER(SEARCH(","&amp;TRIM(TEXTSPLIT(EY21,","))&amp;",",","&amp;SUBSTITUTE(input_global_network_school," ","")&amp;",")))=COUNTA(TEXTSPLIT(EY21,",")))),IF(FA21="",TRUE,IF(input_global_network_school="",TRUE,SUMPRODUCT(--ISNUMBER(SEARCH(","&amp;TRIM(TEXTSPLIT(FA21,","))&amp;",",","&amp;SUBSTITUTE(input_global_network_school," ","")&amp;",")))=0)),IF(FC21="",TRUE,IF(input_global_network_school="",FALSE,SUMPRODUCT(--ISNUMBER(SEARCH(","&amp;TRIM(TEXTSPLIT(FC21,","))&amp;",",","&amp;SUBSTITUTE(input_global_network_school," ","")&amp;",")))&gt;0)),IF(FE21="",TRUE,IF(input_global_network_school="",FALSE,SUMPRODUCT(--ISNUMBER(SEARCH(","&amp;TRIM(TEXTSPLIT(FE21,","))&amp;",",","&amp;SUBSTITUTE(input_global_network_school," ","")&amp;",")))=COUNTA(TEXTSPLIT(FE21,",")))))</f>
        <v/>
      </c>
      <c r="JI21">
        <f>AND(IF(FG21="",TRUE,IF(input_industry="",FALSE,SUMPRODUCT(--ISNUMBER(SEARCH(","&amp;TRIM(TEXTSPLIT(FG21,","))&amp;",",","&amp;SUBSTITUTE(input_industry," ","")&amp;",")))&gt;0)),IF(FI21="",TRUE,IF(input_industry="",FALSE,SUMPRODUCT(--ISNUMBER(SEARCH(","&amp;TRIM(TEXTSPLIT(FI21,","))&amp;",",","&amp;SUBSTITUTE(input_industry," ","")&amp;",")))=COUNTA(TEXTSPLIT(FI21,",")))),IF(FK21="",TRUE,IF(input_industry="",TRUE,SUMPRODUCT(--ISNUMBER(SEARCH(","&amp;TRIM(TEXTSPLIT(FK21,","))&amp;",",","&amp;SUBSTITUTE(input_industry," ","")&amp;",")))=0)),IF(FM21="",TRUE,IF(input_industry="",FALSE,SUMPRODUCT(--ISNUMBER(SEARCH(","&amp;TRIM(TEXTSPLIT(FM21,","))&amp;",",","&amp;SUBSTITUTE(input_industry," ","")&amp;",")))&gt;0)),IF(FO21="",TRUE,IF(input_industry="",FALSE,SUMPRODUCT(--ISNUMBER(SEARCH(","&amp;TRIM(TEXTSPLIT(FO21,","))&amp;",",","&amp;SUBSTITUTE(input_industry," ","")&amp;",")))=COUNTA(TEXTSPLIT(FO21,",")))))</f>
        <v/>
      </c>
      <c r="JJ21">
        <f>AND(IF(FQ21="",TRUE,IF(input_location="",FALSE,SUMPRODUCT(--ISNUMBER(SEARCH(","&amp;TRIM(TEXTSPLIT(FQ21,","))&amp;",",","&amp;SUBSTITUTE(input_location," ","")&amp;",")))&gt;0)),IF(FS21="",TRUE,IF(input_location="",FALSE,SUMPRODUCT(--ISNUMBER(SEARCH(","&amp;TRIM(TEXTSPLIT(FS21,","))&amp;",",","&amp;SUBSTITUTE(input_location," ","")&amp;",")))=COUNTA(TEXTSPLIT(FS21,",")))),IF(FU21="",TRUE,IF(input_location="",TRUE,SUMPRODUCT(--ISNUMBER(SEARCH(","&amp;TRIM(TEXTSPLIT(FU21,","))&amp;",",","&amp;SUBSTITUTE(input_location," ","")&amp;",")))=0)),IF(FW21="",TRUE,IF(input_location="",FALSE,SUMPRODUCT(--ISNUMBER(SEARCH(","&amp;TRIM(TEXTSPLIT(FW21,","))&amp;",",","&amp;SUBSTITUTE(input_location," ","")&amp;",")))&gt;0)),IF(FY21="",TRUE,IF(input_location="",FALSE,SUMPRODUCT(--ISNUMBER(SEARCH(","&amp;TRIM(TEXTSPLIT(FY21,","))&amp;",",","&amp;SUBSTITUTE(input_location," ","")&amp;",")))=COUNTA(TEXTSPLIT(FY21,",")))))</f>
        <v/>
      </c>
      <c r="JK21">
        <f>AND(IF(GA21="",TRUE,IF(input_modality="",FALSE,SUMPRODUCT(--ISNUMBER(SEARCH(","&amp;TRIM(TEXTSPLIT(GA21,","))&amp;",",","&amp;SUBSTITUTE(input_modality," ","")&amp;",")))&gt;0)),IF(GC21="",TRUE,IF(input_modality="",FALSE,SUMPRODUCT(--ISNUMBER(SEARCH(","&amp;TRIM(TEXTSPLIT(GC21,","))&amp;",",","&amp;SUBSTITUTE(input_modality," ","")&amp;",")))=COUNTA(TEXTSPLIT(GC21,",")))),IF(GE21="",TRUE,IF(input_modality="",TRUE,SUMPRODUCT(--ISNUMBER(SEARCH(","&amp;TRIM(TEXTSPLIT(GE21,","))&amp;",",","&amp;SUBSTITUTE(input_modality," ","")&amp;",")))=0)),IF(GG21="",TRUE,IF(input_modality="",FALSE,SUMPRODUCT(--ISNUMBER(SEARCH(","&amp;TRIM(TEXTSPLIT(GG21,","))&amp;",",","&amp;SUBSTITUTE(input_modality," ","")&amp;",")))&gt;0)),IF(GI21="",TRUE,IF(input_modality="",FALSE,SUMPRODUCT(--ISNUMBER(SEARCH(","&amp;TRIM(TEXTSPLIT(GI21,","))&amp;",",","&amp;SUBSTITUTE(input_modality," ","")&amp;",")))=COUNTA(TEXTSPLIT(GI21,",")))))</f>
        <v/>
      </c>
      <c r="JL21">
        <f>AND(IF(GK21="",TRUE,IF(input_organizer="",FALSE,SUMPRODUCT(--ISNUMBER(SEARCH(","&amp;TRIM(TEXTSPLIT(GK21,","))&amp;",",","&amp;SUBSTITUTE(input_organizer," ","")&amp;",")))&gt;0)),IF(GM21="",TRUE,IF(input_organizer="",FALSE,SUMPRODUCT(--ISNUMBER(SEARCH(","&amp;TRIM(TEXTSPLIT(GM21,","))&amp;",",","&amp;SUBSTITUTE(input_organizer," ","")&amp;",")))=COUNTA(TEXTSPLIT(GM21,",")))),IF(GO21="",TRUE,IF(input_organizer="",TRUE,SUMPRODUCT(--ISNUMBER(SEARCH(","&amp;TRIM(TEXTSPLIT(GO21,","))&amp;",",","&amp;SUBSTITUTE(input_organizer," ","")&amp;",")))=0)),IF(GQ21="",TRUE,IF(input_organizer="",FALSE,SUMPRODUCT(--ISNUMBER(SEARCH(","&amp;TRIM(TEXTSPLIT(GQ21,","))&amp;",",","&amp;SUBSTITUTE(input_organizer," ","")&amp;",")))&gt;0)),IF(GS21="",TRUE,IF(input_organizer="",FALSE,SUMPRODUCT(--ISNUMBER(SEARCH(","&amp;TRIM(TEXTSPLIT(GS21,","))&amp;",",","&amp;SUBSTITUTE(input_organizer," ","")&amp;",")))=COUNTA(TEXTSPLIT(GS21,",")))))</f>
        <v/>
      </c>
      <c r="JM21">
        <f>AND(IF(GU21="",TRUE,IF(input_profile_type="",FALSE,SUMPRODUCT(--ISNUMBER(SEARCH(","&amp;TRIM(TEXTSPLIT(GU21,","))&amp;",",","&amp;SUBSTITUTE(input_profile_type," ","")&amp;",")))&gt;0)),IF(GW21="",TRUE,IF(input_profile_type="",FALSE,SUMPRODUCT(--ISNUMBER(SEARCH(","&amp;TRIM(TEXTSPLIT(GW21,","))&amp;",",","&amp;SUBSTITUTE(input_profile_type," ","")&amp;",")))=COUNTA(TEXTSPLIT(GW21,",")))),IF(GY21="",TRUE,IF(input_profile_type="",TRUE,SUMPRODUCT(--ISNUMBER(SEARCH(","&amp;TRIM(TEXTSPLIT(GY21,","))&amp;",",","&amp;SUBSTITUTE(input_profile_type," ","")&amp;",")))=0)),IF(HA21="",TRUE,IF(input_profile_type="",FALSE,SUMPRODUCT(--ISNUMBER(SEARCH(","&amp;TRIM(TEXTSPLIT(HA21,","))&amp;",",","&amp;SUBSTITUTE(input_profile_type," ","")&amp;",")))&gt;0)),IF(HC21="",TRUE,IF(input_profile_type="",FALSE,SUMPRODUCT(--ISNUMBER(SEARCH(","&amp;TRIM(TEXTSPLIT(HC21,","))&amp;",",","&amp;SUBSTITUTE(input_profile_type," ","")&amp;",")))=COUNTA(TEXTSPLIT(HC21,",")))))</f>
        <v/>
      </c>
      <c r="JN21">
        <f>AND(IF(HE21="",TRUE,IF(input_program="",FALSE,SUMPRODUCT(--ISNUMBER(SEARCH(","&amp;TRIM(TEXTSPLIT(HE21,","))&amp;",",","&amp;SUBSTITUTE(input_program," ","")&amp;",")))&gt;0)),IF(HG21="",TRUE,IF(input_program="",FALSE,SUMPRODUCT(--ISNUMBER(SEARCH(","&amp;TRIM(TEXTSPLIT(HG21,","))&amp;",",","&amp;SUBSTITUTE(input_program," ","")&amp;",")))=COUNTA(TEXTSPLIT(HG21,",")))),IF(HI21="",TRUE,IF(input_program="",TRUE,SUMPRODUCT(--ISNUMBER(SEARCH(","&amp;TRIM(TEXTSPLIT(HI21,","))&amp;",",","&amp;SUBSTITUTE(input_program," ","")&amp;",")))=0)),IF(HK21="",TRUE,IF(input_program="",FALSE,SUMPRODUCT(--ISNUMBER(SEARCH(","&amp;TRIM(TEXTSPLIT(HK21,","))&amp;",",","&amp;SUBSTITUTE(input_program," ","")&amp;",")))&gt;0)),IF(HM21="",TRUE,IF(input_program="",FALSE,SUMPRODUCT(--ISNUMBER(SEARCH(","&amp;TRIM(TEXTSPLIT(HM21,","))&amp;",",","&amp;SUBSTITUTE(input_program," ","")&amp;",")))=COUNTA(TEXTSPLIT(HM21,",")))))</f>
        <v/>
      </c>
      <c r="JO21">
        <f>AND(IF(HO21="",TRUE,IF(input_story_categories="",FALSE,SUMPRODUCT(--ISNUMBER(SEARCH(","&amp;TRIM(TEXTSPLIT(HO21,","))&amp;",",","&amp;SUBSTITUTE(input_story_categories," ","")&amp;",")))&gt;0)),IF(HQ21="",TRUE,IF(input_story_categories="",FALSE,SUMPRODUCT(--ISNUMBER(SEARCH(","&amp;TRIM(TEXTSPLIT(HQ21,","))&amp;",",","&amp;SUBSTITUTE(input_story_categories," ","")&amp;",")))=COUNTA(TEXTSPLIT(HQ21,",")))),IF(HS21="",TRUE,IF(input_story_categories="",TRUE,SUMPRODUCT(--ISNUMBER(SEARCH(","&amp;TRIM(TEXTSPLIT(HS21,","))&amp;",",","&amp;SUBSTITUTE(input_story_categories," ","")&amp;",")))=0)),IF(HU21="",TRUE,IF(input_story_categories="",FALSE,SUMPRODUCT(--ISNUMBER(SEARCH(","&amp;TRIM(TEXTSPLIT(HU21,","))&amp;",",","&amp;SUBSTITUTE(input_story_categories," ","")&amp;",")))&gt;0)),IF(HW21="",TRUE,IF(input_story_categories="",FALSE,SUMPRODUCT(--ISNUMBER(SEARCH(","&amp;TRIM(TEXTSPLIT(HW21,","))&amp;",",","&amp;SUBSTITUTE(input_story_categories," ","")&amp;",")))=COUNTA(TEXTSPLIT(HW21,",")))))</f>
        <v/>
      </c>
      <c r="JP21">
        <f>AND(IF(HY21="",TRUE,IF(input_story_type="",FALSE,SUMPRODUCT(--ISNUMBER(SEARCH(","&amp;TRIM(TEXTSPLIT(HY21,","))&amp;",",","&amp;SUBSTITUTE(input_story_type," ","")&amp;",")))&gt;0)),IF(IA21="",TRUE,IF(input_story_type="",FALSE,SUMPRODUCT(--ISNUMBER(SEARCH(","&amp;TRIM(TEXTSPLIT(IA21,","))&amp;",",","&amp;SUBSTITUTE(input_story_type," ","")&amp;",")))=COUNTA(TEXTSPLIT(IA21,",")))),IF(IC21="",TRUE,IF(input_story_type="",TRUE,SUMPRODUCT(--ISNUMBER(SEARCH(","&amp;TRIM(TEXTSPLIT(IC21,","))&amp;",",","&amp;SUBSTITUTE(input_story_type," ","")&amp;",")))=0)),IF(IE21="",TRUE,IF(input_story_type="",FALSE,SUMPRODUCT(--ISNUMBER(SEARCH(","&amp;TRIM(TEXTSPLIT(IE21,","))&amp;",",","&amp;SUBSTITUTE(input_story_type," ","")&amp;",")))&gt;0)),IF(IG21="",TRUE,IF(input_story_type="",FALSE,SUMPRODUCT(--ISNUMBER(SEARCH(","&amp;TRIM(TEXTSPLIT(IG21,","))&amp;",",","&amp;SUBSTITUTE(input_story_type," ","")&amp;",")))=COUNTA(TEXTSPLIT(IG21,",")))))</f>
        <v/>
      </c>
      <c r="JQ21">
        <f>AND(IF(II21="",TRUE,IF(input_topics="",FALSE,SUMPRODUCT(--ISNUMBER(SEARCH(","&amp;TRIM(TEXTSPLIT(II21,","))&amp;",",","&amp;SUBSTITUTE(input_topics," ","")&amp;",")))&gt;0)),IF(IK21="",TRUE,IF(input_topics="",FALSE,SUMPRODUCT(--ISNUMBER(SEARCH(","&amp;TRIM(TEXTSPLIT(IK21,","))&amp;",",","&amp;SUBSTITUTE(input_topics," ","")&amp;",")))=COUNTA(TEXTSPLIT(IK21,",")))),IF(IM21="",TRUE,IF(input_topics="",TRUE,SUMPRODUCT(--ISNUMBER(SEARCH(","&amp;TRIM(TEXTSPLIT(IM21,","))&amp;",",","&amp;SUBSTITUTE(input_topics," ","")&amp;",")))=0)),IF(IO21="",TRUE,IF(input_topics="",FALSE,SUMPRODUCT(--ISNUMBER(SEARCH(","&amp;TRIM(TEXTSPLIT(IO21,","))&amp;",",","&amp;SUBSTITUTE(input_topics," ","")&amp;",")))&gt;0)),IF(IQ21="",TRUE,IF(input_topics="",FALSE,SUMPRODUCT(--ISNUMBER(SEARCH(","&amp;TRIM(TEXTSPLIT(IQ21,","))&amp;",",","&amp;SUBSTITUTE(input_topics," ","")&amp;",")))=COUNTA(TEXTSPLIT(IQ21,",")))))</f>
        <v/>
      </c>
    </row>
    <row r="22">
      <c r="A22" s="4">
        <f>IF(NOT(IS22),"Excluded",IF(AND(IT22,IU22,IV22,IW22,IX22,IY22,IZ22,JA22,JB22,JC22,JD22,JE22,JF22,JG22,JH22,JI22,JJ22,JK22,JL22,JM22,JN22,JO22,JP22,JQ22),IF(I22&gt;0,"Eligible but limited","Will appear"),"Excluded"))</f>
        <v/>
      </c>
      <c r="B22" s="4" t="inlineStr">
        <is>
          <t>All Publications by Author</t>
        </is>
      </c>
      <c r="C22" s="4" t="inlineStr">
        <is>
          <t>/faculty-research/faculty-directory/bryan-t-kelly</t>
        </is>
      </c>
      <c r="D22" s="4" t="inlineStr">
        <is>
          <t>/faculty-research/faculty-directory/bryan-t-kelly</t>
        </is>
      </c>
      <c r="E22" s="4" t="n">
        <v>1</v>
      </c>
      <c r="F22" s="4" t="inlineStr">
        <is>
          <t>publications</t>
        </is>
      </c>
      <c r="G22" s="4" t="inlineStr">
        <is>
          <t>publication_teaser_list</t>
        </is>
      </c>
      <c r="H22" s="4" t="inlineStr">
        <is>
          <t>publication_teaser_list_all_by_author</t>
        </is>
      </c>
      <c r="I22" s="4" t="inlineStr"/>
      <c r="J22" s="4" t="inlineStr">
        <is>
          <t>View/config rules</t>
        </is>
      </c>
      <c r="K22" s="4" t="inlineStr">
        <is>
          <t>Page placement</t>
        </is>
      </c>
      <c r="L22" s="4" t="inlineStr">
        <is>
          <t>Content type: publications; Source: View/config rules</t>
        </is>
      </c>
      <c r="M22" t="inlineStr"/>
      <c r="N22" t="inlineStr"/>
      <c r="O22" t="inlineStr"/>
      <c r="P22" t="inlineStr"/>
      <c r="Q22" t="inlineStr"/>
      <c r="R22" t="inlineStr"/>
      <c r="S22" t="inlineStr"/>
      <c r="T22" t="inlineStr"/>
      <c r="U22" t="inlineStr"/>
      <c r="V22" t="inlineStr"/>
      <c r="W22" t="inlineStr"/>
      <c r="X22" t="inlineStr"/>
      <c r="Y22" t="inlineStr"/>
      <c r="Z22" t="inlineStr"/>
      <c r="AA22" t="inlineStr"/>
      <c r="AB22" t="inlineStr"/>
      <c r="AC22" t="inlineStr"/>
      <c r="AD22" t="inlineStr"/>
      <c r="AE22" t="inlineStr"/>
      <c r="AF22" t="inlineStr"/>
      <c r="AG22" t="inlineStr"/>
      <c r="AH22" t="inlineStr"/>
      <c r="AI22" t="inlineStr"/>
      <c r="AJ22" t="inlineStr"/>
      <c r="AK22" t="inlineStr"/>
      <c r="AL22" t="inlineStr"/>
      <c r="AM22" t="inlineStr"/>
      <c r="AN22" t="inlineStr"/>
      <c r="AO22" t="inlineStr"/>
      <c r="AP22" t="inlineStr"/>
      <c r="AQ22" t="inlineStr"/>
      <c r="AR22" t="inlineStr"/>
      <c r="AS22" t="inlineStr"/>
      <c r="AT22" t="inlineStr"/>
      <c r="AU22" t="inlineStr"/>
      <c r="AV22" t="inlineStr"/>
      <c r="AW22" t="inlineStr"/>
      <c r="AX22" t="inlineStr"/>
      <c r="AY22" t="inlineStr"/>
      <c r="AZ22" t="inlineStr"/>
      <c r="BA22" t="inlineStr"/>
      <c r="BB22" t="inlineStr"/>
      <c r="BC22" t="inlineStr"/>
      <c r="BD22" t="inlineStr"/>
      <c r="BE22" t="inlineStr"/>
      <c r="BF22" t="inlineStr"/>
      <c r="BG22" t="inlineStr"/>
      <c r="BH22" t="inlineStr"/>
      <c r="BI22" t="inlineStr"/>
      <c r="BJ22" t="inlineStr"/>
      <c r="BK22" t="inlineStr"/>
      <c r="BL22" t="inlineStr"/>
      <c r="BM22" t="inlineStr"/>
      <c r="BN22" t="inlineStr"/>
      <c r="BO22" t="inlineStr"/>
      <c r="BP22" t="inlineStr"/>
      <c r="BQ22" t="inlineStr"/>
      <c r="BR22" t="inlineStr"/>
      <c r="BS22" t="inlineStr"/>
      <c r="BT22" t="inlineStr"/>
      <c r="BU22" t="inlineStr"/>
      <c r="BV22" t="inlineStr"/>
      <c r="BW22" t="inlineStr"/>
      <c r="BX22" t="inlineStr"/>
      <c r="BY22" t="inlineStr"/>
      <c r="BZ22" t="inlineStr"/>
      <c r="CA22" t="inlineStr"/>
      <c r="CB22" t="inlineStr"/>
      <c r="CC22" t="inlineStr"/>
      <c r="CD22" t="inlineStr"/>
      <c r="CE22" t="inlineStr"/>
      <c r="CF22" t="inlineStr"/>
      <c r="CG22" t="inlineStr"/>
      <c r="CH22" t="inlineStr"/>
      <c r="CI22" t="inlineStr"/>
      <c r="CJ22" t="inlineStr"/>
      <c r="CK22" t="inlineStr"/>
      <c r="CL22" t="inlineStr"/>
      <c r="CM22" t="inlineStr"/>
      <c r="CN22" t="inlineStr"/>
      <c r="CO22" t="inlineStr"/>
      <c r="CP22" t="inlineStr"/>
      <c r="CQ22" t="inlineStr"/>
      <c r="CR22" t="inlineStr"/>
      <c r="CS22" t="inlineStr"/>
      <c r="CT22" t="inlineStr"/>
      <c r="CU22" t="inlineStr"/>
      <c r="CV22" t="inlineStr"/>
      <c r="CW22" t="inlineStr"/>
      <c r="CX22" t="inlineStr"/>
      <c r="CY22" t="inlineStr"/>
      <c r="CZ22" t="inlineStr"/>
      <c r="DA22" t="inlineStr"/>
      <c r="DB22" t="inlineStr"/>
      <c r="DC22" t="inlineStr"/>
      <c r="DD22" t="inlineStr"/>
      <c r="DE22" t="inlineStr"/>
      <c r="DF22" t="inlineStr"/>
      <c r="DG22" t="inlineStr"/>
      <c r="DH22" t="inlineStr"/>
      <c r="DI22" t="inlineStr"/>
      <c r="DJ22" t="inlineStr"/>
      <c r="DK22" t="inlineStr"/>
      <c r="DL22" t="inlineStr"/>
      <c r="DM22" t="inlineStr"/>
      <c r="DN22" t="inlineStr"/>
      <c r="DO22" t="inlineStr"/>
      <c r="DP22" t="inlineStr"/>
      <c r="DQ22" t="inlineStr"/>
      <c r="DR22" t="inlineStr"/>
      <c r="DS22" t="inlineStr"/>
      <c r="DT22" t="inlineStr"/>
      <c r="DU22" t="inlineStr"/>
      <c r="DV22" t="inlineStr"/>
      <c r="DW22" t="inlineStr"/>
      <c r="DX22" t="inlineStr"/>
      <c r="DY22" t="inlineStr"/>
      <c r="DZ22" t="inlineStr"/>
      <c r="EA22" t="inlineStr"/>
      <c r="EB22" t="inlineStr"/>
      <c r="EC22" t="inlineStr"/>
      <c r="ED22" t="inlineStr"/>
      <c r="EE22" t="inlineStr"/>
      <c r="EF22" t="inlineStr"/>
      <c r="EG22" t="inlineStr"/>
      <c r="EH22" t="inlineStr"/>
      <c r="EI22" t="inlineStr"/>
      <c r="EJ22" t="inlineStr"/>
      <c r="EK22" t="inlineStr"/>
      <c r="EL22" t="inlineStr"/>
      <c r="EM22" t="inlineStr"/>
      <c r="EN22" t="inlineStr"/>
      <c r="EO22" t="inlineStr"/>
      <c r="EP22" t="inlineStr"/>
      <c r="EQ22" t="inlineStr"/>
      <c r="ER22" t="inlineStr"/>
      <c r="ES22" t="inlineStr"/>
      <c r="ET22" t="inlineStr"/>
      <c r="EU22" t="inlineStr"/>
      <c r="EV22" t="inlineStr"/>
      <c r="EW22" t="inlineStr"/>
      <c r="EX22" t="inlineStr"/>
      <c r="EY22" t="inlineStr"/>
      <c r="EZ22" t="inlineStr"/>
      <c r="FA22" t="inlineStr"/>
      <c r="FB22" t="inlineStr"/>
      <c r="FC22" t="inlineStr"/>
      <c r="FD22" t="inlineStr"/>
      <c r="FE22" t="inlineStr"/>
      <c r="FF22" t="inlineStr"/>
      <c r="FG22" t="inlineStr"/>
      <c r="FH22" t="inlineStr"/>
      <c r="FI22" t="inlineStr"/>
      <c r="FJ22" t="inlineStr"/>
      <c r="FK22" t="inlineStr"/>
      <c r="FL22" t="inlineStr"/>
      <c r="FM22" t="inlineStr"/>
      <c r="FN22" t="inlineStr"/>
      <c r="FO22" t="inlineStr"/>
      <c r="FP22" t="inlineStr"/>
      <c r="FQ22" t="inlineStr"/>
      <c r="FR22" t="inlineStr"/>
      <c r="FS22" t="inlineStr"/>
      <c r="FT22" t="inlineStr"/>
      <c r="FU22" t="inlineStr"/>
      <c r="FV22" t="inlineStr"/>
      <c r="FW22" t="inlineStr"/>
      <c r="FX22" t="inlineStr"/>
      <c r="FY22" t="inlineStr"/>
      <c r="FZ22" t="inlineStr"/>
      <c r="GA22" t="inlineStr"/>
      <c r="GB22" t="inlineStr"/>
      <c r="GC22" t="inlineStr"/>
      <c r="GD22" t="inlineStr"/>
      <c r="GE22" t="inlineStr"/>
      <c r="GF22" t="inlineStr"/>
      <c r="GG22" t="inlineStr"/>
      <c r="GH22" t="inlineStr"/>
      <c r="GI22" t="inlineStr"/>
      <c r="GJ22" t="inlineStr"/>
      <c r="GK22" t="inlineStr"/>
      <c r="GL22" t="inlineStr"/>
      <c r="GM22" t="inlineStr"/>
      <c r="GN22" t="inlineStr"/>
      <c r="GO22" t="inlineStr"/>
      <c r="GP22" t="inlineStr"/>
      <c r="GQ22" t="inlineStr"/>
      <c r="GR22" t="inlineStr"/>
      <c r="GS22" t="inlineStr"/>
      <c r="GT22" t="inlineStr"/>
      <c r="GU22" t="inlineStr"/>
      <c r="GV22" t="inlineStr"/>
      <c r="GW22" t="inlineStr"/>
      <c r="GX22" t="inlineStr"/>
      <c r="GY22" t="inlineStr"/>
      <c r="GZ22" t="inlineStr"/>
      <c r="HA22" t="inlineStr"/>
      <c r="HB22" t="inlineStr"/>
      <c r="HC22" t="inlineStr"/>
      <c r="HD22" t="inlineStr"/>
      <c r="HE22" t="inlineStr"/>
      <c r="HF22" t="inlineStr"/>
      <c r="HG22" t="inlineStr"/>
      <c r="HH22" t="inlineStr"/>
      <c r="HI22" t="inlineStr"/>
      <c r="HJ22" t="inlineStr"/>
      <c r="HK22" t="inlineStr"/>
      <c r="HL22" t="inlineStr"/>
      <c r="HM22" t="inlineStr"/>
      <c r="HN22" t="inlineStr"/>
      <c r="HO22" t="inlineStr"/>
      <c r="HP22" t="inlineStr"/>
      <c r="HQ22" t="inlineStr"/>
      <c r="HR22" t="inlineStr"/>
      <c r="HS22" t="inlineStr"/>
      <c r="HT22" t="inlineStr"/>
      <c r="HU22" t="inlineStr"/>
      <c r="HV22" t="inlineStr"/>
      <c r="HW22" t="inlineStr"/>
      <c r="HX22" t="inlineStr"/>
      <c r="HY22" t="inlineStr"/>
      <c r="HZ22" t="inlineStr"/>
      <c r="IA22" t="inlineStr"/>
      <c r="IB22" t="inlineStr"/>
      <c r="IC22" t="inlineStr"/>
      <c r="ID22" t="inlineStr"/>
      <c r="IE22" t="inlineStr"/>
      <c r="IF22" t="inlineStr"/>
      <c r="IG22" t="inlineStr"/>
      <c r="IH22" t="inlineStr"/>
      <c r="II22" t="inlineStr"/>
      <c r="IJ22" t="inlineStr"/>
      <c r="IK22" t="inlineStr"/>
      <c r="IL22" t="inlineStr"/>
      <c r="IM22" t="inlineStr"/>
      <c r="IN22" t="inlineStr"/>
      <c r="IO22" t="inlineStr"/>
      <c r="IP22" t="inlineStr"/>
      <c r="IQ22" t="inlineStr"/>
      <c r="IR22" t="inlineStr"/>
      <c r="IS22">
        <f>IF(input_content_type="",FALSE,ISNUMBER(SEARCH(","&amp;LOWER(input_content_type)&amp;",",","&amp;LOWER(F22)&amp;",")))</f>
        <v/>
      </c>
      <c r="IT22">
        <f>AND(IF(M22="",TRUE,IF(input_affiliations="",FALSE,SUMPRODUCT(--ISNUMBER(SEARCH(","&amp;TRIM(TEXTSPLIT(M22,","))&amp;",",","&amp;SUBSTITUTE(input_affiliations," ","")&amp;",")))&gt;0)),IF(O22="",TRUE,IF(input_affiliations="",FALSE,SUMPRODUCT(--ISNUMBER(SEARCH(","&amp;TRIM(TEXTSPLIT(O22,","))&amp;",",","&amp;SUBSTITUTE(input_affiliations," ","")&amp;",")))=COUNTA(TEXTSPLIT(O22,",")))),IF(Q22="",TRUE,IF(input_affiliations="",TRUE,SUMPRODUCT(--ISNUMBER(SEARCH(","&amp;TRIM(TEXTSPLIT(Q22,","))&amp;",",","&amp;SUBSTITUTE(input_affiliations," ","")&amp;",")))=0)),IF(S22="",TRUE,IF(input_affiliations="",FALSE,SUMPRODUCT(--ISNUMBER(SEARCH(","&amp;TRIM(TEXTSPLIT(S22,","))&amp;",",","&amp;SUBSTITUTE(input_affiliations," ","")&amp;",")))&gt;0)),IF(U22="",TRUE,IF(input_affiliations="",FALSE,SUMPRODUCT(--ISNUMBER(SEARCH(","&amp;TRIM(TEXTSPLIT(U22,","))&amp;",",","&amp;SUBSTITUTE(input_affiliations," ","")&amp;",")))=COUNTA(TEXTSPLIT(U22,",")))))</f>
        <v/>
      </c>
      <c r="IU22">
        <f>AND(IF(W22="",TRUE,IF(input_announcement_category="",FALSE,SUMPRODUCT(--ISNUMBER(SEARCH(","&amp;TRIM(TEXTSPLIT(W22,","))&amp;",",","&amp;SUBSTITUTE(input_announcement_category," ","")&amp;",")))&gt;0)),IF(Y22="",TRUE,IF(input_announcement_category="",FALSE,SUMPRODUCT(--ISNUMBER(SEARCH(","&amp;TRIM(TEXTSPLIT(Y22,","))&amp;",",","&amp;SUBSTITUTE(input_announcement_category," ","")&amp;",")))=COUNTA(TEXTSPLIT(Y22,",")))),IF(AA22="",TRUE,IF(input_announcement_category="",TRUE,SUMPRODUCT(--ISNUMBER(SEARCH(","&amp;TRIM(TEXTSPLIT(AA22,","))&amp;",",","&amp;SUBSTITUTE(input_announcement_category," ","")&amp;",")))=0)),IF(AC22="",TRUE,IF(input_announcement_category="",FALSE,SUMPRODUCT(--ISNUMBER(SEARCH(","&amp;TRIM(TEXTSPLIT(AC22,","))&amp;",",","&amp;SUBSTITUTE(input_announcement_category," ","")&amp;",")))&gt;0)),IF(AE22="",TRUE,IF(input_announcement_category="",FALSE,SUMPRODUCT(--ISNUMBER(SEARCH(","&amp;TRIM(TEXTSPLIT(AE22,","))&amp;",",","&amp;SUBSTITUTE(input_announcement_category," ","")&amp;",")))=COUNTA(TEXTSPLIT(AE22,",")))))</f>
        <v/>
      </c>
      <c r="IV22">
        <f>AND(IF(AG22="",TRUE,IF(input_area_of_focus="",FALSE,SUMPRODUCT(--ISNUMBER(SEARCH(","&amp;TRIM(TEXTSPLIT(AG22,","))&amp;",",","&amp;SUBSTITUTE(input_area_of_focus," ","")&amp;",")))&gt;0)),IF(AI22="",TRUE,IF(input_area_of_focus="",FALSE,SUMPRODUCT(--ISNUMBER(SEARCH(","&amp;TRIM(TEXTSPLIT(AI22,","))&amp;",",","&amp;SUBSTITUTE(input_area_of_focus," ","")&amp;",")))=COUNTA(TEXTSPLIT(AI22,",")))),IF(AK22="",TRUE,IF(input_area_of_focus="",TRUE,SUMPRODUCT(--ISNUMBER(SEARCH(","&amp;TRIM(TEXTSPLIT(AK22,","))&amp;",",","&amp;SUBSTITUTE(input_area_of_focus," ","")&amp;",")))=0)),IF(AM22="",TRUE,IF(input_area_of_focus="",FALSE,SUMPRODUCT(--ISNUMBER(SEARCH(","&amp;TRIM(TEXTSPLIT(AM22,","))&amp;",",","&amp;SUBSTITUTE(input_area_of_focus," ","")&amp;",")))&gt;0)),IF(AO22="",TRUE,IF(input_area_of_focus="",FALSE,SUMPRODUCT(--ISNUMBER(SEARCH(","&amp;TRIM(TEXTSPLIT(AO22,","))&amp;",",","&amp;SUBSTITUTE(input_area_of_focus," ","")&amp;",")))=COUNTA(TEXTSPLIT(AO22,",")))))</f>
        <v/>
      </c>
      <c r="IW22">
        <f>AND(IF(AQ22="",TRUE,IF(input_audience="",FALSE,SUMPRODUCT(--ISNUMBER(SEARCH(","&amp;TRIM(TEXTSPLIT(AQ22,","))&amp;",",","&amp;SUBSTITUTE(input_audience," ","")&amp;",")))&gt;0)),IF(AS22="",TRUE,IF(input_audience="",FALSE,SUMPRODUCT(--ISNUMBER(SEARCH(","&amp;TRIM(TEXTSPLIT(AS22,","))&amp;",",","&amp;SUBSTITUTE(input_audience," ","")&amp;",")))=COUNTA(TEXTSPLIT(AS22,",")))),IF(AU22="",TRUE,IF(input_audience="",TRUE,SUMPRODUCT(--ISNUMBER(SEARCH(","&amp;TRIM(TEXTSPLIT(AU22,","))&amp;",",","&amp;SUBSTITUTE(input_audience," ","")&amp;",")))=0)),IF(AW22="",TRUE,IF(input_audience="",FALSE,SUMPRODUCT(--ISNUMBER(SEARCH(","&amp;TRIM(TEXTSPLIT(AW22,","))&amp;",",","&amp;SUBSTITUTE(input_audience," ","")&amp;",")))&gt;0)),IF(AY22="",TRUE,IF(input_audience="",FALSE,SUMPRODUCT(--ISNUMBER(SEARCH(","&amp;TRIM(TEXTSPLIT(AY22,","))&amp;",",","&amp;SUBSTITUTE(input_audience," ","")&amp;",")))=COUNTA(TEXTSPLIT(AY22,",")))))</f>
        <v/>
      </c>
      <c r="IX22">
        <f>AND(IF(BA22="",TRUE,IF(input_challenge_opportunities="",FALSE,SUMPRODUCT(--ISNUMBER(SEARCH(","&amp;TRIM(TEXTSPLIT(BA22,","))&amp;",",","&amp;SUBSTITUTE(input_challenge_opportunities," ","")&amp;",")))&gt;0)),IF(BC22="",TRUE,IF(input_challenge_opportunities="",FALSE,SUMPRODUCT(--ISNUMBER(SEARCH(","&amp;TRIM(TEXTSPLIT(BC22,","))&amp;",",","&amp;SUBSTITUTE(input_challenge_opportunities," ","")&amp;",")))=COUNTA(TEXTSPLIT(BC22,",")))),IF(BE22="",TRUE,IF(input_challenge_opportunities="",TRUE,SUMPRODUCT(--ISNUMBER(SEARCH(","&amp;TRIM(TEXTSPLIT(BE22,","))&amp;",",","&amp;SUBSTITUTE(input_challenge_opportunities," ","")&amp;",")))=0)),IF(BG22="",TRUE,IF(input_challenge_opportunities="",FALSE,SUMPRODUCT(--ISNUMBER(SEARCH(","&amp;TRIM(TEXTSPLIT(BG22,","))&amp;",",","&amp;SUBSTITUTE(input_challenge_opportunities," ","")&amp;",")))&gt;0)),IF(BI22="",TRUE,IF(input_challenge_opportunities="",FALSE,SUMPRODUCT(--ISNUMBER(SEARCH(","&amp;TRIM(TEXTSPLIT(BI22,","))&amp;",",","&amp;SUBSTITUTE(input_challenge_opportunities," ","")&amp;",")))=COUNTA(TEXTSPLIT(BI22,",")))))</f>
        <v/>
      </c>
      <c r="IY22">
        <f>AND(IF(BK22="",TRUE,IF(input_context="",FALSE,SUMPRODUCT(--ISNUMBER(SEARCH(","&amp;TRIM(TEXTSPLIT(BK22,","))&amp;",",","&amp;SUBSTITUTE(input_context," ","")&amp;",")))&gt;0)),IF(BM22="",TRUE,IF(input_context="",FALSE,SUMPRODUCT(--ISNUMBER(SEARCH(","&amp;TRIM(TEXTSPLIT(BM22,","))&amp;",",","&amp;SUBSTITUTE(input_context," ","")&amp;",")))=COUNTA(TEXTSPLIT(BM22,",")))),IF(BO22="",TRUE,IF(input_context="",TRUE,SUMPRODUCT(--ISNUMBER(SEARCH(","&amp;TRIM(TEXTSPLIT(BO22,","))&amp;",",","&amp;SUBSTITUTE(input_context," ","")&amp;",")))=0)),IF(BQ22="",TRUE,IF(input_context="",FALSE,SUMPRODUCT(--ISNUMBER(SEARCH(","&amp;TRIM(TEXTSPLIT(BQ22,","))&amp;",",","&amp;SUBSTITUTE(input_context," ","")&amp;",")))&gt;0)),IF(BS22="",TRUE,IF(input_context="",FALSE,SUMPRODUCT(--ISNUMBER(SEARCH(","&amp;TRIM(TEXTSPLIT(BS22,","))&amp;",",","&amp;SUBSTITUTE(input_context," ","")&amp;",")))=COUNTA(TEXTSPLIT(BS22,",")))))</f>
        <v/>
      </c>
      <c r="IZ22">
        <f>AND(IF(BU22="",TRUE,IF(input_enews_announcement_type="",FALSE,SUMPRODUCT(--ISNUMBER(SEARCH(","&amp;TRIM(TEXTSPLIT(BU22,","))&amp;",",","&amp;SUBSTITUTE(input_enews_announcement_type," ","")&amp;",")))&gt;0)),IF(BW22="",TRUE,IF(input_enews_announcement_type="",FALSE,SUMPRODUCT(--ISNUMBER(SEARCH(","&amp;TRIM(TEXTSPLIT(BW22,","))&amp;",",","&amp;SUBSTITUTE(input_enews_announcement_type," ","")&amp;",")))=COUNTA(TEXTSPLIT(BW22,",")))),IF(BY22="",TRUE,IF(input_enews_announcement_type="",TRUE,SUMPRODUCT(--ISNUMBER(SEARCH(","&amp;TRIM(TEXTSPLIT(BY22,","))&amp;",",","&amp;SUBSTITUTE(input_enews_announcement_type," ","")&amp;",")))=0)),IF(CA22="",TRUE,IF(input_enews_announcement_type="",FALSE,SUMPRODUCT(--ISNUMBER(SEARCH(","&amp;TRIM(TEXTSPLIT(CA22,","))&amp;",",","&amp;SUBSTITUTE(input_enews_announcement_type," ","")&amp;",")))&gt;0)),IF(CC22="",TRUE,IF(input_enews_announcement_type="",FALSE,SUMPRODUCT(--ISNUMBER(SEARCH(","&amp;TRIM(TEXTSPLIT(CC22,","))&amp;",",","&amp;SUBSTITUTE(input_enews_announcement_type," ","")&amp;",")))=COUNTA(TEXTSPLIT(CC22,",")))))</f>
        <v/>
      </c>
      <c r="JA22">
        <f>AND(IF(CE22="",TRUE,IF(input_enews_audience="",FALSE,SUMPRODUCT(--ISNUMBER(SEARCH(","&amp;TRIM(TEXTSPLIT(CE22,","))&amp;",",","&amp;SUBSTITUTE(input_enews_audience," ","")&amp;",")))&gt;0)),IF(CG22="",TRUE,IF(input_enews_audience="",FALSE,SUMPRODUCT(--ISNUMBER(SEARCH(","&amp;TRIM(TEXTSPLIT(CG22,","))&amp;",",","&amp;SUBSTITUTE(input_enews_audience," ","")&amp;",")))=COUNTA(TEXTSPLIT(CG22,",")))),IF(CI22="",TRUE,IF(input_enews_audience="",TRUE,SUMPRODUCT(--ISNUMBER(SEARCH(","&amp;TRIM(TEXTSPLIT(CI22,","))&amp;",",","&amp;SUBSTITUTE(input_enews_audience," ","")&amp;",")))=0)),IF(CK22="",TRUE,IF(input_enews_audience="",FALSE,SUMPRODUCT(--ISNUMBER(SEARCH(","&amp;TRIM(TEXTSPLIT(CK22,","))&amp;",",","&amp;SUBSTITUTE(input_enews_audience," ","")&amp;",")))&gt;0)),IF(CM22="",TRUE,IF(input_enews_audience="",FALSE,SUMPRODUCT(--ISNUMBER(SEARCH(","&amp;TRIM(TEXTSPLIT(CM22,","))&amp;",",","&amp;SUBSTITUTE(input_enews_audience," ","")&amp;",")))=COUNTA(TEXTSPLIT(CM22,",")))))</f>
        <v/>
      </c>
      <c r="JB22">
        <f>AND(IF(CO22="",TRUE,IF(input_event_location="",FALSE,SUMPRODUCT(--ISNUMBER(SEARCH(","&amp;TRIM(TEXTSPLIT(CO22,","))&amp;",",","&amp;SUBSTITUTE(input_event_location," ","")&amp;",")))&gt;0)),IF(CQ22="",TRUE,IF(input_event_location="",FALSE,SUMPRODUCT(--ISNUMBER(SEARCH(","&amp;TRIM(TEXTSPLIT(CQ22,","))&amp;",",","&amp;SUBSTITUTE(input_event_location," ","")&amp;",")))=COUNTA(TEXTSPLIT(CQ22,",")))),IF(CS22="",TRUE,IF(input_event_location="",TRUE,SUMPRODUCT(--ISNUMBER(SEARCH(","&amp;TRIM(TEXTSPLIT(CS22,","))&amp;",",","&amp;SUBSTITUTE(input_event_location," ","")&amp;",")))=0)),IF(CU22="",TRUE,IF(input_event_location="",FALSE,SUMPRODUCT(--ISNUMBER(SEARCH(","&amp;TRIM(TEXTSPLIT(CU22,","))&amp;",",","&amp;SUBSTITUTE(input_event_location," ","")&amp;",")))&gt;0)),IF(CW22="",TRUE,IF(input_event_location="",FALSE,SUMPRODUCT(--ISNUMBER(SEARCH(","&amp;TRIM(TEXTSPLIT(CW22,","))&amp;",",","&amp;SUBSTITUTE(input_event_location," ","")&amp;",")))=COUNTA(TEXTSPLIT(CW22,",")))))</f>
        <v/>
      </c>
      <c r="JC22">
        <f>AND(IF(CY22="",TRUE,IF(input_event_type="",FALSE,SUMPRODUCT(--ISNUMBER(SEARCH(","&amp;TRIM(TEXTSPLIT(CY22,","))&amp;",",","&amp;SUBSTITUTE(input_event_type," ","")&amp;",")))&gt;0)),IF(DA22="",TRUE,IF(input_event_type="",FALSE,SUMPRODUCT(--ISNUMBER(SEARCH(","&amp;TRIM(TEXTSPLIT(DA22,","))&amp;",",","&amp;SUBSTITUTE(input_event_type," ","")&amp;",")))=COUNTA(TEXTSPLIT(DA22,",")))),IF(DC22="",TRUE,IF(input_event_type="",TRUE,SUMPRODUCT(--ISNUMBER(SEARCH(","&amp;TRIM(TEXTSPLIT(DC22,","))&amp;",",","&amp;SUBSTITUTE(input_event_type," ","")&amp;",")))=0)),IF(DE22="",TRUE,IF(input_event_type="",FALSE,SUMPRODUCT(--ISNUMBER(SEARCH(","&amp;TRIM(TEXTSPLIT(DE22,","))&amp;",",","&amp;SUBSTITUTE(input_event_type," ","")&amp;",")))&gt;0)),IF(DG22="",TRUE,IF(input_event_type="",FALSE,SUMPRODUCT(--ISNUMBER(SEARCH(","&amp;TRIM(TEXTSPLIT(DG22,","))&amp;",",","&amp;SUBSTITUTE(input_event_type," ","")&amp;",")))=COUNTA(TEXTSPLIT(DG22,",")))))</f>
        <v/>
      </c>
      <c r="JD22">
        <f>AND(IF(DI22="",TRUE,IF(input_executive_education_focus="",FALSE,SUMPRODUCT(--ISNUMBER(SEARCH(","&amp;TRIM(TEXTSPLIT(DI22,","))&amp;",",","&amp;SUBSTITUTE(input_executive_education_focus," ","")&amp;",")))&gt;0)),IF(DK22="",TRUE,IF(input_executive_education_focus="",FALSE,SUMPRODUCT(--ISNUMBER(SEARCH(","&amp;TRIM(TEXTSPLIT(DK22,","))&amp;",",","&amp;SUBSTITUTE(input_executive_education_focus," ","")&amp;",")))=COUNTA(TEXTSPLIT(DK22,",")))),IF(DM22="",TRUE,IF(input_executive_education_focus="",TRUE,SUMPRODUCT(--ISNUMBER(SEARCH(","&amp;TRIM(TEXTSPLIT(DM22,","))&amp;",",","&amp;SUBSTITUTE(input_executive_education_focus," ","")&amp;",")))=0)),IF(DO22="",TRUE,IF(input_executive_education_focus="",FALSE,SUMPRODUCT(--ISNUMBER(SEARCH(","&amp;TRIM(TEXTSPLIT(DO22,","))&amp;",",","&amp;SUBSTITUTE(input_executive_education_focus," ","")&amp;",")))&gt;0)),IF(DQ22="",TRUE,IF(input_executive_education_focus="",FALSE,SUMPRODUCT(--ISNUMBER(SEARCH(","&amp;TRIM(TEXTSPLIT(DQ22,","))&amp;",",","&amp;SUBSTITUTE(input_executive_education_focus," ","")&amp;",")))=COUNTA(TEXTSPLIT(DQ22,",")))))</f>
        <v/>
      </c>
      <c r="JE22">
        <f>AND(IF(DS22="",TRUE,IF(input_faculty_category="",FALSE,SUMPRODUCT(--ISNUMBER(SEARCH(","&amp;TRIM(TEXTSPLIT(DS22,","))&amp;",",","&amp;SUBSTITUTE(input_faculty_category," ","")&amp;",")))&gt;0)),IF(DU22="",TRUE,IF(input_faculty_category="",FALSE,SUMPRODUCT(--ISNUMBER(SEARCH(","&amp;TRIM(TEXTSPLIT(DU22,","))&amp;",",","&amp;SUBSTITUTE(input_faculty_category," ","")&amp;",")))=COUNTA(TEXTSPLIT(DU22,",")))),IF(DW22="",TRUE,IF(input_faculty_category="",TRUE,SUMPRODUCT(--ISNUMBER(SEARCH(","&amp;TRIM(TEXTSPLIT(DW22,","))&amp;",",","&amp;SUBSTITUTE(input_faculty_category," ","")&amp;",")))=0)),IF(DY22="",TRUE,IF(input_faculty_category="",FALSE,SUMPRODUCT(--ISNUMBER(SEARCH(","&amp;TRIM(TEXTSPLIT(DY22,","))&amp;",",","&amp;SUBSTITUTE(input_faculty_category," ","")&amp;",")))&gt;0)),IF(EA22="",TRUE,IF(input_faculty_category="",FALSE,SUMPRODUCT(--ISNUMBER(SEARCH(","&amp;TRIM(TEXTSPLIT(EA22,","))&amp;",",","&amp;SUBSTITUTE(input_faculty_category," ","")&amp;",")))=COUNTA(TEXTSPLIT(EA22,",")))))</f>
        <v/>
      </c>
      <c r="JF22">
        <f>AND(IF(EC22="",TRUE,IF(input_faculty_discipline="",FALSE,SUMPRODUCT(--ISNUMBER(SEARCH(","&amp;TRIM(TEXTSPLIT(EC22,","))&amp;",",","&amp;SUBSTITUTE(input_faculty_discipline," ","")&amp;",")))&gt;0)),IF(EE22="",TRUE,IF(input_faculty_discipline="",FALSE,SUMPRODUCT(--ISNUMBER(SEARCH(","&amp;TRIM(TEXTSPLIT(EE22,","))&amp;",",","&amp;SUBSTITUTE(input_faculty_discipline," ","")&amp;",")))=COUNTA(TEXTSPLIT(EE22,",")))),IF(EG22="",TRUE,IF(input_faculty_discipline="",TRUE,SUMPRODUCT(--ISNUMBER(SEARCH(","&amp;TRIM(TEXTSPLIT(EG22,","))&amp;",",","&amp;SUBSTITUTE(input_faculty_discipline," ","")&amp;",")))=0)),IF(EI22="",TRUE,IF(input_faculty_discipline="",FALSE,SUMPRODUCT(--ISNUMBER(SEARCH(","&amp;TRIM(TEXTSPLIT(EI22,","))&amp;",",","&amp;SUBSTITUTE(input_faculty_discipline," ","")&amp;",")))&gt;0)),IF(EK22="",TRUE,IF(input_faculty_discipline="",FALSE,SUMPRODUCT(--ISNUMBER(SEARCH(","&amp;TRIM(TEXTSPLIT(EK22,","))&amp;",",","&amp;SUBSTITUTE(input_faculty_discipline," ","")&amp;",")))=COUNTA(TEXTSPLIT(EK22,",")))))</f>
        <v/>
      </c>
      <c r="JG22">
        <f>AND(IF(EM22="",TRUE,IF(input_faculty_expertise="",FALSE,SUMPRODUCT(--ISNUMBER(SEARCH(","&amp;TRIM(TEXTSPLIT(EM22,","))&amp;",",","&amp;SUBSTITUTE(input_faculty_expertise," ","")&amp;",")))&gt;0)),IF(EO22="",TRUE,IF(input_faculty_expertise="",FALSE,SUMPRODUCT(--ISNUMBER(SEARCH(","&amp;TRIM(TEXTSPLIT(EO22,","))&amp;",",","&amp;SUBSTITUTE(input_faculty_expertise," ","")&amp;",")))=COUNTA(TEXTSPLIT(EO22,",")))),IF(EQ22="",TRUE,IF(input_faculty_expertise="",TRUE,SUMPRODUCT(--ISNUMBER(SEARCH(","&amp;TRIM(TEXTSPLIT(EQ22,","))&amp;",",","&amp;SUBSTITUTE(input_faculty_expertise," ","")&amp;",")))=0)),IF(ES22="",TRUE,IF(input_faculty_expertise="",FALSE,SUMPRODUCT(--ISNUMBER(SEARCH(","&amp;TRIM(TEXTSPLIT(ES22,","))&amp;",",","&amp;SUBSTITUTE(input_faculty_expertise," ","")&amp;",")))&gt;0)),IF(EU22="",TRUE,IF(input_faculty_expertise="",FALSE,SUMPRODUCT(--ISNUMBER(SEARCH(","&amp;TRIM(TEXTSPLIT(EU22,","))&amp;",",","&amp;SUBSTITUTE(input_faculty_expertise," ","")&amp;",")))=COUNTA(TEXTSPLIT(EU22,",")))))</f>
        <v/>
      </c>
      <c r="JH22">
        <f>AND(IF(EW22="",TRUE,IF(input_global_network_school="",FALSE,SUMPRODUCT(--ISNUMBER(SEARCH(","&amp;TRIM(TEXTSPLIT(EW22,","))&amp;",",","&amp;SUBSTITUTE(input_global_network_school," ","")&amp;",")))&gt;0)),IF(EY22="",TRUE,IF(input_global_network_school="",FALSE,SUMPRODUCT(--ISNUMBER(SEARCH(","&amp;TRIM(TEXTSPLIT(EY22,","))&amp;",",","&amp;SUBSTITUTE(input_global_network_school," ","")&amp;",")))=COUNTA(TEXTSPLIT(EY22,",")))),IF(FA22="",TRUE,IF(input_global_network_school="",TRUE,SUMPRODUCT(--ISNUMBER(SEARCH(","&amp;TRIM(TEXTSPLIT(FA22,","))&amp;",",","&amp;SUBSTITUTE(input_global_network_school," ","")&amp;",")))=0)),IF(FC22="",TRUE,IF(input_global_network_school="",FALSE,SUMPRODUCT(--ISNUMBER(SEARCH(","&amp;TRIM(TEXTSPLIT(FC22,","))&amp;",",","&amp;SUBSTITUTE(input_global_network_school," ","")&amp;",")))&gt;0)),IF(FE22="",TRUE,IF(input_global_network_school="",FALSE,SUMPRODUCT(--ISNUMBER(SEARCH(","&amp;TRIM(TEXTSPLIT(FE22,","))&amp;",",","&amp;SUBSTITUTE(input_global_network_school," ","")&amp;",")))=COUNTA(TEXTSPLIT(FE22,",")))))</f>
        <v/>
      </c>
      <c r="JI22">
        <f>AND(IF(FG22="",TRUE,IF(input_industry="",FALSE,SUMPRODUCT(--ISNUMBER(SEARCH(","&amp;TRIM(TEXTSPLIT(FG22,","))&amp;",",","&amp;SUBSTITUTE(input_industry," ","")&amp;",")))&gt;0)),IF(FI22="",TRUE,IF(input_industry="",FALSE,SUMPRODUCT(--ISNUMBER(SEARCH(","&amp;TRIM(TEXTSPLIT(FI22,","))&amp;",",","&amp;SUBSTITUTE(input_industry," ","")&amp;",")))=COUNTA(TEXTSPLIT(FI22,",")))),IF(FK22="",TRUE,IF(input_industry="",TRUE,SUMPRODUCT(--ISNUMBER(SEARCH(","&amp;TRIM(TEXTSPLIT(FK22,","))&amp;",",","&amp;SUBSTITUTE(input_industry," ","")&amp;",")))=0)),IF(FM22="",TRUE,IF(input_industry="",FALSE,SUMPRODUCT(--ISNUMBER(SEARCH(","&amp;TRIM(TEXTSPLIT(FM22,","))&amp;",",","&amp;SUBSTITUTE(input_industry," ","")&amp;",")))&gt;0)),IF(FO22="",TRUE,IF(input_industry="",FALSE,SUMPRODUCT(--ISNUMBER(SEARCH(","&amp;TRIM(TEXTSPLIT(FO22,","))&amp;",",","&amp;SUBSTITUTE(input_industry," ","")&amp;",")))=COUNTA(TEXTSPLIT(FO22,",")))))</f>
        <v/>
      </c>
      <c r="JJ22">
        <f>AND(IF(FQ22="",TRUE,IF(input_location="",FALSE,SUMPRODUCT(--ISNUMBER(SEARCH(","&amp;TRIM(TEXTSPLIT(FQ22,","))&amp;",",","&amp;SUBSTITUTE(input_location," ","")&amp;",")))&gt;0)),IF(FS22="",TRUE,IF(input_location="",FALSE,SUMPRODUCT(--ISNUMBER(SEARCH(","&amp;TRIM(TEXTSPLIT(FS22,","))&amp;",",","&amp;SUBSTITUTE(input_location," ","")&amp;",")))=COUNTA(TEXTSPLIT(FS22,",")))),IF(FU22="",TRUE,IF(input_location="",TRUE,SUMPRODUCT(--ISNUMBER(SEARCH(","&amp;TRIM(TEXTSPLIT(FU22,","))&amp;",",","&amp;SUBSTITUTE(input_location," ","")&amp;",")))=0)),IF(FW22="",TRUE,IF(input_location="",FALSE,SUMPRODUCT(--ISNUMBER(SEARCH(","&amp;TRIM(TEXTSPLIT(FW22,","))&amp;",",","&amp;SUBSTITUTE(input_location," ","")&amp;",")))&gt;0)),IF(FY22="",TRUE,IF(input_location="",FALSE,SUMPRODUCT(--ISNUMBER(SEARCH(","&amp;TRIM(TEXTSPLIT(FY22,","))&amp;",",","&amp;SUBSTITUTE(input_location," ","")&amp;",")))=COUNTA(TEXTSPLIT(FY22,",")))))</f>
        <v/>
      </c>
      <c r="JK22">
        <f>AND(IF(GA22="",TRUE,IF(input_modality="",FALSE,SUMPRODUCT(--ISNUMBER(SEARCH(","&amp;TRIM(TEXTSPLIT(GA22,","))&amp;",",","&amp;SUBSTITUTE(input_modality," ","")&amp;",")))&gt;0)),IF(GC22="",TRUE,IF(input_modality="",FALSE,SUMPRODUCT(--ISNUMBER(SEARCH(","&amp;TRIM(TEXTSPLIT(GC22,","))&amp;",",","&amp;SUBSTITUTE(input_modality," ","")&amp;",")))=COUNTA(TEXTSPLIT(GC22,",")))),IF(GE22="",TRUE,IF(input_modality="",TRUE,SUMPRODUCT(--ISNUMBER(SEARCH(","&amp;TRIM(TEXTSPLIT(GE22,","))&amp;",",","&amp;SUBSTITUTE(input_modality," ","")&amp;",")))=0)),IF(GG22="",TRUE,IF(input_modality="",FALSE,SUMPRODUCT(--ISNUMBER(SEARCH(","&amp;TRIM(TEXTSPLIT(GG22,","))&amp;",",","&amp;SUBSTITUTE(input_modality," ","")&amp;",")))&gt;0)),IF(GI22="",TRUE,IF(input_modality="",FALSE,SUMPRODUCT(--ISNUMBER(SEARCH(","&amp;TRIM(TEXTSPLIT(GI22,","))&amp;",",","&amp;SUBSTITUTE(input_modality," ","")&amp;",")))=COUNTA(TEXTSPLIT(GI22,",")))))</f>
        <v/>
      </c>
      <c r="JL22">
        <f>AND(IF(GK22="",TRUE,IF(input_organizer="",FALSE,SUMPRODUCT(--ISNUMBER(SEARCH(","&amp;TRIM(TEXTSPLIT(GK22,","))&amp;",",","&amp;SUBSTITUTE(input_organizer," ","")&amp;",")))&gt;0)),IF(GM22="",TRUE,IF(input_organizer="",FALSE,SUMPRODUCT(--ISNUMBER(SEARCH(","&amp;TRIM(TEXTSPLIT(GM22,","))&amp;",",","&amp;SUBSTITUTE(input_organizer," ","")&amp;",")))=COUNTA(TEXTSPLIT(GM22,",")))),IF(GO22="",TRUE,IF(input_organizer="",TRUE,SUMPRODUCT(--ISNUMBER(SEARCH(","&amp;TRIM(TEXTSPLIT(GO22,","))&amp;",",","&amp;SUBSTITUTE(input_organizer," ","")&amp;",")))=0)),IF(GQ22="",TRUE,IF(input_organizer="",FALSE,SUMPRODUCT(--ISNUMBER(SEARCH(","&amp;TRIM(TEXTSPLIT(GQ22,","))&amp;",",","&amp;SUBSTITUTE(input_organizer," ","")&amp;",")))&gt;0)),IF(GS22="",TRUE,IF(input_organizer="",FALSE,SUMPRODUCT(--ISNUMBER(SEARCH(","&amp;TRIM(TEXTSPLIT(GS22,","))&amp;",",","&amp;SUBSTITUTE(input_organizer," ","")&amp;",")))=COUNTA(TEXTSPLIT(GS22,",")))))</f>
        <v/>
      </c>
      <c r="JM22">
        <f>AND(IF(GU22="",TRUE,IF(input_profile_type="",FALSE,SUMPRODUCT(--ISNUMBER(SEARCH(","&amp;TRIM(TEXTSPLIT(GU22,","))&amp;",",","&amp;SUBSTITUTE(input_profile_type," ","")&amp;",")))&gt;0)),IF(GW22="",TRUE,IF(input_profile_type="",FALSE,SUMPRODUCT(--ISNUMBER(SEARCH(","&amp;TRIM(TEXTSPLIT(GW22,","))&amp;",",","&amp;SUBSTITUTE(input_profile_type," ","")&amp;",")))=COUNTA(TEXTSPLIT(GW22,",")))),IF(GY22="",TRUE,IF(input_profile_type="",TRUE,SUMPRODUCT(--ISNUMBER(SEARCH(","&amp;TRIM(TEXTSPLIT(GY22,","))&amp;",",","&amp;SUBSTITUTE(input_profile_type," ","")&amp;",")))=0)),IF(HA22="",TRUE,IF(input_profile_type="",FALSE,SUMPRODUCT(--ISNUMBER(SEARCH(","&amp;TRIM(TEXTSPLIT(HA22,","))&amp;",",","&amp;SUBSTITUTE(input_profile_type," ","")&amp;",")))&gt;0)),IF(HC22="",TRUE,IF(input_profile_type="",FALSE,SUMPRODUCT(--ISNUMBER(SEARCH(","&amp;TRIM(TEXTSPLIT(HC22,","))&amp;",",","&amp;SUBSTITUTE(input_profile_type," ","")&amp;",")))=COUNTA(TEXTSPLIT(HC22,",")))))</f>
        <v/>
      </c>
      <c r="JN22">
        <f>AND(IF(HE22="",TRUE,IF(input_program="",FALSE,SUMPRODUCT(--ISNUMBER(SEARCH(","&amp;TRIM(TEXTSPLIT(HE22,","))&amp;",",","&amp;SUBSTITUTE(input_program," ","")&amp;",")))&gt;0)),IF(HG22="",TRUE,IF(input_program="",FALSE,SUMPRODUCT(--ISNUMBER(SEARCH(","&amp;TRIM(TEXTSPLIT(HG22,","))&amp;",",","&amp;SUBSTITUTE(input_program," ","")&amp;",")))=COUNTA(TEXTSPLIT(HG22,",")))),IF(HI22="",TRUE,IF(input_program="",TRUE,SUMPRODUCT(--ISNUMBER(SEARCH(","&amp;TRIM(TEXTSPLIT(HI22,","))&amp;",",","&amp;SUBSTITUTE(input_program," ","")&amp;",")))=0)),IF(HK22="",TRUE,IF(input_program="",FALSE,SUMPRODUCT(--ISNUMBER(SEARCH(","&amp;TRIM(TEXTSPLIT(HK22,","))&amp;",",","&amp;SUBSTITUTE(input_program," ","")&amp;",")))&gt;0)),IF(HM22="",TRUE,IF(input_program="",FALSE,SUMPRODUCT(--ISNUMBER(SEARCH(","&amp;TRIM(TEXTSPLIT(HM22,","))&amp;",",","&amp;SUBSTITUTE(input_program," ","")&amp;",")))=COUNTA(TEXTSPLIT(HM22,",")))))</f>
        <v/>
      </c>
      <c r="JO22">
        <f>AND(IF(HO22="",TRUE,IF(input_story_categories="",FALSE,SUMPRODUCT(--ISNUMBER(SEARCH(","&amp;TRIM(TEXTSPLIT(HO22,","))&amp;",",","&amp;SUBSTITUTE(input_story_categories," ","")&amp;",")))&gt;0)),IF(HQ22="",TRUE,IF(input_story_categories="",FALSE,SUMPRODUCT(--ISNUMBER(SEARCH(","&amp;TRIM(TEXTSPLIT(HQ22,","))&amp;",",","&amp;SUBSTITUTE(input_story_categories," ","")&amp;",")))=COUNTA(TEXTSPLIT(HQ22,",")))),IF(HS22="",TRUE,IF(input_story_categories="",TRUE,SUMPRODUCT(--ISNUMBER(SEARCH(","&amp;TRIM(TEXTSPLIT(HS22,","))&amp;",",","&amp;SUBSTITUTE(input_story_categories," ","")&amp;",")))=0)),IF(HU22="",TRUE,IF(input_story_categories="",FALSE,SUMPRODUCT(--ISNUMBER(SEARCH(","&amp;TRIM(TEXTSPLIT(HU22,","))&amp;",",","&amp;SUBSTITUTE(input_story_categories," ","")&amp;",")))&gt;0)),IF(HW22="",TRUE,IF(input_story_categories="",FALSE,SUMPRODUCT(--ISNUMBER(SEARCH(","&amp;TRIM(TEXTSPLIT(HW22,","))&amp;",",","&amp;SUBSTITUTE(input_story_categories," ","")&amp;",")))=COUNTA(TEXTSPLIT(HW22,",")))))</f>
        <v/>
      </c>
      <c r="JP22">
        <f>AND(IF(HY22="",TRUE,IF(input_story_type="",FALSE,SUMPRODUCT(--ISNUMBER(SEARCH(","&amp;TRIM(TEXTSPLIT(HY22,","))&amp;",",","&amp;SUBSTITUTE(input_story_type," ","")&amp;",")))&gt;0)),IF(IA22="",TRUE,IF(input_story_type="",FALSE,SUMPRODUCT(--ISNUMBER(SEARCH(","&amp;TRIM(TEXTSPLIT(IA22,","))&amp;",",","&amp;SUBSTITUTE(input_story_type," ","")&amp;",")))=COUNTA(TEXTSPLIT(IA22,",")))),IF(IC22="",TRUE,IF(input_story_type="",TRUE,SUMPRODUCT(--ISNUMBER(SEARCH(","&amp;TRIM(TEXTSPLIT(IC22,","))&amp;",",","&amp;SUBSTITUTE(input_story_type," ","")&amp;",")))=0)),IF(IE22="",TRUE,IF(input_story_type="",FALSE,SUMPRODUCT(--ISNUMBER(SEARCH(","&amp;TRIM(TEXTSPLIT(IE22,","))&amp;",",","&amp;SUBSTITUTE(input_story_type," ","")&amp;",")))&gt;0)),IF(IG22="",TRUE,IF(input_story_type="",FALSE,SUMPRODUCT(--ISNUMBER(SEARCH(","&amp;TRIM(TEXTSPLIT(IG22,","))&amp;",",","&amp;SUBSTITUTE(input_story_type," ","")&amp;",")))=COUNTA(TEXTSPLIT(IG22,",")))))</f>
        <v/>
      </c>
      <c r="JQ22">
        <f>AND(IF(II22="",TRUE,IF(input_topics="",FALSE,SUMPRODUCT(--ISNUMBER(SEARCH(","&amp;TRIM(TEXTSPLIT(II22,","))&amp;",",","&amp;SUBSTITUTE(input_topics," ","")&amp;",")))&gt;0)),IF(IK22="",TRUE,IF(input_topics="",FALSE,SUMPRODUCT(--ISNUMBER(SEARCH(","&amp;TRIM(TEXTSPLIT(IK22,","))&amp;",",","&amp;SUBSTITUTE(input_topics," ","")&amp;",")))=COUNTA(TEXTSPLIT(IK22,",")))),IF(IM22="",TRUE,IF(input_topics="",TRUE,SUMPRODUCT(--ISNUMBER(SEARCH(","&amp;TRIM(TEXTSPLIT(IM22,","))&amp;",",","&amp;SUBSTITUTE(input_topics," ","")&amp;",")))=0)),IF(IO22="",TRUE,IF(input_topics="",FALSE,SUMPRODUCT(--ISNUMBER(SEARCH(","&amp;TRIM(TEXTSPLIT(IO22,","))&amp;",",","&amp;SUBSTITUTE(input_topics," ","")&amp;",")))&gt;0)),IF(IQ22="",TRUE,IF(input_topics="",FALSE,SUMPRODUCT(--ISNUMBER(SEARCH(","&amp;TRIM(TEXTSPLIT(IQ22,","))&amp;",",","&amp;SUBSTITUTE(input_topics," ","")&amp;",")))=COUNTA(TEXTSPLIT(IQ22,",")))))</f>
        <v/>
      </c>
    </row>
    <row r="23">
      <c r="A23" s="4">
        <f>IF(NOT(IS23),"Excluded",IF(AND(IT23,IU23,IV23,IW23,IX23,IY23,IZ23,JA23,JB23,JC23,JD23,JE23,JF23,JG23,JH23,JI23,JJ23,JK23,JL23,JM23,JN23,JO23,JP23,JQ23),IF(I23&gt;0,"Eligible but limited","Will appear"),"Excluded"))</f>
        <v/>
      </c>
      <c r="B23" s="4" t="inlineStr">
        <is>
          <t>All Publications by Author</t>
        </is>
      </c>
      <c r="C23" s="4" t="inlineStr">
        <is>
          <t>/faculty-research/faculty-directory/daylian-cain</t>
        </is>
      </c>
      <c r="D23" s="4" t="inlineStr">
        <is>
          <t>/faculty-research/faculty-directory/daylian-cain</t>
        </is>
      </c>
      <c r="E23" s="4" t="n">
        <v>1</v>
      </c>
      <c r="F23" s="4" t="inlineStr">
        <is>
          <t>publications</t>
        </is>
      </c>
      <c r="G23" s="4" t="inlineStr">
        <is>
          <t>publication_teaser_list</t>
        </is>
      </c>
      <c r="H23" s="4" t="inlineStr">
        <is>
          <t>publication_teaser_list_all_by_author</t>
        </is>
      </c>
      <c r="I23" s="4" t="inlineStr"/>
      <c r="J23" s="4" t="inlineStr">
        <is>
          <t>View/config rules</t>
        </is>
      </c>
      <c r="K23" s="4" t="inlineStr">
        <is>
          <t>Page placement</t>
        </is>
      </c>
      <c r="L23" s="4" t="inlineStr">
        <is>
          <t>Content type: publications; Source: View/config rules</t>
        </is>
      </c>
      <c r="M23" t="inlineStr"/>
      <c r="N23" t="inlineStr"/>
      <c r="O23" t="inlineStr"/>
      <c r="P23" t="inlineStr"/>
      <c r="Q23" t="inlineStr"/>
      <c r="R23" t="inlineStr"/>
      <c r="S23" t="inlineStr"/>
      <c r="T23" t="inlineStr"/>
      <c r="U23" t="inlineStr"/>
      <c r="V23" t="inlineStr"/>
      <c r="W23" t="inlineStr"/>
      <c r="X23" t="inlineStr"/>
      <c r="Y23" t="inlineStr"/>
      <c r="Z23" t="inlineStr"/>
      <c r="AA23" t="inlineStr"/>
      <c r="AB23" t="inlineStr"/>
      <c r="AC23" t="inlineStr"/>
      <c r="AD23" t="inlineStr"/>
      <c r="AE23" t="inlineStr"/>
      <c r="AF23" t="inlineStr"/>
      <c r="AG23" t="inlineStr"/>
      <c r="AH23" t="inlineStr"/>
      <c r="AI23" t="inlineStr"/>
      <c r="AJ23" t="inlineStr"/>
      <c r="AK23" t="inlineStr"/>
      <c r="AL23" t="inlineStr"/>
      <c r="AM23" t="inlineStr"/>
      <c r="AN23" t="inlineStr"/>
      <c r="AO23" t="inlineStr"/>
      <c r="AP23" t="inlineStr"/>
      <c r="AQ23" t="inlineStr"/>
      <c r="AR23" t="inlineStr"/>
      <c r="AS23" t="inlineStr"/>
      <c r="AT23" t="inlineStr"/>
      <c r="AU23" t="inlineStr"/>
      <c r="AV23" t="inlineStr"/>
      <c r="AW23" t="inlineStr"/>
      <c r="AX23" t="inlineStr"/>
      <c r="AY23" t="inlineStr"/>
      <c r="AZ23" t="inlineStr"/>
      <c r="BA23" t="inlineStr"/>
      <c r="BB23" t="inlineStr"/>
      <c r="BC23" t="inlineStr"/>
      <c r="BD23" t="inlineStr"/>
      <c r="BE23" t="inlineStr"/>
      <c r="BF23" t="inlineStr"/>
      <c r="BG23" t="inlineStr"/>
      <c r="BH23" t="inlineStr"/>
      <c r="BI23" t="inlineStr"/>
      <c r="BJ23" t="inlineStr"/>
      <c r="BK23" t="inlineStr"/>
      <c r="BL23" t="inlineStr"/>
      <c r="BM23" t="inlineStr"/>
      <c r="BN23" t="inlineStr"/>
      <c r="BO23" t="inlineStr"/>
      <c r="BP23" t="inlineStr"/>
      <c r="BQ23" t="inlineStr"/>
      <c r="BR23" t="inlineStr"/>
      <c r="BS23" t="inlineStr"/>
      <c r="BT23" t="inlineStr"/>
      <c r="BU23" t="inlineStr"/>
      <c r="BV23" t="inlineStr"/>
      <c r="BW23" t="inlineStr"/>
      <c r="BX23" t="inlineStr"/>
      <c r="BY23" t="inlineStr"/>
      <c r="BZ23" t="inlineStr"/>
      <c r="CA23" t="inlineStr"/>
      <c r="CB23" t="inlineStr"/>
      <c r="CC23" t="inlineStr"/>
      <c r="CD23" t="inlineStr"/>
      <c r="CE23" t="inlineStr"/>
      <c r="CF23" t="inlineStr"/>
      <c r="CG23" t="inlineStr"/>
      <c r="CH23" t="inlineStr"/>
      <c r="CI23" t="inlineStr"/>
      <c r="CJ23" t="inlineStr"/>
      <c r="CK23" t="inlineStr"/>
      <c r="CL23" t="inlineStr"/>
      <c r="CM23" t="inlineStr"/>
      <c r="CN23" t="inlineStr"/>
      <c r="CO23" t="inlineStr"/>
      <c r="CP23" t="inlineStr"/>
      <c r="CQ23" t="inlineStr"/>
      <c r="CR23" t="inlineStr"/>
      <c r="CS23" t="inlineStr"/>
      <c r="CT23" t="inlineStr"/>
      <c r="CU23" t="inlineStr"/>
      <c r="CV23" t="inlineStr"/>
      <c r="CW23" t="inlineStr"/>
      <c r="CX23" t="inlineStr"/>
      <c r="CY23" t="inlineStr"/>
      <c r="CZ23" t="inlineStr"/>
      <c r="DA23" t="inlineStr"/>
      <c r="DB23" t="inlineStr"/>
      <c r="DC23" t="inlineStr"/>
      <c r="DD23" t="inlineStr"/>
      <c r="DE23" t="inlineStr"/>
      <c r="DF23" t="inlineStr"/>
      <c r="DG23" t="inlineStr"/>
      <c r="DH23" t="inlineStr"/>
      <c r="DI23" t="inlineStr"/>
      <c r="DJ23" t="inlineStr"/>
      <c r="DK23" t="inlineStr"/>
      <c r="DL23" t="inlineStr"/>
      <c r="DM23" t="inlineStr"/>
      <c r="DN23" t="inlineStr"/>
      <c r="DO23" t="inlineStr"/>
      <c r="DP23" t="inlineStr"/>
      <c r="DQ23" t="inlineStr"/>
      <c r="DR23" t="inlineStr"/>
      <c r="DS23" t="inlineStr"/>
      <c r="DT23" t="inlineStr"/>
      <c r="DU23" t="inlineStr"/>
      <c r="DV23" t="inlineStr"/>
      <c r="DW23" t="inlineStr"/>
      <c r="DX23" t="inlineStr"/>
      <c r="DY23" t="inlineStr"/>
      <c r="DZ23" t="inlineStr"/>
      <c r="EA23" t="inlineStr"/>
      <c r="EB23" t="inlineStr"/>
      <c r="EC23" t="inlineStr"/>
      <c r="ED23" t="inlineStr"/>
      <c r="EE23" t="inlineStr"/>
      <c r="EF23" t="inlineStr"/>
      <c r="EG23" t="inlineStr"/>
      <c r="EH23" t="inlineStr"/>
      <c r="EI23" t="inlineStr"/>
      <c r="EJ23" t="inlineStr"/>
      <c r="EK23" t="inlineStr"/>
      <c r="EL23" t="inlineStr"/>
      <c r="EM23" t="inlineStr"/>
      <c r="EN23" t="inlineStr"/>
      <c r="EO23" t="inlineStr"/>
      <c r="EP23" t="inlineStr"/>
      <c r="EQ23" t="inlineStr"/>
      <c r="ER23" t="inlineStr"/>
      <c r="ES23" t="inlineStr"/>
      <c r="ET23" t="inlineStr"/>
      <c r="EU23" t="inlineStr"/>
      <c r="EV23" t="inlineStr"/>
      <c r="EW23" t="inlineStr"/>
      <c r="EX23" t="inlineStr"/>
      <c r="EY23" t="inlineStr"/>
      <c r="EZ23" t="inlineStr"/>
      <c r="FA23" t="inlineStr"/>
      <c r="FB23" t="inlineStr"/>
      <c r="FC23" t="inlineStr"/>
      <c r="FD23" t="inlineStr"/>
      <c r="FE23" t="inlineStr"/>
      <c r="FF23" t="inlineStr"/>
      <c r="FG23" t="inlineStr"/>
      <c r="FH23" t="inlineStr"/>
      <c r="FI23" t="inlineStr"/>
      <c r="FJ23" t="inlineStr"/>
      <c r="FK23" t="inlineStr"/>
      <c r="FL23" t="inlineStr"/>
      <c r="FM23" t="inlineStr"/>
      <c r="FN23" t="inlineStr"/>
      <c r="FO23" t="inlineStr"/>
      <c r="FP23" t="inlineStr"/>
      <c r="FQ23" t="inlineStr"/>
      <c r="FR23" t="inlineStr"/>
      <c r="FS23" t="inlineStr"/>
      <c r="FT23" t="inlineStr"/>
      <c r="FU23" t="inlineStr"/>
      <c r="FV23" t="inlineStr"/>
      <c r="FW23" t="inlineStr"/>
      <c r="FX23" t="inlineStr"/>
      <c r="FY23" t="inlineStr"/>
      <c r="FZ23" t="inlineStr"/>
      <c r="GA23" t="inlineStr"/>
      <c r="GB23" t="inlineStr"/>
      <c r="GC23" t="inlineStr"/>
      <c r="GD23" t="inlineStr"/>
      <c r="GE23" t="inlineStr"/>
      <c r="GF23" t="inlineStr"/>
      <c r="GG23" t="inlineStr"/>
      <c r="GH23" t="inlineStr"/>
      <c r="GI23" t="inlineStr"/>
      <c r="GJ23" t="inlineStr"/>
      <c r="GK23" t="inlineStr"/>
      <c r="GL23" t="inlineStr"/>
      <c r="GM23" t="inlineStr"/>
      <c r="GN23" t="inlineStr"/>
      <c r="GO23" t="inlineStr"/>
      <c r="GP23" t="inlineStr"/>
      <c r="GQ23" t="inlineStr"/>
      <c r="GR23" t="inlineStr"/>
      <c r="GS23" t="inlineStr"/>
      <c r="GT23" t="inlineStr"/>
      <c r="GU23" t="inlineStr"/>
      <c r="GV23" t="inlineStr"/>
      <c r="GW23" t="inlineStr"/>
      <c r="GX23" t="inlineStr"/>
      <c r="GY23" t="inlineStr"/>
      <c r="GZ23" t="inlineStr"/>
      <c r="HA23" t="inlineStr"/>
      <c r="HB23" t="inlineStr"/>
      <c r="HC23" t="inlineStr"/>
      <c r="HD23" t="inlineStr"/>
      <c r="HE23" t="inlineStr"/>
      <c r="HF23" t="inlineStr"/>
      <c r="HG23" t="inlineStr"/>
      <c r="HH23" t="inlineStr"/>
      <c r="HI23" t="inlineStr"/>
      <c r="HJ23" t="inlineStr"/>
      <c r="HK23" t="inlineStr"/>
      <c r="HL23" t="inlineStr"/>
      <c r="HM23" t="inlineStr"/>
      <c r="HN23" t="inlineStr"/>
      <c r="HO23" t="inlineStr"/>
      <c r="HP23" t="inlineStr"/>
      <c r="HQ23" t="inlineStr"/>
      <c r="HR23" t="inlineStr"/>
      <c r="HS23" t="inlineStr"/>
      <c r="HT23" t="inlineStr"/>
      <c r="HU23" t="inlineStr"/>
      <c r="HV23" t="inlineStr"/>
      <c r="HW23" t="inlineStr"/>
      <c r="HX23" t="inlineStr"/>
      <c r="HY23" t="inlineStr"/>
      <c r="HZ23" t="inlineStr"/>
      <c r="IA23" t="inlineStr"/>
      <c r="IB23" t="inlineStr"/>
      <c r="IC23" t="inlineStr"/>
      <c r="ID23" t="inlineStr"/>
      <c r="IE23" t="inlineStr"/>
      <c r="IF23" t="inlineStr"/>
      <c r="IG23" t="inlineStr"/>
      <c r="IH23" t="inlineStr"/>
      <c r="II23" t="inlineStr"/>
      <c r="IJ23" t="inlineStr"/>
      <c r="IK23" t="inlineStr"/>
      <c r="IL23" t="inlineStr"/>
      <c r="IM23" t="inlineStr"/>
      <c r="IN23" t="inlineStr"/>
      <c r="IO23" t="inlineStr"/>
      <c r="IP23" t="inlineStr"/>
      <c r="IQ23" t="inlineStr"/>
      <c r="IR23" t="inlineStr"/>
      <c r="IS23">
        <f>IF(input_content_type="",FALSE,ISNUMBER(SEARCH(","&amp;LOWER(input_content_type)&amp;",",","&amp;LOWER(F23)&amp;",")))</f>
        <v/>
      </c>
      <c r="IT23">
        <f>AND(IF(M23="",TRUE,IF(input_affiliations="",FALSE,SUMPRODUCT(--ISNUMBER(SEARCH(","&amp;TRIM(TEXTSPLIT(M23,","))&amp;",",","&amp;SUBSTITUTE(input_affiliations," ","")&amp;",")))&gt;0)),IF(O23="",TRUE,IF(input_affiliations="",FALSE,SUMPRODUCT(--ISNUMBER(SEARCH(","&amp;TRIM(TEXTSPLIT(O23,","))&amp;",",","&amp;SUBSTITUTE(input_affiliations," ","")&amp;",")))=COUNTA(TEXTSPLIT(O23,",")))),IF(Q23="",TRUE,IF(input_affiliations="",TRUE,SUMPRODUCT(--ISNUMBER(SEARCH(","&amp;TRIM(TEXTSPLIT(Q23,","))&amp;",",","&amp;SUBSTITUTE(input_affiliations," ","")&amp;",")))=0)),IF(S23="",TRUE,IF(input_affiliations="",FALSE,SUMPRODUCT(--ISNUMBER(SEARCH(","&amp;TRIM(TEXTSPLIT(S23,","))&amp;",",","&amp;SUBSTITUTE(input_affiliations," ","")&amp;",")))&gt;0)),IF(U23="",TRUE,IF(input_affiliations="",FALSE,SUMPRODUCT(--ISNUMBER(SEARCH(","&amp;TRIM(TEXTSPLIT(U23,","))&amp;",",","&amp;SUBSTITUTE(input_affiliations," ","")&amp;",")))=COUNTA(TEXTSPLIT(U23,",")))))</f>
        <v/>
      </c>
      <c r="IU23">
        <f>AND(IF(W23="",TRUE,IF(input_announcement_category="",FALSE,SUMPRODUCT(--ISNUMBER(SEARCH(","&amp;TRIM(TEXTSPLIT(W23,","))&amp;",",","&amp;SUBSTITUTE(input_announcement_category," ","")&amp;",")))&gt;0)),IF(Y23="",TRUE,IF(input_announcement_category="",FALSE,SUMPRODUCT(--ISNUMBER(SEARCH(","&amp;TRIM(TEXTSPLIT(Y23,","))&amp;",",","&amp;SUBSTITUTE(input_announcement_category," ","")&amp;",")))=COUNTA(TEXTSPLIT(Y23,",")))),IF(AA23="",TRUE,IF(input_announcement_category="",TRUE,SUMPRODUCT(--ISNUMBER(SEARCH(","&amp;TRIM(TEXTSPLIT(AA23,","))&amp;",",","&amp;SUBSTITUTE(input_announcement_category," ","")&amp;",")))=0)),IF(AC23="",TRUE,IF(input_announcement_category="",FALSE,SUMPRODUCT(--ISNUMBER(SEARCH(","&amp;TRIM(TEXTSPLIT(AC23,","))&amp;",",","&amp;SUBSTITUTE(input_announcement_category," ","")&amp;",")))&gt;0)),IF(AE23="",TRUE,IF(input_announcement_category="",FALSE,SUMPRODUCT(--ISNUMBER(SEARCH(","&amp;TRIM(TEXTSPLIT(AE23,","))&amp;",",","&amp;SUBSTITUTE(input_announcement_category," ","")&amp;",")))=COUNTA(TEXTSPLIT(AE23,",")))))</f>
        <v/>
      </c>
      <c r="IV23">
        <f>AND(IF(AG23="",TRUE,IF(input_area_of_focus="",FALSE,SUMPRODUCT(--ISNUMBER(SEARCH(","&amp;TRIM(TEXTSPLIT(AG23,","))&amp;",",","&amp;SUBSTITUTE(input_area_of_focus," ","")&amp;",")))&gt;0)),IF(AI23="",TRUE,IF(input_area_of_focus="",FALSE,SUMPRODUCT(--ISNUMBER(SEARCH(","&amp;TRIM(TEXTSPLIT(AI23,","))&amp;",",","&amp;SUBSTITUTE(input_area_of_focus," ","")&amp;",")))=COUNTA(TEXTSPLIT(AI23,",")))),IF(AK23="",TRUE,IF(input_area_of_focus="",TRUE,SUMPRODUCT(--ISNUMBER(SEARCH(","&amp;TRIM(TEXTSPLIT(AK23,","))&amp;",",","&amp;SUBSTITUTE(input_area_of_focus," ","")&amp;",")))=0)),IF(AM23="",TRUE,IF(input_area_of_focus="",FALSE,SUMPRODUCT(--ISNUMBER(SEARCH(","&amp;TRIM(TEXTSPLIT(AM23,","))&amp;",",","&amp;SUBSTITUTE(input_area_of_focus," ","")&amp;",")))&gt;0)),IF(AO23="",TRUE,IF(input_area_of_focus="",FALSE,SUMPRODUCT(--ISNUMBER(SEARCH(","&amp;TRIM(TEXTSPLIT(AO23,","))&amp;",",","&amp;SUBSTITUTE(input_area_of_focus," ","")&amp;",")))=COUNTA(TEXTSPLIT(AO23,",")))))</f>
        <v/>
      </c>
      <c r="IW23">
        <f>AND(IF(AQ23="",TRUE,IF(input_audience="",FALSE,SUMPRODUCT(--ISNUMBER(SEARCH(","&amp;TRIM(TEXTSPLIT(AQ23,","))&amp;",",","&amp;SUBSTITUTE(input_audience," ","")&amp;",")))&gt;0)),IF(AS23="",TRUE,IF(input_audience="",FALSE,SUMPRODUCT(--ISNUMBER(SEARCH(","&amp;TRIM(TEXTSPLIT(AS23,","))&amp;",",","&amp;SUBSTITUTE(input_audience," ","")&amp;",")))=COUNTA(TEXTSPLIT(AS23,",")))),IF(AU23="",TRUE,IF(input_audience="",TRUE,SUMPRODUCT(--ISNUMBER(SEARCH(","&amp;TRIM(TEXTSPLIT(AU23,","))&amp;",",","&amp;SUBSTITUTE(input_audience," ","")&amp;",")))=0)),IF(AW23="",TRUE,IF(input_audience="",FALSE,SUMPRODUCT(--ISNUMBER(SEARCH(","&amp;TRIM(TEXTSPLIT(AW23,","))&amp;",",","&amp;SUBSTITUTE(input_audience," ","")&amp;",")))&gt;0)),IF(AY23="",TRUE,IF(input_audience="",FALSE,SUMPRODUCT(--ISNUMBER(SEARCH(","&amp;TRIM(TEXTSPLIT(AY23,","))&amp;",",","&amp;SUBSTITUTE(input_audience," ","")&amp;",")))=COUNTA(TEXTSPLIT(AY23,",")))))</f>
        <v/>
      </c>
      <c r="IX23">
        <f>AND(IF(BA23="",TRUE,IF(input_challenge_opportunities="",FALSE,SUMPRODUCT(--ISNUMBER(SEARCH(","&amp;TRIM(TEXTSPLIT(BA23,","))&amp;",",","&amp;SUBSTITUTE(input_challenge_opportunities," ","")&amp;",")))&gt;0)),IF(BC23="",TRUE,IF(input_challenge_opportunities="",FALSE,SUMPRODUCT(--ISNUMBER(SEARCH(","&amp;TRIM(TEXTSPLIT(BC23,","))&amp;",",","&amp;SUBSTITUTE(input_challenge_opportunities," ","")&amp;",")))=COUNTA(TEXTSPLIT(BC23,",")))),IF(BE23="",TRUE,IF(input_challenge_opportunities="",TRUE,SUMPRODUCT(--ISNUMBER(SEARCH(","&amp;TRIM(TEXTSPLIT(BE23,","))&amp;",",","&amp;SUBSTITUTE(input_challenge_opportunities," ","")&amp;",")))=0)),IF(BG23="",TRUE,IF(input_challenge_opportunities="",FALSE,SUMPRODUCT(--ISNUMBER(SEARCH(","&amp;TRIM(TEXTSPLIT(BG23,","))&amp;",",","&amp;SUBSTITUTE(input_challenge_opportunities," ","")&amp;",")))&gt;0)),IF(BI23="",TRUE,IF(input_challenge_opportunities="",FALSE,SUMPRODUCT(--ISNUMBER(SEARCH(","&amp;TRIM(TEXTSPLIT(BI23,","))&amp;",",","&amp;SUBSTITUTE(input_challenge_opportunities," ","")&amp;",")))=COUNTA(TEXTSPLIT(BI23,",")))))</f>
        <v/>
      </c>
      <c r="IY23">
        <f>AND(IF(BK23="",TRUE,IF(input_context="",FALSE,SUMPRODUCT(--ISNUMBER(SEARCH(","&amp;TRIM(TEXTSPLIT(BK23,","))&amp;",",","&amp;SUBSTITUTE(input_context," ","")&amp;",")))&gt;0)),IF(BM23="",TRUE,IF(input_context="",FALSE,SUMPRODUCT(--ISNUMBER(SEARCH(","&amp;TRIM(TEXTSPLIT(BM23,","))&amp;",",","&amp;SUBSTITUTE(input_context," ","")&amp;",")))=COUNTA(TEXTSPLIT(BM23,",")))),IF(BO23="",TRUE,IF(input_context="",TRUE,SUMPRODUCT(--ISNUMBER(SEARCH(","&amp;TRIM(TEXTSPLIT(BO23,","))&amp;",",","&amp;SUBSTITUTE(input_context," ","")&amp;",")))=0)),IF(BQ23="",TRUE,IF(input_context="",FALSE,SUMPRODUCT(--ISNUMBER(SEARCH(","&amp;TRIM(TEXTSPLIT(BQ23,","))&amp;",",","&amp;SUBSTITUTE(input_context," ","")&amp;",")))&gt;0)),IF(BS23="",TRUE,IF(input_context="",FALSE,SUMPRODUCT(--ISNUMBER(SEARCH(","&amp;TRIM(TEXTSPLIT(BS23,","))&amp;",",","&amp;SUBSTITUTE(input_context," ","")&amp;",")))=COUNTA(TEXTSPLIT(BS23,",")))))</f>
        <v/>
      </c>
      <c r="IZ23">
        <f>AND(IF(BU23="",TRUE,IF(input_enews_announcement_type="",FALSE,SUMPRODUCT(--ISNUMBER(SEARCH(","&amp;TRIM(TEXTSPLIT(BU23,","))&amp;",",","&amp;SUBSTITUTE(input_enews_announcement_type," ","")&amp;",")))&gt;0)),IF(BW23="",TRUE,IF(input_enews_announcement_type="",FALSE,SUMPRODUCT(--ISNUMBER(SEARCH(","&amp;TRIM(TEXTSPLIT(BW23,","))&amp;",",","&amp;SUBSTITUTE(input_enews_announcement_type," ","")&amp;",")))=COUNTA(TEXTSPLIT(BW23,",")))),IF(BY23="",TRUE,IF(input_enews_announcement_type="",TRUE,SUMPRODUCT(--ISNUMBER(SEARCH(","&amp;TRIM(TEXTSPLIT(BY23,","))&amp;",",","&amp;SUBSTITUTE(input_enews_announcement_type," ","")&amp;",")))=0)),IF(CA23="",TRUE,IF(input_enews_announcement_type="",FALSE,SUMPRODUCT(--ISNUMBER(SEARCH(","&amp;TRIM(TEXTSPLIT(CA23,","))&amp;",",","&amp;SUBSTITUTE(input_enews_announcement_type," ","")&amp;",")))&gt;0)),IF(CC23="",TRUE,IF(input_enews_announcement_type="",FALSE,SUMPRODUCT(--ISNUMBER(SEARCH(","&amp;TRIM(TEXTSPLIT(CC23,","))&amp;",",","&amp;SUBSTITUTE(input_enews_announcement_type," ","")&amp;",")))=COUNTA(TEXTSPLIT(CC23,",")))))</f>
        <v/>
      </c>
      <c r="JA23">
        <f>AND(IF(CE23="",TRUE,IF(input_enews_audience="",FALSE,SUMPRODUCT(--ISNUMBER(SEARCH(","&amp;TRIM(TEXTSPLIT(CE23,","))&amp;",",","&amp;SUBSTITUTE(input_enews_audience," ","")&amp;",")))&gt;0)),IF(CG23="",TRUE,IF(input_enews_audience="",FALSE,SUMPRODUCT(--ISNUMBER(SEARCH(","&amp;TRIM(TEXTSPLIT(CG23,","))&amp;",",","&amp;SUBSTITUTE(input_enews_audience," ","")&amp;",")))=COUNTA(TEXTSPLIT(CG23,",")))),IF(CI23="",TRUE,IF(input_enews_audience="",TRUE,SUMPRODUCT(--ISNUMBER(SEARCH(","&amp;TRIM(TEXTSPLIT(CI23,","))&amp;",",","&amp;SUBSTITUTE(input_enews_audience," ","")&amp;",")))=0)),IF(CK23="",TRUE,IF(input_enews_audience="",FALSE,SUMPRODUCT(--ISNUMBER(SEARCH(","&amp;TRIM(TEXTSPLIT(CK23,","))&amp;",",","&amp;SUBSTITUTE(input_enews_audience," ","")&amp;",")))&gt;0)),IF(CM23="",TRUE,IF(input_enews_audience="",FALSE,SUMPRODUCT(--ISNUMBER(SEARCH(","&amp;TRIM(TEXTSPLIT(CM23,","))&amp;",",","&amp;SUBSTITUTE(input_enews_audience," ","")&amp;",")))=COUNTA(TEXTSPLIT(CM23,",")))))</f>
        <v/>
      </c>
      <c r="JB23">
        <f>AND(IF(CO23="",TRUE,IF(input_event_location="",FALSE,SUMPRODUCT(--ISNUMBER(SEARCH(","&amp;TRIM(TEXTSPLIT(CO23,","))&amp;",",","&amp;SUBSTITUTE(input_event_location," ","")&amp;",")))&gt;0)),IF(CQ23="",TRUE,IF(input_event_location="",FALSE,SUMPRODUCT(--ISNUMBER(SEARCH(","&amp;TRIM(TEXTSPLIT(CQ23,","))&amp;",",","&amp;SUBSTITUTE(input_event_location," ","")&amp;",")))=COUNTA(TEXTSPLIT(CQ23,",")))),IF(CS23="",TRUE,IF(input_event_location="",TRUE,SUMPRODUCT(--ISNUMBER(SEARCH(","&amp;TRIM(TEXTSPLIT(CS23,","))&amp;",",","&amp;SUBSTITUTE(input_event_location," ","")&amp;",")))=0)),IF(CU23="",TRUE,IF(input_event_location="",FALSE,SUMPRODUCT(--ISNUMBER(SEARCH(","&amp;TRIM(TEXTSPLIT(CU23,","))&amp;",",","&amp;SUBSTITUTE(input_event_location," ","")&amp;",")))&gt;0)),IF(CW23="",TRUE,IF(input_event_location="",FALSE,SUMPRODUCT(--ISNUMBER(SEARCH(","&amp;TRIM(TEXTSPLIT(CW23,","))&amp;",",","&amp;SUBSTITUTE(input_event_location," ","")&amp;",")))=COUNTA(TEXTSPLIT(CW23,",")))))</f>
        <v/>
      </c>
      <c r="JC23">
        <f>AND(IF(CY23="",TRUE,IF(input_event_type="",FALSE,SUMPRODUCT(--ISNUMBER(SEARCH(","&amp;TRIM(TEXTSPLIT(CY23,","))&amp;",",","&amp;SUBSTITUTE(input_event_type," ","")&amp;",")))&gt;0)),IF(DA23="",TRUE,IF(input_event_type="",FALSE,SUMPRODUCT(--ISNUMBER(SEARCH(","&amp;TRIM(TEXTSPLIT(DA23,","))&amp;",",","&amp;SUBSTITUTE(input_event_type," ","")&amp;",")))=COUNTA(TEXTSPLIT(DA23,",")))),IF(DC23="",TRUE,IF(input_event_type="",TRUE,SUMPRODUCT(--ISNUMBER(SEARCH(","&amp;TRIM(TEXTSPLIT(DC23,","))&amp;",",","&amp;SUBSTITUTE(input_event_type," ","")&amp;",")))=0)),IF(DE23="",TRUE,IF(input_event_type="",FALSE,SUMPRODUCT(--ISNUMBER(SEARCH(","&amp;TRIM(TEXTSPLIT(DE23,","))&amp;",",","&amp;SUBSTITUTE(input_event_type," ","")&amp;",")))&gt;0)),IF(DG23="",TRUE,IF(input_event_type="",FALSE,SUMPRODUCT(--ISNUMBER(SEARCH(","&amp;TRIM(TEXTSPLIT(DG23,","))&amp;",",","&amp;SUBSTITUTE(input_event_type," ","")&amp;",")))=COUNTA(TEXTSPLIT(DG23,",")))))</f>
        <v/>
      </c>
      <c r="JD23">
        <f>AND(IF(DI23="",TRUE,IF(input_executive_education_focus="",FALSE,SUMPRODUCT(--ISNUMBER(SEARCH(","&amp;TRIM(TEXTSPLIT(DI23,","))&amp;",",","&amp;SUBSTITUTE(input_executive_education_focus," ","")&amp;",")))&gt;0)),IF(DK23="",TRUE,IF(input_executive_education_focus="",FALSE,SUMPRODUCT(--ISNUMBER(SEARCH(","&amp;TRIM(TEXTSPLIT(DK23,","))&amp;",",","&amp;SUBSTITUTE(input_executive_education_focus," ","")&amp;",")))=COUNTA(TEXTSPLIT(DK23,",")))),IF(DM23="",TRUE,IF(input_executive_education_focus="",TRUE,SUMPRODUCT(--ISNUMBER(SEARCH(","&amp;TRIM(TEXTSPLIT(DM23,","))&amp;",",","&amp;SUBSTITUTE(input_executive_education_focus," ","")&amp;",")))=0)),IF(DO23="",TRUE,IF(input_executive_education_focus="",FALSE,SUMPRODUCT(--ISNUMBER(SEARCH(","&amp;TRIM(TEXTSPLIT(DO23,","))&amp;",",","&amp;SUBSTITUTE(input_executive_education_focus," ","")&amp;",")))&gt;0)),IF(DQ23="",TRUE,IF(input_executive_education_focus="",FALSE,SUMPRODUCT(--ISNUMBER(SEARCH(","&amp;TRIM(TEXTSPLIT(DQ23,","))&amp;",",","&amp;SUBSTITUTE(input_executive_education_focus," ","")&amp;",")))=COUNTA(TEXTSPLIT(DQ23,",")))))</f>
        <v/>
      </c>
      <c r="JE23">
        <f>AND(IF(DS23="",TRUE,IF(input_faculty_category="",FALSE,SUMPRODUCT(--ISNUMBER(SEARCH(","&amp;TRIM(TEXTSPLIT(DS23,","))&amp;",",","&amp;SUBSTITUTE(input_faculty_category," ","")&amp;",")))&gt;0)),IF(DU23="",TRUE,IF(input_faculty_category="",FALSE,SUMPRODUCT(--ISNUMBER(SEARCH(","&amp;TRIM(TEXTSPLIT(DU23,","))&amp;",",","&amp;SUBSTITUTE(input_faculty_category," ","")&amp;",")))=COUNTA(TEXTSPLIT(DU23,",")))),IF(DW23="",TRUE,IF(input_faculty_category="",TRUE,SUMPRODUCT(--ISNUMBER(SEARCH(","&amp;TRIM(TEXTSPLIT(DW23,","))&amp;",",","&amp;SUBSTITUTE(input_faculty_category," ","")&amp;",")))=0)),IF(DY23="",TRUE,IF(input_faculty_category="",FALSE,SUMPRODUCT(--ISNUMBER(SEARCH(","&amp;TRIM(TEXTSPLIT(DY23,","))&amp;",",","&amp;SUBSTITUTE(input_faculty_category," ","")&amp;",")))&gt;0)),IF(EA23="",TRUE,IF(input_faculty_category="",FALSE,SUMPRODUCT(--ISNUMBER(SEARCH(","&amp;TRIM(TEXTSPLIT(EA23,","))&amp;",",","&amp;SUBSTITUTE(input_faculty_category," ","")&amp;",")))=COUNTA(TEXTSPLIT(EA23,",")))))</f>
        <v/>
      </c>
      <c r="JF23">
        <f>AND(IF(EC23="",TRUE,IF(input_faculty_discipline="",FALSE,SUMPRODUCT(--ISNUMBER(SEARCH(","&amp;TRIM(TEXTSPLIT(EC23,","))&amp;",",","&amp;SUBSTITUTE(input_faculty_discipline," ","")&amp;",")))&gt;0)),IF(EE23="",TRUE,IF(input_faculty_discipline="",FALSE,SUMPRODUCT(--ISNUMBER(SEARCH(","&amp;TRIM(TEXTSPLIT(EE23,","))&amp;",",","&amp;SUBSTITUTE(input_faculty_discipline," ","")&amp;",")))=COUNTA(TEXTSPLIT(EE23,",")))),IF(EG23="",TRUE,IF(input_faculty_discipline="",TRUE,SUMPRODUCT(--ISNUMBER(SEARCH(","&amp;TRIM(TEXTSPLIT(EG23,","))&amp;",",","&amp;SUBSTITUTE(input_faculty_discipline," ","")&amp;",")))=0)),IF(EI23="",TRUE,IF(input_faculty_discipline="",FALSE,SUMPRODUCT(--ISNUMBER(SEARCH(","&amp;TRIM(TEXTSPLIT(EI23,","))&amp;",",","&amp;SUBSTITUTE(input_faculty_discipline," ","")&amp;",")))&gt;0)),IF(EK23="",TRUE,IF(input_faculty_discipline="",FALSE,SUMPRODUCT(--ISNUMBER(SEARCH(","&amp;TRIM(TEXTSPLIT(EK23,","))&amp;",",","&amp;SUBSTITUTE(input_faculty_discipline," ","")&amp;",")))=COUNTA(TEXTSPLIT(EK23,",")))))</f>
        <v/>
      </c>
      <c r="JG23">
        <f>AND(IF(EM23="",TRUE,IF(input_faculty_expertise="",FALSE,SUMPRODUCT(--ISNUMBER(SEARCH(","&amp;TRIM(TEXTSPLIT(EM23,","))&amp;",",","&amp;SUBSTITUTE(input_faculty_expertise," ","")&amp;",")))&gt;0)),IF(EO23="",TRUE,IF(input_faculty_expertise="",FALSE,SUMPRODUCT(--ISNUMBER(SEARCH(","&amp;TRIM(TEXTSPLIT(EO23,","))&amp;",",","&amp;SUBSTITUTE(input_faculty_expertise," ","")&amp;",")))=COUNTA(TEXTSPLIT(EO23,",")))),IF(EQ23="",TRUE,IF(input_faculty_expertise="",TRUE,SUMPRODUCT(--ISNUMBER(SEARCH(","&amp;TRIM(TEXTSPLIT(EQ23,","))&amp;",",","&amp;SUBSTITUTE(input_faculty_expertise," ","")&amp;",")))=0)),IF(ES23="",TRUE,IF(input_faculty_expertise="",FALSE,SUMPRODUCT(--ISNUMBER(SEARCH(","&amp;TRIM(TEXTSPLIT(ES23,","))&amp;",",","&amp;SUBSTITUTE(input_faculty_expertise," ","")&amp;",")))&gt;0)),IF(EU23="",TRUE,IF(input_faculty_expertise="",FALSE,SUMPRODUCT(--ISNUMBER(SEARCH(","&amp;TRIM(TEXTSPLIT(EU23,","))&amp;",",","&amp;SUBSTITUTE(input_faculty_expertise," ","")&amp;",")))=COUNTA(TEXTSPLIT(EU23,",")))))</f>
        <v/>
      </c>
      <c r="JH23">
        <f>AND(IF(EW23="",TRUE,IF(input_global_network_school="",FALSE,SUMPRODUCT(--ISNUMBER(SEARCH(","&amp;TRIM(TEXTSPLIT(EW23,","))&amp;",",","&amp;SUBSTITUTE(input_global_network_school," ","")&amp;",")))&gt;0)),IF(EY23="",TRUE,IF(input_global_network_school="",FALSE,SUMPRODUCT(--ISNUMBER(SEARCH(","&amp;TRIM(TEXTSPLIT(EY23,","))&amp;",",","&amp;SUBSTITUTE(input_global_network_school," ","")&amp;",")))=COUNTA(TEXTSPLIT(EY23,",")))),IF(FA23="",TRUE,IF(input_global_network_school="",TRUE,SUMPRODUCT(--ISNUMBER(SEARCH(","&amp;TRIM(TEXTSPLIT(FA23,","))&amp;",",","&amp;SUBSTITUTE(input_global_network_school," ","")&amp;",")))=0)),IF(FC23="",TRUE,IF(input_global_network_school="",FALSE,SUMPRODUCT(--ISNUMBER(SEARCH(","&amp;TRIM(TEXTSPLIT(FC23,","))&amp;",",","&amp;SUBSTITUTE(input_global_network_school," ","")&amp;",")))&gt;0)),IF(FE23="",TRUE,IF(input_global_network_school="",FALSE,SUMPRODUCT(--ISNUMBER(SEARCH(","&amp;TRIM(TEXTSPLIT(FE23,","))&amp;",",","&amp;SUBSTITUTE(input_global_network_school," ","")&amp;",")))=COUNTA(TEXTSPLIT(FE23,",")))))</f>
        <v/>
      </c>
      <c r="JI23">
        <f>AND(IF(FG23="",TRUE,IF(input_industry="",FALSE,SUMPRODUCT(--ISNUMBER(SEARCH(","&amp;TRIM(TEXTSPLIT(FG23,","))&amp;",",","&amp;SUBSTITUTE(input_industry," ","")&amp;",")))&gt;0)),IF(FI23="",TRUE,IF(input_industry="",FALSE,SUMPRODUCT(--ISNUMBER(SEARCH(","&amp;TRIM(TEXTSPLIT(FI23,","))&amp;",",","&amp;SUBSTITUTE(input_industry," ","")&amp;",")))=COUNTA(TEXTSPLIT(FI23,",")))),IF(FK23="",TRUE,IF(input_industry="",TRUE,SUMPRODUCT(--ISNUMBER(SEARCH(","&amp;TRIM(TEXTSPLIT(FK23,","))&amp;",",","&amp;SUBSTITUTE(input_industry," ","")&amp;",")))=0)),IF(FM23="",TRUE,IF(input_industry="",FALSE,SUMPRODUCT(--ISNUMBER(SEARCH(","&amp;TRIM(TEXTSPLIT(FM23,","))&amp;",",","&amp;SUBSTITUTE(input_industry," ","")&amp;",")))&gt;0)),IF(FO23="",TRUE,IF(input_industry="",FALSE,SUMPRODUCT(--ISNUMBER(SEARCH(","&amp;TRIM(TEXTSPLIT(FO23,","))&amp;",",","&amp;SUBSTITUTE(input_industry," ","")&amp;",")))=COUNTA(TEXTSPLIT(FO23,",")))))</f>
        <v/>
      </c>
      <c r="JJ23">
        <f>AND(IF(FQ23="",TRUE,IF(input_location="",FALSE,SUMPRODUCT(--ISNUMBER(SEARCH(","&amp;TRIM(TEXTSPLIT(FQ23,","))&amp;",",","&amp;SUBSTITUTE(input_location," ","")&amp;",")))&gt;0)),IF(FS23="",TRUE,IF(input_location="",FALSE,SUMPRODUCT(--ISNUMBER(SEARCH(","&amp;TRIM(TEXTSPLIT(FS23,","))&amp;",",","&amp;SUBSTITUTE(input_location," ","")&amp;",")))=COUNTA(TEXTSPLIT(FS23,",")))),IF(FU23="",TRUE,IF(input_location="",TRUE,SUMPRODUCT(--ISNUMBER(SEARCH(","&amp;TRIM(TEXTSPLIT(FU23,","))&amp;",",","&amp;SUBSTITUTE(input_location," ","")&amp;",")))=0)),IF(FW23="",TRUE,IF(input_location="",FALSE,SUMPRODUCT(--ISNUMBER(SEARCH(","&amp;TRIM(TEXTSPLIT(FW23,","))&amp;",",","&amp;SUBSTITUTE(input_location," ","")&amp;",")))&gt;0)),IF(FY23="",TRUE,IF(input_location="",FALSE,SUMPRODUCT(--ISNUMBER(SEARCH(","&amp;TRIM(TEXTSPLIT(FY23,","))&amp;",",","&amp;SUBSTITUTE(input_location," ","")&amp;",")))=COUNTA(TEXTSPLIT(FY23,",")))))</f>
        <v/>
      </c>
      <c r="JK23">
        <f>AND(IF(GA23="",TRUE,IF(input_modality="",FALSE,SUMPRODUCT(--ISNUMBER(SEARCH(","&amp;TRIM(TEXTSPLIT(GA23,","))&amp;",",","&amp;SUBSTITUTE(input_modality," ","")&amp;",")))&gt;0)),IF(GC23="",TRUE,IF(input_modality="",FALSE,SUMPRODUCT(--ISNUMBER(SEARCH(","&amp;TRIM(TEXTSPLIT(GC23,","))&amp;",",","&amp;SUBSTITUTE(input_modality," ","")&amp;",")))=COUNTA(TEXTSPLIT(GC23,",")))),IF(GE23="",TRUE,IF(input_modality="",TRUE,SUMPRODUCT(--ISNUMBER(SEARCH(","&amp;TRIM(TEXTSPLIT(GE23,","))&amp;",",","&amp;SUBSTITUTE(input_modality," ","")&amp;",")))=0)),IF(GG23="",TRUE,IF(input_modality="",FALSE,SUMPRODUCT(--ISNUMBER(SEARCH(","&amp;TRIM(TEXTSPLIT(GG23,","))&amp;",",","&amp;SUBSTITUTE(input_modality," ","")&amp;",")))&gt;0)),IF(GI23="",TRUE,IF(input_modality="",FALSE,SUMPRODUCT(--ISNUMBER(SEARCH(","&amp;TRIM(TEXTSPLIT(GI23,","))&amp;",",","&amp;SUBSTITUTE(input_modality," ","")&amp;",")))=COUNTA(TEXTSPLIT(GI23,",")))))</f>
        <v/>
      </c>
      <c r="JL23">
        <f>AND(IF(GK23="",TRUE,IF(input_organizer="",FALSE,SUMPRODUCT(--ISNUMBER(SEARCH(","&amp;TRIM(TEXTSPLIT(GK23,","))&amp;",",","&amp;SUBSTITUTE(input_organizer," ","")&amp;",")))&gt;0)),IF(GM23="",TRUE,IF(input_organizer="",FALSE,SUMPRODUCT(--ISNUMBER(SEARCH(","&amp;TRIM(TEXTSPLIT(GM23,","))&amp;",",","&amp;SUBSTITUTE(input_organizer," ","")&amp;",")))=COUNTA(TEXTSPLIT(GM23,",")))),IF(GO23="",TRUE,IF(input_organizer="",TRUE,SUMPRODUCT(--ISNUMBER(SEARCH(","&amp;TRIM(TEXTSPLIT(GO23,","))&amp;",",","&amp;SUBSTITUTE(input_organizer," ","")&amp;",")))=0)),IF(GQ23="",TRUE,IF(input_organizer="",FALSE,SUMPRODUCT(--ISNUMBER(SEARCH(","&amp;TRIM(TEXTSPLIT(GQ23,","))&amp;",",","&amp;SUBSTITUTE(input_organizer," ","")&amp;",")))&gt;0)),IF(GS23="",TRUE,IF(input_organizer="",FALSE,SUMPRODUCT(--ISNUMBER(SEARCH(","&amp;TRIM(TEXTSPLIT(GS23,","))&amp;",",","&amp;SUBSTITUTE(input_organizer," ","")&amp;",")))=COUNTA(TEXTSPLIT(GS23,",")))))</f>
        <v/>
      </c>
      <c r="JM23">
        <f>AND(IF(GU23="",TRUE,IF(input_profile_type="",FALSE,SUMPRODUCT(--ISNUMBER(SEARCH(","&amp;TRIM(TEXTSPLIT(GU23,","))&amp;",",","&amp;SUBSTITUTE(input_profile_type," ","")&amp;",")))&gt;0)),IF(GW23="",TRUE,IF(input_profile_type="",FALSE,SUMPRODUCT(--ISNUMBER(SEARCH(","&amp;TRIM(TEXTSPLIT(GW23,","))&amp;",",","&amp;SUBSTITUTE(input_profile_type," ","")&amp;",")))=COUNTA(TEXTSPLIT(GW23,",")))),IF(GY23="",TRUE,IF(input_profile_type="",TRUE,SUMPRODUCT(--ISNUMBER(SEARCH(","&amp;TRIM(TEXTSPLIT(GY23,","))&amp;",",","&amp;SUBSTITUTE(input_profile_type," ","")&amp;",")))=0)),IF(HA23="",TRUE,IF(input_profile_type="",FALSE,SUMPRODUCT(--ISNUMBER(SEARCH(","&amp;TRIM(TEXTSPLIT(HA23,","))&amp;",",","&amp;SUBSTITUTE(input_profile_type," ","")&amp;",")))&gt;0)),IF(HC23="",TRUE,IF(input_profile_type="",FALSE,SUMPRODUCT(--ISNUMBER(SEARCH(","&amp;TRIM(TEXTSPLIT(HC23,","))&amp;",",","&amp;SUBSTITUTE(input_profile_type," ","")&amp;",")))=COUNTA(TEXTSPLIT(HC23,",")))))</f>
        <v/>
      </c>
      <c r="JN23">
        <f>AND(IF(HE23="",TRUE,IF(input_program="",FALSE,SUMPRODUCT(--ISNUMBER(SEARCH(","&amp;TRIM(TEXTSPLIT(HE23,","))&amp;",",","&amp;SUBSTITUTE(input_program," ","")&amp;",")))&gt;0)),IF(HG23="",TRUE,IF(input_program="",FALSE,SUMPRODUCT(--ISNUMBER(SEARCH(","&amp;TRIM(TEXTSPLIT(HG23,","))&amp;",",","&amp;SUBSTITUTE(input_program," ","")&amp;",")))=COUNTA(TEXTSPLIT(HG23,",")))),IF(HI23="",TRUE,IF(input_program="",TRUE,SUMPRODUCT(--ISNUMBER(SEARCH(","&amp;TRIM(TEXTSPLIT(HI23,","))&amp;",",","&amp;SUBSTITUTE(input_program," ","")&amp;",")))=0)),IF(HK23="",TRUE,IF(input_program="",FALSE,SUMPRODUCT(--ISNUMBER(SEARCH(","&amp;TRIM(TEXTSPLIT(HK23,","))&amp;",",","&amp;SUBSTITUTE(input_program," ","")&amp;",")))&gt;0)),IF(HM23="",TRUE,IF(input_program="",FALSE,SUMPRODUCT(--ISNUMBER(SEARCH(","&amp;TRIM(TEXTSPLIT(HM23,","))&amp;",",","&amp;SUBSTITUTE(input_program," ","")&amp;",")))=COUNTA(TEXTSPLIT(HM23,",")))))</f>
        <v/>
      </c>
      <c r="JO23">
        <f>AND(IF(HO23="",TRUE,IF(input_story_categories="",FALSE,SUMPRODUCT(--ISNUMBER(SEARCH(","&amp;TRIM(TEXTSPLIT(HO23,","))&amp;",",","&amp;SUBSTITUTE(input_story_categories," ","")&amp;",")))&gt;0)),IF(HQ23="",TRUE,IF(input_story_categories="",FALSE,SUMPRODUCT(--ISNUMBER(SEARCH(","&amp;TRIM(TEXTSPLIT(HQ23,","))&amp;",",","&amp;SUBSTITUTE(input_story_categories," ","")&amp;",")))=COUNTA(TEXTSPLIT(HQ23,",")))),IF(HS23="",TRUE,IF(input_story_categories="",TRUE,SUMPRODUCT(--ISNUMBER(SEARCH(","&amp;TRIM(TEXTSPLIT(HS23,","))&amp;",",","&amp;SUBSTITUTE(input_story_categories," ","")&amp;",")))=0)),IF(HU23="",TRUE,IF(input_story_categories="",FALSE,SUMPRODUCT(--ISNUMBER(SEARCH(","&amp;TRIM(TEXTSPLIT(HU23,","))&amp;",",","&amp;SUBSTITUTE(input_story_categories," ","")&amp;",")))&gt;0)),IF(HW23="",TRUE,IF(input_story_categories="",FALSE,SUMPRODUCT(--ISNUMBER(SEARCH(","&amp;TRIM(TEXTSPLIT(HW23,","))&amp;",",","&amp;SUBSTITUTE(input_story_categories," ","")&amp;",")))=COUNTA(TEXTSPLIT(HW23,",")))))</f>
        <v/>
      </c>
      <c r="JP23">
        <f>AND(IF(HY23="",TRUE,IF(input_story_type="",FALSE,SUMPRODUCT(--ISNUMBER(SEARCH(","&amp;TRIM(TEXTSPLIT(HY23,","))&amp;",",","&amp;SUBSTITUTE(input_story_type," ","")&amp;",")))&gt;0)),IF(IA23="",TRUE,IF(input_story_type="",FALSE,SUMPRODUCT(--ISNUMBER(SEARCH(","&amp;TRIM(TEXTSPLIT(IA23,","))&amp;",",","&amp;SUBSTITUTE(input_story_type," ","")&amp;",")))=COUNTA(TEXTSPLIT(IA23,",")))),IF(IC23="",TRUE,IF(input_story_type="",TRUE,SUMPRODUCT(--ISNUMBER(SEARCH(","&amp;TRIM(TEXTSPLIT(IC23,","))&amp;",",","&amp;SUBSTITUTE(input_story_type," ","")&amp;",")))=0)),IF(IE23="",TRUE,IF(input_story_type="",FALSE,SUMPRODUCT(--ISNUMBER(SEARCH(","&amp;TRIM(TEXTSPLIT(IE23,","))&amp;",",","&amp;SUBSTITUTE(input_story_type," ","")&amp;",")))&gt;0)),IF(IG23="",TRUE,IF(input_story_type="",FALSE,SUMPRODUCT(--ISNUMBER(SEARCH(","&amp;TRIM(TEXTSPLIT(IG23,","))&amp;",",","&amp;SUBSTITUTE(input_story_type," ","")&amp;",")))=COUNTA(TEXTSPLIT(IG23,",")))))</f>
        <v/>
      </c>
      <c r="JQ23">
        <f>AND(IF(II23="",TRUE,IF(input_topics="",FALSE,SUMPRODUCT(--ISNUMBER(SEARCH(","&amp;TRIM(TEXTSPLIT(II23,","))&amp;",",","&amp;SUBSTITUTE(input_topics," ","")&amp;",")))&gt;0)),IF(IK23="",TRUE,IF(input_topics="",FALSE,SUMPRODUCT(--ISNUMBER(SEARCH(","&amp;TRIM(TEXTSPLIT(IK23,","))&amp;",",","&amp;SUBSTITUTE(input_topics," ","")&amp;",")))=COUNTA(TEXTSPLIT(IK23,",")))),IF(IM23="",TRUE,IF(input_topics="",TRUE,SUMPRODUCT(--ISNUMBER(SEARCH(","&amp;TRIM(TEXTSPLIT(IM23,","))&amp;",",","&amp;SUBSTITUTE(input_topics," ","")&amp;",")))=0)),IF(IO23="",TRUE,IF(input_topics="",FALSE,SUMPRODUCT(--ISNUMBER(SEARCH(","&amp;TRIM(TEXTSPLIT(IO23,","))&amp;",",","&amp;SUBSTITUTE(input_topics," ","")&amp;",")))&gt;0)),IF(IQ23="",TRUE,IF(input_topics="",FALSE,SUMPRODUCT(--ISNUMBER(SEARCH(","&amp;TRIM(TEXTSPLIT(IQ23,","))&amp;",",","&amp;SUBSTITUTE(input_topics," ","")&amp;",")))=COUNTA(TEXTSPLIT(IQ23,",")))))</f>
        <v/>
      </c>
    </row>
    <row r="24">
      <c r="A24" s="4">
        <f>IF(NOT(IS24),"Excluded",IF(AND(IT24,IU24,IV24,IW24,IX24,IY24,IZ24,JA24,JB24,JC24,JD24,JE24,JF24,JG24,JH24,JI24,JJ24,JK24,JL24,JM24,JN24,JO24,JP24,JQ24),IF(I24&gt;0,"Eligible but limited","Will appear"),"Excluded"))</f>
        <v/>
      </c>
      <c r="B24" s="4" t="inlineStr">
        <is>
          <t>All Publications by Author</t>
        </is>
      </c>
      <c r="C24" s="4" t="inlineStr">
        <is>
          <t>/faculty-research/faculty-directory/edieal-j-pinker</t>
        </is>
      </c>
      <c r="D24" s="4" t="inlineStr">
        <is>
          <t>/faculty-research/faculty-directory/edieal-j-pinker</t>
        </is>
      </c>
      <c r="E24" s="4" t="n">
        <v>1</v>
      </c>
      <c r="F24" s="4" t="inlineStr">
        <is>
          <t>publications</t>
        </is>
      </c>
      <c r="G24" s="4" t="inlineStr">
        <is>
          <t>publication_teaser_list</t>
        </is>
      </c>
      <c r="H24" s="4" t="inlineStr">
        <is>
          <t>publication_teaser_list_all_by_author</t>
        </is>
      </c>
      <c r="I24" s="4" t="inlineStr"/>
      <c r="J24" s="4" t="inlineStr">
        <is>
          <t>View/config rules</t>
        </is>
      </c>
      <c r="K24" s="4" t="inlineStr">
        <is>
          <t>Page placement</t>
        </is>
      </c>
      <c r="L24" s="4" t="inlineStr">
        <is>
          <t>Content type: publications; Source: View/config rules</t>
        </is>
      </c>
      <c r="M24" t="inlineStr"/>
      <c r="N24" t="inlineStr"/>
      <c r="O24" t="inlineStr"/>
      <c r="P24" t="inlineStr"/>
      <c r="Q24" t="inlineStr"/>
      <c r="R24" t="inlineStr"/>
      <c r="S24" t="inlineStr"/>
      <c r="T24" t="inlineStr"/>
      <c r="U24" t="inlineStr"/>
      <c r="V24" t="inlineStr"/>
      <c r="W24" t="inlineStr"/>
      <c r="X24" t="inlineStr"/>
      <c r="Y24" t="inlineStr"/>
      <c r="Z24" t="inlineStr"/>
      <c r="AA24" t="inlineStr"/>
      <c r="AB24" t="inlineStr"/>
      <c r="AC24" t="inlineStr"/>
      <c r="AD24" t="inlineStr"/>
      <c r="AE24" t="inlineStr"/>
      <c r="AF24" t="inlineStr"/>
      <c r="AG24" t="inlineStr"/>
      <c r="AH24" t="inlineStr"/>
      <c r="AI24" t="inlineStr"/>
      <c r="AJ24" t="inlineStr"/>
      <c r="AK24" t="inlineStr"/>
      <c r="AL24" t="inlineStr"/>
      <c r="AM24" t="inlineStr"/>
      <c r="AN24" t="inlineStr"/>
      <c r="AO24" t="inlineStr"/>
      <c r="AP24" t="inlineStr"/>
      <c r="AQ24" t="inlineStr"/>
      <c r="AR24" t="inlineStr"/>
      <c r="AS24" t="inlineStr"/>
      <c r="AT24" t="inlineStr"/>
      <c r="AU24" t="inlineStr"/>
      <c r="AV24" t="inlineStr"/>
      <c r="AW24" t="inlineStr"/>
      <c r="AX24" t="inlineStr"/>
      <c r="AY24" t="inlineStr"/>
      <c r="AZ24" t="inlineStr"/>
      <c r="BA24" t="inlineStr"/>
      <c r="BB24" t="inlineStr"/>
      <c r="BC24" t="inlineStr"/>
      <c r="BD24" t="inlineStr"/>
      <c r="BE24" t="inlineStr"/>
      <c r="BF24" t="inlineStr"/>
      <c r="BG24" t="inlineStr"/>
      <c r="BH24" t="inlineStr"/>
      <c r="BI24" t="inlineStr"/>
      <c r="BJ24" t="inlineStr"/>
      <c r="BK24" t="inlineStr"/>
      <c r="BL24" t="inlineStr"/>
      <c r="BM24" t="inlineStr"/>
      <c r="BN24" t="inlineStr"/>
      <c r="BO24" t="inlineStr"/>
      <c r="BP24" t="inlineStr"/>
      <c r="BQ24" t="inlineStr"/>
      <c r="BR24" t="inlineStr"/>
      <c r="BS24" t="inlineStr"/>
      <c r="BT24" t="inlineStr"/>
      <c r="BU24" t="inlineStr"/>
      <c r="BV24" t="inlineStr"/>
      <c r="BW24" t="inlineStr"/>
      <c r="BX24" t="inlineStr"/>
      <c r="BY24" t="inlineStr"/>
      <c r="BZ24" t="inlineStr"/>
      <c r="CA24" t="inlineStr"/>
      <c r="CB24" t="inlineStr"/>
      <c r="CC24" t="inlineStr"/>
      <c r="CD24" t="inlineStr"/>
      <c r="CE24" t="inlineStr"/>
      <c r="CF24" t="inlineStr"/>
      <c r="CG24" t="inlineStr"/>
      <c r="CH24" t="inlineStr"/>
      <c r="CI24" t="inlineStr"/>
      <c r="CJ24" t="inlineStr"/>
      <c r="CK24" t="inlineStr"/>
      <c r="CL24" t="inlineStr"/>
      <c r="CM24" t="inlineStr"/>
      <c r="CN24" t="inlineStr"/>
      <c r="CO24" t="inlineStr"/>
      <c r="CP24" t="inlineStr"/>
      <c r="CQ24" t="inlineStr"/>
      <c r="CR24" t="inlineStr"/>
      <c r="CS24" t="inlineStr"/>
      <c r="CT24" t="inlineStr"/>
      <c r="CU24" t="inlineStr"/>
      <c r="CV24" t="inlineStr"/>
      <c r="CW24" t="inlineStr"/>
      <c r="CX24" t="inlineStr"/>
      <c r="CY24" t="inlineStr"/>
      <c r="CZ24" t="inlineStr"/>
      <c r="DA24" t="inlineStr"/>
      <c r="DB24" t="inlineStr"/>
      <c r="DC24" t="inlineStr"/>
      <c r="DD24" t="inlineStr"/>
      <c r="DE24" t="inlineStr"/>
      <c r="DF24" t="inlineStr"/>
      <c r="DG24" t="inlineStr"/>
      <c r="DH24" t="inlineStr"/>
      <c r="DI24" t="inlineStr"/>
      <c r="DJ24" t="inlineStr"/>
      <c r="DK24" t="inlineStr"/>
      <c r="DL24" t="inlineStr"/>
      <c r="DM24" t="inlineStr"/>
      <c r="DN24" t="inlineStr"/>
      <c r="DO24" t="inlineStr"/>
      <c r="DP24" t="inlineStr"/>
      <c r="DQ24" t="inlineStr"/>
      <c r="DR24" t="inlineStr"/>
      <c r="DS24" t="inlineStr"/>
      <c r="DT24" t="inlineStr"/>
      <c r="DU24" t="inlineStr"/>
      <c r="DV24" t="inlineStr"/>
      <c r="DW24" t="inlineStr"/>
      <c r="DX24" t="inlineStr"/>
      <c r="DY24" t="inlineStr"/>
      <c r="DZ24" t="inlineStr"/>
      <c r="EA24" t="inlineStr"/>
      <c r="EB24" t="inlineStr"/>
      <c r="EC24" t="inlineStr"/>
      <c r="ED24" t="inlineStr"/>
      <c r="EE24" t="inlineStr"/>
      <c r="EF24" t="inlineStr"/>
      <c r="EG24" t="inlineStr"/>
      <c r="EH24" t="inlineStr"/>
      <c r="EI24" t="inlineStr"/>
      <c r="EJ24" t="inlineStr"/>
      <c r="EK24" t="inlineStr"/>
      <c r="EL24" t="inlineStr"/>
      <c r="EM24" t="inlineStr"/>
      <c r="EN24" t="inlineStr"/>
      <c r="EO24" t="inlineStr"/>
      <c r="EP24" t="inlineStr"/>
      <c r="EQ24" t="inlineStr"/>
      <c r="ER24" t="inlineStr"/>
      <c r="ES24" t="inlineStr"/>
      <c r="ET24" t="inlineStr"/>
      <c r="EU24" t="inlineStr"/>
      <c r="EV24" t="inlineStr"/>
      <c r="EW24" t="inlineStr"/>
      <c r="EX24" t="inlineStr"/>
      <c r="EY24" t="inlineStr"/>
      <c r="EZ24" t="inlineStr"/>
      <c r="FA24" t="inlineStr"/>
      <c r="FB24" t="inlineStr"/>
      <c r="FC24" t="inlineStr"/>
      <c r="FD24" t="inlineStr"/>
      <c r="FE24" t="inlineStr"/>
      <c r="FF24" t="inlineStr"/>
      <c r="FG24" t="inlineStr"/>
      <c r="FH24" t="inlineStr"/>
      <c r="FI24" t="inlineStr"/>
      <c r="FJ24" t="inlineStr"/>
      <c r="FK24" t="inlineStr"/>
      <c r="FL24" t="inlineStr"/>
      <c r="FM24" t="inlineStr"/>
      <c r="FN24" t="inlineStr"/>
      <c r="FO24" t="inlineStr"/>
      <c r="FP24" t="inlineStr"/>
      <c r="FQ24" t="inlineStr"/>
      <c r="FR24" t="inlineStr"/>
      <c r="FS24" t="inlineStr"/>
      <c r="FT24" t="inlineStr"/>
      <c r="FU24" t="inlineStr"/>
      <c r="FV24" t="inlineStr"/>
      <c r="FW24" t="inlineStr"/>
      <c r="FX24" t="inlineStr"/>
      <c r="FY24" t="inlineStr"/>
      <c r="FZ24" t="inlineStr"/>
      <c r="GA24" t="inlineStr"/>
      <c r="GB24" t="inlineStr"/>
      <c r="GC24" t="inlineStr"/>
      <c r="GD24" t="inlineStr"/>
      <c r="GE24" t="inlineStr"/>
      <c r="GF24" t="inlineStr"/>
      <c r="GG24" t="inlineStr"/>
      <c r="GH24" t="inlineStr"/>
      <c r="GI24" t="inlineStr"/>
      <c r="GJ24" t="inlineStr"/>
      <c r="GK24" t="inlineStr"/>
      <c r="GL24" t="inlineStr"/>
      <c r="GM24" t="inlineStr"/>
      <c r="GN24" t="inlineStr"/>
      <c r="GO24" t="inlineStr"/>
      <c r="GP24" t="inlineStr"/>
      <c r="GQ24" t="inlineStr"/>
      <c r="GR24" t="inlineStr"/>
      <c r="GS24" t="inlineStr"/>
      <c r="GT24" t="inlineStr"/>
      <c r="GU24" t="inlineStr"/>
      <c r="GV24" t="inlineStr"/>
      <c r="GW24" t="inlineStr"/>
      <c r="GX24" t="inlineStr"/>
      <c r="GY24" t="inlineStr"/>
      <c r="GZ24" t="inlineStr"/>
      <c r="HA24" t="inlineStr"/>
      <c r="HB24" t="inlineStr"/>
      <c r="HC24" t="inlineStr"/>
      <c r="HD24" t="inlineStr"/>
      <c r="HE24" t="inlineStr"/>
      <c r="HF24" t="inlineStr"/>
      <c r="HG24" t="inlineStr"/>
      <c r="HH24" t="inlineStr"/>
      <c r="HI24" t="inlineStr"/>
      <c r="HJ24" t="inlineStr"/>
      <c r="HK24" t="inlineStr"/>
      <c r="HL24" t="inlineStr"/>
      <c r="HM24" t="inlineStr"/>
      <c r="HN24" t="inlineStr"/>
      <c r="HO24" t="inlineStr"/>
      <c r="HP24" t="inlineStr"/>
      <c r="HQ24" t="inlineStr"/>
      <c r="HR24" t="inlineStr"/>
      <c r="HS24" t="inlineStr"/>
      <c r="HT24" t="inlineStr"/>
      <c r="HU24" t="inlineStr"/>
      <c r="HV24" t="inlineStr"/>
      <c r="HW24" t="inlineStr"/>
      <c r="HX24" t="inlineStr"/>
      <c r="HY24" t="inlineStr"/>
      <c r="HZ24" t="inlineStr"/>
      <c r="IA24" t="inlineStr"/>
      <c r="IB24" t="inlineStr"/>
      <c r="IC24" t="inlineStr"/>
      <c r="ID24" t="inlineStr"/>
      <c r="IE24" t="inlineStr"/>
      <c r="IF24" t="inlineStr"/>
      <c r="IG24" t="inlineStr"/>
      <c r="IH24" t="inlineStr"/>
      <c r="II24" t="inlineStr"/>
      <c r="IJ24" t="inlineStr"/>
      <c r="IK24" t="inlineStr"/>
      <c r="IL24" t="inlineStr"/>
      <c r="IM24" t="inlineStr"/>
      <c r="IN24" t="inlineStr"/>
      <c r="IO24" t="inlineStr"/>
      <c r="IP24" t="inlineStr"/>
      <c r="IQ24" t="inlineStr"/>
      <c r="IR24" t="inlineStr"/>
      <c r="IS24">
        <f>IF(input_content_type="",FALSE,ISNUMBER(SEARCH(","&amp;LOWER(input_content_type)&amp;",",","&amp;LOWER(F24)&amp;",")))</f>
        <v/>
      </c>
      <c r="IT24">
        <f>AND(IF(M24="",TRUE,IF(input_affiliations="",FALSE,SUMPRODUCT(--ISNUMBER(SEARCH(","&amp;TRIM(TEXTSPLIT(M24,","))&amp;",",","&amp;SUBSTITUTE(input_affiliations," ","")&amp;",")))&gt;0)),IF(O24="",TRUE,IF(input_affiliations="",FALSE,SUMPRODUCT(--ISNUMBER(SEARCH(","&amp;TRIM(TEXTSPLIT(O24,","))&amp;",",","&amp;SUBSTITUTE(input_affiliations," ","")&amp;",")))=COUNTA(TEXTSPLIT(O24,",")))),IF(Q24="",TRUE,IF(input_affiliations="",TRUE,SUMPRODUCT(--ISNUMBER(SEARCH(","&amp;TRIM(TEXTSPLIT(Q24,","))&amp;",",","&amp;SUBSTITUTE(input_affiliations," ","")&amp;",")))=0)),IF(S24="",TRUE,IF(input_affiliations="",FALSE,SUMPRODUCT(--ISNUMBER(SEARCH(","&amp;TRIM(TEXTSPLIT(S24,","))&amp;",",","&amp;SUBSTITUTE(input_affiliations," ","")&amp;",")))&gt;0)),IF(U24="",TRUE,IF(input_affiliations="",FALSE,SUMPRODUCT(--ISNUMBER(SEARCH(","&amp;TRIM(TEXTSPLIT(U24,","))&amp;",",","&amp;SUBSTITUTE(input_affiliations," ","")&amp;",")))=COUNTA(TEXTSPLIT(U24,",")))))</f>
        <v/>
      </c>
      <c r="IU24">
        <f>AND(IF(W24="",TRUE,IF(input_announcement_category="",FALSE,SUMPRODUCT(--ISNUMBER(SEARCH(","&amp;TRIM(TEXTSPLIT(W24,","))&amp;",",","&amp;SUBSTITUTE(input_announcement_category," ","")&amp;",")))&gt;0)),IF(Y24="",TRUE,IF(input_announcement_category="",FALSE,SUMPRODUCT(--ISNUMBER(SEARCH(","&amp;TRIM(TEXTSPLIT(Y24,","))&amp;",",","&amp;SUBSTITUTE(input_announcement_category," ","")&amp;",")))=COUNTA(TEXTSPLIT(Y24,",")))),IF(AA24="",TRUE,IF(input_announcement_category="",TRUE,SUMPRODUCT(--ISNUMBER(SEARCH(","&amp;TRIM(TEXTSPLIT(AA24,","))&amp;",",","&amp;SUBSTITUTE(input_announcement_category," ","")&amp;",")))=0)),IF(AC24="",TRUE,IF(input_announcement_category="",FALSE,SUMPRODUCT(--ISNUMBER(SEARCH(","&amp;TRIM(TEXTSPLIT(AC24,","))&amp;",",","&amp;SUBSTITUTE(input_announcement_category," ","")&amp;",")))&gt;0)),IF(AE24="",TRUE,IF(input_announcement_category="",FALSE,SUMPRODUCT(--ISNUMBER(SEARCH(","&amp;TRIM(TEXTSPLIT(AE24,","))&amp;",",","&amp;SUBSTITUTE(input_announcement_category," ","")&amp;",")))=COUNTA(TEXTSPLIT(AE24,",")))))</f>
        <v/>
      </c>
      <c r="IV24">
        <f>AND(IF(AG24="",TRUE,IF(input_area_of_focus="",FALSE,SUMPRODUCT(--ISNUMBER(SEARCH(","&amp;TRIM(TEXTSPLIT(AG24,","))&amp;",",","&amp;SUBSTITUTE(input_area_of_focus," ","")&amp;",")))&gt;0)),IF(AI24="",TRUE,IF(input_area_of_focus="",FALSE,SUMPRODUCT(--ISNUMBER(SEARCH(","&amp;TRIM(TEXTSPLIT(AI24,","))&amp;",",","&amp;SUBSTITUTE(input_area_of_focus," ","")&amp;",")))=COUNTA(TEXTSPLIT(AI24,",")))),IF(AK24="",TRUE,IF(input_area_of_focus="",TRUE,SUMPRODUCT(--ISNUMBER(SEARCH(","&amp;TRIM(TEXTSPLIT(AK24,","))&amp;",",","&amp;SUBSTITUTE(input_area_of_focus," ","")&amp;",")))=0)),IF(AM24="",TRUE,IF(input_area_of_focus="",FALSE,SUMPRODUCT(--ISNUMBER(SEARCH(","&amp;TRIM(TEXTSPLIT(AM24,","))&amp;",",","&amp;SUBSTITUTE(input_area_of_focus," ","")&amp;",")))&gt;0)),IF(AO24="",TRUE,IF(input_area_of_focus="",FALSE,SUMPRODUCT(--ISNUMBER(SEARCH(","&amp;TRIM(TEXTSPLIT(AO24,","))&amp;",",","&amp;SUBSTITUTE(input_area_of_focus," ","")&amp;",")))=COUNTA(TEXTSPLIT(AO24,",")))))</f>
        <v/>
      </c>
      <c r="IW24">
        <f>AND(IF(AQ24="",TRUE,IF(input_audience="",FALSE,SUMPRODUCT(--ISNUMBER(SEARCH(","&amp;TRIM(TEXTSPLIT(AQ24,","))&amp;",",","&amp;SUBSTITUTE(input_audience," ","")&amp;",")))&gt;0)),IF(AS24="",TRUE,IF(input_audience="",FALSE,SUMPRODUCT(--ISNUMBER(SEARCH(","&amp;TRIM(TEXTSPLIT(AS24,","))&amp;",",","&amp;SUBSTITUTE(input_audience," ","")&amp;",")))=COUNTA(TEXTSPLIT(AS24,",")))),IF(AU24="",TRUE,IF(input_audience="",TRUE,SUMPRODUCT(--ISNUMBER(SEARCH(","&amp;TRIM(TEXTSPLIT(AU24,","))&amp;",",","&amp;SUBSTITUTE(input_audience," ","")&amp;",")))=0)),IF(AW24="",TRUE,IF(input_audience="",FALSE,SUMPRODUCT(--ISNUMBER(SEARCH(","&amp;TRIM(TEXTSPLIT(AW24,","))&amp;",",","&amp;SUBSTITUTE(input_audience," ","")&amp;",")))&gt;0)),IF(AY24="",TRUE,IF(input_audience="",FALSE,SUMPRODUCT(--ISNUMBER(SEARCH(","&amp;TRIM(TEXTSPLIT(AY24,","))&amp;",",","&amp;SUBSTITUTE(input_audience," ","")&amp;",")))=COUNTA(TEXTSPLIT(AY24,",")))))</f>
        <v/>
      </c>
      <c r="IX24">
        <f>AND(IF(BA24="",TRUE,IF(input_challenge_opportunities="",FALSE,SUMPRODUCT(--ISNUMBER(SEARCH(","&amp;TRIM(TEXTSPLIT(BA24,","))&amp;",",","&amp;SUBSTITUTE(input_challenge_opportunities," ","")&amp;",")))&gt;0)),IF(BC24="",TRUE,IF(input_challenge_opportunities="",FALSE,SUMPRODUCT(--ISNUMBER(SEARCH(","&amp;TRIM(TEXTSPLIT(BC24,","))&amp;",",","&amp;SUBSTITUTE(input_challenge_opportunities," ","")&amp;",")))=COUNTA(TEXTSPLIT(BC24,",")))),IF(BE24="",TRUE,IF(input_challenge_opportunities="",TRUE,SUMPRODUCT(--ISNUMBER(SEARCH(","&amp;TRIM(TEXTSPLIT(BE24,","))&amp;",",","&amp;SUBSTITUTE(input_challenge_opportunities," ","")&amp;",")))=0)),IF(BG24="",TRUE,IF(input_challenge_opportunities="",FALSE,SUMPRODUCT(--ISNUMBER(SEARCH(","&amp;TRIM(TEXTSPLIT(BG24,","))&amp;",",","&amp;SUBSTITUTE(input_challenge_opportunities," ","")&amp;",")))&gt;0)),IF(BI24="",TRUE,IF(input_challenge_opportunities="",FALSE,SUMPRODUCT(--ISNUMBER(SEARCH(","&amp;TRIM(TEXTSPLIT(BI24,","))&amp;",",","&amp;SUBSTITUTE(input_challenge_opportunities," ","")&amp;",")))=COUNTA(TEXTSPLIT(BI24,",")))))</f>
        <v/>
      </c>
      <c r="IY24">
        <f>AND(IF(BK24="",TRUE,IF(input_context="",FALSE,SUMPRODUCT(--ISNUMBER(SEARCH(","&amp;TRIM(TEXTSPLIT(BK24,","))&amp;",",","&amp;SUBSTITUTE(input_context," ","")&amp;",")))&gt;0)),IF(BM24="",TRUE,IF(input_context="",FALSE,SUMPRODUCT(--ISNUMBER(SEARCH(","&amp;TRIM(TEXTSPLIT(BM24,","))&amp;",",","&amp;SUBSTITUTE(input_context," ","")&amp;",")))=COUNTA(TEXTSPLIT(BM24,",")))),IF(BO24="",TRUE,IF(input_context="",TRUE,SUMPRODUCT(--ISNUMBER(SEARCH(","&amp;TRIM(TEXTSPLIT(BO24,","))&amp;",",","&amp;SUBSTITUTE(input_context," ","")&amp;",")))=0)),IF(BQ24="",TRUE,IF(input_context="",FALSE,SUMPRODUCT(--ISNUMBER(SEARCH(","&amp;TRIM(TEXTSPLIT(BQ24,","))&amp;",",","&amp;SUBSTITUTE(input_context," ","")&amp;",")))&gt;0)),IF(BS24="",TRUE,IF(input_context="",FALSE,SUMPRODUCT(--ISNUMBER(SEARCH(","&amp;TRIM(TEXTSPLIT(BS24,","))&amp;",",","&amp;SUBSTITUTE(input_context," ","")&amp;",")))=COUNTA(TEXTSPLIT(BS24,",")))))</f>
        <v/>
      </c>
      <c r="IZ24">
        <f>AND(IF(BU24="",TRUE,IF(input_enews_announcement_type="",FALSE,SUMPRODUCT(--ISNUMBER(SEARCH(","&amp;TRIM(TEXTSPLIT(BU24,","))&amp;",",","&amp;SUBSTITUTE(input_enews_announcement_type," ","")&amp;",")))&gt;0)),IF(BW24="",TRUE,IF(input_enews_announcement_type="",FALSE,SUMPRODUCT(--ISNUMBER(SEARCH(","&amp;TRIM(TEXTSPLIT(BW24,","))&amp;",",","&amp;SUBSTITUTE(input_enews_announcement_type," ","")&amp;",")))=COUNTA(TEXTSPLIT(BW24,",")))),IF(BY24="",TRUE,IF(input_enews_announcement_type="",TRUE,SUMPRODUCT(--ISNUMBER(SEARCH(","&amp;TRIM(TEXTSPLIT(BY24,","))&amp;",",","&amp;SUBSTITUTE(input_enews_announcement_type," ","")&amp;",")))=0)),IF(CA24="",TRUE,IF(input_enews_announcement_type="",FALSE,SUMPRODUCT(--ISNUMBER(SEARCH(","&amp;TRIM(TEXTSPLIT(CA24,","))&amp;",",","&amp;SUBSTITUTE(input_enews_announcement_type," ","")&amp;",")))&gt;0)),IF(CC24="",TRUE,IF(input_enews_announcement_type="",FALSE,SUMPRODUCT(--ISNUMBER(SEARCH(","&amp;TRIM(TEXTSPLIT(CC24,","))&amp;",",","&amp;SUBSTITUTE(input_enews_announcement_type," ","")&amp;",")))=COUNTA(TEXTSPLIT(CC24,",")))))</f>
        <v/>
      </c>
      <c r="JA24">
        <f>AND(IF(CE24="",TRUE,IF(input_enews_audience="",FALSE,SUMPRODUCT(--ISNUMBER(SEARCH(","&amp;TRIM(TEXTSPLIT(CE24,","))&amp;",",","&amp;SUBSTITUTE(input_enews_audience," ","")&amp;",")))&gt;0)),IF(CG24="",TRUE,IF(input_enews_audience="",FALSE,SUMPRODUCT(--ISNUMBER(SEARCH(","&amp;TRIM(TEXTSPLIT(CG24,","))&amp;",",","&amp;SUBSTITUTE(input_enews_audience," ","")&amp;",")))=COUNTA(TEXTSPLIT(CG24,",")))),IF(CI24="",TRUE,IF(input_enews_audience="",TRUE,SUMPRODUCT(--ISNUMBER(SEARCH(","&amp;TRIM(TEXTSPLIT(CI24,","))&amp;",",","&amp;SUBSTITUTE(input_enews_audience," ","")&amp;",")))=0)),IF(CK24="",TRUE,IF(input_enews_audience="",FALSE,SUMPRODUCT(--ISNUMBER(SEARCH(","&amp;TRIM(TEXTSPLIT(CK24,","))&amp;",",","&amp;SUBSTITUTE(input_enews_audience," ","")&amp;",")))&gt;0)),IF(CM24="",TRUE,IF(input_enews_audience="",FALSE,SUMPRODUCT(--ISNUMBER(SEARCH(","&amp;TRIM(TEXTSPLIT(CM24,","))&amp;",",","&amp;SUBSTITUTE(input_enews_audience," ","")&amp;",")))=COUNTA(TEXTSPLIT(CM24,",")))))</f>
        <v/>
      </c>
      <c r="JB24">
        <f>AND(IF(CO24="",TRUE,IF(input_event_location="",FALSE,SUMPRODUCT(--ISNUMBER(SEARCH(","&amp;TRIM(TEXTSPLIT(CO24,","))&amp;",",","&amp;SUBSTITUTE(input_event_location," ","")&amp;",")))&gt;0)),IF(CQ24="",TRUE,IF(input_event_location="",FALSE,SUMPRODUCT(--ISNUMBER(SEARCH(","&amp;TRIM(TEXTSPLIT(CQ24,","))&amp;",",","&amp;SUBSTITUTE(input_event_location," ","")&amp;",")))=COUNTA(TEXTSPLIT(CQ24,",")))),IF(CS24="",TRUE,IF(input_event_location="",TRUE,SUMPRODUCT(--ISNUMBER(SEARCH(","&amp;TRIM(TEXTSPLIT(CS24,","))&amp;",",","&amp;SUBSTITUTE(input_event_location," ","")&amp;",")))=0)),IF(CU24="",TRUE,IF(input_event_location="",FALSE,SUMPRODUCT(--ISNUMBER(SEARCH(","&amp;TRIM(TEXTSPLIT(CU24,","))&amp;",",","&amp;SUBSTITUTE(input_event_location," ","")&amp;",")))&gt;0)),IF(CW24="",TRUE,IF(input_event_location="",FALSE,SUMPRODUCT(--ISNUMBER(SEARCH(","&amp;TRIM(TEXTSPLIT(CW24,","))&amp;",",","&amp;SUBSTITUTE(input_event_location," ","")&amp;",")))=COUNTA(TEXTSPLIT(CW24,",")))))</f>
        <v/>
      </c>
      <c r="JC24">
        <f>AND(IF(CY24="",TRUE,IF(input_event_type="",FALSE,SUMPRODUCT(--ISNUMBER(SEARCH(","&amp;TRIM(TEXTSPLIT(CY24,","))&amp;",",","&amp;SUBSTITUTE(input_event_type," ","")&amp;",")))&gt;0)),IF(DA24="",TRUE,IF(input_event_type="",FALSE,SUMPRODUCT(--ISNUMBER(SEARCH(","&amp;TRIM(TEXTSPLIT(DA24,","))&amp;",",","&amp;SUBSTITUTE(input_event_type," ","")&amp;",")))=COUNTA(TEXTSPLIT(DA24,",")))),IF(DC24="",TRUE,IF(input_event_type="",TRUE,SUMPRODUCT(--ISNUMBER(SEARCH(","&amp;TRIM(TEXTSPLIT(DC24,","))&amp;",",","&amp;SUBSTITUTE(input_event_type," ","")&amp;",")))=0)),IF(DE24="",TRUE,IF(input_event_type="",FALSE,SUMPRODUCT(--ISNUMBER(SEARCH(","&amp;TRIM(TEXTSPLIT(DE24,","))&amp;",",","&amp;SUBSTITUTE(input_event_type," ","")&amp;",")))&gt;0)),IF(DG24="",TRUE,IF(input_event_type="",FALSE,SUMPRODUCT(--ISNUMBER(SEARCH(","&amp;TRIM(TEXTSPLIT(DG24,","))&amp;",",","&amp;SUBSTITUTE(input_event_type," ","")&amp;",")))=COUNTA(TEXTSPLIT(DG24,",")))))</f>
        <v/>
      </c>
      <c r="JD24">
        <f>AND(IF(DI24="",TRUE,IF(input_executive_education_focus="",FALSE,SUMPRODUCT(--ISNUMBER(SEARCH(","&amp;TRIM(TEXTSPLIT(DI24,","))&amp;",",","&amp;SUBSTITUTE(input_executive_education_focus," ","")&amp;",")))&gt;0)),IF(DK24="",TRUE,IF(input_executive_education_focus="",FALSE,SUMPRODUCT(--ISNUMBER(SEARCH(","&amp;TRIM(TEXTSPLIT(DK24,","))&amp;",",","&amp;SUBSTITUTE(input_executive_education_focus," ","")&amp;",")))=COUNTA(TEXTSPLIT(DK24,",")))),IF(DM24="",TRUE,IF(input_executive_education_focus="",TRUE,SUMPRODUCT(--ISNUMBER(SEARCH(","&amp;TRIM(TEXTSPLIT(DM24,","))&amp;",",","&amp;SUBSTITUTE(input_executive_education_focus," ","")&amp;",")))=0)),IF(DO24="",TRUE,IF(input_executive_education_focus="",FALSE,SUMPRODUCT(--ISNUMBER(SEARCH(","&amp;TRIM(TEXTSPLIT(DO24,","))&amp;",",","&amp;SUBSTITUTE(input_executive_education_focus," ","")&amp;",")))&gt;0)),IF(DQ24="",TRUE,IF(input_executive_education_focus="",FALSE,SUMPRODUCT(--ISNUMBER(SEARCH(","&amp;TRIM(TEXTSPLIT(DQ24,","))&amp;",",","&amp;SUBSTITUTE(input_executive_education_focus," ","")&amp;",")))=COUNTA(TEXTSPLIT(DQ24,",")))))</f>
        <v/>
      </c>
      <c r="JE24">
        <f>AND(IF(DS24="",TRUE,IF(input_faculty_category="",FALSE,SUMPRODUCT(--ISNUMBER(SEARCH(","&amp;TRIM(TEXTSPLIT(DS24,","))&amp;",",","&amp;SUBSTITUTE(input_faculty_category," ","")&amp;",")))&gt;0)),IF(DU24="",TRUE,IF(input_faculty_category="",FALSE,SUMPRODUCT(--ISNUMBER(SEARCH(","&amp;TRIM(TEXTSPLIT(DU24,","))&amp;",",","&amp;SUBSTITUTE(input_faculty_category," ","")&amp;",")))=COUNTA(TEXTSPLIT(DU24,",")))),IF(DW24="",TRUE,IF(input_faculty_category="",TRUE,SUMPRODUCT(--ISNUMBER(SEARCH(","&amp;TRIM(TEXTSPLIT(DW24,","))&amp;",",","&amp;SUBSTITUTE(input_faculty_category," ","")&amp;",")))=0)),IF(DY24="",TRUE,IF(input_faculty_category="",FALSE,SUMPRODUCT(--ISNUMBER(SEARCH(","&amp;TRIM(TEXTSPLIT(DY24,","))&amp;",",","&amp;SUBSTITUTE(input_faculty_category," ","")&amp;",")))&gt;0)),IF(EA24="",TRUE,IF(input_faculty_category="",FALSE,SUMPRODUCT(--ISNUMBER(SEARCH(","&amp;TRIM(TEXTSPLIT(EA24,","))&amp;",",","&amp;SUBSTITUTE(input_faculty_category," ","")&amp;",")))=COUNTA(TEXTSPLIT(EA24,",")))))</f>
        <v/>
      </c>
      <c r="JF24">
        <f>AND(IF(EC24="",TRUE,IF(input_faculty_discipline="",FALSE,SUMPRODUCT(--ISNUMBER(SEARCH(","&amp;TRIM(TEXTSPLIT(EC24,","))&amp;",",","&amp;SUBSTITUTE(input_faculty_discipline," ","")&amp;",")))&gt;0)),IF(EE24="",TRUE,IF(input_faculty_discipline="",FALSE,SUMPRODUCT(--ISNUMBER(SEARCH(","&amp;TRIM(TEXTSPLIT(EE24,","))&amp;",",","&amp;SUBSTITUTE(input_faculty_discipline," ","")&amp;",")))=COUNTA(TEXTSPLIT(EE24,",")))),IF(EG24="",TRUE,IF(input_faculty_discipline="",TRUE,SUMPRODUCT(--ISNUMBER(SEARCH(","&amp;TRIM(TEXTSPLIT(EG24,","))&amp;",",","&amp;SUBSTITUTE(input_faculty_discipline," ","")&amp;",")))=0)),IF(EI24="",TRUE,IF(input_faculty_discipline="",FALSE,SUMPRODUCT(--ISNUMBER(SEARCH(","&amp;TRIM(TEXTSPLIT(EI24,","))&amp;",",","&amp;SUBSTITUTE(input_faculty_discipline," ","")&amp;",")))&gt;0)),IF(EK24="",TRUE,IF(input_faculty_discipline="",FALSE,SUMPRODUCT(--ISNUMBER(SEARCH(","&amp;TRIM(TEXTSPLIT(EK24,","))&amp;",",","&amp;SUBSTITUTE(input_faculty_discipline," ","")&amp;",")))=COUNTA(TEXTSPLIT(EK24,",")))))</f>
        <v/>
      </c>
      <c r="JG24">
        <f>AND(IF(EM24="",TRUE,IF(input_faculty_expertise="",FALSE,SUMPRODUCT(--ISNUMBER(SEARCH(","&amp;TRIM(TEXTSPLIT(EM24,","))&amp;",",","&amp;SUBSTITUTE(input_faculty_expertise," ","")&amp;",")))&gt;0)),IF(EO24="",TRUE,IF(input_faculty_expertise="",FALSE,SUMPRODUCT(--ISNUMBER(SEARCH(","&amp;TRIM(TEXTSPLIT(EO24,","))&amp;",",","&amp;SUBSTITUTE(input_faculty_expertise," ","")&amp;",")))=COUNTA(TEXTSPLIT(EO24,",")))),IF(EQ24="",TRUE,IF(input_faculty_expertise="",TRUE,SUMPRODUCT(--ISNUMBER(SEARCH(","&amp;TRIM(TEXTSPLIT(EQ24,","))&amp;",",","&amp;SUBSTITUTE(input_faculty_expertise," ","")&amp;",")))=0)),IF(ES24="",TRUE,IF(input_faculty_expertise="",FALSE,SUMPRODUCT(--ISNUMBER(SEARCH(","&amp;TRIM(TEXTSPLIT(ES24,","))&amp;",",","&amp;SUBSTITUTE(input_faculty_expertise," ","")&amp;",")))&gt;0)),IF(EU24="",TRUE,IF(input_faculty_expertise="",FALSE,SUMPRODUCT(--ISNUMBER(SEARCH(","&amp;TRIM(TEXTSPLIT(EU24,","))&amp;",",","&amp;SUBSTITUTE(input_faculty_expertise," ","")&amp;",")))=COUNTA(TEXTSPLIT(EU24,",")))))</f>
        <v/>
      </c>
      <c r="JH24">
        <f>AND(IF(EW24="",TRUE,IF(input_global_network_school="",FALSE,SUMPRODUCT(--ISNUMBER(SEARCH(","&amp;TRIM(TEXTSPLIT(EW24,","))&amp;",",","&amp;SUBSTITUTE(input_global_network_school," ","")&amp;",")))&gt;0)),IF(EY24="",TRUE,IF(input_global_network_school="",FALSE,SUMPRODUCT(--ISNUMBER(SEARCH(","&amp;TRIM(TEXTSPLIT(EY24,","))&amp;",",","&amp;SUBSTITUTE(input_global_network_school," ","")&amp;",")))=COUNTA(TEXTSPLIT(EY24,",")))),IF(FA24="",TRUE,IF(input_global_network_school="",TRUE,SUMPRODUCT(--ISNUMBER(SEARCH(","&amp;TRIM(TEXTSPLIT(FA24,","))&amp;",",","&amp;SUBSTITUTE(input_global_network_school," ","")&amp;",")))=0)),IF(FC24="",TRUE,IF(input_global_network_school="",FALSE,SUMPRODUCT(--ISNUMBER(SEARCH(","&amp;TRIM(TEXTSPLIT(FC24,","))&amp;",",","&amp;SUBSTITUTE(input_global_network_school," ","")&amp;",")))&gt;0)),IF(FE24="",TRUE,IF(input_global_network_school="",FALSE,SUMPRODUCT(--ISNUMBER(SEARCH(","&amp;TRIM(TEXTSPLIT(FE24,","))&amp;",",","&amp;SUBSTITUTE(input_global_network_school," ","")&amp;",")))=COUNTA(TEXTSPLIT(FE24,",")))))</f>
        <v/>
      </c>
      <c r="JI24">
        <f>AND(IF(FG24="",TRUE,IF(input_industry="",FALSE,SUMPRODUCT(--ISNUMBER(SEARCH(","&amp;TRIM(TEXTSPLIT(FG24,","))&amp;",",","&amp;SUBSTITUTE(input_industry," ","")&amp;",")))&gt;0)),IF(FI24="",TRUE,IF(input_industry="",FALSE,SUMPRODUCT(--ISNUMBER(SEARCH(","&amp;TRIM(TEXTSPLIT(FI24,","))&amp;",",","&amp;SUBSTITUTE(input_industry," ","")&amp;",")))=COUNTA(TEXTSPLIT(FI24,",")))),IF(FK24="",TRUE,IF(input_industry="",TRUE,SUMPRODUCT(--ISNUMBER(SEARCH(","&amp;TRIM(TEXTSPLIT(FK24,","))&amp;",",","&amp;SUBSTITUTE(input_industry," ","")&amp;",")))=0)),IF(FM24="",TRUE,IF(input_industry="",FALSE,SUMPRODUCT(--ISNUMBER(SEARCH(","&amp;TRIM(TEXTSPLIT(FM24,","))&amp;",",","&amp;SUBSTITUTE(input_industry," ","")&amp;",")))&gt;0)),IF(FO24="",TRUE,IF(input_industry="",FALSE,SUMPRODUCT(--ISNUMBER(SEARCH(","&amp;TRIM(TEXTSPLIT(FO24,","))&amp;",",","&amp;SUBSTITUTE(input_industry," ","")&amp;",")))=COUNTA(TEXTSPLIT(FO24,",")))))</f>
        <v/>
      </c>
      <c r="JJ24">
        <f>AND(IF(FQ24="",TRUE,IF(input_location="",FALSE,SUMPRODUCT(--ISNUMBER(SEARCH(","&amp;TRIM(TEXTSPLIT(FQ24,","))&amp;",",","&amp;SUBSTITUTE(input_location," ","")&amp;",")))&gt;0)),IF(FS24="",TRUE,IF(input_location="",FALSE,SUMPRODUCT(--ISNUMBER(SEARCH(","&amp;TRIM(TEXTSPLIT(FS24,","))&amp;",",","&amp;SUBSTITUTE(input_location," ","")&amp;",")))=COUNTA(TEXTSPLIT(FS24,",")))),IF(FU24="",TRUE,IF(input_location="",TRUE,SUMPRODUCT(--ISNUMBER(SEARCH(","&amp;TRIM(TEXTSPLIT(FU24,","))&amp;",",","&amp;SUBSTITUTE(input_location," ","")&amp;",")))=0)),IF(FW24="",TRUE,IF(input_location="",FALSE,SUMPRODUCT(--ISNUMBER(SEARCH(","&amp;TRIM(TEXTSPLIT(FW24,","))&amp;",",","&amp;SUBSTITUTE(input_location," ","")&amp;",")))&gt;0)),IF(FY24="",TRUE,IF(input_location="",FALSE,SUMPRODUCT(--ISNUMBER(SEARCH(","&amp;TRIM(TEXTSPLIT(FY24,","))&amp;",",","&amp;SUBSTITUTE(input_location," ","")&amp;",")))=COUNTA(TEXTSPLIT(FY24,",")))))</f>
        <v/>
      </c>
      <c r="JK24">
        <f>AND(IF(GA24="",TRUE,IF(input_modality="",FALSE,SUMPRODUCT(--ISNUMBER(SEARCH(","&amp;TRIM(TEXTSPLIT(GA24,","))&amp;",",","&amp;SUBSTITUTE(input_modality," ","")&amp;",")))&gt;0)),IF(GC24="",TRUE,IF(input_modality="",FALSE,SUMPRODUCT(--ISNUMBER(SEARCH(","&amp;TRIM(TEXTSPLIT(GC24,","))&amp;",",","&amp;SUBSTITUTE(input_modality," ","")&amp;",")))=COUNTA(TEXTSPLIT(GC24,",")))),IF(GE24="",TRUE,IF(input_modality="",TRUE,SUMPRODUCT(--ISNUMBER(SEARCH(","&amp;TRIM(TEXTSPLIT(GE24,","))&amp;",",","&amp;SUBSTITUTE(input_modality," ","")&amp;",")))=0)),IF(GG24="",TRUE,IF(input_modality="",FALSE,SUMPRODUCT(--ISNUMBER(SEARCH(","&amp;TRIM(TEXTSPLIT(GG24,","))&amp;",",","&amp;SUBSTITUTE(input_modality," ","")&amp;",")))&gt;0)),IF(GI24="",TRUE,IF(input_modality="",FALSE,SUMPRODUCT(--ISNUMBER(SEARCH(","&amp;TRIM(TEXTSPLIT(GI24,","))&amp;",",","&amp;SUBSTITUTE(input_modality," ","")&amp;",")))=COUNTA(TEXTSPLIT(GI24,",")))))</f>
        <v/>
      </c>
      <c r="JL24">
        <f>AND(IF(GK24="",TRUE,IF(input_organizer="",FALSE,SUMPRODUCT(--ISNUMBER(SEARCH(","&amp;TRIM(TEXTSPLIT(GK24,","))&amp;",",","&amp;SUBSTITUTE(input_organizer," ","")&amp;",")))&gt;0)),IF(GM24="",TRUE,IF(input_organizer="",FALSE,SUMPRODUCT(--ISNUMBER(SEARCH(","&amp;TRIM(TEXTSPLIT(GM24,","))&amp;",",","&amp;SUBSTITUTE(input_organizer," ","")&amp;",")))=COUNTA(TEXTSPLIT(GM24,",")))),IF(GO24="",TRUE,IF(input_organizer="",TRUE,SUMPRODUCT(--ISNUMBER(SEARCH(","&amp;TRIM(TEXTSPLIT(GO24,","))&amp;",",","&amp;SUBSTITUTE(input_organizer," ","")&amp;",")))=0)),IF(GQ24="",TRUE,IF(input_organizer="",FALSE,SUMPRODUCT(--ISNUMBER(SEARCH(","&amp;TRIM(TEXTSPLIT(GQ24,","))&amp;",",","&amp;SUBSTITUTE(input_organizer," ","")&amp;",")))&gt;0)),IF(GS24="",TRUE,IF(input_organizer="",FALSE,SUMPRODUCT(--ISNUMBER(SEARCH(","&amp;TRIM(TEXTSPLIT(GS24,","))&amp;",",","&amp;SUBSTITUTE(input_organizer," ","")&amp;",")))=COUNTA(TEXTSPLIT(GS24,",")))))</f>
        <v/>
      </c>
      <c r="JM24">
        <f>AND(IF(GU24="",TRUE,IF(input_profile_type="",FALSE,SUMPRODUCT(--ISNUMBER(SEARCH(","&amp;TRIM(TEXTSPLIT(GU24,","))&amp;",",","&amp;SUBSTITUTE(input_profile_type," ","")&amp;",")))&gt;0)),IF(GW24="",TRUE,IF(input_profile_type="",FALSE,SUMPRODUCT(--ISNUMBER(SEARCH(","&amp;TRIM(TEXTSPLIT(GW24,","))&amp;",",","&amp;SUBSTITUTE(input_profile_type," ","")&amp;",")))=COUNTA(TEXTSPLIT(GW24,",")))),IF(GY24="",TRUE,IF(input_profile_type="",TRUE,SUMPRODUCT(--ISNUMBER(SEARCH(","&amp;TRIM(TEXTSPLIT(GY24,","))&amp;",",","&amp;SUBSTITUTE(input_profile_type," ","")&amp;",")))=0)),IF(HA24="",TRUE,IF(input_profile_type="",FALSE,SUMPRODUCT(--ISNUMBER(SEARCH(","&amp;TRIM(TEXTSPLIT(HA24,","))&amp;",",","&amp;SUBSTITUTE(input_profile_type," ","")&amp;",")))&gt;0)),IF(HC24="",TRUE,IF(input_profile_type="",FALSE,SUMPRODUCT(--ISNUMBER(SEARCH(","&amp;TRIM(TEXTSPLIT(HC24,","))&amp;",",","&amp;SUBSTITUTE(input_profile_type," ","")&amp;",")))=COUNTA(TEXTSPLIT(HC24,",")))))</f>
        <v/>
      </c>
      <c r="JN24">
        <f>AND(IF(HE24="",TRUE,IF(input_program="",FALSE,SUMPRODUCT(--ISNUMBER(SEARCH(","&amp;TRIM(TEXTSPLIT(HE24,","))&amp;",",","&amp;SUBSTITUTE(input_program," ","")&amp;",")))&gt;0)),IF(HG24="",TRUE,IF(input_program="",FALSE,SUMPRODUCT(--ISNUMBER(SEARCH(","&amp;TRIM(TEXTSPLIT(HG24,","))&amp;",",","&amp;SUBSTITUTE(input_program," ","")&amp;",")))=COUNTA(TEXTSPLIT(HG24,",")))),IF(HI24="",TRUE,IF(input_program="",TRUE,SUMPRODUCT(--ISNUMBER(SEARCH(","&amp;TRIM(TEXTSPLIT(HI24,","))&amp;",",","&amp;SUBSTITUTE(input_program," ","")&amp;",")))=0)),IF(HK24="",TRUE,IF(input_program="",FALSE,SUMPRODUCT(--ISNUMBER(SEARCH(","&amp;TRIM(TEXTSPLIT(HK24,","))&amp;",",","&amp;SUBSTITUTE(input_program," ","")&amp;",")))&gt;0)),IF(HM24="",TRUE,IF(input_program="",FALSE,SUMPRODUCT(--ISNUMBER(SEARCH(","&amp;TRIM(TEXTSPLIT(HM24,","))&amp;",",","&amp;SUBSTITUTE(input_program," ","")&amp;",")))=COUNTA(TEXTSPLIT(HM24,",")))))</f>
        <v/>
      </c>
      <c r="JO24">
        <f>AND(IF(HO24="",TRUE,IF(input_story_categories="",FALSE,SUMPRODUCT(--ISNUMBER(SEARCH(","&amp;TRIM(TEXTSPLIT(HO24,","))&amp;",",","&amp;SUBSTITUTE(input_story_categories," ","")&amp;",")))&gt;0)),IF(HQ24="",TRUE,IF(input_story_categories="",FALSE,SUMPRODUCT(--ISNUMBER(SEARCH(","&amp;TRIM(TEXTSPLIT(HQ24,","))&amp;",",","&amp;SUBSTITUTE(input_story_categories," ","")&amp;",")))=COUNTA(TEXTSPLIT(HQ24,",")))),IF(HS24="",TRUE,IF(input_story_categories="",TRUE,SUMPRODUCT(--ISNUMBER(SEARCH(","&amp;TRIM(TEXTSPLIT(HS24,","))&amp;",",","&amp;SUBSTITUTE(input_story_categories," ","")&amp;",")))=0)),IF(HU24="",TRUE,IF(input_story_categories="",FALSE,SUMPRODUCT(--ISNUMBER(SEARCH(","&amp;TRIM(TEXTSPLIT(HU24,","))&amp;",",","&amp;SUBSTITUTE(input_story_categories," ","")&amp;",")))&gt;0)),IF(HW24="",TRUE,IF(input_story_categories="",FALSE,SUMPRODUCT(--ISNUMBER(SEARCH(","&amp;TRIM(TEXTSPLIT(HW24,","))&amp;",",","&amp;SUBSTITUTE(input_story_categories," ","")&amp;",")))=COUNTA(TEXTSPLIT(HW24,",")))))</f>
        <v/>
      </c>
      <c r="JP24">
        <f>AND(IF(HY24="",TRUE,IF(input_story_type="",FALSE,SUMPRODUCT(--ISNUMBER(SEARCH(","&amp;TRIM(TEXTSPLIT(HY24,","))&amp;",",","&amp;SUBSTITUTE(input_story_type," ","")&amp;",")))&gt;0)),IF(IA24="",TRUE,IF(input_story_type="",FALSE,SUMPRODUCT(--ISNUMBER(SEARCH(","&amp;TRIM(TEXTSPLIT(IA24,","))&amp;",",","&amp;SUBSTITUTE(input_story_type," ","")&amp;",")))=COUNTA(TEXTSPLIT(IA24,",")))),IF(IC24="",TRUE,IF(input_story_type="",TRUE,SUMPRODUCT(--ISNUMBER(SEARCH(","&amp;TRIM(TEXTSPLIT(IC24,","))&amp;",",","&amp;SUBSTITUTE(input_story_type," ","")&amp;",")))=0)),IF(IE24="",TRUE,IF(input_story_type="",FALSE,SUMPRODUCT(--ISNUMBER(SEARCH(","&amp;TRIM(TEXTSPLIT(IE24,","))&amp;",",","&amp;SUBSTITUTE(input_story_type," ","")&amp;",")))&gt;0)),IF(IG24="",TRUE,IF(input_story_type="",FALSE,SUMPRODUCT(--ISNUMBER(SEARCH(","&amp;TRIM(TEXTSPLIT(IG24,","))&amp;",",","&amp;SUBSTITUTE(input_story_type," ","")&amp;",")))=COUNTA(TEXTSPLIT(IG24,",")))))</f>
        <v/>
      </c>
      <c r="JQ24">
        <f>AND(IF(II24="",TRUE,IF(input_topics="",FALSE,SUMPRODUCT(--ISNUMBER(SEARCH(","&amp;TRIM(TEXTSPLIT(II24,","))&amp;",",","&amp;SUBSTITUTE(input_topics," ","")&amp;",")))&gt;0)),IF(IK24="",TRUE,IF(input_topics="",FALSE,SUMPRODUCT(--ISNUMBER(SEARCH(","&amp;TRIM(TEXTSPLIT(IK24,","))&amp;",",","&amp;SUBSTITUTE(input_topics," ","")&amp;",")))=COUNTA(TEXTSPLIT(IK24,",")))),IF(IM24="",TRUE,IF(input_topics="",TRUE,SUMPRODUCT(--ISNUMBER(SEARCH(","&amp;TRIM(TEXTSPLIT(IM24,","))&amp;",",","&amp;SUBSTITUTE(input_topics," ","")&amp;",")))=0)),IF(IO24="",TRUE,IF(input_topics="",FALSE,SUMPRODUCT(--ISNUMBER(SEARCH(","&amp;TRIM(TEXTSPLIT(IO24,","))&amp;",",","&amp;SUBSTITUTE(input_topics," ","")&amp;",")))&gt;0)),IF(IQ24="",TRUE,IF(input_topics="",FALSE,SUMPRODUCT(--ISNUMBER(SEARCH(","&amp;TRIM(TEXTSPLIT(IQ24,","))&amp;",",","&amp;SUBSTITUTE(input_topics," ","")&amp;",")))=COUNTA(TEXTSPLIT(IQ24,",")))))</f>
        <v/>
      </c>
    </row>
    <row r="25">
      <c r="A25" s="4">
        <f>IF(NOT(IS25),"Excluded",IF(AND(IT25,IU25,IV25,IW25,IX25,IY25,IZ25,JA25,JB25,JC25,JD25,JE25,JF25,JG25,JH25,JI25,JJ25,JK25,JL25,JM25,JN25,JO25,JP25,JQ25),IF(I25&gt;0,"Eligible but limited","Will appear"),"Excluded"))</f>
        <v/>
      </c>
      <c r="B25" s="4" t="inlineStr">
        <is>
          <t>All Publications by Author</t>
        </is>
      </c>
      <c r="C25" s="4" t="inlineStr">
        <is>
          <t>/faculty-research/faculty-directory/edward-h-kaplan</t>
        </is>
      </c>
      <c r="D25" s="4" t="inlineStr">
        <is>
          <t>/faculty-research/faculty-directory/edward-h-kaplan</t>
        </is>
      </c>
      <c r="E25" s="4" t="n">
        <v>1</v>
      </c>
      <c r="F25" s="4" t="inlineStr">
        <is>
          <t>publications</t>
        </is>
      </c>
      <c r="G25" s="4" t="inlineStr">
        <is>
          <t>publication_teaser_list</t>
        </is>
      </c>
      <c r="H25" s="4" t="inlineStr">
        <is>
          <t>publication_teaser_list_all_by_author</t>
        </is>
      </c>
      <c r="I25" s="4" t="inlineStr"/>
      <c r="J25" s="4" t="inlineStr">
        <is>
          <t>View/config rules</t>
        </is>
      </c>
      <c r="K25" s="4" t="inlineStr">
        <is>
          <t>Page placement</t>
        </is>
      </c>
      <c r="L25" s="4" t="inlineStr">
        <is>
          <t>Content type: publications; Source: View/config rules</t>
        </is>
      </c>
      <c r="M25" t="inlineStr"/>
      <c r="N25" t="inlineStr"/>
      <c r="O25" t="inlineStr"/>
      <c r="P25" t="inlineStr"/>
      <c r="Q25" t="inlineStr"/>
      <c r="R25" t="inlineStr"/>
      <c r="S25" t="inlineStr"/>
      <c r="T25" t="inlineStr"/>
      <c r="U25" t="inlineStr"/>
      <c r="V25" t="inlineStr"/>
      <c r="W25" t="inlineStr"/>
      <c r="X25" t="inlineStr"/>
      <c r="Y25" t="inlineStr"/>
      <c r="Z25" t="inlineStr"/>
      <c r="AA25" t="inlineStr"/>
      <c r="AB25" t="inlineStr"/>
      <c r="AC25" t="inlineStr"/>
      <c r="AD25" t="inlineStr"/>
      <c r="AE25" t="inlineStr"/>
      <c r="AF25" t="inlineStr"/>
      <c r="AG25" t="inlineStr"/>
      <c r="AH25" t="inlineStr"/>
      <c r="AI25" t="inlineStr"/>
      <c r="AJ25" t="inlineStr"/>
      <c r="AK25" t="inlineStr"/>
      <c r="AL25" t="inlineStr"/>
      <c r="AM25" t="inlineStr"/>
      <c r="AN25" t="inlineStr"/>
      <c r="AO25" t="inlineStr"/>
      <c r="AP25" t="inlineStr"/>
      <c r="AQ25" t="inlineStr"/>
      <c r="AR25" t="inlineStr"/>
      <c r="AS25" t="inlineStr"/>
      <c r="AT25" t="inlineStr"/>
      <c r="AU25" t="inlineStr"/>
      <c r="AV25" t="inlineStr"/>
      <c r="AW25" t="inlineStr"/>
      <c r="AX25" t="inlineStr"/>
      <c r="AY25" t="inlineStr"/>
      <c r="AZ25" t="inlineStr"/>
      <c r="BA25" t="inlineStr"/>
      <c r="BB25" t="inlineStr"/>
      <c r="BC25" t="inlineStr"/>
      <c r="BD25" t="inlineStr"/>
      <c r="BE25" t="inlineStr"/>
      <c r="BF25" t="inlineStr"/>
      <c r="BG25" t="inlineStr"/>
      <c r="BH25" t="inlineStr"/>
      <c r="BI25" t="inlineStr"/>
      <c r="BJ25" t="inlineStr"/>
      <c r="BK25" t="inlineStr"/>
      <c r="BL25" t="inlineStr"/>
      <c r="BM25" t="inlineStr"/>
      <c r="BN25" t="inlineStr"/>
      <c r="BO25" t="inlineStr"/>
      <c r="BP25" t="inlineStr"/>
      <c r="BQ25" t="inlineStr"/>
      <c r="BR25" t="inlineStr"/>
      <c r="BS25" t="inlineStr"/>
      <c r="BT25" t="inlineStr"/>
      <c r="BU25" t="inlineStr"/>
      <c r="BV25" t="inlineStr"/>
      <c r="BW25" t="inlineStr"/>
      <c r="BX25" t="inlineStr"/>
      <c r="BY25" t="inlineStr"/>
      <c r="BZ25" t="inlineStr"/>
      <c r="CA25" t="inlineStr"/>
      <c r="CB25" t="inlineStr"/>
      <c r="CC25" t="inlineStr"/>
      <c r="CD25" t="inlineStr"/>
      <c r="CE25" t="inlineStr"/>
      <c r="CF25" t="inlineStr"/>
      <c r="CG25" t="inlineStr"/>
      <c r="CH25" t="inlineStr"/>
      <c r="CI25" t="inlineStr"/>
      <c r="CJ25" t="inlineStr"/>
      <c r="CK25" t="inlineStr"/>
      <c r="CL25" t="inlineStr"/>
      <c r="CM25" t="inlineStr"/>
      <c r="CN25" t="inlineStr"/>
      <c r="CO25" t="inlineStr"/>
      <c r="CP25" t="inlineStr"/>
      <c r="CQ25" t="inlineStr"/>
      <c r="CR25" t="inlineStr"/>
      <c r="CS25" t="inlineStr"/>
      <c r="CT25" t="inlineStr"/>
      <c r="CU25" t="inlineStr"/>
      <c r="CV25" t="inlineStr"/>
      <c r="CW25" t="inlineStr"/>
      <c r="CX25" t="inlineStr"/>
      <c r="CY25" t="inlineStr"/>
      <c r="CZ25" t="inlineStr"/>
      <c r="DA25" t="inlineStr"/>
      <c r="DB25" t="inlineStr"/>
      <c r="DC25" t="inlineStr"/>
      <c r="DD25" t="inlineStr"/>
      <c r="DE25" t="inlineStr"/>
      <c r="DF25" t="inlineStr"/>
      <c r="DG25" t="inlineStr"/>
      <c r="DH25" t="inlineStr"/>
      <c r="DI25" t="inlineStr"/>
      <c r="DJ25" t="inlineStr"/>
      <c r="DK25" t="inlineStr"/>
      <c r="DL25" t="inlineStr"/>
      <c r="DM25" t="inlineStr"/>
      <c r="DN25" t="inlineStr"/>
      <c r="DO25" t="inlineStr"/>
      <c r="DP25" t="inlineStr"/>
      <c r="DQ25" t="inlineStr"/>
      <c r="DR25" t="inlineStr"/>
      <c r="DS25" t="inlineStr"/>
      <c r="DT25" t="inlineStr"/>
      <c r="DU25" t="inlineStr"/>
      <c r="DV25" t="inlineStr"/>
      <c r="DW25" t="inlineStr"/>
      <c r="DX25" t="inlineStr"/>
      <c r="DY25" t="inlineStr"/>
      <c r="DZ25" t="inlineStr"/>
      <c r="EA25" t="inlineStr"/>
      <c r="EB25" t="inlineStr"/>
      <c r="EC25" t="inlineStr"/>
      <c r="ED25" t="inlineStr"/>
      <c r="EE25" t="inlineStr"/>
      <c r="EF25" t="inlineStr"/>
      <c r="EG25" t="inlineStr"/>
      <c r="EH25" t="inlineStr"/>
      <c r="EI25" t="inlineStr"/>
      <c r="EJ25" t="inlineStr"/>
      <c r="EK25" t="inlineStr"/>
      <c r="EL25" t="inlineStr"/>
      <c r="EM25" t="inlineStr"/>
      <c r="EN25" t="inlineStr"/>
      <c r="EO25" t="inlineStr"/>
      <c r="EP25" t="inlineStr"/>
      <c r="EQ25" t="inlineStr"/>
      <c r="ER25" t="inlineStr"/>
      <c r="ES25" t="inlineStr"/>
      <c r="ET25" t="inlineStr"/>
      <c r="EU25" t="inlineStr"/>
      <c r="EV25" t="inlineStr"/>
      <c r="EW25" t="inlineStr"/>
      <c r="EX25" t="inlineStr"/>
      <c r="EY25" t="inlineStr"/>
      <c r="EZ25" t="inlineStr"/>
      <c r="FA25" t="inlineStr"/>
      <c r="FB25" t="inlineStr"/>
      <c r="FC25" t="inlineStr"/>
      <c r="FD25" t="inlineStr"/>
      <c r="FE25" t="inlineStr"/>
      <c r="FF25" t="inlineStr"/>
      <c r="FG25" t="inlineStr"/>
      <c r="FH25" t="inlineStr"/>
      <c r="FI25" t="inlineStr"/>
      <c r="FJ25" t="inlineStr"/>
      <c r="FK25" t="inlineStr"/>
      <c r="FL25" t="inlineStr"/>
      <c r="FM25" t="inlineStr"/>
      <c r="FN25" t="inlineStr"/>
      <c r="FO25" t="inlineStr"/>
      <c r="FP25" t="inlineStr"/>
      <c r="FQ25" t="inlineStr"/>
      <c r="FR25" t="inlineStr"/>
      <c r="FS25" t="inlineStr"/>
      <c r="FT25" t="inlineStr"/>
      <c r="FU25" t="inlineStr"/>
      <c r="FV25" t="inlineStr"/>
      <c r="FW25" t="inlineStr"/>
      <c r="FX25" t="inlineStr"/>
      <c r="FY25" t="inlineStr"/>
      <c r="FZ25" t="inlineStr"/>
      <c r="GA25" t="inlineStr"/>
      <c r="GB25" t="inlineStr"/>
      <c r="GC25" t="inlineStr"/>
      <c r="GD25" t="inlineStr"/>
      <c r="GE25" t="inlineStr"/>
      <c r="GF25" t="inlineStr"/>
      <c r="GG25" t="inlineStr"/>
      <c r="GH25" t="inlineStr"/>
      <c r="GI25" t="inlineStr"/>
      <c r="GJ25" t="inlineStr"/>
      <c r="GK25" t="inlineStr"/>
      <c r="GL25" t="inlineStr"/>
      <c r="GM25" t="inlineStr"/>
      <c r="GN25" t="inlineStr"/>
      <c r="GO25" t="inlineStr"/>
      <c r="GP25" t="inlineStr"/>
      <c r="GQ25" t="inlineStr"/>
      <c r="GR25" t="inlineStr"/>
      <c r="GS25" t="inlineStr"/>
      <c r="GT25" t="inlineStr"/>
      <c r="GU25" t="inlineStr"/>
      <c r="GV25" t="inlineStr"/>
      <c r="GW25" t="inlineStr"/>
      <c r="GX25" t="inlineStr"/>
      <c r="GY25" t="inlineStr"/>
      <c r="GZ25" t="inlineStr"/>
      <c r="HA25" t="inlineStr"/>
      <c r="HB25" t="inlineStr"/>
      <c r="HC25" t="inlineStr"/>
      <c r="HD25" t="inlineStr"/>
      <c r="HE25" t="inlineStr"/>
      <c r="HF25" t="inlineStr"/>
      <c r="HG25" t="inlineStr"/>
      <c r="HH25" t="inlineStr"/>
      <c r="HI25" t="inlineStr"/>
      <c r="HJ25" t="inlineStr"/>
      <c r="HK25" t="inlineStr"/>
      <c r="HL25" t="inlineStr"/>
      <c r="HM25" t="inlineStr"/>
      <c r="HN25" t="inlineStr"/>
      <c r="HO25" t="inlineStr"/>
      <c r="HP25" t="inlineStr"/>
      <c r="HQ25" t="inlineStr"/>
      <c r="HR25" t="inlineStr"/>
      <c r="HS25" t="inlineStr"/>
      <c r="HT25" t="inlineStr"/>
      <c r="HU25" t="inlineStr"/>
      <c r="HV25" t="inlineStr"/>
      <c r="HW25" t="inlineStr"/>
      <c r="HX25" t="inlineStr"/>
      <c r="HY25" t="inlineStr"/>
      <c r="HZ25" t="inlineStr"/>
      <c r="IA25" t="inlineStr"/>
      <c r="IB25" t="inlineStr"/>
      <c r="IC25" t="inlineStr"/>
      <c r="ID25" t="inlineStr"/>
      <c r="IE25" t="inlineStr"/>
      <c r="IF25" t="inlineStr"/>
      <c r="IG25" t="inlineStr"/>
      <c r="IH25" t="inlineStr"/>
      <c r="II25" t="inlineStr"/>
      <c r="IJ25" t="inlineStr"/>
      <c r="IK25" t="inlineStr"/>
      <c r="IL25" t="inlineStr"/>
      <c r="IM25" t="inlineStr"/>
      <c r="IN25" t="inlineStr"/>
      <c r="IO25" t="inlineStr"/>
      <c r="IP25" t="inlineStr"/>
      <c r="IQ25" t="inlineStr"/>
      <c r="IR25" t="inlineStr"/>
      <c r="IS25">
        <f>IF(input_content_type="",FALSE,ISNUMBER(SEARCH(","&amp;LOWER(input_content_type)&amp;",",","&amp;LOWER(F25)&amp;",")))</f>
        <v/>
      </c>
      <c r="IT25">
        <f>AND(IF(M25="",TRUE,IF(input_affiliations="",FALSE,SUMPRODUCT(--ISNUMBER(SEARCH(","&amp;TRIM(TEXTSPLIT(M25,","))&amp;",",","&amp;SUBSTITUTE(input_affiliations," ","")&amp;",")))&gt;0)),IF(O25="",TRUE,IF(input_affiliations="",FALSE,SUMPRODUCT(--ISNUMBER(SEARCH(","&amp;TRIM(TEXTSPLIT(O25,","))&amp;",",","&amp;SUBSTITUTE(input_affiliations," ","")&amp;",")))=COUNTA(TEXTSPLIT(O25,",")))),IF(Q25="",TRUE,IF(input_affiliations="",TRUE,SUMPRODUCT(--ISNUMBER(SEARCH(","&amp;TRIM(TEXTSPLIT(Q25,","))&amp;",",","&amp;SUBSTITUTE(input_affiliations," ","")&amp;",")))=0)),IF(S25="",TRUE,IF(input_affiliations="",FALSE,SUMPRODUCT(--ISNUMBER(SEARCH(","&amp;TRIM(TEXTSPLIT(S25,","))&amp;",",","&amp;SUBSTITUTE(input_affiliations," ","")&amp;",")))&gt;0)),IF(U25="",TRUE,IF(input_affiliations="",FALSE,SUMPRODUCT(--ISNUMBER(SEARCH(","&amp;TRIM(TEXTSPLIT(U25,","))&amp;",",","&amp;SUBSTITUTE(input_affiliations," ","")&amp;",")))=COUNTA(TEXTSPLIT(U25,",")))))</f>
        <v/>
      </c>
      <c r="IU25">
        <f>AND(IF(W25="",TRUE,IF(input_announcement_category="",FALSE,SUMPRODUCT(--ISNUMBER(SEARCH(","&amp;TRIM(TEXTSPLIT(W25,","))&amp;",",","&amp;SUBSTITUTE(input_announcement_category," ","")&amp;",")))&gt;0)),IF(Y25="",TRUE,IF(input_announcement_category="",FALSE,SUMPRODUCT(--ISNUMBER(SEARCH(","&amp;TRIM(TEXTSPLIT(Y25,","))&amp;",",","&amp;SUBSTITUTE(input_announcement_category," ","")&amp;",")))=COUNTA(TEXTSPLIT(Y25,",")))),IF(AA25="",TRUE,IF(input_announcement_category="",TRUE,SUMPRODUCT(--ISNUMBER(SEARCH(","&amp;TRIM(TEXTSPLIT(AA25,","))&amp;",",","&amp;SUBSTITUTE(input_announcement_category," ","")&amp;",")))=0)),IF(AC25="",TRUE,IF(input_announcement_category="",FALSE,SUMPRODUCT(--ISNUMBER(SEARCH(","&amp;TRIM(TEXTSPLIT(AC25,","))&amp;",",","&amp;SUBSTITUTE(input_announcement_category," ","")&amp;",")))&gt;0)),IF(AE25="",TRUE,IF(input_announcement_category="",FALSE,SUMPRODUCT(--ISNUMBER(SEARCH(","&amp;TRIM(TEXTSPLIT(AE25,","))&amp;",",","&amp;SUBSTITUTE(input_announcement_category," ","")&amp;",")))=COUNTA(TEXTSPLIT(AE25,",")))))</f>
        <v/>
      </c>
      <c r="IV25">
        <f>AND(IF(AG25="",TRUE,IF(input_area_of_focus="",FALSE,SUMPRODUCT(--ISNUMBER(SEARCH(","&amp;TRIM(TEXTSPLIT(AG25,","))&amp;",",","&amp;SUBSTITUTE(input_area_of_focus," ","")&amp;",")))&gt;0)),IF(AI25="",TRUE,IF(input_area_of_focus="",FALSE,SUMPRODUCT(--ISNUMBER(SEARCH(","&amp;TRIM(TEXTSPLIT(AI25,","))&amp;",",","&amp;SUBSTITUTE(input_area_of_focus," ","")&amp;",")))=COUNTA(TEXTSPLIT(AI25,",")))),IF(AK25="",TRUE,IF(input_area_of_focus="",TRUE,SUMPRODUCT(--ISNUMBER(SEARCH(","&amp;TRIM(TEXTSPLIT(AK25,","))&amp;",",","&amp;SUBSTITUTE(input_area_of_focus," ","")&amp;",")))=0)),IF(AM25="",TRUE,IF(input_area_of_focus="",FALSE,SUMPRODUCT(--ISNUMBER(SEARCH(","&amp;TRIM(TEXTSPLIT(AM25,","))&amp;",",","&amp;SUBSTITUTE(input_area_of_focus," ","")&amp;",")))&gt;0)),IF(AO25="",TRUE,IF(input_area_of_focus="",FALSE,SUMPRODUCT(--ISNUMBER(SEARCH(","&amp;TRIM(TEXTSPLIT(AO25,","))&amp;",",","&amp;SUBSTITUTE(input_area_of_focus," ","")&amp;",")))=COUNTA(TEXTSPLIT(AO25,",")))))</f>
        <v/>
      </c>
      <c r="IW25">
        <f>AND(IF(AQ25="",TRUE,IF(input_audience="",FALSE,SUMPRODUCT(--ISNUMBER(SEARCH(","&amp;TRIM(TEXTSPLIT(AQ25,","))&amp;",",","&amp;SUBSTITUTE(input_audience," ","")&amp;",")))&gt;0)),IF(AS25="",TRUE,IF(input_audience="",FALSE,SUMPRODUCT(--ISNUMBER(SEARCH(","&amp;TRIM(TEXTSPLIT(AS25,","))&amp;",",","&amp;SUBSTITUTE(input_audience," ","")&amp;",")))=COUNTA(TEXTSPLIT(AS25,",")))),IF(AU25="",TRUE,IF(input_audience="",TRUE,SUMPRODUCT(--ISNUMBER(SEARCH(","&amp;TRIM(TEXTSPLIT(AU25,","))&amp;",",","&amp;SUBSTITUTE(input_audience," ","")&amp;",")))=0)),IF(AW25="",TRUE,IF(input_audience="",FALSE,SUMPRODUCT(--ISNUMBER(SEARCH(","&amp;TRIM(TEXTSPLIT(AW25,","))&amp;",",","&amp;SUBSTITUTE(input_audience," ","")&amp;",")))&gt;0)),IF(AY25="",TRUE,IF(input_audience="",FALSE,SUMPRODUCT(--ISNUMBER(SEARCH(","&amp;TRIM(TEXTSPLIT(AY25,","))&amp;",",","&amp;SUBSTITUTE(input_audience," ","")&amp;",")))=COUNTA(TEXTSPLIT(AY25,",")))))</f>
        <v/>
      </c>
      <c r="IX25">
        <f>AND(IF(BA25="",TRUE,IF(input_challenge_opportunities="",FALSE,SUMPRODUCT(--ISNUMBER(SEARCH(","&amp;TRIM(TEXTSPLIT(BA25,","))&amp;",",","&amp;SUBSTITUTE(input_challenge_opportunities," ","")&amp;",")))&gt;0)),IF(BC25="",TRUE,IF(input_challenge_opportunities="",FALSE,SUMPRODUCT(--ISNUMBER(SEARCH(","&amp;TRIM(TEXTSPLIT(BC25,","))&amp;",",","&amp;SUBSTITUTE(input_challenge_opportunities," ","")&amp;",")))=COUNTA(TEXTSPLIT(BC25,",")))),IF(BE25="",TRUE,IF(input_challenge_opportunities="",TRUE,SUMPRODUCT(--ISNUMBER(SEARCH(","&amp;TRIM(TEXTSPLIT(BE25,","))&amp;",",","&amp;SUBSTITUTE(input_challenge_opportunities," ","")&amp;",")))=0)),IF(BG25="",TRUE,IF(input_challenge_opportunities="",FALSE,SUMPRODUCT(--ISNUMBER(SEARCH(","&amp;TRIM(TEXTSPLIT(BG25,","))&amp;",",","&amp;SUBSTITUTE(input_challenge_opportunities," ","")&amp;",")))&gt;0)),IF(BI25="",TRUE,IF(input_challenge_opportunities="",FALSE,SUMPRODUCT(--ISNUMBER(SEARCH(","&amp;TRIM(TEXTSPLIT(BI25,","))&amp;",",","&amp;SUBSTITUTE(input_challenge_opportunities," ","")&amp;",")))=COUNTA(TEXTSPLIT(BI25,",")))))</f>
        <v/>
      </c>
      <c r="IY25">
        <f>AND(IF(BK25="",TRUE,IF(input_context="",FALSE,SUMPRODUCT(--ISNUMBER(SEARCH(","&amp;TRIM(TEXTSPLIT(BK25,","))&amp;",",","&amp;SUBSTITUTE(input_context," ","")&amp;",")))&gt;0)),IF(BM25="",TRUE,IF(input_context="",FALSE,SUMPRODUCT(--ISNUMBER(SEARCH(","&amp;TRIM(TEXTSPLIT(BM25,","))&amp;",",","&amp;SUBSTITUTE(input_context," ","")&amp;",")))=COUNTA(TEXTSPLIT(BM25,",")))),IF(BO25="",TRUE,IF(input_context="",TRUE,SUMPRODUCT(--ISNUMBER(SEARCH(","&amp;TRIM(TEXTSPLIT(BO25,","))&amp;",",","&amp;SUBSTITUTE(input_context," ","")&amp;",")))=0)),IF(BQ25="",TRUE,IF(input_context="",FALSE,SUMPRODUCT(--ISNUMBER(SEARCH(","&amp;TRIM(TEXTSPLIT(BQ25,","))&amp;",",","&amp;SUBSTITUTE(input_context," ","")&amp;",")))&gt;0)),IF(BS25="",TRUE,IF(input_context="",FALSE,SUMPRODUCT(--ISNUMBER(SEARCH(","&amp;TRIM(TEXTSPLIT(BS25,","))&amp;",",","&amp;SUBSTITUTE(input_context," ","")&amp;",")))=COUNTA(TEXTSPLIT(BS25,",")))))</f>
        <v/>
      </c>
      <c r="IZ25">
        <f>AND(IF(BU25="",TRUE,IF(input_enews_announcement_type="",FALSE,SUMPRODUCT(--ISNUMBER(SEARCH(","&amp;TRIM(TEXTSPLIT(BU25,","))&amp;",",","&amp;SUBSTITUTE(input_enews_announcement_type," ","")&amp;",")))&gt;0)),IF(BW25="",TRUE,IF(input_enews_announcement_type="",FALSE,SUMPRODUCT(--ISNUMBER(SEARCH(","&amp;TRIM(TEXTSPLIT(BW25,","))&amp;",",","&amp;SUBSTITUTE(input_enews_announcement_type," ","")&amp;",")))=COUNTA(TEXTSPLIT(BW25,",")))),IF(BY25="",TRUE,IF(input_enews_announcement_type="",TRUE,SUMPRODUCT(--ISNUMBER(SEARCH(","&amp;TRIM(TEXTSPLIT(BY25,","))&amp;",",","&amp;SUBSTITUTE(input_enews_announcement_type," ","")&amp;",")))=0)),IF(CA25="",TRUE,IF(input_enews_announcement_type="",FALSE,SUMPRODUCT(--ISNUMBER(SEARCH(","&amp;TRIM(TEXTSPLIT(CA25,","))&amp;",",","&amp;SUBSTITUTE(input_enews_announcement_type," ","")&amp;",")))&gt;0)),IF(CC25="",TRUE,IF(input_enews_announcement_type="",FALSE,SUMPRODUCT(--ISNUMBER(SEARCH(","&amp;TRIM(TEXTSPLIT(CC25,","))&amp;",",","&amp;SUBSTITUTE(input_enews_announcement_type," ","")&amp;",")))=COUNTA(TEXTSPLIT(CC25,",")))))</f>
        <v/>
      </c>
      <c r="JA25">
        <f>AND(IF(CE25="",TRUE,IF(input_enews_audience="",FALSE,SUMPRODUCT(--ISNUMBER(SEARCH(","&amp;TRIM(TEXTSPLIT(CE25,","))&amp;",",","&amp;SUBSTITUTE(input_enews_audience," ","")&amp;",")))&gt;0)),IF(CG25="",TRUE,IF(input_enews_audience="",FALSE,SUMPRODUCT(--ISNUMBER(SEARCH(","&amp;TRIM(TEXTSPLIT(CG25,","))&amp;",",","&amp;SUBSTITUTE(input_enews_audience," ","")&amp;",")))=COUNTA(TEXTSPLIT(CG25,",")))),IF(CI25="",TRUE,IF(input_enews_audience="",TRUE,SUMPRODUCT(--ISNUMBER(SEARCH(","&amp;TRIM(TEXTSPLIT(CI25,","))&amp;",",","&amp;SUBSTITUTE(input_enews_audience," ","")&amp;",")))=0)),IF(CK25="",TRUE,IF(input_enews_audience="",FALSE,SUMPRODUCT(--ISNUMBER(SEARCH(","&amp;TRIM(TEXTSPLIT(CK25,","))&amp;",",","&amp;SUBSTITUTE(input_enews_audience," ","")&amp;",")))&gt;0)),IF(CM25="",TRUE,IF(input_enews_audience="",FALSE,SUMPRODUCT(--ISNUMBER(SEARCH(","&amp;TRIM(TEXTSPLIT(CM25,","))&amp;",",","&amp;SUBSTITUTE(input_enews_audience," ","")&amp;",")))=COUNTA(TEXTSPLIT(CM25,",")))))</f>
        <v/>
      </c>
      <c r="JB25">
        <f>AND(IF(CO25="",TRUE,IF(input_event_location="",FALSE,SUMPRODUCT(--ISNUMBER(SEARCH(","&amp;TRIM(TEXTSPLIT(CO25,","))&amp;",",","&amp;SUBSTITUTE(input_event_location," ","")&amp;",")))&gt;0)),IF(CQ25="",TRUE,IF(input_event_location="",FALSE,SUMPRODUCT(--ISNUMBER(SEARCH(","&amp;TRIM(TEXTSPLIT(CQ25,","))&amp;",",","&amp;SUBSTITUTE(input_event_location," ","")&amp;",")))=COUNTA(TEXTSPLIT(CQ25,",")))),IF(CS25="",TRUE,IF(input_event_location="",TRUE,SUMPRODUCT(--ISNUMBER(SEARCH(","&amp;TRIM(TEXTSPLIT(CS25,","))&amp;",",","&amp;SUBSTITUTE(input_event_location," ","")&amp;",")))=0)),IF(CU25="",TRUE,IF(input_event_location="",FALSE,SUMPRODUCT(--ISNUMBER(SEARCH(","&amp;TRIM(TEXTSPLIT(CU25,","))&amp;",",","&amp;SUBSTITUTE(input_event_location," ","")&amp;",")))&gt;0)),IF(CW25="",TRUE,IF(input_event_location="",FALSE,SUMPRODUCT(--ISNUMBER(SEARCH(","&amp;TRIM(TEXTSPLIT(CW25,","))&amp;",",","&amp;SUBSTITUTE(input_event_location," ","")&amp;",")))=COUNTA(TEXTSPLIT(CW25,",")))))</f>
        <v/>
      </c>
      <c r="JC25">
        <f>AND(IF(CY25="",TRUE,IF(input_event_type="",FALSE,SUMPRODUCT(--ISNUMBER(SEARCH(","&amp;TRIM(TEXTSPLIT(CY25,","))&amp;",",","&amp;SUBSTITUTE(input_event_type," ","")&amp;",")))&gt;0)),IF(DA25="",TRUE,IF(input_event_type="",FALSE,SUMPRODUCT(--ISNUMBER(SEARCH(","&amp;TRIM(TEXTSPLIT(DA25,","))&amp;",",","&amp;SUBSTITUTE(input_event_type," ","")&amp;",")))=COUNTA(TEXTSPLIT(DA25,",")))),IF(DC25="",TRUE,IF(input_event_type="",TRUE,SUMPRODUCT(--ISNUMBER(SEARCH(","&amp;TRIM(TEXTSPLIT(DC25,","))&amp;",",","&amp;SUBSTITUTE(input_event_type," ","")&amp;",")))=0)),IF(DE25="",TRUE,IF(input_event_type="",FALSE,SUMPRODUCT(--ISNUMBER(SEARCH(","&amp;TRIM(TEXTSPLIT(DE25,","))&amp;",",","&amp;SUBSTITUTE(input_event_type," ","")&amp;",")))&gt;0)),IF(DG25="",TRUE,IF(input_event_type="",FALSE,SUMPRODUCT(--ISNUMBER(SEARCH(","&amp;TRIM(TEXTSPLIT(DG25,","))&amp;",",","&amp;SUBSTITUTE(input_event_type," ","")&amp;",")))=COUNTA(TEXTSPLIT(DG25,",")))))</f>
        <v/>
      </c>
      <c r="JD25">
        <f>AND(IF(DI25="",TRUE,IF(input_executive_education_focus="",FALSE,SUMPRODUCT(--ISNUMBER(SEARCH(","&amp;TRIM(TEXTSPLIT(DI25,","))&amp;",",","&amp;SUBSTITUTE(input_executive_education_focus," ","")&amp;",")))&gt;0)),IF(DK25="",TRUE,IF(input_executive_education_focus="",FALSE,SUMPRODUCT(--ISNUMBER(SEARCH(","&amp;TRIM(TEXTSPLIT(DK25,","))&amp;",",","&amp;SUBSTITUTE(input_executive_education_focus," ","")&amp;",")))=COUNTA(TEXTSPLIT(DK25,",")))),IF(DM25="",TRUE,IF(input_executive_education_focus="",TRUE,SUMPRODUCT(--ISNUMBER(SEARCH(","&amp;TRIM(TEXTSPLIT(DM25,","))&amp;",",","&amp;SUBSTITUTE(input_executive_education_focus," ","")&amp;",")))=0)),IF(DO25="",TRUE,IF(input_executive_education_focus="",FALSE,SUMPRODUCT(--ISNUMBER(SEARCH(","&amp;TRIM(TEXTSPLIT(DO25,","))&amp;",",","&amp;SUBSTITUTE(input_executive_education_focus," ","")&amp;",")))&gt;0)),IF(DQ25="",TRUE,IF(input_executive_education_focus="",FALSE,SUMPRODUCT(--ISNUMBER(SEARCH(","&amp;TRIM(TEXTSPLIT(DQ25,","))&amp;",",","&amp;SUBSTITUTE(input_executive_education_focus," ","")&amp;",")))=COUNTA(TEXTSPLIT(DQ25,",")))))</f>
        <v/>
      </c>
      <c r="JE25">
        <f>AND(IF(DS25="",TRUE,IF(input_faculty_category="",FALSE,SUMPRODUCT(--ISNUMBER(SEARCH(","&amp;TRIM(TEXTSPLIT(DS25,","))&amp;",",","&amp;SUBSTITUTE(input_faculty_category," ","")&amp;",")))&gt;0)),IF(DU25="",TRUE,IF(input_faculty_category="",FALSE,SUMPRODUCT(--ISNUMBER(SEARCH(","&amp;TRIM(TEXTSPLIT(DU25,","))&amp;",",","&amp;SUBSTITUTE(input_faculty_category," ","")&amp;",")))=COUNTA(TEXTSPLIT(DU25,",")))),IF(DW25="",TRUE,IF(input_faculty_category="",TRUE,SUMPRODUCT(--ISNUMBER(SEARCH(","&amp;TRIM(TEXTSPLIT(DW25,","))&amp;",",","&amp;SUBSTITUTE(input_faculty_category," ","")&amp;",")))=0)),IF(DY25="",TRUE,IF(input_faculty_category="",FALSE,SUMPRODUCT(--ISNUMBER(SEARCH(","&amp;TRIM(TEXTSPLIT(DY25,","))&amp;",",","&amp;SUBSTITUTE(input_faculty_category," ","")&amp;",")))&gt;0)),IF(EA25="",TRUE,IF(input_faculty_category="",FALSE,SUMPRODUCT(--ISNUMBER(SEARCH(","&amp;TRIM(TEXTSPLIT(EA25,","))&amp;",",","&amp;SUBSTITUTE(input_faculty_category," ","")&amp;",")))=COUNTA(TEXTSPLIT(EA25,",")))))</f>
        <v/>
      </c>
      <c r="JF25">
        <f>AND(IF(EC25="",TRUE,IF(input_faculty_discipline="",FALSE,SUMPRODUCT(--ISNUMBER(SEARCH(","&amp;TRIM(TEXTSPLIT(EC25,","))&amp;",",","&amp;SUBSTITUTE(input_faculty_discipline," ","")&amp;",")))&gt;0)),IF(EE25="",TRUE,IF(input_faculty_discipline="",FALSE,SUMPRODUCT(--ISNUMBER(SEARCH(","&amp;TRIM(TEXTSPLIT(EE25,","))&amp;",",","&amp;SUBSTITUTE(input_faculty_discipline," ","")&amp;",")))=COUNTA(TEXTSPLIT(EE25,",")))),IF(EG25="",TRUE,IF(input_faculty_discipline="",TRUE,SUMPRODUCT(--ISNUMBER(SEARCH(","&amp;TRIM(TEXTSPLIT(EG25,","))&amp;",",","&amp;SUBSTITUTE(input_faculty_discipline," ","")&amp;",")))=0)),IF(EI25="",TRUE,IF(input_faculty_discipline="",FALSE,SUMPRODUCT(--ISNUMBER(SEARCH(","&amp;TRIM(TEXTSPLIT(EI25,","))&amp;",",","&amp;SUBSTITUTE(input_faculty_discipline," ","")&amp;",")))&gt;0)),IF(EK25="",TRUE,IF(input_faculty_discipline="",FALSE,SUMPRODUCT(--ISNUMBER(SEARCH(","&amp;TRIM(TEXTSPLIT(EK25,","))&amp;",",","&amp;SUBSTITUTE(input_faculty_discipline," ","")&amp;",")))=COUNTA(TEXTSPLIT(EK25,",")))))</f>
        <v/>
      </c>
      <c r="JG25">
        <f>AND(IF(EM25="",TRUE,IF(input_faculty_expertise="",FALSE,SUMPRODUCT(--ISNUMBER(SEARCH(","&amp;TRIM(TEXTSPLIT(EM25,","))&amp;",",","&amp;SUBSTITUTE(input_faculty_expertise," ","")&amp;",")))&gt;0)),IF(EO25="",TRUE,IF(input_faculty_expertise="",FALSE,SUMPRODUCT(--ISNUMBER(SEARCH(","&amp;TRIM(TEXTSPLIT(EO25,","))&amp;",",","&amp;SUBSTITUTE(input_faculty_expertise," ","")&amp;",")))=COUNTA(TEXTSPLIT(EO25,",")))),IF(EQ25="",TRUE,IF(input_faculty_expertise="",TRUE,SUMPRODUCT(--ISNUMBER(SEARCH(","&amp;TRIM(TEXTSPLIT(EQ25,","))&amp;",",","&amp;SUBSTITUTE(input_faculty_expertise," ","")&amp;",")))=0)),IF(ES25="",TRUE,IF(input_faculty_expertise="",FALSE,SUMPRODUCT(--ISNUMBER(SEARCH(","&amp;TRIM(TEXTSPLIT(ES25,","))&amp;",",","&amp;SUBSTITUTE(input_faculty_expertise," ","")&amp;",")))&gt;0)),IF(EU25="",TRUE,IF(input_faculty_expertise="",FALSE,SUMPRODUCT(--ISNUMBER(SEARCH(","&amp;TRIM(TEXTSPLIT(EU25,","))&amp;",",","&amp;SUBSTITUTE(input_faculty_expertise," ","")&amp;",")))=COUNTA(TEXTSPLIT(EU25,",")))))</f>
        <v/>
      </c>
      <c r="JH25">
        <f>AND(IF(EW25="",TRUE,IF(input_global_network_school="",FALSE,SUMPRODUCT(--ISNUMBER(SEARCH(","&amp;TRIM(TEXTSPLIT(EW25,","))&amp;",",","&amp;SUBSTITUTE(input_global_network_school," ","")&amp;",")))&gt;0)),IF(EY25="",TRUE,IF(input_global_network_school="",FALSE,SUMPRODUCT(--ISNUMBER(SEARCH(","&amp;TRIM(TEXTSPLIT(EY25,","))&amp;",",","&amp;SUBSTITUTE(input_global_network_school," ","")&amp;",")))=COUNTA(TEXTSPLIT(EY25,",")))),IF(FA25="",TRUE,IF(input_global_network_school="",TRUE,SUMPRODUCT(--ISNUMBER(SEARCH(","&amp;TRIM(TEXTSPLIT(FA25,","))&amp;",",","&amp;SUBSTITUTE(input_global_network_school," ","")&amp;",")))=0)),IF(FC25="",TRUE,IF(input_global_network_school="",FALSE,SUMPRODUCT(--ISNUMBER(SEARCH(","&amp;TRIM(TEXTSPLIT(FC25,","))&amp;",",","&amp;SUBSTITUTE(input_global_network_school," ","")&amp;",")))&gt;0)),IF(FE25="",TRUE,IF(input_global_network_school="",FALSE,SUMPRODUCT(--ISNUMBER(SEARCH(","&amp;TRIM(TEXTSPLIT(FE25,","))&amp;",",","&amp;SUBSTITUTE(input_global_network_school," ","")&amp;",")))=COUNTA(TEXTSPLIT(FE25,",")))))</f>
        <v/>
      </c>
      <c r="JI25">
        <f>AND(IF(FG25="",TRUE,IF(input_industry="",FALSE,SUMPRODUCT(--ISNUMBER(SEARCH(","&amp;TRIM(TEXTSPLIT(FG25,","))&amp;",",","&amp;SUBSTITUTE(input_industry," ","")&amp;",")))&gt;0)),IF(FI25="",TRUE,IF(input_industry="",FALSE,SUMPRODUCT(--ISNUMBER(SEARCH(","&amp;TRIM(TEXTSPLIT(FI25,","))&amp;",",","&amp;SUBSTITUTE(input_industry," ","")&amp;",")))=COUNTA(TEXTSPLIT(FI25,",")))),IF(FK25="",TRUE,IF(input_industry="",TRUE,SUMPRODUCT(--ISNUMBER(SEARCH(","&amp;TRIM(TEXTSPLIT(FK25,","))&amp;",",","&amp;SUBSTITUTE(input_industry," ","")&amp;",")))=0)),IF(FM25="",TRUE,IF(input_industry="",FALSE,SUMPRODUCT(--ISNUMBER(SEARCH(","&amp;TRIM(TEXTSPLIT(FM25,","))&amp;",",","&amp;SUBSTITUTE(input_industry," ","")&amp;",")))&gt;0)),IF(FO25="",TRUE,IF(input_industry="",FALSE,SUMPRODUCT(--ISNUMBER(SEARCH(","&amp;TRIM(TEXTSPLIT(FO25,","))&amp;",",","&amp;SUBSTITUTE(input_industry," ","")&amp;",")))=COUNTA(TEXTSPLIT(FO25,",")))))</f>
        <v/>
      </c>
      <c r="JJ25">
        <f>AND(IF(FQ25="",TRUE,IF(input_location="",FALSE,SUMPRODUCT(--ISNUMBER(SEARCH(","&amp;TRIM(TEXTSPLIT(FQ25,","))&amp;",",","&amp;SUBSTITUTE(input_location," ","")&amp;",")))&gt;0)),IF(FS25="",TRUE,IF(input_location="",FALSE,SUMPRODUCT(--ISNUMBER(SEARCH(","&amp;TRIM(TEXTSPLIT(FS25,","))&amp;",",","&amp;SUBSTITUTE(input_location," ","")&amp;",")))=COUNTA(TEXTSPLIT(FS25,",")))),IF(FU25="",TRUE,IF(input_location="",TRUE,SUMPRODUCT(--ISNUMBER(SEARCH(","&amp;TRIM(TEXTSPLIT(FU25,","))&amp;",",","&amp;SUBSTITUTE(input_location," ","")&amp;",")))=0)),IF(FW25="",TRUE,IF(input_location="",FALSE,SUMPRODUCT(--ISNUMBER(SEARCH(","&amp;TRIM(TEXTSPLIT(FW25,","))&amp;",",","&amp;SUBSTITUTE(input_location," ","")&amp;",")))&gt;0)),IF(FY25="",TRUE,IF(input_location="",FALSE,SUMPRODUCT(--ISNUMBER(SEARCH(","&amp;TRIM(TEXTSPLIT(FY25,","))&amp;",",","&amp;SUBSTITUTE(input_location," ","")&amp;",")))=COUNTA(TEXTSPLIT(FY25,",")))))</f>
        <v/>
      </c>
      <c r="JK25">
        <f>AND(IF(GA25="",TRUE,IF(input_modality="",FALSE,SUMPRODUCT(--ISNUMBER(SEARCH(","&amp;TRIM(TEXTSPLIT(GA25,","))&amp;",",","&amp;SUBSTITUTE(input_modality," ","")&amp;",")))&gt;0)),IF(GC25="",TRUE,IF(input_modality="",FALSE,SUMPRODUCT(--ISNUMBER(SEARCH(","&amp;TRIM(TEXTSPLIT(GC25,","))&amp;",",","&amp;SUBSTITUTE(input_modality," ","")&amp;",")))=COUNTA(TEXTSPLIT(GC25,",")))),IF(GE25="",TRUE,IF(input_modality="",TRUE,SUMPRODUCT(--ISNUMBER(SEARCH(","&amp;TRIM(TEXTSPLIT(GE25,","))&amp;",",","&amp;SUBSTITUTE(input_modality," ","")&amp;",")))=0)),IF(GG25="",TRUE,IF(input_modality="",FALSE,SUMPRODUCT(--ISNUMBER(SEARCH(","&amp;TRIM(TEXTSPLIT(GG25,","))&amp;",",","&amp;SUBSTITUTE(input_modality," ","")&amp;",")))&gt;0)),IF(GI25="",TRUE,IF(input_modality="",FALSE,SUMPRODUCT(--ISNUMBER(SEARCH(","&amp;TRIM(TEXTSPLIT(GI25,","))&amp;",",","&amp;SUBSTITUTE(input_modality," ","")&amp;",")))=COUNTA(TEXTSPLIT(GI25,",")))))</f>
        <v/>
      </c>
      <c r="JL25">
        <f>AND(IF(GK25="",TRUE,IF(input_organizer="",FALSE,SUMPRODUCT(--ISNUMBER(SEARCH(","&amp;TRIM(TEXTSPLIT(GK25,","))&amp;",",","&amp;SUBSTITUTE(input_organizer," ","")&amp;",")))&gt;0)),IF(GM25="",TRUE,IF(input_organizer="",FALSE,SUMPRODUCT(--ISNUMBER(SEARCH(","&amp;TRIM(TEXTSPLIT(GM25,","))&amp;",",","&amp;SUBSTITUTE(input_organizer," ","")&amp;",")))=COUNTA(TEXTSPLIT(GM25,",")))),IF(GO25="",TRUE,IF(input_organizer="",TRUE,SUMPRODUCT(--ISNUMBER(SEARCH(","&amp;TRIM(TEXTSPLIT(GO25,","))&amp;",",","&amp;SUBSTITUTE(input_organizer," ","")&amp;",")))=0)),IF(GQ25="",TRUE,IF(input_organizer="",FALSE,SUMPRODUCT(--ISNUMBER(SEARCH(","&amp;TRIM(TEXTSPLIT(GQ25,","))&amp;",",","&amp;SUBSTITUTE(input_organizer," ","")&amp;",")))&gt;0)),IF(GS25="",TRUE,IF(input_organizer="",FALSE,SUMPRODUCT(--ISNUMBER(SEARCH(","&amp;TRIM(TEXTSPLIT(GS25,","))&amp;",",","&amp;SUBSTITUTE(input_organizer," ","")&amp;",")))=COUNTA(TEXTSPLIT(GS25,",")))))</f>
        <v/>
      </c>
      <c r="JM25">
        <f>AND(IF(GU25="",TRUE,IF(input_profile_type="",FALSE,SUMPRODUCT(--ISNUMBER(SEARCH(","&amp;TRIM(TEXTSPLIT(GU25,","))&amp;",",","&amp;SUBSTITUTE(input_profile_type," ","")&amp;",")))&gt;0)),IF(GW25="",TRUE,IF(input_profile_type="",FALSE,SUMPRODUCT(--ISNUMBER(SEARCH(","&amp;TRIM(TEXTSPLIT(GW25,","))&amp;",",","&amp;SUBSTITUTE(input_profile_type," ","")&amp;",")))=COUNTA(TEXTSPLIT(GW25,",")))),IF(GY25="",TRUE,IF(input_profile_type="",TRUE,SUMPRODUCT(--ISNUMBER(SEARCH(","&amp;TRIM(TEXTSPLIT(GY25,","))&amp;",",","&amp;SUBSTITUTE(input_profile_type," ","")&amp;",")))=0)),IF(HA25="",TRUE,IF(input_profile_type="",FALSE,SUMPRODUCT(--ISNUMBER(SEARCH(","&amp;TRIM(TEXTSPLIT(HA25,","))&amp;",",","&amp;SUBSTITUTE(input_profile_type," ","")&amp;",")))&gt;0)),IF(HC25="",TRUE,IF(input_profile_type="",FALSE,SUMPRODUCT(--ISNUMBER(SEARCH(","&amp;TRIM(TEXTSPLIT(HC25,","))&amp;",",","&amp;SUBSTITUTE(input_profile_type," ","")&amp;",")))=COUNTA(TEXTSPLIT(HC25,",")))))</f>
        <v/>
      </c>
      <c r="JN25">
        <f>AND(IF(HE25="",TRUE,IF(input_program="",FALSE,SUMPRODUCT(--ISNUMBER(SEARCH(","&amp;TRIM(TEXTSPLIT(HE25,","))&amp;",",","&amp;SUBSTITUTE(input_program," ","")&amp;",")))&gt;0)),IF(HG25="",TRUE,IF(input_program="",FALSE,SUMPRODUCT(--ISNUMBER(SEARCH(","&amp;TRIM(TEXTSPLIT(HG25,","))&amp;",",","&amp;SUBSTITUTE(input_program," ","")&amp;",")))=COUNTA(TEXTSPLIT(HG25,",")))),IF(HI25="",TRUE,IF(input_program="",TRUE,SUMPRODUCT(--ISNUMBER(SEARCH(","&amp;TRIM(TEXTSPLIT(HI25,","))&amp;",",","&amp;SUBSTITUTE(input_program," ","")&amp;",")))=0)),IF(HK25="",TRUE,IF(input_program="",FALSE,SUMPRODUCT(--ISNUMBER(SEARCH(","&amp;TRIM(TEXTSPLIT(HK25,","))&amp;",",","&amp;SUBSTITUTE(input_program," ","")&amp;",")))&gt;0)),IF(HM25="",TRUE,IF(input_program="",FALSE,SUMPRODUCT(--ISNUMBER(SEARCH(","&amp;TRIM(TEXTSPLIT(HM25,","))&amp;",",","&amp;SUBSTITUTE(input_program," ","")&amp;",")))=COUNTA(TEXTSPLIT(HM25,",")))))</f>
        <v/>
      </c>
      <c r="JO25">
        <f>AND(IF(HO25="",TRUE,IF(input_story_categories="",FALSE,SUMPRODUCT(--ISNUMBER(SEARCH(","&amp;TRIM(TEXTSPLIT(HO25,","))&amp;",",","&amp;SUBSTITUTE(input_story_categories," ","")&amp;",")))&gt;0)),IF(HQ25="",TRUE,IF(input_story_categories="",FALSE,SUMPRODUCT(--ISNUMBER(SEARCH(","&amp;TRIM(TEXTSPLIT(HQ25,","))&amp;",",","&amp;SUBSTITUTE(input_story_categories," ","")&amp;",")))=COUNTA(TEXTSPLIT(HQ25,",")))),IF(HS25="",TRUE,IF(input_story_categories="",TRUE,SUMPRODUCT(--ISNUMBER(SEARCH(","&amp;TRIM(TEXTSPLIT(HS25,","))&amp;",",","&amp;SUBSTITUTE(input_story_categories," ","")&amp;",")))=0)),IF(HU25="",TRUE,IF(input_story_categories="",FALSE,SUMPRODUCT(--ISNUMBER(SEARCH(","&amp;TRIM(TEXTSPLIT(HU25,","))&amp;",",","&amp;SUBSTITUTE(input_story_categories," ","")&amp;",")))&gt;0)),IF(HW25="",TRUE,IF(input_story_categories="",FALSE,SUMPRODUCT(--ISNUMBER(SEARCH(","&amp;TRIM(TEXTSPLIT(HW25,","))&amp;",",","&amp;SUBSTITUTE(input_story_categories," ","")&amp;",")))=COUNTA(TEXTSPLIT(HW25,",")))))</f>
        <v/>
      </c>
      <c r="JP25">
        <f>AND(IF(HY25="",TRUE,IF(input_story_type="",FALSE,SUMPRODUCT(--ISNUMBER(SEARCH(","&amp;TRIM(TEXTSPLIT(HY25,","))&amp;",",","&amp;SUBSTITUTE(input_story_type," ","")&amp;",")))&gt;0)),IF(IA25="",TRUE,IF(input_story_type="",FALSE,SUMPRODUCT(--ISNUMBER(SEARCH(","&amp;TRIM(TEXTSPLIT(IA25,","))&amp;",",","&amp;SUBSTITUTE(input_story_type," ","")&amp;",")))=COUNTA(TEXTSPLIT(IA25,",")))),IF(IC25="",TRUE,IF(input_story_type="",TRUE,SUMPRODUCT(--ISNUMBER(SEARCH(","&amp;TRIM(TEXTSPLIT(IC25,","))&amp;",",","&amp;SUBSTITUTE(input_story_type," ","")&amp;",")))=0)),IF(IE25="",TRUE,IF(input_story_type="",FALSE,SUMPRODUCT(--ISNUMBER(SEARCH(","&amp;TRIM(TEXTSPLIT(IE25,","))&amp;",",","&amp;SUBSTITUTE(input_story_type," ","")&amp;",")))&gt;0)),IF(IG25="",TRUE,IF(input_story_type="",FALSE,SUMPRODUCT(--ISNUMBER(SEARCH(","&amp;TRIM(TEXTSPLIT(IG25,","))&amp;",",","&amp;SUBSTITUTE(input_story_type," ","")&amp;",")))=COUNTA(TEXTSPLIT(IG25,",")))))</f>
        <v/>
      </c>
      <c r="JQ25">
        <f>AND(IF(II25="",TRUE,IF(input_topics="",FALSE,SUMPRODUCT(--ISNUMBER(SEARCH(","&amp;TRIM(TEXTSPLIT(II25,","))&amp;",",","&amp;SUBSTITUTE(input_topics," ","")&amp;",")))&gt;0)),IF(IK25="",TRUE,IF(input_topics="",FALSE,SUMPRODUCT(--ISNUMBER(SEARCH(","&amp;TRIM(TEXTSPLIT(IK25,","))&amp;",",","&amp;SUBSTITUTE(input_topics," ","")&amp;",")))=COUNTA(TEXTSPLIT(IK25,",")))),IF(IM25="",TRUE,IF(input_topics="",TRUE,SUMPRODUCT(--ISNUMBER(SEARCH(","&amp;TRIM(TEXTSPLIT(IM25,","))&amp;",",","&amp;SUBSTITUTE(input_topics," ","")&amp;",")))=0)),IF(IO25="",TRUE,IF(input_topics="",FALSE,SUMPRODUCT(--ISNUMBER(SEARCH(","&amp;TRIM(TEXTSPLIT(IO25,","))&amp;",",","&amp;SUBSTITUTE(input_topics," ","")&amp;",")))&gt;0)),IF(IQ25="",TRUE,IF(input_topics="",FALSE,SUMPRODUCT(--ISNUMBER(SEARCH(","&amp;TRIM(TEXTSPLIT(IQ25,","))&amp;",",","&amp;SUBSTITUTE(input_topics," ","")&amp;",")))=COUNTA(TEXTSPLIT(IQ25,",")))))</f>
        <v/>
      </c>
    </row>
    <row r="26">
      <c r="A26" s="4">
        <f>IF(NOT(IS26),"Excluded",IF(AND(IT26,IU26,IV26,IW26,IX26,IY26,IZ26,JA26,JB26,JC26,JD26,JE26,JF26,JG26,JH26,JI26,JJ26,JK26,JL26,JM26,JN26,JO26,JP26,JQ26),IF(I26&gt;0,"Eligible but limited","Will appear"),"Excluded"))</f>
        <v/>
      </c>
      <c r="B26" s="4" t="inlineStr">
        <is>
          <t>All Publications by Author</t>
        </is>
      </c>
      <c r="C26" s="4" t="inlineStr">
        <is>
          <t>/faculty-research/faculty-directory/erin-l-frey</t>
        </is>
      </c>
      <c r="D26" s="4" t="inlineStr">
        <is>
          <t>/faculty-research/faculty-directory/erin-l-frey</t>
        </is>
      </c>
      <c r="E26" s="4" t="n">
        <v>1</v>
      </c>
      <c r="F26" s="4" t="inlineStr">
        <is>
          <t>publications</t>
        </is>
      </c>
      <c r="G26" s="4" t="inlineStr">
        <is>
          <t>publication_teaser_list</t>
        </is>
      </c>
      <c r="H26" s="4" t="inlineStr">
        <is>
          <t>publication_teaser_list_all_by_author</t>
        </is>
      </c>
      <c r="I26" s="4" t="inlineStr"/>
      <c r="J26" s="4" t="inlineStr">
        <is>
          <t>View/config rules</t>
        </is>
      </c>
      <c r="K26" s="4" t="inlineStr">
        <is>
          <t>Page placement</t>
        </is>
      </c>
      <c r="L26" s="4" t="inlineStr">
        <is>
          <t>Content type: publications; Source: View/config rules</t>
        </is>
      </c>
      <c r="M26" t="inlineStr"/>
      <c r="N26" t="inlineStr"/>
      <c r="O26" t="inlineStr"/>
      <c r="P26" t="inlineStr"/>
      <c r="Q26" t="inlineStr"/>
      <c r="R26" t="inlineStr"/>
      <c r="S26" t="inlineStr"/>
      <c r="T26" t="inlineStr"/>
      <c r="U26" t="inlineStr"/>
      <c r="V26" t="inlineStr"/>
      <c r="W26" t="inlineStr"/>
      <c r="X26" t="inlineStr"/>
      <c r="Y26" t="inlineStr"/>
      <c r="Z26" t="inlineStr"/>
      <c r="AA26" t="inlineStr"/>
      <c r="AB26" t="inlineStr"/>
      <c r="AC26" t="inlineStr"/>
      <c r="AD26" t="inlineStr"/>
      <c r="AE26" t="inlineStr"/>
      <c r="AF26" t="inlineStr"/>
      <c r="AG26" t="inlineStr"/>
      <c r="AH26" t="inlineStr"/>
      <c r="AI26" t="inlineStr"/>
      <c r="AJ26" t="inlineStr"/>
      <c r="AK26" t="inlineStr"/>
      <c r="AL26" t="inlineStr"/>
      <c r="AM26" t="inlineStr"/>
      <c r="AN26" t="inlineStr"/>
      <c r="AO26" t="inlineStr"/>
      <c r="AP26" t="inlineStr"/>
      <c r="AQ26" t="inlineStr"/>
      <c r="AR26" t="inlineStr"/>
      <c r="AS26" t="inlineStr"/>
      <c r="AT26" t="inlineStr"/>
      <c r="AU26" t="inlineStr"/>
      <c r="AV26" t="inlineStr"/>
      <c r="AW26" t="inlineStr"/>
      <c r="AX26" t="inlineStr"/>
      <c r="AY26" t="inlineStr"/>
      <c r="AZ26" t="inlineStr"/>
      <c r="BA26" t="inlineStr"/>
      <c r="BB26" t="inlineStr"/>
      <c r="BC26" t="inlineStr"/>
      <c r="BD26" t="inlineStr"/>
      <c r="BE26" t="inlineStr"/>
      <c r="BF26" t="inlineStr"/>
      <c r="BG26" t="inlineStr"/>
      <c r="BH26" t="inlineStr"/>
      <c r="BI26" t="inlineStr"/>
      <c r="BJ26" t="inlineStr"/>
      <c r="BK26" t="inlineStr"/>
      <c r="BL26" t="inlineStr"/>
      <c r="BM26" t="inlineStr"/>
      <c r="BN26" t="inlineStr"/>
      <c r="BO26" t="inlineStr"/>
      <c r="BP26" t="inlineStr"/>
      <c r="BQ26" t="inlineStr"/>
      <c r="BR26" t="inlineStr"/>
      <c r="BS26" t="inlineStr"/>
      <c r="BT26" t="inlineStr"/>
      <c r="BU26" t="inlineStr"/>
      <c r="BV26" t="inlineStr"/>
      <c r="BW26" t="inlineStr"/>
      <c r="BX26" t="inlineStr"/>
      <c r="BY26" t="inlineStr"/>
      <c r="BZ26" t="inlineStr"/>
      <c r="CA26" t="inlineStr"/>
      <c r="CB26" t="inlineStr"/>
      <c r="CC26" t="inlineStr"/>
      <c r="CD26" t="inlineStr"/>
      <c r="CE26" t="inlineStr"/>
      <c r="CF26" t="inlineStr"/>
      <c r="CG26" t="inlineStr"/>
      <c r="CH26" t="inlineStr"/>
      <c r="CI26" t="inlineStr"/>
      <c r="CJ26" t="inlineStr"/>
      <c r="CK26" t="inlineStr"/>
      <c r="CL26" t="inlineStr"/>
      <c r="CM26" t="inlineStr"/>
      <c r="CN26" t="inlineStr"/>
      <c r="CO26" t="inlineStr"/>
      <c r="CP26" t="inlineStr"/>
      <c r="CQ26" t="inlineStr"/>
      <c r="CR26" t="inlineStr"/>
      <c r="CS26" t="inlineStr"/>
      <c r="CT26" t="inlineStr"/>
      <c r="CU26" t="inlineStr"/>
      <c r="CV26" t="inlineStr"/>
      <c r="CW26" t="inlineStr"/>
      <c r="CX26" t="inlineStr"/>
      <c r="CY26" t="inlineStr"/>
      <c r="CZ26" t="inlineStr"/>
      <c r="DA26" t="inlineStr"/>
      <c r="DB26" t="inlineStr"/>
      <c r="DC26" t="inlineStr"/>
      <c r="DD26" t="inlineStr"/>
      <c r="DE26" t="inlineStr"/>
      <c r="DF26" t="inlineStr"/>
      <c r="DG26" t="inlineStr"/>
      <c r="DH26" t="inlineStr"/>
      <c r="DI26" t="inlineStr"/>
      <c r="DJ26" t="inlineStr"/>
      <c r="DK26" t="inlineStr"/>
      <c r="DL26" t="inlineStr"/>
      <c r="DM26" t="inlineStr"/>
      <c r="DN26" t="inlineStr"/>
      <c r="DO26" t="inlineStr"/>
      <c r="DP26" t="inlineStr"/>
      <c r="DQ26" t="inlineStr"/>
      <c r="DR26" t="inlineStr"/>
      <c r="DS26" t="inlineStr"/>
      <c r="DT26" t="inlineStr"/>
      <c r="DU26" t="inlineStr"/>
      <c r="DV26" t="inlineStr"/>
      <c r="DW26" t="inlineStr"/>
      <c r="DX26" t="inlineStr"/>
      <c r="DY26" t="inlineStr"/>
      <c r="DZ26" t="inlineStr"/>
      <c r="EA26" t="inlineStr"/>
      <c r="EB26" t="inlineStr"/>
      <c r="EC26" t="inlineStr"/>
      <c r="ED26" t="inlineStr"/>
      <c r="EE26" t="inlineStr"/>
      <c r="EF26" t="inlineStr"/>
      <c r="EG26" t="inlineStr"/>
      <c r="EH26" t="inlineStr"/>
      <c r="EI26" t="inlineStr"/>
      <c r="EJ26" t="inlineStr"/>
      <c r="EK26" t="inlineStr"/>
      <c r="EL26" t="inlineStr"/>
      <c r="EM26" t="inlineStr"/>
      <c r="EN26" t="inlineStr"/>
      <c r="EO26" t="inlineStr"/>
      <c r="EP26" t="inlineStr"/>
      <c r="EQ26" t="inlineStr"/>
      <c r="ER26" t="inlineStr"/>
      <c r="ES26" t="inlineStr"/>
      <c r="ET26" t="inlineStr"/>
      <c r="EU26" t="inlineStr"/>
      <c r="EV26" t="inlineStr"/>
      <c r="EW26" t="inlineStr"/>
      <c r="EX26" t="inlineStr"/>
      <c r="EY26" t="inlineStr"/>
      <c r="EZ26" t="inlineStr"/>
      <c r="FA26" t="inlineStr"/>
      <c r="FB26" t="inlineStr"/>
      <c r="FC26" t="inlineStr"/>
      <c r="FD26" t="inlineStr"/>
      <c r="FE26" t="inlineStr"/>
      <c r="FF26" t="inlineStr"/>
      <c r="FG26" t="inlineStr"/>
      <c r="FH26" t="inlineStr"/>
      <c r="FI26" t="inlineStr"/>
      <c r="FJ26" t="inlineStr"/>
      <c r="FK26" t="inlineStr"/>
      <c r="FL26" t="inlineStr"/>
      <c r="FM26" t="inlineStr"/>
      <c r="FN26" t="inlineStr"/>
      <c r="FO26" t="inlineStr"/>
      <c r="FP26" t="inlineStr"/>
      <c r="FQ26" t="inlineStr"/>
      <c r="FR26" t="inlineStr"/>
      <c r="FS26" t="inlineStr"/>
      <c r="FT26" t="inlineStr"/>
      <c r="FU26" t="inlineStr"/>
      <c r="FV26" t="inlineStr"/>
      <c r="FW26" t="inlineStr"/>
      <c r="FX26" t="inlineStr"/>
      <c r="FY26" t="inlineStr"/>
      <c r="FZ26" t="inlineStr"/>
      <c r="GA26" t="inlineStr"/>
      <c r="GB26" t="inlineStr"/>
      <c r="GC26" t="inlineStr"/>
      <c r="GD26" t="inlineStr"/>
      <c r="GE26" t="inlineStr"/>
      <c r="GF26" t="inlineStr"/>
      <c r="GG26" t="inlineStr"/>
      <c r="GH26" t="inlineStr"/>
      <c r="GI26" t="inlineStr"/>
      <c r="GJ26" t="inlineStr"/>
      <c r="GK26" t="inlineStr"/>
      <c r="GL26" t="inlineStr"/>
      <c r="GM26" t="inlineStr"/>
      <c r="GN26" t="inlineStr"/>
      <c r="GO26" t="inlineStr"/>
      <c r="GP26" t="inlineStr"/>
      <c r="GQ26" t="inlineStr"/>
      <c r="GR26" t="inlineStr"/>
      <c r="GS26" t="inlineStr"/>
      <c r="GT26" t="inlineStr"/>
      <c r="GU26" t="inlineStr"/>
      <c r="GV26" t="inlineStr"/>
      <c r="GW26" t="inlineStr"/>
      <c r="GX26" t="inlineStr"/>
      <c r="GY26" t="inlineStr"/>
      <c r="GZ26" t="inlineStr"/>
      <c r="HA26" t="inlineStr"/>
      <c r="HB26" t="inlineStr"/>
      <c r="HC26" t="inlineStr"/>
      <c r="HD26" t="inlineStr"/>
      <c r="HE26" t="inlineStr"/>
      <c r="HF26" t="inlineStr"/>
      <c r="HG26" t="inlineStr"/>
      <c r="HH26" t="inlineStr"/>
      <c r="HI26" t="inlineStr"/>
      <c r="HJ26" t="inlineStr"/>
      <c r="HK26" t="inlineStr"/>
      <c r="HL26" t="inlineStr"/>
      <c r="HM26" t="inlineStr"/>
      <c r="HN26" t="inlineStr"/>
      <c r="HO26" t="inlineStr"/>
      <c r="HP26" t="inlineStr"/>
      <c r="HQ26" t="inlineStr"/>
      <c r="HR26" t="inlineStr"/>
      <c r="HS26" t="inlineStr"/>
      <c r="HT26" t="inlineStr"/>
      <c r="HU26" t="inlineStr"/>
      <c r="HV26" t="inlineStr"/>
      <c r="HW26" t="inlineStr"/>
      <c r="HX26" t="inlineStr"/>
      <c r="HY26" t="inlineStr"/>
      <c r="HZ26" t="inlineStr"/>
      <c r="IA26" t="inlineStr"/>
      <c r="IB26" t="inlineStr"/>
      <c r="IC26" t="inlineStr"/>
      <c r="ID26" t="inlineStr"/>
      <c r="IE26" t="inlineStr"/>
      <c r="IF26" t="inlineStr"/>
      <c r="IG26" t="inlineStr"/>
      <c r="IH26" t="inlineStr"/>
      <c r="II26" t="inlineStr"/>
      <c r="IJ26" t="inlineStr"/>
      <c r="IK26" t="inlineStr"/>
      <c r="IL26" t="inlineStr"/>
      <c r="IM26" t="inlineStr"/>
      <c r="IN26" t="inlineStr"/>
      <c r="IO26" t="inlineStr"/>
      <c r="IP26" t="inlineStr"/>
      <c r="IQ26" t="inlineStr"/>
      <c r="IR26" t="inlineStr"/>
      <c r="IS26">
        <f>IF(input_content_type="",FALSE,ISNUMBER(SEARCH(","&amp;LOWER(input_content_type)&amp;",",","&amp;LOWER(F26)&amp;",")))</f>
        <v/>
      </c>
      <c r="IT26">
        <f>AND(IF(M26="",TRUE,IF(input_affiliations="",FALSE,SUMPRODUCT(--ISNUMBER(SEARCH(","&amp;TRIM(TEXTSPLIT(M26,","))&amp;",",","&amp;SUBSTITUTE(input_affiliations," ","")&amp;",")))&gt;0)),IF(O26="",TRUE,IF(input_affiliations="",FALSE,SUMPRODUCT(--ISNUMBER(SEARCH(","&amp;TRIM(TEXTSPLIT(O26,","))&amp;",",","&amp;SUBSTITUTE(input_affiliations," ","")&amp;",")))=COUNTA(TEXTSPLIT(O26,",")))),IF(Q26="",TRUE,IF(input_affiliations="",TRUE,SUMPRODUCT(--ISNUMBER(SEARCH(","&amp;TRIM(TEXTSPLIT(Q26,","))&amp;",",","&amp;SUBSTITUTE(input_affiliations," ","")&amp;",")))=0)),IF(S26="",TRUE,IF(input_affiliations="",FALSE,SUMPRODUCT(--ISNUMBER(SEARCH(","&amp;TRIM(TEXTSPLIT(S26,","))&amp;",",","&amp;SUBSTITUTE(input_affiliations," ","")&amp;",")))&gt;0)),IF(U26="",TRUE,IF(input_affiliations="",FALSE,SUMPRODUCT(--ISNUMBER(SEARCH(","&amp;TRIM(TEXTSPLIT(U26,","))&amp;",",","&amp;SUBSTITUTE(input_affiliations," ","")&amp;",")))=COUNTA(TEXTSPLIT(U26,",")))))</f>
        <v/>
      </c>
      <c r="IU26">
        <f>AND(IF(W26="",TRUE,IF(input_announcement_category="",FALSE,SUMPRODUCT(--ISNUMBER(SEARCH(","&amp;TRIM(TEXTSPLIT(W26,","))&amp;",",","&amp;SUBSTITUTE(input_announcement_category," ","")&amp;",")))&gt;0)),IF(Y26="",TRUE,IF(input_announcement_category="",FALSE,SUMPRODUCT(--ISNUMBER(SEARCH(","&amp;TRIM(TEXTSPLIT(Y26,","))&amp;",",","&amp;SUBSTITUTE(input_announcement_category," ","")&amp;",")))=COUNTA(TEXTSPLIT(Y26,",")))),IF(AA26="",TRUE,IF(input_announcement_category="",TRUE,SUMPRODUCT(--ISNUMBER(SEARCH(","&amp;TRIM(TEXTSPLIT(AA26,","))&amp;",",","&amp;SUBSTITUTE(input_announcement_category," ","")&amp;",")))=0)),IF(AC26="",TRUE,IF(input_announcement_category="",FALSE,SUMPRODUCT(--ISNUMBER(SEARCH(","&amp;TRIM(TEXTSPLIT(AC26,","))&amp;",",","&amp;SUBSTITUTE(input_announcement_category," ","")&amp;",")))&gt;0)),IF(AE26="",TRUE,IF(input_announcement_category="",FALSE,SUMPRODUCT(--ISNUMBER(SEARCH(","&amp;TRIM(TEXTSPLIT(AE26,","))&amp;",",","&amp;SUBSTITUTE(input_announcement_category," ","")&amp;",")))=COUNTA(TEXTSPLIT(AE26,",")))))</f>
        <v/>
      </c>
      <c r="IV26">
        <f>AND(IF(AG26="",TRUE,IF(input_area_of_focus="",FALSE,SUMPRODUCT(--ISNUMBER(SEARCH(","&amp;TRIM(TEXTSPLIT(AG26,","))&amp;",",","&amp;SUBSTITUTE(input_area_of_focus," ","")&amp;",")))&gt;0)),IF(AI26="",TRUE,IF(input_area_of_focus="",FALSE,SUMPRODUCT(--ISNUMBER(SEARCH(","&amp;TRIM(TEXTSPLIT(AI26,","))&amp;",",","&amp;SUBSTITUTE(input_area_of_focus," ","")&amp;",")))=COUNTA(TEXTSPLIT(AI26,",")))),IF(AK26="",TRUE,IF(input_area_of_focus="",TRUE,SUMPRODUCT(--ISNUMBER(SEARCH(","&amp;TRIM(TEXTSPLIT(AK26,","))&amp;",",","&amp;SUBSTITUTE(input_area_of_focus," ","")&amp;",")))=0)),IF(AM26="",TRUE,IF(input_area_of_focus="",FALSE,SUMPRODUCT(--ISNUMBER(SEARCH(","&amp;TRIM(TEXTSPLIT(AM26,","))&amp;",",","&amp;SUBSTITUTE(input_area_of_focus," ","")&amp;",")))&gt;0)),IF(AO26="",TRUE,IF(input_area_of_focus="",FALSE,SUMPRODUCT(--ISNUMBER(SEARCH(","&amp;TRIM(TEXTSPLIT(AO26,","))&amp;",",","&amp;SUBSTITUTE(input_area_of_focus," ","")&amp;",")))=COUNTA(TEXTSPLIT(AO26,",")))))</f>
        <v/>
      </c>
      <c r="IW26">
        <f>AND(IF(AQ26="",TRUE,IF(input_audience="",FALSE,SUMPRODUCT(--ISNUMBER(SEARCH(","&amp;TRIM(TEXTSPLIT(AQ26,","))&amp;",",","&amp;SUBSTITUTE(input_audience," ","")&amp;",")))&gt;0)),IF(AS26="",TRUE,IF(input_audience="",FALSE,SUMPRODUCT(--ISNUMBER(SEARCH(","&amp;TRIM(TEXTSPLIT(AS26,","))&amp;",",","&amp;SUBSTITUTE(input_audience," ","")&amp;",")))=COUNTA(TEXTSPLIT(AS26,",")))),IF(AU26="",TRUE,IF(input_audience="",TRUE,SUMPRODUCT(--ISNUMBER(SEARCH(","&amp;TRIM(TEXTSPLIT(AU26,","))&amp;",",","&amp;SUBSTITUTE(input_audience," ","")&amp;",")))=0)),IF(AW26="",TRUE,IF(input_audience="",FALSE,SUMPRODUCT(--ISNUMBER(SEARCH(","&amp;TRIM(TEXTSPLIT(AW26,","))&amp;",",","&amp;SUBSTITUTE(input_audience," ","")&amp;",")))&gt;0)),IF(AY26="",TRUE,IF(input_audience="",FALSE,SUMPRODUCT(--ISNUMBER(SEARCH(","&amp;TRIM(TEXTSPLIT(AY26,","))&amp;",",","&amp;SUBSTITUTE(input_audience," ","")&amp;",")))=COUNTA(TEXTSPLIT(AY26,",")))))</f>
        <v/>
      </c>
      <c r="IX26">
        <f>AND(IF(BA26="",TRUE,IF(input_challenge_opportunities="",FALSE,SUMPRODUCT(--ISNUMBER(SEARCH(","&amp;TRIM(TEXTSPLIT(BA26,","))&amp;",",","&amp;SUBSTITUTE(input_challenge_opportunities," ","")&amp;",")))&gt;0)),IF(BC26="",TRUE,IF(input_challenge_opportunities="",FALSE,SUMPRODUCT(--ISNUMBER(SEARCH(","&amp;TRIM(TEXTSPLIT(BC26,","))&amp;",",","&amp;SUBSTITUTE(input_challenge_opportunities," ","")&amp;",")))=COUNTA(TEXTSPLIT(BC26,",")))),IF(BE26="",TRUE,IF(input_challenge_opportunities="",TRUE,SUMPRODUCT(--ISNUMBER(SEARCH(","&amp;TRIM(TEXTSPLIT(BE26,","))&amp;",",","&amp;SUBSTITUTE(input_challenge_opportunities," ","")&amp;",")))=0)),IF(BG26="",TRUE,IF(input_challenge_opportunities="",FALSE,SUMPRODUCT(--ISNUMBER(SEARCH(","&amp;TRIM(TEXTSPLIT(BG26,","))&amp;",",","&amp;SUBSTITUTE(input_challenge_opportunities," ","")&amp;",")))&gt;0)),IF(BI26="",TRUE,IF(input_challenge_opportunities="",FALSE,SUMPRODUCT(--ISNUMBER(SEARCH(","&amp;TRIM(TEXTSPLIT(BI26,","))&amp;",",","&amp;SUBSTITUTE(input_challenge_opportunities," ","")&amp;",")))=COUNTA(TEXTSPLIT(BI26,",")))))</f>
        <v/>
      </c>
      <c r="IY26">
        <f>AND(IF(BK26="",TRUE,IF(input_context="",FALSE,SUMPRODUCT(--ISNUMBER(SEARCH(","&amp;TRIM(TEXTSPLIT(BK26,","))&amp;",",","&amp;SUBSTITUTE(input_context," ","")&amp;",")))&gt;0)),IF(BM26="",TRUE,IF(input_context="",FALSE,SUMPRODUCT(--ISNUMBER(SEARCH(","&amp;TRIM(TEXTSPLIT(BM26,","))&amp;",",","&amp;SUBSTITUTE(input_context," ","")&amp;",")))=COUNTA(TEXTSPLIT(BM26,",")))),IF(BO26="",TRUE,IF(input_context="",TRUE,SUMPRODUCT(--ISNUMBER(SEARCH(","&amp;TRIM(TEXTSPLIT(BO26,","))&amp;",",","&amp;SUBSTITUTE(input_context," ","")&amp;",")))=0)),IF(BQ26="",TRUE,IF(input_context="",FALSE,SUMPRODUCT(--ISNUMBER(SEARCH(","&amp;TRIM(TEXTSPLIT(BQ26,","))&amp;",",","&amp;SUBSTITUTE(input_context," ","")&amp;",")))&gt;0)),IF(BS26="",TRUE,IF(input_context="",FALSE,SUMPRODUCT(--ISNUMBER(SEARCH(","&amp;TRIM(TEXTSPLIT(BS26,","))&amp;",",","&amp;SUBSTITUTE(input_context," ","")&amp;",")))=COUNTA(TEXTSPLIT(BS26,",")))))</f>
        <v/>
      </c>
      <c r="IZ26">
        <f>AND(IF(BU26="",TRUE,IF(input_enews_announcement_type="",FALSE,SUMPRODUCT(--ISNUMBER(SEARCH(","&amp;TRIM(TEXTSPLIT(BU26,","))&amp;",",","&amp;SUBSTITUTE(input_enews_announcement_type," ","")&amp;",")))&gt;0)),IF(BW26="",TRUE,IF(input_enews_announcement_type="",FALSE,SUMPRODUCT(--ISNUMBER(SEARCH(","&amp;TRIM(TEXTSPLIT(BW26,","))&amp;",",","&amp;SUBSTITUTE(input_enews_announcement_type," ","")&amp;",")))=COUNTA(TEXTSPLIT(BW26,",")))),IF(BY26="",TRUE,IF(input_enews_announcement_type="",TRUE,SUMPRODUCT(--ISNUMBER(SEARCH(","&amp;TRIM(TEXTSPLIT(BY26,","))&amp;",",","&amp;SUBSTITUTE(input_enews_announcement_type," ","")&amp;",")))=0)),IF(CA26="",TRUE,IF(input_enews_announcement_type="",FALSE,SUMPRODUCT(--ISNUMBER(SEARCH(","&amp;TRIM(TEXTSPLIT(CA26,","))&amp;",",","&amp;SUBSTITUTE(input_enews_announcement_type," ","")&amp;",")))&gt;0)),IF(CC26="",TRUE,IF(input_enews_announcement_type="",FALSE,SUMPRODUCT(--ISNUMBER(SEARCH(","&amp;TRIM(TEXTSPLIT(CC26,","))&amp;",",","&amp;SUBSTITUTE(input_enews_announcement_type," ","")&amp;",")))=COUNTA(TEXTSPLIT(CC26,",")))))</f>
        <v/>
      </c>
      <c r="JA26">
        <f>AND(IF(CE26="",TRUE,IF(input_enews_audience="",FALSE,SUMPRODUCT(--ISNUMBER(SEARCH(","&amp;TRIM(TEXTSPLIT(CE26,","))&amp;",",","&amp;SUBSTITUTE(input_enews_audience," ","")&amp;",")))&gt;0)),IF(CG26="",TRUE,IF(input_enews_audience="",FALSE,SUMPRODUCT(--ISNUMBER(SEARCH(","&amp;TRIM(TEXTSPLIT(CG26,","))&amp;",",","&amp;SUBSTITUTE(input_enews_audience," ","")&amp;",")))=COUNTA(TEXTSPLIT(CG26,",")))),IF(CI26="",TRUE,IF(input_enews_audience="",TRUE,SUMPRODUCT(--ISNUMBER(SEARCH(","&amp;TRIM(TEXTSPLIT(CI26,","))&amp;",",","&amp;SUBSTITUTE(input_enews_audience," ","")&amp;",")))=0)),IF(CK26="",TRUE,IF(input_enews_audience="",FALSE,SUMPRODUCT(--ISNUMBER(SEARCH(","&amp;TRIM(TEXTSPLIT(CK26,","))&amp;",",","&amp;SUBSTITUTE(input_enews_audience," ","")&amp;",")))&gt;0)),IF(CM26="",TRUE,IF(input_enews_audience="",FALSE,SUMPRODUCT(--ISNUMBER(SEARCH(","&amp;TRIM(TEXTSPLIT(CM26,","))&amp;",",","&amp;SUBSTITUTE(input_enews_audience," ","")&amp;",")))=COUNTA(TEXTSPLIT(CM26,",")))))</f>
        <v/>
      </c>
      <c r="JB26">
        <f>AND(IF(CO26="",TRUE,IF(input_event_location="",FALSE,SUMPRODUCT(--ISNUMBER(SEARCH(","&amp;TRIM(TEXTSPLIT(CO26,","))&amp;",",","&amp;SUBSTITUTE(input_event_location," ","")&amp;",")))&gt;0)),IF(CQ26="",TRUE,IF(input_event_location="",FALSE,SUMPRODUCT(--ISNUMBER(SEARCH(","&amp;TRIM(TEXTSPLIT(CQ26,","))&amp;",",","&amp;SUBSTITUTE(input_event_location," ","")&amp;",")))=COUNTA(TEXTSPLIT(CQ26,",")))),IF(CS26="",TRUE,IF(input_event_location="",TRUE,SUMPRODUCT(--ISNUMBER(SEARCH(","&amp;TRIM(TEXTSPLIT(CS26,","))&amp;",",","&amp;SUBSTITUTE(input_event_location," ","")&amp;",")))=0)),IF(CU26="",TRUE,IF(input_event_location="",FALSE,SUMPRODUCT(--ISNUMBER(SEARCH(","&amp;TRIM(TEXTSPLIT(CU26,","))&amp;",",","&amp;SUBSTITUTE(input_event_location," ","")&amp;",")))&gt;0)),IF(CW26="",TRUE,IF(input_event_location="",FALSE,SUMPRODUCT(--ISNUMBER(SEARCH(","&amp;TRIM(TEXTSPLIT(CW26,","))&amp;",",","&amp;SUBSTITUTE(input_event_location," ","")&amp;",")))=COUNTA(TEXTSPLIT(CW26,",")))))</f>
        <v/>
      </c>
      <c r="JC26">
        <f>AND(IF(CY26="",TRUE,IF(input_event_type="",FALSE,SUMPRODUCT(--ISNUMBER(SEARCH(","&amp;TRIM(TEXTSPLIT(CY26,","))&amp;",",","&amp;SUBSTITUTE(input_event_type," ","")&amp;",")))&gt;0)),IF(DA26="",TRUE,IF(input_event_type="",FALSE,SUMPRODUCT(--ISNUMBER(SEARCH(","&amp;TRIM(TEXTSPLIT(DA26,","))&amp;",",","&amp;SUBSTITUTE(input_event_type," ","")&amp;",")))=COUNTA(TEXTSPLIT(DA26,",")))),IF(DC26="",TRUE,IF(input_event_type="",TRUE,SUMPRODUCT(--ISNUMBER(SEARCH(","&amp;TRIM(TEXTSPLIT(DC26,","))&amp;",",","&amp;SUBSTITUTE(input_event_type," ","")&amp;",")))=0)),IF(DE26="",TRUE,IF(input_event_type="",FALSE,SUMPRODUCT(--ISNUMBER(SEARCH(","&amp;TRIM(TEXTSPLIT(DE26,","))&amp;",",","&amp;SUBSTITUTE(input_event_type," ","")&amp;",")))&gt;0)),IF(DG26="",TRUE,IF(input_event_type="",FALSE,SUMPRODUCT(--ISNUMBER(SEARCH(","&amp;TRIM(TEXTSPLIT(DG26,","))&amp;",",","&amp;SUBSTITUTE(input_event_type," ","")&amp;",")))=COUNTA(TEXTSPLIT(DG26,",")))))</f>
        <v/>
      </c>
      <c r="JD26">
        <f>AND(IF(DI26="",TRUE,IF(input_executive_education_focus="",FALSE,SUMPRODUCT(--ISNUMBER(SEARCH(","&amp;TRIM(TEXTSPLIT(DI26,","))&amp;",",","&amp;SUBSTITUTE(input_executive_education_focus," ","")&amp;",")))&gt;0)),IF(DK26="",TRUE,IF(input_executive_education_focus="",FALSE,SUMPRODUCT(--ISNUMBER(SEARCH(","&amp;TRIM(TEXTSPLIT(DK26,","))&amp;",",","&amp;SUBSTITUTE(input_executive_education_focus," ","")&amp;",")))=COUNTA(TEXTSPLIT(DK26,",")))),IF(DM26="",TRUE,IF(input_executive_education_focus="",TRUE,SUMPRODUCT(--ISNUMBER(SEARCH(","&amp;TRIM(TEXTSPLIT(DM26,","))&amp;",",","&amp;SUBSTITUTE(input_executive_education_focus," ","")&amp;",")))=0)),IF(DO26="",TRUE,IF(input_executive_education_focus="",FALSE,SUMPRODUCT(--ISNUMBER(SEARCH(","&amp;TRIM(TEXTSPLIT(DO26,","))&amp;",",","&amp;SUBSTITUTE(input_executive_education_focus," ","")&amp;",")))&gt;0)),IF(DQ26="",TRUE,IF(input_executive_education_focus="",FALSE,SUMPRODUCT(--ISNUMBER(SEARCH(","&amp;TRIM(TEXTSPLIT(DQ26,","))&amp;",",","&amp;SUBSTITUTE(input_executive_education_focus," ","")&amp;",")))=COUNTA(TEXTSPLIT(DQ26,",")))))</f>
        <v/>
      </c>
      <c r="JE26">
        <f>AND(IF(DS26="",TRUE,IF(input_faculty_category="",FALSE,SUMPRODUCT(--ISNUMBER(SEARCH(","&amp;TRIM(TEXTSPLIT(DS26,","))&amp;",",","&amp;SUBSTITUTE(input_faculty_category," ","")&amp;",")))&gt;0)),IF(DU26="",TRUE,IF(input_faculty_category="",FALSE,SUMPRODUCT(--ISNUMBER(SEARCH(","&amp;TRIM(TEXTSPLIT(DU26,","))&amp;",",","&amp;SUBSTITUTE(input_faculty_category," ","")&amp;",")))=COUNTA(TEXTSPLIT(DU26,",")))),IF(DW26="",TRUE,IF(input_faculty_category="",TRUE,SUMPRODUCT(--ISNUMBER(SEARCH(","&amp;TRIM(TEXTSPLIT(DW26,","))&amp;",",","&amp;SUBSTITUTE(input_faculty_category," ","")&amp;",")))=0)),IF(DY26="",TRUE,IF(input_faculty_category="",FALSE,SUMPRODUCT(--ISNUMBER(SEARCH(","&amp;TRIM(TEXTSPLIT(DY26,","))&amp;",",","&amp;SUBSTITUTE(input_faculty_category," ","")&amp;",")))&gt;0)),IF(EA26="",TRUE,IF(input_faculty_category="",FALSE,SUMPRODUCT(--ISNUMBER(SEARCH(","&amp;TRIM(TEXTSPLIT(EA26,","))&amp;",",","&amp;SUBSTITUTE(input_faculty_category," ","")&amp;",")))=COUNTA(TEXTSPLIT(EA26,",")))))</f>
        <v/>
      </c>
      <c r="JF26">
        <f>AND(IF(EC26="",TRUE,IF(input_faculty_discipline="",FALSE,SUMPRODUCT(--ISNUMBER(SEARCH(","&amp;TRIM(TEXTSPLIT(EC26,","))&amp;",",","&amp;SUBSTITUTE(input_faculty_discipline," ","")&amp;",")))&gt;0)),IF(EE26="",TRUE,IF(input_faculty_discipline="",FALSE,SUMPRODUCT(--ISNUMBER(SEARCH(","&amp;TRIM(TEXTSPLIT(EE26,","))&amp;",",","&amp;SUBSTITUTE(input_faculty_discipline," ","")&amp;",")))=COUNTA(TEXTSPLIT(EE26,",")))),IF(EG26="",TRUE,IF(input_faculty_discipline="",TRUE,SUMPRODUCT(--ISNUMBER(SEARCH(","&amp;TRIM(TEXTSPLIT(EG26,","))&amp;",",","&amp;SUBSTITUTE(input_faculty_discipline," ","")&amp;",")))=0)),IF(EI26="",TRUE,IF(input_faculty_discipline="",FALSE,SUMPRODUCT(--ISNUMBER(SEARCH(","&amp;TRIM(TEXTSPLIT(EI26,","))&amp;",",","&amp;SUBSTITUTE(input_faculty_discipline," ","")&amp;",")))&gt;0)),IF(EK26="",TRUE,IF(input_faculty_discipline="",FALSE,SUMPRODUCT(--ISNUMBER(SEARCH(","&amp;TRIM(TEXTSPLIT(EK26,","))&amp;",",","&amp;SUBSTITUTE(input_faculty_discipline," ","")&amp;",")))=COUNTA(TEXTSPLIT(EK26,",")))))</f>
        <v/>
      </c>
      <c r="JG26">
        <f>AND(IF(EM26="",TRUE,IF(input_faculty_expertise="",FALSE,SUMPRODUCT(--ISNUMBER(SEARCH(","&amp;TRIM(TEXTSPLIT(EM26,","))&amp;",",","&amp;SUBSTITUTE(input_faculty_expertise," ","")&amp;",")))&gt;0)),IF(EO26="",TRUE,IF(input_faculty_expertise="",FALSE,SUMPRODUCT(--ISNUMBER(SEARCH(","&amp;TRIM(TEXTSPLIT(EO26,","))&amp;",",","&amp;SUBSTITUTE(input_faculty_expertise," ","")&amp;",")))=COUNTA(TEXTSPLIT(EO26,",")))),IF(EQ26="",TRUE,IF(input_faculty_expertise="",TRUE,SUMPRODUCT(--ISNUMBER(SEARCH(","&amp;TRIM(TEXTSPLIT(EQ26,","))&amp;",",","&amp;SUBSTITUTE(input_faculty_expertise," ","")&amp;",")))=0)),IF(ES26="",TRUE,IF(input_faculty_expertise="",FALSE,SUMPRODUCT(--ISNUMBER(SEARCH(","&amp;TRIM(TEXTSPLIT(ES26,","))&amp;",",","&amp;SUBSTITUTE(input_faculty_expertise," ","")&amp;",")))&gt;0)),IF(EU26="",TRUE,IF(input_faculty_expertise="",FALSE,SUMPRODUCT(--ISNUMBER(SEARCH(","&amp;TRIM(TEXTSPLIT(EU26,","))&amp;",",","&amp;SUBSTITUTE(input_faculty_expertise," ","")&amp;",")))=COUNTA(TEXTSPLIT(EU26,",")))))</f>
        <v/>
      </c>
      <c r="JH26">
        <f>AND(IF(EW26="",TRUE,IF(input_global_network_school="",FALSE,SUMPRODUCT(--ISNUMBER(SEARCH(","&amp;TRIM(TEXTSPLIT(EW26,","))&amp;",",","&amp;SUBSTITUTE(input_global_network_school," ","")&amp;",")))&gt;0)),IF(EY26="",TRUE,IF(input_global_network_school="",FALSE,SUMPRODUCT(--ISNUMBER(SEARCH(","&amp;TRIM(TEXTSPLIT(EY26,","))&amp;",",","&amp;SUBSTITUTE(input_global_network_school," ","")&amp;",")))=COUNTA(TEXTSPLIT(EY26,",")))),IF(FA26="",TRUE,IF(input_global_network_school="",TRUE,SUMPRODUCT(--ISNUMBER(SEARCH(","&amp;TRIM(TEXTSPLIT(FA26,","))&amp;",",","&amp;SUBSTITUTE(input_global_network_school," ","")&amp;",")))=0)),IF(FC26="",TRUE,IF(input_global_network_school="",FALSE,SUMPRODUCT(--ISNUMBER(SEARCH(","&amp;TRIM(TEXTSPLIT(FC26,","))&amp;",",","&amp;SUBSTITUTE(input_global_network_school," ","")&amp;",")))&gt;0)),IF(FE26="",TRUE,IF(input_global_network_school="",FALSE,SUMPRODUCT(--ISNUMBER(SEARCH(","&amp;TRIM(TEXTSPLIT(FE26,","))&amp;",",","&amp;SUBSTITUTE(input_global_network_school," ","")&amp;",")))=COUNTA(TEXTSPLIT(FE26,",")))))</f>
        <v/>
      </c>
      <c r="JI26">
        <f>AND(IF(FG26="",TRUE,IF(input_industry="",FALSE,SUMPRODUCT(--ISNUMBER(SEARCH(","&amp;TRIM(TEXTSPLIT(FG26,","))&amp;",",","&amp;SUBSTITUTE(input_industry," ","")&amp;",")))&gt;0)),IF(FI26="",TRUE,IF(input_industry="",FALSE,SUMPRODUCT(--ISNUMBER(SEARCH(","&amp;TRIM(TEXTSPLIT(FI26,","))&amp;",",","&amp;SUBSTITUTE(input_industry," ","")&amp;",")))=COUNTA(TEXTSPLIT(FI26,",")))),IF(FK26="",TRUE,IF(input_industry="",TRUE,SUMPRODUCT(--ISNUMBER(SEARCH(","&amp;TRIM(TEXTSPLIT(FK26,","))&amp;",",","&amp;SUBSTITUTE(input_industry," ","")&amp;",")))=0)),IF(FM26="",TRUE,IF(input_industry="",FALSE,SUMPRODUCT(--ISNUMBER(SEARCH(","&amp;TRIM(TEXTSPLIT(FM26,","))&amp;",",","&amp;SUBSTITUTE(input_industry," ","")&amp;",")))&gt;0)),IF(FO26="",TRUE,IF(input_industry="",FALSE,SUMPRODUCT(--ISNUMBER(SEARCH(","&amp;TRIM(TEXTSPLIT(FO26,","))&amp;",",","&amp;SUBSTITUTE(input_industry," ","")&amp;",")))=COUNTA(TEXTSPLIT(FO26,",")))))</f>
        <v/>
      </c>
      <c r="JJ26">
        <f>AND(IF(FQ26="",TRUE,IF(input_location="",FALSE,SUMPRODUCT(--ISNUMBER(SEARCH(","&amp;TRIM(TEXTSPLIT(FQ26,","))&amp;",",","&amp;SUBSTITUTE(input_location," ","")&amp;",")))&gt;0)),IF(FS26="",TRUE,IF(input_location="",FALSE,SUMPRODUCT(--ISNUMBER(SEARCH(","&amp;TRIM(TEXTSPLIT(FS26,","))&amp;",",","&amp;SUBSTITUTE(input_location," ","")&amp;",")))=COUNTA(TEXTSPLIT(FS26,",")))),IF(FU26="",TRUE,IF(input_location="",TRUE,SUMPRODUCT(--ISNUMBER(SEARCH(","&amp;TRIM(TEXTSPLIT(FU26,","))&amp;",",","&amp;SUBSTITUTE(input_location," ","")&amp;",")))=0)),IF(FW26="",TRUE,IF(input_location="",FALSE,SUMPRODUCT(--ISNUMBER(SEARCH(","&amp;TRIM(TEXTSPLIT(FW26,","))&amp;",",","&amp;SUBSTITUTE(input_location," ","")&amp;",")))&gt;0)),IF(FY26="",TRUE,IF(input_location="",FALSE,SUMPRODUCT(--ISNUMBER(SEARCH(","&amp;TRIM(TEXTSPLIT(FY26,","))&amp;",",","&amp;SUBSTITUTE(input_location," ","")&amp;",")))=COUNTA(TEXTSPLIT(FY26,",")))))</f>
        <v/>
      </c>
      <c r="JK26">
        <f>AND(IF(GA26="",TRUE,IF(input_modality="",FALSE,SUMPRODUCT(--ISNUMBER(SEARCH(","&amp;TRIM(TEXTSPLIT(GA26,","))&amp;",",","&amp;SUBSTITUTE(input_modality," ","")&amp;",")))&gt;0)),IF(GC26="",TRUE,IF(input_modality="",FALSE,SUMPRODUCT(--ISNUMBER(SEARCH(","&amp;TRIM(TEXTSPLIT(GC26,","))&amp;",",","&amp;SUBSTITUTE(input_modality," ","")&amp;",")))=COUNTA(TEXTSPLIT(GC26,",")))),IF(GE26="",TRUE,IF(input_modality="",TRUE,SUMPRODUCT(--ISNUMBER(SEARCH(","&amp;TRIM(TEXTSPLIT(GE26,","))&amp;",",","&amp;SUBSTITUTE(input_modality," ","")&amp;",")))=0)),IF(GG26="",TRUE,IF(input_modality="",FALSE,SUMPRODUCT(--ISNUMBER(SEARCH(","&amp;TRIM(TEXTSPLIT(GG26,","))&amp;",",","&amp;SUBSTITUTE(input_modality," ","")&amp;",")))&gt;0)),IF(GI26="",TRUE,IF(input_modality="",FALSE,SUMPRODUCT(--ISNUMBER(SEARCH(","&amp;TRIM(TEXTSPLIT(GI26,","))&amp;",",","&amp;SUBSTITUTE(input_modality," ","")&amp;",")))=COUNTA(TEXTSPLIT(GI26,",")))))</f>
        <v/>
      </c>
      <c r="JL26">
        <f>AND(IF(GK26="",TRUE,IF(input_organizer="",FALSE,SUMPRODUCT(--ISNUMBER(SEARCH(","&amp;TRIM(TEXTSPLIT(GK26,","))&amp;",",","&amp;SUBSTITUTE(input_organizer," ","")&amp;",")))&gt;0)),IF(GM26="",TRUE,IF(input_organizer="",FALSE,SUMPRODUCT(--ISNUMBER(SEARCH(","&amp;TRIM(TEXTSPLIT(GM26,","))&amp;",",","&amp;SUBSTITUTE(input_organizer," ","")&amp;",")))=COUNTA(TEXTSPLIT(GM26,",")))),IF(GO26="",TRUE,IF(input_organizer="",TRUE,SUMPRODUCT(--ISNUMBER(SEARCH(","&amp;TRIM(TEXTSPLIT(GO26,","))&amp;",",","&amp;SUBSTITUTE(input_organizer," ","")&amp;",")))=0)),IF(GQ26="",TRUE,IF(input_organizer="",FALSE,SUMPRODUCT(--ISNUMBER(SEARCH(","&amp;TRIM(TEXTSPLIT(GQ26,","))&amp;",",","&amp;SUBSTITUTE(input_organizer," ","")&amp;",")))&gt;0)),IF(GS26="",TRUE,IF(input_organizer="",FALSE,SUMPRODUCT(--ISNUMBER(SEARCH(","&amp;TRIM(TEXTSPLIT(GS26,","))&amp;",",","&amp;SUBSTITUTE(input_organizer," ","")&amp;",")))=COUNTA(TEXTSPLIT(GS26,",")))))</f>
        <v/>
      </c>
      <c r="JM26">
        <f>AND(IF(GU26="",TRUE,IF(input_profile_type="",FALSE,SUMPRODUCT(--ISNUMBER(SEARCH(","&amp;TRIM(TEXTSPLIT(GU26,","))&amp;",",","&amp;SUBSTITUTE(input_profile_type," ","")&amp;",")))&gt;0)),IF(GW26="",TRUE,IF(input_profile_type="",FALSE,SUMPRODUCT(--ISNUMBER(SEARCH(","&amp;TRIM(TEXTSPLIT(GW26,","))&amp;",",","&amp;SUBSTITUTE(input_profile_type," ","")&amp;",")))=COUNTA(TEXTSPLIT(GW26,",")))),IF(GY26="",TRUE,IF(input_profile_type="",TRUE,SUMPRODUCT(--ISNUMBER(SEARCH(","&amp;TRIM(TEXTSPLIT(GY26,","))&amp;",",","&amp;SUBSTITUTE(input_profile_type," ","")&amp;",")))=0)),IF(HA26="",TRUE,IF(input_profile_type="",FALSE,SUMPRODUCT(--ISNUMBER(SEARCH(","&amp;TRIM(TEXTSPLIT(HA26,","))&amp;",",","&amp;SUBSTITUTE(input_profile_type," ","")&amp;",")))&gt;0)),IF(HC26="",TRUE,IF(input_profile_type="",FALSE,SUMPRODUCT(--ISNUMBER(SEARCH(","&amp;TRIM(TEXTSPLIT(HC26,","))&amp;",",","&amp;SUBSTITUTE(input_profile_type," ","")&amp;",")))=COUNTA(TEXTSPLIT(HC26,",")))))</f>
        <v/>
      </c>
      <c r="JN26">
        <f>AND(IF(HE26="",TRUE,IF(input_program="",FALSE,SUMPRODUCT(--ISNUMBER(SEARCH(","&amp;TRIM(TEXTSPLIT(HE26,","))&amp;",",","&amp;SUBSTITUTE(input_program," ","")&amp;",")))&gt;0)),IF(HG26="",TRUE,IF(input_program="",FALSE,SUMPRODUCT(--ISNUMBER(SEARCH(","&amp;TRIM(TEXTSPLIT(HG26,","))&amp;",",","&amp;SUBSTITUTE(input_program," ","")&amp;",")))=COUNTA(TEXTSPLIT(HG26,",")))),IF(HI26="",TRUE,IF(input_program="",TRUE,SUMPRODUCT(--ISNUMBER(SEARCH(","&amp;TRIM(TEXTSPLIT(HI26,","))&amp;",",","&amp;SUBSTITUTE(input_program," ","")&amp;",")))=0)),IF(HK26="",TRUE,IF(input_program="",FALSE,SUMPRODUCT(--ISNUMBER(SEARCH(","&amp;TRIM(TEXTSPLIT(HK26,","))&amp;",",","&amp;SUBSTITUTE(input_program," ","")&amp;",")))&gt;0)),IF(HM26="",TRUE,IF(input_program="",FALSE,SUMPRODUCT(--ISNUMBER(SEARCH(","&amp;TRIM(TEXTSPLIT(HM26,","))&amp;",",","&amp;SUBSTITUTE(input_program," ","")&amp;",")))=COUNTA(TEXTSPLIT(HM26,",")))))</f>
        <v/>
      </c>
      <c r="JO26">
        <f>AND(IF(HO26="",TRUE,IF(input_story_categories="",FALSE,SUMPRODUCT(--ISNUMBER(SEARCH(","&amp;TRIM(TEXTSPLIT(HO26,","))&amp;",",","&amp;SUBSTITUTE(input_story_categories," ","")&amp;",")))&gt;0)),IF(HQ26="",TRUE,IF(input_story_categories="",FALSE,SUMPRODUCT(--ISNUMBER(SEARCH(","&amp;TRIM(TEXTSPLIT(HQ26,","))&amp;",",","&amp;SUBSTITUTE(input_story_categories," ","")&amp;",")))=COUNTA(TEXTSPLIT(HQ26,",")))),IF(HS26="",TRUE,IF(input_story_categories="",TRUE,SUMPRODUCT(--ISNUMBER(SEARCH(","&amp;TRIM(TEXTSPLIT(HS26,","))&amp;",",","&amp;SUBSTITUTE(input_story_categories," ","")&amp;",")))=0)),IF(HU26="",TRUE,IF(input_story_categories="",FALSE,SUMPRODUCT(--ISNUMBER(SEARCH(","&amp;TRIM(TEXTSPLIT(HU26,","))&amp;",",","&amp;SUBSTITUTE(input_story_categories," ","")&amp;",")))&gt;0)),IF(HW26="",TRUE,IF(input_story_categories="",FALSE,SUMPRODUCT(--ISNUMBER(SEARCH(","&amp;TRIM(TEXTSPLIT(HW26,","))&amp;",",","&amp;SUBSTITUTE(input_story_categories," ","")&amp;",")))=COUNTA(TEXTSPLIT(HW26,",")))))</f>
        <v/>
      </c>
      <c r="JP26">
        <f>AND(IF(HY26="",TRUE,IF(input_story_type="",FALSE,SUMPRODUCT(--ISNUMBER(SEARCH(","&amp;TRIM(TEXTSPLIT(HY26,","))&amp;",",","&amp;SUBSTITUTE(input_story_type," ","")&amp;",")))&gt;0)),IF(IA26="",TRUE,IF(input_story_type="",FALSE,SUMPRODUCT(--ISNUMBER(SEARCH(","&amp;TRIM(TEXTSPLIT(IA26,","))&amp;",",","&amp;SUBSTITUTE(input_story_type," ","")&amp;",")))=COUNTA(TEXTSPLIT(IA26,",")))),IF(IC26="",TRUE,IF(input_story_type="",TRUE,SUMPRODUCT(--ISNUMBER(SEARCH(","&amp;TRIM(TEXTSPLIT(IC26,","))&amp;",",","&amp;SUBSTITUTE(input_story_type," ","")&amp;",")))=0)),IF(IE26="",TRUE,IF(input_story_type="",FALSE,SUMPRODUCT(--ISNUMBER(SEARCH(","&amp;TRIM(TEXTSPLIT(IE26,","))&amp;",",","&amp;SUBSTITUTE(input_story_type," ","")&amp;",")))&gt;0)),IF(IG26="",TRUE,IF(input_story_type="",FALSE,SUMPRODUCT(--ISNUMBER(SEARCH(","&amp;TRIM(TEXTSPLIT(IG26,","))&amp;",",","&amp;SUBSTITUTE(input_story_type," ","")&amp;",")))=COUNTA(TEXTSPLIT(IG26,",")))))</f>
        <v/>
      </c>
      <c r="JQ26">
        <f>AND(IF(II26="",TRUE,IF(input_topics="",FALSE,SUMPRODUCT(--ISNUMBER(SEARCH(","&amp;TRIM(TEXTSPLIT(II26,","))&amp;",",","&amp;SUBSTITUTE(input_topics," ","")&amp;",")))&gt;0)),IF(IK26="",TRUE,IF(input_topics="",FALSE,SUMPRODUCT(--ISNUMBER(SEARCH(","&amp;TRIM(TEXTSPLIT(IK26,","))&amp;",",","&amp;SUBSTITUTE(input_topics," ","")&amp;",")))=COUNTA(TEXTSPLIT(IK26,",")))),IF(IM26="",TRUE,IF(input_topics="",TRUE,SUMPRODUCT(--ISNUMBER(SEARCH(","&amp;TRIM(TEXTSPLIT(IM26,","))&amp;",",","&amp;SUBSTITUTE(input_topics," ","")&amp;",")))=0)),IF(IO26="",TRUE,IF(input_topics="",FALSE,SUMPRODUCT(--ISNUMBER(SEARCH(","&amp;TRIM(TEXTSPLIT(IO26,","))&amp;",",","&amp;SUBSTITUTE(input_topics," ","")&amp;",")))&gt;0)),IF(IQ26="",TRUE,IF(input_topics="",FALSE,SUMPRODUCT(--ISNUMBER(SEARCH(","&amp;TRIM(TEXTSPLIT(IQ26,","))&amp;",",","&amp;SUBSTITUTE(input_topics," ","")&amp;",")))=COUNTA(TEXTSPLIT(IQ26,",")))))</f>
        <v/>
      </c>
    </row>
    <row r="27">
      <c r="A27" s="4">
        <f>IF(NOT(IS27),"Excluded",IF(AND(IT27,IU27,IV27,IW27,IX27,IY27,IZ27,JA27,JB27,JC27,JD27,JE27,JF27,JG27,JH27,JI27,JJ27,JK27,JL27,JM27,JN27,JO27,JP27,JQ27),IF(I27&gt;0,"Eligible but limited","Will appear"),"Excluded"))</f>
        <v/>
      </c>
      <c r="B27" s="4" t="inlineStr">
        <is>
          <t>All Publications by Author</t>
        </is>
      </c>
      <c r="C27" s="4" t="inlineStr">
        <is>
          <t>/faculty-research/faculty-directory/faidra-monachou</t>
        </is>
      </c>
      <c r="D27" s="4" t="inlineStr">
        <is>
          <t>/faculty-research/faculty-directory/faidra-monachou</t>
        </is>
      </c>
      <c r="E27" s="4" t="n">
        <v>1</v>
      </c>
      <c r="F27" s="4" t="inlineStr">
        <is>
          <t>publications</t>
        </is>
      </c>
      <c r="G27" s="4" t="inlineStr">
        <is>
          <t>publication_teaser_list</t>
        </is>
      </c>
      <c r="H27" s="4" t="inlineStr">
        <is>
          <t>publication_teaser_list_all_by_author</t>
        </is>
      </c>
      <c r="I27" s="4" t="inlineStr"/>
      <c r="J27" s="4" t="inlineStr">
        <is>
          <t>View/config rules</t>
        </is>
      </c>
      <c r="K27" s="4" t="inlineStr">
        <is>
          <t>Page placement</t>
        </is>
      </c>
      <c r="L27" s="4" t="inlineStr">
        <is>
          <t>Content type: publications; Source: View/config rules</t>
        </is>
      </c>
      <c r="M27" t="inlineStr"/>
      <c r="N27" t="inlineStr"/>
      <c r="O27" t="inlineStr"/>
      <c r="P27" t="inlineStr"/>
      <c r="Q27" t="inlineStr"/>
      <c r="R27" t="inlineStr"/>
      <c r="S27" t="inlineStr"/>
      <c r="T27" t="inlineStr"/>
      <c r="U27" t="inlineStr"/>
      <c r="V27" t="inlineStr"/>
      <c r="W27" t="inlineStr"/>
      <c r="X27" t="inlineStr"/>
      <c r="Y27" t="inlineStr"/>
      <c r="Z27" t="inlineStr"/>
      <c r="AA27" t="inlineStr"/>
      <c r="AB27" t="inlineStr"/>
      <c r="AC27" t="inlineStr"/>
      <c r="AD27" t="inlineStr"/>
      <c r="AE27" t="inlineStr"/>
      <c r="AF27" t="inlineStr"/>
      <c r="AG27" t="inlineStr"/>
      <c r="AH27" t="inlineStr"/>
      <c r="AI27" t="inlineStr"/>
      <c r="AJ27" t="inlineStr"/>
      <c r="AK27" t="inlineStr"/>
      <c r="AL27" t="inlineStr"/>
      <c r="AM27" t="inlineStr"/>
      <c r="AN27" t="inlineStr"/>
      <c r="AO27" t="inlineStr"/>
      <c r="AP27" t="inlineStr"/>
      <c r="AQ27" t="inlineStr"/>
      <c r="AR27" t="inlineStr"/>
      <c r="AS27" t="inlineStr"/>
      <c r="AT27" t="inlineStr"/>
      <c r="AU27" t="inlineStr"/>
      <c r="AV27" t="inlineStr"/>
      <c r="AW27" t="inlineStr"/>
      <c r="AX27" t="inlineStr"/>
      <c r="AY27" t="inlineStr"/>
      <c r="AZ27" t="inlineStr"/>
      <c r="BA27" t="inlineStr"/>
      <c r="BB27" t="inlineStr"/>
      <c r="BC27" t="inlineStr"/>
      <c r="BD27" t="inlineStr"/>
      <c r="BE27" t="inlineStr"/>
      <c r="BF27" t="inlineStr"/>
      <c r="BG27" t="inlineStr"/>
      <c r="BH27" t="inlineStr"/>
      <c r="BI27" t="inlineStr"/>
      <c r="BJ27" t="inlineStr"/>
      <c r="BK27" t="inlineStr"/>
      <c r="BL27" t="inlineStr"/>
      <c r="BM27" t="inlineStr"/>
      <c r="BN27" t="inlineStr"/>
      <c r="BO27" t="inlineStr"/>
      <c r="BP27" t="inlineStr"/>
      <c r="BQ27" t="inlineStr"/>
      <c r="BR27" t="inlineStr"/>
      <c r="BS27" t="inlineStr"/>
      <c r="BT27" t="inlineStr"/>
      <c r="BU27" t="inlineStr"/>
      <c r="BV27" t="inlineStr"/>
      <c r="BW27" t="inlineStr"/>
      <c r="BX27" t="inlineStr"/>
      <c r="BY27" t="inlineStr"/>
      <c r="BZ27" t="inlineStr"/>
      <c r="CA27" t="inlineStr"/>
      <c r="CB27" t="inlineStr"/>
      <c r="CC27" t="inlineStr"/>
      <c r="CD27" t="inlineStr"/>
      <c r="CE27" t="inlineStr"/>
      <c r="CF27" t="inlineStr"/>
      <c r="CG27" t="inlineStr"/>
      <c r="CH27" t="inlineStr"/>
      <c r="CI27" t="inlineStr"/>
      <c r="CJ27" t="inlineStr"/>
      <c r="CK27" t="inlineStr"/>
      <c r="CL27" t="inlineStr"/>
      <c r="CM27" t="inlineStr"/>
      <c r="CN27" t="inlineStr"/>
      <c r="CO27" t="inlineStr"/>
      <c r="CP27" t="inlineStr"/>
      <c r="CQ27" t="inlineStr"/>
      <c r="CR27" t="inlineStr"/>
      <c r="CS27" t="inlineStr"/>
      <c r="CT27" t="inlineStr"/>
      <c r="CU27" t="inlineStr"/>
      <c r="CV27" t="inlineStr"/>
      <c r="CW27" t="inlineStr"/>
      <c r="CX27" t="inlineStr"/>
      <c r="CY27" t="inlineStr"/>
      <c r="CZ27" t="inlineStr"/>
      <c r="DA27" t="inlineStr"/>
      <c r="DB27" t="inlineStr"/>
      <c r="DC27" t="inlineStr"/>
      <c r="DD27" t="inlineStr"/>
      <c r="DE27" t="inlineStr"/>
      <c r="DF27" t="inlineStr"/>
      <c r="DG27" t="inlineStr"/>
      <c r="DH27" t="inlineStr"/>
      <c r="DI27" t="inlineStr"/>
      <c r="DJ27" t="inlineStr"/>
      <c r="DK27" t="inlineStr"/>
      <c r="DL27" t="inlineStr"/>
      <c r="DM27" t="inlineStr"/>
      <c r="DN27" t="inlineStr"/>
      <c r="DO27" t="inlineStr"/>
      <c r="DP27" t="inlineStr"/>
      <c r="DQ27" t="inlineStr"/>
      <c r="DR27" t="inlineStr"/>
      <c r="DS27" t="inlineStr"/>
      <c r="DT27" t="inlineStr"/>
      <c r="DU27" t="inlineStr"/>
      <c r="DV27" t="inlineStr"/>
      <c r="DW27" t="inlineStr"/>
      <c r="DX27" t="inlineStr"/>
      <c r="DY27" t="inlineStr"/>
      <c r="DZ27" t="inlineStr"/>
      <c r="EA27" t="inlineStr"/>
      <c r="EB27" t="inlineStr"/>
      <c r="EC27" t="inlineStr"/>
      <c r="ED27" t="inlineStr"/>
      <c r="EE27" t="inlineStr"/>
      <c r="EF27" t="inlineStr"/>
      <c r="EG27" t="inlineStr"/>
      <c r="EH27" t="inlineStr"/>
      <c r="EI27" t="inlineStr"/>
      <c r="EJ27" t="inlineStr"/>
      <c r="EK27" t="inlineStr"/>
      <c r="EL27" t="inlineStr"/>
      <c r="EM27" t="inlineStr"/>
      <c r="EN27" t="inlineStr"/>
      <c r="EO27" t="inlineStr"/>
      <c r="EP27" t="inlineStr"/>
      <c r="EQ27" t="inlineStr"/>
      <c r="ER27" t="inlineStr"/>
      <c r="ES27" t="inlineStr"/>
      <c r="ET27" t="inlineStr"/>
      <c r="EU27" t="inlineStr"/>
      <c r="EV27" t="inlineStr"/>
      <c r="EW27" t="inlineStr"/>
      <c r="EX27" t="inlineStr"/>
      <c r="EY27" t="inlineStr"/>
      <c r="EZ27" t="inlineStr"/>
      <c r="FA27" t="inlineStr"/>
      <c r="FB27" t="inlineStr"/>
      <c r="FC27" t="inlineStr"/>
      <c r="FD27" t="inlineStr"/>
      <c r="FE27" t="inlineStr"/>
      <c r="FF27" t="inlineStr"/>
      <c r="FG27" t="inlineStr"/>
      <c r="FH27" t="inlineStr"/>
      <c r="FI27" t="inlineStr"/>
      <c r="FJ27" t="inlineStr"/>
      <c r="FK27" t="inlineStr"/>
      <c r="FL27" t="inlineStr"/>
      <c r="FM27" t="inlineStr"/>
      <c r="FN27" t="inlineStr"/>
      <c r="FO27" t="inlineStr"/>
      <c r="FP27" t="inlineStr"/>
      <c r="FQ27" t="inlineStr"/>
      <c r="FR27" t="inlineStr"/>
      <c r="FS27" t="inlineStr"/>
      <c r="FT27" t="inlineStr"/>
      <c r="FU27" t="inlineStr"/>
      <c r="FV27" t="inlineStr"/>
      <c r="FW27" t="inlineStr"/>
      <c r="FX27" t="inlineStr"/>
      <c r="FY27" t="inlineStr"/>
      <c r="FZ27" t="inlineStr"/>
      <c r="GA27" t="inlineStr"/>
      <c r="GB27" t="inlineStr"/>
      <c r="GC27" t="inlineStr"/>
      <c r="GD27" t="inlineStr"/>
      <c r="GE27" t="inlineStr"/>
      <c r="GF27" t="inlineStr"/>
      <c r="GG27" t="inlineStr"/>
      <c r="GH27" t="inlineStr"/>
      <c r="GI27" t="inlineStr"/>
      <c r="GJ27" t="inlineStr"/>
      <c r="GK27" t="inlineStr"/>
      <c r="GL27" t="inlineStr"/>
      <c r="GM27" t="inlineStr"/>
      <c r="GN27" t="inlineStr"/>
      <c r="GO27" t="inlineStr"/>
      <c r="GP27" t="inlineStr"/>
      <c r="GQ27" t="inlineStr"/>
      <c r="GR27" t="inlineStr"/>
      <c r="GS27" t="inlineStr"/>
      <c r="GT27" t="inlineStr"/>
      <c r="GU27" t="inlineStr"/>
      <c r="GV27" t="inlineStr"/>
      <c r="GW27" t="inlineStr"/>
      <c r="GX27" t="inlineStr"/>
      <c r="GY27" t="inlineStr"/>
      <c r="GZ27" t="inlineStr"/>
      <c r="HA27" t="inlineStr"/>
      <c r="HB27" t="inlineStr"/>
      <c r="HC27" t="inlineStr"/>
      <c r="HD27" t="inlineStr"/>
      <c r="HE27" t="inlineStr"/>
      <c r="HF27" t="inlineStr"/>
      <c r="HG27" t="inlineStr"/>
      <c r="HH27" t="inlineStr"/>
      <c r="HI27" t="inlineStr"/>
      <c r="HJ27" t="inlineStr"/>
      <c r="HK27" t="inlineStr"/>
      <c r="HL27" t="inlineStr"/>
      <c r="HM27" t="inlineStr"/>
      <c r="HN27" t="inlineStr"/>
      <c r="HO27" t="inlineStr"/>
      <c r="HP27" t="inlineStr"/>
      <c r="HQ27" t="inlineStr"/>
      <c r="HR27" t="inlineStr"/>
      <c r="HS27" t="inlineStr"/>
      <c r="HT27" t="inlineStr"/>
      <c r="HU27" t="inlineStr"/>
      <c r="HV27" t="inlineStr"/>
      <c r="HW27" t="inlineStr"/>
      <c r="HX27" t="inlineStr"/>
      <c r="HY27" t="inlineStr"/>
      <c r="HZ27" t="inlineStr"/>
      <c r="IA27" t="inlineStr"/>
      <c r="IB27" t="inlineStr"/>
      <c r="IC27" t="inlineStr"/>
      <c r="ID27" t="inlineStr"/>
      <c r="IE27" t="inlineStr"/>
      <c r="IF27" t="inlineStr"/>
      <c r="IG27" t="inlineStr"/>
      <c r="IH27" t="inlineStr"/>
      <c r="II27" t="inlineStr"/>
      <c r="IJ27" t="inlineStr"/>
      <c r="IK27" t="inlineStr"/>
      <c r="IL27" t="inlineStr"/>
      <c r="IM27" t="inlineStr"/>
      <c r="IN27" t="inlineStr"/>
      <c r="IO27" t="inlineStr"/>
      <c r="IP27" t="inlineStr"/>
      <c r="IQ27" t="inlineStr"/>
      <c r="IR27" t="inlineStr"/>
      <c r="IS27">
        <f>IF(input_content_type="",FALSE,ISNUMBER(SEARCH(","&amp;LOWER(input_content_type)&amp;",",","&amp;LOWER(F27)&amp;",")))</f>
        <v/>
      </c>
      <c r="IT27">
        <f>AND(IF(M27="",TRUE,IF(input_affiliations="",FALSE,SUMPRODUCT(--ISNUMBER(SEARCH(","&amp;TRIM(TEXTSPLIT(M27,","))&amp;",",","&amp;SUBSTITUTE(input_affiliations," ","")&amp;",")))&gt;0)),IF(O27="",TRUE,IF(input_affiliations="",FALSE,SUMPRODUCT(--ISNUMBER(SEARCH(","&amp;TRIM(TEXTSPLIT(O27,","))&amp;",",","&amp;SUBSTITUTE(input_affiliations," ","")&amp;",")))=COUNTA(TEXTSPLIT(O27,",")))),IF(Q27="",TRUE,IF(input_affiliations="",TRUE,SUMPRODUCT(--ISNUMBER(SEARCH(","&amp;TRIM(TEXTSPLIT(Q27,","))&amp;",",","&amp;SUBSTITUTE(input_affiliations," ","")&amp;",")))=0)),IF(S27="",TRUE,IF(input_affiliations="",FALSE,SUMPRODUCT(--ISNUMBER(SEARCH(","&amp;TRIM(TEXTSPLIT(S27,","))&amp;",",","&amp;SUBSTITUTE(input_affiliations," ","")&amp;",")))&gt;0)),IF(U27="",TRUE,IF(input_affiliations="",FALSE,SUMPRODUCT(--ISNUMBER(SEARCH(","&amp;TRIM(TEXTSPLIT(U27,","))&amp;",",","&amp;SUBSTITUTE(input_affiliations," ","")&amp;",")))=COUNTA(TEXTSPLIT(U27,",")))))</f>
        <v/>
      </c>
      <c r="IU27">
        <f>AND(IF(W27="",TRUE,IF(input_announcement_category="",FALSE,SUMPRODUCT(--ISNUMBER(SEARCH(","&amp;TRIM(TEXTSPLIT(W27,","))&amp;",",","&amp;SUBSTITUTE(input_announcement_category," ","")&amp;",")))&gt;0)),IF(Y27="",TRUE,IF(input_announcement_category="",FALSE,SUMPRODUCT(--ISNUMBER(SEARCH(","&amp;TRIM(TEXTSPLIT(Y27,","))&amp;",",","&amp;SUBSTITUTE(input_announcement_category," ","")&amp;",")))=COUNTA(TEXTSPLIT(Y27,",")))),IF(AA27="",TRUE,IF(input_announcement_category="",TRUE,SUMPRODUCT(--ISNUMBER(SEARCH(","&amp;TRIM(TEXTSPLIT(AA27,","))&amp;",",","&amp;SUBSTITUTE(input_announcement_category," ","")&amp;",")))=0)),IF(AC27="",TRUE,IF(input_announcement_category="",FALSE,SUMPRODUCT(--ISNUMBER(SEARCH(","&amp;TRIM(TEXTSPLIT(AC27,","))&amp;",",","&amp;SUBSTITUTE(input_announcement_category," ","")&amp;",")))&gt;0)),IF(AE27="",TRUE,IF(input_announcement_category="",FALSE,SUMPRODUCT(--ISNUMBER(SEARCH(","&amp;TRIM(TEXTSPLIT(AE27,","))&amp;",",","&amp;SUBSTITUTE(input_announcement_category," ","")&amp;",")))=COUNTA(TEXTSPLIT(AE27,",")))))</f>
        <v/>
      </c>
      <c r="IV27">
        <f>AND(IF(AG27="",TRUE,IF(input_area_of_focus="",FALSE,SUMPRODUCT(--ISNUMBER(SEARCH(","&amp;TRIM(TEXTSPLIT(AG27,","))&amp;",",","&amp;SUBSTITUTE(input_area_of_focus," ","")&amp;",")))&gt;0)),IF(AI27="",TRUE,IF(input_area_of_focus="",FALSE,SUMPRODUCT(--ISNUMBER(SEARCH(","&amp;TRIM(TEXTSPLIT(AI27,","))&amp;",",","&amp;SUBSTITUTE(input_area_of_focus," ","")&amp;",")))=COUNTA(TEXTSPLIT(AI27,",")))),IF(AK27="",TRUE,IF(input_area_of_focus="",TRUE,SUMPRODUCT(--ISNUMBER(SEARCH(","&amp;TRIM(TEXTSPLIT(AK27,","))&amp;",",","&amp;SUBSTITUTE(input_area_of_focus," ","")&amp;",")))=0)),IF(AM27="",TRUE,IF(input_area_of_focus="",FALSE,SUMPRODUCT(--ISNUMBER(SEARCH(","&amp;TRIM(TEXTSPLIT(AM27,","))&amp;",",","&amp;SUBSTITUTE(input_area_of_focus," ","")&amp;",")))&gt;0)),IF(AO27="",TRUE,IF(input_area_of_focus="",FALSE,SUMPRODUCT(--ISNUMBER(SEARCH(","&amp;TRIM(TEXTSPLIT(AO27,","))&amp;",",","&amp;SUBSTITUTE(input_area_of_focus," ","")&amp;",")))=COUNTA(TEXTSPLIT(AO27,",")))))</f>
        <v/>
      </c>
      <c r="IW27">
        <f>AND(IF(AQ27="",TRUE,IF(input_audience="",FALSE,SUMPRODUCT(--ISNUMBER(SEARCH(","&amp;TRIM(TEXTSPLIT(AQ27,","))&amp;",",","&amp;SUBSTITUTE(input_audience," ","")&amp;",")))&gt;0)),IF(AS27="",TRUE,IF(input_audience="",FALSE,SUMPRODUCT(--ISNUMBER(SEARCH(","&amp;TRIM(TEXTSPLIT(AS27,","))&amp;",",","&amp;SUBSTITUTE(input_audience," ","")&amp;",")))=COUNTA(TEXTSPLIT(AS27,",")))),IF(AU27="",TRUE,IF(input_audience="",TRUE,SUMPRODUCT(--ISNUMBER(SEARCH(","&amp;TRIM(TEXTSPLIT(AU27,","))&amp;",",","&amp;SUBSTITUTE(input_audience," ","")&amp;",")))=0)),IF(AW27="",TRUE,IF(input_audience="",FALSE,SUMPRODUCT(--ISNUMBER(SEARCH(","&amp;TRIM(TEXTSPLIT(AW27,","))&amp;",",","&amp;SUBSTITUTE(input_audience," ","")&amp;",")))&gt;0)),IF(AY27="",TRUE,IF(input_audience="",FALSE,SUMPRODUCT(--ISNUMBER(SEARCH(","&amp;TRIM(TEXTSPLIT(AY27,","))&amp;",",","&amp;SUBSTITUTE(input_audience," ","")&amp;",")))=COUNTA(TEXTSPLIT(AY27,",")))))</f>
        <v/>
      </c>
      <c r="IX27">
        <f>AND(IF(BA27="",TRUE,IF(input_challenge_opportunities="",FALSE,SUMPRODUCT(--ISNUMBER(SEARCH(","&amp;TRIM(TEXTSPLIT(BA27,","))&amp;",",","&amp;SUBSTITUTE(input_challenge_opportunities," ","")&amp;",")))&gt;0)),IF(BC27="",TRUE,IF(input_challenge_opportunities="",FALSE,SUMPRODUCT(--ISNUMBER(SEARCH(","&amp;TRIM(TEXTSPLIT(BC27,","))&amp;",",","&amp;SUBSTITUTE(input_challenge_opportunities," ","")&amp;",")))=COUNTA(TEXTSPLIT(BC27,",")))),IF(BE27="",TRUE,IF(input_challenge_opportunities="",TRUE,SUMPRODUCT(--ISNUMBER(SEARCH(","&amp;TRIM(TEXTSPLIT(BE27,","))&amp;",",","&amp;SUBSTITUTE(input_challenge_opportunities," ","")&amp;",")))=0)),IF(BG27="",TRUE,IF(input_challenge_opportunities="",FALSE,SUMPRODUCT(--ISNUMBER(SEARCH(","&amp;TRIM(TEXTSPLIT(BG27,","))&amp;",",","&amp;SUBSTITUTE(input_challenge_opportunities," ","")&amp;",")))&gt;0)),IF(BI27="",TRUE,IF(input_challenge_opportunities="",FALSE,SUMPRODUCT(--ISNUMBER(SEARCH(","&amp;TRIM(TEXTSPLIT(BI27,","))&amp;",",","&amp;SUBSTITUTE(input_challenge_opportunities," ","")&amp;",")))=COUNTA(TEXTSPLIT(BI27,",")))))</f>
        <v/>
      </c>
      <c r="IY27">
        <f>AND(IF(BK27="",TRUE,IF(input_context="",FALSE,SUMPRODUCT(--ISNUMBER(SEARCH(","&amp;TRIM(TEXTSPLIT(BK27,","))&amp;",",","&amp;SUBSTITUTE(input_context," ","")&amp;",")))&gt;0)),IF(BM27="",TRUE,IF(input_context="",FALSE,SUMPRODUCT(--ISNUMBER(SEARCH(","&amp;TRIM(TEXTSPLIT(BM27,","))&amp;",",","&amp;SUBSTITUTE(input_context," ","")&amp;",")))=COUNTA(TEXTSPLIT(BM27,",")))),IF(BO27="",TRUE,IF(input_context="",TRUE,SUMPRODUCT(--ISNUMBER(SEARCH(","&amp;TRIM(TEXTSPLIT(BO27,","))&amp;",",","&amp;SUBSTITUTE(input_context," ","")&amp;",")))=0)),IF(BQ27="",TRUE,IF(input_context="",FALSE,SUMPRODUCT(--ISNUMBER(SEARCH(","&amp;TRIM(TEXTSPLIT(BQ27,","))&amp;",",","&amp;SUBSTITUTE(input_context," ","")&amp;",")))&gt;0)),IF(BS27="",TRUE,IF(input_context="",FALSE,SUMPRODUCT(--ISNUMBER(SEARCH(","&amp;TRIM(TEXTSPLIT(BS27,","))&amp;",",","&amp;SUBSTITUTE(input_context," ","")&amp;",")))=COUNTA(TEXTSPLIT(BS27,",")))))</f>
        <v/>
      </c>
      <c r="IZ27">
        <f>AND(IF(BU27="",TRUE,IF(input_enews_announcement_type="",FALSE,SUMPRODUCT(--ISNUMBER(SEARCH(","&amp;TRIM(TEXTSPLIT(BU27,","))&amp;",",","&amp;SUBSTITUTE(input_enews_announcement_type," ","")&amp;",")))&gt;0)),IF(BW27="",TRUE,IF(input_enews_announcement_type="",FALSE,SUMPRODUCT(--ISNUMBER(SEARCH(","&amp;TRIM(TEXTSPLIT(BW27,","))&amp;",",","&amp;SUBSTITUTE(input_enews_announcement_type," ","")&amp;",")))=COUNTA(TEXTSPLIT(BW27,",")))),IF(BY27="",TRUE,IF(input_enews_announcement_type="",TRUE,SUMPRODUCT(--ISNUMBER(SEARCH(","&amp;TRIM(TEXTSPLIT(BY27,","))&amp;",",","&amp;SUBSTITUTE(input_enews_announcement_type," ","")&amp;",")))=0)),IF(CA27="",TRUE,IF(input_enews_announcement_type="",FALSE,SUMPRODUCT(--ISNUMBER(SEARCH(","&amp;TRIM(TEXTSPLIT(CA27,","))&amp;",",","&amp;SUBSTITUTE(input_enews_announcement_type," ","")&amp;",")))&gt;0)),IF(CC27="",TRUE,IF(input_enews_announcement_type="",FALSE,SUMPRODUCT(--ISNUMBER(SEARCH(","&amp;TRIM(TEXTSPLIT(CC27,","))&amp;",",","&amp;SUBSTITUTE(input_enews_announcement_type," ","")&amp;",")))=COUNTA(TEXTSPLIT(CC27,",")))))</f>
        <v/>
      </c>
      <c r="JA27">
        <f>AND(IF(CE27="",TRUE,IF(input_enews_audience="",FALSE,SUMPRODUCT(--ISNUMBER(SEARCH(","&amp;TRIM(TEXTSPLIT(CE27,","))&amp;",",","&amp;SUBSTITUTE(input_enews_audience," ","")&amp;",")))&gt;0)),IF(CG27="",TRUE,IF(input_enews_audience="",FALSE,SUMPRODUCT(--ISNUMBER(SEARCH(","&amp;TRIM(TEXTSPLIT(CG27,","))&amp;",",","&amp;SUBSTITUTE(input_enews_audience," ","")&amp;",")))=COUNTA(TEXTSPLIT(CG27,",")))),IF(CI27="",TRUE,IF(input_enews_audience="",TRUE,SUMPRODUCT(--ISNUMBER(SEARCH(","&amp;TRIM(TEXTSPLIT(CI27,","))&amp;",",","&amp;SUBSTITUTE(input_enews_audience," ","")&amp;",")))=0)),IF(CK27="",TRUE,IF(input_enews_audience="",FALSE,SUMPRODUCT(--ISNUMBER(SEARCH(","&amp;TRIM(TEXTSPLIT(CK27,","))&amp;",",","&amp;SUBSTITUTE(input_enews_audience," ","")&amp;",")))&gt;0)),IF(CM27="",TRUE,IF(input_enews_audience="",FALSE,SUMPRODUCT(--ISNUMBER(SEARCH(","&amp;TRIM(TEXTSPLIT(CM27,","))&amp;",",","&amp;SUBSTITUTE(input_enews_audience," ","")&amp;",")))=COUNTA(TEXTSPLIT(CM27,",")))))</f>
        <v/>
      </c>
      <c r="JB27">
        <f>AND(IF(CO27="",TRUE,IF(input_event_location="",FALSE,SUMPRODUCT(--ISNUMBER(SEARCH(","&amp;TRIM(TEXTSPLIT(CO27,","))&amp;",",","&amp;SUBSTITUTE(input_event_location," ","")&amp;",")))&gt;0)),IF(CQ27="",TRUE,IF(input_event_location="",FALSE,SUMPRODUCT(--ISNUMBER(SEARCH(","&amp;TRIM(TEXTSPLIT(CQ27,","))&amp;",",","&amp;SUBSTITUTE(input_event_location," ","")&amp;",")))=COUNTA(TEXTSPLIT(CQ27,",")))),IF(CS27="",TRUE,IF(input_event_location="",TRUE,SUMPRODUCT(--ISNUMBER(SEARCH(","&amp;TRIM(TEXTSPLIT(CS27,","))&amp;",",","&amp;SUBSTITUTE(input_event_location," ","")&amp;",")))=0)),IF(CU27="",TRUE,IF(input_event_location="",FALSE,SUMPRODUCT(--ISNUMBER(SEARCH(","&amp;TRIM(TEXTSPLIT(CU27,","))&amp;",",","&amp;SUBSTITUTE(input_event_location," ","")&amp;",")))&gt;0)),IF(CW27="",TRUE,IF(input_event_location="",FALSE,SUMPRODUCT(--ISNUMBER(SEARCH(","&amp;TRIM(TEXTSPLIT(CW27,","))&amp;",",","&amp;SUBSTITUTE(input_event_location," ","")&amp;",")))=COUNTA(TEXTSPLIT(CW27,",")))))</f>
        <v/>
      </c>
      <c r="JC27">
        <f>AND(IF(CY27="",TRUE,IF(input_event_type="",FALSE,SUMPRODUCT(--ISNUMBER(SEARCH(","&amp;TRIM(TEXTSPLIT(CY27,","))&amp;",",","&amp;SUBSTITUTE(input_event_type," ","")&amp;",")))&gt;0)),IF(DA27="",TRUE,IF(input_event_type="",FALSE,SUMPRODUCT(--ISNUMBER(SEARCH(","&amp;TRIM(TEXTSPLIT(DA27,","))&amp;",",","&amp;SUBSTITUTE(input_event_type," ","")&amp;",")))=COUNTA(TEXTSPLIT(DA27,",")))),IF(DC27="",TRUE,IF(input_event_type="",TRUE,SUMPRODUCT(--ISNUMBER(SEARCH(","&amp;TRIM(TEXTSPLIT(DC27,","))&amp;",",","&amp;SUBSTITUTE(input_event_type," ","")&amp;",")))=0)),IF(DE27="",TRUE,IF(input_event_type="",FALSE,SUMPRODUCT(--ISNUMBER(SEARCH(","&amp;TRIM(TEXTSPLIT(DE27,","))&amp;",",","&amp;SUBSTITUTE(input_event_type," ","")&amp;",")))&gt;0)),IF(DG27="",TRUE,IF(input_event_type="",FALSE,SUMPRODUCT(--ISNUMBER(SEARCH(","&amp;TRIM(TEXTSPLIT(DG27,","))&amp;",",","&amp;SUBSTITUTE(input_event_type," ","")&amp;",")))=COUNTA(TEXTSPLIT(DG27,",")))))</f>
        <v/>
      </c>
      <c r="JD27">
        <f>AND(IF(DI27="",TRUE,IF(input_executive_education_focus="",FALSE,SUMPRODUCT(--ISNUMBER(SEARCH(","&amp;TRIM(TEXTSPLIT(DI27,","))&amp;",",","&amp;SUBSTITUTE(input_executive_education_focus," ","")&amp;",")))&gt;0)),IF(DK27="",TRUE,IF(input_executive_education_focus="",FALSE,SUMPRODUCT(--ISNUMBER(SEARCH(","&amp;TRIM(TEXTSPLIT(DK27,","))&amp;",",","&amp;SUBSTITUTE(input_executive_education_focus," ","")&amp;",")))=COUNTA(TEXTSPLIT(DK27,",")))),IF(DM27="",TRUE,IF(input_executive_education_focus="",TRUE,SUMPRODUCT(--ISNUMBER(SEARCH(","&amp;TRIM(TEXTSPLIT(DM27,","))&amp;",",","&amp;SUBSTITUTE(input_executive_education_focus," ","")&amp;",")))=0)),IF(DO27="",TRUE,IF(input_executive_education_focus="",FALSE,SUMPRODUCT(--ISNUMBER(SEARCH(","&amp;TRIM(TEXTSPLIT(DO27,","))&amp;",",","&amp;SUBSTITUTE(input_executive_education_focus," ","")&amp;",")))&gt;0)),IF(DQ27="",TRUE,IF(input_executive_education_focus="",FALSE,SUMPRODUCT(--ISNUMBER(SEARCH(","&amp;TRIM(TEXTSPLIT(DQ27,","))&amp;",",","&amp;SUBSTITUTE(input_executive_education_focus," ","")&amp;",")))=COUNTA(TEXTSPLIT(DQ27,",")))))</f>
        <v/>
      </c>
      <c r="JE27">
        <f>AND(IF(DS27="",TRUE,IF(input_faculty_category="",FALSE,SUMPRODUCT(--ISNUMBER(SEARCH(","&amp;TRIM(TEXTSPLIT(DS27,","))&amp;",",","&amp;SUBSTITUTE(input_faculty_category," ","")&amp;",")))&gt;0)),IF(DU27="",TRUE,IF(input_faculty_category="",FALSE,SUMPRODUCT(--ISNUMBER(SEARCH(","&amp;TRIM(TEXTSPLIT(DU27,","))&amp;",",","&amp;SUBSTITUTE(input_faculty_category," ","")&amp;",")))=COUNTA(TEXTSPLIT(DU27,",")))),IF(DW27="",TRUE,IF(input_faculty_category="",TRUE,SUMPRODUCT(--ISNUMBER(SEARCH(","&amp;TRIM(TEXTSPLIT(DW27,","))&amp;",",","&amp;SUBSTITUTE(input_faculty_category," ","")&amp;",")))=0)),IF(DY27="",TRUE,IF(input_faculty_category="",FALSE,SUMPRODUCT(--ISNUMBER(SEARCH(","&amp;TRIM(TEXTSPLIT(DY27,","))&amp;",",","&amp;SUBSTITUTE(input_faculty_category," ","")&amp;",")))&gt;0)),IF(EA27="",TRUE,IF(input_faculty_category="",FALSE,SUMPRODUCT(--ISNUMBER(SEARCH(","&amp;TRIM(TEXTSPLIT(EA27,","))&amp;",",","&amp;SUBSTITUTE(input_faculty_category," ","")&amp;",")))=COUNTA(TEXTSPLIT(EA27,",")))))</f>
        <v/>
      </c>
      <c r="JF27">
        <f>AND(IF(EC27="",TRUE,IF(input_faculty_discipline="",FALSE,SUMPRODUCT(--ISNUMBER(SEARCH(","&amp;TRIM(TEXTSPLIT(EC27,","))&amp;",",","&amp;SUBSTITUTE(input_faculty_discipline," ","")&amp;",")))&gt;0)),IF(EE27="",TRUE,IF(input_faculty_discipline="",FALSE,SUMPRODUCT(--ISNUMBER(SEARCH(","&amp;TRIM(TEXTSPLIT(EE27,","))&amp;",",","&amp;SUBSTITUTE(input_faculty_discipline," ","")&amp;",")))=COUNTA(TEXTSPLIT(EE27,",")))),IF(EG27="",TRUE,IF(input_faculty_discipline="",TRUE,SUMPRODUCT(--ISNUMBER(SEARCH(","&amp;TRIM(TEXTSPLIT(EG27,","))&amp;",",","&amp;SUBSTITUTE(input_faculty_discipline," ","")&amp;",")))=0)),IF(EI27="",TRUE,IF(input_faculty_discipline="",FALSE,SUMPRODUCT(--ISNUMBER(SEARCH(","&amp;TRIM(TEXTSPLIT(EI27,","))&amp;",",","&amp;SUBSTITUTE(input_faculty_discipline," ","")&amp;",")))&gt;0)),IF(EK27="",TRUE,IF(input_faculty_discipline="",FALSE,SUMPRODUCT(--ISNUMBER(SEARCH(","&amp;TRIM(TEXTSPLIT(EK27,","))&amp;",",","&amp;SUBSTITUTE(input_faculty_discipline," ","")&amp;",")))=COUNTA(TEXTSPLIT(EK27,",")))))</f>
        <v/>
      </c>
      <c r="JG27">
        <f>AND(IF(EM27="",TRUE,IF(input_faculty_expertise="",FALSE,SUMPRODUCT(--ISNUMBER(SEARCH(","&amp;TRIM(TEXTSPLIT(EM27,","))&amp;",",","&amp;SUBSTITUTE(input_faculty_expertise," ","")&amp;",")))&gt;0)),IF(EO27="",TRUE,IF(input_faculty_expertise="",FALSE,SUMPRODUCT(--ISNUMBER(SEARCH(","&amp;TRIM(TEXTSPLIT(EO27,","))&amp;",",","&amp;SUBSTITUTE(input_faculty_expertise," ","")&amp;",")))=COUNTA(TEXTSPLIT(EO27,",")))),IF(EQ27="",TRUE,IF(input_faculty_expertise="",TRUE,SUMPRODUCT(--ISNUMBER(SEARCH(","&amp;TRIM(TEXTSPLIT(EQ27,","))&amp;",",","&amp;SUBSTITUTE(input_faculty_expertise," ","")&amp;",")))=0)),IF(ES27="",TRUE,IF(input_faculty_expertise="",FALSE,SUMPRODUCT(--ISNUMBER(SEARCH(","&amp;TRIM(TEXTSPLIT(ES27,","))&amp;",",","&amp;SUBSTITUTE(input_faculty_expertise," ","")&amp;",")))&gt;0)),IF(EU27="",TRUE,IF(input_faculty_expertise="",FALSE,SUMPRODUCT(--ISNUMBER(SEARCH(","&amp;TRIM(TEXTSPLIT(EU27,","))&amp;",",","&amp;SUBSTITUTE(input_faculty_expertise," ","")&amp;",")))=COUNTA(TEXTSPLIT(EU27,",")))))</f>
        <v/>
      </c>
      <c r="JH27">
        <f>AND(IF(EW27="",TRUE,IF(input_global_network_school="",FALSE,SUMPRODUCT(--ISNUMBER(SEARCH(","&amp;TRIM(TEXTSPLIT(EW27,","))&amp;",",","&amp;SUBSTITUTE(input_global_network_school," ","")&amp;",")))&gt;0)),IF(EY27="",TRUE,IF(input_global_network_school="",FALSE,SUMPRODUCT(--ISNUMBER(SEARCH(","&amp;TRIM(TEXTSPLIT(EY27,","))&amp;",",","&amp;SUBSTITUTE(input_global_network_school," ","")&amp;",")))=COUNTA(TEXTSPLIT(EY27,",")))),IF(FA27="",TRUE,IF(input_global_network_school="",TRUE,SUMPRODUCT(--ISNUMBER(SEARCH(","&amp;TRIM(TEXTSPLIT(FA27,","))&amp;",",","&amp;SUBSTITUTE(input_global_network_school," ","")&amp;",")))=0)),IF(FC27="",TRUE,IF(input_global_network_school="",FALSE,SUMPRODUCT(--ISNUMBER(SEARCH(","&amp;TRIM(TEXTSPLIT(FC27,","))&amp;",",","&amp;SUBSTITUTE(input_global_network_school," ","")&amp;",")))&gt;0)),IF(FE27="",TRUE,IF(input_global_network_school="",FALSE,SUMPRODUCT(--ISNUMBER(SEARCH(","&amp;TRIM(TEXTSPLIT(FE27,","))&amp;",",","&amp;SUBSTITUTE(input_global_network_school," ","")&amp;",")))=COUNTA(TEXTSPLIT(FE27,",")))))</f>
        <v/>
      </c>
      <c r="JI27">
        <f>AND(IF(FG27="",TRUE,IF(input_industry="",FALSE,SUMPRODUCT(--ISNUMBER(SEARCH(","&amp;TRIM(TEXTSPLIT(FG27,","))&amp;",",","&amp;SUBSTITUTE(input_industry," ","")&amp;",")))&gt;0)),IF(FI27="",TRUE,IF(input_industry="",FALSE,SUMPRODUCT(--ISNUMBER(SEARCH(","&amp;TRIM(TEXTSPLIT(FI27,","))&amp;",",","&amp;SUBSTITUTE(input_industry," ","")&amp;",")))=COUNTA(TEXTSPLIT(FI27,",")))),IF(FK27="",TRUE,IF(input_industry="",TRUE,SUMPRODUCT(--ISNUMBER(SEARCH(","&amp;TRIM(TEXTSPLIT(FK27,","))&amp;",",","&amp;SUBSTITUTE(input_industry," ","")&amp;",")))=0)),IF(FM27="",TRUE,IF(input_industry="",FALSE,SUMPRODUCT(--ISNUMBER(SEARCH(","&amp;TRIM(TEXTSPLIT(FM27,","))&amp;",",","&amp;SUBSTITUTE(input_industry," ","")&amp;",")))&gt;0)),IF(FO27="",TRUE,IF(input_industry="",FALSE,SUMPRODUCT(--ISNUMBER(SEARCH(","&amp;TRIM(TEXTSPLIT(FO27,","))&amp;",",","&amp;SUBSTITUTE(input_industry," ","")&amp;",")))=COUNTA(TEXTSPLIT(FO27,",")))))</f>
        <v/>
      </c>
      <c r="JJ27">
        <f>AND(IF(FQ27="",TRUE,IF(input_location="",FALSE,SUMPRODUCT(--ISNUMBER(SEARCH(","&amp;TRIM(TEXTSPLIT(FQ27,","))&amp;",",","&amp;SUBSTITUTE(input_location," ","")&amp;",")))&gt;0)),IF(FS27="",TRUE,IF(input_location="",FALSE,SUMPRODUCT(--ISNUMBER(SEARCH(","&amp;TRIM(TEXTSPLIT(FS27,","))&amp;",",","&amp;SUBSTITUTE(input_location," ","")&amp;",")))=COUNTA(TEXTSPLIT(FS27,",")))),IF(FU27="",TRUE,IF(input_location="",TRUE,SUMPRODUCT(--ISNUMBER(SEARCH(","&amp;TRIM(TEXTSPLIT(FU27,","))&amp;",",","&amp;SUBSTITUTE(input_location," ","")&amp;",")))=0)),IF(FW27="",TRUE,IF(input_location="",FALSE,SUMPRODUCT(--ISNUMBER(SEARCH(","&amp;TRIM(TEXTSPLIT(FW27,","))&amp;",",","&amp;SUBSTITUTE(input_location," ","")&amp;",")))&gt;0)),IF(FY27="",TRUE,IF(input_location="",FALSE,SUMPRODUCT(--ISNUMBER(SEARCH(","&amp;TRIM(TEXTSPLIT(FY27,","))&amp;",",","&amp;SUBSTITUTE(input_location," ","")&amp;",")))=COUNTA(TEXTSPLIT(FY27,",")))))</f>
        <v/>
      </c>
      <c r="JK27">
        <f>AND(IF(GA27="",TRUE,IF(input_modality="",FALSE,SUMPRODUCT(--ISNUMBER(SEARCH(","&amp;TRIM(TEXTSPLIT(GA27,","))&amp;",",","&amp;SUBSTITUTE(input_modality," ","")&amp;",")))&gt;0)),IF(GC27="",TRUE,IF(input_modality="",FALSE,SUMPRODUCT(--ISNUMBER(SEARCH(","&amp;TRIM(TEXTSPLIT(GC27,","))&amp;",",","&amp;SUBSTITUTE(input_modality," ","")&amp;",")))=COUNTA(TEXTSPLIT(GC27,",")))),IF(GE27="",TRUE,IF(input_modality="",TRUE,SUMPRODUCT(--ISNUMBER(SEARCH(","&amp;TRIM(TEXTSPLIT(GE27,","))&amp;",",","&amp;SUBSTITUTE(input_modality," ","")&amp;",")))=0)),IF(GG27="",TRUE,IF(input_modality="",FALSE,SUMPRODUCT(--ISNUMBER(SEARCH(","&amp;TRIM(TEXTSPLIT(GG27,","))&amp;",",","&amp;SUBSTITUTE(input_modality," ","")&amp;",")))&gt;0)),IF(GI27="",TRUE,IF(input_modality="",FALSE,SUMPRODUCT(--ISNUMBER(SEARCH(","&amp;TRIM(TEXTSPLIT(GI27,","))&amp;",",","&amp;SUBSTITUTE(input_modality," ","")&amp;",")))=COUNTA(TEXTSPLIT(GI27,",")))))</f>
        <v/>
      </c>
      <c r="JL27">
        <f>AND(IF(GK27="",TRUE,IF(input_organizer="",FALSE,SUMPRODUCT(--ISNUMBER(SEARCH(","&amp;TRIM(TEXTSPLIT(GK27,","))&amp;",",","&amp;SUBSTITUTE(input_organizer," ","")&amp;",")))&gt;0)),IF(GM27="",TRUE,IF(input_organizer="",FALSE,SUMPRODUCT(--ISNUMBER(SEARCH(","&amp;TRIM(TEXTSPLIT(GM27,","))&amp;",",","&amp;SUBSTITUTE(input_organizer," ","")&amp;",")))=COUNTA(TEXTSPLIT(GM27,",")))),IF(GO27="",TRUE,IF(input_organizer="",TRUE,SUMPRODUCT(--ISNUMBER(SEARCH(","&amp;TRIM(TEXTSPLIT(GO27,","))&amp;",",","&amp;SUBSTITUTE(input_organizer," ","")&amp;",")))=0)),IF(GQ27="",TRUE,IF(input_organizer="",FALSE,SUMPRODUCT(--ISNUMBER(SEARCH(","&amp;TRIM(TEXTSPLIT(GQ27,","))&amp;",",","&amp;SUBSTITUTE(input_organizer," ","")&amp;",")))&gt;0)),IF(GS27="",TRUE,IF(input_organizer="",FALSE,SUMPRODUCT(--ISNUMBER(SEARCH(","&amp;TRIM(TEXTSPLIT(GS27,","))&amp;",",","&amp;SUBSTITUTE(input_organizer," ","")&amp;",")))=COUNTA(TEXTSPLIT(GS27,",")))))</f>
        <v/>
      </c>
      <c r="JM27">
        <f>AND(IF(GU27="",TRUE,IF(input_profile_type="",FALSE,SUMPRODUCT(--ISNUMBER(SEARCH(","&amp;TRIM(TEXTSPLIT(GU27,","))&amp;",",","&amp;SUBSTITUTE(input_profile_type," ","")&amp;",")))&gt;0)),IF(GW27="",TRUE,IF(input_profile_type="",FALSE,SUMPRODUCT(--ISNUMBER(SEARCH(","&amp;TRIM(TEXTSPLIT(GW27,","))&amp;",",","&amp;SUBSTITUTE(input_profile_type," ","")&amp;",")))=COUNTA(TEXTSPLIT(GW27,",")))),IF(GY27="",TRUE,IF(input_profile_type="",TRUE,SUMPRODUCT(--ISNUMBER(SEARCH(","&amp;TRIM(TEXTSPLIT(GY27,","))&amp;",",","&amp;SUBSTITUTE(input_profile_type," ","")&amp;",")))=0)),IF(HA27="",TRUE,IF(input_profile_type="",FALSE,SUMPRODUCT(--ISNUMBER(SEARCH(","&amp;TRIM(TEXTSPLIT(HA27,","))&amp;",",","&amp;SUBSTITUTE(input_profile_type," ","")&amp;",")))&gt;0)),IF(HC27="",TRUE,IF(input_profile_type="",FALSE,SUMPRODUCT(--ISNUMBER(SEARCH(","&amp;TRIM(TEXTSPLIT(HC27,","))&amp;",",","&amp;SUBSTITUTE(input_profile_type," ","")&amp;",")))=COUNTA(TEXTSPLIT(HC27,",")))))</f>
        <v/>
      </c>
      <c r="JN27">
        <f>AND(IF(HE27="",TRUE,IF(input_program="",FALSE,SUMPRODUCT(--ISNUMBER(SEARCH(","&amp;TRIM(TEXTSPLIT(HE27,","))&amp;",",","&amp;SUBSTITUTE(input_program," ","")&amp;",")))&gt;0)),IF(HG27="",TRUE,IF(input_program="",FALSE,SUMPRODUCT(--ISNUMBER(SEARCH(","&amp;TRIM(TEXTSPLIT(HG27,","))&amp;",",","&amp;SUBSTITUTE(input_program," ","")&amp;",")))=COUNTA(TEXTSPLIT(HG27,",")))),IF(HI27="",TRUE,IF(input_program="",TRUE,SUMPRODUCT(--ISNUMBER(SEARCH(","&amp;TRIM(TEXTSPLIT(HI27,","))&amp;",",","&amp;SUBSTITUTE(input_program," ","")&amp;",")))=0)),IF(HK27="",TRUE,IF(input_program="",FALSE,SUMPRODUCT(--ISNUMBER(SEARCH(","&amp;TRIM(TEXTSPLIT(HK27,","))&amp;",",","&amp;SUBSTITUTE(input_program," ","")&amp;",")))&gt;0)),IF(HM27="",TRUE,IF(input_program="",FALSE,SUMPRODUCT(--ISNUMBER(SEARCH(","&amp;TRIM(TEXTSPLIT(HM27,","))&amp;",",","&amp;SUBSTITUTE(input_program," ","")&amp;",")))=COUNTA(TEXTSPLIT(HM27,",")))))</f>
        <v/>
      </c>
      <c r="JO27">
        <f>AND(IF(HO27="",TRUE,IF(input_story_categories="",FALSE,SUMPRODUCT(--ISNUMBER(SEARCH(","&amp;TRIM(TEXTSPLIT(HO27,","))&amp;",",","&amp;SUBSTITUTE(input_story_categories," ","")&amp;",")))&gt;0)),IF(HQ27="",TRUE,IF(input_story_categories="",FALSE,SUMPRODUCT(--ISNUMBER(SEARCH(","&amp;TRIM(TEXTSPLIT(HQ27,","))&amp;",",","&amp;SUBSTITUTE(input_story_categories," ","")&amp;",")))=COUNTA(TEXTSPLIT(HQ27,",")))),IF(HS27="",TRUE,IF(input_story_categories="",TRUE,SUMPRODUCT(--ISNUMBER(SEARCH(","&amp;TRIM(TEXTSPLIT(HS27,","))&amp;",",","&amp;SUBSTITUTE(input_story_categories," ","")&amp;",")))=0)),IF(HU27="",TRUE,IF(input_story_categories="",FALSE,SUMPRODUCT(--ISNUMBER(SEARCH(","&amp;TRIM(TEXTSPLIT(HU27,","))&amp;",",","&amp;SUBSTITUTE(input_story_categories," ","")&amp;",")))&gt;0)),IF(HW27="",TRUE,IF(input_story_categories="",FALSE,SUMPRODUCT(--ISNUMBER(SEARCH(","&amp;TRIM(TEXTSPLIT(HW27,","))&amp;",",","&amp;SUBSTITUTE(input_story_categories," ","")&amp;",")))=COUNTA(TEXTSPLIT(HW27,",")))))</f>
        <v/>
      </c>
      <c r="JP27">
        <f>AND(IF(HY27="",TRUE,IF(input_story_type="",FALSE,SUMPRODUCT(--ISNUMBER(SEARCH(","&amp;TRIM(TEXTSPLIT(HY27,","))&amp;",",","&amp;SUBSTITUTE(input_story_type," ","")&amp;",")))&gt;0)),IF(IA27="",TRUE,IF(input_story_type="",FALSE,SUMPRODUCT(--ISNUMBER(SEARCH(","&amp;TRIM(TEXTSPLIT(IA27,","))&amp;",",","&amp;SUBSTITUTE(input_story_type," ","")&amp;",")))=COUNTA(TEXTSPLIT(IA27,",")))),IF(IC27="",TRUE,IF(input_story_type="",TRUE,SUMPRODUCT(--ISNUMBER(SEARCH(","&amp;TRIM(TEXTSPLIT(IC27,","))&amp;",",","&amp;SUBSTITUTE(input_story_type," ","")&amp;",")))=0)),IF(IE27="",TRUE,IF(input_story_type="",FALSE,SUMPRODUCT(--ISNUMBER(SEARCH(","&amp;TRIM(TEXTSPLIT(IE27,","))&amp;",",","&amp;SUBSTITUTE(input_story_type," ","")&amp;",")))&gt;0)),IF(IG27="",TRUE,IF(input_story_type="",FALSE,SUMPRODUCT(--ISNUMBER(SEARCH(","&amp;TRIM(TEXTSPLIT(IG27,","))&amp;",",","&amp;SUBSTITUTE(input_story_type," ","")&amp;",")))=COUNTA(TEXTSPLIT(IG27,",")))))</f>
        <v/>
      </c>
      <c r="JQ27">
        <f>AND(IF(II27="",TRUE,IF(input_topics="",FALSE,SUMPRODUCT(--ISNUMBER(SEARCH(","&amp;TRIM(TEXTSPLIT(II27,","))&amp;",",","&amp;SUBSTITUTE(input_topics," ","")&amp;",")))&gt;0)),IF(IK27="",TRUE,IF(input_topics="",FALSE,SUMPRODUCT(--ISNUMBER(SEARCH(","&amp;TRIM(TEXTSPLIT(IK27,","))&amp;",",","&amp;SUBSTITUTE(input_topics," ","")&amp;",")))=COUNTA(TEXTSPLIT(IK27,",")))),IF(IM27="",TRUE,IF(input_topics="",TRUE,SUMPRODUCT(--ISNUMBER(SEARCH(","&amp;TRIM(TEXTSPLIT(IM27,","))&amp;",",","&amp;SUBSTITUTE(input_topics," ","")&amp;",")))=0)),IF(IO27="",TRUE,IF(input_topics="",FALSE,SUMPRODUCT(--ISNUMBER(SEARCH(","&amp;TRIM(TEXTSPLIT(IO27,","))&amp;",",","&amp;SUBSTITUTE(input_topics," ","")&amp;",")))&gt;0)),IF(IQ27="",TRUE,IF(input_topics="",FALSE,SUMPRODUCT(--ISNUMBER(SEARCH(","&amp;TRIM(TEXTSPLIT(IQ27,","))&amp;",",","&amp;SUBSTITUTE(input_topics," ","")&amp;",")))=COUNTA(TEXTSPLIT(IQ27,",")))))</f>
        <v/>
      </c>
    </row>
    <row r="28">
      <c r="A28" s="4">
        <f>IF(NOT(IS28),"Excluded",IF(AND(IT28,IU28,IV28,IW28,IX28,IY28,IZ28,JA28,JB28,JC28,JD28,JE28,JF28,JG28,JH28,JI28,JJ28,JK28,JL28,JM28,JN28,JO28,JP28,JQ28),IF(I28&gt;0,"Eligible but limited","Will appear"),"Excluded"))</f>
        <v/>
      </c>
      <c r="B28" s="4" t="inlineStr">
        <is>
          <t>All Publications by Author</t>
        </is>
      </c>
      <c r="C28" s="4" t="inlineStr">
        <is>
          <t>/faculty-research/faculty-directory/gal-zauberman</t>
        </is>
      </c>
      <c r="D28" s="4" t="inlineStr">
        <is>
          <t>/faculty-research/faculty-directory/gal-zauberman</t>
        </is>
      </c>
      <c r="E28" s="4" t="n">
        <v>1</v>
      </c>
      <c r="F28" s="4" t="inlineStr">
        <is>
          <t>publications</t>
        </is>
      </c>
      <c r="G28" s="4" t="inlineStr">
        <is>
          <t>publication_teaser_list</t>
        </is>
      </c>
      <c r="H28" s="4" t="inlineStr">
        <is>
          <t>publication_teaser_list_all_by_author</t>
        </is>
      </c>
      <c r="I28" s="4" t="inlineStr"/>
      <c r="J28" s="4" t="inlineStr">
        <is>
          <t>View/config rules</t>
        </is>
      </c>
      <c r="K28" s="4" t="inlineStr">
        <is>
          <t>Page placement</t>
        </is>
      </c>
      <c r="L28" s="4" t="inlineStr">
        <is>
          <t>Content type: publications; Source: View/config rules</t>
        </is>
      </c>
      <c r="M28" t="inlineStr"/>
      <c r="N28" t="inlineStr"/>
      <c r="O28" t="inlineStr"/>
      <c r="P28" t="inlineStr"/>
      <c r="Q28" t="inlineStr"/>
      <c r="R28" t="inlineStr"/>
      <c r="S28" t="inlineStr"/>
      <c r="T28" t="inlineStr"/>
      <c r="U28" t="inlineStr"/>
      <c r="V28" t="inlineStr"/>
      <c r="W28" t="inlineStr"/>
      <c r="X28" t="inlineStr"/>
      <c r="Y28" t="inlineStr"/>
      <c r="Z28" t="inlineStr"/>
      <c r="AA28" t="inlineStr"/>
      <c r="AB28" t="inlineStr"/>
      <c r="AC28" t="inlineStr"/>
      <c r="AD28" t="inlineStr"/>
      <c r="AE28" t="inlineStr"/>
      <c r="AF28" t="inlineStr"/>
      <c r="AG28" t="inlineStr"/>
      <c r="AH28" t="inlineStr"/>
      <c r="AI28" t="inlineStr"/>
      <c r="AJ28" t="inlineStr"/>
      <c r="AK28" t="inlineStr"/>
      <c r="AL28" t="inlineStr"/>
      <c r="AM28" t="inlineStr"/>
      <c r="AN28" t="inlineStr"/>
      <c r="AO28" t="inlineStr"/>
      <c r="AP28" t="inlineStr"/>
      <c r="AQ28" t="inlineStr"/>
      <c r="AR28" t="inlineStr"/>
      <c r="AS28" t="inlineStr"/>
      <c r="AT28" t="inlineStr"/>
      <c r="AU28" t="inlineStr"/>
      <c r="AV28" t="inlineStr"/>
      <c r="AW28" t="inlineStr"/>
      <c r="AX28" t="inlineStr"/>
      <c r="AY28" t="inlineStr"/>
      <c r="AZ28" t="inlineStr"/>
      <c r="BA28" t="inlineStr"/>
      <c r="BB28" t="inlineStr"/>
      <c r="BC28" t="inlineStr"/>
      <c r="BD28" t="inlineStr"/>
      <c r="BE28" t="inlineStr"/>
      <c r="BF28" t="inlineStr"/>
      <c r="BG28" t="inlineStr"/>
      <c r="BH28" t="inlineStr"/>
      <c r="BI28" t="inlineStr"/>
      <c r="BJ28" t="inlineStr"/>
      <c r="BK28" t="inlineStr"/>
      <c r="BL28" t="inlineStr"/>
      <c r="BM28" t="inlineStr"/>
      <c r="BN28" t="inlineStr"/>
      <c r="BO28" t="inlineStr"/>
      <c r="BP28" t="inlineStr"/>
      <c r="BQ28" t="inlineStr"/>
      <c r="BR28" t="inlineStr"/>
      <c r="BS28" t="inlineStr"/>
      <c r="BT28" t="inlineStr"/>
      <c r="BU28" t="inlineStr"/>
      <c r="BV28" t="inlineStr"/>
      <c r="BW28" t="inlineStr"/>
      <c r="BX28" t="inlineStr"/>
      <c r="BY28" t="inlineStr"/>
      <c r="BZ28" t="inlineStr"/>
      <c r="CA28" t="inlineStr"/>
      <c r="CB28" t="inlineStr"/>
      <c r="CC28" t="inlineStr"/>
      <c r="CD28" t="inlineStr"/>
      <c r="CE28" t="inlineStr"/>
      <c r="CF28" t="inlineStr"/>
      <c r="CG28" t="inlineStr"/>
      <c r="CH28" t="inlineStr"/>
      <c r="CI28" t="inlineStr"/>
      <c r="CJ28" t="inlineStr"/>
      <c r="CK28" t="inlineStr"/>
      <c r="CL28" t="inlineStr"/>
      <c r="CM28" t="inlineStr"/>
      <c r="CN28" t="inlineStr"/>
      <c r="CO28" t="inlineStr"/>
      <c r="CP28" t="inlineStr"/>
      <c r="CQ28" t="inlineStr"/>
      <c r="CR28" t="inlineStr"/>
      <c r="CS28" t="inlineStr"/>
      <c r="CT28" t="inlineStr"/>
      <c r="CU28" t="inlineStr"/>
      <c r="CV28" t="inlineStr"/>
      <c r="CW28" t="inlineStr"/>
      <c r="CX28" t="inlineStr"/>
      <c r="CY28" t="inlineStr"/>
      <c r="CZ28" t="inlineStr"/>
      <c r="DA28" t="inlineStr"/>
      <c r="DB28" t="inlineStr"/>
      <c r="DC28" t="inlineStr"/>
      <c r="DD28" t="inlineStr"/>
      <c r="DE28" t="inlineStr"/>
      <c r="DF28" t="inlineStr"/>
      <c r="DG28" t="inlineStr"/>
      <c r="DH28" t="inlineStr"/>
      <c r="DI28" t="inlineStr"/>
      <c r="DJ28" t="inlineStr"/>
      <c r="DK28" t="inlineStr"/>
      <c r="DL28" t="inlineStr"/>
      <c r="DM28" t="inlineStr"/>
      <c r="DN28" t="inlineStr"/>
      <c r="DO28" t="inlineStr"/>
      <c r="DP28" t="inlineStr"/>
      <c r="DQ28" t="inlineStr"/>
      <c r="DR28" t="inlineStr"/>
      <c r="DS28" t="inlineStr"/>
      <c r="DT28" t="inlineStr"/>
      <c r="DU28" t="inlineStr"/>
      <c r="DV28" t="inlineStr"/>
      <c r="DW28" t="inlineStr"/>
      <c r="DX28" t="inlineStr"/>
      <c r="DY28" t="inlineStr"/>
      <c r="DZ28" t="inlineStr"/>
      <c r="EA28" t="inlineStr"/>
      <c r="EB28" t="inlineStr"/>
      <c r="EC28" t="inlineStr"/>
      <c r="ED28" t="inlineStr"/>
      <c r="EE28" t="inlineStr"/>
      <c r="EF28" t="inlineStr"/>
      <c r="EG28" t="inlineStr"/>
      <c r="EH28" t="inlineStr"/>
      <c r="EI28" t="inlineStr"/>
      <c r="EJ28" t="inlineStr"/>
      <c r="EK28" t="inlineStr"/>
      <c r="EL28" t="inlineStr"/>
      <c r="EM28" t="inlineStr"/>
      <c r="EN28" t="inlineStr"/>
      <c r="EO28" t="inlineStr"/>
      <c r="EP28" t="inlineStr"/>
      <c r="EQ28" t="inlineStr"/>
      <c r="ER28" t="inlineStr"/>
      <c r="ES28" t="inlineStr"/>
      <c r="ET28" t="inlineStr"/>
      <c r="EU28" t="inlineStr"/>
      <c r="EV28" t="inlineStr"/>
      <c r="EW28" t="inlineStr"/>
      <c r="EX28" t="inlineStr"/>
      <c r="EY28" t="inlineStr"/>
      <c r="EZ28" t="inlineStr"/>
      <c r="FA28" t="inlineStr"/>
      <c r="FB28" t="inlineStr"/>
      <c r="FC28" t="inlineStr"/>
      <c r="FD28" t="inlineStr"/>
      <c r="FE28" t="inlineStr"/>
      <c r="FF28" t="inlineStr"/>
      <c r="FG28" t="inlineStr"/>
      <c r="FH28" t="inlineStr"/>
      <c r="FI28" t="inlineStr"/>
      <c r="FJ28" t="inlineStr"/>
      <c r="FK28" t="inlineStr"/>
      <c r="FL28" t="inlineStr"/>
      <c r="FM28" t="inlineStr"/>
      <c r="FN28" t="inlineStr"/>
      <c r="FO28" t="inlineStr"/>
      <c r="FP28" t="inlineStr"/>
      <c r="FQ28" t="inlineStr"/>
      <c r="FR28" t="inlineStr"/>
      <c r="FS28" t="inlineStr"/>
      <c r="FT28" t="inlineStr"/>
      <c r="FU28" t="inlineStr"/>
      <c r="FV28" t="inlineStr"/>
      <c r="FW28" t="inlineStr"/>
      <c r="FX28" t="inlineStr"/>
      <c r="FY28" t="inlineStr"/>
      <c r="FZ28" t="inlineStr"/>
      <c r="GA28" t="inlineStr"/>
      <c r="GB28" t="inlineStr"/>
      <c r="GC28" t="inlineStr"/>
      <c r="GD28" t="inlineStr"/>
      <c r="GE28" t="inlineStr"/>
      <c r="GF28" t="inlineStr"/>
      <c r="GG28" t="inlineStr"/>
      <c r="GH28" t="inlineStr"/>
      <c r="GI28" t="inlineStr"/>
      <c r="GJ28" t="inlineStr"/>
      <c r="GK28" t="inlineStr"/>
      <c r="GL28" t="inlineStr"/>
      <c r="GM28" t="inlineStr"/>
      <c r="GN28" t="inlineStr"/>
      <c r="GO28" t="inlineStr"/>
      <c r="GP28" t="inlineStr"/>
      <c r="GQ28" t="inlineStr"/>
      <c r="GR28" t="inlineStr"/>
      <c r="GS28" t="inlineStr"/>
      <c r="GT28" t="inlineStr"/>
      <c r="GU28" t="inlineStr"/>
      <c r="GV28" t="inlineStr"/>
      <c r="GW28" t="inlineStr"/>
      <c r="GX28" t="inlineStr"/>
      <c r="GY28" t="inlineStr"/>
      <c r="GZ28" t="inlineStr"/>
      <c r="HA28" t="inlineStr"/>
      <c r="HB28" t="inlineStr"/>
      <c r="HC28" t="inlineStr"/>
      <c r="HD28" t="inlineStr"/>
      <c r="HE28" t="inlineStr"/>
      <c r="HF28" t="inlineStr"/>
      <c r="HG28" t="inlineStr"/>
      <c r="HH28" t="inlineStr"/>
      <c r="HI28" t="inlineStr"/>
      <c r="HJ28" t="inlineStr"/>
      <c r="HK28" t="inlineStr"/>
      <c r="HL28" t="inlineStr"/>
      <c r="HM28" t="inlineStr"/>
      <c r="HN28" t="inlineStr"/>
      <c r="HO28" t="inlineStr"/>
      <c r="HP28" t="inlineStr"/>
      <c r="HQ28" t="inlineStr"/>
      <c r="HR28" t="inlineStr"/>
      <c r="HS28" t="inlineStr"/>
      <c r="HT28" t="inlineStr"/>
      <c r="HU28" t="inlineStr"/>
      <c r="HV28" t="inlineStr"/>
      <c r="HW28" t="inlineStr"/>
      <c r="HX28" t="inlineStr"/>
      <c r="HY28" t="inlineStr"/>
      <c r="HZ28" t="inlineStr"/>
      <c r="IA28" t="inlineStr"/>
      <c r="IB28" t="inlineStr"/>
      <c r="IC28" t="inlineStr"/>
      <c r="ID28" t="inlineStr"/>
      <c r="IE28" t="inlineStr"/>
      <c r="IF28" t="inlineStr"/>
      <c r="IG28" t="inlineStr"/>
      <c r="IH28" t="inlineStr"/>
      <c r="II28" t="inlineStr"/>
      <c r="IJ28" t="inlineStr"/>
      <c r="IK28" t="inlineStr"/>
      <c r="IL28" t="inlineStr"/>
      <c r="IM28" t="inlineStr"/>
      <c r="IN28" t="inlineStr"/>
      <c r="IO28" t="inlineStr"/>
      <c r="IP28" t="inlineStr"/>
      <c r="IQ28" t="inlineStr"/>
      <c r="IR28" t="inlineStr"/>
      <c r="IS28">
        <f>IF(input_content_type="",FALSE,ISNUMBER(SEARCH(","&amp;LOWER(input_content_type)&amp;",",","&amp;LOWER(F28)&amp;",")))</f>
        <v/>
      </c>
      <c r="IT28">
        <f>AND(IF(M28="",TRUE,IF(input_affiliations="",FALSE,SUMPRODUCT(--ISNUMBER(SEARCH(","&amp;TRIM(TEXTSPLIT(M28,","))&amp;",",","&amp;SUBSTITUTE(input_affiliations," ","")&amp;",")))&gt;0)),IF(O28="",TRUE,IF(input_affiliations="",FALSE,SUMPRODUCT(--ISNUMBER(SEARCH(","&amp;TRIM(TEXTSPLIT(O28,","))&amp;",",","&amp;SUBSTITUTE(input_affiliations," ","")&amp;",")))=COUNTA(TEXTSPLIT(O28,",")))),IF(Q28="",TRUE,IF(input_affiliations="",TRUE,SUMPRODUCT(--ISNUMBER(SEARCH(","&amp;TRIM(TEXTSPLIT(Q28,","))&amp;",",","&amp;SUBSTITUTE(input_affiliations," ","")&amp;",")))=0)),IF(S28="",TRUE,IF(input_affiliations="",FALSE,SUMPRODUCT(--ISNUMBER(SEARCH(","&amp;TRIM(TEXTSPLIT(S28,","))&amp;",",","&amp;SUBSTITUTE(input_affiliations," ","")&amp;",")))&gt;0)),IF(U28="",TRUE,IF(input_affiliations="",FALSE,SUMPRODUCT(--ISNUMBER(SEARCH(","&amp;TRIM(TEXTSPLIT(U28,","))&amp;",",","&amp;SUBSTITUTE(input_affiliations," ","")&amp;",")))=COUNTA(TEXTSPLIT(U28,",")))))</f>
        <v/>
      </c>
      <c r="IU28">
        <f>AND(IF(W28="",TRUE,IF(input_announcement_category="",FALSE,SUMPRODUCT(--ISNUMBER(SEARCH(","&amp;TRIM(TEXTSPLIT(W28,","))&amp;",",","&amp;SUBSTITUTE(input_announcement_category," ","")&amp;",")))&gt;0)),IF(Y28="",TRUE,IF(input_announcement_category="",FALSE,SUMPRODUCT(--ISNUMBER(SEARCH(","&amp;TRIM(TEXTSPLIT(Y28,","))&amp;",",","&amp;SUBSTITUTE(input_announcement_category," ","")&amp;",")))=COUNTA(TEXTSPLIT(Y28,",")))),IF(AA28="",TRUE,IF(input_announcement_category="",TRUE,SUMPRODUCT(--ISNUMBER(SEARCH(","&amp;TRIM(TEXTSPLIT(AA28,","))&amp;",",","&amp;SUBSTITUTE(input_announcement_category," ","")&amp;",")))=0)),IF(AC28="",TRUE,IF(input_announcement_category="",FALSE,SUMPRODUCT(--ISNUMBER(SEARCH(","&amp;TRIM(TEXTSPLIT(AC28,","))&amp;",",","&amp;SUBSTITUTE(input_announcement_category," ","")&amp;",")))&gt;0)),IF(AE28="",TRUE,IF(input_announcement_category="",FALSE,SUMPRODUCT(--ISNUMBER(SEARCH(","&amp;TRIM(TEXTSPLIT(AE28,","))&amp;",",","&amp;SUBSTITUTE(input_announcement_category," ","")&amp;",")))=COUNTA(TEXTSPLIT(AE28,",")))))</f>
        <v/>
      </c>
      <c r="IV28">
        <f>AND(IF(AG28="",TRUE,IF(input_area_of_focus="",FALSE,SUMPRODUCT(--ISNUMBER(SEARCH(","&amp;TRIM(TEXTSPLIT(AG28,","))&amp;",",","&amp;SUBSTITUTE(input_area_of_focus," ","")&amp;",")))&gt;0)),IF(AI28="",TRUE,IF(input_area_of_focus="",FALSE,SUMPRODUCT(--ISNUMBER(SEARCH(","&amp;TRIM(TEXTSPLIT(AI28,","))&amp;",",","&amp;SUBSTITUTE(input_area_of_focus," ","")&amp;",")))=COUNTA(TEXTSPLIT(AI28,",")))),IF(AK28="",TRUE,IF(input_area_of_focus="",TRUE,SUMPRODUCT(--ISNUMBER(SEARCH(","&amp;TRIM(TEXTSPLIT(AK28,","))&amp;",",","&amp;SUBSTITUTE(input_area_of_focus," ","")&amp;",")))=0)),IF(AM28="",TRUE,IF(input_area_of_focus="",FALSE,SUMPRODUCT(--ISNUMBER(SEARCH(","&amp;TRIM(TEXTSPLIT(AM28,","))&amp;",",","&amp;SUBSTITUTE(input_area_of_focus," ","")&amp;",")))&gt;0)),IF(AO28="",TRUE,IF(input_area_of_focus="",FALSE,SUMPRODUCT(--ISNUMBER(SEARCH(","&amp;TRIM(TEXTSPLIT(AO28,","))&amp;",",","&amp;SUBSTITUTE(input_area_of_focus," ","")&amp;",")))=COUNTA(TEXTSPLIT(AO28,",")))))</f>
        <v/>
      </c>
      <c r="IW28">
        <f>AND(IF(AQ28="",TRUE,IF(input_audience="",FALSE,SUMPRODUCT(--ISNUMBER(SEARCH(","&amp;TRIM(TEXTSPLIT(AQ28,","))&amp;",",","&amp;SUBSTITUTE(input_audience," ","")&amp;",")))&gt;0)),IF(AS28="",TRUE,IF(input_audience="",FALSE,SUMPRODUCT(--ISNUMBER(SEARCH(","&amp;TRIM(TEXTSPLIT(AS28,","))&amp;",",","&amp;SUBSTITUTE(input_audience," ","")&amp;",")))=COUNTA(TEXTSPLIT(AS28,",")))),IF(AU28="",TRUE,IF(input_audience="",TRUE,SUMPRODUCT(--ISNUMBER(SEARCH(","&amp;TRIM(TEXTSPLIT(AU28,","))&amp;",",","&amp;SUBSTITUTE(input_audience," ","")&amp;",")))=0)),IF(AW28="",TRUE,IF(input_audience="",FALSE,SUMPRODUCT(--ISNUMBER(SEARCH(","&amp;TRIM(TEXTSPLIT(AW28,","))&amp;",",","&amp;SUBSTITUTE(input_audience," ","")&amp;",")))&gt;0)),IF(AY28="",TRUE,IF(input_audience="",FALSE,SUMPRODUCT(--ISNUMBER(SEARCH(","&amp;TRIM(TEXTSPLIT(AY28,","))&amp;",",","&amp;SUBSTITUTE(input_audience," ","")&amp;",")))=COUNTA(TEXTSPLIT(AY28,",")))))</f>
        <v/>
      </c>
      <c r="IX28">
        <f>AND(IF(BA28="",TRUE,IF(input_challenge_opportunities="",FALSE,SUMPRODUCT(--ISNUMBER(SEARCH(","&amp;TRIM(TEXTSPLIT(BA28,","))&amp;",",","&amp;SUBSTITUTE(input_challenge_opportunities," ","")&amp;",")))&gt;0)),IF(BC28="",TRUE,IF(input_challenge_opportunities="",FALSE,SUMPRODUCT(--ISNUMBER(SEARCH(","&amp;TRIM(TEXTSPLIT(BC28,","))&amp;",",","&amp;SUBSTITUTE(input_challenge_opportunities," ","")&amp;",")))=COUNTA(TEXTSPLIT(BC28,",")))),IF(BE28="",TRUE,IF(input_challenge_opportunities="",TRUE,SUMPRODUCT(--ISNUMBER(SEARCH(","&amp;TRIM(TEXTSPLIT(BE28,","))&amp;",",","&amp;SUBSTITUTE(input_challenge_opportunities," ","")&amp;",")))=0)),IF(BG28="",TRUE,IF(input_challenge_opportunities="",FALSE,SUMPRODUCT(--ISNUMBER(SEARCH(","&amp;TRIM(TEXTSPLIT(BG28,","))&amp;",",","&amp;SUBSTITUTE(input_challenge_opportunities," ","")&amp;",")))&gt;0)),IF(BI28="",TRUE,IF(input_challenge_opportunities="",FALSE,SUMPRODUCT(--ISNUMBER(SEARCH(","&amp;TRIM(TEXTSPLIT(BI28,","))&amp;",",","&amp;SUBSTITUTE(input_challenge_opportunities," ","")&amp;",")))=COUNTA(TEXTSPLIT(BI28,",")))))</f>
        <v/>
      </c>
      <c r="IY28">
        <f>AND(IF(BK28="",TRUE,IF(input_context="",FALSE,SUMPRODUCT(--ISNUMBER(SEARCH(","&amp;TRIM(TEXTSPLIT(BK28,","))&amp;",",","&amp;SUBSTITUTE(input_context," ","")&amp;",")))&gt;0)),IF(BM28="",TRUE,IF(input_context="",FALSE,SUMPRODUCT(--ISNUMBER(SEARCH(","&amp;TRIM(TEXTSPLIT(BM28,","))&amp;",",","&amp;SUBSTITUTE(input_context," ","")&amp;",")))=COUNTA(TEXTSPLIT(BM28,",")))),IF(BO28="",TRUE,IF(input_context="",TRUE,SUMPRODUCT(--ISNUMBER(SEARCH(","&amp;TRIM(TEXTSPLIT(BO28,","))&amp;",",","&amp;SUBSTITUTE(input_context," ","")&amp;",")))=0)),IF(BQ28="",TRUE,IF(input_context="",FALSE,SUMPRODUCT(--ISNUMBER(SEARCH(","&amp;TRIM(TEXTSPLIT(BQ28,","))&amp;",",","&amp;SUBSTITUTE(input_context," ","")&amp;",")))&gt;0)),IF(BS28="",TRUE,IF(input_context="",FALSE,SUMPRODUCT(--ISNUMBER(SEARCH(","&amp;TRIM(TEXTSPLIT(BS28,","))&amp;",",","&amp;SUBSTITUTE(input_context," ","")&amp;",")))=COUNTA(TEXTSPLIT(BS28,",")))))</f>
        <v/>
      </c>
      <c r="IZ28">
        <f>AND(IF(BU28="",TRUE,IF(input_enews_announcement_type="",FALSE,SUMPRODUCT(--ISNUMBER(SEARCH(","&amp;TRIM(TEXTSPLIT(BU28,","))&amp;",",","&amp;SUBSTITUTE(input_enews_announcement_type," ","")&amp;",")))&gt;0)),IF(BW28="",TRUE,IF(input_enews_announcement_type="",FALSE,SUMPRODUCT(--ISNUMBER(SEARCH(","&amp;TRIM(TEXTSPLIT(BW28,","))&amp;",",","&amp;SUBSTITUTE(input_enews_announcement_type," ","")&amp;",")))=COUNTA(TEXTSPLIT(BW28,",")))),IF(BY28="",TRUE,IF(input_enews_announcement_type="",TRUE,SUMPRODUCT(--ISNUMBER(SEARCH(","&amp;TRIM(TEXTSPLIT(BY28,","))&amp;",",","&amp;SUBSTITUTE(input_enews_announcement_type," ","")&amp;",")))=0)),IF(CA28="",TRUE,IF(input_enews_announcement_type="",FALSE,SUMPRODUCT(--ISNUMBER(SEARCH(","&amp;TRIM(TEXTSPLIT(CA28,","))&amp;",",","&amp;SUBSTITUTE(input_enews_announcement_type," ","")&amp;",")))&gt;0)),IF(CC28="",TRUE,IF(input_enews_announcement_type="",FALSE,SUMPRODUCT(--ISNUMBER(SEARCH(","&amp;TRIM(TEXTSPLIT(CC28,","))&amp;",",","&amp;SUBSTITUTE(input_enews_announcement_type," ","")&amp;",")))=COUNTA(TEXTSPLIT(CC28,",")))))</f>
        <v/>
      </c>
      <c r="JA28">
        <f>AND(IF(CE28="",TRUE,IF(input_enews_audience="",FALSE,SUMPRODUCT(--ISNUMBER(SEARCH(","&amp;TRIM(TEXTSPLIT(CE28,","))&amp;",",","&amp;SUBSTITUTE(input_enews_audience," ","")&amp;",")))&gt;0)),IF(CG28="",TRUE,IF(input_enews_audience="",FALSE,SUMPRODUCT(--ISNUMBER(SEARCH(","&amp;TRIM(TEXTSPLIT(CG28,","))&amp;",",","&amp;SUBSTITUTE(input_enews_audience," ","")&amp;",")))=COUNTA(TEXTSPLIT(CG28,",")))),IF(CI28="",TRUE,IF(input_enews_audience="",TRUE,SUMPRODUCT(--ISNUMBER(SEARCH(","&amp;TRIM(TEXTSPLIT(CI28,","))&amp;",",","&amp;SUBSTITUTE(input_enews_audience," ","")&amp;",")))=0)),IF(CK28="",TRUE,IF(input_enews_audience="",FALSE,SUMPRODUCT(--ISNUMBER(SEARCH(","&amp;TRIM(TEXTSPLIT(CK28,","))&amp;",",","&amp;SUBSTITUTE(input_enews_audience," ","")&amp;",")))&gt;0)),IF(CM28="",TRUE,IF(input_enews_audience="",FALSE,SUMPRODUCT(--ISNUMBER(SEARCH(","&amp;TRIM(TEXTSPLIT(CM28,","))&amp;",",","&amp;SUBSTITUTE(input_enews_audience," ","")&amp;",")))=COUNTA(TEXTSPLIT(CM28,",")))))</f>
        <v/>
      </c>
      <c r="JB28">
        <f>AND(IF(CO28="",TRUE,IF(input_event_location="",FALSE,SUMPRODUCT(--ISNUMBER(SEARCH(","&amp;TRIM(TEXTSPLIT(CO28,","))&amp;",",","&amp;SUBSTITUTE(input_event_location," ","")&amp;",")))&gt;0)),IF(CQ28="",TRUE,IF(input_event_location="",FALSE,SUMPRODUCT(--ISNUMBER(SEARCH(","&amp;TRIM(TEXTSPLIT(CQ28,","))&amp;",",","&amp;SUBSTITUTE(input_event_location," ","")&amp;",")))=COUNTA(TEXTSPLIT(CQ28,",")))),IF(CS28="",TRUE,IF(input_event_location="",TRUE,SUMPRODUCT(--ISNUMBER(SEARCH(","&amp;TRIM(TEXTSPLIT(CS28,","))&amp;",",","&amp;SUBSTITUTE(input_event_location," ","")&amp;",")))=0)),IF(CU28="",TRUE,IF(input_event_location="",FALSE,SUMPRODUCT(--ISNUMBER(SEARCH(","&amp;TRIM(TEXTSPLIT(CU28,","))&amp;",",","&amp;SUBSTITUTE(input_event_location," ","")&amp;",")))&gt;0)),IF(CW28="",TRUE,IF(input_event_location="",FALSE,SUMPRODUCT(--ISNUMBER(SEARCH(","&amp;TRIM(TEXTSPLIT(CW28,","))&amp;",",","&amp;SUBSTITUTE(input_event_location," ","")&amp;",")))=COUNTA(TEXTSPLIT(CW28,",")))))</f>
        <v/>
      </c>
      <c r="JC28">
        <f>AND(IF(CY28="",TRUE,IF(input_event_type="",FALSE,SUMPRODUCT(--ISNUMBER(SEARCH(","&amp;TRIM(TEXTSPLIT(CY28,","))&amp;",",","&amp;SUBSTITUTE(input_event_type," ","")&amp;",")))&gt;0)),IF(DA28="",TRUE,IF(input_event_type="",FALSE,SUMPRODUCT(--ISNUMBER(SEARCH(","&amp;TRIM(TEXTSPLIT(DA28,","))&amp;",",","&amp;SUBSTITUTE(input_event_type," ","")&amp;",")))=COUNTA(TEXTSPLIT(DA28,",")))),IF(DC28="",TRUE,IF(input_event_type="",TRUE,SUMPRODUCT(--ISNUMBER(SEARCH(","&amp;TRIM(TEXTSPLIT(DC28,","))&amp;",",","&amp;SUBSTITUTE(input_event_type," ","")&amp;",")))=0)),IF(DE28="",TRUE,IF(input_event_type="",FALSE,SUMPRODUCT(--ISNUMBER(SEARCH(","&amp;TRIM(TEXTSPLIT(DE28,","))&amp;",",","&amp;SUBSTITUTE(input_event_type," ","")&amp;",")))&gt;0)),IF(DG28="",TRUE,IF(input_event_type="",FALSE,SUMPRODUCT(--ISNUMBER(SEARCH(","&amp;TRIM(TEXTSPLIT(DG28,","))&amp;",",","&amp;SUBSTITUTE(input_event_type," ","")&amp;",")))=COUNTA(TEXTSPLIT(DG28,",")))))</f>
        <v/>
      </c>
      <c r="JD28">
        <f>AND(IF(DI28="",TRUE,IF(input_executive_education_focus="",FALSE,SUMPRODUCT(--ISNUMBER(SEARCH(","&amp;TRIM(TEXTSPLIT(DI28,","))&amp;",",","&amp;SUBSTITUTE(input_executive_education_focus," ","")&amp;",")))&gt;0)),IF(DK28="",TRUE,IF(input_executive_education_focus="",FALSE,SUMPRODUCT(--ISNUMBER(SEARCH(","&amp;TRIM(TEXTSPLIT(DK28,","))&amp;",",","&amp;SUBSTITUTE(input_executive_education_focus," ","")&amp;",")))=COUNTA(TEXTSPLIT(DK28,",")))),IF(DM28="",TRUE,IF(input_executive_education_focus="",TRUE,SUMPRODUCT(--ISNUMBER(SEARCH(","&amp;TRIM(TEXTSPLIT(DM28,","))&amp;",",","&amp;SUBSTITUTE(input_executive_education_focus," ","")&amp;",")))=0)),IF(DO28="",TRUE,IF(input_executive_education_focus="",FALSE,SUMPRODUCT(--ISNUMBER(SEARCH(","&amp;TRIM(TEXTSPLIT(DO28,","))&amp;",",","&amp;SUBSTITUTE(input_executive_education_focus," ","")&amp;",")))&gt;0)),IF(DQ28="",TRUE,IF(input_executive_education_focus="",FALSE,SUMPRODUCT(--ISNUMBER(SEARCH(","&amp;TRIM(TEXTSPLIT(DQ28,","))&amp;",",","&amp;SUBSTITUTE(input_executive_education_focus," ","")&amp;",")))=COUNTA(TEXTSPLIT(DQ28,",")))))</f>
        <v/>
      </c>
      <c r="JE28">
        <f>AND(IF(DS28="",TRUE,IF(input_faculty_category="",FALSE,SUMPRODUCT(--ISNUMBER(SEARCH(","&amp;TRIM(TEXTSPLIT(DS28,","))&amp;",",","&amp;SUBSTITUTE(input_faculty_category," ","")&amp;",")))&gt;0)),IF(DU28="",TRUE,IF(input_faculty_category="",FALSE,SUMPRODUCT(--ISNUMBER(SEARCH(","&amp;TRIM(TEXTSPLIT(DU28,","))&amp;",",","&amp;SUBSTITUTE(input_faculty_category," ","")&amp;",")))=COUNTA(TEXTSPLIT(DU28,",")))),IF(DW28="",TRUE,IF(input_faculty_category="",TRUE,SUMPRODUCT(--ISNUMBER(SEARCH(","&amp;TRIM(TEXTSPLIT(DW28,","))&amp;",",","&amp;SUBSTITUTE(input_faculty_category," ","")&amp;",")))=0)),IF(DY28="",TRUE,IF(input_faculty_category="",FALSE,SUMPRODUCT(--ISNUMBER(SEARCH(","&amp;TRIM(TEXTSPLIT(DY28,","))&amp;",",","&amp;SUBSTITUTE(input_faculty_category," ","")&amp;",")))&gt;0)),IF(EA28="",TRUE,IF(input_faculty_category="",FALSE,SUMPRODUCT(--ISNUMBER(SEARCH(","&amp;TRIM(TEXTSPLIT(EA28,","))&amp;",",","&amp;SUBSTITUTE(input_faculty_category," ","")&amp;",")))=COUNTA(TEXTSPLIT(EA28,",")))))</f>
        <v/>
      </c>
      <c r="JF28">
        <f>AND(IF(EC28="",TRUE,IF(input_faculty_discipline="",FALSE,SUMPRODUCT(--ISNUMBER(SEARCH(","&amp;TRIM(TEXTSPLIT(EC28,","))&amp;",",","&amp;SUBSTITUTE(input_faculty_discipline," ","")&amp;",")))&gt;0)),IF(EE28="",TRUE,IF(input_faculty_discipline="",FALSE,SUMPRODUCT(--ISNUMBER(SEARCH(","&amp;TRIM(TEXTSPLIT(EE28,","))&amp;",",","&amp;SUBSTITUTE(input_faculty_discipline," ","")&amp;",")))=COUNTA(TEXTSPLIT(EE28,",")))),IF(EG28="",TRUE,IF(input_faculty_discipline="",TRUE,SUMPRODUCT(--ISNUMBER(SEARCH(","&amp;TRIM(TEXTSPLIT(EG28,","))&amp;",",","&amp;SUBSTITUTE(input_faculty_discipline," ","")&amp;",")))=0)),IF(EI28="",TRUE,IF(input_faculty_discipline="",FALSE,SUMPRODUCT(--ISNUMBER(SEARCH(","&amp;TRIM(TEXTSPLIT(EI28,","))&amp;",",","&amp;SUBSTITUTE(input_faculty_discipline," ","")&amp;",")))&gt;0)),IF(EK28="",TRUE,IF(input_faculty_discipline="",FALSE,SUMPRODUCT(--ISNUMBER(SEARCH(","&amp;TRIM(TEXTSPLIT(EK28,","))&amp;",",","&amp;SUBSTITUTE(input_faculty_discipline," ","")&amp;",")))=COUNTA(TEXTSPLIT(EK28,",")))))</f>
        <v/>
      </c>
      <c r="JG28">
        <f>AND(IF(EM28="",TRUE,IF(input_faculty_expertise="",FALSE,SUMPRODUCT(--ISNUMBER(SEARCH(","&amp;TRIM(TEXTSPLIT(EM28,","))&amp;",",","&amp;SUBSTITUTE(input_faculty_expertise," ","")&amp;",")))&gt;0)),IF(EO28="",TRUE,IF(input_faculty_expertise="",FALSE,SUMPRODUCT(--ISNUMBER(SEARCH(","&amp;TRIM(TEXTSPLIT(EO28,","))&amp;",",","&amp;SUBSTITUTE(input_faculty_expertise," ","")&amp;",")))=COUNTA(TEXTSPLIT(EO28,",")))),IF(EQ28="",TRUE,IF(input_faculty_expertise="",TRUE,SUMPRODUCT(--ISNUMBER(SEARCH(","&amp;TRIM(TEXTSPLIT(EQ28,","))&amp;",",","&amp;SUBSTITUTE(input_faculty_expertise," ","")&amp;",")))=0)),IF(ES28="",TRUE,IF(input_faculty_expertise="",FALSE,SUMPRODUCT(--ISNUMBER(SEARCH(","&amp;TRIM(TEXTSPLIT(ES28,","))&amp;",",","&amp;SUBSTITUTE(input_faculty_expertise," ","")&amp;",")))&gt;0)),IF(EU28="",TRUE,IF(input_faculty_expertise="",FALSE,SUMPRODUCT(--ISNUMBER(SEARCH(","&amp;TRIM(TEXTSPLIT(EU28,","))&amp;",",","&amp;SUBSTITUTE(input_faculty_expertise," ","")&amp;",")))=COUNTA(TEXTSPLIT(EU28,",")))))</f>
        <v/>
      </c>
      <c r="JH28">
        <f>AND(IF(EW28="",TRUE,IF(input_global_network_school="",FALSE,SUMPRODUCT(--ISNUMBER(SEARCH(","&amp;TRIM(TEXTSPLIT(EW28,","))&amp;",",","&amp;SUBSTITUTE(input_global_network_school," ","")&amp;",")))&gt;0)),IF(EY28="",TRUE,IF(input_global_network_school="",FALSE,SUMPRODUCT(--ISNUMBER(SEARCH(","&amp;TRIM(TEXTSPLIT(EY28,","))&amp;",",","&amp;SUBSTITUTE(input_global_network_school," ","")&amp;",")))=COUNTA(TEXTSPLIT(EY28,",")))),IF(FA28="",TRUE,IF(input_global_network_school="",TRUE,SUMPRODUCT(--ISNUMBER(SEARCH(","&amp;TRIM(TEXTSPLIT(FA28,","))&amp;",",","&amp;SUBSTITUTE(input_global_network_school," ","")&amp;",")))=0)),IF(FC28="",TRUE,IF(input_global_network_school="",FALSE,SUMPRODUCT(--ISNUMBER(SEARCH(","&amp;TRIM(TEXTSPLIT(FC28,","))&amp;",",","&amp;SUBSTITUTE(input_global_network_school," ","")&amp;",")))&gt;0)),IF(FE28="",TRUE,IF(input_global_network_school="",FALSE,SUMPRODUCT(--ISNUMBER(SEARCH(","&amp;TRIM(TEXTSPLIT(FE28,","))&amp;",",","&amp;SUBSTITUTE(input_global_network_school," ","")&amp;",")))=COUNTA(TEXTSPLIT(FE28,",")))))</f>
        <v/>
      </c>
      <c r="JI28">
        <f>AND(IF(FG28="",TRUE,IF(input_industry="",FALSE,SUMPRODUCT(--ISNUMBER(SEARCH(","&amp;TRIM(TEXTSPLIT(FG28,","))&amp;",",","&amp;SUBSTITUTE(input_industry," ","")&amp;",")))&gt;0)),IF(FI28="",TRUE,IF(input_industry="",FALSE,SUMPRODUCT(--ISNUMBER(SEARCH(","&amp;TRIM(TEXTSPLIT(FI28,","))&amp;",",","&amp;SUBSTITUTE(input_industry," ","")&amp;",")))=COUNTA(TEXTSPLIT(FI28,",")))),IF(FK28="",TRUE,IF(input_industry="",TRUE,SUMPRODUCT(--ISNUMBER(SEARCH(","&amp;TRIM(TEXTSPLIT(FK28,","))&amp;",",","&amp;SUBSTITUTE(input_industry," ","")&amp;",")))=0)),IF(FM28="",TRUE,IF(input_industry="",FALSE,SUMPRODUCT(--ISNUMBER(SEARCH(","&amp;TRIM(TEXTSPLIT(FM28,","))&amp;",",","&amp;SUBSTITUTE(input_industry," ","")&amp;",")))&gt;0)),IF(FO28="",TRUE,IF(input_industry="",FALSE,SUMPRODUCT(--ISNUMBER(SEARCH(","&amp;TRIM(TEXTSPLIT(FO28,","))&amp;",",","&amp;SUBSTITUTE(input_industry," ","")&amp;",")))=COUNTA(TEXTSPLIT(FO28,",")))))</f>
        <v/>
      </c>
      <c r="JJ28">
        <f>AND(IF(FQ28="",TRUE,IF(input_location="",FALSE,SUMPRODUCT(--ISNUMBER(SEARCH(","&amp;TRIM(TEXTSPLIT(FQ28,","))&amp;",",","&amp;SUBSTITUTE(input_location," ","")&amp;",")))&gt;0)),IF(FS28="",TRUE,IF(input_location="",FALSE,SUMPRODUCT(--ISNUMBER(SEARCH(","&amp;TRIM(TEXTSPLIT(FS28,","))&amp;",",","&amp;SUBSTITUTE(input_location," ","")&amp;",")))=COUNTA(TEXTSPLIT(FS28,",")))),IF(FU28="",TRUE,IF(input_location="",TRUE,SUMPRODUCT(--ISNUMBER(SEARCH(","&amp;TRIM(TEXTSPLIT(FU28,","))&amp;",",","&amp;SUBSTITUTE(input_location," ","")&amp;",")))=0)),IF(FW28="",TRUE,IF(input_location="",FALSE,SUMPRODUCT(--ISNUMBER(SEARCH(","&amp;TRIM(TEXTSPLIT(FW28,","))&amp;",",","&amp;SUBSTITUTE(input_location," ","")&amp;",")))&gt;0)),IF(FY28="",TRUE,IF(input_location="",FALSE,SUMPRODUCT(--ISNUMBER(SEARCH(","&amp;TRIM(TEXTSPLIT(FY28,","))&amp;",",","&amp;SUBSTITUTE(input_location," ","")&amp;",")))=COUNTA(TEXTSPLIT(FY28,",")))))</f>
        <v/>
      </c>
      <c r="JK28">
        <f>AND(IF(GA28="",TRUE,IF(input_modality="",FALSE,SUMPRODUCT(--ISNUMBER(SEARCH(","&amp;TRIM(TEXTSPLIT(GA28,","))&amp;",",","&amp;SUBSTITUTE(input_modality," ","")&amp;",")))&gt;0)),IF(GC28="",TRUE,IF(input_modality="",FALSE,SUMPRODUCT(--ISNUMBER(SEARCH(","&amp;TRIM(TEXTSPLIT(GC28,","))&amp;",",","&amp;SUBSTITUTE(input_modality," ","")&amp;",")))=COUNTA(TEXTSPLIT(GC28,",")))),IF(GE28="",TRUE,IF(input_modality="",TRUE,SUMPRODUCT(--ISNUMBER(SEARCH(","&amp;TRIM(TEXTSPLIT(GE28,","))&amp;",",","&amp;SUBSTITUTE(input_modality," ","")&amp;",")))=0)),IF(GG28="",TRUE,IF(input_modality="",FALSE,SUMPRODUCT(--ISNUMBER(SEARCH(","&amp;TRIM(TEXTSPLIT(GG28,","))&amp;",",","&amp;SUBSTITUTE(input_modality," ","")&amp;",")))&gt;0)),IF(GI28="",TRUE,IF(input_modality="",FALSE,SUMPRODUCT(--ISNUMBER(SEARCH(","&amp;TRIM(TEXTSPLIT(GI28,","))&amp;",",","&amp;SUBSTITUTE(input_modality," ","")&amp;",")))=COUNTA(TEXTSPLIT(GI28,",")))))</f>
        <v/>
      </c>
      <c r="JL28">
        <f>AND(IF(GK28="",TRUE,IF(input_organizer="",FALSE,SUMPRODUCT(--ISNUMBER(SEARCH(","&amp;TRIM(TEXTSPLIT(GK28,","))&amp;",",","&amp;SUBSTITUTE(input_organizer," ","")&amp;",")))&gt;0)),IF(GM28="",TRUE,IF(input_organizer="",FALSE,SUMPRODUCT(--ISNUMBER(SEARCH(","&amp;TRIM(TEXTSPLIT(GM28,","))&amp;",",","&amp;SUBSTITUTE(input_organizer," ","")&amp;",")))=COUNTA(TEXTSPLIT(GM28,",")))),IF(GO28="",TRUE,IF(input_organizer="",TRUE,SUMPRODUCT(--ISNUMBER(SEARCH(","&amp;TRIM(TEXTSPLIT(GO28,","))&amp;",",","&amp;SUBSTITUTE(input_organizer," ","")&amp;",")))=0)),IF(GQ28="",TRUE,IF(input_organizer="",FALSE,SUMPRODUCT(--ISNUMBER(SEARCH(","&amp;TRIM(TEXTSPLIT(GQ28,","))&amp;",",","&amp;SUBSTITUTE(input_organizer," ","")&amp;",")))&gt;0)),IF(GS28="",TRUE,IF(input_organizer="",FALSE,SUMPRODUCT(--ISNUMBER(SEARCH(","&amp;TRIM(TEXTSPLIT(GS28,","))&amp;",",","&amp;SUBSTITUTE(input_organizer," ","")&amp;",")))=COUNTA(TEXTSPLIT(GS28,",")))))</f>
        <v/>
      </c>
      <c r="JM28">
        <f>AND(IF(GU28="",TRUE,IF(input_profile_type="",FALSE,SUMPRODUCT(--ISNUMBER(SEARCH(","&amp;TRIM(TEXTSPLIT(GU28,","))&amp;",",","&amp;SUBSTITUTE(input_profile_type," ","")&amp;",")))&gt;0)),IF(GW28="",TRUE,IF(input_profile_type="",FALSE,SUMPRODUCT(--ISNUMBER(SEARCH(","&amp;TRIM(TEXTSPLIT(GW28,","))&amp;",",","&amp;SUBSTITUTE(input_profile_type," ","")&amp;",")))=COUNTA(TEXTSPLIT(GW28,",")))),IF(GY28="",TRUE,IF(input_profile_type="",TRUE,SUMPRODUCT(--ISNUMBER(SEARCH(","&amp;TRIM(TEXTSPLIT(GY28,","))&amp;",",","&amp;SUBSTITUTE(input_profile_type," ","")&amp;",")))=0)),IF(HA28="",TRUE,IF(input_profile_type="",FALSE,SUMPRODUCT(--ISNUMBER(SEARCH(","&amp;TRIM(TEXTSPLIT(HA28,","))&amp;",",","&amp;SUBSTITUTE(input_profile_type," ","")&amp;",")))&gt;0)),IF(HC28="",TRUE,IF(input_profile_type="",FALSE,SUMPRODUCT(--ISNUMBER(SEARCH(","&amp;TRIM(TEXTSPLIT(HC28,","))&amp;",",","&amp;SUBSTITUTE(input_profile_type," ","")&amp;",")))=COUNTA(TEXTSPLIT(HC28,",")))))</f>
        <v/>
      </c>
      <c r="JN28">
        <f>AND(IF(HE28="",TRUE,IF(input_program="",FALSE,SUMPRODUCT(--ISNUMBER(SEARCH(","&amp;TRIM(TEXTSPLIT(HE28,","))&amp;",",","&amp;SUBSTITUTE(input_program," ","")&amp;",")))&gt;0)),IF(HG28="",TRUE,IF(input_program="",FALSE,SUMPRODUCT(--ISNUMBER(SEARCH(","&amp;TRIM(TEXTSPLIT(HG28,","))&amp;",",","&amp;SUBSTITUTE(input_program," ","")&amp;",")))=COUNTA(TEXTSPLIT(HG28,",")))),IF(HI28="",TRUE,IF(input_program="",TRUE,SUMPRODUCT(--ISNUMBER(SEARCH(","&amp;TRIM(TEXTSPLIT(HI28,","))&amp;",",","&amp;SUBSTITUTE(input_program," ","")&amp;",")))=0)),IF(HK28="",TRUE,IF(input_program="",FALSE,SUMPRODUCT(--ISNUMBER(SEARCH(","&amp;TRIM(TEXTSPLIT(HK28,","))&amp;",",","&amp;SUBSTITUTE(input_program," ","")&amp;",")))&gt;0)),IF(HM28="",TRUE,IF(input_program="",FALSE,SUMPRODUCT(--ISNUMBER(SEARCH(","&amp;TRIM(TEXTSPLIT(HM28,","))&amp;",",","&amp;SUBSTITUTE(input_program," ","")&amp;",")))=COUNTA(TEXTSPLIT(HM28,",")))))</f>
        <v/>
      </c>
      <c r="JO28">
        <f>AND(IF(HO28="",TRUE,IF(input_story_categories="",FALSE,SUMPRODUCT(--ISNUMBER(SEARCH(","&amp;TRIM(TEXTSPLIT(HO28,","))&amp;",",","&amp;SUBSTITUTE(input_story_categories," ","")&amp;",")))&gt;0)),IF(HQ28="",TRUE,IF(input_story_categories="",FALSE,SUMPRODUCT(--ISNUMBER(SEARCH(","&amp;TRIM(TEXTSPLIT(HQ28,","))&amp;",",","&amp;SUBSTITUTE(input_story_categories," ","")&amp;",")))=COUNTA(TEXTSPLIT(HQ28,",")))),IF(HS28="",TRUE,IF(input_story_categories="",TRUE,SUMPRODUCT(--ISNUMBER(SEARCH(","&amp;TRIM(TEXTSPLIT(HS28,","))&amp;",",","&amp;SUBSTITUTE(input_story_categories," ","")&amp;",")))=0)),IF(HU28="",TRUE,IF(input_story_categories="",FALSE,SUMPRODUCT(--ISNUMBER(SEARCH(","&amp;TRIM(TEXTSPLIT(HU28,","))&amp;",",","&amp;SUBSTITUTE(input_story_categories," ","")&amp;",")))&gt;0)),IF(HW28="",TRUE,IF(input_story_categories="",FALSE,SUMPRODUCT(--ISNUMBER(SEARCH(","&amp;TRIM(TEXTSPLIT(HW28,","))&amp;",",","&amp;SUBSTITUTE(input_story_categories," ","")&amp;",")))=COUNTA(TEXTSPLIT(HW28,",")))))</f>
        <v/>
      </c>
      <c r="JP28">
        <f>AND(IF(HY28="",TRUE,IF(input_story_type="",FALSE,SUMPRODUCT(--ISNUMBER(SEARCH(","&amp;TRIM(TEXTSPLIT(HY28,","))&amp;",",","&amp;SUBSTITUTE(input_story_type," ","")&amp;",")))&gt;0)),IF(IA28="",TRUE,IF(input_story_type="",FALSE,SUMPRODUCT(--ISNUMBER(SEARCH(","&amp;TRIM(TEXTSPLIT(IA28,","))&amp;",",","&amp;SUBSTITUTE(input_story_type," ","")&amp;",")))=COUNTA(TEXTSPLIT(IA28,",")))),IF(IC28="",TRUE,IF(input_story_type="",TRUE,SUMPRODUCT(--ISNUMBER(SEARCH(","&amp;TRIM(TEXTSPLIT(IC28,","))&amp;",",","&amp;SUBSTITUTE(input_story_type," ","")&amp;",")))=0)),IF(IE28="",TRUE,IF(input_story_type="",FALSE,SUMPRODUCT(--ISNUMBER(SEARCH(","&amp;TRIM(TEXTSPLIT(IE28,","))&amp;",",","&amp;SUBSTITUTE(input_story_type," ","")&amp;",")))&gt;0)),IF(IG28="",TRUE,IF(input_story_type="",FALSE,SUMPRODUCT(--ISNUMBER(SEARCH(","&amp;TRIM(TEXTSPLIT(IG28,","))&amp;",",","&amp;SUBSTITUTE(input_story_type," ","")&amp;",")))=COUNTA(TEXTSPLIT(IG28,",")))))</f>
        <v/>
      </c>
      <c r="JQ28">
        <f>AND(IF(II28="",TRUE,IF(input_topics="",FALSE,SUMPRODUCT(--ISNUMBER(SEARCH(","&amp;TRIM(TEXTSPLIT(II28,","))&amp;",",","&amp;SUBSTITUTE(input_topics," ","")&amp;",")))&gt;0)),IF(IK28="",TRUE,IF(input_topics="",FALSE,SUMPRODUCT(--ISNUMBER(SEARCH(","&amp;TRIM(TEXTSPLIT(IK28,","))&amp;",",","&amp;SUBSTITUTE(input_topics," ","")&amp;",")))=COUNTA(TEXTSPLIT(IK28,",")))),IF(IM28="",TRUE,IF(input_topics="",TRUE,SUMPRODUCT(--ISNUMBER(SEARCH(","&amp;TRIM(TEXTSPLIT(IM28,","))&amp;",",","&amp;SUBSTITUTE(input_topics," ","")&amp;",")))=0)),IF(IO28="",TRUE,IF(input_topics="",FALSE,SUMPRODUCT(--ISNUMBER(SEARCH(","&amp;TRIM(TEXTSPLIT(IO28,","))&amp;",",","&amp;SUBSTITUTE(input_topics," ","")&amp;",")))&gt;0)),IF(IQ28="",TRUE,IF(input_topics="",FALSE,SUMPRODUCT(--ISNUMBER(SEARCH(","&amp;TRIM(TEXTSPLIT(IQ28,","))&amp;",",","&amp;SUBSTITUTE(input_topics," ","")&amp;",")))=COUNTA(TEXTSPLIT(IQ28,",")))))</f>
        <v/>
      </c>
    </row>
    <row r="29">
      <c r="A29" s="4">
        <f>IF(NOT(IS29),"Excluded",IF(AND(IT29,IU29,IV29,IW29,IX29,IY29,IZ29,JA29,JB29,JC29,JD29,JE29,JF29,JG29,JH29,JI29,JJ29,JK29,JL29,JM29,JN29,JO29,JP29,JQ29),IF(I29&gt;0,"Eligible but limited","Will appear"),"Excluded"))</f>
        <v/>
      </c>
      <c r="B29" s="4" t="inlineStr">
        <is>
          <t>All Publications by Author</t>
        </is>
      </c>
      <c r="C29" s="4" t="inlineStr">
        <is>
          <t>/faculty-research/faculty-directory/heidi-brooks</t>
        </is>
      </c>
      <c r="D29" s="4" t="inlineStr">
        <is>
          <t>/faculty-research/faculty-directory/heidi-brooks</t>
        </is>
      </c>
      <c r="E29" s="4" t="n">
        <v>1</v>
      </c>
      <c r="F29" s="4" t="inlineStr">
        <is>
          <t>publications</t>
        </is>
      </c>
      <c r="G29" s="4" t="inlineStr">
        <is>
          <t>publication_teaser_list</t>
        </is>
      </c>
      <c r="H29" s="4" t="inlineStr">
        <is>
          <t>publication_teaser_list_all_by_author</t>
        </is>
      </c>
      <c r="I29" s="4" t="inlineStr"/>
      <c r="J29" s="4" t="inlineStr">
        <is>
          <t>View/config rules</t>
        </is>
      </c>
      <c r="K29" s="4" t="inlineStr">
        <is>
          <t>Page placement</t>
        </is>
      </c>
      <c r="L29" s="4" t="inlineStr">
        <is>
          <t>Content type: publications; Source: View/config rules</t>
        </is>
      </c>
      <c r="M29" t="inlineStr"/>
      <c r="N29" t="inlineStr"/>
      <c r="O29" t="inlineStr"/>
      <c r="P29" t="inlineStr"/>
      <c r="Q29" t="inlineStr"/>
      <c r="R29" t="inlineStr"/>
      <c r="S29" t="inlineStr"/>
      <c r="T29" t="inlineStr"/>
      <c r="U29" t="inlineStr"/>
      <c r="V29" t="inlineStr"/>
      <c r="W29" t="inlineStr"/>
      <c r="X29" t="inlineStr"/>
      <c r="Y29" t="inlineStr"/>
      <c r="Z29" t="inlineStr"/>
      <c r="AA29" t="inlineStr"/>
      <c r="AB29" t="inlineStr"/>
      <c r="AC29" t="inlineStr"/>
      <c r="AD29" t="inlineStr"/>
      <c r="AE29" t="inlineStr"/>
      <c r="AF29" t="inlineStr"/>
      <c r="AG29" t="inlineStr"/>
      <c r="AH29" t="inlineStr"/>
      <c r="AI29" t="inlineStr"/>
      <c r="AJ29" t="inlineStr"/>
      <c r="AK29" t="inlineStr"/>
      <c r="AL29" t="inlineStr"/>
      <c r="AM29" t="inlineStr"/>
      <c r="AN29" t="inlineStr"/>
      <c r="AO29" t="inlineStr"/>
      <c r="AP29" t="inlineStr"/>
      <c r="AQ29" t="inlineStr"/>
      <c r="AR29" t="inlineStr"/>
      <c r="AS29" t="inlineStr"/>
      <c r="AT29" t="inlineStr"/>
      <c r="AU29" t="inlineStr"/>
      <c r="AV29" t="inlineStr"/>
      <c r="AW29" t="inlineStr"/>
      <c r="AX29" t="inlineStr"/>
      <c r="AY29" t="inlineStr"/>
      <c r="AZ29" t="inlineStr"/>
      <c r="BA29" t="inlineStr"/>
      <c r="BB29" t="inlineStr"/>
      <c r="BC29" t="inlineStr"/>
      <c r="BD29" t="inlineStr"/>
      <c r="BE29" t="inlineStr"/>
      <c r="BF29" t="inlineStr"/>
      <c r="BG29" t="inlineStr"/>
      <c r="BH29" t="inlineStr"/>
      <c r="BI29" t="inlineStr"/>
      <c r="BJ29" t="inlineStr"/>
      <c r="BK29" t="inlineStr"/>
      <c r="BL29" t="inlineStr"/>
      <c r="BM29" t="inlineStr"/>
      <c r="BN29" t="inlineStr"/>
      <c r="BO29" t="inlineStr"/>
      <c r="BP29" t="inlineStr"/>
      <c r="BQ29" t="inlineStr"/>
      <c r="BR29" t="inlineStr"/>
      <c r="BS29" t="inlineStr"/>
      <c r="BT29" t="inlineStr"/>
      <c r="BU29" t="inlineStr"/>
      <c r="BV29" t="inlineStr"/>
      <c r="BW29" t="inlineStr"/>
      <c r="BX29" t="inlineStr"/>
      <c r="BY29" t="inlineStr"/>
      <c r="BZ29" t="inlineStr"/>
      <c r="CA29" t="inlineStr"/>
      <c r="CB29" t="inlineStr"/>
      <c r="CC29" t="inlineStr"/>
      <c r="CD29" t="inlineStr"/>
      <c r="CE29" t="inlineStr"/>
      <c r="CF29" t="inlineStr"/>
      <c r="CG29" t="inlineStr"/>
      <c r="CH29" t="inlineStr"/>
      <c r="CI29" t="inlineStr"/>
      <c r="CJ29" t="inlineStr"/>
      <c r="CK29" t="inlineStr"/>
      <c r="CL29" t="inlineStr"/>
      <c r="CM29" t="inlineStr"/>
      <c r="CN29" t="inlineStr"/>
      <c r="CO29" t="inlineStr"/>
      <c r="CP29" t="inlineStr"/>
      <c r="CQ29" t="inlineStr"/>
      <c r="CR29" t="inlineStr"/>
      <c r="CS29" t="inlineStr"/>
      <c r="CT29" t="inlineStr"/>
      <c r="CU29" t="inlineStr"/>
      <c r="CV29" t="inlineStr"/>
      <c r="CW29" t="inlineStr"/>
      <c r="CX29" t="inlineStr"/>
      <c r="CY29" t="inlineStr"/>
      <c r="CZ29" t="inlineStr"/>
      <c r="DA29" t="inlineStr"/>
      <c r="DB29" t="inlineStr"/>
      <c r="DC29" t="inlineStr"/>
      <c r="DD29" t="inlineStr"/>
      <c r="DE29" t="inlineStr"/>
      <c r="DF29" t="inlineStr"/>
      <c r="DG29" t="inlineStr"/>
      <c r="DH29" t="inlineStr"/>
      <c r="DI29" t="inlineStr"/>
      <c r="DJ29" t="inlineStr"/>
      <c r="DK29" t="inlineStr"/>
      <c r="DL29" t="inlineStr"/>
      <c r="DM29" t="inlineStr"/>
      <c r="DN29" t="inlineStr"/>
      <c r="DO29" t="inlineStr"/>
      <c r="DP29" t="inlineStr"/>
      <c r="DQ29" t="inlineStr"/>
      <c r="DR29" t="inlineStr"/>
      <c r="DS29" t="inlineStr"/>
      <c r="DT29" t="inlineStr"/>
      <c r="DU29" t="inlineStr"/>
      <c r="DV29" t="inlineStr"/>
      <c r="DW29" t="inlineStr"/>
      <c r="DX29" t="inlineStr"/>
      <c r="DY29" t="inlineStr"/>
      <c r="DZ29" t="inlineStr"/>
      <c r="EA29" t="inlineStr"/>
      <c r="EB29" t="inlineStr"/>
      <c r="EC29" t="inlineStr"/>
      <c r="ED29" t="inlineStr"/>
      <c r="EE29" t="inlineStr"/>
      <c r="EF29" t="inlineStr"/>
      <c r="EG29" t="inlineStr"/>
      <c r="EH29" t="inlineStr"/>
      <c r="EI29" t="inlineStr"/>
      <c r="EJ29" t="inlineStr"/>
      <c r="EK29" t="inlineStr"/>
      <c r="EL29" t="inlineStr"/>
      <c r="EM29" t="inlineStr"/>
      <c r="EN29" t="inlineStr"/>
      <c r="EO29" t="inlineStr"/>
      <c r="EP29" t="inlineStr"/>
      <c r="EQ29" t="inlineStr"/>
      <c r="ER29" t="inlineStr"/>
      <c r="ES29" t="inlineStr"/>
      <c r="ET29" t="inlineStr"/>
      <c r="EU29" t="inlineStr"/>
      <c r="EV29" t="inlineStr"/>
      <c r="EW29" t="inlineStr"/>
      <c r="EX29" t="inlineStr"/>
      <c r="EY29" t="inlineStr"/>
      <c r="EZ29" t="inlineStr"/>
      <c r="FA29" t="inlineStr"/>
      <c r="FB29" t="inlineStr"/>
      <c r="FC29" t="inlineStr"/>
      <c r="FD29" t="inlineStr"/>
      <c r="FE29" t="inlineStr"/>
      <c r="FF29" t="inlineStr"/>
      <c r="FG29" t="inlineStr"/>
      <c r="FH29" t="inlineStr"/>
      <c r="FI29" t="inlineStr"/>
      <c r="FJ29" t="inlineStr"/>
      <c r="FK29" t="inlineStr"/>
      <c r="FL29" t="inlineStr"/>
      <c r="FM29" t="inlineStr"/>
      <c r="FN29" t="inlineStr"/>
      <c r="FO29" t="inlineStr"/>
      <c r="FP29" t="inlineStr"/>
      <c r="FQ29" t="inlineStr"/>
      <c r="FR29" t="inlineStr"/>
      <c r="FS29" t="inlineStr"/>
      <c r="FT29" t="inlineStr"/>
      <c r="FU29" t="inlineStr"/>
      <c r="FV29" t="inlineStr"/>
      <c r="FW29" t="inlineStr"/>
      <c r="FX29" t="inlineStr"/>
      <c r="FY29" t="inlineStr"/>
      <c r="FZ29" t="inlineStr"/>
      <c r="GA29" t="inlineStr"/>
      <c r="GB29" t="inlineStr"/>
      <c r="GC29" t="inlineStr"/>
      <c r="GD29" t="inlineStr"/>
      <c r="GE29" t="inlineStr"/>
      <c r="GF29" t="inlineStr"/>
      <c r="GG29" t="inlineStr"/>
      <c r="GH29" t="inlineStr"/>
      <c r="GI29" t="inlineStr"/>
      <c r="GJ29" t="inlineStr"/>
      <c r="GK29" t="inlineStr"/>
      <c r="GL29" t="inlineStr"/>
      <c r="GM29" t="inlineStr"/>
      <c r="GN29" t="inlineStr"/>
      <c r="GO29" t="inlineStr"/>
      <c r="GP29" t="inlineStr"/>
      <c r="GQ29" t="inlineStr"/>
      <c r="GR29" t="inlineStr"/>
      <c r="GS29" t="inlineStr"/>
      <c r="GT29" t="inlineStr"/>
      <c r="GU29" t="inlineStr"/>
      <c r="GV29" t="inlineStr"/>
      <c r="GW29" t="inlineStr"/>
      <c r="GX29" t="inlineStr"/>
      <c r="GY29" t="inlineStr"/>
      <c r="GZ29" t="inlineStr"/>
      <c r="HA29" t="inlineStr"/>
      <c r="HB29" t="inlineStr"/>
      <c r="HC29" t="inlineStr"/>
      <c r="HD29" t="inlineStr"/>
      <c r="HE29" t="inlineStr"/>
      <c r="HF29" t="inlineStr"/>
      <c r="HG29" t="inlineStr"/>
      <c r="HH29" t="inlineStr"/>
      <c r="HI29" t="inlineStr"/>
      <c r="HJ29" t="inlineStr"/>
      <c r="HK29" t="inlineStr"/>
      <c r="HL29" t="inlineStr"/>
      <c r="HM29" t="inlineStr"/>
      <c r="HN29" t="inlineStr"/>
      <c r="HO29" t="inlineStr"/>
      <c r="HP29" t="inlineStr"/>
      <c r="HQ29" t="inlineStr"/>
      <c r="HR29" t="inlineStr"/>
      <c r="HS29" t="inlineStr"/>
      <c r="HT29" t="inlineStr"/>
      <c r="HU29" t="inlineStr"/>
      <c r="HV29" t="inlineStr"/>
      <c r="HW29" t="inlineStr"/>
      <c r="HX29" t="inlineStr"/>
      <c r="HY29" t="inlineStr"/>
      <c r="HZ29" t="inlineStr"/>
      <c r="IA29" t="inlineStr"/>
      <c r="IB29" t="inlineStr"/>
      <c r="IC29" t="inlineStr"/>
      <c r="ID29" t="inlineStr"/>
      <c r="IE29" t="inlineStr"/>
      <c r="IF29" t="inlineStr"/>
      <c r="IG29" t="inlineStr"/>
      <c r="IH29" t="inlineStr"/>
      <c r="II29" t="inlineStr"/>
      <c r="IJ29" t="inlineStr"/>
      <c r="IK29" t="inlineStr"/>
      <c r="IL29" t="inlineStr"/>
      <c r="IM29" t="inlineStr"/>
      <c r="IN29" t="inlineStr"/>
      <c r="IO29" t="inlineStr"/>
      <c r="IP29" t="inlineStr"/>
      <c r="IQ29" t="inlineStr"/>
      <c r="IR29" t="inlineStr"/>
      <c r="IS29">
        <f>IF(input_content_type="",FALSE,ISNUMBER(SEARCH(","&amp;LOWER(input_content_type)&amp;",",","&amp;LOWER(F29)&amp;",")))</f>
        <v/>
      </c>
      <c r="IT29">
        <f>AND(IF(M29="",TRUE,IF(input_affiliations="",FALSE,SUMPRODUCT(--ISNUMBER(SEARCH(","&amp;TRIM(TEXTSPLIT(M29,","))&amp;",",","&amp;SUBSTITUTE(input_affiliations," ","")&amp;",")))&gt;0)),IF(O29="",TRUE,IF(input_affiliations="",FALSE,SUMPRODUCT(--ISNUMBER(SEARCH(","&amp;TRIM(TEXTSPLIT(O29,","))&amp;",",","&amp;SUBSTITUTE(input_affiliations," ","")&amp;",")))=COUNTA(TEXTSPLIT(O29,",")))),IF(Q29="",TRUE,IF(input_affiliations="",TRUE,SUMPRODUCT(--ISNUMBER(SEARCH(","&amp;TRIM(TEXTSPLIT(Q29,","))&amp;",",","&amp;SUBSTITUTE(input_affiliations," ","")&amp;",")))=0)),IF(S29="",TRUE,IF(input_affiliations="",FALSE,SUMPRODUCT(--ISNUMBER(SEARCH(","&amp;TRIM(TEXTSPLIT(S29,","))&amp;",",","&amp;SUBSTITUTE(input_affiliations," ","")&amp;",")))&gt;0)),IF(U29="",TRUE,IF(input_affiliations="",FALSE,SUMPRODUCT(--ISNUMBER(SEARCH(","&amp;TRIM(TEXTSPLIT(U29,","))&amp;",",","&amp;SUBSTITUTE(input_affiliations," ","")&amp;",")))=COUNTA(TEXTSPLIT(U29,",")))))</f>
        <v/>
      </c>
      <c r="IU29">
        <f>AND(IF(W29="",TRUE,IF(input_announcement_category="",FALSE,SUMPRODUCT(--ISNUMBER(SEARCH(","&amp;TRIM(TEXTSPLIT(W29,","))&amp;",",","&amp;SUBSTITUTE(input_announcement_category," ","")&amp;",")))&gt;0)),IF(Y29="",TRUE,IF(input_announcement_category="",FALSE,SUMPRODUCT(--ISNUMBER(SEARCH(","&amp;TRIM(TEXTSPLIT(Y29,","))&amp;",",","&amp;SUBSTITUTE(input_announcement_category," ","")&amp;",")))=COUNTA(TEXTSPLIT(Y29,",")))),IF(AA29="",TRUE,IF(input_announcement_category="",TRUE,SUMPRODUCT(--ISNUMBER(SEARCH(","&amp;TRIM(TEXTSPLIT(AA29,","))&amp;",",","&amp;SUBSTITUTE(input_announcement_category," ","")&amp;",")))=0)),IF(AC29="",TRUE,IF(input_announcement_category="",FALSE,SUMPRODUCT(--ISNUMBER(SEARCH(","&amp;TRIM(TEXTSPLIT(AC29,","))&amp;",",","&amp;SUBSTITUTE(input_announcement_category," ","")&amp;",")))&gt;0)),IF(AE29="",TRUE,IF(input_announcement_category="",FALSE,SUMPRODUCT(--ISNUMBER(SEARCH(","&amp;TRIM(TEXTSPLIT(AE29,","))&amp;",",","&amp;SUBSTITUTE(input_announcement_category," ","")&amp;",")))=COUNTA(TEXTSPLIT(AE29,",")))))</f>
        <v/>
      </c>
      <c r="IV29">
        <f>AND(IF(AG29="",TRUE,IF(input_area_of_focus="",FALSE,SUMPRODUCT(--ISNUMBER(SEARCH(","&amp;TRIM(TEXTSPLIT(AG29,","))&amp;",",","&amp;SUBSTITUTE(input_area_of_focus," ","")&amp;",")))&gt;0)),IF(AI29="",TRUE,IF(input_area_of_focus="",FALSE,SUMPRODUCT(--ISNUMBER(SEARCH(","&amp;TRIM(TEXTSPLIT(AI29,","))&amp;",",","&amp;SUBSTITUTE(input_area_of_focus," ","")&amp;",")))=COUNTA(TEXTSPLIT(AI29,",")))),IF(AK29="",TRUE,IF(input_area_of_focus="",TRUE,SUMPRODUCT(--ISNUMBER(SEARCH(","&amp;TRIM(TEXTSPLIT(AK29,","))&amp;",",","&amp;SUBSTITUTE(input_area_of_focus," ","")&amp;",")))=0)),IF(AM29="",TRUE,IF(input_area_of_focus="",FALSE,SUMPRODUCT(--ISNUMBER(SEARCH(","&amp;TRIM(TEXTSPLIT(AM29,","))&amp;",",","&amp;SUBSTITUTE(input_area_of_focus," ","")&amp;",")))&gt;0)),IF(AO29="",TRUE,IF(input_area_of_focus="",FALSE,SUMPRODUCT(--ISNUMBER(SEARCH(","&amp;TRIM(TEXTSPLIT(AO29,","))&amp;",",","&amp;SUBSTITUTE(input_area_of_focus," ","")&amp;",")))=COUNTA(TEXTSPLIT(AO29,",")))))</f>
        <v/>
      </c>
      <c r="IW29">
        <f>AND(IF(AQ29="",TRUE,IF(input_audience="",FALSE,SUMPRODUCT(--ISNUMBER(SEARCH(","&amp;TRIM(TEXTSPLIT(AQ29,","))&amp;",",","&amp;SUBSTITUTE(input_audience," ","")&amp;",")))&gt;0)),IF(AS29="",TRUE,IF(input_audience="",FALSE,SUMPRODUCT(--ISNUMBER(SEARCH(","&amp;TRIM(TEXTSPLIT(AS29,","))&amp;",",","&amp;SUBSTITUTE(input_audience," ","")&amp;",")))=COUNTA(TEXTSPLIT(AS29,",")))),IF(AU29="",TRUE,IF(input_audience="",TRUE,SUMPRODUCT(--ISNUMBER(SEARCH(","&amp;TRIM(TEXTSPLIT(AU29,","))&amp;",",","&amp;SUBSTITUTE(input_audience," ","")&amp;",")))=0)),IF(AW29="",TRUE,IF(input_audience="",FALSE,SUMPRODUCT(--ISNUMBER(SEARCH(","&amp;TRIM(TEXTSPLIT(AW29,","))&amp;",",","&amp;SUBSTITUTE(input_audience," ","")&amp;",")))&gt;0)),IF(AY29="",TRUE,IF(input_audience="",FALSE,SUMPRODUCT(--ISNUMBER(SEARCH(","&amp;TRIM(TEXTSPLIT(AY29,","))&amp;",",","&amp;SUBSTITUTE(input_audience," ","")&amp;",")))=COUNTA(TEXTSPLIT(AY29,",")))))</f>
        <v/>
      </c>
      <c r="IX29">
        <f>AND(IF(BA29="",TRUE,IF(input_challenge_opportunities="",FALSE,SUMPRODUCT(--ISNUMBER(SEARCH(","&amp;TRIM(TEXTSPLIT(BA29,","))&amp;",",","&amp;SUBSTITUTE(input_challenge_opportunities," ","")&amp;",")))&gt;0)),IF(BC29="",TRUE,IF(input_challenge_opportunities="",FALSE,SUMPRODUCT(--ISNUMBER(SEARCH(","&amp;TRIM(TEXTSPLIT(BC29,","))&amp;",",","&amp;SUBSTITUTE(input_challenge_opportunities," ","")&amp;",")))=COUNTA(TEXTSPLIT(BC29,",")))),IF(BE29="",TRUE,IF(input_challenge_opportunities="",TRUE,SUMPRODUCT(--ISNUMBER(SEARCH(","&amp;TRIM(TEXTSPLIT(BE29,","))&amp;",",","&amp;SUBSTITUTE(input_challenge_opportunities," ","")&amp;",")))=0)),IF(BG29="",TRUE,IF(input_challenge_opportunities="",FALSE,SUMPRODUCT(--ISNUMBER(SEARCH(","&amp;TRIM(TEXTSPLIT(BG29,","))&amp;",",","&amp;SUBSTITUTE(input_challenge_opportunities," ","")&amp;",")))&gt;0)),IF(BI29="",TRUE,IF(input_challenge_opportunities="",FALSE,SUMPRODUCT(--ISNUMBER(SEARCH(","&amp;TRIM(TEXTSPLIT(BI29,","))&amp;",",","&amp;SUBSTITUTE(input_challenge_opportunities," ","")&amp;",")))=COUNTA(TEXTSPLIT(BI29,",")))))</f>
        <v/>
      </c>
      <c r="IY29">
        <f>AND(IF(BK29="",TRUE,IF(input_context="",FALSE,SUMPRODUCT(--ISNUMBER(SEARCH(","&amp;TRIM(TEXTSPLIT(BK29,","))&amp;",",","&amp;SUBSTITUTE(input_context," ","")&amp;",")))&gt;0)),IF(BM29="",TRUE,IF(input_context="",FALSE,SUMPRODUCT(--ISNUMBER(SEARCH(","&amp;TRIM(TEXTSPLIT(BM29,","))&amp;",",","&amp;SUBSTITUTE(input_context," ","")&amp;",")))=COUNTA(TEXTSPLIT(BM29,",")))),IF(BO29="",TRUE,IF(input_context="",TRUE,SUMPRODUCT(--ISNUMBER(SEARCH(","&amp;TRIM(TEXTSPLIT(BO29,","))&amp;",",","&amp;SUBSTITUTE(input_context," ","")&amp;",")))=0)),IF(BQ29="",TRUE,IF(input_context="",FALSE,SUMPRODUCT(--ISNUMBER(SEARCH(","&amp;TRIM(TEXTSPLIT(BQ29,","))&amp;",",","&amp;SUBSTITUTE(input_context," ","")&amp;",")))&gt;0)),IF(BS29="",TRUE,IF(input_context="",FALSE,SUMPRODUCT(--ISNUMBER(SEARCH(","&amp;TRIM(TEXTSPLIT(BS29,","))&amp;",",","&amp;SUBSTITUTE(input_context," ","")&amp;",")))=COUNTA(TEXTSPLIT(BS29,",")))))</f>
        <v/>
      </c>
      <c r="IZ29">
        <f>AND(IF(BU29="",TRUE,IF(input_enews_announcement_type="",FALSE,SUMPRODUCT(--ISNUMBER(SEARCH(","&amp;TRIM(TEXTSPLIT(BU29,","))&amp;",",","&amp;SUBSTITUTE(input_enews_announcement_type," ","")&amp;",")))&gt;0)),IF(BW29="",TRUE,IF(input_enews_announcement_type="",FALSE,SUMPRODUCT(--ISNUMBER(SEARCH(","&amp;TRIM(TEXTSPLIT(BW29,","))&amp;",",","&amp;SUBSTITUTE(input_enews_announcement_type," ","")&amp;",")))=COUNTA(TEXTSPLIT(BW29,",")))),IF(BY29="",TRUE,IF(input_enews_announcement_type="",TRUE,SUMPRODUCT(--ISNUMBER(SEARCH(","&amp;TRIM(TEXTSPLIT(BY29,","))&amp;",",","&amp;SUBSTITUTE(input_enews_announcement_type," ","")&amp;",")))=0)),IF(CA29="",TRUE,IF(input_enews_announcement_type="",FALSE,SUMPRODUCT(--ISNUMBER(SEARCH(","&amp;TRIM(TEXTSPLIT(CA29,","))&amp;",",","&amp;SUBSTITUTE(input_enews_announcement_type," ","")&amp;",")))&gt;0)),IF(CC29="",TRUE,IF(input_enews_announcement_type="",FALSE,SUMPRODUCT(--ISNUMBER(SEARCH(","&amp;TRIM(TEXTSPLIT(CC29,","))&amp;",",","&amp;SUBSTITUTE(input_enews_announcement_type," ","")&amp;",")))=COUNTA(TEXTSPLIT(CC29,",")))))</f>
        <v/>
      </c>
      <c r="JA29">
        <f>AND(IF(CE29="",TRUE,IF(input_enews_audience="",FALSE,SUMPRODUCT(--ISNUMBER(SEARCH(","&amp;TRIM(TEXTSPLIT(CE29,","))&amp;",",","&amp;SUBSTITUTE(input_enews_audience," ","")&amp;",")))&gt;0)),IF(CG29="",TRUE,IF(input_enews_audience="",FALSE,SUMPRODUCT(--ISNUMBER(SEARCH(","&amp;TRIM(TEXTSPLIT(CG29,","))&amp;",",","&amp;SUBSTITUTE(input_enews_audience," ","")&amp;",")))=COUNTA(TEXTSPLIT(CG29,",")))),IF(CI29="",TRUE,IF(input_enews_audience="",TRUE,SUMPRODUCT(--ISNUMBER(SEARCH(","&amp;TRIM(TEXTSPLIT(CI29,","))&amp;",",","&amp;SUBSTITUTE(input_enews_audience," ","")&amp;",")))=0)),IF(CK29="",TRUE,IF(input_enews_audience="",FALSE,SUMPRODUCT(--ISNUMBER(SEARCH(","&amp;TRIM(TEXTSPLIT(CK29,","))&amp;",",","&amp;SUBSTITUTE(input_enews_audience," ","")&amp;",")))&gt;0)),IF(CM29="",TRUE,IF(input_enews_audience="",FALSE,SUMPRODUCT(--ISNUMBER(SEARCH(","&amp;TRIM(TEXTSPLIT(CM29,","))&amp;",",","&amp;SUBSTITUTE(input_enews_audience," ","")&amp;",")))=COUNTA(TEXTSPLIT(CM29,",")))))</f>
        <v/>
      </c>
      <c r="JB29">
        <f>AND(IF(CO29="",TRUE,IF(input_event_location="",FALSE,SUMPRODUCT(--ISNUMBER(SEARCH(","&amp;TRIM(TEXTSPLIT(CO29,","))&amp;",",","&amp;SUBSTITUTE(input_event_location," ","")&amp;",")))&gt;0)),IF(CQ29="",TRUE,IF(input_event_location="",FALSE,SUMPRODUCT(--ISNUMBER(SEARCH(","&amp;TRIM(TEXTSPLIT(CQ29,","))&amp;",",","&amp;SUBSTITUTE(input_event_location," ","")&amp;",")))=COUNTA(TEXTSPLIT(CQ29,",")))),IF(CS29="",TRUE,IF(input_event_location="",TRUE,SUMPRODUCT(--ISNUMBER(SEARCH(","&amp;TRIM(TEXTSPLIT(CS29,","))&amp;",",","&amp;SUBSTITUTE(input_event_location," ","")&amp;",")))=0)),IF(CU29="",TRUE,IF(input_event_location="",FALSE,SUMPRODUCT(--ISNUMBER(SEARCH(","&amp;TRIM(TEXTSPLIT(CU29,","))&amp;",",","&amp;SUBSTITUTE(input_event_location," ","")&amp;",")))&gt;0)),IF(CW29="",TRUE,IF(input_event_location="",FALSE,SUMPRODUCT(--ISNUMBER(SEARCH(","&amp;TRIM(TEXTSPLIT(CW29,","))&amp;",",","&amp;SUBSTITUTE(input_event_location," ","")&amp;",")))=COUNTA(TEXTSPLIT(CW29,",")))))</f>
        <v/>
      </c>
      <c r="JC29">
        <f>AND(IF(CY29="",TRUE,IF(input_event_type="",FALSE,SUMPRODUCT(--ISNUMBER(SEARCH(","&amp;TRIM(TEXTSPLIT(CY29,","))&amp;",",","&amp;SUBSTITUTE(input_event_type," ","")&amp;",")))&gt;0)),IF(DA29="",TRUE,IF(input_event_type="",FALSE,SUMPRODUCT(--ISNUMBER(SEARCH(","&amp;TRIM(TEXTSPLIT(DA29,","))&amp;",",","&amp;SUBSTITUTE(input_event_type," ","")&amp;",")))=COUNTA(TEXTSPLIT(DA29,",")))),IF(DC29="",TRUE,IF(input_event_type="",TRUE,SUMPRODUCT(--ISNUMBER(SEARCH(","&amp;TRIM(TEXTSPLIT(DC29,","))&amp;",",","&amp;SUBSTITUTE(input_event_type," ","")&amp;",")))=0)),IF(DE29="",TRUE,IF(input_event_type="",FALSE,SUMPRODUCT(--ISNUMBER(SEARCH(","&amp;TRIM(TEXTSPLIT(DE29,","))&amp;",",","&amp;SUBSTITUTE(input_event_type," ","")&amp;",")))&gt;0)),IF(DG29="",TRUE,IF(input_event_type="",FALSE,SUMPRODUCT(--ISNUMBER(SEARCH(","&amp;TRIM(TEXTSPLIT(DG29,","))&amp;",",","&amp;SUBSTITUTE(input_event_type," ","")&amp;",")))=COUNTA(TEXTSPLIT(DG29,",")))))</f>
        <v/>
      </c>
      <c r="JD29">
        <f>AND(IF(DI29="",TRUE,IF(input_executive_education_focus="",FALSE,SUMPRODUCT(--ISNUMBER(SEARCH(","&amp;TRIM(TEXTSPLIT(DI29,","))&amp;",",","&amp;SUBSTITUTE(input_executive_education_focus," ","")&amp;",")))&gt;0)),IF(DK29="",TRUE,IF(input_executive_education_focus="",FALSE,SUMPRODUCT(--ISNUMBER(SEARCH(","&amp;TRIM(TEXTSPLIT(DK29,","))&amp;",",","&amp;SUBSTITUTE(input_executive_education_focus," ","")&amp;",")))=COUNTA(TEXTSPLIT(DK29,",")))),IF(DM29="",TRUE,IF(input_executive_education_focus="",TRUE,SUMPRODUCT(--ISNUMBER(SEARCH(","&amp;TRIM(TEXTSPLIT(DM29,","))&amp;",",","&amp;SUBSTITUTE(input_executive_education_focus," ","")&amp;",")))=0)),IF(DO29="",TRUE,IF(input_executive_education_focus="",FALSE,SUMPRODUCT(--ISNUMBER(SEARCH(","&amp;TRIM(TEXTSPLIT(DO29,","))&amp;",",","&amp;SUBSTITUTE(input_executive_education_focus," ","")&amp;",")))&gt;0)),IF(DQ29="",TRUE,IF(input_executive_education_focus="",FALSE,SUMPRODUCT(--ISNUMBER(SEARCH(","&amp;TRIM(TEXTSPLIT(DQ29,","))&amp;",",","&amp;SUBSTITUTE(input_executive_education_focus," ","")&amp;",")))=COUNTA(TEXTSPLIT(DQ29,",")))))</f>
        <v/>
      </c>
      <c r="JE29">
        <f>AND(IF(DS29="",TRUE,IF(input_faculty_category="",FALSE,SUMPRODUCT(--ISNUMBER(SEARCH(","&amp;TRIM(TEXTSPLIT(DS29,","))&amp;",",","&amp;SUBSTITUTE(input_faculty_category," ","")&amp;",")))&gt;0)),IF(DU29="",TRUE,IF(input_faculty_category="",FALSE,SUMPRODUCT(--ISNUMBER(SEARCH(","&amp;TRIM(TEXTSPLIT(DU29,","))&amp;",",","&amp;SUBSTITUTE(input_faculty_category," ","")&amp;",")))=COUNTA(TEXTSPLIT(DU29,",")))),IF(DW29="",TRUE,IF(input_faculty_category="",TRUE,SUMPRODUCT(--ISNUMBER(SEARCH(","&amp;TRIM(TEXTSPLIT(DW29,","))&amp;",",","&amp;SUBSTITUTE(input_faculty_category," ","")&amp;",")))=0)),IF(DY29="",TRUE,IF(input_faculty_category="",FALSE,SUMPRODUCT(--ISNUMBER(SEARCH(","&amp;TRIM(TEXTSPLIT(DY29,","))&amp;",",","&amp;SUBSTITUTE(input_faculty_category," ","")&amp;",")))&gt;0)),IF(EA29="",TRUE,IF(input_faculty_category="",FALSE,SUMPRODUCT(--ISNUMBER(SEARCH(","&amp;TRIM(TEXTSPLIT(EA29,","))&amp;",",","&amp;SUBSTITUTE(input_faculty_category," ","")&amp;",")))=COUNTA(TEXTSPLIT(EA29,",")))))</f>
        <v/>
      </c>
      <c r="JF29">
        <f>AND(IF(EC29="",TRUE,IF(input_faculty_discipline="",FALSE,SUMPRODUCT(--ISNUMBER(SEARCH(","&amp;TRIM(TEXTSPLIT(EC29,","))&amp;",",","&amp;SUBSTITUTE(input_faculty_discipline," ","")&amp;",")))&gt;0)),IF(EE29="",TRUE,IF(input_faculty_discipline="",FALSE,SUMPRODUCT(--ISNUMBER(SEARCH(","&amp;TRIM(TEXTSPLIT(EE29,","))&amp;",",","&amp;SUBSTITUTE(input_faculty_discipline," ","")&amp;",")))=COUNTA(TEXTSPLIT(EE29,",")))),IF(EG29="",TRUE,IF(input_faculty_discipline="",TRUE,SUMPRODUCT(--ISNUMBER(SEARCH(","&amp;TRIM(TEXTSPLIT(EG29,","))&amp;",",","&amp;SUBSTITUTE(input_faculty_discipline," ","")&amp;",")))=0)),IF(EI29="",TRUE,IF(input_faculty_discipline="",FALSE,SUMPRODUCT(--ISNUMBER(SEARCH(","&amp;TRIM(TEXTSPLIT(EI29,","))&amp;",",","&amp;SUBSTITUTE(input_faculty_discipline," ","")&amp;",")))&gt;0)),IF(EK29="",TRUE,IF(input_faculty_discipline="",FALSE,SUMPRODUCT(--ISNUMBER(SEARCH(","&amp;TRIM(TEXTSPLIT(EK29,","))&amp;",",","&amp;SUBSTITUTE(input_faculty_discipline," ","")&amp;",")))=COUNTA(TEXTSPLIT(EK29,",")))))</f>
        <v/>
      </c>
      <c r="JG29">
        <f>AND(IF(EM29="",TRUE,IF(input_faculty_expertise="",FALSE,SUMPRODUCT(--ISNUMBER(SEARCH(","&amp;TRIM(TEXTSPLIT(EM29,","))&amp;",",","&amp;SUBSTITUTE(input_faculty_expertise," ","")&amp;",")))&gt;0)),IF(EO29="",TRUE,IF(input_faculty_expertise="",FALSE,SUMPRODUCT(--ISNUMBER(SEARCH(","&amp;TRIM(TEXTSPLIT(EO29,","))&amp;",",","&amp;SUBSTITUTE(input_faculty_expertise," ","")&amp;",")))=COUNTA(TEXTSPLIT(EO29,",")))),IF(EQ29="",TRUE,IF(input_faculty_expertise="",TRUE,SUMPRODUCT(--ISNUMBER(SEARCH(","&amp;TRIM(TEXTSPLIT(EQ29,","))&amp;",",","&amp;SUBSTITUTE(input_faculty_expertise," ","")&amp;",")))=0)),IF(ES29="",TRUE,IF(input_faculty_expertise="",FALSE,SUMPRODUCT(--ISNUMBER(SEARCH(","&amp;TRIM(TEXTSPLIT(ES29,","))&amp;",",","&amp;SUBSTITUTE(input_faculty_expertise," ","")&amp;",")))&gt;0)),IF(EU29="",TRUE,IF(input_faculty_expertise="",FALSE,SUMPRODUCT(--ISNUMBER(SEARCH(","&amp;TRIM(TEXTSPLIT(EU29,","))&amp;",",","&amp;SUBSTITUTE(input_faculty_expertise," ","")&amp;",")))=COUNTA(TEXTSPLIT(EU29,",")))))</f>
        <v/>
      </c>
      <c r="JH29">
        <f>AND(IF(EW29="",TRUE,IF(input_global_network_school="",FALSE,SUMPRODUCT(--ISNUMBER(SEARCH(","&amp;TRIM(TEXTSPLIT(EW29,","))&amp;",",","&amp;SUBSTITUTE(input_global_network_school," ","")&amp;",")))&gt;0)),IF(EY29="",TRUE,IF(input_global_network_school="",FALSE,SUMPRODUCT(--ISNUMBER(SEARCH(","&amp;TRIM(TEXTSPLIT(EY29,","))&amp;",",","&amp;SUBSTITUTE(input_global_network_school," ","")&amp;",")))=COUNTA(TEXTSPLIT(EY29,",")))),IF(FA29="",TRUE,IF(input_global_network_school="",TRUE,SUMPRODUCT(--ISNUMBER(SEARCH(","&amp;TRIM(TEXTSPLIT(FA29,","))&amp;",",","&amp;SUBSTITUTE(input_global_network_school," ","")&amp;",")))=0)),IF(FC29="",TRUE,IF(input_global_network_school="",FALSE,SUMPRODUCT(--ISNUMBER(SEARCH(","&amp;TRIM(TEXTSPLIT(FC29,","))&amp;",",","&amp;SUBSTITUTE(input_global_network_school," ","")&amp;",")))&gt;0)),IF(FE29="",TRUE,IF(input_global_network_school="",FALSE,SUMPRODUCT(--ISNUMBER(SEARCH(","&amp;TRIM(TEXTSPLIT(FE29,","))&amp;",",","&amp;SUBSTITUTE(input_global_network_school," ","")&amp;",")))=COUNTA(TEXTSPLIT(FE29,",")))))</f>
        <v/>
      </c>
      <c r="JI29">
        <f>AND(IF(FG29="",TRUE,IF(input_industry="",FALSE,SUMPRODUCT(--ISNUMBER(SEARCH(","&amp;TRIM(TEXTSPLIT(FG29,","))&amp;",",","&amp;SUBSTITUTE(input_industry," ","")&amp;",")))&gt;0)),IF(FI29="",TRUE,IF(input_industry="",FALSE,SUMPRODUCT(--ISNUMBER(SEARCH(","&amp;TRIM(TEXTSPLIT(FI29,","))&amp;",",","&amp;SUBSTITUTE(input_industry," ","")&amp;",")))=COUNTA(TEXTSPLIT(FI29,",")))),IF(FK29="",TRUE,IF(input_industry="",TRUE,SUMPRODUCT(--ISNUMBER(SEARCH(","&amp;TRIM(TEXTSPLIT(FK29,","))&amp;",",","&amp;SUBSTITUTE(input_industry," ","")&amp;",")))=0)),IF(FM29="",TRUE,IF(input_industry="",FALSE,SUMPRODUCT(--ISNUMBER(SEARCH(","&amp;TRIM(TEXTSPLIT(FM29,","))&amp;",",","&amp;SUBSTITUTE(input_industry," ","")&amp;",")))&gt;0)),IF(FO29="",TRUE,IF(input_industry="",FALSE,SUMPRODUCT(--ISNUMBER(SEARCH(","&amp;TRIM(TEXTSPLIT(FO29,","))&amp;",",","&amp;SUBSTITUTE(input_industry," ","")&amp;",")))=COUNTA(TEXTSPLIT(FO29,",")))))</f>
        <v/>
      </c>
      <c r="JJ29">
        <f>AND(IF(FQ29="",TRUE,IF(input_location="",FALSE,SUMPRODUCT(--ISNUMBER(SEARCH(","&amp;TRIM(TEXTSPLIT(FQ29,","))&amp;",",","&amp;SUBSTITUTE(input_location," ","")&amp;",")))&gt;0)),IF(FS29="",TRUE,IF(input_location="",FALSE,SUMPRODUCT(--ISNUMBER(SEARCH(","&amp;TRIM(TEXTSPLIT(FS29,","))&amp;",",","&amp;SUBSTITUTE(input_location," ","")&amp;",")))=COUNTA(TEXTSPLIT(FS29,",")))),IF(FU29="",TRUE,IF(input_location="",TRUE,SUMPRODUCT(--ISNUMBER(SEARCH(","&amp;TRIM(TEXTSPLIT(FU29,","))&amp;",",","&amp;SUBSTITUTE(input_location," ","")&amp;",")))=0)),IF(FW29="",TRUE,IF(input_location="",FALSE,SUMPRODUCT(--ISNUMBER(SEARCH(","&amp;TRIM(TEXTSPLIT(FW29,","))&amp;",",","&amp;SUBSTITUTE(input_location," ","")&amp;",")))&gt;0)),IF(FY29="",TRUE,IF(input_location="",FALSE,SUMPRODUCT(--ISNUMBER(SEARCH(","&amp;TRIM(TEXTSPLIT(FY29,","))&amp;",",","&amp;SUBSTITUTE(input_location," ","")&amp;",")))=COUNTA(TEXTSPLIT(FY29,",")))))</f>
        <v/>
      </c>
      <c r="JK29">
        <f>AND(IF(GA29="",TRUE,IF(input_modality="",FALSE,SUMPRODUCT(--ISNUMBER(SEARCH(","&amp;TRIM(TEXTSPLIT(GA29,","))&amp;",",","&amp;SUBSTITUTE(input_modality," ","")&amp;",")))&gt;0)),IF(GC29="",TRUE,IF(input_modality="",FALSE,SUMPRODUCT(--ISNUMBER(SEARCH(","&amp;TRIM(TEXTSPLIT(GC29,","))&amp;",",","&amp;SUBSTITUTE(input_modality," ","")&amp;",")))=COUNTA(TEXTSPLIT(GC29,",")))),IF(GE29="",TRUE,IF(input_modality="",TRUE,SUMPRODUCT(--ISNUMBER(SEARCH(","&amp;TRIM(TEXTSPLIT(GE29,","))&amp;",",","&amp;SUBSTITUTE(input_modality," ","")&amp;",")))=0)),IF(GG29="",TRUE,IF(input_modality="",FALSE,SUMPRODUCT(--ISNUMBER(SEARCH(","&amp;TRIM(TEXTSPLIT(GG29,","))&amp;",",","&amp;SUBSTITUTE(input_modality," ","")&amp;",")))&gt;0)),IF(GI29="",TRUE,IF(input_modality="",FALSE,SUMPRODUCT(--ISNUMBER(SEARCH(","&amp;TRIM(TEXTSPLIT(GI29,","))&amp;",",","&amp;SUBSTITUTE(input_modality," ","")&amp;",")))=COUNTA(TEXTSPLIT(GI29,",")))))</f>
        <v/>
      </c>
      <c r="JL29">
        <f>AND(IF(GK29="",TRUE,IF(input_organizer="",FALSE,SUMPRODUCT(--ISNUMBER(SEARCH(","&amp;TRIM(TEXTSPLIT(GK29,","))&amp;",",","&amp;SUBSTITUTE(input_organizer," ","")&amp;",")))&gt;0)),IF(GM29="",TRUE,IF(input_organizer="",FALSE,SUMPRODUCT(--ISNUMBER(SEARCH(","&amp;TRIM(TEXTSPLIT(GM29,","))&amp;",",","&amp;SUBSTITUTE(input_organizer," ","")&amp;",")))=COUNTA(TEXTSPLIT(GM29,",")))),IF(GO29="",TRUE,IF(input_organizer="",TRUE,SUMPRODUCT(--ISNUMBER(SEARCH(","&amp;TRIM(TEXTSPLIT(GO29,","))&amp;",",","&amp;SUBSTITUTE(input_organizer," ","")&amp;",")))=0)),IF(GQ29="",TRUE,IF(input_organizer="",FALSE,SUMPRODUCT(--ISNUMBER(SEARCH(","&amp;TRIM(TEXTSPLIT(GQ29,","))&amp;",",","&amp;SUBSTITUTE(input_organizer," ","")&amp;",")))&gt;0)),IF(GS29="",TRUE,IF(input_organizer="",FALSE,SUMPRODUCT(--ISNUMBER(SEARCH(","&amp;TRIM(TEXTSPLIT(GS29,","))&amp;",",","&amp;SUBSTITUTE(input_organizer," ","")&amp;",")))=COUNTA(TEXTSPLIT(GS29,",")))))</f>
        <v/>
      </c>
      <c r="JM29">
        <f>AND(IF(GU29="",TRUE,IF(input_profile_type="",FALSE,SUMPRODUCT(--ISNUMBER(SEARCH(","&amp;TRIM(TEXTSPLIT(GU29,","))&amp;",",","&amp;SUBSTITUTE(input_profile_type," ","")&amp;",")))&gt;0)),IF(GW29="",TRUE,IF(input_profile_type="",FALSE,SUMPRODUCT(--ISNUMBER(SEARCH(","&amp;TRIM(TEXTSPLIT(GW29,","))&amp;",",","&amp;SUBSTITUTE(input_profile_type," ","")&amp;",")))=COUNTA(TEXTSPLIT(GW29,",")))),IF(GY29="",TRUE,IF(input_profile_type="",TRUE,SUMPRODUCT(--ISNUMBER(SEARCH(","&amp;TRIM(TEXTSPLIT(GY29,","))&amp;",",","&amp;SUBSTITUTE(input_profile_type," ","")&amp;",")))=0)),IF(HA29="",TRUE,IF(input_profile_type="",FALSE,SUMPRODUCT(--ISNUMBER(SEARCH(","&amp;TRIM(TEXTSPLIT(HA29,","))&amp;",",","&amp;SUBSTITUTE(input_profile_type," ","")&amp;",")))&gt;0)),IF(HC29="",TRUE,IF(input_profile_type="",FALSE,SUMPRODUCT(--ISNUMBER(SEARCH(","&amp;TRIM(TEXTSPLIT(HC29,","))&amp;",",","&amp;SUBSTITUTE(input_profile_type," ","")&amp;",")))=COUNTA(TEXTSPLIT(HC29,",")))))</f>
        <v/>
      </c>
      <c r="JN29">
        <f>AND(IF(HE29="",TRUE,IF(input_program="",FALSE,SUMPRODUCT(--ISNUMBER(SEARCH(","&amp;TRIM(TEXTSPLIT(HE29,","))&amp;",",","&amp;SUBSTITUTE(input_program," ","")&amp;",")))&gt;0)),IF(HG29="",TRUE,IF(input_program="",FALSE,SUMPRODUCT(--ISNUMBER(SEARCH(","&amp;TRIM(TEXTSPLIT(HG29,","))&amp;",",","&amp;SUBSTITUTE(input_program," ","")&amp;",")))=COUNTA(TEXTSPLIT(HG29,",")))),IF(HI29="",TRUE,IF(input_program="",TRUE,SUMPRODUCT(--ISNUMBER(SEARCH(","&amp;TRIM(TEXTSPLIT(HI29,","))&amp;",",","&amp;SUBSTITUTE(input_program," ","")&amp;",")))=0)),IF(HK29="",TRUE,IF(input_program="",FALSE,SUMPRODUCT(--ISNUMBER(SEARCH(","&amp;TRIM(TEXTSPLIT(HK29,","))&amp;",",","&amp;SUBSTITUTE(input_program," ","")&amp;",")))&gt;0)),IF(HM29="",TRUE,IF(input_program="",FALSE,SUMPRODUCT(--ISNUMBER(SEARCH(","&amp;TRIM(TEXTSPLIT(HM29,","))&amp;",",","&amp;SUBSTITUTE(input_program," ","")&amp;",")))=COUNTA(TEXTSPLIT(HM29,",")))))</f>
        <v/>
      </c>
      <c r="JO29">
        <f>AND(IF(HO29="",TRUE,IF(input_story_categories="",FALSE,SUMPRODUCT(--ISNUMBER(SEARCH(","&amp;TRIM(TEXTSPLIT(HO29,","))&amp;",",","&amp;SUBSTITUTE(input_story_categories," ","")&amp;",")))&gt;0)),IF(HQ29="",TRUE,IF(input_story_categories="",FALSE,SUMPRODUCT(--ISNUMBER(SEARCH(","&amp;TRIM(TEXTSPLIT(HQ29,","))&amp;",",","&amp;SUBSTITUTE(input_story_categories," ","")&amp;",")))=COUNTA(TEXTSPLIT(HQ29,",")))),IF(HS29="",TRUE,IF(input_story_categories="",TRUE,SUMPRODUCT(--ISNUMBER(SEARCH(","&amp;TRIM(TEXTSPLIT(HS29,","))&amp;",",","&amp;SUBSTITUTE(input_story_categories," ","")&amp;",")))=0)),IF(HU29="",TRUE,IF(input_story_categories="",FALSE,SUMPRODUCT(--ISNUMBER(SEARCH(","&amp;TRIM(TEXTSPLIT(HU29,","))&amp;",",","&amp;SUBSTITUTE(input_story_categories," ","")&amp;",")))&gt;0)),IF(HW29="",TRUE,IF(input_story_categories="",FALSE,SUMPRODUCT(--ISNUMBER(SEARCH(","&amp;TRIM(TEXTSPLIT(HW29,","))&amp;",",","&amp;SUBSTITUTE(input_story_categories," ","")&amp;",")))=COUNTA(TEXTSPLIT(HW29,",")))))</f>
        <v/>
      </c>
      <c r="JP29">
        <f>AND(IF(HY29="",TRUE,IF(input_story_type="",FALSE,SUMPRODUCT(--ISNUMBER(SEARCH(","&amp;TRIM(TEXTSPLIT(HY29,","))&amp;",",","&amp;SUBSTITUTE(input_story_type," ","")&amp;",")))&gt;0)),IF(IA29="",TRUE,IF(input_story_type="",FALSE,SUMPRODUCT(--ISNUMBER(SEARCH(","&amp;TRIM(TEXTSPLIT(IA29,","))&amp;",",","&amp;SUBSTITUTE(input_story_type," ","")&amp;",")))=COUNTA(TEXTSPLIT(IA29,",")))),IF(IC29="",TRUE,IF(input_story_type="",TRUE,SUMPRODUCT(--ISNUMBER(SEARCH(","&amp;TRIM(TEXTSPLIT(IC29,","))&amp;",",","&amp;SUBSTITUTE(input_story_type," ","")&amp;",")))=0)),IF(IE29="",TRUE,IF(input_story_type="",FALSE,SUMPRODUCT(--ISNUMBER(SEARCH(","&amp;TRIM(TEXTSPLIT(IE29,","))&amp;",",","&amp;SUBSTITUTE(input_story_type," ","")&amp;",")))&gt;0)),IF(IG29="",TRUE,IF(input_story_type="",FALSE,SUMPRODUCT(--ISNUMBER(SEARCH(","&amp;TRIM(TEXTSPLIT(IG29,","))&amp;",",","&amp;SUBSTITUTE(input_story_type," ","")&amp;",")))=COUNTA(TEXTSPLIT(IG29,",")))))</f>
        <v/>
      </c>
      <c r="JQ29">
        <f>AND(IF(II29="",TRUE,IF(input_topics="",FALSE,SUMPRODUCT(--ISNUMBER(SEARCH(","&amp;TRIM(TEXTSPLIT(II29,","))&amp;",",","&amp;SUBSTITUTE(input_topics," ","")&amp;",")))&gt;0)),IF(IK29="",TRUE,IF(input_topics="",FALSE,SUMPRODUCT(--ISNUMBER(SEARCH(","&amp;TRIM(TEXTSPLIT(IK29,","))&amp;",",","&amp;SUBSTITUTE(input_topics," ","")&amp;",")))=COUNTA(TEXTSPLIT(IK29,",")))),IF(IM29="",TRUE,IF(input_topics="",TRUE,SUMPRODUCT(--ISNUMBER(SEARCH(","&amp;TRIM(TEXTSPLIT(IM29,","))&amp;",",","&amp;SUBSTITUTE(input_topics," ","")&amp;",")))=0)),IF(IO29="",TRUE,IF(input_topics="",FALSE,SUMPRODUCT(--ISNUMBER(SEARCH(","&amp;TRIM(TEXTSPLIT(IO29,","))&amp;",",","&amp;SUBSTITUTE(input_topics," ","")&amp;",")))&gt;0)),IF(IQ29="",TRUE,IF(input_topics="",FALSE,SUMPRODUCT(--ISNUMBER(SEARCH(","&amp;TRIM(TEXTSPLIT(IQ29,","))&amp;",",","&amp;SUBSTITUTE(input_topics," ","")&amp;",")))=COUNTA(TEXTSPLIT(IQ29,",")))))</f>
        <v/>
      </c>
    </row>
    <row r="30">
      <c r="A30" s="4">
        <f>IF(NOT(IS30),"Excluded",IF(AND(IT30,IU30,IV30,IW30,IX30,IY30,IZ30,JA30,JB30,JC30,JD30,JE30,JF30,JG30,JH30,JI30,JJ30,JK30,JL30,JM30,JN30,JO30,JP30,JQ30),IF(I30&gt;0,"Eligible but limited","Will appear"),"Excluded"))</f>
        <v/>
      </c>
      <c r="B30" s="4" t="inlineStr">
        <is>
          <t>All Publications by Author</t>
        </is>
      </c>
      <c r="C30" s="4" t="inlineStr">
        <is>
          <t>/faculty-research/faculty-directory/howard-p-forman</t>
        </is>
      </c>
      <c r="D30" s="4" t="inlineStr">
        <is>
          <t>/faculty-research/faculty-directory/howard-p-forman</t>
        </is>
      </c>
      <c r="E30" s="4" t="n">
        <v>1</v>
      </c>
      <c r="F30" s="4" t="inlineStr">
        <is>
          <t>publications</t>
        </is>
      </c>
      <c r="G30" s="4" t="inlineStr">
        <is>
          <t>publication_teaser_list</t>
        </is>
      </c>
      <c r="H30" s="4" t="inlineStr">
        <is>
          <t>publication_teaser_list_all_by_author</t>
        </is>
      </c>
      <c r="I30" s="4" t="inlineStr"/>
      <c r="J30" s="4" t="inlineStr">
        <is>
          <t>View/config rules</t>
        </is>
      </c>
      <c r="K30" s="4" t="inlineStr">
        <is>
          <t>Page placement</t>
        </is>
      </c>
      <c r="L30" s="4" t="inlineStr">
        <is>
          <t>Content type: publications; Source: View/config rules</t>
        </is>
      </c>
      <c r="M30" t="inlineStr"/>
      <c r="N30" t="inlineStr"/>
      <c r="O30" t="inlineStr"/>
      <c r="P30" t="inlineStr"/>
      <c r="Q30" t="inlineStr"/>
      <c r="R30" t="inlineStr"/>
      <c r="S30" t="inlineStr"/>
      <c r="T30" t="inlineStr"/>
      <c r="U30" t="inlineStr"/>
      <c r="V30" t="inlineStr"/>
      <c r="W30" t="inlineStr"/>
      <c r="X30" t="inlineStr"/>
      <c r="Y30" t="inlineStr"/>
      <c r="Z30" t="inlineStr"/>
      <c r="AA30" t="inlineStr"/>
      <c r="AB30" t="inlineStr"/>
      <c r="AC30" t="inlineStr"/>
      <c r="AD30" t="inlineStr"/>
      <c r="AE30" t="inlineStr"/>
      <c r="AF30" t="inlineStr"/>
      <c r="AG30" t="inlineStr"/>
      <c r="AH30" t="inlineStr"/>
      <c r="AI30" t="inlineStr"/>
      <c r="AJ30" t="inlineStr"/>
      <c r="AK30" t="inlineStr"/>
      <c r="AL30" t="inlineStr"/>
      <c r="AM30" t="inlineStr"/>
      <c r="AN30" t="inlineStr"/>
      <c r="AO30" t="inlineStr"/>
      <c r="AP30" t="inlineStr"/>
      <c r="AQ30" t="inlineStr"/>
      <c r="AR30" t="inlineStr"/>
      <c r="AS30" t="inlineStr"/>
      <c r="AT30" t="inlineStr"/>
      <c r="AU30" t="inlineStr"/>
      <c r="AV30" t="inlineStr"/>
      <c r="AW30" t="inlineStr"/>
      <c r="AX30" t="inlineStr"/>
      <c r="AY30" t="inlineStr"/>
      <c r="AZ30" t="inlineStr"/>
      <c r="BA30" t="inlineStr"/>
      <c r="BB30" t="inlineStr"/>
      <c r="BC30" t="inlineStr"/>
      <c r="BD30" t="inlineStr"/>
      <c r="BE30" t="inlineStr"/>
      <c r="BF30" t="inlineStr"/>
      <c r="BG30" t="inlineStr"/>
      <c r="BH30" t="inlineStr"/>
      <c r="BI30" t="inlineStr"/>
      <c r="BJ30" t="inlineStr"/>
      <c r="BK30" t="inlineStr"/>
      <c r="BL30" t="inlineStr"/>
      <c r="BM30" t="inlineStr"/>
      <c r="BN30" t="inlineStr"/>
      <c r="BO30" t="inlineStr"/>
      <c r="BP30" t="inlineStr"/>
      <c r="BQ30" t="inlineStr"/>
      <c r="BR30" t="inlineStr"/>
      <c r="BS30" t="inlineStr"/>
      <c r="BT30" t="inlineStr"/>
      <c r="BU30" t="inlineStr"/>
      <c r="BV30" t="inlineStr"/>
      <c r="BW30" t="inlineStr"/>
      <c r="BX30" t="inlineStr"/>
      <c r="BY30" t="inlineStr"/>
      <c r="BZ30" t="inlineStr"/>
      <c r="CA30" t="inlineStr"/>
      <c r="CB30" t="inlineStr"/>
      <c r="CC30" t="inlineStr"/>
      <c r="CD30" t="inlineStr"/>
      <c r="CE30" t="inlineStr"/>
      <c r="CF30" t="inlineStr"/>
      <c r="CG30" t="inlineStr"/>
      <c r="CH30" t="inlineStr"/>
      <c r="CI30" t="inlineStr"/>
      <c r="CJ30" t="inlineStr"/>
      <c r="CK30" t="inlineStr"/>
      <c r="CL30" t="inlineStr"/>
      <c r="CM30" t="inlineStr"/>
      <c r="CN30" t="inlineStr"/>
      <c r="CO30" t="inlineStr"/>
      <c r="CP30" t="inlineStr"/>
      <c r="CQ30" t="inlineStr"/>
      <c r="CR30" t="inlineStr"/>
      <c r="CS30" t="inlineStr"/>
      <c r="CT30" t="inlineStr"/>
      <c r="CU30" t="inlineStr"/>
      <c r="CV30" t="inlineStr"/>
      <c r="CW30" t="inlineStr"/>
      <c r="CX30" t="inlineStr"/>
      <c r="CY30" t="inlineStr"/>
      <c r="CZ30" t="inlineStr"/>
      <c r="DA30" t="inlineStr"/>
      <c r="DB30" t="inlineStr"/>
      <c r="DC30" t="inlineStr"/>
      <c r="DD30" t="inlineStr"/>
      <c r="DE30" t="inlineStr"/>
      <c r="DF30" t="inlineStr"/>
      <c r="DG30" t="inlineStr"/>
      <c r="DH30" t="inlineStr"/>
      <c r="DI30" t="inlineStr"/>
      <c r="DJ30" t="inlineStr"/>
      <c r="DK30" t="inlineStr"/>
      <c r="DL30" t="inlineStr"/>
      <c r="DM30" t="inlineStr"/>
      <c r="DN30" t="inlineStr"/>
      <c r="DO30" t="inlineStr"/>
      <c r="DP30" t="inlineStr"/>
      <c r="DQ30" t="inlineStr"/>
      <c r="DR30" t="inlineStr"/>
      <c r="DS30" t="inlineStr"/>
      <c r="DT30" t="inlineStr"/>
      <c r="DU30" t="inlineStr"/>
      <c r="DV30" t="inlineStr"/>
      <c r="DW30" t="inlineStr"/>
      <c r="DX30" t="inlineStr"/>
      <c r="DY30" t="inlineStr"/>
      <c r="DZ30" t="inlineStr"/>
      <c r="EA30" t="inlineStr"/>
      <c r="EB30" t="inlineStr"/>
      <c r="EC30" t="inlineStr"/>
      <c r="ED30" t="inlineStr"/>
      <c r="EE30" t="inlineStr"/>
      <c r="EF30" t="inlineStr"/>
      <c r="EG30" t="inlineStr"/>
      <c r="EH30" t="inlineStr"/>
      <c r="EI30" t="inlineStr"/>
      <c r="EJ30" t="inlineStr"/>
      <c r="EK30" t="inlineStr"/>
      <c r="EL30" t="inlineStr"/>
      <c r="EM30" t="inlineStr"/>
      <c r="EN30" t="inlineStr"/>
      <c r="EO30" t="inlineStr"/>
      <c r="EP30" t="inlineStr"/>
      <c r="EQ30" t="inlineStr"/>
      <c r="ER30" t="inlineStr"/>
      <c r="ES30" t="inlineStr"/>
      <c r="ET30" t="inlineStr"/>
      <c r="EU30" t="inlineStr"/>
      <c r="EV30" t="inlineStr"/>
      <c r="EW30" t="inlineStr"/>
      <c r="EX30" t="inlineStr"/>
      <c r="EY30" t="inlineStr"/>
      <c r="EZ30" t="inlineStr"/>
      <c r="FA30" t="inlineStr"/>
      <c r="FB30" t="inlineStr"/>
      <c r="FC30" t="inlineStr"/>
      <c r="FD30" t="inlineStr"/>
      <c r="FE30" t="inlineStr"/>
      <c r="FF30" t="inlineStr"/>
      <c r="FG30" t="inlineStr"/>
      <c r="FH30" t="inlineStr"/>
      <c r="FI30" t="inlineStr"/>
      <c r="FJ30" t="inlineStr"/>
      <c r="FK30" t="inlineStr"/>
      <c r="FL30" t="inlineStr"/>
      <c r="FM30" t="inlineStr"/>
      <c r="FN30" t="inlineStr"/>
      <c r="FO30" t="inlineStr"/>
      <c r="FP30" t="inlineStr"/>
      <c r="FQ30" t="inlineStr"/>
      <c r="FR30" t="inlineStr"/>
      <c r="FS30" t="inlineStr"/>
      <c r="FT30" t="inlineStr"/>
      <c r="FU30" t="inlineStr"/>
      <c r="FV30" t="inlineStr"/>
      <c r="FW30" t="inlineStr"/>
      <c r="FX30" t="inlineStr"/>
      <c r="FY30" t="inlineStr"/>
      <c r="FZ30" t="inlineStr"/>
      <c r="GA30" t="inlineStr"/>
      <c r="GB30" t="inlineStr"/>
      <c r="GC30" t="inlineStr"/>
      <c r="GD30" t="inlineStr"/>
      <c r="GE30" t="inlineStr"/>
      <c r="GF30" t="inlineStr"/>
      <c r="GG30" t="inlineStr"/>
      <c r="GH30" t="inlineStr"/>
      <c r="GI30" t="inlineStr"/>
      <c r="GJ30" t="inlineStr"/>
      <c r="GK30" t="inlineStr"/>
      <c r="GL30" t="inlineStr"/>
      <c r="GM30" t="inlineStr"/>
      <c r="GN30" t="inlineStr"/>
      <c r="GO30" t="inlineStr"/>
      <c r="GP30" t="inlineStr"/>
      <c r="GQ30" t="inlineStr"/>
      <c r="GR30" t="inlineStr"/>
      <c r="GS30" t="inlineStr"/>
      <c r="GT30" t="inlineStr"/>
      <c r="GU30" t="inlineStr"/>
      <c r="GV30" t="inlineStr"/>
      <c r="GW30" t="inlineStr"/>
      <c r="GX30" t="inlineStr"/>
      <c r="GY30" t="inlineStr"/>
      <c r="GZ30" t="inlineStr"/>
      <c r="HA30" t="inlineStr"/>
      <c r="HB30" t="inlineStr"/>
      <c r="HC30" t="inlineStr"/>
      <c r="HD30" t="inlineStr"/>
      <c r="HE30" t="inlineStr"/>
      <c r="HF30" t="inlineStr"/>
      <c r="HG30" t="inlineStr"/>
      <c r="HH30" t="inlineStr"/>
      <c r="HI30" t="inlineStr"/>
      <c r="HJ30" t="inlineStr"/>
      <c r="HK30" t="inlineStr"/>
      <c r="HL30" t="inlineStr"/>
      <c r="HM30" t="inlineStr"/>
      <c r="HN30" t="inlineStr"/>
      <c r="HO30" t="inlineStr"/>
      <c r="HP30" t="inlineStr"/>
      <c r="HQ30" t="inlineStr"/>
      <c r="HR30" t="inlineStr"/>
      <c r="HS30" t="inlineStr"/>
      <c r="HT30" t="inlineStr"/>
      <c r="HU30" t="inlineStr"/>
      <c r="HV30" t="inlineStr"/>
      <c r="HW30" t="inlineStr"/>
      <c r="HX30" t="inlineStr"/>
      <c r="HY30" t="inlineStr"/>
      <c r="HZ30" t="inlineStr"/>
      <c r="IA30" t="inlineStr"/>
      <c r="IB30" t="inlineStr"/>
      <c r="IC30" t="inlineStr"/>
      <c r="ID30" t="inlineStr"/>
      <c r="IE30" t="inlineStr"/>
      <c r="IF30" t="inlineStr"/>
      <c r="IG30" t="inlineStr"/>
      <c r="IH30" t="inlineStr"/>
      <c r="II30" t="inlineStr"/>
      <c r="IJ30" t="inlineStr"/>
      <c r="IK30" t="inlineStr"/>
      <c r="IL30" t="inlineStr"/>
      <c r="IM30" t="inlineStr"/>
      <c r="IN30" t="inlineStr"/>
      <c r="IO30" t="inlineStr"/>
      <c r="IP30" t="inlineStr"/>
      <c r="IQ30" t="inlineStr"/>
      <c r="IR30" t="inlineStr"/>
      <c r="IS30">
        <f>IF(input_content_type="",FALSE,ISNUMBER(SEARCH(","&amp;LOWER(input_content_type)&amp;",",","&amp;LOWER(F30)&amp;",")))</f>
        <v/>
      </c>
      <c r="IT30">
        <f>AND(IF(M30="",TRUE,IF(input_affiliations="",FALSE,SUMPRODUCT(--ISNUMBER(SEARCH(","&amp;TRIM(TEXTSPLIT(M30,","))&amp;",",","&amp;SUBSTITUTE(input_affiliations," ","")&amp;",")))&gt;0)),IF(O30="",TRUE,IF(input_affiliations="",FALSE,SUMPRODUCT(--ISNUMBER(SEARCH(","&amp;TRIM(TEXTSPLIT(O30,","))&amp;",",","&amp;SUBSTITUTE(input_affiliations," ","")&amp;",")))=COUNTA(TEXTSPLIT(O30,",")))),IF(Q30="",TRUE,IF(input_affiliations="",TRUE,SUMPRODUCT(--ISNUMBER(SEARCH(","&amp;TRIM(TEXTSPLIT(Q30,","))&amp;",",","&amp;SUBSTITUTE(input_affiliations," ","")&amp;",")))=0)),IF(S30="",TRUE,IF(input_affiliations="",FALSE,SUMPRODUCT(--ISNUMBER(SEARCH(","&amp;TRIM(TEXTSPLIT(S30,","))&amp;",",","&amp;SUBSTITUTE(input_affiliations," ","")&amp;",")))&gt;0)),IF(U30="",TRUE,IF(input_affiliations="",FALSE,SUMPRODUCT(--ISNUMBER(SEARCH(","&amp;TRIM(TEXTSPLIT(U30,","))&amp;",",","&amp;SUBSTITUTE(input_affiliations," ","")&amp;",")))=COUNTA(TEXTSPLIT(U30,",")))))</f>
        <v/>
      </c>
      <c r="IU30">
        <f>AND(IF(W30="",TRUE,IF(input_announcement_category="",FALSE,SUMPRODUCT(--ISNUMBER(SEARCH(","&amp;TRIM(TEXTSPLIT(W30,","))&amp;",",","&amp;SUBSTITUTE(input_announcement_category," ","")&amp;",")))&gt;0)),IF(Y30="",TRUE,IF(input_announcement_category="",FALSE,SUMPRODUCT(--ISNUMBER(SEARCH(","&amp;TRIM(TEXTSPLIT(Y30,","))&amp;",",","&amp;SUBSTITUTE(input_announcement_category," ","")&amp;",")))=COUNTA(TEXTSPLIT(Y30,",")))),IF(AA30="",TRUE,IF(input_announcement_category="",TRUE,SUMPRODUCT(--ISNUMBER(SEARCH(","&amp;TRIM(TEXTSPLIT(AA30,","))&amp;",",","&amp;SUBSTITUTE(input_announcement_category," ","")&amp;",")))=0)),IF(AC30="",TRUE,IF(input_announcement_category="",FALSE,SUMPRODUCT(--ISNUMBER(SEARCH(","&amp;TRIM(TEXTSPLIT(AC30,","))&amp;",",","&amp;SUBSTITUTE(input_announcement_category," ","")&amp;",")))&gt;0)),IF(AE30="",TRUE,IF(input_announcement_category="",FALSE,SUMPRODUCT(--ISNUMBER(SEARCH(","&amp;TRIM(TEXTSPLIT(AE30,","))&amp;",",","&amp;SUBSTITUTE(input_announcement_category," ","")&amp;",")))=COUNTA(TEXTSPLIT(AE30,",")))))</f>
        <v/>
      </c>
      <c r="IV30">
        <f>AND(IF(AG30="",TRUE,IF(input_area_of_focus="",FALSE,SUMPRODUCT(--ISNUMBER(SEARCH(","&amp;TRIM(TEXTSPLIT(AG30,","))&amp;",",","&amp;SUBSTITUTE(input_area_of_focus," ","")&amp;",")))&gt;0)),IF(AI30="",TRUE,IF(input_area_of_focus="",FALSE,SUMPRODUCT(--ISNUMBER(SEARCH(","&amp;TRIM(TEXTSPLIT(AI30,","))&amp;",",","&amp;SUBSTITUTE(input_area_of_focus," ","")&amp;",")))=COUNTA(TEXTSPLIT(AI30,",")))),IF(AK30="",TRUE,IF(input_area_of_focus="",TRUE,SUMPRODUCT(--ISNUMBER(SEARCH(","&amp;TRIM(TEXTSPLIT(AK30,","))&amp;",",","&amp;SUBSTITUTE(input_area_of_focus," ","")&amp;",")))=0)),IF(AM30="",TRUE,IF(input_area_of_focus="",FALSE,SUMPRODUCT(--ISNUMBER(SEARCH(","&amp;TRIM(TEXTSPLIT(AM30,","))&amp;",",","&amp;SUBSTITUTE(input_area_of_focus," ","")&amp;",")))&gt;0)),IF(AO30="",TRUE,IF(input_area_of_focus="",FALSE,SUMPRODUCT(--ISNUMBER(SEARCH(","&amp;TRIM(TEXTSPLIT(AO30,","))&amp;",",","&amp;SUBSTITUTE(input_area_of_focus," ","")&amp;",")))=COUNTA(TEXTSPLIT(AO30,",")))))</f>
        <v/>
      </c>
      <c r="IW30">
        <f>AND(IF(AQ30="",TRUE,IF(input_audience="",FALSE,SUMPRODUCT(--ISNUMBER(SEARCH(","&amp;TRIM(TEXTSPLIT(AQ30,","))&amp;",",","&amp;SUBSTITUTE(input_audience," ","")&amp;",")))&gt;0)),IF(AS30="",TRUE,IF(input_audience="",FALSE,SUMPRODUCT(--ISNUMBER(SEARCH(","&amp;TRIM(TEXTSPLIT(AS30,","))&amp;",",","&amp;SUBSTITUTE(input_audience," ","")&amp;",")))=COUNTA(TEXTSPLIT(AS30,",")))),IF(AU30="",TRUE,IF(input_audience="",TRUE,SUMPRODUCT(--ISNUMBER(SEARCH(","&amp;TRIM(TEXTSPLIT(AU30,","))&amp;",",","&amp;SUBSTITUTE(input_audience," ","")&amp;",")))=0)),IF(AW30="",TRUE,IF(input_audience="",FALSE,SUMPRODUCT(--ISNUMBER(SEARCH(","&amp;TRIM(TEXTSPLIT(AW30,","))&amp;",",","&amp;SUBSTITUTE(input_audience," ","")&amp;",")))&gt;0)),IF(AY30="",TRUE,IF(input_audience="",FALSE,SUMPRODUCT(--ISNUMBER(SEARCH(","&amp;TRIM(TEXTSPLIT(AY30,","))&amp;",",","&amp;SUBSTITUTE(input_audience," ","")&amp;",")))=COUNTA(TEXTSPLIT(AY30,",")))))</f>
        <v/>
      </c>
      <c r="IX30">
        <f>AND(IF(BA30="",TRUE,IF(input_challenge_opportunities="",FALSE,SUMPRODUCT(--ISNUMBER(SEARCH(","&amp;TRIM(TEXTSPLIT(BA30,","))&amp;",",","&amp;SUBSTITUTE(input_challenge_opportunities," ","")&amp;",")))&gt;0)),IF(BC30="",TRUE,IF(input_challenge_opportunities="",FALSE,SUMPRODUCT(--ISNUMBER(SEARCH(","&amp;TRIM(TEXTSPLIT(BC30,","))&amp;",",","&amp;SUBSTITUTE(input_challenge_opportunities," ","")&amp;",")))=COUNTA(TEXTSPLIT(BC30,",")))),IF(BE30="",TRUE,IF(input_challenge_opportunities="",TRUE,SUMPRODUCT(--ISNUMBER(SEARCH(","&amp;TRIM(TEXTSPLIT(BE30,","))&amp;",",","&amp;SUBSTITUTE(input_challenge_opportunities," ","")&amp;",")))=0)),IF(BG30="",TRUE,IF(input_challenge_opportunities="",FALSE,SUMPRODUCT(--ISNUMBER(SEARCH(","&amp;TRIM(TEXTSPLIT(BG30,","))&amp;",",","&amp;SUBSTITUTE(input_challenge_opportunities," ","")&amp;",")))&gt;0)),IF(BI30="",TRUE,IF(input_challenge_opportunities="",FALSE,SUMPRODUCT(--ISNUMBER(SEARCH(","&amp;TRIM(TEXTSPLIT(BI30,","))&amp;",",","&amp;SUBSTITUTE(input_challenge_opportunities," ","")&amp;",")))=COUNTA(TEXTSPLIT(BI30,",")))))</f>
        <v/>
      </c>
      <c r="IY30">
        <f>AND(IF(BK30="",TRUE,IF(input_context="",FALSE,SUMPRODUCT(--ISNUMBER(SEARCH(","&amp;TRIM(TEXTSPLIT(BK30,","))&amp;",",","&amp;SUBSTITUTE(input_context," ","")&amp;",")))&gt;0)),IF(BM30="",TRUE,IF(input_context="",FALSE,SUMPRODUCT(--ISNUMBER(SEARCH(","&amp;TRIM(TEXTSPLIT(BM30,","))&amp;",",","&amp;SUBSTITUTE(input_context," ","")&amp;",")))=COUNTA(TEXTSPLIT(BM30,",")))),IF(BO30="",TRUE,IF(input_context="",TRUE,SUMPRODUCT(--ISNUMBER(SEARCH(","&amp;TRIM(TEXTSPLIT(BO30,","))&amp;",",","&amp;SUBSTITUTE(input_context," ","")&amp;",")))=0)),IF(BQ30="",TRUE,IF(input_context="",FALSE,SUMPRODUCT(--ISNUMBER(SEARCH(","&amp;TRIM(TEXTSPLIT(BQ30,","))&amp;",",","&amp;SUBSTITUTE(input_context," ","")&amp;",")))&gt;0)),IF(BS30="",TRUE,IF(input_context="",FALSE,SUMPRODUCT(--ISNUMBER(SEARCH(","&amp;TRIM(TEXTSPLIT(BS30,","))&amp;",",","&amp;SUBSTITUTE(input_context," ","")&amp;",")))=COUNTA(TEXTSPLIT(BS30,",")))))</f>
        <v/>
      </c>
      <c r="IZ30">
        <f>AND(IF(BU30="",TRUE,IF(input_enews_announcement_type="",FALSE,SUMPRODUCT(--ISNUMBER(SEARCH(","&amp;TRIM(TEXTSPLIT(BU30,","))&amp;",",","&amp;SUBSTITUTE(input_enews_announcement_type," ","")&amp;",")))&gt;0)),IF(BW30="",TRUE,IF(input_enews_announcement_type="",FALSE,SUMPRODUCT(--ISNUMBER(SEARCH(","&amp;TRIM(TEXTSPLIT(BW30,","))&amp;",",","&amp;SUBSTITUTE(input_enews_announcement_type," ","")&amp;",")))=COUNTA(TEXTSPLIT(BW30,",")))),IF(BY30="",TRUE,IF(input_enews_announcement_type="",TRUE,SUMPRODUCT(--ISNUMBER(SEARCH(","&amp;TRIM(TEXTSPLIT(BY30,","))&amp;",",","&amp;SUBSTITUTE(input_enews_announcement_type," ","")&amp;",")))=0)),IF(CA30="",TRUE,IF(input_enews_announcement_type="",FALSE,SUMPRODUCT(--ISNUMBER(SEARCH(","&amp;TRIM(TEXTSPLIT(CA30,","))&amp;",",","&amp;SUBSTITUTE(input_enews_announcement_type," ","")&amp;",")))&gt;0)),IF(CC30="",TRUE,IF(input_enews_announcement_type="",FALSE,SUMPRODUCT(--ISNUMBER(SEARCH(","&amp;TRIM(TEXTSPLIT(CC30,","))&amp;",",","&amp;SUBSTITUTE(input_enews_announcement_type," ","")&amp;",")))=COUNTA(TEXTSPLIT(CC30,",")))))</f>
        <v/>
      </c>
      <c r="JA30">
        <f>AND(IF(CE30="",TRUE,IF(input_enews_audience="",FALSE,SUMPRODUCT(--ISNUMBER(SEARCH(","&amp;TRIM(TEXTSPLIT(CE30,","))&amp;",",","&amp;SUBSTITUTE(input_enews_audience," ","")&amp;",")))&gt;0)),IF(CG30="",TRUE,IF(input_enews_audience="",FALSE,SUMPRODUCT(--ISNUMBER(SEARCH(","&amp;TRIM(TEXTSPLIT(CG30,","))&amp;",",","&amp;SUBSTITUTE(input_enews_audience," ","")&amp;",")))=COUNTA(TEXTSPLIT(CG30,",")))),IF(CI30="",TRUE,IF(input_enews_audience="",TRUE,SUMPRODUCT(--ISNUMBER(SEARCH(","&amp;TRIM(TEXTSPLIT(CI30,","))&amp;",",","&amp;SUBSTITUTE(input_enews_audience," ","")&amp;",")))=0)),IF(CK30="",TRUE,IF(input_enews_audience="",FALSE,SUMPRODUCT(--ISNUMBER(SEARCH(","&amp;TRIM(TEXTSPLIT(CK30,","))&amp;",",","&amp;SUBSTITUTE(input_enews_audience," ","")&amp;",")))&gt;0)),IF(CM30="",TRUE,IF(input_enews_audience="",FALSE,SUMPRODUCT(--ISNUMBER(SEARCH(","&amp;TRIM(TEXTSPLIT(CM30,","))&amp;",",","&amp;SUBSTITUTE(input_enews_audience," ","")&amp;",")))=COUNTA(TEXTSPLIT(CM30,",")))))</f>
        <v/>
      </c>
      <c r="JB30">
        <f>AND(IF(CO30="",TRUE,IF(input_event_location="",FALSE,SUMPRODUCT(--ISNUMBER(SEARCH(","&amp;TRIM(TEXTSPLIT(CO30,","))&amp;",",","&amp;SUBSTITUTE(input_event_location," ","")&amp;",")))&gt;0)),IF(CQ30="",TRUE,IF(input_event_location="",FALSE,SUMPRODUCT(--ISNUMBER(SEARCH(","&amp;TRIM(TEXTSPLIT(CQ30,","))&amp;",",","&amp;SUBSTITUTE(input_event_location," ","")&amp;",")))=COUNTA(TEXTSPLIT(CQ30,",")))),IF(CS30="",TRUE,IF(input_event_location="",TRUE,SUMPRODUCT(--ISNUMBER(SEARCH(","&amp;TRIM(TEXTSPLIT(CS30,","))&amp;",",","&amp;SUBSTITUTE(input_event_location," ","")&amp;",")))=0)),IF(CU30="",TRUE,IF(input_event_location="",FALSE,SUMPRODUCT(--ISNUMBER(SEARCH(","&amp;TRIM(TEXTSPLIT(CU30,","))&amp;",",","&amp;SUBSTITUTE(input_event_location," ","")&amp;",")))&gt;0)),IF(CW30="",TRUE,IF(input_event_location="",FALSE,SUMPRODUCT(--ISNUMBER(SEARCH(","&amp;TRIM(TEXTSPLIT(CW30,","))&amp;",",","&amp;SUBSTITUTE(input_event_location," ","")&amp;",")))=COUNTA(TEXTSPLIT(CW30,",")))))</f>
        <v/>
      </c>
      <c r="JC30">
        <f>AND(IF(CY30="",TRUE,IF(input_event_type="",FALSE,SUMPRODUCT(--ISNUMBER(SEARCH(","&amp;TRIM(TEXTSPLIT(CY30,","))&amp;",",","&amp;SUBSTITUTE(input_event_type," ","")&amp;",")))&gt;0)),IF(DA30="",TRUE,IF(input_event_type="",FALSE,SUMPRODUCT(--ISNUMBER(SEARCH(","&amp;TRIM(TEXTSPLIT(DA30,","))&amp;",",","&amp;SUBSTITUTE(input_event_type," ","")&amp;",")))=COUNTA(TEXTSPLIT(DA30,",")))),IF(DC30="",TRUE,IF(input_event_type="",TRUE,SUMPRODUCT(--ISNUMBER(SEARCH(","&amp;TRIM(TEXTSPLIT(DC30,","))&amp;",",","&amp;SUBSTITUTE(input_event_type," ","")&amp;",")))=0)),IF(DE30="",TRUE,IF(input_event_type="",FALSE,SUMPRODUCT(--ISNUMBER(SEARCH(","&amp;TRIM(TEXTSPLIT(DE30,","))&amp;",",","&amp;SUBSTITUTE(input_event_type," ","")&amp;",")))&gt;0)),IF(DG30="",TRUE,IF(input_event_type="",FALSE,SUMPRODUCT(--ISNUMBER(SEARCH(","&amp;TRIM(TEXTSPLIT(DG30,","))&amp;",",","&amp;SUBSTITUTE(input_event_type," ","")&amp;",")))=COUNTA(TEXTSPLIT(DG30,",")))))</f>
        <v/>
      </c>
      <c r="JD30">
        <f>AND(IF(DI30="",TRUE,IF(input_executive_education_focus="",FALSE,SUMPRODUCT(--ISNUMBER(SEARCH(","&amp;TRIM(TEXTSPLIT(DI30,","))&amp;",",","&amp;SUBSTITUTE(input_executive_education_focus," ","")&amp;",")))&gt;0)),IF(DK30="",TRUE,IF(input_executive_education_focus="",FALSE,SUMPRODUCT(--ISNUMBER(SEARCH(","&amp;TRIM(TEXTSPLIT(DK30,","))&amp;",",","&amp;SUBSTITUTE(input_executive_education_focus," ","")&amp;",")))=COUNTA(TEXTSPLIT(DK30,",")))),IF(DM30="",TRUE,IF(input_executive_education_focus="",TRUE,SUMPRODUCT(--ISNUMBER(SEARCH(","&amp;TRIM(TEXTSPLIT(DM30,","))&amp;",",","&amp;SUBSTITUTE(input_executive_education_focus," ","")&amp;",")))=0)),IF(DO30="",TRUE,IF(input_executive_education_focus="",FALSE,SUMPRODUCT(--ISNUMBER(SEARCH(","&amp;TRIM(TEXTSPLIT(DO30,","))&amp;",",","&amp;SUBSTITUTE(input_executive_education_focus," ","")&amp;",")))&gt;0)),IF(DQ30="",TRUE,IF(input_executive_education_focus="",FALSE,SUMPRODUCT(--ISNUMBER(SEARCH(","&amp;TRIM(TEXTSPLIT(DQ30,","))&amp;",",","&amp;SUBSTITUTE(input_executive_education_focus," ","")&amp;",")))=COUNTA(TEXTSPLIT(DQ30,",")))))</f>
        <v/>
      </c>
      <c r="JE30">
        <f>AND(IF(DS30="",TRUE,IF(input_faculty_category="",FALSE,SUMPRODUCT(--ISNUMBER(SEARCH(","&amp;TRIM(TEXTSPLIT(DS30,","))&amp;",",","&amp;SUBSTITUTE(input_faculty_category," ","")&amp;",")))&gt;0)),IF(DU30="",TRUE,IF(input_faculty_category="",FALSE,SUMPRODUCT(--ISNUMBER(SEARCH(","&amp;TRIM(TEXTSPLIT(DU30,","))&amp;",",","&amp;SUBSTITUTE(input_faculty_category," ","")&amp;",")))=COUNTA(TEXTSPLIT(DU30,",")))),IF(DW30="",TRUE,IF(input_faculty_category="",TRUE,SUMPRODUCT(--ISNUMBER(SEARCH(","&amp;TRIM(TEXTSPLIT(DW30,","))&amp;",",","&amp;SUBSTITUTE(input_faculty_category," ","")&amp;",")))=0)),IF(DY30="",TRUE,IF(input_faculty_category="",FALSE,SUMPRODUCT(--ISNUMBER(SEARCH(","&amp;TRIM(TEXTSPLIT(DY30,","))&amp;",",","&amp;SUBSTITUTE(input_faculty_category," ","")&amp;",")))&gt;0)),IF(EA30="",TRUE,IF(input_faculty_category="",FALSE,SUMPRODUCT(--ISNUMBER(SEARCH(","&amp;TRIM(TEXTSPLIT(EA30,","))&amp;",",","&amp;SUBSTITUTE(input_faculty_category," ","")&amp;",")))=COUNTA(TEXTSPLIT(EA30,",")))))</f>
        <v/>
      </c>
      <c r="JF30">
        <f>AND(IF(EC30="",TRUE,IF(input_faculty_discipline="",FALSE,SUMPRODUCT(--ISNUMBER(SEARCH(","&amp;TRIM(TEXTSPLIT(EC30,","))&amp;",",","&amp;SUBSTITUTE(input_faculty_discipline," ","")&amp;",")))&gt;0)),IF(EE30="",TRUE,IF(input_faculty_discipline="",FALSE,SUMPRODUCT(--ISNUMBER(SEARCH(","&amp;TRIM(TEXTSPLIT(EE30,","))&amp;",",","&amp;SUBSTITUTE(input_faculty_discipline," ","")&amp;",")))=COUNTA(TEXTSPLIT(EE30,",")))),IF(EG30="",TRUE,IF(input_faculty_discipline="",TRUE,SUMPRODUCT(--ISNUMBER(SEARCH(","&amp;TRIM(TEXTSPLIT(EG30,","))&amp;",",","&amp;SUBSTITUTE(input_faculty_discipline," ","")&amp;",")))=0)),IF(EI30="",TRUE,IF(input_faculty_discipline="",FALSE,SUMPRODUCT(--ISNUMBER(SEARCH(","&amp;TRIM(TEXTSPLIT(EI30,","))&amp;",",","&amp;SUBSTITUTE(input_faculty_discipline," ","")&amp;",")))&gt;0)),IF(EK30="",TRUE,IF(input_faculty_discipline="",FALSE,SUMPRODUCT(--ISNUMBER(SEARCH(","&amp;TRIM(TEXTSPLIT(EK30,","))&amp;",",","&amp;SUBSTITUTE(input_faculty_discipline," ","")&amp;",")))=COUNTA(TEXTSPLIT(EK30,",")))))</f>
        <v/>
      </c>
      <c r="JG30">
        <f>AND(IF(EM30="",TRUE,IF(input_faculty_expertise="",FALSE,SUMPRODUCT(--ISNUMBER(SEARCH(","&amp;TRIM(TEXTSPLIT(EM30,","))&amp;",",","&amp;SUBSTITUTE(input_faculty_expertise," ","")&amp;",")))&gt;0)),IF(EO30="",TRUE,IF(input_faculty_expertise="",FALSE,SUMPRODUCT(--ISNUMBER(SEARCH(","&amp;TRIM(TEXTSPLIT(EO30,","))&amp;",",","&amp;SUBSTITUTE(input_faculty_expertise," ","")&amp;",")))=COUNTA(TEXTSPLIT(EO30,",")))),IF(EQ30="",TRUE,IF(input_faculty_expertise="",TRUE,SUMPRODUCT(--ISNUMBER(SEARCH(","&amp;TRIM(TEXTSPLIT(EQ30,","))&amp;",",","&amp;SUBSTITUTE(input_faculty_expertise," ","")&amp;",")))=0)),IF(ES30="",TRUE,IF(input_faculty_expertise="",FALSE,SUMPRODUCT(--ISNUMBER(SEARCH(","&amp;TRIM(TEXTSPLIT(ES30,","))&amp;",",","&amp;SUBSTITUTE(input_faculty_expertise," ","")&amp;",")))&gt;0)),IF(EU30="",TRUE,IF(input_faculty_expertise="",FALSE,SUMPRODUCT(--ISNUMBER(SEARCH(","&amp;TRIM(TEXTSPLIT(EU30,","))&amp;",",","&amp;SUBSTITUTE(input_faculty_expertise," ","")&amp;",")))=COUNTA(TEXTSPLIT(EU30,",")))))</f>
        <v/>
      </c>
      <c r="JH30">
        <f>AND(IF(EW30="",TRUE,IF(input_global_network_school="",FALSE,SUMPRODUCT(--ISNUMBER(SEARCH(","&amp;TRIM(TEXTSPLIT(EW30,","))&amp;",",","&amp;SUBSTITUTE(input_global_network_school," ","")&amp;",")))&gt;0)),IF(EY30="",TRUE,IF(input_global_network_school="",FALSE,SUMPRODUCT(--ISNUMBER(SEARCH(","&amp;TRIM(TEXTSPLIT(EY30,","))&amp;",",","&amp;SUBSTITUTE(input_global_network_school," ","")&amp;",")))=COUNTA(TEXTSPLIT(EY30,",")))),IF(FA30="",TRUE,IF(input_global_network_school="",TRUE,SUMPRODUCT(--ISNUMBER(SEARCH(","&amp;TRIM(TEXTSPLIT(FA30,","))&amp;",",","&amp;SUBSTITUTE(input_global_network_school," ","")&amp;",")))=0)),IF(FC30="",TRUE,IF(input_global_network_school="",FALSE,SUMPRODUCT(--ISNUMBER(SEARCH(","&amp;TRIM(TEXTSPLIT(FC30,","))&amp;",",","&amp;SUBSTITUTE(input_global_network_school," ","")&amp;",")))&gt;0)),IF(FE30="",TRUE,IF(input_global_network_school="",FALSE,SUMPRODUCT(--ISNUMBER(SEARCH(","&amp;TRIM(TEXTSPLIT(FE30,","))&amp;",",","&amp;SUBSTITUTE(input_global_network_school," ","")&amp;",")))=COUNTA(TEXTSPLIT(FE30,",")))))</f>
        <v/>
      </c>
      <c r="JI30">
        <f>AND(IF(FG30="",TRUE,IF(input_industry="",FALSE,SUMPRODUCT(--ISNUMBER(SEARCH(","&amp;TRIM(TEXTSPLIT(FG30,","))&amp;",",","&amp;SUBSTITUTE(input_industry," ","")&amp;",")))&gt;0)),IF(FI30="",TRUE,IF(input_industry="",FALSE,SUMPRODUCT(--ISNUMBER(SEARCH(","&amp;TRIM(TEXTSPLIT(FI30,","))&amp;",",","&amp;SUBSTITUTE(input_industry," ","")&amp;",")))=COUNTA(TEXTSPLIT(FI30,",")))),IF(FK30="",TRUE,IF(input_industry="",TRUE,SUMPRODUCT(--ISNUMBER(SEARCH(","&amp;TRIM(TEXTSPLIT(FK30,","))&amp;",",","&amp;SUBSTITUTE(input_industry," ","")&amp;",")))=0)),IF(FM30="",TRUE,IF(input_industry="",FALSE,SUMPRODUCT(--ISNUMBER(SEARCH(","&amp;TRIM(TEXTSPLIT(FM30,","))&amp;",",","&amp;SUBSTITUTE(input_industry," ","")&amp;",")))&gt;0)),IF(FO30="",TRUE,IF(input_industry="",FALSE,SUMPRODUCT(--ISNUMBER(SEARCH(","&amp;TRIM(TEXTSPLIT(FO30,","))&amp;",",","&amp;SUBSTITUTE(input_industry," ","")&amp;",")))=COUNTA(TEXTSPLIT(FO30,",")))))</f>
        <v/>
      </c>
      <c r="JJ30">
        <f>AND(IF(FQ30="",TRUE,IF(input_location="",FALSE,SUMPRODUCT(--ISNUMBER(SEARCH(","&amp;TRIM(TEXTSPLIT(FQ30,","))&amp;",",","&amp;SUBSTITUTE(input_location," ","")&amp;",")))&gt;0)),IF(FS30="",TRUE,IF(input_location="",FALSE,SUMPRODUCT(--ISNUMBER(SEARCH(","&amp;TRIM(TEXTSPLIT(FS30,","))&amp;",",","&amp;SUBSTITUTE(input_location," ","")&amp;",")))=COUNTA(TEXTSPLIT(FS30,",")))),IF(FU30="",TRUE,IF(input_location="",TRUE,SUMPRODUCT(--ISNUMBER(SEARCH(","&amp;TRIM(TEXTSPLIT(FU30,","))&amp;",",","&amp;SUBSTITUTE(input_location," ","")&amp;",")))=0)),IF(FW30="",TRUE,IF(input_location="",FALSE,SUMPRODUCT(--ISNUMBER(SEARCH(","&amp;TRIM(TEXTSPLIT(FW30,","))&amp;",",","&amp;SUBSTITUTE(input_location," ","")&amp;",")))&gt;0)),IF(FY30="",TRUE,IF(input_location="",FALSE,SUMPRODUCT(--ISNUMBER(SEARCH(","&amp;TRIM(TEXTSPLIT(FY30,","))&amp;",",","&amp;SUBSTITUTE(input_location," ","")&amp;",")))=COUNTA(TEXTSPLIT(FY30,",")))))</f>
        <v/>
      </c>
      <c r="JK30">
        <f>AND(IF(GA30="",TRUE,IF(input_modality="",FALSE,SUMPRODUCT(--ISNUMBER(SEARCH(","&amp;TRIM(TEXTSPLIT(GA30,","))&amp;",",","&amp;SUBSTITUTE(input_modality," ","")&amp;",")))&gt;0)),IF(GC30="",TRUE,IF(input_modality="",FALSE,SUMPRODUCT(--ISNUMBER(SEARCH(","&amp;TRIM(TEXTSPLIT(GC30,","))&amp;",",","&amp;SUBSTITUTE(input_modality," ","")&amp;",")))=COUNTA(TEXTSPLIT(GC30,",")))),IF(GE30="",TRUE,IF(input_modality="",TRUE,SUMPRODUCT(--ISNUMBER(SEARCH(","&amp;TRIM(TEXTSPLIT(GE30,","))&amp;",",","&amp;SUBSTITUTE(input_modality," ","")&amp;",")))=0)),IF(GG30="",TRUE,IF(input_modality="",FALSE,SUMPRODUCT(--ISNUMBER(SEARCH(","&amp;TRIM(TEXTSPLIT(GG30,","))&amp;",",","&amp;SUBSTITUTE(input_modality," ","")&amp;",")))&gt;0)),IF(GI30="",TRUE,IF(input_modality="",FALSE,SUMPRODUCT(--ISNUMBER(SEARCH(","&amp;TRIM(TEXTSPLIT(GI30,","))&amp;",",","&amp;SUBSTITUTE(input_modality," ","")&amp;",")))=COUNTA(TEXTSPLIT(GI30,",")))))</f>
        <v/>
      </c>
      <c r="JL30">
        <f>AND(IF(GK30="",TRUE,IF(input_organizer="",FALSE,SUMPRODUCT(--ISNUMBER(SEARCH(","&amp;TRIM(TEXTSPLIT(GK30,","))&amp;",",","&amp;SUBSTITUTE(input_organizer," ","")&amp;",")))&gt;0)),IF(GM30="",TRUE,IF(input_organizer="",FALSE,SUMPRODUCT(--ISNUMBER(SEARCH(","&amp;TRIM(TEXTSPLIT(GM30,","))&amp;",",","&amp;SUBSTITUTE(input_organizer," ","")&amp;",")))=COUNTA(TEXTSPLIT(GM30,",")))),IF(GO30="",TRUE,IF(input_organizer="",TRUE,SUMPRODUCT(--ISNUMBER(SEARCH(","&amp;TRIM(TEXTSPLIT(GO30,","))&amp;",",","&amp;SUBSTITUTE(input_organizer," ","")&amp;",")))=0)),IF(GQ30="",TRUE,IF(input_organizer="",FALSE,SUMPRODUCT(--ISNUMBER(SEARCH(","&amp;TRIM(TEXTSPLIT(GQ30,","))&amp;",",","&amp;SUBSTITUTE(input_organizer," ","")&amp;",")))&gt;0)),IF(GS30="",TRUE,IF(input_organizer="",FALSE,SUMPRODUCT(--ISNUMBER(SEARCH(","&amp;TRIM(TEXTSPLIT(GS30,","))&amp;",",","&amp;SUBSTITUTE(input_organizer," ","")&amp;",")))=COUNTA(TEXTSPLIT(GS30,",")))))</f>
        <v/>
      </c>
      <c r="JM30">
        <f>AND(IF(GU30="",TRUE,IF(input_profile_type="",FALSE,SUMPRODUCT(--ISNUMBER(SEARCH(","&amp;TRIM(TEXTSPLIT(GU30,","))&amp;",",","&amp;SUBSTITUTE(input_profile_type," ","")&amp;",")))&gt;0)),IF(GW30="",TRUE,IF(input_profile_type="",FALSE,SUMPRODUCT(--ISNUMBER(SEARCH(","&amp;TRIM(TEXTSPLIT(GW30,","))&amp;",",","&amp;SUBSTITUTE(input_profile_type," ","")&amp;",")))=COUNTA(TEXTSPLIT(GW30,",")))),IF(GY30="",TRUE,IF(input_profile_type="",TRUE,SUMPRODUCT(--ISNUMBER(SEARCH(","&amp;TRIM(TEXTSPLIT(GY30,","))&amp;",",","&amp;SUBSTITUTE(input_profile_type," ","")&amp;",")))=0)),IF(HA30="",TRUE,IF(input_profile_type="",FALSE,SUMPRODUCT(--ISNUMBER(SEARCH(","&amp;TRIM(TEXTSPLIT(HA30,","))&amp;",",","&amp;SUBSTITUTE(input_profile_type," ","")&amp;",")))&gt;0)),IF(HC30="",TRUE,IF(input_profile_type="",FALSE,SUMPRODUCT(--ISNUMBER(SEARCH(","&amp;TRIM(TEXTSPLIT(HC30,","))&amp;",",","&amp;SUBSTITUTE(input_profile_type," ","")&amp;",")))=COUNTA(TEXTSPLIT(HC30,",")))))</f>
        <v/>
      </c>
      <c r="JN30">
        <f>AND(IF(HE30="",TRUE,IF(input_program="",FALSE,SUMPRODUCT(--ISNUMBER(SEARCH(","&amp;TRIM(TEXTSPLIT(HE30,","))&amp;",",","&amp;SUBSTITUTE(input_program," ","")&amp;",")))&gt;0)),IF(HG30="",TRUE,IF(input_program="",FALSE,SUMPRODUCT(--ISNUMBER(SEARCH(","&amp;TRIM(TEXTSPLIT(HG30,","))&amp;",",","&amp;SUBSTITUTE(input_program," ","")&amp;",")))=COUNTA(TEXTSPLIT(HG30,",")))),IF(HI30="",TRUE,IF(input_program="",TRUE,SUMPRODUCT(--ISNUMBER(SEARCH(","&amp;TRIM(TEXTSPLIT(HI30,","))&amp;",",","&amp;SUBSTITUTE(input_program," ","")&amp;",")))=0)),IF(HK30="",TRUE,IF(input_program="",FALSE,SUMPRODUCT(--ISNUMBER(SEARCH(","&amp;TRIM(TEXTSPLIT(HK30,","))&amp;",",","&amp;SUBSTITUTE(input_program," ","")&amp;",")))&gt;0)),IF(HM30="",TRUE,IF(input_program="",FALSE,SUMPRODUCT(--ISNUMBER(SEARCH(","&amp;TRIM(TEXTSPLIT(HM30,","))&amp;",",","&amp;SUBSTITUTE(input_program," ","")&amp;",")))=COUNTA(TEXTSPLIT(HM30,",")))))</f>
        <v/>
      </c>
      <c r="JO30">
        <f>AND(IF(HO30="",TRUE,IF(input_story_categories="",FALSE,SUMPRODUCT(--ISNUMBER(SEARCH(","&amp;TRIM(TEXTSPLIT(HO30,","))&amp;",",","&amp;SUBSTITUTE(input_story_categories," ","")&amp;",")))&gt;0)),IF(HQ30="",TRUE,IF(input_story_categories="",FALSE,SUMPRODUCT(--ISNUMBER(SEARCH(","&amp;TRIM(TEXTSPLIT(HQ30,","))&amp;",",","&amp;SUBSTITUTE(input_story_categories," ","")&amp;",")))=COUNTA(TEXTSPLIT(HQ30,",")))),IF(HS30="",TRUE,IF(input_story_categories="",TRUE,SUMPRODUCT(--ISNUMBER(SEARCH(","&amp;TRIM(TEXTSPLIT(HS30,","))&amp;",",","&amp;SUBSTITUTE(input_story_categories," ","")&amp;",")))=0)),IF(HU30="",TRUE,IF(input_story_categories="",FALSE,SUMPRODUCT(--ISNUMBER(SEARCH(","&amp;TRIM(TEXTSPLIT(HU30,","))&amp;",",","&amp;SUBSTITUTE(input_story_categories," ","")&amp;",")))&gt;0)),IF(HW30="",TRUE,IF(input_story_categories="",FALSE,SUMPRODUCT(--ISNUMBER(SEARCH(","&amp;TRIM(TEXTSPLIT(HW30,","))&amp;",",","&amp;SUBSTITUTE(input_story_categories," ","")&amp;",")))=COUNTA(TEXTSPLIT(HW30,",")))))</f>
        <v/>
      </c>
      <c r="JP30">
        <f>AND(IF(HY30="",TRUE,IF(input_story_type="",FALSE,SUMPRODUCT(--ISNUMBER(SEARCH(","&amp;TRIM(TEXTSPLIT(HY30,","))&amp;",",","&amp;SUBSTITUTE(input_story_type," ","")&amp;",")))&gt;0)),IF(IA30="",TRUE,IF(input_story_type="",FALSE,SUMPRODUCT(--ISNUMBER(SEARCH(","&amp;TRIM(TEXTSPLIT(IA30,","))&amp;",",","&amp;SUBSTITUTE(input_story_type," ","")&amp;",")))=COUNTA(TEXTSPLIT(IA30,",")))),IF(IC30="",TRUE,IF(input_story_type="",TRUE,SUMPRODUCT(--ISNUMBER(SEARCH(","&amp;TRIM(TEXTSPLIT(IC30,","))&amp;",",","&amp;SUBSTITUTE(input_story_type," ","")&amp;",")))=0)),IF(IE30="",TRUE,IF(input_story_type="",FALSE,SUMPRODUCT(--ISNUMBER(SEARCH(","&amp;TRIM(TEXTSPLIT(IE30,","))&amp;",",","&amp;SUBSTITUTE(input_story_type," ","")&amp;",")))&gt;0)),IF(IG30="",TRUE,IF(input_story_type="",FALSE,SUMPRODUCT(--ISNUMBER(SEARCH(","&amp;TRIM(TEXTSPLIT(IG30,","))&amp;",",","&amp;SUBSTITUTE(input_story_type," ","")&amp;",")))=COUNTA(TEXTSPLIT(IG30,",")))))</f>
        <v/>
      </c>
      <c r="JQ30">
        <f>AND(IF(II30="",TRUE,IF(input_topics="",FALSE,SUMPRODUCT(--ISNUMBER(SEARCH(","&amp;TRIM(TEXTSPLIT(II30,","))&amp;",",","&amp;SUBSTITUTE(input_topics," ","")&amp;",")))&gt;0)),IF(IK30="",TRUE,IF(input_topics="",FALSE,SUMPRODUCT(--ISNUMBER(SEARCH(","&amp;TRIM(TEXTSPLIT(IK30,","))&amp;",",","&amp;SUBSTITUTE(input_topics," ","")&amp;",")))=COUNTA(TEXTSPLIT(IK30,",")))),IF(IM30="",TRUE,IF(input_topics="",TRUE,SUMPRODUCT(--ISNUMBER(SEARCH(","&amp;TRIM(TEXTSPLIT(IM30,","))&amp;",",","&amp;SUBSTITUTE(input_topics," ","")&amp;",")))=0)),IF(IO30="",TRUE,IF(input_topics="",FALSE,SUMPRODUCT(--ISNUMBER(SEARCH(","&amp;TRIM(TEXTSPLIT(IO30,","))&amp;",",","&amp;SUBSTITUTE(input_topics," ","")&amp;",")))&gt;0)),IF(IQ30="",TRUE,IF(input_topics="",FALSE,SUMPRODUCT(--ISNUMBER(SEARCH(","&amp;TRIM(TEXTSPLIT(IQ30,","))&amp;",",","&amp;SUBSTITUTE(input_topics," ","")&amp;",")))=COUNTA(TEXTSPLIT(IQ30,",")))))</f>
        <v/>
      </c>
    </row>
    <row r="31">
      <c r="A31" s="4">
        <f>IF(NOT(IS31),"Excluded",IF(AND(IT31,IU31,IV31,IW31,IX31,IY31,IZ31,JA31,JB31,JC31,JD31,JE31,JF31,JG31,JH31,JI31,JJ31,JK31,JL31,JM31,JN31,JO31,JP31,JQ31),IF(I31&gt;0,"Eligible but limited","Will appear"),"Excluded"))</f>
        <v/>
      </c>
      <c r="B31" s="4" t="inlineStr">
        <is>
          <t>All Publications by Author</t>
        </is>
      </c>
      <c r="C31" s="4" t="inlineStr">
        <is>
          <t>/faculty-research/faculty-directory/james-choi</t>
        </is>
      </c>
      <c r="D31" s="4" t="inlineStr">
        <is>
          <t>/faculty-research/faculty-directory/james-choi</t>
        </is>
      </c>
      <c r="E31" s="4" t="n">
        <v>1</v>
      </c>
      <c r="F31" s="4" t="inlineStr">
        <is>
          <t>publications</t>
        </is>
      </c>
      <c r="G31" s="4" t="inlineStr">
        <is>
          <t>publication_teaser_list</t>
        </is>
      </c>
      <c r="H31" s="4" t="inlineStr">
        <is>
          <t>publication_teaser_list_all_by_author</t>
        </is>
      </c>
      <c r="I31" s="4" t="inlineStr"/>
      <c r="J31" s="4" t="inlineStr">
        <is>
          <t>View/config rules</t>
        </is>
      </c>
      <c r="K31" s="4" t="inlineStr">
        <is>
          <t>Page placement</t>
        </is>
      </c>
      <c r="L31" s="4" t="inlineStr">
        <is>
          <t>Content type: publications; Source: View/config rules</t>
        </is>
      </c>
      <c r="M31" t="inlineStr"/>
      <c r="N31" t="inlineStr"/>
      <c r="O31" t="inlineStr"/>
      <c r="P31" t="inlineStr"/>
      <c r="Q31" t="inlineStr"/>
      <c r="R31" t="inlineStr"/>
      <c r="S31" t="inlineStr"/>
      <c r="T31" t="inlineStr"/>
      <c r="U31" t="inlineStr"/>
      <c r="V31" t="inlineStr"/>
      <c r="W31" t="inlineStr"/>
      <c r="X31" t="inlineStr"/>
      <c r="Y31" t="inlineStr"/>
      <c r="Z31" t="inlineStr"/>
      <c r="AA31" t="inlineStr"/>
      <c r="AB31" t="inlineStr"/>
      <c r="AC31" t="inlineStr"/>
      <c r="AD31" t="inlineStr"/>
      <c r="AE31" t="inlineStr"/>
      <c r="AF31" t="inlineStr"/>
      <c r="AG31" t="inlineStr"/>
      <c r="AH31" t="inlineStr"/>
      <c r="AI31" t="inlineStr"/>
      <c r="AJ31" t="inlineStr"/>
      <c r="AK31" t="inlineStr"/>
      <c r="AL31" t="inlineStr"/>
      <c r="AM31" t="inlineStr"/>
      <c r="AN31" t="inlineStr"/>
      <c r="AO31" t="inlineStr"/>
      <c r="AP31" t="inlineStr"/>
      <c r="AQ31" t="inlineStr"/>
      <c r="AR31" t="inlineStr"/>
      <c r="AS31" t="inlineStr"/>
      <c r="AT31" t="inlineStr"/>
      <c r="AU31" t="inlineStr"/>
      <c r="AV31" t="inlineStr"/>
      <c r="AW31" t="inlineStr"/>
      <c r="AX31" t="inlineStr"/>
      <c r="AY31" t="inlineStr"/>
      <c r="AZ31" t="inlineStr"/>
      <c r="BA31" t="inlineStr"/>
      <c r="BB31" t="inlineStr"/>
      <c r="BC31" t="inlineStr"/>
      <c r="BD31" t="inlineStr"/>
      <c r="BE31" t="inlineStr"/>
      <c r="BF31" t="inlineStr"/>
      <c r="BG31" t="inlineStr"/>
      <c r="BH31" t="inlineStr"/>
      <c r="BI31" t="inlineStr"/>
      <c r="BJ31" t="inlineStr"/>
      <c r="BK31" t="inlineStr"/>
      <c r="BL31" t="inlineStr"/>
      <c r="BM31" t="inlineStr"/>
      <c r="BN31" t="inlineStr"/>
      <c r="BO31" t="inlineStr"/>
      <c r="BP31" t="inlineStr"/>
      <c r="BQ31" t="inlineStr"/>
      <c r="BR31" t="inlineStr"/>
      <c r="BS31" t="inlineStr"/>
      <c r="BT31" t="inlineStr"/>
      <c r="BU31" t="inlineStr"/>
      <c r="BV31" t="inlineStr"/>
      <c r="BW31" t="inlineStr"/>
      <c r="BX31" t="inlineStr"/>
      <c r="BY31" t="inlineStr"/>
      <c r="BZ31" t="inlineStr"/>
      <c r="CA31" t="inlineStr"/>
      <c r="CB31" t="inlineStr"/>
      <c r="CC31" t="inlineStr"/>
      <c r="CD31" t="inlineStr"/>
      <c r="CE31" t="inlineStr"/>
      <c r="CF31" t="inlineStr"/>
      <c r="CG31" t="inlineStr"/>
      <c r="CH31" t="inlineStr"/>
      <c r="CI31" t="inlineStr"/>
      <c r="CJ31" t="inlineStr"/>
      <c r="CK31" t="inlineStr"/>
      <c r="CL31" t="inlineStr"/>
      <c r="CM31" t="inlineStr"/>
      <c r="CN31" t="inlineStr"/>
      <c r="CO31" t="inlineStr"/>
      <c r="CP31" t="inlineStr"/>
      <c r="CQ31" t="inlineStr"/>
      <c r="CR31" t="inlineStr"/>
      <c r="CS31" t="inlineStr"/>
      <c r="CT31" t="inlineStr"/>
      <c r="CU31" t="inlineStr"/>
      <c r="CV31" t="inlineStr"/>
      <c r="CW31" t="inlineStr"/>
      <c r="CX31" t="inlineStr"/>
      <c r="CY31" t="inlineStr"/>
      <c r="CZ31" t="inlineStr"/>
      <c r="DA31" t="inlineStr"/>
      <c r="DB31" t="inlineStr"/>
      <c r="DC31" t="inlineStr"/>
      <c r="DD31" t="inlineStr"/>
      <c r="DE31" t="inlineStr"/>
      <c r="DF31" t="inlineStr"/>
      <c r="DG31" t="inlineStr"/>
      <c r="DH31" t="inlineStr"/>
      <c r="DI31" t="inlineStr"/>
      <c r="DJ31" t="inlineStr"/>
      <c r="DK31" t="inlineStr"/>
      <c r="DL31" t="inlineStr"/>
      <c r="DM31" t="inlineStr"/>
      <c r="DN31" t="inlineStr"/>
      <c r="DO31" t="inlineStr"/>
      <c r="DP31" t="inlineStr"/>
      <c r="DQ31" t="inlineStr"/>
      <c r="DR31" t="inlineStr"/>
      <c r="DS31" t="inlineStr"/>
      <c r="DT31" t="inlineStr"/>
      <c r="DU31" t="inlineStr"/>
      <c r="DV31" t="inlineStr"/>
      <c r="DW31" t="inlineStr"/>
      <c r="DX31" t="inlineStr"/>
      <c r="DY31" t="inlineStr"/>
      <c r="DZ31" t="inlineStr"/>
      <c r="EA31" t="inlineStr"/>
      <c r="EB31" t="inlineStr"/>
      <c r="EC31" t="inlineStr"/>
      <c r="ED31" t="inlineStr"/>
      <c r="EE31" t="inlineStr"/>
      <c r="EF31" t="inlineStr"/>
      <c r="EG31" t="inlineStr"/>
      <c r="EH31" t="inlineStr"/>
      <c r="EI31" t="inlineStr"/>
      <c r="EJ31" t="inlineStr"/>
      <c r="EK31" t="inlineStr"/>
      <c r="EL31" t="inlineStr"/>
      <c r="EM31" t="inlineStr"/>
      <c r="EN31" t="inlineStr"/>
      <c r="EO31" t="inlineStr"/>
      <c r="EP31" t="inlineStr"/>
      <c r="EQ31" t="inlineStr"/>
      <c r="ER31" t="inlineStr"/>
      <c r="ES31" t="inlineStr"/>
      <c r="ET31" t="inlineStr"/>
      <c r="EU31" t="inlineStr"/>
      <c r="EV31" t="inlineStr"/>
      <c r="EW31" t="inlineStr"/>
      <c r="EX31" t="inlineStr"/>
      <c r="EY31" t="inlineStr"/>
      <c r="EZ31" t="inlineStr"/>
      <c r="FA31" t="inlineStr"/>
      <c r="FB31" t="inlineStr"/>
      <c r="FC31" t="inlineStr"/>
      <c r="FD31" t="inlineStr"/>
      <c r="FE31" t="inlineStr"/>
      <c r="FF31" t="inlineStr"/>
      <c r="FG31" t="inlineStr"/>
      <c r="FH31" t="inlineStr"/>
      <c r="FI31" t="inlineStr"/>
      <c r="FJ31" t="inlineStr"/>
      <c r="FK31" t="inlineStr"/>
      <c r="FL31" t="inlineStr"/>
      <c r="FM31" t="inlineStr"/>
      <c r="FN31" t="inlineStr"/>
      <c r="FO31" t="inlineStr"/>
      <c r="FP31" t="inlineStr"/>
      <c r="FQ31" t="inlineStr"/>
      <c r="FR31" t="inlineStr"/>
      <c r="FS31" t="inlineStr"/>
      <c r="FT31" t="inlineStr"/>
      <c r="FU31" t="inlineStr"/>
      <c r="FV31" t="inlineStr"/>
      <c r="FW31" t="inlineStr"/>
      <c r="FX31" t="inlineStr"/>
      <c r="FY31" t="inlineStr"/>
      <c r="FZ31" t="inlineStr"/>
      <c r="GA31" t="inlineStr"/>
      <c r="GB31" t="inlineStr"/>
      <c r="GC31" t="inlineStr"/>
      <c r="GD31" t="inlineStr"/>
      <c r="GE31" t="inlineStr"/>
      <c r="GF31" t="inlineStr"/>
      <c r="GG31" t="inlineStr"/>
      <c r="GH31" t="inlineStr"/>
      <c r="GI31" t="inlineStr"/>
      <c r="GJ31" t="inlineStr"/>
      <c r="GK31" t="inlineStr"/>
      <c r="GL31" t="inlineStr"/>
      <c r="GM31" t="inlineStr"/>
      <c r="GN31" t="inlineStr"/>
      <c r="GO31" t="inlineStr"/>
      <c r="GP31" t="inlineStr"/>
      <c r="GQ31" t="inlineStr"/>
      <c r="GR31" t="inlineStr"/>
      <c r="GS31" t="inlineStr"/>
      <c r="GT31" t="inlineStr"/>
      <c r="GU31" t="inlineStr"/>
      <c r="GV31" t="inlineStr"/>
      <c r="GW31" t="inlineStr"/>
      <c r="GX31" t="inlineStr"/>
      <c r="GY31" t="inlineStr"/>
      <c r="GZ31" t="inlineStr"/>
      <c r="HA31" t="inlineStr"/>
      <c r="HB31" t="inlineStr"/>
      <c r="HC31" t="inlineStr"/>
      <c r="HD31" t="inlineStr"/>
      <c r="HE31" t="inlineStr"/>
      <c r="HF31" t="inlineStr"/>
      <c r="HG31" t="inlineStr"/>
      <c r="HH31" t="inlineStr"/>
      <c r="HI31" t="inlineStr"/>
      <c r="HJ31" t="inlineStr"/>
      <c r="HK31" t="inlineStr"/>
      <c r="HL31" t="inlineStr"/>
      <c r="HM31" t="inlineStr"/>
      <c r="HN31" t="inlineStr"/>
      <c r="HO31" t="inlineStr"/>
      <c r="HP31" t="inlineStr"/>
      <c r="HQ31" t="inlineStr"/>
      <c r="HR31" t="inlineStr"/>
      <c r="HS31" t="inlineStr"/>
      <c r="HT31" t="inlineStr"/>
      <c r="HU31" t="inlineStr"/>
      <c r="HV31" t="inlineStr"/>
      <c r="HW31" t="inlineStr"/>
      <c r="HX31" t="inlineStr"/>
      <c r="HY31" t="inlineStr"/>
      <c r="HZ31" t="inlineStr"/>
      <c r="IA31" t="inlineStr"/>
      <c r="IB31" t="inlineStr"/>
      <c r="IC31" t="inlineStr"/>
      <c r="ID31" t="inlineStr"/>
      <c r="IE31" t="inlineStr"/>
      <c r="IF31" t="inlineStr"/>
      <c r="IG31" t="inlineStr"/>
      <c r="IH31" t="inlineStr"/>
      <c r="II31" t="inlineStr"/>
      <c r="IJ31" t="inlineStr"/>
      <c r="IK31" t="inlineStr"/>
      <c r="IL31" t="inlineStr"/>
      <c r="IM31" t="inlineStr"/>
      <c r="IN31" t="inlineStr"/>
      <c r="IO31" t="inlineStr"/>
      <c r="IP31" t="inlineStr"/>
      <c r="IQ31" t="inlineStr"/>
      <c r="IR31" t="inlineStr"/>
      <c r="IS31">
        <f>IF(input_content_type="",FALSE,ISNUMBER(SEARCH(","&amp;LOWER(input_content_type)&amp;",",","&amp;LOWER(F31)&amp;",")))</f>
        <v/>
      </c>
      <c r="IT31">
        <f>AND(IF(M31="",TRUE,IF(input_affiliations="",FALSE,SUMPRODUCT(--ISNUMBER(SEARCH(","&amp;TRIM(TEXTSPLIT(M31,","))&amp;",",","&amp;SUBSTITUTE(input_affiliations," ","")&amp;",")))&gt;0)),IF(O31="",TRUE,IF(input_affiliations="",FALSE,SUMPRODUCT(--ISNUMBER(SEARCH(","&amp;TRIM(TEXTSPLIT(O31,","))&amp;",",","&amp;SUBSTITUTE(input_affiliations," ","")&amp;",")))=COUNTA(TEXTSPLIT(O31,",")))),IF(Q31="",TRUE,IF(input_affiliations="",TRUE,SUMPRODUCT(--ISNUMBER(SEARCH(","&amp;TRIM(TEXTSPLIT(Q31,","))&amp;",",","&amp;SUBSTITUTE(input_affiliations," ","")&amp;",")))=0)),IF(S31="",TRUE,IF(input_affiliations="",FALSE,SUMPRODUCT(--ISNUMBER(SEARCH(","&amp;TRIM(TEXTSPLIT(S31,","))&amp;",",","&amp;SUBSTITUTE(input_affiliations," ","")&amp;",")))&gt;0)),IF(U31="",TRUE,IF(input_affiliations="",FALSE,SUMPRODUCT(--ISNUMBER(SEARCH(","&amp;TRIM(TEXTSPLIT(U31,","))&amp;",",","&amp;SUBSTITUTE(input_affiliations," ","")&amp;",")))=COUNTA(TEXTSPLIT(U31,",")))))</f>
        <v/>
      </c>
      <c r="IU31">
        <f>AND(IF(W31="",TRUE,IF(input_announcement_category="",FALSE,SUMPRODUCT(--ISNUMBER(SEARCH(","&amp;TRIM(TEXTSPLIT(W31,","))&amp;",",","&amp;SUBSTITUTE(input_announcement_category," ","")&amp;",")))&gt;0)),IF(Y31="",TRUE,IF(input_announcement_category="",FALSE,SUMPRODUCT(--ISNUMBER(SEARCH(","&amp;TRIM(TEXTSPLIT(Y31,","))&amp;",",","&amp;SUBSTITUTE(input_announcement_category," ","")&amp;",")))=COUNTA(TEXTSPLIT(Y31,",")))),IF(AA31="",TRUE,IF(input_announcement_category="",TRUE,SUMPRODUCT(--ISNUMBER(SEARCH(","&amp;TRIM(TEXTSPLIT(AA31,","))&amp;",",","&amp;SUBSTITUTE(input_announcement_category," ","")&amp;",")))=0)),IF(AC31="",TRUE,IF(input_announcement_category="",FALSE,SUMPRODUCT(--ISNUMBER(SEARCH(","&amp;TRIM(TEXTSPLIT(AC31,","))&amp;",",","&amp;SUBSTITUTE(input_announcement_category," ","")&amp;",")))&gt;0)),IF(AE31="",TRUE,IF(input_announcement_category="",FALSE,SUMPRODUCT(--ISNUMBER(SEARCH(","&amp;TRIM(TEXTSPLIT(AE31,","))&amp;",",","&amp;SUBSTITUTE(input_announcement_category," ","")&amp;",")))=COUNTA(TEXTSPLIT(AE31,",")))))</f>
        <v/>
      </c>
      <c r="IV31">
        <f>AND(IF(AG31="",TRUE,IF(input_area_of_focus="",FALSE,SUMPRODUCT(--ISNUMBER(SEARCH(","&amp;TRIM(TEXTSPLIT(AG31,","))&amp;",",","&amp;SUBSTITUTE(input_area_of_focus," ","")&amp;",")))&gt;0)),IF(AI31="",TRUE,IF(input_area_of_focus="",FALSE,SUMPRODUCT(--ISNUMBER(SEARCH(","&amp;TRIM(TEXTSPLIT(AI31,","))&amp;",",","&amp;SUBSTITUTE(input_area_of_focus," ","")&amp;",")))=COUNTA(TEXTSPLIT(AI31,",")))),IF(AK31="",TRUE,IF(input_area_of_focus="",TRUE,SUMPRODUCT(--ISNUMBER(SEARCH(","&amp;TRIM(TEXTSPLIT(AK31,","))&amp;",",","&amp;SUBSTITUTE(input_area_of_focus," ","")&amp;",")))=0)),IF(AM31="",TRUE,IF(input_area_of_focus="",FALSE,SUMPRODUCT(--ISNUMBER(SEARCH(","&amp;TRIM(TEXTSPLIT(AM31,","))&amp;",",","&amp;SUBSTITUTE(input_area_of_focus," ","")&amp;",")))&gt;0)),IF(AO31="",TRUE,IF(input_area_of_focus="",FALSE,SUMPRODUCT(--ISNUMBER(SEARCH(","&amp;TRIM(TEXTSPLIT(AO31,","))&amp;",",","&amp;SUBSTITUTE(input_area_of_focus," ","")&amp;",")))=COUNTA(TEXTSPLIT(AO31,",")))))</f>
        <v/>
      </c>
      <c r="IW31">
        <f>AND(IF(AQ31="",TRUE,IF(input_audience="",FALSE,SUMPRODUCT(--ISNUMBER(SEARCH(","&amp;TRIM(TEXTSPLIT(AQ31,","))&amp;",",","&amp;SUBSTITUTE(input_audience," ","")&amp;",")))&gt;0)),IF(AS31="",TRUE,IF(input_audience="",FALSE,SUMPRODUCT(--ISNUMBER(SEARCH(","&amp;TRIM(TEXTSPLIT(AS31,","))&amp;",",","&amp;SUBSTITUTE(input_audience," ","")&amp;",")))=COUNTA(TEXTSPLIT(AS31,",")))),IF(AU31="",TRUE,IF(input_audience="",TRUE,SUMPRODUCT(--ISNUMBER(SEARCH(","&amp;TRIM(TEXTSPLIT(AU31,","))&amp;",",","&amp;SUBSTITUTE(input_audience," ","")&amp;",")))=0)),IF(AW31="",TRUE,IF(input_audience="",FALSE,SUMPRODUCT(--ISNUMBER(SEARCH(","&amp;TRIM(TEXTSPLIT(AW31,","))&amp;",",","&amp;SUBSTITUTE(input_audience," ","")&amp;",")))&gt;0)),IF(AY31="",TRUE,IF(input_audience="",FALSE,SUMPRODUCT(--ISNUMBER(SEARCH(","&amp;TRIM(TEXTSPLIT(AY31,","))&amp;",",","&amp;SUBSTITUTE(input_audience," ","")&amp;",")))=COUNTA(TEXTSPLIT(AY31,",")))))</f>
        <v/>
      </c>
      <c r="IX31">
        <f>AND(IF(BA31="",TRUE,IF(input_challenge_opportunities="",FALSE,SUMPRODUCT(--ISNUMBER(SEARCH(","&amp;TRIM(TEXTSPLIT(BA31,","))&amp;",",","&amp;SUBSTITUTE(input_challenge_opportunities," ","")&amp;",")))&gt;0)),IF(BC31="",TRUE,IF(input_challenge_opportunities="",FALSE,SUMPRODUCT(--ISNUMBER(SEARCH(","&amp;TRIM(TEXTSPLIT(BC31,","))&amp;",",","&amp;SUBSTITUTE(input_challenge_opportunities," ","")&amp;",")))=COUNTA(TEXTSPLIT(BC31,",")))),IF(BE31="",TRUE,IF(input_challenge_opportunities="",TRUE,SUMPRODUCT(--ISNUMBER(SEARCH(","&amp;TRIM(TEXTSPLIT(BE31,","))&amp;",",","&amp;SUBSTITUTE(input_challenge_opportunities," ","")&amp;",")))=0)),IF(BG31="",TRUE,IF(input_challenge_opportunities="",FALSE,SUMPRODUCT(--ISNUMBER(SEARCH(","&amp;TRIM(TEXTSPLIT(BG31,","))&amp;",",","&amp;SUBSTITUTE(input_challenge_opportunities," ","")&amp;",")))&gt;0)),IF(BI31="",TRUE,IF(input_challenge_opportunities="",FALSE,SUMPRODUCT(--ISNUMBER(SEARCH(","&amp;TRIM(TEXTSPLIT(BI31,","))&amp;",",","&amp;SUBSTITUTE(input_challenge_opportunities," ","")&amp;",")))=COUNTA(TEXTSPLIT(BI31,",")))))</f>
        <v/>
      </c>
      <c r="IY31">
        <f>AND(IF(BK31="",TRUE,IF(input_context="",FALSE,SUMPRODUCT(--ISNUMBER(SEARCH(","&amp;TRIM(TEXTSPLIT(BK31,","))&amp;",",","&amp;SUBSTITUTE(input_context," ","")&amp;",")))&gt;0)),IF(BM31="",TRUE,IF(input_context="",FALSE,SUMPRODUCT(--ISNUMBER(SEARCH(","&amp;TRIM(TEXTSPLIT(BM31,","))&amp;",",","&amp;SUBSTITUTE(input_context," ","")&amp;",")))=COUNTA(TEXTSPLIT(BM31,",")))),IF(BO31="",TRUE,IF(input_context="",TRUE,SUMPRODUCT(--ISNUMBER(SEARCH(","&amp;TRIM(TEXTSPLIT(BO31,","))&amp;",",","&amp;SUBSTITUTE(input_context," ","")&amp;",")))=0)),IF(BQ31="",TRUE,IF(input_context="",FALSE,SUMPRODUCT(--ISNUMBER(SEARCH(","&amp;TRIM(TEXTSPLIT(BQ31,","))&amp;",",","&amp;SUBSTITUTE(input_context," ","")&amp;",")))&gt;0)),IF(BS31="",TRUE,IF(input_context="",FALSE,SUMPRODUCT(--ISNUMBER(SEARCH(","&amp;TRIM(TEXTSPLIT(BS31,","))&amp;",",","&amp;SUBSTITUTE(input_context," ","")&amp;",")))=COUNTA(TEXTSPLIT(BS31,",")))))</f>
        <v/>
      </c>
      <c r="IZ31">
        <f>AND(IF(BU31="",TRUE,IF(input_enews_announcement_type="",FALSE,SUMPRODUCT(--ISNUMBER(SEARCH(","&amp;TRIM(TEXTSPLIT(BU31,","))&amp;",",","&amp;SUBSTITUTE(input_enews_announcement_type," ","")&amp;",")))&gt;0)),IF(BW31="",TRUE,IF(input_enews_announcement_type="",FALSE,SUMPRODUCT(--ISNUMBER(SEARCH(","&amp;TRIM(TEXTSPLIT(BW31,","))&amp;",",","&amp;SUBSTITUTE(input_enews_announcement_type," ","")&amp;",")))=COUNTA(TEXTSPLIT(BW31,",")))),IF(BY31="",TRUE,IF(input_enews_announcement_type="",TRUE,SUMPRODUCT(--ISNUMBER(SEARCH(","&amp;TRIM(TEXTSPLIT(BY31,","))&amp;",",","&amp;SUBSTITUTE(input_enews_announcement_type," ","")&amp;",")))=0)),IF(CA31="",TRUE,IF(input_enews_announcement_type="",FALSE,SUMPRODUCT(--ISNUMBER(SEARCH(","&amp;TRIM(TEXTSPLIT(CA31,","))&amp;",",","&amp;SUBSTITUTE(input_enews_announcement_type," ","")&amp;",")))&gt;0)),IF(CC31="",TRUE,IF(input_enews_announcement_type="",FALSE,SUMPRODUCT(--ISNUMBER(SEARCH(","&amp;TRIM(TEXTSPLIT(CC31,","))&amp;",",","&amp;SUBSTITUTE(input_enews_announcement_type," ","")&amp;",")))=COUNTA(TEXTSPLIT(CC31,",")))))</f>
        <v/>
      </c>
      <c r="JA31">
        <f>AND(IF(CE31="",TRUE,IF(input_enews_audience="",FALSE,SUMPRODUCT(--ISNUMBER(SEARCH(","&amp;TRIM(TEXTSPLIT(CE31,","))&amp;",",","&amp;SUBSTITUTE(input_enews_audience," ","")&amp;",")))&gt;0)),IF(CG31="",TRUE,IF(input_enews_audience="",FALSE,SUMPRODUCT(--ISNUMBER(SEARCH(","&amp;TRIM(TEXTSPLIT(CG31,","))&amp;",",","&amp;SUBSTITUTE(input_enews_audience," ","")&amp;",")))=COUNTA(TEXTSPLIT(CG31,",")))),IF(CI31="",TRUE,IF(input_enews_audience="",TRUE,SUMPRODUCT(--ISNUMBER(SEARCH(","&amp;TRIM(TEXTSPLIT(CI31,","))&amp;",",","&amp;SUBSTITUTE(input_enews_audience," ","")&amp;",")))=0)),IF(CK31="",TRUE,IF(input_enews_audience="",FALSE,SUMPRODUCT(--ISNUMBER(SEARCH(","&amp;TRIM(TEXTSPLIT(CK31,","))&amp;",",","&amp;SUBSTITUTE(input_enews_audience," ","")&amp;",")))&gt;0)),IF(CM31="",TRUE,IF(input_enews_audience="",FALSE,SUMPRODUCT(--ISNUMBER(SEARCH(","&amp;TRIM(TEXTSPLIT(CM31,","))&amp;",",","&amp;SUBSTITUTE(input_enews_audience," ","")&amp;",")))=COUNTA(TEXTSPLIT(CM31,",")))))</f>
        <v/>
      </c>
      <c r="JB31">
        <f>AND(IF(CO31="",TRUE,IF(input_event_location="",FALSE,SUMPRODUCT(--ISNUMBER(SEARCH(","&amp;TRIM(TEXTSPLIT(CO31,","))&amp;",",","&amp;SUBSTITUTE(input_event_location," ","")&amp;",")))&gt;0)),IF(CQ31="",TRUE,IF(input_event_location="",FALSE,SUMPRODUCT(--ISNUMBER(SEARCH(","&amp;TRIM(TEXTSPLIT(CQ31,","))&amp;",",","&amp;SUBSTITUTE(input_event_location," ","")&amp;",")))=COUNTA(TEXTSPLIT(CQ31,",")))),IF(CS31="",TRUE,IF(input_event_location="",TRUE,SUMPRODUCT(--ISNUMBER(SEARCH(","&amp;TRIM(TEXTSPLIT(CS31,","))&amp;",",","&amp;SUBSTITUTE(input_event_location," ","")&amp;",")))=0)),IF(CU31="",TRUE,IF(input_event_location="",FALSE,SUMPRODUCT(--ISNUMBER(SEARCH(","&amp;TRIM(TEXTSPLIT(CU31,","))&amp;",",","&amp;SUBSTITUTE(input_event_location," ","")&amp;",")))&gt;0)),IF(CW31="",TRUE,IF(input_event_location="",FALSE,SUMPRODUCT(--ISNUMBER(SEARCH(","&amp;TRIM(TEXTSPLIT(CW31,","))&amp;",",","&amp;SUBSTITUTE(input_event_location," ","")&amp;",")))=COUNTA(TEXTSPLIT(CW31,",")))))</f>
        <v/>
      </c>
      <c r="JC31">
        <f>AND(IF(CY31="",TRUE,IF(input_event_type="",FALSE,SUMPRODUCT(--ISNUMBER(SEARCH(","&amp;TRIM(TEXTSPLIT(CY31,","))&amp;",",","&amp;SUBSTITUTE(input_event_type," ","")&amp;",")))&gt;0)),IF(DA31="",TRUE,IF(input_event_type="",FALSE,SUMPRODUCT(--ISNUMBER(SEARCH(","&amp;TRIM(TEXTSPLIT(DA31,","))&amp;",",","&amp;SUBSTITUTE(input_event_type," ","")&amp;",")))=COUNTA(TEXTSPLIT(DA31,",")))),IF(DC31="",TRUE,IF(input_event_type="",TRUE,SUMPRODUCT(--ISNUMBER(SEARCH(","&amp;TRIM(TEXTSPLIT(DC31,","))&amp;",",","&amp;SUBSTITUTE(input_event_type," ","")&amp;",")))=0)),IF(DE31="",TRUE,IF(input_event_type="",FALSE,SUMPRODUCT(--ISNUMBER(SEARCH(","&amp;TRIM(TEXTSPLIT(DE31,","))&amp;",",","&amp;SUBSTITUTE(input_event_type," ","")&amp;",")))&gt;0)),IF(DG31="",TRUE,IF(input_event_type="",FALSE,SUMPRODUCT(--ISNUMBER(SEARCH(","&amp;TRIM(TEXTSPLIT(DG31,","))&amp;",",","&amp;SUBSTITUTE(input_event_type," ","")&amp;",")))=COUNTA(TEXTSPLIT(DG31,",")))))</f>
        <v/>
      </c>
      <c r="JD31">
        <f>AND(IF(DI31="",TRUE,IF(input_executive_education_focus="",FALSE,SUMPRODUCT(--ISNUMBER(SEARCH(","&amp;TRIM(TEXTSPLIT(DI31,","))&amp;",",","&amp;SUBSTITUTE(input_executive_education_focus," ","")&amp;",")))&gt;0)),IF(DK31="",TRUE,IF(input_executive_education_focus="",FALSE,SUMPRODUCT(--ISNUMBER(SEARCH(","&amp;TRIM(TEXTSPLIT(DK31,","))&amp;",",","&amp;SUBSTITUTE(input_executive_education_focus," ","")&amp;",")))=COUNTA(TEXTSPLIT(DK31,",")))),IF(DM31="",TRUE,IF(input_executive_education_focus="",TRUE,SUMPRODUCT(--ISNUMBER(SEARCH(","&amp;TRIM(TEXTSPLIT(DM31,","))&amp;",",","&amp;SUBSTITUTE(input_executive_education_focus," ","")&amp;",")))=0)),IF(DO31="",TRUE,IF(input_executive_education_focus="",FALSE,SUMPRODUCT(--ISNUMBER(SEARCH(","&amp;TRIM(TEXTSPLIT(DO31,","))&amp;",",","&amp;SUBSTITUTE(input_executive_education_focus," ","")&amp;",")))&gt;0)),IF(DQ31="",TRUE,IF(input_executive_education_focus="",FALSE,SUMPRODUCT(--ISNUMBER(SEARCH(","&amp;TRIM(TEXTSPLIT(DQ31,","))&amp;",",","&amp;SUBSTITUTE(input_executive_education_focus," ","")&amp;",")))=COUNTA(TEXTSPLIT(DQ31,",")))))</f>
        <v/>
      </c>
      <c r="JE31">
        <f>AND(IF(DS31="",TRUE,IF(input_faculty_category="",FALSE,SUMPRODUCT(--ISNUMBER(SEARCH(","&amp;TRIM(TEXTSPLIT(DS31,","))&amp;",",","&amp;SUBSTITUTE(input_faculty_category," ","")&amp;",")))&gt;0)),IF(DU31="",TRUE,IF(input_faculty_category="",FALSE,SUMPRODUCT(--ISNUMBER(SEARCH(","&amp;TRIM(TEXTSPLIT(DU31,","))&amp;",",","&amp;SUBSTITUTE(input_faculty_category," ","")&amp;",")))=COUNTA(TEXTSPLIT(DU31,",")))),IF(DW31="",TRUE,IF(input_faculty_category="",TRUE,SUMPRODUCT(--ISNUMBER(SEARCH(","&amp;TRIM(TEXTSPLIT(DW31,","))&amp;",",","&amp;SUBSTITUTE(input_faculty_category," ","")&amp;",")))=0)),IF(DY31="",TRUE,IF(input_faculty_category="",FALSE,SUMPRODUCT(--ISNUMBER(SEARCH(","&amp;TRIM(TEXTSPLIT(DY31,","))&amp;",",","&amp;SUBSTITUTE(input_faculty_category," ","")&amp;",")))&gt;0)),IF(EA31="",TRUE,IF(input_faculty_category="",FALSE,SUMPRODUCT(--ISNUMBER(SEARCH(","&amp;TRIM(TEXTSPLIT(EA31,","))&amp;",",","&amp;SUBSTITUTE(input_faculty_category," ","")&amp;",")))=COUNTA(TEXTSPLIT(EA31,",")))))</f>
        <v/>
      </c>
      <c r="JF31">
        <f>AND(IF(EC31="",TRUE,IF(input_faculty_discipline="",FALSE,SUMPRODUCT(--ISNUMBER(SEARCH(","&amp;TRIM(TEXTSPLIT(EC31,","))&amp;",",","&amp;SUBSTITUTE(input_faculty_discipline," ","")&amp;",")))&gt;0)),IF(EE31="",TRUE,IF(input_faculty_discipline="",FALSE,SUMPRODUCT(--ISNUMBER(SEARCH(","&amp;TRIM(TEXTSPLIT(EE31,","))&amp;",",","&amp;SUBSTITUTE(input_faculty_discipline," ","")&amp;",")))=COUNTA(TEXTSPLIT(EE31,",")))),IF(EG31="",TRUE,IF(input_faculty_discipline="",TRUE,SUMPRODUCT(--ISNUMBER(SEARCH(","&amp;TRIM(TEXTSPLIT(EG31,","))&amp;",",","&amp;SUBSTITUTE(input_faculty_discipline," ","")&amp;",")))=0)),IF(EI31="",TRUE,IF(input_faculty_discipline="",FALSE,SUMPRODUCT(--ISNUMBER(SEARCH(","&amp;TRIM(TEXTSPLIT(EI31,","))&amp;",",","&amp;SUBSTITUTE(input_faculty_discipline," ","")&amp;",")))&gt;0)),IF(EK31="",TRUE,IF(input_faculty_discipline="",FALSE,SUMPRODUCT(--ISNUMBER(SEARCH(","&amp;TRIM(TEXTSPLIT(EK31,","))&amp;",",","&amp;SUBSTITUTE(input_faculty_discipline," ","")&amp;",")))=COUNTA(TEXTSPLIT(EK31,",")))))</f>
        <v/>
      </c>
      <c r="JG31">
        <f>AND(IF(EM31="",TRUE,IF(input_faculty_expertise="",FALSE,SUMPRODUCT(--ISNUMBER(SEARCH(","&amp;TRIM(TEXTSPLIT(EM31,","))&amp;",",","&amp;SUBSTITUTE(input_faculty_expertise," ","")&amp;",")))&gt;0)),IF(EO31="",TRUE,IF(input_faculty_expertise="",FALSE,SUMPRODUCT(--ISNUMBER(SEARCH(","&amp;TRIM(TEXTSPLIT(EO31,","))&amp;",",","&amp;SUBSTITUTE(input_faculty_expertise," ","")&amp;",")))=COUNTA(TEXTSPLIT(EO31,",")))),IF(EQ31="",TRUE,IF(input_faculty_expertise="",TRUE,SUMPRODUCT(--ISNUMBER(SEARCH(","&amp;TRIM(TEXTSPLIT(EQ31,","))&amp;",",","&amp;SUBSTITUTE(input_faculty_expertise," ","")&amp;",")))=0)),IF(ES31="",TRUE,IF(input_faculty_expertise="",FALSE,SUMPRODUCT(--ISNUMBER(SEARCH(","&amp;TRIM(TEXTSPLIT(ES31,","))&amp;",",","&amp;SUBSTITUTE(input_faculty_expertise," ","")&amp;",")))&gt;0)),IF(EU31="",TRUE,IF(input_faculty_expertise="",FALSE,SUMPRODUCT(--ISNUMBER(SEARCH(","&amp;TRIM(TEXTSPLIT(EU31,","))&amp;",",","&amp;SUBSTITUTE(input_faculty_expertise," ","")&amp;",")))=COUNTA(TEXTSPLIT(EU31,",")))))</f>
        <v/>
      </c>
      <c r="JH31">
        <f>AND(IF(EW31="",TRUE,IF(input_global_network_school="",FALSE,SUMPRODUCT(--ISNUMBER(SEARCH(","&amp;TRIM(TEXTSPLIT(EW31,","))&amp;",",","&amp;SUBSTITUTE(input_global_network_school," ","")&amp;",")))&gt;0)),IF(EY31="",TRUE,IF(input_global_network_school="",FALSE,SUMPRODUCT(--ISNUMBER(SEARCH(","&amp;TRIM(TEXTSPLIT(EY31,","))&amp;",",","&amp;SUBSTITUTE(input_global_network_school," ","")&amp;",")))=COUNTA(TEXTSPLIT(EY31,",")))),IF(FA31="",TRUE,IF(input_global_network_school="",TRUE,SUMPRODUCT(--ISNUMBER(SEARCH(","&amp;TRIM(TEXTSPLIT(FA31,","))&amp;",",","&amp;SUBSTITUTE(input_global_network_school," ","")&amp;",")))=0)),IF(FC31="",TRUE,IF(input_global_network_school="",FALSE,SUMPRODUCT(--ISNUMBER(SEARCH(","&amp;TRIM(TEXTSPLIT(FC31,","))&amp;",",","&amp;SUBSTITUTE(input_global_network_school," ","")&amp;",")))&gt;0)),IF(FE31="",TRUE,IF(input_global_network_school="",FALSE,SUMPRODUCT(--ISNUMBER(SEARCH(","&amp;TRIM(TEXTSPLIT(FE31,","))&amp;",",","&amp;SUBSTITUTE(input_global_network_school," ","")&amp;",")))=COUNTA(TEXTSPLIT(FE31,",")))))</f>
        <v/>
      </c>
      <c r="JI31">
        <f>AND(IF(FG31="",TRUE,IF(input_industry="",FALSE,SUMPRODUCT(--ISNUMBER(SEARCH(","&amp;TRIM(TEXTSPLIT(FG31,","))&amp;",",","&amp;SUBSTITUTE(input_industry," ","")&amp;",")))&gt;0)),IF(FI31="",TRUE,IF(input_industry="",FALSE,SUMPRODUCT(--ISNUMBER(SEARCH(","&amp;TRIM(TEXTSPLIT(FI31,","))&amp;",",","&amp;SUBSTITUTE(input_industry," ","")&amp;",")))=COUNTA(TEXTSPLIT(FI31,",")))),IF(FK31="",TRUE,IF(input_industry="",TRUE,SUMPRODUCT(--ISNUMBER(SEARCH(","&amp;TRIM(TEXTSPLIT(FK31,","))&amp;",",","&amp;SUBSTITUTE(input_industry," ","")&amp;",")))=0)),IF(FM31="",TRUE,IF(input_industry="",FALSE,SUMPRODUCT(--ISNUMBER(SEARCH(","&amp;TRIM(TEXTSPLIT(FM31,","))&amp;",",","&amp;SUBSTITUTE(input_industry," ","")&amp;",")))&gt;0)),IF(FO31="",TRUE,IF(input_industry="",FALSE,SUMPRODUCT(--ISNUMBER(SEARCH(","&amp;TRIM(TEXTSPLIT(FO31,","))&amp;",",","&amp;SUBSTITUTE(input_industry," ","")&amp;",")))=COUNTA(TEXTSPLIT(FO31,",")))))</f>
        <v/>
      </c>
      <c r="JJ31">
        <f>AND(IF(FQ31="",TRUE,IF(input_location="",FALSE,SUMPRODUCT(--ISNUMBER(SEARCH(","&amp;TRIM(TEXTSPLIT(FQ31,","))&amp;",",","&amp;SUBSTITUTE(input_location," ","")&amp;",")))&gt;0)),IF(FS31="",TRUE,IF(input_location="",FALSE,SUMPRODUCT(--ISNUMBER(SEARCH(","&amp;TRIM(TEXTSPLIT(FS31,","))&amp;",",","&amp;SUBSTITUTE(input_location," ","")&amp;",")))=COUNTA(TEXTSPLIT(FS31,",")))),IF(FU31="",TRUE,IF(input_location="",TRUE,SUMPRODUCT(--ISNUMBER(SEARCH(","&amp;TRIM(TEXTSPLIT(FU31,","))&amp;",",","&amp;SUBSTITUTE(input_location," ","")&amp;",")))=0)),IF(FW31="",TRUE,IF(input_location="",FALSE,SUMPRODUCT(--ISNUMBER(SEARCH(","&amp;TRIM(TEXTSPLIT(FW31,","))&amp;",",","&amp;SUBSTITUTE(input_location," ","")&amp;",")))&gt;0)),IF(FY31="",TRUE,IF(input_location="",FALSE,SUMPRODUCT(--ISNUMBER(SEARCH(","&amp;TRIM(TEXTSPLIT(FY31,","))&amp;",",","&amp;SUBSTITUTE(input_location," ","")&amp;",")))=COUNTA(TEXTSPLIT(FY31,",")))))</f>
        <v/>
      </c>
      <c r="JK31">
        <f>AND(IF(GA31="",TRUE,IF(input_modality="",FALSE,SUMPRODUCT(--ISNUMBER(SEARCH(","&amp;TRIM(TEXTSPLIT(GA31,","))&amp;",",","&amp;SUBSTITUTE(input_modality," ","")&amp;",")))&gt;0)),IF(GC31="",TRUE,IF(input_modality="",FALSE,SUMPRODUCT(--ISNUMBER(SEARCH(","&amp;TRIM(TEXTSPLIT(GC31,","))&amp;",",","&amp;SUBSTITUTE(input_modality," ","")&amp;",")))=COUNTA(TEXTSPLIT(GC31,",")))),IF(GE31="",TRUE,IF(input_modality="",TRUE,SUMPRODUCT(--ISNUMBER(SEARCH(","&amp;TRIM(TEXTSPLIT(GE31,","))&amp;",",","&amp;SUBSTITUTE(input_modality," ","")&amp;",")))=0)),IF(GG31="",TRUE,IF(input_modality="",FALSE,SUMPRODUCT(--ISNUMBER(SEARCH(","&amp;TRIM(TEXTSPLIT(GG31,","))&amp;",",","&amp;SUBSTITUTE(input_modality," ","")&amp;",")))&gt;0)),IF(GI31="",TRUE,IF(input_modality="",FALSE,SUMPRODUCT(--ISNUMBER(SEARCH(","&amp;TRIM(TEXTSPLIT(GI31,","))&amp;",",","&amp;SUBSTITUTE(input_modality," ","")&amp;",")))=COUNTA(TEXTSPLIT(GI31,",")))))</f>
        <v/>
      </c>
      <c r="JL31">
        <f>AND(IF(GK31="",TRUE,IF(input_organizer="",FALSE,SUMPRODUCT(--ISNUMBER(SEARCH(","&amp;TRIM(TEXTSPLIT(GK31,","))&amp;",",","&amp;SUBSTITUTE(input_organizer," ","")&amp;",")))&gt;0)),IF(GM31="",TRUE,IF(input_organizer="",FALSE,SUMPRODUCT(--ISNUMBER(SEARCH(","&amp;TRIM(TEXTSPLIT(GM31,","))&amp;",",","&amp;SUBSTITUTE(input_organizer," ","")&amp;",")))=COUNTA(TEXTSPLIT(GM31,",")))),IF(GO31="",TRUE,IF(input_organizer="",TRUE,SUMPRODUCT(--ISNUMBER(SEARCH(","&amp;TRIM(TEXTSPLIT(GO31,","))&amp;",",","&amp;SUBSTITUTE(input_organizer," ","")&amp;",")))=0)),IF(GQ31="",TRUE,IF(input_organizer="",FALSE,SUMPRODUCT(--ISNUMBER(SEARCH(","&amp;TRIM(TEXTSPLIT(GQ31,","))&amp;",",","&amp;SUBSTITUTE(input_organizer," ","")&amp;",")))&gt;0)),IF(GS31="",TRUE,IF(input_organizer="",FALSE,SUMPRODUCT(--ISNUMBER(SEARCH(","&amp;TRIM(TEXTSPLIT(GS31,","))&amp;",",","&amp;SUBSTITUTE(input_organizer," ","")&amp;",")))=COUNTA(TEXTSPLIT(GS31,",")))))</f>
        <v/>
      </c>
      <c r="JM31">
        <f>AND(IF(GU31="",TRUE,IF(input_profile_type="",FALSE,SUMPRODUCT(--ISNUMBER(SEARCH(","&amp;TRIM(TEXTSPLIT(GU31,","))&amp;",",","&amp;SUBSTITUTE(input_profile_type," ","")&amp;",")))&gt;0)),IF(GW31="",TRUE,IF(input_profile_type="",FALSE,SUMPRODUCT(--ISNUMBER(SEARCH(","&amp;TRIM(TEXTSPLIT(GW31,","))&amp;",",","&amp;SUBSTITUTE(input_profile_type," ","")&amp;",")))=COUNTA(TEXTSPLIT(GW31,",")))),IF(GY31="",TRUE,IF(input_profile_type="",TRUE,SUMPRODUCT(--ISNUMBER(SEARCH(","&amp;TRIM(TEXTSPLIT(GY31,","))&amp;",",","&amp;SUBSTITUTE(input_profile_type," ","")&amp;",")))=0)),IF(HA31="",TRUE,IF(input_profile_type="",FALSE,SUMPRODUCT(--ISNUMBER(SEARCH(","&amp;TRIM(TEXTSPLIT(HA31,","))&amp;",",","&amp;SUBSTITUTE(input_profile_type," ","")&amp;",")))&gt;0)),IF(HC31="",TRUE,IF(input_profile_type="",FALSE,SUMPRODUCT(--ISNUMBER(SEARCH(","&amp;TRIM(TEXTSPLIT(HC31,","))&amp;",",","&amp;SUBSTITUTE(input_profile_type," ","")&amp;",")))=COUNTA(TEXTSPLIT(HC31,",")))))</f>
        <v/>
      </c>
      <c r="JN31">
        <f>AND(IF(HE31="",TRUE,IF(input_program="",FALSE,SUMPRODUCT(--ISNUMBER(SEARCH(","&amp;TRIM(TEXTSPLIT(HE31,","))&amp;",",","&amp;SUBSTITUTE(input_program," ","")&amp;",")))&gt;0)),IF(HG31="",TRUE,IF(input_program="",FALSE,SUMPRODUCT(--ISNUMBER(SEARCH(","&amp;TRIM(TEXTSPLIT(HG31,","))&amp;",",","&amp;SUBSTITUTE(input_program," ","")&amp;",")))=COUNTA(TEXTSPLIT(HG31,",")))),IF(HI31="",TRUE,IF(input_program="",TRUE,SUMPRODUCT(--ISNUMBER(SEARCH(","&amp;TRIM(TEXTSPLIT(HI31,","))&amp;",",","&amp;SUBSTITUTE(input_program," ","")&amp;",")))=0)),IF(HK31="",TRUE,IF(input_program="",FALSE,SUMPRODUCT(--ISNUMBER(SEARCH(","&amp;TRIM(TEXTSPLIT(HK31,","))&amp;",",","&amp;SUBSTITUTE(input_program," ","")&amp;",")))&gt;0)),IF(HM31="",TRUE,IF(input_program="",FALSE,SUMPRODUCT(--ISNUMBER(SEARCH(","&amp;TRIM(TEXTSPLIT(HM31,","))&amp;",",","&amp;SUBSTITUTE(input_program," ","")&amp;",")))=COUNTA(TEXTSPLIT(HM31,",")))))</f>
        <v/>
      </c>
      <c r="JO31">
        <f>AND(IF(HO31="",TRUE,IF(input_story_categories="",FALSE,SUMPRODUCT(--ISNUMBER(SEARCH(","&amp;TRIM(TEXTSPLIT(HO31,","))&amp;",",","&amp;SUBSTITUTE(input_story_categories," ","")&amp;",")))&gt;0)),IF(HQ31="",TRUE,IF(input_story_categories="",FALSE,SUMPRODUCT(--ISNUMBER(SEARCH(","&amp;TRIM(TEXTSPLIT(HQ31,","))&amp;",",","&amp;SUBSTITUTE(input_story_categories," ","")&amp;",")))=COUNTA(TEXTSPLIT(HQ31,",")))),IF(HS31="",TRUE,IF(input_story_categories="",TRUE,SUMPRODUCT(--ISNUMBER(SEARCH(","&amp;TRIM(TEXTSPLIT(HS31,","))&amp;",",","&amp;SUBSTITUTE(input_story_categories," ","")&amp;",")))=0)),IF(HU31="",TRUE,IF(input_story_categories="",FALSE,SUMPRODUCT(--ISNUMBER(SEARCH(","&amp;TRIM(TEXTSPLIT(HU31,","))&amp;",",","&amp;SUBSTITUTE(input_story_categories," ","")&amp;",")))&gt;0)),IF(HW31="",TRUE,IF(input_story_categories="",FALSE,SUMPRODUCT(--ISNUMBER(SEARCH(","&amp;TRIM(TEXTSPLIT(HW31,","))&amp;",",","&amp;SUBSTITUTE(input_story_categories," ","")&amp;",")))=COUNTA(TEXTSPLIT(HW31,",")))))</f>
        <v/>
      </c>
      <c r="JP31">
        <f>AND(IF(HY31="",TRUE,IF(input_story_type="",FALSE,SUMPRODUCT(--ISNUMBER(SEARCH(","&amp;TRIM(TEXTSPLIT(HY31,","))&amp;",",","&amp;SUBSTITUTE(input_story_type," ","")&amp;",")))&gt;0)),IF(IA31="",TRUE,IF(input_story_type="",FALSE,SUMPRODUCT(--ISNUMBER(SEARCH(","&amp;TRIM(TEXTSPLIT(IA31,","))&amp;",",","&amp;SUBSTITUTE(input_story_type," ","")&amp;",")))=COUNTA(TEXTSPLIT(IA31,",")))),IF(IC31="",TRUE,IF(input_story_type="",TRUE,SUMPRODUCT(--ISNUMBER(SEARCH(","&amp;TRIM(TEXTSPLIT(IC31,","))&amp;",",","&amp;SUBSTITUTE(input_story_type," ","")&amp;",")))=0)),IF(IE31="",TRUE,IF(input_story_type="",FALSE,SUMPRODUCT(--ISNUMBER(SEARCH(","&amp;TRIM(TEXTSPLIT(IE31,","))&amp;",",","&amp;SUBSTITUTE(input_story_type," ","")&amp;",")))&gt;0)),IF(IG31="",TRUE,IF(input_story_type="",FALSE,SUMPRODUCT(--ISNUMBER(SEARCH(","&amp;TRIM(TEXTSPLIT(IG31,","))&amp;",",","&amp;SUBSTITUTE(input_story_type," ","")&amp;",")))=COUNTA(TEXTSPLIT(IG31,",")))))</f>
        <v/>
      </c>
      <c r="JQ31">
        <f>AND(IF(II31="",TRUE,IF(input_topics="",FALSE,SUMPRODUCT(--ISNUMBER(SEARCH(","&amp;TRIM(TEXTSPLIT(II31,","))&amp;",",","&amp;SUBSTITUTE(input_topics," ","")&amp;",")))&gt;0)),IF(IK31="",TRUE,IF(input_topics="",FALSE,SUMPRODUCT(--ISNUMBER(SEARCH(","&amp;TRIM(TEXTSPLIT(IK31,","))&amp;",",","&amp;SUBSTITUTE(input_topics," ","")&amp;",")))=COUNTA(TEXTSPLIT(IK31,",")))),IF(IM31="",TRUE,IF(input_topics="",TRUE,SUMPRODUCT(--ISNUMBER(SEARCH(","&amp;TRIM(TEXTSPLIT(IM31,","))&amp;",",","&amp;SUBSTITUTE(input_topics," ","")&amp;",")))=0)),IF(IO31="",TRUE,IF(input_topics="",FALSE,SUMPRODUCT(--ISNUMBER(SEARCH(","&amp;TRIM(TEXTSPLIT(IO31,","))&amp;",",","&amp;SUBSTITUTE(input_topics," ","")&amp;",")))&gt;0)),IF(IQ31="",TRUE,IF(input_topics="",FALSE,SUMPRODUCT(--ISNUMBER(SEARCH(","&amp;TRIM(TEXTSPLIT(IQ31,","))&amp;",",","&amp;SUBSTITUTE(input_topics," ","")&amp;",")))=COUNTA(TEXTSPLIT(IQ31,",")))))</f>
        <v/>
      </c>
    </row>
    <row r="32">
      <c r="A32" s="4">
        <f>IF(NOT(IS32),"Excluded",IF(AND(IT32,IU32,IV32,IW32,IX32,IY32,IZ32,JA32,JB32,JC32,JD32,JE32,JF32,JG32,JH32,JI32,JJ32,JK32,JL32,JM32,JN32,JO32,JP32,JQ32),IF(I32&gt;0,"Eligible but limited","Will appear"),"Excluded"))</f>
        <v/>
      </c>
      <c r="B32" s="4" t="inlineStr">
        <is>
          <t>All Publications by Author</t>
        </is>
      </c>
      <c r="C32" s="4" t="inlineStr">
        <is>
          <t>/faculty-research/faculty-directory/james-n-baron</t>
        </is>
      </c>
      <c r="D32" s="4" t="inlineStr">
        <is>
          <t>/faculty-research/faculty-directory/james-n-baron</t>
        </is>
      </c>
      <c r="E32" s="4" t="n">
        <v>1</v>
      </c>
      <c r="F32" s="4" t="inlineStr">
        <is>
          <t>publications</t>
        </is>
      </c>
      <c r="G32" s="4" t="inlineStr">
        <is>
          <t>publication_teaser_list</t>
        </is>
      </c>
      <c r="H32" s="4" t="inlineStr">
        <is>
          <t>publication_teaser_list_all_by_author</t>
        </is>
      </c>
      <c r="I32" s="4" t="inlineStr"/>
      <c r="J32" s="4" t="inlineStr">
        <is>
          <t>View/config rules</t>
        </is>
      </c>
      <c r="K32" s="4" t="inlineStr">
        <is>
          <t>Page placement</t>
        </is>
      </c>
      <c r="L32" s="4" t="inlineStr">
        <is>
          <t>Content type: publications; Source: View/config rules</t>
        </is>
      </c>
      <c r="M32" t="inlineStr"/>
      <c r="N32" t="inlineStr"/>
      <c r="O32" t="inlineStr"/>
      <c r="P32" t="inlineStr"/>
      <c r="Q32" t="inlineStr"/>
      <c r="R32" t="inlineStr"/>
      <c r="S32" t="inlineStr"/>
      <c r="T32" t="inlineStr"/>
      <c r="U32" t="inlineStr"/>
      <c r="V32" t="inlineStr"/>
      <c r="W32" t="inlineStr"/>
      <c r="X32" t="inlineStr"/>
      <c r="Y32" t="inlineStr"/>
      <c r="Z32" t="inlineStr"/>
      <c r="AA32" t="inlineStr"/>
      <c r="AB32" t="inlineStr"/>
      <c r="AC32" t="inlineStr"/>
      <c r="AD32" t="inlineStr"/>
      <c r="AE32" t="inlineStr"/>
      <c r="AF32" t="inlineStr"/>
      <c r="AG32" t="inlineStr"/>
      <c r="AH32" t="inlineStr"/>
      <c r="AI32" t="inlineStr"/>
      <c r="AJ32" t="inlineStr"/>
      <c r="AK32" t="inlineStr"/>
      <c r="AL32" t="inlineStr"/>
      <c r="AM32" t="inlineStr"/>
      <c r="AN32" t="inlineStr"/>
      <c r="AO32" t="inlineStr"/>
      <c r="AP32" t="inlineStr"/>
      <c r="AQ32" t="inlineStr"/>
      <c r="AR32" t="inlineStr"/>
      <c r="AS32" t="inlineStr"/>
      <c r="AT32" t="inlineStr"/>
      <c r="AU32" t="inlineStr"/>
      <c r="AV32" t="inlineStr"/>
      <c r="AW32" t="inlineStr"/>
      <c r="AX32" t="inlineStr"/>
      <c r="AY32" t="inlineStr"/>
      <c r="AZ32" t="inlineStr"/>
      <c r="BA32" t="inlineStr"/>
      <c r="BB32" t="inlineStr"/>
      <c r="BC32" t="inlineStr"/>
      <c r="BD32" t="inlineStr"/>
      <c r="BE32" t="inlineStr"/>
      <c r="BF32" t="inlineStr"/>
      <c r="BG32" t="inlineStr"/>
      <c r="BH32" t="inlineStr"/>
      <c r="BI32" t="inlineStr"/>
      <c r="BJ32" t="inlineStr"/>
      <c r="BK32" t="inlineStr"/>
      <c r="BL32" t="inlineStr"/>
      <c r="BM32" t="inlineStr"/>
      <c r="BN32" t="inlineStr"/>
      <c r="BO32" t="inlineStr"/>
      <c r="BP32" t="inlineStr"/>
      <c r="BQ32" t="inlineStr"/>
      <c r="BR32" t="inlineStr"/>
      <c r="BS32" t="inlineStr"/>
      <c r="BT32" t="inlineStr"/>
      <c r="BU32" t="inlineStr"/>
      <c r="BV32" t="inlineStr"/>
      <c r="BW32" t="inlineStr"/>
      <c r="BX32" t="inlineStr"/>
      <c r="BY32" t="inlineStr"/>
      <c r="BZ32" t="inlineStr"/>
      <c r="CA32" t="inlineStr"/>
      <c r="CB32" t="inlineStr"/>
      <c r="CC32" t="inlineStr"/>
      <c r="CD32" t="inlineStr"/>
      <c r="CE32" t="inlineStr"/>
      <c r="CF32" t="inlineStr"/>
      <c r="CG32" t="inlineStr"/>
      <c r="CH32" t="inlineStr"/>
      <c r="CI32" t="inlineStr"/>
      <c r="CJ32" t="inlineStr"/>
      <c r="CK32" t="inlineStr"/>
      <c r="CL32" t="inlineStr"/>
      <c r="CM32" t="inlineStr"/>
      <c r="CN32" t="inlineStr"/>
      <c r="CO32" t="inlineStr"/>
      <c r="CP32" t="inlineStr"/>
      <c r="CQ32" t="inlineStr"/>
      <c r="CR32" t="inlineStr"/>
      <c r="CS32" t="inlineStr"/>
      <c r="CT32" t="inlineStr"/>
      <c r="CU32" t="inlineStr"/>
      <c r="CV32" t="inlineStr"/>
      <c r="CW32" t="inlineStr"/>
      <c r="CX32" t="inlineStr"/>
      <c r="CY32" t="inlineStr"/>
      <c r="CZ32" t="inlineStr"/>
      <c r="DA32" t="inlineStr"/>
      <c r="DB32" t="inlineStr"/>
      <c r="DC32" t="inlineStr"/>
      <c r="DD32" t="inlineStr"/>
      <c r="DE32" t="inlineStr"/>
      <c r="DF32" t="inlineStr"/>
      <c r="DG32" t="inlineStr"/>
      <c r="DH32" t="inlineStr"/>
      <c r="DI32" t="inlineStr"/>
      <c r="DJ32" t="inlineStr"/>
      <c r="DK32" t="inlineStr"/>
      <c r="DL32" t="inlineStr"/>
      <c r="DM32" t="inlineStr"/>
      <c r="DN32" t="inlineStr"/>
      <c r="DO32" t="inlineStr"/>
      <c r="DP32" t="inlineStr"/>
      <c r="DQ32" t="inlineStr"/>
      <c r="DR32" t="inlineStr"/>
      <c r="DS32" t="inlineStr"/>
      <c r="DT32" t="inlineStr"/>
      <c r="DU32" t="inlineStr"/>
      <c r="DV32" t="inlineStr"/>
      <c r="DW32" t="inlineStr"/>
      <c r="DX32" t="inlineStr"/>
      <c r="DY32" t="inlineStr"/>
      <c r="DZ32" t="inlineStr"/>
      <c r="EA32" t="inlineStr"/>
      <c r="EB32" t="inlineStr"/>
      <c r="EC32" t="inlineStr"/>
      <c r="ED32" t="inlineStr"/>
      <c r="EE32" t="inlineStr"/>
      <c r="EF32" t="inlineStr"/>
      <c r="EG32" t="inlineStr"/>
      <c r="EH32" t="inlineStr"/>
      <c r="EI32" t="inlineStr"/>
      <c r="EJ32" t="inlineStr"/>
      <c r="EK32" t="inlineStr"/>
      <c r="EL32" t="inlineStr"/>
      <c r="EM32" t="inlineStr"/>
      <c r="EN32" t="inlineStr"/>
      <c r="EO32" t="inlineStr"/>
      <c r="EP32" t="inlineStr"/>
      <c r="EQ32" t="inlineStr"/>
      <c r="ER32" t="inlineStr"/>
      <c r="ES32" t="inlineStr"/>
      <c r="ET32" t="inlineStr"/>
      <c r="EU32" t="inlineStr"/>
      <c r="EV32" t="inlineStr"/>
      <c r="EW32" t="inlineStr"/>
      <c r="EX32" t="inlineStr"/>
      <c r="EY32" t="inlineStr"/>
      <c r="EZ32" t="inlineStr"/>
      <c r="FA32" t="inlineStr"/>
      <c r="FB32" t="inlineStr"/>
      <c r="FC32" t="inlineStr"/>
      <c r="FD32" t="inlineStr"/>
      <c r="FE32" t="inlineStr"/>
      <c r="FF32" t="inlineStr"/>
      <c r="FG32" t="inlineStr"/>
      <c r="FH32" t="inlineStr"/>
      <c r="FI32" t="inlineStr"/>
      <c r="FJ32" t="inlineStr"/>
      <c r="FK32" t="inlineStr"/>
      <c r="FL32" t="inlineStr"/>
      <c r="FM32" t="inlineStr"/>
      <c r="FN32" t="inlineStr"/>
      <c r="FO32" t="inlineStr"/>
      <c r="FP32" t="inlineStr"/>
      <c r="FQ32" t="inlineStr"/>
      <c r="FR32" t="inlineStr"/>
      <c r="FS32" t="inlineStr"/>
      <c r="FT32" t="inlineStr"/>
      <c r="FU32" t="inlineStr"/>
      <c r="FV32" t="inlineStr"/>
      <c r="FW32" t="inlineStr"/>
      <c r="FX32" t="inlineStr"/>
      <c r="FY32" t="inlineStr"/>
      <c r="FZ32" t="inlineStr"/>
      <c r="GA32" t="inlineStr"/>
      <c r="GB32" t="inlineStr"/>
      <c r="GC32" t="inlineStr"/>
      <c r="GD32" t="inlineStr"/>
      <c r="GE32" t="inlineStr"/>
      <c r="GF32" t="inlineStr"/>
      <c r="GG32" t="inlineStr"/>
      <c r="GH32" t="inlineStr"/>
      <c r="GI32" t="inlineStr"/>
      <c r="GJ32" t="inlineStr"/>
      <c r="GK32" t="inlineStr"/>
      <c r="GL32" t="inlineStr"/>
      <c r="GM32" t="inlineStr"/>
      <c r="GN32" t="inlineStr"/>
      <c r="GO32" t="inlineStr"/>
      <c r="GP32" t="inlineStr"/>
      <c r="GQ32" t="inlineStr"/>
      <c r="GR32" t="inlineStr"/>
      <c r="GS32" t="inlineStr"/>
      <c r="GT32" t="inlineStr"/>
      <c r="GU32" t="inlineStr"/>
      <c r="GV32" t="inlineStr"/>
      <c r="GW32" t="inlineStr"/>
      <c r="GX32" t="inlineStr"/>
      <c r="GY32" t="inlineStr"/>
      <c r="GZ32" t="inlineStr"/>
      <c r="HA32" t="inlineStr"/>
      <c r="HB32" t="inlineStr"/>
      <c r="HC32" t="inlineStr"/>
      <c r="HD32" t="inlineStr"/>
      <c r="HE32" t="inlineStr"/>
      <c r="HF32" t="inlineStr"/>
      <c r="HG32" t="inlineStr"/>
      <c r="HH32" t="inlineStr"/>
      <c r="HI32" t="inlineStr"/>
      <c r="HJ32" t="inlineStr"/>
      <c r="HK32" t="inlineStr"/>
      <c r="HL32" t="inlineStr"/>
      <c r="HM32" t="inlineStr"/>
      <c r="HN32" t="inlineStr"/>
      <c r="HO32" t="inlineStr"/>
      <c r="HP32" t="inlineStr"/>
      <c r="HQ32" t="inlineStr"/>
      <c r="HR32" t="inlineStr"/>
      <c r="HS32" t="inlineStr"/>
      <c r="HT32" t="inlineStr"/>
      <c r="HU32" t="inlineStr"/>
      <c r="HV32" t="inlineStr"/>
      <c r="HW32" t="inlineStr"/>
      <c r="HX32" t="inlineStr"/>
      <c r="HY32" t="inlineStr"/>
      <c r="HZ32" t="inlineStr"/>
      <c r="IA32" t="inlineStr"/>
      <c r="IB32" t="inlineStr"/>
      <c r="IC32" t="inlineStr"/>
      <c r="ID32" t="inlineStr"/>
      <c r="IE32" t="inlineStr"/>
      <c r="IF32" t="inlineStr"/>
      <c r="IG32" t="inlineStr"/>
      <c r="IH32" t="inlineStr"/>
      <c r="II32" t="inlineStr"/>
      <c r="IJ32" t="inlineStr"/>
      <c r="IK32" t="inlineStr"/>
      <c r="IL32" t="inlineStr"/>
      <c r="IM32" t="inlineStr"/>
      <c r="IN32" t="inlineStr"/>
      <c r="IO32" t="inlineStr"/>
      <c r="IP32" t="inlineStr"/>
      <c r="IQ32" t="inlineStr"/>
      <c r="IR32" t="inlineStr"/>
      <c r="IS32">
        <f>IF(input_content_type="",FALSE,ISNUMBER(SEARCH(","&amp;LOWER(input_content_type)&amp;",",","&amp;LOWER(F32)&amp;",")))</f>
        <v/>
      </c>
      <c r="IT32">
        <f>AND(IF(M32="",TRUE,IF(input_affiliations="",FALSE,SUMPRODUCT(--ISNUMBER(SEARCH(","&amp;TRIM(TEXTSPLIT(M32,","))&amp;",",","&amp;SUBSTITUTE(input_affiliations," ","")&amp;",")))&gt;0)),IF(O32="",TRUE,IF(input_affiliations="",FALSE,SUMPRODUCT(--ISNUMBER(SEARCH(","&amp;TRIM(TEXTSPLIT(O32,","))&amp;",",","&amp;SUBSTITUTE(input_affiliations," ","")&amp;",")))=COUNTA(TEXTSPLIT(O32,",")))),IF(Q32="",TRUE,IF(input_affiliations="",TRUE,SUMPRODUCT(--ISNUMBER(SEARCH(","&amp;TRIM(TEXTSPLIT(Q32,","))&amp;",",","&amp;SUBSTITUTE(input_affiliations," ","")&amp;",")))=0)),IF(S32="",TRUE,IF(input_affiliations="",FALSE,SUMPRODUCT(--ISNUMBER(SEARCH(","&amp;TRIM(TEXTSPLIT(S32,","))&amp;",",","&amp;SUBSTITUTE(input_affiliations," ","")&amp;",")))&gt;0)),IF(U32="",TRUE,IF(input_affiliations="",FALSE,SUMPRODUCT(--ISNUMBER(SEARCH(","&amp;TRIM(TEXTSPLIT(U32,","))&amp;",",","&amp;SUBSTITUTE(input_affiliations," ","")&amp;",")))=COUNTA(TEXTSPLIT(U32,",")))))</f>
        <v/>
      </c>
      <c r="IU32">
        <f>AND(IF(W32="",TRUE,IF(input_announcement_category="",FALSE,SUMPRODUCT(--ISNUMBER(SEARCH(","&amp;TRIM(TEXTSPLIT(W32,","))&amp;",",","&amp;SUBSTITUTE(input_announcement_category," ","")&amp;",")))&gt;0)),IF(Y32="",TRUE,IF(input_announcement_category="",FALSE,SUMPRODUCT(--ISNUMBER(SEARCH(","&amp;TRIM(TEXTSPLIT(Y32,","))&amp;",",","&amp;SUBSTITUTE(input_announcement_category," ","")&amp;",")))=COUNTA(TEXTSPLIT(Y32,",")))),IF(AA32="",TRUE,IF(input_announcement_category="",TRUE,SUMPRODUCT(--ISNUMBER(SEARCH(","&amp;TRIM(TEXTSPLIT(AA32,","))&amp;",",","&amp;SUBSTITUTE(input_announcement_category," ","")&amp;",")))=0)),IF(AC32="",TRUE,IF(input_announcement_category="",FALSE,SUMPRODUCT(--ISNUMBER(SEARCH(","&amp;TRIM(TEXTSPLIT(AC32,","))&amp;",",","&amp;SUBSTITUTE(input_announcement_category," ","")&amp;",")))&gt;0)),IF(AE32="",TRUE,IF(input_announcement_category="",FALSE,SUMPRODUCT(--ISNUMBER(SEARCH(","&amp;TRIM(TEXTSPLIT(AE32,","))&amp;",",","&amp;SUBSTITUTE(input_announcement_category," ","")&amp;",")))=COUNTA(TEXTSPLIT(AE32,",")))))</f>
        <v/>
      </c>
      <c r="IV32">
        <f>AND(IF(AG32="",TRUE,IF(input_area_of_focus="",FALSE,SUMPRODUCT(--ISNUMBER(SEARCH(","&amp;TRIM(TEXTSPLIT(AG32,","))&amp;",",","&amp;SUBSTITUTE(input_area_of_focus," ","")&amp;",")))&gt;0)),IF(AI32="",TRUE,IF(input_area_of_focus="",FALSE,SUMPRODUCT(--ISNUMBER(SEARCH(","&amp;TRIM(TEXTSPLIT(AI32,","))&amp;",",","&amp;SUBSTITUTE(input_area_of_focus," ","")&amp;",")))=COUNTA(TEXTSPLIT(AI32,",")))),IF(AK32="",TRUE,IF(input_area_of_focus="",TRUE,SUMPRODUCT(--ISNUMBER(SEARCH(","&amp;TRIM(TEXTSPLIT(AK32,","))&amp;",",","&amp;SUBSTITUTE(input_area_of_focus," ","")&amp;",")))=0)),IF(AM32="",TRUE,IF(input_area_of_focus="",FALSE,SUMPRODUCT(--ISNUMBER(SEARCH(","&amp;TRIM(TEXTSPLIT(AM32,","))&amp;",",","&amp;SUBSTITUTE(input_area_of_focus," ","")&amp;",")))&gt;0)),IF(AO32="",TRUE,IF(input_area_of_focus="",FALSE,SUMPRODUCT(--ISNUMBER(SEARCH(","&amp;TRIM(TEXTSPLIT(AO32,","))&amp;",",","&amp;SUBSTITUTE(input_area_of_focus," ","")&amp;",")))=COUNTA(TEXTSPLIT(AO32,",")))))</f>
        <v/>
      </c>
      <c r="IW32">
        <f>AND(IF(AQ32="",TRUE,IF(input_audience="",FALSE,SUMPRODUCT(--ISNUMBER(SEARCH(","&amp;TRIM(TEXTSPLIT(AQ32,","))&amp;",",","&amp;SUBSTITUTE(input_audience," ","")&amp;",")))&gt;0)),IF(AS32="",TRUE,IF(input_audience="",FALSE,SUMPRODUCT(--ISNUMBER(SEARCH(","&amp;TRIM(TEXTSPLIT(AS32,","))&amp;",",","&amp;SUBSTITUTE(input_audience," ","")&amp;",")))=COUNTA(TEXTSPLIT(AS32,",")))),IF(AU32="",TRUE,IF(input_audience="",TRUE,SUMPRODUCT(--ISNUMBER(SEARCH(","&amp;TRIM(TEXTSPLIT(AU32,","))&amp;",",","&amp;SUBSTITUTE(input_audience," ","")&amp;",")))=0)),IF(AW32="",TRUE,IF(input_audience="",FALSE,SUMPRODUCT(--ISNUMBER(SEARCH(","&amp;TRIM(TEXTSPLIT(AW32,","))&amp;",",","&amp;SUBSTITUTE(input_audience," ","")&amp;",")))&gt;0)),IF(AY32="",TRUE,IF(input_audience="",FALSE,SUMPRODUCT(--ISNUMBER(SEARCH(","&amp;TRIM(TEXTSPLIT(AY32,","))&amp;",",","&amp;SUBSTITUTE(input_audience," ","")&amp;",")))=COUNTA(TEXTSPLIT(AY32,",")))))</f>
        <v/>
      </c>
      <c r="IX32">
        <f>AND(IF(BA32="",TRUE,IF(input_challenge_opportunities="",FALSE,SUMPRODUCT(--ISNUMBER(SEARCH(","&amp;TRIM(TEXTSPLIT(BA32,","))&amp;",",","&amp;SUBSTITUTE(input_challenge_opportunities," ","")&amp;",")))&gt;0)),IF(BC32="",TRUE,IF(input_challenge_opportunities="",FALSE,SUMPRODUCT(--ISNUMBER(SEARCH(","&amp;TRIM(TEXTSPLIT(BC32,","))&amp;",",","&amp;SUBSTITUTE(input_challenge_opportunities," ","")&amp;",")))=COUNTA(TEXTSPLIT(BC32,",")))),IF(BE32="",TRUE,IF(input_challenge_opportunities="",TRUE,SUMPRODUCT(--ISNUMBER(SEARCH(","&amp;TRIM(TEXTSPLIT(BE32,","))&amp;",",","&amp;SUBSTITUTE(input_challenge_opportunities," ","")&amp;",")))=0)),IF(BG32="",TRUE,IF(input_challenge_opportunities="",FALSE,SUMPRODUCT(--ISNUMBER(SEARCH(","&amp;TRIM(TEXTSPLIT(BG32,","))&amp;",",","&amp;SUBSTITUTE(input_challenge_opportunities," ","")&amp;",")))&gt;0)),IF(BI32="",TRUE,IF(input_challenge_opportunities="",FALSE,SUMPRODUCT(--ISNUMBER(SEARCH(","&amp;TRIM(TEXTSPLIT(BI32,","))&amp;",",","&amp;SUBSTITUTE(input_challenge_opportunities," ","")&amp;",")))=COUNTA(TEXTSPLIT(BI32,",")))))</f>
        <v/>
      </c>
      <c r="IY32">
        <f>AND(IF(BK32="",TRUE,IF(input_context="",FALSE,SUMPRODUCT(--ISNUMBER(SEARCH(","&amp;TRIM(TEXTSPLIT(BK32,","))&amp;",",","&amp;SUBSTITUTE(input_context," ","")&amp;",")))&gt;0)),IF(BM32="",TRUE,IF(input_context="",FALSE,SUMPRODUCT(--ISNUMBER(SEARCH(","&amp;TRIM(TEXTSPLIT(BM32,","))&amp;",",","&amp;SUBSTITUTE(input_context," ","")&amp;",")))=COUNTA(TEXTSPLIT(BM32,",")))),IF(BO32="",TRUE,IF(input_context="",TRUE,SUMPRODUCT(--ISNUMBER(SEARCH(","&amp;TRIM(TEXTSPLIT(BO32,","))&amp;",",","&amp;SUBSTITUTE(input_context," ","")&amp;",")))=0)),IF(BQ32="",TRUE,IF(input_context="",FALSE,SUMPRODUCT(--ISNUMBER(SEARCH(","&amp;TRIM(TEXTSPLIT(BQ32,","))&amp;",",","&amp;SUBSTITUTE(input_context," ","")&amp;",")))&gt;0)),IF(BS32="",TRUE,IF(input_context="",FALSE,SUMPRODUCT(--ISNUMBER(SEARCH(","&amp;TRIM(TEXTSPLIT(BS32,","))&amp;",",","&amp;SUBSTITUTE(input_context," ","")&amp;",")))=COUNTA(TEXTSPLIT(BS32,",")))))</f>
        <v/>
      </c>
      <c r="IZ32">
        <f>AND(IF(BU32="",TRUE,IF(input_enews_announcement_type="",FALSE,SUMPRODUCT(--ISNUMBER(SEARCH(","&amp;TRIM(TEXTSPLIT(BU32,","))&amp;",",","&amp;SUBSTITUTE(input_enews_announcement_type," ","")&amp;",")))&gt;0)),IF(BW32="",TRUE,IF(input_enews_announcement_type="",FALSE,SUMPRODUCT(--ISNUMBER(SEARCH(","&amp;TRIM(TEXTSPLIT(BW32,","))&amp;",",","&amp;SUBSTITUTE(input_enews_announcement_type," ","")&amp;",")))=COUNTA(TEXTSPLIT(BW32,",")))),IF(BY32="",TRUE,IF(input_enews_announcement_type="",TRUE,SUMPRODUCT(--ISNUMBER(SEARCH(","&amp;TRIM(TEXTSPLIT(BY32,","))&amp;",",","&amp;SUBSTITUTE(input_enews_announcement_type," ","")&amp;",")))=0)),IF(CA32="",TRUE,IF(input_enews_announcement_type="",FALSE,SUMPRODUCT(--ISNUMBER(SEARCH(","&amp;TRIM(TEXTSPLIT(CA32,","))&amp;",",","&amp;SUBSTITUTE(input_enews_announcement_type," ","")&amp;",")))&gt;0)),IF(CC32="",TRUE,IF(input_enews_announcement_type="",FALSE,SUMPRODUCT(--ISNUMBER(SEARCH(","&amp;TRIM(TEXTSPLIT(CC32,","))&amp;",",","&amp;SUBSTITUTE(input_enews_announcement_type," ","")&amp;",")))=COUNTA(TEXTSPLIT(CC32,",")))))</f>
        <v/>
      </c>
      <c r="JA32">
        <f>AND(IF(CE32="",TRUE,IF(input_enews_audience="",FALSE,SUMPRODUCT(--ISNUMBER(SEARCH(","&amp;TRIM(TEXTSPLIT(CE32,","))&amp;",",","&amp;SUBSTITUTE(input_enews_audience," ","")&amp;",")))&gt;0)),IF(CG32="",TRUE,IF(input_enews_audience="",FALSE,SUMPRODUCT(--ISNUMBER(SEARCH(","&amp;TRIM(TEXTSPLIT(CG32,","))&amp;",",","&amp;SUBSTITUTE(input_enews_audience," ","")&amp;",")))=COUNTA(TEXTSPLIT(CG32,",")))),IF(CI32="",TRUE,IF(input_enews_audience="",TRUE,SUMPRODUCT(--ISNUMBER(SEARCH(","&amp;TRIM(TEXTSPLIT(CI32,","))&amp;",",","&amp;SUBSTITUTE(input_enews_audience," ","")&amp;",")))=0)),IF(CK32="",TRUE,IF(input_enews_audience="",FALSE,SUMPRODUCT(--ISNUMBER(SEARCH(","&amp;TRIM(TEXTSPLIT(CK32,","))&amp;",",","&amp;SUBSTITUTE(input_enews_audience," ","")&amp;",")))&gt;0)),IF(CM32="",TRUE,IF(input_enews_audience="",FALSE,SUMPRODUCT(--ISNUMBER(SEARCH(","&amp;TRIM(TEXTSPLIT(CM32,","))&amp;",",","&amp;SUBSTITUTE(input_enews_audience," ","")&amp;",")))=COUNTA(TEXTSPLIT(CM32,",")))))</f>
        <v/>
      </c>
      <c r="JB32">
        <f>AND(IF(CO32="",TRUE,IF(input_event_location="",FALSE,SUMPRODUCT(--ISNUMBER(SEARCH(","&amp;TRIM(TEXTSPLIT(CO32,","))&amp;",",","&amp;SUBSTITUTE(input_event_location," ","")&amp;",")))&gt;0)),IF(CQ32="",TRUE,IF(input_event_location="",FALSE,SUMPRODUCT(--ISNUMBER(SEARCH(","&amp;TRIM(TEXTSPLIT(CQ32,","))&amp;",",","&amp;SUBSTITUTE(input_event_location," ","")&amp;",")))=COUNTA(TEXTSPLIT(CQ32,",")))),IF(CS32="",TRUE,IF(input_event_location="",TRUE,SUMPRODUCT(--ISNUMBER(SEARCH(","&amp;TRIM(TEXTSPLIT(CS32,","))&amp;",",","&amp;SUBSTITUTE(input_event_location," ","")&amp;",")))=0)),IF(CU32="",TRUE,IF(input_event_location="",FALSE,SUMPRODUCT(--ISNUMBER(SEARCH(","&amp;TRIM(TEXTSPLIT(CU32,","))&amp;",",","&amp;SUBSTITUTE(input_event_location," ","")&amp;",")))&gt;0)),IF(CW32="",TRUE,IF(input_event_location="",FALSE,SUMPRODUCT(--ISNUMBER(SEARCH(","&amp;TRIM(TEXTSPLIT(CW32,","))&amp;",",","&amp;SUBSTITUTE(input_event_location," ","")&amp;",")))=COUNTA(TEXTSPLIT(CW32,",")))))</f>
        <v/>
      </c>
      <c r="JC32">
        <f>AND(IF(CY32="",TRUE,IF(input_event_type="",FALSE,SUMPRODUCT(--ISNUMBER(SEARCH(","&amp;TRIM(TEXTSPLIT(CY32,","))&amp;",",","&amp;SUBSTITUTE(input_event_type," ","")&amp;",")))&gt;0)),IF(DA32="",TRUE,IF(input_event_type="",FALSE,SUMPRODUCT(--ISNUMBER(SEARCH(","&amp;TRIM(TEXTSPLIT(DA32,","))&amp;",",","&amp;SUBSTITUTE(input_event_type," ","")&amp;",")))=COUNTA(TEXTSPLIT(DA32,",")))),IF(DC32="",TRUE,IF(input_event_type="",TRUE,SUMPRODUCT(--ISNUMBER(SEARCH(","&amp;TRIM(TEXTSPLIT(DC32,","))&amp;",",","&amp;SUBSTITUTE(input_event_type," ","")&amp;",")))=0)),IF(DE32="",TRUE,IF(input_event_type="",FALSE,SUMPRODUCT(--ISNUMBER(SEARCH(","&amp;TRIM(TEXTSPLIT(DE32,","))&amp;",",","&amp;SUBSTITUTE(input_event_type," ","")&amp;",")))&gt;0)),IF(DG32="",TRUE,IF(input_event_type="",FALSE,SUMPRODUCT(--ISNUMBER(SEARCH(","&amp;TRIM(TEXTSPLIT(DG32,","))&amp;",",","&amp;SUBSTITUTE(input_event_type," ","")&amp;",")))=COUNTA(TEXTSPLIT(DG32,",")))))</f>
        <v/>
      </c>
      <c r="JD32">
        <f>AND(IF(DI32="",TRUE,IF(input_executive_education_focus="",FALSE,SUMPRODUCT(--ISNUMBER(SEARCH(","&amp;TRIM(TEXTSPLIT(DI32,","))&amp;",",","&amp;SUBSTITUTE(input_executive_education_focus," ","")&amp;",")))&gt;0)),IF(DK32="",TRUE,IF(input_executive_education_focus="",FALSE,SUMPRODUCT(--ISNUMBER(SEARCH(","&amp;TRIM(TEXTSPLIT(DK32,","))&amp;",",","&amp;SUBSTITUTE(input_executive_education_focus," ","")&amp;",")))=COUNTA(TEXTSPLIT(DK32,",")))),IF(DM32="",TRUE,IF(input_executive_education_focus="",TRUE,SUMPRODUCT(--ISNUMBER(SEARCH(","&amp;TRIM(TEXTSPLIT(DM32,","))&amp;",",","&amp;SUBSTITUTE(input_executive_education_focus," ","")&amp;",")))=0)),IF(DO32="",TRUE,IF(input_executive_education_focus="",FALSE,SUMPRODUCT(--ISNUMBER(SEARCH(","&amp;TRIM(TEXTSPLIT(DO32,","))&amp;",",","&amp;SUBSTITUTE(input_executive_education_focus," ","")&amp;",")))&gt;0)),IF(DQ32="",TRUE,IF(input_executive_education_focus="",FALSE,SUMPRODUCT(--ISNUMBER(SEARCH(","&amp;TRIM(TEXTSPLIT(DQ32,","))&amp;",",","&amp;SUBSTITUTE(input_executive_education_focus," ","")&amp;",")))=COUNTA(TEXTSPLIT(DQ32,",")))))</f>
        <v/>
      </c>
      <c r="JE32">
        <f>AND(IF(DS32="",TRUE,IF(input_faculty_category="",FALSE,SUMPRODUCT(--ISNUMBER(SEARCH(","&amp;TRIM(TEXTSPLIT(DS32,","))&amp;",",","&amp;SUBSTITUTE(input_faculty_category," ","")&amp;",")))&gt;0)),IF(DU32="",TRUE,IF(input_faculty_category="",FALSE,SUMPRODUCT(--ISNUMBER(SEARCH(","&amp;TRIM(TEXTSPLIT(DU32,","))&amp;",",","&amp;SUBSTITUTE(input_faculty_category," ","")&amp;",")))=COUNTA(TEXTSPLIT(DU32,",")))),IF(DW32="",TRUE,IF(input_faculty_category="",TRUE,SUMPRODUCT(--ISNUMBER(SEARCH(","&amp;TRIM(TEXTSPLIT(DW32,","))&amp;",",","&amp;SUBSTITUTE(input_faculty_category," ","")&amp;",")))=0)),IF(DY32="",TRUE,IF(input_faculty_category="",FALSE,SUMPRODUCT(--ISNUMBER(SEARCH(","&amp;TRIM(TEXTSPLIT(DY32,","))&amp;",",","&amp;SUBSTITUTE(input_faculty_category," ","")&amp;",")))&gt;0)),IF(EA32="",TRUE,IF(input_faculty_category="",FALSE,SUMPRODUCT(--ISNUMBER(SEARCH(","&amp;TRIM(TEXTSPLIT(EA32,","))&amp;",",","&amp;SUBSTITUTE(input_faculty_category," ","")&amp;",")))=COUNTA(TEXTSPLIT(EA32,",")))))</f>
        <v/>
      </c>
      <c r="JF32">
        <f>AND(IF(EC32="",TRUE,IF(input_faculty_discipline="",FALSE,SUMPRODUCT(--ISNUMBER(SEARCH(","&amp;TRIM(TEXTSPLIT(EC32,","))&amp;",",","&amp;SUBSTITUTE(input_faculty_discipline," ","")&amp;",")))&gt;0)),IF(EE32="",TRUE,IF(input_faculty_discipline="",FALSE,SUMPRODUCT(--ISNUMBER(SEARCH(","&amp;TRIM(TEXTSPLIT(EE32,","))&amp;",",","&amp;SUBSTITUTE(input_faculty_discipline," ","")&amp;",")))=COUNTA(TEXTSPLIT(EE32,",")))),IF(EG32="",TRUE,IF(input_faculty_discipline="",TRUE,SUMPRODUCT(--ISNUMBER(SEARCH(","&amp;TRIM(TEXTSPLIT(EG32,","))&amp;",",","&amp;SUBSTITUTE(input_faculty_discipline," ","")&amp;",")))=0)),IF(EI32="",TRUE,IF(input_faculty_discipline="",FALSE,SUMPRODUCT(--ISNUMBER(SEARCH(","&amp;TRIM(TEXTSPLIT(EI32,","))&amp;",",","&amp;SUBSTITUTE(input_faculty_discipline," ","")&amp;",")))&gt;0)),IF(EK32="",TRUE,IF(input_faculty_discipline="",FALSE,SUMPRODUCT(--ISNUMBER(SEARCH(","&amp;TRIM(TEXTSPLIT(EK32,","))&amp;",",","&amp;SUBSTITUTE(input_faculty_discipline," ","")&amp;",")))=COUNTA(TEXTSPLIT(EK32,",")))))</f>
        <v/>
      </c>
      <c r="JG32">
        <f>AND(IF(EM32="",TRUE,IF(input_faculty_expertise="",FALSE,SUMPRODUCT(--ISNUMBER(SEARCH(","&amp;TRIM(TEXTSPLIT(EM32,","))&amp;",",","&amp;SUBSTITUTE(input_faculty_expertise," ","")&amp;",")))&gt;0)),IF(EO32="",TRUE,IF(input_faculty_expertise="",FALSE,SUMPRODUCT(--ISNUMBER(SEARCH(","&amp;TRIM(TEXTSPLIT(EO32,","))&amp;",",","&amp;SUBSTITUTE(input_faculty_expertise," ","")&amp;",")))=COUNTA(TEXTSPLIT(EO32,",")))),IF(EQ32="",TRUE,IF(input_faculty_expertise="",TRUE,SUMPRODUCT(--ISNUMBER(SEARCH(","&amp;TRIM(TEXTSPLIT(EQ32,","))&amp;",",","&amp;SUBSTITUTE(input_faculty_expertise," ","")&amp;",")))=0)),IF(ES32="",TRUE,IF(input_faculty_expertise="",FALSE,SUMPRODUCT(--ISNUMBER(SEARCH(","&amp;TRIM(TEXTSPLIT(ES32,","))&amp;",",","&amp;SUBSTITUTE(input_faculty_expertise," ","")&amp;",")))&gt;0)),IF(EU32="",TRUE,IF(input_faculty_expertise="",FALSE,SUMPRODUCT(--ISNUMBER(SEARCH(","&amp;TRIM(TEXTSPLIT(EU32,","))&amp;",",","&amp;SUBSTITUTE(input_faculty_expertise," ","")&amp;",")))=COUNTA(TEXTSPLIT(EU32,",")))))</f>
        <v/>
      </c>
      <c r="JH32">
        <f>AND(IF(EW32="",TRUE,IF(input_global_network_school="",FALSE,SUMPRODUCT(--ISNUMBER(SEARCH(","&amp;TRIM(TEXTSPLIT(EW32,","))&amp;",",","&amp;SUBSTITUTE(input_global_network_school," ","")&amp;",")))&gt;0)),IF(EY32="",TRUE,IF(input_global_network_school="",FALSE,SUMPRODUCT(--ISNUMBER(SEARCH(","&amp;TRIM(TEXTSPLIT(EY32,","))&amp;",",","&amp;SUBSTITUTE(input_global_network_school," ","")&amp;",")))=COUNTA(TEXTSPLIT(EY32,",")))),IF(FA32="",TRUE,IF(input_global_network_school="",TRUE,SUMPRODUCT(--ISNUMBER(SEARCH(","&amp;TRIM(TEXTSPLIT(FA32,","))&amp;",",","&amp;SUBSTITUTE(input_global_network_school," ","")&amp;",")))=0)),IF(FC32="",TRUE,IF(input_global_network_school="",FALSE,SUMPRODUCT(--ISNUMBER(SEARCH(","&amp;TRIM(TEXTSPLIT(FC32,","))&amp;",",","&amp;SUBSTITUTE(input_global_network_school," ","")&amp;",")))&gt;0)),IF(FE32="",TRUE,IF(input_global_network_school="",FALSE,SUMPRODUCT(--ISNUMBER(SEARCH(","&amp;TRIM(TEXTSPLIT(FE32,","))&amp;",",","&amp;SUBSTITUTE(input_global_network_school," ","")&amp;",")))=COUNTA(TEXTSPLIT(FE32,",")))))</f>
        <v/>
      </c>
      <c r="JI32">
        <f>AND(IF(FG32="",TRUE,IF(input_industry="",FALSE,SUMPRODUCT(--ISNUMBER(SEARCH(","&amp;TRIM(TEXTSPLIT(FG32,","))&amp;",",","&amp;SUBSTITUTE(input_industry," ","")&amp;",")))&gt;0)),IF(FI32="",TRUE,IF(input_industry="",FALSE,SUMPRODUCT(--ISNUMBER(SEARCH(","&amp;TRIM(TEXTSPLIT(FI32,","))&amp;",",","&amp;SUBSTITUTE(input_industry," ","")&amp;",")))=COUNTA(TEXTSPLIT(FI32,",")))),IF(FK32="",TRUE,IF(input_industry="",TRUE,SUMPRODUCT(--ISNUMBER(SEARCH(","&amp;TRIM(TEXTSPLIT(FK32,","))&amp;",",","&amp;SUBSTITUTE(input_industry," ","")&amp;",")))=0)),IF(FM32="",TRUE,IF(input_industry="",FALSE,SUMPRODUCT(--ISNUMBER(SEARCH(","&amp;TRIM(TEXTSPLIT(FM32,","))&amp;",",","&amp;SUBSTITUTE(input_industry," ","")&amp;",")))&gt;0)),IF(FO32="",TRUE,IF(input_industry="",FALSE,SUMPRODUCT(--ISNUMBER(SEARCH(","&amp;TRIM(TEXTSPLIT(FO32,","))&amp;",",","&amp;SUBSTITUTE(input_industry," ","")&amp;",")))=COUNTA(TEXTSPLIT(FO32,",")))))</f>
        <v/>
      </c>
      <c r="JJ32">
        <f>AND(IF(FQ32="",TRUE,IF(input_location="",FALSE,SUMPRODUCT(--ISNUMBER(SEARCH(","&amp;TRIM(TEXTSPLIT(FQ32,","))&amp;",",","&amp;SUBSTITUTE(input_location," ","")&amp;",")))&gt;0)),IF(FS32="",TRUE,IF(input_location="",FALSE,SUMPRODUCT(--ISNUMBER(SEARCH(","&amp;TRIM(TEXTSPLIT(FS32,","))&amp;",",","&amp;SUBSTITUTE(input_location," ","")&amp;",")))=COUNTA(TEXTSPLIT(FS32,",")))),IF(FU32="",TRUE,IF(input_location="",TRUE,SUMPRODUCT(--ISNUMBER(SEARCH(","&amp;TRIM(TEXTSPLIT(FU32,","))&amp;",",","&amp;SUBSTITUTE(input_location," ","")&amp;",")))=0)),IF(FW32="",TRUE,IF(input_location="",FALSE,SUMPRODUCT(--ISNUMBER(SEARCH(","&amp;TRIM(TEXTSPLIT(FW32,","))&amp;",",","&amp;SUBSTITUTE(input_location," ","")&amp;",")))&gt;0)),IF(FY32="",TRUE,IF(input_location="",FALSE,SUMPRODUCT(--ISNUMBER(SEARCH(","&amp;TRIM(TEXTSPLIT(FY32,","))&amp;",",","&amp;SUBSTITUTE(input_location," ","")&amp;",")))=COUNTA(TEXTSPLIT(FY32,",")))))</f>
        <v/>
      </c>
      <c r="JK32">
        <f>AND(IF(GA32="",TRUE,IF(input_modality="",FALSE,SUMPRODUCT(--ISNUMBER(SEARCH(","&amp;TRIM(TEXTSPLIT(GA32,","))&amp;",",","&amp;SUBSTITUTE(input_modality," ","")&amp;",")))&gt;0)),IF(GC32="",TRUE,IF(input_modality="",FALSE,SUMPRODUCT(--ISNUMBER(SEARCH(","&amp;TRIM(TEXTSPLIT(GC32,","))&amp;",",","&amp;SUBSTITUTE(input_modality," ","")&amp;",")))=COUNTA(TEXTSPLIT(GC32,",")))),IF(GE32="",TRUE,IF(input_modality="",TRUE,SUMPRODUCT(--ISNUMBER(SEARCH(","&amp;TRIM(TEXTSPLIT(GE32,","))&amp;",",","&amp;SUBSTITUTE(input_modality," ","")&amp;",")))=0)),IF(GG32="",TRUE,IF(input_modality="",FALSE,SUMPRODUCT(--ISNUMBER(SEARCH(","&amp;TRIM(TEXTSPLIT(GG32,","))&amp;",",","&amp;SUBSTITUTE(input_modality," ","")&amp;",")))&gt;0)),IF(GI32="",TRUE,IF(input_modality="",FALSE,SUMPRODUCT(--ISNUMBER(SEARCH(","&amp;TRIM(TEXTSPLIT(GI32,","))&amp;",",","&amp;SUBSTITUTE(input_modality," ","")&amp;",")))=COUNTA(TEXTSPLIT(GI32,",")))))</f>
        <v/>
      </c>
      <c r="JL32">
        <f>AND(IF(GK32="",TRUE,IF(input_organizer="",FALSE,SUMPRODUCT(--ISNUMBER(SEARCH(","&amp;TRIM(TEXTSPLIT(GK32,","))&amp;",",","&amp;SUBSTITUTE(input_organizer," ","")&amp;",")))&gt;0)),IF(GM32="",TRUE,IF(input_organizer="",FALSE,SUMPRODUCT(--ISNUMBER(SEARCH(","&amp;TRIM(TEXTSPLIT(GM32,","))&amp;",",","&amp;SUBSTITUTE(input_organizer," ","")&amp;",")))=COUNTA(TEXTSPLIT(GM32,",")))),IF(GO32="",TRUE,IF(input_organizer="",TRUE,SUMPRODUCT(--ISNUMBER(SEARCH(","&amp;TRIM(TEXTSPLIT(GO32,","))&amp;",",","&amp;SUBSTITUTE(input_organizer," ","")&amp;",")))=0)),IF(GQ32="",TRUE,IF(input_organizer="",FALSE,SUMPRODUCT(--ISNUMBER(SEARCH(","&amp;TRIM(TEXTSPLIT(GQ32,","))&amp;",",","&amp;SUBSTITUTE(input_organizer," ","")&amp;",")))&gt;0)),IF(GS32="",TRUE,IF(input_organizer="",FALSE,SUMPRODUCT(--ISNUMBER(SEARCH(","&amp;TRIM(TEXTSPLIT(GS32,","))&amp;",",","&amp;SUBSTITUTE(input_organizer," ","")&amp;",")))=COUNTA(TEXTSPLIT(GS32,",")))))</f>
        <v/>
      </c>
      <c r="JM32">
        <f>AND(IF(GU32="",TRUE,IF(input_profile_type="",FALSE,SUMPRODUCT(--ISNUMBER(SEARCH(","&amp;TRIM(TEXTSPLIT(GU32,","))&amp;",",","&amp;SUBSTITUTE(input_profile_type," ","")&amp;",")))&gt;0)),IF(GW32="",TRUE,IF(input_profile_type="",FALSE,SUMPRODUCT(--ISNUMBER(SEARCH(","&amp;TRIM(TEXTSPLIT(GW32,","))&amp;",",","&amp;SUBSTITUTE(input_profile_type," ","")&amp;",")))=COUNTA(TEXTSPLIT(GW32,",")))),IF(GY32="",TRUE,IF(input_profile_type="",TRUE,SUMPRODUCT(--ISNUMBER(SEARCH(","&amp;TRIM(TEXTSPLIT(GY32,","))&amp;",",","&amp;SUBSTITUTE(input_profile_type," ","")&amp;",")))=0)),IF(HA32="",TRUE,IF(input_profile_type="",FALSE,SUMPRODUCT(--ISNUMBER(SEARCH(","&amp;TRIM(TEXTSPLIT(HA32,","))&amp;",",","&amp;SUBSTITUTE(input_profile_type," ","")&amp;",")))&gt;0)),IF(HC32="",TRUE,IF(input_profile_type="",FALSE,SUMPRODUCT(--ISNUMBER(SEARCH(","&amp;TRIM(TEXTSPLIT(HC32,","))&amp;",",","&amp;SUBSTITUTE(input_profile_type," ","")&amp;",")))=COUNTA(TEXTSPLIT(HC32,",")))))</f>
        <v/>
      </c>
      <c r="JN32">
        <f>AND(IF(HE32="",TRUE,IF(input_program="",FALSE,SUMPRODUCT(--ISNUMBER(SEARCH(","&amp;TRIM(TEXTSPLIT(HE32,","))&amp;",",","&amp;SUBSTITUTE(input_program," ","")&amp;",")))&gt;0)),IF(HG32="",TRUE,IF(input_program="",FALSE,SUMPRODUCT(--ISNUMBER(SEARCH(","&amp;TRIM(TEXTSPLIT(HG32,","))&amp;",",","&amp;SUBSTITUTE(input_program," ","")&amp;",")))=COUNTA(TEXTSPLIT(HG32,",")))),IF(HI32="",TRUE,IF(input_program="",TRUE,SUMPRODUCT(--ISNUMBER(SEARCH(","&amp;TRIM(TEXTSPLIT(HI32,","))&amp;",",","&amp;SUBSTITUTE(input_program," ","")&amp;",")))=0)),IF(HK32="",TRUE,IF(input_program="",FALSE,SUMPRODUCT(--ISNUMBER(SEARCH(","&amp;TRIM(TEXTSPLIT(HK32,","))&amp;",",","&amp;SUBSTITUTE(input_program," ","")&amp;",")))&gt;0)),IF(HM32="",TRUE,IF(input_program="",FALSE,SUMPRODUCT(--ISNUMBER(SEARCH(","&amp;TRIM(TEXTSPLIT(HM32,","))&amp;",",","&amp;SUBSTITUTE(input_program," ","")&amp;",")))=COUNTA(TEXTSPLIT(HM32,",")))))</f>
        <v/>
      </c>
      <c r="JO32">
        <f>AND(IF(HO32="",TRUE,IF(input_story_categories="",FALSE,SUMPRODUCT(--ISNUMBER(SEARCH(","&amp;TRIM(TEXTSPLIT(HO32,","))&amp;",",","&amp;SUBSTITUTE(input_story_categories," ","")&amp;",")))&gt;0)),IF(HQ32="",TRUE,IF(input_story_categories="",FALSE,SUMPRODUCT(--ISNUMBER(SEARCH(","&amp;TRIM(TEXTSPLIT(HQ32,","))&amp;",",","&amp;SUBSTITUTE(input_story_categories," ","")&amp;",")))=COUNTA(TEXTSPLIT(HQ32,",")))),IF(HS32="",TRUE,IF(input_story_categories="",TRUE,SUMPRODUCT(--ISNUMBER(SEARCH(","&amp;TRIM(TEXTSPLIT(HS32,","))&amp;",",","&amp;SUBSTITUTE(input_story_categories," ","")&amp;",")))=0)),IF(HU32="",TRUE,IF(input_story_categories="",FALSE,SUMPRODUCT(--ISNUMBER(SEARCH(","&amp;TRIM(TEXTSPLIT(HU32,","))&amp;",",","&amp;SUBSTITUTE(input_story_categories," ","")&amp;",")))&gt;0)),IF(HW32="",TRUE,IF(input_story_categories="",FALSE,SUMPRODUCT(--ISNUMBER(SEARCH(","&amp;TRIM(TEXTSPLIT(HW32,","))&amp;",",","&amp;SUBSTITUTE(input_story_categories," ","")&amp;",")))=COUNTA(TEXTSPLIT(HW32,",")))))</f>
        <v/>
      </c>
      <c r="JP32">
        <f>AND(IF(HY32="",TRUE,IF(input_story_type="",FALSE,SUMPRODUCT(--ISNUMBER(SEARCH(","&amp;TRIM(TEXTSPLIT(HY32,","))&amp;",",","&amp;SUBSTITUTE(input_story_type," ","")&amp;",")))&gt;0)),IF(IA32="",TRUE,IF(input_story_type="",FALSE,SUMPRODUCT(--ISNUMBER(SEARCH(","&amp;TRIM(TEXTSPLIT(IA32,","))&amp;",",","&amp;SUBSTITUTE(input_story_type," ","")&amp;",")))=COUNTA(TEXTSPLIT(IA32,",")))),IF(IC32="",TRUE,IF(input_story_type="",TRUE,SUMPRODUCT(--ISNUMBER(SEARCH(","&amp;TRIM(TEXTSPLIT(IC32,","))&amp;",",","&amp;SUBSTITUTE(input_story_type," ","")&amp;",")))=0)),IF(IE32="",TRUE,IF(input_story_type="",FALSE,SUMPRODUCT(--ISNUMBER(SEARCH(","&amp;TRIM(TEXTSPLIT(IE32,","))&amp;",",","&amp;SUBSTITUTE(input_story_type," ","")&amp;",")))&gt;0)),IF(IG32="",TRUE,IF(input_story_type="",FALSE,SUMPRODUCT(--ISNUMBER(SEARCH(","&amp;TRIM(TEXTSPLIT(IG32,","))&amp;",",","&amp;SUBSTITUTE(input_story_type," ","")&amp;",")))=COUNTA(TEXTSPLIT(IG32,",")))))</f>
        <v/>
      </c>
      <c r="JQ32">
        <f>AND(IF(II32="",TRUE,IF(input_topics="",FALSE,SUMPRODUCT(--ISNUMBER(SEARCH(","&amp;TRIM(TEXTSPLIT(II32,","))&amp;",",","&amp;SUBSTITUTE(input_topics," ","")&amp;",")))&gt;0)),IF(IK32="",TRUE,IF(input_topics="",FALSE,SUMPRODUCT(--ISNUMBER(SEARCH(","&amp;TRIM(TEXTSPLIT(IK32,","))&amp;",",","&amp;SUBSTITUTE(input_topics," ","")&amp;",")))=COUNTA(TEXTSPLIT(IK32,",")))),IF(IM32="",TRUE,IF(input_topics="",TRUE,SUMPRODUCT(--ISNUMBER(SEARCH(","&amp;TRIM(TEXTSPLIT(IM32,","))&amp;",",","&amp;SUBSTITUTE(input_topics," ","")&amp;",")))=0)),IF(IO32="",TRUE,IF(input_topics="",FALSE,SUMPRODUCT(--ISNUMBER(SEARCH(","&amp;TRIM(TEXTSPLIT(IO32,","))&amp;",",","&amp;SUBSTITUTE(input_topics," ","")&amp;",")))&gt;0)),IF(IQ32="",TRUE,IF(input_topics="",FALSE,SUMPRODUCT(--ISNUMBER(SEARCH(","&amp;TRIM(TEXTSPLIT(IQ32,","))&amp;",",","&amp;SUBSTITUTE(input_topics," ","")&amp;",")))=COUNTA(TEXTSPLIT(IQ32,",")))))</f>
        <v/>
      </c>
    </row>
    <row r="33">
      <c r="A33" s="4">
        <f>IF(NOT(IS33),"Excluded",IF(AND(IT33,IU33,IV33,IW33,IX33,IY33,IZ33,JA33,JB33,JC33,JD33,JE33,JF33,JG33,JH33,JI33,JJ33,JK33,JL33,JM33,JN33,JO33,JP33,JQ33),IF(I33&gt;0,"Eligible but limited","Will appear"),"Excluded"))</f>
        <v/>
      </c>
      <c r="B33" s="4" t="inlineStr">
        <is>
          <t>All Publications by Author</t>
        </is>
      </c>
      <c r="C33" s="4" t="inlineStr">
        <is>
          <t>/faculty-research/faculty-directory/jamie-tucker-foltz</t>
        </is>
      </c>
      <c r="D33" s="4" t="inlineStr">
        <is>
          <t>/faculty-research/faculty-directory/jamie-tucker-foltz</t>
        </is>
      </c>
      <c r="E33" s="4" t="n">
        <v>1</v>
      </c>
      <c r="F33" s="4" t="inlineStr">
        <is>
          <t>publications</t>
        </is>
      </c>
      <c r="G33" s="4" t="inlineStr">
        <is>
          <t>publication_teaser_list</t>
        </is>
      </c>
      <c r="H33" s="4" t="inlineStr">
        <is>
          <t>publication_teaser_list_all_by_author</t>
        </is>
      </c>
      <c r="I33" s="4" t="inlineStr"/>
      <c r="J33" s="4" t="inlineStr">
        <is>
          <t>View/config rules</t>
        </is>
      </c>
      <c r="K33" s="4" t="inlineStr">
        <is>
          <t>Page placement</t>
        </is>
      </c>
      <c r="L33" s="4" t="inlineStr">
        <is>
          <t>Content type: publications; Source: View/config rules</t>
        </is>
      </c>
      <c r="M33" t="inlineStr"/>
      <c r="N33" t="inlineStr"/>
      <c r="O33" t="inlineStr"/>
      <c r="P33" t="inlineStr"/>
      <c r="Q33" t="inlineStr"/>
      <c r="R33" t="inlineStr"/>
      <c r="S33" t="inlineStr"/>
      <c r="T33" t="inlineStr"/>
      <c r="U33" t="inlineStr"/>
      <c r="V33" t="inlineStr"/>
      <c r="W33" t="inlineStr"/>
      <c r="X33" t="inlineStr"/>
      <c r="Y33" t="inlineStr"/>
      <c r="Z33" t="inlineStr"/>
      <c r="AA33" t="inlineStr"/>
      <c r="AB33" t="inlineStr"/>
      <c r="AC33" t="inlineStr"/>
      <c r="AD33" t="inlineStr"/>
      <c r="AE33" t="inlineStr"/>
      <c r="AF33" t="inlineStr"/>
      <c r="AG33" t="inlineStr"/>
      <c r="AH33" t="inlineStr"/>
      <c r="AI33" t="inlineStr"/>
      <c r="AJ33" t="inlineStr"/>
      <c r="AK33" t="inlineStr"/>
      <c r="AL33" t="inlineStr"/>
      <c r="AM33" t="inlineStr"/>
      <c r="AN33" t="inlineStr"/>
      <c r="AO33" t="inlineStr"/>
      <c r="AP33" t="inlineStr"/>
      <c r="AQ33" t="inlineStr"/>
      <c r="AR33" t="inlineStr"/>
      <c r="AS33" t="inlineStr"/>
      <c r="AT33" t="inlineStr"/>
      <c r="AU33" t="inlineStr"/>
      <c r="AV33" t="inlineStr"/>
      <c r="AW33" t="inlineStr"/>
      <c r="AX33" t="inlineStr"/>
      <c r="AY33" t="inlineStr"/>
      <c r="AZ33" t="inlineStr"/>
      <c r="BA33" t="inlineStr"/>
      <c r="BB33" t="inlineStr"/>
      <c r="BC33" t="inlineStr"/>
      <c r="BD33" t="inlineStr"/>
      <c r="BE33" t="inlineStr"/>
      <c r="BF33" t="inlineStr"/>
      <c r="BG33" t="inlineStr"/>
      <c r="BH33" t="inlineStr"/>
      <c r="BI33" t="inlineStr"/>
      <c r="BJ33" t="inlineStr"/>
      <c r="BK33" t="inlineStr"/>
      <c r="BL33" t="inlineStr"/>
      <c r="BM33" t="inlineStr"/>
      <c r="BN33" t="inlineStr"/>
      <c r="BO33" t="inlineStr"/>
      <c r="BP33" t="inlineStr"/>
      <c r="BQ33" t="inlineStr"/>
      <c r="BR33" t="inlineStr"/>
      <c r="BS33" t="inlineStr"/>
      <c r="BT33" t="inlineStr"/>
      <c r="BU33" t="inlineStr"/>
      <c r="BV33" t="inlineStr"/>
      <c r="BW33" t="inlineStr"/>
      <c r="BX33" t="inlineStr"/>
      <c r="BY33" t="inlineStr"/>
      <c r="BZ33" t="inlineStr"/>
      <c r="CA33" t="inlineStr"/>
      <c r="CB33" t="inlineStr"/>
      <c r="CC33" t="inlineStr"/>
      <c r="CD33" t="inlineStr"/>
      <c r="CE33" t="inlineStr"/>
      <c r="CF33" t="inlineStr"/>
      <c r="CG33" t="inlineStr"/>
      <c r="CH33" t="inlineStr"/>
      <c r="CI33" t="inlineStr"/>
      <c r="CJ33" t="inlineStr"/>
      <c r="CK33" t="inlineStr"/>
      <c r="CL33" t="inlineStr"/>
      <c r="CM33" t="inlineStr"/>
      <c r="CN33" t="inlineStr"/>
      <c r="CO33" t="inlineStr"/>
      <c r="CP33" t="inlineStr"/>
      <c r="CQ33" t="inlineStr"/>
      <c r="CR33" t="inlineStr"/>
      <c r="CS33" t="inlineStr"/>
      <c r="CT33" t="inlineStr"/>
      <c r="CU33" t="inlineStr"/>
      <c r="CV33" t="inlineStr"/>
      <c r="CW33" t="inlineStr"/>
      <c r="CX33" t="inlineStr"/>
      <c r="CY33" t="inlineStr"/>
      <c r="CZ33" t="inlineStr"/>
      <c r="DA33" t="inlineStr"/>
      <c r="DB33" t="inlineStr"/>
      <c r="DC33" t="inlineStr"/>
      <c r="DD33" t="inlineStr"/>
      <c r="DE33" t="inlineStr"/>
      <c r="DF33" t="inlineStr"/>
      <c r="DG33" t="inlineStr"/>
      <c r="DH33" t="inlineStr"/>
      <c r="DI33" t="inlineStr"/>
      <c r="DJ33" t="inlineStr"/>
      <c r="DK33" t="inlineStr"/>
      <c r="DL33" t="inlineStr"/>
      <c r="DM33" t="inlineStr"/>
      <c r="DN33" t="inlineStr"/>
      <c r="DO33" t="inlineStr"/>
      <c r="DP33" t="inlineStr"/>
      <c r="DQ33" t="inlineStr"/>
      <c r="DR33" t="inlineStr"/>
      <c r="DS33" t="inlineStr"/>
      <c r="DT33" t="inlineStr"/>
      <c r="DU33" t="inlineStr"/>
      <c r="DV33" t="inlineStr"/>
      <c r="DW33" t="inlineStr"/>
      <c r="DX33" t="inlineStr"/>
      <c r="DY33" t="inlineStr"/>
      <c r="DZ33" t="inlineStr"/>
      <c r="EA33" t="inlineStr"/>
      <c r="EB33" t="inlineStr"/>
      <c r="EC33" t="inlineStr"/>
      <c r="ED33" t="inlineStr"/>
      <c r="EE33" t="inlineStr"/>
      <c r="EF33" t="inlineStr"/>
      <c r="EG33" t="inlineStr"/>
      <c r="EH33" t="inlineStr"/>
      <c r="EI33" t="inlineStr"/>
      <c r="EJ33" t="inlineStr"/>
      <c r="EK33" t="inlineStr"/>
      <c r="EL33" t="inlineStr"/>
      <c r="EM33" t="inlineStr"/>
      <c r="EN33" t="inlineStr"/>
      <c r="EO33" t="inlineStr"/>
      <c r="EP33" t="inlineStr"/>
      <c r="EQ33" t="inlineStr"/>
      <c r="ER33" t="inlineStr"/>
      <c r="ES33" t="inlineStr"/>
      <c r="ET33" t="inlineStr"/>
      <c r="EU33" t="inlineStr"/>
      <c r="EV33" t="inlineStr"/>
      <c r="EW33" t="inlineStr"/>
      <c r="EX33" t="inlineStr"/>
      <c r="EY33" t="inlineStr"/>
      <c r="EZ33" t="inlineStr"/>
      <c r="FA33" t="inlineStr"/>
      <c r="FB33" t="inlineStr"/>
      <c r="FC33" t="inlineStr"/>
      <c r="FD33" t="inlineStr"/>
      <c r="FE33" t="inlineStr"/>
      <c r="FF33" t="inlineStr"/>
      <c r="FG33" t="inlineStr"/>
      <c r="FH33" t="inlineStr"/>
      <c r="FI33" t="inlineStr"/>
      <c r="FJ33" t="inlineStr"/>
      <c r="FK33" t="inlineStr"/>
      <c r="FL33" t="inlineStr"/>
      <c r="FM33" t="inlineStr"/>
      <c r="FN33" t="inlineStr"/>
      <c r="FO33" t="inlineStr"/>
      <c r="FP33" t="inlineStr"/>
      <c r="FQ33" t="inlineStr"/>
      <c r="FR33" t="inlineStr"/>
      <c r="FS33" t="inlineStr"/>
      <c r="FT33" t="inlineStr"/>
      <c r="FU33" t="inlineStr"/>
      <c r="FV33" t="inlineStr"/>
      <c r="FW33" t="inlineStr"/>
      <c r="FX33" t="inlineStr"/>
      <c r="FY33" t="inlineStr"/>
      <c r="FZ33" t="inlineStr"/>
      <c r="GA33" t="inlineStr"/>
      <c r="GB33" t="inlineStr"/>
      <c r="GC33" t="inlineStr"/>
      <c r="GD33" t="inlineStr"/>
      <c r="GE33" t="inlineStr"/>
      <c r="GF33" t="inlineStr"/>
      <c r="GG33" t="inlineStr"/>
      <c r="GH33" t="inlineStr"/>
      <c r="GI33" t="inlineStr"/>
      <c r="GJ33" t="inlineStr"/>
      <c r="GK33" t="inlineStr"/>
      <c r="GL33" t="inlineStr"/>
      <c r="GM33" t="inlineStr"/>
      <c r="GN33" t="inlineStr"/>
      <c r="GO33" t="inlineStr"/>
      <c r="GP33" t="inlineStr"/>
      <c r="GQ33" t="inlineStr"/>
      <c r="GR33" t="inlineStr"/>
      <c r="GS33" t="inlineStr"/>
      <c r="GT33" t="inlineStr"/>
      <c r="GU33" t="inlineStr"/>
      <c r="GV33" t="inlineStr"/>
      <c r="GW33" t="inlineStr"/>
      <c r="GX33" t="inlineStr"/>
      <c r="GY33" t="inlineStr"/>
      <c r="GZ33" t="inlineStr"/>
      <c r="HA33" t="inlineStr"/>
      <c r="HB33" t="inlineStr"/>
      <c r="HC33" t="inlineStr"/>
      <c r="HD33" t="inlineStr"/>
      <c r="HE33" t="inlineStr"/>
      <c r="HF33" t="inlineStr"/>
      <c r="HG33" t="inlineStr"/>
      <c r="HH33" t="inlineStr"/>
      <c r="HI33" t="inlineStr"/>
      <c r="HJ33" t="inlineStr"/>
      <c r="HK33" t="inlineStr"/>
      <c r="HL33" t="inlineStr"/>
      <c r="HM33" t="inlineStr"/>
      <c r="HN33" t="inlineStr"/>
      <c r="HO33" t="inlineStr"/>
      <c r="HP33" t="inlineStr"/>
      <c r="HQ33" t="inlineStr"/>
      <c r="HR33" t="inlineStr"/>
      <c r="HS33" t="inlineStr"/>
      <c r="HT33" t="inlineStr"/>
      <c r="HU33" t="inlineStr"/>
      <c r="HV33" t="inlineStr"/>
      <c r="HW33" t="inlineStr"/>
      <c r="HX33" t="inlineStr"/>
      <c r="HY33" t="inlineStr"/>
      <c r="HZ33" t="inlineStr"/>
      <c r="IA33" t="inlineStr"/>
      <c r="IB33" t="inlineStr"/>
      <c r="IC33" t="inlineStr"/>
      <c r="ID33" t="inlineStr"/>
      <c r="IE33" t="inlineStr"/>
      <c r="IF33" t="inlineStr"/>
      <c r="IG33" t="inlineStr"/>
      <c r="IH33" t="inlineStr"/>
      <c r="II33" t="inlineStr"/>
      <c r="IJ33" t="inlineStr"/>
      <c r="IK33" t="inlineStr"/>
      <c r="IL33" t="inlineStr"/>
      <c r="IM33" t="inlineStr"/>
      <c r="IN33" t="inlineStr"/>
      <c r="IO33" t="inlineStr"/>
      <c r="IP33" t="inlineStr"/>
      <c r="IQ33" t="inlineStr"/>
      <c r="IR33" t="inlineStr"/>
      <c r="IS33">
        <f>IF(input_content_type="",FALSE,ISNUMBER(SEARCH(","&amp;LOWER(input_content_type)&amp;",",","&amp;LOWER(F33)&amp;",")))</f>
        <v/>
      </c>
      <c r="IT33">
        <f>AND(IF(M33="",TRUE,IF(input_affiliations="",FALSE,SUMPRODUCT(--ISNUMBER(SEARCH(","&amp;TRIM(TEXTSPLIT(M33,","))&amp;",",","&amp;SUBSTITUTE(input_affiliations," ","")&amp;",")))&gt;0)),IF(O33="",TRUE,IF(input_affiliations="",FALSE,SUMPRODUCT(--ISNUMBER(SEARCH(","&amp;TRIM(TEXTSPLIT(O33,","))&amp;",",","&amp;SUBSTITUTE(input_affiliations," ","")&amp;",")))=COUNTA(TEXTSPLIT(O33,",")))),IF(Q33="",TRUE,IF(input_affiliations="",TRUE,SUMPRODUCT(--ISNUMBER(SEARCH(","&amp;TRIM(TEXTSPLIT(Q33,","))&amp;",",","&amp;SUBSTITUTE(input_affiliations," ","")&amp;",")))=0)),IF(S33="",TRUE,IF(input_affiliations="",FALSE,SUMPRODUCT(--ISNUMBER(SEARCH(","&amp;TRIM(TEXTSPLIT(S33,","))&amp;",",","&amp;SUBSTITUTE(input_affiliations," ","")&amp;",")))&gt;0)),IF(U33="",TRUE,IF(input_affiliations="",FALSE,SUMPRODUCT(--ISNUMBER(SEARCH(","&amp;TRIM(TEXTSPLIT(U33,","))&amp;",",","&amp;SUBSTITUTE(input_affiliations," ","")&amp;",")))=COUNTA(TEXTSPLIT(U33,",")))))</f>
        <v/>
      </c>
      <c r="IU33">
        <f>AND(IF(W33="",TRUE,IF(input_announcement_category="",FALSE,SUMPRODUCT(--ISNUMBER(SEARCH(","&amp;TRIM(TEXTSPLIT(W33,","))&amp;",",","&amp;SUBSTITUTE(input_announcement_category," ","")&amp;",")))&gt;0)),IF(Y33="",TRUE,IF(input_announcement_category="",FALSE,SUMPRODUCT(--ISNUMBER(SEARCH(","&amp;TRIM(TEXTSPLIT(Y33,","))&amp;",",","&amp;SUBSTITUTE(input_announcement_category," ","")&amp;",")))=COUNTA(TEXTSPLIT(Y33,",")))),IF(AA33="",TRUE,IF(input_announcement_category="",TRUE,SUMPRODUCT(--ISNUMBER(SEARCH(","&amp;TRIM(TEXTSPLIT(AA33,","))&amp;",",","&amp;SUBSTITUTE(input_announcement_category," ","")&amp;",")))=0)),IF(AC33="",TRUE,IF(input_announcement_category="",FALSE,SUMPRODUCT(--ISNUMBER(SEARCH(","&amp;TRIM(TEXTSPLIT(AC33,","))&amp;",",","&amp;SUBSTITUTE(input_announcement_category," ","")&amp;",")))&gt;0)),IF(AE33="",TRUE,IF(input_announcement_category="",FALSE,SUMPRODUCT(--ISNUMBER(SEARCH(","&amp;TRIM(TEXTSPLIT(AE33,","))&amp;",",","&amp;SUBSTITUTE(input_announcement_category," ","")&amp;",")))=COUNTA(TEXTSPLIT(AE33,",")))))</f>
        <v/>
      </c>
      <c r="IV33">
        <f>AND(IF(AG33="",TRUE,IF(input_area_of_focus="",FALSE,SUMPRODUCT(--ISNUMBER(SEARCH(","&amp;TRIM(TEXTSPLIT(AG33,","))&amp;",",","&amp;SUBSTITUTE(input_area_of_focus," ","")&amp;",")))&gt;0)),IF(AI33="",TRUE,IF(input_area_of_focus="",FALSE,SUMPRODUCT(--ISNUMBER(SEARCH(","&amp;TRIM(TEXTSPLIT(AI33,","))&amp;",",","&amp;SUBSTITUTE(input_area_of_focus," ","")&amp;",")))=COUNTA(TEXTSPLIT(AI33,",")))),IF(AK33="",TRUE,IF(input_area_of_focus="",TRUE,SUMPRODUCT(--ISNUMBER(SEARCH(","&amp;TRIM(TEXTSPLIT(AK33,","))&amp;",",","&amp;SUBSTITUTE(input_area_of_focus," ","")&amp;",")))=0)),IF(AM33="",TRUE,IF(input_area_of_focus="",FALSE,SUMPRODUCT(--ISNUMBER(SEARCH(","&amp;TRIM(TEXTSPLIT(AM33,","))&amp;",",","&amp;SUBSTITUTE(input_area_of_focus," ","")&amp;",")))&gt;0)),IF(AO33="",TRUE,IF(input_area_of_focus="",FALSE,SUMPRODUCT(--ISNUMBER(SEARCH(","&amp;TRIM(TEXTSPLIT(AO33,","))&amp;",",","&amp;SUBSTITUTE(input_area_of_focus," ","")&amp;",")))=COUNTA(TEXTSPLIT(AO33,",")))))</f>
        <v/>
      </c>
      <c r="IW33">
        <f>AND(IF(AQ33="",TRUE,IF(input_audience="",FALSE,SUMPRODUCT(--ISNUMBER(SEARCH(","&amp;TRIM(TEXTSPLIT(AQ33,","))&amp;",",","&amp;SUBSTITUTE(input_audience," ","")&amp;",")))&gt;0)),IF(AS33="",TRUE,IF(input_audience="",FALSE,SUMPRODUCT(--ISNUMBER(SEARCH(","&amp;TRIM(TEXTSPLIT(AS33,","))&amp;",",","&amp;SUBSTITUTE(input_audience," ","")&amp;",")))=COUNTA(TEXTSPLIT(AS33,",")))),IF(AU33="",TRUE,IF(input_audience="",TRUE,SUMPRODUCT(--ISNUMBER(SEARCH(","&amp;TRIM(TEXTSPLIT(AU33,","))&amp;",",","&amp;SUBSTITUTE(input_audience," ","")&amp;",")))=0)),IF(AW33="",TRUE,IF(input_audience="",FALSE,SUMPRODUCT(--ISNUMBER(SEARCH(","&amp;TRIM(TEXTSPLIT(AW33,","))&amp;",",","&amp;SUBSTITUTE(input_audience," ","")&amp;",")))&gt;0)),IF(AY33="",TRUE,IF(input_audience="",FALSE,SUMPRODUCT(--ISNUMBER(SEARCH(","&amp;TRIM(TEXTSPLIT(AY33,","))&amp;",",","&amp;SUBSTITUTE(input_audience," ","")&amp;",")))=COUNTA(TEXTSPLIT(AY33,",")))))</f>
        <v/>
      </c>
      <c r="IX33">
        <f>AND(IF(BA33="",TRUE,IF(input_challenge_opportunities="",FALSE,SUMPRODUCT(--ISNUMBER(SEARCH(","&amp;TRIM(TEXTSPLIT(BA33,","))&amp;",",","&amp;SUBSTITUTE(input_challenge_opportunities," ","")&amp;",")))&gt;0)),IF(BC33="",TRUE,IF(input_challenge_opportunities="",FALSE,SUMPRODUCT(--ISNUMBER(SEARCH(","&amp;TRIM(TEXTSPLIT(BC33,","))&amp;",",","&amp;SUBSTITUTE(input_challenge_opportunities," ","")&amp;",")))=COUNTA(TEXTSPLIT(BC33,",")))),IF(BE33="",TRUE,IF(input_challenge_opportunities="",TRUE,SUMPRODUCT(--ISNUMBER(SEARCH(","&amp;TRIM(TEXTSPLIT(BE33,","))&amp;",",","&amp;SUBSTITUTE(input_challenge_opportunities," ","")&amp;",")))=0)),IF(BG33="",TRUE,IF(input_challenge_opportunities="",FALSE,SUMPRODUCT(--ISNUMBER(SEARCH(","&amp;TRIM(TEXTSPLIT(BG33,","))&amp;",",","&amp;SUBSTITUTE(input_challenge_opportunities," ","")&amp;",")))&gt;0)),IF(BI33="",TRUE,IF(input_challenge_opportunities="",FALSE,SUMPRODUCT(--ISNUMBER(SEARCH(","&amp;TRIM(TEXTSPLIT(BI33,","))&amp;",",","&amp;SUBSTITUTE(input_challenge_opportunities," ","")&amp;",")))=COUNTA(TEXTSPLIT(BI33,",")))))</f>
        <v/>
      </c>
      <c r="IY33">
        <f>AND(IF(BK33="",TRUE,IF(input_context="",FALSE,SUMPRODUCT(--ISNUMBER(SEARCH(","&amp;TRIM(TEXTSPLIT(BK33,","))&amp;",",","&amp;SUBSTITUTE(input_context," ","")&amp;",")))&gt;0)),IF(BM33="",TRUE,IF(input_context="",FALSE,SUMPRODUCT(--ISNUMBER(SEARCH(","&amp;TRIM(TEXTSPLIT(BM33,","))&amp;",",","&amp;SUBSTITUTE(input_context," ","")&amp;",")))=COUNTA(TEXTSPLIT(BM33,",")))),IF(BO33="",TRUE,IF(input_context="",TRUE,SUMPRODUCT(--ISNUMBER(SEARCH(","&amp;TRIM(TEXTSPLIT(BO33,","))&amp;",",","&amp;SUBSTITUTE(input_context," ","")&amp;",")))=0)),IF(BQ33="",TRUE,IF(input_context="",FALSE,SUMPRODUCT(--ISNUMBER(SEARCH(","&amp;TRIM(TEXTSPLIT(BQ33,","))&amp;",",","&amp;SUBSTITUTE(input_context," ","")&amp;",")))&gt;0)),IF(BS33="",TRUE,IF(input_context="",FALSE,SUMPRODUCT(--ISNUMBER(SEARCH(","&amp;TRIM(TEXTSPLIT(BS33,","))&amp;",",","&amp;SUBSTITUTE(input_context," ","")&amp;",")))=COUNTA(TEXTSPLIT(BS33,",")))))</f>
        <v/>
      </c>
      <c r="IZ33">
        <f>AND(IF(BU33="",TRUE,IF(input_enews_announcement_type="",FALSE,SUMPRODUCT(--ISNUMBER(SEARCH(","&amp;TRIM(TEXTSPLIT(BU33,","))&amp;",",","&amp;SUBSTITUTE(input_enews_announcement_type," ","")&amp;",")))&gt;0)),IF(BW33="",TRUE,IF(input_enews_announcement_type="",FALSE,SUMPRODUCT(--ISNUMBER(SEARCH(","&amp;TRIM(TEXTSPLIT(BW33,","))&amp;",",","&amp;SUBSTITUTE(input_enews_announcement_type," ","")&amp;",")))=COUNTA(TEXTSPLIT(BW33,",")))),IF(BY33="",TRUE,IF(input_enews_announcement_type="",TRUE,SUMPRODUCT(--ISNUMBER(SEARCH(","&amp;TRIM(TEXTSPLIT(BY33,","))&amp;",",","&amp;SUBSTITUTE(input_enews_announcement_type," ","")&amp;",")))=0)),IF(CA33="",TRUE,IF(input_enews_announcement_type="",FALSE,SUMPRODUCT(--ISNUMBER(SEARCH(","&amp;TRIM(TEXTSPLIT(CA33,","))&amp;",",","&amp;SUBSTITUTE(input_enews_announcement_type," ","")&amp;",")))&gt;0)),IF(CC33="",TRUE,IF(input_enews_announcement_type="",FALSE,SUMPRODUCT(--ISNUMBER(SEARCH(","&amp;TRIM(TEXTSPLIT(CC33,","))&amp;",",","&amp;SUBSTITUTE(input_enews_announcement_type," ","")&amp;",")))=COUNTA(TEXTSPLIT(CC33,",")))))</f>
        <v/>
      </c>
      <c r="JA33">
        <f>AND(IF(CE33="",TRUE,IF(input_enews_audience="",FALSE,SUMPRODUCT(--ISNUMBER(SEARCH(","&amp;TRIM(TEXTSPLIT(CE33,","))&amp;",",","&amp;SUBSTITUTE(input_enews_audience," ","")&amp;",")))&gt;0)),IF(CG33="",TRUE,IF(input_enews_audience="",FALSE,SUMPRODUCT(--ISNUMBER(SEARCH(","&amp;TRIM(TEXTSPLIT(CG33,","))&amp;",",","&amp;SUBSTITUTE(input_enews_audience," ","")&amp;",")))=COUNTA(TEXTSPLIT(CG33,",")))),IF(CI33="",TRUE,IF(input_enews_audience="",TRUE,SUMPRODUCT(--ISNUMBER(SEARCH(","&amp;TRIM(TEXTSPLIT(CI33,","))&amp;",",","&amp;SUBSTITUTE(input_enews_audience," ","")&amp;",")))=0)),IF(CK33="",TRUE,IF(input_enews_audience="",FALSE,SUMPRODUCT(--ISNUMBER(SEARCH(","&amp;TRIM(TEXTSPLIT(CK33,","))&amp;",",","&amp;SUBSTITUTE(input_enews_audience," ","")&amp;",")))&gt;0)),IF(CM33="",TRUE,IF(input_enews_audience="",FALSE,SUMPRODUCT(--ISNUMBER(SEARCH(","&amp;TRIM(TEXTSPLIT(CM33,","))&amp;",",","&amp;SUBSTITUTE(input_enews_audience," ","")&amp;",")))=COUNTA(TEXTSPLIT(CM33,",")))))</f>
        <v/>
      </c>
      <c r="JB33">
        <f>AND(IF(CO33="",TRUE,IF(input_event_location="",FALSE,SUMPRODUCT(--ISNUMBER(SEARCH(","&amp;TRIM(TEXTSPLIT(CO33,","))&amp;",",","&amp;SUBSTITUTE(input_event_location," ","")&amp;",")))&gt;0)),IF(CQ33="",TRUE,IF(input_event_location="",FALSE,SUMPRODUCT(--ISNUMBER(SEARCH(","&amp;TRIM(TEXTSPLIT(CQ33,","))&amp;",",","&amp;SUBSTITUTE(input_event_location," ","")&amp;",")))=COUNTA(TEXTSPLIT(CQ33,",")))),IF(CS33="",TRUE,IF(input_event_location="",TRUE,SUMPRODUCT(--ISNUMBER(SEARCH(","&amp;TRIM(TEXTSPLIT(CS33,","))&amp;",",","&amp;SUBSTITUTE(input_event_location," ","")&amp;",")))=0)),IF(CU33="",TRUE,IF(input_event_location="",FALSE,SUMPRODUCT(--ISNUMBER(SEARCH(","&amp;TRIM(TEXTSPLIT(CU33,","))&amp;",",","&amp;SUBSTITUTE(input_event_location," ","")&amp;",")))&gt;0)),IF(CW33="",TRUE,IF(input_event_location="",FALSE,SUMPRODUCT(--ISNUMBER(SEARCH(","&amp;TRIM(TEXTSPLIT(CW33,","))&amp;",",","&amp;SUBSTITUTE(input_event_location," ","")&amp;",")))=COUNTA(TEXTSPLIT(CW33,",")))))</f>
        <v/>
      </c>
      <c r="JC33">
        <f>AND(IF(CY33="",TRUE,IF(input_event_type="",FALSE,SUMPRODUCT(--ISNUMBER(SEARCH(","&amp;TRIM(TEXTSPLIT(CY33,","))&amp;",",","&amp;SUBSTITUTE(input_event_type," ","")&amp;",")))&gt;0)),IF(DA33="",TRUE,IF(input_event_type="",FALSE,SUMPRODUCT(--ISNUMBER(SEARCH(","&amp;TRIM(TEXTSPLIT(DA33,","))&amp;",",","&amp;SUBSTITUTE(input_event_type," ","")&amp;",")))=COUNTA(TEXTSPLIT(DA33,",")))),IF(DC33="",TRUE,IF(input_event_type="",TRUE,SUMPRODUCT(--ISNUMBER(SEARCH(","&amp;TRIM(TEXTSPLIT(DC33,","))&amp;",",","&amp;SUBSTITUTE(input_event_type," ","")&amp;",")))=0)),IF(DE33="",TRUE,IF(input_event_type="",FALSE,SUMPRODUCT(--ISNUMBER(SEARCH(","&amp;TRIM(TEXTSPLIT(DE33,","))&amp;",",","&amp;SUBSTITUTE(input_event_type," ","")&amp;",")))&gt;0)),IF(DG33="",TRUE,IF(input_event_type="",FALSE,SUMPRODUCT(--ISNUMBER(SEARCH(","&amp;TRIM(TEXTSPLIT(DG33,","))&amp;",",","&amp;SUBSTITUTE(input_event_type," ","")&amp;",")))=COUNTA(TEXTSPLIT(DG33,",")))))</f>
        <v/>
      </c>
      <c r="JD33">
        <f>AND(IF(DI33="",TRUE,IF(input_executive_education_focus="",FALSE,SUMPRODUCT(--ISNUMBER(SEARCH(","&amp;TRIM(TEXTSPLIT(DI33,","))&amp;",",","&amp;SUBSTITUTE(input_executive_education_focus," ","")&amp;",")))&gt;0)),IF(DK33="",TRUE,IF(input_executive_education_focus="",FALSE,SUMPRODUCT(--ISNUMBER(SEARCH(","&amp;TRIM(TEXTSPLIT(DK33,","))&amp;",",","&amp;SUBSTITUTE(input_executive_education_focus," ","")&amp;",")))=COUNTA(TEXTSPLIT(DK33,",")))),IF(DM33="",TRUE,IF(input_executive_education_focus="",TRUE,SUMPRODUCT(--ISNUMBER(SEARCH(","&amp;TRIM(TEXTSPLIT(DM33,","))&amp;",",","&amp;SUBSTITUTE(input_executive_education_focus," ","")&amp;",")))=0)),IF(DO33="",TRUE,IF(input_executive_education_focus="",FALSE,SUMPRODUCT(--ISNUMBER(SEARCH(","&amp;TRIM(TEXTSPLIT(DO33,","))&amp;",",","&amp;SUBSTITUTE(input_executive_education_focus," ","")&amp;",")))&gt;0)),IF(DQ33="",TRUE,IF(input_executive_education_focus="",FALSE,SUMPRODUCT(--ISNUMBER(SEARCH(","&amp;TRIM(TEXTSPLIT(DQ33,","))&amp;",",","&amp;SUBSTITUTE(input_executive_education_focus," ","")&amp;",")))=COUNTA(TEXTSPLIT(DQ33,",")))))</f>
        <v/>
      </c>
      <c r="JE33">
        <f>AND(IF(DS33="",TRUE,IF(input_faculty_category="",FALSE,SUMPRODUCT(--ISNUMBER(SEARCH(","&amp;TRIM(TEXTSPLIT(DS33,","))&amp;",",","&amp;SUBSTITUTE(input_faculty_category," ","")&amp;",")))&gt;0)),IF(DU33="",TRUE,IF(input_faculty_category="",FALSE,SUMPRODUCT(--ISNUMBER(SEARCH(","&amp;TRIM(TEXTSPLIT(DU33,","))&amp;",",","&amp;SUBSTITUTE(input_faculty_category," ","")&amp;",")))=COUNTA(TEXTSPLIT(DU33,",")))),IF(DW33="",TRUE,IF(input_faculty_category="",TRUE,SUMPRODUCT(--ISNUMBER(SEARCH(","&amp;TRIM(TEXTSPLIT(DW33,","))&amp;",",","&amp;SUBSTITUTE(input_faculty_category," ","")&amp;",")))=0)),IF(DY33="",TRUE,IF(input_faculty_category="",FALSE,SUMPRODUCT(--ISNUMBER(SEARCH(","&amp;TRIM(TEXTSPLIT(DY33,","))&amp;",",","&amp;SUBSTITUTE(input_faculty_category," ","")&amp;",")))&gt;0)),IF(EA33="",TRUE,IF(input_faculty_category="",FALSE,SUMPRODUCT(--ISNUMBER(SEARCH(","&amp;TRIM(TEXTSPLIT(EA33,","))&amp;",",","&amp;SUBSTITUTE(input_faculty_category," ","")&amp;",")))=COUNTA(TEXTSPLIT(EA33,",")))))</f>
        <v/>
      </c>
      <c r="JF33">
        <f>AND(IF(EC33="",TRUE,IF(input_faculty_discipline="",FALSE,SUMPRODUCT(--ISNUMBER(SEARCH(","&amp;TRIM(TEXTSPLIT(EC33,","))&amp;",",","&amp;SUBSTITUTE(input_faculty_discipline," ","")&amp;",")))&gt;0)),IF(EE33="",TRUE,IF(input_faculty_discipline="",FALSE,SUMPRODUCT(--ISNUMBER(SEARCH(","&amp;TRIM(TEXTSPLIT(EE33,","))&amp;",",","&amp;SUBSTITUTE(input_faculty_discipline," ","")&amp;",")))=COUNTA(TEXTSPLIT(EE33,",")))),IF(EG33="",TRUE,IF(input_faculty_discipline="",TRUE,SUMPRODUCT(--ISNUMBER(SEARCH(","&amp;TRIM(TEXTSPLIT(EG33,","))&amp;",",","&amp;SUBSTITUTE(input_faculty_discipline," ","")&amp;",")))=0)),IF(EI33="",TRUE,IF(input_faculty_discipline="",FALSE,SUMPRODUCT(--ISNUMBER(SEARCH(","&amp;TRIM(TEXTSPLIT(EI33,","))&amp;",",","&amp;SUBSTITUTE(input_faculty_discipline," ","")&amp;",")))&gt;0)),IF(EK33="",TRUE,IF(input_faculty_discipline="",FALSE,SUMPRODUCT(--ISNUMBER(SEARCH(","&amp;TRIM(TEXTSPLIT(EK33,","))&amp;",",","&amp;SUBSTITUTE(input_faculty_discipline," ","")&amp;",")))=COUNTA(TEXTSPLIT(EK33,",")))))</f>
        <v/>
      </c>
      <c r="JG33">
        <f>AND(IF(EM33="",TRUE,IF(input_faculty_expertise="",FALSE,SUMPRODUCT(--ISNUMBER(SEARCH(","&amp;TRIM(TEXTSPLIT(EM33,","))&amp;",",","&amp;SUBSTITUTE(input_faculty_expertise," ","")&amp;",")))&gt;0)),IF(EO33="",TRUE,IF(input_faculty_expertise="",FALSE,SUMPRODUCT(--ISNUMBER(SEARCH(","&amp;TRIM(TEXTSPLIT(EO33,","))&amp;",",","&amp;SUBSTITUTE(input_faculty_expertise," ","")&amp;",")))=COUNTA(TEXTSPLIT(EO33,",")))),IF(EQ33="",TRUE,IF(input_faculty_expertise="",TRUE,SUMPRODUCT(--ISNUMBER(SEARCH(","&amp;TRIM(TEXTSPLIT(EQ33,","))&amp;",",","&amp;SUBSTITUTE(input_faculty_expertise," ","")&amp;",")))=0)),IF(ES33="",TRUE,IF(input_faculty_expertise="",FALSE,SUMPRODUCT(--ISNUMBER(SEARCH(","&amp;TRIM(TEXTSPLIT(ES33,","))&amp;",",","&amp;SUBSTITUTE(input_faculty_expertise," ","")&amp;",")))&gt;0)),IF(EU33="",TRUE,IF(input_faculty_expertise="",FALSE,SUMPRODUCT(--ISNUMBER(SEARCH(","&amp;TRIM(TEXTSPLIT(EU33,","))&amp;",",","&amp;SUBSTITUTE(input_faculty_expertise," ","")&amp;",")))=COUNTA(TEXTSPLIT(EU33,",")))))</f>
        <v/>
      </c>
      <c r="JH33">
        <f>AND(IF(EW33="",TRUE,IF(input_global_network_school="",FALSE,SUMPRODUCT(--ISNUMBER(SEARCH(","&amp;TRIM(TEXTSPLIT(EW33,","))&amp;",",","&amp;SUBSTITUTE(input_global_network_school," ","")&amp;",")))&gt;0)),IF(EY33="",TRUE,IF(input_global_network_school="",FALSE,SUMPRODUCT(--ISNUMBER(SEARCH(","&amp;TRIM(TEXTSPLIT(EY33,","))&amp;",",","&amp;SUBSTITUTE(input_global_network_school," ","")&amp;",")))=COUNTA(TEXTSPLIT(EY33,",")))),IF(FA33="",TRUE,IF(input_global_network_school="",TRUE,SUMPRODUCT(--ISNUMBER(SEARCH(","&amp;TRIM(TEXTSPLIT(FA33,","))&amp;",",","&amp;SUBSTITUTE(input_global_network_school," ","")&amp;",")))=0)),IF(FC33="",TRUE,IF(input_global_network_school="",FALSE,SUMPRODUCT(--ISNUMBER(SEARCH(","&amp;TRIM(TEXTSPLIT(FC33,","))&amp;",",","&amp;SUBSTITUTE(input_global_network_school," ","")&amp;",")))&gt;0)),IF(FE33="",TRUE,IF(input_global_network_school="",FALSE,SUMPRODUCT(--ISNUMBER(SEARCH(","&amp;TRIM(TEXTSPLIT(FE33,","))&amp;",",","&amp;SUBSTITUTE(input_global_network_school," ","")&amp;",")))=COUNTA(TEXTSPLIT(FE33,",")))))</f>
        <v/>
      </c>
      <c r="JI33">
        <f>AND(IF(FG33="",TRUE,IF(input_industry="",FALSE,SUMPRODUCT(--ISNUMBER(SEARCH(","&amp;TRIM(TEXTSPLIT(FG33,","))&amp;",",","&amp;SUBSTITUTE(input_industry," ","")&amp;",")))&gt;0)),IF(FI33="",TRUE,IF(input_industry="",FALSE,SUMPRODUCT(--ISNUMBER(SEARCH(","&amp;TRIM(TEXTSPLIT(FI33,","))&amp;",",","&amp;SUBSTITUTE(input_industry," ","")&amp;",")))=COUNTA(TEXTSPLIT(FI33,",")))),IF(FK33="",TRUE,IF(input_industry="",TRUE,SUMPRODUCT(--ISNUMBER(SEARCH(","&amp;TRIM(TEXTSPLIT(FK33,","))&amp;",",","&amp;SUBSTITUTE(input_industry," ","")&amp;",")))=0)),IF(FM33="",TRUE,IF(input_industry="",FALSE,SUMPRODUCT(--ISNUMBER(SEARCH(","&amp;TRIM(TEXTSPLIT(FM33,","))&amp;",",","&amp;SUBSTITUTE(input_industry," ","")&amp;",")))&gt;0)),IF(FO33="",TRUE,IF(input_industry="",FALSE,SUMPRODUCT(--ISNUMBER(SEARCH(","&amp;TRIM(TEXTSPLIT(FO33,","))&amp;",",","&amp;SUBSTITUTE(input_industry," ","")&amp;",")))=COUNTA(TEXTSPLIT(FO33,",")))))</f>
        <v/>
      </c>
      <c r="JJ33">
        <f>AND(IF(FQ33="",TRUE,IF(input_location="",FALSE,SUMPRODUCT(--ISNUMBER(SEARCH(","&amp;TRIM(TEXTSPLIT(FQ33,","))&amp;",",","&amp;SUBSTITUTE(input_location," ","")&amp;",")))&gt;0)),IF(FS33="",TRUE,IF(input_location="",FALSE,SUMPRODUCT(--ISNUMBER(SEARCH(","&amp;TRIM(TEXTSPLIT(FS33,","))&amp;",",","&amp;SUBSTITUTE(input_location," ","")&amp;",")))=COUNTA(TEXTSPLIT(FS33,",")))),IF(FU33="",TRUE,IF(input_location="",TRUE,SUMPRODUCT(--ISNUMBER(SEARCH(","&amp;TRIM(TEXTSPLIT(FU33,","))&amp;",",","&amp;SUBSTITUTE(input_location," ","")&amp;",")))=0)),IF(FW33="",TRUE,IF(input_location="",FALSE,SUMPRODUCT(--ISNUMBER(SEARCH(","&amp;TRIM(TEXTSPLIT(FW33,","))&amp;",",","&amp;SUBSTITUTE(input_location," ","")&amp;",")))&gt;0)),IF(FY33="",TRUE,IF(input_location="",FALSE,SUMPRODUCT(--ISNUMBER(SEARCH(","&amp;TRIM(TEXTSPLIT(FY33,","))&amp;",",","&amp;SUBSTITUTE(input_location," ","")&amp;",")))=COUNTA(TEXTSPLIT(FY33,",")))))</f>
        <v/>
      </c>
      <c r="JK33">
        <f>AND(IF(GA33="",TRUE,IF(input_modality="",FALSE,SUMPRODUCT(--ISNUMBER(SEARCH(","&amp;TRIM(TEXTSPLIT(GA33,","))&amp;",",","&amp;SUBSTITUTE(input_modality," ","")&amp;",")))&gt;0)),IF(GC33="",TRUE,IF(input_modality="",FALSE,SUMPRODUCT(--ISNUMBER(SEARCH(","&amp;TRIM(TEXTSPLIT(GC33,","))&amp;",",","&amp;SUBSTITUTE(input_modality," ","")&amp;",")))=COUNTA(TEXTSPLIT(GC33,",")))),IF(GE33="",TRUE,IF(input_modality="",TRUE,SUMPRODUCT(--ISNUMBER(SEARCH(","&amp;TRIM(TEXTSPLIT(GE33,","))&amp;",",","&amp;SUBSTITUTE(input_modality," ","")&amp;",")))=0)),IF(GG33="",TRUE,IF(input_modality="",FALSE,SUMPRODUCT(--ISNUMBER(SEARCH(","&amp;TRIM(TEXTSPLIT(GG33,","))&amp;",",","&amp;SUBSTITUTE(input_modality," ","")&amp;",")))&gt;0)),IF(GI33="",TRUE,IF(input_modality="",FALSE,SUMPRODUCT(--ISNUMBER(SEARCH(","&amp;TRIM(TEXTSPLIT(GI33,","))&amp;",",","&amp;SUBSTITUTE(input_modality," ","")&amp;",")))=COUNTA(TEXTSPLIT(GI33,",")))))</f>
        <v/>
      </c>
      <c r="JL33">
        <f>AND(IF(GK33="",TRUE,IF(input_organizer="",FALSE,SUMPRODUCT(--ISNUMBER(SEARCH(","&amp;TRIM(TEXTSPLIT(GK33,","))&amp;",",","&amp;SUBSTITUTE(input_organizer," ","")&amp;",")))&gt;0)),IF(GM33="",TRUE,IF(input_organizer="",FALSE,SUMPRODUCT(--ISNUMBER(SEARCH(","&amp;TRIM(TEXTSPLIT(GM33,","))&amp;",",","&amp;SUBSTITUTE(input_organizer," ","")&amp;",")))=COUNTA(TEXTSPLIT(GM33,",")))),IF(GO33="",TRUE,IF(input_organizer="",TRUE,SUMPRODUCT(--ISNUMBER(SEARCH(","&amp;TRIM(TEXTSPLIT(GO33,","))&amp;",",","&amp;SUBSTITUTE(input_organizer," ","")&amp;",")))=0)),IF(GQ33="",TRUE,IF(input_organizer="",FALSE,SUMPRODUCT(--ISNUMBER(SEARCH(","&amp;TRIM(TEXTSPLIT(GQ33,","))&amp;",",","&amp;SUBSTITUTE(input_organizer," ","")&amp;",")))&gt;0)),IF(GS33="",TRUE,IF(input_organizer="",FALSE,SUMPRODUCT(--ISNUMBER(SEARCH(","&amp;TRIM(TEXTSPLIT(GS33,","))&amp;",",","&amp;SUBSTITUTE(input_organizer," ","")&amp;",")))=COUNTA(TEXTSPLIT(GS33,",")))))</f>
        <v/>
      </c>
      <c r="JM33">
        <f>AND(IF(GU33="",TRUE,IF(input_profile_type="",FALSE,SUMPRODUCT(--ISNUMBER(SEARCH(","&amp;TRIM(TEXTSPLIT(GU33,","))&amp;",",","&amp;SUBSTITUTE(input_profile_type," ","")&amp;",")))&gt;0)),IF(GW33="",TRUE,IF(input_profile_type="",FALSE,SUMPRODUCT(--ISNUMBER(SEARCH(","&amp;TRIM(TEXTSPLIT(GW33,","))&amp;",",","&amp;SUBSTITUTE(input_profile_type," ","")&amp;",")))=COUNTA(TEXTSPLIT(GW33,",")))),IF(GY33="",TRUE,IF(input_profile_type="",TRUE,SUMPRODUCT(--ISNUMBER(SEARCH(","&amp;TRIM(TEXTSPLIT(GY33,","))&amp;",",","&amp;SUBSTITUTE(input_profile_type," ","")&amp;",")))=0)),IF(HA33="",TRUE,IF(input_profile_type="",FALSE,SUMPRODUCT(--ISNUMBER(SEARCH(","&amp;TRIM(TEXTSPLIT(HA33,","))&amp;",",","&amp;SUBSTITUTE(input_profile_type," ","")&amp;",")))&gt;0)),IF(HC33="",TRUE,IF(input_profile_type="",FALSE,SUMPRODUCT(--ISNUMBER(SEARCH(","&amp;TRIM(TEXTSPLIT(HC33,","))&amp;",",","&amp;SUBSTITUTE(input_profile_type," ","")&amp;",")))=COUNTA(TEXTSPLIT(HC33,",")))))</f>
        <v/>
      </c>
      <c r="JN33">
        <f>AND(IF(HE33="",TRUE,IF(input_program="",FALSE,SUMPRODUCT(--ISNUMBER(SEARCH(","&amp;TRIM(TEXTSPLIT(HE33,","))&amp;",",","&amp;SUBSTITUTE(input_program," ","")&amp;",")))&gt;0)),IF(HG33="",TRUE,IF(input_program="",FALSE,SUMPRODUCT(--ISNUMBER(SEARCH(","&amp;TRIM(TEXTSPLIT(HG33,","))&amp;",",","&amp;SUBSTITUTE(input_program," ","")&amp;",")))=COUNTA(TEXTSPLIT(HG33,",")))),IF(HI33="",TRUE,IF(input_program="",TRUE,SUMPRODUCT(--ISNUMBER(SEARCH(","&amp;TRIM(TEXTSPLIT(HI33,","))&amp;",",","&amp;SUBSTITUTE(input_program," ","")&amp;",")))=0)),IF(HK33="",TRUE,IF(input_program="",FALSE,SUMPRODUCT(--ISNUMBER(SEARCH(","&amp;TRIM(TEXTSPLIT(HK33,","))&amp;",",","&amp;SUBSTITUTE(input_program," ","")&amp;",")))&gt;0)),IF(HM33="",TRUE,IF(input_program="",FALSE,SUMPRODUCT(--ISNUMBER(SEARCH(","&amp;TRIM(TEXTSPLIT(HM33,","))&amp;",",","&amp;SUBSTITUTE(input_program," ","")&amp;",")))=COUNTA(TEXTSPLIT(HM33,",")))))</f>
        <v/>
      </c>
      <c r="JO33">
        <f>AND(IF(HO33="",TRUE,IF(input_story_categories="",FALSE,SUMPRODUCT(--ISNUMBER(SEARCH(","&amp;TRIM(TEXTSPLIT(HO33,","))&amp;",",","&amp;SUBSTITUTE(input_story_categories," ","")&amp;",")))&gt;0)),IF(HQ33="",TRUE,IF(input_story_categories="",FALSE,SUMPRODUCT(--ISNUMBER(SEARCH(","&amp;TRIM(TEXTSPLIT(HQ33,","))&amp;",",","&amp;SUBSTITUTE(input_story_categories," ","")&amp;",")))=COUNTA(TEXTSPLIT(HQ33,",")))),IF(HS33="",TRUE,IF(input_story_categories="",TRUE,SUMPRODUCT(--ISNUMBER(SEARCH(","&amp;TRIM(TEXTSPLIT(HS33,","))&amp;",",","&amp;SUBSTITUTE(input_story_categories," ","")&amp;",")))=0)),IF(HU33="",TRUE,IF(input_story_categories="",FALSE,SUMPRODUCT(--ISNUMBER(SEARCH(","&amp;TRIM(TEXTSPLIT(HU33,","))&amp;",",","&amp;SUBSTITUTE(input_story_categories," ","")&amp;",")))&gt;0)),IF(HW33="",TRUE,IF(input_story_categories="",FALSE,SUMPRODUCT(--ISNUMBER(SEARCH(","&amp;TRIM(TEXTSPLIT(HW33,","))&amp;",",","&amp;SUBSTITUTE(input_story_categories," ","")&amp;",")))=COUNTA(TEXTSPLIT(HW33,",")))))</f>
        <v/>
      </c>
      <c r="JP33">
        <f>AND(IF(HY33="",TRUE,IF(input_story_type="",FALSE,SUMPRODUCT(--ISNUMBER(SEARCH(","&amp;TRIM(TEXTSPLIT(HY33,","))&amp;",",","&amp;SUBSTITUTE(input_story_type," ","")&amp;",")))&gt;0)),IF(IA33="",TRUE,IF(input_story_type="",FALSE,SUMPRODUCT(--ISNUMBER(SEARCH(","&amp;TRIM(TEXTSPLIT(IA33,","))&amp;",",","&amp;SUBSTITUTE(input_story_type," ","")&amp;",")))=COUNTA(TEXTSPLIT(IA33,",")))),IF(IC33="",TRUE,IF(input_story_type="",TRUE,SUMPRODUCT(--ISNUMBER(SEARCH(","&amp;TRIM(TEXTSPLIT(IC33,","))&amp;",",","&amp;SUBSTITUTE(input_story_type," ","")&amp;",")))=0)),IF(IE33="",TRUE,IF(input_story_type="",FALSE,SUMPRODUCT(--ISNUMBER(SEARCH(","&amp;TRIM(TEXTSPLIT(IE33,","))&amp;",",","&amp;SUBSTITUTE(input_story_type," ","")&amp;",")))&gt;0)),IF(IG33="",TRUE,IF(input_story_type="",FALSE,SUMPRODUCT(--ISNUMBER(SEARCH(","&amp;TRIM(TEXTSPLIT(IG33,","))&amp;",",","&amp;SUBSTITUTE(input_story_type," ","")&amp;",")))=COUNTA(TEXTSPLIT(IG33,",")))))</f>
        <v/>
      </c>
      <c r="JQ33">
        <f>AND(IF(II33="",TRUE,IF(input_topics="",FALSE,SUMPRODUCT(--ISNUMBER(SEARCH(","&amp;TRIM(TEXTSPLIT(II33,","))&amp;",",","&amp;SUBSTITUTE(input_topics," ","")&amp;",")))&gt;0)),IF(IK33="",TRUE,IF(input_topics="",FALSE,SUMPRODUCT(--ISNUMBER(SEARCH(","&amp;TRIM(TEXTSPLIT(IK33,","))&amp;",",","&amp;SUBSTITUTE(input_topics," ","")&amp;",")))=COUNTA(TEXTSPLIT(IK33,",")))),IF(IM33="",TRUE,IF(input_topics="",TRUE,SUMPRODUCT(--ISNUMBER(SEARCH(","&amp;TRIM(TEXTSPLIT(IM33,","))&amp;",",","&amp;SUBSTITUTE(input_topics," ","")&amp;",")))=0)),IF(IO33="",TRUE,IF(input_topics="",FALSE,SUMPRODUCT(--ISNUMBER(SEARCH(","&amp;TRIM(TEXTSPLIT(IO33,","))&amp;",",","&amp;SUBSTITUTE(input_topics," ","")&amp;",")))&gt;0)),IF(IQ33="",TRUE,IF(input_topics="",FALSE,SUMPRODUCT(--ISNUMBER(SEARCH(","&amp;TRIM(TEXTSPLIT(IQ33,","))&amp;",",","&amp;SUBSTITUTE(input_topics," ","")&amp;",")))=COUNTA(TEXTSPLIT(IQ33,",")))))</f>
        <v/>
      </c>
    </row>
    <row r="34">
      <c r="A34" s="4">
        <f>IF(NOT(IS34),"Excluded",IF(AND(IT34,IU34,IV34,IW34,IX34,IY34,IZ34,JA34,JB34,JC34,JD34,JE34,JF34,JG34,JH34,JI34,JJ34,JK34,JL34,JM34,JN34,JO34,JP34,JQ34),IF(I34&gt;0,"Eligible but limited","Will appear"),"Excluded"))</f>
        <v/>
      </c>
      <c r="B34" s="4" t="inlineStr">
        <is>
          <t>All Publications by Author</t>
        </is>
      </c>
      <c r="C34" s="4" t="inlineStr">
        <is>
          <t>/faculty-research/faculty-directory/jeffrey-sonnenfeld</t>
        </is>
      </c>
      <c r="D34" s="4" t="inlineStr">
        <is>
          <t>/faculty-research/faculty-directory/jeffrey-sonnenfeld</t>
        </is>
      </c>
      <c r="E34" s="4" t="n">
        <v>1</v>
      </c>
      <c r="F34" s="4" t="inlineStr">
        <is>
          <t>publications</t>
        </is>
      </c>
      <c r="G34" s="4" t="inlineStr">
        <is>
          <t>publication_teaser_list</t>
        </is>
      </c>
      <c r="H34" s="4" t="inlineStr">
        <is>
          <t>publication_teaser_list_all_by_author</t>
        </is>
      </c>
      <c r="I34" s="4" t="inlineStr"/>
      <c r="J34" s="4" t="inlineStr">
        <is>
          <t>View/config rules</t>
        </is>
      </c>
      <c r="K34" s="4" t="inlineStr">
        <is>
          <t>Page placement</t>
        </is>
      </c>
      <c r="L34" s="4" t="inlineStr">
        <is>
          <t>Content type: publications; Source: View/config rules</t>
        </is>
      </c>
      <c r="M34" t="inlineStr"/>
      <c r="N34" t="inlineStr"/>
      <c r="O34" t="inlineStr"/>
      <c r="P34" t="inlineStr"/>
      <c r="Q34" t="inlineStr"/>
      <c r="R34" t="inlineStr"/>
      <c r="S34" t="inlineStr"/>
      <c r="T34" t="inlineStr"/>
      <c r="U34" t="inlineStr"/>
      <c r="V34" t="inlineStr"/>
      <c r="W34" t="inlineStr"/>
      <c r="X34" t="inlineStr"/>
      <c r="Y34" t="inlineStr"/>
      <c r="Z34" t="inlineStr"/>
      <c r="AA34" t="inlineStr"/>
      <c r="AB34" t="inlineStr"/>
      <c r="AC34" t="inlineStr"/>
      <c r="AD34" t="inlineStr"/>
      <c r="AE34" t="inlineStr"/>
      <c r="AF34" t="inlineStr"/>
      <c r="AG34" t="inlineStr"/>
      <c r="AH34" t="inlineStr"/>
      <c r="AI34" t="inlineStr"/>
      <c r="AJ34" t="inlineStr"/>
      <c r="AK34" t="inlineStr"/>
      <c r="AL34" t="inlineStr"/>
      <c r="AM34" t="inlineStr"/>
      <c r="AN34" t="inlineStr"/>
      <c r="AO34" t="inlineStr"/>
      <c r="AP34" t="inlineStr"/>
      <c r="AQ34" t="inlineStr"/>
      <c r="AR34" t="inlineStr"/>
      <c r="AS34" t="inlineStr"/>
      <c r="AT34" t="inlineStr"/>
      <c r="AU34" t="inlineStr"/>
      <c r="AV34" t="inlineStr"/>
      <c r="AW34" t="inlineStr"/>
      <c r="AX34" t="inlineStr"/>
      <c r="AY34" t="inlineStr"/>
      <c r="AZ34" t="inlineStr"/>
      <c r="BA34" t="inlineStr"/>
      <c r="BB34" t="inlineStr"/>
      <c r="BC34" t="inlineStr"/>
      <c r="BD34" t="inlineStr"/>
      <c r="BE34" t="inlineStr"/>
      <c r="BF34" t="inlineStr"/>
      <c r="BG34" t="inlineStr"/>
      <c r="BH34" t="inlineStr"/>
      <c r="BI34" t="inlineStr"/>
      <c r="BJ34" t="inlineStr"/>
      <c r="BK34" t="inlineStr"/>
      <c r="BL34" t="inlineStr"/>
      <c r="BM34" t="inlineStr"/>
      <c r="BN34" t="inlineStr"/>
      <c r="BO34" t="inlineStr"/>
      <c r="BP34" t="inlineStr"/>
      <c r="BQ34" t="inlineStr"/>
      <c r="BR34" t="inlineStr"/>
      <c r="BS34" t="inlineStr"/>
      <c r="BT34" t="inlineStr"/>
      <c r="BU34" t="inlineStr"/>
      <c r="BV34" t="inlineStr"/>
      <c r="BW34" t="inlineStr"/>
      <c r="BX34" t="inlineStr"/>
      <c r="BY34" t="inlineStr"/>
      <c r="BZ34" t="inlineStr"/>
      <c r="CA34" t="inlineStr"/>
      <c r="CB34" t="inlineStr"/>
      <c r="CC34" t="inlineStr"/>
      <c r="CD34" t="inlineStr"/>
      <c r="CE34" t="inlineStr"/>
      <c r="CF34" t="inlineStr"/>
      <c r="CG34" t="inlineStr"/>
      <c r="CH34" t="inlineStr"/>
      <c r="CI34" t="inlineStr"/>
      <c r="CJ34" t="inlineStr"/>
      <c r="CK34" t="inlineStr"/>
      <c r="CL34" t="inlineStr"/>
      <c r="CM34" t="inlineStr"/>
      <c r="CN34" t="inlineStr"/>
      <c r="CO34" t="inlineStr"/>
      <c r="CP34" t="inlineStr"/>
      <c r="CQ34" t="inlineStr"/>
      <c r="CR34" t="inlineStr"/>
      <c r="CS34" t="inlineStr"/>
      <c r="CT34" t="inlineStr"/>
      <c r="CU34" t="inlineStr"/>
      <c r="CV34" t="inlineStr"/>
      <c r="CW34" t="inlineStr"/>
      <c r="CX34" t="inlineStr"/>
      <c r="CY34" t="inlineStr"/>
      <c r="CZ34" t="inlineStr"/>
      <c r="DA34" t="inlineStr"/>
      <c r="DB34" t="inlineStr"/>
      <c r="DC34" t="inlineStr"/>
      <c r="DD34" t="inlineStr"/>
      <c r="DE34" t="inlineStr"/>
      <c r="DF34" t="inlineStr"/>
      <c r="DG34" t="inlineStr"/>
      <c r="DH34" t="inlineStr"/>
      <c r="DI34" t="inlineStr"/>
      <c r="DJ34" t="inlineStr"/>
      <c r="DK34" t="inlineStr"/>
      <c r="DL34" t="inlineStr"/>
      <c r="DM34" t="inlineStr"/>
      <c r="DN34" t="inlineStr"/>
      <c r="DO34" t="inlineStr"/>
      <c r="DP34" t="inlineStr"/>
      <c r="DQ34" t="inlineStr"/>
      <c r="DR34" t="inlineStr"/>
      <c r="DS34" t="inlineStr"/>
      <c r="DT34" t="inlineStr"/>
      <c r="DU34" t="inlineStr"/>
      <c r="DV34" t="inlineStr"/>
      <c r="DW34" t="inlineStr"/>
      <c r="DX34" t="inlineStr"/>
      <c r="DY34" t="inlineStr"/>
      <c r="DZ34" t="inlineStr"/>
      <c r="EA34" t="inlineStr"/>
      <c r="EB34" t="inlineStr"/>
      <c r="EC34" t="inlineStr"/>
      <c r="ED34" t="inlineStr"/>
      <c r="EE34" t="inlineStr"/>
      <c r="EF34" t="inlineStr"/>
      <c r="EG34" t="inlineStr"/>
      <c r="EH34" t="inlineStr"/>
      <c r="EI34" t="inlineStr"/>
      <c r="EJ34" t="inlineStr"/>
      <c r="EK34" t="inlineStr"/>
      <c r="EL34" t="inlineStr"/>
      <c r="EM34" t="inlineStr"/>
      <c r="EN34" t="inlineStr"/>
      <c r="EO34" t="inlineStr"/>
      <c r="EP34" t="inlineStr"/>
      <c r="EQ34" t="inlineStr"/>
      <c r="ER34" t="inlineStr"/>
      <c r="ES34" t="inlineStr"/>
      <c r="ET34" t="inlineStr"/>
      <c r="EU34" t="inlineStr"/>
      <c r="EV34" t="inlineStr"/>
      <c r="EW34" t="inlineStr"/>
      <c r="EX34" t="inlineStr"/>
      <c r="EY34" t="inlineStr"/>
      <c r="EZ34" t="inlineStr"/>
      <c r="FA34" t="inlineStr"/>
      <c r="FB34" t="inlineStr"/>
      <c r="FC34" t="inlineStr"/>
      <c r="FD34" t="inlineStr"/>
      <c r="FE34" t="inlineStr"/>
      <c r="FF34" t="inlineStr"/>
      <c r="FG34" t="inlineStr"/>
      <c r="FH34" t="inlineStr"/>
      <c r="FI34" t="inlineStr"/>
      <c r="FJ34" t="inlineStr"/>
      <c r="FK34" t="inlineStr"/>
      <c r="FL34" t="inlineStr"/>
      <c r="FM34" t="inlineStr"/>
      <c r="FN34" t="inlineStr"/>
      <c r="FO34" t="inlineStr"/>
      <c r="FP34" t="inlineStr"/>
      <c r="FQ34" t="inlineStr"/>
      <c r="FR34" t="inlineStr"/>
      <c r="FS34" t="inlineStr"/>
      <c r="FT34" t="inlineStr"/>
      <c r="FU34" t="inlineStr"/>
      <c r="FV34" t="inlineStr"/>
      <c r="FW34" t="inlineStr"/>
      <c r="FX34" t="inlineStr"/>
      <c r="FY34" t="inlineStr"/>
      <c r="FZ34" t="inlineStr"/>
      <c r="GA34" t="inlineStr"/>
      <c r="GB34" t="inlineStr"/>
      <c r="GC34" t="inlineStr"/>
      <c r="GD34" t="inlineStr"/>
      <c r="GE34" t="inlineStr"/>
      <c r="GF34" t="inlineStr"/>
      <c r="GG34" t="inlineStr"/>
      <c r="GH34" t="inlineStr"/>
      <c r="GI34" t="inlineStr"/>
      <c r="GJ34" t="inlineStr"/>
      <c r="GK34" t="inlineStr"/>
      <c r="GL34" t="inlineStr"/>
      <c r="GM34" t="inlineStr"/>
      <c r="GN34" t="inlineStr"/>
      <c r="GO34" t="inlineStr"/>
      <c r="GP34" t="inlineStr"/>
      <c r="GQ34" t="inlineStr"/>
      <c r="GR34" t="inlineStr"/>
      <c r="GS34" t="inlineStr"/>
      <c r="GT34" t="inlineStr"/>
      <c r="GU34" t="inlineStr"/>
      <c r="GV34" t="inlineStr"/>
      <c r="GW34" t="inlineStr"/>
      <c r="GX34" t="inlineStr"/>
      <c r="GY34" t="inlineStr"/>
      <c r="GZ34" t="inlineStr"/>
      <c r="HA34" t="inlineStr"/>
      <c r="HB34" t="inlineStr"/>
      <c r="HC34" t="inlineStr"/>
      <c r="HD34" t="inlineStr"/>
      <c r="HE34" t="inlineStr"/>
      <c r="HF34" t="inlineStr"/>
      <c r="HG34" t="inlineStr"/>
      <c r="HH34" t="inlineStr"/>
      <c r="HI34" t="inlineStr"/>
      <c r="HJ34" t="inlineStr"/>
      <c r="HK34" t="inlineStr"/>
      <c r="HL34" t="inlineStr"/>
      <c r="HM34" t="inlineStr"/>
      <c r="HN34" t="inlineStr"/>
      <c r="HO34" t="inlineStr"/>
      <c r="HP34" t="inlineStr"/>
      <c r="HQ34" t="inlineStr"/>
      <c r="HR34" t="inlineStr"/>
      <c r="HS34" t="inlineStr"/>
      <c r="HT34" t="inlineStr"/>
      <c r="HU34" t="inlineStr"/>
      <c r="HV34" t="inlineStr"/>
      <c r="HW34" t="inlineStr"/>
      <c r="HX34" t="inlineStr"/>
      <c r="HY34" t="inlineStr"/>
      <c r="HZ34" t="inlineStr"/>
      <c r="IA34" t="inlineStr"/>
      <c r="IB34" t="inlineStr"/>
      <c r="IC34" t="inlineStr"/>
      <c r="ID34" t="inlineStr"/>
      <c r="IE34" t="inlineStr"/>
      <c r="IF34" t="inlineStr"/>
      <c r="IG34" t="inlineStr"/>
      <c r="IH34" t="inlineStr"/>
      <c r="II34" t="inlineStr"/>
      <c r="IJ34" t="inlineStr"/>
      <c r="IK34" t="inlineStr"/>
      <c r="IL34" t="inlineStr"/>
      <c r="IM34" t="inlineStr"/>
      <c r="IN34" t="inlineStr"/>
      <c r="IO34" t="inlineStr"/>
      <c r="IP34" t="inlineStr"/>
      <c r="IQ34" t="inlineStr"/>
      <c r="IR34" t="inlineStr"/>
      <c r="IS34">
        <f>IF(input_content_type="",FALSE,ISNUMBER(SEARCH(","&amp;LOWER(input_content_type)&amp;",",","&amp;LOWER(F34)&amp;",")))</f>
        <v/>
      </c>
      <c r="IT34">
        <f>AND(IF(M34="",TRUE,IF(input_affiliations="",FALSE,SUMPRODUCT(--ISNUMBER(SEARCH(","&amp;TRIM(TEXTSPLIT(M34,","))&amp;",",","&amp;SUBSTITUTE(input_affiliations," ","")&amp;",")))&gt;0)),IF(O34="",TRUE,IF(input_affiliations="",FALSE,SUMPRODUCT(--ISNUMBER(SEARCH(","&amp;TRIM(TEXTSPLIT(O34,","))&amp;",",","&amp;SUBSTITUTE(input_affiliations," ","")&amp;",")))=COUNTA(TEXTSPLIT(O34,",")))),IF(Q34="",TRUE,IF(input_affiliations="",TRUE,SUMPRODUCT(--ISNUMBER(SEARCH(","&amp;TRIM(TEXTSPLIT(Q34,","))&amp;",",","&amp;SUBSTITUTE(input_affiliations," ","")&amp;",")))=0)),IF(S34="",TRUE,IF(input_affiliations="",FALSE,SUMPRODUCT(--ISNUMBER(SEARCH(","&amp;TRIM(TEXTSPLIT(S34,","))&amp;",",","&amp;SUBSTITUTE(input_affiliations," ","")&amp;",")))&gt;0)),IF(U34="",TRUE,IF(input_affiliations="",FALSE,SUMPRODUCT(--ISNUMBER(SEARCH(","&amp;TRIM(TEXTSPLIT(U34,","))&amp;",",","&amp;SUBSTITUTE(input_affiliations," ","")&amp;",")))=COUNTA(TEXTSPLIT(U34,",")))))</f>
        <v/>
      </c>
      <c r="IU34">
        <f>AND(IF(W34="",TRUE,IF(input_announcement_category="",FALSE,SUMPRODUCT(--ISNUMBER(SEARCH(","&amp;TRIM(TEXTSPLIT(W34,","))&amp;",",","&amp;SUBSTITUTE(input_announcement_category," ","")&amp;",")))&gt;0)),IF(Y34="",TRUE,IF(input_announcement_category="",FALSE,SUMPRODUCT(--ISNUMBER(SEARCH(","&amp;TRIM(TEXTSPLIT(Y34,","))&amp;",",","&amp;SUBSTITUTE(input_announcement_category," ","")&amp;",")))=COUNTA(TEXTSPLIT(Y34,",")))),IF(AA34="",TRUE,IF(input_announcement_category="",TRUE,SUMPRODUCT(--ISNUMBER(SEARCH(","&amp;TRIM(TEXTSPLIT(AA34,","))&amp;",",","&amp;SUBSTITUTE(input_announcement_category," ","")&amp;",")))=0)),IF(AC34="",TRUE,IF(input_announcement_category="",FALSE,SUMPRODUCT(--ISNUMBER(SEARCH(","&amp;TRIM(TEXTSPLIT(AC34,","))&amp;",",","&amp;SUBSTITUTE(input_announcement_category," ","")&amp;",")))&gt;0)),IF(AE34="",TRUE,IF(input_announcement_category="",FALSE,SUMPRODUCT(--ISNUMBER(SEARCH(","&amp;TRIM(TEXTSPLIT(AE34,","))&amp;",",","&amp;SUBSTITUTE(input_announcement_category," ","")&amp;",")))=COUNTA(TEXTSPLIT(AE34,",")))))</f>
        <v/>
      </c>
      <c r="IV34">
        <f>AND(IF(AG34="",TRUE,IF(input_area_of_focus="",FALSE,SUMPRODUCT(--ISNUMBER(SEARCH(","&amp;TRIM(TEXTSPLIT(AG34,","))&amp;",",","&amp;SUBSTITUTE(input_area_of_focus," ","")&amp;",")))&gt;0)),IF(AI34="",TRUE,IF(input_area_of_focus="",FALSE,SUMPRODUCT(--ISNUMBER(SEARCH(","&amp;TRIM(TEXTSPLIT(AI34,","))&amp;",",","&amp;SUBSTITUTE(input_area_of_focus," ","")&amp;",")))=COUNTA(TEXTSPLIT(AI34,",")))),IF(AK34="",TRUE,IF(input_area_of_focus="",TRUE,SUMPRODUCT(--ISNUMBER(SEARCH(","&amp;TRIM(TEXTSPLIT(AK34,","))&amp;",",","&amp;SUBSTITUTE(input_area_of_focus," ","")&amp;",")))=0)),IF(AM34="",TRUE,IF(input_area_of_focus="",FALSE,SUMPRODUCT(--ISNUMBER(SEARCH(","&amp;TRIM(TEXTSPLIT(AM34,","))&amp;",",","&amp;SUBSTITUTE(input_area_of_focus," ","")&amp;",")))&gt;0)),IF(AO34="",TRUE,IF(input_area_of_focus="",FALSE,SUMPRODUCT(--ISNUMBER(SEARCH(","&amp;TRIM(TEXTSPLIT(AO34,","))&amp;",",","&amp;SUBSTITUTE(input_area_of_focus," ","")&amp;",")))=COUNTA(TEXTSPLIT(AO34,",")))))</f>
        <v/>
      </c>
      <c r="IW34">
        <f>AND(IF(AQ34="",TRUE,IF(input_audience="",FALSE,SUMPRODUCT(--ISNUMBER(SEARCH(","&amp;TRIM(TEXTSPLIT(AQ34,","))&amp;",",","&amp;SUBSTITUTE(input_audience," ","")&amp;",")))&gt;0)),IF(AS34="",TRUE,IF(input_audience="",FALSE,SUMPRODUCT(--ISNUMBER(SEARCH(","&amp;TRIM(TEXTSPLIT(AS34,","))&amp;",",","&amp;SUBSTITUTE(input_audience," ","")&amp;",")))=COUNTA(TEXTSPLIT(AS34,",")))),IF(AU34="",TRUE,IF(input_audience="",TRUE,SUMPRODUCT(--ISNUMBER(SEARCH(","&amp;TRIM(TEXTSPLIT(AU34,","))&amp;",",","&amp;SUBSTITUTE(input_audience," ","")&amp;",")))=0)),IF(AW34="",TRUE,IF(input_audience="",FALSE,SUMPRODUCT(--ISNUMBER(SEARCH(","&amp;TRIM(TEXTSPLIT(AW34,","))&amp;",",","&amp;SUBSTITUTE(input_audience," ","")&amp;",")))&gt;0)),IF(AY34="",TRUE,IF(input_audience="",FALSE,SUMPRODUCT(--ISNUMBER(SEARCH(","&amp;TRIM(TEXTSPLIT(AY34,","))&amp;",",","&amp;SUBSTITUTE(input_audience," ","")&amp;",")))=COUNTA(TEXTSPLIT(AY34,",")))))</f>
        <v/>
      </c>
      <c r="IX34">
        <f>AND(IF(BA34="",TRUE,IF(input_challenge_opportunities="",FALSE,SUMPRODUCT(--ISNUMBER(SEARCH(","&amp;TRIM(TEXTSPLIT(BA34,","))&amp;",",","&amp;SUBSTITUTE(input_challenge_opportunities," ","")&amp;",")))&gt;0)),IF(BC34="",TRUE,IF(input_challenge_opportunities="",FALSE,SUMPRODUCT(--ISNUMBER(SEARCH(","&amp;TRIM(TEXTSPLIT(BC34,","))&amp;",",","&amp;SUBSTITUTE(input_challenge_opportunities," ","")&amp;",")))=COUNTA(TEXTSPLIT(BC34,",")))),IF(BE34="",TRUE,IF(input_challenge_opportunities="",TRUE,SUMPRODUCT(--ISNUMBER(SEARCH(","&amp;TRIM(TEXTSPLIT(BE34,","))&amp;",",","&amp;SUBSTITUTE(input_challenge_opportunities," ","")&amp;",")))=0)),IF(BG34="",TRUE,IF(input_challenge_opportunities="",FALSE,SUMPRODUCT(--ISNUMBER(SEARCH(","&amp;TRIM(TEXTSPLIT(BG34,","))&amp;",",","&amp;SUBSTITUTE(input_challenge_opportunities," ","")&amp;",")))&gt;0)),IF(BI34="",TRUE,IF(input_challenge_opportunities="",FALSE,SUMPRODUCT(--ISNUMBER(SEARCH(","&amp;TRIM(TEXTSPLIT(BI34,","))&amp;",",","&amp;SUBSTITUTE(input_challenge_opportunities," ","")&amp;",")))=COUNTA(TEXTSPLIT(BI34,",")))))</f>
        <v/>
      </c>
      <c r="IY34">
        <f>AND(IF(BK34="",TRUE,IF(input_context="",FALSE,SUMPRODUCT(--ISNUMBER(SEARCH(","&amp;TRIM(TEXTSPLIT(BK34,","))&amp;",",","&amp;SUBSTITUTE(input_context," ","")&amp;",")))&gt;0)),IF(BM34="",TRUE,IF(input_context="",FALSE,SUMPRODUCT(--ISNUMBER(SEARCH(","&amp;TRIM(TEXTSPLIT(BM34,","))&amp;",",","&amp;SUBSTITUTE(input_context," ","")&amp;",")))=COUNTA(TEXTSPLIT(BM34,",")))),IF(BO34="",TRUE,IF(input_context="",TRUE,SUMPRODUCT(--ISNUMBER(SEARCH(","&amp;TRIM(TEXTSPLIT(BO34,","))&amp;",",","&amp;SUBSTITUTE(input_context," ","")&amp;",")))=0)),IF(BQ34="",TRUE,IF(input_context="",FALSE,SUMPRODUCT(--ISNUMBER(SEARCH(","&amp;TRIM(TEXTSPLIT(BQ34,","))&amp;",",","&amp;SUBSTITUTE(input_context," ","")&amp;",")))&gt;0)),IF(BS34="",TRUE,IF(input_context="",FALSE,SUMPRODUCT(--ISNUMBER(SEARCH(","&amp;TRIM(TEXTSPLIT(BS34,","))&amp;",",","&amp;SUBSTITUTE(input_context," ","")&amp;",")))=COUNTA(TEXTSPLIT(BS34,",")))))</f>
        <v/>
      </c>
      <c r="IZ34">
        <f>AND(IF(BU34="",TRUE,IF(input_enews_announcement_type="",FALSE,SUMPRODUCT(--ISNUMBER(SEARCH(","&amp;TRIM(TEXTSPLIT(BU34,","))&amp;",",","&amp;SUBSTITUTE(input_enews_announcement_type," ","")&amp;",")))&gt;0)),IF(BW34="",TRUE,IF(input_enews_announcement_type="",FALSE,SUMPRODUCT(--ISNUMBER(SEARCH(","&amp;TRIM(TEXTSPLIT(BW34,","))&amp;",",","&amp;SUBSTITUTE(input_enews_announcement_type," ","")&amp;",")))=COUNTA(TEXTSPLIT(BW34,",")))),IF(BY34="",TRUE,IF(input_enews_announcement_type="",TRUE,SUMPRODUCT(--ISNUMBER(SEARCH(","&amp;TRIM(TEXTSPLIT(BY34,","))&amp;",",","&amp;SUBSTITUTE(input_enews_announcement_type," ","")&amp;",")))=0)),IF(CA34="",TRUE,IF(input_enews_announcement_type="",FALSE,SUMPRODUCT(--ISNUMBER(SEARCH(","&amp;TRIM(TEXTSPLIT(CA34,","))&amp;",",","&amp;SUBSTITUTE(input_enews_announcement_type," ","")&amp;",")))&gt;0)),IF(CC34="",TRUE,IF(input_enews_announcement_type="",FALSE,SUMPRODUCT(--ISNUMBER(SEARCH(","&amp;TRIM(TEXTSPLIT(CC34,","))&amp;",",","&amp;SUBSTITUTE(input_enews_announcement_type," ","")&amp;",")))=COUNTA(TEXTSPLIT(CC34,",")))))</f>
        <v/>
      </c>
      <c r="JA34">
        <f>AND(IF(CE34="",TRUE,IF(input_enews_audience="",FALSE,SUMPRODUCT(--ISNUMBER(SEARCH(","&amp;TRIM(TEXTSPLIT(CE34,","))&amp;",",","&amp;SUBSTITUTE(input_enews_audience," ","")&amp;",")))&gt;0)),IF(CG34="",TRUE,IF(input_enews_audience="",FALSE,SUMPRODUCT(--ISNUMBER(SEARCH(","&amp;TRIM(TEXTSPLIT(CG34,","))&amp;",",","&amp;SUBSTITUTE(input_enews_audience," ","")&amp;",")))=COUNTA(TEXTSPLIT(CG34,",")))),IF(CI34="",TRUE,IF(input_enews_audience="",TRUE,SUMPRODUCT(--ISNUMBER(SEARCH(","&amp;TRIM(TEXTSPLIT(CI34,","))&amp;",",","&amp;SUBSTITUTE(input_enews_audience," ","")&amp;",")))=0)),IF(CK34="",TRUE,IF(input_enews_audience="",FALSE,SUMPRODUCT(--ISNUMBER(SEARCH(","&amp;TRIM(TEXTSPLIT(CK34,","))&amp;",",","&amp;SUBSTITUTE(input_enews_audience," ","")&amp;",")))&gt;0)),IF(CM34="",TRUE,IF(input_enews_audience="",FALSE,SUMPRODUCT(--ISNUMBER(SEARCH(","&amp;TRIM(TEXTSPLIT(CM34,","))&amp;",",","&amp;SUBSTITUTE(input_enews_audience," ","")&amp;",")))=COUNTA(TEXTSPLIT(CM34,",")))))</f>
        <v/>
      </c>
      <c r="JB34">
        <f>AND(IF(CO34="",TRUE,IF(input_event_location="",FALSE,SUMPRODUCT(--ISNUMBER(SEARCH(","&amp;TRIM(TEXTSPLIT(CO34,","))&amp;",",","&amp;SUBSTITUTE(input_event_location," ","")&amp;",")))&gt;0)),IF(CQ34="",TRUE,IF(input_event_location="",FALSE,SUMPRODUCT(--ISNUMBER(SEARCH(","&amp;TRIM(TEXTSPLIT(CQ34,","))&amp;",",","&amp;SUBSTITUTE(input_event_location," ","")&amp;",")))=COUNTA(TEXTSPLIT(CQ34,",")))),IF(CS34="",TRUE,IF(input_event_location="",TRUE,SUMPRODUCT(--ISNUMBER(SEARCH(","&amp;TRIM(TEXTSPLIT(CS34,","))&amp;",",","&amp;SUBSTITUTE(input_event_location," ","")&amp;",")))=0)),IF(CU34="",TRUE,IF(input_event_location="",FALSE,SUMPRODUCT(--ISNUMBER(SEARCH(","&amp;TRIM(TEXTSPLIT(CU34,","))&amp;",",","&amp;SUBSTITUTE(input_event_location," ","")&amp;",")))&gt;0)),IF(CW34="",TRUE,IF(input_event_location="",FALSE,SUMPRODUCT(--ISNUMBER(SEARCH(","&amp;TRIM(TEXTSPLIT(CW34,","))&amp;",",","&amp;SUBSTITUTE(input_event_location," ","")&amp;",")))=COUNTA(TEXTSPLIT(CW34,",")))))</f>
        <v/>
      </c>
      <c r="JC34">
        <f>AND(IF(CY34="",TRUE,IF(input_event_type="",FALSE,SUMPRODUCT(--ISNUMBER(SEARCH(","&amp;TRIM(TEXTSPLIT(CY34,","))&amp;",",","&amp;SUBSTITUTE(input_event_type," ","")&amp;",")))&gt;0)),IF(DA34="",TRUE,IF(input_event_type="",FALSE,SUMPRODUCT(--ISNUMBER(SEARCH(","&amp;TRIM(TEXTSPLIT(DA34,","))&amp;",",","&amp;SUBSTITUTE(input_event_type," ","")&amp;",")))=COUNTA(TEXTSPLIT(DA34,",")))),IF(DC34="",TRUE,IF(input_event_type="",TRUE,SUMPRODUCT(--ISNUMBER(SEARCH(","&amp;TRIM(TEXTSPLIT(DC34,","))&amp;",",","&amp;SUBSTITUTE(input_event_type," ","")&amp;",")))=0)),IF(DE34="",TRUE,IF(input_event_type="",FALSE,SUMPRODUCT(--ISNUMBER(SEARCH(","&amp;TRIM(TEXTSPLIT(DE34,","))&amp;",",","&amp;SUBSTITUTE(input_event_type," ","")&amp;",")))&gt;0)),IF(DG34="",TRUE,IF(input_event_type="",FALSE,SUMPRODUCT(--ISNUMBER(SEARCH(","&amp;TRIM(TEXTSPLIT(DG34,","))&amp;",",","&amp;SUBSTITUTE(input_event_type," ","")&amp;",")))=COUNTA(TEXTSPLIT(DG34,",")))))</f>
        <v/>
      </c>
      <c r="JD34">
        <f>AND(IF(DI34="",TRUE,IF(input_executive_education_focus="",FALSE,SUMPRODUCT(--ISNUMBER(SEARCH(","&amp;TRIM(TEXTSPLIT(DI34,","))&amp;",",","&amp;SUBSTITUTE(input_executive_education_focus," ","")&amp;",")))&gt;0)),IF(DK34="",TRUE,IF(input_executive_education_focus="",FALSE,SUMPRODUCT(--ISNUMBER(SEARCH(","&amp;TRIM(TEXTSPLIT(DK34,","))&amp;",",","&amp;SUBSTITUTE(input_executive_education_focus," ","")&amp;",")))=COUNTA(TEXTSPLIT(DK34,",")))),IF(DM34="",TRUE,IF(input_executive_education_focus="",TRUE,SUMPRODUCT(--ISNUMBER(SEARCH(","&amp;TRIM(TEXTSPLIT(DM34,","))&amp;",",","&amp;SUBSTITUTE(input_executive_education_focus," ","")&amp;",")))=0)),IF(DO34="",TRUE,IF(input_executive_education_focus="",FALSE,SUMPRODUCT(--ISNUMBER(SEARCH(","&amp;TRIM(TEXTSPLIT(DO34,","))&amp;",",","&amp;SUBSTITUTE(input_executive_education_focus," ","")&amp;",")))&gt;0)),IF(DQ34="",TRUE,IF(input_executive_education_focus="",FALSE,SUMPRODUCT(--ISNUMBER(SEARCH(","&amp;TRIM(TEXTSPLIT(DQ34,","))&amp;",",","&amp;SUBSTITUTE(input_executive_education_focus," ","")&amp;",")))=COUNTA(TEXTSPLIT(DQ34,",")))))</f>
        <v/>
      </c>
      <c r="JE34">
        <f>AND(IF(DS34="",TRUE,IF(input_faculty_category="",FALSE,SUMPRODUCT(--ISNUMBER(SEARCH(","&amp;TRIM(TEXTSPLIT(DS34,","))&amp;",",","&amp;SUBSTITUTE(input_faculty_category," ","")&amp;",")))&gt;0)),IF(DU34="",TRUE,IF(input_faculty_category="",FALSE,SUMPRODUCT(--ISNUMBER(SEARCH(","&amp;TRIM(TEXTSPLIT(DU34,","))&amp;",",","&amp;SUBSTITUTE(input_faculty_category," ","")&amp;",")))=COUNTA(TEXTSPLIT(DU34,",")))),IF(DW34="",TRUE,IF(input_faculty_category="",TRUE,SUMPRODUCT(--ISNUMBER(SEARCH(","&amp;TRIM(TEXTSPLIT(DW34,","))&amp;",",","&amp;SUBSTITUTE(input_faculty_category," ","")&amp;",")))=0)),IF(DY34="",TRUE,IF(input_faculty_category="",FALSE,SUMPRODUCT(--ISNUMBER(SEARCH(","&amp;TRIM(TEXTSPLIT(DY34,","))&amp;",",","&amp;SUBSTITUTE(input_faculty_category," ","")&amp;",")))&gt;0)),IF(EA34="",TRUE,IF(input_faculty_category="",FALSE,SUMPRODUCT(--ISNUMBER(SEARCH(","&amp;TRIM(TEXTSPLIT(EA34,","))&amp;",",","&amp;SUBSTITUTE(input_faculty_category," ","")&amp;",")))=COUNTA(TEXTSPLIT(EA34,",")))))</f>
        <v/>
      </c>
      <c r="JF34">
        <f>AND(IF(EC34="",TRUE,IF(input_faculty_discipline="",FALSE,SUMPRODUCT(--ISNUMBER(SEARCH(","&amp;TRIM(TEXTSPLIT(EC34,","))&amp;",",","&amp;SUBSTITUTE(input_faculty_discipline," ","")&amp;",")))&gt;0)),IF(EE34="",TRUE,IF(input_faculty_discipline="",FALSE,SUMPRODUCT(--ISNUMBER(SEARCH(","&amp;TRIM(TEXTSPLIT(EE34,","))&amp;",",","&amp;SUBSTITUTE(input_faculty_discipline," ","")&amp;",")))=COUNTA(TEXTSPLIT(EE34,",")))),IF(EG34="",TRUE,IF(input_faculty_discipline="",TRUE,SUMPRODUCT(--ISNUMBER(SEARCH(","&amp;TRIM(TEXTSPLIT(EG34,","))&amp;",",","&amp;SUBSTITUTE(input_faculty_discipline," ","")&amp;",")))=0)),IF(EI34="",TRUE,IF(input_faculty_discipline="",FALSE,SUMPRODUCT(--ISNUMBER(SEARCH(","&amp;TRIM(TEXTSPLIT(EI34,","))&amp;",",","&amp;SUBSTITUTE(input_faculty_discipline," ","")&amp;",")))&gt;0)),IF(EK34="",TRUE,IF(input_faculty_discipline="",FALSE,SUMPRODUCT(--ISNUMBER(SEARCH(","&amp;TRIM(TEXTSPLIT(EK34,","))&amp;",",","&amp;SUBSTITUTE(input_faculty_discipline," ","")&amp;",")))=COUNTA(TEXTSPLIT(EK34,",")))))</f>
        <v/>
      </c>
      <c r="JG34">
        <f>AND(IF(EM34="",TRUE,IF(input_faculty_expertise="",FALSE,SUMPRODUCT(--ISNUMBER(SEARCH(","&amp;TRIM(TEXTSPLIT(EM34,","))&amp;",",","&amp;SUBSTITUTE(input_faculty_expertise," ","")&amp;",")))&gt;0)),IF(EO34="",TRUE,IF(input_faculty_expertise="",FALSE,SUMPRODUCT(--ISNUMBER(SEARCH(","&amp;TRIM(TEXTSPLIT(EO34,","))&amp;",",","&amp;SUBSTITUTE(input_faculty_expertise," ","")&amp;",")))=COUNTA(TEXTSPLIT(EO34,",")))),IF(EQ34="",TRUE,IF(input_faculty_expertise="",TRUE,SUMPRODUCT(--ISNUMBER(SEARCH(","&amp;TRIM(TEXTSPLIT(EQ34,","))&amp;",",","&amp;SUBSTITUTE(input_faculty_expertise," ","")&amp;",")))=0)),IF(ES34="",TRUE,IF(input_faculty_expertise="",FALSE,SUMPRODUCT(--ISNUMBER(SEARCH(","&amp;TRIM(TEXTSPLIT(ES34,","))&amp;",",","&amp;SUBSTITUTE(input_faculty_expertise," ","")&amp;",")))&gt;0)),IF(EU34="",TRUE,IF(input_faculty_expertise="",FALSE,SUMPRODUCT(--ISNUMBER(SEARCH(","&amp;TRIM(TEXTSPLIT(EU34,","))&amp;",",","&amp;SUBSTITUTE(input_faculty_expertise," ","")&amp;",")))=COUNTA(TEXTSPLIT(EU34,",")))))</f>
        <v/>
      </c>
      <c r="JH34">
        <f>AND(IF(EW34="",TRUE,IF(input_global_network_school="",FALSE,SUMPRODUCT(--ISNUMBER(SEARCH(","&amp;TRIM(TEXTSPLIT(EW34,","))&amp;",",","&amp;SUBSTITUTE(input_global_network_school," ","")&amp;",")))&gt;0)),IF(EY34="",TRUE,IF(input_global_network_school="",FALSE,SUMPRODUCT(--ISNUMBER(SEARCH(","&amp;TRIM(TEXTSPLIT(EY34,","))&amp;",",","&amp;SUBSTITUTE(input_global_network_school," ","")&amp;",")))=COUNTA(TEXTSPLIT(EY34,",")))),IF(FA34="",TRUE,IF(input_global_network_school="",TRUE,SUMPRODUCT(--ISNUMBER(SEARCH(","&amp;TRIM(TEXTSPLIT(FA34,","))&amp;",",","&amp;SUBSTITUTE(input_global_network_school," ","")&amp;",")))=0)),IF(FC34="",TRUE,IF(input_global_network_school="",FALSE,SUMPRODUCT(--ISNUMBER(SEARCH(","&amp;TRIM(TEXTSPLIT(FC34,","))&amp;",",","&amp;SUBSTITUTE(input_global_network_school," ","")&amp;",")))&gt;0)),IF(FE34="",TRUE,IF(input_global_network_school="",FALSE,SUMPRODUCT(--ISNUMBER(SEARCH(","&amp;TRIM(TEXTSPLIT(FE34,","))&amp;",",","&amp;SUBSTITUTE(input_global_network_school," ","")&amp;",")))=COUNTA(TEXTSPLIT(FE34,",")))))</f>
        <v/>
      </c>
      <c r="JI34">
        <f>AND(IF(FG34="",TRUE,IF(input_industry="",FALSE,SUMPRODUCT(--ISNUMBER(SEARCH(","&amp;TRIM(TEXTSPLIT(FG34,","))&amp;",",","&amp;SUBSTITUTE(input_industry," ","")&amp;",")))&gt;0)),IF(FI34="",TRUE,IF(input_industry="",FALSE,SUMPRODUCT(--ISNUMBER(SEARCH(","&amp;TRIM(TEXTSPLIT(FI34,","))&amp;",",","&amp;SUBSTITUTE(input_industry," ","")&amp;",")))=COUNTA(TEXTSPLIT(FI34,",")))),IF(FK34="",TRUE,IF(input_industry="",TRUE,SUMPRODUCT(--ISNUMBER(SEARCH(","&amp;TRIM(TEXTSPLIT(FK34,","))&amp;",",","&amp;SUBSTITUTE(input_industry," ","")&amp;",")))=0)),IF(FM34="",TRUE,IF(input_industry="",FALSE,SUMPRODUCT(--ISNUMBER(SEARCH(","&amp;TRIM(TEXTSPLIT(FM34,","))&amp;",",","&amp;SUBSTITUTE(input_industry," ","")&amp;",")))&gt;0)),IF(FO34="",TRUE,IF(input_industry="",FALSE,SUMPRODUCT(--ISNUMBER(SEARCH(","&amp;TRIM(TEXTSPLIT(FO34,","))&amp;",",","&amp;SUBSTITUTE(input_industry," ","")&amp;",")))=COUNTA(TEXTSPLIT(FO34,",")))))</f>
        <v/>
      </c>
      <c r="JJ34">
        <f>AND(IF(FQ34="",TRUE,IF(input_location="",FALSE,SUMPRODUCT(--ISNUMBER(SEARCH(","&amp;TRIM(TEXTSPLIT(FQ34,","))&amp;",",","&amp;SUBSTITUTE(input_location," ","")&amp;",")))&gt;0)),IF(FS34="",TRUE,IF(input_location="",FALSE,SUMPRODUCT(--ISNUMBER(SEARCH(","&amp;TRIM(TEXTSPLIT(FS34,","))&amp;",",","&amp;SUBSTITUTE(input_location," ","")&amp;",")))=COUNTA(TEXTSPLIT(FS34,",")))),IF(FU34="",TRUE,IF(input_location="",TRUE,SUMPRODUCT(--ISNUMBER(SEARCH(","&amp;TRIM(TEXTSPLIT(FU34,","))&amp;",",","&amp;SUBSTITUTE(input_location," ","")&amp;",")))=0)),IF(FW34="",TRUE,IF(input_location="",FALSE,SUMPRODUCT(--ISNUMBER(SEARCH(","&amp;TRIM(TEXTSPLIT(FW34,","))&amp;",",","&amp;SUBSTITUTE(input_location," ","")&amp;",")))&gt;0)),IF(FY34="",TRUE,IF(input_location="",FALSE,SUMPRODUCT(--ISNUMBER(SEARCH(","&amp;TRIM(TEXTSPLIT(FY34,","))&amp;",",","&amp;SUBSTITUTE(input_location," ","")&amp;",")))=COUNTA(TEXTSPLIT(FY34,",")))))</f>
        <v/>
      </c>
      <c r="JK34">
        <f>AND(IF(GA34="",TRUE,IF(input_modality="",FALSE,SUMPRODUCT(--ISNUMBER(SEARCH(","&amp;TRIM(TEXTSPLIT(GA34,","))&amp;",",","&amp;SUBSTITUTE(input_modality," ","")&amp;",")))&gt;0)),IF(GC34="",TRUE,IF(input_modality="",FALSE,SUMPRODUCT(--ISNUMBER(SEARCH(","&amp;TRIM(TEXTSPLIT(GC34,","))&amp;",",","&amp;SUBSTITUTE(input_modality," ","")&amp;",")))=COUNTA(TEXTSPLIT(GC34,",")))),IF(GE34="",TRUE,IF(input_modality="",TRUE,SUMPRODUCT(--ISNUMBER(SEARCH(","&amp;TRIM(TEXTSPLIT(GE34,","))&amp;",",","&amp;SUBSTITUTE(input_modality," ","")&amp;",")))=0)),IF(GG34="",TRUE,IF(input_modality="",FALSE,SUMPRODUCT(--ISNUMBER(SEARCH(","&amp;TRIM(TEXTSPLIT(GG34,","))&amp;",",","&amp;SUBSTITUTE(input_modality," ","")&amp;",")))&gt;0)),IF(GI34="",TRUE,IF(input_modality="",FALSE,SUMPRODUCT(--ISNUMBER(SEARCH(","&amp;TRIM(TEXTSPLIT(GI34,","))&amp;",",","&amp;SUBSTITUTE(input_modality," ","")&amp;",")))=COUNTA(TEXTSPLIT(GI34,",")))))</f>
        <v/>
      </c>
      <c r="JL34">
        <f>AND(IF(GK34="",TRUE,IF(input_organizer="",FALSE,SUMPRODUCT(--ISNUMBER(SEARCH(","&amp;TRIM(TEXTSPLIT(GK34,","))&amp;",",","&amp;SUBSTITUTE(input_organizer," ","")&amp;",")))&gt;0)),IF(GM34="",TRUE,IF(input_organizer="",FALSE,SUMPRODUCT(--ISNUMBER(SEARCH(","&amp;TRIM(TEXTSPLIT(GM34,","))&amp;",",","&amp;SUBSTITUTE(input_organizer," ","")&amp;",")))=COUNTA(TEXTSPLIT(GM34,",")))),IF(GO34="",TRUE,IF(input_organizer="",TRUE,SUMPRODUCT(--ISNUMBER(SEARCH(","&amp;TRIM(TEXTSPLIT(GO34,","))&amp;",",","&amp;SUBSTITUTE(input_organizer," ","")&amp;",")))=0)),IF(GQ34="",TRUE,IF(input_organizer="",FALSE,SUMPRODUCT(--ISNUMBER(SEARCH(","&amp;TRIM(TEXTSPLIT(GQ34,","))&amp;",",","&amp;SUBSTITUTE(input_organizer," ","")&amp;",")))&gt;0)),IF(GS34="",TRUE,IF(input_organizer="",FALSE,SUMPRODUCT(--ISNUMBER(SEARCH(","&amp;TRIM(TEXTSPLIT(GS34,","))&amp;",",","&amp;SUBSTITUTE(input_organizer," ","")&amp;",")))=COUNTA(TEXTSPLIT(GS34,",")))))</f>
        <v/>
      </c>
      <c r="JM34">
        <f>AND(IF(GU34="",TRUE,IF(input_profile_type="",FALSE,SUMPRODUCT(--ISNUMBER(SEARCH(","&amp;TRIM(TEXTSPLIT(GU34,","))&amp;",",","&amp;SUBSTITUTE(input_profile_type," ","")&amp;",")))&gt;0)),IF(GW34="",TRUE,IF(input_profile_type="",FALSE,SUMPRODUCT(--ISNUMBER(SEARCH(","&amp;TRIM(TEXTSPLIT(GW34,","))&amp;",",","&amp;SUBSTITUTE(input_profile_type," ","")&amp;",")))=COUNTA(TEXTSPLIT(GW34,",")))),IF(GY34="",TRUE,IF(input_profile_type="",TRUE,SUMPRODUCT(--ISNUMBER(SEARCH(","&amp;TRIM(TEXTSPLIT(GY34,","))&amp;",",","&amp;SUBSTITUTE(input_profile_type," ","")&amp;",")))=0)),IF(HA34="",TRUE,IF(input_profile_type="",FALSE,SUMPRODUCT(--ISNUMBER(SEARCH(","&amp;TRIM(TEXTSPLIT(HA34,","))&amp;",",","&amp;SUBSTITUTE(input_profile_type," ","")&amp;",")))&gt;0)),IF(HC34="",TRUE,IF(input_profile_type="",FALSE,SUMPRODUCT(--ISNUMBER(SEARCH(","&amp;TRIM(TEXTSPLIT(HC34,","))&amp;",",","&amp;SUBSTITUTE(input_profile_type," ","")&amp;",")))=COUNTA(TEXTSPLIT(HC34,",")))))</f>
        <v/>
      </c>
      <c r="JN34">
        <f>AND(IF(HE34="",TRUE,IF(input_program="",FALSE,SUMPRODUCT(--ISNUMBER(SEARCH(","&amp;TRIM(TEXTSPLIT(HE34,","))&amp;",",","&amp;SUBSTITUTE(input_program," ","")&amp;",")))&gt;0)),IF(HG34="",TRUE,IF(input_program="",FALSE,SUMPRODUCT(--ISNUMBER(SEARCH(","&amp;TRIM(TEXTSPLIT(HG34,","))&amp;",",","&amp;SUBSTITUTE(input_program," ","")&amp;",")))=COUNTA(TEXTSPLIT(HG34,",")))),IF(HI34="",TRUE,IF(input_program="",TRUE,SUMPRODUCT(--ISNUMBER(SEARCH(","&amp;TRIM(TEXTSPLIT(HI34,","))&amp;",",","&amp;SUBSTITUTE(input_program," ","")&amp;",")))=0)),IF(HK34="",TRUE,IF(input_program="",FALSE,SUMPRODUCT(--ISNUMBER(SEARCH(","&amp;TRIM(TEXTSPLIT(HK34,","))&amp;",",","&amp;SUBSTITUTE(input_program," ","")&amp;",")))&gt;0)),IF(HM34="",TRUE,IF(input_program="",FALSE,SUMPRODUCT(--ISNUMBER(SEARCH(","&amp;TRIM(TEXTSPLIT(HM34,","))&amp;",",","&amp;SUBSTITUTE(input_program," ","")&amp;",")))=COUNTA(TEXTSPLIT(HM34,",")))))</f>
        <v/>
      </c>
      <c r="JO34">
        <f>AND(IF(HO34="",TRUE,IF(input_story_categories="",FALSE,SUMPRODUCT(--ISNUMBER(SEARCH(","&amp;TRIM(TEXTSPLIT(HO34,","))&amp;",",","&amp;SUBSTITUTE(input_story_categories," ","")&amp;",")))&gt;0)),IF(HQ34="",TRUE,IF(input_story_categories="",FALSE,SUMPRODUCT(--ISNUMBER(SEARCH(","&amp;TRIM(TEXTSPLIT(HQ34,","))&amp;",",","&amp;SUBSTITUTE(input_story_categories," ","")&amp;",")))=COUNTA(TEXTSPLIT(HQ34,",")))),IF(HS34="",TRUE,IF(input_story_categories="",TRUE,SUMPRODUCT(--ISNUMBER(SEARCH(","&amp;TRIM(TEXTSPLIT(HS34,","))&amp;",",","&amp;SUBSTITUTE(input_story_categories," ","")&amp;",")))=0)),IF(HU34="",TRUE,IF(input_story_categories="",FALSE,SUMPRODUCT(--ISNUMBER(SEARCH(","&amp;TRIM(TEXTSPLIT(HU34,","))&amp;",",","&amp;SUBSTITUTE(input_story_categories," ","")&amp;",")))&gt;0)),IF(HW34="",TRUE,IF(input_story_categories="",FALSE,SUMPRODUCT(--ISNUMBER(SEARCH(","&amp;TRIM(TEXTSPLIT(HW34,","))&amp;",",","&amp;SUBSTITUTE(input_story_categories," ","")&amp;",")))=COUNTA(TEXTSPLIT(HW34,",")))))</f>
        <v/>
      </c>
      <c r="JP34">
        <f>AND(IF(HY34="",TRUE,IF(input_story_type="",FALSE,SUMPRODUCT(--ISNUMBER(SEARCH(","&amp;TRIM(TEXTSPLIT(HY34,","))&amp;",",","&amp;SUBSTITUTE(input_story_type," ","")&amp;",")))&gt;0)),IF(IA34="",TRUE,IF(input_story_type="",FALSE,SUMPRODUCT(--ISNUMBER(SEARCH(","&amp;TRIM(TEXTSPLIT(IA34,","))&amp;",",","&amp;SUBSTITUTE(input_story_type," ","")&amp;",")))=COUNTA(TEXTSPLIT(IA34,",")))),IF(IC34="",TRUE,IF(input_story_type="",TRUE,SUMPRODUCT(--ISNUMBER(SEARCH(","&amp;TRIM(TEXTSPLIT(IC34,","))&amp;",",","&amp;SUBSTITUTE(input_story_type," ","")&amp;",")))=0)),IF(IE34="",TRUE,IF(input_story_type="",FALSE,SUMPRODUCT(--ISNUMBER(SEARCH(","&amp;TRIM(TEXTSPLIT(IE34,","))&amp;",",","&amp;SUBSTITUTE(input_story_type," ","")&amp;",")))&gt;0)),IF(IG34="",TRUE,IF(input_story_type="",FALSE,SUMPRODUCT(--ISNUMBER(SEARCH(","&amp;TRIM(TEXTSPLIT(IG34,","))&amp;",",","&amp;SUBSTITUTE(input_story_type," ","")&amp;",")))=COUNTA(TEXTSPLIT(IG34,",")))))</f>
        <v/>
      </c>
      <c r="JQ34">
        <f>AND(IF(II34="",TRUE,IF(input_topics="",FALSE,SUMPRODUCT(--ISNUMBER(SEARCH(","&amp;TRIM(TEXTSPLIT(II34,","))&amp;",",","&amp;SUBSTITUTE(input_topics," ","")&amp;",")))&gt;0)),IF(IK34="",TRUE,IF(input_topics="",FALSE,SUMPRODUCT(--ISNUMBER(SEARCH(","&amp;TRIM(TEXTSPLIT(IK34,","))&amp;",",","&amp;SUBSTITUTE(input_topics," ","")&amp;",")))=COUNTA(TEXTSPLIT(IK34,",")))),IF(IM34="",TRUE,IF(input_topics="",TRUE,SUMPRODUCT(--ISNUMBER(SEARCH(","&amp;TRIM(TEXTSPLIT(IM34,","))&amp;",",","&amp;SUBSTITUTE(input_topics," ","")&amp;",")))=0)),IF(IO34="",TRUE,IF(input_topics="",FALSE,SUMPRODUCT(--ISNUMBER(SEARCH(","&amp;TRIM(TEXTSPLIT(IO34,","))&amp;",",","&amp;SUBSTITUTE(input_topics," ","")&amp;",")))&gt;0)),IF(IQ34="",TRUE,IF(input_topics="",FALSE,SUMPRODUCT(--ISNUMBER(SEARCH(","&amp;TRIM(TEXTSPLIT(IQ34,","))&amp;",",","&amp;SUBSTITUTE(input_topics," ","")&amp;",")))=COUNTA(TEXTSPLIT(IQ34,",")))))</f>
        <v/>
      </c>
    </row>
    <row r="35">
      <c r="A35" s="4">
        <f>IF(NOT(IS35),"Excluded",IF(AND(IT35,IU35,IV35,IW35,IX35,IY35,IZ35,JA35,JB35,JC35,JD35,JE35,JF35,JG35,JH35,JI35,JJ35,JK35,JL35,JM35,JN35,JO35,JP35,JQ35),IF(I35&gt;0,"Eligible but limited","Will appear"),"Excluded"))</f>
        <v/>
      </c>
      <c r="B35" s="4" t="inlineStr">
        <is>
          <t>All Publications by Author</t>
        </is>
      </c>
      <c r="C35" s="4" t="inlineStr">
        <is>
          <t>/faculty-research/faculty-directory/jennifer-dannals</t>
        </is>
      </c>
      <c r="D35" s="4" t="inlineStr">
        <is>
          <t>/faculty-research/faculty-directory/jennifer-dannals</t>
        </is>
      </c>
      <c r="E35" s="4" t="n">
        <v>1</v>
      </c>
      <c r="F35" s="4" t="inlineStr">
        <is>
          <t>publications</t>
        </is>
      </c>
      <c r="G35" s="4" t="inlineStr">
        <is>
          <t>publication_teaser_list</t>
        </is>
      </c>
      <c r="H35" s="4" t="inlineStr">
        <is>
          <t>publication_teaser_list_all_by_author</t>
        </is>
      </c>
      <c r="I35" s="4" t="inlineStr"/>
      <c r="J35" s="4" t="inlineStr">
        <is>
          <t>View/config rules</t>
        </is>
      </c>
      <c r="K35" s="4" t="inlineStr">
        <is>
          <t>Page placement</t>
        </is>
      </c>
      <c r="L35" s="4" t="inlineStr">
        <is>
          <t>Content type: publications; Source: View/config rules</t>
        </is>
      </c>
      <c r="M35" t="inlineStr"/>
      <c r="N35" t="inlineStr"/>
      <c r="O35" t="inlineStr"/>
      <c r="P35" t="inlineStr"/>
      <c r="Q35" t="inlineStr"/>
      <c r="R35" t="inlineStr"/>
      <c r="S35" t="inlineStr"/>
      <c r="T35" t="inlineStr"/>
      <c r="U35" t="inlineStr"/>
      <c r="V35" t="inlineStr"/>
      <c r="W35" t="inlineStr"/>
      <c r="X35" t="inlineStr"/>
      <c r="Y35" t="inlineStr"/>
      <c r="Z35" t="inlineStr"/>
      <c r="AA35" t="inlineStr"/>
      <c r="AB35" t="inlineStr"/>
      <c r="AC35" t="inlineStr"/>
      <c r="AD35" t="inlineStr"/>
      <c r="AE35" t="inlineStr"/>
      <c r="AF35" t="inlineStr"/>
      <c r="AG35" t="inlineStr"/>
      <c r="AH35" t="inlineStr"/>
      <c r="AI35" t="inlineStr"/>
      <c r="AJ35" t="inlineStr"/>
      <c r="AK35" t="inlineStr"/>
      <c r="AL35" t="inlineStr"/>
      <c r="AM35" t="inlineStr"/>
      <c r="AN35" t="inlineStr"/>
      <c r="AO35" t="inlineStr"/>
      <c r="AP35" t="inlineStr"/>
      <c r="AQ35" t="inlineStr"/>
      <c r="AR35" t="inlineStr"/>
      <c r="AS35" t="inlineStr"/>
      <c r="AT35" t="inlineStr"/>
      <c r="AU35" t="inlineStr"/>
      <c r="AV35" t="inlineStr"/>
      <c r="AW35" t="inlineStr"/>
      <c r="AX35" t="inlineStr"/>
      <c r="AY35" t="inlineStr"/>
      <c r="AZ35" t="inlineStr"/>
      <c r="BA35" t="inlineStr"/>
      <c r="BB35" t="inlineStr"/>
      <c r="BC35" t="inlineStr"/>
      <c r="BD35" t="inlineStr"/>
      <c r="BE35" t="inlineStr"/>
      <c r="BF35" t="inlineStr"/>
      <c r="BG35" t="inlineStr"/>
      <c r="BH35" t="inlineStr"/>
      <c r="BI35" t="inlineStr"/>
      <c r="BJ35" t="inlineStr"/>
      <c r="BK35" t="inlineStr"/>
      <c r="BL35" t="inlineStr"/>
      <c r="BM35" t="inlineStr"/>
      <c r="BN35" t="inlineStr"/>
      <c r="BO35" t="inlineStr"/>
      <c r="BP35" t="inlineStr"/>
      <c r="BQ35" t="inlineStr"/>
      <c r="BR35" t="inlineStr"/>
      <c r="BS35" t="inlineStr"/>
      <c r="BT35" t="inlineStr"/>
      <c r="BU35" t="inlineStr"/>
      <c r="BV35" t="inlineStr"/>
      <c r="BW35" t="inlineStr"/>
      <c r="BX35" t="inlineStr"/>
      <c r="BY35" t="inlineStr"/>
      <c r="BZ35" t="inlineStr"/>
      <c r="CA35" t="inlineStr"/>
      <c r="CB35" t="inlineStr"/>
      <c r="CC35" t="inlineStr"/>
      <c r="CD35" t="inlineStr"/>
      <c r="CE35" t="inlineStr"/>
      <c r="CF35" t="inlineStr"/>
      <c r="CG35" t="inlineStr"/>
      <c r="CH35" t="inlineStr"/>
      <c r="CI35" t="inlineStr"/>
      <c r="CJ35" t="inlineStr"/>
      <c r="CK35" t="inlineStr"/>
      <c r="CL35" t="inlineStr"/>
      <c r="CM35" t="inlineStr"/>
      <c r="CN35" t="inlineStr"/>
      <c r="CO35" t="inlineStr"/>
      <c r="CP35" t="inlineStr"/>
      <c r="CQ35" t="inlineStr"/>
      <c r="CR35" t="inlineStr"/>
      <c r="CS35" t="inlineStr"/>
      <c r="CT35" t="inlineStr"/>
      <c r="CU35" t="inlineStr"/>
      <c r="CV35" t="inlineStr"/>
      <c r="CW35" t="inlineStr"/>
      <c r="CX35" t="inlineStr"/>
      <c r="CY35" t="inlineStr"/>
      <c r="CZ35" t="inlineStr"/>
      <c r="DA35" t="inlineStr"/>
      <c r="DB35" t="inlineStr"/>
      <c r="DC35" t="inlineStr"/>
      <c r="DD35" t="inlineStr"/>
      <c r="DE35" t="inlineStr"/>
      <c r="DF35" t="inlineStr"/>
      <c r="DG35" t="inlineStr"/>
      <c r="DH35" t="inlineStr"/>
      <c r="DI35" t="inlineStr"/>
      <c r="DJ35" t="inlineStr"/>
      <c r="DK35" t="inlineStr"/>
      <c r="DL35" t="inlineStr"/>
      <c r="DM35" t="inlineStr"/>
      <c r="DN35" t="inlineStr"/>
      <c r="DO35" t="inlineStr"/>
      <c r="DP35" t="inlineStr"/>
      <c r="DQ35" t="inlineStr"/>
      <c r="DR35" t="inlineStr"/>
      <c r="DS35" t="inlineStr"/>
      <c r="DT35" t="inlineStr"/>
      <c r="DU35" t="inlineStr"/>
      <c r="DV35" t="inlineStr"/>
      <c r="DW35" t="inlineStr"/>
      <c r="DX35" t="inlineStr"/>
      <c r="DY35" t="inlineStr"/>
      <c r="DZ35" t="inlineStr"/>
      <c r="EA35" t="inlineStr"/>
      <c r="EB35" t="inlineStr"/>
      <c r="EC35" t="inlineStr"/>
      <c r="ED35" t="inlineStr"/>
      <c r="EE35" t="inlineStr"/>
      <c r="EF35" t="inlineStr"/>
      <c r="EG35" t="inlineStr"/>
      <c r="EH35" t="inlineStr"/>
      <c r="EI35" t="inlineStr"/>
      <c r="EJ35" t="inlineStr"/>
      <c r="EK35" t="inlineStr"/>
      <c r="EL35" t="inlineStr"/>
      <c r="EM35" t="inlineStr"/>
      <c r="EN35" t="inlineStr"/>
      <c r="EO35" t="inlineStr"/>
      <c r="EP35" t="inlineStr"/>
      <c r="EQ35" t="inlineStr"/>
      <c r="ER35" t="inlineStr"/>
      <c r="ES35" t="inlineStr"/>
      <c r="ET35" t="inlineStr"/>
      <c r="EU35" t="inlineStr"/>
      <c r="EV35" t="inlineStr"/>
      <c r="EW35" t="inlineStr"/>
      <c r="EX35" t="inlineStr"/>
      <c r="EY35" t="inlineStr"/>
      <c r="EZ35" t="inlineStr"/>
      <c r="FA35" t="inlineStr"/>
      <c r="FB35" t="inlineStr"/>
      <c r="FC35" t="inlineStr"/>
      <c r="FD35" t="inlineStr"/>
      <c r="FE35" t="inlineStr"/>
      <c r="FF35" t="inlineStr"/>
      <c r="FG35" t="inlineStr"/>
      <c r="FH35" t="inlineStr"/>
      <c r="FI35" t="inlineStr"/>
      <c r="FJ35" t="inlineStr"/>
      <c r="FK35" t="inlineStr"/>
      <c r="FL35" t="inlineStr"/>
      <c r="FM35" t="inlineStr"/>
      <c r="FN35" t="inlineStr"/>
      <c r="FO35" t="inlineStr"/>
      <c r="FP35" t="inlineStr"/>
      <c r="FQ35" t="inlineStr"/>
      <c r="FR35" t="inlineStr"/>
      <c r="FS35" t="inlineStr"/>
      <c r="FT35" t="inlineStr"/>
      <c r="FU35" t="inlineStr"/>
      <c r="FV35" t="inlineStr"/>
      <c r="FW35" t="inlineStr"/>
      <c r="FX35" t="inlineStr"/>
      <c r="FY35" t="inlineStr"/>
      <c r="FZ35" t="inlineStr"/>
      <c r="GA35" t="inlineStr"/>
      <c r="GB35" t="inlineStr"/>
      <c r="GC35" t="inlineStr"/>
      <c r="GD35" t="inlineStr"/>
      <c r="GE35" t="inlineStr"/>
      <c r="GF35" t="inlineStr"/>
      <c r="GG35" t="inlineStr"/>
      <c r="GH35" t="inlineStr"/>
      <c r="GI35" t="inlineStr"/>
      <c r="GJ35" t="inlineStr"/>
      <c r="GK35" t="inlineStr"/>
      <c r="GL35" t="inlineStr"/>
      <c r="GM35" t="inlineStr"/>
      <c r="GN35" t="inlineStr"/>
      <c r="GO35" t="inlineStr"/>
      <c r="GP35" t="inlineStr"/>
      <c r="GQ35" t="inlineStr"/>
      <c r="GR35" t="inlineStr"/>
      <c r="GS35" t="inlineStr"/>
      <c r="GT35" t="inlineStr"/>
      <c r="GU35" t="inlineStr"/>
      <c r="GV35" t="inlineStr"/>
      <c r="GW35" t="inlineStr"/>
      <c r="GX35" t="inlineStr"/>
      <c r="GY35" t="inlineStr"/>
      <c r="GZ35" t="inlineStr"/>
      <c r="HA35" t="inlineStr"/>
      <c r="HB35" t="inlineStr"/>
      <c r="HC35" t="inlineStr"/>
      <c r="HD35" t="inlineStr"/>
      <c r="HE35" t="inlineStr"/>
      <c r="HF35" t="inlineStr"/>
      <c r="HG35" t="inlineStr"/>
      <c r="HH35" t="inlineStr"/>
      <c r="HI35" t="inlineStr"/>
      <c r="HJ35" t="inlineStr"/>
      <c r="HK35" t="inlineStr"/>
      <c r="HL35" t="inlineStr"/>
      <c r="HM35" t="inlineStr"/>
      <c r="HN35" t="inlineStr"/>
      <c r="HO35" t="inlineStr"/>
      <c r="HP35" t="inlineStr"/>
      <c r="HQ35" t="inlineStr"/>
      <c r="HR35" t="inlineStr"/>
      <c r="HS35" t="inlineStr"/>
      <c r="HT35" t="inlineStr"/>
      <c r="HU35" t="inlineStr"/>
      <c r="HV35" t="inlineStr"/>
      <c r="HW35" t="inlineStr"/>
      <c r="HX35" t="inlineStr"/>
      <c r="HY35" t="inlineStr"/>
      <c r="HZ35" t="inlineStr"/>
      <c r="IA35" t="inlineStr"/>
      <c r="IB35" t="inlineStr"/>
      <c r="IC35" t="inlineStr"/>
      <c r="ID35" t="inlineStr"/>
      <c r="IE35" t="inlineStr"/>
      <c r="IF35" t="inlineStr"/>
      <c r="IG35" t="inlineStr"/>
      <c r="IH35" t="inlineStr"/>
      <c r="II35" t="inlineStr"/>
      <c r="IJ35" t="inlineStr"/>
      <c r="IK35" t="inlineStr"/>
      <c r="IL35" t="inlineStr"/>
      <c r="IM35" t="inlineStr"/>
      <c r="IN35" t="inlineStr"/>
      <c r="IO35" t="inlineStr"/>
      <c r="IP35" t="inlineStr"/>
      <c r="IQ35" t="inlineStr"/>
      <c r="IR35" t="inlineStr"/>
      <c r="IS35">
        <f>IF(input_content_type="",FALSE,ISNUMBER(SEARCH(","&amp;LOWER(input_content_type)&amp;",",","&amp;LOWER(F35)&amp;",")))</f>
        <v/>
      </c>
      <c r="IT35">
        <f>AND(IF(M35="",TRUE,IF(input_affiliations="",FALSE,SUMPRODUCT(--ISNUMBER(SEARCH(","&amp;TRIM(TEXTSPLIT(M35,","))&amp;",",","&amp;SUBSTITUTE(input_affiliations," ","")&amp;",")))&gt;0)),IF(O35="",TRUE,IF(input_affiliations="",FALSE,SUMPRODUCT(--ISNUMBER(SEARCH(","&amp;TRIM(TEXTSPLIT(O35,","))&amp;",",","&amp;SUBSTITUTE(input_affiliations," ","")&amp;",")))=COUNTA(TEXTSPLIT(O35,",")))),IF(Q35="",TRUE,IF(input_affiliations="",TRUE,SUMPRODUCT(--ISNUMBER(SEARCH(","&amp;TRIM(TEXTSPLIT(Q35,","))&amp;",",","&amp;SUBSTITUTE(input_affiliations," ","")&amp;",")))=0)),IF(S35="",TRUE,IF(input_affiliations="",FALSE,SUMPRODUCT(--ISNUMBER(SEARCH(","&amp;TRIM(TEXTSPLIT(S35,","))&amp;",",","&amp;SUBSTITUTE(input_affiliations," ","")&amp;",")))&gt;0)),IF(U35="",TRUE,IF(input_affiliations="",FALSE,SUMPRODUCT(--ISNUMBER(SEARCH(","&amp;TRIM(TEXTSPLIT(U35,","))&amp;",",","&amp;SUBSTITUTE(input_affiliations," ","")&amp;",")))=COUNTA(TEXTSPLIT(U35,",")))))</f>
        <v/>
      </c>
      <c r="IU35">
        <f>AND(IF(W35="",TRUE,IF(input_announcement_category="",FALSE,SUMPRODUCT(--ISNUMBER(SEARCH(","&amp;TRIM(TEXTSPLIT(W35,","))&amp;",",","&amp;SUBSTITUTE(input_announcement_category," ","")&amp;",")))&gt;0)),IF(Y35="",TRUE,IF(input_announcement_category="",FALSE,SUMPRODUCT(--ISNUMBER(SEARCH(","&amp;TRIM(TEXTSPLIT(Y35,","))&amp;",",","&amp;SUBSTITUTE(input_announcement_category," ","")&amp;",")))=COUNTA(TEXTSPLIT(Y35,",")))),IF(AA35="",TRUE,IF(input_announcement_category="",TRUE,SUMPRODUCT(--ISNUMBER(SEARCH(","&amp;TRIM(TEXTSPLIT(AA35,","))&amp;",",","&amp;SUBSTITUTE(input_announcement_category," ","")&amp;",")))=0)),IF(AC35="",TRUE,IF(input_announcement_category="",FALSE,SUMPRODUCT(--ISNUMBER(SEARCH(","&amp;TRIM(TEXTSPLIT(AC35,","))&amp;",",","&amp;SUBSTITUTE(input_announcement_category," ","")&amp;",")))&gt;0)),IF(AE35="",TRUE,IF(input_announcement_category="",FALSE,SUMPRODUCT(--ISNUMBER(SEARCH(","&amp;TRIM(TEXTSPLIT(AE35,","))&amp;",",","&amp;SUBSTITUTE(input_announcement_category," ","")&amp;",")))=COUNTA(TEXTSPLIT(AE35,",")))))</f>
        <v/>
      </c>
      <c r="IV35">
        <f>AND(IF(AG35="",TRUE,IF(input_area_of_focus="",FALSE,SUMPRODUCT(--ISNUMBER(SEARCH(","&amp;TRIM(TEXTSPLIT(AG35,","))&amp;",",","&amp;SUBSTITUTE(input_area_of_focus," ","")&amp;",")))&gt;0)),IF(AI35="",TRUE,IF(input_area_of_focus="",FALSE,SUMPRODUCT(--ISNUMBER(SEARCH(","&amp;TRIM(TEXTSPLIT(AI35,","))&amp;",",","&amp;SUBSTITUTE(input_area_of_focus," ","")&amp;",")))=COUNTA(TEXTSPLIT(AI35,",")))),IF(AK35="",TRUE,IF(input_area_of_focus="",TRUE,SUMPRODUCT(--ISNUMBER(SEARCH(","&amp;TRIM(TEXTSPLIT(AK35,","))&amp;",",","&amp;SUBSTITUTE(input_area_of_focus," ","")&amp;",")))=0)),IF(AM35="",TRUE,IF(input_area_of_focus="",FALSE,SUMPRODUCT(--ISNUMBER(SEARCH(","&amp;TRIM(TEXTSPLIT(AM35,","))&amp;",",","&amp;SUBSTITUTE(input_area_of_focus," ","")&amp;",")))&gt;0)),IF(AO35="",TRUE,IF(input_area_of_focus="",FALSE,SUMPRODUCT(--ISNUMBER(SEARCH(","&amp;TRIM(TEXTSPLIT(AO35,","))&amp;",",","&amp;SUBSTITUTE(input_area_of_focus," ","")&amp;",")))=COUNTA(TEXTSPLIT(AO35,",")))))</f>
        <v/>
      </c>
      <c r="IW35">
        <f>AND(IF(AQ35="",TRUE,IF(input_audience="",FALSE,SUMPRODUCT(--ISNUMBER(SEARCH(","&amp;TRIM(TEXTSPLIT(AQ35,","))&amp;",",","&amp;SUBSTITUTE(input_audience," ","")&amp;",")))&gt;0)),IF(AS35="",TRUE,IF(input_audience="",FALSE,SUMPRODUCT(--ISNUMBER(SEARCH(","&amp;TRIM(TEXTSPLIT(AS35,","))&amp;",",","&amp;SUBSTITUTE(input_audience," ","")&amp;",")))=COUNTA(TEXTSPLIT(AS35,",")))),IF(AU35="",TRUE,IF(input_audience="",TRUE,SUMPRODUCT(--ISNUMBER(SEARCH(","&amp;TRIM(TEXTSPLIT(AU35,","))&amp;",",","&amp;SUBSTITUTE(input_audience," ","")&amp;",")))=0)),IF(AW35="",TRUE,IF(input_audience="",FALSE,SUMPRODUCT(--ISNUMBER(SEARCH(","&amp;TRIM(TEXTSPLIT(AW35,","))&amp;",",","&amp;SUBSTITUTE(input_audience," ","")&amp;",")))&gt;0)),IF(AY35="",TRUE,IF(input_audience="",FALSE,SUMPRODUCT(--ISNUMBER(SEARCH(","&amp;TRIM(TEXTSPLIT(AY35,","))&amp;",",","&amp;SUBSTITUTE(input_audience," ","")&amp;",")))=COUNTA(TEXTSPLIT(AY35,",")))))</f>
        <v/>
      </c>
      <c r="IX35">
        <f>AND(IF(BA35="",TRUE,IF(input_challenge_opportunities="",FALSE,SUMPRODUCT(--ISNUMBER(SEARCH(","&amp;TRIM(TEXTSPLIT(BA35,","))&amp;",",","&amp;SUBSTITUTE(input_challenge_opportunities," ","")&amp;",")))&gt;0)),IF(BC35="",TRUE,IF(input_challenge_opportunities="",FALSE,SUMPRODUCT(--ISNUMBER(SEARCH(","&amp;TRIM(TEXTSPLIT(BC35,","))&amp;",",","&amp;SUBSTITUTE(input_challenge_opportunities," ","")&amp;",")))=COUNTA(TEXTSPLIT(BC35,",")))),IF(BE35="",TRUE,IF(input_challenge_opportunities="",TRUE,SUMPRODUCT(--ISNUMBER(SEARCH(","&amp;TRIM(TEXTSPLIT(BE35,","))&amp;",",","&amp;SUBSTITUTE(input_challenge_opportunities," ","")&amp;",")))=0)),IF(BG35="",TRUE,IF(input_challenge_opportunities="",FALSE,SUMPRODUCT(--ISNUMBER(SEARCH(","&amp;TRIM(TEXTSPLIT(BG35,","))&amp;",",","&amp;SUBSTITUTE(input_challenge_opportunities," ","")&amp;",")))&gt;0)),IF(BI35="",TRUE,IF(input_challenge_opportunities="",FALSE,SUMPRODUCT(--ISNUMBER(SEARCH(","&amp;TRIM(TEXTSPLIT(BI35,","))&amp;",",","&amp;SUBSTITUTE(input_challenge_opportunities," ","")&amp;",")))=COUNTA(TEXTSPLIT(BI35,",")))))</f>
        <v/>
      </c>
      <c r="IY35">
        <f>AND(IF(BK35="",TRUE,IF(input_context="",FALSE,SUMPRODUCT(--ISNUMBER(SEARCH(","&amp;TRIM(TEXTSPLIT(BK35,","))&amp;",",","&amp;SUBSTITUTE(input_context," ","")&amp;",")))&gt;0)),IF(BM35="",TRUE,IF(input_context="",FALSE,SUMPRODUCT(--ISNUMBER(SEARCH(","&amp;TRIM(TEXTSPLIT(BM35,","))&amp;",",","&amp;SUBSTITUTE(input_context," ","")&amp;",")))=COUNTA(TEXTSPLIT(BM35,",")))),IF(BO35="",TRUE,IF(input_context="",TRUE,SUMPRODUCT(--ISNUMBER(SEARCH(","&amp;TRIM(TEXTSPLIT(BO35,","))&amp;",",","&amp;SUBSTITUTE(input_context," ","")&amp;",")))=0)),IF(BQ35="",TRUE,IF(input_context="",FALSE,SUMPRODUCT(--ISNUMBER(SEARCH(","&amp;TRIM(TEXTSPLIT(BQ35,","))&amp;",",","&amp;SUBSTITUTE(input_context," ","")&amp;",")))&gt;0)),IF(BS35="",TRUE,IF(input_context="",FALSE,SUMPRODUCT(--ISNUMBER(SEARCH(","&amp;TRIM(TEXTSPLIT(BS35,","))&amp;",",","&amp;SUBSTITUTE(input_context," ","")&amp;",")))=COUNTA(TEXTSPLIT(BS35,",")))))</f>
        <v/>
      </c>
      <c r="IZ35">
        <f>AND(IF(BU35="",TRUE,IF(input_enews_announcement_type="",FALSE,SUMPRODUCT(--ISNUMBER(SEARCH(","&amp;TRIM(TEXTSPLIT(BU35,","))&amp;",",","&amp;SUBSTITUTE(input_enews_announcement_type," ","")&amp;",")))&gt;0)),IF(BW35="",TRUE,IF(input_enews_announcement_type="",FALSE,SUMPRODUCT(--ISNUMBER(SEARCH(","&amp;TRIM(TEXTSPLIT(BW35,","))&amp;",",","&amp;SUBSTITUTE(input_enews_announcement_type," ","")&amp;",")))=COUNTA(TEXTSPLIT(BW35,",")))),IF(BY35="",TRUE,IF(input_enews_announcement_type="",TRUE,SUMPRODUCT(--ISNUMBER(SEARCH(","&amp;TRIM(TEXTSPLIT(BY35,","))&amp;",",","&amp;SUBSTITUTE(input_enews_announcement_type," ","")&amp;",")))=0)),IF(CA35="",TRUE,IF(input_enews_announcement_type="",FALSE,SUMPRODUCT(--ISNUMBER(SEARCH(","&amp;TRIM(TEXTSPLIT(CA35,","))&amp;",",","&amp;SUBSTITUTE(input_enews_announcement_type," ","")&amp;",")))&gt;0)),IF(CC35="",TRUE,IF(input_enews_announcement_type="",FALSE,SUMPRODUCT(--ISNUMBER(SEARCH(","&amp;TRIM(TEXTSPLIT(CC35,","))&amp;",",","&amp;SUBSTITUTE(input_enews_announcement_type," ","")&amp;",")))=COUNTA(TEXTSPLIT(CC35,",")))))</f>
        <v/>
      </c>
      <c r="JA35">
        <f>AND(IF(CE35="",TRUE,IF(input_enews_audience="",FALSE,SUMPRODUCT(--ISNUMBER(SEARCH(","&amp;TRIM(TEXTSPLIT(CE35,","))&amp;",",","&amp;SUBSTITUTE(input_enews_audience," ","")&amp;",")))&gt;0)),IF(CG35="",TRUE,IF(input_enews_audience="",FALSE,SUMPRODUCT(--ISNUMBER(SEARCH(","&amp;TRIM(TEXTSPLIT(CG35,","))&amp;",",","&amp;SUBSTITUTE(input_enews_audience," ","")&amp;",")))=COUNTA(TEXTSPLIT(CG35,",")))),IF(CI35="",TRUE,IF(input_enews_audience="",TRUE,SUMPRODUCT(--ISNUMBER(SEARCH(","&amp;TRIM(TEXTSPLIT(CI35,","))&amp;",",","&amp;SUBSTITUTE(input_enews_audience," ","")&amp;",")))=0)),IF(CK35="",TRUE,IF(input_enews_audience="",FALSE,SUMPRODUCT(--ISNUMBER(SEARCH(","&amp;TRIM(TEXTSPLIT(CK35,","))&amp;",",","&amp;SUBSTITUTE(input_enews_audience," ","")&amp;",")))&gt;0)),IF(CM35="",TRUE,IF(input_enews_audience="",FALSE,SUMPRODUCT(--ISNUMBER(SEARCH(","&amp;TRIM(TEXTSPLIT(CM35,","))&amp;",",","&amp;SUBSTITUTE(input_enews_audience," ","")&amp;",")))=COUNTA(TEXTSPLIT(CM35,",")))))</f>
        <v/>
      </c>
      <c r="JB35">
        <f>AND(IF(CO35="",TRUE,IF(input_event_location="",FALSE,SUMPRODUCT(--ISNUMBER(SEARCH(","&amp;TRIM(TEXTSPLIT(CO35,","))&amp;",",","&amp;SUBSTITUTE(input_event_location," ","")&amp;",")))&gt;0)),IF(CQ35="",TRUE,IF(input_event_location="",FALSE,SUMPRODUCT(--ISNUMBER(SEARCH(","&amp;TRIM(TEXTSPLIT(CQ35,","))&amp;",",","&amp;SUBSTITUTE(input_event_location," ","")&amp;",")))=COUNTA(TEXTSPLIT(CQ35,",")))),IF(CS35="",TRUE,IF(input_event_location="",TRUE,SUMPRODUCT(--ISNUMBER(SEARCH(","&amp;TRIM(TEXTSPLIT(CS35,","))&amp;",",","&amp;SUBSTITUTE(input_event_location," ","")&amp;",")))=0)),IF(CU35="",TRUE,IF(input_event_location="",FALSE,SUMPRODUCT(--ISNUMBER(SEARCH(","&amp;TRIM(TEXTSPLIT(CU35,","))&amp;",",","&amp;SUBSTITUTE(input_event_location," ","")&amp;",")))&gt;0)),IF(CW35="",TRUE,IF(input_event_location="",FALSE,SUMPRODUCT(--ISNUMBER(SEARCH(","&amp;TRIM(TEXTSPLIT(CW35,","))&amp;",",","&amp;SUBSTITUTE(input_event_location," ","")&amp;",")))=COUNTA(TEXTSPLIT(CW35,",")))))</f>
        <v/>
      </c>
      <c r="JC35">
        <f>AND(IF(CY35="",TRUE,IF(input_event_type="",FALSE,SUMPRODUCT(--ISNUMBER(SEARCH(","&amp;TRIM(TEXTSPLIT(CY35,","))&amp;",",","&amp;SUBSTITUTE(input_event_type," ","")&amp;",")))&gt;0)),IF(DA35="",TRUE,IF(input_event_type="",FALSE,SUMPRODUCT(--ISNUMBER(SEARCH(","&amp;TRIM(TEXTSPLIT(DA35,","))&amp;",",","&amp;SUBSTITUTE(input_event_type," ","")&amp;",")))=COUNTA(TEXTSPLIT(DA35,",")))),IF(DC35="",TRUE,IF(input_event_type="",TRUE,SUMPRODUCT(--ISNUMBER(SEARCH(","&amp;TRIM(TEXTSPLIT(DC35,","))&amp;",",","&amp;SUBSTITUTE(input_event_type," ","")&amp;",")))=0)),IF(DE35="",TRUE,IF(input_event_type="",FALSE,SUMPRODUCT(--ISNUMBER(SEARCH(","&amp;TRIM(TEXTSPLIT(DE35,","))&amp;",",","&amp;SUBSTITUTE(input_event_type," ","")&amp;",")))&gt;0)),IF(DG35="",TRUE,IF(input_event_type="",FALSE,SUMPRODUCT(--ISNUMBER(SEARCH(","&amp;TRIM(TEXTSPLIT(DG35,","))&amp;",",","&amp;SUBSTITUTE(input_event_type," ","")&amp;",")))=COUNTA(TEXTSPLIT(DG35,",")))))</f>
        <v/>
      </c>
      <c r="JD35">
        <f>AND(IF(DI35="",TRUE,IF(input_executive_education_focus="",FALSE,SUMPRODUCT(--ISNUMBER(SEARCH(","&amp;TRIM(TEXTSPLIT(DI35,","))&amp;",",","&amp;SUBSTITUTE(input_executive_education_focus," ","")&amp;",")))&gt;0)),IF(DK35="",TRUE,IF(input_executive_education_focus="",FALSE,SUMPRODUCT(--ISNUMBER(SEARCH(","&amp;TRIM(TEXTSPLIT(DK35,","))&amp;",",","&amp;SUBSTITUTE(input_executive_education_focus," ","")&amp;",")))=COUNTA(TEXTSPLIT(DK35,",")))),IF(DM35="",TRUE,IF(input_executive_education_focus="",TRUE,SUMPRODUCT(--ISNUMBER(SEARCH(","&amp;TRIM(TEXTSPLIT(DM35,","))&amp;",",","&amp;SUBSTITUTE(input_executive_education_focus," ","")&amp;",")))=0)),IF(DO35="",TRUE,IF(input_executive_education_focus="",FALSE,SUMPRODUCT(--ISNUMBER(SEARCH(","&amp;TRIM(TEXTSPLIT(DO35,","))&amp;",",","&amp;SUBSTITUTE(input_executive_education_focus," ","")&amp;",")))&gt;0)),IF(DQ35="",TRUE,IF(input_executive_education_focus="",FALSE,SUMPRODUCT(--ISNUMBER(SEARCH(","&amp;TRIM(TEXTSPLIT(DQ35,","))&amp;",",","&amp;SUBSTITUTE(input_executive_education_focus," ","")&amp;",")))=COUNTA(TEXTSPLIT(DQ35,",")))))</f>
        <v/>
      </c>
      <c r="JE35">
        <f>AND(IF(DS35="",TRUE,IF(input_faculty_category="",FALSE,SUMPRODUCT(--ISNUMBER(SEARCH(","&amp;TRIM(TEXTSPLIT(DS35,","))&amp;",",","&amp;SUBSTITUTE(input_faculty_category," ","")&amp;",")))&gt;0)),IF(DU35="",TRUE,IF(input_faculty_category="",FALSE,SUMPRODUCT(--ISNUMBER(SEARCH(","&amp;TRIM(TEXTSPLIT(DU35,","))&amp;",",","&amp;SUBSTITUTE(input_faculty_category," ","")&amp;",")))=COUNTA(TEXTSPLIT(DU35,",")))),IF(DW35="",TRUE,IF(input_faculty_category="",TRUE,SUMPRODUCT(--ISNUMBER(SEARCH(","&amp;TRIM(TEXTSPLIT(DW35,","))&amp;",",","&amp;SUBSTITUTE(input_faculty_category," ","")&amp;",")))=0)),IF(DY35="",TRUE,IF(input_faculty_category="",FALSE,SUMPRODUCT(--ISNUMBER(SEARCH(","&amp;TRIM(TEXTSPLIT(DY35,","))&amp;",",","&amp;SUBSTITUTE(input_faculty_category," ","")&amp;",")))&gt;0)),IF(EA35="",TRUE,IF(input_faculty_category="",FALSE,SUMPRODUCT(--ISNUMBER(SEARCH(","&amp;TRIM(TEXTSPLIT(EA35,","))&amp;",",","&amp;SUBSTITUTE(input_faculty_category," ","")&amp;",")))=COUNTA(TEXTSPLIT(EA35,",")))))</f>
        <v/>
      </c>
      <c r="JF35">
        <f>AND(IF(EC35="",TRUE,IF(input_faculty_discipline="",FALSE,SUMPRODUCT(--ISNUMBER(SEARCH(","&amp;TRIM(TEXTSPLIT(EC35,","))&amp;",",","&amp;SUBSTITUTE(input_faculty_discipline," ","")&amp;",")))&gt;0)),IF(EE35="",TRUE,IF(input_faculty_discipline="",FALSE,SUMPRODUCT(--ISNUMBER(SEARCH(","&amp;TRIM(TEXTSPLIT(EE35,","))&amp;",",","&amp;SUBSTITUTE(input_faculty_discipline," ","")&amp;",")))=COUNTA(TEXTSPLIT(EE35,",")))),IF(EG35="",TRUE,IF(input_faculty_discipline="",TRUE,SUMPRODUCT(--ISNUMBER(SEARCH(","&amp;TRIM(TEXTSPLIT(EG35,","))&amp;",",","&amp;SUBSTITUTE(input_faculty_discipline," ","")&amp;",")))=0)),IF(EI35="",TRUE,IF(input_faculty_discipline="",FALSE,SUMPRODUCT(--ISNUMBER(SEARCH(","&amp;TRIM(TEXTSPLIT(EI35,","))&amp;",",","&amp;SUBSTITUTE(input_faculty_discipline," ","")&amp;",")))&gt;0)),IF(EK35="",TRUE,IF(input_faculty_discipline="",FALSE,SUMPRODUCT(--ISNUMBER(SEARCH(","&amp;TRIM(TEXTSPLIT(EK35,","))&amp;",",","&amp;SUBSTITUTE(input_faculty_discipline," ","")&amp;",")))=COUNTA(TEXTSPLIT(EK35,",")))))</f>
        <v/>
      </c>
      <c r="JG35">
        <f>AND(IF(EM35="",TRUE,IF(input_faculty_expertise="",FALSE,SUMPRODUCT(--ISNUMBER(SEARCH(","&amp;TRIM(TEXTSPLIT(EM35,","))&amp;",",","&amp;SUBSTITUTE(input_faculty_expertise," ","")&amp;",")))&gt;0)),IF(EO35="",TRUE,IF(input_faculty_expertise="",FALSE,SUMPRODUCT(--ISNUMBER(SEARCH(","&amp;TRIM(TEXTSPLIT(EO35,","))&amp;",",","&amp;SUBSTITUTE(input_faculty_expertise," ","")&amp;",")))=COUNTA(TEXTSPLIT(EO35,",")))),IF(EQ35="",TRUE,IF(input_faculty_expertise="",TRUE,SUMPRODUCT(--ISNUMBER(SEARCH(","&amp;TRIM(TEXTSPLIT(EQ35,","))&amp;",",","&amp;SUBSTITUTE(input_faculty_expertise," ","")&amp;",")))=0)),IF(ES35="",TRUE,IF(input_faculty_expertise="",FALSE,SUMPRODUCT(--ISNUMBER(SEARCH(","&amp;TRIM(TEXTSPLIT(ES35,","))&amp;",",","&amp;SUBSTITUTE(input_faculty_expertise," ","")&amp;",")))&gt;0)),IF(EU35="",TRUE,IF(input_faculty_expertise="",FALSE,SUMPRODUCT(--ISNUMBER(SEARCH(","&amp;TRIM(TEXTSPLIT(EU35,","))&amp;",",","&amp;SUBSTITUTE(input_faculty_expertise," ","")&amp;",")))=COUNTA(TEXTSPLIT(EU35,",")))))</f>
        <v/>
      </c>
      <c r="JH35">
        <f>AND(IF(EW35="",TRUE,IF(input_global_network_school="",FALSE,SUMPRODUCT(--ISNUMBER(SEARCH(","&amp;TRIM(TEXTSPLIT(EW35,","))&amp;",",","&amp;SUBSTITUTE(input_global_network_school," ","")&amp;",")))&gt;0)),IF(EY35="",TRUE,IF(input_global_network_school="",FALSE,SUMPRODUCT(--ISNUMBER(SEARCH(","&amp;TRIM(TEXTSPLIT(EY35,","))&amp;",",","&amp;SUBSTITUTE(input_global_network_school," ","")&amp;",")))=COUNTA(TEXTSPLIT(EY35,",")))),IF(FA35="",TRUE,IF(input_global_network_school="",TRUE,SUMPRODUCT(--ISNUMBER(SEARCH(","&amp;TRIM(TEXTSPLIT(FA35,","))&amp;",",","&amp;SUBSTITUTE(input_global_network_school," ","")&amp;",")))=0)),IF(FC35="",TRUE,IF(input_global_network_school="",FALSE,SUMPRODUCT(--ISNUMBER(SEARCH(","&amp;TRIM(TEXTSPLIT(FC35,","))&amp;",",","&amp;SUBSTITUTE(input_global_network_school," ","")&amp;",")))&gt;0)),IF(FE35="",TRUE,IF(input_global_network_school="",FALSE,SUMPRODUCT(--ISNUMBER(SEARCH(","&amp;TRIM(TEXTSPLIT(FE35,","))&amp;",",","&amp;SUBSTITUTE(input_global_network_school," ","")&amp;",")))=COUNTA(TEXTSPLIT(FE35,",")))))</f>
        <v/>
      </c>
      <c r="JI35">
        <f>AND(IF(FG35="",TRUE,IF(input_industry="",FALSE,SUMPRODUCT(--ISNUMBER(SEARCH(","&amp;TRIM(TEXTSPLIT(FG35,","))&amp;",",","&amp;SUBSTITUTE(input_industry," ","")&amp;",")))&gt;0)),IF(FI35="",TRUE,IF(input_industry="",FALSE,SUMPRODUCT(--ISNUMBER(SEARCH(","&amp;TRIM(TEXTSPLIT(FI35,","))&amp;",",","&amp;SUBSTITUTE(input_industry," ","")&amp;",")))=COUNTA(TEXTSPLIT(FI35,",")))),IF(FK35="",TRUE,IF(input_industry="",TRUE,SUMPRODUCT(--ISNUMBER(SEARCH(","&amp;TRIM(TEXTSPLIT(FK35,","))&amp;",",","&amp;SUBSTITUTE(input_industry," ","")&amp;",")))=0)),IF(FM35="",TRUE,IF(input_industry="",FALSE,SUMPRODUCT(--ISNUMBER(SEARCH(","&amp;TRIM(TEXTSPLIT(FM35,","))&amp;",",","&amp;SUBSTITUTE(input_industry," ","")&amp;",")))&gt;0)),IF(FO35="",TRUE,IF(input_industry="",FALSE,SUMPRODUCT(--ISNUMBER(SEARCH(","&amp;TRIM(TEXTSPLIT(FO35,","))&amp;",",","&amp;SUBSTITUTE(input_industry," ","")&amp;",")))=COUNTA(TEXTSPLIT(FO35,",")))))</f>
        <v/>
      </c>
      <c r="JJ35">
        <f>AND(IF(FQ35="",TRUE,IF(input_location="",FALSE,SUMPRODUCT(--ISNUMBER(SEARCH(","&amp;TRIM(TEXTSPLIT(FQ35,","))&amp;",",","&amp;SUBSTITUTE(input_location," ","")&amp;",")))&gt;0)),IF(FS35="",TRUE,IF(input_location="",FALSE,SUMPRODUCT(--ISNUMBER(SEARCH(","&amp;TRIM(TEXTSPLIT(FS35,","))&amp;",",","&amp;SUBSTITUTE(input_location," ","")&amp;",")))=COUNTA(TEXTSPLIT(FS35,",")))),IF(FU35="",TRUE,IF(input_location="",TRUE,SUMPRODUCT(--ISNUMBER(SEARCH(","&amp;TRIM(TEXTSPLIT(FU35,","))&amp;",",","&amp;SUBSTITUTE(input_location," ","")&amp;",")))=0)),IF(FW35="",TRUE,IF(input_location="",FALSE,SUMPRODUCT(--ISNUMBER(SEARCH(","&amp;TRIM(TEXTSPLIT(FW35,","))&amp;",",","&amp;SUBSTITUTE(input_location," ","")&amp;",")))&gt;0)),IF(FY35="",TRUE,IF(input_location="",FALSE,SUMPRODUCT(--ISNUMBER(SEARCH(","&amp;TRIM(TEXTSPLIT(FY35,","))&amp;",",","&amp;SUBSTITUTE(input_location," ","")&amp;",")))=COUNTA(TEXTSPLIT(FY35,",")))))</f>
        <v/>
      </c>
      <c r="JK35">
        <f>AND(IF(GA35="",TRUE,IF(input_modality="",FALSE,SUMPRODUCT(--ISNUMBER(SEARCH(","&amp;TRIM(TEXTSPLIT(GA35,","))&amp;",",","&amp;SUBSTITUTE(input_modality," ","")&amp;",")))&gt;0)),IF(GC35="",TRUE,IF(input_modality="",FALSE,SUMPRODUCT(--ISNUMBER(SEARCH(","&amp;TRIM(TEXTSPLIT(GC35,","))&amp;",",","&amp;SUBSTITUTE(input_modality," ","")&amp;",")))=COUNTA(TEXTSPLIT(GC35,",")))),IF(GE35="",TRUE,IF(input_modality="",TRUE,SUMPRODUCT(--ISNUMBER(SEARCH(","&amp;TRIM(TEXTSPLIT(GE35,","))&amp;",",","&amp;SUBSTITUTE(input_modality," ","")&amp;",")))=0)),IF(GG35="",TRUE,IF(input_modality="",FALSE,SUMPRODUCT(--ISNUMBER(SEARCH(","&amp;TRIM(TEXTSPLIT(GG35,","))&amp;",",","&amp;SUBSTITUTE(input_modality," ","")&amp;",")))&gt;0)),IF(GI35="",TRUE,IF(input_modality="",FALSE,SUMPRODUCT(--ISNUMBER(SEARCH(","&amp;TRIM(TEXTSPLIT(GI35,","))&amp;",",","&amp;SUBSTITUTE(input_modality," ","")&amp;",")))=COUNTA(TEXTSPLIT(GI35,",")))))</f>
        <v/>
      </c>
      <c r="JL35">
        <f>AND(IF(GK35="",TRUE,IF(input_organizer="",FALSE,SUMPRODUCT(--ISNUMBER(SEARCH(","&amp;TRIM(TEXTSPLIT(GK35,","))&amp;",",","&amp;SUBSTITUTE(input_organizer," ","")&amp;",")))&gt;0)),IF(GM35="",TRUE,IF(input_organizer="",FALSE,SUMPRODUCT(--ISNUMBER(SEARCH(","&amp;TRIM(TEXTSPLIT(GM35,","))&amp;",",","&amp;SUBSTITUTE(input_organizer," ","")&amp;",")))=COUNTA(TEXTSPLIT(GM35,",")))),IF(GO35="",TRUE,IF(input_organizer="",TRUE,SUMPRODUCT(--ISNUMBER(SEARCH(","&amp;TRIM(TEXTSPLIT(GO35,","))&amp;",",","&amp;SUBSTITUTE(input_organizer," ","")&amp;",")))=0)),IF(GQ35="",TRUE,IF(input_organizer="",FALSE,SUMPRODUCT(--ISNUMBER(SEARCH(","&amp;TRIM(TEXTSPLIT(GQ35,","))&amp;",",","&amp;SUBSTITUTE(input_organizer," ","")&amp;",")))&gt;0)),IF(GS35="",TRUE,IF(input_organizer="",FALSE,SUMPRODUCT(--ISNUMBER(SEARCH(","&amp;TRIM(TEXTSPLIT(GS35,","))&amp;",",","&amp;SUBSTITUTE(input_organizer," ","")&amp;",")))=COUNTA(TEXTSPLIT(GS35,",")))))</f>
        <v/>
      </c>
      <c r="JM35">
        <f>AND(IF(GU35="",TRUE,IF(input_profile_type="",FALSE,SUMPRODUCT(--ISNUMBER(SEARCH(","&amp;TRIM(TEXTSPLIT(GU35,","))&amp;",",","&amp;SUBSTITUTE(input_profile_type," ","")&amp;",")))&gt;0)),IF(GW35="",TRUE,IF(input_profile_type="",FALSE,SUMPRODUCT(--ISNUMBER(SEARCH(","&amp;TRIM(TEXTSPLIT(GW35,","))&amp;",",","&amp;SUBSTITUTE(input_profile_type," ","")&amp;",")))=COUNTA(TEXTSPLIT(GW35,",")))),IF(GY35="",TRUE,IF(input_profile_type="",TRUE,SUMPRODUCT(--ISNUMBER(SEARCH(","&amp;TRIM(TEXTSPLIT(GY35,","))&amp;",",","&amp;SUBSTITUTE(input_profile_type," ","")&amp;",")))=0)),IF(HA35="",TRUE,IF(input_profile_type="",FALSE,SUMPRODUCT(--ISNUMBER(SEARCH(","&amp;TRIM(TEXTSPLIT(HA35,","))&amp;",",","&amp;SUBSTITUTE(input_profile_type," ","")&amp;",")))&gt;0)),IF(HC35="",TRUE,IF(input_profile_type="",FALSE,SUMPRODUCT(--ISNUMBER(SEARCH(","&amp;TRIM(TEXTSPLIT(HC35,","))&amp;",",","&amp;SUBSTITUTE(input_profile_type," ","")&amp;",")))=COUNTA(TEXTSPLIT(HC35,",")))))</f>
        <v/>
      </c>
      <c r="JN35">
        <f>AND(IF(HE35="",TRUE,IF(input_program="",FALSE,SUMPRODUCT(--ISNUMBER(SEARCH(","&amp;TRIM(TEXTSPLIT(HE35,","))&amp;",",","&amp;SUBSTITUTE(input_program," ","")&amp;",")))&gt;0)),IF(HG35="",TRUE,IF(input_program="",FALSE,SUMPRODUCT(--ISNUMBER(SEARCH(","&amp;TRIM(TEXTSPLIT(HG35,","))&amp;",",","&amp;SUBSTITUTE(input_program," ","")&amp;",")))=COUNTA(TEXTSPLIT(HG35,",")))),IF(HI35="",TRUE,IF(input_program="",TRUE,SUMPRODUCT(--ISNUMBER(SEARCH(","&amp;TRIM(TEXTSPLIT(HI35,","))&amp;",",","&amp;SUBSTITUTE(input_program," ","")&amp;",")))=0)),IF(HK35="",TRUE,IF(input_program="",FALSE,SUMPRODUCT(--ISNUMBER(SEARCH(","&amp;TRIM(TEXTSPLIT(HK35,","))&amp;",",","&amp;SUBSTITUTE(input_program," ","")&amp;",")))&gt;0)),IF(HM35="",TRUE,IF(input_program="",FALSE,SUMPRODUCT(--ISNUMBER(SEARCH(","&amp;TRIM(TEXTSPLIT(HM35,","))&amp;",",","&amp;SUBSTITUTE(input_program," ","")&amp;",")))=COUNTA(TEXTSPLIT(HM35,",")))))</f>
        <v/>
      </c>
      <c r="JO35">
        <f>AND(IF(HO35="",TRUE,IF(input_story_categories="",FALSE,SUMPRODUCT(--ISNUMBER(SEARCH(","&amp;TRIM(TEXTSPLIT(HO35,","))&amp;",",","&amp;SUBSTITUTE(input_story_categories," ","")&amp;",")))&gt;0)),IF(HQ35="",TRUE,IF(input_story_categories="",FALSE,SUMPRODUCT(--ISNUMBER(SEARCH(","&amp;TRIM(TEXTSPLIT(HQ35,","))&amp;",",","&amp;SUBSTITUTE(input_story_categories," ","")&amp;",")))=COUNTA(TEXTSPLIT(HQ35,",")))),IF(HS35="",TRUE,IF(input_story_categories="",TRUE,SUMPRODUCT(--ISNUMBER(SEARCH(","&amp;TRIM(TEXTSPLIT(HS35,","))&amp;",",","&amp;SUBSTITUTE(input_story_categories," ","")&amp;",")))=0)),IF(HU35="",TRUE,IF(input_story_categories="",FALSE,SUMPRODUCT(--ISNUMBER(SEARCH(","&amp;TRIM(TEXTSPLIT(HU35,","))&amp;",",","&amp;SUBSTITUTE(input_story_categories," ","")&amp;",")))&gt;0)),IF(HW35="",TRUE,IF(input_story_categories="",FALSE,SUMPRODUCT(--ISNUMBER(SEARCH(","&amp;TRIM(TEXTSPLIT(HW35,","))&amp;",",","&amp;SUBSTITUTE(input_story_categories," ","")&amp;",")))=COUNTA(TEXTSPLIT(HW35,",")))))</f>
        <v/>
      </c>
      <c r="JP35">
        <f>AND(IF(HY35="",TRUE,IF(input_story_type="",FALSE,SUMPRODUCT(--ISNUMBER(SEARCH(","&amp;TRIM(TEXTSPLIT(HY35,","))&amp;",",","&amp;SUBSTITUTE(input_story_type," ","")&amp;",")))&gt;0)),IF(IA35="",TRUE,IF(input_story_type="",FALSE,SUMPRODUCT(--ISNUMBER(SEARCH(","&amp;TRIM(TEXTSPLIT(IA35,","))&amp;",",","&amp;SUBSTITUTE(input_story_type," ","")&amp;",")))=COUNTA(TEXTSPLIT(IA35,",")))),IF(IC35="",TRUE,IF(input_story_type="",TRUE,SUMPRODUCT(--ISNUMBER(SEARCH(","&amp;TRIM(TEXTSPLIT(IC35,","))&amp;",",","&amp;SUBSTITUTE(input_story_type," ","")&amp;",")))=0)),IF(IE35="",TRUE,IF(input_story_type="",FALSE,SUMPRODUCT(--ISNUMBER(SEARCH(","&amp;TRIM(TEXTSPLIT(IE35,","))&amp;",",","&amp;SUBSTITUTE(input_story_type," ","")&amp;",")))&gt;0)),IF(IG35="",TRUE,IF(input_story_type="",FALSE,SUMPRODUCT(--ISNUMBER(SEARCH(","&amp;TRIM(TEXTSPLIT(IG35,","))&amp;",",","&amp;SUBSTITUTE(input_story_type," ","")&amp;",")))=COUNTA(TEXTSPLIT(IG35,",")))))</f>
        <v/>
      </c>
      <c r="JQ35">
        <f>AND(IF(II35="",TRUE,IF(input_topics="",FALSE,SUMPRODUCT(--ISNUMBER(SEARCH(","&amp;TRIM(TEXTSPLIT(II35,","))&amp;",",","&amp;SUBSTITUTE(input_topics," ","")&amp;",")))&gt;0)),IF(IK35="",TRUE,IF(input_topics="",FALSE,SUMPRODUCT(--ISNUMBER(SEARCH(","&amp;TRIM(TEXTSPLIT(IK35,","))&amp;",",","&amp;SUBSTITUTE(input_topics," ","")&amp;",")))=COUNTA(TEXTSPLIT(IK35,",")))),IF(IM35="",TRUE,IF(input_topics="",TRUE,SUMPRODUCT(--ISNUMBER(SEARCH(","&amp;TRIM(TEXTSPLIT(IM35,","))&amp;",",","&amp;SUBSTITUTE(input_topics," ","")&amp;",")))=0)),IF(IO35="",TRUE,IF(input_topics="",FALSE,SUMPRODUCT(--ISNUMBER(SEARCH(","&amp;TRIM(TEXTSPLIT(IO35,","))&amp;",",","&amp;SUBSTITUTE(input_topics," ","")&amp;",")))&gt;0)),IF(IQ35="",TRUE,IF(input_topics="",FALSE,SUMPRODUCT(--ISNUMBER(SEARCH(","&amp;TRIM(TEXTSPLIT(IQ35,","))&amp;",",","&amp;SUBSTITUTE(input_topics," ","")&amp;",")))=COUNTA(TEXTSPLIT(IQ35,",")))))</f>
        <v/>
      </c>
    </row>
    <row r="36">
      <c r="A36" s="4">
        <f>IF(NOT(IS36),"Excluded",IF(AND(IT36,IU36,IV36,IW36,IX36,IY36,IZ36,JA36,JB36,JC36,JD36,JE36,JF36,JG36,JH36,JI36,JJ36,JK36,JL36,JM36,JN36,JO36,JP36,JQ36),IF(I36&gt;0,"Eligible but limited","Will appear"),"Excluded"))</f>
        <v/>
      </c>
      <c r="B36" s="4" t="inlineStr">
        <is>
          <t>All Publications by Author</t>
        </is>
      </c>
      <c r="C36" s="4" t="inlineStr">
        <is>
          <t>/faculty-research/faculty-directory/judith-chevalier</t>
        </is>
      </c>
      <c r="D36" s="4" t="inlineStr">
        <is>
          <t>/faculty-research/faculty-directory/judith-chevalier</t>
        </is>
      </c>
      <c r="E36" s="4" t="n">
        <v>1</v>
      </c>
      <c r="F36" s="4" t="inlineStr">
        <is>
          <t>publications</t>
        </is>
      </c>
      <c r="G36" s="4" t="inlineStr">
        <is>
          <t>publication_teaser_list</t>
        </is>
      </c>
      <c r="H36" s="4" t="inlineStr">
        <is>
          <t>publication_teaser_list_all_by_author</t>
        </is>
      </c>
      <c r="I36" s="4" t="inlineStr"/>
      <c r="J36" s="4" t="inlineStr">
        <is>
          <t>View/config rules</t>
        </is>
      </c>
      <c r="K36" s="4" t="inlineStr">
        <is>
          <t>Page placement</t>
        </is>
      </c>
      <c r="L36" s="4" t="inlineStr">
        <is>
          <t>Content type: publications; Source: View/config rules</t>
        </is>
      </c>
      <c r="M36" t="inlineStr"/>
      <c r="N36" t="inlineStr"/>
      <c r="O36" t="inlineStr"/>
      <c r="P36" t="inlineStr"/>
      <c r="Q36" t="inlineStr"/>
      <c r="R36" t="inlineStr"/>
      <c r="S36" t="inlineStr"/>
      <c r="T36" t="inlineStr"/>
      <c r="U36" t="inlineStr"/>
      <c r="V36" t="inlineStr"/>
      <c r="W36" t="inlineStr"/>
      <c r="X36" t="inlineStr"/>
      <c r="Y36" t="inlineStr"/>
      <c r="Z36" t="inlineStr"/>
      <c r="AA36" t="inlineStr"/>
      <c r="AB36" t="inlineStr"/>
      <c r="AC36" t="inlineStr"/>
      <c r="AD36" t="inlineStr"/>
      <c r="AE36" t="inlineStr"/>
      <c r="AF36" t="inlineStr"/>
      <c r="AG36" t="inlineStr"/>
      <c r="AH36" t="inlineStr"/>
      <c r="AI36" t="inlineStr"/>
      <c r="AJ36" t="inlineStr"/>
      <c r="AK36" t="inlineStr"/>
      <c r="AL36" t="inlineStr"/>
      <c r="AM36" t="inlineStr"/>
      <c r="AN36" t="inlineStr"/>
      <c r="AO36" t="inlineStr"/>
      <c r="AP36" t="inlineStr"/>
      <c r="AQ36" t="inlineStr"/>
      <c r="AR36" t="inlineStr"/>
      <c r="AS36" t="inlineStr"/>
      <c r="AT36" t="inlineStr"/>
      <c r="AU36" t="inlineStr"/>
      <c r="AV36" t="inlineStr"/>
      <c r="AW36" t="inlineStr"/>
      <c r="AX36" t="inlineStr"/>
      <c r="AY36" t="inlineStr"/>
      <c r="AZ36" t="inlineStr"/>
      <c r="BA36" t="inlineStr"/>
      <c r="BB36" t="inlineStr"/>
      <c r="BC36" t="inlineStr"/>
      <c r="BD36" t="inlineStr"/>
      <c r="BE36" t="inlineStr"/>
      <c r="BF36" t="inlineStr"/>
      <c r="BG36" t="inlineStr"/>
      <c r="BH36" t="inlineStr"/>
      <c r="BI36" t="inlineStr"/>
      <c r="BJ36" t="inlineStr"/>
      <c r="BK36" t="inlineStr"/>
      <c r="BL36" t="inlineStr"/>
      <c r="BM36" t="inlineStr"/>
      <c r="BN36" t="inlineStr"/>
      <c r="BO36" t="inlineStr"/>
      <c r="BP36" t="inlineStr"/>
      <c r="BQ36" t="inlineStr"/>
      <c r="BR36" t="inlineStr"/>
      <c r="BS36" t="inlineStr"/>
      <c r="BT36" t="inlineStr"/>
      <c r="BU36" t="inlineStr"/>
      <c r="BV36" t="inlineStr"/>
      <c r="BW36" t="inlineStr"/>
      <c r="BX36" t="inlineStr"/>
      <c r="BY36" t="inlineStr"/>
      <c r="BZ36" t="inlineStr"/>
      <c r="CA36" t="inlineStr"/>
      <c r="CB36" t="inlineStr"/>
      <c r="CC36" t="inlineStr"/>
      <c r="CD36" t="inlineStr"/>
      <c r="CE36" t="inlineStr"/>
      <c r="CF36" t="inlineStr"/>
      <c r="CG36" t="inlineStr"/>
      <c r="CH36" t="inlineStr"/>
      <c r="CI36" t="inlineStr"/>
      <c r="CJ36" t="inlineStr"/>
      <c r="CK36" t="inlineStr"/>
      <c r="CL36" t="inlineStr"/>
      <c r="CM36" t="inlineStr"/>
      <c r="CN36" t="inlineStr"/>
      <c r="CO36" t="inlineStr"/>
      <c r="CP36" t="inlineStr"/>
      <c r="CQ36" t="inlineStr"/>
      <c r="CR36" t="inlineStr"/>
      <c r="CS36" t="inlineStr"/>
      <c r="CT36" t="inlineStr"/>
      <c r="CU36" t="inlineStr"/>
      <c r="CV36" t="inlineStr"/>
      <c r="CW36" t="inlineStr"/>
      <c r="CX36" t="inlineStr"/>
      <c r="CY36" t="inlineStr"/>
      <c r="CZ36" t="inlineStr"/>
      <c r="DA36" t="inlineStr"/>
      <c r="DB36" t="inlineStr"/>
      <c r="DC36" t="inlineStr"/>
      <c r="DD36" t="inlineStr"/>
      <c r="DE36" t="inlineStr"/>
      <c r="DF36" t="inlineStr"/>
      <c r="DG36" t="inlineStr"/>
      <c r="DH36" t="inlineStr"/>
      <c r="DI36" t="inlineStr"/>
      <c r="DJ36" t="inlineStr"/>
      <c r="DK36" t="inlineStr"/>
      <c r="DL36" t="inlineStr"/>
      <c r="DM36" t="inlineStr"/>
      <c r="DN36" t="inlineStr"/>
      <c r="DO36" t="inlineStr"/>
      <c r="DP36" t="inlineStr"/>
      <c r="DQ36" t="inlineStr"/>
      <c r="DR36" t="inlineStr"/>
      <c r="DS36" t="inlineStr"/>
      <c r="DT36" t="inlineStr"/>
      <c r="DU36" t="inlineStr"/>
      <c r="DV36" t="inlineStr"/>
      <c r="DW36" t="inlineStr"/>
      <c r="DX36" t="inlineStr"/>
      <c r="DY36" t="inlineStr"/>
      <c r="DZ36" t="inlineStr"/>
      <c r="EA36" t="inlineStr"/>
      <c r="EB36" t="inlineStr"/>
      <c r="EC36" t="inlineStr"/>
      <c r="ED36" t="inlineStr"/>
      <c r="EE36" t="inlineStr"/>
      <c r="EF36" t="inlineStr"/>
      <c r="EG36" t="inlineStr"/>
      <c r="EH36" t="inlineStr"/>
      <c r="EI36" t="inlineStr"/>
      <c r="EJ36" t="inlineStr"/>
      <c r="EK36" t="inlineStr"/>
      <c r="EL36" t="inlineStr"/>
      <c r="EM36" t="inlineStr"/>
      <c r="EN36" t="inlineStr"/>
      <c r="EO36" t="inlineStr"/>
      <c r="EP36" t="inlineStr"/>
      <c r="EQ36" t="inlineStr"/>
      <c r="ER36" t="inlineStr"/>
      <c r="ES36" t="inlineStr"/>
      <c r="ET36" t="inlineStr"/>
      <c r="EU36" t="inlineStr"/>
      <c r="EV36" t="inlineStr"/>
      <c r="EW36" t="inlineStr"/>
      <c r="EX36" t="inlineStr"/>
      <c r="EY36" t="inlineStr"/>
      <c r="EZ36" t="inlineStr"/>
      <c r="FA36" t="inlineStr"/>
      <c r="FB36" t="inlineStr"/>
      <c r="FC36" t="inlineStr"/>
      <c r="FD36" t="inlineStr"/>
      <c r="FE36" t="inlineStr"/>
      <c r="FF36" t="inlineStr"/>
      <c r="FG36" t="inlineStr"/>
      <c r="FH36" t="inlineStr"/>
      <c r="FI36" t="inlineStr"/>
      <c r="FJ36" t="inlineStr"/>
      <c r="FK36" t="inlineStr"/>
      <c r="FL36" t="inlineStr"/>
      <c r="FM36" t="inlineStr"/>
      <c r="FN36" t="inlineStr"/>
      <c r="FO36" t="inlineStr"/>
      <c r="FP36" t="inlineStr"/>
      <c r="FQ36" t="inlineStr"/>
      <c r="FR36" t="inlineStr"/>
      <c r="FS36" t="inlineStr"/>
      <c r="FT36" t="inlineStr"/>
      <c r="FU36" t="inlineStr"/>
      <c r="FV36" t="inlineStr"/>
      <c r="FW36" t="inlineStr"/>
      <c r="FX36" t="inlineStr"/>
      <c r="FY36" t="inlineStr"/>
      <c r="FZ36" t="inlineStr"/>
      <c r="GA36" t="inlineStr"/>
      <c r="GB36" t="inlineStr"/>
      <c r="GC36" t="inlineStr"/>
      <c r="GD36" t="inlineStr"/>
      <c r="GE36" t="inlineStr"/>
      <c r="GF36" t="inlineStr"/>
      <c r="GG36" t="inlineStr"/>
      <c r="GH36" t="inlineStr"/>
      <c r="GI36" t="inlineStr"/>
      <c r="GJ36" t="inlineStr"/>
      <c r="GK36" t="inlineStr"/>
      <c r="GL36" t="inlineStr"/>
      <c r="GM36" t="inlineStr"/>
      <c r="GN36" t="inlineStr"/>
      <c r="GO36" t="inlineStr"/>
      <c r="GP36" t="inlineStr"/>
      <c r="GQ36" t="inlineStr"/>
      <c r="GR36" t="inlineStr"/>
      <c r="GS36" t="inlineStr"/>
      <c r="GT36" t="inlineStr"/>
      <c r="GU36" t="inlineStr"/>
      <c r="GV36" t="inlineStr"/>
      <c r="GW36" t="inlineStr"/>
      <c r="GX36" t="inlineStr"/>
      <c r="GY36" t="inlineStr"/>
      <c r="GZ36" t="inlineStr"/>
      <c r="HA36" t="inlineStr"/>
      <c r="HB36" t="inlineStr"/>
      <c r="HC36" t="inlineStr"/>
      <c r="HD36" t="inlineStr"/>
      <c r="HE36" t="inlineStr"/>
      <c r="HF36" t="inlineStr"/>
      <c r="HG36" t="inlineStr"/>
      <c r="HH36" t="inlineStr"/>
      <c r="HI36" t="inlineStr"/>
      <c r="HJ36" t="inlineStr"/>
      <c r="HK36" t="inlineStr"/>
      <c r="HL36" t="inlineStr"/>
      <c r="HM36" t="inlineStr"/>
      <c r="HN36" t="inlineStr"/>
      <c r="HO36" t="inlineStr"/>
      <c r="HP36" t="inlineStr"/>
      <c r="HQ36" t="inlineStr"/>
      <c r="HR36" t="inlineStr"/>
      <c r="HS36" t="inlineStr"/>
      <c r="HT36" t="inlineStr"/>
      <c r="HU36" t="inlineStr"/>
      <c r="HV36" t="inlineStr"/>
      <c r="HW36" t="inlineStr"/>
      <c r="HX36" t="inlineStr"/>
      <c r="HY36" t="inlineStr"/>
      <c r="HZ36" t="inlineStr"/>
      <c r="IA36" t="inlineStr"/>
      <c r="IB36" t="inlineStr"/>
      <c r="IC36" t="inlineStr"/>
      <c r="ID36" t="inlineStr"/>
      <c r="IE36" t="inlineStr"/>
      <c r="IF36" t="inlineStr"/>
      <c r="IG36" t="inlineStr"/>
      <c r="IH36" t="inlineStr"/>
      <c r="II36" t="inlineStr"/>
      <c r="IJ36" t="inlineStr"/>
      <c r="IK36" t="inlineStr"/>
      <c r="IL36" t="inlineStr"/>
      <c r="IM36" t="inlineStr"/>
      <c r="IN36" t="inlineStr"/>
      <c r="IO36" t="inlineStr"/>
      <c r="IP36" t="inlineStr"/>
      <c r="IQ36" t="inlineStr"/>
      <c r="IR36" t="inlineStr"/>
      <c r="IS36">
        <f>IF(input_content_type="",FALSE,ISNUMBER(SEARCH(","&amp;LOWER(input_content_type)&amp;",",","&amp;LOWER(F36)&amp;",")))</f>
        <v/>
      </c>
      <c r="IT36">
        <f>AND(IF(M36="",TRUE,IF(input_affiliations="",FALSE,SUMPRODUCT(--ISNUMBER(SEARCH(","&amp;TRIM(TEXTSPLIT(M36,","))&amp;",",","&amp;SUBSTITUTE(input_affiliations," ","")&amp;",")))&gt;0)),IF(O36="",TRUE,IF(input_affiliations="",FALSE,SUMPRODUCT(--ISNUMBER(SEARCH(","&amp;TRIM(TEXTSPLIT(O36,","))&amp;",",","&amp;SUBSTITUTE(input_affiliations," ","")&amp;",")))=COUNTA(TEXTSPLIT(O36,",")))),IF(Q36="",TRUE,IF(input_affiliations="",TRUE,SUMPRODUCT(--ISNUMBER(SEARCH(","&amp;TRIM(TEXTSPLIT(Q36,","))&amp;",",","&amp;SUBSTITUTE(input_affiliations," ","")&amp;",")))=0)),IF(S36="",TRUE,IF(input_affiliations="",FALSE,SUMPRODUCT(--ISNUMBER(SEARCH(","&amp;TRIM(TEXTSPLIT(S36,","))&amp;",",","&amp;SUBSTITUTE(input_affiliations," ","")&amp;",")))&gt;0)),IF(U36="",TRUE,IF(input_affiliations="",FALSE,SUMPRODUCT(--ISNUMBER(SEARCH(","&amp;TRIM(TEXTSPLIT(U36,","))&amp;",",","&amp;SUBSTITUTE(input_affiliations," ","")&amp;",")))=COUNTA(TEXTSPLIT(U36,",")))))</f>
        <v/>
      </c>
      <c r="IU36">
        <f>AND(IF(W36="",TRUE,IF(input_announcement_category="",FALSE,SUMPRODUCT(--ISNUMBER(SEARCH(","&amp;TRIM(TEXTSPLIT(W36,","))&amp;",",","&amp;SUBSTITUTE(input_announcement_category," ","")&amp;",")))&gt;0)),IF(Y36="",TRUE,IF(input_announcement_category="",FALSE,SUMPRODUCT(--ISNUMBER(SEARCH(","&amp;TRIM(TEXTSPLIT(Y36,","))&amp;",",","&amp;SUBSTITUTE(input_announcement_category," ","")&amp;",")))=COUNTA(TEXTSPLIT(Y36,",")))),IF(AA36="",TRUE,IF(input_announcement_category="",TRUE,SUMPRODUCT(--ISNUMBER(SEARCH(","&amp;TRIM(TEXTSPLIT(AA36,","))&amp;",",","&amp;SUBSTITUTE(input_announcement_category," ","")&amp;",")))=0)),IF(AC36="",TRUE,IF(input_announcement_category="",FALSE,SUMPRODUCT(--ISNUMBER(SEARCH(","&amp;TRIM(TEXTSPLIT(AC36,","))&amp;",",","&amp;SUBSTITUTE(input_announcement_category," ","")&amp;",")))&gt;0)),IF(AE36="",TRUE,IF(input_announcement_category="",FALSE,SUMPRODUCT(--ISNUMBER(SEARCH(","&amp;TRIM(TEXTSPLIT(AE36,","))&amp;",",","&amp;SUBSTITUTE(input_announcement_category," ","")&amp;",")))=COUNTA(TEXTSPLIT(AE36,",")))))</f>
        <v/>
      </c>
      <c r="IV36">
        <f>AND(IF(AG36="",TRUE,IF(input_area_of_focus="",FALSE,SUMPRODUCT(--ISNUMBER(SEARCH(","&amp;TRIM(TEXTSPLIT(AG36,","))&amp;",",","&amp;SUBSTITUTE(input_area_of_focus," ","")&amp;",")))&gt;0)),IF(AI36="",TRUE,IF(input_area_of_focus="",FALSE,SUMPRODUCT(--ISNUMBER(SEARCH(","&amp;TRIM(TEXTSPLIT(AI36,","))&amp;",",","&amp;SUBSTITUTE(input_area_of_focus," ","")&amp;",")))=COUNTA(TEXTSPLIT(AI36,",")))),IF(AK36="",TRUE,IF(input_area_of_focus="",TRUE,SUMPRODUCT(--ISNUMBER(SEARCH(","&amp;TRIM(TEXTSPLIT(AK36,","))&amp;",",","&amp;SUBSTITUTE(input_area_of_focus," ","")&amp;",")))=0)),IF(AM36="",TRUE,IF(input_area_of_focus="",FALSE,SUMPRODUCT(--ISNUMBER(SEARCH(","&amp;TRIM(TEXTSPLIT(AM36,","))&amp;",",","&amp;SUBSTITUTE(input_area_of_focus," ","")&amp;",")))&gt;0)),IF(AO36="",TRUE,IF(input_area_of_focus="",FALSE,SUMPRODUCT(--ISNUMBER(SEARCH(","&amp;TRIM(TEXTSPLIT(AO36,","))&amp;",",","&amp;SUBSTITUTE(input_area_of_focus," ","")&amp;",")))=COUNTA(TEXTSPLIT(AO36,",")))))</f>
        <v/>
      </c>
      <c r="IW36">
        <f>AND(IF(AQ36="",TRUE,IF(input_audience="",FALSE,SUMPRODUCT(--ISNUMBER(SEARCH(","&amp;TRIM(TEXTSPLIT(AQ36,","))&amp;",",","&amp;SUBSTITUTE(input_audience," ","")&amp;",")))&gt;0)),IF(AS36="",TRUE,IF(input_audience="",FALSE,SUMPRODUCT(--ISNUMBER(SEARCH(","&amp;TRIM(TEXTSPLIT(AS36,","))&amp;",",","&amp;SUBSTITUTE(input_audience," ","")&amp;",")))=COUNTA(TEXTSPLIT(AS36,",")))),IF(AU36="",TRUE,IF(input_audience="",TRUE,SUMPRODUCT(--ISNUMBER(SEARCH(","&amp;TRIM(TEXTSPLIT(AU36,","))&amp;",",","&amp;SUBSTITUTE(input_audience," ","")&amp;",")))=0)),IF(AW36="",TRUE,IF(input_audience="",FALSE,SUMPRODUCT(--ISNUMBER(SEARCH(","&amp;TRIM(TEXTSPLIT(AW36,","))&amp;",",","&amp;SUBSTITUTE(input_audience," ","")&amp;",")))&gt;0)),IF(AY36="",TRUE,IF(input_audience="",FALSE,SUMPRODUCT(--ISNUMBER(SEARCH(","&amp;TRIM(TEXTSPLIT(AY36,","))&amp;",",","&amp;SUBSTITUTE(input_audience," ","")&amp;",")))=COUNTA(TEXTSPLIT(AY36,",")))))</f>
        <v/>
      </c>
      <c r="IX36">
        <f>AND(IF(BA36="",TRUE,IF(input_challenge_opportunities="",FALSE,SUMPRODUCT(--ISNUMBER(SEARCH(","&amp;TRIM(TEXTSPLIT(BA36,","))&amp;",",","&amp;SUBSTITUTE(input_challenge_opportunities," ","")&amp;",")))&gt;0)),IF(BC36="",TRUE,IF(input_challenge_opportunities="",FALSE,SUMPRODUCT(--ISNUMBER(SEARCH(","&amp;TRIM(TEXTSPLIT(BC36,","))&amp;",",","&amp;SUBSTITUTE(input_challenge_opportunities," ","")&amp;",")))=COUNTA(TEXTSPLIT(BC36,",")))),IF(BE36="",TRUE,IF(input_challenge_opportunities="",TRUE,SUMPRODUCT(--ISNUMBER(SEARCH(","&amp;TRIM(TEXTSPLIT(BE36,","))&amp;",",","&amp;SUBSTITUTE(input_challenge_opportunities," ","")&amp;",")))=0)),IF(BG36="",TRUE,IF(input_challenge_opportunities="",FALSE,SUMPRODUCT(--ISNUMBER(SEARCH(","&amp;TRIM(TEXTSPLIT(BG36,","))&amp;",",","&amp;SUBSTITUTE(input_challenge_opportunities," ","")&amp;",")))&gt;0)),IF(BI36="",TRUE,IF(input_challenge_opportunities="",FALSE,SUMPRODUCT(--ISNUMBER(SEARCH(","&amp;TRIM(TEXTSPLIT(BI36,","))&amp;",",","&amp;SUBSTITUTE(input_challenge_opportunities," ","")&amp;",")))=COUNTA(TEXTSPLIT(BI36,",")))))</f>
        <v/>
      </c>
      <c r="IY36">
        <f>AND(IF(BK36="",TRUE,IF(input_context="",FALSE,SUMPRODUCT(--ISNUMBER(SEARCH(","&amp;TRIM(TEXTSPLIT(BK36,","))&amp;",",","&amp;SUBSTITUTE(input_context," ","")&amp;",")))&gt;0)),IF(BM36="",TRUE,IF(input_context="",FALSE,SUMPRODUCT(--ISNUMBER(SEARCH(","&amp;TRIM(TEXTSPLIT(BM36,","))&amp;",",","&amp;SUBSTITUTE(input_context," ","")&amp;",")))=COUNTA(TEXTSPLIT(BM36,",")))),IF(BO36="",TRUE,IF(input_context="",TRUE,SUMPRODUCT(--ISNUMBER(SEARCH(","&amp;TRIM(TEXTSPLIT(BO36,","))&amp;",",","&amp;SUBSTITUTE(input_context," ","")&amp;",")))=0)),IF(BQ36="",TRUE,IF(input_context="",FALSE,SUMPRODUCT(--ISNUMBER(SEARCH(","&amp;TRIM(TEXTSPLIT(BQ36,","))&amp;",",","&amp;SUBSTITUTE(input_context," ","")&amp;",")))&gt;0)),IF(BS36="",TRUE,IF(input_context="",FALSE,SUMPRODUCT(--ISNUMBER(SEARCH(","&amp;TRIM(TEXTSPLIT(BS36,","))&amp;",",","&amp;SUBSTITUTE(input_context," ","")&amp;",")))=COUNTA(TEXTSPLIT(BS36,",")))))</f>
        <v/>
      </c>
      <c r="IZ36">
        <f>AND(IF(BU36="",TRUE,IF(input_enews_announcement_type="",FALSE,SUMPRODUCT(--ISNUMBER(SEARCH(","&amp;TRIM(TEXTSPLIT(BU36,","))&amp;",",","&amp;SUBSTITUTE(input_enews_announcement_type," ","")&amp;",")))&gt;0)),IF(BW36="",TRUE,IF(input_enews_announcement_type="",FALSE,SUMPRODUCT(--ISNUMBER(SEARCH(","&amp;TRIM(TEXTSPLIT(BW36,","))&amp;",",","&amp;SUBSTITUTE(input_enews_announcement_type," ","")&amp;",")))=COUNTA(TEXTSPLIT(BW36,",")))),IF(BY36="",TRUE,IF(input_enews_announcement_type="",TRUE,SUMPRODUCT(--ISNUMBER(SEARCH(","&amp;TRIM(TEXTSPLIT(BY36,","))&amp;",",","&amp;SUBSTITUTE(input_enews_announcement_type," ","")&amp;",")))=0)),IF(CA36="",TRUE,IF(input_enews_announcement_type="",FALSE,SUMPRODUCT(--ISNUMBER(SEARCH(","&amp;TRIM(TEXTSPLIT(CA36,","))&amp;",",","&amp;SUBSTITUTE(input_enews_announcement_type," ","")&amp;",")))&gt;0)),IF(CC36="",TRUE,IF(input_enews_announcement_type="",FALSE,SUMPRODUCT(--ISNUMBER(SEARCH(","&amp;TRIM(TEXTSPLIT(CC36,","))&amp;",",","&amp;SUBSTITUTE(input_enews_announcement_type," ","")&amp;",")))=COUNTA(TEXTSPLIT(CC36,",")))))</f>
        <v/>
      </c>
      <c r="JA36">
        <f>AND(IF(CE36="",TRUE,IF(input_enews_audience="",FALSE,SUMPRODUCT(--ISNUMBER(SEARCH(","&amp;TRIM(TEXTSPLIT(CE36,","))&amp;",",","&amp;SUBSTITUTE(input_enews_audience," ","")&amp;",")))&gt;0)),IF(CG36="",TRUE,IF(input_enews_audience="",FALSE,SUMPRODUCT(--ISNUMBER(SEARCH(","&amp;TRIM(TEXTSPLIT(CG36,","))&amp;",",","&amp;SUBSTITUTE(input_enews_audience," ","")&amp;",")))=COUNTA(TEXTSPLIT(CG36,",")))),IF(CI36="",TRUE,IF(input_enews_audience="",TRUE,SUMPRODUCT(--ISNUMBER(SEARCH(","&amp;TRIM(TEXTSPLIT(CI36,","))&amp;",",","&amp;SUBSTITUTE(input_enews_audience," ","")&amp;",")))=0)),IF(CK36="",TRUE,IF(input_enews_audience="",FALSE,SUMPRODUCT(--ISNUMBER(SEARCH(","&amp;TRIM(TEXTSPLIT(CK36,","))&amp;",",","&amp;SUBSTITUTE(input_enews_audience," ","")&amp;",")))&gt;0)),IF(CM36="",TRUE,IF(input_enews_audience="",FALSE,SUMPRODUCT(--ISNUMBER(SEARCH(","&amp;TRIM(TEXTSPLIT(CM36,","))&amp;",",","&amp;SUBSTITUTE(input_enews_audience," ","")&amp;",")))=COUNTA(TEXTSPLIT(CM36,",")))))</f>
        <v/>
      </c>
      <c r="JB36">
        <f>AND(IF(CO36="",TRUE,IF(input_event_location="",FALSE,SUMPRODUCT(--ISNUMBER(SEARCH(","&amp;TRIM(TEXTSPLIT(CO36,","))&amp;",",","&amp;SUBSTITUTE(input_event_location," ","")&amp;",")))&gt;0)),IF(CQ36="",TRUE,IF(input_event_location="",FALSE,SUMPRODUCT(--ISNUMBER(SEARCH(","&amp;TRIM(TEXTSPLIT(CQ36,","))&amp;",",","&amp;SUBSTITUTE(input_event_location," ","")&amp;",")))=COUNTA(TEXTSPLIT(CQ36,",")))),IF(CS36="",TRUE,IF(input_event_location="",TRUE,SUMPRODUCT(--ISNUMBER(SEARCH(","&amp;TRIM(TEXTSPLIT(CS36,","))&amp;",",","&amp;SUBSTITUTE(input_event_location," ","")&amp;",")))=0)),IF(CU36="",TRUE,IF(input_event_location="",FALSE,SUMPRODUCT(--ISNUMBER(SEARCH(","&amp;TRIM(TEXTSPLIT(CU36,","))&amp;",",","&amp;SUBSTITUTE(input_event_location," ","")&amp;",")))&gt;0)),IF(CW36="",TRUE,IF(input_event_location="",FALSE,SUMPRODUCT(--ISNUMBER(SEARCH(","&amp;TRIM(TEXTSPLIT(CW36,","))&amp;",",","&amp;SUBSTITUTE(input_event_location," ","")&amp;",")))=COUNTA(TEXTSPLIT(CW36,",")))))</f>
        <v/>
      </c>
      <c r="JC36">
        <f>AND(IF(CY36="",TRUE,IF(input_event_type="",FALSE,SUMPRODUCT(--ISNUMBER(SEARCH(","&amp;TRIM(TEXTSPLIT(CY36,","))&amp;",",","&amp;SUBSTITUTE(input_event_type," ","")&amp;",")))&gt;0)),IF(DA36="",TRUE,IF(input_event_type="",FALSE,SUMPRODUCT(--ISNUMBER(SEARCH(","&amp;TRIM(TEXTSPLIT(DA36,","))&amp;",",","&amp;SUBSTITUTE(input_event_type," ","")&amp;",")))=COUNTA(TEXTSPLIT(DA36,",")))),IF(DC36="",TRUE,IF(input_event_type="",TRUE,SUMPRODUCT(--ISNUMBER(SEARCH(","&amp;TRIM(TEXTSPLIT(DC36,","))&amp;",",","&amp;SUBSTITUTE(input_event_type," ","")&amp;",")))=0)),IF(DE36="",TRUE,IF(input_event_type="",FALSE,SUMPRODUCT(--ISNUMBER(SEARCH(","&amp;TRIM(TEXTSPLIT(DE36,","))&amp;",",","&amp;SUBSTITUTE(input_event_type," ","")&amp;",")))&gt;0)),IF(DG36="",TRUE,IF(input_event_type="",FALSE,SUMPRODUCT(--ISNUMBER(SEARCH(","&amp;TRIM(TEXTSPLIT(DG36,","))&amp;",",","&amp;SUBSTITUTE(input_event_type," ","")&amp;",")))=COUNTA(TEXTSPLIT(DG36,",")))))</f>
        <v/>
      </c>
      <c r="JD36">
        <f>AND(IF(DI36="",TRUE,IF(input_executive_education_focus="",FALSE,SUMPRODUCT(--ISNUMBER(SEARCH(","&amp;TRIM(TEXTSPLIT(DI36,","))&amp;",",","&amp;SUBSTITUTE(input_executive_education_focus," ","")&amp;",")))&gt;0)),IF(DK36="",TRUE,IF(input_executive_education_focus="",FALSE,SUMPRODUCT(--ISNUMBER(SEARCH(","&amp;TRIM(TEXTSPLIT(DK36,","))&amp;",",","&amp;SUBSTITUTE(input_executive_education_focus," ","")&amp;",")))=COUNTA(TEXTSPLIT(DK36,",")))),IF(DM36="",TRUE,IF(input_executive_education_focus="",TRUE,SUMPRODUCT(--ISNUMBER(SEARCH(","&amp;TRIM(TEXTSPLIT(DM36,","))&amp;",",","&amp;SUBSTITUTE(input_executive_education_focus," ","")&amp;",")))=0)),IF(DO36="",TRUE,IF(input_executive_education_focus="",FALSE,SUMPRODUCT(--ISNUMBER(SEARCH(","&amp;TRIM(TEXTSPLIT(DO36,","))&amp;",",","&amp;SUBSTITUTE(input_executive_education_focus," ","")&amp;",")))&gt;0)),IF(DQ36="",TRUE,IF(input_executive_education_focus="",FALSE,SUMPRODUCT(--ISNUMBER(SEARCH(","&amp;TRIM(TEXTSPLIT(DQ36,","))&amp;",",","&amp;SUBSTITUTE(input_executive_education_focus," ","")&amp;",")))=COUNTA(TEXTSPLIT(DQ36,",")))))</f>
        <v/>
      </c>
      <c r="JE36">
        <f>AND(IF(DS36="",TRUE,IF(input_faculty_category="",FALSE,SUMPRODUCT(--ISNUMBER(SEARCH(","&amp;TRIM(TEXTSPLIT(DS36,","))&amp;",",","&amp;SUBSTITUTE(input_faculty_category," ","")&amp;",")))&gt;0)),IF(DU36="",TRUE,IF(input_faculty_category="",FALSE,SUMPRODUCT(--ISNUMBER(SEARCH(","&amp;TRIM(TEXTSPLIT(DU36,","))&amp;",",","&amp;SUBSTITUTE(input_faculty_category," ","")&amp;",")))=COUNTA(TEXTSPLIT(DU36,",")))),IF(DW36="",TRUE,IF(input_faculty_category="",TRUE,SUMPRODUCT(--ISNUMBER(SEARCH(","&amp;TRIM(TEXTSPLIT(DW36,","))&amp;",",","&amp;SUBSTITUTE(input_faculty_category," ","")&amp;",")))=0)),IF(DY36="",TRUE,IF(input_faculty_category="",FALSE,SUMPRODUCT(--ISNUMBER(SEARCH(","&amp;TRIM(TEXTSPLIT(DY36,","))&amp;",",","&amp;SUBSTITUTE(input_faculty_category," ","")&amp;",")))&gt;0)),IF(EA36="",TRUE,IF(input_faculty_category="",FALSE,SUMPRODUCT(--ISNUMBER(SEARCH(","&amp;TRIM(TEXTSPLIT(EA36,","))&amp;",",","&amp;SUBSTITUTE(input_faculty_category," ","")&amp;",")))=COUNTA(TEXTSPLIT(EA36,",")))))</f>
        <v/>
      </c>
      <c r="JF36">
        <f>AND(IF(EC36="",TRUE,IF(input_faculty_discipline="",FALSE,SUMPRODUCT(--ISNUMBER(SEARCH(","&amp;TRIM(TEXTSPLIT(EC36,","))&amp;",",","&amp;SUBSTITUTE(input_faculty_discipline," ","")&amp;",")))&gt;0)),IF(EE36="",TRUE,IF(input_faculty_discipline="",FALSE,SUMPRODUCT(--ISNUMBER(SEARCH(","&amp;TRIM(TEXTSPLIT(EE36,","))&amp;",",","&amp;SUBSTITUTE(input_faculty_discipline," ","")&amp;",")))=COUNTA(TEXTSPLIT(EE36,",")))),IF(EG36="",TRUE,IF(input_faculty_discipline="",TRUE,SUMPRODUCT(--ISNUMBER(SEARCH(","&amp;TRIM(TEXTSPLIT(EG36,","))&amp;",",","&amp;SUBSTITUTE(input_faculty_discipline," ","")&amp;",")))=0)),IF(EI36="",TRUE,IF(input_faculty_discipline="",FALSE,SUMPRODUCT(--ISNUMBER(SEARCH(","&amp;TRIM(TEXTSPLIT(EI36,","))&amp;",",","&amp;SUBSTITUTE(input_faculty_discipline," ","")&amp;",")))&gt;0)),IF(EK36="",TRUE,IF(input_faculty_discipline="",FALSE,SUMPRODUCT(--ISNUMBER(SEARCH(","&amp;TRIM(TEXTSPLIT(EK36,","))&amp;",",","&amp;SUBSTITUTE(input_faculty_discipline," ","")&amp;",")))=COUNTA(TEXTSPLIT(EK36,",")))))</f>
        <v/>
      </c>
      <c r="JG36">
        <f>AND(IF(EM36="",TRUE,IF(input_faculty_expertise="",FALSE,SUMPRODUCT(--ISNUMBER(SEARCH(","&amp;TRIM(TEXTSPLIT(EM36,","))&amp;",",","&amp;SUBSTITUTE(input_faculty_expertise," ","")&amp;",")))&gt;0)),IF(EO36="",TRUE,IF(input_faculty_expertise="",FALSE,SUMPRODUCT(--ISNUMBER(SEARCH(","&amp;TRIM(TEXTSPLIT(EO36,","))&amp;",",","&amp;SUBSTITUTE(input_faculty_expertise," ","")&amp;",")))=COUNTA(TEXTSPLIT(EO36,",")))),IF(EQ36="",TRUE,IF(input_faculty_expertise="",TRUE,SUMPRODUCT(--ISNUMBER(SEARCH(","&amp;TRIM(TEXTSPLIT(EQ36,","))&amp;",",","&amp;SUBSTITUTE(input_faculty_expertise," ","")&amp;",")))=0)),IF(ES36="",TRUE,IF(input_faculty_expertise="",FALSE,SUMPRODUCT(--ISNUMBER(SEARCH(","&amp;TRIM(TEXTSPLIT(ES36,","))&amp;",",","&amp;SUBSTITUTE(input_faculty_expertise," ","")&amp;",")))&gt;0)),IF(EU36="",TRUE,IF(input_faculty_expertise="",FALSE,SUMPRODUCT(--ISNUMBER(SEARCH(","&amp;TRIM(TEXTSPLIT(EU36,","))&amp;",",","&amp;SUBSTITUTE(input_faculty_expertise," ","")&amp;",")))=COUNTA(TEXTSPLIT(EU36,",")))))</f>
        <v/>
      </c>
      <c r="JH36">
        <f>AND(IF(EW36="",TRUE,IF(input_global_network_school="",FALSE,SUMPRODUCT(--ISNUMBER(SEARCH(","&amp;TRIM(TEXTSPLIT(EW36,","))&amp;",",","&amp;SUBSTITUTE(input_global_network_school," ","")&amp;",")))&gt;0)),IF(EY36="",TRUE,IF(input_global_network_school="",FALSE,SUMPRODUCT(--ISNUMBER(SEARCH(","&amp;TRIM(TEXTSPLIT(EY36,","))&amp;",",","&amp;SUBSTITUTE(input_global_network_school," ","")&amp;",")))=COUNTA(TEXTSPLIT(EY36,",")))),IF(FA36="",TRUE,IF(input_global_network_school="",TRUE,SUMPRODUCT(--ISNUMBER(SEARCH(","&amp;TRIM(TEXTSPLIT(FA36,","))&amp;",",","&amp;SUBSTITUTE(input_global_network_school," ","")&amp;",")))=0)),IF(FC36="",TRUE,IF(input_global_network_school="",FALSE,SUMPRODUCT(--ISNUMBER(SEARCH(","&amp;TRIM(TEXTSPLIT(FC36,","))&amp;",",","&amp;SUBSTITUTE(input_global_network_school," ","")&amp;",")))&gt;0)),IF(FE36="",TRUE,IF(input_global_network_school="",FALSE,SUMPRODUCT(--ISNUMBER(SEARCH(","&amp;TRIM(TEXTSPLIT(FE36,","))&amp;",",","&amp;SUBSTITUTE(input_global_network_school," ","")&amp;",")))=COUNTA(TEXTSPLIT(FE36,",")))))</f>
        <v/>
      </c>
      <c r="JI36">
        <f>AND(IF(FG36="",TRUE,IF(input_industry="",FALSE,SUMPRODUCT(--ISNUMBER(SEARCH(","&amp;TRIM(TEXTSPLIT(FG36,","))&amp;",",","&amp;SUBSTITUTE(input_industry," ","")&amp;",")))&gt;0)),IF(FI36="",TRUE,IF(input_industry="",FALSE,SUMPRODUCT(--ISNUMBER(SEARCH(","&amp;TRIM(TEXTSPLIT(FI36,","))&amp;",",","&amp;SUBSTITUTE(input_industry," ","")&amp;",")))=COUNTA(TEXTSPLIT(FI36,",")))),IF(FK36="",TRUE,IF(input_industry="",TRUE,SUMPRODUCT(--ISNUMBER(SEARCH(","&amp;TRIM(TEXTSPLIT(FK36,","))&amp;",",","&amp;SUBSTITUTE(input_industry," ","")&amp;",")))=0)),IF(FM36="",TRUE,IF(input_industry="",FALSE,SUMPRODUCT(--ISNUMBER(SEARCH(","&amp;TRIM(TEXTSPLIT(FM36,","))&amp;",",","&amp;SUBSTITUTE(input_industry," ","")&amp;",")))&gt;0)),IF(FO36="",TRUE,IF(input_industry="",FALSE,SUMPRODUCT(--ISNUMBER(SEARCH(","&amp;TRIM(TEXTSPLIT(FO36,","))&amp;",",","&amp;SUBSTITUTE(input_industry," ","")&amp;",")))=COUNTA(TEXTSPLIT(FO36,",")))))</f>
        <v/>
      </c>
      <c r="JJ36">
        <f>AND(IF(FQ36="",TRUE,IF(input_location="",FALSE,SUMPRODUCT(--ISNUMBER(SEARCH(","&amp;TRIM(TEXTSPLIT(FQ36,","))&amp;",",","&amp;SUBSTITUTE(input_location," ","")&amp;",")))&gt;0)),IF(FS36="",TRUE,IF(input_location="",FALSE,SUMPRODUCT(--ISNUMBER(SEARCH(","&amp;TRIM(TEXTSPLIT(FS36,","))&amp;",",","&amp;SUBSTITUTE(input_location," ","")&amp;",")))=COUNTA(TEXTSPLIT(FS36,",")))),IF(FU36="",TRUE,IF(input_location="",TRUE,SUMPRODUCT(--ISNUMBER(SEARCH(","&amp;TRIM(TEXTSPLIT(FU36,","))&amp;",",","&amp;SUBSTITUTE(input_location," ","")&amp;",")))=0)),IF(FW36="",TRUE,IF(input_location="",FALSE,SUMPRODUCT(--ISNUMBER(SEARCH(","&amp;TRIM(TEXTSPLIT(FW36,","))&amp;",",","&amp;SUBSTITUTE(input_location," ","")&amp;",")))&gt;0)),IF(FY36="",TRUE,IF(input_location="",FALSE,SUMPRODUCT(--ISNUMBER(SEARCH(","&amp;TRIM(TEXTSPLIT(FY36,","))&amp;",",","&amp;SUBSTITUTE(input_location," ","")&amp;",")))=COUNTA(TEXTSPLIT(FY36,",")))))</f>
        <v/>
      </c>
      <c r="JK36">
        <f>AND(IF(GA36="",TRUE,IF(input_modality="",FALSE,SUMPRODUCT(--ISNUMBER(SEARCH(","&amp;TRIM(TEXTSPLIT(GA36,","))&amp;",",","&amp;SUBSTITUTE(input_modality," ","")&amp;",")))&gt;0)),IF(GC36="",TRUE,IF(input_modality="",FALSE,SUMPRODUCT(--ISNUMBER(SEARCH(","&amp;TRIM(TEXTSPLIT(GC36,","))&amp;",",","&amp;SUBSTITUTE(input_modality," ","")&amp;",")))=COUNTA(TEXTSPLIT(GC36,",")))),IF(GE36="",TRUE,IF(input_modality="",TRUE,SUMPRODUCT(--ISNUMBER(SEARCH(","&amp;TRIM(TEXTSPLIT(GE36,","))&amp;",",","&amp;SUBSTITUTE(input_modality," ","")&amp;",")))=0)),IF(GG36="",TRUE,IF(input_modality="",FALSE,SUMPRODUCT(--ISNUMBER(SEARCH(","&amp;TRIM(TEXTSPLIT(GG36,","))&amp;",",","&amp;SUBSTITUTE(input_modality," ","")&amp;",")))&gt;0)),IF(GI36="",TRUE,IF(input_modality="",FALSE,SUMPRODUCT(--ISNUMBER(SEARCH(","&amp;TRIM(TEXTSPLIT(GI36,","))&amp;",",","&amp;SUBSTITUTE(input_modality," ","")&amp;",")))=COUNTA(TEXTSPLIT(GI36,",")))))</f>
        <v/>
      </c>
      <c r="JL36">
        <f>AND(IF(GK36="",TRUE,IF(input_organizer="",FALSE,SUMPRODUCT(--ISNUMBER(SEARCH(","&amp;TRIM(TEXTSPLIT(GK36,","))&amp;",",","&amp;SUBSTITUTE(input_organizer," ","")&amp;",")))&gt;0)),IF(GM36="",TRUE,IF(input_organizer="",FALSE,SUMPRODUCT(--ISNUMBER(SEARCH(","&amp;TRIM(TEXTSPLIT(GM36,","))&amp;",",","&amp;SUBSTITUTE(input_organizer," ","")&amp;",")))=COUNTA(TEXTSPLIT(GM36,",")))),IF(GO36="",TRUE,IF(input_organizer="",TRUE,SUMPRODUCT(--ISNUMBER(SEARCH(","&amp;TRIM(TEXTSPLIT(GO36,","))&amp;",",","&amp;SUBSTITUTE(input_organizer," ","")&amp;",")))=0)),IF(GQ36="",TRUE,IF(input_organizer="",FALSE,SUMPRODUCT(--ISNUMBER(SEARCH(","&amp;TRIM(TEXTSPLIT(GQ36,","))&amp;",",","&amp;SUBSTITUTE(input_organizer," ","")&amp;",")))&gt;0)),IF(GS36="",TRUE,IF(input_organizer="",FALSE,SUMPRODUCT(--ISNUMBER(SEARCH(","&amp;TRIM(TEXTSPLIT(GS36,","))&amp;",",","&amp;SUBSTITUTE(input_organizer," ","")&amp;",")))=COUNTA(TEXTSPLIT(GS36,",")))))</f>
        <v/>
      </c>
      <c r="JM36">
        <f>AND(IF(GU36="",TRUE,IF(input_profile_type="",FALSE,SUMPRODUCT(--ISNUMBER(SEARCH(","&amp;TRIM(TEXTSPLIT(GU36,","))&amp;",",","&amp;SUBSTITUTE(input_profile_type," ","")&amp;",")))&gt;0)),IF(GW36="",TRUE,IF(input_profile_type="",FALSE,SUMPRODUCT(--ISNUMBER(SEARCH(","&amp;TRIM(TEXTSPLIT(GW36,","))&amp;",",","&amp;SUBSTITUTE(input_profile_type," ","")&amp;",")))=COUNTA(TEXTSPLIT(GW36,",")))),IF(GY36="",TRUE,IF(input_profile_type="",TRUE,SUMPRODUCT(--ISNUMBER(SEARCH(","&amp;TRIM(TEXTSPLIT(GY36,","))&amp;",",","&amp;SUBSTITUTE(input_profile_type," ","")&amp;",")))=0)),IF(HA36="",TRUE,IF(input_profile_type="",FALSE,SUMPRODUCT(--ISNUMBER(SEARCH(","&amp;TRIM(TEXTSPLIT(HA36,","))&amp;",",","&amp;SUBSTITUTE(input_profile_type," ","")&amp;",")))&gt;0)),IF(HC36="",TRUE,IF(input_profile_type="",FALSE,SUMPRODUCT(--ISNUMBER(SEARCH(","&amp;TRIM(TEXTSPLIT(HC36,","))&amp;",",","&amp;SUBSTITUTE(input_profile_type," ","")&amp;",")))=COUNTA(TEXTSPLIT(HC36,",")))))</f>
        <v/>
      </c>
      <c r="JN36">
        <f>AND(IF(HE36="",TRUE,IF(input_program="",FALSE,SUMPRODUCT(--ISNUMBER(SEARCH(","&amp;TRIM(TEXTSPLIT(HE36,","))&amp;",",","&amp;SUBSTITUTE(input_program," ","")&amp;",")))&gt;0)),IF(HG36="",TRUE,IF(input_program="",FALSE,SUMPRODUCT(--ISNUMBER(SEARCH(","&amp;TRIM(TEXTSPLIT(HG36,","))&amp;",",","&amp;SUBSTITUTE(input_program," ","")&amp;",")))=COUNTA(TEXTSPLIT(HG36,",")))),IF(HI36="",TRUE,IF(input_program="",TRUE,SUMPRODUCT(--ISNUMBER(SEARCH(","&amp;TRIM(TEXTSPLIT(HI36,","))&amp;",",","&amp;SUBSTITUTE(input_program," ","")&amp;",")))=0)),IF(HK36="",TRUE,IF(input_program="",FALSE,SUMPRODUCT(--ISNUMBER(SEARCH(","&amp;TRIM(TEXTSPLIT(HK36,","))&amp;",",","&amp;SUBSTITUTE(input_program," ","")&amp;",")))&gt;0)),IF(HM36="",TRUE,IF(input_program="",FALSE,SUMPRODUCT(--ISNUMBER(SEARCH(","&amp;TRIM(TEXTSPLIT(HM36,","))&amp;",",","&amp;SUBSTITUTE(input_program," ","")&amp;",")))=COUNTA(TEXTSPLIT(HM36,",")))))</f>
        <v/>
      </c>
      <c r="JO36">
        <f>AND(IF(HO36="",TRUE,IF(input_story_categories="",FALSE,SUMPRODUCT(--ISNUMBER(SEARCH(","&amp;TRIM(TEXTSPLIT(HO36,","))&amp;",",","&amp;SUBSTITUTE(input_story_categories," ","")&amp;",")))&gt;0)),IF(HQ36="",TRUE,IF(input_story_categories="",FALSE,SUMPRODUCT(--ISNUMBER(SEARCH(","&amp;TRIM(TEXTSPLIT(HQ36,","))&amp;",",","&amp;SUBSTITUTE(input_story_categories," ","")&amp;",")))=COUNTA(TEXTSPLIT(HQ36,",")))),IF(HS36="",TRUE,IF(input_story_categories="",TRUE,SUMPRODUCT(--ISNUMBER(SEARCH(","&amp;TRIM(TEXTSPLIT(HS36,","))&amp;",",","&amp;SUBSTITUTE(input_story_categories," ","")&amp;",")))=0)),IF(HU36="",TRUE,IF(input_story_categories="",FALSE,SUMPRODUCT(--ISNUMBER(SEARCH(","&amp;TRIM(TEXTSPLIT(HU36,","))&amp;",",","&amp;SUBSTITUTE(input_story_categories," ","")&amp;",")))&gt;0)),IF(HW36="",TRUE,IF(input_story_categories="",FALSE,SUMPRODUCT(--ISNUMBER(SEARCH(","&amp;TRIM(TEXTSPLIT(HW36,","))&amp;",",","&amp;SUBSTITUTE(input_story_categories," ","")&amp;",")))=COUNTA(TEXTSPLIT(HW36,",")))))</f>
        <v/>
      </c>
      <c r="JP36">
        <f>AND(IF(HY36="",TRUE,IF(input_story_type="",FALSE,SUMPRODUCT(--ISNUMBER(SEARCH(","&amp;TRIM(TEXTSPLIT(HY36,","))&amp;",",","&amp;SUBSTITUTE(input_story_type," ","")&amp;",")))&gt;0)),IF(IA36="",TRUE,IF(input_story_type="",FALSE,SUMPRODUCT(--ISNUMBER(SEARCH(","&amp;TRIM(TEXTSPLIT(IA36,","))&amp;",",","&amp;SUBSTITUTE(input_story_type," ","")&amp;",")))=COUNTA(TEXTSPLIT(IA36,",")))),IF(IC36="",TRUE,IF(input_story_type="",TRUE,SUMPRODUCT(--ISNUMBER(SEARCH(","&amp;TRIM(TEXTSPLIT(IC36,","))&amp;",",","&amp;SUBSTITUTE(input_story_type," ","")&amp;",")))=0)),IF(IE36="",TRUE,IF(input_story_type="",FALSE,SUMPRODUCT(--ISNUMBER(SEARCH(","&amp;TRIM(TEXTSPLIT(IE36,","))&amp;",",","&amp;SUBSTITUTE(input_story_type," ","")&amp;",")))&gt;0)),IF(IG36="",TRUE,IF(input_story_type="",FALSE,SUMPRODUCT(--ISNUMBER(SEARCH(","&amp;TRIM(TEXTSPLIT(IG36,","))&amp;",",","&amp;SUBSTITUTE(input_story_type," ","")&amp;",")))=COUNTA(TEXTSPLIT(IG36,",")))))</f>
        <v/>
      </c>
      <c r="JQ36">
        <f>AND(IF(II36="",TRUE,IF(input_topics="",FALSE,SUMPRODUCT(--ISNUMBER(SEARCH(","&amp;TRIM(TEXTSPLIT(II36,","))&amp;",",","&amp;SUBSTITUTE(input_topics," ","")&amp;",")))&gt;0)),IF(IK36="",TRUE,IF(input_topics="",FALSE,SUMPRODUCT(--ISNUMBER(SEARCH(","&amp;TRIM(TEXTSPLIT(IK36,","))&amp;",",","&amp;SUBSTITUTE(input_topics," ","")&amp;",")))=COUNTA(TEXTSPLIT(IK36,",")))),IF(IM36="",TRUE,IF(input_topics="",TRUE,SUMPRODUCT(--ISNUMBER(SEARCH(","&amp;TRIM(TEXTSPLIT(IM36,","))&amp;",",","&amp;SUBSTITUTE(input_topics," ","")&amp;",")))=0)),IF(IO36="",TRUE,IF(input_topics="",FALSE,SUMPRODUCT(--ISNUMBER(SEARCH(","&amp;TRIM(TEXTSPLIT(IO36,","))&amp;",",","&amp;SUBSTITUTE(input_topics," ","")&amp;",")))&gt;0)),IF(IQ36="",TRUE,IF(input_topics="",FALSE,SUMPRODUCT(--ISNUMBER(SEARCH(","&amp;TRIM(TEXTSPLIT(IQ36,","))&amp;",",","&amp;SUBSTITUTE(input_topics," ","")&amp;",")))=COUNTA(TEXTSPLIT(IQ36,",")))))</f>
        <v/>
      </c>
    </row>
    <row r="37">
      <c r="A37" s="4">
        <f>IF(NOT(IS37),"Excluded",IF(AND(IT37,IU37,IV37,IW37,IX37,IY37,IZ37,JA37,JB37,JC37,JD37,JE37,JF37,JG37,JH37,JI37,JJ37,JK37,JL37,JM37,JN37,JO37,JP37,JQ37),IF(I37&gt;0,"Eligible but limited","Will appear"),"Excluded"))</f>
        <v/>
      </c>
      <c r="B37" s="4" t="inlineStr">
        <is>
          <t>All Publications by Author</t>
        </is>
      </c>
      <c r="C37" s="4" t="inlineStr">
        <is>
          <t>/faculty-research/faculty-directory/k-sudhir</t>
        </is>
      </c>
      <c r="D37" s="4" t="inlineStr">
        <is>
          <t>/faculty-research/faculty-directory/k-sudhir</t>
        </is>
      </c>
      <c r="E37" s="4" t="n">
        <v>1</v>
      </c>
      <c r="F37" s="4" t="inlineStr">
        <is>
          <t>publications</t>
        </is>
      </c>
      <c r="G37" s="4" t="inlineStr">
        <is>
          <t>publication_teaser_list</t>
        </is>
      </c>
      <c r="H37" s="4" t="inlineStr">
        <is>
          <t>publication_teaser_list_all_by_author</t>
        </is>
      </c>
      <c r="I37" s="4" t="inlineStr"/>
      <c r="J37" s="4" t="inlineStr">
        <is>
          <t>View/config rules</t>
        </is>
      </c>
      <c r="K37" s="4" t="inlineStr">
        <is>
          <t>Page placement</t>
        </is>
      </c>
      <c r="L37" s="4" t="inlineStr">
        <is>
          <t>Content type: publications; Source: View/config rules</t>
        </is>
      </c>
      <c r="M37" t="inlineStr"/>
      <c r="N37" t="inlineStr"/>
      <c r="O37" t="inlineStr"/>
      <c r="P37" t="inlineStr"/>
      <c r="Q37" t="inlineStr"/>
      <c r="R37" t="inlineStr"/>
      <c r="S37" t="inlineStr"/>
      <c r="T37" t="inlineStr"/>
      <c r="U37" t="inlineStr"/>
      <c r="V37" t="inlineStr"/>
      <c r="W37" t="inlineStr"/>
      <c r="X37" t="inlineStr"/>
      <c r="Y37" t="inlineStr"/>
      <c r="Z37" t="inlineStr"/>
      <c r="AA37" t="inlineStr"/>
      <c r="AB37" t="inlineStr"/>
      <c r="AC37" t="inlineStr"/>
      <c r="AD37" t="inlineStr"/>
      <c r="AE37" t="inlineStr"/>
      <c r="AF37" t="inlineStr"/>
      <c r="AG37" t="inlineStr"/>
      <c r="AH37" t="inlineStr"/>
      <c r="AI37" t="inlineStr"/>
      <c r="AJ37" t="inlineStr"/>
      <c r="AK37" t="inlineStr"/>
      <c r="AL37" t="inlineStr"/>
      <c r="AM37" t="inlineStr"/>
      <c r="AN37" t="inlineStr"/>
      <c r="AO37" t="inlineStr"/>
      <c r="AP37" t="inlineStr"/>
      <c r="AQ37" t="inlineStr"/>
      <c r="AR37" t="inlineStr"/>
      <c r="AS37" t="inlineStr"/>
      <c r="AT37" t="inlineStr"/>
      <c r="AU37" t="inlineStr"/>
      <c r="AV37" t="inlineStr"/>
      <c r="AW37" t="inlineStr"/>
      <c r="AX37" t="inlineStr"/>
      <c r="AY37" t="inlineStr"/>
      <c r="AZ37" t="inlineStr"/>
      <c r="BA37" t="inlineStr"/>
      <c r="BB37" t="inlineStr"/>
      <c r="BC37" t="inlineStr"/>
      <c r="BD37" t="inlineStr"/>
      <c r="BE37" t="inlineStr"/>
      <c r="BF37" t="inlineStr"/>
      <c r="BG37" t="inlineStr"/>
      <c r="BH37" t="inlineStr"/>
      <c r="BI37" t="inlineStr"/>
      <c r="BJ37" t="inlineStr"/>
      <c r="BK37" t="inlineStr"/>
      <c r="BL37" t="inlineStr"/>
      <c r="BM37" t="inlineStr"/>
      <c r="BN37" t="inlineStr"/>
      <c r="BO37" t="inlineStr"/>
      <c r="BP37" t="inlineStr"/>
      <c r="BQ37" t="inlineStr"/>
      <c r="BR37" t="inlineStr"/>
      <c r="BS37" t="inlineStr"/>
      <c r="BT37" t="inlineStr"/>
      <c r="BU37" t="inlineStr"/>
      <c r="BV37" t="inlineStr"/>
      <c r="BW37" t="inlineStr"/>
      <c r="BX37" t="inlineStr"/>
      <c r="BY37" t="inlineStr"/>
      <c r="BZ37" t="inlineStr"/>
      <c r="CA37" t="inlineStr"/>
      <c r="CB37" t="inlineStr"/>
      <c r="CC37" t="inlineStr"/>
      <c r="CD37" t="inlineStr"/>
      <c r="CE37" t="inlineStr"/>
      <c r="CF37" t="inlineStr"/>
      <c r="CG37" t="inlineStr"/>
      <c r="CH37" t="inlineStr"/>
      <c r="CI37" t="inlineStr"/>
      <c r="CJ37" t="inlineStr"/>
      <c r="CK37" t="inlineStr"/>
      <c r="CL37" t="inlineStr"/>
      <c r="CM37" t="inlineStr"/>
      <c r="CN37" t="inlineStr"/>
      <c r="CO37" t="inlineStr"/>
      <c r="CP37" t="inlineStr"/>
      <c r="CQ37" t="inlineStr"/>
      <c r="CR37" t="inlineStr"/>
      <c r="CS37" t="inlineStr"/>
      <c r="CT37" t="inlineStr"/>
      <c r="CU37" t="inlineStr"/>
      <c r="CV37" t="inlineStr"/>
      <c r="CW37" t="inlineStr"/>
      <c r="CX37" t="inlineStr"/>
      <c r="CY37" t="inlineStr"/>
      <c r="CZ37" t="inlineStr"/>
      <c r="DA37" t="inlineStr"/>
      <c r="DB37" t="inlineStr"/>
      <c r="DC37" t="inlineStr"/>
      <c r="DD37" t="inlineStr"/>
      <c r="DE37" t="inlineStr"/>
      <c r="DF37" t="inlineStr"/>
      <c r="DG37" t="inlineStr"/>
      <c r="DH37" t="inlineStr"/>
      <c r="DI37" t="inlineStr"/>
      <c r="DJ37" t="inlineStr"/>
      <c r="DK37" t="inlineStr"/>
      <c r="DL37" t="inlineStr"/>
      <c r="DM37" t="inlineStr"/>
      <c r="DN37" t="inlineStr"/>
      <c r="DO37" t="inlineStr"/>
      <c r="DP37" t="inlineStr"/>
      <c r="DQ37" t="inlineStr"/>
      <c r="DR37" t="inlineStr"/>
      <c r="DS37" t="inlineStr"/>
      <c r="DT37" t="inlineStr"/>
      <c r="DU37" t="inlineStr"/>
      <c r="DV37" t="inlineStr"/>
      <c r="DW37" t="inlineStr"/>
      <c r="DX37" t="inlineStr"/>
      <c r="DY37" t="inlineStr"/>
      <c r="DZ37" t="inlineStr"/>
      <c r="EA37" t="inlineStr"/>
      <c r="EB37" t="inlineStr"/>
      <c r="EC37" t="inlineStr"/>
      <c r="ED37" t="inlineStr"/>
      <c r="EE37" t="inlineStr"/>
      <c r="EF37" t="inlineStr"/>
      <c r="EG37" t="inlineStr"/>
      <c r="EH37" t="inlineStr"/>
      <c r="EI37" t="inlineStr"/>
      <c r="EJ37" t="inlineStr"/>
      <c r="EK37" t="inlineStr"/>
      <c r="EL37" t="inlineStr"/>
      <c r="EM37" t="inlineStr"/>
      <c r="EN37" t="inlineStr"/>
      <c r="EO37" t="inlineStr"/>
      <c r="EP37" t="inlineStr"/>
      <c r="EQ37" t="inlineStr"/>
      <c r="ER37" t="inlineStr"/>
      <c r="ES37" t="inlineStr"/>
      <c r="ET37" t="inlineStr"/>
      <c r="EU37" t="inlineStr"/>
      <c r="EV37" t="inlineStr"/>
      <c r="EW37" t="inlineStr"/>
      <c r="EX37" t="inlineStr"/>
      <c r="EY37" t="inlineStr"/>
      <c r="EZ37" t="inlineStr"/>
      <c r="FA37" t="inlineStr"/>
      <c r="FB37" t="inlineStr"/>
      <c r="FC37" t="inlineStr"/>
      <c r="FD37" t="inlineStr"/>
      <c r="FE37" t="inlineStr"/>
      <c r="FF37" t="inlineStr"/>
      <c r="FG37" t="inlineStr"/>
      <c r="FH37" t="inlineStr"/>
      <c r="FI37" t="inlineStr"/>
      <c r="FJ37" t="inlineStr"/>
      <c r="FK37" t="inlineStr"/>
      <c r="FL37" t="inlineStr"/>
      <c r="FM37" t="inlineStr"/>
      <c r="FN37" t="inlineStr"/>
      <c r="FO37" t="inlineStr"/>
      <c r="FP37" t="inlineStr"/>
      <c r="FQ37" t="inlineStr"/>
      <c r="FR37" t="inlineStr"/>
      <c r="FS37" t="inlineStr"/>
      <c r="FT37" t="inlineStr"/>
      <c r="FU37" t="inlineStr"/>
      <c r="FV37" t="inlineStr"/>
      <c r="FW37" t="inlineStr"/>
      <c r="FX37" t="inlineStr"/>
      <c r="FY37" t="inlineStr"/>
      <c r="FZ37" t="inlineStr"/>
      <c r="GA37" t="inlineStr"/>
      <c r="GB37" t="inlineStr"/>
      <c r="GC37" t="inlineStr"/>
      <c r="GD37" t="inlineStr"/>
      <c r="GE37" t="inlineStr"/>
      <c r="GF37" t="inlineStr"/>
      <c r="GG37" t="inlineStr"/>
      <c r="GH37" t="inlineStr"/>
      <c r="GI37" t="inlineStr"/>
      <c r="GJ37" t="inlineStr"/>
      <c r="GK37" t="inlineStr"/>
      <c r="GL37" t="inlineStr"/>
      <c r="GM37" t="inlineStr"/>
      <c r="GN37" t="inlineStr"/>
      <c r="GO37" t="inlineStr"/>
      <c r="GP37" t="inlineStr"/>
      <c r="GQ37" t="inlineStr"/>
      <c r="GR37" t="inlineStr"/>
      <c r="GS37" t="inlineStr"/>
      <c r="GT37" t="inlineStr"/>
      <c r="GU37" t="inlineStr"/>
      <c r="GV37" t="inlineStr"/>
      <c r="GW37" t="inlineStr"/>
      <c r="GX37" t="inlineStr"/>
      <c r="GY37" t="inlineStr"/>
      <c r="GZ37" t="inlineStr"/>
      <c r="HA37" t="inlineStr"/>
      <c r="HB37" t="inlineStr"/>
      <c r="HC37" t="inlineStr"/>
      <c r="HD37" t="inlineStr"/>
      <c r="HE37" t="inlineStr"/>
      <c r="HF37" t="inlineStr"/>
      <c r="HG37" t="inlineStr"/>
      <c r="HH37" t="inlineStr"/>
      <c r="HI37" t="inlineStr"/>
      <c r="HJ37" t="inlineStr"/>
      <c r="HK37" t="inlineStr"/>
      <c r="HL37" t="inlineStr"/>
      <c r="HM37" t="inlineStr"/>
      <c r="HN37" t="inlineStr"/>
      <c r="HO37" t="inlineStr"/>
      <c r="HP37" t="inlineStr"/>
      <c r="HQ37" t="inlineStr"/>
      <c r="HR37" t="inlineStr"/>
      <c r="HS37" t="inlineStr"/>
      <c r="HT37" t="inlineStr"/>
      <c r="HU37" t="inlineStr"/>
      <c r="HV37" t="inlineStr"/>
      <c r="HW37" t="inlineStr"/>
      <c r="HX37" t="inlineStr"/>
      <c r="HY37" t="inlineStr"/>
      <c r="HZ37" t="inlineStr"/>
      <c r="IA37" t="inlineStr"/>
      <c r="IB37" t="inlineStr"/>
      <c r="IC37" t="inlineStr"/>
      <c r="ID37" t="inlineStr"/>
      <c r="IE37" t="inlineStr"/>
      <c r="IF37" t="inlineStr"/>
      <c r="IG37" t="inlineStr"/>
      <c r="IH37" t="inlineStr"/>
      <c r="II37" t="inlineStr"/>
      <c r="IJ37" t="inlineStr"/>
      <c r="IK37" t="inlineStr"/>
      <c r="IL37" t="inlineStr"/>
      <c r="IM37" t="inlineStr"/>
      <c r="IN37" t="inlineStr"/>
      <c r="IO37" t="inlineStr"/>
      <c r="IP37" t="inlineStr"/>
      <c r="IQ37" t="inlineStr"/>
      <c r="IR37" t="inlineStr"/>
      <c r="IS37">
        <f>IF(input_content_type="",FALSE,ISNUMBER(SEARCH(","&amp;LOWER(input_content_type)&amp;",",","&amp;LOWER(F37)&amp;",")))</f>
        <v/>
      </c>
      <c r="IT37">
        <f>AND(IF(M37="",TRUE,IF(input_affiliations="",FALSE,SUMPRODUCT(--ISNUMBER(SEARCH(","&amp;TRIM(TEXTSPLIT(M37,","))&amp;",",","&amp;SUBSTITUTE(input_affiliations," ","")&amp;",")))&gt;0)),IF(O37="",TRUE,IF(input_affiliations="",FALSE,SUMPRODUCT(--ISNUMBER(SEARCH(","&amp;TRIM(TEXTSPLIT(O37,","))&amp;",",","&amp;SUBSTITUTE(input_affiliations," ","")&amp;",")))=COUNTA(TEXTSPLIT(O37,",")))),IF(Q37="",TRUE,IF(input_affiliations="",TRUE,SUMPRODUCT(--ISNUMBER(SEARCH(","&amp;TRIM(TEXTSPLIT(Q37,","))&amp;",",","&amp;SUBSTITUTE(input_affiliations," ","")&amp;",")))=0)),IF(S37="",TRUE,IF(input_affiliations="",FALSE,SUMPRODUCT(--ISNUMBER(SEARCH(","&amp;TRIM(TEXTSPLIT(S37,","))&amp;",",","&amp;SUBSTITUTE(input_affiliations," ","")&amp;",")))&gt;0)),IF(U37="",TRUE,IF(input_affiliations="",FALSE,SUMPRODUCT(--ISNUMBER(SEARCH(","&amp;TRIM(TEXTSPLIT(U37,","))&amp;",",","&amp;SUBSTITUTE(input_affiliations," ","")&amp;",")))=COUNTA(TEXTSPLIT(U37,",")))))</f>
        <v/>
      </c>
      <c r="IU37">
        <f>AND(IF(W37="",TRUE,IF(input_announcement_category="",FALSE,SUMPRODUCT(--ISNUMBER(SEARCH(","&amp;TRIM(TEXTSPLIT(W37,","))&amp;",",","&amp;SUBSTITUTE(input_announcement_category," ","")&amp;",")))&gt;0)),IF(Y37="",TRUE,IF(input_announcement_category="",FALSE,SUMPRODUCT(--ISNUMBER(SEARCH(","&amp;TRIM(TEXTSPLIT(Y37,","))&amp;",",","&amp;SUBSTITUTE(input_announcement_category," ","")&amp;",")))=COUNTA(TEXTSPLIT(Y37,",")))),IF(AA37="",TRUE,IF(input_announcement_category="",TRUE,SUMPRODUCT(--ISNUMBER(SEARCH(","&amp;TRIM(TEXTSPLIT(AA37,","))&amp;",",","&amp;SUBSTITUTE(input_announcement_category," ","")&amp;",")))=0)),IF(AC37="",TRUE,IF(input_announcement_category="",FALSE,SUMPRODUCT(--ISNUMBER(SEARCH(","&amp;TRIM(TEXTSPLIT(AC37,","))&amp;",",","&amp;SUBSTITUTE(input_announcement_category," ","")&amp;",")))&gt;0)),IF(AE37="",TRUE,IF(input_announcement_category="",FALSE,SUMPRODUCT(--ISNUMBER(SEARCH(","&amp;TRIM(TEXTSPLIT(AE37,","))&amp;",",","&amp;SUBSTITUTE(input_announcement_category," ","")&amp;",")))=COUNTA(TEXTSPLIT(AE37,",")))))</f>
        <v/>
      </c>
      <c r="IV37">
        <f>AND(IF(AG37="",TRUE,IF(input_area_of_focus="",FALSE,SUMPRODUCT(--ISNUMBER(SEARCH(","&amp;TRIM(TEXTSPLIT(AG37,","))&amp;",",","&amp;SUBSTITUTE(input_area_of_focus," ","")&amp;",")))&gt;0)),IF(AI37="",TRUE,IF(input_area_of_focus="",FALSE,SUMPRODUCT(--ISNUMBER(SEARCH(","&amp;TRIM(TEXTSPLIT(AI37,","))&amp;",",","&amp;SUBSTITUTE(input_area_of_focus," ","")&amp;",")))=COUNTA(TEXTSPLIT(AI37,",")))),IF(AK37="",TRUE,IF(input_area_of_focus="",TRUE,SUMPRODUCT(--ISNUMBER(SEARCH(","&amp;TRIM(TEXTSPLIT(AK37,","))&amp;",",","&amp;SUBSTITUTE(input_area_of_focus," ","")&amp;",")))=0)),IF(AM37="",TRUE,IF(input_area_of_focus="",FALSE,SUMPRODUCT(--ISNUMBER(SEARCH(","&amp;TRIM(TEXTSPLIT(AM37,","))&amp;",",","&amp;SUBSTITUTE(input_area_of_focus," ","")&amp;",")))&gt;0)),IF(AO37="",TRUE,IF(input_area_of_focus="",FALSE,SUMPRODUCT(--ISNUMBER(SEARCH(","&amp;TRIM(TEXTSPLIT(AO37,","))&amp;",",","&amp;SUBSTITUTE(input_area_of_focus," ","")&amp;",")))=COUNTA(TEXTSPLIT(AO37,",")))))</f>
        <v/>
      </c>
      <c r="IW37">
        <f>AND(IF(AQ37="",TRUE,IF(input_audience="",FALSE,SUMPRODUCT(--ISNUMBER(SEARCH(","&amp;TRIM(TEXTSPLIT(AQ37,","))&amp;",",","&amp;SUBSTITUTE(input_audience," ","")&amp;",")))&gt;0)),IF(AS37="",TRUE,IF(input_audience="",FALSE,SUMPRODUCT(--ISNUMBER(SEARCH(","&amp;TRIM(TEXTSPLIT(AS37,","))&amp;",",","&amp;SUBSTITUTE(input_audience," ","")&amp;",")))=COUNTA(TEXTSPLIT(AS37,",")))),IF(AU37="",TRUE,IF(input_audience="",TRUE,SUMPRODUCT(--ISNUMBER(SEARCH(","&amp;TRIM(TEXTSPLIT(AU37,","))&amp;",",","&amp;SUBSTITUTE(input_audience," ","")&amp;",")))=0)),IF(AW37="",TRUE,IF(input_audience="",FALSE,SUMPRODUCT(--ISNUMBER(SEARCH(","&amp;TRIM(TEXTSPLIT(AW37,","))&amp;",",","&amp;SUBSTITUTE(input_audience," ","")&amp;",")))&gt;0)),IF(AY37="",TRUE,IF(input_audience="",FALSE,SUMPRODUCT(--ISNUMBER(SEARCH(","&amp;TRIM(TEXTSPLIT(AY37,","))&amp;",",","&amp;SUBSTITUTE(input_audience," ","")&amp;",")))=COUNTA(TEXTSPLIT(AY37,",")))))</f>
        <v/>
      </c>
      <c r="IX37">
        <f>AND(IF(BA37="",TRUE,IF(input_challenge_opportunities="",FALSE,SUMPRODUCT(--ISNUMBER(SEARCH(","&amp;TRIM(TEXTSPLIT(BA37,","))&amp;",",","&amp;SUBSTITUTE(input_challenge_opportunities," ","")&amp;",")))&gt;0)),IF(BC37="",TRUE,IF(input_challenge_opportunities="",FALSE,SUMPRODUCT(--ISNUMBER(SEARCH(","&amp;TRIM(TEXTSPLIT(BC37,","))&amp;",",","&amp;SUBSTITUTE(input_challenge_opportunities," ","")&amp;",")))=COUNTA(TEXTSPLIT(BC37,",")))),IF(BE37="",TRUE,IF(input_challenge_opportunities="",TRUE,SUMPRODUCT(--ISNUMBER(SEARCH(","&amp;TRIM(TEXTSPLIT(BE37,","))&amp;",",","&amp;SUBSTITUTE(input_challenge_opportunities," ","")&amp;",")))=0)),IF(BG37="",TRUE,IF(input_challenge_opportunities="",FALSE,SUMPRODUCT(--ISNUMBER(SEARCH(","&amp;TRIM(TEXTSPLIT(BG37,","))&amp;",",","&amp;SUBSTITUTE(input_challenge_opportunities," ","")&amp;",")))&gt;0)),IF(BI37="",TRUE,IF(input_challenge_opportunities="",FALSE,SUMPRODUCT(--ISNUMBER(SEARCH(","&amp;TRIM(TEXTSPLIT(BI37,","))&amp;",",","&amp;SUBSTITUTE(input_challenge_opportunities," ","")&amp;",")))=COUNTA(TEXTSPLIT(BI37,",")))))</f>
        <v/>
      </c>
      <c r="IY37">
        <f>AND(IF(BK37="",TRUE,IF(input_context="",FALSE,SUMPRODUCT(--ISNUMBER(SEARCH(","&amp;TRIM(TEXTSPLIT(BK37,","))&amp;",",","&amp;SUBSTITUTE(input_context," ","")&amp;",")))&gt;0)),IF(BM37="",TRUE,IF(input_context="",FALSE,SUMPRODUCT(--ISNUMBER(SEARCH(","&amp;TRIM(TEXTSPLIT(BM37,","))&amp;",",","&amp;SUBSTITUTE(input_context," ","")&amp;",")))=COUNTA(TEXTSPLIT(BM37,",")))),IF(BO37="",TRUE,IF(input_context="",TRUE,SUMPRODUCT(--ISNUMBER(SEARCH(","&amp;TRIM(TEXTSPLIT(BO37,","))&amp;",",","&amp;SUBSTITUTE(input_context," ","")&amp;",")))=0)),IF(BQ37="",TRUE,IF(input_context="",FALSE,SUMPRODUCT(--ISNUMBER(SEARCH(","&amp;TRIM(TEXTSPLIT(BQ37,","))&amp;",",","&amp;SUBSTITUTE(input_context," ","")&amp;",")))&gt;0)),IF(BS37="",TRUE,IF(input_context="",FALSE,SUMPRODUCT(--ISNUMBER(SEARCH(","&amp;TRIM(TEXTSPLIT(BS37,","))&amp;",",","&amp;SUBSTITUTE(input_context," ","")&amp;",")))=COUNTA(TEXTSPLIT(BS37,",")))))</f>
        <v/>
      </c>
      <c r="IZ37">
        <f>AND(IF(BU37="",TRUE,IF(input_enews_announcement_type="",FALSE,SUMPRODUCT(--ISNUMBER(SEARCH(","&amp;TRIM(TEXTSPLIT(BU37,","))&amp;",",","&amp;SUBSTITUTE(input_enews_announcement_type," ","")&amp;",")))&gt;0)),IF(BW37="",TRUE,IF(input_enews_announcement_type="",FALSE,SUMPRODUCT(--ISNUMBER(SEARCH(","&amp;TRIM(TEXTSPLIT(BW37,","))&amp;",",","&amp;SUBSTITUTE(input_enews_announcement_type," ","")&amp;",")))=COUNTA(TEXTSPLIT(BW37,",")))),IF(BY37="",TRUE,IF(input_enews_announcement_type="",TRUE,SUMPRODUCT(--ISNUMBER(SEARCH(","&amp;TRIM(TEXTSPLIT(BY37,","))&amp;",",","&amp;SUBSTITUTE(input_enews_announcement_type," ","")&amp;",")))=0)),IF(CA37="",TRUE,IF(input_enews_announcement_type="",FALSE,SUMPRODUCT(--ISNUMBER(SEARCH(","&amp;TRIM(TEXTSPLIT(CA37,","))&amp;",",","&amp;SUBSTITUTE(input_enews_announcement_type," ","")&amp;",")))&gt;0)),IF(CC37="",TRUE,IF(input_enews_announcement_type="",FALSE,SUMPRODUCT(--ISNUMBER(SEARCH(","&amp;TRIM(TEXTSPLIT(CC37,","))&amp;",",","&amp;SUBSTITUTE(input_enews_announcement_type," ","")&amp;",")))=COUNTA(TEXTSPLIT(CC37,",")))))</f>
        <v/>
      </c>
      <c r="JA37">
        <f>AND(IF(CE37="",TRUE,IF(input_enews_audience="",FALSE,SUMPRODUCT(--ISNUMBER(SEARCH(","&amp;TRIM(TEXTSPLIT(CE37,","))&amp;",",","&amp;SUBSTITUTE(input_enews_audience," ","")&amp;",")))&gt;0)),IF(CG37="",TRUE,IF(input_enews_audience="",FALSE,SUMPRODUCT(--ISNUMBER(SEARCH(","&amp;TRIM(TEXTSPLIT(CG37,","))&amp;",",","&amp;SUBSTITUTE(input_enews_audience," ","")&amp;",")))=COUNTA(TEXTSPLIT(CG37,",")))),IF(CI37="",TRUE,IF(input_enews_audience="",TRUE,SUMPRODUCT(--ISNUMBER(SEARCH(","&amp;TRIM(TEXTSPLIT(CI37,","))&amp;",",","&amp;SUBSTITUTE(input_enews_audience," ","")&amp;",")))=0)),IF(CK37="",TRUE,IF(input_enews_audience="",FALSE,SUMPRODUCT(--ISNUMBER(SEARCH(","&amp;TRIM(TEXTSPLIT(CK37,","))&amp;",",","&amp;SUBSTITUTE(input_enews_audience," ","")&amp;",")))&gt;0)),IF(CM37="",TRUE,IF(input_enews_audience="",FALSE,SUMPRODUCT(--ISNUMBER(SEARCH(","&amp;TRIM(TEXTSPLIT(CM37,","))&amp;",",","&amp;SUBSTITUTE(input_enews_audience," ","")&amp;",")))=COUNTA(TEXTSPLIT(CM37,",")))))</f>
        <v/>
      </c>
      <c r="JB37">
        <f>AND(IF(CO37="",TRUE,IF(input_event_location="",FALSE,SUMPRODUCT(--ISNUMBER(SEARCH(","&amp;TRIM(TEXTSPLIT(CO37,","))&amp;",",","&amp;SUBSTITUTE(input_event_location," ","")&amp;",")))&gt;0)),IF(CQ37="",TRUE,IF(input_event_location="",FALSE,SUMPRODUCT(--ISNUMBER(SEARCH(","&amp;TRIM(TEXTSPLIT(CQ37,","))&amp;",",","&amp;SUBSTITUTE(input_event_location," ","")&amp;",")))=COUNTA(TEXTSPLIT(CQ37,",")))),IF(CS37="",TRUE,IF(input_event_location="",TRUE,SUMPRODUCT(--ISNUMBER(SEARCH(","&amp;TRIM(TEXTSPLIT(CS37,","))&amp;",",","&amp;SUBSTITUTE(input_event_location," ","")&amp;",")))=0)),IF(CU37="",TRUE,IF(input_event_location="",FALSE,SUMPRODUCT(--ISNUMBER(SEARCH(","&amp;TRIM(TEXTSPLIT(CU37,","))&amp;",",","&amp;SUBSTITUTE(input_event_location," ","")&amp;",")))&gt;0)),IF(CW37="",TRUE,IF(input_event_location="",FALSE,SUMPRODUCT(--ISNUMBER(SEARCH(","&amp;TRIM(TEXTSPLIT(CW37,","))&amp;",",","&amp;SUBSTITUTE(input_event_location," ","")&amp;",")))=COUNTA(TEXTSPLIT(CW37,",")))))</f>
        <v/>
      </c>
      <c r="JC37">
        <f>AND(IF(CY37="",TRUE,IF(input_event_type="",FALSE,SUMPRODUCT(--ISNUMBER(SEARCH(","&amp;TRIM(TEXTSPLIT(CY37,","))&amp;",",","&amp;SUBSTITUTE(input_event_type," ","")&amp;",")))&gt;0)),IF(DA37="",TRUE,IF(input_event_type="",FALSE,SUMPRODUCT(--ISNUMBER(SEARCH(","&amp;TRIM(TEXTSPLIT(DA37,","))&amp;",",","&amp;SUBSTITUTE(input_event_type," ","")&amp;",")))=COUNTA(TEXTSPLIT(DA37,",")))),IF(DC37="",TRUE,IF(input_event_type="",TRUE,SUMPRODUCT(--ISNUMBER(SEARCH(","&amp;TRIM(TEXTSPLIT(DC37,","))&amp;",",","&amp;SUBSTITUTE(input_event_type," ","")&amp;",")))=0)),IF(DE37="",TRUE,IF(input_event_type="",FALSE,SUMPRODUCT(--ISNUMBER(SEARCH(","&amp;TRIM(TEXTSPLIT(DE37,","))&amp;",",","&amp;SUBSTITUTE(input_event_type," ","")&amp;",")))&gt;0)),IF(DG37="",TRUE,IF(input_event_type="",FALSE,SUMPRODUCT(--ISNUMBER(SEARCH(","&amp;TRIM(TEXTSPLIT(DG37,","))&amp;",",","&amp;SUBSTITUTE(input_event_type," ","")&amp;",")))=COUNTA(TEXTSPLIT(DG37,",")))))</f>
        <v/>
      </c>
      <c r="JD37">
        <f>AND(IF(DI37="",TRUE,IF(input_executive_education_focus="",FALSE,SUMPRODUCT(--ISNUMBER(SEARCH(","&amp;TRIM(TEXTSPLIT(DI37,","))&amp;",",","&amp;SUBSTITUTE(input_executive_education_focus," ","")&amp;",")))&gt;0)),IF(DK37="",TRUE,IF(input_executive_education_focus="",FALSE,SUMPRODUCT(--ISNUMBER(SEARCH(","&amp;TRIM(TEXTSPLIT(DK37,","))&amp;",",","&amp;SUBSTITUTE(input_executive_education_focus," ","")&amp;",")))=COUNTA(TEXTSPLIT(DK37,",")))),IF(DM37="",TRUE,IF(input_executive_education_focus="",TRUE,SUMPRODUCT(--ISNUMBER(SEARCH(","&amp;TRIM(TEXTSPLIT(DM37,","))&amp;",",","&amp;SUBSTITUTE(input_executive_education_focus," ","")&amp;",")))=0)),IF(DO37="",TRUE,IF(input_executive_education_focus="",FALSE,SUMPRODUCT(--ISNUMBER(SEARCH(","&amp;TRIM(TEXTSPLIT(DO37,","))&amp;",",","&amp;SUBSTITUTE(input_executive_education_focus," ","")&amp;",")))&gt;0)),IF(DQ37="",TRUE,IF(input_executive_education_focus="",FALSE,SUMPRODUCT(--ISNUMBER(SEARCH(","&amp;TRIM(TEXTSPLIT(DQ37,","))&amp;",",","&amp;SUBSTITUTE(input_executive_education_focus," ","")&amp;",")))=COUNTA(TEXTSPLIT(DQ37,",")))))</f>
        <v/>
      </c>
      <c r="JE37">
        <f>AND(IF(DS37="",TRUE,IF(input_faculty_category="",FALSE,SUMPRODUCT(--ISNUMBER(SEARCH(","&amp;TRIM(TEXTSPLIT(DS37,","))&amp;",",","&amp;SUBSTITUTE(input_faculty_category," ","")&amp;",")))&gt;0)),IF(DU37="",TRUE,IF(input_faculty_category="",FALSE,SUMPRODUCT(--ISNUMBER(SEARCH(","&amp;TRIM(TEXTSPLIT(DU37,","))&amp;",",","&amp;SUBSTITUTE(input_faculty_category," ","")&amp;",")))=COUNTA(TEXTSPLIT(DU37,",")))),IF(DW37="",TRUE,IF(input_faculty_category="",TRUE,SUMPRODUCT(--ISNUMBER(SEARCH(","&amp;TRIM(TEXTSPLIT(DW37,","))&amp;",",","&amp;SUBSTITUTE(input_faculty_category," ","")&amp;",")))=0)),IF(DY37="",TRUE,IF(input_faculty_category="",FALSE,SUMPRODUCT(--ISNUMBER(SEARCH(","&amp;TRIM(TEXTSPLIT(DY37,","))&amp;",",","&amp;SUBSTITUTE(input_faculty_category," ","")&amp;",")))&gt;0)),IF(EA37="",TRUE,IF(input_faculty_category="",FALSE,SUMPRODUCT(--ISNUMBER(SEARCH(","&amp;TRIM(TEXTSPLIT(EA37,","))&amp;",",","&amp;SUBSTITUTE(input_faculty_category," ","")&amp;",")))=COUNTA(TEXTSPLIT(EA37,",")))))</f>
        <v/>
      </c>
      <c r="JF37">
        <f>AND(IF(EC37="",TRUE,IF(input_faculty_discipline="",FALSE,SUMPRODUCT(--ISNUMBER(SEARCH(","&amp;TRIM(TEXTSPLIT(EC37,","))&amp;",",","&amp;SUBSTITUTE(input_faculty_discipline," ","")&amp;",")))&gt;0)),IF(EE37="",TRUE,IF(input_faculty_discipline="",FALSE,SUMPRODUCT(--ISNUMBER(SEARCH(","&amp;TRIM(TEXTSPLIT(EE37,","))&amp;",",","&amp;SUBSTITUTE(input_faculty_discipline," ","")&amp;",")))=COUNTA(TEXTSPLIT(EE37,",")))),IF(EG37="",TRUE,IF(input_faculty_discipline="",TRUE,SUMPRODUCT(--ISNUMBER(SEARCH(","&amp;TRIM(TEXTSPLIT(EG37,","))&amp;",",","&amp;SUBSTITUTE(input_faculty_discipline," ","")&amp;",")))=0)),IF(EI37="",TRUE,IF(input_faculty_discipline="",FALSE,SUMPRODUCT(--ISNUMBER(SEARCH(","&amp;TRIM(TEXTSPLIT(EI37,","))&amp;",",","&amp;SUBSTITUTE(input_faculty_discipline," ","")&amp;",")))&gt;0)),IF(EK37="",TRUE,IF(input_faculty_discipline="",FALSE,SUMPRODUCT(--ISNUMBER(SEARCH(","&amp;TRIM(TEXTSPLIT(EK37,","))&amp;",",","&amp;SUBSTITUTE(input_faculty_discipline," ","")&amp;",")))=COUNTA(TEXTSPLIT(EK37,",")))))</f>
        <v/>
      </c>
      <c r="JG37">
        <f>AND(IF(EM37="",TRUE,IF(input_faculty_expertise="",FALSE,SUMPRODUCT(--ISNUMBER(SEARCH(","&amp;TRIM(TEXTSPLIT(EM37,","))&amp;",",","&amp;SUBSTITUTE(input_faculty_expertise," ","")&amp;",")))&gt;0)),IF(EO37="",TRUE,IF(input_faculty_expertise="",FALSE,SUMPRODUCT(--ISNUMBER(SEARCH(","&amp;TRIM(TEXTSPLIT(EO37,","))&amp;",",","&amp;SUBSTITUTE(input_faculty_expertise," ","")&amp;",")))=COUNTA(TEXTSPLIT(EO37,",")))),IF(EQ37="",TRUE,IF(input_faculty_expertise="",TRUE,SUMPRODUCT(--ISNUMBER(SEARCH(","&amp;TRIM(TEXTSPLIT(EQ37,","))&amp;",",","&amp;SUBSTITUTE(input_faculty_expertise," ","")&amp;",")))=0)),IF(ES37="",TRUE,IF(input_faculty_expertise="",FALSE,SUMPRODUCT(--ISNUMBER(SEARCH(","&amp;TRIM(TEXTSPLIT(ES37,","))&amp;",",","&amp;SUBSTITUTE(input_faculty_expertise," ","")&amp;",")))&gt;0)),IF(EU37="",TRUE,IF(input_faculty_expertise="",FALSE,SUMPRODUCT(--ISNUMBER(SEARCH(","&amp;TRIM(TEXTSPLIT(EU37,","))&amp;",",","&amp;SUBSTITUTE(input_faculty_expertise," ","")&amp;",")))=COUNTA(TEXTSPLIT(EU37,",")))))</f>
        <v/>
      </c>
      <c r="JH37">
        <f>AND(IF(EW37="",TRUE,IF(input_global_network_school="",FALSE,SUMPRODUCT(--ISNUMBER(SEARCH(","&amp;TRIM(TEXTSPLIT(EW37,","))&amp;",",","&amp;SUBSTITUTE(input_global_network_school," ","")&amp;",")))&gt;0)),IF(EY37="",TRUE,IF(input_global_network_school="",FALSE,SUMPRODUCT(--ISNUMBER(SEARCH(","&amp;TRIM(TEXTSPLIT(EY37,","))&amp;",",","&amp;SUBSTITUTE(input_global_network_school," ","")&amp;",")))=COUNTA(TEXTSPLIT(EY37,",")))),IF(FA37="",TRUE,IF(input_global_network_school="",TRUE,SUMPRODUCT(--ISNUMBER(SEARCH(","&amp;TRIM(TEXTSPLIT(FA37,","))&amp;",",","&amp;SUBSTITUTE(input_global_network_school," ","")&amp;",")))=0)),IF(FC37="",TRUE,IF(input_global_network_school="",FALSE,SUMPRODUCT(--ISNUMBER(SEARCH(","&amp;TRIM(TEXTSPLIT(FC37,","))&amp;",",","&amp;SUBSTITUTE(input_global_network_school," ","")&amp;",")))&gt;0)),IF(FE37="",TRUE,IF(input_global_network_school="",FALSE,SUMPRODUCT(--ISNUMBER(SEARCH(","&amp;TRIM(TEXTSPLIT(FE37,","))&amp;",",","&amp;SUBSTITUTE(input_global_network_school," ","")&amp;",")))=COUNTA(TEXTSPLIT(FE37,",")))))</f>
        <v/>
      </c>
      <c r="JI37">
        <f>AND(IF(FG37="",TRUE,IF(input_industry="",FALSE,SUMPRODUCT(--ISNUMBER(SEARCH(","&amp;TRIM(TEXTSPLIT(FG37,","))&amp;",",","&amp;SUBSTITUTE(input_industry," ","")&amp;",")))&gt;0)),IF(FI37="",TRUE,IF(input_industry="",FALSE,SUMPRODUCT(--ISNUMBER(SEARCH(","&amp;TRIM(TEXTSPLIT(FI37,","))&amp;",",","&amp;SUBSTITUTE(input_industry," ","")&amp;",")))=COUNTA(TEXTSPLIT(FI37,",")))),IF(FK37="",TRUE,IF(input_industry="",TRUE,SUMPRODUCT(--ISNUMBER(SEARCH(","&amp;TRIM(TEXTSPLIT(FK37,","))&amp;",",","&amp;SUBSTITUTE(input_industry," ","")&amp;",")))=0)),IF(FM37="",TRUE,IF(input_industry="",FALSE,SUMPRODUCT(--ISNUMBER(SEARCH(","&amp;TRIM(TEXTSPLIT(FM37,","))&amp;",",","&amp;SUBSTITUTE(input_industry," ","")&amp;",")))&gt;0)),IF(FO37="",TRUE,IF(input_industry="",FALSE,SUMPRODUCT(--ISNUMBER(SEARCH(","&amp;TRIM(TEXTSPLIT(FO37,","))&amp;",",","&amp;SUBSTITUTE(input_industry," ","")&amp;",")))=COUNTA(TEXTSPLIT(FO37,",")))))</f>
        <v/>
      </c>
      <c r="JJ37">
        <f>AND(IF(FQ37="",TRUE,IF(input_location="",FALSE,SUMPRODUCT(--ISNUMBER(SEARCH(","&amp;TRIM(TEXTSPLIT(FQ37,","))&amp;",",","&amp;SUBSTITUTE(input_location," ","")&amp;",")))&gt;0)),IF(FS37="",TRUE,IF(input_location="",FALSE,SUMPRODUCT(--ISNUMBER(SEARCH(","&amp;TRIM(TEXTSPLIT(FS37,","))&amp;",",","&amp;SUBSTITUTE(input_location," ","")&amp;",")))=COUNTA(TEXTSPLIT(FS37,",")))),IF(FU37="",TRUE,IF(input_location="",TRUE,SUMPRODUCT(--ISNUMBER(SEARCH(","&amp;TRIM(TEXTSPLIT(FU37,","))&amp;",",","&amp;SUBSTITUTE(input_location," ","")&amp;",")))=0)),IF(FW37="",TRUE,IF(input_location="",FALSE,SUMPRODUCT(--ISNUMBER(SEARCH(","&amp;TRIM(TEXTSPLIT(FW37,","))&amp;",",","&amp;SUBSTITUTE(input_location," ","")&amp;",")))&gt;0)),IF(FY37="",TRUE,IF(input_location="",FALSE,SUMPRODUCT(--ISNUMBER(SEARCH(","&amp;TRIM(TEXTSPLIT(FY37,","))&amp;",",","&amp;SUBSTITUTE(input_location," ","")&amp;",")))=COUNTA(TEXTSPLIT(FY37,",")))))</f>
        <v/>
      </c>
      <c r="JK37">
        <f>AND(IF(GA37="",TRUE,IF(input_modality="",FALSE,SUMPRODUCT(--ISNUMBER(SEARCH(","&amp;TRIM(TEXTSPLIT(GA37,","))&amp;",",","&amp;SUBSTITUTE(input_modality," ","")&amp;",")))&gt;0)),IF(GC37="",TRUE,IF(input_modality="",FALSE,SUMPRODUCT(--ISNUMBER(SEARCH(","&amp;TRIM(TEXTSPLIT(GC37,","))&amp;",",","&amp;SUBSTITUTE(input_modality," ","")&amp;",")))=COUNTA(TEXTSPLIT(GC37,",")))),IF(GE37="",TRUE,IF(input_modality="",TRUE,SUMPRODUCT(--ISNUMBER(SEARCH(","&amp;TRIM(TEXTSPLIT(GE37,","))&amp;",",","&amp;SUBSTITUTE(input_modality," ","")&amp;",")))=0)),IF(GG37="",TRUE,IF(input_modality="",FALSE,SUMPRODUCT(--ISNUMBER(SEARCH(","&amp;TRIM(TEXTSPLIT(GG37,","))&amp;",",","&amp;SUBSTITUTE(input_modality," ","")&amp;",")))&gt;0)),IF(GI37="",TRUE,IF(input_modality="",FALSE,SUMPRODUCT(--ISNUMBER(SEARCH(","&amp;TRIM(TEXTSPLIT(GI37,","))&amp;",",","&amp;SUBSTITUTE(input_modality," ","")&amp;",")))=COUNTA(TEXTSPLIT(GI37,",")))))</f>
        <v/>
      </c>
      <c r="JL37">
        <f>AND(IF(GK37="",TRUE,IF(input_organizer="",FALSE,SUMPRODUCT(--ISNUMBER(SEARCH(","&amp;TRIM(TEXTSPLIT(GK37,","))&amp;",",","&amp;SUBSTITUTE(input_organizer," ","")&amp;",")))&gt;0)),IF(GM37="",TRUE,IF(input_organizer="",FALSE,SUMPRODUCT(--ISNUMBER(SEARCH(","&amp;TRIM(TEXTSPLIT(GM37,","))&amp;",",","&amp;SUBSTITUTE(input_organizer," ","")&amp;",")))=COUNTA(TEXTSPLIT(GM37,",")))),IF(GO37="",TRUE,IF(input_organizer="",TRUE,SUMPRODUCT(--ISNUMBER(SEARCH(","&amp;TRIM(TEXTSPLIT(GO37,","))&amp;",",","&amp;SUBSTITUTE(input_organizer," ","")&amp;",")))=0)),IF(GQ37="",TRUE,IF(input_organizer="",FALSE,SUMPRODUCT(--ISNUMBER(SEARCH(","&amp;TRIM(TEXTSPLIT(GQ37,","))&amp;",",","&amp;SUBSTITUTE(input_organizer," ","")&amp;",")))&gt;0)),IF(GS37="",TRUE,IF(input_organizer="",FALSE,SUMPRODUCT(--ISNUMBER(SEARCH(","&amp;TRIM(TEXTSPLIT(GS37,","))&amp;",",","&amp;SUBSTITUTE(input_organizer," ","")&amp;",")))=COUNTA(TEXTSPLIT(GS37,",")))))</f>
        <v/>
      </c>
      <c r="JM37">
        <f>AND(IF(GU37="",TRUE,IF(input_profile_type="",FALSE,SUMPRODUCT(--ISNUMBER(SEARCH(","&amp;TRIM(TEXTSPLIT(GU37,","))&amp;",",","&amp;SUBSTITUTE(input_profile_type," ","")&amp;",")))&gt;0)),IF(GW37="",TRUE,IF(input_profile_type="",FALSE,SUMPRODUCT(--ISNUMBER(SEARCH(","&amp;TRIM(TEXTSPLIT(GW37,","))&amp;",",","&amp;SUBSTITUTE(input_profile_type," ","")&amp;",")))=COUNTA(TEXTSPLIT(GW37,",")))),IF(GY37="",TRUE,IF(input_profile_type="",TRUE,SUMPRODUCT(--ISNUMBER(SEARCH(","&amp;TRIM(TEXTSPLIT(GY37,","))&amp;",",","&amp;SUBSTITUTE(input_profile_type," ","")&amp;",")))=0)),IF(HA37="",TRUE,IF(input_profile_type="",FALSE,SUMPRODUCT(--ISNUMBER(SEARCH(","&amp;TRIM(TEXTSPLIT(HA37,","))&amp;",",","&amp;SUBSTITUTE(input_profile_type," ","")&amp;",")))&gt;0)),IF(HC37="",TRUE,IF(input_profile_type="",FALSE,SUMPRODUCT(--ISNUMBER(SEARCH(","&amp;TRIM(TEXTSPLIT(HC37,","))&amp;",",","&amp;SUBSTITUTE(input_profile_type," ","")&amp;",")))=COUNTA(TEXTSPLIT(HC37,",")))))</f>
        <v/>
      </c>
      <c r="JN37">
        <f>AND(IF(HE37="",TRUE,IF(input_program="",FALSE,SUMPRODUCT(--ISNUMBER(SEARCH(","&amp;TRIM(TEXTSPLIT(HE37,","))&amp;",",","&amp;SUBSTITUTE(input_program," ","")&amp;",")))&gt;0)),IF(HG37="",TRUE,IF(input_program="",FALSE,SUMPRODUCT(--ISNUMBER(SEARCH(","&amp;TRIM(TEXTSPLIT(HG37,","))&amp;",",","&amp;SUBSTITUTE(input_program," ","")&amp;",")))=COUNTA(TEXTSPLIT(HG37,",")))),IF(HI37="",TRUE,IF(input_program="",TRUE,SUMPRODUCT(--ISNUMBER(SEARCH(","&amp;TRIM(TEXTSPLIT(HI37,","))&amp;",",","&amp;SUBSTITUTE(input_program," ","")&amp;",")))=0)),IF(HK37="",TRUE,IF(input_program="",FALSE,SUMPRODUCT(--ISNUMBER(SEARCH(","&amp;TRIM(TEXTSPLIT(HK37,","))&amp;",",","&amp;SUBSTITUTE(input_program," ","")&amp;",")))&gt;0)),IF(HM37="",TRUE,IF(input_program="",FALSE,SUMPRODUCT(--ISNUMBER(SEARCH(","&amp;TRIM(TEXTSPLIT(HM37,","))&amp;",",","&amp;SUBSTITUTE(input_program," ","")&amp;",")))=COUNTA(TEXTSPLIT(HM37,",")))))</f>
        <v/>
      </c>
      <c r="JO37">
        <f>AND(IF(HO37="",TRUE,IF(input_story_categories="",FALSE,SUMPRODUCT(--ISNUMBER(SEARCH(","&amp;TRIM(TEXTSPLIT(HO37,","))&amp;",",","&amp;SUBSTITUTE(input_story_categories," ","")&amp;",")))&gt;0)),IF(HQ37="",TRUE,IF(input_story_categories="",FALSE,SUMPRODUCT(--ISNUMBER(SEARCH(","&amp;TRIM(TEXTSPLIT(HQ37,","))&amp;",",","&amp;SUBSTITUTE(input_story_categories," ","")&amp;",")))=COUNTA(TEXTSPLIT(HQ37,",")))),IF(HS37="",TRUE,IF(input_story_categories="",TRUE,SUMPRODUCT(--ISNUMBER(SEARCH(","&amp;TRIM(TEXTSPLIT(HS37,","))&amp;",",","&amp;SUBSTITUTE(input_story_categories," ","")&amp;",")))=0)),IF(HU37="",TRUE,IF(input_story_categories="",FALSE,SUMPRODUCT(--ISNUMBER(SEARCH(","&amp;TRIM(TEXTSPLIT(HU37,","))&amp;",",","&amp;SUBSTITUTE(input_story_categories," ","")&amp;",")))&gt;0)),IF(HW37="",TRUE,IF(input_story_categories="",FALSE,SUMPRODUCT(--ISNUMBER(SEARCH(","&amp;TRIM(TEXTSPLIT(HW37,","))&amp;",",","&amp;SUBSTITUTE(input_story_categories," ","")&amp;",")))=COUNTA(TEXTSPLIT(HW37,",")))))</f>
        <v/>
      </c>
      <c r="JP37">
        <f>AND(IF(HY37="",TRUE,IF(input_story_type="",FALSE,SUMPRODUCT(--ISNUMBER(SEARCH(","&amp;TRIM(TEXTSPLIT(HY37,","))&amp;",",","&amp;SUBSTITUTE(input_story_type," ","")&amp;",")))&gt;0)),IF(IA37="",TRUE,IF(input_story_type="",FALSE,SUMPRODUCT(--ISNUMBER(SEARCH(","&amp;TRIM(TEXTSPLIT(IA37,","))&amp;",",","&amp;SUBSTITUTE(input_story_type," ","")&amp;",")))=COUNTA(TEXTSPLIT(IA37,",")))),IF(IC37="",TRUE,IF(input_story_type="",TRUE,SUMPRODUCT(--ISNUMBER(SEARCH(","&amp;TRIM(TEXTSPLIT(IC37,","))&amp;",",","&amp;SUBSTITUTE(input_story_type," ","")&amp;",")))=0)),IF(IE37="",TRUE,IF(input_story_type="",FALSE,SUMPRODUCT(--ISNUMBER(SEARCH(","&amp;TRIM(TEXTSPLIT(IE37,","))&amp;",",","&amp;SUBSTITUTE(input_story_type," ","")&amp;",")))&gt;0)),IF(IG37="",TRUE,IF(input_story_type="",FALSE,SUMPRODUCT(--ISNUMBER(SEARCH(","&amp;TRIM(TEXTSPLIT(IG37,","))&amp;",",","&amp;SUBSTITUTE(input_story_type," ","")&amp;",")))=COUNTA(TEXTSPLIT(IG37,",")))))</f>
        <v/>
      </c>
      <c r="JQ37">
        <f>AND(IF(II37="",TRUE,IF(input_topics="",FALSE,SUMPRODUCT(--ISNUMBER(SEARCH(","&amp;TRIM(TEXTSPLIT(II37,","))&amp;",",","&amp;SUBSTITUTE(input_topics," ","")&amp;",")))&gt;0)),IF(IK37="",TRUE,IF(input_topics="",FALSE,SUMPRODUCT(--ISNUMBER(SEARCH(","&amp;TRIM(TEXTSPLIT(IK37,","))&amp;",",","&amp;SUBSTITUTE(input_topics," ","")&amp;",")))=COUNTA(TEXTSPLIT(IK37,",")))),IF(IM37="",TRUE,IF(input_topics="",TRUE,SUMPRODUCT(--ISNUMBER(SEARCH(","&amp;TRIM(TEXTSPLIT(IM37,","))&amp;",",","&amp;SUBSTITUTE(input_topics," ","")&amp;",")))=0)),IF(IO37="",TRUE,IF(input_topics="",FALSE,SUMPRODUCT(--ISNUMBER(SEARCH(","&amp;TRIM(TEXTSPLIT(IO37,","))&amp;",",","&amp;SUBSTITUTE(input_topics," ","")&amp;",")))&gt;0)),IF(IQ37="",TRUE,IF(input_topics="",FALSE,SUMPRODUCT(--ISNUMBER(SEARCH(","&amp;TRIM(TEXTSPLIT(IQ37,","))&amp;",",","&amp;SUBSTITUTE(input_topics," ","")&amp;",")))=COUNTA(TEXTSPLIT(IQ37,",")))))</f>
        <v/>
      </c>
    </row>
    <row r="38">
      <c r="A38" s="4">
        <f>IF(NOT(IS38),"Excluded",IF(AND(IT38,IU38,IV38,IW38,IX38,IY38,IZ38,JA38,JB38,JC38,JD38,JE38,JF38,JG38,JH38,JI38,JJ38,JK38,JL38,JM38,JN38,JO38,JP38,JQ38),IF(I38&gt;0,"Eligible but limited","Will appear"),"Excluded"))</f>
        <v/>
      </c>
      <c r="B38" s="4" t="inlineStr">
        <is>
          <t>All Publications by Author</t>
        </is>
      </c>
      <c r="C38" s="4" t="inlineStr">
        <is>
          <t>/faculty-research/faculty-directory/katja-seim</t>
        </is>
      </c>
      <c r="D38" s="4" t="inlineStr">
        <is>
          <t>/faculty-research/faculty-directory/katja-seim</t>
        </is>
      </c>
      <c r="E38" s="4" t="n">
        <v>1</v>
      </c>
      <c r="F38" s="4" t="inlineStr">
        <is>
          <t>publications</t>
        </is>
      </c>
      <c r="G38" s="4" t="inlineStr">
        <is>
          <t>publication_teaser_list</t>
        </is>
      </c>
      <c r="H38" s="4" t="inlineStr">
        <is>
          <t>publication_teaser_list_all_by_author</t>
        </is>
      </c>
      <c r="I38" s="4" t="inlineStr"/>
      <c r="J38" s="4" t="inlineStr">
        <is>
          <t>View/config rules</t>
        </is>
      </c>
      <c r="K38" s="4" t="inlineStr">
        <is>
          <t>Page placement</t>
        </is>
      </c>
      <c r="L38" s="4" t="inlineStr">
        <is>
          <t>Content type: publications; Source: View/config rules</t>
        </is>
      </c>
      <c r="M38" t="inlineStr"/>
      <c r="N38" t="inlineStr"/>
      <c r="O38" t="inlineStr"/>
      <c r="P38" t="inlineStr"/>
      <c r="Q38" t="inlineStr"/>
      <c r="R38" t="inlineStr"/>
      <c r="S38" t="inlineStr"/>
      <c r="T38" t="inlineStr"/>
      <c r="U38" t="inlineStr"/>
      <c r="V38" t="inlineStr"/>
      <c r="W38" t="inlineStr"/>
      <c r="X38" t="inlineStr"/>
      <c r="Y38" t="inlineStr"/>
      <c r="Z38" t="inlineStr"/>
      <c r="AA38" t="inlineStr"/>
      <c r="AB38" t="inlineStr"/>
      <c r="AC38" t="inlineStr"/>
      <c r="AD38" t="inlineStr"/>
      <c r="AE38" t="inlineStr"/>
      <c r="AF38" t="inlineStr"/>
      <c r="AG38" t="inlineStr"/>
      <c r="AH38" t="inlineStr"/>
      <c r="AI38" t="inlineStr"/>
      <c r="AJ38" t="inlineStr"/>
      <c r="AK38" t="inlineStr"/>
      <c r="AL38" t="inlineStr"/>
      <c r="AM38" t="inlineStr"/>
      <c r="AN38" t="inlineStr"/>
      <c r="AO38" t="inlineStr"/>
      <c r="AP38" t="inlineStr"/>
      <c r="AQ38" t="inlineStr"/>
      <c r="AR38" t="inlineStr"/>
      <c r="AS38" t="inlineStr"/>
      <c r="AT38" t="inlineStr"/>
      <c r="AU38" t="inlineStr"/>
      <c r="AV38" t="inlineStr"/>
      <c r="AW38" t="inlineStr"/>
      <c r="AX38" t="inlineStr"/>
      <c r="AY38" t="inlineStr"/>
      <c r="AZ38" t="inlineStr"/>
      <c r="BA38" t="inlineStr"/>
      <c r="BB38" t="inlineStr"/>
      <c r="BC38" t="inlineStr"/>
      <c r="BD38" t="inlineStr"/>
      <c r="BE38" t="inlineStr"/>
      <c r="BF38" t="inlineStr"/>
      <c r="BG38" t="inlineStr"/>
      <c r="BH38" t="inlineStr"/>
      <c r="BI38" t="inlineStr"/>
      <c r="BJ38" t="inlineStr"/>
      <c r="BK38" t="inlineStr"/>
      <c r="BL38" t="inlineStr"/>
      <c r="BM38" t="inlineStr"/>
      <c r="BN38" t="inlineStr"/>
      <c r="BO38" t="inlineStr"/>
      <c r="BP38" t="inlineStr"/>
      <c r="BQ38" t="inlineStr"/>
      <c r="BR38" t="inlineStr"/>
      <c r="BS38" t="inlineStr"/>
      <c r="BT38" t="inlineStr"/>
      <c r="BU38" t="inlineStr"/>
      <c r="BV38" t="inlineStr"/>
      <c r="BW38" t="inlineStr"/>
      <c r="BX38" t="inlineStr"/>
      <c r="BY38" t="inlineStr"/>
      <c r="BZ38" t="inlineStr"/>
      <c r="CA38" t="inlineStr"/>
      <c r="CB38" t="inlineStr"/>
      <c r="CC38" t="inlineStr"/>
      <c r="CD38" t="inlineStr"/>
      <c r="CE38" t="inlineStr"/>
      <c r="CF38" t="inlineStr"/>
      <c r="CG38" t="inlineStr"/>
      <c r="CH38" t="inlineStr"/>
      <c r="CI38" t="inlineStr"/>
      <c r="CJ38" t="inlineStr"/>
      <c r="CK38" t="inlineStr"/>
      <c r="CL38" t="inlineStr"/>
      <c r="CM38" t="inlineStr"/>
      <c r="CN38" t="inlineStr"/>
      <c r="CO38" t="inlineStr"/>
      <c r="CP38" t="inlineStr"/>
      <c r="CQ38" t="inlineStr"/>
      <c r="CR38" t="inlineStr"/>
      <c r="CS38" t="inlineStr"/>
      <c r="CT38" t="inlineStr"/>
      <c r="CU38" t="inlineStr"/>
      <c r="CV38" t="inlineStr"/>
      <c r="CW38" t="inlineStr"/>
      <c r="CX38" t="inlineStr"/>
      <c r="CY38" t="inlineStr"/>
      <c r="CZ38" t="inlineStr"/>
      <c r="DA38" t="inlineStr"/>
      <c r="DB38" t="inlineStr"/>
      <c r="DC38" t="inlineStr"/>
      <c r="DD38" t="inlineStr"/>
      <c r="DE38" t="inlineStr"/>
      <c r="DF38" t="inlineStr"/>
      <c r="DG38" t="inlineStr"/>
      <c r="DH38" t="inlineStr"/>
      <c r="DI38" t="inlineStr"/>
      <c r="DJ38" t="inlineStr"/>
      <c r="DK38" t="inlineStr"/>
      <c r="DL38" t="inlineStr"/>
      <c r="DM38" t="inlineStr"/>
      <c r="DN38" t="inlineStr"/>
      <c r="DO38" t="inlineStr"/>
      <c r="DP38" t="inlineStr"/>
      <c r="DQ38" t="inlineStr"/>
      <c r="DR38" t="inlineStr"/>
      <c r="DS38" t="inlineStr"/>
      <c r="DT38" t="inlineStr"/>
      <c r="DU38" t="inlineStr"/>
      <c r="DV38" t="inlineStr"/>
      <c r="DW38" t="inlineStr"/>
      <c r="DX38" t="inlineStr"/>
      <c r="DY38" t="inlineStr"/>
      <c r="DZ38" t="inlineStr"/>
      <c r="EA38" t="inlineStr"/>
      <c r="EB38" t="inlineStr"/>
      <c r="EC38" t="inlineStr"/>
      <c r="ED38" t="inlineStr"/>
      <c r="EE38" t="inlineStr"/>
      <c r="EF38" t="inlineStr"/>
      <c r="EG38" t="inlineStr"/>
      <c r="EH38" t="inlineStr"/>
      <c r="EI38" t="inlineStr"/>
      <c r="EJ38" t="inlineStr"/>
      <c r="EK38" t="inlineStr"/>
      <c r="EL38" t="inlineStr"/>
      <c r="EM38" t="inlineStr"/>
      <c r="EN38" t="inlineStr"/>
      <c r="EO38" t="inlineStr"/>
      <c r="EP38" t="inlineStr"/>
      <c r="EQ38" t="inlineStr"/>
      <c r="ER38" t="inlineStr"/>
      <c r="ES38" t="inlineStr"/>
      <c r="ET38" t="inlineStr"/>
      <c r="EU38" t="inlineStr"/>
      <c r="EV38" t="inlineStr"/>
      <c r="EW38" t="inlineStr"/>
      <c r="EX38" t="inlineStr"/>
      <c r="EY38" t="inlineStr"/>
      <c r="EZ38" t="inlineStr"/>
      <c r="FA38" t="inlineStr"/>
      <c r="FB38" t="inlineStr"/>
      <c r="FC38" t="inlineStr"/>
      <c r="FD38" t="inlineStr"/>
      <c r="FE38" t="inlineStr"/>
      <c r="FF38" t="inlineStr"/>
      <c r="FG38" t="inlineStr"/>
      <c r="FH38" t="inlineStr"/>
      <c r="FI38" t="inlineStr"/>
      <c r="FJ38" t="inlineStr"/>
      <c r="FK38" t="inlineStr"/>
      <c r="FL38" t="inlineStr"/>
      <c r="FM38" t="inlineStr"/>
      <c r="FN38" t="inlineStr"/>
      <c r="FO38" t="inlineStr"/>
      <c r="FP38" t="inlineStr"/>
      <c r="FQ38" t="inlineStr"/>
      <c r="FR38" t="inlineStr"/>
      <c r="FS38" t="inlineStr"/>
      <c r="FT38" t="inlineStr"/>
      <c r="FU38" t="inlineStr"/>
      <c r="FV38" t="inlineStr"/>
      <c r="FW38" t="inlineStr"/>
      <c r="FX38" t="inlineStr"/>
      <c r="FY38" t="inlineStr"/>
      <c r="FZ38" t="inlineStr"/>
      <c r="GA38" t="inlineStr"/>
      <c r="GB38" t="inlineStr"/>
      <c r="GC38" t="inlineStr"/>
      <c r="GD38" t="inlineStr"/>
      <c r="GE38" t="inlineStr"/>
      <c r="GF38" t="inlineStr"/>
      <c r="GG38" t="inlineStr"/>
      <c r="GH38" t="inlineStr"/>
      <c r="GI38" t="inlineStr"/>
      <c r="GJ38" t="inlineStr"/>
      <c r="GK38" t="inlineStr"/>
      <c r="GL38" t="inlineStr"/>
      <c r="GM38" t="inlineStr"/>
      <c r="GN38" t="inlineStr"/>
      <c r="GO38" t="inlineStr"/>
      <c r="GP38" t="inlineStr"/>
      <c r="GQ38" t="inlineStr"/>
      <c r="GR38" t="inlineStr"/>
      <c r="GS38" t="inlineStr"/>
      <c r="GT38" t="inlineStr"/>
      <c r="GU38" t="inlineStr"/>
      <c r="GV38" t="inlineStr"/>
      <c r="GW38" t="inlineStr"/>
      <c r="GX38" t="inlineStr"/>
      <c r="GY38" t="inlineStr"/>
      <c r="GZ38" t="inlineStr"/>
      <c r="HA38" t="inlineStr"/>
      <c r="HB38" t="inlineStr"/>
      <c r="HC38" t="inlineStr"/>
      <c r="HD38" t="inlineStr"/>
      <c r="HE38" t="inlineStr"/>
      <c r="HF38" t="inlineStr"/>
      <c r="HG38" t="inlineStr"/>
      <c r="HH38" t="inlineStr"/>
      <c r="HI38" t="inlineStr"/>
      <c r="HJ38" t="inlineStr"/>
      <c r="HK38" t="inlineStr"/>
      <c r="HL38" t="inlineStr"/>
      <c r="HM38" t="inlineStr"/>
      <c r="HN38" t="inlineStr"/>
      <c r="HO38" t="inlineStr"/>
      <c r="HP38" t="inlineStr"/>
      <c r="HQ38" t="inlineStr"/>
      <c r="HR38" t="inlineStr"/>
      <c r="HS38" t="inlineStr"/>
      <c r="HT38" t="inlineStr"/>
      <c r="HU38" t="inlineStr"/>
      <c r="HV38" t="inlineStr"/>
      <c r="HW38" t="inlineStr"/>
      <c r="HX38" t="inlineStr"/>
      <c r="HY38" t="inlineStr"/>
      <c r="HZ38" t="inlineStr"/>
      <c r="IA38" t="inlineStr"/>
      <c r="IB38" t="inlineStr"/>
      <c r="IC38" t="inlineStr"/>
      <c r="ID38" t="inlineStr"/>
      <c r="IE38" t="inlineStr"/>
      <c r="IF38" t="inlineStr"/>
      <c r="IG38" t="inlineStr"/>
      <c r="IH38" t="inlineStr"/>
      <c r="II38" t="inlineStr"/>
      <c r="IJ38" t="inlineStr"/>
      <c r="IK38" t="inlineStr"/>
      <c r="IL38" t="inlineStr"/>
      <c r="IM38" t="inlineStr"/>
      <c r="IN38" t="inlineStr"/>
      <c r="IO38" t="inlineStr"/>
      <c r="IP38" t="inlineStr"/>
      <c r="IQ38" t="inlineStr"/>
      <c r="IR38" t="inlineStr"/>
      <c r="IS38">
        <f>IF(input_content_type="",FALSE,ISNUMBER(SEARCH(","&amp;LOWER(input_content_type)&amp;",",","&amp;LOWER(F38)&amp;",")))</f>
        <v/>
      </c>
      <c r="IT38">
        <f>AND(IF(M38="",TRUE,IF(input_affiliations="",FALSE,SUMPRODUCT(--ISNUMBER(SEARCH(","&amp;TRIM(TEXTSPLIT(M38,","))&amp;",",","&amp;SUBSTITUTE(input_affiliations," ","")&amp;",")))&gt;0)),IF(O38="",TRUE,IF(input_affiliations="",FALSE,SUMPRODUCT(--ISNUMBER(SEARCH(","&amp;TRIM(TEXTSPLIT(O38,","))&amp;",",","&amp;SUBSTITUTE(input_affiliations," ","")&amp;",")))=COUNTA(TEXTSPLIT(O38,",")))),IF(Q38="",TRUE,IF(input_affiliations="",TRUE,SUMPRODUCT(--ISNUMBER(SEARCH(","&amp;TRIM(TEXTSPLIT(Q38,","))&amp;",",","&amp;SUBSTITUTE(input_affiliations," ","")&amp;",")))=0)),IF(S38="",TRUE,IF(input_affiliations="",FALSE,SUMPRODUCT(--ISNUMBER(SEARCH(","&amp;TRIM(TEXTSPLIT(S38,","))&amp;",",","&amp;SUBSTITUTE(input_affiliations," ","")&amp;",")))&gt;0)),IF(U38="",TRUE,IF(input_affiliations="",FALSE,SUMPRODUCT(--ISNUMBER(SEARCH(","&amp;TRIM(TEXTSPLIT(U38,","))&amp;",",","&amp;SUBSTITUTE(input_affiliations," ","")&amp;",")))=COUNTA(TEXTSPLIT(U38,",")))))</f>
        <v/>
      </c>
      <c r="IU38">
        <f>AND(IF(W38="",TRUE,IF(input_announcement_category="",FALSE,SUMPRODUCT(--ISNUMBER(SEARCH(","&amp;TRIM(TEXTSPLIT(W38,","))&amp;",",","&amp;SUBSTITUTE(input_announcement_category," ","")&amp;",")))&gt;0)),IF(Y38="",TRUE,IF(input_announcement_category="",FALSE,SUMPRODUCT(--ISNUMBER(SEARCH(","&amp;TRIM(TEXTSPLIT(Y38,","))&amp;",",","&amp;SUBSTITUTE(input_announcement_category," ","")&amp;",")))=COUNTA(TEXTSPLIT(Y38,",")))),IF(AA38="",TRUE,IF(input_announcement_category="",TRUE,SUMPRODUCT(--ISNUMBER(SEARCH(","&amp;TRIM(TEXTSPLIT(AA38,","))&amp;",",","&amp;SUBSTITUTE(input_announcement_category," ","")&amp;",")))=0)),IF(AC38="",TRUE,IF(input_announcement_category="",FALSE,SUMPRODUCT(--ISNUMBER(SEARCH(","&amp;TRIM(TEXTSPLIT(AC38,","))&amp;",",","&amp;SUBSTITUTE(input_announcement_category," ","")&amp;",")))&gt;0)),IF(AE38="",TRUE,IF(input_announcement_category="",FALSE,SUMPRODUCT(--ISNUMBER(SEARCH(","&amp;TRIM(TEXTSPLIT(AE38,","))&amp;",",","&amp;SUBSTITUTE(input_announcement_category," ","")&amp;",")))=COUNTA(TEXTSPLIT(AE38,",")))))</f>
        <v/>
      </c>
      <c r="IV38">
        <f>AND(IF(AG38="",TRUE,IF(input_area_of_focus="",FALSE,SUMPRODUCT(--ISNUMBER(SEARCH(","&amp;TRIM(TEXTSPLIT(AG38,","))&amp;",",","&amp;SUBSTITUTE(input_area_of_focus," ","")&amp;",")))&gt;0)),IF(AI38="",TRUE,IF(input_area_of_focus="",FALSE,SUMPRODUCT(--ISNUMBER(SEARCH(","&amp;TRIM(TEXTSPLIT(AI38,","))&amp;",",","&amp;SUBSTITUTE(input_area_of_focus," ","")&amp;",")))=COUNTA(TEXTSPLIT(AI38,",")))),IF(AK38="",TRUE,IF(input_area_of_focus="",TRUE,SUMPRODUCT(--ISNUMBER(SEARCH(","&amp;TRIM(TEXTSPLIT(AK38,","))&amp;",",","&amp;SUBSTITUTE(input_area_of_focus," ","")&amp;",")))=0)),IF(AM38="",TRUE,IF(input_area_of_focus="",FALSE,SUMPRODUCT(--ISNUMBER(SEARCH(","&amp;TRIM(TEXTSPLIT(AM38,","))&amp;",",","&amp;SUBSTITUTE(input_area_of_focus," ","")&amp;",")))&gt;0)),IF(AO38="",TRUE,IF(input_area_of_focus="",FALSE,SUMPRODUCT(--ISNUMBER(SEARCH(","&amp;TRIM(TEXTSPLIT(AO38,","))&amp;",",","&amp;SUBSTITUTE(input_area_of_focus," ","")&amp;",")))=COUNTA(TEXTSPLIT(AO38,",")))))</f>
        <v/>
      </c>
      <c r="IW38">
        <f>AND(IF(AQ38="",TRUE,IF(input_audience="",FALSE,SUMPRODUCT(--ISNUMBER(SEARCH(","&amp;TRIM(TEXTSPLIT(AQ38,","))&amp;",",","&amp;SUBSTITUTE(input_audience," ","")&amp;",")))&gt;0)),IF(AS38="",TRUE,IF(input_audience="",FALSE,SUMPRODUCT(--ISNUMBER(SEARCH(","&amp;TRIM(TEXTSPLIT(AS38,","))&amp;",",","&amp;SUBSTITUTE(input_audience," ","")&amp;",")))=COUNTA(TEXTSPLIT(AS38,",")))),IF(AU38="",TRUE,IF(input_audience="",TRUE,SUMPRODUCT(--ISNUMBER(SEARCH(","&amp;TRIM(TEXTSPLIT(AU38,","))&amp;",",","&amp;SUBSTITUTE(input_audience," ","")&amp;",")))=0)),IF(AW38="",TRUE,IF(input_audience="",FALSE,SUMPRODUCT(--ISNUMBER(SEARCH(","&amp;TRIM(TEXTSPLIT(AW38,","))&amp;",",","&amp;SUBSTITUTE(input_audience," ","")&amp;",")))&gt;0)),IF(AY38="",TRUE,IF(input_audience="",FALSE,SUMPRODUCT(--ISNUMBER(SEARCH(","&amp;TRIM(TEXTSPLIT(AY38,","))&amp;",",","&amp;SUBSTITUTE(input_audience," ","")&amp;",")))=COUNTA(TEXTSPLIT(AY38,",")))))</f>
        <v/>
      </c>
      <c r="IX38">
        <f>AND(IF(BA38="",TRUE,IF(input_challenge_opportunities="",FALSE,SUMPRODUCT(--ISNUMBER(SEARCH(","&amp;TRIM(TEXTSPLIT(BA38,","))&amp;",",","&amp;SUBSTITUTE(input_challenge_opportunities," ","")&amp;",")))&gt;0)),IF(BC38="",TRUE,IF(input_challenge_opportunities="",FALSE,SUMPRODUCT(--ISNUMBER(SEARCH(","&amp;TRIM(TEXTSPLIT(BC38,","))&amp;",",","&amp;SUBSTITUTE(input_challenge_opportunities," ","")&amp;",")))=COUNTA(TEXTSPLIT(BC38,",")))),IF(BE38="",TRUE,IF(input_challenge_opportunities="",TRUE,SUMPRODUCT(--ISNUMBER(SEARCH(","&amp;TRIM(TEXTSPLIT(BE38,","))&amp;",",","&amp;SUBSTITUTE(input_challenge_opportunities," ","")&amp;",")))=0)),IF(BG38="",TRUE,IF(input_challenge_opportunities="",FALSE,SUMPRODUCT(--ISNUMBER(SEARCH(","&amp;TRIM(TEXTSPLIT(BG38,","))&amp;",",","&amp;SUBSTITUTE(input_challenge_opportunities," ","")&amp;",")))&gt;0)),IF(BI38="",TRUE,IF(input_challenge_opportunities="",FALSE,SUMPRODUCT(--ISNUMBER(SEARCH(","&amp;TRIM(TEXTSPLIT(BI38,","))&amp;",",","&amp;SUBSTITUTE(input_challenge_opportunities," ","")&amp;",")))=COUNTA(TEXTSPLIT(BI38,",")))))</f>
        <v/>
      </c>
      <c r="IY38">
        <f>AND(IF(BK38="",TRUE,IF(input_context="",FALSE,SUMPRODUCT(--ISNUMBER(SEARCH(","&amp;TRIM(TEXTSPLIT(BK38,","))&amp;",",","&amp;SUBSTITUTE(input_context," ","")&amp;",")))&gt;0)),IF(BM38="",TRUE,IF(input_context="",FALSE,SUMPRODUCT(--ISNUMBER(SEARCH(","&amp;TRIM(TEXTSPLIT(BM38,","))&amp;",",","&amp;SUBSTITUTE(input_context," ","")&amp;",")))=COUNTA(TEXTSPLIT(BM38,",")))),IF(BO38="",TRUE,IF(input_context="",TRUE,SUMPRODUCT(--ISNUMBER(SEARCH(","&amp;TRIM(TEXTSPLIT(BO38,","))&amp;",",","&amp;SUBSTITUTE(input_context," ","")&amp;",")))=0)),IF(BQ38="",TRUE,IF(input_context="",FALSE,SUMPRODUCT(--ISNUMBER(SEARCH(","&amp;TRIM(TEXTSPLIT(BQ38,","))&amp;",",","&amp;SUBSTITUTE(input_context," ","")&amp;",")))&gt;0)),IF(BS38="",TRUE,IF(input_context="",FALSE,SUMPRODUCT(--ISNUMBER(SEARCH(","&amp;TRIM(TEXTSPLIT(BS38,","))&amp;",",","&amp;SUBSTITUTE(input_context," ","")&amp;",")))=COUNTA(TEXTSPLIT(BS38,",")))))</f>
        <v/>
      </c>
      <c r="IZ38">
        <f>AND(IF(BU38="",TRUE,IF(input_enews_announcement_type="",FALSE,SUMPRODUCT(--ISNUMBER(SEARCH(","&amp;TRIM(TEXTSPLIT(BU38,","))&amp;",",","&amp;SUBSTITUTE(input_enews_announcement_type," ","")&amp;",")))&gt;0)),IF(BW38="",TRUE,IF(input_enews_announcement_type="",FALSE,SUMPRODUCT(--ISNUMBER(SEARCH(","&amp;TRIM(TEXTSPLIT(BW38,","))&amp;",",","&amp;SUBSTITUTE(input_enews_announcement_type," ","")&amp;",")))=COUNTA(TEXTSPLIT(BW38,",")))),IF(BY38="",TRUE,IF(input_enews_announcement_type="",TRUE,SUMPRODUCT(--ISNUMBER(SEARCH(","&amp;TRIM(TEXTSPLIT(BY38,","))&amp;",",","&amp;SUBSTITUTE(input_enews_announcement_type," ","")&amp;",")))=0)),IF(CA38="",TRUE,IF(input_enews_announcement_type="",FALSE,SUMPRODUCT(--ISNUMBER(SEARCH(","&amp;TRIM(TEXTSPLIT(CA38,","))&amp;",",","&amp;SUBSTITUTE(input_enews_announcement_type," ","")&amp;",")))&gt;0)),IF(CC38="",TRUE,IF(input_enews_announcement_type="",FALSE,SUMPRODUCT(--ISNUMBER(SEARCH(","&amp;TRIM(TEXTSPLIT(CC38,","))&amp;",",","&amp;SUBSTITUTE(input_enews_announcement_type," ","")&amp;",")))=COUNTA(TEXTSPLIT(CC38,",")))))</f>
        <v/>
      </c>
      <c r="JA38">
        <f>AND(IF(CE38="",TRUE,IF(input_enews_audience="",FALSE,SUMPRODUCT(--ISNUMBER(SEARCH(","&amp;TRIM(TEXTSPLIT(CE38,","))&amp;",",","&amp;SUBSTITUTE(input_enews_audience," ","")&amp;",")))&gt;0)),IF(CG38="",TRUE,IF(input_enews_audience="",FALSE,SUMPRODUCT(--ISNUMBER(SEARCH(","&amp;TRIM(TEXTSPLIT(CG38,","))&amp;",",","&amp;SUBSTITUTE(input_enews_audience," ","")&amp;",")))=COUNTA(TEXTSPLIT(CG38,",")))),IF(CI38="",TRUE,IF(input_enews_audience="",TRUE,SUMPRODUCT(--ISNUMBER(SEARCH(","&amp;TRIM(TEXTSPLIT(CI38,","))&amp;",",","&amp;SUBSTITUTE(input_enews_audience," ","")&amp;",")))=0)),IF(CK38="",TRUE,IF(input_enews_audience="",FALSE,SUMPRODUCT(--ISNUMBER(SEARCH(","&amp;TRIM(TEXTSPLIT(CK38,","))&amp;",",","&amp;SUBSTITUTE(input_enews_audience," ","")&amp;",")))&gt;0)),IF(CM38="",TRUE,IF(input_enews_audience="",FALSE,SUMPRODUCT(--ISNUMBER(SEARCH(","&amp;TRIM(TEXTSPLIT(CM38,","))&amp;",",","&amp;SUBSTITUTE(input_enews_audience," ","")&amp;",")))=COUNTA(TEXTSPLIT(CM38,",")))))</f>
        <v/>
      </c>
      <c r="JB38">
        <f>AND(IF(CO38="",TRUE,IF(input_event_location="",FALSE,SUMPRODUCT(--ISNUMBER(SEARCH(","&amp;TRIM(TEXTSPLIT(CO38,","))&amp;",",","&amp;SUBSTITUTE(input_event_location," ","")&amp;",")))&gt;0)),IF(CQ38="",TRUE,IF(input_event_location="",FALSE,SUMPRODUCT(--ISNUMBER(SEARCH(","&amp;TRIM(TEXTSPLIT(CQ38,","))&amp;",",","&amp;SUBSTITUTE(input_event_location," ","")&amp;",")))=COUNTA(TEXTSPLIT(CQ38,",")))),IF(CS38="",TRUE,IF(input_event_location="",TRUE,SUMPRODUCT(--ISNUMBER(SEARCH(","&amp;TRIM(TEXTSPLIT(CS38,","))&amp;",",","&amp;SUBSTITUTE(input_event_location," ","")&amp;",")))=0)),IF(CU38="",TRUE,IF(input_event_location="",FALSE,SUMPRODUCT(--ISNUMBER(SEARCH(","&amp;TRIM(TEXTSPLIT(CU38,","))&amp;",",","&amp;SUBSTITUTE(input_event_location," ","")&amp;",")))&gt;0)),IF(CW38="",TRUE,IF(input_event_location="",FALSE,SUMPRODUCT(--ISNUMBER(SEARCH(","&amp;TRIM(TEXTSPLIT(CW38,","))&amp;",",","&amp;SUBSTITUTE(input_event_location," ","")&amp;",")))=COUNTA(TEXTSPLIT(CW38,",")))))</f>
        <v/>
      </c>
      <c r="JC38">
        <f>AND(IF(CY38="",TRUE,IF(input_event_type="",FALSE,SUMPRODUCT(--ISNUMBER(SEARCH(","&amp;TRIM(TEXTSPLIT(CY38,","))&amp;",",","&amp;SUBSTITUTE(input_event_type," ","")&amp;",")))&gt;0)),IF(DA38="",TRUE,IF(input_event_type="",FALSE,SUMPRODUCT(--ISNUMBER(SEARCH(","&amp;TRIM(TEXTSPLIT(DA38,","))&amp;",",","&amp;SUBSTITUTE(input_event_type," ","")&amp;",")))=COUNTA(TEXTSPLIT(DA38,",")))),IF(DC38="",TRUE,IF(input_event_type="",TRUE,SUMPRODUCT(--ISNUMBER(SEARCH(","&amp;TRIM(TEXTSPLIT(DC38,","))&amp;",",","&amp;SUBSTITUTE(input_event_type," ","")&amp;",")))=0)),IF(DE38="",TRUE,IF(input_event_type="",FALSE,SUMPRODUCT(--ISNUMBER(SEARCH(","&amp;TRIM(TEXTSPLIT(DE38,","))&amp;",",","&amp;SUBSTITUTE(input_event_type," ","")&amp;",")))&gt;0)),IF(DG38="",TRUE,IF(input_event_type="",FALSE,SUMPRODUCT(--ISNUMBER(SEARCH(","&amp;TRIM(TEXTSPLIT(DG38,","))&amp;",",","&amp;SUBSTITUTE(input_event_type," ","")&amp;",")))=COUNTA(TEXTSPLIT(DG38,",")))))</f>
        <v/>
      </c>
      <c r="JD38">
        <f>AND(IF(DI38="",TRUE,IF(input_executive_education_focus="",FALSE,SUMPRODUCT(--ISNUMBER(SEARCH(","&amp;TRIM(TEXTSPLIT(DI38,","))&amp;",",","&amp;SUBSTITUTE(input_executive_education_focus," ","")&amp;",")))&gt;0)),IF(DK38="",TRUE,IF(input_executive_education_focus="",FALSE,SUMPRODUCT(--ISNUMBER(SEARCH(","&amp;TRIM(TEXTSPLIT(DK38,","))&amp;",",","&amp;SUBSTITUTE(input_executive_education_focus," ","")&amp;",")))=COUNTA(TEXTSPLIT(DK38,",")))),IF(DM38="",TRUE,IF(input_executive_education_focus="",TRUE,SUMPRODUCT(--ISNUMBER(SEARCH(","&amp;TRIM(TEXTSPLIT(DM38,","))&amp;",",","&amp;SUBSTITUTE(input_executive_education_focus," ","")&amp;",")))=0)),IF(DO38="",TRUE,IF(input_executive_education_focus="",FALSE,SUMPRODUCT(--ISNUMBER(SEARCH(","&amp;TRIM(TEXTSPLIT(DO38,","))&amp;",",","&amp;SUBSTITUTE(input_executive_education_focus," ","")&amp;",")))&gt;0)),IF(DQ38="",TRUE,IF(input_executive_education_focus="",FALSE,SUMPRODUCT(--ISNUMBER(SEARCH(","&amp;TRIM(TEXTSPLIT(DQ38,","))&amp;",",","&amp;SUBSTITUTE(input_executive_education_focus," ","")&amp;",")))=COUNTA(TEXTSPLIT(DQ38,",")))))</f>
        <v/>
      </c>
      <c r="JE38">
        <f>AND(IF(DS38="",TRUE,IF(input_faculty_category="",FALSE,SUMPRODUCT(--ISNUMBER(SEARCH(","&amp;TRIM(TEXTSPLIT(DS38,","))&amp;",",","&amp;SUBSTITUTE(input_faculty_category," ","")&amp;",")))&gt;0)),IF(DU38="",TRUE,IF(input_faculty_category="",FALSE,SUMPRODUCT(--ISNUMBER(SEARCH(","&amp;TRIM(TEXTSPLIT(DU38,","))&amp;",",","&amp;SUBSTITUTE(input_faculty_category," ","")&amp;",")))=COUNTA(TEXTSPLIT(DU38,",")))),IF(DW38="",TRUE,IF(input_faculty_category="",TRUE,SUMPRODUCT(--ISNUMBER(SEARCH(","&amp;TRIM(TEXTSPLIT(DW38,","))&amp;",",","&amp;SUBSTITUTE(input_faculty_category," ","")&amp;",")))=0)),IF(DY38="",TRUE,IF(input_faculty_category="",FALSE,SUMPRODUCT(--ISNUMBER(SEARCH(","&amp;TRIM(TEXTSPLIT(DY38,","))&amp;",",","&amp;SUBSTITUTE(input_faculty_category," ","")&amp;",")))&gt;0)),IF(EA38="",TRUE,IF(input_faculty_category="",FALSE,SUMPRODUCT(--ISNUMBER(SEARCH(","&amp;TRIM(TEXTSPLIT(EA38,","))&amp;",",","&amp;SUBSTITUTE(input_faculty_category," ","")&amp;",")))=COUNTA(TEXTSPLIT(EA38,",")))))</f>
        <v/>
      </c>
      <c r="JF38">
        <f>AND(IF(EC38="",TRUE,IF(input_faculty_discipline="",FALSE,SUMPRODUCT(--ISNUMBER(SEARCH(","&amp;TRIM(TEXTSPLIT(EC38,","))&amp;",",","&amp;SUBSTITUTE(input_faculty_discipline," ","")&amp;",")))&gt;0)),IF(EE38="",TRUE,IF(input_faculty_discipline="",FALSE,SUMPRODUCT(--ISNUMBER(SEARCH(","&amp;TRIM(TEXTSPLIT(EE38,","))&amp;",",","&amp;SUBSTITUTE(input_faculty_discipline," ","")&amp;",")))=COUNTA(TEXTSPLIT(EE38,",")))),IF(EG38="",TRUE,IF(input_faculty_discipline="",TRUE,SUMPRODUCT(--ISNUMBER(SEARCH(","&amp;TRIM(TEXTSPLIT(EG38,","))&amp;",",","&amp;SUBSTITUTE(input_faculty_discipline," ","")&amp;",")))=0)),IF(EI38="",TRUE,IF(input_faculty_discipline="",FALSE,SUMPRODUCT(--ISNUMBER(SEARCH(","&amp;TRIM(TEXTSPLIT(EI38,","))&amp;",",","&amp;SUBSTITUTE(input_faculty_discipline," ","")&amp;",")))&gt;0)),IF(EK38="",TRUE,IF(input_faculty_discipline="",FALSE,SUMPRODUCT(--ISNUMBER(SEARCH(","&amp;TRIM(TEXTSPLIT(EK38,","))&amp;",",","&amp;SUBSTITUTE(input_faculty_discipline," ","")&amp;",")))=COUNTA(TEXTSPLIT(EK38,",")))))</f>
        <v/>
      </c>
      <c r="JG38">
        <f>AND(IF(EM38="",TRUE,IF(input_faculty_expertise="",FALSE,SUMPRODUCT(--ISNUMBER(SEARCH(","&amp;TRIM(TEXTSPLIT(EM38,","))&amp;",",","&amp;SUBSTITUTE(input_faculty_expertise," ","")&amp;",")))&gt;0)),IF(EO38="",TRUE,IF(input_faculty_expertise="",FALSE,SUMPRODUCT(--ISNUMBER(SEARCH(","&amp;TRIM(TEXTSPLIT(EO38,","))&amp;",",","&amp;SUBSTITUTE(input_faculty_expertise," ","")&amp;",")))=COUNTA(TEXTSPLIT(EO38,",")))),IF(EQ38="",TRUE,IF(input_faculty_expertise="",TRUE,SUMPRODUCT(--ISNUMBER(SEARCH(","&amp;TRIM(TEXTSPLIT(EQ38,","))&amp;",",","&amp;SUBSTITUTE(input_faculty_expertise," ","")&amp;",")))=0)),IF(ES38="",TRUE,IF(input_faculty_expertise="",FALSE,SUMPRODUCT(--ISNUMBER(SEARCH(","&amp;TRIM(TEXTSPLIT(ES38,","))&amp;",",","&amp;SUBSTITUTE(input_faculty_expertise," ","")&amp;",")))&gt;0)),IF(EU38="",TRUE,IF(input_faculty_expertise="",FALSE,SUMPRODUCT(--ISNUMBER(SEARCH(","&amp;TRIM(TEXTSPLIT(EU38,","))&amp;",",","&amp;SUBSTITUTE(input_faculty_expertise," ","")&amp;",")))=COUNTA(TEXTSPLIT(EU38,",")))))</f>
        <v/>
      </c>
      <c r="JH38">
        <f>AND(IF(EW38="",TRUE,IF(input_global_network_school="",FALSE,SUMPRODUCT(--ISNUMBER(SEARCH(","&amp;TRIM(TEXTSPLIT(EW38,","))&amp;",",","&amp;SUBSTITUTE(input_global_network_school," ","")&amp;",")))&gt;0)),IF(EY38="",TRUE,IF(input_global_network_school="",FALSE,SUMPRODUCT(--ISNUMBER(SEARCH(","&amp;TRIM(TEXTSPLIT(EY38,","))&amp;",",","&amp;SUBSTITUTE(input_global_network_school," ","")&amp;",")))=COUNTA(TEXTSPLIT(EY38,",")))),IF(FA38="",TRUE,IF(input_global_network_school="",TRUE,SUMPRODUCT(--ISNUMBER(SEARCH(","&amp;TRIM(TEXTSPLIT(FA38,","))&amp;",",","&amp;SUBSTITUTE(input_global_network_school," ","")&amp;",")))=0)),IF(FC38="",TRUE,IF(input_global_network_school="",FALSE,SUMPRODUCT(--ISNUMBER(SEARCH(","&amp;TRIM(TEXTSPLIT(FC38,","))&amp;",",","&amp;SUBSTITUTE(input_global_network_school," ","")&amp;",")))&gt;0)),IF(FE38="",TRUE,IF(input_global_network_school="",FALSE,SUMPRODUCT(--ISNUMBER(SEARCH(","&amp;TRIM(TEXTSPLIT(FE38,","))&amp;",",","&amp;SUBSTITUTE(input_global_network_school," ","")&amp;",")))=COUNTA(TEXTSPLIT(FE38,",")))))</f>
        <v/>
      </c>
      <c r="JI38">
        <f>AND(IF(FG38="",TRUE,IF(input_industry="",FALSE,SUMPRODUCT(--ISNUMBER(SEARCH(","&amp;TRIM(TEXTSPLIT(FG38,","))&amp;",",","&amp;SUBSTITUTE(input_industry," ","")&amp;",")))&gt;0)),IF(FI38="",TRUE,IF(input_industry="",FALSE,SUMPRODUCT(--ISNUMBER(SEARCH(","&amp;TRIM(TEXTSPLIT(FI38,","))&amp;",",","&amp;SUBSTITUTE(input_industry," ","")&amp;",")))=COUNTA(TEXTSPLIT(FI38,",")))),IF(FK38="",TRUE,IF(input_industry="",TRUE,SUMPRODUCT(--ISNUMBER(SEARCH(","&amp;TRIM(TEXTSPLIT(FK38,","))&amp;",",","&amp;SUBSTITUTE(input_industry," ","")&amp;",")))=0)),IF(FM38="",TRUE,IF(input_industry="",FALSE,SUMPRODUCT(--ISNUMBER(SEARCH(","&amp;TRIM(TEXTSPLIT(FM38,","))&amp;",",","&amp;SUBSTITUTE(input_industry," ","")&amp;",")))&gt;0)),IF(FO38="",TRUE,IF(input_industry="",FALSE,SUMPRODUCT(--ISNUMBER(SEARCH(","&amp;TRIM(TEXTSPLIT(FO38,","))&amp;",",","&amp;SUBSTITUTE(input_industry," ","")&amp;",")))=COUNTA(TEXTSPLIT(FO38,",")))))</f>
        <v/>
      </c>
      <c r="JJ38">
        <f>AND(IF(FQ38="",TRUE,IF(input_location="",FALSE,SUMPRODUCT(--ISNUMBER(SEARCH(","&amp;TRIM(TEXTSPLIT(FQ38,","))&amp;",",","&amp;SUBSTITUTE(input_location," ","")&amp;",")))&gt;0)),IF(FS38="",TRUE,IF(input_location="",FALSE,SUMPRODUCT(--ISNUMBER(SEARCH(","&amp;TRIM(TEXTSPLIT(FS38,","))&amp;",",","&amp;SUBSTITUTE(input_location," ","")&amp;",")))=COUNTA(TEXTSPLIT(FS38,",")))),IF(FU38="",TRUE,IF(input_location="",TRUE,SUMPRODUCT(--ISNUMBER(SEARCH(","&amp;TRIM(TEXTSPLIT(FU38,","))&amp;",",","&amp;SUBSTITUTE(input_location," ","")&amp;",")))=0)),IF(FW38="",TRUE,IF(input_location="",FALSE,SUMPRODUCT(--ISNUMBER(SEARCH(","&amp;TRIM(TEXTSPLIT(FW38,","))&amp;",",","&amp;SUBSTITUTE(input_location," ","")&amp;",")))&gt;0)),IF(FY38="",TRUE,IF(input_location="",FALSE,SUMPRODUCT(--ISNUMBER(SEARCH(","&amp;TRIM(TEXTSPLIT(FY38,","))&amp;",",","&amp;SUBSTITUTE(input_location," ","")&amp;",")))=COUNTA(TEXTSPLIT(FY38,",")))))</f>
        <v/>
      </c>
      <c r="JK38">
        <f>AND(IF(GA38="",TRUE,IF(input_modality="",FALSE,SUMPRODUCT(--ISNUMBER(SEARCH(","&amp;TRIM(TEXTSPLIT(GA38,","))&amp;",",","&amp;SUBSTITUTE(input_modality," ","")&amp;",")))&gt;0)),IF(GC38="",TRUE,IF(input_modality="",FALSE,SUMPRODUCT(--ISNUMBER(SEARCH(","&amp;TRIM(TEXTSPLIT(GC38,","))&amp;",",","&amp;SUBSTITUTE(input_modality," ","")&amp;",")))=COUNTA(TEXTSPLIT(GC38,",")))),IF(GE38="",TRUE,IF(input_modality="",TRUE,SUMPRODUCT(--ISNUMBER(SEARCH(","&amp;TRIM(TEXTSPLIT(GE38,","))&amp;",",","&amp;SUBSTITUTE(input_modality," ","")&amp;",")))=0)),IF(GG38="",TRUE,IF(input_modality="",FALSE,SUMPRODUCT(--ISNUMBER(SEARCH(","&amp;TRIM(TEXTSPLIT(GG38,","))&amp;",",","&amp;SUBSTITUTE(input_modality," ","")&amp;",")))&gt;0)),IF(GI38="",TRUE,IF(input_modality="",FALSE,SUMPRODUCT(--ISNUMBER(SEARCH(","&amp;TRIM(TEXTSPLIT(GI38,","))&amp;",",","&amp;SUBSTITUTE(input_modality," ","")&amp;",")))=COUNTA(TEXTSPLIT(GI38,",")))))</f>
        <v/>
      </c>
      <c r="JL38">
        <f>AND(IF(GK38="",TRUE,IF(input_organizer="",FALSE,SUMPRODUCT(--ISNUMBER(SEARCH(","&amp;TRIM(TEXTSPLIT(GK38,","))&amp;",",","&amp;SUBSTITUTE(input_organizer," ","")&amp;",")))&gt;0)),IF(GM38="",TRUE,IF(input_organizer="",FALSE,SUMPRODUCT(--ISNUMBER(SEARCH(","&amp;TRIM(TEXTSPLIT(GM38,","))&amp;",",","&amp;SUBSTITUTE(input_organizer," ","")&amp;",")))=COUNTA(TEXTSPLIT(GM38,",")))),IF(GO38="",TRUE,IF(input_organizer="",TRUE,SUMPRODUCT(--ISNUMBER(SEARCH(","&amp;TRIM(TEXTSPLIT(GO38,","))&amp;",",","&amp;SUBSTITUTE(input_organizer," ","")&amp;",")))=0)),IF(GQ38="",TRUE,IF(input_organizer="",FALSE,SUMPRODUCT(--ISNUMBER(SEARCH(","&amp;TRIM(TEXTSPLIT(GQ38,","))&amp;",",","&amp;SUBSTITUTE(input_organizer," ","")&amp;",")))&gt;0)),IF(GS38="",TRUE,IF(input_organizer="",FALSE,SUMPRODUCT(--ISNUMBER(SEARCH(","&amp;TRIM(TEXTSPLIT(GS38,","))&amp;",",","&amp;SUBSTITUTE(input_organizer," ","")&amp;",")))=COUNTA(TEXTSPLIT(GS38,",")))))</f>
        <v/>
      </c>
      <c r="JM38">
        <f>AND(IF(GU38="",TRUE,IF(input_profile_type="",FALSE,SUMPRODUCT(--ISNUMBER(SEARCH(","&amp;TRIM(TEXTSPLIT(GU38,","))&amp;",",","&amp;SUBSTITUTE(input_profile_type," ","")&amp;",")))&gt;0)),IF(GW38="",TRUE,IF(input_profile_type="",FALSE,SUMPRODUCT(--ISNUMBER(SEARCH(","&amp;TRIM(TEXTSPLIT(GW38,","))&amp;",",","&amp;SUBSTITUTE(input_profile_type," ","")&amp;",")))=COUNTA(TEXTSPLIT(GW38,",")))),IF(GY38="",TRUE,IF(input_profile_type="",TRUE,SUMPRODUCT(--ISNUMBER(SEARCH(","&amp;TRIM(TEXTSPLIT(GY38,","))&amp;",",","&amp;SUBSTITUTE(input_profile_type," ","")&amp;",")))=0)),IF(HA38="",TRUE,IF(input_profile_type="",FALSE,SUMPRODUCT(--ISNUMBER(SEARCH(","&amp;TRIM(TEXTSPLIT(HA38,","))&amp;",",","&amp;SUBSTITUTE(input_profile_type," ","")&amp;",")))&gt;0)),IF(HC38="",TRUE,IF(input_profile_type="",FALSE,SUMPRODUCT(--ISNUMBER(SEARCH(","&amp;TRIM(TEXTSPLIT(HC38,","))&amp;",",","&amp;SUBSTITUTE(input_profile_type," ","")&amp;",")))=COUNTA(TEXTSPLIT(HC38,",")))))</f>
        <v/>
      </c>
      <c r="JN38">
        <f>AND(IF(HE38="",TRUE,IF(input_program="",FALSE,SUMPRODUCT(--ISNUMBER(SEARCH(","&amp;TRIM(TEXTSPLIT(HE38,","))&amp;",",","&amp;SUBSTITUTE(input_program," ","")&amp;",")))&gt;0)),IF(HG38="",TRUE,IF(input_program="",FALSE,SUMPRODUCT(--ISNUMBER(SEARCH(","&amp;TRIM(TEXTSPLIT(HG38,","))&amp;",",","&amp;SUBSTITUTE(input_program," ","")&amp;",")))=COUNTA(TEXTSPLIT(HG38,",")))),IF(HI38="",TRUE,IF(input_program="",TRUE,SUMPRODUCT(--ISNUMBER(SEARCH(","&amp;TRIM(TEXTSPLIT(HI38,","))&amp;",",","&amp;SUBSTITUTE(input_program," ","")&amp;",")))=0)),IF(HK38="",TRUE,IF(input_program="",FALSE,SUMPRODUCT(--ISNUMBER(SEARCH(","&amp;TRIM(TEXTSPLIT(HK38,","))&amp;",",","&amp;SUBSTITUTE(input_program," ","")&amp;",")))&gt;0)),IF(HM38="",TRUE,IF(input_program="",FALSE,SUMPRODUCT(--ISNUMBER(SEARCH(","&amp;TRIM(TEXTSPLIT(HM38,","))&amp;",",","&amp;SUBSTITUTE(input_program," ","")&amp;",")))=COUNTA(TEXTSPLIT(HM38,",")))))</f>
        <v/>
      </c>
      <c r="JO38">
        <f>AND(IF(HO38="",TRUE,IF(input_story_categories="",FALSE,SUMPRODUCT(--ISNUMBER(SEARCH(","&amp;TRIM(TEXTSPLIT(HO38,","))&amp;",",","&amp;SUBSTITUTE(input_story_categories," ","")&amp;",")))&gt;0)),IF(HQ38="",TRUE,IF(input_story_categories="",FALSE,SUMPRODUCT(--ISNUMBER(SEARCH(","&amp;TRIM(TEXTSPLIT(HQ38,","))&amp;",",","&amp;SUBSTITUTE(input_story_categories," ","")&amp;",")))=COUNTA(TEXTSPLIT(HQ38,",")))),IF(HS38="",TRUE,IF(input_story_categories="",TRUE,SUMPRODUCT(--ISNUMBER(SEARCH(","&amp;TRIM(TEXTSPLIT(HS38,","))&amp;",",","&amp;SUBSTITUTE(input_story_categories," ","")&amp;",")))=0)),IF(HU38="",TRUE,IF(input_story_categories="",FALSE,SUMPRODUCT(--ISNUMBER(SEARCH(","&amp;TRIM(TEXTSPLIT(HU38,","))&amp;",",","&amp;SUBSTITUTE(input_story_categories," ","")&amp;",")))&gt;0)),IF(HW38="",TRUE,IF(input_story_categories="",FALSE,SUMPRODUCT(--ISNUMBER(SEARCH(","&amp;TRIM(TEXTSPLIT(HW38,","))&amp;",",","&amp;SUBSTITUTE(input_story_categories," ","")&amp;",")))=COUNTA(TEXTSPLIT(HW38,",")))))</f>
        <v/>
      </c>
      <c r="JP38">
        <f>AND(IF(HY38="",TRUE,IF(input_story_type="",FALSE,SUMPRODUCT(--ISNUMBER(SEARCH(","&amp;TRIM(TEXTSPLIT(HY38,","))&amp;",",","&amp;SUBSTITUTE(input_story_type," ","")&amp;",")))&gt;0)),IF(IA38="",TRUE,IF(input_story_type="",FALSE,SUMPRODUCT(--ISNUMBER(SEARCH(","&amp;TRIM(TEXTSPLIT(IA38,","))&amp;",",","&amp;SUBSTITUTE(input_story_type," ","")&amp;",")))=COUNTA(TEXTSPLIT(IA38,",")))),IF(IC38="",TRUE,IF(input_story_type="",TRUE,SUMPRODUCT(--ISNUMBER(SEARCH(","&amp;TRIM(TEXTSPLIT(IC38,","))&amp;",",","&amp;SUBSTITUTE(input_story_type," ","")&amp;",")))=0)),IF(IE38="",TRUE,IF(input_story_type="",FALSE,SUMPRODUCT(--ISNUMBER(SEARCH(","&amp;TRIM(TEXTSPLIT(IE38,","))&amp;",",","&amp;SUBSTITUTE(input_story_type," ","")&amp;",")))&gt;0)),IF(IG38="",TRUE,IF(input_story_type="",FALSE,SUMPRODUCT(--ISNUMBER(SEARCH(","&amp;TRIM(TEXTSPLIT(IG38,","))&amp;",",","&amp;SUBSTITUTE(input_story_type," ","")&amp;",")))=COUNTA(TEXTSPLIT(IG38,",")))))</f>
        <v/>
      </c>
      <c r="JQ38">
        <f>AND(IF(II38="",TRUE,IF(input_topics="",FALSE,SUMPRODUCT(--ISNUMBER(SEARCH(","&amp;TRIM(TEXTSPLIT(II38,","))&amp;",",","&amp;SUBSTITUTE(input_topics," ","")&amp;",")))&gt;0)),IF(IK38="",TRUE,IF(input_topics="",FALSE,SUMPRODUCT(--ISNUMBER(SEARCH(","&amp;TRIM(TEXTSPLIT(IK38,","))&amp;",",","&amp;SUBSTITUTE(input_topics," ","")&amp;",")))=COUNTA(TEXTSPLIT(IK38,",")))),IF(IM38="",TRUE,IF(input_topics="",TRUE,SUMPRODUCT(--ISNUMBER(SEARCH(","&amp;TRIM(TEXTSPLIT(IM38,","))&amp;",",","&amp;SUBSTITUTE(input_topics," ","")&amp;",")))=0)),IF(IO38="",TRUE,IF(input_topics="",FALSE,SUMPRODUCT(--ISNUMBER(SEARCH(","&amp;TRIM(TEXTSPLIT(IO38,","))&amp;",",","&amp;SUBSTITUTE(input_topics," ","")&amp;",")))&gt;0)),IF(IQ38="",TRUE,IF(input_topics="",FALSE,SUMPRODUCT(--ISNUMBER(SEARCH(","&amp;TRIM(TEXTSPLIT(IQ38,","))&amp;",",","&amp;SUBSTITUTE(input_topics," ","")&amp;",")))=COUNTA(TEXTSPLIT(IQ38,",")))))</f>
        <v/>
      </c>
    </row>
    <row r="39">
      <c r="A39" s="4">
        <f>IF(NOT(IS39),"Excluded",IF(AND(IT39,IU39,IV39,IW39,IX39,IY39,IZ39,JA39,JB39,JC39,JD39,JE39,JF39,JG39,JH39,JI39,JJ39,JK39,JL39,JM39,JN39,JO39,JP39,JQ39),IF(I39&gt;0,"Eligible but limited","Will appear"),"Excluded"))</f>
        <v/>
      </c>
      <c r="B39" s="4" t="inlineStr">
        <is>
          <t>All Publications by Author</t>
        </is>
      </c>
      <c r="C39" s="4" t="inlineStr">
        <is>
          <t>/faculty-research/faculty-directory/kelly-shue</t>
        </is>
      </c>
      <c r="D39" s="4" t="inlineStr">
        <is>
          <t>/faculty-research/faculty-directory/kelly-shue</t>
        </is>
      </c>
      <c r="E39" s="4" t="n">
        <v>1</v>
      </c>
      <c r="F39" s="4" t="inlineStr">
        <is>
          <t>publications</t>
        </is>
      </c>
      <c r="G39" s="4" t="inlineStr">
        <is>
          <t>publication_teaser_list</t>
        </is>
      </c>
      <c r="H39" s="4" t="inlineStr">
        <is>
          <t>publication_teaser_list_all_by_author</t>
        </is>
      </c>
      <c r="I39" s="4" t="inlineStr"/>
      <c r="J39" s="4" t="inlineStr">
        <is>
          <t>View/config rules</t>
        </is>
      </c>
      <c r="K39" s="4" t="inlineStr">
        <is>
          <t>Page placement</t>
        </is>
      </c>
      <c r="L39" s="4" t="inlineStr">
        <is>
          <t>Content type: publications; Source: View/config rules</t>
        </is>
      </c>
      <c r="M39" t="inlineStr"/>
      <c r="N39" t="inlineStr"/>
      <c r="O39" t="inlineStr"/>
      <c r="P39" t="inlineStr"/>
      <c r="Q39" t="inlineStr"/>
      <c r="R39" t="inlineStr"/>
      <c r="S39" t="inlineStr"/>
      <c r="T39" t="inlineStr"/>
      <c r="U39" t="inlineStr"/>
      <c r="V39" t="inlineStr"/>
      <c r="W39" t="inlineStr"/>
      <c r="X39" t="inlineStr"/>
      <c r="Y39" t="inlineStr"/>
      <c r="Z39" t="inlineStr"/>
      <c r="AA39" t="inlineStr"/>
      <c r="AB39" t="inlineStr"/>
      <c r="AC39" t="inlineStr"/>
      <c r="AD39" t="inlineStr"/>
      <c r="AE39" t="inlineStr"/>
      <c r="AF39" t="inlineStr"/>
      <c r="AG39" t="inlineStr"/>
      <c r="AH39" t="inlineStr"/>
      <c r="AI39" t="inlineStr"/>
      <c r="AJ39" t="inlineStr"/>
      <c r="AK39" t="inlineStr"/>
      <c r="AL39" t="inlineStr"/>
      <c r="AM39" t="inlineStr"/>
      <c r="AN39" t="inlineStr"/>
      <c r="AO39" t="inlineStr"/>
      <c r="AP39" t="inlineStr"/>
      <c r="AQ39" t="inlineStr"/>
      <c r="AR39" t="inlineStr"/>
      <c r="AS39" t="inlineStr"/>
      <c r="AT39" t="inlineStr"/>
      <c r="AU39" t="inlineStr"/>
      <c r="AV39" t="inlineStr"/>
      <c r="AW39" t="inlineStr"/>
      <c r="AX39" t="inlineStr"/>
      <c r="AY39" t="inlineStr"/>
      <c r="AZ39" t="inlineStr"/>
      <c r="BA39" t="inlineStr"/>
      <c r="BB39" t="inlineStr"/>
      <c r="BC39" t="inlineStr"/>
      <c r="BD39" t="inlineStr"/>
      <c r="BE39" t="inlineStr"/>
      <c r="BF39" t="inlineStr"/>
      <c r="BG39" t="inlineStr"/>
      <c r="BH39" t="inlineStr"/>
      <c r="BI39" t="inlineStr"/>
      <c r="BJ39" t="inlineStr"/>
      <c r="BK39" t="inlineStr"/>
      <c r="BL39" t="inlineStr"/>
      <c r="BM39" t="inlineStr"/>
      <c r="BN39" t="inlineStr"/>
      <c r="BO39" t="inlineStr"/>
      <c r="BP39" t="inlineStr"/>
      <c r="BQ39" t="inlineStr"/>
      <c r="BR39" t="inlineStr"/>
      <c r="BS39" t="inlineStr"/>
      <c r="BT39" t="inlineStr"/>
      <c r="BU39" t="inlineStr"/>
      <c r="BV39" t="inlineStr"/>
      <c r="BW39" t="inlineStr"/>
      <c r="BX39" t="inlineStr"/>
      <c r="BY39" t="inlineStr"/>
      <c r="BZ39" t="inlineStr"/>
      <c r="CA39" t="inlineStr"/>
      <c r="CB39" t="inlineStr"/>
      <c r="CC39" t="inlineStr"/>
      <c r="CD39" t="inlineStr"/>
      <c r="CE39" t="inlineStr"/>
      <c r="CF39" t="inlineStr"/>
      <c r="CG39" t="inlineStr"/>
      <c r="CH39" t="inlineStr"/>
      <c r="CI39" t="inlineStr"/>
      <c r="CJ39" t="inlineStr"/>
      <c r="CK39" t="inlineStr"/>
      <c r="CL39" t="inlineStr"/>
      <c r="CM39" t="inlineStr"/>
      <c r="CN39" t="inlineStr"/>
      <c r="CO39" t="inlineStr"/>
      <c r="CP39" t="inlineStr"/>
      <c r="CQ39" t="inlineStr"/>
      <c r="CR39" t="inlineStr"/>
      <c r="CS39" t="inlineStr"/>
      <c r="CT39" t="inlineStr"/>
      <c r="CU39" t="inlineStr"/>
      <c r="CV39" t="inlineStr"/>
      <c r="CW39" t="inlineStr"/>
      <c r="CX39" t="inlineStr"/>
      <c r="CY39" t="inlineStr"/>
      <c r="CZ39" t="inlineStr"/>
      <c r="DA39" t="inlineStr"/>
      <c r="DB39" t="inlineStr"/>
      <c r="DC39" t="inlineStr"/>
      <c r="DD39" t="inlineStr"/>
      <c r="DE39" t="inlineStr"/>
      <c r="DF39" t="inlineStr"/>
      <c r="DG39" t="inlineStr"/>
      <c r="DH39" t="inlineStr"/>
      <c r="DI39" t="inlineStr"/>
      <c r="DJ39" t="inlineStr"/>
      <c r="DK39" t="inlineStr"/>
      <c r="DL39" t="inlineStr"/>
      <c r="DM39" t="inlineStr"/>
      <c r="DN39" t="inlineStr"/>
      <c r="DO39" t="inlineStr"/>
      <c r="DP39" t="inlineStr"/>
      <c r="DQ39" t="inlineStr"/>
      <c r="DR39" t="inlineStr"/>
      <c r="DS39" t="inlineStr"/>
      <c r="DT39" t="inlineStr"/>
      <c r="DU39" t="inlineStr"/>
      <c r="DV39" t="inlineStr"/>
      <c r="DW39" t="inlineStr"/>
      <c r="DX39" t="inlineStr"/>
      <c r="DY39" t="inlineStr"/>
      <c r="DZ39" t="inlineStr"/>
      <c r="EA39" t="inlineStr"/>
      <c r="EB39" t="inlineStr"/>
      <c r="EC39" t="inlineStr"/>
      <c r="ED39" t="inlineStr"/>
      <c r="EE39" t="inlineStr"/>
      <c r="EF39" t="inlineStr"/>
      <c r="EG39" t="inlineStr"/>
      <c r="EH39" t="inlineStr"/>
      <c r="EI39" t="inlineStr"/>
      <c r="EJ39" t="inlineStr"/>
      <c r="EK39" t="inlineStr"/>
      <c r="EL39" t="inlineStr"/>
      <c r="EM39" t="inlineStr"/>
      <c r="EN39" t="inlineStr"/>
      <c r="EO39" t="inlineStr"/>
      <c r="EP39" t="inlineStr"/>
      <c r="EQ39" t="inlineStr"/>
      <c r="ER39" t="inlineStr"/>
      <c r="ES39" t="inlineStr"/>
      <c r="ET39" t="inlineStr"/>
      <c r="EU39" t="inlineStr"/>
      <c r="EV39" t="inlineStr"/>
      <c r="EW39" t="inlineStr"/>
      <c r="EX39" t="inlineStr"/>
      <c r="EY39" t="inlineStr"/>
      <c r="EZ39" t="inlineStr"/>
      <c r="FA39" t="inlineStr"/>
      <c r="FB39" t="inlineStr"/>
      <c r="FC39" t="inlineStr"/>
      <c r="FD39" t="inlineStr"/>
      <c r="FE39" t="inlineStr"/>
      <c r="FF39" t="inlineStr"/>
      <c r="FG39" t="inlineStr"/>
      <c r="FH39" t="inlineStr"/>
      <c r="FI39" t="inlineStr"/>
      <c r="FJ39" t="inlineStr"/>
      <c r="FK39" t="inlineStr"/>
      <c r="FL39" t="inlineStr"/>
      <c r="FM39" t="inlineStr"/>
      <c r="FN39" t="inlineStr"/>
      <c r="FO39" t="inlineStr"/>
      <c r="FP39" t="inlineStr"/>
      <c r="FQ39" t="inlineStr"/>
      <c r="FR39" t="inlineStr"/>
      <c r="FS39" t="inlineStr"/>
      <c r="FT39" t="inlineStr"/>
      <c r="FU39" t="inlineStr"/>
      <c r="FV39" t="inlineStr"/>
      <c r="FW39" t="inlineStr"/>
      <c r="FX39" t="inlineStr"/>
      <c r="FY39" t="inlineStr"/>
      <c r="FZ39" t="inlineStr"/>
      <c r="GA39" t="inlineStr"/>
      <c r="GB39" t="inlineStr"/>
      <c r="GC39" t="inlineStr"/>
      <c r="GD39" t="inlineStr"/>
      <c r="GE39" t="inlineStr"/>
      <c r="GF39" t="inlineStr"/>
      <c r="GG39" t="inlineStr"/>
      <c r="GH39" t="inlineStr"/>
      <c r="GI39" t="inlineStr"/>
      <c r="GJ39" t="inlineStr"/>
      <c r="GK39" t="inlineStr"/>
      <c r="GL39" t="inlineStr"/>
      <c r="GM39" t="inlineStr"/>
      <c r="GN39" t="inlineStr"/>
      <c r="GO39" t="inlineStr"/>
      <c r="GP39" t="inlineStr"/>
      <c r="GQ39" t="inlineStr"/>
      <c r="GR39" t="inlineStr"/>
      <c r="GS39" t="inlineStr"/>
      <c r="GT39" t="inlineStr"/>
      <c r="GU39" t="inlineStr"/>
      <c r="GV39" t="inlineStr"/>
      <c r="GW39" t="inlineStr"/>
      <c r="GX39" t="inlineStr"/>
      <c r="GY39" t="inlineStr"/>
      <c r="GZ39" t="inlineStr"/>
      <c r="HA39" t="inlineStr"/>
      <c r="HB39" t="inlineStr"/>
      <c r="HC39" t="inlineStr"/>
      <c r="HD39" t="inlineStr"/>
      <c r="HE39" t="inlineStr"/>
      <c r="HF39" t="inlineStr"/>
      <c r="HG39" t="inlineStr"/>
      <c r="HH39" t="inlineStr"/>
      <c r="HI39" t="inlineStr"/>
      <c r="HJ39" t="inlineStr"/>
      <c r="HK39" t="inlineStr"/>
      <c r="HL39" t="inlineStr"/>
      <c r="HM39" t="inlineStr"/>
      <c r="HN39" t="inlineStr"/>
      <c r="HO39" t="inlineStr"/>
      <c r="HP39" t="inlineStr"/>
      <c r="HQ39" t="inlineStr"/>
      <c r="HR39" t="inlineStr"/>
      <c r="HS39" t="inlineStr"/>
      <c r="HT39" t="inlineStr"/>
      <c r="HU39" t="inlineStr"/>
      <c r="HV39" t="inlineStr"/>
      <c r="HW39" t="inlineStr"/>
      <c r="HX39" t="inlineStr"/>
      <c r="HY39" t="inlineStr"/>
      <c r="HZ39" t="inlineStr"/>
      <c r="IA39" t="inlineStr"/>
      <c r="IB39" t="inlineStr"/>
      <c r="IC39" t="inlineStr"/>
      <c r="ID39" t="inlineStr"/>
      <c r="IE39" t="inlineStr"/>
      <c r="IF39" t="inlineStr"/>
      <c r="IG39" t="inlineStr"/>
      <c r="IH39" t="inlineStr"/>
      <c r="II39" t="inlineStr"/>
      <c r="IJ39" t="inlineStr"/>
      <c r="IK39" t="inlineStr"/>
      <c r="IL39" t="inlineStr"/>
      <c r="IM39" t="inlineStr"/>
      <c r="IN39" t="inlineStr"/>
      <c r="IO39" t="inlineStr"/>
      <c r="IP39" t="inlineStr"/>
      <c r="IQ39" t="inlineStr"/>
      <c r="IR39" t="inlineStr"/>
      <c r="IS39">
        <f>IF(input_content_type="",FALSE,ISNUMBER(SEARCH(","&amp;LOWER(input_content_type)&amp;",",","&amp;LOWER(F39)&amp;",")))</f>
        <v/>
      </c>
      <c r="IT39">
        <f>AND(IF(M39="",TRUE,IF(input_affiliations="",FALSE,SUMPRODUCT(--ISNUMBER(SEARCH(","&amp;TRIM(TEXTSPLIT(M39,","))&amp;",",","&amp;SUBSTITUTE(input_affiliations," ","")&amp;",")))&gt;0)),IF(O39="",TRUE,IF(input_affiliations="",FALSE,SUMPRODUCT(--ISNUMBER(SEARCH(","&amp;TRIM(TEXTSPLIT(O39,","))&amp;",",","&amp;SUBSTITUTE(input_affiliations," ","")&amp;",")))=COUNTA(TEXTSPLIT(O39,",")))),IF(Q39="",TRUE,IF(input_affiliations="",TRUE,SUMPRODUCT(--ISNUMBER(SEARCH(","&amp;TRIM(TEXTSPLIT(Q39,","))&amp;",",","&amp;SUBSTITUTE(input_affiliations," ","")&amp;",")))=0)),IF(S39="",TRUE,IF(input_affiliations="",FALSE,SUMPRODUCT(--ISNUMBER(SEARCH(","&amp;TRIM(TEXTSPLIT(S39,","))&amp;",",","&amp;SUBSTITUTE(input_affiliations," ","")&amp;",")))&gt;0)),IF(U39="",TRUE,IF(input_affiliations="",FALSE,SUMPRODUCT(--ISNUMBER(SEARCH(","&amp;TRIM(TEXTSPLIT(U39,","))&amp;",",","&amp;SUBSTITUTE(input_affiliations," ","")&amp;",")))=COUNTA(TEXTSPLIT(U39,",")))))</f>
        <v/>
      </c>
      <c r="IU39">
        <f>AND(IF(W39="",TRUE,IF(input_announcement_category="",FALSE,SUMPRODUCT(--ISNUMBER(SEARCH(","&amp;TRIM(TEXTSPLIT(W39,","))&amp;",",","&amp;SUBSTITUTE(input_announcement_category," ","")&amp;",")))&gt;0)),IF(Y39="",TRUE,IF(input_announcement_category="",FALSE,SUMPRODUCT(--ISNUMBER(SEARCH(","&amp;TRIM(TEXTSPLIT(Y39,","))&amp;",",","&amp;SUBSTITUTE(input_announcement_category," ","")&amp;",")))=COUNTA(TEXTSPLIT(Y39,",")))),IF(AA39="",TRUE,IF(input_announcement_category="",TRUE,SUMPRODUCT(--ISNUMBER(SEARCH(","&amp;TRIM(TEXTSPLIT(AA39,","))&amp;",",","&amp;SUBSTITUTE(input_announcement_category," ","")&amp;",")))=0)),IF(AC39="",TRUE,IF(input_announcement_category="",FALSE,SUMPRODUCT(--ISNUMBER(SEARCH(","&amp;TRIM(TEXTSPLIT(AC39,","))&amp;",",","&amp;SUBSTITUTE(input_announcement_category," ","")&amp;",")))&gt;0)),IF(AE39="",TRUE,IF(input_announcement_category="",FALSE,SUMPRODUCT(--ISNUMBER(SEARCH(","&amp;TRIM(TEXTSPLIT(AE39,","))&amp;",",","&amp;SUBSTITUTE(input_announcement_category," ","")&amp;",")))=COUNTA(TEXTSPLIT(AE39,",")))))</f>
        <v/>
      </c>
      <c r="IV39">
        <f>AND(IF(AG39="",TRUE,IF(input_area_of_focus="",FALSE,SUMPRODUCT(--ISNUMBER(SEARCH(","&amp;TRIM(TEXTSPLIT(AG39,","))&amp;",",","&amp;SUBSTITUTE(input_area_of_focus," ","")&amp;",")))&gt;0)),IF(AI39="",TRUE,IF(input_area_of_focus="",FALSE,SUMPRODUCT(--ISNUMBER(SEARCH(","&amp;TRIM(TEXTSPLIT(AI39,","))&amp;",",","&amp;SUBSTITUTE(input_area_of_focus," ","")&amp;",")))=COUNTA(TEXTSPLIT(AI39,",")))),IF(AK39="",TRUE,IF(input_area_of_focus="",TRUE,SUMPRODUCT(--ISNUMBER(SEARCH(","&amp;TRIM(TEXTSPLIT(AK39,","))&amp;",",","&amp;SUBSTITUTE(input_area_of_focus," ","")&amp;",")))=0)),IF(AM39="",TRUE,IF(input_area_of_focus="",FALSE,SUMPRODUCT(--ISNUMBER(SEARCH(","&amp;TRIM(TEXTSPLIT(AM39,","))&amp;",",","&amp;SUBSTITUTE(input_area_of_focus," ","")&amp;",")))&gt;0)),IF(AO39="",TRUE,IF(input_area_of_focus="",FALSE,SUMPRODUCT(--ISNUMBER(SEARCH(","&amp;TRIM(TEXTSPLIT(AO39,","))&amp;",",","&amp;SUBSTITUTE(input_area_of_focus," ","")&amp;",")))=COUNTA(TEXTSPLIT(AO39,",")))))</f>
        <v/>
      </c>
      <c r="IW39">
        <f>AND(IF(AQ39="",TRUE,IF(input_audience="",FALSE,SUMPRODUCT(--ISNUMBER(SEARCH(","&amp;TRIM(TEXTSPLIT(AQ39,","))&amp;",",","&amp;SUBSTITUTE(input_audience," ","")&amp;",")))&gt;0)),IF(AS39="",TRUE,IF(input_audience="",FALSE,SUMPRODUCT(--ISNUMBER(SEARCH(","&amp;TRIM(TEXTSPLIT(AS39,","))&amp;",",","&amp;SUBSTITUTE(input_audience," ","")&amp;",")))=COUNTA(TEXTSPLIT(AS39,",")))),IF(AU39="",TRUE,IF(input_audience="",TRUE,SUMPRODUCT(--ISNUMBER(SEARCH(","&amp;TRIM(TEXTSPLIT(AU39,","))&amp;",",","&amp;SUBSTITUTE(input_audience," ","")&amp;",")))=0)),IF(AW39="",TRUE,IF(input_audience="",FALSE,SUMPRODUCT(--ISNUMBER(SEARCH(","&amp;TRIM(TEXTSPLIT(AW39,","))&amp;",",","&amp;SUBSTITUTE(input_audience," ","")&amp;",")))&gt;0)),IF(AY39="",TRUE,IF(input_audience="",FALSE,SUMPRODUCT(--ISNUMBER(SEARCH(","&amp;TRIM(TEXTSPLIT(AY39,","))&amp;",",","&amp;SUBSTITUTE(input_audience," ","")&amp;",")))=COUNTA(TEXTSPLIT(AY39,",")))))</f>
        <v/>
      </c>
      <c r="IX39">
        <f>AND(IF(BA39="",TRUE,IF(input_challenge_opportunities="",FALSE,SUMPRODUCT(--ISNUMBER(SEARCH(","&amp;TRIM(TEXTSPLIT(BA39,","))&amp;",",","&amp;SUBSTITUTE(input_challenge_opportunities," ","")&amp;",")))&gt;0)),IF(BC39="",TRUE,IF(input_challenge_opportunities="",FALSE,SUMPRODUCT(--ISNUMBER(SEARCH(","&amp;TRIM(TEXTSPLIT(BC39,","))&amp;",",","&amp;SUBSTITUTE(input_challenge_opportunities," ","")&amp;",")))=COUNTA(TEXTSPLIT(BC39,",")))),IF(BE39="",TRUE,IF(input_challenge_opportunities="",TRUE,SUMPRODUCT(--ISNUMBER(SEARCH(","&amp;TRIM(TEXTSPLIT(BE39,","))&amp;",",","&amp;SUBSTITUTE(input_challenge_opportunities," ","")&amp;",")))=0)),IF(BG39="",TRUE,IF(input_challenge_opportunities="",FALSE,SUMPRODUCT(--ISNUMBER(SEARCH(","&amp;TRIM(TEXTSPLIT(BG39,","))&amp;",",","&amp;SUBSTITUTE(input_challenge_opportunities," ","")&amp;",")))&gt;0)),IF(BI39="",TRUE,IF(input_challenge_opportunities="",FALSE,SUMPRODUCT(--ISNUMBER(SEARCH(","&amp;TRIM(TEXTSPLIT(BI39,","))&amp;",",","&amp;SUBSTITUTE(input_challenge_opportunities," ","")&amp;",")))=COUNTA(TEXTSPLIT(BI39,",")))))</f>
        <v/>
      </c>
      <c r="IY39">
        <f>AND(IF(BK39="",TRUE,IF(input_context="",FALSE,SUMPRODUCT(--ISNUMBER(SEARCH(","&amp;TRIM(TEXTSPLIT(BK39,","))&amp;",",","&amp;SUBSTITUTE(input_context," ","")&amp;",")))&gt;0)),IF(BM39="",TRUE,IF(input_context="",FALSE,SUMPRODUCT(--ISNUMBER(SEARCH(","&amp;TRIM(TEXTSPLIT(BM39,","))&amp;",",","&amp;SUBSTITUTE(input_context," ","")&amp;",")))=COUNTA(TEXTSPLIT(BM39,",")))),IF(BO39="",TRUE,IF(input_context="",TRUE,SUMPRODUCT(--ISNUMBER(SEARCH(","&amp;TRIM(TEXTSPLIT(BO39,","))&amp;",",","&amp;SUBSTITUTE(input_context," ","")&amp;",")))=0)),IF(BQ39="",TRUE,IF(input_context="",FALSE,SUMPRODUCT(--ISNUMBER(SEARCH(","&amp;TRIM(TEXTSPLIT(BQ39,","))&amp;",",","&amp;SUBSTITUTE(input_context," ","")&amp;",")))&gt;0)),IF(BS39="",TRUE,IF(input_context="",FALSE,SUMPRODUCT(--ISNUMBER(SEARCH(","&amp;TRIM(TEXTSPLIT(BS39,","))&amp;",",","&amp;SUBSTITUTE(input_context," ","")&amp;",")))=COUNTA(TEXTSPLIT(BS39,",")))))</f>
        <v/>
      </c>
      <c r="IZ39">
        <f>AND(IF(BU39="",TRUE,IF(input_enews_announcement_type="",FALSE,SUMPRODUCT(--ISNUMBER(SEARCH(","&amp;TRIM(TEXTSPLIT(BU39,","))&amp;",",","&amp;SUBSTITUTE(input_enews_announcement_type," ","")&amp;",")))&gt;0)),IF(BW39="",TRUE,IF(input_enews_announcement_type="",FALSE,SUMPRODUCT(--ISNUMBER(SEARCH(","&amp;TRIM(TEXTSPLIT(BW39,","))&amp;",",","&amp;SUBSTITUTE(input_enews_announcement_type," ","")&amp;",")))=COUNTA(TEXTSPLIT(BW39,",")))),IF(BY39="",TRUE,IF(input_enews_announcement_type="",TRUE,SUMPRODUCT(--ISNUMBER(SEARCH(","&amp;TRIM(TEXTSPLIT(BY39,","))&amp;",",","&amp;SUBSTITUTE(input_enews_announcement_type," ","")&amp;",")))=0)),IF(CA39="",TRUE,IF(input_enews_announcement_type="",FALSE,SUMPRODUCT(--ISNUMBER(SEARCH(","&amp;TRIM(TEXTSPLIT(CA39,","))&amp;",",","&amp;SUBSTITUTE(input_enews_announcement_type," ","")&amp;",")))&gt;0)),IF(CC39="",TRUE,IF(input_enews_announcement_type="",FALSE,SUMPRODUCT(--ISNUMBER(SEARCH(","&amp;TRIM(TEXTSPLIT(CC39,","))&amp;",",","&amp;SUBSTITUTE(input_enews_announcement_type," ","")&amp;",")))=COUNTA(TEXTSPLIT(CC39,",")))))</f>
        <v/>
      </c>
      <c r="JA39">
        <f>AND(IF(CE39="",TRUE,IF(input_enews_audience="",FALSE,SUMPRODUCT(--ISNUMBER(SEARCH(","&amp;TRIM(TEXTSPLIT(CE39,","))&amp;",",","&amp;SUBSTITUTE(input_enews_audience," ","")&amp;",")))&gt;0)),IF(CG39="",TRUE,IF(input_enews_audience="",FALSE,SUMPRODUCT(--ISNUMBER(SEARCH(","&amp;TRIM(TEXTSPLIT(CG39,","))&amp;",",","&amp;SUBSTITUTE(input_enews_audience," ","")&amp;",")))=COUNTA(TEXTSPLIT(CG39,",")))),IF(CI39="",TRUE,IF(input_enews_audience="",TRUE,SUMPRODUCT(--ISNUMBER(SEARCH(","&amp;TRIM(TEXTSPLIT(CI39,","))&amp;",",","&amp;SUBSTITUTE(input_enews_audience," ","")&amp;",")))=0)),IF(CK39="",TRUE,IF(input_enews_audience="",FALSE,SUMPRODUCT(--ISNUMBER(SEARCH(","&amp;TRIM(TEXTSPLIT(CK39,","))&amp;",",","&amp;SUBSTITUTE(input_enews_audience," ","")&amp;",")))&gt;0)),IF(CM39="",TRUE,IF(input_enews_audience="",FALSE,SUMPRODUCT(--ISNUMBER(SEARCH(","&amp;TRIM(TEXTSPLIT(CM39,","))&amp;",",","&amp;SUBSTITUTE(input_enews_audience," ","")&amp;",")))=COUNTA(TEXTSPLIT(CM39,",")))))</f>
        <v/>
      </c>
      <c r="JB39">
        <f>AND(IF(CO39="",TRUE,IF(input_event_location="",FALSE,SUMPRODUCT(--ISNUMBER(SEARCH(","&amp;TRIM(TEXTSPLIT(CO39,","))&amp;",",","&amp;SUBSTITUTE(input_event_location," ","")&amp;",")))&gt;0)),IF(CQ39="",TRUE,IF(input_event_location="",FALSE,SUMPRODUCT(--ISNUMBER(SEARCH(","&amp;TRIM(TEXTSPLIT(CQ39,","))&amp;",",","&amp;SUBSTITUTE(input_event_location," ","")&amp;",")))=COUNTA(TEXTSPLIT(CQ39,",")))),IF(CS39="",TRUE,IF(input_event_location="",TRUE,SUMPRODUCT(--ISNUMBER(SEARCH(","&amp;TRIM(TEXTSPLIT(CS39,","))&amp;",",","&amp;SUBSTITUTE(input_event_location," ","")&amp;",")))=0)),IF(CU39="",TRUE,IF(input_event_location="",FALSE,SUMPRODUCT(--ISNUMBER(SEARCH(","&amp;TRIM(TEXTSPLIT(CU39,","))&amp;",",","&amp;SUBSTITUTE(input_event_location," ","")&amp;",")))&gt;0)),IF(CW39="",TRUE,IF(input_event_location="",FALSE,SUMPRODUCT(--ISNUMBER(SEARCH(","&amp;TRIM(TEXTSPLIT(CW39,","))&amp;",",","&amp;SUBSTITUTE(input_event_location," ","")&amp;",")))=COUNTA(TEXTSPLIT(CW39,",")))))</f>
        <v/>
      </c>
      <c r="JC39">
        <f>AND(IF(CY39="",TRUE,IF(input_event_type="",FALSE,SUMPRODUCT(--ISNUMBER(SEARCH(","&amp;TRIM(TEXTSPLIT(CY39,","))&amp;",",","&amp;SUBSTITUTE(input_event_type," ","")&amp;",")))&gt;0)),IF(DA39="",TRUE,IF(input_event_type="",FALSE,SUMPRODUCT(--ISNUMBER(SEARCH(","&amp;TRIM(TEXTSPLIT(DA39,","))&amp;",",","&amp;SUBSTITUTE(input_event_type," ","")&amp;",")))=COUNTA(TEXTSPLIT(DA39,",")))),IF(DC39="",TRUE,IF(input_event_type="",TRUE,SUMPRODUCT(--ISNUMBER(SEARCH(","&amp;TRIM(TEXTSPLIT(DC39,","))&amp;",",","&amp;SUBSTITUTE(input_event_type," ","")&amp;",")))=0)),IF(DE39="",TRUE,IF(input_event_type="",FALSE,SUMPRODUCT(--ISNUMBER(SEARCH(","&amp;TRIM(TEXTSPLIT(DE39,","))&amp;",",","&amp;SUBSTITUTE(input_event_type," ","")&amp;",")))&gt;0)),IF(DG39="",TRUE,IF(input_event_type="",FALSE,SUMPRODUCT(--ISNUMBER(SEARCH(","&amp;TRIM(TEXTSPLIT(DG39,","))&amp;",",","&amp;SUBSTITUTE(input_event_type," ","")&amp;",")))=COUNTA(TEXTSPLIT(DG39,",")))))</f>
        <v/>
      </c>
      <c r="JD39">
        <f>AND(IF(DI39="",TRUE,IF(input_executive_education_focus="",FALSE,SUMPRODUCT(--ISNUMBER(SEARCH(","&amp;TRIM(TEXTSPLIT(DI39,","))&amp;",",","&amp;SUBSTITUTE(input_executive_education_focus," ","")&amp;",")))&gt;0)),IF(DK39="",TRUE,IF(input_executive_education_focus="",FALSE,SUMPRODUCT(--ISNUMBER(SEARCH(","&amp;TRIM(TEXTSPLIT(DK39,","))&amp;",",","&amp;SUBSTITUTE(input_executive_education_focus," ","")&amp;",")))=COUNTA(TEXTSPLIT(DK39,",")))),IF(DM39="",TRUE,IF(input_executive_education_focus="",TRUE,SUMPRODUCT(--ISNUMBER(SEARCH(","&amp;TRIM(TEXTSPLIT(DM39,","))&amp;",",","&amp;SUBSTITUTE(input_executive_education_focus," ","")&amp;",")))=0)),IF(DO39="",TRUE,IF(input_executive_education_focus="",FALSE,SUMPRODUCT(--ISNUMBER(SEARCH(","&amp;TRIM(TEXTSPLIT(DO39,","))&amp;",",","&amp;SUBSTITUTE(input_executive_education_focus," ","")&amp;",")))&gt;0)),IF(DQ39="",TRUE,IF(input_executive_education_focus="",FALSE,SUMPRODUCT(--ISNUMBER(SEARCH(","&amp;TRIM(TEXTSPLIT(DQ39,","))&amp;",",","&amp;SUBSTITUTE(input_executive_education_focus," ","")&amp;",")))=COUNTA(TEXTSPLIT(DQ39,",")))))</f>
        <v/>
      </c>
      <c r="JE39">
        <f>AND(IF(DS39="",TRUE,IF(input_faculty_category="",FALSE,SUMPRODUCT(--ISNUMBER(SEARCH(","&amp;TRIM(TEXTSPLIT(DS39,","))&amp;",",","&amp;SUBSTITUTE(input_faculty_category," ","")&amp;",")))&gt;0)),IF(DU39="",TRUE,IF(input_faculty_category="",FALSE,SUMPRODUCT(--ISNUMBER(SEARCH(","&amp;TRIM(TEXTSPLIT(DU39,","))&amp;",",","&amp;SUBSTITUTE(input_faculty_category," ","")&amp;",")))=COUNTA(TEXTSPLIT(DU39,",")))),IF(DW39="",TRUE,IF(input_faculty_category="",TRUE,SUMPRODUCT(--ISNUMBER(SEARCH(","&amp;TRIM(TEXTSPLIT(DW39,","))&amp;",",","&amp;SUBSTITUTE(input_faculty_category," ","")&amp;",")))=0)),IF(DY39="",TRUE,IF(input_faculty_category="",FALSE,SUMPRODUCT(--ISNUMBER(SEARCH(","&amp;TRIM(TEXTSPLIT(DY39,","))&amp;",",","&amp;SUBSTITUTE(input_faculty_category," ","")&amp;",")))&gt;0)),IF(EA39="",TRUE,IF(input_faculty_category="",FALSE,SUMPRODUCT(--ISNUMBER(SEARCH(","&amp;TRIM(TEXTSPLIT(EA39,","))&amp;",",","&amp;SUBSTITUTE(input_faculty_category," ","")&amp;",")))=COUNTA(TEXTSPLIT(EA39,",")))))</f>
        <v/>
      </c>
      <c r="JF39">
        <f>AND(IF(EC39="",TRUE,IF(input_faculty_discipline="",FALSE,SUMPRODUCT(--ISNUMBER(SEARCH(","&amp;TRIM(TEXTSPLIT(EC39,","))&amp;",",","&amp;SUBSTITUTE(input_faculty_discipline," ","")&amp;",")))&gt;0)),IF(EE39="",TRUE,IF(input_faculty_discipline="",FALSE,SUMPRODUCT(--ISNUMBER(SEARCH(","&amp;TRIM(TEXTSPLIT(EE39,","))&amp;",",","&amp;SUBSTITUTE(input_faculty_discipline," ","")&amp;",")))=COUNTA(TEXTSPLIT(EE39,",")))),IF(EG39="",TRUE,IF(input_faculty_discipline="",TRUE,SUMPRODUCT(--ISNUMBER(SEARCH(","&amp;TRIM(TEXTSPLIT(EG39,","))&amp;",",","&amp;SUBSTITUTE(input_faculty_discipline," ","")&amp;",")))=0)),IF(EI39="",TRUE,IF(input_faculty_discipline="",FALSE,SUMPRODUCT(--ISNUMBER(SEARCH(","&amp;TRIM(TEXTSPLIT(EI39,","))&amp;",",","&amp;SUBSTITUTE(input_faculty_discipline," ","")&amp;",")))&gt;0)),IF(EK39="",TRUE,IF(input_faculty_discipline="",FALSE,SUMPRODUCT(--ISNUMBER(SEARCH(","&amp;TRIM(TEXTSPLIT(EK39,","))&amp;",",","&amp;SUBSTITUTE(input_faculty_discipline," ","")&amp;",")))=COUNTA(TEXTSPLIT(EK39,",")))))</f>
        <v/>
      </c>
      <c r="JG39">
        <f>AND(IF(EM39="",TRUE,IF(input_faculty_expertise="",FALSE,SUMPRODUCT(--ISNUMBER(SEARCH(","&amp;TRIM(TEXTSPLIT(EM39,","))&amp;",",","&amp;SUBSTITUTE(input_faculty_expertise," ","")&amp;",")))&gt;0)),IF(EO39="",TRUE,IF(input_faculty_expertise="",FALSE,SUMPRODUCT(--ISNUMBER(SEARCH(","&amp;TRIM(TEXTSPLIT(EO39,","))&amp;",",","&amp;SUBSTITUTE(input_faculty_expertise," ","")&amp;",")))=COUNTA(TEXTSPLIT(EO39,",")))),IF(EQ39="",TRUE,IF(input_faculty_expertise="",TRUE,SUMPRODUCT(--ISNUMBER(SEARCH(","&amp;TRIM(TEXTSPLIT(EQ39,","))&amp;",",","&amp;SUBSTITUTE(input_faculty_expertise," ","")&amp;",")))=0)),IF(ES39="",TRUE,IF(input_faculty_expertise="",FALSE,SUMPRODUCT(--ISNUMBER(SEARCH(","&amp;TRIM(TEXTSPLIT(ES39,","))&amp;",",","&amp;SUBSTITUTE(input_faculty_expertise," ","")&amp;",")))&gt;0)),IF(EU39="",TRUE,IF(input_faculty_expertise="",FALSE,SUMPRODUCT(--ISNUMBER(SEARCH(","&amp;TRIM(TEXTSPLIT(EU39,","))&amp;",",","&amp;SUBSTITUTE(input_faculty_expertise," ","")&amp;",")))=COUNTA(TEXTSPLIT(EU39,",")))))</f>
        <v/>
      </c>
      <c r="JH39">
        <f>AND(IF(EW39="",TRUE,IF(input_global_network_school="",FALSE,SUMPRODUCT(--ISNUMBER(SEARCH(","&amp;TRIM(TEXTSPLIT(EW39,","))&amp;",",","&amp;SUBSTITUTE(input_global_network_school," ","")&amp;",")))&gt;0)),IF(EY39="",TRUE,IF(input_global_network_school="",FALSE,SUMPRODUCT(--ISNUMBER(SEARCH(","&amp;TRIM(TEXTSPLIT(EY39,","))&amp;",",","&amp;SUBSTITUTE(input_global_network_school," ","")&amp;",")))=COUNTA(TEXTSPLIT(EY39,",")))),IF(FA39="",TRUE,IF(input_global_network_school="",TRUE,SUMPRODUCT(--ISNUMBER(SEARCH(","&amp;TRIM(TEXTSPLIT(FA39,","))&amp;",",","&amp;SUBSTITUTE(input_global_network_school," ","")&amp;",")))=0)),IF(FC39="",TRUE,IF(input_global_network_school="",FALSE,SUMPRODUCT(--ISNUMBER(SEARCH(","&amp;TRIM(TEXTSPLIT(FC39,","))&amp;",",","&amp;SUBSTITUTE(input_global_network_school," ","")&amp;",")))&gt;0)),IF(FE39="",TRUE,IF(input_global_network_school="",FALSE,SUMPRODUCT(--ISNUMBER(SEARCH(","&amp;TRIM(TEXTSPLIT(FE39,","))&amp;",",","&amp;SUBSTITUTE(input_global_network_school," ","")&amp;",")))=COUNTA(TEXTSPLIT(FE39,",")))))</f>
        <v/>
      </c>
      <c r="JI39">
        <f>AND(IF(FG39="",TRUE,IF(input_industry="",FALSE,SUMPRODUCT(--ISNUMBER(SEARCH(","&amp;TRIM(TEXTSPLIT(FG39,","))&amp;",",","&amp;SUBSTITUTE(input_industry," ","")&amp;",")))&gt;0)),IF(FI39="",TRUE,IF(input_industry="",FALSE,SUMPRODUCT(--ISNUMBER(SEARCH(","&amp;TRIM(TEXTSPLIT(FI39,","))&amp;",",","&amp;SUBSTITUTE(input_industry," ","")&amp;",")))=COUNTA(TEXTSPLIT(FI39,",")))),IF(FK39="",TRUE,IF(input_industry="",TRUE,SUMPRODUCT(--ISNUMBER(SEARCH(","&amp;TRIM(TEXTSPLIT(FK39,","))&amp;",",","&amp;SUBSTITUTE(input_industry," ","")&amp;",")))=0)),IF(FM39="",TRUE,IF(input_industry="",FALSE,SUMPRODUCT(--ISNUMBER(SEARCH(","&amp;TRIM(TEXTSPLIT(FM39,","))&amp;",",","&amp;SUBSTITUTE(input_industry," ","")&amp;",")))&gt;0)),IF(FO39="",TRUE,IF(input_industry="",FALSE,SUMPRODUCT(--ISNUMBER(SEARCH(","&amp;TRIM(TEXTSPLIT(FO39,","))&amp;",",","&amp;SUBSTITUTE(input_industry," ","")&amp;",")))=COUNTA(TEXTSPLIT(FO39,",")))))</f>
        <v/>
      </c>
      <c r="JJ39">
        <f>AND(IF(FQ39="",TRUE,IF(input_location="",FALSE,SUMPRODUCT(--ISNUMBER(SEARCH(","&amp;TRIM(TEXTSPLIT(FQ39,","))&amp;",",","&amp;SUBSTITUTE(input_location," ","")&amp;",")))&gt;0)),IF(FS39="",TRUE,IF(input_location="",FALSE,SUMPRODUCT(--ISNUMBER(SEARCH(","&amp;TRIM(TEXTSPLIT(FS39,","))&amp;",",","&amp;SUBSTITUTE(input_location," ","")&amp;",")))=COUNTA(TEXTSPLIT(FS39,",")))),IF(FU39="",TRUE,IF(input_location="",TRUE,SUMPRODUCT(--ISNUMBER(SEARCH(","&amp;TRIM(TEXTSPLIT(FU39,","))&amp;",",","&amp;SUBSTITUTE(input_location," ","")&amp;",")))=0)),IF(FW39="",TRUE,IF(input_location="",FALSE,SUMPRODUCT(--ISNUMBER(SEARCH(","&amp;TRIM(TEXTSPLIT(FW39,","))&amp;",",","&amp;SUBSTITUTE(input_location," ","")&amp;",")))&gt;0)),IF(FY39="",TRUE,IF(input_location="",FALSE,SUMPRODUCT(--ISNUMBER(SEARCH(","&amp;TRIM(TEXTSPLIT(FY39,","))&amp;",",","&amp;SUBSTITUTE(input_location," ","")&amp;",")))=COUNTA(TEXTSPLIT(FY39,",")))))</f>
        <v/>
      </c>
      <c r="JK39">
        <f>AND(IF(GA39="",TRUE,IF(input_modality="",FALSE,SUMPRODUCT(--ISNUMBER(SEARCH(","&amp;TRIM(TEXTSPLIT(GA39,","))&amp;",",","&amp;SUBSTITUTE(input_modality," ","")&amp;",")))&gt;0)),IF(GC39="",TRUE,IF(input_modality="",FALSE,SUMPRODUCT(--ISNUMBER(SEARCH(","&amp;TRIM(TEXTSPLIT(GC39,","))&amp;",",","&amp;SUBSTITUTE(input_modality," ","")&amp;",")))=COUNTA(TEXTSPLIT(GC39,",")))),IF(GE39="",TRUE,IF(input_modality="",TRUE,SUMPRODUCT(--ISNUMBER(SEARCH(","&amp;TRIM(TEXTSPLIT(GE39,","))&amp;",",","&amp;SUBSTITUTE(input_modality," ","")&amp;",")))=0)),IF(GG39="",TRUE,IF(input_modality="",FALSE,SUMPRODUCT(--ISNUMBER(SEARCH(","&amp;TRIM(TEXTSPLIT(GG39,","))&amp;",",","&amp;SUBSTITUTE(input_modality," ","")&amp;",")))&gt;0)),IF(GI39="",TRUE,IF(input_modality="",FALSE,SUMPRODUCT(--ISNUMBER(SEARCH(","&amp;TRIM(TEXTSPLIT(GI39,","))&amp;",",","&amp;SUBSTITUTE(input_modality," ","")&amp;",")))=COUNTA(TEXTSPLIT(GI39,",")))))</f>
        <v/>
      </c>
      <c r="JL39">
        <f>AND(IF(GK39="",TRUE,IF(input_organizer="",FALSE,SUMPRODUCT(--ISNUMBER(SEARCH(","&amp;TRIM(TEXTSPLIT(GK39,","))&amp;",",","&amp;SUBSTITUTE(input_organizer," ","")&amp;",")))&gt;0)),IF(GM39="",TRUE,IF(input_organizer="",FALSE,SUMPRODUCT(--ISNUMBER(SEARCH(","&amp;TRIM(TEXTSPLIT(GM39,","))&amp;",",","&amp;SUBSTITUTE(input_organizer," ","")&amp;",")))=COUNTA(TEXTSPLIT(GM39,",")))),IF(GO39="",TRUE,IF(input_organizer="",TRUE,SUMPRODUCT(--ISNUMBER(SEARCH(","&amp;TRIM(TEXTSPLIT(GO39,","))&amp;",",","&amp;SUBSTITUTE(input_organizer," ","")&amp;",")))=0)),IF(GQ39="",TRUE,IF(input_organizer="",FALSE,SUMPRODUCT(--ISNUMBER(SEARCH(","&amp;TRIM(TEXTSPLIT(GQ39,","))&amp;",",","&amp;SUBSTITUTE(input_organizer," ","")&amp;",")))&gt;0)),IF(GS39="",TRUE,IF(input_organizer="",FALSE,SUMPRODUCT(--ISNUMBER(SEARCH(","&amp;TRIM(TEXTSPLIT(GS39,","))&amp;",",","&amp;SUBSTITUTE(input_organizer," ","")&amp;",")))=COUNTA(TEXTSPLIT(GS39,",")))))</f>
        <v/>
      </c>
      <c r="JM39">
        <f>AND(IF(GU39="",TRUE,IF(input_profile_type="",FALSE,SUMPRODUCT(--ISNUMBER(SEARCH(","&amp;TRIM(TEXTSPLIT(GU39,","))&amp;",",","&amp;SUBSTITUTE(input_profile_type," ","")&amp;",")))&gt;0)),IF(GW39="",TRUE,IF(input_profile_type="",FALSE,SUMPRODUCT(--ISNUMBER(SEARCH(","&amp;TRIM(TEXTSPLIT(GW39,","))&amp;",",","&amp;SUBSTITUTE(input_profile_type," ","")&amp;",")))=COUNTA(TEXTSPLIT(GW39,",")))),IF(GY39="",TRUE,IF(input_profile_type="",TRUE,SUMPRODUCT(--ISNUMBER(SEARCH(","&amp;TRIM(TEXTSPLIT(GY39,","))&amp;",",","&amp;SUBSTITUTE(input_profile_type," ","")&amp;",")))=0)),IF(HA39="",TRUE,IF(input_profile_type="",FALSE,SUMPRODUCT(--ISNUMBER(SEARCH(","&amp;TRIM(TEXTSPLIT(HA39,","))&amp;",",","&amp;SUBSTITUTE(input_profile_type," ","")&amp;",")))&gt;0)),IF(HC39="",TRUE,IF(input_profile_type="",FALSE,SUMPRODUCT(--ISNUMBER(SEARCH(","&amp;TRIM(TEXTSPLIT(HC39,","))&amp;",",","&amp;SUBSTITUTE(input_profile_type," ","")&amp;",")))=COUNTA(TEXTSPLIT(HC39,",")))))</f>
        <v/>
      </c>
      <c r="JN39">
        <f>AND(IF(HE39="",TRUE,IF(input_program="",FALSE,SUMPRODUCT(--ISNUMBER(SEARCH(","&amp;TRIM(TEXTSPLIT(HE39,","))&amp;",",","&amp;SUBSTITUTE(input_program," ","")&amp;",")))&gt;0)),IF(HG39="",TRUE,IF(input_program="",FALSE,SUMPRODUCT(--ISNUMBER(SEARCH(","&amp;TRIM(TEXTSPLIT(HG39,","))&amp;",",","&amp;SUBSTITUTE(input_program," ","")&amp;",")))=COUNTA(TEXTSPLIT(HG39,",")))),IF(HI39="",TRUE,IF(input_program="",TRUE,SUMPRODUCT(--ISNUMBER(SEARCH(","&amp;TRIM(TEXTSPLIT(HI39,","))&amp;",",","&amp;SUBSTITUTE(input_program," ","")&amp;",")))=0)),IF(HK39="",TRUE,IF(input_program="",FALSE,SUMPRODUCT(--ISNUMBER(SEARCH(","&amp;TRIM(TEXTSPLIT(HK39,","))&amp;",",","&amp;SUBSTITUTE(input_program," ","")&amp;",")))&gt;0)),IF(HM39="",TRUE,IF(input_program="",FALSE,SUMPRODUCT(--ISNUMBER(SEARCH(","&amp;TRIM(TEXTSPLIT(HM39,","))&amp;",",","&amp;SUBSTITUTE(input_program," ","")&amp;",")))=COUNTA(TEXTSPLIT(HM39,",")))))</f>
        <v/>
      </c>
      <c r="JO39">
        <f>AND(IF(HO39="",TRUE,IF(input_story_categories="",FALSE,SUMPRODUCT(--ISNUMBER(SEARCH(","&amp;TRIM(TEXTSPLIT(HO39,","))&amp;",",","&amp;SUBSTITUTE(input_story_categories," ","")&amp;",")))&gt;0)),IF(HQ39="",TRUE,IF(input_story_categories="",FALSE,SUMPRODUCT(--ISNUMBER(SEARCH(","&amp;TRIM(TEXTSPLIT(HQ39,","))&amp;",",","&amp;SUBSTITUTE(input_story_categories," ","")&amp;",")))=COUNTA(TEXTSPLIT(HQ39,",")))),IF(HS39="",TRUE,IF(input_story_categories="",TRUE,SUMPRODUCT(--ISNUMBER(SEARCH(","&amp;TRIM(TEXTSPLIT(HS39,","))&amp;",",","&amp;SUBSTITUTE(input_story_categories," ","")&amp;",")))=0)),IF(HU39="",TRUE,IF(input_story_categories="",FALSE,SUMPRODUCT(--ISNUMBER(SEARCH(","&amp;TRIM(TEXTSPLIT(HU39,","))&amp;",",","&amp;SUBSTITUTE(input_story_categories," ","")&amp;",")))&gt;0)),IF(HW39="",TRUE,IF(input_story_categories="",FALSE,SUMPRODUCT(--ISNUMBER(SEARCH(","&amp;TRIM(TEXTSPLIT(HW39,","))&amp;",",","&amp;SUBSTITUTE(input_story_categories," ","")&amp;",")))=COUNTA(TEXTSPLIT(HW39,",")))))</f>
        <v/>
      </c>
      <c r="JP39">
        <f>AND(IF(HY39="",TRUE,IF(input_story_type="",FALSE,SUMPRODUCT(--ISNUMBER(SEARCH(","&amp;TRIM(TEXTSPLIT(HY39,","))&amp;",",","&amp;SUBSTITUTE(input_story_type," ","")&amp;",")))&gt;0)),IF(IA39="",TRUE,IF(input_story_type="",FALSE,SUMPRODUCT(--ISNUMBER(SEARCH(","&amp;TRIM(TEXTSPLIT(IA39,","))&amp;",",","&amp;SUBSTITUTE(input_story_type," ","")&amp;",")))=COUNTA(TEXTSPLIT(IA39,",")))),IF(IC39="",TRUE,IF(input_story_type="",TRUE,SUMPRODUCT(--ISNUMBER(SEARCH(","&amp;TRIM(TEXTSPLIT(IC39,","))&amp;",",","&amp;SUBSTITUTE(input_story_type," ","")&amp;",")))=0)),IF(IE39="",TRUE,IF(input_story_type="",FALSE,SUMPRODUCT(--ISNUMBER(SEARCH(","&amp;TRIM(TEXTSPLIT(IE39,","))&amp;",",","&amp;SUBSTITUTE(input_story_type," ","")&amp;",")))&gt;0)),IF(IG39="",TRUE,IF(input_story_type="",FALSE,SUMPRODUCT(--ISNUMBER(SEARCH(","&amp;TRIM(TEXTSPLIT(IG39,","))&amp;",",","&amp;SUBSTITUTE(input_story_type," ","")&amp;",")))=COUNTA(TEXTSPLIT(IG39,",")))))</f>
        <v/>
      </c>
      <c r="JQ39">
        <f>AND(IF(II39="",TRUE,IF(input_topics="",FALSE,SUMPRODUCT(--ISNUMBER(SEARCH(","&amp;TRIM(TEXTSPLIT(II39,","))&amp;",",","&amp;SUBSTITUTE(input_topics," ","")&amp;",")))&gt;0)),IF(IK39="",TRUE,IF(input_topics="",FALSE,SUMPRODUCT(--ISNUMBER(SEARCH(","&amp;TRIM(TEXTSPLIT(IK39,","))&amp;",",","&amp;SUBSTITUTE(input_topics," ","")&amp;",")))=COUNTA(TEXTSPLIT(IK39,",")))),IF(IM39="",TRUE,IF(input_topics="",TRUE,SUMPRODUCT(--ISNUMBER(SEARCH(","&amp;TRIM(TEXTSPLIT(IM39,","))&amp;",",","&amp;SUBSTITUTE(input_topics," ","")&amp;",")))=0)),IF(IO39="",TRUE,IF(input_topics="",FALSE,SUMPRODUCT(--ISNUMBER(SEARCH(","&amp;TRIM(TEXTSPLIT(IO39,","))&amp;",",","&amp;SUBSTITUTE(input_topics," ","")&amp;",")))&gt;0)),IF(IQ39="",TRUE,IF(input_topics="",FALSE,SUMPRODUCT(--ISNUMBER(SEARCH(","&amp;TRIM(TEXTSPLIT(IQ39,","))&amp;",",","&amp;SUBSTITUTE(input_topics," ","")&amp;",")))=COUNTA(TEXTSPLIT(IQ39,",")))))</f>
        <v/>
      </c>
    </row>
    <row r="40">
      <c r="A40" s="4">
        <f>IF(NOT(IS40),"Excluded",IF(AND(IT40,IU40,IV40,IW40,IX40,IY40,IZ40,JA40,JB40,JC40,JD40,JE40,JF40,JG40,JH40,JI40,JJ40,JK40,JL40,JM40,JN40,JO40,JP40,JQ40),IF(I40&gt;0,"Eligible but limited","Will appear"),"Excluded"))</f>
        <v/>
      </c>
      <c r="B40" s="4" t="inlineStr">
        <is>
          <t>All Publications by Author</t>
        </is>
      </c>
      <c r="C40" s="4" t="inlineStr">
        <is>
          <t>/faculty-research/faculty-directory/kosuke-uetake</t>
        </is>
      </c>
      <c r="D40" s="4" t="inlineStr">
        <is>
          <t>/faculty-research/faculty-directory/kosuke-uetake</t>
        </is>
      </c>
      <c r="E40" s="4" t="n">
        <v>1</v>
      </c>
      <c r="F40" s="4" t="inlineStr">
        <is>
          <t>publications</t>
        </is>
      </c>
      <c r="G40" s="4" t="inlineStr">
        <is>
          <t>publication_teaser_list</t>
        </is>
      </c>
      <c r="H40" s="4" t="inlineStr">
        <is>
          <t>publication_teaser_list_all_by_author</t>
        </is>
      </c>
      <c r="I40" s="4" t="inlineStr"/>
      <c r="J40" s="4" t="inlineStr">
        <is>
          <t>View/config rules</t>
        </is>
      </c>
      <c r="K40" s="4" t="inlineStr">
        <is>
          <t>Page placement</t>
        </is>
      </c>
      <c r="L40" s="4" t="inlineStr">
        <is>
          <t>Content type: publications; Source: View/config rules</t>
        </is>
      </c>
      <c r="M40" t="inlineStr"/>
      <c r="N40" t="inlineStr"/>
      <c r="O40" t="inlineStr"/>
      <c r="P40" t="inlineStr"/>
      <c r="Q40" t="inlineStr"/>
      <c r="R40" t="inlineStr"/>
      <c r="S40" t="inlineStr"/>
      <c r="T40" t="inlineStr"/>
      <c r="U40" t="inlineStr"/>
      <c r="V40" t="inlineStr"/>
      <c r="W40" t="inlineStr"/>
      <c r="X40" t="inlineStr"/>
      <c r="Y40" t="inlineStr"/>
      <c r="Z40" t="inlineStr"/>
      <c r="AA40" t="inlineStr"/>
      <c r="AB40" t="inlineStr"/>
      <c r="AC40" t="inlineStr"/>
      <c r="AD40" t="inlineStr"/>
      <c r="AE40" t="inlineStr"/>
      <c r="AF40" t="inlineStr"/>
      <c r="AG40" t="inlineStr"/>
      <c r="AH40" t="inlineStr"/>
      <c r="AI40" t="inlineStr"/>
      <c r="AJ40" t="inlineStr"/>
      <c r="AK40" t="inlineStr"/>
      <c r="AL40" t="inlineStr"/>
      <c r="AM40" t="inlineStr"/>
      <c r="AN40" t="inlineStr"/>
      <c r="AO40" t="inlineStr"/>
      <c r="AP40" t="inlineStr"/>
      <c r="AQ40" t="inlineStr"/>
      <c r="AR40" t="inlineStr"/>
      <c r="AS40" t="inlineStr"/>
      <c r="AT40" t="inlineStr"/>
      <c r="AU40" t="inlineStr"/>
      <c r="AV40" t="inlineStr"/>
      <c r="AW40" t="inlineStr"/>
      <c r="AX40" t="inlineStr"/>
      <c r="AY40" t="inlineStr"/>
      <c r="AZ40" t="inlineStr"/>
      <c r="BA40" t="inlineStr"/>
      <c r="BB40" t="inlineStr"/>
      <c r="BC40" t="inlineStr"/>
      <c r="BD40" t="inlineStr"/>
      <c r="BE40" t="inlineStr"/>
      <c r="BF40" t="inlineStr"/>
      <c r="BG40" t="inlineStr"/>
      <c r="BH40" t="inlineStr"/>
      <c r="BI40" t="inlineStr"/>
      <c r="BJ40" t="inlineStr"/>
      <c r="BK40" t="inlineStr"/>
      <c r="BL40" t="inlineStr"/>
      <c r="BM40" t="inlineStr"/>
      <c r="BN40" t="inlineStr"/>
      <c r="BO40" t="inlineStr"/>
      <c r="BP40" t="inlineStr"/>
      <c r="BQ40" t="inlineStr"/>
      <c r="BR40" t="inlineStr"/>
      <c r="BS40" t="inlineStr"/>
      <c r="BT40" t="inlineStr"/>
      <c r="BU40" t="inlineStr"/>
      <c r="BV40" t="inlineStr"/>
      <c r="BW40" t="inlineStr"/>
      <c r="BX40" t="inlineStr"/>
      <c r="BY40" t="inlineStr"/>
      <c r="BZ40" t="inlineStr"/>
      <c r="CA40" t="inlineStr"/>
      <c r="CB40" t="inlineStr"/>
      <c r="CC40" t="inlineStr"/>
      <c r="CD40" t="inlineStr"/>
      <c r="CE40" t="inlineStr"/>
      <c r="CF40" t="inlineStr"/>
      <c r="CG40" t="inlineStr"/>
      <c r="CH40" t="inlineStr"/>
      <c r="CI40" t="inlineStr"/>
      <c r="CJ40" t="inlineStr"/>
      <c r="CK40" t="inlineStr"/>
      <c r="CL40" t="inlineStr"/>
      <c r="CM40" t="inlineStr"/>
      <c r="CN40" t="inlineStr"/>
      <c r="CO40" t="inlineStr"/>
      <c r="CP40" t="inlineStr"/>
      <c r="CQ40" t="inlineStr"/>
      <c r="CR40" t="inlineStr"/>
      <c r="CS40" t="inlineStr"/>
      <c r="CT40" t="inlineStr"/>
      <c r="CU40" t="inlineStr"/>
      <c r="CV40" t="inlineStr"/>
      <c r="CW40" t="inlineStr"/>
      <c r="CX40" t="inlineStr"/>
      <c r="CY40" t="inlineStr"/>
      <c r="CZ40" t="inlineStr"/>
      <c r="DA40" t="inlineStr"/>
      <c r="DB40" t="inlineStr"/>
      <c r="DC40" t="inlineStr"/>
      <c r="DD40" t="inlineStr"/>
      <c r="DE40" t="inlineStr"/>
      <c r="DF40" t="inlineStr"/>
      <c r="DG40" t="inlineStr"/>
      <c r="DH40" t="inlineStr"/>
      <c r="DI40" t="inlineStr"/>
      <c r="DJ40" t="inlineStr"/>
      <c r="DK40" t="inlineStr"/>
      <c r="DL40" t="inlineStr"/>
      <c r="DM40" t="inlineStr"/>
      <c r="DN40" t="inlineStr"/>
      <c r="DO40" t="inlineStr"/>
      <c r="DP40" t="inlineStr"/>
      <c r="DQ40" t="inlineStr"/>
      <c r="DR40" t="inlineStr"/>
      <c r="DS40" t="inlineStr"/>
      <c r="DT40" t="inlineStr"/>
      <c r="DU40" t="inlineStr"/>
      <c r="DV40" t="inlineStr"/>
      <c r="DW40" t="inlineStr"/>
      <c r="DX40" t="inlineStr"/>
      <c r="DY40" t="inlineStr"/>
      <c r="DZ40" t="inlineStr"/>
      <c r="EA40" t="inlineStr"/>
      <c r="EB40" t="inlineStr"/>
      <c r="EC40" t="inlineStr"/>
      <c r="ED40" t="inlineStr"/>
      <c r="EE40" t="inlineStr"/>
      <c r="EF40" t="inlineStr"/>
      <c r="EG40" t="inlineStr"/>
      <c r="EH40" t="inlineStr"/>
      <c r="EI40" t="inlineStr"/>
      <c r="EJ40" t="inlineStr"/>
      <c r="EK40" t="inlineStr"/>
      <c r="EL40" t="inlineStr"/>
      <c r="EM40" t="inlineStr"/>
      <c r="EN40" t="inlineStr"/>
      <c r="EO40" t="inlineStr"/>
      <c r="EP40" t="inlineStr"/>
      <c r="EQ40" t="inlineStr"/>
      <c r="ER40" t="inlineStr"/>
      <c r="ES40" t="inlineStr"/>
      <c r="ET40" t="inlineStr"/>
      <c r="EU40" t="inlineStr"/>
      <c r="EV40" t="inlineStr"/>
      <c r="EW40" t="inlineStr"/>
      <c r="EX40" t="inlineStr"/>
      <c r="EY40" t="inlineStr"/>
      <c r="EZ40" t="inlineStr"/>
      <c r="FA40" t="inlineStr"/>
      <c r="FB40" t="inlineStr"/>
      <c r="FC40" t="inlineStr"/>
      <c r="FD40" t="inlineStr"/>
      <c r="FE40" t="inlineStr"/>
      <c r="FF40" t="inlineStr"/>
      <c r="FG40" t="inlineStr"/>
      <c r="FH40" t="inlineStr"/>
      <c r="FI40" t="inlineStr"/>
      <c r="FJ40" t="inlineStr"/>
      <c r="FK40" t="inlineStr"/>
      <c r="FL40" t="inlineStr"/>
      <c r="FM40" t="inlineStr"/>
      <c r="FN40" t="inlineStr"/>
      <c r="FO40" t="inlineStr"/>
      <c r="FP40" t="inlineStr"/>
      <c r="FQ40" t="inlineStr"/>
      <c r="FR40" t="inlineStr"/>
      <c r="FS40" t="inlineStr"/>
      <c r="FT40" t="inlineStr"/>
      <c r="FU40" t="inlineStr"/>
      <c r="FV40" t="inlineStr"/>
      <c r="FW40" t="inlineStr"/>
      <c r="FX40" t="inlineStr"/>
      <c r="FY40" t="inlineStr"/>
      <c r="FZ40" t="inlineStr"/>
      <c r="GA40" t="inlineStr"/>
      <c r="GB40" t="inlineStr"/>
      <c r="GC40" t="inlineStr"/>
      <c r="GD40" t="inlineStr"/>
      <c r="GE40" t="inlineStr"/>
      <c r="GF40" t="inlineStr"/>
      <c r="GG40" t="inlineStr"/>
      <c r="GH40" t="inlineStr"/>
      <c r="GI40" t="inlineStr"/>
      <c r="GJ40" t="inlineStr"/>
      <c r="GK40" t="inlineStr"/>
      <c r="GL40" t="inlineStr"/>
      <c r="GM40" t="inlineStr"/>
      <c r="GN40" t="inlineStr"/>
      <c r="GO40" t="inlineStr"/>
      <c r="GP40" t="inlineStr"/>
      <c r="GQ40" t="inlineStr"/>
      <c r="GR40" t="inlineStr"/>
      <c r="GS40" t="inlineStr"/>
      <c r="GT40" t="inlineStr"/>
      <c r="GU40" t="inlineStr"/>
      <c r="GV40" t="inlineStr"/>
      <c r="GW40" t="inlineStr"/>
      <c r="GX40" t="inlineStr"/>
      <c r="GY40" t="inlineStr"/>
      <c r="GZ40" t="inlineStr"/>
      <c r="HA40" t="inlineStr"/>
      <c r="HB40" t="inlineStr"/>
      <c r="HC40" t="inlineStr"/>
      <c r="HD40" t="inlineStr"/>
      <c r="HE40" t="inlineStr"/>
      <c r="HF40" t="inlineStr"/>
      <c r="HG40" t="inlineStr"/>
      <c r="HH40" t="inlineStr"/>
      <c r="HI40" t="inlineStr"/>
      <c r="HJ40" t="inlineStr"/>
      <c r="HK40" t="inlineStr"/>
      <c r="HL40" t="inlineStr"/>
      <c r="HM40" t="inlineStr"/>
      <c r="HN40" t="inlineStr"/>
      <c r="HO40" t="inlineStr"/>
      <c r="HP40" t="inlineStr"/>
      <c r="HQ40" t="inlineStr"/>
      <c r="HR40" t="inlineStr"/>
      <c r="HS40" t="inlineStr"/>
      <c r="HT40" t="inlineStr"/>
      <c r="HU40" t="inlineStr"/>
      <c r="HV40" t="inlineStr"/>
      <c r="HW40" t="inlineStr"/>
      <c r="HX40" t="inlineStr"/>
      <c r="HY40" t="inlineStr"/>
      <c r="HZ40" t="inlineStr"/>
      <c r="IA40" t="inlineStr"/>
      <c r="IB40" t="inlineStr"/>
      <c r="IC40" t="inlineStr"/>
      <c r="ID40" t="inlineStr"/>
      <c r="IE40" t="inlineStr"/>
      <c r="IF40" t="inlineStr"/>
      <c r="IG40" t="inlineStr"/>
      <c r="IH40" t="inlineStr"/>
      <c r="II40" t="inlineStr"/>
      <c r="IJ40" t="inlineStr"/>
      <c r="IK40" t="inlineStr"/>
      <c r="IL40" t="inlineStr"/>
      <c r="IM40" t="inlineStr"/>
      <c r="IN40" t="inlineStr"/>
      <c r="IO40" t="inlineStr"/>
      <c r="IP40" t="inlineStr"/>
      <c r="IQ40" t="inlineStr"/>
      <c r="IR40" t="inlineStr"/>
      <c r="IS40">
        <f>IF(input_content_type="",FALSE,ISNUMBER(SEARCH(","&amp;LOWER(input_content_type)&amp;",",","&amp;LOWER(F40)&amp;",")))</f>
        <v/>
      </c>
      <c r="IT40">
        <f>AND(IF(M40="",TRUE,IF(input_affiliations="",FALSE,SUMPRODUCT(--ISNUMBER(SEARCH(","&amp;TRIM(TEXTSPLIT(M40,","))&amp;",",","&amp;SUBSTITUTE(input_affiliations," ","")&amp;",")))&gt;0)),IF(O40="",TRUE,IF(input_affiliations="",FALSE,SUMPRODUCT(--ISNUMBER(SEARCH(","&amp;TRIM(TEXTSPLIT(O40,","))&amp;",",","&amp;SUBSTITUTE(input_affiliations," ","")&amp;",")))=COUNTA(TEXTSPLIT(O40,",")))),IF(Q40="",TRUE,IF(input_affiliations="",TRUE,SUMPRODUCT(--ISNUMBER(SEARCH(","&amp;TRIM(TEXTSPLIT(Q40,","))&amp;",",","&amp;SUBSTITUTE(input_affiliations," ","")&amp;",")))=0)),IF(S40="",TRUE,IF(input_affiliations="",FALSE,SUMPRODUCT(--ISNUMBER(SEARCH(","&amp;TRIM(TEXTSPLIT(S40,","))&amp;",",","&amp;SUBSTITUTE(input_affiliations," ","")&amp;",")))&gt;0)),IF(U40="",TRUE,IF(input_affiliations="",FALSE,SUMPRODUCT(--ISNUMBER(SEARCH(","&amp;TRIM(TEXTSPLIT(U40,","))&amp;",",","&amp;SUBSTITUTE(input_affiliations," ","")&amp;",")))=COUNTA(TEXTSPLIT(U40,",")))))</f>
        <v/>
      </c>
      <c r="IU40">
        <f>AND(IF(W40="",TRUE,IF(input_announcement_category="",FALSE,SUMPRODUCT(--ISNUMBER(SEARCH(","&amp;TRIM(TEXTSPLIT(W40,","))&amp;",",","&amp;SUBSTITUTE(input_announcement_category," ","")&amp;",")))&gt;0)),IF(Y40="",TRUE,IF(input_announcement_category="",FALSE,SUMPRODUCT(--ISNUMBER(SEARCH(","&amp;TRIM(TEXTSPLIT(Y40,","))&amp;",",","&amp;SUBSTITUTE(input_announcement_category," ","")&amp;",")))=COUNTA(TEXTSPLIT(Y40,",")))),IF(AA40="",TRUE,IF(input_announcement_category="",TRUE,SUMPRODUCT(--ISNUMBER(SEARCH(","&amp;TRIM(TEXTSPLIT(AA40,","))&amp;",",","&amp;SUBSTITUTE(input_announcement_category," ","")&amp;",")))=0)),IF(AC40="",TRUE,IF(input_announcement_category="",FALSE,SUMPRODUCT(--ISNUMBER(SEARCH(","&amp;TRIM(TEXTSPLIT(AC40,","))&amp;",",","&amp;SUBSTITUTE(input_announcement_category," ","")&amp;",")))&gt;0)),IF(AE40="",TRUE,IF(input_announcement_category="",FALSE,SUMPRODUCT(--ISNUMBER(SEARCH(","&amp;TRIM(TEXTSPLIT(AE40,","))&amp;",",","&amp;SUBSTITUTE(input_announcement_category," ","")&amp;",")))=COUNTA(TEXTSPLIT(AE40,",")))))</f>
        <v/>
      </c>
      <c r="IV40">
        <f>AND(IF(AG40="",TRUE,IF(input_area_of_focus="",FALSE,SUMPRODUCT(--ISNUMBER(SEARCH(","&amp;TRIM(TEXTSPLIT(AG40,","))&amp;",",","&amp;SUBSTITUTE(input_area_of_focus," ","")&amp;",")))&gt;0)),IF(AI40="",TRUE,IF(input_area_of_focus="",FALSE,SUMPRODUCT(--ISNUMBER(SEARCH(","&amp;TRIM(TEXTSPLIT(AI40,","))&amp;",",","&amp;SUBSTITUTE(input_area_of_focus," ","")&amp;",")))=COUNTA(TEXTSPLIT(AI40,",")))),IF(AK40="",TRUE,IF(input_area_of_focus="",TRUE,SUMPRODUCT(--ISNUMBER(SEARCH(","&amp;TRIM(TEXTSPLIT(AK40,","))&amp;",",","&amp;SUBSTITUTE(input_area_of_focus," ","")&amp;",")))=0)),IF(AM40="",TRUE,IF(input_area_of_focus="",FALSE,SUMPRODUCT(--ISNUMBER(SEARCH(","&amp;TRIM(TEXTSPLIT(AM40,","))&amp;",",","&amp;SUBSTITUTE(input_area_of_focus," ","")&amp;",")))&gt;0)),IF(AO40="",TRUE,IF(input_area_of_focus="",FALSE,SUMPRODUCT(--ISNUMBER(SEARCH(","&amp;TRIM(TEXTSPLIT(AO40,","))&amp;",",","&amp;SUBSTITUTE(input_area_of_focus," ","")&amp;",")))=COUNTA(TEXTSPLIT(AO40,",")))))</f>
        <v/>
      </c>
      <c r="IW40">
        <f>AND(IF(AQ40="",TRUE,IF(input_audience="",FALSE,SUMPRODUCT(--ISNUMBER(SEARCH(","&amp;TRIM(TEXTSPLIT(AQ40,","))&amp;",",","&amp;SUBSTITUTE(input_audience," ","")&amp;",")))&gt;0)),IF(AS40="",TRUE,IF(input_audience="",FALSE,SUMPRODUCT(--ISNUMBER(SEARCH(","&amp;TRIM(TEXTSPLIT(AS40,","))&amp;",",","&amp;SUBSTITUTE(input_audience," ","")&amp;",")))=COUNTA(TEXTSPLIT(AS40,",")))),IF(AU40="",TRUE,IF(input_audience="",TRUE,SUMPRODUCT(--ISNUMBER(SEARCH(","&amp;TRIM(TEXTSPLIT(AU40,","))&amp;",",","&amp;SUBSTITUTE(input_audience," ","")&amp;",")))=0)),IF(AW40="",TRUE,IF(input_audience="",FALSE,SUMPRODUCT(--ISNUMBER(SEARCH(","&amp;TRIM(TEXTSPLIT(AW40,","))&amp;",",","&amp;SUBSTITUTE(input_audience," ","")&amp;",")))&gt;0)),IF(AY40="",TRUE,IF(input_audience="",FALSE,SUMPRODUCT(--ISNUMBER(SEARCH(","&amp;TRIM(TEXTSPLIT(AY40,","))&amp;",",","&amp;SUBSTITUTE(input_audience," ","")&amp;",")))=COUNTA(TEXTSPLIT(AY40,",")))))</f>
        <v/>
      </c>
      <c r="IX40">
        <f>AND(IF(BA40="",TRUE,IF(input_challenge_opportunities="",FALSE,SUMPRODUCT(--ISNUMBER(SEARCH(","&amp;TRIM(TEXTSPLIT(BA40,","))&amp;",",","&amp;SUBSTITUTE(input_challenge_opportunities," ","")&amp;",")))&gt;0)),IF(BC40="",TRUE,IF(input_challenge_opportunities="",FALSE,SUMPRODUCT(--ISNUMBER(SEARCH(","&amp;TRIM(TEXTSPLIT(BC40,","))&amp;",",","&amp;SUBSTITUTE(input_challenge_opportunities," ","")&amp;",")))=COUNTA(TEXTSPLIT(BC40,",")))),IF(BE40="",TRUE,IF(input_challenge_opportunities="",TRUE,SUMPRODUCT(--ISNUMBER(SEARCH(","&amp;TRIM(TEXTSPLIT(BE40,","))&amp;",",","&amp;SUBSTITUTE(input_challenge_opportunities," ","")&amp;",")))=0)),IF(BG40="",TRUE,IF(input_challenge_opportunities="",FALSE,SUMPRODUCT(--ISNUMBER(SEARCH(","&amp;TRIM(TEXTSPLIT(BG40,","))&amp;",",","&amp;SUBSTITUTE(input_challenge_opportunities," ","")&amp;",")))&gt;0)),IF(BI40="",TRUE,IF(input_challenge_opportunities="",FALSE,SUMPRODUCT(--ISNUMBER(SEARCH(","&amp;TRIM(TEXTSPLIT(BI40,","))&amp;",",","&amp;SUBSTITUTE(input_challenge_opportunities," ","")&amp;",")))=COUNTA(TEXTSPLIT(BI40,",")))))</f>
        <v/>
      </c>
      <c r="IY40">
        <f>AND(IF(BK40="",TRUE,IF(input_context="",FALSE,SUMPRODUCT(--ISNUMBER(SEARCH(","&amp;TRIM(TEXTSPLIT(BK40,","))&amp;",",","&amp;SUBSTITUTE(input_context," ","")&amp;",")))&gt;0)),IF(BM40="",TRUE,IF(input_context="",FALSE,SUMPRODUCT(--ISNUMBER(SEARCH(","&amp;TRIM(TEXTSPLIT(BM40,","))&amp;",",","&amp;SUBSTITUTE(input_context," ","")&amp;",")))=COUNTA(TEXTSPLIT(BM40,",")))),IF(BO40="",TRUE,IF(input_context="",TRUE,SUMPRODUCT(--ISNUMBER(SEARCH(","&amp;TRIM(TEXTSPLIT(BO40,","))&amp;",",","&amp;SUBSTITUTE(input_context," ","")&amp;",")))=0)),IF(BQ40="",TRUE,IF(input_context="",FALSE,SUMPRODUCT(--ISNUMBER(SEARCH(","&amp;TRIM(TEXTSPLIT(BQ40,","))&amp;",",","&amp;SUBSTITUTE(input_context," ","")&amp;",")))&gt;0)),IF(BS40="",TRUE,IF(input_context="",FALSE,SUMPRODUCT(--ISNUMBER(SEARCH(","&amp;TRIM(TEXTSPLIT(BS40,","))&amp;",",","&amp;SUBSTITUTE(input_context," ","")&amp;",")))=COUNTA(TEXTSPLIT(BS40,",")))))</f>
        <v/>
      </c>
      <c r="IZ40">
        <f>AND(IF(BU40="",TRUE,IF(input_enews_announcement_type="",FALSE,SUMPRODUCT(--ISNUMBER(SEARCH(","&amp;TRIM(TEXTSPLIT(BU40,","))&amp;",",","&amp;SUBSTITUTE(input_enews_announcement_type," ","")&amp;",")))&gt;0)),IF(BW40="",TRUE,IF(input_enews_announcement_type="",FALSE,SUMPRODUCT(--ISNUMBER(SEARCH(","&amp;TRIM(TEXTSPLIT(BW40,","))&amp;",",","&amp;SUBSTITUTE(input_enews_announcement_type," ","")&amp;",")))=COUNTA(TEXTSPLIT(BW40,",")))),IF(BY40="",TRUE,IF(input_enews_announcement_type="",TRUE,SUMPRODUCT(--ISNUMBER(SEARCH(","&amp;TRIM(TEXTSPLIT(BY40,","))&amp;",",","&amp;SUBSTITUTE(input_enews_announcement_type," ","")&amp;",")))=0)),IF(CA40="",TRUE,IF(input_enews_announcement_type="",FALSE,SUMPRODUCT(--ISNUMBER(SEARCH(","&amp;TRIM(TEXTSPLIT(CA40,","))&amp;",",","&amp;SUBSTITUTE(input_enews_announcement_type," ","")&amp;",")))&gt;0)),IF(CC40="",TRUE,IF(input_enews_announcement_type="",FALSE,SUMPRODUCT(--ISNUMBER(SEARCH(","&amp;TRIM(TEXTSPLIT(CC40,","))&amp;",",","&amp;SUBSTITUTE(input_enews_announcement_type," ","")&amp;",")))=COUNTA(TEXTSPLIT(CC40,",")))))</f>
        <v/>
      </c>
      <c r="JA40">
        <f>AND(IF(CE40="",TRUE,IF(input_enews_audience="",FALSE,SUMPRODUCT(--ISNUMBER(SEARCH(","&amp;TRIM(TEXTSPLIT(CE40,","))&amp;",",","&amp;SUBSTITUTE(input_enews_audience," ","")&amp;",")))&gt;0)),IF(CG40="",TRUE,IF(input_enews_audience="",FALSE,SUMPRODUCT(--ISNUMBER(SEARCH(","&amp;TRIM(TEXTSPLIT(CG40,","))&amp;",",","&amp;SUBSTITUTE(input_enews_audience," ","")&amp;",")))=COUNTA(TEXTSPLIT(CG40,",")))),IF(CI40="",TRUE,IF(input_enews_audience="",TRUE,SUMPRODUCT(--ISNUMBER(SEARCH(","&amp;TRIM(TEXTSPLIT(CI40,","))&amp;",",","&amp;SUBSTITUTE(input_enews_audience," ","")&amp;",")))=0)),IF(CK40="",TRUE,IF(input_enews_audience="",FALSE,SUMPRODUCT(--ISNUMBER(SEARCH(","&amp;TRIM(TEXTSPLIT(CK40,","))&amp;",",","&amp;SUBSTITUTE(input_enews_audience," ","")&amp;",")))&gt;0)),IF(CM40="",TRUE,IF(input_enews_audience="",FALSE,SUMPRODUCT(--ISNUMBER(SEARCH(","&amp;TRIM(TEXTSPLIT(CM40,","))&amp;",",","&amp;SUBSTITUTE(input_enews_audience," ","")&amp;",")))=COUNTA(TEXTSPLIT(CM40,",")))))</f>
        <v/>
      </c>
      <c r="JB40">
        <f>AND(IF(CO40="",TRUE,IF(input_event_location="",FALSE,SUMPRODUCT(--ISNUMBER(SEARCH(","&amp;TRIM(TEXTSPLIT(CO40,","))&amp;",",","&amp;SUBSTITUTE(input_event_location," ","")&amp;",")))&gt;0)),IF(CQ40="",TRUE,IF(input_event_location="",FALSE,SUMPRODUCT(--ISNUMBER(SEARCH(","&amp;TRIM(TEXTSPLIT(CQ40,","))&amp;",",","&amp;SUBSTITUTE(input_event_location," ","")&amp;",")))=COUNTA(TEXTSPLIT(CQ40,",")))),IF(CS40="",TRUE,IF(input_event_location="",TRUE,SUMPRODUCT(--ISNUMBER(SEARCH(","&amp;TRIM(TEXTSPLIT(CS40,","))&amp;",",","&amp;SUBSTITUTE(input_event_location," ","")&amp;",")))=0)),IF(CU40="",TRUE,IF(input_event_location="",FALSE,SUMPRODUCT(--ISNUMBER(SEARCH(","&amp;TRIM(TEXTSPLIT(CU40,","))&amp;",",","&amp;SUBSTITUTE(input_event_location," ","")&amp;",")))&gt;0)),IF(CW40="",TRUE,IF(input_event_location="",FALSE,SUMPRODUCT(--ISNUMBER(SEARCH(","&amp;TRIM(TEXTSPLIT(CW40,","))&amp;",",","&amp;SUBSTITUTE(input_event_location," ","")&amp;",")))=COUNTA(TEXTSPLIT(CW40,",")))))</f>
        <v/>
      </c>
      <c r="JC40">
        <f>AND(IF(CY40="",TRUE,IF(input_event_type="",FALSE,SUMPRODUCT(--ISNUMBER(SEARCH(","&amp;TRIM(TEXTSPLIT(CY40,","))&amp;",",","&amp;SUBSTITUTE(input_event_type," ","")&amp;",")))&gt;0)),IF(DA40="",TRUE,IF(input_event_type="",FALSE,SUMPRODUCT(--ISNUMBER(SEARCH(","&amp;TRIM(TEXTSPLIT(DA40,","))&amp;",",","&amp;SUBSTITUTE(input_event_type," ","")&amp;",")))=COUNTA(TEXTSPLIT(DA40,",")))),IF(DC40="",TRUE,IF(input_event_type="",TRUE,SUMPRODUCT(--ISNUMBER(SEARCH(","&amp;TRIM(TEXTSPLIT(DC40,","))&amp;",",","&amp;SUBSTITUTE(input_event_type," ","")&amp;",")))=0)),IF(DE40="",TRUE,IF(input_event_type="",FALSE,SUMPRODUCT(--ISNUMBER(SEARCH(","&amp;TRIM(TEXTSPLIT(DE40,","))&amp;",",","&amp;SUBSTITUTE(input_event_type," ","")&amp;",")))&gt;0)),IF(DG40="",TRUE,IF(input_event_type="",FALSE,SUMPRODUCT(--ISNUMBER(SEARCH(","&amp;TRIM(TEXTSPLIT(DG40,","))&amp;",",","&amp;SUBSTITUTE(input_event_type," ","")&amp;",")))=COUNTA(TEXTSPLIT(DG40,",")))))</f>
        <v/>
      </c>
      <c r="JD40">
        <f>AND(IF(DI40="",TRUE,IF(input_executive_education_focus="",FALSE,SUMPRODUCT(--ISNUMBER(SEARCH(","&amp;TRIM(TEXTSPLIT(DI40,","))&amp;",",","&amp;SUBSTITUTE(input_executive_education_focus," ","")&amp;",")))&gt;0)),IF(DK40="",TRUE,IF(input_executive_education_focus="",FALSE,SUMPRODUCT(--ISNUMBER(SEARCH(","&amp;TRIM(TEXTSPLIT(DK40,","))&amp;",",","&amp;SUBSTITUTE(input_executive_education_focus," ","")&amp;",")))=COUNTA(TEXTSPLIT(DK40,",")))),IF(DM40="",TRUE,IF(input_executive_education_focus="",TRUE,SUMPRODUCT(--ISNUMBER(SEARCH(","&amp;TRIM(TEXTSPLIT(DM40,","))&amp;",",","&amp;SUBSTITUTE(input_executive_education_focus," ","")&amp;",")))=0)),IF(DO40="",TRUE,IF(input_executive_education_focus="",FALSE,SUMPRODUCT(--ISNUMBER(SEARCH(","&amp;TRIM(TEXTSPLIT(DO40,","))&amp;",",","&amp;SUBSTITUTE(input_executive_education_focus," ","")&amp;",")))&gt;0)),IF(DQ40="",TRUE,IF(input_executive_education_focus="",FALSE,SUMPRODUCT(--ISNUMBER(SEARCH(","&amp;TRIM(TEXTSPLIT(DQ40,","))&amp;",",","&amp;SUBSTITUTE(input_executive_education_focus," ","")&amp;",")))=COUNTA(TEXTSPLIT(DQ40,",")))))</f>
        <v/>
      </c>
      <c r="JE40">
        <f>AND(IF(DS40="",TRUE,IF(input_faculty_category="",FALSE,SUMPRODUCT(--ISNUMBER(SEARCH(","&amp;TRIM(TEXTSPLIT(DS40,","))&amp;",",","&amp;SUBSTITUTE(input_faculty_category," ","")&amp;",")))&gt;0)),IF(DU40="",TRUE,IF(input_faculty_category="",FALSE,SUMPRODUCT(--ISNUMBER(SEARCH(","&amp;TRIM(TEXTSPLIT(DU40,","))&amp;",",","&amp;SUBSTITUTE(input_faculty_category," ","")&amp;",")))=COUNTA(TEXTSPLIT(DU40,",")))),IF(DW40="",TRUE,IF(input_faculty_category="",TRUE,SUMPRODUCT(--ISNUMBER(SEARCH(","&amp;TRIM(TEXTSPLIT(DW40,","))&amp;",",","&amp;SUBSTITUTE(input_faculty_category," ","")&amp;",")))=0)),IF(DY40="",TRUE,IF(input_faculty_category="",FALSE,SUMPRODUCT(--ISNUMBER(SEARCH(","&amp;TRIM(TEXTSPLIT(DY40,","))&amp;",",","&amp;SUBSTITUTE(input_faculty_category," ","")&amp;",")))&gt;0)),IF(EA40="",TRUE,IF(input_faculty_category="",FALSE,SUMPRODUCT(--ISNUMBER(SEARCH(","&amp;TRIM(TEXTSPLIT(EA40,","))&amp;",",","&amp;SUBSTITUTE(input_faculty_category," ","")&amp;",")))=COUNTA(TEXTSPLIT(EA40,",")))))</f>
        <v/>
      </c>
      <c r="JF40">
        <f>AND(IF(EC40="",TRUE,IF(input_faculty_discipline="",FALSE,SUMPRODUCT(--ISNUMBER(SEARCH(","&amp;TRIM(TEXTSPLIT(EC40,","))&amp;",",","&amp;SUBSTITUTE(input_faculty_discipline," ","")&amp;",")))&gt;0)),IF(EE40="",TRUE,IF(input_faculty_discipline="",FALSE,SUMPRODUCT(--ISNUMBER(SEARCH(","&amp;TRIM(TEXTSPLIT(EE40,","))&amp;",",","&amp;SUBSTITUTE(input_faculty_discipline," ","")&amp;",")))=COUNTA(TEXTSPLIT(EE40,",")))),IF(EG40="",TRUE,IF(input_faculty_discipline="",TRUE,SUMPRODUCT(--ISNUMBER(SEARCH(","&amp;TRIM(TEXTSPLIT(EG40,","))&amp;",",","&amp;SUBSTITUTE(input_faculty_discipline," ","")&amp;",")))=0)),IF(EI40="",TRUE,IF(input_faculty_discipline="",FALSE,SUMPRODUCT(--ISNUMBER(SEARCH(","&amp;TRIM(TEXTSPLIT(EI40,","))&amp;",",","&amp;SUBSTITUTE(input_faculty_discipline," ","")&amp;",")))&gt;0)),IF(EK40="",TRUE,IF(input_faculty_discipline="",FALSE,SUMPRODUCT(--ISNUMBER(SEARCH(","&amp;TRIM(TEXTSPLIT(EK40,","))&amp;",",","&amp;SUBSTITUTE(input_faculty_discipline," ","")&amp;",")))=COUNTA(TEXTSPLIT(EK40,",")))))</f>
        <v/>
      </c>
      <c r="JG40">
        <f>AND(IF(EM40="",TRUE,IF(input_faculty_expertise="",FALSE,SUMPRODUCT(--ISNUMBER(SEARCH(","&amp;TRIM(TEXTSPLIT(EM40,","))&amp;",",","&amp;SUBSTITUTE(input_faculty_expertise," ","")&amp;",")))&gt;0)),IF(EO40="",TRUE,IF(input_faculty_expertise="",FALSE,SUMPRODUCT(--ISNUMBER(SEARCH(","&amp;TRIM(TEXTSPLIT(EO40,","))&amp;",",","&amp;SUBSTITUTE(input_faculty_expertise," ","")&amp;",")))=COUNTA(TEXTSPLIT(EO40,",")))),IF(EQ40="",TRUE,IF(input_faculty_expertise="",TRUE,SUMPRODUCT(--ISNUMBER(SEARCH(","&amp;TRIM(TEXTSPLIT(EQ40,","))&amp;",",","&amp;SUBSTITUTE(input_faculty_expertise," ","")&amp;",")))=0)),IF(ES40="",TRUE,IF(input_faculty_expertise="",FALSE,SUMPRODUCT(--ISNUMBER(SEARCH(","&amp;TRIM(TEXTSPLIT(ES40,","))&amp;",",","&amp;SUBSTITUTE(input_faculty_expertise," ","")&amp;",")))&gt;0)),IF(EU40="",TRUE,IF(input_faculty_expertise="",FALSE,SUMPRODUCT(--ISNUMBER(SEARCH(","&amp;TRIM(TEXTSPLIT(EU40,","))&amp;",",","&amp;SUBSTITUTE(input_faculty_expertise," ","")&amp;",")))=COUNTA(TEXTSPLIT(EU40,",")))))</f>
        <v/>
      </c>
      <c r="JH40">
        <f>AND(IF(EW40="",TRUE,IF(input_global_network_school="",FALSE,SUMPRODUCT(--ISNUMBER(SEARCH(","&amp;TRIM(TEXTSPLIT(EW40,","))&amp;",",","&amp;SUBSTITUTE(input_global_network_school," ","")&amp;",")))&gt;0)),IF(EY40="",TRUE,IF(input_global_network_school="",FALSE,SUMPRODUCT(--ISNUMBER(SEARCH(","&amp;TRIM(TEXTSPLIT(EY40,","))&amp;",",","&amp;SUBSTITUTE(input_global_network_school," ","")&amp;",")))=COUNTA(TEXTSPLIT(EY40,",")))),IF(FA40="",TRUE,IF(input_global_network_school="",TRUE,SUMPRODUCT(--ISNUMBER(SEARCH(","&amp;TRIM(TEXTSPLIT(FA40,","))&amp;",",","&amp;SUBSTITUTE(input_global_network_school," ","")&amp;",")))=0)),IF(FC40="",TRUE,IF(input_global_network_school="",FALSE,SUMPRODUCT(--ISNUMBER(SEARCH(","&amp;TRIM(TEXTSPLIT(FC40,","))&amp;",",","&amp;SUBSTITUTE(input_global_network_school," ","")&amp;",")))&gt;0)),IF(FE40="",TRUE,IF(input_global_network_school="",FALSE,SUMPRODUCT(--ISNUMBER(SEARCH(","&amp;TRIM(TEXTSPLIT(FE40,","))&amp;",",","&amp;SUBSTITUTE(input_global_network_school," ","")&amp;",")))=COUNTA(TEXTSPLIT(FE40,",")))))</f>
        <v/>
      </c>
      <c r="JI40">
        <f>AND(IF(FG40="",TRUE,IF(input_industry="",FALSE,SUMPRODUCT(--ISNUMBER(SEARCH(","&amp;TRIM(TEXTSPLIT(FG40,","))&amp;",",","&amp;SUBSTITUTE(input_industry," ","")&amp;",")))&gt;0)),IF(FI40="",TRUE,IF(input_industry="",FALSE,SUMPRODUCT(--ISNUMBER(SEARCH(","&amp;TRIM(TEXTSPLIT(FI40,","))&amp;",",","&amp;SUBSTITUTE(input_industry," ","")&amp;",")))=COUNTA(TEXTSPLIT(FI40,",")))),IF(FK40="",TRUE,IF(input_industry="",TRUE,SUMPRODUCT(--ISNUMBER(SEARCH(","&amp;TRIM(TEXTSPLIT(FK40,","))&amp;",",","&amp;SUBSTITUTE(input_industry," ","")&amp;",")))=0)),IF(FM40="",TRUE,IF(input_industry="",FALSE,SUMPRODUCT(--ISNUMBER(SEARCH(","&amp;TRIM(TEXTSPLIT(FM40,","))&amp;",",","&amp;SUBSTITUTE(input_industry," ","")&amp;",")))&gt;0)),IF(FO40="",TRUE,IF(input_industry="",FALSE,SUMPRODUCT(--ISNUMBER(SEARCH(","&amp;TRIM(TEXTSPLIT(FO40,","))&amp;",",","&amp;SUBSTITUTE(input_industry," ","")&amp;",")))=COUNTA(TEXTSPLIT(FO40,",")))))</f>
        <v/>
      </c>
      <c r="JJ40">
        <f>AND(IF(FQ40="",TRUE,IF(input_location="",FALSE,SUMPRODUCT(--ISNUMBER(SEARCH(","&amp;TRIM(TEXTSPLIT(FQ40,","))&amp;",",","&amp;SUBSTITUTE(input_location," ","")&amp;",")))&gt;0)),IF(FS40="",TRUE,IF(input_location="",FALSE,SUMPRODUCT(--ISNUMBER(SEARCH(","&amp;TRIM(TEXTSPLIT(FS40,","))&amp;",",","&amp;SUBSTITUTE(input_location," ","")&amp;",")))=COUNTA(TEXTSPLIT(FS40,",")))),IF(FU40="",TRUE,IF(input_location="",TRUE,SUMPRODUCT(--ISNUMBER(SEARCH(","&amp;TRIM(TEXTSPLIT(FU40,","))&amp;",",","&amp;SUBSTITUTE(input_location," ","")&amp;",")))=0)),IF(FW40="",TRUE,IF(input_location="",FALSE,SUMPRODUCT(--ISNUMBER(SEARCH(","&amp;TRIM(TEXTSPLIT(FW40,","))&amp;",",","&amp;SUBSTITUTE(input_location," ","")&amp;",")))&gt;0)),IF(FY40="",TRUE,IF(input_location="",FALSE,SUMPRODUCT(--ISNUMBER(SEARCH(","&amp;TRIM(TEXTSPLIT(FY40,","))&amp;",",","&amp;SUBSTITUTE(input_location," ","")&amp;",")))=COUNTA(TEXTSPLIT(FY40,",")))))</f>
        <v/>
      </c>
      <c r="JK40">
        <f>AND(IF(GA40="",TRUE,IF(input_modality="",FALSE,SUMPRODUCT(--ISNUMBER(SEARCH(","&amp;TRIM(TEXTSPLIT(GA40,","))&amp;",",","&amp;SUBSTITUTE(input_modality," ","")&amp;",")))&gt;0)),IF(GC40="",TRUE,IF(input_modality="",FALSE,SUMPRODUCT(--ISNUMBER(SEARCH(","&amp;TRIM(TEXTSPLIT(GC40,","))&amp;",",","&amp;SUBSTITUTE(input_modality," ","")&amp;",")))=COUNTA(TEXTSPLIT(GC40,",")))),IF(GE40="",TRUE,IF(input_modality="",TRUE,SUMPRODUCT(--ISNUMBER(SEARCH(","&amp;TRIM(TEXTSPLIT(GE40,","))&amp;",",","&amp;SUBSTITUTE(input_modality," ","")&amp;",")))=0)),IF(GG40="",TRUE,IF(input_modality="",FALSE,SUMPRODUCT(--ISNUMBER(SEARCH(","&amp;TRIM(TEXTSPLIT(GG40,","))&amp;",",","&amp;SUBSTITUTE(input_modality," ","")&amp;",")))&gt;0)),IF(GI40="",TRUE,IF(input_modality="",FALSE,SUMPRODUCT(--ISNUMBER(SEARCH(","&amp;TRIM(TEXTSPLIT(GI40,","))&amp;",",","&amp;SUBSTITUTE(input_modality," ","")&amp;",")))=COUNTA(TEXTSPLIT(GI40,",")))))</f>
        <v/>
      </c>
      <c r="JL40">
        <f>AND(IF(GK40="",TRUE,IF(input_organizer="",FALSE,SUMPRODUCT(--ISNUMBER(SEARCH(","&amp;TRIM(TEXTSPLIT(GK40,","))&amp;",",","&amp;SUBSTITUTE(input_organizer," ","")&amp;",")))&gt;0)),IF(GM40="",TRUE,IF(input_organizer="",FALSE,SUMPRODUCT(--ISNUMBER(SEARCH(","&amp;TRIM(TEXTSPLIT(GM40,","))&amp;",",","&amp;SUBSTITUTE(input_organizer," ","")&amp;",")))=COUNTA(TEXTSPLIT(GM40,",")))),IF(GO40="",TRUE,IF(input_organizer="",TRUE,SUMPRODUCT(--ISNUMBER(SEARCH(","&amp;TRIM(TEXTSPLIT(GO40,","))&amp;",",","&amp;SUBSTITUTE(input_organizer," ","")&amp;",")))=0)),IF(GQ40="",TRUE,IF(input_organizer="",FALSE,SUMPRODUCT(--ISNUMBER(SEARCH(","&amp;TRIM(TEXTSPLIT(GQ40,","))&amp;",",","&amp;SUBSTITUTE(input_organizer," ","")&amp;",")))&gt;0)),IF(GS40="",TRUE,IF(input_organizer="",FALSE,SUMPRODUCT(--ISNUMBER(SEARCH(","&amp;TRIM(TEXTSPLIT(GS40,","))&amp;",",","&amp;SUBSTITUTE(input_organizer," ","")&amp;",")))=COUNTA(TEXTSPLIT(GS40,",")))))</f>
        <v/>
      </c>
      <c r="JM40">
        <f>AND(IF(GU40="",TRUE,IF(input_profile_type="",FALSE,SUMPRODUCT(--ISNUMBER(SEARCH(","&amp;TRIM(TEXTSPLIT(GU40,","))&amp;",",","&amp;SUBSTITUTE(input_profile_type," ","")&amp;",")))&gt;0)),IF(GW40="",TRUE,IF(input_profile_type="",FALSE,SUMPRODUCT(--ISNUMBER(SEARCH(","&amp;TRIM(TEXTSPLIT(GW40,","))&amp;",",","&amp;SUBSTITUTE(input_profile_type," ","")&amp;",")))=COUNTA(TEXTSPLIT(GW40,",")))),IF(GY40="",TRUE,IF(input_profile_type="",TRUE,SUMPRODUCT(--ISNUMBER(SEARCH(","&amp;TRIM(TEXTSPLIT(GY40,","))&amp;",",","&amp;SUBSTITUTE(input_profile_type," ","")&amp;",")))=0)),IF(HA40="",TRUE,IF(input_profile_type="",FALSE,SUMPRODUCT(--ISNUMBER(SEARCH(","&amp;TRIM(TEXTSPLIT(HA40,","))&amp;",",","&amp;SUBSTITUTE(input_profile_type," ","")&amp;",")))&gt;0)),IF(HC40="",TRUE,IF(input_profile_type="",FALSE,SUMPRODUCT(--ISNUMBER(SEARCH(","&amp;TRIM(TEXTSPLIT(HC40,","))&amp;",",","&amp;SUBSTITUTE(input_profile_type," ","")&amp;",")))=COUNTA(TEXTSPLIT(HC40,",")))))</f>
        <v/>
      </c>
      <c r="JN40">
        <f>AND(IF(HE40="",TRUE,IF(input_program="",FALSE,SUMPRODUCT(--ISNUMBER(SEARCH(","&amp;TRIM(TEXTSPLIT(HE40,","))&amp;",",","&amp;SUBSTITUTE(input_program," ","")&amp;",")))&gt;0)),IF(HG40="",TRUE,IF(input_program="",FALSE,SUMPRODUCT(--ISNUMBER(SEARCH(","&amp;TRIM(TEXTSPLIT(HG40,","))&amp;",",","&amp;SUBSTITUTE(input_program," ","")&amp;",")))=COUNTA(TEXTSPLIT(HG40,",")))),IF(HI40="",TRUE,IF(input_program="",TRUE,SUMPRODUCT(--ISNUMBER(SEARCH(","&amp;TRIM(TEXTSPLIT(HI40,","))&amp;",",","&amp;SUBSTITUTE(input_program," ","")&amp;",")))=0)),IF(HK40="",TRUE,IF(input_program="",FALSE,SUMPRODUCT(--ISNUMBER(SEARCH(","&amp;TRIM(TEXTSPLIT(HK40,","))&amp;",",","&amp;SUBSTITUTE(input_program," ","")&amp;",")))&gt;0)),IF(HM40="",TRUE,IF(input_program="",FALSE,SUMPRODUCT(--ISNUMBER(SEARCH(","&amp;TRIM(TEXTSPLIT(HM40,","))&amp;",",","&amp;SUBSTITUTE(input_program," ","")&amp;",")))=COUNTA(TEXTSPLIT(HM40,",")))))</f>
        <v/>
      </c>
      <c r="JO40">
        <f>AND(IF(HO40="",TRUE,IF(input_story_categories="",FALSE,SUMPRODUCT(--ISNUMBER(SEARCH(","&amp;TRIM(TEXTSPLIT(HO40,","))&amp;",",","&amp;SUBSTITUTE(input_story_categories," ","")&amp;",")))&gt;0)),IF(HQ40="",TRUE,IF(input_story_categories="",FALSE,SUMPRODUCT(--ISNUMBER(SEARCH(","&amp;TRIM(TEXTSPLIT(HQ40,","))&amp;",",","&amp;SUBSTITUTE(input_story_categories," ","")&amp;",")))=COUNTA(TEXTSPLIT(HQ40,",")))),IF(HS40="",TRUE,IF(input_story_categories="",TRUE,SUMPRODUCT(--ISNUMBER(SEARCH(","&amp;TRIM(TEXTSPLIT(HS40,","))&amp;",",","&amp;SUBSTITUTE(input_story_categories," ","")&amp;",")))=0)),IF(HU40="",TRUE,IF(input_story_categories="",FALSE,SUMPRODUCT(--ISNUMBER(SEARCH(","&amp;TRIM(TEXTSPLIT(HU40,","))&amp;",",","&amp;SUBSTITUTE(input_story_categories," ","")&amp;",")))&gt;0)),IF(HW40="",TRUE,IF(input_story_categories="",FALSE,SUMPRODUCT(--ISNUMBER(SEARCH(","&amp;TRIM(TEXTSPLIT(HW40,","))&amp;",",","&amp;SUBSTITUTE(input_story_categories," ","")&amp;",")))=COUNTA(TEXTSPLIT(HW40,",")))))</f>
        <v/>
      </c>
      <c r="JP40">
        <f>AND(IF(HY40="",TRUE,IF(input_story_type="",FALSE,SUMPRODUCT(--ISNUMBER(SEARCH(","&amp;TRIM(TEXTSPLIT(HY40,","))&amp;",",","&amp;SUBSTITUTE(input_story_type," ","")&amp;",")))&gt;0)),IF(IA40="",TRUE,IF(input_story_type="",FALSE,SUMPRODUCT(--ISNUMBER(SEARCH(","&amp;TRIM(TEXTSPLIT(IA40,","))&amp;",",","&amp;SUBSTITUTE(input_story_type," ","")&amp;",")))=COUNTA(TEXTSPLIT(IA40,",")))),IF(IC40="",TRUE,IF(input_story_type="",TRUE,SUMPRODUCT(--ISNUMBER(SEARCH(","&amp;TRIM(TEXTSPLIT(IC40,","))&amp;",",","&amp;SUBSTITUTE(input_story_type," ","")&amp;",")))=0)),IF(IE40="",TRUE,IF(input_story_type="",FALSE,SUMPRODUCT(--ISNUMBER(SEARCH(","&amp;TRIM(TEXTSPLIT(IE40,","))&amp;",",","&amp;SUBSTITUTE(input_story_type," ","")&amp;",")))&gt;0)),IF(IG40="",TRUE,IF(input_story_type="",FALSE,SUMPRODUCT(--ISNUMBER(SEARCH(","&amp;TRIM(TEXTSPLIT(IG40,","))&amp;",",","&amp;SUBSTITUTE(input_story_type," ","")&amp;",")))=COUNTA(TEXTSPLIT(IG40,",")))))</f>
        <v/>
      </c>
      <c r="JQ40">
        <f>AND(IF(II40="",TRUE,IF(input_topics="",FALSE,SUMPRODUCT(--ISNUMBER(SEARCH(","&amp;TRIM(TEXTSPLIT(II40,","))&amp;",",","&amp;SUBSTITUTE(input_topics," ","")&amp;",")))&gt;0)),IF(IK40="",TRUE,IF(input_topics="",FALSE,SUMPRODUCT(--ISNUMBER(SEARCH(","&amp;TRIM(TEXTSPLIT(IK40,","))&amp;",",","&amp;SUBSTITUTE(input_topics," ","")&amp;",")))=COUNTA(TEXTSPLIT(IK40,",")))),IF(IM40="",TRUE,IF(input_topics="",TRUE,SUMPRODUCT(--ISNUMBER(SEARCH(","&amp;TRIM(TEXTSPLIT(IM40,","))&amp;",",","&amp;SUBSTITUTE(input_topics," ","")&amp;",")))=0)),IF(IO40="",TRUE,IF(input_topics="",FALSE,SUMPRODUCT(--ISNUMBER(SEARCH(","&amp;TRIM(TEXTSPLIT(IO40,","))&amp;",",","&amp;SUBSTITUTE(input_topics," ","")&amp;",")))&gt;0)),IF(IQ40="",TRUE,IF(input_topics="",FALSE,SUMPRODUCT(--ISNUMBER(SEARCH(","&amp;TRIM(TEXTSPLIT(IQ40,","))&amp;",",","&amp;SUBSTITUTE(input_topics," ","")&amp;",")))=COUNTA(TEXTSPLIT(IQ40,",")))))</f>
        <v/>
      </c>
    </row>
    <row r="41">
      <c r="A41" s="4">
        <f>IF(NOT(IS41),"Excluded",IF(AND(IT41,IU41,IV41,IW41,IX41,IY41,IZ41,JA41,JB41,JC41,JD41,JE41,JF41,JG41,JH41,JI41,JJ41,JK41,JL41,JM41,JN41,JO41,JP41,JQ41),IF(I41&gt;0,"Eligible but limited","Will appear"),"Excluded"))</f>
        <v/>
      </c>
      <c r="B41" s="4" t="inlineStr">
        <is>
          <t>All Publications by Author</t>
        </is>
      </c>
      <c r="C41" s="4" t="inlineStr">
        <is>
          <t>/faculty-research/faculty-directory/laura-adler</t>
        </is>
      </c>
      <c r="D41" s="4" t="inlineStr">
        <is>
          <t>/faculty-research/faculty-directory/laura-adler</t>
        </is>
      </c>
      <c r="E41" s="4" t="n">
        <v>1</v>
      </c>
      <c r="F41" s="4" t="inlineStr">
        <is>
          <t>publications</t>
        </is>
      </c>
      <c r="G41" s="4" t="inlineStr">
        <is>
          <t>publication_teaser_list</t>
        </is>
      </c>
      <c r="H41" s="4" t="inlineStr">
        <is>
          <t>publication_teaser_list_all_by_author</t>
        </is>
      </c>
      <c r="I41" s="4" t="inlineStr"/>
      <c r="J41" s="4" t="inlineStr">
        <is>
          <t>View/config rules</t>
        </is>
      </c>
      <c r="K41" s="4" t="inlineStr">
        <is>
          <t>Page placement</t>
        </is>
      </c>
      <c r="L41" s="4" t="inlineStr">
        <is>
          <t>Content type: publications; Source: View/config rules</t>
        </is>
      </c>
      <c r="M41" t="inlineStr"/>
      <c r="N41" t="inlineStr"/>
      <c r="O41" t="inlineStr"/>
      <c r="P41" t="inlineStr"/>
      <c r="Q41" t="inlineStr"/>
      <c r="R41" t="inlineStr"/>
      <c r="S41" t="inlineStr"/>
      <c r="T41" t="inlineStr"/>
      <c r="U41" t="inlineStr"/>
      <c r="V41" t="inlineStr"/>
      <c r="W41" t="inlineStr"/>
      <c r="X41" t="inlineStr"/>
      <c r="Y41" t="inlineStr"/>
      <c r="Z41" t="inlineStr"/>
      <c r="AA41" t="inlineStr"/>
      <c r="AB41" t="inlineStr"/>
      <c r="AC41" t="inlineStr"/>
      <c r="AD41" t="inlineStr"/>
      <c r="AE41" t="inlineStr"/>
      <c r="AF41" t="inlineStr"/>
      <c r="AG41" t="inlineStr"/>
      <c r="AH41" t="inlineStr"/>
      <c r="AI41" t="inlineStr"/>
      <c r="AJ41" t="inlineStr"/>
      <c r="AK41" t="inlineStr"/>
      <c r="AL41" t="inlineStr"/>
      <c r="AM41" t="inlineStr"/>
      <c r="AN41" t="inlineStr"/>
      <c r="AO41" t="inlineStr"/>
      <c r="AP41" t="inlineStr"/>
      <c r="AQ41" t="inlineStr"/>
      <c r="AR41" t="inlineStr"/>
      <c r="AS41" t="inlineStr"/>
      <c r="AT41" t="inlineStr"/>
      <c r="AU41" t="inlineStr"/>
      <c r="AV41" t="inlineStr"/>
      <c r="AW41" t="inlineStr"/>
      <c r="AX41" t="inlineStr"/>
      <c r="AY41" t="inlineStr"/>
      <c r="AZ41" t="inlineStr"/>
      <c r="BA41" t="inlineStr"/>
      <c r="BB41" t="inlineStr"/>
      <c r="BC41" t="inlineStr"/>
      <c r="BD41" t="inlineStr"/>
      <c r="BE41" t="inlineStr"/>
      <c r="BF41" t="inlineStr"/>
      <c r="BG41" t="inlineStr"/>
      <c r="BH41" t="inlineStr"/>
      <c r="BI41" t="inlineStr"/>
      <c r="BJ41" t="inlineStr"/>
      <c r="BK41" t="inlineStr"/>
      <c r="BL41" t="inlineStr"/>
      <c r="BM41" t="inlineStr"/>
      <c r="BN41" t="inlineStr"/>
      <c r="BO41" t="inlineStr"/>
      <c r="BP41" t="inlineStr"/>
      <c r="BQ41" t="inlineStr"/>
      <c r="BR41" t="inlineStr"/>
      <c r="BS41" t="inlineStr"/>
      <c r="BT41" t="inlineStr"/>
      <c r="BU41" t="inlineStr"/>
      <c r="BV41" t="inlineStr"/>
      <c r="BW41" t="inlineStr"/>
      <c r="BX41" t="inlineStr"/>
      <c r="BY41" t="inlineStr"/>
      <c r="BZ41" t="inlineStr"/>
      <c r="CA41" t="inlineStr"/>
      <c r="CB41" t="inlineStr"/>
      <c r="CC41" t="inlineStr"/>
      <c r="CD41" t="inlineStr"/>
      <c r="CE41" t="inlineStr"/>
      <c r="CF41" t="inlineStr"/>
      <c r="CG41" t="inlineStr"/>
      <c r="CH41" t="inlineStr"/>
      <c r="CI41" t="inlineStr"/>
      <c r="CJ41" t="inlineStr"/>
      <c r="CK41" t="inlineStr"/>
      <c r="CL41" t="inlineStr"/>
      <c r="CM41" t="inlineStr"/>
      <c r="CN41" t="inlineStr"/>
      <c r="CO41" t="inlineStr"/>
      <c r="CP41" t="inlineStr"/>
      <c r="CQ41" t="inlineStr"/>
      <c r="CR41" t="inlineStr"/>
      <c r="CS41" t="inlineStr"/>
      <c r="CT41" t="inlineStr"/>
      <c r="CU41" t="inlineStr"/>
      <c r="CV41" t="inlineStr"/>
      <c r="CW41" t="inlineStr"/>
      <c r="CX41" t="inlineStr"/>
      <c r="CY41" t="inlineStr"/>
      <c r="CZ41" t="inlineStr"/>
      <c r="DA41" t="inlineStr"/>
      <c r="DB41" t="inlineStr"/>
      <c r="DC41" t="inlineStr"/>
      <c r="DD41" t="inlineStr"/>
      <c r="DE41" t="inlineStr"/>
      <c r="DF41" t="inlineStr"/>
      <c r="DG41" t="inlineStr"/>
      <c r="DH41" t="inlineStr"/>
      <c r="DI41" t="inlineStr"/>
      <c r="DJ41" t="inlineStr"/>
      <c r="DK41" t="inlineStr"/>
      <c r="DL41" t="inlineStr"/>
      <c r="DM41" t="inlineStr"/>
      <c r="DN41" t="inlineStr"/>
      <c r="DO41" t="inlineStr"/>
      <c r="DP41" t="inlineStr"/>
      <c r="DQ41" t="inlineStr"/>
      <c r="DR41" t="inlineStr"/>
      <c r="DS41" t="inlineStr"/>
      <c r="DT41" t="inlineStr"/>
      <c r="DU41" t="inlineStr"/>
      <c r="DV41" t="inlineStr"/>
      <c r="DW41" t="inlineStr"/>
      <c r="DX41" t="inlineStr"/>
      <c r="DY41" t="inlineStr"/>
      <c r="DZ41" t="inlineStr"/>
      <c r="EA41" t="inlineStr"/>
      <c r="EB41" t="inlineStr"/>
      <c r="EC41" t="inlineStr"/>
      <c r="ED41" t="inlineStr"/>
      <c r="EE41" t="inlineStr"/>
      <c r="EF41" t="inlineStr"/>
      <c r="EG41" t="inlineStr"/>
      <c r="EH41" t="inlineStr"/>
      <c r="EI41" t="inlineStr"/>
      <c r="EJ41" t="inlineStr"/>
      <c r="EK41" t="inlineStr"/>
      <c r="EL41" t="inlineStr"/>
      <c r="EM41" t="inlineStr"/>
      <c r="EN41" t="inlineStr"/>
      <c r="EO41" t="inlineStr"/>
      <c r="EP41" t="inlineStr"/>
      <c r="EQ41" t="inlineStr"/>
      <c r="ER41" t="inlineStr"/>
      <c r="ES41" t="inlineStr"/>
      <c r="ET41" t="inlineStr"/>
      <c r="EU41" t="inlineStr"/>
      <c r="EV41" t="inlineStr"/>
      <c r="EW41" t="inlineStr"/>
      <c r="EX41" t="inlineStr"/>
      <c r="EY41" t="inlineStr"/>
      <c r="EZ41" t="inlineStr"/>
      <c r="FA41" t="inlineStr"/>
      <c r="FB41" t="inlineStr"/>
      <c r="FC41" t="inlineStr"/>
      <c r="FD41" t="inlineStr"/>
      <c r="FE41" t="inlineStr"/>
      <c r="FF41" t="inlineStr"/>
      <c r="FG41" t="inlineStr"/>
      <c r="FH41" t="inlineStr"/>
      <c r="FI41" t="inlineStr"/>
      <c r="FJ41" t="inlineStr"/>
      <c r="FK41" t="inlineStr"/>
      <c r="FL41" t="inlineStr"/>
      <c r="FM41" t="inlineStr"/>
      <c r="FN41" t="inlineStr"/>
      <c r="FO41" t="inlineStr"/>
      <c r="FP41" t="inlineStr"/>
      <c r="FQ41" t="inlineStr"/>
      <c r="FR41" t="inlineStr"/>
      <c r="FS41" t="inlineStr"/>
      <c r="FT41" t="inlineStr"/>
      <c r="FU41" t="inlineStr"/>
      <c r="FV41" t="inlineStr"/>
      <c r="FW41" t="inlineStr"/>
      <c r="FX41" t="inlineStr"/>
      <c r="FY41" t="inlineStr"/>
      <c r="FZ41" t="inlineStr"/>
      <c r="GA41" t="inlineStr"/>
      <c r="GB41" t="inlineStr"/>
      <c r="GC41" t="inlineStr"/>
      <c r="GD41" t="inlineStr"/>
      <c r="GE41" t="inlineStr"/>
      <c r="GF41" t="inlineStr"/>
      <c r="GG41" t="inlineStr"/>
      <c r="GH41" t="inlineStr"/>
      <c r="GI41" t="inlineStr"/>
      <c r="GJ41" t="inlineStr"/>
      <c r="GK41" t="inlineStr"/>
      <c r="GL41" t="inlineStr"/>
      <c r="GM41" t="inlineStr"/>
      <c r="GN41" t="inlineStr"/>
      <c r="GO41" t="inlineStr"/>
      <c r="GP41" t="inlineStr"/>
      <c r="GQ41" t="inlineStr"/>
      <c r="GR41" t="inlineStr"/>
      <c r="GS41" t="inlineStr"/>
      <c r="GT41" t="inlineStr"/>
      <c r="GU41" t="inlineStr"/>
      <c r="GV41" t="inlineStr"/>
      <c r="GW41" t="inlineStr"/>
      <c r="GX41" t="inlineStr"/>
      <c r="GY41" t="inlineStr"/>
      <c r="GZ41" t="inlineStr"/>
      <c r="HA41" t="inlineStr"/>
      <c r="HB41" t="inlineStr"/>
      <c r="HC41" t="inlineStr"/>
      <c r="HD41" t="inlineStr"/>
      <c r="HE41" t="inlineStr"/>
      <c r="HF41" t="inlineStr"/>
      <c r="HG41" t="inlineStr"/>
      <c r="HH41" t="inlineStr"/>
      <c r="HI41" t="inlineStr"/>
      <c r="HJ41" t="inlineStr"/>
      <c r="HK41" t="inlineStr"/>
      <c r="HL41" t="inlineStr"/>
      <c r="HM41" t="inlineStr"/>
      <c r="HN41" t="inlineStr"/>
      <c r="HO41" t="inlineStr"/>
      <c r="HP41" t="inlineStr"/>
      <c r="HQ41" t="inlineStr"/>
      <c r="HR41" t="inlineStr"/>
      <c r="HS41" t="inlineStr"/>
      <c r="HT41" t="inlineStr"/>
      <c r="HU41" t="inlineStr"/>
      <c r="HV41" t="inlineStr"/>
      <c r="HW41" t="inlineStr"/>
      <c r="HX41" t="inlineStr"/>
      <c r="HY41" t="inlineStr"/>
      <c r="HZ41" t="inlineStr"/>
      <c r="IA41" t="inlineStr"/>
      <c r="IB41" t="inlineStr"/>
      <c r="IC41" t="inlineStr"/>
      <c r="ID41" t="inlineStr"/>
      <c r="IE41" t="inlineStr"/>
      <c r="IF41" t="inlineStr"/>
      <c r="IG41" t="inlineStr"/>
      <c r="IH41" t="inlineStr"/>
      <c r="II41" t="inlineStr"/>
      <c r="IJ41" t="inlineStr"/>
      <c r="IK41" t="inlineStr"/>
      <c r="IL41" t="inlineStr"/>
      <c r="IM41" t="inlineStr"/>
      <c r="IN41" t="inlineStr"/>
      <c r="IO41" t="inlineStr"/>
      <c r="IP41" t="inlineStr"/>
      <c r="IQ41" t="inlineStr"/>
      <c r="IR41" t="inlineStr"/>
      <c r="IS41">
        <f>IF(input_content_type="",FALSE,ISNUMBER(SEARCH(","&amp;LOWER(input_content_type)&amp;",",","&amp;LOWER(F41)&amp;",")))</f>
        <v/>
      </c>
      <c r="IT41">
        <f>AND(IF(M41="",TRUE,IF(input_affiliations="",FALSE,SUMPRODUCT(--ISNUMBER(SEARCH(","&amp;TRIM(TEXTSPLIT(M41,","))&amp;",",","&amp;SUBSTITUTE(input_affiliations," ","")&amp;",")))&gt;0)),IF(O41="",TRUE,IF(input_affiliations="",FALSE,SUMPRODUCT(--ISNUMBER(SEARCH(","&amp;TRIM(TEXTSPLIT(O41,","))&amp;",",","&amp;SUBSTITUTE(input_affiliations," ","")&amp;",")))=COUNTA(TEXTSPLIT(O41,",")))),IF(Q41="",TRUE,IF(input_affiliations="",TRUE,SUMPRODUCT(--ISNUMBER(SEARCH(","&amp;TRIM(TEXTSPLIT(Q41,","))&amp;",",","&amp;SUBSTITUTE(input_affiliations," ","")&amp;",")))=0)),IF(S41="",TRUE,IF(input_affiliations="",FALSE,SUMPRODUCT(--ISNUMBER(SEARCH(","&amp;TRIM(TEXTSPLIT(S41,","))&amp;",",","&amp;SUBSTITUTE(input_affiliations," ","")&amp;",")))&gt;0)),IF(U41="",TRUE,IF(input_affiliations="",FALSE,SUMPRODUCT(--ISNUMBER(SEARCH(","&amp;TRIM(TEXTSPLIT(U41,","))&amp;",",","&amp;SUBSTITUTE(input_affiliations," ","")&amp;",")))=COUNTA(TEXTSPLIT(U41,",")))))</f>
        <v/>
      </c>
      <c r="IU41">
        <f>AND(IF(W41="",TRUE,IF(input_announcement_category="",FALSE,SUMPRODUCT(--ISNUMBER(SEARCH(","&amp;TRIM(TEXTSPLIT(W41,","))&amp;",",","&amp;SUBSTITUTE(input_announcement_category," ","")&amp;",")))&gt;0)),IF(Y41="",TRUE,IF(input_announcement_category="",FALSE,SUMPRODUCT(--ISNUMBER(SEARCH(","&amp;TRIM(TEXTSPLIT(Y41,","))&amp;",",","&amp;SUBSTITUTE(input_announcement_category," ","")&amp;",")))=COUNTA(TEXTSPLIT(Y41,",")))),IF(AA41="",TRUE,IF(input_announcement_category="",TRUE,SUMPRODUCT(--ISNUMBER(SEARCH(","&amp;TRIM(TEXTSPLIT(AA41,","))&amp;",",","&amp;SUBSTITUTE(input_announcement_category," ","")&amp;",")))=0)),IF(AC41="",TRUE,IF(input_announcement_category="",FALSE,SUMPRODUCT(--ISNUMBER(SEARCH(","&amp;TRIM(TEXTSPLIT(AC41,","))&amp;",",","&amp;SUBSTITUTE(input_announcement_category," ","")&amp;",")))&gt;0)),IF(AE41="",TRUE,IF(input_announcement_category="",FALSE,SUMPRODUCT(--ISNUMBER(SEARCH(","&amp;TRIM(TEXTSPLIT(AE41,","))&amp;",",","&amp;SUBSTITUTE(input_announcement_category," ","")&amp;",")))=COUNTA(TEXTSPLIT(AE41,",")))))</f>
        <v/>
      </c>
      <c r="IV41">
        <f>AND(IF(AG41="",TRUE,IF(input_area_of_focus="",FALSE,SUMPRODUCT(--ISNUMBER(SEARCH(","&amp;TRIM(TEXTSPLIT(AG41,","))&amp;",",","&amp;SUBSTITUTE(input_area_of_focus," ","")&amp;",")))&gt;0)),IF(AI41="",TRUE,IF(input_area_of_focus="",FALSE,SUMPRODUCT(--ISNUMBER(SEARCH(","&amp;TRIM(TEXTSPLIT(AI41,","))&amp;",",","&amp;SUBSTITUTE(input_area_of_focus," ","")&amp;",")))=COUNTA(TEXTSPLIT(AI41,",")))),IF(AK41="",TRUE,IF(input_area_of_focus="",TRUE,SUMPRODUCT(--ISNUMBER(SEARCH(","&amp;TRIM(TEXTSPLIT(AK41,","))&amp;",",","&amp;SUBSTITUTE(input_area_of_focus," ","")&amp;",")))=0)),IF(AM41="",TRUE,IF(input_area_of_focus="",FALSE,SUMPRODUCT(--ISNUMBER(SEARCH(","&amp;TRIM(TEXTSPLIT(AM41,","))&amp;",",","&amp;SUBSTITUTE(input_area_of_focus," ","")&amp;",")))&gt;0)),IF(AO41="",TRUE,IF(input_area_of_focus="",FALSE,SUMPRODUCT(--ISNUMBER(SEARCH(","&amp;TRIM(TEXTSPLIT(AO41,","))&amp;",",","&amp;SUBSTITUTE(input_area_of_focus," ","")&amp;",")))=COUNTA(TEXTSPLIT(AO41,",")))))</f>
        <v/>
      </c>
      <c r="IW41">
        <f>AND(IF(AQ41="",TRUE,IF(input_audience="",FALSE,SUMPRODUCT(--ISNUMBER(SEARCH(","&amp;TRIM(TEXTSPLIT(AQ41,","))&amp;",",","&amp;SUBSTITUTE(input_audience," ","")&amp;",")))&gt;0)),IF(AS41="",TRUE,IF(input_audience="",FALSE,SUMPRODUCT(--ISNUMBER(SEARCH(","&amp;TRIM(TEXTSPLIT(AS41,","))&amp;",",","&amp;SUBSTITUTE(input_audience," ","")&amp;",")))=COUNTA(TEXTSPLIT(AS41,",")))),IF(AU41="",TRUE,IF(input_audience="",TRUE,SUMPRODUCT(--ISNUMBER(SEARCH(","&amp;TRIM(TEXTSPLIT(AU41,","))&amp;",",","&amp;SUBSTITUTE(input_audience," ","")&amp;",")))=0)),IF(AW41="",TRUE,IF(input_audience="",FALSE,SUMPRODUCT(--ISNUMBER(SEARCH(","&amp;TRIM(TEXTSPLIT(AW41,","))&amp;",",","&amp;SUBSTITUTE(input_audience," ","")&amp;",")))&gt;0)),IF(AY41="",TRUE,IF(input_audience="",FALSE,SUMPRODUCT(--ISNUMBER(SEARCH(","&amp;TRIM(TEXTSPLIT(AY41,","))&amp;",",","&amp;SUBSTITUTE(input_audience," ","")&amp;",")))=COUNTA(TEXTSPLIT(AY41,",")))))</f>
        <v/>
      </c>
      <c r="IX41">
        <f>AND(IF(BA41="",TRUE,IF(input_challenge_opportunities="",FALSE,SUMPRODUCT(--ISNUMBER(SEARCH(","&amp;TRIM(TEXTSPLIT(BA41,","))&amp;",",","&amp;SUBSTITUTE(input_challenge_opportunities," ","")&amp;",")))&gt;0)),IF(BC41="",TRUE,IF(input_challenge_opportunities="",FALSE,SUMPRODUCT(--ISNUMBER(SEARCH(","&amp;TRIM(TEXTSPLIT(BC41,","))&amp;",",","&amp;SUBSTITUTE(input_challenge_opportunities," ","")&amp;",")))=COUNTA(TEXTSPLIT(BC41,",")))),IF(BE41="",TRUE,IF(input_challenge_opportunities="",TRUE,SUMPRODUCT(--ISNUMBER(SEARCH(","&amp;TRIM(TEXTSPLIT(BE41,","))&amp;",",","&amp;SUBSTITUTE(input_challenge_opportunities," ","")&amp;",")))=0)),IF(BG41="",TRUE,IF(input_challenge_opportunities="",FALSE,SUMPRODUCT(--ISNUMBER(SEARCH(","&amp;TRIM(TEXTSPLIT(BG41,","))&amp;",",","&amp;SUBSTITUTE(input_challenge_opportunities," ","")&amp;",")))&gt;0)),IF(BI41="",TRUE,IF(input_challenge_opportunities="",FALSE,SUMPRODUCT(--ISNUMBER(SEARCH(","&amp;TRIM(TEXTSPLIT(BI41,","))&amp;",",","&amp;SUBSTITUTE(input_challenge_opportunities," ","")&amp;",")))=COUNTA(TEXTSPLIT(BI41,",")))))</f>
        <v/>
      </c>
      <c r="IY41">
        <f>AND(IF(BK41="",TRUE,IF(input_context="",FALSE,SUMPRODUCT(--ISNUMBER(SEARCH(","&amp;TRIM(TEXTSPLIT(BK41,","))&amp;",",","&amp;SUBSTITUTE(input_context," ","")&amp;",")))&gt;0)),IF(BM41="",TRUE,IF(input_context="",FALSE,SUMPRODUCT(--ISNUMBER(SEARCH(","&amp;TRIM(TEXTSPLIT(BM41,","))&amp;",",","&amp;SUBSTITUTE(input_context," ","")&amp;",")))=COUNTA(TEXTSPLIT(BM41,",")))),IF(BO41="",TRUE,IF(input_context="",TRUE,SUMPRODUCT(--ISNUMBER(SEARCH(","&amp;TRIM(TEXTSPLIT(BO41,","))&amp;",",","&amp;SUBSTITUTE(input_context," ","")&amp;",")))=0)),IF(BQ41="",TRUE,IF(input_context="",FALSE,SUMPRODUCT(--ISNUMBER(SEARCH(","&amp;TRIM(TEXTSPLIT(BQ41,","))&amp;",",","&amp;SUBSTITUTE(input_context," ","")&amp;",")))&gt;0)),IF(BS41="",TRUE,IF(input_context="",FALSE,SUMPRODUCT(--ISNUMBER(SEARCH(","&amp;TRIM(TEXTSPLIT(BS41,","))&amp;",",","&amp;SUBSTITUTE(input_context," ","")&amp;",")))=COUNTA(TEXTSPLIT(BS41,",")))))</f>
        <v/>
      </c>
      <c r="IZ41">
        <f>AND(IF(BU41="",TRUE,IF(input_enews_announcement_type="",FALSE,SUMPRODUCT(--ISNUMBER(SEARCH(","&amp;TRIM(TEXTSPLIT(BU41,","))&amp;",",","&amp;SUBSTITUTE(input_enews_announcement_type," ","")&amp;",")))&gt;0)),IF(BW41="",TRUE,IF(input_enews_announcement_type="",FALSE,SUMPRODUCT(--ISNUMBER(SEARCH(","&amp;TRIM(TEXTSPLIT(BW41,","))&amp;",",","&amp;SUBSTITUTE(input_enews_announcement_type," ","")&amp;",")))=COUNTA(TEXTSPLIT(BW41,",")))),IF(BY41="",TRUE,IF(input_enews_announcement_type="",TRUE,SUMPRODUCT(--ISNUMBER(SEARCH(","&amp;TRIM(TEXTSPLIT(BY41,","))&amp;",",","&amp;SUBSTITUTE(input_enews_announcement_type," ","")&amp;",")))=0)),IF(CA41="",TRUE,IF(input_enews_announcement_type="",FALSE,SUMPRODUCT(--ISNUMBER(SEARCH(","&amp;TRIM(TEXTSPLIT(CA41,","))&amp;",",","&amp;SUBSTITUTE(input_enews_announcement_type," ","")&amp;",")))&gt;0)),IF(CC41="",TRUE,IF(input_enews_announcement_type="",FALSE,SUMPRODUCT(--ISNUMBER(SEARCH(","&amp;TRIM(TEXTSPLIT(CC41,","))&amp;",",","&amp;SUBSTITUTE(input_enews_announcement_type," ","")&amp;",")))=COUNTA(TEXTSPLIT(CC41,",")))))</f>
        <v/>
      </c>
      <c r="JA41">
        <f>AND(IF(CE41="",TRUE,IF(input_enews_audience="",FALSE,SUMPRODUCT(--ISNUMBER(SEARCH(","&amp;TRIM(TEXTSPLIT(CE41,","))&amp;",",","&amp;SUBSTITUTE(input_enews_audience," ","")&amp;",")))&gt;0)),IF(CG41="",TRUE,IF(input_enews_audience="",FALSE,SUMPRODUCT(--ISNUMBER(SEARCH(","&amp;TRIM(TEXTSPLIT(CG41,","))&amp;",",","&amp;SUBSTITUTE(input_enews_audience," ","")&amp;",")))=COUNTA(TEXTSPLIT(CG41,",")))),IF(CI41="",TRUE,IF(input_enews_audience="",TRUE,SUMPRODUCT(--ISNUMBER(SEARCH(","&amp;TRIM(TEXTSPLIT(CI41,","))&amp;",",","&amp;SUBSTITUTE(input_enews_audience," ","")&amp;",")))=0)),IF(CK41="",TRUE,IF(input_enews_audience="",FALSE,SUMPRODUCT(--ISNUMBER(SEARCH(","&amp;TRIM(TEXTSPLIT(CK41,","))&amp;",",","&amp;SUBSTITUTE(input_enews_audience," ","")&amp;",")))&gt;0)),IF(CM41="",TRUE,IF(input_enews_audience="",FALSE,SUMPRODUCT(--ISNUMBER(SEARCH(","&amp;TRIM(TEXTSPLIT(CM41,","))&amp;",",","&amp;SUBSTITUTE(input_enews_audience," ","")&amp;",")))=COUNTA(TEXTSPLIT(CM41,",")))))</f>
        <v/>
      </c>
      <c r="JB41">
        <f>AND(IF(CO41="",TRUE,IF(input_event_location="",FALSE,SUMPRODUCT(--ISNUMBER(SEARCH(","&amp;TRIM(TEXTSPLIT(CO41,","))&amp;",",","&amp;SUBSTITUTE(input_event_location," ","")&amp;",")))&gt;0)),IF(CQ41="",TRUE,IF(input_event_location="",FALSE,SUMPRODUCT(--ISNUMBER(SEARCH(","&amp;TRIM(TEXTSPLIT(CQ41,","))&amp;",",","&amp;SUBSTITUTE(input_event_location," ","")&amp;",")))=COUNTA(TEXTSPLIT(CQ41,",")))),IF(CS41="",TRUE,IF(input_event_location="",TRUE,SUMPRODUCT(--ISNUMBER(SEARCH(","&amp;TRIM(TEXTSPLIT(CS41,","))&amp;",",","&amp;SUBSTITUTE(input_event_location," ","")&amp;",")))=0)),IF(CU41="",TRUE,IF(input_event_location="",FALSE,SUMPRODUCT(--ISNUMBER(SEARCH(","&amp;TRIM(TEXTSPLIT(CU41,","))&amp;",",","&amp;SUBSTITUTE(input_event_location," ","")&amp;",")))&gt;0)),IF(CW41="",TRUE,IF(input_event_location="",FALSE,SUMPRODUCT(--ISNUMBER(SEARCH(","&amp;TRIM(TEXTSPLIT(CW41,","))&amp;",",","&amp;SUBSTITUTE(input_event_location," ","")&amp;",")))=COUNTA(TEXTSPLIT(CW41,",")))))</f>
        <v/>
      </c>
      <c r="JC41">
        <f>AND(IF(CY41="",TRUE,IF(input_event_type="",FALSE,SUMPRODUCT(--ISNUMBER(SEARCH(","&amp;TRIM(TEXTSPLIT(CY41,","))&amp;",",","&amp;SUBSTITUTE(input_event_type," ","")&amp;",")))&gt;0)),IF(DA41="",TRUE,IF(input_event_type="",FALSE,SUMPRODUCT(--ISNUMBER(SEARCH(","&amp;TRIM(TEXTSPLIT(DA41,","))&amp;",",","&amp;SUBSTITUTE(input_event_type," ","")&amp;",")))=COUNTA(TEXTSPLIT(DA41,",")))),IF(DC41="",TRUE,IF(input_event_type="",TRUE,SUMPRODUCT(--ISNUMBER(SEARCH(","&amp;TRIM(TEXTSPLIT(DC41,","))&amp;",",","&amp;SUBSTITUTE(input_event_type," ","")&amp;",")))=0)),IF(DE41="",TRUE,IF(input_event_type="",FALSE,SUMPRODUCT(--ISNUMBER(SEARCH(","&amp;TRIM(TEXTSPLIT(DE41,","))&amp;",",","&amp;SUBSTITUTE(input_event_type," ","")&amp;",")))&gt;0)),IF(DG41="",TRUE,IF(input_event_type="",FALSE,SUMPRODUCT(--ISNUMBER(SEARCH(","&amp;TRIM(TEXTSPLIT(DG41,","))&amp;",",","&amp;SUBSTITUTE(input_event_type," ","")&amp;",")))=COUNTA(TEXTSPLIT(DG41,",")))))</f>
        <v/>
      </c>
      <c r="JD41">
        <f>AND(IF(DI41="",TRUE,IF(input_executive_education_focus="",FALSE,SUMPRODUCT(--ISNUMBER(SEARCH(","&amp;TRIM(TEXTSPLIT(DI41,","))&amp;",",","&amp;SUBSTITUTE(input_executive_education_focus," ","")&amp;",")))&gt;0)),IF(DK41="",TRUE,IF(input_executive_education_focus="",FALSE,SUMPRODUCT(--ISNUMBER(SEARCH(","&amp;TRIM(TEXTSPLIT(DK41,","))&amp;",",","&amp;SUBSTITUTE(input_executive_education_focus," ","")&amp;",")))=COUNTA(TEXTSPLIT(DK41,",")))),IF(DM41="",TRUE,IF(input_executive_education_focus="",TRUE,SUMPRODUCT(--ISNUMBER(SEARCH(","&amp;TRIM(TEXTSPLIT(DM41,","))&amp;",",","&amp;SUBSTITUTE(input_executive_education_focus," ","")&amp;",")))=0)),IF(DO41="",TRUE,IF(input_executive_education_focus="",FALSE,SUMPRODUCT(--ISNUMBER(SEARCH(","&amp;TRIM(TEXTSPLIT(DO41,","))&amp;",",","&amp;SUBSTITUTE(input_executive_education_focus," ","")&amp;",")))&gt;0)),IF(DQ41="",TRUE,IF(input_executive_education_focus="",FALSE,SUMPRODUCT(--ISNUMBER(SEARCH(","&amp;TRIM(TEXTSPLIT(DQ41,","))&amp;",",","&amp;SUBSTITUTE(input_executive_education_focus," ","")&amp;",")))=COUNTA(TEXTSPLIT(DQ41,",")))))</f>
        <v/>
      </c>
      <c r="JE41">
        <f>AND(IF(DS41="",TRUE,IF(input_faculty_category="",FALSE,SUMPRODUCT(--ISNUMBER(SEARCH(","&amp;TRIM(TEXTSPLIT(DS41,","))&amp;",",","&amp;SUBSTITUTE(input_faculty_category," ","")&amp;",")))&gt;0)),IF(DU41="",TRUE,IF(input_faculty_category="",FALSE,SUMPRODUCT(--ISNUMBER(SEARCH(","&amp;TRIM(TEXTSPLIT(DU41,","))&amp;",",","&amp;SUBSTITUTE(input_faculty_category," ","")&amp;",")))=COUNTA(TEXTSPLIT(DU41,",")))),IF(DW41="",TRUE,IF(input_faculty_category="",TRUE,SUMPRODUCT(--ISNUMBER(SEARCH(","&amp;TRIM(TEXTSPLIT(DW41,","))&amp;",",","&amp;SUBSTITUTE(input_faculty_category," ","")&amp;",")))=0)),IF(DY41="",TRUE,IF(input_faculty_category="",FALSE,SUMPRODUCT(--ISNUMBER(SEARCH(","&amp;TRIM(TEXTSPLIT(DY41,","))&amp;",",","&amp;SUBSTITUTE(input_faculty_category," ","")&amp;",")))&gt;0)),IF(EA41="",TRUE,IF(input_faculty_category="",FALSE,SUMPRODUCT(--ISNUMBER(SEARCH(","&amp;TRIM(TEXTSPLIT(EA41,","))&amp;",",","&amp;SUBSTITUTE(input_faculty_category," ","")&amp;",")))=COUNTA(TEXTSPLIT(EA41,",")))))</f>
        <v/>
      </c>
      <c r="JF41">
        <f>AND(IF(EC41="",TRUE,IF(input_faculty_discipline="",FALSE,SUMPRODUCT(--ISNUMBER(SEARCH(","&amp;TRIM(TEXTSPLIT(EC41,","))&amp;",",","&amp;SUBSTITUTE(input_faculty_discipline," ","")&amp;",")))&gt;0)),IF(EE41="",TRUE,IF(input_faculty_discipline="",FALSE,SUMPRODUCT(--ISNUMBER(SEARCH(","&amp;TRIM(TEXTSPLIT(EE41,","))&amp;",",","&amp;SUBSTITUTE(input_faculty_discipline," ","")&amp;",")))=COUNTA(TEXTSPLIT(EE41,",")))),IF(EG41="",TRUE,IF(input_faculty_discipline="",TRUE,SUMPRODUCT(--ISNUMBER(SEARCH(","&amp;TRIM(TEXTSPLIT(EG41,","))&amp;",",","&amp;SUBSTITUTE(input_faculty_discipline," ","")&amp;",")))=0)),IF(EI41="",TRUE,IF(input_faculty_discipline="",FALSE,SUMPRODUCT(--ISNUMBER(SEARCH(","&amp;TRIM(TEXTSPLIT(EI41,","))&amp;",",","&amp;SUBSTITUTE(input_faculty_discipline," ","")&amp;",")))&gt;0)),IF(EK41="",TRUE,IF(input_faculty_discipline="",FALSE,SUMPRODUCT(--ISNUMBER(SEARCH(","&amp;TRIM(TEXTSPLIT(EK41,","))&amp;",",","&amp;SUBSTITUTE(input_faculty_discipline," ","")&amp;",")))=COUNTA(TEXTSPLIT(EK41,",")))))</f>
        <v/>
      </c>
      <c r="JG41">
        <f>AND(IF(EM41="",TRUE,IF(input_faculty_expertise="",FALSE,SUMPRODUCT(--ISNUMBER(SEARCH(","&amp;TRIM(TEXTSPLIT(EM41,","))&amp;",",","&amp;SUBSTITUTE(input_faculty_expertise," ","")&amp;",")))&gt;0)),IF(EO41="",TRUE,IF(input_faculty_expertise="",FALSE,SUMPRODUCT(--ISNUMBER(SEARCH(","&amp;TRIM(TEXTSPLIT(EO41,","))&amp;",",","&amp;SUBSTITUTE(input_faculty_expertise," ","")&amp;",")))=COUNTA(TEXTSPLIT(EO41,",")))),IF(EQ41="",TRUE,IF(input_faculty_expertise="",TRUE,SUMPRODUCT(--ISNUMBER(SEARCH(","&amp;TRIM(TEXTSPLIT(EQ41,","))&amp;",",","&amp;SUBSTITUTE(input_faculty_expertise," ","")&amp;",")))=0)),IF(ES41="",TRUE,IF(input_faculty_expertise="",FALSE,SUMPRODUCT(--ISNUMBER(SEARCH(","&amp;TRIM(TEXTSPLIT(ES41,","))&amp;",",","&amp;SUBSTITUTE(input_faculty_expertise," ","")&amp;",")))&gt;0)),IF(EU41="",TRUE,IF(input_faculty_expertise="",FALSE,SUMPRODUCT(--ISNUMBER(SEARCH(","&amp;TRIM(TEXTSPLIT(EU41,","))&amp;",",","&amp;SUBSTITUTE(input_faculty_expertise," ","")&amp;",")))=COUNTA(TEXTSPLIT(EU41,",")))))</f>
        <v/>
      </c>
      <c r="JH41">
        <f>AND(IF(EW41="",TRUE,IF(input_global_network_school="",FALSE,SUMPRODUCT(--ISNUMBER(SEARCH(","&amp;TRIM(TEXTSPLIT(EW41,","))&amp;",",","&amp;SUBSTITUTE(input_global_network_school," ","")&amp;",")))&gt;0)),IF(EY41="",TRUE,IF(input_global_network_school="",FALSE,SUMPRODUCT(--ISNUMBER(SEARCH(","&amp;TRIM(TEXTSPLIT(EY41,","))&amp;",",","&amp;SUBSTITUTE(input_global_network_school," ","")&amp;",")))=COUNTA(TEXTSPLIT(EY41,",")))),IF(FA41="",TRUE,IF(input_global_network_school="",TRUE,SUMPRODUCT(--ISNUMBER(SEARCH(","&amp;TRIM(TEXTSPLIT(FA41,","))&amp;",",","&amp;SUBSTITUTE(input_global_network_school," ","")&amp;",")))=0)),IF(FC41="",TRUE,IF(input_global_network_school="",FALSE,SUMPRODUCT(--ISNUMBER(SEARCH(","&amp;TRIM(TEXTSPLIT(FC41,","))&amp;",",","&amp;SUBSTITUTE(input_global_network_school," ","")&amp;",")))&gt;0)),IF(FE41="",TRUE,IF(input_global_network_school="",FALSE,SUMPRODUCT(--ISNUMBER(SEARCH(","&amp;TRIM(TEXTSPLIT(FE41,","))&amp;",",","&amp;SUBSTITUTE(input_global_network_school," ","")&amp;",")))=COUNTA(TEXTSPLIT(FE41,",")))))</f>
        <v/>
      </c>
      <c r="JI41">
        <f>AND(IF(FG41="",TRUE,IF(input_industry="",FALSE,SUMPRODUCT(--ISNUMBER(SEARCH(","&amp;TRIM(TEXTSPLIT(FG41,","))&amp;",",","&amp;SUBSTITUTE(input_industry," ","")&amp;",")))&gt;0)),IF(FI41="",TRUE,IF(input_industry="",FALSE,SUMPRODUCT(--ISNUMBER(SEARCH(","&amp;TRIM(TEXTSPLIT(FI41,","))&amp;",",","&amp;SUBSTITUTE(input_industry," ","")&amp;",")))=COUNTA(TEXTSPLIT(FI41,",")))),IF(FK41="",TRUE,IF(input_industry="",TRUE,SUMPRODUCT(--ISNUMBER(SEARCH(","&amp;TRIM(TEXTSPLIT(FK41,","))&amp;",",","&amp;SUBSTITUTE(input_industry," ","")&amp;",")))=0)),IF(FM41="",TRUE,IF(input_industry="",FALSE,SUMPRODUCT(--ISNUMBER(SEARCH(","&amp;TRIM(TEXTSPLIT(FM41,","))&amp;",",","&amp;SUBSTITUTE(input_industry," ","")&amp;",")))&gt;0)),IF(FO41="",TRUE,IF(input_industry="",FALSE,SUMPRODUCT(--ISNUMBER(SEARCH(","&amp;TRIM(TEXTSPLIT(FO41,","))&amp;",",","&amp;SUBSTITUTE(input_industry," ","")&amp;",")))=COUNTA(TEXTSPLIT(FO41,",")))))</f>
        <v/>
      </c>
      <c r="JJ41">
        <f>AND(IF(FQ41="",TRUE,IF(input_location="",FALSE,SUMPRODUCT(--ISNUMBER(SEARCH(","&amp;TRIM(TEXTSPLIT(FQ41,","))&amp;",",","&amp;SUBSTITUTE(input_location," ","")&amp;",")))&gt;0)),IF(FS41="",TRUE,IF(input_location="",FALSE,SUMPRODUCT(--ISNUMBER(SEARCH(","&amp;TRIM(TEXTSPLIT(FS41,","))&amp;",",","&amp;SUBSTITUTE(input_location," ","")&amp;",")))=COUNTA(TEXTSPLIT(FS41,",")))),IF(FU41="",TRUE,IF(input_location="",TRUE,SUMPRODUCT(--ISNUMBER(SEARCH(","&amp;TRIM(TEXTSPLIT(FU41,","))&amp;",",","&amp;SUBSTITUTE(input_location," ","")&amp;",")))=0)),IF(FW41="",TRUE,IF(input_location="",FALSE,SUMPRODUCT(--ISNUMBER(SEARCH(","&amp;TRIM(TEXTSPLIT(FW41,","))&amp;",",","&amp;SUBSTITUTE(input_location," ","")&amp;",")))&gt;0)),IF(FY41="",TRUE,IF(input_location="",FALSE,SUMPRODUCT(--ISNUMBER(SEARCH(","&amp;TRIM(TEXTSPLIT(FY41,","))&amp;",",","&amp;SUBSTITUTE(input_location," ","")&amp;",")))=COUNTA(TEXTSPLIT(FY41,",")))))</f>
        <v/>
      </c>
      <c r="JK41">
        <f>AND(IF(GA41="",TRUE,IF(input_modality="",FALSE,SUMPRODUCT(--ISNUMBER(SEARCH(","&amp;TRIM(TEXTSPLIT(GA41,","))&amp;",",","&amp;SUBSTITUTE(input_modality," ","")&amp;",")))&gt;0)),IF(GC41="",TRUE,IF(input_modality="",FALSE,SUMPRODUCT(--ISNUMBER(SEARCH(","&amp;TRIM(TEXTSPLIT(GC41,","))&amp;",",","&amp;SUBSTITUTE(input_modality," ","")&amp;",")))=COUNTA(TEXTSPLIT(GC41,",")))),IF(GE41="",TRUE,IF(input_modality="",TRUE,SUMPRODUCT(--ISNUMBER(SEARCH(","&amp;TRIM(TEXTSPLIT(GE41,","))&amp;",",","&amp;SUBSTITUTE(input_modality," ","")&amp;",")))=0)),IF(GG41="",TRUE,IF(input_modality="",FALSE,SUMPRODUCT(--ISNUMBER(SEARCH(","&amp;TRIM(TEXTSPLIT(GG41,","))&amp;",",","&amp;SUBSTITUTE(input_modality," ","")&amp;",")))&gt;0)),IF(GI41="",TRUE,IF(input_modality="",FALSE,SUMPRODUCT(--ISNUMBER(SEARCH(","&amp;TRIM(TEXTSPLIT(GI41,","))&amp;",",","&amp;SUBSTITUTE(input_modality," ","")&amp;",")))=COUNTA(TEXTSPLIT(GI41,",")))))</f>
        <v/>
      </c>
      <c r="JL41">
        <f>AND(IF(GK41="",TRUE,IF(input_organizer="",FALSE,SUMPRODUCT(--ISNUMBER(SEARCH(","&amp;TRIM(TEXTSPLIT(GK41,","))&amp;",",","&amp;SUBSTITUTE(input_organizer," ","")&amp;",")))&gt;0)),IF(GM41="",TRUE,IF(input_organizer="",FALSE,SUMPRODUCT(--ISNUMBER(SEARCH(","&amp;TRIM(TEXTSPLIT(GM41,","))&amp;",",","&amp;SUBSTITUTE(input_organizer," ","")&amp;",")))=COUNTA(TEXTSPLIT(GM41,",")))),IF(GO41="",TRUE,IF(input_organizer="",TRUE,SUMPRODUCT(--ISNUMBER(SEARCH(","&amp;TRIM(TEXTSPLIT(GO41,","))&amp;",",","&amp;SUBSTITUTE(input_organizer," ","")&amp;",")))=0)),IF(GQ41="",TRUE,IF(input_organizer="",FALSE,SUMPRODUCT(--ISNUMBER(SEARCH(","&amp;TRIM(TEXTSPLIT(GQ41,","))&amp;",",","&amp;SUBSTITUTE(input_organizer," ","")&amp;",")))&gt;0)),IF(GS41="",TRUE,IF(input_organizer="",FALSE,SUMPRODUCT(--ISNUMBER(SEARCH(","&amp;TRIM(TEXTSPLIT(GS41,","))&amp;",",","&amp;SUBSTITUTE(input_organizer," ","")&amp;",")))=COUNTA(TEXTSPLIT(GS41,",")))))</f>
        <v/>
      </c>
      <c r="JM41">
        <f>AND(IF(GU41="",TRUE,IF(input_profile_type="",FALSE,SUMPRODUCT(--ISNUMBER(SEARCH(","&amp;TRIM(TEXTSPLIT(GU41,","))&amp;",",","&amp;SUBSTITUTE(input_profile_type," ","")&amp;",")))&gt;0)),IF(GW41="",TRUE,IF(input_profile_type="",FALSE,SUMPRODUCT(--ISNUMBER(SEARCH(","&amp;TRIM(TEXTSPLIT(GW41,","))&amp;",",","&amp;SUBSTITUTE(input_profile_type," ","")&amp;",")))=COUNTA(TEXTSPLIT(GW41,",")))),IF(GY41="",TRUE,IF(input_profile_type="",TRUE,SUMPRODUCT(--ISNUMBER(SEARCH(","&amp;TRIM(TEXTSPLIT(GY41,","))&amp;",",","&amp;SUBSTITUTE(input_profile_type," ","")&amp;",")))=0)),IF(HA41="",TRUE,IF(input_profile_type="",FALSE,SUMPRODUCT(--ISNUMBER(SEARCH(","&amp;TRIM(TEXTSPLIT(HA41,","))&amp;",",","&amp;SUBSTITUTE(input_profile_type," ","")&amp;",")))&gt;0)),IF(HC41="",TRUE,IF(input_profile_type="",FALSE,SUMPRODUCT(--ISNUMBER(SEARCH(","&amp;TRIM(TEXTSPLIT(HC41,","))&amp;",",","&amp;SUBSTITUTE(input_profile_type," ","")&amp;",")))=COUNTA(TEXTSPLIT(HC41,",")))))</f>
        <v/>
      </c>
      <c r="JN41">
        <f>AND(IF(HE41="",TRUE,IF(input_program="",FALSE,SUMPRODUCT(--ISNUMBER(SEARCH(","&amp;TRIM(TEXTSPLIT(HE41,","))&amp;",",","&amp;SUBSTITUTE(input_program," ","")&amp;",")))&gt;0)),IF(HG41="",TRUE,IF(input_program="",FALSE,SUMPRODUCT(--ISNUMBER(SEARCH(","&amp;TRIM(TEXTSPLIT(HG41,","))&amp;",",","&amp;SUBSTITUTE(input_program," ","")&amp;",")))=COUNTA(TEXTSPLIT(HG41,",")))),IF(HI41="",TRUE,IF(input_program="",TRUE,SUMPRODUCT(--ISNUMBER(SEARCH(","&amp;TRIM(TEXTSPLIT(HI41,","))&amp;",",","&amp;SUBSTITUTE(input_program," ","")&amp;",")))=0)),IF(HK41="",TRUE,IF(input_program="",FALSE,SUMPRODUCT(--ISNUMBER(SEARCH(","&amp;TRIM(TEXTSPLIT(HK41,","))&amp;",",","&amp;SUBSTITUTE(input_program," ","")&amp;",")))&gt;0)),IF(HM41="",TRUE,IF(input_program="",FALSE,SUMPRODUCT(--ISNUMBER(SEARCH(","&amp;TRIM(TEXTSPLIT(HM41,","))&amp;",",","&amp;SUBSTITUTE(input_program," ","")&amp;",")))=COUNTA(TEXTSPLIT(HM41,",")))))</f>
        <v/>
      </c>
      <c r="JO41">
        <f>AND(IF(HO41="",TRUE,IF(input_story_categories="",FALSE,SUMPRODUCT(--ISNUMBER(SEARCH(","&amp;TRIM(TEXTSPLIT(HO41,","))&amp;",",","&amp;SUBSTITUTE(input_story_categories," ","")&amp;",")))&gt;0)),IF(HQ41="",TRUE,IF(input_story_categories="",FALSE,SUMPRODUCT(--ISNUMBER(SEARCH(","&amp;TRIM(TEXTSPLIT(HQ41,","))&amp;",",","&amp;SUBSTITUTE(input_story_categories," ","")&amp;",")))=COUNTA(TEXTSPLIT(HQ41,",")))),IF(HS41="",TRUE,IF(input_story_categories="",TRUE,SUMPRODUCT(--ISNUMBER(SEARCH(","&amp;TRIM(TEXTSPLIT(HS41,","))&amp;",",","&amp;SUBSTITUTE(input_story_categories," ","")&amp;",")))=0)),IF(HU41="",TRUE,IF(input_story_categories="",FALSE,SUMPRODUCT(--ISNUMBER(SEARCH(","&amp;TRIM(TEXTSPLIT(HU41,","))&amp;",",","&amp;SUBSTITUTE(input_story_categories," ","")&amp;",")))&gt;0)),IF(HW41="",TRUE,IF(input_story_categories="",FALSE,SUMPRODUCT(--ISNUMBER(SEARCH(","&amp;TRIM(TEXTSPLIT(HW41,","))&amp;",",","&amp;SUBSTITUTE(input_story_categories," ","")&amp;",")))=COUNTA(TEXTSPLIT(HW41,",")))))</f>
        <v/>
      </c>
      <c r="JP41">
        <f>AND(IF(HY41="",TRUE,IF(input_story_type="",FALSE,SUMPRODUCT(--ISNUMBER(SEARCH(","&amp;TRIM(TEXTSPLIT(HY41,","))&amp;",",","&amp;SUBSTITUTE(input_story_type," ","")&amp;",")))&gt;0)),IF(IA41="",TRUE,IF(input_story_type="",FALSE,SUMPRODUCT(--ISNUMBER(SEARCH(","&amp;TRIM(TEXTSPLIT(IA41,","))&amp;",",","&amp;SUBSTITUTE(input_story_type," ","")&amp;",")))=COUNTA(TEXTSPLIT(IA41,",")))),IF(IC41="",TRUE,IF(input_story_type="",TRUE,SUMPRODUCT(--ISNUMBER(SEARCH(","&amp;TRIM(TEXTSPLIT(IC41,","))&amp;",",","&amp;SUBSTITUTE(input_story_type," ","")&amp;",")))=0)),IF(IE41="",TRUE,IF(input_story_type="",FALSE,SUMPRODUCT(--ISNUMBER(SEARCH(","&amp;TRIM(TEXTSPLIT(IE41,","))&amp;",",","&amp;SUBSTITUTE(input_story_type," ","")&amp;",")))&gt;0)),IF(IG41="",TRUE,IF(input_story_type="",FALSE,SUMPRODUCT(--ISNUMBER(SEARCH(","&amp;TRIM(TEXTSPLIT(IG41,","))&amp;",",","&amp;SUBSTITUTE(input_story_type," ","")&amp;",")))=COUNTA(TEXTSPLIT(IG41,",")))))</f>
        <v/>
      </c>
      <c r="JQ41">
        <f>AND(IF(II41="",TRUE,IF(input_topics="",FALSE,SUMPRODUCT(--ISNUMBER(SEARCH(","&amp;TRIM(TEXTSPLIT(II41,","))&amp;",",","&amp;SUBSTITUTE(input_topics," ","")&amp;",")))&gt;0)),IF(IK41="",TRUE,IF(input_topics="",FALSE,SUMPRODUCT(--ISNUMBER(SEARCH(","&amp;TRIM(TEXTSPLIT(IK41,","))&amp;",",","&amp;SUBSTITUTE(input_topics," ","")&amp;",")))=COUNTA(TEXTSPLIT(IK41,",")))),IF(IM41="",TRUE,IF(input_topics="",TRUE,SUMPRODUCT(--ISNUMBER(SEARCH(","&amp;TRIM(TEXTSPLIT(IM41,","))&amp;",",","&amp;SUBSTITUTE(input_topics," ","")&amp;",")))=0)),IF(IO41="",TRUE,IF(input_topics="",FALSE,SUMPRODUCT(--ISNUMBER(SEARCH(","&amp;TRIM(TEXTSPLIT(IO41,","))&amp;",",","&amp;SUBSTITUTE(input_topics," ","")&amp;",")))&gt;0)),IF(IQ41="",TRUE,IF(input_topics="",FALSE,SUMPRODUCT(--ISNUMBER(SEARCH(","&amp;TRIM(TEXTSPLIT(IQ41,","))&amp;",",","&amp;SUBSTITUTE(input_topics," ","")&amp;",")))=COUNTA(TEXTSPLIT(IQ41,",")))))</f>
        <v/>
      </c>
    </row>
    <row r="42">
      <c r="A42" s="4">
        <f>IF(NOT(IS42),"Excluded",IF(AND(IT42,IU42,IV42,IW42,IX42,IY42,IZ42,JA42,JB42,JC42,JD42,JE42,JF42,JG42,JH42,JI42,JJ42,JK42,JL42,JM42,JN42,JO42,JP42,JQ42),IF(I42&gt;0,"Eligible but limited","Will appear"),"Excluded"))</f>
        <v/>
      </c>
      <c r="B42" s="4" t="inlineStr">
        <is>
          <t>All Publications by Author</t>
        </is>
      </c>
      <c r="C42" s="4" t="inlineStr">
        <is>
          <t>/faculty-research/faculty-directory/lorenzo-caliendo</t>
        </is>
      </c>
      <c r="D42" s="4" t="inlineStr">
        <is>
          <t>/faculty-research/faculty-directory/lorenzo-caliendo</t>
        </is>
      </c>
      <c r="E42" s="4" t="n">
        <v>1</v>
      </c>
      <c r="F42" s="4" t="inlineStr">
        <is>
          <t>publications</t>
        </is>
      </c>
      <c r="G42" s="4" t="inlineStr">
        <is>
          <t>publication_teaser_list</t>
        </is>
      </c>
      <c r="H42" s="4" t="inlineStr">
        <is>
          <t>publication_teaser_list_all_by_author</t>
        </is>
      </c>
      <c r="I42" s="4" t="inlineStr"/>
      <c r="J42" s="4" t="inlineStr">
        <is>
          <t>View/config rules</t>
        </is>
      </c>
      <c r="K42" s="4" t="inlineStr">
        <is>
          <t>Page placement</t>
        </is>
      </c>
      <c r="L42" s="4" t="inlineStr">
        <is>
          <t>Content type: publications; Source: View/config rules</t>
        </is>
      </c>
      <c r="M42" t="inlineStr"/>
      <c r="N42" t="inlineStr"/>
      <c r="O42" t="inlineStr"/>
      <c r="P42" t="inlineStr"/>
      <c r="Q42" t="inlineStr"/>
      <c r="R42" t="inlineStr"/>
      <c r="S42" t="inlineStr"/>
      <c r="T42" t="inlineStr"/>
      <c r="U42" t="inlineStr"/>
      <c r="V42" t="inlineStr"/>
      <c r="W42" t="inlineStr"/>
      <c r="X42" t="inlineStr"/>
      <c r="Y42" t="inlineStr"/>
      <c r="Z42" t="inlineStr"/>
      <c r="AA42" t="inlineStr"/>
      <c r="AB42" t="inlineStr"/>
      <c r="AC42" t="inlineStr"/>
      <c r="AD42" t="inlineStr"/>
      <c r="AE42" t="inlineStr"/>
      <c r="AF42" t="inlineStr"/>
      <c r="AG42" t="inlineStr"/>
      <c r="AH42" t="inlineStr"/>
      <c r="AI42" t="inlineStr"/>
      <c r="AJ42" t="inlineStr"/>
      <c r="AK42" t="inlineStr"/>
      <c r="AL42" t="inlineStr"/>
      <c r="AM42" t="inlineStr"/>
      <c r="AN42" t="inlineStr"/>
      <c r="AO42" t="inlineStr"/>
      <c r="AP42" t="inlineStr"/>
      <c r="AQ42" t="inlineStr"/>
      <c r="AR42" t="inlineStr"/>
      <c r="AS42" t="inlineStr"/>
      <c r="AT42" t="inlineStr"/>
      <c r="AU42" t="inlineStr"/>
      <c r="AV42" t="inlineStr"/>
      <c r="AW42" t="inlineStr"/>
      <c r="AX42" t="inlineStr"/>
      <c r="AY42" t="inlineStr"/>
      <c r="AZ42" t="inlineStr"/>
      <c r="BA42" t="inlineStr"/>
      <c r="BB42" t="inlineStr"/>
      <c r="BC42" t="inlineStr"/>
      <c r="BD42" t="inlineStr"/>
      <c r="BE42" t="inlineStr"/>
      <c r="BF42" t="inlineStr"/>
      <c r="BG42" t="inlineStr"/>
      <c r="BH42" t="inlineStr"/>
      <c r="BI42" t="inlineStr"/>
      <c r="BJ42" t="inlineStr"/>
      <c r="BK42" t="inlineStr"/>
      <c r="BL42" t="inlineStr"/>
      <c r="BM42" t="inlineStr"/>
      <c r="BN42" t="inlineStr"/>
      <c r="BO42" t="inlineStr"/>
      <c r="BP42" t="inlineStr"/>
      <c r="BQ42" t="inlineStr"/>
      <c r="BR42" t="inlineStr"/>
      <c r="BS42" t="inlineStr"/>
      <c r="BT42" t="inlineStr"/>
      <c r="BU42" t="inlineStr"/>
      <c r="BV42" t="inlineStr"/>
      <c r="BW42" t="inlineStr"/>
      <c r="BX42" t="inlineStr"/>
      <c r="BY42" t="inlineStr"/>
      <c r="BZ42" t="inlineStr"/>
      <c r="CA42" t="inlineStr"/>
      <c r="CB42" t="inlineStr"/>
      <c r="CC42" t="inlineStr"/>
      <c r="CD42" t="inlineStr"/>
      <c r="CE42" t="inlineStr"/>
      <c r="CF42" t="inlineStr"/>
      <c r="CG42" t="inlineStr"/>
      <c r="CH42" t="inlineStr"/>
      <c r="CI42" t="inlineStr"/>
      <c r="CJ42" t="inlineStr"/>
      <c r="CK42" t="inlineStr"/>
      <c r="CL42" t="inlineStr"/>
      <c r="CM42" t="inlineStr"/>
      <c r="CN42" t="inlineStr"/>
      <c r="CO42" t="inlineStr"/>
      <c r="CP42" t="inlineStr"/>
      <c r="CQ42" t="inlineStr"/>
      <c r="CR42" t="inlineStr"/>
      <c r="CS42" t="inlineStr"/>
      <c r="CT42" t="inlineStr"/>
      <c r="CU42" t="inlineStr"/>
      <c r="CV42" t="inlineStr"/>
      <c r="CW42" t="inlineStr"/>
      <c r="CX42" t="inlineStr"/>
      <c r="CY42" t="inlineStr"/>
      <c r="CZ42" t="inlineStr"/>
      <c r="DA42" t="inlineStr"/>
      <c r="DB42" t="inlineStr"/>
      <c r="DC42" t="inlineStr"/>
      <c r="DD42" t="inlineStr"/>
      <c r="DE42" t="inlineStr"/>
      <c r="DF42" t="inlineStr"/>
      <c r="DG42" t="inlineStr"/>
      <c r="DH42" t="inlineStr"/>
      <c r="DI42" t="inlineStr"/>
      <c r="DJ42" t="inlineStr"/>
      <c r="DK42" t="inlineStr"/>
      <c r="DL42" t="inlineStr"/>
      <c r="DM42" t="inlineStr"/>
      <c r="DN42" t="inlineStr"/>
      <c r="DO42" t="inlineStr"/>
      <c r="DP42" t="inlineStr"/>
      <c r="DQ42" t="inlineStr"/>
      <c r="DR42" t="inlineStr"/>
      <c r="DS42" t="inlineStr"/>
      <c r="DT42" t="inlineStr"/>
      <c r="DU42" t="inlineStr"/>
      <c r="DV42" t="inlineStr"/>
      <c r="DW42" t="inlineStr"/>
      <c r="DX42" t="inlineStr"/>
      <c r="DY42" t="inlineStr"/>
      <c r="DZ42" t="inlineStr"/>
      <c r="EA42" t="inlineStr"/>
      <c r="EB42" t="inlineStr"/>
      <c r="EC42" t="inlineStr"/>
      <c r="ED42" t="inlineStr"/>
      <c r="EE42" t="inlineStr"/>
      <c r="EF42" t="inlineStr"/>
      <c r="EG42" t="inlineStr"/>
      <c r="EH42" t="inlineStr"/>
      <c r="EI42" t="inlineStr"/>
      <c r="EJ42" t="inlineStr"/>
      <c r="EK42" t="inlineStr"/>
      <c r="EL42" t="inlineStr"/>
      <c r="EM42" t="inlineStr"/>
      <c r="EN42" t="inlineStr"/>
      <c r="EO42" t="inlineStr"/>
      <c r="EP42" t="inlineStr"/>
      <c r="EQ42" t="inlineStr"/>
      <c r="ER42" t="inlineStr"/>
      <c r="ES42" t="inlineStr"/>
      <c r="ET42" t="inlineStr"/>
      <c r="EU42" t="inlineStr"/>
      <c r="EV42" t="inlineStr"/>
      <c r="EW42" t="inlineStr"/>
      <c r="EX42" t="inlineStr"/>
      <c r="EY42" t="inlineStr"/>
      <c r="EZ42" t="inlineStr"/>
      <c r="FA42" t="inlineStr"/>
      <c r="FB42" t="inlineStr"/>
      <c r="FC42" t="inlineStr"/>
      <c r="FD42" t="inlineStr"/>
      <c r="FE42" t="inlineStr"/>
      <c r="FF42" t="inlineStr"/>
      <c r="FG42" t="inlineStr"/>
      <c r="FH42" t="inlineStr"/>
      <c r="FI42" t="inlineStr"/>
      <c r="FJ42" t="inlineStr"/>
      <c r="FK42" t="inlineStr"/>
      <c r="FL42" t="inlineStr"/>
      <c r="FM42" t="inlineStr"/>
      <c r="FN42" t="inlineStr"/>
      <c r="FO42" t="inlineStr"/>
      <c r="FP42" t="inlineStr"/>
      <c r="FQ42" t="inlineStr"/>
      <c r="FR42" t="inlineStr"/>
      <c r="FS42" t="inlineStr"/>
      <c r="FT42" t="inlineStr"/>
      <c r="FU42" t="inlineStr"/>
      <c r="FV42" t="inlineStr"/>
      <c r="FW42" t="inlineStr"/>
      <c r="FX42" t="inlineStr"/>
      <c r="FY42" t="inlineStr"/>
      <c r="FZ42" t="inlineStr"/>
      <c r="GA42" t="inlineStr"/>
      <c r="GB42" t="inlineStr"/>
      <c r="GC42" t="inlineStr"/>
      <c r="GD42" t="inlineStr"/>
      <c r="GE42" t="inlineStr"/>
      <c r="GF42" t="inlineStr"/>
      <c r="GG42" t="inlineStr"/>
      <c r="GH42" t="inlineStr"/>
      <c r="GI42" t="inlineStr"/>
      <c r="GJ42" t="inlineStr"/>
      <c r="GK42" t="inlineStr"/>
      <c r="GL42" t="inlineStr"/>
      <c r="GM42" t="inlineStr"/>
      <c r="GN42" t="inlineStr"/>
      <c r="GO42" t="inlineStr"/>
      <c r="GP42" t="inlineStr"/>
      <c r="GQ42" t="inlineStr"/>
      <c r="GR42" t="inlineStr"/>
      <c r="GS42" t="inlineStr"/>
      <c r="GT42" t="inlineStr"/>
      <c r="GU42" t="inlineStr"/>
      <c r="GV42" t="inlineStr"/>
      <c r="GW42" t="inlineStr"/>
      <c r="GX42" t="inlineStr"/>
      <c r="GY42" t="inlineStr"/>
      <c r="GZ42" t="inlineStr"/>
      <c r="HA42" t="inlineStr"/>
      <c r="HB42" t="inlineStr"/>
      <c r="HC42" t="inlineStr"/>
      <c r="HD42" t="inlineStr"/>
      <c r="HE42" t="inlineStr"/>
      <c r="HF42" t="inlineStr"/>
      <c r="HG42" t="inlineStr"/>
      <c r="HH42" t="inlineStr"/>
      <c r="HI42" t="inlineStr"/>
      <c r="HJ42" t="inlineStr"/>
      <c r="HK42" t="inlineStr"/>
      <c r="HL42" t="inlineStr"/>
      <c r="HM42" t="inlineStr"/>
      <c r="HN42" t="inlineStr"/>
      <c r="HO42" t="inlineStr"/>
      <c r="HP42" t="inlineStr"/>
      <c r="HQ42" t="inlineStr"/>
      <c r="HR42" t="inlineStr"/>
      <c r="HS42" t="inlineStr"/>
      <c r="HT42" t="inlineStr"/>
      <c r="HU42" t="inlineStr"/>
      <c r="HV42" t="inlineStr"/>
      <c r="HW42" t="inlineStr"/>
      <c r="HX42" t="inlineStr"/>
      <c r="HY42" t="inlineStr"/>
      <c r="HZ42" t="inlineStr"/>
      <c r="IA42" t="inlineStr"/>
      <c r="IB42" t="inlineStr"/>
      <c r="IC42" t="inlineStr"/>
      <c r="ID42" t="inlineStr"/>
      <c r="IE42" t="inlineStr"/>
      <c r="IF42" t="inlineStr"/>
      <c r="IG42" t="inlineStr"/>
      <c r="IH42" t="inlineStr"/>
      <c r="II42" t="inlineStr"/>
      <c r="IJ42" t="inlineStr"/>
      <c r="IK42" t="inlineStr"/>
      <c r="IL42" t="inlineStr"/>
      <c r="IM42" t="inlineStr"/>
      <c r="IN42" t="inlineStr"/>
      <c r="IO42" t="inlineStr"/>
      <c r="IP42" t="inlineStr"/>
      <c r="IQ42" t="inlineStr"/>
      <c r="IR42" t="inlineStr"/>
      <c r="IS42">
        <f>IF(input_content_type="",FALSE,ISNUMBER(SEARCH(","&amp;LOWER(input_content_type)&amp;",",","&amp;LOWER(F42)&amp;",")))</f>
        <v/>
      </c>
      <c r="IT42">
        <f>AND(IF(M42="",TRUE,IF(input_affiliations="",FALSE,SUMPRODUCT(--ISNUMBER(SEARCH(","&amp;TRIM(TEXTSPLIT(M42,","))&amp;",",","&amp;SUBSTITUTE(input_affiliations," ","")&amp;",")))&gt;0)),IF(O42="",TRUE,IF(input_affiliations="",FALSE,SUMPRODUCT(--ISNUMBER(SEARCH(","&amp;TRIM(TEXTSPLIT(O42,","))&amp;",",","&amp;SUBSTITUTE(input_affiliations," ","")&amp;",")))=COUNTA(TEXTSPLIT(O42,",")))),IF(Q42="",TRUE,IF(input_affiliations="",TRUE,SUMPRODUCT(--ISNUMBER(SEARCH(","&amp;TRIM(TEXTSPLIT(Q42,","))&amp;",",","&amp;SUBSTITUTE(input_affiliations," ","")&amp;",")))=0)),IF(S42="",TRUE,IF(input_affiliations="",FALSE,SUMPRODUCT(--ISNUMBER(SEARCH(","&amp;TRIM(TEXTSPLIT(S42,","))&amp;",",","&amp;SUBSTITUTE(input_affiliations," ","")&amp;",")))&gt;0)),IF(U42="",TRUE,IF(input_affiliations="",FALSE,SUMPRODUCT(--ISNUMBER(SEARCH(","&amp;TRIM(TEXTSPLIT(U42,","))&amp;",",","&amp;SUBSTITUTE(input_affiliations," ","")&amp;",")))=COUNTA(TEXTSPLIT(U42,",")))))</f>
        <v/>
      </c>
      <c r="IU42">
        <f>AND(IF(W42="",TRUE,IF(input_announcement_category="",FALSE,SUMPRODUCT(--ISNUMBER(SEARCH(","&amp;TRIM(TEXTSPLIT(W42,","))&amp;",",","&amp;SUBSTITUTE(input_announcement_category," ","")&amp;",")))&gt;0)),IF(Y42="",TRUE,IF(input_announcement_category="",FALSE,SUMPRODUCT(--ISNUMBER(SEARCH(","&amp;TRIM(TEXTSPLIT(Y42,","))&amp;",",","&amp;SUBSTITUTE(input_announcement_category," ","")&amp;",")))=COUNTA(TEXTSPLIT(Y42,",")))),IF(AA42="",TRUE,IF(input_announcement_category="",TRUE,SUMPRODUCT(--ISNUMBER(SEARCH(","&amp;TRIM(TEXTSPLIT(AA42,","))&amp;",",","&amp;SUBSTITUTE(input_announcement_category," ","")&amp;",")))=0)),IF(AC42="",TRUE,IF(input_announcement_category="",FALSE,SUMPRODUCT(--ISNUMBER(SEARCH(","&amp;TRIM(TEXTSPLIT(AC42,","))&amp;",",","&amp;SUBSTITUTE(input_announcement_category," ","")&amp;",")))&gt;0)),IF(AE42="",TRUE,IF(input_announcement_category="",FALSE,SUMPRODUCT(--ISNUMBER(SEARCH(","&amp;TRIM(TEXTSPLIT(AE42,","))&amp;",",","&amp;SUBSTITUTE(input_announcement_category," ","")&amp;",")))=COUNTA(TEXTSPLIT(AE42,",")))))</f>
        <v/>
      </c>
      <c r="IV42">
        <f>AND(IF(AG42="",TRUE,IF(input_area_of_focus="",FALSE,SUMPRODUCT(--ISNUMBER(SEARCH(","&amp;TRIM(TEXTSPLIT(AG42,","))&amp;",",","&amp;SUBSTITUTE(input_area_of_focus," ","")&amp;",")))&gt;0)),IF(AI42="",TRUE,IF(input_area_of_focus="",FALSE,SUMPRODUCT(--ISNUMBER(SEARCH(","&amp;TRIM(TEXTSPLIT(AI42,","))&amp;",",","&amp;SUBSTITUTE(input_area_of_focus," ","")&amp;",")))=COUNTA(TEXTSPLIT(AI42,",")))),IF(AK42="",TRUE,IF(input_area_of_focus="",TRUE,SUMPRODUCT(--ISNUMBER(SEARCH(","&amp;TRIM(TEXTSPLIT(AK42,","))&amp;",",","&amp;SUBSTITUTE(input_area_of_focus," ","")&amp;",")))=0)),IF(AM42="",TRUE,IF(input_area_of_focus="",FALSE,SUMPRODUCT(--ISNUMBER(SEARCH(","&amp;TRIM(TEXTSPLIT(AM42,","))&amp;",",","&amp;SUBSTITUTE(input_area_of_focus," ","")&amp;",")))&gt;0)),IF(AO42="",TRUE,IF(input_area_of_focus="",FALSE,SUMPRODUCT(--ISNUMBER(SEARCH(","&amp;TRIM(TEXTSPLIT(AO42,","))&amp;",",","&amp;SUBSTITUTE(input_area_of_focus," ","")&amp;",")))=COUNTA(TEXTSPLIT(AO42,",")))))</f>
        <v/>
      </c>
      <c r="IW42">
        <f>AND(IF(AQ42="",TRUE,IF(input_audience="",FALSE,SUMPRODUCT(--ISNUMBER(SEARCH(","&amp;TRIM(TEXTSPLIT(AQ42,","))&amp;",",","&amp;SUBSTITUTE(input_audience," ","")&amp;",")))&gt;0)),IF(AS42="",TRUE,IF(input_audience="",FALSE,SUMPRODUCT(--ISNUMBER(SEARCH(","&amp;TRIM(TEXTSPLIT(AS42,","))&amp;",",","&amp;SUBSTITUTE(input_audience," ","")&amp;",")))=COUNTA(TEXTSPLIT(AS42,",")))),IF(AU42="",TRUE,IF(input_audience="",TRUE,SUMPRODUCT(--ISNUMBER(SEARCH(","&amp;TRIM(TEXTSPLIT(AU42,","))&amp;",",","&amp;SUBSTITUTE(input_audience," ","")&amp;",")))=0)),IF(AW42="",TRUE,IF(input_audience="",FALSE,SUMPRODUCT(--ISNUMBER(SEARCH(","&amp;TRIM(TEXTSPLIT(AW42,","))&amp;",",","&amp;SUBSTITUTE(input_audience," ","")&amp;",")))&gt;0)),IF(AY42="",TRUE,IF(input_audience="",FALSE,SUMPRODUCT(--ISNUMBER(SEARCH(","&amp;TRIM(TEXTSPLIT(AY42,","))&amp;",",","&amp;SUBSTITUTE(input_audience," ","")&amp;",")))=COUNTA(TEXTSPLIT(AY42,",")))))</f>
        <v/>
      </c>
      <c r="IX42">
        <f>AND(IF(BA42="",TRUE,IF(input_challenge_opportunities="",FALSE,SUMPRODUCT(--ISNUMBER(SEARCH(","&amp;TRIM(TEXTSPLIT(BA42,","))&amp;",",","&amp;SUBSTITUTE(input_challenge_opportunities," ","")&amp;",")))&gt;0)),IF(BC42="",TRUE,IF(input_challenge_opportunities="",FALSE,SUMPRODUCT(--ISNUMBER(SEARCH(","&amp;TRIM(TEXTSPLIT(BC42,","))&amp;",",","&amp;SUBSTITUTE(input_challenge_opportunities," ","")&amp;",")))=COUNTA(TEXTSPLIT(BC42,",")))),IF(BE42="",TRUE,IF(input_challenge_opportunities="",TRUE,SUMPRODUCT(--ISNUMBER(SEARCH(","&amp;TRIM(TEXTSPLIT(BE42,","))&amp;",",","&amp;SUBSTITUTE(input_challenge_opportunities," ","")&amp;",")))=0)),IF(BG42="",TRUE,IF(input_challenge_opportunities="",FALSE,SUMPRODUCT(--ISNUMBER(SEARCH(","&amp;TRIM(TEXTSPLIT(BG42,","))&amp;",",","&amp;SUBSTITUTE(input_challenge_opportunities," ","")&amp;",")))&gt;0)),IF(BI42="",TRUE,IF(input_challenge_opportunities="",FALSE,SUMPRODUCT(--ISNUMBER(SEARCH(","&amp;TRIM(TEXTSPLIT(BI42,","))&amp;",",","&amp;SUBSTITUTE(input_challenge_opportunities," ","")&amp;",")))=COUNTA(TEXTSPLIT(BI42,",")))))</f>
        <v/>
      </c>
      <c r="IY42">
        <f>AND(IF(BK42="",TRUE,IF(input_context="",FALSE,SUMPRODUCT(--ISNUMBER(SEARCH(","&amp;TRIM(TEXTSPLIT(BK42,","))&amp;",",","&amp;SUBSTITUTE(input_context," ","")&amp;",")))&gt;0)),IF(BM42="",TRUE,IF(input_context="",FALSE,SUMPRODUCT(--ISNUMBER(SEARCH(","&amp;TRIM(TEXTSPLIT(BM42,","))&amp;",",","&amp;SUBSTITUTE(input_context," ","")&amp;",")))=COUNTA(TEXTSPLIT(BM42,",")))),IF(BO42="",TRUE,IF(input_context="",TRUE,SUMPRODUCT(--ISNUMBER(SEARCH(","&amp;TRIM(TEXTSPLIT(BO42,","))&amp;",",","&amp;SUBSTITUTE(input_context," ","")&amp;",")))=0)),IF(BQ42="",TRUE,IF(input_context="",FALSE,SUMPRODUCT(--ISNUMBER(SEARCH(","&amp;TRIM(TEXTSPLIT(BQ42,","))&amp;",",","&amp;SUBSTITUTE(input_context," ","")&amp;",")))&gt;0)),IF(BS42="",TRUE,IF(input_context="",FALSE,SUMPRODUCT(--ISNUMBER(SEARCH(","&amp;TRIM(TEXTSPLIT(BS42,","))&amp;",",","&amp;SUBSTITUTE(input_context," ","")&amp;",")))=COUNTA(TEXTSPLIT(BS42,",")))))</f>
        <v/>
      </c>
      <c r="IZ42">
        <f>AND(IF(BU42="",TRUE,IF(input_enews_announcement_type="",FALSE,SUMPRODUCT(--ISNUMBER(SEARCH(","&amp;TRIM(TEXTSPLIT(BU42,","))&amp;",",","&amp;SUBSTITUTE(input_enews_announcement_type," ","")&amp;",")))&gt;0)),IF(BW42="",TRUE,IF(input_enews_announcement_type="",FALSE,SUMPRODUCT(--ISNUMBER(SEARCH(","&amp;TRIM(TEXTSPLIT(BW42,","))&amp;",",","&amp;SUBSTITUTE(input_enews_announcement_type," ","")&amp;",")))=COUNTA(TEXTSPLIT(BW42,",")))),IF(BY42="",TRUE,IF(input_enews_announcement_type="",TRUE,SUMPRODUCT(--ISNUMBER(SEARCH(","&amp;TRIM(TEXTSPLIT(BY42,","))&amp;",",","&amp;SUBSTITUTE(input_enews_announcement_type," ","")&amp;",")))=0)),IF(CA42="",TRUE,IF(input_enews_announcement_type="",FALSE,SUMPRODUCT(--ISNUMBER(SEARCH(","&amp;TRIM(TEXTSPLIT(CA42,","))&amp;",",","&amp;SUBSTITUTE(input_enews_announcement_type," ","")&amp;",")))&gt;0)),IF(CC42="",TRUE,IF(input_enews_announcement_type="",FALSE,SUMPRODUCT(--ISNUMBER(SEARCH(","&amp;TRIM(TEXTSPLIT(CC42,","))&amp;",",","&amp;SUBSTITUTE(input_enews_announcement_type," ","")&amp;",")))=COUNTA(TEXTSPLIT(CC42,",")))))</f>
        <v/>
      </c>
      <c r="JA42">
        <f>AND(IF(CE42="",TRUE,IF(input_enews_audience="",FALSE,SUMPRODUCT(--ISNUMBER(SEARCH(","&amp;TRIM(TEXTSPLIT(CE42,","))&amp;",",","&amp;SUBSTITUTE(input_enews_audience," ","")&amp;",")))&gt;0)),IF(CG42="",TRUE,IF(input_enews_audience="",FALSE,SUMPRODUCT(--ISNUMBER(SEARCH(","&amp;TRIM(TEXTSPLIT(CG42,","))&amp;",",","&amp;SUBSTITUTE(input_enews_audience," ","")&amp;",")))=COUNTA(TEXTSPLIT(CG42,",")))),IF(CI42="",TRUE,IF(input_enews_audience="",TRUE,SUMPRODUCT(--ISNUMBER(SEARCH(","&amp;TRIM(TEXTSPLIT(CI42,","))&amp;",",","&amp;SUBSTITUTE(input_enews_audience," ","")&amp;",")))=0)),IF(CK42="",TRUE,IF(input_enews_audience="",FALSE,SUMPRODUCT(--ISNUMBER(SEARCH(","&amp;TRIM(TEXTSPLIT(CK42,","))&amp;",",","&amp;SUBSTITUTE(input_enews_audience," ","")&amp;",")))&gt;0)),IF(CM42="",TRUE,IF(input_enews_audience="",FALSE,SUMPRODUCT(--ISNUMBER(SEARCH(","&amp;TRIM(TEXTSPLIT(CM42,","))&amp;",",","&amp;SUBSTITUTE(input_enews_audience," ","")&amp;",")))=COUNTA(TEXTSPLIT(CM42,",")))))</f>
        <v/>
      </c>
      <c r="JB42">
        <f>AND(IF(CO42="",TRUE,IF(input_event_location="",FALSE,SUMPRODUCT(--ISNUMBER(SEARCH(","&amp;TRIM(TEXTSPLIT(CO42,","))&amp;",",","&amp;SUBSTITUTE(input_event_location," ","")&amp;",")))&gt;0)),IF(CQ42="",TRUE,IF(input_event_location="",FALSE,SUMPRODUCT(--ISNUMBER(SEARCH(","&amp;TRIM(TEXTSPLIT(CQ42,","))&amp;",",","&amp;SUBSTITUTE(input_event_location," ","")&amp;",")))=COUNTA(TEXTSPLIT(CQ42,",")))),IF(CS42="",TRUE,IF(input_event_location="",TRUE,SUMPRODUCT(--ISNUMBER(SEARCH(","&amp;TRIM(TEXTSPLIT(CS42,","))&amp;",",","&amp;SUBSTITUTE(input_event_location," ","")&amp;",")))=0)),IF(CU42="",TRUE,IF(input_event_location="",FALSE,SUMPRODUCT(--ISNUMBER(SEARCH(","&amp;TRIM(TEXTSPLIT(CU42,","))&amp;",",","&amp;SUBSTITUTE(input_event_location," ","")&amp;",")))&gt;0)),IF(CW42="",TRUE,IF(input_event_location="",FALSE,SUMPRODUCT(--ISNUMBER(SEARCH(","&amp;TRIM(TEXTSPLIT(CW42,","))&amp;",",","&amp;SUBSTITUTE(input_event_location," ","")&amp;",")))=COUNTA(TEXTSPLIT(CW42,",")))))</f>
        <v/>
      </c>
      <c r="JC42">
        <f>AND(IF(CY42="",TRUE,IF(input_event_type="",FALSE,SUMPRODUCT(--ISNUMBER(SEARCH(","&amp;TRIM(TEXTSPLIT(CY42,","))&amp;",",","&amp;SUBSTITUTE(input_event_type," ","")&amp;",")))&gt;0)),IF(DA42="",TRUE,IF(input_event_type="",FALSE,SUMPRODUCT(--ISNUMBER(SEARCH(","&amp;TRIM(TEXTSPLIT(DA42,","))&amp;",",","&amp;SUBSTITUTE(input_event_type," ","")&amp;",")))=COUNTA(TEXTSPLIT(DA42,",")))),IF(DC42="",TRUE,IF(input_event_type="",TRUE,SUMPRODUCT(--ISNUMBER(SEARCH(","&amp;TRIM(TEXTSPLIT(DC42,","))&amp;",",","&amp;SUBSTITUTE(input_event_type," ","")&amp;",")))=0)),IF(DE42="",TRUE,IF(input_event_type="",FALSE,SUMPRODUCT(--ISNUMBER(SEARCH(","&amp;TRIM(TEXTSPLIT(DE42,","))&amp;",",","&amp;SUBSTITUTE(input_event_type," ","")&amp;",")))&gt;0)),IF(DG42="",TRUE,IF(input_event_type="",FALSE,SUMPRODUCT(--ISNUMBER(SEARCH(","&amp;TRIM(TEXTSPLIT(DG42,","))&amp;",",","&amp;SUBSTITUTE(input_event_type," ","")&amp;",")))=COUNTA(TEXTSPLIT(DG42,",")))))</f>
        <v/>
      </c>
      <c r="JD42">
        <f>AND(IF(DI42="",TRUE,IF(input_executive_education_focus="",FALSE,SUMPRODUCT(--ISNUMBER(SEARCH(","&amp;TRIM(TEXTSPLIT(DI42,","))&amp;",",","&amp;SUBSTITUTE(input_executive_education_focus," ","")&amp;",")))&gt;0)),IF(DK42="",TRUE,IF(input_executive_education_focus="",FALSE,SUMPRODUCT(--ISNUMBER(SEARCH(","&amp;TRIM(TEXTSPLIT(DK42,","))&amp;",",","&amp;SUBSTITUTE(input_executive_education_focus," ","")&amp;",")))=COUNTA(TEXTSPLIT(DK42,",")))),IF(DM42="",TRUE,IF(input_executive_education_focus="",TRUE,SUMPRODUCT(--ISNUMBER(SEARCH(","&amp;TRIM(TEXTSPLIT(DM42,","))&amp;",",","&amp;SUBSTITUTE(input_executive_education_focus," ","")&amp;",")))=0)),IF(DO42="",TRUE,IF(input_executive_education_focus="",FALSE,SUMPRODUCT(--ISNUMBER(SEARCH(","&amp;TRIM(TEXTSPLIT(DO42,","))&amp;",",","&amp;SUBSTITUTE(input_executive_education_focus," ","")&amp;",")))&gt;0)),IF(DQ42="",TRUE,IF(input_executive_education_focus="",FALSE,SUMPRODUCT(--ISNUMBER(SEARCH(","&amp;TRIM(TEXTSPLIT(DQ42,","))&amp;",",","&amp;SUBSTITUTE(input_executive_education_focus," ","")&amp;",")))=COUNTA(TEXTSPLIT(DQ42,",")))))</f>
        <v/>
      </c>
      <c r="JE42">
        <f>AND(IF(DS42="",TRUE,IF(input_faculty_category="",FALSE,SUMPRODUCT(--ISNUMBER(SEARCH(","&amp;TRIM(TEXTSPLIT(DS42,","))&amp;",",","&amp;SUBSTITUTE(input_faculty_category," ","")&amp;",")))&gt;0)),IF(DU42="",TRUE,IF(input_faculty_category="",FALSE,SUMPRODUCT(--ISNUMBER(SEARCH(","&amp;TRIM(TEXTSPLIT(DU42,","))&amp;",",","&amp;SUBSTITUTE(input_faculty_category," ","")&amp;",")))=COUNTA(TEXTSPLIT(DU42,",")))),IF(DW42="",TRUE,IF(input_faculty_category="",TRUE,SUMPRODUCT(--ISNUMBER(SEARCH(","&amp;TRIM(TEXTSPLIT(DW42,","))&amp;",",","&amp;SUBSTITUTE(input_faculty_category," ","")&amp;",")))=0)),IF(DY42="",TRUE,IF(input_faculty_category="",FALSE,SUMPRODUCT(--ISNUMBER(SEARCH(","&amp;TRIM(TEXTSPLIT(DY42,","))&amp;",",","&amp;SUBSTITUTE(input_faculty_category," ","")&amp;",")))&gt;0)),IF(EA42="",TRUE,IF(input_faculty_category="",FALSE,SUMPRODUCT(--ISNUMBER(SEARCH(","&amp;TRIM(TEXTSPLIT(EA42,","))&amp;",",","&amp;SUBSTITUTE(input_faculty_category," ","")&amp;",")))=COUNTA(TEXTSPLIT(EA42,",")))))</f>
        <v/>
      </c>
      <c r="JF42">
        <f>AND(IF(EC42="",TRUE,IF(input_faculty_discipline="",FALSE,SUMPRODUCT(--ISNUMBER(SEARCH(","&amp;TRIM(TEXTSPLIT(EC42,","))&amp;",",","&amp;SUBSTITUTE(input_faculty_discipline," ","")&amp;",")))&gt;0)),IF(EE42="",TRUE,IF(input_faculty_discipline="",FALSE,SUMPRODUCT(--ISNUMBER(SEARCH(","&amp;TRIM(TEXTSPLIT(EE42,","))&amp;",",","&amp;SUBSTITUTE(input_faculty_discipline," ","")&amp;",")))=COUNTA(TEXTSPLIT(EE42,",")))),IF(EG42="",TRUE,IF(input_faculty_discipline="",TRUE,SUMPRODUCT(--ISNUMBER(SEARCH(","&amp;TRIM(TEXTSPLIT(EG42,","))&amp;",",","&amp;SUBSTITUTE(input_faculty_discipline," ","")&amp;",")))=0)),IF(EI42="",TRUE,IF(input_faculty_discipline="",FALSE,SUMPRODUCT(--ISNUMBER(SEARCH(","&amp;TRIM(TEXTSPLIT(EI42,","))&amp;",",","&amp;SUBSTITUTE(input_faculty_discipline," ","")&amp;",")))&gt;0)),IF(EK42="",TRUE,IF(input_faculty_discipline="",FALSE,SUMPRODUCT(--ISNUMBER(SEARCH(","&amp;TRIM(TEXTSPLIT(EK42,","))&amp;",",","&amp;SUBSTITUTE(input_faculty_discipline," ","")&amp;",")))=COUNTA(TEXTSPLIT(EK42,",")))))</f>
        <v/>
      </c>
      <c r="JG42">
        <f>AND(IF(EM42="",TRUE,IF(input_faculty_expertise="",FALSE,SUMPRODUCT(--ISNUMBER(SEARCH(","&amp;TRIM(TEXTSPLIT(EM42,","))&amp;",",","&amp;SUBSTITUTE(input_faculty_expertise," ","")&amp;",")))&gt;0)),IF(EO42="",TRUE,IF(input_faculty_expertise="",FALSE,SUMPRODUCT(--ISNUMBER(SEARCH(","&amp;TRIM(TEXTSPLIT(EO42,","))&amp;",",","&amp;SUBSTITUTE(input_faculty_expertise," ","")&amp;",")))=COUNTA(TEXTSPLIT(EO42,",")))),IF(EQ42="",TRUE,IF(input_faculty_expertise="",TRUE,SUMPRODUCT(--ISNUMBER(SEARCH(","&amp;TRIM(TEXTSPLIT(EQ42,","))&amp;",",","&amp;SUBSTITUTE(input_faculty_expertise," ","")&amp;",")))=0)),IF(ES42="",TRUE,IF(input_faculty_expertise="",FALSE,SUMPRODUCT(--ISNUMBER(SEARCH(","&amp;TRIM(TEXTSPLIT(ES42,","))&amp;",",","&amp;SUBSTITUTE(input_faculty_expertise," ","")&amp;",")))&gt;0)),IF(EU42="",TRUE,IF(input_faculty_expertise="",FALSE,SUMPRODUCT(--ISNUMBER(SEARCH(","&amp;TRIM(TEXTSPLIT(EU42,","))&amp;",",","&amp;SUBSTITUTE(input_faculty_expertise," ","")&amp;",")))=COUNTA(TEXTSPLIT(EU42,",")))))</f>
        <v/>
      </c>
      <c r="JH42">
        <f>AND(IF(EW42="",TRUE,IF(input_global_network_school="",FALSE,SUMPRODUCT(--ISNUMBER(SEARCH(","&amp;TRIM(TEXTSPLIT(EW42,","))&amp;",",","&amp;SUBSTITUTE(input_global_network_school," ","")&amp;",")))&gt;0)),IF(EY42="",TRUE,IF(input_global_network_school="",FALSE,SUMPRODUCT(--ISNUMBER(SEARCH(","&amp;TRIM(TEXTSPLIT(EY42,","))&amp;",",","&amp;SUBSTITUTE(input_global_network_school," ","")&amp;",")))=COUNTA(TEXTSPLIT(EY42,",")))),IF(FA42="",TRUE,IF(input_global_network_school="",TRUE,SUMPRODUCT(--ISNUMBER(SEARCH(","&amp;TRIM(TEXTSPLIT(FA42,","))&amp;",",","&amp;SUBSTITUTE(input_global_network_school," ","")&amp;",")))=0)),IF(FC42="",TRUE,IF(input_global_network_school="",FALSE,SUMPRODUCT(--ISNUMBER(SEARCH(","&amp;TRIM(TEXTSPLIT(FC42,","))&amp;",",","&amp;SUBSTITUTE(input_global_network_school," ","")&amp;",")))&gt;0)),IF(FE42="",TRUE,IF(input_global_network_school="",FALSE,SUMPRODUCT(--ISNUMBER(SEARCH(","&amp;TRIM(TEXTSPLIT(FE42,","))&amp;",",","&amp;SUBSTITUTE(input_global_network_school," ","")&amp;",")))=COUNTA(TEXTSPLIT(FE42,",")))))</f>
        <v/>
      </c>
      <c r="JI42">
        <f>AND(IF(FG42="",TRUE,IF(input_industry="",FALSE,SUMPRODUCT(--ISNUMBER(SEARCH(","&amp;TRIM(TEXTSPLIT(FG42,","))&amp;",",","&amp;SUBSTITUTE(input_industry," ","")&amp;",")))&gt;0)),IF(FI42="",TRUE,IF(input_industry="",FALSE,SUMPRODUCT(--ISNUMBER(SEARCH(","&amp;TRIM(TEXTSPLIT(FI42,","))&amp;",",","&amp;SUBSTITUTE(input_industry," ","")&amp;",")))=COUNTA(TEXTSPLIT(FI42,",")))),IF(FK42="",TRUE,IF(input_industry="",TRUE,SUMPRODUCT(--ISNUMBER(SEARCH(","&amp;TRIM(TEXTSPLIT(FK42,","))&amp;",",","&amp;SUBSTITUTE(input_industry," ","")&amp;",")))=0)),IF(FM42="",TRUE,IF(input_industry="",FALSE,SUMPRODUCT(--ISNUMBER(SEARCH(","&amp;TRIM(TEXTSPLIT(FM42,","))&amp;",",","&amp;SUBSTITUTE(input_industry," ","")&amp;",")))&gt;0)),IF(FO42="",TRUE,IF(input_industry="",FALSE,SUMPRODUCT(--ISNUMBER(SEARCH(","&amp;TRIM(TEXTSPLIT(FO42,","))&amp;",",","&amp;SUBSTITUTE(input_industry," ","")&amp;",")))=COUNTA(TEXTSPLIT(FO42,",")))))</f>
        <v/>
      </c>
      <c r="JJ42">
        <f>AND(IF(FQ42="",TRUE,IF(input_location="",FALSE,SUMPRODUCT(--ISNUMBER(SEARCH(","&amp;TRIM(TEXTSPLIT(FQ42,","))&amp;",",","&amp;SUBSTITUTE(input_location," ","")&amp;",")))&gt;0)),IF(FS42="",TRUE,IF(input_location="",FALSE,SUMPRODUCT(--ISNUMBER(SEARCH(","&amp;TRIM(TEXTSPLIT(FS42,","))&amp;",",","&amp;SUBSTITUTE(input_location," ","")&amp;",")))=COUNTA(TEXTSPLIT(FS42,",")))),IF(FU42="",TRUE,IF(input_location="",TRUE,SUMPRODUCT(--ISNUMBER(SEARCH(","&amp;TRIM(TEXTSPLIT(FU42,","))&amp;",",","&amp;SUBSTITUTE(input_location," ","")&amp;",")))=0)),IF(FW42="",TRUE,IF(input_location="",FALSE,SUMPRODUCT(--ISNUMBER(SEARCH(","&amp;TRIM(TEXTSPLIT(FW42,","))&amp;",",","&amp;SUBSTITUTE(input_location," ","")&amp;",")))&gt;0)),IF(FY42="",TRUE,IF(input_location="",FALSE,SUMPRODUCT(--ISNUMBER(SEARCH(","&amp;TRIM(TEXTSPLIT(FY42,","))&amp;",",","&amp;SUBSTITUTE(input_location," ","")&amp;",")))=COUNTA(TEXTSPLIT(FY42,",")))))</f>
        <v/>
      </c>
      <c r="JK42">
        <f>AND(IF(GA42="",TRUE,IF(input_modality="",FALSE,SUMPRODUCT(--ISNUMBER(SEARCH(","&amp;TRIM(TEXTSPLIT(GA42,","))&amp;",",","&amp;SUBSTITUTE(input_modality," ","")&amp;",")))&gt;0)),IF(GC42="",TRUE,IF(input_modality="",FALSE,SUMPRODUCT(--ISNUMBER(SEARCH(","&amp;TRIM(TEXTSPLIT(GC42,","))&amp;",",","&amp;SUBSTITUTE(input_modality," ","")&amp;",")))=COUNTA(TEXTSPLIT(GC42,",")))),IF(GE42="",TRUE,IF(input_modality="",TRUE,SUMPRODUCT(--ISNUMBER(SEARCH(","&amp;TRIM(TEXTSPLIT(GE42,","))&amp;",",","&amp;SUBSTITUTE(input_modality," ","")&amp;",")))=0)),IF(GG42="",TRUE,IF(input_modality="",FALSE,SUMPRODUCT(--ISNUMBER(SEARCH(","&amp;TRIM(TEXTSPLIT(GG42,","))&amp;",",","&amp;SUBSTITUTE(input_modality," ","")&amp;",")))&gt;0)),IF(GI42="",TRUE,IF(input_modality="",FALSE,SUMPRODUCT(--ISNUMBER(SEARCH(","&amp;TRIM(TEXTSPLIT(GI42,","))&amp;",",","&amp;SUBSTITUTE(input_modality," ","")&amp;",")))=COUNTA(TEXTSPLIT(GI42,",")))))</f>
        <v/>
      </c>
      <c r="JL42">
        <f>AND(IF(GK42="",TRUE,IF(input_organizer="",FALSE,SUMPRODUCT(--ISNUMBER(SEARCH(","&amp;TRIM(TEXTSPLIT(GK42,","))&amp;",",","&amp;SUBSTITUTE(input_organizer," ","")&amp;",")))&gt;0)),IF(GM42="",TRUE,IF(input_organizer="",FALSE,SUMPRODUCT(--ISNUMBER(SEARCH(","&amp;TRIM(TEXTSPLIT(GM42,","))&amp;",",","&amp;SUBSTITUTE(input_organizer," ","")&amp;",")))=COUNTA(TEXTSPLIT(GM42,",")))),IF(GO42="",TRUE,IF(input_organizer="",TRUE,SUMPRODUCT(--ISNUMBER(SEARCH(","&amp;TRIM(TEXTSPLIT(GO42,","))&amp;",",","&amp;SUBSTITUTE(input_organizer," ","")&amp;",")))=0)),IF(GQ42="",TRUE,IF(input_organizer="",FALSE,SUMPRODUCT(--ISNUMBER(SEARCH(","&amp;TRIM(TEXTSPLIT(GQ42,","))&amp;",",","&amp;SUBSTITUTE(input_organizer," ","")&amp;",")))&gt;0)),IF(GS42="",TRUE,IF(input_organizer="",FALSE,SUMPRODUCT(--ISNUMBER(SEARCH(","&amp;TRIM(TEXTSPLIT(GS42,","))&amp;",",","&amp;SUBSTITUTE(input_organizer," ","")&amp;",")))=COUNTA(TEXTSPLIT(GS42,",")))))</f>
        <v/>
      </c>
      <c r="JM42">
        <f>AND(IF(GU42="",TRUE,IF(input_profile_type="",FALSE,SUMPRODUCT(--ISNUMBER(SEARCH(","&amp;TRIM(TEXTSPLIT(GU42,","))&amp;",",","&amp;SUBSTITUTE(input_profile_type," ","")&amp;",")))&gt;0)),IF(GW42="",TRUE,IF(input_profile_type="",FALSE,SUMPRODUCT(--ISNUMBER(SEARCH(","&amp;TRIM(TEXTSPLIT(GW42,","))&amp;",",","&amp;SUBSTITUTE(input_profile_type," ","")&amp;",")))=COUNTA(TEXTSPLIT(GW42,",")))),IF(GY42="",TRUE,IF(input_profile_type="",TRUE,SUMPRODUCT(--ISNUMBER(SEARCH(","&amp;TRIM(TEXTSPLIT(GY42,","))&amp;",",","&amp;SUBSTITUTE(input_profile_type," ","")&amp;",")))=0)),IF(HA42="",TRUE,IF(input_profile_type="",FALSE,SUMPRODUCT(--ISNUMBER(SEARCH(","&amp;TRIM(TEXTSPLIT(HA42,","))&amp;",",","&amp;SUBSTITUTE(input_profile_type," ","")&amp;",")))&gt;0)),IF(HC42="",TRUE,IF(input_profile_type="",FALSE,SUMPRODUCT(--ISNUMBER(SEARCH(","&amp;TRIM(TEXTSPLIT(HC42,","))&amp;",",","&amp;SUBSTITUTE(input_profile_type," ","")&amp;",")))=COUNTA(TEXTSPLIT(HC42,",")))))</f>
        <v/>
      </c>
      <c r="JN42">
        <f>AND(IF(HE42="",TRUE,IF(input_program="",FALSE,SUMPRODUCT(--ISNUMBER(SEARCH(","&amp;TRIM(TEXTSPLIT(HE42,","))&amp;",",","&amp;SUBSTITUTE(input_program," ","")&amp;",")))&gt;0)),IF(HG42="",TRUE,IF(input_program="",FALSE,SUMPRODUCT(--ISNUMBER(SEARCH(","&amp;TRIM(TEXTSPLIT(HG42,","))&amp;",",","&amp;SUBSTITUTE(input_program," ","")&amp;",")))=COUNTA(TEXTSPLIT(HG42,",")))),IF(HI42="",TRUE,IF(input_program="",TRUE,SUMPRODUCT(--ISNUMBER(SEARCH(","&amp;TRIM(TEXTSPLIT(HI42,","))&amp;",",","&amp;SUBSTITUTE(input_program," ","")&amp;",")))=0)),IF(HK42="",TRUE,IF(input_program="",FALSE,SUMPRODUCT(--ISNUMBER(SEARCH(","&amp;TRIM(TEXTSPLIT(HK42,","))&amp;",",","&amp;SUBSTITUTE(input_program," ","")&amp;",")))&gt;0)),IF(HM42="",TRUE,IF(input_program="",FALSE,SUMPRODUCT(--ISNUMBER(SEARCH(","&amp;TRIM(TEXTSPLIT(HM42,","))&amp;",",","&amp;SUBSTITUTE(input_program," ","")&amp;",")))=COUNTA(TEXTSPLIT(HM42,",")))))</f>
        <v/>
      </c>
      <c r="JO42">
        <f>AND(IF(HO42="",TRUE,IF(input_story_categories="",FALSE,SUMPRODUCT(--ISNUMBER(SEARCH(","&amp;TRIM(TEXTSPLIT(HO42,","))&amp;",",","&amp;SUBSTITUTE(input_story_categories," ","")&amp;",")))&gt;0)),IF(HQ42="",TRUE,IF(input_story_categories="",FALSE,SUMPRODUCT(--ISNUMBER(SEARCH(","&amp;TRIM(TEXTSPLIT(HQ42,","))&amp;",",","&amp;SUBSTITUTE(input_story_categories," ","")&amp;",")))=COUNTA(TEXTSPLIT(HQ42,",")))),IF(HS42="",TRUE,IF(input_story_categories="",TRUE,SUMPRODUCT(--ISNUMBER(SEARCH(","&amp;TRIM(TEXTSPLIT(HS42,","))&amp;",",","&amp;SUBSTITUTE(input_story_categories," ","")&amp;",")))=0)),IF(HU42="",TRUE,IF(input_story_categories="",FALSE,SUMPRODUCT(--ISNUMBER(SEARCH(","&amp;TRIM(TEXTSPLIT(HU42,","))&amp;",",","&amp;SUBSTITUTE(input_story_categories," ","")&amp;",")))&gt;0)),IF(HW42="",TRUE,IF(input_story_categories="",FALSE,SUMPRODUCT(--ISNUMBER(SEARCH(","&amp;TRIM(TEXTSPLIT(HW42,","))&amp;",",","&amp;SUBSTITUTE(input_story_categories," ","")&amp;",")))=COUNTA(TEXTSPLIT(HW42,",")))))</f>
        <v/>
      </c>
      <c r="JP42">
        <f>AND(IF(HY42="",TRUE,IF(input_story_type="",FALSE,SUMPRODUCT(--ISNUMBER(SEARCH(","&amp;TRIM(TEXTSPLIT(HY42,","))&amp;",",","&amp;SUBSTITUTE(input_story_type," ","")&amp;",")))&gt;0)),IF(IA42="",TRUE,IF(input_story_type="",FALSE,SUMPRODUCT(--ISNUMBER(SEARCH(","&amp;TRIM(TEXTSPLIT(IA42,","))&amp;",",","&amp;SUBSTITUTE(input_story_type," ","")&amp;",")))=COUNTA(TEXTSPLIT(IA42,",")))),IF(IC42="",TRUE,IF(input_story_type="",TRUE,SUMPRODUCT(--ISNUMBER(SEARCH(","&amp;TRIM(TEXTSPLIT(IC42,","))&amp;",",","&amp;SUBSTITUTE(input_story_type," ","")&amp;",")))=0)),IF(IE42="",TRUE,IF(input_story_type="",FALSE,SUMPRODUCT(--ISNUMBER(SEARCH(","&amp;TRIM(TEXTSPLIT(IE42,","))&amp;",",","&amp;SUBSTITUTE(input_story_type," ","")&amp;",")))&gt;0)),IF(IG42="",TRUE,IF(input_story_type="",FALSE,SUMPRODUCT(--ISNUMBER(SEARCH(","&amp;TRIM(TEXTSPLIT(IG42,","))&amp;",",","&amp;SUBSTITUTE(input_story_type," ","")&amp;",")))=COUNTA(TEXTSPLIT(IG42,",")))))</f>
        <v/>
      </c>
      <c r="JQ42">
        <f>AND(IF(II42="",TRUE,IF(input_topics="",FALSE,SUMPRODUCT(--ISNUMBER(SEARCH(","&amp;TRIM(TEXTSPLIT(II42,","))&amp;",",","&amp;SUBSTITUTE(input_topics," ","")&amp;",")))&gt;0)),IF(IK42="",TRUE,IF(input_topics="",FALSE,SUMPRODUCT(--ISNUMBER(SEARCH(","&amp;TRIM(TEXTSPLIT(IK42,","))&amp;",",","&amp;SUBSTITUTE(input_topics," ","")&amp;",")))=COUNTA(TEXTSPLIT(IK42,",")))),IF(IM42="",TRUE,IF(input_topics="",TRUE,SUMPRODUCT(--ISNUMBER(SEARCH(","&amp;TRIM(TEXTSPLIT(IM42,","))&amp;",",","&amp;SUBSTITUTE(input_topics," ","")&amp;",")))=0)),IF(IO42="",TRUE,IF(input_topics="",FALSE,SUMPRODUCT(--ISNUMBER(SEARCH(","&amp;TRIM(TEXTSPLIT(IO42,","))&amp;",",","&amp;SUBSTITUTE(input_topics," ","")&amp;",")))&gt;0)),IF(IQ42="",TRUE,IF(input_topics="",FALSE,SUMPRODUCT(--ISNUMBER(SEARCH(","&amp;TRIM(TEXTSPLIT(IQ42,","))&amp;",",","&amp;SUBSTITUTE(input_topics," ","")&amp;",")))=COUNTA(TEXTSPLIT(IQ42,",")))))</f>
        <v/>
      </c>
    </row>
    <row r="43">
      <c r="A43" s="4">
        <f>IF(NOT(IS43),"Excluded",IF(AND(IT43,IU43,IV43,IW43,IX43,IY43,IZ43,JA43,JB43,JC43,JD43,JE43,JF43,JG43,JH43,JI43,JJ43,JK43,JL43,JM43,JN43,JO43,JP43,JQ43),IF(I43&gt;0,"Eligible but limited","Will appear"),"Excluded"))</f>
        <v/>
      </c>
      <c r="B43" s="4" t="inlineStr">
        <is>
          <t>All Publications by Author</t>
        </is>
      </c>
      <c r="C43" s="4" t="inlineStr">
        <is>
          <t>/faculty-research/faculty-directory/nathan-novemsky</t>
        </is>
      </c>
      <c r="D43" s="4" t="inlineStr">
        <is>
          <t>/faculty-research/faculty-directory/nathan-novemsky</t>
        </is>
      </c>
      <c r="E43" s="4" t="n">
        <v>1</v>
      </c>
      <c r="F43" s="4" t="inlineStr">
        <is>
          <t>publications</t>
        </is>
      </c>
      <c r="G43" s="4" t="inlineStr">
        <is>
          <t>publication_teaser_list</t>
        </is>
      </c>
      <c r="H43" s="4" t="inlineStr">
        <is>
          <t>publication_teaser_list_all_by_author</t>
        </is>
      </c>
      <c r="I43" s="4" t="inlineStr"/>
      <c r="J43" s="4" t="inlineStr">
        <is>
          <t>View/config rules</t>
        </is>
      </c>
      <c r="K43" s="4" t="inlineStr">
        <is>
          <t>Page placement</t>
        </is>
      </c>
      <c r="L43" s="4" t="inlineStr">
        <is>
          <t>Content type: publications; Source: View/config rules</t>
        </is>
      </c>
      <c r="M43" t="inlineStr"/>
      <c r="N43" t="inlineStr"/>
      <c r="O43" t="inlineStr"/>
      <c r="P43" t="inlineStr"/>
      <c r="Q43" t="inlineStr"/>
      <c r="R43" t="inlineStr"/>
      <c r="S43" t="inlineStr"/>
      <c r="T43" t="inlineStr"/>
      <c r="U43" t="inlineStr"/>
      <c r="V43" t="inlineStr"/>
      <c r="W43" t="inlineStr"/>
      <c r="X43" t="inlineStr"/>
      <c r="Y43" t="inlineStr"/>
      <c r="Z43" t="inlineStr"/>
      <c r="AA43" t="inlineStr"/>
      <c r="AB43" t="inlineStr"/>
      <c r="AC43" t="inlineStr"/>
      <c r="AD43" t="inlineStr"/>
      <c r="AE43" t="inlineStr"/>
      <c r="AF43" t="inlineStr"/>
      <c r="AG43" t="inlineStr"/>
      <c r="AH43" t="inlineStr"/>
      <c r="AI43" t="inlineStr"/>
      <c r="AJ43" t="inlineStr"/>
      <c r="AK43" t="inlineStr"/>
      <c r="AL43" t="inlineStr"/>
      <c r="AM43" t="inlineStr"/>
      <c r="AN43" t="inlineStr"/>
      <c r="AO43" t="inlineStr"/>
      <c r="AP43" t="inlineStr"/>
      <c r="AQ43" t="inlineStr"/>
      <c r="AR43" t="inlineStr"/>
      <c r="AS43" t="inlineStr"/>
      <c r="AT43" t="inlineStr"/>
      <c r="AU43" t="inlineStr"/>
      <c r="AV43" t="inlineStr"/>
      <c r="AW43" t="inlineStr"/>
      <c r="AX43" t="inlineStr"/>
      <c r="AY43" t="inlineStr"/>
      <c r="AZ43" t="inlineStr"/>
      <c r="BA43" t="inlineStr"/>
      <c r="BB43" t="inlineStr"/>
      <c r="BC43" t="inlineStr"/>
      <c r="BD43" t="inlineStr"/>
      <c r="BE43" t="inlineStr"/>
      <c r="BF43" t="inlineStr"/>
      <c r="BG43" t="inlineStr"/>
      <c r="BH43" t="inlineStr"/>
      <c r="BI43" t="inlineStr"/>
      <c r="BJ43" t="inlineStr"/>
      <c r="BK43" t="inlineStr"/>
      <c r="BL43" t="inlineStr"/>
      <c r="BM43" t="inlineStr"/>
      <c r="BN43" t="inlineStr"/>
      <c r="BO43" t="inlineStr"/>
      <c r="BP43" t="inlineStr"/>
      <c r="BQ43" t="inlineStr"/>
      <c r="BR43" t="inlineStr"/>
      <c r="BS43" t="inlineStr"/>
      <c r="BT43" t="inlineStr"/>
      <c r="BU43" t="inlineStr"/>
      <c r="BV43" t="inlineStr"/>
      <c r="BW43" t="inlineStr"/>
      <c r="BX43" t="inlineStr"/>
      <c r="BY43" t="inlineStr"/>
      <c r="BZ43" t="inlineStr"/>
      <c r="CA43" t="inlineStr"/>
      <c r="CB43" t="inlineStr"/>
      <c r="CC43" t="inlineStr"/>
      <c r="CD43" t="inlineStr"/>
      <c r="CE43" t="inlineStr"/>
      <c r="CF43" t="inlineStr"/>
      <c r="CG43" t="inlineStr"/>
      <c r="CH43" t="inlineStr"/>
      <c r="CI43" t="inlineStr"/>
      <c r="CJ43" t="inlineStr"/>
      <c r="CK43" t="inlineStr"/>
      <c r="CL43" t="inlineStr"/>
      <c r="CM43" t="inlineStr"/>
      <c r="CN43" t="inlineStr"/>
      <c r="CO43" t="inlineStr"/>
      <c r="CP43" t="inlineStr"/>
      <c r="CQ43" t="inlineStr"/>
      <c r="CR43" t="inlineStr"/>
      <c r="CS43" t="inlineStr"/>
      <c r="CT43" t="inlineStr"/>
      <c r="CU43" t="inlineStr"/>
      <c r="CV43" t="inlineStr"/>
      <c r="CW43" t="inlineStr"/>
      <c r="CX43" t="inlineStr"/>
      <c r="CY43" t="inlineStr"/>
      <c r="CZ43" t="inlineStr"/>
      <c r="DA43" t="inlineStr"/>
      <c r="DB43" t="inlineStr"/>
      <c r="DC43" t="inlineStr"/>
      <c r="DD43" t="inlineStr"/>
      <c r="DE43" t="inlineStr"/>
      <c r="DF43" t="inlineStr"/>
      <c r="DG43" t="inlineStr"/>
      <c r="DH43" t="inlineStr"/>
      <c r="DI43" t="inlineStr"/>
      <c r="DJ43" t="inlineStr"/>
      <c r="DK43" t="inlineStr"/>
      <c r="DL43" t="inlineStr"/>
      <c r="DM43" t="inlineStr"/>
      <c r="DN43" t="inlineStr"/>
      <c r="DO43" t="inlineStr"/>
      <c r="DP43" t="inlineStr"/>
      <c r="DQ43" t="inlineStr"/>
      <c r="DR43" t="inlineStr"/>
      <c r="DS43" t="inlineStr"/>
      <c r="DT43" t="inlineStr"/>
      <c r="DU43" t="inlineStr"/>
      <c r="DV43" t="inlineStr"/>
      <c r="DW43" t="inlineStr"/>
      <c r="DX43" t="inlineStr"/>
      <c r="DY43" t="inlineStr"/>
      <c r="DZ43" t="inlineStr"/>
      <c r="EA43" t="inlineStr"/>
      <c r="EB43" t="inlineStr"/>
      <c r="EC43" t="inlineStr"/>
      <c r="ED43" t="inlineStr"/>
      <c r="EE43" t="inlineStr"/>
      <c r="EF43" t="inlineStr"/>
      <c r="EG43" t="inlineStr"/>
      <c r="EH43" t="inlineStr"/>
      <c r="EI43" t="inlineStr"/>
      <c r="EJ43" t="inlineStr"/>
      <c r="EK43" t="inlineStr"/>
      <c r="EL43" t="inlineStr"/>
      <c r="EM43" t="inlineStr"/>
      <c r="EN43" t="inlineStr"/>
      <c r="EO43" t="inlineStr"/>
      <c r="EP43" t="inlineStr"/>
      <c r="EQ43" t="inlineStr"/>
      <c r="ER43" t="inlineStr"/>
      <c r="ES43" t="inlineStr"/>
      <c r="ET43" t="inlineStr"/>
      <c r="EU43" t="inlineStr"/>
      <c r="EV43" t="inlineStr"/>
      <c r="EW43" t="inlineStr"/>
      <c r="EX43" t="inlineStr"/>
      <c r="EY43" t="inlineStr"/>
      <c r="EZ43" t="inlineStr"/>
      <c r="FA43" t="inlineStr"/>
      <c r="FB43" t="inlineStr"/>
      <c r="FC43" t="inlineStr"/>
      <c r="FD43" t="inlineStr"/>
      <c r="FE43" t="inlineStr"/>
      <c r="FF43" t="inlineStr"/>
      <c r="FG43" t="inlineStr"/>
      <c r="FH43" t="inlineStr"/>
      <c r="FI43" t="inlineStr"/>
      <c r="FJ43" t="inlineStr"/>
      <c r="FK43" t="inlineStr"/>
      <c r="FL43" t="inlineStr"/>
      <c r="FM43" t="inlineStr"/>
      <c r="FN43" t="inlineStr"/>
      <c r="FO43" t="inlineStr"/>
      <c r="FP43" t="inlineStr"/>
      <c r="FQ43" t="inlineStr"/>
      <c r="FR43" t="inlineStr"/>
      <c r="FS43" t="inlineStr"/>
      <c r="FT43" t="inlineStr"/>
      <c r="FU43" t="inlineStr"/>
      <c r="FV43" t="inlineStr"/>
      <c r="FW43" t="inlineStr"/>
      <c r="FX43" t="inlineStr"/>
      <c r="FY43" t="inlineStr"/>
      <c r="FZ43" t="inlineStr"/>
      <c r="GA43" t="inlineStr"/>
      <c r="GB43" t="inlineStr"/>
      <c r="GC43" t="inlineStr"/>
      <c r="GD43" t="inlineStr"/>
      <c r="GE43" t="inlineStr"/>
      <c r="GF43" t="inlineStr"/>
      <c r="GG43" t="inlineStr"/>
      <c r="GH43" t="inlineStr"/>
      <c r="GI43" t="inlineStr"/>
      <c r="GJ43" t="inlineStr"/>
      <c r="GK43" t="inlineStr"/>
      <c r="GL43" t="inlineStr"/>
      <c r="GM43" t="inlineStr"/>
      <c r="GN43" t="inlineStr"/>
      <c r="GO43" t="inlineStr"/>
      <c r="GP43" t="inlineStr"/>
      <c r="GQ43" t="inlineStr"/>
      <c r="GR43" t="inlineStr"/>
      <c r="GS43" t="inlineStr"/>
      <c r="GT43" t="inlineStr"/>
      <c r="GU43" t="inlineStr"/>
      <c r="GV43" t="inlineStr"/>
      <c r="GW43" t="inlineStr"/>
      <c r="GX43" t="inlineStr"/>
      <c r="GY43" t="inlineStr"/>
      <c r="GZ43" t="inlineStr"/>
      <c r="HA43" t="inlineStr"/>
      <c r="HB43" t="inlineStr"/>
      <c r="HC43" t="inlineStr"/>
      <c r="HD43" t="inlineStr"/>
      <c r="HE43" t="inlineStr"/>
      <c r="HF43" t="inlineStr"/>
      <c r="HG43" t="inlineStr"/>
      <c r="HH43" t="inlineStr"/>
      <c r="HI43" t="inlineStr"/>
      <c r="HJ43" t="inlineStr"/>
      <c r="HK43" t="inlineStr"/>
      <c r="HL43" t="inlineStr"/>
      <c r="HM43" t="inlineStr"/>
      <c r="HN43" t="inlineStr"/>
      <c r="HO43" t="inlineStr"/>
      <c r="HP43" t="inlineStr"/>
      <c r="HQ43" t="inlineStr"/>
      <c r="HR43" t="inlineStr"/>
      <c r="HS43" t="inlineStr"/>
      <c r="HT43" t="inlineStr"/>
      <c r="HU43" t="inlineStr"/>
      <c r="HV43" t="inlineStr"/>
      <c r="HW43" t="inlineStr"/>
      <c r="HX43" t="inlineStr"/>
      <c r="HY43" t="inlineStr"/>
      <c r="HZ43" t="inlineStr"/>
      <c r="IA43" t="inlineStr"/>
      <c r="IB43" t="inlineStr"/>
      <c r="IC43" t="inlineStr"/>
      <c r="ID43" t="inlineStr"/>
      <c r="IE43" t="inlineStr"/>
      <c r="IF43" t="inlineStr"/>
      <c r="IG43" t="inlineStr"/>
      <c r="IH43" t="inlineStr"/>
      <c r="II43" t="inlineStr"/>
      <c r="IJ43" t="inlineStr"/>
      <c r="IK43" t="inlineStr"/>
      <c r="IL43" t="inlineStr"/>
      <c r="IM43" t="inlineStr"/>
      <c r="IN43" t="inlineStr"/>
      <c r="IO43" t="inlineStr"/>
      <c r="IP43" t="inlineStr"/>
      <c r="IQ43" t="inlineStr"/>
      <c r="IR43" t="inlineStr"/>
      <c r="IS43">
        <f>IF(input_content_type="",FALSE,ISNUMBER(SEARCH(","&amp;LOWER(input_content_type)&amp;",",","&amp;LOWER(F43)&amp;",")))</f>
        <v/>
      </c>
      <c r="IT43">
        <f>AND(IF(M43="",TRUE,IF(input_affiliations="",FALSE,SUMPRODUCT(--ISNUMBER(SEARCH(","&amp;TRIM(TEXTSPLIT(M43,","))&amp;",",","&amp;SUBSTITUTE(input_affiliations," ","")&amp;",")))&gt;0)),IF(O43="",TRUE,IF(input_affiliations="",FALSE,SUMPRODUCT(--ISNUMBER(SEARCH(","&amp;TRIM(TEXTSPLIT(O43,","))&amp;",",","&amp;SUBSTITUTE(input_affiliations," ","")&amp;",")))=COUNTA(TEXTSPLIT(O43,",")))),IF(Q43="",TRUE,IF(input_affiliations="",TRUE,SUMPRODUCT(--ISNUMBER(SEARCH(","&amp;TRIM(TEXTSPLIT(Q43,","))&amp;",",","&amp;SUBSTITUTE(input_affiliations," ","")&amp;",")))=0)),IF(S43="",TRUE,IF(input_affiliations="",FALSE,SUMPRODUCT(--ISNUMBER(SEARCH(","&amp;TRIM(TEXTSPLIT(S43,","))&amp;",",","&amp;SUBSTITUTE(input_affiliations," ","")&amp;",")))&gt;0)),IF(U43="",TRUE,IF(input_affiliations="",FALSE,SUMPRODUCT(--ISNUMBER(SEARCH(","&amp;TRIM(TEXTSPLIT(U43,","))&amp;",",","&amp;SUBSTITUTE(input_affiliations," ","")&amp;",")))=COUNTA(TEXTSPLIT(U43,",")))))</f>
        <v/>
      </c>
      <c r="IU43">
        <f>AND(IF(W43="",TRUE,IF(input_announcement_category="",FALSE,SUMPRODUCT(--ISNUMBER(SEARCH(","&amp;TRIM(TEXTSPLIT(W43,","))&amp;",",","&amp;SUBSTITUTE(input_announcement_category," ","")&amp;",")))&gt;0)),IF(Y43="",TRUE,IF(input_announcement_category="",FALSE,SUMPRODUCT(--ISNUMBER(SEARCH(","&amp;TRIM(TEXTSPLIT(Y43,","))&amp;",",","&amp;SUBSTITUTE(input_announcement_category," ","")&amp;",")))=COUNTA(TEXTSPLIT(Y43,",")))),IF(AA43="",TRUE,IF(input_announcement_category="",TRUE,SUMPRODUCT(--ISNUMBER(SEARCH(","&amp;TRIM(TEXTSPLIT(AA43,","))&amp;",",","&amp;SUBSTITUTE(input_announcement_category," ","")&amp;",")))=0)),IF(AC43="",TRUE,IF(input_announcement_category="",FALSE,SUMPRODUCT(--ISNUMBER(SEARCH(","&amp;TRIM(TEXTSPLIT(AC43,","))&amp;",",","&amp;SUBSTITUTE(input_announcement_category," ","")&amp;",")))&gt;0)),IF(AE43="",TRUE,IF(input_announcement_category="",FALSE,SUMPRODUCT(--ISNUMBER(SEARCH(","&amp;TRIM(TEXTSPLIT(AE43,","))&amp;",",","&amp;SUBSTITUTE(input_announcement_category," ","")&amp;",")))=COUNTA(TEXTSPLIT(AE43,",")))))</f>
        <v/>
      </c>
      <c r="IV43">
        <f>AND(IF(AG43="",TRUE,IF(input_area_of_focus="",FALSE,SUMPRODUCT(--ISNUMBER(SEARCH(","&amp;TRIM(TEXTSPLIT(AG43,","))&amp;",",","&amp;SUBSTITUTE(input_area_of_focus," ","")&amp;",")))&gt;0)),IF(AI43="",TRUE,IF(input_area_of_focus="",FALSE,SUMPRODUCT(--ISNUMBER(SEARCH(","&amp;TRIM(TEXTSPLIT(AI43,","))&amp;",",","&amp;SUBSTITUTE(input_area_of_focus," ","")&amp;",")))=COUNTA(TEXTSPLIT(AI43,",")))),IF(AK43="",TRUE,IF(input_area_of_focus="",TRUE,SUMPRODUCT(--ISNUMBER(SEARCH(","&amp;TRIM(TEXTSPLIT(AK43,","))&amp;",",","&amp;SUBSTITUTE(input_area_of_focus," ","")&amp;",")))=0)),IF(AM43="",TRUE,IF(input_area_of_focus="",FALSE,SUMPRODUCT(--ISNUMBER(SEARCH(","&amp;TRIM(TEXTSPLIT(AM43,","))&amp;",",","&amp;SUBSTITUTE(input_area_of_focus," ","")&amp;",")))&gt;0)),IF(AO43="",TRUE,IF(input_area_of_focus="",FALSE,SUMPRODUCT(--ISNUMBER(SEARCH(","&amp;TRIM(TEXTSPLIT(AO43,","))&amp;",",","&amp;SUBSTITUTE(input_area_of_focus," ","")&amp;",")))=COUNTA(TEXTSPLIT(AO43,",")))))</f>
        <v/>
      </c>
      <c r="IW43">
        <f>AND(IF(AQ43="",TRUE,IF(input_audience="",FALSE,SUMPRODUCT(--ISNUMBER(SEARCH(","&amp;TRIM(TEXTSPLIT(AQ43,","))&amp;",",","&amp;SUBSTITUTE(input_audience," ","")&amp;",")))&gt;0)),IF(AS43="",TRUE,IF(input_audience="",FALSE,SUMPRODUCT(--ISNUMBER(SEARCH(","&amp;TRIM(TEXTSPLIT(AS43,","))&amp;",",","&amp;SUBSTITUTE(input_audience," ","")&amp;",")))=COUNTA(TEXTSPLIT(AS43,",")))),IF(AU43="",TRUE,IF(input_audience="",TRUE,SUMPRODUCT(--ISNUMBER(SEARCH(","&amp;TRIM(TEXTSPLIT(AU43,","))&amp;",",","&amp;SUBSTITUTE(input_audience," ","")&amp;",")))=0)),IF(AW43="",TRUE,IF(input_audience="",FALSE,SUMPRODUCT(--ISNUMBER(SEARCH(","&amp;TRIM(TEXTSPLIT(AW43,","))&amp;",",","&amp;SUBSTITUTE(input_audience," ","")&amp;",")))&gt;0)),IF(AY43="",TRUE,IF(input_audience="",FALSE,SUMPRODUCT(--ISNUMBER(SEARCH(","&amp;TRIM(TEXTSPLIT(AY43,","))&amp;",",","&amp;SUBSTITUTE(input_audience," ","")&amp;",")))=COUNTA(TEXTSPLIT(AY43,",")))))</f>
        <v/>
      </c>
      <c r="IX43">
        <f>AND(IF(BA43="",TRUE,IF(input_challenge_opportunities="",FALSE,SUMPRODUCT(--ISNUMBER(SEARCH(","&amp;TRIM(TEXTSPLIT(BA43,","))&amp;",",","&amp;SUBSTITUTE(input_challenge_opportunities," ","")&amp;",")))&gt;0)),IF(BC43="",TRUE,IF(input_challenge_opportunities="",FALSE,SUMPRODUCT(--ISNUMBER(SEARCH(","&amp;TRIM(TEXTSPLIT(BC43,","))&amp;",",","&amp;SUBSTITUTE(input_challenge_opportunities," ","")&amp;",")))=COUNTA(TEXTSPLIT(BC43,",")))),IF(BE43="",TRUE,IF(input_challenge_opportunities="",TRUE,SUMPRODUCT(--ISNUMBER(SEARCH(","&amp;TRIM(TEXTSPLIT(BE43,","))&amp;",",","&amp;SUBSTITUTE(input_challenge_opportunities," ","")&amp;",")))=0)),IF(BG43="",TRUE,IF(input_challenge_opportunities="",FALSE,SUMPRODUCT(--ISNUMBER(SEARCH(","&amp;TRIM(TEXTSPLIT(BG43,","))&amp;",",","&amp;SUBSTITUTE(input_challenge_opportunities," ","")&amp;",")))&gt;0)),IF(BI43="",TRUE,IF(input_challenge_opportunities="",FALSE,SUMPRODUCT(--ISNUMBER(SEARCH(","&amp;TRIM(TEXTSPLIT(BI43,","))&amp;",",","&amp;SUBSTITUTE(input_challenge_opportunities," ","")&amp;",")))=COUNTA(TEXTSPLIT(BI43,",")))))</f>
        <v/>
      </c>
      <c r="IY43">
        <f>AND(IF(BK43="",TRUE,IF(input_context="",FALSE,SUMPRODUCT(--ISNUMBER(SEARCH(","&amp;TRIM(TEXTSPLIT(BK43,","))&amp;",",","&amp;SUBSTITUTE(input_context," ","")&amp;",")))&gt;0)),IF(BM43="",TRUE,IF(input_context="",FALSE,SUMPRODUCT(--ISNUMBER(SEARCH(","&amp;TRIM(TEXTSPLIT(BM43,","))&amp;",",","&amp;SUBSTITUTE(input_context," ","")&amp;",")))=COUNTA(TEXTSPLIT(BM43,",")))),IF(BO43="",TRUE,IF(input_context="",TRUE,SUMPRODUCT(--ISNUMBER(SEARCH(","&amp;TRIM(TEXTSPLIT(BO43,","))&amp;",",","&amp;SUBSTITUTE(input_context," ","")&amp;",")))=0)),IF(BQ43="",TRUE,IF(input_context="",FALSE,SUMPRODUCT(--ISNUMBER(SEARCH(","&amp;TRIM(TEXTSPLIT(BQ43,","))&amp;",",","&amp;SUBSTITUTE(input_context," ","")&amp;",")))&gt;0)),IF(BS43="",TRUE,IF(input_context="",FALSE,SUMPRODUCT(--ISNUMBER(SEARCH(","&amp;TRIM(TEXTSPLIT(BS43,","))&amp;",",","&amp;SUBSTITUTE(input_context," ","")&amp;",")))=COUNTA(TEXTSPLIT(BS43,",")))))</f>
        <v/>
      </c>
      <c r="IZ43">
        <f>AND(IF(BU43="",TRUE,IF(input_enews_announcement_type="",FALSE,SUMPRODUCT(--ISNUMBER(SEARCH(","&amp;TRIM(TEXTSPLIT(BU43,","))&amp;",",","&amp;SUBSTITUTE(input_enews_announcement_type," ","")&amp;",")))&gt;0)),IF(BW43="",TRUE,IF(input_enews_announcement_type="",FALSE,SUMPRODUCT(--ISNUMBER(SEARCH(","&amp;TRIM(TEXTSPLIT(BW43,","))&amp;",",","&amp;SUBSTITUTE(input_enews_announcement_type," ","")&amp;",")))=COUNTA(TEXTSPLIT(BW43,",")))),IF(BY43="",TRUE,IF(input_enews_announcement_type="",TRUE,SUMPRODUCT(--ISNUMBER(SEARCH(","&amp;TRIM(TEXTSPLIT(BY43,","))&amp;",",","&amp;SUBSTITUTE(input_enews_announcement_type," ","")&amp;",")))=0)),IF(CA43="",TRUE,IF(input_enews_announcement_type="",FALSE,SUMPRODUCT(--ISNUMBER(SEARCH(","&amp;TRIM(TEXTSPLIT(CA43,","))&amp;",",","&amp;SUBSTITUTE(input_enews_announcement_type," ","")&amp;",")))&gt;0)),IF(CC43="",TRUE,IF(input_enews_announcement_type="",FALSE,SUMPRODUCT(--ISNUMBER(SEARCH(","&amp;TRIM(TEXTSPLIT(CC43,","))&amp;",",","&amp;SUBSTITUTE(input_enews_announcement_type," ","")&amp;",")))=COUNTA(TEXTSPLIT(CC43,",")))))</f>
        <v/>
      </c>
      <c r="JA43">
        <f>AND(IF(CE43="",TRUE,IF(input_enews_audience="",FALSE,SUMPRODUCT(--ISNUMBER(SEARCH(","&amp;TRIM(TEXTSPLIT(CE43,","))&amp;",",","&amp;SUBSTITUTE(input_enews_audience," ","")&amp;",")))&gt;0)),IF(CG43="",TRUE,IF(input_enews_audience="",FALSE,SUMPRODUCT(--ISNUMBER(SEARCH(","&amp;TRIM(TEXTSPLIT(CG43,","))&amp;",",","&amp;SUBSTITUTE(input_enews_audience," ","")&amp;",")))=COUNTA(TEXTSPLIT(CG43,",")))),IF(CI43="",TRUE,IF(input_enews_audience="",TRUE,SUMPRODUCT(--ISNUMBER(SEARCH(","&amp;TRIM(TEXTSPLIT(CI43,","))&amp;",",","&amp;SUBSTITUTE(input_enews_audience," ","")&amp;",")))=0)),IF(CK43="",TRUE,IF(input_enews_audience="",FALSE,SUMPRODUCT(--ISNUMBER(SEARCH(","&amp;TRIM(TEXTSPLIT(CK43,","))&amp;",",","&amp;SUBSTITUTE(input_enews_audience," ","")&amp;",")))&gt;0)),IF(CM43="",TRUE,IF(input_enews_audience="",FALSE,SUMPRODUCT(--ISNUMBER(SEARCH(","&amp;TRIM(TEXTSPLIT(CM43,","))&amp;",",","&amp;SUBSTITUTE(input_enews_audience," ","")&amp;",")))=COUNTA(TEXTSPLIT(CM43,",")))))</f>
        <v/>
      </c>
      <c r="JB43">
        <f>AND(IF(CO43="",TRUE,IF(input_event_location="",FALSE,SUMPRODUCT(--ISNUMBER(SEARCH(","&amp;TRIM(TEXTSPLIT(CO43,","))&amp;",",","&amp;SUBSTITUTE(input_event_location," ","")&amp;",")))&gt;0)),IF(CQ43="",TRUE,IF(input_event_location="",FALSE,SUMPRODUCT(--ISNUMBER(SEARCH(","&amp;TRIM(TEXTSPLIT(CQ43,","))&amp;",",","&amp;SUBSTITUTE(input_event_location," ","")&amp;",")))=COUNTA(TEXTSPLIT(CQ43,",")))),IF(CS43="",TRUE,IF(input_event_location="",TRUE,SUMPRODUCT(--ISNUMBER(SEARCH(","&amp;TRIM(TEXTSPLIT(CS43,","))&amp;",",","&amp;SUBSTITUTE(input_event_location," ","")&amp;",")))=0)),IF(CU43="",TRUE,IF(input_event_location="",FALSE,SUMPRODUCT(--ISNUMBER(SEARCH(","&amp;TRIM(TEXTSPLIT(CU43,","))&amp;",",","&amp;SUBSTITUTE(input_event_location," ","")&amp;",")))&gt;0)),IF(CW43="",TRUE,IF(input_event_location="",FALSE,SUMPRODUCT(--ISNUMBER(SEARCH(","&amp;TRIM(TEXTSPLIT(CW43,","))&amp;",",","&amp;SUBSTITUTE(input_event_location," ","")&amp;",")))=COUNTA(TEXTSPLIT(CW43,",")))))</f>
        <v/>
      </c>
      <c r="JC43">
        <f>AND(IF(CY43="",TRUE,IF(input_event_type="",FALSE,SUMPRODUCT(--ISNUMBER(SEARCH(","&amp;TRIM(TEXTSPLIT(CY43,","))&amp;",",","&amp;SUBSTITUTE(input_event_type," ","")&amp;",")))&gt;0)),IF(DA43="",TRUE,IF(input_event_type="",FALSE,SUMPRODUCT(--ISNUMBER(SEARCH(","&amp;TRIM(TEXTSPLIT(DA43,","))&amp;",",","&amp;SUBSTITUTE(input_event_type," ","")&amp;",")))=COUNTA(TEXTSPLIT(DA43,",")))),IF(DC43="",TRUE,IF(input_event_type="",TRUE,SUMPRODUCT(--ISNUMBER(SEARCH(","&amp;TRIM(TEXTSPLIT(DC43,","))&amp;",",","&amp;SUBSTITUTE(input_event_type," ","")&amp;",")))=0)),IF(DE43="",TRUE,IF(input_event_type="",FALSE,SUMPRODUCT(--ISNUMBER(SEARCH(","&amp;TRIM(TEXTSPLIT(DE43,","))&amp;",",","&amp;SUBSTITUTE(input_event_type," ","")&amp;",")))&gt;0)),IF(DG43="",TRUE,IF(input_event_type="",FALSE,SUMPRODUCT(--ISNUMBER(SEARCH(","&amp;TRIM(TEXTSPLIT(DG43,","))&amp;",",","&amp;SUBSTITUTE(input_event_type," ","")&amp;",")))=COUNTA(TEXTSPLIT(DG43,",")))))</f>
        <v/>
      </c>
      <c r="JD43">
        <f>AND(IF(DI43="",TRUE,IF(input_executive_education_focus="",FALSE,SUMPRODUCT(--ISNUMBER(SEARCH(","&amp;TRIM(TEXTSPLIT(DI43,","))&amp;",",","&amp;SUBSTITUTE(input_executive_education_focus," ","")&amp;",")))&gt;0)),IF(DK43="",TRUE,IF(input_executive_education_focus="",FALSE,SUMPRODUCT(--ISNUMBER(SEARCH(","&amp;TRIM(TEXTSPLIT(DK43,","))&amp;",",","&amp;SUBSTITUTE(input_executive_education_focus," ","")&amp;",")))=COUNTA(TEXTSPLIT(DK43,",")))),IF(DM43="",TRUE,IF(input_executive_education_focus="",TRUE,SUMPRODUCT(--ISNUMBER(SEARCH(","&amp;TRIM(TEXTSPLIT(DM43,","))&amp;",",","&amp;SUBSTITUTE(input_executive_education_focus," ","")&amp;",")))=0)),IF(DO43="",TRUE,IF(input_executive_education_focus="",FALSE,SUMPRODUCT(--ISNUMBER(SEARCH(","&amp;TRIM(TEXTSPLIT(DO43,","))&amp;",",","&amp;SUBSTITUTE(input_executive_education_focus," ","")&amp;",")))&gt;0)),IF(DQ43="",TRUE,IF(input_executive_education_focus="",FALSE,SUMPRODUCT(--ISNUMBER(SEARCH(","&amp;TRIM(TEXTSPLIT(DQ43,","))&amp;",",","&amp;SUBSTITUTE(input_executive_education_focus," ","")&amp;",")))=COUNTA(TEXTSPLIT(DQ43,",")))))</f>
        <v/>
      </c>
      <c r="JE43">
        <f>AND(IF(DS43="",TRUE,IF(input_faculty_category="",FALSE,SUMPRODUCT(--ISNUMBER(SEARCH(","&amp;TRIM(TEXTSPLIT(DS43,","))&amp;",",","&amp;SUBSTITUTE(input_faculty_category," ","")&amp;",")))&gt;0)),IF(DU43="",TRUE,IF(input_faculty_category="",FALSE,SUMPRODUCT(--ISNUMBER(SEARCH(","&amp;TRIM(TEXTSPLIT(DU43,","))&amp;",",","&amp;SUBSTITUTE(input_faculty_category," ","")&amp;",")))=COUNTA(TEXTSPLIT(DU43,",")))),IF(DW43="",TRUE,IF(input_faculty_category="",TRUE,SUMPRODUCT(--ISNUMBER(SEARCH(","&amp;TRIM(TEXTSPLIT(DW43,","))&amp;",",","&amp;SUBSTITUTE(input_faculty_category," ","")&amp;",")))=0)),IF(DY43="",TRUE,IF(input_faculty_category="",FALSE,SUMPRODUCT(--ISNUMBER(SEARCH(","&amp;TRIM(TEXTSPLIT(DY43,","))&amp;",",","&amp;SUBSTITUTE(input_faculty_category," ","")&amp;",")))&gt;0)),IF(EA43="",TRUE,IF(input_faculty_category="",FALSE,SUMPRODUCT(--ISNUMBER(SEARCH(","&amp;TRIM(TEXTSPLIT(EA43,","))&amp;",",","&amp;SUBSTITUTE(input_faculty_category," ","")&amp;",")))=COUNTA(TEXTSPLIT(EA43,",")))))</f>
        <v/>
      </c>
      <c r="JF43">
        <f>AND(IF(EC43="",TRUE,IF(input_faculty_discipline="",FALSE,SUMPRODUCT(--ISNUMBER(SEARCH(","&amp;TRIM(TEXTSPLIT(EC43,","))&amp;",",","&amp;SUBSTITUTE(input_faculty_discipline," ","")&amp;",")))&gt;0)),IF(EE43="",TRUE,IF(input_faculty_discipline="",FALSE,SUMPRODUCT(--ISNUMBER(SEARCH(","&amp;TRIM(TEXTSPLIT(EE43,","))&amp;",",","&amp;SUBSTITUTE(input_faculty_discipline," ","")&amp;",")))=COUNTA(TEXTSPLIT(EE43,",")))),IF(EG43="",TRUE,IF(input_faculty_discipline="",TRUE,SUMPRODUCT(--ISNUMBER(SEARCH(","&amp;TRIM(TEXTSPLIT(EG43,","))&amp;",",","&amp;SUBSTITUTE(input_faculty_discipline," ","")&amp;",")))=0)),IF(EI43="",TRUE,IF(input_faculty_discipline="",FALSE,SUMPRODUCT(--ISNUMBER(SEARCH(","&amp;TRIM(TEXTSPLIT(EI43,","))&amp;",",","&amp;SUBSTITUTE(input_faculty_discipline," ","")&amp;",")))&gt;0)),IF(EK43="",TRUE,IF(input_faculty_discipline="",FALSE,SUMPRODUCT(--ISNUMBER(SEARCH(","&amp;TRIM(TEXTSPLIT(EK43,","))&amp;",",","&amp;SUBSTITUTE(input_faculty_discipline," ","")&amp;",")))=COUNTA(TEXTSPLIT(EK43,",")))))</f>
        <v/>
      </c>
      <c r="JG43">
        <f>AND(IF(EM43="",TRUE,IF(input_faculty_expertise="",FALSE,SUMPRODUCT(--ISNUMBER(SEARCH(","&amp;TRIM(TEXTSPLIT(EM43,","))&amp;",",","&amp;SUBSTITUTE(input_faculty_expertise," ","")&amp;",")))&gt;0)),IF(EO43="",TRUE,IF(input_faculty_expertise="",FALSE,SUMPRODUCT(--ISNUMBER(SEARCH(","&amp;TRIM(TEXTSPLIT(EO43,","))&amp;",",","&amp;SUBSTITUTE(input_faculty_expertise," ","")&amp;",")))=COUNTA(TEXTSPLIT(EO43,",")))),IF(EQ43="",TRUE,IF(input_faculty_expertise="",TRUE,SUMPRODUCT(--ISNUMBER(SEARCH(","&amp;TRIM(TEXTSPLIT(EQ43,","))&amp;",",","&amp;SUBSTITUTE(input_faculty_expertise," ","")&amp;",")))=0)),IF(ES43="",TRUE,IF(input_faculty_expertise="",FALSE,SUMPRODUCT(--ISNUMBER(SEARCH(","&amp;TRIM(TEXTSPLIT(ES43,","))&amp;",",","&amp;SUBSTITUTE(input_faculty_expertise," ","")&amp;",")))&gt;0)),IF(EU43="",TRUE,IF(input_faculty_expertise="",FALSE,SUMPRODUCT(--ISNUMBER(SEARCH(","&amp;TRIM(TEXTSPLIT(EU43,","))&amp;",",","&amp;SUBSTITUTE(input_faculty_expertise," ","")&amp;",")))=COUNTA(TEXTSPLIT(EU43,",")))))</f>
        <v/>
      </c>
      <c r="JH43">
        <f>AND(IF(EW43="",TRUE,IF(input_global_network_school="",FALSE,SUMPRODUCT(--ISNUMBER(SEARCH(","&amp;TRIM(TEXTSPLIT(EW43,","))&amp;",",","&amp;SUBSTITUTE(input_global_network_school," ","")&amp;",")))&gt;0)),IF(EY43="",TRUE,IF(input_global_network_school="",FALSE,SUMPRODUCT(--ISNUMBER(SEARCH(","&amp;TRIM(TEXTSPLIT(EY43,","))&amp;",",","&amp;SUBSTITUTE(input_global_network_school," ","")&amp;",")))=COUNTA(TEXTSPLIT(EY43,",")))),IF(FA43="",TRUE,IF(input_global_network_school="",TRUE,SUMPRODUCT(--ISNUMBER(SEARCH(","&amp;TRIM(TEXTSPLIT(FA43,","))&amp;",",","&amp;SUBSTITUTE(input_global_network_school," ","")&amp;",")))=0)),IF(FC43="",TRUE,IF(input_global_network_school="",FALSE,SUMPRODUCT(--ISNUMBER(SEARCH(","&amp;TRIM(TEXTSPLIT(FC43,","))&amp;",",","&amp;SUBSTITUTE(input_global_network_school," ","")&amp;",")))&gt;0)),IF(FE43="",TRUE,IF(input_global_network_school="",FALSE,SUMPRODUCT(--ISNUMBER(SEARCH(","&amp;TRIM(TEXTSPLIT(FE43,","))&amp;",",","&amp;SUBSTITUTE(input_global_network_school," ","")&amp;",")))=COUNTA(TEXTSPLIT(FE43,",")))))</f>
        <v/>
      </c>
      <c r="JI43">
        <f>AND(IF(FG43="",TRUE,IF(input_industry="",FALSE,SUMPRODUCT(--ISNUMBER(SEARCH(","&amp;TRIM(TEXTSPLIT(FG43,","))&amp;",",","&amp;SUBSTITUTE(input_industry," ","")&amp;",")))&gt;0)),IF(FI43="",TRUE,IF(input_industry="",FALSE,SUMPRODUCT(--ISNUMBER(SEARCH(","&amp;TRIM(TEXTSPLIT(FI43,","))&amp;",",","&amp;SUBSTITUTE(input_industry," ","")&amp;",")))=COUNTA(TEXTSPLIT(FI43,",")))),IF(FK43="",TRUE,IF(input_industry="",TRUE,SUMPRODUCT(--ISNUMBER(SEARCH(","&amp;TRIM(TEXTSPLIT(FK43,","))&amp;",",","&amp;SUBSTITUTE(input_industry," ","")&amp;",")))=0)),IF(FM43="",TRUE,IF(input_industry="",FALSE,SUMPRODUCT(--ISNUMBER(SEARCH(","&amp;TRIM(TEXTSPLIT(FM43,","))&amp;",",","&amp;SUBSTITUTE(input_industry," ","")&amp;",")))&gt;0)),IF(FO43="",TRUE,IF(input_industry="",FALSE,SUMPRODUCT(--ISNUMBER(SEARCH(","&amp;TRIM(TEXTSPLIT(FO43,","))&amp;",",","&amp;SUBSTITUTE(input_industry," ","")&amp;",")))=COUNTA(TEXTSPLIT(FO43,",")))))</f>
        <v/>
      </c>
      <c r="JJ43">
        <f>AND(IF(FQ43="",TRUE,IF(input_location="",FALSE,SUMPRODUCT(--ISNUMBER(SEARCH(","&amp;TRIM(TEXTSPLIT(FQ43,","))&amp;",",","&amp;SUBSTITUTE(input_location," ","")&amp;",")))&gt;0)),IF(FS43="",TRUE,IF(input_location="",FALSE,SUMPRODUCT(--ISNUMBER(SEARCH(","&amp;TRIM(TEXTSPLIT(FS43,","))&amp;",",","&amp;SUBSTITUTE(input_location," ","")&amp;",")))=COUNTA(TEXTSPLIT(FS43,",")))),IF(FU43="",TRUE,IF(input_location="",TRUE,SUMPRODUCT(--ISNUMBER(SEARCH(","&amp;TRIM(TEXTSPLIT(FU43,","))&amp;",",","&amp;SUBSTITUTE(input_location," ","")&amp;",")))=0)),IF(FW43="",TRUE,IF(input_location="",FALSE,SUMPRODUCT(--ISNUMBER(SEARCH(","&amp;TRIM(TEXTSPLIT(FW43,","))&amp;",",","&amp;SUBSTITUTE(input_location," ","")&amp;",")))&gt;0)),IF(FY43="",TRUE,IF(input_location="",FALSE,SUMPRODUCT(--ISNUMBER(SEARCH(","&amp;TRIM(TEXTSPLIT(FY43,","))&amp;",",","&amp;SUBSTITUTE(input_location," ","")&amp;",")))=COUNTA(TEXTSPLIT(FY43,",")))))</f>
        <v/>
      </c>
      <c r="JK43">
        <f>AND(IF(GA43="",TRUE,IF(input_modality="",FALSE,SUMPRODUCT(--ISNUMBER(SEARCH(","&amp;TRIM(TEXTSPLIT(GA43,","))&amp;",",","&amp;SUBSTITUTE(input_modality," ","")&amp;",")))&gt;0)),IF(GC43="",TRUE,IF(input_modality="",FALSE,SUMPRODUCT(--ISNUMBER(SEARCH(","&amp;TRIM(TEXTSPLIT(GC43,","))&amp;",",","&amp;SUBSTITUTE(input_modality," ","")&amp;",")))=COUNTA(TEXTSPLIT(GC43,",")))),IF(GE43="",TRUE,IF(input_modality="",TRUE,SUMPRODUCT(--ISNUMBER(SEARCH(","&amp;TRIM(TEXTSPLIT(GE43,","))&amp;",",","&amp;SUBSTITUTE(input_modality," ","")&amp;",")))=0)),IF(GG43="",TRUE,IF(input_modality="",FALSE,SUMPRODUCT(--ISNUMBER(SEARCH(","&amp;TRIM(TEXTSPLIT(GG43,","))&amp;",",","&amp;SUBSTITUTE(input_modality," ","")&amp;",")))&gt;0)),IF(GI43="",TRUE,IF(input_modality="",FALSE,SUMPRODUCT(--ISNUMBER(SEARCH(","&amp;TRIM(TEXTSPLIT(GI43,","))&amp;",",","&amp;SUBSTITUTE(input_modality," ","")&amp;",")))=COUNTA(TEXTSPLIT(GI43,",")))))</f>
        <v/>
      </c>
      <c r="JL43">
        <f>AND(IF(GK43="",TRUE,IF(input_organizer="",FALSE,SUMPRODUCT(--ISNUMBER(SEARCH(","&amp;TRIM(TEXTSPLIT(GK43,","))&amp;",",","&amp;SUBSTITUTE(input_organizer," ","")&amp;",")))&gt;0)),IF(GM43="",TRUE,IF(input_organizer="",FALSE,SUMPRODUCT(--ISNUMBER(SEARCH(","&amp;TRIM(TEXTSPLIT(GM43,","))&amp;",",","&amp;SUBSTITUTE(input_organizer," ","")&amp;",")))=COUNTA(TEXTSPLIT(GM43,",")))),IF(GO43="",TRUE,IF(input_organizer="",TRUE,SUMPRODUCT(--ISNUMBER(SEARCH(","&amp;TRIM(TEXTSPLIT(GO43,","))&amp;",",","&amp;SUBSTITUTE(input_organizer," ","")&amp;",")))=0)),IF(GQ43="",TRUE,IF(input_organizer="",FALSE,SUMPRODUCT(--ISNUMBER(SEARCH(","&amp;TRIM(TEXTSPLIT(GQ43,","))&amp;",",","&amp;SUBSTITUTE(input_organizer," ","")&amp;",")))&gt;0)),IF(GS43="",TRUE,IF(input_organizer="",FALSE,SUMPRODUCT(--ISNUMBER(SEARCH(","&amp;TRIM(TEXTSPLIT(GS43,","))&amp;",",","&amp;SUBSTITUTE(input_organizer," ","")&amp;",")))=COUNTA(TEXTSPLIT(GS43,",")))))</f>
        <v/>
      </c>
      <c r="JM43">
        <f>AND(IF(GU43="",TRUE,IF(input_profile_type="",FALSE,SUMPRODUCT(--ISNUMBER(SEARCH(","&amp;TRIM(TEXTSPLIT(GU43,","))&amp;",",","&amp;SUBSTITUTE(input_profile_type," ","")&amp;",")))&gt;0)),IF(GW43="",TRUE,IF(input_profile_type="",FALSE,SUMPRODUCT(--ISNUMBER(SEARCH(","&amp;TRIM(TEXTSPLIT(GW43,","))&amp;",",","&amp;SUBSTITUTE(input_profile_type," ","")&amp;",")))=COUNTA(TEXTSPLIT(GW43,",")))),IF(GY43="",TRUE,IF(input_profile_type="",TRUE,SUMPRODUCT(--ISNUMBER(SEARCH(","&amp;TRIM(TEXTSPLIT(GY43,","))&amp;",",","&amp;SUBSTITUTE(input_profile_type," ","")&amp;",")))=0)),IF(HA43="",TRUE,IF(input_profile_type="",FALSE,SUMPRODUCT(--ISNUMBER(SEARCH(","&amp;TRIM(TEXTSPLIT(HA43,","))&amp;",",","&amp;SUBSTITUTE(input_profile_type," ","")&amp;",")))&gt;0)),IF(HC43="",TRUE,IF(input_profile_type="",FALSE,SUMPRODUCT(--ISNUMBER(SEARCH(","&amp;TRIM(TEXTSPLIT(HC43,","))&amp;",",","&amp;SUBSTITUTE(input_profile_type," ","")&amp;",")))=COUNTA(TEXTSPLIT(HC43,",")))))</f>
        <v/>
      </c>
      <c r="JN43">
        <f>AND(IF(HE43="",TRUE,IF(input_program="",FALSE,SUMPRODUCT(--ISNUMBER(SEARCH(","&amp;TRIM(TEXTSPLIT(HE43,","))&amp;",",","&amp;SUBSTITUTE(input_program," ","")&amp;",")))&gt;0)),IF(HG43="",TRUE,IF(input_program="",FALSE,SUMPRODUCT(--ISNUMBER(SEARCH(","&amp;TRIM(TEXTSPLIT(HG43,","))&amp;",",","&amp;SUBSTITUTE(input_program," ","")&amp;",")))=COUNTA(TEXTSPLIT(HG43,",")))),IF(HI43="",TRUE,IF(input_program="",TRUE,SUMPRODUCT(--ISNUMBER(SEARCH(","&amp;TRIM(TEXTSPLIT(HI43,","))&amp;",",","&amp;SUBSTITUTE(input_program," ","")&amp;",")))=0)),IF(HK43="",TRUE,IF(input_program="",FALSE,SUMPRODUCT(--ISNUMBER(SEARCH(","&amp;TRIM(TEXTSPLIT(HK43,","))&amp;",",","&amp;SUBSTITUTE(input_program," ","")&amp;",")))&gt;0)),IF(HM43="",TRUE,IF(input_program="",FALSE,SUMPRODUCT(--ISNUMBER(SEARCH(","&amp;TRIM(TEXTSPLIT(HM43,","))&amp;",",","&amp;SUBSTITUTE(input_program," ","")&amp;",")))=COUNTA(TEXTSPLIT(HM43,",")))))</f>
        <v/>
      </c>
      <c r="JO43">
        <f>AND(IF(HO43="",TRUE,IF(input_story_categories="",FALSE,SUMPRODUCT(--ISNUMBER(SEARCH(","&amp;TRIM(TEXTSPLIT(HO43,","))&amp;",",","&amp;SUBSTITUTE(input_story_categories," ","")&amp;",")))&gt;0)),IF(HQ43="",TRUE,IF(input_story_categories="",FALSE,SUMPRODUCT(--ISNUMBER(SEARCH(","&amp;TRIM(TEXTSPLIT(HQ43,","))&amp;",",","&amp;SUBSTITUTE(input_story_categories," ","")&amp;",")))=COUNTA(TEXTSPLIT(HQ43,",")))),IF(HS43="",TRUE,IF(input_story_categories="",TRUE,SUMPRODUCT(--ISNUMBER(SEARCH(","&amp;TRIM(TEXTSPLIT(HS43,","))&amp;",",","&amp;SUBSTITUTE(input_story_categories," ","")&amp;",")))=0)),IF(HU43="",TRUE,IF(input_story_categories="",FALSE,SUMPRODUCT(--ISNUMBER(SEARCH(","&amp;TRIM(TEXTSPLIT(HU43,","))&amp;",",","&amp;SUBSTITUTE(input_story_categories," ","")&amp;",")))&gt;0)),IF(HW43="",TRUE,IF(input_story_categories="",FALSE,SUMPRODUCT(--ISNUMBER(SEARCH(","&amp;TRIM(TEXTSPLIT(HW43,","))&amp;",",","&amp;SUBSTITUTE(input_story_categories," ","")&amp;",")))=COUNTA(TEXTSPLIT(HW43,",")))))</f>
        <v/>
      </c>
      <c r="JP43">
        <f>AND(IF(HY43="",TRUE,IF(input_story_type="",FALSE,SUMPRODUCT(--ISNUMBER(SEARCH(","&amp;TRIM(TEXTSPLIT(HY43,","))&amp;",",","&amp;SUBSTITUTE(input_story_type," ","")&amp;",")))&gt;0)),IF(IA43="",TRUE,IF(input_story_type="",FALSE,SUMPRODUCT(--ISNUMBER(SEARCH(","&amp;TRIM(TEXTSPLIT(IA43,","))&amp;",",","&amp;SUBSTITUTE(input_story_type," ","")&amp;",")))=COUNTA(TEXTSPLIT(IA43,",")))),IF(IC43="",TRUE,IF(input_story_type="",TRUE,SUMPRODUCT(--ISNUMBER(SEARCH(","&amp;TRIM(TEXTSPLIT(IC43,","))&amp;",",","&amp;SUBSTITUTE(input_story_type," ","")&amp;",")))=0)),IF(IE43="",TRUE,IF(input_story_type="",FALSE,SUMPRODUCT(--ISNUMBER(SEARCH(","&amp;TRIM(TEXTSPLIT(IE43,","))&amp;",",","&amp;SUBSTITUTE(input_story_type," ","")&amp;",")))&gt;0)),IF(IG43="",TRUE,IF(input_story_type="",FALSE,SUMPRODUCT(--ISNUMBER(SEARCH(","&amp;TRIM(TEXTSPLIT(IG43,","))&amp;",",","&amp;SUBSTITUTE(input_story_type," ","")&amp;",")))=COUNTA(TEXTSPLIT(IG43,",")))))</f>
        <v/>
      </c>
      <c r="JQ43">
        <f>AND(IF(II43="",TRUE,IF(input_topics="",FALSE,SUMPRODUCT(--ISNUMBER(SEARCH(","&amp;TRIM(TEXTSPLIT(II43,","))&amp;",",","&amp;SUBSTITUTE(input_topics," ","")&amp;",")))&gt;0)),IF(IK43="",TRUE,IF(input_topics="",FALSE,SUMPRODUCT(--ISNUMBER(SEARCH(","&amp;TRIM(TEXTSPLIT(IK43,","))&amp;",",","&amp;SUBSTITUTE(input_topics," ","")&amp;",")))=COUNTA(TEXTSPLIT(IK43,",")))),IF(IM43="",TRUE,IF(input_topics="",TRUE,SUMPRODUCT(--ISNUMBER(SEARCH(","&amp;TRIM(TEXTSPLIT(IM43,","))&amp;",",","&amp;SUBSTITUTE(input_topics," ","")&amp;",")))=0)),IF(IO43="",TRUE,IF(input_topics="",FALSE,SUMPRODUCT(--ISNUMBER(SEARCH(","&amp;TRIM(TEXTSPLIT(IO43,","))&amp;",",","&amp;SUBSTITUTE(input_topics," ","")&amp;",")))&gt;0)),IF(IQ43="",TRUE,IF(input_topics="",FALSE,SUMPRODUCT(--ISNUMBER(SEARCH(","&amp;TRIM(TEXTSPLIT(IQ43,","))&amp;",",","&amp;SUBSTITUTE(input_topics," ","")&amp;",")))=COUNTA(TEXTSPLIT(IQ43,",")))))</f>
        <v/>
      </c>
    </row>
    <row r="44">
      <c r="A44" s="4">
        <f>IF(NOT(IS44),"Excluded",IF(AND(IT44,IU44,IV44,IW44,IX44,IY44,IZ44,JA44,JB44,JC44,JD44,JE44,JF44,JG44,JH44,JI44,JJ44,JK44,JL44,JM44,JN44,JO44,JP44,JQ44),IF(I44&gt;0,"Eligible but limited","Will appear"),"Excluded"))</f>
        <v/>
      </c>
      <c r="B44" s="4" t="inlineStr">
        <is>
          <t>All Publications by Author</t>
        </is>
      </c>
      <c r="C44" s="4" t="inlineStr">
        <is>
          <t>/faculty-research/faculty-directory/nicholas-c-barberis</t>
        </is>
      </c>
      <c r="D44" s="4" t="inlineStr">
        <is>
          <t>/faculty-research/faculty-directory/nicholas-c-barberis</t>
        </is>
      </c>
      <c r="E44" s="4" t="n">
        <v>1</v>
      </c>
      <c r="F44" s="4" t="inlineStr">
        <is>
          <t>publications</t>
        </is>
      </c>
      <c r="G44" s="4" t="inlineStr">
        <is>
          <t>publication_teaser_list</t>
        </is>
      </c>
      <c r="H44" s="4" t="inlineStr">
        <is>
          <t>publication_teaser_list_all_by_author</t>
        </is>
      </c>
      <c r="I44" s="4" t="inlineStr"/>
      <c r="J44" s="4" t="inlineStr">
        <is>
          <t>View/config rules</t>
        </is>
      </c>
      <c r="K44" s="4" t="inlineStr">
        <is>
          <t>Page placement</t>
        </is>
      </c>
      <c r="L44" s="4" t="inlineStr">
        <is>
          <t>Content type: publications; Source: View/config rules</t>
        </is>
      </c>
      <c r="M44" t="inlineStr"/>
      <c r="N44" t="inlineStr"/>
      <c r="O44" t="inlineStr"/>
      <c r="P44" t="inlineStr"/>
      <c r="Q44" t="inlineStr"/>
      <c r="R44" t="inlineStr"/>
      <c r="S44" t="inlineStr"/>
      <c r="T44" t="inlineStr"/>
      <c r="U44" t="inlineStr"/>
      <c r="V44" t="inlineStr"/>
      <c r="W44" t="inlineStr"/>
      <c r="X44" t="inlineStr"/>
      <c r="Y44" t="inlineStr"/>
      <c r="Z44" t="inlineStr"/>
      <c r="AA44" t="inlineStr"/>
      <c r="AB44" t="inlineStr"/>
      <c r="AC44" t="inlineStr"/>
      <c r="AD44" t="inlineStr"/>
      <c r="AE44" t="inlineStr"/>
      <c r="AF44" t="inlineStr"/>
      <c r="AG44" t="inlineStr"/>
      <c r="AH44" t="inlineStr"/>
      <c r="AI44" t="inlineStr"/>
      <c r="AJ44" t="inlineStr"/>
      <c r="AK44" t="inlineStr"/>
      <c r="AL44" t="inlineStr"/>
      <c r="AM44" t="inlineStr"/>
      <c r="AN44" t="inlineStr"/>
      <c r="AO44" t="inlineStr"/>
      <c r="AP44" t="inlineStr"/>
      <c r="AQ44" t="inlineStr"/>
      <c r="AR44" t="inlineStr"/>
      <c r="AS44" t="inlineStr"/>
      <c r="AT44" t="inlineStr"/>
      <c r="AU44" t="inlineStr"/>
      <c r="AV44" t="inlineStr"/>
      <c r="AW44" t="inlineStr"/>
      <c r="AX44" t="inlineStr"/>
      <c r="AY44" t="inlineStr"/>
      <c r="AZ44" t="inlineStr"/>
      <c r="BA44" t="inlineStr"/>
      <c r="BB44" t="inlineStr"/>
      <c r="BC44" t="inlineStr"/>
      <c r="BD44" t="inlineStr"/>
      <c r="BE44" t="inlineStr"/>
      <c r="BF44" t="inlineStr"/>
      <c r="BG44" t="inlineStr"/>
      <c r="BH44" t="inlineStr"/>
      <c r="BI44" t="inlineStr"/>
      <c r="BJ44" t="inlineStr"/>
      <c r="BK44" t="inlineStr"/>
      <c r="BL44" t="inlineStr"/>
      <c r="BM44" t="inlineStr"/>
      <c r="BN44" t="inlineStr"/>
      <c r="BO44" t="inlineStr"/>
      <c r="BP44" t="inlineStr"/>
      <c r="BQ44" t="inlineStr"/>
      <c r="BR44" t="inlineStr"/>
      <c r="BS44" t="inlineStr"/>
      <c r="BT44" t="inlineStr"/>
      <c r="BU44" t="inlineStr"/>
      <c r="BV44" t="inlineStr"/>
      <c r="BW44" t="inlineStr"/>
      <c r="BX44" t="inlineStr"/>
      <c r="BY44" t="inlineStr"/>
      <c r="BZ44" t="inlineStr"/>
      <c r="CA44" t="inlineStr"/>
      <c r="CB44" t="inlineStr"/>
      <c r="CC44" t="inlineStr"/>
      <c r="CD44" t="inlineStr"/>
      <c r="CE44" t="inlineStr"/>
      <c r="CF44" t="inlineStr"/>
      <c r="CG44" t="inlineStr"/>
      <c r="CH44" t="inlineStr"/>
      <c r="CI44" t="inlineStr"/>
      <c r="CJ44" t="inlineStr"/>
      <c r="CK44" t="inlineStr"/>
      <c r="CL44" t="inlineStr"/>
      <c r="CM44" t="inlineStr"/>
      <c r="CN44" t="inlineStr"/>
      <c r="CO44" t="inlineStr"/>
      <c r="CP44" t="inlineStr"/>
      <c r="CQ44" t="inlineStr"/>
      <c r="CR44" t="inlineStr"/>
      <c r="CS44" t="inlineStr"/>
      <c r="CT44" t="inlineStr"/>
      <c r="CU44" t="inlineStr"/>
      <c r="CV44" t="inlineStr"/>
      <c r="CW44" t="inlineStr"/>
      <c r="CX44" t="inlineStr"/>
      <c r="CY44" t="inlineStr"/>
      <c r="CZ44" t="inlineStr"/>
      <c r="DA44" t="inlineStr"/>
      <c r="DB44" t="inlineStr"/>
      <c r="DC44" t="inlineStr"/>
      <c r="DD44" t="inlineStr"/>
      <c r="DE44" t="inlineStr"/>
      <c r="DF44" t="inlineStr"/>
      <c r="DG44" t="inlineStr"/>
      <c r="DH44" t="inlineStr"/>
      <c r="DI44" t="inlineStr"/>
      <c r="DJ44" t="inlineStr"/>
      <c r="DK44" t="inlineStr"/>
      <c r="DL44" t="inlineStr"/>
      <c r="DM44" t="inlineStr"/>
      <c r="DN44" t="inlineStr"/>
      <c r="DO44" t="inlineStr"/>
      <c r="DP44" t="inlineStr"/>
      <c r="DQ44" t="inlineStr"/>
      <c r="DR44" t="inlineStr"/>
      <c r="DS44" t="inlineStr"/>
      <c r="DT44" t="inlineStr"/>
      <c r="DU44" t="inlineStr"/>
      <c r="DV44" t="inlineStr"/>
      <c r="DW44" t="inlineStr"/>
      <c r="DX44" t="inlineStr"/>
      <c r="DY44" t="inlineStr"/>
      <c r="DZ44" t="inlineStr"/>
      <c r="EA44" t="inlineStr"/>
      <c r="EB44" t="inlineStr"/>
      <c r="EC44" t="inlineStr"/>
      <c r="ED44" t="inlineStr"/>
      <c r="EE44" t="inlineStr"/>
      <c r="EF44" t="inlineStr"/>
      <c r="EG44" t="inlineStr"/>
      <c r="EH44" t="inlineStr"/>
      <c r="EI44" t="inlineStr"/>
      <c r="EJ44" t="inlineStr"/>
      <c r="EK44" t="inlineStr"/>
      <c r="EL44" t="inlineStr"/>
      <c r="EM44" t="inlineStr"/>
      <c r="EN44" t="inlineStr"/>
      <c r="EO44" t="inlineStr"/>
      <c r="EP44" t="inlineStr"/>
      <c r="EQ44" t="inlineStr"/>
      <c r="ER44" t="inlineStr"/>
      <c r="ES44" t="inlineStr"/>
      <c r="ET44" t="inlineStr"/>
      <c r="EU44" t="inlineStr"/>
      <c r="EV44" t="inlineStr"/>
      <c r="EW44" t="inlineStr"/>
      <c r="EX44" t="inlineStr"/>
      <c r="EY44" t="inlineStr"/>
      <c r="EZ44" t="inlineStr"/>
      <c r="FA44" t="inlineStr"/>
      <c r="FB44" t="inlineStr"/>
      <c r="FC44" t="inlineStr"/>
      <c r="FD44" t="inlineStr"/>
      <c r="FE44" t="inlineStr"/>
      <c r="FF44" t="inlineStr"/>
      <c r="FG44" t="inlineStr"/>
      <c r="FH44" t="inlineStr"/>
      <c r="FI44" t="inlineStr"/>
      <c r="FJ44" t="inlineStr"/>
      <c r="FK44" t="inlineStr"/>
      <c r="FL44" t="inlineStr"/>
      <c r="FM44" t="inlineStr"/>
      <c r="FN44" t="inlineStr"/>
      <c r="FO44" t="inlineStr"/>
      <c r="FP44" t="inlineStr"/>
      <c r="FQ44" t="inlineStr"/>
      <c r="FR44" t="inlineStr"/>
      <c r="FS44" t="inlineStr"/>
      <c r="FT44" t="inlineStr"/>
      <c r="FU44" t="inlineStr"/>
      <c r="FV44" t="inlineStr"/>
      <c r="FW44" t="inlineStr"/>
      <c r="FX44" t="inlineStr"/>
      <c r="FY44" t="inlineStr"/>
      <c r="FZ44" t="inlineStr"/>
      <c r="GA44" t="inlineStr"/>
      <c r="GB44" t="inlineStr"/>
      <c r="GC44" t="inlineStr"/>
      <c r="GD44" t="inlineStr"/>
      <c r="GE44" t="inlineStr"/>
      <c r="GF44" t="inlineStr"/>
      <c r="GG44" t="inlineStr"/>
      <c r="GH44" t="inlineStr"/>
      <c r="GI44" t="inlineStr"/>
      <c r="GJ44" t="inlineStr"/>
      <c r="GK44" t="inlineStr"/>
      <c r="GL44" t="inlineStr"/>
      <c r="GM44" t="inlineStr"/>
      <c r="GN44" t="inlineStr"/>
      <c r="GO44" t="inlineStr"/>
      <c r="GP44" t="inlineStr"/>
      <c r="GQ44" t="inlineStr"/>
      <c r="GR44" t="inlineStr"/>
      <c r="GS44" t="inlineStr"/>
      <c r="GT44" t="inlineStr"/>
      <c r="GU44" t="inlineStr"/>
      <c r="GV44" t="inlineStr"/>
      <c r="GW44" t="inlineStr"/>
      <c r="GX44" t="inlineStr"/>
      <c r="GY44" t="inlineStr"/>
      <c r="GZ44" t="inlineStr"/>
      <c r="HA44" t="inlineStr"/>
      <c r="HB44" t="inlineStr"/>
      <c r="HC44" t="inlineStr"/>
      <c r="HD44" t="inlineStr"/>
      <c r="HE44" t="inlineStr"/>
      <c r="HF44" t="inlineStr"/>
      <c r="HG44" t="inlineStr"/>
      <c r="HH44" t="inlineStr"/>
      <c r="HI44" t="inlineStr"/>
      <c r="HJ44" t="inlineStr"/>
      <c r="HK44" t="inlineStr"/>
      <c r="HL44" t="inlineStr"/>
      <c r="HM44" t="inlineStr"/>
      <c r="HN44" t="inlineStr"/>
      <c r="HO44" t="inlineStr"/>
      <c r="HP44" t="inlineStr"/>
      <c r="HQ44" t="inlineStr"/>
      <c r="HR44" t="inlineStr"/>
      <c r="HS44" t="inlineStr"/>
      <c r="HT44" t="inlineStr"/>
      <c r="HU44" t="inlineStr"/>
      <c r="HV44" t="inlineStr"/>
      <c r="HW44" t="inlineStr"/>
      <c r="HX44" t="inlineStr"/>
      <c r="HY44" t="inlineStr"/>
      <c r="HZ44" t="inlineStr"/>
      <c r="IA44" t="inlineStr"/>
      <c r="IB44" t="inlineStr"/>
      <c r="IC44" t="inlineStr"/>
      <c r="ID44" t="inlineStr"/>
      <c r="IE44" t="inlineStr"/>
      <c r="IF44" t="inlineStr"/>
      <c r="IG44" t="inlineStr"/>
      <c r="IH44" t="inlineStr"/>
      <c r="II44" t="inlineStr"/>
      <c r="IJ44" t="inlineStr"/>
      <c r="IK44" t="inlineStr"/>
      <c r="IL44" t="inlineStr"/>
      <c r="IM44" t="inlineStr"/>
      <c r="IN44" t="inlineStr"/>
      <c r="IO44" t="inlineStr"/>
      <c r="IP44" t="inlineStr"/>
      <c r="IQ44" t="inlineStr"/>
      <c r="IR44" t="inlineStr"/>
      <c r="IS44">
        <f>IF(input_content_type="",FALSE,ISNUMBER(SEARCH(","&amp;LOWER(input_content_type)&amp;",",","&amp;LOWER(F44)&amp;",")))</f>
        <v/>
      </c>
      <c r="IT44">
        <f>AND(IF(M44="",TRUE,IF(input_affiliations="",FALSE,SUMPRODUCT(--ISNUMBER(SEARCH(","&amp;TRIM(TEXTSPLIT(M44,","))&amp;",",","&amp;SUBSTITUTE(input_affiliations," ","")&amp;",")))&gt;0)),IF(O44="",TRUE,IF(input_affiliations="",FALSE,SUMPRODUCT(--ISNUMBER(SEARCH(","&amp;TRIM(TEXTSPLIT(O44,","))&amp;",",","&amp;SUBSTITUTE(input_affiliations," ","")&amp;",")))=COUNTA(TEXTSPLIT(O44,",")))),IF(Q44="",TRUE,IF(input_affiliations="",TRUE,SUMPRODUCT(--ISNUMBER(SEARCH(","&amp;TRIM(TEXTSPLIT(Q44,","))&amp;",",","&amp;SUBSTITUTE(input_affiliations," ","")&amp;",")))=0)),IF(S44="",TRUE,IF(input_affiliations="",FALSE,SUMPRODUCT(--ISNUMBER(SEARCH(","&amp;TRIM(TEXTSPLIT(S44,","))&amp;",",","&amp;SUBSTITUTE(input_affiliations," ","")&amp;",")))&gt;0)),IF(U44="",TRUE,IF(input_affiliations="",FALSE,SUMPRODUCT(--ISNUMBER(SEARCH(","&amp;TRIM(TEXTSPLIT(U44,","))&amp;",",","&amp;SUBSTITUTE(input_affiliations," ","")&amp;",")))=COUNTA(TEXTSPLIT(U44,",")))))</f>
        <v/>
      </c>
      <c r="IU44">
        <f>AND(IF(W44="",TRUE,IF(input_announcement_category="",FALSE,SUMPRODUCT(--ISNUMBER(SEARCH(","&amp;TRIM(TEXTSPLIT(W44,","))&amp;",",","&amp;SUBSTITUTE(input_announcement_category," ","")&amp;",")))&gt;0)),IF(Y44="",TRUE,IF(input_announcement_category="",FALSE,SUMPRODUCT(--ISNUMBER(SEARCH(","&amp;TRIM(TEXTSPLIT(Y44,","))&amp;",",","&amp;SUBSTITUTE(input_announcement_category," ","")&amp;",")))=COUNTA(TEXTSPLIT(Y44,",")))),IF(AA44="",TRUE,IF(input_announcement_category="",TRUE,SUMPRODUCT(--ISNUMBER(SEARCH(","&amp;TRIM(TEXTSPLIT(AA44,","))&amp;",",","&amp;SUBSTITUTE(input_announcement_category," ","")&amp;",")))=0)),IF(AC44="",TRUE,IF(input_announcement_category="",FALSE,SUMPRODUCT(--ISNUMBER(SEARCH(","&amp;TRIM(TEXTSPLIT(AC44,","))&amp;",",","&amp;SUBSTITUTE(input_announcement_category," ","")&amp;",")))&gt;0)),IF(AE44="",TRUE,IF(input_announcement_category="",FALSE,SUMPRODUCT(--ISNUMBER(SEARCH(","&amp;TRIM(TEXTSPLIT(AE44,","))&amp;",",","&amp;SUBSTITUTE(input_announcement_category," ","")&amp;",")))=COUNTA(TEXTSPLIT(AE44,",")))))</f>
        <v/>
      </c>
      <c r="IV44">
        <f>AND(IF(AG44="",TRUE,IF(input_area_of_focus="",FALSE,SUMPRODUCT(--ISNUMBER(SEARCH(","&amp;TRIM(TEXTSPLIT(AG44,","))&amp;",",","&amp;SUBSTITUTE(input_area_of_focus," ","")&amp;",")))&gt;0)),IF(AI44="",TRUE,IF(input_area_of_focus="",FALSE,SUMPRODUCT(--ISNUMBER(SEARCH(","&amp;TRIM(TEXTSPLIT(AI44,","))&amp;",",","&amp;SUBSTITUTE(input_area_of_focus," ","")&amp;",")))=COUNTA(TEXTSPLIT(AI44,",")))),IF(AK44="",TRUE,IF(input_area_of_focus="",TRUE,SUMPRODUCT(--ISNUMBER(SEARCH(","&amp;TRIM(TEXTSPLIT(AK44,","))&amp;",",","&amp;SUBSTITUTE(input_area_of_focus," ","")&amp;",")))=0)),IF(AM44="",TRUE,IF(input_area_of_focus="",FALSE,SUMPRODUCT(--ISNUMBER(SEARCH(","&amp;TRIM(TEXTSPLIT(AM44,","))&amp;",",","&amp;SUBSTITUTE(input_area_of_focus," ","")&amp;",")))&gt;0)),IF(AO44="",TRUE,IF(input_area_of_focus="",FALSE,SUMPRODUCT(--ISNUMBER(SEARCH(","&amp;TRIM(TEXTSPLIT(AO44,","))&amp;",",","&amp;SUBSTITUTE(input_area_of_focus," ","")&amp;",")))=COUNTA(TEXTSPLIT(AO44,",")))))</f>
        <v/>
      </c>
      <c r="IW44">
        <f>AND(IF(AQ44="",TRUE,IF(input_audience="",FALSE,SUMPRODUCT(--ISNUMBER(SEARCH(","&amp;TRIM(TEXTSPLIT(AQ44,","))&amp;",",","&amp;SUBSTITUTE(input_audience," ","")&amp;",")))&gt;0)),IF(AS44="",TRUE,IF(input_audience="",FALSE,SUMPRODUCT(--ISNUMBER(SEARCH(","&amp;TRIM(TEXTSPLIT(AS44,","))&amp;",",","&amp;SUBSTITUTE(input_audience," ","")&amp;",")))=COUNTA(TEXTSPLIT(AS44,",")))),IF(AU44="",TRUE,IF(input_audience="",TRUE,SUMPRODUCT(--ISNUMBER(SEARCH(","&amp;TRIM(TEXTSPLIT(AU44,","))&amp;",",","&amp;SUBSTITUTE(input_audience," ","")&amp;",")))=0)),IF(AW44="",TRUE,IF(input_audience="",FALSE,SUMPRODUCT(--ISNUMBER(SEARCH(","&amp;TRIM(TEXTSPLIT(AW44,","))&amp;",",","&amp;SUBSTITUTE(input_audience," ","")&amp;",")))&gt;0)),IF(AY44="",TRUE,IF(input_audience="",FALSE,SUMPRODUCT(--ISNUMBER(SEARCH(","&amp;TRIM(TEXTSPLIT(AY44,","))&amp;",",","&amp;SUBSTITUTE(input_audience," ","")&amp;",")))=COUNTA(TEXTSPLIT(AY44,",")))))</f>
        <v/>
      </c>
      <c r="IX44">
        <f>AND(IF(BA44="",TRUE,IF(input_challenge_opportunities="",FALSE,SUMPRODUCT(--ISNUMBER(SEARCH(","&amp;TRIM(TEXTSPLIT(BA44,","))&amp;",",","&amp;SUBSTITUTE(input_challenge_opportunities," ","")&amp;",")))&gt;0)),IF(BC44="",TRUE,IF(input_challenge_opportunities="",FALSE,SUMPRODUCT(--ISNUMBER(SEARCH(","&amp;TRIM(TEXTSPLIT(BC44,","))&amp;",",","&amp;SUBSTITUTE(input_challenge_opportunities," ","")&amp;",")))=COUNTA(TEXTSPLIT(BC44,",")))),IF(BE44="",TRUE,IF(input_challenge_opportunities="",TRUE,SUMPRODUCT(--ISNUMBER(SEARCH(","&amp;TRIM(TEXTSPLIT(BE44,","))&amp;",",","&amp;SUBSTITUTE(input_challenge_opportunities," ","")&amp;",")))=0)),IF(BG44="",TRUE,IF(input_challenge_opportunities="",FALSE,SUMPRODUCT(--ISNUMBER(SEARCH(","&amp;TRIM(TEXTSPLIT(BG44,","))&amp;",",","&amp;SUBSTITUTE(input_challenge_opportunities," ","")&amp;",")))&gt;0)),IF(BI44="",TRUE,IF(input_challenge_opportunities="",FALSE,SUMPRODUCT(--ISNUMBER(SEARCH(","&amp;TRIM(TEXTSPLIT(BI44,","))&amp;",",","&amp;SUBSTITUTE(input_challenge_opportunities," ","")&amp;",")))=COUNTA(TEXTSPLIT(BI44,",")))))</f>
        <v/>
      </c>
      <c r="IY44">
        <f>AND(IF(BK44="",TRUE,IF(input_context="",FALSE,SUMPRODUCT(--ISNUMBER(SEARCH(","&amp;TRIM(TEXTSPLIT(BK44,","))&amp;",",","&amp;SUBSTITUTE(input_context," ","")&amp;",")))&gt;0)),IF(BM44="",TRUE,IF(input_context="",FALSE,SUMPRODUCT(--ISNUMBER(SEARCH(","&amp;TRIM(TEXTSPLIT(BM44,","))&amp;",",","&amp;SUBSTITUTE(input_context," ","")&amp;",")))=COUNTA(TEXTSPLIT(BM44,",")))),IF(BO44="",TRUE,IF(input_context="",TRUE,SUMPRODUCT(--ISNUMBER(SEARCH(","&amp;TRIM(TEXTSPLIT(BO44,","))&amp;",",","&amp;SUBSTITUTE(input_context," ","")&amp;",")))=0)),IF(BQ44="",TRUE,IF(input_context="",FALSE,SUMPRODUCT(--ISNUMBER(SEARCH(","&amp;TRIM(TEXTSPLIT(BQ44,","))&amp;",",","&amp;SUBSTITUTE(input_context," ","")&amp;",")))&gt;0)),IF(BS44="",TRUE,IF(input_context="",FALSE,SUMPRODUCT(--ISNUMBER(SEARCH(","&amp;TRIM(TEXTSPLIT(BS44,","))&amp;",",","&amp;SUBSTITUTE(input_context," ","")&amp;",")))=COUNTA(TEXTSPLIT(BS44,",")))))</f>
        <v/>
      </c>
      <c r="IZ44">
        <f>AND(IF(BU44="",TRUE,IF(input_enews_announcement_type="",FALSE,SUMPRODUCT(--ISNUMBER(SEARCH(","&amp;TRIM(TEXTSPLIT(BU44,","))&amp;",",","&amp;SUBSTITUTE(input_enews_announcement_type," ","")&amp;",")))&gt;0)),IF(BW44="",TRUE,IF(input_enews_announcement_type="",FALSE,SUMPRODUCT(--ISNUMBER(SEARCH(","&amp;TRIM(TEXTSPLIT(BW44,","))&amp;",",","&amp;SUBSTITUTE(input_enews_announcement_type," ","")&amp;",")))=COUNTA(TEXTSPLIT(BW44,",")))),IF(BY44="",TRUE,IF(input_enews_announcement_type="",TRUE,SUMPRODUCT(--ISNUMBER(SEARCH(","&amp;TRIM(TEXTSPLIT(BY44,","))&amp;",",","&amp;SUBSTITUTE(input_enews_announcement_type," ","")&amp;",")))=0)),IF(CA44="",TRUE,IF(input_enews_announcement_type="",FALSE,SUMPRODUCT(--ISNUMBER(SEARCH(","&amp;TRIM(TEXTSPLIT(CA44,","))&amp;",",","&amp;SUBSTITUTE(input_enews_announcement_type," ","")&amp;",")))&gt;0)),IF(CC44="",TRUE,IF(input_enews_announcement_type="",FALSE,SUMPRODUCT(--ISNUMBER(SEARCH(","&amp;TRIM(TEXTSPLIT(CC44,","))&amp;",",","&amp;SUBSTITUTE(input_enews_announcement_type," ","")&amp;",")))=COUNTA(TEXTSPLIT(CC44,",")))))</f>
        <v/>
      </c>
      <c r="JA44">
        <f>AND(IF(CE44="",TRUE,IF(input_enews_audience="",FALSE,SUMPRODUCT(--ISNUMBER(SEARCH(","&amp;TRIM(TEXTSPLIT(CE44,","))&amp;",",","&amp;SUBSTITUTE(input_enews_audience," ","")&amp;",")))&gt;0)),IF(CG44="",TRUE,IF(input_enews_audience="",FALSE,SUMPRODUCT(--ISNUMBER(SEARCH(","&amp;TRIM(TEXTSPLIT(CG44,","))&amp;",",","&amp;SUBSTITUTE(input_enews_audience," ","")&amp;",")))=COUNTA(TEXTSPLIT(CG44,",")))),IF(CI44="",TRUE,IF(input_enews_audience="",TRUE,SUMPRODUCT(--ISNUMBER(SEARCH(","&amp;TRIM(TEXTSPLIT(CI44,","))&amp;",",","&amp;SUBSTITUTE(input_enews_audience," ","")&amp;",")))=0)),IF(CK44="",TRUE,IF(input_enews_audience="",FALSE,SUMPRODUCT(--ISNUMBER(SEARCH(","&amp;TRIM(TEXTSPLIT(CK44,","))&amp;",",","&amp;SUBSTITUTE(input_enews_audience," ","")&amp;",")))&gt;0)),IF(CM44="",TRUE,IF(input_enews_audience="",FALSE,SUMPRODUCT(--ISNUMBER(SEARCH(","&amp;TRIM(TEXTSPLIT(CM44,","))&amp;",",","&amp;SUBSTITUTE(input_enews_audience," ","")&amp;",")))=COUNTA(TEXTSPLIT(CM44,",")))))</f>
        <v/>
      </c>
      <c r="JB44">
        <f>AND(IF(CO44="",TRUE,IF(input_event_location="",FALSE,SUMPRODUCT(--ISNUMBER(SEARCH(","&amp;TRIM(TEXTSPLIT(CO44,","))&amp;",",","&amp;SUBSTITUTE(input_event_location," ","")&amp;",")))&gt;0)),IF(CQ44="",TRUE,IF(input_event_location="",FALSE,SUMPRODUCT(--ISNUMBER(SEARCH(","&amp;TRIM(TEXTSPLIT(CQ44,","))&amp;",",","&amp;SUBSTITUTE(input_event_location," ","")&amp;",")))=COUNTA(TEXTSPLIT(CQ44,",")))),IF(CS44="",TRUE,IF(input_event_location="",TRUE,SUMPRODUCT(--ISNUMBER(SEARCH(","&amp;TRIM(TEXTSPLIT(CS44,","))&amp;",",","&amp;SUBSTITUTE(input_event_location," ","")&amp;",")))=0)),IF(CU44="",TRUE,IF(input_event_location="",FALSE,SUMPRODUCT(--ISNUMBER(SEARCH(","&amp;TRIM(TEXTSPLIT(CU44,","))&amp;",",","&amp;SUBSTITUTE(input_event_location," ","")&amp;",")))&gt;0)),IF(CW44="",TRUE,IF(input_event_location="",FALSE,SUMPRODUCT(--ISNUMBER(SEARCH(","&amp;TRIM(TEXTSPLIT(CW44,","))&amp;",",","&amp;SUBSTITUTE(input_event_location," ","")&amp;",")))=COUNTA(TEXTSPLIT(CW44,",")))))</f>
        <v/>
      </c>
      <c r="JC44">
        <f>AND(IF(CY44="",TRUE,IF(input_event_type="",FALSE,SUMPRODUCT(--ISNUMBER(SEARCH(","&amp;TRIM(TEXTSPLIT(CY44,","))&amp;",",","&amp;SUBSTITUTE(input_event_type," ","")&amp;",")))&gt;0)),IF(DA44="",TRUE,IF(input_event_type="",FALSE,SUMPRODUCT(--ISNUMBER(SEARCH(","&amp;TRIM(TEXTSPLIT(DA44,","))&amp;",",","&amp;SUBSTITUTE(input_event_type," ","")&amp;",")))=COUNTA(TEXTSPLIT(DA44,",")))),IF(DC44="",TRUE,IF(input_event_type="",TRUE,SUMPRODUCT(--ISNUMBER(SEARCH(","&amp;TRIM(TEXTSPLIT(DC44,","))&amp;",",","&amp;SUBSTITUTE(input_event_type," ","")&amp;",")))=0)),IF(DE44="",TRUE,IF(input_event_type="",FALSE,SUMPRODUCT(--ISNUMBER(SEARCH(","&amp;TRIM(TEXTSPLIT(DE44,","))&amp;",",","&amp;SUBSTITUTE(input_event_type," ","")&amp;",")))&gt;0)),IF(DG44="",TRUE,IF(input_event_type="",FALSE,SUMPRODUCT(--ISNUMBER(SEARCH(","&amp;TRIM(TEXTSPLIT(DG44,","))&amp;",",","&amp;SUBSTITUTE(input_event_type," ","")&amp;",")))=COUNTA(TEXTSPLIT(DG44,",")))))</f>
        <v/>
      </c>
      <c r="JD44">
        <f>AND(IF(DI44="",TRUE,IF(input_executive_education_focus="",FALSE,SUMPRODUCT(--ISNUMBER(SEARCH(","&amp;TRIM(TEXTSPLIT(DI44,","))&amp;",",","&amp;SUBSTITUTE(input_executive_education_focus," ","")&amp;",")))&gt;0)),IF(DK44="",TRUE,IF(input_executive_education_focus="",FALSE,SUMPRODUCT(--ISNUMBER(SEARCH(","&amp;TRIM(TEXTSPLIT(DK44,","))&amp;",",","&amp;SUBSTITUTE(input_executive_education_focus," ","")&amp;",")))=COUNTA(TEXTSPLIT(DK44,",")))),IF(DM44="",TRUE,IF(input_executive_education_focus="",TRUE,SUMPRODUCT(--ISNUMBER(SEARCH(","&amp;TRIM(TEXTSPLIT(DM44,","))&amp;",",","&amp;SUBSTITUTE(input_executive_education_focus," ","")&amp;",")))=0)),IF(DO44="",TRUE,IF(input_executive_education_focus="",FALSE,SUMPRODUCT(--ISNUMBER(SEARCH(","&amp;TRIM(TEXTSPLIT(DO44,","))&amp;",",","&amp;SUBSTITUTE(input_executive_education_focus," ","")&amp;",")))&gt;0)),IF(DQ44="",TRUE,IF(input_executive_education_focus="",FALSE,SUMPRODUCT(--ISNUMBER(SEARCH(","&amp;TRIM(TEXTSPLIT(DQ44,","))&amp;",",","&amp;SUBSTITUTE(input_executive_education_focus," ","")&amp;",")))=COUNTA(TEXTSPLIT(DQ44,",")))))</f>
        <v/>
      </c>
      <c r="JE44">
        <f>AND(IF(DS44="",TRUE,IF(input_faculty_category="",FALSE,SUMPRODUCT(--ISNUMBER(SEARCH(","&amp;TRIM(TEXTSPLIT(DS44,","))&amp;",",","&amp;SUBSTITUTE(input_faculty_category," ","")&amp;",")))&gt;0)),IF(DU44="",TRUE,IF(input_faculty_category="",FALSE,SUMPRODUCT(--ISNUMBER(SEARCH(","&amp;TRIM(TEXTSPLIT(DU44,","))&amp;",",","&amp;SUBSTITUTE(input_faculty_category," ","")&amp;",")))=COUNTA(TEXTSPLIT(DU44,",")))),IF(DW44="",TRUE,IF(input_faculty_category="",TRUE,SUMPRODUCT(--ISNUMBER(SEARCH(","&amp;TRIM(TEXTSPLIT(DW44,","))&amp;",",","&amp;SUBSTITUTE(input_faculty_category," ","")&amp;",")))=0)),IF(DY44="",TRUE,IF(input_faculty_category="",FALSE,SUMPRODUCT(--ISNUMBER(SEARCH(","&amp;TRIM(TEXTSPLIT(DY44,","))&amp;",",","&amp;SUBSTITUTE(input_faculty_category," ","")&amp;",")))&gt;0)),IF(EA44="",TRUE,IF(input_faculty_category="",FALSE,SUMPRODUCT(--ISNUMBER(SEARCH(","&amp;TRIM(TEXTSPLIT(EA44,","))&amp;",",","&amp;SUBSTITUTE(input_faculty_category," ","")&amp;",")))=COUNTA(TEXTSPLIT(EA44,",")))))</f>
        <v/>
      </c>
      <c r="JF44">
        <f>AND(IF(EC44="",TRUE,IF(input_faculty_discipline="",FALSE,SUMPRODUCT(--ISNUMBER(SEARCH(","&amp;TRIM(TEXTSPLIT(EC44,","))&amp;",",","&amp;SUBSTITUTE(input_faculty_discipline," ","")&amp;",")))&gt;0)),IF(EE44="",TRUE,IF(input_faculty_discipline="",FALSE,SUMPRODUCT(--ISNUMBER(SEARCH(","&amp;TRIM(TEXTSPLIT(EE44,","))&amp;",",","&amp;SUBSTITUTE(input_faculty_discipline," ","")&amp;",")))=COUNTA(TEXTSPLIT(EE44,",")))),IF(EG44="",TRUE,IF(input_faculty_discipline="",TRUE,SUMPRODUCT(--ISNUMBER(SEARCH(","&amp;TRIM(TEXTSPLIT(EG44,","))&amp;",",","&amp;SUBSTITUTE(input_faculty_discipline," ","")&amp;",")))=0)),IF(EI44="",TRUE,IF(input_faculty_discipline="",FALSE,SUMPRODUCT(--ISNUMBER(SEARCH(","&amp;TRIM(TEXTSPLIT(EI44,","))&amp;",",","&amp;SUBSTITUTE(input_faculty_discipline," ","")&amp;",")))&gt;0)),IF(EK44="",TRUE,IF(input_faculty_discipline="",FALSE,SUMPRODUCT(--ISNUMBER(SEARCH(","&amp;TRIM(TEXTSPLIT(EK44,","))&amp;",",","&amp;SUBSTITUTE(input_faculty_discipline," ","")&amp;",")))=COUNTA(TEXTSPLIT(EK44,",")))))</f>
        <v/>
      </c>
      <c r="JG44">
        <f>AND(IF(EM44="",TRUE,IF(input_faculty_expertise="",FALSE,SUMPRODUCT(--ISNUMBER(SEARCH(","&amp;TRIM(TEXTSPLIT(EM44,","))&amp;",",","&amp;SUBSTITUTE(input_faculty_expertise," ","")&amp;",")))&gt;0)),IF(EO44="",TRUE,IF(input_faculty_expertise="",FALSE,SUMPRODUCT(--ISNUMBER(SEARCH(","&amp;TRIM(TEXTSPLIT(EO44,","))&amp;",",","&amp;SUBSTITUTE(input_faculty_expertise," ","")&amp;",")))=COUNTA(TEXTSPLIT(EO44,",")))),IF(EQ44="",TRUE,IF(input_faculty_expertise="",TRUE,SUMPRODUCT(--ISNUMBER(SEARCH(","&amp;TRIM(TEXTSPLIT(EQ44,","))&amp;",",","&amp;SUBSTITUTE(input_faculty_expertise," ","")&amp;",")))=0)),IF(ES44="",TRUE,IF(input_faculty_expertise="",FALSE,SUMPRODUCT(--ISNUMBER(SEARCH(","&amp;TRIM(TEXTSPLIT(ES44,","))&amp;",",","&amp;SUBSTITUTE(input_faculty_expertise," ","")&amp;",")))&gt;0)),IF(EU44="",TRUE,IF(input_faculty_expertise="",FALSE,SUMPRODUCT(--ISNUMBER(SEARCH(","&amp;TRIM(TEXTSPLIT(EU44,","))&amp;",",","&amp;SUBSTITUTE(input_faculty_expertise," ","")&amp;",")))=COUNTA(TEXTSPLIT(EU44,",")))))</f>
        <v/>
      </c>
      <c r="JH44">
        <f>AND(IF(EW44="",TRUE,IF(input_global_network_school="",FALSE,SUMPRODUCT(--ISNUMBER(SEARCH(","&amp;TRIM(TEXTSPLIT(EW44,","))&amp;",",","&amp;SUBSTITUTE(input_global_network_school," ","")&amp;",")))&gt;0)),IF(EY44="",TRUE,IF(input_global_network_school="",FALSE,SUMPRODUCT(--ISNUMBER(SEARCH(","&amp;TRIM(TEXTSPLIT(EY44,","))&amp;",",","&amp;SUBSTITUTE(input_global_network_school," ","")&amp;",")))=COUNTA(TEXTSPLIT(EY44,",")))),IF(FA44="",TRUE,IF(input_global_network_school="",TRUE,SUMPRODUCT(--ISNUMBER(SEARCH(","&amp;TRIM(TEXTSPLIT(FA44,","))&amp;",",","&amp;SUBSTITUTE(input_global_network_school," ","")&amp;",")))=0)),IF(FC44="",TRUE,IF(input_global_network_school="",FALSE,SUMPRODUCT(--ISNUMBER(SEARCH(","&amp;TRIM(TEXTSPLIT(FC44,","))&amp;",",","&amp;SUBSTITUTE(input_global_network_school," ","")&amp;",")))&gt;0)),IF(FE44="",TRUE,IF(input_global_network_school="",FALSE,SUMPRODUCT(--ISNUMBER(SEARCH(","&amp;TRIM(TEXTSPLIT(FE44,","))&amp;",",","&amp;SUBSTITUTE(input_global_network_school," ","")&amp;",")))=COUNTA(TEXTSPLIT(FE44,",")))))</f>
        <v/>
      </c>
      <c r="JI44">
        <f>AND(IF(FG44="",TRUE,IF(input_industry="",FALSE,SUMPRODUCT(--ISNUMBER(SEARCH(","&amp;TRIM(TEXTSPLIT(FG44,","))&amp;",",","&amp;SUBSTITUTE(input_industry," ","")&amp;",")))&gt;0)),IF(FI44="",TRUE,IF(input_industry="",FALSE,SUMPRODUCT(--ISNUMBER(SEARCH(","&amp;TRIM(TEXTSPLIT(FI44,","))&amp;",",","&amp;SUBSTITUTE(input_industry," ","")&amp;",")))=COUNTA(TEXTSPLIT(FI44,",")))),IF(FK44="",TRUE,IF(input_industry="",TRUE,SUMPRODUCT(--ISNUMBER(SEARCH(","&amp;TRIM(TEXTSPLIT(FK44,","))&amp;",",","&amp;SUBSTITUTE(input_industry," ","")&amp;",")))=0)),IF(FM44="",TRUE,IF(input_industry="",FALSE,SUMPRODUCT(--ISNUMBER(SEARCH(","&amp;TRIM(TEXTSPLIT(FM44,","))&amp;",",","&amp;SUBSTITUTE(input_industry," ","")&amp;",")))&gt;0)),IF(FO44="",TRUE,IF(input_industry="",FALSE,SUMPRODUCT(--ISNUMBER(SEARCH(","&amp;TRIM(TEXTSPLIT(FO44,","))&amp;",",","&amp;SUBSTITUTE(input_industry," ","")&amp;",")))=COUNTA(TEXTSPLIT(FO44,",")))))</f>
        <v/>
      </c>
      <c r="JJ44">
        <f>AND(IF(FQ44="",TRUE,IF(input_location="",FALSE,SUMPRODUCT(--ISNUMBER(SEARCH(","&amp;TRIM(TEXTSPLIT(FQ44,","))&amp;",",","&amp;SUBSTITUTE(input_location," ","")&amp;",")))&gt;0)),IF(FS44="",TRUE,IF(input_location="",FALSE,SUMPRODUCT(--ISNUMBER(SEARCH(","&amp;TRIM(TEXTSPLIT(FS44,","))&amp;",",","&amp;SUBSTITUTE(input_location," ","")&amp;",")))=COUNTA(TEXTSPLIT(FS44,",")))),IF(FU44="",TRUE,IF(input_location="",TRUE,SUMPRODUCT(--ISNUMBER(SEARCH(","&amp;TRIM(TEXTSPLIT(FU44,","))&amp;",",","&amp;SUBSTITUTE(input_location," ","")&amp;",")))=0)),IF(FW44="",TRUE,IF(input_location="",FALSE,SUMPRODUCT(--ISNUMBER(SEARCH(","&amp;TRIM(TEXTSPLIT(FW44,","))&amp;",",","&amp;SUBSTITUTE(input_location," ","")&amp;",")))&gt;0)),IF(FY44="",TRUE,IF(input_location="",FALSE,SUMPRODUCT(--ISNUMBER(SEARCH(","&amp;TRIM(TEXTSPLIT(FY44,","))&amp;",",","&amp;SUBSTITUTE(input_location," ","")&amp;",")))=COUNTA(TEXTSPLIT(FY44,",")))))</f>
        <v/>
      </c>
      <c r="JK44">
        <f>AND(IF(GA44="",TRUE,IF(input_modality="",FALSE,SUMPRODUCT(--ISNUMBER(SEARCH(","&amp;TRIM(TEXTSPLIT(GA44,","))&amp;",",","&amp;SUBSTITUTE(input_modality," ","")&amp;",")))&gt;0)),IF(GC44="",TRUE,IF(input_modality="",FALSE,SUMPRODUCT(--ISNUMBER(SEARCH(","&amp;TRIM(TEXTSPLIT(GC44,","))&amp;",",","&amp;SUBSTITUTE(input_modality," ","")&amp;",")))=COUNTA(TEXTSPLIT(GC44,",")))),IF(GE44="",TRUE,IF(input_modality="",TRUE,SUMPRODUCT(--ISNUMBER(SEARCH(","&amp;TRIM(TEXTSPLIT(GE44,","))&amp;",",","&amp;SUBSTITUTE(input_modality," ","")&amp;",")))=0)),IF(GG44="",TRUE,IF(input_modality="",FALSE,SUMPRODUCT(--ISNUMBER(SEARCH(","&amp;TRIM(TEXTSPLIT(GG44,","))&amp;",",","&amp;SUBSTITUTE(input_modality," ","")&amp;",")))&gt;0)),IF(GI44="",TRUE,IF(input_modality="",FALSE,SUMPRODUCT(--ISNUMBER(SEARCH(","&amp;TRIM(TEXTSPLIT(GI44,","))&amp;",",","&amp;SUBSTITUTE(input_modality," ","")&amp;",")))=COUNTA(TEXTSPLIT(GI44,",")))))</f>
        <v/>
      </c>
      <c r="JL44">
        <f>AND(IF(GK44="",TRUE,IF(input_organizer="",FALSE,SUMPRODUCT(--ISNUMBER(SEARCH(","&amp;TRIM(TEXTSPLIT(GK44,","))&amp;",",","&amp;SUBSTITUTE(input_organizer," ","")&amp;",")))&gt;0)),IF(GM44="",TRUE,IF(input_organizer="",FALSE,SUMPRODUCT(--ISNUMBER(SEARCH(","&amp;TRIM(TEXTSPLIT(GM44,","))&amp;",",","&amp;SUBSTITUTE(input_organizer," ","")&amp;",")))=COUNTA(TEXTSPLIT(GM44,",")))),IF(GO44="",TRUE,IF(input_organizer="",TRUE,SUMPRODUCT(--ISNUMBER(SEARCH(","&amp;TRIM(TEXTSPLIT(GO44,","))&amp;",",","&amp;SUBSTITUTE(input_organizer," ","")&amp;",")))=0)),IF(GQ44="",TRUE,IF(input_organizer="",FALSE,SUMPRODUCT(--ISNUMBER(SEARCH(","&amp;TRIM(TEXTSPLIT(GQ44,","))&amp;",",","&amp;SUBSTITUTE(input_organizer," ","")&amp;",")))&gt;0)),IF(GS44="",TRUE,IF(input_organizer="",FALSE,SUMPRODUCT(--ISNUMBER(SEARCH(","&amp;TRIM(TEXTSPLIT(GS44,","))&amp;",",","&amp;SUBSTITUTE(input_organizer," ","")&amp;",")))=COUNTA(TEXTSPLIT(GS44,",")))))</f>
        <v/>
      </c>
      <c r="JM44">
        <f>AND(IF(GU44="",TRUE,IF(input_profile_type="",FALSE,SUMPRODUCT(--ISNUMBER(SEARCH(","&amp;TRIM(TEXTSPLIT(GU44,","))&amp;",",","&amp;SUBSTITUTE(input_profile_type," ","")&amp;",")))&gt;0)),IF(GW44="",TRUE,IF(input_profile_type="",FALSE,SUMPRODUCT(--ISNUMBER(SEARCH(","&amp;TRIM(TEXTSPLIT(GW44,","))&amp;",",","&amp;SUBSTITUTE(input_profile_type," ","")&amp;",")))=COUNTA(TEXTSPLIT(GW44,",")))),IF(GY44="",TRUE,IF(input_profile_type="",TRUE,SUMPRODUCT(--ISNUMBER(SEARCH(","&amp;TRIM(TEXTSPLIT(GY44,","))&amp;",",","&amp;SUBSTITUTE(input_profile_type," ","")&amp;",")))=0)),IF(HA44="",TRUE,IF(input_profile_type="",FALSE,SUMPRODUCT(--ISNUMBER(SEARCH(","&amp;TRIM(TEXTSPLIT(HA44,","))&amp;",",","&amp;SUBSTITUTE(input_profile_type," ","")&amp;",")))&gt;0)),IF(HC44="",TRUE,IF(input_profile_type="",FALSE,SUMPRODUCT(--ISNUMBER(SEARCH(","&amp;TRIM(TEXTSPLIT(HC44,","))&amp;",",","&amp;SUBSTITUTE(input_profile_type," ","")&amp;",")))=COUNTA(TEXTSPLIT(HC44,",")))))</f>
        <v/>
      </c>
      <c r="JN44">
        <f>AND(IF(HE44="",TRUE,IF(input_program="",FALSE,SUMPRODUCT(--ISNUMBER(SEARCH(","&amp;TRIM(TEXTSPLIT(HE44,","))&amp;",",","&amp;SUBSTITUTE(input_program," ","")&amp;",")))&gt;0)),IF(HG44="",TRUE,IF(input_program="",FALSE,SUMPRODUCT(--ISNUMBER(SEARCH(","&amp;TRIM(TEXTSPLIT(HG44,","))&amp;",",","&amp;SUBSTITUTE(input_program," ","")&amp;",")))=COUNTA(TEXTSPLIT(HG44,",")))),IF(HI44="",TRUE,IF(input_program="",TRUE,SUMPRODUCT(--ISNUMBER(SEARCH(","&amp;TRIM(TEXTSPLIT(HI44,","))&amp;",",","&amp;SUBSTITUTE(input_program," ","")&amp;",")))=0)),IF(HK44="",TRUE,IF(input_program="",FALSE,SUMPRODUCT(--ISNUMBER(SEARCH(","&amp;TRIM(TEXTSPLIT(HK44,","))&amp;",",","&amp;SUBSTITUTE(input_program," ","")&amp;",")))&gt;0)),IF(HM44="",TRUE,IF(input_program="",FALSE,SUMPRODUCT(--ISNUMBER(SEARCH(","&amp;TRIM(TEXTSPLIT(HM44,","))&amp;",",","&amp;SUBSTITUTE(input_program," ","")&amp;",")))=COUNTA(TEXTSPLIT(HM44,",")))))</f>
        <v/>
      </c>
      <c r="JO44">
        <f>AND(IF(HO44="",TRUE,IF(input_story_categories="",FALSE,SUMPRODUCT(--ISNUMBER(SEARCH(","&amp;TRIM(TEXTSPLIT(HO44,","))&amp;",",","&amp;SUBSTITUTE(input_story_categories," ","")&amp;",")))&gt;0)),IF(HQ44="",TRUE,IF(input_story_categories="",FALSE,SUMPRODUCT(--ISNUMBER(SEARCH(","&amp;TRIM(TEXTSPLIT(HQ44,","))&amp;",",","&amp;SUBSTITUTE(input_story_categories," ","")&amp;",")))=COUNTA(TEXTSPLIT(HQ44,",")))),IF(HS44="",TRUE,IF(input_story_categories="",TRUE,SUMPRODUCT(--ISNUMBER(SEARCH(","&amp;TRIM(TEXTSPLIT(HS44,","))&amp;",",","&amp;SUBSTITUTE(input_story_categories," ","")&amp;",")))=0)),IF(HU44="",TRUE,IF(input_story_categories="",FALSE,SUMPRODUCT(--ISNUMBER(SEARCH(","&amp;TRIM(TEXTSPLIT(HU44,","))&amp;",",","&amp;SUBSTITUTE(input_story_categories," ","")&amp;",")))&gt;0)),IF(HW44="",TRUE,IF(input_story_categories="",FALSE,SUMPRODUCT(--ISNUMBER(SEARCH(","&amp;TRIM(TEXTSPLIT(HW44,","))&amp;",",","&amp;SUBSTITUTE(input_story_categories," ","")&amp;",")))=COUNTA(TEXTSPLIT(HW44,",")))))</f>
        <v/>
      </c>
      <c r="JP44">
        <f>AND(IF(HY44="",TRUE,IF(input_story_type="",FALSE,SUMPRODUCT(--ISNUMBER(SEARCH(","&amp;TRIM(TEXTSPLIT(HY44,","))&amp;",",","&amp;SUBSTITUTE(input_story_type," ","")&amp;",")))&gt;0)),IF(IA44="",TRUE,IF(input_story_type="",FALSE,SUMPRODUCT(--ISNUMBER(SEARCH(","&amp;TRIM(TEXTSPLIT(IA44,","))&amp;",",","&amp;SUBSTITUTE(input_story_type," ","")&amp;",")))=COUNTA(TEXTSPLIT(IA44,",")))),IF(IC44="",TRUE,IF(input_story_type="",TRUE,SUMPRODUCT(--ISNUMBER(SEARCH(","&amp;TRIM(TEXTSPLIT(IC44,","))&amp;",",","&amp;SUBSTITUTE(input_story_type," ","")&amp;",")))=0)),IF(IE44="",TRUE,IF(input_story_type="",FALSE,SUMPRODUCT(--ISNUMBER(SEARCH(","&amp;TRIM(TEXTSPLIT(IE44,","))&amp;",",","&amp;SUBSTITUTE(input_story_type," ","")&amp;",")))&gt;0)),IF(IG44="",TRUE,IF(input_story_type="",FALSE,SUMPRODUCT(--ISNUMBER(SEARCH(","&amp;TRIM(TEXTSPLIT(IG44,","))&amp;",",","&amp;SUBSTITUTE(input_story_type," ","")&amp;",")))=COUNTA(TEXTSPLIT(IG44,",")))))</f>
        <v/>
      </c>
      <c r="JQ44">
        <f>AND(IF(II44="",TRUE,IF(input_topics="",FALSE,SUMPRODUCT(--ISNUMBER(SEARCH(","&amp;TRIM(TEXTSPLIT(II44,","))&amp;",",","&amp;SUBSTITUTE(input_topics," ","")&amp;",")))&gt;0)),IF(IK44="",TRUE,IF(input_topics="",FALSE,SUMPRODUCT(--ISNUMBER(SEARCH(","&amp;TRIM(TEXTSPLIT(IK44,","))&amp;",",","&amp;SUBSTITUTE(input_topics," ","")&amp;",")))=COUNTA(TEXTSPLIT(IK44,",")))),IF(IM44="",TRUE,IF(input_topics="",TRUE,SUMPRODUCT(--ISNUMBER(SEARCH(","&amp;TRIM(TEXTSPLIT(IM44,","))&amp;",",","&amp;SUBSTITUTE(input_topics," ","")&amp;",")))=0)),IF(IO44="",TRUE,IF(input_topics="",FALSE,SUMPRODUCT(--ISNUMBER(SEARCH(","&amp;TRIM(TEXTSPLIT(IO44,","))&amp;",",","&amp;SUBSTITUTE(input_topics," ","")&amp;",")))&gt;0)),IF(IQ44="",TRUE,IF(input_topics="",FALSE,SUMPRODUCT(--ISNUMBER(SEARCH(","&amp;TRIM(TEXTSPLIT(IQ44,","))&amp;",",","&amp;SUBSTITUTE(input_topics," ","")&amp;",")))=COUNTA(TEXTSPLIT(IQ44,",")))))</f>
        <v/>
      </c>
    </row>
    <row r="45">
      <c r="A45" s="4">
        <f>IF(NOT(IS45),"Excluded",IF(AND(IT45,IU45,IV45,IW45,IX45,IY45,IZ45,JA45,JB45,JC45,JD45,JE45,JF45,JG45,JH45,JI45,JJ45,JK45,JL45,JM45,JN45,JO45,JP45,JQ45),IF(I45&gt;0,"Eligible but limited","Will appear"),"Excluded"))</f>
        <v/>
      </c>
      <c r="B45" s="4" t="inlineStr">
        <is>
          <t>All Publications by Author</t>
        </is>
      </c>
      <c r="C45" s="4" t="inlineStr">
        <is>
          <t>/faculty-research/faculty-directory/paul-goldsmith-pinkham</t>
        </is>
      </c>
      <c r="D45" s="4" t="inlineStr">
        <is>
          <t>/faculty-research/faculty-directory/paul-goldsmith-pinkham</t>
        </is>
      </c>
      <c r="E45" s="4" t="n">
        <v>1</v>
      </c>
      <c r="F45" s="4" t="inlineStr">
        <is>
          <t>publications</t>
        </is>
      </c>
      <c r="G45" s="4" t="inlineStr">
        <is>
          <t>publication_teaser_list</t>
        </is>
      </c>
      <c r="H45" s="4" t="inlineStr">
        <is>
          <t>publication_teaser_list_all_by_author</t>
        </is>
      </c>
      <c r="I45" s="4" t="inlineStr"/>
      <c r="J45" s="4" t="inlineStr">
        <is>
          <t>View/config rules</t>
        </is>
      </c>
      <c r="K45" s="4" t="inlineStr">
        <is>
          <t>Page placement</t>
        </is>
      </c>
      <c r="L45" s="4" t="inlineStr">
        <is>
          <t>Content type: publications; Source: View/config rules</t>
        </is>
      </c>
      <c r="M45" t="inlineStr"/>
      <c r="N45" t="inlineStr"/>
      <c r="O45" t="inlineStr"/>
      <c r="P45" t="inlineStr"/>
      <c r="Q45" t="inlineStr"/>
      <c r="R45" t="inlineStr"/>
      <c r="S45" t="inlineStr"/>
      <c r="T45" t="inlineStr"/>
      <c r="U45" t="inlineStr"/>
      <c r="V45" t="inlineStr"/>
      <c r="W45" t="inlineStr"/>
      <c r="X45" t="inlineStr"/>
      <c r="Y45" t="inlineStr"/>
      <c r="Z45" t="inlineStr"/>
      <c r="AA45" t="inlineStr"/>
      <c r="AB45" t="inlineStr"/>
      <c r="AC45" t="inlineStr"/>
      <c r="AD45" t="inlineStr"/>
      <c r="AE45" t="inlineStr"/>
      <c r="AF45" t="inlineStr"/>
      <c r="AG45" t="inlineStr"/>
      <c r="AH45" t="inlineStr"/>
      <c r="AI45" t="inlineStr"/>
      <c r="AJ45" t="inlineStr"/>
      <c r="AK45" t="inlineStr"/>
      <c r="AL45" t="inlineStr"/>
      <c r="AM45" t="inlineStr"/>
      <c r="AN45" t="inlineStr"/>
      <c r="AO45" t="inlineStr"/>
      <c r="AP45" t="inlineStr"/>
      <c r="AQ45" t="inlineStr"/>
      <c r="AR45" t="inlineStr"/>
      <c r="AS45" t="inlineStr"/>
      <c r="AT45" t="inlineStr"/>
      <c r="AU45" t="inlineStr"/>
      <c r="AV45" t="inlineStr"/>
      <c r="AW45" t="inlineStr"/>
      <c r="AX45" t="inlineStr"/>
      <c r="AY45" t="inlineStr"/>
      <c r="AZ45" t="inlineStr"/>
      <c r="BA45" t="inlineStr"/>
      <c r="BB45" t="inlineStr"/>
      <c r="BC45" t="inlineStr"/>
      <c r="BD45" t="inlineStr"/>
      <c r="BE45" t="inlineStr"/>
      <c r="BF45" t="inlineStr"/>
      <c r="BG45" t="inlineStr"/>
      <c r="BH45" t="inlineStr"/>
      <c r="BI45" t="inlineStr"/>
      <c r="BJ45" t="inlineStr"/>
      <c r="BK45" t="inlineStr"/>
      <c r="BL45" t="inlineStr"/>
      <c r="BM45" t="inlineStr"/>
      <c r="BN45" t="inlineStr"/>
      <c r="BO45" t="inlineStr"/>
      <c r="BP45" t="inlineStr"/>
      <c r="BQ45" t="inlineStr"/>
      <c r="BR45" t="inlineStr"/>
      <c r="BS45" t="inlineStr"/>
      <c r="BT45" t="inlineStr"/>
      <c r="BU45" t="inlineStr"/>
      <c r="BV45" t="inlineStr"/>
      <c r="BW45" t="inlineStr"/>
      <c r="BX45" t="inlineStr"/>
      <c r="BY45" t="inlineStr"/>
      <c r="BZ45" t="inlineStr"/>
      <c r="CA45" t="inlineStr"/>
      <c r="CB45" t="inlineStr"/>
      <c r="CC45" t="inlineStr"/>
      <c r="CD45" t="inlineStr"/>
      <c r="CE45" t="inlineStr"/>
      <c r="CF45" t="inlineStr"/>
      <c r="CG45" t="inlineStr"/>
      <c r="CH45" t="inlineStr"/>
      <c r="CI45" t="inlineStr"/>
      <c r="CJ45" t="inlineStr"/>
      <c r="CK45" t="inlineStr"/>
      <c r="CL45" t="inlineStr"/>
      <c r="CM45" t="inlineStr"/>
      <c r="CN45" t="inlineStr"/>
      <c r="CO45" t="inlineStr"/>
      <c r="CP45" t="inlineStr"/>
      <c r="CQ45" t="inlineStr"/>
      <c r="CR45" t="inlineStr"/>
      <c r="CS45" t="inlineStr"/>
      <c r="CT45" t="inlineStr"/>
      <c r="CU45" t="inlineStr"/>
      <c r="CV45" t="inlineStr"/>
      <c r="CW45" t="inlineStr"/>
      <c r="CX45" t="inlineStr"/>
      <c r="CY45" t="inlineStr"/>
      <c r="CZ45" t="inlineStr"/>
      <c r="DA45" t="inlineStr"/>
      <c r="DB45" t="inlineStr"/>
      <c r="DC45" t="inlineStr"/>
      <c r="DD45" t="inlineStr"/>
      <c r="DE45" t="inlineStr"/>
      <c r="DF45" t="inlineStr"/>
      <c r="DG45" t="inlineStr"/>
      <c r="DH45" t="inlineStr"/>
      <c r="DI45" t="inlineStr"/>
      <c r="DJ45" t="inlineStr"/>
      <c r="DK45" t="inlineStr"/>
      <c r="DL45" t="inlineStr"/>
      <c r="DM45" t="inlineStr"/>
      <c r="DN45" t="inlineStr"/>
      <c r="DO45" t="inlineStr"/>
      <c r="DP45" t="inlineStr"/>
      <c r="DQ45" t="inlineStr"/>
      <c r="DR45" t="inlineStr"/>
      <c r="DS45" t="inlineStr"/>
      <c r="DT45" t="inlineStr"/>
      <c r="DU45" t="inlineStr"/>
      <c r="DV45" t="inlineStr"/>
      <c r="DW45" t="inlineStr"/>
      <c r="DX45" t="inlineStr"/>
      <c r="DY45" t="inlineStr"/>
      <c r="DZ45" t="inlineStr"/>
      <c r="EA45" t="inlineStr"/>
      <c r="EB45" t="inlineStr"/>
      <c r="EC45" t="inlineStr"/>
      <c r="ED45" t="inlineStr"/>
      <c r="EE45" t="inlineStr"/>
      <c r="EF45" t="inlineStr"/>
      <c r="EG45" t="inlineStr"/>
      <c r="EH45" t="inlineStr"/>
      <c r="EI45" t="inlineStr"/>
      <c r="EJ45" t="inlineStr"/>
      <c r="EK45" t="inlineStr"/>
      <c r="EL45" t="inlineStr"/>
      <c r="EM45" t="inlineStr"/>
      <c r="EN45" t="inlineStr"/>
      <c r="EO45" t="inlineStr"/>
      <c r="EP45" t="inlineStr"/>
      <c r="EQ45" t="inlineStr"/>
      <c r="ER45" t="inlineStr"/>
      <c r="ES45" t="inlineStr"/>
      <c r="ET45" t="inlineStr"/>
      <c r="EU45" t="inlineStr"/>
      <c r="EV45" t="inlineStr"/>
      <c r="EW45" t="inlineStr"/>
      <c r="EX45" t="inlineStr"/>
      <c r="EY45" t="inlineStr"/>
      <c r="EZ45" t="inlineStr"/>
      <c r="FA45" t="inlineStr"/>
      <c r="FB45" t="inlineStr"/>
      <c r="FC45" t="inlineStr"/>
      <c r="FD45" t="inlineStr"/>
      <c r="FE45" t="inlineStr"/>
      <c r="FF45" t="inlineStr"/>
      <c r="FG45" t="inlineStr"/>
      <c r="FH45" t="inlineStr"/>
      <c r="FI45" t="inlineStr"/>
      <c r="FJ45" t="inlineStr"/>
      <c r="FK45" t="inlineStr"/>
      <c r="FL45" t="inlineStr"/>
      <c r="FM45" t="inlineStr"/>
      <c r="FN45" t="inlineStr"/>
      <c r="FO45" t="inlineStr"/>
      <c r="FP45" t="inlineStr"/>
      <c r="FQ45" t="inlineStr"/>
      <c r="FR45" t="inlineStr"/>
      <c r="FS45" t="inlineStr"/>
      <c r="FT45" t="inlineStr"/>
      <c r="FU45" t="inlineStr"/>
      <c r="FV45" t="inlineStr"/>
      <c r="FW45" t="inlineStr"/>
      <c r="FX45" t="inlineStr"/>
      <c r="FY45" t="inlineStr"/>
      <c r="FZ45" t="inlineStr"/>
      <c r="GA45" t="inlineStr"/>
      <c r="GB45" t="inlineStr"/>
      <c r="GC45" t="inlineStr"/>
      <c r="GD45" t="inlineStr"/>
      <c r="GE45" t="inlineStr"/>
      <c r="GF45" t="inlineStr"/>
      <c r="GG45" t="inlineStr"/>
      <c r="GH45" t="inlineStr"/>
      <c r="GI45" t="inlineStr"/>
      <c r="GJ45" t="inlineStr"/>
      <c r="GK45" t="inlineStr"/>
      <c r="GL45" t="inlineStr"/>
      <c r="GM45" t="inlineStr"/>
      <c r="GN45" t="inlineStr"/>
      <c r="GO45" t="inlineStr"/>
      <c r="GP45" t="inlineStr"/>
      <c r="GQ45" t="inlineStr"/>
      <c r="GR45" t="inlineStr"/>
      <c r="GS45" t="inlineStr"/>
      <c r="GT45" t="inlineStr"/>
      <c r="GU45" t="inlineStr"/>
      <c r="GV45" t="inlineStr"/>
      <c r="GW45" t="inlineStr"/>
      <c r="GX45" t="inlineStr"/>
      <c r="GY45" t="inlineStr"/>
      <c r="GZ45" t="inlineStr"/>
      <c r="HA45" t="inlineStr"/>
      <c r="HB45" t="inlineStr"/>
      <c r="HC45" t="inlineStr"/>
      <c r="HD45" t="inlineStr"/>
      <c r="HE45" t="inlineStr"/>
      <c r="HF45" t="inlineStr"/>
      <c r="HG45" t="inlineStr"/>
      <c r="HH45" t="inlineStr"/>
      <c r="HI45" t="inlineStr"/>
      <c r="HJ45" t="inlineStr"/>
      <c r="HK45" t="inlineStr"/>
      <c r="HL45" t="inlineStr"/>
      <c r="HM45" t="inlineStr"/>
      <c r="HN45" t="inlineStr"/>
      <c r="HO45" t="inlineStr"/>
      <c r="HP45" t="inlineStr"/>
      <c r="HQ45" t="inlineStr"/>
      <c r="HR45" t="inlineStr"/>
      <c r="HS45" t="inlineStr"/>
      <c r="HT45" t="inlineStr"/>
      <c r="HU45" t="inlineStr"/>
      <c r="HV45" t="inlineStr"/>
      <c r="HW45" t="inlineStr"/>
      <c r="HX45" t="inlineStr"/>
      <c r="HY45" t="inlineStr"/>
      <c r="HZ45" t="inlineStr"/>
      <c r="IA45" t="inlineStr"/>
      <c r="IB45" t="inlineStr"/>
      <c r="IC45" t="inlineStr"/>
      <c r="ID45" t="inlineStr"/>
      <c r="IE45" t="inlineStr"/>
      <c r="IF45" t="inlineStr"/>
      <c r="IG45" t="inlineStr"/>
      <c r="IH45" t="inlineStr"/>
      <c r="II45" t="inlineStr"/>
      <c r="IJ45" t="inlineStr"/>
      <c r="IK45" t="inlineStr"/>
      <c r="IL45" t="inlineStr"/>
      <c r="IM45" t="inlineStr"/>
      <c r="IN45" t="inlineStr"/>
      <c r="IO45" t="inlineStr"/>
      <c r="IP45" t="inlineStr"/>
      <c r="IQ45" t="inlineStr"/>
      <c r="IR45" t="inlineStr"/>
      <c r="IS45">
        <f>IF(input_content_type="",FALSE,ISNUMBER(SEARCH(","&amp;LOWER(input_content_type)&amp;",",","&amp;LOWER(F45)&amp;",")))</f>
        <v/>
      </c>
      <c r="IT45">
        <f>AND(IF(M45="",TRUE,IF(input_affiliations="",FALSE,SUMPRODUCT(--ISNUMBER(SEARCH(","&amp;TRIM(TEXTSPLIT(M45,","))&amp;",",","&amp;SUBSTITUTE(input_affiliations," ","")&amp;",")))&gt;0)),IF(O45="",TRUE,IF(input_affiliations="",FALSE,SUMPRODUCT(--ISNUMBER(SEARCH(","&amp;TRIM(TEXTSPLIT(O45,","))&amp;",",","&amp;SUBSTITUTE(input_affiliations," ","")&amp;",")))=COUNTA(TEXTSPLIT(O45,",")))),IF(Q45="",TRUE,IF(input_affiliations="",TRUE,SUMPRODUCT(--ISNUMBER(SEARCH(","&amp;TRIM(TEXTSPLIT(Q45,","))&amp;",",","&amp;SUBSTITUTE(input_affiliations," ","")&amp;",")))=0)),IF(S45="",TRUE,IF(input_affiliations="",FALSE,SUMPRODUCT(--ISNUMBER(SEARCH(","&amp;TRIM(TEXTSPLIT(S45,","))&amp;",",","&amp;SUBSTITUTE(input_affiliations," ","")&amp;",")))&gt;0)),IF(U45="",TRUE,IF(input_affiliations="",FALSE,SUMPRODUCT(--ISNUMBER(SEARCH(","&amp;TRIM(TEXTSPLIT(U45,","))&amp;",",","&amp;SUBSTITUTE(input_affiliations," ","")&amp;",")))=COUNTA(TEXTSPLIT(U45,",")))))</f>
        <v/>
      </c>
      <c r="IU45">
        <f>AND(IF(W45="",TRUE,IF(input_announcement_category="",FALSE,SUMPRODUCT(--ISNUMBER(SEARCH(","&amp;TRIM(TEXTSPLIT(W45,","))&amp;",",","&amp;SUBSTITUTE(input_announcement_category," ","")&amp;",")))&gt;0)),IF(Y45="",TRUE,IF(input_announcement_category="",FALSE,SUMPRODUCT(--ISNUMBER(SEARCH(","&amp;TRIM(TEXTSPLIT(Y45,","))&amp;",",","&amp;SUBSTITUTE(input_announcement_category," ","")&amp;",")))=COUNTA(TEXTSPLIT(Y45,",")))),IF(AA45="",TRUE,IF(input_announcement_category="",TRUE,SUMPRODUCT(--ISNUMBER(SEARCH(","&amp;TRIM(TEXTSPLIT(AA45,","))&amp;",",","&amp;SUBSTITUTE(input_announcement_category," ","")&amp;",")))=0)),IF(AC45="",TRUE,IF(input_announcement_category="",FALSE,SUMPRODUCT(--ISNUMBER(SEARCH(","&amp;TRIM(TEXTSPLIT(AC45,","))&amp;",",","&amp;SUBSTITUTE(input_announcement_category," ","")&amp;",")))&gt;0)),IF(AE45="",TRUE,IF(input_announcement_category="",FALSE,SUMPRODUCT(--ISNUMBER(SEARCH(","&amp;TRIM(TEXTSPLIT(AE45,","))&amp;",",","&amp;SUBSTITUTE(input_announcement_category," ","")&amp;",")))=COUNTA(TEXTSPLIT(AE45,",")))))</f>
        <v/>
      </c>
      <c r="IV45">
        <f>AND(IF(AG45="",TRUE,IF(input_area_of_focus="",FALSE,SUMPRODUCT(--ISNUMBER(SEARCH(","&amp;TRIM(TEXTSPLIT(AG45,","))&amp;",",","&amp;SUBSTITUTE(input_area_of_focus," ","")&amp;",")))&gt;0)),IF(AI45="",TRUE,IF(input_area_of_focus="",FALSE,SUMPRODUCT(--ISNUMBER(SEARCH(","&amp;TRIM(TEXTSPLIT(AI45,","))&amp;",",","&amp;SUBSTITUTE(input_area_of_focus," ","")&amp;",")))=COUNTA(TEXTSPLIT(AI45,",")))),IF(AK45="",TRUE,IF(input_area_of_focus="",TRUE,SUMPRODUCT(--ISNUMBER(SEARCH(","&amp;TRIM(TEXTSPLIT(AK45,","))&amp;",",","&amp;SUBSTITUTE(input_area_of_focus," ","")&amp;",")))=0)),IF(AM45="",TRUE,IF(input_area_of_focus="",FALSE,SUMPRODUCT(--ISNUMBER(SEARCH(","&amp;TRIM(TEXTSPLIT(AM45,","))&amp;",",","&amp;SUBSTITUTE(input_area_of_focus," ","")&amp;",")))&gt;0)),IF(AO45="",TRUE,IF(input_area_of_focus="",FALSE,SUMPRODUCT(--ISNUMBER(SEARCH(","&amp;TRIM(TEXTSPLIT(AO45,","))&amp;",",","&amp;SUBSTITUTE(input_area_of_focus," ","")&amp;",")))=COUNTA(TEXTSPLIT(AO45,",")))))</f>
        <v/>
      </c>
      <c r="IW45">
        <f>AND(IF(AQ45="",TRUE,IF(input_audience="",FALSE,SUMPRODUCT(--ISNUMBER(SEARCH(","&amp;TRIM(TEXTSPLIT(AQ45,","))&amp;",",","&amp;SUBSTITUTE(input_audience," ","")&amp;",")))&gt;0)),IF(AS45="",TRUE,IF(input_audience="",FALSE,SUMPRODUCT(--ISNUMBER(SEARCH(","&amp;TRIM(TEXTSPLIT(AS45,","))&amp;",",","&amp;SUBSTITUTE(input_audience," ","")&amp;",")))=COUNTA(TEXTSPLIT(AS45,",")))),IF(AU45="",TRUE,IF(input_audience="",TRUE,SUMPRODUCT(--ISNUMBER(SEARCH(","&amp;TRIM(TEXTSPLIT(AU45,","))&amp;",",","&amp;SUBSTITUTE(input_audience," ","")&amp;",")))=0)),IF(AW45="",TRUE,IF(input_audience="",FALSE,SUMPRODUCT(--ISNUMBER(SEARCH(","&amp;TRIM(TEXTSPLIT(AW45,","))&amp;",",","&amp;SUBSTITUTE(input_audience," ","")&amp;",")))&gt;0)),IF(AY45="",TRUE,IF(input_audience="",FALSE,SUMPRODUCT(--ISNUMBER(SEARCH(","&amp;TRIM(TEXTSPLIT(AY45,","))&amp;",",","&amp;SUBSTITUTE(input_audience," ","")&amp;",")))=COUNTA(TEXTSPLIT(AY45,",")))))</f>
        <v/>
      </c>
      <c r="IX45">
        <f>AND(IF(BA45="",TRUE,IF(input_challenge_opportunities="",FALSE,SUMPRODUCT(--ISNUMBER(SEARCH(","&amp;TRIM(TEXTSPLIT(BA45,","))&amp;",",","&amp;SUBSTITUTE(input_challenge_opportunities," ","")&amp;",")))&gt;0)),IF(BC45="",TRUE,IF(input_challenge_opportunities="",FALSE,SUMPRODUCT(--ISNUMBER(SEARCH(","&amp;TRIM(TEXTSPLIT(BC45,","))&amp;",",","&amp;SUBSTITUTE(input_challenge_opportunities," ","")&amp;",")))=COUNTA(TEXTSPLIT(BC45,",")))),IF(BE45="",TRUE,IF(input_challenge_opportunities="",TRUE,SUMPRODUCT(--ISNUMBER(SEARCH(","&amp;TRIM(TEXTSPLIT(BE45,","))&amp;",",","&amp;SUBSTITUTE(input_challenge_opportunities," ","")&amp;",")))=0)),IF(BG45="",TRUE,IF(input_challenge_opportunities="",FALSE,SUMPRODUCT(--ISNUMBER(SEARCH(","&amp;TRIM(TEXTSPLIT(BG45,","))&amp;",",","&amp;SUBSTITUTE(input_challenge_opportunities," ","")&amp;",")))&gt;0)),IF(BI45="",TRUE,IF(input_challenge_opportunities="",FALSE,SUMPRODUCT(--ISNUMBER(SEARCH(","&amp;TRIM(TEXTSPLIT(BI45,","))&amp;",",","&amp;SUBSTITUTE(input_challenge_opportunities," ","")&amp;",")))=COUNTA(TEXTSPLIT(BI45,",")))))</f>
        <v/>
      </c>
      <c r="IY45">
        <f>AND(IF(BK45="",TRUE,IF(input_context="",FALSE,SUMPRODUCT(--ISNUMBER(SEARCH(","&amp;TRIM(TEXTSPLIT(BK45,","))&amp;",",","&amp;SUBSTITUTE(input_context," ","")&amp;",")))&gt;0)),IF(BM45="",TRUE,IF(input_context="",FALSE,SUMPRODUCT(--ISNUMBER(SEARCH(","&amp;TRIM(TEXTSPLIT(BM45,","))&amp;",",","&amp;SUBSTITUTE(input_context," ","")&amp;",")))=COUNTA(TEXTSPLIT(BM45,",")))),IF(BO45="",TRUE,IF(input_context="",TRUE,SUMPRODUCT(--ISNUMBER(SEARCH(","&amp;TRIM(TEXTSPLIT(BO45,","))&amp;",",","&amp;SUBSTITUTE(input_context," ","")&amp;",")))=0)),IF(BQ45="",TRUE,IF(input_context="",FALSE,SUMPRODUCT(--ISNUMBER(SEARCH(","&amp;TRIM(TEXTSPLIT(BQ45,","))&amp;",",","&amp;SUBSTITUTE(input_context," ","")&amp;",")))&gt;0)),IF(BS45="",TRUE,IF(input_context="",FALSE,SUMPRODUCT(--ISNUMBER(SEARCH(","&amp;TRIM(TEXTSPLIT(BS45,","))&amp;",",","&amp;SUBSTITUTE(input_context," ","")&amp;",")))=COUNTA(TEXTSPLIT(BS45,",")))))</f>
        <v/>
      </c>
      <c r="IZ45">
        <f>AND(IF(BU45="",TRUE,IF(input_enews_announcement_type="",FALSE,SUMPRODUCT(--ISNUMBER(SEARCH(","&amp;TRIM(TEXTSPLIT(BU45,","))&amp;",",","&amp;SUBSTITUTE(input_enews_announcement_type," ","")&amp;",")))&gt;0)),IF(BW45="",TRUE,IF(input_enews_announcement_type="",FALSE,SUMPRODUCT(--ISNUMBER(SEARCH(","&amp;TRIM(TEXTSPLIT(BW45,","))&amp;",",","&amp;SUBSTITUTE(input_enews_announcement_type," ","")&amp;",")))=COUNTA(TEXTSPLIT(BW45,",")))),IF(BY45="",TRUE,IF(input_enews_announcement_type="",TRUE,SUMPRODUCT(--ISNUMBER(SEARCH(","&amp;TRIM(TEXTSPLIT(BY45,","))&amp;",",","&amp;SUBSTITUTE(input_enews_announcement_type," ","")&amp;",")))=0)),IF(CA45="",TRUE,IF(input_enews_announcement_type="",FALSE,SUMPRODUCT(--ISNUMBER(SEARCH(","&amp;TRIM(TEXTSPLIT(CA45,","))&amp;",",","&amp;SUBSTITUTE(input_enews_announcement_type," ","")&amp;",")))&gt;0)),IF(CC45="",TRUE,IF(input_enews_announcement_type="",FALSE,SUMPRODUCT(--ISNUMBER(SEARCH(","&amp;TRIM(TEXTSPLIT(CC45,","))&amp;",",","&amp;SUBSTITUTE(input_enews_announcement_type," ","")&amp;",")))=COUNTA(TEXTSPLIT(CC45,",")))))</f>
        <v/>
      </c>
      <c r="JA45">
        <f>AND(IF(CE45="",TRUE,IF(input_enews_audience="",FALSE,SUMPRODUCT(--ISNUMBER(SEARCH(","&amp;TRIM(TEXTSPLIT(CE45,","))&amp;",",","&amp;SUBSTITUTE(input_enews_audience," ","")&amp;",")))&gt;0)),IF(CG45="",TRUE,IF(input_enews_audience="",FALSE,SUMPRODUCT(--ISNUMBER(SEARCH(","&amp;TRIM(TEXTSPLIT(CG45,","))&amp;",",","&amp;SUBSTITUTE(input_enews_audience," ","")&amp;",")))=COUNTA(TEXTSPLIT(CG45,",")))),IF(CI45="",TRUE,IF(input_enews_audience="",TRUE,SUMPRODUCT(--ISNUMBER(SEARCH(","&amp;TRIM(TEXTSPLIT(CI45,","))&amp;",",","&amp;SUBSTITUTE(input_enews_audience," ","")&amp;",")))=0)),IF(CK45="",TRUE,IF(input_enews_audience="",FALSE,SUMPRODUCT(--ISNUMBER(SEARCH(","&amp;TRIM(TEXTSPLIT(CK45,","))&amp;",",","&amp;SUBSTITUTE(input_enews_audience," ","")&amp;",")))&gt;0)),IF(CM45="",TRUE,IF(input_enews_audience="",FALSE,SUMPRODUCT(--ISNUMBER(SEARCH(","&amp;TRIM(TEXTSPLIT(CM45,","))&amp;",",","&amp;SUBSTITUTE(input_enews_audience," ","")&amp;",")))=COUNTA(TEXTSPLIT(CM45,",")))))</f>
        <v/>
      </c>
      <c r="JB45">
        <f>AND(IF(CO45="",TRUE,IF(input_event_location="",FALSE,SUMPRODUCT(--ISNUMBER(SEARCH(","&amp;TRIM(TEXTSPLIT(CO45,","))&amp;",",","&amp;SUBSTITUTE(input_event_location," ","")&amp;",")))&gt;0)),IF(CQ45="",TRUE,IF(input_event_location="",FALSE,SUMPRODUCT(--ISNUMBER(SEARCH(","&amp;TRIM(TEXTSPLIT(CQ45,","))&amp;",",","&amp;SUBSTITUTE(input_event_location," ","")&amp;",")))=COUNTA(TEXTSPLIT(CQ45,",")))),IF(CS45="",TRUE,IF(input_event_location="",TRUE,SUMPRODUCT(--ISNUMBER(SEARCH(","&amp;TRIM(TEXTSPLIT(CS45,","))&amp;",",","&amp;SUBSTITUTE(input_event_location," ","")&amp;",")))=0)),IF(CU45="",TRUE,IF(input_event_location="",FALSE,SUMPRODUCT(--ISNUMBER(SEARCH(","&amp;TRIM(TEXTSPLIT(CU45,","))&amp;",",","&amp;SUBSTITUTE(input_event_location," ","")&amp;",")))&gt;0)),IF(CW45="",TRUE,IF(input_event_location="",FALSE,SUMPRODUCT(--ISNUMBER(SEARCH(","&amp;TRIM(TEXTSPLIT(CW45,","))&amp;",",","&amp;SUBSTITUTE(input_event_location," ","")&amp;",")))=COUNTA(TEXTSPLIT(CW45,",")))))</f>
        <v/>
      </c>
      <c r="JC45">
        <f>AND(IF(CY45="",TRUE,IF(input_event_type="",FALSE,SUMPRODUCT(--ISNUMBER(SEARCH(","&amp;TRIM(TEXTSPLIT(CY45,","))&amp;",",","&amp;SUBSTITUTE(input_event_type," ","")&amp;",")))&gt;0)),IF(DA45="",TRUE,IF(input_event_type="",FALSE,SUMPRODUCT(--ISNUMBER(SEARCH(","&amp;TRIM(TEXTSPLIT(DA45,","))&amp;",",","&amp;SUBSTITUTE(input_event_type," ","")&amp;",")))=COUNTA(TEXTSPLIT(DA45,",")))),IF(DC45="",TRUE,IF(input_event_type="",TRUE,SUMPRODUCT(--ISNUMBER(SEARCH(","&amp;TRIM(TEXTSPLIT(DC45,","))&amp;",",","&amp;SUBSTITUTE(input_event_type," ","")&amp;",")))=0)),IF(DE45="",TRUE,IF(input_event_type="",FALSE,SUMPRODUCT(--ISNUMBER(SEARCH(","&amp;TRIM(TEXTSPLIT(DE45,","))&amp;",",","&amp;SUBSTITUTE(input_event_type," ","")&amp;",")))&gt;0)),IF(DG45="",TRUE,IF(input_event_type="",FALSE,SUMPRODUCT(--ISNUMBER(SEARCH(","&amp;TRIM(TEXTSPLIT(DG45,","))&amp;",",","&amp;SUBSTITUTE(input_event_type," ","")&amp;",")))=COUNTA(TEXTSPLIT(DG45,",")))))</f>
        <v/>
      </c>
      <c r="JD45">
        <f>AND(IF(DI45="",TRUE,IF(input_executive_education_focus="",FALSE,SUMPRODUCT(--ISNUMBER(SEARCH(","&amp;TRIM(TEXTSPLIT(DI45,","))&amp;",",","&amp;SUBSTITUTE(input_executive_education_focus," ","")&amp;",")))&gt;0)),IF(DK45="",TRUE,IF(input_executive_education_focus="",FALSE,SUMPRODUCT(--ISNUMBER(SEARCH(","&amp;TRIM(TEXTSPLIT(DK45,","))&amp;",",","&amp;SUBSTITUTE(input_executive_education_focus," ","")&amp;",")))=COUNTA(TEXTSPLIT(DK45,",")))),IF(DM45="",TRUE,IF(input_executive_education_focus="",TRUE,SUMPRODUCT(--ISNUMBER(SEARCH(","&amp;TRIM(TEXTSPLIT(DM45,","))&amp;",",","&amp;SUBSTITUTE(input_executive_education_focus," ","")&amp;",")))=0)),IF(DO45="",TRUE,IF(input_executive_education_focus="",FALSE,SUMPRODUCT(--ISNUMBER(SEARCH(","&amp;TRIM(TEXTSPLIT(DO45,","))&amp;",",","&amp;SUBSTITUTE(input_executive_education_focus," ","")&amp;",")))&gt;0)),IF(DQ45="",TRUE,IF(input_executive_education_focus="",FALSE,SUMPRODUCT(--ISNUMBER(SEARCH(","&amp;TRIM(TEXTSPLIT(DQ45,","))&amp;",",","&amp;SUBSTITUTE(input_executive_education_focus," ","")&amp;",")))=COUNTA(TEXTSPLIT(DQ45,",")))))</f>
        <v/>
      </c>
      <c r="JE45">
        <f>AND(IF(DS45="",TRUE,IF(input_faculty_category="",FALSE,SUMPRODUCT(--ISNUMBER(SEARCH(","&amp;TRIM(TEXTSPLIT(DS45,","))&amp;",",","&amp;SUBSTITUTE(input_faculty_category," ","")&amp;",")))&gt;0)),IF(DU45="",TRUE,IF(input_faculty_category="",FALSE,SUMPRODUCT(--ISNUMBER(SEARCH(","&amp;TRIM(TEXTSPLIT(DU45,","))&amp;",",","&amp;SUBSTITUTE(input_faculty_category," ","")&amp;",")))=COUNTA(TEXTSPLIT(DU45,",")))),IF(DW45="",TRUE,IF(input_faculty_category="",TRUE,SUMPRODUCT(--ISNUMBER(SEARCH(","&amp;TRIM(TEXTSPLIT(DW45,","))&amp;",",","&amp;SUBSTITUTE(input_faculty_category," ","")&amp;",")))=0)),IF(DY45="",TRUE,IF(input_faculty_category="",FALSE,SUMPRODUCT(--ISNUMBER(SEARCH(","&amp;TRIM(TEXTSPLIT(DY45,","))&amp;",",","&amp;SUBSTITUTE(input_faculty_category," ","")&amp;",")))&gt;0)),IF(EA45="",TRUE,IF(input_faculty_category="",FALSE,SUMPRODUCT(--ISNUMBER(SEARCH(","&amp;TRIM(TEXTSPLIT(EA45,","))&amp;",",","&amp;SUBSTITUTE(input_faculty_category," ","")&amp;",")))=COUNTA(TEXTSPLIT(EA45,",")))))</f>
        <v/>
      </c>
      <c r="JF45">
        <f>AND(IF(EC45="",TRUE,IF(input_faculty_discipline="",FALSE,SUMPRODUCT(--ISNUMBER(SEARCH(","&amp;TRIM(TEXTSPLIT(EC45,","))&amp;",",","&amp;SUBSTITUTE(input_faculty_discipline," ","")&amp;",")))&gt;0)),IF(EE45="",TRUE,IF(input_faculty_discipline="",FALSE,SUMPRODUCT(--ISNUMBER(SEARCH(","&amp;TRIM(TEXTSPLIT(EE45,","))&amp;",",","&amp;SUBSTITUTE(input_faculty_discipline," ","")&amp;",")))=COUNTA(TEXTSPLIT(EE45,",")))),IF(EG45="",TRUE,IF(input_faculty_discipline="",TRUE,SUMPRODUCT(--ISNUMBER(SEARCH(","&amp;TRIM(TEXTSPLIT(EG45,","))&amp;",",","&amp;SUBSTITUTE(input_faculty_discipline," ","")&amp;",")))=0)),IF(EI45="",TRUE,IF(input_faculty_discipline="",FALSE,SUMPRODUCT(--ISNUMBER(SEARCH(","&amp;TRIM(TEXTSPLIT(EI45,","))&amp;",",","&amp;SUBSTITUTE(input_faculty_discipline," ","")&amp;",")))&gt;0)),IF(EK45="",TRUE,IF(input_faculty_discipline="",FALSE,SUMPRODUCT(--ISNUMBER(SEARCH(","&amp;TRIM(TEXTSPLIT(EK45,","))&amp;",",","&amp;SUBSTITUTE(input_faculty_discipline," ","")&amp;",")))=COUNTA(TEXTSPLIT(EK45,",")))))</f>
        <v/>
      </c>
      <c r="JG45">
        <f>AND(IF(EM45="",TRUE,IF(input_faculty_expertise="",FALSE,SUMPRODUCT(--ISNUMBER(SEARCH(","&amp;TRIM(TEXTSPLIT(EM45,","))&amp;",",","&amp;SUBSTITUTE(input_faculty_expertise," ","")&amp;",")))&gt;0)),IF(EO45="",TRUE,IF(input_faculty_expertise="",FALSE,SUMPRODUCT(--ISNUMBER(SEARCH(","&amp;TRIM(TEXTSPLIT(EO45,","))&amp;",",","&amp;SUBSTITUTE(input_faculty_expertise," ","")&amp;",")))=COUNTA(TEXTSPLIT(EO45,",")))),IF(EQ45="",TRUE,IF(input_faculty_expertise="",TRUE,SUMPRODUCT(--ISNUMBER(SEARCH(","&amp;TRIM(TEXTSPLIT(EQ45,","))&amp;",",","&amp;SUBSTITUTE(input_faculty_expertise," ","")&amp;",")))=0)),IF(ES45="",TRUE,IF(input_faculty_expertise="",FALSE,SUMPRODUCT(--ISNUMBER(SEARCH(","&amp;TRIM(TEXTSPLIT(ES45,","))&amp;",",","&amp;SUBSTITUTE(input_faculty_expertise," ","")&amp;",")))&gt;0)),IF(EU45="",TRUE,IF(input_faculty_expertise="",FALSE,SUMPRODUCT(--ISNUMBER(SEARCH(","&amp;TRIM(TEXTSPLIT(EU45,","))&amp;",",","&amp;SUBSTITUTE(input_faculty_expertise," ","")&amp;",")))=COUNTA(TEXTSPLIT(EU45,",")))))</f>
        <v/>
      </c>
      <c r="JH45">
        <f>AND(IF(EW45="",TRUE,IF(input_global_network_school="",FALSE,SUMPRODUCT(--ISNUMBER(SEARCH(","&amp;TRIM(TEXTSPLIT(EW45,","))&amp;",",","&amp;SUBSTITUTE(input_global_network_school," ","")&amp;",")))&gt;0)),IF(EY45="",TRUE,IF(input_global_network_school="",FALSE,SUMPRODUCT(--ISNUMBER(SEARCH(","&amp;TRIM(TEXTSPLIT(EY45,","))&amp;",",","&amp;SUBSTITUTE(input_global_network_school," ","")&amp;",")))=COUNTA(TEXTSPLIT(EY45,",")))),IF(FA45="",TRUE,IF(input_global_network_school="",TRUE,SUMPRODUCT(--ISNUMBER(SEARCH(","&amp;TRIM(TEXTSPLIT(FA45,","))&amp;",",","&amp;SUBSTITUTE(input_global_network_school," ","")&amp;",")))=0)),IF(FC45="",TRUE,IF(input_global_network_school="",FALSE,SUMPRODUCT(--ISNUMBER(SEARCH(","&amp;TRIM(TEXTSPLIT(FC45,","))&amp;",",","&amp;SUBSTITUTE(input_global_network_school," ","")&amp;",")))&gt;0)),IF(FE45="",TRUE,IF(input_global_network_school="",FALSE,SUMPRODUCT(--ISNUMBER(SEARCH(","&amp;TRIM(TEXTSPLIT(FE45,","))&amp;",",","&amp;SUBSTITUTE(input_global_network_school," ","")&amp;",")))=COUNTA(TEXTSPLIT(FE45,",")))))</f>
        <v/>
      </c>
      <c r="JI45">
        <f>AND(IF(FG45="",TRUE,IF(input_industry="",FALSE,SUMPRODUCT(--ISNUMBER(SEARCH(","&amp;TRIM(TEXTSPLIT(FG45,","))&amp;",",","&amp;SUBSTITUTE(input_industry," ","")&amp;",")))&gt;0)),IF(FI45="",TRUE,IF(input_industry="",FALSE,SUMPRODUCT(--ISNUMBER(SEARCH(","&amp;TRIM(TEXTSPLIT(FI45,","))&amp;",",","&amp;SUBSTITUTE(input_industry," ","")&amp;",")))=COUNTA(TEXTSPLIT(FI45,",")))),IF(FK45="",TRUE,IF(input_industry="",TRUE,SUMPRODUCT(--ISNUMBER(SEARCH(","&amp;TRIM(TEXTSPLIT(FK45,","))&amp;",",","&amp;SUBSTITUTE(input_industry," ","")&amp;",")))=0)),IF(FM45="",TRUE,IF(input_industry="",FALSE,SUMPRODUCT(--ISNUMBER(SEARCH(","&amp;TRIM(TEXTSPLIT(FM45,","))&amp;",",","&amp;SUBSTITUTE(input_industry," ","")&amp;",")))&gt;0)),IF(FO45="",TRUE,IF(input_industry="",FALSE,SUMPRODUCT(--ISNUMBER(SEARCH(","&amp;TRIM(TEXTSPLIT(FO45,","))&amp;",",","&amp;SUBSTITUTE(input_industry," ","")&amp;",")))=COUNTA(TEXTSPLIT(FO45,",")))))</f>
        <v/>
      </c>
      <c r="JJ45">
        <f>AND(IF(FQ45="",TRUE,IF(input_location="",FALSE,SUMPRODUCT(--ISNUMBER(SEARCH(","&amp;TRIM(TEXTSPLIT(FQ45,","))&amp;",",","&amp;SUBSTITUTE(input_location," ","")&amp;",")))&gt;0)),IF(FS45="",TRUE,IF(input_location="",FALSE,SUMPRODUCT(--ISNUMBER(SEARCH(","&amp;TRIM(TEXTSPLIT(FS45,","))&amp;",",","&amp;SUBSTITUTE(input_location," ","")&amp;",")))=COUNTA(TEXTSPLIT(FS45,",")))),IF(FU45="",TRUE,IF(input_location="",TRUE,SUMPRODUCT(--ISNUMBER(SEARCH(","&amp;TRIM(TEXTSPLIT(FU45,","))&amp;",",","&amp;SUBSTITUTE(input_location," ","")&amp;",")))=0)),IF(FW45="",TRUE,IF(input_location="",FALSE,SUMPRODUCT(--ISNUMBER(SEARCH(","&amp;TRIM(TEXTSPLIT(FW45,","))&amp;",",","&amp;SUBSTITUTE(input_location," ","")&amp;",")))&gt;0)),IF(FY45="",TRUE,IF(input_location="",FALSE,SUMPRODUCT(--ISNUMBER(SEARCH(","&amp;TRIM(TEXTSPLIT(FY45,","))&amp;",",","&amp;SUBSTITUTE(input_location," ","")&amp;",")))=COUNTA(TEXTSPLIT(FY45,",")))))</f>
        <v/>
      </c>
      <c r="JK45">
        <f>AND(IF(GA45="",TRUE,IF(input_modality="",FALSE,SUMPRODUCT(--ISNUMBER(SEARCH(","&amp;TRIM(TEXTSPLIT(GA45,","))&amp;",",","&amp;SUBSTITUTE(input_modality," ","")&amp;",")))&gt;0)),IF(GC45="",TRUE,IF(input_modality="",FALSE,SUMPRODUCT(--ISNUMBER(SEARCH(","&amp;TRIM(TEXTSPLIT(GC45,","))&amp;",",","&amp;SUBSTITUTE(input_modality," ","")&amp;",")))=COUNTA(TEXTSPLIT(GC45,",")))),IF(GE45="",TRUE,IF(input_modality="",TRUE,SUMPRODUCT(--ISNUMBER(SEARCH(","&amp;TRIM(TEXTSPLIT(GE45,","))&amp;",",","&amp;SUBSTITUTE(input_modality," ","")&amp;",")))=0)),IF(GG45="",TRUE,IF(input_modality="",FALSE,SUMPRODUCT(--ISNUMBER(SEARCH(","&amp;TRIM(TEXTSPLIT(GG45,","))&amp;",",","&amp;SUBSTITUTE(input_modality," ","")&amp;",")))&gt;0)),IF(GI45="",TRUE,IF(input_modality="",FALSE,SUMPRODUCT(--ISNUMBER(SEARCH(","&amp;TRIM(TEXTSPLIT(GI45,","))&amp;",",","&amp;SUBSTITUTE(input_modality," ","")&amp;",")))=COUNTA(TEXTSPLIT(GI45,",")))))</f>
        <v/>
      </c>
      <c r="JL45">
        <f>AND(IF(GK45="",TRUE,IF(input_organizer="",FALSE,SUMPRODUCT(--ISNUMBER(SEARCH(","&amp;TRIM(TEXTSPLIT(GK45,","))&amp;",",","&amp;SUBSTITUTE(input_organizer," ","")&amp;",")))&gt;0)),IF(GM45="",TRUE,IF(input_organizer="",FALSE,SUMPRODUCT(--ISNUMBER(SEARCH(","&amp;TRIM(TEXTSPLIT(GM45,","))&amp;",",","&amp;SUBSTITUTE(input_organizer," ","")&amp;",")))=COUNTA(TEXTSPLIT(GM45,",")))),IF(GO45="",TRUE,IF(input_organizer="",TRUE,SUMPRODUCT(--ISNUMBER(SEARCH(","&amp;TRIM(TEXTSPLIT(GO45,","))&amp;",",","&amp;SUBSTITUTE(input_organizer," ","")&amp;",")))=0)),IF(GQ45="",TRUE,IF(input_organizer="",FALSE,SUMPRODUCT(--ISNUMBER(SEARCH(","&amp;TRIM(TEXTSPLIT(GQ45,","))&amp;",",","&amp;SUBSTITUTE(input_organizer," ","")&amp;",")))&gt;0)),IF(GS45="",TRUE,IF(input_organizer="",FALSE,SUMPRODUCT(--ISNUMBER(SEARCH(","&amp;TRIM(TEXTSPLIT(GS45,","))&amp;",",","&amp;SUBSTITUTE(input_organizer," ","")&amp;",")))=COUNTA(TEXTSPLIT(GS45,",")))))</f>
        <v/>
      </c>
      <c r="JM45">
        <f>AND(IF(GU45="",TRUE,IF(input_profile_type="",FALSE,SUMPRODUCT(--ISNUMBER(SEARCH(","&amp;TRIM(TEXTSPLIT(GU45,","))&amp;",",","&amp;SUBSTITUTE(input_profile_type," ","")&amp;",")))&gt;0)),IF(GW45="",TRUE,IF(input_profile_type="",FALSE,SUMPRODUCT(--ISNUMBER(SEARCH(","&amp;TRIM(TEXTSPLIT(GW45,","))&amp;",",","&amp;SUBSTITUTE(input_profile_type," ","")&amp;",")))=COUNTA(TEXTSPLIT(GW45,",")))),IF(GY45="",TRUE,IF(input_profile_type="",TRUE,SUMPRODUCT(--ISNUMBER(SEARCH(","&amp;TRIM(TEXTSPLIT(GY45,","))&amp;",",","&amp;SUBSTITUTE(input_profile_type," ","")&amp;",")))=0)),IF(HA45="",TRUE,IF(input_profile_type="",FALSE,SUMPRODUCT(--ISNUMBER(SEARCH(","&amp;TRIM(TEXTSPLIT(HA45,","))&amp;",",","&amp;SUBSTITUTE(input_profile_type," ","")&amp;",")))&gt;0)),IF(HC45="",TRUE,IF(input_profile_type="",FALSE,SUMPRODUCT(--ISNUMBER(SEARCH(","&amp;TRIM(TEXTSPLIT(HC45,","))&amp;",",","&amp;SUBSTITUTE(input_profile_type," ","")&amp;",")))=COUNTA(TEXTSPLIT(HC45,",")))))</f>
        <v/>
      </c>
      <c r="JN45">
        <f>AND(IF(HE45="",TRUE,IF(input_program="",FALSE,SUMPRODUCT(--ISNUMBER(SEARCH(","&amp;TRIM(TEXTSPLIT(HE45,","))&amp;",",","&amp;SUBSTITUTE(input_program," ","")&amp;",")))&gt;0)),IF(HG45="",TRUE,IF(input_program="",FALSE,SUMPRODUCT(--ISNUMBER(SEARCH(","&amp;TRIM(TEXTSPLIT(HG45,","))&amp;",",","&amp;SUBSTITUTE(input_program," ","")&amp;",")))=COUNTA(TEXTSPLIT(HG45,",")))),IF(HI45="",TRUE,IF(input_program="",TRUE,SUMPRODUCT(--ISNUMBER(SEARCH(","&amp;TRIM(TEXTSPLIT(HI45,","))&amp;",",","&amp;SUBSTITUTE(input_program," ","")&amp;",")))=0)),IF(HK45="",TRUE,IF(input_program="",FALSE,SUMPRODUCT(--ISNUMBER(SEARCH(","&amp;TRIM(TEXTSPLIT(HK45,","))&amp;",",","&amp;SUBSTITUTE(input_program," ","")&amp;",")))&gt;0)),IF(HM45="",TRUE,IF(input_program="",FALSE,SUMPRODUCT(--ISNUMBER(SEARCH(","&amp;TRIM(TEXTSPLIT(HM45,","))&amp;",",","&amp;SUBSTITUTE(input_program," ","")&amp;",")))=COUNTA(TEXTSPLIT(HM45,",")))))</f>
        <v/>
      </c>
      <c r="JO45">
        <f>AND(IF(HO45="",TRUE,IF(input_story_categories="",FALSE,SUMPRODUCT(--ISNUMBER(SEARCH(","&amp;TRIM(TEXTSPLIT(HO45,","))&amp;",",","&amp;SUBSTITUTE(input_story_categories," ","")&amp;",")))&gt;0)),IF(HQ45="",TRUE,IF(input_story_categories="",FALSE,SUMPRODUCT(--ISNUMBER(SEARCH(","&amp;TRIM(TEXTSPLIT(HQ45,","))&amp;",",","&amp;SUBSTITUTE(input_story_categories," ","")&amp;",")))=COUNTA(TEXTSPLIT(HQ45,",")))),IF(HS45="",TRUE,IF(input_story_categories="",TRUE,SUMPRODUCT(--ISNUMBER(SEARCH(","&amp;TRIM(TEXTSPLIT(HS45,","))&amp;",",","&amp;SUBSTITUTE(input_story_categories," ","")&amp;",")))=0)),IF(HU45="",TRUE,IF(input_story_categories="",FALSE,SUMPRODUCT(--ISNUMBER(SEARCH(","&amp;TRIM(TEXTSPLIT(HU45,","))&amp;",",","&amp;SUBSTITUTE(input_story_categories," ","")&amp;",")))&gt;0)),IF(HW45="",TRUE,IF(input_story_categories="",FALSE,SUMPRODUCT(--ISNUMBER(SEARCH(","&amp;TRIM(TEXTSPLIT(HW45,","))&amp;",",","&amp;SUBSTITUTE(input_story_categories," ","")&amp;",")))=COUNTA(TEXTSPLIT(HW45,",")))))</f>
        <v/>
      </c>
      <c r="JP45">
        <f>AND(IF(HY45="",TRUE,IF(input_story_type="",FALSE,SUMPRODUCT(--ISNUMBER(SEARCH(","&amp;TRIM(TEXTSPLIT(HY45,","))&amp;",",","&amp;SUBSTITUTE(input_story_type," ","")&amp;",")))&gt;0)),IF(IA45="",TRUE,IF(input_story_type="",FALSE,SUMPRODUCT(--ISNUMBER(SEARCH(","&amp;TRIM(TEXTSPLIT(IA45,","))&amp;",",","&amp;SUBSTITUTE(input_story_type," ","")&amp;",")))=COUNTA(TEXTSPLIT(IA45,",")))),IF(IC45="",TRUE,IF(input_story_type="",TRUE,SUMPRODUCT(--ISNUMBER(SEARCH(","&amp;TRIM(TEXTSPLIT(IC45,","))&amp;",",","&amp;SUBSTITUTE(input_story_type," ","")&amp;",")))=0)),IF(IE45="",TRUE,IF(input_story_type="",FALSE,SUMPRODUCT(--ISNUMBER(SEARCH(","&amp;TRIM(TEXTSPLIT(IE45,","))&amp;",",","&amp;SUBSTITUTE(input_story_type," ","")&amp;",")))&gt;0)),IF(IG45="",TRUE,IF(input_story_type="",FALSE,SUMPRODUCT(--ISNUMBER(SEARCH(","&amp;TRIM(TEXTSPLIT(IG45,","))&amp;",",","&amp;SUBSTITUTE(input_story_type," ","")&amp;",")))=COUNTA(TEXTSPLIT(IG45,",")))))</f>
        <v/>
      </c>
      <c r="JQ45">
        <f>AND(IF(II45="",TRUE,IF(input_topics="",FALSE,SUMPRODUCT(--ISNUMBER(SEARCH(","&amp;TRIM(TEXTSPLIT(II45,","))&amp;",",","&amp;SUBSTITUTE(input_topics," ","")&amp;",")))&gt;0)),IF(IK45="",TRUE,IF(input_topics="",FALSE,SUMPRODUCT(--ISNUMBER(SEARCH(","&amp;TRIM(TEXTSPLIT(IK45,","))&amp;",",","&amp;SUBSTITUTE(input_topics," ","")&amp;",")))=COUNTA(TEXTSPLIT(IK45,",")))),IF(IM45="",TRUE,IF(input_topics="",TRUE,SUMPRODUCT(--ISNUMBER(SEARCH(","&amp;TRIM(TEXTSPLIT(IM45,","))&amp;",",","&amp;SUBSTITUTE(input_topics," ","")&amp;",")))=0)),IF(IO45="",TRUE,IF(input_topics="",FALSE,SUMPRODUCT(--ISNUMBER(SEARCH(","&amp;TRIM(TEXTSPLIT(IO45,","))&amp;",",","&amp;SUBSTITUTE(input_topics," ","")&amp;",")))&gt;0)),IF(IQ45="",TRUE,IF(input_topics="",FALSE,SUMPRODUCT(--ISNUMBER(SEARCH(","&amp;TRIM(TEXTSPLIT(IQ45,","))&amp;",",","&amp;SUBSTITUTE(input_topics," ","")&amp;",")))=COUNTA(TEXTSPLIT(IQ45,",")))))</f>
        <v/>
      </c>
    </row>
    <row r="46">
      <c r="A46" s="4">
        <f>IF(NOT(IS46),"Excluded",IF(AND(IT46,IU46,IV46,IW46,IX46,IY46,IZ46,JA46,JB46,JC46,JD46,JE46,JF46,JG46,JH46,JI46,JJ46,JK46,JL46,JM46,JN46,JO46,JP46,JQ46),IF(I46&gt;0,"Eligible but limited","Will appear"),"Excluded"))</f>
        <v/>
      </c>
      <c r="B46" s="4" t="inlineStr">
        <is>
          <t>All Publications by Author</t>
        </is>
      </c>
      <c r="C46" s="4" t="inlineStr">
        <is>
          <t>/faculty-research/faculty-directory/peter-k-schott</t>
        </is>
      </c>
      <c r="D46" s="4" t="inlineStr">
        <is>
          <t>/faculty-research/faculty-directory/peter-k-schott</t>
        </is>
      </c>
      <c r="E46" s="4" t="n">
        <v>1</v>
      </c>
      <c r="F46" s="4" t="inlineStr">
        <is>
          <t>publications</t>
        </is>
      </c>
      <c r="G46" s="4" t="inlineStr">
        <is>
          <t>publication_teaser_list</t>
        </is>
      </c>
      <c r="H46" s="4" t="inlineStr">
        <is>
          <t>publication_teaser_list_all_by_author</t>
        </is>
      </c>
      <c r="I46" s="4" t="inlineStr"/>
      <c r="J46" s="4" t="inlineStr">
        <is>
          <t>View/config rules</t>
        </is>
      </c>
      <c r="K46" s="4" t="inlineStr">
        <is>
          <t>Page placement</t>
        </is>
      </c>
      <c r="L46" s="4" t="inlineStr">
        <is>
          <t>Content type: publications; Source: View/config rules</t>
        </is>
      </c>
      <c r="M46" t="inlineStr"/>
      <c r="N46" t="inlineStr"/>
      <c r="O46" t="inlineStr"/>
      <c r="P46" t="inlineStr"/>
      <c r="Q46" t="inlineStr"/>
      <c r="R46" t="inlineStr"/>
      <c r="S46" t="inlineStr"/>
      <c r="T46" t="inlineStr"/>
      <c r="U46" t="inlineStr"/>
      <c r="V46" t="inlineStr"/>
      <c r="W46" t="inlineStr"/>
      <c r="X46" t="inlineStr"/>
      <c r="Y46" t="inlineStr"/>
      <c r="Z46" t="inlineStr"/>
      <c r="AA46" t="inlineStr"/>
      <c r="AB46" t="inlineStr"/>
      <c r="AC46" t="inlineStr"/>
      <c r="AD46" t="inlineStr"/>
      <c r="AE46" t="inlineStr"/>
      <c r="AF46" t="inlineStr"/>
      <c r="AG46" t="inlineStr"/>
      <c r="AH46" t="inlineStr"/>
      <c r="AI46" t="inlineStr"/>
      <c r="AJ46" t="inlineStr"/>
      <c r="AK46" t="inlineStr"/>
      <c r="AL46" t="inlineStr"/>
      <c r="AM46" t="inlineStr"/>
      <c r="AN46" t="inlineStr"/>
      <c r="AO46" t="inlineStr"/>
      <c r="AP46" t="inlineStr"/>
      <c r="AQ46" t="inlineStr"/>
      <c r="AR46" t="inlineStr"/>
      <c r="AS46" t="inlineStr"/>
      <c r="AT46" t="inlineStr"/>
      <c r="AU46" t="inlineStr"/>
      <c r="AV46" t="inlineStr"/>
      <c r="AW46" t="inlineStr"/>
      <c r="AX46" t="inlineStr"/>
      <c r="AY46" t="inlineStr"/>
      <c r="AZ46" t="inlineStr"/>
      <c r="BA46" t="inlineStr"/>
      <c r="BB46" t="inlineStr"/>
      <c r="BC46" t="inlineStr"/>
      <c r="BD46" t="inlineStr"/>
      <c r="BE46" t="inlineStr"/>
      <c r="BF46" t="inlineStr"/>
      <c r="BG46" t="inlineStr"/>
      <c r="BH46" t="inlineStr"/>
      <c r="BI46" t="inlineStr"/>
      <c r="BJ46" t="inlineStr"/>
      <c r="BK46" t="inlineStr"/>
      <c r="BL46" t="inlineStr"/>
      <c r="BM46" t="inlineStr"/>
      <c r="BN46" t="inlineStr"/>
      <c r="BO46" t="inlineStr"/>
      <c r="BP46" t="inlineStr"/>
      <c r="BQ46" t="inlineStr"/>
      <c r="BR46" t="inlineStr"/>
      <c r="BS46" t="inlineStr"/>
      <c r="BT46" t="inlineStr"/>
      <c r="BU46" t="inlineStr"/>
      <c r="BV46" t="inlineStr"/>
      <c r="BW46" t="inlineStr"/>
      <c r="BX46" t="inlineStr"/>
      <c r="BY46" t="inlineStr"/>
      <c r="BZ46" t="inlineStr"/>
      <c r="CA46" t="inlineStr"/>
      <c r="CB46" t="inlineStr"/>
      <c r="CC46" t="inlineStr"/>
      <c r="CD46" t="inlineStr"/>
      <c r="CE46" t="inlineStr"/>
      <c r="CF46" t="inlineStr"/>
      <c r="CG46" t="inlineStr"/>
      <c r="CH46" t="inlineStr"/>
      <c r="CI46" t="inlineStr"/>
      <c r="CJ46" t="inlineStr"/>
      <c r="CK46" t="inlineStr"/>
      <c r="CL46" t="inlineStr"/>
      <c r="CM46" t="inlineStr"/>
      <c r="CN46" t="inlineStr"/>
      <c r="CO46" t="inlineStr"/>
      <c r="CP46" t="inlineStr"/>
      <c r="CQ46" t="inlineStr"/>
      <c r="CR46" t="inlineStr"/>
      <c r="CS46" t="inlineStr"/>
      <c r="CT46" t="inlineStr"/>
      <c r="CU46" t="inlineStr"/>
      <c r="CV46" t="inlineStr"/>
      <c r="CW46" t="inlineStr"/>
      <c r="CX46" t="inlineStr"/>
      <c r="CY46" t="inlineStr"/>
      <c r="CZ46" t="inlineStr"/>
      <c r="DA46" t="inlineStr"/>
      <c r="DB46" t="inlineStr"/>
      <c r="DC46" t="inlineStr"/>
      <c r="DD46" t="inlineStr"/>
      <c r="DE46" t="inlineStr"/>
      <c r="DF46" t="inlineStr"/>
      <c r="DG46" t="inlineStr"/>
      <c r="DH46" t="inlineStr"/>
      <c r="DI46" t="inlineStr"/>
      <c r="DJ46" t="inlineStr"/>
      <c r="DK46" t="inlineStr"/>
      <c r="DL46" t="inlineStr"/>
      <c r="DM46" t="inlineStr"/>
      <c r="DN46" t="inlineStr"/>
      <c r="DO46" t="inlineStr"/>
      <c r="DP46" t="inlineStr"/>
      <c r="DQ46" t="inlineStr"/>
      <c r="DR46" t="inlineStr"/>
      <c r="DS46" t="inlineStr"/>
      <c r="DT46" t="inlineStr"/>
      <c r="DU46" t="inlineStr"/>
      <c r="DV46" t="inlineStr"/>
      <c r="DW46" t="inlineStr"/>
      <c r="DX46" t="inlineStr"/>
      <c r="DY46" t="inlineStr"/>
      <c r="DZ46" t="inlineStr"/>
      <c r="EA46" t="inlineStr"/>
      <c r="EB46" t="inlineStr"/>
      <c r="EC46" t="inlineStr"/>
      <c r="ED46" t="inlineStr"/>
      <c r="EE46" t="inlineStr"/>
      <c r="EF46" t="inlineStr"/>
      <c r="EG46" t="inlineStr"/>
      <c r="EH46" t="inlineStr"/>
      <c r="EI46" t="inlineStr"/>
      <c r="EJ46" t="inlineStr"/>
      <c r="EK46" t="inlineStr"/>
      <c r="EL46" t="inlineStr"/>
      <c r="EM46" t="inlineStr"/>
      <c r="EN46" t="inlineStr"/>
      <c r="EO46" t="inlineStr"/>
      <c r="EP46" t="inlineStr"/>
      <c r="EQ46" t="inlineStr"/>
      <c r="ER46" t="inlineStr"/>
      <c r="ES46" t="inlineStr"/>
      <c r="ET46" t="inlineStr"/>
      <c r="EU46" t="inlineStr"/>
      <c r="EV46" t="inlineStr"/>
      <c r="EW46" t="inlineStr"/>
      <c r="EX46" t="inlineStr"/>
      <c r="EY46" t="inlineStr"/>
      <c r="EZ46" t="inlineStr"/>
      <c r="FA46" t="inlineStr"/>
      <c r="FB46" t="inlineStr"/>
      <c r="FC46" t="inlineStr"/>
      <c r="FD46" t="inlineStr"/>
      <c r="FE46" t="inlineStr"/>
      <c r="FF46" t="inlineStr"/>
      <c r="FG46" t="inlineStr"/>
      <c r="FH46" t="inlineStr"/>
      <c r="FI46" t="inlineStr"/>
      <c r="FJ46" t="inlineStr"/>
      <c r="FK46" t="inlineStr"/>
      <c r="FL46" t="inlineStr"/>
      <c r="FM46" t="inlineStr"/>
      <c r="FN46" t="inlineStr"/>
      <c r="FO46" t="inlineStr"/>
      <c r="FP46" t="inlineStr"/>
      <c r="FQ46" t="inlineStr"/>
      <c r="FR46" t="inlineStr"/>
      <c r="FS46" t="inlineStr"/>
      <c r="FT46" t="inlineStr"/>
      <c r="FU46" t="inlineStr"/>
      <c r="FV46" t="inlineStr"/>
      <c r="FW46" t="inlineStr"/>
      <c r="FX46" t="inlineStr"/>
      <c r="FY46" t="inlineStr"/>
      <c r="FZ46" t="inlineStr"/>
      <c r="GA46" t="inlineStr"/>
      <c r="GB46" t="inlineStr"/>
      <c r="GC46" t="inlineStr"/>
      <c r="GD46" t="inlineStr"/>
      <c r="GE46" t="inlineStr"/>
      <c r="GF46" t="inlineStr"/>
      <c r="GG46" t="inlineStr"/>
      <c r="GH46" t="inlineStr"/>
      <c r="GI46" t="inlineStr"/>
      <c r="GJ46" t="inlineStr"/>
      <c r="GK46" t="inlineStr"/>
      <c r="GL46" t="inlineStr"/>
      <c r="GM46" t="inlineStr"/>
      <c r="GN46" t="inlineStr"/>
      <c r="GO46" t="inlineStr"/>
      <c r="GP46" t="inlineStr"/>
      <c r="GQ46" t="inlineStr"/>
      <c r="GR46" t="inlineStr"/>
      <c r="GS46" t="inlineStr"/>
      <c r="GT46" t="inlineStr"/>
      <c r="GU46" t="inlineStr"/>
      <c r="GV46" t="inlineStr"/>
      <c r="GW46" t="inlineStr"/>
      <c r="GX46" t="inlineStr"/>
      <c r="GY46" t="inlineStr"/>
      <c r="GZ46" t="inlineStr"/>
      <c r="HA46" t="inlineStr"/>
      <c r="HB46" t="inlineStr"/>
      <c r="HC46" t="inlineStr"/>
      <c r="HD46" t="inlineStr"/>
      <c r="HE46" t="inlineStr"/>
      <c r="HF46" t="inlineStr"/>
      <c r="HG46" t="inlineStr"/>
      <c r="HH46" t="inlineStr"/>
      <c r="HI46" t="inlineStr"/>
      <c r="HJ46" t="inlineStr"/>
      <c r="HK46" t="inlineStr"/>
      <c r="HL46" t="inlineStr"/>
      <c r="HM46" t="inlineStr"/>
      <c r="HN46" t="inlineStr"/>
      <c r="HO46" t="inlineStr"/>
      <c r="HP46" t="inlineStr"/>
      <c r="HQ46" t="inlineStr"/>
      <c r="HR46" t="inlineStr"/>
      <c r="HS46" t="inlineStr"/>
      <c r="HT46" t="inlineStr"/>
      <c r="HU46" t="inlineStr"/>
      <c r="HV46" t="inlineStr"/>
      <c r="HW46" t="inlineStr"/>
      <c r="HX46" t="inlineStr"/>
      <c r="HY46" t="inlineStr"/>
      <c r="HZ46" t="inlineStr"/>
      <c r="IA46" t="inlineStr"/>
      <c r="IB46" t="inlineStr"/>
      <c r="IC46" t="inlineStr"/>
      <c r="ID46" t="inlineStr"/>
      <c r="IE46" t="inlineStr"/>
      <c r="IF46" t="inlineStr"/>
      <c r="IG46" t="inlineStr"/>
      <c r="IH46" t="inlineStr"/>
      <c r="II46" t="inlineStr"/>
      <c r="IJ46" t="inlineStr"/>
      <c r="IK46" t="inlineStr"/>
      <c r="IL46" t="inlineStr"/>
      <c r="IM46" t="inlineStr"/>
      <c r="IN46" t="inlineStr"/>
      <c r="IO46" t="inlineStr"/>
      <c r="IP46" t="inlineStr"/>
      <c r="IQ46" t="inlineStr"/>
      <c r="IR46" t="inlineStr"/>
      <c r="IS46">
        <f>IF(input_content_type="",FALSE,ISNUMBER(SEARCH(","&amp;LOWER(input_content_type)&amp;",",","&amp;LOWER(F46)&amp;",")))</f>
        <v/>
      </c>
      <c r="IT46">
        <f>AND(IF(M46="",TRUE,IF(input_affiliations="",FALSE,SUMPRODUCT(--ISNUMBER(SEARCH(","&amp;TRIM(TEXTSPLIT(M46,","))&amp;",",","&amp;SUBSTITUTE(input_affiliations," ","")&amp;",")))&gt;0)),IF(O46="",TRUE,IF(input_affiliations="",FALSE,SUMPRODUCT(--ISNUMBER(SEARCH(","&amp;TRIM(TEXTSPLIT(O46,","))&amp;",",","&amp;SUBSTITUTE(input_affiliations," ","")&amp;",")))=COUNTA(TEXTSPLIT(O46,",")))),IF(Q46="",TRUE,IF(input_affiliations="",TRUE,SUMPRODUCT(--ISNUMBER(SEARCH(","&amp;TRIM(TEXTSPLIT(Q46,","))&amp;",",","&amp;SUBSTITUTE(input_affiliations," ","")&amp;",")))=0)),IF(S46="",TRUE,IF(input_affiliations="",FALSE,SUMPRODUCT(--ISNUMBER(SEARCH(","&amp;TRIM(TEXTSPLIT(S46,","))&amp;",",","&amp;SUBSTITUTE(input_affiliations," ","")&amp;",")))&gt;0)),IF(U46="",TRUE,IF(input_affiliations="",FALSE,SUMPRODUCT(--ISNUMBER(SEARCH(","&amp;TRIM(TEXTSPLIT(U46,","))&amp;",",","&amp;SUBSTITUTE(input_affiliations," ","")&amp;",")))=COUNTA(TEXTSPLIT(U46,",")))))</f>
        <v/>
      </c>
      <c r="IU46">
        <f>AND(IF(W46="",TRUE,IF(input_announcement_category="",FALSE,SUMPRODUCT(--ISNUMBER(SEARCH(","&amp;TRIM(TEXTSPLIT(W46,","))&amp;",",","&amp;SUBSTITUTE(input_announcement_category," ","")&amp;",")))&gt;0)),IF(Y46="",TRUE,IF(input_announcement_category="",FALSE,SUMPRODUCT(--ISNUMBER(SEARCH(","&amp;TRIM(TEXTSPLIT(Y46,","))&amp;",",","&amp;SUBSTITUTE(input_announcement_category," ","")&amp;",")))=COUNTA(TEXTSPLIT(Y46,",")))),IF(AA46="",TRUE,IF(input_announcement_category="",TRUE,SUMPRODUCT(--ISNUMBER(SEARCH(","&amp;TRIM(TEXTSPLIT(AA46,","))&amp;",",","&amp;SUBSTITUTE(input_announcement_category," ","")&amp;",")))=0)),IF(AC46="",TRUE,IF(input_announcement_category="",FALSE,SUMPRODUCT(--ISNUMBER(SEARCH(","&amp;TRIM(TEXTSPLIT(AC46,","))&amp;",",","&amp;SUBSTITUTE(input_announcement_category," ","")&amp;",")))&gt;0)),IF(AE46="",TRUE,IF(input_announcement_category="",FALSE,SUMPRODUCT(--ISNUMBER(SEARCH(","&amp;TRIM(TEXTSPLIT(AE46,","))&amp;",",","&amp;SUBSTITUTE(input_announcement_category," ","")&amp;",")))=COUNTA(TEXTSPLIT(AE46,",")))))</f>
        <v/>
      </c>
      <c r="IV46">
        <f>AND(IF(AG46="",TRUE,IF(input_area_of_focus="",FALSE,SUMPRODUCT(--ISNUMBER(SEARCH(","&amp;TRIM(TEXTSPLIT(AG46,","))&amp;",",","&amp;SUBSTITUTE(input_area_of_focus," ","")&amp;",")))&gt;0)),IF(AI46="",TRUE,IF(input_area_of_focus="",FALSE,SUMPRODUCT(--ISNUMBER(SEARCH(","&amp;TRIM(TEXTSPLIT(AI46,","))&amp;",",","&amp;SUBSTITUTE(input_area_of_focus," ","")&amp;",")))=COUNTA(TEXTSPLIT(AI46,",")))),IF(AK46="",TRUE,IF(input_area_of_focus="",TRUE,SUMPRODUCT(--ISNUMBER(SEARCH(","&amp;TRIM(TEXTSPLIT(AK46,","))&amp;",",","&amp;SUBSTITUTE(input_area_of_focus," ","")&amp;",")))=0)),IF(AM46="",TRUE,IF(input_area_of_focus="",FALSE,SUMPRODUCT(--ISNUMBER(SEARCH(","&amp;TRIM(TEXTSPLIT(AM46,","))&amp;",",","&amp;SUBSTITUTE(input_area_of_focus," ","")&amp;",")))&gt;0)),IF(AO46="",TRUE,IF(input_area_of_focus="",FALSE,SUMPRODUCT(--ISNUMBER(SEARCH(","&amp;TRIM(TEXTSPLIT(AO46,","))&amp;",",","&amp;SUBSTITUTE(input_area_of_focus," ","")&amp;",")))=COUNTA(TEXTSPLIT(AO46,",")))))</f>
        <v/>
      </c>
      <c r="IW46">
        <f>AND(IF(AQ46="",TRUE,IF(input_audience="",FALSE,SUMPRODUCT(--ISNUMBER(SEARCH(","&amp;TRIM(TEXTSPLIT(AQ46,","))&amp;",",","&amp;SUBSTITUTE(input_audience," ","")&amp;",")))&gt;0)),IF(AS46="",TRUE,IF(input_audience="",FALSE,SUMPRODUCT(--ISNUMBER(SEARCH(","&amp;TRIM(TEXTSPLIT(AS46,","))&amp;",",","&amp;SUBSTITUTE(input_audience," ","")&amp;",")))=COUNTA(TEXTSPLIT(AS46,",")))),IF(AU46="",TRUE,IF(input_audience="",TRUE,SUMPRODUCT(--ISNUMBER(SEARCH(","&amp;TRIM(TEXTSPLIT(AU46,","))&amp;",",","&amp;SUBSTITUTE(input_audience," ","")&amp;",")))=0)),IF(AW46="",TRUE,IF(input_audience="",FALSE,SUMPRODUCT(--ISNUMBER(SEARCH(","&amp;TRIM(TEXTSPLIT(AW46,","))&amp;",",","&amp;SUBSTITUTE(input_audience," ","")&amp;",")))&gt;0)),IF(AY46="",TRUE,IF(input_audience="",FALSE,SUMPRODUCT(--ISNUMBER(SEARCH(","&amp;TRIM(TEXTSPLIT(AY46,","))&amp;",",","&amp;SUBSTITUTE(input_audience," ","")&amp;",")))=COUNTA(TEXTSPLIT(AY46,",")))))</f>
        <v/>
      </c>
      <c r="IX46">
        <f>AND(IF(BA46="",TRUE,IF(input_challenge_opportunities="",FALSE,SUMPRODUCT(--ISNUMBER(SEARCH(","&amp;TRIM(TEXTSPLIT(BA46,","))&amp;",",","&amp;SUBSTITUTE(input_challenge_opportunities," ","")&amp;",")))&gt;0)),IF(BC46="",TRUE,IF(input_challenge_opportunities="",FALSE,SUMPRODUCT(--ISNUMBER(SEARCH(","&amp;TRIM(TEXTSPLIT(BC46,","))&amp;",",","&amp;SUBSTITUTE(input_challenge_opportunities," ","")&amp;",")))=COUNTA(TEXTSPLIT(BC46,",")))),IF(BE46="",TRUE,IF(input_challenge_opportunities="",TRUE,SUMPRODUCT(--ISNUMBER(SEARCH(","&amp;TRIM(TEXTSPLIT(BE46,","))&amp;",",","&amp;SUBSTITUTE(input_challenge_opportunities," ","")&amp;",")))=0)),IF(BG46="",TRUE,IF(input_challenge_opportunities="",FALSE,SUMPRODUCT(--ISNUMBER(SEARCH(","&amp;TRIM(TEXTSPLIT(BG46,","))&amp;",",","&amp;SUBSTITUTE(input_challenge_opportunities," ","")&amp;",")))&gt;0)),IF(BI46="",TRUE,IF(input_challenge_opportunities="",FALSE,SUMPRODUCT(--ISNUMBER(SEARCH(","&amp;TRIM(TEXTSPLIT(BI46,","))&amp;",",","&amp;SUBSTITUTE(input_challenge_opportunities," ","")&amp;",")))=COUNTA(TEXTSPLIT(BI46,",")))))</f>
        <v/>
      </c>
      <c r="IY46">
        <f>AND(IF(BK46="",TRUE,IF(input_context="",FALSE,SUMPRODUCT(--ISNUMBER(SEARCH(","&amp;TRIM(TEXTSPLIT(BK46,","))&amp;",",","&amp;SUBSTITUTE(input_context," ","")&amp;",")))&gt;0)),IF(BM46="",TRUE,IF(input_context="",FALSE,SUMPRODUCT(--ISNUMBER(SEARCH(","&amp;TRIM(TEXTSPLIT(BM46,","))&amp;",",","&amp;SUBSTITUTE(input_context," ","")&amp;",")))=COUNTA(TEXTSPLIT(BM46,",")))),IF(BO46="",TRUE,IF(input_context="",TRUE,SUMPRODUCT(--ISNUMBER(SEARCH(","&amp;TRIM(TEXTSPLIT(BO46,","))&amp;",",","&amp;SUBSTITUTE(input_context," ","")&amp;",")))=0)),IF(BQ46="",TRUE,IF(input_context="",FALSE,SUMPRODUCT(--ISNUMBER(SEARCH(","&amp;TRIM(TEXTSPLIT(BQ46,","))&amp;",",","&amp;SUBSTITUTE(input_context," ","")&amp;",")))&gt;0)),IF(BS46="",TRUE,IF(input_context="",FALSE,SUMPRODUCT(--ISNUMBER(SEARCH(","&amp;TRIM(TEXTSPLIT(BS46,","))&amp;",",","&amp;SUBSTITUTE(input_context," ","")&amp;",")))=COUNTA(TEXTSPLIT(BS46,",")))))</f>
        <v/>
      </c>
      <c r="IZ46">
        <f>AND(IF(BU46="",TRUE,IF(input_enews_announcement_type="",FALSE,SUMPRODUCT(--ISNUMBER(SEARCH(","&amp;TRIM(TEXTSPLIT(BU46,","))&amp;",",","&amp;SUBSTITUTE(input_enews_announcement_type," ","")&amp;",")))&gt;0)),IF(BW46="",TRUE,IF(input_enews_announcement_type="",FALSE,SUMPRODUCT(--ISNUMBER(SEARCH(","&amp;TRIM(TEXTSPLIT(BW46,","))&amp;",",","&amp;SUBSTITUTE(input_enews_announcement_type," ","")&amp;",")))=COUNTA(TEXTSPLIT(BW46,",")))),IF(BY46="",TRUE,IF(input_enews_announcement_type="",TRUE,SUMPRODUCT(--ISNUMBER(SEARCH(","&amp;TRIM(TEXTSPLIT(BY46,","))&amp;",",","&amp;SUBSTITUTE(input_enews_announcement_type," ","")&amp;",")))=0)),IF(CA46="",TRUE,IF(input_enews_announcement_type="",FALSE,SUMPRODUCT(--ISNUMBER(SEARCH(","&amp;TRIM(TEXTSPLIT(CA46,","))&amp;",",","&amp;SUBSTITUTE(input_enews_announcement_type," ","")&amp;",")))&gt;0)),IF(CC46="",TRUE,IF(input_enews_announcement_type="",FALSE,SUMPRODUCT(--ISNUMBER(SEARCH(","&amp;TRIM(TEXTSPLIT(CC46,","))&amp;",",","&amp;SUBSTITUTE(input_enews_announcement_type," ","")&amp;",")))=COUNTA(TEXTSPLIT(CC46,",")))))</f>
        <v/>
      </c>
      <c r="JA46">
        <f>AND(IF(CE46="",TRUE,IF(input_enews_audience="",FALSE,SUMPRODUCT(--ISNUMBER(SEARCH(","&amp;TRIM(TEXTSPLIT(CE46,","))&amp;",",","&amp;SUBSTITUTE(input_enews_audience," ","")&amp;",")))&gt;0)),IF(CG46="",TRUE,IF(input_enews_audience="",FALSE,SUMPRODUCT(--ISNUMBER(SEARCH(","&amp;TRIM(TEXTSPLIT(CG46,","))&amp;",",","&amp;SUBSTITUTE(input_enews_audience," ","")&amp;",")))=COUNTA(TEXTSPLIT(CG46,",")))),IF(CI46="",TRUE,IF(input_enews_audience="",TRUE,SUMPRODUCT(--ISNUMBER(SEARCH(","&amp;TRIM(TEXTSPLIT(CI46,","))&amp;",",","&amp;SUBSTITUTE(input_enews_audience," ","")&amp;",")))=0)),IF(CK46="",TRUE,IF(input_enews_audience="",FALSE,SUMPRODUCT(--ISNUMBER(SEARCH(","&amp;TRIM(TEXTSPLIT(CK46,","))&amp;",",","&amp;SUBSTITUTE(input_enews_audience," ","")&amp;",")))&gt;0)),IF(CM46="",TRUE,IF(input_enews_audience="",FALSE,SUMPRODUCT(--ISNUMBER(SEARCH(","&amp;TRIM(TEXTSPLIT(CM46,","))&amp;",",","&amp;SUBSTITUTE(input_enews_audience," ","")&amp;",")))=COUNTA(TEXTSPLIT(CM46,",")))))</f>
        <v/>
      </c>
      <c r="JB46">
        <f>AND(IF(CO46="",TRUE,IF(input_event_location="",FALSE,SUMPRODUCT(--ISNUMBER(SEARCH(","&amp;TRIM(TEXTSPLIT(CO46,","))&amp;",",","&amp;SUBSTITUTE(input_event_location," ","")&amp;",")))&gt;0)),IF(CQ46="",TRUE,IF(input_event_location="",FALSE,SUMPRODUCT(--ISNUMBER(SEARCH(","&amp;TRIM(TEXTSPLIT(CQ46,","))&amp;",",","&amp;SUBSTITUTE(input_event_location," ","")&amp;",")))=COUNTA(TEXTSPLIT(CQ46,",")))),IF(CS46="",TRUE,IF(input_event_location="",TRUE,SUMPRODUCT(--ISNUMBER(SEARCH(","&amp;TRIM(TEXTSPLIT(CS46,","))&amp;",",","&amp;SUBSTITUTE(input_event_location," ","")&amp;",")))=0)),IF(CU46="",TRUE,IF(input_event_location="",FALSE,SUMPRODUCT(--ISNUMBER(SEARCH(","&amp;TRIM(TEXTSPLIT(CU46,","))&amp;",",","&amp;SUBSTITUTE(input_event_location," ","")&amp;",")))&gt;0)),IF(CW46="",TRUE,IF(input_event_location="",FALSE,SUMPRODUCT(--ISNUMBER(SEARCH(","&amp;TRIM(TEXTSPLIT(CW46,","))&amp;",",","&amp;SUBSTITUTE(input_event_location," ","")&amp;",")))=COUNTA(TEXTSPLIT(CW46,",")))))</f>
        <v/>
      </c>
      <c r="JC46">
        <f>AND(IF(CY46="",TRUE,IF(input_event_type="",FALSE,SUMPRODUCT(--ISNUMBER(SEARCH(","&amp;TRIM(TEXTSPLIT(CY46,","))&amp;",",","&amp;SUBSTITUTE(input_event_type," ","")&amp;",")))&gt;0)),IF(DA46="",TRUE,IF(input_event_type="",FALSE,SUMPRODUCT(--ISNUMBER(SEARCH(","&amp;TRIM(TEXTSPLIT(DA46,","))&amp;",",","&amp;SUBSTITUTE(input_event_type," ","")&amp;",")))=COUNTA(TEXTSPLIT(DA46,",")))),IF(DC46="",TRUE,IF(input_event_type="",TRUE,SUMPRODUCT(--ISNUMBER(SEARCH(","&amp;TRIM(TEXTSPLIT(DC46,","))&amp;",",","&amp;SUBSTITUTE(input_event_type," ","")&amp;",")))=0)),IF(DE46="",TRUE,IF(input_event_type="",FALSE,SUMPRODUCT(--ISNUMBER(SEARCH(","&amp;TRIM(TEXTSPLIT(DE46,","))&amp;",",","&amp;SUBSTITUTE(input_event_type," ","")&amp;",")))&gt;0)),IF(DG46="",TRUE,IF(input_event_type="",FALSE,SUMPRODUCT(--ISNUMBER(SEARCH(","&amp;TRIM(TEXTSPLIT(DG46,","))&amp;",",","&amp;SUBSTITUTE(input_event_type," ","")&amp;",")))=COUNTA(TEXTSPLIT(DG46,",")))))</f>
        <v/>
      </c>
      <c r="JD46">
        <f>AND(IF(DI46="",TRUE,IF(input_executive_education_focus="",FALSE,SUMPRODUCT(--ISNUMBER(SEARCH(","&amp;TRIM(TEXTSPLIT(DI46,","))&amp;",",","&amp;SUBSTITUTE(input_executive_education_focus," ","")&amp;",")))&gt;0)),IF(DK46="",TRUE,IF(input_executive_education_focus="",FALSE,SUMPRODUCT(--ISNUMBER(SEARCH(","&amp;TRIM(TEXTSPLIT(DK46,","))&amp;",",","&amp;SUBSTITUTE(input_executive_education_focus," ","")&amp;",")))=COUNTA(TEXTSPLIT(DK46,",")))),IF(DM46="",TRUE,IF(input_executive_education_focus="",TRUE,SUMPRODUCT(--ISNUMBER(SEARCH(","&amp;TRIM(TEXTSPLIT(DM46,","))&amp;",",","&amp;SUBSTITUTE(input_executive_education_focus," ","")&amp;",")))=0)),IF(DO46="",TRUE,IF(input_executive_education_focus="",FALSE,SUMPRODUCT(--ISNUMBER(SEARCH(","&amp;TRIM(TEXTSPLIT(DO46,","))&amp;",",","&amp;SUBSTITUTE(input_executive_education_focus," ","")&amp;",")))&gt;0)),IF(DQ46="",TRUE,IF(input_executive_education_focus="",FALSE,SUMPRODUCT(--ISNUMBER(SEARCH(","&amp;TRIM(TEXTSPLIT(DQ46,","))&amp;",",","&amp;SUBSTITUTE(input_executive_education_focus," ","")&amp;",")))=COUNTA(TEXTSPLIT(DQ46,",")))))</f>
        <v/>
      </c>
      <c r="JE46">
        <f>AND(IF(DS46="",TRUE,IF(input_faculty_category="",FALSE,SUMPRODUCT(--ISNUMBER(SEARCH(","&amp;TRIM(TEXTSPLIT(DS46,","))&amp;",",","&amp;SUBSTITUTE(input_faculty_category," ","")&amp;",")))&gt;0)),IF(DU46="",TRUE,IF(input_faculty_category="",FALSE,SUMPRODUCT(--ISNUMBER(SEARCH(","&amp;TRIM(TEXTSPLIT(DU46,","))&amp;",",","&amp;SUBSTITUTE(input_faculty_category," ","")&amp;",")))=COUNTA(TEXTSPLIT(DU46,",")))),IF(DW46="",TRUE,IF(input_faculty_category="",TRUE,SUMPRODUCT(--ISNUMBER(SEARCH(","&amp;TRIM(TEXTSPLIT(DW46,","))&amp;",",","&amp;SUBSTITUTE(input_faculty_category," ","")&amp;",")))=0)),IF(DY46="",TRUE,IF(input_faculty_category="",FALSE,SUMPRODUCT(--ISNUMBER(SEARCH(","&amp;TRIM(TEXTSPLIT(DY46,","))&amp;",",","&amp;SUBSTITUTE(input_faculty_category," ","")&amp;",")))&gt;0)),IF(EA46="",TRUE,IF(input_faculty_category="",FALSE,SUMPRODUCT(--ISNUMBER(SEARCH(","&amp;TRIM(TEXTSPLIT(EA46,","))&amp;",",","&amp;SUBSTITUTE(input_faculty_category," ","")&amp;",")))=COUNTA(TEXTSPLIT(EA46,",")))))</f>
        <v/>
      </c>
      <c r="JF46">
        <f>AND(IF(EC46="",TRUE,IF(input_faculty_discipline="",FALSE,SUMPRODUCT(--ISNUMBER(SEARCH(","&amp;TRIM(TEXTSPLIT(EC46,","))&amp;",",","&amp;SUBSTITUTE(input_faculty_discipline," ","")&amp;",")))&gt;0)),IF(EE46="",TRUE,IF(input_faculty_discipline="",FALSE,SUMPRODUCT(--ISNUMBER(SEARCH(","&amp;TRIM(TEXTSPLIT(EE46,","))&amp;",",","&amp;SUBSTITUTE(input_faculty_discipline," ","")&amp;",")))=COUNTA(TEXTSPLIT(EE46,",")))),IF(EG46="",TRUE,IF(input_faculty_discipline="",TRUE,SUMPRODUCT(--ISNUMBER(SEARCH(","&amp;TRIM(TEXTSPLIT(EG46,","))&amp;",",","&amp;SUBSTITUTE(input_faculty_discipline," ","")&amp;",")))=0)),IF(EI46="",TRUE,IF(input_faculty_discipline="",FALSE,SUMPRODUCT(--ISNUMBER(SEARCH(","&amp;TRIM(TEXTSPLIT(EI46,","))&amp;",",","&amp;SUBSTITUTE(input_faculty_discipline," ","")&amp;",")))&gt;0)),IF(EK46="",TRUE,IF(input_faculty_discipline="",FALSE,SUMPRODUCT(--ISNUMBER(SEARCH(","&amp;TRIM(TEXTSPLIT(EK46,","))&amp;",",","&amp;SUBSTITUTE(input_faculty_discipline," ","")&amp;",")))=COUNTA(TEXTSPLIT(EK46,",")))))</f>
        <v/>
      </c>
      <c r="JG46">
        <f>AND(IF(EM46="",TRUE,IF(input_faculty_expertise="",FALSE,SUMPRODUCT(--ISNUMBER(SEARCH(","&amp;TRIM(TEXTSPLIT(EM46,","))&amp;",",","&amp;SUBSTITUTE(input_faculty_expertise," ","")&amp;",")))&gt;0)),IF(EO46="",TRUE,IF(input_faculty_expertise="",FALSE,SUMPRODUCT(--ISNUMBER(SEARCH(","&amp;TRIM(TEXTSPLIT(EO46,","))&amp;",",","&amp;SUBSTITUTE(input_faculty_expertise," ","")&amp;",")))=COUNTA(TEXTSPLIT(EO46,",")))),IF(EQ46="",TRUE,IF(input_faculty_expertise="",TRUE,SUMPRODUCT(--ISNUMBER(SEARCH(","&amp;TRIM(TEXTSPLIT(EQ46,","))&amp;",",","&amp;SUBSTITUTE(input_faculty_expertise," ","")&amp;",")))=0)),IF(ES46="",TRUE,IF(input_faculty_expertise="",FALSE,SUMPRODUCT(--ISNUMBER(SEARCH(","&amp;TRIM(TEXTSPLIT(ES46,","))&amp;",",","&amp;SUBSTITUTE(input_faculty_expertise," ","")&amp;",")))&gt;0)),IF(EU46="",TRUE,IF(input_faculty_expertise="",FALSE,SUMPRODUCT(--ISNUMBER(SEARCH(","&amp;TRIM(TEXTSPLIT(EU46,","))&amp;",",","&amp;SUBSTITUTE(input_faculty_expertise," ","")&amp;",")))=COUNTA(TEXTSPLIT(EU46,",")))))</f>
        <v/>
      </c>
      <c r="JH46">
        <f>AND(IF(EW46="",TRUE,IF(input_global_network_school="",FALSE,SUMPRODUCT(--ISNUMBER(SEARCH(","&amp;TRIM(TEXTSPLIT(EW46,","))&amp;",",","&amp;SUBSTITUTE(input_global_network_school," ","")&amp;",")))&gt;0)),IF(EY46="",TRUE,IF(input_global_network_school="",FALSE,SUMPRODUCT(--ISNUMBER(SEARCH(","&amp;TRIM(TEXTSPLIT(EY46,","))&amp;",",","&amp;SUBSTITUTE(input_global_network_school," ","")&amp;",")))=COUNTA(TEXTSPLIT(EY46,",")))),IF(FA46="",TRUE,IF(input_global_network_school="",TRUE,SUMPRODUCT(--ISNUMBER(SEARCH(","&amp;TRIM(TEXTSPLIT(FA46,","))&amp;",",","&amp;SUBSTITUTE(input_global_network_school," ","")&amp;",")))=0)),IF(FC46="",TRUE,IF(input_global_network_school="",FALSE,SUMPRODUCT(--ISNUMBER(SEARCH(","&amp;TRIM(TEXTSPLIT(FC46,","))&amp;",",","&amp;SUBSTITUTE(input_global_network_school," ","")&amp;",")))&gt;0)),IF(FE46="",TRUE,IF(input_global_network_school="",FALSE,SUMPRODUCT(--ISNUMBER(SEARCH(","&amp;TRIM(TEXTSPLIT(FE46,","))&amp;",",","&amp;SUBSTITUTE(input_global_network_school," ","")&amp;",")))=COUNTA(TEXTSPLIT(FE46,",")))))</f>
        <v/>
      </c>
      <c r="JI46">
        <f>AND(IF(FG46="",TRUE,IF(input_industry="",FALSE,SUMPRODUCT(--ISNUMBER(SEARCH(","&amp;TRIM(TEXTSPLIT(FG46,","))&amp;",",","&amp;SUBSTITUTE(input_industry," ","")&amp;",")))&gt;0)),IF(FI46="",TRUE,IF(input_industry="",FALSE,SUMPRODUCT(--ISNUMBER(SEARCH(","&amp;TRIM(TEXTSPLIT(FI46,","))&amp;",",","&amp;SUBSTITUTE(input_industry," ","")&amp;",")))=COUNTA(TEXTSPLIT(FI46,",")))),IF(FK46="",TRUE,IF(input_industry="",TRUE,SUMPRODUCT(--ISNUMBER(SEARCH(","&amp;TRIM(TEXTSPLIT(FK46,","))&amp;",",","&amp;SUBSTITUTE(input_industry," ","")&amp;",")))=0)),IF(FM46="",TRUE,IF(input_industry="",FALSE,SUMPRODUCT(--ISNUMBER(SEARCH(","&amp;TRIM(TEXTSPLIT(FM46,","))&amp;",",","&amp;SUBSTITUTE(input_industry," ","")&amp;",")))&gt;0)),IF(FO46="",TRUE,IF(input_industry="",FALSE,SUMPRODUCT(--ISNUMBER(SEARCH(","&amp;TRIM(TEXTSPLIT(FO46,","))&amp;",",","&amp;SUBSTITUTE(input_industry," ","")&amp;",")))=COUNTA(TEXTSPLIT(FO46,",")))))</f>
        <v/>
      </c>
      <c r="JJ46">
        <f>AND(IF(FQ46="",TRUE,IF(input_location="",FALSE,SUMPRODUCT(--ISNUMBER(SEARCH(","&amp;TRIM(TEXTSPLIT(FQ46,","))&amp;",",","&amp;SUBSTITUTE(input_location," ","")&amp;",")))&gt;0)),IF(FS46="",TRUE,IF(input_location="",FALSE,SUMPRODUCT(--ISNUMBER(SEARCH(","&amp;TRIM(TEXTSPLIT(FS46,","))&amp;",",","&amp;SUBSTITUTE(input_location," ","")&amp;",")))=COUNTA(TEXTSPLIT(FS46,",")))),IF(FU46="",TRUE,IF(input_location="",TRUE,SUMPRODUCT(--ISNUMBER(SEARCH(","&amp;TRIM(TEXTSPLIT(FU46,","))&amp;",",","&amp;SUBSTITUTE(input_location," ","")&amp;",")))=0)),IF(FW46="",TRUE,IF(input_location="",FALSE,SUMPRODUCT(--ISNUMBER(SEARCH(","&amp;TRIM(TEXTSPLIT(FW46,","))&amp;",",","&amp;SUBSTITUTE(input_location," ","")&amp;",")))&gt;0)),IF(FY46="",TRUE,IF(input_location="",FALSE,SUMPRODUCT(--ISNUMBER(SEARCH(","&amp;TRIM(TEXTSPLIT(FY46,","))&amp;",",","&amp;SUBSTITUTE(input_location," ","")&amp;",")))=COUNTA(TEXTSPLIT(FY46,",")))))</f>
        <v/>
      </c>
      <c r="JK46">
        <f>AND(IF(GA46="",TRUE,IF(input_modality="",FALSE,SUMPRODUCT(--ISNUMBER(SEARCH(","&amp;TRIM(TEXTSPLIT(GA46,","))&amp;",",","&amp;SUBSTITUTE(input_modality," ","")&amp;",")))&gt;0)),IF(GC46="",TRUE,IF(input_modality="",FALSE,SUMPRODUCT(--ISNUMBER(SEARCH(","&amp;TRIM(TEXTSPLIT(GC46,","))&amp;",",","&amp;SUBSTITUTE(input_modality," ","")&amp;",")))=COUNTA(TEXTSPLIT(GC46,",")))),IF(GE46="",TRUE,IF(input_modality="",TRUE,SUMPRODUCT(--ISNUMBER(SEARCH(","&amp;TRIM(TEXTSPLIT(GE46,","))&amp;",",","&amp;SUBSTITUTE(input_modality," ","")&amp;",")))=0)),IF(GG46="",TRUE,IF(input_modality="",FALSE,SUMPRODUCT(--ISNUMBER(SEARCH(","&amp;TRIM(TEXTSPLIT(GG46,","))&amp;",",","&amp;SUBSTITUTE(input_modality," ","")&amp;",")))&gt;0)),IF(GI46="",TRUE,IF(input_modality="",FALSE,SUMPRODUCT(--ISNUMBER(SEARCH(","&amp;TRIM(TEXTSPLIT(GI46,","))&amp;",",","&amp;SUBSTITUTE(input_modality," ","")&amp;",")))=COUNTA(TEXTSPLIT(GI46,",")))))</f>
        <v/>
      </c>
      <c r="JL46">
        <f>AND(IF(GK46="",TRUE,IF(input_organizer="",FALSE,SUMPRODUCT(--ISNUMBER(SEARCH(","&amp;TRIM(TEXTSPLIT(GK46,","))&amp;",",","&amp;SUBSTITUTE(input_organizer," ","")&amp;",")))&gt;0)),IF(GM46="",TRUE,IF(input_organizer="",FALSE,SUMPRODUCT(--ISNUMBER(SEARCH(","&amp;TRIM(TEXTSPLIT(GM46,","))&amp;",",","&amp;SUBSTITUTE(input_organizer," ","")&amp;",")))=COUNTA(TEXTSPLIT(GM46,",")))),IF(GO46="",TRUE,IF(input_organizer="",TRUE,SUMPRODUCT(--ISNUMBER(SEARCH(","&amp;TRIM(TEXTSPLIT(GO46,","))&amp;",",","&amp;SUBSTITUTE(input_organizer," ","")&amp;",")))=0)),IF(GQ46="",TRUE,IF(input_organizer="",FALSE,SUMPRODUCT(--ISNUMBER(SEARCH(","&amp;TRIM(TEXTSPLIT(GQ46,","))&amp;",",","&amp;SUBSTITUTE(input_organizer," ","")&amp;",")))&gt;0)),IF(GS46="",TRUE,IF(input_organizer="",FALSE,SUMPRODUCT(--ISNUMBER(SEARCH(","&amp;TRIM(TEXTSPLIT(GS46,","))&amp;",",","&amp;SUBSTITUTE(input_organizer," ","")&amp;",")))=COUNTA(TEXTSPLIT(GS46,",")))))</f>
        <v/>
      </c>
      <c r="JM46">
        <f>AND(IF(GU46="",TRUE,IF(input_profile_type="",FALSE,SUMPRODUCT(--ISNUMBER(SEARCH(","&amp;TRIM(TEXTSPLIT(GU46,","))&amp;",",","&amp;SUBSTITUTE(input_profile_type," ","")&amp;",")))&gt;0)),IF(GW46="",TRUE,IF(input_profile_type="",FALSE,SUMPRODUCT(--ISNUMBER(SEARCH(","&amp;TRIM(TEXTSPLIT(GW46,","))&amp;",",","&amp;SUBSTITUTE(input_profile_type," ","")&amp;",")))=COUNTA(TEXTSPLIT(GW46,",")))),IF(GY46="",TRUE,IF(input_profile_type="",TRUE,SUMPRODUCT(--ISNUMBER(SEARCH(","&amp;TRIM(TEXTSPLIT(GY46,","))&amp;",",","&amp;SUBSTITUTE(input_profile_type," ","")&amp;",")))=0)),IF(HA46="",TRUE,IF(input_profile_type="",FALSE,SUMPRODUCT(--ISNUMBER(SEARCH(","&amp;TRIM(TEXTSPLIT(HA46,","))&amp;",",","&amp;SUBSTITUTE(input_profile_type," ","")&amp;",")))&gt;0)),IF(HC46="",TRUE,IF(input_profile_type="",FALSE,SUMPRODUCT(--ISNUMBER(SEARCH(","&amp;TRIM(TEXTSPLIT(HC46,","))&amp;",",","&amp;SUBSTITUTE(input_profile_type," ","")&amp;",")))=COUNTA(TEXTSPLIT(HC46,",")))))</f>
        <v/>
      </c>
      <c r="JN46">
        <f>AND(IF(HE46="",TRUE,IF(input_program="",FALSE,SUMPRODUCT(--ISNUMBER(SEARCH(","&amp;TRIM(TEXTSPLIT(HE46,","))&amp;",",","&amp;SUBSTITUTE(input_program," ","")&amp;",")))&gt;0)),IF(HG46="",TRUE,IF(input_program="",FALSE,SUMPRODUCT(--ISNUMBER(SEARCH(","&amp;TRIM(TEXTSPLIT(HG46,","))&amp;",",","&amp;SUBSTITUTE(input_program," ","")&amp;",")))=COUNTA(TEXTSPLIT(HG46,",")))),IF(HI46="",TRUE,IF(input_program="",TRUE,SUMPRODUCT(--ISNUMBER(SEARCH(","&amp;TRIM(TEXTSPLIT(HI46,","))&amp;",",","&amp;SUBSTITUTE(input_program," ","")&amp;",")))=0)),IF(HK46="",TRUE,IF(input_program="",FALSE,SUMPRODUCT(--ISNUMBER(SEARCH(","&amp;TRIM(TEXTSPLIT(HK46,","))&amp;",",","&amp;SUBSTITUTE(input_program," ","")&amp;",")))&gt;0)),IF(HM46="",TRUE,IF(input_program="",FALSE,SUMPRODUCT(--ISNUMBER(SEARCH(","&amp;TRIM(TEXTSPLIT(HM46,","))&amp;",",","&amp;SUBSTITUTE(input_program," ","")&amp;",")))=COUNTA(TEXTSPLIT(HM46,",")))))</f>
        <v/>
      </c>
      <c r="JO46">
        <f>AND(IF(HO46="",TRUE,IF(input_story_categories="",FALSE,SUMPRODUCT(--ISNUMBER(SEARCH(","&amp;TRIM(TEXTSPLIT(HO46,","))&amp;",",","&amp;SUBSTITUTE(input_story_categories," ","")&amp;",")))&gt;0)),IF(HQ46="",TRUE,IF(input_story_categories="",FALSE,SUMPRODUCT(--ISNUMBER(SEARCH(","&amp;TRIM(TEXTSPLIT(HQ46,","))&amp;",",","&amp;SUBSTITUTE(input_story_categories," ","")&amp;",")))=COUNTA(TEXTSPLIT(HQ46,",")))),IF(HS46="",TRUE,IF(input_story_categories="",TRUE,SUMPRODUCT(--ISNUMBER(SEARCH(","&amp;TRIM(TEXTSPLIT(HS46,","))&amp;",",","&amp;SUBSTITUTE(input_story_categories," ","")&amp;",")))=0)),IF(HU46="",TRUE,IF(input_story_categories="",FALSE,SUMPRODUCT(--ISNUMBER(SEARCH(","&amp;TRIM(TEXTSPLIT(HU46,","))&amp;",",","&amp;SUBSTITUTE(input_story_categories," ","")&amp;",")))&gt;0)),IF(HW46="",TRUE,IF(input_story_categories="",FALSE,SUMPRODUCT(--ISNUMBER(SEARCH(","&amp;TRIM(TEXTSPLIT(HW46,","))&amp;",",","&amp;SUBSTITUTE(input_story_categories," ","")&amp;",")))=COUNTA(TEXTSPLIT(HW46,",")))))</f>
        <v/>
      </c>
      <c r="JP46">
        <f>AND(IF(HY46="",TRUE,IF(input_story_type="",FALSE,SUMPRODUCT(--ISNUMBER(SEARCH(","&amp;TRIM(TEXTSPLIT(HY46,","))&amp;",",","&amp;SUBSTITUTE(input_story_type," ","")&amp;",")))&gt;0)),IF(IA46="",TRUE,IF(input_story_type="",FALSE,SUMPRODUCT(--ISNUMBER(SEARCH(","&amp;TRIM(TEXTSPLIT(IA46,","))&amp;",",","&amp;SUBSTITUTE(input_story_type," ","")&amp;",")))=COUNTA(TEXTSPLIT(IA46,",")))),IF(IC46="",TRUE,IF(input_story_type="",TRUE,SUMPRODUCT(--ISNUMBER(SEARCH(","&amp;TRIM(TEXTSPLIT(IC46,","))&amp;",",","&amp;SUBSTITUTE(input_story_type," ","")&amp;",")))=0)),IF(IE46="",TRUE,IF(input_story_type="",FALSE,SUMPRODUCT(--ISNUMBER(SEARCH(","&amp;TRIM(TEXTSPLIT(IE46,","))&amp;",",","&amp;SUBSTITUTE(input_story_type," ","")&amp;",")))&gt;0)),IF(IG46="",TRUE,IF(input_story_type="",FALSE,SUMPRODUCT(--ISNUMBER(SEARCH(","&amp;TRIM(TEXTSPLIT(IG46,","))&amp;",",","&amp;SUBSTITUTE(input_story_type," ","")&amp;",")))=COUNTA(TEXTSPLIT(IG46,",")))))</f>
        <v/>
      </c>
      <c r="JQ46">
        <f>AND(IF(II46="",TRUE,IF(input_topics="",FALSE,SUMPRODUCT(--ISNUMBER(SEARCH(","&amp;TRIM(TEXTSPLIT(II46,","))&amp;",",","&amp;SUBSTITUTE(input_topics," ","")&amp;",")))&gt;0)),IF(IK46="",TRUE,IF(input_topics="",FALSE,SUMPRODUCT(--ISNUMBER(SEARCH(","&amp;TRIM(TEXTSPLIT(IK46,","))&amp;",",","&amp;SUBSTITUTE(input_topics," ","")&amp;",")))=COUNTA(TEXTSPLIT(IK46,",")))),IF(IM46="",TRUE,IF(input_topics="",TRUE,SUMPRODUCT(--ISNUMBER(SEARCH(","&amp;TRIM(TEXTSPLIT(IM46,","))&amp;",",","&amp;SUBSTITUTE(input_topics," ","")&amp;",")))=0)),IF(IO46="",TRUE,IF(input_topics="",FALSE,SUMPRODUCT(--ISNUMBER(SEARCH(","&amp;TRIM(TEXTSPLIT(IO46,","))&amp;",",","&amp;SUBSTITUTE(input_topics," ","")&amp;",")))&gt;0)),IF(IQ46="",TRUE,IF(input_topics="",FALSE,SUMPRODUCT(--ISNUMBER(SEARCH(","&amp;TRIM(TEXTSPLIT(IQ46,","))&amp;",",","&amp;SUBSTITUTE(input_topics," ","")&amp;",")))=COUNTA(TEXTSPLIT(IQ46,",")))))</f>
        <v/>
      </c>
    </row>
    <row r="47">
      <c r="A47" s="4">
        <f>IF(NOT(IS47),"Excluded",IF(AND(IT47,IU47,IV47,IW47,IX47,IY47,IZ47,JA47,JB47,JC47,JD47,JE47,JF47,JG47,JH47,JI47,JJ47,JK47,JL47,JM47,JN47,JO47,JP47,JQ47),IF(I47&gt;0,"Eligible but limited","Will appear"),"Excluded"))</f>
        <v/>
      </c>
      <c r="B47" s="4" t="inlineStr">
        <is>
          <t>All Publications by Author</t>
        </is>
      </c>
      <c r="C47" s="4" t="inlineStr">
        <is>
          <t>/faculty-research/faculty-directory/rick-antle</t>
        </is>
      </c>
      <c r="D47" s="4" t="inlineStr">
        <is>
          <t>/faculty-research/faculty-directory/rick-antle</t>
        </is>
      </c>
      <c r="E47" s="4" t="n">
        <v>1</v>
      </c>
      <c r="F47" s="4" t="inlineStr">
        <is>
          <t>publications</t>
        </is>
      </c>
      <c r="G47" s="4" t="inlineStr">
        <is>
          <t>publication_teaser_list</t>
        </is>
      </c>
      <c r="H47" s="4" t="inlineStr">
        <is>
          <t>publication_teaser_list_all_by_author</t>
        </is>
      </c>
      <c r="I47" s="4" t="inlineStr"/>
      <c r="J47" s="4" t="inlineStr">
        <is>
          <t>View/config rules</t>
        </is>
      </c>
      <c r="K47" s="4" t="inlineStr">
        <is>
          <t>Page placement</t>
        </is>
      </c>
      <c r="L47" s="4" t="inlineStr">
        <is>
          <t>Content type: publications; Source: View/config rules</t>
        </is>
      </c>
      <c r="M47" t="inlineStr"/>
      <c r="N47" t="inlineStr"/>
      <c r="O47" t="inlineStr"/>
      <c r="P47" t="inlineStr"/>
      <c r="Q47" t="inlineStr"/>
      <c r="R47" t="inlineStr"/>
      <c r="S47" t="inlineStr"/>
      <c r="T47" t="inlineStr"/>
      <c r="U47" t="inlineStr"/>
      <c r="V47" t="inlineStr"/>
      <c r="W47" t="inlineStr"/>
      <c r="X47" t="inlineStr"/>
      <c r="Y47" t="inlineStr"/>
      <c r="Z47" t="inlineStr"/>
      <c r="AA47" t="inlineStr"/>
      <c r="AB47" t="inlineStr"/>
      <c r="AC47" t="inlineStr"/>
      <c r="AD47" t="inlineStr"/>
      <c r="AE47" t="inlineStr"/>
      <c r="AF47" t="inlineStr"/>
      <c r="AG47" t="inlineStr"/>
      <c r="AH47" t="inlineStr"/>
      <c r="AI47" t="inlineStr"/>
      <c r="AJ47" t="inlineStr"/>
      <c r="AK47" t="inlineStr"/>
      <c r="AL47" t="inlineStr"/>
      <c r="AM47" t="inlineStr"/>
      <c r="AN47" t="inlineStr"/>
      <c r="AO47" t="inlineStr"/>
      <c r="AP47" t="inlineStr"/>
      <c r="AQ47" t="inlineStr"/>
      <c r="AR47" t="inlineStr"/>
      <c r="AS47" t="inlineStr"/>
      <c r="AT47" t="inlineStr"/>
      <c r="AU47" t="inlineStr"/>
      <c r="AV47" t="inlineStr"/>
      <c r="AW47" t="inlineStr"/>
      <c r="AX47" t="inlineStr"/>
      <c r="AY47" t="inlineStr"/>
      <c r="AZ47" t="inlineStr"/>
      <c r="BA47" t="inlineStr"/>
      <c r="BB47" t="inlineStr"/>
      <c r="BC47" t="inlineStr"/>
      <c r="BD47" t="inlineStr"/>
      <c r="BE47" t="inlineStr"/>
      <c r="BF47" t="inlineStr"/>
      <c r="BG47" t="inlineStr"/>
      <c r="BH47" t="inlineStr"/>
      <c r="BI47" t="inlineStr"/>
      <c r="BJ47" t="inlineStr"/>
      <c r="BK47" t="inlineStr"/>
      <c r="BL47" t="inlineStr"/>
      <c r="BM47" t="inlineStr"/>
      <c r="BN47" t="inlineStr"/>
      <c r="BO47" t="inlineStr"/>
      <c r="BP47" t="inlineStr"/>
      <c r="BQ47" t="inlineStr"/>
      <c r="BR47" t="inlineStr"/>
      <c r="BS47" t="inlineStr"/>
      <c r="BT47" t="inlineStr"/>
      <c r="BU47" t="inlineStr"/>
      <c r="BV47" t="inlineStr"/>
      <c r="BW47" t="inlineStr"/>
      <c r="BX47" t="inlineStr"/>
      <c r="BY47" t="inlineStr"/>
      <c r="BZ47" t="inlineStr"/>
      <c r="CA47" t="inlineStr"/>
      <c r="CB47" t="inlineStr"/>
      <c r="CC47" t="inlineStr"/>
      <c r="CD47" t="inlineStr"/>
      <c r="CE47" t="inlineStr"/>
      <c r="CF47" t="inlineStr"/>
      <c r="CG47" t="inlineStr"/>
      <c r="CH47" t="inlineStr"/>
      <c r="CI47" t="inlineStr"/>
      <c r="CJ47" t="inlineStr"/>
      <c r="CK47" t="inlineStr"/>
      <c r="CL47" t="inlineStr"/>
      <c r="CM47" t="inlineStr"/>
      <c r="CN47" t="inlineStr"/>
      <c r="CO47" t="inlineStr"/>
      <c r="CP47" t="inlineStr"/>
      <c r="CQ47" t="inlineStr"/>
      <c r="CR47" t="inlineStr"/>
      <c r="CS47" t="inlineStr"/>
      <c r="CT47" t="inlineStr"/>
      <c r="CU47" t="inlineStr"/>
      <c r="CV47" t="inlineStr"/>
      <c r="CW47" t="inlineStr"/>
      <c r="CX47" t="inlineStr"/>
      <c r="CY47" t="inlineStr"/>
      <c r="CZ47" t="inlineStr"/>
      <c r="DA47" t="inlineStr"/>
      <c r="DB47" t="inlineStr"/>
      <c r="DC47" t="inlineStr"/>
      <c r="DD47" t="inlineStr"/>
      <c r="DE47" t="inlineStr"/>
      <c r="DF47" t="inlineStr"/>
      <c r="DG47" t="inlineStr"/>
      <c r="DH47" t="inlineStr"/>
      <c r="DI47" t="inlineStr"/>
      <c r="DJ47" t="inlineStr"/>
      <c r="DK47" t="inlineStr"/>
      <c r="DL47" t="inlineStr"/>
      <c r="DM47" t="inlineStr"/>
      <c r="DN47" t="inlineStr"/>
      <c r="DO47" t="inlineStr"/>
      <c r="DP47" t="inlineStr"/>
      <c r="DQ47" t="inlineStr"/>
      <c r="DR47" t="inlineStr"/>
      <c r="DS47" t="inlineStr"/>
      <c r="DT47" t="inlineStr"/>
      <c r="DU47" t="inlineStr"/>
      <c r="DV47" t="inlineStr"/>
      <c r="DW47" t="inlineStr"/>
      <c r="DX47" t="inlineStr"/>
      <c r="DY47" t="inlineStr"/>
      <c r="DZ47" t="inlineStr"/>
      <c r="EA47" t="inlineStr"/>
      <c r="EB47" t="inlineStr"/>
      <c r="EC47" t="inlineStr"/>
      <c r="ED47" t="inlineStr"/>
      <c r="EE47" t="inlineStr"/>
      <c r="EF47" t="inlineStr"/>
      <c r="EG47" t="inlineStr"/>
      <c r="EH47" t="inlineStr"/>
      <c r="EI47" t="inlineStr"/>
      <c r="EJ47" t="inlineStr"/>
      <c r="EK47" t="inlineStr"/>
      <c r="EL47" t="inlineStr"/>
      <c r="EM47" t="inlineStr"/>
      <c r="EN47" t="inlineStr"/>
      <c r="EO47" t="inlineStr"/>
      <c r="EP47" t="inlineStr"/>
      <c r="EQ47" t="inlineStr"/>
      <c r="ER47" t="inlineStr"/>
      <c r="ES47" t="inlineStr"/>
      <c r="ET47" t="inlineStr"/>
      <c r="EU47" t="inlineStr"/>
      <c r="EV47" t="inlineStr"/>
      <c r="EW47" t="inlineStr"/>
      <c r="EX47" t="inlineStr"/>
      <c r="EY47" t="inlineStr"/>
      <c r="EZ47" t="inlineStr"/>
      <c r="FA47" t="inlineStr"/>
      <c r="FB47" t="inlineStr"/>
      <c r="FC47" t="inlineStr"/>
      <c r="FD47" t="inlineStr"/>
      <c r="FE47" t="inlineStr"/>
      <c r="FF47" t="inlineStr"/>
      <c r="FG47" t="inlineStr"/>
      <c r="FH47" t="inlineStr"/>
      <c r="FI47" t="inlineStr"/>
      <c r="FJ47" t="inlineStr"/>
      <c r="FK47" t="inlineStr"/>
      <c r="FL47" t="inlineStr"/>
      <c r="FM47" t="inlineStr"/>
      <c r="FN47" t="inlineStr"/>
      <c r="FO47" t="inlineStr"/>
      <c r="FP47" t="inlineStr"/>
      <c r="FQ47" t="inlineStr"/>
      <c r="FR47" t="inlineStr"/>
      <c r="FS47" t="inlineStr"/>
      <c r="FT47" t="inlineStr"/>
      <c r="FU47" t="inlineStr"/>
      <c r="FV47" t="inlineStr"/>
      <c r="FW47" t="inlineStr"/>
      <c r="FX47" t="inlineStr"/>
      <c r="FY47" t="inlineStr"/>
      <c r="FZ47" t="inlineStr"/>
      <c r="GA47" t="inlineStr"/>
      <c r="GB47" t="inlineStr"/>
      <c r="GC47" t="inlineStr"/>
      <c r="GD47" t="inlineStr"/>
      <c r="GE47" t="inlineStr"/>
      <c r="GF47" t="inlineStr"/>
      <c r="GG47" t="inlineStr"/>
      <c r="GH47" t="inlineStr"/>
      <c r="GI47" t="inlineStr"/>
      <c r="GJ47" t="inlineStr"/>
      <c r="GK47" t="inlineStr"/>
      <c r="GL47" t="inlineStr"/>
      <c r="GM47" t="inlineStr"/>
      <c r="GN47" t="inlineStr"/>
      <c r="GO47" t="inlineStr"/>
      <c r="GP47" t="inlineStr"/>
      <c r="GQ47" t="inlineStr"/>
      <c r="GR47" t="inlineStr"/>
      <c r="GS47" t="inlineStr"/>
      <c r="GT47" t="inlineStr"/>
      <c r="GU47" t="inlineStr"/>
      <c r="GV47" t="inlineStr"/>
      <c r="GW47" t="inlineStr"/>
      <c r="GX47" t="inlineStr"/>
      <c r="GY47" t="inlineStr"/>
      <c r="GZ47" t="inlineStr"/>
      <c r="HA47" t="inlineStr"/>
      <c r="HB47" t="inlineStr"/>
      <c r="HC47" t="inlineStr"/>
      <c r="HD47" t="inlineStr"/>
      <c r="HE47" t="inlineStr"/>
      <c r="HF47" t="inlineStr"/>
      <c r="HG47" t="inlineStr"/>
      <c r="HH47" t="inlineStr"/>
      <c r="HI47" t="inlineStr"/>
      <c r="HJ47" t="inlineStr"/>
      <c r="HK47" t="inlineStr"/>
      <c r="HL47" t="inlineStr"/>
      <c r="HM47" t="inlineStr"/>
      <c r="HN47" t="inlineStr"/>
      <c r="HO47" t="inlineStr"/>
      <c r="HP47" t="inlineStr"/>
      <c r="HQ47" t="inlineStr"/>
      <c r="HR47" t="inlineStr"/>
      <c r="HS47" t="inlineStr"/>
      <c r="HT47" t="inlineStr"/>
      <c r="HU47" t="inlineStr"/>
      <c r="HV47" t="inlineStr"/>
      <c r="HW47" t="inlineStr"/>
      <c r="HX47" t="inlineStr"/>
      <c r="HY47" t="inlineStr"/>
      <c r="HZ47" t="inlineStr"/>
      <c r="IA47" t="inlineStr"/>
      <c r="IB47" t="inlineStr"/>
      <c r="IC47" t="inlineStr"/>
      <c r="ID47" t="inlineStr"/>
      <c r="IE47" t="inlineStr"/>
      <c r="IF47" t="inlineStr"/>
      <c r="IG47" t="inlineStr"/>
      <c r="IH47" t="inlineStr"/>
      <c r="II47" t="inlineStr"/>
      <c r="IJ47" t="inlineStr"/>
      <c r="IK47" t="inlineStr"/>
      <c r="IL47" t="inlineStr"/>
      <c r="IM47" t="inlineStr"/>
      <c r="IN47" t="inlineStr"/>
      <c r="IO47" t="inlineStr"/>
      <c r="IP47" t="inlineStr"/>
      <c r="IQ47" t="inlineStr"/>
      <c r="IR47" t="inlineStr"/>
      <c r="IS47">
        <f>IF(input_content_type="",FALSE,ISNUMBER(SEARCH(","&amp;LOWER(input_content_type)&amp;",",","&amp;LOWER(F47)&amp;",")))</f>
        <v/>
      </c>
      <c r="IT47">
        <f>AND(IF(M47="",TRUE,IF(input_affiliations="",FALSE,SUMPRODUCT(--ISNUMBER(SEARCH(","&amp;TRIM(TEXTSPLIT(M47,","))&amp;",",","&amp;SUBSTITUTE(input_affiliations," ","")&amp;",")))&gt;0)),IF(O47="",TRUE,IF(input_affiliations="",FALSE,SUMPRODUCT(--ISNUMBER(SEARCH(","&amp;TRIM(TEXTSPLIT(O47,","))&amp;",",","&amp;SUBSTITUTE(input_affiliations," ","")&amp;",")))=COUNTA(TEXTSPLIT(O47,",")))),IF(Q47="",TRUE,IF(input_affiliations="",TRUE,SUMPRODUCT(--ISNUMBER(SEARCH(","&amp;TRIM(TEXTSPLIT(Q47,","))&amp;",",","&amp;SUBSTITUTE(input_affiliations," ","")&amp;",")))=0)),IF(S47="",TRUE,IF(input_affiliations="",FALSE,SUMPRODUCT(--ISNUMBER(SEARCH(","&amp;TRIM(TEXTSPLIT(S47,","))&amp;",",","&amp;SUBSTITUTE(input_affiliations," ","")&amp;",")))&gt;0)),IF(U47="",TRUE,IF(input_affiliations="",FALSE,SUMPRODUCT(--ISNUMBER(SEARCH(","&amp;TRIM(TEXTSPLIT(U47,","))&amp;",",","&amp;SUBSTITUTE(input_affiliations," ","")&amp;",")))=COUNTA(TEXTSPLIT(U47,",")))))</f>
        <v/>
      </c>
      <c r="IU47">
        <f>AND(IF(W47="",TRUE,IF(input_announcement_category="",FALSE,SUMPRODUCT(--ISNUMBER(SEARCH(","&amp;TRIM(TEXTSPLIT(W47,","))&amp;",",","&amp;SUBSTITUTE(input_announcement_category," ","")&amp;",")))&gt;0)),IF(Y47="",TRUE,IF(input_announcement_category="",FALSE,SUMPRODUCT(--ISNUMBER(SEARCH(","&amp;TRIM(TEXTSPLIT(Y47,","))&amp;",",","&amp;SUBSTITUTE(input_announcement_category," ","")&amp;",")))=COUNTA(TEXTSPLIT(Y47,",")))),IF(AA47="",TRUE,IF(input_announcement_category="",TRUE,SUMPRODUCT(--ISNUMBER(SEARCH(","&amp;TRIM(TEXTSPLIT(AA47,","))&amp;",",","&amp;SUBSTITUTE(input_announcement_category," ","")&amp;",")))=0)),IF(AC47="",TRUE,IF(input_announcement_category="",FALSE,SUMPRODUCT(--ISNUMBER(SEARCH(","&amp;TRIM(TEXTSPLIT(AC47,","))&amp;",",","&amp;SUBSTITUTE(input_announcement_category," ","")&amp;",")))&gt;0)),IF(AE47="",TRUE,IF(input_announcement_category="",FALSE,SUMPRODUCT(--ISNUMBER(SEARCH(","&amp;TRIM(TEXTSPLIT(AE47,","))&amp;",",","&amp;SUBSTITUTE(input_announcement_category," ","")&amp;",")))=COUNTA(TEXTSPLIT(AE47,",")))))</f>
        <v/>
      </c>
      <c r="IV47">
        <f>AND(IF(AG47="",TRUE,IF(input_area_of_focus="",FALSE,SUMPRODUCT(--ISNUMBER(SEARCH(","&amp;TRIM(TEXTSPLIT(AG47,","))&amp;",",","&amp;SUBSTITUTE(input_area_of_focus," ","")&amp;",")))&gt;0)),IF(AI47="",TRUE,IF(input_area_of_focus="",FALSE,SUMPRODUCT(--ISNUMBER(SEARCH(","&amp;TRIM(TEXTSPLIT(AI47,","))&amp;",",","&amp;SUBSTITUTE(input_area_of_focus," ","")&amp;",")))=COUNTA(TEXTSPLIT(AI47,",")))),IF(AK47="",TRUE,IF(input_area_of_focus="",TRUE,SUMPRODUCT(--ISNUMBER(SEARCH(","&amp;TRIM(TEXTSPLIT(AK47,","))&amp;",",","&amp;SUBSTITUTE(input_area_of_focus," ","")&amp;",")))=0)),IF(AM47="",TRUE,IF(input_area_of_focus="",FALSE,SUMPRODUCT(--ISNUMBER(SEARCH(","&amp;TRIM(TEXTSPLIT(AM47,","))&amp;",",","&amp;SUBSTITUTE(input_area_of_focus," ","")&amp;",")))&gt;0)),IF(AO47="",TRUE,IF(input_area_of_focus="",FALSE,SUMPRODUCT(--ISNUMBER(SEARCH(","&amp;TRIM(TEXTSPLIT(AO47,","))&amp;",",","&amp;SUBSTITUTE(input_area_of_focus," ","")&amp;",")))=COUNTA(TEXTSPLIT(AO47,",")))))</f>
        <v/>
      </c>
      <c r="IW47">
        <f>AND(IF(AQ47="",TRUE,IF(input_audience="",FALSE,SUMPRODUCT(--ISNUMBER(SEARCH(","&amp;TRIM(TEXTSPLIT(AQ47,","))&amp;",",","&amp;SUBSTITUTE(input_audience," ","")&amp;",")))&gt;0)),IF(AS47="",TRUE,IF(input_audience="",FALSE,SUMPRODUCT(--ISNUMBER(SEARCH(","&amp;TRIM(TEXTSPLIT(AS47,","))&amp;",",","&amp;SUBSTITUTE(input_audience," ","")&amp;",")))=COUNTA(TEXTSPLIT(AS47,",")))),IF(AU47="",TRUE,IF(input_audience="",TRUE,SUMPRODUCT(--ISNUMBER(SEARCH(","&amp;TRIM(TEXTSPLIT(AU47,","))&amp;",",","&amp;SUBSTITUTE(input_audience," ","")&amp;",")))=0)),IF(AW47="",TRUE,IF(input_audience="",FALSE,SUMPRODUCT(--ISNUMBER(SEARCH(","&amp;TRIM(TEXTSPLIT(AW47,","))&amp;",",","&amp;SUBSTITUTE(input_audience," ","")&amp;",")))&gt;0)),IF(AY47="",TRUE,IF(input_audience="",FALSE,SUMPRODUCT(--ISNUMBER(SEARCH(","&amp;TRIM(TEXTSPLIT(AY47,","))&amp;",",","&amp;SUBSTITUTE(input_audience," ","")&amp;",")))=COUNTA(TEXTSPLIT(AY47,",")))))</f>
        <v/>
      </c>
      <c r="IX47">
        <f>AND(IF(BA47="",TRUE,IF(input_challenge_opportunities="",FALSE,SUMPRODUCT(--ISNUMBER(SEARCH(","&amp;TRIM(TEXTSPLIT(BA47,","))&amp;",",","&amp;SUBSTITUTE(input_challenge_opportunities," ","")&amp;",")))&gt;0)),IF(BC47="",TRUE,IF(input_challenge_opportunities="",FALSE,SUMPRODUCT(--ISNUMBER(SEARCH(","&amp;TRIM(TEXTSPLIT(BC47,","))&amp;",",","&amp;SUBSTITUTE(input_challenge_opportunities," ","")&amp;",")))=COUNTA(TEXTSPLIT(BC47,",")))),IF(BE47="",TRUE,IF(input_challenge_opportunities="",TRUE,SUMPRODUCT(--ISNUMBER(SEARCH(","&amp;TRIM(TEXTSPLIT(BE47,","))&amp;",",","&amp;SUBSTITUTE(input_challenge_opportunities," ","")&amp;",")))=0)),IF(BG47="",TRUE,IF(input_challenge_opportunities="",FALSE,SUMPRODUCT(--ISNUMBER(SEARCH(","&amp;TRIM(TEXTSPLIT(BG47,","))&amp;",",","&amp;SUBSTITUTE(input_challenge_opportunities," ","")&amp;",")))&gt;0)),IF(BI47="",TRUE,IF(input_challenge_opportunities="",FALSE,SUMPRODUCT(--ISNUMBER(SEARCH(","&amp;TRIM(TEXTSPLIT(BI47,","))&amp;",",","&amp;SUBSTITUTE(input_challenge_opportunities," ","")&amp;",")))=COUNTA(TEXTSPLIT(BI47,",")))))</f>
        <v/>
      </c>
      <c r="IY47">
        <f>AND(IF(BK47="",TRUE,IF(input_context="",FALSE,SUMPRODUCT(--ISNUMBER(SEARCH(","&amp;TRIM(TEXTSPLIT(BK47,","))&amp;",",","&amp;SUBSTITUTE(input_context," ","")&amp;",")))&gt;0)),IF(BM47="",TRUE,IF(input_context="",FALSE,SUMPRODUCT(--ISNUMBER(SEARCH(","&amp;TRIM(TEXTSPLIT(BM47,","))&amp;",",","&amp;SUBSTITUTE(input_context," ","")&amp;",")))=COUNTA(TEXTSPLIT(BM47,",")))),IF(BO47="",TRUE,IF(input_context="",TRUE,SUMPRODUCT(--ISNUMBER(SEARCH(","&amp;TRIM(TEXTSPLIT(BO47,","))&amp;",",","&amp;SUBSTITUTE(input_context," ","")&amp;",")))=0)),IF(BQ47="",TRUE,IF(input_context="",FALSE,SUMPRODUCT(--ISNUMBER(SEARCH(","&amp;TRIM(TEXTSPLIT(BQ47,","))&amp;",",","&amp;SUBSTITUTE(input_context," ","")&amp;",")))&gt;0)),IF(BS47="",TRUE,IF(input_context="",FALSE,SUMPRODUCT(--ISNUMBER(SEARCH(","&amp;TRIM(TEXTSPLIT(BS47,","))&amp;",",","&amp;SUBSTITUTE(input_context," ","")&amp;",")))=COUNTA(TEXTSPLIT(BS47,",")))))</f>
        <v/>
      </c>
      <c r="IZ47">
        <f>AND(IF(BU47="",TRUE,IF(input_enews_announcement_type="",FALSE,SUMPRODUCT(--ISNUMBER(SEARCH(","&amp;TRIM(TEXTSPLIT(BU47,","))&amp;",",","&amp;SUBSTITUTE(input_enews_announcement_type," ","")&amp;",")))&gt;0)),IF(BW47="",TRUE,IF(input_enews_announcement_type="",FALSE,SUMPRODUCT(--ISNUMBER(SEARCH(","&amp;TRIM(TEXTSPLIT(BW47,","))&amp;",",","&amp;SUBSTITUTE(input_enews_announcement_type," ","")&amp;",")))=COUNTA(TEXTSPLIT(BW47,",")))),IF(BY47="",TRUE,IF(input_enews_announcement_type="",TRUE,SUMPRODUCT(--ISNUMBER(SEARCH(","&amp;TRIM(TEXTSPLIT(BY47,","))&amp;",",","&amp;SUBSTITUTE(input_enews_announcement_type," ","")&amp;",")))=0)),IF(CA47="",TRUE,IF(input_enews_announcement_type="",FALSE,SUMPRODUCT(--ISNUMBER(SEARCH(","&amp;TRIM(TEXTSPLIT(CA47,","))&amp;",",","&amp;SUBSTITUTE(input_enews_announcement_type," ","")&amp;",")))&gt;0)),IF(CC47="",TRUE,IF(input_enews_announcement_type="",FALSE,SUMPRODUCT(--ISNUMBER(SEARCH(","&amp;TRIM(TEXTSPLIT(CC47,","))&amp;",",","&amp;SUBSTITUTE(input_enews_announcement_type," ","")&amp;",")))=COUNTA(TEXTSPLIT(CC47,",")))))</f>
        <v/>
      </c>
      <c r="JA47">
        <f>AND(IF(CE47="",TRUE,IF(input_enews_audience="",FALSE,SUMPRODUCT(--ISNUMBER(SEARCH(","&amp;TRIM(TEXTSPLIT(CE47,","))&amp;",",","&amp;SUBSTITUTE(input_enews_audience," ","")&amp;",")))&gt;0)),IF(CG47="",TRUE,IF(input_enews_audience="",FALSE,SUMPRODUCT(--ISNUMBER(SEARCH(","&amp;TRIM(TEXTSPLIT(CG47,","))&amp;",",","&amp;SUBSTITUTE(input_enews_audience," ","")&amp;",")))=COUNTA(TEXTSPLIT(CG47,",")))),IF(CI47="",TRUE,IF(input_enews_audience="",TRUE,SUMPRODUCT(--ISNUMBER(SEARCH(","&amp;TRIM(TEXTSPLIT(CI47,","))&amp;",",","&amp;SUBSTITUTE(input_enews_audience," ","")&amp;",")))=0)),IF(CK47="",TRUE,IF(input_enews_audience="",FALSE,SUMPRODUCT(--ISNUMBER(SEARCH(","&amp;TRIM(TEXTSPLIT(CK47,","))&amp;",",","&amp;SUBSTITUTE(input_enews_audience," ","")&amp;",")))&gt;0)),IF(CM47="",TRUE,IF(input_enews_audience="",FALSE,SUMPRODUCT(--ISNUMBER(SEARCH(","&amp;TRIM(TEXTSPLIT(CM47,","))&amp;",",","&amp;SUBSTITUTE(input_enews_audience," ","")&amp;",")))=COUNTA(TEXTSPLIT(CM47,",")))))</f>
        <v/>
      </c>
      <c r="JB47">
        <f>AND(IF(CO47="",TRUE,IF(input_event_location="",FALSE,SUMPRODUCT(--ISNUMBER(SEARCH(","&amp;TRIM(TEXTSPLIT(CO47,","))&amp;",",","&amp;SUBSTITUTE(input_event_location," ","")&amp;",")))&gt;0)),IF(CQ47="",TRUE,IF(input_event_location="",FALSE,SUMPRODUCT(--ISNUMBER(SEARCH(","&amp;TRIM(TEXTSPLIT(CQ47,","))&amp;",",","&amp;SUBSTITUTE(input_event_location," ","")&amp;",")))=COUNTA(TEXTSPLIT(CQ47,",")))),IF(CS47="",TRUE,IF(input_event_location="",TRUE,SUMPRODUCT(--ISNUMBER(SEARCH(","&amp;TRIM(TEXTSPLIT(CS47,","))&amp;",",","&amp;SUBSTITUTE(input_event_location," ","")&amp;",")))=0)),IF(CU47="",TRUE,IF(input_event_location="",FALSE,SUMPRODUCT(--ISNUMBER(SEARCH(","&amp;TRIM(TEXTSPLIT(CU47,","))&amp;",",","&amp;SUBSTITUTE(input_event_location," ","")&amp;",")))&gt;0)),IF(CW47="",TRUE,IF(input_event_location="",FALSE,SUMPRODUCT(--ISNUMBER(SEARCH(","&amp;TRIM(TEXTSPLIT(CW47,","))&amp;",",","&amp;SUBSTITUTE(input_event_location," ","")&amp;",")))=COUNTA(TEXTSPLIT(CW47,",")))))</f>
        <v/>
      </c>
      <c r="JC47">
        <f>AND(IF(CY47="",TRUE,IF(input_event_type="",FALSE,SUMPRODUCT(--ISNUMBER(SEARCH(","&amp;TRIM(TEXTSPLIT(CY47,","))&amp;",",","&amp;SUBSTITUTE(input_event_type," ","")&amp;",")))&gt;0)),IF(DA47="",TRUE,IF(input_event_type="",FALSE,SUMPRODUCT(--ISNUMBER(SEARCH(","&amp;TRIM(TEXTSPLIT(DA47,","))&amp;",",","&amp;SUBSTITUTE(input_event_type," ","")&amp;",")))=COUNTA(TEXTSPLIT(DA47,",")))),IF(DC47="",TRUE,IF(input_event_type="",TRUE,SUMPRODUCT(--ISNUMBER(SEARCH(","&amp;TRIM(TEXTSPLIT(DC47,","))&amp;",",","&amp;SUBSTITUTE(input_event_type," ","")&amp;",")))=0)),IF(DE47="",TRUE,IF(input_event_type="",FALSE,SUMPRODUCT(--ISNUMBER(SEARCH(","&amp;TRIM(TEXTSPLIT(DE47,","))&amp;",",","&amp;SUBSTITUTE(input_event_type," ","")&amp;",")))&gt;0)),IF(DG47="",TRUE,IF(input_event_type="",FALSE,SUMPRODUCT(--ISNUMBER(SEARCH(","&amp;TRIM(TEXTSPLIT(DG47,","))&amp;",",","&amp;SUBSTITUTE(input_event_type," ","")&amp;",")))=COUNTA(TEXTSPLIT(DG47,",")))))</f>
        <v/>
      </c>
      <c r="JD47">
        <f>AND(IF(DI47="",TRUE,IF(input_executive_education_focus="",FALSE,SUMPRODUCT(--ISNUMBER(SEARCH(","&amp;TRIM(TEXTSPLIT(DI47,","))&amp;",",","&amp;SUBSTITUTE(input_executive_education_focus," ","")&amp;",")))&gt;0)),IF(DK47="",TRUE,IF(input_executive_education_focus="",FALSE,SUMPRODUCT(--ISNUMBER(SEARCH(","&amp;TRIM(TEXTSPLIT(DK47,","))&amp;",",","&amp;SUBSTITUTE(input_executive_education_focus," ","")&amp;",")))=COUNTA(TEXTSPLIT(DK47,",")))),IF(DM47="",TRUE,IF(input_executive_education_focus="",TRUE,SUMPRODUCT(--ISNUMBER(SEARCH(","&amp;TRIM(TEXTSPLIT(DM47,","))&amp;",",","&amp;SUBSTITUTE(input_executive_education_focus," ","")&amp;",")))=0)),IF(DO47="",TRUE,IF(input_executive_education_focus="",FALSE,SUMPRODUCT(--ISNUMBER(SEARCH(","&amp;TRIM(TEXTSPLIT(DO47,","))&amp;",",","&amp;SUBSTITUTE(input_executive_education_focus," ","")&amp;",")))&gt;0)),IF(DQ47="",TRUE,IF(input_executive_education_focus="",FALSE,SUMPRODUCT(--ISNUMBER(SEARCH(","&amp;TRIM(TEXTSPLIT(DQ47,","))&amp;",",","&amp;SUBSTITUTE(input_executive_education_focus," ","")&amp;",")))=COUNTA(TEXTSPLIT(DQ47,",")))))</f>
        <v/>
      </c>
      <c r="JE47">
        <f>AND(IF(DS47="",TRUE,IF(input_faculty_category="",FALSE,SUMPRODUCT(--ISNUMBER(SEARCH(","&amp;TRIM(TEXTSPLIT(DS47,","))&amp;",",","&amp;SUBSTITUTE(input_faculty_category," ","")&amp;",")))&gt;0)),IF(DU47="",TRUE,IF(input_faculty_category="",FALSE,SUMPRODUCT(--ISNUMBER(SEARCH(","&amp;TRIM(TEXTSPLIT(DU47,","))&amp;",",","&amp;SUBSTITUTE(input_faculty_category," ","")&amp;",")))=COUNTA(TEXTSPLIT(DU47,",")))),IF(DW47="",TRUE,IF(input_faculty_category="",TRUE,SUMPRODUCT(--ISNUMBER(SEARCH(","&amp;TRIM(TEXTSPLIT(DW47,","))&amp;",",","&amp;SUBSTITUTE(input_faculty_category," ","")&amp;",")))=0)),IF(DY47="",TRUE,IF(input_faculty_category="",FALSE,SUMPRODUCT(--ISNUMBER(SEARCH(","&amp;TRIM(TEXTSPLIT(DY47,","))&amp;",",","&amp;SUBSTITUTE(input_faculty_category," ","")&amp;",")))&gt;0)),IF(EA47="",TRUE,IF(input_faculty_category="",FALSE,SUMPRODUCT(--ISNUMBER(SEARCH(","&amp;TRIM(TEXTSPLIT(EA47,","))&amp;",",","&amp;SUBSTITUTE(input_faculty_category," ","")&amp;",")))=COUNTA(TEXTSPLIT(EA47,",")))))</f>
        <v/>
      </c>
      <c r="JF47">
        <f>AND(IF(EC47="",TRUE,IF(input_faculty_discipline="",FALSE,SUMPRODUCT(--ISNUMBER(SEARCH(","&amp;TRIM(TEXTSPLIT(EC47,","))&amp;",",","&amp;SUBSTITUTE(input_faculty_discipline," ","")&amp;",")))&gt;0)),IF(EE47="",TRUE,IF(input_faculty_discipline="",FALSE,SUMPRODUCT(--ISNUMBER(SEARCH(","&amp;TRIM(TEXTSPLIT(EE47,","))&amp;",",","&amp;SUBSTITUTE(input_faculty_discipline," ","")&amp;",")))=COUNTA(TEXTSPLIT(EE47,",")))),IF(EG47="",TRUE,IF(input_faculty_discipline="",TRUE,SUMPRODUCT(--ISNUMBER(SEARCH(","&amp;TRIM(TEXTSPLIT(EG47,","))&amp;",",","&amp;SUBSTITUTE(input_faculty_discipline," ","")&amp;",")))=0)),IF(EI47="",TRUE,IF(input_faculty_discipline="",FALSE,SUMPRODUCT(--ISNUMBER(SEARCH(","&amp;TRIM(TEXTSPLIT(EI47,","))&amp;",",","&amp;SUBSTITUTE(input_faculty_discipline," ","")&amp;",")))&gt;0)),IF(EK47="",TRUE,IF(input_faculty_discipline="",FALSE,SUMPRODUCT(--ISNUMBER(SEARCH(","&amp;TRIM(TEXTSPLIT(EK47,","))&amp;",",","&amp;SUBSTITUTE(input_faculty_discipline," ","")&amp;",")))=COUNTA(TEXTSPLIT(EK47,",")))))</f>
        <v/>
      </c>
      <c r="JG47">
        <f>AND(IF(EM47="",TRUE,IF(input_faculty_expertise="",FALSE,SUMPRODUCT(--ISNUMBER(SEARCH(","&amp;TRIM(TEXTSPLIT(EM47,","))&amp;",",","&amp;SUBSTITUTE(input_faculty_expertise," ","")&amp;",")))&gt;0)),IF(EO47="",TRUE,IF(input_faculty_expertise="",FALSE,SUMPRODUCT(--ISNUMBER(SEARCH(","&amp;TRIM(TEXTSPLIT(EO47,","))&amp;",",","&amp;SUBSTITUTE(input_faculty_expertise," ","")&amp;",")))=COUNTA(TEXTSPLIT(EO47,",")))),IF(EQ47="",TRUE,IF(input_faculty_expertise="",TRUE,SUMPRODUCT(--ISNUMBER(SEARCH(","&amp;TRIM(TEXTSPLIT(EQ47,","))&amp;",",","&amp;SUBSTITUTE(input_faculty_expertise," ","")&amp;",")))=0)),IF(ES47="",TRUE,IF(input_faculty_expertise="",FALSE,SUMPRODUCT(--ISNUMBER(SEARCH(","&amp;TRIM(TEXTSPLIT(ES47,","))&amp;",",","&amp;SUBSTITUTE(input_faculty_expertise," ","")&amp;",")))&gt;0)),IF(EU47="",TRUE,IF(input_faculty_expertise="",FALSE,SUMPRODUCT(--ISNUMBER(SEARCH(","&amp;TRIM(TEXTSPLIT(EU47,","))&amp;",",","&amp;SUBSTITUTE(input_faculty_expertise," ","")&amp;",")))=COUNTA(TEXTSPLIT(EU47,",")))))</f>
        <v/>
      </c>
      <c r="JH47">
        <f>AND(IF(EW47="",TRUE,IF(input_global_network_school="",FALSE,SUMPRODUCT(--ISNUMBER(SEARCH(","&amp;TRIM(TEXTSPLIT(EW47,","))&amp;",",","&amp;SUBSTITUTE(input_global_network_school," ","")&amp;",")))&gt;0)),IF(EY47="",TRUE,IF(input_global_network_school="",FALSE,SUMPRODUCT(--ISNUMBER(SEARCH(","&amp;TRIM(TEXTSPLIT(EY47,","))&amp;",",","&amp;SUBSTITUTE(input_global_network_school," ","")&amp;",")))=COUNTA(TEXTSPLIT(EY47,",")))),IF(FA47="",TRUE,IF(input_global_network_school="",TRUE,SUMPRODUCT(--ISNUMBER(SEARCH(","&amp;TRIM(TEXTSPLIT(FA47,","))&amp;",",","&amp;SUBSTITUTE(input_global_network_school," ","")&amp;",")))=0)),IF(FC47="",TRUE,IF(input_global_network_school="",FALSE,SUMPRODUCT(--ISNUMBER(SEARCH(","&amp;TRIM(TEXTSPLIT(FC47,","))&amp;",",","&amp;SUBSTITUTE(input_global_network_school," ","")&amp;",")))&gt;0)),IF(FE47="",TRUE,IF(input_global_network_school="",FALSE,SUMPRODUCT(--ISNUMBER(SEARCH(","&amp;TRIM(TEXTSPLIT(FE47,","))&amp;",",","&amp;SUBSTITUTE(input_global_network_school," ","")&amp;",")))=COUNTA(TEXTSPLIT(FE47,",")))))</f>
        <v/>
      </c>
      <c r="JI47">
        <f>AND(IF(FG47="",TRUE,IF(input_industry="",FALSE,SUMPRODUCT(--ISNUMBER(SEARCH(","&amp;TRIM(TEXTSPLIT(FG47,","))&amp;",",","&amp;SUBSTITUTE(input_industry," ","")&amp;",")))&gt;0)),IF(FI47="",TRUE,IF(input_industry="",FALSE,SUMPRODUCT(--ISNUMBER(SEARCH(","&amp;TRIM(TEXTSPLIT(FI47,","))&amp;",",","&amp;SUBSTITUTE(input_industry," ","")&amp;",")))=COUNTA(TEXTSPLIT(FI47,",")))),IF(FK47="",TRUE,IF(input_industry="",TRUE,SUMPRODUCT(--ISNUMBER(SEARCH(","&amp;TRIM(TEXTSPLIT(FK47,","))&amp;",",","&amp;SUBSTITUTE(input_industry," ","")&amp;",")))=0)),IF(FM47="",TRUE,IF(input_industry="",FALSE,SUMPRODUCT(--ISNUMBER(SEARCH(","&amp;TRIM(TEXTSPLIT(FM47,","))&amp;",",","&amp;SUBSTITUTE(input_industry," ","")&amp;",")))&gt;0)),IF(FO47="",TRUE,IF(input_industry="",FALSE,SUMPRODUCT(--ISNUMBER(SEARCH(","&amp;TRIM(TEXTSPLIT(FO47,","))&amp;",",","&amp;SUBSTITUTE(input_industry," ","")&amp;",")))=COUNTA(TEXTSPLIT(FO47,",")))))</f>
        <v/>
      </c>
      <c r="JJ47">
        <f>AND(IF(FQ47="",TRUE,IF(input_location="",FALSE,SUMPRODUCT(--ISNUMBER(SEARCH(","&amp;TRIM(TEXTSPLIT(FQ47,","))&amp;",",","&amp;SUBSTITUTE(input_location," ","")&amp;",")))&gt;0)),IF(FS47="",TRUE,IF(input_location="",FALSE,SUMPRODUCT(--ISNUMBER(SEARCH(","&amp;TRIM(TEXTSPLIT(FS47,","))&amp;",",","&amp;SUBSTITUTE(input_location," ","")&amp;",")))=COUNTA(TEXTSPLIT(FS47,",")))),IF(FU47="",TRUE,IF(input_location="",TRUE,SUMPRODUCT(--ISNUMBER(SEARCH(","&amp;TRIM(TEXTSPLIT(FU47,","))&amp;",",","&amp;SUBSTITUTE(input_location," ","")&amp;",")))=0)),IF(FW47="",TRUE,IF(input_location="",FALSE,SUMPRODUCT(--ISNUMBER(SEARCH(","&amp;TRIM(TEXTSPLIT(FW47,","))&amp;",",","&amp;SUBSTITUTE(input_location," ","")&amp;",")))&gt;0)),IF(FY47="",TRUE,IF(input_location="",FALSE,SUMPRODUCT(--ISNUMBER(SEARCH(","&amp;TRIM(TEXTSPLIT(FY47,","))&amp;",",","&amp;SUBSTITUTE(input_location," ","")&amp;",")))=COUNTA(TEXTSPLIT(FY47,",")))))</f>
        <v/>
      </c>
      <c r="JK47">
        <f>AND(IF(GA47="",TRUE,IF(input_modality="",FALSE,SUMPRODUCT(--ISNUMBER(SEARCH(","&amp;TRIM(TEXTSPLIT(GA47,","))&amp;",",","&amp;SUBSTITUTE(input_modality," ","")&amp;",")))&gt;0)),IF(GC47="",TRUE,IF(input_modality="",FALSE,SUMPRODUCT(--ISNUMBER(SEARCH(","&amp;TRIM(TEXTSPLIT(GC47,","))&amp;",",","&amp;SUBSTITUTE(input_modality," ","")&amp;",")))=COUNTA(TEXTSPLIT(GC47,",")))),IF(GE47="",TRUE,IF(input_modality="",TRUE,SUMPRODUCT(--ISNUMBER(SEARCH(","&amp;TRIM(TEXTSPLIT(GE47,","))&amp;",",","&amp;SUBSTITUTE(input_modality," ","")&amp;",")))=0)),IF(GG47="",TRUE,IF(input_modality="",FALSE,SUMPRODUCT(--ISNUMBER(SEARCH(","&amp;TRIM(TEXTSPLIT(GG47,","))&amp;",",","&amp;SUBSTITUTE(input_modality," ","")&amp;",")))&gt;0)),IF(GI47="",TRUE,IF(input_modality="",FALSE,SUMPRODUCT(--ISNUMBER(SEARCH(","&amp;TRIM(TEXTSPLIT(GI47,","))&amp;",",","&amp;SUBSTITUTE(input_modality," ","")&amp;",")))=COUNTA(TEXTSPLIT(GI47,",")))))</f>
        <v/>
      </c>
      <c r="JL47">
        <f>AND(IF(GK47="",TRUE,IF(input_organizer="",FALSE,SUMPRODUCT(--ISNUMBER(SEARCH(","&amp;TRIM(TEXTSPLIT(GK47,","))&amp;",",","&amp;SUBSTITUTE(input_organizer," ","")&amp;",")))&gt;0)),IF(GM47="",TRUE,IF(input_organizer="",FALSE,SUMPRODUCT(--ISNUMBER(SEARCH(","&amp;TRIM(TEXTSPLIT(GM47,","))&amp;",",","&amp;SUBSTITUTE(input_organizer," ","")&amp;",")))=COUNTA(TEXTSPLIT(GM47,",")))),IF(GO47="",TRUE,IF(input_organizer="",TRUE,SUMPRODUCT(--ISNUMBER(SEARCH(","&amp;TRIM(TEXTSPLIT(GO47,","))&amp;",",","&amp;SUBSTITUTE(input_organizer," ","")&amp;",")))=0)),IF(GQ47="",TRUE,IF(input_organizer="",FALSE,SUMPRODUCT(--ISNUMBER(SEARCH(","&amp;TRIM(TEXTSPLIT(GQ47,","))&amp;",",","&amp;SUBSTITUTE(input_organizer," ","")&amp;",")))&gt;0)),IF(GS47="",TRUE,IF(input_organizer="",FALSE,SUMPRODUCT(--ISNUMBER(SEARCH(","&amp;TRIM(TEXTSPLIT(GS47,","))&amp;",",","&amp;SUBSTITUTE(input_organizer," ","")&amp;",")))=COUNTA(TEXTSPLIT(GS47,",")))))</f>
        <v/>
      </c>
      <c r="JM47">
        <f>AND(IF(GU47="",TRUE,IF(input_profile_type="",FALSE,SUMPRODUCT(--ISNUMBER(SEARCH(","&amp;TRIM(TEXTSPLIT(GU47,","))&amp;",",","&amp;SUBSTITUTE(input_profile_type," ","")&amp;",")))&gt;0)),IF(GW47="",TRUE,IF(input_profile_type="",FALSE,SUMPRODUCT(--ISNUMBER(SEARCH(","&amp;TRIM(TEXTSPLIT(GW47,","))&amp;",",","&amp;SUBSTITUTE(input_profile_type," ","")&amp;",")))=COUNTA(TEXTSPLIT(GW47,",")))),IF(GY47="",TRUE,IF(input_profile_type="",TRUE,SUMPRODUCT(--ISNUMBER(SEARCH(","&amp;TRIM(TEXTSPLIT(GY47,","))&amp;",",","&amp;SUBSTITUTE(input_profile_type," ","")&amp;",")))=0)),IF(HA47="",TRUE,IF(input_profile_type="",FALSE,SUMPRODUCT(--ISNUMBER(SEARCH(","&amp;TRIM(TEXTSPLIT(HA47,","))&amp;",",","&amp;SUBSTITUTE(input_profile_type," ","")&amp;",")))&gt;0)),IF(HC47="",TRUE,IF(input_profile_type="",FALSE,SUMPRODUCT(--ISNUMBER(SEARCH(","&amp;TRIM(TEXTSPLIT(HC47,","))&amp;",",","&amp;SUBSTITUTE(input_profile_type," ","")&amp;",")))=COUNTA(TEXTSPLIT(HC47,",")))))</f>
        <v/>
      </c>
      <c r="JN47">
        <f>AND(IF(HE47="",TRUE,IF(input_program="",FALSE,SUMPRODUCT(--ISNUMBER(SEARCH(","&amp;TRIM(TEXTSPLIT(HE47,","))&amp;",",","&amp;SUBSTITUTE(input_program," ","")&amp;",")))&gt;0)),IF(HG47="",TRUE,IF(input_program="",FALSE,SUMPRODUCT(--ISNUMBER(SEARCH(","&amp;TRIM(TEXTSPLIT(HG47,","))&amp;",",","&amp;SUBSTITUTE(input_program," ","")&amp;",")))=COUNTA(TEXTSPLIT(HG47,",")))),IF(HI47="",TRUE,IF(input_program="",TRUE,SUMPRODUCT(--ISNUMBER(SEARCH(","&amp;TRIM(TEXTSPLIT(HI47,","))&amp;",",","&amp;SUBSTITUTE(input_program," ","")&amp;",")))=0)),IF(HK47="",TRUE,IF(input_program="",FALSE,SUMPRODUCT(--ISNUMBER(SEARCH(","&amp;TRIM(TEXTSPLIT(HK47,","))&amp;",",","&amp;SUBSTITUTE(input_program," ","")&amp;",")))&gt;0)),IF(HM47="",TRUE,IF(input_program="",FALSE,SUMPRODUCT(--ISNUMBER(SEARCH(","&amp;TRIM(TEXTSPLIT(HM47,","))&amp;",",","&amp;SUBSTITUTE(input_program," ","")&amp;",")))=COUNTA(TEXTSPLIT(HM47,",")))))</f>
        <v/>
      </c>
      <c r="JO47">
        <f>AND(IF(HO47="",TRUE,IF(input_story_categories="",FALSE,SUMPRODUCT(--ISNUMBER(SEARCH(","&amp;TRIM(TEXTSPLIT(HO47,","))&amp;",",","&amp;SUBSTITUTE(input_story_categories," ","")&amp;",")))&gt;0)),IF(HQ47="",TRUE,IF(input_story_categories="",FALSE,SUMPRODUCT(--ISNUMBER(SEARCH(","&amp;TRIM(TEXTSPLIT(HQ47,","))&amp;",",","&amp;SUBSTITUTE(input_story_categories," ","")&amp;",")))=COUNTA(TEXTSPLIT(HQ47,",")))),IF(HS47="",TRUE,IF(input_story_categories="",TRUE,SUMPRODUCT(--ISNUMBER(SEARCH(","&amp;TRIM(TEXTSPLIT(HS47,","))&amp;",",","&amp;SUBSTITUTE(input_story_categories," ","")&amp;",")))=0)),IF(HU47="",TRUE,IF(input_story_categories="",FALSE,SUMPRODUCT(--ISNUMBER(SEARCH(","&amp;TRIM(TEXTSPLIT(HU47,","))&amp;",",","&amp;SUBSTITUTE(input_story_categories," ","")&amp;",")))&gt;0)),IF(HW47="",TRUE,IF(input_story_categories="",FALSE,SUMPRODUCT(--ISNUMBER(SEARCH(","&amp;TRIM(TEXTSPLIT(HW47,","))&amp;",",","&amp;SUBSTITUTE(input_story_categories," ","")&amp;",")))=COUNTA(TEXTSPLIT(HW47,",")))))</f>
        <v/>
      </c>
      <c r="JP47">
        <f>AND(IF(HY47="",TRUE,IF(input_story_type="",FALSE,SUMPRODUCT(--ISNUMBER(SEARCH(","&amp;TRIM(TEXTSPLIT(HY47,","))&amp;",",","&amp;SUBSTITUTE(input_story_type," ","")&amp;",")))&gt;0)),IF(IA47="",TRUE,IF(input_story_type="",FALSE,SUMPRODUCT(--ISNUMBER(SEARCH(","&amp;TRIM(TEXTSPLIT(IA47,","))&amp;",",","&amp;SUBSTITUTE(input_story_type," ","")&amp;",")))=COUNTA(TEXTSPLIT(IA47,",")))),IF(IC47="",TRUE,IF(input_story_type="",TRUE,SUMPRODUCT(--ISNUMBER(SEARCH(","&amp;TRIM(TEXTSPLIT(IC47,","))&amp;",",","&amp;SUBSTITUTE(input_story_type," ","")&amp;",")))=0)),IF(IE47="",TRUE,IF(input_story_type="",FALSE,SUMPRODUCT(--ISNUMBER(SEARCH(","&amp;TRIM(TEXTSPLIT(IE47,","))&amp;",",","&amp;SUBSTITUTE(input_story_type," ","")&amp;",")))&gt;0)),IF(IG47="",TRUE,IF(input_story_type="",FALSE,SUMPRODUCT(--ISNUMBER(SEARCH(","&amp;TRIM(TEXTSPLIT(IG47,","))&amp;",",","&amp;SUBSTITUTE(input_story_type," ","")&amp;",")))=COUNTA(TEXTSPLIT(IG47,",")))))</f>
        <v/>
      </c>
      <c r="JQ47">
        <f>AND(IF(II47="",TRUE,IF(input_topics="",FALSE,SUMPRODUCT(--ISNUMBER(SEARCH(","&amp;TRIM(TEXTSPLIT(II47,","))&amp;",",","&amp;SUBSTITUTE(input_topics," ","")&amp;",")))&gt;0)),IF(IK47="",TRUE,IF(input_topics="",FALSE,SUMPRODUCT(--ISNUMBER(SEARCH(","&amp;TRIM(TEXTSPLIT(IK47,","))&amp;",",","&amp;SUBSTITUTE(input_topics," ","")&amp;",")))=COUNTA(TEXTSPLIT(IK47,",")))),IF(IM47="",TRUE,IF(input_topics="",TRUE,SUMPRODUCT(--ISNUMBER(SEARCH(","&amp;TRIM(TEXTSPLIT(IM47,","))&amp;",",","&amp;SUBSTITUTE(input_topics," ","")&amp;",")))=0)),IF(IO47="",TRUE,IF(input_topics="",FALSE,SUMPRODUCT(--ISNUMBER(SEARCH(","&amp;TRIM(TEXTSPLIT(IO47,","))&amp;",",","&amp;SUBSTITUTE(input_topics," ","")&amp;",")))&gt;0)),IF(IQ47="",TRUE,IF(input_topics="",FALSE,SUMPRODUCT(--ISNUMBER(SEARCH(","&amp;TRIM(TEXTSPLIT(IQ47,","))&amp;",",","&amp;SUBSTITUTE(input_topics," ","")&amp;",")))=COUNTA(TEXTSPLIT(IQ47,",")))))</f>
        <v/>
      </c>
    </row>
    <row r="48">
      <c r="A48" s="4">
        <f>IF(NOT(IS48),"Excluded",IF(AND(IT48,IU48,IV48,IW48,IX48,IY48,IZ48,JA48,JB48,JC48,JD48,JE48,JF48,JG48,JH48,JI48,JJ48,JK48,JL48,JM48,JN48,JO48,JP48,JQ48),IF(I48&gt;0,"Eligible but limited","Will appear"),"Excluded"))</f>
        <v/>
      </c>
      <c r="B48" s="4" t="inlineStr">
        <is>
          <t>All Publications by Author</t>
        </is>
      </c>
      <c r="C48" s="4" t="inlineStr">
        <is>
          <t>/faculty-research/faculty-directory/sang-kim</t>
        </is>
      </c>
      <c r="D48" s="4" t="inlineStr">
        <is>
          <t>/faculty-research/faculty-directory/sang-kim</t>
        </is>
      </c>
      <c r="E48" s="4" t="n">
        <v>1</v>
      </c>
      <c r="F48" s="4" t="inlineStr">
        <is>
          <t>publications</t>
        </is>
      </c>
      <c r="G48" s="4" t="inlineStr">
        <is>
          <t>publication_teaser_list</t>
        </is>
      </c>
      <c r="H48" s="4" t="inlineStr">
        <is>
          <t>publication_teaser_list_all_by_author</t>
        </is>
      </c>
      <c r="I48" s="4" t="inlineStr"/>
      <c r="J48" s="4" t="inlineStr">
        <is>
          <t>View/config rules</t>
        </is>
      </c>
      <c r="K48" s="4" t="inlineStr">
        <is>
          <t>Page placement</t>
        </is>
      </c>
      <c r="L48" s="4" t="inlineStr">
        <is>
          <t>Content type: publications; Source: View/config rules</t>
        </is>
      </c>
      <c r="M48" t="inlineStr"/>
      <c r="N48" t="inlineStr"/>
      <c r="O48" t="inlineStr"/>
      <c r="P48" t="inlineStr"/>
      <c r="Q48" t="inlineStr"/>
      <c r="R48" t="inlineStr"/>
      <c r="S48" t="inlineStr"/>
      <c r="T48" t="inlineStr"/>
      <c r="U48" t="inlineStr"/>
      <c r="V48" t="inlineStr"/>
      <c r="W48" t="inlineStr"/>
      <c r="X48" t="inlineStr"/>
      <c r="Y48" t="inlineStr"/>
      <c r="Z48" t="inlineStr"/>
      <c r="AA48" t="inlineStr"/>
      <c r="AB48" t="inlineStr"/>
      <c r="AC48" t="inlineStr"/>
      <c r="AD48" t="inlineStr"/>
      <c r="AE48" t="inlineStr"/>
      <c r="AF48" t="inlineStr"/>
      <c r="AG48" t="inlineStr"/>
      <c r="AH48" t="inlineStr"/>
      <c r="AI48" t="inlineStr"/>
      <c r="AJ48" t="inlineStr"/>
      <c r="AK48" t="inlineStr"/>
      <c r="AL48" t="inlineStr"/>
      <c r="AM48" t="inlineStr"/>
      <c r="AN48" t="inlineStr"/>
      <c r="AO48" t="inlineStr"/>
      <c r="AP48" t="inlineStr"/>
      <c r="AQ48" t="inlineStr"/>
      <c r="AR48" t="inlineStr"/>
      <c r="AS48" t="inlineStr"/>
      <c r="AT48" t="inlineStr"/>
      <c r="AU48" t="inlineStr"/>
      <c r="AV48" t="inlineStr"/>
      <c r="AW48" t="inlineStr"/>
      <c r="AX48" t="inlineStr"/>
      <c r="AY48" t="inlineStr"/>
      <c r="AZ48" t="inlineStr"/>
      <c r="BA48" t="inlineStr"/>
      <c r="BB48" t="inlineStr"/>
      <c r="BC48" t="inlineStr"/>
      <c r="BD48" t="inlineStr"/>
      <c r="BE48" t="inlineStr"/>
      <c r="BF48" t="inlineStr"/>
      <c r="BG48" t="inlineStr"/>
      <c r="BH48" t="inlineStr"/>
      <c r="BI48" t="inlineStr"/>
      <c r="BJ48" t="inlineStr"/>
      <c r="BK48" t="inlineStr"/>
      <c r="BL48" t="inlineStr"/>
      <c r="BM48" t="inlineStr"/>
      <c r="BN48" t="inlineStr"/>
      <c r="BO48" t="inlineStr"/>
      <c r="BP48" t="inlineStr"/>
      <c r="BQ48" t="inlineStr"/>
      <c r="BR48" t="inlineStr"/>
      <c r="BS48" t="inlineStr"/>
      <c r="BT48" t="inlineStr"/>
      <c r="BU48" t="inlineStr"/>
      <c r="BV48" t="inlineStr"/>
      <c r="BW48" t="inlineStr"/>
      <c r="BX48" t="inlineStr"/>
      <c r="BY48" t="inlineStr"/>
      <c r="BZ48" t="inlineStr"/>
      <c r="CA48" t="inlineStr"/>
      <c r="CB48" t="inlineStr"/>
      <c r="CC48" t="inlineStr"/>
      <c r="CD48" t="inlineStr"/>
      <c r="CE48" t="inlineStr"/>
      <c r="CF48" t="inlineStr"/>
      <c r="CG48" t="inlineStr"/>
      <c r="CH48" t="inlineStr"/>
      <c r="CI48" t="inlineStr"/>
      <c r="CJ48" t="inlineStr"/>
      <c r="CK48" t="inlineStr"/>
      <c r="CL48" t="inlineStr"/>
      <c r="CM48" t="inlineStr"/>
      <c r="CN48" t="inlineStr"/>
      <c r="CO48" t="inlineStr"/>
      <c r="CP48" t="inlineStr"/>
      <c r="CQ48" t="inlineStr"/>
      <c r="CR48" t="inlineStr"/>
      <c r="CS48" t="inlineStr"/>
      <c r="CT48" t="inlineStr"/>
      <c r="CU48" t="inlineStr"/>
      <c r="CV48" t="inlineStr"/>
      <c r="CW48" t="inlineStr"/>
      <c r="CX48" t="inlineStr"/>
      <c r="CY48" t="inlineStr"/>
      <c r="CZ48" t="inlineStr"/>
      <c r="DA48" t="inlineStr"/>
      <c r="DB48" t="inlineStr"/>
      <c r="DC48" t="inlineStr"/>
      <c r="DD48" t="inlineStr"/>
      <c r="DE48" t="inlineStr"/>
      <c r="DF48" t="inlineStr"/>
      <c r="DG48" t="inlineStr"/>
      <c r="DH48" t="inlineStr"/>
      <c r="DI48" t="inlineStr"/>
      <c r="DJ48" t="inlineStr"/>
      <c r="DK48" t="inlineStr"/>
      <c r="DL48" t="inlineStr"/>
      <c r="DM48" t="inlineStr"/>
      <c r="DN48" t="inlineStr"/>
      <c r="DO48" t="inlineStr"/>
      <c r="DP48" t="inlineStr"/>
      <c r="DQ48" t="inlineStr"/>
      <c r="DR48" t="inlineStr"/>
      <c r="DS48" t="inlineStr"/>
      <c r="DT48" t="inlineStr"/>
      <c r="DU48" t="inlineStr"/>
      <c r="DV48" t="inlineStr"/>
      <c r="DW48" t="inlineStr"/>
      <c r="DX48" t="inlineStr"/>
      <c r="DY48" t="inlineStr"/>
      <c r="DZ48" t="inlineStr"/>
      <c r="EA48" t="inlineStr"/>
      <c r="EB48" t="inlineStr"/>
      <c r="EC48" t="inlineStr"/>
      <c r="ED48" t="inlineStr"/>
      <c r="EE48" t="inlineStr"/>
      <c r="EF48" t="inlineStr"/>
      <c r="EG48" t="inlineStr"/>
      <c r="EH48" t="inlineStr"/>
      <c r="EI48" t="inlineStr"/>
      <c r="EJ48" t="inlineStr"/>
      <c r="EK48" t="inlineStr"/>
      <c r="EL48" t="inlineStr"/>
      <c r="EM48" t="inlineStr"/>
      <c r="EN48" t="inlineStr"/>
      <c r="EO48" t="inlineStr"/>
      <c r="EP48" t="inlineStr"/>
      <c r="EQ48" t="inlineStr"/>
      <c r="ER48" t="inlineStr"/>
      <c r="ES48" t="inlineStr"/>
      <c r="ET48" t="inlineStr"/>
      <c r="EU48" t="inlineStr"/>
      <c r="EV48" t="inlineStr"/>
      <c r="EW48" t="inlineStr"/>
      <c r="EX48" t="inlineStr"/>
      <c r="EY48" t="inlineStr"/>
      <c r="EZ48" t="inlineStr"/>
      <c r="FA48" t="inlineStr"/>
      <c r="FB48" t="inlineStr"/>
      <c r="FC48" t="inlineStr"/>
      <c r="FD48" t="inlineStr"/>
      <c r="FE48" t="inlineStr"/>
      <c r="FF48" t="inlineStr"/>
      <c r="FG48" t="inlineStr"/>
      <c r="FH48" t="inlineStr"/>
      <c r="FI48" t="inlineStr"/>
      <c r="FJ48" t="inlineStr"/>
      <c r="FK48" t="inlineStr"/>
      <c r="FL48" t="inlineStr"/>
      <c r="FM48" t="inlineStr"/>
      <c r="FN48" t="inlineStr"/>
      <c r="FO48" t="inlineStr"/>
      <c r="FP48" t="inlineStr"/>
      <c r="FQ48" t="inlineStr"/>
      <c r="FR48" t="inlineStr"/>
      <c r="FS48" t="inlineStr"/>
      <c r="FT48" t="inlineStr"/>
      <c r="FU48" t="inlineStr"/>
      <c r="FV48" t="inlineStr"/>
      <c r="FW48" t="inlineStr"/>
      <c r="FX48" t="inlineStr"/>
      <c r="FY48" t="inlineStr"/>
      <c r="FZ48" t="inlineStr"/>
      <c r="GA48" t="inlineStr"/>
      <c r="GB48" t="inlineStr"/>
      <c r="GC48" t="inlineStr"/>
      <c r="GD48" t="inlineStr"/>
      <c r="GE48" t="inlineStr"/>
      <c r="GF48" t="inlineStr"/>
      <c r="GG48" t="inlineStr"/>
      <c r="GH48" t="inlineStr"/>
      <c r="GI48" t="inlineStr"/>
      <c r="GJ48" t="inlineStr"/>
      <c r="GK48" t="inlineStr"/>
      <c r="GL48" t="inlineStr"/>
      <c r="GM48" t="inlineStr"/>
      <c r="GN48" t="inlineStr"/>
      <c r="GO48" t="inlineStr"/>
      <c r="GP48" t="inlineStr"/>
      <c r="GQ48" t="inlineStr"/>
      <c r="GR48" t="inlineStr"/>
      <c r="GS48" t="inlineStr"/>
      <c r="GT48" t="inlineStr"/>
      <c r="GU48" t="inlineStr"/>
      <c r="GV48" t="inlineStr"/>
      <c r="GW48" t="inlineStr"/>
      <c r="GX48" t="inlineStr"/>
      <c r="GY48" t="inlineStr"/>
      <c r="GZ48" t="inlineStr"/>
      <c r="HA48" t="inlineStr"/>
      <c r="HB48" t="inlineStr"/>
      <c r="HC48" t="inlineStr"/>
      <c r="HD48" t="inlineStr"/>
      <c r="HE48" t="inlineStr"/>
      <c r="HF48" t="inlineStr"/>
      <c r="HG48" t="inlineStr"/>
      <c r="HH48" t="inlineStr"/>
      <c r="HI48" t="inlineStr"/>
      <c r="HJ48" t="inlineStr"/>
      <c r="HK48" t="inlineStr"/>
      <c r="HL48" t="inlineStr"/>
      <c r="HM48" t="inlineStr"/>
      <c r="HN48" t="inlineStr"/>
      <c r="HO48" t="inlineStr"/>
      <c r="HP48" t="inlineStr"/>
      <c r="HQ48" t="inlineStr"/>
      <c r="HR48" t="inlineStr"/>
      <c r="HS48" t="inlineStr"/>
      <c r="HT48" t="inlineStr"/>
      <c r="HU48" t="inlineStr"/>
      <c r="HV48" t="inlineStr"/>
      <c r="HW48" t="inlineStr"/>
      <c r="HX48" t="inlineStr"/>
      <c r="HY48" t="inlineStr"/>
      <c r="HZ48" t="inlineStr"/>
      <c r="IA48" t="inlineStr"/>
      <c r="IB48" t="inlineStr"/>
      <c r="IC48" t="inlineStr"/>
      <c r="ID48" t="inlineStr"/>
      <c r="IE48" t="inlineStr"/>
      <c r="IF48" t="inlineStr"/>
      <c r="IG48" t="inlineStr"/>
      <c r="IH48" t="inlineStr"/>
      <c r="II48" t="inlineStr"/>
      <c r="IJ48" t="inlineStr"/>
      <c r="IK48" t="inlineStr"/>
      <c r="IL48" t="inlineStr"/>
      <c r="IM48" t="inlineStr"/>
      <c r="IN48" t="inlineStr"/>
      <c r="IO48" t="inlineStr"/>
      <c r="IP48" t="inlineStr"/>
      <c r="IQ48" t="inlineStr"/>
      <c r="IR48" t="inlineStr"/>
      <c r="IS48">
        <f>IF(input_content_type="",FALSE,ISNUMBER(SEARCH(","&amp;LOWER(input_content_type)&amp;",",","&amp;LOWER(F48)&amp;",")))</f>
        <v/>
      </c>
      <c r="IT48">
        <f>AND(IF(M48="",TRUE,IF(input_affiliations="",FALSE,SUMPRODUCT(--ISNUMBER(SEARCH(","&amp;TRIM(TEXTSPLIT(M48,","))&amp;",",","&amp;SUBSTITUTE(input_affiliations," ","")&amp;",")))&gt;0)),IF(O48="",TRUE,IF(input_affiliations="",FALSE,SUMPRODUCT(--ISNUMBER(SEARCH(","&amp;TRIM(TEXTSPLIT(O48,","))&amp;",",","&amp;SUBSTITUTE(input_affiliations," ","")&amp;",")))=COUNTA(TEXTSPLIT(O48,",")))),IF(Q48="",TRUE,IF(input_affiliations="",TRUE,SUMPRODUCT(--ISNUMBER(SEARCH(","&amp;TRIM(TEXTSPLIT(Q48,","))&amp;",",","&amp;SUBSTITUTE(input_affiliations," ","")&amp;",")))=0)),IF(S48="",TRUE,IF(input_affiliations="",FALSE,SUMPRODUCT(--ISNUMBER(SEARCH(","&amp;TRIM(TEXTSPLIT(S48,","))&amp;",",","&amp;SUBSTITUTE(input_affiliations," ","")&amp;",")))&gt;0)),IF(U48="",TRUE,IF(input_affiliations="",FALSE,SUMPRODUCT(--ISNUMBER(SEARCH(","&amp;TRIM(TEXTSPLIT(U48,","))&amp;",",","&amp;SUBSTITUTE(input_affiliations," ","")&amp;",")))=COUNTA(TEXTSPLIT(U48,",")))))</f>
        <v/>
      </c>
      <c r="IU48">
        <f>AND(IF(W48="",TRUE,IF(input_announcement_category="",FALSE,SUMPRODUCT(--ISNUMBER(SEARCH(","&amp;TRIM(TEXTSPLIT(W48,","))&amp;",",","&amp;SUBSTITUTE(input_announcement_category," ","")&amp;",")))&gt;0)),IF(Y48="",TRUE,IF(input_announcement_category="",FALSE,SUMPRODUCT(--ISNUMBER(SEARCH(","&amp;TRIM(TEXTSPLIT(Y48,","))&amp;",",","&amp;SUBSTITUTE(input_announcement_category," ","")&amp;",")))=COUNTA(TEXTSPLIT(Y48,",")))),IF(AA48="",TRUE,IF(input_announcement_category="",TRUE,SUMPRODUCT(--ISNUMBER(SEARCH(","&amp;TRIM(TEXTSPLIT(AA48,","))&amp;",",","&amp;SUBSTITUTE(input_announcement_category," ","")&amp;",")))=0)),IF(AC48="",TRUE,IF(input_announcement_category="",FALSE,SUMPRODUCT(--ISNUMBER(SEARCH(","&amp;TRIM(TEXTSPLIT(AC48,","))&amp;",",","&amp;SUBSTITUTE(input_announcement_category," ","")&amp;",")))&gt;0)),IF(AE48="",TRUE,IF(input_announcement_category="",FALSE,SUMPRODUCT(--ISNUMBER(SEARCH(","&amp;TRIM(TEXTSPLIT(AE48,","))&amp;",",","&amp;SUBSTITUTE(input_announcement_category," ","")&amp;",")))=COUNTA(TEXTSPLIT(AE48,",")))))</f>
        <v/>
      </c>
      <c r="IV48">
        <f>AND(IF(AG48="",TRUE,IF(input_area_of_focus="",FALSE,SUMPRODUCT(--ISNUMBER(SEARCH(","&amp;TRIM(TEXTSPLIT(AG48,","))&amp;",",","&amp;SUBSTITUTE(input_area_of_focus," ","")&amp;",")))&gt;0)),IF(AI48="",TRUE,IF(input_area_of_focus="",FALSE,SUMPRODUCT(--ISNUMBER(SEARCH(","&amp;TRIM(TEXTSPLIT(AI48,","))&amp;",",","&amp;SUBSTITUTE(input_area_of_focus," ","")&amp;",")))=COUNTA(TEXTSPLIT(AI48,",")))),IF(AK48="",TRUE,IF(input_area_of_focus="",TRUE,SUMPRODUCT(--ISNUMBER(SEARCH(","&amp;TRIM(TEXTSPLIT(AK48,","))&amp;",",","&amp;SUBSTITUTE(input_area_of_focus," ","")&amp;",")))=0)),IF(AM48="",TRUE,IF(input_area_of_focus="",FALSE,SUMPRODUCT(--ISNUMBER(SEARCH(","&amp;TRIM(TEXTSPLIT(AM48,","))&amp;",",","&amp;SUBSTITUTE(input_area_of_focus," ","")&amp;",")))&gt;0)),IF(AO48="",TRUE,IF(input_area_of_focus="",FALSE,SUMPRODUCT(--ISNUMBER(SEARCH(","&amp;TRIM(TEXTSPLIT(AO48,","))&amp;",",","&amp;SUBSTITUTE(input_area_of_focus," ","")&amp;",")))=COUNTA(TEXTSPLIT(AO48,",")))))</f>
        <v/>
      </c>
      <c r="IW48">
        <f>AND(IF(AQ48="",TRUE,IF(input_audience="",FALSE,SUMPRODUCT(--ISNUMBER(SEARCH(","&amp;TRIM(TEXTSPLIT(AQ48,","))&amp;",",","&amp;SUBSTITUTE(input_audience," ","")&amp;",")))&gt;0)),IF(AS48="",TRUE,IF(input_audience="",FALSE,SUMPRODUCT(--ISNUMBER(SEARCH(","&amp;TRIM(TEXTSPLIT(AS48,","))&amp;",",","&amp;SUBSTITUTE(input_audience," ","")&amp;",")))=COUNTA(TEXTSPLIT(AS48,",")))),IF(AU48="",TRUE,IF(input_audience="",TRUE,SUMPRODUCT(--ISNUMBER(SEARCH(","&amp;TRIM(TEXTSPLIT(AU48,","))&amp;",",","&amp;SUBSTITUTE(input_audience," ","")&amp;",")))=0)),IF(AW48="",TRUE,IF(input_audience="",FALSE,SUMPRODUCT(--ISNUMBER(SEARCH(","&amp;TRIM(TEXTSPLIT(AW48,","))&amp;",",","&amp;SUBSTITUTE(input_audience," ","")&amp;",")))&gt;0)),IF(AY48="",TRUE,IF(input_audience="",FALSE,SUMPRODUCT(--ISNUMBER(SEARCH(","&amp;TRIM(TEXTSPLIT(AY48,","))&amp;",",","&amp;SUBSTITUTE(input_audience," ","")&amp;",")))=COUNTA(TEXTSPLIT(AY48,",")))))</f>
        <v/>
      </c>
      <c r="IX48">
        <f>AND(IF(BA48="",TRUE,IF(input_challenge_opportunities="",FALSE,SUMPRODUCT(--ISNUMBER(SEARCH(","&amp;TRIM(TEXTSPLIT(BA48,","))&amp;",",","&amp;SUBSTITUTE(input_challenge_opportunities," ","")&amp;",")))&gt;0)),IF(BC48="",TRUE,IF(input_challenge_opportunities="",FALSE,SUMPRODUCT(--ISNUMBER(SEARCH(","&amp;TRIM(TEXTSPLIT(BC48,","))&amp;",",","&amp;SUBSTITUTE(input_challenge_opportunities," ","")&amp;",")))=COUNTA(TEXTSPLIT(BC48,",")))),IF(BE48="",TRUE,IF(input_challenge_opportunities="",TRUE,SUMPRODUCT(--ISNUMBER(SEARCH(","&amp;TRIM(TEXTSPLIT(BE48,","))&amp;",",","&amp;SUBSTITUTE(input_challenge_opportunities," ","")&amp;",")))=0)),IF(BG48="",TRUE,IF(input_challenge_opportunities="",FALSE,SUMPRODUCT(--ISNUMBER(SEARCH(","&amp;TRIM(TEXTSPLIT(BG48,","))&amp;",",","&amp;SUBSTITUTE(input_challenge_opportunities," ","")&amp;",")))&gt;0)),IF(BI48="",TRUE,IF(input_challenge_opportunities="",FALSE,SUMPRODUCT(--ISNUMBER(SEARCH(","&amp;TRIM(TEXTSPLIT(BI48,","))&amp;",",","&amp;SUBSTITUTE(input_challenge_opportunities," ","")&amp;",")))=COUNTA(TEXTSPLIT(BI48,",")))))</f>
        <v/>
      </c>
      <c r="IY48">
        <f>AND(IF(BK48="",TRUE,IF(input_context="",FALSE,SUMPRODUCT(--ISNUMBER(SEARCH(","&amp;TRIM(TEXTSPLIT(BK48,","))&amp;",",","&amp;SUBSTITUTE(input_context," ","")&amp;",")))&gt;0)),IF(BM48="",TRUE,IF(input_context="",FALSE,SUMPRODUCT(--ISNUMBER(SEARCH(","&amp;TRIM(TEXTSPLIT(BM48,","))&amp;",",","&amp;SUBSTITUTE(input_context," ","")&amp;",")))=COUNTA(TEXTSPLIT(BM48,",")))),IF(BO48="",TRUE,IF(input_context="",TRUE,SUMPRODUCT(--ISNUMBER(SEARCH(","&amp;TRIM(TEXTSPLIT(BO48,","))&amp;",",","&amp;SUBSTITUTE(input_context," ","")&amp;",")))=0)),IF(BQ48="",TRUE,IF(input_context="",FALSE,SUMPRODUCT(--ISNUMBER(SEARCH(","&amp;TRIM(TEXTSPLIT(BQ48,","))&amp;",",","&amp;SUBSTITUTE(input_context," ","")&amp;",")))&gt;0)),IF(BS48="",TRUE,IF(input_context="",FALSE,SUMPRODUCT(--ISNUMBER(SEARCH(","&amp;TRIM(TEXTSPLIT(BS48,","))&amp;",",","&amp;SUBSTITUTE(input_context," ","")&amp;",")))=COUNTA(TEXTSPLIT(BS48,",")))))</f>
        <v/>
      </c>
      <c r="IZ48">
        <f>AND(IF(BU48="",TRUE,IF(input_enews_announcement_type="",FALSE,SUMPRODUCT(--ISNUMBER(SEARCH(","&amp;TRIM(TEXTSPLIT(BU48,","))&amp;",",","&amp;SUBSTITUTE(input_enews_announcement_type," ","")&amp;",")))&gt;0)),IF(BW48="",TRUE,IF(input_enews_announcement_type="",FALSE,SUMPRODUCT(--ISNUMBER(SEARCH(","&amp;TRIM(TEXTSPLIT(BW48,","))&amp;",",","&amp;SUBSTITUTE(input_enews_announcement_type," ","")&amp;",")))=COUNTA(TEXTSPLIT(BW48,",")))),IF(BY48="",TRUE,IF(input_enews_announcement_type="",TRUE,SUMPRODUCT(--ISNUMBER(SEARCH(","&amp;TRIM(TEXTSPLIT(BY48,","))&amp;",",","&amp;SUBSTITUTE(input_enews_announcement_type," ","")&amp;",")))=0)),IF(CA48="",TRUE,IF(input_enews_announcement_type="",FALSE,SUMPRODUCT(--ISNUMBER(SEARCH(","&amp;TRIM(TEXTSPLIT(CA48,","))&amp;",",","&amp;SUBSTITUTE(input_enews_announcement_type," ","")&amp;",")))&gt;0)),IF(CC48="",TRUE,IF(input_enews_announcement_type="",FALSE,SUMPRODUCT(--ISNUMBER(SEARCH(","&amp;TRIM(TEXTSPLIT(CC48,","))&amp;",",","&amp;SUBSTITUTE(input_enews_announcement_type," ","")&amp;",")))=COUNTA(TEXTSPLIT(CC48,",")))))</f>
        <v/>
      </c>
      <c r="JA48">
        <f>AND(IF(CE48="",TRUE,IF(input_enews_audience="",FALSE,SUMPRODUCT(--ISNUMBER(SEARCH(","&amp;TRIM(TEXTSPLIT(CE48,","))&amp;",",","&amp;SUBSTITUTE(input_enews_audience," ","")&amp;",")))&gt;0)),IF(CG48="",TRUE,IF(input_enews_audience="",FALSE,SUMPRODUCT(--ISNUMBER(SEARCH(","&amp;TRIM(TEXTSPLIT(CG48,","))&amp;",",","&amp;SUBSTITUTE(input_enews_audience," ","")&amp;",")))=COUNTA(TEXTSPLIT(CG48,",")))),IF(CI48="",TRUE,IF(input_enews_audience="",TRUE,SUMPRODUCT(--ISNUMBER(SEARCH(","&amp;TRIM(TEXTSPLIT(CI48,","))&amp;",",","&amp;SUBSTITUTE(input_enews_audience," ","")&amp;",")))=0)),IF(CK48="",TRUE,IF(input_enews_audience="",FALSE,SUMPRODUCT(--ISNUMBER(SEARCH(","&amp;TRIM(TEXTSPLIT(CK48,","))&amp;",",","&amp;SUBSTITUTE(input_enews_audience," ","")&amp;",")))&gt;0)),IF(CM48="",TRUE,IF(input_enews_audience="",FALSE,SUMPRODUCT(--ISNUMBER(SEARCH(","&amp;TRIM(TEXTSPLIT(CM48,","))&amp;",",","&amp;SUBSTITUTE(input_enews_audience," ","")&amp;",")))=COUNTA(TEXTSPLIT(CM48,",")))))</f>
        <v/>
      </c>
      <c r="JB48">
        <f>AND(IF(CO48="",TRUE,IF(input_event_location="",FALSE,SUMPRODUCT(--ISNUMBER(SEARCH(","&amp;TRIM(TEXTSPLIT(CO48,","))&amp;",",","&amp;SUBSTITUTE(input_event_location," ","")&amp;",")))&gt;0)),IF(CQ48="",TRUE,IF(input_event_location="",FALSE,SUMPRODUCT(--ISNUMBER(SEARCH(","&amp;TRIM(TEXTSPLIT(CQ48,","))&amp;",",","&amp;SUBSTITUTE(input_event_location," ","")&amp;",")))=COUNTA(TEXTSPLIT(CQ48,",")))),IF(CS48="",TRUE,IF(input_event_location="",TRUE,SUMPRODUCT(--ISNUMBER(SEARCH(","&amp;TRIM(TEXTSPLIT(CS48,","))&amp;",",","&amp;SUBSTITUTE(input_event_location," ","")&amp;",")))=0)),IF(CU48="",TRUE,IF(input_event_location="",FALSE,SUMPRODUCT(--ISNUMBER(SEARCH(","&amp;TRIM(TEXTSPLIT(CU48,","))&amp;",",","&amp;SUBSTITUTE(input_event_location," ","")&amp;",")))&gt;0)),IF(CW48="",TRUE,IF(input_event_location="",FALSE,SUMPRODUCT(--ISNUMBER(SEARCH(","&amp;TRIM(TEXTSPLIT(CW48,","))&amp;",",","&amp;SUBSTITUTE(input_event_location," ","")&amp;",")))=COUNTA(TEXTSPLIT(CW48,",")))))</f>
        <v/>
      </c>
      <c r="JC48">
        <f>AND(IF(CY48="",TRUE,IF(input_event_type="",FALSE,SUMPRODUCT(--ISNUMBER(SEARCH(","&amp;TRIM(TEXTSPLIT(CY48,","))&amp;",",","&amp;SUBSTITUTE(input_event_type," ","")&amp;",")))&gt;0)),IF(DA48="",TRUE,IF(input_event_type="",FALSE,SUMPRODUCT(--ISNUMBER(SEARCH(","&amp;TRIM(TEXTSPLIT(DA48,","))&amp;",",","&amp;SUBSTITUTE(input_event_type," ","")&amp;",")))=COUNTA(TEXTSPLIT(DA48,",")))),IF(DC48="",TRUE,IF(input_event_type="",TRUE,SUMPRODUCT(--ISNUMBER(SEARCH(","&amp;TRIM(TEXTSPLIT(DC48,","))&amp;",",","&amp;SUBSTITUTE(input_event_type," ","")&amp;",")))=0)),IF(DE48="",TRUE,IF(input_event_type="",FALSE,SUMPRODUCT(--ISNUMBER(SEARCH(","&amp;TRIM(TEXTSPLIT(DE48,","))&amp;",",","&amp;SUBSTITUTE(input_event_type," ","")&amp;",")))&gt;0)),IF(DG48="",TRUE,IF(input_event_type="",FALSE,SUMPRODUCT(--ISNUMBER(SEARCH(","&amp;TRIM(TEXTSPLIT(DG48,","))&amp;",",","&amp;SUBSTITUTE(input_event_type," ","")&amp;",")))=COUNTA(TEXTSPLIT(DG48,",")))))</f>
        <v/>
      </c>
      <c r="JD48">
        <f>AND(IF(DI48="",TRUE,IF(input_executive_education_focus="",FALSE,SUMPRODUCT(--ISNUMBER(SEARCH(","&amp;TRIM(TEXTSPLIT(DI48,","))&amp;",",","&amp;SUBSTITUTE(input_executive_education_focus," ","")&amp;",")))&gt;0)),IF(DK48="",TRUE,IF(input_executive_education_focus="",FALSE,SUMPRODUCT(--ISNUMBER(SEARCH(","&amp;TRIM(TEXTSPLIT(DK48,","))&amp;",",","&amp;SUBSTITUTE(input_executive_education_focus," ","")&amp;",")))=COUNTA(TEXTSPLIT(DK48,",")))),IF(DM48="",TRUE,IF(input_executive_education_focus="",TRUE,SUMPRODUCT(--ISNUMBER(SEARCH(","&amp;TRIM(TEXTSPLIT(DM48,","))&amp;",",","&amp;SUBSTITUTE(input_executive_education_focus," ","")&amp;",")))=0)),IF(DO48="",TRUE,IF(input_executive_education_focus="",FALSE,SUMPRODUCT(--ISNUMBER(SEARCH(","&amp;TRIM(TEXTSPLIT(DO48,","))&amp;",",","&amp;SUBSTITUTE(input_executive_education_focus," ","")&amp;",")))&gt;0)),IF(DQ48="",TRUE,IF(input_executive_education_focus="",FALSE,SUMPRODUCT(--ISNUMBER(SEARCH(","&amp;TRIM(TEXTSPLIT(DQ48,","))&amp;",",","&amp;SUBSTITUTE(input_executive_education_focus," ","")&amp;",")))=COUNTA(TEXTSPLIT(DQ48,",")))))</f>
        <v/>
      </c>
      <c r="JE48">
        <f>AND(IF(DS48="",TRUE,IF(input_faculty_category="",FALSE,SUMPRODUCT(--ISNUMBER(SEARCH(","&amp;TRIM(TEXTSPLIT(DS48,","))&amp;",",","&amp;SUBSTITUTE(input_faculty_category," ","")&amp;",")))&gt;0)),IF(DU48="",TRUE,IF(input_faculty_category="",FALSE,SUMPRODUCT(--ISNUMBER(SEARCH(","&amp;TRIM(TEXTSPLIT(DU48,","))&amp;",",","&amp;SUBSTITUTE(input_faculty_category," ","")&amp;",")))=COUNTA(TEXTSPLIT(DU48,",")))),IF(DW48="",TRUE,IF(input_faculty_category="",TRUE,SUMPRODUCT(--ISNUMBER(SEARCH(","&amp;TRIM(TEXTSPLIT(DW48,","))&amp;",",","&amp;SUBSTITUTE(input_faculty_category," ","")&amp;",")))=0)),IF(DY48="",TRUE,IF(input_faculty_category="",FALSE,SUMPRODUCT(--ISNUMBER(SEARCH(","&amp;TRIM(TEXTSPLIT(DY48,","))&amp;",",","&amp;SUBSTITUTE(input_faculty_category," ","")&amp;",")))&gt;0)),IF(EA48="",TRUE,IF(input_faculty_category="",FALSE,SUMPRODUCT(--ISNUMBER(SEARCH(","&amp;TRIM(TEXTSPLIT(EA48,","))&amp;",",","&amp;SUBSTITUTE(input_faculty_category," ","")&amp;",")))=COUNTA(TEXTSPLIT(EA48,",")))))</f>
        <v/>
      </c>
      <c r="JF48">
        <f>AND(IF(EC48="",TRUE,IF(input_faculty_discipline="",FALSE,SUMPRODUCT(--ISNUMBER(SEARCH(","&amp;TRIM(TEXTSPLIT(EC48,","))&amp;",",","&amp;SUBSTITUTE(input_faculty_discipline," ","")&amp;",")))&gt;0)),IF(EE48="",TRUE,IF(input_faculty_discipline="",FALSE,SUMPRODUCT(--ISNUMBER(SEARCH(","&amp;TRIM(TEXTSPLIT(EE48,","))&amp;",",","&amp;SUBSTITUTE(input_faculty_discipline," ","")&amp;",")))=COUNTA(TEXTSPLIT(EE48,",")))),IF(EG48="",TRUE,IF(input_faculty_discipline="",TRUE,SUMPRODUCT(--ISNUMBER(SEARCH(","&amp;TRIM(TEXTSPLIT(EG48,","))&amp;",",","&amp;SUBSTITUTE(input_faculty_discipline," ","")&amp;",")))=0)),IF(EI48="",TRUE,IF(input_faculty_discipline="",FALSE,SUMPRODUCT(--ISNUMBER(SEARCH(","&amp;TRIM(TEXTSPLIT(EI48,","))&amp;",",","&amp;SUBSTITUTE(input_faculty_discipline," ","")&amp;",")))&gt;0)),IF(EK48="",TRUE,IF(input_faculty_discipline="",FALSE,SUMPRODUCT(--ISNUMBER(SEARCH(","&amp;TRIM(TEXTSPLIT(EK48,","))&amp;",",","&amp;SUBSTITUTE(input_faculty_discipline," ","")&amp;",")))=COUNTA(TEXTSPLIT(EK48,",")))))</f>
        <v/>
      </c>
      <c r="JG48">
        <f>AND(IF(EM48="",TRUE,IF(input_faculty_expertise="",FALSE,SUMPRODUCT(--ISNUMBER(SEARCH(","&amp;TRIM(TEXTSPLIT(EM48,","))&amp;",",","&amp;SUBSTITUTE(input_faculty_expertise," ","")&amp;",")))&gt;0)),IF(EO48="",TRUE,IF(input_faculty_expertise="",FALSE,SUMPRODUCT(--ISNUMBER(SEARCH(","&amp;TRIM(TEXTSPLIT(EO48,","))&amp;",",","&amp;SUBSTITUTE(input_faculty_expertise," ","")&amp;",")))=COUNTA(TEXTSPLIT(EO48,",")))),IF(EQ48="",TRUE,IF(input_faculty_expertise="",TRUE,SUMPRODUCT(--ISNUMBER(SEARCH(","&amp;TRIM(TEXTSPLIT(EQ48,","))&amp;",",","&amp;SUBSTITUTE(input_faculty_expertise," ","")&amp;",")))=0)),IF(ES48="",TRUE,IF(input_faculty_expertise="",FALSE,SUMPRODUCT(--ISNUMBER(SEARCH(","&amp;TRIM(TEXTSPLIT(ES48,","))&amp;",",","&amp;SUBSTITUTE(input_faculty_expertise," ","")&amp;",")))&gt;0)),IF(EU48="",TRUE,IF(input_faculty_expertise="",FALSE,SUMPRODUCT(--ISNUMBER(SEARCH(","&amp;TRIM(TEXTSPLIT(EU48,","))&amp;",",","&amp;SUBSTITUTE(input_faculty_expertise," ","")&amp;",")))=COUNTA(TEXTSPLIT(EU48,",")))))</f>
        <v/>
      </c>
      <c r="JH48">
        <f>AND(IF(EW48="",TRUE,IF(input_global_network_school="",FALSE,SUMPRODUCT(--ISNUMBER(SEARCH(","&amp;TRIM(TEXTSPLIT(EW48,","))&amp;",",","&amp;SUBSTITUTE(input_global_network_school," ","")&amp;",")))&gt;0)),IF(EY48="",TRUE,IF(input_global_network_school="",FALSE,SUMPRODUCT(--ISNUMBER(SEARCH(","&amp;TRIM(TEXTSPLIT(EY48,","))&amp;",",","&amp;SUBSTITUTE(input_global_network_school," ","")&amp;",")))=COUNTA(TEXTSPLIT(EY48,",")))),IF(FA48="",TRUE,IF(input_global_network_school="",TRUE,SUMPRODUCT(--ISNUMBER(SEARCH(","&amp;TRIM(TEXTSPLIT(FA48,","))&amp;",",","&amp;SUBSTITUTE(input_global_network_school," ","")&amp;",")))=0)),IF(FC48="",TRUE,IF(input_global_network_school="",FALSE,SUMPRODUCT(--ISNUMBER(SEARCH(","&amp;TRIM(TEXTSPLIT(FC48,","))&amp;",",","&amp;SUBSTITUTE(input_global_network_school," ","")&amp;",")))&gt;0)),IF(FE48="",TRUE,IF(input_global_network_school="",FALSE,SUMPRODUCT(--ISNUMBER(SEARCH(","&amp;TRIM(TEXTSPLIT(FE48,","))&amp;",",","&amp;SUBSTITUTE(input_global_network_school," ","")&amp;",")))=COUNTA(TEXTSPLIT(FE48,",")))))</f>
        <v/>
      </c>
      <c r="JI48">
        <f>AND(IF(FG48="",TRUE,IF(input_industry="",FALSE,SUMPRODUCT(--ISNUMBER(SEARCH(","&amp;TRIM(TEXTSPLIT(FG48,","))&amp;",",","&amp;SUBSTITUTE(input_industry," ","")&amp;",")))&gt;0)),IF(FI48="",TRUE,IF(input_industry="",FALSE,SUMPRODUCT(--ISNUMBER(SEARCH(","&amp;TRIM(TEXTSPLIT(FI48,","))&amp;",",","&amp;SUBSTITUTE(input_industry," ","")&amp;",")))=COUNTA(TEXTSPLIT(FI48,",")))),IF(FK48="",TRUE,IF(input_industry="",TRUE,SUMPRODUCT(--ISNUMBER(SEARCH(","&amp;TRIM(TEXTSPLIT(FK48,","))&amp;",",","&amp;SUBSTITUTE(input_industry," ","")&amp;",")))=0)),IF(FM48="",TRUE,IF(input_industry="",FALSE,SUMPRODUCT(--ISNUMBER(SEARCH(","&amp;TRIM(TEXTSPLIT(FM48,","))&amp;",",","&amp;SUBSTITUTE(input_industry," ","")&amp;",")))&gt;0)),IF(FO48="",TRUE,IF(input_industry="",FALSE,SUMPRODUCT(--ISNUMBER(SEARCH(","&amp;TRIM(TEXTSPLIT(FO48,","))&amp;",",","&amp;SUBSTITUTE(input_industry," ","")&amp;",")))=COUNTA(TEXTSPLIT(FO48,",")))))</f>
        <v/>
      </c>
      <c r="JJ48">
        <f>AND(IF(FQ48="",TRUE,IF(input_location="",FALSE,SUMPRODUCT(--ISNUMBER(SEARCH(","&amp;TRIM(TEXTSPLIT(FQ48,","))&amp;",",","&amp;SUBSTITUTE(input_location," ","")&amp;",")))&gt;0)),IF(FS48="",TRUE,IF(input_location="",FALSE,SUMPRODUCT(--ISNUMBER(SEARCH(","&amp;TRIM(TEXTSPLIT(FS48,","))&amp;",",","&amp;SUBSTITUTE(input_location," ","")&amp;",")))=COUNTA(TEXTSPLIT(FS48,",")))),IF(FU48="",TRUE,IF(input_location="",TRUE,SUMPRODUCT(--ISNUMBER(SEARCH(","&amp;TRIM(TEXTSPLIT(FU48,","))&amp;",",","&amp;SUBSTITUTE(input_location," ","")&amp;",")))=0)),IF(FW48="",TRUE,IF(input_location="",FALSE,SUMPRODUCT(--ISNUMBER(SEARCH(","&amp;TRIM(TEXTSPLIT(FW48,","))&amp;",",","&amp;SUBSTITUTE(input_location," ","")&amp;",")))&gt;0)),IF(FY48="",TRUE,IF(input_location="",FALSE,SUMPRODUCT(--ISNUMBER(SEARCH(","&amp;TRIM(TEXTSPLIT(FY48,","))&amp;",",","&amp;SUBSTITUTE(input_location," ","")&amp;",")))=COUNTA(TEXTSPLIT(FY48,",")))))</f>
        <v/>
      </c>
      <c r="JK48">
        <f>AND(IF(GA48="",TRUE,IF(input_modality="",FALSE,SUMPRODUCT(--ISNUMBER(SEARCH(","&amp;TRIM(TEXTSPLIT(GA48,","))&amp;",",","&amp;SUBSTITUTE(input_modality," ","")&amp;",")))&gt;0)),IF(GC48="",TRUE,IF(input_modality="",FALSE,SUMPRODUCT(--ISNUMBER(SEARCH(","&amp;TRIM(TEXTSPLIT(GC48,","))&amp;",",","&amp;SUBSTITUTE(input_modality," ","")&amp;",")))=COUNTA(TEXTSPLIT(GC48,",")))),IF(GE48="",TRUE,IF(input_modality="",TRUE,SUMPRODUCT(--ISNUMBER(SEARCH(","&amp;TRIM(TEXTSPLIT(GE48,","))&amp;",",","&amp;SUBSTITUTE(input_modality," ","")&amp;",")))=0)),IF(GG48="",TRUE,IF(input_modality="",FALSE,SUMPRODUCT(--ISNUMBER(SEARCH(","&amp;TRIM(TEXTSPLIT(GG48,","))&amp;",",","&amp;SUBSTITUTE(input_modality," ","")&amp;",")))&gt;0)),IF(GI48="",TRUE,IF(input_modality="",FALSE,SUMPRODUCT(--ISNUMBER(SEARCH(","&amp;TRIM(TEXTSPLIT(GI48,","))&amp;",",","&amp;SUBSTITUTE(input_modality," ","")&amp;",")))=COUNTA(TEXTSPLIT(GI48,",")))))</f>
        <v/>
      </c>
      <c r="JL48">
        <f>AND(IF(GK48="",TRUE,IF(input_organizer="",FALSE,SUMPRODUCT(--ISNUMBER(SEARCH(","&amp;TRIM(TEXTSPLIT(GK48,","))&amp;",",","&amp;SUBSTITUTE(input_organizer," ","")&amp;",")))&gt;0)),IF(GM48="",TRUE,IF(input_organizer="",FALSE,SUMPRODUCT(--ISNUMBER(SEARCH(","&amp;TRIM(TEXTSPLIT(GM48,","))&amp;",",","&amp;SUBSTITUTE(input_organizer," ","")&amp;",")))=COUNTA(TEXTSPLIT(GM48,",")))),IF(GO48="",TRUE,IF(input_organizer="",TRUE,SUMPRODUCT(--ISNUMBER(SEARCH(","&amp;TRIM(TEXTSPLIT(GO48,","))&amp;",",","&amp;SUBSTITUTE(input_organizer," ","")&amp;",")))=0)),IF(GQ48="",TRUE,IF(input_organizer="",FALSE,SUMPRODUCT(--ISNUMBER(SEARCH(","&amp;TRIM(TEXTSPLIT(GQ48,","))&amp;",",","&amp;SUBSTITUTE(input_organizer," ","")&amp;",")))&gt;0)),IF(GS48="",TRUE,IF(input_organizer="",FALSE,SUMPRODUCT(--ISNUMBER(SEARCH(","&amp;TRIM(TEXTSPLIT(GS48,","))&amp;",",","&amp;SUBSTITUTE(input_organizer," ","")&amp;",")))=COUNTA(TEXTSPLIT(GS48,",")))))</f>
        <v/>
      </c>
      <c r="JM48">
        <f>AND(IF(GU48="",TRUE,IF(input_profile_type="",FALSE,SUMPRODUCT(--ISNUMBER(SEARCH(","&amp;TRIM(TEXTSPLIT(GU48,","))&amp;",",","&amp;SUBSTITUTE(input_profile_type," ","")&amp;",")))&gt;0)),IF(GW48="",TRUE,IF(input_profile_type="",FALSE,SUMPRODUCT(--ISNUMBER(SEARCH(","&amp;TRIM(TEXTSPLIT(GW48,","))&amp;",",","&amp;SUBSTITUTE(input_profile_type," ","")&amp;",")))=COUNTA(TEXTSPLIT(GW48,",")))),IF(GY48="",TRUE,IF(input_profile_type="",TRUE,SUMPRODUCT(--ISNUMBER(SEARCH(","&amp;TRIM(TEXTSPLIT(GY48,","))&amp;",",","&amp;SUBSTITUTE(input_profile_type," ","")&amp;",")))=0)),IF(HA48="",TRUE,IF(input_profile_type="",FALSE,SUMPRODUCT(--ISNUMBER(SEARCH(","&amp;TRIM(TEXTSPLIT(HA48,","))&amp;",",","&amp;SUBSTITUTE(input_profile_type," ","")&amp;",")))&gt;0)),IF(HC48="",TRUE,IF(input_profile_type="",FALSE,SUMPRODUCT(--ISNUMBER(SEARCH(","&amp;TRIM(TEXTSPLIT(HC48,","))&amp;",",","&amp;SUBSTITUTE(input_profile_type," ","")&amp;",")))=COUNTA(TEXTSPLIT(HC48,",")))))</f>
        <v/>
      </c>
      <c r="JN48">
        <f>AND(IF(HE48="",TRUE,IF(input_program="",FALSE,SUMPRODUCT(--ISNUMBER(SEARCH(","&amp;TRIM(TEXTSPLIT(HE48,","))&amp;",",","&amp;SUBSTITUTE(input_program," ","")&amp;",")))&gt;0)),IF(HG48="",TRUE,IF(input_program="",FALSE,SUMPRODUCT(--ISNUMBER(SEARCH(","&amp;TRIM(TEXTSPLIT(HG48,","))&amp;",",","&amp;SUBSTITUTE(input_program," ","")&amp;",")))=COUNTA(TEXTSPLIT(HG48,",")))),IF(HI48="",TRUE,IF(input_program="",TRUE,SUMPRODUCT(--ISNUMBER(SEARCH(","&amp;TRIM(TEXTSPLIT(HI48,","))&amp;",",","&amp;SUBSTITUTE(input_program," ","")&amp;",")))=0)),IF(HK48="",TRUE,IF(input_program="",FALSE,SUMPRODUCT(--ISNUMBER(SEARCH(","&amp;TRIM(TEXTSPLIT(HK48,","))&amp;",",","&amp;SUBSTITUTE(input_program," ","")&amp;",")))&gt;0)),IF(HM48="",TRUE,IF(input_program="",FALSE,SUMPRODUCT(--ISNUMBER(SEARCH(","&amp;TRIM(TEXTSPLIT(HM48,","))&amp;",",","&amp;SUBSTITUTE(input_program," ","")&amp;",")))=COUNTA(TEXTSPLIT(HM48,",")))))</f>
        <v/>
      </c>
      <c r="JO48">
        <f>AND(IF(HO48="",TRUE,IF(input_story_categories="",FALSE,SUMPRODUCT(--ISNUMBER(SEARCH(","&amp;TRIM(TEXTSPLIT(HO48,","))&amp;",",","&amp;SUBSTITUTE(input_story_categories," ","")&amp;",")))&gt;0)),IF(HQ48="",TRUE,IF(input_story_categories="",FALSE,SUMPRODUCT(--ISNUMBER(SEARCH(","&amp;TRIM(TEXTSPLIT(HQ48,","))&amp;",",","&amp;SUBSTITUTE(input_story_categories," ","")&amp;",")))=COUNTA(TEXTSPLIT(HQ48,",")))),IF(HS48="",TRUE,IF(input_story_categories="",TRUE,SUMPRODUCT(--ISNUMBER(SEARCH(","&amp;TRIM(TEXTSPLIT(HS48,","))&amp;",",","&amp;SUBSTITUTE(input_story_categories," ","")&amp;",")))=0)),IF(HU48="",TRUE,IF(input_story_categories="",FALSE,SUMPRODUCT(--ISNUMBER(SEARCH(","&amp;TRIM(TEXTSPLIT(HU48,","))&amp;",",","&amp;SUBSTITUTE(input_story_categories," ","")&amp;",")))&gt;0)),IF(HW48="",TRUE,IF(input_story_categories="",FALSE,SUMPRODUCT(--ISNUMBER(SEARCH(","&amp;TRIM(TEXTSPLIT(HW48,","))&amp;",",","&amp;SUBSTITUTE(input_story_categories," ","")&amp;",")))=COUNTA(TEXTSPLIT(HW48,",")))))</f>
        <v/>
      </c>
      <c r="JP48">
        <f>AND(IF(HY48="",TRUE,IF(input_story_type="",FALSE,SUMPRODUCT(--ISNUMBER(SEARCH(","&amp;TRIM(TEXTSPLIT(HY48,","))&amp;",",","&amp;SUBSTITUTE(input_story_type," ","")&amp;",")))&gt;0)),IF(IA48="",TRUE,IF(input_story_type="",FALSE,SUMPRODUCT(--ISNUMBER(SEARCH(","&amp;TRIM(TEXTSPLIT(IA48,","))&amp;",",","&amp;SUBSTITUTE(input_story_type," ","")&amp;",")))=COUNTA(TEXTSPLIT(IA48,",")))),IF(IC48="",TRUE,IF(input_story_type="",TRUE,SUMPRODUCT(--ISNUMBER(SEARCH(","&amp;TRIM(TEXTSPLIT(IC48,","))&amp;",",","&amp;SUBSTITUTE(input_story_type," ","")&amp;",")))=0)),IF(IE48="",TRUE,IF(input_story_type="",FALSE,SUMPRODUCT(--ISNUMBER(SEARCH(","&amp;TRIM(TEXTSPLIT(IE48,","))&amp;",",","&amp;SUBSTITUTE(input_story_type," ","")&amp;",")))&gt;0)),IF(IG48="",TRUE,IF(input_story_type="",FALSE,SUMPRODUCT(--ISNUMBER(SEARCH(","&amp;TRIM(TEXTSPLIT(IG48,","))&amp;",",","&amp;SUBSTITUTE(input_story_type," ","")&amp;",")))=COUNTA(TEXTSPLIT(IG48,",")))))</f>
        <v/>
      </c>
      <c r="JQ48">
        <f>AND(IF(II48="",TRUE,IF(input_topics="",FALSE,SUMPRODUCT(--ISNUMBER(SEARCH(","&amp;TRIM(TEXTSPLIT(II48,","))&amp;",",","&amp;SUBSTITUTE(input_topics," ","")&amp;",")))&gt;0)),IF(IK48="",TRUE,IF(input_topics="",FALSE,SUMPRODUCT(--ISNUMBER(SEARCH(","&amp;TRIM(TEXTSPLIT(IK48,","))&amp;",",","&amp;SUBSTITUTE(input_topics," ","")&amp;",")))=COUNTA(TEXTSPLIT(IK48,",")))),IF(IM48="",TRUE,IF(input_topics="",TRUE,SUMPRODUCT(--ISNUMBER(SEARCH(","&amp;TRIM(TEXTSPLIT(IM48,","))&amp;",",","&amp;SUBSTITUTE(input_topics," ","")&amp;",")))=0)),IF(IO48="",TRUE,IF(input_topics="",FALSE,SUMPRODUCT(--ISNUMBER(SEARCH(","&amp;TRIM(TEXTSPLIT(IO48,","))&amp;",",","&amp;SUBSTITUTE(input_topics," ","")&amp;",")))&gt;0)),IF(IQ48="",TRUE,IF(input_topics="",FALSE,SUMPRODUCT(--ISNUMBER(SEARCH(","&amp;TRIM(TEXTSPLIT(IQ48,","))&amp;",",","&amp;SUBSTITUTE(input_topics," ","")&amp;",")))=COUNTA(TEXTSPLIT(IQ48,",")))))</f>
        <v/>
      </c>
    </row>
    <row r="49">
      <c r="A49" s="4">
        <f>IF(NOT(IS49),"Excluded",IF(AND(IT49,IU49,IV49,IW49,IX49,IY49,IZ49,JA49,JB49,JC49,JD49,JE49,JF49,JG49,JH49,JI49,JJ49,JK49,JL49,JM49,JN49,JO49,JP49,JQ49),IF(I49&gt;0,"Eligible but limited","Will appear"),"Excluded"))</f>
        <v/>
      </c>
      <c r="B49" s="4" t="inlineStr">
        <is>
          <t>All Publications by Author</t>
        </is>
      </c>
      <c r="C49" s="4" t="inlineStr">
        <is>
          <t>/faculty-research/faculty-directory/shane-frederick</t>
        </is>
      </c>
      <c r="D49" s="4" t="inlineStr">
        <is>
          <t>/faculty-research/faculty-directory/shane-frederick</t>
        </is>
      </c>
      <c r="E49" s="4" t="n">
        <v>1</v>
      </c>
      <c r="F49" s="4" t="inlineStr">
        <is>
          <t>publications</t>
        </is>
      </c>
      <c r="G49" s="4" t="inlineStr">
        <is>
          <t>publication_teaser_list</t>
        </is>
      </c>
      <c r="H49" s="4" t="inlineStr">
        <is>
          <t>publication_teaser_list_all_by_author</t>
        </is>
      </c>
      <c r="I49" s="4" t="inlineStr"/>
      <c r="J49" s="4" t="inlineStr">
        <is>
          <t>View/config rules</t>
        </is>
      </c>
      <c r="K49" s="4" t="inlineStr">
        <is>
          <t>Page placement</t>
        </is>
      </c>
      <c r="L49" s="4" t="inlineStr">
        <is>
          <t>Content type: publications; Source: View/config rules</t>
        </is>
      </c>
      <c r="M49" t="inlineStr"/>
      <c r="N49" t="inlineStr"/>
      <c r="O49" t="inlineStr"/>
      <c r="P49" t="inlineStr"/>
      <c r="Q49" t="inlineStr"/>
      <c r="R49" t="inlineStr"/>
      <c r="S49" t="inlineStr"/>
      <c r="T49" t="inlineStr"/>
      <c r="U49" t="inlineStr"/>
      <c r="V49" t="inlineStr"/>
      <c r="W49" t="inlineStr"/>
      <c r="X49" t="inlineStr"/>
      <c r="Y49" t="inlineStr"/>
      <c r="Z49" t="inlineStr"/>
      <c r="AA49" t="inlineStr"/>
      <c r="AB49" t="inlineStr"/>
      <c r="AC49" t="inlineStr"/>
      <c r="AD49" t="inlineStr"/>
      <c r="AE49" t="inlineStr"/>
      <c r="AF49" t="inlineStr"/>
      <c r="AG49" t="inlineStr"/>
      <c r="AH49" t="inlineStr"/>
      <c r="AI49" t="inlineStr"/>
      <c r="AJ49" t="inlineStr"/>
      <c r="AK49" t="inlineStr"/>
      <c r="AL49" t="inlineStr"/>
      <c r="AM49" t="inlineStr"/>
      <c r="AN49" t="inlineStr"/>
      <c r="AO49" t="inlineStr"/>
      <c r="AP49" t="inlineStr"/>
      <c r="AQ49" t="inlineStr"/>
      <c r="AR49" t="inlineStr"/>
      <c r="AS49" t="inlineStr"/>
      <c r="AT49" t="inlineStr"/>
      <c r="AU49" t="inlineStr"/>
      <c r="AV49" t="inlineStr"/>
      <c r="AW49" t="inlineStr"/>
      <c r="AX49" t="inlineStr"/>
      <c r="AY49" t="inlineStr"/>
      <c r="AZ49" t="inlineStr"/>
      <c r="BA49" t="inlineStr"/>
      <c r="BB49" t="inlineStr"/>
      <c r="BC49" t="inlineStr"/>
      <c r="BD49" t="inlineStr"/>
      <c r="BE49" t="inlineStr"/>
      <c r="BF49" t="inlineStr"/>
      <c r="BG49" t="inlineStr"/>
      <c r="BH49" t="inlineStr"/>
      <c r="BI49" t="inlineStr"/>
      <c r="BJ49" t="inlineStr"/>
      <c r="BK49" t="inlineStr"/>
      <c r="BL49" t="inlineStr"/>
      <c r="BM49" t="inlineStr"/>
      <c r="BN49" t="inlineStr"/>
      <c r="BO49" t="inlineStr"/>
      <c r="BP49" t="inlineStr"/>
      <c r="BQ49" t="inlineStr"/>
      <c r="BR49" t="inlineStr"/>
      <c r="BS49" t="inlineStr"/>
      <c r="BT49" t="inlineStr"/>
      <c r="BU49" t="inlineStr"/>
      <c r="BV49" t="inlineStr"/>
      <c r="BW49" t="inlineStr"/>
      <c r="BX49" t="inlineStr"/>
      <c r="BY49" t="inlineStr"/>
      <c r="BZ49" t="inlineStr"/>
      <c r="CA49" t="inlineStr"/>
      <c r="CB49" t="inlineStr"/>
      <c r="CC49" t="inlineStr"/>
      <c r="CD49" t="inlineStr"/>
      <c r="CE49" t="inlineStr"/>
      <c r="CF49" t="inlineStr"/>
      <c r="CG49" t="inlineStr"/>
      <c r="CH49" t="inlineStr"/>
      <c r="CI49" t="inlineStr"/>
      <c r="CJ49" t="inlineStr"/>
      <c r="CK49" t="inlineStr"/>
      <c r="CL49" t="inlineStr"/>
      <c r="CM49" t="inlineStr"/>
      <c r="CN49" t="inlineStr"/>
      <c r="CO49" t="inlineStr"/>
      <c r="CP49" t="inlineStr"/>
      <c r="CQ49" t="inlineStr"/>
      <c r="CR49" t="inlineStr"/>
      <c r="CS49" t="inlineStr"/>
      <c r="CT49" t="inlineStr"/>
      <c r="CU49" t="inlineStr"/>
      <c r="CV49" t="inlineStr"/>
      <c r="CW49" t="inlineStr"/>
      <c r="CX49" t="inlineStr"/>
      <c r="CY49" t="inlineStr"/>
      <c r="CZ49" t="inlineStr"/>
      <c r="DA49" t="inlineStr"/>
      <c r="DB49" t="inlineStr"/>
      <c r="DC49" t="inlineStr"/>
      <c r="DD49" t="inlineStr"/>
      <c r="DE49" t="inlineStr"/>
      <c r="DF49" t="inlineStr"/>
      <c r="DG49" t="inlineStr"/>
      <c r="DH49" t="inlineStr"/>
      <c r="DI49" t="inlineStr"/>
      <c r="DJ49" t="inlineStr"/>
      <c r="DK49" t="inlineStr"/>
      <c r="DL49" t="inlineStr"/>
      <c r="DM49" t="inlineStr"/>
      <c r="DN49" t="inlineStr"/>
      <c r="DO49" t="inlineStr"/>
      <c r="DP49" t="inlineStr"/>
      <c r="DQ49" t="inlineStr"/>
      <c r="DR49" t="inlineStr"/>
      <c r="DS49" t="inlineStr"/>
      <c r="DT49" t="inlineStr"/>
      <c r="DU49" t="inlineStr"/>
      <c r="DV49" t="inlineStr"/>
      <c r="DW49" t="inlineStr"/>
      <c r="DX49" t="inlineStr"/>
      <c r="DY49" t="inlineStr"/>
      <c r="DZ49" t="inlineStr"/>
      <c r="EA49" t="inlineStr"/>
      <c r="EB49" t="inlineStr"/>
      <c r="EC49" t="inlineStr"/>
      <c r="ED49" t="inlineStr"/>
      <c r="EE49" t="inlineStr"/>
      <c r="EF49" t="inlineStr"/>
      <c r="EG49" t="inlineStr"/>
      <c r="EH49" t="inlineStr"/>
      <c r="EI49" t="inlineStr"/>
      <c r="EJ49" t="inlineStr"/>
      <c r="EK49" t="inlineStr"/>
      <c r="EL49" t="inlineStr"/>
      <c r="EM49" t="inlineStr"/>
      <c r="EN49" t="inlineStr"/>
      <c r="EO49" t="inlineStr"/>
      <c r="EP49" t="inlineStr"/>
      <c r="EQ49" t="inlineStr"/>
      <c r="ER49" t="inlineStr"/>
      <c r="ES49" t="inlineStr"/>
      <c r="ET49" t="inlineStr"/>
      <c r="EU49" t="inlineStr"/>
      <c r="EV49" t="inlineStr"/>
      <c r="EW49" t="inlineStr"/>
      <c r="EX49" t="inlineStr"/>
      <c r="EY49" t="inlineStr"/>
      <c r="EZ49" t="inlineStr"/>
      <c r="FA49" t="inlineStr"/>
      <c r="FB49" t="inlineStr"/>
      <c r="FC49" t="inlineStr"/>
      <c r="FD49" t="inlineStr"/>
      <c r="FE49" t="inlineStr"/>
      <c r="FF49" t="inlineStr"/>
      <c r="FG49" t="inlineStr"/>
      <c r="FH49" t="inlineStr"/>
      <c r="FI49" t="inlineStr"/>
      <c r="FJ49" t="inlineStr"/>
      <c r="FK49" t="inlineStr"/>
      <c r="FL49" t="inlineStr"/>
      <c r="FM49" t="inlineStr"/>
      <c r="FN49" t="inlineStr"/>
      <c r="FO49" t="inlineStr"/>
      <c r="FP49" t="inlineStr"/>
      <c r="FQ49" t="inlineStr"/>
      <c r="FR49" t="inlineStr"/>
      <c r="FS49" t="inlineStr"/>
      <c r="FT49" t="inlineStr"/>
      <c r="FU49" t="inlineStr"/>
      <c r="FV49" t="inlineStr"/>
      <c r="FW49" t="inlineStr"/>
      <c r="FX49" t="inlineStr"/>
      <c r="FY49" t="inlineStr"/>
      <c r="FZ49" t="inlineStr"/>
      <c r="GA49" t="inlineStr"/>
      <c r="GB49" t="inlineStr"/>
      <c r="GC49" t="inlineStr"/>
      <c r="GD49" t="inlineStr"/>
      <c r="GE49" t="inlineStr"/>
      <c r="GF49" t="inlineStr"/>
      <c r="GG49" t="inlineStr"/>
      <c r="GH49" t="inlineStr"/>
      <c r="GI49" t="inlineStr"/>
      <c r="GJ49" t="inlineStr"/>
      <c r="GK49" t="inlineStr"/>
      <c r="GL49" t="inlineStr"/>
      <c r="GM49" t="inlineStr"/>
      <c r="GN49" t="inlineStr"/>
      <c r="GO49" t="inlineStr"/>
      <c r="GP49" t="inlineStr"/>
      <c r="GQ49" t="inlineStr"/>
      <c r="GR49" t="inlineStr"/>
      <c r="GS49" t="inlineStr"/>
      <c r="GT49" t="inlineStr"/>
      <c r="GU49" t="inlineStr"/>
      <c r="GV49" t="inlineStr"/>
      <c r="GW49" t="inlineStr"/>
      <c r="GX49" t="inlineStr"/>
      <c r="GY49" t="inlineStr"/>
      <c r="GZ49" t="inlineStr"/>
      <c r="HA49" t="inlineStr"/>
      <c r="HB49" t="inlineStr"/>
      <c r="HC49" t="inlineStr"/>
      <c r="HD49" t="inlineStr"/>
      <c r="HE49" t="inlineStr"/>
      <c r="HF49" t="inlineStr"/>
      <c r="HG49" t="inlineStr"/>
      <c r="HH49" t="inlineStr"/>
      <c r="HI49" t="inlineStr"/>
      <c r="HJ49" t="inlineStr"/>
      <c r="HK49" t="inlineStr"/>
      <c r="HL49" t="inlineStr"/>
      <c r="HM49" t="inlineStr"/>
      <c r="HN49" t="inlineStr"/>
      <c r="HO49" t="inlineStr"/>
      <c r="HP49" t="inlineStr"/>
      <c r="HQ49" t="inlineStr"/>
      <c r="HR49" t="inlineStr"/>
      <c r="HS49" t="inlineStr"/>
      <c r="HT49" t="inlineStr"/>
      <c r="HU49" t="inlineStr"/>
      <c r="HV49" t="inlineStr"/>
      <c r="HW49" t="inlineStr"/>
      <c r="HX49" t="inlineStr"/>
      <c r="HY49" t="inlineStr"/>
      <c r="HZ49" t="inlineStr"/>
      <c r="IA49" t="inlineStr"/>
      <c r="IB49" t="inlineStr"/>
      <c r="IC49" t="inlineStr"/>
      <c r="ID49" t="inlineStr"/>
      <c r="IE49" t="inlineStr"/>
      <c r="IF49" t="inlineStr"/>
      <c r="IG49" t="inlineStr"/>
      <c r="IH49" t="inlineStr"/>
      <c r="II49" t="inlineStr"/>
      <c r="IJ49" t="inlineStr"/>
      <c r="IK49" t="inlineStr"/>
      <c r="IL49" t="inlineStr"/>
      <c r="IM49" t="inlineStr"/>
      <c r="IN49" t="inlineStr"/>
      <c r="IO49" t="inlineStr"/>
      <c r="IP49" t="inlineStr"/>
      <c r="IQ49" t="inlineStr"/>
      <c r="IR49" t="inlineStr"/>
      <c r="IS49">
        <f>IF(input_content_type="",FALSE,ISNUMBER(SEARCH(","&amp;LOWER(input_content_type)&amp;",",","&amp;LOWER(F49)&amp;",")))</f>
        <v/>
      </c>
      <c r="IT49">
        <f>AND(IF(M49="",TRUE,IF(input_affiliations="",FALSE,SUMPRODUCT(--ISNUMBER(SEARCH(","&amp;TRIM(TEXTSPLIT(M49,","))&amp;",",","&amp;SUBSTITUTE(input_affiliations," ","")&amp;",")))&gt;0)),IF(O49="",TRUE,IF(input_affiliations="",FALSE,SUMPRODUCT(--ISNUMBER(SEARCH(","&amp;TRIM(TEXTSPLIT(O49,","))&amp;",",","&amp;SUBSTITUTE(input_affiliations," ","")&amp;",")))=COUNTA(TEXTSPLIT(O49,",")))),IF(Q49="",TRUE,IF(input_affiliations="",TRUE,SUMPRODUCT(--ISNUMBER(SEARCH(","&amp;TRIM(TEXTSPLIT(Q49,","))&amp;",",","&amp;SUBSTITUTE(input_affiliations," ","")&amp;",")))=0)),IF(S49="",TRUE,IF(input_affiliations="",FALSE,SUMPRODUCT(--ISNUMBER(SEARCH(","&amp;TRIM(TEXTSPLIT(S49,","))&amp;",",","&amp;SUBSTITUTE(input_affiliations," ","")&amp;",")))&gt;0)),IF(U49="",TRUE,IF(input_affiliations="",FALSE,SUMPRODUCT(--ISNUMBER(SEARCH(","&amp;TRIM(TEXTSPLIT(U49,","))&amp;",",","&amp;SUBSTITUTE(input_affiliations," ","")&amp;",")))=COUNTA(TEXTSPLIT(U49,",")))))</f>
        <v/>
      </c>
      <c r="IU49">
        <f>AND(IF(W49="",TRUE,IF(input_announcement_category="",FALSE,SUMPRODUCT(--ISNUMBER(SEARCH(","&amp;TRIM(TEXTSPLIT(W49,","))&amp;",",","&amp;SUBSTITUTE(input_announcement_category," ","")&amp;",")))&gt;0)),IF(Y49="",TRUE,IF(input_announcement_category="",FALSE,SUMPRODUCT(--ISNUMBER(SEARCH(","&amp;TRIM(TEXTSPLIT(Y49,","))&amp;",",","&amp;SUBSTITUTE(input_announcement_category," ","")&amp;",")))=COUNTA(TEXTSPLIT(Y49,",")))),IF(AA49="",TRUE,IF(input_announcement_category="",TRUE,SUMPRODUCT(--ISNUMBER(SEARCH(","&amp;TRIM(TEXTSPLIT(AA49,","))&amp;",",","&amp;SUBSTITUTE(input_announcement_category," ","")&amp;",")))=0)),IF(AC49="",TRUE,IF(input_announcement_category="",FALSE,SUMPRODUCT(--ISNUMBER(SEARCH(","&amp;TRIM(TEXTSPLIT(AC49,","))&amp;",",","&amp;SUBSTITUTE(input_announcement_category," ","")&amp;",")))&gt;0)),IF(AE49="",TRUE,IF(input_announcement_category="",FALSE,SUMPRODUCT(--ISNUMBER(SEARCH(","&amp;TRIM(TEXTSPLIT(AE49,","))&amp;",",","&amp;SUBSTITUTE(input_announcement_category," ","")&amp;",")))=COUNTA(TEXTSPLIT(AE49,",")))))</f>
        <v/>
      </c>
      <c r="IV49">
        <f>AND(IF(AG49="",TRUE,IF(input_area_of_focus="",FALSE,SUMPRODUCT(--ISNUMBER(SEARCH(","&amp;TRIM(TEXTSPLIT(AG49,","))&amp;",",","&amp;SUBSTITUTE(input_area_of_focus," ","")&amp;",")))&gt;0)),IF(AI49="",TRUE,IF(input_area_of_focus="",FALSE,SUMPRODUCT(--ISNUMBER(SEARCH(","&amp;TRIM(TEXTSPLIT(AI49,","))&amp;",",","&amp;SUBSTITUTE(input_area_of_focus," ","")&amp;",")))=COUNTA(TEXTSPLIT(AI49,",")))),IF(AK49="",TRUE,IF(input_area_of_focus="",TRUE,SUMPRODUCT(--ISNUMBER(SEARCH(","&amp;TRIM(TEXTSPLIT(AK49,","))&amp;",",","&amp;SUBSTITUTE(input_area_of_focus," ","")&amp;",")))=0)),IF(AM49="",TRUE,IF(input_area_of_focus="",FALSE,SUMPRODUCT(--ISNUMBER(SEARCH(","&amp;TRIM(TEXTSPLIT(AM49,","))&amp;",",","&amp;SUBSTITUTE(input_area_of_focus," ","")&amp;",")))&gt;0)),IF(AO49="",TRUE,IF(input_area_of_focus="",FALSE,SUMPRODUCT(--ISNUMBER(SEARCH(","&amp;TRIM(TEXTSPLIT(AO49,","))&amp;",",","&amp;SUBSTITUTE(input_area_of_focus," ","")&amp;",")))=COUNTA(TEXTSPLIT(AO49,",")))))</f>
        <v/>
      </c>
      <c r="IW49">
        <f>AND(IF(AQ49="",TRUE,IF(input_audience="",FALSE,SUMPRODUCT(--ISNUMBER(SEARCH(","&amp;TRIM(TEXTSPLIT(AQ49,","))&amp;",",","&amp;SUBSTITUTE(input_audience," ","")&amp;",")))&gt;0)),IF(AS49="",TRUE,IF(input_audience="",FALSE,SUMPRODUCT(--ISNUMBER(SEARCH(","&amp;TRIM(TEXTSPLIT(AS49,","))&amp;",",","&amp;SUBSTITUTE(input_audience," ","")&amp;",")))=COUNTA(TEXTSPLIT(AS49,",")))),IF(AU49="",TRUE,IF(input_audience="",TRUE,SUMPRODUCT(--ISNUMBER(SEARCH(","&amp;TRIM(TEXTSPLIT(AU49,","))&amp;",",","&amp;SUBSTITUTE(input_audience," ","")&amp;",")))=0)),IF(AW49="",TRUE,IF(input_audience="",FALSE,SUMPRODUCT(--ISNUMBER(SEARCH(","&amp;TRIM(TEXTSPLIT(AW49,","))&amp;",",","&amp;SUBSTITUTE(input_audience," ","")&amp;",")))&gt;0)),IF(AY49="",TRUE,IF(input_audience="",FALSE,SUMPRODUCT(--ISNUMBER(SEARCH(","&amp;TRIM(TEXTSPLIT(AY49,","))&amp;",",","&amp;SUBSTITUTE(input_audience," ","")&amp;",")))=COUNTA(TEXTSPLIT(AY49,",")))))</f>
        <v/>
      </c>
      <c r="IX49">
        <f>AND(IF(BA49="",TRUE,IF(input_challenge_opportunities="",FALSE,SUMPRODUCT(--ISNUMBER(SEARCH(","&amp;TRIM(TEXTSPLIT(BA49,","))&amp;",",","&amp;SUBSTITUTE(input_challenge_opportunities," ","")&amp;",")))&gt;0)),IF(BC49="",TRUE,IF(input_challenge_opportunities="",FALSE,SUMPRODUCT(--ISNUMBER(SEARCH(","&amp;TRIM(TEXTSPLIT(BC49,","))&amp;",",","&amp;SUBSTITUTE(input_challenge_opportunities," ","")&amp;",")))=COUNTA(TEXTSPLIT(BC49,",")))),IF(BE49="",TRUE,IF(input_challenge_opportunities="",TRUE,SUMPRODUCT(--ISNUMBER(SEARCH(","&amp;TRIM(TEXTSPLIT(BE49,","))&amp;",",","&amp;SUBSTITUTE(input_challenge_opportunities," ","")&amp;",")))=0)),IF(BG49="",TRUE,IF(input_challenge_opportunities="",FALSE,SUMPRODUCT(--ISNUMBER(SEARCH(","&amp;TRIM(TEXTSPLIT(BG49,","))&amp;",",","&amp;SUBSTITUTE(input_challenge_opportunities," ","")&amp;",")))&gt;0)),IF(BI49="",TRUE,IF(input_challenge_opportunities="",FALSE,SUMPRODUCT(--ISNUMBER(SEARCH(","&amp;TRIM(TEXTSPLIT(BI49,","))&amp;",",","&amp;SUBSTITUTE(input_challenge_opportunities," ","")&amp;",")))=COUNTA(TEXTSPLIT(BI49,",")))))</f>
        <v/>
      </c>
      <c r="IY49">
        <f>AND(IF(BK49="",TRUE,IF(input_context="",FALSE,SUMPRODUCT(--ISNUMBER(SEARCH(","&amp;TRIM(TEXTSPLIT(BK49,","))&amp;",",","&amp;SUBSTITUTE(input_context," ","")&amp;",")))&gt;0)),IF(BM49="",TRUE,IF(input_context="",FALSE,SUMPRODUCT(--ISNUMBER(SEARCH(","&amp;TRIM(TEXTSPLIT(BM49,","))&amp;",",","&amp;SUBSTITUTE(input_context," ","")&amp;",")))=COUNTA(TEXTSPLIT(BM49,",")))),IF(BO49="",TRUE,IF(input_context="",TRUE,SUMPRODUCT(--ISNUMBER(SEARCH(","&amp;TRIM(TEXTSPLIT(BO49,","))&amp;",",","&amp;SUBSTITUTE(input_context," ","")&amp;",")))=0)),IF(BQ49="",TRUE,IF(input_context="",FALSE,SUMPRODUCT(--ISNUMBER(SEARCH(","&amp;TRIM(TEXTSPLIT(BQ49,","))&amp;",",","&amp;SUBSTITUTE(input_context," ","")&amp;",")))&gt;0)),IF(BS49="",TRUE,IF(input_context="",FALSE,SUMPRODUCT(--ISNUMBER(SEARCH(","&amp;TRIM(TEXTSPLIT(BS49,","))&amp;",",","&amp;SUBSTITUTE(input_context," ","")&amp;",")))=COUNTA(TEXTSPLIT(BS49,",")))))</f>
        <v/>
      </c>
      <c r="IZ49">
        <f>AND(IF(BU49="",TRUE,IF(input_enews_announcement_type="",FALSE,SUMPRODUCT(--ISNUMBER(SEARCH(","&amp;TRIM(TEXTSPLIT(BU49,","))&amp;",",","&amp;SUBSTITUTE(input_enews_announcement_type," ","")&amp;",")))&gt;0)),IF(BW49="",TRUE,IF(input_enews_announcement_type="",FALSE,SUMPRODUCT(--ISNUMBER(SEARCH(","&amp;TRIM(TEXTSPLIT(BW49,","))&amp;",",","&amp;SUBSTITUTE(input_enews_announcement_type," ","")&amp;",")))=COUNTA(TEXTSPLIT(BW49,",")))),IF(BY49="",TRUE,IF(input_enews_announcement_type="",TRUE,SUMPRODUCT(--ISNUMBER(SEARCH(","&amp;TRIM(TEXTSPLIT(BY49,","))&amp;",",","&amp;SUBSTITUTE(input_enews_announcement_type," ","")&amp;",")))=0)),IF(CA49="",TRUE,IF(input_enews_announcement_type="",FALSE,SUMPRODUCT(--ISNUMBER(SEARCH(","&amp;TRIM(TEXTSPLIT(CA49,","))&amp;",",","&amp;SUBSTITUTE(input_enews_announcement_type," ","")&amp;",")))&gt;0)),IF(CC49="",TRUE,IF(input_enews_announcement_type="",FALSE,SUMPRODUCT(--ISNUMBER(SEARCH(","&amp;TRIM(TEXTSPLIT(CC49,","))&amp;",",","&amp;SUBSTITUTE(input_enews_announcement_type," ","")&amp;",")))=COUNTA(TEXTSPLIT(CC49,",")))))</f>
        <v/>
      </c>
      <c r="JA49">
        <f>AND(IF(CE49="",TRUE,IF(input_enews_audience="",FALSE,SUMPRODUCT(--ISNUMBER(SEARCH(","&amp;TRIM(TEXTSPLIT(CE49,","))&amp;",",","&amp;SUBSTITUTE(input_enews_audience," ","")&amp;",")))&gt;0)),IF(CG49="",TRUE,IF(input_enews_audience="",FALSE,SUMPRODUCT(--ISNUMBER(SEARCH(","&amp;TRIM(TEXTSPLIT(CG49,","))&amp;",",","&amp;SUBSTITUTE(input_enews_audience," ","")&amp;",")))=COUNTA(TEXTSPLIT(CG49,",")))),IF(CI49="",TRUE,IF(input_enews_audience="",TRUE,SUMPRODUCT(--ISNUMBER(SEARCH(","&amp;TRIM(TEXTSPLIT(CI49,","))&amp;",",","&amp;SUBSTITUTE(input_enews_audience," ","")&amp;",")))=0)),IF(CK49="",TRUE,IF(input_enews_audience="",FALSE,SUMPRODUCT(--ISNUMBER(SEARCH(","&amp;TRIM(TEXTSPLIT(CK49,","))&amp;",",","&amp;SUBSTITUTE(input_enews_audience," ","")&amp;",")))&gt;0)),IF(CM49="",TRUE,IF(input_enews_audience="",FALSE,SUMPRODUCT(--ISNUMBER(SEARCH(","&amp;TRIM(TEXTSPLIT(CM49,","))&amp;",",","&amp;SUBSTITUTE(input_enews_audience," ","")&amp;",")))=COUNTA(TEXTSPLIT(CM49,",")))))</f>
        <v/>
      </c>
      <c r="JB49">
        <f>AND(IF(CO49="",TRUE,IF(input_event_location="",FALSE,SUMPRODUCT(--ISNUMBER(SEARCH(","&amp;TRIM(TEXTSPLIT(CO49,","))&amp;",",","&amp;SUBSTITUTE(input_event_location," ","")&amp;",")))&gt;0)),IF(CQ49="",TRUE,IF(input_event_location="",FALSE,SUMPRODUCT(--ISNUMBER(SEARCH(","&amp;TRIM(TEXTSPLIT(CQ49,","))&amp;",",","&amp;SUBSTITUTE(input_event_location," ","")&amp;",")))=COUNTA(TEXTSPLIT(CQ49,",")))),IF(CS49="",TRUE,IF(input_event_location="",TRUE,SUMPRODUCT(--ISNUMBER(SEARCH(","&amp;TRIM(TEXTSPLIT(CS49,","))&amp;",",","&amp;SUBSTITUTE(input_event_location," ","")&amp;",")))=0)),IF(CU49="",TRUE,IF(input_event_location="",FALSE,SUMPRODUCT(--ISNUMBER(SEARCH(","&amp;TRIM(TEXTSPLIT(CU49,","))&amp;",",","&amp;SUBSTITUTE(input_event_location," ","")&amp;",")))&gt;0)),IF(CW49="",TRUE,IF(input_event_location="",FALSE,SUMPRODUCT(--ISNUMBER(SEARCH(","&amp;TRIM(TEXTSPLIT(CW49,","))&amp;",",","&amp;SUBSTITUTE(input_event_location," ","")&amp;",")))=COUNTA(TEXTSPLIT(CW49,",")))))</f>
        <v/>
      </c>
      <c r="JC49">
        <f>AND(IF(CY49="",TRUE,IF(input_event_type="",FALSE,SUMPRODUCT(--ISNUMBER(SEARCH(","&amp;TRIM(TEXTSPLIT(CY49,","))&amp;",",","&amp;SUBSTITUTE(input_event_type," ","")&amp;",")))&gt;0)),IF(DA49="",TRUE,IF(input_event_type="",FALSE,SUMPRODUCT(--ISNUMBER(SEARCH(","&amp;TRIM(TEXTSPLIT(DA49,","))&amp;",",","&amp;SUBSTITUTE(input_event_type," ","")&amp;",")))=COUNTA(TEXTSPLIT(DA49,",")))),IF(DC49="",TRUE,IF(input_event_type="",TRUE,SUMPRODUCT(--ISNUMBER(SEARCH(","&amp;TRIM(TEXTSPLIT(DC49,","))&amp;",",","&amp;SUBSTITUTE(input_event_type," ","")&amp;",")))=0)),IF(DE49="",TRUE,IF(input_event_type="",FALSE,SUMPRODUCT(--ISNUMBER(SEARCH(","&amp;TRIM(TEXTSPLIT(DE49,","))&amp;",",","&amp;SUBSTITUTE(input_event_type," ","")&amp;",")))&gt;0)),IF(DG49="",TRUE,IF(input_event_type="",FALSE,SUMPRODUCT(--ISNUMBER(SEARCH(","&amp;TRIM(TEXTSPLIT(DG49,","))&amp;",",","&amp;SUBSTITUTE(input_event_type," ","")&amp;",")))=COUNTA(TEXTSPLIT(DG49,",")))))</f>
        <v/>
      </c>
      <c r="JD49">
        <f>AND(IF(DI49="",TRUE,IF(input_executive_education_focus="",FALSE,SUMPRODUCT(--ISNUMBER(SEARCH(","&amp;TRIM(TEXTSPLIT(DI49,","))&amp;",",","&amp;SUBSTITUTE(input_executive_education_focus," ","")&amp;",")))&gt;0)),IF(DK49="",TRUE,IF(input_executive_education_focus="",FALSE,SUMPRODUCT(--ISNUMBER(SEARCH(","&amp;TRIM(TEXTSPLIT(DK49,","))&amp;",",","&amp;SUBSTITUTE(input_executive_education_focus," ","")&amp;",")))=COUNTA(TEXTSPLIT(DK49,",")))),IF(DM49="",TRUE,IF(input_executive_education_focus="",TRUE,SUMPRODUCT(--ISNUMBER(SEARCH(","&amp;TRIM(TEXTSPLIT(DM49,","))&amp;",",","&amp;SUBSTITUTE(input_executive_education_focus," ","")&amp;",")))=0)),IF(DO49="",TRUE,IF(input_executive_education_focus="",FALSE,SUMPRODUCT(--ISNUMBER(SEARCH(","&amp;TRIM(TEXTSPLIT(DO49,","))&amp;",",","&amp;SUBSTITUTE(input_executive_education_focus," ","")&amp;",")))&gt;0)),IF(DQ49="",TRUE,IF(input_executive_education_focus="",FALSE,SUMPRODUCT(--ISNUMBER(SEARCH(","&amp;TRIM(TEXTSPLIT(DQ49,","))&amp;",",","&amp;SUBSTITUTE(input_executive_education_focus," ","")&amp;",")))=COUNTA(TEXTSPLIT(DQ49,",")))))</f>
        <v/>
      </c>
      <c r="JE49">
        <f>AND(IF(DS49="",TRUE,IF(input_faculty_category="",FALSE,SUMPRODUCT(--ISNUMBER(SEARCH(","&amp;TRIM(TEXTSPLIT(DS49,","))&amp;",",","&amp;SUBSTITUTE(input_faculty_category," ","")&amp;",")))&gt;0)),IF(DU49="",TRUE,IF(input_faculty_category="",FALSE,SUMPRODUCT(--ISNUMBER(SEARCH(","&amp;TRIM(TEXTSPLIT(DU49,","))&amp;",",","&amp;SUBSTITUTE(input_faculty_category," ","")&amp;",")))=COUNTA(TEXTSPLIT(DU49,",")))),IF(DW49="",TRUE,IF(input_faculty_category="",TRUE,SUMPRODUCT(--ISNUMBER(SEARCH(","&amp;TRIM(TEXTSPLIT(DW49,","))&amp;",",","&amp;SUBSTITUTE(input_faculty_category," ","")&amp;",")))=0)),IF(DY49="",TRUE,IF(input_faculty_category="",FALSE,SUMPRODUCT(--ISNUMBER(SEARCH(","&amp;TRIM(TEXTSPLIT(DY49,","))&amp;",",","&amp;SUBSTITUTE(input_faculty_category," ","")&amp;",")))&gt;0)),IF(EA49="",TRUE,IF(input_faculty_category="",FALSE,SUMPRODUCT(--ISNUMBER(SEARCH(","&amp;TRIM(TEXTSPLIT(EA49,","))&amp;",",","&amp;SUBSTITUTE(input_faculty_category," ","")&amp;",")))=COUNTA(TEXTSPLIT(EA49,",")))))</f>
        <v/>
      </c>
      <c r="JF49">
        <f>AND(IF(EC49="",TRUE,IF(input_faculty_discipline="",FALSE,SUMPRODUCT(--ISNUMBER(SEARCH(","&amp;TRIM(TEXTSPLIT(EC49,","))&amp;",",","&amp;SUBSTITUTE(input_faculty_discipline," ","")&amp;",")))&gt;0)),IF(EE49="",TRUE,IF(input_faculty_discipline="",FALSE,SUMPRODUCT(--ISNUMBER(SEARCH(","&amp;TRIM(TEXTSPLIT(EE49,","))&amp;",",","&amp;SUBSTITUTE(input_faculty_discipline," ","")&amp;",")))=COUNTA(TEXTSPLIT(EE49,",")))),IF(EG49="",TRUE,IF(input_faculty_discipline="",TRUE,SUMPRODUCT(--ISNUMBER(SEARCH(","&amp;TRIM(TEXTSPLIT(EG49,","))&amp;",",","&amp;SUBSTITUTE(input_faculty_discipline," ","")&amp;",")))=0)),IF(EI49="",TRUE,IF(input_faculty_discipline="",FALSE,SUMPRODUCT(--ISNUMBER(SEARCH(","&amp;TRIM(TEXTSPLIT(EI49,","))&amp;",",","&amp;SUBSTITUTE(input_faculty_discipline," ","")&amp;",")))&gt;0)),IF(EK49="",TRUE,IF(input_faculty_discipline="",FALSE,SUMPRODUCT(--ISNUMBER(SEARCH(","&amp;TRIM(TEXTSPLIT(EK49,","))&amp;",",","&amp;SUBSTITUTE(input_faculty_discipline," ","")&amp;",")))=COUNTA(TEXTSPLIT(EK49,",")))))</f>
        <v/>
      </c>
      <c r="JG49">
        <f>AND(IF(EM49="",TRUE,IF(input_faculty_expertise="",FALSE,SUMPRODUCT(--ISNUMBER(SEARCH(","&amp;TRIM(TEXTSPLIT(EM49,","))&amp;",",","&amp;SUBSTITUTE(input_faculty_expertise," ","")&amp;",")))&gt;0)),IF(EO49="",TRUE,IF(input_faculty_expertise="",FALSE,SUMPRODUCT(--ISNUMBER(SEARCH(","&amp;TRIM(TEXTSPLIT(EO49,","))&amp;",",","&amp;SUBSTITUTE(input_faculty_expertise," ","")&amp;",")))=COUNTA(TEXTSPLIT(EO49,",")))),IF(EQ49="",TRUE,IF(input_faculty_expertise="",TRUE,SUMPRODUCT(--ISNUMBER(SEARCH(","&amp;TRIM(TEXTSPLIT(EQ49,","))&amp;",",","&amp;SUBSTITUTE(input_faculty_expertise," ","")&amp;",")))=0)),IF(ES49="",TRUE,IF(input_faculty_expertise="",FALSE,SUMPRODUCT(--ISNUMBER(SEARCH(","&amp;TRIM(TEXTSPLIT(ES49,","))&amp;",",","&amp;SUBSTITUTE(input_faculty_expertise," ","")&amp;",")))&gt;0)),IF(EU49="",TRUE,IF(input_faculty_expertise="",FALSE,SUMPRODUCT(--ISNUMBER(SEARCH(","&amp;TRIM(TEXTSPLIT(EU49,","))&amp;",",","&amp;SUBSTITUTE(input_faculty_expertise," ","")&amp;",")))=COUNTA(TEXTSPLIT(EU49,",")))))</f>
        <v/>
      </c>
      <c r="JH49">
        <f>AND(IF(EW49="",TRUE,IF(input_global_network_school="",FALSE,SUMPRODUCT(--ISNUMBER(SEARCH(","&amp;TRIM(TEXTSPLIT(EW49,","))&amp;",",","&amp;SUBSTITUTE(input_global_network_school," ","")&amp;",")))&gt;0)),IF(EY49="",TRUE,IF(input_global_network_school="",FALSE,SUMPRODUCT(--ISNUMBER(SEARCH(","&amp;TRIM(TEXTSPLIT(EY49,","))&amp;",",","&amp;SUBSTITUTE(input_global_network_school," ","")&amp;",")))=COUNTA(TEXTSPLIT(EY49,",")))),IF(FA49="",TRUE,IF(input_global_network_school="",TRUE,SUMPRODUCT(--ISNUMBER(SEARCH(","&amp;TRIM(TEXTSPLIT(FA49,","))&amp;",",","&amp;SUBSTITUTE(input_global_network_school," ","")&amp;",")))=0)),IF(FC49="",TRUE,IF(input_global_network_school="",FALSE,SUMPRODUCT(--ISNUMBER(SEARCH(","&amp;TRIM(TEXTSPLIT(FC49,","))&amp;",",","&amp;SUBSTITUTE(input_global_network_school," ","")&amp;",")))&gt;0)),IF(FE49="",TRUE,IF(input_global_network_school="",FALSE,SUMPRODUCT(--ISNUMBER(SEARCH(","&amp;TRIM(TEXTSPLIT(FE49,","))&amp;",",","&amp;SUBSTITUTE(input_global_network_school," ","")&amp;",")))=COUNTA(TEXTSPLIT(FE49,",")))))</f>
        <v/>
      </c>
      <c r="JI49">
        <f>AND(IF(FG49="",TRUE,IF(input_industry="",FALSE,SUMPRODUCT(--ISNUMBER(SEARCH(","&amp;TRIM(TEXTSPLIT(FG49,","))&amp;",",","&amp;SUBSTITUTE(input_industry," ","")&amp;",")))&gt;0)),IF(FI49="",TRUE,IF(input_industry="",FALSE,SUMPRODUCT(--ISNUMBER(SEARCH(","&amp;TRIM(TEXTSPLIT(FI49,","))&amp;",",","&amp;SUBSTITUTE(input_industry," ","")&amp;",")))=COUNTA(TEXTSPLIT(FI49,",")))),IF(FK49="",TRUE,IF(input_industry="",TRUE,SUMPRODUCT(--ISNUMBER(SEARCH(","&amp;TRIM(TEXTSPLIT(FK49,","))&amp;",",","&amp;SUBSTITUTE(input_industry," ","")&amp;",")))=0)),IF(FM49="",TRUE,IF(input_industry="",FALSE,SUMPRODUCT(--ISNUMBER(SEARCH(","&amp;TRIM(TEXTSPLIT(FM49,","))&amp;",",","&amp;SUBSTITUTE(input_industry," ","")&amp;",")))&gt;0)),IF(FO49="",TRUE,IF(input_industry="",FALSE,SUMPRODUCT(--ISNUMBER(SEARCH(","&amp;TRIM(TEXTSPLIT(FO49,","))&amp;",",","&amp;SUBSTITUTE(input_industry," ","")&amp;",")))=COUNTA(TEXTSPLIT(FO49,",")))))</f>
        <v/>
      </c>
      <c r="JJ49">
        <f>AND(IF(FQ49="",TRUE,IF(input_location="",FALSE,SUMPRODUCT(--ISNUMBER(SEARCH(","&amp;TRIM(TEXTSPLIT(FQ49,","))&amp;",",","&amp;SUBSTITUTE(input_location," ","")&amp;",")))&gt;0)),IF(FS49="",TRUE,IF(input_location="",FALSE,SUMPRODUCT(--ISNUMBER(SEARCH(","&amp;TRIM(TEXTSPLIT(FS49,","))&amp;",",","&amp;SUBSTITUTE(input_location," ","")&amp;",")))=COUNTA(TEXTSPLIT(FS49,",")))),IF(FU49="",TRUE,IF(input_location="",TRUE,SUMPRODUCT(--ISNUMBER(SEARCH(","&amp;TRIM(TEXTSPLIT(FU49,","))&amp;",",","&amp;SUBSTITUTE(input_location," ","")&amp;",")))=0)),IF(FW49="",TRUE,IF(input_location="",FALSE,SUMPRODUCT(--ISNUMBER(SEARCH(","&amp;TRIM(TEXTSPLIT(FW49,","))&amp;",",","&amp;SUBSTITUTE(input_location," ","")&amp;",")))&gt;0)),IF(FY49="",TRUE,IF(input_location="",FALSE,SUMPRODUCT(--ISNUMBER(SEARCH(","&amp;TRIM(TEXTSPLIT(FY49,","))&amp;",",","&amp;SUBSTITUTE(input_location," ","")&amp;",")))=COUNTA(TEXTSPLIT(FY49,",")))))</f>
        <v/>
      </c>
      <c r="JK49">
        <f>AND(IF(GA49="",TRUE,IF(input_modality="",FALSE,SUMPRODUCT(--ISNUMBER(SEARCH(","&amp;TRIM(TEXTSPLIT(GA49,","))&amp;",",","&amp;SUBSTITUTE(input_modality," ","")&amp;",")))&gt;0)),IF(GC49="",TRUE,IF(input_modality="",FALSE,SUMPRODUCT(--ISNUMBER(SEARCH(","&amp;TRIM(TEXTSPLIT(GC49,","))&amp;",",","&amp;SUBSTITUTE(input_modality," ","")&amp;",")))=COUNTA(TEXTSPLIT(GC49,",")))),IF(GE49="",TRUE,IF(input_modality="",TRUE,SUMPRODUCT(--ISNUMBER(SEARCH(","&amp;TRIM(TEXTSPLIT(GE49,","))&amp;",",","&amp;SUBSTITUTE(input_modality," ","")&amp;",")))=0)),IF(GG49="",TRUE,IF(input_modality="",FALSE,SUMPRODUCT(--ISNUMBER(SEARCH(","&amp;TRIM(TEXTSPLIT(GG49,","))&amp;",",","&amp;SUBSTITUTE(input_modality," ","")&amp;",")))&gt;0)),IF(GI49="",TRUE,IF(input_modality="",FALSE,SUMPRODUCT(--ISNUMBER(SEARCH(","&amp;TRIM(TEXTSPLIT(GI49,","))&amp;",",","&amp;SUBSTITUTE(input_modality," ","")&amp;",")))=COUNTA(TEXTSPLIT(GI49,",")))))</f>
        <v/>
      </c>
      <c r="JL49">
        <f>AND(IF(GK49="",TRUE,IF(input_organizer="",FALSE,SUMPRODUCT(--ISNUMBER(SEARCH(","&amp;TRIM(TEXTSPLIT(GK49,","))&amp;",",","&amp;SUBSTITUTE(input_organizer," ","")&amp;",")))&gt;0)),IF(GM49="",TRUE,IF(input_organizer="",FALSE,SUMPRODUCT(--ISNUMBER(SEARCH(","&amp;TRIM(TEXTSPLIT(GM49,","))&amp;",",","&amp;SUBSTITUTE(input_organizer," ","")&amp;",")))=COUNTA(TEXTSPLIT(GM49,",")))),IF(GO49="",TRUE,IF(input_organizer="",TRUE,SUMPRODUCT(--ISNUMBER(SEARCH(","&amp;TRIM(TEXTSPLIT(GO49,","))&amp;",",","&amp;SUBSTITUTE(input_organizer," ","")&amp;",")))=0)),IF(GQ49="",TRUE,IF(input_organizer="",FALSE,SUMPRODUCT(--ISNUMBER(SEARCH(","&amp;TRIM(TEXTSPLIT(GQ49,","))&amp;",",","&amp;SUBSTITUTE(input_organizer," ","")&amp;",")))&gt;0)),IF(GS49="",TRUE,IF(input_organizer="",FALSE,SUMPRODUCT(--ISNUMBER(SEARCH(","&amp;TRIM(TEXTSPLIT(GS49,","))&amp;",",","&amp;SUBSTITUTE(input_organizer," ","")&amp;",")))=COUNTA(TEXTSPLIT(GS49,",")))))</f>
        <v/>
      </c>
      <c r="JM49">
        <f>AND(IF(GU49="",TRUE,IF(input_profile_type="",FALSE,SUMPRODUCT(--ISNUMBER(SEARCH(","&amp;TRIM(TEXTSPLIT(GU49,","))&amp;",",","&amp;SUBSTITUTE(input_profile_type," ","")&amp;",")))&gt;0)),IF(GW49="",TRUE,IF(input_profile_type="",FALSE,SUMPRODUCT(--ISNUMBER(SEARCH(","&amp;TRIM(TEXTSPLIT(GW49,","))&amp;",",","&amp;SUBSTITUTE(input_profile_type," ","")&amp;",")))=COUNTA(TEXTSPLIT(GW49,",")))),IF(GY49="",TRUE,IF(input_profile_type="",TRUE,SUMPRODUCT(--ISNUMBER(SEARCH(","&amp;TRIM(TEXTSPLIT(GY49,","))&amp;",",","&amp;SUBSTITUTE(input_profile_type," ","")&amp;",")))=0)),IF(HA49="",TRUE,IF(input_profile_type="",FALSE,SUMPRODUCT(--ISNUMBER(SEARCH(","&amp;TRIM(TEXTSPLIT(HA49,","))&amp;",",","&amp;SUBSTITUTE(input_profile_type," ","")&amp;",")))&gt;0)),IF(HC49="",TRUE,IF(input_profile_type="",FALSE,SUMPRODUCT(--ISNUMBER(SEARCH(","&amp;TRIM(TEXTSPLIT(HC49,","))&amp;",",","&amp;SUBSTITUTE(input_profile_type," ","")&amp;",")))=COUNTA(TEXTSPLIT(HC49,",")))))</f>
        <v/>
      </c>
      <c r="JN49">
        <f>AND(IF(HE49="",TRUE,IF(input_program="",FALSE,SUMPRODUCT(--ISNUMBER(SEARCH(","&amp;TRIM(TEXTSPLIT(HE49,","))&amp;",",","&amp;SUBSTITUTE(input_program," ","")&amp;",")))&gt;0)),IF(HG49="",TRUE,IF(input_program="",FALSE,SUMPRODUCT(--ISNUMBER(SEARCH(","&amp;TRIM(TEXTSPLIT(HG49,","))&amp;",",","&amp;SUBSTITUTE(input_program," ","")&amp;",")))=COUNTA(TEXTSPLIT(HG49,",")))),IF(HI49="",TRUE,IF(input_program="",TRUE,SUMPRODUCT(--ISNUMBER(SEARCH(","&amp;TRIM(TEXTSPLIT(HI49,","))&amp;",",","&amp;SUBSTITUTE(input_program," ","")&amp;",")))=0)),IF(HK49="",TRUE,IF(input_program="",FALSE,SUMPRODUCT(--ISNUMBER(SEARCH(","&amp;TRIM(TEXTSPLIT(HK49,","))&amp;",",","&amp;SUBSTITUTE(input_program," ","")&amp;",")))&gt;0)),IF(HM49="",TRUE,IF(input_program="",FALSE,SUMPRODUCT(--ISNUMBER(SEARCH(","&amp;TRIM(TEXTSPLIT(HM49,","))&amp;",",","&amp;SUBSTITUTE(input_program," ","")&amp;",")))=COUNTA(TEXTSPLIT(HM49,",")))))</f>
        <v/>
      </c>
      <c r="JO49">
        <f>AND(IF(HO49="",TRUE,IF(input_story_categories="",FALSE,SUMPRODUCT(--ISNUMBER(SEARCH(","&amp;TRIM(TEXTSPLIT(HO49,","))&amp;",",","&amp;SUBSTITUTE(input_story_categories," ","")&amp;",")))&gt;0)),IF(HQ49="",TRUE,IF(input_story_categories="",FALSE,SUMPRODUCT(--ISNUMBER(SEARCH(","&amp;TRIM(TEXTSPLIT(HQ49,","))&amp;",",","&amp;SUBSTITUTE(input_story_categories," ","")&amp;",")))=COUNTA(TEXTSPLIT(HQ49,",")))),IF(HS49="",TRUE,IF(input_story_categories="",TRUE,SUMPRODUCT(--ISNUMBER(SEARCH(","&amp;TRIM(TEXTSPLIT(HS49,","))&amp;",",","&amp;SUBSTITUTE(input_story_categories," ","")&amp;",")))=0)),IF(HU49="",TRUE,IF(input_story_categories="",FALSE,SUMPRODUCT(--ISNUMBER(SEARCH(","&amp;TRIM(TEXTSPLIT(HU49,","))&amp;",",","&amp;SUBSTITUTE(input_story_categories," ","")&amp;",")))&gt;0)),IF(HW49="",TRUE,IF(input_story_categories="",FALSE,SUMPRODUCT(--ISNUMBER(SEARCH(","&amp;TRIM(TEXTSPLIT(HW49,","))&amp;",",","&amp;SUBSTITUTE(input_story_categories," ","")&amp;",")))=COUNTA(TEXTSPLIT(HW49,",")))))</f>
        <v/>
      </c>
      <c r="JP49">
        <f>AND(IF(HY49="",TRUE,IF(input_story_type="",FALSE,SUMPRODUCT(--ISNUMBER(SEARCH(","&amp;TRIM(TEXTSPLIT(HY49,","))&amp;",",","&amp;SUBSTITUTE(input_story_type," ","")&amp;",")))&gt;0)),IF(IA49="",TRUE,IF(input_story_type="",FALSE,SUMPRODUCT(--ISNUMBER(SEARCH(","&amp;TRIM(TEXTSPLIT(IA49,","))&amp;",",","&amp;SUBSTITUTE(input_story_type," ","")&amp;",")))=COUNTA(TEXTSPLIT(IA49,",")))),IF(IC49="",TRUE,IF(input_story_type="",TRUE,SUMPRODUCT(--ISNUMBER(SEARCH(","&amp;TRIM(TEXTSPLIT(IC49,","))&amp;",",","&amp;SUBSTITUTE(input_story_type," ","")&amp;",")))=0)),IF(IE49="",TRUE,IF(input_story_type="",FALSE,SUMPRODUCT(--ISNUMBER(SEARCH(","&amp;TRIM(TEXTSPLIT(IE49,","))&amp;",",","&amp;SUBSTITUTE(input_story_type," ","")&amp;",")))&gt;0)),IF(IG49="",TRUE,IF(input_story_type="",FALSE,SUMPRODUCT(--ISNUMBER(SEARCH(","&amp;TRIM(TEXTSPLIT(IG49,","))&amp;",",","&amp;SUBSTITUTE(input_story_type," ","")&amp;",")))=COUNTA(TEXTSPLIT(IG49,",")))))</f>
        <v/>
      </c>
      <c r="JQ49">
        <f>AND(IF(II49="",TRUE,IF(input_topics="",FALSE,SUMPRODUCT(--ISNUMBER(SEARCH(","&amp;TRIM(TEXTSPLIT(II49,","))&amp;",",","&amp;SUBSTITUTE(input_topics," ","")&amp;",")))&gt;0)),IF(IK49="",TRUE,IF(input_topics="",FALSE,SUMPRODUCT(--ISNUMBER(SEARCH(","&amp;TRIM(TEXTSPLIT(IK49,","))&amp;",",","&amp;SUBSTITUTE(input_topics," ","")&amp;",")))=COUNTA(TEXTSPLIT(IK49,",")))),IF(IM49="",TRUE,IF(input_topics="",TRUE,SUMPRODUCT(--ISNUMBER(SEARCH(","&amp;TRIM(TEXTSPLIT(IM49,","))&amp;",",","&amp;SUBSTITUTE(input_topics," ","")&amp;",")))=0)),IF(IO49="",TRUE,IF(input_topics="",FALSE,SUMPRODUCT(--ISNUMBER(SEARCH(","&amp;TRIM(TEXTSPLIT(IO49,","))&amp;",",","&amp;SUBSTITUTE(input_topics," ","")&amp;",")))&gt;0)),IF(IQ49="",TRUE,IF(input_topics="",FALSE,SUMPRODUCT(--ISNUMBER(SEARCH(","&amp;TRIM(TEXTSPLIT(IQ49,","))&amp;",",","&amp;SUBSTITUTE(input_topics," ","")&amp;",")))=COUNTA(TEXTSPLIT(IQ49,",")))))</f>
        <v/>
      </c>
    </row>
    <row r="50">
      <c r="A50" s="4">
        <f>IF(NOT(IS50),"Excluded",IF(AND(IT50,IU50,IV50,IW50,IX50,IY50,IZ50,JA50,JB50,JC50,JD50,JE50,JF50,JG50,JH50,JI50,JJ50,JK50,JL50,JM50,JN50,JO50,JP50,JQ50),IF(I50&gt;0,"Eligible but limited","Will appear"),"Excluded"))</f>
        <v/>
      </c>
      <c r="B50" s="4" t="inlineStr">
        <is>
          <t>All Publications by Author</t>
        </is>
      </c>
      <c r="C50" s="4" t="inlineStr">
        <is>
          <t>/faculty-research/faculty-directory/stefano-giglio</t>
        </is>
      </c>
      <c r="D50" s="4" t="inlineStr">
        <is>
          <t>/faculty-research/faculty-directory/stefano-giglio</t>
        </is>
      </c>
      <c r="E50" s="4" t="n">
        <v>1</v>
      </c>
      <c r="F50" s="4" t="inlineStr">
        <is>
          <t>publications</t>
        </is>
      </c>
      <c r="G50" s="4" t="inlineStr">
        <is>
          <t>publication_teaser_list</t>
        </is>
      </c>
      <c r="H50" s="4" t="inlineStr">
        <is>
          <t>publication_teaser_list_all_by_author</t>
        </is>
      </c>
      <c r="I50" s="4" t="inlineStr"/>
      <c r="J50" s="4" t="inlineStr">
        <is>
          <t>View/config rules</t>
        </is>
      </c>
      <c r="K50" s="4" t="inlineStr">
        <is>
          <t>Page placement</t>
        </is>
      </c>
      <c r="L50" s="4" t="inlineStr">
        <is>
          <t>Content type: publications; Source: View/config rules</t>
        </is>
      </c>
      <c r="M50" t="inlineStr"/>
      <c r="N50" t="inlineStr"/>
      <c r="O50" t="inlineStr"/>
      <c r="P50" t="inlineStr"/>
      <c r="Q50" t="inlineStr"/>
      <c r="R50" t="inlineStr"/>
      <c r="S50" t="inlineStr"/>
      <c r="T50" t="inlineStr"/>
      <c r="U50" t="inlineStr"/>
      <c r="V50" t="inlineStr"/>
      <c r="W50" t="inlineStr"/>
      <c r="X50" t="inlineStr"/>
      <c r="Y50" t="inlineStr"/>
      <c r="Z50" t="inlineStr"/>
      <c r="AA50" t="inlineStr"/>
      <c r="AB50" t="inlineStr"/>
      <c r="AC50" t="inlineStr"/>
      <c r="AD50" t="inlineStr"/>
      <c r="AE50" t="inlineStr"/>
      <c r="AF50" t="inlineStr"/>
      <c r="AG50" t="inlineStr"/>
      <c r="AH50" t="inlineStr"/>
      <c r="AI50" t="inlineStr"/>
      <c r="AJ50" t="inlineStr"/>
      <c r="AK50" t="inlineStr"/>
      <c r="AL50" t="inlineStr"/>
      <c r="AM50" t="inlineStr"/>
      <c r="AN50" t="inlineStr"/>
      <c r="AO50" t="inlineStr"/>
      <c r="AP50" t="inlineStr"/>
      <c r="AQ50" t="inlineStr"/>
      <c r="AR50" t="inlineStr"/>
      <c r="AS50" t="inlineStr"/>
      <c r="AT50" t="inlineStr"/>
      <c r="AU50" t="inlineStr"/>
      <c r="AV50" t="inlineStr"/>
      <c r="AW50" t="inlineStr"/>
      <c r="AX50" t="inlineStr"/>
      <c r="AY50" t="inlineStr"/>
      <c r="AZ50" t="inlineStr"/>
      <c r="BA50" t="inlineStr"/>
      <c r="BB50" t="inlineStr"/>
      <c r="BC50" t="inlineStr"/>
      <c r="BD50" t="inlineStr"/>
      <c r="BE50" t="inlineStr"/>
      <c r="BF50" t="inlineStr"/>
      <c r="BG50" t="inlineStr"/>
      <c r="BH50" t="inlineStr"/>
      <c r="BI50" t="inlineStr"/>
      <c r="BJ50" t="inlineStr"/>
      <c r="BK50" t="inlineStr"/>
      <c r="BL50" t="inlineStr"/>
      <c r="BM50" t="inlineStr"/>
      <c r="BN50" t="inlineStr"/>
      <c r="BO50" t="inlineStr"/>
      <c r="BP50" t="inlineStr"/>
      <c r="BQ50" t="inlineStr"/>
      <c r="BR50" t="inlineStr"/>
      <c r="BS50" t="inlineStr"/>
      <c r="BT50" t="inlineStr"/>
      <c r="BU50" t="inlineStr"/>
      <c r="BV50" t="inlineStr"/>
      <c r="BW50" t="inlineStr"/>
      <c r="BX50" t="inlineStr"/>
      <c r="BY50" t="inlineStr"/>
      <c r="BZ50" t="inlineStr"/>
      <c r="CA50" t="inlineStr"/>
      <c r="CB50" t="inlineStr"/>
      <c r="CC50" t="inlineStr"/>
      <c r="CD50" t="inlineStr"/>
      <c r="CE50" t="inlineStr"/>
      <c r="CF50" t="inlineStr"/>
      <c r="CG50" t="inlineStr"/>
      <c r="CH50" t="inlineStr"/>
      <c r="CI50" t="inlineStr"/>
      <c r="CJ50" t="inlineStr"/>
      <c r="CK50" t="inlineStr"/>
      <c r="CL50" t="inlineStr"/>
      <c r="CM50" t="inlineStr"/>
      <c r="CN50" t="inlineStr"/>
      <c r="CO50" t="inlineStr"/>
      <c r="CP50" t="inlineStr"/>
      <c r="CQ50" t="inlineStr"/>
      <c r="CR50" t="inlineStr"/>
      <c r="CS50" t="inlineStr"/>
      <c r="CT50" t="inlineStr"/>
      <c r="CU50" t="inlineStr"/>
      <c r="CV50" t="inlineStr"/>
      <c r="CW50" t="inlineStr"/>
      <c r="CX50" t="inlineStr"/>
      <c r="CY50" t="inlineStr"/>
      <c r="CZ50" t="inlineStr"/>
      <c r="DA50" t="inlineStr"/>
      <c r="DB50" t="inlineStr"/>
      <c r="DC50" t="inlineStr"/>
      <c r="DD50" t="inlineStr"/>
      <c r="DE50" t="inlineStr"/>
      <c r="DF50" t="inlineStr"/>
      <c r="DG50" t="inlineStr"/>
      <c r="DH50" t="inlineStr"/>
      <c r="DI50" t="inlineStr"/>
      <c r="DJ50" t="inlineStr"/>
      <c r="DK50" t="inlineStr"/>
      <c r="DL50" t="inlineStr"/>
      <c r="DM50" t="inlineStr"/>
      <c r="DN50" t="inlineStr"/>
      <c r="DO50" t="inlineStr"/>
      <c r="DP50" t="inlineStr"/>
      <c r="DQ50" t="inlineStr"/>
      <c r="DR50" t="inlineStr"/>
      <c r="DS50" t="inlineStr"/>
      <c r="DT50" t="inlineStr"/>
      <c r="DU50" t="inlineStr"/>
      <c r="DV50" t="inlineStr"/>
      <c r="DW50" t="inlineStr"/>
      <c r="DX50" t="inlineStr"/>
      <c r="DY50" t="inlineStr"/>
      <c r="DZ50" t="inlineStr"/>
      <c r="EA50" t="inlineStr"/>
      <c r="EB50" t="inlineStr"/>
      <c r="EC50" t="inlineStr"/>
      <c r="ED50" t="inlineStr"/>
      <c r="EE50" t="inlineStr"/>
      <c r="EF50" t="inlineStr"/>
      <c r="EG50" t="inlineStr"/>
      <c r="EH50" t="inlineStr"/>
      <c r="EI50" t="inlineStr"/>
      <c r="EJ50" t="inlineStr"/>
      <c r="EK50" t="inlineStr"/>
      <c r="EL50" t="inlineStr"/>
      <c r="EM50" t="inlineStr"/>
      <c r="EN50" t="inlineStr"/>
      <c r="EO50" t="inlineStr"/>
      <c r="EP50" t="inlineStr"/>
      <c r="EQ50" t="inlineStr"/>
      <c r="ER50" t="inlineStr"/>
      <c r="ES50" t="inlineStr"/>
      <c r="ET50" t="inlineStr"/>
      <c r="EU50" t="inlineStr"/>
      <c r="EV50" t="inlineStr"/>
      <c r="EW50" t="inlineStr"/>
      <c r="EX50" t="inlineStr"/>
      <c r="EY50" t="inlineStr"/>
      <c r="EZ50" t="inlineStr"/>
      <c r="FA50" t="inlineStr"/>
      <c r="FB50" t="inlineStr"/>
      <c r="FC50" t="inlineStr"/>
      <c r="FD50" t="inlineStr"/>
      <c r="FE50" t="inlineStr"/>
      <c r="FF50" t="inlineStr"/>
      <c r="FG50" t="inlineStr"/>
      <c r="FH50" t="inlineStr"/>
      <c r="FI50" t="inlineStr"/>
      <c r="FJ50" t="inlineStr"/>
      <c r="FK50" t="inlineStr"/>
      <c r="FL50" t="inlineStr"/>
      <c r="FM50" t="inlineStr"/>
      <c r="FN50" t="inlineStr"/>
      <c r="FO50" t="inlineStr"/>
      <c r="FP50" t="inlineStr"/>
      <c r="FQ50" t="inlineStr"/>
      <c r="FR50" t="inlineStr"/>
      <c r="FS50" t="inlineStr"/>
      <c r="FT50" t="inlineStr"/>
      <c r="FU50" t="inlineStr"/>
      <c r="FV50" t="inlineStr"/>
      <c r="FW50" t="inlineStr"/>
      <c r="FX50" t="inlineStr"/>
      <c r="FY50" t="inlineStr"/>
      <c r="FZ50" t="inlineStr"/>
      <c r="GA50" t="inlineStr"/>
      <c r="GB50" t="inlineStr"/>
      <c r="GC50" t="inlineStr"/>
      <c r="GD50" t="inlineStr"/>
      <c r="GE50" t="inlineStr"/>
      <c r="GF50" t="inlineStr"/>
      <c r="GG50" t="inlineStr"/>
      <c r="GH50" t="inlineStr"/>
      <c r="GI50" t="inlineStr"/>
      <c r="GJ50" t="inlineStr"/>
      <c r="GK50" t="inlineStr"/>
      <c r="GL50" t="inlineStr"/>
      <c r="GM50" t="inlineStr"/>
      <c r="GN50" t="inlineStr"/>
      <c r="GO50" t="inlineStr"/>
      <c r="GP50" t="inlineStr"/>
      <c r="GQ50" t="inlineStr"/>
      <c r="GR50" t="inlineStr"/>
      <c r="GS50" t="inlineStr"/>
      <c r="GT50" t="inlineStr"/>
      <c r="GU50" t="inlineStr"/>
      <c r="GV50" t="inlineStr"/>
      <c r="GW50" t="inlineStr"/>
      <c r="GX50" t="inlineStr"/>
      <c r="GY50" t="inlineStr"/>
      <c r="GZ50" t="inlineStr"/>
      <c r="HA50" t="inlineStr"/>
      <c r="HB50" t="inlineStr"/>
      <c r="HC50" t="inlineStr"/>
      <c r="HD50" t="inlineStr"/>
      <c r="HE50" t="inlineStr"/>
      <c r="HF50" t="inlineStr"/>
      <c r="HG50" t="inlineStr"/>
      <c r="HH50" t="inlineStr"/>
      <c r="HI50" t="inlineStr"/>
      <c r="HJ50" t="inlineStr"/>
      <c r="HK50" t="inlineStr"/>
      <c r="HL50" t="inlineStr"/>
      <c r="HM50" t="inlineStr"/>
      <c r="HN50" t="inlineStr"/>
      <c r="HO50" t="inlineStr"/>
      <c r="HP50" t="inlineStr"/>
      <c r="HQ50" t="inlineStr"/>
      <c r="HR50" t="inlineStr"/>
      <c r="HS50" t="inlineStr"/>
      <c r="HT50" t="inlineStr"/>
      <c r="HU50" t="inlineStr"/>
      <c r="HV50" t="inlineStr"/>
      <c r="HW50" t="inlineStr"/>
      <c r="HX50" t="inlineStr"/>
      <c r="HY50" t="inlineStr"/>
      <c r="HZ50" t="inlineStr"/>
      <c r="IA50" t="inlineStr"/>
      <c r="IB50" t="inlineStr"/>
      <c r="IC50" t="inlineStr"/>
      <c r="ID50" t="inlineStr"/>
      <c r="IE50" t="inlineStr"/>
      <c r="IF50" t="inlineStr"/>
      <c r="IG50" t="inlineStr"/>
      <c r="IH50" t="inlineStr"/>
      <c r="II50" t="inlineStr"/>
      <c r="IJ50" t="inlineStr"/>
      <c r="IK50" t="inlineStr"/>
      <c r="IL50" t="inlineStr"/>
      <c r="IM50" t="inlineStr"/>
      <c r="IN50" t="inlineStr"/>
      <c r="IO50" t="inlineStr"/>
      <c r="IP50" t="inlineStr"/>
      <c r="IQ50" t="inlineStr"/>
      <c r="IR50" t="inlineStr"/>
      <c r="IS50">
        <f>IF(input_content_type="",FALSE,ISNUMBER(SEARCH(","&amp;LOWER(input_content_type)&amp;",",","&amp;LOWER(F50)&amp;",")))</f>
        <v/>
      </c>
      <c r="IT50">
        <f>AND(IF(M50="",TRUE,IF(input_affiliations="",FALSE,SUMPRODUCT(--ISNUMBER(SEARCH(","&amp;TRIM(TEXTSPLIT(M50,","))&amp;",",","&amp;SUBSTITUTE(input_affiliations," ","")&amp;",")))&gt;0)),IF(O50="",TRUE,IF(input_affiliations="",FALSE,SUMPRODUCT(--ISNUMBER(SEARCH(","&amp;TRIM(TEXTSPLIT(O50,","))&amp;",",","&amp;SUBSTITUTE(input_affiliations," ","")&amp;",")))=COUNTA(TEXTSPLIT(O50,",")))),IF(Q50="",TRUE,IF(input_affiliations="",TRUE,SUMPRODUCT(--ISNUMBER(SEARCH(","&amp;TRIM(TEXTSPLIT(Q50,","))&amp;",",","&amp;SUBSTITUTE(input_affiliations," ","")&amp;",")))=0)),IF(S50="",TRUE,IF(input_affiliations="",FALSE,SUMPRODUCT(--ISNUMBER(SEARCH(","&amp;TRIM(TEXTSPLIT(S50,","))&amp;",",","&amp;SUBSTITUTE(input_affiliations," ","")&amp;",")))&gt;0)),IF(U50="",TRUE,IF(input_affiliations="",FALSE,SUMPRODUCT(--ISNUMBER(SEARCH(","&amp;TRIM(TEXTSPLIT(U50,","))&amp;",",","&amp;SUBSTITUTE(input_affiliations," ","")&amp;",")))=COUNTA(TEXTSPLIT(U50,",")))))</f>
        <v/>
      </c>
      <c r="IU50">
        <f>AND(IF(W50="",TRUE,IF(input_announcement_category="",FALSE,SUMPRODUCT(--ISNUMBER(SEARCH(","&amp;TRIM(TEXTSPLIT(W50,","))&amp;",",","&amp;SUBSTITUTE(input_announcement_category," ","")&amp;",")))&gt;0)),IF(Y50="",TRUE,IF(input_announcement_category="",FALSE,SUMPRODUCT(--ISNUMBER(SEARCH(","&amp;TRIM(TEXTSPLIT(Y50,","))&amp;",",","&amp;SUBSTITUTE(input_announcement_category," ","")&amp;",")))=COUNTA(TEXTSPLIT(Y50,",")))),IF(AA50="",TRUE,IF(input_announcement_category="",TRUE,SUMPRODUCT(--ISNUMBER(SEARCH(","&amp;TRIM(TEXTSPLIT(AA50,","))&amp;",",","&amp;SUBSTITUTE(input_announcement_category," ","")&amp;",")))=0)),IF(AC50="",TRUE,IF(input_announcement_category="",FALSE,SUMPRODUCT(--ISNUMBER(SEARCH(","&amp;TRIM(TEXTSPLIT(AC50,","))&amp;",",","&amp;SUBSTITUTE(input_announcement_category," ","")&amp;",")))&gt;0)),IF(AE50="",TRUE,IF(input_announcement_category="",FALSE,SUMPRODUCT(--ISNUMBER(SEARCH(","&amp;TRIM(TEXTSPLIT(AE50,","))&amp;",",","&amp;SUBSTITUTE(input_announcement_category," ","")&amp;",")))=COUNTA(TEXTSPLIT(AE50,",")))))</f>
        <v/>
      </c>
      <c r="IV50">
        <f>AND(IF(AG50="",TRUE,IF(input_area_of_focus="",FALSE,SUMPRODUCT(--ISNUMBER(SEARCH(","&amp;TRIM(TEXTSPLIT(AG50,","))&amp;",",","&amp;SUBSTITUTE(input_area_of_focus," ","")&amp;",")))&gt;0)),IF(AI50="",TRUE,IF(input_area_of_focus="",FALSE,SUMPRODUCT(--ISNUMBER(SEARCH(","&amp;TRIM(TEXTSPLIT(AI50,","))&amp;",",","&amp;SUBSTITUTE(input_area_of_focus," ","")&amp;",")))=COUNTA(TEXTSPLIT(AI50,",")))),IF(AK50="",TRUE,IF(input_area_of_focus="",TRUE,SUMPRODUCT(--ISNUMBER(SEARCH(","&amp;TRIM(TEXTSPLIT(AK50,","))&amp;",",","&amp;SUBSTITUTE(input_area_of_focus," ","")&amp;",")))=0)),IF(AM50="",TRUE,IF(input_area_of_focus="",FALSE,SUMPRODUCT(--ISNUMBER(SEARCH(","&amp;TRIM(TEXTSPLIT(AM50,","))&amp;",",","&amp;SUBSTITUTE(input_area_of_focus," ","")&amp;",")))&gt;0)),IF(AO50="",TRUE,IF(input_area_of_focus="",FALSE,SUMPRODUCT(--ISNUMBER(SEARCH(","&amp;TRIM(TEXTSPLIT(AO50,","))&amp;",",","&amp;SUBSTITUTE(input_area_of_focus," ","")&amp;",")))=COUNTA(TEXTSPLIT(AO50,",")))))</f>
        <v/>
      </c>
      <c r="IW50">
        <f>AND(IF(AQ50="",TRUE,IF(input_audience="",FALSE,SUMPRODUCT(--ISNUMBER(SEARCH(","&amp;TRIM(TEXTSPLIT(AQ50,","))&amp;",",","&amp;SUBSTITUTE(input_audience," ","")&amp;",")))&gt;0)),IF(AS50="",TRUE,IF(input_audience="",FALSE,SUMPRODUCT(--ISNUMBER(SEARCH(","&amp;TRIM(TEXTSPLIT(AS50,","))&amp;",",","&amp;SUBSTITUTE(input_audience," ","")&amp;",")))=COUNTA(TEXTSPLIT(AS50,",")))),IF(AU50="",TRUE,IF(input_audience="",TRUE,SUMPRODUCT(--ISNUMBER(SEARCH(","&amp;TRIM(TEXTSPLIT(AU50,","))&amp;",",","&amp;SUBSTITUTE(input_audience," ","")&amp;",")))=0)),IF(AW50="",TRUE,IF(input_audience="",FALSE,SUMPRODUCT(--ISNUMBER(SEARCH(","&amp;TRIM(TEXTSPLIT(AW50,","))&amp;",",","&amp;SUBSTITUTE(input_audience," ","")&amp;",")))&gt;0)),IF(AY50="",TRUE,IF(input_audience="",FALSE,SUMPRODUCT(--ISNUMBER(SEARCH(","&amp;TRIM(TEXTSPLIT(AY50,","))&amp;",",","&amp;SUBSTITUTE(input_audience," ","")&amp;",")))=COUNTA(TEXTSPLIT(AY50,",")))))</f>
        <v/>
      </c>
      <c r="IX50">
        <f>AND(IF(BA50="",TRUE,IF(input_challenge_opportunities="",FALSE,SUMPRODUCT(--ISNUMBER(SEARCH(","&amp;TRIM(TEXTSPLIT(BA50,","))&amp;",",","&amp;SUBSTITUTE(input_challenge_opportunities," ","")&amp;",")))&gt;0)),IF(BC50="",TRUE,IF(input_challenge_opportunities="",FALSE,SUMPRODUCT(--ISNUMBER(SEARCH(","&amp;TRIM(TEXTSPLIT(BC50,","))&amp;",",","&amp;SUBSTITUTE(input_challenge_opportunities," ","")&amp;",")))=COUNTA(TEXTSPLIT(BC50,",")))),IF(BE50="",TRUE,IF(input_challenge_opportunities="",TRUE,SUMPRODUCT(--ISNUMBER(SEARCH(","&amp;TRIM(TEXTSPLIT(BE50,","))&amp;",",","&amp;SUBSTITUTE(input_challenge_opportunities," ","")&amp;",")))=0)),IF(BG50="",TRUE,IF(input_challenge_opportunities="",FALSE,SUMPRODUCT(--ISNUMBER(SEARCH(","&amp;TRIM(TEXTSPLIT(BG50,","))&amp;",",","&amp;SUBSTITUTE(input_challenge_opportunities," ","")&amp;",")))&gt;0)),IF(BI50="",TRUE,IF(input_challenge_opportunities="",FALSE,SUMPRODUCT(--ISNUMBER(SEARCH(","&amp;TRIM(TEXTSPLIT(BI50,","))&amp;",",","&amp;SUBSTITUTE(input_challenge_opportunities," ","")&amp;",")))=COUNTA(TEXTSPLIT(BI50,",")))))</f>
        <v/>
      </c>
      <c r="IY50">
        <f>AND(IF(BK50="",TRUE,IF(input_context="",FALSE,SUMPRODUCT(--ISNUMBER(SEARCH(","&amp;TRIM(TEXTSPLIT(BK50,","))&amp;",",","&amp;SUBSTITUTE(input_context," ","")&amp;",")))&gt;0)),IF(BM50="",TRUE,IF(input_context="",FALSE,SUMPRODUCT(--ISNUMBER(SEARCH(","&amp;TRIM(TEXTSPLIT(BM50,","))&amp;",",","&amp;SUBSTITUTE(input_context," ","")&amp;",")))=COUNTA(TEXTSPLIT(BM50,",")))),IF(BO50="",TRUE,IF(input_context="",TRUE,SUMPRODUCT(--ISNUMBER(SEARCH(","&amp;TRIM(TEXTSPLIT(BO50,","))&amp;",",","&amp;SUBSTITUTE(input_context," ","")&amp;",")))=0)),IF(BQ50="",TRUE,IF(input_context="",FALSE,SUMPRODUCT(--ISNUMBER(SEARCH(","&amp;TRIM(TEXTSPLIT(BQ50,","))&amp;",",","&amp;SUBSTITUTE(input_context," ","")&amp;",")))&gt;0)),IF(BS50="",TRUE,IF(input_context="",FALSE,SUMPRODUCT(--ISNUMBER(SEARCH(","&amp;TRIM(TEXTSPLIT(BS50,","))&amp;",",","&amp;SUBSTITUTE(input_context," ","")&amp;",")))=COUNTA(TEXTSPLIT(BS50,",")))))</f>
        <v/>
      </c>
      <c r="IZ50">
        <f>AND(IF(BU50="",TRUE,IF(input_enews_announcement_type="",FALSE,SUMPRODUCT(--ISNUMBER(SEARCH(","&amp;TRIM(TEXTSPLIT(BU50,","))&amp;",",","&amp;SUBSTITUTE(input_enews_announcement_type," ","")&amp;",")))&gt;0)),IF(BW50="",TRUE,IF(input_enews_announcement_type="",FALSE,SUMPRODUCT(--ISNUMBER(SEARCH(","&amp;TRIM(TEXTSPLIT(BW50,","))&amp;",",","&amp;SUBSTITUTE(input_enews_announcement_type," ","")&amp;",")))=COUNTA(TEXTSPLIT(BW50,",")))),IF(BY50="",TRUE,IF(input_enews_announcement_type="",TRUE,SUMPRODUCT(--ISNUMBER(SEARCH(","&amp;TRIM(TEXTSPLIT(BY50,","))&amp;",",","&amp;SUBSTITUTE(input_enews_announcement_type," ","")&amp;",")))=0)),IF(CA50="",TRUE,IF(input_enews_announcement_type="",FALSE,SUMPRODUCT(--ISNUMBER(SEARCH(","&amp;TRIM(TEXTSPLIT(CA50,","))&amp;",",","&amp;SUBSTITUTE(input_enews_announcement_type," ","")&amp;",")))&gt;0)),IF(CC50="",TRUE,IF(input_enews_announcement_type="",FALSE,SUMPRODUCT(--ISNUMBER(SEARCH(","&amp;TRIM(TEXTSPLIT(CC50,","))&amp;",",","&amp;SUBSTITUTE(input_enews_announcement_type," ","")&amp;",")))=COUNTA(TEXTSPLIT(CC50,",")))))</f>
        <v/>
      </c>
      <c r="JA50">
        <f>AND(IF(CE50="",TRUE,IF(input_enews_audience="",FALSE,SUMPRODUCT(--ISNUMBER(SEARCH(","&amp;TRIM(TEXTSPLIT(CE50,","))&amp;",",","&amp;SUBSTITUTE(input_enews_audience," ","")&amp;",")))&gt;0)),IF(CG50="",TRUE,IF(input_enews_audience="",FALSE,SUMPRODUCT(--ISNUMBER(SEARCH(","&amp;TRIM(TEXTSPLIT(CG50,","))&amp;",",","&amp;SUBSTITUTE(input_enews_audience," ","")&amp;",")))=COUNTA(TEXTSPLIT(CG50,",")))),IF(CI50="",TRUE,IF(input_enews_audience="",TRUE,SUMPRODUCT(--ISNUMBER(SEARCH(","&amp;TRIM(TEXTSPLIT(CI50,","))&amp;",",","&amp;SUBSTITUTE(input_enews_audience," ","")&amp;",")))=0)),IF(CK50="",TRUE,IF(input_enews_audience="",FALSE,SUMPRODUCT(--ISNUMBER(SEARCH(","&amp;TRIM(TEXTSPLIT(CK50,","))&amp;",",","&amp;SUBSTITUTE(input_enews_audience," ","")&amp;",")))&gt;0)),IF(CM50="",TRUE,IF(input_enews_audience="",FALSE,SUMPRODUCT(--ISNUMBER(SEARCH(","&amp;TRIM(TEXTSPLIT(CM50,","))&amp;",",","&amp;SUBSTITUTE(input_enews_audience," ","")&amp;",")))=COUNTA(TEXTSPLIT(CM50,",")))))</f>
        <v/>
      </c>
      <c r="JB50">
        <f>AND(IF(CO50="",TRUE,IF(input_event_location="",FALSE,SUMPRODUCT(--ISNUMBER(SEARCH(","&amp;TRIM(TEXTSPLIT(CO50,","))&amp;",",","&amp;SUBSTITUTE(input_event_location," ","")&amp;",")))&gt;0)),IF(CQ50="",TRUE,IF(input_event_location="",FALSE,SUMPRODUCT(--ISNUMBER(SEARCH(","&amp;TRIM(TEXTSPLIT(CQ50,","))&amp;",",","&amp;SUBSTITUTE(input_event_location," ","")&amp;",")))=COUNTA(TEXTSPLIT(CQ50,",")))),IF(CS50="",TRUE,IF(input_event_location="",TRUE,SUMPRODUCT(--ISNUMBER(SEARCH(","&amp;TRIM(TEXTSPLIT(CS50,","))&amp;",",","&amp;SUBSTITUTE(input_event_location," ","")&amp;",")))=0)),IF(CU50="",TRUE,IF(input_event_location="",FALSE,SUMPRODUCT(--ISNUMBER(SEARCH(","&amp;TRIM(TEXTSPLIT(CU50,","))&amp;",",","&amp;SUBSTITUTE(input_event_location," ","")&amp;",")))&gt;0)),IF(CW50="",TRUE,IF(input_event_location="",FALSE,SUMPRODUCT(--ISNUMBER(SEARCH(","&amp;TRIM(TEXTSPLIT(CW50,","))&amp;",",","&amp;SUBSTITUTE(input_event_location," ","")&amp;",")))=COUNTA(TEXTSPLIT(CW50,",")))))</f>
        <v/>
      </c>
      <c r="JC50">
        <f>AND(IF(CY50="",TRUE,IF(input_event_type="",FALSE,SUMPRODUCT(--ISNUMBER(SEARCH(","&amp;TRIM(TEXTSPLIT(CY50,","))&amp;",",","&amp;SUBSTITUTE(input_event_type," ","")&amp;",")))&gt;0)),IF(DA50="",TRUE,IF(input_event_type="",FALSE,SUMPRODUCT(--ISNUMBER(SEARCH(","&amp;TRIM(TEXTSPLIT(DA50,","))&amp;",",","&amp;SUBSTITUTE(input_event_type," ","")&amp;",")))=COUNTA(TEXTSPLIT(DA50,",")))),IF(DC50="",TRUE,IF(input_event_type="",TRUE,SUMPRODUCT(--ISNUMBER(SEARCH(","&amp;TRIM(TEXTSPLIT(DC50,","))&amp;",",","&amp;SUBSTITUTE(input_event_type," ","")&amp;",")))=0)),IF(DE50="",TRUE,IF(input_event_type="",FALSE,SUMPRODUCT(--ISNUMBER(SEARCH(","&amp;TRIM(TEXTSPLIT(DE50,","))&amp;",",","&amp;SUBSTITUTE(input_event_type," ","")&amp;",")))&gt;0)),IF(DG50="",TRUE,IF(input_event_type="",FALSE,SUMPRODUCT(--ISNUMBER(SEARCH(","&amp;TRIM(TEXTSPLIT(DG50,","))&amp;",",","&amp;SUBSTITUTE(input_event_type," ","")&amp;",")))=COUNTA(TEXTSPLIT(DG50,",")))))</f>
        <v/>
      </c>
      <c r="JD50">
        <f>AND(IF(DI50="",TRUE,IF(input_executive_education_focus="",FALSE,SUMPRODUCT(--ISNUMBER(SEARCH(","&amp;TRIM(TEXTSPLIT(DI50,","))&amp;",",","&amp;SUBSTITUTE(input_executive_education_focus," ","")&amp;",")))&gt;0)),IF(DK50="",TRUE,IF(input_executive_education_focus="",FALSE,SUMPRODUCT(--ISNUMBER(SEARCH(","&amp;TRIM(TEXTSPLIT(DK50,","))&amp;",",","&amp;SUBSTITUTE(input_executive_education_focus," ","")&amp;",")))=COUNTA(TEXTSPLIT(DK50,",")))),IF(DM50="",TRUE,IF(input_executive_education_focus="",TRUE,SUMPRODUCT(--ISNUMBER(SEARCH(","&amp;TRIM(TEXTSPLIT(DM50,","))&amp;",",","&amp;SUBSTITUTE(input_executive_education_focus," ","")&amp;",")))=0)),IF(DO50="",TRUE,IF(input_executive_education_focus="",FALSE,SUMPRODUCT(--ISNUMBER(SEARCH(","&amp;TRIM(TEXTSPLIT(DO50,","))&amp;",",","&amp;SUBSTITUTE(input_executive_education_focus," ","")&amp;",")))&gt;0)),IF(DQ50="",TRUE,IF(input_executive_education_focus="",FALSE,SUMPRODUCT(--ISNUMBER(SEARCH(","&amp;TRIM(TEXTSPLIT(DQ50,","))&amp;",",","&amp;SUBSTITUTE(input_executive_education_focus," ","")&amp;",")))=COUNTA(TEXTSPLIT(DQ50,",")))))</f>
        <v/>
      </c>
      <c r="JE50">
        <f>AND(IF(DS50="",TRUE,IF(input_faculty_category="",FALSE,SUMPRODUCT(--ISNUMBER(SEARCH(","&amp;TRIM(TEXTSPLIT(DS50,","))&amp;",",","&amp;SUBSTITUTE(input_faculty_category," ","")&amp;",")))&gt;0)),IF(DU50="",TRUE,IF(input_faculty_category="",FALSE,SUMPRODUCT(--ISNUMBER(SEARCH(","&amp;TRIM(TEXTSPLIT(DU50,","))&amp;",",","&amp;SUBSTITUTE(input_faculty_category," ","")&amp;",")))=COUNTA(TEXTSPLIT(DU50,",")))),IF(DW50="",TRUE,IF(input_faculty_category="",TRUE,SUMPRODUCT(--ISNUMBER(SEARCH(","&amp;TRIM(TEXTSPLIT(DW50,","))&amp;",",","&amp;SUBSTITUTE(input_faculty_category," ","")&amp;",")))=0)),IF(DY50="",TRUE,IF(input_faculty_category="",FALSE,SUMPRODUCT(--ISNUMBER(SEARCH(","&amp;TRIM(TEXTSPLIT(DY50,","))&amp;",",","&amp;SUBSTITUTE(input_faculty_category," ","")&amp;",")))&gt;0)),IF(EA50="",TRUE,IF(input_faculty_category="",FALSE,SUMPRODUCT(--ISNUMBER(SEARCH(","&amp;TRIM(TEXTSPLIT(EA50,","))&amp;",",","&amp;SUBSTITUTE(input_faculty_category," ","")&amp;",")))=COUNTA(TEXTSPLIT(EA50,",")))))</f>
        <v/>
      </c>
      <c r="JF50">
        <f>AND(IF(EC50="",TRUE,IF(input_faculty_discipline="",FALSE,SUMPRODUCT(--ISNUMBER(SEARCH(","&amp;TRIM(TEXTSPLIT(EC50,","))&amp;",",","&amp;SUBSTITUTE(input_faculty_discipline," ","")&amp;",")))&gt;0)),IF(EE50="",TRUE,IF(input_faculty_discipline="",FALSE,SUMPRODUCT(--ISNUMBER(SEARCH(","&amp;TRIM(TEXTSPLIT(EE50,","))&amp;",",","&amp;SUBSTITUTE(input_faculty_discipline," ","")&amp;",")))=COUNTA(TEXTSPLIT(EE50,",")))),IF(EG50="",TRUE,IF(input_faculty_discipline="",TRUE,SUMPRODUCT(--ISNUMBER(SEARCH(","&amp;TRIM(TEXTSPLIT(EG50,","))&amp;",",","&amp;SUBSTITUTE(input_faculty_discipline," ","")&amp;",")))=0)),IF(EI50="",TRUE,IF(input_faculty_discipline="",FALSE,SUMPRODUCT(--ISNUMBER(SEARCH(","&amp;TRIM(TEXTSPLIT(EI50,","))&amp;",",","&amp;SUBSTITUTE(input_faculty_discipline," ","")&amp;",")))&gt;0)),IF(EK50="",TRUE,IF(input_faculty_discipline="",FALSE,SUMPRODUCT(--ISNUMBER(SEARCH(","&amp;TRIM(TEXTSPLIT(EK50,","))&amp;",",","&amp;SUBSTITUTE(input_faculty_discipline," ","")&amp;",")))=COUNTA(TEXTSPLIT(EK50,",")))))</f>
        <v/>
      </c>
      <c r="JG50">
        <f>AND(IF(EM50="",TRUE,IF(input_faculty_expertise="",FALSE,SUMPRODUCT(--ISNUMBER(SEARCH(","&amp;TRIM(TEXTSPLIT(EM50,","))&amp;",",","&amp;SUBSTITUTE(input_faculty_expertise," ","")&amp;",")))&gt;0)),IF(EO50="",TRUE,IF(input_faculty_expertise="",FALSE,SUMPRODUCT(--ISNUMBER(SEARCH(","&amp;TRIM(TEXTSPLIT(EO50,","))&amp;",",","&amp;SUBSTITUTE(input_faculty_expertise," ","")&amp;",")))=COUNTA(TEXTSPLIT(EO50,",")))),IF(EQ50="",TRUE,IF(input_faculty_expertise="",TRUE,SUMPRODUCT(--ISNUMBER(SEARCH(","&amp;TRIM(TEXTSPLIT(EQ50,","))&amp;",",","&amp;SUBSTITUTE(input_faculty_expertise," ","")&amp;",")))=0)),IF(ES50="",TRUE,IF(input_faculty_expertise="",FALSE,SUMPRODUCT(--ISNUMBER(SEARCH(","&amp;TRIM(TEXTSPLIT(ES50,","))&amp;",",","&amp;SUBSTITUTE(input_faculty_expertise," ","")&amp;",")))&gt;0)),IF(EU50="",TRUE,IF(input_faculty_expertise="",FALSE,SUMPRODUCT(--ISNUMBER(SEARCH(","&amp;TRIM(TEXTSPLIT(EU50,","))&amp;",",","&amp;SUBSTITUTE(input_faculty_expertise," ","")&amp;",")))=COUNTA(TEXTSPLIT(EU50,",")))))</f>
        <v/>
      </c>
      <c r="JH50">
        <f>AND(IF(EW50="",TRUE,IF(input_global_network_school="",FALSE,SUMPRODUCT(--ISNUMBER(SEARCH(","&amp;TRIM(TEXTSPLIT(EW50,","))&amp;",",","&amp;SUBSTITUTE(input_global_network_school," ","")&amp;",")))&gt;0)),IF(EY50="",TRUE,IF(input_global_network_school="",FALSE,SUMPRODUCT(--ISNUMBER(SEARCH(","&amp;TRIM(TEXTSPLIT(EY50,","))&amp;",",","&amp;SUBSTITUTE(input_global_network_school," ","")&amp;",")))=COUNTA(TEXTSPLIT(EY50,",")))),IF(FA50="",TRUE,IF(input_global_network_school="",TRUE,SUMPRODUCT(--ISNUMBER(SEARCH(","&amp;TRIM(TEXTSPLIT(FA50,","))&amp;",",","&amp;SUBSTITUTE(input_global_network_school," ","")&amp;",")))=0)),IF(FC50="",TRUE,IF(input_global_network_school="",FALSE,SUMPRODUCT(--ISNUMBER(SEARCH(","&amp;TRIM(TEXTSPLIT(FC50,","))&amp;",",","&amp;SUBSTITUTE(input_global_network_school," ","")&amp;",")))&gt;0)),IF(FE50="",TRUE,IF(input_global_network_school="",FALSE,SUMPRODUCT(--ISNUMBER(SEARCH(","&amp;TRIM(TEXTSPLIT(FE50,","))&amp;",",","&amp;SUBSTITUTE(input_global_network_school," ","")&amp;",")))=COUNTA(TEXTSPLIT(FE50,",")))))</f>
        <v/>
      </c>
      <c r="JI50">
        <f>AND(IF(FG50="",TRUE,IF(input_industry="",FALSE,SUMPRODUCT(--ISNUMBER(SEARCH(","&amp;TRIM(TEXTSPLIT(FG50,","))&amp;",",","&amp;SUBSTITUTE(input_industry," ","")&amp;",")))&gt;0)),IF(FI50="",TRUE,IF(input_industry="",FALSE,SUMPRODUCT(--ISNUMBER(SEARCH(","&amp;TRIM(TEXTSPLIT(FI50,","))&amp;",",","&amp;SUBSTITUTE(input_industry," ","")&amp;",")))=COUNTA(TEXTSPLIT(FI50,",")))),IF(FK50="",TRUE,IF(input_industry="",TRUE,SUMPRODUCT(--ISNUMBER(SEARCH(","&amp;TRIM(TEXTSPLIT(FK50,","))&amp;",",","&amp;SUBSTITUTE(input_industry," ","")&amp;",")))=0)),IF(FM50="",TRUE,IF(input_industry="",FALSE,SUMPRODUCT(--ISNUMBER(SEARCH(","&amp;TRIM(TEXTSPLIT(FM50,","))&amp;",",","&amp;SUBSTITUTE(input_industry," ","")&amp;",")))&gt;0)),IF(FO50="",TRUE,IF(input_industry="",FALSE,SUMPRODUCT(--ISNUMBER(SEARCH(","&amp;TRIM(TEXTSPLIT(FO50,","))&amp;",",","&amp;SUBSTITUTE(input_industry," ","")&amp;",")))=COUNTA(TEXTSPLIT(FO50,",")))))</f>
        <v/>
      </c>
      <c r="JJ50">
        <f>AND(IF(FQ50="",TRUE,IF(input_location="",FALSE,SUMPRODUCT(--ISNUMBER(SEARCH(","&amp;TRIM(TEXTSPLIT(FQ50,","))&amp;",",","&amp;SUBSTITUTE(input_location," ","")&amp;",")))&gt;0)),IF(FS50="",TRUE,IF(input_location="",FALSE,SUMPRODUCT(--ISNUMBER(SEARCH(","&amp;TRIM(TEXTSPLIT(FS50,","))&amp;",",","&amp;SUBSTITUTE(input_location," ","")&amp;",")))=COUNTA(TEXTSPLIT(FS50,",")))),IF(FU50="",TRUE,IF(input_location="",TRUE,SUMPRODUCT(--ISNUMBER(SEARCH(","&amp;TRIM(TEXTSPLIT(FU50,","))&amp;",",","&amp;SUBSTITUTE(input_location," ","")&amp;",")))=0)),IF(FW50="",TRUE,IF(input_location="",FALSE,SUMPRODUCT(--ISNUMBER(SEARCH(","&amp;TRIM(TEXTSPLIT(FW50,","))&amp;",",","&amp;SUBSTITUTE(input_location," ","")&amp;",")))&gt;0)),IF(FY50="",TRUE,IF(input_location="",FALSE,SUMPRODUCT(--ISNUMBER(SEARCH(","&amp;TRIM(TEXTSPLIT(FY50,","))&amp;",",","&amp;SUBSTITUTE(input_location," ","")&amp;",")))=COUNTA(TEXTSPLIT(FY50,",")))))</f>
        <v/>
      </c>
      <c r="JK50">
        <f>AND(IF(GA50="",TRUE,IF(input_modality="",FALSE,SUMPRODUCT(--ISNUMBER(SEARCH(","&amp;TRIM(TEXTSPLIT(GA50,","))&amp;",",","&amp;SUBSTITUTE(input_modality," ","")&amp;",")))&gt;0)),IF(GC50="",TRUE,IF(input_modality="",FALSE,SUMPRODUCT(--ISNUMBER(SEARCH(","&amp;TRIM(TEXTSPLIT(GC50,","))&amp;",",","&amp;SUBSTITUTE(input_modality," ","")&amp;",")))=COUNTA(TEXTSPLIT(GC50,",")))),IF(GE50="",TRUE,IF(input_modality="",TRUE,SUMPRODUCT(--ISNUMBER(SEARCH(","&amp;TRIM(TEXTSPLIT(GE50,","))&amp;",",","&amp;SUBSTITUTE(input_modality," ","")&amp;",")))=0)),IF(GG50="",TRUE,IF(input_modality="",FALSE,SUMPRODUCT(--ISNUMBER(SEARCH(","&amp;TRIM(TEXTSPLIT(GG50,","))&amp;",",","&amp;SUBSTITUTE(input_modality," ","")&amp;",")))&gt;0)),IF(GI50="",TRUE,IF(input_modality="",FALSE,SUMPRODUCT(--ISNUMBER(SEARCH(","&amp;TRIM(TEXTSPLIT(GI50,","))&amp;",",","&amp;SUBSTITUTE(input_modality," ","")&amp;",")))=COUNTA(TEXTSPLIT(GI50,",")))))</f>
        <v/>
      </c>
      <c r="JL50">
        <f>AND(IF(GK50="",TRUE,IF(input_organizer="",FALSE,SUMPRODUCT(--ISNUMBER(SEARCH(","&amp;TRIM(TEXTSPLIT(GK50,","))&amp;",",","&amp;SUBSTITUTE(input_organizer," ","")&amp;",")))&gt;0)),IF(GM50="",TRUE,IF(input_organizer="",FALSE,SUMPRODUCT(--ISNUMBER(SEARCH(","&amp;TRIM(TEXTSPLIT(GM50,","))&amp;",",","&amp;SUBSTITUTE(input_organizer," ","")&amp;",")))=COUNTA(TEXTSPLIT(GM50,",")))),IF(GO50="",TRUE,IF(input_organizer="",TRUE,SUMPRODUCT(--ISNUMBER(SEARCH(","&amp;TRIM(TEXTSPLIT(GO50,","))&amp;",",","&amp;SUBSTITUTE(input_organizer," ","")&amp;",")))=0)),IF(GQ50="",TRUE,IF(input_organizer="",FALSE,SUMPRODUCT(--ISNUMBER(SEARCH(","&amp;TRIM(TEXTSPLIT(GQ50,","))&amp;",",","&amp;SUBSTITUTE(input_organizer," ","")&amp;",")))&gt;0)),IF(GS50="",TRUE,IF(input_organizer="",FALSE,SUMPRODUCT(--ISNUMBER(SEARCH(","&amp;TRIM(TEXTSPLIT(GS50,","))&amp;",",","&amp;SUBSTITUTE(input_organizer," ","")&amp;",")))=COUNTA(TEXTSPLIT(GS50,",")))))</f>
        <v/>
      </c>
      <c r="JM50">
        <f>AND(IF(GU50="",TRUE,IF(input_profile_type="",FALSE,SUMPRODUCT(--ISNUMBER(SEARCH(","&amp;TRIM(TEXTSPLIT(GU50,","))&amp;",",","&amp;SUBSTITUTE(input_profile_type," ","")&amp;",")))&gt;0)),IF(GW50="",TRUE,IF(input_profile_type="",FALSE,SUMPRODUCT(--ISNUMBER(SEARCH(","&amp;TRIM(TEXTSPLIT(GW50,","))&amp;",",","&amp;SUBSTITUTE(input_profile_type," ","")&amp;",")))=COUNTA(TEXTSPLIT(GW50,",")))),IF(GY50="",TRUE,IF(input_profile_type="",TRUE,SUMPRODUCT(--ISNUMBER(SEARCH(","&amp;TRIM(TEXTSPLIT(GY50,","))&amp;",",","&amp;SUBSTITUTE(input_profile_type," ","")&amp;",")))=0)),IF(HA50="",TRUE,IF(input_profile_type="",FALSE,SUMPRODUCT(--ISNUMBER(SEARCH(","&amp;TRIM(TEXTSPLIT(HA50,","))&amp;",",","&amp;SUBSTITUTE(input_profile_type," ","")&amp;",")))&gt;0)),IF(HC50="",TRUE,IF(input_profile_type="",FALSE,SUMPRODUCT(--ISNUMBER(SEARCH(","&amp;TRIM(TEXTSPLIT(HC50,","))&amp;",",","&amp;SUBSTITUTE(input_profile_type," ","")&amp;",")))=COUNTA(TEXTSPLIT(HC50,",")))))</f>
        <v/>
      </c>
      <c r="JN50">
        <f>AND(IF(HE50="",TRUE,IF(input_program="",FALSE,SUMPRODUCT(--ISNUMBER(SEARCH(","&amp;TRIM(TEXTSPLIT(HE50,","))&amp;",",","&amp;SUBSTITUTE(input_program," ","")&amp;",")))&gt;0)),IF(HG50="",TRUE,IF(input_program="",FALSE,SUMPRODUCT(--ISNUMBER(SEARCH(","&amp;TRIM(TEXTSPLIT(HG50,","))&amp;",",","&amp;SUBSTITUTE(input_program," ","")&amp;",")))=COUNTA(TEXTSPLIT(HG50,",")))),IF(HI50="",TRUE,IF(input_program="",TRUE,SUMPRODUCT(--ISNUMBER(SEARCH(","&amp;TRIM(TEXTSPLIT(HI50,","))&amp;",",","&amp;SUBSTITUTE(input_program," ","")&amp;",")))=0)),IF(HK50="",TRUE,IF(input_program="",FALSE,SUMPRODUCT(--ISNUMBER(SEARCH(","&amp;TRIM(TEXTSPLIT(HK50,","))&amp;",",","&amp;SUBSTITUTE(input_program," ","")&amp;",")))&gt;0)),IF(HM50="",TRUE,IF(input_program="",FALSE,SUMPRODUCT(--ISNUMBER(SEARCH(","&amp;TRIM(TEXTSPLIT(HM50,","))&amp;",",","&amp;SUBSTITUTE(input_program," ","")&amp;",")))=COUNTA(TEXTSPLIT(HM50,",")))))</f>
        <v/>
      </c>
      <c r="JO50">
        <f>AND(IF(HO50="",TRUE,IF(input_story_categories="",FALSE,SUMPRODUCT(--ISNUMBER(SEARCH(","&amp;TRIM(TEXTSPLIT(HO50,","))&amp;",",","&amp;SUBSTITUTE(input_story_categories," ","")&amp;",")))&gt;0)),IF(HQ50="",TRUE,IF(input_story_categories="",FALSE,SUMPRODUCT(--ISNUMBER(SEARCH(","&amp;TRIM(TEXTSPLIT(HQ50,","))&amp;",",","&amp;SUBSTITUTE(input_story_categories," ","")&amp;",")))=COUNTA(TEXTSPLIT(HQ50,",")))),IF(HS50="",TRUE,IF(input_story_categories="",TRUE,SUMPRODUCT(--ISNUMBER(SEARCH(","&amp;TRIM(TEXTSPLIT(HS50,","))&amp;",",","&amp;SUBSTITUTE(input_story_categories," ","")&amp;",")))=0)),IF(HU50="",TRUE,IF(input_story_categories="",FALSE,SUMPRODUCT(--ISNUMBER(SEARCH(","&amp;TRIM(TEXTSPLIT(HU50,","))&amp;",",","&amp;SUBSTITUTE(input_story_categories," ","")&amp;",")))&gt;0)),IF(HW50="",TRUE,IF(input_story_categories="",FALSE,SUMPRODUCT(--ISNUMBER(SEARCH(","&amp;TRIM(TEXTSPLIT(HW50,","))&amp;",",","&amp;SUBSTITUTE(input_story_categories," ","")&amp;",")))=COUNTA(TEXTSPLIT(HW50,",")))))</f>
        <v/>
      </c>
      <c r="JP50">
        <f>AND(IF(HY50="",TRUE,IF(input_story_type="",FALSE,SUMPRODUCT(--ISNUMBER(SEARCH(","&amp;TRIM(TEXTSPLIT(HY50,","))&amp;",",","&amp;SUBSTITUTE(input_story_type," ","")&amp;",")))&gt;0)),IF(IA50="",TRUE,IF(input_story_type="",FALSE,SUMPRODUCT(--ISNUMBER(SEARCH(","&amp;TRIM(TEXTSPLIT(IA50,","))&amp;",",","&amp;SUBSTITUTE(input_story_type," ","")&amp;",")))=COUNTA(TEXTSPLIT(IA50,",")))),IF(IC50="",TRUE,IF(input_story_type="",TRUE,SUMPRODUCT(--ISNUMBER(SEARCH(","&amp;TRIM(TEXTSPLIT(IC50,","))&amp;",",","&amp;SUBSTITUTE(input_story_type," ","")&amp;",")))=0)),IF(IE50="",TRUE,IF(input_story_type="",FALSE,SUMPRODUCT(--ISNUMBER(SEARCH(","&amp;TRIM(TEXTSPLIT(IE50,","))&amp;",",","&amp;SUBSTITUTE(input_story_type," ","")&amp;",")))&gt;0)),IF(IG50="",TRUE,IF(input_story_type="",FALSE,SUMPRODUCT(--ISNUMBER(SEARCH(","&amp;TRIM(TEXTSPLIT(IG50,","))&amp;",",","&amp;SUBSTITUTE(input_story_type," ","")&amp;",")))=COUNTA(TEXTSPLIT(IG50,",")))))</f>
        <v/>
      </c>
      <c r="JQ50">
        <f>AND(IF(II50="",TRUE,IF(input_topics="",FALSE,SUMPRODUCT(--ISNUMBER(SEARCH(","&amp;TRIM(TEXTSPLIT(II50,","))&amp;",",","&amp;SUBSTITUTE(input_topics," ","")&amp;",")))&gt;0)),IF(IK50="",TRUE,IF(input_topics="",FALSE,SUMPRODUCT(--ISNUMBER(SEARCH(","&amp;TRIM(TEXTSPLIT(IK50,","))&amp;",",","&amp;SUBSTITUTE(input_topics," ","")&amp;",")))=COUNTA(TEXTSPLIT(IK50,",")))),IF(IM50="",TRUE,IF(input_topics="",TRUE,SUMPRODUCT(--ISNUMBER(SEARCH(","&amp;TRIM(TEXTSPLIT(IM50,","))&amp;",",","&amp;SUBSTITUTE(input_topics," ","")&amp;",")))=0)),IF(IO50="",TRUE,IF(input_topics="",FALSE,SUMPRODUCT(--ISNUMBER(SEARCH(","&amp;TRIM(TEXTSPLIT(IO50,","))&amp;",",","&amp;SUBSTITUTE(input_topics," ","")&amp;",")))&gt;0)),IF(IQ50="",TRUE,IF(input_topics="",FALSE,SUMPRODUCT(--ISNUMBER(SEARCH(","&amp;TRIM(TEXTSPLIT(IQ50,","))&amp;",",","&amp;SUBSTITUTE(input_topics," ","")&amp;",")))=COUNTA(TEXTSPLIT(IQ50,",")))))</f>
        <v/>
      </c>
    </row>
    <row r="51">
      <c r="A51" s="4">
        <f>IF(NOT(IS51),"Excluded",IF(AND(IT51,IU51,IV51,IW51,IX51,IY51,IZ51,JA51,JB51,JC51,JD51,JE51,JF51,JG51,JH51,JI51,JJ51,JK51,JL51,JM51,JN51,JO51,JP51,JQ51),IF(I51&gt;0,"Eligible but limited","Will appear"),"Excluded"))</f>
        <v/>
      </c>
      <c r="B51" s="4" t="inlineStr">
        <is>
          <t>All Publications by Author</t>
        </is>
      </c>
      <c r="C51" s="4" t="inlineStr">
        <is>
          <t>/faculty-research/faculty-directory/tauhid-zaman</t>
        </is>
      </c>
      <c r="D51" s="4" t="inlineStr">
        <is>
          <t>/faculty-research/faculty-directory/tauhid-zaman</t>
        </is>
      </c>
      <c r="E51" s="4" t="n">
        <v>1</v>
      </c>
      <c r="F51" s="4" t="inlineStr">
        <is>
          <t>publications</t>
        </is>
      </c>
      <c r="G51" s="4" t="inlineStr">
        <is>
          <t>publication_teaser_list</t>
        </is>
      </c>
      <c r="H51" s="4" t="inlineStr">
        <is>
          <t>publication_teaser_list_all_by_author</t>
        </is>
      </c>
      <c r="I51" s="4" t="inlineStr"/>
      <c r="J51" s="4" t="inlineStr">
        <is>
          <t>View/config rules</t>
        </is>
      </c>
      <c r="K51" s="4" t="inlineStr">
        <is>
          <t>Page placement</t>
        </is>
      </c>
      <c r="L51" s="4" t="inlineStr">
        <is>
          <t>Content type: publications; Source: View/config rules</t>
        </is>
      </c>
      <c r="M51" t="inlineStr"/>
      <c r="N51" t="inlineStr"/>
      <c r="O51" t="inlineStr"/>
      <c r="P51" t="inlineStr"/>
      <c r="Q51" t="inlineStr"/>
      <c r="R51" t="inlineStr"/>
      <c r="S51" t="inlineStr"/>
      <c r="T51" t="inlineStr"/>
      <c r="U51" t="inlineStr"/>
      <c r="V51" t="inlineStr"/>
      <c r="W51" t="inlineStr"/>
      <c r="X51" t="inlineStr"/>
      <c r="Y51" t="inlineStr"/>
      <c r="Z51" t="inlineStr"/>
      <c r="AA51" t="inlineStr"/>
      <c r="AB51" t="inlineStr"/>
      <c r="AC51" t="inlineStr"/>
      <c r="AD51" t="inlineStr"/>
      <c r="AE51" t="inlineStr"/>
      <c r="AF51" t="inlineStr"/>
      <c r="AG51" t="inlineStr"/>
      <c r="AH51" t="inlineStr"/>
      <c r="AI51" t="inlineStr"/>
      <c r="AJ51" t="inlineStr"/>
      <c r="AK51" t="inlineStr"/>
      <c r="AL51" t="inlineStr"/>
      <c r="AM51" t="inlineStr"/>
      <c r="AN51" t="inlineStr"/>
      <c r="AO51" t="inlineStr"/>
      <c r="AP51" t="inlineStr"/>
      <c r="AQ51" t="inlineStr"/>
      <c r="AR51" t="inlineStr"/>
      <c r="AS51" t="inlineStr"/>
      <c r="AT51" t="inlineStr"/>
      <c r="AU51" t="inlineStr"/>
      <c r="AV51" t="inlineStr"/>
      <c r="AW51" t="inlineStr"/>
      <c r="AX51" t="inlineStr"/>
      <c r="AY51" t="inlineStr"/>
      <c r="AZ51" t="inlineStr"/>
      <c r="BA51" t="inlineStr"/>
      <c r="BB51" t="inlineStr"/>
      <c r="BC51" t="inlineStr"/>
      <c r="BD51" t="inlineStr"/>
      <c r="BE51" t="inlineStr"/>
      <c r="BF51" t="inlineStr"/>
      <c r="BG51" t="inlineStr"/>
      <c r="BH51" t="inlineStr"/>
      <c r="BI51" t="inlineStr"/>
      <c r="BJ51" t="inlineStr"/>
      <c r="BK51" t="inlineStr"/>
      <c r="BL51" t="inlineStr"/>
      <c r="BM51" t="inlineStr"/>
      <c r="BN51" t="inlineStr"/>
      <c r="BO51" t="inlineStr"/>
      <c r="BP51" t="inlineStr"/>
      <c r="BQ51" t="inlineStr"/>
      <c r="BR51" t="inlineStr"/>
      <c r="BS51" t="inlineStr"/>
      <c r="BT51" t="inlineStr"/>
      <c r="BU51" t="inlineStr"/>
      <c r="BV51" t="inlineStr"/>
      <c r="BW51" t="inlineStr"/>
      <c r="BX51" t="inlineStr"/>
      <c r="BY51" t="inlineStr"/>
      <c r="BZ51" t="inlineStr"/>
      <c r="CA51" t="inlineStr"/>
      <c r="CB51" t="inlineStr"/>
      <c r="CC51" t="inlineStr"/>
      <c r="CD51" t="inlineStr"/>
      <c r="CE51" t="inlineStr"/>
      <c r="CF51" t="inlineStr"/>
      <c r="CG51" t="inlineStr"/>
      <c r="CH51" t="inlineStr"/>
      <c r="CI51" t="inlineStr"/>
      <c r="CJ51" t="inlineStr"/>
      <c r="CK51" t="inlineStr"/>
      <c r="CL51" t="inlineStr"/>
      <c r="CM51" t="inlineStr"/>
      <c r="CN51" t="inlineStr"/>
      <c r="CO51" t="inlineStr"/>
      <c r="CP51" t="inlineStr"/>
      <c r="CQ51" t="inlineStr"/>
      <c r="CR51" t="inlineStr"/>
      <c r="CS51" t="inlineStr"/>
      <c r="CT51" t="inlineStr"/>
      <c r="CU51" t="inlineStr"/>
      <c r="CV51" t="inlineStr"/>
      <c r="CW51" t="inlineStr"/>
      <c r="CX51" t="inlineStr"/>
      <c r="CY51" t="inlineStr"/>
      <c r="CZ51" t="inlineStr"/>
      <c r="DA51" t="inlineStr"/>
      <c r="DB51" t="inlineStr"/>
      <c r="DC51" t="inlineStr"/>
      <c r="DD51" t="inlineStr"/>
      <c r="DE51" t="inlineStr"/>
      <c r="DF51" t="inlineStr"/>
      <c r="DG51" t="inlineStr"/>
      <c r="DH51" t="inlineStr"/>
      <c r="DI51" t="inlineStr"/>
      <c r="DJ51" t="inlineStr"/>
      <c r="DK51" t="inlineStr"/>
      <c r="DL51" t="inlineStr"/>
      <c r="DM51" t="inlineStr"/>
      <c r="DN51" t="inlineStr"/>
      <c r="DO51" t="inlineStr"/>
      <c r="DP51" t="inlineStr"/>
      <c r="DQ51" t="inlineStr"/>
      <c r="DR51" t="inlineStr"/>
      <c r="DS51" t="inlineStr"/>
      <c r="DT51" t="inlineStr"/>
      <c r="DU51" t="inlineStr"/>
      <c r="DV51" t="inlineStr"/>
      <c r="DW51" t="inlineStr"/>
      <c r="DX51" t="inlineStr"/>
      <c r="DY51" t="inlineStr"/>
      <c r="DZ51" t="inlineStr"/>
      <c r="EA51" t="inlineStr"/>
      <c r="EB51" t="inlineStr"/>
      <c r="EC51" t="inlineStr"/>
      <c r="ED51" t="inlineStr"/>
      <c r="EE51" t="inlineStr"/>
      <c r="EF51" t="inlineStr"/>
      <c r="EG51" t="inlineStr"/>
      <c r="EH51" t="inlineStr"/>
      <c r="EI51" t="inlineStr"/>
      <c r="EJ51" t="inlineStr"/>
      <c r="EK51" t="inlineStr"/>
      <c r="EL51" t="inlineStr"/>
      <c r="EM51" t="inlineStr"/>
      <c r="EN51" t="inlineStr"/>
      <c r="EO51" t="inlineStr"/>
      <c r="EP51" t="inlineStr"/>
      <c r="EQ51" t="inlineStr"/>
      <c r="ER51" t="inlineStr"/>
      <c r="ES51" t="inlineStr"/>
      <c r="ET51" t="inlineStr"/>
      <c r="EU51" t="inlineStr"/>
      <c r="EV51" t="inlineStr"/>
      <c r="EW51" t="inlineStr"/>
      <c r="EX51" t="inlineStr"/>
      <c r="EY51" t="inlineStr"/>
      <c r="EZ51" t="inlineStr"/>
      <c r="FA51" t="inlineStr"/>
      <c r="FB51" t="inlineStr"/>
      <c r="FC51" t="inlineStr"/>
      <c r="FD51" t="inlineStr"/>
      <c r="FE51" t="inlineStr"/>
      <c r="FF51" t="inlineStr"/>
      <c r="FG51" t="inlineStr"/>
      <c r="FH51" t="inlineStr"/>
      <c r="FI51" t="inlineStr"/>
      <c r="FJ51" t="inlineStr"/>
      <c r="FK51" t="inlineStr"/>
      <c r="FL51" t="inlineStr"/>
      <c r="FM51" t="inlineStr"/>
      <c r="FN51" t="inlineStr"/>
      <c r="FO51" t="inlineStr"/>
      <c r="FP51" t="inlineStr"/>
      <c r="FQ51" t="inlineStr"/>
      <c r="FR51" t="inlineStr"/>
      <c r="FS51" t="inlineStr"/>
      <c r="FT51" t="inlineStr"/>
      <c r="FU51" t="inlineStr"/>
      <c r="FV51" t="inlineStr"/>
      <c r="FW51" t="inlineStr"/>
      <c r="FX51" t="inlineStr"/>
      <c r="FY51" t="inlineStr"/>
      <c r="FZ51" t="inlineStr"/>
      <c r="GA51" t="inlineStr"/>
      <c r="GB51" t="inlineStr"/>
      <c r="GC51" t="inlineStr"/>
      <c r="GD51" t="inlineStr"/>
      <c r="GE51" t="inlineStr"/>
      <c r="GF51" t="inlineStr"/>
      <c r="GG51" t="inlineStr"/>
      <c r="GH51" t="inlineStr"/>
      <c r="GI51" t="inlineStr"/>
      <c r="GJ51" t="inlineStr"/>
      <c r="GK51" t="inlineStr"/>
      <c r="GL51" t="inlineStr"/>
      <c r="GM51" t="inlineStr"/>
      <c r="GN51" t="inlineStr"/>
      <c r="GO51" t="inlineStr"/>
      <c r="GP51" t="inlineStr"/>
      <c r="GQ51" t="inlineStr"/>
      <c r="GR51" t="inlineStr"/>
      <c r="GS51" t="inlineStr"/>
      <c r="GT51" t="inlineStr"/>
      <c r="GU51" t="inlineStr"/>
      <c r="GV51" t="inlineStr"/>
      <c r="GW51" t="inlineStr"/>
      <c r="GX51" t="inlineStr"/>
      <c r="GY51" t="inlineStr"/>
      <c r="GZ51" t="inlineStr"/>
      <c r="HA51" t="inlineStr"/>
      <c r="HB51" t="inlineStr"/>
      <c r="HC51" t="inlineStr"/>
      <c r="HD51" t="inlineStr"/>
      <c r="HE51" t="inlineStr"/>
      <c r="HF51" t="inlineStr"/>
      <c r="HG51" t="inlineStr"/>
      <c r="HH51" t="inlineStr"/>
      <c r="HI51" t="inlineStr"/>
      <c r="HJ51" t="inlineStr"/>
      <c r="HK51" t="inlineStr"/>
      <c r="HL51" t="inlineStr"/>
      <c r="HM51" t="inlineStr"/>
      <c r="HN51" t="inlineStr"/>
      <c r="HO51" t="inlineStr"/>
      <c r="HP51" t="inlineStr"/>
      <c r="HQ51" t="inlineStr"/>
      <c r="HR51" t="inlineStr"/>
      <c r="HS51" t="inlineStr"/>
      <c r="HT51" t="inlineStr"/>
      <c r="HU51" t="inlineStr"/>
      <c r="HV51" t="inlineStr"/>
      <c r="HW51" t="inlineStr"/>
      <c r="HX51" t="inlineStr"/>
      <c r="HY51" t="inlineStr"/>
      <c r="HZ51" t="inlineStr"/>
      <c r="IA51" t="inlineStr"/>
      <c r="IB51" t="inlineStr"/>
      <c r="IC51" t="inlineStr"/>
      <c r="ID51" t="inlineStr"/>
      <c r="IE51" t="inlineStr"/>
      <c r="IF51" t="inlineStr"/>
      <c r="IG51" t="inlineStr"/>
      <c r="IH51" t="inlineStr"/>
      <c r="II51" t="inlineStr"/>
      <c r="IJ51" t="inlineStr"/>
      <c r="IK51" t="inlineStr"/>
      <c r="IL51" t="inlineStr"/>
      <c r="IM51" t="inlineStr"/>
      <c r="IN51" t="inlineStr"/>
      <c r="IO51" t="inlineStr"/>
      <c r="IP51" t="inlineStr"/>
      <c r="IQ51" t="inlineStr"/>
      <c r="IR51" t="inlineStr"/>
      <c r="IS51">
        <f>IF(input_content_type="",FALSE,ISNUMBER(SEARCH(","&amp;LOWER(input_content_type)&amp;",",","&amp;LOWER(F51)&amp;",")))</f>
        <v/>
      </c>
      <c r="IT51">
        <f>AND(IF(M51="",TRUE,IF(input_affiliations="",FALSE,SUMPRODUCT(--ISNUMBER(SEARCH(","&amp;TRIM(TEXTSPLIT(M51,","))&amp;",",","&amp;SUBSTITUTE(input_affiliations," ","")&amp;",")))&gt;0)),IF(O51="",TRUE,IF(input_affiliations="",FALSE,SUMPRODUCT(--ISNUMBER(SEARCH(","&amp;TRIM(TEXTSPLIT(O51,","))&amp;",",","&amp;SUBSTITUTE(input_affiliations," ","")&amp;",")))=COUNTA(TEXTSPLIT(O51,",")))),IF(Q51="",TRUE,IF(input_affiliations="",TRUE,SUMPRODUCT(--ISNUMBER(SEARCH(","&amp;TRIM(TEXTSPLIT(Q51,","))&amp;",",","&amp;SUBSTITUTE(input_affiliations," ","")&amp;",")))=0)),IF(S51="",TRUE,IF(input_affiliations="",FALSE,SUMPRODUCT(--ISNUMBER(SEARCH(","&amp;TRIM(TEXTSPLIT(S51,","))&amp;",",","&amp;SUBSTITUTE(input_affiliations," ","")&amp;",")))&gt;0)),IF(U51="",TRUE,IF(input_affiliations="",FALSE,SUMPRODUCT(--ISNUMBER(SEARCH(","&amp;TRIM(TEXTSPLIT(U51,","))&amp;",",","&amp;SUBSTITUTE(input_affiliations," ","")&amp;",")))=COUNTA(TEXTSPLIT(U51,",")))))</f>
        <v/>
      </c>
      <c r="IU51">
        <f>AND(IF(W51="",TRUE,IF(input_announcement_category="",FALSE,SUMPRODUCT(--ISNUMBER(SEARCH(","&amp;TRIM(TEXTSPLIT(W51,","))&amp;",",","&amp;SUBSTITUTE(input_announcement_category," ","")&amp;",")))&gt;0)),IF(Y51="",TRUE,IF(input_announcement_category="",FALSE,SUMPRODUCT(--ISNUMBER(SEARCH(","&amp;TRIM(TEXTSPLIT(Y51,","))&amp;",",","&amp;SUBSTITUTE(input_announcement_category," ","")&amp;",")))=COUNTA(TEXTSPLIT(Y51,",")))),IF(AA51="",TRUE,IF(input_announcement_category="",TRUE,SUMPRODUCT(--ISNUMBER(SEARCH(","&amp;TRIM(TEXTSPLIT(AA51,","))&amp;",",","&amp;SUBSTITUTE(input_announcement_category," ","")&amp;",")))=0)),IF(AC51="",TRUE,IF(input_announcement_category="",FALSE,SUMPRODUCT(--ISNUMBER(SEARCH(","&amp;TRIM(TEXTSPLIT(AC51,","))&amp;",",","&amp;SUBSTITUTE(input_announcement_category," ","")&amp;",")))&gt;0)),IF(AE51="",TRUE,IF(input_announcement_category="",FALSE,SUMPRODUCT(--ISNUMBER(SEARCH(","&amp;TRIM(TEXTSPLIT(AE51,","))&amp;",",","&amp;SUBSTITUTE(input_announcement_category," ","")&amp;",")))=COUNTA(TEXTSPLIT(AE51,",")))))</f>
        <v/>
      </c>
      <c r="IV51">
        <f>AND(IF(AG51="",TRUE,IF(input_area_of_focus="",FALSE,SUMPRODUCT(--ISNUMBER(SEARCH(","&amp;TRIM(TEXTSPLIT(AG51,","))&amp;",",","&amp;SUBSTITUTE(input_area_of_focus," ","")&amp;",")))&gt;0)),IF(AI51="",TRUE,IF(input_area_of_focus="",FALSE,SUMPRODUCT(--ISNUMBER(SEARCH(","&amp;TRIM(TEXTSPLIT(AI51,","))&amp;",",","&amp;SUBSTITUTE(input_area_of_focus," ","")&amp;",")))=COUNTA(TEXTSPLIT(AI51,",")))),IF(AK51="",TRUE,IF(input_area_of_focus="",TRUE,SUMPRODUCT(--ISNUMBER(SEARCH(","&amp;TRIM(TEXTSPLIT(AK51,","))&amp;",",","&amp;SUBSTITUTE(input_area_of_focus," ","")&amp;",")))=0)),IF(AM51="",TRUE,IF(input_area_of_focus="",FALSE,SUMPRODUCT(--ISNUMBER(SEARCH(","&amp;TRIM(TEXTSPLIT(AM51,","))&amp;",",","&amp;SUBSTITUTE(input_area_of_focus," ","")&amp;",")))&gt;0)),IF(AO51="",TRUE,IF(input_area_of_focus="",FALSE,SUMPRODUCT(--ISNUMBER(SEARCH(","&amp;TRIM(TEXTSPLIT(AO51,","))&amp;",",","&amp;SUBSTITUTE(input_area_of_focus," ","")&amp;",")))=COUNTA(TEXTSPLIT(AO51,",")))))</f>
        <v/>
      </c>
      <c r="IW51">
        <f>AND(IF(AQ51="",TRUE,IF(input_audience="",FALSE,SUMPRODUCT(--ISNUMBER(SEARCH(","&amp;TRIM(TEXTSPLIT(AQ51,","))&amp;",",","&amp;SUBSTITUTE(input_audience," ","")&amp;",")))&gt;0)),IF(AS51="",TRUE,IF(input_audience="",FALSE,SUMPRODUCT(--ISNUMBER(SEARCH(","&amp;TRIM(TEXTSPLIT(AS51,","))&amp;",",","&amp;SUBSTITUTE(input_audience," ","")&amp;",")))=COUNTA(TEXTSPLIT(AS51,",")))),IF(AU51="",TRUE,IF(input_audience="",TRUE,SUMPRODUCT(--ISNUMBER(SEARCH(","&amp;TRIM(TEXTSPLIT(AU51,","))&amp;",",","&amp;SUBSTITUTE(input_audience," ","")&amp;",")))=0)),IF(AW51="",TRUE,IF(input_audience="",FALSE,SUMPRODUCT(--ISNUMBER(SEARCH(","&amp;TRIM(TEXTSPLIT(AW51,","))&amp;",",","&amp;SUBSTITUTE(input_audience," ","")&amp;",")))&gt;0)),IF(AY51="",TRUE,IF(input_audience="",FALSE,SUMPRODUCT(--ISNUMBER(SEARCH(","&amp;TRIM(TEXTSPLIT(AY51,","))&amp;",",","&amp;SUBSTITUTE(input_audience," ","")&amp;",")))=COUNTA(TEXTSPLIT(AY51,",")))))</f>
        <v/>
      </c>
      <c r="IX51">
        <f>AND(IF(BA51="",TRUE,IF(input_challenge_opportunities="",FALSE,SUMPRODUCT(--ISNUMBER(SEARCH(","&amp;TRIM(TEXTSPLIT(BA51,","))&amp;",",","&amp;SUBSTITUTE(input_challenge_opportunities," ","")&amp;",")))&gt;0)),IF(BC51="",TRUE,IF(input_challenge_opportunities="",FALSE,SUMPRODUCT(--ISNUMBER(SEARCH(","&amp;TRIM(TEXTSPLIT(BC51,","))&amp;",",","&amp;SUBSTITUTE(input_challenge_opportunities," ","")&amp;",")))=COUNTA(TEXTSPLIT(BC51,",")))),IF(BE51="",TRUE,IF(input_challenge_opportunities="",TRUE,SUMPRODUCT(--ISNUMBER(SEARCH(","&amp;TRIM(TEXTSPLIT(BE51,","))&amp;",",","&amp;SUBSTITUTE(input_challenge_opportunities," ","")&amp;",")))=0)),IF(BG51="",TRUE,IF(input_challenge_opportunities="",FALSE,SUMPRODUCT(--ISNUMBER(SEARCH(","&amp;TRIM(TEXTSPLIT(BG51,","))&amp;",",","&amp;SUBSTITUTE(input_challenge_opportunities," ","")&amp;",")))&gt;0)),IF(BI51="",TRUE,IF(input_challenge_opportunities="",FALSE,SUMPRODUCT(--ISNUMBER(SEARCH(","&amp;TRIM(TEXTSPLIT(BI51,","))&amp;",",","&amp;SUBSTITUTE(input_challenge_opportunities," ","")&amp;",")))=COUNTA(TEXTSPLIT(BI51,",")))))</f>
        <v/>
      </c>
      <c r="IY51">
        <f>AND(IF(BK51="",TRUE,IF(input_context="",FALSE,SUMPRODUCT(--ISNUMBER(SEARCH(","&amp;TRIM(TEXTSPLIT(BK51,","))&amp;",",","&amp;SUBSTITUTE(input_context," ","")&amp;",")))&gt;0)),IF(BM51="",TRUE,IF(input_context="",FALSE,SUMPRODUCT(--ISNUMBER(SEARCH(","&amp;TRIM(TEXTSPLIT(BM51,","))&amp;",",","&amp;SUBSTITUTE(input_context," ","")&amp;",")))=COUNTA(TEXTSPLIT(BM51,",")))),IF(BO51="",TRUE,IF(input_context="",TRUE,SUMPRODUCT(--ISNUMBER(SEARCH(","&amp;TRIM(TEXTSPLIT(BO51,","))&amp;",",","&amp;SUBSTITUTE(input_context," ","")&amp;",")))=0)),IF(BQ51="",TRUE,IF(input_context="",FALSE,SUMPRODUCT(--ISNUMBER(SEARCH(","&amp;TRIM(TEXTSPLIT(BQ51,","))&amp;",",","&amp;SUBSTITUTE(input_context," ","")&amp;",")))&gt;0)),IF(BS51="",TRUE,IF(input_context="",FALSE,SUMPRODUCT(--ISNUMBER(SEARCH(","&amp;TRIM(TEXTSPLIT(BS51,","))&amp;",",","&amp;SUBSTITUTE(input_context," ","")&amp;",")))=COUNTA(TEXTSPLIT(BS51,",")))))</f>
        <v/>
      </c>
      <c r="IZ51">
        <f>AND(IF(BU51="",TRUE,IF(input_enews_announcement_type="",FALSE,SUMPRODUCT(--ISNUMBER(SEARCH(","&amp;TRIM(TEXTSPLIT(BU51,","))&amp;",",","&amp;SUBSTITUTE(input_enews_announcement_type," ","")&amp;",")))&gt;0)),IF(BW51="",TRUE,IF(input_enews_announcement_type="",FALSE,SUMPRODUCT(--ISNUMBER(SEARCH(","&amp;TRIM(TEXTSPLIT(BW51,","))&amp;",",","&amp;SUBSTITUTE(input_enews_announcement_type," ","")&amp;",")))=COUNTA(TEXTSPLIT(BW51,",")))),IF(BY51="",TRUE,IF(input_enews_announcement_type="",TRUE,SUMPRODUCT(--ISNUMBER(SEARCH(","&amp;TRIM(TEXTSPLIT(BY51,","))&amp;",",","&amp;SUBSTITUTE(input_enews_announcement_type," ","")&amp;",")))=0)),IF(CA51="",TRUE,IF(input_enews_announcement_type="",FALSE,SUMPRODUCT(--ISNUMBER(SEARCH(","&amp;TRIM(TEXTSPLIT(CA51,","))&amp;",",","&amp;SUBSTITUTE(input_enews_announcement_type," ","")&amp;",")))&gt;0)),IF(CC51="",TRUE,IF(input_enews_announcement_type="",FALSE,SUMPRODUCT(--ISNUMBER(SEARCH(","&amp;TRIM(TEXTSPLIT(CC51,","))&amp;",",","&amp;SUBSTITUTE(input_enews_announcement_type," ","")&amp;",")))=COUNTA(TEXTSPLIT(CC51,",")))))</f>
        <v/>
      </c>
      <c r="JA51">
        <f>AND(IF(CE51="",TRUE,IF(input_enews_audience="",FALSE,SUMPRODUCT(--ISNUMBER(SEARCH(","&amp;TRIM(TEXTSPLIT(CE51,","))&amp;",",","&amp;SUBSTITUTE(input_enews_audience," ","")&amp;",")))&gt;0)),IF(CG51="",TRUE,IF(input_enews_audience="",FALSE,SUMPRODUCT(--ISNUMBER(SEARCH(","&amp;TRIM(TEXTSPLIT(CG51,","))&amp;",",","&amp;SUBSTITUTE(input_enews_audience," ","")&amp;",")))=COUNTA(TEXTSPLIT(CG51,",")))),IF(CI51="",TRUE,IF(input_enews_audience="",TRUE,SUMPRODUCT(--ISNUMBER(SEARCH(","&amp;TRIM(TEXTSPLIT(CI51,","))&amp;",",","&amp;SUBSTITUTE(input_enews_audience," ","")&amp;",")))=0)),IF(CK51="",TRUE,IF(input_enews_audience="",FALSE,SUMPRODUCT(--ISNUMBER(SEARCH(","&amp;TRIM(TEXTSPLIT(CK51,","))&amp;",",","&amp;SUBSTITUTE(input_enews_audience," ","")&amp;",")))&gt;0)),IF(CM51="",TRUE,IF(input_enews_audience="",FALSE,SUMPRODUCT(--ISNUMBER(SEARCH(","&amp;TRIM(TEXTSPLIT(CM51,","))&amp;",",","&amp;SUBSTITUTE(input_enews_audience," ","")&amp;",")))=COUNTA(TEXTSPLIT(CM51,",")))))</f>
        <v/>
      </c>
      <c r="JB51">
        <f>AND(IF(CO51="",TRUE,IF(input_event_location="",FALSE,SUMPRODUCT(--ISNUMBER(SEARCH(","&amp;TRIM(TEXTSPLIT(CO51,","))&amp;",",","&amp;SUBSTITUTE(input_event_location," ","")&amp;",")))&gt;0)),IF(CQ51="",TRUE,IF(input_event_location="",FALSE,SUMPRODUCT(--ISNUMBER(SEARCH(","&amp;TRIM(TEXTSPLIT(CQ51,","))&amp;",",","&amp;SUBSTITUTE(input_event_location," ","")&amp;",")))=COUNTA(TEXTSPLIT(CQ51,",")))),IF(CS51="",TRUE,IF(input_event_location="",TRUE,SUMPRODUCT(--ISNUMBER(SEARCH(","&amp;TRIM(TEXTSPLIT(CS51,","))&amp;",",","&amp;SUBSTITUTE(input_event_location," ","")&amp;",")))=0)),IF(CU51="",TRUE,IF(input_event_location="",FALSE,SUMPRODUCT(--ISNUMBER(SEARCH(","&amp;TRIM(TEXTSPLIT(CU51,","))&amp;",",","&amp;SUBSTITUTE(input_event_location," ","")&amp;",")))&gt;0)),IF(CW51="",TRUE,IF(input_event_location="",FALSE,SUMPRODUCT(--ISNUMBER(SEARCH(","&amp;TRIM(TEXTSPLIT(CW51,","))&amp;",",","&amp;SUBSTITUTE(input_event_location," ","")&amp;",")))=COUNTA(TEXTSPLIT(CW51,",")))))</f>
        <v/>
      </c>
      <c r="JC51">
        <f>AND(IF(CY51="",TRUE,IF(input_event_type="",FALSE,SUMPRODUCT(--ISNUMBER(SEARCH(","&amp;TRIM(TEXTSPLIT(CY51,","))&amp;",",","&amp;SUBSTITUTE(input_event_type," ","")&amp;",")))&gt;0)),IF(DA51="",TRUE,IF(input_event_type="",FALSE,SUMPRODUCT(--ISNUMBER(SEARCH(","&amp;TRIM(TEXTSPLIT(DA51,","))&amp;",",","&amp;SUBSTITUTE(input_event_type," ","")&amp;",")))=COUNTA(TEXTSPLIT(DA51,",")))),IF(DC51="",TRUE,IF(input_event_type="",TRUE,SUMPRODUCT(--ISNUMBER(SEARCH(","&amp;TRIM(TEXTSPLIT(DC51,","))&amp;",",","&amp;SUBSTITUTE(input_event_type," ","")&amp;",")))=0)),IF(DE51="",TRUE,IF(input_event_type="",FALSE,SUMPRODUCT(--ISNUMBER(SEARCH(","&amp;TRIM(TEXTSPLIT(DE51,","))&amp;",",","&amp;SUBSTITUTE(input_event_type," ","")&amp;",")))&gt;0)),IF(DG51="",TRUE,IF(input_event_type="",FALSE,SUMPRODUCT(--ISNUMBER(SEARCH(","&amp;TRIM(TEXTSPLIT(DG51,","))&amp;",",","&amp;SUBSTITUTE(input_event_type," ","")&amp;",")))=COUNTA(TEXTSPLIT(DG51,",")))))</f>
        <v/>
      </c>
      <c r="JD51">
        <f>AND(IF(DI51="",TRUE,IF(input_executive_education_focus="",FALSE,SUMPRODUCT(--ISNUMBER(SEARCH(","&amp;TRIM(TEXTSPLIT(DI51,","))&amp;",",","&amp;SUBSTITUTE(input_executive_education_focus," ","")&amp;",")))&gt;0)),IF(DK51="",TRUE,IF(input_executive_education_focus="",FALSE,SUMPRODUCT(--ISNUMBER(SEARCH(","&amp;TRIM(TEXTSPLIT(DK51,","))&amp;",",","&amp;SUBSTITUTE(input_executive_education_focus," ","")&amp;",")))=COUNTA(TEXTSPLIT(DK51,",")))),IF(DM51="",TRUE,IF(input_executive_education_focus="",TRUE,SUMPRODUCT(--ISNUMBER(SEARCH(","&amp;TRIM(TEXTSPLIT(DM51,","))&amp;",",","&amp;SUBSTITUTE(input_executive_education_focus," ","")&amp;",")))=0)),IF(DO51="",TRUE,IF(input_executive_education_focus="",FALSE,SUMPRODUCT(--ISNUMBER(SEARCH(","&amp;TRIM(TEXTSPLIT(DO51,","))&amp;",",","&amp;SUBSTITUTE(input_executive_education_focus," ","")&amp;",")))&gt;0)),IF(DQ51="",TRUE,IF(input_executive_education_focus="",FALSE,SUMPRODUCT(--ISNUMBER(SEARCH(","&amp;TRIM(TEXTSPLIT(DQ51,","))&amp;",",","&amp;SUBSTITUTE(input_executive_education_focus," ","")&amp;",")))=COUNTA(TEXTSPLIT(DQ51,",")))))</f>
        <v/>
      </c>
      <c r="JE51">
        <f>AND(IF(DS51="",TRUE,IF(input_faculty_category="",FALSE,SUMPRODUCT(--ISNUMBER(SEARCH(","&amp;TRIM(TEXTSPLIT(DS51,","))&amp;",",","&amp;SUBSTITUTE(input_faculty_category," ","")&amp;",")))&gt;0)),IF(DU51="",TRUE,IF(input_faculty_category="",FALSE,SUMPRODUCT(--ISNUMBER(SEARCH(","&amp;TRIM(TEXTSPLIT(DU51,","))&amp;",",","&amp;SUBSTITUTE(input_faculty_category," ","")&amp;",")))=COUNTA(TEXTSPLIT(DU51,",")))),IF(DW51="",TRUE,IF(input_faculty_category="",TRUE,SUMPRODUCT(--ISNUMBER(SEARCH(","&amp;TRIM(TEXTSPLIT(DW51,","))&amp;",",","&amp;SUBSTITUTE(input_faculty_category," ","")&amp;",")))=0)),IF(DY51="",TRUE,IF(input_faculty_category="",FALSE,SUMPRODUCT(--ISNUMBER(SEARCH(","&amp;TRIM(TEXTSPLIT(DY51,","))&amp;",",","&amp;SUBSTITUTE(input_faculty_category," ","")&amp;",")))&gt;0)),IF(EA51="",TRUE,IF(input_faculty_category="",FALSE,SUMPRODUCT(--ISNUMBER(SEARCH(","&amp;TRIM(TEXTSPLIT(EA51,","))&amp;",",","&amp;SUBSTITUTE(input_faculty_category," ","")&amp;",")))=COUNTA(TEXTSPLIT(EA51,",")))))</f>
        <v/>
      </c>
      <c r="JF51">
        <f>AND(IF(EC51="",TRUE,IF(input_faculty_discipline="",FALSE,SUMPRODUCT(--ISNUMBER(SEARCH(","&amp;TRIM(TEXTSPLIT(EC51,","))&amp;",",","&amp;SUBSTITUTE(input_faculty_discipline," ","")&amp;",")))&gt;0)),IF(EE51="",TRUE,IF(input_faculty_discipline="",FALSE,SUMPRODUCT(--ISNUMBER(SEARCH(","&amp;TRIM(TEXTSPLIT(EE51,","))&amp;",",","&amp;SUBSTITUTE(input_faculty_discipline," ","")&amp;",")))=COUNTA(TEXTSPLIT(EE51,",")))),IF(EG51="",TRUE,IF(input_faculty_discipline="",TRUE,SUMPRODUCT(--ISNUMBER(SEARCH(","&amp;TRIM(TEXTSPLIT(EG51,","))&amp;",",","&amp;SUBSTITUTE(input_faculty_discipline," ","")&amp;",")))=0)),IF(EI51="",TRUE,IF(input_faculty_discipline="",FALSE,SUMPRODUCT(--ISNUMBER(SEARCH(","&amp;TRIM(TEXTSPLIT(EI51,","))&amp;",",","&amp;SUBSTITUTE(input_faculty_discipline," ","")&amp;",")))&gt;0)),IF(EK51="",TRUE,IF(input_faculty_discipline="",FALSE,SUMPRODUCT(--ISNUMBER(SEARCH(","&amp;TRIM(TEXTSPLIT(EK51,","))&amp;",",","&amp;SUBSTITUTE(input_faculty_discipline," ","")&amp;",")))=COUNTA(TEXTSPLIT(EK51,",")))))</f>
        <v/>
      </c>
      <c r="JG51">
        <f>AND(IF(EM51="",TRUE,IF(input_faculty_expertise="",FALSE,SUMPRODUCT(--ISNUMBER(SEARCH(","&amp;TRIM(TEXTSPLIT(EM51,","))&amp;",",","&amp;SUBSTITUTE(input_faculty_expertise," ","")&amp;",")))&gt;0)),IF(EO51="",TRUE,IF(input_faculty_expertise="",FALSE,SUMPRODUCT(--ISNUMBER(SEARCH(","&amp;TRIM(TEXTSPLIT(EO51,","))&amp;",",","&amp;SUBSTITUTE(input_faculty_expertise," ","")&amp;",")))=COUNTA(TEXTSPLIT(EO51,",")))),IF(EQ51="",TRUE,IF(input_faculty_expertise="",TRUE,SUMPRODUCT(--ISNUMBER(SEARCH(","&amp;TRIM(TEXTSPLIT(EQ51,","))&amp;",",","&amp;SUBSTITUTE(input_faculty_expertise," ","")&amp;",")))=0)),IF(ES51="",TRUE,IF(input_faculty_expertise="",FALSE,SUMPRODUCT(--ISNUMBER(SEARCH(","&amp;TRIM(TEXTSPLIT(ES51,","))&amp;",",","&amp;SUBSTITUTE(input_faculty_expertise," ","")&amp;",")))&gt;0)),IF(EU51="",TRUE,IF(input_faculty_expertise="",FALSE,SUMPRODUCT(--ISNUMBER(SEARCH(","&amp;TRIM(TEXTSPLIT(EU51,","))&amp;",",","&amp;SUBSTITUTE(input_faculty_expertise," ","")&amp;",")))=COUNTA(TEXTSPLIT(EU51,",")))))</f>
        <v/>
      </c>
      <c r="JH51">
        <f>AND(IF(EW51="",TRUE,IF(input_global_network_school="",FALSE,SUMPRODUCT(--ISNUMBER(SEARCH(","&amp;TRIM(TEXTSPLIT(EW51,","))&amp;",",","&amp;SUBSTITUTE(input_global_network_school," ","")&amp;",")))&gt;0)),IF(EY51="",TRUE,IF(input_global_network_school="",FALSE,SUMPRODUCT(--ISNUMBER(SEARCH(","&amp;TRIM(TEXTSPLIT(EY51,","))&amp;",",","&amp;SUBSTITUTE(input_global_network_school," ","")&amp;",")))=COUNTA(TEXTSPLIT(EY51,",")))),IF(FA51="",TRUE,IF(input_global_network_school="",TRUE,SUMPRODUCT(--ISNUMBER(SEARCH(","&amp;TRIM(TEXTSPLIT(FA51,","))&amp;",",","&amp;SUBSTITUTE(input_global_network_school," ","")&amp;",")))=0)),IF(FC51="",TRUE,IF(input_global_network_school="",FALSE,SUMPRODUCT(--ISNUMBER(SEARCH(","&amp;TRIM(TEXTSPLIT(FC51,","))&amp;",",","&amp;SUBSTITUTE(input_global_network_school," ","")&amp;",")))&gt;0)),IF(FE51="",TRUE,IF(input_global_network_school="",FALSE,SUMPRODUCT(--ISNUMBER(SEARCH(","&amp;TRIM(TEXTSPLIT(FE51,","))&amp;",",","&amp;SUBSTITUTE(input_global_network_school," ","")&amp;",")))=COUNTA(TEXTSPLIT(FE51,",")))))</f>
        <v/>
      </c>
      <c r="JI51">
        <f>AND(IF(FG51="",TRUE,IF(input_industry="",FALSE,SUMPRODUCT(--ISNUMBER(SEARCH(","&amp;TRIM(TEXTSPLIT(FG51,","))&amp;",",","&amp;SUBSTITUTE(input_industry," ","")&amp;",")))&gt;0)),IF(FI51="",TRUE,IF(input_industry="",FALSE,SUMPRODUCT(--ISNUMBER(SEARCH(","&amp;TRIM(TEXTSPLIT(FI51,","))&amp;",",","&amp;SUBSTITUTE(input_industry," ","")&amp;",")))=COUNTA(TEXTSPLIT(FI51,",")))),IF(FK51="",TRUE,IF(input_industry="",TRUE,SUMPRODUCT(--ISNUMBER(SEARCH(","&amp;TRIM(TEXTSPLIT(FK51,","))&amp;",",","&amp;SUBSTITUTE(input_industry," ","")&amp;",")))=0)),IF(FM51="",TRUE,IF(input_industry="",FALSE,SUMPRODUCT(--ISNUMBER(SEARCH(","&amp;TRIM(TEXTSPLIT(FM51,","))&amp;",",","&amp;SUBSTITUTE(input_industry," ","")&amp;",")))&gt;0)),IF(FO51="",TRUE,IF(input_industry="",FALSE,SUMPRODUCT(--ISNUMBER(SEARCH(","&amp;TRIM(TEXTSPLIT(FO51,","))&amp;",",","&amp;SUBSTITUTE(input_industry," ","")&amp;",")))=COUNTA(TEXTSPLIT(FO51,",")))))</f>
        <v/>
      </c>
      <c r="JJ51">
        <f>AND(IF(FQ51="",TRUE,IF(input_location="",FALSE,SUMPRODUCT(--ISNUMBER(SEARCH(","&amp;TRIM(TEXTSPLIT(FQ51,","))&amp;",",","&amp;SUBSTITUTE(input_location," ","")&amp;",")))&gt;0)),IF(FS51="",TRUE,IF(input_location="",FALSE,SUMPRODUCT(--ISNUMBER(SEARCH(","&amp;TRIM(TEXTSPLIT(FS51,","))&amp;",",","&amp;SUBSTITUTE(input_location," ","")&amp;",")))=COUNTA(TEXTSPLIT(FS51,",")))),IF(FU51="",TRUE,IF(input_location="",TRUE,SUMPRODUCT(--ISNUMBER(SEARCH(","&amp;TRIM(TEXTSPLIT(FU51,","))&amp;",",","&amp;SUBSTITUTE(input_location," ","")&amp;",")))=0)),IF(FW51="",TRUE,IF(input_location="",FALSE,SUMPRODUCT(--ISNUMBER(SEARCH(","&amp;TRIM(TEXTSPLIT(FW51,","))&amp;",",","&amp;SUBSTITUTE(input_location," ","")&amp;",")))&gt;0)),IF(FY51="",TRUE,IF(input_location="",FALSE,SUMPRODUCT(--ISNUMBER(SEARCH(","&amp;TRIM(TEXTSPLIT(FY51,","))&amp;",",","&amp;SUBSTITUTE(input_location," ","")&amp;",")))=COUNTA(TEXTSPLIT(FY51,",")))))</f>
        <v/>
      </c>
      <c r="JK51">
        <f>AND(IF(GA51="",TRUE,IF(input_modality="",FALSE,SUMPRODUCT(--ISNUMBER(SEARCH(","&amp;TRIM(TEXTSPLIT(GA51,","))&amp;",",","&amp;SUBSTITUTE(input_modality," ","")&amp;",")))&gt;0)),IF(GC51="",TRUE,IF(input_modality="",FALSE,SUMPRODUCT(--ISNUMBER(SEARCH(","&amp;TRIM(TEXTSPLIT(GC51,","))&amp;",",","&amp;SUBSTITUTE(input_modality," ","")&amp;",")))=COUNTA(TEXTSPLIT(GC51,",")))),IF(GE51="",TRUE,IF(input_modality="",TRUE,SUMPRODUCT(--ISNUMBER(SEARCH(","&amp;TRIM(TEXTSPLIT(GE51,","))&amp;",",","&amp;SUBSTITUTE(input_modality," ","")&amp;",")))=0)),IF(GG51="",TRUE,IF(input_modality="",FALSE,SUMPRODUCT(--ISNUMBER(SEARCH(","&amp;TRIM(TEXTSPLIT(GG51,","))&amp;",",","&amp;SUBSTITUTE(input_modality," ","")&amp;",")))&gt;0)),IF(GI51="",TRUE,IF(input_modality="",FALSE,SUMPRODUCT(--ISNUMBER(SEARCH(","&amp;TRIM(TEXTSPLIT(GI51,","))&amp;",",","&amp;SUBSTITUTE(input_modality," ","")&amp;",")))=COUNTA(TEXTSPLIT(GI51,",")))))</f>
        <v/>
      </c>
      <c r="JL51">
        <f>AND(IF(GK51="",TRUE,IF(input_organizer="",FALSE,SUMPRODUCT(--ISNUMBER(SEARCH(","&amp;TRIM(TEXTSPLIT(GK51,","))&amp;",",","&amp;SUBSTITUTE(input_organizer," ","")&amp;",")))&gt;0)),IF(GM51="",TRUE,IF(input_organizer="",FALSE,SUMPRODUCT(--ISNUMBER(SEARCH(","&amp;TRIM(TEXTSPLIT(GM51,","))&amp;",",","&amp;SUBSTITUTE(input_organizer," ","")&amp;",")))=COUNTA(TEXTSPLIT(GM51,",")))),IF(GO51="",TRUE,IF(input_organizer="",TRUE,SUMPRODUCT(--ISNUMBER(SEARCH(","&amp;TRIM(TEXTSPLIT(GO51,","))&amp;",",","&amp;SUBSTITUTE(input_organizer," ","")&amp;",")))=0)),IF(GQ51="",TRUE,IF(input_organizer="",FALSE,SUMPRODUCT(--ISNUMBER(SEARCH(","&amp;TRIM(TEXTSPLIT(GQ51,","))&amp;",",","&amp;SUBSTITUTE(input_organizer," ","")&amp;",")))&gt;0)),IF(GS51="",TRUE,IF(input_organizer="",FALSE,SUMPRODUCT(--ISNUMBER(SEARCH(","&amp;TRIM(TEXTSPLIT(GS51,","))&amp;",",","&amp;SUBSTITUTE(input_organizer," ","")&amp;",")))=COUNTA(TEXTSPLIT(GS51,",")))))</f>
        <v/>
      </c>
      <c r="JM51">
        <f>AND(IF(GU51="",TRUE,IF(input_profile_type="",FALSE,SUMPRODUCT(--ISNUMBER(SEARCH(","&amp;TRIM(TEXTSPLIT(GU51,","))&amp;",",","&amp;SUBSTITUTE(input_profile_type," ","")&amp;",")))&gt;0)),IF(GW51="",TRUE,IF(input_profile_type="",FALSE,SUMPRODUCT(--ISNUMBER(SEARCH(","&amp;TRIM(TEXTSPLIT(GW51,","))&amp;",",","&amp;SUBSTITUTE(input_profile_type," ","")&amp;",")))=COUNTA(TEXTSPLIT(GW51,",")))),IF(GY51="",TRUE,IF(input_profile_type="",TRUE,SUMPRODUCT(--ISNUMBER(SEARCH(","&amp;TRIM(TEXTSPLIT(GY51,","))&amp;",",","&amp;SUBSTITUTE(input_profile_type," ","")&amp;",")))=0)),IF(HA51="",TRUE,IF(input_profile_type="",FALSE,SUMPRODUCT(--ISNUMBER(SEARCH(","&amp;TRIM(TEXTSPLIT(HA51,","))&amp;",",","&amp;SUBSTITUTE(input_profile_type," ","")&amp;",")))&gt;0)),IF(HC51="",TRUE,IF(input_profile_type="",FALSE,SUMPRODUCT(--ISNUMBER(SEARCH(","&amp;TRIM(TEXTSPLIT(HC51,","))&amp;",",","&amp;SUBSTITUTE(input_profile_type," ","")&amp;",")))=COUNTA(TEXTSPLIT(HC51,",")))))</f>
        <v/>
      </c>
      <c r="JN51">
        <f>AND(IF(HE51="",TRUE,IF(input_program="",FALSE,SUMPRODUCT(--ISNUMBER(SEARCH(","&amp;TRIM(TEXTSPLIT(HE51,","))&amp;",",","&amp;SUBSTITUTE(input_program," ","")&amp;",")))&gt;0)),IF(HG51="",TRUE,IF(input_program="",FALSE,SUMPRODUCT(--ISNUMBER(SEARCH(","&amp;TRIM(TEXTSPLIT(HG51,","))&amp;",",","&amp;SUBSTITUTE(input_program," ","")&amp;",")))=COUNTA(TEXTSPLIT(HG51,",")))),IF(HI51="",TRUE,IF(input_program="",TRUE,SUMPRODUCT(--ISNUMBER(SEARCH(","&amp;TRIM(TEXTSPLIT(HI51,","))&amp;",",","&amp;SUBSTITUTE(input_program," ","")&amp;",")))=0)),IF(HK51="",TRUE,IF(input_program="",FALSE,SUMPRODUCT(--ISNUMBER(SEARCH(","&amp;TRIM(TEXTSPLIT(HK51,","))&amp;",",","&amp;SUBSTITUTE(input_program," ","")&amp;",")))&gt;0)),IF(HM51="",TRUE,IF(input_program="",FALSE,SUMPRODUCT(--ISNUMBER(SEARCH(","&amp;TRIM(TEXTSPLIT(HM51,","))&amp;",",","&amp;SUBSTITUTE(input_program," ","")&amp;",")))=COUNTA(TEXTSPLIT(HM51,",")))))</f>
        <v/>
      </c>
      <c r="JO51">
        <f>AND(IF(HO51="",TRUE,IF(input_story_categories="",FALSE,SUMPRODUCT(--ISNUMBER(SEARCH(","&amp;TRIM(TEXTSPLIT(HO51,","))&amp;",",","&amp;SUBSTITUTE(input_story_categories," ","")&amp;",")))&gt;0)),IF(HQ51="",TRUE,IF(input_story_categories="",FALSE,SUMPRODUCT(--ISNUMBER(SEARCH(","&amp;TRIM(TEXTSPLIT(HQ51,","))&amp;",",","&amp;SUBSTITUTE(input_story_categories," ","")&amp;",")))=COUNTA(TEXTSPLIT(HQ51,",")))),IF(HS51="",TRUE,IF(input_story_categories="",TRUE,SUMPRODUCT(--ISNUMBER(SEARCH(","&amp;TRIM(TEXTSPLIT(HS51,","))&amp;",",","&amp;SUBSTITUTE(input_story_categories," ","")&amp;",")))=0)),IF(HU51="",TRUE,IF(input_story_categories="",FALSE,SUMPRODUCT(--ISNUMBER(SEARCH(","&amp;TRIM(TEXTSPLIT(HU51,","))&amp;",",","&amp;SUBSTITUTE(input_story_categories," ","")&amp;",")))&gt;0)),IF(HW51="",TRUE,IF(input_story_categories="",FALSE,SUMPRODUCT(--ISNUMBER(SEARCH(","&amp;TRIM(TEXTSPLIT(HW51,","))&amp;",",","&amp;SUBSTITUTE(input_story_categories," ","")&amp;",")))=COUNTA(TEXTSPLIT(HW51,",")))))</f>
        <v/>
      </c>
      <c r="JP51">
        <f>AND(IF(HY51="",TRUE,IF(input_story_type="",FALSE,SUMPRODUCT(--ISNUMBER(SEARCH(","&amp;TRIM(TEXTSPLIT(HY51,","))&amp;",",","&amp;SUBSTITUTE(input_story_type," ","")&amp;",")))&gt;0)),IF(IA51="",TRUE,IF(input_story_type="",FALSE,SUMPRODUCT(--ISNUMBER(SEARCH(","&amp;TRIM(TEXTSPLIT(IA51,","))&amp;",",","&amp;SUBSTITUTE(input_story_type," ","")&amp;",")))=COUNTA(TEXTSPLIT(IA51,",")))),IF(IC51="",TRUE,IF(input_story_type="",TRUE,SUMPRODUCT(--ISNUMBER(SEARCH(","&amp;TRIM(TEXTSPLIT(IC51,","))&amp;",",","&amp;SUBSTITUTE(input_story_type," ","")&amp;",")))=0)),IF(IE51="",TRUE,IF(input_story_type="",FALSE,SUMPRODUCT(--ISNUMBER(SEARCH(","&amp;TRIM(TEXTSPLIT(IE51,","))&amp;",",","&amp;SUBSTITUTE(input_story_type," ","")&amp;",")))&gt;0)),IF(IG51="",TRUE,IF(input_story_type="",FALSE,SUMPRODUCT(--ISNUMBER(SEARCH(","&amp;TRIM(TEXTSPLIT(IG51,","))&amp;",",","&amp;SUBSTITUTE(input_story_type," ","")&amp;",")))=COUNTA(TEXTSPLIT(IG51,",")))))</f>
        <v/>
      </c>
      <c r="JQ51">
        <f>AND(IF(II51="",TRUE,IF(input_topics="",FALSE,SUMPRODUCT(--ISNUMBER(SEARCH(","&amp;TRIM(TEXTSPLIT(II51,","))&amp;",",","&amp;SUBSTITUTE(input_topics," ","")&amp;",")))&gt;0)),IF(IK51="",TRUE,IF(input_topics="",FALSE,SUMPRODUCT(--ISNUMBER(SEARCH(","&amp;TRIM(TEXTSPLIT(IK51,","))&amp;",",","&amp;SUBSTITUTE(input_topics," ","")&amp;",")))=COUNTA(TEXTSPLIT(IK51,",")))),IF(IM51="",TRUE,IF(input_topics="",TRUE,SUMPRODUCT(--ISNUMBER(SEARCH(","&amp;TRIM(TEXTSPLIT(IM51,","))&amp;",",","&amp;SUBSTITUTE(input_topics," ","")&amp;",")))=0)),IF(IO51="",TRUE,IF(input_topics="",FALSE,SUMPRODUCT(--ISNUMBER(SEARCH(","&amp;TRIM(TEXTSPLIT(IO51,","))&amp;",",","&amp;SUBSTITUTE(input_topics," ","")&amp;",")))&gt;0)),IF(IQ51="",TRUE,IF(input_topics="",FALSE,SUMPRODUCT(--ISNUMBER(SEARCH(","&amp;TRIM(TEXTSPLIT(IQ51,","))&amp;",",","&amp;SUBSTITUTE(input_topics," ","")&amp;",")))=COUNTA(TEXTSPLIT(IQ51,",")))))</f>
        <v/>
      </c>
    </row>
    <row r="52">
      <c r="A52" s="4">
        <f>IF(NOT(IS52),"Excluded",IF(AND(IT52,IU52,IV52,IW52,IX52,IY52,IZ52,JA52,JB52,JC52,JD52,JE52,JF52,JG52,JH52,JI52,JJ52,JK52,JL52,JM52,JN52,JO52,JP52,JQ52),IF(I52&gt;0,"Eligible but limited","Will appear"),"Excluded"))</f>
        <v/>
      </c>
      <c r="B52" s="4" t="inlineStr">
        <is>
          <t>All Publications by Author</t>
        </is>
      </c>
      <c r="C52" s="4" t="inlineStr">
        <is>
          <t>/faculty-research/faculty-directory/tobias-j-moskowitz</t>
        </is>
      </c>
      <c r="D52" s="4" t="inlineStr">
        <is>
          <t>/faculty-research/faculty-directory/tobias-j-moskowitz</t>
        </is>
      </c>
      <c r="E52" s="4" t="n">
        <v>1</v>
      </c>
      <c r="F52" s="4" t="inlineStr">
        <is>
          <t>publications</t>
        </is>
      </c>
      <c r="G52" s="4" t="inlineStr">
        <is>
          <t>publication_teaser_list</t>
        </is>
      </c>
      <c r="H52" s="4" t="inlineStr">
        <is>
          <t>publication_teaser_list_all_by_author</t>
        </is>
      </c>
      <c r="I52" s="4" t="inlineStr"/>
      <c r="J52" s="4" t="inlineStr">
        <is>
          <t>View/config rules</t>
        </is>
      </c>
      <c r="K52" s="4" t="inlineStr">
        <is>
          <t>Page placement</t>
        </is>
      </c>
      <c r="L52" s="4" t="inlineStr">
        <is>
          <t>Content type: publications; Source: View/config rules</t>
        </is>
      </c>
      <c r="M52" t="inlineStr"/>
      <c r="N52" t="inlineStr"/>
      <c r="O52" t="inlineStr"/>
      <c r="P52" t="inlineStr"/>
      <c r="Q52" t="inlineStr"/>
      <c r="R52" t="inlineStr"/>
      <c r="S52" t="inlineStr"/>
      <c r="T52" t="inlineStr"/>
      <c r="U52" t="inlineStr"/>
      <c r="V52" t="inlineStr"/>
      <c r="W52" t="inlineStr"/>
      <c r="X52" t="inlineStr"/>
      <c r="Y52" t="inlineStr"/>
      <c r="Z52" t="inlineStr"/>
      <c r="AA52" t="inlineStr"/>
      <c r="AB52" t="inlineStr"/>
      <c r="AC52" t="inlineStr"/>
      <c r="AD52" t="inlineStr"/>
      <c r="AE52" t="inlineStr"/>
      <c r="AF52" t="inlineStr"/>
      <c r="AG52" t="inlineStr"/>
      <c r="AH52" t="inlineStr"/>
      <c r="AI52" t="inlineStr"/>
      <c r="AJ52" t="inlineStr"/>
      <c r="AK52" t="inlineStr"/>
      <c r="AL52" t="inlineStr"/>
      <c r="AM52" t="inlineStr"/>
      <c r="AN52" t="inlineStr"/>
      <c r="AO52" t="inlineStr"/>
      <c r="AP52" t="inlineStr"/>
      <c r="AQ52" t="inlineStr"/>
      <c r="AR52" t="inlineStr"/>
      <c r="AS52" t="inlineStr"/>
      <c r="AT52" t="inlineStr"/>
      <c r="AU52" t="inlineStr"/>
      <c r="AV52" t="inlineStr"/>
      <c r="AW52" t="inlineStr"/>
      <c r="AX52" t="inlineStr"/>
      <c r="AY52" t="inlineStr"/>
      <c r="AZ52" t="inlineStr"/>
      <c r="BA52" t="inlineStr"/>
      <c r="BB52" t="inlineStr"/>
      <c r="BC52" t="inlineStr"/>
      <c r="BD52" t="inlineStr"/>
      <c r="BE52" t="inlineStr"/>
      <c r="BF52" t="inlineStr"/>
      <c r="BG52" t="inlineStr"/>
      <c r="BH52" t="inlineStr"/>
      <c r="BI52" t="inlineStr"/>
      <c r="BJ52" t="inlineStr"/>
      <c r="BK52" t="inlineStr"/>
      <c r="BL52" t="inlineStr"/>
      <c r="BM52" t="inlineStr"/>
      <c r="BN52" t="inlineStr"/>
      <c r="BO52" t="inlineStr"/>
      <c r="BP52" t="inlineStr"/>
      <c r="BQ52" t="inlineStr"/>
      <c r="BR52" t="inlineStr"/>
      <c r="BS52" t="inlineStr"/>
      <c r="BT52" t="inlineStr"/>
      <c r="BU52" t="inlineStr"/>
      <c r="BV52" t="inlineStr"/>
      <c r="BW52" t="inlineStr"/>
      <c r="BX52" t="inlineStr"/>
      <c r="BY52" t="inlineStr"/>
      <c r="BZ52" t="inlineStr"/>
      <c r="CA52" t="inlineStr"/>
      <c r="CB52" t="inlineStr"/>
      <c r="CC52" t="inlineStr"/>
      <c r="CD52" t="inlineStr"/>
      <c r="CE52" t="inlineStr"/>
      <c r="CF52" t="inlineStr"/>
      <c r="CG52" t="inlineStr"/>
      <c r="CH52" t="inlineStr"/>
      <c r="CI52" t="inlineStr"/>
      <c r="CJ52" t="inlineStr"/>
      <c r="CK52" t="inlineStr"/>
      <c r="CL52" t="inlineStr"/>
      <c r="CM52" t="inlineStr"/>
      <c r="CN52" t="inlineStr"/>
      <c r="CO52" t="inlineStr"/>
      <c r="CP52" t="inlineStr"/>
      <c r="CQ52" t="inlineStr"/>
      <c r="CR52" t="inlineStr"/>
      <c r="CS52" t="inlineStr"/>
      <c r="CT52" t="inlineStr"/>
      <c r="CU52" t="inlineStr"/>
      <c r="CV52" t="inlineStr"/>
      <c r="CW52" t="inlineStr"/>
      <c r="CX52" t="inlineStr"/>
      <c r="CY52" t="inlineStr"/>
      <c r="CZ52" t="inlineStr"/>
      <c r="DA52" t="inlineStr"/>
      <c r="DB52" t="inlineStr"/>
      <c r="DC52" t="inlineStr"/>
      <c r="DD52" t="inlineStr"/>
      <c r="DE52" t="inlineStr"/>
      <c r="DF52" t="inlineStr"/>
      <c r="DG52" t="inlineStr"/>
      <c r="DH52" t="inlineStr"/>
      <c r="DI52" t="inlineStr"/>
      <c r="DJ52" t="inlineStr"/>
      <c r="DK52" t="inlineStr"/>
      <c r="DL52" t="inlineStr"/>
      <c r="DM52" t="inlineStr"/>
      <c r="DN52" t="inlineStr"/>
      <c r="DO52" t="inlineStr"/>
      <c r="DP52" t="inlineStr"/>
      <c r="DQ52" t="inlineStr"/>
      <c r="DR52" t="inlineStr"/>
      <c r="DS52" t="inlineStr"/>
      <c r="DT52" t="inlineStr"/>
      <c r="DU52" t="inlineStr"/>
      <c r="DV52" t="inlineStr"/>
      <c r="DW52" t="inlineStr"/>
      <c r="DX52" t="inlineStr"/>
      <c r="DY52" t="inlineStr"/>
      <c r="DZ52" t="inlineStr"/>
      <c r="EA52" t="inlineStr"/>
      <c r="EB52" t="inlineStr"/>
      <c r="EC52" t="inlineStr"/>
      <c r="ED52" t="inlineStr"/>
      <c r="EE52" t="inlineStr"/>
      <c r="EF52" t="inlineStr"/>
      <c r="EG52" t="inlineStr"/>
      <c r="EH52" t="inlineStr"/>
      <c r="EI52" t="inlineStr"/>
      <c r="EJ52" t="inlineStr"/>
      <c r="EK52" t="inlineStr"/>
      <c r="EL52" t="inlineStr"/>
      <c r="EM52" t="inlineStr"/>
      <c r="EN52" t="inlineStr"/>
      <c r="EO52" t="inlineStr"/>
      <c r="EP52" t="inlineStr"/>
      <c r="EQ52" t="inlineStr"/>
      <c r="ER52" t="inlineStr"/>
      <c r="ES52" t="inlineStr"/>
      <c r="ET52" t="inlineStr"/>
      <c r="EU52" t="inlineStr"/>
      <c r="EV52" t="inlineStr"/>
      <c r="EW52" t="inlineStr"/>
      <c r="EX52" t="inlineStr"/>
      <c r="EY52" t="inlineStr"/>
      <c r="EZ52" t="inlineStr"/>
      <c r="FA52" t="inlineStr"/>
      <c r="FB52" t="inlineStr"/>
      <c r="FC52" t="inlineStr"/>
      <c r="FD52" t="inlineStr"/>
      <c r="FE52" t="inlineStr"/>
      <c r="FF52" t="inlineStr"/>
      <c r="FG52" t="inlineStr"/>
      <c r="FH52" t="inlineStr"/>
      <c r="FI52" t="inlineStr"/>
      <c r="FJ52" t="inlineStr"/>
      <c r="FK52" t="inlineStr"/>
      <c r="FL52" t="inlineStr"/>
      <c r="FM52" t="inlineStr"/>
      <c r="FN52" t="inlineStr"/>
      <c r="FO52" t="inlineStr"/>
      <c r="FP52" t="inlineStr"/>
      <c r="FQ52" t="inlineStr"/>
      <c r="FR52" t="inlineStr"/>
      <c r="FS52" t="inlineStr"/>
      <c r="FT52" t="inlineStr"/>
      <c r="FU52" t="inlineStr"/>
      <c r="FV52" t="inlineStr"/>
      <c r="FW52" t="inlineStr"/>
      <c r="FX52" t="inlineStr"/>
      <c r="FY52" t="inlineStr"/>
      <c r="FZ52" t="inlineStr"/>
      <c r="GA52" t="inlineStr"/>
      <c r="GB52" t="inlineStr"/>
      <c r="GC52" t="inlineStr"/>
      <c r="GD52" t="inlineStr"/>
      <c r="GE52" t="inlineStr"/>
      <c r="GF52" t="inlineStr"/>
      <c r="GG52" t="inlineStr"/>
      <c r="GH52" t="inlineStr"/>
      <c r="GI52" t="inlineStr"/>
      <c r="GJ52" t="inlineStr"/>
      <c r="GK52" t="inlineStr"/>
      <c r="GL52" t="inlineStr"/>
      <c r="GM52" t="inlineStr"/>
      <c r="GN52" t="inlineStr"/>
      <c r="GO52" t="inlineStr"/>
      <c r="GP52" t="inlineStr"/>
      <c r="GQ52" t="inlineStr"/>
      <c r="GR52" t="inlineStr"/>
      <c r="GS52" t="inlineStr"/>
      <c r="GT52" t="inlineStr"/>
      <c r="GU52" t="inlineStr"/>
      <c r="GV52" t="inlineStr"/>
      <c r="GW52" t="inlineStr"/>
      <c r="GX52" t="inlineStr"/>
      <c r="GY52" t="inlineStr"/>
      <c r="GZ52" t="inlineStr"/>
      <c r="HA52" t="inlineStr"/>
      <c r="HB52" t="inlineStr"/>
      <c r="HC52" t="inlineStr"/>
      <c r="HD52" t="inlineStr"/>
      <c r="HE52" t="inlineStr"/>
      <c r="HF52" t="inlineStr"/>
      <c r="HG52" t="inlineStr"/>
      <c r="HH52" t="inlineStr"/>
      <c r="HI52" t="inlineStr"/>
      <c r="HJ52" t="inlineStr"/>
      <c r="HK52" t="inlineStr"/>
      <c r="HL52" t="inlineStr"/>
      <c r="HM52" t="inlineStr"/>
      <c r="HN52" t="inlineStr"/>
      <c r="HO52" t="inlineStr"/>
      <c r="HP52" t="inlineStr"/>
      <c r="HQ52" t="inlineStr"/>
      <c r="HR52" t="inlineStr"/>
      <c r="HS52" t="inlineStr"/>
      <c r="HT52" t="inlineStr"/>
      <c r="HU52" t="inlineStr"/>
      <c r="HV52" t="inlineStr"/>
      <c r="HW52" t="inlineStr"/>
      <c r="HX52" t="inlineStr"/>
      <c r="HY52" t="inlineStr"/>
      <c r="HZ52" t="inlineStr"/>
      <c r="IA52" t="inlineStr"/>
      <c r="IB52" t="inlineStr"/>
      <c r="IC52" t="inlineStr"/>
      <c r="ID52" t="inlineStr"/>
      <c r="IE52" t="inlineStr"/>
      <c r="IF52" t="inlineStr"/>
      <c r="IG52" t="inlineStr"/>
      <c r="IH52" t="inlineStr"/>
      <c r="II52" t="inlineStr"/>
      <c r="IJ52" t="inlineStr"/>
      <c r="IK52" t="inlineStr"/>
      <c r="IL52" t="inlineStr"/>
      <c r="IM52" t="inlineStr"/>
      <c r="IN52" t="inlineStr"/>
      <c r="IO52" t="inlineStr"/>
      <c r="IP52" t="inlineStr"/>
      <c r="IQ52" t="inlineStr"/>
      <c r="IR52" t="inlineStr"/>
      <c r="IS52">
        <f>IF(input_content_type="",FALSE,ISNUMBER(SEARCH(","&amp;LOWER(input_content_type)&amp;",",","&amp;LOWER(F52)&amp;",")))</f>
        <v/>
      </c>
      <c r="IT52">
        <f>AND(IF(M52="",TRUE,IF(input_affiliations="",FALSE,SUMPRODUCT(--ISNUMBER(SEARCH(","&amp;TRIM(TEXTSPLIT(M52,","))&amp;",",","&amp;SUBSTITUTE(input_affiliations," ","")&amp;",")))&gt;0)),IF(O52="",TRUE,IF(input_affiliations="",FALSE,SUMPRODUCT(--ISNUMBER(SEARCH(","&amp;TRIM(TEXTSPLIT(O52,","))&amp;",",","&amp;SUBSTITUTE(input_affiliations," ","")&amp;",")))=COUNTA(TEXTSPLIT(O52,",")))),IF(Q52="",TRUE,IF(input_affiliations="",TRUE,SUMPRODUCT(--ISNUMBER(SEARCH(","&amp;TRIM(TEXTSPLIT(Q52,","))&amp;",",","&amp;SUBSTITUTE(input_affiliations," ","")&amp;",")))=0)),IF(S52="",TRUE,IF(input_affiliations="",FALSE,SUMPRODUCT(--ISNUMBER(SEARCH(","&amp;TRIM(TEXTSPLIT(S52,","))&amp;",",","&amp;SUBSTITUTE(input_affiliations," ","")&amp;",")))&gt;0)),IF(U52="",TRUE,IF(input_affiliations="",FALSE,SUMPRODUCT(--ISNUMBER(SEARCH(","&amp;TRIM(TEXTSPLIT(U52,","))&amp;",",","&amp;SUBSTITUTE(input_affiliations," ","")&amp;",")))=COUNTA(TEXTSPLIT(U52,",")))))</f>
        <v/>
      </c>
      <c r="IU52">
        <f>AND(IF(W52="",TRUE,IF(input_announcement_category="",FALSE,SUMPRODUCT(--ISNUMBER(SEARCH(","&amp;TRIM(TEXTSPLIT(W52,","))&amp;",",","&amp;SUBSTITUTE(input_announcement_category," ","")&amp;",")))&gt;0)),IF(Y52="",TRUE,IF(input_announcement_category="",FALSE,SUMPRODUCT(--ISNUMBER(SEARCH(","&amp;TRIM(TEXTSPLIT(Y52,","))&amp;",",","&amp;SUBSTITUTE(input_announcement_category," ","")&amp;",")))=COUNTA(TEXTSPLIT(Y52,",")))),IF(AA52="",TRUE,IF(input_announcement_category="",TRUE,SUMPRODUCT(--ISNUMBER(SEARCH(","&amp;TRIM(TEXTSPLIT(AA52,","))&amp;",",","&amp;SUBSTITUTE(input_announcement_category," ","")&amp;",")))=0)),IF(AC52="",TRUE,IF(input_announcement_category="",FALSE,SUMPRODUCT(--ISNUMBER(SEARCH(","&amp;TRIM(TEXTSPLIT(AC52,","))&amp;",",","&amp;SUBSTITUTE(input_announcement_category," ","")&amp;",")))&gt;0)),IF(AE52="",TRUE,IF(input_announcement_category="",FALSE,SUMPRODUCT(--ISNUMBER(SEARCH(","&amp;TRIM(TEXTSPLIT(AE52,","))&amp;",",","&amp;SUBSTITUTE(input_announcement_category," ","")&amp;",")))=COUNTA(TEXTSPLIT(AE52,",")))))</f>
        <v/>
      </c>
      <c r="IV52">
        <f>AND(IF(AG52="",TRUE,IF(input_area_of_focus="",FALSE,SUMPRODUCT(--ISNUMBER(SEARCH(","&amp;TRIM(TEXTSPLIT(AG52,","))&amp;",",","&amp;SUBSTITUTE(input_area_of_focus," ","")&amp;",")))&gt;0)),IF(AI52="",TRUE,IF(input_area_of_focus="",FALSE,SUMPRODUCT(--ISNUMBER(SEARCH(","&amp;TRIM(TEXTSPLIT(AI52,","))&amp;",",","&amp;SUBSTITUTE(input_area_of_focus," ","")&amp;",")))=COUNTA(TEXTSPLIT(AI52,",")))),IF(AK52="",TRUE,IF(input_area_of_focus="",TRUE,SUMPRODUCT(--ISNUMBER(SEARCH(","&amp;TRIM(TEXTSPLIT(AK52,","))&amp;",",","&amp;SUBSTITUTE(input_area_of_focus," ","")&amp;",")))=0)),IF(AM52="",TRUE,IF(input_area_of_focus="",FALSE,SUMPRODUCT(--ISNUMBER(SEARCH(","&amp;TRIM(TEXTSPLIT(AM52,","))&amp;",",","&amp;SUBSTITUTE(input_area_of_focus," ","")&amp;",")))&gt;0)),IF(AO52="",TRUE,IF(input_area_of_focus="",FALSE,SUMPRODUCT(--ISNUMBER(SEARCH(","&amp;TRIM(TEXTSPLIT(AO52,","))&amp;",",","&amp;SUBSTITUTE(input_area_of_focus," ","")&amp;",")))=COUNTA(TEXTSPLIT(AO52,",")))))</f>
        <v/>
      </c>
      <c r="IW52">
        <f>AND(IF(AQ52="",TRUE,IF(input_audience="",FALSE,SUMPRODUCT(--ISNUMBER(SEARCH(","&amp;TRIM(TEXTSPLIT(AQ52,","))&amp;",",","&amp;SUBSTITUTE(input_audience," ","")&amp;",")))&gt;0)),IF(AS52="",TRUE,IF(input_audience="",FALSE,SUMPRODUCT(--ISNUMBER(SEARCH(","&amp;TRIM(TEXTSPLIT(AS52,","))&amp;",",","&amp;SUBSTITUTE(input_audience," ","")&amp;",")))=COUNTA(TEXTSPLIT(AS52,",")))),IF(AU52="",TRUE,IF(input_audience="",TRUE,SUMPRODUCT(--ISNUMBER(SEARCH(","&amp;TRIM(TEXTSPLIT(AU52,","))&amp;",",","&amp;SUBSTITUTE(input_audience," ","")&amp;",")))=0)),IF(AW52="",TRUE,IF(input_audience="",FALSE,SUMPRODUCT(--ISNUMBER(SEARCH(","&amp;TRIM(TEXTSPLIT(AW52,","))&amp;",",","&amp;SUBSTITUTE(input_audience," ","")&amp;",")))&gt;0)),IF(AY52="",TRUE,IF(input_audience="",FALSE,SUMPRODUCT(--ISNUMBER(SEARCH(","&amp;TRIM(TEXTSPLIT(AY52,","))&amp;",",","&amp;SUBSTITUTE(input_audience," ","")&amp;",")))=COUNTA(TEXTSPLIT(AY52,",")))))</f>
        <v/>
      </c>
      <c r="IX52">
        <f>AND(IF(BA52="",TRUE,IF(input_challenge_opportunities="",FALSE,SUMPRODUCT(--ISNUMBER(SEARCH(","&amp;TRIM(TEXTSPLIT(BA52,","))&amp;",",","&amp;SUBSTITUTE(input_challenge_opportunities," ","")&amp;",")))&gt;0)),IF(BC52="",TRUE,IF(input_challenge_opportunities="",FALSE,SUMPRODUCT(--ISNUMBER(SEARCH(","&amp;TRIM(TEXTSPLIT(BC52,","))&amp;",",","&amp;SUBSTITUTE(input_challenge_opportunities," ","")&amp;",")))=COUNTA(TEXTSPLIT(BC52,",")))),IF(BE52="",TRUE,IF(input_challenge_opportunities="",TRUE,SUMPRODUCT(--ISNUMBER(SEARCH(","&amp;TRIM(TEXTSPLIT(BE52,","))&amp;",",","&amp;SUBSTITUTE(input_challenge_opportunities," ","")&amp;",")))=0)),IF(BG52="",TRUE,IF(input_challenge_opportunities="",FALSE,SUMPRODUCT(--ISNUMBER(SEARCH(","&amp;TRIM(TEXTSPLIT(BG52,","))&amp;",",","&amp;SUBSTITUTE(input_challenge_opportunities," ","")&amp;",")))&gt;0)),IF(BI52="",TRUE,IF(input_challenge_opportunities="",FALSE,SUMPRODUCT(--ISNUMBER(SEARCH(","&amp;TRIM(TEXTSPLIT(BI52,","))&amp;",",","&amp;SUBSTITUTE(input_challenge_opportunities," ","")&amp;",")))=COUNTA(TEXTSPLIT(BI52,",")))))</f>
        <v/>
      </c>
      <c r="IY52">
        <f>AND(IF(BK52="",TRUE,IF(input_context="",FALSE,SUMPRODUCT(--ISNUMBER(SEARCH(","&amp;TRIM(TEXTSPLIT(BK52,","))&amp;",",","&amp;SUBSTITUTE(input_context," ","")&amp;",")))&gt;0)),IF(BM52="",TRUE,IF(input_context="",FALSE,SUMPRODUCT(--ISNUMBER(SEARCH(","&amp;TRIM(TEXTSPLIT(BM52,","))&amp;",",","&amp;SUBSTITUTE(input_context," ","")&amp;",")))=COUNTA(TEXTSPLIT(BM52,",")))),IF(BO52="",TRUE,IF(input_context="",TRUE,SUMPRODUCT(--ISNUMBER(SEARCH(","&amp;TRIM(TEXTSPLIT(BO52,","))&amp;",",","&amp;SUBSTITUTE(input_context," ","")&amp;",")))=0)),IF(BQ52="",TRUE,IF(input_context="",FALSE,SUMPRODUCT(--ISNUMBER(SEARCH(","&amp;TRIM(TEXTSPLIT(BQ52,","))&amp;",",","&amp;SUBSTITUTE(input_context," ","")&amp;",")))&gt;0)),IF(BS52="",TRUE,IF(input_context="",FALSE,SUMPRODUCT(--ISNUMBER(SEARCH(","&amp;TRIM(TEXTSPLIT(BS52,","))&amp;",",","&amp;SUBSTITUTE(input_context," ","")&amp;",")))=COUNTA(TEXTSPLIT(BS52,",")))))</f>
        <v/>
      </c>
      <c r="IZ52">
        <f>AND(IF(BU52="",TRUE,IF(input_enews_announcement_type="",FALSE,SUMPRODUCT(--ISNUMBER(SEARCH(","&amp;TRIM(TEXTSPLIT(BU52,","))&amp;",",","&amp;SUBSTITUTE(input_enews_announcement_type," ","")&amp;",")))&gt;0)),IF(BW52="",TRUE,IF(input_enews_announcement_type="",FALSE,SUMPRODUCT(--ISNUMBER(SEARCH(","&amp;TRIM(TEXTSPLIT(BW52,","))&amp;",",","&amp;SUBSTITUTE(input_enews_announcement_type," ","")&amp;",")))=COUNTA(TEXTSPLIT(BW52,",")))),IF(BY52="",TRUE,IF(input_enews_announcement_type="",TRUE,SUMPRODUCT(--ISNUMBER(SEARCH(","&amp;TRIM(TEXTSPLIT(BY52,","))&amp;",",","&amp;SUBSTITUTE(input_enews_announcement_type," ","")&amp;",")))=0)),IF(CA52="",TRUE,IF(input_enews_announcement_type="",FALSE,SUMPRODUCT(--ISNUMBER(SEARCH(","&amp;TRIM(TEXTSPLIT(CA52,","))&amp;",",","&amp;SUBSTITUTE(input_enews_announcement_type," ","")&amp;",")))&gt;0)),IF(CC52="",TRUE,IF(input_enews_announcement_type="",FALSE,SUMPRODUCT(--ISNUMBER(SEARCH(","&amp;TRIM(TEXTSPLIT(CC52,","))&amp;",",","&amp;SUBSTITUTE(input_enews_announcement_type," ","")&amp;",")))=COUNTA(TEXTSPLIT(CC52,",")))))</f>
        <v/>
      </c>
      <c r="JA52">
        <f>AND(IF(CE52="",TRUE,IF(input_enews_audience="",FALSE,SUMPRODUCT(--ISNUMBER(SEARCH(","&amp;TRIM(TEXTSPLIT(CE52,","))&amp;",",","&amp;SUBSTITUTE(input_enews_audience," ","")&amp;",")))&gt;0)),IF(CG52="",TRUE,IF(input_enews_audience="",FALSE,SUMPRODUCT(--ISNUMBER(SEARCH(","&amp;TRIM(TEXTSPLIT(CG52,","))&amp;",",","&amp;SUBSTITUTE(input_enews_audience," ","")&amp;",")))=COUNTA(TEXTSPLIT(CG52,",")))),IF(CI52="",TRUE,IF(input_enews_audience="",TRUE,SUMPRODUCT(--ISNUMBER(SEARCH(","&amp;TRIM(TEXTSPLIT(CI52,","))&amp;",",","&amp;SUBSTITUTE(input_enews_audience," ","")&amp;",")))=0)),IF(CK52="",TRUE,IF(input_enews_audience="",FALSE,SUMPRODUCT(--ISNUMBER(SEARCH(","&amp;TRIM(TEXTSPLIT(CK52,","))&amp;",",","&amp;SUBSTITUTE(input_enews_audience," ","")&amp;",")))&gt;0)),IF(CM52="",TRUE,IF(input_enews_audience="",FALSE,SUMPRODUCT(--ISNUMBER(SEARCH(","&amp;TRIM(TEXTSPLIT(CM52,","))&amp;",",","&amp;SUBSTITUTE(input_enews_audience," ","")&amp;",")))=COUNTA(TEXTSPLIT(CM52,",")))))</f>
        <v/>
      </c>
      <c r="JB52">
        <f>AND(IF(CO52="",TRUE,IF(input_event_location="",FALSE,SUMPRODUCT(--ISNUMBER(SEARCH(","&amp;TRIM(TEXTSPLIT(CO52,","))&amp;",",","&amp;SUBSTITUTE(input_event_location," ","")&amp;",")))&gt;0)),IF(CQ52="",TRUE,IF(input_event_location="",FALSE,SUMPRODUCT(--ISNUMBER(SEARCH(","&amp;TRIM(TEXTSPLIT(CQ52,","))&amp;",",","&amp;SUBSTITUTE(input_event_location," ","")&amp;",")))=COUNTA(TEXTSPLIT(CQ52,",")))),IF(CS52="",TRUE,IF(input_event_location="",TRUE,SUMPRODUCT(--ISNUMBER(SEARCH(","&amp;TRIM(TEXTSPLIT(CS52,","))&amp;",",","&amp;SUBSTITUTE(input_event_location," ","")&amp;",")))=0)),IF(CU52="",TRUE,IF(input_event_location="",FALSE,SUMPRODUCT(--ISNUMBER(SEARCH(","&amp;TRIM(TEXTSPLIT(CU52,","))&amp;",",","&amp;SUBSTITUTE(input_event_location," ","")&amp;",")))&gt;0)),IF(CW52="",TRUE,IF(input_event_location="",FALSE,SUMPRODUCT(--ISNUMBER(SEARCH(","&amp;TRIM(TEXTSPLIT(CW52,","))&amp;",",","&amp;SUBSTITUTE(input_event_location," ","")&amp;",")))=COUNTA(TEXTSPLIT(CW52,",")))))</f>
        <v/>
      </c>
      <c r="JC52">
        <f>AND(IF(CY52="",TRUE,IF(input_event_type="",FALSE,SUMPRODUCT(--ISNUMBER(SEARCH(","&amp;TRIM(TEXTSPLIT(CY52,","))&amp;",",","&amp;SUBSTITUTE(input_event_type," ","")&amp;",")))&gt;0)),IF(DA52="",TRUE,IF(input_event_type="",FALSE,SUMPRODUCT(--ISNUMBER(SEARCH(","&amp;TRIM(TEXTSPLIT(DA52,","))&amp;",",","&amp;SUBSTITUTE(input_event_type," ","")&amp;",")))=COUNTA(TEXTSPLIT(DA52,",")))),IF(DC52="",TRUE,IF(input_event_type="",TRUE,SUMPRODUCT(--ISNUMBER(SEARCH(","&amp;TRIM(TEXTSPLIT(DC52,","))&amp;",",","&amp;SUBSTITUTE(input_event_type," ","")&amp;",")))=0)),IF(DE52="",TRUE,IF(input_event_type="",FALSE,SUMPRODUCT(--ISNUMBER(SEARCH(","&amp;TRIM(TEXTSPLIT(DE52,","))&amp;",",","&amp;SUBSTITUTE(input_event_type," ","")&amp;",")))&gt;0)),IF(DG52="",TRUE,IF(input_event_type="",FALSE,SUMPRODUCT(--ISNUMBER(SEARCH(","&amp;TRIM(TEXTSPLIT(DG52,","))&amp;",",","&amp;SUBSTITUTE(input_event_type," ","")&amp;",")))=COUNTA(TEXTSPLIT(DG52,",")))))</f>
        <v/>
      </c>
      <c r="JD52">
        <f>AND(IF(DI52="",TRUE,IF(input_executive_education_focus="",FALSE,SUMPRODUCT(--ISNUMBER(SEARCH(","&amp;TRIM(TEXTSPLIT(DI52,","))&amp;",",","&amp;SUBSTITUTE(input_executive_education_focus," ","")&amp;",")))&gt;0)),IF(DK52="",TRUE,IF(input_executive_education_focus="",FALSE,SUMPRODUCT(--ISNUMBER(SEARCH(","&amp;TRIM(TEXTSPLIT(DK52,","))&amp;",",","&amp;SUBSTITUTE(input_executive_education_focus," ","")&amp;",")))=COUNTA(TEXTSPLIT(DK52,",")))),IF(DM52="",TRUE,IF(input_executive_education_focus="",TRUE,SUMPRODUCT(--ISNUMBER(SEARCH(","&amp;TRIM(TEXTSPLIT(DM52,","))&amp;",",","&amp;SUBSTITUTE(input_executive_education_focus," ","")&amp;",")))=0)),IF(DO52="",TRUE,IF(input_executive_education_focus="",FALSE,SUMPRODUCT(--ISNUMBER(SEARCH(","&amp;TRIM(TEXTSPLIT(DO52,","))&amp;",",","&amp;SUBSTITUTE(input_executive_education_focus," ","")&amp;",")))&gt;0)),IF(DQ52="",TRUE,IF(input_executive_education_focus="",FALSE,SUMPRODUCT(--ISNUMBER(SEARCH(","&amp;TRIM(TEXTSPLIT(DQ52,","))&amp;",",","&amp;SUBSTITUTE(input_executive_education_focus," ","")&amp;",")))=COUNTA(TEXTSPLIT(DQ52,",")))))</f>
        <v/>
      </c>
      <c r="JE52">
        <f>AND(IF(DS52="",TRUE,IF(input_faculty_category="",FALSE,SUMPRODUCT(--ISNUMBER(SEARCH(","&amp;TRIM(TEXTSPLIT(DS52,","))&amp;",",","&amp;SUBSTITUTE(input_faculty_category," ","")&amp;",")))&gt;0)),IF(DU52="",TRUE,IF(input_faculty_category="",FALSE,SUMPRODUCT(--ISNUMBER(SEARCH(","&amp;TRIM(TEXTSPLIT(DU52,","))&amp;",",","&amp;SUBSTITUTE(input_faculty_category," ","")&amp;",")))=COUNTA(TEXTSPLIT(DU52,",")))),IF(DW52="",TRUE,IF(input_faculty_category="",TRUE,SUMPRODUCT(--ISNUMBER(SEARCH(","&amp;TRIM(TEXTSPLIT(DW52,","))&amp;",",","&amp;SUBSTITUTE(input_faculty_category," ","")&amp;",")))=0)),IF(DY52="",TRUE,IF(input_faculty_category="",FALSE,SUMPRODUCT(--ISNUMBER(SEARCH(","&amp;TRIM(TEXTSPLIT(DY52,","))&amp;",",","&amp;SUBSTITUTE(input_faculty_category," ","")&amp;",")))&gt;0)),IF(EA52="",TRUE,IF(input_faculty_category="",FALSE,SUMPRODUCT(--ISNUMBER(SEARCH(","&amp;TRIM(TEXTSPLIT(EA52,","))&amp;",",","&amp;SUBSTITUTE(input_faculty_category," ","")&amp;",")))=COUNTA(TEXTSPLIT(EA52,",")))))</f>
        <v/>
      </c>
      <c r="JF52">
        <f>AND(IF(EC52="",TRUE,IF(input_faculty_discipline="",FALSE,SUMPRODUCT(--ISNUMBER(SEARCH(","&amp;TRIM(TEXTSPLIT(EC52,","))&amp;",",","&amp;SUBSTITUTE(input_faculty_discipline," ","")&amp;",")))&gt;0)),IF(EE52="",TRUE,IF(input_faculty_discipline="",FALSE,SUMPRODUCT(--ISNUMBER(SEARCH(","&amp;TRIM(TEXTSPLIT(EE52,","))&amp;",",","&amp;SUBSTITUTE(input_faculty_discipline," ","")&amp;",")))=COUNTA(TEXTSPLIT(EE52,",")))),IF(EG52="",TRUE,IF(input_faculty_discipline="",TRUE,SUMPRODUCT(--ISNUMBER(SEARCH(","&amp;TRIM(TEXTSPLIT(EG52,","))&amp;",",","&amp;SUBSTITUTE(input_faculty_discipline," ","")&amp;",")))=0)),IF(EI52="",TRUE,IF(input_faculty_discipline="",FALSE,SUMPRODUCT(--ISNUMBER(SEARCH(","&amp;TRIM(TEXTSPLIT(EI52,","))&amp;",",","&amp;SUBSTITUTE(input_faculty_discipline," ","")&amp;",")))&gt;0)),IF(EK52="",TRUE,IF(input_faculty_discipline="",FALSE,SUMPRODUCT(--ISNUMBER(SEARCH(","&amp;TRIM(TEXTSPLIT(EK52,","))&amp;",",","&amp;SUBSTITUTE(input_faculty_discipline," ","")&amp;",")))=COUNTA(TEXTSPLIT(EK52,",")))))</f>
        <v/>
      </c>
      <c r="JG52">
        <f>AND(IF(EM52="",TRUE,IF(input_faculty_expertise="",FALSE,SUMPRODUCT(--ISNUMBER(SEARCH(","&amp;TRIM(TEXTSPLIT(EM52,","))&amp;",",","&amp;SUBSTITUTE(input_faculty_expertise," ","")&amp;",")))&gt;0)),IF(EO52="",TRUE,IF(input_faculty_expertise="",FALSE,SUMPRODUCT(--ISNUMBER(SEARCH(","&amp;TRIM(TEXTSPLIT(EO52,","))&amp;",",","&amp;SUBSTITUTE(input_faculty_expertise," ","")&amp;",")))=COUNTA(TEXTSPLIT(EO52,",")))),IF(EQ52="",TRUE,IF(input_faculty_expertise="",TRUE,SUMPRODUCT(--ISNUMBER(SEARCH(","&amp;TRIM(TEXTSPLIT(EQ52,","))&amp;",",","&amp;SUBSTITUTE(input_faculty_expertise," ","")&amp;",")))=0)),IF(ES52="",TRUE,IF(input_faculty_expertise="",FALSE,SUMPRODUCT(--ISNUMBER(SEARCH(","&amp;TRIM(TEXTSPLIT(ES52,","))&amp;",",","&amp;SUBSTITUTE(input_faculty_expertise," ","")&amp;",")))&gt;0)),IF(EU52="",TRUE,IF(input_faculty_expertise="",FALSE,SUMPRODUCT(--ISNUMBER(SEARCH(","&amp;TRIM(TEXTSPLIT(EU52,","))&amp;",",","&amp;SUBSTITUTE(input_faculty_expertise," ","")&amp;",")))=COUNTA(TEXTSPLIT(EU52,",")))))</f>
        <v/>
      </c>
      <c r="JH52">
        <f>AND(IF(EW52="",TRUE,IF(input_global_network_school="",FALSE,SUMPRODUCT(--ISNUMBER(SEARCH(","&amp;TRIM(TEXTSPLIT(EW52,","))&amp;",",","&amp;SUBSTITUTE(input_global_network_school," ","")&amp;",")))&gt;0)),IF(EY52="",TRUE,IF(input_global_network_school="",FALSE,SUMPRODUCT(--ISNUMBER(SEARCH(","&amp;TRIM(TEXTSPLIT(EY52,","))&amp;",",","&amp;SUBSTITUTE(input_global_network_school," ","")&amp;",")))=COUNTA(TEXTSPLIT(EY52,",")))),IF(FA52="",TRUE,IF(input_global_network_school="",TRUE,SUMPRODUCT(--ISNUMBER(SEARCH(","&amp;TRIM(TEXTSPLIT(FA52,","))&amp;",",","&amp;SUBSTITUTE(input_global_network_school," ","")&amp;",")))=0)),IF(FC52="",TRUE,IF(input_global_network_school="",FALSE,SUMPRODUCT(--ISNUMBER(SEARCH(","&amp;TRIM(TEXTSPLIT(FC52,","))&amp;",",","&amp;SUBSTITUTE(input_global_network_school," ","")&amp;",")))&gt;0)),IF(FE52="",TRUE,IF(input_global_network_school="",FALSE,SUMPRODUCT(--ISNUMBER(SEARCH(","&amp;TRIM(TEXTSPLIT(FE52,","))&amp;",",","&amp;SUBSTITUTE(input_global_network_school," ","")&amp;",")))=COUNTA(TEXTSPLIT(FE52,",")))))</f>
        <v/>
      </c>
      <c r="JI52">
        <f>AND(IF(FG52="",TRUE,IF(input_industry="",FALSE,SUMPRODUCT(--ISNUMBER(SEARCH(","&amp;TRIM(TEXTSPLIT(FG52,","))&amp;",",","&amp;SUBSTITUTE(input_industry," ","")&amp;",")))&gt;0)),IF(FI52="",TRUE,IF(input_industry="",FALSE,SUMPRODUCT(--ISNUMBER(SEARCH(","&amp;TRIM(TEXTSPLIT(FI52,","))&amp;",",","&amp;SUBSTITUTE(input_industry," ","")&amp;",")))=COUNTA(TEXTSPLIT(FI52,",")))),IF(FK52="",TRUE,IF(input_industry="",TRUE,SUMPRODUCT(--ISNUMBER(SEARCH(","&amp;TRIM(TEXTSPLIT(FK52,","))&amp;",",","&amp;SUBSTITUTE(input_industry," ","")&amp;",")))=0)),IF(FM52="",TRUE,IF(input_industry="",FALSE,SUMPRODUCT(--ISNUMBER(SEARCH(","&amp;TRIM(TEXTSPLIT(FM52,","))&amp;",",","&amp;SUBSTITUTE(input_industry," ","")&amp;",")))&gt;0)),IF(FO52="",TRUE,IF(input_industry="",FALSE,SUMPRODUCT(--ISNUMBER(SEARCH(","&amp;TRIM(TEXTSPLIT(FO52,","))&amp;",",","&amp;SUBSTITUTE(input_industry," ","")&amp;",")))=COUNTA(TEXTSPLIT(FO52,",")))))</f>
        <v/>
      </c>
      <c r="JJ52">
        <f>AND(IF(FQ52="",TRUE,IF(input_location="",FALSE,SUMPRODUCT(--ISNUMBER(SEARCH(","&amp;TRIM(TEXTSPLIT(FQ52,","))&amp;",",","&amp;SUBSTITUTE(input_location," ","")&amp;",")))&gt;0)),IF(FS52="",TRUE,IF(input_location="",FALSE,SUMPRODUCT(--ISNUMBER(SEARCH(","&amp;TRIM(TEXTSPLIT(FS52,","))&amp;",",","&amp;SUBSTITUTE(input_location," ","")&amp;",")))=COUNTA(TEXTSPLIT(FS52,",")))),IF(FU52="",TRUE,IF(input_location="",TRUE,SUMPRODUCT(--ISNUMBER(SEARCH(","&amp;TRIM(TEXTSPLIT(FU52,","))&amp;",",","&amp;SUBSTITUTE(input_location," ","")&amp;",")))=0)),IF(FW52="",TRUE,IF(input_location="",FALSE,SUMPRODUCT(--ISNUMBER(SEARCH(","&amp;TRIM(TEXTSPLIT(FW52,","))&amp;",",","&amp;SUBSTITUTE(input_location," ","")&amp;",")))&gt;0)),IF(FY52="",TRUE,IF(input_location="",FALSE,SUMPRODUCT(--ISNUMBER(SEARCH(","&amp;TRIM(TEXTSPLIT(FY52,","))&amp;",",","&amp;SUBSTITUTE(input_location," ","")&amp;",")))=COUNTA(TEXTSPLIT(FY52,",")))))</f>
        <v/>
      </c>
      <c r="JK52">
        <f>AND(IF(GA52="",TRUE,IF(input_modality="",FALSE,SUMPRODUCT(--ISNUMBER(SEARCH(","&amp;TRIM(TEXTSPLIT(GA52,","))&amp;",",","&amp;SUBSTITUTE(input_modality," ","")&amp;",")))&gt;0)),IF(GC52="",TRUE,IF(input_modality="",FALSE,SUMPRODUCT(--ISNUMBER(SEARCH(","&amp;TRIM(TEXTSPLIT(GC52,","))&amp;",",","&amp;SUBSTITUTE(input_modality," ","")&amp;",")))=COUNTA(TEXTSPLIT(GC52,",")))),IF(GE52="",TRUE,IF(input_modality="",TRUE,SUMPRODUCT(--ISNUMBER(SEARCH(","&amp;TRIM(TEXTSPLIT(GE52,","))&amp;",",","&amp;SUBSTITUTE(input_modality," ","")&amp;",")))=0)),IF(GG52="",TRUE,IF(input_modality="",FALSE,SUMPRODUCT(--ISNUMBER(SEARCH(","&amp;TRIM(TEXTSPLIT(GG52,","))&amp;",",","&amp;SUBSTITUTE(input_modality," ","")&amp;",")))&gt;0)),IF(GI52="",TRUE,IF(input_modality="",FALSE,SUMPRODUCT(--ISNUMBER(SEARCH(","&amp;TRIM(TEXTSPLIT(GI52,","))&amp;",",","&amp;SUBSTITUTE(input_modality," ","")&amp;",")))=COUNTA(TEXTSPLIT(GI52,",")))))</f>
        <v/>
      </c>
      <c r="JL52">
        <f>AND(IF(GK52="",TRUE,IF(input_organizer="",FALSE,SUMPRODUCT(--ISNUMBER(SEARCH(","&amp;TRIM(TEXTSPLIT(GK52,","))&amp;",",","&amp;SUBSTITUTE(input_organizer," ","")&amp;",")))&gt;0)),IF(GM52="",TRUE,IF(input_organizer="",FALSE,SUMPRODUCT(--ISNUMBER(SEARCH(","&amp;TRIM(TEXTSPLIT(GM52,","))&amp;",",","&amp;SUBSTITUTE(input_organizer," ","")&amp;",")))=COUNTA(TEXTSPLIT(GM52,",")))),IF(GO52="",TRUE,IF(input_organizer="",TRUE,SUMPRODUCT(--ISNUMBER(SEARCH(","&amp;TRIM(TEXTSPLIT(GO52,","))&amp;",",","&amp;SUBSTITUTE(input_organizer," ","")&amp;",")))=0)),IF(GQ52="",TRUE,IF(input_organizer="",FALSE,SUMPRODUCT(--ISNUMBER(SEARCH(","&amp;TRIM(TEXTSPLIT(GQ52,","))&amp;",",","&amp;SUBSTITUTE(input_organizer," ","")&amp;",")))&gt;0)),IF(GS52="",TRUE,IF(input_organizer="",FALSE,SUMPRODUCT(--ISNUMBER(SEARCH(","&amp;TRIM(TEXTSPLIT(GS52,","))&amp;",",","&amp;SUBSTITUTE(input_organizer," ","")&amp;",")))=COUNTA(TEXTSPLIT(GS52,",")))))</f>
        <v/>
      </c>
      <c r="JM52">
        <f>AND(IF(GU52="",TRUE,IF(input_profile_type="",FALSE,SUMPRODUCT(--ISNUMBER(SEARCH(","&amp;TRIM(TEXTSPLIT(GU52,","))&amp;",",","&amp;SUBSTITUTE(input_profile_type," ","")&amp;",")))&gt;0)),IF(GW52="",TRUE,IF(input_profile_type="",FALSE,SUMPRODUCT(--ISNUMBER(SEARCH(","&amp;TRIM(TEXTSPLIT(GW52,","))&amp;",",","&amp;SUBSTITUTE(input_profile_type," ","")&amp;",")))=COUNTA(TEXTSPLIT(GW52,",")))),IF(GY52="",TRUE,IF(input_profile_type="",TRUE,SUMPRODUCT(--ISNUMBER(SEARCH(","&amp;TRIM(TEXTSPLIT(GY52,","))&amp;",",","&amp;SUBSTITUTE(input_profile_type," ","")&amp;",")))=0)),IF(HA52="",TRUE,IF(input_profile_type="",FALSE,SUMPRODUCT(--ISNUMBER(SEARCH(","&amp;TRIM(TEXTSPLIT(HA52,","))&amp;",",","&amp;SUBSTITUTE(input_profile_type," ","")&amp;",")))&gt;0)),IF(HC52="",TRUE,IF(input_profile_type="",FALSE,SUMPRODUCT(--ISNUMBER(SEARCH(","&amp;TRIM(TEXTSPLIT(HC52,","))&amp;",",","&amp;SUBSTITUTE(input_profile_type," ","")&amp;",")))=COUNTA(TEXTSPLIT(HC52,",")))))</f>
        <v/>
      </c>
      <c r="JN52">
        <f>AND(IF(HE52="",TRUE,IF(input_program="",FALSE,SUMPRODUCT(--ISNUMBER(SEARCH(","&amp;TRIM(TEXTSPLIT(HE52,","))&amp;",",","&amp;SUBSTITUTE(input_program," ","")&amp;",")))&gt;0)),IF(HG52="",TRUE,IF(input_program="",FALSE,SUMPRODUCT(--ISNUMBER(SEARCH(","&amp;TRIM(TEXTSPLIT(HG52,","))&amp;",",","&amp;SUBSTITUTE(input_program," ","")&amp;",")))=COUNTA(TEXTSPLIT(HG52,",")))),IF(HI52="",TRUE,IF(input_program="",TRUE,SUMPRODUCT(--ISNUMBER(SEARCH(","&amp;TRIM(TEXTSPLIT(HI52,","))&amp;",",","&amp;SUBSTITUTE(input_program," ","")&amp;",")))=0)),IF(HK52="",TRUE,IF(input_program="",FALSE,SUMPRODUCT(--ISNUMBER(SEARCH(","&amp;TRIM(TEXTSPLIT(HK52,","))&amp;",",","&amp;SUBSTITUTE(input_program," ","")&amp;",")))&gt;0)),IF(HM52="",TRUE,IF(input_program="",FALSE,SUMPRODUCT(--ISNUMBER(SEARCH(","&amp;TRIM(TEXTSPLIT(HM52,","))&amp;",",","&amp;SUBSTITUTE(input_program," ","")&amp;",")))=COUNTA(TEXTSPLIT(HM52,",")))))</f>
        <v/>
      </c>
      <c r="JO52">
        <f>AND(IF(HO52="",TRUE,IF(input_story_categories="",FALSE,SUMPRODUCT(--ISNUMBER(SEARCH(","&amp;TRIM(TEXTSPLIT(HO52,","))&amp;",",","&amp;SUBSTITUTE(input_story_categories," ","")&amp;",")))&gt;0)),IF(HQ52="",TRUE,IF(input_story_categories="",FALSE,SUMPRODUCT(--ISNUMBER(SEARCH(","&amp;TRIM(TEXTSPLIT(HQ52,","))&amp;",",","&amp;SUBSTITUTE(input_story_categories," ","")&amp;",")))=COUNTA(TEXTSPLIT(HQ52,",")))),IF(HS52="",TRUE,IF(input_story_categories="",TRUE,SUMPRODUCT(--ISNUMBER(SEARCH(","&amp;TRIM(TEXTSPLIT(HS52,","))&amp;",",","&amp;SUBSTITUTE(input_story_categories," ","")&amp;",")))=0)),IF(HU52="",TRUE,IF(input_story_categories="",FALSE,SUMPRODUCT(--ISNUMBER(SEARCH(","&amp;TRIM(TEXTSPLIT(HU52,","))&amp;",",","&amp;SUBSTITUTE(input_story_categories," ","")&amp;",")))&gt;0)),IF(HW52="",TRUE,IF(input_story_categories="",FALSE,SUMPRODUCT(--ISNUMBER(SEARCH(","&amp;TRIM(TEXTSPLIT(HW52,","))&amp;",",","&amp;SUBSTITUTE(input_story_categories," ","")&amp;",")))=COUNTA(TEXTSPLIT(HW52,",")))))</f>
        <v/>
      </c>
      <c r="JP52">
        <f>AND(IF(HY52="",TRUE,IF(input_story_type="",FALSE,SUMPRODUCT(--ISNUMBER(SEARCH(","&amp;TRIM(TEXTSPLIT(HY52,","))&amp;",",","&amp;SUBSTITUTE(input_story_type," ","")&amp;",")))&gt;0)),IF(IA52="",TRUE,IF(input_story_type="",FALSE,SUMPRODUCT(--ISNUMBER(SEARCH(","&amp;TRIM(TEXTSPLIT(IA52,","))&amp;",",","&amp;SUBSTITUTE(input_story_type," ","")&amp;",")))=COUNTA(TEXTSPLIT(IA52,",")))),IF(IC52="",TRUE,IF(input_story_type="",TRUE,SUMPRODUCT(--ISNUMBER(SEARCH(","&amp;TRIM(TEXTSPLIT(IC52,","))&amp;",",","&amp;SUBSTITUTE(input_story_type," ","")&amp;",")))=0)),IF(IE52="",TRUE,IF(input_story_type="",FALSE,SUMPRODUCT(--ISNUMBER(SEARCH(","&amp;TRIM(TEXTSPLIT(IE52,","))&amp;",",","&amp;SUBSTITUTE(input_story_type," ","")&amp;",")))&gt;0)),IF(IG52="",TRUE,IF(input_story_type="",FALSE,SUMPRODUCT(--ISNUMBER(SEARCH(","&amp;TRIM(TEXTSPLIT(IG52,","))&amp;",",","&amp;SUBSTITUTE(input_story_type," ","")&amp;",")))=COUNTA(TEXTSPLIT(IG52,",")))))</f>
        <v/>
      </c>
      <c r="JQ52">
        <f>AND(IF(II52="",TRUE,IF(input_topics="",FALSE,SUMPRODUCT(--ISNUMBER(SEARCH(","&amp;TRIM(TEXTSPLIT(II52,","))&amp;",",","&amp;SUBSTITUTE(input_topics," ","")&amp;",")))&gt;0)),IF(IK52="",TRUE,IF(input_topics="",FALSE,SUMPRODUCT(--ISNUMBER(SEARCH(","&amp;TRIM(TEXTSPLIT(IK52,","))&amp;",",","&amp;SUBSTITUTE(input_topics," ","")&amp;",")))=COUNTA(TEXTSPLIT(IK52,",")))),IF(IM52="",TRUE,IF(input_topics="",TRUE,SUMPRODUCT(--ISNUMBER(SEARCH(","&amp;TRIM(TEXTSPLIT(IM52,","))&amp;",",","&amp;SUBSTITUTE(input_topics," ","")&amp;",")))=0)),IF(IO52="",TRUE,IF(input_topics="",FALSE,SUMPRODUCT(--ISNUMBER(SEARCH(","&amp;TRIM(TEXTSPLIT(IO52,","))&amp;",",","&amp;SUBSTITUTE(input_topics," ","")&amp;",")))&gt;0)),IF(IQ52="",TRUE,IF(input_topics="",FALSE,SUMPRODUCT(--ISNUMBER(SEARCH(","&amp;TRIM(TEXTSPLIT(IQ52,","))&amp;",",","&amp;SUBSTITUTE(input_topics," ","")&amp;",")))=COUNTA(TEXTSPLIT(IQ52,",")))))</f>
        <v/>
      </c>
    </row>
    <row r="53">
      <c r="A53" s="4">
        <f>IF(NOT(IS53),"Excluded",IF(AND(IT53,IU53,IV53,IW53,IX53,IY53,IZ53,JA53,JB53,JC53,JD53,JE53,JF53,JG53,JH53,JI53,JJ53,JK53,JL53,JM53,JN53,JO53,JP53,JQ53),IF(I53&gt;0,"Eligible but limited","Will appear"),"Excluded"))</f>
        <v/>
      </c>
      <c r="B53" s="4" t="inlineStr">
        <is>
          <t>All Publications by Author</t>
        </is>
      </c>
      <c r="C53" s="4" t="inlineStr">
        <is>
          <t>/faculty-research/faculty-directory/tony-sheldon</t>
        </is>
      </c>
      <c r="D53" s="4" t="inlineStr">
        <is>
          <t>/faculty-research/faculty-directory/tony-sheldon</t>
        </is>
      </c>
      <c r="E53" s="4" t="n">
        <v>1</v>
      </c>
      <c r="F53" s="4" t="inlineStr">
        <is>
          <t>publications</t>
        </is>
      </c>
      <c r="G53" s="4" t="inlineStr">
        <is>
          <t>publication_teaser_list</t>
        </is>
      </c>
      <c r="H53" s="4" t="inlineStr">
        <is>
          <t>publication_teaser_list_all_by_author</t>
        </is>
      </c>
      <c r="I53" s="4" t="inlineStr"/>
      <c r="J53" s="4" t="inlineStr">
        <is>
          <t>View/config rules</t>
        </is>
      </c>
      <c r="K53" s="4" t="inlineStr">
        <is>
          <t>Page placement</t>
        </is>
      </c>
      <c r="L53" s="4" t="inlineStr">
        <is>
          <t>Content type: publications; Source: View/config rules</t>
        </is>
      </c>
      <c r="M53" t="inlineStr"/>
      <c r="N53" t="inlineStr"/>
      <c r="O53" t="inlineStr"/>
      <c r="P53" t="inlineStr"/>
      <c r="Q53" t="inlineStr"/>
      <c r="R53" t="inlineStr"/>
      <c r="S53" t="inlineStr"/>
      <c r="T53" t="inlineStr"/>
      <c r="U53" t="inlineStr"/>
      <c r="V53" t="inlineStr"/>
      <c r="W53" t="inlineStr"/>
      <c r="X53" t="inlineStr"/>
      <c r="Y53" t="inlineStr"/>
      <c r="Z53" t="inlineStr"/>
      <c r="AA53" t="inlineStr"/>
      <c r="AB53" t="inlineStr"/>
      <c r="AC53" t="inlineStr"/>
      <c r="AD53" t="inlineStr"/>
      <c r="AE53" t="inlineStr"/>
      <c r="AF53" t="inlineStr"/>
      <c r="AG53" t="inlineStr"/>
      <c r="AH53" t="inlineStr"/>
      <c r="AI53" t="inlineStr"/>
      <c r="AJ53" t="inlineStr"/>
      <c r="AK53" t="inlineStr"/>
      <c r="AL53" t="inlineStr"/>
      <c r="AM53" t="inlineStr"/>
      <c r="AN53" t="inlineStr"/>
      <c r="AO53" t="inlineStr"/>
      <c r="AP53" t="inlineStr"/>
      <c r="AQ53" t="inlineStr"/>
      <c r="AR53" t="inlineStr"/>
      <c r="AS53" t="inlineStr"/>
      <c r="AT53" t="inlineStr"/>
      <c r="AU53" t="inlineStr"/>
      <c r="AV53" t="inlineStr"/>
      <c r="AW53" t="inlineStr"/>
      <c r="AX53" t="inlineStr"/>
      <c r="AY53" t="inlineStr"/>
      <c r="AZ53" t="inlineStr"/>
      <c r="BA53" t="inlineStr"/>
      <c r="BB53" t="inlineStr"/>
      <c r="BC53" t="inlineStr"/>
      <c r="BD53" t="inlineStr"/>
      <c r="BE53" t="inlineStr"/>
      <c r="BF53" t="inlineStr"/>
      <c r="BG53" t="inlineStr"/>
      <c r="BH53" t="inlineStr"/>
      <c r="BI53" t="inlineStr"/>
      <c r="BJ53" t="inlineStr"/>
      <c r="BK53" t="inlineStr"/>
      <c r="BL53" t="inlineStr"/>
      <c r="BM53" t="inlineStr"/>
      <c r="BN53" t="inlineStr"/>
      <c r="BO53" t="inlineStr"/>
      <c r="BP53" t="inlineStr"/>
      <c r="BQ53" t="inlineStr"/>
      <c r="BR53" t="inlineStr"/>
      <c r="BS53" t="inlineStr"/>
      <c r="BT53" t="inlineStr"/>
      <c r="BU53" t="inlineStr"/>
      <c r="BV53" t="inlineStr"/>
      <c r="BW53" t="inlineStr"/>
      <c r="BX53" t="inlineStr"/>
      <c r="BY53" t="inlineStr"/>
      <c r="BZ53" t="inlineStr"/>
      <c r="CA53" t="inlineStr"/>
      <c r="CB53" t="inlineStr"/>
      <c r="CC53" t="inlineStr"/>
      <c r="CD53" t="inlineStr"/>
      <c r="CE53" t="inlineStr"/>
      <c r="CF53" t="inlineStr"/>
      <c r="CG53" t="inlineStr"/>
      <c r="CH53" t="inlineStr"/>
      <c r="CI53" t="inlineStr"/>
      <c r="CJ53" t="inlineStr"/>
      <c r="CK53" t="inlineStr"/>
      <c r="CL53" t="inlineStr"/>
      <c r="CM53" t="inlineStr"/>
      <c r="CN53" t="inlineStr"/>
      <c r="CO53" t="inlineStr"/>
      <c r="CP53" t="inlineStr"/>
      <c r="CQ53" t="inlineStr"/>
      <c r="CR53" t="inlineStr"/>
      <c r="CS53" t="inlineStr"/>
      <c r="CT53" t="inlineStr"/>
      <c r="CU53" t="inlineStr"/>
      <c r="CV53" t="inlineStr"/>
      <c r="CW53" t="inlineStr"/>
      <c r="CX53" t="inlineStr"/>
      <c r="CY53" t="inlineStr"/>
      <c r="CZ53" t="inlineStr"/>
      <c r="DA53" t="inlineStr"/>
      <c r="DB53" t="inlineStr"/>
      <c r="DC53" t="inlineStr"/>
      <c r="DD53" t="inlineStr"/>
      <c r="DE53" t="inlineStr"/>
      <c r="DF53" t="inlineStr"/>
      <c r="DG53" t="inlineStr"/>
      <c r="DH53" t="inlineStr"/>
      <c r="DI53" t="inlineStr"/>
      <c r="DJ53" t="inlineStr"/>
      <c r="DK53" t="inlineStr"/>
      <c r="DL53" t="inlineStr"/>
      <c r="DM53" t="inlineStr"/>
      <c r="DN53" t="inlineStr"/>
      <c r="DO53" t="inlineStr"/>
      <c r="DP53" t="inlineStr"/>
      <c r="DQ53" t="inlineStr"/>
      <c r="DR53" t="inlineStr"/>
      <c r="DS53" t="inlineStr"/>
      <c r="DT53" t="inlineStr"/>
      <c r="DU53" t="inlineStr"/>
      <c r="DV53" t="inlineStr"/>
      <c r="DW53" t="inlineStr"/>
      <c r="DX53" t="inlineStr"/>
      <c r="DY53" t="inlineStr"/>
      <c r="DZ53" t="inlineStr"/>
      <c r="EA53" t="inlineStr"/>
      <c r="EB53" t="inlineStr"/>
      <c r="EC53" t="inlineStr"/>
      <c r="ED53" t="inlineStr"/>
      <c r="EE53" t="inlineStr"/>
      <c r="EF53" t="inlineStr"/>
      <c r="EG53" t="inlineStr"/>
      <c r="EH53" t="inlineStr"/>
      <c r="EI53" t="inlineStr"/>
      <c r="EJ53" t="inlineStr"/>
      <c r="EK53" t="inlineStr"/>
      <c r="EL53" t="inlineStr"/>
      <c r="EM53" t="inlineStr"/>
      <c r="EN53" t="inlineStr"/>
      <c r="EO53" t="inlineStr"/>
      <c r="EP53" t="inlineStr"/>
      <c r="EQ53" t="inlineStr"/>
      <c r="ER53" t="inlineStr"/>
      <c r="ES53" t="inlineStr"/>
      <c r="ET53" t="inlineStr"/>
      <c r="EU53" t="inlineStr"/>
      <c r="EV53" t="inlineStr"/>
      <c r="EW53" t="inlineStr"/>
      <c r="EX53" t="inlineStr"/>
      <c r="EY53" t="inlineStr"/>
      <c r="EZ53" t="inlineStr"/>
      <c r="FA53" t="inlineStr"/>
      <c r="FB53" t="inlineStr"/>
      <c r="FC53" t="inlineStr"/>
      <c r="FD53" t="inlineStr"/>
      <c r="FE53" t="inlineStr"/>
      <c r="FF53" t="inlineStr"/>
      <c r="FG53" t="inlineStr"/>
      <c r="FH53" t="inlineStr"/>
      <c r="FI53" t="inlineStr"/>
      <c r="FJ53" t="inlineStr"/>
      <c r="FK53" t="inlineStr"/>
      <c r="FL53" t="inlineStr"/>
      <c r="FM53" t="inlineStr"/>
      <c r="FN53" t="inlineStr"/>
      <c r="FO53" t="inlineStr"/>
      <c r="FP53" t="inlineStr"/>
      <c r="FQ53" t="inlineStr"/>
      <c r="FR53" t="inlineStr"/>
      <c r="FS53" t="inlineStr"/>
      <c r="FT53" t="inlineStr"/>
      <c r="FU53" t="inlineStr"/>
      <c r="FV53" t="inlineStr"/>
      <c r="FW53" t="inlineStr"/>
      <c r="FX53" t="inlineStr"/>
      <c r="FY53" t="inlineStr"/>
      <c r="FZ53" t="inlineStr"/>
      <c r="GA53" t="inlineStr"/>
      <c r="GB53" t="inlineStr"/>
      <c r="GC53" t="inlineStr"/>
      <c r="GD53" t="inlineStr"/>
      <c r="GE53" t="inlineStr"/>
      <c r="GF53" t="inlineStr"/>
      <c r="GG53" t="inlineStr"/>
      <c r="GH53" t="inlineStr"/>
      <c r="GI53" t="inlineStr"/>
      <c r="GJ53" t="inlineStr"/>
      <c r="GK53" t="inlineStr"/>
      <c r="GL53" t="inlineStr"/>
      <c r="GM53" t="inlineStr"/>
      <c r="GN53" t="inlineStr"/>
      <c r="GO53" t="inlineStr"/>
      <c r="GP53" t="inlineStr"/>
      <c r="GQ53" t="inlineStr"/>
      <c r="GR53" t="inlineStr"/>
      <c r="GS53" t="inlineStr"/>
      <c r="GT53" t="inlineStr"/>
      <c r="GU53" t="inlineStr"/>
      <c r="GV53" t="inlineStr"/>
      <c r="GW53" t="inlineStr"/>
      <c r="GX53" t="inlineStr"/>
      <c r="GY53" t="inlineStr"/>
      <c r="GZ53" t="inlineStr"/>
      <c r="HA53" t="inlineStr"/>
      <c r="HB53" t="inlineStr"/>
      <c r="HC53" t="inlineStr"/>
      <c r="HD53" t="inlineStr"/>
      <c r="HE53" t="inlineStr"/>
      <c r="HF53" t="inlineStr"/>
      <c r="HG53" t="inlineStr"/>
      <c r="HH53" t="inlineStr"/>
      <c r="HI53" t="inlineStr"/>
      <c r="HJ53" t="inlineStr"/>
      <c r="HK53" t="inlineStr"/>
      <c r="HL53" t="inlineStr"/>
      <c r="HM53" t="inlineStr"/>
      <c r="HN53" t="inlineStr"/>
      <c r="HO53" t="inlineStr"/>
      <c r="HP53" t="inlineStr"/>
      <c r="HQ53" t="inlineStr"/>
      <c r="HR53" t="inlineStr"/>
      <c r="HS53" t="inlineStr"/>
      <c r="HT53" t="inlineStr"/>
      <c r="HU53" t="inlineStr"/>
      <c r="HV53" t="inlineStr"/>
      <c r="HW53" t="inlineStr"/>
      <c r="HX53" t="inlineStr"/>
      <c r="HY53" t="inlineStr"/>
      <c r="HZ53" t="inlineStr"/>
      <c r="IA53" t="inlineStr"/>
      <c r="IB53" t="inlineStr"/>
      <c r="IC53" t="inlineStr"/>
      <c r="ID53" t="inlineStr"/>
      <c r="IE53" t="inlineStr"/>
      <c r="IF53" t="inlineStr"/>
      <c r="IG53" t="inlineStr"/>
      <c r="IH53" t="inlineStr"/>
      <c r="II53" t="inlineStr"/>
      <c r="IJ53" t="inlineStr"/>
      <c r="IK53" t="inlineStr"/>
      <c r="IL53" t="inlineStr"/>
      <c r="IM53" t="inlineStr"/>
      <c r="IN53" t="inlineStr"/>
      <c r="IO53" t="inlineStr"/>
      <c r="IP53" t="inlineStr"/>
      <c r="IQ53" t="inlineStr"/>
      <c r="IR53" t="inlineStr"/>
      <c r="IS53">
        <f>IF(input_content_type="",FALSE,ISNUMBER(SEARCH(","&amp;LOWER(input_content_type)&amp;",",","&amp;LOWER(F53)&amp;",")))</f>
        <v/>
      </c>
      <c r="IT53">
        <f>AND(IF(M53="",TRUE,IF(input_affiliations="",FALSE,SUMPRODUCT(--ISNUMBER(SEARCH(","&amp;TRIM(TEXTSPLIT(M53,","))&amp;",",","&amp;SUBSTITUTE(input_affiliations," ","")&amp;",")))&gt;0)),IF(O53="",TRUE,IF(input_affiliations="",FALSE,SUMPRODUCT(--ISNUMBER(SEARCH(","&amp;TRIM(TEXTSPLIT(O53,","))&amp;",",","&amp;SUBSTITUTE(input_affiliations," ","")&amp;",")))=COUNTA(TEXTSPLIT(O53,",")))),IF(Q53="",TRUE,IF(input_affiliations="",TRUE,SUMPRODUCT(--ISNUMBER(SEARCH(","&amp;TRIM(TEXTSPLIT(Q53,","))&amp;",",","&amp;SUBSTITUTE(input_affiliations," ","")&amp;",")))=0)),IF(S53="",TRUE,IF(input_affiliations="",FALSE,SUMPRODUCT(--ISNUMBER(SEARCH(","&amp;TRIM(TEXTSPLIT(S53,","))&amp;",",","&amp;SUBSTITUTE(input_affiliations," ","")&amp;",")))&gt;0)),IF(U53="",TRUE,IF(input_affiliations="",FALSE,SUMPRODUCT(--ISNUMBER(SEARCH(","&amp;TRIM(TEXTSPLIT(U53,","))&amp;",",","&amp;SUBSTITUTE(input_affiliations," ","")&amp;",")))=COUNTA(TEXTSPLIT(U53,",")))))</f>
        <v/>
      </c>
      <c r="IU53">
        <f>AND(IF(W53="",TRUE,IF(input_announcement_category="",FALSE,SUMPRODUCT(--ISNUMBER(SEARCH(","&amp;TRIM(TEXTSPLIT(W53,","))&amp;",",","&amp;SUBSTITUTE(input_announcement_category," ","")&amp;",")))&gt;0)),IF(Y53="",TRUE,IF(input_announcement_category="",FALSE,SUMPRODUCT(--ISNUMBER(SEARCH(","&amp;TRIM(TEXTSPLIT(Y53,","))&amp;",",","&amp;SUBSTITUTE(input_announcement_category," ","")&amp;",")))=COUNTA(TEXTSPLIT(Y53,",")))),IF(AA53="",TRUE,IF(input_announcement_category="",TRUE,SUMPRODUCT(--ISNUMBER(SEARCH(","&amp;TRIM(TEXTSPLIT(AA53,","))&amp;",",","&amp;SUBSTITUTE(input_announcement_category," ","")&amp;",")))=0)),IF(AC53="",TRUE,IF(input_announcement_category="",FALSE,SUMPRODUCT(--ISNUMBER(SEARCH(","&amp;TRIM(TEXTSPLIT(AC53,","))&amp;",",","&amp;SUBSTITUTE(input_announcement_category," ","")&amp;",")))&gt;0)),IF(AE53="",TRUE,IF(input_announcement_category="",FALSE,SUMPRODUCT(--ISNUMBER(SEARCH(","&amp;TRIM(TEXTSPLIT(AE53,","))&amp;",",","&amp;SUBSTITUTE(input_announcement_category," ","")&amp;",")))=COUNTA(TEXTSPLIT(AE53,",")))))</f>
        <v/>
      </c>
      <c r="IV53">
        <f>AND(IF(AG53="",TRUE,IF(input_area_of_focus="",FALSE,SUMPRODUCT(--ISNUMBER(SEARCH(","&amp;TRIM(TEXTSPLIT(AG53,","))&amp;",",","&amp;SUBSTITUTE(input_area_of_focus," ","")&amp;",")))&gt;0)),IF(AI53="",TRUE,IF(input_area_of_focus="",FALSE,SUMPRODUCT(--ISNUMBER(SEARCH(","&amp;TRIM(TEXTSPLIT(AI53,","))&amp;",",","&amp;SUBSTITUTE(input_area_of_focus," ","")&amp;",")))=COUNTA(TEXTSPLIT(AI53,",")))),IF(AK53="",TRUE,IF(input_area_of_focus="",TRUE,SUMPRODUCT(--ISNUMBER(SEARCH(","&amp;TRIM(TEXTSPLIT(AK53,","))&amp;",",","&amp;SUBSTITUTE(input_area_of_focus," ","")&amp;",")))=0)),IF(AM53="",TRUE,IF(input_area_of_focus="",FALSE,SUMPRODUCT(--ISNUMBER(SEARCH(","&amp;TRIM(TEXTSPLIT(AM53,","))&amp;",",","&amp;SUBSTITUTE(input_area_of_focus," ","")&amp;",")))&gt;0)),IF(AO53="",TRUE,IF(input_area_of_focus="",FALSE,SUMPRODUCT(--ISNUMBER(SEARCH(","&amp;TRIM(TEXTSPLIT(AO53,","))&amp;",",","&amp;SUBSTITUTE(input_area_of_focus," ","")&amp;",")))=COUNTA(TEXTSPLIT(AO53,",")))))</f>
        <v/>
      </c>
      <c r="IW53">
        <f>AND(IF(AQ53="",TRUE,IF(input_audience="",FALSE,SUMPRODUCT(--ISNUMBER(SEARCH(","&amp;TRIM(TEXTSPLIT(AQ53,","))&amp;",",","&amp;SUBSTITUTE(input_audience," ","")&amp;",")))&gt;0)),IF(AS53="",TRUE,IF(input_audience="",FALSE,SUMPRODUCT(--ISNUMBER(SEARCH(","&amp;TRIM(TEXTSPLIT(AS53,","))&amp;",",","&amp;SUBSTITUTE(input_audience," ","")&amp;",")))=COUNTA(TEXTSPLIT(AS53,",")))),IF(AU53="",TRUE,IF(input_audience="",TRUE,SUMPRODUCT(--ISNUMBER(SEARCH(","&amp;TRIM(TEXTSPLIT(AU53,","))&amp;",",","&amp;SUBSTITUTE(input_audience," ","")&amp;",")))=0)),IF(AW53="",TRUE,IF(input_audience="",FALSE,SUMPRODUCT(--ISNUMBER(SEARCH(","&amp;TRIM(TEXTSPLIT(AW53,","))&amp;",",","&amp;SUBSTITUTE(input_audience," ","")&amp;",")))&gt;0)),IF(AY53="",TRUE,IF(input_audience="",FALSE,SUMPRODUCT(--ISNUMBER(SEARCH(","&amp;TRIM(TEXTSPLIT(AY53,","))&amp;",",","&amp;SUBSTITUTE(input_audience," ","")&amp;",")))=COUNTA(TEXTSPLIT(AY53,",")))))</f>
        <v/>
      </c>
      <c r="IX53">
        <f>AND(IF(BA53="",TRUE,IF(input_challenge_opportunities="",FALSE,SUMPRODUCT(--ISNUMBER(SEARCH(","&amp;TRIM(TEXTSPLIT(BA53,","))&amp;",",","&amp;SUBSTITUTE(input_challenge_opportunities," ","")&amp;",")))&gt;0)),IF(BC53="",TRUE,IF(input_challenge_opportunities="",FALSE,SUMPRODUCT(--ISNUMBER(SEARCH(","&amp;TRIM(TEXTSPLIT(BC53,","))&amp;",",","&amp;SUBSTITUTE(input_challenge_opportunities," ","")&amp;",")))=COUNTA(TEXTSPLIT(BC53,",")))),IF(BE53="",TRUE,IF(input_challenge_opportunities="",TRUE,SUMPRODUCT(--ISNUMBER(SEARCH(","&amp;TRIM(TEXTSPLIT(BE53,","))&amp;",",","&amp;SUBSTITUTE(input_challenge_opportunities," ","")&amp;",")))=0)),IF(BG53="",TRUE,IF(input_challenge_opportunities="",FALSE,SUMPRODUCT(--ISNUMBER(SEARCH(","&amp;TRIM(TEXTSPLIT(BG53,","))&amp;",",","&amp;SUBSTITUTE(input_challenge_opportunities," ","")&amp;",")))&gt;0)),IF(BI53="",TRUE,IF(input_challenge_opportunities="",FALSE,SUMPRODUCT(--ISNUMBER(SEARCH(","&amp;TRIM(TEXTSPLIT(BI53,","))&amp;",",","&amp;SUBSTITUTE(input_challenge_opportunities," ","")&amp;",")))=COUNTA(TEXTSPLIT(BI53,",")))))</f>
        <v/>
      </c>
      <c r="IY53">
        <f>AND(IF(BK53="",TRUE,IF(input_context="",FALSE,SUMPRODUCT(--ISNUMBER(SEARCH(","&amp;TRIM(TEXTSPLIT(BK53,","))&amp;",",","&amp;SUBSTITUTE(input_context," ","")&amp;",")))&gt;0)),IF(BM53="",TRUE,IF(input_context="",FALSE,SUMPRODUCT(--ISNUMBER(SEARCH(","&amp;TRIM(TEXTSPLIT(BM53,","))&amp;",",","&amp;SUBSTITUTE(input_context," ","")&amp;",")))=COUNTA(TEXTSPLIT(BM53,",")))),IF(BO53="",TRUE,IF(input_context="",TRUE,SUMPRODUCT(--ISNUMBER(SEARCH(","&amp;TRIM(TEXTSPLIT(BO53,","))&amp;",",","&amp;SUBSTITUTE(input_context," ","")&amp;",")))=0)),IF(BQ53="",TRUE,IF(input_context="",FALSE,SUMPRODUCT(--ISNUMBER(SEARCH(","&amp;TRIM(TEXTSPLIT(BQ53,","))&amp;",",","&amp;SUBSTITUTE(input_context," ","")&amp;",")))&gt;0)),IF(BS53="",TRUE,IF(input_context="",FALSE,SUMPRODUCT(--ISNUMBER(SEARCH(","&amp;TRIM(TEXTSPLIT(BS53,","))&amp;",",","&amp;SUBSTITUTE(input_context," ","")&amp;",")))=COUNTA(TEXTSPLIT(BS53,",")))))</f>
        <v/>
      </c>
      <c r="IZ53">
        <f>AND(IF(BU53="",TRUE,IF(input_enews_announcement_type="",FALSE,SUMPRODUCT(--ISNUMBER(SEARCH(","&amp;TRIM(TEXTSPLIT(BU53,","))&amp;",",","&amp;SUBSTITUTE(input_enews_announcement_type," ","")&amp;",")))&gt;0)),IF(BW53="",TRUE,IF(input_enews_announcement_type="",FALSE,SUMPRODUCT(--ISNUMBER(SEARCH(","&amp;TRIM(TEXTSPLIT(BW53,","))&amp;",",","&amp;SUBSTITUTE(input_enews_announcement_type," ","")&amp;",")))=COUNTA(TEXTSPLIT(BW53,",")))),IF(BY53="",TRUE,IF(input_enews_announcement_type="",TRUE,SUMPRODUCT(--ISNUMBER(SEARCH(","&amp;TRIM(TEXTSPLIT(BY53,","))&amp;",",","&amp;SUBSTITUTE(input_enews_announcement_type," ","")&amp;",")))=0)),IF(CA53="",TRUE,IF(input_enews_announcement_type="",FALSE,SUMPRODUCT(--ISNUMBER(SEARCH(","&amp;TRIM(TEXTSPLIT(CA53,","))&amp;",",","&amp;SUBSTITUTE(input_enews_announcement_type," ","")&amp;",")))&gt;0)),IF(CC53="",TRUE,IF(input_enews_announcement_type="",FALSE,SUMPRODUCT(--ISNUMBER(SEARCH(","&amp;TRIM(TEXTSPLIT(CC53,","))&amp;",",","&amp;SUBSTITUTE(input_enews_announcement_type," ","")&amp;",")))=COUNTA(TEXTSPLIT(CC53,",")))))</f>
        <v/>
      </c>
      <c r="JA53">
        <f>AND(IF(CE53="",TRUE,IF(input_enews_audience="",FALSE,SUMPRODUCT(--ISNUMBER(SEARCH(","&amp;TRIM(TEXTSPLIT(CE53,","))&amp;",",","&amp;SUBSTITUTE(input_enews_audience," ","")&amp;",")))&gt;0)),IF(CG53="",TRUE,IF(input_enews_audience="",FALSE,SUMPRODUCT(--ISNUMBER(SEARCH(","&amp;TRIM(TEXTSPLIT(CG53,","))&amp;",",","&amp;SUBSTITUTE(input_enews_audience," ","")&amp;",")))=COUNTA(TEXTSPLIT(CG53,",")))),IF(CI53="",TRUE,IF(input_enews_audience="",TRUE,SUMPRODUCT(--ISNUMBER(SEARCH(","&amp;TRIM(TEXTSPLIT(CI53,","))&amp;",",","&amp;SUBSTITUTE(input_enews_audience," ","")&amp;",")))=0)),IF(CK53="",TRUE,IF(input_enews_audience="",FALSE,SUMPRODUCT(--ISNUMBER(SEARCH(","&amp;TRIM(TEXTSPLIT(CK53,","))&amp;",",","&amp;SUBSTITUTE(input_enews_audience," ","")&amp;",")))&gt;0)),IF(CM53="",TRUE,IF(input_enews_audience="",FALSE,SUMPRODUCT(--ISNUMBER(SEARCH(","&amp;TRIM(TEXTSPLIT(CM53,","))&amp;",",","&amp;SUBSTITUTE(input_enews_audience," ","")&amp;",")))=COUNTA(TEXTSPLIT(CM53,",")))))</f>
        <v/>
      </c>
      <c r="JB53">
        <f>AND(IF(CO53="",TRUE,IF(input_event_location="",FALSE,SUMPRODUCT(--ISNUMBER(SEARCH(","&amp;TRIM(TEXTSPLIT(CO53,","))&amp;",",","&amp;SUBSTITUTE(input_event_location," ","")&amp;",")))&gt;0)),IF(CQ53="",TRUE,IF(input_event_location="",FALSE,SUMPRODUCT(--ISNUMBER(SEARCH(","&amp;TRIM(TEXTSPLIT(CQ53,","))&amp;",",","&amp;SUBSTITUTE(input_event_location," ","")&amp;",")))=COUNTA(TEXTSPLIT(CQ53,",")))),IF(CS53="",TRUE,IF(input_event_location="",TRUE,SUMPRODUCT(--ISNUMBER(SEARCH(","&amp;TRIM(TEXTSPLIT(CS53,","))&amp;",",","&amp;SUBSTITUTE(input_event_location," ","")&amp;",")))=0)),IF(CU53="",TRUE,IF(input_event_location="",FALSE,SUMPRODUCT(--ISNUMBER(SEARCH(","&amp;TRIM(TEXTSPLIT(CU53,","))&amp;",",","&amp;SUBSTITUTE(input_event_location," ","")&amp;",")))&gt;0)),IF(CW53="",TRUE,IF(input_event_location="",FALSE,SUMPRODUCT(--ISNUMBER(SEARCH(","&amp;TRIM(TEXTSPLIT(CW53,","))&amp;",",","&amp;SUBSTITUTE(input_event_location," ","")&amp;",")))=COUNTA(TEXTSPLIT(CW53,",")))))</f>
        <v/>
      </c>
      <c r="JC53">
        <f>AND(IF(CY53="",TRUE,IF(input_event_type="",FALSE,SUMPRODUCT(--ISNUMBER(SEARCH(","&amp;TRIM(TEXTSPLIT(CY53,","))&amp;",",","&amp;SUBSTITUTE(input_event_type," ","")&amp;",")))&gt;0)),IF(DA53="",TRUE,IF(input_event_type="",FALSE,SUMPRODUCT(--ISNUMBER(SEARCH(","&amp;TRIM(TEXTSPLIT(DA53,","))&amp;",",","&amp;SUBSTITUTE(input_event_type," ","")&amp;",")))=COUNTA(TEXTSPLIT(DA53,",")))),IF(DC53="",TRUE,IF(input_event_type="",TRUE,SUMPRODUCT(--ISNUMBER(SEARCH(","&amp;TRIM(TEXTSPLIT(DC53,","))&amp;",",","&amp;SUBSTITUTE(input_event_type," ","")&amp;",")))=0)),IF(DE53="",TRUE,IF(input_event_type="",FALSE,SUMPRODUCT(--ISNUMBER(SEARCH(","&amp;TRIM(TEXTSPLIT(DE53,","))&amp;",",","&amp;SUBSTITUTE(input_event_type," ","")&amp;",")))&gt;0)),IF(DG53="",TRUE,IF(input_event_type="",FALSE,SUMPRODUCT(--ISNUMBER(SEARCH(","&amp;TRIM(TEXTSPLIT(DG53,","))&amp;",",","&amp;SUBSTITUTE(input_event_type," ","")&amp;",")))=COUNTA(TEXTSPLIT(DG53,",")))))</f>
        <v/>
      </c>
      <c r="JD53">
        <f>AND(IF(DI53="",TRUE,IF(input_executive_education_focus="",FALSE,SUMPRODUCT(--ISNUMBER(SEARCH(","&amp;TRIM(TEXTSPLIT(DI53,","))&amp;",",","&amp;SUBSTITUTE(input_executive_education_focus," ","")&amp;",")))&gt;0)),IF(DK53="",TRUE,IF(input_executive_education_focus="",FALSE,SUMPRODUCT(--ISNUMBER(SEARCH(","&amp;TRIM(TEXTSPLIT(DK53,","))&amp;",",","&amp;SUBSTITUTE(input_executive_education_focus," ","")&amp;",")))=COUNTA(TEXTSPLIT(DK53,",")))),IF(DM53="",TRUE,IF(input_executive_education_focus="",TRUE,SUMPRODUCT(--ISNUMBER(SEARCH(","&amp;TRIM(TEXTSPLIT(DM53,","))&amp;",",","&amp;SUBSTITUTE(input_executive_education_focus," ","")&amp;",")))=0)),IF(DO53="",TRUE,IF(input_executive_education_focus="",FALSE,SUMPRODUCT(--ISNUMBER(SEARCH(","&amp;TRIM(TEXTSPLIT(DO53,","))&amp;",",","&amp;SUBSTITUTE(input_executive_education_focus," ","")&amp;",")))&gt;0)),IF(DQ53="",TRUE,IF(input_executive_education_focus="",FALSE,SUMPRODUCT(--ISNUMBER(SEARCH(","&amp;TRIM(TEXTSPLIT(DQ53,","))&amp;",",","&amp;SUBSTITUTE(input_executive_education_focus," ","")&amp;",")))=COUNTA(TEXTSPLIT(DQ53,",")))))</f>
        <v/>
      </c>
      <c r="JE53">
        <f>AND(IF(DS53="",TRUE,IF(input_faculty_category="",FALSE,SUMPRODUCT(--ISNUMBER(SEARCH(","&amp;TRIM(TEXTSPLIT(DS53,","))&amp;",",","&amp;SUBSTITUTE(input_faculty_category," ","")&amp;",")))&gt;0)),IF(DU53="",TRUE,IF(input_faculty_category="",FALSE,SUMPRODUCT(--ISNUMBER(SEARCH(","&amp;TRIM(TEXTSPLIT(DU53,","))&amp;",",","&amp;SUBSTITUTE(input_faculty_category," ","")&amp;",")))=COUNTA(TEXTSPLIT(DU53,",")))),IF(DW53="",TRUE,IF(input_faculty_category="",TRUE,SUMPRODUCT(--ISNUMBER(SEARCH(","&amp;TRIM(TEXTSPLIT(DW53,","))&amp;",",","&amp;SUBSTITUTE(input_faculty_category," ","")&amp;",")))=0)),IF(DY53="",TRUE,IF(input_faculty_category="",FALSE,SUMPRODUCT(--ISNUMBER(SEARCH(","&amp;TRIM(TEXTSPLIT(DY53,","))&amp;",",","&amp;SUBSTITUTE(input_faculty_category," ","")&amp;",")))&gt;0)),IF(EA53="",TRUE,IF(input_faculty_category="",FALSE,SUMPRODUCT(--ISNUMBER(SEARCH(","&amp;TRIM(TEXTSPLIT(EA53,","))&amp;",",","&amp;SUBSTITUTE(input_faculty_category," ","")&amp;",")))=COUNTA(TEXTSPLIT(EA53,",")))))</f>
        <v/>
      </c>
      <c r="JF53">
        <f>AND(IF(EC53="",TRUE,IF(input_faculty_discipline="",FALSE,SUMPRODUCT(--ISNUMBER(SEARCH(","&amp;TRIM(TEXTSPLIT(EC53,","))&amp;",",","&amp;SUBSTITUTE(input_faculty_discipline," ","")&amp;",")))&gt;0)),IF(EE53="",TRUE,IF(input_faculty_discipline="",FALSE,SUMPRODUCT(--ISNUMBER(SEARCH(","&amp;TRIM(TEXTSPLIT(EE53,","))&amp;",",","&amp;SUBSTITUTE(input_faculty_discipline," ","")&amp;",")))=COUNTA(TEXTSPLIT(EE53,",")))),IF(EG53="",TRUE,IF(input_faculty_discipline="",TRUE,SUMPRODUCT(--ISNUMBER(SEARCH(","&amp;TRIM(TEXTSPLIT(EG53,","))&amp;",",","&amp;SUBSTITUTE(input_faculty_discipline," ","")&amp;",")))=0)),IF(EI53="",TRUE,IF(input_faculty_discipline="",FALSE,SUMPRODUCT(--ISNUMBER(SEARCH(","&amp;TRIM(TEXTSPLIT(EI53,","))&amp;",",","&amp;SUBSTITUTE(input_faculty_discipline," ","")&amp;",")))&gt;0)),IF(EK53="",TRUE,IF(input_faculty_discipline="",FALSE,SUMPRODUCT(--ISNUMBER(SEARCH(","&amp;TRIM(TEXTSPLIT(EK53,","))&amp;",",","&amp;SUBSTITUTE(input_faculty_discipline," ","")&amp;",")))=COUNTA(TEXTSPLIT(EK53,",")))))</f>
        <v/>
      </c>
      <c r="JG53">
        <f>AND(IF(EM53="",TRUE,IF(input_faculty_expertise="",FALSE,SUMPRODUCT(--ISNUMBER(SEARCH(","&amp;TRIM(TEXTSPLIT(EM53,","))&amp;",",","&amp;SUBSTITUTE(input_faculty_expertise," ","")&amp;",")))&gt;0)),IF(EO53="",TRUE,IF(input_faculty_expertise="",FALSE,SUMPRODUCT(--ISNUMBER(SEARCH(","&amp;TRIM(TEXTSPLIT(EO53,","))&amp;",",","&amp;SUBSTITUTE(input_faculty_expertise," ","")&amp;",")))=COUNTA(TEXTSPLIT(EO53,",")))),IF(EQ53="",TRUE,IF(input_faculty_expertise="",TRUE,SUMPRODUCT(--ISNUMBER(SEARCH(","&amp;TRIM(TEXTSPLIT(EQ53,","))&amp;",",","&amp;SUBSTITUTE(input_faculty_expertise," ","")&amp;",")))=0)),IF(ES53="",TRUE,IF(input_faculty_expertise="",FALSE,SUMPRODUCT(--ISNUMBER(SEARCH(","&amp;TRIM(TEXTSPLIT(ES53,","))&amp;",",","&amp;SUBSTITUTE(input_faculty_expertise," ","")&amp;",")))&gt;0)),IF(EU53="",TRUE,IF(input_faculty_expertise="",FALSE,SUMPRODUCT(--ISNUMBER(SEARCH(","&amp;TRIM(TEXTSPLIT(EU53,","))&amp;",",","&amp;SUBSTITUTE(input_faculty_expertise," ","")&amp;",")))=COUNTA(TEXTSPLIT(EU53,",")))))</f>
        <v/>
      </c>
      <c r="JH53">
        <f>AND(IF(EW53="",TRUE,IF(input_global_network_school="",FALSE,SUMPRODUCT(--ISNUMBER(SEARCH(","&amp;TRIM(TEXTSPLIT(EW53,","))&amp;",",","&amp;SUBSTITUTE(input_global_network_school," ","")&amp;",")))&gt;0)),IF(EY53="",TRUE,IF(input_global_network_school="",FALSE,SUMPRODUCT(--ISNUMBER(SEARCH(","&amp;TRIM(TEXTSPLIT(EY53,","))&amp;",",","&amp;SUBSTITUTE(input_global_network_school," ","")&amp;",")))=COUNTA(TEXTSPLIT(EY53,",")))),IF(FA53="",TRUE,IF(input_global_network_school="",TRUE,SUMPRODUCT(--ISNUMBER(SEARCH(","&amp;TRIM(TEXTSPLIT(FA53,","))&amp;",",","&amp;SUBSTITUTE(input_global_network_school," ","")&amp;",")))=0)),IF(FC53="",TRUE,IF(input_global_network_school="",FALSE,SUMPRODUCT(--ISNUMBER(SEARCH(","&amp;TRIM(TEXTSPLIT(FC53,","))&amp;",",","&amp;SUBSTITUTE(input_global_network_school," ","")&amp;",")))&gt;0)),IF(FE53="",TRUE,IF(input_global_network_school="",FALSE,SUMPRODUCT(--ISNUMBER(SEARCH(","&amp;TRIM(TEXTSPLIT(FE53,","))&amp;",",","&amp;SUBSTITUTE(input_global_network_school," ","")&amp;",")))=COUNTA(TEXTSPLIT(FE53,",")))))</f>
        <v/>
      </c>
      <c r="JI53">
        <f>AND(IF(FG53="",TRUE,IF(input_industry="",FALSE,SUMPRODUCT(--ISNUMBER(SEARCH(","&amp;TRIM(TEXTSPLIT(FG53,","))&amp;",",","&amp;SUBSTITUTE(input_industry," ","")&amp;",")))&gt;0)),IF(FI53="",TRUE,IF(input_industry="",FALSE,SUMPRODUCT(--ISNUMBER(SEARCH(","&amp;TRIM(TEXTSPLIT(FI53,","))&amp;",",","&amp;SUBSTITUTE(input_industry," ","")&amp;",")))=COUNTA(TEXTSPLIT(FI53,",")))),IF(FK53="",TRUE,IF(input_industry="",TRUE,SUMPRODUCT(--ISNUMBER(SEARCH(","&amp;TRIM(TEXTSPLIT(FK53,","))&amp;",",","&amp;SUBSTITUTE(input_industry," ","")&amp;",")))=0)),IF(FM53="",TRUE,IF(input_industry="",FALSE,SUMPRODUCT(--ISNUMBER(SEARCH(","&amp;TRIM(TEXTSPLIT(FM53,","))&amp;",",","&amp;SUBSTITUTE(input_industry," ","")&amp;",")))&gt;0)),IF(FO53="",TRUE,IF(input_industry="",FALSE,SUMPRODUCT(--ISNUMBER(SEARCH(","&amp;TRIM(TEXTSPLIT(FO53,","))&amp;",",","&amp;SUBSTITUTE(input_industry," ","")&amp;",")))=COUNTA(TEXTSPLIT(FO53,",")))))</f>
        <v/>
      </c>
      <c r="JJ53">
        <f>AND(IF(FQ53="",TRUE,IF(input_location="",FALSE,SUMPRODUCT(--ISNUMBER(SEARCH(","&amp;TRIM(TEXTSPLIT(FQ53,","))&amp;",",","&amp;SUBSTITUTE(input_location," ","")&amp;",")))&gt;0)),IF(FS53="",TRUE,IF(input_location="",FALSE,SUMPRODUCT(--ISNUMBER(SEARCH(","&amp;TRIM(TEXTSPLIT(FS53,","))&amp;",",","&amp;SUBSTITUTE(input_location," ","")&amp;",")))=COUNTA(TEXTSPLIT(FS53,",")))),IF(FU53="",TRUE,IF(input_location="",TRUE,SUMPRODUCT(--ISNUMBER(SEARCH(","&amp;TRIM(TEXTSPLIT(FU53,","))&amp;",",","&amp;SUBSTITUTE(input_location," ","")&amp;",")))=0)),IF(FW53="",TRUE,IF(input_location="",FALSE,SUMPRODUCT(--ISNUMBER(SEARCH(","&amp;TRIM(TEXTSPLIT(FW53,","))&amp;",",","&amp;SUBSTITUTE(input_location," ","")&amp;",")))&gt;0)),IF(FY53="",TRUE,IF(input_location="",FALSE,SUMPRODUCT(--ISNUMBER(SEARCH(","&amp;TRIM(TEXTSPLIT(FY53,","))&amp;",",","&amp;SUBSTITUTE(input_location," ","")&amp;",")))=COUNTA(TEXTSPLIT(FY53,",")))))</f>
        <v/>
      </c>
      <c r="JK53">
        <f>AND(IF(GA53="",TRUE,IF(input_modality="",FALSE,SUMPRODUCT(--ISNUMBER(SEARCH(","&amp;TRIM(TEXTSPLIT(GA53,","))&amp;",",","&amp;SUBSTITUTE(input_modality," ","")&amp;",")))&gt;0)),IF(GC53="",TRUE,IF(input_modality="",FALSE,SUMPRODUCT(--ISNUMBER(SEARCH(","&amp;TRIM(TEXTSPLIT(GC53,","))&amp;",",","&amp;SUBSTITUTE(input_modality," ","")&amp;",")))=COUNTA(TEXTSPLIT(GC53,",")))),IF(GE53="",TRUE,IF(input_modality="",TRUE,SUMPRODUCT(--ISNUMBER(SEARCH(","&amp;TRIM(TEXTSPLIT(GE53,","))&amp;",",","&amp;SUBSTITUTE(input_modality," ","")&amp;",")))=0)),IF(GG53="",TRUE,IF(input_modality="",FALSE,SUMPRODUCT(--ISNUMBER(SEARCH(","&amp;TRIM(TEXTSPLIT(GG53,","))&amp;",",","&amp;SUBSTITUTE(input_modality," ","")&amp;",")))&gt;0)),IF(GI53="",TRUE,IF(input_modality="",FALSE,SUMPRODUCT(--ISNUMBER(SEARCH(","&amp;TRIM(TEXTSPLIT(GI53,","))&amp;",",","&amp;SUBSTITUTE(input_modality," ","")&amp;",")))=COUNTA(TEXTSPLIT(GI53,",")))))</f>
        <v/>
      </c>
      <c r="JL53">
        <f>AND(IF(GK53="",TRUE,IF(input_organizer="",FALSE,SUMPRODUCT(--ISNUMBER(SEARCH(","&amp;TRIM(TEXTSPLIT(GK53,","))&amp;",",","&amp;SUBSTITUTE(input_organizer," ","")&amp;",")))&gt;0)),IF(GM53="",TRUE,IF(input_organizer="",FALSE,SUMPRODUCT(--ISNUMBER(SEARCH(","&amp;TRIM(TEXTSPLIT(GM53,","))&amp;",",","&amp;SUBSTITUTE(input_organizer," ","")&amp;",")))=COUNTA(TEXTSPLIT(GM53,",")))),IF(GO53="",TRUE,IF(input_organizer="",TRUE,SUMPRODUCT(--ISNUMBER(SEARCH(","&amp;TRIM(TEXTSPLIT(GO53,","))&amp;",",","&amp;SUBSTITUTE(input_organizer," ","")&amp;",")))=0)),IF(GQ53="",TRUE,IF(input_organizer="",FALSE,SUMPRODUCT(--ISNUMBER(SEARCH(","&amp;TRIM(TEXTSPLIT(GQ53,","))&amp;",",","&amp;SUBSTITUTE(input_organizer," ","")&amp;",")))&gt;0)),IF(GS53="",TRUE,IF(input_organizer="",FALSE,SUMPRODUCT(--ISNUMBER(SEARCH(","&amp;TRIM(TEXTSPLIT(GS53,","))&amp;",",","&amp;SUBSTITUTE(input_organizer," ","")&amp;",")))=COUNTA(TEXTSPLIT(GS53,",")))))</f>
        <v/>
      </c>
      <c r="JM53">
        <f>AND(IF(GU53="",TRUE,IF(input_profile_type="",FALSE,SUMPRODUCT(--ISNUMBER(SEARCH(","&amp;TRIM(TEXTSPLIT(GU53,","))&amp;",",","&amp;SUBSTITUTE(input_profile_type," ","")&amp;",")))&gt;0)),IF(GW53="",TRUE,IF(input_profile_type="",FALSE,SUMPRODUCT(--ISNUMBER(SEARCH(","&amp;TRIM(TEXTSPLIT(GW53,","))&amp;",",","&amp;SUBSTITUTE(input_profile_type," ","")&amp;",")))=COUNTA(TEXTSPLIT(GW53,",")))),IF(GY53="",TRUE,IF(input_profile_type="",TRUE,SUMPRODUCT(--ISNUMBER(SEARCH(","&amp;TRIM(TEXTSPLIT(GY53,","))&amp;",",","&amp;SUBSTITUTE(input_profile_type," ","")&amp;",")))=0)),IF(HA53="",TRUE,IF(input_profile_type="",FALSE,SUMPRODUCT(--ISNUMBER(SEARCH(","&amp;TRIM(TEXTSPLIT(HA53,","))&amp;",",","&amp;SUBSTITUTE(input_profile_type," ","")&amp;",")))&gt;0)),IF(HC53="",TRUE,IF(input_profile_type="",FALSE,SUMPRODUCT(--ISNUMBER(SEARCH(","&amp;TRIM(TEXTSPLIT(HC53,","))&amp;",",","&amp;SUBSTITUTE(input_profile_type," ","")&amp;",")))=COUNTA(TEXTSPLIT(HC53,",")))))</f>
        <v/>
      </c>
      <c r="JN53">
        <f>AND(IF(HE53="",TRUE,IF(input_program="",FALSE,SUMPRODUCT(--ISNUMBER(SEARCH(","&amp;TRIM(TEXTSPLIT(HE53,","))&amp;",",","&amp;SUBSTITUTE(input_program," ","")&amp;",")))&gt;0)),IF(HG53="",TRUE,IF(input_program="",FALSE,SUMPRODUCT(--ISNUMBER(SEARCH(","&amp;TRIM(TEXTSPLIT(HG53,","))&amp;",",","&amp;SUBSTITUTE(input_program," ","")&amp;",")))=COUNTA(TEXTSPLIT(HG53,",")))),IF(HI53="",TRUE,IF(input_program="",TRUE,SUMPRODUCT(--ISNUMBER(SEARCH(","&amp;TRIM(TEXTSPLIT(HI53,","))&amp;",",","&amp;SUBSTITUTE(input_program," ","")&amp;",")))=0)),IF(HK53="",TRUE,IF(input_program="",FALSE,SUMPRODUCT(--ISNUMBER(SEARCH(","&amp;TRIM(TEXTSPLIT(HK53,","))&amp;",",","&amp;SUBSTITUTE(input_program," ","")&amp;",")))&gt;0)),IF(HM53="",TRUE,IF(input_program="",FALSE,SUMPRODUCT(--ISNUMBER(SEARCH(","&amp;TRIM(TEXTSPLIT(HM53,","))&amp;",",","&amp;SUBSTITUTE(input_program," ","")&amp;",")))=COUNTA(TEXTSPLIT(HM53,",")))))</f>
        <v/>
      </c>
      <c r="JO53">
        <f>AND(IF(HO53="",TRUE,IF(input_story_categories="",FALSE,SUMPRODUCT(--ISNUMBER(SEARCH(","&amp;TRIM(TEXTSPLIT(HO53,","))&amp;",",","&amp;SUBSTITUTE(input_story_categories," ","")&amp;",")))&gt;0)),IF(HQ53="",TRUE,IF(input_story_categories="",FALSE,SUMPRODUCT(--ISNUMBER(SEARCH(","&amp;TRIM(TEXTSPLIT(HQ53,","))&amp;",",","&amp;SUBSTITUTE(input_story_categories," ","")&amp;",")))=COUNTA(TEXTSPLIT(HQ53,",")))),IF(HS53="",TRUE,IF(input_story_categories="",TRUE,SUMPRODUCT(--ISNUMBER(SEARCH(","&amp;TRIM(TEXTSPLIT(HS53,","))&amp;",",","&amp;SUBSTITUTE(input_story_categories," ","")&amp;",")))=0)),IF(HU53="",TRUE,IF(input_story_categories="",FALSE,SUMPRODUCT(--ISNUMBER(SEARCH(","&amp;TRIM(TEXTSPLIT(HU53,","))&amp;",",","&amp;SUBSTITUTE(input_story_categories," ","")&amp;",")))&gt;0)),IF(HW53="",TRUE,IF(input_story_categories="",FALSE,SUMPRODUCT(--ISNUMBER(SEARCH(","&amp;TRIM(TEXTSPLIT(HW53,","))&amp;",",","&amp;SUBSTITUTE(input_story_categories," ","")&amp;",")))=COUNTA(TEXTSPLIT(HW53,",")))))</f>
        <v/>
      </c>
      <c r="JP53">
        <f>AND(IF(HY53="",TRUE,IF(input_story_type="",FALSE,SUMPRODUCT(--ISNUMBER(SEARCH(","&amp;TRIM(TEXTSPLIT(HY53,","))&amp;",",","&amp;SUBSTITUTE(input_story_type," ","")&amp;",")))&gt;0)),IF(IA53="",TRUE,IF(input_story_type="",FALSE,SUMPRODUCT(--ISNUMBER(SEARCH(","&amp;TRIM(TEXTSPLIT(IA53,","))&amp;",",","&amp;SUBSTITUTE(input_story_type," ","")&amp;",")))=COUNTA(TEXTSPLIT(IA53,",")))),IF(IC53="",TRUE,IF(input_story_type="",TRUE,SUMPRODUCT(--ISNUMBER(SEARCH(","&amp;TRIM(TEXTSPLIT(IC53,","))&amp;",",","&amp;SUBSTITUTE(input_story_type," ","")&amp;",")))=0)),IF(IE53="",TRUE,IF(input_story_type="",FALSE,SUMPRODUCT(--ISNUMBER(SEARCH(","&amp;TRIM(TEXTSPLIT(IE53,","))&amp;",",","&amp;SUBSTITUTE(input_story_type," ","")&amp;",")))&gt;0)),IF(IG53="",TRUE,IF(input_story_type="",FALSE,SUMPRODUCT(--ISNUMBER(SEARCH(","&amp;TRIM(TEXTSPLIT(IG53,","))&amp;",",","&amp;SUBSTITUTE(input_story_type," ","")&amp;",")))=COUNTA(TEXTSPLIT(IG53,",")))))</f>
        <v/>
      </c>
      <c r="JQ53">
        <f>AND(IF(II53="",TRUE,IF(input_topics="",FALSE,SUMPRODUCT(--ISNUMBER(SEARCH(","&amp;TRIM(TEXTSPLIT(II53,","))&amp;",",","&amp;SUBSTITUTE(input_topics," ","")&amp;",")))&gt;0)),IF(IK53="",TRUE,IF(input_topics="",FALSE,SUMPRODUCT(--ISNUMBER(SEARCH(","&amp;TRIM(TEXTSPLIT(IK53,","))&amp;",",","&amp;SUBSTITUTE(input_topics," ","")&amp;",")))=COUNTA(TEXTSPLIT(IK53,",")))),IF(IM53="",TRUE,IF(input_topics="",TRUE,SUMPRODUCT(--ISNUMBER(SEARCH(","&amp;TRIM(TEXTSPLIT(IM53,","))&amp;",",","&amp;SUBSTITUTE(input_topics," ","")&amp;",")))=0)),IF(IO53="",TRUE,IF(input_topics="",FALSE,SUMPRODUCT(--ISNUMBER(SEARCH(","&amp;TRIM(TEXTSPLIT(IO53,","))&amp;",",","&amp;SUBSTITUTE(input_topics," ","")&amp;",")))&gt;0)),IF(IQ53="",TRUE,IF(input_topics="",FALSE,SUMPRODUCT(--ISNUMBER(SEARCH(","&amp;TRIM(TEXTSPLIT(IQ53,","))&amp;",",","&amp;SUBSTITUTE(input_topics," ","")&amp;",")))=COUNTA(TEXTSPLIT(IQ53,",")))))</f>
        <v/>
      </c>
    </row>
    <row r="54">
      <c r="A54" s="4">
        <f>IF(NOT(IS54),"Excluded",IF(AND(IT54,IU54,IV54,IW54,IX54,IY54,IZ54,JA54,JB54,JC54,JD54,JE54,JF54,JG54,JH54,JI54,JJ54,JK54,JL54,JM54,JN54,JO54,JP54,JQ54),IF(I54&gt;0,"Eligible but limited","Will appear"),"Excluded"))</f>
        <v/>
      </c>
      <c r="B54" s="4" t="inlineStr">
        <is>
          <t>All Publications by Author</t>
        </is>
      </c>
      <c r="C54" s="4" t="inlineStr">
        <is>
          <t>/faculty-research/faculty-directory/william-b-english</t>
        </is>
      </c>
      <c r="D54" s="4" t="inlineStr">
        <is>
          <t>/faculty-research/faculty-directory/william-b-english</t>
        </is>
      </c>
      <c r="E54" s="4" t="n">
        <v>1</v>
      </c>
      <c r="F54" s="4" t="inlineStr">
        <is>
          <t>publications</t>
        </is>
      </c>
      <c r="G54" s="4" t="inlineStr">
        <is>
          <t>publication_teaser_list</t>
        </is>
      </c>
      <c r="H54" s="4" t="inlineStr">
        <is>
          <t>publication_teaser_list_all_by_author</t>
        </is>
      </c>
      <c r="I54" s="4" t="inlineStr"/>
      <c r="J54" s="4" t="inlineStr">
        <is>
          <t>View/config rules</t>
        </is>
      </c>
      <c r="K54" s="4" t="inlineStr">
        <is>
          <t>Page placement</t>
        </is>
      </c>
      <c r="L54" s="4" t="inlineStr">
        <is>
          <t>Content type: publications; Source: View/config rules</t>
        </is>
      </c>
      <c r="M54" t="inlineStr"/>
      <c r="N54" t="inlineStr"/>
      <c r="O54" t="inlineStr"/>
      <c r="P54" t="inlineStr"/>
      <c r="Q54" t="inlineStr"/>
      <c r="R54" t="inlineStr"/>
      <c r="S54" t="inlineStr"/>
      <c r="T54" t="inlineStr"/>
      <c r="U54" t="inlineStr"/>
      <c r="V54" t="inlineStr"/>
      <c r="W54" t="inlineStr"/>
      <c r="X54" t="inlineStr"/>
      <c r="Y54" t="inlineStr"/>
      <c r="Z54" t="inlineStr"/>
      <c r="AA54" t="inlineStr"/>
      <c r="AB54" t="inlineStr"/>
      <c r="AC54" t="inlineStr"/>
      <c r="AD54" t="inlineStr"/>
      <c r="AE54" t="inlineStr"/>
      <c r="AF54" t="inlineStr"/>
      <c r="AG54" t="inlineStr"/>
      <c r="AH54" t="inlineStr"/>
      <c r="AI54" t="inlineStr"/>
      <c r="AJ54" t="inlineStr"/>
      <c r="AK54" t="inlineStr"/>
      <c r="AL54" t="inlineStr"/>
      <c r="AM54" t="inlineStr"/>
      <c r="AN54" t="inlineStr"/>
      <c r="AO54" t="inlineStr"/>
      <c r="AP54" t="inlineStr"/>
      <c r="AQ54" t="inlineStr"/>
      <c r="AR54" t="inlineStr"/>
      <c r="AS54" t="inlineStr"/>
      <c r="AT54" t="inlineStr"/>
      <c r="AU54" t="inlineStr"/>
      <c r="AV54" t="inlineStr"/>
      <c r="AW54" t="inlineStr"/>
      <c r="AX54" t="inlineStr"/>
      <c r="AY54" t="inlineStr"/>
      <c r="AZ54" t="inlineStr"/>
      <c r="BA54" t="inlineStr"/>
      <c r="BB54" t="inlineStr"/>
      <c r="BC54" t="inlineStr"/>
      <c r="BD54" t="inlineStr"/>
      <c r="BE54" t="inlineStr"/>
      <c r="BF54" t="inlineStr"/>
      <c r="BG54" t="inlineStr"/>
      <c r="BH54" t="inlineStr"/>
      <c r="BI54" t="inlineStr"/>
      <c r="BJ54" t="inlineStr"/>
      <c r="BK54" t="inlineStr"/>
      <c r="BL54" t="inlineStr"/>
      <c r="BM54" t="inlineStr"/>
      <c r="BN54" t="inlineStr"/>
      <c r="BO54" t="inlineStr"/>
      <c r="BP54" t="inlineStr"/>
      <c r="BQ54" t="inlineStr"/>
      <c r="BR54" t="inlineStr"/>
      <c r="BS54" t="inlineStr"/>
      <c r="BT54" t="inlineStr"/>
      <c r="BU54" t="inlineStr"/>
      <c r="BV54" t="inlineStr"/>
      <c r="BW54" t="inlineStr"/>
      <c r="BX54" t="inlineStr"/>
      <c r="BY54" t="inlineStr"/>
      <c r="BZ54" t="inlineStr"/>
      <c r="CA54" t="inlineStr"/>
      <c r="CB54" t="inlineStr"/>
      <c r="CC54" t="inlineStr"/>
      <c r="CD54" t="inlineStr"/>
      <c r="CE54" t="inlineStr"/>
      <c r="CF54" t="inlineStr"/>
      <c r="CG54" t="inlineStr"/>
      <c r="CH54" t="inlineStr"/>
      <c r="CI54" t="inlineStr"/>
      <c r="CJ54" t="inlineStr"/>
      <c r="CK54" t="inlineStr"/>
      <c r="CL54" t="inlineStr"/>
      <c r="CM54" t="inlineStr"/>
      <c r="CN54" t="inlineStr"/>
      <c r="CO54" t="inlineStr"/>
      <c r="CP54" t="inlineStr"/>
      <c r="CQ54" t="inlineStr"/>
      <c r="CR54" t="inlineStr"/>
      <c r="CS54" t="inlineStr"/>
      <c r="CT54" t="inlineStr"/>
      <c r="CU54" t="inlineStr"/>
      <c r="CV54" t="inlineStr"/>
      <c r="CW54" t="inlineStr"/>
      <c r="CX54" t="inlineStr"/>
      <c r="CY54" t="inlineStr"/>
      <c r="CZ54" t="inlineStr"/>
      <c r="DA54" t="inlineStr"/>
      <c r="DB54" t="inlineStr"/>
      <c r="DC54" t="inlineStr"/>
      <c r="DD54" t="inlineStr"/>
      <c r="DE54" t="inlineStr"/>
      <c r="DF54" t="inlineStr"/>
      <c r="DG54" t="inlineStr"/>
      <c r="DH54" t="inlineStr"/>
      <c r="DI54" t="inlineStr"/>
      <c r="DJ54" t="inlineStr"/>
      <c r="DK54" t="inlineStr"/>
      <c r="DL54" t="inlineStr"/>
      <c r="DM54" t="inlineStr"/>
      <c r="DN54" t="inlineStr"/>
      <c r="DO54" t="inlineStr"/>
      <c r="DP54" t="inlineStr"/>
      <c r="DQ54" t="inlineStr"/>
      <c r="DR54" t="inlineStr"/>
      <c r="DS54" t="inlineStr"/>
      <c r="DT54" t="inlineStr"/>
      <c r="DU54" t="inlineStr"/>
      <c r="DV54" t="inlineStr"/>
      <c r="DW54" t="inlineStr"/>
      <c r="DX54" t="inlineStr"/>
      <c r="DY54" t="inlineStr"/>
      <c r="DZ54" t="inlineStr"/>
      <c r="EA54" t="inlineStr"/>
      <c r="EB54" t="inlineStr"/>
      <c r="EC54" t="inlineStr"/>
      <c r="ED54" t="inlineStr"/>
      <c r="EE54" t="inlineStr"/>
      <c r="EF54" t="inlineStr"/>
      <c r="EG54" t="inlineStr"/>
      <c r="EH54" t="inlineStr"/>
      <c r="EI54" t="inlineStr"/>
      <c r="EJ54" t="inlineStr"/>
      <c r="EK54" t="inlineStr"/>
      <c r="EL54" t="inlineStr"/>
      <c r="EM54" t="inlineStr"/>
      <c r="EN54" t="inlineStr"/>
      <c r="EO54" t="inlineStr"/>
      <c r="EP54" t="inlineStr"/>
      <c r="EQ54" t="inlineStr"/>
      <c r="ER54" t="inlineStr"/>
      <c r="ES54" t="inlineStr"/>
      <c r="ET54" t="inlineStr"/>
      <c r="EU54" t="inlineStr"/>
      <c r="EV54" t="inlineStr"/>
      <c r="EW54" t="inlineStr"/>
      <c r="EX54" t="inlineStr"/>
      <c r="EY54" t="inlineStr"/>
      <c r="EZ54" t="inlineStr"/>
      <c r="FA54" t="inlineStr"/>
      <c r="FB54" t="inlineStr"/>
      <c r="FC54" t="inlineStr"/>
      <c r="FD54" t="inlineStr"/>
      <c r="FE54" t="inlineStr"/>
      <c r="FF54" t="inlineStr"/>
      <c r="FG54" t="inlineStr"/>
      <c r="FH54" t="inlineStr"/>
      <c r="FI54" t="inlineStr"/>
      <c r="FJ54" t="inlineStr"/>
      <c r="FK54" t="inlineStr"/>
      <c r="FL54" t="inlineStr"/>
      <c r="FM54" t="inlineStr"/>
      <c r="FN54" t="inlineStr"/>
      <c r="FO54" t="inlineStr"/>
      <c r="FP54" t="inlineStr"/>
      <c r="FQ54" t="inlineStr"/>
      <c r="FR54" t="inlineStr"/>
      <c r="FS54" t="inlineStr"/>
      <c r="FT54" t="inlineStr"/>
      <c r="FU54" t="inlineStr"/>
      <c r="FV54" t="inlineStr"/>
      <c r="FW54" t="inlineStr"/>
      <c r="FX54" t="inlineStr"/>
      <c r="FY54" t="inlineStr"/>
      <c r="FZ54" t="inlineStr"/>
      <c r="GA54" t="inlineStr"/>
      <c r="GB54" t="inlineStr"/>
      <c r="GC54" t="inlineStr"/>
      <c r="GD54" t="inlineStr"/>
      <c r="GE54" t="inlineStr"/>
      <c r="GF54" t="inlineStr"/>
      <c r="GG54" t="inlineStr"/>
      <c r="GH54" t="inlineStr"/>
      <c r="GI54" t="inlineStr"/>
      <c r="GJ54" t="inlineStr"/>
      <c r="GK54" t="inlineStr"/>
      <c r="GL54" t="inlineStr"/>
      <c r="GM54" t="inlineStr"/>
      <c r="GN54" t="inlineStr"/>
      <c r="GO54" t="inlineStr"/>
      <c r="GP54" t="inlineStr"/>
      <c r="GQ54" t="inlineStr"/>
      <c r="GR54" t="inlineStr"/>
      <c r="GS54" t="inlineStr"/>
      <c r="GT54" t="inlineStr"/>
      <c r="GU54" t="inlineStr"/>
      <c r="GV54" t="inlineStr"/>
      <c r="GW54" t="inlineStr"/>
      <c r="GX54" t="inlineStr"/>
      <c r="GY54" t="inlineStr"/>
      <c r="GZ54" t="inlineStr"/>
      <c r="HA54" t="inlineStr"/>
      <c r="HB54" t="inlineStr"/>
      <c r="HC54" t="inlineStr"/>
      <c r="HD54" t="inlineStr"/>
      <c r="HE54" t="inlineStr"/>
      <c r="HF54" t="inlineStr"/>
      <c r="HG54" t="inlineStr"/>
      <c r="HH54" t="inlineStr"/>
      <c r="HI54" t="inlineStr"/>
      <c r="HJ54" t="inlineStr"/>
      <c r="HK54" t="inlineStr"/>
      <c r="HL54" t="inlineStr"/>
      <c r="HM54" t="inlineStr"/>
      <c r="HN54" t="inlineStr"/>
      <c r="HO54" t="inlineStr"/>
      <c r="HP54" t="inlineStr"/>
      <c r="HQ54" t="inlineStr"/>
      <c r="HR54" t="inlineStr"/>
      <c r="HS54" t="inlineStr"/>
      <c r="HT54" t="inlineStr"/>
      <c r="HU54" t="inlineStr"/>
      <c r="HV54" t="inlineStr"/>
      <c r="HW54" t="inlineStr"/>
      <c r="HX54" t="inlineStr"/>
      <c r="HY54" t="inlineStr"/>
      <c r="HZ54" t="inlineStr"/>
      <c r="IA54" t="inlineStr"/>
      <c r="IB54" t="inlineStr"/>
      <c r="IC54" t="inlineStr"/>
      <c r="ID54" t="inlineStr"/>
      <c r="IE54" t="inlineStr"/>
      <c r="IF54" t="inlineStr"/>
      <c r="IG54" t="inlineStr"/>
      <c r="IH54" t="inlineStr"/>
      <c r="II54" t="inlineStr"/>
      <c r="IJ54" t="inlineStr"/>
      <c r="IK54" t="inlineStr"/>
      <c r="IL54" t="inlineStr"/>
      <c r="IM54" t="inlineStr"/>
      <c r="IN54" t="inlineStr"/>
      <c r="IO54" t="inlineStr"/>
      <c r="IP54" t="inlineStr"/>
      <c r="IQ54" t="inlineStr"/>
      <c r="IR54" t="inlineStr"/>
      <c r="IS54">
        <f>IF(input_content_type="",FALSE,ISNUMBER(SEARCH(","&amp;LOWER(input_content_type)&amp;",",","&amp;LOWER(F54)&amp;",")))</f>
        <v/>
      </c>
      <c r="IT54">
        <f>AND(IF(M54="",TRUE,IF(input_affiliations="",FALSE,SUMPRODUCT(--ISNUMBER(SEARCH(","&amp;TRIM(TEXTSPLIT(M54,","))&amp;",",","&amp;SUBSTITUTE(input_affiliations," ","")&amp;",")))&gt;0)),IF(O54="",TRUE,IF(input_affiliations="",FALSE,SUMPRODUCT(--ISNUMBER(SEARCH(","&amp;TRIM(TEXTSPLIT(O54,","))&amp;",",","&amp;SUBSTITUTE(input_affiliations," ","")&amp;",")))=COUNTA(TEXTSPLIT(O54,",")))),IF(Q54="",TRUE,IF(input_affiliations="",TRUE,SUMPRODUCT(--ISNUMBER(SEARCH(","&amp;TRIM(TEXTSPLIT(Q54,","))&amp;",",","&amp;SUBSTITUTE(input_affiliations," ","")&amp;",")))=0)),IF(S54="",TRUE,IF(input_affiliations="",FALSE,SUMPRODUCT(--ISNUMBER(SEARCH(","&amp;TRIM(TEXTSPLIT(S54,","))&amp;",",","&amp;SUBSTITUTE(input_affiliations," ","")&amp;",")))&gt;0)),IF(U54="",TRUE,IF(input_affiliations="",FALSE,SUMPRODUCT(--ISNUMBER(SEARCH(","&amp;TRIM(TEXTSPLIT(U54,","))&amp;",",","&amp;SUBSTITUTE(input_affiliations," ","")&amp;",")))=COUNTA(TEXTSPLIT(U54,",")))))</f>
        <v/>
      </c>
      <c r="IU54">
        <f>AND(IF(W54="",TRUE,IF(input_announcement_category="",FALSE,SUMPRODUCT(--ISNUMBER(SEARCH(","&amp;TRIM(TEXTSPLIT(W54,","))&amp;",",","&amp;SUBSTITUTE(input_announcement_category," ","")&amp;",")))&gt;0)),IF(Y54="",TRUE,IF(input_announcement_category="",FALSE,SUMPRODUCT(--ISNUMBER(SEARCH(","&amp;TRIM(TEXTSPLIT(Y54,","))&amp;",",","&amp;SUBSTITUTE(input_announcement_category," ","")&amp;",")))=COUNTA(TEXTSPLIT(Y54,",")))),IF(AA54="",TRUE,IF(input_announcement_category="",TRUE,SUMPRODUCT(--ISNUMBER(SEARCH(","&amp;TRIM(TEXTSPLIT(AA54,","))&amp;",",","&amp;SUBSTITUTE(input_announcement_category," ","")&amp;",")))=0)),IF(AC54="",TRUE,IF(input_announcement_category="",FALSE,SUMPRODUCT(--ISNUMBER(SEARCH(","&amp;TRIM(TEXTSPLIT(AC54,","))&amp;",",","&amp;SUBSTITUTE(input_announcement_category," ","")&amp;",")))&gt;0)),IF(AE54="",TRUE,IF(input_announcement_category="",FALSE,SUMPRODUCT(--ISNUMBER(SEARCH(","&amp;TRIM(TEXTSPLIT(AE54,","))&amp;",",","&amp;SUBSTITUTE(input_announcement_category," ","")&amp;",")))=COUNTA(TEXTSPLIT(AE54,",")))))</f>
        <v/>
      </c>
      <c r="IV54">
        <f>AND(IF(AG54="",TRUE,IF(input_area_of_focus="",FALSE,SUMPRODUCT(--ISNUMBER(SEARCH(","&amp;TRIM(TEXTSPLIT(AG54,","))&amp;",",","&amp;SUBSTITUTE(input_area_of_focus," ","")&amp;",")))&gt;0)),IF(AI54="",TRUE,IF(input_area_of_focus="",FALSE,SUMPRODUCT(--ISNUMBER(SEARCH(","&amp;TRIM(TEXTSPLIT(AI54,","))&amp;",",","&amp;SUBSTITUTE(input_area_of_focus," ","")&amp;",")))=COUNTA(TEXTSPLIT(AI54,",")))),IF(AK54="",TRUE,IF(input_area_of_focus="",TRUE,SUMPRODUCT(--ISNUMBER(SEARCH(","&amp;TRIM(TEXTSPLIT(AK54,","))&amp;",",","&amp;SUBSTITUTE(input_area_of_focus," ","")&amp;",")))=0)),IF(AM54="",TRUE,IF(input_area_of_focus="",FALSE,SUMPRODUCT(--ISNUMBER(SEARCH(","&amp;TRIM(TEXTSPLIT(AM54,","))&amp;",",","&amp;SUBSTITUTE(input_area_of_focus," ","")&amp;",")))&gt;0)),IF(AO54="",TRUE,IF(input_area_of_focus="",FALSE,SUMPRODUCT(--ISNUMBER(SEARCH(","&amp;TRIM(TEXTSPLIT(AO54,","))&amp;",",","&amp;SUBSTITUTE(input_area_of_focus," ","")&amp;",")))=COUNTA(TEXTSPLIT(AO54,",")))))</f>
        <v/>
      </c>
      <c r="IW54">
        <f>AND(IF(AQ54="",TRUE,IF(input_audience="",FALSE,SUMPRODUCT(--ISNUMBER(SEARCH(","&amp;TRIM(TEXTSPLIT(AQ54,","))&amp;",",","&amp;SUBSTITUTE(input_audience," ","")&amp;",")))&gt;0)),IF(AS54="",TRUE,IF(input_audience="",FALSE,SUMPRODUCT(--ISNUMBER(SEARCH(","&amp;TRIM(TEXTSPLIT(AS54,","))&amp;",",","&amp;SUBSTITUTE(input_audience," ","")&amp;",")))=COUNTA(TEXTSPLIT(AS54,",")))),IF(AU54="",TRUE,IF(input_audience="",TRUE,SUMPRODUCT(--ISNUMBER(SEARCH(","&amp;TRIM(TEXTSPLIT(AU54,","))&amp;",",","&amp;SUBSTITUTE(input_audience," ","")&amp;",")))=0)),IF(AW54="",TRUE,IF(input_audience="",FALSE,SUMPRODUCT(--ISNUMBER(SEARCH(","&amp;TRIM(TEXTSPLIT(AW54,","))&amp;",",","&amp;SUBSTITUTE(input_audience," ","")&amp;",")))&gt;0)),IF(AY54="",TRUE,IF(input_audience="",FALSE,SUMPRODUCT(--ISNUMBER(SEARCH(","&amp;TRIM(TEXTSPLIT(AY54,","))&amp;",",","&amp;SUBSTITUTE(input_audience," ","")&amp;",")))=COUNTA(TEXTSPLIT(AY54,",")))))</f>
        <v/>
      </c>
      <c r="IX54">
        <f>AND(IF(BA54="",TRUE,IF(input_challenge_opportunities="",FALSE,SUMPRODUCT(--ISNUMBER(SEARCH(","&amp;TRIM(TEXTSPLIT(BA54,","))&amp;",",","&amp;SUBSTITUTE(input_challenge_opportunities," ","")&amp;",")))&gt;0)),IF(BC54="",TRUE,IF(input_challenge_opportunities="",FALSE,SUMPRODUCT(--ISNUMBER(SEARCH(","&amp;TRIM(TEXTSPLIT(BC54,","))&amp;",",","&amp;SUBSTITUTE(input_challenge_opportunities," ","")&amp;",")))=COUNTA(TEXTSPLIT(BC54,",")))),IF(BE54="",TRUE,IF(input_challenge_opportunities="",TRUE,SUMPRODUCT(--ISNUMBER(SEARCH(","&amp;TRIM(TEXTSPLIT(BE54,","))&amp;",",","&amp;SUBSTITUTE(input_challenge_opportunities," ","")&amp;",")))=0)),IF(BG54="",TRUE,IF(input_challenge_opportunities="",FALSE,SUMPRODUCT(--ISNUMBER(SEARCH(","&amp;TRIM(TEXTSPLIT(BG54,","))&amp;",",","&amp;SUBSTITUTE(input_challenge_opportunities," ","")&amp;",")))&gt;0)),IF(BI54="",TRUE,IF(input_challenge_opportunities="",FALSE,SUMPRODUCT(--ISNUMBER(SEARCH(","&amp;TRIM(TEXTSPLIT(BI54,","))&amp;",",","&amp;SUBSTITUTE(input_challenge_opportunities," ","")&amp;",")))=COUNTA(TEXTSPLIT(BI54,",")))))</f>
        <v/>
      </c>
      <c r="IY54">
        <f>AND(IF(BK54="",TRUE,IF(input_context="",FALSE,SUMPRODUCT(--ISNUMBER(SEARCH(","&amp;TRIM(TEXTSPLIT(BK54,","))&amp;",",","&amp;SUBSTITUTE(input_context," ","")&amp;",")))&gt;0)),IF(BM54="",TRUE,IF(input_context="",FALSE,SUMPRODUCT(--ISNUMBER(SEARCH(","&amp;TRIM(TEXTSPLIT(BM54,","))&amp;",",","&amp;SUBSTITUTE(input_context," ","")&amp;",")))=COUNTA(TEXTSPLIT(BM54,",")))),IF(BO54="",TRUE,IF(input_context="",TRUE,SUMPRODUCT(--ISNUMBER(SEARCH(","&amp;TRIM(TEXTSPLIT(BO54,","))&amp;",",","&amp;SUBSTITUTE(input_context," ","")&amp;",")))=0)),IF(BQ54="",TRUE,IF(input_context="",FALSE,SUMPRODUCT(--ISNUMBER(SEARCH(","&amp;TRIM(TEXTSPLIT(BQ54,","))&amp;",",","&amp;SUBSTITUTE(input_context," ","")&amp;",")))&gt;0)),IF(BS54="",TRUE,IF(input_context="",FALSE,SUMPRODUCT(--ISNUMBER(SEARCH(","&amp;TRIM(TEXTSPLIT(BS54,","))&amp;",",","&amp;SUBSTITUTE(input_context," ","")&amp;",")))=COUNTA(TEXTSPLIT(BS54,",")))))</f>
        <v/>
      </c>
      <c r="IZ54">
        <f>AND(IF(BU54="",TRUE,IF(input_enews_announcement_type="",FALSE,SUMPRODUCT(--ISNUMBER(SEARCH(","&amp;TRIM(TEXTSPLIT(BU54,","))&amp;",",","&amp;SUBSTITUTE(input_enews_announcement_type," ","")&amp;",")))&gt;0)),IF(BW54="",TRUE,IF(input_enews_announcement_type="",FALSE,SUMPRODUCT(--ISNUMBER(SEARCH(","&amp;TRIM(TEXTSPLIT(BW54,","))&amp;",",","&amp;SUBSTITUTE(input_enews_announcement_type," ","")&amp;",")))=COUNTA(TEXTSPLIT(BW54,",")))),IF(BY54="",TRUE,IF(input_enews_announcement_type="",TRUE,SUMPRODUCT(--ISNUMBER(SEARCH(","&amp;TRIM(TEXTSPLIT(BY54,","))&amp;",",","&amp;SUBSTITUTE(input_enews_announcement_type," ","")&amp;",")))=0)),IF(CA54="",TRUE,IF(input_enews_announcement_type="",FALSE,SUMPRODUCT(--ISNUMBER(SEARCH(","&amp;TRIM(TEXTSPLIT(CA54,","))&amp;",",","&amp;SUBSTITUTE(input_enews_announcement_type," ","")&amp;",")))&gt;0)),IF(CC54="",TRUE,IF(input_enews_announcement_type="",FALSE,SUMPRODUCT(--ISNUMBER(SEARCH(","&amp;TRIM(TEXTSPLIT(CC54,","))&amp;",",","&amp;SUBSTITUTE(input_enews_announcement_type," ","")&amp;",")))=COUNTA(TEXTSPLIT(CC54,",")))))</f>
        <v/>
      </c>
      <c r="JA54">
        <f>AND(IF(CE54="",TRUE,IF(input_enews_audience="",FALSE,SUMPRODUCT(--ISNUMBER(SEARCH(","&amp;TRIM(TEXTSPLIT(CE54,","))&amp;",",","&amp;SUBSTITUTE(input_enews_audience," ","")&amp;",")))&gt;0)),IF(CG54="",TRUE,IF(input_enews_audience="",FALSE,SUMPRODUCT(--ISNUMBER(SEARCH(","&amp;TRIM(TEXTSPLIT(CG54,","))&amp;",",","&amp;SUBSTITUTE(input_enews_audience," ","")&amp;",")))=COUNTA(TEXTSPLIT(CG54,",")))),IF(CI54="",TRUE,IF(input_enews_audience="",TRUE,SUMPRODUCT(--ISNUMBER(SEARCH(","&amp;TRIM(TEXTSPLIT(CI54,","))&amp;",",","&amp;SUBSTITUTE(input_enews_audience," ","")&amp;",")))=0)),IF(CK54="",TRUE,IF(input_enews_audience="",FALSE,SUMPRODUCT(--ISNUMBER(SEARCH(","&amp;TRIM(TEXTSPLIT(CK54,","))&amp;",",","&amp;SUBSTITUTE(input_enews_audience," ","")&amp;",")))&gt;0)),IF(CM54="",TRUE,IF(input_enews_audience="",FALSE,SUMPRODUCT(--ISNUMBER(SEARCH(","&amp;TRIM(TEXTSPLIT(CM54,","))&amp;",",","&amp;SUBSTITUTE(input_enews_audience," ","")&amp;",")))=COUNTA(TEXTSPLIT(CM54,",")))))</f>
        <v/>
      </c>
      <c r="JB54">
        <f>AND(IF(CO54="",TRUE,IF(input_event_location="",FALSE,SUMPRODUCT(--ISNUMBER(SEARCH(","&amp;TRIM(TEXTSPLIT(CO54,","))&amp;",",","&amp;SUBSTITUTE(input_event_location," ","")&amp;",")))&gt;0)),IF(CQ54="",TRUE,IF(input_event_location="",FALSE,SUMPRODUCT(--ISNUMBER(SEARCH(","&amp;TRIM(TEXTSPLIT(CQ54,","))&amp;",",","&amp;SUBSTITUTE(input_event_location," ","")&amp;",")))=COUNTA(TEXTSPLIT(CQ54,",")))),IF(CS54="",TRUE,IF(input_event_location="",TRUE,SUMPRODUCT(--ISNUMBER(SEARCH(","&amp;TRIM(TEXTSPLIT(CS54,","))&amp;",",","&amp;SUBSTITUTE(input_event_location," ","")&amp;",")))=0)),IF(CU54="",TRUE,IF(input_event_location="",FALSE,SUMPRODUCT(--ISNUMBER(SEARCH(","&amp;TRIM(TEXTSPLIT(CU54,","))&amp;",",","&amp;SUBSTITUTE(input_event_location," ","")&amp;",")))&gt;0)),IF(CW54="",TRUE,IF(input_event_location="",FALSE,SUMPRODUCT(--ISNUMBER(SEARCH(","&amp;TRIM(TEXTSPLIT(CW54,","))&amp;",",","&amp;SUBSTITUTE(input_event_location," ","")&amp;",")))=COUNTA(TEXTSPLIT(CW54,",")))))</f>
        <v/>
      </c>
      <c r="JC54">
        <f>AND(IF(CY54="",TRUE,IF(input_event_type="",FALSE,SUMPRODUCT(--ISNUMBER(SEARCH(","&amp;TRIM(TEXTSPLIT(CY54,","))&amp;",",","&amp;SUBSTITUTE(input_event_type," ","")&amp;",")))&gt;0)),IF(DA54="",TRUE,IF(input_event_type="",FALSE,SUMPRODUCT(--ISNUMBER(SEARCH(","&amp;TRIM(TEXTSPLIT(DA54,","))&amp;",",","&amp;SUBSTITUTE(input_event_type," ","")&amp;",")))=COUNTA(TEXTSPLIT(DA54,",")))),IF(DC54="",TRUE,IF(input_event_type="",TRUE,SUMPRODUCT(--ISNUMBER(SEARCH(","&amp;TRIM(TEXTSPLIT(DC54,","))&amp;",",","&amp;SUBSTITUTE(input_event_type," ","")&amp;",")))=0)),IF(DE54="",TRUE,IF(input_event_type="",FALSE,SUMPRODUCT(--ISNUMBER(SEARCH(","&amp;TRIM(TEXTSPLIT(DE54,","))&amp;",",","&amp;SUBSTITUTE(input_event_type," ","")&amp;",")))&gt;0)),IF(DG54="",TRUE,IF(input_event_type="",FALSE,SUMPRODUCT(--ISNUMBER(SEARCH(","&amp;TRIM(TEXTSPLIT(DG54,","))&amp;",",","&amp;SUBSTITUTE(input_event_type," ","")&amp;",")))=COUNTA(TEXTSPLIT(DG54,",")))))</f>
        <v/>
      </c>
      <c r="JD54">
        <f>AND(IF(DI54="",TRUE,IF(input_executive_education_focus="",FALSE,SUMPRODUCT(--ISNUMBER(SEARCH(","&amp;TRIM(TEXTSPLIT(DI54,","))&amp;",",","&amp;SUBSTITUTE(input_executive_education_focus," ","")&amp;",")))&gt;0)),IF(DK54="",TRUE,IF(input_executive_education_focus="",FALSE,SUMPRODUCT(--ISNUMBER(SEARCH(","&amp;TRIM(TEXTSPLIT(DK54,","))&amp;",",","&amp;SUBSTITUTE(input_executive_education_focus," ","")&amp;",")))=COUNTA(TEXTSPLIT(DK54,",")))),IF(DM54="",TRUE,IF(input_executive_education_focus="",TRUE,SUMPRODUCT(--ISNUMBER(SEARCH(","&amp;TRIM(TEXTSPLIT(DM54,","))&amp;",",","&amp;SUBSTITUTE(input_executive_education_focus," ","")&amp;",")))=0)),IF(DO54="",TRUE,IF(input_executive_education_focus="",FALSE,SUMPRODUCT(--ISNUMBER(SEARCH(","&amp;TRIM(TEXTSPLIT(DO54,","))&amp;",",","&amp;SUBSTITUTE(input_executive_education_focus," ","")&amp;",")))&gt;0)),IF(DQ54="",TRUE,IF(input_executive_education_focus="",FALSE,SUMPRODUCT(--ISNUMBER(SEARCH(","&amp;TRIM(TEXTSPLIT(DQ54,","))&amp;",",","&amp;SUBSTITUTE(input_executive_education_focus," ","")&amp;",")))=COUNTA(TEXTSPLIT(DQ54,",")))))</f>
        <v/>
      </c>
      <c r="JE54">
        <f>AND(IF(DS54="",TRUE,IF(input_faculty_category="",FALSE,SUMPRODUCT(--ISNUMBER(SEARCH(","&amp;TRIM(TEXTSPLIT(DS54,","))&amp;",",","&amp;SUBSTITUTE(input_faculty_category," ","")&amp;",")))&gt;0)),IF(DU54="",TRUE,IF(input_faculty_category="",FALSE,SUMPRODUCT(--ISNUMBER(SEARCH(","&amp;TRIM(TEXTSPLIT(DU54,","))&amp;",",","&amp;SUBSTITUTE(input_faculty_category," ","")&amp;",")))=COUNTA(TEXTSPLIT(DU54,",")))),IF(DW54="",TRUE,IF(input_faculty_category="",TRUE,SUMPRODUCT(--ISNUMBER(SEARCH(","&amp;TRIM(TEXTSPLIT(DW54,","))&amp;",",","&amp;SUBSTITUTE(input_faculty_category," ","")&amp;",")))=0)),IF(DY54="",TRUE,IF(input_faculty_category="",FALSE,SUMPRODUCT(--ISNUMBER(SEARCH(","&amp;TRIM(TEXTSPLIT(DY54,","))&amp;",",","&amp;SUBSTITUTE(input_faculty_category," ","")&amp;",")))&gt;0)),IF(EA54="",TRUE,IF(input_faculty_category="",FALSE,SUMPRODUCT(--ISNUMBER(SEARCH(","&amp;TRIM(TEXTSPLIT(EA54,","))&amp;",",","&amp;SUBSTITUTE(input_faculty_category," ","")&amp;",")))=COUNTA(TEXTSPLIT(EA54,",")))))</f>
        <v/>
      </c>
      <c r="JF54">
        <f>AND(IF(EC54="",TRUE,IF(input_faculty_discipline="",FALSE,SUMPRODUCT(--ISNUMBER(SEARCH(","&amp;TRIM(TEXTSPLIT(EC54,","))&amp;",",","&amp;SUBSTITUTE(input_faculty_discipline," ","")&amp;",")))&gt;0)),IF(EE54="",TRUE,IF(input_faculty_discipline="",FALSE,SUMPRODUCT(--ISNUMBER(SEARCH(","&amp;TRIM(TEXTSPLIT(EE54,","))&amp;",",","&amp;SUBSTITUTE(input_faculty_discipline," ","")&amp;",")))=COUNTA(TEXTSPLIT(EE54,",")))),IF(EG54="",TRUE,IF(input_faculty_discipline="",TRUE,SUMPRODUCT(--ISNUMBER(SEARCH(","&amp;TRIM(TEXTSPLIT(EG54,","))&amp;",",","&amp;SUBSTITUTE(input_faculty_discipline," ","")&amp;",")))=0)),IF(EI54="",TRUE,IF(input_faculty_discipline="",FALSE,SUMPRODUCT(--ISNUMBER(SEARCH(","&amp;TRIM(TEXTSPLIT(EI54,","))&amp;",",","&amp;SUBSTITUTE(input_faculty_discipline," ","")&amp;",")))&gt;0)),IF(EK54="",TRUE,IF(input_faculty_discipline="",FALSE,SUMPRODUCT(--ISNUMBER(SEARCH(","&amp;TRIM(TEXTSPLIT(EK54,","))&amp;",",","&amp;SUBSTITUTE(input_faculty_discipline," ","")&amp;",")))=COUNTA(TEXTSPLIT(EK54,",")))))</f>
        <v/>
      </c>
      <c r="JG54">
        <f>AND(IF(EM54="",TRUE,IF(input_faculty_expertise="",FALSE,SUMPRODUCT(--ISNUMBER(SEARCH(","&amp;TRIM(TEXTSPLIT(EM54,","))&amp;",",","&amp;SUBSTITUTE(input_faculty_expertise," ","")&amp;",")))&gt;0)),IF(EO54="",TRUE,IF(input_faculty_expertise="",FALSE,SUMPRODUCT(--ISNUMBER(SEARCH(","&amp;TRIM(TEXTSPLIT(EO54,","))&amp;",",","&amp;SUBSTITUTE(input_faculty_expertise," ","")&amp;",")))=COUNTA(TEXTSPLIT(EO54,",")))),IF(EQ54="",TRUE,IF(input_faculty_expertise="",TRUE,SUMPRODUCT(--ISNUMBER(SEARCH(","&amp;TRIM(TEXTSPLIT(EQ54,","))&amp;",",","&amp;SUBSTITUTE(input_faculty_expertise," ","")&amp;",")))=0)),IF(ES54="",TRUE,IF(input_faculty_expertise="",FALSE,SUMPRODUCT(--ISNUMBER(SEARCH(","&amp;TRIM(TEXTSPLIT(ES54,","))&amp;",",","&amp;SUBSTITUTE(input_faculty_expertise," ","")&amp;",")))&gt;0)),IF(EU54="",TRUE,IF(input_faculty_expertise="",FALSE,SUMPRODUCT(--ISNUMBER(SEARCH(","&amp;TRIM(TEXTSPLIT(EU54,","))&amp;",",","&amp;SUBSTITUTE(input_faculty_expertise," ","")&amp;",")))=COUNTA(TEXTSPLIT(EU54,",")))))</f>
        <v/>
      </c>
      <c r="JH54">
        <f>AND(IF(EW54="",TRUE,IF(input_global_network_school="",FALSE,SUMPRODUCT(--ISNUMBER(SEARCH(","&amp;TRIM(TEXTSPLIT(EW54,","))&amp;",",","&amp;SUBSTITUTE(input_global_network_school," ","")&amp;",")))&gt;0)),IF(EY54="",TRUE,IF(input_global_network_school="",FALSE,SUMPRODUCT(--ISNUMBER(SEARCH(","&amp;TRIM(TEXTSPLIT(EY54,","))&amp;",",","&amp;SUBSTITUTE(input_global_network_school," ","")&amp;",")))=COUNTA(TEXTSPLIT(EY54,",")))),IF(FA54="",TRUE,IF(input_global_network_school="",TRUE,SUMPRODUCT(--ISNUMBER(SEARCH(","&amp;TRIM(TEXTSPLIT(FA54,","))&amp;",",","&amp;SUBSTITUTE(input_global_network_school," ","")&amp;",")))=0)),IF(FC54="",TRUE,IF(input_global_network_school="",FALSE,SUMPRODUCT(--ISNUMBER(SEARCH(","&amp;TRIM(TEXTSPLIT(FC54,","))&amp;",",","&amp;SUBSTITUTE(input_global_network_school," ","")&amp;",")))&gt;0)),IF(FE54="",TRUE,IF(input_global_network_school="",FALSE,SUMPRODUCT(--ISNUMBER(SEARCH(","&amp;TRIM(TEXTSPLIT(FE54,","))&amp;",",","&amp;SUBSTITUTE(input_global_network_school," ","")&amp;",")))=COUNTA(TEXTSPLIT(FE54,",")))))</f>
        <v/>
      </c>
      <c r="JI54">
        <f>AND(IF(FG54="",TRUE,IF(input_industry="",FALSE,SUMPRODUCT(--ISNUMBER(SEARCH(","&amp;TRIM(TEXTSPLIT(FG54,","))&amp;",",","&amp;SUBSTITUTE(input_industry," ","")&amp;",")))&gt;0)),IF(FI54="",TRUE,IF(input_industry="",FALSE,SUMPRODUCT(--ISNUMBER(SEARCH(","&amp;TRIM(TEXTSPLIT(FI54,","))&amp;",",","&amp;SUBSTITUTE(input_industry," ","")&amp;",")))=COUNTA(TEXTSPLIT(FI54,",")))),IF(FK54="",TRUE,IF(input_industry="",TRUE,SUMPRODUCT(--ISNUMBER(SEARCH(","&amp;TRIM(TEXTSPLIT(FK54,","))&amp;",",","&amp;SUBSTITUTE(input_industry," ","")&amp;",")))=0)),IF(FM54="",TRUE,IF(input_industry="",FALSE,SUMPRODUCT(--ISNUMBER(SEARCH(","&amp;TRIM(TEXTSPLIT(FM54,","))&amp;",",","&amp;SUBSTITUTE(input_industry," ","")&amp;",")))&gt;0)),IF(FO54="",TRUE,IF(input_industry="",FALSE,SUMPRODUCT(--ISNUMBER(SEARCH(","&amp;TRIM(TEXTSPLIT(FO54,","))&amp;",",","&amp;SUBSTITUTE(input_industry," ","")&amp;",")))=COUNTA(TEXTSPLIT(FO54,",")))))</f>
        <v/>
      </c>
      <c r="JJ54">
        <f>AND(IF(FQ54="",TRUE,IF(input_location="",FALSE,SUMPRODUCT(--ISNUMBER(SEARCH(","&amp;TRIM(TEXTSPLIT(FQ54,","))&amp;",",","&amp;SUBSTITUTE(input_location," ","")&amp;",")))&gt;0)),IF(FS54="",TRUE,IF(input_location="",FALSE,SUMPRODUCT(--ISNUMBER(SEARCH(","&amp;TRIM(TEXTSPLIT(FS54,","))&amp;",",","&amp;SUBSTITUTE(input_location," ","")&amp;",")))=COUNTA(TEXTSPLIT(FS54,",")))),IF(FU54="",TRUE,IF(input_location="",TRUE,SUMPRODUCT(--ISNUMBER(SEARCH(","&amp;TRIM(TEXTSPLIT(FU54,","))&amp;",",","&amp;SUBSTITUTE(input_location," ","")&amp;",")))=0)),IF(FW54="",TRUE,IF(input_location="",FALSE,SUMPRODUCT(--ISNUMBER(SEARCH(","&amp;TRIM(TEXTSPLIT(FW54,","))&amp;",",","&amp;SUBSTITUTE(input_location," ","")&amp;",")))&gt;0)),IF(FY54="",TRUE,IF(input_location="",FALSE,SUMPRODUCT(--ISNUMBER(SEARCH(","&amp;TRIM(TEXTSPLIT(FY54,","))&amp;",",","&amp;SUBSTITUTE(input_location," ","")&amp;",")))=COUNTA(TEXTSPLIT(FY54,",")))))</f>
        <v/>
      </c>
      <c r="JK54">
        <f>AND(IF(GA54="",TRUE,IF(input_modality="",FALSE,SUMPRODUCT(--ISNUMBER(SEARCH(","&amp;TRIM(TEXTSPLIT(GA54,","))&amp;",",","&amp;SUBSTITUTE(input_modality," ","")&amp;",")))&gt;0)),IF(GC54="",TRUE,IF(input_modality="",FALSE,SUMPRODUCT(--ISNUMBER(SEARCH(","&amp;TRIM(TEXTSPLIT(GC54,","))&amp;",",","&amp;SUBSTITUTE(input_modality," ","")&amp;",")))=COUNTA(TEXTSPLIT(GC54,",")))),IF(GE54="",TRUE,IF(input_modality="",TRUE,SUMPRODUCT(--ISNUMBER(SEARCH(","&amp;TRIM(TEXTSPLIT(GE54,","))&amp;",",","&amp;SUBSTITUTE(input_modality," ","")&amp;",")))=0)),IF(GG54="",TRUE,IF(input_modality="",FALSE,SUMPRODUCT(--ISNUMBER(SEARCH(","&amp;TRIM(TEXTSPLIT(GG54,","))&amp;",",","&amp;SUBSTITUTE(input_modality," ","")&amp;",")))&gt;0)),IF(GI54="",TRUE,IF(input_modality="",FALSE,SUMPRODUCT(--ISNUMBER(SEARCH(","&amp;TRIM(TEXTSPLIT(GI54,","))&amp;",",","&amp;SUBSTITUTE(input_modality," ","")&amp;",")))=COUNTA(TEXTSPLIT(GI54,",")))))</f>
        <v/>
      </c>
      <c r="JL54">
        <f>AND(IF(GK54="",TRUE,IF(input_organizer="",FALSE,SUMPRODUCT(--ISNUMBER(SEARCH(","&amp;TRIM(TEXTSPLIT(GK54,","))&amp;",",","&amp;SUBSTITUTE(input_organizer," ","")&amp;",")))&gt;0)),IF(GM54="",TRUE,IF(input_organizer="",FALSE,SUMPRODUCT(--ISNUMBER(SEARCH(","&amp;TRIM(TEXTSPLIT(GM54,","))&amp;",",","&amp;SUBSTITUTE(input_organizer," ","")&amp;",")))=COUNTA(TEXTSPLIT(GM54,",")))),IF(GO54="",TRUE,IF(input_organizer="",TRUE,SUMPRODUCT(--ISNUMBER(SEARCH(","&amp;TRIM(TEXTSPLIT(GO54,","))&amp;",",","&amp;SUBSTITUTE(input_organizer," ","")&amp;",")))=0)),IF(GQ54="",TRUE,IF(input_organizer="",FALSE,SUMPRODUCT(--ISNUMBER(SEARCH(","&amp;TRIM(TEXTSPLIT(GQ54,","))&amp;",",","&amp;SUBSTITUTE(input_organizer," ","")&amp;",")))&gt;0)),IF(GS54="",TRUE,IF(input_organizer="",FALSE,SUMPRODUCT(--ISNUMBER(SEARCH(","&amp;TRIM(TEXTSPLIT(GS54,","))&amp;",",","&amp;SUBSTITUTE(input_organizer," ","")&amp;",")))=COUNTA(TEXTSPLIT(GS54,",")))))</f>
        <v/>
      </c>
      <c r="JM54">
        <f>AND(IF(GU54="",TRUE,IF(input_profile_type="",FALSE,SUMPRODUCT(--ISNUMBER(SEARCH(","&amp;TRIM(TEXTSPLIT(GU54,","))&amp;",",","&amp;SUBSTITUTE(input_profile_type," ","")&amp;",")))&gt;0)),IF(GW54="",TRUE,IF(input_profile_type="",FALSE,SUMPRODUCT(--ISNUMBER(SEARCH(","&amp;TRIM(TEXTSPLIT(GW54,","))&amp;",",","&amp;SUBSTITUTE(input_profile_type," ","")&amp;",")))=COUNTA(TEXTSPLIT(GW54,",")))),IF(GY54="",TRUE,IF(input_profile_type="",TRUE,SUMPRODUCT(--ISNUMBER(SEARCH(","&amp;TRIM(TEXTSPLIT(GY54,","))&amp;",",","&amp;SUBSTITUTE(input_profile_type," ","")&amp;",")))=0)),IF(HA54="",TRUE,IF(input_profile_type="",FALSE,SUMPRODUCT(--ISNUMBER(SEARCH(","&amp;TRIM(TEXTSPLIT(HA54,","))&amp;",",","&amp;SUBSTITUTE(input_profile_type," ","")&amp;",")))&gt;0)),IF(HC54="",TRUE,IF(input_profile_type="",FALSE,SUMPRODUCT(--ISNUMBER(SEARCH(","&amp;TRIM(TEXTSPLIT(HC54,","))&amp;",",","&amp;SUBSTITUTE(input_profile_type," ","")&amp;",")))=COUNTA(TEXTSPLIT(HC54,",")))))</f>
        <v/>
      </c>
      <c r="JN54">
        <f>AND(IF(HE54="",TRUE,IF(input_program="",FALSE,SUMPRODUCT(--ISNUMBER(SEARCH(","&amp;TRIM(TEXTSPLIT(HE54,","))&amp;",",","&amp;SUBSTITUTE(input_program," ","")&amp;",")))&gt;0)),IF(HG54="",TRUE,IF(input_program="",FALSE,SUMPRODUCT(--ISNUMBER(SEARCH(","&amp;TRIM(TEXTSPLIT(HG54,","))&amp;",",","&amp;SUBSTITUTE(input_program," ","")&amp;",")))=COUNTA(TEXTSPLIT(HG54,",")))),IF(HI54="",TRUE,IF(input_program="",TRUE,SUMPRODUCT(--ISNUMBER(SEARCH(","&amp;TRIM(TEXTSPLIT(HI54,","))&amp;",",","&amp;SUBSTITUTE(input_program," ","")&amp;",")))=0)),IF(HK54="",TRUE,IF(input_program="",FALSE,SUMPRODUCT(--ISNUMBER(SEARCH(","&amp;TRIM(TEXTSPLIT(HK54,","))&amp;",",","&amp;SUBSTITUTE(input_program," ","")&amp;",")))&gt;0)),IF(HM54="",TRUE,IF(input_program="",FALSE,SUMPRODUCT(--ISNUMBER(SEARCH(","&amp;TRIM(TEXTSPLIT(HM54,","))&amp;",",","&amp;SUBSTITUTE(input_program," ","")&amp;",")))=COUNTA(TEXTSPLIT(HM54,",")))))</f>
        <v/>
      </c>
      <c r="JO54">
        <f>AND(IF(HO54="",TRUE,IF(input_story_categories="",FALSE,SUMPRODUCT(--ISNUMBER(SEARCH(","&amp;TRIM(TEXTSPLIT(HO54,","))&amp;",",","&amp;SUBSTITUTE(input_story_categories," ","")&amp;",")))&gt;0)),IF(HQ54="",TRUE,IF(input_story_categories="",FALSE,SUMPRODUCT(--ISNUMBER(SEARCH(","&amp;TRIM(TEXTSPLIT(HQ54,","))&amp;",",","&amp;SUBSTITUTE(input_story_categories," ","")&amp;",")))=COUNTA(TEXTSPLIT(HQ54,",")))),IF(HS54="",TRUE,IF(input_story_categories="",TRUE,SUMPRODUCT(--ISNUMBER(SEARCH(","&amp;TRIM(TEXTSPLIT(HS54,","))&amp;",",","&amp;SUBSTITUTE(input_story_categories," ","")&amp;",")))=0)),IF(HU54="",TRUE,IF(input_story_categories="",FALSE,SUMPRODUCT(--ISNUMBER(SEARCH(","&amp;TRIM(TEXTSPLIT(HU54,","))&amp;",",","&amp;SUBSTITUTE(input_story_categories," ","")&amp;",")))&gt;0)),IF(HW54="",TRUE,IF(input_story_categories="",FALSE,SUMPRODUCT(--ISNUMBER(SEARCH(","&amp;TRIM(TEXTSPLIT(HW54,","))&amp;",",","&amp;SUBSTITUTE(input_story_categories," ","")&amp;",")))=COUNTA(TEXTSPLIT(HW54,",")))))</f>
        <v/>
      </c>
      <c r="JP54">
        <f>AND(IF(HY54="",TRUE,IF(input_story_type="",FALSE,SUMPRODUCT(--ISNUMBER(SEARCH(","&amp;TRIM(TEXTSPLIT(HY54,","))&amp;",",","&amp;SUBSTITUTE(input_story_type," ","")&amp;",")))&gt;0)),IF(IA54="",TRUE,IF(input_story_type="",FALSE,SUMPRODUCT(--ISNUMBER(SEARCH(","&amp;TRIM(TEXTSPLIT(IA54,","))&amp;",",","&amp;SUBSTITUTE(input_story_type," ","")&amp;",")))=COUNTA(TEXTSPLIT(IA54,",")))),IF(IC54="",TRUE,IF(input_story_type="",TRUE,SUMPRODUCT(--ISNUMBER(SEARCH(","&amp;TRIM(TEXTSPLIT(IC54,","))&amp;",",","&amp;SUBSTITUTE(input_story_type," ","")&amp;",")))=0)),IF(IE54="",TRUE,IF(input_story_type="",FALSE,SUMPRODUCT(--ISNUMBER(SEARCH(","&amp;TRIM(TEXTSPLIT(IE54,","))&amp;",",","&amp;SUBSTITUTE(input_story_type," ","")&amp;",")))&gt;0)),IF(IG54="",TRUE,IF(input_story_type="",FALSE,SUMPRODUCT(--ISNUMBER(SEARCH(","&amp;TRIM(TEXTSPLIT(IG54,","))&amp;",",","&amp;SUBSTITUTE(input_story_type," ","")&amp;",")))=COUNTA(TEXTSPLIT(IG54,",")))))</f>
        <v/>
      </c>
      <c r="JQ54">
        <f>AND(IF(II54="",TRUE,IF(input_topics="",FALSE,SUMPRODUCT(--ISNUMBER(SEARCH(","&amp;TRIM(TEXTSPLIT(II54,","))&amp;",",","&amp;SUBSTITUTE(input_topics," ","")&amp;",")))&gt;0)),IF(IK54="",TRUE,IF(input_topics="",FALSE,SUMPRODUCT(--ISNUMBER(SEARCH(","&amp;TRIM(TEXTSPLIT(IK54,","))&amp;",",","&amp;SUBSTITUTE(input_topics," ","")&amp;",")))=COUNTA(TEXTSPLIT(IK54,",")))),IF(IM54="",TRUE,IF(input_topics="",TRUE,SUMPRODUCT(--ISNUMBER(SEARCH(","&amp;TRIM(TEXTSPLIT(IM54,","))&amp;",",","&amp;SUBSTITUTE(input_topics," ","")&amp;",")))=0)),IF(IO54="",TRUE,IF(input_topics="",FALSE,SUMPRODUCT(--ISNUMBER(SEARCH(","&amp;TRIM(TEXTSPLIT(IO54,","))&amp;",",","&amp;SUBSTITUTE(input_topics," ","")&amp;",")))&gt;0)),IF(IQ54="",TRUE,IF(input_topics="",FALSE,SUMPRODUCT(--ISNUMBER(SEARCH(","&amp;TRIM(TEXTSPLIT(IQ54,","))&amp;",",","&amp;SUBSTITUTE(input_topics," ","")&amp;",")))=COUNTA(TEXTSPLIT(IQ54,",")))))</f>
        <v/>
      </c>
    </row>
    <row r="55">
      <c r="A55" s="4">
        <f>IF(NOT(IS55),"Excluded",IF(AND(IT55,IU55,IV55,IW55,IX55,IY55,IZ55,JA55,JB55,JC55,JD55,JE55,JF55,JG55,JH55,JI55,JJ55,JK55,JL55,JM55,JN55,JO55,JP55,JQ55),IF(I55&gt;0,"Eligible but limited","Will appear"),"Excluded"))</f>
        <v/>
      </c>
      <c r="B55" s="4" t="inlineStr">
        <is>
          <t>All Publications by Author</t>
        </is>
      </c>
      <c r="C55" s="4" t="inlineStr">
        <is>
          <t>/faculty-research/faculty-directory/william-n-goetzmann</t>
        </is>
      </c>
      <c r="D55" s="4" t="inlineStr">
        <is>
          <t>/faculty-research/faculty-directory/william-n-goetzmann</t>
        </is>
      </c>
      <c r="E55" s="4" t="n">
        <v>1</v>
      </c>
      <c r="F55" s="4" t="inlineStr">
        <is>
          <t>publications</t>
        </is>
      </c>
      <c r="G55" s="4" t="inlineStr">
        <is>
          <t>publication_teaser_list</t>
        </is>
      </c>
      <c r="H55" s="4" t="inlineStr">
        <is>
          <t>publication_teaser_list_all_by_author</t>
        </is>
      </c>
      <c r="I55" s="4" t="inlineStr"/>
      <c r="J55" s="4" t="inlineStr">
        <is>
          <t>View/config rules</t>
        </is>
      </c>
      <c r="K55" s="4" t="inlineStr">
        <is>
          <t>Page placement</t>
        </is>
      </c>
      <c r="L55" s="4" t="inlineStr">
        <is>
          <t>Content type: publications; Source: View/config rules</t>
        </is>
      </c>
      <c r="M55" t="inlineStr"/>
      <c r="N55" t="inlineStr"/>
      <c r="O55" t="inlineStr"/>
      <c r="P55" t="inlineStr"/>
      <c r="Q55" t="inlineStr"/>
      <c r="R55" t="inlineStr"/>
      <c r="S55" t="inlineStr"/>
      <c r="T55" t="inlineStr"/>
      <c r="U55" t="inlineStr"/>
      <c r="V55" t="inlineStr"/>
      <c r="W55" t="inlineStr"/>
      <c r="X55" t="inlineStr"/>
      <c r="Y55" t="inlineStr"/>
      <c r="Z55" t="inlineStr"/>
      <c r="AA55" t="inlineStr"/>
      <c r="AB55" t="inlineStr"/>
      <c r="AC55" t="inlineStr"/>
      <c r="AD55" t="inlineStr"/>
      <c r="AE55" t="inlineStr"/>
      <c r="AF55" t="inlineStr"/>
      <c r="AG55" t="inlineStr"/>
      <c r="AH55" t="inlineStr"/>
      <c r="AI55" t="inlineStr"/>
      <c r="AJ55" t="inlineStr"/>
      <c r="AK55" t="inlineStr"/>
      <c r="AL55" t="inlineStr"/>
      <c r="AM55" t="inlineStr"/>
      <c r="AN55" t="inlineStr"/>
      <c r="AO55" t="inlineStr"/>
      <c r="AP55" t="inlineStr"/>
      <c r="AQ55" t="inlineStr"/>
      <c r="AR55" t="inlineStr"/>
      <c r="AS55" t="inlineStr"/>
      <c r="AT55" t="inlineStr"/>
      <c r="AU55" t="inlineStr"/>
      <c r="AV55" t="inlineStr"/>
      <c r="AW55" t="inlineStr"/>
      <c r="AX55" t="inlineStr"/>
      <c r="AY55" t="inlineStr"/>
      <c r="AZ55" t="inlineStr"/>
      <c r="BA55" t="inlineStr"/>
      <c r="BB55" t="inlineStr"/>
      <c r="BC55" t="inlineStr"/>
      <c r="BD55" t="inlineStr"/>
      <c r="BE55" t="inlineStr"/>
      <c r="BF55" t="inlineStr"/>
      <c r="BG55" t="inlineStr"/>
      <c r="BH55" t="inlineStr"/>
      <c r="BI55" t="inlineStr"/>
      <c r="BJ55" t="inlineStr"/>
      <c r="BK55" t="inlineStr"/>
      <c r="BL55" t="inlineStr"/>
      <c r="BM55" t="inlineStr"/>
      <c r="BN55" t="inlineStr"/>
      <c r="BO55" t="inlineStr"/>
      <c r="BP55" t="inlineStr"/>
      <c r="BQ55" t="inlineStr"/>
      <c r="BR55" t="inlineStr"/>
      <c r="BS55" t="inlineStr"/>
      <c r="BT55" t="inlineStr"/>
      <c r="BU55" t="inlineStr"/>
      <c r="BV55" t="inlineStr"/>
      <c r="BW55" t="inlineStr"/>
      <c r="BX55" t="inlineStr"/>
      <c r="BY55" t="inlineStr"/>
      <c r="BZ55" t="inlineStr"/>
      <c r="CA55" t="inlineStr"/>
      <c r="CB55" t="inlineStr"/>
      <c r="CC55" t="inlineStr"/>
      <c r="CD55" t="inlineStr"/>
      <c r="CE55" t="inlineStr"/>
      <c r="CF55" t="inlineStr"/>
      <c r="CG55" t="inlineStr"/>
      <c r="CH55" t="inlineStr"/>
      <c r="CI55" t="inlineStr"/>
      <c r="CJ55" t="inlineStr"/>
      <c r="CK55" t="inlineStr"/>
      <c r="CL55" t="inlineStr"/>
      <c r="CM55" t="inlineStr"/>
      <c r="CN55" t="inlineStr"/>
      <c r="CO55" t="inlineStr"/>
      <c r="CP55" t="inlineStr"/>
      <c r="CQ55" t="inlineStr"/>
      <c r="CR55" t="inlineStr"/>
      <c r="CS55" t="inlineStr"/>
      <c r="CT55" t="inlineStr"/>
      <c r="CU55" t="inlineStr"/>
      <c r="CV55" t="inlineStr"/>
      <c r="CW55" t="inlineStr"/>
      <c r="CX55" t="inlineStr"/>
      <c r="CY55" t="inlineStr"/>
      <c r="CZ55" t="inlineStr"/>
      <c r="DA55" t="inlineStr"/>
      <c r="DB55" t="inlineStr"/>
      <c r="DC55" t="inlineStr"/>
      <c r="DD55" t="inlineStr"/>
      <c r="DE55" t="inlineStr"/>
      <c r="DF55" t="inlineStr"/>
      <c r="DG55" t="inlineStr"/>
      <c r="DH55" t="inlineStr"/>
      <c r="DI55" t="inlineStr"/>
      <c r="DJ55" t="inlineStr"/>
      <c r="DK55" t="inlineStr"/>
      <c r="DL55" t="inlineStr"/>
      <c r="DM55" t="inlineStr"/>
      <c r="DN55" t="inlineStr"/>
      <c r="DO55" t="inlineStr"/>
      <c r="DP55" t="inlineStr"/>
      <c r="DQ55" t="inlineStr"/>
      <c r="DR55" t="inlineStr"/>
      <c r="DS55" t="inlineStr"/>
      <c r="DT55" t="inlineStr"/>
      <c r="DU55" t="inlineStr"/>
      <c r="DV55" t="inlineStr"/>
      <c r="DW55" t="inlineStr"/>
      <c r="DX55" t="inlineStr"/>
      <c r="DY55" t="inlineStr"/>
      <c r="DZ55" t="inlineStr"/>
      <c r="EA55" t="inlineStr"/>
      <c r="EB55" t="inlineStr"/>
      <c r="EC55" t="inlineStr"/>
      <c r="ED55" t="inlineStr"/>
      <c r="EE55" t="inlineStr"/>
      <c r="EF55" t="inlineStr"/>
      <c r="EG55" t="inlineStr"/>
      <c r="EH55" t="inlineStr"/>
      <c r="EI55" t="inlineStr"/>
      <c r="EJ55" t="inlineStr"/>
      <c r="EK55" t="inlineStr"/>
      <c r="EL55" t="inlineStr"/>
      <c r="EM55" t="inlineStr"/>
      <c r="EN55" t="inlineStr"/>
      <c r="EO55" t="inlineStr"/>
      <c r="EP55" t="inlineStr"/>
      <c r="EQ55" t="inlineStr"/>
      <c r="ER55" t="inlineStr"/>
      <c r="ES55" t="inlineStr"/>
      <c r="ET55" t="inlineStr"/>
      <c r="EU55" t="inlineStr"/>
      <c r="EV55" t="inlineStr"/>
      <c r="EW55" t="inlineStr"/>
      <c r="EX55" t="inlineStr"/>
      <c r="EY55" t="inlineStr"/>
      <c r="EZ55" t="inlineStr"/>
      <c r="FA55" t="inlineStr"/>
      <c r="FB55" t="inlineStr"/>
      <c r="FC55" t="inlineStr"/>
      <c r="FD55" t="inlineStr"/>
      <c r="FE55" t="inlineStr"/>
      <c r="FF55" t="inlineStr"/>
      <c r="FG55" t="inlineStr"/>
      <c r="FH55" t="inlineStr"/>
      <c r="FI55" t="inlineStr"/>
      <c r="FJ55" t="inlineStr"/>
      <c r="FK55" t="inlineStr"/>
      <c r="FL55" t="inlineStr"/>
      <c r="FM55" t="inlineStr"/>
      <c r="FN55" t="inlineStr"/>
      <c r="FO55" t="inlineStr"/>
      <c r="FP55" t="inlineStr"/>
      <c r="FQ55" t="inlineStr"/>
      <c r="FR55" t="inlineStr"/>
      <c r="FS55" t="inlineStr"/>
      <c r="FT55" t="inlineStr"/>
      <c r="FU55" t="inlineStr"/>
      <c r="FV55" t="inlineStr"/>
      <c r="FW55" t="inlineStr"/>
      <c r="FX55" t="inlineStr"/>
      <c r="FY55" t="inlineStr"/>
      <c r="FZ55" t="inlineStr"/>
      <c r="GA55" t="inlineStr"/>
      <c r="GB55" t="inlineStr"/>
      <c r="GC55" t="inlineStr"/>
      <c r="GD55" t="inlineStr"/>
      <c r="GE55" t="inlineStr"/>
      <c r="GF55" t="inlineStr"/>
      <c r="GG55" t="inlineStr"/>
      <c r="GH55" t="inlineStr"/>
      <c r="GI55" t="inlineStr"/>
      <c r="GJ55" t="inlineStr"/>
      <c r="GK55" t="inlineStr"/>
      <c r="GL55" t="inlineStr"/>
      <c r="GM55" t="inlineStr"/>
      <c r="GN55" t="inlineStr"/>
      <c r="GO55" t="inlineStr"/>
      <c r="GP55" t="inlineStr"/>
      <c r="GQ55" t="inlineStr"/>
      <c r="GR55" t="inlineStr"/>
      <c r="GS55" t="inlineStr"/>
      <c r="GT55" t="inlineStr"/>
      <c r="GU55" t="inlineStr"/>
      <c r="GV55" t="inlineStr"/>
      <c r="GW55" t="inlineStr"/>
      <c r="GX55" t="inlineStr"/>
      <c r="GY55" t="inlineStr"/>
      <c r="GZ55" t="inlineStr"/>
      <c r="HA55" t="inlineStr"/>
      <c r="HB55" t="inlineStr"/>
      <c r="HC55" t="inlineStr"/>
      <c r="HD55" t="inlineStr"/>
      <c r="HE55" t="inlineStr"/>
      <c r="HF55" t="inlineStr"/>
      <c r="HG55" t="inlineStr"/>
      <c r="HH55" t="inlineStr"/>
      <c r="HI55" t="inlineStr"/>
      <c r="HJ55" t="inlineStr"/>
      <c r="HK55" t="inlineStr"/>
      <c r="HL55" t="inlineStr"/>
      <c r="HM55" t="inlineStr"/>
      <c r="HN55" t="inlineStr"/>
      <c r="HO55" t="inlineStr"/>
      <c r="HP55" t="inlineStr"/>
      <c r="HQ55" t="inlineStr"/>
      <c r="HR55" t="inlineStr"/>
      <c r="HS55" t="inlineStr"/>
      <c r="HT55" t="inlineStr"/>
      <c r="HU55" t="inlineStr"/>
      <c r="HV55" t="inlineStr"/>
      <c r="HW55" t="inlineStr"/>
      <c r="HX55" t="inlineStr"/>
      <c r="HY55" t="inlineStr"/>
      <c r="HZ55" t="inlineStr"/>
      <c r="IA55" t="inlineStr"/>
      <c r="IB55" t="inlineStr"/>
      <c r="IC55" t="inlineStr"/>
      <c r="ID55" t="inlineStr"/>
      <c r="IE55" t="inlineStr"/>
      <c r="IF55" t="inlineStr"/>
      <c r="IG55" t="inlineStr"/>
      <c r="IH55" t="inlineStr"/>
      <c r="II55" t="inlineStr"/>
      <c r="IJ55" t="inlineStr"/>
      <c r="IK55" t="inlineStr"/>
      <c r="IL55" t="inlineStr"/>
      <c r="IM55" t="inlineStr"/>
      <c r="IN55" t="inlineStr"/>
      <c r="IO55" t="inlineStr"/>
      <c r="IP55" t="inlineStr"/>
      <c r="IQ55" t="inlineStr"/>
      <c r="IR55" t="inlineStr"/>
      <c r="IS55">
        <f>IF(input_content_type="",FALSE,ISNUMBER(SEARCH(","&amp;LOWER(input_content_type)&amp;",",","&amp;LOWER(F55)&amp;",")))</f>
        <v/>
      </c>
      <c r="IT55">
        <f>AND(IF(M55="",TRUE,IF(input_affiliations="",FALSE,SUMPRODUCT(--ISNUMBER(SEARCH(","&amp;TRIM(TEXTSPLIT(M55,","))&amp;",",","&amp;SUBSTITUTE(input_affiliations," ","")&amp;",")))&gt;0)),IF(O55="",TRUE,IF(input_affiliations="",FALSE,SUMPRODUCT(--ISNUMBER(SEARCH(","&amp;TRIM(TEXTSPLIT(O55,","))&amp;",",","&amp;SUBSTITUTE(input_affiliations," ","")&amp;",")))=COUNTA(TEXTSPLIT(O55,",")))),IF(Q55="",TRUE,IF(input_affiliations="",TRUE,SUMPRODUCT(--ISNUMBER(SEARCH(","&amp;TRIM(TEXTSPLIT(Q55,","))&amp;",",","&amp;SUBSTITUTE(input_affiliations," ","")&amp;",")))=0)),IF(S55="",TRUE,IF(input_affiliations="",FALSE,SUMPRODUCT(--ISNUMBER(SEARCH(","&amp;TRIM(TEXTSPLIT(S55,","))&amp;",",","&amp;SUBSTITUTE(input_affiliations," ","")&amp;",")))&gt;0)),IF(U55="",TRUE,IF(input_affiliations="",FALSE,SUMPRODUCT(--ISNUMBER(SEARCH(","&amp;TRIM(TEXTSPLIT(U55,","))&amp;",",","&amp;SUBSTITUTE(input_affiliations," ","")&amp;",")))=COUNTA(TEXTSPLIT(U55,",")))))</f>
        <v/>
      </c>
      <c r="IU55">
        <f>AND(IF(W55="",TRUE,IF(input_announcement_category="",FALSE,SUMPRODUCT(--ISNUMBER(SEARCH(","&amp;TRIM(TEXTSPLIT(W55,","))&amp;",",","&amp;SUBSTITUTE(input_announcement_category," ","")&amp;",")))&gt;0)),IF(Y55="",TRUE,IF(input_announcement_category="",FALSE,SUMPRODUCT(--ISNUMBER(SEARCH(","&amp;TRIM(TEXTSPLIT(Y55,","))&amp;",",","&amp;SUBSTITUTE(input_announcement_category," ","")&amp;",")))=COUNTA(TEXTSPLIT(Y55,",")))),IF(AA55="",TRUE,IF(input_announcement_category="",TRUE,SUMPRODUCT(--ISNUMBER(SEARCH(","&amp;TRIM(TEXTSPLIT(AA55,","))&amp;",",","&amp;SUBSTITUTE(input_announcement_category," ","")&amp;",")))=0)),IF(AC55="",TRUE,IF(input_announcement_category="",FALSE,SUMPRODUCT(--ISNUMBER(SEARCH(","&amp;TRIM(TEXTSPLIT(AC55,","))&amp;",",","&amp;SUBSTITUTE(input_announcement_category," ","")&amp;",")))&gt;0)),IF(AE55="",TRUE,IF(input_announcement_category="",FALSE,SUMPRODUCT(--ISNUMBER(SEARCH(","&amp;TRIM(TEXTSPLIT(AE55,","))&amp;",",","&amp;SUBSTITUTE(input_announcement_category," ","")&amp;",")))=COUNTA(TEXTSPLIT(AE55,",")))))</f>
        <v/>
      </c>
      <c r="IV55">
        <f>AND(IF(AG55="",TRUE,IF(input_area_of_focus="",FALSE,SUMPRODUCT(--ISNUMBER(SEARCH(","&amp;TRIM(TEXTSPLIT(AG55,","))&amp;",",","&amp;SUBSTITUTE(input_area_of_focus," ","")&amp;",")))&gt;0)),IF(AI55="",TRUE,IF(input_area_of_focus="",FALSE,SUMPRODUCT(--ISNUMBER(SEARCH(","&amp;TRIM(TEXTSPLIT(AI55,","))&amp;",",","&amp;SUBSTITUTE(input_area_of_focus," ","")&amp;",")))=COUNTA(TEXTSPLIT(AI55,",")))),IF(AK55="",TRUE,IF(input_area_of_focus="",TRUE,SUMPRODUCT(--ISNUMBER(SEARCH(","&amp;TRIM(TEXTSPLIT(AK55,","))&amp;",",","&amp;SUBSTITUTE(input_area_of_focus," ","")&amp;",")))=0)),IF(AM55="",TRUE,IF(input_area_of_focus="",FALSE,SUMPRODUCT(--ISNUMBER(SEARCH(","&amp;TRIM(TEXTSPLIT(AM55,","))&amp;",",","&amp;SUBSTITUTE(input_area_of_focus," ","")&amp;",")))&gt;0)),IF(AO55="",TRUE,IF(input_area_of_focus="",FALSE,SUMPRODUCT(--ISNUMBER(SEARCH(","&amp;TRIM(TEXTSPLIT(AO55,","))&amp;",",","&amp;SUBSTITUTE(input_area_of_focus," ","")&amp;",")))=COUNTA(TEXTSPLIT(AO55,",")))))</f>
        <v/>
      </c>
      <c r="IW55">
        <f>AND(IF(AQ55="",TRUE,IF(input_audience="",FALSE,SUMPRODUCT(--ISNUMBER(SEARCH(","&amp;TRIM(TEXTSPLIT(AQ55,","))&amp;",",","&amp;SUBSTITUTE(input_audience," ","")&amp;",")))&gt;0)),IF(AS55="",TRUE,IF(input_audience="",FALSE,SUMPRODUCT(--ISNUMBER(SEARCH(","&amp;TRIM(TEXTSPLIT(AS55,","))&amp;",",","&amp;SUBSTITUTE(input_audience," ","")&amp;",")))=COUNTA(TEXTSPLIT(AS55,",")))),IF(AU55="",TRUE,IF(input_audience="",TRUE,SUMPRODUCT(--ISNUMBER(SEARCH(","&amp;TRIM(TEXTSPLIT(AU55,","))&amp;",",","&amp;SUBSTITUTE(input_audience," ","")&amp;",")))=0)),IF(AW55="",TRUE,IF(input_audience="",FALSE,SUMPRODUCT(--ISNUMBER(SEARCH(","&amp;TRIM(TEXTSPLIT(AW55,","))&amp;",",","&amp;SUBSTITUTE(input_audience," ","")&amp;",")))&gt;0)),IF(AY55="",TRUE,IF(input_audience="",FALSE,SUMPRODUCT(--ISNUMBER(SEARCH(","&amp;TRIM(TEXTSPLIT(AY55,","))&amp;",",","&amp;SUBSTITUTE(input_audience," ","")&amp;",")))=COUNTA(TEXTSPLIT(AY55,",")))))</f>
        <v/>
      </c>
      <c r="IX55">
        <f>AND(IF(BA55="",TRUE,IF(input_challenge_opportunities="",FALSE,SUMPRODUCT(--ISNUMBER(SEARCH(","&amp;TRIM(TEXTSPLIT(BA55,","))&amp;",",","&amp;SUBSTITUTE(input_challenge_opportunities," ","")&amp;",")))&gt;0)),IF(BC55="",TRUE,IF(input_challenge_opportunities="",FALSE,SUMPRODUCT(--ISNUMBER(SEARCH(","&amp;TRIM(TEXTSPLIT(BC55,","))&amp;",",","&amp;SUBSTITUTE(input_challenge_opportunities," ","")&amp;",")))=COUNTA(TEXTSPLIT(BC55,",")))),IF(BE55="",TRUE,IF(input_challenge_opportunities="",TRUE,SUMPRODUCT(--ISNUMBER(SEARCH(","&amp;TRIM(TEXTSPLIT(BE55,","))&amp;",",","&amp;SUBSTITUTE(input_challenge_opportunities," ","")&amp;",")))=0)),IF(BG55="",TRUE,IF(input_challenge_opportunities="",FALSE,SUMPRODUCT(--ISNUMBER(SEARCH(","&amp;TRIM(TEXTSPLIT(BG55,","))&amp;",",","&amp;SUBSTITUTE(input_challenge_opportunities," ","")&amp;",")))&gt;0)),IF(BI55="",TRUE,IF(input_challenge_opportunities="",FALSE,SUMPRODUCT(--ISNUMBER(SEARCH(","&amp;TRIM(TEXTSPLIT(BI55,","))&amp;",",","&amp;SUBSTITUTE(input_challenge_opportunities," ","")&amp;",")))=COUNTA(TEXTSPLIT(BI55,",")))))</f>
        <v/>
      </c>
      <c r="IY55">
        <f>AND(IF(BK55="",TRUE,IF(input_context="",FALSE,SUMPRODUCT(--ISNUMBER(SEARCH(","&amp;TRIM(TEXTSPLIT(BK55,","))&amp;",",","&amp;SUBSTITUTE(input_context," ","")&amp;",")))&gt;0)),IF(BM55="",TRUE,IF(input_context="",FALSE,SUMPRODUCT(--ISNUMBER(SEARCH(","&amp;TRIM(TEXTSPLIT(BM55,","))&amp;",",","&amp;SUBSTITUTE(input_context," ","")&amp;",")))=COUNTA(TEXTSPLIT(BM55,",")))),IF(BO55="",TRUE,IF(input_context="",TRUE,SUMPRODUCT(--ISNUMBER(SEARCH(","&amp;TRIM(TEXTSPLIT(BO55,","))&amp;",",","&amp;SUBSTITUTE(input_context," ","")&amp;",")))=0)),IF(BQ55="",TRUE,IF(input_context="",FALSE,SUMPRODUCT(--ISNUMBER(SEARCH(","&amp;TRIM(TEXTSPLIT(BQ55,","))&amp;",",","&amp;SUBSTITUTE(input_context," ","")&amp;",")))&gt;0)),IF(BS55="",TRUE,IF(input_context="",FALSE,SUMPRODUCT(--ISNUMBER(SEARCH(","&amp;TRIM(TEXTSPLIT(BS55,","))&amp;",",","&amp;SUBSTITUTE(input_context," ","")&amp;",")))=COUNTA(TEXTSPLIT(BS55,",")))))</f>
        <v/>
      </c>
      <c r="IZ55">
        <f>AND(IF(BU55="",TRUE,IF(input_enews_announcement_type="",FALSE,SUMPRODUCT(--ISNUMBER(SEARCH(","&amp;TRIM(TEXTSPLIT(BU55,","))&amp;",",","&amp;SUBSTITUTE(input_enews_announcement_type," ","")&amp;",")))&gt;0)),IF(BW55="",TRUE,IF(input_enews_announcement_type="",FALSE,SUMPRODUCT(--ISNUMBER(SEARCH(","&amp;TRIM(TEXTSPLIT(BW55,","))&amp;",",","&amp;SUBSTITUTE(input_enews_announcement_type," ","")&amp;",")))=COUNTA(TEXTSPLIT(BW55,",")))),IF(BY55="",TRUE,IF(input_enews_announcement_type="",TRUE,SUMPRODUCT(--ISNUMBER(SEARCH(","&amp;TRIM(TEXTSPLIT(BY55,","))&amp;",",","&amp;SUBSTITUTE(input_enews_announcement_type," ","")&amp;",")))=0)),IF(CA55="",TRUE,IF(input_enews_announcement_type="",FALSE,SUMPRODUCT(--ISNUMBER(SEARCH(","&amp;TRIM(TEXTSPLIT(CA55,","))&amp;",",","&amp;SUBSTITUTE(input_enews_announcement_type," ","")&amp;",")))&gt;0)),IF(CC55="",TRUE,IF(input_enews_announcement_type="",FALSE,SUMPRODUCT(--ISNUMBER(SEARCH(","&amp;TRIM(TEXTSPLIT(CC55,","))&amp;",",","&amp;SUBSTITUTE(input_enews_announcement_type," ","")&amp;",")))=COUNTA(TEXTSPLIT(CC55,",")))))</f>
        <v/>
      </c>
      <c r="JA55">
        <f>AND(IF(CE55="",TRUE,IF(input_enews_audience="",FALSE,SUMPRODUCT(--ISNUMBER(SEARCH(","&amp;TRIM(TEXTSPLIT(CE55,","))&amp;",",","&amp;SUBSTITUTE(input_enews_audience," ","")&amp;",")))&gt;0)),IF(CG55="",TRUE,IF(input_enews_audience="",FALSE,SUMPRODUCT(--ISNUMBER(SEARCH(","&amp;TRIM(TEXTSPLIT(CG55,","))&amp;",",","&amp;SUBSTITUTE(input_enews_audience," ","")&amp;",")))=COUNTA(TEXTSPLIT(CG55,",")))),IF(CI55="",TRUE,IF(input_enews_audience="",TRUE,SUMPRODUCT(--ISNUMBER(SEARCH(","&amp;TRIM(TEXTSPLIT(CI55,","))&amp;",",","&amp;SUBSTITUTE(input_enews_audience," ","")&amp;",")))=0)),IF(CK55="",TRUE,IF(input_enews_audience="",FALSE,SUMPRODUCT(--ISNUMBER(SEARCH(","&amp;TRIM(TEXTSPLIT(CK55,","))&amp;",",","&amp;SUBSTITUTE(input_enews_audience," ","")&amp;",")))&gt;0)),IF(CM55="",TRUE,IF(input_enews_audience="",FALSE,SUMPRODUCT(--ISNUMBER(SEARCH(","&amp;TRIM(TEXTSPLIT(CM55,","))&amp;",",","&amp;SUBSTITUTE(input_enews_audience," ","")&amp;",")))=COUNTA(TEXTSPLIT(CM55,",")))))</f>
        <v/>
      </c>
      <c r="JB55">
        <f>AND(IF(CO55="",TRUE,IF(input_event_location="",FALSE,SUMPRODUCT(--ISNUMBER(SEARCH(","&amp;TRIM(TEXTSPLIT(CO55,","))&amp;",",","&amp;SUBSTITUTE(input_event_location," ","")&amp;",")))&gt;0)),IF(CQ55="",TRUE,IF(input_event_location="",FALSE,SUMPRODUCT(--ISNUMBER(SEARCH(","&amp;TRIM(TEXTSPLIT(CQ55,","))&amp;",",","&amp;SUBSTITUTE(input_event_location," ","")&amp;",")))=COUNTA(TEXTSPLIT(CQ55,",")))),IF(CS55="",TRUE,IF(input_event_location="",TRUE,SUMPRODUCT(--ISNUMBER(SEARCH(","&amp;TRIM(TEXTSPLIT(CS55,","))&amp;",",","&amp;SUBSTITUTE(input_event_location," ","")&amp;",")))=0)),IF(CU55="",TRUE,IF(input_event_location="",FALSE,SUMPRODUCT(--ISNUMBER(SEARCH(","&amp;TRIM(TEXTSPLIT(CU55,","))&amp;",",","&amp;SUBSTITUTE(input_event_location," ","")&amp;",")))&gt;0)),IF(CW55="",TRUE,IF(input_event_location="",FALSE,SUMPRODUCT(--ISNUMBER(SEARCH(","&amp;TRIM(TEXTSPLIT(CW55,","))&amp;",",","&amp;SUBSTITUTE(input_event_location," ","")&amp;",")))=COUNTA(TEXTSPLIT(CW55,",")))))</f>
        <v/>
      </c>
      <c r="JC55">
        <f>AND(IF(CY55="",TRUE,IF(input_event_type="",FALSE,SUMPRODUCT(--ISNUMBER(SEARCH(","&amp;TRIM(TEXTSPLIT(CY55,","))&amp;",",","&amp;SUBSTITUTE(input_event_type," ","")&amp;",")))&gt;0)),IF(DA55="",TRUE,IF(input_event_type="",FALSE,SUMPRODUCT(--ISNUMBER(SEARCH(","&amp;TRIM(TEXTSPLIT(DA55,","))&amp;",",","&amp;SUBSTITUTE(input_event_type," ","")&amp;",")))=COUNTA(TEXTSPLIT(DA55,",")))),IF(DC55="",TRUE,IF(input_event_type="",TRUE,SUMPRODUCT(--ISNUMBER(SEARCH(","&amp;TRIM(TEXTSPLIT(DC55,","))&amp;",",","&amp;SUBSTITUTE(input_event_type," ","")&amp;",")))=0)),IF(DE55="",TRUE,IF(input_event_type="",FALSE,SUMPRODUCT(--ISNUMBER(SEARCH(","&amp;TRIM(TEXTSPLIT(DE55,","))&amp;",",","&amp;SUBSTITUTE(input_event_type," ","")&amp;",")))&gt;0)),IF(DG55="",TRUE,IF(input_event_type="",FALSE,SUMPRODUCT(--ISNUMBER(SEARCH(","&amp;TRIM(TEXTSPLIT(DG55,","))&amp;",",","&amp;SUBSTITUTE(input_event_type," ","")&amp;",")))=COUNTA(TEXTSPLIT(DG55,",")))))</f>
        <v/>
      </c>
      <c r="JD55">
        <f>AND(IF(DI55="",TRUE,IF(input_executive_education_focus="",FALSE,SUMPRODUCT(--ISNUMBER(SEARCH(","&amp;TRIM(TEXTSPLIT(DI55,","))&amp;",",","&amp;SUBSTITUTE(input_executive_education_focus," ","")&amp;",")))&gt;0)),IF(DK55="",TRUE,IF(input_executive_education_focus="",FALSE,SUMPRODUCT(--ISNUMBER(SEARCH(","&amp;TRIM(TEXTSPLIT(DK55,","))&amp;",",","&amp;SUBSTITUTE(input_executive_education_focus," ","")&amp;",")))=COUNTA(TEXTSPLIT(DK55,",")))),IF(DM55="",TRUE,IF(input_executive_education_focus="",TRUE,SUMPRODUCT(--ISNUMBER(SEARCH(","&amp;TRIM(TEXTSPLIT(DM55,","))&amp;",",","&amp;SUBSTITUTE(input_executive_education_focus," ","")&amp;",")))=0)),IF(DO55="",TRUE,IF(input_executive_education_focus="",FALSE,SUMPRODUCT(--ISNUMBER(SEARCH(","&amp;TRIM(TEXTSPLIT(DO55,","))&amp;",",","&amp;SUBSTITUTE(input_executive_education_focus," ","")&amp;",")))&gt;0)),IF(DQ55="",TRUE,IF(input_executive_education_focus="",FALSE,SUMPRODUCT(--ISNUMBER(SEARCH(","&amp;TRIM(TEXTSPLIT(DQ55,","))&amp;",",","&amp;SUBSTITUTE(input_executive_education_focus," ","")&amp;",")))=COUNTA(TEXTSPLIT(DQ55,",")))))</f>
        <v/>
      </c>
      <c r="JE55">
        <f>AND(IF(DS55="",TRUE,IF(input_faculty_category="",FALSE,SUMPRODUCT(--ISNUMBER(SEARCH(","&amp;TRIM(TEXTSPLIT(DS55,","))&amp;",",","&amp;SUBSTITUTE(input_faculty_category," ","")&amp;",")))&gt;0)),IF(DU55="",TRUE,IF(input_faculty_category="",FALSE,SUMPRODUCT(--ISNUMBER(SEARCH(","&amp;TRIM(TEXTSPLIT(DU55,","))&amp;",",","&amp;SUBSTITUTE(input_faculty_category," ","")&amp;",")))=COUNTA(TEXTSPLIT(DU55,",")))),IF(DW55="",TRUE,IF(input_faculty_category="",TRUE,SUMPRODUCT(--ISNUMBER(SEARCH(","&amp;TRIM(TEXTSPLIT(DW55,","))&amp;",",","&amp;SUBSTITUTE(input_faculty_category," ","")&amp;",")))=0)),IF(DY55="",TRUE,IF(input_faculty_category="",FALSE,SUMPRODUCT(--ISNUMBER(SEARCH(","&amp;TRIM(TEXTSPLIT(DY55,","))&amp;",",","&amp;SUBSTITUTE(input_faculty_category," ","")&amp;",")))&gt;0)),IF(EA55="",TRUE,IF(input_faculty_category="",FALSE,SUMPRODUCT(--ISNUMBER(SEARCH(","&amp;TRIM(TEXTSPLIT(EA55,","))&amp;",",","&amp;SUBSTITUTE(input_faculty_category," ","")&amp;",")))=COUNTA(TEXTSPLIT(EA55,",")))))</f>
        <v/>
      </c>
      <c r="JF55">
        <f>AND(IF(EC55="",TRUE,IF(input_faculty_discipline="",FALSE,SUMPRODUCT(--ISNUMBER(SEARCH(","&amp;TRIM(TEXTSPLIT(EC55,","))&amp;",",","&amp;SUBSTITUTE(input_faculty_discipline," ","")&amp;",")))&gt;0)),IF(EE55="",TRUE,IF(input_faculty_discipline="",FALSE,SUMPRODUCT(--ISNUMBER(SEARCH(","&amp;TRIM(TEXTSPLIT(EE55,","))&amp;",",","&amp;SUBSTITUTE(input_faculty_discipline," ","")&amp;",")))=COUNTA(TEXTSPLIT(EE55,",")))),IF(EG55="",TRUE,IF(input_faculty_discipline="",TRUE,SUMPRODUCT(--ISNUMBER(SEARCH(","&amp;TRIM(TEXTSPLIT(EG55,","))&amp;",",","&amp;SUBSTITUTE(input_faculty_discipline," ","")&amp;",")))=0)),IF(EI55="",TRUE,IF(input_faculty_discipline="",FALSE,SUMPRODUCT(--ISNUMBER(SEARCH(","&amp;TRIM(TEXTSPLIT(EI55,","))&amp;",",","&amp;SUBSTITUTE(input_faculty_discipline," ","")&amp;",")))&gt;0)),IF(EK55="",TRUE,IF(input_faculty_discipline="",FALSE,SUMPRODUCT(--ISNUMBER(SEARCH(","&amp;TRIM(TEXTSPLIT(EK55,","))&amp;",",","&amp;SUBSTITUTE(input_faculty_discipline," ","")&amp;",")))=COUNTA(TEXTSPLIT(EK55,",")))))</f>
        <v/>
      </c>
      <c r="JG55">
        <f>AND(IF(EM55="",TRUE,IF(input_faculty_expertise="",FALSE,SUMPRODUCT(--ISNUMBER(SEARCH(","&amp;TRIM(TEXTSPLIT(EM55,","))&amp;",",","&amp;SUBSTITUTE(input_faculty_expertise," ","")&amp;",")))&gt;0)),IF(EO55="",TRUE,IF(input_faculty_expertise="",FALSE,SUMPRODUCT(--ISNUMBER(SEARCH(","&amp;TRIM(TEXTSPLIT(EO55,","))&amp;",",","&amp;SUBSTITUTE(input_faculty_expertise," ","")&amp;",")))=COUNTA(TEXTSPLIT(EO55,",")))),IF(EQ55="",TRUE,IF(input_faculty_expertise="",TRUE,SUMPRODUCT(--ISNUMBER(SEARCH(","&amp;TRIM(TEXTSPLIT(EQ55,","))&amp;",",","&amp;SUBSTITUTE(input_faculty_expertise," ","")&amp;",")))=0)),IF(ES55="",TRUE,IF(input_faculty_expertise="",FALSE,SUMPRODUCT(--ISNUMBER(SEARCH(","&amp;TRIM(TEXTSPLIT(ES55,","))&amp;",",","&amp;SUBSTITUTE(input_faculty_expertise," ","")&amp;",")))&gt;0)),IF(EU55="",TRUE,IF(input_faculty_expertise="",FALSE,SUMPRODUCT(--ISNUMBER(SEARCH(","&amp;TRIM(TEXTSPLIT(EU55,","))&amp;",",","&amp;SUBSTITUTE(input_faculty_expertise," ","")&amp;",")))=COUNTA(TEXTSPLIT(EU55,",")))))</f>
        <v/>
      </c>
      <c r="JH55">
        <f>AND(IF(EW55="",TRUE,IF(input_global_network_school="",FALSE,SUMPRODUCT(--ISNUMBER(SEARCH(","&amp;TRIM(TEXTSPLIT(EW55,","))&amp;",",","&amp;SUBSTITUTE(input_global_network_school," ","")&amp;",")))&gt;0)),IF(EY55="",TRUE,IF(input_global_network_school="",FALSE,SUMPRODUCT(--ISNUMBER(SEARCH(","&amp;TRIM(TEXTSPLIT(EY55,","))&amp;",",","&amp;SUBSTITUTE(input_global_network_school," ","")&amp;",")))=COUNTA(TEXTSPLIT(EY55,",")))),IF(FA55="",TRUE,IF(input_global_network_school="",TRUE,SUMPRODUCT(--ISNUMBER(SEARCH(","&amp;TRIM(TEXTSPLIT(FA55,","))&amp;",",","&amp;SUBSTITUTE(input_global_network_school," ","")&amp;",")))=0)),IF(FC55="",TRUE,IF(input_global_network_school="",FALSE,SUMPRODUCT(--ISNUMBER(SEARCH(","&amp;TRIM(TEXTSPLIT(FC55,","))&amp;",",","&amp;SUBSTITUTE(input_global_network_school," ","")&amp;",")))&gt;0)),IF(FE55="",TRUE,IF(input_global_network_school="",FALSE,SUMPRODUCT(--ISNUMBER(SEARCH(","&amp;TRIM(TEXTSPLIT(FE55,","))&amp;",",","&amp;SUBSTITUTE(input_global_network_school," ","")&amp;",")))=COUNTA(TEXTSPLIT(FE55,",")))))</f>
        <v/>
      </c>
      <c r="JI55">
        <f>AND(IF(FG55="",TRUE,IF(input_industry="",FALSE,SUMPRODUCT(--ISNUMBER(SEARCH(","&amp;TRIM(TEXTSPLIT(FG55,","))&amp;",",","&amp;SUBSTITUTE(input_industry," ","")&amp;",")))&gt;0)),IF(FI55="",TRUE,IF(input_industry="",FALSE,SUMPRODUCT(--ISNUMBER(SEARCH(","&amp;TRIM(TEXTSPLIT(FI55,","))&amp;",",","&amp;SUBSTITUTE(input_industry," ","")&amp;",")))=COUNTA(TEXTSPLIT(FI55,",")))),IF(FK55="",TRUE,IF(input_industry="",TRUE,SUMPRODUCT(--ISNUMBER(SEARCH(","&amp;TRIM(TEXTSPLIT(FK55,","))&amp;",",","&amp;SUBSTITUTE(input_industry," ","")&amp;",")))=0)),IF(FM55="",TRUE,IF(input_industry="",FALSE,SUMPRODUCT(--ISNUMBER(SEARCH(","&amp;TRIM(TEXTSPLIT(FM55,","))&amp;",",","&amp;SUBSTITUTE(input_industry," ","")&amp;",")))&gt;0)),IF(FO55="",TRUE,IF(input_industry="",FALSE,SUMPRODUCT(--ISNUMBER(SEARCH(","&amp;TRIM(TEXTSPLIT(FO55,","))&amp;",",","&amp;SUBSTITUTE(input_industry," ","")&amp;",")))=COUNTA(TEXTSPLIT(FO55,",")))))</f>
        <v/>
      </c>
      <c r="JJ55">
        <f>AND(IF(FQ55="",TRUE,IF(input_location="",FALSE,SUMPRODUCT(--ISNUMBER(SEARCH(","&amp;TRIM(TEXTSPLIT(FQ55,","))&amp;",",","&amp;SUBSTITUTE(input_location," ","")&amp;",")))&gt;0)),IF(FS55="",TRUE,IF(input_location="",FALSE,SUMPRODUCT(--ISNUMBER(SEARCH(","&amp;TRIM(TEXTSPLIT(FS55,","))&amp;",",","&amp;SUBSTITUTE(input_location," ","")&amp;",")))=COUNTA(TEXTSPLIT(FS55,",")))),IF(FU55="",TRUE,IF(input_location="",TRUE,SUMPRODUCT(--ISNUMBER(SEARCH(","&amp;TRIM(TEXTSPLIT(FU55,","))&amp;",",","&amp;SUBSTITUTE(input_location," ","")&amp;",")))=0)),IF(FW55="",TRUE,IF(input_location="",FALSE,SUMPRODUCT(--ISNUMBER(SEARCH(","&amp;TRIM(TEXTSPLIT(FW55,","))&amp;",",","&amp;SUBSTITUTE(input_location," ","")&amp;",")))&gt;0)),IF(FY55="",TRUE,IF(input_location="",FALSE,SUMPRODUCT(--ISNUMBER(SEARCH(","&amp;TRIM(TEXTSPLIT(FY55,","))&amp;",",","&amp;SUBSTITUTE(input_location," ","")&amp;",")))=COUNTA(TEXTSPLIT(FY55,",")))))</f>
        <v/>
      </c>
      <c r="JK55">
        <f>AND(IF(GA55="",TRUE,IF(input_modality="",FALSE,SUMPRODUCT(--ISNUMBER(SEARCH(","&amp;TRIM(TEXTSPLIT(GA55,","))&amp;",",","&amp;SUBSTITUTE(input_modality," ","")&amp;",")))&gt;0)),IF(GC55="",TRUE,IF(input_modality="",FALSE,SUMPRODUCT(--ISNUMBER(SEARCH(","&amp;TRIM(TEXTSPLIT(GC55,","))&amp;",",","&amp;SUBSTITUTE(input_modality," ","")&amp;",")))=COUNTA(TEXTSPLIT(GC55,",")))),IF(GE55="",TRUE,IF(input_modality="",TRUE,SUMPRODUCT(--ISNUMBER(SEARCH(","&amp;TRIM(TEXTSPLIT(GE55,","))&amp;",",","&amp;SUBSTITUTE(input_modality," ","")&amp;",")))=0)),IF(GG55="",TRUE,IF(input_modality="",FALSE,SUMPRODUCT(--ISNUMBER(SEARCH(","&amp;TRIM(TEXTSPLIT(GG55,","))&amp;",",","&amp;SUBSTITUTE(input_modality," ","")&amp;",")))&gt;0)),IF(GI55="",TRUE,IF(input_modality="",FALSE,SUMPRODUCT(--ISNUMBER(SEARCH(","&amp;TRIM(TEXTSPLIT(GI55,","))&amp;",",","&amp;SUBSTITUTE(input_modality," ","")&amp;",")))=COUNTA(TEXTSPLIT(GI55,",")))))</f>
        <v/>
      </c>
      <c r="JL55">
        <f>AND(IF(GK55="",TRUE,IF(input_organizer="",FALSE,SUMPRODUCT(--ISNUMBER(SEARCH(","&amp;TRIM(TEXTSPLIT(GK55,","))&amp;",",","&amp;SUBSTITUTE(input_organizer," ","")&amp;",")))&gt;0)),IF(GM55="",TRUE,IF(input_organizer="",FALSE,SUMPRODUCT(--ISNUMBER(SEARCH(","&amp;TRIM(TEXTSPLIT(GM55,","))&amp;",",","&amp;SUBSTITUTE(input_organizer," ","")&amp;",")))=COUNTA(TEXTSPLIT(GM55,",")))),IF(GO55="",TRUE,IF(input_organizer="",TRUE,SUMPRODUCT(--ISNUMBER(SEARCH(","&amp;TRIM(TEXTSPLIT(GO55,","))&amp;",",","&amp;SUBSTITUTE(input_organizer," ","")&amp;",")))=0)),IF(GQ55="",TRUE,IF(input_organizer="",FALSE,SUMPRODUCT(--ISNUMBER(SEARCH(","&amp;TRIM(TEXTSPLIT(GQ55,","))&amp;",",","&amp;SUBSTITUTE(input_organizer," ","")&amp;",")))&gt;0)),IF(GS55="",TRUE,IF(input_organizer="",FALSE,SUMPRODUCT(--ISNUMBER(SEARCH(","&amp;TRIM(TEXTSPLIT(GS55,","))&amp;",",","&amp;SUBSTITUTE(input_organizer," ","")&amp;",")))=COUNTA(TEXTSPLIT(GS55,",")))))</f>
        <v/>
      </c>
      <c r="JM55">
        <f>AND(IF(GU55="",TRUE,IF(input_profile_type="",FALSE,SUMPRODUCT(--ISNUMBER(SEARCH(","&amp;TRIM(TEXTSPLIT(GU55,","))&amp;",",","&amp;SUBSTITUTE(input_profile_type," ","")&amp;",")))&gt;0)),IF(GW55="",TRUE,IF(input_profile_type="",FALSE,SUMPRODUCT(--ISNUMBER(SEARCH(","&amp;TRIM(TEXTSPLIT(GW55,","))&amp;",",","&amp;SUBSTITUTE(input_profile_type," ","")&amp;",")))=COUNTA(TEXTSPLIT(GW55,",")))),IF(GY55="",TRUE,IF(input_profile_type="",TRUE,SUMPRODUCT(--ISNUMBER(SEARCH(","&amp;TRIM(TEXTSPLIT(GY55,","))&amp;",",","&amp;SUBSTITUTE(input_profile_type," ","")&amp;",")))=0)),IF(HA55="",TRUE,IF(input_profile_type="",FALSE,SUMPRODUCT(--ISNUMBER(SEARCH(","&amp;TRIM(TEXTSPLIT(HA55,","))&amp;",",","&amp;SUBSTITUTE(input_profile_type," ","")&amp;",")))&gt;0)),IF(HC55="",TRUE,IF(input_profile_type="",FALSE,SUMPRODUCT(--ISNUMBER(SEARCH(","&amp;TRIM(TEXTSPLIT(HC55,","))&amp;",",","&amp;SUBSTITUTE(input_profile_type," ","")&amp;",")))=COUNTA(TEXTSPLIT(HC55,",")))))</f>
        <v/>
      </c>
      <c r="JN55">
        <f>AND(IF(HE55="",TRUE,IF(input_program="",FALSE,SUMPRODUCT(--ISNUMBER(SEARCH(","&amp;TRIM(TEXTSPLIT(HE55,","))&amp;",",","&amp;SUBSTITUTE(input_program," ","")&amp;",")))&gt;0)),IF(HG55="",TRUE,IF(input_program="",FALSE,SUMPRODUCT(--ISNUMBER(SEARCH(","&amp;TRIM(TEXTSPLIT(HG55,","))&amp;",",","&amp;SUBSTITUTE(input_program," ","")&amp;",")))=COUNTA(TEXTSPLIT(HG55,",")))),IF(HI55="",TRUE,IF(input_program="",TRUE,SUMPRODUCT(--ISNUMBER(SEARCH(","&amp;TRIM(TEXTSPLIT(HI55,","))&amp;",",","&amp;SUBSTITUTE(input_program," ","")&amp;",")))=0)),IF(HK55="",TRUE,IF(input_program="",FALSE,SUMPRODUCT(--ISNUMBER(SEARCH(","&amp;TRIM(TEXTSPLIT(HK55,","))&amp;",",","&amp;SUBSTITUTE(input_program," ","")&amp;",")))&gt;0)),IF(HM55="",TRUE,IF(input_program="",FALSE,SUMPRODUCT(--ISNUMBER(SEARCH(","&amp;TRIM(TEXTSPLIT(HM55,","))&amp;",",","&amp;SUBSTITUTE(input_program," ","")&amp;",")))=COUNTA(TEXTSPLIT(HM55,",")))))</f>
        <v/>
      </c>
      <c r="JO55">
        <f>AND(IF(HO55="",TRUE,IF(input_story_categories="",FALSE,SUMPRODUCT(--ISNUMBER(SEARCH(","&amp;TRIM(TEXTSPLIT(HO55,","))&amp;",",","&amp;SUBSTITUTE(input_story_categories," ","")&amp;",")))&gt;0)),IF(HQ55="",TRUE,IF(input_story_categories="",FALSE,SUMPRODUCT(--ISNUMBER(SEARCH(","&amp;TRIM(TEXTSPLIT(HQ55,","))&amp;",",","&amp;SUBSTITUTE(input_story_categories," ","")&amp;",")))=COUNTA(TEXTSPLIT(HQ55,",")))),IF(HS55="",TRUE,IF(input_story_categories="",TRUE,SUMPRODUCT(--ISNUMBER(SEARCH(","&amp;TRIM(TEXTSPLIT(HS55,","))&amp;",",","&amp;SUBSTITUTE(input_story_categories," ","")&amp;",")))=0)),IF(HU55="",TRUE,IF(input_story_categories="",FALSE,SUMPRODUCT(--ISNUMBER(SEARCH(","&amp;TRIM(TEXTSPLIT(HU55,","))&amp;",",","&amp;SUBSTITUTE(input_story_categories," ","")&amp;",")))&gt;0)),IF(HW55="",TRUE,IF(input_story_categories="",FALSE,SUMPRODUCT(--ISNUMBER(SEARCH(","&amp;TRIM(TEXTSPLIT(HW55,","))&amp;",",","&amp;SUBSTITUTE(input_story_categories," ","")&amp;",")))=COUNTA(TEXTSPLIT(HW55,",")))))</f>
        <v/>
      </c>
      <c r="JP55">
        <f>AND(IF(HY55="",TRUE,IF(input_story_type="",FALSE,SUMPRODUCT(--ISNUMBER(SEARCH(","&amp;TRIM(TEXTSPLIT(HY55,","))&amp;",",","&amp;SUBSTITUTE(input_story_type," ","")&amp;",")))&gt;0)),IF(IA55="",TRUE,IF(input_story_type="",FALSE,SUMPRODUCT(--ISNUMBER(SEARCH(","&amp;TRIM(TEXTSPLIT(IA55,","))&amp;",",","&amp;SUBSTITUTE(input_story_type," ","")&amp;",")))=COUNTA(TEXTSPLIT(IA55,",")))),IF(IC55="",TRUE,IF(input_story_type="",TRUE,SUMPRODUCT(--ISNUMBER(SEARCH(","&amp;TRIM(TEXTSPLIT(IC55,","))&amp;",",","&amp;SUBSTITUTE(input_story_type," ","")&amp;",")))=0)),IF(IE55="",TRUE,IF(input_story_type="",FALSE,SUMPRODUCT(--ISNUMBER(SEARCH(","&amp;TRIM(TEXTSPLIT(IE55,","))&amp;",",","&amp;SUBSTITUTE(input_story_type," ","")&amp;",")))&gt;0)),IF(IG55="",TRUE,IF(input_story_type="",FALSE,SUMPRODUCT(--ISNUMBER(SEARCH(","&amp;TRIM(TEXTSPLIT(IG55,","))&amp;",",","&amp;SUBSTITUTE(input_story_type," ","")&amp;",")))=COUNTA(TEXTSPLIT(IG55,",")))))</f>
        <v/>
      </c>
      <c r="JQ55">
        <f>AND(IF(II55="",TRUE,IF(input_topics="",FALSE,SUMPRODUCT(--ISNUMBER(SEARCH(","&amp;TRIM(TEXTSPLIT(II55,","))&amp;",",","&amp;SUBSTITUTE(input_topics," ","")&amp;",")))&gt;0)),IF(IK55="",TRUE,IF(input_topics="",FALSE,SUMPRODUCT(--ISNUMBER(SEARCH(","&amp;TRIM(TEXTSPLIT(IK55,","))&amp;",",","&amp;SUBSTITUTE(input_topics," ","")&amp;",")))=COUNTA(TEXTSPLIT(IK55,",")))),IF(IM55="",TRUE,IF(input_topics="",TRUE,SUMPRODUCT(--ISNUMBER(SEARCH(","&amp;TRIM(TEXTSPLIT(IM55,","))&amp;",",","&amp;SUBSTITUTE(input_topics," ","")&amp;",")))=0)),IF(IO55="",TRUE,IF(input_topics="",FALSE,SUMPRODUCT(--ISNUMBER(SEARCH(","&amp;TRIM(TEXTSPLIT(IO55,","))&amp;",",","&amp;SUBSTITUTE(input_topics," ","")&amp;",")))&gt;0)),IF(IQ55="",TRUE,IF(input_topics="",FALSE,SUMPRODUCT(--ISNUMBER(SEARCH(","&amp;TRIM(TEXTSPLIT(IQ55,","))&amp;",",","&amp;SUBSTITUTE(input_topics," ","")&amp;",")))=COUNTA(TEXTSPLIT(IQ55,",")))))</f>
        <v/>
      </c>
    </row>
    <row r="56">
      <c r="A56" s="4">
        <f>IF(NOT(IS56),"Excluded",IF(AND(IT56,IU56,IV56,IW56,IX56,IY56,IZ56,JA56,JB56,JC56,JD56,JE56,JF56,JG56,JH56,JI56,JJ56,JK56,JL56,JM56,JN56,JO56,JP56,JQ56),IF(I56&gt;0,"Eligible but limited","Will appear"),"Excluded"))</f>
        <v/>
      </c>
      <c r="B56" s="4" t="inlineStr">
        <is>
          <t>All Publications by Author</t>
        </is>
      </c>
      <c r="C56" s="4" t="inlineStr">
        <is>
          <t>/faculty-research/faculty-directory/zeqiong-huang</t>
        </is>
      </c>
      <c r="D56" s="4" t="inlineStr">
        <is>
          <t>/faculty-research/faculty-directory/zeqiong-huang</t>
        </is>
      </c>
      <c r="E56" s="4" t="n">
        <v>1</v>
      </c>
      <c r="F56" s="4" t="inlineStr">
        <is>
          <t>publications</t>
        </is>
      </c>
      <c r="G56" s="4" t="inlineStr">
        <is>
          <t>publication_teaser_list</t>
        </is>
      </c>
      <c r="H56" s="4" t="inlineStr">
        <is>
          <t>publication_teaser_list_all_by_author</t>
        </is>
      </c>
      <c r="I56" s="4" t="inlineStr"/>
      <c r="J56" s="4" t="inlineStr">
        <is>
          <t>View/config rules</t>
        </is>
      </c>
      <c r="K56" s="4" t="inlineStr">
        <is>
          <t>Page placement</t>
        </is>
      </c>
      <c r="L56" s="4" t="inlineStr">
        <is>
          <t>Content type: publications; Source: View/config rules</t>
        </is>
      </c>
      <c r="M56" t="inlineStr"/>
      <c r="N56" t="inlineStr"/>
      <c r="O56" t="inlineStr"/>
      <c r="P56" t="inlineStr"/>
      <c r="Q56" t="inlineStr"/>
      <c r="R56" t="inlineStr"/>
      <c r="S56" t="inlineStr"/>
      <c r="T56" t="inlineStr"/>
      <c r="U56" t="inlineStr"/>
      <c r="V56" t="inlineStr"/>
      <c r="W56" t="inlineStr"/>
      <c r="X56" t="inlineStr"/>
      <c r="Y56" t="inlineStr"/>
      <c r="Z56" t="inlineStr"/>
      <c r="AA56" t="inlineStr"/>
      <c r="AB56" t="inlineStr"/>
      <c r="AC56" t="inlineStr"/>
      <c r="AD56" t="inlineStr"/>
      <c r="AE56" t="inlineStr"/>
      <c r="AF56" t="inlineStr"/>
      <c r="AG56" t="inlineStr"/>
      <c r="AH56" t="inlineStr"/>
      <c r="AI56" t="inlineStr"/>
      <c r="AJ56" t="inlineStr"/>
      <c r="AK56" t="inlineStr"/>
      <c r="AL56" t="inlineStr"/>
      <c r="AM56" t="inlineStr"/>
      <c r="AN56" t="inlineStr"/>
      <c r="AO56" t="inlineStr"/>
      <c r="AP56" t="inlineStr"/>
      <c r="AQ56" t="inlineStr"/>
      <c r="AR56" t="inlineStr"/>
      <c r="AS56" t="inlineStr"/>
      <c r="AT56" t="inlineStr"/>
      <c r="AU56" t="inlineStr"/>
      <c r="AV56" t="inlineStr"/>
      <c r="AW56" t="inlineStr"/>
      <c r="AX56" t="inlineStr"/>
      <c r="AY56" t="inlineStr"/>
      <c r="AZ56" t="inlineStr"/>
      <c r="BA56" t="inlineStr"/>
      <c r="BB56" t="inlineStr"/>
      <c r="BC56" t="inlineStr"/>
      <c r="BD56" t="inlineStr"/>
      <c r="BE56" t="inlineStr"/>
      <c r="BF56" t="inlineStr"/>
      <c r="BG56" t="inlineStr"/>
      <c r="BH56" t="inlineStr"/>
      <c r="BI56" t="inlineStr"/>
      <c r="BJ56" t="inlineStr"/>
      <c r="BK56" t="inlineStr"/>
      <c r="BL56" t="inlineStr"/>
      <c r="BM56" t="inlineStr"/>
      <c r="BN56" t="inlineStr"/>
      <c r="BO56" t="inlineStr"/>
      <c r="BP56" t="inlineStr"/>
      <c r="BQ56" t="inlineStr"/>
      <c r="BR56" t="inlineStr"/>
      <c r="BS56" t="inlineStr"/>
      <c r="BT56" t="inlineStr"/>
      <c r="BU56" t="inlineStr"/>
      <c r="BV56" t="inlineStr"/>
      <c r="BW56" t="inlineStr"/>
      <c r="BX56" t="inlineStr"/>
      <c r="BY56" t="inlineStr"/>
      <c r="BZ56" t="inlineStr"/>
      <c r="CA56" t="inlineStr"/>
      <c r="CB56" t="inlineStr"/>
      <c r="CC56" t="inlineStr"/>
      <c r="CD56" t="inlineStr"/>
      <c r="CE56" t="inlineStr"/>
      <c r="CF56" t="inlineStr"/>
      <c r="CG56" t="inlineStr"/>
      <c r="CH56" t="inlineStr"/>
      <c r="CI56" t="inlineStr"/>
      <c r="CJ56" t="inlineStr"/>
      <c r="CK56" t="inlineStr"/>
      <c r="CL56" t="inlineStr"/>
      <c r="CM56" t="inlineStr"/>
      <c r="CN56" t="inlineStr"/>
      <c r="CO56" t="inlineStr"/>
      <c r="CP56" t="inlineStr"/>
      <c r="CQ56" t="inlineStr"/>
      <c r="CR56" t="inlineStr"/>
      <c r="CS56" t="inlineStr"/>
      <c r="CT56" t="inlineStr"/>
      <c r="CU56" t="inlineStr"/>
      <c r="CV56" t="inlineStr"/>
      <c r="CW56" t="inlineStr"/>
      <c r="CX56" t="inlineStr"/>
      <c r="CY56" t="inlineStr"/>
      <c r="CZ56" t="inlineStr"/>
      <c r="DA56" t="inlineStr"/>
      <c r="DB56" t="inlineStr"/>
      <c r="DC56" t="inlineStr"/>
      <c r="DD56" t="inlineStr"/>
      <c r="DE56" t="inlineStr"/>
      <c r="DF56" t="inlineStr"/>
      <c r="DG56" t="inlineStr"/>
      <c r="DH56" t="inlineStr"/>
      <c r="DI56" t="inlineStr"/>
      <c r="DJ56" t="inlineStr"/>
      <c r="DK56" t="inlineStr"/>
      <c r="DL56" t="inlineStr"/>
      <c r="DM56" t="inlineStr"/>
      <c r="DN56" t="inlineStr"/>
      <c r="DO56" t="inlineStr"/>
      <c r="DP56" t="inlineStr"/>
      <c r="DQ56" t="inlineStr"/>
      <c r="DR56" t="inlineStr"/>
      <c r="DS56" t="inlineStr"/>
      <c r="DT56" t="inlineStr"/>
      <c r="DU56" t="inlineStr"/>
      <c r="DV56" t="inlineStr"/>
      <c r="DW56" t="inlineStr"/>
      <c r="DX56" t="inlineStr"/>
      <c r="DY56" t="inlineStr"/>
      <c r="DZ56" t="inlineStr"/>
      <c r="EA56" t="inlineStr"/>
      <c r="EB56" t="inlineStr"/>
      <c r="EC56" t="inlineStr"/>
      <c r="ED56" t="inlineStr"/>
      <c r="EE56" t="inlineStr"/>
      <c r="EF56" t="inlineStr"/>
      <c r="EG56" t="inlineStr"/>
      <c r="EH56" t="inlineStr"/>
      <c r="EI56" t="inlineStr"/>
      <c r="EJ56" t="inlineStr"/>
      <c r="EK56" t="inlineStr"/>
      <c r="EL56" t="inlineStr"/>
      <c r="EM56" t="inlineStr"/>
      <c r="EN56" t="inlineStr"/>
      <c r="EO56" t="inlineStr"/>
      <c r="EP56" t="inlineStr"/>
      <c r="EQ56" t="inlineStr"/>
      <c r="ER56" t="inlineStr"/>
      <c r="ES56" t="inlineStr"/>
      <c r="ET56" t="inlineStr"/>
      <c r="EU56" t="inlineStr"/>
      <c r="EV56" t="inlineStr"/>
      <c r="EW56" t="inlineStr"/>
      <c r="EX56" t="inlineStr"/>
      <c r="EY56" t="inlineStr"/>
      <c r="EZ56" t="inlineStr"/>
      <c r="FA56" t="inlineStr"/>
      <c r="FB56" t="inlineStr"/>
      <c r="FC56" t="inlineStr"/>
      <c r="FD56" t="inlineStr"/>
      <c r="FE56" t="inlineStr"/>
      <c r="FF56" t="inlineStr"/>
      <c r="FG56" t="inlineStr"/>
      <c r="FH56" t="inlineStr"/>
      <c r="FI56" t="inlineStr"/>
      <c r="FJ56" t="inlineStr"/>
      <c r="FK56" t="inlineStr"/>
      <c r="FL56" t="inlineStr"/>
      <c r="FM56" t="inlineStr"/>
      <c r="FN56" t="inlineStr"/>
      <c r="FO56" t="inlineStr"/>
      <c r="FP56" t="inlineStr"/>
      <c r="FQ56" t="inlineStr"/>
      <c r="FR56" t="inlineStr"/>
      <c r="FS56" t="inlineStr"/>
      <c r="FT56" t="inlineStr"/>
      <c r="FU56" t="inlineStr"/>
      <c r="FV56" t="inlineStr"/>
      <c r="FW56" t="inlineStr"/>
      <c r="FX56" t="inlineStr"/>
      <c r="FY56" t="inlineStr"/>
      <c r="FZ56" t="inlineStr"/>
      <c r="GA56" t="inlineStr"/>
      <c r="GB56" t="inlineStr"/>
      <c r="GC56" t="inlineStr"/>
      <c r="GD56" t="inlineStr"/>
      <c r="GE56" t="inlineStr"/>
      <c r="GF56" t="inlineStr"/>
      <c r="GG56" t="inlineStr"/>
      <c r="GH56" t="inlineStr"/>
      <c r="GI56" t="inlineStr"/>
      <c r="GJ56" t="inlineStr"/>
      <c r="GK56" t="inlineStr"/>
      <c r="GL56" t="inlineStr"/>
      <c r="GM56" t="inlineStr"/>
      <c r="GN56" t="inlineStr"/>
      <c r="GO56" t="inlineStr"/>
      <c r="GP56" t="inlineStr"/>
      <c r="GQ56" t="inlineStr"/>
      <c r="GR56" t="inlineStr"/>
      <c r="GS56" t="inlineStr"/>
      <c r="GT56" t="inlineStr"/>
      <c r="GU56" t="inlineStr"/>
      <c r="GV56" t="inlineStr"/>
      <c r="GW56" t="inlineStr"/>
      <c r="GX56" t="inlineStr"/>
      <c r="GY56" t="inlineStr"/>
      <c r="GZ56" t="inlineStr"/>
      <c r="HA56" t="inlineStr"/>
      <c r="HB56" t="inlineStr"/>
      <c r="HC56" t="inlineStr"/>
      <c r="HD56" t="inlineStr"/>
      <c r="HE56" t="inlineStr"/>
      <c r="HF56" t="inlineStr"/>
      <c r="HG56" t="inlineStr"/>
      <c r="HH56" t="inlineStr"/>
      <c r="HI56" t="inlineStr"/>
      <c r="HJ56" t="inlineStr"/>
      <c r="HK56" t="inlineStr"/>
      <c r="HL56" t="inlineStr"/>
      <c r="HM56" t="inlineStr"/>
      <c r="HN56" t="inlineStr"/>
      <c r="HO56" t="inlineStr"/>
      <c r="HP56" t="inlineStr"/>
      <c r="HQ56" t="inlineStr"/>
      <c r="HR56" t="inlineStr"/>
      <c r="HS56" t="inlineStr"/>
      <c r="HT56" t="inlineStr"/>
      <c r="HU56" t="inlineStr"/>
      <c r="HV56" t="inlineStr"/>
      <c r="HW56" t="inlineStr"/>
      <c r="HX56" t="inlineStr"/>
      <c r="HY56" t="inlineStr"/>
      <c r="HZ56" t="inlineStr"/>
      <c r="IA56" t="inlineStr"/>
      <c r="IB56" t="inlineStr"/>
      <c r="IC56" t="inlineStr"/>
      <c r="ID56" t="inlineStr"/>
      <c r="IE56" t="inlineStr"/>
      <c r="IF56" t="inlineStr"/>
      <c r="IG56" t="inlineStr"/>
      <c r="IH56" t="inlineStr"/>
      <c r="II56" t="inlineStr"/>
      <c r="IJ56" t="inlineStr"/>
      <c r="IK56" t="inlineStr"/>
      <c r="IL56" t="inlineStr"/>
      <c r="IM56" t="inlineStr"/>
      <c r="IN56" t="inlineStr"/>
      <c r="IO56" t="inlineStr"/>
      <c r="IP56" t="inlineStr"/>
      <c r="IQ56" t="inlineStr"/>
      <c r="IR56" t="inlineStr"/>
      <c r="IS56">
        <f>IF(input_content_type="",FALSE,ISNUMBER(SEARCH(","&amp;LOWER(input_content_type)&amp;",",","&amp;LOWER(F56)&amp;",")))</f>
        <v/>
      </c>
      <c r="IT56">
        <f>AND(IF(M56="",TRUE,IF(input_affiliations="",FALSE,SUMPRODUCT(--ISNUMBER(SEARCH(","&amp;TRIM(TEXTSPLIT(M56,","))&amp;",",","&amp;SUBSTITUTE(input_affiliations," ","")&amp;",")))&gt;0)),IF(O56="",TRUE,IF(input_affiliations="",FALSE,SUMPRODUCT(--ISNUMBER(SEARCH(","&amp;TRIM(TEXTSPLIT(O56,","))&amp;",",","&amp;SUBSTITUTE(input_affiliations," ","")&amp;",")))=COUNTA(TEXTSPLIT(O56,",")))),IF(Q56="",TRUE,IF(input_affiliations="",TRUE,SUMPRODUCT(--ISNUMBER(SEARCH(","&amp;TRIM(TEXTSPLIT(Q56,","))&amp;",",","&amp;SUBSTITUTE(input_affiliations," ","")&amp;",")))=0)),IF(S56="",TRUE,IF(input_affiliations="",FALSE,SUMPRODUCT(--ISNUMBER(SEARCH(","&amp;TRIM(TEXTSPLIT(S56,","))&amp;",",","&amp;SUBSTITUTE(input_affiliations," ","")&amp;",")))&gt;0)),IF(U56="",TRUE,IF(input_affiliations="",FALSE,SUMPRODUCT(--ISNUMBER(SEARCH(","&amp;TRIM(TEXTSPLIT(U56,","))&amp;",",","&amp;SUBSTITUTE(input_affiliations," ","")&amp;",")))=COUNTA(TEXTSPLIT(U56,",")))))</f>
        <v/>
      </c>
      <c r="IU56">
        <f>AND(IF(W56="",TRUE,IF(input_announcement_category="",FALSE,SUMPRODUCT(--ISNUMBER(SEARCH(","&amp;TRIM(TEXTSPLIT(W56,","))&amp;",",","&amp;SUBSTITUTE(input_announcement_category," ","")&amp;",")))&gt;0)),IF(Y56="",TRUE,IF(input_announcement_category="",FALSE,SUMPRODUCT(--ISNUMBER(SEARCH(","&amp;TRIM(TEXTSPLIT(Y56,","))&amp;",",","&amp;SUBSTITUTE(input_announcement_category," ","")&amp;",")))=COUNTA(TEXTSPLIT(Y56,",")))),IF(AA56="",TRUE,IF(input_announcement_category="",TRUE,SUMPRODUCT(--ISNUMBER(SEARCH(","&amp;TRIM(TEXTSPLIT(AA56,","))&amp;",",","&amp;SUBSTITUTE(input_announcement_category," ","")&amp;",")))=0)),IF(AC56="",TRUE,IF(input_announcement_category="",FALSE,SUMPRODUCT(--ISNUMBER(SEARCH(","&amp;TRIM(TEXTSPLIT(AC56,","))&amp;",",","&amp;SUBSTITUTE(input_announcement_category," ","")&amp;",")))&gt;0)),IF(AE56="",TRUE,IF(input_announcement_category="",FALSE,SUMPRODUCT(--ISNUMBER(SEARCH(","&amp;TRIM(TEXTSPLIT(AE56,","))&amp;",",","&amp;SUBSTITUTE(input_announcement_category," ","")&amp;",")))=COUNTA(TEXTSPLIT(AE56,",")))))</f>
        <v/>
      </c>
      <c r="IV56">
        <f>AND(IF(AG56="",TRUE,IF(input_area_of_focus="",FALSE,SUMPRODUCT(--ISNUMBER(SEARCH(","&amp;TRIM(TEXTSPLIT(AG56,","))&amp;",",","&amp;SUBSTITUTE(input_area_of_focus," ","")&amp;",")))&gt;0)),IF(AI56="",TRUE,IF(input_area_of_focus="",FALSE,SUMPRODUCT(--ISNUMBER(SEARCH(","&amp;TRIM(TEXTSPLIT(AI56,","))&amp;",",","&amp;SUBSTITUTE(input_area_of_focus," ","")&amp;",")))=COUNTA(TEXTSPLIT(AI56,",")))),IF(AK56="",TRUE,IF(input_area_of_focus="",TRUE,SUMPRODUCT(--ISNUMBER(SEARCH(","&amp;TRIM(TEXTSPLIT(AK56,","))&amp;",",","&amp;SUBSTITUTE(input_area_of_focus," ","")&amp;",")))=0)),IF(AM56="",TRUE,IF(input_area_of_focus="",FALSE,SUMPRODUCT(--ISNUMBER(SEARCH(","&amp;TRIM(TEXTSPLIT(AM56,","))&amp;",",","&amp;SUBSTITUTE(input_area_of_focus," ","")&amp;",")))&gt;0)),IF(AO56="",TRUE,IF(input_area_of_focus="",FALSE,SUMPRODUCT(--ISNUMBER(SEARCH(","&amp;TRIM(TEXTSPLIT(AO56,","))&amp;",",","&amp;SUBSTITUTE(input_area_of_focus," ","")&amp;",")))=COUNTA(TEXTSPLIT(AO56,",")))))</f>
        <v/>
      </c>
      <c r="IW56">
        <f>AND(IF(AQ56="",TRUE,IF(input_audience="",FALSE,SUMPRODUCT(--ISNUMBER(SEARCH(","&amp;TRIM(TEXTSPLIT(AQ56,","))&amp;",",","&amp;SUBSTITUTE(input_audience," ","")&amp;",")))&gt;0)),IF(AS56="",TRUE,IF(input_audience="",FALSE,SUMPRODUCT(--ISNUMBER(SEARCH(","&amp;TRIM(TEXTSPLIT(AS56,","))&amp;",",","&amp;SUBSTITUTE(input_audience," ","")&amp;",")))=COUNTA(TEXTSPLIT(AS56,",")))),IF(AU56="",TRUE,IF(input_audience="",TRUE,SUMPRODUCT(--ISNUMBER(SEARCH(","&amp;TRIM(TEXTSPLIT(AU56,","))&amp;",",","&amp;SUBSTITUTE(input_audience," ","")&amp;",")))=0)),IF(AW56="",TRUE,IF(input_audience="",FALSE,SUMPRODUCT(--ISNUMBER(SEARCH(","&amp;TRIM(TEXTSPLIT(AW56,","))&amp;",",","&amp;SUBSTITUTE(input_audience," ","")&amp;",")))&gt;0)),IF(AY56="",TRUE,IF(input_audience="",FALSE,SUMPRODUCT(--ISNUMBER(SEARCH(","&amp;TRIM(TEXTSPLIT(AY56,","))&amp;",",","&amp;SUBSTITUTE(input_audience," ","")&amp;",")))=COUNTA(TEXTSPLIT(AY56,",")))))</f>
        <v/>
      </c>
      <c r="IX56">
        <f>AND(IF(BA56="",TRUE,IF(input_challenge_opportunities="",FALSE,SUMPRODUCT(--ISNUMBER(SEARCH(","&amp;TRIM(TEXTSPLIT(BA56,","))&amp;",",","&amp;SUBSTITUTE(input_challenge_opportunities," ","")&amp;",")))&gt;0)),IF(BC56="",TRUE,IF(input_challenge_opportunities="",FALSE,SUMPRODUCT(--ISNUMBER(SEARCH(","&amp;TRIM(TEXTSPLIT(BC56,","))&amp;",",","&amp;SUBSTITUTE(input_challenge_opportunities," ","")&amp;",")))=COUNTA(TEXTSPLIT(BC56,",")))),IF(BE56="",TRUE,IF(input_challenge_opportunities="",TRUE,SUMPRODUCT(--ISNUMBER(SEARCH(","&amp;TRIM(TEXTSPLIT(BE56,","))&amp;",",","&amp;SUBSTITUTE(input_challenge_opportunities," ","")&amp;",")))=0)),IF(BG56="",TRUE,IF(input_challenge_opportunities="",FALSE,SUMPRODUCT(--ISNUMBER(SEARCH(","&amp;TRIM(TEXTSPLIT(BG56,","))&amp;",",","&amp;SUBSTITUTE(input_challenge_opportunities," ","")&amp;",")))&gt;0)),IF(BI56="",TRUE,IF(input_challenge_opportunities="",FALSE,SUMPRODUCT(--ISNUMBER(SEARCH(","&amp;TRIM(TEXTSPLIT(BI56,","))&amp;",",","&amp;SUBSTITUTE(input_challenge_opportunities," ","")&amp;",")))=COUNTA(TEXTSPLIT(BI56,",")))))</f>
        <v/>
      </c>
      <c r="IY56">
        <f>AND(IF(BK56="",TRUE,IF(input_context="",FALSE,SUMPRODUCT(--ISNUMBER(SEARCH(","&amp;TRIM(TEXTSPLIT(BK56,","))&amp;",",","&amp;SUBSTITUTE(input_context," ","")&amp;",")))&gt;0)),IF(BM56="",TRUE,IF(input_context="",FALSE,SUMPRODUCT(--ISNUMBER(SEARCH(","&amp;TRIM(TEXTSPLIT(BM56,","))&amp;",",","&amp;SUBSTITUTE(input_context," ","")&amp;",")))=COUNTA(TEXTSPLIT(BM56,",")))),IF(BO56="",TRUE,IF(input_context="",TRUE,SUMPRODUCT(--ISNUMBER(SEARCH(","&amp;TRIM(TEXTSPLIT(BO56,","))&amp;",",","&amp;SUBSTITUTE(input_context," ","")&amp;",")))=0)),IF(BQ56="",TRUE,IF(input_context="",FALSE,SUMPRODUCT(--ISNUMBER(SEARCH(","&amp;TRIM(TEXTSPLIT(BQ56,","))&amp;",",","&amp;SUBSTITUTE(input_context," ","")&amp;",")))&gt;0)),IF(BS56="",TRUE,IF(input_context="",FALSE,SUMPRODUCT(--ISNUMBER(SEARCH(","&amp;TRIM(TEXTSPLIT(BS56,","))&amp;",",","&amp;SUBSTITUTE(input_context," ","")&amp;",")))=COUNTA(TEXTSPLIT(BS56,",")))))</f>
        <v/>
      </c>
      <c r="IZ56">
        <f>AND(IF(BU56="",TRUE,IF(input_enews_announcement_type="",FALSE,SUMPRODUCT(--ISNUMBER(SEARCH(","&amp;TRIM(TEXTSPLIT(BU56,","))&amp;",",","&amp;SUBSTITUTE(input_enews_announcement_type," ","")&amp;",")))&gt;0)),IF(BW56="",TRUE,IF(input_enews_announcement_type="",FALSE,SUMPRODUCT(--ISNUMBER(SEARCH(","&amp;TRIM(TEXTSPLIT(BW56,","))&amp;",",","&amp;SUBSTITUTE(input_enews_announcement_type," ","")&amp;",")))=COUNTA(TEXTSPLIT(BW56,",")))),IF(BY56="",TRUE,IF(input_enews_announcement_type="",TRUE,SUMPRODUCT(--ISNUMBER(SEARCH(","&amp;TRIM(TEXTSPLIT(BY56,","))&amp;",",","&amp;SUBSTITUTE(input_enews_announcement_type," ","")&amp;",")))=0)),IF(CA56="",TRUE,IF(input_enews_announcement_type="",FALSE,SUMPRODUCT(--ISNUMBER(SEARCH(","&amp;TRIM(TEXTSPLIT(CA56,","))&amp;",",","&amp;SUBSTITUTE(input_enews_announcement_type," ","")&amp;",")))&gt;0)),IF(CC56="",TRUE,IF(input_enews_announcement_type="",FALSE,SUMPRODUCT(--ISNUMBER(SEARCH(","&amp;TRIM(TEXTSPLIT(CC56,","))&amp;",",","&amp;SUBSTITUTE(input_enews_announcement_type," ","")&amp;",")))=COUNTA(TEXTSPLIT(CC56,",")))))</f>
        <v/>
      </c>
      <c r="JA56">
        <f>AND(IF(CE56="",TRUE,IF(input_enews_audience="",FALSE,SUMPRODUCT(--ISNUMBER(SEARCH(","&amp;TRIM(TEXTSPLIT(CE56,","))&amp;",",","&amp;SUBSTITUTE(input_enews_audience," ","")&amp;",")))&gt;0)),IF(CG56="",TRUE,IF(input_enews_audience="",FALSE,SUMPRODUCT(--ISNUMBER(SEARCH(","&amp;TRIM(TEXTSPLIT(CG56,","))&amp;",",","&amp;SUBSTITUTE(input_enews_audience," ","")&amp;",")))=COUNTA(TEXTSPLIT(CG56,",")))),IF(CI56="",TRUE,IF(input_enews_audience="",TRUE,SUMPRODUCT(--ISNUMBER(SEARCH(","&amp;TRIM(TEXTSPLIT(CI56,","))&amp;",",","&amp;SUBSTITUTE(input_enews_audience," ","")&amp;",")))=0)),IF(CK56="",TRUE,IF(input_enews_audience="",FALSE,SUMPRODUCT(--ISNUMBER(SEARCH(","&amp;TRIM(TEXTSPLIT(CK56,","))&amp;",",","&amp;SUBSTITUTE(input_enews_audience," ","")&amp;",")))&gt;0)),IF(CM56="",TRUE,IF(input_enews_audience="",FALSE,SUMPRODUCT(--ISNUMBER(SEARCH(","&amp;TRIM(TEXTSPLIT(CM56,","))&amp;",",","&amp;SUBSTITUTE(input_enews_audience," ","")&amp;",")))=COUNTA(TEXTSPLIT(CM56,",")))))</f>
        <v/>
      </c>
      <c r="JB56">
        <f>AND(IF(CO56="",TRUE,IF(input_event_location="",FALSE,SUMPRODUCT(--ISNUMBER(SEARCH(","&amp;TRIM(TEXTSPLIT(CO56,","))&amp;",",","&amp;SUBSTITUTE(input_event_location," ","")&amp;",")))&gt;0)),IF(CQ56="",TRUE,IF(input_event_location="",FALSE,SUMPRODUCT(--ISNUMBER(SEARCH(","&amp;TRIM(TEXTSPLIT(CQ56,","))&amp;",",","&amp;SUBSTITUTE(input_event_location," ","")&amp;",")))=COUNTA(TEXTSPLIT(CQ56,",")))),IF(CS56="",TRUE,IF(input_event_location="",TRUE,SUMPRODUCT(--ISNUMBER(SEARCH(","&amp;TRIM(TEXTSPLIT(CS56,","))&amp;",",","&amp;SUBSTITUTE(input_event_location," ","")&amp;",")))=0)),IF(CU56="",TRUE,IF(input_event_location="",FALSE,SUMPRODUCT(--ISNUMBER(SEARCH(","&amp;TRIM(TEXTSPLIT(CU56,","))&amp;",",","&amp;SUBSTITUTE(input_event_location," ","")&amp;",")))&gt;0)),IF(CW56="",TRUE,IF(input_event_location="",FALSE,SUMPRODUCT(--ISNUMBER(SEARCH(","&amp;TRIM(TEXTSPLIT(CW56,","))&amp;",",","&amp;SUBSTITUTE(input_event_location," ","")&amp;",")))=COUNTA(TEXTSPLIT(CW56,",")))))</f>
        <v/>
      </c>
      <c r="JC56">
        <f>AND(IF(CY56="",TRUE,IF(input_event_type="",FALSE,SUMPRODUCT(--ISNUMBER(SEARCH(","&amp;TRIM(TEXTSPLIT(CY56,","))&amp;",",","&amp;SUBSTITUTE(input_event_type," ","")&amp;",")))&gt;0)),IF(DA56="",TRUE,IF(input_event_type="",FALSE,SUMPRODUCT(--ISNUMBER(SEARCH(","&amp;TRIM(TEXTSPLIT(DA56,","))&amp;",",","&amp;SUBSTITUTE(input_event_type," ","")&amp;",")))=COUNTA(TEXTSPLIT(DA56,",")))),IF(DC56="",TRUE,IF(input_event_type="",TRUE,SUMPRODUCT(--ISNUMBER(SEARCH(","&amp;TRIM(TEXTSPLIT(DC56,","))&amp;",",","&amp;SUBSTITUTE(input_event_type," ","")&amp;",")))=0)),IF(DE56="",TRUE,IF(input_event_type="",FALSE,SUMPRODUCT(--ISNUMBER(SEARCH(","&amp;TRIM(TEXTSPLIT(DE56,","))&amp;",",","&amp;SUBSTITUTE(input_event_type," ","")&amp;",")))&gt;0)),IF(DG56="",TRUE,IF(input_event_type="",FALSE,SUMPRODUCT(--ISNUMBER(SEARCH(","&amp;TRIM(TEXTSPLIT(DG56,","))&amp;",",","&amp;SUBSTITUTE(input_event_type," ","")&amp;",")))=COUNTA(TEXTSPLIT(DG56,",")))))</f>
        <v/>
      </c>
      <c r="JD56">
        <f>AND(IF(DI56="",TRUE,IF(input_executive_education_focus="",FALSE,SUMPRODUCT(--ISNUMBER(SEARCH(","&amp;TRIM(TEXTSPLIT(DI56,","))&amp;",",","&amp;SUBSTITUTE(input_executive_education_focus," ","")&amp;",")))&gt;0)),IF(DK56="",TRUE,IF(input_executive_education_focus="",FALSE,SUMPRODUCT(--ISNUMBER(SEARCH(","&amp;TRIM(TEXTSPLIT(DK56,","))&amp;",",","&amp;SUBSTITUTE(input_executive_education_focus," ","")&amp;",")))=COUNTA(TEXTSPLIT(DK56,",")))),IF(DM56="",TRUE,IF(input_executive_education_focus="",TRUE,SUMPRODUCT(--ISNUMBER(SEARCH(","&amp;TRIM(TEXTSPLIT(DM56,","))&amp;",",","&amp;SUBSTITUTE(input_executive_education_focus," ","")&amp;",")))=0)),IF(DO56="",TRUE,IF(input_executive_education_focus="",FALSE,SUMPRODUCT(--ISNUMBER(SEARCH(","&amp;TRIM(TEXTSPLIT(DO56,","))&amp;",",","&amp;SUBSTITUTE(input_executive_education_focus," ","")&amp;",")))&gt;0)),IF(DQ56="",TRUE,IF(input_executive_education_focus="",FALSE,SUMPRODUCT(--ISNUMBER(SEARCH(","&amp;TRIM(TEXTSPLIT(DQ56,","))&amp;",",","&amp;SUBSTITUTE(input_executive_education_focus," ","")&amp;",")))=COUNTA(TEXTSPLIT(DQ56,",")))))</f>
        <v/>
      </c>
      <c r="JE56">
        <f>AND(IF(DS56="",TRUE,IF(input_faculty_category="",FALSE,SUMPRODUCT(--ISNUMBER(SEARCH(","&amp;TRIM(TEXTSPLIT(DS56,","))&amp;",",","&amp;SUBSTITUTE(input_faculty_category," ","")&amp;",")))&gt;0)),IF(DU56="",TRUE,IF(input_faculty_category="",FALSE,SUMPRODUCT(--ISNUMBER(SEARCH(","&amp;TRIM(TEXTSPLIT(DU56,","))&amp;",",","&amp;SUBSTITUTE(input_faculty_category," ","")&amp;",")))=COUNTA(TEXTSPLIT(DU56,",")))),IF(DW56="",TRUE,IF(input_faculty_category="",TRUE,SUMPRODUCT(--ISNUMBER(SEARCH(","&amp;TRIM(TEXTSPLIT(DW56,","))&amp;",",","&amp;SUBSTITUTE(input_faculty_category," ","")&amp;",")))=0)),IF(DY56="",TRUE,IF(input_faculty_category="",FALSE,SUMPRODUCT(--ISNUMBER(SEARCH(","&amp;TRIM(TEXTSPLIT(DY56,","))&amp;",",","&amp;SUBSTITUTE(input_faculty_category," ","")&amp;",")))&gt;0)),IF(EA56="",TRUE,IF(input_faculty_category="",FALSE,SUMPRODUCT(--ISNUMBER(SEARCH(","&amp;TRIM(TEXTSPLIT(EA56,","))&amp;",",","&amp;SUBSTITUTE(input_faculty_category," ","")&amp;",")))=COUNTA(TEXTSPLIT(EA56,",")))))</f>
        <v/>
      </c>
      <c r="JF56">
        <f>AND(IF(EC56="",TRUE,IF(input_faculty_discipline="",FALSE,SUMPRODUCT(--ISNUMBER(SEARCH(","&amp;TRIM(TEXTSPLIT(EC56,","))&amp;",",","&amp;SUBSTITUTE(input_faculty_discipline," ","")&amp;",")))&gt;0)),IF(EE56="",TRUE,IF(input_faculty_discipline="",FALSE,SUMPRODUCT(--ISNUMBER(SEARCH(","&amp;TRIM(TEXTSPLIT(EE56,","))&amp;",",","&amp;SUBSTITUTE(input_faculty_discipline," ","")&amp;",")))=COUNTA(TEXTSPLIT(EE56,",")))),IF(EG56="",TRUE,IF(input_faculty_discipline="",TRUE,SUMPRODUCT(--ISNUMBER(SEARCH(","&amp;TRIM(TEXTSPLIT(EG56,","))&amp;",",","&amp;SUBSTITUTE(input_faculty_discipline," ","")&amp;",")))=0)),IF(EI56="",TRUE,IF(input_faculty_discipline="",FALSE,SUMPRODUCT(--ISNUMBER(SEARCH(","&amp;TRIM(TEXTSPLIT(EI56,","))&amp;",",","&amp;SUBSTITUTE(input_faculty_discipline," ","")&amp;",")))&gt;0)),IF(EK56="",TRUE,IF(input_faculty_discipline="",FALSE,SUMPRODUCT(--ISNUMBER(SEARCH(","&amp;TRIM(TEXTSPLIT(EK56,","))&amp;",",","&amp;SUBSTITUTE(input_faculty_discipline," ","")&amp;",")))=COUNTA(TEXTSPLIT(EK56,",")))))</f>
        <v/>
      </c>
      <c r="JG56">
        <f>AND(IF(EM56="",TRUE,IF(input_faculty_expertise="",FALSE,SUMPRODUCT(--ISNUMBER(SEARCH(","&amp;TRIM(TEXTSPLIT(EM56,","))&amp;",",","&amp;SUBSTITUTE(input_faculty_expertise," ","")&amp;",")))&gt;0)),IF(EO56="",TRUE,IF(input_faculty_expertise="",FALSE,SUMPRODUCT(--ISNUMBER(SEARCH(","&amp;TRIM(TEXTSPLIT(EO56,","))&amp;",",","&amp;SUBSTITUTE(input_faculty_expertise," ","")&amp;",")))=COUNTA(TEXTSPLIT(EO56,",")))),IF(EQ56="",TRUE,IF(input_faculty_expertise="",TRUE,SUMPRODUCT(--ISNUMBER(SEARCH(","&amp;TRIM(TEXTSPLIT(EQ56,","))&amp;",",","&amp;SUBSTITUTE(input_faculty_expertise," ","")&amp;",")))=0)),IF(ES56="",TRUE,IF(input_faculty_expertise="",FALSE,SUMPRODUCT(--ISNUMBER(SEARCH(","&amp;TRIM(TEXTSPLIT(ES56,","))&amp;",",","&amp;SUBSTITUTE(input_faculty_expertise," ","")&amp;",")))&gt;0)),IF(EU56="",TRUE,IF(input_faculty_expertise="",FALSE,SUMPRODUCT(--ISNUMBER(SEARCH(","&amp;TRIM(TEXTSPLIT(EU56,","))&amp;",",","&amp;SUBSTITUTE(input_faculty_expertise," ","")&amp;",")))=COUNTA(TEXTSPLIT(EU56,",")))))</f>
        <v/>
      </c>
      <c r="JH56">
        <f>AND(IF(EW56="",TRUE,IF(input_global_network_school="",FALSE,SUMPRODUCT(--ISNUMBER(SEARCH(","&amp;TRIM(TEXTSPLIT(EW56,","))&amp;",",","&amp;SUBSTITUTE(input_global_network_school," ","")&amp;",")))&gt;0)),IF(EY56="",TRUE,IF(input_global_network_school="",FALSE,SUMPRODUCT(--ISNUMBER(SEARCH(","&amp;TRIM(TEXTSPLIT(EY56,","))&amp;",",","&amp;SUBSTITUTE(input_global_network_school," ","")&amp;",")))=COUNTA(TEXTSPLIT(EY56,",")))),IF(FA56="",TRUE,IF(input_global_network_school="",TRUE,SUMPRODUCT(--ISNUMBER(SEARCH(","&amp;TRIM(TEXTSPLIT(FA56,","))&amp;",",","&amp;SUBSTITUTE(input_global_network_school," ","")&amp;",")))=0)),IF(FC56="",TRUE,IF(input_global_network_school="",FALSE,SUMPRODUCT(--ISNUMBER(SEARCH(","&amp;TRIM(TEXTSPLIT(FC56,","))&amp;",",","&amp;SUBSTITUTE(input_global_network_school," ","")&amp;",")))&gt;0)),IF(FE56="",TRUE,IF(input_global_network_school="",FALSE,SUMPRODUCT(--ISNUMBER(SEARCH(","&amp;TRIM(TEXTSPLIT(FE56,","))&amp;",",","&amp;SUBSTITUTE(input_global_network_school," ","")&amp;",")))=COUNTA(TEXTSPLIT(FE56,",")))))</f>
        <v/>
      </c>
      <c r="JI56">
        <f>AND(IF(FG56="",TRUE,IF(input_industry="",FALSE,SUMPRODUCT(--ISNUMBER(SEARCH(","&amp;TRIM(TEXTSPLIT(FG56,","))&amp;",",","&amp;SUBSTITUTE(input_industry," ","")&amp;",")))&gt;0)),IF(FI56="",TRUE,IF(input_industry="",FALSE,SUMPRODUCT(--ISNUMBER(SEARCH(","&amp;TRIM(TEXTSPLIT(FI56,","))&amp;",",","&amp;SUBSTITUTE(input_industry," ","")&amp;",")))=COUNTA(TEXTSPLIT(FI56,",")))),IF(FK56="",TRUE,IF(input_industry="",TRUE,SUMPRODUCT(--ISNUMBER(SEARCH(","&amp;TRIM(TEXTSPLIT(FK56,","))&amp;",",","&amp;SUBSTITUTE(input_industry," ","")&amp;",")))=0)),IF(FM56="",TRUE,IF(input_industry="",FALSE,SUMPRODUCT(--ISNUMBER(SEARCH(","&amp;TRIM(TEXTSPLIT(FM56,","))&amp;",",","&amp;SUBSTITUTE(input_industry," ","")&amp;",")))&gt;0)),IF(FO56="",TRUE,IF(input_industry="",FALSE,SUMPRODUCT(--ISNUMBER(SEARCH(","&amp;TRIM(TEXTSPLIT(FO56,","))&amp;",",","&amp;SUBSTITUTE(input_industry," ","")&amp;",")))=COUNTA(TEXTSPLIT(FO56,",")))))</f>
        <v/>
      </c>
      <c r="JJ56">
        <f>AND(IF(FQ56="",TRUE,IF(input_location="",FALSE,SUMPRODUCT(--ISNUMBER(SEARCH(","&amp;TRIM(TEXTSPLIT(FQ56,","))&amp;",",","&amp;SUBSTITUTE(input_location," ","")&amp;",")))&gt;0)),IF(FS56="",TRUE,IF(input_location="",FALSE,SUMPRODUCT(--ISNUMBER(SEARCH(","&amp;TRIM(TEXTSPLIT(FS56,","))&amp;",",","&amp;SUBSTITUTE(input_location," ","")&amp;",")))=COUNTA(TEXTSPLIT(FS56,",")))),IF(FU56="",TRUE,IF(input_location="",TRUE,SUMPRODUCT(--ISNUMBER(SEARCH(","&amp;TRIM(TEXTSPLIT(FU56,","))&amp;",",","&amp;SUBSTITUTE(input_location," ","")&amp;",")))=0)),IF(FW56="",TRUE,IF(input_location="",FALSE,SUMPRODUCT(--ISNUMBER(SEARCH(","&amp;TRIM(TEXTSPLIT(FW56,","))&amp;",",","&amp;SUBSTITUTE(input_location," ","")&amp;",")))&gt;0)),IF(FY56="",TRUE,IF(input_location="",FALSE,SUMPRODUCT(--ISNUMBER(SEARCH(","&amp;TRIM(TEXTSPLIT(FY56,","))&amp;",",","&amp;SUBSTITUTE(input_location," ","")&amp;",")))=COUNTA(TEXTSPLIT(FY56,",")))))</f>
        <v/>
      </c>
      <c r="JK56">
        <f>AND(IF(GA56="",TRUE,IF(input_modality="",FALSE,SUMPRODUCT(--ISNUMBER(SEARCH(","&amp;TRIM(TEXTSPLIT(GA56,","))&amp;",",","&amp;SUBSTITUTE(input_modality," ","")&amp;",")))&gt;0)),IF(GC56="",TRUE,IF(input_modality="",FALSE,SUMPRODUCT(--ISNUMBER(SEARCH(","&amp;TRIM(TEXTSPLIT(GC56,","))&amp;",",","&amp;SUBSTITUTE(input_modality," ","")&amp;",")))=COUNTA(TEXTSPLIT(GC56,",")))),IF(GE56="",TRUE,IF(input_modality="",TRUE,SUMPRODUCT(--ISNUMBER(SEARCH(","&amp;TRIM(TEXTSPLIT(GE56,","))&amp;",",","&amp;SUBSTITUTE(input_modality," ","")&amp;",")))=0)),IF(GG56="",TRUE,IF(input_modality="",FALSE,SUMPRODUCT(--ISNUMBER(SEARCH(","&amp;TRIM(TEXTSPLIT(GG56,","))&amp;",",","&amp;SUBSTITUTE(input_modality," ","")&amp;",")))&gt;0)),IF(GI56="",TRUE,IF(input_modality="",FALSE,SUMPRODUCT(--ISNUMBER(SEARCH(","&amp;TRIM(TEXTSPLIT(GI56,","))&amp;",",","&amp;SUBSTITUTE(input_modality," ","")&amp;",")))=COUNTA(TEXTSPLIT(GI56,",")))))</f>
        <v/>
      </c>
      <c r="JL56">
        <f>AND(IF(GK56="",TRUE,IF(input_organizer="",FALSE,SUMPRODUCT(--ISNUMBER(SEARCH(","&amp;TRIM(TEXTSPLIT(GK56,","))&amp;",",","&amp;SUBSTITUTE(input_organizer," ","")&amp;",")))&gt;0)),IF(GM56="",TRUE,IF(input_organizer="",FALSE,SUMPRODUCT(--ISNUMBER(SEARCH(","&amp;TRIM(TEXTSPLIT(GM56,","))&amp;",",","&amp;SUBSTITUTE(input_organizer," ","")&amp;",")))=COUNTA(TEXTSPLIT(GM56,",")))),IF(GO56="",TRUE,IF(input_organizer="",TRUE,SUMPRODUCT(--ISNUMBER(SEARCH(","&amp;TRIM(TEXTSPLIT(GO56,","))&amp;",",","&amp;SUBSTITUTE(input_organizer," ","")&amp;",")))=0)),IF(GQ56="",TRUE,IF(input_organizer="",FALSE,SUMPRODUCT(--ISNUMBER(SEARCH(","&amp;TRIM(TEXTSPLIT(GQ56,","))&amp;",",","&amp;SUBSTITUTE(input_organizer," ","")&amp;",")))&gt;0)),IF(GS56="",TRUE,IF(input_organizer="",FALSE,SUMPRODUCT(--ISNUMBER(SEARCH(","&amp;TRIM(TEXTSPLIT(GS56,","))&amp;",",","&amp;SUBSTITUTE(input_organizer," ","")&amp;",")))=COUNTA(TEXTSPLIT(GS56,",")))))</f>
        <v/>
      </c>
      <c r="JM56">
        <f>AND(IF(GU56="",TRUE,IF(input_profile_type="",FALSE,SUMPRODUCT(--ISNUMBER(SEARCH(","&amp;TRIM(TEXTSPLIT(GU56,","))&amp;",",","&amp;SUBSTITUTE(input_profile_type," ","")&amp;",")))&gt;0)),IF(GW56="",TRUE,IF(input_profile_type="",FALSE,SUMPRODUCT(--ISNUMBER(SEARCH(","&amp;TRIM(TEXTSPLIT(GW56,","))&amp;",",","&amp;SUBSTITUTE(input_profile_type," ","")&amp;",")))=COUNTA(TEXTSPLIT(GW56,",")))),IF(GY56="",TRUE,IF(input_profile_type="",TRUE,SUMPRODUCT(--ISNUMBER(SEARCH(","&amp;TRIM(TEXTSPLIT(GY56,","))&amp;",",","&amp;SUBSTITUTE(input_profile_type," ","")&amp;",")))=0)),IF(HA56="",TRUE,IF(input_profile_type="",FALSE,SUMPRODUCT(--ISNUMBER(SEARCH(","&amp;TRIM(TEXTSPLIT(HA56,","))&amp;",",","&amp;SUBSTITUTE(input_profile_type," ","")&amp;",")))&gt;0)),IF(HC56="",TRUE,IF(input_profile_type="",FALSE,SUMPRODUCT(--ISNUMBER(SEARCH(","&amp;TRIM(TEXTSPLIT(HC56,","))&amp;",",","&amp;SUBSTITUTE(input_profile_type," ","")&amp;",")))=COUNTA(TEXTSPLIT(HC56,",")))))</f>
        <v/>
      </c>
      <c r="JN56">
        <f>AND(IF(HE56="",TRUE,IF(input_program="",FALSE,SUMPRODUCT(--ISNUMBER(SEARCH(","&amp;TRIM(TEXTSPLIT(HE56,","))&amp;",",","&amp;SUBSTITUTE(input_program," ","")&amp;",")))&gt;0)),IF(HG56="",TRUE,IF(input_program="",FALSE,SUMPRODUCT(--ISNUMBER(SEARCH(","&amp;TRIM(TEXTSPLIT(HG56,","))&amp;",",","&amp;SUBSTITUTE(input_program," ","")&amp;",")))=COUNTA(TEXTSPLIT(HG56,",")))),IF(HI56="",TRUE,IF(input_program="",TRUE,SUMPRODUCT(--ISNUMBER(SEARCH(","&amp;TRIM(TEXTSPLIT(HI56,","))&amp;",",","&amp;SUBSTITUTE(input_program," ","")&amp;",")))=0)),IF(HK56="",TRUE,IF(input_program="",FALSE,SUMPRODUCT(--ISNUMBER(SEARCH(","&amp;TRIM(TEXTSPLIT(HK56,","))&amp;",",","&amp;SUBSTITUTE(input_program," ","")&amp;",")))&gt;0)),IF(HM56="",TRUE,IF(input_program="",FALSE,SUMPRODUCT(--ISNUMBER(SEARCH(","&amp;TRIM(TEXTSPLIT(HM56,","))&amp;",",","&amp;SUBSTITUTE(input_program," ","")&amp;",")))=COUNTA(TEXTSPLIT(HM56,",")))))</f>
        <v/>
      </c>
      <c r="JO56">
        <f>AND(IF(HO56="",TRUE,IF(input_story_categories="",FALSE,SUMPRODUCT(--ISNUMBER(SEARCH(","&amp;TRIM(TEXTSPLIT(HO56,","))&amp;",",","&amp;SUBSTITUTE(input_story_categories," ","")&amp;",")))&gt;0)),IF(HQ56="",TRUE,IF(input_story_categories="",FALSE,SUMPRODUCT(--ISNUMBER(SEARCH(","&amp;TRIM(TEXTSPLIT(HQ56,","))&amp;",",","&amp;SUBSTITUTE(input_story_categories," ","")&amp;",")))=COUNTA(TEXTSPLIT(HQ56,",")))),IF(HS56="",TRUE,IF(input_story_categories="",TRUE,SUMPRODUCT(--ISNUMBER(SEARCH(","&amp;TRIM(TEXTSPLIT(HS56,","))&amp;",",","&amp;SUBSTITUTE(input_story_categories," ","")&amp;",")))=0)),IF(HU56="",TRUE,IF(input_story_categories="",FALSE,SUMPRODUCT(--ISNUMBER(SEARCH(","&amp;TRIM(TEXTSPLIT(HU56,","))&amp;",",","&amp;SUBSTITUTE(input_story_categories," ","")&amp;",")))&gt;0)),IF(HW56="",TRUE,IF(input_story_categories="",FALSE,SUMPRODUCT(--ISNUMBER(SEARCH(","&amp;TRIM(TEXTSPLIT(HW56,","))&amp;",",","&amp;SUBSTITUTE(input_story_categories," ","")&amp;",")))=COUNTA(TEXTSPLIT(HW56,",")))))</f>
        <v/>
      </c>
      <c r="JP56">
        <f>AND(IF(HY56="",TRUE,IF(input_story_type="",FALSE,SUMPRODUCT(--ISNUMBER(SEARCH(","&amp;TRIM(TEXTSPLIT(HY56,","))&amp;",",","&amp;SUBSTITUTE(input_story_type," ","")&amp;",")))&gt;0)),IF(IA56="",TRUE,IF(input_story_type="",FALSE,SUMPRODUCT(--ISNUMBER(SEARCH(","&amp;TRIM(TEXTSPLIT(IA56,","))&amp;",",","&amp;SUBSTITUTE(input_story_type," ","")&amp;",")))=COUNTA(TEXTSPLIT(IA56,",")))),IF(IC56="",TRUE,IF(input_story_type="",TRUE,SUMPRODUCT(--ISNUMBER(SEARCH(","&amp;TRIM(TEXTSPLIT(IC56,","))&amp;",",","&amp;SUBSTITUTE(input_story_type," ","")&amp;",")))=0)),IF(IE56="",TRUE,IF(input_story_type="",FALSE,SUMPRODUCT(--ISNUMBER(SEARCH(","&amp;TRIM(TEXTSPLIT(IE56,","))&amp;",",","&amp;SUBSTITUTE(input_story_type," ","")&amp;",")))&gt;0)),IF(IG56="",TRUE,IF(input_story_type="",FALSE,SUMPRODUCT(--ISNUMBER(SEARCH(","&amp;TRIM(TEXTSPLIT(IG56,","))&amp;",",","&amp;SUBSTITUTE(input_story_type," ","")&amp;",")))=COUNTA(TEXTSPLIT(IG56,",")))))</f>
        <v/>
      </c>
      <c r="JQ56">
        <f>AND(IF(II56="",TRUE,IF(input_topics="",FALSE,SUMPRODUCT(--ISNUMBER(SEARCH(","&amp;TRIM(TEXTSPLIT(II56,","))&amp;",",","&amp;SUBSTITUTE(input_topics," ","")&amp;",")))&gt;0)),IF(IK56="",TRUE,IF(input_topics="",FALSE,SUMPRODUCT(--ISNUMBER(SEARCH(","&amp;TRIM(TEXTSPLIT(IK56,","))&amp;",",","&amp;SUBSTITUTE(input_topics," ","")&amp;",")))=COUNTA(TEXTSPLIT(IK56,",")))),IF(IM56="",TRUE,IF(input_topics="",TRUE,SUMPRODUCT(--ISNUMBER(SEARCH(","&amp;TRIM(TEXTSPLIT(IM56,","))&amp;",",","&amp;SUBSTITUTE(input_topics," ","")&amp;",")))=0)),IF(IO56="",TRUE,IF(input_topics="",FALSE,SUMPRODUCT(--ISNUMBER(SEARCH(","&amp;TRIM(TEXTSPLIT(IO56,","))&amp;",",","&amp;SUBSTITUTE(input_topics," ","")&amp;",")))&gt;0)),IF(IQ56="",TRUE,IF(input_topics="",FALSE,SUMPRODUCT(--ISNUMBER(SEARCH(","&amp;TRIM(TEXTSPLIT(IQ56,","))&amp;",",","&amp;SUBSTITUTE(input_topics," ","")&amp;",")))=COUNTA(TEXTSPLIT(IQ56,",")))))</f>
        <v/>
      </c>
    </row>
    <row r="57">
      <c r="A57" s="4">
        <f>IF(NOT(IS57),"Excluded",IF(AND(IT57,IU57,IV57,IW57,IX57,IY57,IZ57,JA57,JB57,JC57,JD57,JE57,JF57,JG57,JH57,JI57,JJ57,JK57,JL57,JM57,JN57,JO57,JP57,JQ57),IF(I57&gt;0,"Eligible but limited","Will appear"),"Excluded"))</f>
        <v/>
      </c>
      <c r="B57" s="4" t="inlineStr">
        <is>
          <t>All Publications by Author</t>
        </is>
      </c>
      <c r="C57" s="4" t="inlineStr">
        <is>
          <t>/faculty-research/faculty-directory/zhen-lian</t>
        </is>
      </c>
      <c r="D57" s="4" t="inlineStr">
        <is>
          <t>/faculty-research/faculty-directory/zhen-lian</t>
        </is>
      </c>
      <c r="E57" s="4" t="n">
        <v>1</v>
      </c>
      <c r="F57" s="4" t="inlineStr">
        <is>
          <t>publications</t>
        </is>
      </c>
      <c r="G57" s="4" t="inlineStr">
        <is>
          <t>publication_teaser_list</t>
        </is>
      </c>
      <c r="H57" s="4" t="inlineStr">
        <is>
          <t>publication_teaser_list_all_by_author</t>
        </is>
      </c>
      <c r="I57" s="4" t="inlineStr"/>
      <c r="J57" s="4" t="inlineStr">
        <is>
          <t>View/config rules</t>
        </is>
      </c>
      <c r="K57" s="4" t="inlineStr">
        <is>
          <t>Page placement</t>
        </is>
      </c>
      <c r="L57" s="4" t="inlineStr">
        <is>
          <t>Content type: publications; Source: View/config rules</t>
        </is>
      </c>
      <c r="M57" t="inlineStr"/>
      <c r="N57" t="inlineStr"/>
      <c r="O57" t="inlineStr"/>
      <c r="P57" t="inlineStr"/>
      <c r="Q57" t="inlineStr"/>
      <c r="R57" t="inlineStr"/>
      <c r="S57" t="inlineStr"/>
      <c r="T57" t="inlineStr"/>
      <c r="U57" t="inlineStr"/>
      <c r="V57" t="inlineStr"/>
      <c r="W57" t="inlineStr"/>
      <c r="X57" t="inlineStr"/>
      <c r="Y57" t="inlineStr"/>
      <c r="Z57" t="inlineStr"/>
      <c r="AA57" t="inlineStr"/>
      <c r="AB57" t="inlineStr"/>
      <c r="AC57" t="inlineStr"/>
      <c r="AD57" t="inlineStr"/>
      <c r="AE57" t="inlineStr"/>
      <c r="AF57" t="inlineStr"/>
      <c r="AG57" t="inlineStr"/>
      <c r="AH57" t="inlineStr"/>
      <c r="AI57" t="inlineStr"/>
      <c r="AJ57" t="inlineStr"/>
      <c r="AK57" t="inlineStr"/>
      <c r="AL57" t="inlineStr"/>
      <c r="AM57" t="inlineStr"/>
      <c r="AN57" t="inlineStr"/>
      <c r="AO57" t="inlineStr"/>
      <c r="AP57" t="inlineStr"/>
      <c r="AQ57" t="inlineStr"/>
      <c r="AR57" t="inlineStr"/>
      <c r="AS57" t="inlineStr"/>
      <c r="AT57" t="inlineStr"/>
      <c r="AU57" t="inlineStr"/>
      <c r="AV57" t="inlineStr"/>
      <c r="AW57" t="inlineStr"/>
      <c r="AX57" t="inlineStr"/>
      <c r="AY57" t="inlineStr"/>
      <c r="AZ57" t="inlineStr"/>
      <c r="BA57" t="inlineStr"/>
      <c r="BB57" t="inlineStr"/>
      <c r="BC57" t="inlineStr"/>
      <c r="BD57" t="inlineStr"/>
      <c r="BE57" t="inlineStr"/>
      <c r="BF57" t="inlineStr"/>
      <c r="BG57" t="inlineStr"/>
      <c r="BH57" t="inlineStr"/>
      <c r="BI57" t="inlineStr"/>
      <c r="BJ57" t="inlineStr"/>
      <c r="BK57" t="inlineStr"/>
      <c r="BL57" t="inlineStr"/>
      <c r="BM57" t="inlineStr"/>
      <c r="BN57" t="inlineStr"/>
      <c r="BO57" t="inlineStr"/>
      <c r="BP57" t="inlineStr"/>
      <c r="BQ57" t="inlineStr"/>
      <c r="BR57" t="inlineStr"/>
      <c r="BS57" t="inlineStr"/>
      <c r="BT57" t="inlineStr"/>
      <c r="BU57" t="inlineStr"/>
      <c r="BV57" t="inlineStr"/>
      <c r="BW57" t="inlineStr"/>
      <c r="BX57" t="inlineStr"/>
      <c r="BY57" t="inlineStr"/>
      <c r="BZ57" t="inlineStr"/>
      <c r="CA57" t="inlineStr"/>
      <c r="CB57" t="inlineStr"/>
      <c r="CC57" t="inlineStr"/>
      <c r="CD57" t="inlineStr"/>
      <c r="CE57" t="inlineStr"/>
      <c r="CF57" t="inlineStr"/>
      <c r="CG57" t="inlineStr"/>
      <c r="CH57" t="inlineStr"/>
      <c r="CI57" t="inlineStr"/>
      <c r="CJ57" t="inlineStr"/>
      <c r="CK57" t="inlineStr"/>
      <c r="CL57" t="inlineStr"/>
      <c r="CM57" t="inlineStr"/>
      <c r="CN57" t="inlineStr"/>
      <c r="CO57" t="inlineStr"/>
      <c r="CP57" t="inlineStr"/>
      <c r="CQ57" t="inlineStr"/>
      <c r="CR57" t="inlineStr"/>
      <c r="CS57" t="inlineStr"/>
      <c r="CT57" t="inlineStr"/>
      <c r="CU57" t="inlineStr"/>
      <c r="CV57" t="inlineStr"/>
      <c r="CW57" t="inlineStr"/>
      <c r="CX57" t="inlineStr"/>
      <c r="CY57" t="inlineStr"/>
      <c r="CZ57" t="inlineStr"/>
      <c r="DA57" t="inlineStr"/>
      <c r="DB57" t="inlineStr"/>
      <c r="DC57" t="inlineStr"/>
      <c r="DD57" t="inlineStr"/>
      <c r="DE57" t="inlineStr"/>
      <c r="DF57" t="inlineStr"/>
      <c r="DG57" t="inlineStr"/>
      <c r="DH57" t="inlineStr"/>
      <c r="DI57" t="inlineStr"/>
      <c r="DJ57" t="inlineStr"/>
      <c r="DK57" t="inlineStr"/>
      <c r="DL57" t="inlineStr"/>
      <c r="DM57" t="inlineStr"/>
      <c r="DN57" t="inlineStr"/>
      <c r="DO57" t="inlineStr"/>
      <c r="DP57" t="inlineStr"/>
      <c r="DQ57" t="inlineStr"/>
      <c r="DR57" t="inlineStr"/>
      <c r="DS57" t="inlineStr"/>
      <c r="DT57" t="inlineStr"/>
      <c r="DU57" t="inlineStr"/>
      <c r="DV57" t="inlineStr"/>
      <c r="DW57" t="inlineStr"/>
      <c r="DX57" t="inlineStr"/>
      <c r="DY57" t="inlineStr"/>
      <c r="DZ57" t="inlineStr"/>
      <c r="EA57" t="inlineStr"/>
      <c r="EB57" t="inlineStr"/>
      <c r="EC57" t="inlineStr"/>
      <c r="ED57" t="inlineStr"/>
      <c r="EE57" t="inlineStr"/>
      <c r="EF57" t="inlineStr"/>
      <c r="EG57" t="inlineStr"/>
      <c r="EH57" t="inlineStr"/>
      <c r="EI57" t="inlineStr"/>
      <c r="EJ57" t="inlineStr"/>
      <c r="EK57" t="inlineStr"/>
      <c r="EL57" t="inlineStr"/>
      <c r="EM57" t="inlineStr"/>
      <c r="EN57" t="inlineStr"/>
      <c r="EO57" t="inlineStr"/>
      <c r="EP57" t="inlineStr"/>
      <c r="EQ57" t="inlineStr"/>
      <c r="ER57" t="inlineStr"/>
      <c r="ES57" t="inlineStr"/>
      <c r="ET57" t="inlineStr"/>
      <c r="EU57" t="inlineStr"/>
      <c r="EV57" t="inlineStr"/>
      <c r="EW57" t="inlineStr"/>
      <c r="EX57" t="inlineStr"/>
      <c r="EY57" t="inlineStr"/>
      <c r="EZ57" t="inlineStr"/>
      <c r="FA57" t="inlineStr"/>
      <c r="FB57" t="inlineStr"/>
      <c r="FC57" t="inlineStr"/>
      <c r="FD57" t="inlineStr"/>
      <c r="FE57" t="inlineStr"/>
      <c r="FF57" t="inlineStr"/>
      <c r="FG57" t="inlineStr"/>
      <c r="FH57" t="inlineStr"/>
      <c r="FI57" t="inlineStr"/>
      <c r="FJ57" t="inlineStr"/>
      <c r="FK57" t="inlineStr"/>
      <c r="FL57" t="inlineStr"/>
      <c r="FM57" t="inlineStr"/>
      <c r="FN57" t="inlineStr"/>
      <c r="FO57" t="inlineStr"/>
      <c r="FP57" t="inlineStr"/>
      <c r="FQ57" t="inlineStr"/>
      <c r="FR57" t="inlineStr"/>
      <c r="FS57" t="inlineStr"/>
      <c r="FT57" t="inlineStr"/>
      <c r="FU57" t="inlineStr"/>
      <c r="FV57" t="inlineStr"/>
      <c r="FW57" t="inlineStr"/>
      <c r="FX57" t="inlineStr"/>
      <c r="FY57" t="inlineStr"/>
      <c r="FZ57" t="inlineStr"/>
      <c r="GA57" t="inlineStr"/>
      <c r="GB57" t="inlineStr"/>
      <c r="GC57" t="inlineStr"/>
      <c r="GD57" t="inlineStr"/>
      <c r="GE57" t="inlineStr"/>
      <c r="GF57" t="inlineStr"/>
      <c r="GG57" t="inlineStr"/>
      <c r="GH57" t="inlineStr"/>
      <c r="GI57" t="inlineStr"/>
      <c r="GJ57" t="inlineStr"/>
      <c r="GK57" t="inlineStr"/>
      <c r="GL57" t="inlineStr"/>
      <c r="GM57" t="inlineStr"/>
      <c r="GN57" t="inlineStr"/>
      <c r="GO57" t="inlineStr"/>
      <c r="GP57" t="inlineStr"/>
      <c r="GQ57" t="inlineStr"/>
      <c r="GR57" t="inlineStr"/>
      <c r="GS57" t="inlineStr"/>
      <c r="GT57" t="inlineStr"/>
      <c r="GU57" t="inlineStr"/>
      <c r="GV57" t="inlineStr"/>
      <c r="GW57" t="inlineStr"/>
      <c r="GX57" t="inlineStr"/>
      <c r="GY57" t="inlineStr"/>
      <c r="GZ57" t="inlineStr"/>
      <c r="HA57" t="inlineStr"/>
      <c r="HB57" t="inlineStr"/>
      <c r="HC57" t="inlineStr"/>
      <c r="HD57" t="inlineStr"/>
      <c r="HE57" t="inlineStr"/>
      <c r="HF57" t="inlineStr"/>
      <c r="HG57" t="inlineStr"/>
      <c r="HH57" t="inlineStr"/>
      <c r="HI57" t="inlineStr"/>
      <c r="HJ57" t="inlineStr"/>
      <c r="HK57" t="inlineStr"/>
      <c r="HL57" t="inlineStr"/>
      <c r="HM57" t="inlineStr"/>
      <c r="HN57" t="inlineStr"/>
      <c r="HO57" t="inlineStr"/>
      <c r="HP57" t="inlineStr"/>
      <c r="HQ57" t="inlineStr"/>
      <c r="HR57" t="inlineStr"/>
      <c r="HS57" t="inlineStr"/>
      <c r="HT57" t="inlineStr"/>
      <c r="HU57" t="inlineStr"/>
      <c r="HV57" t="inlineStr"/>
      <c r="HW57" t="inlineStr"/>
      <c r="HX57" t="inlineStr"/>
      <c r="HY57" t="inlineStr"/>
      <c r="HZ57" t="inlineStr"/>
      <c r="IA57" t="inlineStr"/>
      <c r="IB57" t="inlineStr"/>
      <c r="IC57" t="inlineStr"/>
      <c r="ID57" t="inlineStr"/>
      <c r="IE57" t="inlineStr"/>
      <c r="IF57" t="inlineStr"/>
      <c r="IG57" t="inlineStr"/>
      <c r="IH57" t="inlineStr"/>
      <c r="II57" t="inlineStr"/>
      <c r="IJ57" t="inlineStr"/>
      <c r="IK57" t="inlineStr"/>
      <c r="IL57" t="inlineStr"/>
      <c r="IM57" t="inlineStr"/>
      <c r="IN57" t="inlineStr"/>
      <c r="IO57" t="inlineStr"/>
      <c r="IP57" t="inlineStr"/>
      <c r="IQ57" t="inlineStr"/>
      <c r="IR57" t="inlineStr"/>
      <c r="IS57">
        <f>IF(input_content_type="",FALSE,ISNUMBER(SEARCH(","&amp;LOWER(input_content_type)&amp;",",","&amp;LOWER(F57)&amp;",")))</f>
        <v/>
      </c>
      <c r="IT57">
        <f>AND(IF(M57="",TRUE,IF(input_affiliations="",FALSE,SUMPRODUCT(--ISNUMBER(SEARCH(","&amp;TRIM(TEXTSPLIT(M57,","))&amp;",",","&amp;SUBSTITUTE(input_affiliations," ","")&amp;",")))&gt;0)),IF(O57="",TRUE,IF(input_affiliations="",FALSE,SUMPRODUCT(--ISNUMBER(SEARCH(","&amp;TRIM(TEXTSPLIT(O57,","))&amp;",",","&amp;SUBSTITUTE(input_affiliations," ","")&amp;",")))=COUNTA(TEXTSPLIT(O57,",")))),IF(Q57="",TRUE,IF(input_affiliations="",TRUE,SUMPRODUCT(--ISNUMBER(SEARCH(","&amp;TRIM(TEXTSPLIT(Q57,","))&amp;",",","&amp;SUBSTITUTE(input_affiliations," ","")&amp;",")))=0)),IF(S57="",TRUE,IF(input_affiliations="",FALSE,SUMPRODUCT(--ISNUMBER(SEARCH(","&amp;TRIM(TEXTSPLIT(S57,","))&amp;",",","&amp;SUBSTITUTE(input_affiliations," ","")&amp;",")))&gt;0)),IF(U57="",TRUE,IF(input_affiliations="",FALSE,SUMPRODUCT(--ISNUMBER(SEARCH(","&amp;TRIM(TEXTSPLIT(U57,","))&amp;",",","&amp;SUBSTITUTE(input_affiliations," ","")&amp;",")))=COUNTA(TEXTSPLIT(U57,",")))))</f>
        <v/>
      </c>
      <c r="IU57">
        <f>AND(IF(W57="",TRUE,IF(input_announcement_category="",FALSE,SUMPRODUCT(--ISNUMBER(SEARCH(","&amp;TRIM(TEXTSPLIT(W57,","))&amp;",",","&amp;SUBSTITUTE(input_announcement_category," ","")&amp;",")))&gt;0)),IF(Y57="",TRUE,IF(input_announcement_category="",FALSE,SUMPRODUCT(--ISNUMBER(SEARCH(","&amp;TRIM(TEXTSPLIT(Y57,","))&amp;",",","&amp;SUBSTITUTE(input_announcement_category," ","")&amp;",")))=COUNTA(TEXTSPLIT(Y57,",")))),IF(AA57="",TRUE,IF(input_announcement_category="",TRUE,SUMPRODUCT(--ISNUMBER(SEARCH(","&amp;TRIM(TEXTSPLIT(AA57,","))&amp;",",","&amp;SUBSTITUTE(input_announcement_category," ","")&amp;",")))=0)),IF(AC57="",TRUE,IF(input_announcement_category="",FALSE,SUMPRODUCT(--ISNUMBER(SEARCH(","&amp;TRIM(TEXTSPLIT(AC57,","))&amp;",",","&amp;SUBSTITUTE(input_announcement_category," ","")&amp;",")))&gt;0)),IF(AE57="",TRUE,IF(input_announcement_category="",FALSE,SUMPRODUCT(--ISNUMBER(SEARCH(","&amp;TRIM(TEXTSPLIT(AE57,","))&amp;",",","&amp;SUBSTITUTE(input_announcement_category," ","")&amp;",")))=COUNTA(TEXTSPLIT(AE57,",")))))</f>
        <v/>
      </c>
      <c r="IV57">
        <f>AND(IF(AG57="",TRUE,IF(input_area_of_focus="",FALSE,SUMPRODUCT(--ISNUMBER(SEARCH(","&amp;TRIM(TEXTSPLIT(AG57,","))&amp;",",","&amp;SUBSTITUTE(input_area_of_focus," ","")&amp;",")))&gt;0)),IF(AI57="",TRUE,IF(input_area_of_focus="",FALSE,SUMPRODUCT(--ISNUMBER(SEARCH(","&amp;TRIM(TEXTSPLIT(AI57,","))&amp;",",","&amp;SUBSTITUTE(input_area_of_focus," ","")&amp;",")))=COUNTA(TEXTSPLIT(AI57,",")))),IF(AK57="",TRUE,IF(input_area_of_focus="",TRUE,SUMPRODUCT(--ISNUMBER(SEARCH(","&amp;TRIM(TEXTSPLIT(AK57,","))&amp;",",","&amp;SUBSTITUTE(input_area_of_focus," ","")&amp;",")))=0)),IF(AM57="",TRUE,IF(input_area_of_focus="",FALSE,SUMPRODUCT(--ISNUMBER(SEARCH(","&amp;TRIM(TEXTSPLIT(AM57,","))&amp;",",","&amp;SUBSTITUTE(input_area_of_focus," ","")&amp;",")))&gt;0)),IF(AO57="",TRUE,IF(input_area_of_focus="",FALSE,SUMPRODUCT(--ISNUMBER(SEARCH(","&amp;TRIM(TEXTSPLIT(AO57,","))&amp;",",","&amp;SUBSTITUTE(input_area_of_focus," ","")&amp;",")))=COUNTA(TEXTSPLIT(AO57,",")))))</f>
        <v/>
      </c>
      <c r="IW57">
        <f>AND(IF(AQ57="",TRUE,IF(input_audience="",FALSE,SUMPRODUCT(--ISNUMBER(SEARCH(","&amp;TRIM(TEXTSPLIT(AQ57,","))&amp;",",","&amp;SUBSTITUTE(input_audience," ","")&amp;",")))&gt;0)),IF(AS57="",TRUE,IF(input_audience="",FALSE,SUMPRODUCT(--ISNUMBER(SEARCH(","&amp;TRIM(TEXTSPLIT(AS57,","))&amp;",",","&amp;SUBSTITUTE(input_audience," ","")&amp;",")))=COUNTA(TEXTSPLIT(AS57,",")))),IF(AU57="",TRUE,IF(input_audience="",TRUE,SUMPRODUCT(--ISNUMBER(SEARCH(","&amp;TRIM(TEXTSPLIT(AU57,","))&amp;",",","&amp;SUBSTITUTE(input_audience," ","")&amp;",")))=0)),IF(AW57="",TRUE,IF(input_audience="",FALSE,SUMPRODUCT(--ISNUMBER(SEARCH(","&amp;TRIM(TEXTSPLIT(AW57,","))&amp;",",","&amp;SUBSTITUTE(input_audience," ","")&amp;",")))&gt;0)),IF(AY57="",TRUE,IF(input_audience="",FALSE,SUMPRODUCT(--ISNUMBER(SEARCH(","&amp;TRIM(TEXTSPLIT(AY57,","))&amp;",",","&amp;SUBSTITUTE(input_audience," ","")&amp;",")))=COUNTA(TEXTSPLIT(AY57,",")))))</f>
        <v/>
      </c>
      <c r="IX57">
        <f>AND(IF(BA57="",TRUE,IF(input_challenge_opportunities="",FALSE,SUMPRODUCT(--ISNUMBER(SEARCH(","&amp;TRIM(TEXTSPLIT(BA57,","))&amp;",",","&amp;SUBSTITUTE(input_challenge_opportunities," ","")&amp;",")))&gt;0)),IF(BC57="",TRUE,IF(input_challenge_opportunities="",FALSE,SUMPRODUCT(--ISNUMBER(SEARCH(","&amp;TRIM(TEXTSPLIT(BC57,","))&amp;",",","&amp;SUBSTITUTE(input_challenge_opportunities," ","")&amp;",")))=COUNTA(TEXTSPLIT(BC57,",")))),IF(BE57="",TRUE,IF(input_challenge_opportunities="",TRUE,SUMPRODUCT(--ISNUMBER(SEARCH(","&amp;TRIM(TEXTSPLIT(BE57,","))&amp;",",","&amp;SUBSTITUTE(input_challenge_opportunities," ","")&amp;",")))=0)),IF(BG57="",TRUE,IF(input_challenge_opportunities="",FALSE,SUMPRODUCT(--ISNUMBER(SEARCH(","&amp;TRIM(TEXTSPLIT(BG57,","))&amp;",",","&amp;SUBSTITUTE(input_challenge_opportunities," ","")&amp;",")))&gt;0)),IF(BI57="",TRUE,IF(input_challenge_opportunities="",FALSE,SUMPRODUCT(--ISNUMBER(SEARCH(","&amp;TRIM(TEXTSPLIT(BI57,","))&amp;",",","&amp;SUBSTITUTE(input_challenge_opportunities," ","")&amp;",")))=COUNTA(TEXTSPLIT(BI57,",")))))</f>
        <v/>
      </c>
      <c r="IY57">
        <f>AND(IF(BK57="",TRUE,IF(input_context="",FALSE,SUMPRODUCT(--ISNUMBER(SEARCH(","&amp;TRIM(TEXTSPLIT(BK57,","))&amp;",",","&amp;SUBSTITUTE(input_context," ","")&amp;",")))&gt;0)),IF(BM57="",TRUE,IF(input_context="",FALSE,SUMPRODUCT(--ISNUMBER(SEARCH(","&amp;TRIM(TEXTSPLIT(BM57,","))&amp;",",","&amp;SUBSTITUTE(input_context," ","")&amp;",")))=COUNTA(TEXTSPLIT(BM57,",")))),IF(BO57="",TRUE,IF(input_context="",TRUE,SUMPRODUCT(--ISNUMBER(SEARCH(","&amp;TRIM(TEXTSPLIT(BO57,","))&amp;",",","&amp;SUBSTITUTE(input_context," ","")&amp;",")))=0)),IF(BQ57="",TRUE,IF(input_context="",FALSE,SUMPRODUCT(--ISNUMBER(SEARCH(","&amp;TRIM(TEXTSPLIT(BQ57,","))&amp;",",","&amp;SUBSTITUTE(input_context," ","")&amp;",")))&gt;0)),IF(BS57="",TRUE,IF(input_context="",FALSE,SUMPRODUCT(--ISNUMBER(SEARCH(","&amp;TRIM(TEXTSPLIT(BS57,","))&amp;",",","&amp;SUBSTITUTE(input_context," ","")&amp;",")))=COUNTA(TEXTSPLIT(BS57,",")))))</f>
        <v/>
      </c>
      <c r="IZ57">
        <f>AND(IF(BU57="",TRUE,IF(input_enews_announcement_type="",FALSE,SUMPRODUCT(--ISNUMBER(SEARCH(","&amp;TRIM(TEXTSPLIT(BU57,","))&amp;",",","&amp;SUBSTITUTE(input_enews_announcement_type," ","")&amp;",")))&gt;0)),IF(BW57="",TRUE,IF(input_enews_announcement_type="",FALSE,SUMPRODUCT(--ISNUMBER(SEARCH(","&amp;TRIM(TEXTSPLIT(BW57,","))&amp;",",","&amp;SUBSTITUTE(input_enews_announcement_type," ","")&amp;",")))=COUNTA(TEXTSPLIT(BW57,",")))),IF(BY57="",TRUE,IF(input_enews_announcement_type="",TRUE,SUMPRODUCT(--ISNUMBER(SEARCH(","&amp;TRIM(TEXTSPLIT(BY57,","))&amp;",",","&amp;SUBSTITUTE(input_enews_announcement_type," ","")&amp;",")))=0)),IF(CA57="",TRUE,IF(input_enews_announcement_type="",FALSE,SUMPRODUCT(--ISNUMBER(SEARCH(","&amp;TRIM(TEXTSPLIT(CA57,","))&amp;",",","&amp;SUBSTITUTE(input_enews_announcement_type," ","")&amp;",")))&gt;0)),IF(CC57="",TRUE,IF(input_enews_announcement_type="",FALSE,SUMPRODUCT(--ISNUMBER(SEARCH(","&amp;TRIM(TEXTSPLIT(CC57,","))&amp;",",","&amp;SUBSTITUTE(input_enews_announcement_type," ","")&amp;",")))=COUNTA(TEXTSPLIT(CC57,",")))))</f>
        <v/>
      </c>
      <c r="JA57">
        <f>AND(IF(CE57="",TRUE,IF(input_enews_audience="",FALSE,SUMPRODUCT(--ISNUMBER(SEARCH(","&amp;TRIM(TEXTSPLIT(CE57,","))&amp;",",","&amp;SUBSTITUTE(input_enews_audience," ","")&amp;",")))&gt;0)),IF(CG57="",TRUE,IF(input_enews_audience="",FALSE,SUMPRODUCT(--ISNUMBER(SEARCH(","&amp;TRIM(TEXTSPLIT(CG57,","))&amp;",",","&amp;SUBSTITUTE(input_enews_audience," ","")&amp;",")))=COUNTA(TEXTSPLIT(CG57,",")))),IF(CI57="",TRUE,IF(input_enews_audience="",TRUE,SUMPRODUCT(--ISNUMBER(SEARCH(","&amp;TRIM(TEXTSPLIT(CI57,","))&amp;",",","&amp;SUBSTITUTE(input_enews_audience," ","")&amp;",")))=0)),IF(CK57="",TRUE,IF(input_enews_audience="",FALSE,SUMPRODUCT(--ISNUMBER(SEARCH(","&amp;TRIM(TEXTSPLIT(CK57,","))&amp;",",","&amp;SUBSTITUTE(input_enews_audience," ","")&amp;",")))&gt;0)),IF(CM57="",TRUE,IF(input_enews_audience="",FALSE,SUMPRODUCT(--ISNUMBER(SEARCH(","&amp;TRIM(TEXTSPLIT(CM57,","))&amp;",",","&amp;SUBSTITUTE(input_enews_audience," ","")&amp;",")))=COUNTA(TEXTSPLIT(CM57,",")))))</f>
        <v/>
      </c>
      <c r="JB57">
        <f>AND(IF(CO57="",TRUE,IF(input_event_location="",FALSE,SUMPRODUCT(--ISNUMBER(SEARCH(","&amp;TRIM(TEXTSPLIT(CO57,","))&amp;",",","&amp;SUBSTITUTE(input_event_location," ","")&amp;",")))&gt;0)),IF(CQ57="",TRUE,IF(input_event_location="",FALSE,SUMPRODUCT(--ISNUMBER(SEARCH(","&amp;TRIM(TEXTSPLIT(CQ57,","))&amp;",",","&amp;SUBSTITUTE(input_event_location," ","")&amp;",")))=COUNTA(TEXTSPLIT(CQ57,",")))),IF(CS57="",TRUE,IF(input_event_location="",TRUE,SUMPRODUCT(--ISNUMBER(SEARCH(","&amp;TRIM(TEXTSPLIT(CS57,","))&amp;",",","&amp;SUBSTITUTE(input_event_location," ","")&amp;",")))=0)),IF(CU57="",TRUE,IF(input_event_location="",FALSE,SUMPRODUCT(--ISNUMBER(SEARCH(","&amp;TRIM(TEXTSPLIT(CU57,","))&amp;",",","&amp;SUBSTITUTE(input_event_location," ","")&amp;",")))&gt;0)),IF(CW57="",TRUE,IF(input_event_location="",FALSE,SUMPRODUCT(--ISNUMBER(SEARCH(","&amp;TRIM(TEXTSPLIT(CW57,","))&amp;",",","&amp;SUBSTITUTE(input_event_location," ","")&amp;",")))=COUNTA(TEXTSPLIT(CW57,",")))))</f>
        <v/>
      </c>
      <c r="JC57">
        <f>AND(IF(CY57="",TRUE,IF(input_event_type="",FALSE,SUMPRODUCT(--ISNUMBER(SEARCH(","&amp;TRIM(TEXTSPLIT(CY57,","))&amp;",",","&amp;SUBSTITUTE(input_event_type," ","")&amp;",")))&gt;0)),IF(DA57="",TRUE,IF(input_event_type="",FALSE,SUMPRODUCT(--ISNUMBER(SEARCH(","&amp;TRIM(TEXTSPLIT(DA57,","))&amp;",",","&amp;SUBSTITUTE(input_event_type," ","")&amp;",")))=COUNTA(TEXTSPLIT(DA57,",")))),IF(DC57="",TRUE,IF(input_event_type="",TRUE,SUMPRODUCT(--ISNUMBER(SEARCH(","&amp;TRIM(TEXTSPLIT(DC57,","))&amp;",",","&amp;SUBSTITUTE(input_event_type," ","")&amp;",")))=0)),IF(DE57="",TRUE,IF(input_event_type="",FALSE,SUMPRODUCT(--ISNUMBER(SEARCH(","&amp;TRIM(TEXTSPLIT(DE57,","))&amp;",",","&amp;SUBSTITUTE(input_event_type," ","")&amp;",")))&gt;0)),IF(DG57="",TRUE,IF(input_event_type="",FALSE,SUMPRODUCT(--ISNUMBER(SEARCH(","&amp;TRIM(TEXTSPLIT(DG57,","))&amp;",",","&amp;SUBSTITUTE(input_event_type," ","")&amp;",")))=COUNTA(TEXTSPLIT(DG57,",")))))</f>
        <v/>
      </c>
      <c r="JD57">
        <f>AND(IF(DI57="",TRUE,IF(input_executive_education_focus="",FALSE,SUMPRODUCT(--ISNUMBER(SEARCH(","&amp;TRIM(TEXTSPLIT(DI57,","))&amp;",",","&amp;SUBSTITUTE(input_executive_education_focus," ","")&amp;",")))&gt;0)),IF(DK57="",TRUE,IF(input_executive_education_focus="",FALSE,SUMPRODUCT(--ISNUMBER(SEARCH(","&amp;TRIM(TEXTSPLIT(DK57,","))&amp;",",","&amp;SUBSTITUTE(input_executive_education_focus," ","")&amp;",")))=COUNTA(TEXTSPLIT(DK57,",")))),IF(DM57="",TRUE,IF(input_executive_education_focus="",TRUE,SUMPRODUCT(--ISNUMBER(SEARCH(","&amp;TRIM(TEXTSPLIT(DM57,","))&amp;",",","&amp;SUBSTITUTE(input_executive_education_focus," ","")&amp;",")))=0)),IF(DO57="",TRUE,IF(input_executive_education_focus="",FALSE,SUMPRODUCT(--ISNUMBER(SEARCH(","&amp;TRIM(TEXTSPLIT(DO57,","))&amp;",",","&amp;SUBSTITUTE(input_executive_education_focus," ","")&amp;",")))&gt;0)),IF(DQ57="",TRUE,IF(input_executive_education_focus="",FALSE,SUMPRODUCT(--ISNUMBER(SEARCH(","&amp;TRIM(TEXTSPLIT(DQ57,","))&amp;",",","&amp;SUBSTITUTE(input_executive_education_focus," ","")&amp;",")))=COUNTA(TEXTSPLIT(DQ57,",")))))</f>
        <v/>
      </c>
      <c r="JE57">
        <f>AND(IF(DS57="",TRUE,IF(input_faculty_category="",FALSE,SUMPRODUCT(--ISNUMBER(SEARCH(","&amp;TRIM(TEXTSPLIT(DS57,","))&amp;",",","&amp;SUBSTITUTE(input_faculty_category," ","")&amp;",")))&gt;0)),IF(DU57="",TRUE,IF(input_faculty_category="",FALSE,SUMPRODUCT(--ISNUMBER(SEARCH(","&amp;TRIM(TEXTSPLIT(DU57,","))&amp;",",","&amp;SUBSTITUTE(input_faculty_category," ","")&amp;",")))=COUNTA(TEXTSPLIT(DU57,",")))),IF(DW57="",TRUE,IF(input_faculty_category="",TRUE,SUMPRODUCT(--ISNUMBER(SEARCH(","&amp;TRIM(TEXTSPLIT(DW57,","))&amp;",",","&amp;SUBSTITUTE(input_faculty_category," ","")&amp;",")))=0)),IF(DY57="",TRUE,IF(input_faculty_category="",FALSE,SUMPRODUCT(--ISNUMBER(SEARCH(","&amp;TRIM(TEXTSPLIT(DY57,","))&amp;",",","&amp;SUBSTITUTE(input_faculty_category," ","")&amp;",")))&gt;0)),IF(EA57="",TRUE,IF(input_faculty_category="",FALSE,SUMPRODUCT(--ISNUMBER(SEARCH(","&amp;TRIM(TEXTSPLIT(EA57,","))&amp;",",","&amp;SUBSTITUTE(input_faculty_category," ","")&amp;",")))=COUNTA(TEXTSPLIT(EA57,",")))))</f>
        <v/>
      </c>
      <c r="JF57">
        <f>AND(IF(EC57="",TRUE,IF(input_faculty_discipline="",FALSE,SUMPRODUCT(--ISNUMBER(SEARCH(","&amp;TRIM(TEXTSPLIT(EC57,","))&amp;",",","&amp;SUBSTITUTE(input_faculty_discipline," ","")&amp;",")))&gt;0)),IF(EE57="",TRUE,IF(input_faculty_discipline="",FALSE,SUMPRODUCT(--ISNUMBER(SEARCH(","&amp;TRIM(TEXTSPLIT(EE57,","))&amp;",",","&amp;SUBSTITUTE(input_faculty_discipline," ","")&amp;",")))=COUNTA(TEXTSPLIT(EE57,",")))),IF(EG57="",TRUE,IF(input_faculty_discipline="",TRUE,SUMPRODUCT(--ISNUMBER(SEARCH(","&amp;TRIM(TEXTSPLIT(EG57,","))&amp;",",","&amp;SUBSTITUTE(input_faculty_discipline," ","")&amp;",")))=0)),IF(EI57="",TRUE,IF(input_faculty_discipline="",FALSE,SUMPRODUCT(--ISNUMBER(SEARCH(","&amp;TRIM(TEXTSPLIT(EI57,","))&amp;",",","&amp;SUBSTITUTE(input_faculty_discipline," ","")&amp;",")))&gt;0)),IF(EK57="",TRUE,IF(input_faculty_discipline="",FALSE,SUMPRODUCT(--ISNUMBER(SEARCH(","&amp;TRIM(TEXTSPLIT(EK57,","))&amp;",",","&amp;SUBSTITUTE(input_faculty_discipline," ","")&amp;",")))=COUNTA(TEXTSPLIT(EK57,",")))))</f>
        <v/>
      </c>
      <c r="JG57">
        <f>AND(IF(EM57="",TRUE,IF(input_faculty_expertise="",FALSE,SUMPRODUCT(--ISNUMBER(SEARCH(","&amp;TRIM(TEXTSPLIT(EM57,","))&amp;",",","&amp;SUBSTITUTE(input_faculty_expertise," ","")&amp;",")))&gt;0)),IF(EO57="",TRUE,IF(input_faculty_expertise="",FALSE,SUMPRODUCT(--ISNUMBER(SEARCH(","&amp;TRIM(TEXTSPLIT(EO57,","))&amp;",",","&amp;SUBSTITUTE(input_faculty_expertise," ","")&amp;",")))=COUNTA(TEXTSPLIT(EO57,",")))),IF(EQ57="",TRUE,IF(input_faculty_expertise="",TRUE,SUMPRODUCT(--ISNUMBER(SEARCH(","&amp;TRIM(TEXTSPLIT(EQ57,","))&amp;",",","&amp;SUBSTITUTE(input_faculty_expertise," ","")&amp;",")))=0)),IF(ES57="",TRUE,IF(input_faculty_expertise="",FALSE,SUMPRODUCT(--ISNUMBER(SEARCH(","&amp;TRIM(TEXTSPLIT(ES57,","))&amp;",",","&amp;SUBSTITUTE(input_faculty_expertise," ","")&amp;",")))&gt;0)),IF(EU57="",TRUE,IF(input_faculty_expertise="",FALSE,SUMPRODUCT(--ISNUMBER(SEARCH(","&amp;TRIM(TEXTSPLIT(EU57,","))&amp;",",","&amp;SUBSTITUTE(input_faculty_expertise," ","")&amp;",")))=COUNTA(TEXTSPLIT(EU57,",")))))</f>
        <v/>
      </c>
      <c r="JH57">
        <f>AND(IF(EW57="",TRUE,IF(input_global_network_school="",FALSE,SUMPRODUCT(--ISNUMBER(SEARCH(","&amp;TRIM(TEXTSPLIT(EW57,","))&amp;",",","&amp;SUBSTITUTE(input_global_network_school," ","")&amp;",")))&gt;0)),IF(EY57="",TRUE,IF(input_global_network_school="",FALSE,SUMPRODUCT(--ISNUMBER(SEARCH(","&amp;TRIM(TEXTSPLIT(EY57,","))&amp;",",","&amp;SUBSTITUTE(input_global_network_school," ","")&amp;",")))=COUNTA(TEXTSPLIT(EY57,",")))),IF(FA57="",TRUE,IF(input_global_network_school="",TRUE,SUMPRODUCT(--ISNUMBER(SEARCH(","&amp;TRIM(TEXTSPLIT(FA57,","))&amp;",",","&amp;SUBSTITUTE(input_global_network_school," ","")&amp;",")))=0)),IF(FC57="",TRUE,IF(input_global_network_school="",FALSE,SUMPRODUCT(--ISNUMBER(SEARCH(","&amp;TRIM(TEXTSPLIT(FC57,","))&amp;",",","&amp;SUBSTITUTE(input_global_network_school," ","")&amp;",")))&gt;0)),IF(FE57="",TRUE,IF(input_global_network_school="",FALSE,SUMPRODUCT(--ISNUMBER(SEARCH(","&amp;TRIM(TEXTSPLIT(FE57,","))&amp;",",","&amp;SUBSTITUTE(input_global_network_school," ","")&amp;",")))=COUNTA(TEXTSPLIT(FE57,",")))))</f>
        <v/>
      </c>
      <c r="JI57">
        <f>AND(IF(FG57="",TRUE,IF(input_industry="",FALSE,SUMPRODUCT(--ISNUMBER(SEARCH(","&amp;TRIM(TEXTSPLIT(FG57,","))&amp;",",","&amp;SUBSTITUTE(input_industry," ","")&amp;",")))&gt;0)),IF(FI57="",TRUE,IF(input_industry="",FALSE,SUMPRODUCT(--ISNUMBER(SEARCH(","&amp;TRIM(TEXTSPLIT(FI57,","))&amp;",",","&amp;SUBSTITUTE(input_industry," ","")&amp;",")))=COUNTA(TEXTSPLIT(FI57,",")))),IF(FK57="",TRUE,IF(input_industry="",TRUE,SUMPRODUCT(--ISNUMBER(SEARCH(","&amp;TRIM(TEXTSPLIT(FK57,","))&amp;",",","&amp;SUBSTITUTE(input_industry," ","")&amp;",")))=0)),IF(FM57="",TRUE,IF(input_industry="",FALSE,SUMPRODUCT(--ISNUMBER(SEARCH(","&amp;TRIM(TEXTSPLIT(FM57,","))&amp;",",","&amp;SUBSTITUTE(input_industry," ","")&amp;",")))&gt;0)),IF(FO57="",TRUE,IF(input_industry="",FALSE,SUMPRODUCT(--ISNUMBER(SEARCH(","&amp;TRIM(TEXTSPLIT(FO57,","))&amp;",",","&amp;SUBSTITUTE(input_industry," ","")&amp;",")))=COUNTA(TEXTSPLIT(FO57,",")))))</f>
        <v/>
      </c>
      <c r="JJ57">
        <f>AND(IF(FQ57="",TRUE,IF(input_location="",FALSE,SUMPRODUCT(--ISNUMBER(SEARCH(","&amp;TRIM(TEXTSPLIT(FQ57,","))&amp;",",","&amp;SUBSTITUTE(input_location," ","")&amp;",")))&gt;0)),IF(FS57="",TRUE,IF(input_location="",FALSE,SUMPRODUCT(--ISNUMBER(SEARCH(","&amp;TRIM(TEXTSPLIT(FS57,","))&amp;",",","&amp;SUBSTITUTE(input_location," ","")&amp;",")))=COUNTA(TEXTSPLIT(FS57,",")))),IF(FU57="",TRUE,IF(input_location="",TRUE,SUMPRODUCT(--ISNUMBER(SEARCH(","&amp;TRIM(TEXTSPLIT(FU57,","))&amp;",",","&amp;SUBSTITUTE(input_location," ","")&amp;",")))=0)),IF(FW57="",TRUE,IF(input_location="",FALSE,SUMPRODUCT(--ISNUMBER(SEARCH(","&amp;TRIM(TEXTSPLIT(FW57,","))&amp;",",","&amp;SUBSTITUTE(input_location," ","")&amp;",")))&gt;0)),IF(FY57="",TRUE,IF(input_location="",FALSE,SUMPRODUCT(--ISNUMBER(SEARCH(","&amp;TRIM(TEXTSPLIT(FY57,","))&amp;",",","&amp;SUBSTITUTE(input_location," ","")&amp;",")))=COUNTA(TEXTSPLIT(FY57,",")))))</f>
        <v/>
      </c>
      <c r="JK57">
        <f>AND(IF(GA57="",TRUE,IF(input_modality="",FALSE,SUMPRODUCT(--ISNUMBER(SEARCH(","&amp;TRIM(TEXTSPLIT(GA57,","))&amp;",",","&amp;SUBSTITUTE(input_modality," ","")&amp;",")))&gt;0)),IF(GC57="",TRUE,IF(input_modality="",FALSE,SUMPRODUCT(--ISNUMBER(SEARCH(","&amp;TRIM(TEXTSPLIT(GC57,","))&amp;",",","&amp;SUBSTITUTE(input_modality," ","")&amp;",")))=COUNTA(TEXTSPLIT(GC57,",")))),IF(GE57="",TRUE,IF(input_modality="",TRUE,SUMPRODUCT(--ISNUMBER(SEARCH(","&amp;TRIM(TEXTSPLIT(GE57,","))&amp;",",","&amp;SUBSTITUTE(input_modality," ","")&amp;",")))=0)),IF(GG57="",TRUE,IF(input_modality="",FALSE,SUMPRODUCT(--ISNUMBER(SEARCH(","&amp;TRIM(TEXTSPLIT(GG57,","))&amp;",",","&amp;SUBSTITUTE(input_modality," ","")&amp;",")))&gt;0)),IF(GI57="",TRUE,IF(input_modality="",FALSE,SUMPRODUCT(--ISNUMBER(SEARCH(","&amp;TRIM(TEXTSPLIT(GI57,","))&amp;",",","&amp;SUBSTITUTE(input_modality," ","")&amp;",")))=COUNTA(TEXTSPLIT(GI57,",")))))</f>
        <v/>
      </c>
      <c r="JL57">
        <f>AND(IF(GK57="",TRUE,IF(input_organizer="",FALSE,SUMPRODUCT(--ISNUMBER(SEARCH(","&amp;TRIM(TEXTSPLIT(GK57,","))&amp;",",","&amp;SUBSTITUTE(input_organizer," ","")&amp;",")))&gt;0)),IF(GM57="",TRUE,IF(input_organizer="",FALSE,SUMPRODUCT(--ISNUMBER(SEARCH(","&amp;TRIM(TEXTSPLIT(GM57,","))&amp;",",","&amp;SUBSTITUTE(input_organizer," ","")&amp;",")))=COUNTA(TEXTSPLIT(GM57,",")))),IF(GO57="",TRUE,IF(input_organizer="",TRUE,SUMPRODUCT(--ISNUMBER(SEARCH(","&amp;TRIM(TEXTSPLIT(GO57,","))&amp;",",","&amp;SUBSTITUTE(input_organizer," ","")&amp;",")))=0)),IF(GQ57="",TRUE,IF(input_organizer="",FALSE,SUMPRODUCT(--ISNUMBER(SEARCH(","&amp;TRIM(TEXTSPLIT(GQ57,","))&amp;",",","&amp;SUBSTITUTE(input_organizer," ","")&amp;",")))&gt;0)),IF(GS57="",TRUE,IF(input_organizer="",FALSE,SUMPRODUCT(--ISNUMBER(SEARCH(","&amp;TRIM(TEXTSPLIT(GS57,","))&amp;",",","&amp;SUBSTITUTE(input_organizer," ","")&amp;",")))=COUNTA(TEXTSPLIT(GS57,",")))))</f>
        <v/>
      </c>
      <c r="JM57">
        <f>AND(IF(GU57="",TRUE,IF(input_profile_type="",FALSE,SUMPRODUCT(--ISNUMBER(SEARCH(","&amp;TRIM(TEXTSPLIT(GU57,","))&amp;",",","&amp;SUBSTITUTE(input_profile_type," ","")&amp;",")))&gt;0)),IF(GW57="",TRUE,IF(input_profile_type="",FALSE,SUMPRODUCT(--ISNUMBER(SEARCH(","&amp;TRIM(TEXTSPLIT(GW57,","))&amp;",",","&amp;SUBSTITUTE(input_profile_type," ","")&amp;",")))=COUNTA(TEXTSPLIT(GW57,",")))),IF(GY57="",TRUE,IF(input_profile_type="",TRUE,SUMPRODUCT(--ISNUMBER(SEARCH(","&amp;TRIM(TEXTSPLIT(GY57,","))&amp;",",","&amp;SUBSTITUTE(input_profile_type," ","")&amp;",")))=0)),IF(HA57="",TRUE,IF(input_profile_type="",FALSE,SUMPRODUCT(--ISNUMBER(SEARCH(","&amp;TRIM(TEXTSPLIT(HA57,","))&amp;",",","&amp;SUBSTITUTE(input_profile_type," ","")&amp;",")))&gt;0)),IF(HC57="",TRUE,IF(input_profile_type="",FALSE,SUMPRODUCT(--ISNUMBER(SEARCH(","&amp;TRIM(TEXTSPLIT(HC57,","))&amp;",",","&amp;SUBSTITUTE(input_profile_type," ","")&amp;",")))=COUNTA(TEXTSPLIT(HC57,",")))))</f>
        <v/>
      </c>
      <c r="JN57">
        <f>AND(IF(HE57="",TRUE,IF(input_program="",FALSE,SUMPRODUCT(--ISNUMBER(SEARCH(","&amp;TRIM(TEXTSPLIT(HE57,","))&amp;",",","&amp;SUBSTITUTE(input_program," ","")&amp;",")))&gt;0)),IF(HG57="",TRUE,IF(input_program="",FALSE,SUMPRODUCT(--ISNUMBER(SEARCH(","&amp;TRIM(TEXTSPLIT(HG57,","))&amp;",",","&amp;SUBSTITUTE(input_program," ","")&amp;",")))=COUNTA(TEXTSPLIT(HG57,",")))),IF(HI57="",TRUE,IF(input_program="",TRUE,SUMPRODUCT(--ISNUMBER(SEARCH(","&amp;TRIM(TEXTSPLIT(HI57,","))&amp;",",","&amp;SUBSTITUTE(input_program," ","")&amp;",")))=0)),IF(HK57="",TRUE,IF(input_program="",FALSE,SUMPRODUCT(--ISNUMBER(SEARCH(","&amp;TRIM(TEXTSPLIT(HK57,","))&amp;",",","&amp;SUBSTITUTE(input_program," ","")&amp;",")))&gt;0)),IF(HM57="",TRUE,IF(input_program="",FALSE,SUMPRODUCT(--ISNUMBER(SEARCH(","&amp;TRIM(TEXTSPLIT(HM57,","))&amp;",",","&amp;SUBSTITUTE(input_program," ","")&amp;",")))=COUNTA(TEXTSPLIT(HM57,",")))))</f>
        <v/>
      </c>
      <c r="JO57">
        <f>AND(IF(HO57="",TRUE,IF(input_story_categories="",FALSE,SUMPRODUCT(--ISNUMBER(SEARCH(","&amp;TRIM(TEXTSPLIT(HO57,","))&amp;",",","&amp;SUBSTITUTE(input_story_categories," ","")&amp;",")))&gt;0)),IF(HQ57="",TRUE,IF(input_story_categories="",FALSE,SUMPRODUCT(--ISNUMBER(SEARCH(","&amp;TRIM(TEXTSPLIT(HQ57,","))&amp;",",","&amp;SUBSTITUTE(input_story_categories," ","")&amp;",")))=COUNTA(TEXTSPLIT(HQ57,",")))),IF(HS57="",TRUE,IF(input_story_categories="",TRUE,SUMPRODUCT(--ISNUMBER(SEARCH(","&amp;TRIM(TEXTSPLIT(HS57,","))&amp;",",","&amp;SUBSTITUTE(input_story_categories," ","")&amp;",")))=0)),IF(HU57="",TRUE,IF(input_story_categories="",FALSE,SUMPRODUCT(--ISNUMBER(SEARCH(","&amp;TRIM(TEXTSPLIT(HU57,","))&amp;",",","&amp;SUBSTITUTE(input_story_categories," ","")&amp;",")))&gt;0)),IF(HW57="",TRUE,IF(input_story_categories="",FALSE,SUMPRODUCT(--ISNUMBER(SEARCH(","&amp;TRIM(TEXTSPLIT(HW57,","))&amp;",",","&amp;SUBSTITUTE(input_story_categories," ","")&amp;",")))=COUNTA(TEXTSPLIT(HW57,",")))))</f>
        <v/>
      </c>
      <c r="JP57">
        <f>AND(IF(HY57="",TRUE,IF(input_story_type="",FALSE,SUMPRODUCT(--ISNUMBER(SEARCH(","&amp;TRIM(TEXTSPLIT(HY57,","))&amp;",",","&amp;SUBSTITUTE(input_story_type," ","")&amp;",")))&gt;0)),IF(IA57="",TRUE,IF(input_story_type="",FALSE,SUMPRODUCT(--ISNUMBER(SEARCH(","&amp;TRIM(TEXTSPLIT(IA57,","))&amp;",",","&amp;SUBSTITUTE(input_story_type," ","")&amp;",")))=COUNTA(TEXTSPLIT(IA57,",")))),IF(IC57="",TRUE,IF(input_story_type="",TRUE,SUMPRODUCT(--ISNUMBER(SEARCH(","&amp;TRIM(TEXTSPLIT(IC57,","))&amp;",",","&amp;SUBSTITUTE(input_story_type," ","")&amp;",")))=0)),IF(IE57="",TRUE,IF(input_story_type="",FALSE,SUMPRODUCT(--ISNUMBER(SEARCH(","&amp;TRIM(TEXTSPLIT(IE57,","))&amp;",",","&amp;SUBSTITUTE(input_story_type," ","")&amp;",")))&gt;0)),IF(IG57="",TRUE,IF(input_story_type="",FALSE,SUMPRODUCT(--ISNUMBER(SEARCH(","&amp;TRIM(TEXTSPLIT(IG57,","))&amp;",",","&amp;SUBSTITUTE(input_story_type," ","")&amp;",")))=COUNTA(TEXTSPLIT(IG57,",")))))</f>
        <v/>
      </c>
      <c r="JQ57">
        <f>AND(IF(II57="",TRUE,IF(input_topics="",FALSE,SUMPRODUCT(--ISNUMBER(SEARCH(","&amp;TRIM(TEXTSPLIT(II57,","))&amp;",",","&amp;SUBSTITUTE(input_topics," ","")&amp;",")))&gt;0)),IF(IK57="",TRUE,IF(input_topics="",FALSE,SUMPRODUCT(--ISNUMBER(SEARCH(","&amp;TRIM(TEXTSPLIT(IK57,","))&amp;",",","&amp;SUBSTITUTE(input_topics," ","")&amp;",")))=COUNTA(TEXTSPLIT(IK57,",")))),IF(IM57="",TRUE,IF(input_topics="",TRUE,SUMPRODUCT(--ISNUMBER(SEARCH(","&amp;TRIM(TEXTSPLIT(IM57,","))&amp;",",","&amp;SUBSTITUTE(input_topics," ","")&amp;",")))=0)),IF(IO57="",TRUE,IF(input_topics="",FALSE,SUMPRODUCT(--ISNUMBER(SEARCH(","&amp;TRIM(TEXTSPLIT(IO57,","))&amp;",",","&amp;SUBSTITUTE(input_topics," ","")&amp;",")))&gt;0)),IF(IQ57="",TRUE,IF(input_topics="",FALSE,SUMPRODUCT(--ISNUMBER(SEARCH(","&amp;TRIM(TEXTSPLIT(IQ57,","))&amp;",",","&amp;SUBSTITUTE(input_topics," ","")&amp;",")))=COUNTA(TEXTSPLIT(IQ57,",")))))</f>
        <v/>
      </c>
    </row>
    <row r="58">
      <c r="A58" s="4">
        <f>IF(NOT(IS58),"Excluded",IF(AND(IT58,IU58,IV58,IW58,IX58,IY58,IZ58,JA58,JB58,JC58,JD58,JE58,JF58,JG58,JH58,JI58,JJ58,JK58,JL58,JM58,JN58,JO58,JP58,JQ58),IF(I58&gt;0,"Eligible but limited","Will appear"),"Excluded"))</f>
        <v/>
      </c>
      <c r="B58" s="4" t="inlineStr">
        <is>
          <t>All Publications by Author</t>
        </is>
      </c>
      <c r="C58" s="4" t="inlineStr">
        <is>
          <t>/faculty-research/faculty-directory/zoe-chance</t>
        </is>
      </c>
      <c r="D58" s="4" t="inlineStr">
        <is>
          <t>/faculty-research/faculty-directory/zoe-chance</t>
        </is>
      </c>
      <c r="E58" s="4" t="n">
        <v>1</v>
      </c>
      <c r="F58" s="4" t="inlineStr">
        <is>
          <t>publications</t>
        </is>
      </c>
      <c r="G58" s="4" t="inlineStr">
        <is>
          <t>publication_teaser_list</t>
        </is>
      </c>
      <c r="H58" s="4" t="inlineStr">
        <is>
          <t>publication_teaser_list_all_by_author</t>
        </is>
      </c>
      <c r="I58" s="4" t="inlineStr"/>
      <c r="J58" s="4" t="inlineStr">
        <is>
          <t>View/config rules</t>
        </is>
      </c>
      <c r="K58" s="4" t="inlineStr">
        <is>
          <t>Page placement</t>
        </is>
      </c>
      <c r="L58" s="4" t="inlineStr">
        <is>
          <t>Content type: publications; Source: View/config rules</t>
        </is>
      </c>
      <c r="M58" t="inlineStr"/>
      <c r="N58" t="inlineStr"/>
      <c r="O58" t="inlineStr"/>
      <c r="P58" t="inlineStr"/>
      <c r="Q58" t="inlineStr"/>
      <c r="R58" t="inlineStr"/>
      <c r="S58" t="inlineStr"/>
      <c r="T58" t="inlineStr"/>
      <c r="U58" t="inlineStr"/>
      <c r="V58" t="inlineStr"/>
      <c r="W58" t="inlineStr"/>
      <c r="X58" t="inlineStr"/>
      <c r="Y58" t="inlineStr"/>
      <c r="Z58" t="inlineStr"/>
      <c r="AA58" t="inlineStr"/>
      <c r="AB58" t="inlineStr"/>
      <c r="AC58" t="inlineStr"/>
      <c r="AD58" t="inlineStr"/>
      <c r="AE58" t="inlineStr"/>
      <c r="AF58" t="inlineStr"/>
      <c r="AG58" t="inlineStr"/>
      <c r="AH58" t="inlineStr"/>
      <c r="AI58" t="inlineStr"/>
      <c r="AJ58" t="inlineStr"/>
      <c r="AK58" t="inlineStr"/>
      <c r="AL58" t="inlineStr"/>
      <c r="AM58" t="inlineStr"/>
      <c r="AN58" t="inlineStr"/>
      <c r="AO58" t="inlineStr"/>
      <c r="AP58" t="inlineStr"/>
      <c r="AQ58" t="inlineStr"/>
      <c r="AR58" t="inlineStr"/>
      <c r="AS58" t="inlineStr"/>
      <c r="AT58" t="inlineStr"/>
      <c r="AU58" t="inlineStr"/>
      <c r="AV58" t="inlineStr"/>
      <c r="AW58" t="inlineStr"/>
      <c r="AX58" t="inlineStr"/>
      <c r="AY58" t="inlineStr"/>
      <c r="AZ58" t="inlineStr"/>
      <c r="BA58" t="inlineStr"/>
      <c r="BB58" t="inlineStr"/>
      <c r="BC58" t="inlineStr"/>
      <c r="BD58" t="inlineStr"/>
      <c r="BE58" t="inlineStr"/>
      <c r="BF58" t="inlineStr"/>
      <c r="BG58" t="inlineStr"/>
      <c r="BH58" t="inlineStr"/>
      <c r="BI58" t="inlineStr"/>
      <c r="BJ58" t="inlineStr"/>
      <c r="BK58" t="inlineStr"/>
      <c r="BL58" t="inlineStr"/>
      <c r="BM58" t="inlineStr"/>
      <c r="BN58" t="inlineStr"/>
      <c r="BO58" t="inlineStr"/>
      <c r="BP58" t="inlineStr"/>
      <c r="BQ58" t="inlineStr"/>
      <c r="BR58" t="inlineStr"/>
      <c r="BS58" t="inlineStr"/>
      <c r="BT58" t="inlineStr"/>
      <c r="BU58" t="inlineStr"/>
      <c r="BV58" t="inlineStr"/>
      <c r="BW58" t="inlineStr"/>
      <c r="BX58" t="inlineStr"/>
      <c r="BY58" t="inlineStr"/>
      <c r="BZ58" t="inlineStr"/>
      <c r="CA58" t="inlineStr"/>
      <c r="CB58" t="inlineStr"/>
      <c r="CC58" t="inlineStr"/>
      <c r="CD58" t="inlineStr"/>
      <c r="CE58" t="inlineStr"/>
      <c r="CF58" t="inlineStr"/>
      <c r="CG58" t="inlineStr"/>
      <c r="CH58" t="inlineStr"/>
      <c r="CI58" t="inlineStr"/>
      <c r="CJ58" t="inlineStr"/>
      <c r="CK58" t="inlineStr"/>
      <c r="CL58" t="inlineStr"/>
      <c r="CM58" t="inlineStr"/>
      <c r="CN58" t="inlineStr"/>
      <c r="CO58" t="inlineStr"/>
      <c r="CP58" t="inlineStr"/>
      <c r="CQ58" t="inlineStr"/>
      <c r="CR58" t="inlineStr"/>
      <c r="CS58" t="inlineStr"/>
      <c r="CT58" t="inlineStr"/>
      <c r="CU58" t="inlineStr"/>
      <c r="CV58" t="inlineStr"/>
      <c r="CW58" t="inlineStr"/>
      <c r="CX58" t="inlineStr"/>
      <c r="CY58" t="inlineStr"/>
      <c r="CZ58" t="inlineStr"/>
      <c r="DA58" t="inlineStr"/>
      <c r="DB58" t="inlineStr"/>
      <c r="DC58" t="inlineStr"/>
      <c r="DD58" t="inlineStr"/>
      <c r="DE58" t="inlineStr"/>
      <c r="DF58" t="inlineStr"/>
      <c r="DG58" t="inlineStr"/>
      <c r="DH58" t="inlineStr"/>
      <c r="DI58" t="inlineStr"/>
      <c r="DJ58" t="inlineStr"/>
      <c r="DK58" t="inlineStr"/>
      <c r="DL58" t="inlineStr"/>
      <c r="DM58" t="inlineStr"/>
      <c r="DN58" t="inlineStr"/>
      <c r="DO58" t="inlineStr"/>
      <c r="DP58" t="inlineStr"/>
      <c r="DQ58" t="inlineStr"/>
      <c r="DR58" t="inlineStr"/>
      <c r="DS58" t="inlineStr"/>
      <c r="DT58" t="inlineStr"/>
      <c r="DU58" t="inlineStr"/>
      <c r="DV58" t="inlineStr"/>
      <c r="DW58" t="inlineStr"/>
      <c r="DX58" t="inlineStr"/>
      <c r="DY58" t="inlineStr"/>
      <c r="DZ58" t="inlineStr"/>
      <c r="EA58" t="inlineStr"/>
      <c r="EB58" t="inlineStr"/>
      <c r="EC58" t="inlineStr"/>
      <c r="ED58" t="inlineStr"/>
      <c r="EE58" t="inlineStr"/>
      <c r="EF58" t="inlineStr"/>
      <c r="EG58" t="inlineStr"/>
      <c r="EH58" t="inlineStr"/>
      <c r="EI58" t="inlineStr"/>
      <c r="EJ58" t="inlineStr"/>
      <c r="EK58" t="inlineStr"/>
      <c r="EL58" t="inlineStr"/>
      <c r="EM58" t="inlineStr"/>
      <c r="EN58" t="inlineStr"/>
      <c r="EO58" t="inlineStr"/>
      <c r="EP58" t="inlineStr"/>
      <c r="EQ58" t="inlineStr"/>
      <c r="ER58" t="inlineStr"/>
      <c r="ES58" t="inlineStr"/>
      <c r="ET58" t="inlineStr"/>
      <c r="EU58" t="inlineStr"/>
      <c r="EV58" t="inlineStr"/>
      <c r="EW58" t="inlineStr"/>
      <c r="EX58" t="inlineStr"/>
      <c r="EY58" t="inlineStr"/>
      <c r="EZ58" t="inlineStr"/>
      <c r="FA58" t="inlineStr"/>
      <c r="FB58" t="inlineStr"/>
      <c r="FC58" t="inlineStr"/>
      <c r="FD58" t="inlineStr"/>
      <c r="FE58" t="inlineStr"/>
      <c r="FF58" t="inlineStr"/>
      <c r="FG58" t="inlineStr"/>
      <c r="FH58" t="inlineStr"/>
      <c r="FI58" t="inlineStr"/>
      <c r="FJ58" t="inlineStr"/>
      <c r="FK58" t="inlineStr"/>
      <c r="FL58" t="inlineStr"/>
      <c r="FM58" t="inlineStr"/>
      <c r="FN58" t="inlineStr"/>
      <c r="FO58" t="inlineStr"/>
      <c r="FP58" t="inlineStr"/>
      <c r="FQ58" t="inlineStr"/>
      <c r="FR58" t="inlineStr"/>
      <c r="FS58" t="inlineStr"/>
      <c r="FT58" t="inlineStr"/>
      <c r="FU58" t="inlineStr"/>
      <c r="FV58" t="inlineStr"/>
      <c r="FW58" t="inlineStr"/>
      <c r="FX58" t="inlineStr"/>
      <c r="FY58" t="inlineStr"/>
      <c r="FZ58" t="inlineStr"/>
      <c r="GA58" t="inlineStr"/>
      <c r="GB58" t="inlineStr"/>
      <c r="GC58" t="inlineStr"/>
      <c r="GD58" t="inlineStr"/>
      <c r="GE58" t="inlineStr"/>
      <c r="GF58" t="inlineStr"/>
      <c r="GG58" t="inlineStr"/>
      <c r="GH58" t="inlineStr"/>
      <c r="GI58" t="inlineStr"/>
      <c r="GJ58" t="inlineStr"/>
      <c r="GK58" t="inlineStr"/>
      <c r="GL58" t="inlineStr"/>
      <c r="GM58" t="inlineStr"/>
      <c r="GN58" t="inlineStr"/>
      <c r="GO58" t="inlineStr"/>
      <c r="GP58" t="inlineStr"/>
      <c r="GQ58" t="inlineStr"/>
      <c r="GR58" t="inlineStr"/>
      <c r="GS58" t="inlineStr"/>
      <c r="GT58" t="inlineStr"/>
      <c r="GU58" t="inlineStr"/>
      <c r="GV58" t="inlineStr"/>
      <c r="GW58" t="inlineStr"/>
      <c r="GX58" t="inlineStr"/>
      <c r="GY58" t="inlineStr"/>
      <c r="GZ58" t="inlineStr"/>
      <c r="HA58" t="inlineStr"/>
      <c r="HB58" t="inlineStr"/>
      <c r="HC58" t="inlineStr"/>
      <c r="HD58" t="inlineStr"/>
      <c r="HE58" t="inlineStr"/>
      <c r="HF58" t="inlineStr"/>
      <c r="HG58" t="inlineStr"/>
      <c r="HH58" t="inlineStr"/>
      <c r="HI58" t="inlineStr"/>
      <c r="HJ58" t="inlineStr"/>
      <c r="HK58" t="inlineStr"/>
      <c r="HL58" t="inlineStr"/>
      <c r="HM58" t="inlineStr"/>
      <c r="HN58" t="inlineStr"/>
      <c r="HO58" t="inlineStr"/>
      <c r="HP58" t="inlineStr"/>
      <c r="HQ58" t="inlineStr"/>
      <c r="HR58" t="inlineStr"/>
      <c r="HS58" t="inlineStr"/>
      <c r="HT58" t="inlineStr"/>
      <c r="HU58" t="inlineStr"/>
      <c r="HV58" t="inlineStr"/>
      <c r="HW58" t="inlineStr"/>
      <c r="HX58" t="inlineStr"/>
      <c r="HY58" t="inlineStr"/>
      <c r="HZ58" t="inlineStr"/>
      <c r="IA58" t="inlineStr"/>
      <c r="IB58" t="inlineStr"/>
      <c r="IC58" t="inlineStr"/>
      <c r="ID58" t="inlineStr"/>
      <c r="IE58" t="inlineStr"/>
      <c r="IF58" t="inlineStr"/>
      <c r="IG58" t="inlineStr"/>
      <c r="IH58" t="inlineStr"/>
      <c r="II58" t="inlineStr"/>
      <c r="IJ58" t="inlineStr"/>
      <c r="IK58" t="inlineStr"/>
      <c r="IL58" t="inlineStr"/>
      <c r="IM58" t="inlineStr"/>
      <c r="IN58" t="inlineStr"/>
      <c r="IO58" t="inlineStr"/>
      <c r="IP58" t="inlineStr"/>
      <c r="IQ58" t="inlineStr"/>
      <c r="IR58" t="inlineStr"/>
      <c r="IS58">
        <f>IF(input_content_type="",FALSE,ISNUMBER(SEARCH(","&amp;LOWER(input_content_type)&amp;",",","&amp;LOWER(F58)&amp;",")))</f>
        <v/>
      </c>
      <c r="IT58">
        <f>AND(IF(M58="",TRUE,IF(input_affiliations="",FALSE,SUMPRODUCT(--ISNUMBER(SEARCH(","&amp;TRIM(TEXTSPLIT(M58,","))&amp;",",","&amp;SUBSTITUTE(input_affiliations," ","")&amp;",")))&gt;0)),IF(O58="",TRUE,IF(input_affiliations="",FALSE,SUMPRODUCT(--ISNUMBER(SEARCH(","&amp;TRIM(TEXTSPLIT(O58,","))&amp;",",","&amp;SUBSTITUTE(input_affiliations," ","")&amp;",")))=COUNTA(TEXTSPLIT(O58,",")))),IF(Q58="",TRUE,IF(input_affiliations="",TRUE,SUMPRODUCT(--ISNUMBER(SEARCH(","&amp;TRIM(TEXTSPLIT(Q58,","))&amp;",",","&amp;SUBSTITUTE(input_affiliations," ","")&amp;",")))=0)),IF(S58="",TRUE,IF(input_affiliations="",FALSE,SUMPRODUCT(--ISNUMBER(SEARCH(","&amp;TRIM(TEXTSPLIT(S58,","))&amp;",",","&amp;SUBSTITUTE(input_affiliations," ","")&amp;",")))&gt;0)),IF(U58="",TRUE,IF(input_affiliations="",FALSE,SUMPRODUCT(--ISNUMBER(SEARCH(","&amp;TRIM(TEXTSPLIT(U58,","))&amp;",",","&amp;SUBSTITUTE(input_affiliations," ","")&amp;",")))=COUNTA(TEXTSPLIT(U58,",")))))</f>
        <v/>
      </c>
      <c r="IU58">
        <f>AND(IF(W58="",TRUE,IF(input_announcement_category="",FALSE,SUMPRODUCT(--ISNUMBER(SEARCH(","&amp;TRIM(TEXTSPLIT(W58,","))&amp;",",","&amp;SUBSTITUTE(input_announcement_category," ","")&amp;",")))&gt;0)),IF(Y58="",TRUE,IF(input_announcement_category="",FALSE,SUMPRODUCT(--ISNUMBER(SEARCH(","&amp;TRIM(TEXTSPLIT(Y58,","))&amp;",",","&amp;SUBSTITUTE(input_announcement_category," ","")&amp;",")))=COUNTA(TEXTSPLIT(Y58,",")))),IF(AA58="",TRUE,IF(input_announcement_category="",TRUE,SUMPRODUCT(--ISNUMBER(SEARCH(","&amp;TRIM(TEXTSPLIT(AA58,","))&amp;",",","&amp;SUBSTITUTE(input_announcement_category," ","")&amp;",")))=0)),IF(AC58="",TRUE,IF(input_announcement_category="",FALSE,SUMPRODUCT(--ISNUMBER(SEARCH(","&amp;TRIM(TEXTSPLIT(AC58,","))&amp;",",","&amp;SUBSTITUTE(input_announcement_category," ","")&amp;",")))&gt;0)),IF(AE58="",TRUE,IF(input_announcement_category="",FALSE,SUMPRODUCT(--ISNUMBER(SEARCH(","&amp;TRIM(TEXTSPLIT(AE58,","))&amp;",",","&amp;SUBSTITUTE(input_announcement_category," ","")&amp;",")))=COUNTA(TEXTSPLIT(AE58,",")))))</f>
        <v/>
      </c>
      <c r="IV58">
        <f>AND(IF(AG58="",TRUE,IF(input_area_of_focus="",FALSE,SUMPRODUCT(--ISNUMBER(SEARCH(","&amp;TRIM(TEXTSPLIT(AG58,","))&amp;",",","&amp;SUBSTITUTE(input_area_of_focus," ","")&amp;",")))&gt;0)),IF(AI58="",TRUE,IF(input_area_of_focus="",FALSE,SUMPRODUCT(--ISNUMBER(SEARCH(","&amp;TRIM(TEXTSPLIT(AI58,","))&amp;",",","&amp;SUBSTITUTE(input_area_of_focus," ","")&amp;",")))=COUNTA(TEXTSPLIT(AI58,",")))),IF(AK58="",TRUE,IF(input_area_of_focus="",TRUE,SUMPRODUCT(--ISNUMBER(SEARCH(","&amp;TRIM(TEXTSPLIT(AK58,","))&amp;",",","&amp;SUBSTITUTE(input_area_of_focus," ","")&amp;",")))=0)),IF(AM58="",TRUE,IF(input_area_of_focus="",FALSE,SUMPRODUCT(--ISNUMBER(SEARCH(","&amp;TRIM(TEXTSPLIT(AM58,","))&amp;",",","&amp;SUBSTITUTE(input_area_of_focus," ","")&amp;",")))&gt;0)),IF(AO58="",TRUE,IF(input_area_of_focus="",FALSE,SUMPRODUCT(--ISNUMBER(SEARCH(","&amp;TRIM(TEXTSPLIT(AO58,","))&amp;",",","&amp;SUBSTITUTE(input_area_of_focus," ","")&amp;",")))=COUNTA(TEXTSPLIT(AO58,",")))))</f>
        <v/>
      </c>
      <c r="IW58">
        <f>AND(IF(AQ58="",TRUE,IF(input_audience="",FALSE,SUMPRODUCT(--ISNUMBER(SEARCH(","&amp;TRIM(TEXTSPLIT(AQ58,","))&amp;",",","&amp;SUBSTITUTE(input_audience," ","")&amp;",")))&gt;0)),IF(AS58="",TRUE,IF(input_audience="",FALSE,SUMPRODUCT(--ISNUMBER(SEARCH(","&amp;TRIM(TEXTSPLIT(AS58,","))&amp;",",","&amp;SUBSTITUTE(input_audience," ","")&amp;",")))=COUNTA(TEXTSPLIT(AS58,",")))),IF(AU58="",TRUE,IF(input_audience="",TRUE,SUMPRODUCT(--ISNUMBER(SEARCH(","&amp;TRIM(TEXTSPLIT(AU58,","))&amp;",",","&amp;SUBSTITUTE(input_audience," ","")&amp;",")))=0)),IF(AW58="",TRUE,IF(input_audience="",FALSE,SUMPRODUCT(--ISNUMBER(SEARCH(","&amp;TRIM(TEXTSPLIT(AW58,","))&amp;",",","&amp;SUBSTITUTE(input_audience," ","")&amp;",")))&gt;0)),IF(AY58="",TRUE,IF(input_audience="",FALSE,SUMPRODUCT(--ISNUMBER(SEARCH(","&amp;TRIM(TEXTSPLIT(AY58,","))&amp;",",","&amp;SUBSTITUTE(input_audience," ","")&amp;",")))=COUNTA(TEXTSPLIT(AY58,",")))))</f>
        <v/>
      </c>
      <c r="IX58">
        <f>AND(IF(BA58="",TRUE,IF(input_challenge_opportunities="",FALSE,SUMPRODUCT(--ISNUMBER(SEARCH(","&amp;TRIM(TEXTSPLIT(BA58,","))&amp;",",","&amp;SUBSTITUTE(input_challenge_opportunities," ","")&amp;",")))&gt;0)),IF(BC58="",TRUE,IF(input_challenge_opportunities="",FALSE,SUMPRODUCT(--ISNUMBER(SEARCH(","&amp;TRIM(TEXTSPLIT(BC58,","))&amp;",",","&amp;SUBSTITUTE(input_challenge_opportunities," ","")&amp;",")))=COUNTA(TEXTSPLIT(BC58,",")))),IF(BE58="",TRUE,IF(input_challenge_opportunities="",TRUE,SUMPRODUCT(--ISNUMBER(SEARCH(","&amp;TRIM(TEXTSPLIT(BE58,","))&amp;",",","&amp;SUBSTITUTE(input_challenge_opportunities," ","")&amp;",")))=0)),IF(BG58="",TRUE,IF(input_challenge_opportunities="",FALSE,SUMPRODUCT(--ISNUMBER(SEARCH(","&amp;TRIM(TEXTSPLIT(BG58,","))&amp;",",","&amp;SUBSTITUTE(input_challenge_opportunities," ","")&amp;",")))&gt;0)),IF(BI58="",TRUE,IF(input_challenge_opportunities="",FALSE,SUMPRODUCT(--ISNUMBER(SEARCH(","&amp;TRIM(TEXTSPLIT(BI58,","))&amp;",",","&amp;SUBSTITUTE(input_challenge_opportunities," ","")&amp;",")))=COUNTA(TEXTSPLIT(BI58,",")))))</f>
        <v/>
      </c>
      <c r="IY58">
        <f>AND(IF(BK58="",TRUE,IF(input_context="",FALSE,SUMPRODUCT(--ISNUMBER(SEARCH(","&amp;TRIM(TEXTSPLIT(BK58,","))&amp;",",","&amp;SUBSTITUTE(input_context," ","")&amp;",")))&gt;0)),IF(BM58="",TRUE,IF(input_context="",FALSE,SUMPRODUCT(--ISNUMBER(SEARCH(","&amp;TRIM(TEXTSPLIT(BM58,","))&amp;",",","&amp;SUBSTITUTE(input_context," ","")&amp;",")))=COUNTA(TEXTSPLIT(BM58,",")))),IF(BO58="",TRUE,IF(input_context="",TRUE,SUMPRODUCT(--ISNUMBER(SEARCH(","&amp;TRIM(TEXTSPLIT(BO58,","))&amp;",",","&amp;SUBSTITUTE(input_context," ","")&amp;",")))=0)),IF(BQ58="",TRUE,IF(input_context="",FALSE,SUMPRODUCT(--ISNUMBER(SEARCH(","&amp;TRIM(TEXTSPLIT(BQ58,","))&amp;",",","&amp;SUBSTITUTE(input_context," ","")&amp;",")))&gt;0)),IF(BS58="",TRUE,IF(input_context="",FALSE,SUMPRODUCT(--ISNUMBER(SEARCH(","&amp;TRIM(TEXTSPLIT(BS58,","))&amp;",",","&amp;SUBSTITUTE(input_context," ","")&amp;",")))=COUNTA(TEXTSPLIT(BS58,",")))))</f>
        <v/>
      </c>
      <c r="IZ58">
        <f>AND(IF(BU58="",TRUE,IF(input_enews_announcement_type="",FALSE,SUMPRODUCT(--ISNUMBER(SEARCH(","&amp;TRIM(TEXTSPLIT(BU58,","))&amp;",",","&amp;SUBSTITUTE(input_enews_announcement_type," ","")&amp;",")))&gt;0)),IF(BW58="",TRUE,IF(input_enews_announcement_type="",FALSE,SUMPRODUCT(--ISNUMBER(SEARCH(","&amp;TRIM(TEXTSPLIT(BW58,","))&amp;",",","&amp;SUBSTITUTE(input_enews_announcement_type," ","")&amp;",")))=COUNTA(TEXTSPLIT(BW58,",")))),IF(BY58="",TRUE,IF(input_enews_announcement_type="",TRUE,SUMPRODUCT(--ISNUMBER(SEARCH(","&amp;TRIM(TEXTSPLIT(BY58,","))&amp;",",","&amp;SUBSTITUTE(input_enews_announcement_type," ","")&amp;",")))=0)),IF(CA58="",TRUE,IF(input_enews_announcement_type="",FALSE,SUMPRODUCT(--ISNUMBER(SEARCH(","&amp;TRIM(TEXTSPLIT(CA58,","))&amp;",",","&amp;SUBSTITUTE(input_enews_announcement_type," ","")&amp;",")))&gt;0)),IF(CC58="",TRUE,IF(input_enews_announcement_type="",FALSE,SUMPRODUCT(--ISNUMBER(SEARCH(","&amp;TRIM(TEXTSPLIT(CC58,","))&amp;",",","&amp;SUBSTITUTE(input_enews_announcement_type," ","")&amp;",")))=COUNTA(TEXTSPLIT(CC58,",")))))</f>
        <v/>
      </c>
      <c r="JA58">
        <f>AND(IF(CE58="",TRUE,IF(input_enews_audience="",FALSE,SUMPRODUCT(--ISNUMBER(SEARCH(","&amp;TRIM(TEXTSPLIT(CE58,","))&amp;",",","&amp;SUBSTITUTE(input_enews_audience," ","")&amp;",")))&gt;0)),IF(CG58="",TRUE,IF(input_enews_audience="",FALSE,SUMPRODUCT(--ISNUMBER(SEARCH(","&amp;TRIM(TEXTSPLIT(CG58,","))&amp;",",","&amp;SUBSTITUTE(input_enews_audience," ","")&amp;",")))=COUNTA(TEXTSPLIT(CG58,",")))),IF(CI58="",TRUE,IF(input_enews_audience="",TRUE,SUMPRODUCT(--ISNUMBER(SEARCH(","&amp;TRIM(TEXTSPLIT(CI58,","))&amp;",",","&amp;SUBSTITUTE(input_enews_audience," ","")&amp;",")))=0)),IF(CK58="",TRUE,IF(input_enews_audience="",FALSE,SUMPRODUCT(--ISNUMBER(SEARCH(","&amp;TRIM(TEXTSPLIT(CK58,","))&amp;",",","&amp;SUBSTITUTE(input_enews_audience," ","")&amp;",")))&gt;0)),IF(CM58="",TRUE,IF(input_enews_audience="",FALSE,SUMPRODUCT(--ISNUMBER(SEARCH(","&amp;TRIM(TEXTSPLIT(CM58,","))&amp;",",","&amp;SUBSTITUTE(input_enews_audience," ","")&amp;",")))=COUNTA(TEXTSPLIT(CM58,",")))))</f>
        <v/>
      </c>
      <c r="JB58">
        <f>AND(IF(CO58="",TRUE,IF(input_event_location="",FALSE,SUMPRODUCT(--ISNUMBER(SEARCH(","&amp;TRIM(TEXTSPLIT(CO58,","))&amp;",",","&amp;SUBSTITUTE(input_event_location," ","")&amp;",")))&gt;0)),IF(CQ58="",TRUE,IF(input_event_location="",FALSE,SUMPRODUCT(--ISNUMBER(SEARCH(","&amp;TRIM(TEXTSPLIT(CQ58,","))&amp;",",","&amp;SUBSTITUTE(input_event_location," ","")&amp;",")))=COUNTA(TEXTSPLIT(CQ58,",")))),IF(CS58="",TRUE,IF(input_event_location="",TRUE,SUMPRODUCT(--ISNUMBER(SEARCH(","&amp;TRIM(TEXTSPLIT(CS58,","))&amp;",",","&amp;SUBSTITUTE(input_event_location," ","")&amp;",")))=0)),IF(CU58="",TRUE,IF(input_event_location="",FALSE,SUMPRODUCT(--ISNUMBER(SEARCH(","&amp;TRIM(TEXTSPLIT(CU58,","))&amp;",",","&amp;SUBSTITUTE(input_event_location," ","")&amp;",")))&gt;0)),IF(CW58="",TRUE,IF(input_event_location="",FALSE,SUMPRODUCT(--ISNUMBER(SEARCH(","&amp;TRIM(TEXTSPLIT(CW58,","))&amp;",",","&amp;SUBSTITUTE(input_event_location," ","")&amp;",")))=COUNTA(TEXTSPLIT(CW58,",")))))</f>
        <v/>
      </c>
      <c r="JC58">
        <f>AND(IF(CY58="",TRUE,IF(input_event_type="",FALSE,SUMPRODUCT(--ISNUMBER(SEARCH(","&amp;TRIM(TEXTSPLIT(CY58,","))&amp;",",","&amp;SUBSTITUTE(input_event_type," ","")&amp;",")))&gt;0)),IF(DA58="",TRUE,IF(input_event_type="",FALSE,SUMPRODUCT(--ISNUMBER(SEARCH(","&amp;TRIM(TEXTSPLIT(DA58,","))&amp;",",","&amp;SUBSTITUTE(input_event_type," ","")&amp;",")))=COUNTA(TEXTSPLIT(DA58,",")))),IF(DC58="",TRUE,IF(input_event_type="",TRUE,SUMPRODUCT(--ISNUMBER(SEARCH(","&amp;TRIM(TEXTSPLIT(DC58,","))&amp;",",","&amp;SUBSTITUTE(input_event_type," ","")&amp;",")))=0)),IF(DE58="",TRUE,IF(input_event_type="",FALSE,SUMPRODUCT(--ISNUMBER(SEARCH(","&amp;TRIM(TEXTSPLIT(DE58,","))&amp;",",","&amp;SUBSTITUTE(input_event_type," ","")&amp;",")))&gt;0)),IF(DG58="",TRUE,IF(input_event_type="",FALSE,SUMPRODUCT(--ISNUMBER(SEARCH(","&amp;TRIM(TEXTSPLIT(DG58,","))&amp;",",","&amp;SUBSTITUTE(input_event_type," ","")&amp;",")))=COUNTA(TEXTSPLIT(DG58,",")))))</f>
        <v/>
      </c>
      <c r="JD58">
        <f>AND(IF(DI58="",TRUE,IF(input_executive_education_focus="",FALSE,SUMPRODUCT(--ISNUMBER(SEARCH(","&amp;TRIM(TEXTSPLIT(DI58,","))&amp;",",","&amp;SUBSTITUTE(input_executive_education_focus," ","")&amp;",")))&gt;0)),IF(DK58="",TRUE,IF(input_executive_education_focus="",FALSE,SUMPRODUCT(--ISNUMBER(SEARCH(","&amp;TRIM(TEXTSPLIT(DK58,","))&amp;",",","&amp;SUBSTITUTE(input_executive_education_focus," ","")&amp;",")))=COUNTA(TEXTSPLIT(DK58,",")))),IF(DM58="",TRUE,IF(input_executive_education_focus="",TRUE,SUMPRODUCT(--ISNUMBER(SEARCH(","&amp;TRIM(TEXTSPLIT(DM58,","))&amp;",",","&amp;SUBSTITUTE(input_executive_education_focus," ","")&amp;",")))=0)),IF(DO58="",TRUE,IF(input_executive_education_focus="",FALSE,SUMPRODUCT(--ISNUMBER(SEARCH(","&amp;TRIM(TEXTSPLIT(DO58,","))&amp;",",","&amp;SUBSTITUTE(input_executive_education_focus," ","")&amp;",")))&gt;0)),IF(DQ58="",TRUE,IF(input_executive_education_focus="",FALSE,SUMPRODUCT(--ISNUMBER(SEARCH(","&amp;TRIM(TEXTSPLIT(DQ58,","))&amp;",",","&amp;SUBSTITUTE(input_executive_education_focus," ","")&amp;",")))=COUNTA(TEXTSPLIT(DQ58,",")))))</f>
        <v/>
      </c>
      <c r="JE58">
        <f>AND(IF(DS58="",TRUE,IF(input_faculty_category="",FALSE,SUMPRODUCT(--ISNUMBER(SEARCH(","&amp;TRIM(TEXTSPLIT(DS58,","))&amp;",",","&amp;SUBSTITUTE(input_faculty_category," ","")&amp;",")))&gt;0)),IF(DU58="",TRUE,IF(input_faculty_category="",FALSE,SUMPRODUCT(--ISNUMBER(SEARCH(","&amp;TRIM(TEXTSPLIT(DU58,","))&amp;",",","&amp;SUBSTITUTE(input_faculty_category," ","")&amp;",")))=COUNTA(TEXTSPLIT(DU58,",")))),IF(DW58="",TRUE,IF(input_faculty_category="",TRUE,SUMPRODUCT(--ISNUMBER(SEARCH(","&amp;TRIM(TEXTSPLIT(DW58,","))&amp;",",","&amp;SUBSTITUTE(input_faculty_category," ","")&amp;",")))=0)),IF(DY58="",TRUE,IF(input_faculty_category="",FALSE,SUMPRODUCT(--ISNUMBER(SEARCH(","&amp;TRIM(TEXTSPLIT(DY58,","))&amp;",",","&amp;SUBSTITUTE(input_faculty_category," ","")&amp;",")))&gt;0)),IF(EA58="",TRUE,IF(input_faculty_category="",FALSE,SUMPRODUCT(--ISNUMBER(SEARCH(","&amp;TRIM(TEXTSPLIT(EA58,","))&amp;",",","&amp;SUBSTITUTE(input_faculty_category," ","")&amp;",")))=COUNTA(TEXTSPLIT(EA58,",")))))</f>
        <v/>
      </c>
      <c r="JF58">
        <f>AND(IF(EC58="",TRUE,IF(input_faculty_discipline="",FALSE,SUMPRODUCT(--ISNUMBER(SEARCH(","&amp;TRIM(TEXTSPLIT(EC58,","))&amp;",",","&amp;SUBSTITUTE(input_faculty_discipline," ","")&amp;",")))&gt;0)),IF(EE58="",TRUE,IF(input_faculty_discipline="",FALSE,SUMPRODUCT(--ISNUMBER(SEARCH(","&amp;TRIM(TEXTSPLIT(EE58,","))&amp;",",","&amp;SUBSTITUTE(input_faculty_discipline," ","")&amp;",")))=COUNTA(TEXTSPLIT(EE58,",")))),IF(EG58="",TRUE,IF(input_faculty_discipline="",TRUE,SUMPRODUCT(--ISNUMBER(SEARCH(","&amp;TRIM(TEXTSPLIT(EG58,","))&amp;",",","&amp;SUBSTITUTE(input_faculty_discipline," ","")&amp;",")))=0)),IF(EI58="",TRUE,IF(input_faculty_discipline="",FALSE,SUMPRODUCT(--ISNUMBER(SEARCH(","&amp;TRIM(TEXTSPLIT(EI58,","))&amp;",",","&amp;SUBSTITUTE(input_faculty_discipline," ","")&amp;",")))&gt;0)),IF(EK58="",TRUE,IF(input_faculty_discipline="",FALSE,SUMPRODUCT(--ISNUMBER(SEARCH(","&amp;TRIM(TEXTSPLIT(EK58,","))&amp;",",","&amp;SUBSTITUTE(input_faculty_discipline," ","")&amp;",")))=COUNTA(TEXTSPLIT(EK58,",")))))</f>
        <v/>
      </c>
      <c r="JG58">
        <f>AND(IF(EM58="",TRUE,IF(input_faculty_expertise="",FALSE,SUMPRODUCT(--ISNUMBER(SEARCH(","&amp;TRIM(TEXTSPLIT(EM58,","))&amp;",",","&amp;SUBSTITUTE(input_faculty_expertise," ","")&amp;",")))&gt;0)),IF(EO58="",TRUE,IF(input_faculty_expertise="",FALSE,SUMPRODUCT(--ISNUMBER(SEARCH(","&amp;TRIM(TEXTSPLIT(EO58,","))&amp;",",","&amp;SUBSTITUTE(input_faculty_expertise," ","")&amp;",")))=COUNTA(TEXTSPLIT(EO58,",")))),IF(EQ58="",TRUE,IF(input_faculty_expertise="",TRUE,SUMPRODUCT(--ISNUMBER(SEARCH(","&amp;TRIM(TEXTSPLIT(EQ58,","))&amp;",",","&amp;SUBSTITUTE(input_faculty_expertise," ","")&amp;",")))=0)),IF(ES58="",TRUE,IF(input_faculty_expertise="",FALSE,SUMPRODUCT(--ISNUMBER(SEARCH(","&amp;TRIM(TEXTSPLIT(ES58,","))&amp;",",","&amp;SUBSTITUTE(input_faculty_expertise," ","")&amp;",")))&gt;0)),IF(EU58="",TRUE,IF(input_faculty_expertise="",FALSE,SUMPRODUCT(--ISNUMBER(SEARCH(","&amp;TRIM(TEXTSPLIT(EU58,","))&amp;",",","&amp;SUBSTITUTE(input_faculty_expertise," ","")&amp;",")))=COUNTA(TEXTSPLIT(EU58,",")))))</f>
        <v/>
      </c>
      <c r="JH58">
        <f>AND(IF(EW58="",TRUE,IF(input_global_network_school="",FALSE,SUMPRODUCT(--ISNUMBER(SEARCH(","&amp;TRIM(TEXTSPLIT(EW58,","))&amp;",",","&amp;SUBSTITUTE(input_global_network_school," ","")&amp;",")))&gt;0)),IF(EY58="",TRUE,IF(input_global_network_school="",FALSE,SUMPRODUCT(--ISNUMBER(SEARCH(","&amp;TRIM(TEXTSPLIT(EY58,","))&amp;",",","&amp;SUBSTITUTE(input_global_network_school," ","")&amp;",")))=COUNTA(TEXTSPLIT(EY58,",")))),IF(FA58="",TRUE,IF(input_global_network_school="",TRUE,SUMPRODUCT(--ISNUMBER(SEARCH(","&amp;TRIM(TEXTSPLIT(FA58,","))&amp;",",","&amp;SUBSTITUTE(input_global_network_school," ","")&amp;",")))=0)),IF(FC58="",TRUE,IF(input_global_network_school="",FALSE,SUMPRODUCT(--ISNUMBER(SEARCH(","&amp;TRIM(TEXTSPLIT(FC58,","))&amp;",",","&amp;SUBSTITUTE(input_global_network_school," ","")&amp;",")))&gt;0)),IF(FE58="",TRUE,IF(input_global_network_school="",FALSE,SUMPRODUCT(--ISNUMBER(SEARCH(","&amp;TRIM(TEXTSPLIT(FE58,","))&amp;",",","&amp;SUBSTITUTE(input_global_network_school," ","")&amp;",")))=COUNTA(TEXTSPLIT(FE58,",")))))</f>
        <v/>
      </c>
      <c r="JI58">
        <f>AND(IF(FG58="",TRUE,IF(input_industry="",FALSE,SUMPRODUCT(--ISNUMBER(SEARCH(","&amp;TRIM(TEXTSPLIT(FG58,","))&amp;",",","&amp;SUBSTITUTE(input_industry," ","")&amp;",")))&gt;0)),IF(FI58="",TRUE,IF(input_industry="",FALSE,SUMPRODUCT(--ISNUMBER(SEARCH(","&amp;TRIM(TEXTSPLIT(FI58,","))&amp;",",","&amp;SUBSTITUTE(input_industry," ","")&amp;",")))=COUNTA(TEXTSPLIT(FI58,",")))),IF(FK58="",TRUE,IF(input_industry="",TRUE,SUMPRODUCT(--ISNUMBER(SEARCH(","&amp;TRIM(TEXTSPLIT(FK58,","))&amp;",",","&amp;SUBSTITUTE(input_industry," ","")&amp;",")))=0)),IF(FM58="",TRUE,IF(input_industry="",FALSE,SUMPRODUCT(--ISNUMBER(SEARCH(","&amp;TRIM(TEXTSPLIT(FM58,","))&amp;",",","&amp;SUBSTITUTE(input_industry," ","")&amp;",")))&gt;0)),IF(FO58="",TRUE,IF(input_industry="",FALSE,SUMPRODUCT(--ISNUMBER(SEARCH(","&amp;TRIM(TEXTSPLIT(FO58,","))&amp;",",","&amp;SUBSTITUTE(input_industry," ","")&amp;",")))=COUNTA(TEXTSPLIT(FO58,",")))))</f>
        <v/>
      </c>
      <c r="JJ58">
        <f>AND(IF(FQ58="",TRUE,IF(input_location="",FALSE,SUMPRODUCT(--ISNUMBER(SEARCH(","&amp;TRIM(TEXTSPLIT(FQ58,","))&amp;",",","&amp;SUBSTITUTE(input_location," ","")&amp;",")))&gt;0)),IF(FS58="",TRUE,IF(input_location="",FALSE,SUMPRODUCT(--ISNUMBER(SEARCH(","&amp;TRIM(TEXTSPLIT(FS58,","))&amp;",",","&amp;SUBSTITUTE(input_location," ","")&amp;",")))=COUNTA(TEXTSPLIT(FS58,",")))),IF(FU58="",TRUE,IF(input_location="",TRUE,SUMPRODUCT(--ISNUMBER(SEARCH(","&amp;TRIM(TEXTSPLIT(FU58,","))&amp;",",","&amp;SUBSTITUTE(input_location," ","")&amp;",")))=0)),IF(FW58="",TRUE,IF(input_location="",FALSE,SUMPRODUCT(--ISNUMBER(SEARCH(","&amp;TRIM(TEXTSPLIT(FW58,","))&amp;",",","&amp;SUBSTITUTE(input_location," ","")&amp;",")))&gt;0)),IF(FY58="",TRUE,IF(input_location="",FALSE,SUMPRODUCT(--ISNUMBER(SEARCH(","&amp;TRIM(TEXTSPLIT(FY58,","))&amp;",",","&amp;SUBSTITUTE(input_location," ","")&amp;",")))=COUNTA(TEXTSPLIT(FY58,",")))))</f>
        <v/>
      </c>
      <c r="JK58">
        <f>AND(IF(GA58="",TRUE,IF(input_modality="",FALSE,SUMPRODUCT(--ISNUMBER(SEARCH(","&amp;TRIM(TEXTSPLIT(GA58,","))&amp;",",","&amp;SUBSTITUTE(input_modality," ","")&amp;",")))&gt;0)),IF(GC58="",TRUE,IF(input_modality="",FALSE,SUMPRODUCT(--ISNUMBER(SEARCH(","&amp;TRIM(TEXTSPLIT(GC58,","))&amp;",",","&amp;SUBSTITUTE(input_modality," ","")&amp;",")))=COUNTA(TEXTSPLIT(GC58,",")))),IF(GE58="",TRUE,IF(input_modality="",TRUE,SUMPRODUCT(--ISNUMBER(SEARCH(","&amp;TRIM(TEXTSPLIT(GE58,","))&amp;",",","&amp;SUBSTITUTE(input_modality," ","")&amp;",")))=0)),IF(GG58="",TRUE,IF(input_modality="",FALSE,SUMPRODUCT(--ISNUMBER(SEARCH(","&amp;TRIM(TEXTSPLIT(GG58,","))&amp;",",","&amp;SUBSTITUTE(input_modality," ","")&amp;",")))&gt;0)),IF(GI58="",TRUE,IF(input_modality="",FALSE,SUMPRODUCT(--ISNUMBER(SEARCH(","&amp;TRIM(TEXTSPLIT(GI58,","))&amp;",",","&amp;SUBSTITUTE(input_modality," ","")&amp;",")))=COUNTA(TEXTSPLIT(GI58,",")))))</f>
        <v/>
      </c>
      <c r="JL58">
        <f>AND(IF(GK58="",TRUE,IF(input_organizer="",FALSE,SUMPRODUCT(--ISNUMBER(SEARCH(","&amp;TRIM(TEXTSPLIT(GK58,","))&amp;",",","&amp;SUBSTITUTE(input_organizer," ","")&amp;",")))&gt;0)),IF(GM58="",TRUE,IF(input_organizer="",FALSE,SUMPRODUCT(--ISNUMBER(SEARCH(","&amp;TRIM(TEXTSPLIT(GM58,","))&amp;",",","&amp;SUBSTITUTE(input_organizer," ","")&amp;",")))=COUNTA(TEXTSPLIT(GM58,",")))),IF(GO58="",TRUE,IF(input_organizer="",TRUE,SUMPRODUCT(--ISNUMBER(SEARCH(","&amp;TRIM(TEXTSPLIT(GO58,","))&amp;",",","&amp;SUBSTITUTE(input_organizer," ","")&amp;",")))=0)),IF(GQ58="",TRUE,IF(input_organizer="",FALSE,SUMPRODUCT(--ISNUMBER(SEARCH(","&amp;TRIM(TEXTSPLIT(GQ58,","))&amp;",",","&amp;SUBSTITUTE(input_organizer," ","")&amp;",")))&gt;0)),IF(GS58="",TRUE,IF(input_organizer="",FALSE,SUMPRODUCT(--ISNUMBER(SEARCH(","&amp;TRIM(TEXTSPLIT(GS58,","))&amp;",",","&amp;SUBSTITUTE(input_organizer," ","")&amp;",")))=COUNTA(TEXTSPLIT(GS58,",")))))</f>
        <v/>
      </c>
      <c r="JM58">
        <f>AND(IF(GU58="",TRUE,IF(input_profile_type="",FALSE,SUMPRODUCT(--ISNUMBER(SEARCH(","&amp;TRIM(TEXTSPLIT(GU58,","))&amp;",",","&amp;SUBSTITUTE(input_profile_type," ","")&amp;",")))&gt;0)),IF(GW58="",TRUE,IF(input_profile_type="",FALSE,SUMPRODUCT(--ISNUMBER(SEARCH(","&amp;TRIM(TEXTSPLIT(GW58,","))&amp;",",","&amp;SUBSTITUTE(input_profile_type," ","")&amp;",")))=COUNTA(TEXTSPLIT(GW58,",")))),IF(GY58="",TRUE,IF(input_profile_type="",TRUE,SUMPRODUCT(--ISNUMBER(SEARCH(","&amp;TRIM(TEXTSPLIT(GY58,","))&amp;",",","&amp;SUBSTITUTE(input_profile_type," ","")&amp;",")))=0)),IF(HA58="",TRUE,IF(input_profile_type="",FALSE,SUMPRODUCT(--ISNUMBER(SEARCH(","&amp;TRIM(TEXTSPLIT(HA58,","))&amp;",",","&amp;SUBSTITUTE(input_profile_type," ","")&amp;",")))&gt;0)),IF(HC58="",TRUE,IF(input_profile_type="",FALSE,SUMPRODUCT(--ISNUMBER(SEARCH(","&amp;TRIM(TEXTSPLIT(HC58,","))&amp;",",","&amp;SUBSTITUTE(input_profile_type," ","")&amp;",")))=COUNTA(TEXTSPLIT(HC58,",")))))</f>
        <v/>
      </c>
      <c r="JN58">
        <f>AND(IF(HE58="",TRUE,IF(input_program="",FALSE,SUMPRODUCT(--ISNUMBER(SEARCH(","&amp;TRIM(TEXTSPLIT(HE58,","))&amp;",",","&amp;SUBSTITUTE(input_program," ","")&amp;",")))&gt;0)),IF(HG58="",TRUE,IF(input_program="",FALSE,SUMPRODUCT(--ISNUMBER(SEARCH(","&amp;TRIM(TEXTSPLIT(HG58,","))&amp;",",","&amp;SUBSTITUTE(input_program," ","")&amp;",")))=COUNTA(TEXTSPLIT(HG58,",")))),IF(HI58="",TRUE,IF(input_program="",TRUE,SUMPRODUCT(--ISNUMBER(SEARCH(","&amp;TRIM(TEXTSPLIT(HI58,","))&amp;",",","&amp;SUBSTITUTE(input_program," ","")&amp;",")))=0)),IF(HK58="",TRUE,IF(input_program="",FALSE,SUMPRODUCT(--ISNUMBER(SEARCH(","&amp;TRIM(TEXTSPLIT(HK58,","))&amp;",",","&amp;SUBSTITUTE(input_program," ","")&amp;",")))&gt;0)),IF(HM58="",TRUE,IF(input_program="",FALSE,SUMPRODUCT(--ISNUMBER(SEARCH(","&amp;TRIM(TEXTSPLIT(HM58,","))&amp;",",","&amp;SUBSTITUTE(input_program," ","")&amp;",")))=COUNTA(TEXTSPLIT(HM58,",")))))</f>
        <v/>
      </c>
      <c r="JO58">
        <f>AND(IF(HO58="",TRUE,IF(input_story_categories="",FALSE,SUMPRODUCT(--ISNUMBER(SEARCH(","&amp;TRIM(TEXTSPLIT(HO58,","))&amp;",",","&amp;SUBSTITUTE(input_story_categories," ","")&amp;",")))&gt;0)),IF(HQ58="",TRUE,IF(input_story_categories="",FALSE,SUMPRODUCT(--ISNUMBER(SEARCH(","&amp;TRIM(TEXTSPLIT(HQ58,","))&amp;",",","&amp;SUBSTITUTE(input_story_categories," ","")&amp;",")))=COUNTA(TEXTSPLIT(HQ58,",")))),IF(HS58="",TRUE,IF(input_story_categories="",TRUE,SUMPRODUCT(--ISNUMBER(SEARCH(","&amp;TRIM(TEXTSPLIT(HS58,","))&amp;",",","&amp;SUBSTITUTE(input_story_categories," ","")&amp;",")))=0)),IF(HU58="",TRUE,IF(input_story_categories="",FALSE,SUMPRODUCT(--ISNUMBER(SEARCH(","&amp;TRIM(TEXTSPLIT(HU58,","))&amp;",",","&amp;SUBSTITUTE(input_story_categories," ","")&amp;",")))&gt;0)),IF(HW58="",TRUE,IF(input_story_categories="",FALSE,SUMPRODUCT(--ISNUMBER(SEARCH(","&amp;TRIM(TEXTSPLIT(HW58,","))&amp;",",","&amp;SUBSTITUTE(input_story_categories," ","")&amp;",")))=COUNTA(TEXTSPLIT(HW58,",")))))</f>
        <v/>
      </c>
      <c r="JP58">
        <f>AND(IF(HY58="",TRUE,IF(input_story_type="",FALSE,SUMPRODUCT(--ISNUMBER(SEARCH(","&amp;TRIM(TEXTSPLIT(HY58,","))&amp;",",","&amp;SUBSTITUTE(input_story_type," ","")&amp;",")))&gt;0)),IF(IA58="",TRUE,IF(input_story_type="",FALSE,SUMPRODUCT(--ISNUMBER(SEARCH(","&amp;TRIM(TEXTSPLIT(IA58,","))&amp;",",","&amp;SUBSTITUTE(input_story_type," ","")&amp;",")))=COUNTA(TEXTSPLIT(IA58,",")))),IF(IC58="",TRUE,IF(input_story_type="",TRUE,SUMPRODUCT(--ISNUMBER(SEARCH(","&amp;TRIM(TEXTSPLIT(IC58,","))&amp;",",","&amp;SUBSTITUTE(input_story_type," ","")&amp;",")))=0)),IF(IE58="",TRUE,IF(input_story_type="",FALSE,SUMPRODUCT(--ISNUMBER(SEARCH(","&amp;TRIM(TEXTSPLIT(IE58,","))&amp;",",","&amp;SUBSTITUTE(input_story_type," ","")&amp;",")))&gt;0)),IF(IG58="",TRUE,IF(input_story_type="",FALSE,SUMPRODUCT(--ISNUMBER(SEARCH(","&amp;TRIM(TEXTSPLIT(IG58,","))&amp;",",","&amp;SUBSTITUTE(input_story_type," ","")&amp;",")))=COUNTA(TEXTSPLIT(IG58,",")))))</f>
        <v/>
      </c>
      <c r="JQ58">
        <f>AND(IF(II58="",TRUE,IF(input_topics="",FALSE,SUMPRODUCT(--ISNUMBER(SEARCH(","&amp;TRIM(TEXTSPLIT(II58,","))&amp;",",","&amp;SUBSTITUTE(input_topics," ","")&amp;",")))&gt;0)),IF(IK58="",TRUE,IF(input_topics="",FALSE,SUMPRODUCT(--ISNUMBER(SEARCH(","&amp;TRIM(TEXTSPLIT(IK58,","))&amp;",",","&amp;SUBSTITUTE(input_topics," ","")&amp;",")))=COUNTA(TEXTSPLIT(IK58,",")))),IF(IM58="",TRUE,IF(input_topics="",TRUE,SUMPRODUCT(--ISNUMBER(SEARCH(","&amp;TRIM(TEXTSPLIT(IM58,","))&amp;",",","&amp;SUBSTITUTE(input_topics," ","")&amp;",")))=0)),IF(IO58="",TRUE,IF(input_topics="",FALSE,SUMPRODUCT(--ISNUMBER(SEARCH(","&amp;TRIM(TEXTSPLIT(IO58,","))&amp;",",","&amp;SUBSTITUTE(input_topics," ","")&amp;",")))&gt;0)),IF(IQ58="",TRUE,IF(input_topics="",FALSE,SUMPRODUCT(--ISNUMBER(SEARCH(","&amp;TRIM(TEXTSPLIT(IQ58,","))&amp;",",","&amp;SUBSTITUTE(input_topics," ","")&amp;",")))=COUNTA(TEXTSPLIT(IQ58,",")))))</f>
        <v/>
      </c>
    </row>
    <row r="59">
      <c r="A59" s="4">
        <f>IF(NOT(IS59),"Excluded",IF(AND(IT59,IU59,IV59,IW59,IX59,IY59,IZ59,JA59,JB59,JC59,JD59,JE59,JF59,JG59,JH59,JI59,JJ59,JK59,JL59,JM59,JN59,JO59,JP59,JQ59),IF(I59&gt;0,"Eligible but limited","Will appear"),"Excluded"))</f>
        <v/>
      </c>
      <c r="B59" s="4" t="inlineStr">
        <is>
          <t>All stories</t>
        </is>
      </c>
      <c r="C59" s="4" t="inlineStr">
        <is>
          <t>/about/headlines</t>
        </is>
      </c>
      <c r="D59" s="4" t="inlineStr">
        <is>
          <t>/about/headlines</t>
        </is>
      </c>
      <c r="E59" s="4" t="n">
        <v>1</v>
      </c>
      <c r="F59" s="4" t="inlineStr">
        <is>
          <t>story</t>
        </is>
      </c>
      <c r="G59" s="4" t="inlineStr">
        <is>
          <t>stories_teaser_cards</t>
        </is>
      </c>
      <c r="H59" s="4" t="inlineStr">
        <is>
          <t>embed_all</t>
        </is>
      </c>
      <c r="I59" s="4" t="n">
        <v>3</v>
      </c>
      <c r="J59" s="4" t="inlineStr">
        <is>
          <t>View/config rules</t>
        </is>
      </c>
      <c r="K59" s="4" t="inlineStr">
        <is>
          <t>Page placement</t>
        </is>
      </c>
      <c r="L59" s="4" t="inlineStr">
        <is>
          <t>Content type: story; Limited to 3 item(s); Source: View/config rules</t>
        </is>
      </c>
      <c r="M59" t="inlineStr"/>
      <c r="N59" t="inlineStr"/>
      <c r="O59" t="inlineStr"/>
      <c r="P59" t="inlineStr"/>
      <c r="Q59" t="inlineStr"/>
      <c r="R59" t="inlineStr"/>
      <c r="S59" t="inlineStr"/>
      <c r="T59" t="inlineStr"/>
      <c r="U59" t="inlineStr"/>
      <c r="V59" t="inlineStr"/>
      <c r="W59" t="inlineStr"/>
      <c r="X59" t="inlineStr"/>
      <c r="Y59" t="inlineStr"/>
      <c r="Z59" t="inlineStr"/>
      <c r="AA59" t="inlineStr"/>
      <c r="AB59" t="inlineStr"/>
      <c r="AC59" t="inlineStr"/>
      <c r="AD59" t="inlineStr"/>
      <c r="AE59" t="inlineStr"/>
      <c r="AF59" t="inlineStr"/>
      <c r="AG59" t="inlineStr"/>
      <c r="AH59" t="inlineStr"/>
      <c r="AI59" t="inlineStr"/>
      <c r="AJ59" t="inlineStr"/>
      <c r="AK59" t="inlineStr"/>
      <c r="AL59" t="inlineStr"/>
      <c r="AM59" t="inlineStr"/>
      <c r="AN59" t="inlineStr"/>
      <c r="AO59" t="inlineStr"/>
      <c r="AP59" t="inlineStr"/>
      <c r="AQ59" t="inlineStr"/>
      <c r="AR59" t="inlineStr"/>
      <c r="AS59" t="inlineStr"/>
      <c r="AT59" t="inlineStr"/>
      <c r="AU59" t="inlineStr"/>
      <c r="AV59" t="inlineStr"/>
      <c r="AW59" t="inlineStr"/>
      <c r="AX59" t="inlineStr"/>
      <c r="AY59" t="inlineStr"/>
      <c r="AZ59" t="inlineStr"/>
      <c r="BA59" t="inlineStr"/>
      <c r="BB59" t="inlineStr"/>
      <c r="BC59" t="inlineStr"/>
      <c r="BD59" t="inlineStr"/>
      <c r="BE59" t="inlineStr"/>
      <c r="BF59" t="inlineStr"/>
      <c r="BG59" t="inlineStr"/>
      <c r="BH59" t="inlineStr"/>
      <c r="BI59" t="inlineStr"/>
      <c r="BJ59" t="inlineStr"/>
      <c r="BK59" t="inlineStr"/>
      <c r="BL59" t="inlineStr"/>
      <c r="BM59" t="inlineStr"/>
      <c r="BN59" t="inlineStr"/>
      <c r="BO59" t="inlineStr"/>
      <c r="BP59" t="inlineStr"/>
      <c r="BQ59" t="inlineStr"/>
      <c r="BR59" t="inlineStr"/>
      <c r="BS59" t="inlineStr"/>
      <c r="BT59" t="inlineStr"/>
      <c r="BU59" t="inlineStr"/>
      <c r="BV59" t="inlineStr"/>
      <c r="BW59" t="inlineStr"/>
      <c r="BX59" t="inlineStr"/>
      <c r="BY59" t="inlineStr"/>
      <c r="BZ59" t="inlineStr"/>
      <c r="CA59" t="inlineStr"/>
      <c r="CB59" t="inlineStr"/>
      <c r="CC59" t="inlineStr"/>
      <c r="CD59" t="inlineStr"/>
      <c r="CE59" t="inlineStr"/>
      <c r="CF59" t="inlineStr"/>
      <c r="CG59" t="inlineStr"/>
      <c r="CH59" t="inlineStr"/>
      <c r="CI59" t="inlineStr"/>
      <c r="CJ59" t="inlineStr"/>
      <c r="CK59" t="inlineStr"/>
      <c r="CL59" t="inlineStr"/>
      <c r="CM59" t="inlineStr"/>
      <c r="CN59" t="inlineStr"/>
      <c r="CO59" t="inlineStr"/>
      <c r="CP59" t="inlineStr"/>
      <c r="CQ59" t="inlineStr"/>
      <c r="CR59" t="inlineStr"/>
      <c r="CS59" t="inlineStr"/>
      <c r="CT59" t="inlineStr"/>
      <c r="CU59" t="inlineStr"/>
      <c r="CV59" t="inlineStr"/>
      <c r="CW59" t="inlineStr"/>
      <c r="CX59" t="inlineStr"/>
      <c r="CY59" t="inlineStr"/>
      <c r="CZ59" t="inlineStr"/>
      <c r="DA59" t="inlineStr"/>
      <c r="DB59" t="inlineStr"/>
      <c r="DC59" t="inlineStr"/>
      <c r="DD59" t="inlineStr"/>
      <c r="DE59" t="inlineStr"/>
      <c r="DF59" t="inlineStr"/>
      <c r="DG59" t="inlineStr"/>
      <c r="DH59" t="inlineStr"/>
      <c r="DI59" t="inlineStr"/>
      <c r="DJ59" t="inlineStr"/>
      <c r="DK59" t="inlineStr"/>
      <c r="DL59" t="inlineStr"/>
      <c r="DM59" t="inlineStr"/>
      <c r="DN59" t="inlineStr"/>
      <c r="DO59" t="inlineStr"/>
      <c r="DP59" t="inlineStr"/>
      <c r="DQ59" t="inlineStr"/>
      <c r="DR59" t="inlineStr"/>
      <c r="DS59" t="inlineStr"/>
      <c r="DT59" t="inlineStr"/>
      <c r="DU59" t="inlineStr"/>
      <c r="DV59" t="inlineStr"/>
      <c r="DW59" t="inlineStr"/>
      <c r="DX59" t="inlineStr"/>
      <c r="DY59" t="inlineStr"/>
      <c r="DZ59" t="inlineStr"/>
      <c r="EA59" t="inlineStr"/>
      <c r="EB59" t="inlineStr"/>
      <c r="EC59" t="inlineStr"/>
      <c r="ED59" t="inlineStr"/>
      <c r="EE59" t="inlineStr"/>
      <c r="EF59" t="inlineStr"/>
      <c r="EG59" t="inlineStr"/>
      <c r="EH59" t="inlineStr"/>
      <c r="EI59" t="inlineStr"/>
      <c r="EJ59" t="inlineStr"/>
      <c r="EK59" t="inlineStr"/>
      <c r="EL59" t="inlineStr"/>
      <c r="EM59" t="inlineStr"/>
      <c r="EN59" t="inlineStr"/>
      <c r="EO59" t="inlineStr"/>
      <c r="EP59" t="inlineStr"/>
      <c r="EQ59" t="inlineStr"/>
      <c r="ER59" t="inlineStr"/>
      <c r="ES59" t="inlineStr"/>
      <c r="ET59" t="inlineStr"/>
      <c r="EU59" t="inlineStr"/>
      <c r="EV59" t="inlineStr"/>
      <c r="EW59" t="inlineStr"/>
      <c r="EX59" t="inlineStr"/>
      <c r="EY59" t="inlineStr"/>
      <c r="EZ59" t="inlineStr"/>
      <c r="FA59" t="inlineStr"/>
      <c r="FB59" t="inlineStr"/>
      <c r="FC59" t="inlineStr"/>
      <c r="FD59" t="inlineStr"/>
      <c r="FE59" t="inlineStr"/>
      <c r="FF59" t="inlineStr"/>
      <c r="FG59" t="inlineStr"/>
      <c r="FH59" t="inlineStr"/>
      <c r="FI59" t="inlineStr"/>
      <c r="FJ59" t="inlineStr"/>
      <c r="FK59" t="inlineStr"/>
      <c r="FL59" t="inlineStr"/>
      <c r="FM59" t="inlineStr"/>
      <c r="FN59" t="inlineStr"/>
      <c r="FO59" t="inlineStr"/>
      <c r="FP59" t="inlineStr"/>
      <c r="FQ59" t="inlineStr"/>
      <c r="FR59" t="inlineStr"/>
      <c r="FS59" t="inlineStr"/>
      <c r="FT59" t="inlineStr"/>
      <c r="FU59" t="inlineStr"/>
      <c r="FV59" t="inlineStr"/>
      <c r="FW59" t="inlineStr"/>
      <c r="FX59" t="inlineStr"/>
      <c r="FY59" t="inlineStr"/>
      <c r="FZ59" t="inlineStr"/>
      <c r="GA59" t="inlineStr"/>
      <c r="GB59" t="inlineStr"/>
      <c r="GC59" t="inlineStr"/>
      <c r="GD59" t="inlineStr"/>
      <c r="GE59" t="inlineStr"/>
      <c r="GF59" t="inlineStr"/>
      <c r="GG59" t="inlineStr"/>
      <c r="GH59" t="inlineStr"/>
      <c r="GI59" t="inlineStr"/>
      <c r="GJ59" t="inlineStr"/>
      <c r="GK59" t="inlineStr"/>
      <c r="GL59" t="inlineStr"/>
      <c r="GM59" t="inlineStr"/>
      <c r="GN59" t="inlineStr"/>
      <c r="GO59" t="inlineStr"/>
      <c r="GP59" t="inlineStr"/>
      <c r="GQ59" t="inlineStr"/>
      <c r="GR59" t="inlineStr"/>
      <c r="GS59" t="inlineStr"/>
      <c r="GT59" t="inlineStr"/>
      <c r="GU59" t="inlineStr"/>
      <c r="GV59" t="inlineStr"/>
      <c r="GW59" t="inlineStr"/>
      <c r="GX59" t="inlineStr"/>
      <c r="GY59" t="inlineStr"/>
      <c r="GZ59" t="inlineStr"/>
      <c r="HA59" t="inlineStr"/>
      <c r="HB59" t="inlineStr"/>
      <c r="HC59" t="inlineStr"/>
      <c r="HD59" t="inlineStr"/>
      <c r="HE59" t="inlineStr"/>
      <c r="HF59" t="inlineStr"/>
      <c r="HG59" t="inlineStr"/>
      <c r="HH59" t="inlineStr"/>
      <c r="HI59" t="inlineStr"/>
      <c r="HJ59" t="inlineStr"/>
      <c r="HK59" t="inlineStr"/>
      <c r="HL59" t="inlineStr"/>
      <c r="HM59" t="inlineStr"/>
      <c r="HN59" t="inlineStr"/>
      <c r="HO59" t="inlineStr"/>
      <c r="HP59" t="inlineStr"/>
      <c r="HQ59" t="inlineStr"/>
      <c r="HR59" t="inlineStr"/>
      <c r="HS59" t="inlineStr"/>
      <c r="HT59" t="inlineStr"/>
      <c r="HU59" t="inlineStr"/>
      <c r="HV59" t="inlineStr"/>
      <c r="HW59" t="inlineStr"/>
      <c r="HX59" t="inlineStr"/>
      <c r="HY59" t="inlineStr"/>
      <c r="HZ59" t="inlineStr"/>
      <c r="IA59" t="inlineStr"/>
      <c r="IB59" t="inlineStr"/>
      <c r="IC59" t="inlineStr"/>
      <c r="ID59" t="inlineStr"/>
      <c r="IE59" t="inlineStr"/>
      <c r="IF59" t="inlineStr"/>
      <c r="IG59" t="inlineStr"/>
      <c r="IH59" t="inlineStr"/>
      <c r="II59" t="inlineStr"/>
      <c r="IJ59" t="inlineStr"/>
      <c r="IK59" t="inlineStr"/>
      <c r="IL59" t="inlineStr"/>
      <c r="IM59" t="inlineStr"/>
      <c r="IN59" t="inlineStr"/>
      <c r="IO59" t="inlineStr"/>
      <c r="IP59" t="inlineStr"/>
      <c r="IQ59" t="inlineStr"/>
      <c r="IR59" t="inlineStr"/>
      <c r="IS59">
        <f>IF(input_content_type="",FALSE,ISNUMBER(SEARCH(","&amp;LOWER(input_content_type)&amp;",",","&amp;LOWER(F59)&amp;",")))</f>
        <v/>
      </c>
      <c r="IT59">
        <f>AND(IF(M59="",TRUE,IF(input_affiliations="",FALSE,SUMPRODUCT(--ISNUMBER(SEARCH(","&amp;TRIM(TEXTSPLIT(M59,","))&amp;",",","&amp;SUBSTITUTE(input_affiliations," ","")&amp;",")))&gt;0)),IF(O59="",TRUE,IF(input_affiliations="",FALSE,SUMPRODUCT(--ISNUMBER(SEARCH(","&amp;TRIM(TEXTSPLIT(O59,","))&amp;",",","&amp;SUBSTITUTE(input_affiliations," ","")&amp;",")))=COUNTA(TEXTSPLIT(O59,",")))),IF(Q59="",TRUE,IF(input_affiliations="",TRUE,SUMPRODUCT(--ISNUMBER(SEARCH(","&amp;TRIM(TEXTSPLIT(Q59,","))&amp;",",","&amp;SUBSTITUTE(input_affiliations," ","")&amp;",")))=0)),IF(S59="",TRUE,IF(input_affiliations="",FALSE,SUMPRODUCT(--ISNUMBER(SEARCH(","&amp;TRIM(TEXTSPLIT(S59,","))&amp;",",","&amp;SUBSTITUTE(input_affiliations," ","")&amp;",")))&gt;0)),IF(U59="",TRUE,IF(input_affiliations="",FALSE,SUMPRODUCT(--ISNUMBER(SEARCH(","&amp;TRIM(TEXTSPLIT(U59,","))&amp;",",","&amp;SUBSTITUTE(input_affiliations," ","")&amp;",")))=COUNTA(TEXTSPLIT(U59,",")))))</f>
        <v/>
      </c>
      <c r="IU59">
        <f>AND(IF(W59="",TRUE,IF(input_announcement_category="",FALSE,SUMPRODUCT(--ISNUMBER(SEARCH(","&amp;TRIM(TEXTSPLIT(W59,","))&amp;",",","&amp;SUBSTITUTE(input_announcement_category," ","")&amp;",")))&gt;0)),IF(Y59="",TRUE,IF(input_announcement_category="",FALSE,SUMPRODUCT(--ISNUMBER(SEARCH(","&amp;TRIM(TEXTSPLIT(Y59,","))&amp;",",","&amp;SUBSTITUTE(input_announcement_category," ","")&amp;",")))=COUNTA(TEXTSPLIT(Y59,",")))),IF(AA59="",TRUE,IF(input_announcement_category="",TRUE,SUMPRODUCT(--ISNUMBER(SEARCH(","&amp;TRIM(TEXTSPLIT(AA59,","))&amp;",",","&amp;SUBSTITUTE(input_announcement_category," ","")&amp;",")))=0)),IF(AC59="",TRUE,IF(input_announcement_category="",FALSE,SUMPRODUCT(--ISNUMBER(SEARCH(","&amp;TRIM(TEXTSPLIT(AC59,","))&amp;",",","&amp;SUBSTITUTE(input_announcement_category," ","")&amp;",")))&gt;0)),IF(AE59="",TRUE,IF(input_announcement_category="",FALSE,SUMPRODUCT(--ISNUMBER(SEARCH(","&amp;TRIM(TEXTSPLIT(AE59,","))&amp;",",","&amp;SUBSTITUTE(input_announcement_category," ","")&amp;",")))=COUNTA(TEXTSPLIT(AE59,",")))))</f>
        <v/>
      </c>
      <c r="IV59">
        <f>AND(IF(AG59="",TRUE,IF(input_area_of_focus="",FALSE,SUMPRODUCT(--ISNUMBER(SEARCH(","&amp;TRIM(TEXTSPLIT(AG59,","))&amp;",",","&amp;SUBSTITUTE(input_area_of_focus," ","")&amp;",")))&gt;0)),IF(AI59="",TRUE,IF(input_area_of_focus="",FALSE,SUMPRODUCT(--ISNUMBER(SEARCH(","&amp;TRIM(TEXTSPLIT(AI59,","))&amp;",",","&amp;SUBSTITUTE(input_area_of_focus," ","")&amp;",")))=COUNTA(TEXTSPLIT(AI59,",")))),IF(AK59="",TRUE,IF(input_area_of_focus="",TRUE,SUMPRODUCT(--ISNUMBER(SEARCH(","&amp;TRIM(TEXTSPLIT(AK59,","))&amp;",",","&amp;SUBSTITUTE(input_area_of_focus," ","")&amp;",")))=0)),IF(AM59="",TRUE,IF(input_area_of_focus="",FALSE,SUMPRODUCT(--ISNUMBER(SEARCH(","&amp;TRIM(TEXTSPLIT(AM59,","))&amp;",",","&amp;SUBSTITUTE(input_area_of_focus," ","")&amp;",")))&gt;0)),IF(AO59="",TRUE,IF(input_area_of_focus="",FALSE,SUMPRODUCT(--ISNUMBER(SEARCH(","&amp;TRIM(TEXTSPLIT(AO59,","))&amp;",",","&amp;SUBSTITUTE(input_area_of_focus," ","")&amp;",")))=COUNTA(TEXTSPLIT(AO59,",")))))</f>
        <v/>
      </c>
      <c r="IW59">
        <f>AND(IF(AQ59="",TRUE,IF(input_audience="",FALSE,SUMPRODUCT(--ISNUMBER(SEARCH(","&amp;TRIM(TEXTSPLIT(AQ59,","))&amp;",",","&amp;SUBSTITUTE(input_audience," ","")&amp;",")))&gt;0)),IF(AS59="",TRUE,IF(input_audience="",FALSE,SUMPRODUCT(--ISNUMBER(SEARCH(","&amp;TRIM(TEXTSPLIT(AS59,","))&amp;",",","&amp;SUBSTITUTE(input_audience," ","")&amp;",")))=COUNTA(TEXTSPLIT(AS59,",")))),IF(AU59="",TRUE,IF(input_audience="",TRUE,SUMPRODUCT(--ISNUMBER(SEARCH(","&amp;TRIM(TEXTSPLIT(AU59,","))&amp;",",","&amp;SUBSTITUTE(input_audience," ","")&amp;",")))=0)),IF(AW59="",TRUE,IF(input_audience="",FALSE,SUMPRODUCT(--ISNUMBER(SEARCH(","&amp;TRIM(TEXTSPLIT(AW59,","))&amp;",",","&amp;SUBSTITUTE(input_audience," ","")&amp;",")))&gt;0)),IF(AY59="",TRUE,IF(input_audience="",FALSE,SUMPRODUCT(--ISNUMBER(SEARCH(","&amp;TRIM(TEXTSPLIT(AY59,","))&amp;",",","&amp;SUBSTITUTE(input_audience," ","")&amp;",")))=COUNTA(TEXTSPLIT(AY59,",")))))</f>
        <v/>
      </c>
      <c r="IX59">
        <f>AND(IF(BA59="",TRUE,IF(input_challenge_opportunities="",FALSE,SUMPRODUCT(--ISNUMBER(SEARCH(","&amp;TRIM(TEXTSPLIT(BA59,","))&amp;",",","&amp;SUBSTITUTE(input_challenge_opportunities," ","")&amp;",")))&gt;0)),IF(BC59="",TRUE,IF(input_challenge_opportunities="",FALSE,SUMPRODUCT(--ISNUMBER(SEARCH(","&amp;TRIM(TEXTSPLIT(BC59,","))&amp;",",","&amp;SUBSTITUTE(input_challenge_opportunities," ","")&amp;",")))=COUNTA(TEXTSPLIT(BC59,",")))),IF(BE59="",TRUE,IF(input_challenge_opportunities="",TRUE,SUMPRODUCT(--ISNUMBER(SEARCH(","&amp;TRIM(TEXTSPLIT(BE59,","))&amp;",",","&amp;SUBSTITUTE(input_challenge_opportunities," ","")&amp;",")))=0)),IF(BG59="",TRUE,IF(input_challenge_opportunities="",FALSE,SUMPRODUCT(--ISNUMBER(SEARCH(","&amp;TRIM(TEXTSPLIT(BG59,","))&amp;",",","&amp;SUBSTITUTE(input_challenge_opportunities," ","")&amp;",")))&gt;0)),IF(BI59="",TRUE,IF(input_challenge_opportunities="",FALSE,SUMPRODUCT(--ISNUMBER(SEARCH(","&amp;TRIM(TEXTSPLIT(BI59,","))&amp;",",","&amp;SUBSTITUTE(input_challenge_opportunities," ","")&amp;",")))=COUNTA(TEXTSPLIT(BI59,",")))))</f>
        <v/>
      </c>
      <c r="IY59">
        <f>AND(IF(BK59="",TRUE,IF(input_context="",FALSE,SUMPRODUCT(--ISNUMBER(SEARCH(","&amp;TRIM(TEXTSPLIT(BK59,","))&amp;",",","&amp;SUBSTITUTE(input_context," ","")&amp;",")))&gt;0)),IF(BM59="",TRUE,IF(input_context="",FALSE,SUMPRODUCT(--ISNUMBER(SEARCH(","&amp;TRIM(TEXTSPLIT(BM59,","))&amp;",",","&amp;SUBSTITUTE(input_context," ","")&amp;",")))=COUNTA(TEXTSPLIT(BM59,",")))),IF(BO59="",TRUE,IF(input_context="",TRUE,SUMPRODUCT(--ISNUMBER(SEARCH(","&amp;TRIM(TEXTSPLIT(BO59,","))&amp;",",","&amp;SUBSTITUTE(input_context," ","")&amp;",")))=0)),IF(BQ59="",TRUE,IF(input_context="",FALSE,SUMPRODUCT(--ISNUMBER(SEARCH(","&amp;TRIM(TEXTSPLIT(BQ59,","))&amp;",",","&amp;SUBSTITUTE(input_context," ","")&amp;",")))&gt;0)),IF(BS59="",TRUE,IF(input_context="",FALSE,SUMPRODUCT(--ISNUMBER(SEARCH(","&amp;TRIM(TEXTSPLIT(BS59,","))&amp;",",","&amp;SUBSTITUTE(input_context," ","")&amp;",")))=COUNTA(TEXTSPLIT(BS59,",")))))</f>
        <v/>
      </c>
      <c r="IZ59">
        <f>AND(IF(BU59="",TRUE,IF(input_enews_announcement_type="",FALSE,SUMPRODUCT(--ISNUMBER(SEARCH(","&amp;TRIM(TEXTSPLIT(BU59,","))&amp;",",","&amp;SUBSTITUTE(input_enews_announcement_type," ","")&amp;",")))&gt;0)),IF(BW59="",TRUE,IF(input_enews_announcement_type="",FALSE,SUMPRODUCT(--ISNUMBER(SEARCH(","&amp;TRIM(TEXTSPLIT(BW59,","))&amp;",",","&amp;SUBSTITUTE(input_enews_announcement_type," ","")&amp;",")))=COUNTA(TEXTSPLIT(BW59,",")))),IF(BY59="",TRUE,IF(input_enews_announcement_type="",TRUE,SUMPRODUCT(--ISNUMBER(SEARCH(","&amp;TRIM(TEXTSPLIT(BY59,","))&amp;",",","&amp;SUBSTITUTE(input_enews_announcement_type," ","")&amp;",")))=0)),IF(CA59="",TRUE,IF(input_enews_announcement_type="",FALSE,SUMPRODUCT(--ISNUMBER(SEARCH(","&amp;TRIM(TEXTSPLIT(CA59,","))&amp;",",","&amp;SUBSTITUTE(input_enews_announcement_type," ","")&amp;",")))&gt;0)),IF(CC59="",TRUE,IF(input_enews_announcement_type="",FALSE,SUMPRODUCT(--ISNUMBER(SEARCH(","&amp;TRIM(TEXTSPLIT(CC59,","))&amp;",",","&amp;SUBSTITUTE(input_enews_announcement_type," ","")&amp;",")))=COUNTA(TEXTSPLIT(CC59,",")))))</f>
        <v/>
      </c>
      <c r="JA59">
        <f>AND(IF(CE59="",TRUE,IF(input_enews_audience="",FALSE,SUMPRODUCT(--ISNUMBER(SEARCH(","&amp;TRIM(TEXTSPLIT(CE59,","))&amp;",",","&amp;SUBSTITUTE(input_enews_audience," ","")&amp;",")))&gt;0)),IF(CG59="",TRUE,IF(input_enews_audience="",FALSE,SUMPRODUCT(--ISNUMBER(SEARCH(","&amp;TRIM(TEXTSPLIT(CG59,","))&amp;",",","&amp;SUBSTITUTE(input_enews_audience," ","")&amp;",")))=COUNTA(TEXTSPLIT(CG59,",")))),IF(CI59="",TRUE,IF(input_enews_audience="",TRUE,SUMPRODUCT(--ISNUMBER(SEARCH(","&amp;TRIM(TEXTSPLIT(CI59,","))&amp;",",","&amp;SUBSTITUTE(input_enews_audience," ","")&amp;",")))=0)),IF(CK59="",TRUE,IF(input_enews_audience="",FALSE,SUMPRODUCT(--ISNUMBER(SEARCH(","&amp;TRIM(TEXTSPLIT(CK59,","))&amp;",",","&amp;SUBSTITUTE(input_enews_audience," ","")&amp;",")))&gt;0)),IF(CM59="",TRUE,IF(input_enews_audience="",FALSE,SUMPRODUCT(--ISNUMBER(SEARCH(","&amp;TRIM(TEXTSPLIT(CM59,","))&amp;",",","&amp;SUBSTITUTE(input_enews_audience," ","")&amp;",")))=COUNTA(TEXTSPLIT(CM59,",")))))</f>
        <v/>
      </c>
      <c r="JB59">
        <f>AND(IF(CO59="",TRUE,IF(input_event_location="",FALSE,SUMPRODUCT(--ISNUMBER(SEARCH(","&amp;TRIM(TEXTSPLIT(CO59,","))&amp;",",","&amp;SUBSTITUTE(input_event_location," ","")&amp;",")))&gt;0)),IF(CQ59="",TRUE,IF(input_event_location="",FALSE,SUMPRODUCT(--ISNUMBER(SEARCH(","&amp;TRIM(TEXTSPLIT(CQ59,","))&amp;",",","&amp;SUBSTITUTE(input_event_location," ","")&amp;",")))=COUNTA(TEXTSPLIT(CQ59,",")))),IF(CS59="",TRUE,IF(input_event_location="",TRUE,SUMPRODUCT(--ISNUMBER(SEARCH(","&amp;TRIM(TEXTSPLIT(CS59,","))&amp;",",","&amp;SUBSTITUTE(input_event_location," ","")&amp;",")))=0)),IF(CU59="",TRUE,IF(input_event_location="",FALSE,SUMPRODUCT(--ISNUMBER(SEARCH(","&amp;TRIM(TEXTSPLIT(CU59,","))&amp;",",","&amp;SUBSTITUTE(input_event_location," ","")&amp;",")))&gt;0)),IF(CW59="",TRUE,IF(input_event_location="",FALSE,SUMPRODUCT(--ISNUMBER(SEARCH(","&amp;TRIM(TEXTSPLIT(CW59,","))&amp;",",","&amp;SUBSTITUTE(input_event_location," ","")&amp;",")))=COUNTA(TEXTSPLIT(CW59,",")))))</f>
        <v/>
      </c>
      <c r="JC59">
        <f>AND(IF(CY59="",TRUE,IF(input_event_type="",FALSE,SUMPRODUCT(--ISNUMBER(SEARCH(","&amp;TRIM(TEXTSPLIT(CY59,","))&amp;",",","&amp;SUBSTITUTE(input_event_type," ","")&amp;",")))&gt;0)),IF(DA59="",TRUE,IF(input_event_type="",FALSE,SUMPRODUCT(--ISNUMBER(SEARCH(","&amp;TRIM(TEXTSPLIT(DA59,","))&amp;",",","&amp;SUBSTITUTE(input_event_type," ","")&amp;",")))=COUNTA(TEXTSPLIT(DA59,",")))),IF(DC59="",TRUE,IF(input_event_type="",TRUE,SUMPRODUCT(--ISNUMBER(SEARCH(","&amp;TRIM(TEXTSPLIT(DC59,","))&amp;",",","&amp;SUBSTITUTE(input_event_type," ","")&amp;",")))=0)),IF(DE59="",TRUE,IF(input_event_type="",FALSE,SUMPRODUCT(--ISNUMBER(SEARCH(","&amp;TRIM(TEXTSPLIT(DE59,","))&amp;",",","&amp;SUBSTITUTE(input_event_type," ","")&amp;",")))&gt;0)),IF(DG59="",TRUE,IF(input_event_type="",FALSE,SUMPRODUCT(--ISNUMBER(SEARCH(","&amp;TRIM(TEXTSPLIT(DG59,","))&amp;",",","&amp;SUBSTITUTE(input_event_type," ","")&amp;",")))=COUNTA(TEXTSPLIT(DG59,",")))))</f>
        <v/>
      </c>
      <c r="JD59">
        <f>AND(IF(DI59="",TRUE,IF(input_executive_education_focus="",FALSE,SUMPRODUCT(--ISNUMBER(SEARCH(","&amp;TRIM(TEXTSPLIT(DI59,","))&amp;",",","&amp;SUBSTITUTE(input_executive_education_focus," ","")&amp;",")))&gt;0)),IF(DK59="",TRUE,IF(input_executive_education_focus="",FALSE,SUMPRODUCT(--ISNUMBER(SEARCH(","&amp;TRIM(TEXTSPLIT(DK59,","))&amp;",",","&amp;SUBSTITUTE(input_executive_education_focus," ","")&amp;",")))=COUNTA(TEXTSPLIT(DK59,",")))),IF(DM59="",TRUE,IF(input_executive_education_focus="",TRUE,SUMPRODUCT(--ISNUMBER(SEARCH(","&amp;TRIM(TEXTSPLIT(DM59,","))&amp;",",","&amp;SUBSTITUTE(input_executive_education_focus," ","")&amp;",")))=0)),IF(DO59="",TRUE,IF(input_executive_education_focus="",FALSE,SUMPRODUCT(--ISNUMBER(SEARCH(","&amp;TRIM(TEXTSPLIT(DO59,","))&amp;",",","&amp;SUBSTITUTE(input_executive_education_focus," ","")&amp;",")))&gt;0)),IF(DQ59="",TRUE,IF(input_executive_education_focus="",FALSE,SUMPRODUCT(--ISNUMBER(SEARCH(","&amp;TRIM(TEXTSPLIT(DQ59,","))&amp;",",","&amp;SUBSTITUTE(input_executive_education_focus," ","")&amp;",")))=COUNTA(TEXTSPLIT(DQ59,",")))))</f>
        <v/>
      </c>
      <c r="JE59">
        <f>AND(IF(DS59="",TRUE,IF(input_faculty_category="",FALSE,SUMPRODUCT(--ISNUMBER(SEARCH(","&amp;TRIM(TEXTSPLIT(DS59,","))&amp;",",","&amp;SUBSTITUTE(input_faculty_category," ","")&amp;",")))&gt;0)),IF(DU59="",TRUE,IF(input_faculty_category="",FALSE,SUMPRODUCT(--ISNUMBER(SEARCH(","&amp;TRIM(TEXTSPLIT(DU59,","))&amp;",",","&amp;SUBSTITUTE(input_faculty_category," ","")&amp;",")))=COUNTA(TEXTSPLIT(DU59,",")))),IF(DW59="",TRUE,IF(input_faculty_category="",TRUE,SUMPRODUCT(--ISNUMBER(SEARCH(","&amp;TRIM(TEXTSPLIT(DW59,","))&amp;",",","&amp;SUBSTITUTE(input_faculty_category," ","")&amp;",")))=0)),IF(DY59="",TRUE,IF(input_faculty_category="",FALSE,SUMPRODUCT(--ISNUMBER(SEARCH(","&amp;TRIM(TEXTSPLIT(DY59,","))&amp;",",","&amp;SUBSTITUTE(input_faculty_category," ","")&amp;",")))&gt;0)),IF(EA59="",TRUE,IF(input_faculty_category="",FALSE,SUMPRODUCT(--ISNUMBER(SEARCH(","&amp;TRIM(TEXTSPLIT(EA59,","))&amp;",",","&amp;SUBSTITUTE(input_faculty_category," ","")&amp;",")))=COUNTA(TEXTSPLIT(EA59,",")))))</f>
        <v/>
      </c>
      <c r="JF59">
        <f>AND(IF(EC59="",TRUE,IF(input_faculty_discipline="",FALSE,SUMPRODUCT(--ISNUMBER(SEARCH(","&amp;TRIM(TEXTSPLIT(EC59,","))&amp;",",","&amp;SUBSTITUTE(input_faculty_discipline," ","")&amp;",")))&gt;0)),IF(EE59="",TRUE,IF(input_faculty_discipline="",FALSE,SUMPRODUCT(--ISNUMBER(SEARCH(","&amp;TRIM(TEXTSPLIT(EE59,","))&amp;",",","&amp;SUBSTITUTE(input_faculty_discipline," ","")&amp;",")))=COUNTA(TEXTSPLIT(EE59,",")))),IF(EG59="",TRUE,IF(input_faculty_discipline="",TRUE,SUMPRODUCT(--ISNUMBER(SEARCH(","&amp;TRIM(TEXTSPLIT(EG59,","))&amp;",",","&amp;SUBSTITUTE(input_faculty_discipline," ","")&amp;",")))=0)),IF(EI59="",TRUE,IF(input_faculty_discipline="",FALSE,SUMPRODUCT(--ISNUMBER(SEARCH(","&amp;TRIM(TEXTSPLIT(EI59,","))&amp;",",","&amp;SUBSTITUTE(input_faculty_discipline," ","")&amp;",")))&gt;0)),IF(EK59="",TRUE,IF(input_faculty_discipline="",FALSE,SUMPRODUCT(--ISNUMBER(SEARCH(","&amp;TRIM(TEXTSPLIT(EK59,","))&amp;",",","&amp;SUBSTITUTE(input_faculty_discipline," ","")&amp;",")))=COUNTA(TEXTSPLIT(EK59,",")))))</f>
        <v/>
      </c>
      <c r="JG59">
        <f>AND(IF(EM59="",TRUE,IF(input_faculty_expertise="",FALSE,SUMPRODUCT(--ISNUMBER(SEARCH(","&amp;TRIM(TEXTSPLIT(EM59,","))&amp;",",","&amp;SUBSTITUTE(input_faculty_expertise," ","")&amp;",")))&gt;0)),IF(EO59="",TRUE,IF(input_faculty_expertise="",FALSE,SUMPRODUCT(--ISNUMBER(SEARCH(","&amp;TRIM(TEXTSPLIT(EO59,","))&amp;",",","&amp;SUBSTITUTE(input_faculty_expertise," ","")&amp;",")))=COUNTA(TEXTSPLIT(EO59,",")))),IF(EQ59="",TRUE,IF(input_faculty_expertise="",TRUE,SUMPRODUCT(--ISNUMBER(SEARCH(","&amp;TRIM(TEXTSPLIT(EQ59,","))&amp;",",","&amp;SUBSTITUTE(input_faculty_expertise," ","")&amp;",")))=0)),IF(ES59="",TRUE,IF(input_faculty_expertise="",FALSE,SUMPRODUCT(--ISNUMBER(SEARCH(","&amp;TRIM(TEXTSPLIT(ES59,","))&amp;",",","&amp;SUBSTITUTE(input_faculty_expertise," ","")&amp;",")))&gt;0)),IF(EU59="",TRUE,IF(input_faculty_expertise="",FALSE,SUMPRODUCT(--ISNUMBER(SEARCH(","&amp;TRIM(TEXTSPLIT(EU59,","))&amp;",",","&amp;SUBSTITUTE(input_faculty_expertise," ","")&amp;",")))=COUNTA(TEXTSPLIT(EU59,",")))))</f>
        <v/>
      </c>
      <c r="JH59">
        <f>AND(IF(EW59="",TRUE,IF(input_global_network_school="",FALSE,SUMPRODUCT(--ISNUMBER(SEARCH(","&amp;TRIM(TEXTSPLIT(EW59,","))&amp;",",","&amp;SUBSTITUTE(input_global_network_school," ","")&amp;",")))&gt;0)),IF(EY59="",TRUE,IF(input_global_network_school="",FALSE,SUMPRODUCT(--ISNUMBER(SEARCH(","&amp;TRIM(TEXTSPLIT(EY59,","))&amp;",",","&amp;SUBSTITUTE(input_global_network_school," ","")&amp;",")))=COUNTA(TEXTSPLIT(EY59,",")))),IF(FA59="",TRUE,IF(input_global_network_school="",TRUE,SUMPRODUCT(--ISNUMBER(SEARCH(","&amp;TRIM(TEXTSPLIT(FA59,","))&amp;",",","&amp;SUBSTITUTE(input_global_network_school," ","")&amp;",")))=0)),IF(FC59="",TRUE,IF(input_global_network_school="",FALSE,SUMPRODUCT(--ISNUMBER(SEARCH(","&amp;TRIM(TEXTSPLIT(FC59,","))&amp;",",","&amp;SUBSTITUTE(input_global_network_school," ","")&amp;",")))&gt;0)),IF(FE59="",TRUE,IF(input_global_network_school="",FALSE,SUMPRODUCT(--ISNUMBER(SEARCH(","&amp;TRIM(TEXTSPLIT(FE59,","))&amp;",",","&amp;SUBSTITUTE(input_global_network_school," ","")&amp;",")))=COUNTA(TEXTSPLIT(FE59,",")))))</f>
        <v/>
      </c>
      <c r="JI59">
        <f>AND(IF(FG59="",TRUE,IF(input_industry="",FALSE,SUMPRODUCT(--ISNUMBER(SEARCH(","&amp;TRIM(TEXTSPLIT(FG59,","))&amp;",",","&amp;SUBSTITUTE(input_industry," ","")&amp;",")))&gt;0)),IF(FI59="",TRUE,IF(input_industry="",FALSE,SUMPRODUCT(--ISNUMBER(SEARCH(","&amp;TRIM(TEXTSPLIT(FI59,","))&amp;",",","&amp;SUBSTITUTE(input_industry," ","")&amp;",")))=COUNTA(TEXTSPLIT(FI59,",")))),IF(FK59="",TRUE,IF(input_industry="",TRUE,SUMPRODUCT(--ISNUMBER(SEARCH(","&amp;TRIM(TEXTSPLIT(FK59,","))&amp;",",","&amp;SUBSTITUTE(input_industry," ","")&amp;",")))=0)),IF(FM59="",TRUE,IF(input_industry="",FALSE,SUMPRODUCT(--ISNUMBER(SEARCH(","&amp;TRIM(TEXTSPLIT(FM59,","))&amp;",",","&amp;SUBSTITUTE(input_industry," ","")&amp;",")))&gt;0)),IF(FO59="",TRUE,IF(input_industry="",FALSE,SUMPRODUCT(--ISNUMBER(SEARCH(","&amp;TRIM(TEXTSPLIT(FO59,","))&amp;",",","&amp;SUBSTITUTE(input_industry," ","")&amp;",")))=COUNTA(TEXTSPLIT(FO59,",")))))</f>
        <v/>
      </c>
      <c r="JJ59">
        <f>AND(IF(FQ59="",TRUE,IF(input_location="",FALSE,SUMPRODUCT(--ISNUMBER(SEARCH(","&amp;TRIM(TEXTSPLIT(FQ59,","))&amp;",",","&amp;SUBSTITUTE(input_location," ","")&amp;",")))&gt;0)),IF(FS59="",TRUE,IF(input_location="",FALSE,SUMPRODUCT(--ISNUMBER(SEARCH(","&amp;TRIM(TEXTSPLIT(FS59,","))&amp;",",","&amp;SUBSTITUTE(input_location," ","")&amp;",")))=COUNTA(TEXTSPLIT(FS59,",")))),IF(FU59="",TRUE,IF(input_location="",TRUE,SUMPRODUCT(--ISNUMBER(SEARCH(","&amp;TRIM(TEXTSPLIT(FU59,","))&amp;",",","&amp;SUBSTITUTE(input_location," ","")&amp;",")))=0)),IF(FW59="",TRUE,IF(input_location="",FALSE,SUMPRODUCT(--ISNUMBER(SEARCH(","&amp;TRIM(TEXTSPLIT(FW59,","))&amp;",",","&amp;SUBSTITUTE(input_location," ","")&amp;",")))&gt;0)),IF(FY59="",TRUE,IF(input_location="",FALSE,SUMPRODUCT(--ISNUMBER(SEARCH(","&amp;TRIM(TEXTSPLIT(FY59,","))&amp;",",","&amp;SUBSTITUTE(input_location," ","")&amp;",")))=COUNTA(TEXTSPLIT(FY59,",")))))</f>
        <v/>
      </c>
      <c r="JK59">
        <f>AND(IF(GA59="",TRUE,IF(input_modality="",FALSE,SUMPRODUCT(--ISNUMBER(SEARCH(","&amp;TRIM(TEXTSPLIT(GA59,","))&amp;",",","&amp;SUBSTITUTE(input_modality," ","")&amp;",")))&gt;0)),IF(GC59="",TRUE,IF(input_modality="",FALSE,SUMPRODUCT(--ISNUMBER(SEARCH(","&amp;TRIM(TEXTSPLIT(GC59,","))&amp;",",","&amp;SUBSTITUTE(input_modality," ","")&amp;",")))=COUNTA(TEXTSPLIT(GC59,",")))),IF(GE59="",TRUE,IF(input_modality="",TRUE,SUMPRODUCT(--ISNUMBER(SEARCH(","&amp;TRIM(TEXTSPLIT(GE59,","))&amp;",",","&amp;SUBSTITUTE(input_modality," ","")&amp;",")))=0)),IF(GG59="",TRUE,IF(input_modality="",FALSE,SUMPRODUCT(--ISNUMBER(SEARCH(","&amp;TRIM(TEXTSPLIT(GG59,","))&amp;",",","&amp;SUBSTITUTE(input_modality," ","")&amp;",")))&gt;0)),IF(GI59="",TRUE,IF(input_modality="",FALSE,SUMPRODUCT(--ISNUMBER(SEARCH(","&amp;TRIM(TEXTSPLIT(GI59,","))&amp;",",","&amp;SUBSTITUTE(input_modality," ","")&amp;",")))=COUNTA(TEXTSPLIT(GI59,",")))))</f>
        <v/>
      </c>
      <c r="JL59">
        <f>AND(IF(GK59="",TRUE,IF(input_organizer="",FALSE,SUMPRODUCT(--ISNUMBER(SEARCH(","&amp;TRIM(TEXTSPLIT(GK59,","))&amp;",",","&amp;SUBSTITUTE(input_organizer," ","")&amp;",")))&gt;0)),IF(GM59="",TRUE,IF(input_organizer="",FALSE,SUMPRODUCT(--ISNUMBER(SEARCH(","&amp;TRIM(TEXTSPLIT(GM59,","))&amp;",",","&amp;SUBSTITUTE(input_organizer," ","")&amp;",")))=COUNTA(TEXTSPLIT(GM59,",")))),IF(GO59="",TRUE,IF(input_organizer="",TRUE,SUMPRODUCT(--ISNUMBER(SEARCH(","&amp;TRIM(TEXTSPLIT(GO59,","))&amp;",",","&amp;SUBSTITUTE(input_organizer," ","")&amp;",")))=0)),IF(GQ59="",TRUE,IF(input_organizer="",FALSE,SUMPRODUCT(--ISNUMBER(SEARCH(","&amp;TRIM(TEXTSPLIT(GQ59,","))&amp;",",","&amp;SUBSTITUTE(input_organizer," ","")&amp;",")))&gt;0)),IF(GS59="",TRUE,IF(input_organizer="",FALSE,SUMPRODUCT(--ISNUMBER(SEARCH(","&amp;TRIM(TEXTSPLIT(GS59,","))&amp;",",","&amp;SUBSTITUTE(input_organizer," ","")&amp;",")))=COUNTA(TEXTSPLIT(GS59,",")))))</f>
        <v/>
      </c>
      <c r="JM59">
        <f>AND(IF(GU59="",TRUE,IF(input_profile_type="",FALSE,SUMPRODUCT(--ISNUMBER(SEARCH(","&amp;TRIM(TEXTSPLIT(GU59,","))&amp;",",","&amp;SUBSTITUTE(input_profile_type," ","")&amp;",")))&gt;0)),IF(GW59="",TRUE,IF(input_profile_type="",FALSE,SUMPRODUCT(--ISNUMBER(SEARCH(","&amp;TRIM(TEXTSPLIT(GW59,","))&amp;",",","&amp;SUBSTITUTE(input_profile_type," ","")&amp;",")))=COUNTA(TEXTSPLIT(GW59,",")))),IF(GY59="",TRUE,IF(input_profile_type="",TRUE,SUMPRODUCT(--ISNUMBER(SEARCH(","&amp;TRIM(TEXTSPLIT(GY59,","))&amp;",",","&amp;SUBSTITUTE(input_profile_type," ","")&amp;",")))=0)),IF(HA59="",TRUE,IF(input_profile_type="",FALSE,SUMPRODUCT(--ISNUMBER(SEARCH(","&amp;TRIM(TEXTSPLIT(HA59,","))&amp;",",","&amp;SUBSTITUTE(input_profile_type," ","")&amp;",")))&gt;0)),IF(HC59="",TRUE,IF(input_profile_type="",FALSE,SUMPRODUCT(--ISNUMBER(SEARCH(","&amp;TRIM(TEXTSPLIT(HC59,","))&amp;",",","&amp;SUBSTITUTE(input_profile_type," ","")&amp;",")))=COUNTA(TEXTSPLIT(HC59,",")))))</f>
        <v/>
      </c>
      <c r="JN59">
        <f>AND(IF(HE59="",TRUE,IF(input_program="",FALSE,SUMPRODUCT(--ISNUMBER(SEARCH(","&amp;TRIM(TEXTSPLIT(HE59,","))&amp;",",","&amp;SUBSTITUTE(input_program," ","")&amp;",")))&gt;0)),IF(HG59="",TRUE,IF(input_program="",FALSE,SUMPRODUCT(--ISNUMBER(SEARCH(","&amp;TRIM(TEXTSPLIT(HG59,","))&amp;",",","&amp;SUBSTITUTE(input_program," ","")&amp;",")))=COUNTA(TEXTSPLIT(HG59,",")))),IF(HI59="",TRUE,IF(input_program="",TRUE,SUMPRODUCT(--ISNUMBER(SEARCH(","&amp;TRIM(TEXTSPLIT(HI59,","))&amp;",",","&amp;SUBSTITUTE(input_program," ","")&amp;",")))=0)),IF(HK59="",TRUE,IF(input_program="",FALSE,SUMPRODUCT(--ISNUMBER(SEARCH(","&amp;TRIM(TEXTSPLIT(HK59,","))&amp;",",","&amp;SUBSTITUTE(input_program," ","")&amp;",")))&gt;0)),IF(HM59="",TRUE,IF(input_program="",FALSE,SUMPRODUCT(--ISNUMBER(SEARCH(","&amp;TRIM(TEXTSPLIT(HM59,","))&amp;",",","&amp;SUBSTITUTE(input_program," ","")&amp;",")))=COUNTA(TEXTSPLIT(HM59,",")))))</f>
        <v/>
      </c>
      <c r="JO59">
        <f>AND(IF(HO59="",TRUE,IF(input_story_categories="",FALSE,SUMPRODUCT(--ISNUMBER(SEARCH(","&amp;TRIM(TEXTSPLIT(HO59,","))&amp;",",","&amp;SUBSTITUTE(input_story_categories," ","")&amp;",")))&gt;0)),IF(HQ59="",TRUE,IF(input_story_categories="",FALSE,SUMPRODUCT(--ISNUMBER(SEARCH(","&amp;TRIM(TEXTSPLIT(HQ59,","))&amp;",",","&amp;SUBSTITUTE(input_story_categories," ","")&amp;",")))=COUNTA(TEXTSPLIT(HQ59,",")))),IF(HS59="",TRUE,IF(input_story_categories="",TRUE,SUMPRODUCT(--ISNUMBER(SEARCH(","&amp;TRIM(TEXTSPLIT(HS59,","))&amp;",",","&amp;SUBSTITUTE(input_story_categories," ","")&amp;",")))=0)),IF(HU59="",TRUE,IF(input_story_categories="",FALSE,SUMPRODUCT(--ISNUMBER(SEARCH(","&amp;TRIM(TEXTSPLIT(HU59,","))&amp;",",","&amp;SUBSTITUTE(input_story_categories," ","")&amp;",")))&gt;0)),IF(HW59="",TRUE,IF(input_story_categories="",FALSE,SUMPRODUCT(--ISNUMBER(SEARCH(","&amp;TRIM(TEXTSPLIT(HW59,","))&amp;",",","&amp;SUBSTITUTE(input_story_categories," ","")&amp;",")))=COUNTA(TEXTSPLIT(HW59,",")))))</f>
        <v/>
      </c>
      <c r="JP59">
        <f>AND(IF(HY59="",TRUE,IF(input_story_type="",FALSE,SUMPRODUCT(--ISNUMBER(SEARCH(","&amp;TRIM(TEXTSPLIT(HY59,","))&amp;",",","&amp;SUBSTITUTE(input_story_type," ","")&amp;",")))&gt;0)),IF(IA59="",TRUE,IF(input_story_type="",FALSE,SUMPRODUCT(--ISNUMBER(SEARCH(","&amp;TRIM(TEXTSPLIT(IA59,","))&amp;",",","&amp;SUBSTITUTE(input_story_type," ","")&amp;",")))=COUNTA(TEXTSPLIT(IA59,",")))),IF(IC59="",TRUE,IF(input_story_type="",TRUE,SUMPRODUCT(--ISNUMBER(SEARCH(","&amp;TRIM(TEXTSPLIT(IC59,","))&amp;",",","&amp;SUBSTITUTE(input_story_type," ","")&amp;",")))=0)),IF(IE59="",TRUE,IF(input_story_type="",FALSE,SUMPRODUCT(--ISNUMBER(SEARCH(","&amp;TRIM(TEXTSPLIT(IE59,","))&amp;",",","&amp;SUBSTITUTE(input_story_type," ","")&amp;",")))&gt;0)),IF(IG59="",TRUE,IF(input_story_type="",FALSE,SUMPRODUCT(--ISNUMBER(SEARCH(","&amp;TRIM(TEXTSPLIT(IG59,","))&amp;",",","&amp;SUBSTITUTE(input_story_type," ","")&amp;",")))=COUNTA(TEXTSPLIT(IG59,",")))))</f>
        <v/>
      </c>
      <c r="JQ59">
        <f>AND(IF(II59="",TRUE,IF(input_topics="",FALSE,SUMPRODUCT(--ISNUMBER(SEARCH(","&amp;TRIM(TEXTSPLIT(II59,","))&amp;",",","&amp;SUBSTITUTE(input_topics," ","")&amp;",")))&gt;0)),IF(IK59="",TRUE,IF(input_topics="",FALSE,SUMPRODUCT(--ISNUMBER(SEARCH(","&amp;TRIM(TEXTSPLIT(IK59,","))&amp;",",","&amp;SUBSTITUTE(input_topics," ","")&amp;",")))=COUNTA(TEXTSPLIT(IK59,",")))),IF(IM59="",TRUE,IF(input_topics="",TRUE,SUMPRODUCT(--ISNUMBER(SEARCH(","&amp;TRIM(TEXTSPLIT(IM59,","))&amp;",",","&amp;SUBSTITUTE(input_topics," ","")&amp;",")))=0)),IF(IO59="",TRUE,IF(input_topics="",FALSE,SUMPRODUCT(--ISNUMBER(SEARCH(","&amp;TRIM(TEXTSPLIT(IO59,","))&amp;",",","&amp;SUBSTITUTE(input_topics," ","")&amp;",")))&gt;0)),IF(IQ59="",TRUE,IF(input_topics="",FALSE,SUMPRODUCT(--ISNUMBER(SEARCH(","&amp;TRIM(TEXTSPLIT(IQ59,","))&amp;",",","&amp;SUBSTITUTE(input_topics," ","")&amp;",")))=COUNTA(TEXTSPLIT(IQ59,",")))))</f>
        <v/>
      </c>
    </row>
    <row r="60">
      <c r="A60" s="4">
        <f>IF(NOT(IS60),"Excluded",IF(AND(IT60,IU60,IV60,IW60,IX60,IY60,IZ60,JA60,JB60,JC60,JD60,JE60,JF60,JG60,JH60,JI60,JJ60,JK60,JL60,JM60,JN60,JO60,JP60,JQ60),IF(I60&gt;0,"Eligible but limited","Will appear"),"Excluded"))</f>
        <v/>
      </c>
      <c r="B60" s="4" t="inlineStr">
        <is>
          <t>All stories</t>
        </is>
      </c>
      <c r="C60" s="4" t="inlineStr">
        <is>
          <t>/alumni</t>
        </is>
      </c>
      <c r="D60" s="4" t="inlineStr">
        <is>
          <t>/alumni</t>
        </is>
      </c>
      <c r="E60" s="4" t="n">
        <v>1</v>
      </c>
      <c r="F60" s="4" t="inlineStr">
        <is>
          <t>story</t>
        </is>
      </c>
      <c r="G60" s="4" t="inlineStr">
        <is>
          <t>stories_grid_with_images</t>
        </is>
      </c>
      <c r="H60" s="4" t="inlineStr">
        <is>
          <t>embed_1</t>
        </is>
      </c>
      <c r="I60" s="4" t="n">
        <v>3</v>
      </c>
      <c r="J60" s="4" t="inlineStr">
        <is>
          <t>Section inferred</t>
        </is>
      </c>
      <c r="K60" s="4" t="inlineStr">
        <is>
          <t>Page placement</t>
        </is>
      </c>
      <c r="L60" s="4" t="inlineStr">
        <is>
          <t>Content type: story; Context uses Courses Context: Alumni (1142); Limited to 3 item(s); Source: Section inferred</t>
        </is>
      </c>
      <c r="M60" t="inlineStr"/>
      <c r="N60" t="inlineStr"/>
      <c r="O60" t="inlineStr"/>
      <c r="P60" t="inlineStr"/>
      <c r="Q60" t="inlineStr"/>
      <c r="R60" t="inlineStr"/>
      <c r="S60" t="inlineStr"/>
      <c r="T60" t="inlineStr"/>
      <c r="U60" t="inlineStr"/>
      <c r="V60" t="inlineStr"/>
      <c r="W60" t="inlineStr"/>
      <c r="X60" t="inlineStr"/>
      <c r="Y60" t="inlineStr"/>
      <c r="Z60" t="inlineStr"/>
      <c r="AA60" t="inlineStr"/>
      <c r="AB60" t="inlineStr"/>
      <c r="AC60" t="inlineStr"/>
      <c r="AD60" t="inlineStr"/>
      <c r="AE60" t="inlineStr"/>
      <c r="AF60" t="inlineStr"/>
      <c r="AG60" t="inlineStr"/>
      <c r="AH60" t="inlineStr"/>
      <c r="AI60" t="inlineStr"/>
      <c r="AJ60" t="inlineStr"/>
      <c r="AK60" t="inlineStr"/>
      <c r="AL60" t="inlineStr"/>
      <c r="AM60" t="inlineStr"/>
      <c r="AN60" t="inlineStr"/>
      <c r="AO60" t="inlineStr"/>
      <c r="AP60" t="inlineStr"/>
      <c r="AQ60" t="inlineStr"/>
      <c r="AR60" t="inlineStr"/>
      <c r="AS60" t="inlineStr"/>
      <c r="AT60" t="inlineStr"/>
      <c r="AU60" t="inlineStr"/>
      <c r="AV60" t="inlineStr"/>
      <c r="AW60" t="inlineStr"/>
      <c r="AX60" t="inlineStr"/>
      <c r="AY60" t="inlineStr"/>
      <c r="AZ60" t="inlineStr"/>
      <c r="BA60" t="inlineStr"/>
      <c r="BB60" t="inlineStr"/>
      <c r="BC60" t="inlineStr"/>
      <c r="BD60" t="inlineStr"/>
      <c r="BE60" t="inlineStr"/>
      <c r="BF60" t="inlineStr"/>
      <c r="BG60" t="inlineStr"/>
      <c r="BH60" t="inlineStr"/>
      <c r="BI60" t="inlineStr"/>
      <c r="BJ60" t="inlineStr"/>
      <c r="BK60" t="inlineStr"/>
      <c r="BL60" t="inlineStr"/>
      <c r="BM60" t="inlineStr"/>
      <c r="BN60" t="inlineStr"/>
      <c r="BO60" t="inlineStr"/>
      <c r="BP60" t="inlineStr"/>
      <c r="BQ60" t="inlineStr">
        <is>
          <t>1142</t>
        </is>
      </c>
      <c r="BR60" t="inlineStr">
        <is>
          <t>Alumni (1142)</t>
        </is>
      </c>
      <c r="BS60" t="inlineStr"/>
      <c r="BT60" t="inlineStr"/>
      <c r="BU60" t="inlineStr"/>
      <c r="BV60" t="inlineStr"/>
      <c r="BW60" t="inlineStr"/>
      <c r="BX60" t="inlineStr"/>
      <c r="BY60" t="inlineStr"/>
      <c r="BZ60" t="inlineStr"/>
      <c r="CA60" t="inlineStr"/>
      <c r="CB60" t="inlineStr"/>
      <c r="CC60" t="inlineStr"/>
      <c r="CD60" t="inlineStr"/>
      <c r="CE60" t="inlineStr"/>
      <c r="CF60" t="inlineStr"/>
      <c r="CG60" t="inlineStr"/>
      <c r="CH60" t="inlineStr"/>
      <c r="CI60" t="inlineStr"/>
      <c r="CJ60" t="inlineStr"/>
      <c r="CK60" t="inlineStr"/>
      <c r="CL60" t="inlineStr"/>
      <c r="CM60" t="inlineStr"/>
      <c r="CN60" t="inlineStr"/>
      <c r="CO60" t="inlineStr"/>
      <c r="CP60" t="inlineStr"/>
      <c r="CQ60" t="inlineStr"/>
      <c r="CR60" t="inlineStr"/>
      <c r="CS60" t="inlineStr"/>
      <c r="CT60" t="inlineStr"/>
      <c r="CU60" t="inlineStr"/>
      <c r="CV60" t="inlineStr"/>
      <c r="CW60" t="inlineStr"/>
      <c r="CX60" t="inlineStr"/>
      <c r="CY60" t="inlineStr"/>
      <c r="CZ60" t="inlineStr"/>
      <c r="DA60" t="inlineStr"/>
      <c r="DB60" t="inlineStr"/>
      <c r="DC60" t="inlineStr"/>
      <c r="DD60" t="inlineStr"/>
      <c r="DE60" t="inlineStr"/>
      <c r="DF60" t="inlineStr"/>
      <c r="DG60" t="inlineStr"/>
      <c r="DH60" t="inlineStr"/>
      <c r="DI60" t="inlineStr"/>
      <c r="DJ60" t="inlineStr"/>
      <c r="DK60" t="inlineStr"/>
      <c r="DL60" t="inlineStr"/>
      <c r="DM60" t="inlineStr"/>
      <c r="DN60" t="inlineStr"/>
      <c r="DO60" t="inlineStr"/>
      <c r="DP60" t="inlineStr"/>
      <c r="DQ60" t="inlineStr"/>
      <c r="DR60" t="inlineStr"/>
      <c r="DS60" t="inlineStr"/>
      <c r="DT60" t="inlineStr"/>
      <c r="DU60" t="inlineStr"/>
      <c r="DV60" t="inlineStr"/>
      <c r="DW60" t="inlineStr"/>
      <c r="DX60" t="inlineStr"/>
      <c r="DY60" t="inlineStr"/>
      <c r="DZ60" t="inlineStr"/>
      <c r="EA60" t="inlineStr"/>
      <c r="EB60" t="inlineStr"/>
      <c r="EC60" t="inlineStr"/>
      <c r="ED60" t="inlineStr"/>
      <c r="EE60" t="inlineStr"/>
      <c r="EF60" t="inlineStr"/>
      <c r="EG60" t="inlineStr"/>
      <c r="EH60" t="inlineStr"/>
      <c r="EI60" t="inlineStr"/>
      <c r="EJ60" t="inlineStr"/>
      <c r="EK60" t="inlineStr"/>
      <c r="EL60" t="inlineStr"/>
      <c r="EM60" t="inlineStr"/>
      <c r="EN60" t="inlineStr"/>
      <c r="EO60" t="inlineStr"/>
      <c r="EP60" t="inlineStr"/>
      <c r="EQ60" t="inlineStr"/>
      <c r="ER60" t="inlineStr"/>
      <c r="ES60" t="inlineStr"/>
      <c r="ET60" t="inlineStr"/>
      <c r="EU60" t="inlineStr"/>
      <c r="EV60" t="inlineStr"/>
      <c r="EW60" t="inlineStr"/>
      <c r="EX60" t="inlineStr"/>
      <c r="EY60" t="inlineStr"/>
      <c r="EZ60" t="inlineStr"/>
      <c r="FA60" t="inlineStr"/>
      <c r="FB60" t="inlineStr"/>
      <c r="FC60" t="inlineStr"/>
      <c r="FD60" t="inlineStr"/>
      <c r="FE60" t="inlineStr"/>
      <c r="FF60" t="inlineStr"/>
      <c r="FG60" t="inlineStr"/>
      <c r="FH60" t="inlineStr"/>
      <c r="FI60" t="inlineStr"/>
      <c r="FJ60" t="inlineStr"/>
      <c r="FK60" t="inlineStr"/>
      <c r="FL60" t="inlineStr"/>
      <c r="FM60" t="inlineStr"/>
      <c r="FN60" t="inlineStr"/>
      <c r="FO60" t="inlineStr"/>
      <c r="FP60" t="inlineStr"/>
      <c r="FQ60" t="inlineStr"/>
      <c r="FR60" t="inlineStr"/>
      <c r="FS60" t="inlineStr"/>
      <c r="FT60" t="inlineStr"/>
      <c r="FU60" t="inlineStr"/>
      <c r="FV60" t="inlineStr"/>
      <c r="FW60" t="inlineStr"/>
      <c r="FX60" t="inlineStr"/>
      <c r="FY60" t="inlineStr"/>
      <c r="FZ60" t="inlineStr"/>
      <c r="GA60" t="inlineStr"/>
      <c r="GB60" t="inlineStr"/>
      <c r="GC60" t="inlineStr"/>
      <c r="GD60" t="inlineStr"/>
      <c r="GE60" t="inlineStr"/>
      <c r="GF60" t="inlineStr"/>
      <c r="GG60" t="inlineStr"/>
      <c r="GH60" t="inlineStr"/>
      <c r="GI60" t="inlineStr"/>
      <c r="GJ60" t="inlineStr"/>
      <c r="GK60" t="inlineStr"/>
      <c r="GL60" t="inlineStr"/>
      <c r="GM60" t="inlineStr"/>
      <c r="GN60" t="inlineStr"/>
      <c r="GO60" t="inlineStr"/>
      <c r="GP60" t="inlineStr"/>
      <c r="GQ60" t="inlineStr"/>
      <c r="GR60" t="inlineStr"/>
      <c r="GS60" t="inlineStr"/>
      <c r="GT60" t="inlineStr"/>
      <c r="GU60" t="inlineStr"/>
      <c r="GV60" t="inlineStr"/>
      <c r="GW60" t="inlineStr"/>
      <c r="GX60" t="inlineStr"/>
      <c r="GY60" t="inlineStr"/>
      <c r="GZ60" t="inlineStr"/>
      <c r="HA60" t="inlineStr"/>
      <c r="HB60" t="inlineStr"/>
      <c r="HC60" t="inlineStr"/>
      <c r="HD60" t="inlineStr"/>
      <c r="HE60" t="inlineStr"/>
      <c r="HF60" t="inlineStr"/>
      <c r="HG60" t="inlineStr"/>
      <c r="HH60" t="inlineStr"/>
      <c r="HI60" t="inlineStr"/>
      <c r="HJ60" t="inlineStr"/>
      <c r="HK60" t="inlineStr"/>
      <c r="HL60" t="inlineStr"/>
      <c r="HM60" t="inlineStr"/>
      <c r="HN60" t="inlineStr"/>
      <c r="HO60" t="inlineStr"/>
      <c r="HP60" t="inlineStr"/>
      <c r="HQ60" t="inlineStr"/>
      <c r="HR60" t="inlineStr"/>
      <c r="HS60" t="inlineStr"/>
      <c r="HT60" t="inlineStr"/>
      <c r="HU60" t="inlineStr"/>
      <c r="HV60" t="inlineStr"/>
      <c r="HW60" t="inlineStr"/>
      <c r="HX60" t="inlineStr"/>
      <c r="HY60" t="inlineStr"/>
      <c r="HZ60" t="inlineStr"/>
      <c r="IA60" t="inlineStr"/>
      <c r="IB60" t="inlineStr"/>
      <c r="IC60" t="inlineStr"/>
      <c r="ID60" t="inlineStr"/>
      <c r="IE60" t="inlineStr"/>
      <c r="IF60" t="inlineStr"/>
      <c r="IG60" t="inlineStr"/>
      <c r="IH60" t="inlineStr"/>
      <c r="II60" t="inlineStr"/>
      <c r="IJ60" t="inlineStr"/>
      <c r="IK60" t="inlineStr"/>
      <c r="IL60" t="inlineStr"/>
      <c r="IM60" t="inlineStr"/>
      <c r="IN60" t="inlineStr"/>
      <c r="IO60" t="inlineStr"/>
      <c r="IP60" t="inlineStr"/>
      <c r="IQ60" t="inlineStr"/>
      <c r="IR60" t="inlineStr"/>
      <c r="IS60">
        <f>IF(input_content_type="",FALSE,ISNUMBER(SEARCH(","&amp;LOWER(input_content_type)&amp;",",","&amp;LOWER(F60)&amp;",")))</f>
        <v/>
      </c>
      <c r="IT60">
        <f>AND(IF(M60="",TRUE,IF(input_affiliations="",FALSE,SUMPRODUCT(--ISNUMBER(SEARCH(","&amp;TRIM(TEXTSPLIT(M60,","))&amp;",",","&amp;SUBSTITUTE(input_affiliations," ","")&amp;",")))&gt;0)),IF(O60="",TRUE,IF(input_affiliations="",FALSE,SUMPRODUCT(--ISNUMBER(SEARCH(","&amp;TRIM(TEXTSPLIT(O60,","))&amp;",",","&amp;SUBSTITUTE(input_affiliations," ","")&amp;",")))=COUNTA(TEXTSPLIT(O60,",")))),IF(Q60="",TRUE,IF(input_affiliations="",TRUE,SUMPRODUCT(--ISNUMBER(SEARCH(","&amp;TRIM(TEXTSPLIT(Q60,","))&amp;",",","&amp;SUBSTITUTE(input_affiliations," ","")&amp;",")))=0)),IF(S60="",TRUE,IF(input_affiliations="",FALSE,SUMPRODUCT(--ISNUMBER(SEARCH(","&amp;TRIM(TEXTSPLIT(S60,","))&amp;",",","&amp;SUBSTITUTE(input_affiliations," ","")&amp;",")))&gt;0)),IF(U60="",TRUE,IF(input_affiliations="",FALSE,SUMPRODUCT(--ISNUMBER(SEARCH(","&amp;TRIM(TEXTSPLIT(U60,","))&amp;",",","&amp;SUBSTITUTE(input_affiliations," ","")&amp;",")))=COUNTA(TEXTSPLIT(U60,",")))))</f>
        <v/>
      </c>
      <c r="IU60">
        <f>AND(IF(W60="",TRUE,IF(input_announcement_category="",FALSE,SUMPRODUCT(--ISNUMBER(SEARCH(","&amp;TRIM(TEXTSPLIT(W60,","))&amp;",",","&amp;SUBSTITUTE(input_announcement_category," ","")&amp;",")))&gt;0)),IF(Y60="",TRUE,IF(input_announcement_category="",FALSE,SUMPRODUCT(--ISNUMBER(SEARCH(","&amp;TRIM(TEXTSPLIT(Y60,","))&amp;",",","&amp;SUBSTITUTE(input_announcement_category," ","")&amp;",")))=COUNTA(TEXTSPLIT(Y60,",")))),IF(AA60="",TRUE,IF(input_announcement_category="",TRUE,SUMPRODUCT(--ISNUMBER(SEARCH(","&amp;TRIM(TEXTSPLIT(AA60,","))&amp;",",","&amp;SUBSTITUTE(input_announcement_category," ","")&amp;",")))=0)),IF(AC60="",TRUE,IF(input_announcement_category="",FALSE,SUMPRODUCT(--ISNUMBER(SEARCH(","&amp;TRIM(TEXTSPLIT(AC60,","))&amp;",",","&amp;SUBSTITUTE(input_announcement_category," ","")&amp;",")))&gt;0)),IF(AE60="",TRUE,IF(input_announcement_category="",FALSE,SUMPRODUCT(--ISNUMBER(SEARCH(","&amp;TRIM(TEXTSPLIT(AE60,","))&amp;",",","&amp;SUBSTITUTE(input_announcement_category," ","")&amp;",")))=COUNTA(TEXTSPLIT(AE60,",")))))</f>
        <v/>
      </c>
      <c r="IV60">
        <f>AND(IF(AG60="",TRUE,IF(input_area_of_focus="",FALSE,SUMPRODUCT(--ISNUMBER(SEARCH(","&amp;TRIM(TEXTSPLIT(AG60,","))&amp;",",","&amp;SUBSTITUTE(input_area_of_focus," ","")&amp;",")))&gt;0)),IF(AI60="",TRUE,IF(input_area_of_focus="",FALSE,SUMPRODUCT(--ISNUMBER(SEARCH(","&amp;TRIM(TEXTSPLIT(AI60,","))&amp;",",","&amp;SUBSTITUTE(input_area_of_focus," ","")&amp;",")))=COUNTA(TEXTSPLIT(AI60,",")))),IF(AK60="",TRUE,IF(input_area_of_focus="",TRUE,SUMPRODUCT(--ISNUMBER(SEARCH(","&amp;TRIM(TEXTSPLIT(AK60,","))&amp;",",","&amp;SUBSTITUTE(input_area_of_focus," ","")&amp;",")))=0)),IF(AM60="",TRUE,IF(input_area_of_focus="",FALSE,SUMPRODUCT(--ISNUMBER(SEARCH(","&amp;TRIM(TEXTSPLIT(AM60,","))&amp;",",","&amp;SUBSTITUTE(input_area_of_focus," ","")&amp;",")))&gt;0)),IF(AO60="",TRUE,IF(input_area_of_focus="",FALSE,SUMPRODUCT(--ISNUMBER(SEARCH(","&amp;TRIM(TEXTSPLIT(AO60,","))&amp;",",","&amp;SUBSTITUTE(input_area_of_focus," ","")&amp;",")))=COUNTA(TEXTSPLIT(AO60,",")))))</f>
        <v/>
      </c>
      <c r="IW60">
        <f>AND(IF(AQ60="",TRUE,IF(input_audience="",FALSE,SUMPRODUCT(--ISNUMBER(SEARCH(","&amp;TRIM(TEXTSPLIT(AQ60,","))&amp;",",","&amp;SUBSTITUTE(input_audience," ","")&amp;",")))&gt;0)),IF(AS60="",TRUE,IF(input_audience="",FALSE,SUMPRODUCT(--ISNUMBER(SEARCH(","&amp;TRIM(TEXTSPLIT(AS60,","))&amp;",",","&amp;SUBSTITUTE(input_audience," ","")&amp;",")))=COUNTA(TEXTSPLIT(AS60,",")))),IF(AU60="",TRUE,IF(input_audience="",TRUE,SUMPRODUCT(--ISNUMBER(SEARCH(","&amp;TRIM(TEXTSPLIT(AU60,","))&amp;",",","&amp;SUBSTITUTE(input_audience," ","")&amp;",")))=0)),IF(AW60="",TRUE,IF(input_audience="",FALSE,SUMPRODUCT(--ISNUMBER(SEARCH(","&amp;TRIM(TEXTSPLIT(AW60,","))&amp;",",","&amp;SUBSTITUTE(input_audience," ","")&amp;",")))&gt;0)),IF(AY60="",TRUE,IF(input_audience="",FALSE,SUMPRODUCT(--ISNUMBER(SEARCH(","&amp;TRIM(TEXTSPLIT(AY60,","))&amp;",",","&amp;SUBSTITUTE(input_audience," ","")&amp;",")))=COUNTA(TEXTSPLIT(AY60,",")))))</f>
        <v/>
      </c>
      <c r="IX60">
        <f>AND(IF(BA60="",TRUE,IF(input_challenge_opportunities="",FALSE,SUMPRODUCT(--ISNUMBER(SEARCH(","&amp;TRIM(TEXTSPLIT(BA60,","))&amp;",",","&amp;SUBSTITUTE(input_challenge_opportunities," ","")&amp;",")))&gt;0)),IF(BC60="",TRUE,IF(input_challenge_opportunities="",FALSE,SUMPRODUCT(--ISNUMBER(SEARCH(","&amp;TRIM(TEXTSPLIT(BC60,","))&amp;",",","&amp;SUBSTITUTE(input_challenge_opportunities," ","")&amp;",")))=COUNTA(TEXTSPLIT(BC60,",")))),IF(BE60="",TRUE,IF(input_challenge_opportunities="",TRUE,SUMPRODUCT(--ISNUMBER(SEARCH(","&amp;TRIM(TEXTSPLIT(BE60,","))&amp;",",","&amp;SUBSTITUTE(input_challenge_opportunities," ","")&amp;",")))=0)),IF(BG60="",TRUE,IF(input_challenge_opportunities="",FALSE,SUMPRODUCT(--ISNUMBER(SEARCH(","&amp;TRIM(TEXTSPLIT(BG60,","))&amp;",",","&amp;SUBSTITUTE(input_challenge_opportunities," ","")&amp;",")))&gt;0)),IF(BI60="",TRUE,IF(input_challenge_opportunities="",FALSE,SUMPRODUCT(--ISNUMBER(SEARCH(","&amp;TRIM(TEXTSPLIT(BI60,","))&amp;",",","&amp;SUBSTITUTE(input_challenge_opportunities," ","")&amp;",")))=COUNTA(TEXTSPLIT(BI60,",")))))</f>
        <v/>
      </c>
      <c r="IY60">
        <f>AND(IF(BK60="",TRUE,IF(input_context="",FALSE,SUMPRODUCT(--ISNUMBER(SEARCH(","&amp;TRIM(TEXTSPLIT(BK60,","))&amp;",",","&amp;SUBSTITUTE(input_context," ","")&amp;",")))&gt;0)),IF(BM60="",TRUE,IF(input_context="",FALSE,SUMPRODUCT(--ISNUMBER(SEARCH(","&amp;TRIM(TEXTSPLIT(BM60,","))&amp;",",","&amp;SUBSTITUTE(input_context," ","")&amp;",")))=COUNTA(TEXTSPLIT(BM60,",")))),IF(BO60="",TRUE,IF(input_context="",TRUE,SUMPRODUCT(--ISNUMBER(SEARCH(","&amp;TRIM(TEXTSPLIT(BO60,","))&amp;",",","&amp;SUBSTITUTE(input_context," ","")&amp;",")))=0)),IF(BQ60="",TRUE,IF(input_context="",FALSE,SUMPRODUCT(--ISNUMBER(SEARCH(","&amp;TRIM(TEXTSPLIT(BQ60,","))&amp;",",","&amp;SUBSTITUTE(input_context," ","")&amp;",")))&gt;0)),IF(BS60="",TRUE,IF(input_context="",FALSE,SUMPRODUCT(--ISNUMBER(SEARCH(","&amp;TRIM(TEXTSPLIT(BS60,","))&amp;",",","&amp;SUBSTITUTE(input_context," ","")&amp;",")))=COUNTA(TEXTSPLIT(BS60,",")))))</f>
        <v/>
      </c>
      <c r="IZ60">
        <f>AND(IF(BU60="",TRUE,IF(input_enews_announcement_type="",FALSE,SUMPRODUCT(--ISNUMBER(SEARCH(","&amp;TRIM(TEXTSPLIT(BU60,","))&amp;",",","&amp;SUBSTITUTE(input_enews_announcement_type," ","")&amp;",")))&gt;0)),IF(BW60="",TRUE,IF(input_enews_announcement_type="",FALSE,SUMPRODUCT(--ISNUMBER(SEARCH(","&amp;TRIM(TEXTSPLIT(BW60,","))&amp;",",","&amp;SUBSTITUTE(input_enews_announcement_type," ","")&amp;",")))=COUNTA(TEXTSPLIT(BW60,",")))),IF(BY60="",TRUE,IF(input_enews_announcement_type="",TRUE,SUMPRODUCT(--ISNUMBER(SEARCH(","&amp;TRIM(TEXTSPLIT(BY60,","))&amp;",",","&amp;SUBSTITUTE(input_enews_announcement_type," ","")&amp;",")))=0)),IF(CA60="",TRUE,IF(input_enews_announcement_type="",FALSE,SUMPRODUCT(--ISNUMBER(SEARCH(","&amp;TRIM(TEXTSPLIT(CA60,","))&amp;",",","&amp;SUBSTITUTE(input_enews_announcement_type," ","")&amp;",")))&gt;0)),IF(CC60="",TRUE,IF(input_enews_announcement_type="",FALSE,SUMPRODUCT(--ISNUMBER(SEARCH(","&amp;TRIM(TEXTSPLIT(CC60,","))&amp;",",","&amp;SUBSTITUTE(input_enews_announcement_type," ","")&amp;",")))=COUNTA(TEXTSPLIT(CC60,",")))))</f>
        <v/>
      </c>
      <c r="JA60">
        <f>AND(IF(CE60="",TRUE,IF(input_enews_audience="",FALSE,SUMPRODUCT(--ISNUMBER(SEARCH(","&amp;TRIM(TEXTSPLIT(CE60,","))&amp;",",","&amp;SUBSTITUTE(input_enews_audience," ","")&amp;",")))&gt;0)),IF(CG60="",TRUE,IF(input_enews_audience="",FALSE,SUMPRODUCT(--ISNUMBER(SEARCH(","&amp;TRIM(TEXTSPLIT(CG60,","))&amp;",",","&amp;SUBSTITUTE(input_enews_audience," ","")&amp;",")))=COUNTA(TEXTSPLIT(CG60,",")))),IF(CI60="",TRUE,IF(input_enews_audience="",TRUE,SUMPRODUCT(--ISNUMBER(SEARCH(","&amp;TRIM(TEXTSPLIT(CI60,","))&amp;",",","&amp;SUBSTITUTE(input_enews_audience," ","")&amp;",")))=0)),IF(CK60="",TRUE,IF(input_enews_audience="",FALSE,SUMPRODUCT(--ISNUMBER(SEARCH(","&amp;TRIM(TEXTSPLIT(CK60,","))&amp;",",","&amp;SUBSTITUTE(input_enews_audience," ","")&amp;",")))&gt;0)),IF(CM60="",TRUE,IF(input_enews_audience="",FALSE,SUMPRODUCT(--ISNUMBER(SEARCH(","&amp;TRIM(TEXTSPLIT(CM60,","))&amp;",",","&amp;SUBSTITUTE(input_enews_audience," ","")&amp;",")))=COUNTA(TEXTSPLIT(CM60,",")))))</f>
        <v/>
      </c>
      <c r="JB60">
        <f>AND(IF(CO60="",TRUE,IF(input_event_location="",FALSE,SUMPRODUCT(--ISNUMBER(SEARCH(","&amp;TRIM(TEXTSPLIT(CO60,","))&amp;",",","&amp;SUBSTITUTE(input_event_location," ","")&amp;",")))&gt;0)),IF(CQ60="",TRUE,IF(input_event_location="",FALSE,SUMPRODUCT(--ISNUMBER(SEARCH(","&amp;TRIM(TEXTSPLIT(CQ60,","))&amp;",",","&amp;SUBSTITUTE(input_event_location," ","")&amp;",")))=COUNTA(TEXTSPLIT(CQ60,",")))),IF(CS60="",TRUE,IF(input_event_location="",TRUE,SUMPRODUCT(--ISNUMBER(SEARCH(","&amp;TRIM(TEXTSPLIT(CS60,","))&amp;",",","&amp;SUBSTITUTE(input_event_location," ","")&amp;",")))=0)),IF(CU60="",TRUE,IF(input_event_location="",FALSE,SUMPRODUCT(--ISNUMBER(SEARCH(","&amp;TRIM(TEXTSPLIT(CU60,","))&amp;",",","&amp;SUBSTITUTE(input_event_location," ","")&amp;",")))&gt;0)),IF(CW60="",TRUE,IF(input_event_location="",FALSE,SUMPRODUCT(--ISNUMBER(SEARCH(","&amp;TRIM(TEXTSPLIT(CW60,","))&amp;",",","&amp;SUBSTITUTE(input_event_location," ","")&amp;",")))=COUNTA(TEXTSPLIT(CW60,",")))))</f>
        <v/>
      </c>
      <c r="JC60">
        <f>AND(IF(CY60="",TRUE,IF(input_event_type="",FALSE,SUMPRODUCT(--ISNUMBER(SEARCH(","&amp;TRIM(TEXTSPLIT(CY60,","))&amp;",",","&amp;SUBSTITUTE(input_event_type," ","")&amp;",")))&gt;0)),IF(DA60="",TRUE,IF(input_event_type="",FALSE,SUMPRODUCT(--ISNUMBER(SEARCH(","&amp;TRIM(TEXTSPLIT(DA60,","))&amp;",",","&amp;SUBSTITUTE(input_event_type," ","")&amp;",")))=COUNTA(TEXTSPLIT(DA60,",")))),IF(DC60="",TRUE,IF(input_event_type="",TRUE,SUMPRODUCT(--ISNUMBER(SEARCH(","&amp;TRIM(TEXTSPLIT(DC60,","))&amp;",",","&amp;SUBSTITUTE(input_event_type," ","")&amp;",")))=0)),IF(DE60="",TRUE,IF(input_event_type="",FALSE,SUMPRODUCT(--ISNUMBER(SEARCH(","&amp;TRIM(TEXTSPLIT(DE60,","))&amp;",",","&amp;SUBSTITUTE(input_event_type," ","")&amp;",")))&gt;0)),IF(DG60="",TRUE,IF(input_event_type="",FALSE,SUMPRODUCT(--ISNUMBER(SEARCH(","&amp;TRIM(TEXTSPLIT(DG60,","))&amp;",",","&amp;SUBSTITUTE(input_event_type," ","")&amp;",")))=COUNTA(TEXTSPLIT(DG60,",")))))</f>
        <v/>
      </c>
      <c r="JD60">
        <f>AND(IF(DI60="",TRUE,IF(input_executive_education_focus="",FALSE,SUMPRODUCT(--ISNUMBER(SEARCH(","&amp;TRIM(TEXTSPLIT(DI60,","))&amp;",",","&amp;SUBSTITUTE(input_executive_education_focus," ","")&amp;",")))&gt;0)),IF(DK60="",TRUE,IF(input_executive_education_focus="",FALSE,SUMPRODUCT(--ISNUMBER(SEARCH(","&amp;TRIM(TEXTSPLIT(DK60,","))&amp;",",","&amp;SUBSTITUTE(input_executive_education_focus," ","")&amp;",")))=COUNTA(TEXTSPLIT(DK60,",")))),IF(DM60="",TRUE,IF(input_executive_education_focus="",TRUE,SUMPRODUCT(--ISNUMBER(SEARCH(","&amp;TRIM(TEXTSPLIT(DM60,","))&amp;",",","&amp;SUBSTITUTE(input_executive_education_focus," ","")&amp;",")))=0)),IF(DO60="",TRUE,IF(input_executive_education_focus="",FALSE,SUMPRODUCT(--ISNUMBER(SEARCH(","&amp;TRIM(TEXTSPLIT(DO60,","))&amp;",",","&amp;SUBSTITUTE(input_executive_education_focus," ","")&amp;",")))&gt;0)),IF(DQ60="",TRUE,IF(input_executive_education_focus="",FALSE,SUMPRODUCT(--ISNUMBER(SEARCH(","&amp;TRIM(TEXTSPLIT(DQ60,","))&amp;",",","&amp;SUBSTITUTE(input_executive_education_focus," ","")&amp;",")))=COUNTA(TEXTSPLIT(DQ60,",")))))</f>
        <v/>
      </c>
      <c r="JE60">
        <f>AND(IF(DS60="",TRUE,IF(input_faculty_category="",FALSE,SUMPRODUCT(--ISNUMBER(SEARCH(","&amp;TRIM(TEXTSPLIT(DS60,","))&amp;",",","&amp;SUBSTITUTE(input_faculty_category," ","")&amp;",")))&gt;0)),IF(DU60="",TRUE,IF(input_faculty_category="",FALSE,SUMPRODUCT(--ISNUMBER(SEARCH(","&amp;TRIM(TEXTSPLIT(DU60,","))&amp;",",","&amp;SUBSTITUTE(input_faculty_category," ","")&amp;",")))=COUNTA(TEXTSPLIT(DU60,",")))),IF(DW60="",TRUE,IF(input_faculty_category="",TRUE,SUMPRODUCT(--ISNUMBER(SEARCH(","&amp;TRIM(TEXTSPLIT(DW60,","))&amp;",",","&amp;SUBSTITUTE(input_faculty_category," ","")&amp;",")))=0)),IF(DY60="",TRUE,IF(input_faculty_category="",FALSE,SUMPRODUCT(--ISNUMBER(SEARCH(","&amp;TRIM(TEXTSPLIT(DY60,","))&amp;",",","&amp;SUBSTITUTE(input_faculty_category," ","")&amp;",")))&gt;0)),IF(EA60="",TRUE,IF(input_faculty_category="",FALSE,SUMPRODUCT(--ISNUMBER(SEARCH(","&amp;TRIM(TEXTSPLIT(EA60,","))&amp;",",","&amp;SUBSTITUTE(input_faculty_category," ","")&amp;",")))=COUNTA(TEXTSPLIT(EA60,",")))))</f>
        <v/>
      </c>
      <c r="JF60">
        <f>AND(IF(EC60="",TRUE,IF(input_faculty_discipline="",FALSE,SUMPRODUCT(--ISNUMBER(SEARCH(","&amp;TRIM(TEXTSPLIT(EC60,","))&amp;",",","&amp;SUBSTITUTE(input_faculty_discipline," ","")&amp;",")))&gt;0)),IF(EE60="",TRUE,IF(input_faculty_discipline="",FALSE,SUMPRODUCT(--ISNUMBER(SEARCH(","&amp;TRIM(TEXTSPLIT(EE60,","))&amp;",",","&amp;SUBSTITUTE(input_faculty_discipline," ","")&amp;",")))=COUNTA(TEXTSPLIT(EE60,",")))),IF(EG60="",TRUE,IF(input_faculty_discipline="",TRUE,SUMPRODUCT(--ISNUMBER(SEARCH(","&amp;TRIM(TEXTSPLIT(EG60,","))&amp;",",","&amp;SUBSTITUTE(input_faculty_discipline," ","")&amp;",")))=0)),IF(EI60="",TRUE,IF(input_faculty_discipline="",FALSE,SUMPRODUCT(--ISNUMBER(SEARCH(","&amp;TRIM(TEXTSPLIT(EI60,","))&amp;",",","&amp;SUBSTITUTE(input_faculty_discipline," ","")&amp;",")))&gt;0)),IF(EK60="",TRUE,IF(input_faculty_discipline="",FALSE,SUMPRODUCT(--ISNUMBER(SEARCH(","&amp;TRIM(TEXTSPLIT(EK60,","))&amp;",",","&amp;SUBSTITUTE(input_faculty_discipline," ","")&amp;",")))=COUNTA(TEXTSPLIT(EK60,",")))))</f>
        <v/>
      </c>
      <c r="JG60">
        <f>AND(IF(EM60="",TRUE,IF(input_faculty_expertise="",FALSE,SUMPRODUCT(--ISNUMBER(SEARCH(","&amp;TRIM(TEXTSPLIT(EM60,","))&amp;",",","&amp;SUBSTITUTE(input_faculty_expertise," ","")&amp;",")))&gt;0)),IF(EO60="",TRUE,IF(input_faculty_expertise="",FALSE,SUMPRODUCT(--ISNUMBER(SEARCH(","&amp;TRIM(TEXTSPLIT(EO60,","))&amp;",",","&amp;SUBSTITUTE(input_faculty_expertise," ","")&amp;",")))=COUNTA(TEXTSPLIT(EO60,",")))),IF(EQ60="",TRUE,IF(input_faculty_expertise="",TRUE,SUMPRODUCT(--ISNUMBER(SEARCH(","&amp;TRIM(TEXTSPLIT(EQ60,","))&amp;",",","&amp;SUBSTITUTE(input_faculty_expertise," ","")&amp;",")))=0)),IF(ES60="",TRUE,IF(input_faculty_expertise="",FALSE,SUMPRODUCT(--ISNUMBER(SEARCH(","&amp;TRIM(TEXTSPLIT(ES60,","))&amp;",",","&amp;SUBSTITUTE(input_faculty_expertise," ","")&amp;",")))&gt;0)),IF(EU60="",TRUE,IF(input_faculty_expertise="",FALSE,SUMPRODUCT(--ISNUMBER(SEARCH(","&amp;TRIM(TEXTSPLIT(EU60,","))&amp;",",","&amp;SUBSTITUTE(input_faculty_expertise," ","")&amp;",")))=COUNTA(TEXTSPLIT(EU60,",")))))</f>
        <v/>
      </c>
      <c r="JH60">
        <f>AND(IF(EW60="",TRUE,IF(input_global_network_school="",FALSE,SUMPRODUCT(--ISNUMBER(SEARCH(","&amp;TRIM(TEXTSPLIT(EW60,","))&amp;",",","&amp;SUBSTITUTE(input_global_network_school," ","")&amp;",")))&gt;0)),IF(EY60="",TRUE,IF(input_global_network_school="",FALSE,SUMPRODUCT(--ISNUMBER(SEARCH(","&amp;TRIM(TEXTSPLIT(EY60,","))&amp;",",","&amp;SUBSTITUTE(input_global_network_school," ","")&amp;",")))=COUNTA(TEXTSPLIT(EY60,",")))),IF(FA60="",TRUE,IF(input_global_network_school="",TRUE,SUMPRODUCT(--ISNUMBER(SEARCH(","&amp;TRIM(TEXTSPLIT(FA60,","))&amp;",",","&amp;SUBSTITUTE(input_global_network_school," ","")&amp;",")))=0)),IF(FC60="",TRUE,IF(input_global_network_school="",FALSE,SUMPRODUCT(--ISNUMBER(SEARCH(","&amp;TRIM(TEXTSPLIT(FC60,","))&amp;",",","&amp;SUBSTITUTE(input_global_network_school," ","")&amp;",")))&gt;0)),IF(FE60="",TRUE,IF(input_global_network_school="",FALSE,SUMPRODUCT(--ISNUMBER(SEARCH(","&amp;TRIM(TEXTSPLIT(FE60,","))&amp;",",","&amp;SUBSTITUTE(input_global_network_school," ","")&amp;",")))=COUNTA(TEXTSPLIT(FE60,",")))))</f>
        <v/>
      </c>
      <c r="JI60">
        <f>AND(IF(FG60="",TRUE,IF(input_industry="",FALSE,SUMPRODUCT(--ISNUMBER(SEARCH(","&amp;TRIM(TEXTSPLIT(FG60,","))&amp;",",","&amp;SUBSTITUTE(input_industry," ","")&amp;",")))&gt;0)),IF(FI60="",TRUE,IF(input_industry="",FALSE,SUMPRODUCT(--ISNUMBER(SEARCH(","&amp;TRIM(TEXTSPLIT(FI60,","))&amp;",",","&amp;SUBSTITUTE(input_industry," ","")&amp;",")))=COUNTA(TEXTSPLIT(FI60,",")))),IF(FK60="",TRUE,IF(input_industry="",TRUE,SUMPRODUCT(--ISNUMBER(SEARCH(","&amp;TRIM(TEXTSPLIT(FK60,","))&amp;",",","&amp;SUBSTITUTE(input_industry," ","")&amp;",")))=0)),IF(FM60="",TRUE,IF(input_industry="",FALSE,SUMPRODUCT(--ISNUMBER(SEARCH(","&amp;TRIM(TEXTSPLIT(FM60,","))&amp;",",","&amp;SUBSTITUTE(input_industry," ","")&amp;",")))&gt;0)),IF(FO60="",TRUE,IF(input_industry="",FALSE,SUMPRODUCT(--ISNUMBER(SEARCH(","&amp;TRIM(TEXTSPLIT(FO60,","))&amp;",",","&amp;SUBSTITUTE(input_industry," ","")&amp;",")))=COUNTA(TEXTSPLIT(FO60,",")))))</f>
        <v/>
      </c>
      <c r="JJ60">
        <f>AND(IF(FQ60="",TRUE,IF(input_location="",FALSE,SUMPRODUCT(--ISNUMBER(SEARCH(","&amp;TRIM(TEXTSPLIT(FQ60,","))&amp;",",","&amp;SUBSTITUTE(input_location," ","")&amp;",")))&gt;0)),IF(FS60="",TRUE,IF(input_location="",FALSE,SUMPRODUCT(--ISNUMBER(SEARCH(","&amp;TRIM(TEXTSPLIT(FS60,","))&amp;",",","&amp;SUBSTITUTE(input_location," ","")&amp;",")))=COUNTA(TEXTSPLIT(FS60,",")))),IF(FU60="",TRUE,IF(input_location="",TRUE,SUMPRODUCT(--ISNUMBER(SEARCH(","&amp;TRIM(TEXTSPLIT(FU60,","))&amp;",",","&amp;SUBSTITUTE(input_location," ","")&amp;",")))=0)),IF(FW60="",TRUE,IF(input_location="",FALSE,SUMPRODUCT(--ISNUMBER(SEARCH(","&amp;TRIM(TEXTSPLIT(FW60,","))&amp;",",","&amp;SUBSTITUTE(input_location," ","")&amp;",")))&gt;0)),IF(FY60="",TRUE,IF(input_location="",FALSE,SUMPRODUCT(--ISNUMBER(SEARCH(","&amp;TRIM(TEXTSPLIT(FY60,","))&amp;",",","&amp;SUBSTITUTE(input_location," ","")&amp;",")))=COUNTA(TEXTSPLIT(FY60,",")))))</f>
        <v/>
      </c>
      <c r="JK60">
        <f>AND(IF(GA60="",TRUE,IF(input_modality="",FALSE,SUMPRODUCT(--ISNUMBER(SEARCH(","&amp;TRIM(TEXTSPLIT(GA60,","))&amp;",",","&amp;SUBSTITUTE(input_modality," ","")&amp;",")))&gt;0)),IF(GC60="",TRUE,IF(input_modality="",FALSE,SUMPRODUCT(--ISNUMBER(SEARCH(","&amp;TRIM(TEXTSPLIT(GC60,","))&amp;",",","&amp;SUBSTITUTE(input_modality," ","")&amp;",")))=COUNTA(TEXTSPLIT(GC60,",")))),IF(GE60="",TRUE,IF(input_modality="",TRUE,SUMPRODUCT(--ISNUMBER(SEARCH(","&amp;TRIM(TEXTSPLIT(GE60,","))&amp;",",","&amp;SUBSTITUTE(input_modality," ","")&amp;",")))=0)),IF(GG60="",TRUE,IF(input_modality="",FALSE,SUMPRODUCT(--ISNUMBER(SEARCH(","&amp;TRIM(TEXTSPLIT(GG60,","))&amp;",",","&amp;SUBSTITUTE(input_modality," ","")&amp;",")))&gt;0)),IF(GI60="",TRUE,IF(input_modality="",FALSE,SUMPRODUCT(--ISNUMBER(SEARCH(","&amp;TRIM(TEXTSPLIT(GI60,","))&amp;",",","&amp;SUBSTITUTE(input_modality," ","")&amp;",")))=COUNTA(TEXTSPLIT(GI60,",")))))</f>
        <v/>
      </c>
      <c r="JL60">
        <f>AND(IF(GK60="",TRUE,IF(input_organizer="",FALSE,SUMPRODUCT(--ISNUMBER(SEARCH(","&amp;TRIM(TEXTSPLIT(GK60,","))&amp;",",","&amp;SUBSTITUTE(input_organizer," ","")&amp;",")))&gt;0)),IF(GM60="",TRUE,IF(input_organizer="",FALSE,SUMPRODUCT(--ISNUMBER(SEARCH(","&amp;TRIM(TEXTSPLIT(GM60,","))&amp;",",","&amp;SUBSTITUTE(input_organizer," ","")&amp;",")))=COUNTA(TEXTSPLIT(GM60,",")))),IF(GO60="",TRUE,IF(input_organizer="",TRUE,SUMPRODUCT(--ISNUMBER(SEARCH(","&amp;TRIM(TEXTSPLIT(GO60,","))&amp;",",","&amp;SUBSTITUTE(input_organizer," ","")&amp;",")))=0)),IF(GQ60="",TRUE,IF(input_organizer="",FALSE,SUMPRODUCT(--ISNUMBER(SEARCH(","&amp;TRIM(TEXTSPLIT(GQ60,","))&amp;",",","&amp;SUBSTITUTE(input_organizer," ","")&amp;",")))&gt;0)),IF(GS60="",TRUE,IF(input_organizer="",FALSE,SUMPRODUCT(--ISNUMBER(SEARCH(","&amp;TRIM(TEXTSPLIT(GS60,","))&amp;",",","&amp;SUBSTITUTE(input_organizer," ","")&amp;",")))=COUNTA(TEXTSPLIT(GS60,",")))))</f>
        <v/>
      </c>
      <c r="JM60">
        <f>AND(IF(GU60="",TRUE,IF(input_profile_type="",FALSE,SUMPRODUCT(--ISNUMBER(SEARCH(","&amp;TRIM(TEXTSPLIT(GU60,","))&amp;",",","&amp;SUBSTITUTE(input_profile_type," ","")&amp;",")))&gt;0)),IF(GW60="",TRUE,IF(input_profile_type="",FALSE,SUMPRODUCT(--ISNUMBER(SEARCH(","&amp;TRIM(TEXTSPLIT(GW60,","))&amp;",",","&amp;SUBSTITUTE(input_profile_type," ","")&amp;",")))=COUNTA(TEXTSPLIT(GW60,",")))),IF(GY60="",TRUE,IF(input_profile_type="",TRUE,SUMPRODUCT(--ISNUMBER(SEARCH(","&amp;TRIM(TEXTSPLIT(GY60,","))&amp;",",","&amp;SUBSTITUTE(input_profile_type," ","")&amp;",")))=0)),IF(HA60="",TRUE,IF(input_profile_type="",FALSE,SUMPRODUCT(--ISNUMBER(SEARCH(","&amp;TRIM(TEXTSPLIT(HA60,","))&amp;",",","&amp;SUBSTITUTE(input_profile_type," ","")&amp;",")))&gt;0)),IF(HC60="",TRUE,IF(input_profile_type="",FALSE,SUMPRODUCT(--ISNUMBER(SEARCH(","&amp;TRIM(TEXTSPLIT(HC60,","))&amp;",",","&amp;SUBSTITUTE(input_profile_type," ","")&amp;",")))=COUNTA(TEXTSPLIT(HC60,",")))))</f>
        <v/>
      </c>
      <c r="JN60">
        <f>AND(IF(HE60="",TRUE,IF(input_program="",FALSE,SUMPRODUCT(--ISNUMBER(SEARCH(","&amp;TRIM(TEXTSPLIT(HE60,","))&amp;",",","&amp;SUBSTITUTE(input_program," ","")&amp;",")))&gt;0)),IF(HG60="",TRUE,IF(input_program="",FALSE,SUMPRODUCT(--ISNUMBER(SEARCH(","&amp;TRIM(TEXTSPLIT(HG60,","))&amp;",",","&amp;SUBSTITUTE(input_program," ","")&amp;",")))=COUNTA(TEXTSPLIT(HG60,",")))),IF(HI60="",TRUE,IF(input_program="",TRUE,SUMPRODUCT(--ISNUMBER(SEARCH(","&amp;TRIM(TEXTSPLIT(HI60,","))&amp;",",","&amp;SUBSTITUTE(input_program," ","")&amp;",")))=0)),IF(HK60="",TRUE,IF(input_program="",FALSE,SUMPRODUCT(--ISNUMBER(SEARCH(","&amp;TRIM(TEXTSPLIT(HK60,","))&amp;",",","&amp;SUBSTITUTE(input_program," ","")&amp;",")))&gt;0)),IF(HM60="",TRUE,IF(input_program="",FALSE,SUMPRODUCT(--ISNUMBER(SEARCH(","&amp;TRIM(TEXTSPLIT(HM60,","))&amp;",",","&amp;SUBSTITUTE(input_program," ","")&amp;",")))=COUNTA(TEXTSPLIT(HM60,",")))))</f>
        <v/>
      </c>
      <c r="JO60">
        <f>AND(IF(HO60="",TRUE,IF(input_story_categories="",FALSE,SUMPRODUCT(--ISNUMBER(SEARCH(","&amp;TRIM(TEXTSPLIT(HO60,","))&amp;",",","&amp;SUBSTITUTE(input_story_categories," ","")&amp;",")))&gt;0)),IF(HQ60="",TRUE,IF(input_story_categories="",FALSE,SUMPRODUCT(--ISNUMBER(SEARCH(","&amp;TRIM(TEXTSPLIT(HQ60,","))&amp;",",","&amp;SUBSTITUTE(input_story_categories," ","")&amp;",")))=COUNTA(TEXTSPLIT(HQ60,",")))),IF(HS60="",TRUE,IF(input_story_categories="",TRUE,SUMPRODUCT(--ISNUMBER(SEARCH(","&amp;TRIM(TEXTSPLIT(HS60,","))&amp;",",","&amp;SUBSTITUTE(input_story_categories," ","")&amp;",")))=0)),IF(HU60="",TRUE,IF(input_story_categories="",FALSE,SUMPRODUCT(--ISNUMBER(SEARCH(","&amp;TRIM(TEXTSPLIT(HU60,","))&amp;",",","&amp;SUBSTITUTE(input_story_categories," ","")&amp;",")))&gt;0)),IF(HW60="",TRUE,IF(input_story_categories="",FALSE,SUMPRODUCT(--ISNUMBER(SEARCH(","&amp;TRIM(TEXTSPLIT(HW60,","))&amp;",",","&amp;SUBSTITUTE(input_story_categories," ","")&amp;",")))=COUNTA(TEXTSPLIT(HW60,",")))))</f>
        <v/>
      </c>
      <c r="JP60">
        <f>AND(IF(HY60="",TRUE,IF(input_story_type="",FALSE,SUMPRODUCT(--ISNUMBER(SEARCH(","&amp;TRIM(TEXTSPLIT(HY60,","))&amp;",",","&amp;SUBSTITUTE(input_story_type," ","")&amp;",")))&gt;0)),IF(IA60="",TRUE,IF(input_story_type="",FALSE,SUMPRODUCT(--ISNUMBER(SEARCH(","&amp;TRIM(TEXTSPLIT(IA60,","))&amp;",",","&amp;SUBSTITUTE(input_story_type," ","")&amp;",")))=COUNTA(TEXTSPLIT(IA60,",")))),IF(IC60="",TRUE,IF(input_story_type="",TRUE,SUMPRODUCT(--ISNUMBER(SEARCH(","&amp;TRIM(TEXTSPLIT(IC60,","))&amp;",",","&amp;SUBSTITUTE(input_story_type," ","")&amp;",")))=0)),IF(IE60="",TRUE,IF(input_story_type="",FALSE,SUMPRODUCT(--ISNUMBER(SEARCH(","&amp;TRIM(TEXTSPLIT(IE60,","))&amp;",",","&amp;SUBSTITUTE(input_story_type," ","")&amp;",")))&gt;0)),IF(IG60="",TRUE,IF(input_story_type="",FALSE,SUMPRODUCT(--ISNUMBER(SEARCH(","&amp;TRIM(TEXTSPLIT(IG60,","))&amp;",",","&amp;SUBSTITUTE(input_story_type," ","")&amp;",")))=COUNTA(TEXTSPLIT(IG60,",")))))</f>
        <v/>
      </c>
      <c r="JQ60">
        <f>AND(IF(II60="",TRUE,IF(input_topics="",FALSE,SUMPRODUCT(--ISNUMBER(SEARCH(","&amp;TRIM(TEXTSPLIT(II60,","))&amp;",",","&amp;SUBSTITUTE(input_topics," ","")&amp;",")))&gt;0)),IF(IK60="",TRUE,IF(input_topics="",FALSE,SUMPRODUCT(--ISNUMBER(SEARCH(","&amp;TRIM(TEXTSPLIT(IK60,","))&amp;",",","&amp;SUBSTITUTE(input_topics," ","")&amp;",")))=COUNTA(TEXTSPLIT(IK60,",")))),IF(IM60="",TRUE,IF(input_topics="",TRUE,SUMPRODUCT(--ISNUMBER(SEARCH(","&amp;TRIM(TEXTSPLIT(IM60,","))&amp;",",","&amp;SUBSTITUTE(input_topics," ","")&amp;",")))=0)),IF(IO60="",TRUE,IF(input_topics="",FALSE,SUMPRODUCT(--ISNUMBER(SEARCH(","&amp;TRIM(TEXTSPLIT(IO60,","))&amp;",",","&amp;SUBSTITUTE(input_topics," ","")&amp;",")))&gt;0)),IF(IQ60="",TRUE,IF(input_topics="",FALSE,SUMPRODUCT(--ISNUMBER(SEARCH(","&amp;TRIM(TEXTSPLIT(IQ60,","))&amp;",",","&amp;SUBSTITUTE(input_topics," ","")&amp;",")))=COUNTA(TEXTSPLIT(IQ60,",")))))</f>
        <v/>
      </c>
    </row>
    <row r="61">
      <c r="A61" s="4">
        <f>IF(NOT(IS61),"Excluded",IF(AND(IT61,IU61,IV61,IW61,IX61,IY61,IZ61,JA61,JB61,JC61,JD61,JE61,JF61,JG61,JH61,JI61,JJ61,JK61,JL61,JM61,JN61,JO61,JP61,JQ61),IF(I61&gt;0,"Eligible but limited","Will appear"),"Excluded"))</f>
        <v/>
      </c>
      <c r="B61" s="4" t="inlineStr">
        <is>
          <t>All stories</t>
        </is>
      </c>
      <c r="C61" s="4" t="inlineStr">
        <is>
          <t>/centers/international-center-for-finance</t>
        </is>
      </c>
      <c r="D61" s="4" t="inlineStr">
        <is>
          <t>/centers/international-center-for-finance</t>
        </is>
      </c>
      <c r="E61" s="4" t="n">
        <v>1</v>
      </c>
      <c r="F61" s="4" t="inlineStr">
        <is>
          <t>story</t>
        </is>
      </c>
      <c r="G61" s="4" t="inlineStr">
        <is>
          <t>stories_teaser_cards</t>
        </is>
      </c>
      <c r="H61" s="4" t="inlineStr">
        <is>
          <t>embed_all</t>
        </is>
      </c>
      <c r="I61" s="4" t="n">
        <v>3</v>
      </c>
      <c r="J61" s="4" t="inlineStr">
        <is>
          <t>Section inferred</t>
        </is>
      </c>
      <c r="K61" s="4" t="inlineStr">
        <is>
          <t>Page placement</t>
        </is>
      </c>
      <c r="L61" s="4" t="inlineStr">
        <is>
          <t>Content type: story; Context uses Courses Context: International Center for Finance (931); Limited to 3 item(s); Source: Section inferred</t>
        </is>
      </c>
      <c r="M61" t="inlineStr"/>
      <c r="N61" t="inlineStr"/>
      <c r="O61" t="inlineStr"/>
      <c r="P61" t="inlineStr"/>
      <c r="Q61" t="inlineStr"/>
      <c r="R61" t="inlineStr"/>
      <c r="S61" t="inlineStr"/>
      <c r="T61" t="inlineStr"/>
      <c r="U61" t="inlineStr"/>
      <c r="V61" t="inlineStr"/>
      <c r="W61" t="inlineStr"/>
      <c r="X61" t="inlineStr"/>
      <c r="Y61" t="inlineStr"/>
      <c r="Z61" t="inlineStr"/>
      <c r="AA61" t="inlineStr"/>
      <c r="AB61" t="inlineStr"/>
      <c r="AC61" t="inlineStr"/>
      <c r="AD61" t="inlineStr"/>
      <c r="AE61" t="inlineStr"/>
      <c r="AF61" t="inlineStr"/>
      <c r="AG61" t="inlineStr"/>
      <c r="AH61" t="inlineStr"/>
      <c r="AI61" t="inlineStr"/>
      <c r="AJ61" t="inlineStr"/>
      <c r="AK61" t="inlineStr"/>
      <c r="AL61" t="inlineStr"/>
      <c r="AM61" t="inlineStr"/>
      <c r="AN61" t="inlineStr"/>
      <c r="AO61" t="inlineStr"/>
      <c r="AP61" t="inlineStr"/>
      <c r="AQ61" t="inlineStr"/>
      <c r="AR61" t="inlineStr"/>
      <c r="AS61" t="inlineStr"/>
      <c r="AT61" t="inlineStr"/>
      <c r="AU61" t="inlineStr"/>
      <c r="AV61" t="inlineStr"/>
      <c r="AW61" t="inlineStr"/>
      <c r="AX61" t="inlineStr"/>
      <c r="AY61" t="inlineStr"/>
      <c r="AZ61" t="inlineStr"/>
      <c r="BA61" t="inlineStr"/>
      <c r="BB61" t="inlineStr"/>
      <c r="BC61" t="inlineStr"/>
      <c r="BD61" t="inlineStr"/>
      <c r="BE61" t="inlineStr"/>
      <c r="BF61" t="inlineStr"/>
      <c r="BG61" t="inlineStr"/>
      <c r="BH61" t="inlineStr"/>
      <c r="BI61" t="inlineStr"/>
      <c r="BJ61" t="inlineStr"/>
      <c r="BK61" t="inlineStr"/>
      <c r="BL61" t="inlineStr"/>
      <c r="BM61" t="inlineStr"/>
      <c r="BN61" t="inlineStr"/>
      <c r="BO61" t="inlineStr"/>
      <c r="BP61" t="inlineStr"/>
      <c r="BQ61" t="inlineStr">
        <is>
          <t>931</t>
        </is>
      </c>
      <c r="BR61" t="inlineStr">
        <is>
          <t>International Center for Finance (931)</t>
        </is>
      </c>
      <c r="BS61" t="inlineStr"/>
      <c r="BT61" t="inlineStr"/>
      <c r="BU61" t="inlineStr"/>
      <c r="BV61" t="inlineStr"/>
      <c r="BW61" t="inlineStr"/>
      <c r="BX61" t="inlineStr"/>
      <c r="BY61" t="inlineStr"/>
      <c r="BZ61" t="inlineStr"/>
      <c r="CA61" t="inlineStr"/>
      <c r="CB61" t="inlineStr"/>
      <c r="CC61" t="inlineStr"/>
      <c r="CD61" t="inlineStr"/>
      <c r="CE61" t="inlineStr"/>
      <c r="CF61" t="inlineStr"/>
      <c r="CG61" t="inlineStr"/>
      <c r="CH61" t="inlineStr"/>
      <c r="CI61" t="inlineStr"/>
      <c r="CJ61" t="inlineStr"/>
      <c r="CK61" t="inlineStr"/>
      <c r="CL61" t="inlineStr"/>
      <c r="CM61" t="inlineStr"/>
      <c r="CN61" t="inlineStr"/>
      <c r="CO61" t="inlineStr"/>
      <c r="CP61" t="inlineStr"/>
      <c r="CQ61" t="inlineStr"/>
      <c r="CR61" t="inlineStr"/>
      <c r="CS61" t="inlineStr"/>
      <c r="CT61" t="inlineStr"/>
      <c r="CU61" t="inlineStr"/>
      <c r="CV61" t="inlineStr"/>
      <c r="CW61" t="inlineStr"/>
      <c r="CX61" t="inlineStr"/>
      <c r="CY61" t="inlineStr"/>
      <c r="CZ61" t="inlineStr"/>
      <c r="DA61" t="inlineStr"/>
      <c r="DB61" t="inlineStr"/>
      <c r="DC61" t="inlineStr"/>
      <c r="DD61" t="inlineStr"/>
      <c r="DE61" t="inlineStr"/>
      <c r="DF61" t="inlineStr"/>
      <c r="DG61" t="inlineStr"/>
      <c r="DH61" t="inlineStr"/>
      <c r="DI61" t="inlineStr"/>
      <c r="DJ61" t="inlineStr"/>
      <c r="DK61" t="inlineStr"/>
      <c r="DL61" t="inlineStr"/>
      <c r="DM61" t="inlineStr"/>
      <c r="DN61" t="inlineStr"/>
      <c r="DO61" t="inlineStr"/>
      <c r="DP61" t="inlineStr"/>
      <c r="DQ61" t="inlineStr"/>
      <c r="DR61" t="inlineStr"/>
      <c r="DS61" t="inlineStr"/>
      <c r="DT61" t="inlineStr"/>
      <c r="DU61" t="inlineStr"/>
      <c r="DV61" t="inlineStr"/>
      <c r="DW61" t="inlineStr"/>
      <c r="DX61" t="inlineStr"/>
      <c r="DY61" t="inlineStr"/>
      <c r="DZ61" t="inlineStr"/>
      <c r="EA61" t="inlineStr"/>
      <c r="EB61" t="inlineStr"/>
      <c r="EC61" t="inlineStr"/>
      <c r="ED61" t="inlineStr"/>
      <c r="EE61" t="inlineStr"/>
      <c r="EF61" t="inlineStr"/>
      <c r="EG61" t="inlineStr"/>
      <c r="EH61" t="inlineStr"/>
      <c r="EI61" t="inlineStr"/>
      <c r="EJ61" t="inlineStr"/>
      <c r="EK61" t="inlineStr"/>
      <c r="EL61" t="inlineStr"/>
      <c r="EM61" t="inlineStr"/>
      <c r="EN61" t="inlineStr"/>
      <c r="EO61" t="inlineStr"/>
      <c r="EP61" t="inlineStr"/>
      <c r="EQ61" t="inlineStr"/>
      <c r="ER61" t="inlineStr"/>
      <c r="ES61" t="inlineStr"/>
      <c r="ET61" t="inlineStr"/>
      <c r="EU61" t="inlineStr"/>
      <c r="EV61" t="inlineStr"/>
      <c r="EW61" t="inlineStr"/>
      <c r="EX61" t="inlineStr"/>
      <c r="EY61" t="inlineStr"/>
      <c r="EZ61" t="inlineStr"/>
      <c r="FA61" t="inlineStr"/>
      <c r="FB61" t="inlineStr"/>
      <c r="FC61" t="inlineStr"/>
      <c r="FD61" t="inlineStr"/>
      <c r="FE61" t="inlineStr"/>
      <c r="FF61" t="inlineStr"/>
      <c r="FG61" t="inlineStr"/>
      <c r="FH61" t="inlineStr"/>
      <c r="FI61" t="inlineStr"/>
      <c r="FJ61" t="inlineStr"/>
      <c r="FK61" t="inlineStr"/>
      <c r="FL61" t="inlineStr"/>
      <c r="FM61" t="inlineStr"/>
      <c r="FN61" t="inlineStr"/>
      <c r="FO61" t="inlineStr"/>
      <c r="FP61" t="inlineStr"/>
      <c r="FQ61" t="inlineStr"/>
      <c r="FR61" t="inlineStr"/>
      <c r="FS61" t="inlineStr"/>
      <c r="FT61" t="inlineStr"/>
      <c r="FU61" t="inlineStr"/>
      <c r="FV61" t="inlineStr"/>
      <c r="FW61" t="inlineStr"/>
      <c r="FX61" t="inlineStr"/>
      <c r="FY61" t="inlineStr"/>
      <c r="FZ61" t="inlineStr"/>
      <c r="GA61" t="inlineStr"/>
      <c r="GB61" t="inlineStr"/>
      <c r="GC61" t="inlineStr"/>
      <c r="GD61" t="inlineStr"/>
      <c r="GE61" t="inlineStr"/>
      <c r="GF61" t="inlineStr"/>
      <c r="GG61" t="inlineStr"/>
      <c r="GH61" t="inlineStr"/>
      <c r="GI61" t="inlineStr"/>
      <c r="GJ61" t="inlineStr"/>
      <c r="GK61" t="inlineStr"/>
      <c r="GL61" t="inlineStr"/>
      <c r="GM61" t="inlineStr"/>
      <c r="GN61" t="inlineStr"/>
      <c r="GO61" t="inlineStr"/>
      <c r="GP61" t="inlineStr"/>
      <c r="GQ61" t="inlineStr"/>
      <c r="GR61" t="inlineStr"/>
      <c r="GS61" t="inlineStr"/>
      <c r="GT61" t="inlineStr"/>
      <c r="GU61" t="inlineStr"/>
      <c r="GV61" t="inlineStr"/>
      <c r="GW61" t="inlineStr"/>
      <c r="GX61" t="inlineStr"/>
      <c r="GY61" t="inlineStr"/>
      <c r="GZ61" t="inlineStr"/>
      <c r="HA61" t="inlineStr"/>
      <c r="HB61" t="inlineStr"/>
      <c r="HC61" t="inlineStr"/>
      <c r="HD61" t="inlineStr"/>
      <c r="HE61" t="inlineStr"/>
      <c r="HF61" t="inlineStr"/>
      <c r="HG61" t="inlineStr"/>
      <c r="HH61" t="inlineStr"/>
      <c r="HI61" t="inlineStr"/>
      <c r="HJ61" t="inlineStr"/>
      <c r="HK61" t="inlineStr"/>
      <c r="HL61" t="inlineStr"/>
      <c r="HM61" t="inlineStr"/>
      <c r="HN61" t="inlineStr"/>
      <c r="HO61" t="inlineStr"/>
      <c r="HP61" t="inlineStr"/>
      <c r="HQ61" t="inlineStr"/>
      <c r="HR61" t="inlineStr"/>
      <c r="HS61" t="inlineStr"/>
      <c r="HT61" t="inlineStr"/>
      <c r="HU61" t="inlineStr"/>
      <c r="HV61" t="inlineStr"/>
      <c r="HW61" t="inlineStr"/>
      <c r="HX61" t="inlineStr"/>
      <c r="HY61" t="inlineStr"/>
      <c r="HZ61" t="inlineStr"/>
      <c r="IA61" t="inlineStr"/>
      <c r="IB61" t="inlineStr"/>
      <c r="IC61" t="inlineStr"/>
      <c r="ID61" t="inlineStr"/>
      <c r="IE61" t="inlineStr"/>
      <c r="IF61" t="inlineStr"/>
      <c r="IG61" t="inlineStr"/>
      <c r="IH61" t="inlineStr"/>
      <c r="II61" t="inlineStr"/>
      <c r="IJ61" t="inlineStr"/>
      <c r="IK61" t="inlineStr"/>
      <c r="IL61" t="inlineStr"/>
      <c r="IM61" t="inlineStr"/>
      <c r="IN61" t="inlineStr"/>
      <c r="IO61" t="inlineStr"/>
      <c r="IP61" t="inlineStr"/>
      <c r="IQ61" t="inlineStr"/>
      <c r="IR61" t="inlineStr"/>
      <c r="IS61">
        <f>IF(input_content_type="",FALSE,ISNUMBER(SEARCH(","&amp;LOWER(input_content_type)&amp;",",","&amp;LOWER(F61)&amp;",")))</f>
        <v/>
      </c>
      <c r="IT61">
        <f>AND(IF(M61="",TRUE,IF(input_affiliations="",FALSE,SUMPRODUCT(--ISNUMBER(SEARCH(","&amp;TRIM(TEXTSPLIT(M61,","))&amp;",",","&amp;SUBSTITUTE(input_affiliations," ","")&amp;",")))&gt;0)),IF(O61="",TRUE,IF(input_affiliations="",FALSE,SUMPRODUCT(--ISNUMBER(SEARCH(","&amp;TRIM(TEXTSPLIT(O61,","))&amp;",",","&amp;SUBSTITUTE(input_affiliations," ","")&amp;",")))=COUNTA(TEXTSPLIT(O61,",")))),IF(Q61="",TRUE,IF(input_affiliations="",TRUE,SUMPRODUCT(--ISNUMBER(SEARCH(","&amp;TRIM(TEXTSPLIT(Q61,","))&amp;",",","&amp;SUBSTITUTE(input_affiliations," ","")&amp;",")))=0)),IF(S61="",TRUE,IF(input_affiliations="",FALSE,SUMPRODUCT(--ISNUMBER(SEARCH(","&amp;TRIM(TEXTSPLIT(S61,","))&amp;",",","&amp;SUBSTITUTE(input_affiliations," ","")&amp;",")))&gt;0)),IF(U61="",TRUE,IF(input_affiliations="",FALSE,SUMPRODUCT(--ISNUMBER(SEARCH(","&amp;TRIM(TEXTSPLIT(U61,","))&amp;",",","&amp;SUBSTITUTE(input_affiliations," ","")&amp;",")))=COUNTA(TEXTSPLIT(U61,",")))))</f>
        <v/>
      </c>
      <c r="IU61">
        <f>AND(IF(W61="",TRUE,IF(input_announcement_category="",FALSE,SUMPRODUCT(--ISNUMBER(SEARCH(","&amp;TRIM(TEXTSPLIT(W61,","))&amp;",",","&amp;SUBSTITUTE(input_announcement_category," ","")&amp;",")))&gt;0)),IF(Y61="",TRUE,IF(input_announcement_category="",FALSE,SUMPRODUCT(--ISNUMBER(SEARCH(","&amp;TRIM(TEXTSPLIT(Y61,","))&amp;",",","&amp;SUBSTITUTE(input_announcement_category," ","")&amp;",")))=COUNTA(TEXTSPLIT(Y61,",")))),IF(AA61="",TRUE,IF(input_announcement_category="",TRUE,SUMPRODUCT(--ISNUMBER(SEARCH(","&amp;TRIM(TEXTSPLIT(AA61,","))&amp;",",","&amp;SUBSTITUTE(input_announcement_category," ","")&amp;",")))=0)),IF(AC61="",TRUE,IF(input_announcement_category="",FALSE,SUMPRODUCT(--ISNUMBER(SEARCH(","&amp;TRIM(TEXTSPLIT(AC61,","))&amp;",",","&amp;SUBSTITUTE(input_announcement_category," ","")&amp;",")))&gt;0)),IF(AE61="",TRUE,IF(input_announcement_category="",FALSE,SUMPRODUCT(--ISNUMBER(SEARCH(","&amp;TRIM(TEXTSPLIT(AE61,","))&amp;",",","&amp;SUBSTITUTE(input_announcement_category," ","")&amp;",")))=COUNTA(TEXTSPLIT(AE61,",")))))</f>
        <v/>
      </c>
      <c r="IV61">
        <f>AND(IF(AG61="",TRUE,IF(input_area_of_focus="",FALSE,SUMPRODUCT(--ISNUMBER(SEARCH(","&amp;TRIM(TEXTSPLIT(AG61,","))&amp;",",","&amp;SUBSTITUTE(input_area_of_focus," ","")&amp;",")))&gt;0)),IF(AI61="",TRUE,IF(input_area_of_focus="",FALSE,SUMPRODUCT(--ISNUMBER(SEARCH(","&amp;TRIM(TEXTSPLIT(AI61,","))&amp;",",","&amp;SUBSTITUTE(input_area_of_focus," ","")&amp;",")))=COUNTA(TEXTSPLIT(AI61,",")))),IF(AK61="",TRUE,IF(input_area_of_focus="",TRUE,SUMPRODUCT(--ISNUMBER(SEARCH(","&amp;TRIM(TEXTSPLIT(AK61,","))&amp;",",","&amp;SUBSTITUTE(input_area_of_focus," ","")&amp;",")))=0)),IF(AM61="",TRUE,IF(input_area_of_focus="",FALSE,SUMPRODUCT(--ISNUMBER(SEARCH(","&amp;TRIM(TEXTSPLIT(AM61,","))&amp;",",","&amp;SUBSTITUTE(input_area_of_focus," ","")&amp;",")))&gt;0)),IF(AO61="",TRUE,IF(input_area_of_focus="",FALSE,SUMPRODUCT(--ISNUMBER(SEARCH(","&amp;TRIM(TEXTSPLIT(AO61,","))&amp;",",","&amp;SUBSTITUTE(input_area_of_focus," ","")&amp;",")))=COUNTA(TEXTSPLIT(AO61,",")))))</f>
        <v/>
      </c>
      <c r="IW61">
        <f>AND(IF(AQ61="",TRUE,IF(input_audience="",FALSE,SUMPRODUCT(--ISNUMBER(SEARCH(","&amp;TRIM(TEXTSPLIT(AQ61,","))&amp;",",","&amp;SUBSTITUTE(input_audience," ","")&amp;",")))&gt;0)),IF(AS61="",TRUE,IF(input_audience="",FALSE,SUMPRODUCT(--ISNUMBER(SEARCH(","&amp;TRIM(TEXTSPLIT(AS61,","))&amp;",",","&amp;SUBSTITUTE(input_audience," ","")&amp;",")))=COUNTA(TEXTSPLIT(AS61,",")))),IF(AU61="",TRUE,IF(input_audience="",TRUE,SUMPRODUCT(--ISNUMBER(SEARCH(","&amp;TRIM(TEXTSPLIT(AU61,","))&amp;",",","&amp;SUBSTITUTE(input_audience," ","")&amp;",")))=0)),IF(AW61="",TRUE,IF(input_audience="",FALSE,SUMPRODUCT(--ISNUMBER(SEARCH(","&amp;TRIM(TEXTSPLIT(AW61,","))&amp;",",","&amp;SUBSTITUTE(input_audience," ","")&amp;",")))&gt;0)),IF(AY61="",TRUE,IF(input_audience="",FALSE,SUMPRODUCT(--ISNUMBER(SEARCH(","&amp;TRIM(TEXTSPLIT(AY61,","))&amp;",",","&amp;SUBSTITUTE(input_audience," ","")&amp;",")))=COUNTA(TEXTSPLIT(AY61,",")))))</f>
        <v/>
      </c>
      <c r="IX61">
        <f>AND(IF(BA61="",TRUE,IF(input_challenge_opportunities="",FALSE,SUMPRODUCT(--ISNUMBER(SEARCH(","&amp;TRIM(TEXTSPLIT(BA61,","))&amp;",",","&amp;SUBSTITUTE(input_challenge_opportunities," ","")&amp;",")))&gt;0)),IF(BC61="",TRUE,IF(input_challenge_opportunities="",FALSE,SUMPRODUCT(--ISNUMBER(SEARCH(","&amp;TRIM(TEXTSPLIT(BC61,","))&amp;",",","&amp;SUBSTITUTE(input_challenge_opportunities," ","")&amp;",")))=COUNTA(TEXTSPLIT(BC61,",")))),IF(BE61="",TRUE,IF(input_challenge_opportunities="",TRUE,SUMPRODUCT(--ISNUMBER(SEARCH(","&amp;TRIM(TEXTSPLIT(BE61,","))&amp;",",","&amp;SUBSTITUTE(input_challenge_opportunities," ","")&amp;",")))=0)),IF(BG61="",TRUE,IF(input_challenge_opportunities="",FALSE,SUMPRODUCT(--ISNUMBER(SEARCH(","&amp;TRIM(TEXTSPLIT(BG61,","))&amp;",",","&amp;SUBSTITUTE(input_challenge_opportunities," ","")&amp;",")))&gt;0)),IF(BI61="",TRUE,IF(input_challenge_opportunities="",FALSE,SUMPRODUCT(--ISNUMBER(SEARCH(","&amp;TRIM(TEXTSPLIT(BI61,","))&amp;",",","&amp;SUBSTITUTE(input_challenge_opportunities," ","")&amp;",")))=COUNTA(TEXTSPLIT(BI61,",")))))</f>
        <v/>
      </c>
      <c r="IY61">
        <f>AND(IF(BK61="",TRUE,IF(input_context="",FALSE,SUMPRODUCT(--ISNUMBER(SEARCH(","&amp;TRIM(TEXTSPLIT(BK61,","))&amp;",",","&amp;SUBSTITUTE(input_context," ","")&amp;",")))&gt;0)),IF(BM61="",TRUE,IF(input_context="",FALSE,SUMPRODUCT(--ISNUMBER(SEARCH(","&amp;TRIM(TEXTSPLIT(BM61,","))&amp;",",","&amp;SUBSTITUTE(input_context," ","")&amp;",")))=COUNTA(TEXTSPLIT(BM61,",")))),IF(BO61="",TRUE,IF(input_context="",TRUE,SUMPRODUCT(--ISNUMBER(SEARCH(","&amp;TRIM(TEXTSPLIT(BO61,","))&amp;",",","&amp;SUBSTITUTE(input_context," ","")&amp;",")))=0)),IF(BQ61="",TRUE,IF(input_context="",FALSE,SUMPRODUCT(--ISNUMBER(SEARCH(","&amp;TRIM(TEXTSPLIT(BQ61,","))&amp;",",","&amp;SUBSTITUTE(input_context," ","")&amp;",")))&gt;0)),IF(BS61="",TRUE,IF(input_context="",FALSE,SUMPRODUCT(--ISNUMBER(SEARCH(","&amp;TRIM(TEXTSPLIT(BS61,","))&amp;",",","&amp;SUBSTITUTE(input_context," ","")&amp;",")))=COUNTA(TEXTSPLIT(BS61,",")))))</f>
        <v/>
      </c>
      <c r="IZ61">
        <f>AND(IF(BU61="",TRUE,IF(input_enews_announcement_type="",FALSE,SUMPRODUCT(--ISNUMBER(SEARCH(","&amp;TRIM(TEXTSPLIT(BU61,","))&amp;",",","&amp;SUBSTITUTE(input_enews_announcement_type," ","")&amp;",")))&gt;0)),IF(BW61="",TRUE,IF(input_enews_announcement_type="",FALSE,SUMPRODUCT(--ISNUMBER(SEARCH(","&amp;TRIM(TEXTSPLIT(BW61,","))&amp;",",","&amp;SUBSTITUTE(input_enews_announcement_type," ","")&amp;",")))=COUNTA(TEXTSPLIT(BW61,",")))),IF(BY61="",TRUE,IF(input_enews_announcement_type="",TRUE,SUMPRODUCT(--ISNUMBER(SEARCH(","&amp;TRIM(TEXTSPLIT(BY61,","))&amp;",",","&amp;SUBSTITUTE(input_enews_announcement_type," ","")&amp;",")))=0)),IF(CA61="",TRUE,IF(input_enews_announcement_type="",FALSE,SUMPRODUCT(--ISNUMBER(SEARCH(","&amp;TRIM(TEXTSPLIT(CA61,","))&amp;",",","&amp;SUBSTITUTE(input_enews_announcement_type," ","")&amp;",")))&gt;0)),IF(CC61="",TRUE,IF(input_enews_announcement_type="",FALSE,SUMPRODUCT(--ISNUMBER(SEARCH(","&amp;TRIM(TEXTSPLIT(CC61,","))&amp;",",","&amp;SUBSTITUTE(input_enews_announcement_type," ","")&amp;",")))=COUNTA(TEXTSPLIT(CC61,",")))))</f>
        <v/>
      </c>
      <c r="JA61">
        <f>AND(IF(CE61="",TRUE,IF(input_enews_audience="",FALSE,SUMPRODUCT(--ISNUMBER(SEARCH(","&amp;TRIM(TEXTSPLIT(CE61,","))&amp;",",","&amp;SUBSTITUTE(input_enews_audience," ","")&amp;",")))&gt;0)),IF(CG61="",TRUE,IF(input_enews_audience="",FALSE,SUMPRODUCT(--ISNUMBER(SEARCH(","&amp;TRIM(TEXTSPLIT(CG61,","))&amp;",",","&amp;SUBSTITUTE(input_enews_audience," ","")&amp;",")))=COUNTA(TEXTSPLIT(CG61,",")))),IF(CI61="",TRUE,IF(input_enews_audience="",TRUE,SUMPRODUCT(--ISNUMBER(SEARCH(","&amp;TRIM(TEXTSPLIT(CI61,","))&amp;",",","&amp;SUBSTITUTE(input_enews_audience," ","")&amp;",")))=0)),IF(CK61="",TRUE,IF(input_enews_audience="",FALSE,SUMPRODUCT(--ISNUMBER(SEARCH(","&amp;TRIM(TEXTSPLIT(CK61,","))&amp;",",","&amp;SUBSTITUTE(input_enews_audience," ","")&amp;",")))&gt;0)),IF(CM61="",TRUE,IF(input_enews_audience="",FALSE,SUMPRODUCT(--ISNUMBER(SEARCH(","&amp;TRIM(TEXTSPLIT(CM61,","))&amp;",",","&amp;SUBSTITUTE(input_enews_audience," ","")&amp;",")))=COUNTA(TEXTSPLIT(CM61,",")))))</f>
        <v/>
      </c>
      <c r="JB61">
        <f>AND(IF(CO61="",TRUE,IF(input_event_location="",FALSE,SUMPRODUCT(--ISNUMBER(SEARCH(","&amp;TRIM(TEXTSPLIT(CO61,","))&amp;",",","&amp;SUBSTITUTE(input_event_location," ","")&amp;",")))&gt;0)),IF(CQ61="",TRUE,IF(input_event_location="",FALSE,SUMPRODUCT(--ISNUMBER(SEARCH(","&amp;TRIM(TEXTSPLIT(CQ61,","))&amp;",",","&amp;SUBSTITUTE(input_event_location," ","")&amp;",")))=COUNTA(TEXTSPLIT(CQ61,",")))),IF(CS61="",TRUE,IF(input_event_location="",TRUE,SUMPRODUCT(--ISNUMBER(SEARCH(","&amp;TRIM(TEXTSPLIT(CS61,","))&amp;",",","&amp;SUBSTITUTE(input_event_location," ","")&amp;",")))=0)),IF(CU61="",TRUE,IF(input_event_location="",FALSE,SUMPRODUCT(--ISNUMBER(SEARCH(","&amp;TRIM(TEXTSPLIT(CU61,","))&amp;",",","&amp;SUBSTITUTE(input_event_location," ","")&amp;",")))&gt;0)),IF(CW61="",TRUE,IF(input_event_location="",FALSE,SUMPRODUCT(--ISNUMBER(SEARCH(","&amp;TRIM(TEXTSPLIT(CW61,","))&amp;",",","&amp;SUBSTITUTE(input_event_location," ","")&amp;",")))=COUNTA(TEXTSPLIT(CW61,",")))))</f>
        <v/>
      </c>
      <c r="JC61">
        <f>AND(IF(CY61="",TRUE,IF(input_event_type="",FALSE,SUMPRODUCT(--ISNUMBER(SEARCH(","&amp;TRIM(TEXTSPLIT(CY61,","))&amp;",",","&amp;SUBSTITUTE(input_event_type," ","")&amp;",")))&gt;0)),IF(DA61="",TRUE,IF(input_event_type="",FALSE,SUMPRODUCT(--ISNUMBER(SEARCH(","&amp;TRIM(TEXTSPLIT(DA61,","))&amp;",",","&amp;SUBSTITUTE(input_event_type," ","")&amp;",")))=COUNTA(TEXTSPLIT(DA61,",")))),IF(DC61="",TRUE,IF(input_event_type="",TRUE,SUMPRODUCT(--ISNUMBER(SEARCH(","&amp;TRIM(TEXTSPLIT(DC61,","))&amp;",",","&amp;SUBSTITUTE(input_event_type," ","")&amp;",")))=0)),IF(DE61="",TRUE,IF(input_event_type="",FALSE,SUMPRODUCT(--ISNUMBER(SEARCH(","&amp;TRIM(TEXTSPLIT(DE61,","))&amp;",",","&amp;SUBSTITUTE(input_event_type," ","")&amp;",")))&gt;0)),IF(DG61="",TRUE,IF(input_event_type="",FALSE,SUMPRODUCT(--ISNUMBER(SEARCH(","&amp;TRIM(TEXTSPLIT(DG61,","))&amp;",",","&amp;SUBSTITUTE(input_event_type," ","")&amp;",")))=COUNTA(TEXTSPLIT(DG61,",")))))</f>
        <v/>
      </c>
      <c r="JD61">
        <f>AND(IF(DI61="",TRUE,IF(input_executive_education_focus="",FALSE,SUMPRODUCT(--ISNUMBER(SEARCH(","&amp;TRIM(TEXTSPLIT(DI61,","))&amp;",",","&amp;SUBSTITUTE(input_executive_education_focus," ","")&amp;",")))&gt;0)),IF(DK61="",TRUE,IF(input_executive_education_focus="",FALSE,SUMPRODUCT(--ISNUMBER(SEARCH(","&amp;TRIM(TEXTSPLIT(DK61,","))&amp;",",","&amp;SUBSTITUTE(input_executive_education_focus," ","")&amp;",")))=COUNTA(TEXTSPLIT(DK61,",")))),IF(DM61="",TRUE,IF(input_executive_education_focus="",TRUE,SUMPRODUCT(--ISNUMBER(SEARCH(","&amp;TRIM(TEXTSPLIT(DM61,","))&amp;",",","&amp;SUBSTITUTE(input_executive_education_focus," ","")&amp;",")))=0)),IF(DO61="",TRUE,IF(input_executive_education_focus="",FALSE,SUMPRODUCT(--ISNUMBER(SEARCH(","&amp;TRIM(TEXTSPLIT(DO61,","))&amp;",",","&amp;SUBSTITUTE(input_executive_education_focus," ","")&amp;",")))&gt;0)),IF(DQ61="",TRUE,IF(input_executive_education_focus="",FALSE,SUMPRODUCT(--ISNUMBER(SEARCH(","&amp;TRIM(TEXTSPLIT(DQ61,","))&amp;",",","&amp;SUBSTITUTE(input_executive_education_focus," ","")&amp;",")))=COUNTA(TEXTSPLIT(DQ61,",")))))</f>
        <v/>
      </c>
      <c r="JE61">
        <f>AND(IF(DS61="",TRUE,IF(input_faculty_category="",FALSE,SUMPRODUCT(--ISNUMBER(SEARCH(","&amp;TRIM(TEXTSPLIT(DS61,","))&amp;",",","&amp;SUBSTITUTE(input_faculty_category," ","")&amp;",")))&gt;0)),IF(DU61="",TRUE,IF(input_faculty_category="",FALSE,SUMPRODUCT(--ISNUMBER(SEARCH(","&amp;TRIM(TEXTSPLIT(DU61,","))&amp;",",","&amp;SUBSTITUTE(input_faculty_category," ","")&amp;",")))=COUNTA(TEXTSPLIT(DU61,",")))),IF(DW61="",TRUE,IF(input_faculty_category="",TRUE,SUMPRODUCT(--ISNUMBER(SEARCH(","&amp;TRIM(TEXTSPLIT(DW61,","))&amp;",",","&amp;SUBSTITUTE(input_faculty_category," ","")&amp;",")))=0)),IF(DY61="",TRUE,IF(input_faculty_category="",FALSE,SUMPRODUCT(--ISNUMBER(SEARCH(","&amp;TRIM(TEXTSPLIT(DY61,","))&amp;",",","&amp;SUBSTITUTE(input_faculty_category," ","")&amp;",")))&gt;0)),IF(EA61="",TRUE,IF(input_faculty_category="",FALSE,SUMPRODUCT(--ISNUMBER(SEARCH(","&amp;TRIM(TEXTSPLIT(EA61,","))&amp;",",","&amp;SUBSTITUTE(input_faculty_category," ","")&amp;",")))=COUNTA(TEXTSPLIT(EA61,",")))))</f>
        <v/>
      </c>
      <c r="JF61">
        <f>AND(IF(EC61="",TRUE,IF(input_faculty_discipline="",FALSE,SUMPRODUCT(--ISNUMBER(SEARCH(","&amp;TRIM(TEXTSPLIT(EC61,","))&amp;",",","&amp;SUBSTITUTE(input_faculty_discipline," ","")&amp;",")))&gt;0)),IF(EE61="",TRUE,IF(input_faculty_discipline="",FALSE,SUMPRODUCT(--ISNUMBER(SEARCH(","&amp;TRIM(TEXTSPLIT(EE61,","))&amp;",",","&amp;SUBSTITUTE(input_faculty_discipline," ","")&amp;",")))=COUNTA(TEXTSPLIT(EE61,",")))),IF(EG61="",TRUE,IF(input_faculty_discipline="",TRUE,SUMPRODUCT(--ISNUMBER(SEARCH(","&amp;TRIM(TEXTSPLIT(EG61,","))&amp;",",","&amp;SUBSTITUTE(input_faculty_discipline," ","")&amp;",")))=0)),IF(EI61="",TRUE,IF(input_faculty_discipline="",FALSE,SUMPRODUCT(--ISNUMBER(SEARCH(","&amp;TRIM(TEXTSPLIT(EI61,","))&amp;",",","&amp;SUBSTITUTE(input_faculty_discipline," ","")&amp;",")))&gt;0)),IF(EK61="",TRUE,IF(input_faculty_discipline="",FALSE,SUMPRODUCT(--ISNUMBER(SEARCH(","&amp;TRIM(TEXTSPLIT(EK61,","))&amp;",",","&amp;SUBSTITUTE(input_faculty_discipline," ","")&amp;",")))=COUNTA(TEXTSPLIT(EK61,",")))))</f>
        <v/>
      </c>
      <c r="JG61">
        <f>AND(IF(EM61="",TRUE,IF(input_faculty_expertise="",FALSE,SUMPRODUCT(--ISNUMBER(SEARCH(","&amp;TRIM(TEXTSPLIT(EM61,","))&amp;",",","&amp;SUBSTITUTE(input_faculty_expertise," ","")&amp;",")))&gt;0)),IF(EO61="",TRUE,IF(input_faculty_expertise="",FALSE,SUMPRODUCT(--ISNUMBER(SEARCH(","&amp;TRIM(TEXTSPLIT(EO61,","))&amp;",",","&amp;SUBSTITUTE(input_faculty_expertise," ","")&amp;",")))=COUNTA(TEXTSPLIT(EO61,",")))),IF(EQ61="",TRUE,IF(input_faculty_expertise="",TRUE,SUMPRODUCT(--ISNUMBER(SEARCH(","&amp;TRIM(TEXTSPLIT(EQ61,","))&amp;",",","&amp;SUBSTITUTE(input_faculty_expertise," ","")&amp;",")))=0)),IF(ES61="",TRUE,IF(input_faculty_expertise="",FALSE,SUMPRODUCT(--ISNUMBER(SEARCH(","&amp;TRIM(TEXTSPLIT(ES61,","))&amp;",",","&amp;SUBSTITUTE(input_faculty_expertise," ","")&amp;",")))&gt;0)),IF(EU61="",TRUE,IF(input_faculty_expertise="",FALSE,SUMPRODUCT(--ISNUMBER(SEARCH(","&amp;TRIM(TEXTSPLIT(EU61,","))&amp;",",","&amp;SUBSTITUTE(input_faculty_expertise," ","")&amp;",")))=COUNTA(TEXTSPLIT(EU61,",")))))</f>
        <v/>
      </c>
      <c r="JH61">
        <f>AND(IF(EW61="",TRUE,IF(input_global_network_school="",FALSE,SUMPRODUCT(--ISNUMBER(SEARCH(","&amp;TRIM(TEXTSPLIT(EW61,","))&amp;",",","&amp;SUBSTITUTE(input_global_network_school," ","")&amp;",")))&gt;0)),IF(EY61="",TRUE,IF(input_global_network_school="",FALSE,SUMPRODUCT(--ISNUMBER(SEARCH(","&amp;TRIM(TEXTSPLIT(EY61,","))&amp;",",","&amp;SUBSTITUTE(input_global_network_school," ","")&amp;",")))=COUNTA(TEXTSPLIT(EY61,",")))),IF(FA61="",TRUE,IF(input_global_network_school="",TRUE,SUMPRODUCT(--ISNUMBER(SEARCH(","&amp;TRIM(TEXTSPLIT(FA61,","))&amp;",",","&amp;SUBSTITUTE(input_global_network_school," ","")&amp;",")))=0)),IF(FC61="",TRUE,IF(input_global_network_school="",FALSE,SUMPRODUCT(--ISNUMBER(SEARCH(","&amp;TRIM(TEXTSPLIT(FC61,","))&amp;",",","&amp;SUBSTITUTE(input_global_network_school," ","")&amp;",")))&gt;0)),IF(FE61="",TRUE,IF(input_global_network_school="",FALSE,SUMPRODUCT(--ISNUMBER(SEARCH(","&amp;TRIM(TEXTSPLIT(FE61,","))&amp;",",","&amp;SUBSTITUTE(input_global_network_school," ","")&amp;",")))=COUNTA(TEXTSPLIT(FE61,",")))))</f>
        <v/>
      </c>
      <c r="JI61">
        <f>AND(IF(FG61="",TRUE,IF(input_industry="",FALSE,SUMPRODUCT(--ISNUMBER(SEARCH(","&amp;TRIM(TEXTSPLIT(FG61,","))&amp;",",","&amp;SUBSTITUTE(input_industry," ","")&amp;",")))&gt;0)),IF(FI61="",TRUE,IF(input_industry="",FALSE,SUMPRODUCT(--ISNUMBER(SEARCH(","&amp;TRIM(TEXTSPLIT(FI61,","))&amp;",",","&amp;SUBSTITUTE(input_industry," ","")&amp;",")))=COUNTA(TEXTSPLIT(FI61,",")))),IF(FK61="",TRUE,IF(input_industry="",TRUE,SUMPRODUCT(--ISNUMBER(SEARCH(","&amp;TRIM(TEXTSPLIT(FK61,","))&amp;",",","&amp;SUBSTITUTE(input_industry," ","")&amp;",")))=0)),IF(FM61="",TRUE,IF(input_industry="",FALSE,SUMPRODUCT(--ISNUMBER(SEARCH(","&amp;TRIM(TEXTSPLIT(FM61,","))&amp;",",","&amp;SUBSTITUTE(input_industry," ","")&amp;",")))&gt;0)),IF(FO61="",TRUE,IF(input_industry="",FALSE,SUMPRODUCT(--ISNUMBER(SEARCH(","&amp;TRIM(TEXTSPLIT(FO61,","))&amp;",",","&amp;SUBSTITUTE(input_industry," ","")&amp;",")))=COUNTA(TEXTSPLIT(FO61,",")))))</f>
        <v/>
      </c>
      <c r="JJ61">
        <f>AND(IF(FQ61="",TRUE,IF(input_location="",FALSE,SUMPRODUCT(--ISNUMBER(SEARCH(","&amp;TRIM(TEXTSPLIT(FQ61,","))&amp;",",","&amp;SUBSTITUTE(input_location," ","")&amp;",")))&gt;0)),IF(FS61="",TRUE,IF(input_location="",FALSE,SUMPRODUCT(--ISNUMBER(SEARCH(","&amp;TRIM(TEXTSPLIT(FS61,","))&amp;",",","&amp;SUBSTITUTE(input_location," ","")&amp;",")))=COUNTA(TEXTSPLIT(FS61,",")))),IF(FU61="",TRUE,IF(input_location="",TRUE,SUMPRODUCT(--ISNUMBER(SEARCH(","&amp;TRIM(TEXTSPLIT(FU61,","))&amp;",",","&amp;SUBSTITUTE(input_location," ","")&amp;",")))=0)),IF(FW61="",TRUE,IF(input_location="",FALSE,SUMPRODUCT(--ISNUMBER(SEARCH(","&amp;TRIM(TEXTSPLIT(FW61,","))&amp;",",","&amp;SUBSTITUTE(input_location," ","")&amp;",")))&gt;0)),IF(FY61="",TRUE,IF(input_location="",FALSE,SUMPRODUCT(--ISNUMBER(SEARCH(","&amp;TRIM(TEXTSPLIT(FY61,","))&amp;",",","&amp;SUBSTITUTE(input_location," ","")&amp;",")))=COUNTA(TEXTSPLIT(FY61,",")))))</f>
        <v/>
      </c>
      <c r="JK61">
        <f>AND(IF(GA61="",TRUE,IF(input_modality="",FALSE,SUMPRODUCT(--ISNUMBER(SEARCH(","&amp;TRIM(TEXTSPLIT(GA61,","))&amp;",",","&amp;SUBSTITUTE(input_modality," ","")&amp;",")))&gt;0)),IF(GC61="",TRUE,IF(input_modality="",FALSE,SUMPRODUCT(--ISNUMBER(SEARCH(","&amp;TRIM(TEXTSPLIT(GC61,","))&amp;",",","&amp;SUBSTITUTE(input_modality," ","")&amp;",")))=COUNTA(TEXTSPLIT(GC61,",")))),IF(GE61="",TRUE,IF(input_modality="",TRUE,SUMPRODUCT(--ISNUMBER(SEARCH(","&amp;TRIM(TEXTSPLIT(GE61,","))&amp;",",","&amp;SUBSTITUTE(input_modality," ","")&amp;",")))=0)),IF(GG61="",TRUE,IF(input_modality="",FALSE,SUMPRODUCT(--ISNUMBER(SEARCH(","&amp;TRIM(TEXTSPLIT(GG61,","))&amp;",",","&amp;SUBSTITUTE(input_modality," ","")&amp;",")))&gt;0)),IF(GI61="",TRUE,IF(input_modality="",FALSE,SUMPRODUCT(--ISNUMBER(SEARCH(","&amp;TRIM(TEXTSPLIT(GI61,","))&amp;",",","&amp;SUBSTITUTE(input_modality," ","")&amp;",")))=COUNTA(TEXTSPLIT(GI61,",")))))</f>
        <v/>
      </c>
      <c r="JL61">
        <f>AND(IF(GK61="",TRUE,IF(input_organizer="",FALSE,SUMPRODUCT(--ISNUMBER(SEARCH(","&amp;TRIM(TEXTSPLIT(GK61,","))&amp;",",","&amp;SUBSTITUTE(input_organizer," ","")&amp;",")))&gt;0)),IF(GM61="",TRUE,IF(input_organizer="",FALSE,SUMPRODUCT(--ISNUMBER(SEARCH(","&amp;TRIM(TEXTSPLIT(GM61,","))&amp;",",","&amp;SUBSTITUTE(input_organizer," ","")&amp;",")))=COUNTA(TEXTSPLIT(GM61,",")))),IF(GO61="",TRUE,IF(input_organizer="",TRUE,SUMPRODUCT(--ISNUMBER(SEARCH(","&amp;TRIM(TEXTSPLIT(GO61,","))&amp;",",","&amp;SUBSTITUTE(input_organizer," ","")&amp;",")))=0)),IF(GQ61="",TRUE,IF(input_organizer="",FALSE,SUMPRODUCT(--ISNUMBER(SEARCH(","&amp;TRIM(TEXTSPLIT(GQ61,","))&amp;",",","&amp;SUBSTITUTE(input_organizer," ","")&amp;",")))&gt;0)),IF(GS61="",TRUE,IF(input_organizer="",FALSE,SUMPRODUCT(--ISNUMBER(SEARCH(","&amp;TRIM(TEXTSPLIT(GS61,","))&amp;",",","&amp;SUBSTITUTE(input_organizer," ","")&amp;",")))=COUNTA(TEXTSPLIT(GS61,",")))))</f>
        <v/>
      </c>
      <c r="JM61">
        <f>AND(IF(GU61="",TRUE,IF(input_profile_type="",FALSE,SUMPRODUCT(--ISNUMBER(SEARCH(","&amp;TRIM(TEXTSPLIT(GU61,","))&amp;",",","&amp;SUBSTITUTE(input_profile_type," ","")&amp;",")))&gt;0)),IF(GW61="",TRUE,IF(input_profile_type="",FALSE,SUMPRODUCT(--ISNUMBER(SEARCH(","&amp;TRIM(TEXTSPLIT(GW61,","))&amp;",",","&amp;SUBSTITUTE(input_profile_type," ","")&amp;",")))=COUNTA(TEXTSPLIT(GW61,",")))),IF(GY61="",TRUE,IF(input_profile_type="",TRUE,SUMPRODUCT(--ISNUMBER(SEARCH(","&amp;TRIM(TEXTSPLIT(GY61,","))&amp;",",","&amp;SUBSTITUTE(input_profile_type," ","")&amp;",")))=0)),IF(HA61="",TRUE,IF(input_profile_type="",FALSE,SUMPRODUCT(--ISNUMBER(SEARCH(","&amp;TRIM(TEXTSPLIT(HA61,","))&amp;",",","&amp;SUBSTITUTE(input_profile_type," ","")&amp;",")))&gt;0)),IF(HC61="",TRUE,IF(input_profile_type="",FALSE,SUMPRODUCT(--ISNUMBER(SEARCH(","&amp;TRIM(TEXTSPLIT(HC61,","))&amp;",",","&amp;SUBSTITUTE(input_profile_type," ","")&amp;",")))=COUNTA(TEXTSPLIT(HC61,",")))))</f>
        <v/>
      </c>
      <c r="JN61">
        <f>AND(IF(HE61="",TRUE,IF(input_program="",FALSE,SUMPRODUCT(--ISNUMBER(SEARCH(","&amp;TRIM(TEXTSPLIT(HE61,","))&amp;",",","&amp;SUBSTITUTE(input_program," ","")&amp;",")))&gt;0)),IF(HG61="",TRUE,IF(input_program="",FALSE,SUMPRODUCT(--ISNUMBER(SEARCH(","&amp;TRIM(TEXTSPLIT(HG61,","))&amp;",",","&amp;SUBSTITUTE(input_program," ","")&amp;",")))=COUNTA(TEXTSPLIT(HG61,",")))),IF(HI61="",TRUE,IF(input_program="",TRUE,SUMPRODUCT(--ISNUMBER(SEARCH(","&amp;TRIM(TEXTSPLIT(HI61,","))&amp;",",","&amp;SUBSTITUTE(input_program," ","")&amp;",")))=0)),IF(HK61="",TRUE,IF(input_program="",FALSE,SUMPRODUCT(--ISNUMBER(SEARCH(","&amp;TRIM(TEXTSPLIT(HK61,","))&amp;",",","&amp;SUBSTITUTE(input_program," ","")&amp;",")))&gt;0)),IF(HM61="",TRUE,IF(input_program="",FALSE,SUMPRODUCT(--ISNUMBER(SEARCH(","&amp;TRIM(TEXTSPLIT(HM61,","))&amp;",",","&amp;SUBSTITUTE(input_program," ","")&amp;",")))=COUNTA(TEXTSPLIT(HM61,",")))))</f>
        <v/>
      </c>
      <c r="JO61">
        <f>AND(IF(HO61="",TRUE,IF(input_story_categories="",FALSE,SUMPRODUCT(--ISNUMBER(SEARCH(","&amp;TRIM(TEXTSPLIT(HO61,","))&amp;",",","&amp;SUBSTITUTE(input_story_categories," ","")&amp;",")))&gt;0)),IF(HQ61="",TRUE,IF(input_story_categories="",FALSE,SUMPRODUCT(--ISNUMBER(SEARCH(","&amp;TRIM(TEXTSPLIT(HQ61,","))&amp;",",","&amp;SUBSTITUTE(input_story_categories," ","")&amp;",")))=COUNTA(TEXTSPLIT(HQ61,",")))),IF(HS61="",TRUE,IF(input_story_categories="",TRUE,SUMPRODUCT(--ISNUMBER(SEARCH(","&amp;TRIM(TEXTSPLIT(HS61,","))&amp;",",","&amp;SUBSTITUTE(input_story_categories," ","")&amp;",")))=0)),IF(HU61="",TRUE,IF(input_story_categories="",FALSE,SUMPRODUCT(--ISNUMBER(SEARCH(","&amp;TRIM(TEXTSPLIT(HU61,","))&amp;",",","&amp;SUBSTITUTE(input_story_categories," ","")&amp;",")))&gt;0)),IF(HW61="",TRUE,IF(input_story_categories="",FALSE,SUMPRODUCT(--ISNUMBER(SEARCH(","&amp;TRIM(TEXTSPLIT(HW61,","))&amp;",",","&amp;SUBSTITUTE(input_story_categories," ","")&amp;",")))=COUNTA(TEXTSPLIT(HW61,",")))))</f>
        <v/>
      </c>
      <c r="JP61">
        <f>AND(IF(HY61="",TRUE,IF(input_story_type="",FALSE,SUMPRODUCT(--ISNUMBER(SEARCH(","&amp;TRIM(TEXTSPLIT(HY61,","))&amp;",",","&amp;SUBSTITUTE(input_story_type," ","")&amp;",")))&gt;0)),IF(IA61="",TRUE,IF(input_story_type="",FALSE,SUMPRODUCT(--ISNUMBER(SEARCH(","&amp;TRIM(TEXTSPLIT(IA61,","))&amp;",",","&amp;SUBSTITUTE(input_story_type," ","")&amp;",")))=COUNTA(TEXTSPLIT(IA61,",")))),IF(IC61="",TRUE,IF(input_story_type="",TRUE,SUMPRODUCT(--ISNUMBER(SEARCH(","&amp;TRIM(TEXTSPLIT(IC61,","))&amp;",",","&amp;SUBSTITUTE(input_story_type," ","")&amp;",")))=0)),IF(IE61="",TRUE,IF(input_story_type="",FALSE,SUMPRODUCT(--ISNUMBER(SEARCH(","&amp;TRIM(TEXTSPLIT(IE61,","))&amp;",",","&amp;SUBSTITUTE(input_story_type," ","")&amp;",")))&gt;0)),IF(IG61="",TRUE,IF(input_story_type="",FALSE,SUMPRODUCT(--ISNUMBER(SEARCH(","&amp;TRIM(TEXTSPLIT(IG61,","))&amp;",",","&amp;SUBSTITUTE(input_story_type," ","")&amp;",")))=COUNTA(TEXTSPLIT(IG61,",")))))</f>
        <v/>
      </c>
      <c r="JQ61">
        <f>AND(IF(II61="",TRUE,IF(input_topics="",FALSE,SUMPRODUCT(--ISNUMBER(SEARCH(","&amp;TRIM(TEXTSPLIT(II61,","))&amp;",",","&amp;SUBSTITUTE(input_topics," ","")&amp;",")))&gt;0)),IF(IK61="",TRUE,IF(input_topics="",FALSE,SUMPRODUCT(--ISNUMBER(SEARCH(","&amp;TRIM(TEXTSPLIT(IK61,","))&amp;",",","&amp;SUBSTITUTE(input_topics," ","")&amp;",")))=COUNTA(TEXTSPLIT(IK61,",")))),IF(IM61="",TRUE,IF(input_topics="",TRUE,SUMPRODUCT(--ISNUMBER(SEARCH(","&amp;TRIM(TEXTSPLIT(IM61,","))&amp;",",","&amp;SUBSTITUTE(input_topics," ","")&amp;",")))=0)),IF(IO61="",TRUE,IF(input_topics="",FALSE,SUMPRODUCT(--ISNUMBER(SEARCH(","&amp;TRIM(TEXTSPLIT(IO61,","))&amp;",",","&amp;SUBSTITUTE(input_topics," ","")&amp;",")))&gt;0)),IF(IQ61="",TRUE,IF(input_topics="",FALSE,SUMPRODUCT(--ISNUMBER(SEARCH(","&amp;TRIM(TEXTSPLIT(IQ61,","))&amp;",",","&amp;SUBSTITUTE(input_topics," ","")&amp;",")))=COUNTA(TEXTSPLIT(IQ61,",")))))</f>
        <v/>
      </c>
    </row>
    <row r="62">
      <c r="A62" s="4">
        <f>IF(NOT(IS62),"Excluded",IF(AND(IT62,IU62,IV62,IW62,IX62,IY62,IZ62,JA62,JB62,JC62,JD62,JE62,JF62,JG62,JH62,JI62,JJ62,JK62,JL62,JM62,JN62,JO62,JP62,JQ62),IF(I62&gt;0,"Eligible but limited","Will appear"),"Excluded"))</f>
        <v/>
      </c>
      <c r="B62" s="4" t="inlineStr">
        <is>
          <t>All stories</t>
        </is>
      </c>
      <c r="C62" s="4" t="inlineStr">
        <is>
          <t>/centers/program-on-entrepreneurship</t>
        </is>
      </c>
      <c r="D62" s="4" t="inlineStr">
        <is>
          <t>/centers/program-on-entrepreneurship</t>
        </is>
      </c>
      <c r="E62" s="4" t="n">
        <v>1</v>
      </c>
      <c r="F62" s="4" t="inlineStr">
        <is>
          <t>story</t>
        </is>
      </c>
      <c r="G62" s="4" t="inlineStr">
        <is>
          <t>stories_grid_without_images</t>
        </is>
      </c>
      <c r="H62" s="4" t="inlineStr">
        <is>
          <t>embed_1</t>
        </is>
      </c>
      <c r="I62" s="4" t="n">
        <v>3</v>
      </c>
      <c r="J62" s="4" t="inlineStr">
        <is>
          <t>Section inferred</t>
        </is>
      </c>
      <c r="K62" s="4" t="inlineStr">
        <is>
          <t>Page placement</t>
        </is>
      </c>
      <c r="L62" s="4" t="inlineStr">
        <is>
          <t>Content type: story; Context uses Courses Context: Program on Entrepreneurship (934); Limited to 3 item(s); Source: Section inferred</t>
        </is>
      </c>
      <c r="M62" t="inlineStr"/>
      <c r="N62" t="inlineStr"/>
      <c r="O62" t="inlineStr"/>
      <c r="P62" t="inlineStr"/>
      <c r="Q62" t="inlineStr"/>
      <c r="R62" t="inlineStr"/>
      <c r="S62" t="inlineStr"/>
      <c r="T62" t="inlineStr"/>
      <c r="U62" t="inlineStr"/>
      <c r="V62" t="inlineStr"/>
      <c r="W62" t="inlineStr"/>
      <c r="X62" t="inlineStr"/>
      <c r="Y62" t="inlineStr"/>
      <c r="Z62" t="inlineStr"/>
      <c r="AA62" t="inlineStr"/>
      <c r="AB62" t="inlineStr"/>
      <c r="AC62" t="inlineStr"/>
      <c r="AD62" t="inlineStr"/>
      <c r="AE62" t="inlineStr"/>
      <c r="AF62" t="inlineStr"/>
      <c r="AG62" t="inlineStr"/>
      <c r="AH62" t="inlineStr"/>
      <c r="AI62" t="inlineStr"/>
      <c r="AJ62" t="inlineStr"/>
      <c r="AK62" t="inlineStr"/>
      <c r="AL62" t="inlineStr"/>
      <c r="AM62" t="inlineStr"/>
      <c r="AN62" t="inlineStr"/>
      <c r="AO62" t="inlineStr"/>
      <c r="AP62" t="inlineStr"/>
      <c r="AQ62" t="inlineStr"/>
      <c r="AR62" t="inlineStr"/>
      <c r="AS62" t="inlineStr"/>
      <c r="AT62" t="inlineStr"/>
      <c r="AU62" t="inlineStr"/>
      <c r="AV62" t="inlineStr"/>
      <c r="AW62" t="inlineStr"/>
      <c r="AX62" t="inlineStr"/>
      <c r="AY62" t="inlineStr"/>
      <c r="AZ62" t="inlineStr"/>
      <c r="BA62" t="inlineStr"/>
      <c r="BB62" t="inlineStr"/>
      <c r="BC62" t="inlineStr"/>
      <c r="BD62" t="inlineStr"/>
      <c r="BE62" t="inlineStr"/>
      <c r="BF62" t="inlineStr"/>
      <c r="BG62" t="inlineStr"/>
      <c r="BH62" t="inlineStr"/>
      <c r="BI62" t="inlineStr"/>
      <c r="BJ62" t="inlineStr"/>
      <c r="BK62" t="inlineStr"/>
      <c r="BL62" t="inlineStr"/>
      <c r="BM62" t="inlineStr"/>
      <c r="BN62" t="inlineStr"/>
      <c r="BO62" t="inlineStr"/>
      <c r="BP62" t="inlineStr"/>
      <c r="BQ62" t="inlineStr">
        <is>
          <t>934</t>
        </is>
      </c>
      <c r="BR62" t="inlineStr">
        <is>
          <t>Program on Entrepreneurship (934)</t>
        </is>
      </c>
      <c r="BS62" t="inlineStr"/>
      <c r="BT62" t="inlineStr"/>
      <c r="BU62" t="inlineStr"/>
      <c r="BV62" t="inlineStr"/>
      <c r="BW62" t="inlineStr"/>
      <c r="BX62" t="inlineStr"/>
      <c r="BY62" t="inlineStr"/>
      <c r="BZ62" t="inlineStr"/>
      <c r="CA62" t="inlineStr"/>
      <c r="CB62" t="inlineStr"/>
      <c r="CC62" t="inlineStr"/>
      <c r="CD62" t="inlineStr"/>
      <c r="CE62" t="inlineStr"/>
      <c r="CF62" t="inlineStr"/>
      <c r="CG62" t="inlineStr"/>
      <c r="CH62" t="inlineStr"/>
      <c r="CI62" t="inlineStr"/>
      <c r="CJ62" t="inlineStr"/>
      <c r="CK62" t="inlineStr"/>
      <c r="CL62" t="inlineStr"/>
      <c r="CM62" t="inlineStr"/>
      <c r="CN62" t="inlineStr"/>
      <c r="CO62" t="inlineStr"/>
      <c r="CP62" t="inlineStr"/>
      <c r="CQ62" t="inlineStr"/>
      <c r="CR62" t="inlineStr"/>
      <c r="CS62" t="inlineStr"/>
      <c r="CT62" t="inlineStr"/>
      <c r="CU62" t="inlineStr"/>
      <c r="CV62" t="inlineStr"/>
      <c r="CW62" t="inlineStr"/>
      <c r="CX62" t="inlineStr"/>
      <c r="CY62" t="inlineStr"/>
      <c r="CZ62" t="inlineStr"/>
      <c r="DA62" t="inlineStr"/>
      <c r="DB62" t="inlineStr"/>
      <c r="DC62" t="inlineStr"/>
      <c r="DD62" t="inlineStr"/>
      <c r="DE62" t="inlineStr"/>
      <c r="DF62" t="inlineStr"/>
      <c r="DG62" t="inlineStr"/>
      <c r="DH62" t="inlineStr"/>
      <c r="DI62" t="inlineStr"/>
      <c r="DJ62" t="inlineStr"/>
      <c r="DK62" t="inlineStr"/>
      <c r="DL62" t="inlineStr"/>
      <c r="DM62" t="inlineStr"/>
      <c r="DN62" t="inlineStr"/>
      <c r="DO62" t="inlineStr"/>
      <c r="DP62" t="inlineStr"/>
      <c r="DQ62" t="inlineStr"/>
      <c r="DR62" t="inlineStr"/>
      <c r="DS62" t="inlineStr"/>
      <c r="DT62" t="inlineStr"/>
      <c r="DU62" t="inlineStr"/>
      <c r="DV62" t="inlineStr"/>
      <c r="DW62" t="inlineStr"/>
      <c r="DX62" t="inlineStr"/>
      <c r="DY62" t="inlineStr"/>
      <c r="DZ62" t="inlineStr"/>
      <c r="EA62" t="inlineStr"/>
      <c r="EB62" t="inlineStr"/>
      <c r="EC62" t="inlineStr"/>
      <c r="ED62" t="inlineStr"/>
      <c r="EE62" t="inlineStr"/>
      <c r="EF62" t="inlineStr"/>
      <c r="EG62" t="inlineStr"/>
      <c r="EH62" t="inlineStr"/>
      <c r="EI62" t="inlineStr"/>
      <c r="EJ62" t="inlineStr"/>
      <c r="EK62" t="inlineStr"/>
      <c r="EL62" t="inlineStr"/>
      <c r="EM62" t="inlineStr"/>
      <c r="EN62" t="inlineStr"/>
      <c r="EO62" t="inlineStr"/>
      <c r="EP62" t="inlineStr"/>
      <c r="EQ62" t="inlineStr"/>
      <c r="ER62" t="inlineStr"/>
      <c r="ES62" t="inlineStr"/>
      <c r="ET62" t="inlineStr"/>
      <c r="EU62" t="inlineStr"/>
      <c r="EV62" t="inlineStr"/>
      <c r="EW62" t="inlineStr"/>
      <c r="EX62" t="inlineStr"/>
      <c r="EY62" t="inlineStr"/>
      <c r="EZ62" t="inlineStr"/>
      <c r="FA62" t="inlineStr"/>
      <c r="FB62" t="inlineStr"/>
      <c r="FC62" t="inlineStr"/>
      <c r="FD62" t="inlineStr"/>
      <c r="FE62" t="inlineStr"/>
      <c r="FF62" t="inlineStr"/>
      <c r="FG62" t="inlineStr"/>
      <c r="FH62" t="inlineStr"/>
      <c r="FI62" t="inlineStr"/>
      <c r="FJ62" t="inlineStr"/>
      <c r="FK62" t="inlineStr"/>
      <c r="FL62" t="inlineStr"/>
      <c r="FM62" t="inlineStr"/>
      <c r="FN62" t="inlineStr"/>
      <c r="FO62" t="inlineStr"/>
      <c r="FP62" t="inlineStr"/>
      <c r="FQ62" t="inlineStr"/>
      <c r="FR62" t="inlineStr"/>
      <c r="FS62" t="inlineStr"/>
      <c r="FT62" t="inlineStr"/>
      <c r="FU62" t="inlineStr"/>
      <c r="FV62" t="inlineStr"/>
      <c r="FW62" t="inlineStr"/>
      <c r="FX62" t="inlineStr"/>
      <c r="FY62" t="inlineStr"/>
      <c r="FZ62" t="inlineStr"/>
      <c r="GA62" t="inlineStr"/>
      <c r="GB62" t="inlineStr"/>
      <c r="GC62" t="inlineStr"/>
      <c r="GD62" t="inlineStr"/>
      <c r="GE62" t="inlineStr"/>
      <c r="GF62" t="inlineStr"/>
      <c r="GG62" t="inlineStr"/>
      <c r="GH62" t="inlineStr"/>
      <c r="GI62" t="inlineStr"/>
      <c r="GJ62" t="inlineStr"/>
      <c r="GK62" t="inlineStr"/>
      <c r="GL62" t="inlineStr"/>
      <c r="GM62" t="inlineStr"/>
      <c r="GN62" t="inlineStr"/>
      <c r="GO62" t="inlineStr"/>
      <c r="GP62" t="inlineStr"/>
      <c r="GQ62" t="inlineStr"/>
      <c r="GR62" t="inlineStr"/>
      <c r="GS62" t="inlineStr"/>
      <c r="GT62" t="inlineStr"/>
      <c r="GU62" t="inlineStr"/>
      <c r="GV62" t="inlineStr"/>
      <c r="GW62" t="inlineStr"/>
      <c r="GX62" t="inlineStr"/>
      <c r="GY62" t="inlineStr"/>
      <c r="GZ62" t="inlineStr"/>
      <c r="HA62" t="inlineStr"/>
      <c r="HB62" t="inlineStr"/>
      <c r="HC62" t="inlineStr"/>
      <c r="HD62" t="inlineStr"/>
      <c r="HE62" t="inlineStr"/>
      <c r="HF62" t="inlineStr"/>
      <c r="HG62" t="inlineStr"/>
      <c r="HH62" t="inlineStr"/>
      <c r="HI62" t="inlineStr"/>
      <c r="HJ62" t="inlineStr"/>
      <c r="HK62" t="inlineStr"/>
      <c r="HL62" t="inlineStr"/>
      <c r="HM62" t="inlineStr"/>
      <c r="HN62" t="inlineStr"/>
      <c r="HO62" t="inlineStr"/>
      <c r="HP62" t="inlineStr"/>
      <c r="HQ62" t="inlineStr"/>
      <c r="HR62" t="inlineStr"/>
      <c r="HS62" t="inlineStr"/>
      <c r="HT62" t="inlineStr"/>
      <c r="HU62" t="inlineStr"/>
      <c r="HV62" t="inlineStr"/>
      <c r="HW62" t="inlineStr"/>
      <c r="HX62" t="inlineStr"/>
      <c r="HY62" t="inlineStr"/>
      <c r="HZ62" t="inlineStr"/>
      <c r="IA62" t="inlineStr"/>
      <c r="IB62" t="inlineStr"/>
      <c r="IC62" t="inlineStr"/>
      <c r="ID62" t="inlineStr"/>
      <c r="IE62" t="inlineStr"/>
      <c r="IF62" t="inlineStr"/>
      <c r="IG62" t="inlineStr"/>
      <c r="IH62" t="inlineStr"/>
      <c r="II62" t="inlineStr"/>
      <c r="IJ62" t="inlineStr"/>
      <c r="IK62" t="inlineStr"/>
      <c r="IL62" t="inlineStr"/>
      <c r="IM62" t="inlineStr"/>
      <c r="IN62" t="inlineStr"/>
      <c r="IO62" t="inlineStr"/>
      <c r="IP62" t="inlineStr"/>
      <c r="IQ62" t="inlineStr"/>
      <c r="IR62" t="inlineStr"/>
      <c r="IS62">
        <f>IF(input_content_type="",FALSE,ISNUMBER(SEARCH(","&amp;LOWER(input_content_type)&amp;",",","&amp;LOWER(F62)&amp;",")))</f>
        <v/>
      </c>
      <c r="IT62">
        <f>AND(IF(M62="",TRUE,IF(input_affiliations="",FALSE,SUMPRODUCT(--ISNUMBER(SEARCH(","&amp;TRIM(TEXTSPLIT(M62,","))&amp;",",","&amp;SUBSTITUTE(input_affiliations," ","")&amp;",")))&gt;0)),IF(O62="",TRUE,IF(input_affiliations="",FALSE,SUMPRODUCT(--ISNUMBER(SEARCH(","&amp;TRIM(TEXTSPLIT(O62,","))&amp;",",","&amp;SUBSTITUTE(input_affiliations," ","")&amp;",")))=COUNTA(TEXTSPLIT(O62,",")))),IF(Q62="",TRUE,IF(input_affiliations="",TRUE,SUMPRODUCT(--ISNUMBER(SEARCH(","&amp;TRIM(TEXTSPLIT(Q62,","))&amp;",",","&amp;SUBSTITUTE(input_affiliations," ","")&amp;",")))=0)),IF(S62="",TRUE,IF(input_affiliations="",FALSE,SUMPRODUCT(--ISNUMBER(SEARCH(","&amp;TRIM(TEXTSPLIT(S62,","))&amp;",",","&amp;SUBSTITUTE(input_affiliations," ","")&amp;",")))&gt;0)),IF(U62="",TRUE,IF(input_affiliations="",FALSE,SUMPRODUCT(--ISNUMBER(SEARCH(","&amp;TRIM(TEXTSPLIT(U62,","))&amp;",",","&amp;SUBSTITUTE(input_affiliations," ","")&amp;",")))=COUNTA(TEXTSPLIT(U62,",")))))</f>
        <v/>
      </c>
      <c r="IU62">
        <f>AND(IF(W62="",TRUE,IF(input_announcement_category="",FALSE,SUMPRODUCT(--ISNUMBER(SEARCH(","&amp;TRIM(TEXTSPLIT(W62,","))&amp;",",","&amp;SUBSTITUTE(input_announcement_category," ","")&amp;",")))&gt;0)),IF(Y62="",TRUE,IF(input_announcement_category="",FALSE,SUMPRODUCT(--ISNUMBER(SEARCH(","&amp;TRIM(TEXTSPLIT(Y62,","))&amp;",",","&amp;SUBSTITUTE(input_announcement_category," ","")&amp;",")))=COUNTA(TEXTSPLIT(Y62,",")))),IF(AA62="",TRUE,IF(input_announcement_category="",TRUE,SUMPRODUCT(--ISNUMBER(SEARCH(","&amp;TRIM(TEXTSPLIT(AA62,","))&amp;",",","&amp;SUBSTITUTE(input_announcement_category," ","")&amp;",")))=0)),IF(AC62="",TRUE,IF(input_announcement_category="",FALSE,SUMPRODUCT(--ISNUMBER(SEARCH(","&amp;TRIM(TEXTSPLIT(AC62,","))&amp;",",","&amp;SUBSTITUTE(input_announcement_category," ","")&amp;",")))&gt;0)),IF(AE62="",TRUE,IF(input_announcement_category="",FALSE,SUMPRODUCT(--ISNUMBER(SEARCH(","&amp;TRIM(TEXTSPLIT(AE62,","))&amp;",",","&amp;SUBSTITUTE(input_announcement_category," ","")&amp;",")))=COUNTA(TEXTSPLIT(AE62,",")))))</f>
        <v/>
      </c>
      <c r="IV62">
        <f>AND(IF(AG62="",TRUE,IF(input_area_of_focus="",FALSE,SUMPRODUCT(--ISNUMBER(SEARCH(","&amp;TRIM(TEXTSPLIT(AG62,","))&amp;",",","&amp;SUBSTITUTE(input_area_of_focus," ","")&amp;",")))&gt;0)),IF(AI62="",TRUE,IF(input_area_of_focus="",FALSE,SUMPRODUCT(--ISNUMBER(SEARCH(","&amp;TRIM(TEXTSPLIT(AI62,","))&amp;",",","&amp;SUBSTITUTE(input_area_of_focus," ","")&amp;",")))=COUNTA(TEXTSPLIT(AI62,",")))),IF(AK62="",TRUE,IF(input_area_of_focus="",TRUE,SUMPRODUCT(--ISNUMBER(SEARCH(","&amp;TRIM(TEXTSPLIT(AK62,","))&amp;",",","&amp;SUBSTITUTE(input_area_of_focus," ","")&amp;",")))=0)),IF(AM62="",TRUE,IF(input_area_of_focus="",FALSE,SUMPRODUCT(--ISNUMBER(SEARCH(","&amp;TRIM(TEXTSPLIT(AM62,","))&amp;",",","&amp;SUBSTITUTE(input_area_of_focus," ","")&amp;",")))&gt;0)),IF(AO62="",TRUE,IF(input_area_of_focus="",FALSE,SUMPRODUCT(--ISNUMBER(SEARCH(","&amp;TRIM(TEXTSPLIT(AO62,","))&amp;",",","&amp;SUBSTITUTE(input_area_of_focus," ","")&amp;",")))=COUNTA(TEXTSPLIT(AO62,",")))))</f>
        <v/>
      </c>
      <c r="IW62">
        <f>AND(IF(AQ62="",TRUE,IF(input_audience="",FALSE,SUMPRODUCT(--ISNUMBER(SEARCH(","&amp;TRIM(TEXTSPLIT(AQ62,","))&amp;",",","&amp;SUBSTITUTE(input_audience," ","")&amp;",")))&gt;0)),IF(AS62="",TRUE,IF(input_audience="",FALSE,SUMPRODUCT(--ISNUMBER(SEARCH(","&amp;TRIM(TEXTSPLIT(AS62,","))&amp;",",","&amp;SUBSTITUTE(input_audience," ","")&amp;",")))=COUNTA(TEXTSPLIT(AS62,",")))),IF(AU62="",TRUE,IF(input_audience="",TRUE,SUMPRODUCT(--ISNUMBER(SEARCH(","&amp;TRIM(TEXTSPLIT(AU62,","))&amp;",",","&amp;SUBSTITUTE(input_audience," ","")&amp;",")))=0)),IF(AW62="",TRUE,IF(input_audience="",FALSE,SUMPRODUCT(--ISNUMBER(SEARCH(","&amp;TRIM(TEXTSPLIT(AW62,","))&amp;",",","&amp;SUBSTITUTE(input_audience," ","")&amp;",")))&gt;0)),IF(AY62="",TRUE,IF(input_audience="",FALSE,SUMPRODUCT(--ISNUMBER(SEARCH(","&amp;TRIM(TEXTSPLIT(AY62,","))&amp;",",","&amp;SUBSTITUTE(input_audience," ","")&amp;",")))=COUNTA(TEXTSPLIT(AY62,",")))))</f>
        <v/>
      </c>
      <c r="IX62">
        <f>AND(IF(BA62="",TRUE,IF(input_challenge_opportunities="",FALSE,SUMPRODUCT(--ISNUMBER(SEARCH(","&amp;TRIM(TEXTSPLIT(BA62,","))&amp;",",","&amp;SUBSTITUTE(input_challenge_opportunities," ","")&amp;",")))&gt;0)),IF(BC62="",TRUE,IF(input_challenge_opportunities="",FALSE,SUMPRODUCT(--ISNUMBER(SEARCH(","&amp;TRIM(TEXTSPLIT(BC62,","))&amp;",",","&amp;SUBSTITUTE(input_challenge_opportunities," ","")&amp;",")))=COUNTA(TEXTSPLIT(BC62,",")))),IF(BE62="",TRUE,IF(input_challenge_opportunities="",TRUE,SUMPRODUCT(--ISNUMBER(SEARCH(","&amp;TRIM(TEXTSPLIT(BE62,","))&amp;",",","&amp;SUBSTITUTE(input_challenge_opportunities," ","")&amp;",")))=0)),IF(BG62="",TRUE,IF(input_challenge_opportunities="",FALSE,SUMPRODUCT(--ISNUMBER(SEARCH(","&amp;TRIM(TEXTSPLIT(BG62,","))&amp;",",","&amp;SUBSTITUTE(input_challenge_opportunities," ","")&amp;",")))&gt;0)),IF(BI62="",TRUE,IF(input_challenge_opportunities="",FALSE,SUMPRODUCT(--ISNUMBER(SEARCH(","&amp;TRIM(TEXTSPLIT(BI62,","))&amp;",",","&amp;SUBSTITUTE(input_challenge_opportunities," ","")&amp;",")))=COUNTA(TEXTSPLIT(BI62,",")))))</f>
        <v/>
      </c>
      <c r="IY62">
        <f>AND(IF(BK62="",TRUE,IF(input_context="",FALSE,SUMPRODUCT(--ISNUMBER(SEARCH(","&amp;TRIM(TEXTSPLIT(BK62,","))&amp;",",","&amp;SUBSTITUTE(input_context," ","")&amp;",")))&gt;0)),IF(BM62="",TRUE,IF(input_context="",FALSE,SUMPRODUCT(--ISNUMBER(SEARCH(","&amp;TRIM(TEXTSPLIT(BM62,","))&amp;",",","&amp;SUBSTITUTE(input_context," ","")&amp;",")))=COUNTA(TEXTSPLIT(BM62,",")))),IF(BO62="",TRUE,IF(input_context="",TRUE,SUMPRODUCT(--ISNUMBER(SEARCH(","&amp;TRIM(TEXTSPLIT(BO62,","))&amp;",",","&amp;SUBSTITUTE(input_context," ","")&amp;",")))=0)),IF(BQ62="",TRUE,IF(input_context="",FALSE,SUMPRODUCT(--ISNUMBER(SEARCH(","&amp;TRIM(TEXTSPLIT(BQ62,","))&amp;",",","&amp;SUBSTITUTE(input_context," ","")&amp;",")))&gt;0)),IF(BS62="",TRUE,IF(input_context="",FALSE,SUMPRODUCT(--ISNUMBER(SEARCH(","&amp;TRIM(TEXTSPLIT(BS62,","))&amp;",",","&amp;SUBSTITUTE(input_context," ","")&amp;",")))=COUNTA(TEXTSPLIT(BS62,",")))))</f>
        <v/>
      </c>
      <c r="IZ62">
        <f>AND(IF(BU62="",TRUE,IF(input_enews_announcement_type="",FALSE,SUMPRODUCT(--ISNUMBER(SEARCH(","&amp;TRIM(TEXTSPLIT(BU62,","))&amp;",",","&amp;SUBSTITUTE(input_enews_announcement_type," ","")&amp;",")))&gt;0)),IF(BW62="",TRUE,IF(input_enews_announcement_type="",FALSE,SUMPRODUCT(--ISNUMBER(SEARCH(","&amp;TRIM(TEXTSPLIT(BW62,","))&amp;",",","&amp;SUBSTITUTE(input_enews_announcement_type," ","")&amp;",")))=COUNTA(TEXTSPLIT(BW62,",")))),IF(BY62="",TRUE,IF(input_enews_announcement_type="",TRUE,SUMPRODUCT(--ISNUMBER(SEARCH(","&amp;TRIM(TEXTSPLIT(BY62,","))&amp;",",","&amp;SUBSTITUTE(input_enews_announcement_type," ","")&amp;",")))=0)),IF(CA62="",TRUE,IF(input_enews_announcement_type="",FALSE,SUMPRODUCT(--ISNUMBER(SEARCH(","&amp;TRIM(TEXTSPLIT(CA62,","))&amp;",",","&amp;SUBSTITUTE(input_enews_announcement_type," ","")&amp;",")))&gt;0)),IF(CC62="",TRUE,IF(input_enews_announcement_type="",FALSE,SUMPRODUCT(--ISNUMBER(SEARCH(","&amp;TRIM(TEXTSPLIT(CC62,","))&amp;",",","&amp;SUBSTITUTE(input_enews_announcement_type," ","")&amp;",")))=COUNTA(TEXTSPLIT(CC62,",")))))</f>
        <v/>
      </c>
      <c r="JA62">
        <f>AND(IF(CE62="",TRUE,IF(input_enews_audience="",FALSE,SUMPRODUCT(--ISNUMBER(SEARCH(","&amp;TRIM(TEXTSPLIT(CE62,","))&amp;",",","&amp;SUBSTITUTE(input_enews_audience," ","")&amp;",")))&gt;0)),IF(CG62="",TRUE,IF(input_enews_audience="",FALSE,SUMPRODUCT(--ISNUMBER(SEARCH(","&amp;TRIM(TEXTSPLIT(CG62,","))&amp;",",","&amp;SUBSTITUTE(input_enews_audience," ","")&amp;",")))=COUNTA(TEXTSPLIT(CG62,",")))),IF(CI62="",TRUE,IF(input_enews_audience="",TRUE,SUMPRODUCT(--ISNUMBER(SEARCH(","&amp;TRIM(TEXTSPLIT(CI62,","))&amp;",",","&amp;SUBSTITUTE(input_enews_audience," ","")&amp;",")))=0)),IF(CK62="",TRUE,IF(input_enews_audience="",FALSE,SUMPRODUCT(--ISNUMBER(SEARCH(","&amp;TRIM(TEXTSPLIT(CK62,","))&amp;",",","&amp;SUBSTITUTE(input_enews_audience," ","")&amp;",")))&gt;0)),IF(CM62="",TRUE,IF(input_enews_audience="",FALSE,SUMPRODUCT(--ISNUMBER(SEARCH(","&amp;TRIM(TEXTSPLIT(CM62,","))&amp;",",","&amp;SUBSTITUTE(input_enews_audience," ","")&amp;",")))=COUNTA(TEXTSPLIT(CM62,",")))))</f>
        <v/>
      </c>
      <c r="JB62">
        <f>AND(IF(CO62="",TRUE,IF(input_event_location="",FALSE,SUMPRODUCT(--ISNUMBER(SEARCH(","&amp;TRIM(TEXTSPLIT(CO62,","))&amp;",",","&amp;SUBSTITUTE(input_event_location," ","")&amp;",")))&gt;0)),IF(CQ62="",TRUE,IF(input_event_location="",FALSE,SUMPRODUCT(--ISNUMBER(SEARCH(","&amp;TRIM(TEXTSPLIT(CQ62,","))&amp;",",","&amp;SUBSTITUTE(input_event_location," ","")&amp;",")))=COUNTA(TEXTSPLIT(CQ62,",")))),IF(CS62="",TRUE,IF(input_event_location="",TRUE,SUMPRODUCT(--ISNUMBER(SEARCH(","&amp;TRIM(TEXTSPLIT(CS62,","))&amp;",",","&amp;SUBSTITUTE(input_event_location," ","")&amp;",")))=0)),IF(CU62="",TRUE,IF(input_event_location="",FALSE,SUMPRODUCT(--ISNUMBER(SEARCH(","&amp;TRIM(TEXTSPLIT(CU62,","))&amp;",",","&amp;SUBSTITUTE(input_event_location," ","")&amp;",")))&gt;0)),IF(CW62="",TRUE,IF(input_event_location="",FALSE,SUMPRODUCT(--ISNUMBER(SEARCH(","&amp;TRIM(TEXTSPLIT(CW62,","))&amp;",",","&amp;SUBSTITUTE(input_event_location," ","")&amp;",")))=COUNTA(TEXTSPLIT(CW62,",")))))</f>
        <v/>
      </c>
      <c r="JC62">
        <f>AND(IF(CY62="",TRUE,IF(input_event_type="",FALSE,SUMPRODUCT(--ISNUMBER(SEARCH(","&amp;TRIM(TEXTSPLIT(CY62,","))&amp;",",","&amp;SUBSTITUTE(input_event_type," ","")&amp;",")))&gt;0)),IF(DA62="",TRUE,IF(input_event_type="",FALSE,SUMPRODUCT(--ISNUMBER(SEARCH(","&amp;TRIM(TEXTSPLIT(DA62,","))&amp;",",","&amp;SUBSTITUTE(input_event_type," ","")&amp;",")))=COUNTA(TEXTSPLIT(DA62,",")))),IF(DC62="",TRUE,IF(input_event_type="",TRUE,SUMPRODUCT(--ISNUMBER(SEARCH(","&amp;TRIM(TEXTSPLIT(DC62,","))&amp;",",","&amp;SUBSTITUTE(input_event_type," ","")&amp;",")))=0)),IF(DE62="",TRUE,IF(input_event_type="",FALSE,SUMPRODUCT(--ISNUMBER(SEARCH(","&amp;TRIM(TEXTSPLIT(DE62,","))&amp;",",","&amp;SUBSTITUTE(input_event_type," ","")&amp;",")))&gt;0)),IF(DG62="",TRUE,IF(input_event_type="",FALSE,SUMPRODUCT(--ISNUMBER(SEARCH(","&amp;TRIM(TEXTSPLIT(DG62,","))&amp;",",","&amp;SUBSTITUTE(input_event_type," ","")&amp;",")))=COUNTA(TEXTSPLIT(DG62,",")))))</f>
        <v/>
      </c>
      <c r="JD62">
        <f>AND(IF(DI62="",TRUE,IF(input_executive_education_focus="",FALSE,SUMPRODUCT(--ISNUMBER(SEARCH(","&amp;TRIM(TEXTSPLIT(DI62,","))&amp;",",","&amp;SUBSTITUTE(input_executive_education_focus," ","")&amp;",")))&gt;0)),IF(DK62="",TRUE,IF(input_executive_education_focus="",FALSE,SUMPRODUCT(--ISNUMBER(SEARCH(","&amp;TRIM(TEXTSPLIT(DK62,","))&amp;",",","&amp;SUBSTITUTE(input_executive_education_focus," ","")&amp;",")))=COUNTA(TEXTSPLIT(DK62,",")))),IF(DM62="",TRUE,IF(input_executive_education_focus="",TRUE,SUMPRODUCT(--ISNUMBER(SEARCH(","&amp;TRIM(TEXTSPLIT(DM62,","))&amp;",",","&amp;SUBSTITUTE(input_executive_education_focus," ","")&amp;",")))=0)),IF(DO62="",TRUE,IF(input_executive_education_focus="",FALSE,SUMPRODUCT(--ISNUMBER(SEARCH(","&amp;TRIM(TEXTSPLIT(DO62,","))&amp;",",","&amp;SUBSTITUTE(input_executive_education_focus," ","")&amp;",")))&gt;0)),IF(DQ62="",TRUE,IF(input_executive_education_focus="",FALSE,SUMPRODUCT(--ISNUMBER(SEARCH(","&amp;TRIM(TEXTSPLIT(DQ62,","))&amp;",",","&amp;SUBSTITUTE(input_executive_education_focus," ","")&amp;",")))=COUNTA(TEXTSPLIT(DQ62,",")))))</f>
        <v/>
      </c>
      <c r="JE62">
        <f>AND(IF(DS62="",TRUE,IF(input_faculty_category="",FALSE,SUMPRODUCT(--ISNUMBER(SEARCH(","&amp;TRIM(TEXTSPLIT(DS62,","))&amp;",",","&amp;SUBSTITUTE(input_faculty_category," ","")&amp;",")))&gt;0)),IF(DU62="",TRUE,IF(input_faculty_category="",FALSE,SUMPRODUCT(--ISNUMBER(SEARCH(","&amp;TRIM(TEXTSPLIT(DU62,","))&amp;",",","&amp;SUBSTITUTE(input_faculty_category," ","")&amp;",")))=COUNTA(TEXTSPLIT(DU62,",")))),IF(DW62="",TRUE,IF(input_faculty_category="",TRUE,SUMPRODUCT(--ISNUMBER(SEARCH(","&amp;TRIM(TEXTSPLIT(DW62,","))&amp;",",","&amp;SUBSTITUTE(input_faculty_category," ","")&amp;",")))=0)),IF(DY62="",TRUE,IF(input_faculty_category="",FALSE,SUMPRODUCT(--ISNUMBER(SEARCH(","&amp;TRIM(TEXTSPLIT(DY62,","))&amp;",",","&amp;SUBSTITUTE(input_faculty_category," ","")&amp;",")))&gt;0)),IF(EA62="",TRUE,IF(input_faculty_category="",FALSE,SUMPRODUCT(--ISNUMBER(SEARCH(","&amp;TRIM(TEXTSPLIT(EA62,","))&amp;",",","&amp;SUBSTITUTE(input_faculty_category," ","")&amp;",")))=COUNTA(TEXTSPLIT(EA62,",")))))</f>
        <v/>
      </c>
      <c r="JF62">
        <f>AND(IF(EC62="",TRUE,IF(input_faculty_discipline="",FALSE,SUMPRODUCT(--ISNUMBER(SEARCH(","&amp;TRIM(TEXTSPLIT(EC62,","))&amp;",",","&amp;SUBSTITUTE(input_faculty_discipline," ","")&amp;",")))&gt;0)),IF(EE62="",TRUE,IF(input_faculty_discipline="",FALSE,SUMPRODUCT(--ISNUMBER(SEARCH(","&amp;TRIM(TEXTSPLIT(EE62,","))&amp;",",","&amp;SUBSTITUTE(input_faculty_discipline," ","")&amp;",")))=COUNTA(TEXTSPLIT(EE62,",")))),IF(EG62="",TRUE,IF(input_faculty_discipline="",TRUE,SUMPRODUCT(--ISNUMBER(SEARCH(","&amp;TRIM(TEXTSPLIT(EG62,","))&amp;",",","&amp;SUBSTITUTE(input_faculty_discipline," ","")&amp;",")))=0)),IF(EI62="",TRUE,IF(input_faculty_discipline="",FALSE,SUMPRODUCT(--ISNUMBER(SEARCH(","&amp;TRIM(TEXTSPLIT(EI62,","))&amp;",",","&amp;SUBSTITUTE(input_faculty_discipline," ","")&amp;",")))&gt;0)),IF(EK62="",TRUE,IF(input_faculty_discipline="",FALSE,SUMPRODUCT(--ISNUMBER(SEARCH(","&amp;TRIM(TEXTSPLIT(EK62,","))&amp;",",","&amp;SUBSTITUTE(input_faculty_discipline," ","")&amp;",")))=COUNTA(TEXTSPLIT(EK62,",")))))</f>
        <v/>
      </c>
      <c r="JG62">
        <f>AND(IF(EM62="",TRUE,IF(input_faculty_expertise="",FALSE,SUMPRODUCT(--ISNUMBER(SEARCH(","&amp;TRIM(TEXTSPLIT(EM62,","))&amp;",",","&amp;SUBSTITUTE(input_faculty_expertise," ","")&amp;",")))&gt;0)),IF(EO62="",TRUE,IF(input_faculty_expertise="",FALSE,SUMPRODUCT(--ISNUMBER(SEARCH(","&amp;TRIM(TEXTSPLIT(EO62,","))&amp;",",","&amp;SUBSTITUTE(input_faculty_expertise," ","")&amp;",")))=COUNTA(TEXTSPLIT(EO62,",")))),IF(EQ62="",TRUE,IF(input_faculty_expertise="",TRUE,SUMPRODUCT(--ISNUMBER(SEARCH(","&amp;TRIM(TEXTSPLIT(EQ62,","))&amp;",",","&amp;SUBSTITUTE(input_faculty_expertise," ","")&amp;",")))=0)),IF(ES62="",TRUE,IF(input_faculty_expertise="",FALSE,SUMPRODUCT(--ISNUMBER(SEARCH(","&amp;TRIM(TEXTSPLIT(ES62,","))&amp;",",","&amp;SUBSTITUTE(input_faculty_expertise," ","")&amp;",")))&gt;0)),IF(EU62="",TRUE,IF(input_faculty_expertise="",FALSE,SUMPRODUCT(--ISNUMBER(SEARCH(","&amp;TRIM(TEXTSPLIT(EU62,","))&amp;",",","&amp;SUBSTITUTE(input_faculty_expertise," ","")&amp;",")))=COUNTA(TEXTSPLIT(EU62,",")))))</f>
        <v/>
      </c>
      <c r="JH62">
        <f>AND(IF(EW62="",TRUE,IF(input_global_network_school="",FALSE,SUMPRODUCT(--ISNUMBER(SEARCH(","&amp;TRIM(TEXTSPLIT(EW62,","))&amp;",",","&amp;SUBSTITUTE(input_global_network_school," ","")&amp;",")))&gt;0)),IF(EY62="",TRUE,IF(input_global_network_school="",FALSE,SUMPRODUCT(--ISNUMBER(SEARCH(","&amp;TRIM(TEXTSPLIT(EY62,","))&amp;",",","&amp;SUBSTITUTE(input_global_network_school," ","")&amp;",")))=COUNTA(TEXTSPLIT(EY62,",")))),IF(FA62="",TRUE,IF(input_global_network_school="",TRUE,SUMPRODUCT(--ISNUMBER(SEARCH(","&amp;TRIM(TEXTSPLIT(FA62,","))&amp;",",","&amp;SUBSTITUTE(input_global_network_school," ","")&amp;",")))=0)),IF(FC62="",TRUE,IF(input_global_network_school="",FALSE,SUMPRODUCT(--ISNUMBER(SEARCH(","&amp;TRIM(TEXTSPLIT(FC62,","))&amp;",",","&amp;SUBSTITUTE(input_global_network_school," ","")&amp;",")))&gt;0)),IF(FE62="",TRUE,IF(input_global_network_school="",FALSE,SUMPRODUCT(--ISNUMBER(SEARCH(","&amp;TRIM(TEXTSPLIT(FE62,","))&amp;",",","&amp;SUBSTITUTE(input_global_network_school," ","")&amp;",")))=COUNTA(TEXTSPLIT(FE62,",")))))</f>
        <v/>
      </c>
      <c r="JI62">
        <f>AND(IF(FG62="",TRUE,IF(input_industry="",FALSE,SUMPRODUCT(--ISNUMBER(SEARCH(","&amp;TRIM(TEXTSPLIT(FG62,","))&amp;",",","&amp;SUBSTITUTE(input_industry," ","")&amp;",")))&gt;0)),IF(FI62="",TRUE,IF(input_industry="",FALSE,SUMPRODUCT(--ISNUMBER(SEARCH(","&amp;TRIM(TEXTSPLIT(FI62,","))&amp;",",","&amp;SUBSTITUTE(input_industry," ","")&amp;",")))=COUNTA(TEXTSPLIT(FI62,",")))),IF(FK62="",TRUE,IF(input_industry="",TRUE,SUMPRODUCT(--ISNUMBER(SEARCH(","&amp;TRIM(TEXTSPLIT(FK62,","))&amp;",",","&amp;SUBSTITUTE(input_industry," ","")&amp;",")))=0)),IF(FM62="",TRUE,IF(input_industry="",FALSE,SUMPRODUCT(--ISNUMBER(SEARCH(","&amp;TRIM(TEXTSPLIT(FM62,","))&amp;",",","&amp;SUBSTITUTE(input_industry," ","")&amp;",")))&gt;0)),IF(FO62="",TRUE,IF(input_industry="",FALSE,SUMPRODUCT(--ISNUMBER(SEARCH(","&amp;TRIM(TEXTSPLIT(FO62,","))&amp;",",","&amp;SUBSTITUTE(input_industry," ","")&amp;",")))=COUNTA(TEXTSPLIT(FO62,",")))))</f>
        <v/>
      </c>
      <c r="JJ62">
        <f>AND(IF(FQ62="",TRUE,IF(input_location="",FALSE,SUMPRODUCT(--ISNUMBER(SEARCH(","&amp;TRIM(TEXTSPLIT(FQ62,","))&amp;",",","&amp;SUBSTITUTE(input_location," ","")&amp;",")))&gt;0)),IF(FS62="",TRUE,IF(input_location="",FALSE,SUMPRODUCT(--ISNUMBER(SEARCH(","&amp;TRIM(TEXTSPLIT(FS62,","))&amp;",",","&amp;SUBSTITUTE(input_location," ","")&amp;",")))=COUNTA(TEXTSPLIT(FS62,",")))),IF(FU62="",TRUE,IF(input_location="",TRUE,SUMPRODUCT(--ISNUMBER(SEARCH(","&amp;TRIM(TEXTSPLIT(FU62,","))&amp;",",","&amp;SUBSTITUTE(input_location," ","")&amp;",")))=0)),IF(FW62="",TRUE,IF(input_location="",FALSE,SUMPRODUCT(--ISNUMBER(SEARCH(","&amp;TRIM(TEXTSPLIT(FW62,","))&amp;",",","&amp;SUBSTITUTE(input_location," ","")&amp;",")))&gt;0)),IF(FY62="",TRUE,IF(input_location="",FALSE,SUMPRODUCT(--ISNUMBER(SEARCH(","&amp;TRIM(TEXTSPLIT(FY62,","))&amp;",",","&amp;SUBSTITUTE(input_location," ","")&amp;",")))=COUNTA(TEXTSPLIT(FY62,",")))))</f>
        <v/>
      </c>
      <c r="JK62">
        <f>AND(IF(GA62="",TRUE,IF(input_modality="",FALSE,SUMPRODUCT(--ISNUMBER(SEARCH(","&amp;TRIM(TEXTSPLIT(GA62,","))&amp;",",","&amp;SUBSTITUTE(input_modality," ","")&amp;",")))&gt;0)),IF(GC62="",TRUE,IF(input_modality="",FALSE,SUMPRODUCT(--ISNUMBER(SEARCH(","&amp;TRIM(TEXTSPLIT(GC62,","))&amp;",",","&amp;SUBSTITUTE(input_modality," ","")&amp;",")))=COUNTA(TEXTSPLIT(GC62,",")))),IF(GE62="",TRUE,IF(input_modality="",TRUE,SUMPRODUCT(--ISNUMBER(SEARCH(","&amp;TRIM(TEXTSPLIT(GE62,","))&amp;",",","&amp;SUBSTITUTE(input_modality," ","")&amp;",")))=0)),IF(GG62="",TRUE,IF(input_modality="",FALSE,SUMPRODUCT(--ISNUMBER(SEARCH(","&amp;TRIM(TEXTSPLIT(GG62,","))&amp;",",","&amp;SUBSTITUTE(input_modality," ","")&amp;",")))&gt;0)),IF(GI62="",TRUE,IF(input_modality="",FALSE,SUMPRODUCT(--ISNUMBER(SEARCH(","&amp;TRIM(TEXTSPLIT(GI62,","))&amp;",",","&amp;SUBSTITUTE(input_modality," ","")&amp;",")))=COUNTA(TEXTSPLIT(GI62,",")))))</f>
        <v/>
      </c>
      <c r="JL62">
        <f>AND(IF(GK62="",TRUE,IF(input_organizer="",FALSE,SUMPRODUCT(--ISNUMBER(SEARCH(","&amp;TRIM(TEXTSPLIT(GK62,","))&amp;",",","&amp;SUBSTITUTE(input_organizer," ","")&amp;",")))&gt;0)),IF(GM62="",TRUE,IF(input_organizer="",FALSE,SUMPRODUCT(--ISNUMBER(SEARCH(","&amp;TRIM(TEXTSPLIT(GM62,","))&amp;",",","&amp;SUBSTITUTE(input_organizer," ","")&amp;",")))=COUNTA(TEXTSPLIT(GM62,",")))),IF(GO62="",TRUE,IF(input_organizer="",TRUE,SUMPRODUCT(--ISNUMBER(SEARCH(","&amp;TRIM(TEXTSPLIT(GO62,","))&amp;",",","&amp;SUBSTITUTE(input_organizer," ","")&amp;",")))=0)),IF(GQ62="",TRUE,IF(input_organizer="",FALSE,SUMPRODUCT(--ISNUMBER(SEARCH(","&amp;TRIM(TEXTSPLIT(GQ62,","))&amp;",",","&amp;SUBSTITUTE(input_organizer," ","")&amp;",")))&gt;0)),IF(GS62="",TRUE,IF(input_organizer="",FALSE,SUMPRODUCT(--ISNUMBER(SEARCH(","&amp;TRIM(TEXTSPLIT(GS62,","))&amp;",",","&amp;SUBSTITUTE(input_organizer," ","")&amp;",")))=COUNTA(TEXTSPLIT(GS62,",")))))</f>
        <v/>
      </c>
      <c r="JM62">
        <f>AND(IF(GU62="",TRUE,IF(input_profile_type="",FALSE,SUMPRODUCT(--ISNUMBER(SEARCH(","&amp;TRIM(TEXTSPLIT(GU62,","))&amp;",",","&amp;SUBSTITUTE(input_profile_type," ","")&amp;",")))&gt;0)),IF(GW62="",TRUE,IF(input_profile_type="",FALSE,SUMPRODUCT(--ISNUMBER(SEARCH(","&amp;TRIM(TEXTSPLIT(GW62,","))&amp;",",","&amp;SUBSTITUTE(input_profile_type," ","")&amp;",")))=COUNTA(TEXTSPLIT(GW62,",")))),IF(GY62="",TRUE,IF(input_profile_type="",TRUE,SUMPRODUCT(--ISNUMBER(SEARCH(","&amp;TRIM(TEXTSPLIT(GY62,","))&amp;",",","&amp;SUBSTITUTE(input_profile_type," ","")&amp;",")))=0)),IF(HA62="",TRUE,IF(input_profile_type="",FALSE,SUMPRODUCT(--ISNUMBER(SEARCH(","&amp;TRIM(TEXTSPLIT(HA62,","))&amp;",",","&amp;SUBSTITUTE(input_profile_type," ","")&amp;",")))&gt;0)),IF(HC62="",TRUE,IF(input_profile_type="",FALSE,SUMPRODUCT(--ISNUMBER(SEARCH(","&amp;TRIM(TEXTSPLIT(HC62,","))&amp;",",","&amp;SUBSTITUTE(input_profile_type," ","")&amp;",")))=COUNTA(TEXTSPLIT(HC62,",")))))</f>
        <v/>
      </c>
      <c r="JN62">
        <f>AND(IF(HE62="",TRUE,IF(input_program="",FALSE,SUMPRODUCT(--ISNUMBER(SEARCH(","&amp;TRIM(TEXTSPLIT(HE62,","))&amp;",",","&amp;SUBSTITUTE(input_program," ","")&amp;",")))&gt;0)),IF(HG62="",TRUE,IF(input_program="",FALSE,SUMPRODUCT(--ISNUMBER(SEARCH(","&amp;TRIM(TEXTSPLIT(HG62,","))&amp;",",","&amp;SUBSTITUTE(input_program," ","")&amp;",")))=COUNTA(TEXTSPLIT(HG62,",")))),IF(HI62="",TRUE,IF(input_program="",TRUE,SUMPRODUCT(--ISNUMBER(SEARCH(","&amp;TRIM(TEXTSPLIT(HI62,","))&amp;",",","&amp;SUBSTITUTE(input_program," ","")&amp;",")))=0)),IF(HK62="",TRUE,IF(input_program="",FALSE,SUMPRODUCT(--ISNUMBER(SEARCH(","&amp;TRIM(TEXTSPLIT(HK62,","))&amp;",",","&amp;SUBSTITUTE(input_program," ","")&amp;",")))&gt;0)),IF(HM62="",TRUE,IF(input_program="",FALSE,SUMPRODUCT(--ISNUMBER(SEARCH(","&amp;TRIM(TEXTSPLIT(HM62,","))&amp;",",","&amp;SUBSTITUTE(input_program," ","")&amp;",")))=COUNTA(TEXTSPLIT(HM62,",")))))</f>
        <v/>
      </c>
      <c r="JO62">
        <f>AND(IF(HO62="",TRUE,IF(input_story_categories="",FALSE,SUMPRODUCT(--ISNUMBER(SEARCH(","&amp;TRIM(TEXTSPLIT(HO62,","))&amp;",",","&amp;SUBSTITUTE(input_story_categories," ","")&amp;",")))&gt;0)),IF(HQ62="",TRUE,IF(input_story_categories="",FALSE,SUMPRODUCT(--ISNUMBER(SEARCH(","&amp;TRIM(TEXTSPLIT(HQ62,","))&amp;",",","&amp;SUBSTITUTE(input_story_categories," ","")&amp;",")))=COUNTA(TEXTSPLIT(HQ62,",")))),IF(HS62="",TRUE,IF(input_story_categories="",TRUE,SUMPRODUCT(--ISNUMBER(SEARCH(","&amp;TRIM(TEXTSPLIT(HS62,","))&amp;",",","&amp;SUBSTITUTE(input_story_categories," ","")&amp;",")))=0)),IF(HU62="",TRUE,IF(input_story_categories="",FALSE,SUMPRODUCT(--ISNUMBER(SEARCH(","&amp;TRIM(TEXTSPLIT(HU62,","))&amp;",",","&amp;SUBSTITUTE(input_story_categories," ","")&amp;",")))&gt;0)),IF(HW62="",TRUE,IF(input_story_categories="",FALSE,SUMPRODUCT(--ISNUMBER(SEARCH(","&amp;TRIM(TEXTSPLIT(HW62,","))&amp;",",","&amp;SUBSTITUTE(input_story_categories," ","")&amp;",")))=COUNTA(TEXTSPLIT(HW62,",")))))</f>
        <v/>
      </c>
      <c r="JP62">
        <f>AND(IF(HY62="",TRUE,IF(input_story_type="",FALSE,SUMPRODUCT(--ISNUMBER(SEARCH(","&amp;TRIM(TEXTSPLIT(HY62,","))&amp;",",","&amp;SUBSTITUTE(input_story_type," ","")&amp;",")))&gt;0)),IF(IA62="",TRUE,IF(input_story_type="",FALSE,SUMPRODUCT(--ISNUMBER(SEARCH(","&amp;TRIM(TEXTSPLIT(IA62,","))&amp;",",","&amp;SUBSTITUTE(input_story_type," ","")&amp;",")))=COUNTA(TEXTSPLIT(IA62,",")))),IF(IC62="",TRUE,IF(input_story_type="",TRUE,SUMPRODUCT(--ISNUMBER(SEARCH(","&amp;TRIM(TEXTSPLIT(IC62,","))&amp;",",","&amp;SUBSTITUTE(input_story_type," ","")&amp;",")))=0)),IF(IE62="",TRUE,IF(input_story_type="",FALSE,SUMPRODUCT(--ISNUMBER(SEARCH(","&amp;TRIM(TEXTSPLIT(IE62,","))&amp;",",","&amp;SUBSTITUTE(input_story_type," ","")&amp;",")))&gt;0)),IF(IG62="",TRUE,IF(input_story_type="",FALSE,SUMPRODUCT(--ISNUMBER(SEARCH(","&amp;TRIM(TEXTSPLIT(IG62,","))&amp;",",","&amp;SUBSTITUTE(input_story_type," ","")&amp;",")))=COUNTA(TEXTSPLIT(IG62,",")))))</f>
        <v/>
      </c>
      <c r="JQ62">
        <f>AND(IF(II62="",TRUE,IF(input_topics="",FALSE,SUMPRODUCT(--ISNUMBER(SEARCH(","&amp;TRIM(TEXTSPLIT(II62,","))&amp;",",","&amp;SUBSTITUTE(input_topics," ","")&amp;",")))&gt;0)),IF(IK62="",TRUE,IF(input_topics="",FALSE,SUMPRODUCT(--ISNUMBER(SEARCH(","&amp;TRIM(TEXTSPLIT(IK62,","))&amp;",",","&amp;SUBSTITUTE(input_topics," ","")&amp;",")))=COUNTA(TEXTSPLIT(IK62,",")))),IF(IM62="",TRUE,IF(input_topics="",TRUE,SUMPRODUCT(--ISNUMBER(SEARCH(","&amp;TRIM(TEXTSPLIT(IM62,","))&amp;",",","&amp;SUBSTITUTE(input_topics," ","")&amp;",")))=0)),IF(IO62="",TRUE,IF(input_topics="",FALSE,SUMPRODUCT(--ISNUMBER(SEARCH(","&amp;TRIM(TEXTSPLIT(IO62,","))&amp;",",","&amp;SUBSTITUTE(input_topics," ","")&amp;",")))&gt;0)),IF(IQ62="",TRUE,IF(input_topics="",FALSE,SUMPRODUCT(--ISNUMBER(SEARCH(","&amp;TRIM(TEXTSPLIT(IQ62,","))&amp;",",","&amp;SUBSTITUTE(input_topics," ","")&amp;",")))=COUNTA(TEXTSPLIT(IQ62,",")))))</f>
        <v/>
      </c>
    </row>
    <row r="63">
      <c r="A63" s="4">
        <f>IF(NOT(IS63),"Excluded",IF(AND(IT63,IU63,IV63,IW63,IX63,IY63,IZ63,JA63,JB63,JC63,JD63,JE63,JF63,JG63,JH63,JI63,JJ63,JK63,JL63,JM63,JN63,JO63,JP63,JQ63),IF(I63&gt;0,"Eligible but limited","Will appear"),"Excluded"))</f>
        <v/>
      </c>
      <c r="B63" s="4" t="inlineStr">
        <is>
          <t>All stories</t>
        </is>
      </c>
      <c r="C63" s="4" t="inlineStr">
        <is>
          <t>/centers/program-on-financial-stability</t>
        </is>
      </c>
      <c r="D63" s="4" t="inlineStr">
        <is>
          <t>/centers/program-on-financial-stability</t>
        </is>
      </c>
      <c r="E63" s="4" t="n">
        <v>1</v>
      </c>
      <c r="F63" s="4" t="inlineStr">
        <is>
          <t>story</t>
        </is>
      </c>
      <c r="G63" s="4" t="inlineStr">
        <is>
          <t>stories_grid_without_images</t>
        </is>
      </c>
      <c r="H63" s="4" t="inlineStr">
        <is>
          <t>embed_1</t>
        </is>
      </c>
      <c r="I63" s="4" t="n">
        <v>3</v>
      </c>
      <c r="J63" s="4" t="inlineStr">
        <is>
          <t>Section inferred</t>
        </is>
      </c>
      <c r="K63" s="4" t="inlineStr">
        <is>
          <t>Page placement</t>
        </is>
      </c>
      <c r="L63" s="4" t="inlineStr">
        <is>
          <t>Content type: story; Context uses Courses Context: Program on Financial Stability (955); Limited to 3 item(s); Source: Section inferred</t>
        </is>
      </c>
      <c r="M63" t="inlineStr"/>
      <c r="N63" t="inlineStr"/>
      <c r="O63" t="inlineStr"/>
      <c r="P63" t="inlineStr"/>
      <c r="Q63" t="inlineStr"/>
      <c r="R63" t="inlineStr"/>
      <c r="S63" t="inlineStr"/>
      <c r="T63" t="inlineStr"/>
      <c r="U63" t="inlineStr"/>
      <c r="V63" t="inlineStr"/>
      <c r="W63" t="inlineStr"/>
      <c r="X63" t="inlineStr"/>
      <c r="Y63" t="inlineStr"/>
      <c r="Z63" t="inlineStr"/>
      <c r="AA63" t="inlineStr"/>
      <c r="AB63" t="inlineStr"/>
      <c r="AC63" t="inlineStr"/>
      <c r="AD63" t="inlineStr"/>
      <c r="AE63" t="inlineStr"/>
      <c r="AF63" t="inlineStr"/>
      <c r="AG63" t="inlineStr"/>
      <c r="AH63" t="inlineStr"/>
      <c r="AI63" t="inlineStr"/>
      <c r="AJ63" t="inlineStr"/>
      <c r="AK63" t="inlineStr"/>
      <c r="AL63" t="inlineStr"/>
      <c r="AM63" t="inlineStr"/>
      <c r="AN63" t="inlineStr"/>
      <c r="AO63" t="inlineStr"/>
      <c r="AP63" t="inlineStr"/>
      <c r="AQ63" t="inlineStr"/>
      <c r="AR63" t="inlineStr"/>
      <c r="AS63" t="inlineStr"/>
      <c r="AT63" t="inlineStr"/>
      <c r="AU63" t="inlineStr"/>
      <c r="AV63" t="inlineStr"/>
      <c r="AW63" t="inlineStr"/>
      <c r="AX63" t="inlineStr"/>
      <c r="AY63" t="inlineStr"/>
      <c r="AZ63" t="inlineStr"/>
      <c r="BA63" t="inlineStr"/>
      <c r="BB63" t="inlineStr"/>
      <c r="BC63" t="inlineStr"/>
      <c r="BD63" t="inlineStr"/>
      <c r="BE63" t="inlineStr"/>
      <c r="BF63" t="inlineStr"/>
      <c r="BG63" t="inlineStr"/>
      <c r="BH63" t="inlineStr"/>
      <c r="BI63" t="inlineStr"/>
      <c r="BJ63" t="inlineStr"/>
      <c r="BK63" t="inlineStr"/>
      <c r="BL63" t="inlineStr"/>
      <c r="BM63" t="inlineStr"/>
      <c r="BN63" t="inlineStr"/>
      <c r="BO63" t="inlineStr"/>
      <c r="BP63" t="inlineStr"/>
      <c r="BQ63" t="inlineStr">
        <is>
          <t>955</t>
        </is>
      </c>
      <c r="BR63" t="inlineStr">
        <is>
          <t>Program on Financial Stability (955)</t>
        </is>
      </c>
      <c r="BS63" t="inlineStr"/>
      <c r="BT63" t="inlineStr"/>
      <c r="BU63" t="inlineStr"/>
      <c r="BV63" t="inlineStr"/>
      <c r="BW63" t="inlineStr"/>
      <c r="BX63" t="inlineStr"/>
      <c r="BY63" t="inlineStr"/>
      <c r="BZ63" t="inlineStr"/>
      <c r="CA63" t="inlineStr"/>
      <c r="CB63" t="inlineStr"/>
      <c r="CC63" t="inlineStr"/>
      <c r="CD63" t="inlineStr"/>
      <c r="CE63" t="inlineStr"/>
      <c r="CF63" t="inlineStr"/>
      <c r="CG63" t="inlineStr"/>
      <c r="CH63" t="inlineStr"/>
      <c r="CI63" t="inlineStr"/>
      <c r="CJ63" t="inlineStr"/>
      <c r="CK63" t="inlineStr"/>
      <c r="CL63" t="inlineStr"/>
      <c r="CM63" t="inlineStr"/>
      <c r="CN63" t="inlineStr"/>
      <c r="CO63" t="inlineStr"/>
      <c r="CP63" t="inlineStr"/>
      <c r="CQ63" t="inlineStr"/>
      <c r="CR63" t="inlineStr"/>
      <c r="CS63" t="inlineStr"/>
      <c r="CT63" t="inlineStr"/>
      <c r="CU63" t="inlineStr"/>
      <c r="CV63" t="inlineStr"/>
      <c r="CW63" t="inlineStr"/>
      <c r="CX63" t="inlineStr"/>
      <c r="CY63" t="inlineStr"/>
      <c r="CZ63" t="inlineStr"/>
      <c r="DA63" t="inlineStr"/>
      <c r="DB63" t="inlineStr"/>
      <c r="DC63" t="inlineStr"/>
      <c r="DD63" t="inlineStr"/>
      <c r="DE63" t="inlineStr"/>
      <c r="DF63" t="inlineStr"/>
      <c r="DG63" t="inlineStr"/>
      <c r="DH63" t="inlineStr"/>
      <c r="DI63" t="inlineStr"/>
      <c r="DJ63" t="inlineStr"/>
      <c r="DK63" t="inlineStr"/>
      <c r="DL63" t="inlineStr"/>
      <c r="DM63" t="inlineStr"/>
      <c r="DN63" t="inlineStr"/>
      <c r="DO63" t="inlineStr"/>
      <c r="DP63" t="inlineStr"/>
      <c r="DQ63" t="inlineStr"/>
      <c r="DR63" t="inlineStr"/>
      <c r="DS63" t="inlineStr"/>
      <c r="DT63" t="inlineStr"/>
      <c r="DU63" t="inlineStr"/>
      <c r="DV63" t="inlineStr"/>
      <c r="DW63" t="inlineStr"/>
      <c r="DX63" t="inlineStr"/>
      <c r="DY63" t="inlineStr"/>
      <c r="DZ63" t="inlineStr"/>
      <c r="EA63" t="inlineStr"/>
      <c r="EB63" t="inlineStr"/>
      <c r="EC63" t="inlineStr"/>
      <c r="ED63" t="inlineStr"/>
      <c r="EE63" t="inlineStr"/>
      <c r="EF63" t="inlineStr"/>
      <c r="EG63" t="inlineStr"/>
      <c r="EH63" t="inlineStr"/>
      <c r="EI63" t="inlineStr"/>
      <c r="EJ63" t="inlineStr"/>
      <c r="EK63" t="inlineStr"/>
      <c r="EL63" t="inlineStr"/>
      <c r="EM63" t="inlineStr"/>
      <c r="EN63" t="inlineStr"/>
      <c r="EO63" t="inlineStr"/>
      <c r="EP63" t="inlineStr"/>
      <c r="EQ63" t="inlineStr"/>
      <c r="ER63" t="inlineStr"/>
      <c r="ES63" t="inlineStr"/>
      <c r="ET63" t="inlineStr"/>
      <c r="EU63" t="inlineStr"/>
      <c r="EV63" t="inlineStr"/>
      <c r="EW63" t="inlineStr"/>
      <c r="EX63" t="inlineStr"/>
      <c r="EY63" t="inlineStr"/>
      <c r="EZ63" t="inlineStr"/>
      <c r="FA63" t="inlineStr"/>
      <c r="FB63" t="inlineStr"/>
      <c r="FC63" t="inlineStr"/>
      <c r="FD63" t="inlineStr"/>
      <c r="FE63" t="inlineStr"/>
      <c r="FF63" t="inlineStr"/>
      <c r="FG63" t="inlineStr"/>
      <c r="FH63" t="inlineStr"/>
      <c r="FI63" t="inlineStr"/>
      <c r="FJ63" t="inlineStr"/>
      <c r="FK63" t="inlineStr"/>
      <c r="FL63" t="inlineStr"/>
      <c r="FM63" t="inlineStr"/>
      <c r="FN63" t="inlineStr"/>
      <c r="FO63" t="inlineStr"/>
      <c r="FP63" t="inlineStr"/>
      <c r="FQ63" t="inlineStr"/>
      <c r="FR63" t="inlineStr"/>
      <c r="FS63" t="inlineStr"/>
      <c r="FT63" t="inlineStr"/>
      <c r="FU63" t="inlineStr"/>
      <c r="FV63" t="inlineStr"/>
      <c r="FW63" t="inlineStr"/>
      <c r="FX63" t="inlineStr"/>
      <c r="FY63" t="inlineStr"/>
      <c r="FZ63" t="inlineStr"/>
      <c r="GA63" t="inlineStr"/>
      <c r="GB63" t="inlineStr"/>
      <c r="GC63" t="inlineStr"/>
      <c r="GD63" t="inlineStr"/>
      <c r="GE63" t="inlineStr"/>
      <c r="GF63" t="inlineStr"/>
      <c r="GG63" t="inlineStr"/>
      <c r="GH63" t="inlineStr"/>
      <c r="GI63" t="inlineStr"/>
      <c r="GJ63" t="inlineStr"/>
      <c r="GK63" t="inlineStr"/>
      <c r="GL63" t="inlineStr"/>
      <c r="GM63" t="inlineStr"/>
      <c r="GN63" t="inlineStr"/>
      <c r="GO63" t="inlineStr"/>
      <c r="GP63" t="inlineStr"/>
      <c r="GQ63" t="inlineStr"/>
      <c r="GR63" t="inlineStr"/>
      <c r="GS63" t="inlineStr"/>
      <c r="GT63" t="inlineStr"/>
      <c r="GU63" t="inlineStr"/>
      <c r="GV63" t="inlineStr"/>
      <c r="GW63" t="inlineStr"/>
      <c r="GX63" t="inlineStr"/>
      <c r="GY63" t="inlineStr"/>
      <c r="GZ63" t="inlineStr"/>
      <c r="HA63" t="inlineStr"/>
      <c r="HB63" t="inlineStr"/>
      <c r="HC63" t="inlineStr"/>
      <c r="HD63" t="inlineStr"/>
      <c r="HE63" t="inlineStr"/>
      <c r="HF63" t="inlineStr"/>
      <c r="HG63" t="inlineStr"/>
      <c r="HH63" t="inlineStr"/>
      <c r="HI63" t="inlineStr"/>
      <c r="HJ63" t="inlineStr"/>
      <c r="HK63" t="inlineStr"/>
      <c r="HL63" t="inlineStr"/>
      <c r="HM63" t="inlineStr"/>
      <c r="HN63" t="inlineStr"/>
      <c r="HO63" t="inlineStr"/>
      <c r="HP63" t="inlineStr"/>
      <c r="HQ63" t="inlineStr"/>
      <c r="HR63" t="inlineStr"/>
      <c r="HS63" t="inlineStr"/>
      <c r="HT63" t="inlineStr"/>
      <c r="HU63" t="inlineStr"/>
      <c r="HV63" t="inlineStr"/>
      <c r="HW63" t="inlineStr"/>
      <c r="HX63" t="inlineStr"/>
      <c r="HY63" t="inlineStr"/>
      <c r="HZ63" t="inlineStr"/>
      <c r="IA63" t="inlineStr"/>
      <c r="IB63" t="inlineStr"/>
      <c r="IC63" t="inlineStr"/>
      <c r="ID63" t="inlineStr"/>
      <c r="IE63" t="inlineStr"/>
      <c r="IF63" t="inlineStr"/>
      <c r="IG63" t="inlineStr"/>
      <c r="IH63" t="inlineStr"/>
      <c r="II63" t="inlineStr"/>
      <c r="IJ63" t="inlineStr"/>
      <c r="IK63" t="inlineStr"/>
      <c r="IL63" t="inlineStr"/>
      <c r="IM63" t="inlineStr"/>
      <c r="IN63" t="inlineStr"/>
      <c r="IO63" t="inlineStr"/>
      <c r="IP63" t="inlineStr"/>
      <c r="IQ63" t="inlineStr"/>
      <c r="IR63" t="inlineStr"/>
      <c r="IS63">
        <f>IF(input_content_type="",FALSE,ISNUMBER(SEARCH(","&amp;LOWER(input_content_type)&amp;",",","&amp;LOWER(F63)&amp;",")))</f>
        <v/>
      </c>
      <c r="IT63">
        <f>AND(IF(M63="",TRUE,IF(input_affiliations="",FALSE,SUMPRODUCT(--ISNUMBER(SEARCH(","&amp;TRIM(TEXTSPLIT(M63,","))&amp;",",","&amp;SUBSTITUTE(input_affiliations," ","")&amp;",")))&gt;0)),IF(O63="",TRUE,IF(input_affiliations="",FALSE,SUMPRODUCT(--ISNUMBER(SEARCH(","&amp;TRIM(TEXTSPLIT(O63,","))&amp;",",","&amp;SUBSTITUTE(input_affiliations," ","")&amp;",")))=COUNTA(TEXTSPLIT(O63,",")))),IF(Q63="",TRUE,IF(input_affiliations="",TRUE,SUMPRODUCT(--ISNUMBER(SEARCH(","&amp;TRIM(TEXTSPLIT(Q63,","))&amp;",",","&amp;SUBSTITUTE(input_affiliations," ","")&amp;",")))=0)),IF(S63="",TRUE,IF(input_affiliations="",FALSE,SUMPRODUCT(--ISNUMBER(SEARCH(","&amp;TRIM(TEXTSPLIT(S63,","))&amp;",",","&amp;SUBSTITUTE(input_affiliations," ","")&amp;",")))&gt;0)),IF(U63="",TRUE,IF(input_affiliations="",FALSE,SUMPRODUCT(--ISNUMBER(SEARCH(","&amp;TRIM(TEXTSPLIT(U63,","))&amp;",",","&amp;SUBSTITUTE(input_affiliations," ","")&amp;",")))=COUNTA(TEXTSPLIT(U63,",")))))</f>
        <v/>
      </c>
      <c r="IU63">
        <f>AND(IF(W63="",TRUE,IF(input_announcement_category="",FALSE,SUMPRODUCT(--ISNUMBER(SEARCH(","&amp;TRIM(TEXTSPLIT(W63,","))&amp;",",","&amp;SUBSTITUTE(input_announcement_category," ","")&amp;",")))&gt;0)),IF(Y63="",TRUE,IF(input_announcement_category="",FALSE,SUMPRODUCT(--ISNUMBER(SEARCH(","&amp;TRIM(TEXTSPLIT(Y63,","))&amp;",",","&amp;SUBSTITUTE(input_announcement_category," ","")&amp;",")))=COUNTA(TEXTSPLIT(Y63,",")))),IF(AA63="",TRUE,IF(input_announcement_category="",TRUE,SUMPRODUCT(--ISNUMBER(SEARCH(","&amp;TRIM(TEXTSPLIT(AA63,","))&amp;",",","&amp;SUBSTITUTE(input_announcement_category," ","")&amp;",")))=0)),IF(AC63="",TRUE,IF(input_announcement_category="",FALSE,SUMPRODUCT(--ISNUMBER(SEARCH(","&amp;TRIM(TEXTSPLIT(AC63,","))&amp;",",","&amp;SUBSTITUTE(input_announcement_category," ","")&amp;",")))&gt;0)),IF(AE63="",TRUE,IF(input_announcement_category="",FALSE,SUMPRODUCT(--ISNUMBER(SEARCH(","&amp;TRIM(TEXTSPLIT(AE63,","))&amp;",",","&amp;SUBSTITUTE(input_announcement_category," ","")&amp;",")))=COUNTA(TEXTSPLIT(AE63,",")))))</f>
        <v/>
      </c>
      <c r="IV63">
        <f>AND(IF(AG63="",TRUE,IF(input_area_of_focus="",FALSE,SUMPRODUCT(--ISNUMBER(SEARCH(","&amp;TRIM(TEXTSPLIT(AG63,","))&amp;",",","&amp;SUBSTITUTE(input_area_of_focus," ","")&amp;",")))&gt;0)),IF(AI63="",TRUE,IF(input_area_of_focus="",FALSE,SUMPRODUCT(--ISNUMBER(SEARCH(","&amp;TRIM(TEXTSPLIT(AI63,","))&amp;",",","&amp;SUBSTITUTE(input_area_of_focus," ","")&amp;",")))=COUNTA(TEXTSPLIT(AI63,",")))),IF(AK63="",TRUE,IF(input_area_of_focus="",TRUE,SUMPRODUCT(--ISNUMBER(SEARCH(","&amp;TRIM(TEXTSPLIT(AK63,","))&amp;",",","&amp;SUBSTITUTE(input_area_of_focus," ","")&amp;",")))=0)),IF(AM63="",TRUE,IF(input_area_of_focus="",FALSE,SUMPRODUCT(--ISNUMBER(SEARCH(","&amp;TRIM(TEXTSPLIT(AM63,","))&amp;",",","&amp;SUBSTITUTE(input_area_of_focus," ","")&amp;",")))&gt;0)),IF(AO63="",TRUE,IF(input_area_of_focus="",FALSE,SUMPRODUCT(--ISNUMBER(SEARCH(","&amp;TRIM(TEXTSPLIT(AO63,","))&amp;",",","&amp;SUBSTITUTE(input_area_of_focus," ","")&amp;",")))=COUNTA(TEXTSPLIT(AO63,",")))))</f>
        <v/>
      </c>
      <c r="IW63">
        <f>AND(IF(AQ63="",TRUE,IF(input_audience="",FALSE,SUMPRODUCT(--ISNUMBER(SEARCH(","&amp;TRIM(TEXTSPLIT(AQ63,","))&amp;",",","&amp;SUBSTITUTE(input_audience," ","")&amp;",")))&gt;0)),IF(AS63="",TRUE,IF(input_audience="",FALSE,SUMPRODUCT(--ISNUMBER(SEARCH(","&amp;TRIM(TEXTSPLIT(AS63,","))&amp;",",","&amp;SUBSTITUTE(input_audience," ","")&amp;",")))=COUNTA(TEXTSPLIT(AS63,",")))),IF(AU63="",TRUE,IF(input_audience="",TRUE,SUMPRODUCT(--ISNUMBER(SEARCH(","&amp;TRIM(TEXTSPLIT(AU63,","))&amp;",",","&amp;SUBSTITUTE(input_audience," ","")&amp;",")))=0)),IF(AW63="",TRUE,IF(input_audience="",FALSE,SUMPRODUCT(--ISNUMBER(SEARCH(","&amp;TRIM(TEXTSPLIT(AW63,","))&amp;",",","&amp;SUBSTITUTE(input_audience," ","")&amp;",")))&gt;0)),IF(AY63="",TRUE,IF(input_audience="",FALSE,SUMPRODUCT(--ISNUMBER(SEARCH(","&amp;TRIM(TEXTSPLIT(AY63,","))&amp;",",","&amp;SUBSTITUTE(input_audience," ","")&amp;",")))=COUNTA(TEXTSPLIT(AY63,",")))))</f>
        <v/>
      </c>
      <c r="IX63">
        <f>AND(IF(BA63="",TRUE,IF(input_challenge_opportunities="",FALSE,SUMPRODUCT(--ISNUMBER(SEARCH(","&amp;TRIM(TEXTSPLIT(BA63,","))&amp;",",","&amp;SUBSTITUTE(input_challenge_opportunities," ","")&amp;",")))&gt;0)),IF(BC63="",TRUE,IF(input_challenge_opportunities="",FALSE,SUMPRODUCT(--ISNUMBER(SEARCH(","&amp;TRIM(TEXTSPLIT(BC63,","))&amp;",",","&amp;SUBSTITUTE(input_challenge_opportunities," ","")&amp;",")))=COUNTA(TEXTSPLIT(BC63,",")))),IF(BE63="",TRUE,IF(input_challenge_opportunities="",TRUE,SUMPRODUCT(--ISNUMBER(SEARCH(","&amp;TRIM(TEXTSPLIT(BE63,","))&amp;",",","&amp;SUBSTITUTE(input_challenge_opportunities," ","")&amp;",")))=0)),IF(BG63="",TRUE,IF(input_challenge_opportunities="",FALSE,SUMPRODUCT(--ISNUMBER(SEARCH(","&amp;TRIM(TEXTSPLIT(BG63,","))&amp;",",","&amp;SUBSTITUTE(input_challenge_opportunities," ","")&amp;",")))&gt;0)),IF(BI63="",TRUE,IF(input_challenge_opportunities="",FALSE,SUMPRODUCT(--ISNUMBER(SEARCH(","&amp;TRIM(TEXTSPLIT(BI63,","))&amp;",",","&amp;SUBSTITUTE(input_challenge_opportunities," ","")&amp;",")))=COUNTA(TEXTSPLIT(BI63,",")))))</f>
        <v/>
      </c>
      <c r="IY63">
        <f>AND(IF(BK63="",TRUE,IF(input_context="",FALSE,SUMPRODUCT(--ISNUMBER(SEARCH(","&amp;TRIM(TEXTSPLIT(BK63,","))&amp;",",","&amp;SUBSTITUTE(input_context," ","")&amp;",")))&gt;0)),IF(BM63="",TRUE,IF(input_context="",FALSE,SUMPRODUCT(--ISNUMBER(SEARCH(","&amp;TRIM(TEXTSPLIT(BM63,","))&amp;",",","&amp;SUBSTITUTE(input_context," ","")&amp;",")))=COUNTA(TEXTSPLIT(BM63,",")))),IF(BO63="",TRUE,IF(input_context="",TRUE,SUMPRODUCT(--ISNUMBER(SEARCH(","&amp;TRIM(TEXTSPLIT(BO63,","))&amp;",",","&amp;SUBSTITUTE(input_context," ","")&amp;",")))=0)),IF(BQ63="",TRUE,IF(input_context="",FALSE,SUMPRODUCT(--ISNUMBER(SEARCH(","&amp;TRIM(TEXTSPLIT(BQ63,","))&amp;",",","&amp;SUBSTITUTE(input_context," ","")&amp;",")))&gt;0)),IF(BS63="",TRUE,IF(input_context="",FALSE,SUMPRODUCT(--ISNUMBER(SEARCH(","&amp;TRIM(TEXTSPLIT(BS63,","))&amp;",",","&amp;SUBSTITUTE(input_context," ","")&amp;",")))=COUNTA(TEXTSPLIT(BS63,",")))))</f>
        <v/>
      </c>
      <c r="IZ63">
        <f>AND(IF(BU63="",TRUE,IF(input_enews_announcement_type="",FALSE,SUMPRODUCT(--ISNUMBER(SEARCH(","&amp;TRIM(TEXTSPLIT(BU63,","))&amp;",",","&amp;SUBSTITUTE(input_enews_announcement_type," ","")&amp;",")))&gt;0)),IF(BW63="",TRUE,IF(input_enews_announcement_type="",FALSE,SUMPRODUCT(--ISNUMBER(SEARCH(","&amp;TRIM(TEXTSPLIT(BW63,","))&amp;",",","&amp;SUBSTITUTE(input_enews_announcement_type," ","")&amp;",")))=COUNTA(TEXTSPLIT(BW63,",")))),IF(BY63="",TRUE,IF(input_enews_announcement_type="",TRUE,SUMPRODUCT(--ISNUMBER(SEARCH(","&amp;TRIM(TEXTSPLIT(BY63,","))&amp;",",","&amp;SUBSTITUTE(input_enews_announcement_type," ","")&amp;",")))=0)),IF(CA63="",TRUE,IF(input_enews_announcement_type="",FALSE,SUMPRODUCT(--ISNUMBER(SEARCH(","&amp;TRIM(TEXTSPLIT(CA63,","))&amp;",",","&amp;SUBSTITUTE(input_enews_announcement_type," ","")&amp;",")))&gt;0)),IF(CC63="",TRUE,IF(input_enews_announcement_type="",FALSE,SUMPRODUCT(--ISNUMBER(SEARCH(","&amp;TRIM(TEXTSPLIT(CC63,","))&amp;",",","&amp;SUBSTITUTE(input_enews_announcement_type," ","")&amp;",")))=COUNTA(TEXTSPLIT(CC63,",")))))</f>
        <v/>
      </c>
      <c r="JA63">
        <f>AND(IF(CE63="",TRUE,IF(input_enews_audience="",FALSE,SUMPRODUCT(--ISNUMBER(SEARCH(","&amp;TRIM(TEXTSPLIT(CE63,","))&amp;",",","&amp;SUBSTITUTE(input_enews_audience," ","")&amp;",")))&gt;0)),IF(CG63="",TRUE,IF(input_enews_audience="",FALSE,SUMPRODUCT(--ISNUMBER(SEARCH(","&amp;TRIM(TEXTSPLIT(CG63,","))&amp;",",","&amp;SUBSTITUTE(input_enews_audience," ","")&amp;",")))=COUNTA(TEXTSPLIT(CG63,",")))),IF(CI63="",TRUE,IF(input_enews_audience="",TRUE,SUMPRODUCT(--ISNUMBER(SEARCH(","&amp;TRIM(TEXTSPLIT(CI63,","))&amp;",",","&amp;SUBSTITUTE(input_enews_audience," ","")&amp;",")))=0)),IF(CK63="",TRUE,IF(input_enews_audience="",FALSE,SUMPRODUCT(--ISNUMBER(SEARCH(","&amp;TRIM(TEXTSPLIT(CK63,","))&amp;",",","&amp;SUBSTITUTE(input_enews_audience," ","")&amp;",")))&gt;0)),IF(CM63="",TRUE,IF(input_enews_audience="",FALSE,SUMPRODUCT(--ISNUMBER(SEARCH(","&amp;TRIM(TEXTSPLIT(CM63,","))&amp;",",","&amp;SUBSTITUTE(input_enews_audience," ","")&amp;",")))=COUNTA(TEXTSPLIT(CM63,",")))))</f>
        <v/>
      </c>
      <c r="JB63">
        <f>AND(IF(CO63="",TRUE,IF(input_event_location="",FALSE,SUMPRODUCT(--ISNUMBER(SEARCH(","&amp;TRIM(TEXTSPLIT(CO63,","))&amp;",",","&amp;SUBSTITUTE(input_event_location," ","")&amp;",")))&gt;0)),IF(CQ63="",TRUE,IF(input_event_location="",FALSE,SUMPRODUCT(--ISNUMBER(SEARCH(","&amp;TRIM(TEXTSPLIT(CQ63,","))&amp;",",","&amp;SUBSTITUTE(input_event_location," ","")&amp;",")))=COUNTA(TEXTSPLIT(CQ63,",")))),IF(CS63="",TRUE,IF(input_event_location="",TRUE,SUMPRODUCT(--ISNUMBER(SEARCH(","&amp;TRIM(TEXTSPLIT(CS63,","))&amp;",",","&amp;SUBSTITUTE(input_event_location," ","")&amp;",")))=0)),IF(CU63="",TRUE,IF(input_event_location="",FALSE,SUMPRODUCT(--ISNUMBER(SEARCH(","&amp;TRIM(TEXTSPLIT(CU63,","))&amp;",",","&amp;SUBSTITUTE(input_event_location," ","")&amp;",")))&gt;0)),IF(CW63="",TRUE,IF(input_event_location="",FALSE,SUMPRODUCT(--ISNUMBER(SEARCH(","&amp;TRIM(TEXTSPLIT(CW63,","))&amp;",",","&amp;SUBSTITUTE(input_event_location," ","")&amp;",")))=COUNTA(TEXTSPLIT(CW63,",")))))</f>
        <v/>
      </c>
      <c r="JC63">
        <f>AND(IF(CY63="",TRUE,IF(input_event_type="",FALSE,SUMPRODUCT(--ISNUMBER(SEARCH(","&amp;TRIM(TEXTSPLIT(CY63,","))&amp;",",","&amp;SUBSTITUTE(input_event_type," ","")&amp;",")))&gt;0)),IF(DA63="",TRUE,IF(input_event_type="",FALSE,SUMPRODUCT(--ISNUMBER(SEARCH(","&amp;TRIM(TEXTSPLIT(DA63,","))&amp;",",","&amp;SUBSTITUTE(input_event_type," ","")&amp;",")))=COUNTA(TEXTSPLIT(DA63,",")))),IF(DC63="",TRUE,IF(input_event_type="",TRUE,SUMPRODUCT(--ISNUMBER(SEARCH(","&amp;TRIM(TEXTSPLIT(DC63,","))&amp;",",","&amp;SUBSTITUTE(input_event_type," ","")&amp;",")))=0)),IF(DE63="",TRUE,IF(input_event_type="",FALSE,SUMPRODUCT(--ISNUMBER(SEARCH(","&amp;TRIM(TEXTSPLIT(DE63,","))&amp;",",","&amp;SUBSTITUTE(input_event_type," ","")&amp;",")))&gt;0)),IF(DG63="",TRUE,IF(input_event_type="",FALSE,SUMPRODUCT(--ISNUMBER(SEARCH(","&amp;TRIM(TEXTSPLIT(DG63,","))&amp;",",","&amp;SUBSTITUTE(input_event_type," ","")&amp;",")))=COUNTA(TEXTSPLIT(DG63,",")))))</f>
        <v/>
      </c>
      <c r="JD63">
        <f>AND(IF(DI63="",TRUE,IF(input_executive_education_focus="",FALSE,SUMPRODUCT(--ISNUMBER(SEARCH(","&amp;TRIM(TEXTSPLIT(DI63,","))&amp;",",","&amp;SUBSTITUTE(input_executive_education_focus," ","")&amp;",")))&gt;0)),IF(DK63="",TRUE,IF(input_executive_education_focus="",FALSE,SUMPRODUCT(--ISNUMBER(SEARCH(","&amp;TRIM(TEXTSPLIT(DK63,","))&amp;",",","&amp;SUBSTITUTE(input_executive_education_focus," ","")&amp;",")))=COUNTA(TEXTSPLIT(DK63,",")))),IF(DM63="",TRUE,IF(input_executive_education_focus="",TRUE,SUMPRODUCT(--ISNUMBER(SEARCH(","&amp;TRIM(TEXTSPLIT(DM63,","))&amp;",",","&amp;SUBSTITUTE(input_executive_education_focus," ","")&amp;",")))=0)),IF(DO63="",TRUE,IF(input_executive_education_focus="",FALSE,SUMPRODUCT(--ISNUMBER(SEARCH(","&amp;TRIM(TEXTSPLIT(DO63,","))&amp;",",","&amp;SUBSTITUTE(input_executive_education_focus," ","")&amp;",")))&gt;0)),IF(DQ63="",TRUE,IF(input_executive_education_focus="",FALSE,SUMPRODUCT(--ISNUMBER(SEARCH(","&amp;TRIM(TEXTSPLIT(DQ63,","))&amp;",",","&amp;SUBSTITUTE(input_executive_education_focus," ","")&amp;",")))=COUNTA(TEXTSPLIT(DQ63,",")))))</f>
        <v/>
      </c>
      <c r="JE63">
        <f>AND(IF(DS63="",TRUE,IF(input_faculty_category="",FALSE,SUMPRODUCT(--ISNUMBER(SEARCH(","&amp;TRIM(TEXTSPLIT(DS63,","))&amp;",",","&amp;SUBSTITUTE(input_faculty_category," ","")&amp;",")))&gt;0)),IF(DU63="",TRUE,IF(input_faculty_category="",FALSE,SUMPRODUCT(--ISNUMBER(SEARCH(","&amp;TRIM(TEXTSPLIT(DU63,","))&amp;",",","&amp;SUBSTITUTE(input_faculty_category," ","")&amp;",")))=COUNTA(TEXTSPLIT(DU63,",")))),IF(DW63="",TRUE,IF(input_faculty_category="",TRUE,SUMPRODUCT(--ISNUMBER(SEARCH(","&amp;TRIM(TEXTSPLIT(DW63,","))&amp;",",","&amp;SUBSTITUTE(input_faculty_category," ","")&amp;",")))=0)),IF(DY63="",TRUE,IF(input_faculty_category="",FALSE,SUMPRODUCT(--ISNUMBER(SEARCH(","&amp;TRIM(TEXTSPLIT(DY63,","))&amp;",",","&amp;SUBSTITUTE(input_faculty_category," ","")&amp;",")))&gt;0)),IF(EA63="",TRUE,IF(input_faculty_category="",FALSE,SUMPRODUCT(--ISNUMBER(SEARCH(","&amp;TRIM(TEXTSPLIT(EA63,","))&amp;",",","&amp;SUBSTITUTE(input_faculty_category," ","")&amp;",")))=COUNTA(TEXTSPLIT(EA63,",")))))</f>
        <v/>
      </c>
      <c r="JF63">
        <f>AND(IF(EC63="",TRUE,IF(input_faculty_discipline="",FALSE,SUMPRODUCT(--ISNUMBER(SEARCH(","&amp;TRIM(TEXTSPLIT(EC63,","))&amp;",",","&amp;SUBSTITUTE(input_faculty_discipline," ","")&amp;",")))&gt;0)),IF(EE63="",TRUE,IF(input_faculty_discipline="",FALSE,SUMPRODUCT(--ISNUMBER(SEARCH(","&amp;TRIM(TEXTSPLIT(EE63,","))&amp;",",","&amp;SUBSTITUTE(input_faculty_discipline," ","")&amp;",")))=COUNTA(TEXTSPLIT(EE63,",")))),IF(EG63="",TRUE,IF(input_faculty_discipline="",TRUE,SUMPRODUCT(--ISNUMBER(SEARCH(","&amp;TRIM(TEXTSPLIT(EG63,","))&amp;",",","&amp;SUBSTITUTE(input_faculty_discipline," ","")&amp;",")))=0)),IF(EI63="",TRUE,IF(input_faculty_discipline="",FALSE,SUMPRODUCT(--ISNUMBER(SEARCH(","&amp;TRIM(TEXTSPLIT(EI63,","))&amp;",",","&amp;SUBSTITUTE(input_faculty_discipline," ","")&amp;",")))&gt;0)),IF(EK63="",TRUE,IF(input_faculty_discipline="",FALSE,SUMPRODUCT(--ISNUMBER(SEARCH(","&amp;TRIM(TEXTSPLIT(EK63,","))&amp;",",","&amp;SUBSTITUTE(input_faculty_discipline," ","")&amp;",")))=COUNTA(TEXTSPLIT(EK63,",")))))</f>
        <v/>
      </c>
      <c r="JG63">
        <f>AND(IF(EM63="",TRUE,IF(input_faculty_expertise="",FALSE,SUMPRODUCT(--ISNUMBER(SEARCH(","&amp;TRIM(TEXTSPLIT(EM63,","))&amp;",",","&amp;SUBSTITUTE(input_faculty_expertise," ","")&amp;",")))&gt;0)),IF(EO63="",TRUE,IF(input_faculty_expertise="",FALSE,SUMPRODUCT(--ISNUMBER(SEARCH(","&amp;TRIM(TEXTSPLIT(EO63,","))&amp;",",","&amp;SUBSTITUTE(input_faculty_expertise," ","")&amp;",")))=COUNTA(TEXTSPLIT(EO63,",")))),IF(EQ63="",TRUE,IF(input_faculty_expertise="",TRUE,SUMPRODUCT(--ISNUMBER(SEARCH(","&amp;TRIM(TEXTSPLIT(EQ63,","))&amp;",",","&amp;SUBSTITUTE(input_faculty_expertise," ","")&amp;",")))=0)),IF(ES63="",TRUE,IF(input_faculty_expertise="",FALSE,SUMPRODUCT(--ISNUMBER(SEARCH(","&amp;TRIM(TEXTSPLIT(ES63,","))&amp;",",","&amp;SUBSTITUTE(input_faculty_expertise," ","")&amp;",")))&gt;0)),IF(EU63="",TRUE,IF(input_faculty_expertise="",FALSE,SUMPRODUCT(--ISNUMBER(SEARCH(","&amp;TRIM(TEXTSPLIT(EU63,","))&amp;",",","&amp;SUBSTITUTE(input_faculty_expertise," ","")&amp;",")))=COUNTA(TEXTSPLIT(EU63,",")))))</f>
        <v/>
      </c>
      <c r="JH63">
        <f>AND(IF(EW63="",TRUE,IF(input_global_network_school="",FALSE,SUMPRODUCT(--ISNUMBER(SEARCH(","&amp;TRIM(TEXTSPLIT(EW63,","))&amp;",",","&amp;SUBSTITUTE(input_global_network_school," ","")&amp;",")))&gt;0)),IF(EY63="",TRUE,IF(input_global_network_school="",FALSE,SUMPRODUCT(--ISNUMBER(SEARCH(","&amp;TRIM(TEXTSPLIT(EY63,","))&amp;",",","&amp;SUBSTITUTE(input_global_network_school," ","")&amp;",")))=COUNTA(TEXTSPLIT(EY63,",")))),IF(FA63="",TRUE,IF(input_global_network_school="",TRUE,SUMPRODUCT(--ISNUMBER(SEARCH(","&amp;TRIM(TEXTSPLIT(FA63,","))&amp;",",","&amp;SUBSTITUTE(input_global_network_school," ","")&amp;",")))=0)),IF(FC63="",TRUE,IF(input_global_network_school="",FALSE,SUMPRODUCT(--ISNUMBER(SEARCH(","&amp;TRIM(TEXTSPLIT(FC63,","))&amp;",",","&amp;SUBSTITUTE(input_global_network_school," ","")&amp;",")))&gt;0)),IF(FE63="",TRUE,IF(input_global_network_school="",FALSE,SUMPRODUCT(--ISNUMBER(SEARCH(","&amp;TRIM(TEXTSPLIT(FE63,","))&amp;",",","&amp;SUBSTITUTE(input_global_network_school," ","")&amp;",")))=COUNTA(TEXTSPLIT(FE63,",")))))</f>
        <v/>
      </c>
      <c r="JI63">
        <f>AND(IF(FG63="",TRUE,IF(input_industry="",FALSE,SUMPRODUCT(--ISNUMBER(SEARCH(","&amp;TRIM(TEXTSPLIT(FG63,","))&amp;",",","&amp;SUBSTITUTE(input_industry," ","")&amp;",")))&gt;0)),IF(FI63="",TRUE,IF(input_industry="",FALSE,SUMPRODUCT(--ISNUMBER(SEARCH(","&amp;TRIM(TEXTSPLIT(FI63,","))&amp;",",","&amp;SUBSTITUTE(input_industry," ","")&amp;",")))=COUNTA(TEXTSPLIT(FI63,",")))),IF(FK63="",TRUE,IF(input_industry="",TRUE,SUMPRODUCT(--ISNUMBER(SEARCH(","&amp;TRIM(TEXTSPLIT(FK63,","))&amp;",",","&amp;SUBSTITUTE(input_industry," ","")&amp;",")))=0)),IF(FM63="",TRUE,IF(input_industry="",FALSE,SUMPRODUCT(--ISNUMBER(SEARCH(","&amp;TRIM(TEXTSPLIT(FM63,","))&amp;",",","&amp;SUBSTITUTE(input_industry," ","")&amp;",")))&gt;0)),IF(FO63="",TRUE,IF(input_industry="",FALSE,SUMPRODUCT(--ISNUMBER(SEARCH(","&amp;TRIM(TEXTSPLIT(FO63,","))&amp;",",","&amp;SUBSTITUTE(input_industry," ","")&amp;",")))=COUNTA(TEXTSPLIT(FO63,",")))))</f>
        <v/>
      </c>
      <c r="JJ63">
        <f>AND(IF(FQ63="",TRUE,IF(input_location="",FALSE,SUMPRODUCT(--ISNUMBER(SEARCH(","&amp;TRIM(TEXTSPLIT(FQ63,","))&amp;",",","&amp;SUBSTITUTE(input_location," ","")&amp;",")))&gt;0)),IF(FS63="",TRUE,IF(input_location="",FALSE,SUMPRODUCT(--ISNUMBER(SEARCH(","&amp;TRIM(TEXTSPLIT(FS63,","))&amp;",",","&amp;SUBSTITUTE(input_location," ","")&amp;",")))=COUNTA(TEXTSPLIT(FS63,",")))),IF(FU63="",TRUE,IF(input_location="",TRUE,SUMPRODUCT(--ISNUMBER(SEARCH(","&amp;TRIM(TEXTSPLIT(FU63,","))&amp;",",","&amp;SUBSTITUTE(input_location," ","")&amp;",")))=0)),IF(FW63="",TRUE,IF(input_location="",FALSE,SUMPRODUCT(--ISNUMBER(SEARCH(","&amp;TRIM(TEXTSPLIT(FW63,","))&amp;",",","&amp;SUBSTITUTE(input_location," ","")&amp;",")))&gt;0)),IF(FY63="",TRUE,IF(input_location="",FALSE,SUMPRODUCT(--ISNUMBER(SEARCH(","&amp;TRIM(TEXTSPLIT(FY63,","))&amp;",",","&amp;SUBSTITUTE(input_location," ","")&amp;",")))=COUNTA(TEXTSPLIT(FY63,",")))))</f>
        <v/>
      </c>
      <c r="JK63">
        <f>AND(IF(GA63="",TRUE,IF(input_modality="",FALSE,SUMPRODUCT(--ISNUMBER(SEARCH(","&amp;TRIM(TEXTSPLIT(GA63,","))&amp;",",","&amp;SUBSTITUTE(input_modality," ","")&amp;",")))&gt;0)),IF(GC63="",TRUE,IF(input_modality="",FALSE,SUMPRODUCT(--ISNUMBER(SEARCH(","&amp;TRIM(TEXTSPLIT(GC63,","))&amp;",",","&amp;SUBSTITUTE(input_modality," ","")&amp;",")))=COUNTA(TEXTSPLIT(GC63,",")))),IF(GE63="",TRUE,IF(input_modality="",TRUE,SUMPRODUCT(--ISNUMBER(SEARCH(","&amp;TRIM(TEXTSPLIT(GE63,","))&amp;",",","&amp;SUBSTITUTE(input_modality," ","")&amp;",")))=0)),IF(GG63="",TRUE,IF(input_modality="",FALSE,SUMPRODUCT(--ISNUMBER(SEARCH(","&amp;TRIM(TEXTSPLIT(GG63,","))&amp;",",","&amp;SUBSTITUTE(input_modality," ","")&amp;",")))&gt;0)),IF(GI63="",TRUE,IF(input_modality="",FALSE,SUMPRODUCT(--ISNUMBER(SEARCH(","&amp;TRIM(TEXTSPLIT(GI63,","))&amp;",",","&amp;SUBSTITUTE(input_modality," ","")&amp;",")))=COUNTA(TEXTSPLIT(GI63,",")))))</f>
        <v/>
      </c>
      <c r="JL63">
        <f>AND(IF(GK63="",TRUE,IF(input_organizer="",FALSE,SUMPRODUCT(--ISNUMBER(SEARCH(","&amp;TRIM(TEXTSPLIT(GK63,","))&amp;",",","&amp;SUBSTITUTE(input_organizer," ","")&amp;",")))&gt;0)),IF(GM63="",TRUE,IF(input_organizer="",FALSE,SUMPRODUCT(--ISNUMBER(SEARCH(","&amp;TRIM(TEXTSPLIT(GM63,","))&amp;",",","&amp;SUBSTITUTE(input_organizer," ","")&amp;",")))=COUNTA(TEXTSPLIT(GM63,",")))),IF(GO63="",TRUE,IF(input_organizer="",TRUE,SUMPRODUCT(--ISNUMBER(SEARCH(","&amp;TRIM(TEXTSPLIT(GO63,","))&amp;",",","&amp;SUBSTITUTE(input_organizer," ","")&amp;",")))=0)),IF(GQ63="",TRUE,IF(input_organizer="",FALSE,SUMPRODUCT(--ISNUMBER(SEARCH(","&amp;TRIM(TEXTSPLIT(GQ63,","))&amp;",",","&amp;SUBSTITUTE(input_organizer," ","")&amp;",")))&gt;0)),IF(GS63="",TRUE,IF(input_organizer="",FALSE,SUMPRODUCT(--ISNUMBER(SEARCH(","&amp;TRIM(TEXTSPLIT(GS63,","))&amp;",",","&amp;SUBSTITUTE(input_organizer," ","")&amp;",")))=COUNTA(TEXTSPLIT(GS63,",")))))</f>
        <v/>
      </c>
      <c r="JM63">
        <f>AND(IF(GU63="",TRUE,IF(input_profile_type="",FALSE,SUMPRODUCT(--ISNUMBER(SEARCH(","&amp;TRIM(TEXTSPLIT(GU63,","))&amp;",",","&amp;SUBSTITUTE(input_profile_type," ","")&amp;",")))&gt;0)),IF(GW63="",TRUE,IF(input_profile_type="",FALSE,SUMPRODUCT(--ISNUMBER(SEARCH(","&amp;TRIM(TEXTSPLIT(GW63,","))&amp;",",","&amp;SUBSTITUTE(input_profile_type," ","")&amp;",")))=COUNTA(TEXTSPLIT(GW63,",")))),IF(GY63="",TRUE,IF(input_profile_type="",TRUE,SUMPRODUCT(--ISNUMBER(SEARCH(","&amp;TRIM(TEXTSPLIT(GY63,","))&amp;",",","&amp;SUBSTITUTE(input_profile_type," ","")&amp;",")))=0)),IF(HA63="",TRUE,IF(input_profile_type="",FALSE,SUMPRODUCT(--ISNUMBER(SEARCH(","&amp;TRIM(TEXTSPLIT(HA63,","))&amp;",",","&amp;SUBSTITUTE(input_profile_type," ","")&amp;",")))&gt;0)),IF(HC63="",TRUE,IF(input_profile_type="",FALSE,SUMPRODUCT(--ISNUMBER(SEARCH(","&amp;TRIM(TEXTSPLIT(HC63,","))&amp;",",","&amp;SUBSTITUTE(input_profile_type," ","")&amp;",")))=COUNTA(TEXTSPLIT(HC63,",")))))</f>
        <v/>
      </c>
      <c r="JN63">
        <f>AND(IF(HE63="",TRUE,IF(input_program="",FALSE,SUMPRODUCT(--ISNUMBER(SEARCH(","&amp;TRIM(TEXTSPLIT(HE63,","))&amp;",",","&amp;SUBSTITUTE(input_program," ","")&amp;",")))&gt;0)),IF(HG63="",TRUE,IF(input_program="",FALSE,SUMPRODUCT(--ISNUMBER(SEARCH(","&amp;TRIM(TEXTSPLIT(HG63,","))&amp;",",","&amp;SUBSTITUTE(input_program," ","")&amp;",")))=COUNTA(TEXTSPLIT(HG63,",")))),IF(HI63="",TRUE,IF(input_program="",TRUE,SUMPRODUCT(--ISNUMBER(SEARCH(","&amp;TRIM(TEXTSPLIT(HI63,","))&amp;",",","&amp;SUBSTITUTE(input_program," ","")&amp;",")))=0)),IF(HK63="",TRUE,IF(input_program="",FALSE,SUMPRODUCT(--ISNUMBER(SEARCH(","&amp;TRIM(TEXTSPLIT(HK63,","))&amp;",",","&amp;SUBSTITUTE(input_program," ","")&amp;",")))&gt;0)),IF(HM63="",TRUE,IF(input_program="",FALSE,SUMPRODUCT(--ISNUMBER(SEARCH(","&amp;TRIM(TEXTSPLIT(HM63,","))&amp;",",","&amp;SUBSTITUTE(input_program," ","")&amp;",")))=COUNTA(TEXTSPLIT(HM63,",")))))</f>
        <v/>
      </c>
      <c r="JO63">
        <f>AND(IF(HO63="",TRUE,IF(input_story_categories="",FALSE,SUMPRODUCT(--ISNUMBER(SEARCH(","&amp;TRIM(TEXTSPLIT(HO63,","))&amp;",",","&amp;SUBSTITUTE(input_story_categories," ","")&amp;",")))&gt;0)),IF(HQ63="",TRUE,IF(input_story_categories="",FALSE,SUMPRODUCT(--ISNUMBER(SEARCH(","&amp;TRIM(TEXTSPLIT(HQ63,","))&amp;",",","&amp;SUBSTITUTE(input_story_categories," ","")&amp;",")))=COUNTA(TEXTSPLIT(HQ63,",")))),IF(HS63="",TRUE,IF(input_story_categories="",TRUE,SUMPRODUCT(--ISNUMBER(SEARCH(","&amp;TRIM(TEXTSPLIT(HS63,","))&amp;",",","&amp;SUBSTITUTE(input_story_categories," ","")&amp;",")))=0)),IF(HU63="",TRUE,IF(input_story_categories="",FALSE,SUMPRODUCT(--ISNUMBER(SEARCH(","&amp;TRIM(TEXTSPLIT(HU63,","))&amp;",",","&amp;SUBSTITUTE(input_story_categories," ","")&amp;",")))&gt;0)),IF(HW63="",TRUE,IF(input_story_categories="",FALSE,SUMPRODUCT(--ISNUMBER(SEARCH(","&amp;TRIM(TEXTSPLIT(HW63,","))&amp;",",","&amp;SUBSTITUTE(input_story_categories," ","")&amp;",")))=COUNTA(TEXTSPLIT(HW63,",")))))</f>
        <v/>
      </c>
      <c r="JP63">
        <f>AND(IF(HY63="",TRUE,IF(input_story_type="",FALSE,SUMPRODUCT(--ISNUMBER(SEARCH(","&amp;TRIM(TEXTSPLIT(HY63,","))&amp;",",","&amp;SUBSTITUTE(input_story_type," ","")&amp;",")))&gt;0)),IF(IA63="",TRUE,IF(input_story_type="",FALSE,SUMPRODUCT(--ISNUMBER(SEARCH(","&amp;TRIM(TEXTSPLIT(IA63,","))&amp;",",","&amp;SUBSTITUTE(input_story_type," ","")&amp;",")))=COUNTA(TEXTSPLIT(IA63,",")))),IF(IC63="",TRUE,IF(input_story_type="",TRUE,SUMPRODUCT(--ISNUMBER(SEARCH(","&amp;TRIM(TEXTSPLIT(IC63,","))&amp;",",","&amp;SUBSTITUTE(input_story_type," ","")&amp;",")))=0)),IF(IE63="",TRUE,IF(input_story_type="",FALSE,SUMPRODUCT(--ISNUMBER(SEARCH(","&amp;TRIM(TEXTSPLIT(IE63,","))&amp;",",","&amp;SUBSTITUTE(input_story_type," ","")&amp;",")))&gt;0)),IF(IG63="",TRUE,IF(input_story_type="",FALSE,SUMPRODUCT(--ISNUMBER(SEARCH(","&amp;TRIM(TEXTSPLIT(IG63,","))&amp;",",","&amp;SUBSTITUTE(input_story_type," ","")&amp;",")))=COUNTA(TEXTSPLIT(IG63,",")))))</f>
        <v/>
      </c>
      <c r="JQ63">
        <f>AND(IF(II63="",TRUE,IF(input_topics="",FALSE,SUMPRODUCT(--ISNUMBER(SEARCH(","&amp;TRIM(TEXTSPLIT(II63,","))&amp;",",","&amp;SUBSTITUTE(input_topics," ","")&amp;",")))&gt;0)),IF(IK63="",TRUE,IF(input_topics="",FALSE,SUMPRODUCT(--ISNUMBER(SEARCH(","&amp;TRIM(TEXTSPLIT(IK63,","))&amp;",",","&amp;SUBSTITUTE(input_topics," ","")&amp;",")))=COUNTA(TEXTSPLIT(IK63,",")))),IF(IM63="",TRUE,IF(input_topics="",TRUE,SUMPRODUCT(--ISNUMBER(SEARCH(","&amp;TRIM(TEXTSPLIT(IM63,","))&amp;",",","&amp;SUBSTITUTE(input_topics," ","")&amp;",")))=0)),IF(IO63="",TRUE,IF(input_topics="",FALSE,SUMPRODUCT(--ISNUMBER(SEARCH(","&amp;TRIM(TEXTSPLIT(IO63,","))&amp;",",","&amp;SUBSTITUTE(input_topics," ","")&amp;",")))&gt;0)),IF(IQ63="",TRUE,IF(input_topics="",FALSE,SUMPRODUCT(--ISNUMBER(SEARCH(","&amp;TRIM(TEXTSPLIT(IQ63,","))&amp;",",","&amp;SUBSTITUTE(input_topics," ","")&amp;",")))=COUNTA(TEXTSPLIT(IQ63,",")))))</f>
        <v/>
      </c>
    </row>
    <row r="64">
      <c r="A64" s="4">
        <f>IF(NOT(IS64),"Excluded",IF(AND(IT64,IU64,IV64,IW64,IX64,IY64,IZ64,JA64,JB64,JC64,JD64,JE64,JF64,JG64,JH64,JI64,JJ64,JK64,JL64,JM64,JN64,JO64,JP64,JQ64),IF(I64&gt;0,"Eligible but limited","Will appear"),"Excluded"))</f>
        <v/>
      </c>
      <c r="B64" s="4" t="inlineStr">
        <is>
          <t>All stories</t>
        </is>
      </c>
      <c r="C64" s="4" t="inlineStr">
        <is>
          <t>/centers/swensen-asset-management-institute</t>
        </is>
      </c>
      <c r="D64" s="4" t="inlineStr">
        <is>
          <t>/centers/swensen-asset-management-institute</t>
        </is>
      </c>
      <c r="E64" s="4" t="n">
        <v>1</v>
      </c>
      <c r="F64" s="4" t="inlineStr">
        <is>
          <t>story</t>
        </is>
      </c>
      <c r="G64" s="4" t="inlineStr">
        <is>
          <t>stories_teaser_cards</t>
        </is>
      </c>
      <c r="H64" s="4" t="inlineStr">
        <is>
          <t>embed_all</t>
        </is>
      </c>
      <c r="I64" s="4" t="n">
        <v>3</v>
      </c>
      <c r="J64" s="4" t="inlineStr">
        <is>
          <t>Section inferred</t>
        </is>
      </c>
      <c r="K64" s="4" t="inlineStr">
        <is>
          <t>Page placement</t>
        </is>
      </c>
      <c r="L64" s="4" t="inlineStr">
        <is>
          <t>Content type: story; Context uses Courses Context: Swensen Asset Management Institute (1174); Limited to 3 item(s); Source: Section inferred</t>
        </is>
      </c>
      <c r="M64" t="inlineStr"/>
      <c r="N64" t="inlineStr"/>
      <c r="O64" t="inlineStr"/>
      <c r="P64" t="inlineStr"/>
      <c r="Q64" t="inlineStr"/>
      <c r="R64" t="inlineStr"/>
      <c r="S64" t="inlineStr"/>
      <c r="T64" t="inlineStr"/>
      <c r="U64" t="inlineStr"/>
      <c r="V64" t="inlineStr"/>
      <c r="W64" t="inlineStr"/>
      <c r="X64" t="inlineStr"/>
      <c r="Y64" t="inlineStr"/>
      <c r="Z64" t="inlineStr"/>
      <c r="AA64" t="inlineStr"/>
      <c r="AB64" t="inlineStr"/>
      <c r="AC64" t="inlineStr"/>
      <c r="AD64" t="inlineStr"/>
      <c r="AE64" t="inlineStr"/>
      <c r="AF64" t="inlineStr"/>
      <c r="AG64" t="inlineStr"/>
      <c r="AH64" t="inlineStr"/>
      <c r="AI64" t="inlineStr"/>
      <c r="AJ64" t="inlineStr"/>
      <c r="AK64" t="inlineStr"/>
      <c r="AL64" t="inlineStr"/>
      <c r="AM64" t="inlineStr"/>
      <c r="AN64" t="inlineStr"/>
      <c r="AO64" t="inlineStr"/>
      <c r="AP64" t="inlineStr"/>
      <c r="AQ64" t="inlineStr"/>
      <c r="AR64" t="inlineStr"/>
      <c r="AS64" t="inlineStr"/>
      <c r="AT64" t="inlineStr"/>
      <c r="AU64" t="inlineStr"/>
      <c r="AV64" t="inlineStr"/>
      <c r="AW64" t="inlineStr"/>
      <c r="AX64" t="inlineStr"/>
      <c r="AY64" t="inlineStr"/>
      <c r="AZ64" t="inlineStr"/>
      <c r="BA64" t="inlineStr"/>
      <c r="BB64" t="inlineStr"/>
      <c r="BC64" t="inlineStr"/>
      <c r="BD64" t="inlineStr"/>
      <c r="BE64" t="inlineStr"/>
      <c r="BF64" t="inlineStr"/>
      <c r="BG64" t="inlineStr"/>
      <c r="BH64" t="inlineStr"/>
      <c r="BI64" t="inlineStr"/>
      <c r="BJ64" t="inlineStr"/>
      <c r="BK64" t="inlineStr"/>
      <c r="BL64" t="inlineStr"/>
      <c r="BM64" t="inlineStr"/>
      <c r="BN64" t="inlineStr"/>
      <c r="BO64" t="inlineStr"/>
      <c r="BP64" t="inlineStr"/>
      <c r="BQ64" t="inlineStr">
        <is>
          <t>1174</t>
        </is>
      </c>
      <c r="BR64" t="inlineStr">
        <is>
          <t>Swensen Asset Management Institute (1174)</t>
        </is>
      </c>
      <c r="BS64" t="inlineStr"/>
      <c r="BT64" t="inlineStr"/>
      <c r="BU64" t="inlineStr"/>
      <c r="BV64" t="inlineStr"/>
      <c r="BW64" t="inlineStr"/>
      <c r="BX64" t="inlineStr"/>
      <c r="BY64" t="inlineStr"/>
      <c r="BZ64" t="inlineStr"/>
      <c r="CA64" t="inlineStr"/>
      <c r="CB64" t="inlineStr"/>
      <c r="CC64" t="inlineStr"/>
      <c r="CD64" t="inlineStr"/>
      <c r="CE64" t="inlineStr"/>
      <c r="CF64" t="inlineStr"/>
      <c r="CG64" t="inlineStr"/>
      <c r="CH64" t="inlineStr"/>
      <c r="CI64" t="inlineStr"/>
      <c r="CJ64" t="inlineStr"/>
      <c r="CK64" t="inlineStr"/>
      <c r="CL64" t="inlineStr"/>
      <c r="CM64" t="inlineStr"/>
      <c r="CN64" t="inlineStr"/>
      <c r="CO64" t="inlineStr"/>
      <c r="CP64" t="inlineStr"/>
      <c r="CQ64" t="inlineStr"/>
      <c r="CR64" t="inlineStr"/>
      <c r="CS64" t="inlineStr"/>
      <c r="CT64" t="inlineStr"/>
      <c r="CU64" t="inlineStr"/>
      <c r="CV64" t="inlineStr"/>
      <c r="CW64" t="inlineStr"/>
      <c r="CX64" t="inlineStr"/>
      <c r="CY64" t="inlineStr"/>
      <c r="CZ64" t="inlineStr"/>
      <c r="DA64" t="inlineStr"/>
      <c r="DB64" t="inlineStr"/>
      <c r="DC64" t="inlineStr"/>
      <c r="DD64" t="inlineStr"/>
      <c r="DE64" t="inlineStr"/>
      <c r="DF64" t="inlineStr"/>
      <c r="DG64" t="inlineStr"/>
      <c r="DH64" t="inlineStr"/>
      <c r="DI64" t="inlineStr"/>
      <c r="DJ64" t="inlineStr"/>
      <c r="DK64" t="inlineStr"/>
      <c r="DL64" t="inlineStr"/>
      <c r="DM64" t="inlineStr"/>
      <c r="DN64" t="inlineStr"/>
      <c r="DO64" t="inlineStr"/>
      <c r="DP64" t="inlineStr"/>
      <c r="DQ64" t="inlineStr"/>
      <c r="DR64" t="inlineStr"/>
      <c r="DS64" t="inlineStr"/>
      <c r="DT64" t="inlineStr"/>
      <c r="DU64" t="inlineStr"/>
      <c r="DV64" t="inlineStr"/>
      <c r="DW64" t="inlineStr"/>
      <c r="DX64" t="inlineStr"/>
      <c r="DY64" t="inlineStr"/>
      <c r="DZ64" t="inlineStr"/>
      <c r="EA64" t="inlineStr"/>
      <c r="EB64" t="inlineStr"/>
      <c r="EC64" t="inlineStr"/>
      <c r="ED64" t="inlineStr"/>
      <c r="EE64" t="inlineStr"/>
      <c r="EF64" t="inlineStr"/>
      <c r="EG64" t="inlineStr"/>
      <c r="EH64" t="inlineStr"/>
      <c r="EI64" t="inlineStr"/>
      <c r="EJ64" t="inlineStr"/>
      <c r="EK64" t="inlineStr"/>
      <c r="EL64" t="inlineStr"/>
      <c r="EM64" t="inlineStr"/>
      <c r="EN64" t="inlineStr"/>
      <c r="EO64" t="inlineStr"/>
      <c r="EP64" t="inlineStr"/>
      <c r="EQ64" t="inlineStr"/>
      <c r="ER64" t="inlineStr"/>
      <c r="ES64" t="inlineStr"/>
      <c r="ET64" t="inlineStr"/>
      <c r="EU64" t="inlineStr"/>
      <c r="EV64" t="inlineStr"/>
      <c r="EW64" t="inlineStr"/>
      <c r="EX64" t="inlineStr"/>
      <c r="EY64" t="inlineStr"/>
      <c r="EZ64" t="inlineStr"/>
      <c r="FA64" t="inlineStr"/>
      <c r="FB64" t="inlineStr"/>
      <c r="FC64" t="inlineStr"/>
      <c r="FD64" t="inlineStr"/>
      <c r="FE64" t="inlineStr"/>
      <c r="FF64" t="inlineStr"/>
      <c r="FG64" t="inlineStr"/>
      <c r="FH64" t="inlineStr"/>
      <c r="FI64" t="inlineStr"/>
      <c r="FJ64" t="inlineStr"/>
      <c r="FK64" t="inlineStr"/>
      <c r="FL64" t="inlineStr"/>
      <c r="FM64" t="inlineStr"/>
      <c r="FN64" t="inlineStr"/>
      <c r="FO64" t="inlineStr"/>
      <c r="FP64" t="inlineStr"/>
      <c r="FQ64" t="inlineStr"/>
      <c r="FR64" t="inlineStr"/>
      <c r="FS64" t="inlineStr"/>
      <c r="FT64" t="inlineStr"/>
      <c r="FU64" t="inlineStr"/>
      <c r="FV64" t="inlineStr"/>
      <c r="FW64" t="inlineStr"/>
      <c r="FX64" t="inlineStr"/>
      <c r="FY64" t="inlineStr"/>
      <c r="FZ64" t="inlineStr"/>
      <c r="GA64" t="inlineStr"/>
      <c r="GB64" t="inlineStr"/>
      <c r="GC64" t="inlineStr"/>
      <c r="GD64" t="inlineStr"/>
      <c r="GE64" t="inlineStr"/>
      <c r="GF64" t="inlineStr"/>
      <c r="GG64" t="inlineStr"/>
      <c r="GH64" t="inlineStr"/>
      <c r="GI64" t="inlineStr"/>
      <c r="GJ64" t="inlineStr"/>
      <c r="GK64" t="inlineStr"/>
      <c r="GL64" t="inlineStr"/>
      <c r="GM64" t="inlineStr"/>
      <c r="GN64" t="inlineStr"/>
      <c r="GO64" t="inlineStr"/>
      <c r="GP64" t="inlineStr"/>
      <c r="GQ64" t="inlineStr"/>
      <c r="GR64" t="inlineStr"/>
      <c r="GS64" t="inlineStr"/>
      <c r="GT64" t="inlineStr"/>
      <c r="GU64" t="inlineStr"/>
      <c r="GV64" t="inlineStr"/>
      <c r="GW64" t="inlineStr"/>
      <c r="GX64" t="inlineStr"/>
      <c r="GY64" t="inlineStr"/>
      <c r="GZ64" t="inlineStr"/>
      <c r="HA64" t="inlineStr"/>
      <c r="HB64" t="inlineStr"/>
      <c r="HC64" t="inlineStr"/>
      <c r="HD64" t="inlineStr"/>
      <c r="HE64" t="inlineStr"/>
      <c r="HF64" t="inlineStr"/>
      <c r="HG64" t="inlineStr"/>
      <c r="HH64" t="inlineStr"/>
      <c r="HI64" t="inlineStr"/>
      <c r="HJ64" t="inlineStr"/>
      <c r="HK64" t="inlineStr"/>
      <c r="HL64" t="inlineStr"/>
      <c r="HM64" t="inlineStr"/>
      <c r="HN64" t="inlineStr"/>
      <c r="HO64" t="inlineStr"/>
      <c r="HP64" t="inlineStr"/>
      <c r="HQ64" t="inlineStr"/>
      <c r="HR64" t="inlineStr"/>
      <c r="HS64" t="inlineStr"/>
      <c r="HT64" t="inlineStr"/>
      <c r="HU64" t="inlineStr"/>
      <c r="HV64" t="inlineStr"/>
      <c r="HW64" t="inlineStr"/>
      <c r="HX64" t="inlineStr"/>
      <c r="HY64" t="inlineStr"/>
      <c r="HZ64" t="inlineStr"/>
      <c r="IA64" t="inlineStr"/>
      <c r="IB64" t="inlineStr"/>
      <c r="IC64" t="inlineStr"/>
      <c r="ID64" t="inlineStr"/>
      <c r="IE64" t="inlineStr"/>
      <c r="IF64" t="inlineStr"/>
      <c r="IG64" t="inlineStr"/>
      <c r="IH64" t="inlineStr"/>
      <c r="II64" t="inlineStr"/>
      <c r="IJ64" t="inlineStr"/>
      <c r="IK64" t="inlineStr"/>
      <c r="IL64" t="inlineStr"/>
      <c r="IM64" t="inlineStr"/>
      <c r="IN64" t="inlineStr"/>
      <c r="IO64" t="inlineStr"/>
      <c r="IP64" t="inlineStr"/>
      <c r="IQ64" t="inlineStr"/>
      <c r="IR64" t="inlineStr"/>
      <c r="IS64">
        <f>IF(input_content_type="",FALSE,ISNUMBER(SEARCH(","&amp;LOWER(input_content_type)&amp;",",","&amp;LOWER(F64)&amp;",")))</f>
        <v/>
      </c>
      <c r="IT64">
        <f>AND(IF(M64="",TRUE,IF(input_affiliations="",FALSE,SUMPRODUCT(--ISNUMBER(SEARCH(","&amp;TRIM(TEXTSPLIT(M64,","))&amp;",",","&amp;SUBSTITUTE(input_affiliations," ","")&amp;",")))&gt;0)),IF(O64="",TRUE,IF(input_affiliations="",FALSE,SUMPRODUCT(--ISNUMBER(SEARCH(","&amp;TRIM(TEXTSPLIT(O64,","))&amp;",",","&amp;SUBSTITUTE(input_affiliations," ","")&amp;",")))=COUNTA(TEXTSPLIT(O64,",")))),IF(Q64="",TRUE,IF(input_affiliations="",TRUE,SUMPRODUCT(--ISNUMBER(SEARCH(","&amp;TRIM(TEXTSPLIT(Q64,","))&amp;",",","&amp;SUBSTITUTE(input_affiliations," ","")&amp;",")))=0)),IF(S64="",TRUE,IF(input_affiliations="",FALSE,SUMPRODUCT(--ISNUMBER(SEARCH(","&amp;TRIM(TEXTSPLIT(S64,","))&amp;",",","&amp;SUBSTITUTE(input_affiliations," ","")&amp;",")))&gt;0)),IF(U64="",TRUE,IF(input_affiliations="",FALSE,SUMPRODUCT(--ISNUMBER(SEARCH(","&amp;TRIM(TEXTSPLIT(U64,","))&amp;",",","&amp;SUBSTITUTE(input_affiliations," ","")&amp;",")))=COUNTA(TEXTSPLIT(U64,",")))))</f>
        <v/>
      </c>
      <c r="IU64">
        <f>AND(IF(W64="",TRUE,IF(input_announcement_category="",FALSE,SUMPRODUCT(--ISNUMBER(SEARCH(","&amp;TRIM(TEXTSPLIT(W64,","))&amp;",",","&amp;SUBSTITUTE(input_announcement_category," ","")&amp;",")))&gt;0)),IF(Y64="",TRUE,IF(input_announcement_category="",FALSE,SUMPRODUCT(--ISNUMBER(SEARCH(","&amp;TRIM(TEXTSPLIT(Y64,","))&amp;",",","&amp;SUBSTITUTE(input_announcement_category," ","")&amp;",")))=COUNTA(TEXTSPLIT(Y64,",")))),IF(AA64="",TRUE,IF(input_announcement_category="",TRUE,SUMPRODUCT(--ISNUMBER(SEARCH(","&amp;TRIM(TEXTSPLIT(AA64,","))&amp;",",","&amp;SUBSTITUTE(input_announcement_category," ","")&amp;",")))=0)),IF(AC64="",TRUE,IF(input_announcement_category="",FALSE,SUMPRODUCT(--ISNUMBER(SEARCH(","&amp;TRIM(TEXTSPLIT(AC64,","))&amp;",",","&amp;SUBSTITUTE(input_announcement_category," ","")&amp;",")))&gt;0)),IF(AE64="",TRUE,IF(input_announcement_category="",FALSE,SUMPRODUCT(--ISNUMBER(SEARCH(","&amp;TRIM(TEXTSPLIT(AE64,","))&amp;",",","&amp;SUBSTITUTE(input_announcement_category," ","")&amp;",")))=COUNTA(TEXTSPLIT(AE64,",")))))</f>
        <v/>
      </c>
      <c r="IV64">
        <f>AND(IF(AG64="",TRUE,IF(input_area_of_focus="",FALSE,SUMPRODUCT(--ISNUMBER(SEARCH(","&amp;TRIM(TEXTSPLIT(AG64,","))&amp;",",","&amp;SUBSTITUTE(input_area_of_focus," ","")&amp;",")))&gt;0)),IF(AI64="",TRUE,IF(input_area_of_focus="",FALSE,SUMPRODUCT(--ISNUMBER(SEARCH(","&amp;TRIM(TEXTSPLIT(AI64,","))&amp;",",","&amp;SUBSTITUTE(input_area_of_focus," ","")&amp;",")))=COUNTA(TEXTSPLIT(AI64,",")))),IF(AK64="",TRUE,IF(input_area_of_focus="",TRUE,SUMPRODUCT(--ISNUMBER(SEARCH(","&amp;TRIM(TEXTSPLIT(AK64,","))&amp;",",","&amp;SUBSTITUTE(input_area_of_focus," ","")&amp;",")))=0)),IF(AM64="",TRUE,IF(input_area_of_focus="",FALSE,SUMPRODUCT(--ISNUMBER(SEARCH(","&amp;TRIM(TEXTSPLIT(AM64,","))&amp;",",","&amp;SUBSTITUTE(input_area_of_focus," ","")&amp;",")))&gt;0)),IF(AO64="",TRUE,IF(input_area_of_focus="",FALSE,SUMPRODUCT(--ISNUMBER(SEARCH(","&amp;TRIM(TEXTSPLIT(AO64,","))&amp;",",","&amp;SUBSTITUTE(input_area_of_focus," ","")&amp;",")))=COUNTA(TEXTSPLIT(AO64,",")))))</f>
        <v/>
      </c>
      <c r="IW64">
        <f>AND(IF(AQ64="",TRUE,IF(input_audience="",FALSE,SUMPRODUCT(--ISNUMBER(SEARCH(","&amp;TRIM(TEXTSPLIT(AQ64,","))&amp;",",","&amp;SUBSTITUTE(input_audience," ","")&amp;",")))&gt;0)),IF(AS64="",TRUE,IF(input_audience="",FALSE,SUMPRODUCT(--ISNUMBER(SEARCH(","&amp;TRIM(TEXTSPLIT(AS64,","))&amp;",",","&amp;SUBSTITUTE(input_audience," ","")&amp;",")))=COUNTA(TEXTSPLIT(AS64,",")))),IF(AU64="",TRUE,IF(input_audience="",TRUE,SUMPRODUCT(--ISNUMBER(SEARCH(","&amp;TRIM(TEXTSPLIT(AU64,","))&amp;",",","&amp;SUBSTITUTE(input_audience," ","")&amp;",")))=0)),IF(AW64="",TRUE,IF(input_audience="",FALSE,SUMPRODUCT(--ISNUMBER(SEARCH(","&amp;TRIM(TEXTSPLIT(AW64,","))&amp;",",","&amp;SUBSTITUTE(input_audience," ","")&amp;",")))&gt;0)),IF(AY64="",TRUE,IF(input_audience="",FALSE,SUMPRODUCT(--ISNUMBER(SEARCH(","&amp;TRIM(TEXTSPLIT(AY64,","))&amp;",",","&amp;SUBSTITUTE(input_audience," ","")&amp;",")))=COUNTA(TEXTSPLIT(AY64,",")))))</f>
        <v/>
      </c>
      <c r="IX64">
        <f>AND(IF(BA64="",TRUE,IF(input_challenge_opportunities="",FALSE,SUMPRODUCT(--ISNUMBER(SEARCH(","&amp;TRIM(TEXTSPLIT(BA64,","))&amp;",",","&amp;SUBSTITUTE(input_challenge_opportunities," ","")&amp;",")))&gt;0)),IF(BC64="",TRUE,IF(input_challenge_opportunities="",FALSE,SUMPRODUCT(--ISNUMBER(SEARCH(","&amp;TRIM(TEXTSPLIT(BC64,","))&amp;",",","&amp;SUBSTITUTE(input_challenge_opportunities," ","")&amp;",")))=COUNTA(TEXTSPLIT(BC64,",")))),IF(BE64="",TRUE,IF(input_challenge_opportunities="",TRUE,SUMPRODUCT(--ISNUMBER(SEARCH(","&amp;TRIM(TEXTSPLIT(BE64,","))&amp;",",","&amp;SUBSTITUTE(input_challenge_opportunities," ","")&amp;",")))=0)),IF(BG64="",TRUE,IF(input_challenge_opportunities="",FALSE,SUMPRODUCT(--ISNUMBER(SEARCH(","&amp;TRIM(TEXTSPLIT(BG64,","))&amp;",",","&amp;SUBSTITUTE(input_challenge_opportunities," ","")&amp;",")))&gt;0)),IF(BI64="",TRUE,IF(input_challenge_opportunities="",FALSE,SUMPRODUCT(--ISNUMBER(SEARCH(","&amp;TRIM(TEXTSPLIT(BI64,","))&amp;",",","&amp;SUBSTITUTE(input_challenge_opportunities," ","")&amp;",")))=COUNTA(TEXTSPLIT(BI64,",")))))</f>
        <v/>
      </c>
      <c r="IY64">
        <f>AND(IF(BK64="",TRUE,IF(input_context="",FALSE,SUMPRODUCT(--ISNUMBER(SEARCH(","&amp;TRIM(TEXTSPLIT(BK64,","))&amp;",",","&amp;SUBSTITUTE(input_context," ","")&amp;",")))&gt;0)),IF(BM64="",TRUE,IF(input_context="",FALSE,SUMPRODUCT(--ISNUMBER(SEARCH(","&amp;TRIM(TEXTSPLIT(BM64,","))&amp;",",","&amp;SUBSTITUTE(input_context," ","")&amp;",")))=COUNTA(TEXTSPLIT(BM64,",")))),IF(BO64="",TRUE,IF(input_context="",TRUE,SUMPRODUCT(--ISNUMBER(SEARCH(","&amp;TRIM(TEXTSPLIT(BO64,","))&amp;",",","&amp;SUBSTITUTE(input_context," ","")&amp;",")))=0)),IF(BQ64="",TRUE,IF(input_context="",FALSE,SUMPRODUCT(--ISNUMBER(SEARCH(","&amp;TRIM(TEXTSPLIT(BQ64,","))&amp;",",","&amp;SUBSTITUTE(input_context," ","")&amp;",")))&gt;0)),IF(BS64="",TRUE,IF(input_context="",FALSE,SUMPRODUCT(--ISNUMBER(SEARCH(","&amp;TRIM(TEXTSPLIT(BS64,","))&amp;",",","&amp;SUBSTITUTE(input_context," ","")&amp;",")))=COUNTA(TEXTSPLIT(BS64,",")))))</f>
        <v/>
      </c>
      <c r="IZ64">
        <f>AND(IF(BU64="",TRUE,IF(input_enews_announcement_type="",FALSE,SUMPRODUCT(--ISNUMBER(SEARCH(","&amp;TRIM(TEXTSPLIT(BU64,","))&amp;",",","&amp;SUBSTITUTE(input_enews_announcement_type," ","")&amp;",")))&gt;0)),IF(BW64="",TRUE,IF(input_enews_announcement_type="",FALSE,SUMPRODUCT(--ISNUMBER(SEARCH(","&amp;TRIM(TEXTSPLIT(BW64,","))&amp;",",","&amp;SUBSTITUTE(input_enews_announcement_type," ","")&amp;",")))=COUNTA(TEXTSPLIT(BW64,",")))),IF(BY64="",TRUE,IF(input_enews_announcement_type="",TRUE,SUMPRODUCT(--ISNUMBER(SEARCH(","&amp;TRIM(TEXTSPLIT(BY64,","))&amp;",",","&amp;SUBSTITUTE(input_enews_announcement_type," ","")&amp;",")))=0)),IF(CA64="",TRUE,IF(input_enews_announcement_type="",FALSE,SUMPRODUCT(--ISNUMBER(SEARCH(","&amp;TRIM(TEXTSPLIT(CA64,","))&amp;",",","&amp;SUBSTITUTE(input_enews_announcement_type," ","")&amp;",")))&gt;0)),IF(CC64="",TRUE,IF(input_enews_announcement_type="",FALSE,SUMPRODUCT(--ISNUMBER(SEARCH(","&amp;TRIM(TEXTSPLIT(CC64,","))&amp;",",","&amp;SUBSTITUTE(input_enews_announcement_type," ","")&amp;",")))=COUNTA(TEXTSPLIT(CC64,",")))))</f>
        <v/>
      </c>
      <c r="JA64">
        <f>AND(IF(CE64="",TRUE,IF(input_enews_audience="",FALSE,SUMPRODUCT(--ISNUMBER(SEARCH(","&amp;TRIM(TEXTSPLIT(CE64,","))&amp;",",","&amp;SUBSTITUTE(input_enews_audience," ","")&amp;",")))&gt;0)),IF(CG64="",TRUE,IF(input_enews_audience="",FALSE,SUMPRODUCT(--ISNUMBER(SEARCH(","&amp;TRIM(TEXTSPLIT(CG64,","))&amp;",",","&amp;SUBSTITUTE(input_enews_audience," ","")&amp;",")))=COUNTA(TEXTSPLIT(CG64,",")))),IF(CI64="",TRUE,IF(input_enews_audience="",TRUE,SUMPRODUCT(--ISNUMBER(SEARCH(","&amp;TRIM(TEXTSPLIT(CI64,","))&amp;",",","&amp;SUBSTITUTE(input_enews_audience," ","")&amp;",")))=0)),IF(CK64="",TRUE,IF(input_enews_audience="",FALSE,SUMPRODUCT(--ISNUMBER(SEARCH(","&amp;TRIM(TEXTSPLIT(CK64,","))&amp;",",","&amp;SUBSTITUTE(input_enews_audience," ","")&amp;",")))&gt;0)),IF(CM64="",TRUE,IF(input_enews_audience="",FALSE,SUMPRODUCT(--ISNUMBER(SEARCH(","&amp;TRIM(TEXTSPLIT(CM64,","))&amp;",",","&amp;SUBSTITUTE(input_enews_audience," ","")&amp;",")))=COUNTA(TEXTSPLIT(CM64,",")))))</f>
        <v/>
      </c>
      <c r="JB64">
        <f>AND(IF(CO64="",TRUE,IF(input_event_location="",FALSE,SUMPRODUCT(--ISNUMBER(SEARCH(","&amp;TRIM(TEXTSPLIT(CO64,","))&amp;",",","&amp;SUBSTITUTE(input_event_location," ","")&amp;",")))&gt;0)),IF(CQ64="",TRUE,IF(input_event_location="",FALSE,SUMPRODUCT(--ISNUMBER(SEARCH(","&amp;TRIM(TEXTSPLIT(CQ64,","))&amp;",",","&amp;SUBSTITUTE(input_event_location," ","")&amp;",")))=COUNTA(TEXTSPLIT(CQ64,",")))),IF(CS64="",TRUE,IF(input_event_location="",TRUE,SUMPRODUCT(--ISNUMBER(SEARCH(","&amp;TRIM(TEXTSPLIT(CS64,","))&amp;",",","&amp;SUBSTITUTE(input_event_location," ","")&amp;",")))=0)),IF(CU64="",TRUE,IF(input_event_location="",FALSE,SUMPRODUCT(--ISNUMBER(SEARCH(","&amp;TRIM(TEXTSPLIT(CU64,","))&amp;",",","&amp;SUBSTITUTE(input_event_location," ","")&amp;",")))&gt;0)),IF(CW64="",TRUE,IF(input_event_location="",FALSE,SUMPRODUCT(--ISNUMBER(SEARCH(","&amp;TRIM(TEXTSPLIT(CW64,","))&amp;",",","&amp;SUBSTITUTE(input_event_location," ","")&amp;",")))=COUNTA(TEXTSPLIT(CW64,",")))))</f>
        <v/>
      </c>
      <c r="JC64">
        <f>AND(IF(CY64="",TRUE,IF(input_event_type="",FALSE,SUMPRODUCT(--ISNUMBER(SEARCH(","&amp;TRIM(TEXTSPLIT(CY64,","))&amp;",",","&amp;SUBSTITUTE(input_event_type," ","")&amp;",")))&gt;0)),IF(DA64="",TRUE,IF(input_event_type="",FALSE,SUMPRODUCT(--ISNUMBER(SEARCH(","&amp;TRIM(TEXTSPLIT(DA64,","))&amp;",",","&amp;SUBSTITUTE(input_event_type," ","")&amp;",")))=COUNTA(TEXTSPLIT(DA64,",")))),IF(DC64="",TRUE,IF(input_event_type="",TRUE,SUMPRODUCT(--ISNUMBER(SEARCH(","&amp;TRIM(TEXTSPLIT(DC64,","))&amp;",",","&amp;SUBSTITUTE(input_event_type," ","")&amp;",")))=0)),IF(DE64="",TRUE,IF(input_event_type="",FALSE,SUMPRODUCT(--ISNUMBER(SEARCH(","&amp;TRIM(TEXTSPLIT(DE64,","))&amp;",",","&amp;SUBSTITUTE(input_event_type," ","")&amp;",")))&gt;0)),IF(DG64="",TRUE,IF(input_event_type="",FALSE,SUMPRODUCT(--ISNUMBER(SEARCH(","&amp;TRIM(TEXTSPLIT(DG64,","))&amp;",",","&amp;SUBSTITUTE(input_event_type," ","")&amp;",")))=COUNTA(TEXTSPLIT(DG64,",")))))</f>
        <v/>
      </c>
      <c r="JD64">
        <f>AND(IF(DI64="",TRUE,IF(input_executive_education_focus="",FALSE,SUMPRODUCT(--ISNUMBER(SEARCH(","&amp;TRIM(TEXTSPLIT(DI64,","))&amp;",",","&amp;SUBSTITUTE(input_executive_education_focus," ","")&amp;",")))&gt;0)),IF(DK64="",TRUE,IF(input_executive_education_focus="",FALSE,SUMPRODUCT(--ISNUMBER(SEARCH(","&amp;TRIM(TEXTSPLIT(DK64,","))&amp;",",","&amp;SUBSTITUTE(input_executive_education_focus," ","")&amp;",")))=COUNTA(TEXTSPLIT(DK64,",")))),IF(DM64="",TRUE,IF(input_executive_education_focus="",TRUE,SUMPRODUCT(--ISNUMBER(SEARCH(","&amp;TRIM(TEXTSPLIT(DM64,","))&amp;",",","&amp;SUBSTITUTE(input_executive_education_focus," ","")&amp;",")))=0)),IF(DO64="",TRUE,IF(input_executive_education_focus="",FALSE,SUMPRODUCT(--ISNUMBER(SEARCH(","&amp;TRIM(TEXTSPLIT(DO64,","))&amp;",",","&amp;SUBSTITUTE(input_executive_education_focus," ","")&amp;",")))&gt;0)),IF(DQ64="",TRUE,IF(input_executive_education_focus="",FALSE,SUMPRODUCT(--ISNUMBER(SEARCH(","&amp;TRIM(TEXTSPLIT(DQ64,","))&amp;",",","&amp;SUBSTITUTE(input_executive_education_focus," ","")&amp;",")))=COUNTA(TEXTSPLIT(DQ64,",")))))</f>
        <v/>
      </c>
      <c r="JE64">
        <f>AND(IF(DS64="",TRUE,IF(input_faculty_category="",FALSE,SUMPRODUCT(--ISNUMBER(SEARCH(","&amp;TRIM(TEXTSPLIT(DS64,","))&amp;",",","&amp;SUBSTITUTE(input_faculty_category," ","")&amp;",")))&gt;0)),IF(DU64="",TRUE,IF(input_faculty_category="",FALSE,SUMPRODUCT(--ISNUMBER(SEARCH(","&amp;TRIM(TEXTSPLIT(DU64,","))&amp;",",","&amp;SUBSTITUTE(input_faculty_category," ","")&amp;",")))=COUNTA(TEXTSPLIT(DU64,",")))),IF(DW64="",TRUE,IF(input_faculty_category="",TRUE,SUMPRODUCT(--ISNUMBER(SEARCH(","&amp;TRIM(TEXTSPLIT(DW64,","))&amp;",",","&amp;SUBSTITUTE(input_faculty_category," ","")&amp;",")))=0)),IF(DY64="",TRUE,IF(input_faculty_category="",FALSE,SUMPRODUCT(--ISNUMBER(SEARCH(","&amp;TRIM(TEXTSPLIT(DY64,","))&amp;",",","&amp;SUBSTITUTE(input_faculty_category," ","")&amp;",")))&gt;0)),IF(EA64="",TRUE,IF(input_faculty_category="",FALSE,SUMPRODUCT(--ISNUMBER(SEARCH(","&amp;TRIM(TEXTSPLIT(EA64,","))&amp;",",","&amp;SUBSTITUTE(input_faculty_category," ","")&amp;",")))=COUNTA(TEXTSPLIT(EA64,",")))))</f>
        <v/>
      </c>
      <c r="JF64">
        <f>AND(IF(EC64="",TRUE,IF(input_faculty_discipline="",FALSE,SUMPRODUCT(--ISNUMBER(SEARCH(","&amp;TRIM(TEXTSPLIT(EC64,","))&amp;",",","&amp;SUBSTITUTE(input_faculty_discipline," ","")&amp;",")))&gt;0)),IF(EE64="",TRUE,IF(input_faculty_discipline="",FALSE,SUMPRODUCT(--ISNUMBER(SEARCH(","&amp;TRIM(TEXTSPLIT(EE64,","))&amp;",",","&amp;SUBSTITUTE(input_faculty_discipline," ","")&amp;",")))=COUNTA(TEXTSPLIT(EE64,",")))),IF(EG64="",TRUE,IF(input_faculty_discipline="",TRUE,SUMPRODUCT(--ISNUMBER(SEARCH(","&amp;TRIM(TEXTSPLIT(EG64,","))&amp;",",","&amp;SUBSTITUTE(input_faculty_discipline," ","")&amp;",")))=0)),IF(EI64="",TRUE,IF(input_faculty_discipline="",FALSE,SUMPRODUCT(--ISNUMBER(SEARCH(","&amp;TRIM(TEXTSPLIT(EI64,","))&amp;",",","&amp;SUBSTITUTE(input_faculty_discipline," ","")&amp;",")))&gt;0)),IF(EK64="",TRUE,IF(input_faculty_discipline="",FALSE,SUMPRODUCT(--ISNUMBER(SEARCH(","&amp;TRIM(TEXTSPLIT(EK64,","))&amp;",",","&amp;SUBSTITUTE(input_faculty_discipline," ","")&amp;",")))=COUNTA(TEXTSPLIT(EK64,",")))))</f>
        <v/>
      </c>
      <c r="JG64">
        <f>AND(IF(EM64="",TRUE,IF(input_faculty_expertise="",FALSE,SUMPRODUCT(--ISNUMBER(SEARCH(","&amp;TRIM(TEXTSPLIT(EM64,","))&amp;",",","&amp;SUBSTITUTE(input_faculty_expertise," ","")&amp;",")))&gt;0)),IF(EO64="",TRUE,IF(input_faculty_expertise="",FALSE,SUMPRODUCT(--ISNUMBER(SEARCH(","&amp;TRIM(TEXTSPLIT(EO64,","))&amp;",",","&amp;SUBSTITUTE(input_faculty_expertise," ","")&amp;",")))=COUNTA(TEXTSPLIT(EO64,",")))),IF(EQ64="",TRUE,IF(input_faculty_expertise="",TRUE,SUMPRODUCT(--ISNUMBER(SEARCH(","&amp;TRIM(TEXTSPLIT(EQ64,","))&amp;",",","&amp;SUBSTITUTE(input_faculty_expertise," ","")&amp;",")))=0)),IF(ES64="",TRUE,IF(input_faculty_expertise="",FALSE,SUMPRODUCT(--ISNUMBER(SEARCH(","&amp;TRIM(TEXTSPLIT(ES64,","))&amp;",",","&amp;SUBSTITUTE(input_faculty_expertise," ","")&amp;",")))&gt;0)),IF(EU64="",TRUE,IF(input_faculty_expertise="",FALSE,SUMPRODUCT(--ISNUMBER(SEARCH(","&amp;TRIM(TEXTSPLIT(EU64,","))&amp;",",","&amp;SUBSTITUTE(input_faculty_expertise," ","")&amp;",")))=COUNTA(TEXTSPLIT(EU64,",")))))</f>
        <v/>
      </c>
      <c r="JH64">
        <f>AND(IF(EW64="",TRUE,IF(input_global_network_school="",FALSE,SUMPRODUCT(--ISNUMBER(SEARCH(","&amp;TRIM(TEXTSPLIT(EW64,","))&amp;",",","&amp;SUBSTITUTE(input_global_network_school," ","")&amp;",")))&gt;0)),IF(EY64="",TRUE,IF(input_global_network_school="",FALSE,SUMPRODUCT(--ISNUMBER(SEARCH(","&amp;TRIM(TEXTSPLIT(EY64,","))&amp;",",","&amp;SUBSTITUTE(input_global_network_school," ","")&amp;",")))=COUNTA(TEXTSPLIT(EY64,",")))),IF(FA64="",TRUE,IF(input_global_network_school="",TRUE,SUMPRODUCT(--ISNUMBER(SEARCH(","&amp;TRIM(TEXTSPLIT(FA64,","))&amp;",",","&amp;SUBSTITUTE(input_global_network_school," ","")&amp;",")))=0)),IF(FC64="",TRUE,IF(input_global_network_school="",FALSE,SUMPRODUCT(--ISNUMBER(SEARCH(","&amp;TRIM(TEXTSPLIT(FC64,","))&amp;",",","&amp;SUBSTITUTE(input_global_network_school," ","")&amp;",")))&gt;0)),IF(FE64="",TRUE,IF(input_global_network_school="",FALSE,SUMPRODUCT(--ISNUMBER(SEARCH(","&amp;TRIM(TEXTSPLIT(FE64,","))&amp;",",","&amp;SUBSTITUTE(input_global_network_school," ","")&amp;",")))=COUNTA(TEXTSPLIT(FE64,",")))))</f>
        <v/>
      </c>
      <c r="JI64">
        <f>AND(IF(FG64="",TRUE,IF(input_industry="",FALSE,SUMPRODUCT(--ISNUMBER(SEARCH(","&amp;TRIM(TEXTSPLIT(FG64,","))&amp;",",","&amp;SUBSTITUTE(input_industry," ","")&amp;",")))&gt;0)),IF(FI64="",TRUE,IF(input_industry="",FALSE,SUMPRODUCT(--ISNUMBER(SEARCH(","&amp;TRIM(TEXTSPLIT(FI64,","))&amp;",",","&amp;SUBSTITUTE(input_industry," ","")&amp;",")))=COUNTA(TEXTSPLIT(FI64,",")))),IF(FK64="",TRUE,IF(input_industry="",TRUE,SUMPRODUCT(--ISNUMBER(SEARCH(","&amp;TRIM(TEXTSPLIT(FK64,","))&amp;",",","&amp;SUBSTITUTE(input_industry," ","")&amp;",")))=0)),IF(FM64="",TRUE,IF(input_industry="",FALSE,SUMPRODUCT(--ISNUMBER(SEARCH(","&amp;TRIM(TEXTSPLIT(FM64,","))&amp;",",","&amp;SUBSTITUTE(input_industry," ","")&amp;",")))&gt;0)),IF(FO64="",TRUE,IF(input_industry="",FALSE,SUMPRODUCT(--ISNUMBER(SEARCH(","&amp;TRIM(TEXTSPLIT(FO64,","))&amp;",",","&amp;SUBSTITUTE(input_industry," ","")&amp;",")))=COUNTA(TEXTSPLIT(FO64,",")))))</f>
        <v/>
      </c>
      <c r="JJ64">
        <f>AND(IF(FQ64="",TRUE,IF(input_location="",FALSE,SUMPRODUCT(--ISNUMBER(SEARCH(","&amp;TRIM(TEXTSPLIT(FQ64,","))&amp;",",","&amp;SUBSTITUTE(input_location," ","")&amp;",")))&gt;0)),IF(FS64="",TRUE,IF(input_location="",FALSE,SUMPRODUCT(--ISNUMBER(SEARCH(","&amp;TRIM(TEXTSPLIT(FS64,","))&amp;",",","&amp;SUBSTITUTE(input_location," ","")&amp;",")))=COUNTA(TEXTSPLIT(FS64,",")))),IF(FU64="",TRUE,IF(input_location="",TRUE,SUMPRODUCT(--ISNUMBER(SEARCH(","&amp;TRIM(TEXTSPLIT(FU64,","))&amp;",",","&amp;SUBSTITUTE(input_location," ","")&amp;",")))=0)),IF(FW64="",TRUE,IF(input_location="",FALSE,SUMPRODUCT(--ISNUMBER(SEARCH(","&amp;TRIM(TEXTSPLIT(FW64,","))&amp;",",","&amp;SUBSTITUTE(input_location," ","")&amp;",")))&gt;0)),IF(FY64="",TRUE,IF(input_location="",FALSE,SUMPRODUCT(--ISNUMBER(SEARCH(","&amp;TRIM(TEXTSPLIT(FY64,","))&amp;",",","&amp;SUBSTITUTE(input_location," ","")&amp;",")))=COUNTA(TEXTSPLIT(FY64,",")))))</f>
        <v/>
      </c>
      <c r="JK64">
        <f>AND(IF(GA64="",TRUE,IF(input_modality="",FALSE,SUMPRODUCT(--ISNUMBER(SEARCH(","&amp;TRIM(TEXTSPLIT(GA64,","))&amp;",",","&amp;SUBSTITUTE(input_modality," ","")&amp;",")))&gt;0)),IF(GC64="",TRUE,IF(input_modality="",FALSE,SUMPRODUCT(--ISNUMBER(SEARCH(","&amp;TRIM(TEXTSPLIT(GC64,","))&amp;",",","&amp;SUBSTITUTE(input_modality," ","")&amp;",")))=COUNTA(TEXTSPLIT(GC64,",")))),IF(GE64="",TRUE,IF(input_modality="",TRUE,SUMPRODUCT(--ISNUMBER(SEARCH(","&amp;TRIM(TEXTSPLIT(GE64,","))&amp;",",","&amp;SUBSTITUTE(input_modality," ","")&amp;",")))=0)),IF(GG64="",TRUE,IF(input_modality="",FALSE,SUMPRODUCT(--ISNUMBER(SEARCH(","&amp;TRIM(TEXTSPLIT(GG64,","))&amp;",",","&amp;SUBSTITUTE(input_modality," ","")&amp;",")))&gt;0)),IF(GI64="",TRUE,IF(input_modality="",FALSE,SUMPRODUCT(--ISNUMBER(SEARCH(","&amp;TRIM(TEXTSPLIT(GI64,","))&amp;",",","&amp;SUBSTITUTE(input_modality," ","")&amp;",")))=COUNTA(TEXTSPLIT(GI64,",")))))</f>
        <v/>
      </c>
      <c r="JL64">
        <f>AND(IF(GK64="",TRUE,IF(input_organizer="",FALSE,SUMPRODUCT(--ISNUMBER(SEARCH(","&amp;TRIM(TEXTSPLIT(GK64,","))&amp;",",","&amp;SUBSTITUTE(input_organizer," ","")&amp;",")))&gt;0)),IF(GM64="",TRUE,IF(input_organizer="",FALSE,SUMPRODUCT(--ISNUMBER(SEARCH(","&amp;TRIM(TEXTSPLIT(GM64,","))&amp;",",","&amp;SUBSTITUTE(input_organizer," ","")&amp;",")))=COUNTA(TEXTSPLIT(GM64,",")))),IF(GO64="",TRUE,IF(input_organizer="",TRUE,SUMPRODUCT(--ISNUMBER(SEARCH(","&amp;TRIM(TEXTSPLIT(GO64,","))&amp;",",","&amp;SUBSTITUTE(input_organizer," ","")&amp;",")))=0)),IF(GQ64="",TRUE,IF(input_organizer="",FALSE,SUMPRODUCT(--ISNUMBER(SEARCH(","&amp;TRIM(TEXTSPLIT(GQ64,","))&amp;",",","&amp;SUBSTITUTE(input_organizer," ","")&amp;",")))&gt;0)),IF(GS64="",TRUE,IF(input_organizer="",FALSE,SUMPRODUCT(--ISNUMBER(SEARCH(","&amp;TRIM(TEXTSPLIT(GS64,","))&amp;",",","&amp;SUBSTITUTE(input_organizer," ","")&amp;",")))=COUNTA(TEXTSPLIT(GS64,",")))))</f>
        <v/>
      </c>
      <c r="JM64">
        <f>AND(IF(GU64="",TRUE,IF(input_profile_type="",FALSE,SUMPRODUCT(--ISNUMBER(SEARCH(","&amp;TRIM(TEXTSPLIT(GU64,","))&amp;",",","&amp;SUBSTITUTE(input_profile_type," ","")&amp;",")))&gt;0)),IF(GW64="",TRUE,IF(input_profile_type="",FALSE,SUMPRODUCT(--ISNUMBER(SEARCH(","&amp;TRIM(TEXTSPLIT(GW64,","))&amp;",",","&amp;SUBSTITUTE(input_profile_type," ","")&amp;",")))=COUNTA(TEXTSPLIT(GW64,",")))),IF(GY64="",TRUE,IF(input_profile_type="",TRUE,SUMPRODUCT(--ISNUMBER(SEARCH(","&amp;TRIM(TEXTSPLIT(GY64,","))&amp;",",","&amp;SUBSTITUTE(input_profile_type," ","")&amp;",")))=0)),IF(HA64="",TRUE,IF(input_profile_type="",FALSE,SUMPRODUCT(--ISNUMBER(SEARCH(","&amp;TRIM(TEXTSPLIT(HA64,","))&amp;",",","&amp;SUBSTITUTE(input_profile_type," ","")&amp;",")))&gt;0)),IF(HC64="",TRUE,IF(input_profile_type="",FALSE,SUMPRODUCT(--ISNUMBER(SEARCH(","&amp;TRIM(TEXTSPLIT(HC64,","))&amp;",",","&amp;SUBSTITUTE(input_profile_type," ","")&amp;",")))=COUNTA(TEXTSPLIT(HC64,",")))))</f>
        <v/>
      </c>
      <c r="JN64">
        <f>AND(IF(HE64="",TRUE,IF(input_program="",FALSE,SUMPRODUCT(--ISNUMBER(SEARCH(","&amp;TRIM(TEXTSPLIT(HE64,","))&amp;",",","&amp;SUBSTITUTE(input_program," ","")&amp;",")))&gt;0)),IF(HG64="",TRUE,IF(input_program="",FALSE,SUMPRODUCT(--ISNUMBER(SEARCH(","&amp;TRIM(TEXTSPLIT(HG64,","))&amp;",",","&amp;SUBSTITUTE(input_program," ","")&amp;",")))=COUNTA(TEXTSPLIT(HG64,",")))),IF(HI64="",TRUE,IF(input_program="",TRUE,SUMPRODUCT(--ISNUMBER(SEARCH(","&amp;TRIM(TEXTSPLIT(HI64,","))&amp;",",","&amp;SUBSTITUTE(input_program," ","")&amp;",")))=0)),IF(HK64="",TRUE,IF(input_program="",FALSE,SUMPRODUCT(--ISNUMBER(SEARCH(","&amp;TRIM(TEXTSPLIT(HK64,","))&amp;",",","&amp;SUBSTITUTE(input_program," ","")&amp;",")))&gt;0)),IF(HM64="",TRUE,IF(input_program="",FALSE,SUMPRODUCT(--ISNUMBER(SEARCH(","&amp;TRIM(TEXTSPLIT(HM64,","))&amp;",",","&amp;SUBSTITUTE(input_program," ","")&amp;",")))=COUNTA(TEXTSPLIT(HM64,",")))))</f>
        <v/>
      </c>
      <c r="JO64">
        <f>AND(IF(HO64="",TRUE,IF(input_story_categories="",FALSE,SUMPRODUCT(--ISNUMBER(SEARCH(","&amp;TRIM(TEXTSPLIT(HO64,","))&amp;",",","&amp;SUBSTITUTE(input_story_categories," ","")&amp;",")))&gt;0)),IF(HQ64="",TRUE,IF(input_story_categories="",FALSE,SUMPRODUCT(--ISNUMBER(SEARCH(","&amp;TRIM(TEXTSPLIT(HQ64,","))&amp;",",","&amp;SUBSTITUTE(input_story_categories," ","")&amp;",")))=COUNTA(TEXTSPLIT(HQ64,",")))),IF(HS64="",TRUE,IF(input_story_categories="",TRUE,SUMPRODUCT(--ISNUMBER(SEARCH(","&amp;TRIM(TEXTSPLIT(HS64,","))&amp;",",","&amp;SUBSTITUTE(input_story_categories," ","")&amp;",")))=0)),IF(HU64="",TRUE,IF(input_story_categories="",FALSE,SUMPRODUCT(--ISNUMBER(SEARCH(","&amp;TRIM(TEXTSPLIT(HU64,","))&amp;",",","&amp;SUBSTITUTE(input_story_categories," ","")&amp;",")))&gt;0)),IF(HW64="",TRUE,IF(input_story_categories="",FALSE,SUMPRODUCT(--ISNUMBER(SEARCH(","&amp;TRIM(TEXTSPLIT(HW64,","))&amp;",",","&amp;SUBSTITUTE(input_story_categories," ","")&amp;",")))=COUNTA(TEXTSPLIT(HW64,",")))))</f>
        <v/>
      </c>
      <c r="JP64">
        <f>AND(IF(HY64="",TRUE,IF(input_story_type="",FALSE,SUMPRODUCT(--ISNUMBER(SEARCH(","&amp;TRIM(TEXTSPLIT(HY64,","))&amp;",",","&amp;SUBSTITUTE(input_story_type," ","")&amp;",")))&gt;0)),IF(IA64="",TRUE,IF(input_story_type="",FALSE,SUMPRODUCT(--ISNUMBER(SEARCH(","&amp;TRIM(TEXTSPLIT(IA64,","))&amp;",",","&amp;SUBSTITUTE(input_story_type," ","")&amp;",")))=COUNTA(TEXTSPLIT(IA64,",")))),IF(IC64="",TRUE,IF(input_story_type="",TRUE,SUMPRODUCT(--ISNUMBER(SEARCH(","&amp;TRIM(TEXTSPLIT(IC64,","))&amp;",",","&amp;SUBSTITUTE(input_story_type," ","")&amp;",")))=0)),IF(IE64="",TRUE,IF(input_story_type="",FALSE,SUMPRODUCT(--ISNUMBER(SEARCH(","&amp;TRIM(TEXTSPLIT(IE64,","))&amp;",",","&amp;SUBSTITUTE(input_story_type," ","")&amp;",")))&gt;0)),IF(IG64="",TRUE,IF(input_story_type="",FALSE,SUMPRODUCT(--ISNUMBER(SEARCH(","&amp;TRIM(TEXTSPLIT(IG64,","))&amp;",",","&amp;SUBSTITUTE(input_story_type," ","")&amp;",")))=COUNTA(TEXTSPLIT(IG64,",")))))</f>
        <v/>
      </c>
      <c r="JQ64">
        <f>AND(IF(II64="",TRUE,IF(input_topics="",FALSE,SUMPRODUCT(--ISNUMBER(SEARCH(","&amp;TRIM(TEXTSPLIT(II64,","))&amp;",",","&amp;SUBSTITUTE(input_topics," ","")&amp;",")))&gt;0)),IF(IK64="",TRUE,IF(input_topics="",FALSE,SUMPRODUCT(--ISNUMBER(SEARCH(","&amp;TRIM(TEXTSPLIT(IK64,","))&amp;",",","&amp;SUBSTITUTE(input_topics," ","")&amp;",")))=COUNTA(TEXTSPLIT(IK64,",")))),IF(IM64="",TRUE,IF(input_topics="",TRUE,SUMPRODUCT(--ISNUMBER(SEARCH(","&amp;TRIM(TEXTSPLIT(IM64,","))&amp;",",","&amp;SUBSTITUTE(input_topics," ","")&amp;",")))=0)),IF(IO64="",TRUE,IF(input_topics="",FALSE,SUMPRODUCT(--ISNUMBER(SEARCH(","&amp;TRIM(TEXTSPLIT(IO64,","))&amp;",",","&amp;SUBSTITUTE(input_topics," ","")&amp;",")))&gt;0)),IF(IQ64="",TRUE,IF(input_topics="",FALSE,SUMPRODUCT(--ISNUMBER(SEARCH(","&amp;TRIM(TEXTSPLIT(IQ64,","))&amp;",",","&amp;SUBSTITUTE(input_topics," ","")&amp;",")))=COUNTA(TEXTSPLIT(IQ64,",")))))</f>
        <v/>
      </c>
    </row>
    <row r="65">
      <c r="A65" s="4">
        <f>IF(NOT(IS65),"Excluded",IF(AND(IT65,IU65,IV65,IW65,IX65,IY65,IZ65,JA65,JB65,JC65,JD65,JE65,JF65,JG65,JH65,JI65,JJ65,JK65,JL65,JM65,JN65,JO65,JP65,JQ65),IF(I65&gt;0,"Eligible but limited","Will appear"),"Excluded"))</f>
        <v/>
      </c>
      <c r="B65" s="4" t="inlineStr">
        <is>
          <t>All stories</t>
        </is>
      </c>
      <c r="C65" s="4" t="inlineStr">
        <is>
          <t>/centers/the-broad-center</t>
        </is>
      </c>
      <c r="D65" s="4" t="inlineStr">
        <is>
          <t>/centers/the-broad-center</t>
        </is>
      </c>
      <c r="E65" s="4" t="n">
        <v>1</v>
      </c>
      <c r="F65" s="4" t="inlineStr">
        <is>
          <t>story</t>
        </is>
      </c>
      <c r="G65" s="4" t="inlineStr">
        <is>
          <t>stories_grid_with_images</t>
        </is>
      </c>
      <c r="H65" s="4" t="inlineStr">
        <is>
          <t>embed_1</t>
        </is>
      </c>
      <c r="I65" s="4" t="n">
        <v>3</v>
      </c>
      <c r="J65" s="4" t="inlineStr">
        <is>
          <t>Section inferred</t>
        </is>
      </c>
      <c r="K65" s="4" t="inlineStr">
        <is>
          <t>Page placement</t>
        </is>
      </c>
      <c r="L65" s="4" t="inlineStr">
        <is>
          <t>Content type: story; Context uses Courses Context: The Broad Center (926); Limited to 3 item(s); Source: Section inferred</t>
        </is>
      </c>
      <c r="M65" t="inlineStr"/>
      <c r="N65" t="inlineStr"/>
      <c r="O65" t="inlineStr"/>
      <c r="P65" t="inlineStr"/>
      <c r="Q65" t="inlineStr"/>
      <c r="R65" t="inlineStr"/>
      <c r="S65" t="inlineStr"/>
      <c r="T65" t="inlineStr"/>
      <c r="U65" t="inlineStr"/>
      <c r="V65" t="inlineStr"/>
      <c r="W65" t="inlineStr"/>
      <c r="X65" t="inlineStr"/>
      <c r="Y65" t="inlineStr"/>
      <c r="Z65" t="inlineStr"/>
      <c r="AA65" t="inlineStr"/>
      <c r="AB65" t="inlineStr"/>
      <c r="AC65" t="inlineStr"/>
      <c r="AD65" t="inlineStr"/>
      <c r="AE65" t="inlineStr"/>
      <c r="AF65" t="inlineStr"/>
      <c r="AG65" t="inlineStr"/>
      <c r="AH65" t="inlineStr"/>
      <c r="AI65" t="inlineStr"/>
      <c r="AJ65" t="inlineStr"/>
      <c r="AK65" t="inlineStr"/>
      <c r="AL65" t="inlineStr"/>
      <c r="AM65" t="inlineStr"/>
      <c r="AN65" t="inlineStr"/>
      <c r="AO65" t="inlineStr"/>
      <c r="AP65" t="inlineStr"/>
      <c r="AQ65" t="inlineStr"/>
      <c r="AR65" t="inlineStr"/>
      <c r="AS65" t="inlineStr"/>
      <c r="AT65" t="inlineStr"/>
      <c r="AU65" t="inlineStr"/>
      <c r="AV65" t="inlineStr"/>
      <c r="AW65" t="inlineStr"/>
      <c r="AX65" t="inlineStr"/>
      <c r="AY65" t="inlineStr"/>
      <c r="AZ65" t="inlineStr"/>
      <c r="BA65" t="inlineStr"/>
      <c r="BB65" t="inlineStr"/>
      <c r="BC65" t="inlineStr"/>
      <c r="BD65" t="inlineStr"/>
      <c r="BE65" t="inlineStr"/>
      <c r="BF65" t="inlineStr"/>
      <c r="BG65" t="inlineStr"/>
      <c r="BH65" t="inlineStr"/>
      <c r="BI65" t="inlineStr"/>
      <c r="BJ65" t="inlineStr"/>
      <c r="BK65" t="inlineStr"/>
      <c r="BL65" t="inlineStr"/>
      <c r="BM65" t="inlineStr"/>
      <c r="BN65" t="inlineStr"/>
      <c r="BO65" t="inlineStr"/>
      <c r="BP65" t="inlineStr"/>
      <c r="BQ65" t="inlineStr">
        <is>
          <t>926</t>
        </is>
      </c>
      <c r="BR65" t="inlineStr">
        <is>
          <t>The Broad Center (926)</t>
        </is>
      </c>
      <c r="BS65" t="inlineStr"/>
      <c r="BT65" t="inlineStr"/>
      <c r="BU65" t="inlineStr"/>
      <c r="BV65" t="inlineStr"/>
      <c r="BW65" t="inlineStr"/>
      <c r="BX65" t="inlineStr"/>
      <c r="BY65" t="inlineStr"/>
      <c r="BZ65" t="inlineStr"/>
      <c r="CA65" t="inlineStr"/>
      <c r="CB65" t="inlineStr"/>
      <c r="CC65" t="inlineStr"/>
      <c r="CD65" t="inlineStr"/>
      <c r="CE65" t="inlineStr"/>
      <c r="CF65" t="inlineStr"/>
      <c r="CG65" t="inlineStr"/>
      <c r="CH65" t="inlineStr"/>
      <c r="CI65" t="inlineStr"/>
      <c r="CJ65" t="inlineStr"/>
      <c r="CK65" t="inlineStr"/>
      <c r="CL65" t="inlineStr"/>
      <c r="CM65" t="inlineStr"/>
      <c r="CN65" t="inlineStr"/>
      <c r="CO65" t="inlineStr"/>
      <c r="CP65" t="inlineStr"/>
      <c r="CQ65" t="inlineStr"/>
      <c r="CR65" t="inlineStr"/>
      <c r="CS65" t="inlineStr"/>
      <c r="CT65" t="inlineStr"/>
      <c r="CU65" t="inlineStr"/>
      <c r="CV65" t="inlineStr"/>
      <c r="CW65" t="inlineStr"/>
      <c r="CX65" t="inlineStr"/>
      <c r="CY65" t="inlineStr"/>
      <c r="CZ65" t="inlineStr"/>
      <c r="DA65" t="inlineStr"/>
      <c r="DB65" t="inlineStr"/>
      <c r="DC65" t="inlineStr"/>
      <c r="DD65" t="inlineStr"/>
      <c r="DE65" t="inlineStr"/>
      <c r="DF65" t="inlineStr"/>
      <c r="DG65" t="inlineStr"/>
      <c r="DH65" t="inlineStr"/>
      <c r="DI65" t="inlineStr"/>
      <c r="DJ65" t="inlineStr"/>
      <c r="DK65" t="inlineStr"/>
      <c r="DL65" t="inlineStr"/>
      <c r="DM65" t="inlineStr"/>
      <c r="DN65" t="inlineStr"/>
      <c r="DO65" t="inlineStr"/>
      <c r="DP65" t="inlineStr"/>
      <c r="DQ65" t="inlineStr"/>
      <c r="DR65" t="inlineStr"/>
      <c r="DS65" t="inlineStr"/>
      <c r="DT65" t="inlineStr"/>
      <c r="DU65" t="inlineStr"/>
      <c r="DV65" t="inlineStr"/>
      <c r="DW65" t="inlineStr"/>
      <c r="DX65" t="inlineStr"/>
      <c r="DY65" t="inlineStr"/>
      <c r="DZ65" t="inlineStr"/>
      <c r="EA65" t="inlineStr"/>
      <c r="EB65" t="inlineStr"/>
      <c r="EC65" t="inlineStr"/>
      <c r="ED65" t="inlineStr"/>
      <c r="EE65" t="inlineStr"/>
      <c r="EF65" t="inlineStr"/>
      <c r="EG65" t="inlineStr"/>
      <c r="EH65" t="inlineStr"/>
      <c r="EI65" t="inlineStr"/>
      <c r="EJ65" t="inlineStr"/>
      <c r="EK65" t="inlineStr"/>
      <c r="EL65" t="inlineStr"/>
      <c r="EM65" t="inlineStr"/>
      <c r="EN65" t="inlineStr"/>
      <c r="EO65" t="inlineStr"/>
      <c r="EP65" t="inlineStr"/>
      <c r="EQ65" t="inlineStr"/>
      <c r="ER65" t="inlineStr"/>
      <c r="ES65" t="inlineStr"/>
      <c r="ET65" t="inlineStr"/>
      <c r="EU65" t="inlineStr"/>
      <c r="EV65" t="inlineStr"/>
      <c r="EW65" t="inlineStr"/>
      <c r="EX65" t="inlineStr"/>
      <c r="EY65" t="inlineStr"/>
      <c r="EZ65" t="inlineStr"/>
      <c r="FA65" t="inlineStr"/>
      <c r="FB65" t="inlineStr"/>
      <c r="FC65" t="inlineStr"/>
      <c r="FD65" t="inlineStr"/>
      <c r="FE65" t="inlineStr"/>
      <c r="FF65" t="inlineStr"/>
      <c r="FG65" t="inlineStr"/>
      <c r="FH65" t="inlineStr"/>
      <c r="FI65" t="inlineStr"/>
      <c r="FJ65" t="inlineStr"/>
      <c r="FK65" t="inlineStr"/>
      <c r="FL65" t="inlineStr"/>
      <c r="FM65" t="inlineStr"/>
      <c r="FN65" t="inlineStr"/>
      <c r="FO65" t="inlineStr"/>
      <c r="FP65" t="inlineStr"/>
      <c r="FQ65" t="inlineStr"/>
      <c r="FR65" t="inlineStr"/>
      <c r="FS65" t="inlineStr"/>
      <c r="FT65" t="inlineStr"/>
      <c r="FU65" t="inlineStr"/>
      <c r="FV65" t="inlineStr"/>
      <c r="FW65" t="inlineStr"/>
      <c r="FX65" t="inlineStr"/>
      <c r="FY65" t="inlineStr"/>
      <c r="FZ65" t="inlineStr"/>
      <c r="GA65" t="inlineStr"/>
      <c r="GB65" t="inlineStr"/>
      <c r="GC65" t="inlineStr"/>
      <c r="GD65" t="inlineStr"/>
      <c r="GE65" t="inlineStr"/>
      <c r="GF65" t="inlineStr"/>
      <c r="GG65" t="inlineStr"/>
      <c r="GH65" t="inlineStr"/>
      <c r="GI65" t="inlineStr"/>
      <c r="GJ65" t="inlineStr"/>
      <c r="GK65" t="inlineStr"/>
      <c r="GL65" t="inlineStr"/>
      <c r="GM65" t="inlineStr"/>
      <c r="GN65" t="inlineStr"/>
      <c r="GO65" t="inlineStr"/>
      <c r="GP65" t="inlineStr"/>
      <c r="GQ65" t="inlineStr"/>
      <c r="GR65" t="inlineStr"/>
      <c r="GS65" t="inlineStr"/>
      <c r="GT65" t="inlineStr"/>
      <c r="GU65" t="inlineStr"/>
      <c r="GV65" t="inlineStr"/>
      <c r="GW65" t="inlineStr"/>
      <c r="GX65" t="inlineStr"/>
      <c r="GY65" t="inlineStr"/>
      <c r="GZ65" t="inlineStr"/>
      <c r="HA65" t="inlineStr"/>
      <c r="HB65" t="inlineStr"/>
      <c r="HC65" t="inlineStr"/>
      <c r="HD65" t="inlineStr"/>
      <c r="HE65" t="inlineStr"/>
      <c r="HF65" t="inlineStr"/>
      <c r="HG65" t="inlineStr"/>
      <c r="HH65" t="inlineStr"/>
      <c r="HI65" t="inlineStr"/>
      <c r="HJ65" t="inlineStr"/>
      <c r="HK65" t="inlineStr"/>
      <c r="HL65" t="inlineStr"/>
      <c r="HM65" t="inlineStr"/>
      <c r="HN65" t="inlineStr"/>
      <c r="HO65" t="inlineStr"/>
      <c r="HP65" t="inlineStr"/>
      <c r="HQ65" t="inlineStr"/>
      <c r="HR65" t="inlineStr"/>
      <c r="HS65" t="inlineStr"/>
      <c r="HT65" t="inlineStr"/>
      <c r="HU65" t="inlineStr"/>
      <c r="HV65" t="inlineStr"/>
      <c r="HW65" t="inlineStr"/>
      <c r="HX65" t="inlineStr"/>
      <c r="HY65" t="inlineStr"/>
      <c r="HZ65" t="inlineStr"/>
      <c r="IA65" t="inlineStr"/>
      <c r="IB65" t="inlineStr"/>
      <c r="IC65" t="inlineStr"/>
      <c r="ID65" t="inlineStr"/>
      <c r="IE65" t="inlineStr"/>
      <c r="IF65" t="inlineStr"/>
      <c r="IG65" t="inlineStr"/>
      <c r="IH65" t="inlineStr"/>
      <c r="II65" t="inlineStr"/>
      <c r="IJ65" t="inlineStr"/>
      <c r="IK65" t="inlineStr"/>
      <c r="IL65" t="inlineStr"/>
      <c r="IM65" t="inlineStr"/>
      <c r="IN65" t="inlineStr"/>
      <c r="IO65" t="inlineStr"/>
      <c r="IP65" t="inlineStr"/>
      <c r="IQ65" t="inlineStr"/>
      <c r="IR65" t="inlineStr"/>
      <c r="IS65">
        <f>IF(input_content_type="",FALSE,ISNUMBER(SEARCH(","&amp;LOWER(input_content_type)&amp;",",","&amp;LOWER(F65)&amp;",")))</f>
        <v/>
      </c>
      <c r="IT65">
        <f>AND(IF(M65="",TRUE,IF(input_affiliations="",FALSE,SUMPRODUCT(--ISNUMBER(SEARCH(","&amp;TRIM(TEXTSPLIT(M65,","))&amp;",",","&amp;SUBSTITUTE(input_affiliations," ","")&amp;",")))&gt;0)),IF(O65="",TRUE,IF(input_affiliations="",FALSE,SUMPRODUCT(--ISNUMBER(SEARCH(","&amp;TRIM(TEXTSPLIT(O65,","))&amp;",",","&amp;SUBSTITUTE(input_affiliations," ","")&amp;",")))=COUNTA(TEXTSPLIT(O65,",")))),IF(Q65="",TRUE,IF(input_affiliations="",TRUE,SUMPRODUCT(--ISNUMBER(SEARCH(","&amp;TRIM(TEXTSPLIT(Q65,","))&amp;",",","&amp;SUBSTITUTE(input_affiliations," ","")&amp;",")))=0)),IF(S65="",TRUE,IF(input_affiliations="",FALSE,SUMPRODUCT(--ISNUMBER(SEARCH(","&amp;TRIM(TEXTSPLIT(S65,","))&amp;",",","&amp;SUBSTITUTE(input_affiliations," ","")&amp;",")))&gt;0)),IF(U65="",TRUE,IF(input_affiliations="",FALSE,SUMPRODUCT(--ISNUMBER(SEARCH(","&amp;TRIM(TEXTSPLIT(U65,","))&amp;",",","&amp;SUBSTITUTE(input_affiliations," ","")&amp;",")))=COUNTA(TEXTSPLIT(U65,",")))))</f>
        <v/>
      </c>
      <c r="IU65">
        <f>AND(IF(W65="",TRUE,IF(input_announcement_category="",FALSE,SUMPRODUCT(--ISNUMBER(SEARCH(","&amp;TRIM(TEXTSPLIT(W65,","))&amp;",",","&amp;SUBSTITUTE(input_announcement_category," ","")&amp;",")))&gt;0)),IF(Y65="",TRUE,IF(input_announcement_category="",FALSE,SUMPRODUCT(--ISNUMBER(SEARCH(","&amp;TRIM(TEXTSPLIT(Y65,","))&amp;",",","&amp;SUBSTITUTE(input_announcement_category," ","")&amp;",")))=COUNTA(TEXTSPLIT(Y65,",")))),IF(AA65="",TRUE,IF(input_announcement_category="",TRUE,SUMPRODUCT(--ISNUMBER(SEARCH(","&amp;TRIM(TEXTSPLIT(AA65,","))&amp;",",","&amp;SUBSTITUTE(input_announcement_category," ","")&amp;",")))=0)),IF(AC65="",TRUE,IF(input_announcement_category="",FALSE,SUMPRODUCT(--ISNUMBER(SEARCH(","&amp;TRIM(TEXTSPLIT(AC65,","))&amp;",",","&amp;SUBSTITUTE(input_announcement_category," ","")&amp;",")))&gt;0)),IF(AE65="",TRUE,IF(input_announcement_category="",FALSE,SUMPRODUCT(--ISNUMBER(SEARCH(","&amp;TRIM(TEXTSPLIT(AE65,","))&amp;",",","&amp;SUBSTITUTE(input_announcement_category," ","")&amp;",")))=COUNTA(TEXTSPLIT(AE65,",")))))</f>
        <v/>
      </c>
      <c r="IV65">
        <f>AND(IF(AG65="",TRUE,IF(input_area_of_focus="",FALSE,SUMPRODUCT(--ISNUMBER(SEARCH(","&amp;TRIM(TEXTSPLIT(AG65,","))&amp;",",","&amp;SUBSTITUTE(input_area_of_focus," ","")&amp;",")))&gt;0)),IF(AI65="",TRUE,IF(input_area_of_focus="",FALSE,SUMPRODUCT(--ISNUMBER(SEARCH(","&amp;TRIM(TEXTSPLIT(AI65,","))&amp;",",","&amp;SUBSTITUTE(input_area_of_focus," ","")&amp;",")))=COUNTA(TEXTSPLIT(AI65,",")))),IF(AK65="",TRUE,IF(input_area_of_focus="",TRUE,SUMPRODUCT(--ISNUMBER(SEARCH(","&amp;TRIM(TEXTSPLIT(AK65,","))&amp;",",","&amp;SUBSTITUTE(input_area_of_focus," ","")&amp;",")))=0)),IF(AM65="",TRUE,IF(input_area_of_focus="",FALSE,SUMPRODUCT(--ISNUMBER(SEARCH(","&amp;TRIM(TEXTSPLIT(AM65,","))&amp;",",","&amp;SUBSTITUTE(input_area_of_focus," ","")&amp;",")))&gt;0)),IF(AO65="",TRUE,IF(input_area_of_focus="",FALSE,SUMPRODUCT(--ISNUMBER(SEARCH(","&amp;TRIM(TEXTSPLIT(AO65,","))&amp;",",","&amp;SUBSTITUTE(input_area_of_focus," ","")&amp;",")))=COUNTA(TEXTSPLIT(AO65,",")))))</f>
        <v/>
      </c>
      <c r="IW65">
        <f>AND(IF(AQ65="",TRUE,IF(input_audience="",FALSE,SUMPRODUCT(--ISNUMBER(SEARCH(","&amp;TRIM(TEXTSPLIT(AQ65,","))&amp;",",","&amp;SUBSTITUTE(input_audience," ","")&amp;",")))&gt;0)),IF(AS65="",TRUE,IF(input_audience="",FALSE,SUMPRODUCT(--ISNUMBER(SEARCH(","&amp;TRIM(TEXTSPLIT(AS65,","))&amp;",",","&amp;SUBSTITUTE(input_audience," ","")&amp;",")))=COUNTA(TEXTSPLIT(AS65,",")))),IF(AU65="",TRUE,IF(input_audience="",TRUE,SUMPRODUCT(--ISNUMBER(SEARCH(","&amp;TRIM(TEXTSPLIT(AU65,","))&amp;",",","&amp;SUBSTITUTE(input_audience," ","")&amp;",")))=0)),IF(AW65="",TRUE,IF(input_audience="",FALSE,SUMPRODUCT(--ISNUMBER(SEARCH(","&amp;TRIM(TEXTSPLIT(AW65,","))&amp;",",","&amp;SUBSTITUTE(input_audience," ","")&amp;",")))&gt;0)),IF(AY65="",TRUE,IF(input_audience="",FALSE,SUMPRODUCT(--ISNUMBER(SEARCH(","&amp;TRIM(TEXTSPLIT(AY65,","))&amp;",",","&amp;SUBSTITUTE(input_audience," ","")&amp;",")))=COUNTA(TEXTSPLIT(AY65,",")))))</f>
        <v/>
      </c>
      <c r="IX65">
        <f>AND(IF(BA65="",TRUE,IF(input_challenge_opportunities="",FALSE,SUMPRODUCT(--ISNUMBER(SEARCH(","&amp;TRIM(TEXTSPLIT(BA65,","))&amp;",",","&amp;SUBSTITUTE(input_challenge_opportunities," ","")&amp;",")))&gt;0)),IF(BC65="",TRUE,IF(input_challenge_opportunities="",FALSE,SUMPRODUCT(--ISNUMBER(SEARCH(","&amp;TRIM(TEXTSPLIT(BC65,","))&amp;",",","&amp;SUBSTITUTE(input_challenge_opportunities," ","")&amp;",")))=COUNTA(TEXTSPLIT(BC65,",")))),IF(BE65="",TRUE,IF(input_challenge_opportunities="",TRUE,SUMPRODUCT(--ISNUMBER(SEARCH(","&amp;TRIM(TEXTSPLIT(BE65,","))&amp;",",","&amp;SUBSTITUTE(input_challenge_opportunities," ","")&amp;",")))=0)),IF(BG65="",TRUE,IF(input_challenge_opportunities="",FALSE,SUMPRODUCT(--ISNUMBER(SEARCH(","&amp;TRIM(TEXTSPLIT(BG65,","))&amp;",",","&amp;SUBSTITUTE(input_challenge_opportunities," ","")&amp;",")))&gt;0)),IF(BI65="",TRUE,IF(input_challenge_opportunities="",FALSE,SUMPRODUCT(--ISNUMBER(SEARCH(","&amp;TRIM(TEXTSPLIT(BI65,","))&amp;",",","&amp;SUBSTITUTE(input_challenge_opportunities," ","")&amp;",")))=COUNTA(TEXTSPLIT(BI65,",")))))</f>
        <v/>
      </c>
      <c r="IY65">
        <f>AND(IF(BK65="",TRUE,IF(input_context="",FALSE,SUMPRODUCT(--ISNUMBER(SEARCH(","&amp;TRIM(TEXTSPLIT(BK65,","))&amp;",",","&amp;SUBSTITUTE(input_context," ","")&amp;",")))&gt;0)),IF(BM65="",TRUE,IF(input_context="",FALSE,SUMPRODUCT(--ISNUMBER(SEARCH(","&amp;TRIM(TEXTSPLIT(BM65,","))&amp;",",","&amp;SUBSTITUTE(input_context," ","")&amp;",")))=COUNTA(TEXTSPLIT(BM65,",")))),IF(BO65="",TRUE,IF(input_context="",TRUE,SUMPRODUCT(--ISNUMBER(SEARCH(","&amp;TRIM(TEXTSPLIT(BO65,","))&amp;",",","&amp;SUBSTITUTE(input_context," ","")&amp;",")))=0)),IF(BQ65="",TRUE,IF(input_context="",FALSE,SUMPRODUCT(--ISNUMBER(SEARCH(","&amp;TRIM(TEXTSPLIT(BQ65,","))&amp;",",","&amp;SUBSTITUTE(input_context," ","")&amp;",")))&gt;0)),IF(BS65="",TRUE,IF(input_context="",FALSE,SUMPRODUCT(--ISNUMBER(SEARCH(","&amp;TRIM(TEXTSPLIT(BS65,","))&amp;",",","&amp;SUBSTITUTE(input_context," ","")&amp;",")))=COUNTA(TEXTSPLIT(BS65,",")))))</f>
        <v/>
      </c>
      <c r="IZ65">
        <f>AND(IF(BU65="",TRUE,IF(input_enews_announcement_type="",FALSE,SUMPRODUCT(--ISNUMBER(SEARCH(","&amp;TRIM(TEXTSPLIT(BU65,","))&amp;",",","&amp;SUBSTITUTE(input_enews_announcement_type," ","")&amp;",")))&gt;0)),IF(BW65="",TRUE,IF(input_enews_announcement_type="",FALSE,SUMPRODUCT(--ISNUMBER(SEARCH(","&amp;TRIM(TEXTSPLIT(BW65,","))&amp;",",","&amp;SUBSTITUTE(input_enews_announcement_type," ","")&amp;",")))=COUNTA(TEXTSPLIT(BW65,",")))),IF(BY65="",TRUE,IF(input_enews_announcement_type="",TRUE,SUMPRODUCT(--ISNUMBER(SEARCH(","&amp;TRIM(TEXTSPLIT(BY65,","))&amp;",",","&amp;SUBSTITUTE(input_enews_announcement_type," ","")&amp;",")))=0)),IF(CA65="",TRUE,IF(input_enews_announcement_type="",FALSE,SUMPRODUCT(--ISNUMBER(SEARCH(","&amp;TRIM(TEXTSPLIT(CA65,","))&amp;",",","&amp;SUBSTITUTE(input_enews_announcement_type," ","")&amp;",")))&gt;0)),IF(CC65="",TRUE,IF(input_enews_announcement_type="",FALSE,SUMPRODUCT(--ISNUMBER(SEARCH(","&amp;TRIM(TEXTSPLIT(CC65,","))&amp;",",","&amp;SUBSTITUTE(input_enews_announcement_type," ","")&amp;",")))=COUNTA(TEXTSPLIT(CC65,",")))))</f>
        <v/>
      </c>
      <c r="JA65">
        <f>AND(IF(CE65="",TRUE,IF(input_enews_audience="",FALSE,SUMPRODUCT(--ISNUMBER(SEARCH(","&amp;TRIM(TEXTSPLIT(CE65,","))&amp;",",","&amp;SUBSTITUTE(input_enews_audience," ","")&amp;",")))&gt;0)),IF(CG65="",TRUE,IF(input_enews_audience="",FALSE,SUMPRODUCT(--ISNUMBER(SEARCH(","&amp;TRIM(TEXTSPLIT(CG65,","))&amp;",",","&amp;SUBSTITUTE(input_enews_audience," ","")&amp;",")))=COUNTA(TEXTSPLIT(CG65,",")))),IF(CI65="",TRUE,IF(input_enews_audience="",TRUE,SUMPRODUCT(--ISNUMBER(SEARCH(","&amp;TRIM(TEXTSPLIT(CI65,","))&amp;",",","&amp;SUBSTITUTE(input_enews_audience," ","")&amp;",")))=0)),IF(CK65="",TRUE,IF(input_enews_audience="",FALSE,SUMPRODUCT(--ISNUMBER(SEARCH(","&amp;TRIM(TEXTSPLIT(CK65,","))&amp;",",","&amp;SUBSTITUTE(input_enews_audience," ","")&amp;",")))&gt;0)),IF(CM65="",TRUE,IF(input_enews_audience="",FALSE,SUMPRODUCT(--ISNUMBER(SEARCH(","&amp;TRIM(TEXTSPLIT(CM65,","))&amp;",",","&amp;SUBSTITUTE(input_enews_audience," ","")&amp;",")))=COUNTA(TEXTSPLIT(CM65,",")))))</f>
        <v/>
      </c>
      <c r="JB65">
        <f>AND(IF(CO65="",TRUE,IF(input_event_location="",FALSE,SUMPRODUCT(--ISNUMBER(SEARCH(","&amp;TRIM(TEXTSPLIT(CO65,","))&amp;",",","&amp;SUBSTITUTE(input_event_location," ","")&amp;",")))&gt;0)),IF(CQ65="",TRUE,IF(input_event_location="",FALSE,SUMPRODUCT(--ISNUMBER(SEARCH(","&amp;TRIM(TEXTSPLIT(CQ65,","))&amp;",",","&amp;SUBSTITUTE(input_event_location," ","")&amp;",")))=COUNTA(TEXTSPLIT(CQ65,",")))),IF(CS65="",TRUE,IF(input_event_location="",TRUE,SUMPRODUCT(--ISNUMBER(SEARCH(","&amp;TRIM(TEXTSPLIT(CS65,","))&amp;",",","&amp;SUBSTITUTE(input_event_location," ","")&amp;",")))=0)),IF(CU65="",TRUE,IF(input_event_location="",FALSE,SUMPRODUCT(--ISNUMBER(SEARCH(","&amp;TRIM(TEXTSPLIT(CU65,","))&amp;",",","&amp;SUBSTITUTE(input_event_location," ","")&amp;",")))&gt;0)),IF(CW65="",TRUE,IF(input_event_location="",FALSE,SUMPRODUCT(--ISNUMBER(SEARCH(","&amp;TRIM(TEXTSPLIT(CW65,","))&amp;",",","&amp;SUBSTITUTE(input_event_location," ","")&amp;",")))=COUNTA(TEXTSPLIT(CW65,",")))))</f>
        <v/>
      </c>
      <c r="JC65">
        <f>AND(IF(CY65="",TRUE,IF(input_event_type="",FALSE,SUMPRODUCT(--ISNUMBER(SEARCH(","&amp;TRIM(TEXTSPLIT(CY65,","))&amp;",",","&amp;SUBSTITUTE(input_event_type," ","")&amp;",")))&gt;0)),IF(DA65="",TRUE,IF(input_event_type="",FALSE,SUMPRODUCT(--ISNUMBER(SEARCH(","&amp;TRIM(TEXTSPLIT(DA65,","))&amp;",",","&amp;SUBSTITUTE(input_event_type," ","")&amp;",")))=COUNTA(TEXTSPLIT(DA65,",")))),IF(DC65="",TRUE,IF(input_event_type="",TRUE,SUMPRODUCT(--ISNUMBER(SEARCH(","&amp;TRIM(TEXTSPLIT(DC65,","))&amp;",",","&amp;SUBSTITUTE(input_event_type," ","")&amp;",")))=0)),IF(DE65="",TRUE,IF(input_event_type="",FALSE,SUMPRODUCT(--ISNUMBER(SEARCH(","&amp;TRIM(TEXTSPLIT(DE65,","))&amp;",",","&amp;SUBSTITUTE(input_event_type," ","")&amp;",")))&gt;0)),IF(DG65="",TRUE,IF(input_event_type="",FALSE,SUMPRODUCT(--ISNUMBER(SEARCH(","&amp;TRIM(TEXTSPLIT(DG65,","))&amp;",",","&amp;SUBSTITUTE(input_event_type," ","")&amp;",")))=COUNTA(TEXTSPLIT(DG65,",")))))</f>
        <v/>
      </c>
      <c r="JD65">
        <f>AND(IF(DI65="",TRUE,IF(input_executive_education_focus="",FALSE,SUMPRODUCT(--ISNUMBER(SEARCH(","&amp;TRIM(TEXTSPLIT(DI65,","))&amp;",",","&amp;SUBSTITUTE(input_executive_education_focus," ","")&amp;",")))&gt;0)),IF(DK65="",TRUE,IF(input_executive_education_focus="",FALSE,SUMPRODUCT(--ISNUMBER(SEARCH(","&amp;TRIM(TEXTSPLIT(DK65,","))&amp;",",","&amp;SUBSTITUTE(input_executive_education_focus," ","")&amp;",")))=COUNTA(TEXTSPLIT(DK65,",")))),IF(DM65="",TRUE,IF(input_executive_education_focus="",TRUE,SUMPRODUCT(--ISNUMBER(SEARCH(","&amp;TRIM(TEXTSPLIT(DM65,","))&amp;",",","&amp;SUBSTITUTE(input_executive_education_focus," ","")&amp;",")))=0)),IF(DO65="",TRUE,IF(input_executive_education_focus="",FALSE,SUMPRODUCT(--ISNUMBER(SEARCH(","&amp;TRIM(TEXTSPLIT(DO65,","))&amp;",",","&amp;SUBSTITUTE(input_executive_education_focus," ","")&amp;",")))&gt;0)),IF(DQ65="",TRUE,IF(input_executive_education_focus="",FALSE,SUMPRODUCT(--ISNUMBER(SEARCH(","&amp;TRIM(TEXTSPLIT(DQ65,","))&amp;",",","&amp;SUBSTITUTE(input_executive_education_focus," ","")&amp;",")))=COUNTA(TEXTSPLIT(DQ65,",")))))</f>
        <v/>
      </c>
      <c r="JE65">
        <f>AND(IF(DS65="",TRUE,IF(input_faculty_category="",FALSE,SUMPRODUCT(--ISNUMBER(SEARCH(","&amp;TRIM(TEXTSPLIT(DS65,","))&amp;",",","&amp;SUBSTITUTE(input_faculty_category," ","")&amp;",")))&gt;0)),IF(DU65="",TRUE,IF(input_faculty_category="",FALSE,SUMPRODUCT(--ISNUMBER(SEARCH(","&amp;TRIM(TEXTSPLIT(DU65,","))&amp;",",","&amp;SUBSTITUTE(input_faculty_category," ","")&amp;",")))=COUNTA(TEXTSPLIT(DU65,",")))),IF(DW65="",TRUE,IF(input_faculty_category="",TRUE,SUMPRODUCT(--ISNUMBER(SEARCH(","&amp;TRIM(TEXTSPLIT(DW65,","))&amp;",",","&amp;SUBSTITUTE(input_faculty_category," ","")&amp;",")))=0)),IF(DY65="",TRUE,IF(input_faculty_category="",FALSE,SUMPRODUCT(--ISNUMBER(SEARCH(","&amp;TRIM(TEXTSPLIT(DY65,","))&amp;",",","&amp;SUBSTITUTE(input_faculty_category," ","")&amp;",")))&gt;0)),IF(EA65="",TRUE,IF(input_faculty_category="",FALSE,SUMPRODUCT(--ISNUMBER(SEARCH(","&amp;TRIM(TEXTSPLIT(EA65,","))&amp;",",","&amp;SUBSTITUTE(input_faculty_category," ","")&amp;",")))=COUNTA(TEXTSPLIT(EA65,",")))))</f>
        <v/>
      </c>
      <c r="JF65">
        <f>AND(IF(EC65="",TRUE,IF(input_faculty_discipline="",FALSE,SUMPRODUCT(--ISNUMBER(SEARCH(","&amp;TRIM(TEXTSPLIT(EC65,","))&amp;",",","&amp;SUBSTITUTE(input_faculty_discipline," ","")&amp;",")))&gt;0)),IF(EE65="",TRUE,IF(input_faculty_discipline="",FALSE,SUMPRODUCT(--ISNUMBER(SEARCH(","&amp;TRIM(TEXTSPLIT(EE65,","))&amp;",",","&amp;SUBSTITUTE(input_faculty_discipline," ","")&amp;",")))=COUNTA(TEXTSPLIT(EE65,",")))),IF(EG65="",TRUE,IF(input_faculty_discipline="",TRUE,SUMPRODUCT(--ISNUMBER(SEARCH(","&amp;TRIM(TEXTSPLIT(EG65,","))&amp;",",","&amp;SUBSTITUTE(input_faculty_discipline," ","")&amp;",")))=0)),IF(EI65="",TRUE,IF(input_faculty_discipline="",FALSE,SUMPRODUCT(--ISNUMBER(SEARCH(","&amp;TRIM(TEXTSPLIT(EI65,","))&amp;",",","&amp;SUBSTITUTE(input_faculty_discipline," ","")&amp;",")))&gt;0)),IF(EK65="",TRUE,IF(input_faculty_discipline="",FALSE,SUMPRODUCT(--ISNUMBER(SEARCH(","&amp;TRIM(TEXTSPLIT(EK65,","))&amp;",",","&amp;SUBSTITUTE(input_faculty_discipline," ","")&amp;",")))=COUNTA(TEXTSPLIT(EK65,",")))))</f>
        <v/>
      </c>
      <c r="JG65">
        <f>AND(IF(EM65="",TRUE,IF(input_faculty_expertise="",FALSE,SUMPRODUCT(--ISNUMBER(SEARCH(","&amp;TRIM(TEXTSPLIT(EM65,","))&amp;",",","&amp;SUBSTITUTE(input_faculty_expertise," ","")&amp;",")))&gt;0)),IF(EO65="",TRUE,IF(input_faculty_expertise="",FALSE,SUMPRODUCT(--ISNUMBER(SEARCH(","&amp;TRIM(TEXTSPLIT(EO65,","))&amp;",",","&amp;SUBSTITUTE(input_faculty_expertise," ","")&amp;",")))=COUNTA(TEXTSPLIT(EO65,",")))),IF(EQ65="",TRUE,IF(input_faculty_expertise="",TRUE,SUMPRODUCT(--ISNUMBER(SEARCH(","&amp;TRIM(TEXTSPLIT(EQ65,","))&amp;",",","&amp;SUBSTITUTE(input_faculty_expertise," ","")&amp;",")))=0)),IF(ES65="",TRUE,IF(input_faculty_expertise="",FALSE,SUMPRODUCT(--ISNUMBER(SEARCH(","&amp;TRIM(TEXTSPLIT(ES65,","))&amp;",",","&amp;SUBSTITUTE(input_faculty_expertise," ","")&amp;",")))&gt;0)),IF(EU65="",TRUE,IF(input_faculty_expertise="",FALSE,SUMPRODUCT(--ISNUMBER(SEARCH(","&amp;TRIM(TEXTSPLIT(EU65,","))&amp;",",","&amp;SUBSTITUTE(input_faculty_expertise," ","")&amp;",")))=COUNTA(TEXTSPLIT(EU65,",")))))</f>
        <v/>
      </c>
      <c r="JH65">
        <f>AND(IF(EW65="",TRUE,IF(input_global_network_school="",FALSE,SUMPRODUCT(--ISNUMBER(SEARCH(","&amp;TRIM(TEXTSPLIT(EW65,","))&amp;",",","&amp;SUBSTITUTE(input_global_network_school," ","")&amp;",")))&gt;0)),IF(EY65="",TRUE,IF(input_global_network_school="",FALSE,SUMPRODUCT(--ISNUMBER(SEARCH(","&amp;TRIM(TEXTSPLIT(EY65,","))&amp;",",","&amp;SUBSTITUTE(input_global_network_school," ","")&amp;",")))=COUNTA(TEXTSPLIT(EY65,",")))),IF(FA65="",TRUE,IF(input_global_network_school="",TRUE,SUMPRODUCT(--ISNUMBER(SEARCH(","&amp;TRIM(TEXTSPLIT(FA65,","))&amp;",",","&amp;SUBSTITUTE(input_global_network_school," ","")&amp;",")))=0)),IF(FC65="",TRUE,IF(input_global_network_school="",FALSE,SUMPRODUCT(--ISNUMBER(SEARCH(","&amp;TRIM(TEXTSPLIT(FC65,","))&amp;",",","&amp;SUBSTITUTE(input_global_network_school," ","")&amp;",")))&gt;0)),IF(FE65="",TRUE,IF(input_global_network_school="",FALSE,SUMPRODUCT(--ISNUMBER(SEARCH(","&amp;TRIM(TEXTSPLIT(FE65,","))&amp;",",","&amp;SUBSTITUTE(input_global_network_school," ","")&amp;",")))=COUNTA(TEXTSPLIT(FE65,",")))))</f>
        <v/>
      </c>
      <c r="JI65">
        <f>AND(IF(FG65="",TRUE,IF(input_industry="",FALSE,SUMPRODUCT(--ISNUMBER(SEARCH(","&amp;TRIM(TEXTSPLIT(FG65,","))&amp;",",","&amp;SUBSTITUTE(input_industry," ","")&amp;",")))&gt;0)),IF(FI65="",TRUE,IF(input_industry="",FALSE,SUMPRODUCT(--ISNUMBER(SEARCH(","&amp;TRIM(TEXTSPLIT(FI65,","))&amp;",",","&amp;SUBSTITUTE(input_industry," ","")&amp;",")))=COUNTA(TEXTSPLIT(FI65,",")))),IF(FK65="",TRUE,IF(input_industry="",TRUE,SUMPRODUCT(--ISNUMBER(SEARCH(","&amp;TRIM(TEXTSPLIT(FK65,","))&amp;",",","&amp;SUBSTITUTE(input_industry," ","")&amp;",")))=0)),IF(FM65="",TRUE,IF(input_industry="",FALSE,SUMPRODUCT(--ISNUMBER(SEARCH(","&amp;TRIM(TEXTSPLIT(FM65,","))&amp;",",","&amp;SUBSTITUTE(input_industry," ","")&amp;",")))&gt;0)),IF(FO65="",TRUE,IF(input_industry="",FALSE,SUMPRODUCT(--ISNUMBER(SEARCH(","&amp;TRIM(TEXTSPLIT(FO65,","))&amp;",",","&amp;SUBSTITUTE(input_industry," ","")&amp;",")))=COUNTA(TEXTSPLIT(FO65,",")))))</f>
        <v/>
      </c>
      <c r="JJ65">
        <f>AND(IF(FQ65="",TRUE,IF(input_location="",FALSE,SUMPRODUCT(--ISNUMBER(SEARCH(","&amp;TRIM(TEXTSPLIT(FQ65,","))&amp;",",","&amp;SUBSTITUTE(input_location," ","")&amp;",")))&gt;0)),IF(FS65="",TRUE,IF(input_location="",FALSE,SUMPRODUCT(--ISNUMBER(SEARCH(","&amp;TRIM(TEXTSPLIT(FS65,","))&amp;",",","&amp;SUBSTITUTE(input_location," ","")&amp;",")))=COUNTA(TEXTSPLIT(FS65,",")))),IF(FU65="",TRUE,IF(input_location="",TRUE,SUMPRODUCT(--ISNUMBER(SEARCH(","&amp;TRIM(TEXTSPLIT(FU65,","))&amp;",",","&amp;SUBSTITUTE(input_location," ","")&amp;",")))=0)),IF(FW65="",TRUE,IF(input_location="",FALSE,SUMPRODUCT(--ISNUMBER(SEARCH(","&amp;TRIM(TEXTSPLIT(FW65,","))&amp;",",","&amp;SUBSTITUTE(input_location," ","")&amp;",")))&gt;0)),IF(FY65="",TRUE,IF(input_location="",FALSE,SUMPRODUCT(--ISNUMBER(SEARCH(","&amp;TRIM(TEXTSPLIT(FY65,","))&amp;",",","&amp;SUBSTITUTE(input_location," ","")&amp;",")))=COUNTA(TEXTSPLIT(FY65,",")))))</f>
        <v/>
      </c>
      <c r="JK65">
        <f>AND(IF(GA65="",TRUE,IF(input_modality="",FALSE,SUMPRODUCT(--ISNUMBER(SEARCH(","&amp;TRIM(TEXTSPLIT(GA65,","))&amp;",",","&amp;SUBSTITUTE(input_modality," ","")&amp;",")))&gt;0)),IF(GC65="",TRUE,IF(input_modality="",FALSE,SUMPRODUCT(--ISNUMBER(SEARCH(","&amp;TRIM(TEXTSPLIT(GC65,","))&amp;",",","&amp;SUBSTITUTE(input_modality," ","")&amp;",")))=COUNTA(TEXTSPLIT(GC65,",")))),IF(GE65="",TRUE,IF(input_modality="",TRUE,SUMPRODUCT(--ISNUMBER(SEARCH(","&amp;TRIM(TEXTSPLIT(GE65,","))&amp;",",","&amp;SUBSTITUTE(input_modality," ","")&amp;",")))=0)),IF(GG65="",TRUE,IF(input_modality="",FALSE,SUMPRODUCT(--ISNUMBER(SEARCH(","&amp;TRIM(TEXTSPLIT(GG65,","))&amp;",",","&amp;SUBSTITUTE(input_modality," ","")&amp;",")))&gt;0)),IF(GI65="",TRUE,IF(input_modality="",FALSE,SUMPRODUCT(--ISNUMBER(SEARCH(","&amp;TRIM(TEXTSPLIT(GI65,","))&amp;",",","&amp;SUBSTITUTE(input_modality," ","")&amp;",")))=COUNTA(TEXTSPLIT(GI65,",")))))</f>
        <v/>
      </c>
      <c r="JL65">
        <f>AND(IF(GK65="",TRUE,IF(input_organizer="",FALSE,SUMPRODUCT(--ISNUMBER(SEARCH(","&amp;TRIM(TEXTSPLIT(GK65,","))&amp;",",","&amp;SUBSTITUTE(input_organizer," ","")&amp;",")))&gt;0)),IF(GM65="",TRUE,IF(input_organizer="",FALSE,SUMPRODUCT(--ISNUMBER(SEARCH(","&amp;TRIM(TEXTSPLIT(GM65,","))&amp;",",","&amp;SUBSTITUTE(input_organizer," ","")&amp;",")))=COUNTA(TEXTSPLIT(GM65,",")))),IF(GO65="",TRUE,IF(input_organizer="",TRUE,SUMPRODUCT(--ISNUMBER(SEARCH(","&amp;TRIM(TEXTSPLIT(GO65,","))&amp;",",","&amp;SUBSTITUTE(input_organizer," ","")&amp;",")))=0)),IF(GQ65="",TRUE,IF(input_organizer="",FALSE,SUMPRODUCT(--ISNUMBER(SEARCH(","&amp;TRIM(TEXTSPLIT(GQ65,","))&amp;",",","&amp;SUBSTITUTE(input_organizer," ","")&amp;",")))&gt;0)),IF(GS65="",TRUE,IF(input_organizer="",FALSE,SUMPRODUCT(--ISNUMBER(SEARCH(","&amp;TRIM(TEXTSPLIT(GS65,","))&amp;",",","&amp;SUBSTITUTE(input_organizer," ","")&amp;",")))=COUNTA(TEXTSPLIT(GS65,",")))))</f>
        <v/>
      </c>
      <c r="JM65">
        <f>AND(IF(GU65="",TRUE,IF(input_profile_type="",FALSE,SUMPRODUCT(--ISNUMBER(SEARCH(","&amp;TRIM(TEXTSPLIT(GU65,","))&amp;",",","&amp;SUBSTITUTE(input_profile_type," ","")&amp;",")))&gt;0)),IF(GW65="",TRUE,IF(input_profile_type="",FALSE,SUMPRODUCT(--ISNUMBER(SEARCH(","&amp;TRIM(TEXTSPLIT(GW65,","))&amp;",",","&amp;SUBSTITUTE(input_profile_type," ","")&amp;",")))=COUNTA(TEXTSPLIT(GW65,",")))),IF(GY65="",TRUE,IF(input_profile_type="",TRUE,SUMPRODUCT(--ISNUMBER(SEARCH(","&amp;TRIM(TEXTSPLIT(GY65,","))&amp;",",","&amp;SUBSTITUTE(input_profile_type," ","")&amp;",")))=0)),IF(HA65="",TRUE,IF(input_profile_type="",FALSE,SUMPRODUCT(--ISNUMBER(SEARCH(","&amp;TRIM(TEXTSPLIT(HA65,","))&amp;",",","&amp;SUBSTITUTE(input_profile_type," ","")&amp;",")))&gt;0)),IF(HC65="",TRUE,IF(input_profile_type="",FALSE,SUMPRODUCT(--ISNUMBER(SEARCH(","&amp;TRIM(TEXTSPLIT(HC65,","))&amp;",",","&amp;SUBSTITUTE(input_profile_type," ","")&amp;",")))=COUNTA(TEXTSPLIT(HC65,",")))))</f>
        <v/>
      </c>
      <c r="JN65">
        <f>AND(IF(HE65="",TRUE,IF(input_program="",FALSE,SUMPRODUCT(--ISNUMBER(SEARCH(","&amp;TRIM(TEXTSPLIT(HE65,","))&amp;",",","&amp;SUBSTITUTE(input_program," ","")&amp;",")))&gt;0)),IF(HG65="",TRUE,IF(input_program="",FALSE,SUMPRODUCT(--ISNUMBER(SEARCH(","&amp;TRIM(TEXTSPLIT(HG65,","))&amp;",",","&amp;SUBSTITUTE(input_program," ","")&amp;",")))=COUNTA(TEXTSPLIT(HG65,",")))),IF(HI65="",TRUE,IF(input_program="",TRUE,SUMPRODUCT(--ISNUMBER(SEARCH(","&amp;TRIM(TEXTSPLIT(HI65,","))&amp;",",","&amp;SUBSTITUTE(input_program," ","")&amp;",")))=0)),IF(HK65="",TRUE,IF(input_program="",FALSE,SUMPRODUCT(--ISNUMBER(SEARCH(","&amp;TRIM(TEXTSPLIT(HK65,","))&amp;",",","&amp;SUBSTITUTE(input_program," ","")&amp;",")))&gt;0)),IF(HM65="",TRUE,IF(input_program="",FALSE,SUMPRODUCT(--ISNUMBER(SEARCH(","&amp;TRIM(TEXTSPLIT(HM65,","))&amp;",",","&amp;SUBSTITUTE(input_program," ","")&amp;",")))=COUNTA(TEXTSPLIT(HM65,",")))))</f>
        <v/>
      </c>
      <c r="JO65">
        <f>AND(IF(HO65="",TRUE,IF(input_story_categories="",FALSE,SUMPRODUCT(--ISNUMBER(SEARCH(","&amp;TRIM(TEXTSPLIT(HO65,","))&amp;",",","&amp;SUBSTITUTE(input_story_categories," ","")&amp;",")))&gt;0)),IF(HQ65="",TRUE,IF(input_story_categories="",FALSE,SUMPRODUCT(--ISNUMBER(SEARCH(","&amp;TRIM(TEXTSPLIT(HQ65,","))&amp;",",","&amp;SUBSTITUTE(input_story_categories," ","")&amp;",")))=COUNTA(TEXTSPLIT(HQ65,",")))),IF(HS65="",TRUE,IF(input_story_categories="",TRUE,SUMPRODUCT(--ISNUMBER(SEARCH(","&amp;TRIM(TEXTSPLIT(HS65,","))&amp;",",","&amp;SUBSTITUTE(input_story_categories," ","")&amp;",")))=0)),IF(HU65="",TRUE,IF(input_story_categories="",FALSE,SUMPRODUCT(--ISNUMBER(SEARCH(","&amp;TRIM(TEXTSPLIT(HU65,","))&amp;",",","&amp;SUBSTITUTE(input_story_categories," ","")&amp;",")))&gt;0)),IF(HW65="",TRUE,IF(input_story_categories="",FALSE,SUMPRODUCT(--ISNUMBER(SEARCH(","&amp;TRIM(TEXTSPLIT(HW65,","))&amp;",",","&amp;SUBSTITUTE(input_story_categories," ","")&amp;",")))=COUNTA(TEXTSPLIT(HW65,",")))))</f>
        <v/>
      </c>
      <c r="JP65">
        <f>AND(IF(HY65="",TRUE,IF(input_story_type="",FALSE,SUMPRODUCT(--ISNUMBER(SEARCH(","&amp;TRIM(TEXTSPLIT(HY65,","))&amp;",",","&amp;SUBSTITUTE(input_story_type," ","")&amp;",")))&gt;0)),IF(IA65="",TRUE,IF(input_story_type="",FALSE,SUMPRODUCT(--ISNUMBER(SEARCH(","&amp;TRIM(TEXTSPLIT(IA65,","))&amp;",",","&amp;SUBSTITUTE(input_story_type," ","")&amp;",")))=COUNTA(TEXTSPLIT(IA65,",")))),IF(IC65="",TRUE,IF(input_story_type="",TRUE,SUMPRODUCT(--ISNUMBER(SEARCH(","&amp;TRIM(TEXTSPLIT(IC65,","))&amp;",",","&amp;SUBSTITUTE(input_story_type," ","")&amp;",")))=0)),IF(IE65="",TRUE,IF(input_story_type="",FALSE,SUMPRODUCT(--ISNUMBER(SEARCH(","&amp;TRIM(TEXTSPLIT(IE65,","))&amp;",",","&amp;SUBSTITUTE(input_story_type," ","")&amp;",")))&gt;0)),IF(IG65="",TRUE,IF(input_story_type="",FALSE,SUMPRODUCT(--ISNUMBER(SEARCH(","&amp;TRIM(TEXTSPLIT(IG65,","))&amp;",",","&amp;SUBSTITUTE(input_story_type," ","")&amp;",")))=COUNTA(TEXTSPLIT(IG65,",")))))</f>
        <v/>
      </c>
      <c r="JQ65">
        <f>AND(IF(II65="",TRUE,IF(input_topics="",FALSE,SUMPRODUCT(--ISNUMBER(SEARCH(","&amp;TRIM(TEXTSPLIT(II65,","))&amp;",",","&amp;SUBSTITUTE(input_topics," ","")&amp;",")))&gt;0)),IF(IK65="",TRUE,IF(input_topics="",FALSE,SUMPRODUCT(--ISNUMBER(SEARCH(","&amp;TRIM(TEXTSPLIT(IK65,","))&amp;",",","&amp;SUBSTITUTE(input_topics," ","")&amp;",")))=COUNTA(TEXTSPLIT(IK65,",")))),IF(IM65="",TRUE,IF(input_topics="",TRUE,SUMPRODUCT(--ISNUMBER(SEARCH(","&amp;TRIM(TEXTSPLIT(IM65,","))&amp;",",","&amp;SUBSTITUTE(input_topics," ","")&amp;",")))=0)),IF(IO65="",TRUE,IF(input_topics="",FALSE,SUMPRODUCT(--ISNUMBER(SEARCH(","&amp;TRIM(TEXTSPLIT(IO65,","))&amp;",",","&amp;SUBSTITUTE(input_topics," ","")&amp;",")))&gt;0)),IF(IQ65="",TRUE,IF(input_topics="",FALSE,SUMPRODUCT(--ISNUMBER(SEARCH(","&amp;TRIM(TEXTSPLIT(IQ65,","))&amp;",",","&amp;SUBSTITUTE(input_topics," ","")&amp;",")))=COUNTA(TEXTSPLIT(IQ65,",")))))</f>
        <v/>
      </c>
    </row>
    <row r="66">
      <c r="A66" s="4">
        <f>IF(NOT(IS66),"Excluded",IF(AND(IT66,IU66,IV66,IW66,IX66,IY66,IZ66,JA66,JB66,JC66,JD66,JE66,JF66,JG66,JH66,JI66,JJ66,JK66,JL66,JM66,JN66,JO66,JP66,JQ66),IF(I66&gt;0,"Eligible but limited","Will appear"),"Excluded"))</f>
        <v/>
      </c>
      <c r="B66" s="4" t="inlineStr">
        <is>
          <t>All stories</t>
        </is>
      </c>
      <c r="C66" s="4" t="inlineStr">
        <is>
          <t>/programs/mam/admissions</t>
        </is>
      </c>
      <c r="D66" s="4" t="inlineStr">
        <is>
          <t>/programs/mam/admissions</t>
        </is>
      </c>
      <c r="E66" s="4" t="n">
        <v>1</v>
      </c>
      <c r="F66" s="4" t="inlineStr">
        <is>
          <t>story</t>
        </is>
      </c>
      <c r="G66" s="4" t="inlineStr">
        <is>
          <t>stories_teaser_cards</t>
        </is>
      </c>
      <c r="H66" s="4" t="inlineStr">
        <is>
          <t>embed_all</t>
        </is>
      </c>
      <c r="I66" s="4" t="n">
        <v>3</v>
      </c>
      <c r="J66" s="4" t="inlineStr">
        <is>
          <t>Section inferred</t>
        </is>
      </c>
      <c r="K66" s="4" t="inlineStr">
        <is>
          <t>Page placement</t>
        </is>
      </c>
      <c r="L66" s="4" t="inlineStr">
        <is>
          <t>Content type: story; Context uses Courses Context: Master of Advanced Management (932); Limited to 3 item(s); Source: Section inferred</t>
        </is>
      </c>
      <c r="M66" t="inlineStr"/>
      <c r="N66" t="inlineStr"/>
      <c r="O66" t="inlineStr"/>
      <c r="P66" t="inlineStr"/>
      <c r="Q66" t="inlineStr"/>
      <c r="R66" t="inlineStr"/>
      <c r="S66" t="inlineStr"/>
      <c r="T66" t="inlineStr"/>
      <c r="U66" t="inlineStr"/>
      <c r="V66" t="inlineStr"/>
      <c r="W66" t="inlineStr"/>
      <c r="X66" t="inlineStr"/>
      <c r="Y66" t="inlineStr"/>
      <c r="Z66" t="inlineStr"/>
      <c r="AA66" t="inlineStr"/>
      <c r="AB66" t="inlineStr"/>
      <c r="AC66" t="inlineStr"/>
      <c r="AD66" t="inlineStr"/>
      <c r="AE66" t="inlineStr"/>
      <c r="AF66" t="inlineStr"/>
      <c r="AG66" t="inlineStr"/>
      <c r="AH66" t="inlineStr"/>
      <c r="AI66" t="inlineStr"/>
      <c r="AJ66" t="inlineStr"/>
      <c r="AK66" t="inlineStr"/>
      <c r="AL66" t="inlineStr"/>
      <c r="AM66" t="inlineStr"/>
      <c r="AN66" t="inlineStr"/>
      <c r="AO66" t="inlineStr"/>
      <c r="AP66" t="inlineStr"/>
      <c r="AQ66" t="inlineStr"/>
      <c r="AR66" t="inlineStr"/>
      <c r="AS66" t="inlineStr"/>
      <c r="AT66" t="inlineStr"/>
      <c r="AU66" t="inlineStr"/>
      <c r="AV66" t="inlineStr"/>
      <c r="AW66" t="inlineStr"/>
      <c r="AX66" t="inlineStr"/>
      <c r="AY66" t="inlineStr"/>
      <c r="AZ66" t="inlineStr"/>
      <c r="BA66" t="inlineStr"/>
      <c r="BB66" t="inlineStr"/>
      <c r="BC66" t="inlineStr"/>
      <c r="BD66" t="inlineStr"/>
      <c r="BE66" t="inlineStr"/>
      <c r="BF66" t="inlineStr"/>
      <c r="BG66" t="inlineStr"/>
      <c r="BH66" t="inlineStr"/>
      <c r="BI66" t="inlineStr"/>
      <c r="BJ66" t="inlineStr"/>
      <c r="BK66" t="inlineStr"/>
      <c r="BL66" t="inlineStr"/>
      <c r="BM66" t="inlineStr"/>
      <c r="BN66" t="inlineStr"/>
      <c r="BO66" t="inlineStr"/>
      <c r="BP66" t="inlineStr"/>
      <c r="BQ66" t="inlineStr">
        <is>
          <t>932</t>
        </is>
      </c>
      <c r="BR66" t="inlineStr">
        <is>
          <t>Master of Advanced Management (932)</t>
        </is>
      </c>
      <c r="BS66" t="inlineStr"/>
      <c r="BT66" t="inlineStr"/>
      <c r="BU66" t="inlineStr"/>
      <c r="BV66" t="inlineStr"/>
      <c r="BW66" t="inlineStr"/>
      <c r="BX66" t="inlineStr"/>
      <c r="BY66" t="inlineStr"/>
      <c r="BZ66" t="inlineStr"/>
      <c r="CA66" t="inlineStr"/>
      <c r="CB66" t="inlineStr"/>
      <c r="CC66" t="inlineStr"/>
      <c r="CD66" t="inlineStr"/>
      <c r="CE66" t="inlineStr"/>
      <c r="CF66" t="inlineStr"/>
      <c r="CG66" t="inlineStr"/>
      <c r="CH66" t="inlineStr"/>
      <c r="CI66" t="inlineStr"/>
      <c r="CJ66" t="inlineStr"/>
      <c r="CK66" t="inlineStr"/>
      <c r="CL66" t="inlineStr"/>
      <c r="CM66" t="inlineStr"/>
      <c r="CN66" t="inlineStr"/>
      <c r="CO66" t="inlineStr"/>
      <c r="CP66" t="inlineStr"/>
      <c r="CQ66" t="inlineStr"/>
      <c r="CR66" t="inlineStr"/>
      <c r="CS66" t="inlineStr"/>
      <c r="CT66" t="inlineStr"/>
      <c r="CU66" t="inlineStr"/>
      <c r="CV66" t="inlineStr"/>
      <c r="CW66" t="inlineStr"/>
      <c r="CX66" t="inlineStr"/>
      <c r="CY66" t="inlineStr"/>
      <c r="CZ66" t="inlineStr"/>
      <c r="DA66" t="inlineStr"/>
      <c r="DB66" t="inlineStr"/>
      <c r="DC66" t="inlineStr"/>
      <c r="DD66" t="inlineStr"/>
      <c r="DE66" t="inlineStr"/>
      <c r="DF66" t="inlineStr"/>
      <c r="DG66" t="inlineStr"/>
      <c r="DH66" t="inlineStr"/>
      <c r="DI66" t="inlineStr"/>
      <c r="DJ66" t="inlineStr"/>
      <c r="DK66" t="inlineStr"/>
      <c r="DL66" t="inlineStr"/>
      <c r="DM66" t="inlineStr"/>
      <c r="DN66" t="inlineStr"/>
      <c r="DO66" t="inlineStr"/>
      <c r="DP66" t="inlineStr"/>
      <c r="DQ66" t="inlineStr"/>
      <c r="DR66" t="inlineStr"/>
      <c r="DS66" t="inlineStr"/>
      <c r="DT66" t="inlineStr"/>
      <c r="DU66" t="inlineStr"/>
      <c r="DV66" t="inlineStr"/>
      <c r="DW66" t="inlineStr"/>
      <c r="DX66" t="inlineStr"/>
      <c r="DY66" t="inlineStr"/>
      <c r="DZ66" t="inlineStr"/>
      <c r="EA66" t="inlineStr"/>
      <c r="EB66" t="inlineStr"/>
      <c r="EC66" t="inlineStr"/>
      <c r="ED66" t="inlineStr"/>
      <c r="EE66" t="inlineStr"/>
      <c r="EF66" t="inlineStr"/>
      <c r="EG66" t="inlineStr"/>
      <c r="EH66" t="inlineStr"/>
      <c r="EI66" t="inlineStr"/>
      <c r="EJ66" t="inlineStr"/>
      <c r="EK66" t="inlineStr"/>
      <c r="EL66" t="inlineStr"/>
      <c r="EM66" t="inlineStr"/>
      <c r="EN66" t="inlineStr"/>
      <c r="EO66" t="inlineStr"/>
      <c r="EP66" t="inlineStr"/>
      <c r="EQ66" t="inlineStr"/>
      <c r="ER66" t="inlineStr"/>
      <c r="ES66" t="inlineStr"/>
      <c r="ET66" t="inlineStr"/>
      <c r="EU66" t="inlineStr"/>
      <c r="EV66" t="inlineStr"/>
      <c r="EW66" t="inlineStr"/>
      <c r="EX66" t="inlineStr"/>
      <c r="EY66" t="inlineStr"/>
      <c r="EZ66" t="inlineStr"/>
      <c r="FA66" t="inlineStr"/>
      <c r="FB66" t="inlineStr"/>
      <c r="FC66" t="inlineStr"/>
      <c r="FD66" t="inlineStr"/>
      <c r="FE66" t="inlineStr"/>
      <c r="FF66" t="inlineStr"/>
      <c r="FG66" t="inlineStr"/>
      <c r="FH66" t="inlineStr"/>
      <c r="FI66" t="inlineStr"/>
      <c r="FJ66" t="inlineStr"/>
      <c r="FK66" t="inlineStr"/>
      <c r="FL66" t="inlineStr"/>
      <c r="FM66" t="inlineStr"/>
      <c r="FN66" t="inlineStr"/>
      <c r="FO66" t="inlineStr"/>
      <c r="FP66" t="inlineStr"/>
      <c r="FQ66" t="inlineStr"/>
      <c r="FR66" t="inlineStr"/>
      <c r="FS66" t="inlineStr"/>
      <c r="FT66" t="inlineStr"/>
      <c r="FU66" t="inlineStr"/>
      <c r="FV66" t="inlineStr"/>
      <c r="FW66" t="inlineStr"/>
      <c r="FX66" t="inlineStr"/>
      <c r="FY66" t="inlineStr"/>
      <c r="FZ66" t="inlineStr"/>
      <c r="GA66" t="inlineStr"/>
      <c r="GB66" t="inlineStr"/>
      <c r="GC66" t="inlineStr"/>
      <c r="GD66" t="inlineStr"/>
      <c r="GE66" t="inlineStr"/>
      <c r="GF66" t="inlineStr"/>
      <c r="GG66" t="inlineStr"/>
      <c r="GH66" t="inlineStr"/>
      <c r="GI66" t="inlineStr"/>
      <c r="GJ66" t="inlineStr"/>
      <c r="GK66" t="inlineStr"/>
      <c r="GL66" t="inlineStr"/>
      <c r="GM66" t="inlineStr"/>
      <c r="GN66" t="inlineStr"/>
      <c r="GO66" t="inlineStr"/>
      <c r="GP66" t="inlineStr"/>
      <c r="GQ66" t="inlineStr"/>
      <c r="GR66" t="inlineStr"/>
      <c r="GS66" t="inlineStr"/>
      <c r="GT66" t="inlineStr"/>
      <c r="GU66" t="inlineStr"/>
      <c r="GV66" t="inlineStr"/>
      <c r="GW66" t="inlineStr"/>
      <c r="GX66" t="inlineStr"/>
      <c r="GY66" t="inlineStr"/>
      <c r="GZ66" t="inlineStr"/>
      <c r="HA66" t="inlineStr"/>
      <c r="HB66" t="inlineStr"/>
      <c r="HC66" t="inlineStr"/>
      <c r="HD66" t="inlineStr"/>
      <c r="HE66" t="inlineStr"/>
      <c r="HF66" t="inlineStr"/>
      <c r="HG66" t="inlineStr"/>
      <c r="HH66" t="inlineStr"/>
      <c r="HI66" t="inlineStr"/>
      <c r="HJ66" t="inlineStr"/>
      <c r="HK66" t="inlineStr"/>
      <c r="HL66" t="inlineStr"/>
      <c r="HM66" t="inlineStr"/>
      <c r="HN66" t="inlineStr"/>
      <c r="HO66" t="inlineStr"/>
      <c r="HP66" t="inlineStr"/>
      <c r="HQ66" t="inlineStr"/>
      <c r="HR66" t="inlineStr"/>
      <c r="HS66" t="inlineStr"/>
      <c r="HT66" t="inlineStr"/>
      <c r="HU66" t="inlineStr"/>
      <c r="HV66" t="inlineStr"/>
      <c r="HW66" t="inlineStr"/>
      <c r="HX66" t="inlineStr"/>
      <c r="HY66" t="inlineStr"/>
      <c r="HZ66" t="inlineStr"/>
      <c r="IA66" t="inlineStr"/>
      <c r="IB66" t="inlineStr"/>
      <c r="IC66" t="inlineStr"/>
      <c r="ID66" t="inlineStr"/>
      <c r="IE66" t="inlineStr"/>
      <c r="IF66" t="inlineStr"/>
      <c r="IG66" t="inlineStr"/>
      <c r="IH66" t="inlineStr"/>
      <c r="II66" t="inlineStr"/>
      <c r="IJ66" t="inlineStr"/>
      <c r="IK66" t="inlineStr"/>
      <c r="IL66" t="inlineStr"/>
      <c r="IM66" t="inlineStr"/>
      <c r="IN66" t="inlineStr"/>
      <c r="IO66" t="inlineStr"/>
      <c r="IP66" t="inlineStr"/>
      <c r="IQ66" t="inlineStr"/>
      <c r="IR66" t="inlineStr"/>
      <c r="IS66">
        <f>IF(input_content_type="",FALSE,ISNUMBER(SEARCH(","&amp;LOWER(input_content_type)&amp;",",","&amp;LOWER(F66)&amp;",")))</f>
        <v/>
      </c>
      <c r="IT66">
        <f>AND(IF(M66="",TRUE,IF(input_affiliations="",FALSE,SUMPRODUCT(--ISNUMBER(SEARCH(","&amp;TRIM(TEXTSPLIT(M66,","))&amp;",",","&amp;SUBSTITUTE(input_affiliations," ","")&amp;",")))&gt;0)),IF(O66="",TRUE,IF(input_affiliations="",FALSE,SUMPRODUCT(--ISNUMBER(SEARCH(","&amp;TRIM(TEXTSPLIT(O66,","))&amp;",",","&amp;SUBSTITUTE(input_affiliations," ","")&amp;",")))=COUNTA(TEXTSPLIT(O66,",")))),IF(Q66="",TRUE,IF(input_affiliations="",TRUE,SUMPRODUCT(--ISNUMBER(SEARCH(","&amp;TRIM(TEXTSPLIT(Q66,","))&amp;",",","&amp;SUBSTITUTE(input_affiliations," ","")&amp;",")))=0)),IF(S66="",TRUE,IF(input_affiliations="",FALSE,SUMPRODUCT(--ISNUMBER(SEARCH(","&amp;TRIM(TEXTSPLIT(S66,","))&amp;",",","&amp;SUBSTITUTE(input_affiliations," ","")&amp;",")))&gt;0)),IF(U66="",TRUE,IF(input_affiliations="",FALSE,SUMPRODUCT(--ISNUMBER(SEARCH(","&amp;TRIM(TEXTSPLIT(U66,","))&amp;",",","&amp;SUBSTITUTE(input_affiliations," ","")&amp;",")))=COUNTA(TEXTSPLIT(U66,",")))))</f>
        <v/>
      </c>
      <c r="IU66">
        <f>AND(IF(W66="",TRUE,IF(input_announcement_category="",FALSE,SUMPRODUCT(--ISNUMBER(SEARCH(","&amp;TRIM(TEXTSPLIT(W66,","))&amp;",",","&amp;SUBSTITUTE(input_announcement_category," ","")&amp;",")))&gt;0)),IF(Y66="",TRUE,IF(input_announcement_category="",FALSE,SUMPRODUCT(--ISNUMBER(SEARCH(","&amp;TRIM(TEXTSPLIT(Y66,","))&amp;",",","&amp;SUBSTITUTE(input_announcement_category," ","")&amp;",")))=COUNTA(TEXTSPLIT(Y66,",")))),IF(AA66="",TRUE,IF(input_announcement_category="",TRUE,SUMPRODUCT(--ISNUMBER(SEARCH(","&amp;TRIM(TEXTSPLIT(AA66,","))&amp;",",","&amp;SUBSTITUTE(input_announcement_category," ","")&amp;",")))=0)),IF(AC66="",TRUE,IF(input_announcement_category="",FALSE,SUMPRODUCT(--ISNUMBER(SEARCH(","&amp;TRIM(TEXTSPLIT(AC66,","))&amp;",",","&amp;SUBSTITUTE(input_announcement_category," ","")&amp;",")))&gt;0)),IF(AE66="",TRUE,IF(input_announcement_category="",FALSE,SUMPRODUCT(--ISNUMBER(SEARCH(","&amp;TRIM(TEXTSPLIT(AE66,","))&amp;",",","&amp;SUBSTITUTE(input_announcement_category," ","")&amp;",")))=COUNTA(TEXTSPLIT(AE66,",")))))</f>
        <v/>
      </c>
      <c r="IV66">
        <f>AND(IF(AG66="",TRUE,IF(input_area_of_focus="",FALSE,SUMPRODUCT(--ISNUMBER(SEARCH(","&amp;TRIM(TEXTSPLIT(AG66,","))&amp;",",","&amp;SUBSTITUTE(input_area_of_focus," ","")&amp;",")))&gt;0)),IF(AI66="",TRUE,IF(input_area_of_focus="",FALSE,SUMPRODUCT(--ISNUMBER(SEARCH(","&amp;TRIM(TEXTSPLIT(AI66,","))&amp;",",","&amp;SUBSTITUTE(input_area_of_focus," ","")&amp;",")))=COUNTA(TEXTSPLIT(AI66,",")))),IF(AK66="",TRUE,IF(input_area_of_focus="",TRUE,SUMPRODUCT(--ISNUMBER(SEARCH(","&amp;TRIM(TEXTSPLIT(AK66,","))&amp;",",","&amp;SUBSTITUTE(input_area_of_focus," ","")&amp;",")))=0)),IF(AM66="",TRUE,IF(input_area_of_focus="",FALSE,SUMPRODUCT(--ISNUMBER(SEARCH(","&amp;TRIM(TEXTSPLIT(AM66,","))&amp;",",","&amp;SUBSTITUTE(input_area_of_focus," ","")&amp;",")))&gt;0)),IF(AO66="",TRUE,IF(input_area_of_focus="",FALSE,SUMPRODUCT(--ISNUMBER(SEARCH(","&amp;TRIM(TEXTSPLIT(AO66,","))&amp;",",","&amp;SUBSTITUTE(input_area_of_focus," ","")&amp;",")))=COUNTA(TEXTSPLIT(AO66,",")))))</f>
        <v/>
      </c>
      <c r="IW66">
        <f>AND(IF(AQ66="",TRUE,IF(input_audience="",FALSE,SUMPRODUCT(--ISNUMBER(SEARCH(","&amp;TRIM(TEXTSPLIT(AQ66,","))&amp;",",","&amp;SUBSTITUTE(input_audience," ","")&amp;",")))&gt;0)),IF(AS66="",TRUE,IF(input_audience="",FALSE,SUMPRODUCT(--ISNUMBER(SEARCH(","&amp;TRIM(TEXTSPLIT(AS66,","))&amp;",",","&amp;SUBSTITUTE(input_audience," ","")&amp;",")))=COUNTA(TEXTSPLIT(AS66,",")))),IF(AU66="",TRUE,IF(input_audience="",TRUE,SUMPRODUCT(--ISNUMBER(SEARCH(","&amp;TRIM(TEXTSPLIT(AU66,","))&amp;",",","&amp;SUBSTITUTE(input_audience," ","")&amp;",")))=0)),IF(AW66="",TRUE,IF(input_audience="",FALSE,SUMPRODUCT(--ISNUMBER(SEARCH(","&amp;TRIM(TEXTSPLIT(AW66,","))&amp;",",","&amp;SUBSTITUTE(input_audience," ","")&amp;",")))&gt;0)),IF(AY66="",TRUE,IF(input_audience="",FALSE,SUMPRODUCT(--ISNUMBER(SEARCH(","&amp;TRIM(TEXTSPLIT(AY66,","))&amp;",",","&amp;SUBSTITUTE(input_audience," ","")&amp;",")))=COUNTA(TEXTSPLIT(AY66,",")))))</f>
        <v/>
      </c>
      <c r="IX66">
        <f>AND(IF(BA66="",TRUE,IF(input_challenge_opportunities="",FALSE,SUMPRODUCT(--ISNUMBER(SEARCH(","&amp;TRIM(TEXTSPLIT(BA66,","))&amp;",",","&amp;SUBSTITUTE(input_challenge_opportunities," ","")&amp;",")))&gt;0)),IF(BC66="",TRUE,IF(input_challenge_opportunities="",FALSE,SUMPRODUCT(--ISNUMBER(SEARCH(","&amp;TRIM(TEXTSPLIT(BC66,","))&amp;",",","&amp;SUBSTITUTE(input_challenge_opportunities," ","")&amp;",")))=COUNTA(TEXTSPLIT(BC66,",")))),IF(BE66="",TRUE,IF(input_challenge_opportunities="",TRUE,SUMPRODUCT(--ISNUMBER(SEARCH(","&amp;TRIM(TEXTSPLIT(BE66,","))&amp;",",","&amp;SUBSTITUTE(input_challenge_opportunities," ","")&amp;",")))=0)),IF(BG66="",TRUE,IF(input_challenge_opportunities="",FALSE,SUMPRODUCT(--ISNUMBER(SEARCH(","&amp;TRIM(TEXTSPLIT(BG66,","))&amp;",",","&amp;SUBSTITUTE(input_challenge_opportunities," ","")&amp;",")))&gt;0)),IF(BI66="",TRUE,IF(input_challenge_opportunities="",FALSE,SUMPRODUCT(--ISNUMBER(SEARCH(","&amp;TRIM(TEXTSPLIT(BI66,","))&amp;",",","&amp;SUBSTITUTE(input_challenge_opportunities," ","")&amp;",")))=COUNTA(TEXTSPLIT(BI66,",")))))</f>
        <v/>
      </c>
      <c r="IY66">
        <f>AND(IF(BK66="",TRUE,IF(input_context="",FALSE,SUMPRODUCT(--ISNUMBER(SEARCH(","&amp;TRIM(TEXTSPLIT(BK66,","))&amp;",",","&amp;SUBSTITUTE(input_context," ","")&amp;",")))&gt;0)),IF(BM66="",TRUE,IF(input_context="",FALSE,SUMPRODUCT(--ISNUMBER(SEARCH(","&amp;TRIM(TEXTSPLIT(BM66,","))&amp;",",","&amp;SUBSTITUTE(input_context," ","")&amp;",")))=COUNTA(TEXTSPLIT(BM66,",")))),IF(BO66="",TRUE,IF(input_context="",TRUE,SUMPRODUCT(--ISNUMBER(SEARCH(","&amp;TRIM(TEXTSPLIT(BO66,","))&amp;",",","&amp;SUBSTITUTE(input_context," ","")&amp;",")))=0)),IF(BQ66="",TRUE,IF(input_context="",FALSE,SUMPRODUCT(--ISNUMBER(SEARCH(","&amp;TRIM(TEXTSPLIT(BQ66,","))&amp;",",","&amp;SUBSTITUTE(input_context," ","")&amp;",")))&gt;0)),IF(BS66="",TRUE,IF(input_context="",FALSE,SUMPRODUCT(--ISNUMBER(SEARCH(","&amp;TRIM(TEXTSPLIT(BS66,","))&amp;",",","&amp;SUBSTITUTE(input_context," ","")&amp;",")))=COUNTA(TEXTSPLIT(BS66,",")))))</f>
        <v/>
      </c>
      <c r="IZ66">
        <f>AND(IF(BU66="",TRUE,IF(input_enews_announcement_type="",FALSE,SUMPRODUCT(--ISNUMBER(SEARCH(","&amp;TRIM(TEXTSPLIT(BU66,","))&amp;",",","&amp;SUBSTITUTE(input_enews_announcement_type," ","")&amp;",")))&gt;0)),IF(BW66="",TRUE,IF(input_enews_announcement_type="",FALSE,SUMPRODUCT(--ISNUMBER(SEARCH(","&amp;TRIM(TEXTSPLIT(BW66,","))&amp;",",","&amp;SUBSTITUTE(input_enews_announcement_type," ","")&amp;",")))=COUNTA(TEXTSPLIT(BW66,",")))),IF(BY66="",TRUE,IF(input_enews_announcement_type="",TRUE,SUMPRODUCT(--ISNUMBER(SEARCH(","&amp;TRIM(TEXTSPLIT(BY66,","))&amp;",",","&amp;SUBSTITUTE(input_enews_announcement_type," ","")&amp;",")))=0)),IF(CA66="",TRUE,IF(input_enews_announcement_type="",FALSE,SUMPRODUCT(--ISNUMBER(SEARCH(","&amp;TRIM(TEXTSPLIT(CA66,","))&amp;",",","&amp;SUBSTITUTE(input_enews_announcement_type," ","")&amp;",")))&gt;0)),IF(CC66="",TRUE,IF(input_enews_announcement_type="",FALSE,SUMPRODUCT(--ISNUMBER(SEARCH(","&amp;TRIM(TEXTSPLIT(CC66,","))&amp;",",","&amp;SUBSTITUTE(input_enews_announcement_type," ","")&amp;",")))=COUNTA(TEXTSPLIT(CC66,",")))))</f>
        <v/>
      </c>
      <c r="JA66">
        <f>AND(IF(CE66="",TRUE,IF(input_enews_audience="",FALSE,SUMPRODUCT(--ISNUMBER(SEARCH(","&amp;TRIM(TEXTSPLIT(CE66,","))&amp;",",","&amp;SUBSTITUTE(input_enews_audience," ","")&amp;",")))&gt;0)),IF(CG66="",TRUE,IF(input_enews_audience="",FALSE,SUMPRODUCT(--ISNUMBER(SEARCH(","&amp;TRIM(TEXTSPLIT(CG66,","))&amp;",",","&amp;SUBSTITUTE(input_enews_audience," ","")&amp;",")))=COUNTA(TEXTSPLIT(CG66,",")))),IF(CI66="",TRUE,IF(input_enews_audience="",TRUE,SUMPRODUCT(--ISNUMBER(SEARCH(","&amp;TRIM(TEXTSPLIT(CI66,","))&amp;",",","&amp;SUBSTITUTE(input_enews_audience," ","")&amp;",")))=0)),IF(CK66="",TRUE,IF(input_enews_audience="",FALSE,SUMPRODUCT(--ISNUMBER(SEARCH(","&amp;TRIM(TEXTSPLIT(CK66,","))&amp;",",","&amp;SUBSTITUTE(input_enews_audience," ","")&amp;",")))&gt;0)),IF(CM66="",TRUE,IF(input_enews_audience="",FALSE,SUMPRODUCT(--ISNUMBER(SEARCH(","&amp;TRIM(TEXTSPLIT(CM66,","))&amp;",",","&amp;SUBSTITUTE(input_enews_audience," ","")&amp;",")))=COUNTA(TEXTSPLIT(CM66,",")))))</f>
        <v/>
      </c>
      <c r="JB66">
        <f>AND(IF(CO66="",TRUE,IF(input_event_location="",FALSE,SUMPRODUCT(--ISNUMBER(SEARCH(","&amp;TRIM(TEXTSPLIT(CO66,","))&amp;",",","&amp;SUBSTITUTE(input_event_location," ","")&amp;",")))&gt;0)),IF(CQ66="",TRUE,IF(input_event_location="",FALSE,SUMPRODUCT(--ISNUMBER(SEARCH(","&amp;TRIM(TEXTSPLIT(CQ66,","))&amp;",",","&amp;SUBSTITUTE(input_event_location," ","")&amp;",")))=COUNTA(TEXTSPLIT(CQ66,",")))),IF(CS66="",TRUE,IF(input_event_location="",TRUE,SUMPRODUCT(--ISNUMBER(SEARCH(","&amp;TRIM(TEXTSPLIT(CS66,","))&amp;",",","&amp;SUBSTITUTE(input_event_location," ","")&amp;",")))=0)),IF(CU66="",TRUE,IF(input_event_location="",FALSE,SUMPRODUCT(--ISNUMBER(SEARCH(","&amp;TRIM(TEXTSPLIT(CU66,","))&amp;",",","&amp;SUBSTITUTE(input_event_location," ","")&amp;",")))&gt;0)),IF(CW66="",TRUE,IF(input_event_location="",FALSE,SUMPRODUCT(--ISNUMBER(SEARCH(","&amp;TRIM(TEXTSPLIT(CW66,","))&amp;",",","&amp;SUBSTITUTE(input_event_location," ","")&amp;",")))=COUNTA(TEXTSPLIT(CW66,",")))))</f>
        <v/>
      </c>
      <c r="JC66">
        <f>AND(IF(CY66="",TRUE,IF(input_event_type="",FALSE,SUMPRODUCT(--ISNUMBER(SEARCH(","&amp;TRIM(TEXTSPLIT(CY66,","))&amp;",",","&amp;SUBSTITUTE(input_event_type," ","")&amp;",")))&gt;0)),IF(DA66="",TRUE,IF(input_event_type="",FALSE,SUMPRODUCT(--ISNUMBER(SEARCH(","&amp;TRIM(TEXTSPLIT(DA66,","))&amp;",",","&amp;SUBSTITUTE(input_event_type," ","")&amp;",")))=COUNTA(TEXTSPLIT(DA66,",")))),IF(DC66="",TRUE,IF(input_event_type="",TRUE,SUMPRODUCT(--ISNUMBER(SEARCH(","&amp;TRIM(TEXTSPLIT(DC66,","))&amp;",",","&amp;SUBSTITUTE(input_event_type," ","")&amp;",")))=0)),IF(DE66="",TRUE,IF(input_event_type="",FALSE,SUMPRODUCT(--ISNUMBER(SEARCH(","&amp;TRIM(TEXTSPLIT(DE66,","))&amp;",",","&amp;SUBSTITUTE(input_event_type," ","")&amp;",")))&gt;0)),IF(DG66="",TRUE,IF(input_event_type="",FALSE,SUMPRODUCT(--ISNUMBER(SEARCH(","&amp;TRIM(TEXTSPLIT(DG66,","))&amp;",",","&amp;SUBSTITUTE(input_event_type," ","")&amp;",")))=COUNTA(TEXTSPLIT(DG66,",")))))</f>
        <v/>
      </c>
      <c r="JD66">
        <f>AND(IF(DI66="",TRUE,IF(input_executive_education_focus="",FALSE,SUMPRODUCT(--ISNUMBER(SEARCH(","&amp;TRIM(TEXTSPLIT(DI66,","))&amp;",",","&amp;SUBSTITUTE(input_executive_education_focus," ","")&amp;",")))&gt;0)),IF(DK66="",TRUE,IF(input_executive_education_focus="",FALSE,SUMPRODUCT(--ISNUMBER(SEARCH(","&amp;TRIM(TEXTSPLIT(DK66,","))&amp;",",","&amp;SUBSTITUTE(input_executive_education_focus," ","")&amp;",")))=COUNTA(TEXTSPLIT(DK66,",")))),IF(DM66="",TRUE,IF(input_executive_education_focus="",TRUE,SUMPRODUCT(--ISNUMBER(SEARCH(","&amp;TRIM(TEXTSPLIT(DM66,","))&amp;",",","&amp;SUBSTITUTE(input_executive_education_focus," ","")&amp;",")))=0)),IF(DO66="",TRUE,IF(input_executive_education_focus="",FALSE,SUMPRODUCT(--ISNUMBER(SEARCH(","&amp;TRIM(TEXTSPLIT(DO66,","))&amp;",",","&amp;SUBSTITUTE(input_executive_education_focus," ","")&amp;",")))&gt;0)),IF(DQ66="",TRUE,IF(input_executive_education_focus="",FALSE,SUMPRODUCT(--ISNUMBER(SEARCH(","&amp;TRIM(TEXTSPLIT(DQ66,","))&amp;",",","&amp;SUBSTITUTE(input_executive_education_focus," ","")&amp;",")))=COUNTA(TEXTSPLIT(DQ66,",")))))</f>
        <v/>
      </c>
      <c r="JE66">
        <f>AND(IF(DS66="",TRUE,IF(input_faculty_category="",FALSE,SUMPRODUCT(--ISNUMBER(SEARCH(","&amp;TRIM(TEXTSPLIT(DS66,","))&amp;",",","&amp;SUBSTITUTE(input_faculty_category," ","")&amp;",")))&gt;0)),IF(DU66="",TRUE,IF(input_faculty_category="",FALSE,SUMPRODUCT(--ISNUMBER(SEARCH(","&amp;TRIM(TEXTSPLIT(DU66,","))&amp;",",","&amp;SUBSTITUTE(input_faculty_category," ","")&amp;",")))=COUNTA(TEXTSPLIT(DU66,",")))),IF(DW66="",TRUE,IF(input_faculty_category="",TRUE,SUMPRODUCT(--ISNUMBER(SEARCH(","&amp;TRIM(TEXTSPLIT(DW66,","))&amp;",",","&amp;SUBSTITUTE(input_faculty_category," ","")&amp;",")))=0)),IF(DY66="",TRUE,IF(input_faculty_category="",FALSE,SUMPRODUCT(--ISNUMBER(SEARCH(","&amp;TRIM(TEXTSPLIT(DY66,","))&amp;",",","&amp;SUBSTITUTE(input_faculty_category," ","")&amp;",")))&gt;0)),IF(EA66="",TRUE,IF(input_faculty_category="",FALSE,SUMPRODUCT(--ISNUMBER(SEARCH(","&amp;TRIM(TEXTSPLIT(EA66,","))&amp;",",","&amp;SUBSTITUTE(input_faculty_category," ","")&amp;",")))=COUNTA(TEXTSPLIT(EA66,",")))))</f>
        <v/>
      </c>
      <c r="JF66">
        <f>AND(IF(EC66="",TRUE,IF(input_faculty_discipline="",FALSE,SUMPRODUCT(--ISNUMBER(SEARCH(","&amp;TRIM(TEXTSPLIT(EC66,","))&amp;",",","&amp;SUBSTITUTE(input_faculty_discipline," ","")&amp;",")))&gt;0)),IF(EE66="",TRUE,IF(input_faculty_discipline="",FALSE,SUMPRODUCT(--ISNUMBER(SEARCH(","&amp;TRIM(TEXTSPLIT(EE66,","))&amp;",",","&amp;SUBSTITUTE(input_faculty_discipline," ","")&amp;",")))=COUNTA(TEXTSPLIT(EE66,",")))),IF(EG66="",TRUE,IF(input_faculty_discipline="",TRUE,SUMPRODUCT(--ISNUMBER(SEARCH(","&amp;TRIM(TEXTSPLIT(EG66,","))&amp;",",","&amp;SUBSTITUTE(input_faculty_discipline," ","")&amp;",")))=0)),IF(EI66="",TRUE,IF(input_faculty_discipline="",FALSE,SUMPRODUCT(--ISNUMBER(SEARCH(","&amp;TRIM(TEXTSPLIT(EI66,","))&amp;",",","&amp;SUBSTITUTE(input_faculty_discipline," ","")&amp;",")))&gt;0)),IF(EK66="",TRUE,IF(input_faculty_discipline="",FALSE,SUMPRODUCT(--ISNUMBER(SEARCH(","&amp;TRIM(TEXTSPLIT(EK66,","))&amp;",",","&amp;SUBSTITUTE(input_faculty_discipline," ","")&amp;",")))=COUNTA(TEXTSPLIT(EK66,",")))))</f>
        <v/>
      </c>
      <c r="JG66">
        <f>AND(IF(EM66="",TRUE,IF(input_faculty_expertise="",FALSE,SUMPRODUCT(--ISNUMBER(SEARCH(","&amp;TRIM(TEXTSPLIT(EM66,","))&amp;",",","&amp;SUBSTITUTE(input_faculty_expertise," ","")&amp;",")))&gt;0)),IF(EO66="",TRUE,IF(input_faculty_expertise="",FALSE,SUMPRODUCT(--ISNUMBER(SEARCH(","&amp;TRIM(TEXTSPLIT(EO66,","))&amp;",",","&amp;SUBSTITUTE(input_faculty_expertise," ","")&amp;",")))=COUNTA(TEXTSPLIT(EO66,",")))),IF(EQ66="",TRUE,IF(input_faculty_expertise="",TRUE,SUMPRODUCT(--ISNUMBER(SEARCH(","&amp;TRIM(TEXTSPLIT(EQ66,","))&amp;",",","&amp;SUBSTITUTE(input_faculty_expertise," ","")&amp;",")))=0)),IF(ES66="",TRUE,IF(input_faculty_expertise="",FALSE,SUMPRODUCT(--ISNUMBER(SEARCH(","&amp;TRIM(TEXTSPLIT(ES66,","))&amp;",",","&amp;SUBSTITUTE(input_faculty_expertise," ","")&amp;",")))&gt;0)),IF(EU66="",TRUE,IF(input_faculty_expertise="",FALSE,SUMPRODUCT(--ISNUMBER(SEARCH(","&amp;TRIM(TEXTSPLIT(EU66,","))&amp;",",","&amp;SUBSTITUTE(input_faculty_expertise," ","")&amp;",")))=COUNTA(TEXTSPLIT(EU66,",")))))</f>
        <v/>
      </c>
      <c r="JH66">
        <f>AND(IF(EW66="",TRUE,IF(input_global_network_school="",FALSE,SUMPRODUCT(--ISNUMBER(SEARCH(","&amp;TRIM(TEXTSPLIT(EW66,","))&amp;",",","&amp;SUBSTITUTE(input_global_network_school," ","")&amp;",")))&gt;0)),IF(EY66="",TRUE,IF(input_global_network_school="",FALSE,SUMPRODUCT(--ISNUMBER(SEARCH(","&amp;TRIM(TEXTSPLIT(EY66,","))&amp;",",","&amp;SUBSTITUTE(input_global_network_school," ","")&amp;",")))=COUNTA(TEXTSPLIT(EY66,",")))),IF(FA66="",TRUE,IF(input_global_network_school="",TRUE,SUMPRODUCT(--ISNUMBER(SEARCH(","&amp;TRIM(TEXTSPLIT(FA66,","))&amp;",",","&amp;SUBSTITUTE(input_global_network_school," ","")&amp;",")))=0)),IF(FC66="",TRUE,IF(input_global_network_school="",FALSE,SUMPRODUCT(--ISNUMBER(SEARCH(","&amp;TRIM(TEXTSPLIT(FC66,","))&amp;",",","&amp;SUBSTITUTE(input_global_network_school," ","")&amp;",")))&gt;0)),IF(FE66="",TRUE,IF(input_global_network_school="",FALSE,SUMPRODUCT(--ISNUMBER(SEARCH(","&amp;TRIM(TEXTSPLIT(FE66,","))&amp;",",","&amp;SUBSTITUTE(input_global_network_school," ","")&amp;",")))=COUNTA(TEXTSPLIT(FE66,",")))))</f>
        <v/>
      </c>
      <c r="JI66">
        <f>AND(IF(FG66="",TRUE,IF(input_industry="",FALSE,SUMPRODUCT(--ISNUMBER(SEARCH(","&amp;TRIM(TEXTSPLIT(FG66,","))&amp;",",","&amp;SUBSTITUTE(input_industry," ","")&amp;",")))&gt;0)),IF(FI66="",TRUE,IF(input_industry="",FALSE,SUMPRODUCT(--ISNUMBER(SEARCH(","&amp;TRIM(TEXTSPLIT(FI66,","))&amp;",",","&amp;SUBSTITUTE(input_industry," ","")&amp;",")))=COUNTA(TEXTSPLIT(FI66,",")))),IF(FK66="",TRUE,IF(input_industry="",TRUE,SUMPRODUCT(--ISNUMBER(SEARCH(","&amp;TRIM(TEXTSPLIT(FK66,","))&amp;",",","&amp;SUBSTITUTE(input_industry," ","")&amp;",")))=0)),IF(FM66="",TRUE,IF(input_industry="",FALSE,SUMPRODUCT(--ISNUMBER(SEARCH(","&amp;TRIM(TEXTSPLIT(FM66,","))&amp;",",","&amp;SUBSTITUTE(input_industry," ","")&amp;",")))&gt;0)),IF(FO66="",TRUE,IF(input_industry="",FALSE,SUMPRODUCT(--ISNUMBER(SEARCH(","&amp;TRIM(TEXTSPLIT(FO66,","))&amp;",",","&amp;SUBSTITUTE(input_industry," ","")&amp;",")))=COUNTA(TEXTSPLIT(FO66,",")))))</f>
        <v/>
      </c>
      <c r="JJ66">
        <f>AND(IF(FQ66="",TRUE,IF(input_location="",FALSE,SUMPRODUCT(--ISNUMBER(SEARCH(","&amp;TRIM(TEXTSPLIT(FQ66,","))&amp;",",","&amp;SUBSTITUTE(input_location," ","")&amp;",")))&gt;0)),IF(FS66="",TRUE,IF(input_location="",FALSE,SUMPRODUCT(--ISNUMBER(SEARCH(","&amp;TRIM(TEXTSPLIT(FS66,","))&amp;",",","&amp;SUBSTITUTE(input_location," ","")&amp;",")))=COUNTA(TEXTSPLIT(FS66,",")))),IF(FU66="",TRUE,IF(input_location="",TRUE,SUMPRODUCT(--ISNUMBER(SEARCH(","&amp;TRIM(TEXTSPLIT(FU66,","))&amp;",",","&amp;SUBSTITUTE(input_location," ","")&amp;",")))=0)),IF(FW66="",TRUE,IF(input_location="",FALSE,SUMPRODUCT(--ISNUMBER(SEARCH(","&amp;TRIM(TEXTSPLIT(FW66,","))&amp;",",","&amp;SUBSTITUTE(input_location," ","")&amp;",")))&gt;0)),IF(FY66="",TRUE,IF(input_location="",FALSE,SUMPRODUCT(--ISNUMBER(SEARCH(","&amp;TRIM(TEXTSPLIT(FY66,","))&amp;",",","&amp;SUBSTITUTE(input_location," ","")&amp;",")))=COUNTA(TEXTSPLIT(FY66,",")))))</f>
        <v/>
      </c>
      <c r="JK66">
        <f>AND(IF(GA66="",TRUE,IF(input_modality="",FALSE,SUMPRODUCT(--ISNUMBER(SEARCH(","&amp;TRIM(TEXTSPLIT(GA66,","))&amp;",",","&amp;SUBSTITUTE(input_modality," ","")&amp;",")))&gt;0)),IF(GC66="",TRUE,IF(input_modality="",FALSE,SUMPRODUCT(--ISNUMBER(SEARCH(","&amp;TRIM(TEXTSPLIT(GC66,","))&amp;",",","&amp;SUBSTITUTE(input_modality," ","")&amp;",")))=COUNTA(TEXTSPLIT(GC66,",")))),IF(GE66="",TRUE,IF(input_modality="",TRUE,SUMPRODUCT(--ISNUMBER(SEARCH(","&amp;TRIM(TEXTSPLIT(GE66,","))&amp;",",","&amp;SUBSTITUTE(input_modality," ","")&amp;",")))=0)),IF(GG66="",TRUE,IF(input_modality="",FALSE,SUMPRODUCT(--ISNUMBER(SEARCH(","&amp;TRIM(TEXTSPLIT(GG66,","))&amp;",",","&amp;SUBSTITUTE(input_modality," ","")&amp;",")))&gt;0)),IF(GI66="",TRUE,IF(input_modality="",FALSE,SUMPRODUCT(--ISNUMBER(SEARCH(","&amp;TRIM(TEXTSPLIT(GI66,","))&amp;",",","&amp;SUBSTITUTE(input_modality," ","")&amp;",")))=COUNTA(TEXTSPLIT(GI66,",")))))</f>
        <v/>
      </c>
      <c r="JL66">
        <f>AND(IF(GK66="",TRUE,IF(input_organizer="",FALSE,SUMPRODUCT(--ISNUMBER(SEARCH(","&amp;TRIM(TEXTSPLIT(GK66,","))&amp;",",","&amp;SUBSTITUTE(input_organizer," ","")&amp;",")))&gt;0)),IF(GM66="",TRUE,IF(input_organizer="",FALSE,SUMPRODUCT(--ISNUMBER(SEARCH(","&amp;TRIM(TEXTSPLIT(GM66,","))&amp;",",","&amp;SUBSTITUTE(input_organizer," ","")&amp;",")))=COUNTA(TEXTSPLIT(GM66,",")))),IF(GO66="",TRUE,IF(input_organizer="",TRUE,SUMPRODUCT(--ISNUMBER(SEARCH(","&amp;TRIM(TEXTSPLIT(GO66,","))&amp;",",","&amp;SUBSTITUTE(input_organizer," ","")&amp;",")))=0)),IF(GQ66="",TRUE,IF(input_organizer="",FALSE,SUMPRODUCT(--ISNUMBER(SEARCH(","&amp;TRIM(TEXTSPLIT(GQ66,","))&amp;",",","&amp;SUBSTITUTE(input_organizer," ","")&amp;",")))&gt;0)),IF(GS66="",TRUE,IF(input_organizer="",FALSE,SUMPRODUCT(--ISNUMBER(SEARCH(","&amp;TRIM(TEXTSPLIT(GS66,","))&amp;",",","&amp;SUBSTITUTE(input_organizer," ","")&amp;",")))=COUNTA(TEXTSPLIT(GS66,",")))))</f>
        <v/>
      </c>
      <c r="JM66">
        <f>AND(IF(GU66="",TRUE,IF(input_profile_type="",FALSE,SUMPRODUCT(--ISNUMBER(SEARCH(","&amp;TRIM(TEXTSPLIT(GU66,","))&amp;",",","&amp;SUBSTITUTE(input_profile_type," ","")&amp;",")))&gt;0)),IF(GW66="",TRUE,IF(input_profile_type="",FALSE,SUMPRODUCT(--ISNUMBER(SEARCH(","&amp;TRIM(TEXTSPLIT(GW66,","))&amp;",",","&amp;SUBSTITUTE(input_profile_type," ","")&amp;",")))=COUNTA(TEXTSPLIT(GW66,",")))),IF(GY66="",TRUE,IF(input_profile_type="",TRUE,SUMPRODUCT(--ISNUMBER(SEARCH(","&amp;TRIM(TEXTSPLIT(GY66,","))&amp;",",","&amp;SUBSTITUTE(input_profile_type," ","")&amp;",")))=0)),IF(HA66="",TRUE,IF(input_profile_type="",FALSE,SUMPRODUCT(--ISNUMBER(SEARCH(","&amp;TRIM(TEXTSPLIT(HA66,","))&amp;",",","&amp;SUBSTITUTE(input_profile_type," ","")&amp;",")))&gt;0)),IF(HC66="",TRUE,IF(input_profile_type="",FALSE,SUMPRODUCT(--ISNUMBER(SEARCH(","&amp;TRIM(TEXTSPLIT(HC66,","))&amp;",",","&amp;SUBSTITUTE(input_profile_type," ","")&amp;",")))=COUNTA(TEXTSPLIT(HC66,",")))))</f>
        <v/>
      </c>
      <c r="JN66">
        <f>AND(IF(HE66="",TRUE,IF(input_program="",FALSE,SUMPRODUCT(--ISNUMBER(SEARCH(","&amp;TRIM(TEXTSPLIT(HE66,","))&amp;",",","&amp;SUBSTITUTE(input_program," ","")&amp;",")))&gt;0)),IF(HG66="",TRUE,IF(input_program="",FALSE,SUMPRODUCT(--ISNUMBER(SEARCH(","&amp;TRIM(TEXTSPLIT(HG66,","))&amp;",",","&amp;SUBSTITUTE(input_program," ","")&amp;",")))=COUNTA(TEXTSPLIT(HG66,",")))),IF(HI66="",TRUE,IF(input_program="",TRUE,SUMPRODUCT(--ISNUMBER(SEARCH(","&amp;TRIM(TEXTSPLIT(HI66,","))&amp;",",","&amp;SUBSTITUTE(input_program," ","")&amp;",")))=0)),IF(HK66="",TRUE,IF(input_program="",FALSE,SUMPRODUCT(--ISNUMBER(SEARCH(","&amp;TRIM(TEXTSPLIT(HK66,","))&amp;",",","&amp;SUBSTITUTE(input_program," ","")&amp;",")))&gt;0)),IF(HM66="",TRUE,IF(input_program="",FALSE,SUMPRODUCT(--ISNUMBER(SEARCH(","&amp;TRIM(TEXTSPLIT(HM66,","))&amp;",",","&amp;SUBSTITUTE(input_program," ","")&amp;",")))=COUNTA(TEXTSPLIT(HM66,",")))))</f>
        <v/>
      </c>
      <c r="JO66">
        <f>AND(IF(HO66="",TRUE,IF(input_story_categories="",FALSE,SUMPRODUCT(--ISNUMBER(SEARCH(","&amp;TRIM(TEXTSPLIT(HO66,","))&amp;",",","&amp;SUBSTITUTE(input_story_categories," ","")&amp;",")))&gt;0)),IF(HQ66="",TRUE,IF(input_story_categories="",FALSE,SUMPRODUCT(--ISNUMBER(SEARCH(","&amp;TRIM(TEXTSPLIT(HQ66,","))&amp;",",","&amp;SUBSTITUTE(input_story_categories," ","")&amp;",")))=COUNTA(TEXTSPLIT(HQ66,",")))),IF(HS66="",TRUE,IF(input_story_categories="",TRUE,SUMPRODUCT(--ISNUMBER(SEARCH(","&amp;TRIM(TEXTSPLIT(HS66,","))&amp;",",","&amp;SUBSTITUTE(input_story_categories," ","")&amp;",")))=0)),IF(HU66="",TRUE,IF(input_story_categories="",FALSE,SUMPRODUCT(--ISNUMBER(SEARCH(","&amp;TRIM(TEXTSPLIT(HU66,","))&amp;",",","&amp;SUBSTITUTE(input_story_categories," ","")&amp;",")))&gt;0)),IF(HW66="",TRUE,IF(input_story_categories="",FALSE,SUMPRODUCT(--ISNUMBER(SEARCH(","&amp;TRIM(TEXTSPLIT(HW66,","))&amp;",",","&amp;SUBSTITUTE(input_story_categories," ","")&amp;",")))=COUNTA(TEXTSPLIT(HW66,",")))))</f>
        <v/>
      </c>
      <c r="JP66">
        <f>AND(IF(HY66="",TRUE,IF(input_story_type="",FALSE,SUMPRODUCT(--ISNUMBER(SEARCH(","&amp;TRIM(TEXTSPLIT(HY66,","))&amp;",",","&amp;SUBSTITUTE(input_story_type," ","")&amp;",")))&gt;0)),IF(IA66="",TRUE,IF(input_story_type="",FALSE,SUMPRODUCT(--ISNUMBER(SEARCH(","&amp;TRIM(TEXTSPLIT(IA66,","))&amp;",",","&amp;SUBSTITUTE(input_story_type," ","")&amp;",")))=COUNTA(TEXTSPLIT(IA66,",")))),IF(IC66="",TRUE,IF(input_story_type="",TRUE,SUMPRODUCT(--ISNUMBER(SEARCH(","&amp;TRIM(TEXTSPLIT(IC66,","))&amp;",",","&amp;SUBSTITUTE(input_story_type," ","")&amp;",")))=0)),IF(IE66="",TRUE,IF(input_story_type="",FALSE,SUMPRODUCT(--ISNUMBER(SEARCH(","&amp;TRIM(TEXTSPLIT(IE66,","))&amp;",",","&amp;SUBSTITUTE(input_story_type," ","")&amp;",")))&gt;0)),IF(IG66="",TRUE,IF(input_story_type="",FALSE,SUMPRODUCT(--ISNUMBER(SEARCH(","&amp;TRIM(TEXTSPLIT(IG66,","))&amp;",",","&amp;SUBSTITUTE(input_story_type," ","")&amp;",")))=COUNTA(TEXTSPLIT(IG66,",")))))</f>
        <v/>
      </c>
      <c r="JQ66">
        <f>AND(IF(II66="",TRUE,IF(input_topics="",FALSE,SUMPRODUCT(--ISNUMBER(SEARCH(","&amp;TRIM(TEXTSPLIT(II66,","))&amp;",",","&amp;SUBSTITUTE(input_topics," ","")&amp;",")))&gt;0)),IF(IK66="",TRUE,IF(input_topics="",FALSE,SUMPRODUCT(--ISNUMBER(SEARCH(","&amp;TRIM(TEXTSPLIT(IK66,","))&amp;",",","&amp;SUBSTITUTE(input_topics," ","")&amp;",")))=COUNTA(TEXTSPLIT(IK66,",")))),IF(IM66="",TRUE,IF(input_topics="",TRUE,SUMPRODUCT(--ISNUMBER(SEARCH(","&amp;TRIM(TEXTSPLIT(IM66,","))&amp;",",","&amp;SUBSTITUTE(input_topics," ","")&amp;",")))=0)),IF(IO66="",TRUE,IF(input_topics="",FALSE,SUMPRODUCT(--ISNUMBER(SEARCH(","&amp;TRIM(TEXTSPLIT(IO66,","))&amp;",",","&amp;SUBSTITUTE(input_topics," ","")&amp;",")))&gt;0)),IF(IQ66="",TRUE,IF(input_topics="",FALSE,SUMPRODUCT(--ISNUMBER(SEARCH(","&amp;TRIM(TEXTSPLIT(IQ66,","))&amp;",",","&amp;SUBSTITUTE(input_topics," ","")&amp;",")))=COUNTA(TEXTSPLIT(IQ66,",")))))</f>
        <v/>
      </c>
    </row>
    <row r="67">
      <c r="A67" s="4">
        <f>IF(NOT(IS67),"Excluded",IF(AND(IT67,IU67,IV67,IW67,IX67,IY67,IZ67,JA67,JB67,JC67,JD67,JE67,JF67,JG67,JH67,JI67,JJ67,JK67,JL67,JM67,JN67,JO67,JP67,JQ67),IF(I67&gt;0,"Eligible but limited","Will appear"),"Excluded"))</f>
        <v/>
      </c>
      <c r="B67" s="4" t="inlineStr">
        <is>
          <t>All stories</t>
        </is>
      </c>
      <c r="C67" s="4" t="inlineStr">
        <is>
          <t>/programs/mba/career-paths/employment-report-2025-26</t>
        </is>
      </c>
      <c r="D67" s="4" t="inlineStr">
        <is>
          <t>/programs/mba/career-paths/employment-report-2025-26</t>
        </is>
      </c>
      <c r="E67" s="4" t="n">
        <v>1</v>
      </c>
      <c r="F67" s="4" t="inlineStr">
        <is>
          <t>story</t>
        </is>
      </c>
      <c r="G67" s="4" t="inlineStr">
        <is>
          <t>stories_teaser_cards</t>
        </is>
      </c>
      <c r="H67" s="4" t="inlineStr">
        <is>
          <t>embed_all</t>
        </is>
      </c>
      <c r="I67" s="4" t="n">
        <v>3</v>
      </c>
      <c r="J67" s="4" t="inlineStr">
        <is>
          <t>Section inferred</t>
        </is>
      </c>
      <c r="K67" s="4" t="inlineStr">
        <is>
          <t>Page placement</t>
        </is>
      </c>
      <c r="L67" s="4" t="inlineStr">
        <is>
          <t>Content type: story; Context uses Courses Context: MBA (92); Limited to 3 item(s); Source: Section inferred</t>
        </is>
      </c>
      <c r="M67" t="inlineStr"/>
      <c r="N67" t="inlineStr"/>
      <c r="O67" t="inlineStr"/>
      <c r="P67" t="inlineStr"/>
      <c r="Q67" t="inlineStr"/>
      <c r="R67" t="inlineStr"/>
      <c r="S67" t="inlineStr"/>
      <c r="T67" t="inlineStr"/>
      <c r="U67" t="inlineStr"/>
      <c r="V67" t="inlineStr"/>
      <c r="W67" t="inlineStr"/>
      <c r="X67" t="inlineStr"/>
      <c r="Y67" t="inlineStr"/>
      <c r="Z67" t="inlineStr"/>
      <c r="AA67" t="inlineStr"/>
      <c r="AB67" t="inlineStr"/>
      <c r="AC67" t="inlineStr"/>
      <c r="AD67" t="inlineStr"/>
      <c r="AE67" t="inlineStr"/>
      <c r="AF67" t="inlineStr"/>
      <c r="AG67" t="inlineStr"/>
      <c r="AH67" t="inlineStr"/>
      <c r="AI67" t="inlineStr"/>
      <c r="AJ67" t="inlineStr"/>
      <c r="AK67" t="inlineStr"/>
      <c r="AL67" t="inlineStr"/>
      <c r="AM67" t="inlineStr"/>
      <c r="AN67" t="inlineStr"/>
      <c r="AO67" t="inlineStr"/>
      <c r="AP67" t="inlineStr"/>
      <c r="AQ67" t="inlineStr"/>
      <c r="AR67" t="inlineStr"/>
      <c r="AS67" t="inlineStr"/>
      <c r="AT67" t="inlineStr"/>
      <c r="AU67" t="inlineStr"/>
      <c r="AV67" t="inlineStr"/>
      <c r="AW67" t="inlineStr"/>
      <c r="AX67" t="inlineStr"/>
      <c r="AY67" t="inlineStr"/>
      <c r="AZ67" t="inlineStr"/>
      <c r="BA67" t="inlineStr"/>
      <c r="BB67" t="inlineStr"/>
      <c r="BC67" t="inlineStr"/>
      <c r="BD67" t="inlineStr"/>
      <c r="BE67" t="inlineStr"/>
      <c r="BF67" t="inlineStr"/>
      <c r="BG67" t="inlineStr"/>
      <c r="BH67" t="inlineStr"/>
      <c r="BI67" t="inlineStr"/>
      <c r="BJ67" t="inlineStr"/>
      <c r="BK67" t="inlineStr"/>
      <c r="BL67" t="inlineStr"/>
      <c r="BM67" t="inlineStr"/>
      <c r="BN67" t="inlineStr"/>
      <c r="BO67" t="inlineStr"/>
      <c r="BP67" t="inlineStr"/>
      <c r="BQ67" t="inlineStr">
        <is>
          <t>92</t>
        </is>
      </c>
      <c r="BR67" t="inlineStr">
        <is>
          <t>MBA (92)</t>
        </is>
      </c>
      <c r="BS67" t="inlineStr"/>
      <c r="BT67" t="inlineStr"/>
      <c r="BU67" t="inlineStr"/>
      <c r="BV67" t="inlineStr"/>
      <c r="BW67" t="inlineStr"/>
      <c r="BX67" t="inlineStr"/>
      <c r="BY67" t="inlineStr"/>
      <c r="BZ67" t="inlineStr"/>
      <c r="CA67" t="inlineStr"/>
      <c r="CB67" t="inlineStr"/>
      <c r="CC67" t="inlineStr"/>
      <c r="CD67" t="inlineStr"/>
      <c r="CE67" t="inlineStr"/>
      <c r="CF67" t="inlineStr"/>
      <c r="CG67" t="inlineStr"/>
      <c r="CH67" t="inlineStr"/>
      <c r="CI67" t="inlineStr"/>
      <c r="CJ67" t="inlineStr"/>
      <c r="CK67" t="inlineStr"/>
      <c r="CL67" t="inlineStr"/>
      <c r="CM67" t="inlineStr"/>
      <c r="CN67" t="inlineStr"/>
      <c r="CO67" t="inlineStr"/>
      <c r="CP67" t="inlineStr"/>
      <c r="CQ67" t="inlineStr"/>
      <c r="CR67" t="inlineStr"/>
      <c r="CS67" t="inlineStr"/>
      <c r="CT67" t="inlineStr"/>
      <c r="CU67" t="inlineStr"/>
      <c r="CV67" t="inlineStr"/>
      <c r="CW67" t="inlineStr"/>
      <c r="CX67" t="inlineStr"/>
      <c r="CY67" t="inlineStr"/>
      <c r="CZ67" t="inlineStr"/>
      <c r="DA67" t="inlineStr"/>
      <c r="DB67" t="inlineStr"/>
      <c r="DC67" t="inlineStr"/>
      <c r="DD67" t="inlineStr"/>
      <c r="DE67" t="inlineStr"/>
      <c r="DF67" t="inlineStr"/>
      <c r="DG67" t="inlineStr"/>
      <c r="DH67" t="inlineStr"/>
      <c r="DI67" t="inlineStr"/>
      <c r="DJ67" t="inlineStr"/>
      <c r="DK67" t="inlineStr"/>
      <c r="DL67" t="inlineStr"/>
      <c r="DM67" t="inlineStr"/>
      <c r="DN67" t="inlineStr"/>
      <c r="DO67" t="inlineStr"/>
      <c r="DP67" t="inlineStr"/>
      <c r="DQ67" t="inlineStr"/>
      <c r="DR67" t="inlineStr"/>
      <c r="DS67" t="inlineStr"/>
      <c r="DT67" t="inlineStr"/>
      <c r="DU67" t="inlineStr"/>
      <c r="DV67" t="inlineStr"/>
      <c r="DW67" t="inlineStr"/>
      <c r="DX67" t="inlineStr"/>
      <c r="DY67" t="inlineStr"/>
      <c r="DZ67" t="inlineStr"/>
      <c r="EA67" t="inlineStr"/>
      <c r="EB67" t="inlineStr"/>
      <c r="EC67" t="inlineStr"/>
      <c r="ED67" t="inlineStr"/>
      <c r="EE67" t="inlineStr"/>
      <c r="EF67" t="inlineStr"/>
      <c r="EG67" t="inlineStr"/>
      <c r="EH67" t="inlineStr"/>
      <c r="EI67" t="inlineStr"/>
      <c r="EJ67" t="inlineStr"/>
      <c r="EK67" t="inlineStr"/>
      <c r="EL67" t="inlineStr"/>
      <c r="EM67" t="inlineStr"/>
      <c r="EN67" t="inlineStr"/>
      <c r="EO67" t="inlineStr"/>
      <c r="EP67" t="inlineStr"/>
      <c r="EQ67" t="inlineStr"/>
      <c r="ER67" t="inlineStr"/>
      <c r="ES67" t="inlineStr"/>
      <c r="ET67" t="inlineStr"/>
      <c r="EU67" t="inlineStr"/>
      <c r="EV67" t="inlineStr"/>
      <c r="EW67" t="inlineStr"/>
      <c r="EX67" t="inlineStr"/>
      <c r="EY67" t="inlineStr"/>
      <c r="EZ67" t="inlineStr"/>
      <c r="FA67" t="inlineStr"/>
      <c r="FB67" t="inlineStr"/>
      <c r="FC67" t="inlineStr"/>
      <c r="FD67" t="inlineStr"/>
      <c r="FE67" t="inlineStr"/>
      <c r="FF67" t="inlineStr"/>
      <c r="FG67" t="inlineStr"/>
      <c r="FH67" t="inlineStr"/>
      <c r="FI67" t="inlineStr"/>
      <c r="FJ67" t="inlineStr"/>
      <c r="FK67" t="inlineStr"/>
      <c r="FL67" t="inlineStr"/>
      <c r="FM67" t="inlineStr"/>
      <c r="FN67" t="inlineStr"/>
      <c r="FO67" t="inlineStr"/>
      <c r="FP67" t="inlineStr"/>
      <c r="FQ67" t="inlineStr"/>
      <c r="FR67" t="inlineStr"/>
      <c r="FS67" t="inlineStr"/>
      <c r="FT67" t="inlineStr"/>
      <c r="FU67" t="inlineStr"/>
      <c r="FV67" t="inlineStr"/>
      <c r="FW67" t="inlineStr"/>
      <c r="FX67" t="inlineStr"/>
      <c r="FY67" t="inlineStr"/>
      <c r="FZ67" t="inlineStr"/>
      <c r="GA67" t="inlineStr"/>
      <c r="GB67" t="inlineStr"/>
      <c r="GC67" t="inlineStr"/>
      <c r="GD67" t="inlineStr"/>
      <c r="GE67" t="inlineStr"/>
      <c r="GF67" t="inlineStr"/>
      <c r="GG67" t="inlineStr"/>
      <c r="GH67" t="inlineStr"/>
      <c r="GI67" t="inlineStr"/>
      <c r="GJ67" t="inlineStr"/>
      <c r="GK67" t="inlineStr"/>
      <c r="GL67" t="inlineStr"/>
      <c r="GM67" t="inlineStr"/>
      <c r="GN67" t="inlineStr"/>
      <c r="GO67" t="inlineStr"/>
      <c r="GP67" t="inlineStr"/>
      <c r="GQ67" t="inlineStr"/>
      <c r="GR67" t="inlineStr"/>
      <c r="GS67" t="inlineStr"/>
      <c r="GT67" t="inlineStr"/>
      <c r="GU67" t="inlineStr"/>
      <c r="GV67" t="inlineStr"/>
      <c r="GW67" t="inlineStr"/>
      <c r="GX67" t="inlineStr"/>
      <c r="GY67" t="inlineStr"/>
      <c r="GZ67" t="inlineStr"/>
      <c r="HA67" t="inlineStr"/>
      <c r="HB67" t="inlineStr"/>
      <c r="HC67" t="inlineStr"/>
      <c r="HD67" t="inlineStr"/>
      <c r="HE67" t="inlineStr"/>
      <c r="HF67" t="inlineStr"/>
      <c r="HG67" t="inlineStr"/>
      <c r="HH67" t="inlineStr"/>
      <c r="HI67" t="inlineStr"/>
      <c r="HJ67" t="inlineStr"/>
      <c r="HK67" t="inlineStr"/>
      <c r="HL67" t="inlineStr"/>
      <c r="HM67" t="inlineStr"/>
      <c r="HN67" t="inlineStr"/>
      <c r="HO67" t="inlineStr"/>
      <c r="HP67" t="inlineStr"/>
      <c r="HQ67" t="inlineStr"/>
      <c r="HR67" t="inlineStr"/>
      <c r="HS67" t="inlineStr"/>
      <c r="HT67" t="inlineStr"/>
      <c r="HU67" t="inlineStr"/>
      <c r="HV67" t="inlineStr"/>
      <c r="HW67" t="inlineStr"/>
      <c r="HX67" t="inlineStr"/>
      <c r="HY67" t="inlineStr"/>
      <c r="HZ67" t="inlineStr"/>
      <c r="IA67" t="inlineStr"/>
      <c r="IB67" t="inlineStr"/>
      <c r="IC67" t="inlineStr"/>
      <c r="ID67" t="inlineStr"/>
      <c r="IE67" t="inlineStr"/>
      <c r="IF67" t="inlineStr"/>
      <c r="IG67" t="inlineStr"/>
      <c r="IH67" t="inlineStr"/>
      <c r="II67" t="inlineStr"/>
      <c r="IJ67" t="inlineStr"/>
      <c r="IK67" t="inlineStr"/>
      <c r="IL67" t="inlineStr"/>
      <c r="IM67" t="inlineStr"/>
      <c r="IN67" t="inlineStr"/>
      <c r="IO67" t="inlineStr"/>
      <c r="IP67" t="inlineStr"/>
      <c r="IQ67" t="inlineStr"/>
      <c r="IR67" t="inlineStr"/>
      <c r="IS67">
        <f>IF(input_content_type="",FALSE,ISNUMBER(SEARCH(","&amp;LOWER(input_content_type)&amp;",",","&amp;LOWER(F67)&amp;",")))</f>
        <v/>
      </c>
      <c r="IT67">
        <f>AND(IF(M67="",TRUE,IF(input_affiliations="",FALSE,SUMPRODUCT(--ISNUMBER(SEARCH(","&amp;TRIM(TEXTSPLIT(M67,","))&amp;",",","&amp;SUBSTITUTE(input_affiliations," ","")&amp;",")))&gt;0)),IF(O67="",TRUE,IF(input_affiliations="",FALSE,SUMPRODUCT(--ISNUMBER(SEARCH(","&amp;TRIM(TEXTSPLIT(O67,","))&amp;",",","&amp;SUBSTITUTE(input_affiliations," ","")&amp;",")))=COUNTA(TEXTSPLIT(O67,",")))),IF(Q67="",TRUE,IF(input_affiliations="",TRUE,SUMPRODUCT(--ISNUMBER(SEARCH(","&amp;TRIM(TEXTSPLIT(Q67,","))&amp;",",","&amp;SUBSTITUTE(input_affiliations," ","")&amp;",")))=0)),IF(S67="",TRUE,IF(input_affiliations="",FALSE,SUMPRODUCT(--ISNUMBER(SEARCH(","&amp;TRIM(TEXTSPLIT(S67,","))&amp;",",","&amp;SUBSTITUTE(input_affiliations," ","")&amp;",")))&gt;0)),IF(U67="",TRUE,IF(input_affiliations="",FALSE,SUMPRODUCT(--ISNUMBER(SEARCH(","&amp;TRIM(TEXTSPLIT(U67,","))&amp;",",","&amp;SUBSTITUTE(input_affiliations," ","")&amp;",")))=COUNTA(TEXTSPLIT(U67,",")))))</f>
        <v/>
      </c>
      <c r="IU67">
        <f>AND(IF(W67="",TRUE,IF(input_announcement_category="",FALSE,SUMPRODUCT(--ISNUMBER(SEARCH(","&amp;TRIM(TEXTSPLIT(W67,","))&amp;",",","&amp;SUBSTITUTE(input_announcement_category," ","")&amp;",")))&gt;0)),IF(Y67="",TRUE,IF(input_announcement_category="",FALSE,SUMPRODUCT(--ISNUMBER(SEARCH(","&amp;TRIM(TEXTSPLIT(Y67,","))&amp;",",","&amp;SUBSTITUTE(input_announcement_category," ","")&amp;",")))=COUNTA(TEXTSPLIT(Y67,",")))),IF(AA67="",TRUE,IF(input_announcement_category="",TRUE,SUMPRODUCT(--ISNUMBER(SEARCH(","&amp;TRIM(TEXTSPLIT(AA67,","))&amp;",",","&amp;SUBSTITUTE(input_announcement_category," ","")&amp;",")))=0)),IF(AC67="",TRUE,IF(input_announcement_category="",FALSE,SUMPRODUCT(--ISNUMBER(SEARCH(","&amp;TRIM(TEXTSPLIT(AC67,","))&amp;",",","&amp;SUBSTITUTE(input_announcement_category," ","")&amp;",")))&gt;0)),IF(AE67="",TRUE,IF(input_announcement_category="",FALSE,SUMPRODUCT(--ISNUMBER(SEARCH(","&amp;TRIM(TEXTSPLIT(AE67,","))&amp;",",","&amp;SUBSTITUTE(input_announcement_category," ","")&amp;",")))=COUNTA(TEXTSPLIT(AE67,",")))))</f>
        <v/>
      </c>
      <c r="IV67">
        <f>AND(IF(AG67="",TRUE,IF(input_area_of_focus="",FALSE,SUMPRODUCT(--ISNUMBER(SEARCH(","&amp;TRIM(TEXTSPLIT(AG67,","))&amp;",",","&amp;SUBSTITUTE(input_area_of_focus," ","")&amp;",")))&gt;0)),IF(AI67="",TRUE,IF(input_area_of_focus="",FALSE,SUMPRODUCT(--ISNUMBER(SEARCH(","&amp;TRIM(TEXTSPLIT(AI67,","))&amp;",",","&amp;SUBSTITUTE(input_area_of_focus," ","")&amp;",")))=COUNTA(TEXTSPLIT(AI67,",")))),IF(AK67="",TRUE,IF(input_area_of_focus="",TRUE,SUMPRODUCT(--ISNUMBER(SEARCH(","&amp;TRIM(TEXTSPLIT(AK67,","))&amp;",",","&amp;SUBSTITUTE(input_area_of_focus," ","")&amp;",")))=0)),IF(AM67="",TRUE,IF(input_area_of_focus="",FALSE,SUMPRODUCT(--ISNUMBER(SEARCH(","&amp;TRIM(TEXTSPLIT(AM67,","))&amp;",",","&amp;SUBSTITUTE(input_area_of_focus," ","")&amp;",")))&gt;0)),IF(AO67="",TRUE,IF(input_area_of_focus="",FALSE,SUMPRODUCT(--ISNUMBER(SEARCH(","&amp;TRIM(TEXTSPLIT(AO67,","))&amp;",",","&amp;SUBSTITUTE(input_area_of_focus," ","")&amp;",")))=COUNTA(TEXTSPLIT(AO67,",")))))</f>
        <v/>
      </c>
      <c r="IW67">
        <f>AND(IF(AQ67="",TRUE,IF(input_audience="",FALSE,SUMPRODUCT(--ISNUMBER(SEARCH(","&amp;TRIM(TEXTSPLIT(AQ67,","))&amp;",",","&amp;SUBSTITUTE(input_audience," ","")&amp;",")))&gt;0)),IF(AS67="",TRUE,IF(input_audience="",FALSE,SUMPRODUCT(--ISNUMBER(SEARCH(","&amp;TRIM(TEXTSPLIT(AS67,","))&amp;",",","&amp;SUBSTITUTE(input_audience," ","")&amp;",")))=COUNTA(TEXTSPLIT(AS67,",")))),IF(AU67="",TRUE,IF(input_audience="",TRUE,SUMPRODUCT(--ISNUMBER(SEARCH(","&amp;TRIM(TEXTSPLIT(AU67,","))&amp;",",","&amp;SUBSTITUTE(input_audience," ","")&amp;",")))=0)),IF(AW67="",TRUE,IF(input_audience="",FALSE,SUMPRODUCT(--ISNUMBER(SEARCH(","&amp;TRIM(TEXTSPLIT(AW67,","))&amp;",",","&amp;SUBSTITUTE(input_audience," ","")&amp;",")))&gt;0)),IF(AY67="",TRUE,IF(input_audience="",FALSE,SUMPRODUCT(--ISNUMBER(SEARCH(","&amp;TRIM(TEXTSPLIT(AY67,","))&amp;",",","&amp;SUBSTITUTE(input_audience," ","")&amp;",")))=COUNTA(TEXTSPLIT(AY67,",")))))</f>
        <v/>
      </c>
      <c r="IX67">
        <f>AND(IF(BA67="",TRUE,IF(input_challenge_opportunities="",FALSE,SUMPRODUCT(--ISNUMBER(SEARCH(","&amp;TRIM(TEXTSPLIT(BA67,","))&amp;",",","&amp;SUBSTITUTE(input_challenge_opportunities," ","")&amp;",")))&gt;0)),IF(BC67="",TRUE,IF(input_challenge_opportunities="",FALSE,SUMPRODUCT(--ISNUMBER(SEARCH(","&amp;TRIM(TEXTSPLIT(BC67,","))&amp;",",","&amp;SUBSTITUTE(input_challenge_opportunities," ","")&amp;",")))=COUNTA(TEXTSPLIT(BC67,",")))),IF(BE67="",TRUE,IF(input_challenge_opportunities="",TRUE,SUMPRODUCT(--ISNUMBER(SEARCH(","&amp;TRIM(TEXTSPLIT(BE67,","))&amp;",",","&amp;SUBSTITUTE(input_challenge_opportunities," ","")&amp;",")))=0)),IF(BG67="",TRUE,IF(input_challenge_opportunities="",FALSE,SUMPRODUCT(--ISNUMBER(SEARCH(","&amp;TRIM(TEXTSPLIT(BG67,","))&amp;",",","&amp;SUBSTITUTE(input_challenge_opportunities," ","")&amp;",")))&gt;0)),IF(BI67="",TRUE,IF(input_challenge_opportunities="",FALSE,SUMPRODUCT(--ISNUMBER(SEARCH(","&amp;TRIM(TEXTSPLIT(BI67,","))&amp;",",","&amp;SUBSTITUTE(input_challenge_opportunities," ","")&amp;",")))=COUNTA(TEXTSPLIT(BI67,",")))))</f>
        <v/>
      </c>
      <c r="IY67">
        <f>AND(IF(BK67="",TRUE,IF(input_context="",FALSE,SUMPRODUCT(--ISNUMBER(SEARCH(","&amp;TRIM(TEXTSPLIT(BK67,","))&amp;",",","&amp;SUBSTITUTE(input_context," ","")&amp;",")))&gt;0)),IF(BM67="",TRUE,IF(input_context="",FALSE,SUMPRODUCT(--ISNUMBER(SEARCH(","&amp;TRIM(TEXTSPLIT(BM67,","))&amp;",",","&amp;SUBSTITUTE(input_context," ","")&amp;",")))=COUNTA(TEXTSPLIT(BM67,",")))),IF(BO67="",TRUE,IF(input_context="",TRUE,SUMPRODUCT(--ISNUMBER(SEARCH(","&amp;TRIM(TEXTSPLIT(BO67,","))&amp;",",","&amp;SUBSTITUTE(input_context," ","")&amp;",")))=0)),IF(BQ67="",TRUE,IF(input_context="",FALSE,SUMPRODUCT(--ISNUMBER(SEARCH(","&amp;TRIM(TEXTSPLIT(BQ67,","))&amp;",",","&amp;SUBSTITUTE(input_context," ","")&amp;",")))&gt;0)),IF(BS67="",TRUE,IF(input_context="",FALSE,SUMPRODUCT(--ISNUMBER(SEARCH(","&amp;TRIM(TEXTSPLIT(BS67,","))&amp;",",","&amp;SUBSTITUTE(input_context," ","")&amp;",")))=COUNTA(TEXTSPLIT(BS67,",")))))</f>
        <v/>
      </c>
      <c r="IZ67">
        <f>AND(IF(BU67="",TRUE,IF(input_enews_announcement_type="",FALSE,SUMPRODUCT(--ISNUMBER(SEARCH(","&amp;TRIM(TEXTSPLIT(BU67,","))&amp;",",","&amp;SUBSTITUTE(input_enews_announcement_type," ","")&amp;",")))&gt;0)),IF(BW67="",TRUE,IF(input_enews_announcement_type="",FALSE,SUMPRODUCT(--ISNUMBER(SEARCH(","&amp;TRIM(TEXTSPLIT(BW67,","))&amp;",",","&amp;SUBSTITUTE(input_enews_announcement_type," ","")&amp;",")))=COUNTA(TEXTSPLIT(BW67,",")))),IF(BY67="",TRUE,IF(input_enews_announcement_type="",TRUE,SUMPRODUCT(--ISNUMBER(SEARCH(","&amp;TRIM(TEXTSPLIT(BY67,","))&amp;",",","&amp;SUBSTITUTE(input_enews_announcement_type," ","")&amp;",")))=0)),IF(CA67="",TRUE,IF(input_enews_announcement_type="",FALSE,SUMPRODUCT(--ISNUMBER(SEARCH(","&amp;TRIM(TEXTSPLIT(CA67,","))&amp;",",","&amp;SUBSTITUTE(input_enews_announcement_type," ","")&amp;",")))&gt;0)),IF(CC67="",TRUE,IF(input_enews_announcement_type="",FALSE,SUMPRODUCT(--ISNUMBER(SEARCH(","&amp;TRIM(TEXTSPLIT(CC67,","))&amp;",",","&amp;SUBSTITUTE(input_enews_announcement_type," ","")&amp;",")))=COUNTA(TEXTSPLIT(CC67,",")))))</f>
        <v/>
      </c>
      <c r="JA67">
        <f>AND(IF(CE67="",TRUE,IF(input_enews_audience="",FALSE,SUMPRODUCT(--ISNUMBER(SEARCH(","&amp;TRIM(TEXTSPLIT(CE67,","))&amp;",",","&amp;SUBSTITUTE(input_enews_audience," ","")&amp;",")))&gt;0)),IF(CG67="",TRUE,IF(input_enews_audience="",FALSE,SUMPRODUCT(--ISNUMBER(SEARCH(","&amp;TRIM(TEXTSPLIT(CG67,","))&amp;",",","&amp;SUBSTITUTE(input_enews_audience," ","")&amp;",")))=COUNTA(TEXTSPLIT(CG67,",")))),IF(CI67="",TRUE,IF(input_enews_audience="",TRUE,SUMPRODUCT(--ISNUMBER(SEARCH(","&amp;TRIM(TEXTSPLIT(CI67,","))&amp;",",","&amp;SUBSTITUTE(input_enews_audience," ","")&amp;",")))=0)),IF(CK67="",TRUE,IF(input_enews_audience="",FALSE,SUMPRODUCT(--ISNUMBER(SEARCH(","&amp;TRIM(TEXTSPLIT(CK67,","))&amp;",",","&amp;SUBSTITUTE(input_enews_audience," ","")&amp;",")))&gt;0)),IF(CM67="",TRUE,IF(input_enews_audience="",FALSE,SUMPRODUCT(--ISNUMBER(SEARCH(","&amp;TRIM(TEXTSPLIT(CM67,","))&amp;",",","&amp;SUBSTITUTE(input_enews_audience," ","")&amp;",")))=COUNTA(TEXTSPLIT(CM67,",")))))</f>
        <v/>
      </c>
      <c r="JB67">
        <f>AND(IF(CO67="",TRUE,IF(input_event_location="",FALSE,SUMPRODUCT(--ISNUMBER(SEARCH(","&amp;TRIM(TEXTSPLIT(CO67,","))&amp;",",","&amp;SUBSTITUTE(input_event_location," ","")&amp;",")))&gt;0)),IF(CQ67="",TRUE,IF(input_event_location="",FALSE,SUMPRODUCT(--ISNUMBER(SEARCH(","&amp;TRIM(TEXTSPLIT(CQ67,","))&amp;",",","&amp;SUBSTITUTE(input_event_location," ","")&amp;",")))=COUNTA(TEXTSPLIT(CQ67,",")))),IF(CS67="",TRUE,IF(input_event_location="",TRUE,SUMPRODUCT(--ISNUMBER(SEARCH(","&amp;TRIM(TEXTSPLIT(CS67,","))&amp;",",","&amp;SUBSTITUTE(input_event_location," ","")&amp;",")))=0)),IF(CU67="",TRUE,IF(input_event_location="",FALSE,SUMPRODUCT(--ISNUMBER(SEARCH(","&amp;TRIM(TEXTSPLIT(CU67,","))&amp;",",","&amp;SUBSTITUTE(input_event_location," ","")&amp;",")))&gt;0)),IF(CW67="",TRUE,IF(input_event_location="",FALSE,SUMPRODUCT(--ISNUMBER(SEARCH(","&amp;TRIM(TEXTSPLIT(CW67,","))&amp;",",","&amp;SUBSTITUTE(input_event_location," ","")&amp;",")))=COUNTA(TEXTSPLIT(CW67,",")))))</f>
        <v/>
      </c>
      <c r="JC67">
        <f>AND(IF(CY67="",TRUE,IF(input_event_type="",FALSE,SUMPRODUCT(--ISNUMBER(SEARCH(","&amp;TRIM(TEXTSPLIT(CY67,","))&amp;",",","&amp;SUBSTITUTE(input_event_type," ","")&amp;",")))&gt;0)),IF(DA67="",TRUE,IF(input_event_type="",FALSE,SUMPRODUCT(--ISNUMBER(SEARCH(","&amp;TRIM(TEXTSPLIT(DA67,","))&amp;",",","&amp;SUBSTITUTE(input_event_type," ","")&amp;",")))=COUNTA(TEXTSPLIT(DA67,",")))),IF(DC67="",TRUE,IF(input_event_type="",TRUE,SUMPRODUCT(--ISNUMBER(SEARCH(","&amp;TRIM(TEXTSPLIT(DC67,","))&amp;",",","&amp;SUBSTITUTE(input_event_type," ","")&amp;",")))=0)),IF(DE67="",TRUE,IF(input_event_type="",FALSE,SUMPRODUCT(--ISNUMBER(SEARCH(","&amp;TRIM(TEXTSPLIT(DE67,","))&amp;",",","&amp;SUBSTITUTE(input_event_type," ","")&amp;",")))&gt;0)),IF(DG67="",TRUE,IF(input_event_type="",FALSE,SUMPRODUCT(--ISNUMBER(SEARCH(","&amp;TRIM(TEXTSPLIT(DG67,","))&amp;",",","&amp;SUBSTITUTE(input_event_type," ","")&amp;",")))=COUNTA(TEXTSPLIT(DG67,",")))))</f>
        <v/>
      </c>
      <c r="JD67">
        <f>AND(IF(DI67="",TRUE,IF(input_executive_education_focus="",FALSE,SUMPRODUCT(--ISNUMBER(SEARCH(","&amp;TRIM(TEXTSPLIT(DI67,","))&amp;",",","&amp;SUBSTITUTE(input_executive_education_focus," ","")&amp;",")))&gt;0)),IF(DK67="",TRUE,IF(input_executive_education_focus="",FALSE,SUMPRODUCT(--ISNUMBER(SEARCH(","&amp;TRIM(TEXTSPLIT(DK67,","))&amp;",",","&amp;SUBSTITUTE(input_executive_education_focus," ","")&amp;",")))=COUNTA(TEXTSPLIT(DK67,",")))),IF(DM67="",TRUE,IF(input_executive_education_focus="",TRUE,SUMPRODUCT(--ISNUMBER(SEARCH(","&amp;TRIM(TEXTSPLIT(DM67,","))&amp;",",","&amp;SUBSTITUTE(input_executive_education_focus," ","")&amp;",")))=0)),IF(DO67="",TRUE,IF(input_executive_education_focus="",FALSE,SUMPRODUCT(--ISNUMBER(SEARCH(","&amp;TRIM(TEXTSPLIT(DO67,","))&amp;",",","&amp;SUBSTITUTE(input_executive_education_focus," ","")&amp;",")))&gt;0)),IF(DQ67="",TRUE,IF(input_executive_education_focus="",FALSE,SUMPRODUCT(--ISNUMBER(SEARCH(","&amp;TRIM(TEXTSPLIT(DQ67,","))&amp;",",","&amp;SUBSTITUTE(input_executive_education_focus," ","")&amp;",")))=COUNTA(TEXTSPLIT(DQ67,",")))))</f>
        <v/>
      </c>
      <c r="JE67">
        <f>AND(IF(DS67="",TRUE,IF(input_faculty_category="",FALSE,SUMPRODUCT(--ISNUMBER(SEARCH(","&amp;TRIM(TEXTSPLIT(DS67,","))&amp;",",","&amp;SUBSTITUTE(input_faculty_category," ","")&amp;",")))&gt;0)),IF(DU67="",TRUE,IF(input_faculty_category="",FALSE,SUMPRODUCT(--ISNUMBER(SEARCH(","&amp;TRIM(TEXTSPLIT(DU67,","))&amp;",",","&amp;SUBSTITUTE(input_faculty_category," ","")&amp;",")))=COUNTA(TEXTSPLIT(DU67,",")))),IF(DW67="",TRUE,IF(input_faculty_category="",TRUE,SUMPRODUCT(--ISNUMBER(SEARCH(","&amp;TRIM(TEXTSPLIT(DW67,","))&amp;",",","&amp;SUBSTITUTE(input_faculty_category," ","")&amp;",")))=0)),IF(DY67="",TRUE,IF(input_faculty_category="",FALSE,SUMPRODUCT(--ISNUMBER(SEARCH(","&amp;TRIM(TEXTSPLIT(DY67,","))&amp;",",","&amp;SUBSTITUTE(input_faculty_category," ","")&amp;",")))&gt;0)),IF(EA67="",TRUE,IF(input_faculty_category="",FALSE,SUMPRODUCT(--ISNUMBER(SEARCH(","&amp;TRIM(TEXTSPLIT(EA67,","))&amp;",",","&amp;SUBSTITUTE(input_faculty_category," ","")&amp;",")))=COUNTA(TEXTSPLIT(EA67,",")))))</f>
        <v/>
      </c>
      <c r="JF67">
        <f>AND(IF(EC67="",TRUE,IF(input_faculty_discipline="",FALSE,SUMPRODUCT(--ISNUMBER(SEARCH(","&amp;TRIM(TEXTSPLIT(EC67,","))&amp;",",","&amp;SUBSTITUTE(input_faculty_discipline," ","")&amp;",")))&gt;0)),IF(EE67="",TRUE,IF(input_faculty_discipline="",FALSE,SUMPRODUCT(--ISNUMBER(SEARCH(","&amp;TRIM(TEXTSPLIT(EE67,","))&amp;",",","&amp;SUBSTITUTE(input_faculty_discipline," ","")&amp;",")))=COUNTA(TEXTSPLIT(EE67,",")))),IF(EG67="",TRUE,IF(input_faculty_discipline="",TRUE,SUMPRODUCT(--ISNUMBER(SEARCH(","&amp;TRIM(TEXTSPLIT(EG67,","))&amp;",",","&amp;SUBSTITUTE(input_faculty_discipline," ","")&amp;",")))=0)),IF(EI67="",TRUE,IF(input_faculty_discipline="",FALSE,SUMPRODUCT(--ISNUMBER(SEARCH(","&amp;TRIM(TEXTSPLIT(EI67,","))&amp;",",","&amp;SUBSTITUTE(input_faculty_discipline," ","")&amp;",")))&gt;0)),IF(EK67="",TRUE,IF(input_faculty_discipline="",FALSE,SUMPRODUCT(--ISNUMBER(SEARCH(","&amp;TRIM(TEXTSPLIT(EK67,","))&amp;",",","&amp;SUBSTITUTE(input_faculty_discipline," ","")&amp;",")))=COUNTA(TEXTSPLIT(EK67,",")))))</f>
        <v/>
      </c>
      <c r="JG67">
        <f>AND(IF(EM67="",TRUE,IF(input_faculty_expertise="",FALSE,SUMPRODUCT(--ISNUMBER(SEARCH(","&amp;TRIM(TEXTSPLIT(EM67,","))&amp;",",","&amp;SUBSTITUTE(input_faculty_expertise," ","")&amp;",")))&gt;0)),IF(EO67="",TRUE,IF(input_faculty_expertise="",FALSE,SUMPRODUCT(--ISNUMBER(SEARCH(","&amp;TRIM(TEXTSPLIT(EO67,","))&amp;",",","&amp;SUBSTITUTE(input_faculty_expertise," ","")&amp;",")))=COUNTA(TEXTSPLIT(EO67,",")))),IF(EQ67="",TRUE,IF(input_faculty_expertise="",TRUE,SUMPRODUCT(--ISNUMBER(SEARCH(","&amp;TRIM(TEXTSPLIT(EQ67,","))&amp;",",","&amp;SUBSTITUTE(input_faculty_expertise," ","")&amp;",")))=0)),IF(ES67="",TRUE,IF(input_faculty_expertise="",FALSE,SUMPRODUCT(--ISNUMBER(SEARCH(","&amp;TRIM(TEXTSPLIT(ES67,","))&amp;",",","&amp;SUBSTITUTE(input_faculty_expertise," ","")&amp;",")))&gt;0)),IF(EU67="",TRUE,IF(input_faculty_expertise="",FALSE,SUMPRODUCT(--ISNUMBER(SEARCH(","&amp;TRIM(TEXTSPLIT(EU67,","))&amp;",",","&amp;SUBSTITUTE(input_faculty_expertise," ","")&amp;",")))=COUNTA(TEXTSPLIT(EU67,",")))))</f>
        <v/>
      </c>
      <c r="JH67">
        <f>AND(IF(EW67="",TRUE,IF(input_global_network_school="",FALSE,SUMPRODUCT(--ISNUMBER(SEARCH(","&amp;TRIM(TEXTSPLIT(EW67,","))&amp;",",","&amp;SUBSTITUTE(input_global_network_school," ","")&amp;",")))&gt;0)),IF(EY67="",TRUE,IF(input_global_network_school="",FALSE,SUMPRODUCT(--ISNUMBER(SEARCH(","&amp;TRIM(TEXTSPLIT(EY67,","))&amp;",",","&amp;SUBSTITUTE(input_global_network_school," ","")&amp;",")))=COUNTA(TEXTSPLIT(EY67,",")))),IF(FA67="",TRUE,IF(input_global_network_school="",TRUE,SUMPRODUCT(--ISNUMBER(SEARCH(","&amp;TRIM(TEXTSPLIT(FA67,","))&amp;",",","&amp;SUBSTITUTE(input_global_network_school," ","")&amp;",")))=0)),IF(FC67="",TRUE,IF(input_global_network_school="",FALSE,SUMPRODUCT(--ISNUMBER(SEARCH(","&amp;TRIM(TEXTSPLIT(FC67,","))&amp;",",","&amp;SUBSTITUTE(input_global_network_school," ","")&amp;",")))&gt;0)),IF(FE67="",TRUE,IF(input_global_network_school="",FALSE,SUMPRODUCT(--ISNUMBER(SEARCH(","&amp;TRIM(TEXTSPLIT(FE67,","))&amp;",",","&amp;SUBSTITUTE(input_global_network_school," ","")&amp;",")))=COUNTA(TEXTSPLIT(FE67,",")))))</f>
        <v/>
      </c>
      <c r="JI67">
        <f>AND(IF(FG67="",TRUE,IF(input_industry="",FALSE,SUMPRODUCT(--ISNUMBER(SEARCH(","&amp;TRIM(TEXTSPLIT(FG67,","))&amp;",",","&amp;SUBSTITUTE(input_industry," ","")&amp;",")))&gt;0)),IF(FI67="",TRUE,IF(input_industry="",FALSE,SUMPRODUCT(--ISNUMBER(SEARCH(","&amp;TRIM(TEXTSPLIT(FI67,","))&amp;",",","&amp;SUBSTITUTE(input_industry," ","")&amp;",")))=COUNTA(TEXTSPLIT(FI67,",")))),IF(FK67="",TRUE,IF(input_industry="",TRUE,SUMPRODUCT(--ISNUMBER(SEARCH(","&amp;TRIM(TEXTSPLIT(FK67,","))&amp;",",","&amp;SUBSTITUTE(input_industry," ","")&amp;",")))=0)),IF(FM67="",TRUE,IF(input_industry="",FALSE,SUMPRODUCT(--ISNUMBER(SEARCH(","&amp;TRIM(TEXTSPLIT(FM67,","))&amp;",",","&amp;SUBSTITUTE(input_industry," ","")&amp;",")))&gt;0)),IF(FO67="",TRUE,IF(input_industry="",FALSE,SUMPRODUCT(--ISNUMBER(SEARCH(","&amp;TRIM(TEXTSPLIT(FO67,","))&amp;",",","&amp;SUBSTITUTE(input_industry," ","")&amp;",")))=COUNTA(TEXTSPLIT(FO67,",")))))</f>
        <v/>
      </c>
      <c r="JJ67">
        <f>AND(IF(FQ67="",TRUE,IF(input_location="",FALSE,SUMPRODUCT(--ISNUMBER(SEARCH(","&amp;TRIM(TEXTSPLIT(FQ67,","))&amp;",",","&amp;SUBSTITUTE(input_location," ","")&amp;",")))&gt;0)),IF(FS67="",TRUE,IF(input_location="",FALSE,SUMPRODUCT(--ISNUMBER(SEARCH(","&amp;TRIM(TEXTSPLIT(FS67,","))&amp;",",","&amp;SUBSTITUTE(input_location," ","")&amp;",")))=COUNTA(TEXTSPLIT(FS67,",")))),IF(FU67="",TRUE,IF(input_location="",TRUE,SUMPRODUCT(--ISNUMBER(SEARCH(","&amp;TRIM(TEXTSPLIT(FU67,","))&amp;",",","&amp;SUBSTITUTE(input_location," ","")&amp;",")))=0)),IF(FW67="",TRUE,IF(input_location="",FALSE,SUMPRODUCT(--ISNUMBER(SEARCH(","&amp;TRIM(TEXTSPLIT(FW67,","))&amp;",",","&amp;SUBSTITUTE(input_location," ","")&amp;",")))&gt;0)),IF(FY67="",TRUE,IF(input_location="",FALSE,SUMPRODUCT(--ISNUMBER(SEARCH(","&amp;TRIM(TEXTSPLIT(FY67,","))&amp;",",","&amp;SUBSTITUTE(input_location," ","")&amp;",")))=COUNTA(TEXTSPLIT(FY67,",")))))</f>
        <v/>
      </c>
      <c r="JK67">
        <f>AND(IF(GA67="",TRUE,IF(input_modality="",FALSE,SUMPRODUCT(--ISNUMBER(SEARCH(","&amp;TRIM(TEXTSPLIT(GA67,","))&amp;",",","&amp;SUBSTITUTE(input_modality," ","")&amp;",")))&gt;0)),IF(GC67="",TRUE,IF(input_modality="",FALSE,SUMPRODUCT(--ISNUMBER(SEARCH(","&amp;TRIM(TEXTSPLIT(GC67,","))&amp;",",","&amp;SUBSTITUTE(input_modality," ","")&amp;",")))=COUNTA(TEXTSPLIT(GC67,",")))),IF(GE67="",TRUE,IF(input_modality="",TRUE,SUMPRODUCT(--ISNUMBER(SEARCH(","&amp;TRIM(TEXTSPLIT(GE67,","))&amp;",",","&amp;SUBSTITUTE(input_modality," ","")&amp;",")))=0)),IF(GG67="",TRUE,IF(input_modality="",FALSE,SUMPRODUCT(--ISNUMBER(SEARCH(","&amp;TRIM(TEXTSPLIT(GG67,","))&amp;",",","&amp;SUBSTITUTE(input_modality," ","")&amp;",")))&gt;0)),IF(GI67="",TRUE,IF(input_modality="",FALSE,SUMPRODUCT(--ISNUMBER(SEARCH(","&amp;TRIM(TEXTSPLIT(GI67,","))&amp;",",","&amp;SUBSTITUTE(input_modality," ","")&amp;",")))=COUNTA(TEXTSPLIT(GI67,",")))))</f>
        <v/>
      </c>
      <c r="JL67">
        <f>AND(IF(GK67="",TRUE,IF(input_organizer="",FALSE,SUMPRODUCT(--ISNUMBER(SEARCH(","&amp;TRIM(TEXTSPLIT(GK67,","))&amp;",",","&amp;SUBSTITUTE(input_organizer," ","")&amp;",")))&gt;0)),IF(GM67="",TRUE,IF(input_organizer="",FALSE,SUMPRODUCT(--ISNUMBER(SEARCH(","&amp;TRIM(TEXTSPLIT(GM67,","))&amp;",",","&amp;SUBSTITUTE(input_organizer," ","")&amp;",")))=COUNTA(TEXTSPLIT(GM67,",")))),IF(GO67="",TRUE,IF(input_organizer="",TRUE,SUMPRODUCT(--ISNUMBER(SEARCH(","&amp;TRIM(TEXTSPLIT(GO67,","))&amp;",",","&amp;SUBSTITUTE(input_organizer," ","")&amp;",")))=0)),IF(GQ67="",TRUE,IF(input_organizer="",FALSE,SUMPRODUCT(--ISNUMBER(SEARCH(","&amp;TRIM(TEXTSPLIT(GQ67,","))&amp;",",","&amp;SUBSTITUTE(input_organizer," ","")&amp;",")))&gt;0)),IF(GS67="",TRUE,IF(input_organizer="",FALSE,SUMPRODUCT(--ISNUMBER(SEARCH(","&amp;TRIM(TEXTSPLIT(GS67,","))&amp;",",","&amp;SUBSTITUTE(input_organizer," ","")&amp;",")))=COUNTA(TEXTSPLIT(GS67,",")))))</f>
        <v/>
      </c>
      <c r="JM67">
        <f>AND(IF(GU67="",TRUE,IF(input_profile_type="",FALSE,SUMPRODUCT(--ISNUMBER(SEARCH(","&amp;TRIM(TEXTSPLIT(GU67,","))&amp;",",","&amp;SUBSTITUTE(input_profile_type," ","")&amp;",")))&gt;0)),IF(GW67="",TRUE,IF(input_profile_type="",FALSE,SUMPRODUCT(--ISNUMBER(SEARCH(","&amp;TRIM(TEXTSPLIT(GW67,","))&amp;",",","&amp;SUBSTITUTE(input_profile_type," ","")&amp;",")))=COUNTA(TEXTSPLIT(GW67,",")))),IF(GY67="",TRUE,IF(input_profile_type="",TRUE,SUMPRODUCT(--ISNUMBER(SEARCH(","&amp;TRIM(TEXTSPLIT(GY67,","))&amp;",",","&amp;SUBSTITUTE(input_profile_type," ","")&amp;",")))=0)),IF(HA67="",TRUE,IF(input_profile_type="",FALSE,SUMPRODUCT(--ISNUMBER(SEARCH(","&amp;TRIM(TEXTSPLIT(HA67,","))&amp;",",","&amp;SUBSTITUTE(input_profile_type," ","")&amp;",")))&gt;0)),IF(HC67="",TRUE,IF(input_profile_type="",FALSE,SUMPRODUCT(--ISNUMBER(SEARCH(","&amp;TRIM(TEXTSPLIT(HC67,","))&amp;",",","&amp;SUBSTITUTE(input_profile_type," ","")&amp;",")))=COUNTA(TEXTSPLIT(HC67,",")))))</f>
        <v/>
      </c>
      <c r="JN67">
        <f>AND(IF(HE67="",TRUE,IF(input_program="",FALSE,SUMPRODUCT(--ISNUMBER(SEARCH(","&amp;TRIM(TEXTSPLIT(HE67,","))&amp;",",","&amp;SUBSTITUTE(input_program," ","")&amp;",")))&gt;0)),IF(HG67="",TRUE,IF(input_program="",FALSE,SUMPRODUCT(--ISNUMBER(SEARCH(","&amp;TRIM(TEXTSPLIT(HG67,","))&amp;",",","&amp;SUBSTITUTE(input_program," ","")&amp;",")))=COUNTA(TEXTSPLIT(HG67,",")))),IF(HI67="",TRUE,IF(input_program="",TRUE,SUMPRODUCT(--ISNUMBER(SEARCH(","&amp;TRIM(TEXTSPLIT(HI67,","))&amp;",",","&amp;SUBSTITUTE(input_program," ","")&amp;",")))=0)),IF(HK67="",TRUE,IF(input_program="",FALSE,SUMPRODUCT(--ISNUMBER(SEARCH(","&amp;TRIM(TEXTSPLIT(HK67,","))&amp;",",","&amp;SUBSTITUTE(input_program," ","")&amp;",")))&gt;0)),IF(HM67="",TRUE,IF(input_program="",FALSE,SUMPRODUCT(--ISNUMBER(SEARCH(","&amp;TRIM(TEXTSPLIT(HM67,","))&amp;",",","&amp;SUBSTITUTE(input_program," ","")&amp;",")))=COUNTA(TEXTSPLIT(HM67,",")))))</f>
        <v/>
      </c>
      <c r="JO67">
        <f>AND(IF(HO67="",TRUE,IF(input_story_categories="",FALSE,SUMPRODUCT(--ISNUMBER(SEARCH(","&amp;TRIM(TEXTSPLIT(HO67,","))&amp;",",","&amp;SUBSTITUTE(input_story_categories," ","")&amp;",")))&gt;0)),IF(HQ67="",TRUE,IF(input_story_categories="",FALSE,SUMPRODUCT(--ISNUMBER(SEARCH(","&amp;TRIM(TEXTSPLIT(HQ67,","))&amp;",",","&amp;SUBSTITUTE(input_story_categories," ","")&amp;",")))=COUNTA(TEXTSPLIT(HQ67,",")))),IF(HS67="",TRUE,IF(input_story_categories="",TRUE,SUMPRODUCT(--ISNUMBER(SEARCH(","&amp;TRIM(TEXTSPLIT(HS67,","))&amp;",",","&amp;SUBSTITUTE(input_story_categories," ","")&amp;",")))=0)),IF(HU67="",TRUE,IF(input_story_categories="",FALSE,SUMPRODUCT(--ISNUMBER(SEARCH(","&amp;TRIM(TEXTSPLIT(HU67,","))&amp;",",","&amp;SUBSTITUTE(input_story_categories," ","")&amp;",")))&gt;0)),IF(HW67="",TRUE,IF(input_story_categories="",FALSE,SUMPRODUCT(--ISNUMBER(SEARCH(","&amp;TRIM(TEXTSPLIT(HW67,","))&amp;",",","&amp;SUBSTITUTE(input_story_categories," ","")&amp;",")))=COUNTA(TEXTSPLIT(HW67,",")))))</f>
        <v/>
      </c>
      <c r="JP67">
        <f>AND(IF(HY67="",TRUE,IF(input_story_type="",FALSE,SUMPRODUCT(--ISNUMBER(SEARCH(","&amp;TRIM(TEXTSPLIT(HY67,","))&amp;",",","&amp;SUBSTITUTE(input_story_type," ","")&amp;",")))&gt;0)),IF(IA67="",TRUE,IF(input_story_type="",FALSE,SUMPRODUCT(--ISNUMBER(SEARCH(","&amp;TRIM(TEXTSPLIT(IA67,","))&amp;",",","&amp;SUBSTITUTE(input_story_type," ","")&amp;",")))=COUNTA(TEXTSPLIT(IA67,",")))),IF(IC67="",TRUE,IF(input_story_type="",TRUE,SUMPRODUCT(--ISNUMBER(SEARCH(","&amp;TRIM(TEXTSPLIT(IC67,","))&amp;",",","&amp;SUBSTITUTE(input_story_type," ","")&amp;",")))=0)),IF(IE67="",TRUE,IF(input_story_type="",FALSE,SUMPRODUCT(--ISNUMBER(SEARCH(","&amp;TRIM(TEXTSPLIT(IE67,","))&amp;",",","&amp;SUBSTITUTE(input_story_type," ","")&amp;",")))&gt;0)),IF(IG67="",TRUE,IF(input_story_type="",FALSE,SUMPRODUCT(--ISNUMBER(SEARCH(","&amp;TRIM(TEXTSPLIT(IG67,","))&amp;",",","&amp;SUBSTITUTE(input_story_type," ","")&amp;",")))=COUNTA(TEXTSPLIT(IG67,",")))))</f>
        <v/>
      </c>
      <c r="JQ67">
        <f>AND(IF(II67="",TRUE,IF(input_topics="",FALSE,SUMPRODUCT(--ISNUMBER(SEARCH(","&amp;TRIM(TEXTSPLIT(II67,","))&amp;",",","&amp;SUBSTITUTE(input_topics," ","")&amp;",")))&gt;0)),IF(IK67="",TRUE,IF(input_topics="",FALSE,SUMPRODUCT(--ISNUMBER(SEARCH(","&amp;TRIM(TEXTSPLIT(IK67,","))&amp;",",","&amp;SUBSTITUTE(input_topics," ","")&amp;",")))=COUNTA(TEXTSPLIT(IK67,",")))),IF(IM67="",TRUE,IF(input_topics="",TRUE,SUMPRODUCT(--ISNUMBER(SEARCH(","&amp;TRIM(TEXTSPLIT(IM67,","))&amp;",",","&amp;SUBSTITUTE(input_topics," ","")&amp;",")))=0)),IF(IO67="",TRUE,IF(input_topics="",FALSE,SUMPRODUCT(--ISNUMBER(SEARCH(","&amp;TRIM(TEXTSPLIT(IO67,","))&amp;",",","&amp;SUBSTITUTE(input_topics," ","")&amp;",")))&gt;0)),IF(IQ67="",TRUE,IF(input_topics="",FALSE,SUMPRODUCT(--ISNUMBER(SEARCH(","&amp;TRIM(TEXTSPLIT(IQ67,","))&amp;",",","&amp;SUBSTITUTE(input_topics," ","")&amp;",")))=COUNTA(TEXTSPLIT(IQ67,",")))))</f>
        <v/>
      </c>
    </row>
    <row r="68">
      <c r="A68" s="4">
        <f>IF(NOT(IS68),"Excluded",IF(AND(IT68,IU68,IV68,IW68,IX68,IY68,IZ68,JA68,JB68,JC68,JD68,JE68,JF68,JG68,JH68,JI68,JJ68,JK68,JL68,JM68,JN68,JO68,JP68,JQ68),IF(I68&gt;0,"Eligible but limited","Will appear"),"Excluded"))</f>
        <v/>
      </c>
      <c r="B68" s="4" t="inlineStr">
        <is>
          <t>All stories</t>
        </is>
      </c>
      <c r="C68" s="4" t="inlineStr">
        <is>
          <t>/the-som-experience</t>
        </is>
      </c>
      <c r="D68" s="4" t="inlineStr">
        <is>
          <t>/the-som-experience</t>
        </is>
      </c>
      <c r="E68" s="4" t="n">
        <v>1</v>
      </c>
      <c r="F68" s="4" t="inlineStr">
        <is>
          <t>story</t>
        </is>
      </c>
      <c r="G68" s="4" t="inlineStr">
        <is>
          <t>stories_teaser_cards</t>
        </is>
      </c>
      <c r="H68" s="4" t="inlineStr">
        <is>
          <t>embed_all</t>
        </is>
      </c>
      <c r="I68" s="4" t="n">
        <v>3</v>
      </c>
      <c r="J68" s="4" t="inlineStr">
        <is>
          <t>View/config rules</t>
        </is>
      </c>
      <c r="K68" s="4" t="inlineStr">
        <is>
          <t>Page placement</t>
        </is>
      </c>
      <c r="L68" s="4" t="inlineStr">
        <is>
          <t>Content type: story; Limited to 3 item(s); Source: View/config rules</t>
        </is>
      </c>
      <c r="M68" t="inlineStr"/>
      <c r="N68" t="inlineStr"/>
      <c r="O68" t="inlineStr"/>
      <c r="P68" t="inlineStr"/>
      <c r="Q68" t="inlineStr"/>
      <c r="R68" t="inlineStr"/>
      <c r="S68" t="inlineStr"/>
      <c r="T68" t="inlineStr"/>
      <c r="U68" t="inlineStr"/>
      <c r="V68" t="inlineStr"/>
      <c r="W68" t="inlineStr"/>
      <c r="X68" t="inlineStr"/>
      <c r="Y68" t="inlineStr"/>
      <c r="Z68" t="inlineStr"/>
      <c r="AA68" t="inlineStr"/>
      <c r="AB68" t="inlineStr"/>
      <c r="AC68" t="inlineStr"/>
      <c r="AD68" t="inlineStr"/>
      <c r="AE68" t="inlineStr"/>
      <c r="AF68" t="inlineStr"/>
      <c r="AG68" t="inlineStr"/>
      <c r="AH68" t="inlineStr"/>
      <c r="AI68" t="inlineStr"/>
      <c r="AJ68" t="inlineStr"/>
      <c r="AK68" t="inlineStr"/>
      <c r="AL68" t="inlineStr"/>
      <c r="AM68" t="inlineStr"/>
      <c r="AN68" t="inlineStr"/>
      <c r="AO68" t="inlineStr"/>
      <c r="AP68" t="inlineStr"/>
      <c r="AQ68" t="inlineStr"/>
      <c r="AR68" t="inlineStr"/>
      <c r="AS68" t="inlineStr"/>
      <c r="AT68" t="inlineStr"/>
      <c r="AU68" t="inlineStr"/>
      <c r="AV68" t="inlineStr"/>
      <c r="AW68" t="inlineStr"/>
      <c r="AX68" t="inlineStr"/>
      <c r="AY68" t="inlineStr"/>
      <c r="AZ68" t="inlineStr"/>
      <c r="BA68" t="inlineStr"/>
      <c r="BB68" t="inlineStr"/>
      <c r="BC68" t="inlineStr"/>
      <c r="BD68" t="inlineStr"/>
      <c r="BE68" t="inlineStr"/>
      <c r="BF68" t="inlineStr"/>
      <c r="BG68" t="inlineStr"/>
      <c r="BH68" t="inlineStr"/>
      <c r="BI68" t="inlineStr"/>
      <c r="BJ68" t="inlineStr"/>
      <c r="BK68" t="inlineStr"/>
      <c r="BL68" t="inlineStr"/>
      <c r="BM68" t="inlineStr"/>
      <c r="BN68" t="inlineStr"/>
      <c r="BO68" t="inlineStr"/>
      <c r="BP68" t="inlineStr"/>
      <c r="BQ68" t="inlineStr"/>
      <c r="BR68" t="inlineStr"/>
      <c r="BS68" t="inlineStr"/>
      <c r="BT68" t="inlineStr"/>
      <c r="BU68" t="inlineStr"/>
      <c r="BV68" t="inlineStr"/>
      <c r="BW68" t="inlineStr"/>
      <c r="BX68" t="inlineStr"/>
      <c r="BY68" t="inlineStr"/>
      <c r="BZ68" t="inlineStr"/>
      <c r="CA68" t="inlineStr"/>
      <c r="CB68" t="inlineStr"/>
      <c r="CC68" t="inlineStr"/>
      <c r="CD68" t="inlineStr"/>
      <c r="CE68" t="inlineStr"/>
      <c r="CF68" t="inlineStr"/>
      <c r="CG68" t="inlineStr"/>
      <c r="CH68" t="inlineStr"/>
      <c r="CI68" t="inlineStr"/>
      <c r="CJ68" t="inlineStr"/>
      <c r="CK68" t="inlineStr"/>
      <c r="CL68" t="inlineStr"/>
      <c r="CM68" t="inlineStr"/>
      <c r="CN68" t="inlineStr"/>
      <c r="CO68" t="inlineStr"/>
      <c r="CP68" t="inlineStr"/>
      <c r="CQ68" t="inlineStr"/>
      <c r="CR68" t="inlineStr"/>
      <c r="CS68" t="inlineStr"/>
      <c r="CT68" t="inlineStr"/>
      <c r="CU68" t="inlineStr"/>
      <c r="CV68" t="inlineStr"/>
      <c r="CW68" t="inlineStr"/>
      <c r="CX68" t="inlineStr"/>
      <c r="CY68" t="inlineStr"/>
      <c r="CZ68" t="inlineStr"/>
      <c r="DA68" t="inlineStr"/>
      <c r="DB68" t="inlineStr"/>
      <c r="DC68" t="inlineStr"/>
      <c r="DD68" t="inlineStr"/>
      <c r="DE68" t="inlineStr"/>
      <c r="DF68" t="inlineStr"/>
      <c r="DG68" t="inlineStr"/>
      <c r="DH68" t="inlineStr"/>
      <c r="DI68" t="inlineStr"/>
      <c r="DJ68" t="inlineStr"/>
      <c r="DK68" t="inlineStr"/>
      <c r="DL68" t="inlineStr"/>
      <c r="DM68" t="inlineStr"/>
      <c r="DN68" t="inlineStr"/>
      <c r="DO68" t="inlineStr"/>
      <c r="DP68" t="inlineStr"/>
      <c r="DQ68" t="inlineStr"/>
      <c r="DR68" t="inlineStr"/>
      <c r="DS68" t="inlineStr"/>
      <c r="DT68" t="inlineStr"/>
      <c r="DU68" t="inlineStr"/>
      <c r="DV68" t="inlineStr"/>
      <c r="DW68" t="inlineStr"/>
      <c r="DX68" t="inlineStr"/>
      <c r="DY68" t="inlineStr"/>
      <c r="DZ68" t="inlineStr"/>
      <c r="EA68" t="inlineStr"/>
      <c r="EB68" t="inlineStr"/>
      <c r="EC68" t="inlineStr"/>
      <c r="ED68" t="inlineStr"/>
      <c r="EE68" t="inlineStr"/>
      <c r="EF68" t="inlineStr"/>
      <c r="EG68" t="inlineStr"/>
      <c r="EH68" t="inlineStr"/>
      <c r="EI68" t="inlineStr"/>
      <c r="EJ68" t="inlineStr"/>
      <c r="EK68" t="inlineStr"/>
      <c r="EL68" t="inlineStr"/>
      <c r="EM68" t="inlineStr"/>
      <c r="EN68" t="inlineStr"/>
      <c r="EO68" t="inlineStr"/>
      <c r="EP68" t="inlineStr"/>
      <c r="EQ68" t="inlineStr"/>
      <c r="ER68" t="inlineStr"/>
      <c r="ES68" t="inlineStr"/>
      <c r="ET68" t="inlineStr"/>
      <c r="EU68" t="inlineStr"/>
      <c r="EV68" t="inlineStr"/>
      <c r="EW68" t="inlineStr"/>
      <c r="EX68" t="inlineStr"/>
      <c r="EY68" t="inlineStr"/>
      <c r="EZ68" t="inlineStr"/>
      <c r="FA68" t="inlineStr"/>
      <c r="FB68" t="inlineStr"/>
      <c r="FC68" t="inlineStr"/>
      <c r="FD68" t="inlineStr"/>
      <c r="FE68" t="inlineStr"/>
      <c r="FF68" t="inlineStr"/>
      <c r="FG68" t="inlineStr"/>
      <c r="FH68" t="inlineStr"/>
      <c r="FI68" t="inlineStr"/>
      <c r="FJ68" t="inlineStr"/>
      <c r="FK68" t="inlineStr"/>
      <c r="FL68" t="inlineStr"/>
      <c r="FM68" t="inlineStr"/>
      <c r="FN68" t="inlineStr"/>
      <c r="FO68" t="inlineStr"/>
      <c r="FP68" t="inlineStr"/>
      <c r="FQ68" t="inlineStr"/>
      <c r="FR68" t="inlineStr"/>
      <c r="FS68" t="inlineStr"/>
      <c r="FT68" t="inlineStr"/>
      <c r="FU68" t="inlineStr"/>
      <c r="FV68" t="inlineStr"/>
      <c r="FW68" t="inlineStr"/>
      <c r="FX68" t="inlineStr"/>
      <c r="FY68" t="inlineStr"/>
      <c r="FZ68" t="inlineStr"/>
      <c r="GA68" t="inlineStr"/>
      <c r="GB68" t="inlineStr"/>
      <c r="GC68" t="inlineStr"/>
      <c r="GD68" t="inlineStr"/>
      <c r="GE68" t="inlineStr"/>
      <c r="GF68" t="inlineStr"/>
      <c r="GG68" t="inlineStr"/>
      <c r="GH68" t="inlineStr"/>
      <c r="GI68" t="inlineStr"/>
      <c r="GJ68" t="inlineStr"/>
      <c r="GK68" t="inlineStr"/>
      <c r="GL68" t="inlineStr"/>
      <c r="GM68" t="inlineStr"/>
      <c r="GN68" t="inlineStr"/>
      <c r="GO68" t="inlineStr"/>
      <c r="GP68" t="inlineStr"/>
      <c r="GQ68" t="inlineStr"/>
      <c r="GR68" t="inlineStr"/>
      <c r="GS68" t="inlineStr"/>
      <c r="GT68" t="inlineStr"/>
      <c r="GU68" t="inlineStr"/>
      <c r="GV68" t="inlineStr"/>
      <c r="GW68" t="inlineStr"/>
      <c r="GX68" t="inlineStr"/>
      <c r="GY68" t="inlineStr"/>
      <c r="GZ68" t="inlineStr"/>
      <c r="HA68" t="inlineStr"/>
      <c r="HB68" t="inlineStr"/>
      <c r="HC68" t="inlineStr"/>
      <c r="HD68" t="inlineStr"/>
      <c r="HE68" t="inlineStr"/>
      <c r="HF68" t="inlineStr"/>
      <c r="HG68" t="inlineStr"/>
      <c r="HH68" t="inlineStr"/>
      <c r="HI68" t="inlineStr"/>
      <c r="HJ68" t="inlineStr"/>
      <c r="HK68" t="inlineStr"/>
      <c r="HL68" t="inlineStr"/>
      <c r="HM68" t="inlineStr"/>
      <c r="HN68" t="inlineStr"/>
      <c r="HO68" t="inlineStr"/>
      <c r="HP68" t="inlineStr"/>
      <c r="HQ68" t="inlineStr"/>
      <c r="HR68" t="inlineStr"/>
      <c r="HS68" t="inlineStr"/>
      <c r="HT68" t="inlineStr"/>
      <c r="HU68" t="inlineStr"/>
      <c r="HV68" t="inlineStr"/>
      <c r="HW68" t="inlineStr"/>
      <c r="HX68" t="inlineStr"/>
      <c r="HY68" t="inlineStr"/>
      <c r="HZ68" t="inlineStr"/>
      <c r="IA68" t="inlineStr"/>
      <c r="IB68" t="inlineStr"/>
      <c r="IC68" t="inlineStr"/>
      <c r="ID68" t="inlineStr"/>
      <c r="IE68" t="inlineStr"/>
      <c r="IF68" t="inlineStr"/>
      <c r="IG68" t="inlineStr"/>
      <c r="IH68" t="inlineStr"/>
      <c r="II68" t="inlineStr"/>
      <c r="IJ68" t="inlineStr"/>
      <c r="IK68" t="inlineStr"/>
      <c r="IL68" t="inlineStr"/>
      <c r="IM68" t="inlineStr"/>
      <c r="IN68" t="inlineStr"/>
      <c r="IO68" t="inlineStr"/>
      <c r="IP68" t="inlineStr"/>
      <c r="IQ68" t="inlineStr"/>
      <c r="IR68" t="inlineStr"/>
      <c r="IS68">
        <f>IF(input_content_type="",FALSE,ISNUMBER(SEARCH(","&amp;LOWER(input_content_type)&amp;",",","&amp;LOWER(F68)&amp;",")))</f>
        <v/>
      </c>
      <c r="IT68">
        <f>AND(IF(M68="",TRUE,IF(input_affiliations="",FALSE,SUMPRODUCT(--ISNUMBER(SEARCH(","&amp;TRIM(TEXTSPLIT(M68,","))&amp;",",","&amp;SUBSTITUTE(input_affiliations," ","")&amp;",")))&gt;0)),IF(O68="",TRUE,IF(input_affiliations="",FALSE,SUMPRODUCT(--ISNUMBER(SEARCH(","&amp;TRIM(TEXTSPLIT(O68,","))&amp;",",","&amp;SUBSTITUTE(input_affiliations," ","")&amp;",")))=COUNTA(TEXTSPLIT(O68,",")))),IF(Q68="",TRUE,IF(input_affiliations="",TRUE,SUMPRODUCT(--ISNUMBER(SEARCH(","&amp;TRIM(TEXTSPLIT(Q68,","))&amp;",",","&amp;SUBSTITUTE(input_affiliations," ","")&amp;",")))=0)),IF(S68="",TRUE,IF(input_affiliations="",FALSE,SUMPRODUCT(--ISNUMBER(SEARCH(","&amp;TRIM(TEXTSPLIT(S68,","))&amp;",",","&amp;SUBSTITUTE(input_affiliations," ","")&amp;",")))&gt;0)),IF(U68="",TRUE,IF(input_affiliations="",FALSE,SUMPRODUCT(--ISNUMBER(SEARCH(","&amp;TRIM(TEXTSPLIT(U68,","))&amp;",",","&amp;SUBSTITUTE(input_affiliations," ","")&amp;",")))=COUNTA(TEXTSPLIT(U68,",")))))</f>
        <v/>
      </c>
      <c r="IU68">
        <f>AND(IF(W68="",TRUE,IF(input_announcement_category="",FALSE,SUMPRODUCT(--ISNUMBER(SEARCH(","&amp;TRIM(TEXTSPLIT(W68,","))&amp;",",","&amp;SUBSTITUTE(input_announcement_category," ","")&amp;",")))&gt;0)),IF(Y68="",TRUE,IF(input_announcement_category="",FALSE,SUMPRODUCT(--ISNUMBER(SEARCH(","&amp;TRIM(TEXTSPLIT(Y68,","))&amp;",",","&amp;SUBSTITUTE(input_announcement_category," ","")&amp;",")))=COUNTA(TEXTSPLIT(Y68,",")))),IF(AA68="",TRUE,IF(input_announcement_category="",TRUE,SUMPRODUCT(--ISNUMBER(SEARCH(","&amp;TRIM(TEXTSPLIT(AA68,","))&amp;",",","&amp;SUBSTITUTE(input_announcement_category," ","")&amp;",")))=0)),IF(AC68="",TRUE,IF(input_announcement_category="",FALSE,SUMPRODUCT(--ISNUMBER(SEARCH(","&amp;TRIM(TEXTSPLIT(AC68,","))&amp;",",","&amp;SUBSTITUTE(input_announcement_category," ","")&amp;",")))&gt;0)),IF(AE68="",TRUE,IF(input_announcement_category="",FALSE,SUMPRODUCT(--ISNUMBER(SEARCH(","&amp;TRIM(TEXTSPLIT(AE68,","))&amp;",",","&amp;SUBSTITUTE(input_announcement_category," ","")&amp;",")))=COUNTA(TEXTSPLIT(AE68,",")))))</f>
        <v/>
      </c>
      <c r="IV68">
        <f>AND(IF(AG68="",TRUE,IF(input_area_of_focus="",FALSE,SUMPRODUCT(--ISNUMBER(SEARCH(","&amp;TRIM(TEXTSPLIT(AG68,","))&amp;",",","&amp;SUBSTITUTE(input_area_of_focus," ","")&amp;",")))&gt;0)),IF(AI68="",TRUE,IF(input_area_of_focus="",FALSE,SUMPRODUCT(--ISNUMBER(SEARCH(","&amp;TRIM(TEXTSPLIT(AI68,","))&amp;",",","&amp;SUBSTITUTE(input_area_of_focus," ","")&amp;",")))=COUNTA(TEXTSPLIT(AI68,",")))),IF(AK68="",TRUE,IF(input_area_of_focus="",TRUE,SUMPRODUCT(--ISNUMBER(SEARCH(","&amp;TRIM(TEXTSPLIT(AK68,","))&amp;",",","&amp;SUBSTITUTE(input_area_of_focus," ","")&amp;",")))=0)),IF(AM68="",TRUE,IF(input_area_of_focus="",FALSE,SUMPRODUCT(--ISNUMBER(SEARCH(","&amp;TRIM(TEXTSPLIT(AM68,","))&amp;",",","&amp;SUBSTITUTE(input_area_of_focus," ","")&amp;",")))&gt;0)),IF(AO68="",TRUE,IF(input_area_of_focus="",FALSE,SUMPRODUCT(--ISNUMBER(SEARCH(","&amp;TRIM(TEXTSPLIT(AO68,","))&amp;",",","&amp;SUBSTITUTE(input_area_of_focus," ","")&amp;",")))=COUNTA(TEXTSPLIT(AO68,",")))))</f>
        <v/>
      </c>
      <c r="IW68">
        <f>AND(IF(AQ68="",TRUE,IF(input_audience="",FALSE,SUMPRODUCT(--ISNUMBER(SEARCH(","&amp;TRIM(TEXTSPLIT(AQ68,","))&amp;",",","&amp;SUBSTITUTE(input_audience," ","")&amp;",")))&gt;0)),IF(AS68="",TRUE,IF(input_audience="",FALSE,SUMPRODUCT(--ISNUMBER(SEARCH(","&amp;TRIM(TEXTSPLIT(AS68,","))&amp;",",","&amp;SUBSTITUTE(input_audience," ","")&amp;",")))=COUNTA(TEXTSPLIT(AS68,",")))),IF(AU68="",TRUE,IF(input_audience="",TRUE,SUMPRODUCT(--ISNUMBER(SEARCH(","&amp;TRIM(TEXTSPLIT(AU68,","))&amp;",",","&amp;SUBSTITUTE(input_audience," ","")&amp;",")))=0)),IF(AW68="",TRUE,IF(input_audience="",FALSE,SUMPRODUCT(--ISNUMBER(SEARCH(","&amp;TRIM(TEXTSPLIT(AW68,","))&amp;",",","&amp;SUBSTITUTE(input_audience," ","")&amp;",")))&gt;0)),IF(AY68="",TRUE,IF(input_audience="",FALSE,SUMPRODUCT(--ISNUMBER(SEARCH(","&amp;TRIM(TEXTSPLIT(AY68,","))&amp;",",","&amp;SUBSTITUTE(input_audience," ","")&amp;",")))=COUNTA(TEXTSPLIT(AY68,",")))))</f>
        <v/>
      </c>
      <c r="IX68">
        <f>AND(IF(BA68="",TRUE,IF(input_challenge_opportunities="",FALSE,SUMPRODUCT(--ISNUMBER(SEARCH(","&amp;TRIM(TEXTSPLIT(BA68,","))&amp;",",","&amp;SUBSTITUTE(input_challenge_opportunities," ","")&amp;",")))&gt;0)),IF(BC68="",TRUE,IF(input_challenge_opportunities="",FALSE,SUMPRODUCT(--ISNUMBER(SEARCH(","&amp;TRIM(TEXTSPLIT(BC68,","))&amp;",",","&amp;SUBSTITUTE(input_challenge_opportunities," ","")&amp;",")))=COUNTA(TEXTSPLIT(BC68,",")))),IF(BE68="",TRUE,IF(input_challenge_opportunities="",TRUE,SUMPRODUCT(--ISNUMBER(SEARCH(","&amp;TRIM(TEXTSPLIT(BE68,","))&amp;",",","&amp;SUBSTITUTE(input_challenge_opportunities," ","")&amp;",")))=0)),IF(BG68="",TRUE,IF(input_challenge_opportunities="",FALSE,SUMPRODUCT(--ISNUMBER(SEARCH(","&amp;TRIM(TEXTSPLIT(BG68,","))&amp;",",","&amp;SUBSTITUTE(input_challenge_opportunities," ","")&amp;",")))&gt;0)),IF(BI68="",TRUE,IF(input_challenge_opportunities="",FALSE,SUMPRODUCT(--ISNUMBER(SEARCH(","&amp;TRIM(TEXTSPLIT(BI68,","))&amp;",",","&amp;SUBSTITUTE(input_challenge_opportunities," ","")&amp;",")))=COUNTA(TEXTSPLIT(BI68,",")))))</f>
        <v/>
      </c>
      <c r="IY68">
        <f>AND(IF(BK68="",TRUE,IF(input_context="",FALSE,SUMPRODUCT(--ISNUMBER(SEARCH(","&amp;TRIM(TEXTSPLIT(BK68,","))&amp;",",","&amp;SUBSTITUTE(input_context," ","")&amp;",")))&gt;0)),IF(BM68="",TRUE,IF(input_context="",FALSE,SUMPRODUCT(--ISNUMBER(SEARCH(","&amp;TRIM(TEXTSPLIT(BM68,","))&amp;",",","&amp;SUBSTITUTE(input_context," ","")&amp;",")))=COUNTA(TEXTSPLIT(BM68,",")))),IF(BO68="",TRUE,IF(input_context="",TRUE,SUMPRODUCT(--ISNUMBER(SEARCH(","&amp;TRIM(TEXTSPLIT(BO68,","))&amp;",",","&amp;SUBSTITUTE(input_context," ","")&amp;",")))=0)),IF(BQ68="",TRUE,IF(input_context="",FALSE,SUMPRODUCT(--ISNUMBER(SEARCH(","&amp;TRIM(TEXTSPLIT(BQ68,","))&amp;",",","&amp;SUBSTITUTE(input_context," ","")&amp;",")))&gt;0)),IF(BS68="",TRUE,IF(input_context="",FALSE,SUMPRODUCT(--ISNUMBER(SEARCH(","&amp;TRIM(TEXTSPLIT(BS68,","))&amp;",",","&amp;SUBSTITUTE(input_context," ","")&amp;",")))=COUNTA(TEXTSPLIT(BS68,",")))))</f>
        <v/>
      </c>
      <c r="IZ68">
        <f>AND(IF(BU68="",TRUE,IF(input_enews_announcement_type="",FALSE,SUMPRODUCT(--ISNUMBER(SEARCH(","&amp;TRIM(TEXTSPLIT(BU68,","))&amp;",",","&amp;SUBSTITUTE(input_enews_announcement_type," ","")&amp;",")))&gt;0)),IF(BW68="",TRUE,IF(input_enews_announcement_type="",FALSE,SUMPRODUCT(--ISNUMBER(SEARCH(","&amp;TRIM(TEXTSPLIT(BW68,","))&amp;",",","&amp;SUBSTITUTE(input_enews_announcement_type," ","")&amp;",")))=COUNTA(TEXTSPLIT(BW68,",")))),IF(BY68="",TRUE,IF(input_enews_announcement_type="",TRUE,SUMPRODUCT(--ISNUMBER(SEARCH(","&amp;TRIM(TEXTSPLIT(BY68,","))&amp;",",","&amp;SUBSTITUTE(input_enews_announcement_type," ","")&amp;",")))=0)),IF(CA68="",TRUE,IF(input_enews_announcement_type="",FALSE,SUMPRODUCT(--ISNUMBER(SEARCH(","&amp;TRIM(TEXTSPLIT(CA68,","))&amp;",",","&amp;SUBSTITUTE(input_enews_announcement_type," ","")&amp;",")))&gt;0)),IF(CC68="",TRUE,IF(input_enews_announcement_type="",FALSE,SUMPRODUCT(--ISNUMBER(SEARCH(","&amp;TRIM(TEXTSPLIT(CC68,","))&amp;",",","&amp;SUBSTITUTE(input_enews_announcement_type," ","")&amp;",")))=COUNTA(TEXTSPLIT(CC68,",")))))</f>
        <v/>
      </c>
      <c r="JA68">
        <f>AND(IF(CE68="",TRUE,IF(input_enews_audience="",FALSE,SUMPRODUCT(--ISNUMBER(SEARCH(","&amp;TRIM(TEXTSPLIT(CE68,","))&amp;",",","&amp;SUBSTITUTE(input_enews_audience," ","")&amp;",")))&gt;0)),IF(CG68="",TRUE,IF(input_enews_audience="",FALSE,SUMPRODUCT(--ISNUMBER(SEARCH(","&amp;TRIM(TEXTSPLIT(CG68,","))&amp;",",","&amp;SUBSTITUTE(input_enews_audience," ","")&amp;",")))=COUNTA(TEXTSPLIT(CG68,",")))),IF(CI68="",TRUE,IF(input_enews_audience="",TRUE,SUMPRODUCT(--ISNUMBER(SEARCH(","&amp;TRIM(TEXTSPLIT(CI68,","))&amp;",",","&amp;SUBSTITUTE(input_enews_audience," ","")&amp;",")))=0)),IF(CK68="",TRUE,IF(input_enews_audience="",FALSE,SUMPRODUCT(--ISNUMBER(SEARCH(","&amp;TRIM(TEXTSPLIT(CK68,","))&amp;",",","&amp;SUBSTITUTE(input_enews_audience," ","")&amp;",")))&gt;0)),IF(CM68="",TRUE,IF(input_enews_audience="",FALSE,SUMPRODUCT(--ISNUMBER(SEARCH(","&amp;TRIM(TEXTSPLIT(CM68,","))&amp;",",","&amp;SUBSTITUTE(input_enews_audience," ","")&amp;",")))=COUNTA(TEXTSPLIT(CM68,",")))))</f>
        <v/>
      </c>
      <c r="JB68">
        <f>AND(IF(CO68="",TRUE,IF(input_event_location="",FALSE,SUMPRODUCT(--ISNUMBER(SEARCH(","&amp;TRIM(TEXTSPLIT(CO68,","))&amp;",",","&amp;SUBSTITUTE(input_event_location," ","")&amp;",")))&gt;0)),IF(CQ68="",TRUE,IF(input_event_location="",FALSE,SUMPRODUCT(--ISNUMBER(SEARCH(","&amp;TRIM(TEXTSPLIT(CQ68,","))&amp;",",","&amp;SUBSTITUTE(input_event_location," ","")&amp;",")))=COUNTA(TEXTSPLIT(CQ68,",")))),IF(CS68="",TRUE,IF(input_event_location="",TRUE,SUMPRODUCT(--ISNUMBER(SEARCH(","&amp;TRIM(TEXTSPLIT(CS68,","))&amp;",",","&amp;SUBSTITUTE(input_event_location," ","")&amp;",")))=0)),IF(CU68="",TRUE,IF(input_event_location="",FALSE,SUMPRODUCT(--ISNUMBER(SEARCH(","&amp;TRIM(TEXTSPLIT(CU68,","))&amp;",",","&amp;SUBSTITUTE(input_event_location," ","")&amp;",")))&gt;0)),IF(CW68="",TRUE,IF(input_event_location="",FALSE,SUMPRODUCT(--ISNUMBER(SEARCH(","&amp;TRIM(TEXTSPLIT(CW68,","))&amp;",",","&amp;SUBSTITUTE(input_event_location," ","")&amp;",")))=COUNTA(TEXTSPLIT(CW68,",")))))</f>
        <v/>
      </c>
      <c r="JC68">
        <f>AND(IF(CY68="",TRUE,IF(input_event_type="",FALSE,SUMPRODUCT(--ISNUMBER(SEARCH(","&amp;TRIM(TEXTSPLIT(CY68,","))&amp;",",","&amp;SUBSTITUTE(input_event_type," ","")&amp;",")))&gt;0)),IF(DA68="",TRUE,IF(input_event_type="",FALSE,SUMPRODUCT(--ISNUMBER(SEARCH(","&amp;TRIM(TEXTSPLIT(DA68,","))&amp;",",","&amp;SUBSTITUTE(input_event_type," ","")&amp;",")))=COUNTA(TEXTSPLIT(DA68,",")))),IF(DC68="",TRUE,IF(input_event_type="",TRUE,SUMPRODUCT(--ISNUMBER(SEARCH(","&amp;TRIM(TEXTSPLIT(DC68,","))&amp;",",","&amp;SUBSTITUTE(input_event_type," ","")&amp;",")))=0)),IF(DE68="",TRUE,IF(input_event_type="",FALSE,SUMPRODUCT(--ISNUMBER(SEARCH(","&amp;TRIM(TEXTSPLIT(DE68,","))&amp;",",","&amp;SUBSTITUTE(input_event_type," ","")&amp;",")))&gt;0)),IF(DG68="",TRUE,IF(input_event_type="",FALSE,SUMPRODUCT(--ISNUMBER(SEARCH(","&amp;TRIM(TEXTSPLIT(DG68,","))&amp;",",","&amp;SUBSTITUTE(input_event_type," ","")&amp;",")))=COUNTA(TEXTSPLIT(DG68,",")))))</f>
        <v/>
      </c>
      <c r="JD68">
        <f>AND(IF(DI68="",TRUE,IF(input_executive_education_focus="",FALSE,SUMPRODUCT(--ISNUMBER(SEARCH(","&amp;TRIM(TEXTSPLIT(DI68,","))&amp;",",","&amp;SUBSTITUTE(input_executive_education_focus," ","")&amp;",")))&gt;0)),IF(DK68="",TRUE,IF(input_executive_education_focus="",FALSE,SUMPRODUCT(--ISNUMBER(SEARCH(","&amp;TRIM(TEXTSPLIT(DK68,","))&amp;",",","&amp;SUBSTITUTE(input_executive_education_focus," ","")&amp;",")))=COUNTA(TEXTSPLIT(DK68,",")))),IF(DM68="",TRUE,IF(input_executive_education_focus="",TRUE,SUMPRODUCT(--ISNUMBER(SEARCH(","&amp;TRIM(TEXTSPLIT(DM68,","))&amp;",",","&amp;SUBSTITUTE(input_executive_education_focus," ","")&amp;",")))=0)),IF(DO68="",TRUE,IF(input_executive_education_focus="",FALSE,SUMPRODUCT(--ISNUMBER(SEARCH(","&amp;TRIM(TEXTSPLIT(DO68,","))&amp;",",","&amp;SUBSTITUTE(input_executive_education_focus," ","")&amp;",")))&gt;0)),IF(DQ68="",TRUE,IF(input_executive_education_focus="",FALSE,SUMPRODUCT(--ISNUMBER(SEARCH(","&amp;TRIM(TEXTSPLIT(DQ68,","))&amp;",",","&amp;SUBSTITUTE(input_executive_education_focus," ","")&amp;",")))=COUNTA(TEXTSPLIT(DQ68,",")))))</f>
        <v/>
      </c>
      <c r="JE68">
        <f>AND(IF(DS68="",TRUE,IF(input_faculty_category="",FALSE,SUMPRODUCT(--ISNUMBER(SEARCH(","&amp;TRIM(TEXTSPLIT(DS68,","))&amp;",",","&amp;SUBSTITUTE(input_faculty_category," ","")&amp;",")))&gt;0)),IF(DU68="",TRUE,IF(input_faculty_category="",FALSE,SUMPRODUCT(--ISNUMBER(SEARCH(","&amp;TRIM(TEXTSPLIT(DU68,","))&amp;",",","&amp;SUBSTITUTE(input_faculty_category," ","")&amp;",")))=COUNTA(TEXTSPLIT(DU68,",")))),IF(DW68="",TRUE,IF(input_faculty_category="",TRUE,SUMPRODUCT(--ISNUMBER(SEARCH(","&amp;TRIM(TEXTSPLIT(DW68,","))&amp;",",","&amp;SUBSTITUTE(input_faculty_category," ","")&amp;",")))=0)),IF(DY68="",TRUE,IF(input_faculty_category="",FALSE,SUMPRODUCT(--ISNUMBER(SEARCH(","&amp;TRIM(TEXTSPLIT(DY68,","))&amp;",",","&amp;SUBSTITUTE(input_faculty_category," ","")&amp;",")))&gt;0)),IF(EA68="",TRUE,IF(input_faculty_category="",FALSE,SUMPRODUCT(--ISNUMBER(SEARCH(","&amp;TRIM(TEXTSPLIT(EA68,","))&amp;",",","&amp;SUBSTITUTE(input_faculty_category," ","")&amp;",")))=COUNTA(TEXTSPLIT(EA68,",")))))</f>
        <v/>
      </c>
      <c r="JF68">
        <f>AND(IF(EC68="",TRUE,IF(input_faculty_discipline="",FALSE,SUMPRODUCT(--ISNUMBER(SEARCH(","&amp;TRIM(TEXTSPLIT(EC68,","))&amp;",",","&amp;SUBSTITUTE(input_faculty_discipline," ","")&amp;",")))&gt;0)),IF(EE68="",TRUE,IF(input_faculty_discipline="",FALSE,SUMPRODUCT(--ISNUMBER(SEARCH(","&amp;TRIM(TEXTSPLIT(EE68,","))&amp;",",","&amp;SUBSTITUTE(input_faculty_discipline," ","")&amp;",")))=COUNTA(TEXTSPLIT(EE68,",")))),IF(EG68="",TRUE,IF(input_faculty_discipline="",TRUE,SUMPRODUCT(--ISNUMBER(SEARCH(","&amp;TRIM(TEXTSPLIT(EG68,","))&amp;",",","&amp;SUBSTITUTE(input_faculty_discipline," ","")&amp;",")))=0)),IF(EI68="",TRUE,IF(input_faculty_discipline="",FALSE,SUMPRODUCT(--ISNUMBER(SEARCH(","&amp;TRIM(TEXTSPLIT(EI68,","))&amp;",",","&amp;SUBSTITUTE(input_faculty_discipline," ","")&amp;",")))&gt;0)),IF(EK68="",TRUE,IF(input_faculty_discipline="",FALSE,SUMPRODUCT(--ISNUMBER(SEARCH(","&amp;TRIM(TEXTSPLIT(EK68,","))&amp;",",","&amp;SUBSTITUTE(input_faculty_discipline," ","")&amp;",")))=COUNTA(TEXTSPLIT(EK68,",")))))</f>
        <v/>
      </c>
      <c r="JG68">
        <f>AND(IF(EM68="",TRUE,IF(input_faculty_expertise="",FALSE,SUMPRODUCT(--ISNUMBER(SEARCH(","&amp;TRIM(TEXTSPLIT(EM68,","))&amp;",",","&amp;SUBSTITUTE(input_faculty_expertise," ","")&amp;",")))&gt;0)),IF(EO68="",TRUE,IF(input_faculty_expertise="",FALSE,SUMPRODUCT(--ISNUMBER(SEARCH(","&amp;TRIM(TEXTSPLIT(EO68,","))&amp;",",","&amp;SUBSTITUTE(input_faculty_expertise," ","")&amp;",")))=COUNTA(TEXTSPLIT(EO68,",")))),IF(EQ68="",TRUE,IF(input_faculty_expertise="",TRUE,SUMPRODUCT(--ISNUMBER(SEARCH(","&amp;TRIM(TEXTSPLIT(EQ68,","))&amp;",",","&amp;SUBSTITUTE(input_faculty_expertise," ","")&amp;",")))=0)),IF(ES68="",TRUE,IF(input_faculty_expertise="",FALSE,SUMPRODUCT(--ISNUMBER(SEARCH(","&amp;TRIM(TEXTSPLIT(ES68,","))&amp;",",","&amp;SUBSTITUTE(input_faculty_expertise," ","")&amp;",")))&gt;0)),IF(EU68="",TRUE,IF(input_faculty_expertise="",FALSE,SUMPRODUCT(--ISNUMBER(SEARCH(","&amp;TRIM(TEXTSPLIT(EU68,","))&amp;",",","&amp;SUBSTITUTE(input_faculty_expertise," ","")&amp;",")))=COUNTA(TEXTSPLIT(EU68,",")))))</f>
        <v/>
      </c>
      <c r="JH68">
        <f>AND(IF(EW68="",TRUE,IF(input_global_network_school="",FALSE,SUMPRODUCT(--ISNUMBER(SEARCH(","&amp;TRIM(TEXTSPLIT(EW68,","))&amp;",",","&amp;SUBSTITUTE(input_global_network_school," ","")&amp;",")))&gt;0)),IF(EY68="",TRUE,IF(input_global_network_school="",FALSE,SUMPRODUCT(--ISNUMBER(SEARCH(","&amp;TRIM(TEXTSPLIT(EY68,","))&amp;",",","&amp;SUBSTITUTE(input_global_network_school," ","")&amp;",")))=COUNTA(TEXTSPLIT(EY68,",")))),IF(FA68="",TRUE,IF(input_global_network_school="",TRUE,SUMPRODUCT(--ISNUMBER(SEARCH(","&amp;TRIM(TEXTSPLIT(FA68,","))&amp;",",","&amp;SUBSTITUTE(input_global_network_school," ","")&amp;",")))=0)),IF(FC68="",TRUE,IF(input_global_network_school="",FALSE,SUMPRODUCT(--ISNUMBER(SEARCH(","&amp;TRIM(TEXTSPLIT(FC68,","))&amp;",",","&amp;SUBSTITUTE(input_global_network_school," ","")&amp;",")))&gt;0)),IF(FE68="",TRUE,IF(input_global_network_school="",FALSE,SUMPRODUCT(--ISNUMBER(SEARCH(","&amp;TRIM(TEXTSPLIT(FE68,","))&amp;",",","&amp;SUBSTITUTE(input_global_network_school," ","")&amp;",")))=COUNTA(TEXTSPLIT(FE68,",")))))</f>
        <v/>
      </c>
      <c r="JI68">
        <f>AND(IF(FG68="",TRUE,IF(input_industry="",FALSE,SUMPRODUCT(--ISNUMBER(SEARCH(","&amp;TRIM(TEXTSPLIT(FG68,","))&amp;",",","&amp;SUBSTITUTE(input_industry," ","")&amp;",")))&gt;0)),IF(FI68="",TRUE,IF(input_industry="",FALSE,SUMPRODUCT(--ISNUMBER(SEARCH(","&amp;TRIM(TEXTSPLIT(FI68,","))&amp;",",","&amp;SUBSTITUTE(input_industry," ","")&amp;",")))=COUNTA(TEXTSPLIT(FI68,",")))),IF(FK68="",TRUE,IF(input_industry="",TRUE,SUMPRODUCT(--ISNUMBER(SEARCH(","&amp;TRIM(TEXTSPLIT(FK68,","))&amp;",",","&amp;SUBSTITUTE(input_industry," ","")&amp;",")))=0)),IF(FM68="",TRUE,IF(input_industry="",FALSE,SUMPRODUCT(--ISNUMBER(SEARCH(","&amp;TRIM(TEXTSPLIT(FM68,","))&amp;",",","&amp;SUBSTITUTE(input_industry," ","")&amp;",")))&gt;0)),IF(FO68="",TRUE,IF(input_industry="",FALSE,SUMPRODUCT(--ISNUMBER(SEARCH(","&amp;TRIM(TEXTSPLIT(FO68,","))&amp;",",","&amp;SUBSTITUTE(input_industry," ","")&amp;",")))=COUNTA(TEXTSPLIT(FO68,",")))))</f>
        <v/>
      </c>
      <c r="JJ68">
        <f>AND(IF(FQ68="",TRUE,IF(input_location="",FALSE,SUMPRODUCT(--ISNUMBER(SEARCH(","&amp;TRIM(TEXTSPLIT(FQ68,","))&amp;",",","&amp;SUBSTITUTE(input_location," ","")&amp;",")))&gt;0)),IF(FS68="",TRUE,IF(input_location="",FALSE,SUMPRODUCT(--ISNUMBER(SEARCH(","&amp;TRIM(TEXTSPLIT(FS68,","))&amp;",",","&amp;SUBSTITUTE(input_location," ","")&amp;",")))=COUNTA(TEXTSPLIT(FS68,",")))),IF(FU68="",TRUE,IF(input_location="",TRUE,SUMPRODUCT(--ISNUMBER(SEARCH(","&amp;TRIM(TEXTSPLIT(FU68,","))&amp;",",","&amp;SUBSTITUTE(input_location," ","")&amp;",")))=0)),IF(FW68="",TRUE,IF(input_location="",FALSE,SUMPRODUCT(--ISNUMBER(SEARCH(","&amp;TRIM(TEXTSPLIT(FW68,","))&amp;",",","&amp;SUBSTITUTE(input_location," ","")&amp;",")))&gt;0)),IF(FY68="",TRUE,IF(input_location="",FALSE,SUMPRODUCT(--ISNUMBER(SEARCH(","&amp;TRIM(TEXTSPLIT(FY68,","))&amp;",",","&amp;SUBSTITUTE(input_location," ","")&amp;",")))=COUNTA(TEXTSPLIT(FY68,",")))))</f>
        <v/>
      </c>
      <c r="JK68">
        <f>AND(IF(GA68="",TRUE,IF(input_modality="",FALSE,SUMPRODUCT(--ISNUMBER(SEARCH(","&amp;TRIM(TEXTSPLIT(GA68,","))&amp;",",","&amp;SUBSTITUTE(input_modality," ","")&amp;",")))&gt;0)),IF(GC68="",TRUE,IF(input_modality="",FALSE,SUMPRODUCT(--ISNUMBER(SEARCH(","&amp;TRIM(TEXTSPLIT(GC68,","))&amp;",",","&amp;SUBSTITUTE(input_modality," ","")&amp;",")))=COUNTA(TEXTSPLIT(GC68,",")))),IF(GE68="",TRUE,IF(input_modality="",TRUE,SUMPRODUCT(--ISNUMBER(SEARCH(","&amp;TRIM(TEXTSPLIT(GE68,","))&amp;",",","&amp;SUBSTITUTE(input_modality," ","")&amp;",")))=0)),IF(GG68="",TRUE,IF(input_modality="",FALSE,SUMPRODUCT(--ISNUMBER(SEARCH(","&amp;TRIM(TEXTSPLIT(GG68,","))&amp;",",","&amp;SUBSTITUTE(input_modality," ","")&amp;",")))&gt;0)),IF(GI68="",TRUE,IF(input_modality="",FALSE,SUMPRODUCT(--ISNUMBER(SEARCH(","&amp;TRIM(TEXTSPLIT(GI68,","))&amp;",",","&amp;SUBSTITUTE(input_modality," ","")&amp;",")))=COUNTA(TEXTSPLIT(GI68,",")))))</f>
        <v/>
      </c>
      <c r="JL68">
        <f>AND(IF(GK68="",TRUE,IF(input_organizer="",FALSE,SUMPRODUCT(--ISNUMBER(SEARCH(","&amp;TRIM(TEXTSPLIT(GK68,","))&amp;",",","&amp;SUBSTITUTE(input_organizer," ","")&amp;",")))&gt;0)),IF(GM68="",TRUE,IF(input_organizer="",FALSE,SUMPRODUCT(--ISNUMBER(SEARCH(","&amp;TRIM(TEXTSPLIT(GM68,","))&amp;",",","&amp;SUBSTITUTE(input_organizer," ","")&amp;",")))=COUNTA(TEXTSPLIT(GM68,",")))),IF(GO68="",TRUE,IF(input_organizer="",TRUE,SUMPRODUCT(--ISNUMBER(SEARCH(","&amp;TRIM(TEXTSPLIT(GO68,","))&amp;",",","&amp;SUBSTITUTE(input_organizer," ","")&amp;",")))=0)),IF(GQ68="",TRUE,IF(input_organizer="",FALSE,SUMPRODUCT(--ISNUMBER(SEARCH(","&amp;TRIM(TEXTSPLIT(GQ68,","))&amp;",",","&amp;SUBSTITUTE(input_organizer," ","")&amp;",")))&gt;0)),IF(GS68="",TRUE,IF(input_organizer="",FALSE,SUMPRODUCT(--ISNUMBER(SEARCH(","&amp;TRIM(TEXTSPLIT(GS68,","))&amp;",",","&amp;SUBSTITUTE(input_organizer," ","")&amp;",")))=COUNTA(TEXTSPLIT(GS68,",")))))</f>
        <v/>
      </c>
      <c r="JM68">
        <f>AND(IF(GU68="",TRUE,IF(input_profile_type="",FALSE,SUMPRODUCT(--ISNUMBER(SEARCH(","&amp;TRIM(TEXTSPLIT(GU68,","))&amp;",",","&amp;SUBSTITUTE(input_profile_type," ","")&amp;",")))&gt;0)),IF(GW68="",TRUE,IF(input_profile_type="",FALSE,SUMPRODUCT(--ISNUMBER(SEARCH(","&amp;TRIM(TEXTSPLIT(GW68,","))&amp;",",","&amp;SUBSTITUTE(input_profile_type," ","")&amp;",")))=COUNTA(TEXTSPLIT(GW68,",")))),IF(GY68="",TRUE,IF(input_profile_type="",TRUE,SUMPRODUCT(--ISNUMBER(SEARCH(","&amp;TRIM(TEXTSPLIT(GY68,","))&amp;",",","&amp;SUBSTITUTE(input_profile_type," ","")&amp;",")))=0)),IF(HA68="",TRUE,IF(input_profile_type="",FALSE,SUMPRODUCT(--ISNUMBER(SEARCH(","&amp;TRIM(TEXTSPLIT(HA68,","))&amp;",",","&amp;SUBSTITUTE(input_profile_type," ","")&amp;",")))&gt;0)),IF(HC68="",TRUE,IF(input_profile_type="",FALSE,SUMPRODUCT(--ISNUMBER(SEARCH(","&amp;TRIM(TEXTSPLIT(HC68,","))&amp;",",","&amp;SUBSTITUTE(input_profile_type," ","")&amp;",")))=COUNTA(TEXTSPLIT(HC68,",")))))</f>
        <v/>
      </c>
      <c r="JN68">
        <f>AND(IF(HE68="",TRUE,IF(input_program="",FALSE,SUMPRODUCT(--ISNUMBER(SEARCH(","&amp;TRIM(TEXTSPLIT(HE68,","))&amp;",",","&amp;SUBSTITUTE(input_program," ","")&amp;",")))&gt;0)),IF(HG68="",TRUE,IF(input_program="",FALSE,SUMPRODUCT(--ISNUMBER(SEARCH(","&amp;TRIM(TEXTSPLIT(HG68,","))&amp;",",","&amp;SUBSTITUTE(input_program," ","")&amp;",")))=COUNTA(TEXTSPLIT(HG68,",")))),IF(HI68="",TRUE,IF(input_program="",TRUE,SUMPRODUCT(--ISNUMBER(SEARCH(","&amp;TRIM(TEXTSPLIT(HI68,","))&amp;",",","&amp;SUBSTITUTE(input_program," ","")&amp;",")))=0)),IF(HK68="",TRUE,IF(input_program="",FALSE,SUMPRODUCT(--ISNUMBER(SEARCH(","&amp;TRIM(TEXTSPLIT(HK68,","))&amp;",",","&amp;SUBSTITUTE(input_program," ","")&amp;",")))&gt;0)),IF(HM68="",TRUE,IF(input_program="",FALSE,SUMPRODUCT(--ISNUMBER(SEARCH(","&amp;TRIM(TEXTSPLIT(HM68,","))&amp;",",","&amp;SUBSTITUTE(input_program," ","")&amp;",")))=COUNTA(TEXTSPLIT(HM68,",")))))</f>
        <v/>
      </c>
      <c r="JO68">
        <f>AND(IF(HO68="",TRUE,IF(input_story_categories="",FALSE,SUMPRODUCT(--ISNUMBER(SEARCH(","&amp;TRIM(TEXTSPLIT(HO68,","))&amp;",",","&amp;SUBSTITUTE(input_story_categories," ","")&amp;",")))&gt;0)),IF(HQ68="",TRUE,IF(input_story_categories="",FALSE,SUMPRODUCT(--ISNUMBER(SEARCH(","&amp;TRIM(TEXTSPLIT(HQ68,","))&amp;",",","&amp;SUBSTITUTE(input_story_categories," ","")&amp;",")))=COUNTA(TEXTSPLIT(HQ68,",")))),IF(HS68="",TRUE,IF(input_story_categories="",TRUE,SUMPRODUCT(--ISNUMBER(SEARCH(","&amp;TRIM(TEXTSPLIT(HS68,","))&amp;",",","&amp;SUBSTITUTE(input_story_categories," ","")&amp;",")))=0)),IF(HU68="",TRUE,IF(input_story_categories="",FALSE,SUMPRODUCT(--ISNUMBER(SEARCH(","&amp;TRIM(TEXTSPLIT(HU68,","))&amp;",",","&amp;SUBSTITUTE(input_story_categories," ","")&amp;",")))&gt;0)),IF(HW68="",TRUE,IF(input_story_categories="",FALSE,SUMPRODUCT(--ISNUMBER(SEARCH(","&amp;TRIM(TEXTSPLIT(HW68,","))&amp;",",","&amp;SUBSTITUTE(input_story_categories," ","")&amp;",")))=COUNTA(TEXTSPLIT(HW68,",")))))</f>
        <v/>
      </c>
      <c r="JP68">
        <f>AND(IF(HY68="",TRUE,IF(input_story_type="",FALSE,SUMPRODUCT(--ISNUMBER(SEARCH(","&amp;TRIM(TEXTSPLIT(HY68,","))&amp;",",","&amp;SUBSTITUTE(input_story_type," ","")&amp;",")))&gt;0)),IF(IA68="",TRUE,IF(input_story_type="",FALSE,SUMPRODUCT(--ISNUMBER(SEARCH(","&amp;TRIM(TEXTSPLIT(IA68,","))&amp;",",","&amp;SUBSTITUTE(input_story_type," ","")&amp;",")))=COUNTA(TEXTSPLIT(IA68,",")))),IF(IC68="",TRUE,IF(input_story_type="",TRUE,SUMPRODUCT(--ISNUMBER(SEARCH(","&amp;TRIM(TEXTSPLIT(IC68,","))&amp;",",","&amp;SUBSTITUTE(input_story_type," ","")&amp;",")))=0)),IF(IE68="",TRUE,IF(input_story_type="",FALSE,SUMPRODUCT(--ISNUMBER(SEARCH(","&amp;TRIM(TEXTSPLIT(IE68,","))&amp;",",","&amp;SUBSTITUTE(input_story_type," ","")&amp;",")))&gt;0)),IF(IG68="",TRUE,IF(input_story_type="",FALSE,SUMPRODUCT(--ISNUMBER(SEARCH(","&amp;TRIM(TEXTSPLIT(IG68,","))&amp;",",","&amp;SUBSTITUTE(input_story_type," ","")&amp;",")))=COUNTA(TEXTSPLIT(IG68,",")))))</f>
        <v/>
      </c>
      <c r="JQ68">
        <f>AND(IF(II68="",TRUE,IF(input_topics="",FALSE,SUMPRODUCT(--ISNUMBER(SEARCH(","&amp;TRIM(TEXTSPLIT(II68,","))&amp;",",","&amp;SUBSTITUTE(input_topics," ","")&amp;",")))&gt;0)),IF(IK68="",TRUE,IF(input_topics="",FALSE,SUMPRODUCT(--ISNUMBER(SEARCH(","&amp;TRIM(TEXTSPLIT(IK68,","))&amp;",",","&amp;SUBSTITUTE(input_topics," ","")&amp;",")))=COUNTA(TEXTSPLIT(IK68,",")))),IF(IM68="",TRUE,IF(input_topics="",TRUE,SUMPRODUCT(--ISNUMBER(SEARCH(","&amp;TRIM(TEXTSPLIT(IM68,","))&amp;",",","&amp;SUBSTITUTE(input_topics," ","")&amp;",")))=0)),IF(IO68="",TRUE,IF(input_topics="",FALSE,SUMPRODUCT(--ISNUMBER(SEARCH(","&amp;TRIM(TEXTSPLIT(IO68,","))&amp;",",","&amp;SUBSTITUTE(input_topics," ","")&amp;",")))&gt;0)),IF(IQ68="",TRUE,IF(input_topics="",FALSE,SUMPRODUCT(--ISNUMBER(SEARCH(","&amp;TRIM(TEXTSPLIT(IQ68,","))&amp;",",","&amp;SUBSTITUTE(input_topics," ","")&amp;",")))=COUNTA(TEXTSPLIT(IQ68,",")))))</f>
        <v/>
      </c>
    </row>
    <row r="69">
      <c r="A69" s="4">
        <f>IF(NOT(IS69),"Excluded",IF(AND(IT69,IU69,IV69,IW69,IX69,IY69,IZ69,JA69,JB69,JC69,JD69,JE69,JF69,JG69,JH69,JI69,JJ69,JK69,JL69,JM69,JN69,JO69,JP69,JQ69),IF(I69&gt;0,"Eligible but limited","Will appear"),"Excluded"))</f>
        <v/>
      </c>
      <c r="B69" s="4" t="inlineStr">
        <is>
          <t>All stories</t>
        </is>
      </c>
      <c r="C69" s="4" t="inlineStr">
        <is>
          <t>/the-som-experience/community</t>
        </is>
      </c>
      <c r="D69" s="4" t="inlineStr">
        <is>
          <t>/the-som-experience/community</t>
        </is>
      </c>
      <c r="E69" s="4" t="n">
        <v>1</v>
      </c>
      <c r="F69" s="4" t="inlineStr">
        <is>
          <t>story</t>
        </is>
      </c>
      <c r="G69" s="4" t="inlineStr">
        <is>
          <t>stories_teaser_cards</t>
        </is>
      </c>
      <c r="H69" s="4" t="inlineStr">
        <is>
          <t>embed_all</t>
        </is>
      </c>
      <c r="I69" s="4" t="n">
        <v>3</v>
      </c>
      <c r="J69" s="4" t="inlineStr">
        <is>
          <t>View/config rules</t>
        </is>
      </c>
      <c r="K69" s="4" t="inlineStr">
        <is>
          <t>Page placement</t>
        </is>
      </c>
      <c r="L69" s="4" t="inlineStr">
        <is>
          <t>Content type: story; Limited to 3 item(s); Source: View/config rules</t>
        </is>
      </c>
      <c r="M69" t="inlineStr"/>
      <c r="N69" t="inlineStr"/>
      <c r="O69" t="inlineStr"/>
      <c r="P69" t="inlineStr"/>
      <c r="Q69" t="inlineStr"/>
      <c r="R69" t="inlineStr"/>
      <c r="S69" t="inlineStr"/>
      <c r="T69" t="inlineStr"/>
      <c r="U69" t="inlineStr"/>
      <c r="V69" t="inlineStr"/>
      <c r="W69" t="inlineStr"/>
      <c r="X69" t="inlineStr"/>
      <c r="Y69" t="inlineStr"/>
      <c r="Z69" t="inlineStr"/>
      <c r="AA69" t="inlineStr"/>
      <c r="AB69" t="inlineStr"/>
      <c r="AC69" t="inlineStr"/>
      <c r="AD69" t="inlineStr"/>
      <c r="AE69" t="inlineStr"/>
      <c r="AF69" t="inlineStr"/>
      <c r="AG69" t="inlineStr"/>
      <c r="AH69" t="inlineStr"/>
      <c r="AI69" t="inlineStr"/>
      <c r="AJ69" t="inlineStr"/>
      <c r="AK69" t="inlineStr"/>
      <c r="AL69" t="inlineStr"/>
      <c r="AM69" t="inlineStr"/>
      <c r="AN69" t="inlineStr"/>
      <c r="AO69" t="inlineStr"/>
      <c r="AP69" t="inlineStr"/>
      <c r="AQ69" t="inlineStr"/>
      <c r="AR69" t="inlineStr"/>
      <c r="AS69" t="inlineStr"/>
      <c r="AT69" t="inlineStr"/>
      <c r="AU69" t="inlineStr"/>
      <c r="AV69" t="inlineStr"/>
      <c r="AW69" t="inlineStr"/>
      <c r="AX69" t="inlineStr"/>
      <c r="AY69" t="inlineStr"/>
      <c r="AZ69" t="inlineStr"/>
      <c r="BA69" t="inlineStr"/>
      <c r="BB69" t="inlineStr"/>
      <c r="BC69" t="inlineStr"/>
      <c r="BD69" t="inlineStr"/>
      <c r="BE69" t="inlineStr"/>
      <c r="BF69" t="inlineStr"/>
      <c r="BG69" t="inlineStr"/>
      <c r="BH69" t="inlineStr"/>
      <c r="BI69" t="inlineStr"/>
      <c r="BJ69" t="inlineStr"/>
      <c r="BK69" t="inlineStr"/>
      <c r="BL69" t="inlineStr"/>
      <c r="BM69" t="inlineStr"/>
      <c r="BN69" t="inlineStr"/>
      <c r="BO69" t="inlineStr"/>
      <c r="BP69" t="inlineStr"/>
      <c r="BQ69" t="inlineStr"/>
      <c r="BR69" t="inlineStr"/>
      <c r="BS69" t="inlineStr"/>
      <c r="BT69" t="inlineStr"/>
      <c r="BU69" t="inlineStr"/>
      <c r="BV69" t="inlineStr"/>
      <c r="BW69" t="inlineStr"/>
      <c r="BX69" t="inlineStr"/>
      <c r="BY69" t="inlineStr"/>
      <c r="BZ69" t="inlineStr"/>
      <c r="CA69" t="inlineStr"/>
      <c r="CB69" t="inlineStr"/>
      <c r="CC69" t="inlineStr"/>
      <c r="CD69" t="inlineStr"/>
      <c r="CE69" t="inlineStr"/>
      <c r="CF69" t="inlineStr"/>
      <c r="CG69" t="inlineStr"/>
      <c r="CH69" t="inlineStr"/>
      <c r="CI69" t="inlineStr"/>
      <c r="CJ69" t="inlineStr"/>
      <c r="CK69" t="inlineStr"/>
      <c r="CL69" t="inlineStr"/>
      <c r="CM69" t="inlineStr"/>
      <c r="CN69" t="inlineStr"/>
      <c r="CO69" t="inlineStr"/>
      <c r="CP69" t="inlineStr"/>
      <c r="CQ69" t="inlineStr"/>
      <c r="CR69" t="inlineStr"/>
      <c r="CS69" t="inlineStr"/>
      <c r="CT69" t="inlineStr"/>
      <c r="CU69" t="inlineStr"/>
      <c r="CV69" t="inlineStr"/>
      <c r="CW69" t="inlineStr"/>
      <c r="CX69" t="inlineStr"/>
      <c r="CY69" t="inlineStr"/>
      <c r="CZ69" t="inlineStr"/>
      <c r="DA69" t="inlineStr"/>
      <c r="DB69" t="inlineStr"/>
      <c r="DC69" t="inlineStr"/>
      <c r="DD69" t="inlineStr"/>
      <c r="DE69" t="inlineStr"/>
      <c r="DF69" t="inlineStr"/>
      <c r="DG69" t="inlineStr"/>
      <c r="DH69" t="inlineStr"/>
      <c r="DI69" t="inlineStr"/>
      <c r="DJ69" t="inlineStr"/>
      <c r="DK69" t="inlineStr"/>
      <c r="DL69" t="inlineStr"/>
      <c r="DM69" t="inlineStr"/>
      <c r="DN69" t="inlineStr"/>
      <c r="DO69" t="inlineStr"/>
      <c r="DP69" t="inlineStr"/>
      <c r="DQ69" t="inlineStr"/>
      <c r="DR69" t="inlineStr"/>
      <c r="DS69" t="inlineStr"/>
      <c r="DT69" t="inlineStr"/>
      <c r="DU69" t="inlineStr"/>
      <c r="DV69" t="inlineStr"/>
      <c r="DW69" t="inlineStr"/>
      <c r="DX69" t="inlineStr"/>
      <c r="DY69" t="inlineStr"/>
      <c r="DZ69" t="inlineStr"/>
      <c r="EA69" t="inlineStr"/>
      <c r="EB69" t="inlineStr"/>
      <c r="EC69" t="inlineStr"/>
      <c r="ED69" t="inlineStr"/>
      <c r="EE69" t="inlineStr"/>
      <c r="EF69" t="inlineStr"/>
      <c r="EG69" t="inlineStr"/>
      <c r="EH69" t="inlineStr"/>
      <c r="EI69" t="inlineStr"/>
      <c r="EJ69" t="inlineStr"/>
      <c r="EK69" t="inlineStr"/>
      <c r="EL69" t="inlineStr"/>
      <c r="EM69" t="inlineStr"/>
      <c r="EN69" t="inlineStr"/>
      <c r="EO69" t="inlineStr"/>
      <c r="EP69" t="inlineStr"/>
      <c r="EQ69" t="inlineStr"/>
      <c r="ER69" t="inlineStr"/>
      <c r="ES69" t="inlineStr"/>
      <c r="ET69" t="inlineStr"/>
      <c r="EU69" t="inlineStr"/>
      <c r="EV69" t="inlineStr"/>
      <c r="EW69" t="inlineStr"/>
      <c r="EX69" t="inlineStr"/>
      <c r="EY69" t="inlineStr"/>
      <c r="EZ69" t="inlineStr"/>
      <c r="FA69" t="inlineStr"/>
      <c r="FB69" t="inlineStr"/>
      <c r="FC69" t="inlineStr"/>
      <c r="FD69" t="inlineStr"/>
      <c r="FE69" t="inlineStr"/>
      <c r="FF69" t="inlineStr"/>
      <c r="FG69" t="inlineStr"/>
      <c r="FH69" t="inlineStr"/>
      <c r="FI69" t="inlineStr"/>
      <c r="FJ69" t="inlineStr"/>
      <c r="FK69" t="inlineStr"/>
      <c r="FL69" t="inlineStr"/>
      <c r="FM69" t="inlineStr"/>
      <c r="FN69" t="inlineStr"/>
      <c r="FO69" t="inlineStr"/>
      <c r="FP69" t="inlineStr"/>
      <c r="FQ69" t="inlineStr"/>
      <c r="FR69" t="inlineStr"/>
      <c r="FS69" t="inlineStr"/>
      <c r="FT69" t="inlineStr"/>
      <c r="FU69" t="inlineStr"/>
      <c r="FV69" t="inlineStr"/>
      <c r="FW69" t="inlineStr"/>
      <c r="FX69" t="inlineStr"/>
      <c r="FY69" t="inlineStr"/>
      <c r="FZ69" t="inlineStr"/>
      <c r="GA69" t="inlineStr"/>
      <c r="GB69" t="inlineStr"/>
      <c r="GC69" t="inlineStr"/>
      <c r="GD69" t="inlineStr"/>
      <c r="GE69" t="inlineStr"/>
      <c r="GF69" t="inlineStr"/>
      <c r="GG69" t="inlineStr"/>
      <c r="GH69" t="inlineStr"/>
      <c r="GI69" t="inlineStr"/>
      <c r="GJ69" t="inlineStr"/>
      <c r="GK69" t="inlineStr"/>
      <c r="GL69" t="inlineStr"/>
      <c r="GM69" t="inlineStr"/>
      <c r="GN69" t="inlineStr"/>
      <c r="GO69" t="inlineStr"/>
      <c r="GP69" t="inlineStr"/>
      <c r="GQ69" t="inlineStr"/>
      <c r="GR69" t="inlineStr"/>
      <c r="GS69" t="inlineStr"/>
      <c r="GT69" t="inlineStr"/>
      <c r="GU69" t="inlineStr"/>
      <c r="GV69" t="inlineStr"/>
      <c r="GW69" t="inlineStr"/>
      <c r="GX69" t="inlineStr"/>
      <c r="GY69" t="inlineStr"/>
      <c r="GZ69" t="inlineStr"/>
      <c r="HA69" t="inlineStr"/>
      <c r="HB69" t="inlineStr"/>
      <c r="HC69" t="inlineStr"/>
      <c r="HD69" t="inlineStr"/>
      <c r="HE69" t="inlineStr"/>
      <c r="HF69" t="inlineStr"/>
      <c r="HG69" t="inlineStr"/>
      <c r="HH69" t="inlineStr"/>
      <c r="HI69" t="inlineStr"/>
      <c r="HJ69" t="inlineStr"/>
      <c r="HK69" t="inlineStr"/>
      <c r="HL69" t="inlineStr"/>
      <c r="HM69" t="inlineStr"/>
      <c r="HN69" t="inlineStr"/>
      <c r="HO69" t="inlineStr"/>
      <c r="HP69" t="inlineStr"/>
      <c r="HQ69" t="inlineStr"/>
      <c r="HR69" t="inlineStr"/>
      <c r="HS69" t="inlineStr"/>
      <c r="HT69" t="inlineStr"/>
      <c r="HU69" t="inlineStr"/>
      <c r="HV69" t="inlineStr"/>
      <c r="HW69" t="inlineStr"/>
      <c r="HX69" t="inlineStr"/>
      <c r="HY69" t="inlineStr"/>
      <c r="HZ69" t="inlineStr"/>
      <c r="IA69" t="inlineStr"/>
      <c r="IB69" t="inlineStr"/>
      <c r="IC69" t="inlineStr"/>
      <c r="ID69" t="inlineStr"/>
      <c r="IE69" t="inlineStr"/>
      <c r="IF69" t="inlineStr"/>
      <c r="IG69" t="inlineStr"/>
      <c r="IH69" t="inlineStr"/>
      <c r="II69" t="inlineStr"/>
      <c r="IJ69" t="inlineStr"/>
      <c r="IK69" t="inlineStr"/>
      <c r="IL69" t="inlineStr"/>
      <c r="IM69" t="inlineStr"/>
      <c r="IN69" t="inlineStr"/>
      <c r="IO69" t="inlineStr"/>
      <c r="IP69" t="inlineStr"/>
      <c r="IQ69" t="inlineStr"/>
      <c r="IR69" t="inlineStr"/>
      <c r="IS69">
        <f>IF(input_content_type="",FALSE,ISNUMBER(SEARCH(","&amp;LOWER(input_content_type)&amp;",",","&amp;LOWER(F69)&amp;",")))</f>
        <v/>
      </c>
      <c r="IT69">
        <f>AND(IF(M69="",TRUE,IF(input_affiliations="",FALSE,SUMPRODUCT(--ISNUMBER(SEARCH(","&amp;TRIM(TEXTSPLIT(M69,","))&amp;",",","&amp;SUBSTITUTE(input_affiliations," ","")&amp;",")))&gt;0)),IF(O69="",TRUE,IF(input_affiliations="",FALSE,SUMPRODUCT(--ISNUMBER(SEARCH(","&amp;TRIM(TEXTSPLIT(O69,","))&amp;",",","&amp;SUBSTITUTE(input_affiliations," ","")&amp;",")))=COUNTA(TEXTSPLIT(O69,",")))),IF(Q69="",TRUE,IF(input_affiliations="",TRUE,SUMPRODUCT(--ISNUMBER(SEARCH(","&amp;TRIM(TEXTSPLIT(Q69,","))&amp;",",","&amp;SUBSTITUTE(input_affiliations," ","")&amp;",")))=0)),IF(S69="",TRUE,IF(input_affiliations="",FALSE,SUMPRODUCT(--ISNUMBER(SEARCH(","&amp;TRIM(TEXTSPLIT(S69,","))&amp;",",","&amp;SUBSTITUTE(input_affiliations," ","")&amp;",")))&gt;0)),IF(U69="",TRUE,IF(input_affiliations="",FALSE,SUMPRODUCT(--ISNUMBER(SEARCH(","&amp;TRIM(TEXTSPLIT(U69,","))&amp;",",","&amp;SUBSTITUTE(input_affiliations," ","")&amp;",")))=COUNTA(TEXTSPLIT(U69,",")))))</f>
        <v/>
      </c>
      <c r="IU69">
        <f>AND(IF(W69="",TRUE,IF(input_announcement_category="",FALSE,SUMPRODUCT(--ISNUMBER(SEARCH(","&amp;TRIM(TEXTSPLIT(W69,","))&amp;",",","&amp;SUBSTITUTE(input_announcement_category," ","")&amp;",")))&gt;0)),IF(Y69="",TRUE,IF(input_announcement_category="",FALSE,SUMPRODUCT(--ISNUMBER(SEARCH(","&amp;TRIM(TEXTSPLIT(Y69,","))&amp;",",","&amp;SUBSTITUTE(input_announcement_category," ","")&amp;",")))=COUNTA(TEXTSPLIT(Y69,",")))),IF(AA69="",TRUE,IF(input_announcement_category="",TRUE,SUMPRODUCT(--ISNUMBER(SEARCH(","&amp;TRIM(TEXTSPLIT(AA69,","))&amp;",",","&amp;SUBSTITUTE(input_announcement_category," ","")&amp;",")))=0)),IF(AC69="",TRUE,IF(input_announcement_category="",FALSE,SUMPRODUCT(--ISNUMBER(SEARCH(","&amp;TRIM(TEXTSPLIT(AC69,","))&amp;",",","&amp;SUBSTITUTE(input_announcement_category," ","")&amp;",")))&gt;0)),IF(AE69="",TRUE,IF(input_announcement_category="",FALSE,SUMPRODUCT(--ISNUMBER(SEARCH(","&amp;TRIM(TEXTSPLIT(AE69,","))&amp;",",","&amp;SUBSTITUTE(input_announcement_category," ","")&amp;",")))=COUNTA(TEXTSPLIT(AE69,",")))))</f>
        <v/>
      </c>
      <c r="IV69">
        <f>AND(IF(AG69="",TRUE,IF(input_area_of_focus="",FALSE,SUMPRODUCT(--ISNUMBER(SEARCH(","&amp;TRIM(TEXTSPLIT(AG69,","))&amp;",",","&amp;SUBSTITUTE(input_area_of_focus," ","")&amp;",")))&gt;0)),IF(AI69="",TRUE,IF(input_area_of_focus="",FALSE,SUMPRODUCT(--ISNUMBER(SEARCH(","&amp;TRIM(TEXTSPLIT(AI69,","))&amp;",",","&amp;SUBSTITUTE(input_area_of_focus," ","")&amp;",")))=COUNTA(TEXTSPLIT(AI69,",")))),IF(AK69="",TRUE,IF(input_area_of_focus="",TRUE,SUMPRODUCT(--ISNUMBER(SEARCH(","&amp;TRIM(TEXTSPLIT(AK69,","))&amp;",",","&amp;SUBSTITUTE(input_area_of_focus," ","")&amp;",")))=0)),IF(AM69="",TRUE,IF(input_area_of_focus="",FALSE,SUMPRODUCT(--ISNUMBER(SEARCH(","&amp;TRIM(TEXTSPLIT(AM69,","))&amp;",",","&amp;SUBSTITUTE(input_area_of_focus," ","")&amp;",")))&gt;0)),IF(AO69="",TRUE,IF(input_area_of_focus="",FALSE,SUMPRODUCT(--ISNUMBER(SEARCH(","&amp;TRIM(TEXTSPLIT(AO69,","))&amp;",",","&amp;SUBSTITUTE(input_area_of_focus," ","")&amp;",")))=COUNTA(TEXTSPLIT(AO69,",")))))</f>
        <v/>
      </c>
      <c r="IW69">
        <f>AND(IF(AQ69="",TRUE,IF(input_audience="",FALSE,SUMPRODUCT(--ISNUMBER(SEARCH(","&amp;TRIM(TEXTSPLIT(AQ69,","))&amp;",",","&amp;SUBSTITUTE(input_audience," ","")&amp;",")))&gt;0)),IF(AS69="",TRUE,IF(input_audience="",FALSE,SUMPRODUCT(--ISNUMBER(SEARCH(","&amp;TRIM(TEXTSPLIT(AS69,","))&amp;",",","&amp;SUBSTITUTE(input_audience," ","")&amp;",")))=COUNTA(TEXTSPLIT(AS69,",")))),IF(AU69="",TRUE,IF(input_audience="",TRUE,SUMPRODUCT(--ISNUMBER(SEARCH(","&amp;TRIM(TEXTSPLIT(AU69,","))&amp;",",","&amp;SUBSTITUTE(input_audience," ","")&amp;",")))=0)),IF(AW69="",TRUE,IF(input_audience="",FALSE,SUMPRODUCT(--ISNUMBER(SEARCH(","&amp;TRIM(TEXTSPLIT(AW69,","))&amp;",",","&amp;SUBSTITUTE(input_audience," ","")&amp;",")))&gt;0)),IF(AY69="",TRUE,IF(input_audience="",FALSE,SUMPRODUCT(--ISNUMBER(SEARCH(","&amp;TRIM(TEXTSPLIT(AY69,","))&amp;",",","&amp;SUBSTITUTE(input_audience," ","")&amp;",")))=COUNTA(TEXTSPLIT(AY69,",")))))</f>
        <v/>
      </c>
      <c r="IX69">
        <f>AND(IF(BA69="",TRUE,IF(input_challenge_opportunities="",FALSE,SUMPRODUCT(--ISNUMBER(SEARCH(","&amp;TRIM(TEXTSPLIT(BA69,","))&amp;",",","&amp;SUBSTITUTE(input_challenge_opportunities," ","")&amp;",")))&gt;0)),IF(BC69="",TRUE,IF(input_challenge_opportunities="",FALSE,SUMPRODUCT(--ISNUMBER(SEARCH(","&amp;TRIM(TEXTSPLIT(BC69,","))&amp;",",","&amp;SUBSTITUTE(input_challenge_opportunities," ","")&amp;",")))=COUNTA(TEXTSPLIT(BC69,",")))),IF(BE69="",TRUE,IF(input_challenge_opportunities="",TRUE,SUMPRODUCT(--ISNUMBER(SEARCH(","&amp;TRIM(TEXTSPLIT(BE69,","))&amp;",",","&amp;SUBSTITUTE(input_challenge_opportunities," ","")&amp;",")))=0)),IF(BG69="",TRUE,IF(input_challenge_opportunities="",FALSE,SUMPRODUCT(--ISNUMBER(SEARCH(","&amp;TRIM(TEXTSPLIT(BG69,","))&amp;",",","&amp;SUBSTITUTE(input_challenge_opportunities," ","")&amp;",")))&gt;0)),IF(BI69="",TRUE,IF(input_challenge_opportunities="",FALSE,SUMPRODUCT(--ISNUMBER(SEARCH(","&amp;TRIM(TEXTSPLIT(BI69,","))&amp;",",","&amp;SUBSTITUTE(input_challenge_opportunities," ","")&amp;",")))=COUNTA(TEXTSPLIT(BI69,",")))))</f>
        <v/>
      </c>
      <c r="IY69">
        <f>AND(IF(BK69="",TRUE,IF(input_context="",FALSE,SUMPRODUCT(--ISNUMBER(SEARCH(","&amp;TRIM(TEXTSPLIT(BK69,","))&amp;",",","&amp;SUBSTITUTE(input_context," ","")&amp;",")))&gt;0)),IF(BM69="",TRUE,IF(input_context="",FALSE,SUMPRODUCT(--ISNUMBER(SEARCH(","&amp;TRIM(TEXTSPLIT(BM69,","))&amp;",",","&amp;SUBSTITUTE(input_context," ","")&amp;",")))=COUNTA(TEXTSPLIT(BM69,",")))),IF(BO69="",TRUE,IF(input_context="",TRUE,SUMPRODUCT(--ISNUMBER(SEARCH(","&amp;TRIM(TEXTSPLIT(BO69,","))&amp;",",","&amp;SUBSTITUTE(input_context," ","")&amp;",")))=0)),IF(BQ69="",TRUE,IF(input_context="",FALSE,SUMPRODUCT(--ISNUMBER(SEARCH(","&amp;TRIM(TEXTSPLIT(BQ69,","))&amp;",",","&amp;SUBSTITUTE(input_context," ","")&amp;",")))&gt;0)),IF(BS69="",TRUE,IF(input_context="",FALSE,SUMPRODUCT(--ISNUMBER(SEARCH(","&amp;TRIM(TEXTSPLIT(BS69,","))&amp;",",","&amp;SUBSTITUTE(input_context," ","")&amp;",")))=COUNTA(TEXTSPLIT(BS69,",")))))</f>
        <v/>
      </c>
      <c r="IZ69">
        <f>AND(IF(BU69="",TRUE,IF(input_enews_announcement_type="",FALSE,SUMPRODUCT(--ISNUMBER(SEARCH(","&amp;TRIM(TEXTSPLIT(BU69,","))&amp;",",","&amp;SUBSTITUTE(input_enews_announcement_type," ","")&amp;",")))&gt;0)),IF(BW69="",TRUE,IF(input_enews_announcement_type="",FALSE,SUMPRODUCT(--ISNUMBER(SEARCH(","&amp;TRIM(TEXTSPLIT(BW69,","))&amp;",",","&amp;SUBSTITUTE(input_enews_announcement_type," ","")&amp;",")))=COUNTA(TEXTSPLIT(BW69,",")))),IF(BY69="",TRUE,IF(input_enews_announcement_type="",TRUE,SUMPRODUCT(--ISNUMBER(SEARCH(","&amp;TRIM(TEXTSPLIT(BY69,","))&amp;",",","&amp;SUBSTITUTE(input_enews_announcement_type," ","")&amp;",")))=0)),IF(CA69="",TRUE,IF(input_enews_announcement_type="",FALSE,SUMPRODUCT(--ISNUMBER(SEARCH(","&amp;TRIM(TEXTSPLIT(CA69,","))&amp;",",","&amp;SUBSTITUTE(input_enews_announcement_type," ","")&amp;",")))&gt;0)),IF(CC69="",TRUE,IF(input_enews_announcement_type="",FALSE,SUMPRODUCT(--ISNUMBER(SEARCH(","&amp;TRIM(TEXTSPLIT(CC69,","))&amp;",",","&amp;SUBSTITUTE(input_enews_announcement_type," ","")&amp;",")))=COUNTA(TEXTSPLIT(CC69,",")))))</f>
        <v/>
      </c>
      <c r="JA69">
        <f>AND(IF(CE69="",TRUE,IF(input_enews_audience="",FALSE,SUMPRODUCT(--ISNUMBER(SEARCH(","&amp;TRIM(TEXTSPLIT(CE69,","))&amp;",",","&amp;SUBSTITUTE(input_enews_audience," ","")&amp;",")))&gt;0)),IF(CG69="",TRUE,IF(input_enews_audience="",FALSE,SUMPRODUCT(--ISNUMBER(SEARCH(","&amp;TRIM(TEXTSPLIT(CG69,","))&amp;",",","&amp;SUBSTITUTE(input_enews_audience," ","")&amp;",")))=COUNTA(TEXTSPLIT(CG69,",")))),IF(CI69="",TRUE,IF(input_enews_audience="",TRUE,SUMPRODUCT(--ISNUMBER(SEARCH(","&amp;TRIM(TEXTSPLIT(CI69,","))&amp;",",","&amp;SUBSTITUTE(input_enews_audience," ","")&amp;",")))=0)),IF(CK69="",TRUE,IF(input_enews_audience="",FALSE,SUMPRODUCT(--ISNUMBER(SEARCH(","&amp;TRIM(TEXTSPLIT(CK69,","))&amp;",",","&amp;SUBSTITUTE(input_enews_audience," ","")&amp;",")))&gt;0)),IF(CM69="",TRUE,IF(input_enews_audience="",FALSE,SUMPRODUCT(--ISNUMBER(SEARCH(","&amp;TRIM(TEXTSPLIT(CM69,","))&amp;",",","&amp;SUBSTITUTE(input_enews_audience," ","")&amp;",")))=COUNTA(TEXTSPLIT(CM69,",")))))</f>
        <v/>
      </c>
      <c r="JB69">
        <f>AND(IF(CO69="",TRUE,IF(input_event_location="",FALSE,SUMPRODUCT(--ISNUMBER(SEARCH(","&amp;TRIM(TEXTSPLIT(CO69,","))&amp;",",","&amp;SUBSTITUTE(input_event_location," ","")&amp;",")))&gt;0)),IF(CQ69="",TRUE,IF(input_event_location="",FALSE,SUMPRODUCT(--ISNUMBER(SEARCH(","&amp;TRIM(TEXTSPLIT(CQ69,","))&amp;",",","&amp;SUBSTITUTE(input_event_location," ","")&amp;",")))=COUNTA(TEXTSPLIT(CQ69,",")))),IF(CS69="",TRUE,IF(input_event_location="",TRUE,SUMPRODUCT(--ISNUMBER(SEARCH(","&amp;TRIM(TEXTSPLIT(CS69,","))&amp;",",","&amp;SUBSTITUTE(input_event_location," ","")&amp;",")))=0)),IF(CU69="",TRUE,IF(input_event_location="",FALSE,SUMPRODUCT(--ISNUMBER(SEARCH(","&amp;TRIM(TEXTSPLIT(CU69,","))&amp;",",","&amp;SUBSTITUTE(input_event_location," ","")&amp;",")))&gt;0)),IF(CW69="",TRUE,IF(input_event_location="",FALSE,SUMPRODUCT(--ISNUMBER(SEARCH(","&amp;TRIM(TEXTSPLIT(CW69,","))&amp;",",","&amp;SUBSTITUTE(input_event_location," ","")&amp;",")))=COUNTA(TEXTSPLIT(CW69,",")))))</f>
        <v/>
      </c>
      <c r="JC69">
        <f>AND(IF(CY69="",TRUE,IF(input_event_type="",FALSE,SUMPRODUCT(--ISNUMBER(SEARCH(","&amp;TRIM(TEXTSPLIT(CY69,","))&amp;",",","&amp;SUBSTITUTE(input_event_type," ","")&amp;",")))&gt;0)),IF(DA69="",TRUE,IF(input_event_type="",FALSE,SUMPRODUCT(--ISNUMBER(SEARCH(","&amp;TRIM(TEXTSPLIT(DA69,","))&amp;",",","&amp;SUBSTITUTE(input_event_type," ","")&amp;",")))=COUNTA(TEXTSPLIT(DA69,",")))),IF(DC69="",TRUE,IF(input_event_type="",TRUE,SUMPRODUCT(--ISNUMBER(SEARCH(","&amp;TRIM(TEXTSPLIT(DC69,","))&amp;",",","&amp;SUBSTITUTE(input_event_type," ","")&amp;",")))=0)),IF(DE69="",TRUE,IF(input_event_type="",FALSE,SUMPRODUCT(--ISNUMBER(SEARCH(","&amp;TRIM(TEXTSPLIT(DE69,","))&amp;",",","&amp;SUBSTITUTE(input_event_type," ","")&amp;",")))&gt;0)),IF(DG69="",TRUE,IF(input_event_type="",FALSE,SUMPRODUCT(--ISNUMBER(SEARCH(","&amp;TRIM(TEXTSPLIT(DG69,","))&amp;",",","&amp;SUBSTITUTE(input_event_type," ","")&amp;",")))=COUNTA(TEXTSPLIT(DG69,",")))))</f>
        <v/>
      </c>
      <c r="JD69">
        <f>AND(IF(DI69="",TRUE,IF(input_executive_education_focus="",FALSE,SUMPRODUCT(--ISNUMBER(SEARCH(","&amp;TRIM(TEXTSPLIT(DI69,","))&amp;",",","&amp;SUBSTITUTE(input_executive_education_focus," ","")&amp;",")))&gt;0)),IF(DK69="",TRUE,IF(input_executive_education_focus="",FALSE,SUMPRODUCT(--ISNUMBER(SEARCH(","&amp;TRIM(TEXTSPLIT(DK69,","))&amp;",",","&amp;SUBSTITUTE(input_executive_education_focus," ","")&amp;",")))=COUNTA(TEXTSPLIT(DK69,",")))),IF(DM69="",TRUE,IF(input_executive_education_focus="",TRUE,SUMPRODUCT(--ISNUMBER(SEARCH(","&amp;TRIM(TEXTSPLIT(DM69,","))&amp;",",","&amp;SUBSTITUTE(input_executive_education_focus," ","")&amp;",")))=0)),IF(DO69="",TRUE,IF(input_executive_education_focus="",FALSE,SUMPRODUCT(--ISNUMBER(SEARCH(","&amp;TRIM(TEXTSPLIT(DO69,","))&amp;",",","&amp;SUBSTITUTE(input_executive_education_focus," ","")&amp;",")))&gt;0)),IF(DQ69="",TRUE,IF(input_executive_education_focus="",FALSE,SUMPRODUCT(--ISNUMBER(SEARCH(","&amp;TRIM(TEXTSPLIT(DQ69,","))&amp;",",","&amp;SUBSTITUTE(input_executive_education_focus," ","")&amp;",")))=COUNTA(TEXTSPLIT(DQ69,",")))))</f>
        <v/>
      </c>
      <c r="JE69">
        <f>AND(IF(DS69="",TRUE,IF(input_faculty_category="",FALSE,SUMPRODUCT(--ISNUMBER(SEARCH(","&amp;TRIM(TEXTSPLIT(DS69,","))&amp;",",","&amp;SUBSTITUTE(input_faculty_category," ","")&amp;",")))&gt;0)),IF(DU69="",TRUE,IF(input_faculty_category="",FALSE,SUMPRODUCT(--ISNUMBER(SEARCH(","&amp;TRIM(TEXTSPLIT(DU69,","))&amp;",",","&amp;SUBSTITUTE(input_faculty_category," ","")&amp;",")))=COUNTA(TEXTSPLIT(DU69,",")))),IF(DW69="",TRUE,IF(input_faculty_category="",TRUE,SUMPRODUCT(--ISNUMBER(SEARCH(","&amp;TRIM(TEXTSPLIT(DW69,","))&amp;",",","&amp;SUBSTITUTE(input_faculty_category," ","")&amp;",")))=0)),IF(DY69="",TRUE,IF(input_faculty_category="",FALSE,SUMPRODUCT(--ISNUMBER(SEARCH(","&amp;TRIM(TEXTSPLIT(DY69,","))&amp;",",","&amp;SUBSTITUTE(input_faculty_category," ","")&amp;",")))&gt;0)),IF(EA69="",TRUE,IF(input_faculty_category="",FALSE,SUMPRODUCT(--ISNUMBER(SEARCH(","&amp;TRIM(TEXTSPLIT(EA69,","))&amp;",",","&amp;SUBSTITUTE(input_faculty_category," ","")&amp;",")))=COUNTA(TEXTSPLIT(EA69,",")))))</f>
        <v/>
      </c>
      <c r="JF69">
        <f>AND(IF(EC69="",TRUE,IF(input_faculty_discipline="",FALSE,SUMPRODUCT(--ISNUMBER(SEARCH(","&amp;TRIM(TEXTSPLIT(EC69,","))&amp;",",","&amp;SUBSTITUTE(input_faculty_discipline," ","")&amp;",")))&gt;0)),IF(EE69="",TRUE,IF(input_faculty_discipline="",FALSE,SUMPRODUCT(--ISNUMBER(SEARCH(","&amp;TRIM(TEXTSPLIT(EE69,","))&amp;",",","&amp;SUBSTITUTE(input_faculty_discipline," ","")&amp;",")))=COUNTA(TEXTSPLIT(EE69,",")))),IF(EG69="",TRUE,IF(input_faculty_discipline="",TRUE,SUMPRODUCT(--ISNUMBER(SEARCH(","&amp;TRIM(TEXTSPLIT(EG69,","))&amp;",",","&amp;SUBSTITUTE(input_faculty_discipline," ","")&amp;",")))=0)),IF(EI69="",TRUE,IF(input_faculty_discipline="",FALSE,SUMPRODUCT(--ISNUMBER(SEARCH(","&amp;TRIM(TEXTSPLIT(EI69,","))&amp;",",","&amp;SUBSTITUTE(input_faculty_discipline," ","")&amp;",")))&gt;0)),IF(EK69="",TRUE,IF(input_faculty_discipline="",FALSE,SUMPRODUCT(--ISNUMBER(SEARCH(","&amp;TRIM(TEXTSPLIT(EK69,","))&amp;",",","&amp;SUBSTITUTE(input_faculty_discipline," ","")&amp;",")))=COUNTA(TEXTSPLIT(EK69,",")))))</f>
        <v/>
      </c>
      <c r="JG69">
        <f>AND(IF(EM69="",TRUE,IF(input_faculty_expertise="",FALSE,SUMPRODUCT(--ISNUMBER(SEARCH(","&amp;TRIM(TEXTSPLIT(EM69,","))&amp;",",","&amp;SUBSTITUTE(input_faculty_expertise," ","")&amp;",")))&gt;0)),IF(EO69="",TRUE,IF(input_faculty_expertise="",FALSE,SUMPRODUCT(--ISNUMBER(SEARCH(","&amp;TRIM(TEXTSPLIT(EO69,","))&amp;",",","&amp;SUBSTITUTE(input_faculty_expertise," ","")&amp;",")))=COUNTA(TEXTSPLIT(EO69,",")))),IF(EQ69="",TRUE,IF(input_faculty_expertise="",TRUE,SUMPRODUCT(--ISNUMBER(SEARCH(","&amp;TRIM(TEXTSPLIT(EQ69,","))&amp;",",","&amp;SUBSTITUTE(input_faculty_expertise," ","")&amp;",")))=0)),IF(ES69="",TRUE,IF(input_faculty_expertise="",FALSE,SUMPRODUCT(--ISNUMBER(SEARCH(","&amp;TRIM(TEXTSPLIT(ES69,","))&amp;",",","&amp;SUBSTITUTE(input_faculty_expertise," ","")&amp;",")))&gt;0)),IF(EU69="",TRUE,IF(input_faculty_expertise="",FALSE,SUMPRODUCT(--ISNUMBER(SEARCH(","&amp;TRIM(TEXTSPLIT(EU69,","))&amp;",",","&amp;SUBSTITUTE(input_faculty_expertise," ","")&amp;",")))=COUNTA(TEXTSPLIT(EU69,",")))))</f>
        <v/>
      </c>
      <c r="JH69">
        <f>AND(IF(EW69="",TRUE,IF(input_global_network_school="",FALSE,SUMPRODUCT(--ISNUMBER(SEARCH(","&amp;TRIM(TEXTSPLIT(EW69,","))&amp;",",","&amp;SUBSTITUTE(input_global_network_school," ","")&amp;",")))&gt;0)),IF(EY69="",TRUE,IF(input_global_network_school="",FALSE,SUMPRODUCT(--ISNUMBER(SEARCH(","&amp;TRIM(TEXTSPLIT(EY69,","))&amp;",",","&amp;SUBSTITUTE(input_global_network_school," ","")&amp;",")))=COUNTA(TEXTSPLIT(EY69,",")))),IF(FA69="",TRUE,IF(input_global_network_school="",TRUE,SUMPRODUCT(--ISNUMBER(SEARCH(","&amp;TRIM(TEXTSPLIT(FA69,","))&amp;",",","&amp;SUBSTITUTE(input_global_network_school," ","")&amp;",")))=0)),IF(FC69="",TRUE,IF(input_global_network_school="",FALSE,SUMPRODUCT(--ISNUMBER(SEARCH(","&amp;TRIM(TEXTSPLIT(FC69,","))&amp;",",","&amp;SUBSTITUTE(input_global_network_school," ","")&amp;",")))&gt;0)),IF(FE69="",TRUE,IF(input_global_network_school="",FALSE,SUMPRODUCT(--ISNUMBER(SEARCH(","&amp;TRIM(TEXTSPLIT(FE69,","))&amp;",",","&amp;SUBSTITUTE(input_global_network_school," ","")&amp;",")))=COUNTA(TEXTSPLIT(FE69,",")))))</f>
        <v/>
      </c>
      <c r="JI69">
        <f>AND(IF(FG69="",TRUE,IF(input_industry="",FALSE,SUMPRODUCT(--ISNUMBER(SEARCH(","&amp;TRIM(TEXTSPLIT(FG69,","))&amp;",",","&amp;SUBSTITUTE(input_industry," ","")&amp;",")))&gt;0)),IF(FI69="",TRUE,IF(input_industry="",FALSE,SUMPRODUCT(--ISNUMBER(SEARCH(","&amp;TRIM(TEXTSPLIT(FI69,","))&amp;",",","&amp;SUBSTITUTE(input_industry," ","")&amp;",")))=COUNTA(TEXTSPLIT(FI69,",")))),IF(FK69="",TRUE,IF(input_industry="",TRUE,SUMPRODUCT(--ISNUMBER(SEARCH(","&amp;TRIM(TEXTSPLIT(FK69,","))&amp;",",","&amp;SUBSTITUTE(input_industry," ","")&amp;",")))=0)),IF(FM69="",TRUE,IF(input_industry="",FALSE,SUMPRODUCT(--ISNUMBER(SEARCH(","&amp;TRIM(TEXTSPLIT(FM69,","))&amp;",",","&amp;SUBSTITUTE(input_industry," ","")&amp;",")))&gt;0)),IF(FO69="",TRUE,IF(input_industry="",FALSE,SUMPRODUCT(--ISNUMBER(SEARCH(","&amp;TRIM(TEXTSPLIT(FO69,","))&amp;",",","&amp;SUBSTITUTE(input_industry," ","")&amp;",")))=COUNTA(TEXTSPLIT(FO69,",")))))</f>
        <v/>
      </c>
      <c r="JJ69">
        <f>AND(IF(FQ69="",TRUE,IF(input_location="",FALSE,SUMPRODUCT(--ISNUMBER(SEARCH(","&amp;TRIM(TEXTSPLIT(FQ69,","))&amp;",",","&amp;SUBSTITUTE(input_location," ","")&amp;",")))&gt;0)),IF(FS69="",TRUE,IF(input_location="",FALSE,SUMPRODUCT(--ISNUMBER(SEARCH(","&amp;TRIM(TEXTSPLIT(FS69,","))&amp;",",","&amp;SUBSTITUTE(input_location," ","")&amp;",")))=COUNTA(TEXTSPLIT(FS69,",")))),IF(FU69="",TRUE,IF(input_location="",TRUE,SUMPRODUCT(--ISNUMBER(SEARCH(","&amp;TRIM(TEXTSPLIT(FU69,","))&amp;",",","&amp;SUBSTITUTE(input_location," ","")&amp;",")))=0)),IF(FW69="",TRUE,IF(input_location="",FALSE,SUMPRODUCT(--ISNUMBER(SEARCH(","&amp;TRIM(TEXTSPLIT(FW69,","))&amp;",",","&amp;SUBSTITUTE(input_location," ","")&amp;",")))&gt;0)),IF(FY69="",TRUE,IF(input_location="",FALSE,SUMPRODUCT(--ISNUMBER(SEARCH(","&amp;TRIM(TEXTSPLIT(FY69,","))&amp;",",","&amp;SUBSTITUTE(input_location," ","")&amp;",")))=COUNTA(TEXTSPLIT(FY69,",")))))</f>
        <v/>
      </c>
      <c r="JK69">
        <f>AND(IF(GA69="",TRUE,IF(input_modality="",FALSE,SUMPRODUCT(--ISNUMBER(SEARCH(","&amp;TRIM(TEXTSPLIT(GA69,","))&amp;",",","&amp;SUBSTITUTE(input_modality," ","")&amp;",")))&gt;0)),IF(GC69="",TRUE,IF(input_modality="",FALSE,SUMPRODUCT(--ISNUMBER(SEARCH(","&amp;TRIM(TEXTSPLIT(GC69,","))&amp;",",","&amp;SUBSTITUTE(input_modality," ","")&amp;",")))=COUNTA(TEXTSPLIT(GC69,",")))),IF(GE69="",TRUE,IF(input_modality="",TRUE,SUMPRODUCT(--ISNUMBER(SEARCH(","&amp;TRIM(TEXTSPLIT(GE69,","))&amp;",",","&amp;SUBSTITUTE(input_modality," ","")&amp;",")))=0)),IF(GG69="",TRUE,IF(input_modality="",FALSE,SUMPRODUCT(--ISNUMBER(SEARCH(","&amp;TRIM(TEXTSPLIT(GG69,","))&amp;",",","&amp;SUBSTITUTE(input_modality," ","")&amp;",")))&gt;0)),IF(GI69="",TRUE,IF(input_modality="",FALSE,SUMPRODUCT(--ISNUMBER(SEARCH(","&amp;TRIM(TEXTSPLIT(GI69,","))&amp;",",","&amp;SUBSTITUTE(input_modality," ","")&amp;",")))=COUNTA(TEXTSPLIT(GI69,",")))))</f>
        <v/>
      </c>
      <c r="JL69">
        <f>AND(IF(GK69="",TRUE,IF(input_organizer="",FALSE,SUMPRODUCT(--ISNUMBER(SEARCH(","&amp;TRIM(TEXTSPLIT(GK69,","))&amp;",",","&amp;SUBSTITUTE(input_organizer," ","")&amp;",")))&gt;0)),IF(GM69="",TRUE,IF(input_organizer="",FALSE,SUMPRODUCT(--ISNUMBER(SEARCH(","&amp;TRIM(TEXTSPLIT(GM69,","))&amp;",",","&amp;SUBSTITUTE(input_organizer," ","")&amp;",")))=COUNTA(TEXTSPLIT(GM69,",")))),IF(GO69="",TRUE,IF(input_organizer="",TRUE,SUMPRODUCT(--ISNUMBER(SEARCH(","&amp;TRIM(TEXTSPLIT(GO69,","))&amp;",",","&amp;SUBSTITUTE(input_organizer," ","")&amp;",")))=0)),IF(GQ69="",TRUE,IF(input_organizer="",FALSE,SUMPRODUCT(--ISNUMBER(SEARCH(","&amp;TRIM(TEXTSPLIT(GQ69,","))&amp;",",","&amp;SUBSTITUTE(input_organizer," ","")&amp;",")))&gt;0)),IF(GS69="",TRUE,IF(input_organizer="",FALSE,SUMPRODUCT(--ISNUMBER(SEARCH(","&amp;TRIM(TEXTSPLIT(GS69,","))&amp;",",","&amp;SUBSTITUTE(input_organizer," ","")&amp;",")))=COUNTA(TEXTSPLIT(GS69,",")))))</f>
        <v/>
      </c>
      <c r="JM69">
        <f>AND(IF(GU69="",TRUE,IF(input_profile_type="",FALSE,SUMPRODUCT(--ISNUMBER(SEARCH(","&amp;TRIM(TEXTSPLIT(GU69,","))&amp;",",","&amp;SUBSTITUTE(input_profile_type," ","")&amp;",")))&gt;0)),IF(GW69="",TRUE,IF(input_profile_type="",FALSE,SUMPRODUCT(--ISNUMBER(SEARCH(","&amp;TRIM(TEXTSPLIT(GW69,","))&amp;",",","&amp;SUBSTITUTE(input_profile_type," ","")&amp;",")))=COUNTA(TEXTSPLIT(GW69,",")))),IF(GY69="",TRUE,IF(input_profile_type="",TRUE,SUMPRODUCT(--ISNUMBER(SEARCH(","&amp;TRIM(TEXTSPLIT(GY69,","))&amp;",",","&amp;SUBSTITUTE(input_profile_type," ","")&amp;",")))=0)),IF(HA69="",TRUE,IF(input_profile_type="",FALSE,SUMPRODUCT(--ISNUMBER(SEARCH(","&amp;TRIM(TEXTSPLIT(HA69,","))&amp;",",","&amp;SUBSTITUTE(input_profile_type," ","")&amp;",")))&gt;0)),IF(HC69="",TRUE,IF(input_profile_type="",FALSE,SUMPRODUCT(--ISNUMBER(SEARCH(","&amp;TRIM(TEXTSPLIT(HC69,","))&amp;",",","&amp;SUBSTITUTE(input_profile_type," ","")&amp;",")))=COUNTA(TEXTSPLIT(HC69,",")))))</f>
        <v/>
      </c>
      <c r="JN69">
        <f>AND(IF(HE69="",TRUE,IF(input_program="",FALSE,SUMPRODUCT(--ISNUMBER(SEARCH(","&amp;TRIM(TEXTSPLIT(HE69,","))&amp;",",","&amp;SUBSTITUTE(input_program," ","")&amp;",")))&gt;0)),IF(HG69="",TRUE,IF(input_program="",FALSE,SUMPRODUCT(--ISNUMBER(SEARCH(","&amp;TRIM(TEXTSPLIT(HG69,","))&amp;",",","&amp;SUBSTITUTE(input_program," ","")&amp;",")))=COUNTA(TEXTSPLIT(HG69,",")))),IF(HI69="",TRUE,IF(input_program="",TRUE,SUMPRODUCT(--ISNUMBER(SEARCH(","&amp;TRIM(TEXTSPLIT(HI69,","))&amp;",",","&amp;SUBSTITUTE(input_program," ","")&amp;",")))=0)),IF(HK69="",TRUE,IF(input_program="",FALSE,SUMPRODUCT(--ISNUMBER(SEARCH(","&amp;TRIM(TEXTSPLIT(HK69,","))&amp;",",","&amp;SUBSTITUTE(input_program," ","")&amp;",")))&gt;0)),IF(HM69="",TRUE,IF(input_program="",FALSE,SUMPRODUCT(--ISNUMBER(SEARCH(","&amp;TRIM(TEXTSPLIT(HM69,","))&amp;",",","&amp;SUBSTITUTE(input_program," ","")&amp;",")))=COUNTA(TEXTSPLIT(HM69,",")))))</f>
        <v/>
      </c>
      <c r="JO69">
        <f>AND(IF(HO69="",TRUE,IF(input_story_categories="",FALSE,SUMPRODUCT(--ISNUMBER(SEARCH(","&amp;TRIM(TEXTSPLIT(HO69,","))&amp;",",","&amp;SUBSTITUTE(input_story_categories," ","")&amp;",")))&gt;0)),IF(HQ69="",TRUE,IF(input_story_categories="",FALSE,SUMPRODUCT(--ISNUMBER(SEARCH(","&amp;TRIM(TEXTSPLIT(HQ69,","))&amp;",",","&amp;SUBSTITUTE(input_story_categories," ","")&amp;",")))=COUNTA(TEXTSPLIT(HQ69,",")))),IF(HS69="",TRUE,IF(input_story_categories="",TRUE,SUMPRODUCT(--ISNUMBER(SEARCH(","&amp;TRIM(TEXTSPLIT(HS69,","))&amp;",",","&amp;SUBSTITUTE(input_story_categories," ","")&amp;",")))=0)),IF(HU69="",TRUE,IF(input_story_categories="",FALSE,SUMPRODUCT(--ISNUMBER(SEARCH(","&amp;TRIM(TEXTSPLIT(HU69,","))&amp;",",","&amp;SUBSTITUTE(input_story_categories," ","")&amp;",")))&gt;0)),IF(HW69="",TRUE,IF(input_story_categories="",FALSE,SUMPRODUCT(--ISNUMBER(SEARCH(","&amp;TRIM(TEXTSPLIT(HW69,","))&amp;",",","&amp;SUBSTITUTE(input_story_categories," ","")&amp;",")))=COUNTA(TEXTSPLIT(HW69,",")))))</f>
        <v/>
      </c>
      <c r="JP69">
        <f>AND(IF(HY69="",TRUE,IF(input_story_type="",FALSE,SUMPRODUCT(--ISNUMBER(SEARCH(","&amp;TRIM(TEXTSPLIT(HY69,","))&amp;",",","&amp;SUBSTITUTE(input_story_type," ","")&amp;",")))&gt;0)),IF(IA69="",TRUE,IF(input_story_type="",FALSE,SUMPRODUCT(--ISNUMBER(SEARCH(","&amp;TRIM(TEXTSPLIT(IA69,","))&amp;",",","&amp;SUBSTITUTE(input_story_type," ","")&amp;",")))=COUNTA(TEXTSPLIT(IA69,",")))),IF(IC69="",TRUE,IF(input_story_type="",TRUE,SUMPRODUCT(--ISNUMBER(SEARCH(","&amp;TRIM(TEXTSPLIT(IC69,","))&amp;",",","&amp;SUBSTITUTE(input_story_type," ","")&amp;",")))=0)),IF(IE69="",TRUE,IF(input_story_type="",FALSE,SUMPRODUCT(--ISNUMBER(SEARCH(","&amp;TRIM(TEXTSPLIT(IE69,","))&amp;",",","&amp;SUBSTITUTE(input_story_type," ","")&amp;",")))&gt;0)),IF(IG69="",TRUE,IF(input_story_type="",FALSE,SUMPRODUCT(--ISNUMBER(SEARCH(","&amp;TRIM(TEXTSPLIT(IG69,","))&amp;",",","&amp;SUBSTITUTE(input_story_type," ","")&amp;",")))=COUNTA(TEXTSPLIT(IG69,",")))))</f>
        <v/>
      </c>
      <c r="JQ69">
        <f>AND(IF(II69="",TRUE,IF(input_topics="",FALSE,SUMPRODUCT(--ISNUMBER(SEARCH(","&amp;TRIM(TEXTSPLIT(II69,","))&amp;",",","&amp;SUBSTITUTE(input_topics," ","")&amp;",")))&gt;0)),IF(IK69="",TRUE,IF(input_topics="",FALSE,SUMPRODUCT(--ISNUMBER(SEARCH(","&amp;TRIM(TEXTSPLIT(IK69,","))&amp;",",","&amp;SUBSTITUTE(input_topics," ","")&amp;",")))=COUNTA(TEXTSPLIT(IK69,",")))),IF(IM69="",TRUE,IF(input_topics="",TRUE,SUMPRODUCT(--ISNUMBER(SEARCH(","&amp;TRIM(TEXTSPLIT(IM69,","))&amp;",",","&amp;SUBSTITUTE(input_topics," ","")&amp;",")))=0)),IF(IO69="",TRUE,IF(input_topics="",FALSE,SUMPRODUCT(--ISNUMBER(SEARCH(","&amp;TRIM(TEXTSPLIT(IO69,","))&amp;",",","&amp;SUBSTITUTE(input_topics," ","")&amp;",")))&gt;0)),IF(IQ69="",TRUE,IF(input_topics="",FALSE,SUMPRODUCT(--ISNUMBER(SEARCH(","&amp;TRIM(TEXTSPLIT(IQ69,","))&amp;",",","&amp;SUBSTITUTE(input_topics," ","")&amp;",")))=COUNTA(TEXTSPLIT(IQ69,",")))))</f>
        <v/>
      </c>
    </row>
    <row r="70">
      <c r="A70" s="4">
        <f>IF(NOT(IS70),"Excluded",IF(AND(IT70,IU70,IV70,IW70,IX70,IY70,IZ70,JA70,JB70,JC70,JD70,JE70,JF70,JG70,JH70,JI70,JJ70,JK70,JL70,JM70,JN70,JO70,JP70,JQ70),IF(I70&gt;0,"Eligible but limited","Will appear"),"Excluded"))</f>
        <v/>
      </c>
      <c r="B70" s="4" t="inlineStr">
        <is>
          <t>All stories</t>
        </is>
      </c>
      <c r="C70" s="4" t="inlineStr">
        <is>
          <t>/the-som-experience/community</t>
        </is>
      </c>
      <c r="D70" s="4" t="inlineStr">
        <is>
          <t>/the-som-experience/community</t>
        </is>
      </c>
      <c r="E70" s="4" t="n">
        <v>1</v>
      </c>
      <c r="F70" s="4" t="inlineStr">
        <is>
          <t>story</t>
        </is>
      </c>
      <c r="G70" s="4" t="inlineStr">
        <is>
          <t>stories_teaser_list</t>
        </is>
      </c>
      <c r="H70" s="4" t="inlineStr">
        <is>
          <t>embed_all</t>
        </is>
      </c>
      <c r="I70" s="4" t="n">
        <v>10</v>
      </c>
      <c r="J70" s="4" t="inlineStr">
        <is>
          <t>View/config rules</t>
        </is>
      </c>
      <c r="K70" s="4" t="inlineStr">
        <is>
          <t>Page placement</t>
        </is>
      </c>
      <c r="L70" s="4" t="inlineStr">
        <is>
          <t>Content type: story; Limited to 10 item(s); Source: View/config rules</t>
        </is>
      </c>
      <c r="M70" t="inlineStr"/>
      <c r="N70" t="inlineStr"/>
      <c r="O70" t="inlineStr"/>
      <c r="P70" t="inlineStr"/>
      <c r="Q70" t="inlineStr"/>
      <c r="R70" t="inlineStr"/>
      <c r="S70" t="inlineStr"/>
      <c r="T70" t="inlineStr"/>
      <c r="U70" t="inlineStr"/>
      <c r="V70" t="inlineStr"/>
      <c r="W70" t="inlineStr"/>
      <c r="X70" t="inlineStr"/>
      <c r="Y70" t="inlineStr"/>
      <c r="Z70" t="inlineStr"/>
      <c r="AA70" t="inlineStr"/>
      <c r="AB70" t="inlineStr"/>
      <c r="AC70" t="inlineStr"/>
      <c r="AD70" t="inlineStr"/>
      <c r="AE70" t="inlineStr"/>
      <c r="AF70" t="inlineStr"/>
      <c r="AG70" t="inlineStr"/>
      <c r="AH70" t="inlineStr"/>
      <c r="AI70" t="inlineStr"/>
      <c r="AJ70" t="inlineStr"/>
      <c r="AK70" t="inlineStr"/>
      <c r="AL70" t="inlineStr"/>
      <c r="AM70" t="inlineStr"/>
      <c r="AN70" t="inlineStr"/>
      <c r="AO70" t="inlineStr"/>
      <c r="AP70" t="inlineStr"/>
      <c r="AQ70" t="inlineStr"/>
      <c r="AR70" t="inlineStr"/>
      <c r="AS70" t="inlineStr"/>
      <c r="AT70" t="inlineStr"/>
      <c r="AU70" t="inlineStr"/>
      <c r="AV70" t="inlineStr"/>
      <c r="AW70" t="inlineStr"/>
      <c r="AX70" t="inlineStr"/>
      <c r="AY70" t="inlineStr"/>
      <c r="AZ70" t="inlineStr"/>
      <c r="BA70" t="inlineStr"/>
      <c r="BB70" t="inlineStr"/>
      <c r="BC70" t="inlineStr"/>
      <c r="BD70" t="inlineStr"/>
      <c r="BE70" t="inlineStr"/>
      <c r="BF70" t="inlineStr"/>
      <c r="BG70" t="inlineStr"/>
      <c r="BH70" t="inlineStr"/>
      <c r="BI70" t="inlineStr"/>
      <c r="BJ70" t="inlineStr"/>
      <c r="BK70" t="inlineStr"/>
      <c r="BL70" t="inlineStr"/>
      <c r="BM70" t="inlineStr"/>
      <c r="BN70" t="inlineStr"/>
      <c r="BO70" t="inlineStr"/>
      <c r="BP70" t="inlineStr"/>
      <c r="BQ70" t="inlineStr"/>
      <c r="BR70" t="inlineStr"/>
      <c r="BS70" t="inlineStr"/>
      <c r="BT70" t="inlineStr"/>
      <c r="BU70" t="inlineStr"/>
      <c r="BV70" t="inlineStr"/>
      <c r="BW70" t="inlineStr"/>
      <c r="BX70" t="inlineStr"/>
      <c r="BY70" t="inlineStr"/>
      <c r="BZ70" t="inlineStr"/>
      <c r="CA70" t="inlineStr"/>
      <c r="CB70" t="inlineStr"/>
      <c r="CC70" t="inlineStr"/>
      <c r="CD70" t="inlineStr"/>
      <c r="CE70" t="inlineStr"/>
      <c r="CF70" t="inlineStr"/>
      <c r="CG70" t="inlineStr"/>
      <c r="CH70" t="inlineStr"/>
      <c r="CI70" t="inlineStr"/>
      <c r="CJ70" t="inlineStr"/>
      <c r="CK70" t="inlineStr"/>
      <c r="CL70" t="inlineStr"/>
      <c r="CM70" t="inlineStr"/>
      <c r="CN70" t="inlineStr"/>
      <c r="CO70" t="inlineStr"/>
      <c r="CP70" t="inlineStr"/>
      <c r="CQ70" t="inlineStr"/>
      <c r="CR70" t="inlineStr"/>
      <c r="CS70" t="inlineStr"/>
      <c r="CT70" t="inlineStr"/>
      <c r="CU70" t="inlineStr"/>
      <c r="CV70" t="inlineStr"/>
      <c r="CW70" t="inlineStr"/>
      <c r="CX70" t="inlineStr"/>
      <c r="CY70" t="inlineStr"/>
      <c r="CZ70" t="inlineStr"/>
      <c r="DA70" t="inlineStr"/>
      <c r="DB70" t="inlineStr"/>
      <c r="DC70" t="inlineStr"/>
      <c r="DD70" t="inlineStr"/>
      <c r="DE70" t="inlineStr"/>
      <c r="DF70" t="inlineStr"/>
      <c r="DG70" t="inlineStr"/>
      <c r="DH70" t="inlineStr"/>
      <c r="DI70" t="inlineStr"/>
      <c r="DJ70" t="inlineStr"/>
      <c r="DK70" t="inlineStr"/>
      <c r="DL70" t="inlineStr"/>
      <c r="DM70" t="inlineStr"/>
      <c r="DN70" t="inlineStr"/>
      <c r="DO70" t="inlineStr"/>
      <c r="DP70" t="inlineStr"/>
      <c r="DQ70" t="inlineStr"/>
      <c r="DR70" t="inlineStr"/>
      <c r="DS70" t="inlineStr"/>
      <c r="DT70" t="inlineStr"/>
      <c r="DU70" t="inlineStr"/>
      <c r="DV70" t="inlineStr"/>
      <c r="DW70" t="inlineStr"/>
      <c r="DX70" t="inlineStr"/>
      <c r="DY70" t="inlineStr"/>
      <c r="DZ70" t="inlineStr"/>
      <c r="EA70" t="inlineStr"/>
      <c r="EB70" t="inlineStr"/>
      <c r="EC70" t="inlineStr"/>
      <c r="ED70" t="inlineStr"/>
      <c r="EE70" t="inlineStr"/>
      <c r="EF70" t="inlineStr"/>
      <c r="EG70" t="inlineStr"/>
      <c r="EH70" t="inlineStr"/>
      <c r="EI70" t="inlineStr"/>
      <c r="EJ70" t="inlineStr"/>
      <c r="EK70" t="inlineStr"/>
      <c r="EL70" t="inlineStr"/>
      <c r="EM70" t="inlineStr"/>
      <c r="EN70" t="inlineStr"/>
      <c r="EO70" t="inlineStr"/>
      <c r="EP70" t="inlineStr"/>
      <c r="EQ70" t="inlineStr"/>
      <c r="ER70" t="inlineStr"/>
      <c r="ES70" t="inlineStr"/>
      <c r="ET70" t="inlineStr"/>
      <c r="EU70" t="inlineStr"/>
      <c r="EV70" t="inlineStr"/>
      <c r="EW70" t="inlineStr"/>
      <c r="EX70" t="inlineStr"/>
      <c r="EY70" t="inlineStr"/>
      <c r="EZ70" t="inlineStr"/>
      <c r="FA70" t="inlineStr"/>
      <c r="FB70" t="inlineStr"/>
      <c r="FC70" t="inlineStr"/>
      <c r="FD70" t="inlineStr"/>
      <c r="FE70" t="inlineStr"/>
      <c r="FF70" t="inlineStr"/>
      <c r="FG70" t="inlineStr"/>
      <c r="FH70" t="inlineStr"/>
      <c r="FI70" t="inlineStr"/>
      <c r="FJ70" t="inlineStr"/>
      <c r="FK70" t="inlineStr"/>
      <c r="FL70" t="inlineStr"/>
      <c r="FM70" t="inlineStr"/>
      <c r="FN70" t="inlineStr"/>
      <c r="FO70" t="inlineStr"/>
      <c r="FP70" t="inlineStr"/>
      <c r="FQ70" t="inlineStr"/>
      <c r="FR70" t="inlineStr"/>
      <c r="FS70" t="inlineStr"/>
      <c r="FT70" t="inlineStr"/>
      <c r="FU70" t="inlineStr"/>
      <c r="FV70" t="inlineStr"/>
      <c r="FW70" t="inlineStr"/>
      <c r="FX70" t="inlineStr"/>
      <c r="FY70" t="inlineStr"/>
      <c r="FZ70" t="inlineStr"/>
      <c r="GA70" t="inlineStr"/>
      <c r="GB70" t="inlineStr"/>
      <c r="GC70" t="inlineStr"/>
      <c r="GD70" t="inlineStr"/>
      <c r="GE70" t="inlineStr"/>
      <c r="GF70" t="inlineStr"/>
      <c r="GG70" t="inlineStr"/>
      <c r="GH70" t="inlineStr"/>
      <c r="GI70" t="inlineStr"/>
      <c r="GJ70" t="inlineStr"/>
      <c r="GK70" t="inlineStr"/>
      <c r="GL70" t="inlineStr"/>
      <c r="GM70" t="inlineStr"/>
      <c r="GN70" t="inlineStr"/>
      <c r="GO70" t="inlineStr"/>
      <c r="GP70" t="inlineStr"/>
      <c r="GQ70" t="inlineStr"/>
      <c r="GR70" t="inlineStr"/>
      <c r="GS70" t="inlineStr"/>
      <c r="GT70" t="inlineStr"/>
      <c r="GU70" t="inlineStr"/>
      <c r="GV70" t="inlineStr"/>
      <c r="GW70" t="inlineStr"/>
      <c r="GX70" t="inlineStr"/>
      <c r="GY70" t="inlineStr"/>
      <c r="GZ70" t="inlineStr"/>
      <c r="HA70" t="inlineStr"/>
      <c r="HB70" t="inlineStr"/>
      <c r="HC70" t="inlineStr"/>
      <c r="HD70" t="inlineStr"/>
      <c r="HE70" t="inlineStr"/>
      <c r="HF70" t="inlineStr"/>
      <c r="HG70" t="inlineStr"/>
      <c r="HH70" t="inlineStr"/>
      <c r="HI70" t="inlineStr"/>
      <c r="HJ70" t="inlineStr"/>
      <c r="HK70" t="inlineStr"/>
      <c r="HL70" t="inlineStr"/>
      <c r="HM70" t="inlineStr"/>
      <c r="HN70" t="inlineStr"/>
      <c r="HO70" t="inlineStr"/>
      <c r="HP70" t="inlineStr"/>
      <c r="HQ70" t="inlineStr"/>
      <c r="HR70" t="inlineStr"/>
      <c r="HS70" t="inlineStr"/>
      <c r="HT70" t="inlineStr"/>
      <c r="HU70" t="inlineStr"/>
      <c r="HV70" t="inlineStr"/>
      <c r="HW70" t="inlineStr"/>
      <c r="HX70" t="inlineStr"/>
      <c r="HY70" t="inlineStr"/>
      <c r="HZ70" t="inlineStr"/>
      <c r="IA70" t="inlineStr"/>
      <c r="IB70" t="inlineStr"/>
      <c r="IC70" t="inlineStr"/>
      <c r="ID70" t="inlineStr"/>
      <c r="IE70" t="inlineStr"/>
      <c r="IF70" t="inlineStr"/>
      <c r="IG70" t="inlineStr"/>
      <c r="IH70" t="inlineStr"/>
      <c r="II70" t="inlineStr"/>
      <c r="IJ70" t="inlineStr"/>
      <c r="IK70" t="inlineStr"/>
      <c r="IL70" t="inlineStr"/>
      <c r="IM70" t="inlineStr"/>
      <c r="IN70" t="inlineStr"/>
      <c r="IO70" t="inlineStr"/>
      <c r="IP70" t="inlineStr"/>
      <c r="IQ70" t="inlineStr"/>
      <c r="IR70" t="inlineStr"/>
      <c r="IS70">
        <f>IF(input_content_type="",FALSE,ISNUMBER(SEARCH(","&amp;LOWER(input_content_type)&amp;",",","&amp;LOWER(F70)&amp;",")))</f>
        <v/>
      </c>
      <c r="IT70">
        <f>AND(IF(M70="",TRUE,IF(input_affiliations="",FALSE,SUMPRODUCT(--ISNUMBER(SEARCH(","&amp;TRIM(TEXTSPLIT(M70,","))&amp;",",","&amp;SUBSTITUTE(input_affiliations," ","")&amp;",")))&gt;0)),IF(O70="",TRUE,IF(input_affiliations="",FALSE,SUMPRODUCT(--ISNUMBER(SEARCH(","&amp;TRIM(TEXTSPLIT(O70,","))&amp;",",","&amp;SUBSTITUTE(input_affiliations," ","")&amp;",")))=COUNTA(TEXTSPLIT(O70,",")))),IF(Q70="",TRUE,IF(input_affiliations="",TRUE,SUMPRODUCT(--ISNUMBER(SEARCH(","&amp;TRIM(TEXTSPLIT(Q70,","))&amp;",",","&amp;SUBSTITUTE(input_affiliations," ","")&amp;",")))=0)),IF(S70="",TRUE,IF(input_affiliations="",FALSE,SUMPRODUCT(--ISNUMBER(SEARCH(","&amp;TRIM(TEXTSPLIT(S70,","))&amp;",",","&amp;SUBSTITUTE(input_affiliations," ","")&amp;",")))&gt;0)),IF(U70="",TRUE,IF(input_affiliations="",FALSE,SUMPRODUCT(--ISNUMBER(SEARCH(","&amp;TRIM(TEXTSPLIT(U70,","))&amp;",",","&amp;SUBSTITUTE(input_affiliations," ","")&amp;",")))=COUNTA(TEXTSPLIT(U70,",")))))</f>
        <v/>
      </c>
      <c r="IU70">
        <f>AND(IF(W70="",TRUE,IF(input_announcement_category="",FALSE,SUMPRODUCT(--ISNUMBER(SEARCH(","&amp;TRIM(TEXTSPLIT(W70,","))&amp;",",","&amp;SUBSTITUTE(input_announcement_category," ","")&amp;",")))&gt;0)),IF(Y70="",TRUE,IF(input_announcement_category="",FALSE,SUMPRODUCT(--ISNUMBER(SEARCH(","&amp;TRIM(TEXTSPLIT(Y70,","))&amp;",",","&amp;SUBSTITUTE(input_announcement_category," ","")&amp;",")))=COUNTA(TEXTSPLIT(Y70,",")))),IF(AA70="",TRUE,IF(input_announcement_category="",TRUE,SUMPRODUCT(--ISNUMBER(SEARCH(","&amp;TRIM(TEXTSPLIT(AA70,","))&amp;",",","&amp;SUBSTITUTE(input_announcement_category," ","")&amp;",")))=0)),IF(AC70="",TRUE,IF(input_announcement_category="",FALSE,SUMPRODUCT(--ISNUMBER(SEARCH(","&amp;TRIM(TEXTSPLIT(AC70,","))&amp;",",","&amp;SUBSTITUTE(input_announcement_category," ","")&amp;",")))&gt;0)),IF(AE70="",TRUE,IF(input_announcement_category="",FALSE,SUMPRODUCT(--ISNUMBER(SEARCH(","&amp;TRIM(TEXTSPLIT(AE70,","))&amp;",",","&amp;SUBSTITUTE(input_announcement_category," ","")&amp;",")))=COUNTA(TEXTSPLIT(AE70,",")))))</f>
        <v/>
      </c>
      <c r="IV70">
        <f>AND(IF(AG70="",TRUE,IF(input_area_of_focus="",FALSE,SUMPRODUCT(--ISNUMBER(SEARCH(","&amp;TRIM(TEXTSPLIT(AG70,","))&amp;",",","&amp;SUBSTITUTE(input_area_of_focus," ","")&amp;",")))&gt;0)),IF(AI70="",TRUE,IF(input_area_of_focus="",FALSE,SUMPRODUCT(--ISNUMBER(SEARCH(","&amp;TRIM(TEXTSPLIT(AI70,","))&amp;",",","&amp;SUBSTITUTE(input_area_of_focus," ","")&amp;",")))=COUNTA(TEXTSPLIT(AI70,",")))),IF(AK70="",TRUE,IF(input_area_of_focus="",TRUE,SUMPRODUCT(--ISNUMBER(SEARCH(","&amp;TRIM(TEXTSPLIT(AK70,","))&amp;",",","&amp;SUBSTITUTE(input_area_of_focus," ","")&amp;",")))=0)),IF(AM70="",TRUE,IF(input_area_of_focus="",FALSE,SUMPRODUCT(--ISNUMBER(SEARCH(","&amp;TRIM(TEXTSPLIT(AM70,","))&amp;",",","&amp;SUBSTITUTE(input_area_of_focus," ","")&amp;",")))&gt;0)),IF(AO70="",TRUE,IF(input_area_of_focus="",FALSE,SUMPRODUCT(--ISNUMBER(SEARCH(","&amp;TRIM(TEXTSPLIT(AO70,","))&amp;",",","&amp;SUBSTITUTE(input_area_of_focus," ","")&amp;",")))=COUNTA(TEXTSPLIT(AO70,",")))))</f>
        <v/>
      </c>
      <c r="IW70">
        <f>AND(IF(AQ70="",TRUE,IF(input_audience="",FALSE,SUMPRODUCT(--ISNUMBER(SEARCH(","&amp;TRIM(TEXTSPLIT(AQ70,","))&amp;",",","&amp;SUBSTITUTE(input_audience," ","")&amp;",")))&gt;0)),IF(AS70="",TRUE,IF(input_audience="",FALSE,SUMPRODUCT(--ISNUMBER(SEARCH(","&amp;TRIM(TEXTSPLIT(AS70,","))&amp;",",","&amp;SUBSTITUTE(input_audience," ","")&amp;",")))=COUNTA(TEXTSPLIT(AS70,",")))),IF(AU70="",TRUE,IF(input_audience="",TRUE,SUMPRODUCT(--ISNUMBER(SEARCH(","&amp;TRIM(TEXTSPLIT(AU70,","))&amp;",",","&amp;SUBSTITUTE(input_audience," ","")&amp;",")))=0)),IF(AW70="",TRUE,IF(input_audience="",FALSE,SUMPRODUCT(--ISNUMBER(SEARCH(","&amp;TRIM(TEXTSPLIT(AW70,","))&amp;",",","&amp;SUBSTITUTE(input_audience," ","")&amp;",")))&gt;0)),IF(AY70="",TRUE,IF(input_audience="",FALSE,SUMPRODUCT(--ISNUMBER(SEARCH(","&amp;TRIM(TEXTSPLIT(AY70,","))&amp;",",","&amp;SUBSTITUTE(input_audience," ","")&amp;",")))=COUNTA(TEXTSPLIT(AY70,",")))))</f>
        <v/>
      </c>
      <c r="IX70">
        <f>AND(IF(BA70="",TRUE,IF(input_challenge_opportunities="",FALSE,SUMPRODUCT(--ISNUMBER(SEARCH(","&amp;TRIM(TEXTSPLIT(BA70,","))&amp;",",","&amp;SUBSTITUTE(input_challenge_opportunities," ","")&amp;",")))&gt;0)),IF(BC70="",TRUE,IF(input_challenge_opportunities="",FALSE,SUMPRODUCT(--ISNUMBER(SEARCH(","&amp;TRIM(TEXTSPLIT(BC70,","))&amp;",",","&amp;SUBSTITUTE(input_challenge_opportunities," ","")&amp;",")))=COUNTA(TEXTSPLIT(BC70,",")))),IF(BE70="",TRUE,IF(input_challenge_opportunities="",TRUE,SUMPRODUCT(--ISNUMBER(SEARCH(","&amp;TRIM(TEXTSPLIT(BE70,","))&amp;",",","&amp;SUBSTITUTE(input_challenge_opportunities," ","")&amp;",")))=0)),IF(BG70="",TRUE,IF(input_challenge_opportunities="",FALSE,SUMPRODUCT(--ISNUMBER(SEARCH(","&amp;TRIM(TEXTSPLIT(BG70,","))&amp;",",","&amp;SUBSTITUTE(input_challenge_opportunities," ","")&amp;",")))&gt;0)),IF(BI70="",TRUE,IF(input_challenge_opportunities="",FALSE,SUMPRODUCT(--ISNUMBER(SEARCH(","&amp;TRIM(TEXTSPLIT(BI70,","))&amp;",",","&amp;SUBSTITUTE(input_challenge_opportunities," ","")&amp;",")))=COUNTA(TEXTSPLIT(BI70,",")))))</f>
        <v/>
      </c>
      <c r="IY70">
        <f>AND(IF(BK70="",TRUE,IF(input_context="",FALSE,SUMPRODUCT(--ISNUMBER(SEARCH(","&amp;TRIM(TEXTSPLIT(BK70,","))&amp;",",","&amp;SUBSTITUTE(input_context," ","")&amp;",")))&gt;0)),IF(BM70="",TRUE,IF(input_context="",FALSE,SUMPRODUCT(--ISNUMBER(SEARCH(","&amp;TRIM(TEXTSPLIT(BM70,","))&amp;",",","&amp;SUBSTITUTE(input_context," ","")&amp;",")))=COUNTA(TEXTSPLIT(BM70,",")))),IF(BO70="",TRUE,IF(input_context="",TRUE,SUMPRODUCT(--ISNUMBER(SEARCH(","&amp;TRIM(TEXTSPLIT(BO70,","))&amp;",",","&amp;SUBSTITUTE(input_context," ","")&amp;",")))=0)),IF(BQ70="",TRUE,IF(input_context="",FALSE,SUMPRODUCT(--ISNUMBER(SEARCH(","&amp;TRIM(TEXTSPLIT(BQ70,","))&amp;",",","&amp;SUBSTITUTE(input_context," ","")&amp;",")))&gt;0)),IF(BS70="",TRUE,IF(input_context="",FALSE,SUMPRODUCT(--ISNUMBER(SEARCH(","&amp;TRIM(TEXTSPLIT(BS70,","))&amp;",",","&amp;SUBSTITUTE(input_context," ","")&amp;",")))=COUNTA(TEXTSPLIT(BS70,",")))))</f>
        <v/>
      </c>
      <c r="IZ70">
        <f>AND(IF(BU70="",TRUE,IF(input_enews_announcement_type="",FALSE,SUMPRODUCT(--ISNUMBER(SEARCH(","&amp;TRIM(TEXTSPLIT(BU70,","))&amp;",",","&amp;SUBSTITUTE(input_enews_announcement_type," ","")&amp;",")))&gt;0)),IF(BW70="",TRUE,IF(input_enews_announcement_type="",FALSE,SUMPRODUCT(--ISNUMBER(SEARCH(","&amp;TRIM(TEXTSPLIT(BW70,","))&amp;",",","&amp;SUBSTITUTE(input_enews_announcement_type," ","")&amp;",")))=COUNTA(TEXTSPLIT(BW70,",")))),IF(BY70="",TRUE,IF(input_enews_announcement_type="",TRUE,SUMPRODUCT(--ISNUMBER(SEARCH(","&amp;TRIM(TEXTSPLIT(BY70,","))&amp;",",","&amp;SUBSTITUTE(input_enews_announcement_type," ","")&amp;",")))=0)),IF(CA70="",TRUE,IF(input_enews_announcement_type="",FALSE,SUMPRODUCT(--ISNUMBER(SEARCH(","&amp;TRIM(TEXTSPLIT(CA70,","))&amp;",",","&amp;SUBSTITUTE(input_enews_announcement_type," ","")&amp;",")))&gt;0)),IF(CC70="",TRUE,IF(input_enews_announcement_type="",FALSE,SUMPRODUCT(--ISNUMBER(SEARCH(","&amp;TRIM(TEXTSPLIT(CC70,","))&amp;",",","&amp;SUBSTITUTE(input_enews_announcement_type," ","")&amp;",")))=COUNTA(TEXTSPLIT(CC70,",")))))</f>
        <v/>
      </c>
      <c r="JA70">
        <f>AND(IF(CE70="",TRUE,IF(input_enews_audience="",FALSE,SUMPRODUCT(--ISNUMBER(SEARCH(","&amp;TRIM(TEXTSPLIT(CE70,","))&amp;",",","&amp;SUBSTITUTE(input_enews_audience," ","")&amp;",")))&gt;0)),IF(CG70="",TRUE,IF(input_enews_audience="",FALSE,SUMPRODUCT(--ISNUMBER(SEARCH(","&amp;TRIM(TEXTSPLIT(CG70,","))&amp;",",","&amp;SUBSTITUTE(input_enews_audience," ","")&amp;",")))=COUNTA(TEXTSPLIT(CG70,",")))),IF(CI70="",TRUE,IF(input_enews_audience="",TRUE,SUMPRODUCT(--ISNUMBER(SEARCH(","&amp;TRIM(TEXTSPLIT(CI70,","))&amp;",",","&amp;SUBSTITUTE(input_enews_audience," ","")&amp;",")))=0)),IF(CK70="",TRUE,IF(input_enews_audience="",FALSE,SUMPRODUCT(--ISNUMBER(SEARCH(","&amp;TRIM(TEXTSPLIT(CK70,","))&amp;",",","&amp;SUBSTITUTE(input_enews_audience," ","")&amp;",")))&gt;0)),IF(CM70="",TRUE,IF(input_enews_audience="",FALSE,SUMPRODUCT(--ISNUMBER(SEARCH(","&amp;TRIM(TEXTSPLIT(CM70,","))&amp;",",","&amp;SUBSTITUTE(input_enews_audience," ","")&amp;",")))=COUNTA(TEXTSPLIT(CM70,",")))))</f>
        <v/>
      </c>
      <c r="JB70">
        <f>AND(IF(CO70="",TRUE,IF(input_event_location="",FALSE,SUMPRODUCT(--ISNUMBER(SEARCH(","&amp;TRIM(TEXTSPLIT(CO70,","))&amp;",",","&amp;SUBSTITUTE(input_event_location," ","")&amp;",")))&gt;0)),IF(CQ70="",TRUE,IF(input_event_location="",FALSE,SUMPRODUCT(--ISNUMBER(SEARCH(","&amp;TRIM(TEXTSPLIT(CQ70,","))&amp;",",","&amp;SUBSTITUTE(input_event_location," ","")&amp;",")))=COUNTA(TEXTSPLIT(CQ70,",")))),IF(CS70="",TRUE,IF(input_event_location="",TRUE,SUMPRODUCT(--ISNUMBER(SEARCH(","&amp;TRIM(TEXTSPLIT(CS70,","))&amp;",",","&amp;SUBSTITUTE(input_event_location," ","")&amp;",")))=0)),IF(CU70="",TRUE,IF(input_event_location="",FALSE,SUMPRODUCT(--ISNUMBER(SEARCH(","&amp;TRIM(TEXTSPLIT(CU70,","))&amp;",",","&amp;SUBSTITUTE(input_event_location," ","")&amp;",")))&gt;0)),IF(CW70="",TRUE,IF(input_event_location="",FALSE,SUMPRODUCT(--ISNUMBER(SEARCH(","&amp;TRIM(TEXTSPLIT(CW70,","))&amp;",",","&amp;SUBSTITUTE(input_event_location," ","")&amp;",")))=COUNTA(TEXTSPLIT(CW70,",")))))</f>
        <v/>
      </c>
      <c r="JC70">
        <f>AND(IF(CY70="",TRUE,IF(input_event_type="",FALSE,SUMPRODUCT(--ISNUMBER(SEARCH(","&amp;TRIM(TEXTSPLIT(CY70,","))&amp;",",","&amp;SUBSTITUTE(input_event_type," ","")&amp;",")))&gt;0)),IF(DA70="",TRUE,IF(input_event_type="",FALSE,SUMPRODUCT(--ISNUMBER(SEARCH(","&amp;TRIM(TEXTSPLIT(DA70,","))&amp;",",","&amp;SUBSTITUTE(input_event_type," ","")&amp;",")))=COUNTA(TEXTSPLIT(DA70,",")))),IF(DC70="",TRUE,IF(input_event_type="",TRUE,SUMPRODUCT(--ISNUMBER(SEARCH(","&amp;TRIM(TEXTSPLIT(DC70,","))&amp;",",","&amp;SUBSTITUTE(input_event_type," ","")&amp;",")))=0)),IF(DE70="",TRUE,IF(input_event_type="",FALSE,SUMPRODUCT(--ISNUMBER(SEARCH(","&amp;TRIM(TEXTSPLIT(DE70,","))&amp;",",","&amp;SUBSTITUTE(input_event_type," ","")&amp;",")))&gt;0)),IF(DG70="",TRUE,IF(input_event_type="",FALSE,SUMPRODUCT(--ISNUMBER(SEARCH(","&amp;TRIM(TEXTSPLIT(DG70,","))&amp;",",","&amp;SUBSTITUTE(input_event_type," ","")&amp;",")))=COUNTA(TEXTSPLIT(DG70,",")))))</f>
        <v/>
      </c>
      <c r="JD70">
        <f>AND(IF(DI70="",TRUE,IF(input_executive_education_focus="",FALSE,SUMPRODUCT(--ISNUMBER(SEARCH(","&amp;TRIM(TEXTSPLIT(DI70,","))&amp;",",","&amp;SUBSTITUTE(input_executive_education_focus," ","")&amp;",")))&gt;0)),IF(DK70="",TRUE,IF(input_executive_education_focus="",FALSE,SUMPRODUCT(--ISNUMBER(SEARCH(","&amp;TRIM(TEXTSPLIT(DK70,","))&amp;",",","&amp;SUBSTITUTE(input_executive_education_focus," ","")&amp;",")))=COUNTA(TEXTSPLIT(DK70,",")))),IF(DM70="",TRUE,IF(input_executive_education_focus="",TRUE,SUMPRODUCT(--ISNUMBER(SEARCH(","&amp;TRIM(TEXTSPLIT(DM70,","))&amp;",",","&amp;SUBSTITUTE(input_executive_education_focus," ","")&amp;",")))=0)),IF(DO70="",TRUE,IF(input_executive_education_focus="",FALSE,SUMPRODUCT(--ISNUMBER(SEARCH(","&amp;TRIM(TEXTSPLIT(DO70,","))&amp;",",","&amp;SUBSTITUTE(input_executive_education_focus," ","")&amp;",")))&gt;0)),IF(DQ70="",TRUE,IF(input_executive_education_focus="",FALSE,SUMPRODUCT(--ISNUMBER(SEARCH(","&amp;TRIM(TEXTSPLIT(DQ70,","))&amp;",",","&amp;SUBSTITUTE(input_executive_education_focus," ","")&amp;",")))=COUNTA(TEXTSPLIT(DQ70,",")))))</f>
        <v/>
      </c>
      <c r="JE70">
        <f>AND(IF(DS70="",TRUE,IF(input_faculty_category="",FALSE,SUMPRODUCT(--ISNUMBER(SEARCH(","&amp;TRIM(TEXTSPLIT(DS70,","))&amp;",",","&amp;SUBSTITUTE(input_faculty_category," ","")&amp;",")))&gt;0)),IF(DU70="",TRUE,IF(input_faculty_category="",FALSE,SUMPRODUCT(--ISNUMBER(SEARCH(","&amp;TRIM(TEXTSPLIT(DU70,","))&amp;",",","&amp;SUBSTITUTE(input_faculty_category," ","")&amp;",")))=COUNTA(TEXTSPLIT(DU70,",")))),IF(DW70="",TRUE,IF(input_faculty_category="",TRUE,SUMPRODUCT(--ISNUMBER(SEARCH(","&amp;TRIM(TEXTSPLIT(DW70,","))&amp;",",","&amp;SUBSTITUTE(input_faculty_category," ","")&amp;",")))=0)),IF(DY70="",TRUE,IF(input_faculty_category="",FALSE,SUMPRODUCT(--ISNUMBER(SEARCH(","&amp;TRIM(TEXTSPLIT(DY70,","))&amp;",",","&amp;SUBSTITUTE(input_faculty_category," ","")&amp;",")))&gt;0)),IF(EA70="",TRUE,IF(input_faculty_category="",FALSE,SUMPRODUCT(--ISNUMBER(SEARCH(","&amp;TRIM(TEXTSPLIT(EA70,","))&amp;",",","&amp;SUBSTITUTE(input_faculty_category," ","")&amp;",")))=COUNTA(TEXTSPLIT(EA70,",")))))</f>
        <v/>
      </c>
      <c r="JF70">
        <f>AND(IF(EC70="",TRUE,IF(input_faculty_discipline="",FALSE,SUMPRODUCT(--ISNUMBER(SEARCH(","&amp;TRIM(TEXTSPLIT(EC70,","))&amp;",",","&amp;SUBSTITUTE(input_faculty_discipline," ","")&amp;",")))&gt;0)),IF(EE70="",TRUE,IF(input_faculty_discipline="",FALSE,SUMPRODUCT(--ISNUMBER(SEARCH(","&amp;TRIM(TEXTSPLIT(EE70,","))&amp;",",","&amp;SUBSTITUTE(input_faculty_discipline," ","")&amp;",")))=COUNTA(TEXTSPLIT(EE70,",")))),IF(EG70="",TRUE,IF(input_faculty_discipline="",TRUE,SUMPRODUCT(--ISNUMBER(SEARCH(","&amp;TRIM(TEXTSPLIT(EG70,","))&amp;",",","&amp;SUBSTITUTE(input_faculty_discipline," ","")&amp;",")))=0)),IF(EI70="",TRUE,IF(input_faculty_discipline="",FALSE,SUMPRODUCT(--ISNUMBER(SEARCH(","&amp;TRIM(TEXTSPLIT(EI70,","))&amp;",",","&amp;SUBSTITUTE(input_faculty_discipline," ","")&amp;",")))&gt;0)),IF(EK70="",TRUE,IF(input_faculty_discipline="",FALSE,SUMPRODUCT(--ISNUMBER(SEARCH(","&amp;TRIM(TEXTSPLIT(EK70,","))&amp;",",","&amp;SUBSTITUTE(input_faculty_discipline," ","")&amp;",")))=COUNTA(TEXTSPLIT(EK70,",")))))</f>
        <v/>
      </c>
      <c r="JG70">
        <f>AND(IF(EM70="",TRUE,IF(input_faculty_expertise="",FALSE,SUMPRODUCT(--ISNUMBER(SEARCH(","&amp;TRIM(TEXTSPLIT(EM70,","))&amp;",",","&amp;SUBSTITUTE(input_faculty_expertise," ","")&amp;",")))&gt;0)),IF(EO70="",TRUE,IF(input_faculty_expertise="",FALSE,SUMPRODUCT(--ISNUMBER(SEARCH(","&amp;TRIM(TEXTSPLIT(EO70,","))&amp;",",","&amp;SUBSTITUTE(input_faculty_expertise," ","")&amp;",")))=COUNTA(TEXTSPLIT(EO70,",")))),IF(EQ70="",TRUE,IF(input_faculty_expertise="",TRUE,SUMPRODUCT(--ISNUMBER(SEARCH(","&amp;TRIM(TEXTSPLIT(EQ70,","))&amp;",",","&amp;SUBSTITUTE(input_faculty_expertise," ","")&amp;",")))=0)),IF(ES70="",TRUE,IF(input_faculty_expertise="",FALSE,SUMPRODUCT(--ISNUMBER(SEARCH(","&amp;TRIM(TEXTSPLIT(ES70,","))&amp;",",","&amp;SUBSTITUTE(input_faculty_expertise," ","")&amp;",")))&gt;0)),IF(EU70="",TRUE,IF(input_faculty_expertise="",FALSE,SUMPRODUCT(--ISNUMBER(SEARCH(","&amp;TRIM(TEXTSPLIT(EU70,","))&amp;",",","&amp;SUBSTITUTE(input_faculty_expertise," ","")&amp;",")))=COUNTA(TEXTSPLIT(EU70,",")))))</f>
        <v/>
      </c>
      <c r="JH70">
        <f>AND(IF(EW70="",TRUE,IF(input_global_network_school="",FALSE,SUMPRODUCT(--ISNUMBER(SEARCH(","&amp;TRIM(TEXTSPLIT(EW70,","))&amp;",",","&amp;SUBSTITUTE(input_global_network_school," ","")&amp;",")))&gt;0)),IF(EY70="",TRUE,IF(input_global_network_school="",FALSE,SUMPRODUCT(--ISNUMBER(SEARCH(","&amp;TRIM(TEXTSPLIT(EY70,","))&amp;",",","&amp;SUBSTITUTE(input_global_network_school," ","")&amp;",")))=COUNTA(TEXTSPLIT(EY70,",")))),IF(FA70="",TRUE,IF(input_global_network_school="",TRUE,SUMPRODUCT(--ISNUMBER(SEARCH(","&amp;TRIM(TEXTSPLIT(FA70,","))&amp;",",","&amp;SUBSTITUTE(input_global_network_school," ","")&amp;",")))=0)),IF(FC70="",TRUE,IF(input_global_network_school="",FALSE,SUMPRODUCT(--ISNUMBER(SEARCH(","&amp;TRIM(TEXTSPLIT(FC70,","))&amp;",",","&amp;SUBSTITUTE(input_global_network_school," ","")&amp;",")))&gt;0)),IF(FE70="",TRUE,IF(input_global_network_school="",FALSE,SUMPRODUCT(--ISNUMBER(SEARCH(","&amp;TRIM(TEXTSPLIT(FE70,","))&amp;",",","&amp;SUBSTITUTE(input_global_network_school," ","")&amp;",")))=COUNTA(TEXTSPLIT(FE70,",")))))</f>
        <v/>
      </c>
      <c r="JI70">
        <f>AND(IF(FG70="",TRUE,IF(input_industry="",FALSE,SUMPRODUCT(--ISNUMBER(SEARCH(","&amp;TRIM(TEXTSPLIT(FG70,","))&amp;",",","&amp;SUBSTITUTE(input_industry," ","")&amp;",")))&gt;0)),IF(FI70="",TRUE,IF(input_industry="",FALSE,SUMPRODUCT(--ISNUMBER(SEARCH(","&amp;TRIM(TEXTSPLIT(FI70,","))&amp;",",","&amp;SUBSTITUTE(input_industry," ","")&amp;",")))=COUNTA(TEXTSPLIT(FI70,",")))),IF(FK70="",TRUE,IF(input_industry="",TRUE,SUMPRODUCT(--ISNUMBER(SEARCH(","&amp;TRIM(TEXTSPLIT(FK70,","))&amp;",",","&amp;SUBSTITUTE(input_industry," ","")&amp;",")))=0)),IF(FM70="",TRUE,IF(input_industry="",FALSE,SUMPRODUCT(--ISNUMBER(SEARCH(","&amp;TRIM(TEXTSPLIT(FM70,","))&amp;",",","&amp;SUBSTITUTE(input_industry," ","")&amp;",")))&gt;0)),IF(FO70="",TRUE,IF(input_industry="",FALSE,SUMPRODUCT(--ISNUMBER(SEARCH(","&amp;TRIM(TEXTSPLIT(FO70,","))&amp;",",","&amp;SUBSTITUTE(input_industry," ","")&amp;",")))=COUNTA(TEXTSPLIT(FO70,",")))))</f>
        <v/>
      </c>
      <c r="JJ70">
        <f>AND(IF(FQ70="",TRUE,IF(input_location="",FALSE,SUMPRODUCT(--ISNUMBER(SEARCH(","&amp;TRIM(TEXTSPLIT(FQ70,","))&amp;",",","&amp;SUBSTITUTE(input_location," ","")&amp;",")))&gt;0)),IF(FS70="",TRUE,IF(input_location="",FALSE,SUMPRODUCT(--ISNUMBER(SEARCH(","&amp;TRIM(TEXTSPLIT(FS70,","))&amp;",",","&amp;SUBSTITUTE(input_location," ","")&amp;",")))=COUNTA(TEXTSPLIT(FS70,",")))),IF(FU70="",TRUE,IF(input_location="",TRUE,SUMPRODUCT(--ISNUMBER(SEARCH(","&amp;TRIM(TEXTSPLIT(FU70,","))&amp;",",","&amp;SUBSTITUTE(input_location," ","")&amp;",")))=0)),IF(FW70="",TRUE,IF(input_location="",FALSE,SUMPRODUCT(--ISNUMBER(SEARCH(","&amp;TRIM(TEXTSPLIT(FW70,","))&amp;",",","&amp;SUBSTITUTE(input_location," ","")&amp;",")))&gt;0)),IF(FY70="",TRUE,IF(input_location="",FALSE,SUMPRODUCT(--ISNUMBER(SEARCH(","&amp;TRIM(TEXTSPLIT(FY70,","))&amp;",",","&amp;SUBSTITUTE(input_location," ","")&amp;",")))=COUNTA(TEXTSPLIT(FY70,",")))))</f>
        <v/>
      </c>
      <c r="JK70">
        <f>AND(IF(GA70="",TRUE,IF(input_modality="",FALSE,SUMPRODUCT(--ISNUMBER(SEARCH(","&amp;TRIM(TEXTSPLIT(GA70,","))&amp;",",","&amp;SUBSTITUTE(input_modality," ","")&amp;",")))&gt;0)),IF(GC70="",TRUE,IF(input_modality="",FALSE,SUMPRODUCT(--ISNUMBER(SEARCH(","&amp;TRIM(TEXTSPLIT(GC70,","))&amp;",",","&amp;SUBSTITUTE(input_modality," ","")&amp;",")))=COUNTA(TEXTSPLIT(GC70,",")))),IF(GE70="",TRUE,IF(input_modality="",TRUE,SUMPRODUCT(--ISNUMBER(SEARCH(","&amp;TRIM(TEXTSPLIT(GE70,","))&amp;",",","&amp;SUBSTITUTE(input_modality," ","")&amp;",")))=0)),IF(GG70="",TRUE,IF(input_modality="",FALSE,SUMPRODUCT(--ISNUMBER(SEARCH(","&amp;TRIM(TEXTSPLIT(GG70,","))&amp;",",","&amp;SUBSTITUTE(input_modality," ","")&amp;",")))&gt;0)),IF(GI70="",TRUE,IF(input_modality="",FALSE,SUMPRODUCT(--ISNUMBER(SEARCH(","&amp;TRIM(TEXTSPLIT(GI70,","))&amp;",",","&amp;SUBSTITUTE(input_modality," ","")&amp;",")))=COUNTA(TEXTSPLIT(GI70,",")))))</f>
        <v/>
      </c>
      <c r="JL70">
        <f>AND(IF(GK70="",TRUE,IF(input_organizer="",FALSE,SUMPRODUCT(--ISNUMBER(SEARCH(","&amp;TRIM(TEXTSPLIT(GK70,","))&amp;",",","&amp;SUBSTITUTE(input_organizer," ","")&amp;",")))&gt;0)),IF(GM70="",TRUE,IF(input_organizer="",FALSE,SUMPRODUCT(--ISNUMBER(SEARCH(","&amp;TRIM(TEXTSPLIT(GM70,","))&amp;",",","&amp;SUBSTITUTE(input_organizer," ","")&amp;",")))=COUNTA(TEXTSPLIT(GM70,",")))),IF(GO70="",TRUE,IF(input_organizer="",TRUE,SUMPRODUCT(--ISNUMBER(SEARCH(","&amp;TRIM(TEXTSPLIT(GO70,","))&amp;",",","&amp;SUBSTITUTE(input_organizer," ","")&amp;",")))=0)),IF(GQ70="",TRUE,IF(input_organizer="",FALSE,SUMPRODUCT(--ISNUMBER(SEARCH(","&amp;TRIM(TEXTSPLIT(GQ70,","))&amp;",",","&amp;SUBSTITUTE(input_organizer," ","")&amp;",")))&gt;0)),IF(GS70="",TRUE,IF(input_organizer="",FALSE,SUMPRODUCT(--ISNUMBER(SEARCH(","&amp;TRIM(TEXTSPLIT(GS70,","))&amp;",",","&amp;SUBSTITUTE(input_organizer," ","")&amp;",")))=COUNTA(TEXTSPLIT(GS70,",")))))</f>
        <v/>
      </c>
      <c r="JM70">
        <f>AND(IF(GU70="",TRUE,IF(input_profile_type="",FALSE,SUMPRODUCT(--ISNUMBER(SEARCH(","&amp;TRIM(TEXTSPLIT(GU70,","))&amp;",",","&amp;SUBSTITUTE(input_profile_type," ","")&amp;",")))&gt;0)),IF(GW70="",TRUE,IF(input_profile_type="",FALSE,SUMPRODUCT(--ISNUMBER(SEARCH(","&amp;TRIM(TEXTSPLIT(GW70,","))&amp;",",","&amp;SUBSTITUTE(input_profile_type," ","")&amp;",")))=COUNTA(TEXTSPLIT(GW70,",")))),IF(GY70="",TRUE,IF(input_profile_type="",TRUE,SUMPRODUCT(--ISNUMBER(SEARCH(","&amp;TRIM(TEXTSPLIT(GY70,","))&amp;",",","&amp;SUBSTITUTE(input_profile_type," ","")&amp;",")))=0)),IF(HA70="",TRUE,IF(input_profile_type="",FALSE,SUMPRODUCT(--ISNUMBER(SEARCH(","&amp;TRIM(TEXTSPLIT(HA70,","))&amp;",",","&amp;SUBSTITUTE(input_profile_type," ","")&amp;",")))&gt;0)),IF(HC70="",TRUE,IF(input_profile_type="",FALSE,SUMPRODUCT(--ISNUMBER(SEARCH(","&amp;TRIM(TEXTSPLIT(HC70,","))&amp;",",","&amp;SUBSTITUTE(input_profile_type," ","")&amp;",")))=COUNTA(TEXTSPLIT(HC70,",")))))</f>
        <v/>
      </c>
      <c r="JN70">
        <f>AND(IF(HE70="",TRUE,IF(input_program="",FALSE,SUMPRODUCT(--ISNUMBER(SEARCH(","&amp;TRIM(TEXTSPLIT(HE70,","))&amp;",",","&amp;SUBSTITUTE(input_program," ","")&amp;",")))&gt;0)),IF(HG70="",TRUE,IF(input_program="",FALSE,SUMPRODUCT(--ISNUMBER(SEARCH(","&amp;TRIM(TEXTSPLIT(HG70,","))&amp;",",","&amp;SUBSTITUTE(input_program," ","")&amp;",")))=COUNTA(TEXTSPLIT(HG70,",")))),IF(HI70="",TRUE,IF(input_program="",TRUE,SUMPRODUCT(--ISNUMBER(SEARCH(","&amp;TRIM(TEXTSPLIT(HI70,","))&amp;",",","&amp;SUBSTITUTE(input_program," ","")&amp;",")))=0)),IF(HK70="",TRUE,IF(input_program="",FALSE,SUMPRODUCT(--ISNUMBER(SEARCH(","&amp;TRIM(TEXTSPLIT(HK70,","))&amp;",",","&amp;SUBSTITUTE(input_program," ","")&amp;",")))&gt;0)),IF(HM70="",TRUE,IF(input_program="",FALSE,SUMPRODUCT(--ISNUMBER(SEARCH(","&amp;TRIM(TEXTSPLIT(HM70,","))&amp;",",","&amp;SUBSTITUTE(input_program," ","")&amp;",")))=COUNTA(TEXTSPLIT(HM70,",")))))</f>
        <v/>
      </c>
      <c r="JO70">
        <f>AND(IF(HO70="",TRUE,IF(input_story_categories="",FALSE,SUMPRODUCT(--ISNUMBER(SEARCH(","&amp;TRIM(TEXTSPLIT(HO70,","))&amp;",",","&amp;SUBSTITUTE(input_story_categories," ","")&amp;",")))&gt;0)),IF(HQ70="",TRUE,IF(input_story_categories="",FALSE,SUMPRODUCT(--ISNUMBER(SEARCH(","&amp;TRIM(TEXTSPLIT(HQ70,","))&amp;",",","&amp;SUBSTITUTE(input_story_categories," ","")&amp;",")))=COUNTA(TEXTSPLIT(HQ70,",")))),IF(HS70="",TRUE,IF(input_story_categories="",TRUE,SUMPRODUCT(--ISNUMBER(SEARCH(","&amp;TRIM(TEXTSPLIT(HS70,","))&amp;",",","&amp;SUBSTITUTE(input_story_categories," ","")&amp;",")))=0)),IF(HU70="",TRUE,IF(input_story_categories="",FALSE,SUMPRODUCT(--ISNUMBER(SEARCH(","&amp;TRIM(TEXTSPLIT(HU70,","))&amp;",",","&amp;SUBSTITUTE(input_story_categories," ","")&amp;",")))&gt;0)),IF(HW70="",TRUE,IF(input_story_categories="",FALSE,SUMPRODUCT(--ISNUMBER(SEARCH(","&amp;TRIM(TEXTSPLIT(HW70,","))&amp;",",","&amp;SUBSTITUTE(input_story_categories," ","")&amp;",")))=COUNTA(TEXTSPLIT(HW70,",")))))</f>
        <v/>
      </c>
      <c r="JP70">
        <f>AND(IF(HY70="",TRUE,IF(input_story_type="",FALSE,SUMPRODUCT(--ISNUMBER(SEARCH(","&amp;TRIM(TEXTSPLIT(HY70,","))&amp;",",","&amp;SUBSTITUTE(input_story_type," ","")&amp;",")))&gt;0)),IF(IA70="",TRUE,IF(input_story_type="",FALSE,SUMPRODUCT(--ISNUMBER(SEARCH(","&amp;TRIM(TEXTSPLIT(IA70,","))&amp;",",","&amp;SUBSTITUTE(input_story_type," ","")&amp;",")))=COUNTA(TEXTSPLIT(IA70,",")))),IF(IC70="",TRUE,IF(input_story_type="",TRUE,SUMPRODUCT(--ISNUMBER(SEARCH(","&amp;TRIM(TEXTSPLIT(IC70,","))&amp;",",","&amp;SUBSTITUTE(input_story_type," ","")&amp;",")))=0)),IF(IE70="",TRUE,IF(input_story_type="",FALSE,SUMPRODUCT(--ISNUMBER(SEARCH(","&amp;TRIM(TEXTSPLIT(IE70,","))&amp;",",","&amp;SUBSTITUTE(input_story_type," ","")&amp;",")))&gt;0)),IF(IG70="",TRUE,IF(input_story_type="",FALSE,SUMPRODUCT(--ISNUMBER(SEARCH(","&amp;TRIM(TEXTSPLIT(IG70,","))&amp;",",","&amp;SUBSTITUTE(input_story_type," ","")&amp;",")))=COUNTA(TEXTSPLIT(IG70,",")))))</f>
        <v/>
      </c>
      <c r="JQ70">
        <f>AND(IF(II70="",TRUE,IF(input_topics="",FALSE,SUMPRODUCT(--ISNUMBER(SEARCH(","&amp;TRIM(TEXTSPLIT(II70,","))&amp;",",","&amp;SUBSTITUTE(input_topics," ","")&amp;",")))&gt;0)),IF(IK70="",TRUE,IF(input_topics="",FALSE,SUMPRODUCT(--ISNUMBER(SEARCH(","&amp;TRIM(TEXTSPLIT(IK70,","))&amp;",",","&amp;SUBSTITUTE(input_topics," ","")&amp;",")))=COUNTA(TEXTSPLIT(IK70,",")))),IF(IM70="",TRUE,IF(input_topics="",TRUE,SUMPRODUCT(--ISNUMBER(SEARCH(","&amp;TRIM(TEXTSPLIT(IM70,","))&amp;",",","&amp;SUBSTITUTE(input_topics," ","")&amp;",")))=0)),IF(IO70="",TRUE,IF(input_topics="",FALSE,SUMPRODUCT(--ISNUMBER(SEARCH(","&amp;TRIM(TEXTSPLIT(IO70,","))&amp;",",","&amp;SUBSTITUTE(input_topics," ","")&amp;",")))&gt;0)),IF(IQ70="",TRUE,IF(input_topics="",FALSE,SUMPRODUCT(--ISNUMBER(SEARCH(","&amp;TRIM(TEXTSPLIT(IQ70,","))&amp;",",","&amp;SUBSTITUTE(input_topics," ","")&amp;",")))=COUNTA(TEXTSPLIT(IQ70,",")))))</f>
        <v/>
      </c>
    </row>
    <row r="71">
      <c r="A71" s="4">
        <f>IF(NOT(IS71),"Excluded",IF(AND(IT71,IU71,IV71,IW71,IX71,IY71,IZ71,JA71,JB71,JC71,JD71,JE71,JF71,JG71,JH71,JI71,JJ71,JK71,JL71,JM71,JN71,JO71,JP71,JQ71),IF(I71&gt;0,"Eligible but limited","Will appear"),"Excluded"))</f>
        <v/>
      </c>
      <c r="B71" s="4" t="inlineStr">
        <is>
          <t>All stories</t>
        </is>
      </c>
      <c r="C71" s="4" t="inlineStr">
        <is>
          <t>/the-som-experience/life-at-yale-som/new-haven</t>
        </is>
      </c>
      <c r="D71" s="4" t="inlineStr">
        <is>
          <t>/the-som-experience/life-at-yale-som/new-haven</t>
        </is>
      </c>
      <c r="E71" s="4" t="n">
        <v>1</v>
      </c>
      <c r="F71" s="4" t="inlineStr">
        <is>
          <t>story</t>
        </is>
      </c>
      <c r="G71" s="4" t="inlineStr">
        <is>
          <t>stories_mosaic_grid</t>
        </is>
      </c>
      <c r="H71" s="4" t="inlineStr">
        <is>
          <t>embed_all_stories</t>
        </is>
      </c>
      <c r="I71" s="4" t="n">
        <v>1</v>
      </c>
      <c r="J71" s="4" t="inlineStr">
        <is>
          <t>View/config rules</t>
        </is>
      </c>
      <c r="K71" s="4" t="inlineStr">
        <is>
          <t>Page placement</t>
        </is>
      </c>
      <c r="L71" s="4" t="inlineStr">
        <is>
          <t>Content type: story; Limited to 1 item(s); Source: View/config rules</t>
        </is>
      </c>
      <c r="M71" t="inlineStr"/>
      <c r="N71" t="inlineStr"/>
      <c r="O71" t="inlineStr"/>
      <c r="P71" t="inlineStr"/>
      <c r="Q71" t="inlineStr"/>
      <c r="R71" t="inlineStr"/>
      <c r="S71" t="inlineStr"/>
      <c r="T71" t="inlineStr"/>
      <c r="U71" t="inlineStr"/>
      <c r="V71" t="inlineStr"/>
      <c r="W71" t="inlineStr"/>
      <c r="X71" t="inlineStr"/>
      <c r="Y71" t="inlineStr"/>
      <c r="Z71" t="inlineStr"/>
      <c r="AA71" t="inlineStr"/>
      <c r="AB71" t="inlineStr"/>
      <c r="AC71" t="inlineStr"/>
      <c r="AD71" t="inlineStr"/>
      <c r="AE71" t="inlineStr"/>
      <c r="AF71" t="inlineStr"/>
      <c r="AG71" t="inlineStr"/>
      <c r="AH71" t="inlineStr"/>
      <c r="AI71" t="inlineStr"/>
      <c r="AJ71" t="inlineStr"/>
      <c r="AK71" t="inlineStr"/>
      <c r="AL71" t="inlineStr"/>
      <c r="AM71" t="inlineStr"/>
      <c r="AN71" t="inlineStr"/>
      <c r="AO71" t="inlineStr"/>
      <c r="AP71" t="inlineStr"/>
      <c r="AQ71" t="inlineStr"/>
      <c r="AR71" t="inlineStr"/>
      <c r="AS71" t="inlineStr"/>
      <c r="AT71" t="inlineStr"/>
      <c r="AU71" t="inlineStr"/>
      <c r="AV71" t="inlineStr"/>
      <c r="AW71" t="inlineStr"/>
      <c r="AX71" t="inlineStr"/>
      <c r="AY71" t="inlineStr"/>
      <c r="AZ71" t="inlineStr"/>
      <c r="BA71" t="inlineStr"/>
      <c r="BB71" t="inlineStr"/>
      <c r="BC71" t="inlineStr"/>
      <c r="BD71" t="inlineStr"/>
      <c r="BE71" t="inlineStr"/>
      <c r="BF71" t="inlineStr"/>
      <c r="BG71" t="inlineStr"/>
      <c r="BH71" t="inlineStr"/>
      <c r="BI71" t="inlineStr"/>
      <c r="BJ71" t="inlineStr"/>
      <c r="BK71" t="inlineStr"/>
      <c r="BL71" t="inlineStr"/>
      <c r="BM71" t="inlineStr"/>
      <c r="BN71" t="inlineStr"/>
      <c r="BO71" t="inlineStr"/>
      <c r="BP71" t="inlineStr"/>
      <c r="BQ71" t="inlineStr"/>
      <c r="BR71" t="inlineStr"/>
      <c r="BS71" t="inlineStr"/>
      <c r="BT71" t="inlineStr"/>
      <c r="BU71" t="inlineStr"/>
      <c r="BV71" t="inlineStr"/>
      <c r="BW71" t="inlineStr"/>
      <c r="BX71" t="inlineStr"/>
      <c r="BY71" t="inlineStr"/>
      <c r="BZ71" t="inlineStr"/>
      <c r="CA71" t="inlineStr"/>
      <c r="CB71" t="inlineStr"/>
      <c r="CC71" t="inlineStr"/>
      <c r="CD71" t="inlineStr"/>
      <c r="CE71" t="inlineStr"/>
      <c r="CF71" t="inlineStr"/>
      <c r="CG71" t="inlineStr"/>
      <c r="CH71" t="inlineStr"/>
      <c r="CI71" t="inlineStr"/>
      <c r="CJ71" t="inlineStr"/>
      <c r="CK71" t="inlineStr"/>
      <c r="CL71" t="inlineStr"/>
      <c r="CM71" t="inlineStr"/>
      <c r="CN71" t="inlineStr"/>
      <c r="CO71" t="inlineStr"/>
      <c r="CP71" t="inlineStr"/>
      <c r="CQ71" t="inlineStr"/>
      <c r="CR71" t="inlineStr"/>
      <c r="CS71" t="inlineStr"/>
      <c r="CT71" t="inlineStr"/>
      <c r="CU71" t="inlineStr"/>
      <c r="CV71" t="inlineStr"/>
      <c r="CW71" t="inlineStr"/>
      <c r="CX71" t="inlineStr"/>
      <c r="CY71" t="inlineStr"/>
      <c r="CZ71" t="inlineStr"/>
      <c r="DA71" t="inlineStr"/>
      <c r="DB71" t="inlineStr"/>
      <c r="DC71" t="inlineStr"/>
      <c r="DD71" t="inlineStr"/>
      <c r="DE71" t="inlineStr"/>
      <c r="DF71" t="inlineStr"/>
      <c r="DG71" t="inlineStr"/>
      <c r="DH71" t="inlineStr"/>
      <c r="DI71" t="inlineStr"/>
      <c r="DJ71" t="inlineStr"/>
      <c r="DK71" t="inlineStr"/>
      <c r="DL71" t="inlineStr"/>
      <c r="DM71" t="inlineStr"/>
      <c r="DN71" t="inlineStr"/>
      <c r="DO71" t="inlineStr"/>
      <c r="DP71" t="inlineStr"/>
      <c r="DQ71" t="inlineStr"/>
      <c r="DR71" t="inlineStr"/>
      <c r="DS71" t="inlineStr"/>
      <c r="DT71" t="inlineStr"/>
      <c r="DU71" t="inlineStr"/>
      <c r="DV71" t="inlineStr"/>
      <c r="DW71" t="inlineStr"/>
      <c r="DX71" t="inlineStr"/>
      <c r="DY71" t="inlineStr"/>
      <c r="DZ71" t="inlineStr"/>
      <c r="EA71" t="inlineStr"/>
      <c r="EB71" t="inlineStr"/>
      <c r="EC71" t="inlineStr"/>
      <c r="ED71" t="inlineStr"/>
      <c r="EE71" t="inlineStr"/>
      <c r="EF71" t="inlineStr"/>
      <c r="EG71" t="inlineStr"/>
      <c r="EH71" t="inlineStr"/>
      <c r="EI71" t="inlineStr"/>
      <c r="EJ71" t="inlineStr"/>
      <c r="EK71" t="inlineStr"/>
      <c r="EL71" t="inlineStr"/>
      <c r="EM71" t="inlineStr"/>
      <c r="EN71" t="inlineStr"/>
      <c r="EO71" t="inlineStr"/>
      <c r="EP71" t="inlineStr"/>
      <c r="EQ71" t="inlineStr"/>
      <c r="ER71" t="inlineStr"/>
      <c r="ES71" t="inlineStr"/>
      <c r="ET71" t="inlineStr"/>
      <c r="EU71" t="inlineStr"/>
      <c r="EV71" t="inlineStr"/>
      <c r="EW71" t="inlineStr"/>
      <c r="EX71" t="inlineStr"/>
      <c r="EY71" t="inlineStr"/>
      <c r="EZ71" t="inlineStr"/>
      <c r="FA71" t="inlineStr"/>
      <c r="FB71" t="inlineStr"/>
      <c r="FC71" t="inlineStr"/>
      <c r="FD71" t="inlineStr"/>
      <c r="FE71" t="inlineStr"/>
      <c r="FF71" t="inlineStr"/>
      <c r="FG71" t="inlineStr"/>
      <c r="FH71" t="inlineStr"/>
      <c r="FI71" t="inlineStr"/>
      <c r="FJ71" t="inlineStr"/>
      <c r="FK71" t="inlineStr"/>
      <c r="FL71" t="inlineStr"/>
      <c r="FM71" t="inlineStr"/>
      <c r="FN71" t="inlineStr"/>
      <c r="FO71" t="inlineStr"/>
      <c r="FP71" t="inlineStr"/>
      <c r="FQ71" t="inlineStr"/>
      <c r="FR71" t="inlineStr"/>
      <c r="FS71" t="inlineStr"/>
      <c r="FT71" t="inlineStr"/>
      <c r="FU71" t="inlineStr"/>
      <c r="FV71" t="inlineStr"/>
      <c r="FW71" t="inlineStr"/>
      <c r="FX71" t="inlineStr"/>
      <c r="FY71" t="inlineStr"/>
      <c r="FZ71" t="inlineStr"/>
      <c r="GA71" t="inlineStr"/>
      <c r="GB71" t="inlineStr"/>
      <c r="GC71" t="inlineStr"/>
      <c r="GD71" t="inlineStr"/>
      <c r="GE71" t="inlineStr"/>
      <c r="GF71" t="inlineStr"/>
      <c r="GG71" t="inlineStr"/>
      <c r="GH71" t="inlineStr"/>
      <c r="GI71" t="inlineStr"/>
      <c r="GJ71" t="inlineStr"/>
      <c r="GK71" t="inlineStr"/>
      <c r="GL71" t="inlineStr"/>
      <c r="GM71" t="inlineStr"/>
      <c r="GN71" t="inlineStr"/>
      <c r="GO71" t="inlineStr"/>
      <c r="GP71" t="inlineStr"/>
      <c r="GQ71" t="inlineStr"/>
      <c r="GR71" t="inlineStr"/>
      <c r="GS71" t="inlineStr"/>
      <c r="GT71" t="inlineStr"/>
      <c r="GU71" t="inlineStr"/>
      <c r="GV71" t="inlineStr"/>
      <c r="GW71" t="inlineStr"/>
      <c r="GX71" t="inlineStr"/>
      <c r="GY71" t="inlineStr"/>
      <c r="GZ71" t="inlineStr"/>
      <c r="HA71" t="inlineStr"/>
      <c r="HB71" t="inlineStr"/>
      <c r="HC71" t="inlineStr"/>
      <c r="HD71" t="inlineStr"/>
      <c r="HE71" t="inlineStr"/>
      <c r="HF71" t="inlineStr"/>
      <c r="HG71" t="inlineStr"/>
      <c r="HH71" t="inlineStr"/>
      <c r="HI71" t="inlineStr"/>
      <c r="HJ71" t="inlineStr"/>
      <c r="HK71" t="inlineStr"/>
      <c r="HL71" t="inlineStr"/>
      <c r="HM71" t="inlineStr"/>
      <c r="HN71" t="inlineStr"/>
      <c r="HO71" t="inlineStr"/>
      <c r="HP71" t="inlineStr"/>
      <c r="HQ71" t="inlineStr"/>
      <c r="HR71" t="inlineStr"/>
      <c r="HS71" t="inlineStr"/>
      <c r="HT71" t="inlineStr"/>
      <c r="HU71" t="inlineStr"/>
      <c r="HV71" t="inlineStr"/>
      <c r="HW71" t="inlineStr"/>
      <c r="HX71" t="inlineStr"/>
      <c r="HY71" t="inlineStr"/>
      <c r="HZ71" t="inlineStr"/>
      <c r="IA71" t="inlineStr"/>
      <c r="IB71" t="inlineStr"/>
      <c r="IC71" t="inlineStr"/>
      <c r="ID71" t="inlineStr"/>
      <c r="IE71" t="inlineStr"/>
      <c r="IF71" t="inlineStr"/>
      <c r="IG71" t="inlineStr"/>
      <c r="IH71" t="inlineStr"/>
      <c r="II71" t="inlineStr"/>
      <c r="IJ71" t="inlineStr"/>
      <c r="IK71" t="inlineStr"/>
      <c r="IL71" t="inlineStr"/>
      <c r="IM71" t="inlineStr"/>
      <c r="IN71" t="inlineStr"/>
      <c r="IO71" t="inlineStr"/>
      <c r="IP71" t="inlineStr"/>
      <c r="IQ71" t="inlineStr"/>
      <c r="IR71" t="inlineStr"/>
      <c r="IS71">
        <f>IF(input_content_type="",FALSE,ISNUMBER(SEARCH(","&amp;LOWER(input_content_type)&amp;",",","&amp;LOWER(F71)&amp;",")))</f>
        <v/>
      </c>
      <c r="IT71">
        <f>AND(IF(M71="",TRUE,IF(input_affiliations="",FALSE,SUMPRODUCT(--ISNUMBER(SEARCH(","&amp;TRIM(TEXTSPLIT(M71,","))&amp;",",","&amp;SUBSTITUTE(input_affiliations," ","")&amp;",")))&gt;0)),IF(O71="",TRUE,IF(input_affiliations="",FALSE,SUMPRODUCT(--ISNUMBER(SEARCH(","&amp;TRIM(TEXTSPLIT(O71,","))&amp;",",","&amp;SUBSTITUTE(input_affiliations," ","")&amp;",")))=COUNTA(TEXTSPLIT(O71,",")))),IF(Q71="",TRUE,IF(input_affiliations="",TRUE,SUMPRODUCT(--ISNUMBER(SEARCH(","&amp;TRIM(TEXTSPLIT(Q71,","))&amp;",",","&amp;SUBSTITUTE(input_affiliations," ","")&amp;",")))=0)),IF(S71="",TRUE,IF(input_affiliations="",FALSE,SUMPRODUCT(--ISNUMBER(SEARCH(","&amp;TRIM(TEXTSPLIT(S71,","))&amp;",",","&amp;SUBSTITUTE(input_affiliations," ","")&amp;",")))&gt;0)),IF(U71="",TRUE,IF(input_affiliations="",FALSE,SUMPRODUCT(--ISNUMBER(SEARCH(","&amp;TRIM(TEXTSPLIT(U71,","))&amp;",",","&amp;SUBSTITUTE(input_affiliations," ","")&amp;",")))=COUNTA(TEXTSPLIT(U71,",")))))</f>
        <v/>
      </c>
      <c r="IU71">
        <f>AND(IF(W71="",TRUE,IF(input_announcement_category="",FALSE,SUMPRODUCT(--ISNUMBER(SEARCH(","&amp;TRIM(TEXTSPLIT(W71,","))&amp;",",","&amp;SUBSTITUTE(input_announcement_category," ","")&amp;",")))&gt;0)),IF(Y71="",TRUE,IF(input_announcement_category="",FALSE,SUMPRODUCT(--ISNUMBER(SEARCH(","&amp;TRIM(TEXTSPLIT(Y71,","))&amp;",",","&amp;SUBSTITUTE(input_announcement_category," ","")&amp;",")))=COUNTA(TEXTSPLIT(Y71,",")))),IF(AA71="",TRUE,IF(input_announcement_category="",TRUE,SUMPRODUCT(--ISNUMBER(SEARCH(","&amp;TRIM(TEXTSPLIT(AA71,","))&amp;",",","&amp;SUBSTITUTE(input_announcement_category," ","")&amp;",")))=0)),IF(AC71="",TRUE,IF(input_announcement_category="",FALSE,SUMPRODUCT(--ISNUMBER(SEARCH(","&amp;TRIM(TEXTSPLIT(AC71,","))&amp;",",","&amp;SUBSTITUTE(input_announcement_category," ","")&amp;",")))&gt;0)),IF(AE71="",TRUE,IF(input_announcement_category="",FALSE,SUMPRODUCT(--ISNUMBER(SEARCH(","&amp;TRIM(TEXTSPLIT(AE71,","))&amp;",",","&amp;SUBSTITUTE(input_announcement_category," ","")&amp;",")))=COUNTA(TEXTSPLIT(AE71,",")))))</f>
        <v/>
      </c>
      <c r="IV71">
        <f>AND(IF(AG71="",TRUE,IF(input_area_of_focus="",FALSE,SUMPRODUCT(--ISNUMBER(SEARCH(","&amp;TRIM(TEXTSPLIT(AG71,","))&amp;",",","&amp;SUBSTITUTE(input_area_of_focus," ","")&amp;",")))&gt;0)),IF(AI71="",TRUE,IF(input_area_of_focus="",FALSE,SUMPRODUCT(--ISNUMBER(SEARCH(","&amp;TRIM(TEXTSPLIT(AI71,","))&amp;",",","&amp;SUBSTITUTE(input_area_of_focus," ","")&amp;",")))=COUNTA(TEXTSPLIT(AI71,",")))),IF(AK71="",TRUE,IF(input_area_of_focus="",TRUE,SUMPRODUCT(--ISNUMBER(SEARCH(","&amp;TRIM(TEXTSPLIT(AK71,","))&amp;",",","&amp;SUBSTITUTE(input_area_of_focus," ","")&amp;",")))=0)),IF(AM71="",TRUE,IF(input_area_of_focus="",FALSE,SUMPRODUCT(--ISNUMBER(SEARCH(","&amp;TRIM(TEXTSPLIT(AM71,","))&amp;",",","&amp;SUBSTITUTE(input_area_of_focus," ","")&amp;",")))&gt;0)),IF(AO71="",TRUE,IF(input_area_of_focus="",FALSE,SUMPRODUCT(--ISNUMBER(SEARCH(","&amp;TRIM(TEXTSPLIT(AO71,","))&amp;",",","&amp;SUBSTITUTE(input_area_of_focus," ","")&amp;",")))=COUNTA(TEXTSPLIT(AO71,",")))))</f>
        <v/>
      </c>
      <c r="IW71">
        <f>AND(IF(AQ71="",TRUE,IF(input_audience="",FALSE,SUMPRODUCT(--ISNUMBER(SEARCH(","&amp;TRIM(TEXTSPLIT(AQ71,","))&amp;",",","&amp;SUBSTITUTE(input_audience," ","")&amp;",")))&gt;0)),IF(AS71="",TRUE,IF(input_audience="",FALSE,SUMPRODUCT(--ISNUMBER(SEARCH(","&amp;TRIM(TEXTSPLIT(AS71,","))&amp;",",","&amp;SUBSTITUTE(input_audience," ","")&amp;",")))=COUNTA(TEXTSPLIT(AS71,",")))),IF(AU71="",TRUE,IF(input_audience="",TRUE,SUMPRODUCT(--ISNUMBER(SEARCH(","&amp;TRIM(TEXTSPLIT(AU71,","))&amp;",",","&amp;SUBSTITUTE(input_audience," ","")&amp;",")))=0)),IF(AW71="",TRUE,IF(input_audience="",FALSE,SUMPRODUCT(--ISNUMBER(SEARCH(","&amp;TRIM(TEXTSPLIT(AW71,","))&amp;",",","&amp;SUBSTITUTE(input_audience," ","")&amp;",")))&gt;0)),IF(AY71="",TRUE,IF(input_audience="",FALSE,SUMPRODUCT(--ISNUMBER(SEARCH(","&amp;TRIM(TEXTSPLIT(AY71,","))&amp;",",","&amp;SUBSTITUTE(input_audience," ","")&amp;",")))=COUNTA(TEXTSPLIT(AY71,",")))))</f>
        <v/>
      </c>
      <c r="IX71">
        <f>AND(IF(BA71="",TRUE,IF(input_challenge_opportunities="",FALSE,SUMPRODUCT(--ISNUMBER(SEARCH(","&amp;TRIM(TEXTSPLIT(BA71,","))&amp;",",","&amp;SUBSTITUTE(input_challenge_opportunities," ","")&amp;",")))&gt;0)),IF(BC71="",TRUE,IF(input_challenge_opportunities="",FALSE,SUMPRODUCT(--ISNUMBER(SEARCH(","&amp;TRIM(TEXTSPLIT(BC71,","))&amp;",",","&amp;SUBSTITUTE(input_challenge_opportunities," ","")&amp;",")))=COUNTA(TEXTSPLIT(BC71,",")))),IF(BE71="",TRUE,IF(input_challenge_opportunities="",TRUE,SUMPRODUCT(--ISNUMBER(SEARCH(","&amp;TRIM(TEXTSPLIT(BE71,","))&amp;",",","&amp;SUBSTITUTE(input_challenge_opportunities," ","")&amp;",")))=0)),IF(BG71="",TRUE,IF(input_challenge_opportunities="",FALSE,SUMPRODUCT(--ISNUMBER(SEARCH(","&amp;TRIM(TEXTSPLIT(BG71,","))&amp;",",","&amp;SUBSTITUTE(input_challenge_opportunities," ","")&amp;",")))&gt;0)),IF(BI71="",TRUE,IF(input_challenge_opportunities="",FALSE,SUMPRODUCT(--ISNUMBER(SEARCH(","&amp;TRIM(TEXTSPLIT(BI71,","))&amp;",",","&amp;SUBSTITUTE(input_challenge_opportunities," ","")&amp;",")))=COUNTA(TEXTSPLIT(BI71,",")))))</f>
        <v/>
      </c>
      <c r="IY71">
        <f>AND(IF(BK71="",TRUE,IF(input_context="",FALSE,SUMPRODUCT(--ISNUMBER(SEARCH(","&amp;TRIM(TEXTSPLIT(BK71,","))&amp;",",","&amp;SUBSTITUTE(input_context," ","")&amp;",")))&gt;0)),IF(BM71="",TRUE,IF(input_context="",FALSE,SUMPRODUCT(--ISNUMBER(SEARCH(","&amp;TRIM(TEXTSPLIT(BM71,","))&amp;",",","&amp;SUBSTITUTE(input_context," ","")&amp;",")))=COUNTA(TEXTSPLIT(BM71,",")))),IF(BO71="",TRUE,IF(input_context="",TRUE,SUMPRODUCT(--ISNUMBER(SEARCH(","&amp;TRIM(TEXTSPLIT(BO71,","))&amp;",",","&amp;SUBSTITUTE(input_context," ","")&amp;",")))=0)),IF(BQ71="",TRUE,IF(input_context="",FALSE,SUMPRODUCT(--ISNUMBER(SEARCH(","&amp;TRIM(TEXTSPLIT(BQ71,","))&amp;",",","&amp;SUBSTITUTE(input_context," ","")&amp;",")))&gt;0)),IF(BS71="",TRUE,IF(input_context="",FALSE,SUMPRODUCT(--ISNUMBER(SEARCH(","&amp;TRIM(TEXTSPLIT(BS71,","))&amp;",",","&amp;SUBSTITUTE(input_context," ","")&amp;",")))=COUNTA(TEXTSPLIT(BS71,",")))))</f>
        <v/>
      </c>
      <c r="IZ71">
        <f>AND(IF(BU71="",TRUE,IF(input_enews_announcement_type="",FALSE,SUMPRODUCT(--ISNUMBER(SEARCH(","&amp;TRIM(TEXTSPLIT(BU71,","))&amp;",",","&amp;SUBSTITUTE(input_enews_announcement_type," ","")&amp;",")))&gt;0)),IF(BW71="",TRUE,IF(input_enews_announcement_type="",FALSE,SUMPRODUCT(--ISNUMBER(SEARCH(","&amp;TRIM(TEXTSPLIT(BW71,","))&amp;",",","&amp;SUBSTITUTE(input_enews_announcement_type," ","")&amp;",")))=COUNTA(TEXTSPLIT(BW71,",")))),IF(BY71="",TRUE,IF(input_enews_announcement_type="",TRUE,SUMPRODUCT(--ISNUMBER(SEARCH(","&amp;TRIM(TEXTSPLIT(BY71,","))&amp;",",","&amp;SUBSTITUTE(input_enews_announcement_type," ","")&amp;",")))=0)),IF(CA71="",TRUE,IF(input_enews_announcement_type="",FALSE,SUMPRODUCT(--ISNUMBER(SEARCH(","&amp;TRIM(TEXTSPLIT(CA71,","))&amp;",",","&amp;SUBSTITUTE(input_enews_announcement_type," ","")&amp;",")))&gt;0)),IF(CC71="",TRUE,IF(input_enews_announcement_type="",FALSE,SUMPRODUCT(--ISNUMBER(SEARCH(","&amp;TRIM(TEXTSPLIT(CC71,","))&amp;",",","&amp;SUBSTITUTE(input_enews_announcement_type," ","")&amp;",")))=COUNTA(TEXTSPLIT(CC71,",")))))</f>
        <v/>
      </c>
      <c r="JA71">
        <f>AND(IF(CE71="",TRUE,IF(input_enews_audience="",FALSE,SUMPRODUCT(--ISNUMBER(SEARCH(","&amp;TRIM(TEXTSPLIT(CE71,","))&amp;",",","&amp;SUBSTITUTE(input_enews_audience," ","")&amp;",")))&gt;0)),IF(CG71="",TRUE,IF(input_enews_audience="",FALSE,SUMPRODUCT(--ISNUMBER(SEARCH(","&amp;TRIM(TEXTSPLIT(CG71,","))&amp;",",","&amp;SUBSTITUTE(input_enews_audience," ","")&amp;",")))=COUNTA(TEXTSPLIT(CG71,",")))),IF(CI71="",TRUE,IF(input_enews_audience="",TRUE,SUMPRODUCT(--ISNUMBER(SEARCH(","&amp;TRIM(TEXTSPLIT(CI71,","))&amp;",",","&amp;SUBSTITUTE(input_enews_audience," ","")&amp;",")))=0)),IF(CK71="",TRUE,IF(input_enews_audience="",FALSE,SUMPRODUCT(--ISNUMBER(SEARCH(","&amp;TRIM(TEXTSPLIT(CK71,","))&amp;",",","&amp;SUBSTITUTE(input_enews_audience," ","")&amp;",")))&gt;0)),IF(CM71="",TRUE,IF(input_enews_audience="",FALSE,SUMPRODUCT(--ISNUMBER(SEARCH(","&amp;TRIM(TEXTSPLIT(CM71,","))&amp;",",","&amp;SUBSTITUTE(input_enews_audience," ","")&amp;",")))=COUNTA(TEXTSPLIT(CM71,",")))))</f>
        <v/>
      </c>
      <c r="JB71">
        <f>AND(IF(CO71="",TRUE,IF(input_event_location="",FALSE,SUMPRODUCT(--ISNUMBER(SEARCH(","&amp;TRIM(TEXTSPLIT(CO71,","))&amp;",",","&amp;SUBSTITUTE(input_event_location," ","")&amp;",")))&gt;0)),IF(CQ71="",TRUE,IF(input_event_location="",FALSE,SUMPRODUCT(--ISNUMBER(SEARCH(","&amp;TRIM(TEXTSPLIT(CQ71,","))&amp;",",","&amp;SUBSTITUTE(input_event_location," ","")&amp;",")))=COUNTA(TEXTSPLIT(CQ71,",")))),IF(CS71="",TRUE,IF(input_event_location="",TRUE,SUMPRODUCT(--ISNUMBER(SEARCH(","&amp;TRIM(TEXTSPLIT(CS71,","))&amp;",",","&amp;SUBSTITUTE(input_event_location," ","")&amp;",")))=0)),IF(CU71="",TRUE,IF(input_event_location="",FALSE,SUMPRODUCT(--ISNUMBER(SEARCH(","&amp;TRIM(TEXTSPLIT(CU71,","))&amp;",",","&amp;SUBSTITUTE(input_event_location," ","")&amp;",")))&gt;0)),IF(CW71="",TRUE,IF(input_event_location="",FALSE,SUMPRODUCT(--ISNUMBER(SEARCH(","&amp;TRIM(TEXTSPLIT(CW71,","))&amp;",",","&amp;SUBSTITUTE(input_event_location," ","")&amp;",")))=COUNTA(TEXTSPLIT(CW71,",")))))</f>
        <v/>
      </c>
      <c r="JC71">
        <f>AND(IF(CY71="",TRUE,IF(input_event_type="",FALSE,SUMPRODUCT(--ISNUMBER(SEARCH(","&amp;TRIM(TEXTSPLIT(CY71,","))&amp;",",","&amp;SUBSTITUTE(input_event_type," ","")&amp;",")))&gt;0)),IF(DA71="",TRUE,IF(input_event_type="",FALSE,SUMPRODUCT(--ISNUMBER(SEARCH(","&amp;TRIM(TEXTSPLIT(DA71,","))&amp;",",","&amp;SUBSTITUTE(input_event_type," ","")&amp;",")))=COUNTA(TEXTSPLIT(DA71,",")))),IF(DC71="",TRUE,IF(input_event_type="",TRUE,SUMPRODUCT(--ISNUMBER(SEARCH(","&amp;TRIM(TEXTSPLIT(DC71,","))&amp;",",","&amp;SUBSTITUTE(input_event_type," ","")&amp;",")))=0)),IF(DE71="",TRUE,IF(input_event_type="",FALSE,SUMPRODUCT(--ISNUMBER(SEARCH(","&amp;TRIM(TEXTSPLIT(DE71,","))&amp;",",","&amp;SUBSTITUTE(input_event_type," ","")&amp;",")))&gt;0)),IF(DG71="",TRUE,IF(input_event_type="",FALSE,SUMPRODUCT(--ISNUMBER(SEARCH(","&amp;TRIM(TEXTSPLIT(DG71,","))&amp;",",","&amp;SUBSTITUTE(input_event_type," ","")&amp;",")))=COUNTA(TEXTSPLIT(DG71,",")))))</f>
        <v/>
      </c>
      <c r="JD71">
        <f>AND(IF(DI71="",TRUE,IF(input_executive_education_focus="",FALSE,SUMPRODUCT(--ISNUMBER(SEARCH(","&amp;TRIM(TEXTSPLIT(DI71,","))&amp;",",","&amp;SUBSTITUTE(input_executive_education_focus," ","")&amp;",")))&gt;0)),IF(DK71="",TRUE,IF(input_executive_education_focus="",FALSE,SUMPRODUCT(--ISNUMBER(SEARCH(","&amp;TRIM(TEXTSPLIT(DK71,","))&amp;",",","&amp;SUBSTITUTE(input_executive_education_focus," ","")&amp;",")))=COUNTA(TEXTSPLIT(DK71,",")))),IF(DM71="",TRUE,IF(input_executive_education_focus="",TRUE,SUMPRODUCT(--ISNUMBER(SEARCH(","&amp;TRIM(TEXTSPLIT(DM71,","))&amp;",",","&amp;SUBSTITUTE(input_executive_education_focus," ","")&amp;",")))=0)),IF(DO71="",TRUE,IF(input_executive_education_focus="",FALSE,SUMPRODUCT(--ISNUMBER(SEARCH(","&amp;TRIM(TEXTSPLIT(DO71,","))&amp;",",","&amp;SUBSTITUTE(input_executive_education_focus," ","")&amp;",")))&gt;0)),IF(DQ71="",TRUE,IF(input_executive_education_focus="",FALSE,SUMPRODUCT(--ISNUMBER(SEARCH(","&amp;TRIM(TEXTSPLIT(DQ71,","))&amp;",",","&amp;SUBSTITUTE(input_executive_education_focus," ","")&amp;",")))=COUNTA(TEXTSPLIT(DQ71,",")))))</f>
        <v/>
      </c>
      <c r="JE71">
        <f>AND(IF(DS71="",TRUE,IF(input_faculty_category="",FALSE,SUMPRODUCT(--ISNUMBER(SEARCH(","&amp;TRIM(TEXTSPLIT(DS71,","))&amp;",",","&amp;SUBSTITUTE(input_faculty_category," ","")&amp;",")))&gt;0)),IF(DU71="",TRUE,IF(input_faculty_category="",FALSE,SUMPRODUCT(--ISNUMBER(SEARCH(","&amp;TRIM(TEXTSPLIT(DU71,","))&amp;",",","&amp;SUBSTITUTE(input_faculty_category," ","")&amp;",")))=COUNTA(TEXTSPLIT(DU71,",")))),IF(DW71="",TRUE,IF(input_faculty_category="",TRUE,SUMPRODUCT(--ISNUMBER(SEARCH(","&amp;TRIM(TEXTSPLIT(DW71,","))&amp;",",","&amp;SUBSTITUTE(input_faculty_category," ","")&amp;",")))=0)),IF(DY71="",TRUE,IF(input_faculty_category="",FALSE,SUMPRODUCT(--ISNUMBER(SEARCH(","&amp;TRIM(TEXTSPLIT(DY71,","))&amp;",",","&amp;SUBSTITUTE(input_faculty_category," ","")&amp;",")))&gt;0)),IF(EA71="",TRUE,IF(input_faculty_category="",FALSE,SUMPRODUCT(--ISNUMBER(SEARCH(","&amp;TRIM(TEXTSPLIT(EA71,","))&amp;",",","&amp;SUBSTITUTE(input_faculty_category," ","")&amp;",")))=COUNTA(TEXTSPLIT(EA71,",")))))</f>
        <v/>
      </c>
      <c r="JF71">
        <f>AND(IF(EC71="",TRUE,IF(input_faculty_discipline="",FALSE,SUMPRODUCT(--ISNUMBER(SEARCH(","&amp;TRIM(TEXTSPLIT(EC71,","))&amp;",",","&amp;SUBSTITUTE(input_faculty_discipline," ","")&amp;",")))&gt;0)),IF(EE71="",TRUE,IF(input_faculty_discipline="",FALSE,SUMPRODUCT(--ISNUMBER(SEARCH(","&amp;TRIM(TEXTSPLIT(EE71,","))&amp;",",","&amp;SUBSTITUTE(input_faculty_discipline," ","")&amp;",")))=COUNTA(TEXTSPLIT(EE71,",")))),IF(EG71="",TRUE,IF(input_faculty_discipline="",TRUE,SUMPRODUCT(--ISNUMBER(SEARCH(","&amp;TRIM(TEXTSPLIT(EG71,","))&amp;",",","&amp;SUBSTITUTE(input_faculty_discipline," ","")&amp;",")))=0)),IF(EI71="",TRUE,IF(input_faculty_discipline="",FALSE,SUMPRODUCT(--ISNUMBER(SEARCH(","&amp;TRIM(TEXTSPLIT(EI71,","))&amp;",",","&amp;SUBSTITUTE(input_faculty_discipline," ","")&amp;",")))&gt;0)),IF(EK71="",TRUE,IF(input_faculty_discipline="",FALSE,SUMPRODUCT(--ISNUMBER(SEARCH(","&amp;TRIM(TEXTSPLIT(EK71,","))&amp;",",","&amp;SUBSTITUTE(input_faculty_discipline," ","")&amp;",")))=COUNTA(TEXTSPLIT(EK71,",")))))</f>
        <v/>
      </c>
      <c r="JG71">
        <f>AND(IF(EM71="",TRUE,IF(input_faculty_expertise="",FALSE,SUMPRODUCT(--ISNUMBER(SEARCH(","&amp;TRIM(TEXTSPLIT(EM71,","))&amp;",",","&amp;SUBSTITUTE(input_faculty_expertise," ","")&amp;",")))&gt;0)),IF(EO71="",TRUE,IF(input_faculty_expertise="",FALSE,SUMPRODUCT(--ISNUMBER(SEARCH(","&amp;TRIM(TEXTSPLIT(EO71,","))&amp;",",","&amp;SUBSTITUTE(input_faculty_expertise," ","")&amp;",")))=COUNTA(TEXTSPLIT(EO71,",")))),IF(EQ71="",TRUE,IF(input_faculty_expertise="",TRUE,SUMPRODUCT(--ISNUMBER(SEARCH(","&amp;TRIM(TEXTSPLIT(EQ71,","))&amp;",",","&amp;SUBSTITUTE(input_faculty_expertise," ","")&amp;",")))=0)),IF(ES71="",TRUE,IF(input_faculty_expertise="",FALSE,SUMPRODUCT(--ISNUMBER(SEARCH(","&amp;TRIM(TEXTSPLIT(ES71,","))&amp;",",","&amp;SUBSTITUTE(input_faculty_expertise," ","")&amp;",")))&gt;0)),IF(EU71="",TRUE,IF(input_faculty_expertise="",FALSE,SUMPRODUCT(--ISNUMBER(SEARCH(","&amp;TRIM(TEXTSPLIT(EU71,","))&amp;",",","&amp;SUBSTITUTE(input_faculty_expertise," ","")&amp;",")))=COUNTA(TEXTSPLIT(EU71,",")))))</f>
        <v/>
      </c>
      <c r="JH71">
        <f>AND(IF(EW71="",TRUE,IF(input_global_network_school="",FALSE,SUMPRODUCT(--ISNUMBER(SEARCH(","&amp;TRIM(TEXTSPLIT(EW71,","))&amp;",",","&amp;SUBSTITUTE(input_global_network_school," ","")&amp;",")))&gt;0)),IF(EY71="",TRUE,IF(input_global_network_school="",FALSE,SUMPRODUCT(--ISNUMBER(SEARCH(","&amp;TRIM(TEXTSPLIT(EY71,","))&amp;",",","&amp;SUBSTITUTE(input_global_network_school," ","")&amp;",")))=COUNTA(TEXTSPLIT(EY71,",")))),IF(FA71="",TRUE,IF(input_global_network_school="",TRUE,SUMPRODUCT(--ISNUMBER(SEARCH(","&amp;TRIM(TEXTSPLIT(FA71,","))&amp;",",","&amp;SUBSTITUTE(input_global_network_school," ","")&amp;",")))=0)),IF(FC71="",TRUE,IF(input_global_network_school="",FALSE,SUMPRODUCT(--ISNUMBER(SEARCH(","&amp;TRIM(TEXTSPLIT(FC71,","))&amp;",",","&amp;SUBSTITUTE(input_global_network_school," ","")&amp;",")))&gt;0)),IF(FE71="",TRUE,IF(input_global_network_school="",FALSE,SUMPRODUCT(--ISNUMBER(SEARCH(","&amp;TRIM(TEXTSPLIT(FE71,","))&amp;",",","&amp;SUBSTITUTE(input_global_network_school," ","")&amp;",")))=COUNTA(TEXTSPLIT(FE71,",")))))</f>
        <v/>
      </c>
      <c r="JI71">
        <f>AND(IF(FG71="",TRUE,IF(input_industry="",FALSE,SUMPRODUCT(--ISNUMBER(SEARCH(","&amp;TRIM(TEXTSPLIT(FG71,","))&amp;",",","&amp;SUBSTITUTE(input_industry," ","")&amp;",")))&gt;0)),IF(FI71="",TRUE,IF(input_industry="",FALSE,SUMPRODUCT(--ISNUMBER(SEARCH(","&amp;TRIM(TEXTSPLIT(FI71,","))&amp;",",","&amp;SUBSTITUTE(input_industry," ","")&amp;",")))=COUNTA(TEXTSPLIT(FI71,",")))),IF(FK71="",TRUE,IF(input_industry="",TRUE,SUMPRODUCT(--ISNUMBER(SEARCH(","&amp;TRIM(TEXTSPLIT(FK71,","))&amp;",",","&amp;SUBSTITUTE(input_industry," ","")&amp;",")))=0)),IF(FM71="",TRUE,IF(input_industry="",FALSE,SUMPRODUCT(--ISNUMBER(SEARCH(","&amp;TRIM(TEXTSPLIT(FM71,","))&amp;",",","&amp;SUBSTITUTE(input_industry," ","")&amp;",")))&gt;0)),IF(FO71="",TRUE,IF(input_industry="",FALSE,SUMPRODUCT(--ISNUMBER(SEARCH(","&amp;TRIM(TEXTSPLIT(FO71,","))&amp;",",","&amp;SUBSTITUTE(input_industry," ","")&amp;",")))=COUNTA(TEXTSPLIT(FO71,",")))))</f>
        <v/>
      </c>
      <c r="JJ71">
        <f>AND(IF(FQ71="",TRUE,IF(input_location="",FALSE,SUMPRODUCT(--ISNUMBER(SEARCH(","&amp;TRIM(TEXTSPLIT(FQ71,","))&amp;",",","&amp;SUBSTITUTE(input_location," ","")&amp;",")))&gt;0)),IF(FS71="",TRUE,IF(input_location="",FALSE,SUMPRODUCT(--ISNUMBER(SEARCH(","&amp;TRIM(TEXTSPLIT(FS71,","))&amp;",",","&amp;SUBSTITUTE(input_location," ","")&amp;",")))=COUNTA(TEXTSPLIT(FS71,",")))),IF(FU71="",TRUE,IF(input_location="",TRUE,SUMPRODUCT(--ISNUMBER(SEARCH(","&amp;TRIM(TEXTSPLIT(FU71,","))&amp;",",","&amp;SUBSTITUTE(input_location," ","")&amp;",")))=0)),IF(FW71="",TRUE,IF(input_location="",FALSE,SUMPRODUCT(--ISNUMBER(SEARCH(","&amp;TRIM(TEXTSPLIT(FW71,","))&amp;",",","&amp;SUBSTITUTE(input_location," ","")&amp;",")))&gt;0)),IF(FY71="",TRUE,IF(input_location="",FALSE,SUMPRODUCT(--ISNUMBER(SEARCH(","&amp;TRIM(TEXTSPLIT(FY71,","))&amp;",",","&amp;SUBSTITUTE(input_location," ","")&amp;",")))=COUNTA(TEXTSPLIT(FY71,",")))))</f>
        <v/>
      </c>
      <c r="JK71">
        <f>AND(IF(GA71="",TRUE,IF(input_modality="",FALSE,SUMPRODUCT(--ISNUMBER(SEARCH(","&amp;TRIM(TEXTSPLIT(GA71,","))&amp;",",","&amp;SUBSTITUTE(input_modality," ","")&amp;",")))&gt;0)),IF(GC71="",TRUE,IF(input_modality="",FALSE,SUMPRODUCT(--ISNUMBER(SEARCH(","&amp;TRIM(TEXTSPLIT(GC71,","))&amp;",",","&amp;SUBSTITUTE(input_modality," ","")&amp;",")))=COUNTA(TEXTSPLIT(GC71,",")))),IF(GE71="",TRUE,IF(input_modality="",TRUE,SUMPRODUCT(--ISNUMBER(SEARCH(","&amp;TRIM(TEXTSPLIT(GE71,","))&amp;",",","&amp;SUBSTITUTE(input_modality," ","")&amp;",")))=0)),IF(GG71="",TRUE,IF(input_modality="",FALSE,SUMPRODUCT(--ISNUMBER(SEARCH(","&amp;TRIM(TEXTSPLIT(GG71,","))&amp;",",","&amp;SUBSTITUTE(input_modality," ","")&amp;",")))&gt;0)),IF(GI71="",TRUE,IF(input_modality="",FALSE,SUMPRODUCT(--ISNUMBER(SEARCH(","&amp;TRIM(TEXTSPLIT(GI71,","))&amp;",",","&amp;SUBSTITUTE(input_modality," ","")&amp;",")))=COUNTA(TEXTSPLIT(GI71,",")))))</f>
        <v/>
      </c>
      <c r="JL71">
        <f>AND(IF(GK71="",TRUE,IF(input_organizer="",FALSE,SUMPRODUCT(--ISNUMBER(SEARCH(","&amp;TRIM(TEXTSPLIT(GK71,","))&amp;",",","&amp;SUBSTITUTE(input_organizer," ","")&amp;",")))&gt;0)),IF(GM71="",TRUE,IF(input_organizer="",FALSE,SUMPRODUCT(--ISNUMBER(SEARCH(","&amp;TRIM(TEXTSPLIT(GM71,","))&amp;",",","&amp;SUBSTITUTE(input_organizer," ","")&amp;",")))=COUNTA(TEXTSPLIT(GM71,",")))),IF(GO71="",TRUE,IF(input_organizer="",TRUE,SUMPRODUCT(--ISNUMBER(SEARCH(","&amp;TRIM(TEXTSPLIT(GO71,","))&amp;",",","&amp;SUBSTITUTE(input_organizer," ","")&amp;",")))=0)),IF(GQ71="",TRUE,IF(input_organizer="",FALSE,SUMPRODUCT(--ISNUMBER(SEARCH(","&amp;TRIM(TEXTSPLIT(GQ71,","))&amp;",",","&amp;SUBSTITUTE(input_organizer," ","")&amp;",")))&gt;0)),IF(GS71="",TRUE,IF(input_organizer="",FALSE,SUMPRODUCT(--ISNUMBER(SEARCH(","&amp;TRIM(TEXTSPLIT(GS71,","))&amp;",",","&amp;SUBSTITUTE(input_organizer," ","")&amp;",")))=COUNTA(TEXTSPLIT(GS71,",")))))</f>
        <v/>
      </c>
      <c r="JM71">
        <f>AND(IF(GU71="",TRUE,IF(input_profile_type="",FALSE,SUMPRODUCT(--ISNUMBER(SEARCH(","&amp;TRIM(TEXTSPLIT(GU71,","))&amp;",",","&amp;SUBSTITUTE(input_profile_type," ","")&amp;",")))&gt;0)),IF(GW71="",TRUE,IF(input_profile_type="",FALSE,SUMPRODUCT(--ISNUMBER(SEARCH(","&amp;TRIM(TEXTSPLIT(GW71,","))&amp;",",","&amp;SUBSTITUTE(input_profile_type," ","")&amp;",")))=COUNTA(TEXTSPLIT(GW71,",")))),IF(GY71="",TRUE,IF(input_profile_type="",TRUE,SUMPRODUCT(--ISNUMBER(SEARCH(","&amp;TRIM(TEXTSPLIT(GY71,","))&amp;",",","&amp;SUBSTITUTE(input_profile_type," ","")&amp;",")))=0)),IF(HA71="",TRUE,IF(input_profile_type="",FALSE,SUMPRODUCT(--ISNUMBER(SEARCH(","&amp;TRIM(TEXTSPLIT(HA71,","))&amp;",",","&amp;SUBSTITUTE(input_profile_type," ","")&amp;",")))&gt;0)),IF(HC71="",TRUE,IF(input_profile_type="",FALSE,SUMPRODUCT(--ISNUMBER(SEARCH(","&amp;TRIM(TEXTSPLIT(HC71,","))&amp;",",","&amp;SUBSTITUTE(input_profile_type," ","")&amp;",")))=COUNTA(TEXTSPLIT(HC71,",")))))</f>
        <v/>
      </c>
      <c r="JN71">
        <f>AND(IF(HE71="",TRUE,IF(input_program="",FALSE,SUMPRODUCT(--ISNUMBER(SEARCH(","&amp;TRIM(TEXTSPLIT(HE71,","))&amp;",",","&amp;SUBSTITUTE(input_program," ","")&amp;",")))&gt;0)),IF(HG71="",TRUE,IF(input_program="",FALSE,SUMPRODUCT(--ISNUMBER(SEARCH(","&amp;TRIM(TEXTSPLIT(HG71,","))&amp;",",","&amp;SUBSTITUTE(input_program," ","")&amp;",")))=COUNTA(TEXTSPLIT(HG71,",")))),IF(HI71="",TRUE,IF(input_program="",TRUE,SUMPRODUCT(--ISNUMBER(SEARCH(","&amp;TRIM(TEXTSPLIT(HI71,","))&amp;",",","&amp;SUBSTITUTE(input_program," ","")&amp;",")))=0)),IF(HK71="",TRUE,IF(input_program="",FALSE,SUMPRODUCT(--ISNUMBER(SEARCH(","&amp;TRIM(TEXTSPLIT(HK71,","))&amp;",",","&amp;SUBSTITUTE(input_program," ","")&amp;",")))&gt;0)),IF(HM71="",TRUE,IF(input_program="",FALSE,SUMPRODUCT(--ISNUMBER(SEARCH(","&amp;TRIM(TEXTSPLIT(HM71,","))&amp;",",","&amp;SUBSTITUTE(input_program," ","")&amp;",")))=COUNTA(TEXTSPLIT(HM71,",")))))</f>
        <v/>
      </c>
      <c r="JO71">
        <f>AND(IF(HO71="",TRUE,IF(input_story_categories="",FALSE,SUMPRODUCT(--ISNUMBER(SEARCH(","&amp;TRIM(TEXTSPLIT(HO71,","))&amp;",",","&amp;SUBSTITUTE(input_story_categories," ","")&amp;",")))&gt;0)),IF(HQ71="",TRUE,IF(input_story_categories="",FALSE,SUMPRODUCT(--ISNUMBER(SEARCH(","&amp;TRIM(TEXTSPLIT(HQ71,","))&amp;",",","&amp;SUBSTITUTE(input_story_categories," ","")&amp;",")))=COUNTA(TEXTSPLIT(HQ71,",")))),IF(HS71="",TRUE,IF(input_story_categories="",TRUE,SUMPRODUCT(--ISNUMBER(SEARCH(","&amp;TRIM(TEXTSPLIT(HS71,","))&amp;",",","&amp;SUBSTITUTE(input_story_categories," ","")&amp;",")))=0)),IF(HU71="",TRUE,IF(input_story_categories="",FALSE,SUMPRODUCT(--ISNUMBER(SEARCH(","&amp;TRIM(TEXTSPLIT(HU71,","))&amp;",",","&amp;SUBSTITUTE(input_story_categories," ","")&amp;",")))&gt;0)),IF(HW71="",TRUE,IF(input_story_categories="",FALSE,SUMPRODUCT(--ISNUMBER(SEARCH(","&amp;TRIM(TEXTSPLIT(HW71,","))&amp;",",","&amp;SUBSTITUTE(input_story_categories," ","")&amp;",")))=COUNTA(TEXTSPLIT(HW71,",")))))</f>
        <v/>
      </c>
      <c r="JP71">
        <f>AND(IF(HY71="",TRUE,IF(input_story_type="",FALSE,SUMPRODUCT(--ISNUMBER(SEARCH(","&amp;TRIM(TEXTSPLIT(HY71,","))&amp;",",","&amp;SUBSTITUTE(input_story_type," ","")&amp;",")))&gt;0)),IF(IA71="",TRUE,IF(input_story_type="",FALSE,SUMPRODUCT(--ISNUMBER(SEARCH(","&amp;TRIM(TEXTSPLIT(IA71,","))&amp;",",","&amp;SUBSTITUTE(input_story_type," ","")&amp;",")))=COUNTA(TEXTSPLIT(IA71,",")))),IF(IC71="",TRUE,IF(input_story_type="",TRUE,SUMPRODUCT(--ISNUMBER(SEARCH(","&amp;TRIM(TEXTSPLIT(IC71,","))&amp;",",","&amp;SUBSTITUTE(input_story_type," ","")&amp;",")))=0)),IF(IE71="",TRUE,IF(input_story_type="",FALSE,SUMPRODUCT(--ISNUMBER(SEARCH(","&amp;TRIM(TEXTSPLIT(IE71,","))&amp;",",","&amp;SUBSTITUTE(input_story_type," ","")&amp;",")))&gt;0)),IF(IG71="",TRUE,IF(input_story_type="",FALSE,SUMPRODUCT(--ISNUMBER(SEARCH(","&amp;TRIM(TEXTSPLIT(IG71,","))&amp;",",","&amp;SUBSTITUTE(input_story_type," ","")&amp;",")))=COUNTA(TEXTSPLIT(IG71,",")))))</f>
        <v/>
      </c>
      <c r="JQ71">
        <f>AND(IF(II71="",TRUE,IF(input_topics="",FALSE,SUMPRODUCT(--ISNUMBER(SEARCH(","&amp;TRIM(TEXTSPLIT(II71,","))&amp;",",","&amp;SUBSTITUTE(input_topics," ","")&amp;",")))&gt;0)),IF(IK71="",TRUE,IF(input_topics="",FALSE,SUMPRODUCT(--ISNUMBER(SEARCH(","&amp;TRIM(TEXTSPLIT(IK71,","))&amp;",",","&amp;SUBSTITUTE(input_topics," ","")&amp;",")))=COUNTA(TEXTSPLIT(IK71,",")))),IF(IM71="",TRUE,IF(input_topics="",TRUE,SUMPRODUCT(--ISNUMBER(SEARCH(","&amp;TRIM(TEXTSPLIT(IM71,","))&amp;",",","&amp;SUBSTITUTE(input_topics," ","")&amp;",")))=0)),IF(IO71="",TRUE,IF(input_topics="",FALSE,SUMPRODUCT(--ISNUMBER(SEARCH(","&amp;TRIM(TEXTSPLIT(IO71,","))&amp;",",","&amp;SUBSTITUTE(input_topics," ","")&amp;",")))&gt;0)),IF(IQ71="",TRUE,IF(input_topics="",FALSE,SUMPRODUCT(--ISNUMBER(SEARCH(","&amp;TRIM(TEXTSPLIT(IQ71,","))&amp;",",","&amp;SUBSTITUTE(input_topics," ","")&amp;",")))=COUNTA(TEXTSPLIT(IQ71,",")))))</f>
        <v/>
      </c>
    </row>
    <row r="72">
      <c r="A72" s="4">
        <f>IF(NOT(IS72),"Excluded",IF(AND(IT72,IU72,IV72,IW72,IX72,IY72,IZ72,JA72,JB72,JC72,JD72,JE72,JF72,JG72,JH72,JI72,JJ72,JK72,JL72,JM72,JN72,JO72,JP72,JQ72),IF(I72&gt;0,"Eligible but limited","Will appear"),"Excluded"))</f>
        <v/>
      </c>
      <c r="B72" s="4" t="inlineStr">
        <is>
          <t>Alumni Headlines</t>
        </is>
      </c>
      <c r="C72" s="4" t="inlineStr">
        <is>
          <t>/alumni/alumni-headlines</t>
        </is>
      </c>
      <c r="D72" s="4" t="inlineStr">
        <is>
          <t>/alumni/alumni-headlines</t>
        </is>
      </c>
      <c r="E72" s="4" t="n">
        <v>1</v>
      </c>
      <c r="F72" s="4" t="inlineStr">
        <is>
          <t>story</t>
        </is>
      </c>
      <c r="G72" s="4" t="inlineStr">
        <is>
          <t>stories_list</t>
        </is>
      </c>
      <c r="H72" s="4" t="inlineStr">
        <is>
          <t>embed_1</t>
        </is>
      </c>
      <c r="I72" s="4" t="n">
        <v>10</v>
      </c>
      <c r="J72" s="4" t="inlineStr">
        <is>
          <t>Explicit args</t>
        </is>
      </c>
      <c r="K72" s="4" t="inlineStr">
        <is>
          <t>Page placement</t>
        </is>
      </c>
      <c r="L72" s="4" t="inlineStr">
        <is>
          <t>Content type: story; Context uses Courses Context: Alumni (1142); Limited to 10 item(s); Source: Explicit args</t>
        </is>
      </c>
      <c r="M72" t="inlineStr"/>
      <c r="N72" t="inlineStr"/>
      <c r="O72" t="inlineStr"/>
      <c r="P72" t="inlineStr"/>
      <c r="Q72" t="inlineStr"/>
      <c r="R72" t="inlineStr"/>
      <c r="S72" t="inlineStr"/>
      <c r="T72" t="inlineStr"/>
      <c r="U72" t="inlineStr"/>
      <c r="V72" t="inlineStr"/>
      <c r="W72" t="inlineStr"/>
      <c r="X72" t="inlineStr"/>
      <c r="Y72" t="inlineStr"/>
      <c r="Z72" t="inlineStr"/>
      <c r="AA72" t="inlineStr"/>
      <c r="AB72" t="inlineStr"/>
      <c r="AC72" t="inlineStr"/>
      <c r="AD72" t="inlineStr"/>
      <c r="AE72" t="inlineStr"/>
      <c r="AF72" t="inlineStr"/>
      <c r="AG72" t="inlineStr"/>
      <c r="AH72" t="inlineStr"/>
      <c r="AI72" t="inlineStr"/>
      <c r="AJ72" t="inlineStr"/>
      <c r="AK72" t="inlineStr"/>
      <c r="AL72" t="inlineStr"/>
      <c r="AM72" t="inlineStr"/>
      <c r="AN72" t="inlineStr"/>
      <c r="AO72" t="inlineStr"/>
      <c r="AP72" t="inlineStr"/>
      <c r="AQ72" t="inlineStr"/>
      <c r="AR72" t="inlineStr"/>
      <c r="AS72" t="inlineStr"/>
      <c r="AT72" t="inlineStr"/>
      <c r="AU72" t="inlineStr"/>
      <c r="AV72" t="inlineStr"/>
      <c r="AW72" t="inlineStr"/>
      <c r="AX72" t="inlineStr"/>
      <c r="AY72" t="inlineStr"/>
      <c r="AZ72" t="inlineStr"/>
      <c r="BA72" t="inlineStr"/>
      <c r="BB72" t="inlineStr"/>
      <c r="BC72" t="inlineStr"/>
      <c r="BD72" t="inlineStr"/>
      <c r="BE72" t="inlineStr"/>
      <c r="BF72" t="inlineStr"/>
      <c r="BG72" t="inlineStr"/>
      <c r="BH72" t="inlineStr"/>
      <c r="BI72" t="inlineStr"/>
      <c r="BJ72" t="inlineStr"/>
      <c r="BK72" t="inlineStr"/>
      <c r="BL72" t="inlineStr"/>
      <c r="BM72" t="inlineStr"/>
      <c r="BN72" t="inlineStr"/>
      <c r="BO72" t="inlineStr"/>
      <c r="BP72" t="inlineStr"/>
      <c r="BQ72" t="inlineStr">
        <is>
          <t>1142</t>
        </is>
      </c>
      <c r="BR72" t="inlineStr">
        <is>
          <t>Alumni (1142)</t>
        </is>
      </c>
      <c r="BS72" t="inlineStr"/>
      <c r="BT72" t="inlineStr"/>
      <c r="BU72" t="inlineStr"/>
      <c r="BV72" t="inlineStr"/>
      <c r="BW72" t="inlineStr"/>
      <c r="BX72" t="inlineStr"/>
      <c r="BY72" t="inlineStr"/>
      <c r="BZ72" t="inlineStr"/>
      <c r="CA72" t="inlineStr"/>
      <c r="CB72" t="inlineStr"/>
      <c r="CC72" t="inlineStr"/>
      <c r="CD72" t="inlineStr"/>
      <c r="CE72" t="inlineStr"/>
      <c r="CF72" t="inlineStr"/>
      <c r="CG72" t="inlineStr"/>
      <c r="CH72" t="inlineStr"/>
      <c r="CI72" t="inlineStr"/>
      <c r="CJ72" t="inlineStr"/>
      <c r="CK72" t="inlineStr"/>
      <c r="CL72" t="inlineStr"/>
      <c r="CM72" t="inlineStr"/>
      <c r="CN72" t="inlineStr"/>
      <c r="CO72" t="inlineStr"/>
      <c r="CP72" t="inlineStr"/>
      <c r="CQ72" t="inlineStr"/>
      <c r="CR72" t="inlineStr"/>
      <c r="CS72" t="inlineStr"/>
      <c r="CT72" t="inlineStr"/>
      <c r="CU72" t="inlineStr"/>
      <c r="CV72" t="inlineStr"/>
      <c r="CW72" t="inlineStr"/>
      <c r="CX72" t="inlineStr"/>
      <c r="CY72" t="inlineStr"/>
      <c r="CZ72" t="inlineStr"/>
      <c r="DA72" t="inlineStr"/>
      <c r="DB72" t="inlineStr"/>
      <c r="DC72" t="inlineStr"/>
      <c r="DD72" t="inlineStr"/>
      <c r="DE72" t="inlineStr"/>
      <c r="DF72" t="inlineStr"/>
      <c r="DG72" t="inlineStr"/>
      <c r="DH72" t="inlineStr"/>
      <c r="DI72" t="inlineStr"/>
      <c r="DJ72" t="inlineStr"/>
      <c r="DK72" t="inlineStr"/>
      <c r="DL72" t="inlineStr"/>
      <c r="DM72" t="inlineStr"/>
      <c r="DN72" t="inlineStr"/>
      <c r="DO72" t="inlineStr"/>
      <c r="DP72" t="inlineStr"/>
      <c r="DQ72" t="inlineStr"/>
      <c r="DR72" t="inlineStr"/>
      <c r="DS72" t="inlineStr"/>
      <c r="DT72" t="inlineStr"/>
      <c r="DU72" t="inlineStr"/>
      <c r="DV72" t="inlineStr"/>
      <c r="DW72" t="inlineStr"/>
      <c r="DX72" t="inlineStr"/>
      <c r="DY72" t="inlineStr"/>
      <c r="DZ72" t="inlineStr"/>
      <c r="EA72" t="inlineStr"/>
      <c r="EB72" t="inlineStr"/>
      <c r="EC72" t="inlineStr"/>
      <c r="ED72" t="inlineStr"/>
      <c r="EE72" t="inlineStr"/>
      <c r="EF72" t="inlineStr"/>
      <c r="EG72" t="inlineStr"/>
      <c r="EH72" t="inlineStr"/>
      <c r="EI72" t="inlineStr"/>
      <c r="EJ72" t="inlineStr"/>
      <c r="EK72" t="inlineStr"/>
      <c r="EL72" t="inlineStr"/>
      <c r="EM72" t="inlineStr"/>
      <c r="EN72" t="inlineStr"/>
      <c r="EO72" t="inlineStr"/>
      <c r="EP72" t="inlineStr"/>
      <c r="EQ72" t="inlineStr"/>
      <c r="ER72" t="inlineStr"/>
      <c r="ES72" t="inlineStr"/>
      <c r="ET72" t="inlineStr"/>
      <c r="EU72" t="inlineStr"/>
      <c r="EV72" t="inlineStr"/>
      <c r="EW72" t="inlineStr"/>
      <c r="EX72" t="inlineStr"/>
      <c r="EY72" t="inlineStr"/>
      <c r="EZ72" t="inlineStr"/>
      <c r="FA72" t="inlineStr"/>
      <c r="FB72" t="inlineStr"/>
      <c r="FC72" t="inlineStr"/>
      <c r="FD72" t="inlineStr"/>
      <c r="FE72" t="inlineStr"/>
      <c r="FF72" t="inlineStr"/>
      <c r="FG72" t="inlineStr"/>
      <c r="FH72" t="inlineStr"/>
      <c r="FI72" t="inlineStr"/>
      <c r="FJ72" t="inlineStr"/>
      <c r="FK72" t="inlineStr"/>
      <c r="FL72" t="inlineStr"/>
      <c r="FM72" t="inlineStr"/>
      <c r="FN72" t="inlineStr"/>
      <c r="FO72" t="inlineStr"/>
      <c r="FP72" t="inlineStr"/>
      <c r="FQ72" t="inlineStr"/>
      <c r="FR72" t="inlineStr"/>
      <c r="FS72" t="inlineStr"/>
      <c r="FT72" t="inlineStr"/>
      <c r="FU72" t="inlineStr"/>
      <c r="FV72" t="inlineStr"/>
      <c r="FW72" t="inlineStr"/>
      <c r="FX72" t="inlineStr"/>
      <c r="FY72" t="inlineStr"/>
      <c r="FZ72" t="inlineStr"/>
      <c r="GA72" t="inlineStr"/>
      <c r="GB72" t="inlineStr"/>
      <c r="GC72" t="inlineStr"/>
      <c r="GD72" t="inlineStr"/>
      <c r="GE72" t="inlineStr"/>
      <c r="GF72" t="inlineStr"/>
      <c r="GG72" t="inlineStr"/>
      <c r="GH72" t="inlineStr"/>
      <c r="GI72" t="inlineStr"/>
      <c r="GJ72" t="inlineStr"/>
      <c r="GK72" t="inlineStr"/>
      <c r="GL72" t="inlineStr"/>
      <c r="GM72" t="inlineStr"/>
      <c r="GN72" t="inlineStr"/>
      <c r="GO72" t="inlineStr"/>
      <c r="GP72" t="inlineStr"/>
      <c r="GQ72" t="inlineStr"/>
      <c r="GR72" t="inlineStr"/>
      <c r="GS72" t="inlineStr"/>
      <c r="GT72" t="inlineStr"/>
      <c r="GU72" t="inlineStr"/>
      <c r="GV72" t="inlineStr"/>
      <c r="GW72" t="inlineStr"/>
      <c r="GX72" t="inlineStr"/>
      <c r="GY72" t="inlineStr"/>
      <c r="GZ72" t="inlineStr"/>
      <c r="HA72" t="inlineStr"/>
      <c r="HB72" t="inlineStr"/>
      <c r="HC72" t="inlineStr"/>
      <c r="HD72" t="inlineStr"/>
      <c r="HE72" t="inlineStr"/>
      <c r="HF72" t="inlineStr"/>
      <c r="HG72" t="inlineStr"/>
      <c r="HH72" t="inlineStr"/>
      <c r="HI72" t="inlineStr"/>
      <c r="HJ72" t="inlineStr"/>
      <c r="HK72" t="inlineStr"/>
      <c r="HL72" t="inlineStr"/>
      <c r="HM72" t="inlineStr"/>
      <c r="HN72" t="inlineStr"/>
      <c r="HO72" t="inlineStr"/>
      <c r="HP72" t="inlineStr"/>
      <c r="HQ72" t="inlineStr"/>
      <c r="HR72" t="inlineStr"/>
      <c r="HS72" t="inlineStr"/>
      <c r="HT72" t="inlineStr"/>
      <c r="HU72" t="inlineStr"/>
      <c r="HV72" t="inlineStr"/>
      <c r="HW72" t="inlineStr"/>
      <c r="HX72" t="inlineStr"/>
      <c r="HY72" t="inlineStr"/>
      <c r="HZ72" t="inlineStr"/>
      <c r="IA72" t="inlineStr"/>
      <c r="IB72" t="inlineStr"/>
      <c r="IC72" t="inlineStr"/>
      <c r="ID72" t="inlineStr"/>
      <c r="IE72" t="inlineStr"/>
      <c r="IF72" t="inlineStr"/>
      <c r="IG72" t="inlineStr"/>
      <c r="IH72" t="inlineStr"/>
      <c r="II72" t="inlineStr"/>
      <c r="IJ72" t="inlineStr"/>
      <c r="IK72" t="inlineStr"/>
      <c r="IL72" t="inlineStr"/>
      <c r="IM72" t="inlineStr"/>
      <c r="IN72" t="inlineStr"/>
      <c r="IO72" t="inlineStr"/>
      <c r="IP72" t="inlineStr"/>
      <c r="IQ72" t="inlineStr"/>
      <c r="IR72" t="inlineStr"/>
      <c r="IS72">
        <f>IF(input_content_type="",FALSE,ISNUMBER(SEARCH(","&amp;LOWER(input_content_type)&amp;",",","&amp;LOWER(F72)&amp;",")))</f>
        <v/>
      </c>
      <c r="IT72">
        <f>AND(IF(M72="",TRUE,IF(input_affiliations="",FALSE,SUMPRODUCT(--ISNUMBER(SEARCH(","&amp;TRIM(TEXTSPLIT(M72,","))&amp;",",","&amp;SUBSTITUTE(input_affiliations," ","")&amp;",")))&gt;0)),IF(O72="",TRUE,IF(input_affiliations="",FALSE,SUMPRODUCT(--ISNUMBER(SEARCH(","&amp;TRIM(TEXTSPLIT(O72,","))&amp;",",","&amp;SUBSTITUTE(input_affiliations," ","")&amp;",")))=COUNTA(TEXTSPLIT(O72,",")))),IF(Q72="",TRUE,IF(input_affiliations="",TRUE,SUMPRODUCT(--ISNUMBER(SEARCH(","&amp;TRIM(TEXTSPLIT(Q72,","))&amp;",",","&amp;SUBSTITUTE(input_affiliations," ","")&amp;",")))=0)),IF(S72="",TRUE,IF(input_affiliations="",FALSE,SUMPRODUCT(--ISNUMBER(SEARCH(","&amp;TRIM(TEXTSPLIT(S72,","))&amp;",",","&amp;SUBSTITUTE(input_affiliations," ","")&amp;",")))&gt;0)),IF(U72="",TRUE,IF(input_affiliations="",FALSE,SUMPRODUCT(--ISNUMBER(SEARCH(","&amp;TRIM(TEXTSPLIT(U72,","))&amp;",",","&amp;SUBSTITUTE(input_affiliations," ","")&amp;",")))=COUNTA(TEXTSPLIT(U72,",")))))</f>
        <v/>
      </c>
      <c r="IU72">
        <f>AND(IF(W72="",TRUE,IF(input_announcement_category="",FALSE,SUMPRODUCT(--ISNUMBER(SEARCH(","&amp;TRIM(TEXTSPLIT(W72,","))&amp;",",","&amp;SUBSTITUTE(input_announcement_category," ","")&amp;",")))&gt;0)),IF(Y72="",TRUE,IF(input_announcement_category="",FALSE,SUMPRODUCT(--ISNUMBER(SEARCH(","&amp;TRIM(TEXTSPLIT(Y72,","))&amp;",",","&amp;SUBSTITUTE(input_announcement_category," ","")&amp;",")))=COUNTA(TEXTSPLIT(Y72,",")))),IF(AA72="",TRUE,IF(input_announcement_category="",TRUE,SUMPRODUCT(--ISNUMBER(SEARCH(","&amp;TRIM(TEXTSPLIT(AA72,","))&amp;",",","&amp;SUBSTITUTE(input_announcement_category," ","")&amp;",")))=0)),IF(AC72="",TRUE,IF(input_announcement_category="",FALSE,SUMPRODUCT(--ISNUMBER(SEARCH(","&amp;TRIM(TEXTSPLIT(AC72,","))&amp;",",","&amp;SUBSTITUTE(input_announcement_category," ","")&amp;",")))&gt;0)),IF(AE72="",TRUE,IF(input_announcement_category="",FALSE,SUMPRODUCT(--ISNUMBER(SEARCH(","&amp;TRIM(TEXTSPLIT(AE72,","))&amp;",",","&amp;SUBSTITUTE(input_announcement_category," ","")&amp;",")))=COUNTA(TEXTSPLIT(AE72,",")))))</f>
        <v/>
      </c>
      <c r="IV72">
        <f>AND(IF(AG72="",TRUE,IF(input_area_of_focus="",FALSE,SUMPRODUCT(--ISNUMBER(SEARCH(","&amp;TRIM(TEXTSPLIT(AG72,","))&amp;",",","&amp;SUBSTITUTE(input_area_of_focus," ","")&amp;",")))&gt;0)),IF(AI72="",TRUE,IF(input_area_of_focus="",FALSE,SUMPRODUCT(--ISNUMBER(SEARCH(","&amp;TRIM(TEXTSPLIT(AI72,","))&amp;",",","&amp;SUBSTITUTE(input_area_of_focus," ","")&amp;",")))=COUNTA(TEXTSPLIT(AI72,",")))),IF(AK72="",TRUE,IF(input_area_of_focus="",TRUE,SUMPRODUCT(--ISNUMBER(SEARCH(","&amp;TRIM(TEXTSPLIT(AK72,","))&amp;",",","&amp;SUBSTITUTE(input_area_of_focus," ","")&amp;",")))=0)),IF(AM72="",TRUE,IF(input_area_of_focus="",FALSE,SUMPRODUCT(--ISNUMBER(SEARCH(","&amp;TRIM(TEXTSPLIT(AM72,","))&amp;",",","&amp;SUBSTITUTE(input_area_of_focus," ","")&amp;",")))&gt;0)),IF(AO72="",TRUE,IF(input_area_of_focus="",FALSE,SUMPRODUCT(--ISNUMBER(SEARCH(","&amp;TRIM(TEXTSPLIT(AO72,","))&amp;",",","&amp;SUBSTITUTE(input_area_of_focus," ","")&amp;",")))=COUNTA(TEXTSPLIT(AO72,",")))))</f>
        <v/>
      </c>
      <c r="IW72">
        <f>AND(IF(AQ72="",TRUE,IF(input_audience="",FALSE,SUMPRODUCT(--ISNUMBER(SEARCH(","&amp;TRIM(TEXTSPLIT(AQ72,","))&amp;",",","&amp;SUBSTITUTE(input_audience," ","")&amp;",")))&gt;0)),IF(AS72="",TRUE,IF(input_audience="",FALSE,SUMPRODUCT(--ISNUMBER(SEARCH(","&amp;TRIM(TEXTSPLIT(AS72,","))&amp;",",","&amp;SUBSTITUTE(input_audience," ","")&amp;",")))=COUNTA(TEXTSPLIT(AS72,",")))),IF(AU72="",TRUE,IF(input_audience="",TRUE,SUMPRODUCT(--ISNUMBER(SEARCH(","&amp;TRIM(TEXTSPLIT(AU72,","))&amp;",",","&amp;SUBSTITUTE(input_audience," ","")&amp;",")))=0)),IF(AW72="",TRUE,IF(input_audience="",FALSE,SUMPRODUCT(--ISNUMBER(SEARCH(","&amp;TRIM(TEXTSPLIT(AW72,","))&amp;",",","&amp;SUBSTITUTE(input_audience," ","")&amp;",")))&gt;0)),IF(AY72="",TRUE,IF(input_audience="",FALSE,SUMPRODUCT(--ISNUMBER(SEARCH(","&amp;TRIM(TEXTSPLIT(AY72,","))&amp;",",","&amp;SUBSTITUTE(input_audience," ","")&amp;",")))=COUNTA(TEXTSPLIT(AY72,",")))))</f>
        <v/>
      </c>
      <c r="IX72">
        <f>AND(IF(BA72="",TRUE,IF(input_challenge_opportunities="",FALSE,SUMPRODUCT(--ISNUMBER(SEARCH(","&amp;TRIM(TEXTSPLIT(BA72,","))&amp;",",","&amp;SUBSTITUTE(input_challenge_opportunities," ","")&amp;",")))&gt;0)),IF(BC72="",TRUE,IF(input_challenge_opportunities="",FALSE,SUMPRODUCT(--ISNUMBER(SEARCH(","&amp;TRIM(TEXTSPLIT(BC72,","))&amp;",",","&amp;SUBSTITUTE(input_challenge_opportunities," ","")&amp;",")))=COUNTA(TEXTSPLIT(BC72,",")))),IF(BE72="",TRUE,IF(input_challenge_opportunities="",TRUE,SUMPRODUCT(--ISNUMBER(SEARCH(","&amp;TRIM(TEXTSPLIT(BE72,","))&amp;",",","&amp;SUBSTITUTE(input_challenge_opportunities," ","")&amp;",")))=0)),IF(BG72="",TRUE,IF(input_challenge_opportunities="",FALSE,SUMPRODUCT(--ISNUMBER(SEARCH(","&amp;TRIM(TEXTSPLIT(BG72,","))&amp;",",","&amp;SUBSTITUTE(input_challenge_opportunities," ","")&amp;",")))&gt;0)),IF(BI72="",TRUE,IF(input_challenge_opportunities="",FALSE,SUMPRODUCT(--ISNUMBER(SEARCH(","&amp;TRIM(TEXTSPLIT(BI72,","))&amp;",",","&amp;SUBSTITUTE(input_challenge_opportunities," ","")&amp;",")))=COUNTA(TEXTSPLIT(BI72,",")))))</f>
        <v/>
      </c>
      <c r="IY72">
        <f>AND(IF(BK72="",TRUE,IF(input_context="",FALSE,SUMPRODUCT(--ISNUMBER(SEARCH(","&amp;TRIM(TEXTSPLIT(BK72,","))&amp;",",","&amp;SUBSTITUTE(input_context," ","")&amp;",")))&gt;0)),IF(BM72="",TRUE,IF(input_context="",FALSE,SUMPRODUCT(--ISNUMBER(SEARCH(","&amp;TRIM(TEXTSPLIT(BM72,","))&amp;",",","&amp;SUBSTITUTE(input_context," ","")&amp;",")))=COUNTA(TEXTSPLIT(BM72,",")))),IF(BO72="",TRUE,IF(input_context="",TRUE,SUMPRODUCT(--ISNUMBER(SEARCH(","&amp;TRIM(TEXTSPLIT(BO72,","))&amp;",",","&amp;SUBSTITUTE(input_context," ","")&amp;",")))=0)),IF(BQ72="",TRUE,IF(input_context="",FALSE,SUMPRODUCT(--ISNUMBER(SEARCH(","&amp;TRIM(TEXTSPLIT(BQ72,","))&amp;",",","&amp;SUBSTITUTE(input_context," ","")&amp;",")))&gt;0)),IF(BS72="",TRUE,IF(input_context="",FALSE,SUMPRODUCT(--ISNUMBER(SEARCH(","&amp;TRIM(TEXTSPLIT(BS72,","))&amp;",",","&amp;SUBSTITUTE(input_context," ","")&amp;",")))=COUNTA(TEXTSPLIT(BS72,",")))))</f>
        <v/>
      </c>
      <c r="IZ72">
        <f>AND(IF(BU72="",TRUE,IF(input_enews_announcement_type="",FALSE,SUMPRODUCT(--ISNUMBER(SEARCH(","&amp;TRIM(TEXTSPLIT(BU72,","))&amp;",",","&amp;SUBSTITUTE(input_enews_announcement_type," ","")&amp;",")))&gt;0)),IF(BW72="",TRUE,IF(input_enews_announcement_type="",FALSE,SUMPRODUCT(--ISNUMBER(SEARCH(","&amp;TRIM(TEXTSPLIT(BW72,","))&amp;",",","&amp;SUBSTITUTE(input_enews_announcement_type," ","")&amp;",")))=COUNTA(TEXTSPLIT(BW72,",")))),IF(BY72="",TRUE,IF(input_enews_announcement_type="",TRUE,SUMPRODUCT(--ISNUMBER(SEARCH(","&amp;TRIM(TEXTSPLIT(BY72,","))&amp;",",","&amp;SUBSTITUTE(input_enews_announcement_type," ","")&amp;",")))=0)),IF(CA72="",TRUE,IF(input_enews_announcement_type="",FALSE,SUMPRODUCT(--ISNUMBER(SEARCH(","&amp;TRIM(TEXTSPLIT(CA72,","))&amp;",",","&amp;SUBSTITUTE(input_enews_announcement_type," ","")&amp;",")))&gt;0)),IF(CC72="",TRUE,IF(input_enews_announcement_type="",FALSE,SUMPRODUCT(--ISNUMBER(SEARCH(","&amp;TRIM(TEXTSPLIT(CC72,","))&amp;",",","&amp;SUBSTITUTE(input_enews_announcement_type," ","")&amp;",")))=COUNTA(TEXTSPLIT(CC72,",")))))</f>
        <v/>
      </c>
      <c r="JA72">
        <f>AND(IF(CE72="",TRUE,IF(input_enews_audience="",FALSE,SUMPRODUCT(--ISNUMBER(SEARCH(","&amp;TRIM(TEXTSPLIT(CE72,","))&amp;",",","&amp;SUBSTITUTE(input_enews_audience," ","")&amp;",")))&gt;0)),IF(CG72="",TRUE,IF(input_enews_audience="",FALSE,SUMPRODUCT(--ISNUMBER(SEARCH(","&amp;TRIM(TEXTSPLIT(CG72,","))&amp;",",","&amp;SUBSTITUTE(input_enews_audience," ","")&amp;",")))=COUNTA(TEXTSPLIT(CG72,",")))),IF(CI72="",TRUE,IF(input_enews_audience="",TRUE,SUMPRODUCT(--ISNUMBER(SEARCH(","&amp;TRIM(TEXTSPLIT(CI72,","))&amp;",",","&amp;SUBSTITUTE(input_enews_audience," ","")&amp;",")))=0)),IF(CK72="",TRUE,IF(input_enews_audience="",FALSE,SUMPRODUCT(--ISNUMBER(SEARCH(","&amp;TRIM(TEXTSPLIT(CK72,","))&amp;",",","&amp;SUBSTITUTE(input_enews_audience," ","")&amp;",")))&gt;0)),IF(CM72="",TRUE,IF(input_enews_audience="",FALSE,SUMPRODUCT(--ISNUMBER(SEARCH(","&amp;TRIM(TEXTSPLIT(CM72,","))&amp;",",","&amp;SUBSTITUTE(input_enews_audience," ","")&amp;",")))=COUNTA(TEXTSPLIT(CM72,",")))))</f>
        <v/>
      </c>
      <c r="JB72">
        <f>AND(IF(CO72="",TRUE,IF(input_event_location="",FALSE,SUMPRODUCT(--ISNUMBER(SEARCH(","&amp;TRIM(TEXTSPLIT(CO72,","))&amp;",",","&amp;SUBSTITUTE(input_event_location," ","")&amp;",")))&gt;0)),IF(CQ72="",TRUE,IF(input_event_location="",FALSE,SUMPRODUCT(--ISNUMBER(SEARCH(","&amp;TRIM(TEXTSPLIT(CQ72,","))&amp;",",","&amp;SUBSTITUTE(input_event_location," ","")&amp;",")))=COUNTA(TEXTSPLIT(CQ72,",")))),IF(CS72="",TRUE,IF(input_event_location="",TRUE,SUMPRODUCT(--ISNUMBER(SEARCH(","&amp;TRIM(TEXTSPLIT(CS72,","))&amp;",",","&amp;SUBSTITUTE(input_event_location," ","")&amp;",")))=0)),IF(CU72="",TRUE,IF(input_event_location="",FALSE,SUMPRODUCT(--ISNUMBER(SEARCH(","&amp;TRIM(TEXTSPLIT(CU72,","))&amp;",",","&amp;SUBSTITUTE(input_event_location," ","")&amp;",")))&gt;0)),IF(CW72="",TRUE,IF(input_event_location="",FALSE,SUMPRODUCT(--ISNUMBER(SEARCH(","&amp;TRIM(TEXTSPLIT(CW72,","))&amp;",",","&amp;SUBSTITUTE(input_event_location," ","")&amp;",")))=COUNTA(TEXTSPLIT(CW72,",")))))</f>
        <v/>
      </c>
      <c r="JC72">
        <f>AND(IF(CY72="",TRUE,IF(input_event_type="",FALSE,SUMPRODUCT(--ISNUMBER(SEARCH(","&amp;TRIM(TEXTSPLIT(CY72,","))&amp;",",","&amp;SUBSTITUTE(input_event_type," ","")&amp;",")))&gt;0)),IF(DA72="",TRUE,IF(input_event_type="",FALSE,SUMPRODUCT(--ISNUMBER(SEARCH(","&amp;TRIM(TEXTSPLIT(DA72,","))&amp;",",","&amp;SUBSTITUTE(input_event_type," ","")&amp;",")))=COUNTA(TEXTSPLIT(DA72,",")))),IF(DC72="",TRUE,IF(input_event_type="",TRUE,SUMPRODUCT(--ISNUMBER(SEARCH(","&amp;TRIM(TEXTSPLIT(DC72,","))&amp;",",","&amp;SUBSTITUTE(input_event_type," ","")&amp;",")))=0)),IF(DE72="",TRUE,IF(input_event_type="",FALSE,SUMPRODUCT(--ISNUMBER(SEARCH(","&amp;TRIM(TEXTSPLIT(DE72,","))&amp;",",","&amp;SUBSTITUTE(input_event_type," ","")&amp;",")))&gt;0)),IF(DG72="",TRUE,IF(input_event_type="",FALSE,SUMPRODUCT(--ISNUMBER(SEARCH(","&amp;TRIM(TEXTSPLIT(DG72,","))&amp;",",","&amp;SUBSTITUTE(input_event_type," ","")&amp;",")))=COUNTA(TEXTSPLIT(DG72,",")))))</f>
        <v/>
      </c>
      <c r="JD72">
        <f>AND(IF(DI72="",TRUE,IF(input_executive_education_focus="",FALSE,SUMPRODUCT(--ISNUMBER(SEARCH(","&amp;TRIM(TEXTSPLIT(DI72,","))&amp;",",","&amp;SUBSTITUTE(input_executive_education_focus," ","")&amp;",")))&gt;0)),IF(DK72="",TRUE,IF(input_executive_education_focus="",FALSE,SUMPRODUCT(--ISNUMBER(SEARCH(","&amp;TRIM(TEXTSPLIT(DK72,","))&amp;",",","&amp;SUBSTITUTE(input_executive_education_focus," ","")&amp;",")))=COUNTA(TEXTSPLIT(DK72,",")))),IF(DM72="",TRUE,IF(input_executive_education_focus="",TRUE,SUMPRODUCT(--ISNUMBER(SEARCH(","&amp;TRIM(TEXTSPLIT(DM72,","))&amp;",",","&amp;SUBSTITUTE(input_executive_education_focus," ","")&amp;",")))=0)),IF(DO72="",TRUE,IF(input_executive_education_focus="",FALSE,SUMPRODUCT(--ISNUMBER(SEARCH(","&amp;TRIM(TEXTSPLIT(DO72,","))&amp;",",","&amp;SUBSTITUTE(input_executive_education_focus," ","")&amp;",")))&gt;0)),IF(DQ72="",TRUE,IF(input_executive_education_focus="",FALSE,SUMPRODUCT(--ISNUMBER(SEARCH(","&amp;TRIM(TEXTSPLIT(DQ72,","))&amp;",",","&amp;SUBSTITUTE(input_executive_education_focus," ","")&amp;",")))=COUNTA(TEXTSPLIT(DQ72,",")))))</f>
        <v/>
      </c>
      <c r="JE72">
        <f>AND(IF(DS72="",TRUE,IF(input_faculty_category="",FALSE,SUMPRODUCT(--ISNUMBER(SEARCH(","&amp;TRIM(TEXTSPLIT(DS72,","))&amp;",",","&amp;SUBSTITUTE(input_faculty_category," ","")&amp;",")))&gt;0)),IF(DU72="",TRUE,IF(input_faculty_category="",FALSE,SUMPRODUCT(--ISNUMBER(SEARCH(","&amp;TRIM(TEXTSPLIT(DU72,","))&amp;",",","&amp;SUBSTITUTE(input_faculty_category," ","")&amp;",")))=COUNTA(TEXTSPLIT(DU72,",")))),IF(DW72="",TRUE,IF(input_faculty_category="",TRUE,SUMPRODUCT(--ISNUMBER(SEARCH(","&amp;TRIM(TEXTSPLIT(DW72,","))&amp;",",","&amp;SUBSTITUTE(input_faculty_category," ","")&amp;",")))=0)),IF(DY72="",TRUE,IF(input_faculty_category="",FALSE,SUMPRODUCT(--ISNUMBER(SEARCH(","&amp;TRIM(TEXTSPLIT(DY72,","))&amp;",",","&amp;SUBSTITUTE(input_faculty_category," ","")&amp;",")))&gt;0)),IF(EA72="",TRUE,IF(input_faculty_category="",FALSE,SUMPRODUCT(--ISNUMBER(SEARCH(","&amp;TRIM(TEXTSPLIT(EA72,","))&amp;",",","&amp;SUBSTITUTE(input_faculty_category," ","")&amp;",")))=COUNTA(TEXTSPLIT(EA72,",")))))</f>
        <v/>
      </c>
      <c r="JF72">
        <f>AND(IF(EC72="",TRUE,IF(input_faculty_discipline="",FALSE,SUMPRODUCT(--ISNUMBER(SEARCH(","&amp;TRIM(TEXTSPLIT(EC72,","))&amp;",",","&amp;SUBSTITUTE(input_faculty_discipline," ","")&amp;",")))&gt;0)),IF(EE72="",TRUE,IF(input_faculty_discipline="",FALSE,SUMPRODUCT(--ISNUMBER(SEARCH(","&amp;TRIM(TEXTSPLIT(EE72,","))&amp;",",","&amp;SUBSTITUTE(input_faculty_discipline," ","")&amp;",")))=COUNTA(TEXTSPLIT(EE72,",")))),IF(EG72="",TRUE,IF(input_faculty_discipline="",TRUE,SUMPRODUCT(--ISNUMBER(SEARCH(","&amp;TRIM(TEXTSPLIT(EG72,","))&amp;",",","&amp;SUBSTITUTE(input_faculty_discipline," ","")&amp;",")))=0)),IF(EI72="",TRUE,IF(input_faculty_discipline="",FALSE,SUMPRODUCT(--ISNUMBER(SEARCH(","&amp;TRIM(TEXTSPLIT(EI72,","))&amp;",",","&amp;SUBSTITUTE(input_faculty_discipline," ","")&amp;",")))&gt;0)),IF(EK72="",TRUE,IF(input_faculty_discipline="",FALSE,SUMPRODUCT(--ISNUMBER(SEARCH(","&amp;TRIM(TEXTSPLIT(EK72,","))&amp;",",","&amp;SUBSTITUTE(input_faculty_discipline," ","")&amp;",")))=COUNTA(TEXTSPLIT(EK72,",")))))</f>
        <v/>
      </c>
      <c r="JG72">
        <f>AND(IF(EM72="",TRUE,IF(input_faculty_expertise="",FALSE,SUMPRODUCT(--ISNUMBER(SEARCH(","&amp;TRIM(TEXTSPLIT(EM72,","))&amp;",",","&amp;SUBSTITUTE(input_faculty_expertise," ","")&amp;",")))&gt;0)),IF(EO72="",TRUE,IF(input_faculty_expertise="",FALSE,SUMPRODUCT(--ISNUMBER(SEARCH(","&amp;TRIM(TEXTSPLIT(EO72,","))&amp;",",","&amp;SUBSTITUTE(input_faculty_expertise," ","")&amp;",")))=COUNTA(TEXTSPLIT(EO72,",")))),IF(EQ72="",TRUE,IF(input_faculty_expertise="",TRUE,SUMPRODUCT(--ISNUMBER(SEARCH(","&amp;TRIM(TEXTSPLIT(EQ72,","))&amp;",",","&amp;SUBSTITUTE(input_faculty_expertise," ","")&amp;",")))=0)),IF(ES72="",TRUE,IF(input_faculty_expertise="",FALSE,SUMPRODUCT(--ISNUMBER(SEARCH(","&amp;TRIM(TEXTSPLIT(ES72,","))&amp;",",","&amp;SUBSTITUTE(input_faculty_expertise," ","")&amp;",")))&gt;0)),IF(EU72="",TRUE,IF(input_faculty_expertise="",FALSE,SUMPRODUCT(--ISNUMBER(SEARCH(","&amp;TRIM(TEXTSPLIT(EU72,","))&amp;",",","&amp;SUBSTITUTE(input_faculty_expertise," ","")&amp;",")))=COUNTA(TEXTSPLIT(EU72,",")))))</f>
        <v/>
      </c>
      <c r="JH72">
        <f>AND(IF(EW72="",TRUE,IF(input_global_network_school="",FALSE,SUMPRODUCT(--ISNUMBER(SEARCH(","&amp;TRIM(TEXTSPLIT(EW72,","))&amp;",",","&amp;SUBSTITUTE(input_global_network_school," ","")&amp;",")))&gt;0)),IF(EY72="",TRUE,IF(input_global_network_school="",FALSE,SUMPRODUCT(--ISNUMBER(SEARCH(","&amp;TRIM(TEXTSPLIT(EY72,","))&amp;",",","&amp;SUBSTITUTE(input_global_network_school," ","")&amp;",")))=COUNTA(TEXTSPLIT(EY72,",")))),IF(FA72="",TRUE,IF(input_global_network_school="",TRUE,SUMPRODUCT(--ISNUMBER(SEARCH(","&amp;TRIM(TEXTSPLIT(FA72,","))&amp;",",","&amp;SUBSTITUTE(input_global_network_school," ","")&amp;",")))=0)),IF(FC72="",TRUE,IF(input_global_network_school="",FALSE,SUMPRODUCT(--ISNUMBER(SEARCH(","&amp;TRIM(TEXTSPLIT(FC72,","))&amp;",",","&amp;SUBSTITUTE(input_global_network_school," ","")&amp;",")))&gt;0)),IF(FE72="",TRUE,IF(input_global_network_school="",FALSE,SUMPRODUCT(--ISNUMBER(SEARCH(","&amp;TRIM(TEXTSPLIT(FE72,","))&amp;",",","&amp;SUBSTITUTE(input_global_network_school," ","")&amp;",")))=COUNTA(TEXTSPLIT(FE72,",")))))</f>
        <v/>
      </c>
      <c r="JI72">
        <f>AND(IF(FG72="",TRUE,IF(input_industry="",FALSE,SUMPRODUCT(--ISNUMBER(SEARCH(","&amp;TRIM(TEXTSPLIT(FG72,","))&amp;",",","&amp;SUBSTITUTE(input_industry," ","")&amp;",")))&gt;0)),IF(FI72="",TRUE,IF(input_industry="",FALSE,SUMPRODUCT(--ISNUMBER(SEARCH(","&amp;TRIM(TEXTSPLIT(FI72,","))&amp;",",","&amp;SUBSTITUTE(input_industry," ","")&amp;",")))=COUNTA(TEXTSPLIT(FI72,",")))),IF(FK72="",TRUE,IF(input_industry="",TRUE,SUMPRODUCT(--ISNUMBER(SEARCH(","&amp;TRIM(TEXTSPLIT(FK72,","))&amp;",",","&amp;SUBSTITUTE(input_industry," ","")&amp;",")))=0)),IF(FM72="",TRUE,IF(input_industry="",FALSE,SUMPRODUCT(--ISNUMBER(SEARCH(","&amp;TRIM(TEXTSPLIT(FM72,","))&amp;",",","&amp;SUBSTITUTE(input_industry," ","")&amp;",")))&gt;0)),IF(FO72="",TRUE,IF(input_industry="",FALSE,SUMPRODUCT(--ISNUMBER(SEARCH(","&amp;TRIM(TEXTSPLIT(FO72,","))&amp;",",","&amp;SUBSTITUTE(input_industry," ","")&amp;",")))=COUNTA(TEXTSPLIT(FO72,",")))))</f>
        <v/>
      </c>
      <c r="JJ72">
        <f>AND(IF(FQ72="",TRUE,IF(input_location="",FALSE,SUMPRODUCT(--ISNUMBER(SEARCH(","&amp;TRIM(TEXTSPLIT(FQ72,","))&amp;",",","&amp;SUBSTITUTE(input_location," ","")&amp;",")))&gt;0)),IF(FS72="",TRUE,IF(input_location="",FALSE,SUMPRODUCT(--ISNUMBER(SEARCH(","&amp;TRIM(TEXTSPLIT(FS72,","))&amp;",",","&amp;SUBSTITUTE(input_location," ","")&amp;",")))=COUNTA(TEXTSPLIT(FS72,",")))),IF(FU72="",TRUE,IF(input_location="",TRUE,SUMPRODUCT(--ISNUMBER(SEARCH(","&amp;TRIM(TEXTSPLIT(FU72,","))&amp;",",","&amp;SUBSTITUTE(input_location," ","")&amp;",")))=0)),IF(FW72="",TRUE,IF(input_location="",FALSE,SUMPRODUCT(--ISNUMBER(SEARCH(","&amp;TRIM(TEXTSPLIT(FW72,","))&amp;",",","&amp;SUBSTITUTE(input_location," ","")&amp;",")))&gt;0)),IF(FY72="",TRUE,IF(input_location="",FALSE,SUMPRODUCT(--ISNUMBER(SEARCH(","&amp;TRIM(TEXTSPLIT(FY72,","))&amp;",",","&amp;SUBSTITUTE(input_location," ","")&amp;",")))=COUNTA(TEXTSPLIT(FY72,",")))))</f>
        <v/>
      </c>
      <c r="JK72">
        <f>AND(IF(GA72="",TRUE,IF(input_modality="",FALSE,SUMPRODUCT(--ISNUMBER(SEARCH(","&amp;TRIM(TEXTSPLIT(GA72,","))&amp;",",","&amp;SUBSTITUTE(input_modality," ","")&amp;",")))&gt;0)),IF(GC72="",TRUE,IF(input_modality="",FALSE,SUMPRODUCT(--ISNUMBER(SEARCH(","&amp;TRIM(TEXTSPLIT(GC72,","))&amp;",",","&amp;SUBSTITUTE(input_modality," ","")&amp;",")))=COUNTA(TEXTSPLIT(GC72,",")))),IF(GE72="",TRUE,IF(input_modality="",TRUE,SUMPRODUCT(--ISNUMBER(SEARCH(","&amp;TRIM(TEXTSPLIT(GE72,","))&amp;",",","&amp;SUBSTITUTE(input_modality," ","")&amp;",")))=0)),IF(GG72="",TRUE,IF(input_modality="",FALSE,SUMPRODUCT(--ISNUMBER(SEARCH(","&amp;TRIM(TEXTSPLIT(GG72,","))&amp;",",","&amp;SUBSTITUTE(input_modality," ","")&amp;",")))&gt;0)),IF(GI72="",TRUE,IF(input_modality="",FALSE,SUMPRODUCT(--ISNUMBER(SEARCH(","&amp;TRIM(TEXTSPLIT(GI72,","))&amp;",",","&amp;SUBSTITUTE(input_modality," ","")&amp;",")))=COUNTA(TEXTSPLIT(GI72,",")))))</f>
        <v/>
      </c>
      <c r="JL72">
        <f>AND(IF(GK72="",TRUE,IF(input_organizer="",FALSE,SUMPRODUCT(--ISNUMBER(SEARCH(","&amp;TRIM(TEXTSPLIT(GK72,","))&amp;",",","&amp;SUBSTITUTE(input_organizer," ","")&amp;",")))&gt;0)),IF(GM72="",TRUE,IF(input_organizer="",FALSE,SUMPRODUCT(--ISNUMBER(SEARCH(","&amp;TRIM(TEXTSPLIT(GM72,","))&amp;",",","&amp;SUBSTITUTE(input_organizer," ","")&amp;",")))=COUNTA(TEXTSPLIT(GM72,",")))),IF(GO72="",TRUE,IF(input_organizer="",TRUE,SUMPRODUCT(--ISNUMBER(SEARCH(","&amp;TRIM(TEXTSPLIT(GO72,","))&amp;",",","&amp;SUBSTITUTE(input_organizer," ","")&amp;",")))=0)),IF(GQ72="",TRUE,IF(input_organizer="",FALSE,SUMPRODUCT(--ISNUMBER(SEARCH(","&amp;TRIM(TEXTSPLIT(GQ72,","))&amp;",",","&amp;SUBSTITUTE(input_organizer," ","")&amp;",")))&gt;0)),IF(GS72="",TRUE,IF(input_organizer="",FALSE,SUMPRODUCT(--ISNUMBER(SEARCH(","&amp;TRIM(TEXTSPLIT(GS72,","))&amp;",",","&amp;SUBSTITUTE(input_organizer," ","")&amp;",")))=COUNTA(TEXTSPLIT(GS72,",")))))</f>
        <v/>
      </c>
      <c r="JM72">
        <f>AND(IF(GU72="",TRUE,IF(input_profile_type="",FALSE,SUMPRODUCT(--ISNUMBER(SEARCH(","&amp;TRIM(TEXTSPLIT(GU72,","))&amp;",",","&amp;SUBSTITUTE(input_profile_type," ","")&amp;",")))&gt;0)),IF(GW72="",TRUE,IF(input_profile_type="",FALSE,SUMPRODUCT(--ISNUMBER(SEARCH(","&amp;TRIM(TEXTSPLIT(GW72,","))&amp;",",","&amp;SUBSTITUTE(input_profile_type," ","")&amp;",")))=COUNTA(TEXTSPLIT(GW72,",")))),IF(GY72="",TRUE,IF(input_profile_type="",TRUE,SUMPRODUCT(--ISNUMBER(SEARCH(","&amp;TRIM(TEXTSPLIT(GY72,","))&amp;",",","&amp;SUBSTITUTE(input_profile_type," ","")&amp;",")))=0)),IF(HA72="",TRUE,IF(input_profile_type="",FALSE,SUMPRODUCT(--ISNUMBER(SEARCH(","&amp;TRIM(TEXTSPLIT(HA72,","))&amp;",",","&amp;SUBSTITUTE(input_profile_type," ","")&amp;",")))&gt;0)),IF(HC72="",TRUE,IF(input_profile_type="",FALSE,SUMPRODUCT(--ISNUMBER(SEARCH(","&amp;TRIM(TEXTSPLIT(HC72,","))&amp;",",","&amp;SUBSTITUTE(input_profile_type," ","")&amp;",")))=COUNTA(TEXTSPLIT(HC72,",")))))</f>
        <v/>
      </c>
      <c r="JN72">
        <f>AND(IF(HE72="",TRUE,IF(input_program="",FALSE,SUMPRODUCT(--ISNUMBER(SEARCH(","&amp;TRIM(TEXTSPLIT(HE72,","))&amp;",",","&amp;SUBSTITUTE(input_program," ","")&amp;",")))&gt;0)),IF(HG72="",TRUE,IF(input_program="",FALSE,SUMPRODUCT(--ISNUMBER(SEARCH(","&amp;TRIM(TEXTSPLIT(HG72,","))&amp;",",","&amp;SUBSTITUTE(input_program," ","")&amp;",")))=COUNTA(TEXTSPLIT(HG72,",")))),IF(HI72="",TRUE,IF(input_program="",TRUE,SUMPRODUCT(--ISNUMBER(SEARCH(","&amp;TRIM(TEXTSPLIT(HI72,","))&amp;",",","&amp;SUBSTITUTE(input_program," ","")&amp;",")))=0)),IF(HK72="",TRUE,IF(input_program="",FALSE,SUMPRODUCT(--ISNUMBER(SEARCH(","&amp;TRIM(TEXTSPLIT(HK72,","))&amp;",",","&amp;SUBSTITUTE(input_program," ","")&amp;",")))&gt;0)),IF(HM72="",TRUE,IF(input_program="",FALSE,SUMPRODUCT(--ISNUMBER(SEARCH(","&amp;TRIM(TEXTSPLIT(HM72,","))&amp;",",","&amp;SUBSTITUTE(input_program," ","")&amp;",")))=COUNTA(TEXTSPLIT(HM72,",")))))</f>
        <v/>
      </c>
      <c r="JO72">
        <f>AND(IF(HO72="",TRUE,IF(input_story_categories="",FALSE,SUMPRODUCT(--ISNUMBER(SEARCH(","&amp;TRIM(TEXTSPLIT(HO72,","))&amp;",",","&amp;SUBSTITUTE(input_story_categories," ","")&amp;",")))&gt;0)),IF(HQ72="",TRUE,IF(input_story_categories="",FALSE,SUMPRODUCT(--ISNUMBER(SEARCH(","&amp;TRIM(TEXTSPLIT(HQ72,","))&amp;",",","&amp;SUBSTITUTE(input_story_categories," ","")&amp;",")))=COUNTA(TEXTSPLIT(HQ72,",")))),IF(HS72="",TRUE,IF(input_story_categories="",TRUE,SUMPRODUCT(--ISNUMBER(SEARCH(","&amp;TRIM(TEXTSPLIT(HS72,","))&amp;",",","&amp;SUBSTITUTE(input_story_categories," ","")&amp;",")))=0)),IF(HU72="",TRUE,IF(input_story_categories="",FALSE,SUMPRODUCT(--ISNUMBER(SEARCH(","&amp;TRIM(TEXTSPLIT(HU72,","))&amp;",",","&amp;SUBSTITUTE(input_story_categories," ","")&amp;",")))&gt;0)),IF(HW72="",TRUE,IF(input_story_categories="",FALSE,SUMPRODUCT(--ISNUMBER(SEARCH(","&amp;TRIM(TEXTSPLIT(HW72,","))&amp;",",","&amp;SUBSTITUTE(input_story_categories," ","")&amp;",")))=COUNTA(TEXTSPLIT(HW72,",")))))</f>
        <v/>
      </c>
      <c r="JP72">
        <f>AND(IF(HY72="",TRUE,IF(input_story_type="",FALSE,SUMPRODUCT(--ISNUMBER(SEARCH(","&amp;TRIM(TEXTSPLIT(HY72,","))&amp;",",","&amp;SUBSTITUTE(input_story_type," ","")&amp;",")))&gt;0)),IF(IA72="",TRUE,IF(input_story_type="",FALSE,SUMPRODUCT(--ISNUMBER(SEARCH(","&amp;TRIM(TEXTSPLIT(IA72,","))&amp;",",","&amp;SUBSTITUTE(input_story_type," ","")&amp;",")))=COUNTA(TEXTSPLIT(IA72,",")))),IF(IC72="",TRUE,IF(input_story_type="",TRUE,SUMPRODUCT(--ISNUMBER(SEARCH(","&amp;TRIM(TEXTSPLIT(IC72,","))&amp;",",","&amp;SUBSTITUTE(input_story_type," ","")&amp;",")))=0)),IF(IE72="",TRUE,IF(input_story_type="",FALSE,SUMPRODUCT(--ISNUMBER(SEARCH(","&amp;TRIM(TEXTSPLIT(IE72,","))&amp;",",","&amp;SUBSTITUTE(input_story_type," ","")&amp;",")))&gt;0)),IF(IG72="",TRUE,IF(input_story_type="",FALSE,SUMPRODUCT(--ISNUMBER(SEARCH(","&amp;TRIM(TEXTSPLIT(IG72,","))&amp;",",","&amp;SUBSTITUTE(input_story_type," ","")&amp;",")))=COUNTA(TEXTSPLIT(IG72,",")))))</f>
        <v/>
      </c>
      <c r="JQ72">
        <f>AND(IF(II72="",TRUE,IF(input_topics="",FALSE,SUMPRODUCT(--ISNUMBER(SEARCH(","&amp;TRIM(TEXTSPLIT(II72,","))&amp;",",","&amp;SUBSTITUTE(input_topics," ","")&amp;",")))&gt;0)),IF(IK72="",TRUE,IF(input_topics="",FALSE,SUMPRODUCT(--ISNUMBER(SEARCH(","&amp;TRIM(TEXTSPLIT(IK72,","))&amp;",",","&amp;SUBSTITUTE(input_topics," ","")&amp;",")))=COUNTA(TEXTSPLIT(IK72,",")))),IF(IM72="",TRUE,IF(input_topics="",TRUE,SUMPRODUCT(--ISNUMBER(SEARCH(","&amp;TRIM(TEXTSPLIT(IM72,","))&amp;",",","&amp;SUBSTITUTE(input_topics," ","")&amp;",")))=0)),IF(IO72="",TRUE,IF(input_topics="",FALSE,SUMPRODUCT(--ISNUMBER(SEARCH(","&amp;TRIM(TEXTSPLIT(IO72,","))&amp;",",","&amp;SUBSTITUTE(input_topics," ","")&amp;",")))&gt;0)),IF(IQ72="",TRUE,IF(input_topics="",FALSE,SUMPRODUCT(--ISNUMBER(SEARCH(","&amp;TRIM(TEXTSPLIT(IQ72,","))&amp;",",","&amp;SUBSTITUTE(input_topics," ","")&amp;",")))=COUNTA(TEXTSPLIT(IQ72,",")))))</f>
        <v/>
      </c>
    </row>
    <row r="73">
      <c r="A73" s="4">
        <f>IF(NOT(IS73),"Excluded",IF(AND(IT73,IU73,IV73,IW73,IX73,IY73,IZ73,JA73,JB73,JC73,JD73,JE73,JF73,JG73,JH73,JI73,JJ73,JK73,JL73,JM73,JN73,JO73,JP73,JQ73),IF(I73&gt;0,"Eligible but limited","Will appear"),"Excluded"))</f>
        <v/>
      </c>
      <c r="B73" s="4" t="inlineStr">
        <is>
          <t>Asset Management Student Profiles</t>
        </is>
      </c>
      <c r="C73" s="4" t="inlineStr">
        <is>
          <t>/programs/mms-asset-management/asset-management-student-profiles</t>
        </is>
      </c>
      <c r="D73" s="4" t="inlineStr">
        <is>
          <t>/programs/mms-asset-management/asset-management-student-profiles</t>
        </is>
      </c>
      <c r="E73" s="4" t="n">
        <v>1</v>
      </c>
      <c r="F73" s="4" t="inlineStr">
        <is>
          <t>profile</t>
        </is>
      </c>
      <c r="G73" s="4" t="inlineStr">
        <is>
          <t>profiles_grid</t>
        </is>
      </c>
      <c r="H73" s="4" t="inlineStr">
        <is>
          <t>embed_6</t>
        </is>
      </c>
      <c r="I73" s="4" t="n">
        <v>9</v>
      </c>
      <c r="J73" s="4" t="inlineStr">
        <is>
          <t>Explicit args</t>
        </is>
      </c>
      <c r="K73" s="4" t="inlineStr">
        <is>
          <t>Page placement</t>
        </is>
      </c>
      <c r="L73" s="4" t="inlineStr">
        <is>
          <t>Content type: profile; Excludes Profile Type: Ambassador (1552); Context uses Program: Master’s in Asset Management (82); Limited to 9 item(s); Source: Explicit args</t>
        </is>
      </c>
      <c r="M73" t="inlineStr"/>
      <c r="N73" t="inlineStr"/>
      <c r="O73" t="inlineStr"/>
      <c r="P73" t="inlineStr"/>
      <c r="Q73" t="inlineStr"/>
      <c r="R73" t="inlineStr"/>
      <c r="S73" t="inlineStr"/>
      <c r="T73" t="inlineStr"/>
      <c r="U73" t="inlineStr"/>
      <c r="V73" t="inlineStr"/>
      <c r="W73" t="inlineStr"/>
      <c r="X73" t="inlineStr"/>
      <c r="Y73" t="inlineStr"/>
      <c r="Z73" t="inlineStr"/>
      <c r="AA73" t="inlineStr"/>
      <c r="AB73" t="inlineStr"/>
      <c r="AC73" t="inlineStr"/>
      <c r="AD73" t="inlineStr"/>
      <c r="AE73" t="inlineStr"/>
      <c r="AF73" t="inlineStr"/>
      <c r="AG73" t="inlineStr"/>
      <c r="AH73" t="inlineStr"/>
      <c r="AI73" t="inlineStr"/>
      <c r="AJ73" t="inlineStr"/>
      <c r="AK73" t="inlineStr"/>
      <c r="AL73" t="inlineStr"/>
      <c r="AM73" t="inlineStr"/>
      <c r="AN73" t="inlineStr"/>
      <c r="AO73" t="inlineStr"/>
      <c r="AP73" t="inlineStr"/>
      <c r="AQ73" t="inlineStr"/>
      <c r="AR73" t="inlineStr"/>
      <c r="AS73" t="inlineStr"/>
      <c r="AT73" t="inlineStr"/>
      <c r="AU73" t="inlineStr"/>
      <c r="AV73" t="inlineStr"/>
      <c r="AW73" t="inlineStr"/>
      <c r="AX73" t="inlineStr"/>
      <c r="AY73" t="inlineStr"/>
      <c r="AZ73" t="inlineStr"/>
      <c r="BA73" t="inlineStr"/>
      <c r="BB73" t="inlineStr"/>
      <c r="BC73" t="inlineStr"/>
      <c r="BD73" t="inlineStr"/>
      <c r="BE73" t="inlineStr"/>
      <c r="BF73" t="inlineStr"/>
      <c r="BG73" t="inlineStr"/>
      <c r="BH73" t="inlineStr"/>
      <c r="BI73" t="inlineStr"/>
      <c r="BJ73" t="inlineStr"/>
      <c r="BK73" t="inlineStr"/>
      <c r="BL73" t="inlineStr"/>
      <c r="BM73" t="inlineStr"/>
      <c r="BN73" t="inlineStr"/>
      <c r="BO73" t="inlineStr"/>
      <c r="BP73" t="inlineStr"/>
      <c r="BQ73" t="inlineStr"/>
      <c r="BR73" t="inlineStr"/>
      <c r="BS73" t="inlineStr"/>
      <c r="BT73" t="inlineStr"/>
      <c r="BU73" t="inlineStr"/>
      <c r="BV73" t="inlineStr"/>
      <c r="BW73" t="inlineStr"/>
      <c r="BX73" t="inlineStr"/>
      <c r="BY73" t="inlineStr"/>
      <c r="BZ73" t="inlineStr"/>
      <c r="CA73" t="inlineStr"/>
      <c r="CB73" t="inlineStr"/>
      <c r="CC73" t="inlineStr"/>
      <c r="CD73" t="inlineStr"/>
      <c r="CE73" t="inlineStr"/>
      <c r="CF73" t="inlineStr"/>
      <c r="CG73" t="inlineStr"/>
      <c r="CH73" t="inlineStr"/>
      <c r="CI73" t="inlineStr"/>
      <c r="CJ73" t="inlineStr"/>
      <c r="CK73" t="inlineStr"/>
      <c r="CL73" t="inlineStr"/>
      <c r="CM73" t="inlineStr"/>
      <c r="CN73" t="inlineStr"/>
      <c r="CO73" t="inlineStr"/>
      <c r="CP73" t="inlineStr"/>
      <c r="CQ73" t="inlineStr"/>
      <c r="CR73" t="inlineStr"/>
      <c r="CS73" t="inlineStr"/>
      <c r="CT73" t="inlineStr"/>
      <c r="CU73" t="inlineStr"/>
      <c r="CV73" t="inlineStr"/>
      <c r="CW73" t="inlineStr"/>
      <c r="CX73" t="inlineStr"/>
      <c r="CY73" t="inlineStr"/>
      <c r="CZ73" t="inlineStr"/>
      <c r="DA73" t="inlineStr"/>
      <c r="DB73" t="inlineStr"/>
      <c r="DC73" t="inlineStr"/>
      <c r="DD73" t="inlineStr"/>
      <c r="DE73" t="inlineStr"/>
      <c r="DF73" t="inlineStr"/>
      <c r="DG73" t="inlineStr"/>
      <c r="DH73" t="inlineStr"/>
      <c r="DI73" t="inlineStr"/>
      <c r="DJ73" t="inlineStr"/>
      <c r="DK73" t="inlineStr"/>
      <c r="DL73" t="inlineStr"/>
      <c r="DM73" t="inlineStr"/>
      <c r="DN73" t="inlineStr"/>
      <c r="DO73" t="inlineStr"/>
      <c r="DP73" t="inlineStr"/>
      <c r="DQ73" t="inlineStr"/>
      <c r="DR73" t="inlineStr"/>
      <c r="DS73" t="inlineStr"/>
      <c r="DT73" t="inlineStr"/>
      <c r="DU73" t="inlineStr"/>
      <c r="DV73" t="inlineStr"/>
      <c r="DW73" t="inlineStr"/>
      <c r="DX73" t="inlineStr"/>
      <c r="DY73" t="inlineStr"/>
      <c r="DZ73" t="inlineStr"/>
      <c r="EA73" t="inlineStr"/>
      <c r="EB73" t="inlineStr"/>
      <c r="EC73" t="inlineStr"/>
      <c r="ED73" t="inlineStr"/>
      <c r="EE73" t="inlineStr"/>
      <c r="EF73" t="inlineStr"/>
      <c r="EG73" t="inlineStr"/>
      <c r="EH73" t="inlineStr"/>
      <c r="EI73" t="inlineStr"/>
      <c r="EJ73" t="inlineStr"/>
      <c r="EK73" t="inlineStr"/>
      <c r="EL73" t="inlineStr"/>
      <c r="EM73" t="inlineStr"/>
      <c r="EN73" t="inlineStr"/>
      <c r="EO73" t="inlineStr"/>
      <c r="EP73" t="inlineStr"/>
      <c r="EQ73" t="inlineStr"/>
      <c r="ER73" t="inlineStr"/>
      <c r="ES73" t="inlineStr"/>
      <c r="ET73" t="inlineStr"/>
      <c r="EU73" t="inlineStr"/>
      <c r="EV73" t="inlineStr"/>
      <c r="EW73" t="inlineStr"/>
      <c r="EX73" t="inlineStr"/>
      <c r="EY73" t="inlineStr"/>
      <c r="EZ73" t="inlineStr"/>
      <c r="FA73" t="inlineStr"/>
      <c r="FB73" t="inlineStr"/>
      <c r="FC73" t="inlineStr"/>
      <c r="FD73" t="inlineStr"/>
      <c r="FE73" t="inlineStr"/>
      <c r="FF73" t="inlineStr"/>
      <c r="FG73" t="inlineStr"/>
      <c r="FH73" t="inlineStr"/>
      <c r="FI73" t="inlineStr"/>
      <c r="FJ73" t="inlineStr"/>
      <c r="FK73" t="inlineStr"/>
      <c r="FL73" t="inlineStr"/>
      <c r="FM73" t="inlineStr"/>
      <c r="FN73" t="inlineStr"/>
      <c r="FO73" t="inlineStr"/>
      <c r="FP73" t="inlineStr"/>
      <c r="FQ73" t="inlineStr"/>
      <c r="FR73" t="inlineStr"/>
      <c r="FS73" t="inlineStr"/>
      <c r="FT73" t="inlineStr"/>
      <c r="FU73" t="inlineStr"/>
      <c r="FV73" t="inlineStr"/>
      <c r="FW73" t="inlineStr"/>
      <c r="FX73" t="inlineStr"/>
      <c r="FY73" t="inlineStr"/>
      <c r="FZ73" t="inlineStr"/>
      <c r="GA73" t="inlineStr"/>
      <c r="GB73" t="inlineStr"/>
      <c r="GC73" t="inlineStr"/>
      <c r="GD73" t="inlineStr"/>
      <c r="GE73" t="inlineStr"/>
      <c r="GF73" t="inlineStr"/>
      <c r="GG73" t="inlineStr"/>
      <c r="GH73" t="inlineStr"/>
      <c r="GI73" t="inlineStr"/>
      <c r="GJ73" t="inlineStr"/>
      <c r="GK73" t="inlineStr"/>
      <c r="GL73" t="inlineStr"/>
      <c r="GM73" t="inlineStr"/>
      <c r="GN73" t="inlineStr"/>
      <c r="GO73" t="inlineStr"/>
      <c r="GP73" t="inlineStr"/>
      <c r="GQ73" t="inlineStr"/>
      <c r="GR73" t="inlineStr"/>
      <c r="GS73" t="inlineStr"/>
      <c r="GT73" t="inlineStr"/>
      <c r="GU73" t="inlineStr"/>
      <c r="GV73" t="inlineStr"/>
      <c r="GW73" t="inlineStr"/>
      <c r="GX73" t="inlineStr"/>
      <c r="GY73" t="inlineStr">
        <is>
          <t>1552</t>
        </is>
      </c>
      <c r="GZ73" t="inlineStr">
        <is>
          <t>Ambassador (1552)</t>
        </is>
      </c>
      <c r="HA73" t="inlineStr"/>
      <c r="HB73" t="inlineStr"/>
      <c r="HC73" t="inlineStr"/>
      <c r="HD73" t="inlineStr"/>
      <c r="HE73" t="inlineStr"/>
      <c r="HF73" t="inlineStr"/>
      <c r="HG73" t="inlineStr"/>
      <c r="HH73" t="inlineStr"/>
      <c r="HI73" t="inlineStr"/>
      <c r="HJ73" t="inlineStr"/>
      <c r="HK73" t="inlineStr">
        <is>
          <t>82</t>
        </is>
      </c>
      <c r="HL73" t="inlineStr">
        <is>
          <t>Master’s in Asset Management (82)</t>
        </is>
      </c>
      <c r="HM73" t="inlineStr"/>
      <c r="HN73" t="inlineStr"/>
      <c r="HO73" t="inlineStr"/>
      <c r="HP73" t="inlineStr"/>
      <c r="HQ73" t="inlineStr"/>
      <c r="HR73" t="inlineStr"/>
      <c r="HS73" t="inlineStr"/>
      <c r="HT73" t="inlineStr"/>
      <c r="HU73" t="inlineStr"/>
      <c r="HV73" t="inlineStr"/>
      <c r="HW73" t="inlineStr"/>
      <c r="HX73" t="inlineStr"/>
      <c r="HY73" t="inlineStr"/>
      <c r="HZ73" t="inlineStr"/>
      <c r="IA73" t="inlineStr"/>
      <c r="IB73" t="inlineStr"/>
      <c r="IC73" t="inlineStr"/>
      <c r="ID73" t="inlineStr"/>
      <c r="IE73" t="inlineStr"/>
      <c r="IF73" t="inlineStr"/>
      <c r="IG73" t="inlineStr"/>
      <c r="IH73" t="inlineStr"/>
      <c r="II73" t="inlineStr"/>
      <c r="IJ73" t="inlineStr"/>
      <c r="IK73" t="inlineStr"/>
      <c r="IL73" t="inlineStr"/>
      <c r="IM73" t="inlineStr"/>
      <c r="IN73" t="inlineStr"/>
      <c r="IO73" t="inlineStr"/>
      <c r="IP73" t="inlineStr"/>
      <c r="IQ73" t="inlineStr"/>
      <c r="IR73" t="inlineStr"/>
      <c r="IS73">
        <f>IF(input_content_type="",FALSE,ISNUMBER(SEARCH(","&amp;LOWER(input_content_type)&amp;",",","&amp;LOWER(F73)&amp;",")))</f>
        <v/>
      </c>
      <c r="IT73">
        <f>AND(IF(M73="",TRUE,IF(input_affiliations="",FALSE,SUMPRODUCT(--ISNUMBER(SEARCH(","&amp;TRIM(TEXTSPLIT(M73,","))&amp;",",","&amp;SUBSTITUTE(input_affiliations," ","")&amp;",")))&gt;0)),IF(O73="",TRUE,IF(input_affiliations="",FALSE,SUMPRODUCT(--ISNUMBER(SEARCH(","&amp;TRIM(TEXTSPLIT(O73,","))&amp;",",","&amp;SUBSTITUTE(input_affiliations," ","")&amp;",")))=COUNTA(TEXTSPLIT(O73,",")))),IF(Q73="",TRUE,IF(input_affiliations="",TRUE,SUMPRODUCT(--ISNUMBER(SEARCH(","&amp;TRIM(TEXTSPLIT(Q73,","))&amp;",",","&amp;SUBSTITUTE(input_affiliations," ","")&amp;",")))=0)),IF(S73="",TRUE,IF(input_affiliations="",FALSE,SUMPRODUCT(--ISNUMBER(SEARCH(","&amp;TRIM(TEXTSPLIT(S73,","))&amp;",",","&amp;SUBSTITUTE(input_affiliations," ","")&amp;",")))&gt;0)),IF(U73="",TRUE,IF(input_affiliations="",FALSE,SUMPRODUCT(--ISNUMBER(SEARCH(","&amp;TRIM(TEXTSPLIT(U73,","))&amp;",",","&amp;SUBSTITUTE(input_affiliations," ","")&amp;",")))=COUNTA(TEXTSPLIT(U73,",")))))</f>
        <v/>
      </c>
      <c r="IU73">
        <f>AND(IF(W73="",TRUE,IF(input_announcement_category="",FALSE,SUMPRODUCT(--ISNUMBER(SEARCH(","&amp;TRIM(TEXTSPLIT(W73,","))&amp;",",","&amp;SUBSTITUTE(input_announcement_category," ","")&amp;",")))&gt;0)),IF(Y73="",TRUE,IF(input_announcement_category="",FALSE,SUMPRODUCT(--ISNUMBER(SEARCH(","&amp;TRIM(TEXTSPLIT(Y73,","))&amp;",",","&amp;SUBSTITUTE(input_announcement_category," ","")&amp;",")))=COUNTA(TEXTSPLIT(Y73,",")))),IF(AA73="",TRUE,IF(input_announcement_category="",TRUE,SUMPRODUCT(--ISNUMBER(SEARCH(","&amp;TRIM(TEXTSPLIT(AA73,","))&amp;",",","&amp;SUBSTITUTE(input_announcement_category," ","")&amp;",")))=0)),IF(AC73="",TRUE,IF(input_announcement_category="",FALSE,SUMPRODUCT(--ISNUMBER(SEARCH(","&amp;TRIM(TEXTSPLIT(AC73,","))&amp;",",","&amp;SUBSTITUTE(input_announcement_category," ","")&amp;",")))&gt;0)),IF(AE73="",TRUE,IF(input_announcement_category="",FALSE,SUMPRODUCT(--ISNUMBER(SEARCH(","&amp;TRIM(TEXTSPLIT(AE73,","))&amp;",",","&amp;SUBSTITUTE(input_announcement_category," ","")&amp;",")))=COUNTA(TEXTSPLIT(AE73,",")))))</f>
        <v/>
      </c>
      <c r="IV73">
        <f>AND(IF(AG73="",TRUE,IF(input_area_of_focus="",FALSE,SUMPRODUCT(--ISNUMBER(SEARCH(","&amp;TRIM(TEXTSPLIT(AG73,","))&amp;",",","&amp;SUBSTITUTE(input_area_of_focus," ","")&amp;",")))&gt;0)),IF(AI73="",TRUE,IF(input_area_of_focus="",FALSE,SUMPRODUCT(--ISNUMBER(SEARCH(","&amp;TRIM(TEXTSPLIT(AI73,","))&amp;",",","&amp;SUBSTITUTE(input_area_of_focus," ","")&amp;",")))=COUNTA(TEXTSPLIT(AI73,",")))),IF(AK73="",TRUE,IF(input_area_of_focus="",TRUE,SUMPRODUCT(--ISNUMBER(SEARCH(","&amp;TRIM(TEXTSPLIT(AK73,","))&amp;",",","&amp;SUBSTITUTE(input_area_of_focus," ","")&amp;",")))=0)),IF(AM73="",TRUE,IF(input_area_of_focus="",FALSE,SUMPRODUCT(--ISNUMBER(SEARCH(","&amp;TRIM(TEXTSPLIT(AM73,","))&amp;",",","&amp;SUBSTITUTE(input_area_of_focus," ","")&amp;",")))&gt;0)),IF(AO73="",TRUE,IF(input_area_of_focus="",FALSE,SUMPRODUCT(--ISNUMBER(SEARCH(","&amp;TRIM(TEXTSPLIT(AO73,","))&amp;",",","&amp;SUBSTITUTE(input_area_of_focus," ","")&amp;",")))=COUNTA(TEXTSPLIT(AO73,",")))))</f>
        <v/>
      </c>
      <c r="IW73">
        <f>AND(IF(AQ73="",TRUE,IF(input_audience="",FALSE,SUMPRODUCT(--ISNUMBER(SEARCH(","&amp;TRIM(TEXTSPLIT(AQ73,","))&amp;",",","&amp;SUBSTITUTE(input_audience," ","")&amp;",")))&gt;0)),IF(AS73="",TRUE,IF(input_audience="",FALSE,SUMPRODUCT(--ISNUMBER(SEARCH(","&amp;TRIM(TEXTSPLIT(AS73,","))&amp;",",","&amp;SUBSTITUTE(input_audience," ","")&amp;",")))=COUNTA(TEXTSPLIT(AS73,",")))),IF(AU73="",TRUE,IF(input_audience="",TRUE,SUMPRODUCT(--ISNUMBER(SEARCH(","&amp;TRIM(TEXTSPLIT(AU73,","))&amp;",",","&amp;SUBSTITUTE(input_audience," ","")&amp;",")))=0)),IF(AW73="",TRUE,IF(input_audience="",FALSE,SUMPRODUCT(--ISNUMBER(SEARCH(","&amp;TRIM(TEXTSPLIT(AW73,","))&amp;",",","&amp;SUBSTITUTE(input_audience," ","")&amp;",")))&gt;0)),IF(AY73="",TRUE,IF(input_audience="",FALSE,SUMPRODUCT(--ISNUMBER(SEARCH(","&amp;TRIM(TEXTSPLIT(AY73,","))&amp;",",","&amp;SUBSTITUTE(input_audience," ","")&amp;",")))=COUNTA(TEXTSPLIT(AY73,",")))))</f>
        <v/>
      </c>
      <c r="IX73">
        <f>AND(IF(BA73="",TRUE,IF(input_challenge_opportunities="",FALSE,SUMPRODUCT(--ISNUMBER(SEARCH(","&amp;TRIM(TEXTSPLIT(BA73,","))&amp;",",","&amp;SUBSTITUTE(input_challenge_opportunities," ","")&amp;",")))&gt;0)),IF(BC73="",TRUE,IF(input_challenge_opportunities="",FALSE,SUMPRODUCT(--ISNUMBER(SEARCH(","&amp;TRIM(TEXTSPLIT(BC73,","))&amp;",",","&amp;SUBSTITUTE(input_challenge_opportunities," ","")&amp;",")))=COUNTA(TEXTSPLIT(BC73,",")))),IF(BE73="",TRUE,IF(input_challenge_opportunities="",TRUE,SUMPRODUCT(--ISNUMBER(SEARCH(","&amp;TRIM(TEXTSPLIT(BE73,","))&amp;",",","&amp;SUBSTITUTE(input_challenge_opportunities," ","")&amp;",")))=0)),IF(BG73="",TRUE,IF(input_challenge_opportunities="",FALSE,SUMPRODUCT(--ISNUMBER(SEARCH(","&amp;TRIM(TEXTSPLIT(BG73,","))&amp;",",","&amp;SUBSTITUTE(input_challenge_opportunities," ","")&amp;",")))&gt;0)),IF(BI73="",TRUE,IF(input_challenge_opportunities="",FALSE,SUMPRODUCT(--ISNUMBER(SEARCH(","&amp;TRIM(TEXTSPLIT(BI73,","))&amp;",",","&amp;SUBSTITUTE(input_challenge_opportunities," ","")&amp;",")))=COUNTA(TEXTSPLIT(BI73,",")))))</f>
        <v/>
      </c>
      <c r="IY73">
        <f>AND(IF(BK73="",TRUE,IF(input_context="",FALSE,SUMPRODUCT(--ISNUMBER(SEARCH(","&amp;TRIM(TEXTSPLIT(BK73,","))&amp;",",","&amp;SUBSTITUTE(input_context," ","")&amp;",")))&gt;0)),IF(BM73="",TRUE,IF(input_context="",FALSE,SUMPRODUCT(--ISNUMBER(SEARCH(","&amp;TRIM(TEXTSPLIT(BM73,","))&amp;",",","&amp;SUBSTITUTE(input_context," ","")&amp;",")))=COUNTA(TEXTSPLIT(BM73,",")))),IF(BO73="",TRUE,IF(input_context="",TRUE,SUMPRODUCT(--ISNUMBER(SEARCH(","&amp;TRIM(TEXTSPLIT(BO73,","))&amp;",",","&amp;SUBSTITUTE(input_context," ","")&amp;",")))=0)),IF(BQ73="",TRUE,IF(input_context="",FALSE,SUMPRODUCT(--ISNUMBER(SEARCH(","&amp;TRIM(TEXTSPLIT(BQ73,","))&amp;",",","&amp;SUBSTITUTE(input_context," ","")&amp;",")))&gt;0)),IF(BS73="",TRUE,IF(input_context="",FALSE,SUMPRODUCT(--ISNUMBER(SEARCH(","&amp;TRIM(TEXTSPLIT(BS73,","))&amp;",",","&amp;SUBSTITUTE(input_context," ","")&amp;",")))=COUNTA(TEXTSPLIT(BS73,",")))))</f>
        <v/>
      </c>
      <c r="IZ73">
        <f>AND(IF(BU73="",TRUE,IF(input_enews_announcement_type="",FALSE,SUMPRODUCT(--ISNUMBER(SEARCH(","&amp;TRIM(TEXTSPLIT(BU73,","))&amp;",",","&amp;SUBSTITUTE(input_enews_announcement_type," ","")&amp;",")))&gt;0)),IF(BW73="",TRUE,IF(input_enews_announcement_type="",FALSE,SUMPRODUCT(--ISNUMBER(SEARCH(","&amp;TRIM(TEXTSPLIT(BW73,","))&amp;",",","&amp;SUBSTITUTE(input_enews_announcement_type," ","")&amp;",")))=COUNTA(TEXTSPLIT(BW73,",")))),IF(BY73="",TRUE,IF(input_enews_announcement_type="",TRUE,SUMPRODUCT(--ISNUMBER(SEARCH(","&amp;TRIM(TEXTSPLIT(BY73,","))&amp;",",","&amp;SUBSTITUTE(input_enews_announcement_type," ","")&amp;",")))=0)),IF(CA73="",TRUE,IF(input_enews_announcement_type="",FALSE,SUMPRODUCT(--ISNUMBER(SEARCH(","&amp;TRIM(TEXTSPLIT(CA73,","))&amp;",",","&amp;SUBSTITUTE(input_enews_announcement_type," ","")&amp;",")))&gt;0)),IF(CC73="",TRUE,IF(input_enews_announcement_type="",FALSE,SUMPRODUCT(--ISNUMBER(SEARCH(","&amp;TRIM(TEXTSPLIT(CC73,","))&amp;",",","&amp;SUBSTITUTE(input_enews_announcement_type," ","")&amp;",")))=COUNTA(TEXTSPLIT(CC73,",")))))</f>
        <v/>
      </c>
      <c r="JA73">
        <f>AND(IF(CE73="",TRUE,IF(input_enews_audience="",FALSE,SUMPRODUCT(--ISNUMBER(SEARCH(","&amp;TRIM(TEXTSPLIT(CE73,","))&amp;",",","&amp;SUBSTITUTE(input_enews_audience," ","")&amp;",")))&gt;0)),IF(CG73="",TRUE,IF(input_enews_audience="",FALSE,SUMPRODUCT(--ISNUMBER(SEARCH(","&amp;TRIM(TEXTSPLIT(CG73,","))&amp;",",","&amp;SUBSTITUTE(input_enews_audience," ","")&amp;",")))=COUNTA(TEXTSPLIT(CG73,",")))),IF(CI73="",TRUE,IF(input_enews_audience="",TRUE,SUMPRODUCT(--ISNUMBER(SEARCH(","&amp;TRIM(TEXTSPLIT(CI73,","))&amp;",",","&amp;SUBSTITUTE(input_enews_audience," ","")&amp;",")))=0)),IF(CK73="",TRUE,IF(input_enews_audience="",FALSE,SUMPRODUCT(--ISNUMBER(SEARCH(","&amp;TRIM(TEXTSPLIT(CK73,","))&amp;",",","&amp;SUBSTITUTE(input_enews_audience," ","")&amp;",")))&gt;0)),IF(CM73="",TRUE,IF(input_enews_audience="",FALSE,SUMPRODUCT(--ISNUMBER(SEARCH(","&amp;TRIM(TEXTSPLIT(CM73,","))&amp;",",","&amp;SUBSTITUTE(input_enews_audience," ","")&amp;",")))=COUNTA(TEXTSPLIT(CM73,",")))))</f>
        <v/>
      </c>
      <c r="JB73">
        <f>AND(IF(CO73="",TRUE,IF(input_event_location="",FALSE,SUMPRODUCT(--ISNUMBER(SEARCH(","&amp;TRIM(TEXTSPLIT(CO73,","))&amp;",",","&amp;SUBSTITUTE(input_event_location," ","")&amp;",")))&gt;0)),IF(CQ73="",TRUE,IF(input_event_location="",FALSE,SUMPRODUCT(--ISNUMBER(SEARCH(","&amp;TRIM(TEXTSPLIT(CQ73,","))&amp;",",","&amp;SUBSTITUTE(input_event_location," ","")&amp;",")))=COUNTA(TEXTSPLIT(CQ73,",")))),IF(CS73="",TRUE,IF(input_event_location="",TRUE,SUMPRODUCT(--ISNUMBER(SEARCH(","&amp;TRIM(TEXTSPLIT(CS73,","))&amp;",",","&amp;SUBSTITUTE(input_event_location," ","")&amp;",")))=0)),IF(CU73="",TRUE,IF(input_event_location="",FALSE,SUMPRODUCT(--ISNUMBER(SEARCH(","&amp;TRIM(TEXTSPLIT(CU73,","))&amp;",",","&amp;SUBSTITUTE(input_event_location," ","")&amp;",")))&gt;0)),IF(CW73="",TRUE,IF(input_event_location="",FALSE,SUMPRODUCT(--ISNUMBER(SEARCH(","&amp;TRIM(TEXTSPLIT(CW73,","))&amp;",",","&amp;SUBSTITUTE(input_event_location," ","")&amp;",")))=COUNTA(TEXTSPLIT(CW73,",")))))</f>
        <v/>
      </c>
      <c r="JC73">
        <f>AND(IF(CY73="",TRUE,IF(input_event_type="",FALSE,SUMPRODUCT(--ISNUMBER(SEARCH(","&amp;TRIM(TEXTSPLIT(CY73,","))&amp;",",","&amp;SUBSTITUTE(input_event_type," ","")&amp;",")))&gt;0)),IF(DA73="",TRUE,IF(input_event_type="",FALSE,SUMPRODUCT(--ISNUMBER(SEARCH(","&amp;TRIM(TEXTSPLIT(DA73,","))&amp;",",","&amp;SUBSTITUTE(input_event_type," ","")&amp;",")))=COUNTA(TEXTSPLIT(DA73,",")))),IF(DC73="",TRUE,IF(input_event_type="",TRUE,SUMPRODUCT(--ISNUMBER(SEARCH(","&amp;TRIM(TEXTSPLIT(DC73,","))&amp;",",","&amp;SUBSTITUTE(input_event_type," ","")&amp;",")))=0)),IF(DE73="",TRUE,IF(input_event_type="",FALSE,SUMPRODUCT(--ISNUMBER(SEARCH(","&amp;TRIM(TEXTSPLIT(DE73,","))&amp;",",","&amp;SUBSTITUTE(input_event_type," ","")&amp;",")))&gt;0)),IF(DG73="",TRUE,IF(input_event_type="",FALSE,SUMPRODUCT(--ISNUMBER(SEARCH(","&amp;TRIM(TEXTSPLIT(DG73,","))&amp;",",","&amp;SUBSTITUTE(input_event_type," ","")&amp;",")))=COUNTA(TEXTSPLIT(DG73,",")))))</f>
        <v/>
      </c>
      <c r="JD73">
        <f>AND(IF(DI73="",TRUE,IF(input_executive_education_focus="",FALSE,SUMPRODUCT(--ISNUMBER(SEARCH(","&amp;TRIM(TEXTSPLIT(DI73,","))&amp;",",","&amp;SUBSTITUTE(input_executive_education_focus," ","")&amp;",")))&gt;0)),IF(DK73="",TRUE,IF(input_executive_education_focus="",FALSE,SUMPRODUCT(--ISNUMBER(SEARCH(","&amp;TRIM(TEXTSPLIT(DK73,","))&amp;",",","&amp;SUBSTITUTE(input_executive_education_focus," ","")&amp;",")))=COUNTA(TEXTSPLIT(DK73,",")))),IF(DM73="",TRUE,IF(input_executive_education_focus="",TRUE,SUMPRODUCT(--ISNUMBER(SEARCH(","&amp;TRIM(TEXTSPLIT(DM73,","))&amp;",",","&amp;SUBSTITUTE(input_executive_education_focus," ","")&amp;",")))=0)),IF(DO73="",TRUE,IF(input_executive_education_focus="",FALSE,SUMPRODUCT(--ISNUMBER(SEARCH(","&amp;TRIM(TEXTSPLIT(DO73,","))&amp;",",","&amp;SUBSTITUTE(input_executive_education_focus," ","")&amp;",")))&gt;0)),IF(DQ73="",TRUE,IF(input_executive_education_focus="",FALSE,SUMPRODUCT(--ISNUMBER(SEARCH(","&amp;TRIM(TEXTSPLIT(DQ73,","))&amp;",",","&amp;SUBSTITUTE(input_executive_education_focus," ","")&amp;",")))=COUNTA(TEXTSPLIT(DQ73,",")))))</f>
        <v/>
      </c>
      <c r="JE73">
        <f>AND(IF(DS73="",TRUE,IF(input_faculty_category="",FALSE,SUMPRODUCT(--ISNUMBER(SEARCH(","&amp;TRIM(TEXTSPLIT(DS73,","))&amp;",",","&amp;SUBSTITUTE(input_faculty_category," ","")&amp;",")))&gt;0)),IF(DU73="",TRUE,IF(input_faculty_category="",FALSE,SUMPRODUCT(--ISNUMBER(SEARCH(","&amp;TRIM(TEXTSPLIT(DU73,","))&amp;",",","&amp;SUBSTITUTE(input_faculty_category," ","")&amp;",")))=COUNTA(TEXTSPLIT(DU73,",")))),IF(DW73="",TRUE,IF(input_faculty_category="",TRUE,SUMPRODUCT(--ISNUMBER(SEARCH(","&amp;TRIM(TEXTSPLIT(DW73,","))&amp;",",","&amp;SUBSTITUTE(input_faculty_category," ","")&amp;",")))=0)),IF(DY73="",TRUE,IF(input_faculty_category="",FALSE,SUMPRODUCT(--ISNUMBER(SEARCH(","&amp;TRIM(TEXTSPLIT(DY73,","))&amp;",",","&amp;SUBSTITUTE(input_faculty_category," ","")&amp;",")))&gt;0)),IF(EA73="",TRUE,IF(input_faculty_category="",FALSE,SUMPRODUCT(--ISNUMBER(SEARCH(","&amp;TRIM(TEXTSPLIT(EA73,","))&amp;",",","&amp;SUBSTITUTE(input_faculty_category," ","")&amp;",")))=COUNTA(TEXTSPLIT(EA73,",")))))</f>
        <v/>
      </c>
      <c r="JF73">
        <f>AND(IF(EC73="",TRUE,IF(input_faculty_discipline="",FALSE,SUMPRODUCT(--ISNUMBER(SEARCH(","&amp;TRIM(TEXTSPLIT(EC73,","))&amp;",",","&amp;SUBSTITUTE(input_faculty_discipline," ","")&amp;",")))&gt;0)),IF(EE73="",TRUE,IF(input_faculty_discipline="",FALSE,SUMPRODUCT(--ISNUMBER(SEARCH(","&amp;TRIM(TEXTSPLIT(EE73,","))&amp;",",","&amp;SUBSTITUTE(input_faculty_discipline," ","")&amp;",")))=COUNTA(TEXTSPLIT(EE73,",")))),IF(EG73="",TRUE,IF(input_faculty_discipline="",TRUE,SUMPRODUCT(--ISNUMBER(SEARCH(","&amp;TRIM(TEXTSPLIT(EG73,","))&amp;",",","&amp;SUBSTITUTE(input_faculty_discipline," ","")&amp;",")))=0)),IF(EI73="",TRUE,IF(input_faculty_discipline="",FALSE,SUMPRODUCT(--ISNUMBER(SEARCH(","&amp;TRIM(TEXTSPLIT(EI73,","))&amp;",",","&amp;SUBSTITUTE(input_faculty_discipline," ","")&amp;",")))&gt;0)),IF(EK73="",TRUE,IF(input_faculty_discipline="",FALSE,SUMPRODUCT(--ISNUMBER(SEARCH(","&amp;TRIM(TEXTSPLIT(EK73,","))&amp;",",","&amp;SUBSTITUTE(input_faculty_discipline," ","")&amp;",")))=COUNTA(TEXTSPLIT(EK73,",")))))</f>
        <v/>
      </c>
      <c r="JG73">
        <f>AND(IF(EM73="",TRUE,IF(input_faculty_expertise="",FALSE,SUMPRODUCT(--ISNUMBER(SEARCH(","&amp;TRIM(TEXTSPLIT(EM73,","))&amp;",",","&amp;SUBSTITUTE(input_faculty_expertise," ","")&amp;",")))&gt;0)),IF(EO73="",TRUE,IF(input_faculty_expertise="",FALSE,SUMPRODUCT(--ISNUMBER(SEARCH(","&amp;TRIM(TEXTSPLIT(EO73,","))&amp;",",","&amp;SUBSTITUTE(input_faculty_expertise," ","")&amp;",")))=COUNTA(TEXTSPLIT(EO73,",")))),IF(EQ73="",TRUE,IF(input_faculty_expertise="",TRUE,SUMPRODUCT(--ISNUMBER(SEARCH(","&amp;TRIM(TEXTSPLIT(EQ73,","))&amp;",",","&amp;SUBSTITUTE(input_faculty_expertise," ","")&amp;",")))=0)),IF(ES73="",TRUE,IF(input_faculty_expertise="",FALSE,SUMPRODUCT(--ISNUMBER(SEARCH(","&amp;TRIM(TEXTSPLIT(ES73,","))&amp;",",","&amp;SUBSTITUTE(input_faculty_expertise," ","")&amp;",")))&gt;0)),IF(EU73="",TRUE,IF(input_faculty_expertise="",FALSE,SUMPRODUCT(--ISNUMBER(SEARCH(","&amp;TRIM(TEXTSPLIT(EU73,","))&amp;",",","&amp;SUBSTITUTE(input_faculty_expertise," ","")&amp;",")))=COUNTA(TEXTSPLIT(EU73,",")))))</f>
        <v/>
      </c>
      <c r="JH73">
        <f>AND(IF(EW73="",TRUE,IF(input_global_network_school="",FALSE,SUMPRODUCT(--ISNUMBER(SEARCH(","&amp;TRIM(TEXTSPLIT(EW73,","))&amp;",",","&amp;SUBSTITUTE(input_global_network_school," ","")&amp;",")))&gt;0)),IF(EY73="",TRUE,IF(input_global_network_school="",FALSE,SUMPRODUCT(--ISNUMBER(SEARCH(","&amp;TRIM(TEXTSPLIT(EY73,","))&amp;",",","&amp;SUBSTITUTE(input_global_network_school," ","")&amp;",")))=COUNTA(TEXTSPLIT(EY73,",")))),IF(FA73="",TRUE,IF(input_global_network_school="",TRUE,SUMPRODUCT(--ISNUMBER(SEARCH(","&amp;TRIM(TEXTSPLIT(FA73,","))&amp;",",","&amp;SUBSTITUTE(input_global_network_school," ","")&amp;",")))=0)),IF(FC73="",TRUE,IF(input_global_network_school="",FALSE,SUMPRODUCT(--ISNUMBER(SEARCH(","&amp;TRIM(TEXTSPLIT(FC73,","))&amp;",",","&amp;SUBSTITUTE(input_global_network_school," ","")&amp;",")))&gt;0)),IF(FE73="",TRUE,IF(input_global_network_school="",FALSE,SUMPRODUCT(--ISNUMBER(SEARCH(","&amp;TRIM(TEXTSPLIT(FE73,","))&amp;",",","&amp;SUBSTITUTE(input_global_network_school," ","")&amp;",")))=COUNTA(TEXTSPLIT(FE73,",")))))</f>
        <v/>
      </c>
      <c r="JI73">
        <f>AND(IF(FG73="",TRUE,IF(input_industry="",FALSE,SUMPRODUCT(--ISNUMBER(SEARCH(","&amp;TRIM(TEXTSPLIT(FG73,","))&amp;",",","&amp;SUBSTITUTE(input_industry," ","")&amp;",")))&gt;0)),IF(FI73="",TRUE,IF(input_industry="",FALSE,SUMPRODUCT(--ISNUMBER(SEARCH(","&amp;TRIM(TEXTSPLIT(FI73,","))&amp;",",","&amp;SUBSTITUTE(input_industry," ","")&amp;",")))=COUNTA(TEXTSPLIT(FI73,",")))),IF(FK73="",TRUE,IF(input_industry="",TRUE,SUMPRODUCT(--ISNUMBER(SEARCH(","&amp;TRIM(TEXTSPLIT(FK73,","))&amp;",",","&amp;SUBSTITUTE(input_industry," ","")&amp;",")))=0)),IF(FM73="",TRUE,IF(input_industry="",FALSE,SUMPRODUCT(--ISNUMBER(SEARCH(","&amp;TRIM(TEXTSPLIT(FM73,","))&amp;",",","&amp;SUBSTITUTE(input_industry," ","")&amp;",")))&gt;0)),IF(FO73="",TRUE,IF(input_industry="",FALSE,SUMPRODUCT(--ISNUMBER(SEARCH(","&amp;TRIM(TEXTSPLIT(FO73,","))&amp;",",","&amp;SUBSTITUTE(input_industry," ","")&amp;",")))=COUNTA(TEXTSPLIT(FO73,",")))))</f>
        <v/>
      </c>
      <c r="JJ73">
        <f>AND(IF(FQ73="",TRUE,IF(input_location="",FALSE,SUMPRODUCT(--ISNUMBER(SEARCH(","&amp;TRIM(TEXTSPLIT(FQ73,","))&amp;",",","&amp;SUBSTITUTE(input_location," ","")&amp;",")))&gt;0)),IF(FS73="",TRUE,IF(input_location="",FALSE,SUMPRODUCT(--ISNUMBER(SEARCH(","&amp;TRIM(TEXTSPLIT(FS73,","))&amp;",",","&amp;SUBSTITUTE(input_location," ","")&amp;",")))=COUNTA(TEXTSPLIT(FS73,",")))),IF(FU73="",TRUE,IF(input_location="",TRUE,SUMPRODUCT(--ISNUMBER(SEARCH(","&amp;TRIM(TEXTSPLIT(FU73,","))&amp;",",","&amp;SUBSTITUTE(input_location," ","")&amp;",")))=0)),IF(FW73="",TRUE,IF(input_location="",FALSE,SUMPRODUCT(--ISNUMBER(SEARCH(","&amp;TRIM(TEXTSPLIT(FW73,","))&amp;",",","&amp;SUBSTITUTE(input_location," ","")&amp;",")))&gt;0)),IF(FY73="",TRUE,IF(input_location="",FALSE,SUMPRODUCT(--ISNUMBER(SEARCH(","&amp;TRIM(TEXTSPLIT(FY73,","))&amp;",",","&amp;SUBSTITUTE(input_location," ","")&amp;",")))=COUNTA(TEXTSPLIT(FY73,",")))))</f>
        <v/>
      </c>
      <c r="JK73">
        <f>AND(IF(GA73="",TRUE,IF(input_modality="",FALSE,SUMPRODUCT(--ISNUMBER(SEARCH(","&amp;TRIM(TEXTSPLIT(GA73,","))&amp;",",","&amp;SUBSTITUTE(input_modality," ","")&amp;",")))&gt;0)),IF(GC73="",TRUE,IF(input_modality="",FALSE,SUMPRODUCT(--ISNUMBER(SEARCH(","&amp;TRIM(TEXTSPLIT(GC73,","))&amp;",",","&amp;SUBSTITUTE(input_modality," ","")&amp;",")))=COUNTA(TEXTSPLIT(GC73,",")))),IF(GE73="",TRUE,IF(input_modality="",TRUE,SUMPRODUCT(--ISNUMBER(SEARCH(","&amp;TRIM(TEXTSPLIT(GE73,","))&amp;",",","&amp;SUBSTITUTE(input_modality," ","")&amp;",")))=0)),IF(GG73="",TRUE,IF(input_modality="",FALSE,SUMPRODUCT(--ISNUMBER(SEARCH(","&amp;TRIM(TEXTSPLIT(GG73,","))&amp;",",","&amp;SUBSTITUTE(input_modality," ","")&amp;",")))&gt;0)),IF(GI73="",TRUE,IF(input_modality="",FALSE,SUMPRODUCT(--ISNUMBER(SEARCH(","&amp;TRIM(TEXTSPLIT(GI73,","))&amp;",",","&amp;SUBSTITUTE(input_modality," ","")&amp;",")))=COUNTA(TEXTSPLIT(GI73,",")))))</f>
        <v/>
      </c>
      <c r="JL73">
        <f>AND(IF(GK73="",TRUE,IF(input_organizer="",FALSE,SUMPRODUCT(--ISNUMBER(SEARCH(","&amp;TRIM(TEXTSPLIT(GK73,","))&amp;",",","&amp;SUBSTITUTE(input_organizer," ","")&amp;",")))&gt;0)),IF(GM73="",TRUE,IF(input_organizer="",FALSE,SUMPRODUCT(--ISNUMBER(SEARCH(","&amp;TRIM(TEXTSPLIT(GM73,","))&amp;",",","&amp;SUBSTITUTE(input_organizer," ","")&amp;",")))=COUNTA(TEXTSPLIT(GM73,",")))),IF(GO73="",TRUE,IF(input_organizer="",TRUE,SUMPRODUCT(--ISNUMBER(SEARCH(","&amp;TRIM(TEXTSPLIT(GO73,","))&amp;",",","&amp;SUBSTITUTE(input_organizer," ","")&amp;",")))=0)),IF(GQ73="",TRUE,IF(input_organizer="",FALSE,SUMPRODUCT(--ISNUMBER(SEARCH(","&amp;TRIM(TEXTSPLIT(GQ73,","))&amp;",",","&amp;SUBSTITUTE(input_organizer," ","")&amp;",")))&gt;0)),IF(GS73="",TRUE,IF(input_organizer="",FALSE,SUMPRODUCT(--ISNUMBER(SEARCH(","&amp;TRIM(TEXTSPLIT(GS73,","))&amp;",",","&amp;SUBSTITUTE(input_organizer," ","")&amp;",")))=COUNTA(TEXTSPLIT(GS73,",")))))</f>
        <v/>
      </c>
      <c r="JM73">
        <f>AND(IF(GU73="",TRUE,IF(input_profile_type="",FALSE,SUMPRODUCT(--ISNUMBER(SEARCH(","&amp;TRIM(TEXTSPLIT(GU73,","))&amp;",",","&amp;SUBSTITUTE(input_profile_type," ","")&amp;",")))&gt;0)),IF(GW73="",TRUE,IF(input_profile_type="",FALSE,SUMPRODUCT(--ISNUMBER(SEARCH(","&amp;TRIM(TEXTSPLIT(GW73,","))&amp;",",","&amp;SUBSTITUTE(input_profile_type," ","")&amp;",")))=COUNTA(TEXTSPLIT(GW73,",")))),IF(GY73="",TRUE,IF(input_profile_type="",TRUE,SUMPRODUCT(--ISNUMBER(SEARCH(","&amp;TRIM(TEXTSPLIT(GY73,","))&amp;",",","&amp;SUBSTITUTE(input_profile_type," ","")&amp;",")))=0)),IF(HA73="",TRUE,IF(input_profile_type="",FALSE,SUMPRODUCT(--ISNUMBER(SEARCH(","&amp;TRIM(TEXTSPLIT(HA73,","))&amp;",",","&amp;SUBSTITUTE(input_profile_type," ","")&amp;",")))&gt;0)),IF(HC73="",TRUE,IF(input_profile_type="",FALSE,SUMPRODUCT(--ISNUMBER(SEARCH(","&amp;TRIM(TEXTSPLIT(HC73,","))&amp;",",","&amp;SUBSTITUTE(input_profile_type," ","")&amp;",")))=COUNTA(TEXTSPLIT(HC73,",")))))</f>
        <v/>
      </c>
      <c r="JN73">
        <f>AND(IF(HE73="",TRUE,IF(input_program="",FALSE,SUMPRODUCT(--ISNUMBER(SEARCH(","&amp;TRIM(TEXTSPLIT(HE73,","))&amp;",",","&amp;SUBSTITUTE(input_program," ","")&amp;",")))&gt;0)),IF(HG73="",TRUE,IF(input_program="",FALSE,SUMPRODUCT(--ISNUMBER(SEARCH(","&amp;TRIM(TEXTSPLIT(HG73,","))&amp;",",","&amp;SUBSTITUTE(input_program," ","")&amp;",")))=COUNTA(TEXTSPLIT(HG73,",")))),IF(HI73="",TRUE,IF(input_program="",TRUE,SUMPRODUCT(--ISNUMBER(SEARCH(","&amp;TRIM(TEXTSPLIT(HI73,","))&amp;",",","&amp;SUBSTITUTE(input_program," ","")&amp;",")))=0)),IF(HK73="",TRUE,IF(input_program="",FALSE,SUMPRODUCT(--ISNUMBER(SEARCH(","&amp;TRIM(TEXTSPLIT(HK73,","))&amp;",",","&amp;SUBSTITUTE(input_program," ","")&amp;",")))&gt;0)),IF(HM73="",TRUE,IF(input_program="",FALSE,SUMPRODUCT(--ISNUMBER(SEARCH(","&amp;TRIM(TEXTSPLIT(HM73,","))&amp;",",","&amp;SUBSTITUTE(input_program," ","")&amp;",")))=COUNTA(TEXTSPLIT(HM73,",")))))</f>
        <v/>
      </c>
      <c r="JO73">
        <f>AND(IF(HO73="",TRUE,IF(input_story_categories="",FALSE,SUMPRODUCT(--ISNUMBER(SEARCH(","&amp;TRIM(TEXTSPLIT(HO73,","))&amp;",",","&amp;SUBSTITUTE(input_story_categories," ","")&amp;",")))&gt;0)),IF(HQ73="",TRUE,IF(input_story_categories="",FALSE,SUMPRODUCT(--ISNUMBER(SEARCH(","&amp;TRIM(TEXTSPLIT(HQ73,","))&amp;",",","&amp;SUBSTITUTE(input_story_categories," ","")&amp;",")))=COUNTA(TEXTSPLIT(HQ73,",")))),IF(HS73="",TRUE,IF(input_story_categories="",TRUE,SUMPRODUCT(--ISNUMBER(SEARCH(","&amp;TRIM(TEXTSPLIT(HS73,","))&amp;",",","&amp;SUBSTITUTE(input_story_categories," ","")&amp;",")))=0)),IF(HU73="",TRUE,IF(input_story_categories="",FALSE,SUMPRODUCT(--ISNUMBER(SEARCH(","&amp;TRIM(TEXTSPLIT(HU73,","))&amp;",",","&amp;SUBSTITUTE(input_story_categories," ","")&amp;",")))&gt;0)),IF(HW73="",TRUE,IF(input_story_categories="",FALSE,SUMPRODUCT(--ISNUMBER(SEARCH(","&amp;TRIM(TEXTSPLIT(HW73,","))&amp;",",","&amp;SUBSTITUTE(input_story_categories," ","")&amp;",")))=COUNTA(TEXTSPLIT(HW73,",")))))</f>
        <v/>
      </c>
      <c r="JP73">
        <f>AND(IF(HY73="",TRUE,IF(input_story_type="",FALSE,SUMPRODUCT(--ISNUMBER(SEARCH(","&amp;TRIM(TEXTSPLIT(HY73,","))&amp;",",","&amp;SUBSTITUTE(input_story_type," ","")&amp;",")))&gt;0)),IF(IA73="",TRUE,IF(input_story_type="",FALSE,SUMPRODUCT(--ISNUMBER(SEARCH(","&amp;TRIM(TEXTSPLIT(IA73,","))&amp;",",","&amp;SUBSTITUTE(input_story_type," ","")&amp;",")))=COUNTA(TEXTSPLIT(IA73,",")))),IF(IC73="",TRUE,IF(input_story_type="",TRUE,SUMPRODUCT(--ISNUMBER(SEARCH(","&amp;TRIM(TEXTSPLIT(IC73,","))&amp;",",","&amp;SUBSTITUTE(input_story_type," ","")&amp;",")))=0)),IF(IE73="",TRUE,IF(input_story_type="",FALSE,SUMPRODUCT(--ISNUMBER(SEARCH(","&amp;TRIM(TEXTSPLIT(IE73,","))&amp;",",","&amp;SUBSTITUTE(input_story_type," ","")&amp;",")))&gt;0)),IF(IG73="",TRUE,IF(input_story_type="",FALSE,SUMPRODUCT(--ISNUMBER(SEARCH(","&amp;TRIM(TEXTSPLIT(IG73,","))&amp;",",","&amp;SUBSTITUTE(input_story_type," ","")&amp;",")))=COUNTA(TEXTSPLIT(IG73,",")))))</f>
        <v/>
      </c>
      <c r="JQ73">
        <f>AND(IF(II73="",TRUE,IF(input_topics="",FALSE,SUMPRODUCT(--ISNUMBER(SEARCH(","&amp;TRIM(TEXTSPLIT(II73,","))&amp;",",","&amp;SUBSTITUTE(input_topics," ","")&amp;",")))&gt;0)),IF(IK73="",TRUE,IF(input_topics="",FALSE,SUMPRODUCT(--ISNUMBER(SEARCH(","&amp;TRIM(TEXTSPLIT(IK73,","))&amp;",",","&amp;SUBSTITUTE(input_topics," ","")&amp;",")))=COUNTA(TEXTSPLIT(IK73,",")))),IF(IM73="",TRUE,IF(input_topics="",TRUE,SUMPRODUCT(--ISNUMBER(SEARCH(","&amp;TRIM(TEXTSPLIT(IM73,","))&amp;",",","&amp;SUBSTITUTE(input_topics," ","")&amp;",")))=0)),IF(IO73="",TRUE,IF(input_topics="",FALSE,SUMPRODUCT(--ISNUMBER(SEARCH(","&amp;TRIM(TEXTSPLIT(IO73,","))&amp;",",","&amp;SUBSTITUTE(input_topics," ","")&amp;",")))&gt;0)),IF(IQ73="",TRUE,IF(input_topics="",FALSE,SUMPRODUCT(--ISNUMBER(SEARCH(","&amp;TRIM(TEXTSPLIT(IQ73,","))&amp;",",","&amp;SUBSTITUTE(input_topics," ","")&amp;",")))=COUNTA(TEXTSPLIT(IQ73,",")))))</f>
        <v/>
      </c>
    </row>
    <row r="74">
      <c r="A74" s="4">
        <f>IF(NOT(IS74),"Excluded",IF(AND(IT74,IU74,IV74,IW74,IX74,IY74,IZ74,JA74,JB74,JC74,JD74,JE74,JF74,JG74,JH74,JI74,JJ74,JK74,JL74,JM74,JN74,JO74,JP74,JQ74),IF(I74&gt;0,"Eligible but limited","Will appear"),"Excluded"))</f>
        <v/>
      </c>
      <c r="B74" s="4" t="inlineStr">
        <is>
          <t>Blogs</t>
        </is>
      </c>
      <c r="C74" s="4" t="inlineStr">
        <is>
          <t>/about/headlines/blogs</t>
        </is>
      </c>
      <c r="D74" s="4" t="inlineStr">
        <is>
          <t>/about/headlines/blogs</t>
        </is>
      </c>
      <c r="E74" s="4" t="n">
        <v>1</v>
      </c>
      <c r="F74" s="4" t="inlineStr">
        <is>
          <t>story</t>
        </is>
      </c>
      <c r="G74" s="4" t="inlineStr">
        <is>
          <t>stories_list</t>
        </is>
      </c>
      <c r="H74" s="4" t="inlineStr">
        <is>
          <t>embed_blog</t>
        </is>
      </c>
      <c r="I74" s="4" t="n">
        <v>10</v>
      </c>
      <c r="J74" s="4" t="inlineStr">
        <is>
          <t>Explicit args</t>
        </is>
      </c>
      <c r="K74" s="4" t="inlineStr">
        <is>
          <t>Page placement</t>
        </is>
      </c>
      <c r="L74" s="4" t="inlineStr">
        <is>
          <t>Content type: story; Context uses Courses Context: Executive Education (967), Doctoral Programs (962), Joint Degrees (973), Master of Advanced Management (932), Master's Degree in Asset Management (930), Master's Degree in Global Business and Society (950), Master's Degree in Systemic Risk (949), MBA (92), MBA For Executives (928), 93, Yale Global Executive Leadership Program (968), All SOM (77), Headlines (1390); Needs any Story Type: Blog (974); Limited to 10 item(s); Source: Explicit args</t>
        </is>
      </c>
      <c r="M74" t="inlineStr"/>
      <c r="N74" t="inlineStr"/>
      <c r="O74" t="inlineStr"/>
      <c r="P74" t="inlineStr"/>
      <c r="Q74" t="inlineStr"/>
      <c r="R74" t="inlineStr"/>
      <c r="S74" t="inlineStr"/>
      <c r="T74" t="inlineStr"/>
      <c r="U74" t="inlineStr"/>
      <c r="V74" t="inlineStr"/>
      <c r="W74" t="inlineStr"/>
      <c r="X74" t="inlineStr"/>
      <c r="Y74" t="inlineStr"/>
      <c r="Z74" t="inlineStr"/>
      <c r="AA74" t="inlineStr"/>
      <c r="AB74" t="inlineStr"/>
      <c r="AC74" t="inlineStr"/>
      <c r="AD74" t="inlineStr"/>
      <c r="AE74" t="inlineStr"/>
      <c r="AF74" t="inlineStr"/>
      <c r="AG74" t="inlineStr"/>
      <c r="AH74" t="inlineStr"/>
      <c r="AI74" t="inlineStr"/>
      <c r="AJ74" t="inlineStr"/>
      <c r="AK74" t="inlineStr"/>
      <c r="AL74" t="inlineStr"/>
      <c r="AM74" t="inlineStr"/>
      <c r="AN74" t="inlineStr"/>
      <c r="AO74" t="inlineStr"/>
      <c r="AP74" t="inlineStr"/>
      <c r="AQ74" t="inlineStr"/>
      <c r="AR74" t="inlineStr"/>
      <c r="AS74" t="inlineStr"/>
      <c r="AT74" t="inlineStr"/>
      <c r="AU74" t="inlineStr"/>
      <c r="AV74" t="inlineStr"/>
      <c r="AW74" t="inlineStr"/>
      <c r="AX74" t="inlineStr"/>
      <c r="AY74" t="inlineStr"/>
      <c r="AZ74" t="inlineStr"/>
      <c r="BA74" t="inlineStr"/>
      <c r="BB74" t="inlineStr"/>
      <c r="BC74" t="inlineStr"/>
      <c r="BD74" t="inlineStr"/>
      <c r="BE74" t="inlineStr"/>
      <c r="BF74" t="inlineStr"/>
      <c r="BG74" t="inlineStr"/>
      <c r="BH74" t="inlineStr"/>
      <c r="BI74" t="inlineStr"/>
      <c r="BJ74" t="inlineStr"/>
      <c r="BK74" t="inlineStr"/>
      <c r="BL74" t="inlineStr"/>
      <c r="BM74" t="inlineStr"/>
      <c r="BN74" t="inlineStr"/>
      <c r="BO74" t="inlineStr"/>
      <c r="BP74" t="inlineStr"/>
      <c r="BQ74" t="inlineStr">
        <is>
          <t>967, 962, 973, 932, 930, 950, 949, 92, 928, 93, 968, 77, 1390</t>
        </is>
      </c>
      <c r="BR74" t="inlineStr">
        <is>
          <t>Executive Education (967), Doctoral Programs (962), Joint Degrees (973), Master of Advanced Management (932), Master's Degree in Asset Management (930), Master's Degree in Global Business and Society (950), Master's Degree in Systemic Risk (949), MBA (92), MBA For Executives (928), 93, Yale Global Executive Leadership Program (968), All SOM (77), Headlines (1390)</t>
        </is>
      </c>
      <c r="BS74" t="inlineStr"/>
      <c r="BT74" t="inlineStr"/>
      <c r="BU74" t="inlineStr"/>
      <c r="BV74" t="inlineStr"/>
      <c r="BW74" t="inlineStr"/>
      <c r="BX74" t="inlineStr"/>
      <c r="BY74" t="inlineStr"/>
      <c r="BZ74" t="inlineStr"/>
      <c r="CA74" t="inlineStr"/>
      <c r="CB74" t="inlineStr"/>
      <c r="CC74" t="inlineStr"/>
      <c r="CD74" t="inlineStr"/>
      <c r="CE74" t="inlineStr"/>
      <c r="CF74" t="inlineStr"/>
      <c r="CG74" t="inlineStr"/>
      <c r="CH74" t="inlineStr"/>
      <c r="CI74" t="inlineStr"/>
      <c r="CJ74" t="inlineStr"/>
      <c r="CK74" t="inlineStr"/>
      <c r="CL74" t="inlineStr"/>
      <c r="CM74" t="inlineStr"/>
      <c r="CN74" t="inlineStr"/>
      <c r="CO74" t="inlineStr"/>
      <c r="CP74" t="inlineStr"/>
      <c r="CQ74" t="inlineStr"/>
      <c r="CR74" t="inlineStr"/>
      <c r="CS74" t="inlineStr"/>
      <c r="CT74" t="inlineStr"/>
      <c r="CU74" t="inlineStr"/>
      <c r="CV74" t="inlineStr"/>
      <c r="CW74" t="inlineStr"/>
      <c r="CX74" t="inlineStr"/>
      <c r="CY74" t="inlineStr"/>
      <c r="CZ74" t="inlineStr"/>
      <c r="DA74" t="inlineStr"/>
      <c r="DB74" t="inlineStr"/>
      <c r="DC74" t="inlineStr"/>
      <c r="DD74" t="inlineStr"/>
      <c r="DE74" t="inlineStr"/>
      <c r="DF74" t="inlineStr"/>
      <c r="DG74" t="inlineStr"/>
      <c r="DH74" t="inlineStr"/>
      <c r="DI74" t="inlineStr"/>
      <c r="DJ74" t="inlineStr"/>
      <c r="DK74" t="inlineStr"/>
      <c r="DL74" t="inlineStr"/>
      <c r="DM74" t="inlineStr"/>
      <c r="DN74" t="inlineStr"/>
      <c r="DO74" t="inlineStr"/>
      <c r="DP74" t="inlineStr"/>
      <c r="DQ74" t="inlineStr"/>
      <c r="DR74" t="inlineStr"/>
      <c r="DS74" t="inlineStr"/>
      <c r="DT74" t="inlineStr"/>
      <c r="DU74" t="inlineStr"/>
      <c r="DV74" t="inlineStr"/>
      <c r="DW74" t="inlineStr"/>
      <c r="DX74" t="inlineStr"/>
      <c r="DY74" t="inlineStr"/>
      <c r="DZ74" t="inlineStr"/>
      <c r="EA74" t="inlineStr"/>
      <c r="EB74" t="inlineStr"/>
      <c r="EC74" t="inlineStr"/>
      <c r="ED74" t="inlineStr"/>
      <c r="EE74" t="inlineStr"/>
      <c r="EF74" t="inlineStr"/>
      <c r="EG74" t="inlineStr"/>
      <c r="EH74" t="inlineStr"/>
      <c r="EI74" t="inlineStr"/>
      <c r="EJ74" t="inlineStr"/>
      <c r="EK74" t="inlineStr"/>
      <c r="EL74" t="inlineStr"/>
      <c r="EM74" t="inlineStr"/>
      <c r="EN74" t="inlineStr"/>
      <c r="EO74" t="inlineStr"/>
      <c r="EP74" t="inlineStr"/>
      <c r="EQ74" t="inlineStr"/>
      <c r="ER74" t="inlineStr"/>
      <c r="ES74" t="inlineStr"/>
      <c r="ET74" t="inlineStr"/>
      <c r="EU74" t="inlineStr"/>
      <c r="EV74" t="inlineStr"/>
      <c r="EW74" t="inlineStr"/>
      <c r="EX74" t="inlineStr"/>
      <c r="EY74" t="inlineStr"/>
      <c r="EZ74" t="inlineStr"/>
      <c r="FA74" t="inlineStr"/>
      <c r="FB74" t="inlineStr"/>
      <c r="FC74" t="inlineStr"/>
      <c r="FD74" t="inlineStr"/>
      <c r="FE74" t="inlineStr"/>
      <c r="FF74" t="inlineStr"/>
      <c r="FG74" t="inlineStr"/>
      <c r="FH74" t="inlineStr"/>
      <c r="FI74" t="inlineStr"/>
      <c r="FJ74" t="inlineStr"/>
      <c r="FK74" t="inlineStr"/>
      <c r="FL74" t="inlineStr"/>
      <c r="FM74" t="inlineStr"/>
      <c r="FN74" t="inlineStr"/>
      <c r="FO74" t="inlineStr"/>
      <c r="FP74" t="inlineStr"/>
      <c r="FQ74" t="inlineStr"/>
      <c r="FR74" t="inlineStr"/>
      <c r="FS74" t="inlineStr"/>
      <c r="FT74" t="inlineStr"/>
      <c r="FU74" t="inlineStr"/>
      <c r="FV74" t="inlineStr"/>
      <c r="FW74" t="inlineStr"/>
      <c r="FX74" t="inlineStr"/>
      <c r="FY74" t="inlineStr"/>
      <c r="FZ74" t="inlineStr"/>
      <c r="GA74" t="inlineStr"/>
      <c r="GB74" t="inlineStr"/>
      <c r="GC74" t="inlineStr"/>
      <c r="GD74" t="inlineStr"/>
      <c r="GE74" t="inlineStr"/>
      <c r="GF74" t="inlineStr"/>
      <c r="GG74" t="inlineStr"/>
      <c r="GH74" t="inlineStr"/>
      <c r="GI74" t="inlineStr"/>
      <c r="GJ74" t="inlineStr"/>
      <c r="GK74" t="inlineStr"/>
      <c r="GL74" t="inlineStr"/>
      <c r="GM74" t="inlineStr"/>
      <c r="GN74" t="inlineStr"/>
      <c r="GO74" t="inlineStr"/>
      <c r="GP74" t="inlineStr"/>
      <c r="GQ74" t="inlineStr"/>
      <c r="GR74" t="inlineStr"/>
      <c r="GS74" t="inlineStr"/>
      <c r="GT74" t="inlineStr"/>
      <c r="GU74" t="inlineStr"/>
      <c r="GV74" t="inlineStr"/>
      <c r="GW74" t="inlineStr"/>
      <c r="GX74" t="inlineStr"/>
      <c r="GY74" t="inlineStr"/>
      <c r="GZ74" t="inlineStr"/>
      <c r="HA74" t="inlineStr"/>
      <c r="HB74" t="inlineStr"/>
      <c r="HC74" t="inlineStr"/>
      <c r="HD74" t="inlineStr"/>
      <c r="HE74" t="inlineStr"/>
      <c r="HF74" t="inlineStr"/>
      <c r="HG74" t="inlineStr"/>
      <c r="HH74" t="inlineStr"/>
      <c r="HI74" t="inlineStr"/>
      <c r="HJ74" t="inlineStr"/>
      <c r="HK74" t="inlineStr"/>
      <c r="HL74" t="inlineStr"/>
      <c r="HM74" t="inlineStr"/>
      <c r="HN74" t="inlineStr"/>
      <c r="HO74" t="inlineStr"/>
      <c r="HP74" t="inlineStr"/>
      <c r="HQ74" t="inlineStr"/>
      <c r="HR74" t="inlineStr"/>
      <c r="HS74" t="inlineStr"/>
      <c r="HT74" t="inlineStr"/>
      <c r="HU74" t="inlineStr"/>
      <c r="HV74" t="inlineStr"/>
      <c r="HW74" t="inlineStr"/>
      <c r="HX74" t="inlineStr"/>
      <c r="HY74" t="inlineStr">
        <is>
          <t>974</t>
        </is>
      </c>
      <c r="HZ74" t="inlineStr">
        <is>
          <t>Blog (974)</t>
        </is>
      </c>
      <c r="IA74" t="inlineStr"/>
      <c r="IB74" t="inlineStr"/>
      <c r="IC74" t="inlineStr"/>
      <c r="ID74" t="inlineStr"/>
      <c r="IE74" t="inlineStr"/>
      <c r="IF74" t="inlineStr"/>
      <c r="IG74" t="inlineStr"/>
      <c r="IH74" t="inlineStr"/>
      <c r="II74" t="inlineStr"/>
      <c r="IJ74" t="inlineStr"/>
      <c r="IK74" t="inlineStr"/>
      <c r="IL74" t="inlineStr"/>
      <c r="IM74" t="inlineStr"/>
      <c r="IN74" t="inlineStr"/>
      <c r="IO74" t="inlineStr"/>
      <c r="IP74" t="inlineStr"/>
      <c r="IQ74" t="inlineStr"/>
      <c r="IR74" t="inlineStr"/>
      <c r="IS74">
        <f>IF(input_content_type="",FALSE,ISNUMBER(SEARCH(","&amp;LOWER(input_content_type)&amp;",",","&amp;LOWER(F74)&amp;",")))</f>
        <v/>
      </c>
      <c r="IT74">
        <f>AND(IF(M74="",TRUE,IF(input_affiliations="",FALSE,SUMPRODUCT(--ISNUMBER(SEARCH(","&amp;TRIM(TEXTSPLIT(M74,","))&amp;",",","&amp;SUBSTITUTE(input_affiliations," ","")&amp;",")))&gt;0)),IF(O74="",TRUE,IF(input_affiliations="",FALSE,SUMPRODUCT(--ISNUMBER(SEARCH(","&amp;TRIM(TEXTSPLIT(O74,","))&amp;",",","&amp;SUBSTITUTE(input_affiliations," ","")&amp;",")))=COUNTA(TEXTSPLIT(O74,",")))),IF(Q74="",TRUE,IF(input_affiliations="",TRUE,SUMPRODUCT(--ISNUMBER(SEARCH(","&amp;TRIM(TEXTSPLIT(Q74,","))&amp;",",","&amp;SUBSTITUTE(input_affiliations," ","")&amp;",")))=0)),IF(S74="",TRUE,IF(input_affiliations="",FALSE,SUMPRODUCT(--ISNUMBER(SEARCH(","&amp;TRIM(TEXTSPLIT(S74,","))&amp;",",","&amp;SUBSTITUTE(input_affiliations," ","")&amp;",")))&gt;0)),IF(U74="",TRUE,IF(input_affiliations="",FALSE,SUMPRODUCT(--ISNUMBER(SEARCH(","&amp;TRIM(TEXTSPLIT(U74,","))&amp;",",","&amp;SUBSTITUTE(input_affiliations," ","")&amp;",")))=COUNTA(TEXTSPLIT(U74,",")))))</f>
        <v/>
      </c>
      <c r="IU74">
        <f>AND(IF(W74="",TRUE,IF(input_announcement_category="",FALSE,SUMPRODUCT(--ISNUMBER(SEARCH(","&amp;TRIM(TEXTSPLIT(W74,","))&amp;",",","&amp;SUBSTITUTE(input_announcement_category," ","")&amp;",")))&gt;0)),IF(Y74="",TRUE,IF(input_announcement_category="",FALSE,SUMPRODUCT(--ISNUMBER(SEARCH(","&amp;TRIM(TEXTSPLIT(Y74,","))&amp;",",","&amp;SUBSTITUTE(input_announcement_category," ","")&amp;",")))=COUNTA(TEXTSPLIT(Y74,",")))),IF(AA74="",TRUE,IF(input_announcement_category="",TRUE,SUMPRODUCT(--ISNUMBER(SEARCH(","&amp;TRIM(TEXTSPLIT(AA74,","))&amp;",",","&amp;SUBSTITUTE(input_announcement_category," ","")&amp;",")))=0)),IF(AC74="",TRUE,IF(input_announcement_category="",FALSE,SUMPRODUCT(--ISNUMBER(SEARCH(","&amp;TRIM(TEXTSPLIT(AC74,","))&amp;",",","&amp;SUBSTITUTE(input_announcement_category," ","")&amp;",")))&gt;0)),IF(AE74="",TRUE,IF(input_announcement_category="",FALSE,SUMPRODUCT(--ISNUMBER(SEARCH(","&amp;TRIM(TEXTSPLIT(AE74,","))&amp;",",","&amp;SUBSTITUTE(input_announcement_category," ","")&amp;",")))=COUNTA(TEXTSPLIT(AE74,",")))))</f>
        <v/>
      </c>
      <c r="IV74">
        <f>AND(IF(AG74="",TRUE,IF(input_area_of_focus="",FALSE,SUMPRODUCT(--ISNUMBER(SEARCH(","&amp;TRIM(TEXTSPLIT(AG74,","))&amp;",",","&amp;SUBSTITUTE(input_area_of_focus," ","")&amp;",")))&gt;0)),IF(AI74="",TRUE,IF(input_area_of_focus="",FALSE,SUMPRODUCT(--ISNUMBER(SEARCH(","&amp;TRIM(TEXTSPLIT(AI74,","))&amp;",",","&amp;SUBSTITUTE(input_area_of_focus," ","")&amp;",")))=COUNTA(TEXTSPLIT(AI74,",")))),IF(AK74="",TRUE,IF(input_area_of_focus="",TRUE,SUMPRODUCT(--ISNUMBER(SEARCH(","&amp;TRIM(TEXTSPLIT(AK74,","))&amp;",",","&amp;SUBSTITUTE(input_area_of_focus," ","")&amp;",")))=0)),IF(AM74="",TRUE,IF(input_area_of_focus="",FALSE,SUMPRODUCT(--ISNUMBER(SEARCH(","&amp;TRIM(TEXTSPLIT(AM74,","))&amp;",",","&amp;SUBSTITUTE(input_area_of_focus," ","")&amp;",")))&gt;0)),IF(AO74="",TRUE,IF(input_area_of_focus="",FALSE,SUMPRODUCT(--ISNUMBER(SEARCH(","&amp;TRIM(TEXTSPLIT(AO74,","))&amp;",",","&amp;SUBSTITUTE(input_area_of_focus," ","")&amp;",")))=COUNTA(TEXTSPLIT(AO74,",")))))</f>
        <v/>
      </c>
      <c r="IW74">
        <f>AND(IF(AQ74="",TRUE,IF(input_audience="",FALSE,SUMPRODUCT(--ISNUMBER(SEARCH(","&amp;TRIM(TEXTSPLIT(AQ74,","))&amp;",",","&amp;SUBSTITUTE(input_audience," ","")&amp;",")))&gt;0)),IF(AS74="",TRUE,IF(input_audience="",FALSE,SUMPRODUCT(--ISNUMBER(SEARCH(","&amp;TRIM(TEXTSPLIT(AS74,","))&amp;",",","&amp;SUBSTITUTE(input_audience," ","")&amp;",")))=COUNTA(TEXTSPLIT(AS74,",")))),IF(AU74="",TRUE,IF(input_audience="",TRUE,SUMPRODUCT(--ISNUMBER(SEARCH(","&amp;TRIM(TEXTSPLIT(AU74,","))&amp;",",","&amp;SUBSTITUTE(input_audience," ","")&amp;",")))=0)),IF(AW74="",TRUE,IF(input_audience="",FALSE,SUMPRODUCT(--ISNUMBER(SEARCH(","&amp;TRIM(TEXTSPLIT(AW74,","))&amp;",",","&amp;SUBSTITUTE(input_audience," ","")&amp;",")))&gt;0)),IF(AY74="",TRUE,IF(input_audience="",FALSE,SUMPRODUCT(--ISNUMBER(SEARCH(","&amp;TRIM(TEXTSPLIT(AY74,","))&amp;",",","&amp;SUBSTITUTE(input_audience," ","")&amp;",")))=COUNTA(TEXTSPLIT(AY74,",")))))</f>
        <v/>
      </c>
      <c r="IX74">
        <f>AND(IF(BA74="",TRUE,IF(input_challenge_opportunities="",FALSE,SUMPRODUCT(--ISNUMBER(SEARCH(","&amp;TRIM(TEXTSPLIT(BA74,","))&amp;",",","&amp;SUBSTITUTE(input_challenge_opportunities," ","")&amp;",")))&gt;0)),IF(BC74="",TRUE,IF(input_challenge_opportunities="",FALSE,SUMPRODUCT(--ISNUMBER(SEARCH(","&amp;TRIM(TEXTSPLIT(BC74,","))&amp;",",","&amp;SUBSTITUTE(input_challenge_opportunities," ","")&amp;",")))=COUNTA(TEXTSPLIT(BC74,",")))),IF(BE74="",TRUE,IF(input_challenge_opportunities="",TRUE,SUMPRODUCT(--ISNUMBER(SEARCH(","&amp;TRIM(TEXTSPLIT(BE74,","))&amp;",",","&amp;SUBSTITUTE(input_challenge_opportunities," ","")&amp;",")))=0)),IF(BG74="",TRUE,IF(input_challenge_opportunities="",FALSE,SUMPRODUCT(--ISNUMBER(SEARCH(","&amp;TRIM(TEXTSPLIT(BG74,","))&amp;",",","&amp;SUBSTITUTE(input_challenge_opportunities," ","")&amp;",")))&gt;0)),IF(BI74="",TRUE,IF(input_challenge_opportunities="",FALSE,SUMPRODUCT(--ISNUMBER(SEARCH(","&amp;TRIM(TEXTSPLIT(BI74,","))&amp;",",","&amp;SUBSTITUTE(input_challenge_opportunities," ","")&amp;",")))=COUNTA(TEXTSPLIT(BI74,",")))))</f>
        <v/>
      </c>
      <c r="IY74">
        <f>AND(IF(BK74="",TRUE,IF(input_context="",FALSE,SUMPRODUCT(--ISNUMBER(SEARCH(","&amp;TRIM(TEXTSPLIT(BK74,","))&amp;",",","&amp;SUBSTITUTE(input_context," ","")&amp;",")))&gt;0)),IF(BM74="",TRUE,IF(input_context="",FALSE,SUMPRODUCT(--ISNUMBER(SEARCH(","&amp;TRIM(TEXTSPLIT(BM74,","))&amp;",",","&amp;SUBSTITUTE(input_context," ","")&amp;",")))=COUNTA(TEXTSPLIT(BM74,",")))),IF(BO74="",TRUE,IF(input_context="",TRUE,SUMPRODUCT(--ISNUMBER(SEARCH(","&amp;TRIM(TEXTSPLIT(BO74,","))&amp;",",","&amp;SUBSTITUTE(input_context," ","")&amp;",")))=0)),IF(BQ74="",TRUE,IF(input_context="",FALSE,SUMPRODUCT(--ISNUMBER(SEARCH(","&amp;TRIM(TEXTSPLIT(BQ74,","))&amp;",",","&amp;SUBSTITUTE(input_context," ","")&amp;",")))&gt;0)),IF(BS74="",TRUE,IF(input_context="",FALSE,SUMPRODUCT(--ISNUMBER(SEARCH(","&amp;TRIM(TEXTSPLIT(BS74,","))&amp;",",","&amp;SUBSTITUTE(input_context," ","")&amp;",")))=COUNTA(TEXTSPLIT(BS74,",")))))</f>
        <v/>
      </c>
      <c r="IZ74">
        <f>AND(IF(BU74="",TRUE,IF(input_enews_announcement_type="",FALSE,SUMPRODUCT(--ISNUMBER(SEARCH(","&amp;TRIM(TEXTSPLIT(BU74,","))&amp;",",","&amp;SUBSTITUTE(input_enews_announcement_type," ","")&amp;",")))&gt;0)),IF(BW74="",TRUE,IF(input_enews_announcement_type="",FALSE,SUMPRODUCT(--ISNUMBER(SEARCH(","&amp;TRIM(TEXTSPLIT(BW74,","))&amp;",",","&amp;SUBSTITUTE(input_enews_announcement_type," ","")&amp;",")))=COUNTA(TEXTSPLIT(BW74,",")))),IF(BY74="",TRUE,IF(input_enews_announcement_type="",TRUE,SUMPRODUCT(--ISNUMBER(SEARCH(","&amp;TRIM(TEXTSPLIT(BY74,","))&amp;",",","&amp;SUBSTITUTE(input_enews_announcement_type," ","")&amp;",")))=0)),IF(CA74="",TRUE,IF(input_enews_announcement_type="",FALSE,SUMPRODUCT(--ISNUMBER(SEARCH(","&amp;TRIM(TEXTSPLIT(CA74,","))&amp;",",","&amp;SUBSTITUTE(input_enews_announcement_type," ","")&amp;",")))&gt;0)),IF(CC74="",TRUE,IF(input_enews_announcement_type="",FALSE,SUMPRODUCT(--ISNUMBER(SEARCH(","&amp;TRIM(TEXTSPLIT(CC74,","))&amp;",",","&amp;SUBSTITUTE(input_enews_announcement_type," ","")&amp;",")))=COUNTA(TEXTSPLIT(CC74,",")))))</f>
        <v/>
      </c>
      <c r="JA74">
        <f>AND(IF(CE74="",TRUE,IF(input_enews_audience="",FALSE,SUMPRODUCT(--ISNUMBER(SEARCH(","&amp;TRIM(TEXTSPLIT(CE74,","))&amp;",",","&amp;SUBSTITUTE(input_enews_audience," ","")&amp;",")))&gt;0)),IF(CG74="",TRUE,IF(input_enews_audience="",FALSE,SUMPRODUCT(--ISNUMBER(SEARCH(","&amp;TRIM(TEXTSPLIT(CG74,","))&amp;",",","&amp;SUBSTITUTE(input_enews_audience," ","")&amp;",")))=COUNTA(TEXTSPLIT(CG74,",")))),IF(CI74="",TRUE,IF(input_enews_audience="",TRUE,SUMPRODUCT(--ISNUMBER(SEARCH(","&amp;TRIM(TEXTSPLIT(CI74,","))&amp;",",","&amp;SUBSTITUTE(input_enews_audience," ","")&amp;",")))=0)),IF(CK74="",TRUE,IF(input_enews_audience="",FALSE,SUMPRODUCT(--ISNUMBER(SEARCH(","&amp;TRIM(TEXTSPLIT(CK74,","))&amp;",",","&amp;SUBSTITUTE(input_enews_audience," ","")&amp;",")))&gt;0)),IF(CM74="",TRUE,IF(input_enews_audience="",FALSE,SUMPRODUCT(--ISNUMBER(SEARCH(","&amp;TRIM(TEXTSPLIT(CM74,","))&amp;",",","&amp;SUBSTITUTE(input_enews_audience," ","")&amp;",")))=COUNTA(TEXTSPLIT(CM74,",")))))</f>
        <v/>
      </c>
      <c r="JB74">
        <f>AND(IF(CO74="",TRUE,IF(input_event_location="",FALSE,SUMPRODUCT(--ISNUMBER(SEARCH(","&amp;TRIM(TEXTSPLIT(CO74,","))&amp;",",","&amp;SUBSTITUTE(input_event_location," ","")&amp;",")))&gt;0)),IF(CQ74="",TRUE,IF(input_event_location="",FALSE,SUMPRODUCT(--ISNUMBER(SEARCH(","&amp;TRIM(TEXTSPLIT(CQ74,","))&amp;",",","&amp;SUBSTITUTE(input_event_location," ","")&amp;",")))=COUNTA(TEXTSPLIT(CQ74,",")))),IF(CS74="",TRUE,IF(input_event_location="",TRUE,SUMPRODUCT(--ISNUMBER(SEARCH(","&amp;TRIM(TEXTSPLIT(CS74,","))&amp;",",","&amp;SUBSTITUTE(input_event_location," ","")&amp;",")))=0)),IF(CU74="",TRUE,IF(input_event_location="",FALSE,SUMPRODUCT(--ISNUMBER(SEARCH(","&amp;TRIM(TEXTSPLIT(CU74,","))&amp;",",","&amp;SUBSTITUTE(input_event_location," ","")&amp;",")))&gt;0)),IF(CW74="",TRUE,IF(input_event_location="",FALSE,SUMPRODUCT(--ISNUMBER(SEARCH(","&amp;TRIM(TEXTSPLIT(CW74,","))&amp;",",","&amp;SUBSTITUTE(input_event_location," ","")&amp;",")))=COUNTA(TEXTSPLIT(CW74,",")))))</f>
        <v/>
      </c>
      <c r="JC74">
        <f>AND(IF(CY74="",TRUE,IF(input_event_type="",FALSE,SUMPRODUCT(--ISNUMBER(SEARCH(","&amp;TRIM(TEXTSPLIT(CY74,","))&amp;",",","&amp;SUBSTITUTE(input_event_type," ","")&amp;",")))&gt;0)),IF(DA74="",TRUE,IF(input_event_type="",FALSE,SUMPRODUCT(--ISNUMBER(SEARCH(","&amp;TRIM(TEXTSPLIT(DA74,","))&amp;",",","&amp;SUBSTITUTE(input_event_type," ","")&amp;",")))=COUNTA(TEXTSPLIT(DA74,",")))),IF(DC74="",TRUE,IF(input_event_type="",TRUE,SUMPRODUCT(--ISNUMBER(SEARCH(","&amp;TRIM(TEXTSPLIT(DC74,","))&amp;",",","&amp;SUBSTITUTE(input_event_type," ","")&amp;",")))=0)),IF(DE74="",TRUE,IF(input_event_type="",FALSE,SUMPRODUCT(--ISNUMBER(SEARCH(","&amp;TRIM(TEXTSPLIT(DE74,","))&amp;",",","&amp;SUBSTITUTE(input_event_type," ","")&amp;",")))&gt;0)),IF(DG74="",TRUE,IF(input_event_type="",FALSE,SUMPRODUCT(--ISNUMBER(SEARCH(","&amp;TRIM(TEXTSPLIT(DG74,","))&amp;",",","&amp;SUBSTITUTE(input_event_type," ","")&amp;",")))=COUNTA(TEXTSPLIT(DG74,",")))))</f>
        <v/>
      </c>
      <c r="JD74">
        <f>AND(IF(DI74="",TRUE,IF(input_executive_education_focus="",FALSE,SUMPRODUCT(--ISNUMBER(SEARCH(","&amp;TRIM(TEXTSPLIT(DI74,","))&amp;",",","&amp;SUBSTITUTE(input_executive_education_focus," ","")&amp;",")))&gt;0)),IF(DK74="",TRUE,IF(input_executive_education_focus="",FALSE,SUMPRODUCT(--ISNUMBER(SEARCH(","&amp;TRIM(TEXTSPLIT(DK74,","))&amp;",",","&amp;SUBSTITUTE(input_executive_education_focus," ","")&amp;",")))=COUNTA(TEXTSPLIT(DK74,",")))),IF(DM74="",TRUE,IF(input_executive_education_focus="",TRUE,SUMPRODUCT(--ISNUMBER(SEARCH(","&amp;TRIM(TEXTSPLIT(DM74,","))&amp;",",","&amp;SUBSTITUTE(input_executive_education_focus," ","")&amp;",")))=0)),IF(DO74="",TRUE,IF(input_executive_education_focus="",FALSE,SUMPRODUCT(--ISNUMBER(SEARCH(","&amp;TRIM(TEXTSPLIT(DO74,","))&amp;",",","&amp;SUBSTITUTE(input_executive_education_focus," ","")&amp;",")))&gt;0)),IF(DQ74="",TRUE,IF(input_executive_education_focus="",FALSE,SUMPRODUCT(--ISNUMBER(SEARCH(","&amp;TRIM(TEXTSPLIT(DQ74,","))&amp;",",","&amp;SUBSTITUTE(input_executive_education_focus," ","")&amp;",")))=COUNTA(TEXTSPLIT(DQ74,",")))))</f>
        <v/>
      </c>
      <c r="JE74">
        <f>AND(IF(DS74="",TRUE,IF(input_faculty_category="",FALSE,SUMPRODUCT(--ISNUMBER(SEARCH(","&amp;TRIM(TEXTSPLIT(DS74,","))&amp;",",","&amp;SUBSTITUTE(input_faculty_category," ","")&amp;",")))&gt;0)),IF(DU74="",TRUE,IF(input_faculty_category="",FALSE,SUMPRODUCT(--ISNUMBER(SEARCH(","&amp;TRIM(TEXTSPLIT(DU74,","))&amp;",",","&amp;SUBSTITUTE(input_faculty_category," ","")&amp;",")))=COUNTA(TEXTSPLIT(DU74,",")))),IF(DW74="",TRUE,IF(input_faculty_category="",TRUE,SUMPRODUCT(--ISNUMBER(SEARCH(","&amp;TRIM(TEXTSPLIT(DW74,","))&amp;",",","&amp;SUBSTITUTE(input_faculty_category," ","")&amp;",")))=0)),IF(DY74="",TRUE,IF(input_faculty_category="",FALSE,SUMPRODUCT(--ISNUMBER(SEARCH(","&amp;TRIM(TEXTSPLIT(DY74,","))&amp;",",","&amp;SUBSTITUTE(input_faculty_category," ","")&amp;",")))&gt;0)),IF(EA74="",TRUE,IF(input_faculty_category="",FALSE,SUMPRODUCT(--ISNUMBER(SEARCH(","&amp;TRIM(TEXTSPLIT(EA74,","))&amp;",",","&amp;SUBSTITUTE(input_faculty_category," ","")&amp;",")))=COUNTA(TEXTSPLIT(EA74,",")))))</f>
        <v/>
      </c>
      <c r="JF74">
        <f>AND(IF(EC74="",TRUE,IF(input_faculty_discipline="",FALSE,SUMPRODUCT(--ISNUMBER(SEARCH(","&amp;TRIM(TEXTSPLIT(EC74,","))&amp;",",","&amp;SUBSTITUTE(input_faculty_discipline," ","")&amp;",")))&gt;0)),IF(EE74="",TRUE,IF(input_faculty_discipline="",FALSE,SUMPRODUCT(--ISNUMBER(SEARCH(","&amp;TRIM(TEXTSPLIT(EE74,","))&amp;",",","&amp;SUBSTITUTE(input_faculty_discipline," ","")&amp;",")))=COUNTA(TEXTSPLIT(EE74,",")))),IF(EG74="",TRUE,IF(input_faculty_discipline="",TRUE,SUMPRODUCT(--ISNUMBER(SEARCH(","&amp;TRIM(TEXTSPLIT(EG74,","))&amp;",",","&amp;SUBSTITUTE(input_faculty_discipline," ","")&amp;",")))=0)),IF(EI74="",TRUE,IF(input_faculty_discipline="",FALSE,SUMPRODUCT(--ISNUMBER(SEARCH(","&amp;TRIM(TEXTSPLIT(EI74,","))&amp;",",","&amp;SUBSTITUTE(input_faculty_discipline," ","")&amp;",")))&gt;0)),IF(EK74="",TRUE,IF(input_faculty_discipline="",FALSE,SUMPRODUCT(--ISNUMBER(SEARCH(","&amp;TRIM(TEXTSPLIT(EK74,","))&amp;",",","&amp;SUBSTITUTE(input_faculty_discipline," ","")&amp;",")))=COUNTA(TEXTSPLIT(EK74,",")))))</f>
        <v/>
      </c>
      <c r="JG74">
        <f>AND(IF(EM74="",TRUE,IF(input_faculty_expertise="",FALSE,SUMPRODUCT(--ISNUMBER(SEARCH(","&amp;TRIM(TEXTSPLIT(EM74,","))&amp;",",","&amp;SUBSTITUTE(input_faculty_expertise," ","")&amp;",")))&gt;0)),IF(EO74="",TRUE,IF(input_faculty_expertise="",FALSE,SUMPRODUCT(--ISNUMBER(SEARCH(","&amp;TRIM(TEXTSPLIT(EO74,","))&amp;",",","&amp;SUBSTITUTE(input_faculty_expertise," ","")&amp;",")))=COUNTA(TEXTSPLIT(EO74,",")))),IF(EQ74="",TRUE,IF(input_faculty_expertise="",TRUE,SUMPRODUCT(--ISNUMBER(SEARCH(","&amp;TRIM(TEXTSPLIT(EQ74,","))&amp;",",","&amp;SUBSTITUTE(input_faculty_expertise," ","")&amp;",")))=0)),IF(ES74="",TRUE,IF(input_faculty_expertise="",FALSE,SUMPRODUCT(--ISNUMBER(SEARCH(","&amp;TRIM(TEXTSPLIT(ES74,","))&amp;",",","&amp;SUBSTITUTE(input_faculty_expertise," ","")&amp;",")))&gt;0)),IF(EU74="",TRUE,IF(input_faculty_expertise="",FALSE,SUMPRODUCT(--ISNUMBER(SEARCH(","&amp;TRIM(TEXTSPLIT(EU74,","))&amp;",",","&amp;SUBSTITUTE(input_faculty_expertise," ","")&amp;",")))=COUNTA(TEXTSPLIT(EU74,",")))))</f>
        <v/>
      </c>
      <c r="JH74">
        <f>AND(IF(EW74="",TRUE,IF(input_global_network_school="",FALSE,SUMPRODUCT(--ISNUMBER(SEARCH(","&amp;TRIM(TEXTSPLIT(EW74,","))&amp;",",","&amp;SUBSTITUTE(input_global_network_school," ","")&amp;",")))&gt;0)),IF(EY74="",TRUE,IF(input_global_network_school="",FALSE,SUMPRODUCT(--ISNUMBER(SEARCH(","&amp;TRIM(TEXTSPLIT(EY74,","))&amp;",",","&amp;SUBSTITUTE(input_global_network_school," ","")&amp;",")))=COUNTA(TEXTSPLIT(EY74,",")))),IF(FA74="",TRUE,IF(input_global_network_school="",TRUE,SUMPRODUCT(--ISNUMBER(SEARCH(","&amp;TRIM(TEXTSPLIT(FA74,","))&amp;",",","&amp;SUBSTITUTE(input_global_network_school," ","")&amp;",")))=0)),IF(FC74="",TRUE,IF(input_global_network_school="",FALSE,SUMPRODUCT(--ISNUMBER(SEARCH(","&amp;TRIM(TEXTSPLIT(FC74,","))&amp;",",","&amp;SUBSTITUTE(input_global_network_school," ","")&amp;",")))&gt;0)),IF(FE74="",TRUE,IF(input_global_network_school="",FALSE,SUMPRODUCT(--ISNUMBER(SEARCH(","&amp;TRIM(TEXTSPLIT(FE74,","))&amp;",",","&amp;SUBSTITUTE(input_global_network_school," ","")&amp;",")))=COUNTA(TEXTSPLIT(FE74,",")))))</f>
        <v/>
      </c>
      <c r="JI74">
        <f>AND(IF(FG74="",TRUE,IF(input_industry="",FALSE,SUMPRODUCT(--ISNUMBER(SEARCH(","&amp;TRIM(TEXTSPLIT(FG74,","))&amp;",",","&amp;SUBSTITUTE(input_industry," ","")&amp;",")))&gt;0)),IF(FI74="",TRUE,IF(input_industry="",FALSE,SUMPRODUCT(--ISNUMBER(SEARCH(","&amp;TRIM(TEXTSPLIT(FI74,","))&amp;",",","&amp;SUBSTITUTE(input_industry," ","")&amp;",")))=COUNTA(TEXTSPLIT(FI74,",")))),IF(FK74="",TRUE,IF(input_industry="",TRUE,SUMPRODUCT(--ISNUMBER(SEARCH(","&amp;TRIM(TEXTSPLIT(FK74,","))&amp;",",","&amp;SUBSTITUTE(input_industry," ","")&amp;",")))=0)),IF(FM74="",TRUE,IF(input_industry="",FALSE,SUMPRODUCT(--ISNUMBER(SEARCH(","&amp;TRIM(TEXTSPLIT(FM74,","))&amp;",",","&amp;SUBSTITUTE(input_industry," ","")&amp;",")))&gt;0)),IF(FO74="",TRUE,IF(input_industry="",FALSE,SUMPRODUCT(--ISNUMBER(SEARCH(","&amp;TRIM(TEXTSPLIT(FO74,","))&amp;",",","&amp;SUBSTITUTE(input_industry," ","")&amp;",")))=COUNTA(TEXTSPLIT(FO74,",")))))</f>
        <v/>
      </c>
      <c r="JJ74">
        <f>AND(IF(FQ74="",TRUE,IF(input_location="",FALSE,SUMPRODUCT(--ISNUMBER(SEARCH(","&amp;TRIM(TEXTSPLIT(FQ74,","))&amp;",",","&amp;SUBSTITUTE(input_location," ","")&amp;",")))&gt;0)),IF(FS74="",TRUE,IF(input_location="",FALSE,SUMPRODUCT(--ISNUMBER(SEARCH(","&amp;TRIM(TEXTSPLIT(FS74,","))&amp;",",","&amp;SUBSTITUTE(input_location," ","")&amp;",")))=COUNTA(TEXTSPLIT(FS74,",")))),IF(FU74="",TRUE,IF(input_location="",TRUE,SUMPRODUCT(--ISNUMBER(SEARCH(","&amp;TRIM(TEXTSPLIT(FU74,","))&amp;",",","&amp;SUBSTITUTE(input_location," ","")&amp;",")))=0)),IF(FW74="",TRUE,IF(input_location="",FALSE,SUMPRODUCT(--ISNUMBER(SEARCH(","&amp;TRIM(TEXTSPLIT(FW74,","))&amp;",",","&amp;SUBSTITUTE(input_location," ","")&amp;",")))&gt;0)),IF(FY74="",TRUE,IF(input_location="",FALSE,SUMPRODUCT(--ISNUMBER(SEARCH(","&amp;TRIM(TEXTSPLIT(FY74,","))&amp;",",","&amp;SUBSTITUTE(input_location," ","")&amp;",")))=COUNTA(TEXTSPLIT(FY74,",")))))</f>
        <v/>
      </c>
      <c r="JK74">
        <f>AND(IF(GA74="",TRUE,IF(input_modality="",FALSE,SUMPRODUCT(--ISNUMBER(SEARCH(","&amp;TRIM(TEXTSPLIT(GA74,","))&amp;",",","&amp;SUBSTITUTE(input_modality," ","")&amp;",")))&gt;0)),IF(GC74="",TRUE,IF(input_modality="",FALSE,SUMPRODUCT(--ISNUMBER(SEARCH(","&amp;TRIM(TEXTSPLIT(GC74,","))&amp;",",","&amp;SUBSTITUTE(input_modality," ","")&amp;",")))=COUNTA(TEXTSPLIT(GC74,",")))),IF(GE74="",TRUE,IF(input_modality="",TRUE,SUMPRODUCT(--ISNUMBER(SEARCH(","&amp;TRIM(TEXTSPLIT(GE74,","))&amp;",",","&amp;SUBSTITUTE(input_modality," ","")&amp;",")))=0)),IF(GG74="",TRUE,IF(input_modality="",FALSE,SUMPRODUCT(--ISNUMBER(SEARCH(","&amp;TRIM(TEXTSPLIT(GG74,","))&amp;",",","&amp;SUBSTITUTE(input_modality," ","")&amp;",")))&gt;0)),IF(GI74="",TRUE,IF(input_modality="",FALSE,SUMPRODUCT(--ISNUMBER(SEARCH(","&amp;TRIM(TEXTSPLIT(GI74,","))&amp;",",","&amp;SUBSTITUTE(input_modality," ","")&amp;",")))=COUNTA(TEXTSPLIT(GI74,",")))))</f>
        <v/>
      </c>
      <c r="JL74">
        <f>AND(IF(GK74="",TRUE,IF(input_organizer="",FALSE,SUMPRODUCT(--ISNUMBER(SEARCH(","&amp;TRIM(TEXTSPLIT(GK74,","))&amp;",",","&amp;SUBSTITUTE(input_organizer," ","")&amp;",")))&gt;0)),IF(GM74="",TRUE,IF(input_organizer="",FALSE,SUMPRODUCT(--ISNUMBER(SEARCH(","&amp;TRIM(TEXTSPLIT(GM74,","))&amp;",",","&amp;SUBSTITUTE(input_organizer," ","")&amp;",")))=COUNTA(TEXTSPLIT(GM74,",")))),IF(GO74="",TRUE,IF(input_organizer="",TRUE,SUMPRODUCT(--ISNUMBER(SEARCH(","&amp;TRIM(TEXTSPLIT(GO74,","))&amp;",",","&amp;SUBSTITUTE(input_organizer," ","")&amp;",")))=0)),IF(GQ74="",TRUE,IF(input_organizer="",FALSE,SUMPRODUCT(--ISNUMBER(SEARCH(","&amp;TRIM(TEXTSPLIT(GQ74,","))&amp;",",","&amp;SUBSTITUTE(input_organizer," ","")&amp;",")))&gt;0)),IF(GS74="",TRUE,IF(input_organizer="",FALSE,SUMPRODUCT(--ISNUMBER(SEARCH(","&amp;TRIM(TEXTSPLIT(GS74,","))&amp;",",","&amp;SUBSTITUTE(input_organizer," ","")&amp;",")))=COUNTA(TEXTSPLIT(GS74,",")))))</f>
        <v/>
      </c>
      <c r="JM74">
        <f>AND(IF(GU74="",TRUE,IF(input_profile_type="",FALSE,SUMPRODUCT(--ISNUMBER(SEARCH(","&amp;TRIM(TEXTSPLIT(GU74,","))&amp;",",","&amp;SUBSTITUTE(input_profile_type," ","")&amp;",")))&gt;0)),IF(GW74="",TRUE,IF(input_profile_type="",FALSE,SUMPRODUCT(--ISNUMBER(SEARCH(","&amp;TRIM(TEXTSPLIT(GW74,","))&amp;",",","&amp;SUBSTITUTE(input_profile_type," ","")&amp;",")))=COUNTA(TEXTSPLIT(GW74,",")))),IF(GY74="",TRUE,IF(input_profile_type="",TRUE,SUMPRODUCT(--ISNUMBER(SEARCH(","&amp;TRIM(TEXTSPLIT(GY74,","))&amp;",",","&amp;SUBSTITUTE(input_profile_type," ","")&amp;",")))=0)),IF(HA74="",TRUE,IF(input_profile_type="",FALSE,SUMPRODUCT(--ISNUMBER(SEARCH(","&amp;TRIM(TEXTSPLIT(HA74,","))&amp;",",","&amp;SUBSTITUTE(input_profile_type," ","")&amp;",")))&gt;0)),IF(HC74="",TRUE,IF(input_profile_type="",FALSE,SUMPRODUCT(--ISNUMBER(SEARCH(","&amp;TRIM(TEXTSPLIT(HC74,","))&amp;",",","&amp;SUBSTITUTE(input_profile_type," ","")&amp;",")))=COUNTA(TEXTSPLIT(HC74,",")))))</f>
        <v/>
      </c>
      <c r="JN74">
        <f>AND(IF(HE74="",TRUE,IF(input_program="",FALSE,SUMPRODUCT(--ISNUMBER(SEARCH(","&amp;TRIM(TEXTSPLIT(HE74,","))&amp;",",","&amp;SUBSTITUTE(input_program," ","")&amp;",")))&gt;0)),IF(HG74="",TRUE,IF(input_program="",FALSE,SUMPRODUCT(--ISNUMBER(SEARCH(","&amp;TRIM(TEXTSPLIT(HG74,","))&amp;",",","&amp;SUBSTITUTE(input_program," ","")&amp;",")))=COUNTA(TEXTSPLIT(HG74,",")))),IF(HI74="",TRUE,IF(input_program="",TRUE,SUMPRODUCT(--ISNUMBER(SEARCH(","&amp;TRIM(TEXTSPLIT(HI74,","))&amp;",",","&amp;SUBSTITUTE(input_program," ","")&amp;",")))=0)),IF(HK74="",TRUE,IF(input_program="",FALSE,SUMPRODUCT(--ISNUMBER(SEARCH(","&amp;TRIM(TEXTSPLIT(HK74,","))&amp;",",","&amp;SUBSTITUTE(input_program," ","")&amp;",")))&gt;0)),IF(HM74="",TRUE,IF(input_program="",FALSE,SUMPRODUCT(--ISNUMBER(SEARCH(","&amp;TRIM(TEXTSPLIT(HM74,","))&amp;",",","&amp;SUBSTITUTE(input_program," ","")&amp;",")))=COUNTA(TEXTSPLIT(HM74,",")))))</f>
        <v/>
      </c>
      <c r="JO74">
        <f>AND(IF(HO74="",TRUE,IF(input_story_categories="",FALSE,SUMPRODUCT(--ISNUMBER(SEARCH(","&amp;TRIM(TEXTSPLIT(HO74,","))&amp;",",","&amp;SUBSTITUTE(input_story_categories," ","")&amp;",")))&gt;0)),IF(HQ74="",TRUE,IF(input_story_categories="",FALSE,SUMPRODUCT(--ISNUMBER(SEARCH(","&amp;TRIM(TEXTSPLIT(HQ74,","))&amp;",",","&amp;SUBSTITUTE(input_story_categories," ","")&amp;",")))=COUNTA(TEXTSPLIT(HQ74,",")))),IF(HS74="",TRUE,IF(input_story_categories="",TRUE,SUMPRODUCT(--ISNUMBER(SEARCH(","&amp;TRIM(TEXTSPLIT(HS74,","))&amp;",",","&amp;SUBSTITUTE(input_story_categories," ","")&amp;",")))=0)),IF(HU74="",TRUE,IF(input_story_categories="",FALSE,SUMPRODUCT(--ISNUMBER(SEARCH(","&amp;TRIM(TEXTSPLIT(HU74,","))&amp;",",","&amp;SUBSTITUTE(input_story_categories," ","")&amp;",")))&gt;0)),IF(HW74="",TRUE,IF(input_story_categories="",FALSE,SUMPRODUCT(--ISNUMBER(SEARCH(","&amp;TRIM(TEXTSPLIT(HW74,","))&amp;",",","&amp;SUBSTITUTE(input_story_categories," ","")&amp;",")))=COUNTA(TEXTSPLIT(HW74,",")))))</f>
        <v/>
      </c>
      <c r="JP74">
        <f>AND(IF(HY74="",TRUE,IF(input_story_type="",FALSE,SUMPRODUCT(--ISNUMBER(SEARCH(","&amp;TRIM(TEXTSPLIT(HY74,","))&amp;",",","&amp;SUBSTITUTE(input_story_type," ","")&amp;",")))&gt;0)),IF(IA74="",TRUE,IF(input_story_type="",FALSE,SUMPRODUCT(--ISNUMBER(SEARCH(","&amp;TRIM(TEXTSPLIT(IA74,","))&amp;",",","&amp;SUBSTITUTE(input_story_type," ","")&amp;",")))=COUNTA(TEXTSPLIT(IA74,",")))),IF(IC74="",TRUE,IF(input_story_type="",TRUE,SUMPRODUCT(--ISNUMBER(SEARCH(","&amp;TRIM(TEXTSPLIT(IC74,","))&amp;",",","&amp;SUBSTITUTE(input_story_type," ","")&amp;",")))=0)),IF(IE74="",TRUE,IF(input_story_type="",FALSE,SUMPRODUCT(--ISNUMBER(SEARCH(","&amp;TRIM(TEXTSPLIT(IE74,","))&amp;",",","&amp;SUBSTITUTE(input_story_type," ","")&amp;",")))&gt;0)),IF(IG74="",TRUE,IF(input_story_type="",FALSE,SUMPRODUCT(--ISNUMBER(SEARCH(","&amp;TRIM(TEXTSPLIT(IG74,","))&amp;",",","&amp;SUBSTITUTE(input_story_type," ","")&amp;",")))=COUNTA(TEXTSPLIT(IG74,",")))))</f>
        <v/>
      </c>
      <c r="JQ74">
        <f>AND(IF(II74="",TRUE,IF(input_topics="",FALSE,SUMPRODUCT(--ISNUMBER(SEARCH(","&amp;TRIM(TEXTSPLIT(II74,","))&amp;",",","&amp;SUBSTITUTE(input_topics," ","")&amp;",")))&gt;0)),IF(IK74="",TRUE,IF(input_topics="",FALSE,SUMPRODUCT(--ISNUMBER(SEARCH(","&amp;TRIM(TEXTSPLIT(IK74,","))&amp;",",","&amp;SUBSTITUTE(input_topics," ","")&amp;",")))=COUNTA(TEXTSPLIT(IK74,",")))),IF(IM74="",TRUE,IF(input_topics="",TRUE,SUMPRODUCT(--ISNUMBER(SEARCH(","&amp;TRIM(TEXTSPLIT(IM74,","))&amp;",",","&amp;SUBSTITUTE(input_topics," ","")&amp;",")))=0)),IF(IO74="",TRUE,IF(input_topics="",FALSE,SUMPRODUCT(--ISNUMBER(SEARCH(","&amp;TRIM(TEXTSPLIT(IO74,","))&amp;",",","&amp;SUBSTITUTE(input_topics," ","")&amp;",")))&gt;0)),IF(IQ74="",TRUE,IF(input_topics="",FALSE,SUMPRODUCT(--ISNUMBER(SEARCH(","&amp;TRIM(TEXTSPLIT(IQ74,","))&amp;",",","&amp;SUBSTITUTE(input_topics," ","")&amp;",")))=COUNTA(TEXTSPLIT(IQ74,",")))))</f>
        <v/>
      </c>
    </row>
    <row r="75">
      <c r="A75" s="4">
        <f>IF(NOT(IS75),"Excluded",IF(AND(IT75,IU75,IV75,IW75,IX75,IY75,IZ75,JA75,JB75,JC75,JD75,JE75,JF75,JG75,JH75,JI75,JJ75,JK75,JL75,JM75,JN75,JO75,JP75,JQ75),IF(I75&gt;0,"Eligible but limited","Will appear"),"Excluded"))</f>
        <v/>
      </c>
      <c r="B75" s="4" t="inlineStr">
        <is>
          <t>Blogs - Summary</t>
        </is>
      </c>
      <c r="C75" s="4" t="inlineStr">
        <is>
          <t>/</t>
        </is>
      </c>
      <c r="D75" s="4" t="inlineStr">
        <is>
          <t>/</t>
        </is>
      </c>
      <c r="E75" s="4" t="n">
        <v>1</v>
      </c>
      <c r="F75" s="4" t="inlineStr">
        <is>
          <t>story</t>
        </is>
      </c>
      <c r="G75" s="4" t="inlineStr">
        <is>
          <t>stories_mosaic_grid</t>
        </is>
      </c>
      <c r="H75" s="4" t="inlineStr">
        <is>
          <t>embed_blog_summary</t>
        </is>
      </c>
      <c r="I75" s="4" t="n">
        <v>1</v>
      </c>
      <c r="J75" s="4" t="inlineStr">
        <is>
          <t>View/config rules</t>
        </is>
      </c>
      <c r="K75" s="4" t="inlineStr">
        <is>
          <t>Page placement</t>
        </is>
      </c>
      <c r="L75" s="4" t="inlineStr">
        <is>
          <t>Content type: story; Needs any Story Type: Blog (974); Limited to 1 item(s); Source: View/config rules</t>
        </is>
      </c>
      <c r="M75" t="inlineStr"/>
      <c r="N75" t="inlineStr"/>
      <c r="O75" t="inlineStr"/>
      <c r="P75" t="inlineStr"/>
      <c r="Q75" t="inlineStr"/>
      <c r="R75" t="inlineStr"/>
      <c r="S75" t="inlineStr"/>
      <c r="T75" t="inlineStr"/>
      <c r="U75" t="inlineStr"/>
      <c r="V75" t="inlineStr"/>
      <c r="W75" t="inlineStr"/>
      <c r="X75" t="inlineStr"/>
      <c r="Y75" t="inlineStr"/>
      <c r="Z75" t="inlineStr"/>
      <c r="AA75" t="inlineStr"/>
      <c r="AB75" t="inlineStr"/>
      <c r="AC75" t="inlineStr"/>
      <c r="AD75" t="inlineStr"/>
      <c r="AE75" t="inlineStr"/>
      <c r="AF75" t="inlineStr"/>
      <c r="AG75" t="inlineStr"/>
      <c r="AH75" t="inlineStr"/>
      <c r="AI75" t="inlineStr"/>
      <c r="AJ75" t="inlineStr"/>
      <c r="AK75" t="inlineStr"/>
      <c r="AL75" t="inlineStr"/>
      <c r="AM75" t="inlineStr"/>
      <c r="AN75" t="inlineStr"/>
      <c r="AO75" t="inlineStr"/>
      <c r="AP75" t="inlineStr"/>
      <c r="AQ75" t="inlineStr"/>
      <c r="AR75" t="inlineStr"/>
      <c r="AS75" t="inlineStr"/>
      <c r="AT75" t="inlineStr"/>
      <c r="AU75" t="inlineStr"/>
      <c r="AV75" t="inlineStr"/>
      <c r="AW75" t="inlineStr"/>
      <c r="AX75" t="inlineStr"/>
      <c r="AY75" t="inlineStr"/>
      <c r="AZ75" t="inlineStr"/>
      <c r="BA75" t="inlineStr"/>
      <c r="BB75" t="inlineStr"/>
      <c r="BC75" t="inlineStr"/>
      <c r="BD75" t="inlineStr"/>
      <c r="BE75" t="inlineStr"/>
      <c r="BF75" t="inlineStr"/>
      <c r="BG75" t="inlineStr"/>
      <c r="BH75" t="inlineStr"/>
      <c r="BI75" t="inlineStr"/>
      <c r="BJ75" t="inlineStr"/>
      <c r="BK75" t="inlineStr"/>
      <c r="BL75" t="inlineStr"/>
      <c r="BM75" t="inlineStr"/>
      <c r="BN75" t="inlineStr"/>
      <c r="BO75" t="inlineStr"/>
      <c r="BP75" t="inlineStr"/>
      <c r="BQ75" t="inlineStr"/>
      <c r="BR75" t="inlineStr"/>
      <c r="BS75" t="inlineStr"/>
      <c r="BT75" t="inlineStr"/>
      <c r="BU75" t="inlineStr"/>
      <c r="BV75" t="inlineStr"/>
      <c r="BW75" t="inlineStr"/>
      <c r="BX75" t="inlineStr"/>
      <c r="BY75" t="inlineStr"/>
      <c r="BZ75" t="inlineStr"/>
      <c r="CA75" t="inlineStr"/>
      <c r="CB75" t="inlineStr"/>
      <c r="CC75" t="inlineStr"/>
      <c r="CD75" t="inlineStr"/>
      <c r="CE75" t="inlineStr"/>
      <c r="CF75" t="inlineStr"/>
      <c r="CG75" t="inlineStr"/>
      <c r="CH75" t="inlineStr"/>
      <c r="CI75" t="inlineStr"/>
      <c r="CJ75" t="inlineStr"/>
      <c r="CK75" t="inlineStr"/>
      <c r="CL75" t="inlineStr"/>
      <c r="CM75" t="inlineStr"/>
      <c r="CN75" t="inlineStr"/>
      <c r="CO75" t="inlineStr"/>
      <c r="CP75" t="inlineStr"/>
      <c r="CQ75" t="inlineStr"/>
      <c r="CR75" t="inlineStr"/>
      <c r="CS75" t="inlineStr"/>
      <c r="CT75" t="inlineStr"/>
      <c r="CU75" t="inlineStr"/>
      <c r="CV75" t="inlineStr"/>
      <c r="CW75" t="inlineStr"/>
      <c r="CX75" t="inlineStr"/>
      <c r="CY75" t="inlineStr"/>
      <c r="CZ75" t="inlineStr"/>
      <c r="DA75" t="inlineStr"/>
      <c r="DB75" t="inlineStr"/>
      <c r="DC75" t="inlineStr"/>
      <c r="DD75" t="inlineStr"/>
      <c r="DE75" t="inlineStr"/>
      <c r="DF75" t="inlineStr"/>
      <c r="DG75" t="inlineStr"/>
      <c r="DH75" t="inlineStr"/>
      <c r="DI75" t="inlineStr"/>
      <c r="DJ75" t="inlineStr"/>
      <c r="DK75" t="inlineStr"/>
      <c r="DL75" t="inlineStr"/>
      <c r="DM75" t="inlineStr"/>
      <c r="DN75" t="inlineStr"/>
      <c r="DO75" t="inlineStr"/>
      <c r="DP75" t="inlineStr"/>
      <c r="DQ75" t="inlineStr"/>
      <c r="DR75" t="inlineStr"/>
      <c r="DS75" t="inlineStr"/>
      <c r="DT75" t="inlineStr"/>
      <c r="DU75" t="inlineStr"/>
      <c r="DV75" t="inlineStr"/>
      <c r="DW75" t="inlineStr"/>
      <c r="DX75" t="inlineStr"/>
      <c r="DY75" t="inlineStr"/>
      <c r="DZ75" t="inlineStr"/>
      <c r="EA75" t="inlineStr"/>
      <c r="EB75" t="inlineStr"/>
      <c r="EC75" t="inlineStr"/>
      <c r="ED75" t="inlineStr"/>
      <c r="EE75" t="inlineStr"/>
      <c r="EF75" t="inlineStr"/>
      <c r="EG75" t="inlineStr"/>
      <c r="EH75" t="inlineStr"/>
      <c r="EI75" t="inlineStr"/>
      <c r="EJ75" t="inlineStr"/>
      <c r="EK75" t="inlineStr"/>
      <c r="EL75" t="inlineStr"/>
      <c r="EM75" t="inlineStr"/>
      <c r="EN75" t="inlineStr"/>
      <c r="EO75" t="inlineStr"/>
      <c r="EP75" t="inlineStr"/>
      <c r="EQ75" t="inlineStr"/>
      <c r="ER75" t="inlineStr"/>
      <c r="ES75" t="inlineStr"/>
      <c r="ET75" t="inlineStr"/>
      <c r="EU75" t="inlineStr"/>
      <c r="EV75" t="inlineStr"/>
      <c r="EW75" t="inlineStr"/>
      <c r="EX75" t="inlineStr"/>
      <c r="EY75" t="inlineStr"/>
      <c r="EZ75" t="inlineStr"/>
      <c r="FA75" t="inlineStr"/>
      <c r="FB75" t="inlineStr"/>
      <c r="FC75" t="inlineStr"/>
      <c r="FD75" t="inlineStr"/>
      <c r="FE75" t="inlineStr"/>
      <c r="FF75" t="inlineStr"/>
      <c r="FG75" t="inlineStr"/>
      <c r="FH75" t="inlineStr"/>
      <c r="FI75" t="inlineStr"/>
      <c r="FJ75" t="inlineStr"/>
      <c r="FK75" t="inlineStr"/>
      <c r="FL75" t="inlineStr"/>
      <c r="FM75" t="inlineStr"/>
      <c r="FN75" t="inlineStr"/>
      <c r="FO75" t="inlineStr"/>
      <c r="FP75" t="inlineStr"/>
      <c r="FQ75" t="inlineStr"/>
      <c r="FR75" t="inlineStr"/>
      <c r="FS75" t="inlineStr"/>
      <c r="FT75" t="inlineStr"/>
      <c r="FU75" t="inlineStr"/>
      <c r="FV75" t="inlineStr"/>
      <c r="FW75" t="inlineStr"/>
      <c r="FX75" t="inlineStr"/>
      <c r="FY75" t="inlineStr"/>
      <c r="FZ75" t="inlineStr"/>
      <c r="GA75" t="inlineStr"/>
      <c r="GB75" t="inlineStr"/>
      <c r="GC75" t="inlineStr"/>
      <c r="GD75" t="inlineStr"/>
      <c r="GE75" t="inlineStr"/>
      <c r="GF75" t="inlineStr"/>
      <c r="GG75" t="inlineStr"/>
      <c r="GH75" t="inlineStr"/>
      <c r="GI75" t="inlineStr"/>
      <c r="GJ75" t="inlineStr"/>
      <c r="GK75" t="inlineStr"/>
      <c r="GL75" t="inlineStr"/>
      <c r="GM75" t="inlineStr"/>
      <c r="GN75" t="inlineStr"/>
      <c r="GO75" t="inlineStr"/>
      <c r="GP75" t="inlineStr"/>
      <c r="GQ75" t="inlineStr"/>
      <c r="GR75" t="inlineStr"/>
      <c r="GS75" t="inlineStr"/>
      <c r="GT75" t="inlineStr"/>
      <c r="GU75" t="inlineStr"/>
      <c r="GV75" t="inlineStr"/>
      <c r="GW75" t="inlineStr"/>
      <c r="GX75" t="inlineStr"/>
      <c r="GY75" t="inlineStr"/>
      <c r="GZ75" t="inlineStr"/>
      <c r="HA75" t="inlineStr"/>
      <c r="HB75" t="inlineStr"/>
      <c r="HC75" t="inlineStr"/>
      <c r="HD75" t="inlineStr"/>
      <c r="HE75" t="inlineStr"/>
      <c r="HF75" t="inlineStr"/>
      <c r="HG75" t="inlineStr"/>
      <c r="HH75" t="inlineStr"/>
      <c r="HI75" t="inlineStr"/>
      <c r="HJ75" t="inlineStr"/>
      <c r="HK75" t="inlineStr"/>
      <c r="HL75" t="inlineStr"/>
      <c r="HM75" t="inlineStr"/>
      <c r="HN75" t="inlineStr"/>
      <c r="HO75" t="inlineStr"/>
      <c r="HP75" t="inlineStr"/>
      <c r="HQ75" t="inlineStr"/>
      <c r="HR75" t="inlineStr"/>
      <c r="HS75" t="inlineStr"/>
      <c r="HT75" t="inlineStr"/>
      <c r="HU75" t="inlineStr"/>
      <c r="HV75" t="inlineStr"/>
      <c r="HW75" t="inlineStr"/>
      <c r="HX75" t="inlineStr"/>
      <c r="HY75" t="inlineStr">
        <is>
          <t>974</t>
        </is>
      </c>
      <c r="HZ75" t="inlineStr">
        <is>
          <t>Blog (974)</t>
        </is>
      </c>
      <c r="IA75" t="inlineStr"/>
      <c r="IB75" t="inlineStr"/>
      <c r="IC75" t="inlineStr"/>
      <c r="ID75" t="inlineStr"/>
      <c r="IE75" t="inlineStr"/>
      <c r="IF75" t="inlineStr"/>
      <c r="IG75" t="inlineStr"/>
      <c r="IH75" t="inlineStr"/>
      <c r="II75" t="inlineStr"/>
      <c r="IJ75" t="inlineStr"/>
      <c r="IK75" t="inlineStr"/>
      <c r="IL75" t="inlineStr"/>
      <c r="IM75" t="inlineStr"/>
      <c r="IN75" t="inlineStr"/>
      <c r="IO75" t="inlineStr"/>
      <c r="IP75" t="inlineStr"/>
      <c r="IQ75" t="inlineStr"/>
      <c r="IR75" t="inlineStr"/>
      <c r="IS75">
        <f>IF(input_content_type="",FALSE,ISNUMBER(SEARCH(","&amp;LOWER(input_content_type)&amp;",",","&amp;LOWER(F75)&amp;",")))</f>
        <v/>
      </c>
      <c r="IT75">
        <f>AND(IF(M75="",TRUE,IF(input_affiliations="",FALSE,SUMPRODUCT(--ISNUMBER(SEARCH(","&amp;TRIM(TEXTSPLIT(M75,","))&amp;",",","&amp;SUBSTITUTE(input_affiliations," ","")&amp;",")))&gt;0)),IF(O75="",TRUE,IF(input_affiliations="",FALSE,SUMPRODUCT(--ISNUMBER(SEARCH(","&amp;TRIM(TEXTSPLIT(O75,","))&amp;",",","&amp;SUBSTITUTE(input_affiliations," ","")&amp;",")))=COUNTA(TEXTSPLIT(O75,",")))),IF(Q75="",TRUE,IF(input_affiliations="",TRUE,SUMPRODUCT(--ISNUMBER(SEARCH(","&amp;TRIM(TEXTSPLIT(Q75,","))&amp;",",","&amp;SUBSTITUTE(input_affiliations," ","")&amp;",")))=0)),IF(S75="",TRUE,IF(input_affiliations="",FALSE,SUMPRODUCT(--ISNUMBER(SEARCH(","&amp;TRIM(TEXTSPLIT(S75,","))&amp;",",","&amp;SUBSTITUTE(input_affiliations," ","")&amp;",")))&gt;0)),IF(U75="",TRUE,IF(input_affiliations="",FALSE,SUMPRODUCT(--ISNUMBER(SEARCH(","&amp;TRIM(TEXTSPLIT(U75,","))&amp;",",","&amp;SUBSTITUTE(input_affiliations," ","")&amp;",")))=COUNTA(TEXTSPLIT(U75,",")))))</f>
        <v/>
      </c>
      <c r="IU75">
        <f>AND(IF(W75="",TRUE,IF(input_announcement_category="",FALSE,SUMPRODUCT(--ISNUMBER(SEARCH(","&amp;TRIM(TEXTSPLIT(W75,","))&amp;",",","&amp;SUBSTITUTE(input_announcement_category," ","")&amp;",")))&gt;0)),IF(Y75="",TRUE,IF(input_announcement_category="",FALSE,SUMPRODUCT(--ISNUMBER(SEARCH(","&amp;TRIM(TEXTSPLIT(Y75,","))&amp;",",","&amp;SUBSTITUTE(input_announcement_category," ","")&amp;",")))=COUNTA(TEXTSPLIT(Y75,",")))),IF(AA75="",TRUE,IF(input_announcement_category="",TRUE,SUMPRODUCT(--ISNUMBER(SEARCH(","&amp;TRIM(TEXTSPLIT(AA75,","))&amp;",",","&amp;SUBSTITUTE(input_announcement_category," ","")&amp;",")))=0)),IF(AC75="",TRUE,IF(input_announcement_category="",FALSE,SUMPRODUCT(--ISNUMBER(SEARCH(","&amp;TRIM(TEXTSPLIT(AC75,","))&amp;",",","&amp;SUBSTITUTE(input_announcement_category," ","")&amp;",")))&gt;0)),IF(AE75="",TRUE,IF(input_announcement_category="",FALSE,SUMPRODUCT(--ISNUMBER(SEARCH(","&amp;TRIM(TEXTSPLIT(AE75,","))&amp;",",","&amp;SUBSTITUTE(input_announcement_category," ","")&amp;",")))=COUNTA(TEXTSPLIT(AE75,",")))))</f>
        <v/>
      </c>
      <c r="IV75">
        <f>AND(IF(AG75="",TRUE,IF(input_area_of_focus="",FALSE,SUMPRODUCT(--ISNUMBER(SEARCH(","&amp;TRIM(TEXTSPLIT(AG75,","))&amp;",",","&amp;SUBSTITUTE(input_area_of_focus," ","")&amp;",")))&gt;0)),IF(AI75="",TRUE,IF(input_area_of_focus="",FALSE,SUMPRODUCT(--ISNUMBER(SEARCH(","&amp;TRIM(TEXTSPLIT(AI75,","))&amp;",",","&amp;SUBSTITUTE(input_area_of_focus," ","")&amp;",")))=COUNTA(TEXTSPLIT(AI75,",")))),IF(AK75="",TRUE,IF(input_area_of_focus="",TRUE,SUMPRODUCT(--ISNUMBER(SEARCH(","&amp;TRIM(TEXTSPLIT(AK75,","))&amp;",",","&amp;SUBSTITUTE(input_area_of_focus," ","")&amp;",")))=0)),IF(AM75="",TRUE,IF(input_area_of_focus="",FALSE,SUMPRODUCT(--ISNUMBER(SEARCH(","&amp;TRIM(TEXTSPLIT(AM75,","))&amp;",",","&amp;SUBSTITUTE(input_area_of_focus," ","")&amp;",")))&gt;0)),IF(AO75="",TRUE,IF(input_area_of_focus="",FALSE,SUMPRODUCT(--ISNUMBER(SEARCH(","&amp;TRIM(TEXTSPLIT(AO75,","))&amp;",",","&amp;SUBSTITUTE(input_area_of_focus," ","")&amp;",")))=COUNTA(TEXTSPLIT(AO75,",")))))</f>
        <v/>
      </c>
      <c r="IW75">
        <f>AND(IF(AQ75="",TRUE,IF(input_audience="",FALSE,SUMPRODUCT(--ISNUMBER(SEARCH(","&amp;TRIM(TEXTSPLIT(AQ75,","))&amp;",",","&amp;SUBSTITUTE(input_audience," ","")&amp;",")))&gt;0)),IF(AS75="",TRUE,IF(input_audience="",FALSE,SUMPRODUCT(--ISNUMBER(SEARCH(","&amp;TRIM(TEXTSPLIT(AS75,","))&amp;",",","&amp;SUBSTITUTE(input_audience," ","")&amp;",")))=COUNTA(TEXTSPLIT(AS75,",")))),IF(AU75="",TRUE,IF(input_audience="",TRUE,SUMPRODUCT(--ISNUMBER(SEARCH(","&amp;TRIM(TEXTSPLIT(AU75,","))&amp;",",","&amp;SUBSTITUTE(input_audience," ","")&amp;",")))=0)),IF(AW75="",TRUE,IF(input_audience="",FALSE,SUMPRODUCT(--ISNUMBER(SEARCH(","&amp;TRIM(TEXTSPLIT(AW75,","))&amp;",",","&amp;SUBSTITUTE(input_audience," ","")&amp;",")))&gt;0)),IF(AY75="",TRUE,IF(input_audience="",FALSE,SUMPRODUCT(--ISNUMBER(SEARCH(","&amp;TRIM(TEXTSPLIT(AY75,","))&amp;",",","&amp;SUBSTITUTE(input_audience," ","")&amp;",")))=COUNTA(TEXTSPLIT(AY75,",")))))</f>
        <v/>
      </c>
      <c r="IX75">
        <f>AND(IF(BA75="",TRUE,IF(input_challenge_opportunities="",FALSE,SUMPRODUCT(--ISNUMBER(SEARCH(","&amp;TRIM(TEXTSPLIT(BA75,","))&amp;",",","&amp;SUBSTITUTE(input_challenge_opportunities," ","")&amp;",")))&gt;0)),IF(BC75="",TRUE,IF(input_challenge_opportunities="",FALSE,SUMPRODUCT(--ISNUMBER(SEARCH(","&amp;TRIM(TEXTSPLIT(BC75,","))&amp;",",","&amp;SUBSTITUTE(input_challenge_opportunities," ","")&amp;",")))=COUNTA(TEXTSPLIT(BC75,",")))),IF(BE75="",TRUE,IF(input_challenge_opportunities="",TRUE,SUMPRODUCT(--ISNUMBER(SEARCH(","&amp;TRIM(TEXTSPLIT(BE75,","))&amp;",",","&amp;SUBSTITUTE(input_challenge_opportunities," ","")&amp;",")))=0)),IF(BG75="",TRUE,IF(input_challenge_opportunities="",FALSE,SUMPRODUCT(--ISNUMBER(SEARCH(","&amp;TRIM(TEXTSPLIT(BG75,","))&amp;",",","&amp;SUBSTITUTE(input_challenge_opportunities," ","")&amp;",")))&gt;0)),IF(BI75="",TRUE,IF(input_challenge_opportunities="",FALSE,SUMPRODUCT(--ISNUMBER(SEARCH(","&amp;TRIM(TEXTSPLIT(BI75,","))&amp;",",","&amp;SUBSTITUTE(input_challenge_opportunities," ","")&amp;",")))=COUNTA(TEXTSPLIT(BI75,",")))))</f>
        <v/>
      </c>
      <c r="IY75">
        <f>AND(IF(BK75="",TRUE,IF(input_context="",FALSE,SUMPRODUCT(--ISNUMBER(SEARCH(","&amp;TRIM(TEXTSPLIT(BK75,","))&amp;",",","&amp;SUBSTITUTE(input_context," ","")&amp;",")))&gt;0)),IF(BM75="",TRUE,IF(input_context="",FALSE,SUMPRODUCT(--ISNUMBER(SEARCH(","&amp;TRIM(TEXTSPLIT(BM75,","))&amp;",",","&amp;SUBSTITUTE(input_context," ","")&amp;",")))=COUNTA(TEXTSPLIT(BM75,",")))),IF(BO75="",TRUE,IF(input_context="",TRUE,SUMPRODUCT(--ISNUMBER(SEARCH(","&amp;TRIM(TEXTSPLIT(BO75,","))&amp;",",","&amp;SUBSTITUTE(input_context," ","")&amp;",")))=0)),IF(BQ75="",TRUE,IF(input_context="",FALSE,SUMPRODUCT(--ISNUMBER(SEARCH(","&amp;TRIM(TEXTSPLIT(BQ75,","))&amp;",",","&amp;SUBSTITUTE(input_context," ","")&amp;",")))&gt;0)),IF(BS75="",TRUE,IF(input_context="",FALSE,SUMPRODUCT(--ISNUMBER(SEARCH(","&amp;TRIM(TEXTSPLIT(BS75,","))&amp;",",","&amp;SUBSTITUTE(input_context," ","")&amp;",")))=COUNTA(TEXTSPLIT(BS75,",")))))</f>
        <v/>
      </c>
      <c r="IZ75">
        <f>AND(IF(BU75="",TRUE,IF(input_enews_announcement_type="",FALSE,SUMPRODUCT(--ISNUMBER(SEARCH(","&amp;TRIM(TEXTSPLIT(BU75,","))&amp;",",","&amp;SUBSTITUTE(input_enews_announcement_type," ","")&amp;",")))&gt;0)),IF(BW75="",TRUE,IF(input_enews_announcement_type="",FALSE,SUMPRODUCT(--ISNUMBER(SEARCH(","&amp;TRIM(TEXTSPLIT(BW75,","))&amp;",",","&amp;SUBSTITUTE(input_enews_announcement_type," ","")&amp;",")))=COUNTA(TEXTSPLIT(BW75,",")))),IF(BY75="",TRUE,IF(input_enews_announcement_type="",TRUE,SUMPRODUCT(--ISNUMBER(SEARCH(","&amp;TRIM(TEXTSPLIT(BY75,","))&amp;",",","&amp;SUBSTITUTE(input_enews_announcement_type," ","")&amp;",")))=0)),IF(CA75="",TRUE,IF(input_enews_announcement_type="",FALSE,SUMPRODUCT(--ISNUMBER(SEARCH(","&amp;TRIM(TEXTSPLIT(CA75,","))&amp;",",","&amp;SUBSTITUTE(input_enews_announcement_type," ","")&amp;",")))&gt;0)),IF(CC75="",TRUE,IF(input_enews_announcement_type="",FALSE,SUMPRODUCT(--ISNUMBER(SEARCH(","&amp;TRIM(TEXTSPLIT(CC75,","))&amp;",",","&amp;SUBSTITUTE(input_enews_announcement_type," ","")&amp;",")))=COUNTA(TEXTSPLIT(CC75,",")))))</f>
        <v/>
      </c>
      <c r="JA75">
        <f>AND(IF(CE75="",TRUE,IF(input_enews_audience="",FALSE,SUMPRODUCT(--ISNUMBER(SEARCH(","&amp;TRIM(TEXTSPLIT(CE75,","))&amp;",",","&amp;SUBSTITUTE(input_enews_audience," ","")&amp;",")))&gt;0)),IF(CG75="",TRUE,IF(input_enews_audience="",FALSE,SUMPRODUCT(--ISNUMBER(SEARCH(","&amp;TRIM(TEXTSPLIT(CG75,","))&amp;",",","&amp;SUBSTITUTE(input_enews_audience," ","")&amp;",")))=COUNTA(TEXTSPLIT(CG75,",")))),IF(CI75="",TRUE,IF(input_enews_audience="",TRUE,SUMPRODUCT(--ISNUMBER(SEARCH(","&amp;TRIM(TEXTSPLIT(CI75,","))&amp;",",","&amp;SUBSTITUTE(input_enews_audience," ","")&amp;",")))=0)),IF(CK75="",TRUE,IF(input_enews_audience="",FALSE,SUMPRODUCT(--ISNUMBER(SEARCH(","&amp;TRIM(TEXTSPLIT(CK75,","))&amp;",",","&amp;SUBSTITUTE(input_enews_audience," ","")&amp;",")))&gt;0)),IF(CM75="",TRUE,IF(input_enews_audience="",FALSE,SUMPRODUCT(--ISNUMBER(SEARCH(","&amp;TRIM(TEXTSPLIT(CM75,","))&amp;",",","&amp;SUBSTITUTE(input_enews_audience," ","")&amp;",")))=COUNTA(TEXTSPLIT(CM75,",")))))</f>
        <v/>
      </c>
      <c r="JB75">
        <f>AND(IF(CO75="",TRUE,IF(input_event_location="",FALSE,SUMPRODUCT(--ISNUMBER(SEARCH(","&amp;TRIM(TEXTSPLIT(CO75,","))&amp;",",","&amp;SUBSTITUTE(input_event_location," ","")&amp;",")))&gt;0)),IF(CQ75="",TRUE,IF(input_event_location="",FALSE,SUMPRODUCT(--ISNUMBER(SEARCH(","&amp;TRIM(TEXTSPLIT(CQ75,","))&amp;",",","&amp;SUBSTITUTE(input_event_location," ","")&amp;",")))=COUNTA(TEXTSPLIT(CQ75,",")))),IF(CS75="",TRUE,IF(input_event_location="",TRUE,SUMPRODUCT(--ISNUMBER(SEARCH(","&amp;TRIM(TEXTSPLIT(CS75,","))&amp;",",","&amp;SUBSTITUTE(input_event_location," ","")&amp;",")))=0)),IF(CU75="",TRUE,IF(input_event_location="",FALSE,SUMPRODUCT(--ISNUMBER(SEARCH(","&amp;TRIM(TEXTSPLIT(CU75,","))&amp;",",","&amp;SUBSTITUTE(input_event_location," ","")&amp;",")))&gt;0)),IF(CW75="",TRUE,IF(input_event_location="",FALSE,SUMPRODUCT(--ISNUMBER(SEARCH(","&amp;TRIM(TEXTSPLIT(CW75,","))&amp;",",","&amp;SUBSTITUTE(input_event_location," ","")&amp;",")))=COUNTA(TEXTSPLIT(CW75,",")))))</f>
        <v/>
      </c>
      <c r="JC75">
        <f>AND(IF(CY75="",TRUE,IF(input_event_type="",FALSE,SUMPRODUCT(--ISNUMBER(SEARCH(","&amp;TRIM(TEXTSPLIT(CY75,","))&amp;",",","&amp;SUBSTITUTE(input_event_type," ","")&amp;",")))&gt;0)),IF(DA75="",TRUE,IF(input_event_type="",FALSE,SUMPRODUCT(--ISNUMBER(SEARCH(","&amp;TRIM(TEXTSPLIT(DA75,","))&amp;",",","&amp;SUBSTITUTE(input_event_type," ","")&amp;",")))=COUNTA(TEXTSPLIT(DA75,",")))),IF(DC75="",TRUE,IF(input_event_type="",TRUE,SUMPRODUCT(--ISNUMBER(SEARCH(","&amp;TRIM(TEXTSPLIT(DC75,","))&amp;",",","&amp;SUBSTITUTE(input_event_type," ","")&amp;",")))=0)),IF(DE75="",TRUE,IF(input_event_type="",FALSE,SUMPRODUCT(--ISNUMBER(SEARCH(","&amp;TRIM(TEXTSPLIT(DE75,","))&amp;",",","&amp;SUBSTITUTE(input_event_type," ","")&amp;",")))&gt;0)),IF(DG75="",TRUE,IF(input_event_type="",FALSE,SUMPRODUCT(--ISNUMBER(SEARCH(","&amp;TRIM(TEXTSPLIT(DG75,","))&amp;",",","&amp;SUBSTITUTE(input_event_type," ","")&amp;",")))=COUNTA(TEXTSPLIT(DG75,",")))))</f>
        <v/>
      </c>
      <c r="JD75">
        <f>AND(IF(DI75="",TRUE,IF(input_executive_education_focus="",FALSE,SUMPRODUCT(--ISNUMBER(SEARCH(","&amp;TRIM(TEXTSPLIT(DI75,","))&amp;",",","&amp;SUBSTITUTE(input_executive_education_focus," ","")&amp;",")))&gt;0)),IF(DK75="",TRUE,IF(input_executive_education_focus="",FALSE,SUMPRODUCT(--ISNUMBER(SEARCH(","&amp;TRIM(TEXTSPLIT(DK75,","))&amp;",",","&amp;SUBSTITUTE(input_executive_education_focus," ","")&amp;",")))=COUNTA(TEXTSPLIT(DK75,",")))),IF(DM75="",TRUE,IF(input_executive_education_focus="",TRUE,SUMPRODUCT(--ISNUMBER(SEARCH(","&amp;TRIM(TEXTSPLIT(DM75,","))&amp;",",","&amp;SUBSTITUTE(input_executive_education_focus," ","")&amp;",")))=0)),IF(DO75="",TRUE,IF(input_executive_education_focus="",FALSE,SUMPRODUCT(--ISNUMBER(SEARCH(","&amp;TRIM(TEXTSPLIT(DO75,","))&amp;",",","&amp;SUBSTITUTE(input_executive_education_focus," ","")&amp;",")))&gt;0)),IF(DQ75="",TRUE,IF(input_executive_education_focus="",FALSE,SUMPRODUCT(--ISNUMBER(SEARCH(","&amp;TRIM(TEXTSPLIT(DQ75,","))&amp;",",","&amp;SUBSTITUTE(input_executive_education_focus," ","")&amp;",")))=COUNTA(TEXTSPLIT(DQ75,",")))))</f>
        <v/>
      </c>
      <c r="JE75">
        <f>AND(IF(DS75="",TRUE,IF(input_faculty_category="",FALSE,SUMPRODUCT(--ISNUMBER(SEARCH(","&amp;TRIM(TEXTSPLIT(DS75,","))&amp;",",","&amp;SUBSTITUTE(input_faculty_category," ","")&amp;",")))&gt;0)),IF(DU75="",TRUE,IF(input_faculty_category="",FALSE,SUMPRODUCT(--ISNUMBER(SEARCH(","&amp;TRIM(TEXTSPLIT(DU75,","))&amp;",",","&amp;SUBSTITUTE(input_faculty_category," ","")&amp;",")))=COUNTA(TEXTSPLIT(DU75,",")))),IF(DW75="",TRUE,IF(input_faculty_category="",TRUE,SUMPRODUCT(--ISNUMBER(SEARCH(","&amp;TRIM(TEXTSPLIT(DW75,","))&amp;",",","&amp;SUBSTITUTE(input_faculty_category," ","")&amp;",")))=0)),IF(DY75="",TRUE,IF(input_faculty_category="",FALSE,SUMPRODUCT(--ISNUMBER(SEARCH(","&amp;TRIM(TEXTSPLIT(DY75,","))&amp;",",","&amp;SUBSTITUTE(input_faculty_category," ","")&amp;",")))&gt;0)),IF(EA75="",TRUE,IF(input_faculty_category="",FALSE,SUMPRODUCT(--ISNUMBER(SEARCH(","&amp;TRIM(TEXTSPLIT(EA75,","))&amp;",",","&amp;SUBSTITUTE(input_faculty_category," ","")&amp;",")))=COUNTA(TEXTSPLIT(EA75,",")))))</f>
        <v/>
      </c>
      <c r="JF75">
        <f>AND(IF(EC75="",TRUE,IF(input_faculty_discipline="",FALSE,SUMPRODUCT(--ISNUMBER(SEARCH(","&amp;TRIM(TEXTSPLIT(EC75,","))&amp;",",","&amp;SUBSTITUTE(input_faculty_discipline," ","")&amp;",")))&gt;0)),IF(EE75="",TRUE,IF(input_faculty_discipline="",FALSE,SUMPRODUCT(--ISNUMBER(SEARCH(","&amp;TRIM(TEXTSPLIT(EE75,","))&amp;",",","&amp;SUBSTITUTE(input_faculty_discipline," ","")&amp;",")))=COUNTA(TEXTSPLIT(EE75,",")))),IF(EG75="",TRUE,IF(input_faculty_discipline="",TRUE,SUMPRODUCT(--ISNUMBER(SEARCH(","&amp;TRIM(TEXTSPLIT(EG75,","))&amp;",",","&amp;SUBSTITUTE(input_faculty_discipline," ","")&amp;",")))=0)),IF(EI75="",TRUE,IF(input_faculty_discipline="",FALSE,SUMPRODUCT(--ISNUMBER(SEARCH(","&amp;TRIM(TEXTSPLIT(EI75,","))&amp;",",","&amp;SUBSTITUTE(input_faculty_discipline," ","")&amp;",")))&gt;0)),IF(EK75="",TRUE,IF(input_faculty_discipline="",FALSE,SUMPRODUCT(--ISNUMBER(SEARCH(","&amp;TRIM(TEXTSPLIT(EK75,","))&amp;",",","&amp;SUBSTITUTE(input_faculty_discipline," ","")&amp;",")))=COUNTA(TEXTSPLIT(EK75,",")))))</f>
        <v/>
      </c>
      <c r="JG75">
        <f>AND(IF(EM75="",TRUE,IF(input_faculty_expertise="",FALSE,SUMPRODUCT(--ISNUMBER(SEARCH(","&amp;TRIM(TEXTSPLIT(EM75,","))&amp;",",","&amp;SUBSTITUTE(input_faculty_expertise," ","")&amp;",")))&gt;0)),IF(EO75="",TRUE,IF(input_faculty_expertise="",FALSE,SUMPRODUCT(--ISNUMBER(SEARCH(","&amp;TRIM(TEXTSPLIT(EO75,","))&amp;",",","&amp;SUBSTITUTE(input_faculty_expertise," ","")&amp;",")))=COUNTA(TEXTSPLIT(EO75,",")))),IF(EQ75="",TRUE,IF(input_faculty_expertise="",TRUE,SUMPRODUCT(--ISNUMBER(SEARCH(","&amp;TRIM(TEXTSPLIT(EQ75,","))&amp;",",","&amp;SUBSTITUTE(input_faculty_expertise," ","")&amp;",")))=0)),IF(ES75="",TRUE,IF(input_faculty_expertise="",FALSE,SUMPRODUCT(--ISNUMBER(SEARCH(","&amp;TRIM(TEXTSPLIT(ES75,","))&amp;",",","&amp;SUBSTITUTE(input_faculty_expertise," ","")&amp;",")))&gt;0)),IF(EU75="",TRUE,IF(input_faculty_expertise="",FALSE,SUMPRODUCT(--ISNUMBER(SEARCH(","&amp;TRIM(TEXTSPLIT(EU75,","))&amp;",",","&amp;SUBSTITUTE(input_faculty_expertise," ","")&amp;",")))=COUNTA(TEXTSPLIT(EU75,",")))))</f>
        <v/>
      </c>
      <c r="JH75">
        <f>AND(IF(EW75="",TRUE,IF(input_global_network_school="",FALSE,SUMPRODUCT(--ISNUMBER(SEARCH(","&amp;TRIM(TEXTSPLIT(EW75,","))&amp;",",","&amp;SUBSTITUTE(input_global_network_school," ","")&amp;",")))&gt;0)),IF(EY75="",TRUE,IF(input_global_network_school="",FALSE,SUMPRODUCT(--ISNUMBER(SEARCH(","&amp;TRIM(TEXTSPLIT(EY75,","))&amp;",",","&amp;SUBSTITUTE(input_global_network_school," ","")&amp;",")))=COUNTA(TEXTSPLIT(EY75,",")))),IF(FA75="",TRUE,IF(input_global_network_school="",TRUE,SUMPRODUCT(--ISNUMBER(SEARCH(","&amp;TRIM(TEXTSPLIT(FA75,","))&amp;",",","&amp;SUBSTITUTE(input_global_network_school," ","")&amp;",")))=0)),IF(FC75="",TRUE,IF(input_global_network_school="",FALSE,SUMPRODUCT(--ISNUMBER(SEARCH(","&amp;TRIM(TEXTSPLIT(FC75,","))&amp;",",","&amp;SUBSTITUTE(input_global_network_school," ","")&amp;",")))&gt;0)),IF(FE75="",TRUE,IF(input_global_network_school="",FALSE,SUMPRODUCT(--ISNUMBER(SEARCH(","&amp;TRIM(TEXTSPLIT(FE75,","))&amp;",",","&amp;SUBSTITUTE(input_global_network_school," ","")&amp;",")))=COUNTA(TEXTSPLIT(FE75,",")))))</f>
        <v/>
      </c>
      <c r="JI75">
        <f>AND(IF(FG75="",TRUE,IF(input_industry="",FALSE,SUMPRODUCT(--ISNUMBER(SEARCH(","&amp;TRIM(TEXTSPLIT(FG75,","))&amp;",",","&amp;SUBSTITUTE(input_industry," ","")&amp;",")))&gt;0)),IF(FI75="",TRUE,IF(input_industry="",FALSE,SUMPRODUCT(--ISNUMBER(SEARCH(","&amp;TRIM(TEXTSPLIT(FI75,","))&amp;",",","&amp;SUBSTITUTE(input_industry," ","")&amp;",")))=COUNTA(TEXTSPLIT(FI75,",")))),IF(FK75="",TRUE,IF(input_industry="",TRUE,SUMPRODUCT(--ISNUMBER(SEARCH(","&amp;TRIM(TEXTSPLIT(FK75,","))&amp;",",","&amp;SUBSTITUTE(input_industry," ","")&amp;",")))=0)),IF(FM75="",TRUE,IF(input_industry="",FALSE,SUMPRODUCT(--ISNUMBER(SEARCH(","&amp;TRIM(TEXTSPLIT(FM75,","))&amp;",",","&amp;SUBSTITUTE(input_industry," ","")&amp;",")))&gt;0)),IF(FO75="",TRUE,IF(input_industry="",FALSE,SUMPRODUCT(--ISNUMBER(SEARCH(","&amp;TRIM(TEXTSPLIT(FO75,","))&amp;",",","&amp;SUBSTITUTE(input_industry," ","")&amp;",")))=COUNTA(TEXTSPLIT(FO75,",")))))</f>
        <v/>
      </c>
      <c r="JJ75">
        <f>AND(IF(FQ75="",TRUE,IF(input_location="",FALSE,SUMPRODUCT(--ISNUMBER(SEARCH(","&amp;TRIM(TEXTSPLIT(FQ75,","))&amp;",",","&amp;SUBSTITUTE(input_location," ","")&amp;",")))&gt;0)),IF(FS75="",TRUE,IF(input_location="",FALSE,SUMPRODUCT(--ISNUMBER(SEARCH(","&amp;TRIM(TEXTSPLIT(FS75,","))&amp;",",","&amp;SUBSTITUTE(input_location," ","")&amp;",")))=COUNTA(TEXTSPLIT(FS75,",")))),IF(FU75="",TRUE,IF(input_location="",TRUE,SUMPRODUCT(--ISNUMBER(SEARCH(","&amp;TRIM(TEXTSPLIT(FU75,","))&amp;",",","&amp;SUBSTITUTE(input_location," ","")&amp;",")))=0)),IF(FW75="",TRUE,IF(input_location="",FALSE,SUMPRODUCT(--ISNUMBER(SEARCH(","&amp;TRIM(TEXTSPLIT(FW75,","))&amp;",",","&amp;SUBSTITUTE(input_location," ","")&amp;",")))&gt;0)),IF(FY75="",TRUE,IF(input_location="",FALSE,SUMPRODUCT(--ISNUMBER(SEARCH(","&amp;TRIM(TEXTSPLIT(FY75,","))&amp;",",","&amp;SUBSTITUTE(input_location," ","")&amp;",")))=COUNTA(TEXTSPLIT(FY75,",")))))</f>
        <v/>
      </c>
      <c r="JK75">
        <f>AND(IF(GA75="",TRUE,IF(input_modality="",FALSE,SUMPRODUCT(--ISNUMBER(SEARCH(","&amp;TRIM(TEXTSPLIT(GA75,","))&amp;",",","&amp;SUBSTITUTE(input_modality," ","")&amp;",")))&gt;0)),IF(GC75="",TRUE,IF(input_modality="",FALSE,SUMPRODUCT(--ISNUMBER(SEARCH(","&amp;TRIM(TEXTSPLIT(GC75,","))&amp;",",","&amp;SUBSTITUTE(input_modality," ","")&amp;",")))=COUNTA(TEXTSPLIT(GC75,",")))),IF(GE75="",TRUE,IF(input_modality="",TRUE,SUMPRODUCT(--ISNUMBER(SEARCH(","&amp;TRIM(TEXTSPLIT(GE75,","))&amp;",",","&amp;SUBSTITUTE(input_modality," ","")&amp;",")))=0)),IF(GG75="",TRUE,IF(input_modality="",FALSE,SUMPRODUCT(--ISNUMBER(SEARCH(","&amp;TRIM(TEXTSPLIT(GG75,","))&amp;",",","&amp;SUBSTITUTE(input_modality," ","")&amp;",")))&gt;0)),IF(GI75="",TRUE,IF(input_modality="",FALSE,SUMPRODUCT(--ISNUMBER(SEARCH(","&amp;TRIM(TEXTSPLIT(GI75,","))&amp;",",","&amp;SUBSTITUTE(input_modality," ","")&amp;",")))=COUNTA(TEXTSPLIT(GI75,",")))))</f>
        <v/>
      </c>
      <c r="JL75">
        <f>AND(IF(GK75="",TRUE,IF(input_organizer="",FALSE,SUMPRODUCT(--ISNUMBER(SEARCH(","&amp;TRIM(TEXTSPLIT(GK75,","))&amp;",",","&amp;SUBSTITUTE(input_organizer," ","")&amp;",")))&gt;0)),IF(GM75="",TRUE,IF(input_organizer="",FALSE,SUMPRODUCT(--ISNUMBER(SEARCH(","&amp;TRIM(TEXTSPLIT(GM75,","))&amp;",",","&amp;SUBSTITUTE(input_organizer," ","")&amp;",")))=COUNTA(TEXTSPLIT(GM75,",")))),IF(GO75="",TRUE,IF(input_organizer="",TRUE,SUMPRODUCT(--ISNUMBER(SEARCH(","&amp;TRIM(TEXTSPLIT(GO75,","))&amp;",",","&amp;SUBSTITUTE(input_organizer," ","")&amp;",")))=0)),IF(GQ75="",TRUE,IF(input_organizer="",FALSE,SUMPRODUCT(--ISNUMBER(SEARCH(","&amp;TRIM(TEXTSPLIT(GQ75,","))&amp;",",","&amp;SUBSTITUTE(input_organizer," ","")&amp;",")))&gt;0)),IF(GS75="",TRUE,IF(input_organizer="",FALSE,SUMPRODUCT(--ISNUMBER(SEARCH(","&amp;TRIM(TEXTSPLIT(GS75,","))&amp;",",","&amp;SUBSTITUTE(input_organizer," ","")&amp;",")))=COUNTA(TEXTSPLIT(GS75,",")))))</f>
        <v/>
      </c>
      <c r="JM75">
        <f>AND(IF(GU75="",TRUE,IF(input_profile_type="",FALSE,SUMPRODUCT(--ISNUMBER(SEARCH(","&amp;TRIM(TEXTSPLIT(GU75,","))&amp;",",","&amp;SUBSTITUTE(input_profile_type," ","")&amp;",")))&gt;0)),IF(GW75="",TRUE,IF(input_profile_type="",FALSE,SUMPRODUCT(--ISNUMBER(SEARCH(","&amp;TRIM(TEXTSPLIT(GW75,","))&amp;",",","&amp;SUBSTITUTE(input_profile_type," ","")&amp;",")))=COUNTA(TEXTSPLIT(GW75,",")))),IF(GY75="",TRUE,IF(input_profile_type="",TRUE,SUMPRODUCT(--ISNUMBER(SEARCH(","&amp;TRIM(TEXTSPLIT(GY75,","))&amp;",",","&amp;SUBSTITUTE(input_profile_type," ","")&amp;",")))=0)),IF(HA75="",TRUE,IF(input_profile_type="",FALSE,SUMPRODUCT(--ISNUMBER(SEARCH(","&amp;TRIM(TEXTSPLIT(HA75,","))&amp;",",","&amp;SUBSTITUTE(input_profile_type," ","")&amp;",")))&gt;0)),IF(HC75="",TRUE,IF(input_profile_type="",FALSE,SUMPRODUCT(--ISNUMBER(SEARCH(","&amp;TRIM(TEXTSPLIT(HC75,","))&amp;",",","&amp;SUBSTITUTE(input_profile_type," ","")&amp;",")))=COUNTA(TEXTSPLIT(HC75,",")))))</f>
        <v/>
      </c>
      <c r="JN75">
        <f>AND(IF(HE75="",TRUE,IF(input_program="",FALSE,SUMPRODUCT(--ISNUMBER(SEARCH(","&amp;TRIM(TEXTSPLIT(HE75,","))&amp;",",","&amp;SUBSTITUTE(input_program," ","")&amp;",")))&gt;0)),IF(HG75="",TRUE,IF(input_program="",FALSE,SUMPRODUCT(--ISNUMBER(SEARCH(","&amp;TRIM(TEXTSPLIT(HG75,","))&amp;",",","&amp;SUBSTITUTE(input_program," ","")&amp;",")))=COUNTA(TEXTSPLIT(HG75,",")))),IF(HI75="",TRUE,IF(input_program="",TRUE,SUMPRODUCT(--ISNUMBER(SEARCH(","&amp;TRIM(TEXTSPLIT(HI75,","))&amp;",",","&amp;SUBSTITUTE(input_program," ","")&amp;",")))=0)),IF(HK75="",TRUE,IF(input_program="",FALSE,SUMPRODUCT(--ISNUMBER(SEARCH(","&amp;TRIM(TEXTSPLIT(HK75,","))&amp;",",","&amp;SUBSTITUTE(input_program," ","")&amp;",")))&gt;0)),IF(HM75="",TRUE,IF(input_program="",FALSE,SUMPRODUCT(--ISNUMBER(SEARCH(","&amp;TRIM(TEXTSPLIT(HM75,","))&amp;",",","&amp;SUBSTITUTE(input_program," ","")&amp;",")))=COUNTA(TEXTSPLIT(HM75,",")))))</f>
        <v/>
      </c>
      <c r="JO75">
        <f>AND(IF(HO75="",TRUE,IF(input_story_categories="",FALSE,SUMPRODUCT(--ISNUMBER(SEARCH(","&amp;TRIM(TEXTSPLIT(HO75,","))&amp;",",","&amp;SUBSTITUTE(input_story_categories," ","")&amp;",")))&gt;0)),IF(HQ75="",TRUE,IF(input_story_categories="",FALSE,SUMPRODUCT(--ISNUMBER(SEARCH(","&amp;TRIM(TEXTSPLIT(HQ75,","))&amp;",",","&amp;SUBSTITUTE(input_story_categories," ","")&amp;",")))=COUNTA(TEXTSPLIT(HQ75,",")))),IF(HS75="",TRUE,IF(input_story_categories="",TRUE,SUMPRODUCT(--ISNUMBER(SEARCH(","&amp;TRIM(TEXTSPLIT(HS75,","))&amp;",",","&amp;SUBSTITUTE(input_story_categories," ","")&amp;",")))=0)),IF(HU75="",TRUE,IF(input_story_categories="",FALSE,SUMPRODUCT(--ISNUMBER(SEARCH(","&amp;TRIM(TEXTSPLIT(HU75,","))&amp;",",","&amp;SUBSTITUTE(input_story_categories," ","")&amp;",")))&gt;0)),IF(HW75="",TRUE,IF(input_story_categories="",FALSE,SUMPRODUCT(--ISNUMBER(SEARCH(","&amp;TRIM(TEXTSPLIT(HW75,","))&amp;",",","&amp;SUBSTITUTE(input_story_categories," ","")&amp;",")))=COUNTA(TEXTSPLIT(HW75,",")))))</f>
        <v/>
      </c>
      <c r="JP75">
        <f>AND(IF(HY75="",TRUE,IF(input_story_type="",FALSE,SUMPRODUCT(--ISNUMBER(SEARCH(","&amp;TRIM(TEXTSPLIT(HY75,","))&amp;",",","&amp;SUBSTITUTE(input_story_type," ","")&amp;",")))&gt;0)),IF(IA75="",TRUE,IF(input_story_type="",FALSE,SUMPRODUCT(--ISNUMBER(SEARCH(","&amp;TRIM(TEXTSPLIT(IA75,","))&amp;",",","&amp;SUBSTITUTE(input_story_type," ","")&amp;",")))=COUNTA(TEXTSPLIT(IA75,",")))),IF(IC75="",TRUE,IF(input_story_type="",TRUE,SUMPRODUCT(--ISNUMBER(SEARCH(","&amp;TRIM(TEXTSPLIT(IC75,","))&amp;",",","&amp;SUBSTITUTE(input_story_type," ","")&amp;",")))=0)),IF(IE75="",TRUE,IF(input_story_type="",FALSE,SUMPRODUCT(--ISNUMBER(SEARCH(","&amp;TRIM(TEXTSPLIT(IE75,","))&amp;",",","&amp;SUBSTITUTE(input_story_type," ","")&amp;",")))&gt;0)),IF(IG75="",TRUE,IF(input_story_type="",FALSE,SUMPRODUCT(--ISNUMBER(SEARCH(","&amp;TRIM(TEXTSPLIT(IG75,","))&amp;",",","&amp;SUBSTITUTE(input_story_type," ","")&amp;",")))=COUNTA(TEXTSPLIT(IG75,",")))))</f>
        <v/>
      </c>
      <c r="JQ75">
        <f>AND(IF(II75="",TRUE,IF(input_topics="",FALSE,SUMPRODUCT(--ISNUMBER(SEARCH(","&amp;TRIM(TEXTSPLIT(II75,","))&amp;",",","&amp;SUBSTITUTE(input_topics," ","")&amp;",")))&gt;0)),IF(IK75="",TRUE,IF(input_topics="",FALSE,SUMPRODUCT(--ISNUMBER(SEARCH(","&amp;TRIM(TEXTSPLIT(IK75,","))&amp;",",","&amp;SUBSTITUTE(input_topics," ","")&amp;",")))=COUNTA(TEXTSPLIT(IK75,",")))),IF(IM75="",TRUE,IF(input_topics="",TRUE,SUMPRODUCT(--ISNUMBER(SEARCH(","&amp;TRIM(TEXTSPLIT(IM75,","))&amp;",",","&amp;SUBSTITUTE(input_topics," ","")&amp;",")))=0)),IF(IO75="",TRUE,IF(input_topics="",FALSE,SUMPRODUCT(--ISNUMBER(SEARCH(","&amp;TRIM(TEXTSPLIT(IO75,","))&amp;",",","&amp;SUBSTITUTE(input_topics," ","")&amp;",")))&gt;0)),IF(IQ75="",TRUE,IF(input_topics="",FALSE,SUMPRODUCT(--ISNUMBER(SEARCH(","&amp;TRIM(TEXTSPLIT(IQ75,","))&amp;",",","&amp;SUBSTITUTE(input_topics," ","")&amp;",")))=COUNTA(TEXTSPLIT(IQ75,",")))))</f>
        <v/>
      </c>
    </row>
    <row r="76">
      <c r="A76" s="4">
        <f>IF(NOT(IS76),"Excluded",IF(AND(IT76,IU76,IV76,IW76,IX76,IY76,IZ76,JA76,JB76,JC76,JD76,JE76,JF76,JG76,JH76,JI76,JJ76,JK76,JL76,JM76,JN76,JO76,JP76,JQ76),IF(I76&gt;0,"Eligible but limited","Will appear"),"Excluded"))</f>
        <v/>
      </c>
      <c r="B76" s="4" t="inlineStr">
        <is>
          <t>Blogs - Summary</t>
        </is>
      </c>
      <c r="C76" s="4" t="inlineStr">
        <is>
          <t>/the-som-experience/interests-and-industries/ai-data-analytics</t>
        </is>
      </c>
      <c r="D76" s="4" t="inlineStr">
        <is>
          <t>/the-som-experience/interests-and-industries/ai-data-analytics</t>
        </is>
      </c>
      <c r="E76" s="4" t="n">
        <v>1</v>
      </c>
      <c r="F76" s="4" t="inlineStr">
        <is>
          <t>story</t>
        </is>
      </c>
      <c r="G76" s="4" t="inlineStr">
        <is>
          <t>stories_mosaic_grid</t>
        </is>
      </c>
      <c r="H76" s="4" t="inlineStr">
        <is>
          <t>embed_blog_summary</t>
        </is>
      </c>
      <c r="I76" s="4" t="n">
        <v>1</v>
      </c>
      <c r="J76" s="4" t="inlineStr">
        <is>
          <t>View/config rules</t>
        </is>
      </c>
      <c r="K76" s="4" t="inlineStr">
        <is>
          <t>Page placement</t>
        </is>
      </c>
      <c r="L76" s="4" t="inlineStr">
        <is>
          <t>Content type: story; Needs any Story Type: Blog (974); Limited to 1 item(s); Source: View/config rules</t>
        </is>
      </c>
      <c r="M76" t="inlineStr"/>
      <c r="N76" t="inlineStr"/>
      <c r="O76" t="inlineStr"/>
      <c r="P76" t="inlineStr"/>
      <c r="Q76" t="inlineStr"/>
      <c r="R76" t="inlineStr"/>
      <c r="S76" t="inlineStr"/>
      <c r="T76" t="inlineStr"/>
      <c r="U76" t="inlineStr"/>
      <c r="V76" t="inlineStr"/>
      <c r="W76" t="inlineStr"/>
      <c r="X76" t="inlineStr"/>
      <c r="Y76" t="inlineStr"/>
      <c r="Z76" t="inlineStr"/>
      <c r="AA76" t="inlineStr"/>
      <c r="AB76" t="inlineStr"/>
      <c r="AC76" t="inlineStr"/>
      <c r="AD76" t="inlineStr"/>
      <c r="AE76" t="inlineStr"/>
      <c r="AF76" t="inlineStr"/>
      <c r="AG76" t="inlineStr"/>
      <c r="AH76" t="inlineStr"/>
      <c r="AI76" t="inlineStr"/>
      <c r="AJ76" t="inlineStr"/>
      <c r="AK76" t="inlineStr"/>
      <c r="AL76" t="inlineStr"/>
      <c r="AM76" t="inlineStr"/>
      <c r="AN76" t="inlineStr"/>
      <c r="AO76" t="inlineStr"/>
      <c r="AP76" t="inlineStr"/>
      <c r="AQ76" t="inlineStr"/>
      <c r="AR76" t="inlineStr"/>
      <c r="AS76" t="inlineStr"/>
      <c r="AT76" t="inlineStr"/>
      <c r="AU76" t="inlineStr"/>
      <c r="AV76" t="inlineStr"/>
      <c r="AW76" t="inlineStr"/>
      <c r="AX76" t="inlineStr"/>
      <c r="AY76" t="inlineStr"/>
      <c r="AZ76" t="inlineStr"/>
      <c r="BA76" t="inlineStr"/>
      <c r="BB76" t="inlineStr"/>
      <c r="BC76" t="inlineStr"/>
      <c r="BD76" t="inlineStr"/>
      <c r="BE76" t="inlineStr"/>
      <c r="BF76" t="inlineStr"/>
      <c r="BG76" t="inlineStr"/>
      <c r="BH76" t="inlineStr"/>
      <c r="BI76" t="inlineStr"/>
      <c r="BJ76" t="inlineStr"/>
      <c r="BK76" t="inlineStr"/>
      <c r="BL76" t="inlineStr"/>
      <c r="BM76" t="inlineStr"/>
      <c r="BN76" t="inlineStr"/>
      <c r="BO76" t="inlineStr"/>
      <c r="BP76" t="inlineStr"/>
      <c r="BQ76" t="inlineStr"/>
      <c r="BR76" t="inlineStr"/>
      <c r="BS76" t="inlineStr"/>
      <c r="BT76" t="inlineStr"/>
      <c r="BU76" t="inlineStr"/>
      <c r="BV76" t="inlineStr"/>
      <c r="BW76" t="inlineStr"/>
      <c r="BX76" t="inlineStr"/>
      <c r="BY76" t="inlineStr"/>
      <c r="BZ76" t="inlineStr"/>
      <c r="CA76" t="inlineStr"/>
      <c r="CB76" t="inlineStr"/>
      <c r="CC76" t="inlineStr"/>
      <c r="CD76" t="inlineStr"/>
      <c r="CE76" t="inlineStr"/>
      <c r="CF76" t="inlineStr"/>
      <c r="CG76" t="inlineStr"/>
      <c r="CH76" t="inlineStr"/>
      <c r="CI76" t="inlineStr"/>
      <c r="CJ76" t="inlineStr"/>
      <c r="CK76" t="inlineStr"/>
      <c r="CL76" t="inlineStr"/>
      <c r="CM76" t="inlineStr"/>
      <c r="CN76" t="inlineStr"/>
      <c r="CO76" t="inlineStr"/>
      <c r="CP76" t="inlineStr"/>
      <c r="CQ76" t="inlineStr"/>
      <c r="CR76" t="inlineStr"/>
      <c r="CS76" t="inlineStr"/>
      <c r="CT76" t="inlineStr"/>
      <c r="CU76" t="inlineStr"/>
      <c r="CV76" t="inlineStr"/>
      <c r="CW76" t="inlineStr"/>
      <c r="CX76" t="inlineStr"/>
      <c r="CY76" t="inlineStr"/>
      <c r="CZ76" t="inlineStr"/>
      <c r="DA76" t="inlineStr"/>
      <c r="DB76" t="inlineStr"/>
      <c r="DC76" t="inlineStr"/>
      <c r="DD76" t="inlineStr"/>
      <c r="DE76" t="inlineStr"/>
      <c r="DF76" t="inlineStr"/>
      <c r="DG76" t="inlineStr"/>
      <c r="DH76" t="inlineStr"/>
      <c r="DI76" t="inlineStr"/>
      <c r="DJ76" t="inlineStr"/>
      <c r="DK76" t="inlineStr"/>
      <c r="DL76" t="inlineStr"/>
      <c r="DM76" t="inlineStr"/>
      <c r="DN76" t="inlineStr"/>
      <c r="DO76" t="inlineStr"/>
      <c r="DP76" t="inlineStr"/>
      <c r="DQ76" t="inlineStr"/>
      <c r="DR76" t="inlineStr"/>
      <c r="DS76" t="inlineStr"/>
      <c r="DT76" t="inlineStr"/>
      <c r="DU76" t="inlineStr"/>
      <c r="DV76" t="inlineStr"/>
      <c r="DW76" t="inlineStr"/>
      <c r="DX76" t="inlineStr"/>
      <c r="DY76" t="inlineStr"/>
      <c r="DZ76" t="inlineStr"/>
      <c r="EA76" t="inlineStr"/>
      <c r="EB76" t="inlineStr"/>
      <c r="EC76" t="inlineStr"/>
      <c r="ED76" t="inlineStr"/>
      <c r="EE76" t="inlineStr"/>
      <c r="EF76" t="inlineStr"/>
      <c r="EG76" t="inlineStr"/>
      <c r="EH76" t="inlineStr"/>
      <c r="EI76" t="inlineStr"/>
      <c r="EJ76" t="inlineStr"/>
      <c r="EK76" t="inlineStr"/>
      <c r="EL76" t="inlineStr"/>
      <c r="EM76" t="inlineStr"/>
      <c r="EN76" t="inlineStr"/>
      <c r="EO76" t="inlineStr"/>
      <c r="EP76" t="inlineStr"/>
      <c r="EQ76" t="inlineStr"/>
      <c r="ER76" t="inlineStr"/>
      <c r="ES76" t="inlineStr"/>
      <c r="ET76" t="inlineStr"/>
      <c r="EU76" t="inlineStr"/>
      <c r="EV76" t="inlineStr"/>
      <c r="EW76" t="inlineStr"/>
      <c r="EX76" t="inlineStr"/>
      <c r="EY76" t="inlineStr"/>
      <c r="EZ76" t="inlineStr"/>
      <c r="FA76" t="inlineStr"/>
      <c r="FB76" t="inlineStr"/>
      <c r="FC76" t="inlineStr"/>
      <c r="FD76" t="inlineStr"/>
      <c r="FE76" t="inlineStr"/>
      <c r="FF76" t="inlineStr"/>
      <c r="FG76" t="inlineStr"/>
      <c r="FH76" t="inlineStr"/>
      <c r="FI76" t="inlineStr"/>
      <c r="FJ76" t="inlineStr"/>
      <c r="FK76" t="inlineStr"/>
      <c r="FL76" t="inlineStr"/>
      <c r="FM76" t="inlineStr"/>
      <c r="FN76" t="inlineStr"/>
      <c r="FO76" t="inlineStr"/>
      <c r="FP76" t="inlineStr"/>
      <c r="FQ76" t="inlineStr"/>
      <c r="FR76" t="inlineStr"/>
      <c r="FS76" t="inlineStr"/>
      <c r="FT76" t="inlineStr"/>
      <c r="FU76" t="inlineStr"/>
      <c r="FV76" t="inlineStr"/>
      <c r="FW76" t="inlineStr"/>
      <c r="FX76" t="inlineStr"/>
      <c r="FY76" t="inlineStr"/>
      <c r="FZ76" t="inlineStr"/>
      <c r="GA76" t="inlineStr"/>
      <c r="GB76" t="inlineStr"/>
      <c r="GC76" t="inlineStr"/>
      <c r="GD76" t="inlineStr"/>
      <c r="GE76" t="inlineStr"/>
      <c r="GF76" t="inlineStr"/>
      <c r="GG76" t="inlineStr"/>
      <c r="GH76" t="inlineStr"/>
      <c r="GI76" t="inlineStr"/>
      <c r="GJ76" t="inlineStr"/>
      <c r="GK76" t="inlineStr"/>
      <c r="GL76" t="inlineStr"/>
      <c r="GM76" t="inlineStr"/>
      <c r="GN76" t="inlineStr"/>
      <c r="GO76" t="inlineStr"/>
      <c r="GP76" t="inlineStr"/>
      <c r="GQ76" t="inlineStr"/>
      <c r="GR76" t="inlineStr"/>
      <c r="GS76" t="inlineStr"/>
      <c r="GT76" t="inlineStr"/>
      <c r="GU76" t="inlineStr"/>
      <c r="GV76" t="inlineStr"/>
      <c r="GW76" t="inlineStr"/>
      <c r="GX76" t="inlineStr"/>
      <c r="GY76" t="inlineStr"/>
      <c r="GZ76" t="inlineStr"/>
      <c r="HA76" t="inlineStr"/>
      <c r="HB76" t="inlineStr"/>
      <c r="HC76" t="inlineStr"/>
      <c r="HD76" t="inlineStr"/>
      <c r="HE76" t="inlineStr"/>
      <c r="HF76" t="inlineStr"/>
      <c r="HG76" t="inlineStr"/>
      <c r="HH76" t="inlineStr"/>
      <c r="HI76" t="inlineStr"/>
      <c r="HJ76" t="inlineStr"/>
      <c r="HK76" t="inlineStr"/>
      <c r="HL76" t="inlineStr"/>
      <c r="HM76" t="inlineStr"/>
      <c r="HN76" t="inlineStr"/>
      <c r="HO76" t="inlineStr"/>
      <c r="HP76" t="inlineStr"/>
      <c r="HQ76" t="inlineStr"/>
      <c r="HR76" t="inlineStr"/>
      <c r="HS76" t="inlineStr"/>
      <c r="HT76" t="inlineStr"/>
      <c r="HU76" t="inlineStr"/>
      <c r="HV76" t="inlineStr"/>
      <c r="HW76" t="inlineStr"/>
      <c r="HX76" t="inlineStr"/>
      <c r="HY76" t="inlineStr">
        <is>
          <t>974</t>
        </is>
      </c>
      <c r="HZ76" t="inlineStr">
        <is>
          <t>Blog (974)</t>
        </is>
      </c>
      <c r="IA76" t="inlineStr"/>
      <c r="IB76" t="inlineStr"/>
      <c r="IC76" t="inlineStr"/>
      <c r="ID76" t="inlineStr"/>
      <c r="IE76" t="inlineStr"/>
      <c r="IF76" t="inlineStr"/>
      <c r="IG76" t="inlineStr"/>
      <c r="IH76" t="inlineStr"/>
      <c r="II76" t="inlineStr"/>
      <c r="IJ76" t="inlineStr"/>
      <c r="IK76" t="inlineStr"/>
      <c r="IL76" t="inlineStr"/>
      <c r="IM76" t="inlineStr"/>
      <c r="IN76" t="inlineStr"/>
      <c r="IO76" t="inlineStr"/>
      <c r="IP76" t="inlineStr"/>
      <c r="IQ76" t="inlineStr"/>
      <c r="IR76" t="inlineStr"/>
      <c r="IS76">
        <f>IF(input_content_type="",FALSE,ISNUMBER(SEARCH(","&amp;LOWER(input_content_type)&amp;",",","&amp;LOWER(F76)&amp;",")))</f>
        <v/>
      </c>
      <c r="IT76">
        <f>AND(IF(M76="",TRUE,IF(input_affiliations="",FALSE,SUMPRODUCT(--ISNUMBER(SEARCH(","&amp;TRIM(TEXTSPLIT(M76,","))&amp;",",","&amp;SUBSTITUTE(input_affiliations," ","")&amp;",")))&gt;0)),IF(O76="",TRUE,IF(input_affiliations="",FALSE,SUMPRODUCT(--ISNUMBER(SEARCH(","&amp;TRIM(TEXTSPLIT(O76,","))&amp;",",","&amp;SUBSTITUTE(input_affiliations," ","")&amp;",")))=COUNTA(TEXTSPLIT(O76,",")))),IF(Q76="",TRUE,IF(input_affiliations="",TRUE,SUMPRODUCT(--ISNUMBER(SEARCH(","&amp;TRIM(TEXTSPLIT(Q76,","))&amp;",",","&amp;SUBSTITUTE(input_affiliations," ","")&amp;",")))=0)),IF(S76="",TRUE,IF(input_affiliations="",FALSE,SUMPRODUCT(--ISNUMBER(SEARCH(","&amp;TRIM(TEXTSPLIT(S76,","))&amp;",",","&amp;SUBSTITUTE(input_affiliations," ","")&amp;",")))&gt;0)),IF(U76="",TRUE,IF(input_affiliations="",FALSE,SUMPRODUCT(--ISNUMBER(SEARCH(","&amp;TRIM(TEXTSPLIT(U76,","))&amp;",",","&amp;SUBSTITUTE(input_affiliations," ","")&amp;",")))=COUNTA(TEXTSPLIT(U76,",")))))</f>
        <v/>
      </c>
      <c r="IU76">
        <f>AND(IF(W76="",TRUE,IF(input_announcement_category="",FALSE,SUMPRODUCT(--ISNUMBER(SEARCH(","&amp;TRIM(TEXTSPLIT(W76,","))&amp;",",","&amp;SUBSTITUTE(input_announcement_category," ","")&amp;",")))&gt;0)),IF(Y76="",TRUE,IF(input_announcement_category="",FALSE,SUMPRODUCT(--ISNUMBER(SEARCH(","&amp;TRIM(TEXTSPLIT(Y76,","))&amp;",",","&amp;SUBSTITUTE(input_announcement_category," ","")&amp;",")))=COUNTA(TEXTSPLIT(Y76,",")))),IF(AA76="",TRUE,IF(input_announcement_category="",TRUE,SUMPRODUCT(--ISNUMBER(SEARCH(","&amp;TRIM(TEXTSPLIT(AA76,","))&amp;",",","&amp;SUBSTITUTE(input_announcement_category," ","")&amp;",")))=0)),IF(AC76="",TRUE,IF(input_announcement_category="",FALSE,SUMPRODUCT(--ISNUMBER(SEARCH(","&amp;TRIM(TEXTSPLIT(AC76,","))&amp;",",","&amp;SUBSTITUTE(input_announcement_category," ","")&amp;",")))&gt;0)),IF(AE76="",TRUE,IF(input_announcement_category="",FALSE,SUMPRODUCT(--ISNUMBER(SEARCH(","&amp;TRIM(TEXTSPLIT(AE76,","))&amp;",",","&amp;SUBSTITUTE(input_announcement_category," ","")&amp;",")))=COUNTA(TEXTSPLIT(AE76,",")))))</f>
        <v/>
      </c>
      <c r="IV76">
        <f>AND(IF(AG76="",TRUE,IF(input_area_of_focus="",FALSE,SUMPRODUCT(--ISNUMBER(SEARCH(","&amp;TRIM(TEXTSPLIT(AG76,","))&amp;",",","&amp;SUBSTITUTE(input_area_of_focus," ","")&amp;",")))&gt;0)),IF(AI76="",TRUE,IF(input_area_of_focus="",FALSE,SUMPRODUCT(--ISNUMBER(SEARCH(","&amp;TRIM(TEXTSPLIT(AI76,","))&amp;",",","&amp;SUBSTITUTE(input_area_of_focus," ","")&amp;",")))=COUNTA(TEXTSPLIT(AI76,",")))),IF(AK76="",TRUE,IF(input_area_of_focus="",TRUE,SUMPRODUCT(--ISNUMBER(SEARCH(","&amp;TRIM(TEXTSPLIT(AK76,","))&amp;",",","&amp;SUBSTITUTE(input_area_of_focus," ","")&amp;",")))=0)),IF(AM76="",TRUE,IF(input_area_of_focus="",FALSE,SUMPRODUCT(--ISNUMBER(SEARCH(","&amp;TRIM(TEXTSPLIT(AM76,","))&amp;",",","&amp;SUBSTITUTE(input_area_of_focus," ","")&amp;",")))&gt;0)),IF(AO76="",TRUE,IF(input_area_of_focus="",FALSE,SUMPRODUCT(--ISNUMBER(SEARCH(","&amp;TRIM(TEXTSPLIT(AO76,","))&amp;",",","&amp;SUBSTITUTE(input_area_of_focus," ","")&amp;",")))=COUNTA(TEXTSPLIT(AO76,",")))))</f>
        <v/>
      </c>
      <c r="IW76">
        <f>AND(IF(AQ76="",TRUE,IF(input_audience="",FALSE,SUMPRODUCT(--ISNUMBER(SEARCH(","&amp;TRIM(TEXTSPLIT(AQ76,","))&amp;",",","&amp;SUBSTITUTE(input_audience," ","")&amp;",")))&gt;0)),IF(AS76="",TRUE,IF(input_audience="",FALSE,SUMPRODUCT(--ISNUMBER(SEARCH(","&amp;TRIM(TEXTSPLIT(AS76,","))&amp;",",","&amp;SUBSTITUTE(input_audience," ","")&amp;",")))=COUNTA(TEXTSPLIT(AS76,",")))),IF(AU76="",TRUE,IF(input_audience="",TRUE,SUMPRODUCT(--ISNUMBER(SEARCH(","&amp;TRIM(TEXTSPLIT(AU76,","))&amp;",",","&amp;SUBSTITUTE(input_audience," ","")&amp;",")))=0)),IF(AW76="",TRUE,IF(input_audience="",FALSE,SUMPRODUCT(--ISNUMBER(SEARCH(","&amp;TRIM(TEXTSPLIT(AW76,","))&amp;",",","&amp;SUBSTITUTE(input_audience," ","")&amp;",")))&gt;0)),IF(AY76="",TRUE,IF(input_audience="",FALSE,SUMPRODUCT(--ISNUMBER(SEARCH(","&amp;TRIM(TEXTSPLIT(AY76,","))&amp;",",","&amp;SUBSTITUTE(input_audience," ","")&amp;",")))=COUNTA(TEXTSPLIT(AY76,",")))))</f>
        <v/>
      </c>
      <c r="IX76">
        <f>AND(IF(BA76="",TRUE,IF(input_challenge_opportunities="",FALSE,SUMPRODUCT(--ISNUMBER(SEARCH(","&amp;TRIM(TEXTSPLIT(BA76,","))&amp;",",","&amp;SUBSTITUTE(input_challenge_opportunities," ","")&amp;",")))&gt;0)),IF(BC76="",TRUE,IF(input_challenge_opportunities="",FALSE,SUMPRODUCT(--ISNUMBER(SEARCH(","&amp;TRIM(TEXTSPLIT(BC76,","))&amp;",",","&amp;SUBSTITUTE(input_challenge_opportunities," ","")&amp;",")))=COUNTA(TEXTSPLIT(BC76,",")))),IF(BE76="",TRUE,IF(input_challenge_opportunities="",TRUE,SUMPRODUCT(--ISNUMBER(SEARCH(","&amp;TRIM(TEXTSPLIT(BE76,","))&amp;",",","&amp;SUBSTITUTE(input_challenge_opportunities," ","")&amp;",")))=0)),IF(BG76="",TRUE,IF(input_challenge_opportunities="",FALSE,SUMPRODUCT(--ISNUMBER(SEARCH(","&amp;TRIM(TEXTSPLIT(BG76,","))&amp;",",","&amp;SUBSTITUTE(input_challenge_opportunities," ","")&amp;",")))&gt;0)),IF(BI76="",TRUE,IF(input_challenge_opportunities="",FALSE,SUMPRODUCT(--ISNUMBER(SEARCH(","&amp;TRIM(TEXTSPLIT(BI76,","))&amp;",",","&amp;SUBSTITUTE(input_challenge_opportunities," ","")&amp;",")))=COUNTA(TEXTSPLIT(BI76,",")))))</f>
        <v/>
      </c>
      <c r="IY76">
        <f>AND(IF(BK76="",TRUE,IF(input_context="",FALSE,SUMPRODUCT(--ISNUMBER(SEARCH(","&amp;TRIM(TEXTSPLIT(BK76,","))&amp;",",","&amp;SUBSTITUTE(input_context," ","")&amp;",")))&gt;0)),IF(BM76="",TRUE,IF(input_context="",FALSE,SUMPRODUCT(--ISNUMBER(SEARCH(","&amp;TRIM(TEXTSPLIT(BM76,","))&amp;",",","&amp;SUBSTITUTE(input_context," ","")&amp;",")))=COUNTA(TEXTSPLIT(BM76,",")))),IF(BO76="",TRUE,IF(input_context="",TRUE,SUMPRODUCT(--ISNUMBER(SEARCH(","&amp;TRIM(TEXTSPLIT(BO76,","))&amp;",",","&amp;SUBSTITUTE(input_context," ","")&amp;",")))=0)),IF(BQ76="",TRUE,IF(input_context="",FALSE,SUMPRODUCT(--ISNUMBER(SEARCH(","&amp;TRIM(TEXTSPLIT(BQ76,","))&amp;",",","&amp;SUBSTITUTE(input_context," ","")&amp;",")))&gt;0)),IF(BS76="",TRUE,IF(input_context="",FALSE,SUMPRODUCT(--ISNUMBER(SEARCH(","&amp;TRIM(TEXTSPLIT(BS76,","))&amp;",",","&amp;SUBSTITUTE(input_context," ","")&amp;",")))=COUNTA(TEXTSPLIT(BS76,",")))))</f>
        <v/>
      </c>
      <c r="IZ76">
        <f>AND(IF(BU76="",TRUE,IF(input_enews_announcement_type="",FALSE,SUMPRODUCT(--ISNUMBER(SEARCH(","&amp;TRIM(TEXTSPLIT(BU76,","))&amp;",",","&amp;SUBSTITUTE(input_enews_announcement_type," ","")&amp;",")))&gt;0)),IF(BW76="",TRUE,IF(input_enews_announcement_type="",FALSE,SUMPRODUCT(--ISNUMBER(SEARCH(","&amp;TRIM(TEXTSPLIT(BW76,","))&amp;",",","&amp;SUBSTITUTE(input_enews_announcement_type," ","")&amp;",")))=COUNTA(TEXTSPLIT(BW76,",")))),IF(BY76="",TRUE,IF(input_enews_announcement_type="",TRUE,SUMPRODUCT(--ISNUMBER(SEARCH(","&amp;TRIM(TEXTSPLIT(BY76,","))&amp;",",","&amp;SUBSTITUTE(input_enews_announcement_type," ","")&amp;",")))=0)),IF(CA76="",TRUE,IF(input_enews_announcement_type="",FALSE,SUMPRODUCT(--ISNUMBER(SEARCH(","&amp;TRIM(TEXTSPLIT(CA76,","))&amp;",",","&amp;SUBSTITUTE(input_enews_announcement_type," ","")&amp;",")))&gt;0)),IF(CC76="",TRUE,IF(input_enews_announcement_type="",FALSE,SUMPRODUCT(--ISNUMBER(SEARCH(","&amp;TRIM(TEXTSPLIT(CC76,","))&amp;",",","&amp;SUBSTITUTE(input_enews_announcement_type," ","")&amp;",")))=COUNTA(TEXTSPLIT(CC76,",")))))</f>
        <v/>
      </c>
      <c r="JA76">
        <f>AND(IF(CE76="",TRUE,IF(input_enews_audience="",FALSE,SUMPRODUCT(--ISNUMBER(SEARCH(","&amp;TRIM(TEXTSPLIT(CE76,","))&amp;",",","&amp;SUBSTITUTE(input_enews_audience," ","")&amp;",")))&gt;0)),IF(CG76="",TRUE,IF(input_enews_audience="",FALSE,SUMPRODUCT(--ISNUMBER(SEARCH(","&amp;TRIM(TEXTSPLIT(CG76,","))&amp;",",","&amp;SUBSTITUTE(input_enews_audience," ","")&amp;",")))=COUNTA(TEXTSPLIT(CG76,",")))),IF(CI76="",TRUE,IF(input_enews_audience="",TRUE,SUMPRODUCT(--ISNUMBER(SEARCH(","&amp;TRIM(TEXTSPLIT(CI76,","))&amp;",",","&amp;SUBSTITUTE(input_enews_audience," ","")&amp;",")))=0)),IF(CK76="",TRUE,IF(input_enews_audience="",FALSE,SUMPRODUCT(--ISNUMBER(SEARCH(","&amp;TRIM(TEXTSPLIT(CK76,","))&amp;",",","&amp;SUBSTITUTE(input_enews_audience," ","")&amp;",")))&gt;0)),IF(CM76="",TRUE,IF(input_enews_audience="",FALSE,SUMPRODUCT(--ISNUMBER(SEARCH(","&amp;TRIM(TEXTSPLIT(CM76,","))&amp;",",","&amp;SUBSTITUTE(input_enews_audience," ","")&amp;",")))=COUNTA(TEXTSPLIT(CM76,",")))))</f>
        <v/>
      </c>
      <c r="JB76">
        <f>AND(IF(CO76="",TRUE,IF(input_event_location="",FALSE,SUMPRODUCT(--ISNUMBER(SEARCH(","&amp;TRIM(TEXTSPLIT(CO76,","))&amp;",",","&amp;SUBSTITUTE(input_event_location," ","")&amp;",")))&gt;0)),IF(CQ76="",TRUE,IF(input_event_location="",FALSE,SUMPRODUCT(--ISNUMBER(SEARCH(","&amp;TRIM(TEXTSPLIT(CQ76,","))&amp;",",","&amp;SUBSTITUTE(input_event_location," ","")&amp;",")))=COUNTA(TEXTSPLIT(CQ76,",")))),IF(CS76="",TRUE,IF(input_event_location="",TRUE,SUMPRODUCT(--ISNUMBER(SEARCH(","&amp;TRIM(TEXTSPLIT(CS76,","))&amp;",",","&amp;SUBSTITUTE(input_event_location," ","")&amp;",")))=0)),IF(CU76="",TRUE,IF(input_event_location="",FALSE,SUMPRODUCT(--ISNUMBER(SEARCH(","&amp;TRIM(TEXTSPLIT(CU76,","))&amp;",",","&amp;SUBSTITUTE(input_event_location," ","")&amp;",")))&gt;0)),IF(CW76="",TRUE,IF(input_event_location="",FALSE,SUMPRODUCT(--ISNUMBER(SEARCH(","&amp;TRIM(TEXTSPLIT(CW76,","))&amp;",",","&amp;SUBSTITUTE(input_event_location," ","")&amp;",")))=COUNTA(TEXTSPLIT(CW76,",")))))</f>
        <v/>
      </c>
      <c r="JC76">
        <f>AND(IF(CY76="",TRUE,IF(input_event_type="",FALSE,SUMPRODUCT(--ISNUMBER(SEARCH(","&amp;TRIM(TEXTSPLIT(CY76,","))&amp;",",","&amp;SUBSTITUTE(input_event_type," ","")&amp;",")))&gt;0)),IF(DA76="",TRUE,IF(input_event_type="",FALSE,SUMPRODUCT(--ISNUMBER(SEARCH(","&amp;TRIM(TEXTSPLIT(DA76,","))&amp;",",","&amp;SUBSTITUTE(input_event_type," ","")&amp;",")))=COUNTA(TEXTSPLIT(DA76,",")))),IF(DC76="",TRUE,IF(input_event_type="",TRUE,SUMPRODUCT(--ISNUMBER(SEARCH(","&amp;TRIM(TEXTSPLIT(DC76,","))&amp;",",","&amp;SUBSTITUTE(input_event_type," ","")&amp;",")))=0)),IF(DE76="",TRUE,IF(input_event_type="",FALSE,SUMPRODUCT(--ISNUMBER(SEARCH(","&amp;TRIM(TEXTSPLIT(DE76,","))&amp;",",","&amp;SUBSTITUTE(input_event_type," ","")&amp;",")))&gt;0)),IF(DG76="",TRUE,IF(input_event_type="",FALSE,SUMPRODUCT(--ISNUMBER(SEARCH(","&amp;TRIM(TEXTSPLIT(DG76,","))&amp;",",","&amp;SUBSTITUTE(input_event_type," ","")&amp;",")))=COUNTA(TEXTSPLIT(DG76,",")))))</f>
        <v/>
      </c>
      <c r="JD76">
        <f>AND(IF(DI76="",TRUE,IF(input_executive_education_focus="",FALSE,SUMPRODUCT(--ISNUMBER(SEARCH(","&amp;TRIM(TEXTSPLIT(DI76,","))&amp;",",","&amp;SUBSTITUTE(input_executive_education_focus," ","")&amp;",")))&gt;0)),IF(DK76="",TRUE,IF(input_executive_education_focus="",FALSE,SUMPRODUCT(--ISNUMBER(SEARCH(","&amp;TRIM(TEXTSPLIT(DK76,","))&amp;",",","&amp;SUBSTITUTE(input_executive_education_focus," ","")&amp;",")))=COUNTA(TEXTSPLIT(DK76,",")))),IF(DM76="",TRUE,IF(input_executive_education_focus="",TRUE,SUMPRODUCT(--ISNUMBER(SEARCH(","&amp;TRIM(TEXTSPLIT(DM76,","))&amp;",",","&amp;SUBSTITUTE(input_executive_education_focus," ","")&amp;",")))=0)),IF(DO76="",TRUE,IF(input_executive_education_focus="",FALSE,SUMPRODUCT(--ISNUMBER(SEARCH(","&amp;TRIM(TEXTSPLIT(DO76,","))&amp;",",","&amp;SUBSTITUTE(input_executive_education_focus," ","")&amp;",")))&gt;0)),IF(DQ76="",TRUE,IF(input_executive_education_focus="",FALSE,SUMPRODUCT(--ISNUMBER(SEARCH(","&amp;TRIM(TEXTSPLIT(DQ76,","))&amp;",",","&amp;SUBSTITUTE(input_executive_education_focus," ","")&amp;",")))=COUNTA(TEXTSPLIT(DQ76,",")))))</f>
        <v/>
      </c>
      <c r="JE76">
        <f>AND(IF(DS76="",TRUE,IF(input_faculty_category="",FALSE,SUMPRODUCT(--ISNUMBER(SEARCH(","&amp;TRIM(TEXTSPLIT(DS76,","))&amp;",",","&amp;SUBSTITUTE(input_faculty_category," ","")&amp;",")))&gt;0)),IF(DU76="",TRUE,IF(input_faculty_category="",FALSE,SUMPRODUCT(--ISNUMBER(SEARCH(","&amp;TRIM(TEXTSPLIT(DU76,","))&amp;",",","&amp;SUBSTITUTE(input_faculty_category," ","")&amp;",")))=COUNTA(TEXTSPLIT(DU76,",")))),IF(DW76="",TRUE,IF(input_faculty_category="",TRUE,SUMPRODUCT(--ISNUMBER(SEARCH(","&amp;TRIM(TEXTSPLIT(DW76,","))&amp;",",","&amp;SUBSTITUTE(input_faculty_category," ","")&amp;",")))=0)),IF(DY76="",TRUE,IF(input_faculty_category="",FALSE,SUMPRODUCT(--ISNUMBER(SEARCH(","&amp;TRIM(TEXTSPLIT(DY76,","))&amp;",",","&amp;SUBSTITUTE(input_faculty_category," ","")&amp;",")))&gt;0)),IF(EA76="",TRUE,IF(input_faculty_category="",FALSE,SUMPRODUCT(--ISNUMBER(SEARCH(","&amp;TRIM(TEXTSPLIT(EA76,","))&amp;",",","&amp;SUBSTITUTE(input_faculty_category," ","")&amp;",")))=COUNTA(TEXTSPLIT(EA76,",")))))</f>
        <v/>
      </c>
      <c r="JF76">
        <f>AND(IF(EC76="",TRUE,IF(input_faculty_discipline="",FALSE,SUMPRODUCT(--ISNUMBER(SEARCH(","&amp;TRIM(TEXTSPLIT(EC76,","))&amp;",",","&amp;SUBSTITUTE(input_faculty_discipline," ","")&amp;",")))&gt;0)),IF(EE76="",TRUE,IF(input_faculty_discipline="",FALSE,SUMPRODUCT(--ISNUMBER(SEARCH(","&amp;TRIM(TEXTSPLIT(EE76,","))&amp;",",","&amp;SUBSTITUTE(input_faculty_discipline," ","")&amp;",")))=COUNTA(TEXTSPLIT(EE76,",")))),IF(EG76="",TRUE,IF(input_faculty_discipline="",TRUE,SUMPRODUCT(--ISNUMBER(SEARCH(","&amp;TRIM(TEXTSPLIT(EG76,","))&amp;",",","&amp;SUBSTITUTE(input_faculty_discipline," ","")&amp;",")))=0)),IF(EI76="",TRUE,IF(input_faculty_discipline="",FALSE,SUMPRODUCT(--ISNUMBER(SEARCH(","&amp;TRIM(TEXTSPLIT(EI76,","))&amp;",",","&amp;SUBSTITUTE(input_faculty_discipline," ","")&amp;",")))&gt;0)),IF(EK76="",TRUE,IF(input_faculty_discipline="",FALSE,SUMPRODUCT(--ISNUMBER(SEARCH(","&amp;TRIM(TEXTSPLIT(EK76,","))&amp;",",","&amp;SUBSTITUTE(input_faculty_discipline," ","")&amp;",")))=COUNTA(TEXTSPLIT(EK76,",")))))</f>
        <v/>
      </c>
      <c r="JG76">
        <f>AND(IF(EM76="",TRUE,IF(input_faculty_expertise="",FALSE,SUMPRODUCT(--ISNUMBER(SEARCH(","&amp;TRIM(TEXTSPLIT(EM76,","))&amp;",",","&amp;SUBSTITUTE(input_faculty_expertise," ","")&amp;",")))&gt;0)),IF(EO76="",TRUE,IF(input_faculty_expertise="",FALSE,SUMPRODUCT(--ISNUMBER(SEARCH(","&amp;TRIM(TEXTSPLIT(EO76,","))&amp;",",","&amp;SUBSTITUTE(input_faculty_expertise," ","")&amp;",")))=COUNTA(TEXTSPLIT(EO76,",")))),IF(EQ76="",TRUE,IF(input_faculty_expertise="",TRUE,SUMPRODUCT(--ISNUMBER(SEARCH(","&amp;TRIM(TEXTSPLIT(EQ76,","))&amp;",",","&amp;SUBSTITUTE(input_faculty_expertise," ","")&amp;",")))=0)),IF(ES76="",TRUE,IF(input_faculty_expertise="",FALSE,SUMPRODUCT(--ISNUMBER(SEARCH(","&amp;TRIM(TEXTSPLIT(ES76,","))&amp;",",","&amp;SUBSTITUTE(input_faculty_expertise," ","")&amp;",")))&gt;0)),IF(EU76="",TRUE,IF(input_faculty_expertise="",FALSE,SUMPRODUCT(--ISNUMBER(SEARCH(","&amp;TRIM(TEXTSPLIT(EU76,","))&amp;",",","&amp;SUBSTITUTE(input_faculty_expertise," ","")&amp;",")))=COUNTA(TEXTSPLIT(EU76,",")))))</f>
        <v/>
      </c>
      <c r="JH76">
        <f>AND(IF(EW76="",TRUE,IF(input_global_network_school="",FALSE,SUMPRODUCT(--ISNUMBER(SEARCH(","&amp;TRIM(TEXTSPLIT(EW76,","))&amp;",",","&amp;SUBSTITUTE(input_global_network_school," ","")&amp;",")))&gt;0)),IF(EY76="",TRUE,IF(input_global_network_school="",FALSE,SUMPRODUCT(--ISNUMBER(SEARCH(","&amp;TRIM(TEXTSPLIT(EY76,","))&amp;",",","&amp;SUBSTITUTE(input_global_network_school," ","")&amp;",")))=COUNTA(TEXTSPLIT(EY76,",")))),IF(FA76="",TRUE,IF(input_global_network_school="",TRUE,SUMPRODUCT(--ISNUMBER(SEARCH(","&amp;TRIM(TEXTSPLIT(FA76,","))&amp;",",","&amp;SUBSTITUTE(input_global_network_school," ","")&amp;",")))=0)),IF(FC76="",TRUE,IF(input_global_network_school="",FALSE,SUMPRODUCT(--ISNUMBER(SEARCH(","&amp;TRIM(TEXTSPLIT(FC76,","))&amp;",",","&amp;SUBSTITUTE(input_global_network_school," ","")&amp;",")))&gt;0)),IF(FE76="",TRUE,IF(input_global_network_school="",FALSE,SUMPRODUCT(--ISNUMBER(SEARCH(","&amp;TRIM(TEXTSPLIT(FE76,","))&amp;",",","&amp;SUBSTITUTE(input_global_network_school," ","")&amp;",")))=COUNTA(TEXTSPLIT(FE76,",")))))</f>
        <v/>
      </c>
      <c r="JI76">
        <f>AND(IF(FG76="",TRUE,IF(input_industry="",FALSE,SUMPRODUCT(--ISNUMBER(SEARCH(","&amp;TRIM(TEXTSPLIT(FG76,","))&amp;",",","&amp;SUBSTITUTE(input_industry," ","")&amp;",")))&gt;0)),IF(FI76="",TRUE,IF(input_industry="",FALSE,SUMPRODUCT(--ISNUMBER(SEARCH(","&amp;TRIM(TEXTSPLIT(FI76,","))&amp;",",","&amp;SUBSTITUTE(input_industry," ","")&amp;",")))=COUNTA(TEXTSPLIT(FI76,",")))),IF(FK76="",TRUE,IF(input_industry="",TRUE,SUMPRODUCT(--ISNUMBER(SEARCH(","&amp;TRIM(TEXTSPLIT(FK76,","))&amp;",",","&amp;SUBSTITUTE(input_industry," ","")&amp;",")))=0)),IF(FM76="",TRUE,IF(input_industry="",FALSE,SUMPRODUCT(--ISNUMBER(SEARCH(","&amp;TRIM(TEXTSPLIT(FM76,","))&amp;",",","&amp;SUBSTITUTE(input_industry," ","")&amp;",")))&gt;0)),IF(FO76="",TRUE,IF(input_industry="",FALSE,SUMPRODUCT(--ISNUMBER(SEARCH(","&amp;TRIM(TEXTSPLIT(FO76,","))&amp;",",","&amp;SUBSTITUTE(input_industry," ","")&amp;",")))=COUNTA(TEXTSPLIT(FO76,",")))))</f>
        <v/>
      </c>
      <c r="JJ76">
        <f>AND(IF(FQ76="",TRUE,IF(input_location="",FALSE,SUMPRODUCT(--ISNUMBER(SEARCH(","&amp;TRIM(TEXTSPLIT(FQ76,","))&amp;",",","&amp;SUBSTITUTE(input_location," ","")&amp;",")))&gt;0)),IF(FS76="",TRUE,IF(input_location="",FALSE,SUMPRODUCT(--ISNUMBER(SEARCH(","&amp;TRIM(TEXTSPLIT(FS76,","))&amp;",",","&amp;SUBSTITUTE(input_location," ","")&amp;",")))=COUNTA(TEXTSPLIT(FS76,",")))),IF(FU76="",TRUE,IF(input_location="",TRUE,SUMPRODUCT(--ISNUMBER(SEARCH(","&amp;TRIM(TEXTSPLIT(FU76,","))&amp;",",","&amp;SUBSTITUTE(input_location," ","")&amp;",")))=0)),IF(FW76="",TRUE,IF(input_location="",FALSE,SUMPRODUCT(--ISNUMBER(SEARCH(","&amp;TRIM(TEXTSPLIT(FW76,","))&amp;",",","&amp;SUBSTITUTE(input_location," ","")&amp;",")))&gt;0)),IF(FY76="",TRUE,IF(input_location="",FALSE,SUMPRODUCT(--ISNUMBER(SEARCH(","&amp;TRIM(TEXTSPLIT(FY76,","))&amp;",",","&amp;SUBSTITUTE(input_location," ","")&amp;",")))=COUNTA(TEXTSPLIT(FY76,",")))))</f>
        <v/>
      </c>
      <c r="JK76">
        <f>AND(IF(GA76="",TRUE,IF(input_modality="",FALSE,SUMPRODUCT(--ISNUMBER(SEARCH(","&amp;TRIM(TEXTSPLIT(GA76,","))&amp;",",","&amp;SUBSTITUTE(input_modality," ","")&amp;",")))&gt;0)),IF(GC76="",TRUE,IF(input_modality="",FALSE,SUMPRODUCT(--ISNUMBER(SEARCH(","&amp;TRIM(TEXTSPLIT(GC76,","))&amp;",",","&amp;SUBSTITUTE(input_modality," ","")&amp;",")))=COUNTA(TEXTSPLIT(GC76,",")))),IF(GE76="",TRUE,IF(input_modality="",TRUE,SUMPRODUCT(--ISNUMBER(SEARCH(","&amp;TRIM(TEXTSPLIT(GE76,","))&amp;",",","&amp;SUBSTITUTE(input_modality," ","")&amp;",")))=0)),IF(GG76="",TRUE,IF(input_modality="",FALSE,SUMPRODUCT(--ISNUMBER(SEARCH(","&amp;TRIM(TEXTSPLIT(GG76,","))&amp;",",","&amp;SUBSTITUTE(input_modality," ","")&amp;",")))&gt;0)),IF(GI76="",TRUE,IF(input_modality="",FALSE,SUMPRODUCT(--ISNUMBER(SEARCH(","&amp;TRIM(TEXTSPLIT(GI76,","))&amp;",",","&amp;SUBSTITUTE(input_modality," ","")&amp;",")))=COUNTA(TEXTSPLIT(GI76,",")))))</f>
        <v/>
      </c>
      <c r="JL76">
        <f>AND(IF(GK76="",TRUE,IF(input_organizer="",FALSE,SUMPRODUCT(--ISNUMBER(SEARCH(","&amp;TRIM(TEXTSPLIT(GK76,","))&amp;",",","&amp;SUBSTITUTE(input_organizer," ","")&amp;",")))&gt;0)),IF(GM76="",TRUE,IF(input_organizer="",FALSE,SUMPRODUCT(--ISNUMBER(SEARCH(","&amp;TRIM(TEXTSPLIT(GM76,","))&amp;",",","&amp;SUBSTITUTE(input_organizer," ","")&amp;",")))=COUNTA(TEXTSPLIT(GM76,",")))),IF(GO76="",TRUE,IF(input_organizer="",TRUE,SUMPRODUCT(--ISNUMBER(SEARCH(","&amp;TRIM(TEXTSPLIT(GO76,","))&amp;",",","&amp;SUBSTITUTE(input_organizer," ","")&amp;",")))=0)),IF(GQ76="",TRUE,IF(input_organizer="",FALSE,SUMPRODUCT(--ISNUMBER(SEARCH(","&amp;TRIM(TEXTSPLIT(GQ76,","))&amp;",",","&amp;SUBSTITUTE(input_organizer," ","")&amp;",")))&gt;0)),IF(GS76="",TRUE,IF(input_organizer="",FALSE,SUMPRODUCT(--ISNUMBER(SEARCH(","&amp;TRIM(TEXTSPLIT(GS76,","))&amp;",",","&amp;SUBSTITUTE(input_organizer," ","")&amp;",")))=COUNTA(TEXTSPLIT(GS76,",")))))</f>
        <v/>
      </c>
      <c r="JM76">
        <f>AND(IF(GU76="",TRUE,IF(input_profile_type="",FALSE,SUMPRODUCT(--ISNUMBER(SEARCH(","&amp;TRIM(TEXTSPLIT(GU76,","))&amp;",",","&amp;SUBSTITUTE(input_profile_type," ","")&amp;",")))&gt;0)),IF(GW76="",TRUE,IF(input_profile_type="",FALSE,SUMPRODUCT(--ISNUMBER(SEARCH(","&amp;TRIM(TEXTSPLIT(GW76,","))&amp;",",","&amp;SUBSTITUTE(input_profile_type," ","")&amp;",")))=COUNTA(TEXTSPLIT(GW76,",")))),IF(GY76="",TRUE,IF(input_profile_type="",TRUE,SUMPRODUCT(--ISNUMBER(SEARCH(","&amp;TRIM(TEXTSPLIT(GY76,","))&amp;",",","&amp;SUBSTITUTE(input_profile_type," ","")&amp;",")))=0)),IF(HA76="",TRUE,IF(input_profile_type="",FALSE,SUMPRODUCT(--ISNUMBER(SEARCH(","&amp;TRIM(TEXTSPLIT(HA76,","))&amp;",",","&amp;SUBSTITUTE(input_profile_type," ","")&amp;",")))&gt;0)),IF(HC76="",TRUE,IF(input_profile_type="",FALSE,SUMPRODUCT(--ISNUMBER(SEARCH(","&amp;TRIM(TEXTSPLIT(HC76,","))&amp;",",","&amp;SUBSTITUTE(input_profile_type," ","")&amp;",")))=COUNTA(TEXTSPLIT(HC76,",")))))</f>
        <v/>
      </c>
      <c r="JN76">
        <f>AND(IF(HE76="",TRUE,IF(input_program="",FALSE,SUMPRODUCT(--ISNUMBER(SEARCH(","&amp;TRIM(TEXTSPLIT(HE76,","))&amp;",",","&amp;SUBSTITUTE(input_program," ","")&amp;",")))&gt;0)),IF(HG76="",TRUE,IF(input_program="",FALSE,SUMPRODUCT(--ISNUMBER(SEARCH(","&amp;TRIM(TEXTSPLIT(HG76,","))&amp;",",","&amp;SUBSTITUTE(input_program," ","")&amp;",")))=COUNTA(TEXTSPLIT(HG76,",")))),IF(HI76="",TRUE,IF(input_program="",TRUE,SUMPRODUCT(--ISNUMBER(SEARCH(","&amp;TRIM(TEXTSPLIT(HI76,","))&amp;",",","&amp;SUBSTITUTE(input_program," ","")&amp;",")))=0)),IF(HK76="",TRUE,IF(input_program="",FALSE,SUMPRODUCT(--ISNUMBER(SEARCH(","&amp;TRIM(TEXTSPLIT(HK76,","))&amp;",",","&amp;SUBSTITUTE(input_program," ","")&amp;",")))&gt;0)),IF(HM76="",TRUE,IF(input_program="",FALSE,SUMPRODUCT(--ISNUMBER(SEARCH(","&amp;TRIM(TEXTSPLIT(HM76,","))&amp;",",","&amp;SUBSTITUTE(input_program," ","")&amp;",")))=COUNTA(TEXTSPLIT(HM76,",")))))</f>
        <v/>
      </c>
      <c r="JO76">
        <f>AND(IF(HO76="",TRUE,IF(input_story_categories="",FALSE,SUMPRODUCT(--ISNUMBER(SEARCH(","&amp;TRIM(TEXTSPLIT(HO76,","))&amp;",",","&amp;SUBSTITUTE(input_story_categories," ","")&amp;",")))&gt;0)),IF(HQ76="",TRUE,IF(input_story_categories="",FALSE,SUMPRODUCT(--ISNUMBER(SEARCH(","&amp;TRIM(TEXTSPLIT(HQ76,","))&amp;",",","&amp;SUBSTITUTE(input_story_categories," ","")&amp;",")))=COUNTA(TEXTSPLIT(HQ76,",")))),IF(HS76="",TRUE,IF(input_story_categories="",TRUE,SUMPRODUCT(--ISNUMBER(SEARCH(","&amp;TRIM(TEXTSPLIT(HS76,","))&amp;",",","&amp;SUBSTITUTE(input_story_categories," ","")&amp;",")))=0)),IF(HU76="",TRUE,IF(input_story_categories="",FALSE,SUMPRODUCT(--ISNUMBER(SEARCH(","&amp;TRIM(TEXTSPLIT(HU76,","))&amp;",",","&amp;SUBSTITUTE(input_story_categories," ","")&amp;",")))&gt;0)),IF(HW76="",TRUE,IF(input_story_categories="",FALSE,SUMPRODUCT(--ISNUMBER(SEARCH(","&amp;TRIM(TEXTSPLIT(HW76,","))&amp;",",","&amp;SUBSTITUTE(input_story_categories," ","")&amp;",")))=COUNTA(TEXTSPLIT(HW76,",")))))</f>
        <v/>
      </c>
      <c r="JP76">
        <f>AND(IF(HY76="",TRUE,IF(input_story_type="",FALSE,SUMPRODUCT(--ISNUMBER(SEARCH(","&amp;TRIM(TEXTSPLIT(HY76,","))&amp;",",","&amp;SUBSTITUTE(input_story_type," ","")&amp;",")))&gt;0)),IF(IA76="",TRUE,IF(input_story_type="",FALSE,SUMPRODUCT(--ISNUMBER(SEARCH(","&amp;TRIM(TEXTSPLIT(IA76,","))&amp;",",","&amp;SUBSTITUTE(input_story_type," ","")&amp;",")))=COUNTA(TEXTSPLIT(IA76,",")))),IF(IC76="",TRUE,IF(input_story_type="",TRUE,SUMPRODUCT(--ISNUMBER(SEARCH(","&amp;TRIM(TEXTSPLIT(IC76,","))&amp;",",","&amp;SUBSTITUTE(input_story_type," ","")&amp;",")))=0)),IF(IE76="",TRUE,IF(input_story_type="",FALSE,SUMPRODUCT(--ISNUMBER(SEARCH(","&amp;TRIM(TEXTSPLIT(IE76,","))&amp;",",","&amp;SUBSTITUTE(input_story_type," ","")&amp;",")))&gt;0)),IF(IG76="",TRUE,IF(input_story_type="",FALSE,SUMPRODUCT(--ISNUMBER(SEARCH(","&amp;TRIM(TEXTSPLIT(IG76,","))&amp;",",","&amp;SUBSTITUTE(input_story_type," ","")&amp;",")))=COUNTA(TEXTSPLIT(IG76,",")))))</f>
        <v/>
      </c>
      <c r="JQ76">
        <f>AND(IF(II76="",TRUE,IF(input_topics="",FALSE,SUMPRODUCT(--ISNUMBER(SEARCH(","&amp;TRIM(TEXTSPLIT(II76,","))&amp;",",","&amp;SUBSTITUTE(input_topics," ","")&amp;",")))&gt;0)),IF(IK76="",TRUE,IF(input_topics="",FALSE,SUMPRODUCT(--ISNUMBER(SEARCH(","&amp;TRIM(TEXTSPLIT(IK76,","))&amp;",",","&amp;SUBSTITUTE(input_topics," ","")&amp;",")))=COUNTA(TEXTSPLIT(IK76,",")))),IF(IM76="",TRUE,IF(input_topics="",TRUE,SUMPRODUCT(--ISNUMBER(SEARCH(","&amp;TRIM(TEXTSPLIT(IM76,","))&amp;",",","&amp;SUBSTITUTE(input_topics," ","")&amp;",")))=0)),IF(IO76="",TRUE,IF(input_topics="",FALSE,SUMPRODUCT(--ISNUMBER(SEARCH(","&amp;TRIM(TEXTSPLIT(IO76,","))&amp;",",","&amp;SUBSTITUTE(input_topics," ","")&amp;",")))&gt;0)),IF(IQ76="",TRUE,IF(input_topics="",FALSE,SUMPRODUCT(--ISNUMBER(SEARCH(","&amp;TRIM(TEXTSPLIT(IQ76,","))&amp;",",","&amp;SUBSTITUTE(input_topics," ","")&amp;",")))=COUNTA(TEXTSPLIT(IQ76,",")))))</f>
        <v/>
      </c>
    </row>
    <row r="77">
      <c r="A77" s="4">
        <f>IF(NOT(IS77),"Excluded",IF(AND(IT77,IU77,IV77,IW77,IX77,IY77,IZ77,JA77,JB77,JC77,JD77,JE77,JF77,JG77,JH77,JI77,JJ77,JK77,JL77,JM77,JN77,JO77,JP77,JQ77),IF(I77&gt;0,"Eligible but limited","Will appear"),"Excluded"))</f>
        <v/>
      </c>
      <c r="B77" s="4" t="inlineStr">
        <is>
          <t>Blogs - Summary</t>
        </is>
      </c>
      <c r="C77" s="4" t="inlineStr">
        <is>
          <t>/the-som-experience/interests-and-industries/consulting</t>
        </is>
      </c>
      <c r="D77" s="4" t="inlineStr">
        <is>
          <t>/the-som-experience/interests-and-industries/consulting</t>
        </is>
      </c>
      <c r="E77" s="4" t="n">
        <v>1</v>
      </c>
      <c r="F77" s="4" t="inlineStr">
        <is>
          <t>story</t>
        </is>
      </c>
      <c r="G77" s="4" t="inlineStr">
        <is>
          <t>stories_mosaic_grid</t>
        </is>
      </c>
      <c r="H77" s="4" t="inlineStr">
        <is>
          <t>embed_blog_summary</t>
        </is>
      </c>
      <c r="I77" s="4" t="n">
        <v>1</v>
      </c>
      <c r="J77" s="4" t="inlineStr">
        <is>
          <t>View/config rules</t>
        </is>
      </c>
      <c r="K77" s="4" t="inlineStr">
        <is>
          <t>Page placement</t>
        </is>
      </c>
      <c r="L77" s="4" t="inlineStr">
        <is>
          <t>Content type: story; Needs any Story Type: Blog (974); Limited to 1 item(s); Source: View/config rules</t>
        </is>
      </c>
      <c r="M77" t="inlineStr"/>
      <c r="N77" t="inlineStr"/>
      <c r="O77" t="inlineStr"/>
      <c r="P77" t="inlineStr"/>
      <c r="Q77" t="inlineStr"/>
      <c r="R77" t="inlineStr"/>
      <c r="S77" t="inlineStr"/>
      <c r="T77" t="inlineStr"/>
      <c r="U77" t="inlineStr"/>
      <c r="V77" t="inlineStr"/>
      <c r="W77" t="inlineStr"/>
      <c r="X77" t="inlineStr"/>
      <c r="Y77" t="inlineStr"/>
      <c r="Z77" t="inlineStr"/>
      <c r="AA77" t="inlineStr"/>
      <c r="AB77" t="inlineStr"/>
      <c r="AC77" t="inlineStr"/>
      <c r="AD77" t="inlineStr"/>
      <c r="AE77" t="inlineStr"/>
      <c r="AF77" t="inlineStr"/>
      <c r="AG77" t="inlineStr"/>
      <c r="AH77" t="inlineStr"/>
      <c r="AI77" t="inlineStr"/>
      <c r="AJ77" t="inlineStr"/>
      <c r="AK77" t="inlineStr"/>
      <c r="AL77" t="inlineStr"/>
      <c r="AM77" t="inlineStr"/>
      <c r="AN77" t="inlineStr"/>
      <c r="AO77" t="inlineStr"/>
      <c r="AP77" t="inlineStr"/>
      <c r="AQ77" t="inlineStr"/>
      <c r="AR77" t="inlineStr"/>
      <c r="AS77" t="inlineStr"/>
      <c r="AT77" t="inlineStr"/>
      <c r="AU77" t="inlineStr"/>
      <c r="AV77" t="inlineStr"/>
      <c r="AW77" t="inlineStr"/>
      <c r="AX77" t="inlineStr"/>
      <c r="AY77" t="inlineStr"/>
      <c r="AZ77" t="inlineStr"/>
      <c r="BA77" t="inlineStr"/>
      <c r="BB77" t="inlineStr"/>
      <c r="BC77" t="inlineStr"/>
      <c r="BD77" t="inlineStr"/>
      <c r="BE77" t="inlineStr"/>
      <c r="BF77" t="inlineStr"/>
      <c r="BG77" t="inlineStr"/>
      <c r="BH77" t="inlineStr"/>
      <c r="BI77" t="inlineStr"/>
      <c r="BJ77" t="inlineStr"/>
      <c r="BK77" t="inlineStr"/>
      <c r="BL77" t="inlineStr"/>
      <c r="BM77" t="inlineStr"/>
      <c r="BN77" t="inlineStr"/>
      <c r="BO77" t="inlineStr"/>
      <c r="BP77" t="inlineStr"/>
      <c r="BQ77" t="inlineStr"/>
      <c r="BR77" t="inlineStr"/>
      <c r="BS77" t="inlineStr"/>
      <c r="BT77" t="inlineStr"/>
      <c r="BU77" t="inlineStr"/>
      <c r="BV77" t="inlineStr"/>
      <c r="BW77" t="inlineStr"/>
      <c r="BX77" t="inlineStr"/>
      <c r="BY77" t="inlineStr"/>
      <c r="BZ77" t="inlineStr"/>
      <c r="CA77" t="inlineStr"/>
      <c r="CB77" t="inlineStr"/>
      <c r="CC77" t="inlineStr"/>
      <c r="CD77" t="inlineStr"/>
      <c r="CE77" t="inlineStr"/>
      <c r="CF77" t="inlineStr"/>
      <c r="CG77" t="inlineStr"/>
      <c r="CH77" t="inlineStr"/>
      <c r="CI77" t="inlineStr"/>
      <c r="CJ77" t="inlineStr"/>
      <c r="CK77" t="inlineStr"/>
      <c r="CL77" t="inlineStr"/>
      <c r="CM77" t="inlineStr"/>
      <c r="CN77" t="inlineStr"/>
      <c r="CO77" t="inlineStr"/>
      <c r="CP77" t="inlineStr"/>
      <c r="CQ77" t="inlineStr"/>
      <c r="CR77" t="inlineStr"/>
      <c r="CS77" t="inlineStr"/>
      <c r="CT77" t="inlineStr"/>
      <c r="CU77" t="inlineStr"/>
      <c r="CV77" t="inlineStr"/>
      <c r="CW77" t="inlineStr"/>
      <c r="CX77" t="inlineStr"/>
      <c r="CY77" t="inlineStr"/>
      <c r="CZ77" t="inlineStr"/>
      <c r="DA77" t="inlineStr"/>
      <c r="DB77" t="inlineStr"/>
      <c r="DC77" t="inlineStr"/>
      <c r="DD77" t="inlineStr"/>
      <c r="DE77" t="inlineStr"/>
      <c r="DF77" t="inlineStr"/>
      <c r="DG77" t="inlineStr"/>
      <c r="DH77" t="inlineStr"/>
      <c r="DI77" t="inlineStr"/>
      <c r="DJ77" t="inlineStr"/>
      <c r="DK77" t="inlineStr"/>
      <c r="DL77" t="inlineStr"/>
      <c r="DM77" t="inlineStr"/>
      <c r="DN77" t="inlineStr"/>
      <c r="DO77" t="inlineStr"/>
      <c r="DP77" t="inlineStr"/>
      <c r="DQ77" t="inlineStr"/>
      <c r="DR77" t="inlineStr"/>
      <c r="DS77" t="inlineStr"/>
      <c r="DT77" t="inlineStr"/>
      <c r="DU77" t="inlineStr"/>
      <c r="DV77" t="inlineStr"/>
      <c r="DW77" t="inlineStr"/>
      <c r="DX77" t="inlineStr"/>
      <c r="DY77" t="inlineStr"/>
      <c r="DZ77" t="inlineStr"/>
      <c r="EA77" t="inlineStr"/>
      <c r="EB77" t="inlineStr"/>
      <c r="EC77" t="inlineStr"/>
      <c r="ED77" t="inlineStr"/>
      <c r="EE77" t="inlineStr"/>
      <c r="EF77" t="inlineStr"/>
      <c r="EG77" t="inlineStr"/>
      <c r="EH77" t="inlineStr"/>
      <c r="EI77" t="inlineStr"/>
      <c r="EJ77" t="inlineStr"/>
      <c r="EK77" t="inlineStr"/>
      <c r="EL77" t="inlineStr"/>
      <c r="EM77" t="inlineStr"/>
      <c r="EN77" t="inlineStr"/>
      <c r="EO77" t="inlineStr"/>
      <c r="EP77" t="inlineStr"/>
      <c r="EQ77" t="inlineStr"/>
      <c r="ER77" t="inlineStr"/>
      <c r="ES77" t="inlineStr"/>
      <c r="ET77" t="inlineStr"/>
      <c r="EU77" t="inlineStr"/>
      <c r="EV77" t="inlineStr"/>
      <c r="EW77" t="inlineStr"/>
      <c r="EX77" t="inlineStr"/>
      <c r="EY77" t="inlineStr"/>
      <c r="EZ77" t="inlineStr"/>
      <c r="FA77" t="inlineStr"/>
      <c r="FB77" t="inlineStr"/>
      <c r="FC77" t="inlineStr"/>
      <c r="FD77" t="inlineStr"/>
      <c r="FE77" t="inlineStr"/>
      <c r="FF77" t="inlineStr"/>
      <c r="FG77" t="inlineStr"/>
      <c r="FH77" t="inlineStr"/>
      <c r="FI77" t="inlineStr"/>
      <c r="FJ77" t="inlineStr"/>
      <c r="FK77" t="inlineStr"/>
      <c r="FL77" t="inlineStr"/>
      <c r="FM77" t="inlineStr"/>
      <c r="FN77" t="inlineStr"/>
      <c r="FO77" t="inlineStr"/>
      <c r="FP77" t="inlineStr"/>
      <c r="FQ77" t="inlineStr"/>
      <c r="FR77" t="inlineStr"/>
      <c r="FS77" t="inlineStr"/>
      <c r="FT77" t="inlineStr"/>
      <c r="FU77" t="inlineStr"/>
      <c r="FV77" t="inlineStr"/>
      <c r="FW77" t="inlineStr"/>
      <c r="FX77" t="inlineStr"/>
      <c r="FY77" t="inlineStr"/>
      <c r="FZ77" t="inlineStr"/>
      <c r="GA77" t="inlineStr"/>
      <c r="GB77" t="inlineStr"/>
      <c r="GC77" t="inlineStr"/>
      <c r="GD77" t="inlineStr"/>
      <c r="GE77" t="inlineStr"/>
      <c r="GF77" t="inlineStr"/>
      <c r="GG77" t="inlineStr"/>
      <c r="GH77" t="inlineStr"/>
      <c r="GI77" t="inlineStr"/>
      <c r="GJ77" t="inlineStr"/>
      <c r="GK77" t="inlineStr"/>
      <c r="GL77" t="inlineStr"/>
      <c r="GM77" t="inlineStr"/>
      <c r="GN77" t="inlineStr"/>
      <c r="GO77" t="inlineStr"/>
      <c r="GP77" t="inlineStr"/>
      <c r="GQ77" t="inlineStr"/>
      <c r="GR77" t="inlineStr"/>
      <c r="GS77" t="inlineStr"/>
      <c r="GT77" t="inlineStr"/>
      <c r="GU77" t="inlineStr"/>
      <c r="GV77" t="inlineStr"/>
      <c r="GW77" t="inlineStr"/>
      <c r="GX77" t="inlineStr"/>
      <c r="GY77" t="inlineStr"/>
      <c r="GZ77" t="inlineStr"/>
      <c r="HA77" t="inlineStr"/>
      <c r="HB77" t="inlineStr"/>
      <c r="HC77" t="inlineStr"/>
      <c r="HD77" t="inlineStr"/>
      <c r="HE77" t="inlineStr"/>
      <c r="HF77" t="inlineStr"/>
      <c r="HG77" t="inlineStr"/>
      <c r="HH77" t="inlineStr"/>
      <c r="HI77" t="inlineStr"/>
      <c r="HJ77" t="inlineStr"/>
      <c r="HK77" t="inlineStr"/>
      <c r="HL77" t="inlineStr"/>
      <c r="HM77" t="inlineStr"/>
      <c r="HN77" t="inlineStr"/>
      <c r="HO77" t="inlineStr"/>
      <c r="HP77" t="inlineStr"/>
      <c r="HQ77" t="inlineStr"/>
      <c r="HR77" t="inlineStr"/>
      <c r="HS77" t="inlineStr"/>
      <c r="HT77" t="inlineStr"/>
      <c r="HU77" t="inlineStr"/>
      <c r="HV77" t="inlineStr"/>
      <c r="HW77" t="inlineStr"/>
      <c r="HX77" t="inlineStr"/>
      <c r="HY77" t="inlineStr">
        <is>
          <t>974</t>
        </is>
      </c>
      <c r="HZ77" t="inlineStr">
        <is>
          <t>Blog (974)</t>
        </is>
      </c>
      <c r="IA77" t="inlineStr"/>
      <c r="IB77" t="inlineStr"/>
      <c r="IC77" t="inlineStr"/>
      <c r="ID77" t="inlineStr"/>
      <c r="IE77" t="inlineStr"/>
      <c r="IF77" t="inlineStr"/>
      <c r="IG77" t="inlineStr"/>
      <c r="IH77" t="inlineStr"/>
      <c r="II77" t="inlineStr"/>
      <c r="IJ77" t="inlineStr"/>
      <c r="IK77" t="inlineStr"/>
      <c r="IL77" t="inlineStr"/>
      <c r="IM77" t="inlineStr"/>
      <c r="IN77" t="inlineStr"/>
      <c r="IO77" t="inlineStr"/>
      <c r="IP77" t="inlineStr"/>
      <c r="IQ77" t="inlineStr"/>
      <c r="IR77" t="inlineStr"/>
      <c r="IS77">
        <f>IF(input_content_type="",FALSE,ISNUMBER(SEARCH(","&amp;LOWER(input_content_type)&amp;",",","&amp;LOWER(F77)&amp;",")))</f>
        <v/>
      </c>
      <c r="IT77">
        <f>AND(IF(M77="",TRUE,IF(input_affiliations="",FALSE,SUMPRODUCT(--ISNUMBER(SEARCH(","&amp;TRIM(TEXTSPLIT(M77,","))&amp;",",","&amp;SUBSTITUTE(input_affiliations," ","")&amp;",")))&gt;0)),IF(O77="",TRUE,IF(input_affiliations="",FALSE,SUMPRODUCT(--ISNUMBER(SEARCH(","&amp;TRIM(TEXTSPLIT(O77,","))&amp;",",","&amp;SUBSTITUTE(input_affiliations," ","")&amp;",")))=COUNTA(TEXTSPLIT(O77,",")))),IF(Q77="",TRUE,IF(input_affiliations="",TRUE,SUMPRODUCT(--ISNUMBER(SEARCH(","&amp;TRIM(TEXTSPLIT(Q77,","))&amp;",",","&amp;SUBSTITUTE(input_affiliations," ","")&amp;",")))=0)),IF(S77="",TRUE,IF(input_affiliations="",FALSE,SUMPRODUCT(--ISNUMBER(SEARCH(","&amp;TRIM(TEXTSPLIT(S77,","))&amp;",",","&amp;SUBSTITUTE(input_affiliations," ","")&amp;",")))&gt;0)),IF(U77="",TRUE,IF(input_affiliations="",FALSE,SUMPRODUCT(--ISNUMBER(SEARCH(","&amp;TRIM(TEXTSPLIT(U77,","))&amp;",",","&amp;SUBSTITUTE(input_affiliations," ","")&amp;",")))=COUNTA(TEXTSPLIT(U77,",")))))</f>
        <v/>
      </c>
      <c r="IU77">
        <f>AND(IF(W77="",TRUE,IF(input_announcement_category="",FALSE,SUMPRODUCT(--ISNUMBER(SEARCH(","&amp;TRIM(TEXTSPLIT(W77,","))&amp;",",","&amp;SUBSTITUTE(input_announcement_category," ","")&amp;",")))&gt;0)),IF(Y77="",TRUE,IF(input_announcement_category="",FALSE,SUMPRODUCT(--ISNUMBER(SEARCH(","&amp;TRIM(TEXTSPLIT(Y77,","))&amp;",",","&amp;SUBSTITUTE(input_announcement_category," ","")&amp;",")))=COUNTA(TEXTSPLIT(Y77,",")))),IF(AA77="",TRUE,IF(input_announcement_category="",TRUE,SUMPRODUCT(--ISNUMBER(SEARCH(","&amp;TRIM(TEXTSPLIT(AA77,","))&amp;",",","&amp;SUBSTITUTE(input_announcement_category," ","")&amp;",")))=0)),IF(AC77="",TRUE,IF(input_announcement_category="",FALSE,SUMPRODUCT(--ISNUMBER(SEARCH(","&amp;TRIM(TEXTSPLIT(AC77,","))&amp;",",","&amp;SUBSTITUTE(input_announcement_category," ","")&amp;",")))&gt;0)),IF(AE77="",TRUE,IF(input_announcement_category="",FALSE,SUMPRODUCT(--ISNUMBER(SEARCH(","&amp;TRIM(TEXTSPLIT(AE77,","))&amp;",",","&amp;SUBSTITUTE(input_announcement_category," ","")&amp;",")))=COUNTA(TEXTSPLIT(AE77,",")))))</f>
        <v/>
      </c>
      <c r="IV77">
        <f>AND(IF(AG77="",TRUE,IF(input_area_of_focus="",FALSE,SUMPRODUCT(--ISNUMBER(SEARCH(","&amp;TRIM(TEXTSPLIT(AG77,","))&amp;",",","&amp;SUBSTITUTE(input_area_of_focus," ","")&amp;",")))&gt;0)),IF(AI77="",TRUE,IF(input_area_of_focus="",FALSE,SUMPRODUCT(--ISNUMBER(SEARCH(","&amp;TRIM(TEXTSPLIT(AI77,","))&amp;",",","&amp;SUBSTITUTE(input_area_of_focus," ","")&amp;",")))=COUNTA(TEXTSPLIT(AI77,",")))),IF(AK77="",TRUE,IF(input_area_of_focus="",TRUE,SUMPRODUCT(--ISNUMBER(SEARCH(","&amp;TRIM(TEXTSPLIT(AK77,","))&amp;",",","&amp;SUBSTITUTE(input_area_of_focus," ","")&amp;",")))=0)),IF(AM77="",TRUE,IF(input_area_of_focus="",FALSE,SUMPRODUCT(--ISNUMBER(SEARCH(","&amp;TRIM(TEXTSPLIT(AM77,","))&amp;",",","&amp;SUBSTITUTE(input_area_of_focus," ","")&amp;",")))&gt;0)),IF(AO77="",TRUE,IF(input_area_of_focus="",FALSE,SUMPRODUCT(--ISNUMBER(SEARCH(","&amp;TRIM(TEXTSPLIT(AO77,","))&amp;",",","&amp;SUBSTITUTE(input_area_of_focus," ","")&amp;",")))=COUNTA(TEXTSPLIT(AO77,",")))))</f>
        <v/>
      </c>
      <c r="IW77">
        <f>AND(IF(AQ77="",TRUE,IF(input_audience="",FALSE,SUMPRODUCT(--ISNUMBER(SEARCH(","&amp;TRIM(TEXTSPLIT(AQ77,","))&amp;",",","&amp;SUBSTITUTE(input_audience," ","")&amp;",")))&gt;0)),IF(AS77="",TRUE,IF(input_audience="",FALSE,SUMPRODUCT(--ISNUMBER(SEARCH(","&amp;TRIM(TEXTSPLIT(AS77,","))&amp;",",","&amp;SUBSTITUTE(input_audience," ","")&amp;",")))=COUNTA(TEXTSPLIT(AS77,",")))),IF(AU77="",TRUE,IF(input_audience="",TRUE,SUMPRODUCT(--ISNUMBER(SEARCH(","&amp;TRIM(TEXTSPLIT(AU77,","))&amp;",",","&amp;SUBSTITUTE(input_audience," ","")&amp;",")))=0)),IF(AW77="",TRUE,IF(input_audience="",FALSE,SUMPRODUCT(--ISNUMBER(SEARCH(","&amp;TRIM(TEXTSPLIT(AW77,","))&amp;",",","&amp;SUBSTITUTE(input_audience," ","")&amp;",")))&gt;0)),IF(AY77="",TRUE,IF(input_audience="",FALSE,SUMPRODUCT(--ISNUMBER(SEARCH(","&amp;TRIM(TEXTSPLIT(AY77,","))&amp;",",","&amp;SUBSTITUTE(input_audience," ","")&amp;",")))=COUNTA(TEXTSPLIT(AY77,",")))))</f>
        <v/>
      </c>
      <c r="IX77">
        <f>AND(IF(BA77="",TRUE,IF(input_challenge_opportunities="",FALSE,SUMPRODUCT(--ISNUMBER(SEARCH(","&amp;TRIM(TEXTSPLIT(BA77,","))&amp;",",","&amp;SUBSTITUTE(input_challenge_opportunities," ","")&amp;",")))&gt;0)),IF(BC77="",TRUE,IF(input_challenge_opportunities="",FALSE,SUMPRODUCT(--ISNUMBER(SEARCH(","&amp;TRIM(TEXTSPLIT(BC77,","))&amp;",",","&amp;SUBSTITUTE(input_challenge_opportunities," ","")&amp;",")))=COUNTA(TEXTSPLIT(BC77,",")))),IF(BE77="",TRUE,IF(input_challenge_opportunities="",TRUE,SUMPRODUCT(--ISNUMBER(SEARCH(","&amp;TRIM(TEXTSPLIT(BE77,","))&amp;",",","&amp;SUBSTITUTE(input_challenge_opportunities," ","")&amp;",")))=0)),IF(BG77="",TRUE,IF(input_challenge_opportunities="",FALSE,SUMPRODUCT(--ISNUMBER(SEARCH(","&amp;TRIM(TEXTSPLIT(BG77,","))&amp;",",","&amp;SUBSTITUTE(input_challenge_opportunities," ","")&amp;",")))&gt;0)),IF(BI77="",TRUE,IF(input_challenge_opportunities="",FALSE,SUMPRODUCT(--ISNUMBER(SEARCH(","&amp;TRIM(TEXTSPLIT(BI77,","))&amp;",",","&amp;SUBSTITUTE(input_challenge_opportunities," ","")&amp;",")))=COUNTA(TEXTSPLIT(BI77,",")))))</f>
        <v/>
      </c>
      <c r="IY77">
        <f>AND(IF(BK77="",TRUE,IF(input_context="",FALSE,SUMPRODUCT(--ISNUMBER(SEARCH(","&amp;TRIM(TEXTSPLIT(BK77,","))&amp;",",","&amp;SUBSTITUTE(input_context," ","")&amp;",")))&gt;0)),IF(BM77="",TRUE,IF(input_context="",FALSE,SUMPRODUCT(--ISNUMBER(SEARCH(","&amp;TRIM(TEXTSPLIT(BM77,","))&amp;",",","&amp;SUBSTITUTE(input_context," ","")&amp;",")))=COUNTA(TEXTSPLIT(BM77,",")))),IF(BO77="",TRUE,IF(input_context="",TRUE,SUMPRODUCT(--ISNUMBER(SEARCH(","&amp;TRIM(TEXTSPLIT(BO77,","))&amp;",",","&amp;SUBSTITUTE(input_context," ","")&amp;",")))=0)),IF(BQ77="",TRUE,IF(input_context="",FALSE,SUMPRODUCT(--ISNUMBER(SEARCH(","&amp;TRIM(TEXTSPLIT(BQ77,","))&amp;",",","&amp;SUBSTITUTE(input_context," ","")&amp;",")))&gt;0)),IF(BS77="",TRUE,IF(input_context="",FALSE,SUMPRODUCT(--ISNUMBER(SEARCH(","&amp;TRIM(TEXTSPLIT(BS77,","))&amp;",",","&amp;SUBSTITUTE(input_context," ","")&amp;",")))=COUNTA(TEXTSPLIT(BS77,",")))))</f>
        <v/>
      </c>
      <c r="IZ77">
        <f>AND(IF(BU77="",TRUE,IF(input_enews_announcement_type="",FALSE,SUMPRODUCT(--ISNUMBER(SEARCH(","&amp;TRIM(TEXTSPLIT(BU77,","))&amp;",",","&amp;SUBSTITUTE(input_enews_announcement_type," ","")&amp;",")))&gt;0)),IF(BW77="",TRUE,IF(input_enews_announcement_type="",FALSE,SUMPRODUCT(--ISNUMBER(SEARCH(","&amp;TRIM(TEXTSPLIT(BW77,","))&amp;",",","&amp;SUBSTITUTE(input_enews_announcement_type," ","")&amp;",")))=COUNTA(TEXTSPLIT(BW77,",")))),IF(BY77="",TRUE,IF(input_enews_announcement_type="",TRUE,SUMPRODUCT(--ISNUMBER(SEARCH(","&amp;TRIM(TEXTSPLIT(BY77,","))&amp;",",","&amp;SUBSTITUTE(input_enews_announcement_type," ","")&amp;",")))=0)),IF(CA77="",TRUE,IF(input_enews_announcement_type="",FALSE,SUMPRODUCT(--ISNUMBER(SEARCH(","&amp;TRIM(TEXTSPLIT(CA77,","))&amp;",",","&amp;SUBSTITUTE(input_enews_announcement_type," ","")&amp;",")))&gt;0)),IF(CC77="",TRUE,IF(input_enews_announcement_type="",FALSE,SUMPRODUCT(--ISNUMBER(SEARCH(","&amp;TRIM(TEXTSPLIT(CC77,","))&amp;",",","&amp;SUBSTITUTE(input_enews_announcement_type," ","")&amp;",")))=COUNTA(TEXTSPLIT(CC77,",")))))</f>
        <v/>
      </c>
      <c r="JA77">
        <f>AND(IF(CE77="",TRUE,IF(input_enews_audience="",FALSE,SUMPRODUCT(--ISNUMBER(SEARCH(","&amp;TRIM(TEXTSPLIT(CE77,","))&amp;",",","&amp;SUBSTITUTE(input_enews_audience," ","")&amp;",")))&gt;0)),IF(CG77="",TRUE,IF(input_enews_audience="",FALSE,SUMPRODUCT(--ISNUMBER(SEARCH(","&amp;TRIM(TEXTSPLIT(CG77,","))&amp;",",","&amp;SUBSTITUTE(input_enews_audience," ","")&amp;",")))=COUNTA(TEXTSPLIT(CG77,",")))),IF(CI77="",TRUE,IF(input_enews_audience="",TRUE,SUMPRODUCT(--ISNUMBER(SEARCH(","&amp;TRIM(TEXTSPLIT(CI77,","))&amp;",",","&amp;SUBSTITUTE(input_enews_audience," ","")&amp;",")))=0)),IF(CK77="",TRUE,IF(input_enews_audience="",FALSE,SUMPRODUCT(--ISNUMBER(SEARCH(","&amp;TRIM(TEXTSPLIT(CK77,","))&amp;",",","&amp;SUBSTITUTE(input_enews_audience," ","")&amp;",")))&gt;0)),IF(CM77="",TRUE,IF(input_enews_audience="",FALSE,SUMPRODUCT(--ISNUMBER(SEARCH(","&amp;TRIM(TEXTSPLIT(CM77,","))&amp;",",","&amp;SUBSTITUTE(input_enews_audience," ","")&amp;",")))=COUNTA(TEXTSPLIT(CM77,",")))))</f>
        <v/>
      </c>
      <c r="JB77">
        <f>AND(IF(CO77="",TRUE,IF(input_event_location="",FALSE,SUMPRODUCT(--ISNUMBER(SEARCH(","&amp;TRIM(TEXTSPLIT(CO77,","))&amp;",",","&amp;SUBSTITUTE(input_event_location," ","")&amp;",")))&gt;0)),IF(CQ77="",TRUE,IF(input_event_location="",FALSE,SUMPRODUCT(--ISNUMBER(SEARCH(","&amp;TRIM(TEXTSPLIT(CQ77,","))&amp;",",","&amp;SUBSTITUTE(input_event_location," ","")&amp;",")))=COUNTA(TEXTSPLIT(CQ77,",")))),IF(CS77="",TRUE,IF(input_event_location="",TRUE,SUMPRODUCT(--ISNUMBER(SEARCH(","&amp;TRIM(TEXTSPLIT(CS77,","))&amp;",",","&amp;SUBSTITUTE(input_event_location," ","")&amp;",")))=0)),IF(CU77="",TRUE,IF(input_event_location="",FALSE,SUMPRODUCT(--ISNUMBER(SEARCH(","&amp;TRIM(TEXTSPLIT(CU77,","))&amp;",",","&amp;SUBSTITUTE(input_event_location," ","")&amp;",")))&gt;0)),IF(CW77="",TRUE,IF(input_event_location="",FALSE,SUMPRODUCT(--ISNUMBER(SEARCH(","&amp;TRIM(TEXTSPLIT(CW77,","))&amp;",",","&amp;SUBSTITUTE(input_event_location," ","")&amp;",")))=COUNTA(TEXTSPLIT(CW77,",")))))</f>
        <v/>
      </c>
      <c r="JC77">
        <f>AND(IF(CY77="",TRUE,IF(input_event_type="",FALSE,SUMPRODUCT(--ISNUMBER(SEARCH(","&amp;TRIM(TEXTSPLIT(CY77,","))&amp;",",","&amp;SUBSTITUTE(input_event_type," ","")&amp;",")))&gt;0)),IF(DA77="",TRUE,IF(input_event_type="",FALSE,SUMPRODUCT(--ISNUMBER(SEARCH(","&amp;TRIM(TEXTSPLIT(DA77,","))&amp;",",","&amp;SUBSTITUTE(input_event_type," ","")&amp;",")))=COUNTA(TEXTSPLIT(DA77,",")))),IF(DC77="",TRUE,IF(input_event_type="",TRUE,SUMPRODUCT(--ISNUMBER(SEARCH(","&amp;TRIM(TEXTSPLIT(DC77,","))&amp;",",","&amp;SUBSTITUTE(input_event_type," ","")&amp;",")))=0)),IF(DE77="",TRUE,IF(input_event_type="",FALSE,SUMPRODUCT(--ISNUMBER(SEARCH(","&amp;TRIM(TEXTSPLIT(DE77,","))&amp;",",","&amp;SUBSTITUTE(input_event_type," ","")&amp;",")))&gt;0)),IF(DG77="",TRUE,IF(input_event_type="",FALSE,SUMPRODUCT(--ISNUMBER(SEARCH(","&amp;TRIM(TEXTSPLIT(DG77,","))&amp;",",","&amp;SUBSTITUTE(input_event_type," ","")&amp;",")))=COUNTA(TEXTSPLIT(DG77,",")))))</f>
        <v/>
      </c>
      <c r="JD77">
        <f>AND(IF(DI77="",TRUE,IF(input_executive_education_focus="",FALSE,SUMPRODUCT(--ISNUMBER(SEARCH(","&amp;TRIM(TEXTSPLIT(DI77,","))&amp;",",","&amp;SUBSTITUTE(input_executive_education_focus," ","")&amp;",")))&gt;0)),IF(DK77="",TRUE,IF(input_executive_education_focus="",FALSE,SUMPRODUCT(--ISNUMBER(SEARCH(","&amp;TRIM(TEXTSPLIT(DK77,","))&amp;",",","&amp;SUBSTITUTE(input_executive_education_focus," ","")&amp;",")))=COUNTA(TEXTSPLIT(DK77,",")))),IF(DM77="",TRUE,IF(input_executive_education_focus="",TRUE,SUMPRODUCT(--ISNUMBER(SEARCH(","&amp;TRIM(TEXTSPLIT(DM77,","))&amp;",",","&amp;SUBSTITUTE(input_executive_education_focus," ","")&amp;",")))=0)),IF(DO77="",TRUE,IF(input_executive_education_focus="",FALSE,SUMPRODUCT(--ISNUMBER(SEARCH(","&amp;TRIM(TEXTSPLIT(DO77,","))&amp;",",","&amp;SUBSTITUTE(input_executive_education_focus," ","")&amp;",")))&gt;0)),IF(DQ77="",TRUE,IF(input_executive_education_focus="",FALSE,SUMPRODUCT(--ISNUMBER(SEARCH(","&amp;TRIM(TEXTSPLIT(DQ77,","))&amp;",",","&amp;SUBSTITUTE(input_executive_education_focus," ","")&amp;",")))=COUNTA(TEXTSPLIT(DQ77,",")))))</f>
        <v/>
      </c>
      <c r="JE77">
        <f>AND(IF(DS77="",TRUE,IF(input_faculty_category="",FALSE,SUMPRODUCT(--ISNUMBER(SEARCH(","&amp;TRIM(TEXTSPLIT(DS77,","))&amp;",",","&amp;SUBSTITUTE(input_faculty_category," ","")&amp;",")))&gt;0)),IF(DU77="",TRUE,IF(input_faculty_category="",FALSE,SUMPRODUCT(--ISNUMBER(SEARCH(","&amp;TRIM(TEXTSPLIT(DU77,","))&amp;",",","&amp;SUBSTITUTE(input_faculty_category," ","")&amp;",")))=COUNTA(TEXTSPLIT(DU77,",")))),IF(DW77="",TRUE,IF(input_faculty_category="",TRUE,SUMPRODUCT(--ISNUMBER(SEARCH(","&amp;TRIM(TEXTSPLIT(DW77,","))&amp;",",","&amp;SUBSTITUTE(input_faculty_category," ","")&amp;",")))=0)),IF(DY77="",TRUE,IF(input_faculty_category="",FALSE,SUMPRODUCT(--ISNUMBER(SEARCH(","&amp;TRIM(TEXTSPLIT(DY77,","))&amp;",",","&amp;SUBSTITUTE(input_faculty_category," ","")&amp;",")))&gt;0)),IF(EA77="",TRUE,IF(input_faculty_category="",FALSE,SUMPRODUCT(--ISNUMBER(SEARCH(","&amp;TRIM(TEXTSPLIT(EA77,","))&amp;",",","&amp;SUBSTITUTE(input_faculty_category," ","")&amp;",")))=COUNTA(TEXTSPLIT(EA77,",")))))</f>
        <v/>
      </c>
      <c r="JF77">
        <f>AND(IF(EC77="",TRUE,IF(input_faculty_discipline="",FALSE,SUMPRODUCT(--ISNUMBER(SEARCH(","&amp;TRIM(TEXTSPLIT(EC77,","))&amp;",",","&amp;SUBSTITUTE(input_faculty_discipline," ","")&amp;",")))&gt;0)),IF(EE77="",TRUE,IF(input_faculty_discipline="",FALSE,SUMPRODUCT(--ISNUMBER(SEARCH(","&amp;TRIM(TEXTSPLIT(EE77,","))&amp;",",","&amp;SUBSTITUTE(input_faculty_discipline," ","")&amp;",")))=COUNTA(TEXTSPLIT(EE77,",")))),IF(EG77="",TRUE,IF(input_faculty_discipline="",TRUE,SUMPRODUCT(--ISNUMBER(SEARCH(","&amp;TRIM(TEXTSPLIT(EG77,","))&amp;",",","&amp;SUBSTITUTE(input_faculty_discipline," ","")&amp;",")))=0)),IF(EI77="",TRUE,IF(input_faculty_discipline="",FALSE,SUMPRODUCT(--ISNUMBER(SEARCH(","&amp;TRIM(TEXTSPLIT(EI77,","))&amp;",",","&amp;SUBSTITUTE(input_faculty_discipline," ","")&amp;",")))&gt;0)),IF(EK77="",TRUE,IF(input_faculty_discipline="",FALSE,SUMPRODUCT(--ISNUMBER(SEARCH(","&amp;TRIM(TEXTSPLIT(EK77,","))&amp;",",","&amp;SUBSTITUTE(input_faculty_discipline," ","")&amp;",")))=COUNTA(TEXTSPLIT(EK77,",")))))</f>
        <v/>
      </c>
      <c r="JG77">
        <f>AND(IF(EM77="",TRUE,IF(input_faculty_expertise="",FALSE,SUMPRODUCT(--ISNUMBER(SEARCH(","&amp;TRIM(TEXTSPLIT(EM77,","))&amp;",",","&amp;SUBSTITUTE(input_faculty_expertise," ","")&amp;",")))&gt;0)),IF(EO77="",TRUE,IF(input_faculty_expertise="",FALSE,SUMPRODUCT(--ISNUMBER(SEARCH(","&amp;TRIM(TEXTSPLIT(EO77,","))&amp;",",","&amp;SUBSTITUTE(input_faculty_expertise," ","")&amp;",")))=COUNTA(TEXTSPLIT(EO77,",")))),IF(EQ77="",TRUE,IF(input_faculty_expertise="",TRUE,SUMPRODUCT(--ISNUMBER(SEARCH(","&amp;TRIM(TEXTSPLIT(EQ77,","))&amp;",",","&amp;SUBSTITUTE(input_faculty_expertise," ","")&amp;",")))=0)),IF(ES77="",TRUE,IF(input_faculty_expertise="",FALSE,SUMPRODUCT(--ISNUMBER(SEARCH(","&amp;TRIM(TEXTSPLIT(ES77,","))&amp;",",","&amp;SUBSTITUTE(input_faculty_expertise," ","")&amp;",")))&gt;0)),IF(EU77="",TRUE,IF(input_faculty_expertise="",FALSE,SUMPRODUCT(--ISNUMBER(SEARCH(","&amp;TRIM(TEXTSPLIT(EU77,","))&amp;",",","&amp;SUBSTITUTE(input_faculty_expertise," ","")&amp;",")))=COUNTA(TEXTSPLIT(EU77,",")))))</f>
        <v/>
      </c>
      <c r="JH77">
        <f>AND(IF(EW77="",TRUE,IF(input_global_network_school="",FALSE,SUMPRODUCT(--ISNUMBER(SEARCH(","&amp;TRIM(TEXTSPLIT(EW77,","))&amp;",",","&amp;SUBSTITUTE(input_global_network_school," ","")&amp;",")))&gt;0)),IF(EY77="",TRUE,IF(input_global_network_school="",FALSE,SUMPRODUCT(--ISNUMBER(SEARCH(","&amp;TRIM(TEXTSPLIT(EY77,","))&amp;",",","&amp;SUBSTITUTE(input_global_network_school," ","")&amp;",")))=COUNTA(TEXTSPLIT(EY77,",")))),IF(FA77="",TRUE,IF(input_global_network_school="",TRUE,SUMPRODUCT(--ISNUMBER(SEARCH(","&amp;TRIM(TEXTSPLIT(FA77,","))&amp;",",","&amp;SUBSTITUTE(input_global_network_school," ","")&amp;",")))=0)),IF(FC77="",TRUE,IF(input_global_network_school="",FALSE,SUMPRODUCT(--ISNUMBER(SEARCH(","&amp;TRIM(TEXTSPLIT(FC77,","))&amp;",",","&amp;SUBSTITUTE(input_global_network_school," ","")&amp;",")))&gt;0)),IF(FE77="",TRUE,IF(input_global_network_school="",FALSE,SUMPRODUCT(--ISNUMBER(SEARCH(","&amp;TRIM(TEXTSPLIT(FE77,","))&amp;",",","&amp;SUBSTITUTE(input_global_network_school," ","")&amp;",")))=COUNTA(TEXTSPLIT(FE77,",")))))</f>
        <v/>
      </c>
      <c r="JI77">
        <f>AND(IF(FG77="",TRUE,IF(input_industry="",FALSE,SUMPRODUCT(--ISNUMBER(SEARCH(","&amp;TRIM(TEXTSPLIT(FG77,","))&amp;",",","&amp;SUBSTITUTE(input_industry," ","")&amp;",")))&gt;0)),IF(FI77="",TRUE,IF(input_industry="",FALSE,SUMPRODUCT(--ISNUMBER(SEARCH(","&amp;TRIM(TEXTSPLIT(FI77,","))&amp;",",","&amp;SUBSTITUTE(input_industry," ","")&amp;",")))=COUNTA(TEXTSPLIT(FI77,",")))),IF(FK77="",TRUE,IF(input_industry="",TRUE,SUMPRODUCT(--ISNUMBER(SEARCH(","&amp;TRIM(TEXTSPLIT(FK77,","))&amp;",",","&amp;SUBSTITUTE(input_industry," ","")&amp;",")))=0)),IF(FM77="",TRUE,IF(input_industry="",FALSE,SUMPRODUCT(--ISNUMBER(SEARCH(","&amp;TRIM(TEXTSPLIT(FM77,","))&amp;",",","&amp;SUBSTITUTE(input_industry," ","")&amp;",")))&gt;0)),IF(FO77="",TRUE,IF(input_industry="",FALSE,SUMPRODUCT(--ISNUMBER(SEARCH(","&amp;TRIM(TEXTSPLIT(FO77,","))&amp;",",","&amp;SUBSTITUTE(input_industry," ","")&amp;",")))=COUNTA(TEXTSPLIT(FO77,",")))))</f>
        <v/>
      </c>
      <c r="JJ77">
        <f>AND(IF(FQ77="",TRUE,IF(input_location="",FALSE,SUMPRODUCT(--ISNUMBER(SEARCH(","&amp;TRIM(TEXTSPLIT(FQ77,","))&amp;",",","&amp;SUBSTITUTE(input_location," ","")&amp;",")))&gt;0)),IF(FS77="",TRUE,IF(input_location="",FALSE,SUMPRODUCT(--ISNUMBER(SEARCH(","&amp;TRIM(TEXTSPLIT(FS77,","))&amp;",",","&amp;SUBSTITUTE(input_location," ","")&amp;",")))=COUNTA(TEXTSPLIT(FS77,",")))),IF(FU77="",TRUE,IF(input_location="",TRUE,SUMPRODUCT(--ISNUMBER(SEARCH(","&amp;TRIM(TEXTSPLIT(FU77,","))&amp;",",","&amp;SUBSTITUTE(input_location," ","")&amp;",")))=0)),IF(FW77="",TRUE,IF(input_location="",FALSE,SUMPRODUCT(--ISNUMBER(SEARCH(","&amp;TRIM(TEXTSPLIT(FW77,","))&amp;",",","&amp;SUBSTITUTE(input_location," ","")&amp;",")))&gt;0)),IF(FY77="",TRUE,IF(input_location="",FALSE,SUMPRODUCT(--ISNUMBER(SEARCH(","&amp;TRIM(TEXTSPLIT(FY77,","))&amp;",",","&amp;SUBSTITUTE(input_location," ","")&amp;",")))=COUNTA(TEXTSPLIT(FY77,",")))))</f>
        <v/>
      </c>
      <c r="JK77">
        <f>AND(IF(GA77="",TRUE,IF(input_modality="",FALSE,SUMPRODUCT(--ISNUMBER(SEARCH(","&amp;TRIM(TEXTSPLIT(GA77,","))&amp;",",","&amp;SUBSTITUTE(input_modality," ","")&amp;",")))&gt;0)),IF(GC77="",TRUE,IF(input_modality="",FALSE,SUMPRODUCT(--ISNUMBER(SEARCH(","&amp;TRIM(TEXTSPLIT(GC77,","))&amp;",",","&amp;SUBSTITUTE(input_modality," ","")&amp;",")))=COUNTA(TEXTSPLIT(GC77,",")))),IF(GE77="",TRUE,IF(input_modality="",TRUE,SUMPRODUCT(--ISNUMBER(SEARCH(","&amp;TRIM(TEXTSPLIT(GE77,","))&amp;",",","&amp;SUBSTITUTE(input_modality," ","")&amp;",")))=0)),IF(GG77="",TRUE,IF(input_modality="",FALSE,SUMPRODUCT(--ISNUMBER(SEARCH(","&amp;TRIM(TEXTSPLIT(GG77,","))&amp;",",","&amp;SUBSTITUTE(input_modality," ","")&amp;",")))&gt;0)),IF(GI77="",TRUE,IF(input_modality="",FALSE,SUMPRODUCT(--ISNUMBER(SEARCH(","&amp;TRIM(TEXTSPLIT(GI77,","))&amp;",",","&amp;SUBSTITUTE(input_modality," ","")&amp;",")))=COUNTA(TEXTSPLIT(GI77,",")))))</f>
        <v/>
      </c>
      <c r="JL77">
        <f>AND(IF(GK77="",TRUE,IF(input_organizer="",FALSE,SUMPRODUCT(--ISNUMBER(SEARCH(","&amp;TRIM(TEXTSPLIT(GK77,","))&amp;",",","&amp;SUBSTITUTE(input_organizer," ","")&amp;",")))&gt;0)),IF(GM77="",TRUE,IF(input_organizer="",FALSE,SUMPRODUCT(--ISNUMBER(SEARCH(","&amp;TRIM(TEXTSPLIT(GM77,","))&amp;",",","&amp;SUBSTITUTE(input_organizer," ","")&amp;",")))=COUNTA(TEXTSPLIT(GM77,",")))),IF(GO77="",TRUE,IF(input_organizer="",TRUE,SUMPRODUCT(--ISNUMBER(SEARCH(","&amp;TRIM(TEXTSPLIT(GO77,","))&amp;",",","&amp;SUBSTITUTE(input_organizer," ","")&amp;",")))=0)),IF(GQ77="",TRUE,IF(input_organizer="",FALSE,SUMPRODUCT(--ISNUMBER(SEARCH(","&amp;TRIM(TEXTSPLIT(GQ77,","))&amp;",",","&amp;SUBSTITUTE(input_organizer," ","")&amp;",")))&gt;0)),IF(GS77="",TRUE,IF(input_organizer="",FALSE,SUMPRODUCT(--ISNUMBER(SEARCH(","&amp;TRIM(TEXTSPLIT(GS77,","))&amp;",",","&amp;SUBSTITUTE(input_organizer," ","")&amp;",")))=COUNTA(TEXTSPLIT(GS77,",")))))</f>
        <v/>
      </c>
      <c r="JM77">
        <f>AND(IF(GU77="",TRUE,IF(input_profile_type="",FALSE,SUMPRODUCT(--ISNUMBER(SEARCH(","&amp;TRIM(TEXTSPLIT(GU77,","))&amp;",",","&amp;SUBSTITUTE(input_profile_type," ","")&amp;",")))&gt;0)),IF(GW77="",TRUE,IF(input_profile_type="",FALSE,SUMPRODUCT(--ISNUMBER(SEARCH(","&amp;TRIM(TEXTSPLIT(GW77,","))&amp;",",","&amp;SUBSTITUTE(input_profile_type," ","")&amp;",")))=COUNTA(TEXTSPLIT(GW77,",")))),IF(GY77="",TRUE,IF(input_profile_type="",TRUE,SUMPRODUCT(--ISNUMBER(SEARCH(","&amp;TRIM(TEXTSPLIT(GY77,","))&amp;",",","&amp;SUBSTITUTE(input_profile_type," ","")&amp;",")))=0)),IF(HA77="",TRUE,IF(input_profile_type="",FALSE,SUMPRODUCT(--ISNUMBER(SEARCH(","&amp;TRIM(TEXTSPLIT(HA77,","))&amp;",",","&amp;SUBSTITUTE(input_profile_type," ","")&amp;",")))&gt;0)),IF(HC77="",TRUE,IF(input_profile_type="",FALSE,SUMPRODUCT(--ISNUMBER(SEARCH(","&amp;TRIM(TEXTSPLIT(HC77,","))&amp;",",","&amp;SUBSTITUTE(input_profile_type," ","")&amp;",")))=COUNTA(TEXTSPLIT(HC77,",")))))</f>
        <v/>
      </c>
      <c r="JN77">
        <f>AND(IF(HE77="",TRUE,IF(input_program="",FALSE,SUMPRODUCT(--ISNUMBER(SEARCH(","&amp;TRIM(TEXTSPLIT(HE77,","))&amp;",",","&amp;SUBSTITUTE(input_program," ","")&amp;",")))&gt;0)),IF(HG77="",TRUE,IF(input_program="",FALSE,SUMPRODUCT(--ISNUMBER(SEARCH(","&amp;TRIM(TEXTSPLIT(HG77,","))&amp;",",","&amp;SUBSTITUTE(input_program," ","")&amp;",")))=COUNTA(TEXTSPLIT(HG77,",")))),IF(HI77="",TRUE,IF(input_program="",TRUE,SUMPRODUCT(--ISNUMBER(SEARCH(","&amp;TRIM(TEXTSPLIT(HI77,","))&amp;",",","&amp;SUBSTITUTE(input_program," ","")&amp;",")))=0)),IF(HK77="",TRUE,IF(input_program="",FALSE,SUMPRODUCT(--ISNUMBER(SEARCH(","&amp;TRIM(TEXTSPLIT(HK77,","))&amp;",",","&amp;SUBSTITUTE(input_program," ","")&amp;",")))&gt;0)),IF(HM77="",TRUE,IF(input_program="",FALSE,SUMPRODUCT(--ISNUMBER(SEARCH(","&amp;TRIM(TEXTSPLIT(HM77,","))&amp;",",","&amp;SUBSTITUTE(input_program," ","")&amp;",")))=COUNTA(TEXTSPLIT(HM77,",")))))</f>
        <v/>
      </c>
      <c r="JO77">
        <f>AND(IF(HO77="",TRUE,IF(input_story_categories="",FALSE,SUMPRODUCT(--ISNUMBER(SEARCH(","&amp;TRIM(TEXTSPLIT(HO77,","))&amp;",",","&amp;SUBSTITUTE(input_story_categories," ","")&amp;",")))&gt;0)),IF(HQ77="",TRUE,IF(input_story_categories="",FALSE,SUMPRODUCT(--ISNUMBER(SEARCH(","&amp;TRIM(TEXTSPLIT(HQ77,","))&amp;",",","&amp;SUBSTITUTE(input_story_categories," ","")&amp;",")))=COUNTA(TEXTSPLIT(HQ77,",")))),IF(HS77="",TRUE,IF(input_story_categories="",TRUE,SUMPRODUCT(--ISNUMBER(SEARCH(","&amp;TRIM(TEXTSPLIT(HS77,","))&amp;",",","&amp;SUBSTITUTE(input_story_categories," ","")&amp;",")))=0)),IF(HU77="",TRUE,IF(input_story_categories="",FALSE,SUMPRODUCT(--ISNUMBER(SEARCH(","&amp;TRIM(TEXTSPLIT(HU77,","))&amp;",",","&amp;SUBSTITUTE(input_story_categories," ","")&amp;",")))&gt;0)),IF(HW77="",TRUE,IF(input_story_categories="",FALSE,SUMPRODUCT(--ISNUMBER(SEARCH(","&amp;TRIM(TEXTSPLIT(HW77,","))&amp;",",","&amp;SUBSTITUTE(input_story_categories," ","")&amp;",")))=COUNTA(TEXTSPLIT(HW77,",")))))</f>
        <v/>
      </c>
      <c r="JP77">
        <f>AND(IF(HY77="",TRUE,IF(input_story_type="",FALSE,SUMPRODUCT(--ISNUMBER(SEARCH(","&amp;TRIM(TEXTSPLIT(HY77,","))&amp;",",","&amp;SUBSTITUTE(input_story_type," ","")&amp;",")))&gt;0)),IF(IA77="",TRUE,IF(input_story_type="",FALSE,SUMPRODUCT(--ISNUMBER(SEARCH(","&amp;TRIM(TEXTSPLIT(IA77,","))&amp;",",","&amp;SUBSTITUTE(input_story_type," ","")&amp;",")))=COUNTA(TEXTSPLIT(IA77,",")))),IF(IC77="",TRUE,IF(input_story_type="",TRUE,SUMPRODUCT(--ISNUMBER(SEARCH(","&amp;TRIM(TEXTSPLIT(IC77,","))&amp;",",","&amp;SUBSTITUTE(input_story_type," ","")&amp;",")))=0)),IF(IE77="",TRUE,IF(input_story_type="",FALSE,SUMPRODUCT(--ISNUMBER(SEARCH(","&amp;TRIM(TEXTSPLIT(IE77,","))&amp;",",","&amp;SUBSTITUTE(input_story_type," ","")&amp;",")))&gt;0)),IF(IG77="",TRUE,IF(input_story_type="",FALSE,SUMPRODUCT(--ISNUMBER(SEARCH(","&amp;TRIM(TEXTSPLIT(IG77,","))&amp;",",","&amp;SUBSTITUTE(input_story_type," ","")&amp;",")))=COUNTA(TEXTSPLIT(IG77,",")))))</f>
        <v/>
      </c>
      <c r="JQ77">
        <f>AND(IF(II77="",TRUE,IF(input_topics="",FALSE,SUMPRODUCT(--ISNUMBER(SEARCH(","&amp;TRIM(TEXTSPLIT(II77,","))&amp;",",","&amp;SUBSTITUTE(input_topics," ","")&amp;",")))&gt;0)),IF(IK77="",TRUE,IF(input_topics="",FALSE,SUMPRODUCT(--ISNUMBER(SEARCH(","&amp;TRIM(TEXTSPLIT(IK77,","))&amp;",",","&amp;SUBSTITUTE(input_topics," ","")&amp;",")))=COUNTA(TEXTSPLIT(IK77,",")))),IF(IM77="",TRUE,IF(input_topics="",TRUE,SUMPRODUCT(--ISNUMBER(SEARCH(","&amp;TRIM(TEXTSPLIT(IM77,","))&amp;",",","&amp;SUBSTITUTE(input_topics," ","")&amp;",")))=0)),IF(IO77="",TRUE,IF(input_topics="",FALSE,SUMPRODUCT(--ISNUMBER(SEARCH(","&amp;TRIM(TEXTSPLIT(IO77,","))&amp;",",","&amp;SUBSTITUTE(input_topics," ","")&amp;",")))&gt;0)),IF(IQ77="",TRUE,IF(input_topics="",FALSE,SUMPRODUCT(--ISNUMBER(SEARCH(","&amp;TRIM(TEXTSPLIT(IQ77,","))&amp;",",","&amp;SUBSTITUTE(input_topics," ","")&amp;",")))=COUNTA(TEXTSPLIT(IQ77,",")))))</f>
        <v/>
      </c>
    </row>
    <row r="78">
      <c r="A78" s="4">
        <f>IF(NOT(IS78),"Excluded",IF(AND(IT78,IU78,IV78,IW78,IX78,IY78,IZ78,JA78,JB78,JC78,JD78,JE78,JF78,JG78,JH78,JI78,JJ78,JK78,JL78,JM78,JN78,JO78,JP78,JQ78),IF(I78&gt;0,"Eligible but limited","Will appear"),"Excluded"))</f>
        <v/>
      </c>
      <c r="B78" s="4" t="inlineStr">
        <is>
          <t>Blogs - Summary</t>
        </is>
      </c>
      <c r="C78" s="4" t="inlineStr">
        <is>
          <t>/the-som-experience/interests-and-industries/entrepreneurship</t>
        </is>
      </c>
      <c r="D78" s="4" t="inlineStr">
        <is>
          <t>/the-som-experience/interests-and-industries/entrepreneurship</t>
        </is>
      </c>
      <c r="E78" s="4" t="n">
        <v>1</v>
      </c>
      <c r="F78" s="4" t="inlineStr">
        <is>
          <t>story</t>
        </is>
      </c>
      <c r="G78" s="4" t="inlineStr">
        <is>
          <t>stories_mosaic_grid</t>
        </is>
      </c>
      <c r="H78" s="4" t="inlineStr">
        <is>
          <t>embed_blog_summary</t>
        </is>
      </c>
      <c r="I78" s="4" t="n">
        <v>1</v>
      </c>
      <c r="J78" s="4" t="inlineStr">
        <is>
          <t>View/config rules</t>
        </is>
      </c>
      <c r="K78" s="4" t="inlineStr">
        <is>
          <t>Page placement</t>
        </is>
      </c>
      <c r="L78" s="4" t="inlineStr">
        <is>
          <t>Content type: story; Needs any Story Type: Blog (974); Limited to 1 item(s); Source: View/config rules</t>
        </is>
      </c>
      <c r="M78" t="inlineStr"/>
      <c r="N78" t="inlineStr"/>
      <c r="O78" t="inlineStr"/>
      <c r="P78" t="inlineStr"/>
      <c r="Q78" t="inlineStr"/>
      <c r="R78" t="inlineStr"/>
      <c r="S78" t="inlineStr"/>
      <c r="T78" t="inlineStr"/>
      <c r="U78" t="inlineStr"/>
      <c r="V78" t="inlineStr"/>
      <c r="W78" t="inlineStr"/>
      <c r="X78" t="inlineStr"/>
      <c r="Y78" t="inlineStr"/>
      <c r="Z78" t="inlineStr"/>
      <c r="AA78" t="inlineStr"/>
      <c r="AB78" t="inlineStr"/>
      <c r="AC78" t="inlineStr"/>
      <c r="AD78" t="inlineStr"/>
      <c r="AE78" t="inlineStr"/>
      <c r="AF78" t="inlineStr"/>
      <c r="AG78" t="inlineStr"/>
      <c r="AH78" t="inlineStr"/>
      <c r="AI78" t="inlineStr"/>
      <c r="AJ78" t="inlineStr"/>
      <c r="AK78" t="inlineStr"/>
      <c r="AL78" t="inlineStr"/>
      <c r="AM78" t="inlineStr"/>
      <c r="AN78" t="inlineStr"/>
      <c r="AO78" t="inlineStr"/>
      <c r="AP78" t="inlineStr"/>
      <c r="AQ78" t="inlineStr"/>
      <c r="AR78" t="inlineStr"/>
      <c r="AS78" t="inlineStr"/>
      <c r="AT78" t="inlineStr"/>
      <c r="AU78" t="inlineStr"/>
      <c r="AV78" t="inlineStr"/>
      <c r="AW78" t="inlineStr"/>
      <c r="AX78" t="inlineStr"/>
      <c r="AY78" t="inlineStr"/>
      <c r="AZ78" t="inlineStr"/>
      <c r="BA78" t="inlineStr"/>
      <c r="BB78" t="inlineStr"/>
      <c r="BC78" t="inlineStr"/>
      <c r="BD78" t="inlineStr"/>
      <c r="BE78" t="inlineStr"/>
      <c r="BF78" t="inlineStr"/>
      <c r="BG78" t="inlineStr"/>
      <c r="BH78" t="inlineStr"/>
      <c r="BI78" t="inlineStr"/>
      <c r="BJ78" t="inlineStr"/>
      <c r="BK78" t="inlineStr"/>
      <c r="BL78" t="inlineStr"/>
      <c r="BM78" t="inlineStr"/>
      <c r="BN78" t="inlineStr"/>
      <c r="BO78" t="inlineStr"/>
      <c r="BP78" t="inlineStr"/>
      <c r="BQ78" t="inlineStr"/>
      <c r="BR78" t="inlineStr"/>
      <c r="BS78" t="inlineStr"/>
      <c r="BT78" t="inlineStr"/>
      <c r="BU78" t="inlineStr"/>
      <c r="BV78" t="inlineStr"/>
      <c r="BW78" t="inlineStr"/>
      <c r="BX78" t="inlineStr"/>
      <c r="BY78" t="inlineStr"/>
      <c r="BZ78" t="inlineStr"/>
      <c r="CA78" t="inlineStr"/>
      <c r="CB78" t="inlineStr"/>
      <c r="CC78" t="inlineStr"/>
      <c r="CD78" t="inlineStr"/>
      <c r="CE78" t="inlineStr"/>
      <c r="CF78" t="inlineStr"/>
      <c r="CG78" t="inlineStr"/>
      <c r="CH78" t="inlineStr"/>
      <c r="CI78" t="inlineStr"/>
      <c r="CJ78" t="inlineStr"/>
      <c r="CK78" t="inlineStr"/>
      <c r="CL78" t="inlineStr"/>
      <c r="CM78" t="inlineStr"/>
      <c r="CN78" t="inlineStr"/>
      <c r="CO78" t="inlineStr"/>
      <c r="CP78" t="inlineStr"/>
      <c r="CQ78" t="inlineStr"/>
      <c r="CR78" t="inlineStr"/>
      <c r="CS78" t="inlineStr"/>
      <c r="CT78" t="inlineStr"/>
      <c r="CU78" t="inlineStr"/>
      <c r="CV78" t="inlineStr"/>
      <c r="CW78" t="inlineStr"/>
      <c r="CX78" t="inlineStr"/>
      <c r="CY78" t="inlineStr"/>
      <c r="CZ78" t="inlineStr"/>
      <c r="DA78" t="inlineStr"/>
      <c r="DB78" t="inlineStr"/>
      <c r="DC78" t="inlineStr"/>
      <c r="DD78" t="inlineStr"/>
      <c r="DE78" t="inlineStr"/>
      <c r="DF78" t="inlineStr"/>
      <c r="DG78" t="inlineStr"/>
      <c r="DH78" t="inlineStr"/>
      <c r="DI78" t="inlineStr"/>
      <c r="DJ78" t="inlineStr"/>
      <c r="DK78" t="inlineStr"/>
      <c r="DL78" t="inlineStr"/>
      <c r="DM78" t="inlineStr"/>
      <c r="DN78" t="inlineStr"/>
      <c r="DO78" t="inlineStr"/>
      <c r="DP78" t="inlineStr"/>
      <c r="DQ78" t="inlineStr"/>
      <c r="DR78" t="inlineStr"/>
      <c r="DS78" t="inlineStr"/>
      <c r="DT78" t="inlineStr"/>
      <c r="DU78" t="inlineStr"/>
      <c r="DV78" t="inlineStr"/>
      <c r="DW78" t="inlineStr"/>
      <c r="DX78" t="inlineStr"/>
      <c r="DY78" t="inlineStr"/>
      <c r="DZ78" t="inlineStr"/>
      <c r="EA78" t="inlineStr"/>
      <c r="EB78" t="inlineStr"/>
      <c r="EC78" t="inlineStr"/>
      <c r="ED78" t="inlineStr"/>
      <c r="EE78" t="inlineStr"/>
      <c r="EF78" t="inlineStr"/>
      <c r="EG78" t="inlineStr"/>
      <c r="EH78" t="inlineStr"/>
      <c r="EI78" t="inlineStr"/>
      <c r="EJ78" t="inlineStr"/>
      <c r="EK78" t="inlineStr"/>
      <c r="EL78" t="inlineStr"/>
      <c r="EM78" t="inlineStr"/>
      <c r="EN78" t="inlineStr"/>
      <c r="EO78" t="inlineStr"/>
      <c r="EP78" t="inlineStr"/>
      <c r="EQ78" t="inlineStr"/>
      <c r="ER78" t="inlineStr"/>
      <c r="ES78" t="inlineStr"/>
      <c r="ET78" t="inlineStr"/>
      <c r="EU78" t="inlineStr"/>
      <c r="EV78" t="inlineStr"/>
      <c r="EW78" t="inlineStr"/>
      <c r="EX78" t="inlineStr"/>
      <c r="EY78" t="inlineStr"/>
      <c r="EZ78" t="inlineStr"/>
      <c r="FA78" t="inlineStr"/>
      <c r="FB78" t="inlineStr"/>
      <c r="FC78" t="inlineStr"/>
      <c r="FD78" t="inlineStr"/>
      <c r="FE78" t="inlineStr"/>
      <c r="FF78" t="inlineStr"/>
      <c r="FG78" t="inlineStr"/>
      <c r="FH78" t="inlineStr"/>
      <c r="FI78" t="inlineStr"/>
      <c r="FJ78" t="inlineStr"/>
      <c r="FK78" t="inlineStr"/>
      <c r="FL78" t="inlineStr"/>
      <c r="FM78" t="inlineStr"/>
      <c r="FN78" t="inlineStr"/>
      <c r="FO78" t="inlineStr"/>
      <c r="FP78" t="inlineStr"/>
      <c r="FQ78" t="inlineStr"/>
      <c r="FR78" t="inlineStr"/>
      <c r="FS78" t="inlineStr"/>
      <c r="FT78" t="inlineStr"/>
      <c r="FU78" t="inlineStr"/>
      <c r="FV78" t="inlineStr"/>
      <c r="FW78" t="inlineStr"/>
      <c r="FX78" t="inlineStr"/>
      <c r="FY78" t="inlineStr"/>
      <c r="FZ78" t="inlineStr"/>
      <c r="GA78" t="inlineStr"/>
      <c r="GB78" t="inlineStr"/>
      <c r="GC78" t="inlineStr"/>
      <c r="GD78" t="inlineStr"/>
      <c r="GE78" t="inlineStr"/>
      <c r="GF78" t="inlineStr"/>
      <c r="GG78" t="inlineStr"/>
      <c r="GH78" t="inlineStr"/>
      <c r="GI78" t="inlineStr"/>
      <c r="GJ78" t="inlineStr"/>
      <c r="GK78" t="inlineStr"/>
      <c r="GL78" t="inlineStr"/>
      <c r="GM78" t="inlineStr"/>
      <c r="GN78" t="inlineStr"/>
      <c r="GO78" t="inlineStr"/>
      <c r="GP78" t="inlineStr"/>
      <c r="GQ78" t="inlineStr"/>
      <c r="GR78" t="inlineStr"/>
      <c r="GS78" t="inlineStr"/>
      <c r="GT78" t="inlineStr"/>
      <c r="GU78" t="inlineStr"/>
      <c r="GV78" t="inlineStr"/>
      <c r="GW78" t="inlineStr"/>
      <c r="GX78" t="inlineStr"/>
      <c r="GY78" t="inlineStr"/>
      <c r="GZ78" t="inlineStr"/>
      <c r="HA78" t="inlineStr"/>
      <c r="HB78" t="inlineStr"/>
      <c r="HC78" t="inlineStr"/>
      <c r="HD78" t="inlineStr"/>
      <c r="HE78" t="inlineStr"/>
      <c r="HF78" t="inlineStr"/>
      <c r="HG78" t="inlineStr"/>
      <c r="HH78" t="inlineStr"/>
      <c r="HI78" t="inlineStr"/>
      <c r="HJ78" t="inlineStr"/>
      <c r="HK78" t="inlineStr"/>
      <c r="HL78" t="inlineStr"/>
      <c r="HM78" t="inlineStr"/>
      <c r="HN78" t="inlineStr"/>
      <c r="HO78" t="inlineStr"/>
      <c r="HP78" t="inlineStr"/>
      <c r="HQ78" t="inlineStr"/>
      <c r="HR78" t="inlineStr"/>
      <c r="HS78" t="inlineStr"/>
      <c r="HT78" t="inlineStr"/>
      <c r="HU78" t="inlineStr"/>
      <c r="HV78" t="inlineStr"/>
      <c r="HW78" t="inlineStr"/>
      <c r="HX78" t="inlineStr"/>
      <c r="HY78" t="inlineStr">
        <is>
          <t>974</t>
        </is>
      </c>
      <c r="HZ78" t="inlineStr">
        <is>
          <t>Blog (974)</t>
        </is>
      </c>
      <c r="IA78" t="inlineStr"/>
      <c r="IB78" t="inlineStr"/>
      <c r="IC78" t="inlineStr"/>
      <c r="ID78" t="inlineStr"/>
      <c r="IE78" t="inlineStr"/>
      <c r="IF78" t="inlineStr"/>
      <c r="IG78" t="inlineStr"/>
      <c r="IH78" t="inlineStr"/>
      <c r="II78" t="inlineStr"/>
      <c r="IJ78" t="inlineStr"/>
      <c r="IK78" t="inlineStr"/>
      <c r="IL78" t="inlineStr"/>
      <c r="IM78" t="inlineStr"/>
      <c r="IN78" t="inlineStr"/>
      <c r="IO78" t="inlineStr"/>
      <c r="IP78" t="inlineStr"/>
      <c r="IQ78" t="inlineStr"/>
      <c r="IR78" t="inlineStr"/>
      <c r="IS78">
        <f>IF(input_content_type="",FALSE,ISNUMBER(SEARCH(","&amp;LOWER(input_content_type)&amp;",",","&amp;LOWER(F78)&amp;",")))</f>
        <v/>
      </c>
      <c r="IT78">
        <f>AND(IF(M78="",TRUE,IF(input_affiliations="",FALSE,SUMPRODUCT(--ISNUMBER(SEARCH(","&amp;TRIM(TEXTSPLIT(M78,","))&amp;",",","&amp;SUBSTITUTE(input_affiliations," ","")&amp;",")))&gt;0)),IF(O78="",TRUE,IF(input_affiliations="",FALSE,SUMPRODUCT(--ISNUMBER(SEARCH(","&amp;TRIM(TEXTSPLIT(O78,","))&amp;",",","&amp;SUBSTITUTE(input_affiliations," ","")&amp;",")))=COUNTA(TEXTSPLIT(O78,",")))),IF(Q78="",TRUE,IF(input_affiliations="",TRUE,SUMPRODUCT(--ISNUMBER(SEARCH(","&amp;TRIM(TEXTSPLIT(Q78,","))&amp;",",","&amp;SUBSTITUTE(input_affiliations," ","")&amp;",")))=0)),IF(S78="",TRUE,IF(input_affiliations="",FALSE,SUMPRODUCT(--ISNUMBER(SEARCH(","&amp;TRIM(TEXTSPLIT(S78,","))&amp;",",","&amp;SUBSTITUTE(input_affiliations," ","")&amp;",")))&gt;0)),IF(U78="",TRUE,IF(input_affiliations="",FALSE,SUMPRODUCT(--ISNUMBER(SEARCH(","&amp;TRIM(TEXTSPLIT(U78,","))&amp;",",","&amp;SUBSTITUTE(input_affiliations," ","")&amp;",")))=COUNTA(TEXTSPLIT(U78,",")))))</f>
        <v/>
      </c>
      <c r="IU78">
        <f>AND(IF(W78="",TRUE,IF(input_announcement_category="",FALSE,SUMPRODUCT(--ISNUMBER(SEARCH(","&amp;TRIM(TEXTSPLIT(W78,","))&amp;",",","&amp;SUBSTITUTE(input_announcement_category," ","")&amp;",")))&gt;0)),IF(Y78="",TRUE,IF(input_announcement_category="",FALSE,SUMPRODUCT(--ISNUMBER(SEARCH(","&amp;TRIM(TEXTSPLIT(Y78,","))&amp;",",","&amp;SUBSTITUTE(input_announcement_category," ","")&amp;",")))=COUNTA(TEXTSPLIT(Y78,",")))),IF(AA78="",TRUE,IF(input_announcement_category="",TRUE,SUMPRODUCT(--ISNUMBER(SEARCH(","&amp;TRIM(TEXTSPLIT(AA78,","))&amp;",",","&amp;SUBSTITUTE(input_announcement_category," ","")&amp;",")))=0)),IF(AC78="",TRUE,IF(input_announcement_category="",FALSE,SUMPRODUCT(--ISNUMBER(SEARCH(","&amp;TRIM(TEXTSPLIT(AC78,","))&amp;",",","&amp;SUBSTITUTE(input_announcement_category," ","")&amp;",")))&gt;0)),IF(AE78="",TRUE,IF(input_announcement_category="",FALSE,SUMPRODUCT(--ISNUMBER(SEARCH(","&amp;TRIM(TEXTSPLIT(AE78,","))&amp;",",","&amp;SUBSTITUTE(input_announcement_category," ","")&amp;",")))=COUNTA(TEXTSPLIT(AE78,",")))))</f>
        <v/>
      </c>
      <c r="IV78">
        <f>AND(IF(AG78="",TRUE,IF(input_area_of_focus="",FALSE,SUMPRODUCT(--ISNUMBER(SEARCH(","&amp;TRIM(TEXTSPLIT(AG78,","))&amp;",",","&amp;SUBSTITUTE(input_area_of_focus," ","")&amp;",")))&gt;0)),IF(AI78="",TRUE,IF(input_area_of_focus="",FALSE,SUMPRODUCT(--ISNUMBER(SEARCH(","&amp;TRIM(TEXTSPLIT(AI78,","))&amp;",",","&amp;SUBSTITUTE(input_area_of_focus," ","")&amp;",")))=COUNTA(TEXTSPLIT(AI78,",")))),IF(AK78="",TRUE,IF(input_area_of_focus="",TRUE,SUMPRODUCT(--ISNUMBER(SEARCH(","&amp;TRIM(TEXTSPLIT(AK78,","))&amp;",",","&amp;SUBSTITUTE(input_area_of_focus," ","")&amp;",")))=0)),IF(AM78="",TRUE,IF(input_area_of_focus="",FALSE,SUMPRODUCT(--ISNUMBER(SEARCH(","&amp;TRIM(TEXTSPLIT(AM78,","))&amp;",",","&amp;SUBSTITUTE(input_area_of_focus," ","")&amp;",")))&gt;0)),IF(AO78="",TRUE,IF(input_area_of_focus="",FALSE,SUMPRODUCT(--ISNUMBER(SEARCH(","&amp;TRIM(TEXTSPLIT(AO78,","))&amp;",",","&amp;SUBSTITUTE(input_area_of_focus," ","")&amp;",")))=COUNTA(TEXTSPLIT(AO78,",")))))</f>
        <v/>
      </c>
      <c r="IW78">
        <f>AND(IF(AQ78="",TRUE,IF(input_audience="",FALSE,SUMPRODUCT(--ISNUMBER(SEARCH(","&amp;TRIM(TEXTSPLIT(AQ78,","))&amp;",",","&amp;SUBSTITUTE(input_audience," ","")&amp;",")))&gt;0)),IF(AS78="",TRUE,IF(input_audience="",FALSE,SUMPRODUCT(--ISNUMBER(SEARCH(","&amp;TRIM(TEXTSPLIT(AS78,","))&amp;",",","&amp;SUBSTITUTE(input_audience," ","")&amp;",")))=COUNTA(TEXTSPLIT(AS78,",")))),IF(AU78="",TRUE,IF(input_audience="",TRUE,SUMPRODUCT(--ISNUMBER(SEARCH(","&amp;TRIM(TEXTSPLIT(AU78,","))&amp;",",","&amp;SUBSTITUTE(input_audience," ","")&amp;",")))=0)),IF(AW78="",TRUE,IF(input_audience="",FALSE,SUMPRODUCT(--ISNUMBER(SEARCH(","&amp;TRIM(TEXTSPLIT(AW78,","))&amp;",",","&amp;SUBSTITUTE(input_audience," ","")&amp;",")))&gt;0)),IF(AY78="",TRUE,IF(input_audience="",FALSE,SUMPRODUCT(--ISNUMBER(SEARCH(","&amp;TRIM(TEXTSPLIT(AY78,","))&amp;",",","&amp;SUBSTITUTE(input_audience," ","")&amp;",")))=COUNTA(TEXTSPLIT(AY78,",")))))</f>
        <v/>
      </c>
      <c r="IX78">
        <f>AND(IF(BA78="",TRUE,IF(input_challenge_opportunities="",FALSE,SUMPRODUCT(--ISNUMBER(SEARCH(","&amp;TRIM(TEXTSPLIT(BA78,","))&amp;",",","&amp;SUBSTITUTE(input_challenge_opportunities," ","")&amp;",")))&gt;0)),IF(BC78="",TRUE,IF(input_challenge_opportunities="",FALSE,SUMPRODUCT(--ISNUMBER(SEARCH(","&amp;TRIM(TEXTSPLIT(BC78,","))&amp;",",","&amp;SUBSTITUTE(input_challenge_opportunities," ","")&amp;",")))=COUNTA(TEXTSPLIT(BC78,",")))),IF(BE78="",TRUE,IF(input_challenge_opportunities="",TRUE,SUMPRODUCT(--ISNUMBER(SEARCH(","&amp;TRIM(TEXTSPLIT(BE78,","))&amp;",",","&amp;SUBSTITUTE(input_challenge_opportunities," ","")&amp;",")))=0)),IF(BG78="",TRUE,IF(input_challenge_opportunities="",FALSE,SUMPRODUCT(--ISNUMBER(SEARCH(","&amp;TRIM(TEXTSPLIT(BG78,","))&amp;",",","&amp;SUBSTITUTE(input_challenge_opportunities," ","")&amp;",")))&gt;0)),IF(BI78="",TRUE,IF(input_challenge_opportunities="",FALSE,SUMPRODUCT(--ISNUMBER(SEARCH(","&amp;TRIM(TEXTSPLIT(BI78,","))&amp;",",","&amp;SUBSTITUTE(input_challenge_opportunities," ","")&amp;",")))=COUNTA(TEXTSPLIT(BI78,",")))))</f>
        <v/>
      </c>
      <c r="IY78">
        <f>AND(IF(BK78="",TRUE,IF(input_context="",FALSE,SUMPRODUCT(--ISNUMBER(SEARCH(","&amp;TRIM(TEXTSPLIT(BK78,","))&amp;",",","&amp;SUBSTITUTE(input_context," ","")&amp;",")))&gt;0)),IF(BM78="",TRUE,IF(input_context="",FALSE,SUMPRODUCT(--ISNUMBER(SEARCH(","&amp;TRIM(TEXTSPLIT(BM78,","))&amp;",",","&amp;SUBSTITUTE(input_context," ","")&amp;",")))=COUNTA(TEXTSPLIT(BM78,",")))),IF(BO78="",TRUE,IF(input_context="",TRUE,SUMPRODUCT(--ISNUMBER(SEARCH(","&amp;TRIM(TEXTSPLIT(BO78,","))&amp;",",","&amp;SUBSTITUTE(input_context," ","")&amp;",")))=0)),IF(BQ78="",TRUE,IF(input_context="",FALSE,SUMPRODUCT(--ISNUMBER(SEARCH(","&amp;TRIM(TEXTSPLIT(BQ78,","))&amp;",",","&amp;SUBSTITUTE(input_context," ","")&amp;",")))&gt;0)),IF(BS78="",TRUE,IF(input_context="",FALSE,SUMPRODUCT(--ISNUMBER(SEARCH(","&amp;TRIM(TEXTSPLIT(BS78,","))&amp;",",","&amp;SUBSTITUTE(input_context," ","")&amp;",")))=COUNTA(TEXTSPLIT(BS78,",")))))</f>
        <v/>
      </c>
      <c r="IZ78">
        <f>AND(IF(BU78="",TRUE,IF(input_enews_announcement_type="",FALSE,SUMPRODUCT(--ISNUMBER(SEARCH(","&amp;TRIM(TEXTSPLIT(BU78,","))&amp;",",","&amp;SUBSTITUTE(input_enews_announcement_type," ","")&amp;",")))&gt;0)),IF(BW78="",TRUE,IF(input_enews_announcement_type="",FALSE,SUMPRODUCT(--ISNUMBER(SEARCH(","&amp;TRIM(TEXTSPLIT(BW78,","))&amp;",",","&amp;SUBSTITUTE(input_enews_announcement_type," ","")&amp;",")))=COUNTA(TEXTSPLIT(BW78,",")))),IF(BY78="",TRUE,IF(input_enews_announcement_type="",TRUE,SUMPRODUCT(--ISNUMBER(SEARCH(","&amp;TRIM(TEXTSPLIT(BY78,","))&amp;",",","&amp;SUBSTITUTE(input_enews_announcement_type," ","")&amp;",")))=0)),IF(CA78="",TRUE,IF(input_enews_announcement_type="",FALSE,SUMPRODUCT(--ISNUMBER(SEARCH(","&amp;TRIM(TEXTSPLIT(CA78,","))&amp;",",","&amp;SUBSTITUTE(input_enews_announcement_type," ","")&amp;",")))&gt;0)),IF(CC78="",TRUE,IF(input_enews_announcement_type="",FALSE,SUMPRODUCT(--ISNUMBER(SEARCH(","&amp;TRIM(TEXTSPLIT(CC78,","))&amp;",",","&amp;SUBSTITUTE(input_enews_announcement_type," ","")&amp;",")))=COUNTA(TEXTSPLIT(CC78,",")))))</f>
        <v/>
      </c>
      <c r="JA78">
        <f>AND(IF(CE78="",TRUE,IF(input_enews_audience="",FALSE,SUMPRODUCT(--ISNUMBER(SEARCH(","&amp;TRIM(TEXTSPLIT(CE78,","))&amp;",",","&amp;SUBSTITUTE(input_enews_audience," ","")&amp;",")))&gt;0)),IF(CG78="",TRUE,IF(input_enews_audience="",FALSE,SUMPRODUCT(--ISNUMBER(SEARCH(","&amp;TRIM(TEXTSPLIT(CG78,","))&amp;",",","&amp;SUBSTITUTE(input_enews_audience," ","")&amp;",")))=COUNTA(TEXTSPLIT(CG78,",")))),IF(CI78="",TRUE,IF(input_enews_audience="",TRUE,SUMPRODUCT(--ISNUMBER(SEARCH(","&amp;TRIM(TEXTSPLIT(CI78,","))&amp;",",","&amp;SUBSTITUTE(input_enews_audience," ","")&amp;",")))=0)),IF(CK78="",TRUE,IF(input_enews_audience="",FALSE,SUMPRODUCT(--ISNUMBER(SEARCH(","&amp;TRIM(TEXTSPLIT(CK78,","))&amp;",",","&amp;SUBSTITUTE(input_enews_audience," ","")&amp;",")))&gt;0)),IF(CM78="",TRUE,IF(input_enews_audience="",FALSE,SUMPRODUCT(--ISNUMBER(SEARCH(","&amp;TRIM(TEXTSPLIT(CM78,","))&amp;",",","&amp;SUBSTITUTE(input_enews_audience," ","")&amp;",")))=COUNTA(TEXTSPLIT(CM78,",")))))</f>
        <v/>
      </c>
      <c r="JB78">
        <f>AND(IF(CO78="",TRUE,IF(input_event_location="",FALSE,SUMPRODUCT(--ISNUMBER(SEARCH(","&amp;TRIM(TEXTSPLIT(CO78,","))&amp;",",","&amp;SUBSTITUTE(input_event_location," ","")&amp;",")))&gt;0)),IF(CQ78="",TRUE,IF(input_event_location="",FALSE,SUMPRODUCT(--ISNUMBER(SEARCH(","&amp;TRIM(TEXTSPLIT(CQ78,","))&amp;",",","&amp;SUBSTITUTE(input_event_location," ","")&amp;",")))=COUNTA(TEXTSPLIT(CQ78,",")))),IF(CS78="",TRUE,IF(input_event_location="",TRUE,SUMPRODUCT(--ISNUMBER(SEARCH(","&amp;TRIM(TEXTSPLIT(CS78,","))&amp;",",","&amp;SUBSTITUTE(input_event_location," ","")&amp;",")))=0)),IF(CU78="",TRUE,IF(input_event_location="",FALSE,SUMPRODUCT(--ISNUMBER(SEARCH(","&amp;TRIM(TEXTSPLIT(CU78,","))&amp;",",","&amp;SUBSTITUTE(input_event_location," ","")&amp;",")))&gt;0)),IF(CW78="",TRUE,IF(input_event_location="",FALSE,SUMPRODUCT(--ISNUMBER(SEARCH(","&amp;TRIM(TEXTSPLIT(CW78,","))&amp;",",","&amp;SUBSTITUTE(input_event_location," ","")&amp;",")))=COUNTA(TEXTSPLIT(CW78,",")))))</f>
        <v/>
      </c>
      <c r="JC78">
        <f>AND(IF(CY78="",TRUE,IF(input_event_type="",FALSE,SUMPRODUCT(--ISNUMBER(SEARCH(","&amp;TRIM(TEXTSPLIT(CY78,","))&amp;",",","&amp;SUBSTITUTE(input_event_type," ","")&amp;",")))&gt;0)),IF(DA78="",TRUE,IF(input_event_type="",FALSE,SUMPRODUCT(--ISNUMBER(SEARCH(","&amp;TRIM(TEXTSPLIT(DA78,","))&amp;",",","&amp;SUBSTITUTE(input_event_type," ","")&amp;",")))=COUNTA(TEXTSPLIT(DA78,",")))),IF(DC78="",TRUE,IF(input_event_type="",TRUE,SUMPRODUCT(--ISNUMBER(SEARCH(","&amp;TRIM(TEXTSPLIT(DC78,","))&amp;",",","&amp;SUBSTITUTE(input_event_type," ","")&amp;",")))=0)),IF(DE78="",TRUE,IF(input_event_type="",FALSE,SUMPRODUCT(--ISNUMBER(SEARCH(","&amp;TRIM(TEXTSPLIT(DE78,","))&amp;",",","&amp;SUBSTITUTE(input_event_type," ","")&amp;",")))&gt;0)),IF(DG78="",TRUE,IF(input_event_type="",FALSE,SUMPRODUCT(--ISNUMBER(SEARCH(","&amp;TRIM(TEXTSPLIT(DG78,","))&amp;",",","&amp;SUBSTITUTE(input_event_type," ","")&amp;",")))=COUNTA(TEXTSPLIT(DG78,",")))))</f>
        <v/>
      </c>
      <c r="JD78">
        <f>AND(IF(DI78="",TRUE,IF(input_executive_education_focus="",FALSE,SUMPRODUCT(--ISNUMBER(SEARCH(","&amp;TRIM(TEXTSPLIT(DI78,","))&amp;",",","&amp;SUBSTITUTE(input_executive_education_focus," ","")&amp;",")))&gt;0)),IF(DK78="",TRUE,IF(input_executive_education_focus="",FALSE,SUMPRODUCT(--ISNUMBER(SEARCH(","&amp;TRIM(TEXTSPLIT(DK78,","))&amp;",",","&amp;SUBSTITUTE(input_executive_education_focus," ","")&amp;",")))=COUNTA(TEXTSPLIT(DK78,",")))),IF(DM78="",TRUE,IF(input_executive_education_focus="",TRUE,SUMPRODUCT(--ISNUMBER(SEARCH(","&amp;TRIM(TEXTSPLIT(DM78,","))&amp;",",","&amp;SUBSTITUTE(input_executive_education_focus," ","")&amp;",")))=0)),IF(DO78="",TRUE,IF(input_executive_education_focus="",FALSE,SUMPRODUCT(--ISNUMBER(SEARCH(","&amp;TRIM(TEXTSPLIT(DO78,","))&amp;",",","&amp;SUBSTITUTE(input_executive_education_focus," ","")&amp;",")))&gt;0)),IF(DQ78="",TRUE,IF(input_executive_education_focus="",FALSE,SUMPRODUCT(--ISNUMBER(SEARCH(","&amp;TRIM(TEXTSPLIT(DQ78,","))&amp;",",","&amp;SUBSTITUTE(input_executive_education_focus," ","")&amp;",")))=COUNTA(TEXTSPLIT(DQ78,",")))))</f>
        <v/>
      </c>
      <c r="JE78">
        <f>AND(IF(DS78="",TRUE,IF(input_faculty_category="",FALSE,SUMPRODUCT(--ISNUMBER(SEARCH(","&amp;TRIM(TEXTSPLIT(DS78,","))&amp;",",","&amp;SUBSTITUTE(input_faculty_category," ","")&amp;",")))&gt;0)),IF(DU78="",TRUE,IF(input_faculty_category="",FALSE,SUMPRODUCT(--ISNUMBER(SEARCH(","&amp;TRIM(TEXTSPLIT(DU78,","))&amp;",",","&amp;SUBSTITUTE(input_faculty_category," ","")&amp;",")))=COUNTA(TEXTSPLIT(DU78,",")))),IF(DW78="",TRUE,IF(input_faculty_category="",TRUE,SUMPRODUCT(--ISNUMBER(SEARCH(","&amp;TRIM(TEXTSPLIT(DW78,","))&amp;",",","&amp;SUBSTITUTE(input_faculty_category," ","")&amp;",")))=0)),IF(DY78="",TRUE,IF(input_faculty_category="",FALSE,SUMPRODUCT(--ISNUMBER(SEARCH(","&amp;TRIM(TEXTSPLIT(DY78,","))&amp;",",","&amp;SUBSTITUTE(input_faculty_category," ","")&amp;",")))&gt;0)),IF(EA78="",TRUE,IF(input_faculty_category="",FALSE,SUMPRODUCT(--ISNUMBER(SEARCH(","&amp;TRIM(TEXTSPLIT(EA78,","))&amp;",",","&amp;SUBSTITUTE(input_faculty_category," ","")&amp;",")))=COUNTA(TEXTSPLIT(EA78,",")))))</f>
        <v/>
      </c>
      <c r="JF78">
        <f>AND(IF(EC78="",TRUE,IF(input_faculty_discipline="",FALSE,SUMPRODUCT(--ISNUMBER(SEARCH(","&amp;TRIM(TEXTSPLIT(EC78,","))&amp;",",","&amp;SUBSTITUTE(input_faculty_discipline," ","")&amp;",")))&gt;0)),IF(EE78="",TRUE,IF(input_faculty_discipline="",FALSE,SUMPRODUCT(--ISNUMBER(SEARCH(","&amp;TRIM(TEXTSPLIT(EE78,","))&amp;",",","&amp;SUBSTITUTE(input_faculty_discipline," ","")&amp;",")))=COUNTA(TEXTSPLIT(EE78,",")))),IF(EG78="",TRUE,IF(input_faculty_discipline="",TRUE,SUMPRODUCT(--ISNUMBER(SEARCH(","&amp;TRIM(TEXTSPLIT(EG78,","))&amp;",",","&amp;SUBSTITUTE(input_faculty_discipline," ","")&amp;",")))=0)),IF(EI78="",TRUE,IF(input_faculty_discipline="",FALSE,SUMPRODUCT(--ISNUMBER(SEARCH(","&amp;TRIM(TEXTSPLIT(EI78,","))&amp;",",","&amp;SUBSTITUTE(input_faculty_discipline," ","")&amp;",")))&gt;0)),IF(EK78="",TRUE,IF(input_faculty_discipline="",FALSE,SUMPRODUCT(--ISNUMBER(SEARCH(","&amp;TRIM(TEXTSPLIT(EK78,","))&amp;",",","&amp;SUBSTITUTE(input_faculty_discipline," ","")&amp;",")))=COUNTA(TEXTSPLIT(EK78,",")))))</f>
        <v/>
      </c>
      <c r="JG78">
        <f>AND(IF(EM78="",TRUE,IF(input_faculty_expertise="",FALSE,SUMPRODUCT(--ISNUMBER(SEARCH(","&amp;TRIM(TEXTSPLIT(EM78,","))&amp;",",","&amp;SUBSTITUTE(input_faculty_expertise," ","")&amp;",")))&gt;0)),IF(EO78="",TRUE,IF(input_faculty_expertise="",FALSE,SUMPRODUCT(--ISNUMBER(SEARCH(","&amp;TRIM(TEXTSPLIT(EO78,","))&amp;",",","&amp;SUBSTITUTE(input_faculty_expertise," ","")&amp;",")))=COUNTA(TEXTSPLIT(EO78,",")))),IF(EQ78="",TRUE,IF(input_faculty_expertise="",TRUE,SUMPRODUCT(--ISNUMBER(SEARCH(","&amp;TRIM(TEXTSPLIT(EQ78,","))&amp;",",","&amp;SUBSTITUTE(input_faculty_expertise," ","")&amp;",")))=0)),IF(ES78="",TRUE,IF(input_faculty_expertise="",FALSE,SUMPRODUCT(--ISNUMBER(SEARCH(","&amp;TRIM(TEXTSPLIT(ES78,","))&amp;",",","&amp;SUBSTITUTE(input_faculty_expertise," ","")&amp;",")))&gt;0)),IF(EU78="",TRUE,IF(input_faculty_expertise="",FALSE,SUMPRODUCT(--ISNUMBER(SEARCH(","&amp;TRIM(TEXTSPLIT(EU78,","))&amp;",",","&amp;SUBSTITUTE(input_faculty_expertise," ","")&amp;",")))=COUNTA(TEXTSPLIT(EU78,",")))))</f>
        <v/>
      </c>
      <c r="JH78">
        <f>AND(IF(EW78="",TRUE,IF(input_global_network_school="",FALSE,SUMPRODUCT(--ISNUMBER(SEARCH(","&amp;TRIM(TEXTSPLIT(EW78,","))&amp;",",","&amp;SUBSTITUTE(input_global_network_school," ","")&amp;",")))&gt;0)),IF(EY78="",TRUE,IF(input_global_network_school="",FALSE,SUMPRODUCT(--ISNUMBER(SEARCH(","&amp;TRIM(TEXTSPLIT(EY78,","))&amp;",",","&amp;SUBSTITUTE(input_global_network_school," ","")&amp;",")))=COUNTA(TEXTSPLIT(EY78,",")))),IF(FA78="",TRUE,IF(input_global_network_school="",TRUE,SUMPRODUCT(--ISNUMBER(SEARCH(","&amp;TRIM(TEXTSPLIT(FA78,","))&amp;",",","&amp;SUBSTITUTE(input_global_network_school," ","")&amp;",")))=0)),IF(FC78="",TRUE,IF(input_global_network_school="",FALSE,SUMPRODUCT(--ISNUMBER(SEARCH(","&amp;TRIM(TEXTSPLIT(FC78,","))&amp;",",","&amp;SUBSTITUTE(input_global_network_school," ","")&amp;",")))&gt;0)),IF(FE78="",TRUE,IF(input_global_network_school="",FALSE,SUMPRODUCT(--ISNUMBER(SEARCH(","&amp;TRIM(TEXTSPLIT(FE78,","))&amp;",",","&amp;SUBSTITUTE(input_global_network_school," ","")&amp;",")))=COUNTA(TEXTSPLIT(FE78,",")))))</f>
        <v/>
      </c>
      <c r="JI78">
        <f>AND(IF(FG78="",TRUE,IF(input_industry="",FALSE,SUMPRODUCT(--ISNUMBER(SEARCH(","&amp;TRIM(TEXTSPLIT(FG78,","))&amp;",",","&amp;SUBSTITUTE(input_industry," ","")&amp;",")))&gt;0)),IF(FI78="",TRUE,IF(input_industry="",FALSE,SUMPRODUCT(--ISNUMBER(SEARCH(","&amp;TRIM(TEXTSPLIT(FI78,","))&amp;",",","&amp;SUBSTITUTE(input_industry," ","")&amp;",")))=COUNTA(TEXTSPLIT(FI78,",")))),IF(FK78="",TRUE,IF(input_industry="",TRUE,SUMPRODUCT(--ISNUMBER(SEARCH(","&amp;TRIM(TEXTSPLIT(FK78,","))&amp;",",","&amp;SUBSTITUTE(input_industry," ","")&amp;",")))=0)),IF(FM78="",TRUE,IF(input_industry="",FALSE,SUMPRODUCT(--ISNUMBER(SEARCH(","&amp;TRIM(TEXTSPLIT(FM78,","))&amp;",",","&amp;SUBSTITUTE(input_industry," ","")&amp;",")))&gt;0)),IF(FO78="",TRUE,IF(input_industry="",FALSE,SUMPRODUCT(--ISNUMBER(SEARCH(","&amp;TRIM(TEXTSPLIT(FO78,","))&amp;",",","&amp;SUBSTITUTE(input_industry," ","")&amp;",")))=COUNTA(TEXTSPLIT(FO78,",")))))</f>
        <v/>
      </c>
      <c r="JJ78">
        <f>AND(IF(FQ78="",TRUE,IF(input_location="",FALSE,SUMPRODUCT(--ISNUMBER(SEARCH(","&amp;TRIM(TEXTSPLIT(FQ78,","))&amp;",",","&amp;SUBSTITUTE(input_location," ","")&amp;",")))&gt;0)),IF(FS78="",TRUE,IF(input_location="",FALSE,SUMPRODUCT(--ISNUMBER(SEARCH(","&amp;TRIM(TEXTSPLIT(FS78,","))&amp;",",","&amp;SUBSTITUTE(input_location," ","")&amp;",")))=COUNTA(TEXTSPLIT(FS78,",")))),IF(FU78="",TRUE,IF(input_location="",TRUE,SUMPRODUCT(--ISNUMBER(SEARCH(","&amp;TRIM(TEXTSPLIT(FU78,","))&amp;",",","&amp;SUBSTITUTE(input_location," ","")&amp;",")))=0)),IF(FW78="",TRUE,IF(input_location="",FALSE,SUMPRODUCT(--ISNUMBER(SEARCH(","&amp;TRIM(TEXTSPLIT(FW78,","))&amp;",",","&amp;SUBSTITUTE(input_location," ","")&amp;",")))&gt;0)),IF(FY78="",TRUE,IF(input_location="",FALSE,SUMPRODUCT(--ISNUMBER(SEARCH(","&amp;TRIM(TEXTSPLIT(FY78,","))&amp;",",","&amp;SUBSTITUTE(input_location," ","")&amp;",")))=COUNTA(TEXTSPLIT(FY78,",")))))</f>
        <v/>
      </c>
      <c r="JK78">
        <f>AND(IF(GA78="",TRUE,IF(input_modality="",FALSE,SUMPRODUCT(--ISNUMBER(SEARCH(","&amp;TRIM(TEXTSPLIT(GA78,","))&amp;",",","&amp;SUBSTITUTE(input_modality," ","")&amp;",")))&gt;0)),IF(GC78="",TRUE,IF(input_modality="",FALSE,SUMPRODUCT(--ISNUMBER(SEARCH(","&amp;TRIM(TEXTSPLIT(GC78,","))&amp;",",","&amp;SUBSTITUTE(input_modality," ","")&amp;",")))=COUNTA(TEXTSPLIT(GC78,",")))),IF(GE78="",TRUE,IF(input_modality="",TRUE,SUMPRODUCT(--ISNUMBER(SEARCH(","&amp;TRIM(TEXTSPLIT(GE78,","))&amp;",",","&amp;SUBSTITUTE(input_modality," ","")&amp;",")))=0)),IF(GG78="",TRUE,IF(input_modality="",FALSE,SUMPRODUCT(--ISNUMBER(SEARCH(","&amp;TRIM(TEXTSPLIT(GG78,","))&amp;",",","&amp;SUBSTITUTE(input_modality," ","")&amp;",")))&gt;0)),IF(GI78="",TRUE,IF(input_modality="",FALSE,SUMPRODUCT(--ISNUMBER(SEARCH(","&amp;TRIM(TEXTSPLIT(GI78,","))&amp;",",","&amp;SUBSTITUTE(input_modality," ","")&amp;",")))=COUNTA(TEXTSPLIT(GI78,",")))))</f>
        <v/>
      </c>
      <c r="JL78">
        <f>AND(IF(GK78="",TRUE,IF(input_organizer="",FALSE,SUMPRODUCT(--ISNUMBER(SEARCH(","&amp;TRIM(TEXTSPLIT(GK78,","))&amp;",",","&amp;SUBSTITUTE(input_organizer," ","")&amp;",")))&gt;0)),IF(GM78="",TRUE,IF(input_organizer="",FALSE,SUMPRODUCT(--ISNUMBER(SEARCH(","&amp;TRIM(TEXTSPLIT(GM78,","))&amp;",",","&amp;SUBSTITUTE(input_organizer," ","")&amp;",")))=COUNTA(TEXTSPLIT(GM78,",")))),IF(GO78="",TRUE,IF(input_organizer="",TRUE,SUMPRODUCT(--ISNUMBER(SEARCH(","&amp;TRIM(TEXTSPLIT(GO78,","))&amp;",",","&amp;SUBSTITUTE(input_organizer," ","")&amp;",")))=0)),IF(GQ78="",TRUE,IF(input_organizer="",FALSE,SUMPRODUCT(--ISNUMBER(SEARCH(","&amp;TRIM(TEXTSPLIT(GQ78,","))&amp;",",","&amp;SUBSTITUTE(input_organizer," ","")&amp;",")))&gt;0)),IF(GS78="",TRUE,IF(input_organizer="",FALSE,SUMPRODUCT(--ISNUMBER(SEARCH(","&amp;TRIM(TEXTSPLIT(GS78,","))&amp;",",","&amp;SUBSTITUTE(input_organizer," ","")&amp;",")))=COUNTA(TEXTSPLIT(GS78,",")))))</f>
        <v/>
      </c>
      <c r="JM78">
        <f>AND(IF(GU78="",TRUE,IF(input_profile_type="",FALSE,SUMPRODUCT(--ISNUMBER(SEARCH(","&amp;TRIM(TEXTSPLIT(GU78,","))&amp;",",","&amp;SUBSTITUTE(input_profile_type," ","")&amp;",")))&gt;0)),IF(GW78="",TRUE,IF(input_profile_type="",FALSE,SUMPRODUCT(--ISNUMBER(SEARCH(","&amp;TRIM(TEXTSPLIT(GW78,","))&amp;",",","&amp;SUBSTITUTE(input_profile_type," ","")&amp;",")))=COUNTA(TEXTSPLIT(GW78,",")))),IF(GY78="",TRUE,IF(input_profile_type="",TRUE,SUMPRODUCT(--ISNUMBER(SEARCH(","&amp;TRIM(TEXTSPLIT(GY78,","))&amp;",",","&amp;SUBSTITUTE(input_profile_type," ","")&amp;",")))=0)),IF(HA78="",TRUE,IF(input_profile_type="",FALSE,SUMPRODUCT(--ISNUMBER(SEARCH(","&amp;TRIM(TEXTSPLIT(HA78,","))&amp;",",","&amp;SUBSTITUTE(input_profile_type," ","")&amp;",")))&gt;0)),IF(HC78="",TRUE,IF(input_profile_type="",FALSE,SUMPRODUCT(--ISNUMBER(SEARCH(","&amp;TRIM(TEXTSPLIT(HC78,","))&amp;",",","&amp;SUBSTITUTE(input_profile_type," ","")&amp;",")))=COUNTA(TEXTSPLIT(HC78,",")))))</f>
        <v/>
      </c>
      <c r="JN78">
        <f>AND(IF(HE78="",TRUE,IF(input_program="",FALSE,SUMPRODUCT(--ISNUMBER(SEARCH(","&amp;TRIM(TEXTSPLIT(HE78,","))&amp;",",","&amp;SUBSTITUTE(input_program," ","")&amp;",")))&gt;0)),IF(HG78="",TRUE,IF(input_program="",FALSE,SUMPRODUCT(--ISNUMBER(SEARCH(","&amp;TRIM(TEXTSPLIT(HG78,","))&amp;",",","&amp;SUBSTITUTE(input_program," ","")&amp;",")))=COUNTA(TEXTSPLIT(HG78,",")))),IF(HI78="",TRUE,IF(input_program="",TRUE,SUMPRODUCT(--ISNUMBER(SEARCH(","&amp;TRIM(TEXTSPLIT(HI78,","))&amp;",",","&amp;SUBSTITUTE(input_program," ","")&amp;",")))=0)),IF(HK78="",TRUE,IF(input_program="",FALSE,SUMPRODUCT(--ISNUMBER(SEARCH(","&amp;TRIM(TEXTSPLIT(HK78,","))&amp;",",","&amp;SUBSTITUTE(input_program," ","")&amp;",")))&gt;0)),IF(HM78="",TRUE,IF(input_program="",FALSE,SUMPRODUCT(--ISNUMBER(SEARCH(","&amp;TRIM(TEXTSPLIT(HM78,","))&amp;",",","&amp;SUBSTITUTE(input_program," ","")&amp;",")))=COUNTA(TEXTSPLIT(HM78,",")))))</f>
        <v/>
      </c>
      <c r="JO78">
        <f>AND(IF(HO78="",TRUE,IF(input_story_categories="",FALSE,SUMPRODUCT(--ISNUMBER(SEARCH(","&amp;TRIM(TEXTSPLIT(HO78,","))&amp;",",","&amp;SUBSTITUTE(input_story_categories," ","")&amp;",")))&gt;0)),IF(HQ78="",TRUE,IF(input_story_categories="",FALSE,SUMPRODUCT(--ISNUMBER(SEARCH(","&amp;TRIM(TEXTSPLIT(HQ78,","))&amp;",",","&amp;SUBSTITUTE(input_story_categories," ","")&amp;",")))=COUNTA(TEXTSPLIT(HQ78,",")))),IF(HS78="",TRUE,IF(input_story_categories="",TRUE,SUMPRODUCT(--ISNUMBER(SEARCH(","&amp;TRIM(TEXTSPLIT(HS78,","))&amp;",",","&amp;SUBSTITUTE(input_story_categories," ","")&amp;",")))=0)),IF(HU78="",TRUE,IF(input_story_categories="",FALSE,SUMPRODUCT(--ISNUMBER(SEARCH(","&amp;TRIM(TEXTSPLIT(HU78,","))&amp;",",","&amp;SUBSTITUTE(input_story_categories," ","")&amp;",")))&gt;0)),IF(HW78="",TRUE,IF(input_story_categories="",FALSE,SUMPRODUCT(--ISNUMBER(SEARCH(","&amp;TRIM(TEXTSPLIT(HW78,","))&amp;",",","&amp;SUBSTITUTE(input_story_categories," ","")&amp;",")))=COUNTA(TEXTSPLIT(HW78,",")))))</f>
        <v/>
      </c>
      <c r="JP78">
        <f>AND(IF(HY78="",TRUE,IF(input_story_type="",FALSE,SUMPRODUCT(--ISNUMBER(SEARCH(","&amp;TRIM(TEXTSPLIT(HY78,","))&amp;",",","&amp;SUBSTITUTE(input_story_type," ","")&amp;",")))&gt;0)),IF(IA78="",TRUE,IF(input_story_type="",FALSE,SUMPRODUCT(--ISNUMBER(SEARCH(","&amp;TRIM(TEXTSPLIT(IA78,","))&amp;",",","&amp;SUBSTITUTE(input_story_type," ","")&amp;",")))=COUNTA(TEXTSPLIT(IA78,",")))),IF(IC78="",TRUE,IF(input_story_type="",TRUE,SUMPRODUCT(--ISNUMBER(SEARCH(","&amp;TRIM(TEXTSPLIT(IC78,","))&amp;",",","&amp;SUBSTITUTE(input_story_type," ","")&amp;",")))=0)),IF(IE78="",TRUE,IF(input_story_type="",FALSE,SUMPRODUCT(--ISNUMBER(SEARCH(","&amp;TRIM(TEXTSPLIT(IE78,","))&amp;",",","&amp;SUBSTITUTE(input_story_type," ","")&amp;",")))&gt;0)),IF(IG78="",TRUE,IF(input_story_type="",FALSE,SUMPRODUCT(--ISNUMBER(SEARCH(","&amp;TRIM(TEXTSPLIT(IG78,","))&amp;",",","&amp;SUBSTITUTE(input_story_type," ","")&amp;",")))=COUNTA(TEXTSPLIT(IG78,",")))))</f>
        <v/>
      </c>
      <c r="JQ78">
        <f>AND(IF(II78="",TRUE,IF(input_topics="",FALSE,SUMPRODUCT(--ISNUMBER(SEARCH(","&amp;TRIM(TEXTSPLIT(II78,","))&amp;",",","&amp;SUBSTITUTE(input_topics," ","")&amp;",")))&gt;0)),IF(IK78="",TRUE,IF(input_topics="",FALSE,SUMPRODUCT(--ISNUMBER(SEARCH(","&amp;TRIM(TEXTSPLIT(IK78,","))&amp;",",","&amp;SUBSTITUTE(input_topics," ","")&amp;",")))=COUNTA(TEXTSPLIT(IK78,",")))),IF(IM78="",TRUE,IF(input_topics="",TRUE,SUMPRODUCT(--ISNUMBER(SEARCH(","&amp;TRIM(TEXTSPLIT(IM78,","))&amp;",",","&amp;SUBSTITUTE(input_topics," ","")&amp;",")))=0)),IF(IO78="",TRUE,IF(input_topics="",FALSE,SUMPRODUCT(--ISNUMBER(SEARCH(","&amp;TRIM(TEXTSPLIT(IO78,","))&amp;",",","&amp;SUBSTITUTE(input_topics," ","")&amp;",")))&gt;0)),IF(IQ78="",TRUE,IF(input_topics="",FALSE,SUMPRODUCT(--ISNUMBER(SEARCH(","&amp;TRIM(TEXTSPLIT(IQ78,","))&amp;",",","&amp;SUBSTITUTE(input_topics," ","")&amp;",")))=COUNTA(TEXTSPLIT(IQ78,",")))))</f>
        <v/>
      </c>
    </row>
    <row r="79">
      <c r="A79" s="4">
        <f>IF(NOT(IS79),"Excluded",IF(AND(IT79,IU79,IV79,IW79,IX79,IY79,IZ79,JA79,JB79,JC79,JD79,JE79,JF79,JG79,JH79,JI79,JJ79,JK79,JL79,JM79,JN79,JO79,JP79,JQ79),IF(I79&gt;0,"Eligible but limited","Will appear"),"Excluded"))</f>
        <v/>
      </c>
      <c r="B79" s="4" t="inlineStr">
        <is>
          <t>Blogs - Summary</t>
        </is>
      </c>
      <c r="C79" s="4" t="inlineStr">
        <is>
          <t>/the-som-experience/interests-and-industries/finance</t>
        </is>
      </c>
      <c r="D79" s="4" t="inlineStr">
        <is>
          <t>/the-som-experience/interests-and-industries/finance</t>
        </is>
      </c>
      <c r="E79" s="4" t="n">
        <v>1</v>
      </c>
      <c r="F79" s="4" t="inlineStr">
        <is>
          <t>story</t>
        </is>
      </c>
      <c r="G79" s="4" t="inlineStr">
        <is>
          <t>stories_mosaic_grid</t>
        </is>
      </c>
      <c r="H79" s="4" t="inlineStr">
        <is>
          <t>embed_blog_summary</t>
        </is>
      </c>
      <c r="I79" s="4" t="n">
        <v>1</v>
      </c>
      <c r="J79" s="4" t="inlineStr">
        <is>
          <t>View/config rules</t>
        </is>
      </c>
      <c r="K79" s="4" t="inlineStr">
        <is>
          <t>Page placement</t>
        </is>
      </c>
      <c r="L79" s="4" t="inlineStr">
        <is>
          <t>Content type: story; Needs any Story Type: Blog (974); Limited to 1 item(s); Source: View/config rules</t>
        </is>
      </c>
      <c r="M79" t="inlineStr"/>
      <c r="N79" t="inlineStr"/>
      <c r="O79" t="inlineStr"/>
      <c r="P79" t="inlineStr"/>
      <c r="Q79" t="inlineStr"/>
      <c r="R79" t="inlineStr"/>
      <c r="S79" t="inlineStr"/>
      <c r="T79" t="inlineStr"/>
      <c r="U79" t="inlineStr"/>
      <c r="V79" t="inlineStr"/>
      <c r="W79" t="inlineStr"/>
      <c r="X79" t="inlineStr"/>
      <c r="Y79" t="inlineStr"/>
      <c r="Z79" t="inlineStr"/>
      <c r="AA79" t="inlineStr"/>
      <c r="AB79" t="inlineStr"/>
      <c r="AC79" t="inlineStr"/>
      <c r="AD79" t="inlineStr"/>
      <c r="AE79" t="inlineStr"/>
      <c r="AF79" t="inlineStr"/>
      <c r="AG79" t="inlineStr"/>
      <c r="AH79" t="inlineStr"/>
      <c r="AI79" t="inlineStr"/>
      <c r="AJ79" t="inlineStr"/>
      <c r="AK79" t="inlineStr"/>
      <c r="AL79" t="inlineStr"/>
      <c r="AM79" t="inlineStr"/>
      <c r="AN79" t="inlineStr"/>
      <c r="AO79" t="inlineStr"/>
      <c r="AP79" t="inlineStr"/>
      <c r="AQ79" t="inlineStr"/>
      <c r="AR79" t="inlineStr"/>
      <c r="AS79" t="inlineStr"/>
      <c r="AT79" t="inlineStr"/>
      <c r="AU79" t="inlineStr"/>
      <c r="AV79" t="inlineStr"/>
      <c r="AW79" t="inlineStr"/>
      <c r="AX79" t="inlineStr"/>
      <c r="AY79" t="inlineStr"/>
      <c r="AZ79" t="inlineStr"/>
      <c r="BA79" t="inlineStr"/>
      <c r="BB79" t="inlineStr"/>
      <c r="BC79" t="inlineStr"/>
      <c r="BD79" t="inlineStr"/>
      <c r="BE79" t="inlineStr"/>
      <c r="BF79" t="inlineStr"/>
      <c r="BG79" t="inlineStr"/>
      <c r="BH79" t="inlineStr"/>
      <c r="BI79" t="inlineStr"/>
      <c r="BJ79" t="inlineStr"/>
      <c r="BK79" t="inlineStr"/>
      <c r="BL79" t="inlineStr"/>
      <c r="BM79" t="inlineStr"/>
      <c r="BN79" t="inlineStr"/>
      <c r="BO79" t="inlineStr"/>
      <c r="BP79" t="inlineStr"/>
      <c r="BQ79" t="inlineStr"/>
      <c r="BR79" t="inlineStr"/>
      <c r="BS79" t="inlineStr"/>
      <c r="BT79" t="inlineStr"/>
      <c r="BU79" t="inlineStr"/>
      <c r="BV79" t="inlineStr"/>
      <c r="BW79" t="inlineStr"/>
      <c r="BX79" t="inlineStr"/>
      <c r="BY79" t="inlineStr"/>
      <c r="BZ79" t="inlineStr"/>
      <c r="CA79" t="inlineStr"/>
      <c r="CB79" t="inlineStr"/>
      <c r="CC79" t="inlineStr"/>
      <c r="CD79" t="inlineStr"/>
      <c r="CE79" t="inlineStr"/>
      <c r="CF79" t="inlineStr"/>
      <c r="CG79" t="inlineStr"/>
      <c r="CH79" t="inlineStr"/>
      <c r="CI79" t="inlineStr"/>
      <c r="CJ79" t="inlineStr"/>
      <c r="CK79" t="inlineStr"/>
      <c r="CL79" t="inlineStr"/>
      <c r="CM79" t="inlineStr"/>
      <c r="CN79" t="inlineStr"/>
      <c r="CO79" t="inlineStr"/>
      <c r="CP79" t="inlineStr"/>
      <c r="CQ79" t="inlineStr"/>
      <c r="CR79" t="inlineStr"/>
      <c r="CS79" t="inlineStr"/>
      <c r="CT79" t="inlineStr"/>
      <c r="CU79" t="inlineStr"/>
      <c r="CV79" t="inlineStr"/>
      <c r="CW79" t="inlineStr"/>
      <c r="CX79" t="inlineStr"/>
      <c r="CY79" t="inlineStr"/>
      <c r="CZ79" t="inlineStr"/>
      <c r="DA79" t="inlineStr"/>
      <c r="DB79" t="inlineStr"/>
      <c r="DC79" t="inlineStr"/>
      <c r="DD79" t="inlineStr"/>
      <c r="DE79" t="inlineStr"/>
      <c r="DF79" t="inlineStr"/>
      <c r="DG79" t="inlineStr"/>
      <c r="DH79" t="inlineStr"/>
      <c r="DI79" t="inlineStr"/>
      <c r="DJ79" t="inlineStr"/>
      <c r="DK79" t="inlineStr"/>
      <c r="DL79" t="inlineStr"/>
      <c r="DM79" t="inlineStr"/>
      <c r="DN79" t="inlineStr"/>
      <c r="DO79" t="inlineStr"/>
      <c r="DP79" t="inlineStr"/>
      <c r="DQ79" t="inlineStr"/>
      <c r="DR79" t="inlineStr"/>
      <c r="DS79" t="inlineStr"/>
      <c r="DT79" t="inlineStr"/>
      <c r="DU79" t="inlineStr"/>
      <c r="DV79" t="inlineStr"/>
      <c r="DW79" t="inlineStr"/>
      <c r="DX79" t="inlineStr"/>
      <c r="DY79" t="inlineStr"/>
      <c r="DZ79" t="inlineStr"/>
      <c r="EA79" t="inlineStr"/>
      <c r="EB79" t="inlineStr"/>
      <c r="EC79" t="inlineStr"/>
      <c r="ED79" t="inlineStr"/>
      <c r="EE79" t="inlineStr"/>
      <c r="EF79" t="inlineStr"/>
      <c r="EG79" t="inlineStr"/>
      <c r="EH79" t="inlineStr"/>
      <c r="EI79" t="inlineStr"/>
      <c r="EJ79" t="inlineStr"/>
      <c r="EK79" t="inlineStr"/>
      <c r="EL79" t="inlineStr"/>
      <c r="EM79" t="inlineStr"/>
      <c r="EN79" t="inlineStr"/>
      <c r="EO79" t="inlineStr"/>
      <c r="EP79" t="inlineStr"/>
      <c r="EQ79" t="inlineStr"/>
      <c r="ER79" t="inlineStr"/>
      <c r="ES79" t="inlineStr"/>
      <c r="ET79" t="inlineStr"/>
      <c r="EU79" t="inlineStr"/>
      <c r="EV79" t="inlineStr"/>
      <c r="EW79" t="inlineStr"/>
      <c r="EX79" t="inlineStr"/>
      <c r="EY79" t="inlineStr"/>
      <c r="EZ79" t="inlineStr"/>
      <c r="FA79" t="inlineStr"/>
      <c r="FB79" t="inlineStr"/>
      <c r="FC79" t="inlineStr"/>
      <c r="FD79" t="inlineStr"/>
      <c r="FE79" t="inlineStr"/>
      <c r="FF79" t="inlineStr"/>
      <c r="FG79" t="inlineStr"/>
      <c r="FH79" t="inlineStr"/>
      <c r="FI79" t="inlineStr"/>
      <c r="FJ79" t="inlineStr"/>
      <c r="FK79" t="inlineStr"/>
      <c r="FL79" t="inlineStr"/>
      <c r="FM79" t="inlineStr"/>
      <c r="FN79" t="inlineStr"/>
      <c r="FO79" t="inlineStr"/>
      <c r="FP79" t="inlineStr"/>
      <c r="FQ79" t="inlineStr"/>
      <c r="FR79" t="inlineStr"/>
      <c r="FS79" t="inlineStr"/>
      <c r="FT79" t="inlineStr"/>
      <c r="FU79" t="inlineStr"/>
      <c r="FV79" t="inlineStr"/>
      <c r="FW79" t="inlineStr"/>
      <c r="FX79" t="inlineStr"/>
      <c r="FY79" t="inlineStr"/>
      <c r="FZ79" t="inlineStr"/>
      <c r="GA79" t="inlineStr"/>
      <c r="GB79" t="inlineStr"/>
      <c r="GC79" t="inlineStr"/>
      <c r="GD79" t="inlineStr"/>
      <c r="GE79" t="inlineStr"/>
      <c r="GF79" t="inlineStr"/>
      <c r="GG79" t="inlineStr"/>
      <c r="GH79" t="inlineStr"/>
      <c r="GI79" t="inlineStr"/>
      <c r="GJ79" t="inlineStr"/>
      <c r="GK79" t="inlineStr"/>
      <c r="GL79" t="inlineStr"/>
      <c r="GM79" t="inlineStr"/>
      <c r="GN79" t="inlineStr"/>
      <c r="GO79" t="inlineStr"/>
      <c r="GP79" t="inlineStr"/>
      <c r="GQ79" t="inlineStr"/>
      <c r="GR79" t="inlineStr"/>
      <c r="GS79" t="inlineStr"/>
      <c r="GT79" t="inlineStr"/>
      <c r="GU79" t="inlineStr"/>
      <c r="GV79" t="inlineStr"/>
      <c r="GW79" t="inlineStr"/>
      <c r="GX79" t="inlineStr"/>
      <c r="GY79" t="inlineStr"/>
      <c r="GZ79" t="inlineStr"/>
      <c r="HA79" t="inlineStr"/>
      <c r="HB79" t="inlineStr"/>
      <c r="HC79" t="inlineStr"/>
      <c r="HD79" t="inlineStr"/>
      <c r="HE79" t="inlineStr"/>
      <c r="HF79" t="inlineStr"/>
      <c r="HG79" t="inlineStr"/>
      <c r="HH79" t="inlineStr"/>
      <c r="HI79" t="inlineStr"/>
      <c r="HJ79" t="inlineStr"/>
      <c r="HK79" t="inlineStr"/>
      <c r="HL79" t="inlineStr"/>
      <c r="HM79" t="inlineStr"/>
      <c r="HN79" t="inlineStr"/>
      <c r="HO79" t="inlineStr"/>
      <c r="HP79" t="inlineStr"/>
      <c r="HQ79" t="inlineStr"/>
      <c r="HR79" t="inlineStr"/>
      <c r="HS79" t="inlineStr"/>
      <c r="HT79" t="inlineStr"/>
      <c r="HU79" t="inlineStr"/>
      <c r="HV79" t="inlineStr"/>
      <c r="HW79" t="inlineStr"/>
      <c r="HX79" t="inlineStr"/>
      <c r="HY79" t="inlineStr">
        <is>
          <t>974</t>
        </is>
      </c>
      <c r="HZ79" t="inlineStr">
        <is>
          <t>Blog (974)</t>
        </is>
      </c>
      <c r="IA79" t="inlineStr"/>
      <c r="IB79" t="inlineStr"/>
      <c r="IC79" t="inlineStr"/>
      <c r="ID79" t="inlineStr"/>
      <c r="IE79" t="inlineStr"/>
      <c r="IF79" t="inlineStr"/>
      <c r="IG79" t="inlineStr"/>
      <c r="IH79" t="inlineStr"/>
      <c r="II79" t="inlineStr"/>
      <c r="IJ79" t="inlineStr"/>
      <c r="IK79" t="inlineStr"/>
      <c r="IL79" t="inlineStr"/>
      <c r="IM79" t="inlineStr"/>
      <c r="IN79" t="inlineStr"/>
      <c r="IO79" t="inlineStr"/>
      <c r="IP79" t="inlineStr"/>
      <c r="IQ79" t="inlineStr"/>
      <c r="IR79" t="inlineStr"/>
      <c r="IS79">
        <f>IF(input_content_type="",FALSE,ISNUMBER(SEARCH(","&amp;LOWER(input_content_type)&amp;",",","&amp;LOWER(F79)&amp;",")))</f>
        <v/>
      </c>
      <c r="IT79">
        <f>AND(IF(M79="",TRUE,IF(input_affiliations="",FALSE,SUMPRODUCT(--ISNUMBER(SEARCH(","&amp;TRIM(TEXTSPLIT(M79,","))&amp;",",","&amp;SUBSTITUTE(input_affiliations," ","")&amp;",")))&gt;0)),IF(O79="",TRUE,IF(input_affiliations="",FALSE,SUMPRODUCT(--ISNUMBER(SEARCH(","&amp;TRIM(TEXTSPLIT(O79,","))&amp;",",","&amp;SUBSTITUTE(input_affiliations," ","")&amp;",")))=COUNTA(TEXTSPLIT(O79,",")))),IF(Q79="",TRUE,IF(input_affiliations="",TRUE,SUMPRODUCT(--ISNUMBER(SEARCH(","&amp;TRIM(TEXTSPLIT(Q79,","))&amp;",",","&amp;SUBSTITUTE(input_affiliations," ","")&amp;",")))=0)),IF(S79="",TRUE,IF(input_affiliations="",FALSE,SUMPRODUCT(--ISNUMBER(SEARCH(","&amp;TRIM(TEXTSPLIT(S79,","))&amp;",",","&amp;SUBSTITUTE(input_affiliations," ","")&amp;",")))&gt;0)),IF(U79="",TRUE,IF(input_affiliations="",FALSE,SUMPRODUCT(--ISNUMBER(SEARCH(","&amp;TRIM(TEXTSPLIT(U79,","))&amp;",",","&amp;SUBSTITUTE(input_affiliations," ","")&amp;",")))=COUNTA(TEXTSPLIT(U79,",")))))</f>
        <v/>
      </c>
      <c r="IU79">
        <f>AND(IF(W79="",TRUE,IF(input_announcement_category="",FALSE,SUMPRODUCT(--ISNUMBER(SEARCH(","&amp;TRIM(TEXTSPLIT(W79,","))&amp;",",","&amp;SUBSTITUTE(input_announcement_category," ","")&amp;",")))&gt;0)),IF(Y79="",TRUE,IF(input_announcement_category="",FALSE,SUMPRODUCT(--ISNUMBER(SEARCH(","&amp;TRIM(TEXTSPLIT(Y79,","))&amp;",",","&amp;SUBSTITUTE(input_announcement_category," ","")&amp;",")))=COUNTA(TEXTSPLIT(Y79,",")))),IF(AA79="",TRUE,IF(input_announcement_category="",TRUE,SUMPRODUCT(--ISNUMBER(SEARCH(","&amp;TRIM(TEXTSPLIT(AA79,","))&amp;",",","&amp;SUBSTITUTE(input_announcement_category," ","")&amp;",")))=0)),IF(AC79="",TRUE,IF(input_announcement_category="",FALSE,SUMPRODUCT(--ISNUMBER(SEARCH(","&amp;TRIM(TEXTSPLIT(AC79,","))&amp;",",","&amp;SUBSTITUTE(input_announcement_category," ","")&amp;",")))&gt;0)),IF(AE79="",TRUE,IF(input_announcement_category="",FALSE,SUMPRODUCT(--ISNUMBER(SEARCH(","&amp;TRIM(TEXTSPLIT(AE79,","))&amp;",",","&amp;SUBSTITUTE(input_announcement_category," ","")&amp;",")))=COUNTA(TEXTSPLIT(AE79,",")))))</f>
        <v/>
      </c>
      <c r="IV79">
        <f>AND(IF(AG79="",TRUE,IF(input_area_of_focus="",FALSE,SUMPRODUCT(--ISNUMBER(SEARCH(","&amp;TRIM(TEXTSPLIT(AG79,","))&amp;",",","&amp;SUBSTITUTE(input_area_of_focus," ","")&amp;",")))&gt;0)),IF(AI79="",TRUE,IF(input_area_of_focus="",FALSE,SUMPRODUCT(--ISNUMBER(SEARCH(","&amp;TRIM(TEXTSPLIT(AI79,","))&amp;",",","&amp;SUBSTITUTE(input_area_of_focus," ","")&amp;",")))=COUNTA(TEXTSPLIT(AI79,",")))),IF(AK79="",TRUE,IF(input_area_of_focus="",TRUE,SUMPRODUCT(--ISNUMBER(SEARCH(","&amp;TRIM(TEXTSPLIT(AK79,","))&amp;",",","&amp;SUBSTITUTE(input_area_of_focus," ","")&amp;",")))=0)),IF(AM79="",TRUE,IF(input_area_of_focus="",FALSE,SUMPRODUCT(--ISNUMBER(SEARCH(","&amp;TRIM(TEXTSPLIT(AM79,","))&amp;",",","&amp;SUBSTITUTE(input_area_of_focus," ","")&amp;",")))&gt;0)),IF(AO79="",TRUE,IF(input_area_of_focus="",FALSE,SUMPRODUCT(--ISNUMBER(SEARCH(","&amp;TRIM(TEXTSPLIT(AO79,","))&amp;",",","&amp;SUBSTITUTE(input_area_of_focus," ","")&amp;",")))=COUNTA(TEXTSPLIT(AO79,",")))))</f>
        <v/>
      </c>
      <c r="IW79">
        <f>AND(IF(AQ79="",TRUE,IF(input_audience="",FALSE,SUMPRODUCT(--ISNUMBER(SEARCH(","&amp;TRIM(TEXTSPLIT(AQ79,","))&amp;",",","&amp;SUBSTITUTE(input_audience," ","")&amp;",")))&gt;0)),IF(AS79="",TRUE,IF(input_audience="",FALSE,SUMPRODUCT(--ISNUMBER(SEARCH(","&amp;TRIM(TEXTSPLIT(AS79,","))&amp;",",","&amp;SUBSTITUTE(input_audience," ","")&amp;",")))=COUNTA(TEXTSPLIT(AS79,",")))),IF(AU79="",TRUE,IF(input_audience="",TRUE,SUMPRODUCT(--ISNUMBER(SEARCH(","&amp;TRIM(TEXTSPLIT(AU79,","))&amp;",",","&amp;SUBSTITUTE(input_audience," ","")&amp;",")))=0)),IF(AW79="",TRUE,IF(input_audience="",FALSE,SUMPRODUCT(--ISNUMBER(SEARCH(","&amp;TRIM(TEXTSPLIT(AW79,","))&amp;",",","&amp;SUBSTITUTE(input_audience," ","")&amp;",")))&gt;0)),IF(AY79="",TRUE,IF(input_audience="",FALSE,SUMPRODUCT(--ISNUMBER(SEARCH(","&amp;TRIM(TEXTSPLIT(AY79,","))&amp;",",","&amp;SUBSTITUTE(input_audience," ","")&amp;",")))=COUNTA(TEXTSPLIT(AY79,",")))))</f>
        <v/>
      </c>
      <c r="IX79">
        <f>AND(IF(BA79="",TRUE,IF(input_challenge_opportunities="",FALSE,SUMPRODUCT(--ISNUMBER(SEARCH(","&amp;TRIM(TEXTSPLIT(BA79,","))&amp;",",","&amp;SUBSTITUTE(input_challenge_opportunities," ","")&amp;",")))&gt;0)),IF(BC79="",TRUE,IF(input_challenge_opportunities="",FALSE,SUMPRODUCT(--ISNUMBER(SEARCH(","&amp;TRIM(TEXTSPLIT(BC79,","))&amp;",",","&amp;SUBSTITUTE(input_challenge_opportunities," ","")&amp;",")))=COUNTA(TEXTSPLIT(BC79,",")))),IF(BE79="",TRUE,IF(input_challenge_opportunities="",TRUE,SUMPRODUCT(--ISNUMBER(SEARCH(","&amp;TRIM(TEXTSPLIT(BE79,","))&amp;",",","&amp;SUBSTITUTE(input_challenge_opportunities," ","")&amp;",")))=0)),IF(BG79="",TRUE,IF(input_challenge_opportunities="",FALSE,SUMPRODUCT(--ISNUMBER(SEARCH(","&amp;TRIM(TEXTSPLIT(BG79,","))&amp;",",","&amp;SUBSTITUTE(input_challenge_opportunities," ","")&amp;",")))&gt;0)),IF(BI79="",TRUE,IF(input_challenge_opportunities="",FALSE,SUMPRODUCT(--ISNUMBER(SEARCH(","&amp;TRIM(TEXTSPLIT(BI79,","))&amp;",",","&amp;SUBSTITUTE(input_challenge_opportunities," ","")&amp;",")))=COUNTA(TEXTSPLIT(BI79,",")))))</f>
        <v/>
      </c>
      <c r="IY79">
        <f>AND(IF(BK79="",TRUE,IF(input_context="",FALSE,SUMPRODUCT(--ISNUMBER(SEARCH(","&amp;TRIM(TEXTSPLIT(BK79,","))&amp;",",","&amp;SUBSTITUTE(input_context," ","")&amp;",")))&gt;0)),IF(BM79="",TRUE,IF(input_context="",FALSE,SUMPRODUCT(--ISNUMBER(SEARCH(","&amp;TRIM(TEXTSPLIT(BM79,","))&amp;",",","&amp;SUBSTITUTE(input_context," ","")&amp;",")))=COUNTA(TEXTSPLIT(BM79,",")))),IF(BO79="",TRUE,IF(input_context="",TRUE,SUMPRODUCT(--ISNUMBER(SEARCH(","&amp;TRIM(TEXTSPLIT(BO79,","))&amp;",",","&amp;SUBSTITUTE(input_context," ","")&amp;",")))=0)),IF(BQ79="",TRUE,IF(input_context="",FALSE,SUMPRODUCT(--ISNUMBER(SEARCH(","&amp;TRIM(TEXTSPLIT(BQ79,","))&amp;",",","&amp;SUBSTITUTE(input_context," ","")&amp;",")))&gt;0)),IF(BS79="",TRUE,IF(input_context="",FALSE,SUMPRODUCT(--ISNUMBER(SEARCH(","&amp;TRIM(TEXTSPLIT(BS79,","))&amp;",",","&amp;SUBSTITUTE(input_context," ","")&amp;",")))=COUNTA(TEXTSPLIT(BS79,",")))))</f>
        <v/>
      </c>
      <c r="IZ79">
        <f>AND(IF(BU79="",TRUE,IF(input_enews_announcement_type="",FALSE,SUMPRODUCT(--ISNUMBER(SEARCH(","&amp;TRIM(TEXTSPLIT(BU79,","))&amp;",",","&amp;SUBSTITUTE(input_enews_announcement_type," ","")&amp;",")))&gt;0)),IF(BW79="",TRUE,IF(input_enews_announcement_type="",FALSE,SUMPRODUCT(--ISNUMBER(SEARCH(","&amp;TRIM(TEXTSPLIT(BW79,","))&amp;",",","&amp;SUBSTITUTE(input_enews_announcement_type," ","")&amp;",")))=COUNTA(TEXTSPLIT(BW79,",")))),IF(BY79="",TRUE,IF(input_enews_announcement_type="",TRUE,SUMPRODUCT(--ISNUMBER(SEARCH(","&amp;TRIM(TEXTSPLIT(BY79,","))&amp;",",","&amp;SUBSTITUTE(input_enews_announcement_type," ","")&amp;",")))=0)),IF(CA79="",TRUE,IF(input_enews_announcement_type="",FALSE,SUMPRODUCT(--ISNUMBER(SEARCH(","&amp;TRIM(TEXTSPLIT(CA79,","))&amp;",",","&amp;SUBSTITUTE(input_enews_announcement_type," ","")&amp;",")))&gt;0)),IF(CC79="",TRUE,IF(input_enews_announcement_type="",FALSE,SUMPRODUCT(--ISNUMBER(SEARCH(","&amp;TRIM(TEXTSPLIT(CC79,","))&amp;",",","&amp;SUBSTITUTE(input_enews_announcement_type," ","")&amp;",")))=COUNTA(TEXTSPLIT(CC79,",")))))</f>
        <v/>
      </c>
      <c r="JA79">
        <f>AND(IF(CE79="",TRUE,IF(input_enews_audience="",FALSE,SUMPRODUCT(--ISNUMBER(SEARCH(","&amp;TRIM(TEXTSPLIT(CE79,","))&amp;",",","&amp;SUBSTITUTE(input_enews_audience," ","")&amp;",")))&gt;0)),IF(CG79="",TRUE,IF(input_enews_audience="",FALSE,SUMPRODUCT(--ISNUMBER(SEARCH(","&amp;TRIM(TEXTSPLIT(CG79,","))&amp;",",","&amp;SUBSTITUTE(input_enews_audience," ","")&amp;",")))=COUNTA(TEXTSPLIT(CG79,",")))),IF(CI79="",TRUE,IF(input_enews_audience="",TRUE,SUMPRODUCT(--ISNUMBER(SEARCH(","&amp;TRIM(TEXTSPLIT(CI79,","))&amp;",",","&amp;SUBSTITUTE(input_enews_audience," ","")&amp;",")))=0)),IF(CK79="",TRUE,IF(input_enews_audience="",FALSE,SUMPRODUCT(--ISNUMBER(SEARCH(","&amp;TRIM(TEXTSPLIT(CK79,","))&amp;",",","&amp;SUBSTITUTE(input_enews_audience," ","")&amp;",")))&gt;0)),IF(CM79="",TRUE,IF(input_enews_audience="",FALSE,SUMPRODUCT(--ISNUMBER(SEARCH(","&amp;TRIM(TEXTSPLIT(CM79,","))&amp;",",","&amp;SUBSTITUTE(input_enews_audience," ","")&amp;",")))=COUNTA(TEXTSPLIT(CM79,",")))))</f>
        <v/>
      </c>
      <c r="JB79">
        <f>AND(IF(CO79="",TRUE,IF(input_event_location="",FALSE,SUMPRODUCT(--ISNUMBER(SEARCH(","&amp;TRIM(TEXTSPLIT(CO79,","))&amp;",",","&amp;SUBSTITUTE(input_event_location," ","")&amp;",")))&gt;0)),IF(CQ79="",TRUE,IF(input_event_location="",FALSE,SUMPRODUCT(--ISNUMBER(SEARCH(","&amp;TRIM(TEXTSPLIT(CQ79,","))&amp;",",","&amp;SUBSTITUTE(input_event_location," ","")&amp;",")))=COUNTA(TEXTSPLIT(CQ79,",")))),IF(CS79="",TRUE,IF(input_event_location="",TRUE,SUMPRODUCT(--ISNUMBER(SEARCH(","&amp;TRIM(TEXTSPLIT(CS79,","))&amp;",",","&amp;SUBSTITUTE(input_event_location," ","")&amp;",")))=0)),IF(CU79="",TRUE,IF(input_event_location="",FALSE,SUMPRODUCT(--ISNUMBER(SEARCH(","&amp;TRIM(TEXTSPLIT(CU79,","))&amp;",",","&amp;SUBSTITUTE(input_event_location," ","")&amp;",")))&gt;0)),IF(CW79="",TRUE,IF(input_event_location="",FALSE,SUMPRODUCT(--ISNUMBER(SEARCH(","&amp;TRIM(TEXTSPLIT(CW79,","))&amp;",",","&amp;SUBSTITUTE(input_event_location," ","")&amp;",")))=COUNTA(TEXTSPLIT(CW79,",")))))</f>
        <v/>
      </c>
      <c r="JC79">
        <f>AND(IF(CY79="",TRUE,IF(input_event_type="",FALSE,SUMPRODUCT(--ISNUMBER(SEARCH(","&amp;TRIM(TEXTSPLIT(CY79,","))&amp;",",","&amp;SUBSTITUTE(input_event_type," ","")&amp;",")))&gt;0)),IF(DA79="",TRUE,IF(input_event_type="",FALSE,SUMPRODUCT(--ISNUMBER(SEARCH(","&amp;TRIM(TEXTSPLIT(DA79,","))&amp;",",","&amp;SUBSTITUTE(input_event_type," ","")&amp;",")))=COUNTA(TEXTSPLIT(DA79,",")))),IF(DC79="",TRUE,IF(input_event_type="",TRUE,SUMPRODUCT(--ISNUMBER(SEARCH(","&amp;TRIM(TEXTSPLIT(DC79,","))&amp;",",","&amp;SUBSTITUTE(input_event_type," ","")&amp;",")))=0)),IF(DE79="",TRUE,IF(input_event_type="",FALSE,SUMPRODUCT(--ISNUMBER(SEARCH(","&amp;TRIM(TEXTSPLIT(DE79,","))&amp;",",","&amp;SUBSTITUTE(input_event_type," ","")&amp;",")))&gt;0)),IF(DG79="",TRUE,IF(input_event_type="",FALSE,SUMPRODUCT(--ISNUMBER(SEARCH(","&amp;TRIM(TEXTSPLIT(DG79,","))&amp;",",","&amp;SUBSTITUTE(input_event_type," ","")&amp;",")))=COUNTA(TEXTSPLIT(DG79,",")))))</f>
        <v/>
      </c>
      <c r="JD79">
        <f>AND(IF(DI79="",TRUE,IF(input_executive_education_focus="",FALSE,SUMPRODUCT(--ISNUMBER(SEARCH(","&amp;TRIM(TEXTSPLIT(DI79,","))&amp;",",","&amp;SUBSTITUTE(input_executive_education_focus," ","")&amp;",")))&gt;0)),IF(DK79="",TRUE,IF(input_executive_education_focus="",FALSE,SUMPRODUCT(--ISNUMBER(SEARCH(","&amp;TRIM(TEXTSPLIT(DK79,","))&amp;",",","&amp;SUBSTITUTE(input_executive_education_focus," ","")&amp;",")))=COUNTA(TEXTSPLIT(DK79,",")))),IF(DM79="",TRUE,IF(input_executive_education_focus="",TRUE,SUMPRODUCT(--ISNUMBER(SEARCH(","&amp;TRIM(TEXTSPLIT(DM79,","))&amp;",",","&amp;SUBSTITUTE(input_executive_education_focus," ","")&amp;",")))=0)),IF(DO79="",TRUE,IF(input_executive_education_focus="",FALSE,SUMPRODUCT(--ISNUMBER(SEARCH(","&amp;TRIM(TEXTSPLIT(DO79,","))&amp;",",","&amp;SUBSTITUTE(input_executive_education_focus," ","")&amp;",")))&gt;0)),IF(DQ79="",TRUE,IF(input_executive_education_focus="",FALSE,SUMPRODUCT(--ISNUMBER(SEARCH(","&amp;TRIM(TEXTSPLIT(DQ79,","))&amp;",",","&amp;SUBSTITUTE(input_executive_education_focus," ","")&amp;",")))=COUNTA(TEXTSPLIT(DQ79,",")))))</f>
        <v/>
      </c>
      <c r="JE79">
        <f>AND(IF(DS79="",TRUE,IF(input_faculty_category="",FALSE,SUMPRODUCT(--ISNUMBER(SEARCH(","&amp;TRIM(TEXTSPLIT(DS79,","))&amp;",",","&amp;SUBSTITUTE(input_faculty_category," ","")&amp;",")))&gt;0)),IF(DU79="",TRUE,IF(input_faculty_category="",FALSE,SUMPRODUCT(--ISNUMBER(SEARCH(","&amp;TRIM(TEXTSPLIT(DU79,","))&amp;",",","&amp;SUBSTITUTE(input_faculty_category," ","")&amp;",")))=COUNTA(TEXTSPLIT(DU79,",")))),IF(DW79="",TRUE,IF(input_faculty_category="",TRUE,SUMPRODUCT(--ISNUMBER(SEARCH(","&amp;TRIM(TEXTSPLIT(DW79,","))&amp;",",","&amp;SUBSTITUTE(input_faculty_category," ","")&amp;",")))=0)),IF(DY79="",TRUE,IF(input_faculty_category="",FALSE,SUMPRODUCT(--ISNUMBER(SEARCH(","&amp;TRIM(TEXTSPLIT(DY79,","))&amp;",",","&amp;SUBSTITUTE(input_faculty_category," ","")&amp;",")))&gt;0)),IF(EA79="",TRUE,IF(input_faculty_category="",FALSE,SUMPRODUCT(--ISNUMBER(SEARCH(","&amp;TRIM(TEXTSPLIT(EA79,","))&amp;",",","&amp;SUBSTITUTE(input_faculty_category," ","")&amp;",")))=COUNTA(TEXTSPLIT(EA79,",")))))</f>
        <v/>
      </c>
      <c r="JF79">
        <f>AND(IF(EC79="",TRUE,IF(input_faculty_discipline="",FALSE,SUMPRODUCT(--ISNUMBER(SEARCH(","&amp;TRIM(TEXTSPLIT(EC79,","))&amp;",",","&amp;SUBSTITUTE(input_faculty_discipline," ","")&amp;",")))&gt;0)),IF(EE79="",TRUE,IF(input_faculty_discipline="",FALSE,SUMPRODUCT(--ISNUMBER(SEARCH(","&amp;TRIM(TEXTSPLIT(EE79,","))&amp;",",","&amp;SUBSTITUTE(input_faculty_discipline," ","")&amp;",")))=COUNTA(TEXTSPLIT(EE79,",")))),IF(EG79="",TRUE,IF(input_faculty_discipline="",TRUE,SUMPRODUCT(--ISNUMBER(SEARCH(","&amp;TRIM(TEXTSPLIT(EG79,","))&amp;",",","&amp;SUBSTITUTE(input_faculty_discipline," ","")&amp;",")))=0)),IF(EI79="",TRUE,IF(input_faculty_discipline="",FALSE,SUMPRODUCT(--ISNUMBER(SEARCH(","&amp;TRIM(TEXTSPLIT(EI79,","))&amp;",",","&amp;SUBSTITUTE(input_faculty_discipline," ","")&amp;",")))&gt;0)),IF(EK79="",TRUE,IF(input_faculty_discipline="",FALSE,SUMPRODUCT(--ISNUMBER(SEARCH(","&amp;TRIM(TEXTSPLIT(EK79,","))&amp;",",","&amp;SUBSTITUTE(input_faculty_discipline," ","")&amp;",")))=COUNTA(TEXTSPLIT(EK79,",")))))</f>
        <v/>
      </c>
      <c r="JG79">
        <f>AND(IF(EM79="",TRUE,IF(input_faculty_expertise="",FALSE,SUMPRODUCT(--ISNUMBER(SEARCH(","&amp;TRIM(TEXTSPLIT(EM79,","))&amp;",",","&amp;SUBSTITUTE(input_faculty_expertise," ","")&amp;",")))&gt;0)),IF(EO79="",TRUE,IF(input_faculty_expertise="",FALSE,SUMPRODUCT(--ISNUMBER(SEARCH(","&amp;TRIM(TEXTSPLIT(EO79,","))&amp;",",","&amp;SUBSTITUTE(input_faculty_expertise," ","")&amp;",")))=COUNTA(TEXTSPLIT(EO79,",")))),IF(EQ79="",TRUE,IF(input_faculty_expertise="",TRUE,SUMPRODUCT(--ISNUMBER(SEARCH(","&amp;TRIM(TEXTSPLIT(EQ79,","))&amp;",",","&amp;SUBSTITUTE(input_faculty_expertise," ","")&amp;",")))=0)),IF(ES79="",TRUE,IF(input_faculty_expertise="",FALSE,SUMPRODUCT(--ISNUMBER(SEARCH(","&amp;TRIM(TEXTSPLIT(ES79,","))&amp;",",","&amp;SUBSTITUTE(input_faculty_expertise," ","")&amp;",")))&gt;0)),IF(EU79="",TRUE,IF(input_faculty_expertise="",FALSE,SUMPRODUCT(--ISNUMBER(SEARCH(","&amp;TRIM(TEXTSPLIT(EU79,","))&amp;",",","&amp;SUBSTITUTE(input_faculty_expertise," ","")&amp;",")))=COUNTA(TEXTSPLIT(EU79,",")))))</f>
        <v/>
      </c>
      <c r="JH79">
        <f>AND(IF(EW79="",TRUE,IF(input_global_network_school="",FALSE,SUMPRODUCT(--ISNUMBER(SEARCH(","&amp;TRIM(TEXTSPLIT(EW79,","))&amp;",",","&amp;SUBSTITUTE(input_global_network_school," ","")&amp;",")))&gt;0)),IF(EY79="",TRUE,IF(input_global_network_school="",FALSE,SUMPRODUCT(--ISNUMBER(SEARCH(","&amp;TRIM(TEXTSPLIT(EY79,","))&amp;",",","&amp;SUBSTITUTE(input_global_network_school," ","")&amp;",")))=COUNTA(TEXTSPLIT(EY79,",")))),IF(FA79="",TRUE,IF(input_global_network_school="",TRUE,SUMPRODUCT(--ISNUMBER(SEARCH(","&amp;TRIM(TEXTSPLIT(FA79,","))&amp;",",","&amp;SUBSTITUTE(input_global_network_school," ","")&amp;",")))=0)),IF(FC79="",TRUE,IF(input_global_network_school="",FALSE,SUMPRODUCT(--ISNUMBER(SEARCH(","&amp;TRIM(TEXTSPLIT(FC79,","))&amp;",",","&amp;SUBSTITUTE(input_global_network_school," ","")&amp;",")))&gt;0)),IF(FE79="",TRUE,IF(input_global_network_school="",FALSE,SUMPRODUCT(--ISNUMBER(SEARCH(","&amp;TRIM(TEXTSPLIT(FE79,","))&amp;",",","&amp;SUBSTITUTE(input_global_network_school," ","")&amp;",")))=COUNTA(TEXTSPLIT(FE79,",")))))</f>
        <v/>
      </c>
      <c r="JI79">
        <f>AND(IF(FG79="",TRUE,IF(input_industry="",FALSE,SUMPRODUCT(--ISNUMBER(SEARCH(","&amp;TRIM(TEXTSPLIT(FG79,","))&amp;",",","&amp;SUBSTITUTE(input_industry," ","")&amp;",")))&gt;0)),IF(FI79="",TRUE,IF(input_industry="",FALSE,SUMPRODUCT(--ISNUMBER(SEARCH(","&amp;TRIM(TEXTSPLIT(FI79,","))&amp;",",","&amp;SUBSTITUTE(input_industry," ","")&amp;",")))=COUNTA(TEXTSPLIT(FI79,",")))),IF(FK79="",TRUE,IF(input_industry="",TRUE,SUMPRODUCT(--ISNUMBER(SEARCH(","&amp;TRIM(TEXTSPLIT(FK79,","))&amp;",",","&amp;SUBSTITUTE(input_industry," ","")&amp;",")))=0)),IF(FM79="",TRUE,IF(input_industry="",FALSE,SUMPRODUCT(--ISNUMBER(SEARCH(","&amp;TRIM(TEXTSPLIT(FM79,","))&amp;",",","&amp;SUBSTITUTE(input_industry," ","")&amp;",")))&gt;0)),IF(FO79="",TRUE,IF(input_industry="",FALSE,SUMPRODUCT(--ISNUMBER(SEARCH(","&amp;TRIM(TEXTSPLIT(FO79,","))&amp;",",","&amp;SUBSTITUTE(input_industry," ","")&amp;",")))=COUNTA(TEXTSPLIT(FO79,",")))))</f>
        <v/>
      </c>
      <c r="JJ79">
        <f>AND(IF(FQ79="",TRUE,IF(input_location="",FALSE,SUMPRODUCT(--ISNUMBER(SEARCH(","&amp;TRIM(TEXTSPLIT(FQ79,","))&amp;",",","&amp;SUBSTITUTE(input_location," ","")&amp;",")))&gt;0)),IF(FS79="",TRUE,IF(input_location="",FALSE,SUMPRODUCT(--ISNUMBER(SEARCH(","&amp;TRIM(TEXTSPLIT(FS79,","))&amp;",",","&amp;SUBSTITUTE(input_location," ","")&amp;",")))=COUNTA(TEXTSPLIT(FS79,",")))),IF(FU79="",TRUE,IF(input_location="",TRUE,SUMPRODUCT(--ISNUMBER(SEARCH(","&amp;TRIM(TEXTSPLIT(FU79,","))&amp;",",","&amp;SUBSTITUTE(input_location," ","")&amp;",")))=0)),IF(FW79="",TRUE,IF(input_location="",FALSE,SUMPRODUCT(--ISNUMBER(SEARCH(","&amp;TRIM(TEXTSPLIT(FW79,","))&amp;",",","&amp;SUBSTITUTE(input_location," ","")&amp;",")))&gt;0)),IF(FY79="",TRUE,IF(input_location="",FALSE,SUMPRODUCT(--ISNUMBER(SEARCH(","&amp;TRIM(TEXTSPLIT(FY79,","))&amp;",",","&amp;SUBSTITUTE(input_location," ","")&amp;",")))=COUNTA(TEXTSPLIT(FY79,",")))))</f>
        <v/>
      </c>
      <c r="JK79">
        <f>AND(IF(GA79="",TRUE,IF(input_modality="",FALSE,SUMPRODUCT(--ISNUMBER(SEARCH(","&amp;TRIM(TEXTSPLIT(GA79,","))&amp;",",","&amp;SUBSTITUTE(input_modality," ","")&amp;",")))&gt;0)),IF(GC79="",TRUE,IF(input_modality="",FALSE,SUMPRODUCT(--ISNUMBER(SEARCH(","&amp;TRIM(TEXTSPLIT(GC79,","))&amp;",",","&amp;SUBSTITUTE(input_modality," ","")&amp;",")))=COUNTA(TEXTSPLIT(GC79,",")))),IF(GE79="",TRUE,IF(input_modality="",TRUE,SUMPRODUCT(--ISNUMBER(SEARCH(","&amp;TRIM(TEXTSPLIT(GE79,","))&amp;",",","&amp;SUBSTITUTE(input_modality," ","")&amp;",")))=0)),IF(GG79="",TRUE,IF(input_modality="",FALSE,SUMPRODUCT(--ISNUMBER(SEARCH(","&amp;TRIM(TEXTSPLIT(GG79,","))&amp;",",","&amp;SUBSTITUTE(input_modality," ","")&amp;",")))&gt;0)),IF(GI79="",TRUE,IF(input_modality="",FALSE,SUMPRODUCT(--ISNUMBER(SEARCH(","&amp;TRIM(TEXTSPLIT(GI79,","))&amp;",",","&amp;SUBSTITUTE(input_modality," ","")&amp;",")))=COUNTA(TEXTSPLIT(GI79,",")))))</f>
        <v/>
      </c>
      <c r="JL79">
        <f>AND(IF(GK79="",TRUE,IF(input_organizer="",FALSE,SUMPRODUCT(--ISNUMBER(SEARCH(","&amp;TRIM(TEXTSPLIT(GK79,","))&amp;",",","&amp;SUBSTITUTE(input_organizer," ","")&amp;",")))&gt;0)),IF(GM79="",TRUE,IF(input_organizer="",FALSE,SUMPRODUCT(--ISNUMBER(SEARCH(","&amp;TRIM(TEXTSPLIT(GM79,","))&amp;",",","&amp;SUBSTITUTE(input_organizer," ","")&amp;",")))=COUNTA(TEXTSPLIT(GM79,",")))),IF(GO79="",TRUE,IF(input_organizer="",TRUE,SUMPRODUCT(--ISNUMBER(SEARCH(","&amp;TRIM(TEXTSPLIT(GO79,","))&amp;",",","&amp;SUBSTITUTE(input_organizer," ","")&amp;",")))=0)),IF(GQ79="",TRUE,IF(input_organizer="",FALSE,SUMPRODUCT(--ISNUMBER(SEARCH(","&amp;TRIM(TEXTSPLIT(GQ79,","))&amp;",",","&amp;SUBSTITUTE(input_organizer," ","")&amp;",")))&gt;0)),IF(GS79="",TRUE,IF(input_organizer="",FALSE,SUMPRODUCT(--ISNUMBER(SEARCH(","&amp;TRIM(TEXTSPLIT(GS79,","))&amp;",",","&amp;SUBSTITUTE(input_organizer," ","")&amp;",")))=COUNTA(TEXTSPLIT(GS79,",")))))</f>
        <v/>
      </c>
      <c r="JM79">
        <f>AND(IF(GU79="",TRUE,IF(input_profile_type="",FALSE,SUMPRODUCT(--ISNUMBER(SEARCH(","&amp;TRIM(TEXTSPLIT(GU79,","))&amp;",",","&amp;SUBSTITUTE(input_profile_type," ","")&amp;",")))&gt;0)),IF(GW79="",TRUE,IF(input_profile_type="",FALSE,SUMPRODUCT(--ISNUMBER(SEARCH(","&amp;TRIM(TEXTSPLIT(GW79,","))&amp;",",","&amp;SUBSTITUTE(input_profile_type," ","")&amp;",")))=COUNTA(TEXTSPLIT(GW79,",")))),IF(GY79="",TRUE,IF(input_profile_type="",TRUE,SUMPRODUCT(--ISNUMBER(SEARCH(","&amp;TRIM(TEXTSPLIT(GY79,","))&amp;",",","&amp;SUBSTITUTE(input_profile_type," ","")&amp;",")))=0)),IF(HA79="",TRUE,IF(input_profile_type="",FALSE,SUMPRODUCT(--ISNUMBER(SEARCH(","&amp;TRIM(TEXTSPLIT(HA79,","))&amp;",",","&amp;SUBSTITUTE(input_profile_type," ","")&amp;",")))&gt;0)),IF(HC79="",TRUE,IF(input_profile_type="",FALSE,SUMPRODUCT(--ISNUMBER(SEARCH(","&amp;TRIM(TEXTSPLIT(HC79,","))&amp;",",","&amp;SUBSTITUTE(input_profile_type," ","")&amp;",")))=COUNTA(TEXTSPLIT(HC79,",")))))</f>
        <v/>
      </c>
      <c r="JN79">
        <f>AND(IF(HE79="",TRUE,IF(input_program="",FALSE,SUMPRODUCT(--ISNUMBER(SEARCH(","&amp;TRIM(TEXTSPLIT(HE79,","))&amp;",",","&amp;SUBSTITUTE(input_program," ","")&amp;",")))&gt;0)),IF(HG79="",TRUE,IF(input_program="",FALSE,SUMPRODUCT(--ISNUMBER(SEARCH(","&amp;TRIM(TEXTSPLIT(HG79,","))&amp;",",","&amp;SUBSTITUTE(input_program," ","")&amp;",")))=COUNTA(TEXTSPLIT(HG79,",")))),IF(HI79="",TRUE,IF(input_program="",TRUE,SUMPRODUCT(--ISNUMBER(SEARCH(","&amp;TRIM(TEXTSPLIT(HI79,","))&amp;",",","&amp;SUBSTITUTE(input_program," ","")&amp;",")))=0)),IF(HK79="",TRUE,IF(input_program="",FALSE,SUMPRODUCT(--ISNUMBER(SEARCH(","&amp;TRIM(TEXTSPLIT(HK79,","))&amp;",",","&amp;SUBSTITUTE(input_program," ","")&amp;",")))&gt;0)),IF(HM79="",TRUE,IF(input_program="",FALSE,SUMPRODUCT(--ISNUMBER(SEARCH(","&amp;TRIM(TEXTSPLIT(HM79,","))&amp;",",","&amp;SUBSTITUTE(input_program," ","")&amp;",")))=COUNTA(TEXTSPLIT(HM79,",")))))</f>
        <v/>
      </c>
      <c r="JO79">
        <f>AND(IF(HO79="",TRUE,IF(input_story_categories="",FALSE,SUMPRODUCT(--ISNUMBER(SEARCH(","&amp;TRIM(TEXTSPLIT(HO79,","))&amp;",",","&amp;SUBSTITUTE(input_story_categories," ","")&amp;",")))&gt;0)),IF(HQ79="",TRUE,IF(input_story_categories="",FALSE,SUMPRODUCT(--ISNUMBER(SEARCH(","&amp;TRIM(TEXTSPLIT(HQ79,","))&amp;",",","&amp;SUBSTITUTE(input_story_categories," ","")&amp;",")))=COUNTA(TEXTSPLIT(HQ79,",")))),IF(HS79="",TRUE,IF(input_story_categories="",TRUE,SUMPRODUCT(--ISNUMBER(SEARCH(","&amp;TRIM(TEXTSPLIT(HS79,","))&amp;",",","&amp;SUBSTITUTE(input_story_categories," ","")&amp;",")))=0)),IF(HU79="",TRUE,IF(input_story_categories="",FALSE,SUMPRODUCT(--ISNUMBER(SEARCH(","&amp;TRIM(TEXTSPLIT(HU79,","))&amp;",",","&amp;SUBSTITUTE(input_story_categories," ","")&amp;",")))&gt;0)),IF(HW79="",TRUE,IF(input_story_categories="",FALSE,SUMPRODUCT(--ISNUMBER(SEARCH(","&amp;TRIM(TEXTSPLIT(HW79,","))&amp;",",","&amp;SUBSTITUTE(input_story_categories," ","")&amp;",")))=COUNTA(TEXTSPLIT(HW79,",")))))</f>
        <v/>
      </c>
      <c r="JP79">
        <f>AND(IF(HY79="",TRUE,IF(input_story_type="",FALSE,SUMPRODUCT(--ISNUMBER(SEARCH(","&amp;TRIM(TEXTSPLIT(HY79,","))&amp;",",","&amp;SUBSTITUTE(input_story_type," ","")&amp;",")))&gt;0)),IF(IA79="",TRUE,IF(input_story_type="",FALSE,SUMPRODUCT(--ISNUMBER(SEARCH(","&amp;TRIM(TEXTSPLIT(IA79,","))&amp;",",","&amp;SUBSTITUTE(input_story_type," ","")&amp;",")))=COUNTA(TEXTSPLIT(IA79,",")))),IF(IC79="",TRUE,IF(input_story_type="",TRUE,SUMPRODUCT(--ISNUMBER(SEARCH(","&amp;TRIM(TEXTSPLIT(IC79,","))&amp;",",","&amp;SUBSTITUTE(input_story_type," ","")&amp;",")))=0)),IF(IE79="",TRUE,IF(input_story_type="",FALSE,SUMPRODUCT(--ISNUMBER(SEARCH(","&amp;TRIM(TEXTSPLIT(IE79,","))&amp;",",","&amp;SUBSTITUTE(input_story_type," ","")&amp;",")))&gt;0)),IF(IG79="",TRUE,IF(input_story_type="",FALSE,SUMPRODUCT(--ISNUMBER(SEARCH(","&amp;TRIM(TEXTSPLIT(IG79,","))&amp;",",","&amp;SUBSTITUTE(input_story_type," ","")&amp;",")))=COUNTA(TEXTSPLIT(IG79,",")))))</f>
        <v/>
      </c>
      <c r="JQ79">
        <f>AND(IF(II79="",TRUE,IF(input_topics="",FALSE,SUMPRODUCT(--ISNUMBER(SEARCH(","&amp;TRIM(TEXTSPLIT(II79,","))&amp;",",","&amp;SUBSTITUTE(input_topics," ","")&amp;",")))&gt;0)),IF(IK79="",TRUE,IF(input_topics="",FALSE,SUMPRODUCT(--ISNUMBER(SEARCH(","&amp;TRIM(TEXTSPLIT(IK79,","))&amp;",",","&amp;SUBSTITUTE(input_topics," ","")&amp;",")))=COUNTA(TEXTSPLIT(IK79,",")))),IF(IM79="",TRUE,IF(input_topics="",TRUE,SUMPRODUCT(--ISNUMBER(SEARCH(","&amp;TRIM(TEXTSPLIT(IM79,","))&amp;",",","&amp;SUBSTITUTE(input_topics," ","")&amp;",")))=0)),IF(IO79="",TRUE,IF(input_topics="",FALSE,SUMPRODUCT(--ISNUMBER(SEARCH(","&amp;TRIM(TEXTSPLIT(IO79,","))&amp;",",","&amp;SUBSTITUTE(input_topics," ","")&amp;",")))&gt;0)),IF(IQ79="",TRUE,IF(input_topics="",FALSE,SUMPRODUCT(--ISNUMBER(SEARCH(","&amp;TRIM(TEXTSPLIT(IQ79,","))&amp;",",","&amp;SUBSTITUTE(input_topics," ","")&amp;",")))=COUNTA(TEXTSPLIT(IQ79,",")))))</f>
        <v/>
      </c>
    </row>
    <row r="80">
      <c r="A80" s="4">
        <f>IF(NOT(IS80),"Excluded",IF(AND(IT80,IU80,IV80,IW80,IX80,IY80,IZ80,JA80,JB80,JC80,JD80,JE80,JF80,JG80,JH80,JI80,JJ80,JK80,JL80,JM80,JN80,JO80,JP80,JQ80),IF(I80&gt;0,"Eligible but limited","Will appear"),"Excluded"))</f>
        <v/>
      </c>
      <c r="B80" s="4" t="inlineStr">
        <is>
          <t>Blogs - Summary</t>
        </is>
      </c>
      <c r="C80" s="4" t="inlineStr">
        <is>
          <t>/the-som-experience/interests-and-industries/healthcare</t>
        </is>
      </c>
      <c r="D80" s="4" t="inlineStr">
        <is>
          <t>/the-som-experience/interests-and-industries/healthcare</t>
        </is>
      </c>
      <c r="E80" s="4" t="n">
        <v>1</v>
      </c>
      <c r="F80" s="4" t="inlineStr">
        <is>
          <t>story</t>
        </is>
      </c>
      <c r="G80" s="4" t="inlineStr">
        <is>
          <t>stories_mosaic_grid</t>
        </is>
      </c>
      <c r="H80" s="4" t="inlineStr">
        <is>
          <t>embed_blog_summary</t>
        </is>
      </c>
      <c r="I80" s="4" t="n">
        <v>1</v>
      </c>
      <c r="J80" s="4" t="inlineStr">
        <is>
          <t>View/config rules</t>
        </is>
      </c>
      <c r="K80" s="4" t="inlineStr">
        <is>
          <t>Page placement</t>
        </is>
      </c>
      <c r="L80" s="4" t="inlineStr">
        <is>
          <t>Content type: story; Needs any Story Type: Blog (974); Limited to 1 item(s); Source: View/config rules</t>
        </is>
      </c>
      <c r="M80" t="inlineStr"/>
      <c r="N80" t="inlineStr"/>
      <c r="O80" t="inlineStr"/>
      <c r="P80" t="inlineStr"/>
      <c r="Q80" t="inlineStr"/>
      <c r="R80" t="inlineStr"/>
      <c r="S80" t="inlineStr"/>
      <c r="T80" t="inlineStr"/>
      <c r="U80" t="inlineStr"/>
      <c r="V80" t="inlineStr"/>
      <c r="W80" t="inlineStr"/>
      <c r="X80" t="inlineStr"/>
      <c r="Y80" t="inlineStr"/>
      <c r="Z80" t="inlineStr"/>
      <c r="AA80" t="inlineStr"/>
      <c r="AB80" t="inlineStr"/>
      <c r="AC80" t="inlineStr"/>
      <c r="AD80" t="inlineStr"/>
      <c r="AE80" t="inlineStr"/>
      <c r="AF80" t="inlineStr"/>
      <c r="AG80" t="inlineStr"/>
      <c r="AH80" t="inlineStr"/>
      <c r="AI80" t="inlineStr"/>
      <c r="AJ80" t="inlineStr"/>
      <c r="AK80" t="inlineStr"/>
      <c r="AL80" t="inlineStr"/>
      <c r="AM80" t="inlineStr"/>
      <c r="AN80" t="inlineStr"/>
      <c r="AO80" t="inlineStr"/>
      <c r="AP80" t="inlineStr"/>
      <c r="AQ80" t="inlineStr"/>
      <c r="AR80" t="inlineStr"/>
      <c r="AS80" t="inlineStr"/>
      <c r="AT80" t="inlineStr"/>
      <c r="AU80" t="inlineStr"/>
      <c r="AV80" t="inlineStr"/>
      <c r="AW80" t="inlineStr"/>
      <c r="AX80" t="inlineStr"/>
      <c r="AY80" t="inlineStr"/>
      <c r="AZ80" t="inlineStr"/>
      <c r="BA80" t="inlineStr"/>
      <c r="BB80" t="inlineStr"/>
      <c r="BC80" t="inlineStr"/>
      <c r="BD80" t="inlineStr"/>
      <c r="BE80" t="inlineStr"/>
      <c r="BF80" t="inlineStr"/>
      <c r="BG80" t="inlineStr"/>
      <c r="BH80" t="inlineStr"/>
      <c r="BI80" t="inlineStr"/>
      <c r="BJ80" t="inlineStr"/>
      <c r="BK80" t="inlineStr"/>
      <c r="BL80" t="inlineStr"/>
      <c r="BM80" t="inlineStr"/>
      <c r="BN80" t="inlineStr"/>
      <c r="BO80" t="inlineStr"/>
      <c r="BP80" t="inlineStr"/>
      <c r="BQ80" t="inlineStr"/>
      <c r="BR80" t="inlineStr"/>
      <c r="BS80" t="inlineStr"/>
      <c r="BT80" t="inlineStr"/>
      <c r="BU80" t="inlineStr"/>
      <c r="BV80" t="inlineStr"/>
      <c r="BW80" t="inlineStr"/>
      <c r="BX80" t="inlineStr"/>
      <c r="BY80" t="inlineStr"/>
      <c r="BZ80" t="inlineStr"/>
      <c r="CA80" t="inlineStr"/>
      <c r="CB80" t="inlineStr"/>
      <c r="CC80" t="inlineStr"/>
      <c r="CD80" t="inlineStr"/>
      <c r="CE80" t="inlineStr"/>
      <c r="CF80" t="inlineStr"/>
      <c r="CG80" t="inlineStr"/>
      <c r="CH80" t="inlineStr"/>
      <c r="CI80" t="inlineStr"/>
      <c r="CJ80" t="inlineStr"/>
      <c r="CK80" t="inlineStr"/>
      <c r="CL80" t="inlineStr"/>
      <c r="CM80" t="inlineStr"/>
      <c r="CN80" t="inlineStr"/>
      <c r="CO80" t="inlineStr"/>
      <c r="CP80" t="inlineStr"/>
      <c r="CQ80" t="inlineStr"/>
      <c r="CR80" t="inlineStr"/>
      <c r="CS80" t="inlineStr"/>
      <c r="CT80" t="inlineStr"/>
      <c r="CU80" t="inlineStr"/>
      <c r="CV80" t="inlineStr"/>
      <c r="CW80" t="inlineStr"/>
      <c r="CX80" t="inlineStr"/>
      <c r="CY80" t="inlineStr"/>
      <c r="CZ80" t="inlineStr"/>
      <c r="DA80" t="inlineStr"/>
      <c r="DB80" t="inlineStr"/>
      <c r="DC80" t="inlineStr"/>
      <c r="DD80" t="inlineStr"/>
      <c r="DE80" t="inlineStr"/>
      <c r="DF80" t="inlineStr"/>
      <c r="DG80" t="inlineStr"/>
      <c r="DH80" t="inlineStr"/>
      <c r="DI80" t="inlineStr"/>
      <c r="DJ80" t="inlineStr"/>
      <c r="DK80" t="inlineStr"/>
      <c r="DL80" t="inlineStr"/>
      <c r="DM80" t="inlineStr"/>
      <c r="DN80" t="inlineStr"/>
      <c r="DO80" t="inlineStr"/>
      <c r="DP80" t="inlineStr"/>
      <c r="DQ80" t="inlineStr"/>
      <c r="DR80" t="inlineStr"/>
      <c r="DS80" t="inlineStr"/>
      <c r="DT80" t="inlineStr"/>
      <c r="DU80" t="inlineStr"/>
      <c r="DV80" t="inlineStr"/>
      <c r="DW80" t="inlineStr"/>
      <c r="DX80" t="inlineStr"/>
      <c r="DY80" t="inlineStr"/>
      <c r="DZ80" t="inlineStr"/>
      <c r="EA80" t="inlineStr"/>
      <c r="EB80" t="inlineStr"/>
      <c r="EC80" t="inlineStr"/>
      <c r="ED80" t="inlineStr"/>
      <c r="EE80" t="inlineStr"/>
      <c r="EF80" t="inlineStr"/>
      <c r="EG80" t="inlineStr"/>
      <c r="EH80" t="inlineStr"/>
      <c r="EI80" t="inlineStr"/>
      <c r="EJ80" t="inlineStr"/>
      <c r="EK80" t="inlineStr"/>
      <c r="EL80" t="inlineStr"/>
      <c r="EM80" t="inlineStr"/>
      <c r="EN80" t="inlineStr"/>
      <c r="EO80" t="inlineStr"/>
      <c r="EP80" t="inlineStr"/>
      <c r="EQ80" t="inlineStr"/>
      <c r="ER80" t="inlineStr"/>
      <c r="ES80" t="inlineStr"/>
      <c r="ET80" t="inlineStr"/>
      <c r="EU80" t="inlineStr"/>
      <c r="EV80" t="inlineStr"/>
      <c r="EW80" t="inlineStr"/>
      <c r="EX80" t="inlineStr"/>
      <c r="EY80" t="inlineStr"/>
      <c r="EZ80" t="inlineStr"/>
      <c r="FA80" t="inlineStr"/>
      <c r="FB80" t="inlineStr"/>
      <c r="FC80" t="inlineStr"/>
      <c r="FD80" t="inlineStr"/>
      <c r="FE80" t="inlineStr"/>
      <c r="FF80" t="inlineStr"/>
      <c r="FG80" t="inlineStr"/>
      <c r="FH80" t="inlineStr"/>
      <c r="FI80" t="inlineStr"/>
      <c r="FJ80" t="inlineStr"/>
      <c r="FK80" t="inlineStr"/>
      <c r="FL80" t="inlineStr"/>
      <c r="FM80" t="inlineStr"/>
      <c r="FN80" t="inlineStr"/>
      <c r="FO80" t="inlineStr"/>
      <c r="FP80" t="inlineStr"/>
      <c r="FQ80" t="inlineStr"/>
      <c r="FR80" t="inlineStr"/>
      <c r="FS80" t="inlineStr"/>
      <c r="FT80" t="inlineStr"/>
      <c r="FU80" t="inlineStr"/>
      <c r="FV80" t="inlineStr"/>
      <c r="FW80" t="inlineStr"/>
      <c r="FX80" t="inlineStr"/>
      <c r="FY80" t="inlineStr"/>
      <c r="FZ80" t="inlineStr"/>
      <c r="GA80" t="inlineStr"/>
      <c r="GB80" t="inlineStr"/>
      <c r="GC80" t="inlineStr"/>
      <c r="GD80" t="inlineStr"/>
      <c r="GE80" t="inlineStr"/>
      <c r="GF80" t="inlineStr"/>
      <c r="GG80" t="inlineStr"/>
      <c r="GH80" t="inlineStr"/>
      <c r="GI80" t="inlineStr"/>
      <c r="GJ80" t="inlineStr"/>
      <c r="GK80" t="inlineStr"/>
      <c r="GL80" t="inlineStr"/>
      <c r="GM80" t="inlineStr"/>
      <c r="GN80" t="inlineStr"/>
      <c r="GO80" t="inlineStr"/>
      <c r="GP80" t="inlineStr"/>
      <c r="GQ80" t="inlineStr"/>
      <c r="GR80" t="inlineStr"/>
      <c r="GS80" t="inlineStr"/>
      <c r="GT80" t="inlineStr"/>
      <c r="GU80" t="inlineStr"/>
      <c r="GV80" t="inlineStr"/>
      <c r="GW80" t="inlineStr"/>
      <c r="GX80" t="inlineStr"/>
      <c r="GY80" t="inlineStr"/>
      <c r="GZ80" t="inlineStr"/>
      <c r="HA80" t="inlineStr"/>
      <c r="HB80" t="inlineStr"/>
      <c r="HC80" t="inlineStr"/>
      <c r="HD80" t="inlineStr"/>
      <c r="HE80" t="inlineStr"/>
      <c r="HF80" t="inlineStr"/>
      <c r="HG80" t="inlineStr"/>
      <c r="HH80" t="inlineStr"/>
      <c r="HI80" t="inlineStr"/>
      <c r="HJ80" t="inlineStr"/>
      <c r="HK80" t="inlineStr"/>
      <c r="HL80" t="inlineStr"/>
      <c r="HM80" t="inlineStr"/>
      <c r="HN80" t="inlineStr"/>
      <c r="HO80" t="inlineStr"/>
      <c r="HP80" t="inlineStr"/>
      <c r="HQ80" t="inlineStr"/>
      <c r="HR80" t="inlineStr"/>
      <c r="HS80" t="inlineStr"/>
      <c r="HT80" t="inlineStr"/>
      <c r="HU80" t="inlineStr"/>
      <c r="HV80" t="inlineStr"/>
      <c r="HW80" t="inlineStr"/>
      <c r="HX80" t="inlineStr"/>
      <c r="HY80" t="inlineStr">
        <is>
          <t>974</t>
        </is>
      </c>
      <c r="HZ80" t="inlineStr">
        <is>
          <t>Blog (974)</t>
        </is>
      </c>
      <c r="IA80" t="inlineStr"/>
      <c r="IB80" t="inlineStr"/>
      <c r="IC80" t="inlineStr"/>
      <c r="ID80" t="inlineStr"/>
      <c r="IE80" t="inlineStr"/>
      <c r="IF80" t="inlineStr"/>
      <c r="IG80" t="inlineStr"/>
      <c r="IH80" t="inlineStr"/>
      <c r="II80" t="inlineStr"/>
      <c r="IJ80" t="inlineStr"/>
      <c r="IK80" t="inlineStr"/>
      <c r="IL80" t="inlineStr"/>
      <c r="IM80" t="inlineStr"/>
      <c r="IN80" t="inlineStr"/>
      <c r="IO80" t="inlineStr"/>
      <c r="IP80" t="inlineStr"/>
      <c r="IQ80" t="inlineStr"/>
      <c r="IR80" t="inlineStr"/>
      <c r="IS80">
        <f>IF(input_content_type="",FALSE,ISNUMBER(SEARCH(","&amp;LOWER(input_content_type)&amp;",",","&amp;LOWER(F80)&amp;",")))</f>
        <v/>
      </c>
      <c r="IT80">
        <f>AND(IF(M80="",TRUE,IF(input_affiliations="",FALSE,SUMPRODUCT(--ISNUMBER(SEARCH(","&amp;TRIM(TEXTSPLIT(M80,","))&amp;",",","&amp;SUBSTITUTE(input_affiliations," ","")&amp;",")))&gt;0)),IF(O80="",TRUE,IF(input_affiliations="",FALSE,SUMPRODUCT(--ISNUMBER(SEARCH(","&amp;TRIM(TEXTSPLIT(O80,","))&amp;",",","&amp;SUBSTITUTE(input_affiliations," ","")&amp;",")))=COUNTA(TEXTSPLIT(O80,",")))),IF(Q80="",TRUE,IF(input_affiliations="",TRUE,SUMPRODUCT(--ISNUMBER(SEARCH(","&amp;TRIM(TEXTSPLIT(Q80,","))&amp;",",","&amp;SUBSTITUTE(input_affiliations," ","")&amp;",")))=0)),IF(S80="",TRUE,IF(input_affiliations="",FALSE,SUMPRODUCT(--ISNUMBER(SEARCH(","&amp;TRIM(TEXTSPLIT(S80,","))&amp;",",","&amp;SUBSTITUTE(input_affiliations," ","")&amp;",")))&gt;0)),IF(U80="",TRUE,IF(input_affiliations="",FALSE,SUMPRODUCT(--ISNUMBER(SEARCH(","&amp;TRIM(TEXTSPLIT(U80,","))&amp;",",","&amp;SUBSTITUTE(input_affiliations," ","")&amp;",")))=COUNTA(TEXTSPLIT(U80,",")))))</f>
        <v/>
      </c>
      <c r="IU80">
        <f>AND(IF(W80="",TRUE,IF(input_announcement_category="",FALSE,SUMPRODUCT(--ISNUMBER(SEARCH(","&amp;TRIM(TEXTSPLIT(W80,","))&amp;",",","&amp;SUBSTITUTE(input_announcement_category," ","")&amp;",")))&gt;0)),IF(Y80="",TRUE,IF(input_announcement_category="",FALSE,SUMPRODUCT(--ISNUMBER(SEARCH(","&amp;TRIM(TEXTSPLIT(Y80,","))&amp;",",","&amp;SUBSTITUTE(input_announcement_category," ","")&amp;",")))=COUNTA(TEXTSPLIT(Y80,",")))),IF(AA80="",TRUE,IF(input_announcement_category="",TRUE,SUMPRODUCT(--ISNUMBER(SEARCH(","&amp;TRIM(TEXTSPLIT(AA80,","))&amp;",",","&amp;SUBSTITUTE(input_announcement_category," ","")&amp;",")))=0)),IF(AC80="",TRUE,IF(input_announcement_category="",FALSE,SUMPRODUCT(--ISNUMBER(SEARCH(","&amp;TRIM(TEXTSPLIT(AC80,","))&amp;",",","&amp;SUBSTITUTE(input_announcement_category," ","")&amp;",")))&gt;0)),IF(AE80="",TRUE,IF(input_announcement_category="",FALSE,SUMPRODUCT(--ISNUMBER(SEARCH(","&amp;TRIM(TEXTSPLIT(AE80,","))&amp;",",","&amp;SUBSTITUTE(input_announcement_category," ","")&amp;",")))=COUNTA(TEXTSPLIT(AE80,",")))))</f>
        <v/>
      </c>
      <c r="IV80">
        <f>AND(IF(AG80="",TRUE,IF(input_area_of_focus="",FALSE,SUMPRODUCT(--ISNUMBER(SEARCH(","&amp;TRIM(TEXTSPLIT(AG80,","))&amp;",",","&amp;SUBSTITUTE(input_area_of_focus," ","")&amp;",")))&gt;0)),IF(AI80="",TRUE,IF(input_area_of_focus="",FALSE,SUMPRODUCT(--ISNUMBER(SEARCH(","&amp;TRIM(TEXTSPLIT(AI80,","))&amp;",",","&amp;SUBSTITUTE(input_area_of_focus," ","")&amp;",")))=COUNTA(TEXTSPLIT(AI80,",")))),IF(AK80="",TRUE,IF(input_area_of_focus="",TRUE,SUMPRODUCT(--ISNUMBER(SEARCH(","&amp;TRIM(TEXTSPLIT(AK80,","))&amp;",",","&amp;SUBSTITUTE(input_area_of_focus," ","")&amp;",")))=0)),IF(AM80="",TRUE,IF(input_area_of_focus="",FALSE,SUMPRODUCT(--ISNUMBER(SEARCH(","&amp;TRIM(TEXTSPLIT(AM80,","))&amp;",",","&amp;SUBSTITUTE(input_area_of_focus," ","")&amp;",")))&gt;0)),IF(AO80="",TRUE,IF(input_area_of_focus="",FALSE,SUMPRODUCT(--ISNUMBER(SEARCH(","&amp;TRIM(TEXTSPLIT(AO80,","))&amp;",",","&amp;SUBSTITUTE(input_area_of_focus," ","")&amp;",")))=COUNTA(TEXTSPLIT(AO80,",")))))</f>
        <v/>
      </c>
      <c r="IW80">
        <f>AND(IF(AQ80="",TRUE,IF(input_audience="",FALSE,SUMPRODUCT(--ISNUMBER(SEARCH(","&amp;TRIM(TEXTSPLIT(AQ80,","))&amp;",",","&amp;SUBSTITUTE(input_audience," ","")&amp;",")))&gt;0)),IF(AS80="",TRUE,IF(input_audience="",FALSE,SUMPRODUCT(--ISNUMBER(SEARCH(","&amp;TRIM(TEXTSPLIT(AS80,","))&amp;",",","&amp;SUBSTITUTE(input_audience," ","")&amp;",")))=COUNTA(TEXTSPLIT(AS80,",")))),IF(AU80="",TRUE,IF(input_audience="",TRUE,SUMPRODUCT(--ISNUMBER(SEARCH(","&amp;TRIM(TEXTSPLIT(AU80,","))&amp;",",","&amp;SUBSTITUTE(input_audience," ","")&amp;",")))=0)),IF(AW80="",TRUE,IF(input_audience="",FALSE,SUMPRODUCT(--ISNUMBER(SEARCH(","&amp;TRIM(TEXTSPLIT(AW80,","))&amp;",",","&amp;SUBSTITUTE(input_audience," ","")&amp;",")))&gt;0)),IF(AY80="",TRUE,IF(input_audience="",FALSE,SUMPRODUCT(--ISNUMBER(SEARCH(","&amp;TRIM(TEXTSPLIT(AY80,","))&amp;",",","&amp;SUBSTITUTE(input_audience," ","")&amp;",")))=COUNTA(TEXTSPLIT(AY80,",")))))</f>
        <v/>
      </c>
      <c r="IX80">
        <f>AND(IF(BA80="",TRUE,IF(input_challenge_opportunities="",FALSE,SUMPRODUCT(--ISNUMBER(SEARCH(","&amp;TRIM(TEXTSPLIT(BA80,","))&amp;",",","&amp;SUBSTITUTE(input_challenge_opportunities," ","")&amp;",")))&gt;0)),IF(BC80="",TRUE,IF(input_challenge_opportunities="",FALSE,SUMPRODUCT(--ISNUMBER(SEARCH(","&amp;TRIM(TEXTSPLIT(BC80,","))&amp;",",","&amp;SUBSTITUTE(input_challenge_opportunities," ","")&amp;",")))=COUNTA(TEXTSPLIT(BC80,",")))),IF(BE80="",TRUE,IF(input_challenge_opportunities="",TRUE,SUMPRODUCT(--ISNUMBER(SEARCH(","&amp;TRIM(TEXTSPLIT(BE80,","))&amp;",",","&amp;SUBSTITUTE(input_challenge_opportunities," ","")&amp;",")))=0)),IF(BG80="",TRUE,IF(input_challenge_opportunities="",FALSE,SUMPRODUCT(--ISNUMBER(SEARCH(","&amp;TRIM(TEXTSPLIT(BG80,","))&amp;",",","&amp;SUBSTITUTE(input_challenge_opportunities," ","")&amp;",")))&gt;0)),IF(BI80="",TRUE,IF(input_challenge_opportunities="",FALSE,SUMPRODUCT(--ISNUMBER(SEARCH(","&amp;TRIM(TEXTSPLIT(BI80,","))&amp;",",","&amp;SUBSTITUTE(input_challenge_opportunities," ","")&amp;",")))=COUNTA(TEXTSPLIT(BI80,",")))))</f>
        <v/>
      </c>
      <c r="IY80">
        <f>AND(IF(BK80="",TRUE,IF(input_context="",FALSE,SUMPRODUCT(--ISNUMBER(SEARCH(","&amp;TRIM(TEXTSPLIT(BK80,","))&amp;",",","&amp;SUBSTITUTE(input_context," ","")&amp;",")))&gt;0)),IF(BM80="",TRUE,IF(input_context="",FALSE,SUMPRODUCT(--ISNUMBER(SEARCH(","&amp;TRIM(TEXTSPLIT(BM80,","))&amp;",",","&amp;SUBSTITUTE(input_context," ","")&amp;",")))=COUNTA(TEXTSPLIT(BM80,",")))),IF(BO80="",TRUE,IF(input_context="",TRUE,SUMPRODUCT(--ISNUMBER(SEARCH(","&amp;TRIM(TEXTSPLIT(BO80,","))&amp;",",","&amp;SUBSTITUTE(input_context," ","")&amp;",")))=0)),IF(BQ80="",TRUE,IF(input_context="",FALSE,SUMPRODUCT(--ISNUMBER(SEARCH(","&amp;TRIM(TEXTSPLIT(BQ80,","))&amp;",",","&amp;SUBSTITUTE(input_context," ","")&amp;",")))&gt;0)),IF(BS80="",TRUE,IF(input_context="",FALSE,SUMPRODUCT(--ISNUMBER(SEARCH(","&amp;TRIM(TEXTSPLIT(BS80,","))&amp;",",","&amp;SUBSTITUTE(input_context," ","")&amp;",")))=COUNTA(TEXTSPLIT(BS80,",")))))</f>
        <v/>
      </c>
      <c r="IZ80">
        <f>AND(IF(BU80="",TRUE,IF(input_enews_announcement_type="",FALSE,SUMPRODUCT(--ISNUMBER(SEARCH(","&amp;TRIM(TEXTSPLIT(BU80,","))&amp;",",","&amp;SUBSTITUTE(input_enews_announcement_type," ","")&amp;",")))&gt;0)),IF(BW80="",TRUE,IF(input_enews_announcement_type="",FALSE,SUMPRODUCT(--ISNUMBER(SEARCH(","&amp;TRIM(TEXTSPLIT(BW80,","))&amp;",",","&amp;SUBSTITUTE(input_enews_announcement_type," ","")&amp;",")))=COUNTA(TEXTSPLIT(BW80,",")))),IF(BY80="",TRUE,IF(input_enews_announcement_type="",TRUE,SUMPRODUCT(--ISNUMBER(SEARCH(","&amp;TRIM(TEXTSPLIT(BY80,","))&amp;",",","&amp;SUBSTITUTE(input_enews_announcement_type," ","")&amp;",")))=0)),IF(CA80="",TRUE,IF(input_enews_announcement_type="",FALSE,SUMPRODUCT(--ISNUMBER(SEARCH(","&amp;TRIM(TEXTSPLIT(CA80,","))&amp;",",","&amp;SUBSTITUTE(input_enews_announcement_type," ","")&amp;",")))&gt;0)),IF(CC80="",TRUE,IF(input_enews_announcement_type="",FALSE,SUMPRODUCT(--ISNUMBER(SEARCH(","&amp;TRIM(TEXTSPLIT(CC80,","))&amp;",",","&amp;SUBSTITUTE(input_enews_announcement_type," ","")&amp;",")))=COUNTA(TEXTSPLIT(CC80,",")))))</f>
        <v/>
      </c>
      <c r="JA80">
        <f>AND(IF(CE80="",TRUE,IF(input_enews_audience="",FALSE,SUMPRODUCT(--ISNUMBER(SEARCH(","&amp;TRIM(TEXTSPLIT(CE80,","))&amp;",",","&amp;SUBSTITUTE(input_enews_audience," ","")&amp;",")))&gt;0)),IF(CG80="",TRUE,IF(input_enews_audience="",FALSE,SUMPRODUCT(--ISNUMBER(SEARCH(","&amp;TRIM(TEXTSPLIT(CG80,","))&amp;",",","&amp;SUBSTITUTE(input_enews_audience," ","")&amp;",")))=COUNTA(TEXTSPLIT(CG80,",")))),IF(CI80="",TRUE,IF(input_enews_audience="",TRUE,SUMPRODUCT(--ISNUMBER(SEARCH(","&amp;TRIM(TEXTSPLIT(CI80,","))&amp;",",","&amp;SUBSTITUTE(input_enews_audience," ","")&amp;",")))=0)),IF(CK80="",TRUE,IF(input_enews_audience="",FALSE,SUMPRODUCT(--ISNUMBER(SEARCH(","&amp;TRIM(TEXTSPLIT(CK80,","))&amp;",",","&amp;SUBSTITUTE(input_enews_audience," ","")&amp;",")))&gt;0)),IF(CM80="",TRUE,IF(input_enews_audience="",FALSE,SUMPRODUCT(--ISNUMBER(SEARCH(","&amp;TRIM(TEXTSPLIT(CM80,","))&amp;",",","&amp;SUBSTITUTE(input_enews_audience," ","")&amp;",")))=COUNTA(TEXTSPLIT(CM80,",")))))</f>
        <v/>
      </c>
      <c r="JB80">
        <f>AND(IF(CO80="",TRUE,IF(input_event_location="",FALSE,SUMPRODUCT(--ISNUMBER(SEARCH(","&amp;TRIM(TEXTSPLIT(CO80,","))&amp;",",","&amp;SUBSTITUTE(input_event_location," ","")&amp;",")))&gt;0)),IF(CQ80="",TRUE,IF(input_event_location="",FALSE,SUMPRODUCT(--ISNUMBER(SEARCH(","&amp;TRIM(TEXTSPLIT(CQ80,","))&amp;",",","&amp;SUBSTITUTE(input_event_location," ","")&amp;",")))=COUNTA(TEXTSPLIT(CQ80,",")))),IF(CS80="",TRUE,IF(input_event_location="",TRUE,SUMPRODUCT(--ISNUMBER(SEARCH(","&amp;TRIM(TEXTSPLIT(CS80,","))&amp;",",","&amp;SUBSTITUTE(input_event_location," ","")&amp;",")))=0)),IF(CU80="",TRUE,IF(input_event_location="",FALSE,SUMPRODUCT(--ISNUMBER(SEARCH(","&amp;TRIM(TEXTSPLIT(CU80,","))&amp;",",","&amp;SUBSTITUTE(input_event_location," ","")&amp;",")))&gt;0)),IF(CW80="",TRUE,IF(input_event_location="",FALSE,SUMPRODUCT(--ISNUMBER(SEARCH(","&amp;TRIM(TEXTSPLIT(CW80,","))&amp;",",","&amp;SUBSTITUTE(input_event_location," ","")&amp;",")))=COUNTA(TEXTSPLIT(CW80,",")))))</f>
        <v/>
      </c>
      <c r="JC80">
        <f>AND(IF(CY80="",TRUE,IF(input_event_type="",FALSE,SUMPRODUCT(--ISNUMBER(SEARCH(","&amp;TRIM(TEXTSPLIT(CY80,","))&amp;",",","&amp;SUBSTITUTE(input_event_type," ","")&amp;",")))&gt;0)),IF(DA80="",TRUE,IF(input_event_type="",FALSE,SUMPRODUCT(--ISNUMBER(SEARCH(","&amp;TRIM(TEXTSPLIT(DA80,","))&amp;",",","&amp;SUBSTITUTE(input_event_type," ","")&amp;",")))=COUNTA(TEXTSPLIT(DA80,",")))),IF(DC80="",TRUE,IF(input_event_type="",TRUE,SUMPRODUCT(--ISNUMBER(SEARCH(","&amp;TRIM(TEXTSPLIT(DC80,","))&amp;",",","&amp;SUBSTITUTE(input_event_type," ","")&amp;",")))=0)),IF(DE80="",TRUE,IF(input_event_type="",FALSE,SUMPRODUCT(--ISNUMBER(SEARCH(","&amp;TRIM(TEXTSPLIT(DE80,","))&amp;",",","&amp;SUBSTITUTE(input_event_type," ","")&amp;",")))&gt;0)),IF(DG80="",TRUE,IF(input_event_type="",FALSE,SUMPRODUCT(--ISNUMBER(SEARCH(","&amp;TRIM(TEXTSPLIT(DG80,","))&amp;",",","&amp;SUBSTITUTE(input_event_type," ","")&amp;",")))=COUNTA(TEXTSPLIT(DG80,",")))))</f>
        <v/>
      </c>
      <c r="JD80">
        <f>AND(IF(DI80="",TRUE,IF(input_executive_education_focus="",FALSE,SUMPRODUCT(--ISNUMBER(SEARCH(","&amp;TRIM(TEXTSPLIT(DI80,","))&amp;",",","&amp;SUBSTITUTE(input_executive_education_focus," ","")&amp;",")))&gt;0)),IF(DK80="",TRUE,IF(input_executive_education_focus="",FALSE,SUMPRODUCT(--ISNUMBER(SEARCH(","&amp;TRIM(TEXTSPLIT(DK80,","))&amp;",",","&amp;SUBSTITUTE(input_executive_education_focus," ","")&amp;",")))=COUNTA(TEXTSPLIT(DK80,",")))),IF(DM80="",TRUE,IF(input_executive_education_focus="",TRUE,SUMPRODUCT(--ISNUMBER(SEARCH(","&amp;TRIM(TEXTSPLIT(DM80,","))&amp;",",","&amp;SUBSTITUTE(input_executive_education_focus," ","")&amp;",")))=0)),IF(DO80="",TRUE,IF(input_executive_education_focus="",FALSE,SUMPRODUCT(--ISNUMBER(SEARCH(","&amp;TRIM(TEXTSPLIT(DO80,","))&amp;",",","&amp;SUBSTITUTE(input_executive_education_focus," ","")&amp;",")))&gt;0)),IF(DQ80="",TRUE,IF(input_executive_education_focus="",FALSE,SUMPRODUCT(--ISNUMBER(SEARCH(","&amp;TRIM(TEXTSPLIT(DQ80,","))&amp;",",","&amp;SUBSTITUTE(input_executive_education_focus," ","")&amp;",")))=COUNTA(TEXTSPLIT(DQ80,",")))))</f>
        <v/>
      </c>
      <c r="JE80">
        <f>AND(IF(DS80="",TRUE,IF(input_faculty_category="",FALSE,SUMPRODUCT(--ISNUMBER(SEARCH(","&amp;TRIM(TEXTSPLIT(DS80,","))&amp;",",","&amp;SUBSTITUTE(input_faculty_category," ","")&amp;",")))&gt;0)),IF(DU80="",TRUE,IF(input_faculty_category="",FALSE,SUMPRODUCT(--ISNUMBER(SEARCH(","&amp;TRIM(TEXTSPLIT(DU80,","))&amp;",",","&amp;SUBSTITUTE(input_faculty_category," ","")&amp;",")))=COUNTA(TEXTSPLIT(DU80,",")))),IF(DW80="",TRUE,IF(input_faculty_category="",TRUE,SUMPRODUCT(--ISNUMBER(SEARCH(","&amp;TRIM(TEXTSPLIT(DW80,","))&amp;",",","&amp;SUBSTITUTE(input_faculty_category," ","")&amp;",")))=0)),IF(DY80="",TRUE,IF(input_faculty_category="",FALSE,SUMPRODUCT(--ISNUMBER(SEARCH(","&amp;TRIM(TEXTSPLIT(DY80,","))&amp;",",","&amp;SUBSTITUTE(input_faculty_category," ","")&amp;",")))&gt;0)),IF(EA80="",TRUE,IF(input_faculty_category="",FALSE,SUMPRODUCT(--ISNUMBER(SEARCH(","&amp;TRIM(TEXTSPLIT(EA80,","))&amp;",",","&amp;SUBSTITUTE(input_faculty_category," ","")&amp;",")))=COUNTA(TEXTSPLIT(EA80,",")))))</f>
        <v/>
      </c>
      <c r="JF80">
        <f>AND(IF(EC80="",TRUE,IF(input_faculty_discipline="",FALSE,SUMPRODUCT(--ISNUMBER(SEARCH(","&amp;TRIM(TEXTSPLIT(EC80,","))&amp;",",","&amp;SUBSTITUTE(input_faculty_discipline," ","")&amp;",")))&gt;0)),IF(EE80="",TRUE,IF(input_faculty_discipline="",FALSE,SUMPRODUCT(--ISNUMBER(SEARCH(","&amp;TRIM(TEXTSPLIT(EE80,","))&amp;",",","&amp;SUBSTITUTE(input_faculty_discipline," ","")&amp;",")))=COUNTA(TEXTSPLIT(EE80,",")))),IF(EG80="",TRUE,IF(input_faculty_discipline="",TRUE,SUMPRODUCT(--ISNUMBER(SEARCH(","&amp;TRIM(TEXTSPLIT(EG80,","))&amp;",",","&amp;SUBSTITUTE(input_faculty_discipline," ","")&amp;",")))=0)),IF(EI80="",TRUE,IF(input_faculty_discipline="",FALSE,SUMPRODUCT(--ISNUMBER(SEARCH(","&amp;TRIM(TEXTSPLIT(EI80,","))&amp;",",","&amp;SUBSTITUTE(input_faculty_discipline," ","")&amp;",")))&gt;0)),IF(EK80="",TRUE,IF(input_faculty_discipline="",FALSE,SUMPRODUCT(--ISNUMBER(SEARCH(","&amp;TRIM(TEXTSPLIT(EK80,","))&amp;",",","&amp;SUBSTITUTE(input_faculty_discipline," ","")&amp;",")))=COUNTA(TEXTSPLIT(EK80,",")))))</f>
        <v/>
      </c>
      <c r="JG80">
        <f>AND(IF(EM80="",TRUE,IF(input_faculty_expertise="",FALSE,SUMPRODUCT(--ISNUMBER(SEARCH(","&amp;TRIM(TEXTSPLIT(EM80,","))&amp;",",","&amp;SUBSTITUTE(input_faculty_expertise," ","")&amp;",")))&gt;0)),IF(EO80="",TRUE,IF(input_faculty_expertise="",FALSE,SUMPRODUCT(--ISNUMBER(SEARCH(","&amp;TRIM(TEXTSPLIT(EO80,","))&amp;",",","&amp;SUBSTITUTE(input_faculty_expertise," ","")&amp;",")))=COUNTA(TEXTSPLIT(EO80,",")))),IF(EQ80="",TRUE,IF(input_faculty_expertise="",TRUE,SUMPRODUCT(--ISNUMBER(SEARCH(","&amp;TRIM(TEXTSPLIT(EQ80,","))&amp;",",","&amp;SUBSTITUTE(input_faculty_expertise," ","")&amp;",")))=0)),IF(ES80="",TRUE,IF(input_faculty_expertise="",FALSE,SUMPRODUCT(--ISNUMBER(SEARCH(","&amp;TRIM(TEXTSPLIT(ES80,","))&amp;",",","&amp;SUBSTITUTE(input_faculty_expertise," ","")&amp;",")))&gt;0)),IF(EU80="",TRUE,IF(input_faculty_expertise="",FALSE,SUMPRODUCT(--ISNUMBER(SEARCH(","&amp;TRIM(TEXTSPLIT(EU80,","))&amp;",",","&amp;SUBSTITUTE(input_faculty_expertise," ","")&amp;",")))=COUNTA(TEXTSPLIT(EU80,",")))))</f>
        <v/>
      </c>
      <c r="JH80">
        <f>AND(IF(EW80="",TRUE,IF(input_global_network_school="",FALSE,SUMPRODUCT(--ISNUMBER(SEARCH(","&amp;TRIM(TEXTSPLIT(EW80,","))&amp;",",","&amp;SUBSTITUTE(input_global_network_school," ","")&amp;",")))&gt;0)),IF(EY80="",TRUE,IF(input_global_network_school="",FALSE,SUMPRODUCT(--ISNUMBER(SEARCH(","&amp;TRIM(TEXTSPLIT(EY80,","))&amp;",",","&amp;SUBSTITUTE(input_global_network_school," ","")&amp;",")))=COUNTA(TEXTSPLIT(EY80,",")))),IF(FA80="",TRUE,IF(input_global_network_school="",TRUE,SUMPRODUCT(--ISNUMBER(SEARCH(","&amp;TRIM(TEXTSPLIT(FA80,","))&amp;",",","&amp;SUBSTITUTE(input_global_network_school," ","")&amp;",")))=0)),IF(FC80="",TRUE,IF(input_global_network_school="",FALSE,SUMPRODUCT(--ISNUMBER(SEARCH(","&amp;TRIM(TEXTSPLIT(FC80,","))&amp;",",","&amp;SUBSTITUTE(input_global_network_school," ","")&amp;",")))&gt;0)),IF(FE80="",TRUE,IF(input_global_network_school="",FALSE,SUMPRODUCT(--ISNUMBER(SEARCH(","&amp;TRIM(TEXTSPLIT(FE80,","))&amp;",",","&amp;SUBSTITUTE(input_global_network_school," ","")&amp;",")))=COUNTA(TEXTSPLIT(FE80,",")))))</f>
        <v/>
      </c>
      <c r="JI80">
        <f>AND(IF(FG80="",TRUE,IF(input_industry="",FALSE,SUMPRODUCT(--ISNUMBER(SEARCH(","&amp;TRIM(TEXTSPLIT(FG80,","))&amp;",",","&amp;SUBSTITUTE(input_industry," ","")&amp;",")))&gt;0)),IF(FI80="",TRUE,IF(input_industry="",FALSE,SUMPRODUCT(--ISNUMBER(SEARCH(","&amp;TRIM(TEXTSPLIT(FI80,","))&amp;",",","&amp;SUBSTITUTE(input_industry," ","")&amp;",")))=COUNTA(TEXTSPLIT(FI80,",")))),IF(FK80="",TRUE,IF(input_industry="",TRUE,SUMPRODUCT(--ISNUMBER(SEARCH(","&amp;TRIM(TEXTSPLIT(FK80,","))&amp;",",","&amp;SUBSTITUTE(input_industry," ","")&amp;",")))=0)),IF(FM80="",TRUE,IF(input_industry="",FALSE,SUMPRODUCT(--ISNUMBER(SEARCH(","&amp;TRIM(TEXTSPLIT(FM80,","))&amp;",",","&amp;SUBSTITUTE(input_industry," ","")&amp;",")))&gt;0)),IF(FO80="",TRUE,IF(input_industry="",FALSE,SUMPRODUCT(--ISNUMBER(SEARCH(","&amp;TRIM(TEXTSPLIT(FO80,","))&amp;",",","&amp;SUBSTITUTE(input_industry," ","")&amp;",")))=COUNTA(TEXTSPLIT(FO80,",")))))</f>
        <v/>
      </c>
      <c r="JJ80">
        <f>AND(IF(FQ80="",TRUE,IF(input_location="",FALSE,SUMPRODUCT(--ISNUMBER(SEARCH(","&amp;TRIM(TEXTSPLIT(FQ80,","))&amp;",",","&amp;SUBSTITUTE(input_location," ","")&amp;",")))&gt;0)),IF(FS80="",TRUE,IF(input_location="",FALSE,SUMPRODUCT(--ISNUMBER(SEARCH(","&amp;TRIM(TEXTSPLIT(FS80,","))&amp;",",","&amp;SUBSTITUTE(input_location," ","")&amp;",")))=COUNTA(TEXTSPLIT(FS80,",")))),IF(FU80="",TRUE,IF(input_location="",TRUE,SUMPRODUCT(--ISNUMBER(SEARCH(","&amp;TRIM(TEXTSPLIT(FU80,","))&amp;",",","&amp;SUBSTITUTE(input_location," ","")&amp;",")))=0)),IF(FW80="",TRUE,IF(input_location="",FALSE,SUMPRODUCT(--ISNUMBER(SEARCH(","&amp;TRIM(TEXTSPLIT(FW80,","))&amp;",",","&amp;SUBSTITUTE(input_location," ","")&amp;",")))&gt;0)),IF(FY80="",TRUE,IF(input_location="",FALSE,SUMPRODUCT(--ISNUMBER(SEARCH(","&amp;TRIM(TEXTSPLIT(FY80,","))&amp;",",","&amp;SUBSTITUTE(input_location," ","")&amp;",")))=COUNTA(TEXTSPLIT(FY80,",")))))</f>
        <v/>
      </c>
      <c r="JK80">
        <f>AND(IF(GA80="",TRUE,IF(input_modality="",FALSE,SUMPRODUCT(--ISNUMBER(SEARCH(","&amp;TRIM(TEXTSPLIT(GA80,","))&amp;",",","&amp;SUBSTITUTE(input_modality," ","")&amp;",")))&gt;0)),IF(GC80="",TRUE,IF(input_modality="",FALSE,SUMPRODUCT(--ISNUMBER(SEARCH(","&amp;TRIM(TEXTSPLIT(GC80,","))&amp;",",","&amp;SUBSTITUTE(input_modality," ","")&amp;",")))=COUNTA(TEXTSPLIT(GC80,",")))),IF(GE80="",TRUE,IF(input_modality="",TRUE,SUMPRODUCT(--ISNUMBER(SEARCH(","&amp;TRIM(TEXTSPLIT(GE80,","))&amp;",",","&amp;SUBSTITUTE(input_modality," ","")&amp;",")))=0)),IF(GG80="",TRUE,IF(input_modality="",FALSE,SUMPRODUCT(--ISNUMBER(SEARCH(","&amp;TRIM(TEXTSPLIT(GG80,","))&amp;",",","&amp;SUBSTITUTE(input_modality," ","")&amp;",")))&gt;0)),IF(GI80="",TRUE,IF(input_modality="",FALSE,SUMPRODUCT(--ISNUMBER(SEARCH(","&amp;TRIM(TEXTSPLIT(GI80,","))&amp;",",","&amp;SUBSTITUTE(input_modality," ","")&amp;",")))=COUNTA(TEXTSPLIT(GI80,",")))))</f>
        <v/>
      </c>
      <c r="JL80">
        <f>AND(IF(GK80="",TRUE,IF(input_organizer="",FALSE,SUMPRODUCT(--ISNUMBER(SEARCH(","&amp;TRIM(TEXTSPLIT(GK80,","))&amp;",",","&amp;SUBSTITUTE(input_organizer," ","")&amp;",")))&gt;0)),IF(GM80="",TRUE,IF(input_organizer="",FALSE,SUMPRODUCT(--ISNUMBER(SEARCH(","&amp;TRIM(TEXTSPLIT(GM80,","))&amp;",",","&amp;SUBSTITUTE(input_organizer," ","")&amp;",")))=COUNTA(TEXTSPLIT(GM80,",")))),IF(GO80="",TRUE,IF(input_organizer="",TRUE,SUMPRODUCT(--ISNUMBER(SEARCH(","&amp;TRIM(TEXTSPLIT(GO80,","))&amp;",",","&amp;SUBSTITUTE(input_organizer," ","")&amp;",")))=0)),IF(GQ80="",TRUE,IF(input_organizer="",FALSE,SUMPRODUCT(--ISNUMBER(SEARCH(","&amp;TRIM(TEXTSPLIT(GQ80,","))&amp;",",","&amp;SUBSTITUTE(input_organizer," ","")&amp;",")))&gt;0)),IF(GS80="",TRUE,IF(input_organizer="",FALSE,SUMPRODUCT(--ISNUMBER(SEARCH(","&amp;TRIM(TEXTSPLIT(GS80,","))&amp;",",","&amp;SUBSTITUTE(input_organizer," ","")&amp;",")))=COUNTA(TEXTSPLIT(GS80,",")))))</f>
        <v/>
      </c>
      <c r="JM80">
        <f>AND(IF(GU80="",TRUE,IF(input_profile_type="",FALSE,SUMPRODUCT(--ISNUMBER(SEARCH(","&amp;TRIM(TEXTSPLIT(GU80,","))&amp;",",","&amp;SUBSTITUTE(input_profile_type," ","")&amp;",")))&gt;0)),IF(GW80="",TRUE,IF(input_profile_type="",FALSE,SUMPRODUCT(--ISNUMBER(SEARCH(","&amp;TRIM(TEXTSPLIT(GW80,","))&amp;",",","&amp;SUBSTITUTE(input_profile_type," ","")&amp;",")))=COUNTA(TEXTSPLIT(GW80,",")))),IF(GY80="",TRUE,IF(input_profile_type="",TRUE,SUMPRODUCT(--ISNUMBER(SEARCH(","&amp;TRIM(TEXTSPLIT(GY80,","))&amp;",",","&amp;SUBSTITUTE(input_profile_type," ","")&amp;",")))=0)),IF(HA80="",TRUE,IF(input_profile_type="",FALSE,SUMPRODUCT(--ISNUMBER(SEARCH(","&amp;TRIM(TEXTSPLIT(HA80,","))&amp;",",","&amp;SUBSTITUTE(input_profile_type," ","")&amp;",")))&gt;0)),IF(HC80="",TRUE,IF(input_profile_type="",FALSE,SUMPRODUCT(--ISNUMBER(SEARCH(","&amp;TRIM(TEXTSPLIT(HC80,","))&amp;",",","&amp;SUBSTITUTE(input_profile_type," ","")&amp;",")))=COUNTA(TEXTSPLIT(HC80,",")))))</f>
        <v/>
      </c>
      <c r="JN80">
        <f>AND(IF(HE80="",TRUE,IF(input_program="",FALSE,SUMPRODUCT(--ISNUMBER(SEARCH(","&amp;TRIM(TEXTSPLIT(HE80,","))&amp;",",","&amp;SUBSTITUTE(input_program," ","")&amp;",")))&gt;0)),IF(HG80="",TRUE,IF(input_program="",FALSE,SUMPRODUCT(--ISNUMBER(SEARCH(","&amp;TRIM(TEXTSPLIT(HG80,","))&amp;",",","&amp;SUBSTITUTE(input_program," ","")&amp;",")))=COUNTA(TEXTSPLIT(HG80,",")))),IF(HI80="",TRUE,IF(input_program="",TRUE,SUMPRODUCT(--ISNUMBER(SEARCH(","&amp;TRIM(TEXTSPLIT(HI80,","))&amp;",",","&amp;SUBSTITUTE(input_program," ","")&amp;",")))=0)),IF(HK80="",TRUE,IF(input_program="",FALSE,SUMPRODUCT(--ISNUMBER(SEARCH(","&amp;TRIM(TEXTSPLIT(HK80,","))&amp;",",","&amp;SUBSTITUTE(input_program," ","")&amp;",")))&gt;0)),IF(HM80="",TRUE,IF(input_program="",FALSE,SUMPRODUCT(--ISNUMBER(SEARCH(","&amp;TRIM(TEXTSPLIT(HM80,","))&amp;",",","&amp;SUBSTITUTE(input_program," ","")&amp;",")))=COUNTA(TEXTSPLIT(HM80,",")))))</f>
        <v/>
      </c>
      <c r="JO80">
        <f>AND(IF(HO80="",TRUE,IF(input_story_categories="",FALSE,SUMPRODUCT(--ISNUMBER(SEARCH(","&amp;TRIM(TEXTSPLIT(HO80,","))&amp;",",","&amp;SUBSTITUTE(input_story_categories," ","")&amp;",")))&gt;0)),IF(HQ80="",TRUE,IF(input_story_categories="",FALSE,SUMPRODUCT(--ISNUMBER(SEARCH(","&amp;TRIM(TEXTSPLIT(HQ80,","))&amp;",",","&amp;SUBSTITUTE(input_story_categories," ","")&amp;",")))=COUNTA(TEXTSPLIT(HQ80,",")))),IF(HS80="",TRUE,IF(input_story_categories="",TRUE,SUMPRODUCT(--ISNUMBER(SEARCH(","&amp;TRIM(TEXTSPLIT(HS80,","))&amp;",",","&amp;SUBSTITUTE(input_story_categories," ","")&amp;",")))=0)),IF(HU80="",TRUE,IF(input_story_categories="",FALSE,SUMPRODUCT(--ISNUMBER(SEARCH(","&amp;TRIM(TEXTSPLIT(HU80,","))&amp;",",","&amp;SUBSTITUTE(input_story_categories," ","")&amp;",")))&gt;0)),IF(HW80="",TRUE,IF(input_story_categories="",FALSE,SUMPRODUCT(--ISNUMBER(SEARCH(","&amp;TRIM(TEXTSPLIT(HW80,","))&amp;",",","&amp;SUBSTITUTE(input_story_categories," ","")&amp;",")))=COUNTA(TEXTSPLIT(HW80,",")))))</f>
        <v/>
      </c>
      <c r="JP80">
        <f>AND(IF(HY80="",TRUE,IF(input_story_type="",FALSE,SUMPRODUCT(--ISNUMBER(SEARCH(","&amp;TRIM(TEXTSPLIT(HY80,","))&amp;",",","&amp;SUBSTITUTE(input_story_type," ","")&amp;",")))&gt;0)),IF(IA80="",TRUE,IF(input_story_type="",FALSE,SUMPRODUCT(--ISNUMBER(SEARCH(","&amp;TRIM(TEXTSPLIT(IA80,","))&amp;",",","&amp;SUBSTITUTE(input_story_type," ","")&amp;",")))=COUNTA(TEXTSPLIT(IA80,",")))),IF(IC80="",TRUE,IF(input_story_type="",TRUE,SUMPRODUCT(--ISNUMBER(SEARCH(","&amp;TRIM(TEXTSPLIT(IC80,","))&amp;",",","&amp;SUBSTITUTE(input_story_type," ","")&amp;",")))=0)),IF(IE80="",TRUE,IF(input_story_type="",FALSE,SUMPRODUCT(--ISNUMBER(SEARCH(","&amp;TRIM(TEXTSPLIT(IE80,","))&amp;",",","&amp;SUBSTITUTE(input_story_type," ","")&amp;",")))&gt;0)),IF(IG80="",TRUE,IF(input_story_type="",FALSE,SUMPRODUCT(--ISNUMBER(SEARCH(","&amp;TRIM(TEXTSPLIT(IG80,","))&amp;",",","&amp;SUBSTITUTE(input_story_type," ","")&amp;",")))=COUNTA(TEXTSPLIT(IG80,",")))))</f>
        <v/>
      </c>
      <c r="JQ80">
        <f>AND(IF(II80="",TRUE,IF(input_topics="",FALSE,SUMPRODUCT(--ISNUMBER(SEARCH(","&amp;TRIM(TEXTSPLIT(II80,","))&amp;",",","&amp;SUBSTITUTE(input_topics," ","")&amp;",")))&gt;0)),IF(IK80="",TRUE,IF(input_topics="",FALSE,SUMPRODUCT(--ISNUMBER(SEARCH(","&amp;TRIM(TEXTSPLIT(IK80,","))&amp;",",","&amp;SUBSTITUTE(input_topics," ","")&amp;",")))=COUNTA(TEXTSPLIT(IK80,",")))),IF(IM80="",TRUE,IF(input_topics="",TRUE,SUMPRODUCT(--ISNUMBER(SEARCH(","&amp;TRIM(TEXTSPLIT(IM80,","))&amp;",",","&amp;SUBSTITUTE(input_topics," ","")&amp;",")))=0)),IF(IO80="",TRUE,IF(input_topics="",FALSE,SUMPRODUCT(--ISNUMBER(SEARCH(","&amp;TRIM(TEXTSPLIT(IO80,","))&amp;",",","&amp;SUBSTITUTE(input_topics," ","")&amp;",")))&gt;0)),IF(IQ80="",TRUE,IF(input_topics="",FALSE,SUMPRODUCT(--ISNUMBER(SEARCH(","&amp;TRIM(TEXTSPLIT(IQ80,","))&amp;",",","&amp;SUBSTITUTE(input_topics," ","")&amp;",")))=COUNTA(TEXTSPLIT(IQ80,",")))))</f>
        <v/>
      </c>
    </row>
    <row r="81">
      <c r="A81" s="4">
        <f>IF(NOT(IS81),"Excluded",IF(AND(IT81,IU81,IV81,IW81,IX81,IY81,IZ81,JA81,JB81,JC81,JD81,JE81,JF81,JG81,JH81,JI81,JJ81,JK81,JL81,JM81,JN81,JO81,JP81,JQ81),IF(I81&gt;0,"Eligible but limited","Will appear"),"Excluded"))</f>
        <v/>
      </c>
      <c r="B81" s="4" t="inlineStr">
        <is>
          <t>Blogs - Summary</t>
        </is>
      </c>
      <c r="C81" s="4" t="inlineStr">
        <is>
          <t>/the-som-experience/interests-and-industries/marketing</t>
        </is>
      </c>
      <c r="D81" s="4" t="inlineStr">
        <is>
          <t>/the-som-experience/interests-and-industries/marketing</t>
        </is>
      </c>
      <c r="E81" s="4" t="n">
        <v>1</v>
      </c>
      <c r="F81" s="4" t="inlineStr">
        <is>
          <t>story</t>
        </is>
      </c>
      <c r="G81" s="4" t="inlineStr">
        <is>
          <t>stories_mosaic_grid</t>
        </is>
      </c>
      <c r="H81" s="4" t="inlineStr">
        <is>
          <t>embed_blog_summary</t>
        </is>
      </c>
      <c r="I81" s="4" t="n">
        <v>1</v>
      </c>
      <c r="J81" s="4" t="inlineStr">
        <is>
          <t>View/config rules</t>
        </is>
      </c>
      <c r="K81" s="4" t="inlineStr">
        <is>
          <t>Page placement</t>
        </is>
      </c>
      <c r="L81" s="4" t="inlineStr">
        <is>
          <t>Content type: story; Needs any Story Type: Blog (974); Limited to 1 item(s); Source: View/config rules</t>
        </is>
      </c>
      <c r="M81" t="inlineStr"/>
      <c r="N81" t="inlineStr"/>
      <c r="O81" t="inlineStr"/>
      <c r="P81" t="inlineStr"/>
      <c r="Q81" t="inlineStr"/>
      <c r="R81" t="inlineStr"/>
      <c r="S81" t="inlineStr"/>
      <c r="T81" t="inlineStr"/>
      <c r="U81" t="inlineStr"/>
      <c r="V81" t="inlineStr"/>
      <c r="W81" t="inlineStr"/>
      <c r="X81" t="inlineStr"/>
      <c r="Y81" t="inlineStr"/>
      <c r="Z81" t="inlineStr"/>
      <c r="AA81" t="inlineStr"/>
      <c r="AB81" t="inlineStr"/>
      <c r="AC81" t="inlineStr"/>
      <c r="AD81" t="inlineStr"/>
      <c r="AE81" t="inlineStr"/>
      <c r="AF81" t="inlineStr"/>
      <c r="AG81" t="inlineStr"/>
      <c r="AH81" t="inlineStr"/>
      <c r="AI81" t="inlineStr"/>
      <c r="AJ81" t="inlineStr"/>
      <c r="AK81" t="inlineStr"/>
      <c r="AL81" t="inlineStr"/>
      <c r="AM81" t="inlineStr"/>
      <c r="AN81" t="inlineStr"/>
      <c r="AO81" t="inlineStr"/>
      <c r="AP81" t="inlineStr"/>
      <c r="AQ81" t="inlineStr"/>
      <c r="AR81" t="inlineStr"/>
      <c r="AS81" t="inlineStr"/>
      <c r="AT81" t="inlineStr"/>
      <c r="AU81" t="inlineStr"/>
      <c r="AV81" t="inlineStr"/>
      <c r="AW81" t="inlineStr"/>
      <c r="AX81" t="inlineStr"/>
      <c r="AY81" t="inlineStr"/>
      <c r="AZ81" t="inlineStr"/>
      <c r="BA81" t="inlineStr"/>
      <c r="BB81" t="inlineStr"/>
      <c r="BC81" t="inlineStr"/>
      <c r="BD81" t="inlineStr"/>
      <c r="BE81" t="inlineStr"/>
      <c r="BF81" t="inlineStr"/>
      <c r="BG81" t="inlineStr"/>
      <c r="BH81" t="inlineStr"/>
      <c r="BI81" t="inlineStr"/>
      <c r="BJ81" t="inlineStr"/>
      <c r="BK81" t="inlineStr"/>
      <c r="BL81" t="inlineStr"/>
      <c r="BM81" t="inlineStr"/>
      <c r="BN81" t="inlineStr"/>
      <c r="BO81" t="inlineStr"/>
      <c r="BP81" t="inlineStr"/>
      <c r="BQ81" t="inlineStr"/>
      <c r="BR81" t="inlineStr"/>
      <c r="BS81" t="inlineStr"/>
      <c r="BT81" t="inlineStr"/>
      <c r="BU81" t="inlineStr"/>
      <c r="BV81" t="inlineStr"/>
      <c r="BW81" t="inlineStr"/>
      <c r="BX81" t="inlineStr"/>
      <c r="BY81" t="inlineStr"/>
      <c r="BZ81" t="inlineStr"/>
      <c r="CA81" t="inlineStr"/>
      <c r="CB81" t="inlineStr"/>
      <c r="CC81" t="inlineStr"/>
      <c r="CD81" t="inlineStr"/>
      <c r="CE81" t="inlineStr"/>
      <c r="CF81" t="inlineStr"/>
      <c r="CG81" t="inlineStr"/>
      <c r="CH81" t="inlineStr"/>
      <c r="CI81" t="inlineStr"/>
      <c r="CJ81" t="inlineStr"/>
      <c r="CK81" t="inlineStr"/>
      <c r="CL81" t="inlineStr"/>
      <c r="CM81" t="inlineStr"/>
      <c r="CN81" t="inlineStr"/>
      <c r="CO81" t="inlineStr"/>
      <c r="CP81" t="inlineStr"/>
      <c r="CQ81" t="inlineStr"/>
      <c r="CR81" t="inlineStr"/>
      <c r="CS81" t="inlineStr"/>
      <c r="CT81" t="inlineStr"/>
      <c r="CU81" t="inlineStr"/>
      <c r="CV81" t="inlineStr"/>
      <c r="CW81" t="inlineStr"/>
      <c r="CX81" t="inlineStr"/>
      <c r="CY81" t="inlineStr"/>
      <c r="CZ81" t="inlineStr"/>
      <c r="DA81" t="inlineStr"/>
      <c r="DB81" t="inlineStr"/>
      <c r="DC81" t="inlineStr"/>
      <c r="DD81" t="inlineStr"/>
      <c r="DE81" t="inlineStr"/>
      <c r="DF81" t="inlineStr"/>
      <c r="DG81" t="inlineStr"/>
      <c r="DH81" t="inlineStr"/>
      <c r="DI81" t="inlineStr"/>
      <c r="DJ81" t="inlineStr"/>
      <c r="DK81" t="inlineStr"/>
      <c r="DL81" t="inlineStr"/>
      <c r="DM81" t="inlineStr"/>
      <c r="DN81" t="inlineStr"/>
      <c r="DO81" t="inlineStr"/>
      <c r="DP81" t="inlineStr"/>
      <c r="DQ81" t="inlineStr"/>
      <c r="DR81" t="inlineStr"/>
      <c r="DS81" t="inlineStr"/>
      <c r="DT81" t="inlineStr"/>
      <c r="DU81" t="inlineStr"/>
      <c r="DV81" t="inlineStr"/>
      <c r="DW81" t="inlineStr"/>
      <c r="DX81" t="inlineStr"/>
      <c r="DY81" t="inlineStr"/>
      <c r="DZ81" t="inlineStr"/>
      <c r="EA81" t="inlineStr"/>
      <c r="EB81" t="inlineStr"/>
      <c r="EC81" t="inlineStr"/>
      <c r="ED81" t="inlineStr"/>
      <c r="EE81" t="inlineStr"/>
      <c r="EF81" t="inlineStr"/>
      <c r="EG81" t="inlineStr"/>
      <c r="EH81" t="inlineStr"/>
      <c r="EI81" t="inlineStr"/>
      <c r="EJ81" t="inlineStr"/>
      <c r="EK81" t="inlineStr"/>
      <c r="EL81" t="inlineStr"/>
      <c r="EM81" t="inlineStr"/>
      <c r="EN81" t="inlineStr"/>
      <c r="EO81" t="inlineStr"/>
      <c r="EP81" t="inlineStr"/>
      <c r="EQ81" t="inlineStr"/>
      <c r="ER81" t="inlineStr"/>
      <c r="ES81" t="inlineStr"/>
      <c r="ET81" t="inlineStr"/>
      <c r="EU81" t="inlineStr"/>
      <c r="EV81" t="inlineStr"/>
      <c r="EW81" t="inlineStr"/>
      <c r="EX81" t="inlineStr"/>
      <c r="EY81" t="inlineStr"/>
      <c r="EZ81" t="inlineStr"/>
      <c r="FA81" t="inlineStr"/>
      <c r="FB81" t="inlineStr"/>
      <c r="FC81" t="inlineStr"/>
      <c r="FD81" t="inlineStr"/>
      <c r="FE81" t="inlineStr"/>
      <c r="FF81" t="inlineStr"/>
      <c r="FG81" t="inlineStr"/>
      <c r="FH81" t="inlineStr"/>
      <c r="FI81" t="inlineStr"/>
      <c r="FJ81" t="inlineStr"/>
      <c r="FK81" t="inlineStr"/>
      <c r="FL81" t="inlineStr"/>
      <c r="FM81" t="inlineStr"/>
      <c r="FN81" t="inlineStr"/>
      <c r="FO81" t="inlineStr"/>
      <c r="FP81" t="inlineStr"/>
      <c r="FQ81" t="inlineStr"/>
      <c r="FR81" t="inlineStr"/>
      <c r="FS81" t="inlineStr"/>
      <c r="FT81" t="inlineStr"/>
      <c r="FU81" t="inlineStr"/>
      <c r="FV81" t="inlineStr"/>
      <c r="FW81" t="inlineStr"/>
      <c r="FX81" t="inlineStr"/>
      <c r="FY81" t="inlineStr"/>
      <c r="FZ81" t="inlineStr"/>
      <c r="GA81" t="inlineStr"/>
      <c r="GB81" t="inlineStr"/>
      <c r="GC81" t="inlineStr"/>
      <c r="GD81" t="inlineStr"/>
      <c r="GE81" t="inlineStr"/>
      <c r="GF81" t="inlineStr"/>
      <c r="GG81" t="inlineStr"/>
      <c r="GH81" t="inlineStr"/>
      <c r="GI81" t="inlineStr"/>
      <c r="GJ81" t="inlineStr"/>
      <c r="GK81" t="inlineStr"/>
      <c r="GL81" t="inlineStr"/>
      <c r="GM81" t="inlineStr"/>
      <c r="GN81" t="inlineStr"/>
      <c r="GO81" t="inlineStr"/>
      <c r="GP81" t="inlineStr"/>
      <c r="GQ81" t="inlineStr"/>
      <c r="GR81" t="inlineStr"/>
      <c r="GS81" t="inlineStr"/>
      <c r="GT81" t="inlineStr"/>
      <c r="GU81" t="inlineStr"/>
      <c r="GV81" t="inlineStr"/>
      <c r="GW81" t="inlineStr"/>
      <c r="GX81" t="inlineStr"/>
      <c r="GY81" t="inlineStr"/>
      <c r="GZ81" t="inlineStr"/>
      <c r="HA81" t="inlineStr"/>
      <c r="HB81" t="inlineStr"/>
      <c r="HC81" t="inlineStr"/>
      <c r="HD81" t="inlineStr"/>
      <c r="HE81" t="inlineStr"/>
      <c r="HF81" t="inlineStr"/>
      <c r="HG81" t="inlineStr"/>
      <c r="HH81" t="inlineStr"/>
      <c r="HI81" t="inlineStr"/>
      <c r="HJ81" t="inlineStr"/>
      <c r="HK81" t="inlineStr"/>
      <c r="HL81" t="inlineStr"/>
      <c r="HM81" t="inlineStr"/>
      <c r="HN81" t="inlineStr"/>
      <c r="HO81" t="inlineStr"/>
      <c r="HP81" t="inlineStr"/>
      <c r="HQ81" t="inlineStr"/>
      <c r="HR81" t="inlineStr"/>
      <c r="HS81" t="inlineStr"/>
      <c r="HT81" t="inlineStr"/>
      <c r="HU81" t="inlineStr"/>
      <c r="HV81" t="inlineStr"/>
      <c r="HW81" t="inlineStr"/>
      <c r="HX81" t="inlineStr"/>
      <c r="HY81" t="inlineStr">
        <is>
          <t>974</t>
        </is>
      </c>
      <c r="HZ81" t="inlineStr">
        <is>
          <t>Blog (974)</t>
        </is>
      </c>
      <c r="IA81" t="inlineStr"/>
      <c r="IB81" t="inlineStr"/>
      <c r="IC81" t="inlineStr"/>
      <c r="ID81" t="inlineStr"/>
      <c r="IE81" t="inlineStr"/>
      <c r="IF81" t="inlineStr"/>
      <c r="IG81" t="inlineStr"/>
      <c r="IH81" t="inlineStr"/>
      <c r="II81" t="inlineStr"/>
      <c r="IJ81" t="inlineStr"/>
      <c r="IK81" t="inlineStr"/>
      <c r="IL81" t="inlineStr"/>
      <c r="IM81" t="inlineStr"/>
      <c r="IN81" t="inlineStr"/>
      <c r="IO81" t="inlineStr"/>
      <c r="IP81" t="inlineStr"/>
      <c r="IQ81" t="inlineStr"/>
      <c r="IR81" t="inlineStr"/>
      <c r="IS81">
        <f>IF(input_content_type="",FALSE,ISNUMBER(SEARCH(","&amp;LOWER(input_content_type)&amp;",",","&amp;LOWER(F81)&amp;",")))</f>
        <v/>
      </c>
      <c r="IT81">
        <f>AND(IF(M81="",TRUE,IF(input_affiliations="",FALSE,SUMPRODUCT(--ISNUMBER(SEARCH(","&amp;TRIM(TEXTSPLIT(M81,","))&amp;",",","&amp;SUBSTITUTE(input_affiliations," ","")&amp;",")))&gt;0)),IF(O81="",TRUE,IF(input_affiliations="",FALSE,SUMPRODUCT(--ISNUMBER(SEARCH(","&amp;TRIM(TEXTSPLIT(O81,","))&amp;",",","&amp;SUBSTITUTE(input_affiliations," ","")&amp;",")))=COUNTA(TEXTSPLIT(O81,",")))),IF(Q81="",TRUE,IF(input_affiliations="",TRUE,SUMPRODUCT(--ISNUMBER(SEARCH(","&amp;TRIM(TEXTSPLIT(Q81,","))&amp;",",","&amp;SUBSTITUTE(input_affiliations," ","")&amp;",")))=0)),IF(S81="",TRUE,IF(input_affiliations="",FALSE,SUMPRODUCT(--ISNUMBER(SEARCH(","&amp;TRIM(TEXTSPLIT(S81,","))&amp;",",","&amp;SUBSTITUTE(input_affiliations," ","")&amp;",")))&gt;0)),IF(U81="",TRUE,IF(input_affiliations="",FALSE,SUMPRODUCT(--ISNUMBER(SEARCH(","&amp;TRIM(TEXTSPLIT(U81,","))&amp;",",","&amp;SUBSTITUTE(input_affiliations," ","")&amp;",")))=COUNTA(TEXTSPLIT(U81,",")))))</f>
        <v/>
      </c>
      <c r="IU81">
        <f>AND(IF(W81="",TRUE,IF(input_announcement_category="",FALSE,SUMPRODUCT(--ISNUMBER(SEARCH(","&amp;TRIM(TEXTSPLIT(W81,","))&amp;",",","&amp;SUBSTITUTE(input_announcement_category," ","")&amp;",")))&gt;0)),IF(Y81="",TRUE,IF(input_announcement_category="",FALSE,SUMPRODUCT(--ISNUMBER(SEARCH(","&amp;TRIM(TEXTSPLIT(Y81,","))&amp;",",","&amp;SUBSTITUTE(input_announcement_category," ","")&amp;",")))=COUNTA(TEXTSPLIT(Y81,",")))),IF(AA81="",TRUE,IF(input_announcement_category="",TRUE,SUMPRODUCT(--ISNUMBER(SEARCH(","&amp;TRIM(TEXTSPLIT(AA81,","))&amp;",",","&amp;SUBSTITUTE(input_announcement_category," ","")&amp;",")))=0)),IF(AC81="",TRUE,IF(input_announcement_category="",FALSE,SUMPRODUCT(--ISNUMBER(SEARCH(","&amp;TRIM(TEXTSPLIT(AC81,","))&amp;",",","&amp;SUBSTITUTE(input_announcement_category," ","")&amp;",")))&gt;0)),IF(AE81="",TRUE,IF(input_announcement_category="",FALSE,SUMPRODUCT(--ISNUMBER(SEARCH(","&amp;TRIM(TEXTSPLIT(AE81,","))&amp;",",","&amp;SUBSTITUTE(input_announcement_category," ","")&amp;",")))=COUNTA(TEXTSPLIT(AE81,",")))))</f>
        <v/>
      </c>
      <c r="IV81">
        <f>AND(IF(AG81="",TRUE,IF(input_area_of_focus="",FALSE,SUMPRODUCT(--ISNUMBER(SEARCH(","&amp;TRIM(TEXTSPLIT(AG81,","))&amp;",",","&amp;SUBSTITUTE(input_area_of_focus," ","")&amp;",")))&gt;0)),IF(AI81="",TRUE,IF(input_area_of_focus="",FALSE,SUMPRODUCT(--ISNUMBER(SEARCH(","&amp;TRIM(TEXTSPLIT(AI81,","))&amp;",",","&amp;SUBSTITUTE(input_area_of_focus," ","")&amp;",")))=COUNTA(TEXTSPLIT(AI81,",")))),IF(AK81="",TRUE,IF(input_area_of_focus="",TRUE,SUMPRODUCT(--ISNUMBER(SEARCH(","&amp;TRIM(TEXTSPLIT(AK81,","))&amp;",",","&amp;SUBSTITUTE(input_area_of_focus," ","")&amp;",")))=0)),IF(AM81="",TRUE,IF(input_area_of_focus="",FALSE,SUMPRODUCT(--ISNUMBER(SEARCH(","&amp;TRIM(TEXTSPLIT(AM81,","))&amp;",",","&amp;SUBSTITUTE(input_area_of_focus," ","")&amp;",")))&gt;0)),IF(AO81="",TRUE,IF(input_area_of_focus="",FALSE,SUMPRODUCT(--ISNUMBER(SEARCH(","&amp;TRIM(TEXTSPLIT(AO81,","))&amp;",",","&amp;SUBSTITUTE(input_area_of_focus," ","")&amp;",")))=COUNTA(TEXTSPLIT(AO81,",")))))</f>
        <v/>
      </c>
      <c r="IW81">
        <f>AND(IF(AQ81="",TRUE,IF(input_audience="",FALSE,SUMPRODUCT(--ISNUMBER(SEARCH(","&amp;TRIM(TEXTSPLIT(AQ81,","))&amp;",",","&amp;SUBSTITUTE(input_audience," ","")&amp;",")))&gt;0)),IF(AS81="",TRUE,IF(input_audience="",FALSE,SUMPRODUCT(--ISNUMBER(SEARCH(","&amp;TRIM(TEXTSPLIT(AS81,","))&amp;",",","&amp;SUBSTITUTE(input_audience," ","")&amp;",")))=COUNTA(TEXTSPLIT(AS81,",")))),IF(AU81="",TRUE,IF(input_audience="",TRUE,SUMPRODUCT(--ISNUMBER(SEARCH(","&amp;TRIM(TEXTSPLIT(AU81,","))&amp;",",","&amp;SUBSTITUTE(input_audience," ","")&amp;",")))=0)),IF(AW81="",TRUE,IF(input_audience="",FALSE,SUMPRODUCT(--ISNUMBER(SEARCH(","&amp;TRIM(TEXTSPLIT(AW81,","))&amp;",",","&amp;SUBSTITUTE(input_audience," ","")&amp;",")))&gt;0)),IF(AY81="",TRUE,IF(input_audience="",FALSE,SUMPRODUCT(--ISNUMBER(SEARCH(","&amp;TRIM(TEXTSPLIT(AY81,","))&amp;",",","&amp;SUBSTITUTE(input_audience," ","")&amp;",")))=COUNTA(TEXTSPLIT(AY81,",")))))</f>
        <v/>
      </c>
      <c r="IX81">
        <f>AND(IF(BA81="",TRUE,IF(input_challenge_opportunities="",FALSE,SUMPRODUCT(--ISNUMBER(SEARCH(","&amp;TRIM(TEXTSPLIT(BA81,","))&amp;",",","&amp;SUBSTITUTE(input_challenge_opportunities," ","")&amp;",")))&gt;0)),IF(BC81="",TRUE,IF(input_challenge_opportunities="",FALSE,SUMPRODUCT(--ISNUMBER(SEARCH(","&amp;TRIM(TEXTSPLIT(BC81,","))&amp;",",","&amp;SUBSTITUTE(input_challenge_opportunities," ","")&amp;",")))=COUNTA(TEXTSPLIT(BC81,",")))),IF(BE81="",TRUE,IF(input_challenge_opportunities="",TRUE,SUMPRODUCT(--ISNUMBER(SEARCH(","&amp;TRIM(TEXTSPLIT(BE81,","))&amp;",",","&amp;SUBSTITUTE(input_challenge_opportunities," ","")&amp;",")))=0)),IF(BG81="",TRUE,IF(input_challenge_opportunities="",FALSE,SUMPRODUCT(--ISNUMBER(SEARCH(","&amp;TRIM(TEXTSPLIT(BG81,","))&amp;",",","&amp;SUBSTITUTE(input_challenge_opportunities," ","")&amp;",")))&gt;0)),IF(BI81="",TRUE,IF(input_challenge_opportunities="",FALSE,SUMPRODUCT(--ISNUMBER(SEARCH(","&amp;TRIM(TEXTSPLIT(BI81,","))&amp;",",","&amp;SUBSTITUTE(input_challenge_opportunities," ","")&amp;",")))=COUNTA(TEXTSPLIT(BI81,",")))))</f>
        <v/>
      </c>
      <c r="IY81">
        <f>AND(IF(BK81="",TRUE,IF(input_context="",FALSE,SUMPRODUCT(--ISNUMBER(SEARCH(","&amp;TRIM(TEXTSPLIT(BK81,","))&amp;",",","&amp;SUBSTITUTE(input_context," ","")&amp;",")))&gt;0)),IF(BM81="",TRUE,IF(input_context="",FALSE,SUMPRODUCT(--ISNUMBER(SEARCH(","&amp;TRIM(TEXTSPLIT(BM81,","))&amp;",",","&amp;SUBSTITUTE(input_context," ","")&amp;",")))=COUNTA(TEXTSPLIT(BM81,",")))),IF(BO81="",TRUE,IF(input_context="",TRUE,SUMPRODUCT(--ISNUMBER(SEARCH(","&amp;TRIM(TEXTSPLIT(BO81,","))&amp;",",","&amp;SUBSTITUTE(input_context," ","")&amp;",")))=0)),IF(BQ81="",TRUE,IF(input_context="",FALSE,SUMPRODUCT(--ISNUMBER(SEARCH(","&amp;TRIM(TEXTSPLIT(BQ81,","))&amp;",",","&amp;SUBSTITUTE(input_context," ","")&amp;",")))&gt;0)),IF(BS81="",TRUE,IF(input_context="",FALSE,SUMPRODUCT(--ISNUMBER(SEARCH(","&amp;TRIM(TEXTSPLIT(BS81,","))&amp;",",","&amp;SUBSTITUTE(input_context," ","")&amp;",")))=COUNTA(TEXTSPLIT(BS81,",")))))</f>
        <v/>
      </c>
      <c r="IZ81">
        <f>AND(IF(BU81="",TRUE,IF(input_enews_announcement_type="",FALSE,SUMPRODUCT(--ISNUMBER(SEARCH(","&amp;TRIM(TEXTSPLIT(BU81,","))&amp;",",","&amp;SUBSTITUTE(input_enews_announcement_type," ","")&amp;",")))&gt;0)),IF(BW81="",TRUE,IF(input_enews_announcement_type="",FALSE,SUMPRODUCT(--ISNUMBER(SEARCH(","&amp;TRIM(TEXTSPLIT(BW81,","))&amp;",",","&amp;SUBSTITUTE(input_enews_announcement_type," ","")&amp;",")))=COUNTA(TEXTSPLIT(BW81,",")))),IF(BY81="",TRUE,IF(input_enews_announcement_type="",TRUE,SUMPRODUCT(--ISNUMBER(SEARCH(","&amp;TRIM(TEXTSPLIT(BY81,","))&amp;",",","&amp;SUBSTITUTE(input_enews_announcement_type," ","")&amp;",")))=0)),IF(CA81="",TRUE,IF(input_enews_announcement_type="",FALSE,SUMPRODUCT(--ISNUMBER(SEARCH(","&amp;TRIM(TEXTSPLIT(CA81,","))&amp;",",","&amp;SUBSTITUTE(input_enews_announcement_type," ","")&amp;",")))&gt;0)),IF(CC81="",TRUE,IF(input_enews_announcement_type="",FALSE,SUMPRODUCT(--ISNUMBER(SEARCH(","&amp;TRIM(TEXTSPLIT(CC81,","))&amp;",",","&amp;SUBSTITUTE(input_enews_announcement_type," ","")&amp;",")))=COUNTA(TEXTSPLIT(CC81,",")))))</f>
        <v/>
      </c>
      <c r="JA81">
        <f>AND(IF(CE81="",TRUE,IF(input_enews_audience="",FALSE,SUMPRODUCT(--ISNUMBER(SEARCH(","&amp;TRIM(TEXTSPLIT(CE81,","))&amp;",",","&amp;SUBSTITUTE(input_enews_audience," ","")&amp;",")))&gt;0)),IF(CG81="",TRUE,IF(input_enews_audience="",FALSE,SUMPRODUCT(--ISNUMBER(SEARCH(","&amp;TRIM(TEXTSPLIT(CG81,","))&amp;",",","&amp;SUBSTITUTE(input_enews_audience," ","")&amp;",")))=COUNTA(TEXTSPLIT(CG81,",")))),IF(CI81="",TRUE,IF(input_enews_audience="",TRUE,SUMPRODUCT(--ISNUMBER(SEARCH(","&amp;TRIM(TEXTSPLIT(CI81,","))&amp;",",","&amp;SUBSTITUTE(input_enews_audience," ","")&amp;",")))=0)),IF(CK81="",TRUE,IF(input_enews_audience="",FALSE,SUMPRODUCT(--ISNUMBER(SEARCH(","&amp;TRIM(TEXTSPLIT(CK81,","))&amp;",",","&amp;SUBSTITUTE(input_enews_audience," ","")&amp;",")))&gt;0)),IF(CM81="",TRUE,IF(input_enews_audience="",FALSE,SUMPRODUCT(--ISNUMBER(SEARCH(","&amp;TRIM(TEXTSPLIT(CM81,","))&amp;",",","&amp;SUBSTITUTE(input_enews_audience," ","")&amp;",")))=COUNTA(TEXTSPLIT(CM81,",")))))</f>
        <v/>
      </c>
      <c r="JB81">
        <f>AND(IF(CO81="",TRUE,IF(input_event_location="",FALSE,SUMPRODUCT(--ISNUMBER(SEARCH(","&amp;TRIM(TEXTSPLIT(CO81,","))&amp;",",","&amp;SUBSTITUTE(input_event_location," ","")&amp;",")))&gt;0)),IF(CQ81="",TRUE,IF(input_event_location="",FALSE,SUMPRODUCT(--ISNUMBER(SEARCH(","&amp;TRIM(TEXTSPLIT(CQ81,","))&amp;",",","&amp;SUBSTITUTE(input_event_location," ","")&amp;",")))=COUNTA(TEXTSPLIT(CQ81,",")))),IF(CS81="",TRUE,IF(input_event_location="",TRUE,SUMPRODUCT(--ISNUMBER(SEARCH(","&amp;TRIM(TEXTSPLIT(CS81,","))&amp;",",","&amp;SUBSTITUTE(input_event_location," ","")&amp;",")))=0)),IF(CU81="",TRUE,IF(input_event_location="",FALSE,SUMPRODUCT(--ISNUMBER(SEARCH(","&amp;TRIM(TEXTSPLIT(CU81,","))&amp;",",","&amp;SUBSTITUTE(input_event_location," ","")&amp;",")))&gt;0)),IF(CW81="",TRUE,IF(input_event_location="",FALSE,SUMPRODUCT(--ISNUMBER(SEARCH(","&amp;TRIM(TEXTSPLIT(CW81,","))&amp;",",","&amp;SUBSTITUTE(input_event_location," ","")&amp;",")))=COUNTA(TEXTSPLIT(CW81,",")))))</f>
        <v/>
      </c>
      <c r="JC81">
        <f>AND(IF(CY81="",TRUE,IF(input_event_type="",FALSE,SUMPRODUCT(--ISNUMBER(SEARCH(","&amp;TRIM(TEXTSPLIT(CY81,","))&amp;",",","&amp;SUBSTITUTE(input_event_type," ","")&amp;",")))&gt;0)),IF(DA81="",TRUE,IF(input_event_type="",FALSE,SUMPRODUCT(--ISNUMBER(SEARCH(","&amp;TRIM(TEXTSPLIT(DA81,","))&amp;",",","&amp;SUBSTITUTE(input_event_type," ","")&amp;",")))=COUNTA(TEXTSPLIT(DA81,",")))),IF(DC81="",TRUE,IF(input_event_type="",TRUE,SUMPRODUCT(--ISNUMBER(SEARCH(","&amp;TRIM(TEXTSPLIT(DC81,","))&amp;",",","&amp;SUBSTITUTE(input_event_type," ","")&amp;",")))=0)),IF(DE81="",TRUE,IF(input_event_type="",FALSE,SUMPRODUCT(--ISNUMBER(SEARCH(","&amp;TRIM(TEXTSPLIT(DE81,","))&amp;",",","&amp;SUBSTITUTE(input_event_type," ","")&amp;",")))&gt;0)),IF(DG81="",TRUE,IF(input_event_type="",FALSE,SUMPRODUCT(--ISNUMBER(SEARCH(","&amp;TRIM(TEXTSPLIT(DG81,","))&amp;",",","&amp;SUBSTITUTE(input_event_type," ","")&amp;",")))=COUNTA(TEXTSPLIT(DG81,",")))))</f>
        <v/>
      </c>
      <c r="JD81">
        <f>AND(IF(DI81="",TRUE,IF(input_executive_education_focus="",FALSE,SUMPRODUCT(--ISNUMBER(SEARCH(","&amp;TRIM(TEXTSPLIT(DI81,","))&amp;",",","&amp;SUBSTITUTE(input_executive_education_focus," ","")&amp;",")))&gt;0)),IF(DK81="",TRUE,IF(input_executive_education_focus="",FALSE,SUMPRODUCT(--ISNUMBER(SEARCH(","&amp;TRIM(TEXTSPLIT(DK81,","))&amp;",",","&amp;SUBSTITUTE(input_executive_education_focus," ","")&amp;",")))=COUNTA(TEXTSPLIT(DK81,",")))),IF(DM81="",TRUE,IF(input_executive_education_focus="",TRUE,SUMPRODUCT(--ISNUMBER(SEARCH(","&amp;TRIM(TEXTSPLIT(DM81,","))&amp;",",","&amp;SUBSTITUTE(input_executive_education_focus," ","")&amp;",")))=0)),IF(DO81="",TRUE,IF(input_executive_education_focus="",FALSE,SUMPRODUCT(--ISNUMBER(SEARCH(","&amp;TRIM(TEXTSPLIT(DO81,","))&amp;",",","&amp;SUBSTITUTE(input_executive_education_focus," ","")&amp;",")))&gt;0)),IF(DQ81="",TRUE,IF(input_executive_education_focus="",FALSE,SUMPRODUCT(--ISNUMBER(SEARCH(","&amp;TRIM(TEXTSPLIT(DQ81,","))&amp;",",","&amp;SUBSTITUTE(input_executive_education_focus," ","")&amp;",")))=COUNTA(TEXTSPLIT(DQ81,",")))))</f>
        <v/>
      </c>
      <c r="JE81">
        <f>AND(IF(DS81="",TRUE,IF(input_faculty_category="",FALSE,SUMPRODUCT(--ISNUMBER(SEARCH(","&amp;TRIM(TEXTSPLIT(DS81,","))&amp;",",","&amp;SUBSTITUTE(input_faculty_category," ","")&amp;",")))&gt;0)),IF(DU81="",TRUE,IF(input_faculty_category="",FALSE,SUMPRODUCT(--ISNUMBER(SEARCH(","&amp;TRIM(TEXTSPLIT(DU81,","))&amp;",",","&amp;SUBSTITUTE(input_faculty_category," ","")&amp;",")))=COUNTA(TEXTSPLIT(DU81,",")))),IF(DW81="",TRUE,IF(input_faculty_category="",TRUE,SUMPRODUCT(--ISNUMBER(SEARCH(","&amp;TRIM(TEXTSPLIT(DW81,","))&amp;",",","&amp;SUBSTITUTE(input_faculty_category," ","")&amp;",")))=0)),IF(DY81="",TRUE,IF(input_faculty_category="",FALSE,SUMPRODUCT(--ISNUMBER(SEARCH(","&amp;TRIM(TEXTSPLIT(DY81,","))&amp;",",","&amp;SUBSTITUTE(input_faculty_category," ","")&amp;",")))&gt;0)),IF(EA81="",TRUE,IF(input_faculty_category="",FALSE,SUMPRODUCT(--ISNUMBER(SEARCH(","&amp;TRIM(TEXTSPLIT(EA81,","))&amp;",",","&amp;SUBSTITUTE(input_faculty_category," ","")&amp;",")))=COUNTA(TEXTSPLIT(EA81,",")))))</f>
        <v/>
      </c>
      <c r="JF81">
        <f>AND(IF(EC81="",TRUE,IF(input_faculty_discipline="",FALSE,SUMPRODUCT(--ISNUMBER(SEARCH(","&amp;TRIM(TEXTSPLIT(EC81,","))&amp;",",","&amp;SUBSTITUTE(input_faculty_discipline," ","")&amp;",")))&gt;0)),IF(EE81="",TRUE,IF(input_faculty_discipline="",FALSE,SUMPRODUCT(--ISNUMBER(SEARCH(","&amp;TRIM(TEXTSPLIT(EE81,","))&amp;",",","&amp;SUBSTITUTE(input_faculty_discipline," ","")&amp;",")))=COUNTA(TEXTSPLIT(EE81,",")))),IF(EG81="",TRUE,IF(input_faculty_discipline="",TRUE,SUMPRODUCT(--ISNUMBER(SEARCH(","&amp;TRIM(TEXTSPLIT(EG81,","))&amp;",",","&amp;SUBSTITUTE(input_faculty_discipline," ","")&amp;",")))=0)),IF(EI81="",TRUE,IF(input_faculty_discipline="",FALSE,SUMPRODUCT(--ISNUMBER(SEARCH(","&amp;TRIM(TEXTSPLIT(EI81,","))&amp;",",","&amp;SUBSTITUTE(input_faculty_discipline," ","")&amp;",")))&gt;0)),IF(EK81="",TRUE,IF(input_faculty_discipline="",FALSE,SUMPRODUCT(--ISNUMBER(SEARCH(","&amp;TRIM(TEXTSPLIT(EK81,","))&amp;",",","&amp;SUBSTITUTE(input_faculty_discipline," ","")&amp;",")))=COUNTA(TEXTSPLIT(EK81,",")))))</f>
        <v/>
      </c>
      <c r="JG81">
        <f>AND(IF(EM81="",TRUE,IF(input_faculty_expertise="",FALSE,SUMPRODUCT(--ISNUMBER(SEARCH(","&amp;TRIM(TEXTSPLIT(EM81,","))&amp;",",","&amp;SUBSTITUTE(input_faculty_expertise," ","")&amp;",")))&gt;0)),IF(EO81="",TRUE,IF(input_faculty_expertise="",FALSE,SUMPRODUCT(--ISNUMBER(SEARCH(","&amp;TRIM(TEXTSPLIT(EO81,","))&amp;",",","&amp;SUBSTITUTE(input_faculty_expertise," ","")&amp;",")))=COUNTA(TEXTSPLIT(EO81,",")))),IF(EQ81="",TRUE,IF(input_faculty_expertise="",TRUE,SUMPRODUCT(--ISNUMBER(SEARCH(","&amp;TRIM(TEXTSPLIT(EQ81,","))&amp;",",","&amp;SUBSTITUTE(input_faculty_expertise," ","")&amp;",")))=0)),IF(ES81="",TRUE,IF(input_faculty_expertise="",FALSE,SUMPRODUCT(--ISNUMBER(SEARCH(","&amp;TRIM(TEXTSPLIT(ES81,","))&amp;",",","&amp;SUBSTITUTE(input_faculty_expertise," ","")&amp;",")))&gt;0)),IF(EU81="",TRUE,IF(input_faculty_expertise="",FALSE,SUMPRODUCT(--ISNUMBER(SEARCH(","&amp;TRIM(TEXTSPLIT(EU81,","))&amp;",",","&amp;SUBSTITUTE(input_faculty_expertise," ","")&amp;",")))=COUNTA(TEXTSPLIT(EU81,",")))))</f>
        <v/>
      </c>
      <c r="JH81">
        <f>AND(IF(EW81="",TRUE,IF(input_global_network_school="",FALSE,SUMPRODUCT(--ISNUMBER(SEARCH(","&amp;TRIM(TEXTSPLIT(EW81,","))&amp;",",","&amp;SUBSTITUTE(input_global_network_school," ","")&amp;",")))&gt;0)),IF(EY81="",TRUE,IF(input_global_network_school="",FALSE,SUMPRODUCT(--ISNUMBER(SEARCH(","&amp;TRIM(TEXTSPLIT(EY81,","))&amp;",",","&amp;SUBSTITUTE(input_global_network_school," ","")&amp;",")))=COUNTA(TEXTSPLIT(EY81,",")))),IF(FA81="",TRUE,IF(input_global_network_school="",TRUE,SUMPRODUCT(--ISNUMBER(SEARCH(","&amp;TRIM(TEXTSPLIT(FA81,","))&amp;",",","&amp;SUBSTITUTE(input_global_network_school," ","")&amp;",")))=0)),IF(FC81="",TRUE,IF(input_global_network_school="",FALSE,SUMPRODUCT(--ISNUMBER(SEARCH(","&amp;TRIM(TEXTSPLIT(FC81,","))&amp;",",","&amp;SUBSTITUTE(input_global_network_school," ","")&amp;",")))&gt;0)),IF(FE81="",TRUE,IF(input_global_network_school="",FALSE,SUMPRODUCT(--ISNUMBER(SEARCH(","&amp;TRIM(TEXTSPLIT(FE81,","))&amp;",",","&amp;SUBSTITUTE(input_global_network_school," ","")&amp;",")))=COUNTA(TEXTSPLIT(FE81,",")))))</f>
        <v/>
      </c>
      <c r="JI81">
        <f>AND(IF(FG81="",TRUE,IF(input_industry="",FALSE,SUMPRODUCT(--ISNUMBER(SEARCH(","&amp;TRIM(TEXTSPLIT(FG81,","))&amp;",",","&amp;SUBSTITUTE(input_industry," ","")&amp;",")))&gt;0)),IF(FI81="",TRUE,IF(input_industry="",FALSE,SUMPRODUCT(--ISNUMBER(SEARCH(","&amp;TRIM(TEXTSPLIT(FI81,","))&amp;",",","&amp;SUBSTITUTE(input_industry," ","")&amp;",")))=COUNTA(TEXTSPLIT(FI81,",")))),IF(FK81="",TRUE,IF(input_industry="",TRUE,SUMPRODUCT(--ISNUMBER(SEARCH(","&amp;TRIM(TEXTSPLIT(FK81,","))&amp;",",","&amp;SUBSTITUTE(input_industry," ","")&amp;",")))=0)),IF(FM81="",TRUE,IF(input_industry="",FALSE,SUMPRODUCT(--ISNUMBER(SEARCH(","&amp;TRIM(TEXTSPLIT(FM81,","))&amp;",",","&amp;SUBSTITUTE(input_industry," ","")&amp;",")))&gt;0)),IF(FO81="",TRUE,IF(input_industry="",FALSE,SUMPRODUCT(--ISNUMBER(SEARCH(","&amp;TRIM(TEXTSPLIT(FO81,","))&amp;",",","&amp;SUBSTITUTE(input_industry," ","")&amp;",")))=COUNTA(TEXTSPLIT(FO81,",")))))</f>
        <v/>
      </c>
      <c r="JJ81">
        <f>AND(IF(FQ81="",TRUE,IF(input_location="",FALSE,SUMPRODUCT(--ISNUMBER(SEARCH(","&amp;TRIM(TEXTSPLIT(FQ81,","))&amp;",",","&amp;SUBSTITUTE(input_location," ","")&amp;",")))&gt;0)),IF(FS81="",TRUE,IF(input_location="",FALSE,SUMPRODUCT(--ISNUMBER(SEARCH(","&amp;TRIM(TEXTSPLIT(FS81,","))&amp;",",","&amp;SUBSTITUTE(input_location," ","")&amp;",")))=COUNTA(TEXTSPLIT(FS81,",")))),IF(FU81="",TRUE,IF(input_location="",TRUE,SUMPRODUCT(--ISNUMBER(SEARCH(","&amp;TRIM(TEXTSPLIT(FU81,","))&amp;",",","&amp;SUBSTITUTE(input_location," ","")&amp;",")))=0)),IF(FW81="",TRUE,IF(input_location="",FALSE,SUMPRODUCT(--ISNUMBER(SEARCH(","&amp;TRIM(TEXTSPLIT(FW81,","))&amp;",",","&amp;SUBSTITUTE(input_location," ","")&amp;",")))&gt;0)),IF(FY81="",TRUE,IF(input_location="",FALSE,SUMPRODUCT(--ISNUMBER(SEARCH(","&amp;TRIM(TEXTSPLIT(FY81,","))&amp;",",","&amp;SUBSTITUTE(input_location," ","")&amp;",")))=COUNTA(TEXTSPLIT(FY81,",")))))</f>
        <v/>
      </c>
      <c r="JK81">
        <f>AND(IF(GA81="",TRUE,IF(input_modality="",FALSE,SUMPRODUCT(--ISNUMBER(SEARCH(","&amp;TRIM(TEXTSPLIT(GA81,","))&amp;",",","&amp;SUBSTITUTE(input_modality," ","")&amp;",")))&gt;0)),IF(GC81="",TRUE,IF(input_modality="",FALSE,SUMPRODUCT(--ISNUMBER(SEARCH(","&amp;TRIM(TEXTSPLIT(GC81,","))&amp;",",","&amp;SUBSTITUTE(input_modality," ","")&amp;",")))=COUNTA(TEXTSPLIT(GC81,",")))),IF(GE81="",TRUE,IF(input_modality="",TRUE,SUMPRODUCT(--ISNUMBER(SEARCH(","&amp;TRIM(TEXTSPLIT(GE81,","))&amp;",",","&amp;SUBSTITUTE(input_modality," ","")&amp;",")))=0)),IF(GG81="",TRUE,IF(input_modality="",FALSE,SUMPRODUCT(--ISNUMBER(SEARCH(","&amp;TRIM(TEXTSPLIT(GG81,","))&amp;",",","&amp;SUBSTITUTE(input_modality," ","")&amp;",")))&gt;0)),IF(GI81="",TRUE,IF(input_modality="",FALSE,SUMPRODUCT(--ISNUMBER(SEARCH(","&amp;TRIM(TEXTSPLIT(GI81,","))&amp;",",","&amp;SUBSTITUTE(input_modality," ","")&amp;",")))=COUNTA(TEXTSPLIT(GI81,",")))))</f>
        <v/>
      </c>
      <c r="JL81">
        <f>AND(IF(GK81="",TRUE,IF(input_organizer="",FALSE,SUMPRODUCT(--ISNUMBER(SEARCH(","&amp;TRIM(TEXTSPLIT(GK81,","))&amp;",",","&amp;SUBSTITUTE(input_organizer," ","")&amp;",")))&gt;0)),IF(GM81="",TRUE,IF(input_organizer="",FALSE,SUMPRODUCT(--ISNUMBER(SEARCH(","&amp;TRIM(TEXTSPLIT(GM81,","))&amp;",",","&amp;SUBSTITUTE(input_organizer," ","")&amp;",")))=COUNTA(TEXTSPLIT(GM81,",")))),IF(GO81="",TRUE,IF(input_organizer="",TRUE,SUMPRODUCT(--ISNUMBER(SEARCH(","&amp;TRIM(TEXTSPLIT(GO81,","))&amp;",",","&amp;SUBSTITUTE(input_organizer," ","")&amp;",")))=0)),IF(GQ81="",TRUE,IF(input_organizer="",FALSE,SUMPRODUCT(--ISNUMBER(SEARCH(","&amp;TRIM(TEXTSPLIT(GQ81,","))&amp;",",","&amp;SUBSTITUTE(input_organizer," ","")&amp;",")))&gt;0)),IF(GS81="",TRUE,IF(input_organizer="",FALSE,SUMPRODUCT(--ISNUMBER(SEARCH(","&amp;TRIM(TEXTSPLIT(GS81,","))&amp;",",","&amp;SUBSTITUTE(input_organizer," ","")&amp;",")))=COUNTA(TEXTSPLIT(GS81,",")))))</f>
        <v/>
      </c>
      <c r="JM81">
        <f>AND(IF(GU81="",TRUE,IF(input_profile_type="",FALSE,SUMPRODUCT(--ISNUMBER(SEARCH(","&amp;TRIM(TEXTSPLIT(GU81,","))&amp;",",","&amp;SUBSTITUTE(input_profile_type," ","")&amp;",")))&gt;0)),IF(GW81="",TRUE,IF(input_profile_type="",FALSE,SUMPRODUCT(--ISNUMBER(SEARCH(","&amp;TRIM(TEXTSPLIT(GW81,","))&amp;",",","&amp;SUBSTITUTE(input_profile_type," ","")&amp;",")))=COUNTA(TEXTSPLIT(GW81,",")))),IF(GY81="",TRUE,IF(input_profile_type="",TRUE,SUMPRODUCT(--ISNUMBER(SEARCH(","&amp;TRIM(TEXTSPLIT(GY81,","))&amp;",",","&amp;SUBSTITUTE(input_profile_type," ","")&amp;",")))=0)),IF(HA81="",TRUE,IF(input_profile_type="",FALSE,SUMPRODUCT(--ISNUMBER(SEARCH(","&amp;TRIM(TEXTSPLIT(HA81,","))&amp;",",","&amp;SUBSTITUTE(input_profile_type," ","")&amp;",")))&gt;0)),IF(HC81="",TRUE,IF(input_profile_type="",FALSE,SUMPRODUCT(--ISNUMBER(SEARCH(","&amp;TRIM(TEXTSPLIT(HC81,","))&amp;",",","&amp;SUBSTITUTE(input_profile_type," ","")&amp;",")))=COUNTA(TEXTSPLIT(HC81,",")))))</f>
        <v/>
      </c>
      <c r="JN81">
        <f>AND(IF(HE81="",TRUE,IF(input_program="",FALSE,SUMPRODUCT(--ISNUMBER(SEARCH(","&amp;TRIM(TEXTSPLIT(HE81,","))&amp;",",","&amp;SUBSTITUTE(input_program," ","")&amp;",")))&gt;0)),IF(HG81="",TRUE,IF(input_program="",FALSE,SUMPRODUCT(--ISNUMBER(SEARCH(","&amp;TRIM(TEXTSPLIT(HG81,","))&amp;",",","&amp;SUBSTITUTE(input_program," ","")&amp;",")))=COUNTA(TEXTSPLIT(HG81,",")))),IF(HI81="",TRUE,IF(input_program="",TRUE,SUMPRODUCT(--ISNUMBER(SEARCH(","&amp;TRIM(TEXTSPLIT(HI81,","))&amp;",",","&amp;SUBSTITUTE(input_program," ","")&amp;",")))=0)),IF(HK81="",TRUE,IF(input_program="",FALSE,SUMPRODUCT(--ISNUMBER(SEARCH(","&amp;TRIM(TEXTSPLIT(HK81,","))&amp;",",","&amp;SUBSTITUTE(input_program," ","")&amp;",")))&gt;0)),IF(HM81="",TRUE,IF(input_program="",FALSE,SUMPRODUCT(--ISNUMBER(SEARCH(","&amp;TRIM(TEXTSPLIT(HM81,","))&amp;",",","&amp;SUBSTITUTE(input_program," ","")&amp;",")))=COUNTA(TEXTSPLIT(HM81,",")))))</f>
        <v/>
      </c>
      <c r="JO81">
        <f>AND(IF(HO81="",TRUE,IF(input_story_categories="",FALSE,SUMPRODUCT(--ISNUMBER(SEARCH(","&amp;TRIM(TEXTSPLIT(HO81,","))&amp;",",","&amp;SUBSTITUTE(input_story_categories," ","")&amp;",")))&gt;0)),IF(HQ81="",TRUE,IF(input_story_categories="",FALSE,SUMPRODUCT(--ISNUMBER(SEARCH(","&amp;TRIM(TEXTSPLIT(HQ81,","))&amp;",",","&amp;SUBSTITUTE(input_story_categories," ","")&amp;",")))=COUNTA(TEXTSPLIT(HQ81,",")))),IF(HS81="",TRUE,IF(input_story_categories="",TRUE,SUMPRODUCT(--ISNUMBER(SEARCH(","&amp;TRIM(TEXTSPLIT(HS81,","))&amp;",",","&amp;SUBSTITUTE(input_story_categories," ","")&amp;",")))=0)),IF(HU81="",TRUE,IF(input_story_categories="",FALSE,SUMPRODUCT(--ISNUMBER(SEARCH(","&amp;TRIM(TEXTSPLIT(HU81,","))&amp;",",","&amp;SUBSTITUTE(input_story_categories," ","")&amp;",")))&gt;0)),IF(HW81="",TRUE,IF(input_story_categories="",FALSE,SUMPRODUCT(--ISNUMBER(SEARCH(","&amp;TRIM(TEXTSPLIT(HW81,","))&amp;",",","&amp;SUBSTITUTE(input_story_categories," ","")&amp;",")))=COUNTA(TEXTSPLIT(HW81,",")))))</f>
        <v/>
      </c>
      <c r="JP81">
        <f>AND(IF(HY81="",TRUE,IF(input_story_type="",FALSE,SUMPRODUCT(--ISNUMBER(SEARCH(","&amp;TRIM(TEXTSPLIT(HY81,","))&amp;",",","&amp;SUBSTITUTE(input_story_type," ","")&amp;",")))&gt;0)),IF(IA81="",TRUE,IF(input_story_type="",FALSE,SUMPRODUCT(--ISNUMBER(SEARCH(","&amp;TRIM(TEXTSPLIT(IA81,","))&amp;",",","&amp;SUBSTITUTE(input_story_type," ","")&amp;",")))=COUNTA(TEXTSPLIT(IA81,",")))),IF(IC81="",TRUE,IF(input_story_type="",TRUE,SUMPRODUCT(--ISNUMBER(SEARCH(","&amp;TRIM(TEXTSPLIT(IC81,","))&amp;",",","&amp;SUBSTITUTE(input_story_type," ","")&amp;",")))=0)),IF(IE81="",TRUE,IF(input_story_type="",FALSE,SUMPRODUCT(--ISNUMBER(SEARCH(","&amp;TRIM(TEXTSPLIT(IE81,","))&amp;",",","&amp;SUBSTITUTE(input_story_type," ","")&amp;",")))&gt;0)),IF(IG81="",TRUE,IF(input_story_type="",FALSE,SUMPRODUCT(--ISNUMBER(SEARCH(","&amp;TRIM(TEXTSPLIT(IG81,","))&amp;",",","&amp;SUBSTITUTE(input_story_type," ","")&amp;",")))=COUNTA(TEXTSPLIT(IG81,",")))))</f>
        <v/>
      </c>
      <c r="JQ81">
        <f>AND(IF(II81="",TRUE,IF(input_topics="",FALSE,SUMPRODUCT(--ISNUMBER(SEARCH(","&amp;TRIM(TEXTSPLIT(II81,","))&amp;",",","&amp;SUBSTITUTE(input_topics," ","")&amp;",")))&gt;0)),IF(IK81="",TRUE,IF(input_topics="",FALSE,SUMPRODUCT(--ISNUMBER(SEARCH(","&amp;TRIM(TEXTSPLIT(IK81,","))&amp;",",","&amp;SUBSTITUTE(input_topics," ","")&amp;",")))=COUNTA(TEXTSPLIT(IK81,",")))),IF(IM81="",TRUE,IF(input_topics="",TRUE,SUMPRODUCT(--ISNUMBER(SEARCH(","&amp;TRIM(TEXTSPLIT(IM81,","))&amp;",",","&amp;SUBSTITUTE(input_topics," ","")&amp;",")))=0)),IF(IO81="",TRUE,IF(input_topics="",FALSE,SUMPRODUCT(--ISNUMBER(SEARCH(","&amp;TRIM(TEXTSPLIT(IO81,","))&amp;",",","&amp;SUBSTITUTE(input_topics," ","")&amp;",")))&gt;0)),IF(IQ81="",TRUE,IF(input_topics="",FALSE,SUMPRODUCT(--ISNUMBER(SEARCH(","&amp;TRIM(TEXTSPLIT(IQ81,","))&amp;",",","&amp;SUBSTITUTE(input_topics," ","")&amp;",")))=COUNTA(TEXTSPLIT(IQ81,",")))))</f>
        <v/>
      </c>
    </row>
    <row r="82">
      <c r="A82" s="4">
        <f>IF(NOT(IS82),"Excluded",IF(AND(IT82,IU82,IV82,IW82,IX82,IY82,IZ82,JA82,JB82,JC82,JD82,JE82,JF82,JG82,JH82,JI82,JJ82,JK82,JL82,JM82,JN82,JO82,JP82,JQ82),IF(I82&gt;0,"Eligible but limited","Will appear"),"Excluded"))</f>
        <v/>
      </c>
      <c r="B82" s="4" t="inlineStr">
        <is>
          <t>Blogs - Summary</t>
        </is>
      </c>
      <c r="C82" s="4" t="inlineStr">
        <is>
          <t>/the-som-experience/interests-and-industries/social-impact</t>
        </is>
      </c>
      <c r="D82" s="4" t="inlineStr">
        <is>
          <t>/the-som-experience/interests-and-industries/social-impact</t>
        </is>
      </c>
      <c r="E82" s="4" t="n">
        <v>1</v>
      </c>
      <c r="F82" s="4" t="inlineStr">
        <is>
          <t>story</t>
        </is>
      </c>
      <c r="G82" s="4" t="inlineStr">
        <is>
          <t>stories_mosaic_grid</t>
        </is>
      </c>
      <c r="H82" s="4" t="inlineStr">
        <is>
          <t>embed_blog_summary</t>
        </is>
      </c>
      <c r="I82" s="4" t="n">
        <v>1</v>
      </c>
      <c r="J82" s="4" t="inlineStr">
        <is>
          <t>View/config rules</t>
        </is>
      </c>
      <c r="K82" s="4" t="inlineStr">
        <is>
          <t>Page placement</t>
        </is>
      </c>
      <c r="L82" s="4" t="inlineStr">
        <is>
          <t>Content type: story; Needs any Story Type: Blog (974); Limited to 1 item(s); Source: View/config rules</t>
        </is>
      </c>
      <c r="M82" t="inlineStr"/>
      <c r="N82" t="inlineStr"/>
      <c r="O82" t="inlineStr"/>
      <c r="P82" t="inlineStr"/>
      <c r="Q82" t="inlineStr"/>
      <c r="R82" t="inlineStr"/>
      <c r="S82" t="inlineStr"/>
      <c r="T82" t="inlineStr"/>
      <c r="U82" t="inlineStr"/>
      <c r="V82" t="inlineStr"/>
      <c r="W82" t="inlineStr"/>
      <c r="X82" t="inlineStr"/>
      <c r="Y82" t="inlineStr"/>
      <c r="Z82" t="inlineStr"/>
      <c r="AA82" t="inlineStr"/>
      <c r="AB82" t="inlineStr"/>
      <c r="AC82" t="inlineStr"/>
      <c r="AD82" t="inlineStr"/>
      <c r="AE82" t="inlineStr"/>
      <c r="AF82" t="inlineStr"/>
      <c r="AG82" t="inlineStr"/>
      <c r="AH82" t="inlineStr"/>
      <c r="AI82" t="inlineStr"/>
      <c r="AJ82" t="inlineStr"/>
      <c r="AK82" t="inlineStr"/>
      <c r="AL82" t="inlineStr"/>
      <c r="AM82" t="inlineStr"/>
      <c r="AN82" t="inlineStr"/>
      <c r="AO82" t="inlineStr"/>
      <c r="AP82" t="inlineStr"/>
      <c r="AQ82" t="inlineStr"/>
      <c r="AR82" t="inlineStr"/>
      <c r="AS82" t="inlineStr"/>
      <c r="AT82" t="inlineStr"/>
      <c r="AU82" t="inlineStr"/>
      <c r="AV82" t="inlineStr"/>
      <c r="AW82" t="inlineStr"/>
      <c r="AX82" t="inlineStr"/>
      <c r="AY82" t="inlineStr"/>
      <c r="AZ82" t="inlineStr"/>
      <c r="BA82" t="inlineStr"/>
      <c r="BB82" t="inlineStr"/>
      <c r="BC82" t="inlineStr"/>
      <c r="BD82" t="inlineStr"/>
      <c r="BE82" t="inlineStr"/>
      <c r="BF82" t="inlineStr"/>
      <c r="BG82" t="inlineStr"/>
      <c r="BH82" t="inlineStr"/>
      <c r="BI82" t="inlineStr"/>
      <c r="BJ82" t="inlineStr"/>
      <c r="BK82" t="inlineStr"/>
      <c r="BL82" t="inlineStr"/>
      <c r="BM82" t="inlineStr"/>
      <c r="BN82" t="inlineStr"/>
      <c r="BO82" t="inlineStr"/>
      <c r="BP82" t="inlineStr"/>
      <c r="BQ82" t="inlineStr"/>
      <c r="BR82" t="inlineStr"/>
      <c r="BS82" t="inlineStr"/>
      <c r="BT82" t="inlineStr"/>
      <c r="BU82" t="inlineStr"/>
      <c r="BV82" t="inlineStr"/>
      <c r="BW82" t="inlineStr"/>
      <c r="BX82" t="inlineStr"/>
      <c r="BY82" t="inlineStr"/>
      <c r="BZ82" t="inlineStr"/>
      <c r="CA82" t="inlineStr"/>
      <c r="CB82" t="inlineStr"/>
      <c r="CC82" t="inlineStr"/>
      <c r="CD82" t="inlineStr"/>
      <c r="CE82" t="inlineStr"/>
      <c r="CF82" t="inlineStr"/>
      <c r="CG82" t="inlineStr"/>
      <c r="CH82" t="inlineStr"/>
      <c r="CI82" t="inlineStr"/>
      <c r="CJ82" t="inlineStr"/>
      <c r="CK82" t="inlineStr"/>
      <c r="CL82" t="inlineStr"/>
      <c r="CM82" t="inlineStr"/>
      <c r="CN82" t="inlineStr"/>
      <c r="CO82" t="inlineStr"/>
      <c r="CP82" t="inlineStr"/>
      <c r="CQ82" t="inlineStr"/>
      <c r="CR82" t="inlineStr"/>
      <c r="CS82" t="inlineStr"/>
      <c r="CT82" t="inlineStr"/>
      <c r="CU82" t="inlineStr"/>
      <c r="CV82" t="inlineStr"/>
      <c r="CW82" t="inlineStr"/>
      <c r="CX82" t="inlineStr"/>
      <c r="CY82" t="inlineStr"/>
      <c r="CZ82" t="inlineStr"/>
      <c r="DA82" t="inlineStr"/>
      <c r="DB82" t="inlineStr"/>
      <c r="DC82" t="inlineStr"/>
      <c r="DD82" t="inlineStr"/>
      <c r="DE82" t="inlineStr"/>
      <c r="DF82" t="inlineStr"/>
      <c r="DG82" t="inlineStr"/>
      <c r="DH82" t="inlineStr"/>
      <c r="DI82" t="inlineStr"/>
      <c r="DJ82" t="inlineStr"/>
      <c r="DK82" t="inlineStr"/>
      <c r="DL82" t="inlineStr"/>
      <c r="DM82" t="inlineStr"/>
      <c r="DN82" t="inlineStr"/>
      <c r="DO82" t="inlineStr"/>
      <c r="DP82" t="inlineStr"/>
      <c r="DQ82" t="inlineStr"/>
      <c r="DR82" t="inlineStr"/>
      <c r="DS82" t="inlineStr"/>
      <c r="DT82" t="inlineStr"/>
      <c r="DU82" t="inlineStr"/>
      <c r="DV82" t="inlineStr"/>
      <c r="DW82" t="inlineStr"/>
      <c r="DX82" t="inlineStr"/>
      <c r="DY82" t="inlineStr"/>
      <c r="DZ82" t="inlineStr"/>
      <c r="EA82" t="inlineStr"/>
      <c r="EB82" t="inlineStr"/>
      <c r="EC82" t="inlineStr"/>
      <c r="ED82" t="inlineStr"/>
      <c r="EE82" t="inlineStr"/>
      <c r="EF82" t="inlineStr"/>
      <c r="EG82" t="inlineStr"/>
      <c r="EH82" t="inlineStr"/>
      <c r="EI82" t="inlineStr"/>
      <c r="EJ82" t="inlineStr"/>
      <c r="EK82" t="inlineStr"/>
      <c r="EL82" t="inlineStr"/>
      <c r="EM82" t="inlineStr"/>
      <c r="EN82" t="inlineStr"/>
      <c r="EO82" t="inlineStr"/>
      <c r="EP82" t="inlineStr"/>
      <c r="EQ82" t="inlineStr"/>
      <c r="ER82" t="inlineStr"/>
      <c r="ES82" t="inlineStr"/>
      <c r="ET82" t="inlineStr"/>
      <c r="EU82" t="inlineStr"/>
      <c r="EV82" t="inlineStr"/>
      <c r="EW82" t="inlineStr"/>
      <c r="EX82" t="inlineStr"/>
      <c r="EY82" t="inlineStr"/>
      <c r="EZ82" t="inlineStr"/>
      <c r="FA82" t="inlineStr"/>
      <c r="FB82" t="inlineStr"/>
      <c r="FC82" t="inlineStr"/>
      <c r="FD82" t="inlineStr"/>
      <c r="FE82" t="inlineStr"/>
      <c r="FF82" t="inlineStr"/>
      <c r="FG82" t="inlineStr"/>
      <c r="FH82" t="inlineStr"/>
      <c r="FI82" t="inlineStr"/>
      <c r="FJ82" t="inlineStr"/>
      <c r="FK82" t="inlineStr"/>
      <c r="FL82" t="inlineStr"/>
      <c r="FM82" t="inlineStr"/>
      <c r="FN82" t="inlineStr"/>
      <c r="FO82" t="inlineStr"/>
      <c r="FP82" t="inlineStr"/>
      <c r="FQ82" t="inlineStr"/>
      <c r="FR82" t="inlineStr"/>
      <c r="FS82" t="inlineStr"/>
      <c r="FT82" t="inlineStr"/>
      <c r="FU82" t="inlineStr"/>
      <c r="FV82" t="inlineStr"/>
      <c r="FW82" t="inlineStr"/>
      <c r="FX82" t="inlineStr"/>
      <c r="FY82" t="inlineStr"/>
      <c r="FZ82" t="inlineStr"/>
      <c r="GA82" t="inlineStr"/>
      <c r="GB82" t="inlineStr"/>
      <c r="GC82" t="inlineStr"/>
      <c r="GD82" t="inlineStr"/>
      <c r="GE82" t="inlineStr"/>
      <c r="GF82" t="inlineStr"/>
      <c r="GG82" t="inlineStr"/>
      <c r="GH82" t="inlineStr"/>
      <c r="GI82" t="inlineStr"/>
      <c r="GJ82" t="inlineStr"/>
      <c r="GK82" t="inlineStr"/>
      <c r="GL82" t="inlineStr"/>
      <c r="GM82" t="inlineStr"/>
      <c r="GN82" t="inlineStr"/>
      <c r="GO82" t="inlineStr"/>
      <c r="GP82" t="inlineStr"/>
      <c r="GQ82" t="inlineStr"/>
      <c r="GR82" t="inlineStr"/>
      <c r="GS82" t="inlineStr"/>
      <c r="GT82" t="inlineStr"/>
      <c r="GU82" t="inlineStr"/>
      <c r="GV82" t="inlineStr"/>
      <c r="GW82" t="inlineStr"/>
      <c r="GX82" t="inlineStr"/>
      <c r="GY82" t="inlineStr"/>
      <c r="GZ82" t="inlineStr"/>
      <c r="HA82" t="inlineStr"/>
      <c r="HB82" t="inlineStr"/>
      <c r="HC82" t="inlineStr"/>
      <c r="HD82" t="inlineStr"/>
      <c r="HE82" t="inlineStr"/>
      <c r="HF82" t="inlineStr"/>
      <c r="HG82" t="inlineStr"/>
      <c r="HH82" t="inlineStr"/>
      <c r="HI82" t="inlineStr"/>
      <c r="HJ82" t="inlineStr"/>
      <c r="HK82" t="inlineStr"/>
      <c r="HL82" t="inlineStr"/>
      <c r="HM82" t="inlineStr"/>
      <c r="HN82" t="inlineStr"/>
      <c r="HO82" t="inlineStr"/>
      <c r="HP82" t="inlineStr"/>
      <c r="HQ82" t="inlineStr"/>
      <c r="HR82" t="inlineStr"/>
      <c r="HS82" t="inlineStr"/>
      <c r="HT82" t="inlineStr"/>
      <c r="HU82" t="inlineStr"/>
      <c r="HV82" t="inlineStr"/>
      <c r="HW82" t="inlineStr"/>
      <c r="HX82" t="inlineStr"/>
      <c r="HY82" t="inlineStr">
        <is>
          <t>974</t>
        </is>
      </c>
      <c r="HZ82" t="inlineStr">
        <is>
          <t>Blog (974)</t>
        </is>
      </c>
      <c r="IA82" t="inlineStr"/>
      <c r="IB82" t="inlineStr"/>
      <c r="IC82" t="inlineStr"/>
      <c r="ID82" t="inlineStr"/>
      <c r="IE82" t="inlineStr"/>
      <c r="IF82" t="inlineStr"/>
      <c r="IG82" t="inlineStr"/>
      <c r="IH82" t="inlineStr"/>
      <c r="II82" t="inlineStr"/>
      <c r="IJ82" t="inlineStr"/>
      <c r="IK82" t="inlineStr"/>
      <c r="IL82" t="inlineStr"/>
      <c r="IM82" t="inlineStr"/>
      <c r="IN82" t="inlineStr"/>
      <c r="IO82" t="inlineStr"/>
      <c r="IP82" t="inlineStr"/>
      <c r="IQ82" t="inlineStr"/>
      <c r="IR82" t="inlineStr"/>
      <c r="IS82">
        <f>IF(input_content_type="",FALSE,ISNUMBER(SEARCH(","&amp;LOWER(input_content_type)&amp;",",","&amp;LOWER(F82)&amp;",")))</f>
        <v/>
      </c>
      <c r="IT82">
        <f>AND(IF(M82="",TRUE,IF(input_affiliations="",FALSE,SUMPRODUCT(--ISNUMBER(SEARCH(","&amp;TRIM(TEXTSPLIT(M82,","))&amp;",",","&amp;SUBSTITUTE(input_affiliations," ","")&amp;",")))&gt;0)),IF(O82="",TRUE,IF(input_affiliations="",FALSE,SUMPRODUCT(--ISNUMBER(SEARCH(","&amp;TRIM(TEXTSPLIT(O82,","))&amp;",",","&amp;SUBSTITUTE(input_affiliations," ","")&amp;",")))=COUNTA(TEXTSPLIT(O82,",")))),IF(Q82="",TRUE,IF(input_affiliations="",TRUE,SUMPRODUCT(--ISNUMBER(SEARCH(","&amp;TRIM(TEXTSPLIT(Q82,","))&amp;",",","&amp;SUBSTITUTE(input_affiliations," ","")&amp;",")))=0)),IF(S82="",TRUE,IF(input_affiliations="",FALSE,SUMPRODUCT(--ISNUMBER(SEARCH(","&amp;TRIM(TEXTSPLIT(S82,","))&amp;",",","&amp;SUBSTITUTE(input_affiliations," ","")&amp;",")))&gt;0)),IF(U82="",TRUE,IF(input_affiliations="",FALSE,SUMPRODUCT(--ISNUMBER(SEARCH(","&amp;TRIM(TEXTSPLIT(U82,","))&amp;",",","&amp;SUBSTITUTE(input_affiliations," ","")&amp;",")))=COUNTA(TEXTSPLIT(U82,",")))))</f>
        <v/>
      </c>
      <c r="IU82">
        <f>AND(IF(W82="",TRUE,IF(input_announcement_category="",FALSE,SUMPRODUCT(--ISNUMBER(SEARCH(","&amp;TRIM(TEXTSPLIT(W82,","))&amp;",",","&amp;SUBSTITUTE(input_announcement_category," ","")&amp;",")))&gt;0)),IF(Y82="",TRUE,IF(input_announcement_category="",FALSE,SUMPRODUCT(--ISNUMBER(SEARCH(","&amp;TRIM(TEXTSPLIT(Y82,","))&amp;",",","&amp;SUBSTITUTE(input_announcement_category," ","")&amp;",")))=COUNTA(TEXTSPLIT(Y82,",")))),IF(AA82="",TRUE,IF(input_announcement_category="",TRUE,SUMPRODUCT(--ISNUMBER(SEARCH(","&amp;TRIM(TEXTSPLIT(AA82,","))&amp;",",","&amp;SUBSTITUTE(input_announcement_category," ","")&amp;",")))=0)),IF(AC82="",TRUE,IF(input_announcement_category="",FALSE,SUMPRODUCT(--ISNUMBER(SEARCH(","&amp;TRIM(TEXTSPLIT(AC82,","))&amp;",",","&amp;SUBSTITUTE(input_announcement_category," ","")&amp;",")))&gt;0)),IF(AE82="",TRUE,IF(input_announcement_category="",FALSE,SUMPRODUCT(--ISNUMBER(SEARCH(","&amp;TRIM(TEXTSPLIT(AE82,","))&amp;",",","&amp;SUBSTITUTE(input_announcement_category," ","")&amp;",")))=COUNTA(TEXTSPLIT(AE82,",")))))</f>
        <v/>
      </c>
      <c r="IV82">
        <f>AND(IF(AG82="",TRUE,IF(input_area_of_focus="",FALSE,SUMPRODUCT(--ISNUMBER(SEARCH(","&amp;TRIM(TEXTSPLIT(AG82,","))&amp;",",","&amp;SUBSTITUTE(input_area_of_focus," ","")&amp;",")))&gt;0)),IF(AI82="",TRUE,IF(input_area_of_focus="",FALSE,SUMPRODUCT(--ISNUMBER(SEARCH(","&amp;TRIM(TEXTSPLIT(AI82,","))&amp;",",","&amp;SUBSTITUTE(input_area_of_focus," ","")&amp;",")))=COUNTA(TEXTSPLIT(AI82,",")))),IF(AK82="",TRUE,IF(input_area_of_focus="",TRUE,SUMPRODUCT(--ISNUMBER(SEARCH(","&amp;TRIM(TEXTSPLIT(AK82,","))&amp;",",","&amp;SUBSTITUTE(input_area_of_focus," ","")&amp;",")))=0)),IF(AM82="",TRUE,IF(input_area_of_focus="",FALSE,SUMPRODUCT(--ISNUMBER(SEARCH(","&amp;TRIM(TEXTSPLIT(AM82,","))&amp;",",","&amp;SUBSTITUTE(input_area_of_focus," ","")&amp;",")))&gt;0)),IF(AO82="",TRUE,IF(input_area_of_focus="",FALSE,SUMPRODUCT(--ISNUMBER(SEARCH(","&amp;TRIM(TEXTSPLIT(AO82,","))&amp;",",","&amp;SUBSTITUTE(input_area_of_focus," ","")&amp;",")))=COUNTA(TEXTSPLIT(AO82,",")))))</f>
        <v/>
      </c>
      <c r="IW82">
        <f>AND(IF(AQ82="",TRUE,IF(input_audience="",FALSE,SUMPRODUCT(--ISNUMBER(SEARCH(","&amp;TRIM(TEXTSPLIT(AQ82,","))&amp;",",","&amp;SUBSTITUTE(input_audience," ","")&amp;",")))&gt;0)),IF(AS82="",TRUE,IF(input_audience="",FALSE,SUMPRODUCT(--ISNUMBER(SEARCH(","&amp;TRIM(TEXTSPLIT(AS82,","))&amp;",",","&amp;SUBSTITUTE(input_audience," ","")&amp;",")))=COUNTA(TEXTSPLIT(AS82,",")))),IF(AU82="",TRUE,IF(input_audience="",TRUE,SUMPRODUCT(--ISNUMBER(SEARCH(","&amp;TRIM(TEXTSPLIT(AU82,","))&amp;",",","&amp;SUBSTITUTE(input_audience," ","")&amp;",")))=0)),IF(AW82="",TRUE,IF(input_audience="",FALSE,SUMPRODUCT(--ISNUMBER(SEARCH(","&amp;TRIM(TEXTSPLIT(AW82,","))&amp;",",","&amp;SUBSTITUTE(input_audience," ","")&amp;",")))&gt;0)),IF(AY82="",TRUE,IF(input_audience="",FALSE,SUMPRODUCT(--ISNUMBER(SEARCH(","&amp;TRIM(TEXTSPLIT(AY82,","))&amp;",",","&amp;SUBSTITUTE(input_audience," ","")&amp;",")))=COUNTA(TEXTSPLIT(AY82,",")))))</f>
        <v/>
      </c>
      <c r="IX82">
        <f>AND(IF(BA82="",TRUE,IF(input_challenge_opportunities="",FALSE,SUMPRODUCT(--ISNUMBER(SEARCH(","&amp;TRIM(TEXTSPLIT(BA82,","))&amp;",",","&amp;SUBSTITUTE(input_challenge_opportunities," ","")&amp;",")))&gt;0)),IF(BC82="",TRUE,IF(input_challenge_opportunities="",FALSE,SUMPRODUCT(--ISNUMBER(SEARCH(","&amp;TRIM(TEXTSPLIT(BC82,","))&amp;",",","&amp;SUBSTITUTE(input_challenge_opportunities," ","")&amp;",")))=COUNTA(TEXTSPLIT(BC82,",")))),IF(BE82="",TRUE,IF(input_challenge_opportunities="",TRUE,SUMPRODUCT(--ISNUMBER(SEARCH(","&amp;TRIM(TEXTSPLIT(BE82,","))&amp;",",","&amp;SUBSTITUTE(input_challenge_opportunities," ","")&amp;",")))=0)),IF(BG82="",TRUE,IF(input_challenge_opportunities="",FALSE,SUMPRODUCT(--ISNUMBER(SEARCH(","&amp;TRIM(TEXTSPLIT(BG82,","))&amp;",",","&amp;SUBSTITUTE(input_challenge_opportunities," ","")&amp;",")))&gt;0)),IF(BI82="",TRUE,IF(input_challenge_opportunities="",FALSE,SUMPRODUCT(--ISNUMBER(SEARCH(","&amp;TRIM(TEXTSPLIT(BI82,","))&amp;",",","&amp;SUBSTITUTE(input_challenge_opportunities," ","")&amp;",")))=COUNTA(TEXTSPLIT(BI82,",")))))</f>
        <v/>
      </c>
      <c r="IY82">
        <f>AND(IF(BK82="",TRUE,IF(input_context="",FALSE,SUMPRODUCT(--ISNUMBER(SEARCH(","&amp;TRIM(TEXTSPLIT(BK82,","))&amp;",",","&amp;SUBSTITUTE(input_context," ","")&amp;",")))&gt;0)),IF(BM82="",TRUE,IF(input_context="",FALSE,SUMPRODUCT(--ISNUMBER(SEARCH(","&amp;TRIM(TEXTSPLIT(BM82,","))&amp;",",","&amp;SUBSTITUTE(input_context," ","")&amp;",")))=COUNTA(TEXTSPLIT(BM82,",")))),IF(BO82="",TRUE,IF(input_context="",TRUE,SUMPRODUCT(--ISNUMBER(SEARCH(","&amp;TRIM(TEXTSPLIT(BO82,","))&amp;",",","&amp;SUBSTITUTE(input_context," ","")&amp;",")))=0)),IF(BQ82="",TRUE,IF(input_context="",FALSE,SUMPRODUCT(--ISNUMBER(SEARCH(","&amp;TRIM(TEXTSPLIT(BQ82,","))&amp;",",","&amp;SUBSTITUTE(input_context," ","")&amp;",")))&gt;0)),IF(BS82="",TRUE,IF(input_context="",FALSE,SUMPRODUCT(--ISNUMBER(SEARCH(","&amp;TRIM(TEXTSPLIT(BS82,","))&amp;",",","&amp;SUBSTITUTE(input_context," ","")&amp;",")))=COUNTA(TEXTSPLIT(BS82,",")))))</f>
        <v/>
      </c>
      <c r="IZ82">
        <f>AND(IF(BU82="",TRUE,IF(input_enews_announcement_type="",FALSE,SUMPRODUCT(--ISNUMBER(SEARCH(","&amp;TRIM(TEXTSPLIT(BU82,","))&amp;",",","&amp;SUBSTITUTE(input_enews_announcement_type," ","")&amp;",")))&gt;0)),IF(BW82="",TRUE,IF(input_enews_announcement_type="",FALSE,SUMPRODUCT(--ISNUMBER(SEARCH(","&amp;TRIM(TEXTSPLIT(BW82,","))&amp;",",","&amp;SUBSTITUTE(input_enews_announcement_type," ","")&amp;",")))=COUNTA(TEXTSPLIT(BW82,",")))),IF(BY82="",TRUE,IF(input_enews_announcement_type="",TRUE,SUMPRODUCT(--ISNUMBER(SEARCH(","&amp;TRIM(TEXTSPLIT(BY82,","))&amp;",",","&amp;SUBSTITUTE(input_enews_announcement_type," ","")&amp;",")))=0)),IF(CA82="",TRUE,IF(input_enews_announcement_type="",FALSE,SUMPRODUCT(--ISNUMBER(SEARCH(","&amp;TRIM(TEXTSPLIT(CA82,","))&amp;",",","&amp;SUBSTITUTE(input_enews_announcement_type," ","")&amp;",")))&gt;0)),IF(CC82="",TRUE,IF(input_enews_announcement_type="",FALSE,SUMPRODUCT(--ISNUMBER(SEARCH(","&amp;TRIM(TEXTSPLIT(CC82,","))&amp;",",","&amp;SUBSTITUTE(input_enews_announcement_type," ","")&amp;",")))=COUNTA(TEXTSPLIT(CC82,",")))))</f>
        <v/>
      </c>
      <c r="JA82">
        <f>AND(IF(CE82="",TRUE,IF(input_enews_audience="",FALSE,SUMPRODUCT(--ISNUMBER(SEARCH(","&amp;TRIM(TEXTSPLIT(CE82,","))&amp;",",","&amp;SUBSTITUTE(input_enews_audience," ","")&amp;",")))&gt;0)),IF(CG82="",TRUE,IF(input_enews_audience="",FALSE,SUMPRODUCT(--ISNUMBER(SEARCH(","&amp;TRIM(TEXTSPLIT(CG82,","))&amp;",",","&amp;SUBSTITUTE(input_enews_audience," ","")&amp;",")))=COUNTA(TEXTSPLIT(CG82,",")))),IF(CI82="",TRUE,IF(input_enews_audience="",TRUE,SUMPRODUCT(--ISNUMBER(SEARCH(","&amp;TRIM(TEXTSPLIT(CI82,","))&amp;",",","&amp;SUBSTITUTE(input_enews_audience," ","")&amp;",")))=0)),IF(CK82="",TRUE,IF(input_enews_audience="",FALSE,SUMPRODUCT(--ISNUMBER(SEARCH(","&amp;TRIM(TEXTSPLIT(CK82,","))&amp;",",","&amp;SUBSTITUTE(input_enews_audience," ","")&amp;",")))&gt;0)),IF(CM82="",TRUE,IF(input_enews_audience="",FALSE,SUMPRODUCT(--ISNUMBER(SEARCH(","&amp;TRIM(TEXTSPLIT(CM82,","))&amp;",",","&amp;SUBSTITUTE(input_enews_audience," ","")&amp;",")))=COUNTA(TEXTSPLIT(CM82,",")))))</f>
        <v/>
      </c>
      <c r="JB82">
        <f>AND(IF(CO82="",TRUE,IF(input_event_location="",FALSE,SUMPRODUCT(--ISNUMBER(SEARCH(","&amp;TRIM(TEXTSPLIT(CO82,","))&amp;",",","&amp;SUBSTITUTE(input_event_location," ","")&amp;",")))&gt;0)),IF(CQ82="",TRUE,IF(input_event_location="",FALSE,SUMPRODUCT(--ISNUMBER(SEARCH(","&amp;TRIM(TEXTSPLIT(CQ82,","))&amp;",",","&amp;SUBSTITUTE(input_event_location," ","")&amp;",")))=COUNTA(TEXTSPLIT(CQ82,",")))),IF(CS82="",TRUE,IF(input_event_location="",TRUE,SUMPRODUCT(--ISNUMBER(SEARCH(","&amp;TRIM(TEXTSPLIT(CS82,","))&amp;",",","&amp;SUBSTITUTE(input_event_location," ","")&amp;",")))=0)),IF(CU82="",TRUE,IF(input_event_location="",FALSE,SUMPRODUCT(--ISNUMBER(SEARCH(","&amp;TRIM(TEXTSPLIT(CU82,","))&amp;",",","&amp;SUBSTITUTE(input_event_location," ","")&amp;",")))&gt;0)),IF(CW82="",TRUE,IF(input_event_location="",FALSE,SUMPRODUCT(--ISNUMBER(SEARCH(","&amp;TRIM(TEXTSPLIT(CW82,","))&amp;",",","&amp;SUBSTITUTE(input_event_location," ","")&amp;",")))=COUNTA(TEXTSPLIT(CW82,",")))))</f>
        <v/>
      </c>
      <c r="JC82">
        <f>AND(IF(CY82="",TRUE,IF(input_event_type="",FALSE,SUMPRODUCT(--ISNUMBER(SEARCH(","&amp;TRIM(TEXTSPLIT(CY82,","))&amp;",",","&amp;SUBSTITUTE(input_event_type," ","")&amp;",")))&gt;0)),IF(DA82="",TRUE,IF(input_event_type="",FALSE,SUMPRODUCT(--ISNUMBER(SEARCH(","&amp;TRIM(TEXTSPLIT(DA82,","))&amp;",",","&amp;SUBSTITUTE(input_event_type," ","")&amp;",")))=COUNTA(TEXTSPLIT(DA82,",")))),IF(DC82="",TRUE,IF(input_event_type="",TRUE,SUMPRODUCT(--ISNUMBER(SEARCH(","&amp;TRIM(TEXTSPLIT(DC82,","))&amp;",",","&amp;SUBSTITUTE(input_event_type," ","")&amp;",")))=0)),IF(DE82="",TRUE,IF(input_event_type="",FALSE,SUMPRODUCT(--ISNUMBER(SEARCH(","&amp;TRIM(TEXTSPLIT(DE82,","))&amp;",",","&amp;SUBSTITUTE(input_event_type," ","")&amp;",")))&gt;0)),IF(DG82="",TRUE,IF(input_event_type="",FALSE,SUMPRODUCT(--ISNUMBER(SEARCH(","&amp;TRIM(TEXTSPLIT(DG82,","))&amp;",",","&amp;SUBSTITUTE(input_event_type," ","")&amp;",")))=COUNTA(TEXTSPLIT(DG82,",")))))</f>
        <v/>
      </c>
      <c r="JD82">
        <f>AND(IF(DI82="",TRUE,IF(input_executive_education_focus="",FALSE,SUMPRODUCT(--ISNUMBER(SEARCH(","&amp;TRIM(TEXTSPLIT(DI82,","))&amp;",",","&amp;SUBSTITUTE(input_executive_education_focus," ","")&amp;",")))&gt;0)),IF(DK82="",TRUE,IF(input_executive_education_focus="",FALSE,SUMPRODUCT(--ISNUMBER(SEARCH(","&amp;TRIM(TEXTSPLIT(DK82,","))&amp;",",","&amp;SUBSTITUTE(input_executive_education_focus," ","")&amp;",")))=COUNTA(TEXTSPLIT(DK82,",")))),IF(DM82="",TRUE,IF(input_executive_education_focus="",TRUE,SUMPRODUCT(--ISNUMBER(SEARCH(","&amp;TRIM(TEXTSPLIT(DM82,","))&amp;",",","&amp;SUBSTITUTE(input_executive_education_focus," ","")&amp;",")))=0)),IF(DO82="",TRUE,IF(input_executive_education_focus="",FALSE,SUMPRODUCT(--ISNUMBER(SEARCH(","&amp;TRIM(TEXTSPLIT(DO82,","))&amp;",",","&amp;SUBSTITUTE(input_executive_education_focus," ","")&amp;",")))&gt;0)),IF(DQ82="",TRUE,IF(input_executive_education_focus="",FALSE,SUMPRODUCT(--ISNUMBER(SEARCH(","&amp;TRIM(TEXTSPLIT(DQ82,","))&amp;",",","&amp;SUBSTITUTE(input_executive_education_focus," ","")&amp;",")))=COUNTA(TEXTSPLIT(DQ82,",")))))</f>
        <v/>
      </c>
      <c r="JE82">
        <f>AND(IF(DS82="",TRUE,IF(input_faculty_category="",FALSE,SUMPRODUCT(--ISNUMBER(SEARCH(","&amp;TRIM(TEXTSPLIT(DS82,","))&amp;",",","&amp;SUBSTITUTE(input_faculty_category," ","")&amp;",")))&gt;0)),IF(DU82="",TRUE,IF(input_faculty_category="",FALSE,SUMPRODUCT(--ISNUMBER(SEARCH(","&amp;TRIM(TEXTSPLIT(DU82,","))&amp;",",","&amp;SUBSTITUTE(input_faculty_category," ","")&amp;",")))=COUNTA(TEXTSPLIT(DU82,",")))),IF(DW82="",TRUE,IF(input_faculty_category="",TRUE,SUMPRODUCT(--ISNUMBER(SEARCH(","&amp;TRIM(TEXTSPLIT(DW82,","))&amp;",",","&amp;SUBSTITUTE(input_faculty_category," ","")&amp;",")))=0)),IF(DY82="",TRUE,IF(input_faculty_category="",FALSE,SUMPRODUCT(--ISNUMBER(SEARCH(","&amp;TRIM(TEXTSPLIT(DY82,","))&amp;",",","&amp;SUBSTITUTE(input_faculty_category," ","")&amp;",")))&gt;0)),IF(EA82="",TRUE,IF(input_faculty_category="",FALSE,SUMPRODUCT(--ISNUMBER(SEARCH(","&amp;TRIM(TEXTSPLIT(EA82,","))&amp;",",","&amp;SUBSTITUTE(input_faculty_category," ","")&amp;",")))=COUNTA(TEXTSPLIT(EA82,",")))))</f>
        <v/>
      </c>
      <c r="JF82">
        <f>AND(IF(EC82="",TRUE,IF(input_faculty_discipline="",FALSE,SUMPRODUCT(--ISNUMBER(SEARCH(","&amp;TRIM(TEXTSPLIT(EC82,","))&amp;",",","&amp;SUBSTITUTE(input_faculty_discipline," ","")&amp;",")))&gt;0)),IF(EE82="",TRUE,IF(input_faculty_discipline="",FALSE,SUMPRODUCT(--ISNUMBER(SEARCH(","&amp;TRIM(TEXTSPLIT(EE82,","))&amp;",",","&amp;SUBSTITUTE(input_faculty_discipline," ","")&amp;",")))=COUNTA(TEXTSPLIT(EE82,",")))),IF(EG82="",TRUE,IF(input_faculty_discipline="",TRUE,SUMPRODUCT(--ISNUMBER(SEARCH(","&amp;TRIM(TEXTSPLIT(EG82,","))&amp;",",","&amp;SUBSTITUTE(input_faculty_discipline," ","")&amp;",")))=0)),IF(EI82="",TRUE,IF(input_faculty_discipline="",FALSE,SUMPRODUCT(--ISNUMBER(SEARCH(","&amp;TRIM(TEXTSPLIT(EI82,","))&amp;",",","&amp;SUBSTITUTE(input_faculty_discipline," ","")&amp;",")))&gt;0)),IF(EK82="",TRUE,IF(input_faculty_discipline="",FALSE,SUMPRODUCT(--ISNUMBER(SEARCH(","&amp;TRIM(TEXTSPLIT(EK82,","))&amp;",",","&amp;SUBSTITUTE(input_faculty_discipline," ","")&amp;",")))=COUNTA(TEXTSPLIT(EK82,",")))))</f>
        <v/>
      </c>
      <c r="JG82">
        <f>AND(IF(EM82="",TRUE,IF(input_faculty_expertise="",FALSE,SUMPRODUCT(--ISNUMBER(SEARCH(","&amp;TRIM(TEXTSPLIT(EM82,","))&amp;",",","&amp;SUBSTITUTE(input_faculty_expertise," ","")&amp;",")))&gt;0)),IF(EO82="",TRUE,IF(input_faculty_expertise="",FALSE,SUMPRODUCT(--ISNUMBER(SEARCH(","&amp;TRIM(TEXTSPLIT(EO82,","))&amp;",",","&amp;SUBSTITUTE(input_faculty_expertise," ","")&amp;",")))=COUNTA(TEXTSPLIT(EO82,",")))),IF(EQ82="",TRUE,IF(input_faculty_expertise="",TRUE,SUMPRODUCT(--ISNUMBER(SEARCH(","&amp;TRIM(TEXTSPLIT(EQ82,","))&amp;",",","&amp;SUBSTITUTE(input_faculty_expertise," ","")&amp;",")))=0)),IF(ES82="",TRUE,IF(input_faculty_expertise="",FALSE,SUMPRODUCT(--ISNUMBER(SEARCH(","&amp;TRIM(TEXTSPLIT(ES82,","))&amp;",",","&amp;SUBSTITUTE(input_faculty_expertise," ","")&amp;",")))&gt;0)),IF(EU82="",TRUE,IF(input_faculty_expertise="",FALSE,SUMPRODUCT(--ISNUMBER(SEARCH(","&amp;TRIM(TEXTSPLIT(EU82,","))&amp;",",","&amp;SUBSTITUTE(input_faculty_expertise," ","")&amp;",")))=COUNTA(TEXTSPLIT(EU82,",")))))</f>
        <v/>
      </c>
      <c r="JH82">
        <f>AND(IF(EW82="",TRUE,IF(input_global_network_school="",FALSE,SUMPRODUCT(--ISNUMBER(SEARCH(","&amp;TRIM(TEXTSPLIT(EW82,","))&amp;",",","&amp;SUBSTITUTE(input_global_network_school," ","")&amp;",")))&gt;0)),IF(EY82="",TRUE,IF(input_global_network_school="",FALSE,SUMPRODUCT(--ISNUMBER(SEARCH(","&amp;TRIM(TEXTSPLIT(EY82,","))&amp;",",","&amp;SUBSTITUTE(input_global_network_school," ","")&amp;",")))=COUNTA(TEXTSPLIT(EY82,",")))),IF(FA82="",TRUE,IF(input_global_network_school="",TRUE,SUMPRODUCT(--ISNUMBER(SEARCH(","&amp;TRIM(TEXTSPLIT(FA82,","))&amp;",",","&amp;SUBSTITUTE(input_global_network_school," ","")&amp;",")))=0)),IF(FC82="",TRUE,IF(input_global_network_school="",FALSE,SUMPRODUCT(--ISNUMBER(SEARCH(","&amp;TRIM(TEXTSPLIT(FC82,","))&amp;",",","&amp;SUBSTITUTE(input_global_network_school," ","")&amp;",")))&gt;0)),IF(FE82="",TRUE,IF(input_global_network_school="",FALSE,SUMPRODUCT(--ISNUMBER(SEARCH(","&amp;TRIM(TEXTSPLIT(FE82,","))&amp;",",","&amp;SUBSTITUTE(input_global_network_school," ","")&amp;",")))=COUNTA(TEXTSPLIT(FE82,",")))))</f>
        <v/>
      </c>
      <c r="JI82">
        <f>AND(IF(FG82="",TRUE,IF(input_industry="",FALSE,SUMPRODUCT(--ISNUMBER(SEARCH(","&amp;TRIM(TEXTSPLIT(FG82,","))&amp;",",","&amp;SUBSTITUTE(input_industry," ","")&amp;",")))&gt;0)),IF(FI82="",TRUE,IF(input_industry="",FALSE,SUMPRODUCT(--ISNUMBER(SEARCH(","&amp;TRIM(TEXTSPLIT(FI82,","))&amp;",",","&amp;SUBSTITUTE(input_industry," ","")&amp;",")))=COUNTA(TEXTSPLIT(FI82,",")))),IF(FK82="",TRUE,IF(input_industry="",TRUE,SUMPRODUCT(--ISNUMBER(SEARCH(","&amp;TRIM(TEXTSPLIT(FK82,","))&amp;",",","&amp;SUBSTITUTE(input_industry," ","")&amp;",")))=0)),IF(FM82="",TRUE,IF(input_industry="",FALSE,SUMPRODUCT(--ISNUMBER(SEARCH(","&amp;TRIM(TEXTSPLIT(FM82,","))&amp;",",","&amp;SUBSTITUTE(input_industry," ","")&amp;",")))&gt;0)),IF(FO82="",TRUE,IF(input_industry="",FALSE,SUMPRODUCT(--ISNUMBER(SEARCH(","&amp;TRIM(TEXTSPLIT(FO82,","))&amp;",",","&amp;SUBSTITUTE(input_industry," ","")&amp;",")))=COUNTA(TEXTSPLIT(FO82,",")))))</f>
        <v/>
      </c>
      <c r="JJ82">
        <f>AND(IF(FQ82="",TRUE,IF(input_location="",FALSE,SUMPRODUCT(--ISNUMBER(SEARCH(","&amp;TRIM(TEXTSPLIT(FQ82,","))&amp;",",","&amp;SUBSTITUTE(input_location," ","")&amp;",")))&gt;0)),IF(FS82="",TRUE,IF(input_location="",FALSE,SUMPRODUCT(--ISNUMBER(SEARCH(","&amp;TRIM(TEXTSPLIT(FS82,","))&amp;",",","&amp;SUBSTITUTE(input_location," ","")&amp;",")))=COUNTA(TEXTSPLIT(FS82,",")))),IF(FU82="",TRUE,IF(input_location="",TRUE,SUMPRODUCT(--ISNUMBER(SEARCH(","&amp;TRIM(TEXTSPLIT(FU82,","))&amp;",",","&amp;SUBSTITUTE(input_location," ","")&amp;",")))=0)),IF(FW82="",TRUE,IF(input_location="",FALSE,SUMPRODUCT(--ISNUMBER(SEARCH(","&amp;TRIM(TEXTSPLIT(FW82,","))&amp;",",","&amp;SUBSTITUTE(input_location," ","")&amp;",")))&gt;0)),IF(FY82="",TRUE,IF(input_location="",FALSE,SUMPRODUCT(--ISNUMBER(SEARCH(","&amp;TRIM(TEXTSPLIT(FY82,","))&amp;",",","&amp;SUBSTITUTE(input_location," ","")&amp;",")))=COUNTA(TEXTSPLIT(FY82,",")))))</f>
        <v/>
      </c>
      <c r="JK82">
        <f>AND(IF(GA82="",TRUE,IF(input_modality="",FALSE,SUMPRODUCT(--ISNUMBER(SEARCH(","&amp;TRIM(TEXTSPLIT(GA82,","))&amp;",",","&amp;SUBSTITUTE(input_modality," ","")&amp;",")))&gt;0)),IF(GC82="",TRUE,IF(input_modality="",FALSE,SUMPRODUCT(--ISNUMBER(SEARCH(","&amp;TRIM(TEXTSPLIT(GC82,","))&amp;",",","&amp;SUBSTITUTE(input_modality," ","")&amp;",")))=COUNTA(TEXTSPLIT(GC82,",")))),IF(GE82="",TRUE,IF(input_modality="",TRUE,SUMPRODUCT(--ISNUMBER(SEARCH(","&amp;TRIM(TEXTSPLIT(GE82,","))&amp;",",","&amp;SUBSTITUTE(input_modality," ","")&amp;",")))=0)),IF(GG82="",TRUE,IF(input_modality="",FALSE,SUMPRODUCT(--ISNUMBER(SEARCH(","&amp;TRIM(TEXTSPLIT(GG82,","))&amp;",",","&amp;SUBSTITUTE(input_modality," ","")&amp;",")))&gt;0)),IF(GI82="",TRUE,IF(input_modality="",FALSE,SUMPRODUCT(--ISNUMBER(SEARCH(","&amp;TRIM(TEXTSPLIT(GI82,","))&amp;",",","&amp;SUBSTITUTE(input_modality," ","")&amp;",")))=COUNTA(TEXTSPLIT(GI82,",")))))</f>
        <v/>
      </c>
      <c r="JL82">
        <f>AND(IF(GK82="",TRUE,IF(input_organizer="",FALSE,SUMPRODUCT(--ISNUMBER(SEARCH(","&amp;TRIM(TEXTSPLIT(GK82,","))&amp;",",","&amp;SUBSTITUTE(input_organizer," ","")&amp;",")))&gt;0)),IF(GM82="",TRUE,IF(input_organizer="",FALSE,SUMPRODUCT(--ISNUMBER(SEARCH(","&amp;TRIM(TEXTSPLIT(GM82,","))&amp;",",","&amp;SUBSTITUTE(input_organizer," ","")&amp;",")))=COUNTA(TEXTSPLIT(GM82,",")))),IF(GO82="",TRUE,IF(input_organizer="",TRUE,SUMPRODUCT(--ISNUMBER(SEARCH(","&amp;TRIM(TEXTSPLIT(GO82,","))&amp;",",","&amp;SUBSTITUTE(input_organizer," ","")&amp;",")))=0)),IF(GQ82="",TRUE,IF(input_organizer="",FALSE,SUMPRODUCT(--ISNUMBER(SEARCH(","&amp;TRIM(TEXTSPLIT(GQ82,","))&amp;",",","&amp;SUBSTITUTE(input_organizer," ","")&amp;",")))&gt;0)),IF(GS82="",TRUE,IF(input_organizer="",FALSE,SUMPRODUCT(--ISNUMBER(SEARCH(","&amp;TRIM(TEXTSPLIT(GS82,","))&amp;",",","&amp;SUBSTITUTE(input_organizer," ","")&amp;",")))=COUNTA(TEXTSPLIT(GS82,",")))))</f>
        <v/>
      </c>
      <c r="JM82">
        <f>AND(IF(GU82="",TRUE,IF(input_profile_type="",FALSE,SUMPRODUCT(--ISNUMBER(SEARCH(","&amp;TRIM(TEXTSPLIT(GU82,","))&amp;",",","&amp;SUBSTITUTE(input_profile_type," ","")&amp;",")))&gt;0)),IF(GW82="",TRUE,IF(input_profile_type="",FALSE,SUMPRODUCT(--ISNUMBER(SEARCH(","&amp;TRIM(TEXTSPLIT(GW82,","))&amp;",",","&amp;SUBSTITUTE(input_profile_type," ","")&amp;",")))=COUNTA(TEXTSPLIT(GW82,",")))),IF(GY82="",TRUE,IF(input_profile_type="",TRUE,SUMPRODUCT(--ISNUMBER(SEARCH(","&amp;TRIM(TEXTSPLIT(GY82,","))&amp;",",","&amp;SUBSTITUTE(input_profile_type," ","")&amp;",")))=0)),IF(HA82="",TRUE,IF(input_profile_type="",FALSE,SUMPRODUCT(--ISNUMBER(SEARCH(","&amp;TRIM(TEXTSPLIT(HA82,","))&amp;",",","&amp;SUBSTITUTE(input_profile_type," ","")&amp;",")))&gt;0)),IF(HC82="",TRUE,IF(input_profile_type="",FALSE,SUMPRODUCT(--ISNUMBER(SEARCH(","&amp;TRIM(TEXTSPLIT(HC82,","))&amp;",",","&amp;SUBSTITUTE(input_profile_type," ","")&amp;",")))=COUNTA(TEXTSPLIT(HC82,",")))))</f>
        <v/>
      </c>
      <c r="JN82">
        <f>AND(IF(HE82="",TRUE,IF(input_program="",FALSE,SUMPRODUCT(--ISNUMBER(SEARCH(","&amp;TRIM(TEXTSPLIT(HE82,","))&amp;",",","&amp;SUBSTITUTE(input_program," ","")&amp;",")))&gt;0)),IF(HG82="",TRUE,IF(input_program="",FALSE,SUMPRODUCT(--ISNUMBER(SEARCH(","&amp;TRIM(TEXTSPLIT(HG82,","))&amp;",",","&amp;SUBSTITUTE(input_program," ","")&amp;",")))=COUNTA(TEXTSPLIT(HG82,",")))),IF(HI82="",TRUE,IF(input_program="",TRUE,SUMPRODUCT(--ISNUMBER(SEARCH(","&amp;TRIM(TEXTSPLIT(HI82,","))&amp;",",","&amp;SUBSTITUTE(input_program," ","")&amp;",")))=0)),IF(HK82="",TRUE,IF(input_program="",FALSE,SUMPRODUCT(--ISNUMBER(SEARCH(","&amp;TRIM(TEXTSPLIT(HK82,","))&amp;",",","&amp;SUBSTITUTE(input_program," ","")&amp;",")))&gt;0)),IF(HM82="",TRUE,IF(input_program="",FALSE,SUMPRODUCT(--ISNUMBER(SEARCH(","&amp;TRIM(TEXTSPLIT(HM82,","))&amp;",",","&amp;SUBSTITUTE(input_program," ","")&amp;",")))=COUNTA(TEXTSPLIT(HM82,",")))))</f>
        <v/>
      </c>
      <c r="JO82">
        <f>AND(IF(HO82="",TRUE,IF(input_story_categories="",FALSE,SUMPRODUCT(--ISNUMBER(SEARCH(","&amp;TRIM(TEXTSPLIT(HO82,","))&amp;",",","&amp;SUBSTITUTE(input_story_categories," ","")&amp;",")))&gt;0)),IF(HQ82="",TRUE,IF(input_story_categories="",FALSE,SUMPRODUCT(--ISNUMBER(SEARCH(","&amp;TRIM(TEXTSPLIT(HQ82,","))&amp;",",","&amp;SUBSTITUTE(input_story_categories," ","")&amp;",")))=COUNTA(TEXTSPLIT(HQ82,",")))),IF(HS82="",TRUE,IF(input_story_categories="",TRUE,SUMPRODUCT(--ISNUMBER(SEARCH(","&amp;TRIM(TEXTSPLIT(HS82,","))&amp;",",","&amp;SUBSTITUTE(input_story_categories," ","")&amp;",")))=0)),IF(HU82="",TRUE,IF(input_story_categories="",FALSE,SUMPRODUCT(--ISNUMBER(SEARCH(","&amp;TRIM(TEXTSPLIT(HU82,","))&amp;",",","&amp;SUBSTITUTE(input_story_categories," ","")&amp;",")))&gt;0)),IF(HW82="",TRUE,IF(input_story_categories="",FALSE,SUMPRODUCT(--ISNUMBER(SEARCH(","&amp;TRIM(TEXTSPLIT(HW82,","))&amp;",",","&amp;SUBSTITUTE(input_story_categories," ","")&amp;",")))=COUNTA(TEXTSPLIT(HW82,",")))))</f>
        <v/>
      </c>
      <c r="JP82">
        <f>AND(IF(HY82="",TRUE,IF(input_story_type="",FALSE,SUMPRODUCT(--ISNUMBER(SEARCH(","&amp;TRIM(TEXTSPLIT(HY82,","))&amp;",",","&amp;SUBSTITUTE(input_story_type," ","")&amp;",")))&gt;0)),IF(IA82="",TRUE,IF(input_story_type="",FALSE,SUMPRODUCT(--ISNUMBER(SEARCH(","&amp;TRIM(TEXTSPLIT(IA82,","))&amp;",",","&amp;SUBSTITUTE(input_story_type," ","")&amp;",")))=COUNTA(TEXTSPLIT(IA82,",")))),IF(IC82="",TRUE,IF(input_story_type="",TRUE,SUMPRODUCT(--ISNUMBER(SEARCH(","&amp;TRIM(TEXTSPLIT(IC82,","))&amp;",",","&amp;SUBSTITUTE(input_story_type," ","")&amp;",")))=0)),IF(IE82="",TRUE,IF(input_story_type="",FALSE,SUMPRODUCT(--ISNUMBER(SEARCH(","&amp;TRIM(TEXTSPLIT(IE82,","))&amp;",",","&amp;SUBSTITUTE(input_story_type," ","")&amp;",")))&gt;0)),IF(IG82="",TRUE,IF(input_story_type="",FALSE,SUMPRODUCT(--ISNUMBER(SEARCH(","&amp;TRIM(TEXTSPLIT(IG82,","))&amp;",",","&amp;SUBSTITUTE(input_story_type," ","")&amp;",")))=COUNTA(TEXTSPLIT(IG82,",")))))</f>
        <v/>
      </c>
      <c r="JQ82">
        <f>AND(IF(II82="",TRUE,IF(input_topics="",FALSE,SUMPRODUCT(--ISNUMBER(SEARCH(","&amp;TRIM(TEXTSPLIT(II82,","))&amp;",",","&amp;SUBSTITUTE(input_topics," ","")&amp;",")))&gt;0)),IF(IK82="",TRUE,IF(input_topics="",FALSE,SUMPRODUCT(--ISNUMBER(SEARCH(","&amp;TRIM(TEXTSPLIT(IK82,","))&amp;",",","&amp;SUBSTITUTE(input_topics," ","")&amp;",")))=COUNTA(TEXTSPLIT(IK82,",")))),IF(IM82="",TRUE,IF(input_topics="",TRUE,SUMPRODUCT(--ISNUMBER(SEARCH(","&amp;TRIM(TEXTSPLIT(IM82,","))&amp;",",","&amp;SUBSTITUTE(input_topics," ","")&amp;",")))=0)),IF(IO82="",TRUE,IF(input_topics="",FALSE,SUMPRODUCT(--ISNUMBER(SEARCH(","&amp;TRIM(TEXTSPLIT(IO82,","))&amp;",",","&amp;SUBSTITUTE(input_topics," ","")&amp;",")))&gt;0)),IF(IQ82="",TRUE,IF(input_topics="",FALSE,SUMPRODUCT(--ISNUMBER(SEARCH(","&amp;TRIM(TEXTSPLIT(IQ82,","))&amp;",",","&amp;SUBSTITUTE(input_topics," ","")&amp;",")))=COUNTA(TEXTSPLIT(IQ82,",")))))</f>
        <v/>
      </c>
    </row>
    <row r="83">
      <c r="A83" s="4">
        <f>IF(NOT(IS83),"Excluded",IF(AND(IT83,IU83,IV83,IW83,IX83,IY83,IZ83,JA83,JB83,JC83,JD83,JE83,JF83,JG83,JH83,JI83,JJ83,JK83,JL83,JM83,JN83,JO83,JP83,JQ83),IF(I83&gt;0,"Eligible but limited","Will appear"),"Excluded"))</f>
        <v/>
      </c>
      <c r="B83" s="4" t="inlineStr">
        <is>
          <t>Blogs - Summary</t>
        </is>
      </c>
      <c r="C83" s="4" t="inlineStr">
        <is>
          <t>/the-som-experience/interests-and-industries/sustainability</t>
        </is>
      </c>
      <c r="D83" s="4" t="inlineStr">
        <is>
          <t>/the-som-experience/interests-and-industries/sustainability</t>
        </is>
      </c>
      <c r="E83" s="4" t="n">
        <v>1</v>
      </c>
      <c r="F83" s="4" t="inlineStr">
        <is>
          <t>story</t>
        </is>
      </c>
      <c r="G83" s="4" t="inlineStr">
        <is>
          <t>stories_mosaic_grid</t>
        </is>
      </c>
      <c r="H83" s="4" t="inlineStr">
        <is>
          <t>embed_blog_summary</t>
        </is>
      </c>
      <c r="I83" s="4" t="n">
        <v>1</v>
      </c>
      <c r="J83" s="4" t="inlineStr">
        <is>
          <t>View/config rules</t>
        </is>
      </c>
      <c r="K83" s="4" t="inlineStr">
        <is>
          <t>Page placement</t>
        </is>
      </c>
      <c r="L83" s="4" t="inlineStr">
        <is>
          <t>Content type: story; Needs any Story Type: Blog (974); Limited to 1 item(s); Source: View/config rules</t>
        </is>
      </c>
      <c r="M83" t="inlineStr"/>
      <c r="N83" t="inlineStr"/>
      <c r="O83" t="inlineStr"/>
      <c r="P83" t="inlineStr"/>
      <c r="Q83" t="inlineStr"/>
      <c r="R83" t="inlineStr"/>
      <c r="S83" t="inlineStr"/>
      <c r="T83" t="inlineStr"/>
      <c r="U83" t="inlineStr"/>
      <c r="V83" t="inlineStr"/>
      <c r="W83" t="inlineStr"/>
      <c r="X83" t="inlineStr"/>
      <c r="Y83" t="inlineStr"/>
      <c r="Z83" t="inlineStr"/>
      <c r="AA83" t="inlineStr"/>
      <c r="AB83" t="inlineStr"/>
      <c r="AC83" t="inlineStr"/>
      <c r="AD83" t="inlineStr"/>
      <c r="AE83" t="inlineStr"/>
      <c r="AF83" t="inlineStr"/>
      <c r="AG83" t="inlineStr"/>
      <c r="AH83" t="inlineStr"/>
      <c r="AI83" t="inlineStr"/>
      <c r="AJ83" t="inlineStr"/>
      <c r="AK83" t="inlineStr"/>
      <c r="AL83" t="inlineStr"/>
      <c r="AM83" t="inlineStr"/>
      <c r="AN83" t="inlineStr"/>
      <c r="AO83" t="inlineStr"/>
      <c r="AP83" t="inlineStr"/>
      <c r="AQ83" t="inlineStr"/>
      <c r="AR83" t="inlineStr"/>
      <c r="AS83" t="inlineStr"/>
      <c r="AT83" t="inlineStr"/>
      <c r="AU83" t="inlineStr"/>
      <c r="AV83" t="inlineStr"/>
      <c r="AW83" t="inlineStr"/>
      <c r="AX83" t="inlineStr"/>
      <c r="AY83" t="inlineStr"/>
      <c r="AZ83" t="inlineStr"/>
      <c r="BA83" t="inlineStr"/>
      <c r="BB83" t="inlineStr"/>
      <c r="BC83" t="inlineStr"/>
      <c r="BD83" t="inlineStr"/>
      <c r="BE83" t="inlineStr"/>
      <c r="BF83" t="inlineStr"/>
      <c r="BG83" t="inlineStr"/>
      <c r="BH83" t="inlineStr"/>
      <c r="BI83" t="inlineStr"/>
      <c r="BJ83" t="inlineStr"/>
      <c r="BK83" t="inlineStr"/>
      <c r="BL83" t="inlineStr"/>
      <c r="BM83" t="inlineStr"/>
      <c r="BN83" t="inlineStr"/>
      <c r="BO83" t="inlineStr"/>
      <c r="BP83" t="inlineStr"/>
      <c r="BQ83" t="inlineStr"/>
      <c r="BR83" t="inlineStr"/>
      <c r="BS83" t="inlineStr"/>
      <c r="BT83" t="inlineStr"/>
      <c r="BU83" t="inlineStr"/>
      <c r="BV83" t="inlineStr"/>
      <c r="BW83" t="inlineStr"/>
      <c r="BX83" t="inlineStr"/>
      <c r="BY83" t="inlineStr"/>
      <c r="BZ83" t="inlineStr"/>
      <c r="CA83" t="inlineStr"/>
      <c r="CB83" t="inlineStr"/>
      <c r="CC83" t="inlineStr"/>
      <c r="CD83" t="inlineStr"/>
      <c r="CE83" t="inlineStr"/>
      <c r="CF83" t="inlineStr"/>
      <c r="CG83" t="inlineStr"/>
      <c r="CH83" t="inlineStr"/>
      <c r="CI83" t="inlineStr"/>
      <c r="CJ83" t="inlineStr"/>
      <c r="CK83" t="inlineStr"/>
      <c r="CL83" t="inlineStr"/>
      <c r="CM83" t="inlineStr"/>
      <c r="CN83" t="inlineStr"/>
      <c r="CO83" t="inlineStr"/>
      <c r="CP83" t="inlineStr"/>
      <c r="CQ83" t="inlineStr"/>
      <c r="CR83" t="inlineStr"/>
      <c r="CS83" t="inlineStr"/>
      <c r="CT83" t="inlineStr"/>
      <c r="CU83" t="inlineStr"/>
      <c r="CV83" t="inlineStr"/>
      <c r="CW83" t="inlineStr"/>
      <c r="CX83" t="inlineStr"/>
      <c r="CY83" t="inlineStr"/>
      <c r="CZ83" t="inlineStr"/>
      <c r="DA83" t="inlineStr"/>
      <c r="DB83" t="inlineStr"/>
      <c r="DC83" t="inlineStr"/>
      <c r="DD83" t="inlineStr"/>
      <c r="DE83" t="inlineStr"/>
      <c r="DF83" t="inlineStr"/>
      <c r="DG83" t="inlineStr"/>
      <c r="DH83" t="inlineStr"/>
      <c r="DI83" t="inlineStr"/>
      <c r="DJ83" t="inlineStr"/>
      <c r="DK83" t="inlineStr"/>
      <c r="DL83" t="inlineStr"/>
      <c r="DM83" t="inlineStr"/>
      <c r="DN83" t="inlineStr"/>
      <c r="DO83" t="inlineStr"/>
      <c r="DP83" t="inlineStr"/>
      <c r="DQ83" t="inlineStr"/>
      <c r="DR83" t="inlineStr"/>
      <c r="DS83" t="inlineStr"/>
      <c r="DT83" t="inlineStr"/>
      <c r="DU83" t="inlineStr"/>
      <c r="DV83" t="inlineStr"/>
      <c r="DW83" t="inlineStr"/>
      <c r="DX83" t="inlineStr"/>
      <c r="DY83" t="inlineStr"/>
      <c r="DZ83" t="inlineStr"/>
      <c r="EA83" t="inlineStr"/>
      <c r="EB83" t="inlineStr"/>
      <c r="EC83" t="inlineStr"/>
      <c r="ED83" t="inlineStr"/>
      <c r="EE83" t="inlineStr"/>
      <c r="EF83" t="inlineStr"/>
      <c r="EG83" t="inlineStr"/>
      <c r="EH83" t="inlineStr"/>
      <c r="EI83" t="inlineStr"/>
      <c r="EJ83" t="inlineStr"/>
      <c r="EK83" t="inlineStr"/>
      <c r="EL83" t="inlineStr"/>
      <c r="EM83" t="inlineStr"/>
      <c r="EN83" t="inlineStr"/>
      <c r="EO83" t="inlineStr"/>
      <c r="EP83" t="inlineStr"/>
      <c r="EQ83" t="inlineStr"/>
      <c r="ER83" t="inlineStr"/>
      <c r="ES83" t="inlineStr"/>
      <c r="ET83" t="inlineStr"/>
      <c r="EU83" t="inlineStr"/>
      <c r="EV83" t="inlineStr"/>
      <c r="EW83" t="inlineStr"/>
      <c r="EX83" t="inlineStr"/>
      <c r="EY83" t="inlineStr"/>
      <c r="EZ83" t="inlineStr"/>
      <c r="FA83" t="inlineStr"/>
      <c r="FB83" t="inlineStr"/>
      <c r="FC83" t="inlineStr"/>
      <c r="FD83" t="inlineStr"/>
      <c r="FE83" t="inlineStr"/>
      <c r="FF83" t="inlineStr"/>
      <c r="FG83" t="inlineStr"/>
      <c r="FH83" t="inlineStr"/>
      <c r="FI83" t="inlineStr"/>
      <c r="FJ83" t="inlineStr"/>
      <c r="FK83" t="inlineStr"/>
      <c r="FL83" t="inlineStr"/>
      <c r="FM83" t="inlineStr"/>
      <c r="FN83" t="inlineStr"/>
      <c r="FO83" t="inlineStr"/>
      <c r="FP83" t="inlineStr"/>
      <c r="FQ83" t="inlineStr"/>
      <c r="FR83" t="inlineStr"/>
      <c r="FS83" t="inlineStr"/>
      <c r="FT83" t="inlineStr"/>
      <c r="FU83" t="inlineStr"/>
      <c r="FV83" t="inlineStr"/>
      <c r="FW83" t="inlineStr"/>
      <c r="FX83" t="inlineStr"/>
      <c r="FY83" t="inlineStr"/>
      <c r="FZ83" t="inlineStr"/>
      <c r="GA83" t="inlineStr"/>
      <c r="GB83" t="inlineStr"/>
      <c r="GC83" t="inlineStr"/>
      <c r="GD83" t="inlineStr"/>
      <c r="GE83" t="inlineStr"/>
      <c r="GF83" t="inlineStr"/>
      <c r="GG83" t="inlineStr"/>
      <c r="GH83" t="inlineStr"/>
      <c r="GI83" t="inlineStr"/>
      <c r="GJ83" t="inlineStr"/>
      <c r="GK83" t="inlineStr"/>
      <c r="GL83" t="inlineStr"/>
      <c r="GM83" t="inlineStr"/>
      <c r="GN83" t="inlineStr"/>
      <c r="GO83" t="inlineStr"/>
      <c r="GP83" t="inlineStr"/>
      <c r="GQ83" t="inlineStr"/>
      <c r="GR83" t="inlineStr"/>
      <c r="GS83" t="inlineStr"/>
      <c r="GT83" t="inlineStr"/>
      <c r="GU83" t="inlineStr"/>
      <c r="GV83" t="inlineStr"/>
      <c r="GW83" t="inlineStr"/>
      <c r="GX83" t="inlineStr"/>
      <c r="GY83" t="inlineStr"/>
      <c r="GZ83" t="inlineStr"/>
      <c r="HA83" t="inlineStr"/>
      <c r="HB83" t="inlineStr"/>
      <c r="HC83" t="inlineStr"/>
      <c r="HD83" t="inlineStr"/>
      <c r="HE83" t="inlineStr"/>
      <c r="HF83" t="inlineStr"/>
      <c r="HG83" t="inlineStr"/>
      <c r="HH83" t="inlineStr"/>
      <c r="HI83" t="inlineStr"/>
      <c r="HJ83" t="inlineStr"/>
      <c r="HK83" t="inlineStr"/>
      <c r="HL83" t="inlineStr"/>
      <c r="HM83" t="inlineStr"/>
      <c r="HN83" t="inlineStr"/>
      <c r="HO83" t="inlineStr"/>
      <c r="HP83" t="inlineStr"/>
      <c r="HQ83" t="inlineStr"/>
      <c r="HR83" t="inlineStr"/>
      <c r="HS83" t="inlineStr"/>
      <c r="HT83" t="inlineStr"/>
      <c r="HU83" t="inlineStr"/>
      <c r="HV83" t="inlineStr"/>
      <c r="HW83" t="inlineStr"/>
      <c r="HX83" t="inlineStr"/>
      <c r="HY83" t="inlineStr">
        <is>
          <t>974</t>
        </is>
      </c>
      <c r="HZ83" t="inlineStr">
        <is>
          <t>Blog (974)</t>
        </is>
      </c>
      <c r="IA83" t="inlineStr"/>
      <c r="IB83" t="inlineStr"/>
      <c r="IC83" t="inlineStr"/>
      <c r="ID83" t="inlineStr"/>
      <c r="IE83" t="inlineStr"/>
      <c r="IF83" t="inlineStr"/>
      <c r="IG83" t="inlineStr"/>
      <c r="IH83" t="inlineStr"/>
      <c r="II83" t="inlineStr"/>
      <c r="IJ83" t="inlineStr"/>
      <c r="IK83" t="inlineStr"/>
      <c r="IL83" t="inlineStr"/>
      <c r="IM83" t="inlineStr"/>
      <c r="IN83" t="inlineStr"/>
      <c r="IO83" t="inlineStr"/>
      <c r="IP83" t="inlineStr"/>
      <c r="IQ83" t="inlineStr"/>
      <c r="IR83" t="inlineStr"/>
      <c r="IS83">
        <f>IF(input_content_type="",FALSE,ISNUMBER(SEARCH(","&amp;LOWER(input_content_type)&amp;",",","&amp;LOWER(F83)&amp;",")))</f>
        <v/>
      </c>
      <c r="IT83">
        <f>AND(IF(M83="",TRUE,IF(input_affiliations="",FALSE,SUMPRODUCT(--ISNUMBER(SEARCH(","&amp;TRIM(TEXTSPLIT(M83,","))&amp;",",","&amp;SUBSTITUTE(input_affiliations," ","")&amp;",")))&gt;0)),IF(O83="",TRUE,IF(input_affiliations="",FALSE,SUMPRODUCT(--ISNUMBER(SEARCH(","&amp;TRIM(TEXTSPLIT(O83,","))&amp;",",","&amp;SUBSTITUTE(input_affiliations," ","")&amp;",")))=COUNTA(TEXTSPLIT(O83,",")))),IF(Q83="",TRUE,IF(input_affiliations="",TRUE,SUMPRODUCT(--ISNUMBER(SEARCH(","&amp;TRIM(TEXTSPLIT(Q83,","))&amp;",",","&amp;SUBSTITUTE(input_affiliations," ","")&amp;",")))=0)),IF(S83="",TRUE,IF(input_affiliations="",FALSE,SUMPRODUCT(--ISNUMBER(SEARCH(","&amp;TRIM(TEXTSPLIT(S83,","))&amp;",",","&amp;SUBSTITUTE(input_affiliations," ","")&amp;",")))&gt;0)),IF(U83="",TRUE,IF(input_affiliations="",FALSE,SUMPRODUCT(--ISNUMBER(SEARCH(","&amp;TRIM(TEXTSPLIT(U83,","))&amp;",",","&amp;SUBSTITUTE(input_affiliations," ","")&amp;",")))=COUNTA(TEXTSPLIT(U83,",")))))</f>
        <v/>
      </c>
      <c r="IU83">
        <f>AND(IF(W83="",TRUE,IF(input_announcement_category="",FALSE,SUMPRODUCT(--ISNUMBER(SEARCH(","&amp;TRIM(TEXTSPLIT(W83,","))&amp;",",","&amp;SUBSTITUTE(input_announcement_category," ","")&amp;",")))&gt;0)),IF(Y83="",TRUE,IF(input_announcement_category="",FALSE,SUMPRODUCT(--ISNUMBER(SEARCH(","&amp;TRIM(TEXTSPLIT(Y83,","))&amp;",",","&amp;SUBSTITUTE(input_announcement_category," ","")&amp;",")))=COUNTA(TEXTSPLIT(Y83,",")))),IF(AA83="",TRUE,IF(input_announcement_category="",TRUE,SUMPRODUCT(--ISNUMBER(SEARCH(","&amp;TRIM(TEXTSPLIT(AA83,","))&amp;",",","&amp;SUBSTITUTE(input_announcement_category," ","")&amp;",")))=0)),IF(AC83="",TRUE,IF(input_announcement_category="",FALSE,SUMPRODUCT(--ISNUMBER(SEARCH(","&amp;TRIM(TEXTSPLIT(AC83,","))&amp;",",","&amp;SUBSTITUTE(input_announcement_category," ","")&amp;",")))&gt;0)),IF(AE83="",TRUE,IF(input_announcement_category="",FALSE,SUMPRODUCT(--ISNUMBER(SEARCH(","&amp;TRIM(TEXTSPLIT(AE83,","))&amp;",",","&amp;SUBSTITUTE(input_announcement_category," ","")&amp;",")))=COUNTA(TEXTSPLIT(AE83,",")))))</f>
        <v/>
      </c>
      <c r="IV83">
        <f>AND(IF(AG83="",TRUE,IF(input_area_of_focus="",FALSE,SUMPRODUCT(--ISNUMBER(SEARCH(","&amp;TRIM(TEXTSPLIT(AG83,","))&amp;",",","&amp;SUBSTITUTE(input_area_of_focus," ","")&amp;",")))&gt;0)),IF(AI83="",TRUE,IF(input_area_of_focus="",FALSE,SUMPRODUCT(--ISNUMBER(SEARCH(","&amp;TRIM(TEXTSPLIT(AI83,","))&amp;",",","&amp;SUBSTITUTE(input_area_of_focus," ","")&amp;",")))=COUNTA(TEXTSPLIT(AI83,",")))),IF(AK83="",TRUE,IF(input_area_of_focus="",TRUE,SUMPRODUCT(--ISNUMBER(SEARCH(","&amp;TRIM(TEXTSPLIT(AK83,","))&amp;",",","&amp;SUBSTITUTE(input_area_of_focus," ","")&amp;",")))=0)),IF(AM83="",TRUE,IF(input_area_of_focus="",FALSE,SUMPRODUCT(--ISNUMBER(SEARCH(","&amp;TRIM(TEXTSPLIT(AM83,","))&amp;",",","&amp;SUBSTITUTE(input_area_of_focus," ","")&amp;",")))&gt;0)),IF(AO83="",TRUE,IF(input_area_of_focus="",FALSE,SUMPRODUCT(--ISNUMBER(SEARCH(","&amp;TRIM(TEXTSPLIT(AO83,","))&amp;",",","&amp;SUBSTITUTE(input_area_of_focus," ","")&amp;",")))=COUNTA(TEXTSPLIT(AO83,",")))))</f>
        <v/>
      </c>
      <c r="IW83">
        <f>AND(IF(AQ83="",TRUE,IF(input_audience="",FALSE,SUMPRODUCT(--ISNUMBER(SEARCH(","&amp;TRIM(TEXTSPLIT(AQ83,","))&amp;",",","&amp;SUBSTITUTE(input_audience," ","")&amp;",")))&gt;0)),IF(AS83="",TRUE,IF(input_audience="",FALSE,SUMPRODUCT(--ISNUMBER(SEARCH(","&amp;TRIM(TEXTSPLIT(AS83,","))&amp;",",","&amp;SUBSTITUTE(input_audience," ","")&amp;",")))=COUNTA(TEXTSPLIT(AS83,",")))),IF(AU83="",TRUE,IF(input_audience="",TRUE,SUMPRODUCT(--ISNUMBER(SEARCH(","&amp;TRIM(TEXTSPLIT(AU83,","))&amp;",",","&amp;SUBSTITUTE(input_audience," ","")&amp;",")))=0)),IF(AW83="",TRUE,IF(input_audience="",FALSE,SUMPRODUCT(--ISNUMBER(SEARCH(","&amp;TRIM(TEXTSPLIT(AW83,","))&amp;",",","&amp;SUBSTITUTE(input_audience," ","")&amp;",")))&gt;0)),IF(AY83="",TRUE,IF(input_audience="",FALSE,SUMPRODUCT(--ISNUMBER(SEARCH(","&amp;TRIM(TEXTSPLIT(AY83,","))&amp;",",","&amp;SUBSTITUTE(input_audience," ","")&amp;",")))=COUNTA(TEXTSPLIT(AY83,",")))))</f>
        <v/>
      </c>
      <c r="IX83">
        <f>AND(IF(BA83="",TRUE,IF(input_challenge_opportunities="",FALSE,SUMPRODUCT(--ISNUMBER(SEARCH(","&amp;TRIM(TEXTSPLIT(BA83,","))&amp;",",","&amp;SUBSTITUTE(input_challenge_opportunities," ","")&amp;",")))&gt;0)),IF(BC83="",TRUE,IF(input_challenge_opportunities="",FALSE,SUMPRODUCT(--ISNUMBER(SEARCH(","&amp;TRIM(TEXTSPLIT(BC83,","))&amp;",",","&amp;SUBSTITUTE(input_challenge_opportunities," ","")&amp;",")))=COUNTA(TEXTSPLIT(BC83,",")))),IF(BE83="",TRUE,IF(input_challenge_opportunities="",TRUE,SUMPRODUCT(--ISNUMBER(SEARCH(","&amp;TRIM(TEXTSPLIT(BE83,","))&amp;",",","&amp;SUBSTITUTE(input_challenge_opportunities," ","")&amp;",")))=0)),IF(BG83="",TRUE,IF(input_challenge_opportunities="",FALSE,SUMPRODUCT(--ISNUMBER(SEARCH(","&amp;TRIM(TEXTSPLIT(BG83,","))&amp;",",","&amp;SUBSTITUTE(input_challenge_opportunities," ","")&amp;",")))&gt;0)),IF(BI83="",TRUE,IF(input_challenge_opportunities="",FALSE,SUMPRODUCT(--ISNUMBER(SEARCH(","&amp;TRIM(TEXTSPLIT(BI83,","))&amp;",",","&amp;SUBSTITUTE(input_challenge_opportunities," ","")&amp;",")))=COUNTA(TEXTSPLIT(BI83,",")))))</f>
        <v/>
      </c>
      <c r="IY83">
        <f>AND(IF(BK83="",TRUE,IF(input_context="",FALSE,SUMPRODUCT(--ISNUMBER(SEARCH(","&amp;TRIM(TEXTSPLIT(BK83,","))&amp;",",","&amp;SUBSTITUTE(input_context," ","")&amp;",")))&gt;0)),IF(BM83="",TRUE,IF(input_context="",FALSE,SUMPRODUCT(--ISNUMBER(SEARCH(","&amp;TRIM(TEXTSPLIT(BM83,","))&amp;",",","&amp;SUBSTITUTE(input_context," ","")&amp;",")))=COUNTA(TEXTSPLIT(BM83,",")))),IF(BO83="",TRUE,IF(input_context="",TRUE,SUMPRODUCT(--ISNUMBER(SEARCH(","&amp;TRIM(TEXTSPLIT(BO83,","))&amp;",",","&amp;SUBSTITUTE(input_context," ","")&amp;",")))=0)),IF(BQ83="",TRUE,IF(input_context="",FALSE,SUMPRODUCT(--ISNUMBER(SEARCH(","&amp;TRIM(TEXTSPLIT(BQ83,","))&amp;",",","&amp;SUBSTITUTE(input_context," ","")&amp;",")))&gt;0)),IF(BS83="",TRUE,IF(input_context="",FALSE,SUMPRODUCT(--ISNUMBER(SEARCH(","&amp;TRIM(TEXTSPLIT(BS83,","))&amp;",",","&amp;SUBSTITUTE(input_context," ","")&amp;",")))=COUNTA(TEXTSPLIT(BS83,",")))))</f>
        <v/>
      </c>
      <c r="IZ83">
        <f>AND(IF(BU83="",TRUE,IF(input_enews_announcement_type="",FALSE,SUMPRODUCT(--ISNUMBER(SEARCH(","&amp;TRIM(TEXTSPLIT(BU83,","))&amp;",",","&amp;SUBSTITUTE(input_enews_announcement_type," ","")&amp;",")))&gt;0)),IF(BW83="",TRUE,IF(input_enews_announcement_type="",FALSE,SUMPRODUCT(--ISNUMBER(SEARCH(","&amp;TRIM(TEXTSPLIT(BW83,","))&amp;",",","&amp;SUBSTITUTE(input_enews_announcement_type," ","")&amp;",")))=COUNTA(TEXTSPLIT(BW83,",")))),IF(BY83="",TRUE,IF(input_enews_announcement_type="",TRUE,SUMPRODUCT(--ISNUMBER(SEARCH(","&amp;TRIM(TEXTSPLIT(BY83,","))&amp;",",","&amp;SUBSTITUTE(input_enews_announcement_type," ","")&amp;",")))=0)),IF(CA83="",TRUE,IF(input_enews_announcement_type="",FALSE,SUMPRODUCT(--ISNUMBER(SEARCH(","&amp;TRIM(TEXTSPLIT(CA83,","))&amp;",",","&amp;SUBSTITUTE(input_enews_announcement_type," ","")&amp;",")))&gt;0)),IF(CC83="",TRUE,IF(input_enews_announcement_type="",FALSE,SUMPRODUCT(--ISNUMBER(SEARCH(","&amp;TRIM(TEXTSPLIT(CC83,","))&amp;",",","&amp;SUBSTITUTE(input_enews_announcement_type," ","")&amp;",")))=COUNTA(TEXTSPLIT(CC83,",")))))</f>
        <v/>
      </c>
      <c r="JA83">
        <f>AND(IF(CE83="",TRUE,IF(input_enews_audience="",FALSE,SUMPRODUCT(--ISNUMBER(SEARCH(","&amp;TRIM(TEXTSPLIT(CE83,","))&amp;",",","&amp;SUBSTITUTE(input_enews_audience," ","")&amp;",")))&gt;0)),IF(CG83="",TRUE,IF(input_enews_audience="",FALSE,SUMPRODUCT(--ISNUMBER(SEARCH(","&amp;TRIM(TEXTSPLIT(CG83,","))&amp;",",","&amp;SUBSTITUTE(input_enews_audience," ","")&amp;",")))=COUNTA(TEXTSPLIT(CG83,",")))),IF(CI83="",TRUE,IF(input_enews_audience="",TRUE,SUMPRODUCT(--ISNUMBER(SEARCH(","&amp;TRIM(TEXTSPLIT(CI83,","))&amp;",",","&amp;SUBSTITUTE(input_enews_audience," ","")&amp;",")))=0)),IF(CK83="",TRUE,IF(input_enews_audience="",FALSE,SUMPRODUCT(--ISNUMBER(SEARCH(","&amp;TRIM(TEXTSPLIT(CK83,","))&amp;",",","&amp;SUBSTITUTE(input_enews_audience," ","")&amp;",")))&gt;0)),IF(CM83="",TRUE,IF(input_enews_audience="",FALSE,SUMPRODUCT(--ISNUMBER(SEARCH(","&amp;TRIM(TEXTSPLIT(CM83,","))&amp;",",","&amp;SUBSTITUTE(input_enews_audience," ","")&amp;",")))=COUNTA(TEXTSPLIT(CM83,",")))))</f>
        <v/>
      </c>
      <c r="JB83">
        <f>AND(IF(CO83="",TRUE,IF(input_event_location="",FALSE,SUMPRODUCT(--ISNUMBER(SEARCH(","&amp;TRIM(TEXTSPLIT(CO83,","))&amp;",",","&amp;SUBSTITUTE(input_event_location," ","")&amp;",")))&gt;0)),IF(CQ83="",TRUE,IF(input_event_location="",FALSE,SUMPRODUCT(--ISNUMBER(SEARCH(","&amp;TRIM(TEXTSPLIT(CQ83,","))&amp;",",","&amp;SUBSTITUTE(input_event_location," ","")&amp;",")))=COUNTA(TEXTSPLIT(CQ83,",")))),IF(CS83="",TRUE,IF(input_event_location="",TRUE,SUMPRODUCT(--ISNUMBER(SEARCH(","&amp;TRIM(TEXTSPLIT(CS83,","))&amp;",",","&amp;SUBSTITUTE(input_event_location," ","")&amp;",")))=0)),IF(CU83="",TRUE,IF(input_event_location="",FALSE,SUMPRODUCT(--ISNUMBER(SEARCH(","&amp;TRIM(TEXTSPLIT(CU83,","))&amp;",",","&amp;SUBSTITUTE(input_event_location," ","")&amp;",")))&gt;0)),IF(CW83="",TRUE,IF(input_event_location="",FALSE,SUMPRODUCT(--ISNUMBER(SEARCH(","&amp;TRIM(TEXTSPLIT(CW83,","))&amp;",",","&amp;SUBSTITUTE(input_event_location," ","")&amp;",")))=COUNTA(TEXTSPLIT(CW83,",")))))</f>
        <v/>
      </c>
      <c r="JC83">
        <f>AND(IF(CY83="",TRUE,IF(input_event_type="",FALSE,SUMPRODUCT(--ISNUMBER(SEARCH(","&amp;TRIM(TEXTSPLIT(CY83,","))&amp;",",","&amp;SUBSTITUTE(input_event_type," ","")&amp;",")))&gt;0)),IF(DA83="",TRUE,IF(input_event_type="",FALSE,SUMPRODUCT(--ISNUMBER(SEARCH(","&amp;TRIM(TEXTSPLIT(DA83,","))&amp;",",","&amp;SUBSTITUTE(input_event_type," ","")&amp;",")))=COUNTA(TEXTSPLIT(DA83,",")))),IF(DC83="",TRUE,IF(input_event_type="",TRUE,SUMPRODUCT(--ISNUMBER(SEARCH(","&amp;TRIM(TEXTSPLIT(DC83,","))&amp;",",","&amp;SUBSTITUTE(input_event_type," ","")&amp;",")))=0)),IF(DE83="",TRUE,IF(input_event_type="",FALSE,SUMPRODUCT(--ISNUMBER(SEARCH(","&amp;TRIM(TEXTSPLIT(DE83,","))&amp;",",","&amp;SUBSTITUTE(input_event_type," ","")&amp;",")))&gt;0)),IF(DG83="",TRUE,IF(input_event_type="",FALSE,SUMPRODUCT(--ISNUMBER(SEARCH(","&amp;TRIM(TEXTSPLIT(DG83,","))&amp;",",","&amp;SUBSTITUTE(input_event_type," ","")&amp;",")))=COUNTA(TEXTSPLIT(DG83,",")))))</f>
        <v/>
      </c>
      <c r="JD83">
        <f>AND(IF(DI83="",TRUE,IF(input_executive_education_focus="",FALSE,SUMPRODUCT(--ISNUMBER(SEARCH(","&amp;TRIM(TEXTSPLIT(DI83,","))&amp;",",","&amp;SUBSTITUTE(input_executive_education_focus," ","")&amp;",")))&gt;0)),IF(DK83="",TRUE,IF(input_executive_education_focus="",FALSE,SUMPRODUCT(--ISNUMBER(SEARCH(","&amp;TRIM(TEXTSPLIT(DK83,","))&amp;",",","&amp;SUBSTITUTE(input_executive_education_focus," ","")&amp;",")))=COUNTA(TEXTSPLIT(DK83,",")))),IF(DM83="",TRUE,IF(input_executive_education_focus="",TRUE,SUMPRODUCT(--ISNUMBER(SEARCH(","&amp;TRIM(TEXTSPLIT(DM83,","))&amp;",",","&amp;SUBSTITUTE(input_executive_education_focus," ","")&amp;",")))=0)),IF(DO83="",TRUE,IF(input_executive_education_focus="",FALSE,SUMPRODUCT(--ISNUMBER(SEARCH(","&amp;TRIM(TEXTSPLIT(DO83,","))&amp;",",","&amp;SUBSTITUTE(input_executive_education_focus," ","")&amp;",")))&gt;0)),IF(DQ83="",TRUE,IF(input_executive_education_focus="",FALSE,SUMPRODUCT(--ISNUMBER(SEARCH(","&amp;TRIM(TEXTSPLIT(DQ83,","))&amp;",",","&amp;SUBSTITUTE(input_executive_education_focus," ","")&amp;",")))=COUNTA(TEXTSPLIT(DQ83,",")))))</f>
        <v/>
      </c>
      <c r="JE83">
        <f>AND(IF(DS83="",TRUE,IF(input_faculty_category="",FALSE,SUMPRODUCT(--ISNUMBER(SEARCH(","&amp;TRIM(TEXTSPLIT(DS83,","))&amp;",",","&amp;SUBSTITUTE(input_faculty_category," ","")&amp;",")))&gt;0)),IF(DU83="",TRUE,IF(input_faculty_category="",FALSE,SUMPRODUCT(--ISNUMBER(SEARCH(","&amp;TRIM(TEXTSPLIT(DU83,","))&amp;",",","&amp;SUBSTITUTE(input_faculty_category," ","")&amp;",")))=COUNTA(TEXTSPLIT(DU83,",")))),IF(DW83="",TRUE,IF(input_faculty_category="",TRUE,SUMPRODUCT(--ISNUMBER(SEARCH(","&amp;TRIM(TEXTSPLIT(DW83,","))&amp;",",","&amp;SUBSTITUTE(input_faculty_category," ","")&amp;",")))=0)),IF(DY83="",TRUE,IF(input_faculty_category="",FALSE,SUMPRODUCT(--ISNUMBER(SEARCH(","&amp;TRIM(TEXTSPLIT(DY83,","))&amp;",",","&amp;SUBSTITUTE(input_faculty_category," ","")&amp;",")))&gt;0)),IF(EA83="",TRUE,IF(input_faculty_category="",FALSE,SUMPRODUCT(--ISNUMBER(SEARCH(","&amp;TRIM(TEXTSPLIT(EA83,","))&amp;",",","&amp;SUBSTITUTE(input_faculty_category," ","")&amp;",")))=COUNTA(TEXTSPLIT(EA83,",")))))</f>
        <v/>
      </c>
      <c r="JF83">
        <f>AND(IF(EC83="",TRUE,IF(input_faculty_discipline="",FALSE,SUMPRODUCT(--ISNUMBER(SEARCH(","&amp;TRIM(TEXTSPLIT(EC83,","))&amp;",",","&amp;SUBSTITUTE(input_faculty_discipline," ","")&amp;",")))&gt;0)),IF(EE83="",TRUE,IF(input_faculty_discipline="",FALSE,SUMPRODUCT(--ISNUMBER(SEARCH(","&amp;TRIM(TEXTSPLIT(EE83,","))&amp;",",","&amp;SUBSTITUTE(input_faculty_discipline," ","")&amp;",")))=COUNTA(TEXTSPLIT(EE83,",")))),IF(EG83="",TRUE,IF(input_faculty_discipline="",TRUE,SUMPRODUCT(--ISNUMBER(SEARCH(","&amp;TRIM(TEXTSPLIT(EG83,","))&amp;",",","&amp;SUBSTITUTE(input_faculty_discipline," ","")&amp;",")))=0)),IF(EI83="",TRUE,IF(input_faculty_discipline="",FALSE,SUMPRODUCT(--ISNUMBER(SEARCH(","&amp;TRIM(TEXTSPLIT(EI83,","))&amp;",",","&amp;SUBSTITUTE(input_faculty_discipline," ","")&amp;",")))&gt;0)),IF(EK83="",TRUE,IF(input_faculty_discipline="",FALSE,SUMPRODUCT(--ISNUMBER(SEARCH(","&amp;TRIM(TEXTSPLIT(EK83,","))&amp;",",","&amp;SUBSTITUTE(input_faculty_discipline," ","")&amp;",")))=COUNTA(TEXTSPLIT(EK83,",")))))</f>
        <v/>
      </c>
      <c r="JG83">
        <f>AND(IF(EM83="",TRUE,IF(input_faculty_expertise="",FALSE,SUMPRODUCT(--ISNUMBER(SEARCH(","&amp;TRIM(TEXTSPLIT(EM83,","))&amp;",",","&amp;SUBSTITUTE(input_faculty_expertise," ","")&amp;",")))&gt;0)),IF(EO83="",TRUE,IF(input_faculty_expertise="",FALSE,SUMPRODUCT(--ISNUMBER(SEARCH(","&amp;TRIM(TEXTSPLIT(EO83,","))&amp;",",","&amp;SUBSTITUTE(input_faculty_expertise," ","")&amp;",")))=COUNTA(TEXTSPLIT(EO83,",")))),IF(EQ83="",TRUE,IF(input_faculty_expertise="",TRUE,SUMPRODUCT(--ISNUMBER(SEARCH(","&amp;TRIM(TEXTSPLIT(EQ83,","))&amp;",",","&amp;SUBSTITUTE(input_faculty_expertise," ","")&amp;",")))=0)),IF(ES83="",TRUE,IF(input_faculty_expertise="",FALSE,SUMPRODUCT(--ISNUMBER(SEARCH(","&amp;TRIM(TEXTSPLIT(ES83,","))&amp;",",","&amp;SUBSTITUTE(input_faculty_expertise," ","")&amp;",")))&gt;0)),IF(EU83="",TRUE,IF(input_faculty_expertise="",FALSE,SUMPRODUCT(--ISNUMBER(SEARCH(","&amp;TRIM(TEXTSPLIT(EU83,","))&amp;",",","&amp;SUBSTITUTE(input_faculty_expertise," ","")&amp;",")))=COUNTA(TEXTSPLIT(EU83,",")))))</f>
        <v/>
      </c>
      <c r="JH83">
        <f>AND(IF(EW83="",TRUE,IF(input_global_network_school="",FALSE,SUMPRODUCT(--ISNUMBER(SEARCH(","&amp;TRIM(TEXTSPLIT(EW83,","))&amp;",",","&amp;SUBSTITUTE(input_global_network_school," ","")&amp;",")))&gt;0)),IF(EY83="",TRUE,IF(input_global_network_school="",FALSE,SUMPRODUCT(--ISNUMBER(SEARCH(","&amp;TRIM(TEXTSPLIT(EY83,","))&amp;",",","&amp;SUBSTITUTE(input_global_network_school," ","")&amp;",")))=COUNTA(TEXTSPLIT(EY83,",")))),IF(FA83="",TRUE,IF(input_global_network_school="",TRUE,SUMPRODUCT(--ISNUMBER(SEARCH(","&amp;TRIM(TEXTSPLIT(FA83,","))&amp;",",","&amp;SUBSTITUTE(input_global_network_school," ","")&amp;",")))=0)),IF(FC83="",TRUE,IF(input_global_network_school="",FALSE,SUMPRODUCT(--ISNUMBER(SEARCH(","&amp;TRIM(TEXTSPLIT(FC83,","))&amp;",",","&amp;SUBSTITUTE(input_global_network_school," ","")&amp;",")))&gt;0)),IF(FE83="",TRUE,IF(input_global_network_school="",FALSE,SUMPRODUCT(--ISNUMBER(SEARCH(","&amp;TRIM(TEXTSPLIT(FE83,","))&amp;",",","&amp;SUBSTITUTE(input_global_network_school," ","")&amp;",")))=COUNTA(TEXTSPLIT(FE83,",")))))</f>
        <v/>
      </c>
      <c r="JI83">
        <f>AND(IF(FG83="",TRUE,IF(input_industry="",FALSE,SUMPRODUCT(--ISNUMBER(SEARCH(","&amp;TRIM(TEXTSPLIT(FG83,","))&amp;",",","&amp;SUBSTITUTE(input_industry," ","")&amp;",")))&gt;0)),IF(FI83="",TRUE,IF(input_industry="",FALSE,SUMPRODUCT(--ISNUMBER(SEARCH(","&amp;TRIM(TEXTSPLIT(FI83,","))&amp;",",","&amp;SUBSTITUTE(input_industry," ","")&amp;",")))=COUNTA(TEXTSPLIT(FI83,",")))),IF(FK83="",TRUE,IF(input_industry="",TRUE,SUMPRODUCT(--ISNUMBER(SEARCH(","&amp;TRIM(TEXTSPLIT(FK83,","))&amp;",",","&amp;SUBSTITUTE(input_industry," ","")&amp;",")))=0)),IF(FM83="",TRUE,IF(input_industry="",FALSE,SUMPRODUCT(--ISNUMBER(SEARCH(","&amp;TRIM(TEXTSPLIT(FM83,","))&amp;",",","&amp;SUBSTITUTE(input_industry," ","")&amp;",")))&gt;0)),IF(FO83="",TRUE,IF(input_industry="",FALSE,SUMPRODUCT(--ISNUMBER(SEARCH(","&amp;TRIM(TEXTSPLIT(FO83,","))&amp;",",","&amp;SUBSTITUTE(input_industry," ","")&amp;",")))=COUNTA(TEXTSPLIT(FO83,",")))))</f>
        <v/>
      </c>
      <c r="JJ83">
        <f>AND(IF(FQ83="",TRUE,IF(input_location="",FALSE,SUMPRODUCT(--ISNUMBER(SEARCH(","&amp;TRIM(TEXTSPLIT(FQ83,","))&amp;",",","&amp;SUBSTITUTE(input_location," ","")&amp;",")))&gt;0)),IF(FS83="",TRUE,IF(input_location="",FALSE,SUMPRODUCT(--ISNUMBER(SEARCH(","&amp;TRIM(TEXTSPLIT(FS83,","))&amp;",",","&amp;SUBSTITUTE(input_location," ","")&amp;",")))=COUNTA(TEXTSPLIT(FS83,",")))),IF(FU83="",TRUE,IF(input_location="",TRUE,SUMPRODUCT(--ISNUMBER(SEARCH(","&amp;TRIM(TEXTSPLIT(FU83,","))&amp;",",","&amp;SUBSTITUTE(input_location," ","")&amp;",")))=0)),IF(FW83="",TRUE,IF(input_location="",FALSE,SUMPRODUCT(--ISNUMBER(SEARCH(","&amp;TRIM(TEXTSPLIT(FW83,","))&amp;",",","&amp;SUBSTITUTE(input_location," ","")&amp;",")))&gt;0)),IF(FY83="",TRUE,IF(input_location="",FALSE,SUMPRODUCT(--ISNUMBER(SEARCH(","&amp;TRIM(TEXTSPLIT(FY83,","))&amp;",",","&amp;SUBSTITUTE(input_location," ","")&amp;",")))=COUNTA(TEXTSPLIT(FY83,",")))))</f>
        <v/>
      </c>
      <c r="JK83">
        <f>AND(IF(GA83="",TRUE,IF(input_modality="",FALSE,SUMPRODUCT(--ISNUMBER(SEARCH(","&amp;TRIM(TEXTSPLIT(GA83,","))&amp;",",","&amp;SUBSTITUTE(input_modality," ","")&amp;",")))&gt;0)),IF(GC83="",TRUE,IF(input_modality="",FALSE,SUMPRODUCT(--ISNUMBER(SEARCH(","&amp;TRIM(TEXTSPLIT(GC83,","))&amp;",",","&amp;SUBSTITUTE(input_modality," ","")&amp;",")))=COUNTA(TEXTSPLIT(GC83,",")))),IF(GE83="",TRUE,IF(input_modality="",TRUE,SUMPRODUCT(--ISNUMBER(SEARCH(","&amp;TRIM(TEXTSPLIT(GE83,","))&amp;",",","&amp;SUBSTITUTE(input_modality," ","")&amp;",")))=0)),IF(GG83="",TRUE,IF(input_modality="",FALSE,SUMPRODUCT(--ISNUMBER(SEARCH(","&amp;TRIM(TEXTSPLIT(GG83,","))&amp;",",","&amp;SUBSTITUTE(input_modality," ","")&amp;",")))&gt;0)),IF(GI83="",TRUE,IF(input_modality="",FALSE,SUMPRODUCT(--ISNUMBER(SEARCH(","&amp;TRIM(TEXTSPLIT(GI83,","))&amp;",",","&amp;SUBSTITUTE(input_modality," ","")&amp;",")))=COUNTA(TEXTSPLIT(GI83,",")))))</f>
        <v/>
      </c>
      <c r="JL83">
        <f>AND(IF(GK83="",TRUE,IF(input_organizer="",FALSE,SUMPRODUCT(--ISNUMBER(SEARCH(","&amp;TRIM(TEXTSPLIT(GK83,","))&amp;",",","&amp;SUBSTITUTE(input_organizer," ","")&amp;",")))&gt;0)),IF(GM83="",TRUE,IF(input_organizer="",FALSE,SUMPRODUCT(--ISNUMBER(SEARCH(","&amp;TRIM(TEXTSPLIT(GM83,","))&amp;",",","&amp;SUBSTITUTE(input_organizer," ","")&amp;",")))=COUNTA(TEXTSPLIT(GM83,",")))),IF(GO83="",TRUE,IF(input_organizer="",TRUE,SUMPRODUCT(--ISNUMBER(SEARCH(","&amp;TRIM(TEXTSPLIT(GO83,","))&amp;",",","&amp;SUBSTITUTE(input_organizer," ","")&amp;",")))=0)),IF(GQ83="",TRUE,IF(input_organizer="",FALSE,SUMPRODUCT(--ISNUMBER(SEARCH(","&amp;TRIM(TEXTSPLIT(GQ83,","))&amp;",",","&amp;SUBSTITUTE(input_organizer," ","")&amp;",")))&gt;0)),IF(GS83="",TRUE,IF(input_organizer="",FALSE,SUMPRODUCT(--ISNUMBER(SEARCH(","&amp;TRIM(TEXTSPLIT(GS83,","))&amp;",",","&amp;SUBSTITUTE(input_organizer," ","")&amp;",")))=COUNTA(TEXTSPLIT(GS83,",")))))</f>
        <v/>
      </c>
      <c r="JM83">
        <f>AND(IF(GU83="",TRUE,IF(input_profile_type="",FALSE,SUMPRODUCT(--ISNUMBER(SEARCH(","&amp;TRIM(TEXTSPLIT(GU83,","))&amp;",",","&amp;SUBSTITUTE(input_profile_type," ","")&amp;",")))&gt;0)),IF(GW83="",TRUE,IF(input_profile_type="",FALSE,SUMPRODUCT(--ISNUMBER(SEARCH(","&amp;TRIM(TEXTSPLIT(GW83,","))&amp;",",","&amp;SUBSTITUTE(input_profile_type," ","")&amp;",")))=COUNTA(TEXTSPLIT(GW83,",")))),IF(GY83="",TRUE,IF(input_profile_type="",TRUE,SUMPRODUCT(--ISNUMBER(SEARCH(","&amp;TRIM(TEXTSPLIT(GY83,","))&amp;",",","&amp;SUBSTITUTE(input_profile_type," ","")&amp;",")))=0)),IF(HA83="",TRUE,IF(input_profile_type="",FALSE,SUMPRODUCT(--ISNUMBER(SEARCH(","&amp;TRIM(TEXTSPLIT(HA83,","))&amp;",",","&amp;SUBSTITUTE(input_profile_type," ","")&amp;",")))&gt;0)),IF(HC83="",TRUE,IF(input_profile_type="",FALSE,SUMPRODUCT(--ISNUMBER(SEARCH(","&amp;TRIM(TEXTSPLIT(HC83,","))&amp;",",","&amp;SUBSTITUTE(input_profile_type," ","")&amp;",")))=COUNTA(TEXTSPLIT(HC83,",")))))</f>
        <v/>
      </c>
      <c r="JN83">
        <f>AND(IF(HE83="",TRUE,IF(input_program="",FALSE,SUMPRODUCT(--ISNUMBER(SEARCH(","&amp;TRIM(TEXTSPLIT(HE83,","))&amp;",",","&amp;SUBSTITUTE(input_program," ","")&amp;",")))&gt;0)),IF(HG83="",TRUE,IF(input_program="",FALSE,SUMPRODUCT(--ISNUMBER(SEARCH(","&amp;TRIM(TEXTSPLIT(HG83,","))&amp;",",","&amp;SUBSTITUTE(input_program," ","")&amp;",")))=COUNTA(TEXTSPLIT(HG83,",")))),IF(HI83="",TRUE,IF(input_program="",TRUE,SUMPRODUCT(--ISNUMBER(SEARCH(","&amp;TRIM(TEXTSPLIT(HI83,","))&amp;",",","&amp;SUBSTITUTE(input_program," ","")&amp;",")))=0)),IF(HK83="",TRUE,IF(input_program="",FALSE,SUMPRODUCT(--ISNUMBER(SEARCH(","&amp;TRIM(TEXTSPLIT(HK83,","))&amp;",",","&amp;SUBSTITUTE(input_program," ","")&amp;",")))&gt;0)),IF(HM83="",TRUE,IF(input_program="",FALSE,SUMPRODUCT(--ISNUMBER(SEARCH(","&amp;TRIM(TEXTSPLIT(HM83,","))&amp;",",","&amp;SUBSTITUTE(input_program," ","")&amp;",")))=COUNTA(TEXTSPLIT(HM83,",")))))</f>
        <v/>
      </c>
      <c r="JO83">
        <f>AND(IF(HO83="",TRUE,IF(input_story_categories="",FALSE,SUMPRODUCT(--ISNUMBER(SEARCH(","&amp;TRIM(TEXTSPLIT(HO83,","))&amp;",",","&amp;SUBSTITUTE(input_story_categories," ","")&amp;",")))&gt;0)),IF(HQ83="",TRUE,IF(input_story_categories="",FALSE,SUMPRODUCT(--ISNUMBER(SEARCH(","&amp;TRIM(TEXTSPLIT(HQ83,","))&amp;",",","&amp;SUBSTITUTE(input_story_categories," ","")&amp;",")))=COUNTA(TEXTSPLIT(HQ83,",")))),IF(HS83="",TRUE,IF(input_story_categories="",TRUE,SUMPRODUCT(--ISNUMBER(SEARCH(","&amp;TRIM(TEXTSPLIT(HS83,","))&amp;",",","&amp;SUBSTITUTE(input_story_categories," ","")&amp;",")))=0)),IF(HU83="",TRUE,IF(input_story_categories="",FALSE,SUMPRODUCT(--ISNUMBER(SEARCH(","&amp;TRIM(TEXTSPLIT(HU83,","))&amp;",",","&amp;SUBSTITUTE(input_story_categories," ","")&amp;",")))&gt;0)),IF(HW83="",TRUE,IF(input_story_categories="",FALSE,SUMPRODUCT(--ISNUMBER(SEARCH(","&amp;TRIM(TEXTSPLIT(HW83,","))&amp;",",","&amp;SUBSTITUTE(input_story_categories," ","")&amp;",")))=COUNTA(TEXTSPLIT(HW83,",")))))</f>
        <v/>
      </c>
      <c r="JP83">
        <f>AND(IF(HY83="",TRUE,IF(input_story_type="",FALSE,SUMPRODUCT(--ISNUMBER(SEARCH(","&amp;TRIM(TEXTSPLIT(HY83,","))&amp;",",","&amp;SUBSTITUTE(input_story_type," ","")&amp;",")))&gt;0)),IF(IA83="",TRUE,IF(input_story_type="",FALSE,SUMPRODUCT(--ISNUMBER(SEARCH(","&amp;TRIM(TEXTSPLIT(IA83,","))&amp;",",","&amp;SUBSTITUTE(input_story_type," ","")&amp;",")))=COUNTA(TEXTSPLIT(IA83,",")))),IF(IC83="",TRUE,IF(input_story_type="",TRUE,SUMPRODUCT(--ISNUMBER(SEARCH(","&amp;TRIM(TEXTSPLIT(IC83,","))&amp;",",","&amp;SUBSTITUTE(input_story_type," ","")&amp;",")))=0)),IF(IE83="",TRUE,IF(input_story_type="",FALSE,SUMPRODUCT(--ISNUMBER(SEARCH(","&amp;TRIM(TEXTSPLIT(IE83,","))&amp;",",","&amp;SUBSTITUTE(input_story_type," ","")&amp;",")))&gt;0)),IF(IG83="",TRUE,IF(input_story_type="",FALSE,SUMPRODUCT(--ISNUMBER(SEARCH(","&amp;TRIM(TEXTSPLIT(IG83,","))&amp;",",","&amp;SUBSTITUTE(input_story_type," ","")&amp;",")))=COUNTA(TEXTSPLIT(IG83,",")))))</f>
        <v/>
      </c>
      <c r="JQ83">
        <f>AND(IF(II83="",TRUE,IF(input_topics="",FALSE,SUMPRODUCT(--ISNUMBER(SEARCH(","&amp;TRIM(TEXTSPLIT(II83,","))&amp;",",","&amp;SUBSTITUTE(input_topics," ","")&amp;",")))&gt;0)),IF(IK83="",TRUE,IF(input_topics="",FALSE,SUMPRODUCT(--ISNUMBER(SEARCH(","&amp;TRIM(TEXTSPLIT(IK83,","))&amp;",",","&amp;SUBSTITUTE(input_topics," ","")&amp;",")))=COUNTA(TEXTSPLIT(IK83,",")))),IF(IM83="",TRUE,IF(input_topics="",TRUE,SUMPRODUCT(--ISNUMBER(SEARCH(","&amp;TRIM(TEXTSPLIT(IM83,","))&amp;",",","&amp;SUBSTITUTE(input_topics," ","")&amp;",")))=0)),IF(IO83="",TRUE,IF(input_topics="",FALSE,SUMPRODUCT(--ISNUMBER(SEARCH(","&amp;TRIM(TEXTSPLIT(IO83,","))&amp;",",","&amp;SUBSTITUTE(input_topics," ","")&amp;",")))&gt;0)),IF(IQ83="",TRUE,IF(input_topics="",FALSE,SUMPRODUCT(--ISNUMBER(SEARCH(","&amp;TRIM(TEXTSPLIT(IQ83,","))&amp;",",","&amp;SUBSTITUTE(input_topics," ","")&amp;",")))=COUNTA(TEXTSPLIT(IQ83,",")))))</f>
        <v/>
      </c>
    </row>
    <row r="84">
      <c r="A84" s="4">
        <f>IF(NOT(IS84),"Excluded",IF(AND(IT84,IU84,IV84,IW84,IX84,IY84,IZ84,JA84,JB84,JC84,JD84,JE84,JF84,JG84,JH84,JI84,JJ84,JK84,JL84,JM84,JN84,JO84,JP84,JQ84),IF(I84&gt;0,"Eligible but limited","Will appear"),"Excluded"))</f>
        <v/>
      </c>
      <c r="B84" s="4" t="inlineStr">
        <is>
          <t>Blogs - Summary</t>
        </is>
      </c>
      <c r="C84" s="4" t="inlineStr">
        <is>
          <t>/the-som-experience/life-at-yale-som/new-haven</t>
        </is>
      </c>
      <c r="D84" s="4" t="inlineStr">
        <is>
          <t>/the-som-experience/life-at-yale-som/new-haven</t>
        </is>
      </c>
      <c r="E84" s="4" t="n">
        <v>1</v>
      </c>
      <c r="F84" s="4" t="inlineStr">
        <is>
          <t>story</t>
        </is>
      </c>
      <c r="G84" s="4" t="inlineStr">
        <is>
          <t>stories_mosaic_grid</t>
        </is>
      </c>
      <c r="H84" s="4" t="inlineStr">
        <is>
          <t>embed_blog_summary</t>
        </is>
      </c>
      <c r="I84" s="4" t="n">
        <v>1</v>
      </c>
      <c r="J84" s="4" t="inlineStr">
        <is>
          <t>View/config rules</t>
        </is>
      </c>
      <c r="K84" s="4" t="inlineStr">
        <is>
          <t>Page placement</t>
        </is>
      </c>
      <c r="L84" s="4" t="inlineStr">
        <is>
          <t>Content type: story; Needs any Story Type: Blog (974); Limited to 1 item(s); Source: View/config rules</t>
        </is>
      </c>
      <c r="M84" t="inlineStr"/>
      <c r="N84" t="inlineStr"/>
      <c r="O84" t="inlineStr"/>
      <c r="P84" t="inlineStr"/>
      <c r="Q84" t="inlineStr"/>
      <c r="R84" t="inlineStr"/>
      <c r="S84" t="inlineStr"/>
      <c r="T84" t="inlineStr"/>
      <c r="U84" t="inlineStr"/>
      <c r="V84" t="inlineStr"/>
      <c r="W84" t="inlineStr"/>
      <c r="X84" t="inlineStr"/>
      <c r="Y84" t="inlineStr"/>
      <c r="Z84" t="inlineStr"/>
      <c r="AA84" t="inlineStr"/>
      <c r="AB84" t="inlineStr"/>
      <c r="AC84" t="inlineStr"/>
      <c r="AD84" t="inlineStr"/>
      <c r="AE84" t="inlineStr"/>
      <c r="AF84" t="inlineStr"/>
      <c r="AG84" t="inlineStr"/>
      <c r="AH84" t="inlineStr"/>
      <c r="AI84" t="inlineStr"/>
      <c r="AJ84" t="inlineStr"/>
      <c r="AK84" t="inlineStr"/>
      <c r="AL84" t="inlineStr"/>
      <c r="AM84" t="inlineStr"/>
      <c r="AN84" t="inlineStr"/>
      <c r="AO84" t="inlineStr"/>
      <c r="AP84" t="inlineStr"/>
      <c r="AQ84" t="inlineStr"/>
      <c r="AR84" t="inlineStr"/>
      <c r="AS84" t="inlineStr"/>
      <c r="AT84" t="inlineStr"/>
      <c r="AU84" t="inlineStr"/>
      <c r="AV84" t="inlineStr"/>
      <c r="AW84" t="inlineStr"/>
      <c r="AX84" t="inlineStr"/>
      <c r="AY84" t="inlineStr"/>
      <c r="AZ84" t="inlineStr"/>
      <c r="BA84" t="inlineStr"/>
      <c r="BB84" t="inlineStr"/>
      <c r="BC84" t="inlineStr"/>
      <c r="BD84" t="inlineStr"/>
      <c r="BE84" t="inlineStr"/>
      <c r="BF84" t="inlineStr"/>
      <c r="BG84" t="inlineStr"/>
      <c r="BH84" t="inlineStr"/>
      <c r="BI84" t="inlineStr"/>
      <c r="BJ84" t="inlineStr"/>
      <c r="BK84" t="inlineStr"/>
      <c r="BL84" t="inlineStr"/>
      <c r="BM84" t="inlineStr"/>
      <c r="BN84" t="inlineStr"/>
      <c r="BO84" t="inlineStr"/>
      <c r="BP84" t="inlineStr"/>
      <c r="BQ84" t="inlineStr"/>
      <c r="BR84" t="inlineStr"/>
      <c r="BS84" t="inlineStr"/>
      <c r="BT84" t="inlineStr"/>
      <c r="BU84" t="inlineStr"/>
      <c r="BV84" t="inlineStr"/>
      <c r="BW84" t="inlineStr"/>
      <c r="BX84" t="inlineStr"/>
      <c r="BY84" t="inlineStr"/>
      <c r="BZ84" t="inlineStr"/>
      <c r="CA84" t="inlineStr"/>
      <c r="CB84" t="inlineStr"/>
      <c r="CC84" t="inlineStr"/>
      <c r="CD84" t="inlineStr"/>
      <c r="CE84" t="inlineStr"/>
      <c r="CF84" t="inlineStr"/>
      <c r="CG84" t="inlineStr"/>
      <c r="CH84" t="inlineStr"/>
      <c r="CI84" t="inlineStr"/>
      <c r="CJ84" t="inlineStr"/>
      <c r="CK84" t="inlineStr"/>
      <c r="CL84" t="inlineStr"/>
      <c r="CM84" t="inlineStr"/>
      <c r="CN84" t="inlineStr"/>
      <c r="CO84" t="inlineStr"/>
      <c r="CP84" t="inlineStr"/>
      <c r="CQ84" t="inlineStr"/>
      <c r="CR84" t="inlineStr"/>
      <c r="CS84" t="inlineStr"/>
      <c r="CT84" t="inlineStr"/>
      <c r="CU84" t="inlineStr"/>
      <c r="CV84" t="inlineStr"/>
      <c r="CW84" t="inlineStr"/>
      <c r="CX84" t="inlineStr"/>
      <c r="CY84" t="inlineStr"/>
      <c r="CZ84" t="inlineStr"/>
      <c r="DA84" t="inlineStr"/>
      <c r="DB84" t="inlineStr"/>
      <c r="DC84" t="inlineStr"/>
      <c r="DD84" t="inlineStr"/>
      <c r="DE84" t="inlineStr"/>
      <c r="DF84" t="inlineStr"/>
      <c r="DG84" t="inlineStr"/>
      <c r="DH84" t="inlineStr"/>
      <c r="DI84" t="inlineStr"/>
      <c r="DJ84" t="inlineStr"/>
      <c r="DK84" t="inlineStr"/>
      <c r="DL84" t="inlineStr"/>
      <c r="DM84" t="inlineStr"/>
      <c r="DN84" t="inlineStr"/>
      <c r="DO84" t="inlineStr"/>
      <c r="DP84" t="inlineStr"/>
      <c r="DQ84" t="inlineStr"/>
      <c r="DR84" t="inlineStr"/>
      <c r="DS84" t="inlineStr"/>
      <c r="DT84" t="inlineStr"/>
      <c r="DU84" t="inlineStr"/>
      <c r="DV84" t="inlineStr"/>
      <c r="DW84" t="inlineStr"/>
      <c r="DX84" t="inlineStr"/>
      <c r="DY84" t="inlineStr"/>
      <c r="DZ84" t="inlineStr"/>
      <c r="EA84" t="inlineStr"/>
      <c r="EB84" t="inlineStr"/>
      <c r="EC84" t="inlineStr"/>
      <c r="ED84" t="inlineStr"/>
      <c r="EE84" t="inlineStr"/>
      <c r="EF84" t="inlineStr"/>
      <c r="EG84" t="inlineStr"/>
      <c r="EH84" t="inlineStr"/>
      <c r="EI84" t="inlineStr"/>
      <c r="EJ84" t="inlineStr"/>
      <c r="EK84" t="inlineStr"/>
      <c r="EL84" t="inlineStr"/>
      <c r="EM84" t="inlineStr"/>
      <c r="EN84" t="inlineStr"/>
      <c r="EO84" t="inlineStr"/>
      <c r="EP84" t="inlineStr"/>
      <c r="EQ84" t="inlineStr"/>
      <c r="ER84" t="inlineStr"/>
      <c r="ES84" t="inlineStr"/>
      <c r="ET84" t="inlineStr"/>
      <c r="EU84" t="inlineStr"/>
      <c r="EV84" t="inlineStr"/>
      <c r="EW84" t="inlineStr"/>
      <c r="EX84" t="inlineStr"/>
      <c r="EY84" t="inlineStr"/>
      <c r="EZ84" t="inlineStr"/>
      <c r="FA84" t="inlineStr"/>
      <c r="FB84" t="inlineStr"/>
      <c r="FC84" t="inlineStr"/>
      <c r="FD84" t="inlineStr"/>
      <c r="FE84" t="inlineStr"/>
      <c r="FF84" t="inlineStr"/>
      <c r="FG84" t="inlineStr"/>
      <c r="FH84" t="inlineStr"/>
      <c r="FI84" t="inlineStr"/>
      <c r="FJ84" t="inlineStr"/>
      <c r="FK84" t="inlineStr"/>
      <c r="FL84" t="inlineStr"/>
      <c r="FM84" t="inlineStr"/>
      <c r="FN84" t="inlineStr"/>
      <c r="FO84" t="inlineStr"/>
      <c r="FP84" t="inlineStr"/>
      <c r="FQ84" t="inlineStr"/>
      <c r="FR84" t="inlineStr"/>
      <c r="FS84" t="inlineStr"/>
      <c r="FT84" t="inlineStr"/>
      <c r="FU84" t="inlineStr"/>
      <c r="FV84" t="inlineStr"/>
      <c r="FW84" t="inlineStr"/>
      <c r="FX84" t="inlineStr"/>
      <c r="FY84" t="inlineStr"/>
      <c r="FZ84" t="inlineStr"/>
      <c r="GA84" t="inlineStr"/>
      <c r="GB84" t="inlineStr"/>
      <c r="GC84" t="inlineStr"/>
      <c r="GD84" t="inlineStr"/>
      <c r="GE84" t="inlineStr"/>
      <c r="GF84" t="inlineStr"/>
      <c r="GG84" t="inlineStr"/>
      <c r="GH84" t="inlineStr"/>
      <c r="GI84" t="inlineStr"/>
      <c r="GJ84" t="inlineStr"/>
      <c r="GK84" t="inlineStr"/>
      <c r="GL84" t="inlineStr"/>
      <c r="GM84" t="inlineStr"/>
      <c r="GN84" t="inlineStr"/>
      <c r="GO84" t="inlineStr"/>
      <c r="GP84" t="inlineStr"/>
      <c r="GQ84" t="inlineStr"/>
      <c r="GR84" t="inlineStr"/>
      <c r="GS84" t="inlineStr"/>
      <c r="GT84" t="inlineStr"/>
      <c r="GU84" t="inlineStr"/>
      <c r="GV84" t="inlineStr"/>
      <c r="GW84" t="inlineStr"/>
      <c r="GX84" t="inlineStr"/>
      <c r="GY84" t="inlineStr"/>
      <c r="GZ84" t="inlineStr"/>
      <c r="HA84" t="inlineStr"/>
      <c r="HB84" t="inlineStr"/>
      <c r="HC84" t="inlineStr"/>
      <c r="HD84" t="inlineStr"/>
      <c r="HE84" t="inlineStr"/>
      <c r="HF84" t="inlineStr"/>
      <c r="HG84" t="inlineStr"/>
      <c r="HH84" t="inlineStr"/>
      <c r="HI84" t="inlineStr"/>
      <c r="HJ84" t="inlineStr"/>
      <c r="HK84" t="inlineStr"/>
      <c r="HL84" t="inlineStr"/>
      <c r="HM84" t="inlineStr"/>
      <c r="HN84" t="inlineStr"/>
      <c r="HO84" t="inlineStr"/>
      <c r="HP84" t="inlineStr"/>
      <c r="HQ84" t="inlineStr"/>
      <c r="HR84" t="inlineStr"/>
      <c r="HS84" t="inlineStr"/>
      <c r="HT84" t="inlineStr"/>
      <c r="HU84" t="inlineStr"/>
      <c r="HV84" t="inlineStr"/>
      <c r="HW84" t="inlineStr"/>
      <c r="HX84" t="inlineStr"/>
      <c r="HY84" t="inlineStr">
        <is>
          <t>974</t>
        </is>
      </c>
      <c r="HZ84" t="inlineStr">
        <is>
          <t>Blog (974)</t>
        </is>
      </c>
      <c r="IA84" t="inlineStr"/>
      <c r="IB84" t="inlineStr"/>
      <c r="IC84" t="inlineStr"/>
      <c r="ID84" t="inlineStr"/>
      <c r="IE84" t="inlineStr"/>
      <c r="IF84" t="inlineStr"/>
      <c r="IG84" t="inlineStr"/>
      <c r="IH84" t="inlineStr"/>
      <c r="II84" t="inlineStr"/>
      <c r="IJ84" t="inlineStr"/>
      <c r="IK84" t="inlineStr"/>
      <c r="IL84" t="inlineStr"/>
      <c r="IM84" t="inlineStr"/>
      <c r="IN84" t="inlineStr"/>
      <c r="IO84" t="inlineStr"/>
      <c r="IP84" t="inlineStr"/>
      <c r="IQ84" t="inlineStr"/>
      <c r="IR84" t="inlineStr"/>
      <c r="IS84">
        <f>IF(input_content_type="",FALSE,ISNUMBER(SEARCH(","&amp;LOWER(input_content_type)&amp;",",","&amp;LOWER(F84)&amp;",")))</f>
        <v/>
      </c>
      <c r="IT84">
        <f>AND(IF(M84="",TRUE,IF(input_affiliations="",FALSE,SUMPRODUCT(--ISNUMBER(SEARCH(","&amp;TRIM(TEXTSPLIT(M84,","))&amp;",",","&amp;SUBSTITUTE(input_affiliations," ","")&amp;",")))&gt;0)),IF(O84="",TRUE,IF(input_affiliations="",FALSE,SUMPRODUCT(--ISNUMBER(SEARCH(","&amp;TRIM(TEXTSPLIT(O84,","))&amp;",",","&amp;SUBSTITUTE(input_affiliations," ","")&amp;",")))=COUNTA(TEXTSPLIT(O84,",")))),IF(Q84="",TRUE,IF(input_affiliations="",TRUE,SUMPRODUCT(--ISNUMBER(SEARCH(","&amp;TRIM(TEXTSPLIT(Q84,","))&amp;",",","&amp;SUBSTITUTE(input_affiliations," ","")&amp;",")))=0)),IF(S84="",TRUE,IF(input_affiliations="",FALSE,SUMPRODUCT(--ISNUMBER(SEARCH(","&amp;TRIM(TEXTSPLIT(S84,","))&amp;",",","&amp;SUBSTITUTE(input_affiliations," ","")&amp;",")))&gt;0)),IF(U84="",TRUE,IF(input_affiliations="",FALSE,SUMPRODUCT(--ISNUMBER(SEARCH(","&amp;TRIM(TEXTSPLIT(U84,","))&amp;",",","&amp;SUBSTITUTE(input_affiliations," ","")&amp;",")))=COUNTA(TEXTSPLIT(U84,",")))))</f>
        <v/>
      </c>
      <c r="IU84">
        <f>AND(IF(W84="",TRUE,IF(input_announcement_category="",FALSE,SUMPRODUCT(--ISNUMBER(SEARCH(","&amp;TRIM(TEXTSPLIT(W84,","))&amp;",",","&amp;SUBSTITUTE(input_announcement_category," ","")&amp;",")))&gt;0)),IF(Y84="",TRUE,IF(input_announcement_category="",FALSE,SUMPRODUCT(--ISNUMBER(SEARCH(","&amp;TRIM(TEXTSPLIT(Y84,","))&amp;",",","&amp;SUBSTITUTE(input_announcement_category," ","")&amp;",")))=COUNTA(TEXTSPLIT(Y84,",")))),IF(AA84="",TRUE,IF(input_announcement_category="",TRUE,SUMPRODUCT(--ISNUMBER(SEARCH(","&amp;TRIM(TEXTSPLIT(AA84,","))&amp;",",","&amp;SUBSTITUTE(input_announcement_category," ","")&amp;",")))=0)),IF(AC84="",TRUE,IF(input_announcement_category="",FALSE,SUMPRODUCT(--ISNUMBER(SEARCH(","&amp;TRIM(TEXTSPLIT(AC84,","))&amp;",",","&amp;SUBSTITUTE(input_announcement_category," ","")&amp;",")))&gt;0)),IF(AE84="",TRUE,IF(input_announcement_category="",FALSE,SUMPRODUCT(--ISNUMBER(SEARCH(","&amp;TRIM(TEXTSPLIT(AE84,","))&amp;",",","&amp;SUBSTITUTE(input_announcement_category," ","")&amp;",")))=COUNTA(TEXTSPLIT(AE84,",")))))</f>
        <v/>
      </c>
      <c r="IV84">
        <f>AND(IF(AG84="",TRUE,IF(input_area_of_focus="",FALSE,SUMPRODUCT(--ISNUMBER(SEARCH(","&amp;TRIM(TEXTSPLIT(AG84,","))&amp;",",","&amp;SUBSTITUTE(input_area_of_focus," ","")&amp;",")))&gt;0)),IF(AI84="",TRUE,IF(input_area_of_focus="",FALSE,SUMPRODUCT(--ISNUMBER(SEARCH(","&amp;TRIM(TEXTSPLIT(AI84,","))&amp;",",","&amp;SUBSTITUTE(input_area_of_focus," ","")&amp;",")))=COUNTA(TEXTSPLIT(AI84,",")))),IF(AK84="",TRUE,IF(input_area_of_focus="",TRUE,SUMPRODUCT(--ISNUMBER(SEARCH(","&amp;TRIM(TEXTSPLIT(AK84,","))&amp;",",","&amp;SUBSTITUTE(input_area_of_focus," ","")&amp;",")))=0)),IF(AM84="",TRUE,IF(input_area_of_focus="",FALSE,SUMPRODUCT(--ISNUMBER(SEARCH(","&amp;TRIM(TEXTSPLIT(AM84,","))&amp;",",","&amp;SUBSTITUTE(input_area_of_focus," ","")&amp;",")))&gt;0)),IF(AO84="",TRUE,IF(input_area_of_focus="",FALSE,SUMPRODUCT(--ISNUMBER(SEARCH(","&amp;TRIM(TEXTSPLIT(AO84,","))&amp;",",","&amp;SUBSTITUTE(input_area_of_focus," ","")&amp;",")))=COUNTA(TEXTSPLIT(AO84,",")))))</f>
        <v/>
      </c>
      <c r="IW84">
        <f>AND(IF(AQ84="",TRUE,IF(input_audience="",FALSE,SUMPRODUCT(--ISNUMBER(SEARCH(","&amp;TRIM(TEXTSPLIT(AQ84,","))&amp;",",","&amp;SUBSTITUTE(input_audience," ","")&amp;",")))&gt;0)),IF(AS84="",TRUE,IF(input_audience="",FALSE,SUMPRODUCT(--ISNUMBER(SEARCH(","&amp;TRIM(TEXTSPLIT(AS84,","))&amp;",",","&amp;SUBSTITUTE(input_audience," ","")&amp;",")))=COUNTA(TEXTSPLIT(AS84,",")))),IF(AU84="",TRUE,IF(input_audience="",TRUE,SUMPRODUCT(--ISNUMBER(SEARCH(","&amp;TRIM(TEXTSPLIT(AU84,","))&amp;",",","&amp;SUBSTITUTE(input_audience," ","")&amp;",")))=0)),IF(AW84="",TRUE,IF(input_audience="",FALSE,SUMPRODUCT(--ISNUMBER(SEARCH(","&amp;TRIM(TEXTSPLIT(AW84,","))&amp;",",","&amp;SUBSTITUTE(input_audience," ","")&amp;",")))&gt;0)),IF(AY84="",TRUE,IF(input_audience="",FALSE,SUMPRODUCT(--ISNUMBER(SEARCH(","&amp;TRIM(TEXTSPLIT(AY84,","))&amp;",",","&amp;SUBSTITUTE(input_audience," ","")&amp;",")))=COUNTA(TEXTSPLIT(AY84,",")))))</f>
        <v/>
      </c>
      <c r="IX84">
        <f>AND(IF(BA84="",TRUE,IF(input_challenge_opportunities="",FALSE,SUMPRODUCT(--ISNUMBER(SEARCH(","&amp;TRIM(TEXTSPLIT(BA84,","))&amp;",",","&amp;SUBSTITUTE(input_challenge_opportunities," ","")&amp;",")))&gt;0)),IF(BC84="",TRUE,IF(input_challenge_opportunities="",FALSE,SUMPRODUCT(--ISNUMBER(SEARCH(","&amp;TRIM(TEXTSPLIT(BC84,","))&amp;",",","&amp;SUBSTITUTE(input_challenge_opportunities," ","")&amp;",")))=COUNTA(TEXTSPLIT(BC84,",")))),IF(BE84="",TRUE,IF(input_challenge_opportunities="",TRUE,SUMPRODUCT(--ISNUMBER(SEARCH(","&amp;TRIM(TEXTSPLIT(BE84,","))&amp;",",","&amp;SUBSTITUTE(input_challenge_opportunities," ","")&amp;",")))=0)),IF(BG84="",TRUE,IF(input_challenge_opportunities="",FALSE,SUMPRODUCT(--ISNUMBER(SEARCH(","&amp;TRIM(TEXTSPLIT(BG84,","))&amp;",",","&amp;SUBSTITUTE(input_challenge_opportunities," ","")&amp;",")))&gt;0)),IF(BI84="",TRUE,IF(input_challenge_opportunities="",FALSE,SUMPRODUCT(--ISNUMBER(SEARCH(","&amp;TRIM(TEXTSPLIT(BI84,","))&amp;",",","&amp;SUBSTITUTE(input_challenge_opportunities," ","")&amp;",")))=COUNTA(TEXTSPLIT(BI84,",")))))</f>
        <v/>
      </c>
      <c r="IY84">
        <f>AND(IF(BK84="",TRUE,IF(input_context="",FALSE,SUMPRODUCT(--ISNUMBER(SEARCH(","&amp;TRIM(TEXTSPLIT(BK84,","))&amp;",",","&amp;SUBSTITUTE(input_context," ","")&amp;",")))&gt;0)),IF(BM84="",TRUE,IF(input_context="",FALSE,SUMPRODUCT(--ISNUMBER(SEARCH(","&amp;TRIM(TEXTSPLIT(BM84,","))&amp;",",","&amp;SUBSTITUTE(input_context," ","")&amp;",")))=COUNTA(TEXTSPLIT(BM84,",")))),IF(BO84="",TRUE,IF(input_context="",TRUE,SUMPRODUCT(--ISNUMBER(SEARCH(","&amp;TRIM(TEXTSPLIT(BO84,","))&amp;",",","&amp;SUBSTITUTE(input_context," ","")&amp;",")))=0)),IF(BQ84="",TRUE,IF(input_context="",FALSE,SUMPRODUCT(--ISNUMBER(SEARCH(","&amp;TRIM(TEXTSPLIT(BQ84,","))&amp;",",","&amp;SUBSTITUTE(input_context," ","")&amp;",")))&gt;0)),IF(BS84="",TRUE,IF(input_context="",FALSE,SUMPRODUCT(--ISNUMBER(SEARCH(","&amp;TRIM(TEXTSPLIT(BS84,","))&amp;",",","&amp;SUBSTITUTE(input_context," ","")&amp;",")))=COUNTA(TEXTSPLIT(BS84,",")))))</f>
        <v/>
      </c>
      <c r="IZ84">
        <f>AND(IF(BU84="",TRUE,IF(input_enews_announcement_type="",FALSE,SUMPRODUCT(--ISNUMBER(SEARCH(","&amp;TRIM(TEXTSPLIT(BU84,","))&amp;",",","&amp;SUBSTITUTE(input_enews_announcement_type," ","")&amp;",")))&gt;0)),IF(BW84="",TRUE,IF(input_enews_announcement_type="",FALSE,SUMPRODUCT(--ISNUMBER(SEARCH(","&amp;TRIM(TEXTSPLIT(BW84,","))&amp;",",","&amp;SUBSTITUTE(input_enews_announcement_type," ","")&amp;",")))=COUNTA(TEXTSPLIT(BW84,",")))),IF(BY84="",TRUE,IF(input_enews_announcement_type="",TRUE,SUMPRODUCT(--ISNUMBER(SEARCH(","&amp;TRIM(TEXTSPLIT(BY84,","))&amp;",",","&amp;SUBSTITUTE(input_enews_announcement_type," ","")&amp;",")))=0)),IF(CA84="",TRUE,IF(input_enews_announcement_type="",FALSE,SUMPRODUCT(--ISNUMBER(SEARCH(","&amp;TRIM(TEXTSPLIT(CA84,","))&amp;",",","&amp;SUBSTITUTE(input_enews_announcement_type," ","")&amp;",")))&gt;0)),IF(CC84="",TRUE,IF(input_enews_announcement_type="",FALSE,SUMPRODUCT(--ISNUMBER(SEARCH(","&amp;TRIM(TEXTSPLIT(CC84,","))&amp;",",","&amp;SUBSTITUTE(input_enews_announcement_type," ","")&amp;",")))=COUNTA(TEXTSPLIT(CC84,",")))))</f>
        <v/>
      </c>
      <c r="JA84">
        <f>AND(IF(CE84="",TRUE,IF(input_enews_audience="",FALSE,SUMPRODUCT(--ISNUMBER(SEARCH(","&amp;TRIM(TEXTSPLIT(CE84,","))&amp;",",","&amp;SUBSTITUTE(input_enews_audience," ","")&amp;",")))&gt;0)),IF(CG84="",TRUE,IF(input_enews_audience="",FALSE,SUMPRODUCT(--ISNUMBER(SEARCH(","&amp;TRIM(TEXTSPLIT(CG84,","))&amp;",",","&amp;SUBSTITUTE(input_enews_audience," ","")&amp;",")))=COUNTA(TEXTSPLIT(CG84,",")))),IF(CI84="",TRUE,IF(input_enews_audience="",TRUE,SUMPRODUCT(--ISNUMBER(SEARCH(","&amp;TRIM(TEXTSPLIT(CI84,","))&amp;",",","&amp;SUBSTITUTE(input_enews_audience," ","")&amp;",")))=0)),IF(CK84="",TRUE,IF(input_enews_audience="",FALSE,SUMPRODUCT(--ISNUMBER(SEARCH(","&amp;TRIM(TEXTSPLIT(CK84,","))&amp;",",","&amp;SUBSTITUTE(input_enews_audience," ","")&amp;",")))&gt;0)),IF(CM84="",TRUE,IF(input_enews_audience="",FALSE,SUMPRODUCT(--ISNUMBER(SEARCH(","&amp;TRIM(TEXTSPLIT(CM84,","))&amp;",",","&amp;SUBSTITUTE(input_enews_audience," ","")&amp;",")))=COUNTA(TEXTSPLIT(CM84,",")))))</f>
        <v/>
      </c>
      <c r="JB84">
        <f>AND(IF(CO84="",TRUE,IF(input_event_location="",FALSE,SUMPRODUCT(--ISNUMBER(SEARCH(","&amp;TRIM(TEXTSPLIT(CO84,","))&amp;",",","&amp;SUBSTITUTE(input_event_location," ","")&amp;",")))&gt;0)),IF(CQ84="",TRUE,IF(input_event_location="",FALSE,SUMPRODUCT(--ISNUMBER(SEARCH(","&amp;TRIM(TEXTSPLIT(CQ84,","))&amp;",",","&amp;SUBSTITUTE(input_event_location," ","")&amp;",")))=COUNTA(TEXTSPLIT(CQ84,",")))),IF(CS84="",TRUE,IF(input_event_location="",TRUE,SUMPRODUCT(--ISNUMBER(SEARCH(","&amp;TRIM(TEXTSPLIT(CS84,","))&amp;",",","&amp;SUBSTITUTE(input_event_location," ","")&amp;",")))=0)),IF(CU84="",TRUE,IF(input_event_location="",FALSE,SUMPRODUCT(--ISNUMBER(SEARCH(","&amp;TRIM(TEXTSPLIT(CU84,","))&amp;",",","&amp;SUBSTITUTE(input_event_location," ","")&amp;",")))&gt;0)),IF(CW84="",TRUE,IF(input_event_location="",FALSE,SUMPRODUCT(--ISNUMBER(SEARCH(","&amp;TRIM(TEXTSPLIT(CW84,","))&amp;",",","&amp;SUBSTITUTE(input_event_location," ","")&amp;",")))=COUNTA(TEXTSPLIT(CW84,",")))))</f>
        <v/>
      </c>
      <c r="JC84">
        <f>AND(IF(CY84="",TRUE,IF(input_event_type="",FALSE,SUMPRODUCT(--ISNUMBER(SEARCH(","&amp;TRIM(TEXTSPLIT(CY84,","))&amp;",",","&amp;SUBSTITUTE(input_event_type," ","")&amp;",")))&gt;0)),IF(DA84="",TRUE,IF(input_event_type="",FALSE,SUMPRODUCT(--ISNUMBER(SEARCH(","&amp;TRIM(TEXTSPLIT(DA84,","))&amp;",",","&amp;SUBSTITUTE(input_event_type," ","")&amp;",")))=COUNTA(TEXTSPLIT(DA84,",")))),IF(DC84="",TRUE,IF(input_event_type="",TRUE,SUMPRODUCT(--ISNUMBER(SEARCH(","&amp;TRIM(TEXTSPLIT(DC84,","))&amp;",",","&amp;SUBSTITUTE(input_event_type," ","")&amp;",")))=0)),IF(DE84="",TRUE,IF(input_event_type="",FALSE,SUMPRODUCT(--ISNUMBER(SEARCH(","&amp;TRIM(TEXTSPLIT(DE84,","))&amp;",",","&amp;SUBSTITUTE(input_event_type," ","")&amp;",")))&gt;0)),IF(DG84="",TRUE,IF(input_event_type="",FALSE,SUMPRODUCT(--ISNUMBER(SEARCH(","&amp;TRIM(TEXTSPLIT(DG84,","))&amp;",",","&amp;SUBSTITUTE(input_event_type," ","")&amp;",")))=COUNTA(TEXTSPLIT(DG84,",")))))</f>
        <v/>
      </c>
      <c r="JD84">
        <f>AND(IF(DI84="",TRUE,IF(input_executive_education_focus="",FALSE,SUMPRODUCT(--ISNUMBER(SEARCH(","&amp;TRIM(TEXTSPLIT(DI84,","))&amp;",",","&amp;SUBSTITUTE(input_executive_education_focus," ","")&amp;",")))&gt;0)),IF(DK84="",TRUE,IF(input_executive_education_focus="",FALSE,SUMPRODUCT(--ISNUMBER(SEARCH(","&amp;TRIM(TEXTSPLIT(DK84,","))&amp;",",","&amp;SUBSTITUTE(input_executive_education_focus," ","")&amp;",")))=COUNTA(TEXTSPLIT(DK84,",")))),IF(DM84="",TRUE,IF(input_executive_education_focus="",TRUE,SUMPRODUCT(--ISNUMBER(SEARCH(","&amp;TRIM(TEXTSPLIT(DM84,","))&amp;",",","&amp;SUBSTITUTE(input_executive_education_focus," ","")&amp;",")))=0)),IF(DO84="",TRUE,IF(input_executive_education_focus="",FALSE,SUMPRODUCT(--ISNUMBER(SEARCH(","&amp;TRIM(TEXTSPLIT(DO84,","))&amp;",",","&amp;SUBSTITUTE(input_executive_education_focus," ","")&amp;",")))&gt;0)),IF(DQ84="",TRUE,IF(input_executive_education_focus="",FALSE,SUMPRODUCT(--ISNUMBER(SEARCH(","&amp;TRIM(TEXTSPLIT(DQ84,","))&amp;",",","&amp;SUBSTITUTE(input_executive_education_focus," ","")&amp;",")))=COUNTA(TEXTSPLIT(DQ84,",")))))</f>
        <v/>
      </c>
      <c r="JE84">
        <f>AND(IF(DS84="",TRUE,IF(input_faculty_category="",FALSE,SUMPRODUCT(--ISNUMBER(SEARCH(","&amp;TRIM(TEXTSPLIT(DS84,","))&amp;",",","&amp;SUBSTITUTE(input_faculty_category," ","")&amp;",")))&gt;0)),IF(DU84="",TRUE,IF(input_faculty_category="",FALSE,SUMPRODUCT(--ISNUMBER(SEARCH(","&amp;TRIM(TEXTSPLIT(DU84,","))&amp;",",","&amp;SUBSTITUTE(input_faculty_category," ","")&amp;",")))=COUNTA(TEXTSPLIT(DU84,",")))),IF(DW84="",TRUE,IF(input_faculty_category="",TRUE,SUMPRODUCT(--ISNUMBER(SEARCH(","&amp;TRIM(TEXTSPLIT(DW84,","))&amp;",",","&amp;SUBSTITUTE(input_faculty_category," ","")&amp;",")))=0)),IF(DY84="",TRUE,IF(input_faculty_category="",FALSE,SUMPRODUCT(--ISNUMBER(SEARCH(","&amp;TRIM(TEXTSPLIT(DY84,","))&amp;",",","&amp;SUBSTITUTE(input_faculty_category," ","")&amp;",")))&gt;0)),IF(EA84="",TRUE,IF(input_faculty_category="",FALSE,SUMPRODUCT(--ISNUMBER(SEARCH(","&amp;TRIM(TEXTSPLIT(EA84,","))&amp;",",","&amp;SUBSTITUTE(input_faculty_category," ","")&amp;",")))=COUNTA(TEXTSPLIT(EA84,",")))))</f>
        <v/>
      </c>
      <c r="JF84">
        <f>AND(IF(EC84="",TRUE,IF(input_faculty_discipline="",FALSE,SUMPRODUCT(--ISNUMBER(SEARCH(","&amp;TRIM(TEXTSPLIT(EC84,","))&amp;",",","&amp;SUBSTITUTE(input_faculty_discipline," ","")&amp;",")))&gt;0)),IF(EE84="",TRUE,IF(input_faculty_discipline="",FALSE,SUMPRODUCT(--ISNUMBER(SEARCH(","&amp;TRIM(TEXTSPLIT(EE84,","))&amp;",",","&amp;SUBSTITUTE(input_faculty_discipline," ","")&amp;",")))=COUNTA(TEXTSPLIT(EE84,",")))),IF(EG84="",TRUE,IF(input_faculty_discipline="",TRUE,SUMPRODUCT(--ISNUMBER(SEARCH(","&amp;TRIM(TEXTSPLIT(EG84,","))&amp;",",","&amp;SUBSTITUTE(input_faculty_discipline," ","")&amp;",")))=0)),IF(EI84="",TRUE,IF(input_faculty_discipline="",FALSE,SUMPRODUCT(--ISNUMBER(SEARCH(","&amp;TRIM(TEXTSPLIT(EI84,","))&amp;",",","&amp;SUBSTITUTE(input_faculty_discipline," ","")&amp;",")))&gt;0)),IF(EK84="",TRUE,IF(input_faculty_discipline="",FALSE,SUMPRODUCT(--ISNUMBER(SEARCH(","&amp;TRIM(TEXTSPLIT(EK84,","))&amp;",",","&amp;SUBSTITUTE(input_faculty_discipline," ","")&amp;",")))=COUNTA(TEXTSPLIT(EK84,",")))))</f>
        <v/>
      </c>
      <c r="JG84">
        <f>AND(IF(EM84="",TRUE,IF(input_faculty_expertise="",FALSE,SUMPRODUCT(--ISNUMBER(SEARCH(","&amp;TRIM(TEXTSPLIT(EM84,","))&amp;",",","&amp;SUBSTITUTE(input_faculty_expertise," ","")&amp;",")))&gt;0)),IF(EO84="",TRUE,IF(input_faculty_expertise="",FALSE,SUMPRODUCT(--ISNUMBER(SEARCH(","&amp;TRIM(TEXTSPLIT(EO84,","))&amp;",",","&amp;SUBSTITUTE(input_faculty_expertise," ","")&amp;",")))=COUNTA(TEXTSPLIT(EO84,",")))),IF(EQ84="",TRUE,IF(input_faculty_expertise="",TRUE,SUMPRODUCT(--ISNUMBER(SEARCH(","&amp;TRIM(TEXTSPLIT(EQ84,","))&amp;",",","&amp;SUBSTITUTE(input_faculty_expertise," ","")&amp;",")))=0)),IF(ES84="",TRUE,IF(input_faculty_expertise="",FALSE,SUMPRODUCT(--ISNUMBER(SEARCH(","&amp;TRIM(TEXTSPLIT(ES84,","))&amp;",",","&amp;SUBSTITUTE(input_faculty_expertise," ","")&amp;",")))&gt;0)),IF(EU84="",TRUE,IF(input_faculty_expertise="",FALSE,SUMPRODUCT(--ISNUMBER(SEARCH(","&amp;TRIM(TEXTSPLIT(EU84,","))&amp;",",","&amp;SUBSTITUTE(input_faculty_expertise," ","")&amp;",")))=COUNTA(TEXTSPLIT(EU84,",")))))</f>
        <v/>
      </c>
      <c r="JH84">
        <f>AND(IF(EW84="",TRUE,IF(input_global_network_school="",FALSE,SUMPRODUCT(--ISNUMBER(SEARCH(","&amp;TRIM(TEXTSPLIT(EW84,","))&amp;",",","&amp;SUBSTITUTE(input_global_network_school," ","")&amp;",")))&gt;0)),IF(EY84="",TRUE,IF(input_global_network_school="",FALSE,SUMPRODUCT(--ISNUMBER(SEARCH(","&amp;TRIM(TEXTSPLIT(EY84,","))&amp;",",","&amp;SUBSTITUTE(input_global_network_school," ","")&amp;",")))=COUNTA(TEXTSPLIT(EY84,",")))),IF(FA84="",TRUE,IF(input_global_network_school="",TRUE,SUMPRODUCT(--ISNUMBER(SEARCH(","&amp;TRIM(TEXTSPLIT(FA84,","))&amp;",",","&amp;SUBSTITUTE(input_global_network_school," ","")&amp;",")))=0)),IF(FC84="",TRUE,IF(input_global_network_school="",FALSE,SUMPRODUCT(--ISNUMBER(SEARCH(","&amp;TRIM(TEXTSPLIT(FC84,","))&amp;",",","&amp;SUBSTITUTE(input_global_network_school," ","")&amp;",")))&gt;0)),IF(FE84="",TRUE,IF(input_global_network_school="",FALSE,SUMPRODUCT(--ISNUMBER(SEARCH(","&amp;TRIM(TEXTSPLIT(FE84,","))&amp;",",","&amp;SUBSTITUTE(input_global_network_school," ","")&amp;",")))=COUNTA(TEXTSPLIT(FE84,",")))))</f>
        <v/>
      </c>
      <c r="JI84">
        <f>AND(IF(FG84="",TRUE,IF(input_industry="",FALSE,SUMPRODUCT(--ISNUMBER(SEARCH(","&amp;TRIM(TEXTSPLIT(FG84,","))&amp;",",","&amp;SUBSTITUTE(input_industry," ","")&amp;",")))&gt;0)),IF(FI84="",TRUE,IF(input_industry="",FALSE,SUMPRODUCT(--ISNUMBER(SEARCH(","&amp;TRIM(TEXTSPLIT(FI84,","))&amp;",",","&amp;SUBSTITUTE(input_industry," ","")&amp;",")))=COUNTA(TEXTSPLIT(FI84,",")))),IF(FK84="",TRUE,IF(input_industry="",TRUE,SUMPRODUCT(--ISNUMBER(SEARCH(","&amp;TRIM(TEXTSPLIT(FK84,","))&amp;",",","&amp;SUBSTITUTE(input_industry," ","")&amp;",")))=0)),IF(FM84="",TRUE,IF(input_industry="",FALSE,SUMPRODUCT(--ISNUMBER(SEARCH(","&amp;TRIM(TEXTSPLIT(FM84,","))&amp;",",","&amp;SUBSTITUTE(input_industry," ","")&amp;",")))&gt;0)),IF(FO84="",TRUE,IF(input_industry="",FALSE,SUMPRODUCT(--ISNUMBER(SEARCH(","&amp;TRIM(TEXTSPLIT(FO84,","))&amp;",",","&amp;SUBSTITUTE(input_industry," ","")&amp;",")))=COUNTA(TEXTSPLIT(FO84,",")))))</f>
        <v/>
      </c>
      <c r="JJ84">
        <f>AND(IF(FQ84="",TRUE,IF(input_location="",FALSE,SUMPRODUCT(--ISNUMBER(SEARCH(","&amp;TRIM(TEXTSPLIT(FQ84,","))&amp;",",","&amp;SUBSTITUTE(input_location," ","")&amp;",")))&gt;0)),IF(FS84="",TRUE,IF(input_location="",FALSE,SUMPRODUCT(--ISNUMBER(SEARCH(","&amp;TRIM(TEXTSPLIT(FS84,","))&amp;",",","&amp;SUBSTITUTE(input_location," ","")&amp;",")))=COUNTA(TEXTSPLIT(FS84,",")))),IF(FU84="",TRUE,IF(input_location="",TRUE,SUMPRODUCT(--ISNUMBER(SEARCH(","&amp;TRIM(TEXTSPLIT(FU84,","))&amp;",",","&amp;SUBSTITUTE(input_location," ","")&amp;",")))=0)),IF(FW84="",TRUE,IF(input_location="",FALSE,SUMPRODUCT(--ISNUMBER(SEARCH(","&amp;TRIM(TEXTSPLIT(FW84,","))&amp;",",","&amp;SUBSTITUTE(input_location," ","")&amp;",")))&gt;0)),IF(FY84="",TRUE,IF(input_location="",FALSE,SUMPRODUCT(--ISNUMBER(SEARCH(","&amp;TRIM(TEXTSPLIT(FY84,","))&amp;",",","&amp;SUBSTITUTE(input_location," ","")&amp;",")))=COUNTA(TEXTSPLIT(FY84,",")))))</f>
        <v/>
      </c>
      <c r="JK84">
        <f>AND(IF(GA84="",TRUE,IF(input_modality="",FALSE,SUMPRODUCT(--ISNUMBER(SEARCH(","&amp;TRIM(TEXTSPLIT(GA84,","))&amp;",",","&amp;SUBSTITUTE(input_modality," ","")&amp;",")))&gt;0)),IF(GC84="",TRUE,IF(input_modality="",FALSE,SUMPRODUCT(--ISNUMBER(SEARCH(","&amp;TRIM(TEXTSPLIT(GC84,","))&amp;",",","&amp;SUBSTITUTE(input_modality," ","")&amp;",")))=COUNTA(TEXTSPLIT(GC84,",")))),IF(GE84="",TRUE,IF(input_modality="",TRUE,SUMPRODUCT(--ISNUMBER(SEARCH(","&amp;TRIM(TEXTSPLIT(GE84,","))&amp;",",","&amp;SUBSTITUTE(input_modality," ","")&amp;",")))=0)),IF(GG84="",TRUE,IF(input_modality="",FALSE,SUMPRODUCT(--ISNUMBER(SEARCH(","&amp;TRIM(TEXTSPLIT(GG84,","))&amp;",",","&amp;SUBSTITUTE(input_modality," ","")&amp;",")))&gt;0)),IF(GI84="",TRUE,IF(input_modality="",FALSE,SUMPRODUCT(--ISNUMBER(SEARCH(","&amp;TRIM(TEXTSPLIT(GI84,","))&amp;",",","&amp;SUBSTITUTE(input_modality," ","")&amp;",")))=COUNTA(TEXTSPLIT(GI84,",")))))</f>
        <v/>
      </c>
      <c r="JL84">
        <f>AND(IF(GK84="",TRUE,IF(input_organizer="",FALSE,SUMPRODUCT(--ISNUMBER(SEARCH(","&amp;TRIM(TEXTSPLIT(GK84,","))&amp;",",","&amp;SUBSTITUTE(input_organizer," ","")&amp;",")))&gt;0)),IF(GM84="",TRUE,IF(input_organizer="",FALSE,SUMPRODUCT(--ISNUMBER(SEARCH(","&amp;TRIM(TEXTSPLIT(GM84,","))&amp;",",","&amp;SUBSTITUTE(input_organizer," ","")&amp;",")))=COUNTA(TEXTSPLIT(GM84,",")))),IF(GO84="",TRUE,IF(input_organizer="",TRUE,SUMPRODUCT(--ISNUMBER(SEARCH(","&amp;TRIM(TEXTSPLIT(GO84,","))&amp;",",","&amp;SUBSTITUTE(input_organizer," ","")&amp;",")))=0)),IF(GQ84="",TRUE,IF(input_organizer="",FALSE,SUMPRODUCT(--ISNUMBER(SEARCH(","&amp;TRIM(TEXTSPLIT(GQ84,","))&amp;",",","&amp;SUBSTITUTE(input_organizer," ","")&amp;",")))&gt;0)),IF(GS84="",TRUE,IF(input_organizer="",FALSE,SUMPRODUCT(--ISNUMBER(SEARCH(","&amp;TRIM(TEXTSPLIT(GS84,","))&amp;",",","&amp;SUBSTITUTE(input_organizer," ","")&amp;",")))=COUNTA(TEXTSPLIT(GS84,",")))))</f>
        <v/>
      </c>
      <c r="JM84">
        <f>AND(IF(GU84="",TRUE,IF(input_profile_type="",FALSE,SUMPRODUCT(--ISNUMBER(SEARCH(","&amp;TRIM(TEXTSPLIT(GU84,","))&amp;",",","&amp;SUBSTITUTE(input_profile_type," ","")&amp;",")))&gt;0)),IF(GW84="",TRUE,IF(input_profile_type="",FALSE,SUMPRODUCT(--ISNUMBER(SEARCH(","&amp;TRIM(TEXTSPLIT(GW84,","))&amp;",",","&amp;SUBSTITUTE(input_profile_type," ","")&amp;",")))=COUNTA(TEXTSPLIT(GW84,",")))),IF(GY84="",TRUE,IF(input_profile_type="",TRUE,SUMPRODUCT(--ISNUMBER(SEARCH(","&amp;TRIM(TEXTSPLIT(GY84,","))&amp;",",","&amp;SUBSTITUTE(input_profile_type," ","")&amp;",")))=0)),IF(HA84="",TRUE,IF(input_profile_type="",FALSE,SUMPRODUCT(--ISNUMBER(SEARCH(","&amp;TRIM(TEXTSPLIT(HA84,","))&amp;",",","&amp;SUBSTITUTE(input_profile_type," ","")&amp;",")))&gt;0)),IF(HC84="",TRUE,IF(input_profile_type="",FALSE,SUMPRODUCT(--ISNUMBER(SEARCH(","&amp;TRIM(TEXTSPLIT(HC84,","))&amp;",",","&amp;SUBSTITUTE(input_profile_type," ","")&amp;",")))=COUNTA(TEXTSPLIT(HC84,",")))))</f>
        <v/>
      </c>
      <c r="JN84">
        <f>AND(IF(HE84="",TRUE,IF(input_program="",FALSE,SUMPRODUCT(--ISNUMBER(SEARCH(","&amp;TRIM(TEXTSPLIT(HE84,","))&amp;",",","&amp;SUBSTITUTE(input_program," ","")&amp;",")))&gt;0)),IF(HG84="",TRUE,IF(input_program="",FALSE,SUMPRODUCT(--ISNUMBER(SEARCH(","&amp;TRIM(TEXTSPLIT(HG84,","))&amp;",",","&amp;SUBSTITUTE(input_program," ","")&amp;",")))=COUNTA(TEXTSPLIT(HG84,",")))),IF(HI84="",TRUE,IF(input_program="",TRUE,SUMPRODUCT(--ISNUMBER(SEARCH(","&amp;TRIM(TEXTSPLIT(HI84,","))&amp;",",","&amp;SUBSTITUTE(input_program," ","")&amp;",")))=0)),IF(HK84="",TRUE,IF(input_program="",FALSE,SUMPRODUCT(--ISNUMBER(SEARCH(","&amp;TRIM(TEXTSPLIT(HK84,","))&amp;",",","&amp;SUBSTITUTE(input_program," ","")&amp;",")))&gt;0)),IF(HM84="",TRUE,IF(input_program="",FALSE,SUMPRODUCT(--ISNUMBER(SEARCH(","&amp;TRIM(TEXTSPLIT(HM84,","))&amp;",",","&amp;SUBSTITUTE(input_program," ","")&amp;",")))=COUNTA(TEXTSPLIT(HM84,",")))))</f>
        <v/>
      </c>
      <c r="JO84">
        <f>AND(IF(HO84="",TRUE,IF(input_story_categories="",FALSE,SUMPRODUCT(--ISNUMBER(SEARCH(","&amp;TRIM(TEXTSPLIT(HO84,","))&amp;",",","&amp;SUBSTITUTE(input_story_categories," ","")&amp;",")))&gt;0)),IF(HQ84="",TRUE,IF(input_story_categories="",FALSE,SUMPRODUCT(--ISNUMBER(SEARCH(","&amp;TRIM(TEXTSPLIT(HQ84,","))&amp;",",","&amp;SUBSTITUTE(input_story_categories," ","")&amp;",")))=COUNTA(TEXTSPLIT(HQ84,",")))),IF(HS84="",TRUE,IF(input_story_categories="",TRUE,SUMPRODUCT(--ISNUMBER(SEARCH(","&amp;TRIM(TEXTSPLIT(HS84,","))&amp;",",","&amp;SUBSTITUTE(input_story_categories," ","")&amp;",")))=0)),IF(HU84="",TRUE,IF(input_story_categories="",FALSE,SUMPRODUCT(--ISNUMBER(SEARCH(","&amp;TRIM(TEXTSPLIT(HU84,","))&amp;",",","&amp;SUBSTITUTE(input_story_categories," ","")&amp;",")))&gt;0)),IF(HW84="",TRUE,IF(input_story_categories="",FALSE,SUMPRODUCT(--ISNUMBER(SEARCH(","&amp;TRIM(TEXTSPLIT(HW84,","))&amp;",",","&amp;SUBSTITUTE(input_story_categories," ","")&amp;",")))=COUNTA(TEXTSPLIT(HW84,",")))))</f>
        <v/>
      </c>
      <c r="JP84">
        <f>AND(IF(HY84="",TRUE,IF(input_story_type="",FALSE,SUMPRODUCT(--ISNUMBER(SEARCH(","&amp;TRIM(TEXTSPLIT(HY84,","))&amp;",",","&amp;SUBSTITUTE(input_story_type," ","")&amp;",")))&gt;0)),IF(IA84="",TRUE,IF(input_story_type="",FALSE,SUMPRODUCT(--ISNUMBER(SEARCH(","&amp;TRIM(TEXTSPLIT(IA84,","))&amp;",",","&amp;SUBSTITUTE(input_story_type," ","")&amp;",")))=COUNTA(TEXTSPLIT(IA84,",")))),IF(IC84="",TRUE,IF(input_story_type="",TRUE,SUMPRODUCT(--ISNUMBER(SEARCH(","&amp;TRIM(TEXTSPLIT(IC84,","))&amp;",",","&amp;SUBSTITUTE(input_story_type," ","")&amp;",")))=0)),IF(IE84="",TRUE,IF(input_story_type="",FALSE,SUMPRODUCT(--ISNUMBER(SEARCH(","&amp;TRIM(TEXTSPLIT(IE84,","))&amp;",",","&amp;SUBSTITUTE(input_story_type," ","")&amp;",")))&gt;0)),IF(IG84="",TRUE,IF(input_story_type="",FALSE,SUMPRODUCT(--ISNUMBER(SEARCH(","&amp;TRIM(TEXTSPLIT(IG84,","))&amp;",",","&amp;SUBSTITUTE(input_story_type," ","")&amp;",")))=COUNTA(TEXTSPLIT(IG84,",")))))</f>
        <v/>
      </c>
      <c r="JQ84">
        <f>AND(IF(II84="",TRUE,IF(input_topics="",FALSE,SUMPRODUCT(--ISNUMBER(SEARCH(","&amp;TRIM(TEXTSPLIT(II84,","))&amp;",",","&amp;SUBSTITUTE(input_topics," ","")&amp;",")))&gt;0)),IF(IK84="",TRUE,IF(input_topics="",FALSE,SUMPRODUCT(--ISNUMBER(SEARCH(","&amp;TRIM(TEXTSPLIT(IK84,","))&amp;",",","&amp;SUBSTITUTE(input_topics," ","")&amp;",")))=COUNTA(TEXTSPLIT(IK84,",")))),IF(IM84="",TRUE,IF(input_topics="",TRUE,SUMPRODUCT(--ISNUMBER(SEARCH(","&amp;TRIM(TEXTSPLIT(IM84,","))&amp;",",","&amp;SUBSTITUTE(input_topics," ","")&amp;",")))=0)),IF(IO84="",TRUE,IF(input_topics="",FALSE,SUMPRODUCT(--ISNUMBER(SEARCH(","&amp;TRIM(TEXTSPLIT(IO84,","))&amp;",",","&amp;SUBSTITUTE(input_topics," ","")&amp;",")))&gt;0)),IF(IQ84="",TRUE,IF(input_topics="",FALSE,SUMPRODUCT(--ISNUMBER(SEARCH(","&amp;TRIM(TEXTSPLIT(IQ84,","))&amp;",",","&amp;SUBSTITUTE(input_topics," ","")&amp;",")))=COUNTA(TEXTSPLIT(IQ84,",")))))</f>
        <v/>
      </c>
    </row>
    <row r="85">
      <c r="A85" s="4">
        <f>IF(NOT(IS85),"Excluded",IF(AND(IT85,IU85,IV85,IW85,IX85,IY85,IZ85,JA85,JB85,JC85,JD85,JE85,JF85,JG85,JH85,JI85,JJ85,JK85,JL85,JM85,JN85,JO85,JP85,JQ85),IF(I85&gt;0,"Eligible but limited","Will appear"),"Excluded"))</f>
        <v/>
      </c>
      <c r="B85" s="4" t="inlineStr">
        <is>
          <t>CELI Events</t>
        </is>
      </c>
      <c r="C85" s="4" t="inlineStr">
        <is>
          <t>/centers/chief-executive-leadership-institute/celi-events</t>
        </is>
      </c>
      <c r="D85" s="4" t="inlineStr">
        <is>
          <t>/centers/chief-executive-leadership-institute/celi-events</t>
        </is>
      </c>
      <c r="E85" s="4" t="n">
        <v>1</v>
      </c>
      <c r="F85" s="4" t="inlineStr">
        <is>
          <t>event</t>
        </is>
      </c>
      <c r="G85" s="4" t="inlineStr">
        <is>
          <t>event_list</t>
        </is>
      </c>
      <c r="H85" s="4" t="inlineStr">
        <is>
          <t>embed_no_filters</t>
        </is>
      </c>
      <c r="I85" s="4" t="n">
        <v>8</v>
      </c>
      <c r="J85" s="4" t="inlineStr">
        <is>
          <t>Explicit args</t>
        </is>
      </c>
      <c r="K85" s="4" t="inlineStr">
        <is>
          <t>Page placement</t>
        </is>
      </c>
      <c r="L85" s="4" t="inlineStr">
        <is>
          <t>Content type: event; Context uses Courses Context: Chief Executive Leadership Institute (925); Limited to 8 item(s); Source: Explicit args</t>
        </is>
      </c>
      <c r="M85" t="inlineStr"/>
      <c r="N85" t="inlineStr"/>
      <c r="O85" t="inlineStr"/>
      <c r="P85" t="inlineStr"/>
      <c r="Q85" t="inlineStr"/>
      <c r="R85" t="inlineStr"/>
      <c r="S85" t="inlineStr"/>
      <c r="T85" t="inlineStr"/>
      <c r="U85" t="inlineStr"/>
      <c r="V85" t="inlineStr"/>
      <c r="W85" t="inlineStr"/>
      <c r="X85" t="inlineStr"/>
      <c r="Y85" t="inlineStr"/>
      <c r="Z85" t="inlineStr"/>
      <c r="AA85" t="inlineStr"/>
      <c r="AB85" t="inlineStr"/>
      <c r="AC85" t="inlineStr"/>
      <c r="AD85" t="inlineStr"/>
      <c r="AE85" t="inlineStr"/>
      <c r="AF85" t="inlineStr"/>
      <c r="AG85" t="inlineStr"/>
      <c r="AH85" t="inlineStr"/>
      <c r="AI85" t="inlineStr"/>
      <c r="AJ85" t="inlineStr"/>
      <c r="AK85" t="inlineStr"/>
      <c r="AL85" t="inlineStr"/>
      <c r="AM85" t="inlineStr"/>
      <c r="AN85" t="inlineStr"/>
      <c r="AO85" t="inlineStr"/>
      <c r="AP85" t="inlineStr"/>
      <c r="AQ85" t="inlineStr"/>
      <c r="AR85" t="inlineStr"/>
      <c r="AS85" t="inlineStr"/>
      <c r="AT85" t="inlineStr"/>
      <c r="AU85" t="inlineStr"/>
      <c r="AV85" t="inlineStr"/>
      <c r="AW85" t="inlineStr"/>
      <c r="AX85" t="inlineStr"/>
      <c r="AY85" t="inlineStr"/>
      <c r="AZ85" t="inlineStr"/>
      <c r="BA85" t="inlineStr"/>
      <c r="BB85" t="inlineStr"/>
      <c r="BC85" t="inlineStr"/>
      <c r="BD85" t="inlineStr"/>
      <c r="BE85" t="inlineStr"/>
      <c r="BF85" t="inlineStr"/>
      <c r="BG85" t="inlineStr"/>
      <c r="BH85" t="inlineStr"/>
      <c r="BI85" t="inlineStr"/>
      <c r="BJ85" t="inlineStr"/>
      <c r="BK85" t="inlineStr"/>
      <c r="BL85" t="inlineStr"/>
      <c r="BM85" t="inlineStr"/>
      <c r="BN85" t="inlineStr"/>
      <c r="BO85" t="inlineStr"/>
      <c r="BP85" t="inlineStr"/>
      <c r="BQ85" t="inlineStr">
        <is>
          <t>925</t>
        </is>
      </c>
      <c r="BR85" t="inlineStr">
        <is>
          <t>Chief Executive Leadership Institute (925)</t>
        </is>
      </c>
      <c r="BS85" t="inlineStr"/>
      <c r="BT85" t="inlineStr"/>
      <c r="BU85" t="inlineStr"/>
      <c r="BV85" t="inlineStr"/>
      <c r="BW85" t="inlineStr"/>
      <c r="BX85" t="inlineStr"/>
      <c r="BY85" t="inlineStr"/>
      <c r="BZ85" t="inlineStr"/>
      <c r="CA85" t="inlineStr"/>
      <c r="CB85" t="inlineStr"/>
      <c r="CC85" t="inlineStr"/>
      <c r="CD85" t="inlineStr"/>
      <c r="CE85" t="inlineStr"/>
      <c r="CF85" t="inlineStr"/>
      <c r="CG85" t="inlineStr"/>
      <c r="CH85" t="inlineStr"/>
      <c r="CI85" t="inlineStr"/>
      <c r="CJ85" t="inlineStr"/>
      <c r="CK85" t="inlineStr"/>
      <c r="CL85" t="inlineStr"/>
      <c r="CM85" t="inlineStr"/>
      <c r="CN85" t="inlineStr"/>
      <c r="CO85" t="inlineStr"/>
      <c r="CP85" t="inlineStr"/>
      <c r="CQ85" t="inlineStr"/>
      <c r="CR85" t="inlineStr"/>
      <c r="CS85" t="inlineStr"/>
      <c r="CT85" t="inlineStr"/>
      <c r="CU85" t="inlineStr"/>
      <c r="CV85" t="inlineStr"/>
      <c r="CW85" t="inlineStr"/>
      <c r="CX85" t="inlineStr"/>
      <c r="CY85" t="inlineStr"/>
      <c r="CZ85" t="inlineStr"/>
      <c r="DA85" t="inlineStr"/>
      <c r="DB85" t="inlineStr"/>
      <c r="DC85" t="inlineStr"/>
      <c r="DD85" t="inlineStr"/>
      <c r="DE85" t="inlineStr"/>
      <c r="DF85" t="inlineStr"/>
      <c r="DG85" t="inlineStr"/>
      <c r="DH85" t="inlineStr"/>
      <c r="DI85" t="inlineStr"/>
      <c r="DJ85" t="inlineStr"/>
      <c r="DK85" t="inlineStr"/>
      <c r="DL85" t="inlineStr"/>
      <c r="DM85" t="inlineStr"/>
      <c r="DN85" t="inlineStr"/>
      <c r="DO85" t="inlineStr"/>
      <c r="DP85" t="inlineStr"/>
      <c r="DQ85" t="inlineStr"/>
      <c r="DR85" t="inlineStr"/>
      <c r="DS85" t="inlineStr"/>
      <c r="DT85" t="inlineStr"/>
      <c r="DU85" t="inlineStr"/>
      <c r="DV85" t="inlineStr"/>
      <c r="DW85" t="inlineStr"/>
      <c r="DX85" t="inlineStr"/>
      <c r="DY85" t="inlineStr"/>
      <c r="DZ85" t="inlineStr"/>
      <c r="EA85" t="inlineStr"/>
      <c r="EB85" t="inlineStr"/>
      <c r="EC85" t="inlineStr"/>
      <c r="ED85" t="inlineStr"/>
      <c r="EE85" t="inlineStr"/>
      <c r="EF85" t="inlineStr"/>
      <c r="EG85" t="inlineStr"/>
      <c r="EH85" t="inlineStr"/>
      <c r="EI85" t="inlineStr"/>
      <c r="EJ85" t="inlineStr"/>
      <c r="EK85" t="inlineStr"/>
      <c r="EL85" t="inlineStr"/>
      <c r="EM85" t="inlineStr"/>
      <c r="EN85" t="inlineStr"/>
      <c r="EO85" t="inlineStr"/>
      <c r="EP85" t="inlineStr"/>
      <c r="EQ85" t="inlineStr"/>
      <c r="ER85" t="inlineStr"/>
      <c r="ES85" t="inlineStr"/>
      <c r="ET85" t="inlineStr"/>
      <c r="EU85" t="inlineStr"/>
      <c r="EV85" t="inlineStr"/>
      <c r="EW85" t="inlineStr"/>
      <c r="EX85" t="inlineStr"/>
      <c r="EY85" t="inlineStr"/>
      <c r="EZ85" t="inlineStr"/>
      <c r="FA85" t="inlineStr"/>
      <c r="FB85" t="inlineStr"/>
      <c r="FC85" t="inlineStr"/>
      <c r="FD85" t="inlineStr"/>
      <c r="FE85" t="inlineStr"/>
      <c r="FF85" t="inlineStr"/>
      <c r="FG85" t="inlineStr"/>
      <c r="FH85" t="inlineStr"/>
      <c r="FI85" t="inlineStr"/>
      <c r="FJ85" t="inlineStr"/>
      <c r="FK85" t="inlineStr"/>
      <c r="FL85" t="inlineStr"/>
      <c r="FM85" t="inlineStr"/>
      <c r="FN85" t="inlineStr"/>
      <c r="FO85" t="inlineStr"/>
      <c r="FP85" t="inlineStr"/>
      <c r="FQ85" t="inlineStr"/>
      <c r="FR85" t="inlineStr"/>
      <c r="FS85" t="inlineStr"/>
      <c r="FT85" t="inlineStr"/>
      <c r="FU85" t="inlineStr"/>
      <c r="FV85" t="inlineStr"/>
      <c r="FW85" t="inlineStr"/>
      <c r="FX85" t="inlineStr"/>
      <c r="FY85" t="inlineStr"/>
      <c r="FZ85" t="inlineStr"/>
      <c r="GA85" t="inlineStr"/>
      <c r="GB85" t="inlineStr"/>
      <c r="GC85" t="inlineStr"/>
      <c r="GD85" t="inlineStr"/>
      <c r="GE85" t="inlineStr"/>
      <c r="GF85" t="inlineStr"/>
      <c r="GG85" t="inlineStr"/>
      <c r="GH85" t="inlineStr"/>
      <c r="GI85" t="inlineStr"/>
      <c r="GJ85" t="inlineStr"/>
      <c r="GK85" t="inlineStr"/>
      <c r="GL85" t="inlineStr"/>
      <c r="GM85" t="inlineStr"/>
      <c r="GN85" t="inlineStr"/>
      <c r="GO85" t="inlineStr"/>
      <c r="GP85" t="inlineStr"/>
      <c r="GQ85" t="inlineStr"/>
      <c r="GR85" t="inlineStr"/>
      <c r="GS85" t="inlineStr"/>
      <c r="GT85" t="inlineStr"/>
      <c r="GU85" t="inlineStr"/>
      <c r="GV85" t="inlineStr"/>
      <c r="GW85" t="inlineStr"/>
      <c r="GX85" t="inlineStr"/>
      <c r="GY85" t="inlineStr"/>
      <c r="GZ85" t="inlineStr"/>
      <c r="HA85" t="inlineStr"/>
      <c r="HB85" t="inlineStr"/>
      <c r="HC85" t="inlineStr"/>
      <c r="HD85" t="inlineStr"/>
      <c r="HE85" t="inlineStr"/>
      <c r="HF85" t="inlineStr"/>
      <c r="HG85" t="inlineStr"/>
      <c r="HH85" t="inlineStr"/>
      <c r="HI85" t="inlineStr"/>
      <c r="HJ85" t="inlineStr"/>
      <c r="HK85" t="inlineStr"/>
      <c r="HL85" t="inlineStr"/>
      <c r="HM85" t="inlineStr"/>
      <c r="HN85" t="inlineStr"/>
      <c r="HO85" t="inlineStr"/>
      <c r="HP85" t="inlineStr"/>
      <c r="HQ85" t="inlineStr"/>
      <c r="HR85" t="inlineStr"/>
      <c r="HS85" t="inlineStr"/>
      <c r="HT85" t="inlineStr"/>
      <c r="HU85" t="inlineStr"/>
      <c r="HV85" t="inlineStr"/>
      <c r="HW85" t="inlineStr"/>
      <c r="HX85" t="inlineStr"/>
      <c r="HY85" t="inlineStr"/>
      <c r="HZ85" t="inlineStr"/>
      <c r="IA85" t="inlineStr"/>
      <c r="IB85" t="inlineStr"/>
      <c r="IC85" t="inlineStr"/>
      <c r="ID85" t="inlineStr"/>
      <c r="IE85" t="inlineStr"/>
      <c r="IF85" t="inlineStr"/>
      <c r="IG85" t="inlineStr"/>
      <c r="IH85" t="inlineStr"/>
      <c r="II85" t="inlineStr"/>
      <c r="IJ85" t="inlineStr"/>
      <c r="IK85" t="inlineStr"/>
      <c r="IL85" t="inlineStr"/>
      <c r="IM85" t="inlineStr"/>
      <c r="IN85" t="inlineStr"/>
      <c r="IO85" t="inlineStr"/>
      <c r="IP85" t="inlineStr"/>
      <c r="IQ85" t="inlineStr"/>
      <c r="IR85" t="inlineStr"/>
      <c r="IS85">
        <f>IF(input_content_type="",FALSE,ISNUMBER(SEARCH(","&amp;LOWER(input_content_type)&amp;",",","&amp;LOWER(F85)&amp;",")))</f>
        <v/>
      </c>
      <c r="IT85">
        <f>AND(IF(M85="",TRUE,IF(input_affiliations="",FALSE,SUMPRODUCT(--ISNUMBER(SEARCH(","&amp;TRIM(TEXTSPLIT(M85,","))&amp;",",","&amp;SUBSTITUTE(input_affiliations," ","")&amp;",")))&gt;0)),IF(O85="",TRUE,IF(input_affiliations="",FALSE,SUMPRODUCT(--ISNUMBER(SEARCH(","&amp;TRIM(TEXTSPLIT(O85,","))&amp;",",","&amp;SUBSTITUTE(input_affiliations," ","")&amp;",")))=COUNTA(TEXTSPLIT(O85,",")))),IF(Q85="",TRUE,IF(input_affiliations="",TRUE,SUMPRODUCT(--ISNUMBER(SEARCH(","&amp;TRIM(TEXTSPLIT(Q85,","))&amp;",",","&amp;SUBSTITUTE(input_affiliations," ","")&amp;",")))=0)),IF(S85="",TRUE,IF(input_affiliations="",FALSE,SUMPRODUCT(--ISNUMBER(SEARCH(","&amp;TRIM(TEXTSPLIT(S85,","))&amp;",",","&amp;SUBSTITUTE(input_affiliations," ","")&amp;",")))&gt;0)),IF(U85="",TRUE,IF(input_affiliations="",FALSE,SUMPRODUCT(--ISNUMBER(SEARCH(","&amp;TRIM(TEXTSPLIT(U85,","))&amp;",",","&amp;SUBSTITUTE(input_affiliations," ","")&amp;",")))=COUNTA(TEXTSPLIT(U85,",")))))</f>
        <v/>
      </c>
      <c r="IU85">
        <f>AND(IF(W85="",TRUE,IF(input_announcement_category="",FALSE,SUMPRODUCT(--ISNUMBER(SEARCH(","&amp;TRIM(TEXTSPLIT(W85,","))&amp;",",","&amp;SUBSTITUTE(input_announcement_category," ","")&amp;",")))&gt;0)),IF(Y85="",TRUE,IF(input_announcement_category="",FALSE,SUMPRODUCT(--ISNUMBER(SEARCH(","&amp;TRIM(TEXTSPLIT(Y85,","))&amp;",",","&amp;SUBSTITUTE(input_announcement_category," ","")&amp;",")))=COUNTA(TEXTSPLIT(Y85,",")))),IF(AA85="",TRUE,IF(input_announcement_category="",TRUE,SUMPRODUCT(--ISNUMBER(SEARCH(","&amp;TRIM(TEXTSPLIT(AA85,","))&amp;",",","&amp;SUBSTITUTE(input_announcement_category," ","")&amp;",")))=0)),IF(AC85="",TRUE,IF(input_announcement_category="",FALSE,SUMPRODUCT(--ISNUMBER(SEARCH(","&amp;TRIM(TEXTSPLIT(AC85,","))&amp;",",","&amp;SUBSTITUTE(input_announcement_category," ","")&amp;",")))&gt;0)),IF(AE85="",TRUE,IF(input_announcement_category="",FALSE,SUMPRODUCT(--ISNUMBER(SEARCH(","&amp;TRIM(TEXTSPLIT(AE85,","))&amp;",",","&amp;SUBSTITUTE(input_announcement_category," ","")&amp;",")))=COUNTA(TEXTSPLIT(AE85,",")))))</f>
        <v/>
      </c>
      <c r="IV85">
        <f>AND(IF(AG85="",TRUE,IF(input_area_of_focus="",FALSE,SUMPRODUCT(--ISNUMBER(SEARCH(","&amp;TRIM(TEXTSPLIT(AG85,","))&amp;",",","&amp;SUBSTITUTE(input_area_of_focus," ","")&amp;",")))&gt;0)),IF(AI85="",TRUE,IF(input_area_of_focus="",FALSE,SUMPRODUCT(--ISNUMBER(SEARCH(","&amp;TRIM(TEXTSPLIT(AI85,","))&amp;",",","&amp;SUBSTITUTE(input_area_of_focus," ","")&amp;",")))=COUNTA(TEXTSPLIT(AI85,",")))),IF(AK85="",TRUE,IF(input_area_of_focus="",TRUE,SUMPRODUCT(--ISNUMBER(SEARCH(","&amp;TRIM(TEXTSPLIT(AK85,","))&amp;",",","&amp;SUBSTITUTE(input_area_of_focus," ","")&amp;",")))=0)),IF(AM85="",TRUE,IF(input_area_of_focus="",FALSE,SUMPRODUCT(--ISNUMBER(SEARCH(","&amp;TRIM(TEXTSPLIT(AM85,","))&amp;",",","&amp;SUBSTITUTE(input_area_of_focus," ","")&amp;",")))&gt;0)),IF(AO85="",TRUE,IF(input_area_of_focus="",FALSE,SUMPRODUCT(--ISNUMBER(SEARCH(","&amp;TRIM(TEXTSPLIT(AO85,","))&amp;",",","&amp;SUBSTITUTE(input_area_of_focus," ","")&amp;",")))=COUNTA(TEXTSPLIT(AO85,",")))))</f>
        <v/>
      </c>
      <c r="IW85">
        <f>AND(IF(AQ85="",TRUE,IF(input_audience="",FALSE,SUMPRODUCT(--ISNUMBER(SEARCH(","&amp;TRIM(TEXTSPLIT(AQ85,","))&amp;",",","&amp;SUBSTITUTE(input_audience," ","")&amp;",")))&gt;0)),IF(AS85="",TRUE,IF(input_audience="",FALSE,SUMPRODUCT(--ISNUMBER(SEARCH(","&amp;TRIM(TEXTSPLIT(AS85,","))&amp;",",","&amp;SUBSTITUTE(input_audience," ","")&amp;",")))=COUNTA(TEXTSPLIT(AS85,",")))),IF(AU85="",TRUE,IF(input_audience="",TRUE,SUMPRODUCT(--ISNUMBER(SEARCH(","&amp;TRIM(TEXTSPLIT(AU85,","))&amp;",",","&amp;SUBSTITUTE(input_audience," ","")&amp;",")))=0)),IF(AW85="",TRUE,IF(input_audience="",FALSE,SUMPRODUCT(--ISNUMBER(SEARCH(","&amp;TRIM(TEXTSPLIT(AW85,","))&amp;",",","&amp;SUBSTITUTE(input_audience," ","")&amp;",")))&gt;0)),IF(AY85="",TRUE,IF(input_audience="",FALSE,SUMPRODUCT(--ISNUMBER(SEARCH(","&amp;TRIM(TEXTSPLIT(AY85,","))&amp;",",","&amp;SUBSTITUTE(input_audience," ","")&amp;",")))=COUNTA(TEXTSPLIT(AY85,",")))))</f>
        <v/>
      </c>
      <c r="IX85">
        <f>AND(IF(BA85="",TRUE,IF(input_challenge_opportunities="",FALSE,SUMPRODUCT(--ISNUMBER(SEARCH(","&amp;TRIM(TEXTSPLIT(BA85,","))&amp;",",","&amp;SUBSTITUTE(input_challenge_opportunities," ","")&amp;",")))&gt;0)),IF(BC85="",TRUE,IF(input_challenge_opportunities="",FALSE,SUMPRODUCT(--ISNUMBER(SEARCH(","&amp;TRIM(TEXTSPLIT(BC85,","))&amp;",",","&amp;SUBSTITUTE(input_challenge_opportunities," ","")&amp;",")))=COUNTA(TEXTSPLIT(BC85,",")))),IF(BE85="",TRUE,IF(input_challenge_opportunities="",TRUE,SUMPRODUCT(--ISNUMBER(SEARCH(","&amp;TRIM(TEXTSPLIT(BE85,","))&amp;",",","&amp;SUBSTITUTE(input_challenge_opportunities," ","")&amp;",")))=0)),IF(BG85="",TRUE,IF(input_challenge_opportunities="",FALSE,SUMPRODUCT(--ISNUMBER(SEARCH(","&amp;TRIM(TEXTSPLIT(BG85,","))&amp;",",","&amp;SUBSTITUTE(input_challenge_opportunities," ","")&amp;",")))&gt;0)),IF(BI85="",TRUE,IF(input_challenge_opportunities="",FALSE,SUMPRODUCT(--ISNUMBER(SEARCH(","&amp;TRIM(TEXTSPLIT(BI85,","))&amp;",",","&amp;SUBSTITUTE(input_challenge_opportunities," ","")&amp;",")))=COUNTA(TEXTSPLIT(BI85,",")))))</f>
        <v/>
      </c>
      <c r="IY85">
        <f>AND(IF(BK85="",TRUE,IF(input_context="",FALSE,SUMPRODUCT(--ISNUMBER(SEARCH(","&amp;TRIM(TEXTSPLIT(BK85,","))&amp;",",","&amp;SUBSTITUTE(input_context," ","")&amp;",")))&gt;0)),IF(BM85="",TRUE,IF(input_context="",FALSE,SUMPRODUCT(--ISNUMBER(SEARCH(","&amp;TRIM(TEXTSPLIT(BM85,","))&amp;",",","&amp;SUBSTITUTE(input_context," ","")&amp;",")))=COUNTA(TEXTSPLIT(BM85,",")))),IF(BO85="",TRUE,IF(input_context="",TRUE,SUMPRODUCT(--ISNUMBER(SEARCH(","&amp;TRIM(TEXTSPLIT(BO85,","))&amp;",",","&amp;SUBSTITUTE(input_context," ","")&amp;",")))=0)),IF(BQ85="",TRUE,IF(input_context="",FALSE,SUMPRODUCT(--ISNUMBER(SEARCH(","&amp;TRIM(TEXTSPLIT(BQ85,","))&amp;",",","&amp;SUBSTITUTE(input_context," ","")&amp;",")))&gt;0)),IF(BS85="",TRUE,IF(input_context="",FALSE,SUMPRODUCT(--ISNUMBER(SEARCH(","&amp;TRIM(TEXTSPLIT(BS85,","))&amp;",",","&amp;SUBSTITUTE(input_context," ","")&amp;",")))=COUNTA(TEXTSPLIT(BS85,",")))))</f>
        <v/>
      </c>
      <c r="IZ85">
        <f>AND(IF(BU85="",TRUE,IF(input_enews_announcement_type="",FALSE,SUMPRODUCT(--ISNUMBER(SEARCH(","&amp;TRIM(TEXTSPLIT(BU85,","))&amp;",",","&amp;SUBSTITUTE(input_enews_announcement_type," ","")&amp;",")))&gt;0)),IF(BW85="",TRUE,IF(input_enews_announcement_type="",FALSE,SUMPRODUCT(--ISNUMBER(SEARCH(","&amp;TRIM(TEXTSPLIT(BW85,","))&amp;",",","&amp;SUBSTITUTE(input_enews_announcement_type," ","")&amp;",")))=COUNTA(TEXTSPLIT(BW85,",")))),IF(BY85="",TRUE,IF(input_enews_announcement_type="",TRUE,SUMPRODUCT(--ISNUMBER(SEARCH(","&amp;TRIM(TEXTSPLIT(BY85,","))&amp;",",","&amp;SUBSTITUTE(input_enews_announcement_type," ","")&amp;",")))=0)),IF(CA85="",TRUE,IF(input_enews_announcement_type="",FALSE,SUMPRODUCT(--ISNUMBER(SEARCH(","&amp;TRIM(TEXTSPLIT(CA85,","))&amp;",",","&amp;SUBSTITUTE(input_enews_announcement_type," ","")&amp;",")))&gt;0)),IF(CC85="",TRUE,IF(input_enews_announcement_type="",FALSE,SUMPRODUCT(--ISNUMBER(SEARCH(","&amp;TRIM(TEXTSPLIT(CC85,","))&amp;",",","&amp;SUBSTITUTE(input_enews_announcement_type," ","")&amp;",")))=COUNTA(TEXTSPLIT(CC85,",")))))</f>
        <v/>
      </c>
      <c r="JA85">
        <f>AND(IF(CE85="",TRUE,IF(input_enews_audience="",FALSE,SUMPRODUCT(--ISNUMBER(SEARCH(","&amp;TRIM(TEXTSPLIT(CE85,","))&amp;",",","&amp;SUBSTITUTE(input_enews_audience," ","")&amp;",")))&gt;0)),IF(CG85="",TRUE,IF(input_enews_audience="",FALSE,SUMPRODUCT(--ISNUMBER(SEARCH(","&amp;TRIM(TEXTSPLIT(CG85,","))&amp;",",","&amp;SUBSTITUTE(input_enews_audience," ","")&amp;",")))=COUNTA(TEXTSPLIT(CG85,",")))),IF(CI85="",TRUE,IF(input_enews_audience="",TRUE,SUMPRODUCT(--ISNUMBER(SEARCH(","&amp;TRIM(TEXTSPLIT(CI85,","))&amp;",",","&amp;SUBSTITUTE(input_enews_audience," ","")&amp;",")))=0)),IF(CK85="",TRUE,IF(input_enews_audience="",FALSE,SUMPRODUCT(--ISNUMBER(SEARCH(","&amp;TRIM(TEXTSPLIT(CK85,","))&amp;",",","&amp;SUBSTITUTE(input_enews_audience," ","")&amp;",")))&gt;0)),IF(CM85="",TRUE,IF(input_enews_audience="",FALSE,SUMPRODUCT(--ISNUMBER(SEARCH(","&amp;TRIM(TEXTSPLIT(CM85,","))&amp;",",","&amp;SUBSTITUTE(input_enews_audience," ","")&amp;",")))=COUNTA(TEXTSPLIT(CM85,",")))))</f>
        <v/>
      </c>
      <c r="JB85">
        <f>AND(IF(CO85="",TRUE,IF(input_event_location="",FALSE,SUMPRODUCT(--ISNUMBER(SEARCH(","&amp;TRIM(TEXTSPLIT(CO85,","))&amp;",",","&amp;SUBSTITUTE(input_event_location," ","")&amp;",")))&gt;0)),IF(CQ85="",TRUE,IF(input_event_location="",FALSE,SUMPRODUCT(--ISNUMBER(SEARCH(","&amp;TRIM(TEXTSPLIT(CQ85,","))&amp;",",","&amp;SUBSTITUTE(input_event_location," ","")&amp;",")))=COUNTA(TEXTSPLIT(CQ85,",")))),IF(CS85="",TRUE,IF(input_event_location="",TRUE,SUMPRODUCT(--ISNUMBER(SEARCH(","&amp;TRIM(TEXTSPLIT(CS85,","))&amp;",",","&amp;SUBSTITUTE(input_event_location," ","")&amp;",")))=0)),IF(CU85="",TRUE,IF(input_event_location="",FALSE,SUMPRODUCT(--ISNUMBER(SEARCH(","&amp;TRIM(TEXTSPLIT(CU85,","))&amp;",",","&amp;SUBSTITUTE(input_event_location," ","")&amp;",")))&gt;0)),IF(CW85="",TRUE,IF(input_event_location="",FALSE,SUMPRODUCT(--ISNUMBER(SEARCH(","&amp;TRIM(TEXTSPLIT(CW85,","))&amp;",",","&amp;SUBSTITUTE(input_event_location," ","")&amp;",")))=COUNTA(TEXTSPLIT(CW85,",")))))</f>
        <v/>
      </c>
      <c r="JC85">
        <f>AND(IF(CY85="",TRUE,IF(input_event_type="",FALSE,SUMPRODUCT(--ISNUMBER(SEARCH(","&amp;TRIM(TEXTSPLIT(CY85,","))&amp;",",","&amp;SUBSTITUTE(input_event_type," ","")&amp;",")))&gt;0)),IF(DA85="",TRUE,IF(input_event_type="",FALSE,SUMPRODUCT(--ISNUMBER(SEARCH(","&amp;TRIM(TEXTSPLIT(DA85,","))&amp;",",","&amp;SUBSTITUTE(input_event_type," ","")&amp;",")))=COUNTA(TEXTSPLIT(DA85,",")))),IF(DC85="",TRUE,IF(input_event_type="",TRUE,SUMPRODUCT(--ISNUMBER(SEARCH(","&amp;TRIM(TEXTSPLIT(DC85,","))&amp;",",","&amp;SUBSTITUTE(input_event_type," ","")&amp;",")))=0)),IF(DE85="",TRUE,IF(input_event_type="",FALSE,SUMPRODUCT(--ISNUMBER(SEARCH(","&amp;TRIM(TEXTSPLIT(DE85,","))&amp;",",","&amp;SUBSTITUTE(input_event_type," ","")&amp;",")))&gt;0)),IF(DG85="",TRUE,IF(input_event_type="",FALSE,SUMPRODUCT(--ISNUMBER(SEARCH(","&amp;TRIM(TEXTSPLIT(DG85,","))&amp;",",","&amp;SUBSTITUTE(input_event_type," ","")&amp;",")))=COUNTA(TEXTSPLIT(DG85,",")))))</f>
        <v/>
      </c>
      <c r="JD85">
        <f>AND(IF(DI85="",TRUE,IF(input_executive_education_focus="",FALSE,SUMPRODUCT(--ISNUMBER(SEARCH(","&amp;TRIM(TEXTSPLIT(DI85,","))&amp;",",","&amp;SUBSTITUTE(input_executive_education_focus," ","")&amp;",")))&gt;0)),IF(DK85="",TRUE,IF(input_executive_education_focus="",FALSE,SUMPRODUCT(--ISNUMBER(SEARCH(","&amp;TRIM(TEXTSPLIT(DK85,","))&amp;",",","&amp;SUBSTITUTE(input_executive_education_focus," ","")&amp;",")))=COUNTA(TEXTSPLIT(DK85,",")))),IF(DM85="",TRUE,IF(input_executive_education_focus="",TRUE,SUMPRODUCT(--ISNUMBER(SEARCH(","&amp;TRIM(TEXTSPLIT(DM85,","))&amp;",",","&amp;SUBSTITUTE(input_executive_education_focus," ","")&amp;",")))=0)),IF(DO85="",TRUE,IF(input_executive_education_focus="",FALSE,SUMPRODUCT(--ISNUMBER(SEARCH(","&amp;TRIM(TEXTSPLIT(DO85,","))&amp;",",","&amp;SUBSTITUTE(input_executive_education_focus," ","")&amp;",")))&gt;0)),IF(DQ85="",TRUE,IF(input_executive_education_focus="",FALSE,SUMPRODUCT(--ISNUMBER(SEARCH(","&amp;TRIM(TEXTSPLIT(DQ85,","))&amp;",",","&amp;SUBSTITUTE(input_executive_education_focus," ","")&amp;",")))=COUNTA(TEXTSPLIT(DQ85,",")))))</f>
        <v/>
      </c>
      <c r="JE85">
        <f>AND(IF(DS85="",TRUE,IF(input_faculty_category="",FALSE,SUMPRODUCT(--ISNUMBER(SEARCH(","&amp;TRIM(TEXTSPLIT(DS85,","))&amp;",",","&amp;SUBSTITUTE(input_faculty_category," ","")&amp;",")))&gt;0)),IF(DU85="",TRUE,IF(input_faculty_category="",FALSE,SUMPRODUCT(--ISNUMBER(SEARCH(","&amp;TRIM(TEXTSPLIT(DU85,","))&amp;",",","&amp;SUBSTITUTE(input_faculty_category," ","")&amp;",")))=COUNTA(TEXTSPLIT(DU85,",")))),IF(DW85="",TRUE,IF(input_faculty_category="",TRUE,SUMPRODUCT(--ISNUMBER(SEARCH(","&amp;TRIM(TEXTSPLIT(DW85,","))&amp;",",","&amp;SUBSTITUTE(input_faculty_category," ","")&amp;",")))=0)),IF(DY85="",TRUE,IF(input_faculty_category="",FALSE,SUMPRODUCT(--ISNUMBER(SEARCH(","&amp;TRIM(TEXTSPLIT(DY85,","))&amp;",",","&amp;SUBSTITUTE(input_faculty_category," ","")&amp;",")))&gt;0)),IF(EA85="",TRUE,IF(input_faculty_category="",FALSE,SUMPRODUCT(--ISNUMBER(SEARCH(","&amp;TRIM(TEXTSPLIT(EA85,","))&amp;",",","&amp;SUBSTITUTE(input_faculty_category," ","")&amp;",")))=COUNTA(TEXTSPLIT(EA85,",")))))</f>
        <v/>
      </c>
      <c r="JF85">
        <f>AND(IF(EC85="",TRUE,IF(input_faculty_discipline="",FALSE,SUMPRODUCT(--ISNUMBER(SEARCH(","&amp;TRIM(TEXTSPLIT(EC85,","))&amp;",",","&amp;SUBSTITUTE(input_faculty_discipline," ","")&amp;",")))&gt;0)),IF(EE85="",TRUE,IF(input_faculty_discipline="",FALSE,SUMPRODUCT(--ISNUMBER(SEARCH(","&amp;TRIM(TEXTSPLIT(EE85,","))&amp;",",","&amp;SUBSTITUTE(input_faculty_discipline," ","")&amp;",")))=COUNTA(TEXTSPLIT(EE85,",")))),IF(EG85="",TRUE,IF(input_faculty_discipline="",TRUE,SUMPRODUCT(--ISNUMBER(SEARCH(","&amp;TRIM(TEXTSPLIT(EG85,","))&amp;",",","&amp;SUBSTITUTE(input_faculty_discipline," ","")&amp;",")))=0)),IF(EI85="",TRUE,IF(input_faculty_discipline="",FALSE,SUMPRODUCT(--ISNUMBER(SEARCH(","&amp;TRIM(TEXTSPLIT(EI85,","))&amp;",",","&amp;SUBSTITUTE(input_faculty_discipline," ","")&amp;",")))&gt;0)),IF(EK85="",TRUE,IF(input_faculty_discipline="",FALSE,SUMPRODUCT(--ISNUMBER(SEARCH(","&amp;TRIM(TEXTSPLIT(EK85,","))&amp;",",","&amp;SUBSTITUTE(input_faculty_discipline," ","")&amp;",")))=COUNTA(TEXTSPLIT(EK85,",")))))</f>
        <v/>
      </c>
      <c r="JG85">
        <f>AND(IF(EM85="",TRUE,IF(input_faculty_expertise="",FALSE,SUMPRODUCT(--ISNUMBER(SEARCH(","&amp;TRIM(TEXTSPLIT(EM85,","))&amp;",",","&amp;SUBSTITUTE(input_faculty_expertise," ","")&amp;",")))&gt;0)),IF(EO85="",TRUE,IF(input_faculty_expertise="",FALSE,SUMPRODUCT(--ISNUMBER(SEARCH(","&amp;TRIM(TEXTSPLIT(EO85,","))&amp;",",","&amp;SUBSTITUTE(input_faculty_expertise," ","")&amp;",")))=COUNTA(TEXTSPLIT(EO85,",")))),IF(EQ85="",TRUE,IF(input_faculty_expertise="",TRUE,SUMPRODUCT(--ISNUMBER(SEARCH(","&amp;TRIM(TEXTSPLIT(EQ85,","))&amp;",",","&amp;SUBSTITUTE(input_faculty_expertise," ","")&amp;",")))=0)),IF(ES85="",TRUE,IF(input_faculty_expertise="",FALSE,SUMPRODUCT(--ISNUMBER(SEARCH(","&amp;TRIM(TEXTSPLIT(ES85,","))&amp;",",","&amp;SUBSTITUTE(input_faculty_expertise," ","")&amp;",")))&gt;0)),IF(EU85="",TRUE,IF(input_faculty_expertise="",FALSE,SUMPRODUCT(--ISNUMBER(SEARCH(","&amp;TRIM(TEXTSPLIT(EU85,","))&amp;",",","&amp;SUBSTITUTE(input_faculty_expertise," ","")&amp;",")))=COUNTA(TEXTSPLIT(EU85,",")))))</f>
        <v/>
      </c>
      <c r="JH85">
        <f>AND(IF(EW85="",TRUE,IF(input_global_network_school="",FALSE,SUMPRODUCT(--ISNUMBER(SEARCH(","&amp;TRIM(TEXTSPLIT(EW85,","))&amp;",",","&amp;SUBSTITUTE(input_global_network_school," ","")&amp;",")))&gt;0)),IF(EY85="",TRUE,IF(input_global_network_school="",FALSE,SUMPRODUCT(--ISNUMBER(SEARCH(","&amp;TRIM(TEXTSPLIT(EY85,","))&amp;",",","&amp;SUBSTITUTE(input_global_network_school," ","")&amp;",")))=COUNTA(TEXTSPLIT(EY85,",")))),IF(FA85="",TRUE,IF(input_global_network_school="",TRUE,SUMPRODUCT(--ISNUMBER(SEARCH(","&amp;TRIM(TEXTSPLIT(FA85,","))&amp;",",","&amp;SUBSTITUTE(input_global_network_school," ","")&amp;",")))=0)),IF(FC85="",TRUE,IF(input_global_network_school="",FALSE,SUMPRODUCT(--ISNUMBER(SEARCH(","&amp;TRIM(TEXTSPLIT(FC85,","))&amp;",",","&amp;SUBSTITUTE(input_global_network_school," ","")&amp;",")))&gt;0)),IF(FE85="",TRUE,IF(input_global_network_school="",FALSE,SUMPRODUCT(--ISNUMBER(SEARCH(","&amp;TRIM(TEXTSPLIT(FE85,","))&amp;",",","&amp;SUBSTITUTE(input_global_network_school," ","")&amp;",")))=COUNTA(TEXTSPLIT(FE85,",")))))</f>
        <v/>
      </c>
      <c r="JI85">
        <f>AND(IF(FG85="",TRUE,IF(input_industry="",FALSE,SUMPRODUCT(--ISNUMBER(SEARCH(","&amp;TRIM(TEXTSPLIT(FG85,","))&amp;",",","&amp;SUBSTITUTE(input_industry," ","")&amp;",")))&gt;0)),IF(FI85="",TRUE,IF(input_industry="",FALSE,SUMPRODUCT(--ISNUMBER(SEARCH(","&amp;TRIM(TEXTSPLIT(FI85,","))&amp;",",","&amp;SUBSTITUTE(input_industry," ","")&amp;",")))=COUNTA(TEXTSPLIT(FI85,",")))),IF(FK85="",TRUE,IF(input_industry="",TRUE,SUMPRODUCT(--ISNUMBER(SEARCH(","&amp;TRIM(TEXTSPLIT(FK85,","))&amp;",",","&amp;SUBSTITUTE(input_industry," ","")&amp;",")))=0)),IF(FM85="",TRUE,IF(input_industry="",FALSE,SUMPRODUCT(--ISNUMBER(SEARCH(","&amp;TRIM(TEXTSPLIT(FM85,","))&amp;",",","&amp;SUBSTITUTE(input_industry," ","")&amp;",")))&gt;0)),IF(FO85="",TRUE,IF(input_industry="",FALSE,SUMPRODUCT(--ISNUMBER(SEARCH(","&amp;TRIM(TEXTSPLIT(FO85,","))&amp;",",","&amp;SUBSTITUTE(input_industry," ","")&amp;",")))=COUNTA(TEXTSPLIT(FO85,",")))))</f>
        <v/>
      </c>
      <c r="JJ85">
        <f>AND(IF(FQ85="",TRUE,IF(input_location="",FALSE,SUMPRODUCT(--ISNUMBER(SEARCH(","&amp;TRIM(TEXTSPLIT(FQ85,","))&amp;",",","&amp;SUBSTITUTE(input_location," ","")&amp;",")))&gt;0)),IF(FS85="",TRUE,IF(input_location="",FALSE,SUMPRODUCT(--ISNUMBER(SEARCH(","&amp;TRIM(TEXTSPLIT(FS85,","))&amp;",",","&amp;SUBSTITUTE(input_location," ","")&amp;",")))=COUNTA(TEXTSPLIT(FS85,",")))),IF(FU85="",TRUE,IF(input_location="",TRUE,SUMPRODUCT(--ISNUMBER(SEARCH(","&amp;TRIM(TEXTSPLIT(FU85,","))&amp;",",","&amp;SUBSTITUTE(input_location," ","")&amp;",")))=0)),IF(FW85="",TRUE,IF(input_location="",FALSE,SUMPRODUCT(--ISNUMBER(SEARCH(","&amp;TRIM(TEXTSPLIT(FW85,","))&amp;",",","&amp;SUBSTITUTE(input_location," ","")&amp;",")))&gt;0)),IF(FY85="",TRUE,IF(input_location="",FALSE,SUMPRODUCT(--ISNUMBER(SEARCH(","&amp;TRIM(TEXTSPLIT(FY85,","))&amp;",",","&amp;SUBSTITUTE(input_location," ","")&amp;",")))=COUNTA(TEXTSPLIT(FY85,",")))))</f>
        <v/>
      </c>
      <c r="JK85">
        <f>AND(IF(GA85="",TRUE,IF(input_modality="",FALSE,SUMPRODUCT(--ISNUMBER(SEARCH(","&amp;TRIM(TEXTSPLIT(GA85,","))&amp;",",","&amp;SUBSTITUTE(input_modality," ","")&amp;",")))&gt;0)),IF(GC85="",TRUE,IF(input_modality="",FALSE,SUMPRODUCT(--ISNUMBER(SEARCH(","&amp;TRIM(TEXTSPLIT(GC85,","))&amp;",",","&amp;SUBSTITUTE(input_modality," ","")&amp;",")))=COUNTA(TEXTSPLIT(GC85,",")))),IF(GE85="",TRUE,IF(input_modality="",TRUE,SUMPRODUCT(--ISNUMBER(SEARCH(","&amp;TRIM(TEXTSPLIT(GE85,","))&amp;",",","&amp;SUBSTITUTE(input_modality," ","")&amp;",")))=0)),IF(GG85="",TRUE,IF(input_modality="",FALSE,SUMPRODUCT(--ISNUMBER(SEARCH(","&amp;TRIM(TEXTSPLIT(GG85,","))&amp;",",","&amp;SUBSTITUTE(input_modality," ","")&amp;",")))&gt;0)),IF(GI85="",TRUE,IF(input_modality="",FALSE,SUMPRODUCT(--ISNUMBER(SEARCH(","&amp;TRIM(TEXTSPLIT(GI85,","))&amp;",",","&amp;SUBSTITUTE(input_modality," ","")&amp;",")))=COUNTA(TEXTSPLIT(GI85,",")))))</f>
        <v/>
      </c>
      <c r="JL85">
        <f>AND(IF(GK85="",TRUE,IF(input_organizer="",FALSE,SUMPRODUCT(--ISNUMBER(SEARCH(","&amp;TRIM(TEXTSPLIT(GK85,","))&amp;",",","&amp;SUBSTITUTE(input_organizer," ","")&amp;",")))&gt;0)),IF(GM85="",TRUE,IF(input_organizer="",FALSE,SUMPRODUCT(--ISNUMBER(SEARCH(","&amp;TRIM(TEXTSPLIT(GM85,","))&amp;",",","&amp;SUBSTITUTE(input_organizer," ","")&amp;",")))=COUNTA(TEXTSPLIT(GM85,",")))),IF(GO85="",TRUE,IF(input_organizer="",TRUE,SUMPRODUCT(--ISNUMBER(SEARCH(","&amp;TRIM(TEXTSPLIT(GO85,","))&amp;",",","&amp;SUBSTITUTE(input_organizer," ","")&amp;",")))=0)),IF(GQ85="",TRUE,IF(input_organizer="",FALSE,SUMPRODUCT(--ISNUMBER(SEARCH(","&amp;TRIM(TEXTSPLIT(GQ85,","))&amp;",",","&amp;SUBSTITUTE(input_organizer," ","")&amp;",")))&gt;0)),IF(GS85="",TRUE,IF(input_organizer="",FALSE,SUMPRODUCT(--ISNUMBER(SEARCH(","&amp;TRIM(TEXTSPLIT(GS85,","))&amp;",",","&amp;SUBSTITUTE(input_organizer," ","")&amp;",")))=COUNTA(TEXTSPLIT(GS85,",")))))</f>
        <v/>
      </c>
      <c r="JM85">
        <f>AND(IF(GU85="",TRUE,IF(input_profile_type="",FALSE,SUMPRODUCT(--ISNUMBER(SEARCH(","&amp;TRIM(TEXTSPLIT(GU85,","))&amp;",",","&amp;SUBSTITUTE(input_profile_type," ","")&amp;",")))&gt;0)),IF(GW85="",TRUE,IF(input_profile_type="",FALSE,SUMPRODUCT(--ISNUMBER(SEARCH(","&amp;TRIM(TEXTSPLIT(GW85,","))&amp;",",","&amp;SUBSTITUTE(input_profile_type," ","")&amp;",")))=COUNTA(TEXTSPLIT(GW85,",")))),IF(GY85="",TRUE,IF(input_profile_type="",TRUE,SUMPRODUCT(--ISNUMBER(SEARCH(","&amp;TRIM(TEXTSPLIT(GY85,","))&amp;",",","&amp;SUBSTITUTE(input_profile_type," ","")&amp;",")))=0)),IF(HA85="",TRUE,IF(input_profile_type="",FALSE,SUMPRODUCT(--ISNUMBER(SEARCH(","&amp;TRIM(TEXTSPLIT(HA85,","))&amp;",",","&amp;SUBSTITUTE(input_profile_type," ","")&amp;",")))&gt;0)),IF(HC85="",TRUE,IF(input_profile_type="",FALSE,SUMPRODUCT(--ISNUMBER(SEARCH(","&amp;TRIM(TEXTSPLIT(HC85,","))&amp;",",","&amp;SUBSTITUTE(input_profile_type," ","")&amp;",")))=COUNTA(TEXTSPLIT(HC85,",")))))</f>
        <v/>
      </c>
      <c r="JN85">
        <f>AND(IF(HE85="",TRUE,IF(input_program="",FALSE,SUMPRODUCT(--ISNUMBER(SEARCH(","&amp;TRIM(TEXTSPLIT(HE85,","))&amp;",",","&amp;SUBSTITUTE(input_program," ","")&amp;",")))&gt;0)),IF(HG85="",TRUE,IF(input_program="",FALSE,SUMPRODUCT(--ISNUMBER(SEARCH(","&amp;TRIM(TEXTSPLIT(HG85,","))&amp;",",","&amp;SUBSTITUTE(input_program," ","")&amp;",")))=COUNTA(TEXTSPLIT(HG85,",")))),IF(HI85="",TRUE,IF(input_program="",TRUE,SUMPRODUCT(--ISNUMBER(SEARCH(","&amp;TRIM(TEXTSPLIT(HI85,","))&amp;",",","&amp;SUBSTITUTE(input_program," ","")&amp;",")))=0)),IF(HK85="",TRUE,IF(input_program="",FALSE,SUMPRODUCT(--ISNUMBER(SEARCH(","&amp;TRIM(TEXTSPLIT(HK85,","))&amp;",",","&amp;SUBSTITUTE(input_program," ","")&amp;",")))&gt;0)),IF(HM85="",TRUE,IF(input_program="",FALSE,SUMPRODUCT(--ISNUMBER(SEARCH(","&amp;TRIM(TEXTSPLIT(HM85,","))&amp;",",","&amp;SUBSTITUTE(input_program," ","")&amp;",")))=COUNTA(TEXTSPLIT(HM85,",")))))</f>
        <v/>
      </c>
      <c r="JO85">
        <f>AND(IF(HO85="",TRUE,IF(input_story_categories="",FALSE,SUMPRODUCT(--ISNUMBER(SEARCH(","&amp;TRIM(TEXTSPLIT(HO85,","))&amp;",",","&amp;SUBSTITUTE(input_story_categories," ","")&amp;",")))&gt;0)),IF(HQ85="",TRUE,IF(input_story_categories="",FALSE,SUMPRODUCT(--ISNUMBER(SEARCH(","&amp;TRIM(TEXTSPLIT(HQ85,","))&amp;",",","&amp;SUBSTITUTE(input_story_categories," ","")&amp;",")))=COUNTA(TEXTSPLIT(HQ85,",")))),IF(HS85="",TRUE,IF(input_story_categories="",TRUE,SUMPRODUCT(--ISNUMBER(SEARCH(","&amp;TRIM(TEXTSPLIT(HS85,","))&amp;",",","&amp;SUBSTITUTE(input_story_categories," ","")&amp;",")))=0)),IF(HU85="",TRUE,IF(input_story_categories="",FALSE,SUMPRODUCT(--ISNUMBER(SEARCH(","&amp;TRIM(TEXTSPLIT(HU85,","))&amp;",",","&amp;SUBSTITUTE(input_story_categories," ","")&amp;",")))&gt;0)),IF(HW85="",TRUE,IF(input_story_categories="",FALSE,SUMPRODUCT(--ISNUMBER(SEARCH(","&amp;TRIM(TEXTSPLIT(HW85,","))&amp;",",","&amp;SUBSTITUTE(input_story_categories," ","")&amp;",")))=COUNTA(TEXTSPLIT(HW85,",")))))</f>
        <v/>
      </c>
      <c r="JP85">
        <f>AND(IF(HY85="",TRUE,IF(input_story_type="",FALSE,SUMPRODUCT(--ISNUMBER(SEARCH(","&amp;TRIM(TEXTSPLIT(HY85,","))&amp;",",","&amp;SUBSTITUTE(input_story_type," ","")&amp;",")))&gt;0)),IF(IA85="",TRUE,IF(input_story_type="",FALSE,SUMPRODUCT(--ISNUMBER(SEARCH(","&amp;TRIM(TEXTSPLIT(IA85,","))&amp;",",","&amp;SUBSTITUTE(input_story_type," ","")&amp;",")))=COUNTA(TEXTSPLIT(IA85,",")))),IF(IC85="",TRUE,IF(input_story_type="",TRUE,SUMPRODUCT(--ISNUMBER(SEARCH(","&amp;TRIM(TEXTSPLIT(IC85,","))&amp;",",","&amp;SUBSTITUTE(input_story_type," ","")&amp;",")))=0)),IF(IE85="",TRUE,IF(input_story_type="",FALSE,SUMPRODUCT(--ISNUMBER(SEARCH(","&amp;TRIM(TEXTSPLIT(IE85,","))&amp;",",","&amp;SUBSTITUTE(input_story_type," ","")&amp;",")))&gt;0)),IF(IG85="",TRUE,IF(input_story_type="",FALSE,SUMPRODUCT(--ISNUMBER(SEARCH(","&amp;TRIM(TEXTSPLIT(IG85,","))&amp;",",","&amp;SUBSTITUTE(input_story_type," ","")&amp;",")))=COUNTA(TEXTSPLIT(IG85,",")))))</f>
        <v/>
      </c>
      <c r="JQ85">
        <f>AND(IF(II85="",TRUE,IF(input_topics="",FALSE,SUMPRODUCT(--ISNUMBER(SEARCH(","&amp;TRIM(TEXTSPLIT(II85,","))&amp;",",","&amp;SUBSTITUTE(input_topics," ","")&amp;",")))&gt;0)),IF(IK85="",TRUE,IF(input_topics="",FALSE,SUMPRODUCT(--ISNUMBER(SEARCH(","&amp;TRIM(TEXTSPLIT(IK85,","))&amp;",",","&amp;SUBSTITUTE(input_topics," ","")&amp;",")))=COUNTA(TEXTSPLIT(IK85,",")))),IF(IM85="",TRUE,IF(input_topics="",TRUE,SUMPRODUCT(--ISNUMBER(SEARCH(","&amp;TRIM(TEXTSPLIT(IM85,","))&amp;",",","&amp;SUBSTITUTE(input_topics," ","")&amp;",")))=0)),IF(IO85="",TRUE,IF(input_topics="",FALSE,SUMPRODUCT(--ISNUMBER(SEARCH(","&amp;TRIM(TEXTSPLIT(IO85,","))&amp;",",","&amp;SUBSTITUTE(input_topics," ","")&amp;",")))&gt;0)),IF(IQ85="",TRUE,IF(input_topics="",FALSE,SUMPRODUCT(--ISNUMBER(SEARCH(","&amp;TRIM(TEXTSPLIT(IQ85,","))&amp;",",","&amp;SUBSTITUTE(input_topics," ","")&amp;",")))=COUNTA(TEXTSPLIT(IQ85,",")))))</f>
        <v/>
      </c>
    </row>
    <row r="86">
      <c r="A86" s="4">
        <f>IF(NOT(IS86),"Excluded",IF(AND(IT86,IU86,IV86,IW86,IX86,IY86,IZ86,JA86,JB86,JC86,JD86,JE86,JF86,JG86,JH86,JI86,JJ86,JK86,JL86,JM86,JN86,JO86,JP86,JQ86),IF(I86&gt;0,"Eligible but limited","Will appear"),"Excluded"))</f>
        <v/>
      </c>
      <c r="B86" s="4" t="inlineStr">
        <is>
          <t>Chief Executive Leadership Institute &gt; Main Content</t>
        </is>
      </c>
      <c r="C86" s="4" t="inlineStr">
        <is>
          <t>/centers/chief-executive-leadership-institute</t>
        </is>
      </c>
      <c r="D86" s="4" t="inlineStr">
        <is>
          <t>/centers/chief-executive-leadership-institute</t>
        </is>
      </c>
      <c r="E86" s="4" t="n">
        <v>1</v>
      </c>
      <c r="F86" s="4" t="inlineStr">
        <is>
          <t>event</t>
        </is>
      </c>
      <c r="G86" s="4" t="inlineStr">
        <is>
          <t>event_list</t>
        </is>
      </c>
      <c r="H86" s="4" t="inlineStr">
        <is>
          <t>embed_no_filters</t>
        </is>
      </c>
      <c r="I86" s="4" t="n">
        <v>8</v>
      </c>
      <c r="J86" s="4" t="inlineStr">
        <is>
          <t>Explicit args</t>
        </is>
      </c>
      <c r="K86" s="4" t="inlineStr">
        <is>
          <t>Page placement</t>
        </is>
      </c>
      <c r="L86" s="4" t="inlineStr">
        <is>
          <t>Content type: event; Context uses Courses Context: Chief Executive Leadership Institute (925); Limited to 8 item(s); Source: Explicit args</t>
        </is>
      </c>
      <c r="M86" t="inlineStr"/>
      <c r="N86" t="inlineStr"/>
      <c r="O86" t="inlineStr"/>
      <c r="P86" t="inlineStr"/>
      <c r="Q86" t="inlineStr"/>
      <c r="R86" t="inlineStr"/>
      <c r="S86" t="inlineStr"/>
      <c r="T86" t="inlineStr"/>
      <c r="U86" t="inlineStr"/>
      <c r="V86" t="inlineStr"/>
      <c r="W86" t="inlineStr"/>
      <c r="X86" t="inlineStr"/>
      <c r="Y86" t="inlineStr"/>
      <c r="Z86" t="inlineStr"/>
      <c r="AA86" t="inlineStr"/>
      <c r="AB86" t="inlineStr"/>
      <c r="AC86" t="inlineStr"/>
      <c r="AD86" t="inlineStr"/>
      <c r="AE86" t="inlineStr"/>
      <c r="AF86" t="inlineStr"/>
      <c r="AG86" t="inlineStr"/>
      <c r="AH86" t="inlineStr"/>
      <c r="AI86" t="inlineStr"/>
      <c r="AJ86" t="inlineStr"/>
      <c r="AK86" t="inlineStr"/>
      <c r="AL86" t="inlineStr"/>
      <c r="AM86" t="inlineStr"/>
      <c r="AN86" t="inlineStr"/>
      <c r="AO86" t="inlineStr"/>
      <c r="AP86" t="inlineStr"/>
      <c r="AQ86" t="inlineStr"/>
      <c r="AR86" t="inlineStr"/>
      <c r="AS86" t="inlineStr"/>
      <c r="AT86" t="inlineStr"/>
      <c r="AU86" t="inlineStr"/>
      <c r="AV86" t="inlineStr"/>
      <c r="AW86" t="inlineStr"/>
      <c r="AX86" t="inlineStr"/>
      <c r="AY86" t="inlineStr"/>
      <c r="AZ86" t="inlineStr"/>
      <c r="BA86" t="inlineStr"/>
      <c r="BB86" t="inlineStr"/>
      <c r="BC86" t="inlineStr"/>
      <c r="BD86" t="inlineStr"/>
      <c r="BE86" t="inlineStr"/>
      <c r="BF86" t="inlineStr"/>
      <c r="BG86" t="inlineStr"/>
      <c r="BH86" t="inlineStr"/>
      <c r="BI86" t="inlineStr"/>
      <c r="BJ86" t="inlineStr"/>
      <c r="BK86" t="inlineStr"/>
      <c r="BL86" t="inlineStr"/>
      <c r="BM86" t="inlineStr"/>
      <c r="BN86" t="inlineStr"/>
      <c r="BO86" t="inlineStr"/>
      <c r="BP86" t="inlineStr"/>
      <c r="BQ86" t="inlineStr">
        <is>
          <t>925</t>
        </is>
      </c>
      <c r="BR86" t="inlineStr">
        <is>
          <t>Chief Executive Leadership Institute (925)</t>
        </is>
      </c>
      <c r="BS86" t="inlineStr"/>
      <c r="BT86" t="inlineStr"/>
      <c r="BU86" t="inlineStr"/>
      <c r="BV86" t="inlineStr"/>
      <c r="BW86" t="inlineStr"/>
      <c r="BX86" t="inlineStr"/>
      <c r="BY86" t="inlineStr"/>
      <c r="BZ86" t="inlineStr"/>
      <c r="CA86" t="inlineStr"/>
      <c r="CB86" t="inlineStr"/>
      <c r="CC86" t="inlineStr"/>
      <c r="CD86" t="inlineStr"/>
      <c r="CE86" t="inlineStr"/>
      <c r="CF86" t="inlineStr"/>
      <c r="CG86" t="inlineStr"/>
      <c r="CH86" t="inlineStr"/>
      <c r="CI86" t="inlineStr"/>
      <c r="CJ86" t="inlineStr"/>
      <c r="CK86" t="inlineStr"/>
      <c r="CL86" t="inlineStr"/>
      <c r="CM86" t="inlineStr"/>
      <c r="CN86" t="inlineStr"/>
      <c r="CO86" t="inlineStr"/>
      <c r="CP86" t="inlineStr"/>
      <c r="CQ86" t="inlineStr"/>
      <c r="CR86" t="inlineStr"/>
      <c r="CS86" t="inlineStr"/>
      <c r="CT86" t="inlineStr"/>
      <c r="CU86" t="inlineStr"/>
      <c r="CV86" t="inlineStr"/>
      <c r="CW86" t="inlineStr"/>
      <c r="CX86" t="inlineStr"/>
      <c r="CY86" t="inlineStr"/>
      <c r="CZ86" t="inlineStr"/>
      <c r="DA86" t="inlineStr"/>
      <c r="DB86" t="inlineStr"/>
      <c r="DC86" t="inlineStr"/>
      <c r="DD86" t="inlineStr"/>
      <c r="DE86" t="inlineStr"/>
      <c r="DF86" t="inlineStr"/>
      <c r="DG86" t="inlineStr"/>
      <c r="DH86" t="inlineStr"/>
      <c r="DI86" t="inlineStr"/>
      <c r="DJ86" t="inlineStr"/>
      <c r="DK86" t="inlineStr"/>
      <c r="DL86" t="inlineStr"/>
      <c r="DM86" t="inlineStr"/>
      <c r="DN86" t="inlineStr"/>
      <c r="DO86" t="inlineStr"/>
      <c r="DP86" t="inlineStr"/>
      <c r="DQ86" t="inlineStr"/>
      <c r="DR86" t="inlineStr"/>
      <c r="DS86" t="inlineStr"/>
      <c r="DT86" t="inlineStr"/>
      <c r="DU86" t="inlineStr"/>
      <c r="DV86" t="inlineStr"/>
      <c r="DW86" t="inlineStr"/>
      <c r="DX86" t="inlineStr"/>
      <c r="DY86" t="inlineStr"/>
      <c r="DZ86" t="inlineStr"/>
      <c r="EA86" t="inlineStr"/>
      <c r="EB86" t="inlineStr"/>
      <c r="EC86" t="inlineStr"/>
      <c r="ED86" t="inlineStr"/>
      <c r="EE86" t="inlineStr"/>
      <c r="EF86" t="inlineStr"/>
      <c r="EG86" t="inlineStr"/>
      <c r="EH86" t="inlineStr"/>
      <c r="EI86" t="inlineStr"/>
      <c r="EJ86" t="inlineStr"/>
      <c r="EK86" t="inlineStr"/>
      <c r="EL86" t="inlineStr"/>
      <c r="EM86" t="inlineStr"/>
      <c r="EN86" t="inlineStr"/>
      <c r="EO86" t="inlineStr"/>
      <c r="EP86" t="inlineStr"/>
      <c r="EQ86" t="inlineStr"/>
      <c r="ER86" t="inlineStr"/>
      <c r="ES86" t="inlineStr"/>
      <c r="ET86" t="inlineStr"/>
      <c r="EU86" t="inlineStr"/>
      <c r="EV86" t="inlineStr"/>
      <c r="EW86" t="inlineStr"/>
      <c r="EX86" t="inlineStr"/>
      <c r="EY86" t="inlineStr"/>
      <c r="EZ86" t="inlineStr"/>
      <c r="FA86" t="inlineStr"/>
      <c r="FB86" t="inlineStr"/>
      <c r="FC86" t="inlineStr"/>
      <c r="FD86" t="inlineStr"/>
      <c r="FE86" t="inlineStr"/>
      <c r="FF86" t="inlineStr"/>
      <c r="FG86" t="inlineStr"/>
      <c r="FH86" t="inlineStr"/>
      <c r="FI86" t="inlineStr"/>
      <c r="FJ86" t="inlineStr"/>
      <c r="FK86" t="inlineStr"/>
      <c r="FL86" t="inlineStr"/>
      <c r="FM86" t="inlineStr"/>
      <c r="FN86" t="inlineStr"/>
      <c r="FO86" t="inlineStr"/>
      <c r="FP86" t="inlineStr"/>
      <c r="FQ86" t="inlineStr"/>
      <c r="FR86" t="inlineStr"/>
      <c r="FS86" t="inlineStr"/>
      <c r="FT86" t="inlineStr"/>
      <c r="FU86" t="inlineStr"/>
      <c r="FV86" t="inlineStr"/>
      <c r="FW86" t="inlineStr"/>
      <c r="FX86" t="inlineStr"/>
      <c r="FY86" t="inlineStr"/>
      <c r="FZ86" t="inlineStr"/>
      <c r="GA86" t="inlineStr"/>
      <c r="GB86" t="inlineStr"/>
      <c r="GC86" t="inlineStr"/>
      <c r="GD86" t="inlineStr"/>
      <c r="GE86" t="inlineStr"/>
      <c r="GF86" t="inlineStr"/>
      <c r="GG86" t="inlineStr"/>
      <c r="GH86" t="inlineStr"/>
      <c r="GI86" t="inlineStr"/>
      <c r="GJ86" t="inlineStr"/>
      <c r="GK86" t="inlineStr"/>
      <c r="GL86" t="inlineStr"/>
      <c r="GM86" t="inlineStr"/>
      <c r="GN86" t="inlineStr"/>
      <c r="GO86" t="inlineStr"/>
      <c r="GP86" t="inlineStr"/>
      <c r="GQ86" t="inlineStr"/>
      <c r="GR86" t="inlineStr"/>
      <c r="GS86" t="inlineStr"/>
      <c r="GT86" t="inlineStr"/>
      <c r="GU86" t="inlineStr"/>
      <c r="GV86" t="inlineStr"/>
      <c r="GW86" t="inlineStr"/>
      <c r="GX86" t="inlineStr"/>
      <c r="GY86" t="inlineStr"/>
      <c r="GZ86" t="inlineStr"/>
      <c r="HA86" t="inlineStr"/>
      <c r="HB86" t="inlineStr"/>
      <c r="HC86" t="inlineStr"/>
      <c r="HD86" t="inlineStr"/>
      <c r="HE86" t="inlineStr"/>
      <c r="HF86" t="inlineStr"/>
      <c r="HG86" t="inlineStr"/>
      <c r="HH86" t="inlineStr"/>
      <c r="HI86" t="inlineStr"/>
      <c r="HJ86" t="inlineStr"/>
      <c r="HK86" t="inlineStr"/>
      <c r="HL86" t="inlineStr"/>
      <c r="HM86" t="inlineStr"/>
      <c r="HN86" t="inlineStr"/>
      <c r="HO86" t="inlineStr"/>
      <c r="HP86" t="inlineStr"/>
      <c r="HQ86" t="inlineStr"/>
      <c r="HR86" t="inlineStr"/>
      <c r="HS86" t="inlineStr"/>
      <c r="HT86" t="inlineStr"/>
      <c r="HU86" t="inlineStr"/>
      <c r="HV86" t="inlineStr"/>
      <c r="HW86" t="inlineStr"/>
      <c r="HX86" t="inlineStr"/>
      <c r="HY86" t="inlineStr"/>
      <c r="HZ86" t="inlineStr"/>
      <c r="IA86" t="inlineStr"/>
      <c r="IB86" t="inlineStr"/>
      <c r="IC86" t="inlineStr"/>
      <c r="ID86" t="inlineStr"/>
      <c r="IE86" t="inlineStr"/>
      <c r="IF86" t="inlineStr"/>
      <c r="IG86" t="inlineStr"/>
      <c r="IH86" t="inlineStr"/>
      <c r="II86" t="inlineStr"/>
      <c r="IJ86" t="inlineStr"/>
      <c r="IK86" t="inlineStr"/>
      <c r="IL86" t="inlineStr"/>
      <c r="IM86" t="inlineStr"/>
      <c r="IN86" t="inlineStr"/>
      <c r="IO86" t="inlineStr"/>
      <c r="IP86" t="inlineStr"/>
      <c r="IQ86" t="inlineStr"/>
      <c r="IR86" t="inlineStr"/>
      <c r="IS86">
        <f>IF(input_content_type="",FALSE,ISNUMBER(SEARCH(","&amp;LOWER(input_content_type)&amp;",",","&amp;LOWER(F86)&amp;",")))</f>
        <v/>
      </c>
      <c r="IT86">
        <f>AND(IF(M86="",TRUE,IF(input_affiliations="",FALSE,SUMPRODUCT(--ISNUMBER(SEARCH(","&amp;TRIM(TEXTSPLIT(M86,","))&amp;",",","&amp;SUBSTITUTE(input_affiliations," ","")&amp;",")))&gt;0)),IF(O86="",TRUE,IF(input_affiliations="",FALSE,SUMPRODUCT(--ISNUMBER(SEARCH(","&amp;TRIM(TEXTSPLIT(O86,","))&amp;",",","&amp;SUBSTITUTE(input_affiliations," ","")&amp;",")))=COUNTA(TEXTSPLIT(O86,",")))),IF(Q86="",TRUE,IF(input_affiliations="",TRUE,SUMPRODUCT(--ISNUMBER(SEARCH(","&amp;TRIM(TEXTSPLIT(Q86,","))&amp;",",","&amp;SUBSTITUTE(input_affiliations," ","")&amp;",")))=0)),IF(S86="",TRUE,IF(input_affiliations="",FALSE,SUMPRODUCT(--ISNUMBER(SEARCH(","&amp;TRIM(TEXTSPLIT(S86,","))&amp;",",","&amp;SUBSTITUTE(input_affiliations," ","")&amp;",")))&gt;0)),IF(U86="",TRUE,IF(input_affiliations="",FALSE,SUMPRODUCT(--ISNUMBER(SEARCH(","&amp;TRIM(TEXTSPLIT(U86,","))&amp;",",","&amp;SUBSTITUTE(input_affiliations," ","")&amp;",")))=COUNTA(TEXTSPLIT(U86,",")))))</f>
        <v/>
      </c>
      <c r="IU86">
        <f>AND(IF(W86="",TRUE,IF(input_announcement_category="",FALSE,SUMPRODUCT(--ISNUMBER(SEARCH(","&amp;TRIM(TEXTSPLIT(W86,","))&amp;",",","&amp;SUBSTITUTE(input_announcement_category," ","")&amp;",")))&gt;0)),IF(Y86="",TRUE,IF(input_announcement_category="",FALSE,SUMPRODUCT(--ISNUMBER(SEARCH(","&amp;TRIM(TEXTSPLIT(Y86,","))&amp;",",","&amp;SUBSTITUTE(input_announcement_category," ","")&amp;",")))=COUNTA(TEXTSPLIT(Y86,",")))),IF(AA86="",TRUE,IF(input_announcement_category="",TRUE,SUMPRODUCT(--ISNUMBER(SEARCH(","&amp;TRIM(TEXTSPLIT(AA86,","))&amp;",",","&amp;SUBSTITUTE(input_announcement_category," ","")&amp;",")))=0)),IF(AC86="",TRUE,IF(input_announcement_category="",FALSE,SUMPRODUCT(--ISNUMBER(SEARCH(","&amp;TRIM(TEXTSPLIT(AC86,","))&amp;",",","&amp;SUBSTITUTE(input_announcement_category," ","")&amp;",")))&gt;0)),IF(AE86="",TRUE,IF(input_announcement_category="",FALSE,SUMPRODUCT(--ISNUMBER(SEARCH(","&amp;TRIM(TEXTSPLIT(AE86,","))&amp;",",","&amp;SUBSTITUTE(input_announcement_category," ","")&amp;",")))=COUNTA(TEXTSPLIT(AE86,",")))))</f>
        <v/>
      </c>
      <c r="IV86">
        <f>AND(IF(AG86="",TRUE,IF(input_area_of_focus="",FALSE,SUMPRODUCT(--ISNUMBER(SEARCH(","&amp;TRIM(TEXTSPLIT(AG86,","))&amp;",",","&amp;SUBSTITUTE(input_area_of_focus," ","")&amp;",")))&gt;0)),IF(AI86="",TRUE,IF(input_area_of_focus="",FALSE,SUMPRODUCT(--ISNUMBER(SEARCH(","&amp;TRIM(TEXTSPLIT(AI86,","))&amp;",",","&amp;SUBSTITUTE(input_area_of_focus," ","")&amp;",")))=COUNTA(TEXTSPLIT(AI86,",")))),IF(AK86="",TRUE,IF(input_area_of_focus="",TRUE,SUMPRODUCT(--ISNUMBER(SEARCH(","&amp;TRIM(TEXTSPLIT(AK86,","))&amp;",",","&amp;SUBSTITUTE(input_area_of_focus," ","")&amp;",")))=0)),IF(AM86="",TRUE,IF(input_area_of_focus="",FALSE,SUMPRODUCT(--ISNUMBER(SEARCH(","&amp;TRIM(TEXTSPLIT(AM86,","))&amp;",",","&amp;SUBSTITUTE(input_area_of_focus," ","")&amp;",")))&gt;0)),IF(AO86="",TRUE,IF(input_area_of_focus="",FALSE,SUMPRODUCT(--ISNUMBER(SEARCH(","&amp;TRIM(TEXTSPLIT(AO86,","))&amp;",",","&amp;SUBSTITUTE(input_area_of_focus," ","")&amp;",")))=COUNTA(TEXTSPLIT(AO86,",")))))</f>
        <v/>
      </c>
      <c r="IW86">
        <f>AND(IF(AQ86="",TRUE,IF(input_audience="",FALSE,SUMPRODUCT(--ISNUMBER(SEARCH(","&amp;TRIM(TEXTSPLIT(AQ86,","))&amp;",",","&amp;SUBSTITUTE(input_audience," ","")&amp;",")))&gt;0)),IF(AS86="",TRUE,IF(input_audience="",FALSE,SUMPRODUCT(--ISNUMBER(SEARCH(","&amp;TRIM(TEXTSPLIT(AS86,","))&amp;",",","&amp;SUBSTITUTE(input_audience," ","")&amp;",")))=COUNTA(TEXTSPLIT(AS86,",")))),IF(AU86="",TRUE,IF(input_audience="",TRUE,SUMPRODUCT(--ISNUMBER(SEARCH(","&amp;TRIM(TEXTSPLIT(AU86,","))&amp;",",","&amp;SUBSTITUTE(input_audience," ","")&amp;",")))=0)),IF(AW86="",TRUE,IF(input_audience="",FALSE,SUMPRODUCT(--ISNUMBER(SEARCH(","&amp;TRIM(TEXTSPLIT(AW86,","))&amp;",",","&amp;SUBSTITUTE(input_audience," ","")&amp;",")))&gt;0)),IF(AY86="",TRUE,IF(input_audience="",FALSE,SUMPRODUCT(--ISNUMBER(SEARCH(","&amp;TRIM(TEXTSPLIT(AY86,","))&amp;",",","&amp;SUBSTITUTE(input_audience," ","")&amp;",")))=COUNTA(TEXTSPLIT(AY86,",")))))</f>
        <v/>
      </c>
      <c r="IX86">
        <f>AND(IF(BA86="",TRUE,IF(input_challenge_opportunities="",FALSE,SUMPRODUCT(--ISNUMBER(SEARCH(","&amp;TRIM(TEXTSPLIT(BA86,","))&amp;",",","&amp;SUBSTITUTE(input_challenge_opportunities," ","")&amp;",")))&gt;0)),IF(BC86="",TRUE,IF(input_challenge_opportunities="",FALSE,SUMPRODUCT(--ISNUMBER(SEARCH(","&amp;TRIM(TEXTSPLIT(BC86,","))&amp;",",","&amp;SUBSTITUTE(input_challenge_opportunities," ","")&amp;",")))=COUNTA(TEXTSPLIT(BC86,",")))),IF(BE86="",TRUE,IF(input_challenge_opportunities="",TRUE,SUMPRODUCT(--ISNUMBER(SEARCH(","&amp;TRIM(TEXTSPLIT(BE86,","))&amp;",",","&amp;SUBSTITUTE(input_challenge_opportunities," ","")&amp;",")))=0)),IF(BG86="",TRUE,IF(input_challenge_opportunities="",FALSE,SUMPRODUCT(--ISNUMBER(SEARCH(","&amp;TRIM(TEXTSPLIT(BG86,","))&amp;",",","&amp;SUBSTITUTE(input_challenge_opportunities," ","")&amp;",")))&gt;0)),IF(BI86="",TRUE,IF(input_challenge_opportunities="",FALSE,SUMPRODUCT(--ISNUMBER(SEARCH(","&amp;TRIM(TEXTSPLIT(BI86,","))&amp;",",","&amp;SUBSTITUTE(input_challenge_opportunities," ","")&amp;",")))=COUNTA(TEXTSPLIT(BI86,",")))))</f>
        <v/>
      </c>
      <c r="IY86">
        <f>AND(IF(BK86="",TRUE,IF(input_context="",FALSE,SUMPRODUCT(--ISNUMBER(SEARCH(","&amp;TRIM(TEXTSPLIT(BK86,","))&amp;",",","&amp;SUBSTITUTE(input_context," ","")&amp;",")))&gt;0)),IF(BM86="",TRUE,IF(input_context="",FALSE,SUMPRODUCT(--ISNUMBER(SEARCH(","&amp;TRIM(TEXTSPLIT(BM86,","))&amp;",",","&amp;SUBSTITUTE(input_context," ","")&amp;",")))=COUNTA(TEXTSPLIT(BM86,",")))),IF(BO86="",TRUE,IF(input_context="",TRUE,SUMPRODUCT(--ISNUMBER(SEARCH(","&amp;TRIM(TEXTSPLIT(BO86,","))&amp;",",","&amp;SUBSTITUTE(input_context," ","")&amp;",")))=0)),IF(BQ86="",TRUE,IF(input_context="",FALSE,SUMPRODUCT(--ISNUMBER(SEARCH(","&amp;TRIM(TEXTSPLIT(BQ86,","))&amp;",",","&amp;SUBSTITUTE(input_context," ","")&amp;",")))&gt;0)),IF(BS86="",TRUE,IF(input_context="",FALSE,SUMPRODUCT(--ISNUMBER(SEARCH(","&amp;TRIM(TEXTSPLIT(BS86,","))&amp;",",","&amp;SUBSTITUTE(input_context," ","")&amp;",")))=COUNTA(TEXTSPLIT(BS86,",")))))</f>
        <v/>
      </c>
      <c r="IZ86">
        <f>AND(IF(BU86="",TRUE,IF(input_enews_announcement_type="",FALSE,SUMPRODUCT(--ISNUMBER(SEARCH(","&amp;TRIM(TEXTSPLIT(BU86,","))&amp;",",","&amp;SUBSTITUTE(input_enews_announcement_type," ","")&amp;",")))&gt;0)),IF(BW86="",TRUE,IF(input_enews_announcement_type="",FALSE,SUMPRODUCT(--ISNUMBER(SEARCH(","&amp;TRIM(TEXTSPLIT(BW86,","))&amp;",",","&amp;SUBSTITUTE(input_enews_announcement_type," ","")&amp;",")))=COUNTA(TEXTSPLIT(BW86,",")))),IF(BY86="",TRUE,IF(input_enews_announcement_type="",TRUE,SUMPRODUCT(--ISNUMBER(SEARCH(","&amp;TRIM(TEXTSPLIT(BY86,","))&amp;",",","&amp;SUBSTITUTE(input_enews_announcement_type," ","")&amp;",")))=0)),IF(CA86="",TRUE,IF(input_enews_announcement_type="",FALSE,SUMPRODUCT(--ISNUMBER(SEARCH(","&amp;TRIM(TEXTSPLIT(CA86,","))&amp;",",","&amp;SUBSTITUTE(input_enews_announcement_type," ","")&amp;",")))&gt;0)),IF(CC86="",TRUE,IF(input_enews_announcement_type="",FALSE,SUMPRODUCT(--ISNUMBER(SEARCH(","&amp;TRIM(TEXTSPLIT(CC86,","))&amp;",",","&amp;SUBSTITUTE(input_enews_announcement_type," ","")&amp;",")))=COUNTA(TEXTSPLIT(CC86,",")))))</f>
        <v/>
      </c>
      <c r="JA86">
        <f>AND(IF(CE86="",TRUE,IF(input_enews_audience="",FALSE,SUMPRODUCT(--ISNUMBER(SEARCH(","&amp;TRIM(TEXTSPLIT(CE86,","))&amp;",",","&amp;SUBSTITUTE(input_enews_audience," ","")&amp;",")))&gt;0)),IF(CG86="",TRUE,IF(input_enews_audience="",FALSE,SUMPRODUCT(--ISNUMBER(SEARCH(","&amp;TRIM(TEXTSPLIT(CG86,","))&amp;",",","&amp;SUBSTITUTE(input_enews_audience," ","")&amp;",")))=COUNTA(TEXTSPLIT(CG86,",")))),IF(CI86="",TRUE,IF(input_enews_audience="",TRUE,SUMPRODUCT(--ISNUMBER(SEARCH(","&amp;TRIM(TEXTSPLIT(CI86,","))&amp;",",","&amp;SUBSTITUTE(input_enews_audience," ","")&amp;",")))=0)),IF(CK86="",TRUE,IF(input_enews_audience="",FALSE,SUMPRODUCT(--ISNUMBER(SEARCH(","&amp;TRIM(TEXTSPLIT(CK86,","))&amp;",",","&amp;SUBSTITUTE(input_enews_audience," ","")&amp;",")))&gt;0)),IF(CM86="",TRUE,IF(input_enews_audience="",FALSE,SUMPRODUCT(--ISNUMBER(SEARCH(","&amp;TRIM(TEXTSPLIT(CM86,","))&amp;",",","&amp;SUBSTITUTE(input_enews_audience," ","")&amp;",")))=COUNTA(TEXTSPLIT(CM86,",")))))</f>
        <v/>
      </c>
      <c r="JB86">
        <f>AND(IF(CO86="",TRUE,IF(input_event_location="",FALSE,SUMPRODUCT(--ISNUMBER(SEARCH(","&amp;TRIM(TEXTSPLIT(CO86,","))&amp;",",","&amp;SUBSTITUTE(input_event_location," ","")&amp;",")))&gt;0)),IF(CQ86="",TRUE,IF(input_event_location="",FALSE,SUMPRODUCT(--ISNUMBER(SEARCH(","&amp;TRIM(TEXTSPLIT(CQ86,","))&amp;",",","&amp;SUBSTITUTE(input_event_location," ","")&amp;",")))=COUNTA(TEXTSPLIT(CQ86,",")))),IF(CS86="",TRUE,IF(input_event_location="",TRUE,SUMPRODUCT(--ISNUMBER(SEARCH(","&amp;TRIM(TEXTSPLIT(CS86,","))&amp;",",","&amp;SUBSTITUTE(input_event_location," ","")&amp;",")))=0)),IF(CU86="",TRUE,IF(input_event_location="",FALSE,SUMPRODUCT(--ISNUMBER(SEARCH(","&amp;TRIM(TEXTSPLIT(CU86,","))&amp;",",","&amp;SUBSTITUTE(input_event_location," ","")&amp;",")))&gt;0)),IF(CW86="",TRUE,IF(input_event_location="",FALSE,SUMPRODUCT(--ISNUMBER(SEARCH(","&amp;TRIM(TEXTSPLIT(CW86,","))&amp;",",","&amp;SUBSTITUTE(input_event_location," ","")&amp;",")))=COUNTA(TEXTSPLIT(CW86,",")))))</f>
        <v/>
      </c>
      <c r="JC86">
        <f>AND(IF(CY86="",TRUE,IF(input_event_type="",FALSE,SUMPRODUCT(--ISNUMBER(SEARCH(","&amp;TRIM(TEXTSPLIT(CY86,","))&amp;",",","&amp;SUBSTITUTE(input_event_type," ","")&amp;",")))&gt;0)),IF(DA86="",TRUE,IF(input_event_type="",FALSE,SUMPRODUCT(--ISNUMBER(SEARCH(","&amp;TRIM(TEXTSPLIT(DA86,","))&amp;",",","&amp;SUBSTITUTE(input_event_type," ","")&amp;",")))=COUNTA(TEXTSPLIT(DA86,",")))),IF(DC86="",TRUE,IF(input_event_type="",TRUE,SUMPRODUCT(--ISNUMBER(SEARCH(","&amp;TRIM(TEXTSPLIT(DC86,","))&amp;",",","&amp;SUBSTITUTE(input_event_type," ","")&amp;",")))=0)),IF(DE86="",TRUE,IF(input_event_type="",FALSE,SUMPRODUCT(--ISNUMBER(SEARCH(","&amp;TRIM(TEXTSPLIT(DE86,","))&amp;",",","&amp;SUBSTITUTE(input_event_type," ","")&amp;",")))&gt;0)),IF(DG86="",TRUE,IF(input_event_type="",FALSE,SUMPRODUCT(--ISNUMBER(SEARCH(","&amp;TRIM(TEXTSPLIT(DG86,","))&amp;",",","&amp;SUBSTITUTE(input_event_type," ","")&amp;",")))=COUNTA(TEXTSPLIT(DG86,",")))))</f>
        <v/>
      </c>
      <c r="JD86">
        <f>AND(IF(DI86="",TRUE,IF(input_executive_education_focus="",FALSE,SUMPRODUCT(--ISNUMBER(SEARCH(","&amp;TRIM(TEXTSPLIT(DI86,","))&amp;",",","&amp;SUBSTITUTE(input_executive_education_focus," ","")&amp;",")))&gt;0)),IF(DK86="",TRUE,IF(input_executive_education_focus="",FALSE,SUMPRODUCT(--ISNUMBER(SEARCH(","&amp;TRIM(TEXTSPLIT(DK86,","))&amp;",",","&amp;SUBSTITUTE(input_executive_education_focus," ","")&amp;",")))=COUNTA(TEXTSPLIT(DK86,",")))),IF(DM86="",TRUE,IF(input_executive_education_focus="",TRUE,SUMPRODUCT(--ISNUMBER(SEARCH(","&amp;TRIM(TEXTSPLIT(DM86,","))&amp;",",","&amp;SUBSTITUTE(input_executive_education_focus," ","")&amp;",")))=0)),IF(DO86="",TRUE,IF(input_executive_education_focus="",FALSE,SUMPRODUCT(--ISNUMBER(SEARCH(","&amp;TRIM(TEXTSPLIT(DO86,","))&amp;",",","&amp;SUBSTITUTE(input_executive_education_focus," ","")&amp;",")))&gt;0)),IF(DQ86="",TRUE,IF(input_executive_education_focus="",FALSE,SUMPRODUCT(--ISNUMBER(SEARCH(","&amp;TRIM(TEXTSPLIT(DQ86,","))&amp;",",","&amp;SUBSTITUTE(input_executive_education_focus," ","")&amp;",")))=COUNTA(TEXTSPLIT(DQ86,",")))))</f>
        <v/>
      </c>
      <c r="JE86">
        <f>AND(IF(DS86="",TRUE,IF(input_faculty_category="",FALSE,SUMPRODUCT(--ISNUMBER(SEARCH(","&amp;TRIM(TEXTSPLIT(DS86,","))&amp;",",","&amp;SUBSTITUTE(input_faculty_category," ","")&amp;",")))&gt;0)),IF(DU86="",TRUE,IF(input_faculty_category="",FALSE,SUMPRODUCT(--ISNUMBER(SEARCH(","&amp;TRIM(TEXTSPLIT(DU86,","))&amp;",",","&amp;SUBSTITUTE(input_faculty_category," ","")&amp;",")))=COUNTA(TEXTSPLIT(DU86,",")))),IF(DW86="",TRUE,IF(input_faculty_category="",TRUE,SUMPRODUCT(--ISNUMBER(SEARCH(","&amp;TRIM(TEXTSPLIT(DW86,","))&amp;",",","&amp;SUBSTITUTE(input_faculty_category," ","")&amp;",")))=0)),IF(DY86="",TRUE,IF(input_faculty_category="",FALSE,SUMPRODUCT(--ISNUMBER(SEARCH(","&amp;TRIM(TEXTSPLIT(DY86,","))&amp;",",","&amp;SUBSTITUTE(input_faculty_category," ","")&amp;",")))&gt;0)),IF(EA86="",TRUE,IF(input_faculty_category="",FALSE,SUMPRODUCT(--ISNUMBER(SEARCH(","&amp;TRIM(TEXTSPLIT(EA86,","))&amp;",",","&amp;SUBSTITUTE(input_faculty_category," ","")&amp;",")))=COUNTA(TEXTSPLIT(EA86,",")))))</f>
        <v/>
      </c>
      <c r="JF86">
        <f>AND(IF(EC86="",TRUE,IF(input_faculty_discipline="",FALSE,SUMPRODUCT(--ISNUMBER(SEARCH(","&amp;TRIM(TEXTSPLIT(EC86,","))&amp;",",","&amp;SUBSTITUTE(input_faculty_discipline," ","")&amp;",")))&gt;0)),IF(EE86="",TRUE,IF(input_faculty_discipline="",FALSE,SUMPRODUCT(--ISNUMBER(SEARCH(","&amp;TRIM(TEXTSPLIT(EE86,","))&amp;",",","&amp;SUBSTITUTE(input_faculty_discipline," ","")&amp;",")))=COUNTA(TEXTSPLIT(EE86,",")))),IF(EG86="",TRUE,IF(input_faculty_discipline="",TRUE,SUMPRODUCT(--ISNUMBER(SEARCH(","&amp;TRIM(TEXTSPLIT(EG86,","))&amp;",",","&amp;SUBSTITUTE(input_faculty_discipline," ","")&amp;",")))=0)),IF(EI86="",TRUE,IF(input_faculty_discipline="",FALSE,SUMPRODUCT(--ISNUMBER(SEARCH(","&amp;TRIM(TEXTSPLIT(EI86,","))&amp;",",","&amp;SUBSTITUTE(input_faculty_discipline," ","")&amp;",")))&gt;0)),IF(EK86="",TRUE,IF(input_faculty_discipline="",FALSE,SUMPRODUCT(--ISNUMBER(SEARCH(","&amp;TRIM(TEXTSPLIT(EK86,","))&amp;",",","&amp;SUBSTITUTE(input_faculty_discipline," ","")&amp;",")))=COUNTA(TEXTSPLIT(EK86,",")))))</f>
        <v/>
      </c>
      <c r="JG86">
        <f>AND(IF(EM86="",TRUE,IF(input_faculty_expertise="",FALSE,SUMPRODUCT(--ISNUMBER(SEARCH(","&amp;TRIM(TEXTSPLIT(EM86,","))&amp;",",","&amp;SUBSTITUTE(input_faculty_expertise," ","")&amp;",")))&gt;0)),IF(EO86="",TRUE,IF(input_faculty_expertise="",FALSE,SUMPRODUCT(--ISNUMBER(SEARCH(","&amp;TRIM(TEXTSPLIT(EO86,","))&amp;",",","&amp;SUBSTITUTE(input_faculty_expertise," ","")&amp;",")))=COUNTA(TEXTSPLIT(EO86,",")))),IF(EQ86="",TRUE,IF(input_faculty_expertise="",TRUE,SUMPRODUCT(--ISNUMBER(SEARCH(","&amp;TRIM(TEXTSPLIT(EQ86,","))&amp;",",","&amp;SUBSTITUTE(input_faculty_expertise," ","")&amp;",")))=0)),IF(ES86="",TRUE,IF(input_faculty_expertise="",FALSE,SUMPRODUCT(--ISNUMBER(SEARCH(","&amp;TRIM(TEXTSPLIT(ES86,","))&amp;",",","&amp;SUBSTITUTE(input_faculty_expertise," ","")&amp;",")))&gt;0)),IF(EU86="",TRUE,IF(input_faculty_expertise="",FALSE,SUMPRODUCT(--ISNUMBER(SEARCH(","&amp;TRIM(TEXTSPLIT(EU86,","))&amp;",",","&amp;SUBSTITUTE(input_faculty_expertise," ","")&amp;",")))=COUNTA(TEXTSPLIT(EU86,",")))))</f>
        <v/>
      </c>
      <c r="JH86">
        <f>AND(IF(EW86="",TRUE,IF(input_global_network_school="",FALSE,SUMPRODUCT(--ISNUMBER(SEARCH(","&amp;TRIM(TEXTSPLIT(EW86,","))&amp;",",","&amp;SUBSTITUTE(input_global_network_school," ","")&amp;",")))&gt;0)),IF(EY86="",TRUE,IF(input_global_network_school="",FALSE,SUMPRODUCT(--ISNUMBER(SEARCH(","&amp;TRIM(TEXTSPLIT(EY86,","))&amp;",",","&amp;SUBSTITUTE(input_global_network_school," ","")&amp;",")))=COUNTA(TEXTSPLIT(EY86,",")))),IF(FA86="",TRUE,IF(input_global_network_school="",TRUE,SUMPRODUCT(--ISNUMBER(SEARCH(","&amp;TRIM(TEXTSPLIT(FA86,","))&amp;",",","&amp;SUBSTITUTE(input_global_network_school," ","")&amp;",")))=0)),IF(FC86="",TRUE,IF(input_global_network_school="",FALSE,SUMPRODUCT(--ISNUMBER(SEARCH(","&amp;TRIM(TEXTSPLIT(FC86,","))&amp;",",","&amp;SUBSTITUTE(input_global_network_school," ","")&amp;",")))&gt;0)),IF(FE86="",TRUE,IF(input_global_network_school="",FALSE,SUMPRODUCT(--ISNUMBER(SEARCH(","&amp;TRIM(TEXTSPLIT(FE86,","))&amp;",",","&amp;SUBSTITUTE(input_global_network_school," ","")&amp;",")))=COUNTA(TEXTSPLIT(FE86,",")))))</f>
        <v/>
      </c>
      <c r="JI86">
        <f>AND(IF(FG86="",TRUE,IF(input_industry="",FALSE,SUMPRODUCT(--ISNUMBER(SEARCH(","&amp;TRIM(TEXTSPLIT(FG86,","))&amp;",",","&amp;SUBSTITUTE(input_industry," ","")&amp;",")))&gt;0)),IF(FI86="",TRUE,IF(input_industry="",FALSE,SUMPRODUCT(--ISNUMBER(SEARCH(","&amp;TRIM(TEXTSPLIT(FI86,","))&amp;",",","&amp;SUBSTITUTE(input_industry," ","")&amp;",")))=COUNTA(TEXTSPLIT(FI86,",")))),IF(FK86="",TRUE,IF(input_industry="",TRUE,SUMPRODUCT(--ISNUMBER(SEARCH(","&amp;TRIM(TEXTSPLIT(FK86,","))&amp;",",","&amp;SUBSTITUTE(input_industry," ","")&amp;",")))=0)),IF(FM86="",TRUE,IF(input_industry="",FALSE,SUMPRODUCT(--ISNUMBER(SEARCH(","&amp;TRIM(TEXTSPLIT(FM86,","))&amp;",",","&amp;SUBSTITUTE(input_industry," ","")&amp;",")))&gt;0)),IF(FO86="",TRUE,IF(input_industry="",FALSE,SUMPRODUCT(--ISNUMBER(SEARCH(","&amp;TRIM(TEXTSPLIT(FO86,","))&amp;",",","&amp;SUBSTITUTE(input_industry," ","")&amp;",")))=COUNTA(TEXTSPLIT(FO86,",")))))</f>
        <v/>
      </c>
      <c r="JJ86">
        <f>AND(IF(FQ86="",TRUE,IF(input_location="",FALSE,SUMPRODUCT(--ISNUMBER(SEARCH(","&amp;TRIM(TEXTSPLIT(FQ86,","))&amp;",",","&amp;SUBSTITUTE(input_location," ","")&amp;",")))&gt;0)),IF(FS86="",TRUE,IF(input_location="",FALSE,SUMPRODUCT(--ISNUMBER(SEARCH(","&amp;TRIM(TEXTSPLIT(FS86,","))&amp;",",","&amp;SUBSTITUTE(input_location," ","")&amp;",")))=COUNTA(TEXTSPLIT(FS86,",")))),IF(FU86="",TRUE,IF(input_location="",TRUE,SUMPRODUCT(--ISNUMBER(SEARCH(","&amp;TRIM(TEXTSPLIT(FU86,","))&amp;",",","&amp;SUBSTITUTE(input_location," ","")&amp;",")))=0)),IF(FW86="",TRUE,IF(input_location="",FALSE,SUMPRODUCT(--ISNUMBER(SEARCH(","&amp;TRIM(TEXTSPLIT(FW86,","))&amp;",",","&amp;SUBSTITUTE(input_location," ","")&amp;",")))&gt;0)),IF(FY86="",TRUE,IF(input_location="",FALSE,SUMPRODUCT(--ISNUMBER(SEARCH(","&amp;TRIM(TEXTSPLIT(FY86,","))&amp;",",","&amp;SUBSTITUTE(input_location," ","")&amp;",")))=COUNTA(TEXTSPLIT(FY86,",")))))</f>
        <v/>
      </c>
      <c r="JK86">
        <f>AND(IF(GA86="",TRUE,IF(input_modality="",FALSE,SUMPRODUCT(--ISNUMBER(SEARCH(","&amp;TRIM(TEXTSPLIT(GA86,","))&amp;",",","&amp;SUBSTITUTE(input_modality," ","")&amp;",")))&gt;0)),IF(GC86="",TRUE,IF(input_modality="",FALSE,SUMPRODUCT(--ISNUMBER(SEARCH(","&amp;TRIM(TEXTSPLIT(GC86,","))&amp;",",","&amp;SUBSTITUTE(input_modality," ","")&amp;",")))=COUNTA(TEXTSPLIT(GC86,",")))),IF(GE86="",TRUE,IF(input_modality="",TRUE,SUMPRODUCT(--ISNUMBER(SEARCH(","&amp;TRIM(TEXTSPLIT(GE86,","))&amp;",",","&amp;SUBSTITUTE(input_modality," ","")&amp;",")))=0)),IF(GG86="",TRUE,IF(input_modality="",FALSE,SUMPRODUCT(--ISNUMBER(SEARCH(","&amp;TRIM(TEXTSPLIT(GG86,","))&amp;",",","&amp;SUBSTITUTE(input_modality," ","")&amp;",")))&gt;0)),IF(GI86="",TRUE,IF(input_modality="",FALSE,SUMPRODUCT(--ISNUMBER(SEARCH(","&amp;TRIM(TEXTSPLIT(GI86,","))&amp;",",","&amp;SUBSTITUTE(input_modality," ","")&amp;",")))=COUNTA(TEXTSPLIT(GI86,",")))))</f>
        <v/>
      </c>
      <c r="JL86">
        <f>AND(IF(GK86="",TRUE,IF(input_organizer="",FALSE,SUMPRODUCT(--ISNUMBER(SEARCH(","&amp;TRIM(TEXTSPLIT(GK86,","))&amp;",",","&amp;SUBSTITUTE(input_organizer," ","")&amp;",")))&gt;0)),IF(GM86="",TRUE,IF(input_organizer="",FALSE,SUMPRODUCT(--ISNUMBER(SEARCH(","&amp;TRIM(TEXTSPLIT(GM86,","))&amp;",",","&amp;SUBSTITUTE(input_organizer," ","")&amp;",")))=COUNTA(TEXTSPLIT(GM86,",")))),IF(GO86="",TRUE,IF(input_organizer="",TRUE,SUMPRODUCT(--ISNUMBER(SEARCH(","&amp;TRIM(TEXTSPLIT(GO86,","))&amp;",",","&amp;SUBSTITUTE(input_organizer," ","")&amp;",")))=0)),IF(GQ86="",TRUE,IF(input_organizer="",FALSE,SUMPRODUCT(--ISNUMBER(SEARCH(","&amp;TRIM(TEXTSPLIT(GQ86,","))&amp;",",","&amp;SUBSTITUTE(input_organizer," ","")&amp;",")))&gt;0)),IF(GS86="",TRUE,IF(input_organizer="",FALSE,SUMPRODUCT(--ISNUMBER(SEARCH(","&amp;TRIM(TEXTSPLIT(GS86,","))&amp;",",","&amp;SUBSTITUTE(input_organizer," ","")&amp;",")))=COUNTA(TEXTSPLIT(GS86,",")))))</f>
        <v/>
      </c>
      <c r="JM86">
        <f>AND(IF(GU86="",TRUE,IF(input_profile_type="",FALSE,SUMPRODUCT(--ISNUMBER(SEARCH(","&amp;TRIM(TEXTSPLIT(GU86,","))&amp;",",","&amp;SUBSTITUTE(input_profile_type," ","")&amp;",")))&gt;0)),IF(GW86="",TRUE,IF(input_profile_type="",FALSE,SUMPRODUCT(--ISNUMBER(SEARCH(","&amp;TRIM(TEXTSPLIT(GW86,","))&amp;",",","&amp;SUBSTITUTE(input_profile_type," ","")&amp;",")))=COUNTA(TEXTSPLIT(GW86,",")))),IF(GY86="",TRUE,IF(input_profile_type="",TRUE,SUMPRODUCT(--ISNUMBER(SEARCH(","&amp;TRIM(TEXTSPLIT(GY86,","))&amp;",",","&amp;SUBSTITUTE(input_profile_type," ","")&amp;",")))=0)),IF(HA86="",TRUE,IF(input_profile_type="",FALSE,SUMPRODUCT(--ISNUMBER(SEARCH(","&amp;TRIM(TEXTSPLIT(HA86,","))&amp;",",","&amp;SUBSTITUTE(input_profile_type," ","")&amp;",")))&gt;0)),IF(HC86="",TRUE,IF(input_profile_type="",FALSE,SUMPRODUCT(--ISNUMBER(SEARCH(","&amp;TRIM(TEXTSPLIT(HC86,","))&amp;",",","&amp;SUBSTITUTE(input_profile_type," ","")&amp;",")))=COUNTA(TEXTSPLIT(HC86,",")))))</f>
        <v/>
      </c>
      <c r="JN86">
        <f>AND(IF(HE86="",TRUE,IF(input_program="",FALSE,SUMPRODUCT(--ISNUMBER(SEARCH(","&amp;TRIM(TEXTSPLIT(HE86,","))&amp;",",","&amp;SUBSTITUTE(input_program," ","")&amp;",")))&gt;0)),IF(HG86="",TRUE,IF(input_program="",FALSE,SUMPRODUCT(--ISNUMBER(SEARCH(","&amp;TRIM(TEXTSPLIT(HG86,","))&amp;",",","&amp;SUBSTITUTE(input_program," ","")&amp;",")))=COUNTA(TEXTSPLIT(HG86,",")))),IF(HI86="",TRUE,IF(input_program="",TRUE,SUMPRODUCT(--ISNUMBER(SEARCH(","&amp;TRIM(TEXTSPLIT(HI86,","))&amp;",",","&amp;SUBSTITUTE(input_program," ","")&amp;",")))=0)),IF(HK86="",TRUE,IF(input_program="",FALSE,SUMPRODUCT(--ISNUMBER(SEARCH(","&amp;TRIM(TEXTSPLIT(HK86,","))&amp;",",","&amp;SUBSTITUTE(input_program," ","")&amp;",")))&gt;0)),IF(HM86="",TRUE,IF(input_program="",FALSE,SUMPRODUCT(--ISNUMBER(SEARCH(","&amp;TRIM(TEXTSPLIT(HM86,","))&amp;",",","&amp;SUBSTITUTE(input_program," ","")&amp;",")))=COUNTA(TEXTSPLIT(HM86,",")))))</f>
        <v/>
      </c>
      <c r="JO86">
        <f>AND(IF(HO86="",TRUE,IF(input_story_categories="",FALSE,SUMPRODUCT(--ISNUMBER(SEARCH(","&amp;TRIM(TEXTSPLIT(HO86,","))&amp;",",","&amp;SUBSTITUTE(input_story_categories," ","")&amp;",")))&gt;0)),IF(HQ86="",TRUE,IF(input_story_categories="",FALSE,SUMPRODUCT(--ISNUMBER(SEARCH(","&amp;TRIM(TEXTSPLIT(HQ86,","))&amp;",",","&amp;SUBSTITUTE(input_story_categories," ","")&amp;",")))=COUNTA(TEXTSPLIT(HQ86,",")))),IF(HS86="",TRUE,IF(input_story_categories="",TRUE,SUMPRODUCT(--ISNUMBER(SEARCH(","&amp;TRIM(TEXTSPLIT(HS86,","))&amp;",",","&amp;SUBSTITUTE(input_story_categories," ","")&amp;",")))=0)),IF(HU86="",TRUE,IF(input_story_categories="",FALSE,SUMPRODUCT(--ISNUMBER(SEARCH(","&amp;TRIM(TEXTSPLIT(HU86,","))&amp;",",","&amp;SUBSTITUTE(input_story_categories," ","")&amp;",")))&gt;0)),IF(HW86="",TRUE,IF(input_story_categories="",FALSE,SUMPRODUCT(--ISNUMBER(SEARCH(","&amp;TRIM(TEXTSPLIT(HW86,","))&amp;",",","&amp;SUBSTITUTE(input_story_categories," ","")&amp;",")))=COUNTA(TEXTSPLIT(HW86,",")))))</f>
        <v/>
      </c>
      <c r="JP86">
        <f>AND(IF(HY86="",TRUE,IF(input_story_type="",FALSE,SUMPRODUCT(--ISNUMBER(SEARCH(","&amp;TRIM(TEXTSPLIT(HY86,","))&amp;",",","&amp;SUBSTITUTE(input_story_type," ","")&amp;",")))&gt;0)),IF(IA86="",TRUE,IF(input_story_type="",FALSE,SUMPRODUCT(--ISNUMBER(SEARCH(","&amp;TRIM(TEXTSPLIT(IA86,","))&amp;",",","&amp;SUBSTITUTE(input_story_type," ","")&amp;",")))=COUNTA(TEXTSPLIT(IA86,",")))),IF(IC86="",TRUE,IF(input_story_type="",TRUE,SUMPRODUCT(--ISNUMBER(SEARCH(","&amp;TRIM(TEXTSPLIT(IC86,","))&amp;",",","&amp;SUBSTITUTE(input_story_type," ","")&amp;",")))=0)),IF(IE86="",TRUE,IF(input_story_type="",FALSE,SUMPRODUCT(--ISNUMBER(SEARCH(","&amp;TRIM(TEXTSPLIT(IE86,","))&amp;",",","&amp;SUBSTITUTE(input_story_type," ","")&amp;",")))&gt;0)),IF(IG86="",TRUE,IF(input_story_type="",FALSE,SUMPRODUCT(--ISNUMBER(SEARCH(","&amp;TRIM(TEXTSPLIT(IG86,","))&amp;",",","&amp;SUBSTITUTE(input_story_type," ","")&amp;",")))=COUNTA(TEXTSPLIT(IG86,",")))))</f>
        <v/>
      </c>
      <c r="JQ86">
        <f>AND(IF(II86="",TRUE,IF(input_topics="",FALSE,SUMPRODUCT(--ISNUMBER(SEARCH(","&amp;TRIM(TEXTSPLIT(II86,","))&amp;",",","&amp;SUBSTITUTE(input_topics," ","")&amp;",")))&gt;0)),IF(IK86="",TRUE,IF(input_topics="",FALSE,SUMPRODUCT(--ISNUMBER(SEARCH(","&amp;TRIM(TEXTSPLIT(IK86,","))&amp;",",","&amp;SUBSTITUTE(input_topics," ","")&amp;",")))=COUNTA(TEXTSPLIT(IK86,",")))),IF(IM86="",TRUE,IF(input_topics="",TRUE,SUMPRODUCT(--ISNUMBER(SEARCH(","&amp;TRIM(TEXTSPLIT(IM86,","))&amp;",",","&amp;SUBSTITUTE(input_topics," ","")&amp;",")))=0)),IF(IO86="",TRUE,IF(input_topics="",FALSE,SUMPRODUCT(--ISNUMBER(SEARCH(","&amp;TRIM(TEXTSPLIT(IO86,","))&amp;",",","&amp;SUBSTITUTE(input_topics," ","")&amp;",")))&gt;0)),IF(IQ86="",TRUE,IF(input_topics="",FALSE,SUMPRODUCT(--ISNUMBER(SEARCH(","&amp;TRIM(TEXTSPLIT(IQ86,","))&amp;",",","&amp;SUBSTITUTE(input_topics," ","")&amp;",")))=COUNTA(TEXTSPLIT(IQ86,",")))))</f>
        <v/>
      </c>
    </row>
    <row r="87">
      <c r="A87" s="4">
        <f>IF(NOT(IS87),"Excluded",IF(AND(IT87,IU87,IV87,IW87,IX87,IY87,IZ87,JA87,JB87,JC87,JD87,JE87,JF87,JG87,JH87,JI87,JJ87,JK87,JL87,JM87,JN87,JO87,JP87,JQ87),IF(I87&gt;0,"Eligible but limited","Will appear"),"Excluded"))</f>
        <v/>
      </c>
      <c r="B87" s="4" t="inlineStr">
        <is>
          <t>Community Engagement News</t>
        </is>
      </c>
      <c r="C87" s="4" t="inlineStr">
        <is>
          <t>/the-som-experience/community/office-community-engagement-and-dialogue/community-engagement-news</t>
        </is>
      </c>
      <c r="D87" s="4" t="inlineStr">
        <is>
          <t>/the-som-experience/community/office-community-engagement-and-dialogue/community-engagement-news</t>
        </is>
      </c>
      <c r="E87" s="4" t="n">
        <v>1</v>
      </c>
      <c r="F87" s="4" t="inlineStr">
        <is>
          <t>story</t>
        </is>
      </c>
      <c r="G87" s="4" t="inlineStr">
        <is>
          <t>stories_list</t>
        </is>
      </c>
      <c r="H87" s="4" t="inlineStr">
        <is>
          <t>embed_1</t>
        </is>
      </c>
      <c r="I87" s="4" t="n">
        <v>10</v>
      </c>
      <c r="J87" s="4" t="inlineStr">
        <is>
          <t>Explicit args</t>
        </is>
      </c>
      <c r="K87" s="4" t="inlineStr">
        <is>
          <t>Page placement</t>
        </is>
      </c>
      <c r="L87" s="4" t="inlineStr">
        <is>
          <t>Content type: story; Context uses Event Type: Diversity (889), Diversity and Inclusion (132), Diversity and Inclusion (229); Limited to 10 item(s); Source: Explicit args</t>
        </is>
      </c>
      <c r="M87" t="inlineStr"/>
      <c r="N87" t="inlineStr"/>
      <c r="O87" t="inlineStr"/>
      <c r="P87" t="inlineStr"/>
      <c r="Q87" t="inlineStr"/>
      <c r="R87" t="inlineStr"/>
      <c r="S87" t="inlineStr"/>
      <c r="T87" t="inlineStr"/>
      <c r="U87" t="inlineStr"/>
      <c r="V87" t="inlineStr"/>
      <c r="W87" t="inlineStr"/>
      <c r="X87" t="inlineStr"/>
      <c r="Y87" t="inlineStr"/>
      <c r="Z87" t="inlineStr"/>
      <c r="AA87" t="inlineStr"/>
      <c r="AB87" t="inlineStr"/>
      <c r="AC87" t="inlineStr"/>
      <c r="AD87" t="inlineStr"/>
      <c r="AE87" t="inlineStr"/>
      <c r="AF87" t="inlineStr"/>
      <c r="AG87" t="inlineStr"/>
      <c r="AH87" t="inlineStr"/>
      <c r="AI87" t="inlineStr"/>
      <c r="AJ87" t="inlineStr"/>
      <c r="AK87" t="inlineStr"/>
      <c r="AL87" t="inlineStr"/>
      <c r="AM87" t="inlineStr"/>
      <c r="AN87" t="inlineStr"/>
      <c r="AO87" t="inlineStr"/>
      <c r="AP87" t="inlineStr"/>
      <c r="AQ87" t="inlineStr"/>
      <c r="AR87" t="inlineStr"/>
      <c r="AS87" t="inlineStr"/>
      <c r="AT87" t="inlineStr"/>
      <c r="AU87" t="inlineStr"/>
      <c r="AV87" t="inlineStr"/>
      <c r="AW87" t="inlineStr"/>
      <c r="AX87" t="inlineStr"/>
      <c r="AY87" t="inlineStr"/>
      <c r="AZ87" t="inlineStr"/>
      <c r="BA87" t="inlineStr"/>
      <c r="BB87" t="inlineStr"/>
      <c r="BC87" t="inlineStr"/>
      <c r="BD87" t="inlineStr"/>
      <c r="BE87" t="inlineStr"/>
      <c r="BF87" t="inlineStr"/>
      <c r="BG87" t="inlineStr"/>
      <c r="BH87" t="inlineStr"/>
      <c r="BI87" t="inlineStr"/>
      <c r="BJ87" t="inlineStr"/>
      <c r="BK87" t="inlineStr"/>
      <c r="BL87" t="inlineStr"/>
      <c r="BM87" t="inlineStr"/>
      <c r="BN87" t="inlineStr"/>
      <c r="BO87" t="inlineStr"/>
      <c r="BP87" t="inlineStr"/>
      <c r="BQ87" t="inlineStr"/>
      <c r="BR87" t="inlineStr"/>
      <c r="BS87" t="inlineStr"/>
      <c r="BT87" t="inlineStr"/>
      <c r="BU87" t="inlineStr"/>
      <c r="BV87" t="inlineStr"/>
      <c r="BW87" t="inlineStr"/>
      <c r="BX87" t="inlineStr"/>
      <c r="BY87" t="inlineStr"/>
      <c r="BZ87" t="inlineStr"/>
      <c r="CA87" t="inlineStr"/>
      <c r="CB87" t="inlineStr"/>
      <c r="CC87" t="inlineStr"/>
      <c r="CD87" t="inlineStr"/>
      <c r="CE87" t="inlineStr"/>
      <c r="CF87" t="inlineStr"/>
      <c r="CG87" t="inlineStr"/>
      <c r="CH87" t="inlineStr"/>
      <c r="CI87" t="inlineStr"/>
      <c r="CJ87" t="inlineStr"/>
      <c r="CK87" t="inlineStr"/>
      <c r="CL87" t="inlineStr"/>
      <c r="CM87" t="inlineStr"/>
      <c r="CN87" t="inlineStr"/>
      <c r="CO87" t="inlineStr"/>
      <c r="CP87" t="inlineStr"/>
      <c r="CQ87" t="inlineStr"/>
      <c r="CR87" t="inlineStr"/>
      <c r="CS87" t="inlineStr"/>
      <c r="CT87" t="inlineStr"/>
      <c r="CU87" t="inlineStr"/>
      <c r="CV87" t="inlineStr"/>
      <c r="CW87" t="inlineStr"/>
      <c r="CX87" t="inlineStr"/>
      <c r="CY87" t="inlineStr"/>
      <c r="CZ87" t="inlineStr"/>
      <c r="DA87" t="inlineStr"/>
      <c r="DB87" t="inlineStr"/>
      <c r="DC87" t="inlineStr"/>
      <c r="DD87" t="inlineStr"/>
      <c r="DE87" t="inlineStr">
        <is>
          <t>889, 132, 229</t>
        </is>
      </c>
      <c r="DF87" t="inlineStr">
        <is>
          <t>Diversity (889), Diversity and Inclusion (132), Diversity and Inclusion (229)</t>
        </is>
      </c>
      <c r="DG87" t="inlineStr"/>
      <c r="DH87" t="inlineStr"/>
      <c r="DI87" t="inlineStr"/>
      <c r="DJ87" t="inlineStr"/>
      <c r="DK87" t="inlineStr"/>
      <c r="DL87" t="inlineStr"/>
      <c r="DM87" t="inlineStr"/>
      <c r="DN87" t="inlineStr"/>
      <c r="DO87" t="inlineStr"/>
      <c r="DP87" t="inlineStr"/>
      <c r="DQ87" t="inlineStr"/>
      <c r="DR87" t="inlineStr"/>
      <c r="DS87" t="inlineStr"/>
      <c r="DT87" t="inlineStr"/>
      <c r="DU87" t="inlineStr"/>
      <c r="DV87" t="inlineStr"/>
      <c r="DW87" t="inlineStr"/>
      <c r="DX87" t="inlineStr"/>
      <c r="DY87" t="inlineStr"/>
      <c r="DZ87" t="inlineStr"/>
      <c r="EA87" t="inlineStr"/>
      <c r="EB87" t="inlineStr"/>
      <c r="EC87" t="inlineStr"/>
      <c r="ED87" t="inlineStr"/>
      <c r="EE87" t="inlineStr"/>
      <c r="EF87" t="inlineStr"/>
      <c r="EG87" t="inlineStr"/>
      <c r="EH87" t="inlineStr"/>
      <c r="EI87" t="inlineStr"/>
      <c r="EJ87" t="inlineStr"/>
      <c r="EK87" t="inlineStr"/>
      <c r="EL87" t="inlineStr"/>
      <c r="EM87" t="inlineStr"/>
      <c r="EN87" t="inlineStr"/>
      <c r="EO87" t="inlineStr"/>
      <c r="EP87" t="inlineStr"/>
      <c r="EQ87" t="inlineStr"/>
      <c r="ER87" t="inlineStr"/>
      <c r="ES87" t="inlineStr"/>
      <c r="ET87" t="inlineStr"/>
      <c r="EU87" t="inlineStr"/>
      <c r="EV87" t="inlineStr"/>
      <c r="EW87" t="inlineStr"/>
      <c r="EX87" t="inlineStr"/>
      <c r="EY87" t="inlineStr"/>
      <c r="EZ87" t="inlineStr"/>
      <c r="FA87" t="inlineStr"/>
      <c r="FB87" t="inlineStr"/>
      <c r="FC87" t="inlineStr"/>
      <c r="FD87" t="inlineStr"/>
      <c r="FE87" t="inlineStr"/>
      <c r="FF87" t="inlineStr"/>
      <c r="FG87" t="inlineStr"/>
      <c r="FH87" t="inlineStr"/>
      <c r="FI87" t="inlineStr"/>
      <c r="FJ87" t="inlineStr"/>
      <c r="FK87" t="inlineStr"/>
      <c r="FL87" t="inlineStr"/>
      <c r="FM87" t="inlineStr"/>
      <c r="FN87" t="inlineStr"/>
      <c r="FO87" t="inlineStr"/>
      <c r="FP87" t="inlineStr"/>
      <c r="FQ87" t="inlineStr"/>
      <c r="FR87" t="inlineStr"/>
      <c r="FS87" t="inlineStr"/>
      <c r="FT87" t="inlineStr"/>
      <c r="FU87" t="inlineStr"/>
      <c r="FV87" t="inlineStr"/>
      <c r="FW87" t="inlineStr"/>
      <c r="FX87" t="inlineStr"/>
      <c r="FY87" t="inlineStr"/>
      <c r="FZ87" t="inlineStr"/>
      <c r="GA87" t="inlineStr"/>
      <c r="GB87" t="inlineStr"/>
      <c r="GC87" t="inlineStr"/>
      <c r="GD87" t="inlineStr"/>
      <c r="GE87" t="inlineStr"/>
      <c r="GF87" t="inlineStr"/>
      <c r="GG87" t="inlineStr"/>
      <c r="GH87" t="inlineStr"/>
      <c r="GI87" t="inlineStr"/>
      <c r="GJ87" t="inlineStr"/>
      <c r="GK87" t="inlineStr"/>
      <c r="GL87" t="inlineStr"/>
      <c r="GM87" t="inlineStr"/>
      <c r="GN87" t="inlineStr"/>
      <c r="GO87" t="inlineStr"/>
      <c r="GP87" t="inlineStr"/>
      <c r="GQ87" t="inlineStr"/>
      <c r="GR87" t="inlineStr"/>
      <c r="GS87" t="inlineStr"/>
      <c r="GT87" t="inlineStr"/>
      <c r="GU87" t="inlineStr"/>
      <c r="GV87" t="inlineStr"/>
      <c r="GW87" t="inlineStr"/>
      <c r="GX87" t="inlineStr"/>
      <c r="GY87" t="inlineStr"/>
      <c r="GZ87" t="inlineStr"/>
      <c r="HA87" t="inlineStr"/>
      <c r="HB87" t="inlineStr"/>
      <c r="HC87" t="inlineStr"/>
      <c r="HD87" t="inlineStr"/>
      <c r="HE87" t="inlineStr"/>
      <c r="HF87" t="inlineStr"/>
      <c r="HG87" t="inlineStr"/>
      <c r="HH87" t="inlineStr"/>
      <c r="HI87" t="inlineStr"/>
      <c r="HJ87" t="inlineStr"/>
      <c r="HK87" t="inlineStr"/>
      <c r="HL87" t="inlineStr"/>
      <c r="HM87" t="inlineStr"/>
      <c r="HN87" t="inlineStr"/>
      <c r="HO87" t="inlineStr"/>
      <c r="HP87" t="inlineStr"/>
      <c r="HQ87" t="inlineStr"/>
      <c r="HR87" t="inlineStr"/>
      <c r="HS87" t="inlineStr"/>
      <c r="HT87" t="inlineStr"/>
      <c r="HU87" t="inlineStr"/>
      <c r="HV87" t="inlineStr"/>
      <c r="HW87" t="inlineStr"/>
      <c r="HX87" t="inlineStr"/>
      <c r="HY87" t="inlineStr"/>
      <c r="HZ87" t="inlineStr"/>
      <c r="IA87" t="inlineStr"/>
      <c r="IB87" t="inlineStr"/>
      <c r="IC87" t="inlineStr"/>
      <c r="ID87" t="inlineStr"/>
      <c r="IE87" t="inlineStr"/>
      <c r="IF87" t="inlineStr"/>
      <c r="IG87" t="inlineStr"/>
      <c r="IH87" t="inlineStr"/>
      <c r="II87" t="inlineStr"/>
      <c r="IJ87" t="inlineStr"/>
      <c r="IK87" t="inlineStr"/>
      <c r="IL87" t="inlineStr"/>
      <c r="IM87" t="inlineStr"/>
      <c r="IN87" t="inlineStr"/>
      <c r="IO87" t="inlineStr"/>
      <c r="IP87" t="inlineStr"/>
      <c r="IQ87" t="inlineStr"/>
      <c r="IR87" t="inlineStr"/>
      <c r="IS87">
        <f>IF(input_content_type="",FALSE,ISNUMBER(SEARCH(","&amp;LOWER(input_content_type)&amp;",",","&amp;LOWER(F87)&amp;",")))</f>
        <v/>
      </c>
      <c r="IT87">
        <f>AND(IF(M87="",TRUE,IF(input_affiliations="",FALSE,SUMPRODUCT(--ISNUMBER(SEARCH(","&amp;TRIM(TEXTSPLIT(M87,","))&amp;",",","&amp;SUBSTITUTE(input_affiliations," ","")&amp;",")))&gt;0)),IF(O87="",TRUE,IF(input_affiliations="",FALSE,SUMPRODUCT(--ISNUMBER(SEARCH(","&amp;TRIM(TEXTSPLIT(O87,","))&amp;",",","&amp;SUBSTITUTE(input_affiliations," ","")&amp;",")))=COUNTA(TEXTSPLIT(O87,",")))),IF(Q87="",TRUE,IF(input_affiliations="",TRUE,SUMPRODUCT(--ISNUMBER(SEARCH(","&amp;TRIM(TEXTSPLIT(Q87,","))&amp;",",","&amp;SUBSTITUTE(input_affiliations," ","")&amp;",")))=0)),IF(S87="",TRUE,IF(input_affiliations="",FALSE,SUMPRODUCT(--ISNUMBER(SEARCH(","&amp;TRIM(TEXTSPLIT(S87,","))&amp;",",","&amp;SUBSTITUTE(input_affiliations," ","")&amp;",")))&gt;0)),IF(U87="",TRUE,IF(input_affiliations="",FALSE,SUMPRODUCT(--ISNUMBER(SEARCH(","&amp;TRIM(TEXTSPLIT(U87,","))&amp;",",","&amp;SUBSTITUTE(input_affiliations," ","")&amp;",")))=COUNTA(TEXTSPLIT(U87,",")))))</f>
        <v/>
      </c>
      <c r="IU87">
        <f>AND(IF(W87="",TRUE,IF(input_announcement_category="",FALSE,SUMPRODUCT(--ISNUMBER(SEARCH(","&amp;TRIM(TEXTSPLIT(W87,","))&amp;",",","&amp;SUBSTITUTE(input_announcement_category," ","")&amp;",")))&gt;0)),IF(Y87="",TRUE,IF(input_announcement_category="",FALSE,SUMPRODUCT(--ISNUMBER(SEARCH(","&amp;TRIM(TEXTSPLIT(Y87,","))&amp;",",","&amp;SUBSTITUTE(input_announcement_category," ","")&amp;",")))=COUNTA(TEXTSPLIT(Y87,",")))),IF(AA87="",TRUE,IF(input_announcement_category="",TRUE,SUMPRODUCT(--ISNUMBER(SEARCH(","&amp;TRIM(TEXTSPLIT(AA87,","))&amp;",",","&amp;SUBSTITUTE(input_announcement_category," ","")&amp;",")))=0)),IF(AC87="",TRUE,IF(input_announcement_category="",FALSE,SUMPRODUCT(--ISNUMBER(SEARCH(","&amp;TRIM(TEXTSPLIT(AC87,","))&amp;",",","&amp;SUBSTITUTE(input_announcement_category," ","")&amp;",")))&gt;0)),IF(AE87="",TRUE,IF(input_announcement_category="",FALSE,SUMPRODUCT(--ISNUMBER(SEARCH(","&amp;TRIM(TEXTSPLIT(AE87,","))&amp;",",","&amp;SUBSTITUTE(input_announcement_category," ","")&amp;",")))=COUNTA(TEXTSPLIT(AE87,",")))))</f>
        <v/>
      </c>
      <c r="IV87">
        <f>AND(IF(AG87="",TRUE,IF(input_area_of_focus="",FALSE,SUMPRODUCT(--ISNUMBER(SEARCH(","&amp;TRIM(TEXTSPLIT(AG87,","))&amp;",",","&amp;SUBSTITUTE(input_area_of_focus," ","")&amp;",")))&gt;0)),IF(AI87="",TRUE,IF(input_area_of_focus="",FALSE,SUMPRODUCT(--ISNUMBER(SEARCH(","&amp;TRIM(TEXTSPLIT(AI87,","))&amp;",",","&amp;SUBSTITUTE(input_area_of_focus," ","")&amp;",")))=COUNTA(TEXTSPLIT(AI87,",")))),IF(AK87="",TRUE,IF(input_area_of_focus="",TRUE,SUMPRODUCT(--ISNUMBER(SEARCH(","&amp;TRIM(TEXTSPLIT(AK87,","))&amp;",",","&amp;SUBSTITUTE(input_area_of_focus," ","")&amp;",")))=0)),IF(AM87="",TRUE,IF(input_area_of_focus="",FALSE,SUMPRODUCT(--ISNUMBER(SEARCH(","&amp;TRIM(TEXTSPLIT(AM87,","))&amp;",",","&amp;SUBSTITUTE(input_area_of_focus," ","")&amp;",")))&gt;0)),IF(AO87="",TRUE,IF(input_area_of_focus="",FALSE,SUMPRODUCT(--ISNUMBER(SEARCH(","&amp;TRIM(TEXTSPLIT(AO87,","))&amp;",",","&amp;SUBSTITUTE(input_area_of_focus," ","")&amp;",")))=COUNTA(TEXTSPLIT(AO87,",")))))</f>
        <v/>
      </c>
      <c r="IW87">
        <f>AND(IF(AQ87="",TRUE,IF(input_audience="",FALSE,SUMPRODUCT(--ISNUMBER(SEARCH(","&amp;TRIM(TEXTSPLIT(AQ87,","))&amp;",",","&amp;SUBSTITUTE(input_audience," ","")&amp;",")))&gt;0)),IF(AS87="",TRUE,IF(input_audience="",FALSE,SUMPRODUCT(--ISNUMBER(SEARCH(","&amp;TRIM(TEXTSPLIT(AS87,","))&amp;",",","&amp;SUBSTITUTE(input_audience," ","")&amp;",")))=COUNTA(TEXTSPLIT(AS87,",")))),IF(AU87="",TRUE,IF(input_audience="",TRUE,SUMPRODUCT(--ISNUMBER(SEARCH(","&amp;TRIM(TEXTSPLIT(AU87,","))&amp;",",","&amp;SUBSTITUTE(input_audience," ","")&amp;",")))=0)),IF(AW87="",TRUE,IF(input_audience="",FALSE,SUMPRODUCT(--ISNUMBER(SEARCH(","&amp;TRIM(TEXTSPLIT(AW87,","))&amp;",",","&amp;SUBSTITUTE(input_audience," ","")&amp;",")))&gt;0)),IF(AY87="",TRUE,IF(input_audience="",FALSE,SUMPRODUCT(--ISNUMBER(SEARCH(","&amp;TRIM(TEXTSPLIT(AY87,","))&amp;",",","&amp;SUBSTITUTE(input_audience," ","")&amp;",")))=COUNTA(TEXTSPLIT(AY87,",")))))</f>
        <v/>
      </c>
      <c r="IX87">
        <f>AND(IF(BA87="",TRUE,IF(input_challenge_opportunities="",FALSE,SUMPRODUCT(--ISNUMBER(SEARCH(","&amp;TRIM(TEXTSPLIT(BA87,","))&amp;",",","&amp;SUBSTITUTE(input_challenge_opportunities," ","")&amp;",")))&gt;0)),IF(BC87="",TRUE,IF(input_challenge_opportunities="",FALSE,SUMPRODUCT(--ISNUMBER(SEARCH(","&amp;TRIM(TEXTSPLIT(BC87,","))&amp;",",","&amp;SUBSTITUTE(input_challenge_opportunities," ","")&amp;",")))=COUNTA(TEXTSPLIT(BC87,",")))),IF(BE87="",TRUE,IF(input_challenge_opportunities="",TRUE,SUMPRODUCT(--ISNUMBER(SEARCH(","&amp;TRIM(TEXTSPLIT(BE87,","))&amp;",",","&amp;SUBSTITUTE(input_challenge_opportunities," ","")&amp;",")))=0)),IF(BG87="",TRUE,IF(input_challenge_opportunities="",FALSE,SUMPRODUCT(--ISNUMBER(SEARCH(","&amp;TRIM(TEXTSPLIT(BG87,","))&amp;",",","&amp;SUBSTITUTE(input_challenge_opportunities," ","")&amp;",")))&gt;0)),IF(BI87="",TRUE,IF(input_challenge_opportunities="",FALSE,SUMPRODUCT(--ISNUMBER(SEARCH(","&amp;TRIM(TEXTSPLIT(BI87,","))&amp;",",","&amp;SUBSTITUTE(input_challenge_opportunities," ","")&amp;",")))=COUNTA(TEXTSPLIT(BI87,",")))))</f>
        <v/>
      </c>
      <c r="IY87">
        <f>AND(IF(BK87="",TRUE,IF(input_context="",FALSE,SUMPRODUCT(--ISNUMBER(SEARCH(","&amp;TRIM(TEXTSPLIT(BK87,","))&amp;",",","&amp;SUBSTITUTE(input_context," ","")&amp;",")))&gt;0)),IF(BM87="",TRUE,IF(input_context="",FALSE,SUMPRODUCT(--ISNUMBER(SEARCH(","&amp;TRIM(TEXTSPLIT(BM87,","))&amp;",",","&amp;SUBSTITUTE(input_context," ","")&amp;",")))=COUNTA(TEXTSPLIT(BM87,",")))),IF(BO87="",TRUE,IF(input_context="",TRUE,SUMPRODUCT(--ISNUMBER(SEARCH(","&amp;TRIM(TEXTSPLIT(BO87,","))&amp;",",","&amp;SUBSTITUTE(input_context," ","")&amp;",")))=0)),IF(BQ87="",TRUE,IF(input_context="",FALSE,SUMPRODUCT(--ISNUMBER(SEARCH(","&amp;TRIM(TEXTSPLIT(BQ87,","))&amp;",",","&amp;SUBSTITUTE(input_context," ","")&amp;",")))&gt;0)),IF(BS87="",TRUE,IF(input_context="",FALSE,SUMPRODUCT(--ISNUMBER(SEARCH(","&amp;TRIM(TEXTSPLIT(BS87,","))&amp;",",","&amp;SUBSTITUTE(input_context," ","")&amp;",")))=COUNTA(TEXTSPLIT(BS87,",")))))</f>
        <v/>
      </c>
      <c r="IZ87">
        <f>AND(IF(BU87="",TRUE,IF(input_enews_announcement_type="",FALSE,SUMPRODUCT(--ISNUMBER(SEARCH(","&amp;TRIM(TEXTSPLIT(BU87,","))&amp;",",","&amp;SUBSTITUTE(input_enews_announcement_type," ","")&amp;",")))&gt;0)),IF(BW87="",TRUE,IF(input_enews_announcement_type="",FALSE,SUMPRODUCT(--ISNUMBER(SEARCH(","&amp;TRIM(TEXTSPLIT(BW87,","))&amp;",",","&amp;SUBSTITUTE(input_enews_announcement_type," ","")&amp;",")))=COUNTA(TEXTSPLIT(BW87,",")))),IF(BY87="",TRUE,IF(input_enews_announcement_type="",TRUE,SUMPRODUCT(--ISNUMBER(SEARCH(","&amp;TRIM(TEXTSPLIT(BY87,","))&amp;",",","&amp;SUBSTITUTE(input_enews_announcement_type," ","")&amp;",")))=0)),IF(CA87="",TRUE,IF(input_enews_announcement_type="",FALSE,SUMPRODUCT(--ISNUMBER(SEARCH(","&amp;TRIM(TEXTSPLIT(CA87,","))&amp;",",","&amp;SUBSTITUTE(input_enews_announcement_type," ","")&amp;",")))&gt;0)),IF(CC87="",TRUE,IF(input_enews_announcement_type="",FALSE,SUMPRODUCT(--ISNUMBER(SEARCH(","&amp;TRIM(TEXTSPLIT(CC87,","))&amp;",",","&amp;SUBSTITUTE(input_enews_announcement_type," ","")&amp;",")))=COUNTA(TEXTSPLIT(CC87,",")))))</f>
        <v/>
      </c>
      <c r="JA87">
        <f>AND(IF(CE87="",TRUE,IF(input_enews_audience="",FALSE,SUMPRODUCT(--ISNUMBER(SEARCH(","&amp;TRIM(TEXTSPLIT(CE87,","))&amp;",",","&amp;SUBSTITUTE(input_enews_audience," ","")&amp;",")))&gt;0)),IF(CG87="",TRUE,IF(input_enews_audience="",FALSE,SUMPRODUCT(--ISNUMBER(SEARCH(","&amp;TRIM(TEXTSPLIT(CG87,","))&amp;",",","&amp;SUBSTITUTE(input_enews_audience," ","")&amp;",")))=COUNTA(TEXTSPLIT(CG87,",")))),IF(CI87="",TRUE,IF(input_enews_audience="",TRUE,SUMPRODUCT(--ISNUMBER(SEARCH(","&amp;TRIM(TEXTSPLIT(CI87,","))&amp;",",","&amp;SUBSTITUTE(input_enews_audience," ","")&amp;",")))=0)),IF(CK87="",TRUE,IF(input_enews_audience="",FALSE,SUMPRODUCT(--ISNUMBER(SEARCH(","&amp;TRIM(TEXTSPLIT(CK87,","))&amp;",",","&amp;SUBSTITUTE(input_enews_audience," ","")&amp;",")))&gt;0)),IF(CM87="",TRUE,IF(input_enews_audience="",FALSE,SUMPRODUCT(--ISNUMBER(SEARCH(","&amp;TRIM(TEXTSPLIT(CM87,","))&amp;",",","&amp;SUBSTITUTE(input_enews_audience," ","")&amp;",")))=COUNTA(TEXTSPLIT(CM87,",")))))</f>
        <v/>
      </c>
      <c r="JB87">
        <f>AND(IF(CO87="",TRUE,IF(input_event_location="",FALSE,SUMPRODUCT(--ISNUMBER(SEARCH(","&amp;TRIM(TEXTSPLIT(CO87,","))&amp;",",","&amp;SUBSTITUTE(input_event_location," ","")&amp;",")))&gt;0)),IF(CQ87="",TRUE,IF(input_event_location="",FALSE,SUMPRODUCT(--ISNUMBER(SEARCH(","&amp;TRIM(TEXTSPLIT(CQ87,","))&amp;",",","&amp;SUBSTITUTE(input_event_location," ","")&amp;",")))=COUNTA(TEXTSPLIT(CQ87,",")))),IF(CS87="",TRUE,IF(input_event_location="",TRUE,SUMPRODUCT(--ISNUMBER(SEARCH(","&amp;TRIM(TEXTSPLIT(CS87,","))&amp;",",","&amp;SUBSTITUTE(input_event_location," ","")&amp;",")))=0)),IF(CU87="",TRUE,IF(input_event_location="",FALSE,SUMPRODUCT(--ISNUMBER(SEARCH(","&amp;TRIM(TEXTSPLIT(CU87,","))&amp;",",","&amp;SUBSTITUTE(input_event_location," ","")&amp;",")))&gt;0)),IF(CW87="",TRUE,IF(input_event_location="",FALSE,SUMPRODUCT(--ISNUMBER(SEARCH(","&amp;TRIM(TEXTSPLIT(CW87,","))&amp;",",","&amp;SUBSTITUTE(input_event_location," ","")&amp;",")))=COUNTA(TEXTSPLIT(CW87,",")))))</f>
        <v/>
      </c>
      <c r="JC87">
        <f>AND(IF(CY87="",TRUE,IF(input_event_type="",FALSE,SUMPRODUCT(--ISNUMBER(SEARCH(","&amp;TRIM(TEXTSPLIT(CY87,","))&amp;",",","&amp;SUBSTITUTE(input_event_type," ","")&amp;",")))&gt;0)),IF(DA87="",TRUE,IF(input_event_type="",FALSE,SUMPRODUCT(--ISNUMBER(SEARCH(","&amp;TRIM(TEXTSPLIT(DA87,","))&amp;",",","&amp;SUBSTITUTE(input_event_type," ","")&amp;",")))=COUNTA(TEXTSPLIT(DA87,",")))),IF(DC87="",TRUE,IF(input_event_type="",TRUE,SUMPRODUCT(--ISNUMBER(SEARCH(","&amp;TRIM(TEXTSPLIT(DC87,","))&amp;",",","&amp;SUBSTITUTE(input_event_type," ","")&amp;",")))=0)),IF(DE87="",TRUE,IF(input_event_type="",FALSE,SUMPRODUCT(--ISNUMBER(SEARCH(","&amp;TRIM(TEXTSPLIT(DE87,","))&amp;",",","&amp;SUBSTITUTE(input_event_type," ","")&amp;",")))&gt;0)),IF(DG87="",TRUE,IF(input_event_type="",FALSE,SUMPRODUCT(--ISNUMBER(SEARCH(","&amp;TRIM(TEXTSPLIT(DG87,","))&amp;",",","&amp;SUBSTITUTE(input_event_type," ","")&amp;",")))=COUNTA(TEXTSPLIT(DG87,",")))))</f>
        <v/>
      </c>
      <c r="JD87">
        <f>AND(IF(DI87="",TRUE,IF(input_executive_education_focus="",FALSE,SUMPRODUCT(--ISNUMBER(SEARCH(","&amp;TRIM(TEXTSPLIT(DI87,","))&amp;",",","&amp;SUBSTITUTE(input_executive_education_focus," ","")&amp;",")))&gt;0)),IF(DK87="",TRUE,IF(input_executive_education_focus="",FALSE,SUMPRODUCT(--ISNUMBER(SEARCH(","&amp;TRIM(TEXTSPLIT(DK87,","))&amp;",",","&amp;SUBSTITUTE(input_executive_education_focus," ","")&amp;",")))=COUNTA(TEXTSPLIT(DK87,",")))),IF(DM87="",TRUE,IF(input_executive_education_focus="",TRUE,SUMPRODUCT(--ISNUMBER(SEARCH(","&amp;TRIM(TEXTSPLIT(DM87,","))&amp;",",","&amp;SUBSTITUTE(input_executive_education_focus," ","")&amp;",")))=0)),IF(DO87="",TRUE,IF(input_executive_education_focus="",FALSE,SUMPRODUCT(--ISNUMBER(SEARCH(","&amp;TRIM(TEXTSPLIT(DO87,","))&amp;",",","&amp;SUBSTITUTE(input_executive_education_focus," ","")&amp;",")))&gt;0)),IF(DQ87="",TRUE,IF(input_executive_education_focus="",FALSE,SUMPRODUCT(--ISNUMBER(SEARCH(","&amp;TRIM(TEXTSPLIT(DQ87,","))&amp;",",","&amp;SUBSTITUTE(input_executive_education_focus," ","")&amp;",")))=COUNTA(TEXTSPLIT(DQ87,",")))))</f>
        <v/>
      </c>
      <c r="JE87">
        <f>AND(IF(DS87="",TRUE,IF(input_faculty_category="",FALSE,SUMPRODUCT(--ISNUMBER(SEARCH(","&amp;TRIM(TEXTSPLIT(DS87,","))&amp;",",","&amp;SUBSTITUTE(input_faculty_category," ","")&amp;",")))&gt;0)),IF(DU87="",TRUE,IF(input_faculty_category="",FALSE,SUMPRODUCT(--ISNUMBER(SEARCH(","&amp;TRIM(TEXTSPLIT(DU87,","))&amp;",",","&amp;SUBSTITUTE(input_faculty_category," ","")&amp;",")))=COUNTA(TEXTSPLIT(DU87,",")))),IF(DW87="",TRUE,IF(input_faculty_category="",TRUE,SUMPRODUCT(--ISNUMBER(SEARCH(","&amp;TRIM(TEXTSPLIT(DW87,","))&amp;",",","&amp;SUBSTITUTE(input_faculty_category," ","")&amp;",")))=0)),IF(DY87="",TRUE,IF(input_faculty_category="",FALSE,SUMPRODUCT(--ISNUMBER(SEARCH(","&amp;TRIM(TEXTSPLIT(DY87,","))&amp;",",","&amp;SUBSTITUTE(input_faculty_category," ","")&amp;",")))&gt;0)),IF(EA87="",TRUE,IF(input_faculty_category="",FALSE,SUMPRODUCT(--ISNUMBER(SEARCH(","&amp;TRIM(TEXTSPLIT(EA87,","))&amp;",",","&amp;SUBSTITUTE(input_faculty_category," ","")&amp;",")))=COUNTA(TEXTSPLIT(EA87,",")))))</f>
        <v/>
      </c>
      <c r="JF87">
        <f>AND(IF(EC87="",TRUE,IF(input_faculty_discipline="",FALSE,SUMPRODUCT(--ISNUMBER(SEARCH(","&amp;TRIM(TEXTSPLIT(EC87,","))&amp;",",","&amp;SUBSTITUTE(input_faculty_discipline," ","")&amp;",")))&gt;0)),IF(EE87="",TRUE,IF(input_faculty_discipline="",FALSE,SUMPRODUCT(--ISNUMBER(SEARCH(","&amp;TRIM(TEXTSPLIT(EE87,","))&amp;",",","&amp;SUBSTITUTE(input_faculty_discipline," ","")&amp;",")))=COUNTA(TEXTSPLIT(EE87,",")))),IF(EG87="",TRUE,IF(input_faculty_discipline="",TRUE,SUMPRODUCT(--ISNUMBER(SEARCH(","&amp;TRIM(TEXTSPLIT(EG87,","))&amp;",",","&amp;SUBSTITUTE(input_faculty_discipline," ","")&amp;",")))=0)),IF(EI87="",TRUE,IF(input_faculty_discipline="",FALSE,SUMPRODUCT(--ISNUMBER(SEARCH(","&amp;TRIM(TEXTSPLIT(EI87,","))&amp;",",","&amp;SUBSTITUTE(input_faculty_discipline," ","")&amp;",")))&gt;0)),IF(EK87="",TRUE,IF(input_faculty_discipline="",FALSE,SUMPRODUCT(--ISNUMBER(SEARCH(","&amp;TRIM(TEXTSPLIT(EK87,","))&amp;",",","&amp;SUBSTITUTE(input_faculty_discipline," ","")&amp;",")))=COUNTA(TEXTSPLIT(EK87,",")))))</f>
        <v/>
      </c>
      <c r="JG87">
        <f>AND(IF(EM87="",TRUE,IF(input_faculty_expertise="",FALSE,SUMPRODUCT(--ISNUMBER(SEARCH(","&amp;TRIM(TEXTSPLIT(EM87,","))&amp;",",","&amp;SUBSTITUTE(input_faculty_expertise," ","")&amp;",")))&gt;0)),IF(EO87="",TRUE,IF(input_faculty_expertise="",FALSE,SUMPRODUCT(--ISNUMBER(SEARCH(","&amp;TRIM(TEXTSPLIT(EO87,","))&amp;",",","&amp;SUBSTITUTE(input_faculty_expertise," ","")&amp;",")))=COUNTA(TEXTSPLIT(EO87,",")))),IF(EQ87="",TRUE,IF(input_faculty_expertise="",TRUE,SUMPRODUCT(--ISNUMBER(SEARCH(","&amp;TRIM(TEXTSPLIT(EQ87,","))&amp;",",","&amp;SUBSTITUTE(input_faculty_expertise," ","")&amp;",")))=0)),IF(ES87="",TRUE,IF(input_faculty_expertise="",FALSE,SUMPRODUCT(--ISNUMBER(SEARCH(","&amp;TRIM(TEXTSPLIT(ES87,","))&amp;",",","&amp;SUBSTITUTE(input_faculty_expertise," ","")&amp;",")))&gt;0)),IF(EU87="",TRUE,IF(input_faculty_expertise="",FALSE,SUMPRODUCT(--ISNUMBER(SEARCH(","&amp;TRIM(TEXTSPLIT(EU87,","))&amp;",",","&amp;SUBSTITUTE(input_faculty_expertise," ","")&amp;",")))=COUNTA(TEXTSPLIT(EU87,",")))))</f>
        <v/>
      </c>
      <c r="JH87">
        <f>AND(IF(EW87="",TRUE,IF(input_global_network_school="",FALSE,SUMPRODUCT(--ISNUMBER(SEARCH(","&amp;TRIM(TEXTSPLIT(EW87,","))&amp;",",","&amp;SUBSTITUTE(input_global_network_school," ","")&amp;",")))&gt;0)),IF(EY87="",TRUE,IF(input_global_network_school="",FALSE,SUMPRODUCT(--ISNUMBER(SEARCH(","&amp;TRIM(TEXTSPLIT(EY87,","))&amp;",",","&amp;SUBSTITUTE(input_global_network_school," ","")&amp;",")))=COUNTA(TEXTSPLIT(EY87,",")))),IF(FA87="",TRUE,IF(input_global_network_school="",TRUE,SUMPRODUCT(--ISNUMBER(SEARCH(","&amp;TRIM(TEXTSPLIT(FA87,","))&amp;",",","&amp;SUBSTITUTE(input_global_network_school," ","")&amp;",")))=0)),IF(FC87="",TRUE,IF(input_global_network_school="",FALSE,SUMPRODUCT(--ISNUMBER(SEARCH(","&amp;TRIM(TEXTSPLIT(FC87,","))&amp;",",","&amp;SUBSTITUTE(input_global_network_school," ","")&amp;",")))&gt;0)),IF(FE87="",TRUE,IF(input_global_network_school="",FALSE,SUMPRODUCT(--ISNUMBER(SEARCH(","&amp;TRIM(TEXTSPLIT(FE87,","))&amp;",",","&amp;SUBSTITUTE(input_global_network_school," ","")&amp;",")))=COUNTA(TEXTSPLIT(FE87,",")))))</f>
        <v/>
      </c>
      <c r="JI87">
        <f>AND(IF(FG87="",TRUE,IF(input_industry="",FALSE,SUMPRODUCT(--ISNUMBER(SEARCH(","&amp;TRIM(TEXTSPLIT(FG87,","))&amp;",",","&amp;SUBSTITUTE(input_industry," ","")&amp;",")))&gt;0)),IF(FI87="",TRUE,IF(input_industry="",FALSE,SUMPRODUCT(--ISNUMBER(SEARCH(","&amp;TRIM(TEXTSPLIT(FI87,","))&amp;",",","&amp;SUBSTITUTE(input_industry," ","")&amp;",")))=COUNTA(TEXTSPLIT(FI87,",")))),IF(FK87="",TRUE,IF(input_industry="",TRUE,SUMPRODUCT(--ISNUMBER(SEARCH(","&amp;TRIM(TEXTSPLIT(FK87,","))&amp;",",","&amp;SUBSTITUTE(input_industry," ","")&amp;",")))=0)),IF(FM87="",TRUE,IF(input_industry="",FALSE,SUMPRODUCT(--ISNUMBER(SEARCH(","&amp;TRIM(TEXTSPLIT(FM87,","))&amp;",",","&amp;SUBSTITUTE(input_industry," ","")&amp;",")))&gt;0)),IF(FO87="",TRUE,IF(input_industry="",FALSE,SUMPRODUCT(--ISNUMBER(SEARCH(","&amp;TRIM(TEXTSPLIT(FO87,","))&amp;",",","&amp;SUBSTITUTE(input_industry," ","")&amp;",")))=COUNTA(TEXTSPLIT(FO87,",")))))</f>
        <v/>
      </c>
      <c r="JJ87">
        <f>AND(IF(FQ87="",TRUE,IF(input_location="",FALSE,SUMPRODUCT(--ISNUMBER(SEARCH(","&amp;TRIM(TEXTSPLIT(FQ87,","))&amp;",",","&amp;SUBSTITUTE(input_location," ","")&amp;",")))&gt;0)),IF(FS87="",TRUE,IF(input_location="",FALSE,SUMPRODUCT(--ISNUMBER(SEARCH(","&amp;TRIM(TEXTSPLIT(FS87,","))&amp;",",","&amp;SUBSTITUTE(input_location," ","")&amp;",")))=COUNTA(TEXTSPLIT(FS87,",")))),IF(FU87="",TRUE,IF(input_location="",TRUE,SUMPRODUCT(--ISNUMBER(SEARCH(","&amp;TRIM(TEXTSPLIT(FU87,","))&amp;",",","&amp;SUBSTITUTE(input_location," ","")&amp;",")))=0)),IF(FW87="",TRUE,IF(input_location="",FALSE,SUMPRODUCT(--ISNUMBER(SEARCH(","&amp;TRIM(TEXTSPLIT(FW87,","))&amp;",",","&amp;SUBSTITUTE(input_location," ","")&amp;",")))&gt;0)),IF(FY87="",TRUE,IF(input_location="",FALSE,SUMPRODUCT(--ISNUMBER(SEARCH(","&amp;TRIM(TEXTSPLIT(FY87,","))&amp;",",","&amp;SUBSTITUTE(input_location," ","")&amp;",")))=COUNTA(TEXTSPLIT(FY87,",")))))</f>
        <v/>
      </c>
      <c r="JK87">
        <f>AND(IF(GA87="",TRUE,IF(input_modality="",FALSE,SUMPRODUCT(--ISNUMBER(SEARCH(","&amp;TRIM(TEXTSPLIT(GA87,","))&amp;",",","&amp;SUBSTITUTE(input_modality," ","")&amp;",")))&gt;0)),IF(GC87="",TRUE,IF(input_modality="",FALSE,SUMPRODUCT(--ISNUMBER(SEARCH(","&amp;TRIM(TEXTSPLIT(GC87,","))&amp;",",","&amp;SUBSTITUTE(input_modality," ","")&amp;",")))=COUNTA(TEXTSPLIT(GC87,",")))),IF(GE87="",TRUE,IF(input_modality="",TRUE,SUMPRODUCT(--ISNUMBER(SEARCH(","&amp;TRIM(TEXTSPLIT(GE87,","))&amp;",",","&amp;SUBSTITUTE(input_modality," ","")&amp;",")))=0)),IF(GG87="",TRUE,IF(input_modality="",FALSE,SUMPRODUCT(--ISNUMBER(SEARCH(","&amp;TRIM(TEXTSPLIT(GG87,","))&amp;",",","&amp;SUBSTITUTE(input_modality," ","")&amp;",")))&gt;0)),IF(GI87="",TRUE,IF(input_modality="",FALSE,SUMPRODUCT(--ISNUMBER(SEARCH(","&amp;TRIM(TEXTSPLIT(GI87,","))&amp;",",","&amp;SUBSTITUTE(input_modality," ","")&amp;",")))=COUNTA(TEXTSPLIT(GI87,",")))))</f>
        <v/>
      </c>
      <c r="JL87">
        <f>AND(IF(GK87="",TRUE,IF(input_organizer="",FALSE,SUMPRODUCT(--ISNUMBER(SEARCH(","&amp;TRIM(TEXTSPLIT(GK87,","))&amp;",",","&amp;SUBSTITUTE(input_organizer," ","")&amp;",")))&gt;0)),IF(GM87="",TRUE,IF(input_organizer="",FALSE,SUMPRODUCT(--ISNUMBER(SEARCH(","&amp;TRIM(TEXTSPLIT(GM87,","))&amp;",",","&amp;SUBSTITUTE(input_organizer," ","")&amp;",")))=COUNTA(TEXTSPLIT(GM87,",")))),IF(GO87="",TRUE,IF(input_organizer="",TRUE,SUMPRODUCT(--ISNUMBER(SEARCH(","&amp;TRIM(TEXTSPLIT(GO87,","))&amp;",",","&amp;SUBSTITUTE(input_organizer," ","")&amp;",")))=0)),IF(GQ87="",TRUE,IF(input_organizer="",FALSE,SUMPRODUCT(--ISNUMBER(SEARCH(","&amp;TRIM(TEXTSPLIT(GQ87,","))&amp;",",","&amp;SUBSTITUTE(input_organizer," ","")&amp;",")))&gt;0)),IF(GS87="",TRUE,IF(input_organizer="",FALSE,SUMPRODUCT(--ISNUMBER(SEARCH(","&amp;TRIM(TEXTSPLIT(GS87,","))&amp;",",","&amp;SUBSTITUTE(input_organizer," ","")&amp;",")))=COUNTA(TEXTSPLIT(GS87,",")))))</f>
        <v/>
      </c>
      <c r="JM87">
        <f>AND(IF(GU87="",TRUE,IF(input_profile_type="",FALSE,SUMPRODUCT(--ISNUMBER(SEARCH(","&amp;TRIM(TEXTSPLIT(GU87,","))&amp;",",","&amp;SUBSTITUTE(input_profile_type," ","")&amp;",")))&gt;0)),IF(GW87="",TRUE,IF(input_profile_type="",FALSE,SUMPRODUCT(--ISNUMBER(SEARCH(","&amp;TRIM(TEXTSPLIT(GW87,","))&amp;",",","&amp;SUBSTITUTE(input_profile_type," ","")&amp;",")))=COUNTA(TEXTSPLIT(GW87,",")))),IF(GY87="",TRUE,IF(input_profile_type="",TRUE,SUMPRODUCT(--ISNUMBER(SEARCH(","&amp;TRIM(TEXTSPLIT(GY87,","))&amp;",",","&amp;SUBSTITUTE(input_profile_type," ","")&amp;",")))=0)),IF(HA87="",TRUE,IF(input_profile_type="",FALSE,SUMPRODUCT(--ISNUMBER(SEARCH(","&amp;TRIM(TEXTSPLIT(HA87,","))&amp;",",","&amp;SUBSTITUTE(input_profile_type," ","")&amp;",")))&gt;0)),IF(HC87="",TRUE,IF(input_profile_type="",FALSE,SUMPRODUCT(--ISNUMBER(SEARCH(","&amp;TRIM(TEXTSPLIT(HC87,","))&amp;",",","&amp;SUBSTITUTE(input_profile_type," ","")&amp;",")))=COUNTA(TEXTSPLIT(HC87,",")))))</f>
        <v/>
      </c>
      <c r="JN87">
        <f>AND(IF(HE87="",TRUE,IF(input_program="",FALSE,SUMPRODUCT(--ISNUMBER(SEARCH(","&amp;TRIM(TEXTSPLIT(HE87,","))&amp;",",","&amp;SUBSTITUTE(input_program," ","")&amp;",")))&gt;0)),IF(HG87="",TRUE,IF(input_program="",FALSE,SUMPRODUCT(--ISNUMBER(SEARCH(","&amp;TRIM(TEXTSPLIT(HG87,","))&amp;",",","&amp;SUBSTITUTE(input_program," ","")&amp;",")))=COUNTA(TEXTSPLIT(HG87,",")))),IF(HI87="",TRUE,IF(input_program="",TRUE,SUMPRODUCT(--ISNUMBER(SEARCH(","&amp;TRIM(TEXTSPLIT(HI87,","))&amp;",",","&amp;SUBSTITUTE(input_program," ","")&amp;",")))=0)),IF(HK87="",TRUE,IF(input_program="",FALSE,SUMPRODUCT(--ISNUMBER(SEARCH(","&amp;TRIM(TEXTSPLIT(HK87,","))&amp;",",","&amp;SUBSTITUTE(input_program," ","")&amp;",")))&gt;0)),IF(HM87="",TRUE,IF(input_program="",FALSE,SUMPRODUCT(--ISNUMBER(SEARCH(","&amp;TRIM(TEXTSPLIT(HM87,","))&amp;",",","&amp;SUBSTITUTE(input_program," ","")&amp;",")))=COUNTA(TEXTSPLIT(HM87,",")))))</f>
        <v/>
      </c>
      <c r="JO87">
        <f>AND(IF(HO87="",TRUE,IF(input_story_categories="",FALSE,SUMPRODUCT(--ISNUMBER(SEARCH(","&amp;TRIM(TEXTSPLIT(HO87,","))&amp;",",","&amp;SUBSTITUTE(input_story_categories," ","")&amp;",")))&gt;0)),IF(HQ87="",TRUE,IF(input_story_categories="",FALSE,SUMPRODUCT(--ISNUMBER(SEARCH(","&amp;TRIM(TEXTSPLIT(HQ87,","))&amp;",",","&amp;SUBSTITUTE(input_story_categories," ","")&amp;",")))=COUNTA(TEXTSPLIT(HQ87,",")))),IF(HS87="",TRUE,IF(input_story_categories="",TRUE,SUMPRODUCT(--ISNUMBER(SEARCH(","&amp;TRIM(TEXTSPLIT(HS87,","))&amp;",",","&amp;SUBSTITUTE(input_story_categories," ","")&amp;",")))=0)),IF(HU87="",TRUE,IF(input_story_categories="",FALSE,SUMPRODUCT(--ISNUMBER(SEARCH(","&amp;TRIM(TEXTSPLIT(HU87,","))&amp;",",","&amp;SUBSTITUTE(input_story_categories," ","")&amp;",")))&gt;0)),IF(HW87="",TRUE,IF(input_story_categories="",FALSE,SUMPRODUCT(--ISNUMBER(SEARCH(","&amp;TRIM(TEXTSPLIT(HW87,","))&amp;",",","&amp;SUBSTITUTE(input_story_categories," ","")&amp;",")))=COUNTA(TEXTSPLIT(HW87,",")))))</f>
        <v/>
      </c>
      <c r="JP87">
        <f>AND(IF(HY87="",TRUE,IF(input_story_type="",FALSE,SUMPRODUCT(--ISNUMBER(SEARCH(","&amp;TRIM(TEXTSPLIT(HY87,","))&amp;",",","&amp;SUBSTITUTE(input_story_type," ","")&amp;",")))&gt;0)),IF(IA87="",TRUE,IF(input_story_type="",FALSE,SUMPRODUCT(--ISNUMBER(SEARCH(","&amp;TRIM(TEXTSPLIT(IA87,","))&amp;",",","&amp;SUBSTITUTE(input_story_type," ","")&amp;",")))=COUNTA(TEXTSPLIT(IA87,",")))),IF(IC87="",TRUE,IF(input_story_type="",TRUE,SUMPRODUCT(--ISNUMBER(SEARCH(","&amp;TRIM(TEXTSPLIT(IC87,","))&amp;",",","&amp;SUBSTITUTE(input_story_type," ","")&amp;",")))=0)),IF(IE87="",TRUE,IF(input_story_type="",FALSE,SUMPRODUCT(--ISNUMBER(SEARCH(","&amp;TRIM(TEXTSPLIT(IE87,","))&amp;",",","&amp;SUBSTITUTE(input_story_type," ","")&amp;",")))&gt;0)),IF(IG87="",TRUE,IF(input_story_type="",FALSE,SUMPRODUCT(--ISNUMBER(SEARCH(","&amp;TRIM(TEXTSPLIT(IG87,","))&amp;",",","&amp;SUBSTITUTE(input_story_type," ","")&amp;",")))=COUNTA(TEXTSPLIT(IG87,",")))))</f>
        <v/>
      </c>
      <c r="JQ87">
        <f>AND(IF(II87="",TRUE,IF(input_topics="",FALSE,SUMPRODUCT(--ISNUMBER(SEARCH(","&amp;TRIM(TEXTSPLIT(II87,","))&amp;",",","&amp;SUBSTITUTE(input_topics," ","")&amp;",")))&gt;0)),IF(IK87="",TRUE,IF(input_topics="",FALSE,SUMPRODUCT(--ISNUMBER(SEARCH(","&amp;TRIM(TEXTSPLIT(IK87,","))&amp;",",","&amp;SUBSTITUTE(input_topics," ","")&amp;",")))=COUNTA(TEXTSPLIT(IK87,",")))),IF(IM87="",TRUE,IF(input_topics="",TRUE,SUMPRODUCT(--ISNUMBER(SEARCH(","&amp;TRIM(TEXTSPLIT(IM87,","))&amp;",",","&amp;SUBSTITUTE(input_topics," ","")&amp;",")))=0)),IF(IO87="",TRUE,IF(input_topics="",FALSE,SUMPRODUCT(--ISNUMBER(SEARCH(","&amp;TRIM(TEXTSPLIT(IO87,","))&amp;",",","&amp;SUBSTITUTE(input_topics," ","")&amp;",")))&gt;0)),IF(IQ87="",TRUE,IF(input_topics="",FALSE,SUMPRODUCT(--ISNUMBER(SEARCH(","&amp;TRIM(TEXTSPLIT(IQ87,","))&amp;",",","&amp;SUBSTITUTE(input_topics," ","")&amp;",")))=COUNTA(TEXTSPLIT(IQ87,",")))))</f>
        <v/>
      </c>
    </row>
    <row r="88">
      <c r="A88" s="4">
        <f>IF(NOT(IS88),"Excluded",IF(AND(IT88,IU88,IV88,IW88,IX88,IY88,IZ88,JA88,JB88,JC88,JD88,JE88,JF88,JG88,JH88,JI88,JJ88,JK88,JL88,JM88,JN88,JO88,JP88,JQ88),IF(I88&gt;0,"Eligible but limited","Will appear"),"Excluded"))</f>
        <v/>
      </c>
      <c r="B88" s="4" t="inlineStr">
        <is>
          <t>Community Insights</t>
        </is>
      </c>
      <c r="C88" s="4" t="inlineStr">
        <is>
          <t>/centers/program-stakeholder-innovation-and-management/community-insights</t>
        </is>
      </c>
      <c r="D88" s="4" t="inlineStr">
        <is>
          <t>/centers/program-stakeholder-innovation-and-management/community-insights</t>
        </is>
      </c>
      <c r="E88" s="4" t="n">
        <v>1</v>
      </c>
      <c r="F88" s="4" t="inlineStr">
        <is>
          <t>story</t>
        </is>
      </c>
      <c r="G88" s="4" t="inlineStr">
        <is>
          <t>stories_list</t>
        </is>
      </c>
      <c r="H88" s="4" t="inlineStr">
        <is>
          <t>embed_blog</t>
        </is>
      </c>
      <c r="I88" s="4" t="n">
        <v>10</v>
      </c>
      <c r="J88" s="4" t="inlineStr">
        <is>
          <t>Explicit args</t>
        </is>
      </c>
      <c r="K88" s="4" t="inlineStr">
        <is>
          <t>Page placement</t>
        </is>
      </c>
      <c r="L88" s="4" t="inlineStr">
        <is>
          <t>Content type: story; Context uses Courses Context: Y-SIM Community Insights (1738); Needs any Story Type: Blog (974); Limited to 10 item(s); Source: Explicit args</t>
        </is>
      </c>
      <c r="M88" t="inlineStr"/>
      <c r="N88" t="inlineStr"/>
      <c r="O88" t="inlineStr"/>
      <c r="P88" t="inlineStr"/>
      <c r="Q88" t="inlineStr"/>
      <c r="R88" t="inlineStr"/>
      <c r="S88" t="inlineStr"/>
      <c r="T88" t="inlineStr"/>
      <c r="U88" t="inlineStr"/>
      <c r="V88" t="inlineStr"/>
      <c r="W88" t="inlineStr"/>
      <c r="X88" t="inlineStr"/>
      <c r="Y88" t="inlineStr"/>
      <c r="Z88" t="inlineStr"/>
      <c r="AA88" t="inlineStr"/>
      <c r="AB88" t="inlineStr"/>
      <c r="AC88" t="inlineStr"/>
      <c r="AD88" t="inlineStr"/>
      <c r="AE88" t="inlineStr"/>
      <c r="AF88" t="inlineStr"/>
      <c r="AG88" t="inlineStr"/>
      <c r="AH88" t="inlineStr"/>
      <c r="AI88" t="inlineStr"/>
      <c r="AJ88" t="inlineStr"/>
      <c r="AK88" t="inlineStr"/>
      <c r="AL88" t="inlineStr"/>
      <c r="AM88" t="inlineStr"/>
      <c r="AN88" t="inlineStr"/>
      <c r="AO88" t="inlineStr"/>
      <c r="AP88" t="inlineStr"/>
      <c r="AQ88" t="inlineStr"/>
      <c r="AR88" t="inlineStr"/>
      <c r="AS88" t="inlineStr"/>
      <c r="AT88" t="inlineStr"/>
      <c r="AU88" t="inlineStr"/>
      <c r="AV88" t="inlineStr"/>
      <c r="AW88" t="inlineStr"/>
      <c r="AX88" t="inlineStr"/>
      <c r="AY88" t="inlineStr"/>
      <c r="AZ88" t="inlineStr"/>
      <c r="BA88" t="inlineStr"/>
      <c r="BB88" t="inlineStr"/>
      <c r="BC88" t="inlineStr"/>
      <c r="BD88" t="inlineStr"/>
      <c r="BE88" t="inlineStr"/>
      <c r="BF88" t="inlineStr"/>
      <c r="BG88" t="inlineStr"/>
      <c r="BH88" t="inlineStr"/>
      <c r="BI88" t="inlineStr"/>
      <c r="BJ88" t="inlineStr"/>
      <c r="BK88" t="inlineStr"/>
      <c r="BL88" t="inlineStr"/>
      <c r="BM88" t="inlineStr"/>
      <c r="BN88" t="inlineStr"/>
      <c r="BO88" t="inlineStr"/>
      <c r="BP88" t="inlineStr"/>
      <c r="BQ88" t="inlineStr">
        <is>
          <t>1738</t>
        </is>
      </c>
      <c r="BR88" t="inlineStr">
        <is>
          <t>Y-SIM Community Insights (1738)</t>
        </is>
      </c>
      <c r="BS88" t="inlineStr"/>
      <c r="BT88" t="inlineStr"/>
      <c r="BU88" t="inlineStr"/>
      <c r="BV88" t="inlineStr"/>
      <c r="BW88" t="inlineStr"/>
      <c r="BX88" t="inlineStr"/>
      <c r="BY88" t="inlineStr"/>
      <c r="BZ88" t="inlineStr"/>
      <c r="CA88" t="inlineStr"/>
      <c r="CB88" t="inlineStr"/>
      <c r="CC88" t="inlineStr"/>
      <c r="CD88" t="inlineStr"/>
      <c r="CE88" t="inlineStr"/>
      <c r="CF88" t="inlineStr"/>
      <c r="CG88" t="inlineStr"/>
      <c r="CH88" t="inlineStr"/>
      <c r="CI88" t="inlineStr"/>
      <c r="CJ88" t="inlineStr"/>
      <c r="CK88" t="inlineStr"/>
      <c r="CL88" t="inlineStr"/>
      <c r="CM88" t="inlineStr"/>
      <c r="CN88" t="inlineStr"/>
      <c r="CO88" t="inlineStr"/>
      <c r="CP88" t="inlineStr"/>
      <c r="CQ88" t="inlineStr"/>
      <c r="CR88" t="inlineStr"/>
      <c r="CS88" t="inlineStr"/>
      <c r="CT88" t="inlineStr"/>
      <c r="CU88" t="inlineStr"/>
      <c r="CV88" t="inlineStr"/>
      <c r="CW88" t="inlineStr"/>
      <c r="CX88" t="inlineStr"/>
      <c r="CY88" t="inlineStr"/>
      <c r="CZ88" t="inlineStr"/>
      <c r="DA88" t="inlineStr"/>
      <c r="DB88" t="inlineStr"/>
      <c r="DC88" t="inlineStr"/>
      <c r="DD88" t="inlineStr"/>
      <c r="DE88" t="inlineStr"/>
      <c r="DF88" t="inlineStr"/>
      <c r="DG88" t="inlineStr"/>
      <c r="DH88" t="inlineStr"/>
      <c r="DI88" t="inlineStr"/>
      <c r="DJ88" t="inlineStr"/>
      <c r="DK88" t="inlineStr"/>
      <c r="DL88" t="inlineStr"/>
      <c r="DM88" t="inlineStr"/>
      <c r="DN88" t="inlineStr"/>
      <c r="DO88" t="inlineStr"/>
      <c r="DP88" t="inlineStr"/>
      <c r="DQ88" t="inlineStr"/>
      <c r="DR88" t="inlineStr"/>
      <c r="DS88" t="inlineStr"/>
      <c r="DT88" t="inlineStr"/>
      <c r="DU88" t="inlineStr"/>
      <c r="DV88" t="inlineStr"/>
      <c r="DW88" t="inlineStr"/>
      <c r="DX88" t="inlineStr"/>
      <c r="DY88" t="inlineStr"/>
      <c r="DZ88" t="inlineStr"/>
      <c r="EA88" t="inlineStr"/>
      <c r="EB88" t="inlineStr"/>
      <c r="EC88" t="inlineStr"/>
      <c r="ED88" t="inlineStr"/>
      <c r="EE88" t="inlineStr"/>
      <c r="EF88" t="inlineStr"/>
      <c r="EG88" t="inlineStr"/>
      <c r="EH88" t="inlineStr"/>
      <c r="EI88" t="inlineStr"/>
      <c r="EJ88" t="inlineStr"/>
      <c r="EK88" t="inlineStr"/>
      <c r="EL88" t="inlineStr"/>
      <c r="EM88" t="inlineStr"/>
      <c r="EN88" t="inlineStr"/>
      <c r="EO88" t="inlineStr"/>
      <c r="EP88" t="inlineStr"/>
      <c r="EQ88" t="inlineStr"/>
      <c r="ER88" t="inlineStr"/>
      <c r="ES88" t="inlineStr"/>
      <c r="ET88" t="inlineStr"/>
      <c r="EU88" t="inlineStr"/>
      <c r="EV88" t="inlineStr"/>
      <c r="EW88" t="inlineStr"/>
      <c r="EX88" t="inlineStr"/>
      <c r="EY88" t="inlineStr"/>
      <c r="EZ88" t="inlineStr"/>
      <c r="FA88" t="inlineStr"/>
      <c r="FB88" t="inlineStr"/>
      <c r="FC88" t="inlineStr"/>
      <c r="FD88" t="inlineStr"/>
      <c r="FE88" t="inlineStr"/>
      <c r="FF88" t="inlineStr"/>
      <c r="FG88" t="inlineStr"/>
      <c r="FH88" t="inlineStr"/>
      <c r="FI88" t="inlineStr"/>
      <c r="FJ88" t="inlineStr"/>
      <c r="FK88" t="inlineStr"/>
      <c r="FL88" t="inlineStr"/>
      <c r="FM88" t="inlineStr"/>
      <c r="FN88" t="inlineStr"/>
      <c r="FO88" t="inlineStr"/>
      <c r="FP88" t="inlineStr"/>
      <c r="FQ88" t="inlineStr"/>
      <c r="FR88" t="inlineStr"/>
      <c r="FS88" t="inlineStr"/>
      <c r="FT88" t="inlineStr"/>
      <c r="FU88" t="inlineStr"/>
      <c r="FV88" t="inlineStr"/>
      <c r="FW88" t="inlineStr"/>
      <c r="FX88" t="inlineStr"/>
      <c r="FY88" t="inlineStr"/>
      <c r="FZ88" t="inlineStr"/>
      <c r="GA88" t="inlineStr"/>
      <c r="GB88" t="inlineStr"/>
      <c r="GC88" t="inlineStr"/>
      <c r="GD88" t="inlineStr"/>
      <c r="GE88" t="inlineStr"/>
      <c r="GF88" t="inlineStr"/>
      <c r="GG88" t="inlineStr"/>
      <c r="GH88" t="inlineStr"/>
      <c r="GI88" t="inlineStr"/>
      <c r="GJ88" t="inlineStr"/>
      <c r="GK88" t="inlineStr"/>
      <c r="GL88" t="inlineStr"/>
      <c r="GM88" t="inlineStr"/>
      <c r="GN88" t="inlineStr"/>
      <c r="GO88" t="inlineStr"/>
      <c r="GP88" t="inlineStr"/>
      <c r="GQ88" t="inlineStr"/>
      <c r="GR88" t="inlineStr"/>
      <c r="GS88" t="inlineStr"/>
      <c r="GT88" t="inlineStr"/>
      <c r="GU88" t="inlineStr"/>
      <c r="GV88" t="inlineStr"/>
      <c r="GW88" t="inlineStr"/>
      <c r="GX88" t="inlineStr"/>
      <c r="GY88" t="inlineStr"/>
      <c r="GZ88" t="inlineStr"/>
      <c r="HA88" t="inlineStr"/>
      <c r="HB88" t="inlineStr"/>
      <c r="HC88" t="inlineStr"/>
      <c r="HD88" t="inlineStr"/>
      <c r="HE88" t="inlineStr"/>
      <c r="HF88" t="inlineStr"/>
      <c r="HG88" t="inlineStr"/>
      <c r="HH88" t="inlineStr"/>
      <c r="HI88" t="inlineStr"/>
      <c r="HJ88" t="inlineStr"/>
      <c r="HK88" t="inlineStr"/>
      <c r="HL88" t="inlineStr"/>
      <c r="HM88" t="inlineStr"/>
      <c r="HN88" t="inlineStr"/>
      <c r="HO88" t="inlineStr"/>
      <c r="HP88" t="inlineStr"/>
      <c r="HQ88" t="inlineStr"/>
      <c r="HR88" t="inlineStr"/>
      <c r="HS88" t="inlineStr"/>
      <c r="HT88" t="inlineStr"/>
      <c r="HU88" t="inlineStr"/>
      <c r="HV88" t="inlineStr"/>
      <c r="HW88" t="inlineStr"/>
      <c r="HX88" t="inlineStr"/>
      <c r="HY88" t="inlineStr">
        <is>
          <t>974</t>
        </is>
      </c>
      <c r="HZ88" t="inlineStr">
        <is>
          <t>Blog (974)</t>
        </is>
      </c>
      <c r="IA88" t="inlineStr"/>
      <c r="IB88" t="inlineStr"/>
      <c r="IC88" t="inlineStr"/>
      <c r="ID88" t="inlineStr"/>
      <c r="IE88" t="inlineStr"/>
      <c r="IF88" t="inlineStr"/>
      <c r="IG88" t="inlineStr"/>
      <c r="IH88" t="inlineStr"/>
      <c r="II88" t="inlineStr"/>
      <c r="IJ88" t="inlineStr"/>
      <c r="IK88" t="inlineStr"/>
      <c r="IL88" t="inlineStr"/>
      <c r="IM88" t="inlineStr"/>
      <c r="IN88" t="inlineStr"/>
      <c r="IO88" t="inlineStr"/>
      <c r="IP88" t="inlineStr"/>
      <c r="IQ88" t="inlineStr"/>
      <c r="IR88" t="inlineStr"/>
      <c r="IS88">
        <f>IF(input_content_type="",FALSE,ISNUMBER(SEARCH(","&amp;LOWER(input_content_type)&amp;",",","&amp;LOWER(F88)&amp;",")))</f>
        <v/>
      </c>
      <c r="IT88">
        <f>AND(IF(M88="",TRUE,IF(input_affiliations="",FALSE,SUMPRODUCT(--ISNUMBER(SEARCH(","&amp;TRIM(TEXTSPLIT(M88,","))&amp;",",","&amp;SUBSTITUTE(input_affiliations," ","")&amp;",")))&gt;0)),IF(O88="",TRUE,IF(input_affiliations="",FALSE,SUMPRODUCT(--ISNUMBER(SEARCH(","&amp;TRIM(TEXTSPLIT(O88,","))&amp;",",","&amp;SUBSTITUTE(input_affiliations," ","")&amp;",")))=COUNTA(TEXTSPLIT(O88,",")))),IF(Q88="",TRUE,IF(input_affiliations="",TRUE,SUMPRODUCT(--ISNUMBER(SEARCH(","&amp;TRIM(TEXTSPLIT(Q88,","))&amp;",",","&amp;SUBSTITUTE(input_affiliations," ","")&amp;",")))=0)),IF(S88="",TRUE,IF(input_affiliations="",FALSE,SUMPRODUCT(--ISNUMBER(SEARCH(","&amp;TRIM(TEXTSPLIT(S88,","))&amp;",",","&amp;SUBSTITUTE(input_affiliations," ","")&amp;",")))&gt;0)),IF(U88="",TRUE,IF(input_affiliations="",FALSE,SUMPRODUCT(--ISNUMBER(SEARCH(","&amp;TRIM(TEXTSPLIT(U88,","))&amp;",",","&amp;SUBSTITUTE(input_affiliations," ","")&amp;",")))=COUNTA(TEXTSPLIT(U88,",")))))</f>
        <v/>
      </c>
      <c r="IU88">
        <f>AND(IF(W88="",TRUE,IF(input_announcement_category="",FALSE,SUMPRODUCT(--ISNUMBER(SEARCH(","&amp;TRIM(TEXTSPLIT(W88,","))&amp;",",","&amp;SUBSTITUTE(input_announcement_category," ","")&amp;",")))&gt;0)),IF(Y88="",TRUE,IF(input_announcement_category="",FALSE,SUMPRODUCT(--ISNUMBER(SEARCH(","&amp;TRIM(TEXTSPLIT(Y88,","))&amp;",",","&amp;SUBSTITUTE(input_announcement_category," ","")&amp;",")))=COUNTA(TEXTSPLIT(Y88,",")))),IF(AA88="",TRUE,IF(input_announcement_category="",TRUE,SUMPRODUCT(--ISNUMBER(SEARCH(","&amp;TRIM(TEXTSPLIT(AA88,","))&amp;",",","&amp;SUBSTITUTE(input_announcement_category," ","")&amp;",")))=0)),IF(AC88="",TRUE,IF(input_announcement_category="",FALSE,SUMPRODUCT(--ISNUMBER(SEARCH(","&amp;TRIM(TEXTSPLIT(AC88,","))&amp;",",","&amp;SUBSTITUTE(input_announcement_category," ","")&amp;",")))&gt;0)),IF(AE88="",TRUE,IF(input_announcement_category="",FALSE,SUMPRODUCT(--ISNUMBER(SEARCH(","&amp;TRIM(TEXTSPLIT(AE88,","))&amp;",",","&amp;SUBSTITUTE(input_announcement_category," ","")&amp;",")))=COUNTA(TEXTSPLIT(AE88,",")))))</f>
        <v/>
      </c>
      <c r="IV88">
        <f>AND(IF(AG88="",TRUE,IF(input_area_of_focus="",FALSE,SUMPRODUCT(--ISNUMBER(SEARCH(","&amp;TRIM(TEXTSPLIT(AG88,","))&amp;",",","&amp;SUBSTITUTE(input_area_of_focus," ","")&amp;",")))&gt;0)),IF(AI88="",TRUE,IF(input_area_of_focus="",FALSE,SUMPRODUCT(--ISNUMBER(SEARCH(","&amp;TRIM(TEXTSPLIT(AI88,","))&amp;",",","&amp;SUBSTITUTE(input_area_of_focus," ","")&amp;",")))=COUNTA(TEXTSPLIT(AI88,",")))),IF(AK88="",TRUE,IF(input_area_of_focus="",TRUE,SUMPRODUCT(--ISNUMBER(SEARCH(","&amp;TRIM(TEXTSPLIT(AK88,","))&amp;",",","&amp;SUBSTITUTE(input_area_of_focus," ","")&amp;",")))=0)),IF(AM88="",TRUE,IF(input_area_of_focus="",FALSE,SUMPRODUCT(--ISNUMBER(SEARCH(","&amp;TRIM(TEXTSPLIT(AM88,","))&amp;",",","&amp;SUBSTITUTE(input_area_of_focus," ","")&amp;",")))&gt;0)),IF(AO88="",TRUE,IF(input_area_of_focus="",FALSE,SUMPRODUCT(--ISNUMBER(SEARCH(","&amp;TRIM(TEXTSPLIT(AO88,","))&amp;",",","&amp;SUBSTITUTE(input_area_of_focus," ","")&amp;",")))=COUNTA(TEXTSPLIT(AO88,",")))))</f>
        <v/>
      </c>
      <c r="IW88">
        <f>AND(IF(AQ88="",TRUE,IF(input_audience="",FALSE,SUMPRODUCT(--ISNUMBER(SEARCH(","&amp;TRIM(TEXTSPLIT(AQ88,","))&amp;",",","&amp;SUBSTITUTE(input_audience," ","")&amp;",")))&gt;0)),IF(AS88="",TRUE,IF(input_audience="",FALSE,SUMPRODUCT(--ISNUMBER(SEARCH(","&amp;TRIM(TEXTSPLIT(AS88,","))&amp;",",","&amp;SUBSTITUTE(input_audience," ","")&amp;",")))=COUNTA(TEXTSPLIT(AS88,",")))),IF(AU88="",TRUE,IF(input_audience="",TRUE,SUMPRODUCT(--ISNUMBER(SEARCH(","&amp;TRIM(TEXTSPLIT(AU88,","))&amp;",",","&amp;SUBSTITUTE(input_audience," ","")&amp;",")))=0)),IF(AW88="",TRUE,IF(input_audience="",FALSE,SUMPRODUCT(--ISNUMBER(SEARCH(","&amp;TRIM(TEXTSPLIT(AW88,","))&amp;",",","&amp;SUBSTITUTE(input_audience," ","")&amp;",")))&gt;0)),IF(AY88="",TRUE,IF(input_audience="",FALSE,SUMPRODUCT(--ISNUMBER(SEARCH(","&amp;TRIM(TEXTSPLIT(AY88,","))&amp;",",","&amp;SUBSTITUTE(input_audience," ","")&amp;",")))=COUNTA(TEXTSPLIT(AY88,",")))))</f>
        <v/>
      </c>
      <c r="IX88">
        <f>AND(IF(BA88="",TRUE,IF(input_challenge_opportunities="",FALSE,SUMPRODUCT(--ISNUMBER(SEARCH(","&amp;TRIM(TEXTSPLIT(BA88,","))&amp;",",","&amp;SUBSTITUTE(input_challenge_opportunities," ","")&amp;",")))&gt;0)),IF(BC88="",TRUE,IF(input_challenge_opportunities="",FALSE,SUMPRODUCT(--ISNUMBER(SEARCH(","&amp;TRIM(TEXTSPLIT(BC88,","))&amp;",",","&amp;SUBSTITUTE(input_challenge_opportunities," ","")&amp;",")))=COUNTA(TEXTSPLIT(BC88,",")))),IF(BE88="",TRUE,IF(input_challenge_opportunities="",TRUE,SUMPRODUCT(--ISNUMBER(SEARCH(","&amp;TRIM(TEXTSPLIT(BE88,","))&amp;",",","&amp;SUBSTITUTE(input_challenge_opportunities," ","")&amp;",")))=0)),IF(BG88="",TRUE,IF(input_challenge_opportunities="",FALSE,SUMPRODUCT(--ISNUMBER(SEARCH(","&amp;TRIM(TEXTSPLIT(BG88,","))&amp;",",","&amp;SUBSTITUTE(input_challenge_opportunities," ","")&amp;",")))&gt;0)),IF(BI88="",TRUE,IF(input_challenge_opportunities="",FALSE,SUMPRODUCT(--ISNUMBER(SEARCH(","&amp;TRIM(TEXTSPLIT(BI88,","))&amp;",",","&amp;SUBSTITUTE(input_challenge_opportunities," ","")&amp;",")))=COUNTA(TEXTSPLIT(BI88,",")))))</f>
        <v/>
      </c>
      <c r="IY88">
        <f>AND(IF(BK88="",TRUE,IF(input_context="",FALSE,SUMPRODUCT(--ISNUMBER(SEARCH(","&amp;TRIM(TEXTSPLIT(BK88,","))&amp;",",","&amp;SUBSTITUTE(input_context," ","")&amp;",")))&gt;0)),IF(BM88="",TRUE,IF(input_context="",FALSE,SUMPRODUCT(--ISNUMBER(SEARCH(","&amp;TRIM(TEXTSPLIT(BM88,","))&amp;",",","&amp;SUBSTITUTE(input_context," ","")&amp;",")))=COUNTA(TEXTSPLIT(BM88,",")))),IF(BO88="",TRUE,IF(input_context="",TRUE,SUMPRODUCT(--ISNUMBER(SEARCH(","&amp;TRIM(TEXTSPLIT(BO88,","))&amp;",",","&amp;SUBSTITUTE(input_context," ","")&amp;",")))=0)),IF(BQ88="",TRUE,IF(input_context="",FALSE,SUMPRODUCT(--ISNUMBER(SEARCH(","&amp;TRIM(TEXTSPLIT(BQ88,","))&amp;",",","&amp;SUBSTITUTE(input_context," ","")&amp;",")))&gt;0)),IF(BS88="",TRUE,IF(input_context="",FALSE,SUMPRODUCT(--ISNUMBER(SEARCH(","&amp;TRIM(TEXTSPLIT(BS88,","))&amp;",",","&amp;SUBSTITUTE(input_context," ","")&amp;",")))=COUNTA(TEXTSPLIT(BS88,",")))))</f>
        <v/>
      </c>
      <c r="IZ88">
        <f>AND(IF(BU88="",TRUE,IF(input_enews_announcement_type="",FALSE,SUMPRODUCT(--ISNUMBER(SEARCH(","&amp;TRIM(TEXTSPLIT(BU88,","))&amp;",",","&amp;SUBSTITUTE(input_enews_announcement_type," ","")&amp;",")))&gt;0)),IF(BW88="",TRUE,IF(input_enews_announcement_type="",FALSE,SUMPRODUCT(--ISNUMBER(SEARCH(","&amp;TRIM(TEXTSPLIT(BW88,","))&amp;",",","&amp;SUBSTITUTE(input_enews_announcement_type," ","")&amp;",")))=COUNTA(TEXTSPLIT(BW88,",")))),IF(BY88="",TRUE,IF(input_enews_announcement_type="",TRUE,SUMPRODUCT(--ISNUMBER(SEARCH(","&amp;TRIM(TEXTSPLIT(BY88,","))&amp;",",","&amp;SUBSTITUTE(input_enews_announcement_type," ","")&amp;",")))=0)),IF(CA88="",TRUE,IF(input_enews_announcement_type="",FALSE,SUMPRODUCT(--ISNUMBER(SEARCH(","&amp;TRIM(TEXTSPLIT(CA88,","))&amp;",",","&amp;SUBSTITUTE(input_enews_announcement_type," ","")&amp;",")))&gt;0)),IF(CC88="",TRUE,IF(input_enews_announcement_type="",FALSE,SUMPRODUCT(--ISNUMBER(SEARCH(","&amp;TRIM(TEXTSPLIT(CC88,","))&amp;",",","&amp;SUBSTITUTE(input_enews_announcement_type," ","")&amp;",")))=COUNTA(TEXTSPLIT(CC88,",")))))</f>
        <v/>
      </c>
      <c r="JA88">
        <f>AND(IF(CE88="",TRUE,IF(input_enews_audience="",FALSE,SUMPRODUCT(--ISNUMBER(SEARCH(","&amp;TRIM(TEXTSPLIT(CE88,","))&amp;",",","&amp;SUBSTITUTE(input_enews_audience," ","")&amp;",")))&gt;0)),IF(CG88="",TRUE,IF(input_enews_audience="",FALSE,SUMPRODUCT(--ISNUMBER(SEARCH(","&amp;TRIM(TEXTSPLIT(CG88,","))&amp;",",","&amp;SUBSTITUTE(input_enews_audience," ","")&amp;",")))=COUNTA(TEXTSPLIT(CG88,",")))),IF(CI88="",TRUE,IF(input_enews_audience="",TRUE,SUMPRODUCT(--ISNUMBER(SEARCH(","&amp;TRIM(TEXTSPLIT(CI88,","))&amp;",",","&amp;SUBSTITUTE(input_enews_audience," ","")&amp;",")))=0)),IF(CK88="",TRUE,IF(input_enews_audience="",FALSE,SUMPRODUCT(--ISNUMBER(SEARCH(","&amp;TRIM(TEXTSPLIT(CK88,","))&amp;",",","&amp;SUBSTITUTE(input_enews_audience," ","")&amp;",")))&gt;0)),IF(CM88="",TRUE,IF(input_enews_audience="",FALSE,SUMPRODUCT(--ISNUMBER(SEARCH(","&amp;TRIM(TEXTSPLIT(CM88,","))&amp;",",","&amp;SUBSTITUTE(input_enews_audience," ","")&amp;",")))=COUNTA(TEXTSPLIT(CM88,",")))))</f>
        <v/>
      </c>
      <c r="JB88">
        <f>AND(IF(CO88="",TRUE,IF(input_event_location="",FALSE,SUMPRODUCT(--ISNUMBER(SEARCH(","&amp;TRIM(TEXTSPLIT(CO88,","))&amp;",",","&amp;SUBSTITUTE(input_event_location," ","")&amp;",")))&gt;0)),IF(CQ88="",TRUE,IF(input_event_location="",FALSE,SUMPRODUCT(--ISNUMBER(SEARCH(","&amp;TRIM(TEXTSPLIT(CQ88,","))&amp;",",","&amp;SUBSTITUTE(input_event_location," ","")&amp;",")))=COUNTA(TEXTSPLIT(CQ88,",")))),IF(CS88="",TRUE,IF(input_event_location="",TRUE,SUMPRODUCT(--ISNUMBER(SEARCH(","&amp;TRIM(TEXTSPLIT(CS88,","))&amp;",",","&amp;SUBSTITUTE(input_event_location," ","")&amp;",")))=0)),IF(CU88="",TRUE,IF(input_event_location="",FALSE,SUMPRODUCT(--ISNUMBER(SEARCH(","&amp;TRIM(TEXTSPLIT(CU88,","))&amp;",",","&amp;SUBSTITUTE(input_event_location," ","")&amp;",")))&gt;0)),IF(CW88="",TRUE,IF(input_event_location="",FALSE,SUMPRODUCT(--ISNUMBER(SEARCH(","&amp;TRIM(TEXTSPLIT(CW88,","))&amp;",",","&amp;SUBSTITUTE(input_event_location," ","")&amp;",")))=COUNTA(TEXTSPLIT(CW88,",")))))</f>
        <v/>
      </c>
      <c r="JC88">
        <f>AND(IF(CY88="",TRUE,IF(input_event_type="",FALSE,SUMPRODUCT(--ISNUMBER(SEARCH(","&amp;TRIM(TEXTSPLIT(CY88,","))&amp;",",","&amp;SUBSTITUTE(input_event_type," ","")&amp;",")))&gt;0)),IF(DA88="",TRUE,IF(input_event_type="",FALSE,SUMPRODUCT(--ISNUMBER(SEARCH(","&amp;TRIM(TEXTSPLIT(DA88,","))&amp;",",","&amp;SUBSTITUTE(input_event_type," ","")&amp;",")))=COUNTA(TEXTSPLIT(DA88,",")))),IF(DC88="",TRUE,IF(input_event_type="",TRUE,SUMPRODUCT(--ISNUMBER(SEARCH(","&amp;TRIM(TEXTSPLIT(DC88,","))&amp;",",","&amp;SUBSTITUTE(input_event_type," ","")&amp;",")))=0)),IF(DE88="",TRUE,IF(input_event_type="",FALSE,SUMPRODUCT(--ISNUMBER(SEARCH(","&amp;TRIM(TEXTSPLIT(DE88,","))&amp;",",","&amp;SUBSTITUTE(input_event_type," ","")&amp;",")))&gt;0)),IF(DG88="",TRUE,IF(input_event_type="",FALSE,SUMPRODUCT(--ISNUMBER(SEARCH(","&amp;TRIM(TEXTSPLIT(DG88,","))&amp;",",","&amp;SUBSTITUTE(input_event_type," ","")&amp;",")))=COUNTA(TEXTSPLIT(DG88,",")))))</f>
        <v/>
      </c>
      <c r="JD88">
        <f>AND(IF(DI88="",TRUE,IF(input_executive_education_focus="",FALSE,SUMPRODUCT(--ISNUMBER(SEARCH(","&amp;TRIM(TEXTSPLIT(DI88,","))&amp;",",","&amp;SUBSTITUTE(input_executive_education_focus," ","")&amp;",")))&gt;0)),IF(DK88="",TRUE,IF(input_executive_education_focus="",FALSE,SUMPRODUCT(--ISNUMBER(SEARCH(","&amp;TRIM(TEXTSPLIT(DK88,","))&amp;",",","&amp;SUBSTITUTE(input_executive_education_focus," ","")&amp;",")))=COUNTA(TEXTSPLIT(DK88,",")))),IF(DM88="",TRUE,IF(input_executive_education_focus="",TRUE,SUMPRODUCT(--ISNUMBER(SEARCH(","&amp;TRIM(TEXTSPLIT(DM88,","))&amp;",",","&amp;SUBSTITUTE(input_executive_education_focus," ","")&amp;",")))=0)),IF(DO88="",TRUE,IF(input_executive_education_focus="",FALSE,SUMPRODUCT(--ISNUMBER(SEARCH(","&amp;TRIM(TEXTSPLIT(DO88,","))&amp;",",","&amp;SUBSTITUTE(input_executive_education_focus," ","")&amp;",")))&gt;0)),IF(DQ88="",TRUE,IF(input_executive_education_focus="",FALSE,SUMPRODUCT(--ISNUMBER(SEARCH(","&amp;TRIM(TEXTSPLIT(DQ88,","))&amp;",",","&amp;SUBSTITUTE(input_executive_education_focus," ","")&amp;",")))=COUNTA(TEXTSPLIT(DQ88,",")))))</f>
        <v/>
      </c>
      <c r="JE88">
        <f>AND(IF(DS88="",TRUE,IF(input_faculty_category="",FALSE,SUMPRODUCT(--ISNUMBER(SEARCH(","&amp;TRIM(TEXTSPLIT(DS88,","))&amp;",",","&amp;SUBSTITUTE(input_faculty_category," ","")&amp;",")))&gt;0)),IF(DU88="",TRUE,IF(input_faculty_category="",FALSE,SUMPRODUCT(--ISNUMBER(SEARCH(","&amp;TRIM(TEXTSPLIT(DU88,","))&amp;",",","&amp;SUBSTITUTE(input_faculty_category," ","")&amp;",")))=COUNTA(TEXTSPLIT(DU88,",")))),IF(DW88="",TRUE,IF(input_faculty_category="",TRUE,SUMPRODUCT(--ISNUMBER(SEARCH(","&amp;TRIM(TEXTSPLIT(DW88,","))&amp;",",","&amp;SUBSTITUTE(input_faculty_category," ","")&amp;",")))=0)),IF(DY88="",TRUE,IF(input_faculty_category="",FALSE,SUMPRODUCT(--ISNUMBER(SEARCH(","&amp;TRIM(TEXTSPLIT(DY88,","))&amp;",",","&amp;SUBSTITUTE(input_faculty_category," ","")&amp;",")))&gt;0)),IF(EA88="",TRUE,IF(input_faculty_category="",FALSE,SUMPRODUCT(--ISNUMBER(SEARCH(","&amp;TRIM(TEXTSPLIT(EA88,","))&amp;",",","&amp;SUBSTITUTE(input_faculty_category," ","")&amp;",")))=COUNTA(TEXTSPLIT(EA88,",")))))</f>
        <v/>
      </c>
      <c r="JF88">
        <f>AND(IF(EC88="",TRUE,IF(input_faculty_discipline="",FALSE,SUMPRODUCT(--ISNUMBER(SEARCH(","&amp;TRIM(TEXTSPLIT(EC88,","))&amp;",",","&amp;SUBSTITUTE(input_faculty_discipline," ","")&amp;",")))&gt;0)),IF(EE88="",TRUE,IF(input_faculty_discipline="",FALSE,SUMPRODUCT(--ISNUMBER(SEARCH(","&amp;TRIM(TEXTSPLIT(EE88,","))&amp;",",","&amp;SUBSTITUTE(input_faculty_discipline," ","")&amp;",")))=COUNTA(TEXTSPLIT(EE88,",")))),IF(EG88="",TRUE,IF(input_faculty_discipline="",TRUE,SUMPRODUCT(--ISNUMBER(SEARCH(","&amp;TRIM(TEXTSPLIT(EG88,","))&amp;",",","&amp;SUBSTITUTE(input_faculty_discipline," ","")&amp;",")))=0)),IF(EI88="",TRUE,IF(input_faculty_discipline="",FALSE,SUMPRODUCT(--ISNUMBER(SEARCH(","&amp;TRIM(TEXTSPLIT(EI88,","))&amp;",",","&amp;SUBSTITUTE(input_faculty_discipline," ","")&amp;",")))&gt;0)),IF(EK88="",TRUE,IF(input_faculty_discipline="",FALSE,SUMPRODUCT(--ISNUMBER(SEARCH(","&amp;TRIM(TEXTSPLIT(EK88,","))&amp;",",","&amp;SUBSTITUTE(input_faculty_discipline," ","")&amp;",")))=COUNTA(TEXTSPLIT(EK88,",")))))</f>
        <v/>
      </c>
      <c r="JG88">
        <f>AND(IF(EM88="",TRUE,IF(input_faculty_expertise="",FALSE,SUMPRODUCT(--ISNUMBER(SEARCH(","&amp;TRIM(TEXTSPLIT(EM88,","))&amp;",",","&amp;SUBSTITUTE(input_faculty_expertise," ","")&amp;",")))&gt;0)),IF(EO88="",TRUE,IF(input_faculty_expertise="",FALSE,SUMPRODUCT(--ISNUMBER(SEARCH(","&amp;TRIM(TEXTSPLIT(EO88,","))&amp;",",","&amp;SUBSTITUTE(input_faculty_expertise," ","")&amp;",")))=COUNTA(TEXTSPLIT(EO88,",")))),IF(EQ88="",TRUE,IF(input_faculty_expertise="",TRUE,SUMPRODUCT(--ISNUMBER(SEARCH(","&amp;TRIM(TEXTSPLIT(EQ88,","))&amp;",",","&amp;SUBSTITUTE(input_faculty_expertise," ","")&amp;",")))=0)),IF(ES88="",TRUE,IF(input_faculty_expertise="",FALSE,SUMPRODUCT(--ISNUMBER(SEARCH(","&amp;TRIM(TEXTSPLIT(ES88,","))&amp;",",","&amp;SUBSTITUTE(input_faculty_expertise," ","")&amp;",")))&gt;0)),IF(EU88="",TRUE,IF(input_faculty_expertise="",FALSE,SUMPRODUCT(--ISNUMBER(SEARCH(","&amp;TRIM(TEXTSPLIT(EU88,","))&amp;",",","&amp;SUBSTITUTE(input_faculty_expertise," ","")&amp;",")))=COUNTA(TEXTSPLIT(EU88,",")))))</f>
        <v/>
      </c>
      <c r="JH88">
        <f>AND(IF(EW88="",TRUE,IF(input_global_network_school="",FALSE,SUMPRODUCT(--ISNUMBER(SEARCH(","&amp;TRIM(TEXTSPLIT(EW88,","))&amp;",",","&amp;SUBSTITUTE(input_global_network_school," ","")&amp;",")))&gt;0)),IF(EY88="",TRUE,IF(input_global_network_school="",FALSE,SUMPRODUCT(--ISNUMBER(SEARCH(","&amp;TRIM(TEXTSPLIT(EY88,","))&amp;",",","&amp;SUBSTITUTE(input_global_network_school," ","")&amp;",")))=COUNTA(TEXTSPLIT(EY88,",")))),IF(FA88="",TRUE,IF(input_global_network_school="",TRUE,SUMPRODUCT(--ISNUMBER(SEARCH(","&amp;TRIM(TEXTSPLIT(FA88,","))&amp;",",","&amp;SUBSTITUTE(input_global_network_school," ","")&amp;",")))=0)),IF(FC88="",TRUE,IF(input_global_network_school="",FALSE,SUMPRODUCT(--ISNUMBER(SEARCH(","&amp;TRIM(TEXTSPLIT(FC88,","))&amp;",",","&amp;SUBSTITUTE(input_global_network_school," ","")&amp;",")))&gt;0)),IF(FE88="",TRUE,IF(input_global_network_school="",FALSE,SUMPRODUCT(--ISNUMBER(SEARCH(","&amp;TRIM(TEXTSPLIT(FE88,","))&amp;",",","&amp;SUBSTITUTE(input_global_network_school," ","")&amp;",")))=COUNTA(TEXTSPLIT(FE88,",")))))</f>
        <v/>
      </c>
      <c r="JI88">
        <f>AND(IF(FG88="",TRUE,IF(input_industry="",FALSE,SUMPRODUCT(--ISNUMBER(SEARCH(","&amp;TRIM(TEXTSPLIT(FG88,","))&amp;",",","&amp;SUBSTITUTE(input_industry," ","")&amp;",")))&gt;0)),IF(FI88="",TRUE,IF(input_industry="",FALSE,SUMPRODUCT(--ISNUMBER(SEARCH(","&amp;TRIM(TEXTSPLIT(FI88,","))&amp;",",","&amp;SUBSTITUTE(input_industry," ","")&amp;",")))=COUNTA(TEXTSPLIT(FI88,",")))),IF(FK88="",TRUE,IF(input_industry="",TRUE,SUMPRODUCT(--ISNUMBER(SEARCH(","&amp;TRIM(TEXTSPLIT(FK88,","))&amp;",",","&amp;SUBSTITUTE(input_industry," ","")&amp;",")))=0)),IF(FM88="",TRUE,IF(input_industry="",FALSE,SUMPRODUCT(--ISNUMBER(SEARCH(","&amp;TRIM(TEXTSPLIT(FM88,","))&amp;",",","&amp;SUBSTITUTE(input_industry," ","")&amp;",")))&gt;0)),IF(FO88="",TRUE,IF(input_industry="",FALSE,SUMPRODUCT(--ISNUMBER(SEARCH(","&amp;TRIM(TEXTSPLIT(FO88,","))&amp;",",","&amp;SUBSTITUTE(input_industry," ","")&amp;",")))=COUNTA(TEXTSPLIT(FO88,",")))))</f>
        <v/>
      </c>
      <c r="JJ88">
        <f>AND(IF(FQ88="",TRUE,IF(input_location="",FALSE,SUMPRODUCT(--ISNUMBER(SEARCH(","&amp;TRIM(TEXTSPLIT(FQ88,","))&amp;",",","&amp;SUBSTITUTE(input_location," ","")&amp;",")))&gt;0)),IF(FS88="",TRUE,IF(input_location="",FALSE,SUMPRODUCT(--ISNUMBER(SEARCH(","&amp;TRIM(TEXTSPLIT(FS88,","))&amp;",",","&amp;SUBSTITUTE(input_location," ","")&amp;",")))=COUNTA(TEXTSPLIT(FS88,",")))),IF(FU88="",TRUE,IF(input_location="",TRUE,SUMPRODUCT(--ISNUMBER(SEARCH(","&amp;TRIM(TEXTSPLIT(FU88,","))&amp;",",","&amp;SUBSTITUTE(input_location," ","")&amp;",")))=0)),IF(FW88="",TRUE,IF(input_location="",FALSE,SUMPRODUCT(--ISNUMBER(SEARCH(","&amp;TRIM(TEXTSPLIT(FW88,","))&amp;",",","&amp;SUBSTITUTE(input_location," ","")&amp;",")))&gt;0)),IF(FY88="",TRUE,IF(input_location="",FALSE,SUMPRODUCT(--ISNUMBER(SEARCH(","&amp;TRIM(TEXTSPLIT(FY88,","))&amp;",",","&amp;SUBSTITUTE(input_location," ","")&amp;",")))=COUNTA(TEXTSPLIT(FY88,",")))))</f>
        <v/>
      </c>
      <c r="JK88">
        <f>AND(IF(GA88="",TRUE,IF(input_modality="",FALSE,SUMPRODUCT(--ISNUMBER(SEARCH(","&amp;TRIM(TEXTSPLIT(GA88,","))&amp;",",","&amp;SUBSTITUTE(input_modality," ","")&amp;",")))&gt;0)),IF(GC88="",TRUE,IF(input_modality="",FALSE,SUMPRODUCT(--ISNUMBER(SEARCH(","&amp;TRIM(TEXTSPLIT(GC88,","))&amp;",",","&amp;SUBSTITUTE(input_modality," ","")&amp;",")))=COUNTA(TEXTSPLIT(GC88,",")))),IF(GE88="",TRUE,IF(input_modality="",TRUE,SUMPRODUCT(--ISNUMBER(SEARCH(","&amp;TRIM(TEXTSPLIT(GE88,","))&amp;",",","&amp;SUBSTITUTE(input_modality," ","")&amp;",")))=0)),IF(GG88="",TRUE,IF(input_modality="",FALSE,SUMPRODUCT(--ISNUMBER(SEARCH(","&amp;TRIM(TEXTSPLIT(GG88,","))&amp;",",","&amp;SUBSTITUTE(input_modality," ","")&amp;",")))&gt;0)),IF(GI88="",TRUE,IF(input_modality="",FALSE,SUMPRODUCT(--ISNUMBER(SEARCH(","&amp;TRIM(TEXTSPLIT(GI88,","))&amp;",",","&amp;SUBSTITUTE(input_modality," ","")&amp;",")))=COUNTA(TEXTSPLIT(GI88,",")))))</f>
        <v/>
      </c>
      <c r="JL88">
        <f>AND(IF(GK88="",TRUE,IF(input_organizer="",FALSE,SUMPRODUCT(--ISNUMBER(SEARCH(","&amp;TRIM(TEXTSPLIT(GK88,","))&amp;",",","&amp;SUBSTITUTE(input_organizer," ","")&amp;",")))&gt;0)),IF(GM88="",TRUE,IF(input_organizer="",FALSE,SUMPRODUCT(--ISNUMBER(SEARCH(","&amp;TRIM(TEXTSPLIT(GM88,","))&amp;",",","&amp;SUBSTITUTE(input_organizer," ","")&amp;",")))=COUNTA(TEXTSPLIT(GM88,",")))),IF(GO88="",TRUE,IF(input_organizer="",TRUE,SUMPRODUCT(--ISNUMBER(SEARCH(","&amp;TRIM(TEXTSPLIT(GO88,","))&amp;",",","&amp;SUBSTITUTE(input_organizer," ","")&amp;",")))=0)),IF(GQ88="",TRUE,IF(input_organizer="",FALSE,SUMPRODUCT(--ISNUMBER(SEARCH(","&amp;TRIM(TEXTSPLIT(GQ88,","))&amp;",",","&amp;SUBSTITUTE(input_organizer," ","")&amp;",")))&gt;0)),IF(GS88="",TRUE,IF(input_organizer="",FALSE,SUMPRODUCT(--ISNUMBER(SEARCH(","&amp;TRIM(TEXTSPLIT(GS88,","))&amp;",",","&amp;SUBSTITUTE(input_organizer," ","")&amp;",")))=COUNTA(TEXTSPLIT(GS88,",")))))</f>
        <v/>
      </c>
      <c r="JM88">
        <f>AND(IF(GU88="",TRUE,IF(input_profile_type="",FALSE,SUMPRODUCT(--ISNUMBER(SEARCH(","&amp;TRIM(TEXTSPLIT(GU88,","))&amp;",",","&amp;SUBSTITUTE(input_profile_type," ","")&amp;",")))&gt;0)),IF(GW88="",TRUE,IF(input_profile_type="",FALSE,SUMPRODUCT(--ISNUMBER(SEARCH(","&amp;TRIM(TEXTSPLIT(GW88,","))&amp;",",","&amp;SUBSTITUTE(input_profile_type," ","")&amp;",")))=COUNTA(TEXTSPLIT(GW88,",")))),IF(GY88="",TRUE,IF(input_profile_type="",TRUE,SUMPRODUCT(--ISNUMBER(SEARCH(","&amp;TRIM(TEXTSPLIT(GY88,","))&amp;",",","&amp;SUBSTITUTE(input_profile_type," ","")&amp;",")))=0)),IF(HA88="",TRUE,IF(input_profile_type="",FALSE,SUMPRODUCT(--ISNUMBER(SEARCH(","&amp;TRIM(TEXTSPLIT(HA88,","))&amp;",",","&amp;SUBSTITUTE(input_profile_type," ","")&amp;",")))&gt;0)),IF(HC88="",TRUE,IF(input_profile_type="",FALSE,SUMPRODUCT(--ISNUMBER(SEARCH(","&amp;TRIM(TEXTSPLIT(HC88,","))&amp;",",","&amp;SUBSTITUTE(input_profile_type," ","")&amp;",")))=COUNTA(TEXTSPLIT(HC88,",")))))</f>
        <v/>
      </c>
      <c r="JN88">
        <f>AND(IF(HE88="",TRUE,IF(input_program="",FALSE,SUMPRODUCT(--ISNUMBER(SEARCH(","&amp;TRIM(TEXTSPLIT(HE88,","))&amp;",",","&amp;SUBSTITUTE(input_program," ","")&amp;",")))&gt;0)),IF(HG88="",TRUE,IF(input_program="",FALSE,SUMPRODUCT(--ISNUMBER(SEARCH(","&amp;TRIM(TEXTSPLIT(HG88,","))&amp;",",","&amp;SUBSTITUTE(input_program," ","")&amp;",")))=COUNTA(TEXTSPLIT(HG88,",")))),IF(HI88="",TRUE,IF(input_program="",TRUE,SUMPRODUCT(--ISNUMBER(SEARCH(","&amp;TRIM(TEXTSPLIT(HI88,","))&amp;",",","&amp;SUBSTITUTE(input_program," ","")&amp;",")))=0)),IF(HK88="",TRUE,IF(input_program="",FALSE,SUMPRODUCT(--ISNUMBER(SEARCH(","&amp;TRIM(TEXTSPLIT(HK88,","))&amp;",",","&amp;SUBSTITUTE(input_program," ","")&amp;",")))&gt;0)),IF(HM88="",TRUE,IF(input_program="",FALSE,SUMPRODUCT(--ISNUMBER(SEARCH(","&amp;TRIM(TEXTSPLIT(HM88,","))&amp;",",","&amp;SUBSTITUTE(input_program," ","")&amp;",")))=COUNTA(TEXTSPLIT(HM88,",")))))</f>
        <v/>
      </c>
      <c r="JO88">
        <f>AND(IF(HO88="",TRUE,IF(input_story_categories="",FALSE,SUMPRODUCT(--ISNUMBER(SEARCH(","&amp;TRIM(TEXTSPLIT(HO88,","))&amp;",",","&amp;SUBSTITUTE(input_story_categories," ","")&amp;",")))&gt;0)),IF(HQ88="",TRUE,IF(input_story_categories="",FALSE,SUMPRODUCT(--ISNUMBER(SEARCH(","&amp;TRIM(TEXTSPLIT(HQ88,","))&amp;",",","&amp;SUBSTITUTE(input_story_categories," ","")&amp;",")))=COUNTA(TEXTSPLIT(HQ88,",")))),IF(HS88="",TRUE,IF(input_story_categories="",TRUE,SUMPRODUCT(--ISNUMBER(SEARCH(","&amp;TRIM(TEXTSPLIT(HS88,","))&amp;",",","&amp;SUBSTITUTE(input_story_categories," ","")&amp;",")))=0)),IF(HU88="",TRUE,IF(input_story_categories="",FALSE,SUMPRODUCT(--ISNUMBER(SEARCH(","&amp;TRIM(TEXTSPLIT(HU88,","))&amp;",",","&amp;SUBSTITUTE(input_story_categories," ","")&amp;",")))&gt;0)),IF(HW88="",TRUE,IF(input_story_categories="",FALSE,SUMPRODUCT(--ISNUMBER(SEARCH(","&amp;TRIM(TEXTSPLIT(HW88,","))&amp;",",","&amp;SUBSTITUTE(input_story_categories," ","")&amp;",")))=COUNTA(TEXTSPLIT(HW88,",")))))</f>
        <v/>
      </c>
      <c r="JP88">
        <f>AND(IF(HY88="",TRUE,IF(input_story_type="",FALSE,SUMPRODUCT(--ISNUMBER(SEARCH(","&amp;TRIM(TEXTSPLIT(HY88,","))&amp;",",","&amp;SUBSTITUTE(input_story_type," ","")&amp;",")))&gt;0)),IF(IA88="",TRUE,IF(input_story_type="",FALSE,SUMPRODUCT(--ISNUMBER(SEARCH(","&amp;TRIM(TEXTSPLIT(IA88,","))&amp;",",","&amp;SUBSTITUTE(input_story_type," ","")&amp;",")))=COUNTA(TEXTSPLIT(IA88,",")))),IF(IC88="",TRUE,IF(input_story_type="",TRUE,SUMPRODUCT(--ISNUMBER(SEARCH(","&amp;TRIM(TEXTSPLIT(IC88,","))&amp;",",","&amp;SUBSTITUTE(input_story_type," ","")&amp;",")))=0)),IF(IE88="",TRUE,IF(input_story_type="",FALSE,SUMPRODUCT(--ISNUMBER(SEARCH(","&amp;TRIM(TEXTSPLIT(IE88,","))&amp;",",","&amp;SUBSTITUTE(input_story_type," ","")&amp;",")))&gt;0)),IF(IG88="",TRUE,IF(input_story_type="",FALSE,SUMPRODUCT(--ISNUMBER(SEARCH(","&amp;TRIM(TEXTSPLIT(IG88,","))&amp;",",","&amp;SUBSTITUTE(input_story_type," ","")&amp;",")))=COUNTA(TEXTSPLIT(IG88,",")))))</f>
        <v/>
      </c>
      <c r="JQ88">
        <f>AND(IF(II88="",TRUE,IF(input_topics="",FALSE,SUMPRODUCT(--ISNUMBER(SEARCH(","&amp;TRIM(TEXTSPLIT(II88,","))&amp;",",","&amp;SUBSTITUTE(input_topics," ","")&amp;",")))&gt;0)),IF(IK88="",TRUE,IF(input_topics="",FALSE,SUMPRODUCT(--ISNUMBER(SEARCH(","&amp;TRIM(TEXTSPLIT(IK88,","))&amp;",",","&amp;SUBSTITUTE(input_topics," ","")&amp;",")))=COUNTA(TEXTSPLIT(IK88,",")))),IF(IM88="",TRUE,IF(input_topics="",TRUE,SUMPRODUCT(--ISNUMBER(SEARCH(","&amp;TRIM(TEXTSPLIT(IM88,","))&amp;",",","&amp;SUBSTITUTE(input_topics," ","")&amp;",")))=0)),IF(IO88="",TRUE,IF(input_topics="",FALSE,SUMPRODUCT(--ISNUMBER(SEARCH(","&amp;TRIM(TEXTSPLIT(IO88,","))&amp;",",","&amp;SUBSTITUTE(input_topics," ","")&amp;",")))&gt;0)),IF(IQ88="",TRUE,IF(input_topics="",FALSE,SUMPRODUCT(--ISNUMBER(SEARCH(","&amp;TRIM(TEXTSPLIT(IQ88,","))&amp;",",","&amp;SUBSTITUTE(input_topics," ","")&amp;",")))=COUNTA(TEXTSPLIT(IQ88,",")))))</f>
        <v/>
      </c>
    </row>
    <row r="89">
      <c r="A89" s="4">
        <f>IF(NOT(IS89),"Excluded",IF(AND(IT89,IU89,IV89,IW89,IX89,IY89,IZ89,JA89,JB89,JC89,JD89,JE89,JF89,JG89,JH89,JI89,JJ89,JK89,JL89,JM89,JN89,JO89,JP89,JQ89),IF(I89&gt;0,"Eligible but limited","Will appear"),"Excluded"))</f>
        <v/>
      </c>
      <c r="B89" s="4" t="inlineStr">
        <is>
          <t>Community Profiles</t>
        </is>
      </c>
      <c r="C89" s="4" t="inlineStr">
        <is>
          <t>/programs/emba/your-yale-experience/community-profiles</t>
        </is>
      </c>
      <c r="D89" s="4" t="inlineStr">
        <is>
          <t>/programs/emba/your-yale-experience/community-profiles</t>
        </is>
      </c>
      <c r="E89" s="4" t="n">
        <v>1</v>
      </c>
      <c r="F89" s="4" t="inlineStr">
        <is>
          <t>profile</t>
        </is>
      </c>
      <c r="G89" s="4" t="inlineStr">
        <is>
          <t>profiles_grid</t>
        </is>
      </c>
      <c r="H89" s="4" t="inlineStr">
        <is>
          <t>embed_6</t>
        </is>
      </c>
      <c r="I89" s="4" t="n">
        <v>9</v>
      </c>
      <c r="J89" s="4" t="inlineStr">
        <is>
          <t>Explicit args</t>
        </is>
      </c>
      <c r="K89" s="4" t="inlineStr">
        <is>
          <t>Page placement</t>
        </is>
      </c>
      <c r="L89" s="4" t="inlineStr">
        <is>
          <t>Content type: profile; Excludes Profile Type: Ambassador (1552); Context uses Program: MBA for Executives (80); Limited to 9 item(s); Source: Explicit args</t>
        </is>
      </c>
      <c r="M89" t="inlineStr"/>
      <c r="N89" t="inlineStr"/>
      <c r="O89" t="inlineStr"/>
      <c r="P89" t="inlineStr"/>
      <c r="Q89" t="inlineStr"/>
      <c r="R89" t="inlineStr"/>
      <c r="S89" t="inlineStr"/>
      <c r="T89" t="inlineStr"/>
      <c r="U89" t="inlineStr"/>
      <c r="V89" t="inlineStr"/>
      <c r="W89" t="inlineStr"/>
      <c r="X89" t="inlineStr"/>
      <c r="Y89" t="inlineStr"/>
      <c r="Z89" t="inlineStr"/>
      <c r="AA89" t="inlineStr"/>
      <c r="AB89" t="inlineStr"/>
      <c r="AC89" t="inlineStr"/>
      <c r="AD89" t="inlineStr"/>
      <c r="AE89" t="inlineStr"/>
      <c r="AF89" t="inlineStr"/>
      <c r="AG89" t="inlineStr"/>
      <c r="AH89" t="inlineStr"/>
      <c r="AI89" t="inlineStr"/>
      <c r="AJ89" t="inlineStr"/>
      <c r="AK89" t="inlineStr"/>
      <c r="AL89" t="inlineStr"/>
      <c r="AM89" t="inlineStr"/>
      <c r="AN89" t="inlineStr"/>
      <c r="AO89" t="inlineStr"/>
      <c r="AP89" t="inlineStr"/>
      <c r="AQ89" t="inlineStr"/>
      <c r="AR89" t="inlineStr"/>
      <c r="AS89" t="inlineStr"/>
      <c r="AT89" t="inlineStr"/>
      <c r="AU89" t="inlineStr"/>
      <c r="AV89" t="inlineStr"/>
      <c r="AW89" t="inlineStr"/>
      <c r="AX89" t="inlineStr"/>
      <c r="AY89" t="inlineStr"/>
      <c r="AZ89" t="inlineStr"/>
      <c r="BA89" t="inlineStr"/>
      <c r="BB89" t="inlineStr"/>
      <c r="BC89" t="inlineStr"/>
      <c r="BD89" t="inlineStr"/>
      <c r="BE89" t="inlineStr"/>
      <c r="BF89" t="inlineStr"/>
      <c r="BG89" t="inlineStr"/>
      <c r="BH89" t="inlineStr"/>
      <c r="BI89" t="inlineStr"/>
      <c r="BJ89" t="inlineStr"/>
      <c r="BK89" t="inlineStr"/>
      <c r="BL89" t="inlineStr"/>
      <c r="BM89" t="inlineStr"/>
      <c r="BN89" t="inlineStr"/>
      <c r="BO89" t="inlineStr"/>
      <c r="BP89" t="inlineStr"/>
      <c r="BQ89" t="inlineStr"/>
      <c r="BR89" t="inlineStr"/>
      <c r="BS89" t="inlineStr"/>
      <c r="BT89" t="inlineStr"/>
      <c r="BU89" t="inlineStr"/>
      <c r="BV89" t="inlineStr"/>
      <c r="BW89" t="inlineStr"/>
      <c r="BX89" t="inlineStr"/>
      <c r="BY89" t="inlineStr"/>
      <c r="BZ89" t="inlineStr"/>
      <c r="CA89" t="inlineStr"/>
      <c r="CB89" t="inlineStr"/>
      <c r="CC89" t="inlineStr"/>
      <c r="CD89" t="inlineStr"/>
      <c r="CE89" t="inlineStr"/>
      <c r="CF89" t="inlineStr"/>
      <c r="CG89" t="inlineStr"/>
      <c r="CH89" t="inlineStr"/>
      <c r="CI89" t="inlineStr"/>
      <c r="CJ89" t="inlineStr"/>
      <c r="CK89" t="inlineStr"/>
      <c r="CL89" t="inlineStr"/>
      <c r="CM89" t="inlineStr"/>
      <c r="CN89" t="inlineStr"/>
      <c r="CO89" t="inlineStr"/>
      <c r="CP89" t="inlineStr"/>
      <c r="CQ89" t="inlineStr"/>
      <c r="CR89" t="inlineStr"/>
      <c r="CS89" t="inlineStr"/>
      <c r="CT89" t="inlineStr"/>
      <c r="CU89" t="inlineStr"/>
      <c r="CV89" t="inlineStr"/>
      <c r="CW89" t="inlineStr"/>
      <c r="CX89" t="inlineStr"/>
      <c r="CY89" t="inlineStr"/>
      <c r="CZ89" t="inlineStr"/>
      <c r="DA89" t="inlineStr"/>
      <c r="DB89" t="inlineStr"/>
      <c r="DC89" t="inlineStr"/>
      <c r="DD89" t="inlineStr"/>
      <c r="DE89" t="inlineStr"/>
      <c r="DF89" t="inlineStr"/>
      <c r="DG89" t="inlineStr"/>
      <c r="DH89" t="inlineStr"/>
      <c r="DI89" t="inlineStr"/>
      <c r="DJ89" t="inlineStr"/>
      <c r="DK89" t="inlineStr"/>
      <c r="DL89" t="inlineStr"/>
      <c r="DM89" t="inlineStr"/>
      <c r="DN89" t="inlineStr"/>
      <c r="DO89" t="inlineStr"/>
      <c r="DP89" t="inlineStr"/>
      <c r="DQ89" t="inlineStr"/>
      <c r="DR89" t="inlineStr"/>
      <c r="DS89" t="inlineStr"/>
      <c r="DT89" t="inlineStr"/>
      <c r="DU89" t="inlineStr"/>
      <c r="DV89" t="inlineStr"/>
      <c r="DW89" t="inlineStr"/>
      <c r="DX89" t="inlineStr"/>
      <c r="DY89" t="inlineStr"/>
      <c r="DZ89" t="inlineStr"/>
      <c r="EA89" t="inlineStr"/>
      <c r="EB89" t="inlineStr"/>
      <c r="EC89" t="inlineStr"/>
      <c r="ED89" t="inlineStr"/>
      <c r="EE89" t="inlineStr"/>
      <c r="EF89" t="inlineStr"/>
      <c r="EG89" t="inlineStr"/>
      <c r="EH89" t="inlineStr"/>
      <c r="EI89" t="inlineStr"/>
      <c r="EJ89" t="inlineStr"/>
      <c r="EK89" t="inlineStr"/>
      <c r="EL89" t="inlineStr"/>
      <c r="EM89" t="inlineStr"/>
      <c r="EN89" t="inlineStr"/>
      <c r="EO89" t="inlineStr"/>
      <c r="EP89" t="inlineStr"/>
      <c r="EQ89" t="inlineStr"/>
      <c r="ER89" t="inlineStr"/>
      <c r="ES89" t="inlineStr"/>
      <c r="ET89" t="inlineStr"/>
      <c r="EU89" t="inlineStr"/>
      <c r="EV89" t="inlineStr"/>
      <c r="EW89" t="inlineStr"/>
      <c r="EX89" t="inlineStr"/>
      <c r="EY89" t="inlineStr"/>
      <c r="EZ89" t="inlineStr"/>
      <c r="FA89" t="inlineStr"/>
      <c r="FB89" t="inlineStr"/>
      <c r="FC89" t="inlineStr"/>
      <c r="FD89" t="inlineStr"/>
      <c r="FE89" t="inlineStr"/>
      <c r="FF89" t="inlineStr"/>
      <c r="FG89" t="inlineStr"/>
      <c r="FH89" t="inlineStr"/>
      <c r="FI89" t="inlineStr"/>
      <c r="FJ89" t="inlineStr"/>
      <c r="FK89" t="inlineStr"/>
      <c r="FL89" t="inlineStr"/>
      <c r="FM89" t="inlineStr"/>
      <c r="FN89" t="inlineStr"/>
      <c r="FO89" t="inlineStr"/>
      <c r="FP89" t="inlineStr"/>
      <c r="FQ89" t="inlineStr"/>
      <c r="FR89" t="inlineStr"/>
      <c r="FS89" t="inlineStr"/>
      <c r="FT89" t="inlineStr"/>
      <c r="FU89" t="inlineStr"/>
      <c r="FV89" t="inlineStr"/>
      <c r="FW89" t="inlineStr"/>
      <c r="FX89" t="inlineStr"/>
      <c r="FY89" t="inlineStr"/>
      <c r="FZ89" t="inlineStr"/>
      <c r="GA89" t="inlineStr"/>
      <c r="GB89" t="inlineStr"/>
      <c r="GC89" t="inlineStr"/>
      <c r="GD89" t="inlineStr"/>
      <c r="GE89" t="inlineStr"/>
      <c r="GF89" t="inlineStr"/>
      <c r="GG89" t="inlineStr"/>
      <c r="GH89" t="inlineStr"/>
      <c r="GI89" t="inlineStr"/>
      <c r="GJ89" t="inlineStr"/>
      <c r="GK89" t="inlineStr"/>
      <c r="GL89" t="inlineStr"/>
      <c r="GM89" t="inlineStr"/>
      <c r="GN89" t="inlineStr"/>
      <c r="GO89" t="inlineStr"/>
      <c r="GP89" t="inlineStr"/>
      <c r="GQ89" t="inlineStr"/>
      <c r="GR89" t="inlineStr"/>
      <c r="GS89" t="inlineStr"/>
      <c r="GT89" t="inlineStr"/>
      <c r="GU89" t="inlineStr"/>
      <c r="GV89" t="inlineStr"/>
      <c r="GW89" t="inlineStr"/>
      <c r="GX89" t="inlineStr"/>
      <c r="GY89" t="inlineStr">
        <is>
          <t>1552</t>
        </is>
      </c>
      <c r="GZ89" t="inlineStr">
        <is>
          <t>Ambassador (1552)</t>
        </is>
      </c>
      <c r="HA89" t="inlineStr"/>
      <c r="HB89" t="inlineStr"/>
      <c r="HC89" t="inlineStr"/>
      <c r="HD89" t="inlineStr"/>
      <c r="HE89" t="inlineStr"/>
      <c r="HF89" t="inlineStr"/>
      <c r="HG89" t="inlineStr"/>
      <c r="HH89" t="inlineStr"/>
      <c r="HI89" t="inlineStr"/>
      <c r="HJ89" t="inlineStr"/>
      <c r="HK89" t="inlineStr">
        <is>
          <t>80</t>
        </is>
      </c>
      <c r="HL89" t="inlineStr">
        <is>
          <t>MBA for Executives (80)</t>
        </is>
      </c>
      <c r="HM89" t="inlineStr"/>
      <c r="HN89" t="inlineStr"/>
      <c r="HO89" t="inlineStr"/>
      <c r="HP89" t="inlineStr"/>
      <c r="HQ89" t="inlineStr"/>
      <c r="HR89" t="inlineStr"/>
      <c r="HS89" t="inlineStr"/>
      <c r="HT89" t="inlineStr"/>
      <c r="HU89" t="inlineStr"/>
      <c r="HV89" t="inlineStr"/>
      <c r="HW89" t="inlineStr"/>
      <c r="HX89" t="inlineStr"/>
      <c r="HY89" t="inlineStr"/>
      <c r="HZ89" t="inlineStr"/>
      <c r="IA89" t="inlineStr"/>
      <c r="IB89" t="inlineStr"/>
      <c r="IC89" t="inlineStr"/>
      <c r="ID89" t="inlineStr"/>
      <c r="IE89" t="inlineStr"/>
      <c r="IF89" t="inlineStr"/>
      <c r="IG89" t="inlineStr"/>
      <c r="IH89" t="inlineStr"/>
      <c r="II89" t="inlineStr"/>
      <c r="IJ89" t="inlineStr"/>
      <c r="IK89" t="inlineStr"/>
      <c r="IL89" t="inlineStr"/>
      <c r="IM89" t="inlineStr"/>
      <c r="IN89" t="inlineStr"/>
      <c r="IO89" t="inlineStr"/>
      <c r="IP89" t="inlineStr"/>
      <c r="IQ89" t="inlineStr"/>
      <c r="IR89" t="inlineStr"/>
      <c r="IS89">
        <f>IF(input_content_type="",FALSE,ISNUMBER(SEARCH(","&amp;LOWER(input_content_type)&amp;",",","&amp;LOWER(F89)&amp;",")))</f>
        <v/>
      </c>
      <c r="IT89">
        <f>AND(IF(M89="",TRUE,IF(input_affiliations="",FALSE,SUMPRODUCT(--ISNUMBER(SEARCH(","&amp;TRIM(TEXTSPLIT(M89,","))&amp;",",","&amp;SUBSTITUTE(input_affiliations," ","")&amp;",")))&gt;0)),IF(O89="",TRUE,IF(input_affiliations="",FALSE,SUMPRODUCT(--ISNUMBER(SEARCH(","&amp;TRIM(TEXTSPLIT(O89,","))&amp;",",","&amp;SUBSTITUTE(input_affiliations," ","")&amp;",")))=COUNTA(TEXTSPLIT(O89,",")))),IF(Q89="",TRUE,IF(input_affiliations="",TRUE,SUMPRODUCT(--ISNUMBER(SEARCH(","&amp;TRIM(TEXTSPLIT(Q89,","))&amp;",",","&amp;SUBSTITUTE(input_affiliations," ","")&amp;",")))=0)),IF(S89="",TRUE,IF(input_affiliations="",FALSE,SUMPRODUCT(--ISNUMBER(SEARCH(","&amp;TRIM(TEXTSPLIT(S89,","))&amp;",",","&amp;SUBSTITUTE(input_affiliations," ","")&amp;",")))&gt;0)),IF(U89="",TRUE,IF(input_affiliations="",FALSE,SUMPRODUCT(--ISNUMBER(SEARCH(","&amp;TRIM(TEXTSPLIT(U89,","))&amp;",",","&amp;SUBSTITUTE(input_affiliations," ","")&amp;",")))=COUNTA(TEXTSPLIT(U89,",")))))</f>
        <v/>
      </c>
      <c r="IU89">
        <f>AND(IF(W89="",TRUE,IF(input_announcement_category="",FALSE,SUMPRODUCT(--ISNUMBER(SEARCH(","&amp;TRIM(TEXTSPLIT(W89,","))&amp;",",","&amp;SUBSTITUTE(input_announcement_category," ","")&amp;",")))&gt;0)),IF(Y89="",TRUE,IF(input_announcement_category="",FALSE,SUMPRODUCT(--ISNUMBER(SEARCH(","&amp;TRIM(TEXTSPLIT(Y89,","))&amp;",",","&amp;SUBSTITUTE(input_announcement_category," ","")&amp;",")))=COUNTA(TEXTSPLIT(Y89,",")))),IF(AA89="",TRUE,IF(input_announcement_category="",TRUE,SUMPRODUCT(--ISNUMBER(SEARCH(","&amp;TRIM(TEXTSPLIT(AA89,","))&amp;",",","&amp;SUBSTITUTE(input_announcement_category," ","")&amp;",")))=0)),IF(AC89="",TRUE,IF(input_announcement_category="",FALSE,SUMPRODUCT(--ISNUMBER(SEARCH(","&amp;TRIM(TEXTSPLIT(AC89,","))&amp;",",","&amp;SUBSTITUTE(input_announcement_category," ","")&amp;",")))&gt;0)),IF(AE89="",TRUE,IF(input_announcement_category="",FALSE,SUMPRODUCT(--ISNUMBER(SEARCH(","&amp;TRIM(TEXTSPLIT(AE89,","))&amp;",",","&amp;SUBSTITUTE(input_announcement_category," ","")&amp;",")))=COUNTA(TEXTSPLIT(AE89,",")))))</f>
        <v/>
      </c>
      <c r="IV89">
        <f>AND(IF(AG89="",TRUE,IF(input_area_of_focus="",FALSE,SUMPRODUCT(--ISNUMBER(SEARCH(","&amp;TRIM(TEXTSPLIT(AG89,","))&amp;",",","&amp;SUBSTITUTE(input_area_of_focus," ","")&amp;",")))&gt;0)),IF(AI89="",TRUE,IF(input_area_of_focus="",FALSE,SUMPRODUCT(--ISNUMBER(SEARCH(","&amp;TRIM(TEXTSPLIT(AI89,","))&amp;",",","&amp;SUBSTITUTE(input_area_of_focus," ","")&amp;",")))=COUNTA(TEXTSPLIT(AI89,",")))),IF(AK89="",TRUE,IF(input_area_of_focus="",TRUE,SUMPRODUCT(--ISNUMBER(SEARCH(","&amp;TRIM(TEXTSPLIT(AK89,","))&amp;",",","&amp;SUBSTITUTE(input_area_of_focus," ","")&amp;",")))=0)),IF(AM89="",TRUE,IF(input_area_of_focus="",FALSE,SUMPRODUCT(--ISNUMBER(SEARCH(","&amp;TRIM(TEXTSPLIT(AM89,","))&amp;",",","&amp;SUBSTITUTE(input_area_of_focus," ","")&amp;",")))&gt;0)),IF(AO89="",TRUE,IF(input_area_of_focus="",FALSE,SUMPRODUCT(--ISNUMBER(SEARCH(","&amp;TRIM(TEXTSPLIT(AO89,","))&amp;",",","&amp;SUBSTITUTE(input_area_of_focus," ","")&amp;",")))=COUNTA(TEXTSPLIT(AO89,",")))))</f>
        <v/>
      </c>
      <c r="IW89">
        <f>AND(IF(AQ89="",TRUE,IF(input_audience="",FALSE,SUMPRODUCT(--ISNUMBER(SEARCH(","&amp;TRIM(TEXTSPLIT(AQ89,","))&amp;",",","&amp;SUBSTITUTE(input_audience," ","")&amp;",")))&gt;0)),IF(AS89="",TRUE,IF(input_audience="",FALSE,SUMPRODUCT(--ISNUMBER(SEARCH(","&amp;TRIM(TEXTSPLIT(AS89,","))&amp;",",","&amp;SUBSTITUTE(input_audience," ","")&amp;",")))=COUNTA(TEXTSPLIT(AS89,",")))),IF(AU89="",TRUE,IF(input_audience="",TRUE,SUMPRODUCT(--ISNUMBER(SEARCH(","&amp;TRIM(TEXTSPLIT(AU89,","))&amp;",",","&amp;SUBSTITUTE(input_audience," ","")&amp;",")))=0)),IF(AW89="",TRUE,IF(input_audience="",FALSE,SUMPRODUCT(--ISNUMBER(SEARCH(","&amp;TRIM(TEXTSPLIT(AW89,","))&amp;",",","&amp;SUBSTITUTE(input_audience," ","")&amp;",")))&gt;0)),IF(AY89="",TRUE,IF(input_audience="",FALSE,SUMPRODUCT(--ISNUMBER(SEARCH(","&amp;TRIM(TEXTSPLIT(AY89,","))&amp;",",","&amp;SUBSTITUTE(input_audience," ","")&amp;",")))=COUNTA(TEXTSPLIT(AY89,",")))))</f>
        <v/>
      </c>
      <c r="IX89">
        <f>AND(IF(BA89="",TRUE,IF(input_challenge_opportunities="",FALSE,SUMPRODUCT(--ISNUMBER(SEARCH(","&amp;TRIM(TEXTSPLIT(BA89,","))&amp;",",","&amp;SUBSTITUTE(input_challenge_opportunities," ","")&amp;",")))&gt;0)),IF(BC89="",TRUE,IF(input_challenge_opportunities="",FALSE,SUMPRODUCT(--ISNUMBER(SEARCH(","&amp;TRIM(TEXTSPLIT(BC89,","))&amp;",",","&amp;SUBSTITUTE(input_challenge_opportunities," ","")&amp;",")))=COUNTA(TEXTSPLIT(BC89,",")))),IF(BE89="",TRUE,IF(input_challenge_opportunities="",TRUE,SUMPRODUCT(--ISNUMBER(SEARCH(","&amp;TRIM(TEXTSPLIT(BE89,","))&amp;",",","&amp;SUBSTITUTE(input_challenge_opportunities," ","")&amp;",")))=0)),IF(BG89="",TRUE,IF(input_challenge_opportunities="",FALSE,SUMPRODUCT(--ISNUMBER(SEARCH(","&amp;TRIM(TEXTSPLIT(BG89,","))&amp;",",","&amp;SUBSTITUTE(input_challenge_opportunities," ","")&amp;",")))&gt;0)),IF(BI89="",TRUE,IF(input_challenge_opportunities="",FALSE,SUMPRODUCT(--ISNUMBER(SEARCH(","&amp;TRIM(TEXTSPLIT(BI89,","))&amp;",",","&amp;SUBSTITUTE(input_challenge_opportunities," ","")&amp;",")))=COUNTA(TEXTSPLIT(BI89,",")))))</f>
        <v/>
      </c>
      <c r="IY89">
        <f>AND(IF(BK89="",TRUE,IF(input_context="",FALSE,SUMPRODUCT(--ISNUMBER(SEARCH(","&amp;TRIM(TEXTSPLIT(BK89,","))&amp;",",","&amp;SUBSTITUTE(input_context," ","")&amp;",")))&gt;0)),IF(BM89="",TRUE,IF(input_context="",FALSE,SUMPRODUCT(--ISNUMBER(SEARCH(","&amp;TRIM(TEXTSPLIT(BM89,","))&amp;",",","&amp;SUBSTITUTE(input_context," ","")&amp;",")))=COUNTA(TEXTSPLIT(BM89,",")))),IF(BO89="",TRUE,IF(input_context="",TRUE,SUMPRODUCT(--ISNUMBER(SEARCH(","&amp;TRIM(TEXTSPLIT(BO89,","))&amp;",",","&amp;SUBSTITUTE(input_context," ","")&amp;",")))=0)),IF(BQ89="",TRUE,IF(input_context="",FALSE,SUMPRODUCT(--ISNUMBER(SEARCH(","&amp;TRIM(TEXTSPLIT(BQ89,","))&amp;",",","&amp;SUBSTITUTE(input_context," ","")&amp;",")))&gt;0)),IF(BS89="",TRUE,IF(input_context="",FALSE,SUMPRODUCT(--ISNUMBER(SEARCH(","&amp;TRIM(TEXTSPLIT(BS89,","))&amp;",",","&amp;SUBSTITUTE(input_context," ","")&amp;",")))=COUNTA(TEXTSPLIT(BS89,",")))))</f>
        <v/>
      </c>
      <c r="IZ89">
        <f>AND(IF(BU89="",TRUE,IF(input_enews_announcement_type="",FALSE,SUMPRODUCT(--ISNUMBER(SEARCH(","&amp;TRIM(TEXTSPLIT(BU89,","))&amp;",",","&amp;SUBSTITUTE(input_enews_announcement_type," ","")&amp;",")))&gt;0)),IF(BW89="",TRUE,IF(input_enews_announcement_type="",FALSE,SUMPRODUCT(--ISNUMBER(SEARCH(","&amp;TRIM(TEXTSPLIT(BW89,","))&amp;",",","&amp;SUBSTITUTE(input_enews_announcement_type," ","")&amp;",")))=COUNTA(TEXTSPLIT(BW89,",")))),IF(BY89="",TRUE,IF(input_enews_announcement_type="",TRUE,SUMPRODUCT(--ISNUMBER(SEARCH(","&amp;TRIM(TEXTSPLIT(BY89,","))&amp;",",","&amp;SUBSTITUTE(input_enews_announcement_type," ","")&amp;",")))=0)),IF(CA89="",TRUE,IF(input_enews_announcement_type="",FALSE,SUMPRODUCT(--ISNUMBER(SEARCH(","&amp;TRIM(TEXTSPLIT(CA89,","))&amp;",",","&amp;SUBSTITUTE(input_enews_announcement_type," ","")&amp;",")))&gt;0)),IF(CC89="",TRUE,IF(input_enews_announcement_type="",FALSE,SUMPRODUCT(--ISNUMBER(SEARCH(","&amp;TRIM(TEXTSPLIT(CC89,","))&amp;",",","&amp;SUBSTITUTE(input_enews_announcement_type," ","")&amp;",")))=COUNTA(TEXTSPLIT(CC89,",")))))</f>
        <v/>
      </c>
      <c r="JA89">
        <f>AND(IF(CE89="",TRUE,IF(input_enews_audience="",FALSE,SUMPRODUCT(--ISNUMBER(SEARCH(","&amp;TRIM(TEXTSPLIT(CE89,","))&amp;",",","&amp;SUBSTITUTE(input_enews_audience," ","")&amp;",")))&gt;0)),IF(CG89="",TRUE,IF(input_enews_audience="",FALSE,SUMPRODUCT(--ISNUMBER(SEARCH(","&amp;TRIM(TEXTSPLIT(CG89,","))&amp;",",","&amp;SUBSTITUTE(input_enews_audience," ","")&amp;",")))=COUNTA(TEXTSPLIT(CG89,",")))),IF(CI89="",TRUE,IF(input_enews_audience="",TRUE,SUMPRODUCT(--ISNUMBER(SEARCH(","&amp;TRIM(TEXTSPLIT(CI89,","))&amp;",",","&amp;SUBSTITUTE(input_enews_audience," ","")&amp;",")))=0)),IF(CK89="",TRUE,IF(input_enews_audience="",FALSE,SUMPRODUCT(--ISNUMBER(SEARCH(","&amp;TRIM(TEXTSPLIT(CK89,","))&amp;",",","&amp;SUBSTITUTE(input_enews_audience," ","")&amp;",")))&gt;0)),IF(CM89="",TRUE,IF(input_enews_audience="",FALSE,SUMPRODUCT(--ISNUMBER(SEARCH(","&amp;TRIM(TEXTSPLIT(CM89,","))&amp;",",","&amp;SUBSTITUTE(input_enews_audience," ","")&amp;",")))=COUNTA(TEXTSPLIT(CM89,",")))))</f>
        <v/>
      </c>
      <c r="JB89">
        <f>AND(IF(CO89="",TRUE,IF(input_event_location="",FALSE,SUMPRODUCT(--ISNUMBER(SEARCH(","&amp;TRIM(TEXTSPLIT(CO89,","))&amp;",",","&amp;SUBSTITUTE(input_event_location," ","")&amp;",")))&gt;0)),IF(CQ89="",TRUE,IF(input_event_location="",FALSE,SUMPRODUCT(--ISNUMBER(SEARCH(","&amp;TRIM(TEXTSPLIT(CQ89,","))&amp;",",","&amp;SUBSTITUTE(input_event_location," ","")&amp;",")))=COUNTA(TEXTSPLIT(CQ89,",")))),IF(CS89="",TRUE,IF(input_event_location="",TRUE,SUMPRODUCT(--ISNUMBER(SEARCH(","&amp;TRIM(TEXTSPLIT(CS89,","))&amp;",",","&amp;SUBSTITUTE(input_event_location," ","")&amp;",")))=0)),IF(CU89="",TRUE,IF(input_event_location="",FALSE,SUMPRODUCT(--ISNUMBER(SEARCH(","&amp;TRIM(TEXTSPLIT(CU89,","))&amp;",",","&amp;SUBSTITUTE(input_event_location," ","")&amp;",")))&gt;0)),IF(CW89="",TRUE,IF(input_event_location="",FALSE,SUMPRODUCT(--ISNUMBER(SEARCH(","&amp;TRIM(TEXTSPLIT(CW89,","))&amp;",",","&amp;SUBSTITUTE(input_event_location," ","")&amp;",")))=COUNTA(TEXTSPLIT(CW89,",")))))</f>
        <v/>
      </c>
      <c r="JC89">
        <f>AND(IF(CY89="",TRUE,IF(input_event_type="",FALSE,SUMPRODUCT(--ISNUMBER(SEARCH(","&amp;TRIM(TEXTSPLIT(CY89,","))&amp;",",","&amp;SUBSTITUTE(input_event_type," ","")&amp;",")))&gt;0)),IF(DA89="",TRUE,IF(input_event_type="",FALSE,SUMPRODUCT(--ISNUMBER(SEARCH(","&amp;TRIM(TEXTSPLIT(DA89,","))&amp;",",","&amp;SUBSTITUTE(input_event_type," ","")&amp;",")))=COUNTA(TEXTSPLIT(DA89,",")))),IF(DC89="",TRUE,IF(input_event_type="",TRUE,SUMPRODUCT(--ISNUMBER(SEARCH(","&amp;TRIM(TEXTSPLIT(DC89,","))&amp;",",","&amp;SUBSTITUTE(input_event_type," ","")&amp;",")))=0)),IF(DE89="",TRUE,IF(input_event_type="",FALSE,SUMPRODUCT(--ISNUMBER(SEARCH(","&amp;TRIM(TEXTSPLIT(DE89,","))&amp;",",","&amp;SUBSTITUTE(input_event_type," ","")&amp;",")))&gt;0)),IF(DG89="",TRUE,IF(input_event_type="",FALSE,SUMPRODUCT(--ISNUMBER(SEARCH(","&amp;TRIM(TEXTSPLIT(DG89,","))&amp;",",","&amp;SUBSTITUTE(input_event_type," ","")&amp;",")))=COUNTA(TEXTSPLIT(DG89,",")))))</f>
        <v/>
      </c>
      <c r="JD89">
        <f>AND(IF(DI89="",TRUE,IF(input_executive_education_focus="",FALSE,SUMPRODUCT(--ISNUMBER(SEARCH(","&amp;TRIM(TEXTSPLIT(DI89,","))&amp;",",","&amp;SUBSTITUTE(input_executive_education_focus," ","")&amp;",")))&gt;0)),IF(DK89="",TRUE,IF(input_executive_education_focus="",FALSE,SUMPRODUCT(--ISNUMBER(SEARCH(","&amp;TRIM(TEXTSPLIT(DK89,","))&amp;",",","&amp;SUBSTITUTE(input_executive_education_focus," ","")&amp;",")))=COUNTA(TEXTSPLIT(DK89,",")))),IF(DM89="",TRUE,IF(input_executive_education_focus="",TRUE,SUMPRODUCT(--ISNUMBER(SEARCH(","&amp;TRIM(TEXTSPLIT(DM89,","))&amp;",",","&amp;SUBSTITUTE(input_executive_education_focus," ","")&amp;",")))=0)),IF(DO89="",TRUE,IF(input_executive_education_focus="",FALSE,SUMPRODUCT(--ISNUMBER(SEARCH(","&amp;TRIM(TEXTSPLIT(DO89,","))&amp;",",","&amp;SUBSTITUTE(input_executive_education_focus," ","")&amp;",")))&gt;0)),IF(DQ89="",TRUE,IF(input_executive_education_focus="",FALSE,SUMPRODUCT(--ISNUMBER(SEARCH(","&amp;TRIM(TEXTSPLIT(DQ89,","))&amp;",",","&amp;SUBSTITUTE(input_executive_education_focus," ","")&amp;",")))=COUNTA(TEXTSPLIT(DQ89,",")))))</f>
        <v/>
      </c>
      <c r="JE89">
        <f>AND(IF(DS89="",TRUE,IF(input_faculty_category="",FALSE,SUMPRODUCT(--ISNUMBER(SEARCH(","&amp;TRIM(TEXTSPLIT(DS89,","))&amp;",",","&amp;SUBSTITUTE(input_faculty_category," ","")&amp;",")))&gt;0)),IF(DU89="",TRUE,IF(input_faculty_category="",FALSE,SUMPRODUCT(--ISNUMBER(SEARCH(","&amp;TRIM(TEXTSPLIT(DU89,","))&amp;",",","&amp;SUBSTITUTE(input_faculty_category," ","")&amp;",")))=COUNTA(TEXTSPLIT(DU89,",")))),IF(DW89="",TRUE,IF(input_faculty_category="",TRUE,SUMPRODUCT(--ISNUMBER(SEARCH(","&amp;TRIM(TEXTSPLIT(DW89,","))&amp;",",","&amp;SUBSTITUTE(input_faculty_category," ","")&amp;",")))=0)),IF(DY89="",TRUE,IF(input_faculty_category="",FALSE,SUMPRODUCT(--ISNUMBER(SEARCH(","&amp;TRIM(TEXTSPLIT(DY89,","))&amp;",",","&amp;SUBSTITUTE(input_faculty_category," ","")&amp;",")))&gt;0)),IF(EA89="",TRUE,IF(input_faculty_category="",FALSE,SUMPRODUCT(--ISNUMBER(SEARCH(","&amp;TRIM(TEXTSPLIT(EA89,","))&amp;",",","&amp;SUBSTITUTE(input_faculty_category," ","")&amp;",")))=COUNTA(TEXTSPLIT(EA89,",")))))</f>
        <v/>
      </c>
      <c r="JF89">
        <f>AND(IF(EC89="",TRUE,IF(input_faculty_discipline="",FALSE,SUMPRODUCT(--ISNUMBER(SEARCH(","&amp;TRIM(TEXTSPLIT(EC89,","))&amp;",",","&amp;SUBSTITUTE(input_faculty_discipline," ","")&amp;",")))&gt;0)),IF(EE89="",TRUE,IF(input_faculty_discipline="",FALSE,SUMPRODUCT(--ISNUMBER(SEARCH(","&amp;TRIM(TEXTSPLIT(EE89,","))&amp;",",","&amp;SUBSTITUTE(input_faculty_discipline," ","")&amp;",")))=COUNTA(TEXTSPLIT(EE89,",")))),IF(EG89="",TRUE,IF(input_faculty_discipline="",TRUE,SUMPRODUCT(--ISNUMBER(SEARCH(","&amp;TRIM(TEXTSPLIT(EG89,","))&amp;",",","&amp;SUBSTITUTE(input_faculty_discipline," ","")&amp;",")))=0)),IF(EI89="",TRUE,IF(input_faculty_discipline="",FALSE,SUMPRODUCT(--ISNUMBER(SEARCH(","&amp;TRIM(TEXTSPLIT(EI89,","))&amp;",",","&amp;SUBSTITUTE(input_faculty_discipline," ","")&amp;",")))&gt;0)),IF(EK89="",TRUE,IF(input_faculty_discipline="",FALSE,SUMPRODUCT(--ISNUMBER(SEARCH(","&amp;TRIM(TEXTSPLIT(EK89,","))&amp;",",","&amp;SUBSTITUTE(input_faculty_discipline," ","")&amp;",")))=COUNTA(TEXTSPLIT(EK89,",")))))</f>
        <v/>
      </c>
      <c r="JG89">
        <f>AND(IF(EM89="",TRUE,IF(input_faculty_expertise="",FALSE,SUMPRODUCT(--ISNUMBER(SEARCH(","&amp;TRIM(TEXTSPLIT(EM89,","))&amp;",",","&amp;SUBSTITUTE(input_faculty_expertise," ","")&amp;",")))&gt;0)),IF(EO89="",TRUE,IF(input_faculty_expertise="",FALSE,SUMPRODUCT(--ISNUMBER(SEARCH(","&amp;TRIM(TEXTSPLIT(EO89,","))&amp;",",","&amp;SUBSTITUTE(input_faculty_expertise," ","")&amp;",")))=COUNTA(TEXTSPLIT(EO89,",")))),IF(EQ89="",TRUE,IF(input_faculty_expertise="",TRUE,SUMPRODUCT(--ISNUMBER(SEARCH(","&amp;TRIM(TEXTSPLIT(EQ89,","))&amp;",",","&amp;SUBSTITUTE(input_faculty_expertise," ","")&amp;",")))=0)),IF(ES89="",TRUE,IF(input_faculty_expertise="",FALSE,SUMPRODUCT(--ISNUMBER(SEARCH(","&amp;TRIM(TEXTSPLIT(ES89,","))&amp;",",","&amp;SUBSTITUTE(input_faculty_expertise," ","")&amp;",")))&gt;0)),IF(EU89="",TRUE,IF(input_faculty_expertise="",FALSE,SUMPRODUCT(--ISNUMBER(SEARCH(","&amp;TRIM(TEXTSPLIT(EU89,","))&amp;",",","&amp;SUBSTITUTE(input_faculty_expertise," ","")&amp;",")))=COUNTA(TEXTSPLIT(EU89,",")))))</f>
        <v/>
      </c>
      <c r="JH89">
        <f>AND(IF(EW89="",TRUE,IF(input_global_network_school="",FALSE,SUMPRODUCT(--ISNUMBER(SEARCH(","&amp;TRIM(TEXTSPLIT(EW89,","))&amp;",",","&amp;SUBSTITUTE(input_global_network_school," ","")&amp;",")))&gt;0)),IF(EY89="",TRUE,IF(input_global_network_school="",FALSE,SUMPRODUCT(--ISNUMBER(SEARCH(","&amp;TRIM(TEXTSPLIT(EY89,","))&amp;",",","&amp;SUBSTITUTE(input_global_network_school," ","")&amp;",")))=COUNTA(TEXTSPLIT(EY89,",")))),IF(FA89="",TRUE,IF(input_global_network_school="",TRUE,SUMPRODUCT(--ISNUMBER(SEARCH(","&amp;TRIM(TEXTSPLIT(FA89,","))&amp;",",","&amp;SUBSTITUTE(input_global_network_school," ","")&amp;",")))=0)),IF(FC89="",TRUE,IF(input_global_network_school="",FALSE,SUMPRODUCT(--ISNUMBER(SEARCH(","&amp;TRIM(TEXTSPLIT(FC89,","))&amp;",",","&amp;SUBSTITUTE(input_global_network_school," ","")&amp;",")))&gt;0)),IF(FE89="",TRUE,IF(input_global_network_school="",FALSE,SUMPRODUCT(--ISNUMBER(SEARCH(","&amp;TRIM(TEXTSPLIT(FE89,","))&amp;",",","&amp;SUBSTITUTE(input_global_network_school," ","")&amp;",")))=COUNTA(TEXTSPLIT(FE89,",")))))</f>
        <v/>
      </c>
      <c r="JI89">
        <f>AND(IF(FG89="",TRUE,IF(input_industry="",FALSE,SUMPRODUCT(--ISNUMBER(SEARCH(","&amp;TRIM(TEXTSPLIT(FG89,","))&amp;",",","&amp;SUBSTITUTE(input_industry," ","")&amp;",")))&gt;0)),IF(FI89="",TRUE,IF(input_industry="",FALSE,SUMPRODUCT(--ISNUMBER(SEARCH(","&amp;TRIM(TEXTSPLIT(FI89,","))&amp;",",","&amp;SUBSTITUTE(input_industry," ","")&amp;",")))=COUNTA(TEXTSPLIT(FI89,",")))),IF(FK89="",TRUE,IF(input_industry="",TRUE,SUMPRODUCT(--ISNUMBER(SEARCH(","&amp;TRIM(TEXTSPLIT(FK89,","))&amp;",",","&amp;SUBSTITUTE(input_industry," ","")&amp;",")))=0)),IF(FM89="",TRUE,IF(input_industry="",FALSE,SUMPRODUCT(--ISNUMBER(SEARCH(","&amp;TRIM(TEXTSPLIT(FM89,","))&amp;",",","&amp;SUBSTITUTE(input_industry," ","")&amp;",")))&gt;0)),IF(FO89="",TRUE,IF(input_industry="",FALSE,SUMPRODUCT(--ISNUMBER(SEARCH(","&amp;TRIM(TEXTSPLIT(FO89,","))&amp;",",","&amp;SUBSTITUTE(input_industry," ","")&amp;",")))=COUNTA(TEXTSPLIT(FO89,",")))))</f>
        <v/>
      </c>
      <c r="JJ89">
        <f>AND(IF(FQ89="",TRUE,IF(input_location="",FALSE,SUMPRODUCT(--ISNUMBER(SEARCH(","&amp;TRIM(TEXTSPLIT(FQ89,","))&amp;",",","&amp;SUBSTITUTE(input_location," ","")&amp;",")))&gt;0)),IF(FS89="",TRUE,IF(input_location="",FALSE,SUMPRODUCT(--ISNUMBER(SEARCH(","&amp;TRIM(TEXTSPLIT(FS89,","))&amp;",",","&amp;SUBSTITUTE(input_location," ","")&amp;",")))=COUNTA(TEXTSPLIT(FS89,",")))),IF(FU89="",TRUE,IF(input_location="",TRUE,SUMPRODUCT(--ISNUMBER(SEARCH(","&amp;TRIM(TEXTSPLIT(FU89,","))&amp;",",","&amp;SUBSTITUTE(input_location," ","")&amp;",")))=0)),IF(FW89="",TRUE,IF(input_location="",FALSE,SUMPRODUCT(--ISNUMBER(SEARCH(","&amp;TRIM(TEXTSPLIT(FW89,","))&amp;",",","&amp;SUBSTITUTE(input_location," ","")&amp;",")))&gt;0)),IF(FY89="",TRUE,IF(input_location="",FALSE,SUMPRODUCT(--ISNUMBER(SEARCH(","&amp;TRIM(TEXTSPLIT(FY89,","))&amp;",",","&amp;SUBSTITUTE(input_location," ","")&amp;",")))=COUNTA(TEXTSPLIT(FY89,",")))))</f>
        <v/>
      </c>
      <c r="JK89">
        <f>AND(IF(GA89="",TRUE,IF(input_modality="",FALSE,SUMPRODUCT(--ISNUMBER(SEARCH(","&amp;TRIM(TEXTSPLIT(GA89,","))&amp;",",","&amp;SUBSTITUTE(input_modality," ","")&amp;",")))&gt;0)),IF(GC89="",TRUE,IF(input_modality="",FALSE,SUMPRODUCT(--ISNUMBER(SEARCH(","&amp;TRIM(TEXTSPLIT(GC89,","))&amp;",",","&amp;SUBSTITUTE(input_modality," ","")&amp;",")))=COUNTA(TEXTSPLIT(GC89,",")))),IF(GE89="",TRUE,IF(input_modality="",TRUE,SUMPRODUCT(--ISNUMBER(SEARCH(","&amp;TRIM(TEXTSPLIT(GE89,","))&amp;",",","&amp;SUBSTITUTE(input_modality," ","")&amp;",")))=0)),IF(GG89="",TRUE,IF(input_modality="",FALSE,SUMPRODUCT(--ISNUMBER(SEARCH(","&amp;TRIM(TEXTSPLIT(GG89,","))&amp;",",","&amp;SUBSTITUTE(input_modality," ","")&amp;",")))&gt;0)),IF(GI89="",TRUE,IF(input_modality="",FALSE,SUMPRODUCT(--ISNUMBER(SEARCH(","&amp;TRIM(TEXTSPLIT(GI89,","))&amp;",",","&amp;SUBSTITUTE(input_modality," ","")&amp;",")))=COUNTA(TEXTSPLIT(GI89,",")))))</f>
        <v/>
      </c>
      <c r="JL89">
        <f>AND(IF(GK89="",TRUE,IF(input_organizer="",FALSE,SUMPRODUCT(--ISNUMBER(SEARCH(","&amp;TRIM(TEXTSPLIT(GK89,","))&amp;",",","&amp;SUBSTITUTE(input_organizer," ","")&amp;",")))&gt;0)),IF(GM89="",TRUE,IF(input_organizer="",FALSE,SUMPRODUCT(--ISNUMBER(SEARCH(","&amp;TRIM(TEXTSPLIT(GM89,","))&amp;",",","&amp;SUBSTITUTE(input_organizer," ","")&amp;",")))=COUNTA(TEXTSPLIT(GM89,",")))),IF(GO89="",TRUE,IF(input_organizer="",TRUE,SUMPRODUCT(--ISNUMBER(SEARCH(","&amp;TRIM(TEXTSPLIT(GO89,","))&amp;",",","&amp;SUBSTITUTE(input_organizer," ","")&amp;",")))=0)),IF(GQ89="",TRUE,IF(input_organizer="",FALSE,SUMPRODUCT(--ISNUMBER(SEARCH(","&amp;TRIM(TEXTSPLIT(GQ89,","))&amp;",",","&amp;SUBSTITUTE(input_organizer," ","")&amp;",")))&gt;0)),IF(GS89="",TRUE,IF(input_organizer="",FALSE,SUMPRODUCT(--ISNUMBER(SEARCH(","&amp;TRIM(TEXTSPLIT(GS89,","))&amp;",",","&amp;SUBSTITUTE(input_organizer," ","")&amp;",")))=COUNTA(TEXTSPLIT(GS89,",")))))</f>
        <v/>
      </c>
      <c r="JM89">
        <f>AND(IF(GU89="",TRUE,IF(input_profile_type="",FALSE,SUMPRODUCT(--ISNUMBER(SEARCH(","&amp;TRIM(TEXTSPLIT(GU89,","))&amp;",",","&amp;SUBSTITUTE(input_profile_type," ","")&amp;",")))&gt;0)),IF(GW89="",TRUE,IF(input_profile_type="",FALSE,SUMPRODUCT(--ISNUMBER(SEARCH(","&amp;TRIM(TEXTSPLIT(GW89,","))&amp;",",","&amp;SUBSTITUTE(input_profile_type," ","")&amp;",")))=COUNTA(TEXTSPLIT(GW89,",")))),IF(GY89="",TRUE,IF(input_profile_type="",TRUE,SUMPRODUCT(--ISNUMBER(SEARCH(","&amp;TRIM(TEXTSPLIT(GY89,","))&amp;",",","&amp;SUBSTITUTE(input_profile_type," ","")&amp;",")))=0)),IF(HA89="",TRUE,IF(input_profile_type="",FALSE,SUMPRODUCT(--ISNUMBER(SEARCH(","&amp;TRIM(TEXTSPLIT(HA89,","))&amp;",",","&amp;SUBSTITUTE(input_profile_type," ","")&amp;",")))&gt;0)),IF(HC89="",TRUE,IF(input_profile_type="",FALSE,SUMPRODUCT(--ISNUMBER(SEARCH(","&amp;TRIM(TEXTSPLIT(HC89,","))&amp;",",","&amp;SUBSTITUTE(input_profile_type," ","")&amp;",")))=COUNTA(TEXTSPLIT(HC89,",")))))</f>
        <v/>
      </c>
      <c r="JN89">
        <f>AND(IF(HE89="",TRUE,IF(input_program="",FALSE,SUMPRODUCT(--ISNUMBER(SEARCH(","&amp;TRIM(TEXTSPLIT(HE89,","))&amp;",",","&amp;SUBSTITUTE(input_program," ","")&amp;",")))&gt;0)),IF(HG89="",TRUE,IF(input_program="",FALSE,SUMPRODUCT(--ISNUMBER(SEARCH(","&amp;TRIM(TEXTSPLIT(HG89,","))&amp;",",","&amp;SUBSTITUTE(input_program," ","")&amp;",")))=COUNTA(TEXTSPLIT(HG89,",")))),IF(HI89="",TRUE,IF(input_program="",TRUE,SUMPRODUCT(--ISNUMBER(SEARCH(","&amp;TRIM(TEXTSPLIT(HI89,","))&amp;",",","&amp;SUBSTITUTE(input_program," ","")&amp;",")))=0)),IF(HK89="",TRUE,IF(input_program="",FALSE,SUMPRODUCT(--ISNUMBER(SEARCH(","&amp;TRIM(TEXTSPLIT(HK89,","))&amp;",",","&amp;SUBSTITUTE(input_program," ","")&amp;",")))&gt;0)),IF(HM89="",TRUE,IF(input_program="",FALSE,SUMPRODUCT(--ISNUMBER(SEARCH(","&amp;TRIM(TEXTSPLIT(HM89,","))&amp;",",","&amp;SUBSTITUTE(input_program," ","")&amp;",")))=COUNTA(TEXTSPLIT(HM89,",")))))</f>
        <v/>
      </c>
      <c r="JO89">
        <f>AND(IF(HO89="",TRUE,IF(input_story_categories="",FALSE,SUMPRODUCT(--ISNUMBER(SEARCH(","&amp;TRIM(TEXTSPLIT(HO89,","))&amp;",",","&amp;SUBSTITUTE(input_story_categories," ","")&amp;",")))&gt;0)),IF(HQ89="",TRUE,IF(input_story_categories="",FALSE,SUMPRODUCT(--ISNUMBER(SEARCH(","&amp;TRIM(TEXTSPLIT(HQ89,","))&amp;",",","&amp;SUBSTITUTE(input_story_categories," ","")&amp;",")))=COUNTA(TEXTSPLIT(HQ89,",")))),IF(HS89="",TRUE,IF(input_story_categories="",TRUE,SUMPRODUCT(--ISNUMBER(SEARCH(","&amp;TRIM(TEXTSPLIT(HS89,","))&amp;",",","&amp;SUBSTITUTE(input_story_categories," ","")&amp;",")))=0)),IF(HU89="",TRUE,IF(input_story_categories="",FALSE,SUMPRODUCT(--ISNUMBER(SEARCH(","&amp;TRIM(TEXTSPLIT(HU89,","))&amp;",",","&amp;SUBSTITUTE(input_story_categories," ","")&amp;",")))&gt;0)),IF(HW89="",TRUE,IF(input_story_categories="",FALSE,SUMPRODUCT(--ISNUMBER(SEARCH(","&amp;TRIM(TEXTSPLIT(HW89,","))&amp;",",","&amp;SUBSTITUTE(input_story_categories," ","")&amp;",")))=COUNTA(TEXTSPLIT(HW89,",")))))</f>
        <v/>
      </c>
      <c r="JP89">
        <f>AND(IF(HY89="",TRUE,IF(input_story_type="",FALSE,SUMPRODUCT(--ISNUMBER(SEARCH(","&amp;TRIM(TEXTSPLIT(HY89,","))&amp;",",","&amp;SUBSTITUTE(input_story_type," ","")&amp;",")))&gt;0)),IF(IA89="",TRUE,IF(input_story_type="",FALSE,SUMPRODUCT(--ISNUMBER(SEARCH(","&amp;TRIM(TEXTSPLIT(IA89,","))&amp;",",","&amp;SUBSTITUTE(input_story_type," ","")&amp;",")))=COUNTA(TEXTSPLIT(IA89,",")))),IF(IC89="",TRUE,IF(input_story_type="",TRUE,SUMPRODUCT(--ISNUMBER(SEARCH(","&amp;TRIM(TEXTSPLIT(IC89,","))&amp;",",","&amp;SUBSTITUTE(input_story_type," ","")&amp;",")))=0)),IF(IE89="",TRUE,IF(input_story_type="",FALSE,SUMPRODUCT(--ISNUMBER(SEARCH(","&amp;TRIM(TEXTSPLIT(IE89,","))&amp;",",","&amp;SUBSTITUTE(input_story_type," ","")&amp;",")))&gt;0)),IF(IG89="",TRUE,IF(input_story_type="",FALSE,SUMPRODUCT(--ISNUMBER(SEARCH(","&amp;TRIM(TEXTSPLIT(IG89,","))&amp;",",","&amp;SUBSTITUTE(input_story_type," ","")&amp;",")))=COUNTA(TEXTSPLIT(IG89,",")))))</f>
        <v/>
      </c>
      <c r="JQ89">
        <f>AND(IF(II89="",TRUE,IF(input_topics="",FALSE,SUMPRODUCT(--ISNUMBER(SEARCH(","&amp;TRIM(TEXTSPLIT(II89,","))&amp;",",","&amp;SUBSTITUTE(input_topics," ","")&amp;",")))&gt;0)),IF(IK89="",TRUE,IF(input_topics="",FALSE,SUMPRODUCT(--ISNUMBER(SEARCH(","&amp;TRIM(TEXTSPLIT(IK89,","))&amp;",",","&amp;SUBSTITUTE(input_topics," ","")&amp;",")))=COUNTA(TEXTSPLIT(IK89,",")))),IF(IM89="",TRUE,IF(input_topics="",TRUE,SUMPRODUCT(--ISNUMBER(SEARCH(","&amp;TRIM(TEXTSPLIT(IM89,","))&amp;",",","&amp;SUBSTITUTE(input_topics," ","")&amp;",")))=0)),IF(IO89="",TRUE,IF(input_topics="",FALSE,SUMPRODUCT(--ISNUMBER(SEARCH(","&amp;TRIM(TEXTSPLIT(IO89,","))&amp;",",","&amp;SUBSTITUTE(input_topics," ","")&amp;",")))&gt;0)),IF(IQ89="",TRUE,IF(input_topics="",FALSE,SUMPRODUCT(--ISNUMBER(SEARCH(","&amp;TRIM(TEXTSPLIT(IQ89,","))&amp;",",","&amp;SUBSTITUTE(input_topics," ","")&amp;",")))=COUNTA(TEXTSPLIT(IQ89,",")))))</f>
        <v/>
      </c>
    </row>
    <row r="90">
      <c r="A90" s="4">
        <f>IF(NOT(IS90),"Excluded",IF(AND(IT90,IU90,IV90,IW90,IX90,IY90,IZ90,JA90,JB90,JC90,JD90,JE90,JF90,JG90,JH90,JI90,JJ90,JK90,JL90,JM90,JN90,JO90,JP90,JQ90),IF(I90&gt;0,"Eligible but limited","Will appear"),"Excluded"))</f>
        <v/>
      </c>
      <c r="B90" s="4" t="inlineStr">
        <is>
          <t>Conferences &amp; Events</t>
        </is>
      </c>
      <c r="C90" s="4" t="inlineStr">
        <is>
          <t>/the-som-experience/life-at-yale-som/conferences-events</t>
        </is>
      </c>
      <c r="D90" s="4" t="inlineStr">
        <is>
          <t>/the-som-experience/life-at-yale-som/conferences-events</t>
        </is>
      </c>
      <c r="E90" s="4" t="n">
        <v>1</v>
      </c>
      <c r="F90" s="4" t="inlineStr">
        <is>
          <t>event</t>
        </is>
      </c>
      <c r="G90" s="4" t="inlineStr">
        <is>
          <t>event_list</t>
        </is>
      </c>
      <c r="H90" s="4" t="inlineStr">
        <is>
          <t>embed_no_filters</t>
        </is>
      </c>
      <c r="I90" s="4" t="n">
        <v>8</v>
      </c>
      <c r="J90" s="4" t="inlineStr">
        <is>
          <t>Explicit args</t>
        </is>
      </c>
      <c r="K90" s="4" t="inlineStr">
        <is>
          <t>Page placement</t>
        </is>
      </c>
      <c r="L90" s="4" t="inlineStr">
        <is>
          <t>Content type: event; Context uses Event Type: Conferences (330); Limited to 8 item(s); Source: Explicit args</t>
        </is>
      </c>
      <c r="M90" t="inlineStr"/>
      <c r="N90" t="inlineStr"/>
      <c r="O90" t="inlineStr"/>
      <c r="P90" t="inlineStr"/>
      <c r="Q90" t="inlineStr"/>
      <c r="R90" t="inlineStr"/>
      <c r="S90" t="inlineStr"/>
      <c r="T90" t="inlineStr"/>
      <c r="U90" t="inlineStr"/>
      <c r="V90" t="inlineStr"/>
      <c r="W90" t="inlineStr"/>
      <c r="X90" t="inlineStr"/>
      <c r="Y90" t="inlineStr"/>
      <c r="Z90" t="inlineStr"/>
      <c r="AA90" t="inlineStr"/>
      <c r="AB90" t="inlineStr"/>
      <c r="AC90" t="inlineStr"/>
      <c r="AD90" t="inlineStr"/>
      <c r="AE90" t="inlineStr"/>
      <c r="AF90" t="inlineStr"/>
      <c r="AG90" t="inlineStr"/>
      <c r="AH90" t="inlineStr"/>
      <c r="AI90" t="inlineStr"/>
      <c r="AJ90" t="inlineStr"/>
      <c r="AK90" t="inlineStr"/>
      <c r="AL90" t="inlineStr"/>
      <c r="AM90" t="inlineStr"/>
      <c r="AN90" t="inlineStr"/>
      <c r="AO90" t="inlineStr"/>
      <c r="AP90" t="inlineStr"/>
      <c r="AQ90" t="inlineStr"/>
      <c r="AR90" t="inlineStr"/>
      <c r="AS90" t="inlineStr"/>
      <c r="AT90" t="inlineStr"/>
      <c r="AU90" t="inlineStr"/>
      <c r="AV90" t="inlineStr"/>
      <c r="AW90" t="inlineStr"/>
      <c r="AX90" t="inlineStr"/>
      <c r="AY90" t="inlineStr"/>
      <c r="AZ90" t="inlineStr"/>
      <c r="BA90" t="inlineStr"/>
      <c r="BB90" t="inlineStr"/>
      <c r="BC90" t="inlineStr"/>
      <c r="BD90" t="inlineStr"/>
      <c r="BE90" t="inlineStr"/>
      <c r="BF90" t="inlineStr"/>
      <c r="BG90" t="inlineStr"/>
      <c r="BH90" t="inlineStr"/>
      <c r="BI90" t="inlineStr"/>
      <c r="BJ90" t="inlineStr"/>
      <c r="BK90" t="inlineStr"/>
      <c r="BL90" t="inlineStr"/>
      <c r="BM90" t="inlineStr"/>
      <c r="BN90" t="inlineStr"/>
      <c r="BO90" t="inlineStr"/>
      <c r="BP90" t="inlineStr"/>
      <c r="BQ90" t="inlineStr"/>
      <c r="BR90" t="inlineStr"/>
      <c r="BS90" t="inlineStr"/>
      <c r="BT90" t="inlineStr"/>
      <c r="BU90" t="inlineStr"/>
      <c r="BV90" t="inlineStr"/>
      <c r="BW90" t="inlineStr"/>
      <c r="BX90" t="inlineStr"/>
      <c r="BY90" t="inlineStr"/>
      <c r="BZ90" t="inlineStr"/>
      <c r="CA90" t="inlineStr"/>
      <c r="CB90" t="inlineStr"/>
      <c r="CC90" t="inlineStr"/>
      <c r="CD90" t="inlineStr"/>
      <c r="CE90" t="inlineStr"/>
      <c r="CF90" t="inlineStr"/>
      <c r="CG90" t="inlineStr"/>
      <c r="CH90" t="inlineStr"/>
      <c r="CI90" t="inlineStr"/>
      <c r="CJ90" t="inlineStr"/>
      <c r="CK90" t="inlineStr"/>
      <c r="CL90" t="inlineStr"/>
      <c r="CM90" t="inlineStr"/>
      <c r="CN90" t="inlineStr"/>
      <c r="CO90" t="inlineStr"/>
      <c r="CP90" t="inlineStr"/>
      <c r="CQ90" t="inlineStr"/>
      <c r="CR90" t="inlineStr"/>
      <c r="CS90" t="inlineStr"/>
      <c r="CT90" t="inlineStr"/>
      <c r="CU90" t="inlineStr"/>
      <c r="CV90" t="inlineStr"/>
      <c r="CW90" t="inlineStr"/>
      <c r="CX90" t="inlineStr"/>
      <c r="CY90" t="inlineStr"/>
      <c r="CZ90" t="inlineStr"/>
      <c r="DA90" t="inlineStr"/>
      <c r="DB90" t="inlineStr"/>
      <c r="DC90" t="inlineStr"/>
      <c r="DD90" t="inlineStr"/>
      <c r="DE90" t="inlineStr">
        <is>
          <t>330</t>
        </is>
      </c>
      <c r="DF90" t="inlineStr">
        <is>
          <t>Conferences (330)</t>
        </is>
      </c>
      <c r="DG90" t="inlineStr"/>
      <c r="DH90" t="inlineStr"/>
      <c r="DI90" t="inlineStr"/>
      <c r="DJ90" t="inlineStr"/>
      <c r="DK90" t="inlineStr"/>
      <c r="DL90" t="inlineStr"/>
      <c r="DM90" t="inlineStr"/>
      <c r="DN90" t="inlineStr"/>
      <c r="DO90" t="inlineStr"/>
      <c r="DP90" t="inlineStr"/>
      <c r="DQ90" t="inlineStr"/>
      <c r="DR90" t="inlineStr"/>
      <c r="DS90" t="inlineStr"/>
      <c r="DT90" t="inlineStr"/>
      <c r="DU90" t="inlineStr"/>
      <c r="DV90" t="inlineStr"/>
      <c r="DW90" t="inlineStr"/>
      <c r="DX90" t="inlineStr"/>
      <c r="DY90" t="inlineStr"/>
      <c r="DZ90" t="inlineStr"/>
      <c r="EA90" t="inlineStr"/>
      <c r="EB90" t="inlineStr"/>
      <c r="EC90" t="inlineStr"/>
      <c r="ED90" t="inlineStr"/>
      <c r="EE90" t="inlineStr"/>
      <c r="EF90" t="inlineStr"/>
      <c r="EG90" t="inlineStr"/>
      <c r="EH90" t="inlineStr"/>
      <c r="EI90" t="inlineStr"/>
      <c r="EJ90" t="inlineStr"/>
      <c r="EK90" t="inlineStr"/>
      <c r="EL90" t="inlineStr"/>
      <c r="EM90" t="inlineStr"/>
      <c r="EN90" t="inlineStr"/>
      <c r="EO90" t="inlineStr"/>
      <c r="EP90" t="inlineStr"/>
      <c r="EQ90" t="inlineStr"/>
      <c r="ER90" t="inlineStr"/>
      <c r="ES90" t="inlineStr"/>
      <c r="ET90" t="inlineStr"/>
      <c r="EU90" t="inlineStr"/>
      <c r="EV90" t="inlineStr"/>
      <c r="EW90" t="inlineStr"/>
      <c r="EX90" t="inlineStr"/>
      <c r="EY90" t="inlineStr"/>
      <c r="EZ90" t="inlineStr"/>
      <c r="FA90" t="inlineStr"/>
      <c r="FB90" t="inlineStr"/>
      <c r="FC90" t="inlineStr"/>
      <c r="FD90" t="inlineStr"/>
      <c r="FE90" t="inlineStr"/>
      <c r="FF90" t="inlineStr"/>
      <c r="FG90" t="inlineStr"/>
      <c r="FH90" t="inlineStr"/>
      <c r="FI90" t="inlineStr"/>
      <c r="FJ90" t="inlineStr"/>
      <c r="FK90" t="inlineStr"/>
      <c r="FL90" t="inlineStr"/>
      <c r="FM90" t="inlineStr"/>
      <c r="FN90" t="inlineStr"/>
      <c r="FO90" t="inlineStr"/>
      <c r="FP90" t="inlineStr"/>
      <c r="FQ90" t="inlineStr"/>
      <c r="FR90" t="inlineStr"/>
      <c r="FS90" t="inlineStr"/>
      <c r="FT90" t="inlineStr"/>
      <c r="FU90" t="inlineStr"/>
      <c r="FV90" t="inlineStr"/>
      <c r="FW90" t="inlineStr"/>
      <c r="FX90" t="inlineStr"/>
      <c r="FY90" t="inlineStr"/>
      <c r="FZ90" t="inlineStr"/>
      <c r="GA90" t="inlineStr"/>
      <c r="GB90" t="inlineStr"/>
      <c r="GC90" t="inlineStr"/>
      <c r="GD90" t="inlineStr"/>
      <c r="GE90" t="inlineStr"/>
      <c r="GF90" t="inlineStr"/>
      <c r="GG90" t="inlineStr"/>
      <c r="GH90" t="inlineStr"/>
      <c r="GI90" t="inlineStr"/>
      <c r="GJ90" t="inlineStr"/>
      <c r="GK90" t="inlineStr"/>
      <c r="GL90" t="inlineStr"/>
      <c r="GM90" t="inlineStr"/>
      <c r="GN90" t="inlineStr"/>
      <c r="GO90" t="inlineStr"/>
      <c r="GP90" t="inlineStr"/>
      <c r="GQ90" t="inlineStr"/>
      <c r="GR90" t="inlineStr"/>
      <c r="GS90" t="inlineStr"/>
      <c r="GT90" t="inlineStr"/>
      <c r="GU90" t="inlineStr"/>
      <c r="GV90" t="inlineStr"/>
      <c r="GW90" t="inlineStr"/>
      <c r="GX90" t="inlineStr"/>
      <c r="GY90" t="inlineStr"/>
      <c r="GZ90" t="inlineStr"/>
      <c r="HA90" t="inlineStr"/>
      <c r="HB90" t="inlineStr"/>
      <c r="HC90" t="inlineStr"/>
      <c r="HD90" t="inlineStr"/>
      <c r="HE90" t="inlineStr"/>
      <c r="HF90" t="inlineStr"/>
      <c r="HG90" t="inlineStr"/>
      <c r="HH90" t="inlineStr"/>
      <c r="HI90" t="inlineStr"/>
      <c r="HJ90" t="inlineStr"/>
      <c r="HK90" t="inlineStr"/>
      <c r="HL90" t="inlineStr"/>
      <c r="HM90" t="inlineStr"/>
      <c r="HN90" t="inlineStr"/>
      <c r="HO90" t="inlineStr"/>
      <c r="HP90" t="inlineStr"/>
      <c r="HQ90" t="inlineStr"/>
      <c r="HR90" t="inlineStr"/>
      <c r="HS90" t="inlineStr"/>
      <c r="HT90" t="inlineStr"/>
      <c r="HU90" t="inlineStr"/>
      <c r="HV90" t="inlineStr"/>
      <c r="HW90" t="inlineStr"/>
      <c r="HX90" t="inlineStr"/>
      <c r="HY90" t="inlineStr"/>
      <c r="HZ90" t="inlineStr"/>
      <c r="IA90" t="inlineStr"/>
      <c r="IB90" t="inlineStr"/>
      <c r="IC90" t="inlineStr"/>
      <c r="ID90" t="inlineStr"/>
      <c r="IE90" t="inlineStr"/>
      <c r="IF90" t="inlineStr"/>
      <c r="IG90" t="inlineStr"/>
      <c r="IH90" t="inlineStr"/>
      <c r="II90" t="inlineStr"/>
      <c r="IJ90" t="inlineStr"/>
      <c r="IK90" t="inlineStr"/>
      <c r="IL90" t="inlineStr"/>
      <c r="IM90" t="inlineStr"/>
      <c r="IN90" t="inlineStr"/>
      <c r="IO90" t="inlineStr"/>
      <c r="IP90" t="inlineStr"/>
      <c r="IQ90" t="inlineStr"/>
      <c r="IR90" t="inlineStr"/>
      <c r="IS90">
        <f>IF(input_content_type="",FALSE,ISNUMBER(SEARCH(","&amp;LOWER(input_content_type)&amp;",",","&amp;LOWER(F90)&amp;",")))</f>
        <v/>
      </c>
      <c r="IT90">
        <f>AND(IF(M90="",TRUE,IF(input_affiliations="",FALSE,SUMPRODUCT(--ISNUMBER(SEARCH(","&amp;TRIM(TEXTSPLIT(M90,","))&amp;",",","&amp;SUBSTITUTE(input_affiliations," ","")&amp;",")))&gt;0)),IF(O90="",TRUE,IF(input_affiliations="",FALSE,SUMPRODUCT(--ISNUMBER(SEARCH(","&amp;TRIM(TEXTSPLIT(O90,","))&amp;",",","&amp;SUBSTITUTE(input_affiliations," ","")&amp;",")))=COUNTA(TEXTSPLIT(O90,",")))),IF(Q90="",TRUE,IF(input_affiliations="",TRUE,SUMPRODUCT(--ISNUMBER(SEARCH(","&amp;TRIM(TEXTSPLIT(Q90,","))&amp;",",","&amp;SUBSTITUTE(input_affiliations," ","")&amp;",")))=0)),IF(S90="",TRUE,IF(input_affiliations="",FALSE,SUMPRODUCT(--ISNUMBER(SEARCH(","&amp;TRIM(TEXTSPLIT(S90,","))&amp;",",","&amp;SUBSTITUTE(input_affiliations," ","")&amp;",")))&gt;0)),IF(U90="",TRUE,IF(input_affiliations="",FALSE,SUMPRODUCT(--ISNUMBER(SEARCH(","&amp;TRIM(TEXTSPLIT(U90,","))&amp;",",","&amp;SUBSTITUTE(input_affiliations," ","")&amp;",")))=COUNTA(TEXTSPLIT(U90,",")))))</f>
        <v/>
      </c>
      <c r="IU90">
        <f>AND(IF(W90="",TRUE,IF(input_announcement_category="",FALSE,SUMPRODUCT(--ISNUMBER(SEARCH(","&amp;TRIM(TEXTSPLIT(W90,","))&amp;",",","&amp;SUBSTITUTE(input_announcement_category," ","")&amp;",")))&gt;0)),IF(Y90="",TRUE,IF(input_announcement_category="",FALSE,SUMPRODUCT(--ISNUMBER(SEARCH(","&amp;TRIM(TEXTSPLIT(Y90,","))&amp;",",","&amp;SUBSTITUTE(input_announcement_category," ","")&amp;",")))=COUNTA(TEXTSPLIT(Y90,",")))),IF(AA90="",TRUE,IF(input_announcement_category="",TRUE,SUMPRODUCT(--ISNUMBER(SEARCH(","&amp;TRIM(TEXTSPLIT(AA90,","))&amp;",",","&amp;SUBSTITUTE(input_announcement_category," ","")&amp;",")))=0)),IF(AC90="",TRUE,IF(input_announcement_category="",FALSE,SUMPRODUCT(--ISNUMBER(SEARCH(","&amp;TRIM(TEXTSPLIT(AC90,","))&amp;",",","&amp;SUBSTITUTE(input_announcement_category," ","")&amp;",")))&gt;0)),IF(AE90="",TRUE,IF(input_announcement_category="",FALSE,SUMPRODUCT(--ISNUMBER(SEARCH(","&amp;TRIM(TEXTSPLIT(AE90,","))&amp;",",","&amp;SUBSTITUTE(input_announcement_category," ","")&amp;",")))=COUNTA(TEXTSPLIT(AE90,",")))))</f>
        <v/>
      </c>
      <c r="IV90">
        <f>AND(IF(AG90="",TRUE,IF(input_area_of_focus="",FALSE,SUMPRODUCT(--ISNUMBER(SEARCH(","&amp;TRIM(TEXTSPLIT(AG90,","))&amp;",",","&amp;SUBSTITUTE(input_area_of_focus," ","")&amp;",")))&gt;0)),IF(AI90="",TRUE,IF(input_area_of_focus="",FALSE,SUMPRODUCT(--ISNUMBER(SEARCH(","&amp;TRIM(TEXTSPLIT(AI90,","))&amp;",",","&amp;SUBSTITUTE(input_area_of_focus," ","")&amp;",")))=COUNTA(TEXTSPLIT(AI90,",")))),IF(AK90="",TRUE,IF(input_area_of_focus="",TRUE,SUMPRODUCT(--ISNUMBER(SEARCH(","&amp;TRIM(TEXTSPLIT(AK90,","))&amp;",",","&amp;SUBSTITUTE(input_area_of_focus," ","")&amp;",")))=0)),IF(AM90="",TRUE,IF(input_area_of_focus="",FALSE,SUMPRODUCT(--ISNUMBER(SEARCH(","&amp;TRIM(TEXTSPLIT(AM90,","))&amp;",",","&amp;SUBSTITUTE(input_area_of_focus," ","")&amp;",")))&gt;0)),IF(AO90="",TRUE,IF(input_area_of_focus="",FALSE,SUMPRODUCT(--ISNUMBER(SEARCH(","&amp;TRIM(TEXTSPLIT(AO90,","))&amp;",",","&amp;SUBSTITUTE(input_area_of_focus," ","")&amp;",")))=COUNTA(TEXTSPLIT(AO90,",")))))</f>
        <v/>
      </c>
      <c r="IW90">
        <f>AND(IF(AQ90="",TRUE,IF(input_audience="",FALSE,SUMPRODUCT(--ISNUMBER(SEARCH(","&amp;TRIM(TEXTSPLIT(AQ90,","))&amp;",",","&amp;SUBSTITUTE(input_audience," ","")&amp;",")))&gt;0)),IF(AS90="",TRUE,IF(input_audience="",FALSE,SUMPRODUCT(--ISNUMBER(SEARCH(","&amp;TRIM(TEXTSPLIT(AS90,","))&amp;",",","&amp;SUBSTITUTE(input_audience," ","")&amp;",")))=COUNTA(TEXTSPLIT(AS90,",")))),IF(AU90="",TRUE,IF(input_audience="",TRUE,SUMPRODUCT(--ISNUMBER(SEARCH(","&amp;TRIM(TEXTSPLIT(AU90,","))&amp;",",","&amp;SUBSTITUTE(input_audience," ","")&amp;",")))=0)),IF(AW90="",TRUE,IF(input_audience="",FALSE,SUMPRODUCT(--ISNUMBER(SEARCH(","&amp;TRIM(TEXTSPLIT(AW90,","))&amp;",",","&amp;SUBSTITUTE(input_audience," ","")&amp;",")))&gt;0)),IF(AY90="",TRUE,IF(input_audience="",FALSE,SUMPRODUCT(--ISNUMBER(SEARCH(","&amp;TRIM(TEXTSPLIT(AY90,","))&amp;",",","&amp;SUBSTITUTE(input_audience," ","")&amp;",")))=COUNTA(TEXTSPLIT(AY90,",")))))</f>
        <v/>
      </c>
      <c r="IX90">
        <f>AND(IF(BA90="",TRUE,IF(input_challenge_opportunities="",FALSE,SUMPRODUCT(--ISNUMBER(SEARCH(","&amp;TRIM(TEXTSPLIT(BA90,","))&amp;",",","&amp;SUBSTITUTE(input_challenge_opportunities," ","")&amp;",")))&gt;0)),IF(BC90="",TRUE,IF(input_challenge_opportunities="",FALSE,SUMPRODUCT(--ISNUMBER(SEARCH(","&amp;TRIM(TEXTSPLIT(BC90,","))&amp;",",","&amp;SUBSTITUTE(input_challenge_opportunities," ","")&amp;",")))=COUNTA(TEXTSPLIT(BC90,",")))),IF(BE90="",TRUE,IF(input_challenge_opportunities="",TRUE,SUMPRODUCT(--ISNUMBER(SEARCH(","&amp;TRIM(TEXTSPLIT(BE90,","))&amp;",",","&amp;SUBSTITUTE(input_challenge_opportunities," ","")&amp;",")))=0)),IF(BG90="",TRUE,IF(input_challenge_opportunities="",FALSE,SUMPRODUCT(--ISNUMBER(SEARCH(","&amp;TRIM(TEXTSPLIT(BG90,","))&amp;",",","&amp;SUBSTITUTE(input_challenge_opportunities," ","")&amp;",")))&gt;0)),IF(BI90="",TRUE,IF(input_challenge_opportunities="",FALSE,SUMPRODUCT(--ISNUMBER(SEARCH(","&amp;TRIM(TEXTSPLIT(BI90,","))&amp;",",","&amp;SUBSTITUTE(input_challenge_opportunities," ","")&amp;",")))=COUNTA(TEXTSPLIT(BI90,",")))))</f>
        <v/>
      </c>
      <c r="IY90">
        <f>AND(IF(BK90="",TRUE,IF(input_context="",FALSE,SUMPRODUCT(--ISNUMBER(SEARCH(","&amp;TRIM(TEXTSPLIT(BK90,","))&amp;",",","&amp;SUBSTITUTE(input_context," ","")&amp;",")))&gt;0)),IF(BM90="",TRUE,IF(input_context="",FALSE,SUMPRODUCT(--ISNUMBER(SEARCH(","&amp;TRIM(TEXTSPLIT(BM90,","))&amp;",",","&amp;SUBSTITUTE(input_context," ","")&amp;",")))=COUNTA(TEXTSPLIT(BM90,",")))),IF(BO90="",TRUE,IF(input_context="",TRUE,SUMPRODUCT(--ISNUMBER(SEARCH(","&amp;TRIM(TEXTSPLIT(BO90,","))&amp;",",","&amp;SUBSTITUTE(input_context," ","")&amp;",")))=0)),IF(BQ90="",TRUE,IF(input_context="",FALSE,SUMPRODUCT(--ISNUMBER(SEARCH(","&amp;TRIM(TEXTSPLIT(BQ90,","))&amp;",",","&amp;SUBSTITUTE(input_context," ","")&amp;",")))&gt;0)),IF(BS90="",TRUE,IF(input_context="",FALSE,SUMPRODUCT(--ISNUMBER(SEARCH(","&amp;TRIM(TEXTSPLIT(BS90,","))&amp;",",","&amp;SUBSTITUTE(input_context," ","")&amp;",")))=COUNTA(TEXTSPLIT(BS90,",")))))</f>
        <v/>
      </c>
      <c r="IZ90">
        <f>AND(IF(BU90="",TRUE,IF(input_enews_announcement_type="",FALSE,SUMPRODUCT(--ISNUMBER(SEARCH(","&amp;TRIM(TEXTSPLIT(BU90,","))&amp;",",","&amp;SUBSTITUTE(input_enews_announcement_type," ","")&amp;",")))&gt;0)),IF(BW90="",TRUE,IF(input_enews_announcement_type="",FALSE,SUMPRODUCT(--ISNUMBER(SEARCH(","&amp;TRIM(TEXTSPLIT(BW90,","))&amp;",",","&amp;SUBSTITUTE(input_enews_announcement_type," ","")&amp;",")))=COUNTA(TEXTSPLIT(BW90,",")))),IF(BY90="",TRUE,IF(input_enews_announcement_type="",TRUE,SUMPRODUCT(--ISNUMBER(SEARCH(","&amp;TRIM(TEXTSPLIT(BY90,","))&amp;",",","&amp;SUBSTITUTE(input_enews_announcement_type," ","")&amp;",")))=0)),IF(CA90="",TRUE,IF(input_enews_announcement_type="",FALSE,SUMPRODUCT(--ISNUMBER(SEARCH(","&amp;TRIM(TEXTSPLIT(CA90,","))&amp;",",","&amp;SUBSTITUTE(input_enews_announcement_type," ","")&amp;",")))&gt;0)),IF(CC90="",TRUE,IF(input_enews_announcement_type="",FALSE,SUMPRODUCT(--ISNUMBER(SEARCH(","&amp;TRIM(TEXTSPLIT(CC90,","))&amp;",",","&amp;SUBSTITUTE(input_enews_announcement_type," ","")&amp;",")))=COUNTA(TEXTSPLIT(CC90,",")))))</f>
        <v/>
      </c>
      <c r="JA90">
        <f>AND(IF(CE90="",TRUE,IF(input_enews_audience="",FALSE,SUMPRODUCT(--ISNUMBER(SEARCH(","&amp;TRIM(TEXTSPLIT(CE90,","))&amp;",",","&amp;SUBSTITUTE(input_enews_audience," ","")&amp;",")))&gt;0)),IF(CG90="",TRUE,IF(input_enews_audience="",FALSE,SUMPRODUCT(--ISNUMBER(SEARCH(","&amp;TRIM(TEXTSPLIT(CG90,","))&amp;",",","&amp;SUBSTITUTE(input_enews_audience," ","")&amp;",")))=COUNTA(TEXTSPLIT(CG90,",")))),IF(CI90="",TRUE,IF(input_enews_audience="",TRUE,SUMPRODUCT(--ISNUMBER(SEARCH(","&amp;TRIM(TEXTSPLIT(CI90,","))&amp;",",","&amp;SUBSTITUTE(input_enews_audience," ","")&amp;",")))=0)),IF(CK90="",TRUE,IF(input_enews_audience="",FALSE,SUMPRODUCT(--ISNUMBER(SEARCH(","&amp;TRIM(TEXTSPLIT(CK90,","))&amp;",",","&amp;SUBSTITUTE(input_enews_audience," ","")&amp;",")))&gt;0)),IF(CM90="",TRUE,IF(input_enews_audience="",FALSE,SUMPRODUCT(--ISNUMBER(SEARCH(","&amp;TRIM(TEXTSPLIT(CM90,","))&amp;",",","&amp;SUBSTITUTE(input_enews_audience," ","")&amp;",")))=COUNTA(TEXTSPLIT(CM90,",")))))</f>
        <v/>
      </c>
      <c r="JB90">
        <f>AND(IF(CO90="",TRUE,IF(input_event_location="",FALSE,SUMPRODUCT(--ISNUMBER(SEARCH(","&amp;TRIM(TEXTSPLIT(CO90,","))&amp;",",","&amp;SUBSTITUTE(input_event_location," ","")&amp;",")))&gt;0)),IF(CQ90="",TRUE,IF(input_event_location="",FALSE,SUMPRODUCT(--ISNUMBER(SEARCH(","&amp;TRIM(TEXTSPLIT(CQ90,","))&amp;",",","&amp;SUBSTITUTE(input_event_location," ","")&amp;",")))=COUNTA(TEXTSPLIT(CQ90,",")))),IF(CS90="",TRUE,IF(input_event_location="",TRUE,SUMPRODUCT(--ISNUMBER(SEARCH(","&amp;TRIM(TEXTSPLIT(CS90,","))&amp;",",","&amp;SUBSTITUTE(input_event_location," ","")&amp;",")))=0)),IF(CU90="",TRUE,IF(input_event_location="",FALSE,SUMPRODUCT(--ISNUMBER(SEARCH(","&amp;TRIM(TEXTSPLIT(CU90,","))&amp;",",","&amp;SUBSTITUTE(input_event_location," ","")&amp;",")))&gt;0)),IF(CW90="",TRUE,IF(input_event_location="",FALSE,SUMPRODUCT(--ISNUMBER(SEARCH(","&amp;TRIM(TEXTSPLIT(CW90,","))&amp;",",","&amp;SUBSTITUTE(input_event_location," ","")&amp;",")))=COUNTA(TEXTSPLIT(CW90,",")))))</f>
        <v/>
      </c>
      <c r="JC90">
        <f>AND(IF(CY90="",TRUE,IF(input_event_type="",FALSE,SUMPRODUCT(--ISNUMBER(SEARCH(","&amp;TRIM(TEXTSPLIT(CY90,","))&amp;",",","&amp;SUBSTITUTE(input_event_type," ","")&amp;",")))&gt;0)),IF(DA90="",TRUE,IF(input_event_type="",FALSE,SUMPRODUCT(--ISNUMBER(SEARCH(","&amp;TRIM(TEXTSPLIT(DA90,","))&amp;",",","&amp;SUBSTITUTE(input_event_type," ","")&amp;",")))=COUNTA(TEXTSPLIT(DA90,",")))),IF(DC90="",TRUE,IF(input_event_type="",TRUE,SUMPRODUCT(--ISNUMBER(SEARCH(","&amp;TRIM(TEXTSPLIT(DC90,","))&amp;",",","&amp;SUBSTITUTE(input_event_type," ","")&amp;",")))=0)),IF(DE90="",TRUE,IF(input_event_type="",FALSE,SUMPRODUCT(--ISNUMBER(SEARCH(","&amp;TRIM(TEXTSPLIT(DE90,","))&amp;",",","&amp;SUBSTITUTE(input_event_type," ","")&amp;",")))&gt;0)),IF(DG90="",TRUE,IF(input_event_type="",FALSE,SUMPRODUCT(--ISNUMBER(SEARCH(","&amp;TRIM(TEXTSPLIT(DG90,","))&amp;",",","&amp;SUBSTITUTE(input_event_type," ","")&amp;",")))=COUNTA(TEXTSPLIT(DG90,",")))))</f>
        <v/>
      </c>
      <c r="JD90">
        <f>AND(IF(DI90="",TRUE,IF(input_executive_education_focus="",FALSE,SUMPRODUCT(--ISNUMBER(SEARCH(","&amp;TRIM(TEXTSPLIT(DI90,","))&amp;",",","&amp;SUBSTITUTE(input_executive_education_focus," ","")&amp;",")))&gt;0)),IF(DK90="",TRUE,IF(input_executive_education_focus="",FALSE,SUMPRODUCT(--ISNUMBER(SEARCH(","&amp;TRIM(TEXTSPLIT(DK90,","))&amp;",",","&amp;SUBSTITUTE(input_executive_education_focus," ","")&amp;",")))=COUNTA(TEXTSPLIT(DK90,",")))),IF(DM90="",TRUE,IF(input_executive_education_focus="",TRUE,SUMPRODUCT(--ISNUMBER(SEARCH(","&amp;TRIM(TEXTSPLIT(DM90,","))&amp;",",","&amp;SUBSTITUTE(input_executive_education_focus," ","")&amp;",")))=0)),IF(DO90="",TRUE,IF(input_executive_education_focus="",FALSE,SUMPRODUCT(--ISNUMBER(SEARCH(","&amp;TRIM(TEXTSPLIT(DO90,","))&amp;",",","&amp;SUBSTITUTE(input_executive_education_focus," ","")&amp;",")))&gt;0)),IF(DQ90="",TRUE,IF(input_executive_education_focus="",FALSE,SUMPRODUCT(--ISNUMBER(SEARCH(","&amp;TRIM(TEXTSPLIT(DQ90,","))&amp;",",","&amp;SUBSTITUTE(input_executive_education_focus," ","")&amp;",")))=COUNTA(TEXTSPLIT(DQ90,",")))))</f>
        <v/>
      </c>
      <c r="JE90">
        <f>AND(IF(DS90="",TRUE,IF(input_faculty_category="",FALSE,SUMPRODUCT(--ISNUMBER(SEARCH(","&amp;TRIM(TEXTSPLIT(DS90,","))&amp;",",","&amp;SUBSTITUTE(input_faculty_category," ","")&amp;",")))&gt;0)),IF(DU90="",TRUE,IF(input_faculty_category="",FALSE,SUMPRODUCT(--ISNUMBER(SEARCH(","&amp;TRIM(TEXTSPLIT(DU90,","))&amp;",",","&amp;SUBSTITUTE(input_faculty_category," ","")&amp;",")))=COUNTA(TEXTSPLIT(DU90,",")))),IF(DW90="",TRUE,IF(input_faculty_category="",TRUE,SUMPRODUCT(--ISNUMBER(SEARCH(","&amp;TRIM(TEXTSPLIT(DW90,","))&amp;",",","&amp;SUBSTITUTE(input_faculty_category," ","")&amp;",")))=0)),IF(DY90="",TRUE,IF(input_faculty_category="",FALSE,SUMPRODUCT(--ISNUMBER(SEARCH(","&amp;TRIM(TEXTSPLIT(DY90,","))&amp;",",","&amp;SUBSTITUTE(input_faculty_category," ","")&amp;",")))&gt;0)),IF(EA90="",TRUE,IF(input_faculty_category="",FALSE,SUMPRODUCT(--ISNUMBER(SEARCH(","&amp;TRIM(TEXTSPLIT(EA90,","))&amp;",",","&amp;SUBSTITUTE(input_faculty_category," ","")&amp;",")))=COUNTA(TEXTSPLIT(EA90,",")))))</f>
        <v/>
      </c>
      <c r="JF90">
        <f>AND(IF(EC90="",TRUE,IF(input_faculty_discipline="",FALSE,SUMPRODUCT(--ISNUMBER(SEARCH(","&amp;TRIM(TEXTSPLIT(EC90,","))&amp;",",","&amp;SUBSTITUTE(input_faculty_discipline," ","")&amp;",")))&gt;0)),IF(EE90="",TRUE,IF(input_faculty_discipline="",FALSE,SUMPRODUCT(--ISNUMBER(SEARCH(","&amp;TRIM(TEXTSPLIT(EE90,","))&amp;",",","&amp;SUBSTITUTE(input_faculty_discipline," ","")&amp;",")))=COUNTA(TEXTSPLIT(EE90,",")))),IF(EG90="",TRUE,IF(input_faculty_discipline="",TRUE,SUMPRODUCT(--ISNUMBER(SEARCH(","&amp;TRIM(TEXTSPLIT(EG90,","))&amp;",",","&amp;SUBSTITUTE(input_faculty_discipline," ","")&amp;",")))=0)),IF(EI90="",TRUE,IF(input_faculty_discipline="",FALSE,SUMPRODUCT(--ISNUMBER(SEARCH(","&amp;TRIM(TEXTSPLIT(EI90,","))&amp;",",","&amp;SUBSTITUTE(input_faculty_discipline," ","")&amp;",")))&gt;0)),IF(EK90="",TRUE,IF(input_faculty_discipline="",FALSE,SUMPRODUCT(--ISNUMBER(SEARCH(","&amp;TRIM(TEXTSPLIT(EK90,","))&amp;",",","&amp;SUBSTITUTE(input_faculty_discipline," ","")&amp;",")))=COUNTA(TEXTSPLIT(EK90,",")))))</f>
        <v/>
      </c>
      <c r="JG90">
        <f>AND(IF(EM90="",TRUE,IF(input_faculty_expertise="",FALSE,SUMPRODUCT(--ISNUMBER(SEARCH(","&amp;TRIM(TEXTSPLIT(EM90,","))&amp;",",","&amp;SUBSTITUTE(input_faculty_expertise," ","")&amp;",")))&gt;0)),IF(EO90="",TRUE,IF(input_faculty_expertise="",FALSE,SUMPRODUCT(--ISNUMBER(SEARCH(","&amp;TRIM(TEXTSPLIT(EO90,","))&amp;",",","&amp;SUBSTITUTE(input_faculty_expertise," ","")&amp;",")))=COUNTA(TEXTSPLIT(EO90,",")))),IF(EQ90="",TRUE,IF(input_faculty_expertise="",TRUE,SUMPRODUCT(--ISNUMBER(SEARCH(","&amp;TRIM(TEXTSPLIT(EQ90,","))&amp;",",","&amp;SUBSTITUTE(input_faculty_expertise," ","")&amp;",")))=0)),IF(ES90="",TRUE,IF(input_faculty_expertise="",FALSE,SUMPRODUCT(--ISNUMBER(SEARCH(","&amp;TRIM(TEXTSPLIT(ES90,","))&amp;",",","&amp;SUBSTITUTE(input_faculty_expertise," ","")&amp;",")))&gt;0)),IF(EU90="",TRUE,IF(input_faculty_expertise="",FALSE,SUMPRODUCT(--ISNUMBER(SEARCH(","&amp;TRIM(TEXTSPLIT(EU90,","))&amp;",",","&amp;SUBSTITUTE(input_faculty_expertise," ","")&amp;",")))=COUNTA(TEXTSPLIT(EU90,",")))))</f>
        <v/>
      </c>
      <c r="JH90">
        <f>AND(IF(EW90="",TRUE,IF(input_global_network_school="",FALSE,SUMPRODUCT(--ISNUMBER(SEARCH(","&amp;TRIM(TEXTSPLIT(EW90,","))&amp;",",","&amp;SUBSTITUTE(input_global_network_school," ","")&amp;",")))&gt;0)),IF(EY90="",TRUE,IF(input_global_network_school="",FALSE,SUMPRODUCT(--ISNUMBER(SEARCH(","&amp;TRIM(TEXTSPLIT(EY90,","))&amp;",",","&amp;SUBSTITUTE(input_global_network_school," ","")&amp;",")))=COUNTA(TEXTSPLIT(EY90,",")))),IF(FA90="",TRUE,IF(input_global_network_school="",TRUE,SUMPRODUCT(--ISNUMBER(SEARCH(","&amp;TRIM(TEXTSPLIT(FA90,","))&amp;",",","&amp;SUBSTITUTE(input_global_network_school," ","")&amp;",")))=0)),IF(FC90="",TRUE,IF(input_global_network_school="",FALSE,SUMPRODUCT(--ISNUMBER(SEARCH(","&amp;TRIM(TEXTSPLIT(FC90,","))&amp;",",","&amp;SUBSTITUTE(input_global_network_school," ","")&amp;",")))&gt;0)),IF(FE90="",TRUE,IF(input_global_network_school="",FALSE,SUMPRODUCT(--ISNUMBER(SEARCH(","&amp;TRIM(TEXTSPLIT(FE90,","))&amp;",",","&amp;SUBSTITUTE(input_global_network_school," ","")&amp;",")))=COUNTA(TEXTSPLIT(FE90,",")))))</f>
        <v/>
      </c>
      <c r="JI90">
        <f>AND(IF(FG90="",TRUE,IF(input_industry="",FALSE,SUMPRODUCT(--ISNUMBER(SEARCH(","&amp;TRIM(TEXTSPLIT(FG90,","))&amp;",",","&amp;SUBSTITUTE(input_industry," ","")&amp;",")))&gt;0)),IF(FI90="",TRUE,IF(input_industry="",FALSE,SUMPRODUCT(--ISNUMBER(SEARCH(","&amp;TRIM(TEXTSPLIT(FI90,","))&amp;",",","&amp;SUBSTITUTE(input_industry," ","")&amp;",")))=COUNTA(TEXTSPLIT(FI90,",")))),IF(FK90="",TRUE,IF(input_industry="",TRUE,SUMPRODUCT(--ISNUMBER(SEARCH(","&amp;TRIM(TEXTSPLIT(FK90,","))&amp;",",","&amp;SUBSTITUTE(input_industry," ","")&amp;",")))=0)),IF(FM90="",TRUE,IF(input_industry="",FALSE,SUMPRODUCT(--ISNUMBER(SEARCH(","&amp;TRIM(TEXTSPLIT(FM90,","))&amp;",",","&amp;SUBSTITUTE(input_industry," ","")&amp;",")))&gt;0)),IF(FO90="",TRUE,IF(input_industry="",FALSE,SUMPRODUCT(--ISNUMBER(SEARCH(","&amp;TRIM(TEXTSPLIT(FO90,","))&amp;",",","&amp;SUBSTITUTE(input_industry," ","")&amp;",")))=COUNTA(TEXTSPLIT(FO90,",")))))</f>
        <v/>
      </c>
      <c r="JJ90">
        <f>AND(IF(FQ90="",TRUE,IF(input_location="",FALSE,SUMPRODUCT(--ISNUMBER(SEARCH(","&amp;TRIM(TEXTSPLIT(FQ90,","))&amp;",",","&amp;SUBSTITUTE(input_location," ","")&amp;",")))&gt;0)),IF(FS90="",TRUE,IF(input_location="",FALSE,SUMPRODUCT(--ISNUMBER(SEARCH(","&amp;TRIM(TEXTSPLIT(FS90,","))&amp;",",","&amp;SUBSTITUTE(input_location," ","")&amp;",")))=COUNTA(TEXTSPLIT(FS90,",")))),IF(FU90="",TRUE,IF(input_location="",TRUE,SUMPRODUCT(--ISNUMBER(SEARCH(","&amp;TRIM(TEXTSPLIT(FU90,","))&amp;",",","&amp;SUBSTITUTE(input_location," ","")&amp;",")))=0)),IF(FW90="",TRUE,IF(input_location="",FALSE,SUMPRODUCT(--ISNUMBER(SEARCH(","&amp;TRIM(TEXTSPLIT(FW90,","))&amp;",",","&amp;SUBSTITUTE(input_location," ","")&amp;",")))&gt;0)),IF(FY90="",TRUE,IF(input_location="",FALSE,SUMPRODUCT(--ISNUMBER(SEARCH(","&amp;TRIM(TEXTSPLIT(FY90,","))&amp;",",","&amp;SUBSTITUTE(input_location," ","")&amp;",")))=COUNTA(TEXTSPLIT(FY90,",")))))</f>
        <v/>
      </c>
      <c r="JK90">
        <f>AND(IF(GA90="",TRUE,IF(input_modality="",FALSE,SUMPRODUCT(--ISNUMBER(SEARCH(","&amp;TRIM(TEXTSPLIT(GA90,","))&amp;",",","&amp;SUBSTITUTE(input_modality," ","")&amp;",")))&gt;0)),IF(GC90="",TRUE,IF(input_modality="",FALSE,SUMPRODUCT(--ISNUMBER(SEARCH(","&amp;TRIM(TEXTSPLIT(GC90,","))&amp;",",","&amp;SUBSTITUTE(input_modality," ","")&amp;",")))=COUNTA(TEXTSPLIT(GC90,",")))),IF(GE90="",TRUE,IF(input_modality="",TRUE,SUMPRODUCT(--ISNUMBER(SEARCH(","&amp;TRIM(TEXTSPLIT(GE90,","))&amp;",",","&amp;SUBSTITUTE(input_modality," ","")&amp;",")))=0)),IF(GG90="",TRUE,IF(input_modality="",FALSE,SUMPRODUCT(--ISNUMBER(SEARCH(","&amp;TRIM(TEXTSPLIT(GG90,","))&amp;",",","&amp;SUBSTITUTE(input_modality," ","")&amp;",")))&gt;0)),IF(GI90="",TRUE,IF(input_modality="",FALSE,SUMPRODUCT(--ISNUMBER(SEARCH(","&amp;TRIM(TEXTSPLIT(GI90,","))&amp;",",","&amp;SUBSTITUTE(input_modality," ","")&amp;",")))=COUNTA(TEXTSPLIT(GI90,",")))))</f>
        <v/>
      </c>
      <c r="JL90">
        <f>AND(IF(GK90="",TRUE,IF(input_organizer="",FALSE,SUMPRODUCT(--ISNUMBER(SEARCH(","&amp;TRIM(TEXTSPLIT(GK90,","))&amp;",",","&amp;SUBSTITUTE(input_organizer," ","")&amp;",")))&gt;0)),IF(GM90="",TRUE,IF(input_organizer="",FALSE,SUMPRODUCT(--ISNUMBER(SEARCH(","&amp;TRIM(TEXTSPLIT(GM90,","))&amp;",",","&amp;SUBSTITUTE(input_organizer," ","")&amp;",")))=COUNTA(TEXTSPLIT(GM90,",")))),IF(GO90="",TRUE,IF(input_organizer="",TRUE,SUMPRODUCT(--ISNUMBER(SEARCH(","&amp;TRIM(TEXTSPLIT(GO90,","))&amp;",",","&amp;SUBSTITUTE(input_organizer," ","")&amp;",")))=0)),IF(GQ90="",TRUE,IF(input_organizer="",FALSE,SUMPRODUCT(--ISNUMBER(SEARCH(","&amp;TRIM(TEXTSPLIT(GQ90,","))&amp;",",","&amp;SUBSTITUTE(input_organizer," ","")&amp;",")))&gt;0)),IF(GS90="",TRUE,IF(input_organizer="",FALSE,SUMPRODUCT(--ISNUMBER(SEARCH(","&amp;TRIM(TEXTSPLIT(GS90,","))&amp;",",","&amp;SUBSTITUTE(input_organizer," ","")&amp;",")))=COUNTA(TEXTSPLIT(GS90,",")))))</f>
        <v/>
      </c>
      <c r="JM90">
        <f>AND(IF(GU90="",TRUE,IF(input_profile_type="",FALSE,SUMPRODUCT(--ISNUMBER(SEARCH(","&amp;TRIM(TEXTSPLIT(GU90,","))&amp;",",","&amp;SUBSTITUTE(input_profile_type," ","")&amp;",")))&gt;0)),IF(GW90="",TRUE,IF(input_profile_type="",FALSE,SUMPRODUCT(--ISNUMBER(SEARCH(","&amp;TRIM(TEXTSPLIT(GW90,","))&amp;",",","&amp;SUBSTITUTE(input_profile_type," ","")&amp;",")))=COUNTA(TEXTSPLIT(GW90,",")))),IF(GY90="",TRUE,IF(input_profile_type="",TRUE,SUMPRODUCT(--ISNUMBER(SEARCH(","&amp;TRIM(TEXTSPLIT(GY90,","))&amp;",",","&amp;SUBSTITUTE(input_profile_type," ","")&amp;",")))=0)),IF(HA90="",TRUE,IF(input_profile_type="",FALSE,SUMPRODUCT(--ISNUMBER(SEARCH(","&amp;TRIM(TEXTSPLIT(HA90,","))&amp;",",","&amp;SUBSTITUTE(input_profile_type," ","")&amp;",")))&gt;0)),IF(HC90="",TRUE,IF(input_profile_type="",FALSE,SUMPRODUCT(--ISNUMBER(SEARCH(","&amp;TRIM(TEXTSPLIT(HC90,","))&amp;",",","&amp;SUBSTITUTE(input_profile_type," ","")&amp;",")))=COUNTA(TEXTSPLIT(HC90,",")))))</f>
        <v/>
      </c>
      <c r="JN90">
        <f>AND(IF(HE90="",TRUE,IF(input_program="",FALSE,SUMPRODUCT(--ISNUMBER(SEARCH(","&amp;TRIM(TEXTSPLIT(HE90,","))&amp;",",","&amp;SUBSTITUTE(input_program," ","")&amp;",")))&gt;0)),IF(HG90="",TRUE,IF(input_program="",FALSE,SUMPRODUCT(--ISNUMBER(SEARCH(","&amp;TRIM(TEXTSPLIT(HG90,","))&amp;",",","&amp;SUBSTITUTE(input_program," ","")&amp;",")))=COUNTA(TEXTSPLIT(HG90,",")))),IF(HI90="",TRUE,IF(input_program="",TRUE,SUMPRODUCT(--ISNUMBER(SEARCH(","&amp;TRIM(TEXTSPLIT(HI90,","))&amp;",",","&amp;SUBSTITUTE(input_program," ","")&amp;",")))=0)),IF(HK90="",TRUE,IF(input_program="",FALSE,SUMPRODUCT(--ISNUMBER(SEARCH(","&amp;TRIM(TEXTSPLIT(HK90,","))&amp;",",","&amp;SUBSTITUTE(input_program," ","")&amp;",")))&gt;0)),IF(HM90="",TRUE,IF(input_program="",FALSE,SUMPRODUCT(--ISNUMBER(SEARCH(","&amp;TRIM(TEXTSPLIT(HM90,","))&amp;",",","&amp;SUBSTITUTE(input_program," ","")&amp;",")))=COUNTA(TEXTSPLIT(HM90,",")))))</f>
        <v/>
      </c>
      <c r="JO90">
        <f>AND(IF(HO90="",TRUE,IF(input_story_categories="",FALSE,SUMPRODUCT(--ISNUMBER(SEARCH(","&amp;TRIM(TEXTSPLIT(HO90,","))&amp;",",","&amp;SUBSTITUTE(input_story_categories," ","")&amp;",")))&gt;0)),IF(HQ90="",TRUE,IF(input_story_categories="",FALSE,SUMPRODUCT(--ISNUMBER(SEARCH(","&amp;TRIM(TEXTSPLIT(HQ90,","))&amp;",",","&amp;SUBSTITUTE(input_story_categories," ","")&amp;",")))=COUNTA(TEXTSPLIT(HQ90,",")))),IF(HS90="",TRUE,IF(input_story_categories="",TRUE,SUMPRODUCT(--ISNUMBER(SEARCH(","&amp;TRIM(TEXTSPLIT(HS90,","))&amp;",",","&amp;SUBSTITUTE(input_story_categories," ","")&amp;",")))=0)),IF(HU90="",TRUE,IF(input_story_categories="",FALSE,SUMPRODUCT(--ISNUMBER(SEARCH(","&amp;TRIM(TEXTSPLIT(HU90,","))&amp;",",","&amp;SUBSTITUTE(input_story_categories," ","")&amp;",")))&gt;0)),IF(HW90="",TRUE,IF(input_story_categories="",FALSE,SUMPRODUCT(--ISNUMBER(SEARCH(","&amp;TRIM(TEXTSPLIT(HW90,","))&amp;",",","&amp;SUBSTITUTE(input_story_categories," ","")&amp;",")))=COUNTA(TEXTSPLIT(HW90,",")))))</f>
        <v/>
      </c>
      <c r="JP90">
        <f>AND(IF(HY90="",TRUE,IF(input_story_type="",FALSE,SUMPRODUCT(--ISNUMBER(SEARCH(","&amp;TRIM(TEXTSPLIT(HY90,","))&amp;",",","&amp;SUBSTITUTE(input_story_type," ","")&amp;",")))&gt;0)),IF(IA90="",TRUE,IF(input_story_type="",FALSE,SUMPRODUCT(--ISNUMBER(SEARCH(","&amp;TRIM(TEXTSPLIT(IA90,","))&amp;",",","&amp;SUBSTITUTE(input_story_type," ","")&amp;",")))=COUNTA(TEXTSPLIT(IA90,",")))),IF(IC90="",TRUE,IF(input_story_type="",TRUE,SUMPRODUCT(--ISNUMBER(SEARCH(","&amp;TRIM(TEXTSPLIT(IC90,","))&amp;",",","&amp;SUBSTITUTE(input_story_type," ","")&amp;",")))=0)),IF(IE90="",TRUE,IF(input_story_type="",FALSE,SUMPRODUCT(--ISNUMBER(SEARCH(","&amp;TRIM(TEXTSPLIT(IE90,","))&amp;",",","&amp;SUBSTITUTE(input_story_type," ","")&amp;",")))&gt;0)),IF(IG90="",TRUE,IF(input_story_type="",FALSE,SUMPRODUCT(--ISNUMBER(SEARCH(","&amp;TRIM(TEXTSPLIT(IG90,","))&amp;",",","&amp;SUBSTITUTE(input_story_type," ","")&amp;",")))=COUNTA(TEXTSPLIT(IG90,",")))))</f>
        <v/>
      </c>
      <c r="JQ90">
        <f>AND(IF(II90="",TRUE,IF(input_topics="",FALSE,SUMPRODUCT(--ISNUMBER(SEARCH(","&amp;TRIM(TEXTSPLIT(II90,","))&amp;",",","&amp;SUBSTITUTE(input_topics," ","")&amp;",")))&gt;0)),IF(IK90="",TRUE,IF(input_topics="",FALSE,SUMPRODUCT(--ISNUMBER(SEARCH(","&amp;TRIM(TEXTSPLIT(IK90,","))&amp;",",","&amp;SUBSTITUTE(input_topics," ","")&amp;",")))=COUNTA(TEXTSPLIT(IK90,",")))),IF(IM90="",TRUE,IF(input_topics="",TRUE,SUMPRODUCT(--ISNUMBER(SEARCH(","&amp;TRIM(TEXTSPLIT(IM90,","))&amp;",",","&amp;SUBSTITUTE(input_topics," ","")&amp;",")))=0)),IF(IO90="",TRUE,IF(input_topics="",FALSE,SUMPRODUCT(--ISNUMBER(SEARCH(","&amp;TRIM(TEXTSPLIT(IO90,","))&amp;",",","&amp;SUBSTITUTE(input_topics," ","")&amp;",")))&gt;0)),IF(IQ90="",TRUE,IF(input_topics="",FALSE,SUMPRODUCT(--ISNUMBER(SEARCH(","&amp;TRIM(TEXTSPLIT(IQ90,","))&amp;",",","&amp;SUBSTITUTE(input_topics," ","")&amp;",")))=COUNTA(TEXTSPLIT(IQ90,",")))))</f>
        <v/>
      </c>
    </row>
    <row r="91">
      <c r="A91" s="4">
        <f>IF(NOT(IS91),"Excluded",IF(AND(IT91,IU91,IV91,IW91,IX91,IY91,IZ91,JA91,JB91,JC91,JD91,JE91,JF91,JG91,JH91,JI91,JJ91,JK91,JL91,JM91,JN91,JO91,JP91,JQ91),IF(I91&gt;0,"Eligible but limited","Will appear"),"Excluded"))</f>
        <v/>
      </c>
      <c r="B91" s="4" t="inlineStr">
        <is>
          <t>Crafting a Curriculum</t>
        </is>
      </c>
      <c r="C91" s="4" t="inlineStr">
        <is>
          <t>/about/headlines/all-headlines/crafting-curriculum</t>
        </is>
      </c>
      <c r="D91" s="4" t="inlineStr">
        <is>
          <t>/about/headlines/all-headlines/crafting-curriculum</t>
        </is>
      </c>
      <c r="E91" s="4" t="n">
        <v>1</v>
      </c>
      <c r="F91" s="4" t="inlineStr">
        <is>
          <t>story</t>
        </is>
      </c>
      <c r="G91" s="4" t="inlineStr">
        <is>
          <t>stories_list</t>
        </is>
      </c>
      <c r="H91" s="4" t="inlineStr">
        <is>
          <t>embed_1</t>
        </is>
      </c>
      <c r="I91" s="4" t="n">
        <v>10</v>
      </c>
      <c r="J91" s="4" t="inlineStr">
        <is>
          <t>Explicit args</t>
        </is>
      </c>
      <c r="K91" s="4" t="inlineStr">
        <is>
          <t>Page placement</t>
        </is>
      </c>
      <c r="L91" s="4" t="inlineStr">
        <is>
          <t>Content type: story; Context uses Courses Context: Crafting a Curriculum (1771); Limited to 10 item(s); Source: Explicit args</t>
        </is>
      </c>
      <c r="M91" t="inlineStr"/>
      <c r="N91" t="inlineStr"/>
      <c r="O91" t="inlineStr"/>
      <c r="P91" t="inlineStr"/>
      <c r="Q91" t="inlineStr"/>
      <c r="R91" t="inlineStr"/>
      <c r="S91" t="inlineStr"/>
      <c r="T91" t="inlineStr"/>
      <c r="U91" t="inlineStr"/>
      <c r="V91" t="inlineStr"/>
      <c r="W91" t="inlineStr"/>
      <c r="X91" t="inlineStr"/>
      <c r="Y91" t="inlineStr"/>
      <c r="Z91" t="inlineStr"/>
      <c r="AA91" t="inlineStr"/>
      <c r="AB91" t="inlineStr"/>
      <c r="AC91" t="inlineStr"/>
      <c r="AD91" t="inlineStr"/>
      <c r="AE91" t="inlineStr"/>
      <c r="AF91" t="inlineStr"/>
      <c r="AG91" t="inlineStr"/>
      <c r="AH91" t="inlineStr"/>
      <c r="AI91" t="inlineStr"/>
      <c r="AJ91" t="inlineStr"/>
      <c r="AK91" t="inlineStr"/>
      <c r="AL91" t="inlineStr"/>
      <c r="AM91" t="inlineStr"/>
      <c r="AN91" t="inlineStr"/>
      <c r="AO91" t="inlineStr"/>
      <c r="AP91" t="inlineStr"/>
      <c r="AQ91" t="inlineStr"/>
      <c r="AR91" t="inlineStr"/>
      <c r="AS91" t="inlineStr"/>
      <c r="AT91" t="inlineStr"/>
      <c r="AU91" t="inlineStr"/>
      <c r="AV91" t="inlineStr"/>
      <c r="AW91" t="inlineStr"/>
      <c r="AX91" t="inlineStr"/>
      <c r="AY91" t="inlineStr"/>
      <c r="AZ91" t="inlineStr"/>
      <c r="BA91" t="inlineStr"/>
      <c r="BB91" t="inlineStr"/>
      <c r="BC91" t="inlineStr"/>
      <c r="BD91" t="inlineStr"/>
      <c r="BE91" t="inlineStr"/>
      <c r="BF91" t="inlineStr"/>
      <c r="BG91" t="inlineStr"/>
      <c r="BH91" t="inlineStr"/>
      <c r="BI91" t="inlineStr"/>
      <c r="BJ91" t="inlineStr"/>
      <c r="BK91" t="inlineStr"/>
      <c r="BL91" t="inlineStr"/>
      <c r="BM91" t="inlineStr"/>
      <c r="BN91" t="inlineStr"/>
      <c r="BO91" t="inlineStr"/>
      <c r="BP91" t="inlineStr"/>
      <c r="BQ91" t="inlineStr">
        <is>
          <t>1771</t>
        </is>
      </c>
      <c r="BR91" t="inlineStr">
        <is>
          <t>Crafting a Curriculum (1771)</t>
        </is>
      </c>
      <c r="BS91" t="inlineStr"/>
      <c r="BT91" t="inlineStr"/>
      <c r="BU91" t="inlineStr"/>
      <c r="BV91" t="inlineStr"/>
      <c r="BW91" t="inlineStr"/>
      <c r="BX91" t="inlineStr"/>
      <c r="BY91" t="inlineStr"/>
      <c r="BZ91" t="inlineStr"/>
      <c r="CA91" t="inlineStr"/>
      <c r="CB91" t="inlineStr"/>
      <c r="CC91" t="inlineStr"/>
      <c r="CD91" t="inlineStr"/>
      <c r="CE91" t="inlineStr"/>
      <c r="CF91" t="inlineStr"/>
      <c r="CG91" t="inlineStr"/>
      <c r="CH91" t="inlineStr"/>
      <c r="CI91" t="inlineStr"/>
      <c r="CJ91" t="inlineStr"/>
      <c r="CK91" t="inlineStr"/>
      <c r="CL91" t="inlineStr"/>
      <c r="CM91" t="inlineStr"/>
      <c r="CN91" t="inlineStr"/>
      <c r="CO91" t="inlineStr"/>
      <c r="CP91" t="inlineStr"/>
      <c r="CQ91" t="inlineStr"/>
      <c r="CR91" t="inlineStr"/>
      <c r="CS91" t="inlineStr"/>
      <c r="CT91" t="inlineStr"/>
      <c r="CU91" t="inlineStr"/>
      <c r="CV91" t="inlineStr"/>
      <c r="CW91" t="inlineStr"/>
      <c r="CX91" t="inlineStr"/>
      <c r="CY91" t="inlineStr"/>
      <c r="CZ91" t="inlineStr"/>
      <c r="DA91" t="inlineStr"/>
      <c r="DB91" t="inlineStr"/>
      <c r="DC91" t="inlineStr"/>
      <c r="DD91" t="inlineStr"/>
      <c r="DE91" t="inlineStr"/>
      <c r="DF91" t="inlineStr"/>
      <c r="DG91" t="inlineStr"/>
      <c r="DH91" t="inlineStr"/>
      <c r="DI91" t="inlineStr"/>
      <c r="DJ91" t="inlineStr"/>
      <c r="DK91" t="inlineStr"/>
      <c r="DL91" t="inlineStr"/>
      <c r="DM91" t="inlineStr"/>
      <c r="DN91" t="inlineStr"/>
      <c r="DO91" t="inlineStr"/>
      <c r="DP91" t="inlineStr"/>
      <c r="DQ91" t="inlineStr"/>
      <c r="DR91" t="inlineStr"/>
      <c r="DS91" t="inlineStr"/>
      <c r="DT91" t="inlineStr"/>
      <c r="DU91" t="inlineStr"/>
      <c r="DV91" t="inlineStr"/>
      <c r="DW91" t="inlineStr"/>
      <c r="DX91" t="inlineStr"/>
      <c r="DY91" t="inlineStr"/>
      <c r="DZ91" t="inlineStr"/>
      <c r="EA91" t="inlineStr"/>
      <c r="EB91" t="inlineStr"/>
      <c r="EC91" t="inlineStr"/>
      <c r="ED91" t="inlineStr"/>
      <c r="EE91" t="inlineStr"/>
      <c r="EF91" t="inlineStr"/>
      <c r="EG91" t="inlineStr"/>
      <c r="EH91" t="inlineStr"/>
      <c r="EI91" t="inlineStr"/>
      <c r="EJ91" t="inlineStr"/>
      <c r="EK91" t="inlineStr"/>
      <c r="EL91" t="inlineStr"/>
      <c r="EM91" t="inlineStr"/>
      <c r="EN91" t="inlineStr"/>
      <c r="EO91" t="inlineStr"/>
      <c r="EP91" t="inlineStr"/>
      <c r="EQ91" t="inlineStr"/>
      <c r="ER91" t="inlineStr"/>
      <c r="ES91" t="inlineStr"/>
      <c r="ET91" t="inlineStr"/>
      <c r="EU91" t="inlineStr"/>
      <c r="EV91" t="inlineStr"/>
      <c r="EW91" t="inlineStr"/>
      <c r="EX91" t="inlineStr"/>
      <c r="EY91" t="inlineStr"/>
      <c r="EZ91" t="inlineStr"/>
      <c r="FA91" t="inlineStr"/>
      <c r="FB91" t="inlineStr"/>
      <c r="FC91" t="inlineStr"/>
      <c r="FD91" t="inlineStr"/>
      <c r="FE91" t="inlineStr"/>
      <c r="FF91" t="inlineStr"/>
      <c r="FG91" t="inlineStr"/>
      <c r="FH91" t="inlineStr"/>
      <c r="FI91" t="inlineStr"/>
      <c r="FJ91" t="inlineStr"/>
      <c r="FK91" t="inlineStr"/>
      <c r="FL91" t="inlineStr"/>
      <c r="FM91" t="inlineStr"/>
      <c r="FN91" t="inlineStr"/>
      <c r="FO91" t="inlineStr"/>
      <c r="FP91" t="inlineStr"/>
      <c r="FQ91" t="inlineStr"/>
      <c r="FR91" t="inlineStr"/>
      <c r="FS91" t="inlineStr"/>
      <c r="FT91" t="inlineStr"/>
      <c r="FU91" t="inlineStr"/>
      <c r="FV91" t="inlineStr"/>
      <c r="FW91" t="inlineStr"/>
      <c r="FX91" t="inlineStr"/>
      <c r="FY91" t="inlineStr"/>
      <c r="FZ91" t="inlineStr"/>
      <c r="GA91" t="inlineStr"/>
      <c r="GB91" t="inlineStr"/>
      <c r="GC91" t="inlineStr"/>
      <c r="GD91" t="inlineStr"/>
      <c r="GE91" t="inlineStr"/>
      <c r="GF91" t="inlineStr"/>
      <c r="GG91" t="inlineStr"/>
      <c r="GH91" t="inlineStr"/>
      <c r="GI91" t="inlineStr"/>
      <c r="GJ91" t="inlineStr"/>
      <c r="GK91" t="inlineStr"/>
      <c r="GL91" t="inlineStr"/>
      <c r="GM91" t="inlineStr"/>
      <c r="GN91" t="inlineStr"/>
      <c r="GO91" t="inlineStr"/>
      <c r="GP91" t="inlineStr"/>
      <c r="GQ91" t="inlineStr"/>
      <c r="GR91" t="inlineStr"/>
      <c r="GS91" t="inlineStr"/>
      <c r="GT91" t="inlineStr"/>
      <c r="GU91" t="inlineStr"/>
      <c r="GV91" t="inlineStr"/>
      <c r="GW91" t="inlineStr"/>
      <c r="GX91" t="inlineStr"/>
      <c r="GY91" t="inlineStr"/>
      <c r="GZ91" t="inlineStr"/>
      <c r="HA91" t="inlineStr"/>
      <c r="HB91" t="inlineStr"/>
      <c r="HC91" t="inlineStr"/>
      <c r="HD91" t="inlineStr"/>
      <c r="HE91" t="inlineStr"/>
      <c r="HF91" t="inlineStr"/>
      <c r="HG91" t="inlineStr"/>
      <c r="HH91" t="inlineStr"/>
      <c r="HI91" t="inlineStr"/>
      <c r="HJ91" t="inlineStr"/>
      <c r="HK91" t="inlineStr"/>
      <c r="HL91" t="inlineStr"/>
      <c r="HM91" t="inlineStr"/>
      <c r="HN91" t="inlineStr"/>
      <c r="HO91" t="inlineStr"/>
      <c r="HP91" t="inlineStr"/>
      <c r="HQ91" t="inlineStr"/>
      <c r="HR91" t="inlineStr"/>
      <c r="HS91" t="inlineStr"/>
      <c r="HT91" t="inlineStr"/>
      <c r="HU91" t="inlineStr"/>
      <c r="HV91" t="inlineStr"/>
      <c r="HW91" t="inlineStr"/>
      <c r="HX91" t="inlineStr"/>
      <c r="HY91" t="inlineStr"/>
      <c r="HZ91" t="inlineStr"/>
      <c r="IA91" t="inlineStr"/>
      <c r="IB91" t="inlineStr"/>
      <c r="IC91" t="inlineStr"/>
      <c r="ID91" t="inlineStr"/>
      <c r="IE91" t="inlineStr"/>
      <c r="IF91" t="inlineStr"/>
      <c r="IG91" t="inlineStr"/>
      <c r="IH91" t="inlineStr"/>
      <c r="II91" t="inlineStr"/>
      <c r="IJ91" t="inlineStr"/>
      <c r="IK91" t="inlineStr"/>
      <c r="IL91" t="inlineStr"/>
      <c r="IM91" t="inlineStr"/>
      <c r="IN91" t="inlineStr"/>
      <c r="IO91" t="inlineStr"/>
      <c r="IP91" t="inlineStr"/>
      <c r="IQ91" t="inlineStr"/>
      <c r="IR91" t="inlineStr"/>
      <c r="IS91">
        <f>IF(input_content_type="",FALSE,ISNUMBER(SEARCH(","&amp;LOWER(input_content_type)&amp;",",","&amp;LOWER(F91)&amp;",")))</f>
        <v/>
      </c>
      <c r="IT91">
        <f>AND(IF(M91="",TRUE,IF(input_affiliations="",FALSE,SUMPRODUCT(--ISNUMBER(SEARCH(","&amp;TRIM(TEXTSPLIT(M91,","))&amp;",",","&amp;SUBSTITUTE(input_affiliations," ","")&amp;",")))&gt;0)),IF(O91="",TRUE,IF(input_affiliations="",FALSE,SUMPRODUCT(--ISNUMBER(SEARCH(","&amp;TRIM(TEXTSPLIT(O91,","))&amp;",",","&amp;SUBSTITUTE(input_affiliations," ","")&amp;",")))=COUNTA(TEXTSPLIT(O91,",")))),IF(Q91="",TRUE,IF(input_affiliations="",TRUE,SUMPRODUCT(--ISNUMBER(SEARCH(","&amp;TRIM(TEXTSPLIT(Q91,","))&amp;",",","&amp;SUBSTITUTE(input_affiliations," ","")&amp;",")))=0)),IF(S91="",TRUE,IF(input_affiliations="",FALSE,SUMPRODUCT(--ISNUMBER(SEARCH(","&amp;TRIM(TEXTSPLIT(S91,","))&amp;",",","&amp;SUBSTITUTE(input_affiliations," ","")&amp;",")))&gt;0)),IF(U91="",TRUE,IF(input_affiliations="",FALSE,SUMPRODUCT(--ISNUMBER(SEARCH(","&amp;TRIM(TEXTSPLIT(U91,","))&amp;",",","&amp;SUBSTITUTE(input_affiliations," ","")&amp;",")))=COUNTA(TEXTSPLIT(U91,",")))))</f>
        <v/>
      </c>
      <c r="IU91">
        <f>AND(IF(W91="",TRUE,IF(input_announcement_category="",FALSE,SUMPRODUCT(--ISNUMBER(SEARCH(","&amp;TRIM(TEXTSPLIT(W91,","))&amp;",",","&amp;SUBSTITUTE(input_announcement_category," ","")&amp;",")))&gt;0)),IF(Y91="",TRUE,IF(input_announcement_category="",FALSE,SUMPRODUCT(--ISNUMBER(SEARCH(","&amp;TRIM(TEXTSPLIT(Y91,","))&amp;",",","&amp;SUBSTITUTE(input_announcement_category," ","")&amp;",")))=COUNTA(TEXTSPLIT(Y91,",")))),IF(AA91="",TRUE,IF(input_announcement_category="",TRUE,SUMPRODUCT(--ISNUMBER(SEARCH(","&amp;TRIM(TEXTSPLIT(AA91,","))&amp;",",","&amp;SUBSTITUTE(input_announcement_category," ","")&amp;",")))=0)),IF(AC91="",TRUE,IF(input_announcement_category="",FALSE,SUMPRODUCT(--ISNUMBER(SEARCH(","&amp;TRIM(TEXTSPLIT(AC91,","))&amp;",",","&amp;SUBSTITUTE(input_announcement_category," ","")&amp;",")))&gt;0)),IF(AE91="",TRUE,IF(input_announcement_category="",FALSE,SUMPRODUCT(--ISNUMBER(SEARCH(","&amp;TRIM(TEXTSPLIT(AE91,","))&amp;",",","&amp;SUBSTITUTE(input_announcement_category," ","")&amp;",")))=COUNTA(TEXTSPLIT(AE91,",")))))</f>
        <v/>
      </c>
      <c r="IV91">
        <f>AND(IF(AG91="",TRUE,IF(input_area_of_focus="",FALSE,SUMPRODUCT(--ISNUMBER(SEARCH(","&amp;TRIM(TEXTSPLIT(AG91,","))&amp;",",","&amp;SUBSTITUTE(input_area_of_focus," ","")&amp;",")))&gt;0)),IF(AI91="",TRUE,IF(input_area_of_focus="",FALSE,SUMPRODUCT(--ISNUMBER(SEARCH(","&amp;TRIM(TEXTSPLIT(AI91,","))&amp;",",","&amp;SUBSTITUTE(input_area_of_focus," ","")&amp;",")))=COUNTA(TEXTSPLIT(AI91,",")))),IF(AK91="",TRUE,IF(input_area_of_focus="",TRUE,SUMPRODUCT(--ISNUMBER(SEARCH(","&amp;TRIM(TEXTSPLIT(AK91,","))&amp;",",","&amp;SUBSTITUTE(input_area_of_focus," ","")&amp;",")))=0)),IF(AM91="",TRUE,IF(input_area_of_focus="",FALSE,SUMPRODUCT(--ISNUMBER(SEARCH(","&amp;TRIM(TEXTSPLIT(AM91,","))&amp;",",","&amp;SUBSTITUTE(input_area_of_focus," ","")&amp;",")))&gt;0)),IF(AO91="",TRUE,IF(input_area_of_focus="",FALSE,SUMPRODUCT(--ISNUMBER(SEARCH(","&amp;TRIM(TEXTSPLIT(AO91,","))&amp;",",","&amp;SUBSTITUTE(input_area_of_focus," ","")&amp;",")))=COUNTA(TEXTSPLIT(AO91,",")))))</f>
        <v/>
      </c>
      <c r="IW91">
        <f>AND(IF(AQ91="",TRUE,IF(input_audience="",FALSE,SUMPRODUCT(--ISNUMBER(SEARCH(","&amp;TRIM(TEXTSPLIT(AQ91,","))&amp;",",","&amp;SUBSTITUTE(input_audience," ","")&amp;",")))&gt;0)),IF(AS91="",TRUE,IF(input_audience="",FALSE,SUMPRODUCT(--ISNUMBER(SEARCH(","&amp;TRIM(TEXTSPLIT(AS91,","))&amp;",",","&amp;SUBSTITUTE(input_audience," ","")&amp;",")))=COUNTA(TEXTSPLIT(AS91,",")))),IF(AU91="",TRUE,IF(input_audience="",TRUE,SUMPRODUCT(--ISNUMBER(SEARCH(","&amp;TRIM(TEXTSPLIT(AU91,","))&amp;",",","&amp;SUBSTITUTE(input_audience," ","")&amp;",")))=0)),IF(AW91="",TRUE,IF(input_audience="",FALSE,SUMPRODUCT(--ISNUMBER(SEARCH(","&amp;TRIM(TEXTSPLIT(AW91,","))&amp;",",","&amp;SUBSTITUTE(input_audience," ","")&amp;",")))&gt;0)),IF(AY91="",TRUE,IF(input_audience="",FALSE,SUMPRODUCT(--ISNUMBER(SEARCH(","&amp;TRIM(TEXTSPLIT(AY91,","))&amp;",",","&amp;SUBSTITUTE(input_audience," ","")&amp;",")))=COUNTA(TEXTSPLIT(AY91,",")))))</f>
        <v/>
      </c>
      <c r="IX91">
        <f>AND(IF(BA91="",TRUE,IF(input_challenge_opportunities="",FALSE,SUMPRODUCT(--ISNUMBER(SEARCH(","&amp;TRIM(TEXTSPLIT(BA91,","))&amp;",",","&amp;SUBSTITUTE(input_challenge_opportunities," ","")&amp;",")))&gt;0)),IF(BC91="",TRUE,IF(input_challenge_opportunities="",FALSE,SUMPRODUCT(--ISNUMBER(SEARCH(","&amp;TRIM(TEXTSPLIT(BC91,","))&amp;",",","&amp;SUBSTITUTE(input_challenge_opportunities," ","")&amp;",")))=COUNTA(TEXTSPLIT(BC91,",")))),IF(BE91="",TRUE,IF(input_challenge_opportunities="",TRUE,SUMPRODUCT(--ISNUMBER(SEARCH(","&amp;TRIM(TEXTSPLIT(BE91,","))&amp;",",","&amp;SUBSTITUTE(input_challenge_opportunities," ","")&amp;",")))=0)),IF(BG91="",TRUE,IF(input_challenge_opportunities="",FALSE,SUMPRODUCT(--ISNUMBER(SEARCH(","&amp;TRIM(TEXTSPLIT(BG91,","))&amp;",",","&amp;SUBSTITUTE(input_challenge_opportunities," ","")&amp;",")))&gt;0)),IF(BI91="",TRUE,IF(input_challenge_opportunities="",FALSE,SUMPRODUCT(--ISNUMBER(SEARCH(","&amp;TRIM(TEXTSPLIT(BI91,","))&amp;",",","&amp;SUBSTITUTE(input_challenge_opportunities," ","")&amp;",")))=COUNTA(TEXTSPLIT(BI91,",")))))</f>
        <v/>
      </c>
      <c r="IY91">
        <f>AND(IF(BK91="",TRUE,IF(input_context="",FALSE,SUMPRODUCT(--ISNUMBER(SEARCH(","&amp;TRIM(TEXTSPLIT(BK91,","))&amp;",",","&amp;SUBSTITUTE(input_context," ","")&amp;",")))&gt;0)),IF(BM91="",TRUE,IF(input_context="",FALSE,SUMPRODUCT(--ISNUMBER(SEARCH(","&amp;TRIM(TEXTSPLIT(BM91,","))&amp;",",","&amp;SUBSTITUTE(input_context," ","")&amp;",")))=COUNTA(TEXTSPLIT(BM91,",")))),IF(BO91="",TRUE,IF(input_context="",TRUE,SUMPRODUCT(--ISNUMBER(SEARCH(","&amp;TRIM(TEXTSPLIT(BO91,","))&amp;",",","&amp;SUBSTITUTE(input_context," ","")&amp;",")))=0)),IF(BQ91="",TRUE,IF(input_context="",FALSE,SUMPRODUCT(--ISNUMBER(SEARCH(","&amp;TRIM(TEXTSPLIT(BQ91,","))&amp;",",","&amp;SUBSTITUTE(input_context," ","")&amp;",")))&gt;0)),IF(BS91="",TRUE,IF(input_context="",FALSE,SUMPRODUCT(--ISNUMBER(SEARCH(","&amp;TRIM(TEXTSPLIT(BS91,","))&amp;",",","&amp;SUBSTITUTE(input_context," ","")&amp;",")))=COUNTA(TEXTSPLIT(BS91,",")))))</f>
        <v/>
      </c>
      <c r="IZ91">
        <f>AND(IF(BU91="",TRUE,IF(input_enews_announcement_type="",FALSE,SUMPRODUCT(--ISNUMBER(SEARCH(","&amp;TRIM(TEXTSPLIT(BU91,","))&amp;",",","&amp;SUBSTITUTE(input_enews_announcement_type," ","")&amp;",")))&gt;0)),IF(BW91="",TRUE,IF(input_enews_announcement_type="",FALSE,SUMPRODUCT(--ISNUMBER(SEARCH(","&amp;TRIM(TEXTSPLIT(BW91,","))&amp;",",","&amp;SUBSTITUTE(input_enews_announcement_type," ","")&amp;",")))=COUNTA(TEXTSPLIT(BW91,",")))),IF(BY91="",TRUE,IF(input_enews_announcement_type="",TRUE,SUMPRODUCT(--ISNUMBER(SEARCH(","&amp;TRIM(TEXTSPLIT(BY91,","))&amp;",",","&amp;SUBSTITUTE(input_enews_announcement_type," ","")&amp;",")))=0)),IF(CA91="",TRUE,IF(input_enews_announcement_type="",FALSE,SUMPRODUCT(--ISNUMBER(SEARCH(","&amp;TRIM(TEXTSPLIT(CA91,","))&amp;",",","&amp;SUBSTITUTE(input_enews_announcement_type," ","")&amp;",")))&gt;0)),IF(CC91="",TRUE,IF(input_enews_announcement_type="",FALSE,SUMPRODUCT(--ISNUMBER(SEARCH(","&amp;TRIM(TEXTSPLIT(CC91,","))&amp;",",","&amp;SUBSTITUTE(input_enews_announcement_type," ","")&amp;",")))=COUNTA(TEXTSPLIT(CC91,",")))))</f>
        <v/>
      </c>
      <c r="JA91">
        <f>AND(IF(CE91="",TRUE,IF(input_enews_audience="",FALSE,SUMPRODUCT(--ISNUMBER(SEARCH(","&amp;TRIM(TEXTSPLIT(CE91,","))&amp;",",","&amp;SUBSTITUTE(input_enews_audience," ","")&amp;",")))&gt;0)),IF(CG91="",TRUE,IF(input_enews_audience="",FALSE,SUMPRODUCT(--ISNUMBER(SEARCH(","&amp;TRIM(TEXTSPLIT(CG91,","))&amp;",",","&amp;SUBSTITUTE(input_enews_audience," ","")&amp;",")))=COUNTA(TEXTSPLIT(CG91,",")))),IF(CI91="",TRUE,IF(input_enews_audience="",TRUE,SUMPRODUCT(--ISNUMBER(SEARCH(","&amp;TRIM(TEXTSPLIT(CI91,","))&amp;",",","&amp;SUBSTITUTE(input_enews_audience," ","")&amp;",")))=0)),IF(CK91="",TRUE,IF(input_enews_audience="",FALSE,SUMPRODUCT(--ISNUMBER(SEARCH(","&amp;TRIM(TEXTSPLIT(CK91,","))&amp;",",","&amp;SUBSTITUTE(input_enews_audience," ","")&amp;",")))&gt;0)),IF(CM91="",TRUE,IF(input_enews_audience="",FALSE,SUMPRODUCT(--ISNUMBER(SEARCH(","&amp;TRIM(TEXTSPLIT(CM91,","))&amp;",",","&amp;SUBSTITUTE(input_enews_audience," ","")&amp;",")))=COUNTA(TEXTSPLIT(CM91,",")))))</f>
        <v/>
      </c>
      <c r="JB91">
        <f>AND(IF(CO91="",TRUE,IF(input_event_location="",FALSE,SUMPRODUCT(--ISNUMBER(SEARCH(","&amp;TRIM(TEXTSPLIT(CO91,","))&amp;",",","&amp;SUBSTITUTE(input_event_location," ","")&amp;",")))&gt;0)),IF(CQ91="",TRUE,IF(input_event_location="",FALSE,SUMPRODUCT(--ISNUMBER(SEARCH(","&amp;TRIM(TEXTSPLIT(CQ91,","))&amp;",",","&amp;SUBSTITUTE(input_event_location," ","")&amp;",")))=COUNTA(TEXTSPLIT(CQ91,",")))),IF(CS91="",TRUE,IF(input_event_location="",TRUE,SUMPRODUCT(--ISNUMBER(SEARCH(","&amp;TRIM(TEXTSPLIT(CS91,","))&amp;",",","&amp;SUBSTITUTE(input_event_location," ","")&amp;",")))=0)),IF(CU91="",TRUE,IF(input_event_location="",FALSE,SUMPRODUCT(--ISNUMBER(SEARCH(","&amp;TRIM(TEXTSPLIT(CU91,","))&amp;",",","&amp;SUBSTITUTE(input_event_location," ","")&amp;",")))&gt;0)),IF(CW91="",TRUE,IF(input_event_location="",FALSE,SUMPRODUCT(--ISNUMBER(SEARCH(","&amp;TRIM(TEXTSPLIT(CW91,","))&amp;",",","&amp;SUBSTITUTE(input_event_location," ","")&amp;",")))=COUNTA(TEXTSPLIT(CW91,",")))))</f>
        <v/>
      </c>
      <c r="JC91">
        <f>AND(IF(CY91="",TRUE,IF(input_event_type="",FALSE,SUMPRODUCT(--ISNUMBER(SEARCH(","&amp;TRIM(TEXTSPLIT(CY91,","))&amp;",",","&amp;SUBSTITUTE(input_event_type," ","")&amp;",")))&gt;0)),IF(DA91="",TRUE,IF(input_event_type="",FALSE,SUMPRODUCT(--ISNUMBER(SEARCH(","&amp;TRIM(TEXTSPLIT(DA91,","))&amp;",",","&amp;SUBSTITUTE(input_event_type," ","")&amp;",")))=COUNTA(TEXTSPLIT(DA91,",")))),IF(DC91="",TRUE,IF(input_event_type="",TRUE,SUMPRODUCT(--ISNUMBER(SEARCH(","&amp;TRIM(TEXTSPLIT(DC91,","))&amp;",",","&amp;SUBSTITUTE(input_event_type," ","")&amp;",")))=0)),IF(DE91="",TRUE,IF(input_event_type="",FALSE,SUMPRODUCT(--ISNUMBER(SEARCH(","&amp;TRIM(TEXTSPLIT(DE91,","))&amp;",",","&amp;SUBSTITUTE(input_event_type," ","")&amp;",")))&gt;0)),IF(DG91="",TRUE,IF(input_event_type="",FALSE,SUMPRODUCT(--ISNUMBER(SEARCH(","&amp;TRIM(TEXTSPLIT(DG91,","))&amp;",",","&amp;SUBSTITUTE(input_event_type," ","")&amp;",")))=COUNTA(TEXTSPLIT(DG91,",")))))</f>
        <v/>
      </c>
      <c r="JD91">
        <f>AND(IF(DI91="",TRUE,IF(input_executive_education_focus="",FALSE,SUMPRODUCT(--ISNUMBER(SEARCH(","&amp;TRIM(TEXTSPLIT(DI91,","))&amp;",",","&amp;SUBSTITUTE(input_executive_education_focus," ","")&amp;",")))&gt;0)),IF(DK91="",TRUE,IF(input_executive_education_focus="",FALSE,SUMPRODUCT(--ISNUMBER(SEARCH(","&amp;TRIM(TEXTSPLIT(DK91,","))&amp;",",","&amp;SUBSTITUTE(input_executive_education_focus," ","")&amp;",")))=COUNTA(TEXTSPLIT(DK91,",")))),IF(DM91="",TRUE,IF(input_executive_education_focus="",TRUE,SUMPRODUCT(--ISNUMBER(SEARCH(","&amp;TRIM(TEXTSPLIT(DM91,","))&amp;",",","&amp;SUBSTITUTE(input_executive_education_focus," ","")&amp;",")))=0)),IF(DO91="",TRUE,IF(input_executive_education_focus="",FALSE,SUMPRODUCT(--ISNUMBER(SEARCH(","&amp;TRIM(TEXTSPLIT(DO91,","))&amp;",",","&amp;SUBSTITUTE(input_executive_education_focus," ","")&amp;",")))&gt;0)),IF(DQ91="",TRUE,IF(input_executive_education_focus="",FALSE,SUMPRODUCT(--ISNUMBER(SEARCH(","&amp;TRIM(TEXTSPLIT(DQ91,","))&amp;",",","&amp;SUBSTITUTE(input_executive_education_focus," ","")&amp;",")))=COUNTA(TEXTSPLIT(DQ91,",")))))</f>
        <v/>
      </c>
      <c r="JE91">
        <f>AND(IF(DS91="",TRUE,IF(input_faculty_category="",FALSE,SUMPRODUCT(--ISNUMBER(SEARCH(","&amp;TRIM(TEXTSPLIT(DS91,","))&amp;",",","&amp;SUBSTITUTE(input_faculty_category," ","")&amp;",")))&gt;0)),IF(DU91="",TRUE,IF(input_faculty_category="",FALSE,SUMPRODUCT(--ISNUMBER(SEARCH(","&amp;TRIM(TEXTSPLIT(DU91,","))&amp;",",","&amp;SUBSTITUTE(input_faculty_category," ","")&amp;",")))=COUNTA(TEXTSPLIT(DU91,",")))),IF(DW91="",TRUE,IF(input_faculty_category="",TRUE,SUMPRODUCT(--ISNUMBER(SEARCH(","&amp;TRIM(TEXTSPLIT(DW91,","))&amp;",",","&amp;SUBSTITUTE(input_faculty_category," ","")&amp;",")))=0)),IF(DY91="",TRUE,IF(input_faculty_category="",FALSE,SUMPRODUCT(--ISNUMBER(SEARCH(","&amp;TRIM(TEXTSPLIT(DY91,","))&amp;",",","&amp;SUBSTITUTE(input_faculty_category," ","")&amp;",")))&gt;0)),IF(EA91="",TRUE,IF(input_faculty_category="",FALSE,SUMPRODUCT(--ISNUMBER(SEARCH(","&amp;TRIM(TEXTSPLIT(EA91,","))&amp;",",","&amp;SUBSTITUTE(input_faculty_category," ","")&amp;",")))=COUNTA(TEXTSPLIT(EA91,",")))))</f>
        <v/>
      </c>
      <c r="JF91">
        <f>AND(IF(EC91="",TRUE,IF(input_faculty_discipline="",FALSE,SUMPRODUCT(--ISNUMBER(SEARCH(","&amp;TRIM(TEXTSPLIT(EC91,","))&amp;",",","&amp;SUBSTITUTE(input_faculty_discipline," ","")&amp;",")))&gt;0)),IF(EE91="",TRUE,IF(input_faculty_discipline="",FALSE,SUMPRODUCT(--ISNUMBER(SEARCH(","&amp;TRIM(TEXTSPLIT(EE91,","))&amp;",",","&amp;SUBSTITUTE(input_faculty_discipline," ","")&amp;",")))=COUNTA(TEXTSPLIT(EE91,",")))),IF(EG91="",TRUE,IF(input_faculty_discipline="",TRUE,SUMPRODUCT(--ISNUMBER(SEARCH(","&amp;TRIM(TEXTSPLIT(EG91,","))&amp;",",","&amp;SUBSTITUTE(input_faculty_discipline," ","")&amp;",")))=0)),IF(EI91="",TRUE,IF(input_faculty_discipline="",FALSE,SUMPRODUCT(--ISNUMBER(SEARCH(","&amp;TRIM(TEXTSPLIT(EI91,","))&amp;",",","&amp;SUBSTITUTE(input_faculty_discipline," ","")&amp;",")))&gt;0)),IF(EK91="",TRUE,IF(input_faculty_discipline="",FALSE,SUMPRODUCT(--ISNUMBER(SEARCH(","&amp;TRIM(TEXTSPLIT(EK91,","))&amp;",",","&amp;SUBSTITUTE(input_faculty_discipline," ","")&amp;",")))=COUNTA(TEXTSPLIT(EK91,",")))))</f>
        <v/>
      </c>
      <c r="JG91">
        <f>AND(IF(EM91="",TRUE,IF(input_faculty_expertise="",FALSE,SUMPRODUCT(--ISNUMBER(SEARCH(","&amp;TRIM(TEXTSPLIT(EM91,","))&amp;",",","&amp;SUBSTITUTE(input_faculty_expertise," ","")&amp;",")))&gt;0)),IF(EO91="",TRUE,IF(input_faculty_expertise="",FALSE,SUMPRODUCT(--ISNUMBER(SEARCH(","&amp;TRIM(TEXTSPLIT(EO91,","))&amp;",",","&amp;SUBSTITUTE(input_faculty_expertise," ","")&amp;",")))=COUNTA(TEXTSPLIT(EO91,",")))),IF(EQ91="",TRUE,IF(input_faculty_expertise="",TRUE,SUMPRODUCT(--ISNUMBER(SEARCH(","&amp;TRIM(TEXTSPLIT(EQ91,","))&amp;",",","&amp;SUBSTITUTE(input_faculty_expertise," ","")&amp;",")))=0)),IF(ES91="",TRUE,IF(input_faculty_expertise="",FALSE,SUMPRODUCT(--ISNUMBER(SEARCH(","&amp;TRIM(TEXTSPLIT(ES91,","))&amp;",",","&amp;SUBSTITUTE(input_faculty_expertise," ","")&amp;",")))&gt;0)),IF(EU91="",TRUE,IF(input_faculty_expertise="",FALSE,SUMPRODUCT(--ISNUMBER(SEARCH(","&amp;TRIM(TEXTSPLIT(EU91,","))&amp;",",","&amp;SUBSTITUTE(input_faculty_expertise," ","")&amp;",")))=COUNTA(TEXTSPLIT(EU91,",")))))</f>
        <v/>
      </c>
      <c r="JH91">
        <f>AND(IF(EW91="",TRUE,IF(input_global_network_school="",FALSE,SUMPRODUCT(--ISNUMBER(SEARCH(","&amp;TRIM(TEXTSPLIT(EW91,","))&amp;",",","&amp;SUBSTITUTE(input_global_network_school," ","")&amp;",")))&gt;0)),IF(EY91="",TRUE,IF(input_global_network_school="",FALSE,SUMPRODUCT(--ISNUMBER(SEARCH(","&amp;TRIM(TEXTSPLIT(EY91,","))&amp;",",","&amp;SUBSTITUTE(input_global_network_school," ","")&amp;",")))=COUNTA(TEXTSPLIT(EY91,",")))),IF(FA91="",TRUE,IF(input_global_network_school="",TRUE,SUMPRODUCT(--ISNUMBER(SEARCH(","&amp;TRIM(TEXTSPLIT(FA91,","))&amp;",",","&amp;SUBSTITUTE(input_global_network_school," ","")&amp;",")))=0)),IF(FC91="",TRUE,IF(input_global_network_school="",FALSE,SUMPRODUCT(--ISNUMBER(SEARCH(","&amp;TRIM(TEXTSPLIT(FC91,","))&amp;",",","&amp;SUBSTITUTE(input_global_network_school," ","")&amp;",")))&gt;0)),IF(FE91="",TRUE,IF(input_global_network_school="",FALSE,SUMPRODUCT(--ISNUMBER(SEARCH(","&amp;TRIM(TEXTSPLIT(FE91,","))&amp;",",","&amp;SUBSTITUTE(input_global_network_school," ","")&amp;",")))=COUNTA(TEXTSPLIT(FE91,",")))))</f>
        <v/>
      </c>
      <c r="JI91">
        <f>AND(IF(FG91="",TRUE,IF(input_industry="",FALSE,SUMPRODUCT(--ISNUMBER(SEARCH(","&amp;TRIM(TEXTSPLIT(FG91,","))&amp;",",","&amp;SUBSTITUTE(input_industry," ","")&amp;",")))&gt;0)),IF(FI91="",TRUE,IF(input_industry="",FALSE,SUMPRODUCT(--ISNUMBER(SEARCH(","&amp;TRIM(TEXTSPLIT(FI91,","))&amp;",",","&amp;SUBSTITUTE(input_industry," ","")&amp;",")))=COUNTA(TEXTSPLIT(FI91,",")))),IF(FK91="",TRUE,IF(input_industry="",TRUE,SUMPRODUCT(--ISNUMBER(SEARCH(","&amp;TRIM(TEXTSPLIT(FK91,","))&amp;",",","&amp;SUBSTITUTE(input_industry," ","")&amp;",")))=0)),IF(FM91="",TRUE,IF(input_industry="",FALSE,SUMPRODUCT(--ISNUMBER(SEARCH(","&amp;TRIM(TEXTSPLIT(FM91,","))&amp;",",","&amp;SUBSTITUTE(input_industry," ","")&amp;",")))&gt;0)),IF(FO91="",TRUE,IF(input_industry="",FALSE,SUMPRODUCT(--ISNUMBER(SEARCH(","&amp;TRIM(TEXTSPLIT(FO91,","))&amp;",",","&amp;SUBSTITUTE(input_industry," ","")&amp;",")))=COUNTA(TEXTSPLIT(FO91,",")))))</f>
        <v/>
      </c>
      <c r="JJ91">
        <f>AND(IF(FQ91="",TRUE,IF(input_location="",FALSE,SUMPRODUCT(--ISNUMBER(SEARCH(","&amp;TRIM(TEXTSPLIT(FQ91,","))&amp;",",","&amp;SUBSTITUTE(input_location," ","")&amp;",")))&gt;0)),IF(FS91="",TRUE,IF(input_location="",FALSE,SUMPRODUCT(--ISNUMBER(SEARCH(","&amp;TRIM(TEXTSPLIT(FS91,","))&amp;",",","&amp;SUBSTITUTE(input_location," ","")&amp;",")))=COUNTA(TEXTSPLIT(FS91,",")))),IF(FU91="",TRUE,IF(input_location="",TRUE,SUMPRODUCT(--ISNUMBER(SEARCH(","&amp;TRIM(TEXTSPLIT(FU91,","))&amp;",",","&amp;SUBSTITUTE(input_location," ","")&amp;",")))=0)),IF(FW91="",TRUE,IF(input_location="",FALSE,SUMPRODUCT(--ISNUMBER(SEARCH(","&amp;TRIM(TEXTSPLIT(FW91,","))&amp;",",","&amp;SUBSTITUTE(input_location," ","")&amp;",")))&gt;0)),IF(FY91="",TRUE,IF(input_location="",FALSE,SUMPRODUCT(--ISNUMBER(SEARCH(","&amp;TRIM(TEXTSPLIT(FY91,","))&amp;",",","&amp;SUBSTITUTE(input_location," ","")&amp;",")))=COUNTA(TEXTSPLIT(FY91,",")))))</f>
        <v/>
      </c>
      <c r="JK91">
        <f>AND(IF(GA91="",TRUE,IF(input_modality="",FALSE,SUMPRODUCT(--ISNUMBER(SEARCH(","&amp;TRIM(TEXTSPLIT(GA91,","))&amp;",",","&amp;SUBSTITUTE(input_modality," ","")&amp;",")))&gt;0)),IF(GC91="",TRUE,IF(input_modality="",FALSE,SUMPRODUCT(--ISNUMBER(SEARCH(","&amp;TRIM(TEXTSPLIT(GC91,","))&amp;",",","&amp;SUBSTITUTE(input_modality," ","")&amp;",")))=COUNTA(TEXTSPLIT(GC91,",")))),IF(GE91="",TRUE,IF(input_modality="",TRUE,SUMPRODUCT(--ISNUMBER(SEARCH(","&amp;TRIM(TEXTSPLIT(GE91,","))&amp;",",","&amp;SUBSTITUTE(input_modality," ","")&amp;",")))=0)),IF(GG91="",TRUE,IF(input_modality="",FALSE,SUMPRODUCT(--ISNUMBER(SEARCH(","&amp;TRIM(TEXTSPLIT(GG91,","))&amp;",",","&amp;SUBSTITUTE(input_modality," ","")&amp;",")))&gt;0)),IF(GI91="",TRUE,IF(input_modality="",FALSE,SUMPRODUCT(--ISNUMBER(SEARCH(","&amp;TRIM(TEXTSPLIT(GI91,","))&amp;",",","&amp;SUBSTITUTE(input_modality," ","")&amp;",")))=COUNTA(TEXTSPLIT(GI91,",")))))</f>
        <v/>
      </c>
      <c r="JL91">
        <f>AND(IF(GK91="",TRUE,IF(input_organizer="",FALSE,SUMPRODUCT(--ISNUMBER(SEARCH(","&amp;TRIM(TEXTSPLIT(GK91,","))&amp;",",","&amp;SUBSTITUTE(input_organizer," ","")&amp;",")))&gt;0)),IF(GM91="",TRUE,IF(input_organizer="",FALSE,SUMPRODUCT(--ISNUMBER(SEARCH(","&amp;TRIM(TEXTSPLIT(GM91,","))&amp;",",","&amp;SUBSTITUTE(input_organizer," ","")&amp;",")))=COUNTA(TEXTSPLIT(GM91,",")))),IF(GO91="",TRUE,IF(input_organizer="",TRUE,SUMPRODUCT(--ISNUMBER(SEARCH(","&amp;TRIM(TEXTSPLIT(GO91,","))&amp;",",","&amp;SUBSTITUTE(input_organizer," ","")&amp;",")))=0)),IF(GQ91="",TRUE,IF(input_organizer="",FALSE,SUMPRODUCT(--ISNUMBER(SEARCH(","&amp;TRIM(TEXTSPLIT(GQ91,","))&amp;",",","&amp;SUBSTITUTE(input_organizer," ","")&amp;",")))&gt;0)),IF(GS91="",TRUE,IF(input_organizer="",FALSE,SUMPRODUCT(--ISNUMBER(SEARCH(","&amp;TRIM(TEXTSPLIT(GS91,","))&amp;",",","&amp;SUBSTITUTE(input_organizer," ","")&amp;",")))=COUNTA(TEXTSPLIT(GS91,",")))))</f>
        <v/>
      </c>
      <c r="JM91">
        <f>AND(IF(GU91="",TRUE,IF(input_profile_type="",FALSE,SUMPRODUCT(--ISNUMBER(SEARCH(","&amp;TRIM(TEXTSPLIT(GU91,","))&amp;",",","&amp;SUBSTITUTE(input_profile_type," ","")&amp;",")))&gt;0)),IF(GW91="",TRUE,IF(input_profile_type="",FALSE,SUMPRODUCT(--ISNUMBER(SEARCH(","&amp;TRIM(TEXTSPLIT(GW91,","))&amp;",",","&amp;SUBSTITUTE(input_profile_type," ","")&amp;",")))=COUNTA(TEXTSPLIT(GW91,",")))),IF(GY91="",TRUE,IF(input_profile_type="",TRUE,SUMPRODUCT(--ISNUMBER(SEARCH(","&amp;TRIM(TEXTSPLIT(GY91,","))&amp;",",","&amp;SUBSTITUTE(input_profile_type," ","")&amp;",")))=0)),IF(HA91="",TRUE,IF(input_profile_type="",FALSE,SUMPRODUCT(--ISNUMBER(SEARCH(","&amp;TRIM(TEXTSPLIT(HA91,","))&amp;",",","&amp;SUBSTITUTE(input_profile_type," ","")&amp;",")))&gt;0)),IF(HC91="",TRUE,IF(input_profile_type="",FALSE,SUMPRODUCT(--ISNUMBER(SEARCH(","&amp;TRIM(TEXTSPLIT(HC91,","))&amp;",",","&amp;SUBSTITUTE(input_profile_type," ","")&amp;",")))=COUNTA(TEXTSPLIT(HC91,",")))))</f>
        <v/>
      </c>
      <c r="JN91">
        <f>AND(IF(HE91="",TRUE,IF(input_program="",FALSE,SUMPRODUCT(--ISNUMBER(SEARCH(","&amp;TRIM(TEXTSPLIT(HE91,","))&amp;",",","&amp;SUBSTITUTE(input_program," ","")&amp;",")))&gt;0)),IF(HG91="",TRUE,IF(input_program="",FALSE,SUMPRODUCT(--ISNUMBER(SEARCH(","&amp;TRIM(TEXTSPLIT(HG91,","))&amp;",",","&amp;SUBSTITUTE(input_program," ","")&amp;",")))=COUNTA(TEXTSPLIT(HG91,",")))),IF(HI91="",TRUE,IF(input_program="",TRUE,SUMPRODUCT(--ISNUMBER(SEARCH(","&amp;TRIM(TEXTSPLIT(HI91,","))&amp;",",","&amp;SUBSTITUTE(input_program," ","")&amp;",")))=0)),IF(HK91="",TRUE,IF(input_program="",FALSE,SUMPRODUCT(--ISNUMBER(SEARCH(","&amp;TRIM(TEXTSPLIT(HK91,","))&amp;",",","&amp;SUBSTITUTE(input_program," ","")&amp;",")))&gt;0)),IF(HM91="",TRUE,IF(input_program="",FALSE,SUMPRODUCT(--ISNUMBER(SEARCH(","&amp;TRIM(TEXTSPLIT(HM91,","))&amp;",",","&amp;SUBSTITUTE(input_program," ","")&amp;",")))=COUNTA(TEXTSPLIT(HM91,",")))))</f>
        <v/>
      </c>
      <c r="JO91">
        <f>AND(IF(HO91="",TRUE,IF(input_story_categories="",FALSE,SUMPRODUCT(--ISNUMBER(SEARCH(","&amp;TRIM(TEXTSPLIT(HO91,","))&amp;",",","&amp;SUBSTITUTE(input_story_categories," ","")&amp;",")))&gt;0)),IF(HQ91="",TRUE,IF(input_story_categories="",FALSE,SUMPRODUCT(--ISNUMBER(SEARCH(","&amp;TRIM(TEXTSPLIT(HQ91,","))&amp;",",","&amp;SUBSTITUTE(input_story_categories," ","")&amp;",")))=COUNTA(TEXTSPLIT(HQ91,",")))),IF(HS91="",TRUE,IF(input_story_categories="",TRUE,SUMPRODUCT(--ISNUMBER(SEARCH(","&amp;TRIM(TEXTSPLIT(HS91,","))&amp;",",","&amp;SUBSTITUTE(input_story_categories," ","")&amp;",")))=0)),IF(HU91="",TRUE,IF(input_story_categories="",FALSE,SUMPRODUCT(--ISNUMBER(SEARCH(","&amp;TRIM(TEXTSPLIT(HU91,","))&amp;",",","&amp;SUBSTITUTE(input_story_categories," ","")&amp;",")))&gt;0)),IF(HW91="",TRUE,IF(input_story_categories="",FALSE,SUMPRODUCT(--ISNUMBER(SEARCH(","&amp;TRIM(TEXTSPLIT(HW91,","))&amp;",",","&amp;SUBSTITUTE(input_story_categories," ","")&amp;",")))=COUNTA(TEXTSPLIT(HW91,",")))))</f>
        <v/>
      </c>
      <c r="JP91">
        <f>AND(IF(HY91="",TRUE,IF(input_story_type="",FALSE,SUMPRODUCT(--ISNUMBER(SEARCH(","&amp;TRIM(TEXTSPLIT(HY91,","))&amp;",",","&amp;SUBSTITUTE(input_story_type," ","")&amp;",")))&gt;0)),IF(IA91="",TRUE,IF(input_story_type="",FALSE,SUMPRODUCT(--ISNUMBER(SEARCH(","&amp;TRIM(TEXTSPLIT(IA91,","))&amp;",",","&amp;SUBSTITUTE(input_story_type," ","")&amp;",")))=COUNTA(TEXTSPLIT(IA91,",")))),IF(IC91="",TRUE,IF(input_story_type="",TRUE,SUMPRODUCT(--ISNUMBER(SEARCH(","&amp;TRIM(TEXTSPLIT(IC91,","))&amp;",",","&amp;SUBSTITUTE(input_story_type," ","")&amp;",")))=0)),IF(IE91="",TRUE,IF(input_story_type="",FALSE,SUMPRODUCT(--ISNUMBER(SEARCH(","&amp;TRIM(TEXTSPLIT(IE91,","))&amp;",",","&amp;SUBSTITUTE(input_story_type," ","")&amp;",")))&gt;0)),IF(IG91="",TRUE,IF(input_story_type="",FALSE,SUMPRODUCT(--ISNUMBER(SEARCH(","&amp;TRIM(TEXTSPLIT(IG91,","))&amp;",",","&amp;SUBSTITUTE(input_story_type," ","")&amp;",")))=COUNTA(TEXTSPLIT(IG91,",")))))</f>
        <v/>
      </c>
      <c r="JQ91">
        <f>AND(IF(II91="",TRUE,IF(input_topics="",FALSE,SUMPRODUCT(--ISNUMBER(SEARCH(","&amp;TRIM(TEXTSPLIT(II91,","))&amp;",",","&amp;SUBSTITUTE(input_topics," ","")&amp;",")))&gt;0)),IF(IK91="",TRUE,IF(input_topics="",FALSE,SUMPRODUCT(--ISNUMBER(SEARCH(","&amp;TRIM(TEXTSPLIT(IK91,","))&amp;",",","&amp;SUBSTITUTE(input_topics," ","")&amp;",")))=COUNTA(TEXTSPLIT(IK91,",")))),IF(IM91="",TRUE,IF(input_topics="",TRUE,SUMPRODUCT(--ISNUMBER(SEARCH(","&amp;TRIM(TEXTSPLIT(IM91,","))&amp;",",","&amp;SUBSTITUTE(input_topics," ","")&amp;",")))=0)),IF(IO91="",TRUE,IF(input_topics="",FALSE,SUMPRODUCT(--ISNUMBER(SEARCH(","&amp;TRIM(TEXTSPLIT(IO91,","))&amp;",",","&amp;SUBSTITUTE(input_topics," ","")&amp;",")))&gt;0)),IF(IQ91="",TRUE,IF(input_topics="",FALSE,SUMPRODUCT(--ISNUMBER(SEARCH(","&amp;TRIM(TEXTSPLIT(IQ91,","))&amp;",",","&amp;SUBSTITUTE(input_topics," ","")&amp;",")))=COUNTA(TEXTSPLIT(IQ91,",")))))</f>
        <v/>
      </c>
    </row>
    <row r="92">
      <c r="A92" s="4">
        <f>IF(NOT(IS92),"Excluded",IF(AND(IT92,IU92,IV92,IW92,IX92,IY92,IZ92,JA92,JB92,JC92,JD92,JE92,JF92,JG92,JH92,JI92,JJ92,JK92,JL92,JM92,JN92,JO92,JP92,JQ92),IF(I92&gt;0,"Eligible but limited","Will appear"),"Excluded"))</f>
        <v/>
      </c>
      <c r="B92" s="4" t="inlineStr">
        <is>
          <t>Daily Systemic Risk Blog</t>
        </is>
      </c>
      <c r="C92" s="4" t="inlineStr">
        <is>
          <t>/centers/program-on-financial-stability/systemic-risk-blog</t>
        </is>
      </c>
      <c r="D92" s="4" t="inlineStr">
        <is>
          <t>/centers/program-on-financial-stability/systemic-risk-blog</t>
        </is>
      </c>
      <c r="E92" s="4" t="n">
        <v>1</v>
      </c>
      <c r="F92" s="4" t="inlineStr">
        <is>
          <t>story</t>
        </is>
      </c>
      <c r="G92" s="4" t="inlineStr">
        <is>
          <t>stories_list</t>
        </is>
      </c>
      <c r="H92" s="4" t="inlineStr">
        <is>
          <t>embed_blog</t>
        </is>
      </c>
      <c r="I92" s="4" t="n">
        <v>10</v>
      </c>
      <c r="J92" s="4" t="inlineStr">
        <is>
          <t>Explicit args</t>
        </is>
      </c>
      <c r="K92" s="4" t="inlineStr">
        <is>
          <t>Page placement</t>
        </is>
      </c>
      <c r="L92" s="4" t="inlineStr">
        <is>
          <t>Content type: story; Context uses Courses Context: Program on Financial Stability (955); Needs any Story Type: Blog (974); Limited to 10 item(s); Source: Explicit args</t>
        </is>
      </c>
      <c r="M92" t="inlineStr"/>
      <c r="N92" t="inlineStr"/>
      <c r="O92" t="inlineStr"/>
      <c r="P92" t="inlineStr"/>
      <c r="Q92" t="inlineStr"/>
      <c r="R92" t="inlineStr"/>
      <c r="S92" t="inlineStr"/>
      <c r="T92" t="inlineStr"/>
      <c r="U92" t="inlineStr"/>
      <c r="V92" t="inlineStr"/>
      <c r="W92" t="inlineStr"/>
      <c r="X92" t="inlineStr"/>
      <c r="Y92" t="inlineStr"/>
      <c r="Z92" t="inlineStr"/>
      <c r="AA92" t="inlineStr"/>
      <c r="AB92" t="inlineStr"/>
      <c r="AC92" t="inlineStr"/>
      <c r="AD92" t="inlineStr"/>
      <c r="AE92" t="inlineStr"/>
      <c r="AF92" t="inlineStr"/>
      <c r="AG92" t="inlineStr"/>
      <c r="AH92" t="inlineStr"/>
      <c r="AI92" t="inlineStr"/>
      <c r="AJ92" t="inlineStr"/>
      <c r="AK92" t="inlineStr"/>
      <c r="AL92" t="inlineStr"/>
      <c r="AM92" t="inlineStr"/>
      <c r="AN92" t="inlineStr"/>
      <c r="AO92" t="inlineStr"/>
      <c r="AP92" t="inlineStr"/>
      <c r="AQ92" t="inlineStr"/>
      <c r="AR92" t="inlineStr"/>
      <c r="AS92" t="inlineStr"/>
      <c r="AT92" t="inlineStr"/>
      <c r="AU92" t="inlineStr"/>
      <c r="AV92" t="inlineStr"/>
      <c r="AW92" t="inlineStr"/>
      <c r="AX92" t="inlineStr"/>
      <c r="AY92" t="inlineStr"/>
      <c r="AZ92" t="inlineStr"/>
      <c r="BA92" t="inlineStr"/>
      <c r="BB92" t="inlineStr"/>
      <c r="BC92" t="inlineStr"/>
      <c r="BD92" t="inlineStr"/>
      <c r="BE92" t="inlineStr"/>
      <c r="BF92" t="inlineStr"/>
      <c r="BG92" t="inlineStr"/>
      <c r="BH92" t="inlineStr"/>
      <c r="BI92" t="inlineStr"/>
      <c r="BJ92" t="inlineStr"/>
      <c r="BK92" t="inlineStr"/>
      <c r="BL92" t="inlineStr"/>
      <c r="BM92" t="inlineStr"/>
      <c r="BN92" t="inlineStr"/>
      <c r="BO92" t="inlineStr"/>
      <c r="BP92" t="inlineStr"/>
      <c r="BQ92" t="inlineStr">
        <is>
          <t>955</t>
        </is>
      </c>
      <c r="BR92" t="inlineStr">
        <is>
          <t>Program on Financial Stability (955)</t>
        </is>
      </c>
      <c r="BS92" t="inlineStr"/>
      <c r="BT92" t="inlineStr"/>
      <c r="BU92" t="inlineStr"/>
      <c r="BV92" t="inlineStr"/>
      <c r="BW92" t="inlineStr"/>
      <c r="BX92" t="inlineStr"/>
      <c r="BY92" t="inlineStr"/>
      <c r="BZ92" t="inlineStr"/>
      <c r="CA92" t="inlineStr"/>
      <c r="CB92" t="inlineStr"/>
      <c r="CC92" t="inlineStr"/>
      <c r="CD92" t="inlineStr"/>
      <c r="CE92" t="inlineStr"/>
      <c r="CF92" t="inlineStr"/>
      <c r="CG92" t="inlineStr"/>
      <c r="CH92" t="inlineStr"/>
      <c r="CI92" t="inlineStr"/>
      <c r="CJ92" t="inlineStr"/>
      <c r="CK92" t="inlineStr"/>
      <c r="CL92" t="inlineStr"/>
      <c r="CM92" t="inlineStr"/>
      <c r="CN92" t="inlineStr"/>
      <c r="CO92" t="inlineStr"/>
      <c r="CP92" t="inlineStr"/>
      <c r="CQ92" t="inlineStr"/>
      <c r="CR92" t="inlineStr"/>
      <c r="CS92" t="inlineStr"/>
      <c r="CT92" t="inlineStr"/>
      <c r="CU92" t="inlineStr"/>
      <c r="CV92" t="inlineStr"/>
      <c r="CW92" t="inlineStr"/>
      <c r="CX92" t="inlineStr"/>
      <c r="CY92" t="inlineStr"/>
      <c r="CZ92" t="inlineStr"/>
      <c r="DA92" t="inlineStr"/>
      <c r="DB92" t="inlineStr"/>
      <c r="DC92" t="inlineStr"/>
      <c r="DD92" t="inlineStr"/>
      <c r="DE92" t="inlineStr"/>
      <c r="DF92" t="inlineStr"/>
      <c r="DG92" t="inlineStr"/>
      <c r="DH92" t="inlineStr"/>
      <c r="DI92" t="inlineStr"/>
      <c r="DJ92" t="inlineStr"/>
      <c r="DK92" t="inlineStr"/>
      <c r="DL92" t="inlineStr"/>
      <c r="DM92" t="inlineStr"/>
      <c r="DN92" t="inlineStr"/>
      <c r="DO92" t="inlineStr"/>
      <c r="DP92" t="inlineStr"/>
      <c r="DQ92" t="inlineStr"/>
      <c r="DR92" t="inlineStr"/>
      <c r="DS92" t="inlineStr"/>
      <c r="DT92" t="inlineStr"/>
      <c r="DU92" t="inlineStr"/>
      <c r="DV92" t="inlineStr"/>
      <c r="DW92" t="inlineStr"/>
      <c r="DX92" t="inlineStr"/>
      <c r="DY92" t="inlineStr"/>
      <c r="DZ92" t="inlineStr"/>
      <c r="EA92" t="inlineStr"/>
      <c r="EB92" t="inlineStr"/>
      <c r="EC92" t="inlineStr"/>
      <c r="ED92" t="inlineStr"/>
      <c r="EE92" t="inlineStr"/>
      <c r="EF92" t="inlineStr"/>
      <c r="EG92" t="inlineStr"/>
      <c r="EH92" t="inlineStr"/>
      <c r="EI92" t="inlineStr"/>
      <c r="EJ92" t="inlineStr"/>
      <c r="EK92" t="inlineStr"/>
      <c r="EL92" t="inlineStr"/>
      <c r="EM92" t="inlineStr"/>
      <c r="EN92" t="inlineStr"/>
      <c r="EO92" t="inlineStr"/>
      <c r="EP92" t="inlineStr"/>
      <c r="EQ92" t="inlineStr"/>
      <c r="ER92" t="inlineStr"/>
      <c r="ES92" t="inlineStr"/>
      <c r="ET92" t="inlineStr"/>
      <c r="EU92" t="inlineStr"/>
      <c r="EV92" t="inlineStr"/>
      <c r="EW92" t="inlineStr"/>
      <c r="EX92" t="inlineStr"/>
      <c r="EY92" t="inlineStr"/>
      <c r="EZ92" t="inlineStr"/>
      <c r="FA92" t="inlineStr"/>
      <c r="FB92" t="inlineStr"/>
      <c r="FC92" t="inlineStr"/>
      <c r="FD92" t="inlineStr"/>
      <c r="FE92" t="inlineStr"/>
      <c r="FF92" t="inlineStr"/>
      <c r="FG92" t="inlineStr"/>
      <c r="FH92" t="inlineStr"/>
      <c r="FI92" t="inlineStr"/>
      <c r="FJ92" t="inlineStr"/>
      <c r="FK92" t="inlineStr"/>
      <c r="FL92" t="inlineStr"/>
      <c r="FM92" t="inlineStr"/>
      <c r="FN92" t="inlineStr"/>
      <c r="FO92" t="inlineStr"/>
      <c r="FP92" t="inlineStr"/>
      <c r="FQ92" t="inlineStr"/>
      <c r="FR92" t="inlineStr"/>
      <c r="FS92" t="inlineStr"/>
      <c r="FT92" t="inlineStr"/>
      <c r="FU92" t="inlineStr"/>
      <c r="FV92" t="inlineStr"/>
      <c r="FW92" t="inlineStr"/>
      <c r="FX92" t="inlineStr"/>
      <c r="FY92" t="inlineStr"/>
      <c r="FZ92" t="inlineStr"/>
      <c r="GA92" t="inlineStr"/>
      <c r="GB92" t="inlineStr"/>
      <c r="GC92" t="inlineStr"/>
      <c r="GD92" t="inlineStr"/>
      <c r="GE92" t="inlineStr"/>
      <c r="GF92" t="inlineStr"/>
      <c r="GG92" t="inlineStr"/>
      <c r="GH92" t="inlineStr"/>
      <c r="GI92" t="inlineStr"/>
      <c r="GJ92" t="inlineStr"/>
      <c r="GK92" t="inlineStr"/>
      <c r="GL92" t="inlineStr"/>
      <c r="GM92" t="inlineStr"/>
      <c r="GN92" t="inlineStr"/>
      <c r="GO92" t="inlineStr"/>
      <c r="GP92" t="inlineStr"/>
      <c r="GQ92" t="inlineStr"/>
      <c r="GR92" t="inlineStr"/>
      <c r="GS92" t="inlineStr"/>
      <c r="GT92" t="inlineStr"/>
      <c r="GU92" t="inlineStr"/>
      <c r="GV92" t="inlineStr"/>
      <c r="GW92" t="inlineStr"/>
      <c r="GX92" t="inlineStr"/>
      <c r="GY92" t="inlineStr"/>
      <c r="GZ92" t="inlineStr"/>
      <c r="HA92" t="inlineStr"/>
      <c r="HB92" t="inlineStr"/>
      <c r="HC92" t="inlineStr"/>
      <c r="HD92" t="inlineStr"/>
      <c r="HE92" t="inlineStr"/>
      <c r="HF92" t="inlineStr"/>
      <c r="HG92" t="inlineStr"/>
      <c r="HH92" t="inlineStr"/>
      <c r="HI92" t="inlineStr"/>
      <c r="HJ92" t="inlineStr"/>
      <c r="HK92" t="inlineStr"/>
      <c r="HL92" t="inlineStr"/>
      <c r="HM92" t="inlineStr"/>
      <c r="HN92" t="inlineStr"/>
      <c r="HO92" t="inlineStr"/>
      <c r="HP92" t="inlineStr"/>
      <c r="HQ92" t="inlineStr"/>
      <c r="HR92" t="inlineStr"/>
      <c r="HS92" t="inlineStr"/>
      <c r="HT92" t="inlineStr"/>
      <c r="HU92" t="inlineStr"/>
      <c r="HV92" t="inlineStr"/>
      <c r="HW92" t="inlineStr"/>
      <c r="HX92" t="inlineStr"/>
      <c r="HY92" t="inlineStr">
        <is>
          <t>974</t>
        </is>
      </c>
      <c r="HZ92" t="inlineStr">
        <is>
          <t>Blog (974)</t>
        </is>
      </c>
      <c r="IA92" t="inlineStr"/>
      <c r="IB92" t="inlineStr"/>
      <c r="IC92" t="inlineStr"/>
      <c r="ID92" t="inlineStr"/>
      <c r="IE92" t="inlineStr"/>
      <c r="IF92" t="inlineStr"/>
      <c r="IG92" t="inlineStr"/>
      <c r="IH92" t="inlineStr"/>
      <c r="II92" t="inlineStr"/>
      <c r="IJ92" t="inlineStr"/>
      <c r="IK92" t="inlineStr"/>
      <c r="IL92" t="inlineStr"/>
      <c r="IM92" t="inlineStr"/>
      <c r="IN92" t="inlineStr"/>
      <c r="IO92" t="inlineStr"/>
      <c r="IP92" t="inlineStr"/>
      <c r="IQ92" t="inlineStr"/>
      <c r="IR92" t="inlineStr"/>
      <c r="IS92">
        <f>IF(input_content_type="",FALSE,ISNUMBER(SEARCH(","&amp;LOWER(input_content_type)&amp;",",","&amp;LOWER(F92)&amp;",")))</f>
        <v/>
      </c>
      <c r="IT92">
        <f>AND(IF(M92="",TRUE,IF(input_affiliations="",FALSE,SUMPRODUCT(--ISNUMBER(SEARCH(","&amp;TRIM(TEXTSPLIT(M92,","))&amp;",",","&amp;SUBSTITUTE(input_affiliations," ","")&amp;",")))&gt;0)),IF(O92="",TRUE,IF(input_affiliations="",FALSE,SUMPRODUCT(--ISNUMBER(SEARCH(","&amp;TRIM(TEXTSPLIT(O92,","))&amp;",",","&amp;SUBSTITUTE(input_affiliations," ","")&amp;",")))=COUNTA(TEXTSPLIT(O92,",")))),IF(Q92="",TRUE,IF(input_affiliations="",TRUE,SUMPRODUCT(--ISNUMBER(SEARCH(","&amp;TRIM(TEXTSPLIT(Q92,","))&amp;",",","&amp;SUBSTITUTE(input_affiliations," ","")&amp;",")))=0)),IF(S92="",TRUE,IF(input_affiliations="",FALSE,SUMPRODUCT(--ISNUMBER(SEARCH(","&amp;TRIM(TEXTSPLIT(S92,","))&amp;",",","&amp;SUBSTITUTE(input_affiliations," ","")&amp;",")))&gt;0)),IF(U92="",TRUE,IF(input_affiliations="",FALSE,SUMPRODUCT(--ISNUMBER(SEARCH(","&amp;TRIM(TEXTSPLIT(U92,","))&amp;",",","&amp;SUBSTITUTE(input_affiliations," ","")&amp;",")))=COUNTA(TEXTSPLIT(U92,",")))))</f>
        <v/>
      </c>
      <c r="IU92">
        <f>AND(IF(W92="",TRUE,IF(input_announcement_category="",FALSE,SUMPRODUCT(--ISNUMBER(SEARCH(","&amp;TRIM(TEXTSPLIT(W92,","))&amp;",",","&amp;SUBSTITUTE(input_announcement_category," ","")&amp;",")))&gt;0)),IF(Y92="",TRUE,IF(input_announcement_category="",FALSE,SUMPRODUCT(--ISNUMBER(SEARCH(","&amp;TRIM(TEXTSPLIT(Y92,","))&amp;",",","&amp;SUBSTITUTE(input_announcement_category," ","")&amp;",")))=COUNTA(TEXTSPLIT(Y92,",")))),IF(AA92="",TRUE,IF(input_announcement_category="",TRUE,SUMPRODUCT(--ISNUMBER(SEARCH(","&amp;TRIM(TEXTSPLIT(AA92,","))&amp;",",","&amp;SUBSTITUTE(input_announcement_category," ","")&amp;",")))=0)),IF(AC92="",TRUE,IF(input_announcement_category="",FALSE,SUMPRODUCT(--ISNUMBER(SEARCH(","&amp;TRIM(TEXTSPLIT(AC92,","))&amp;",",","&amp;SUBSTITUTE(input_announcement_category," ","")&amp;",")))&gt;0)),IF(AE92="",TRUE,IF(input_announcement_category="",FALSE,SUMPRODUCT(--ISNUMBER(SEARCH(","&amp;TRIM(TEXTSPLIT(AE92,","))&amp;",",","&amp;SUBSTITUTE(input_announcement_category," ","")&amp;",")))=COUNTA(TEXTSPLIT(AE92,",")))))</f>
        <v/>
      </c>
      <c r="IV92">
        <f>AND(IF(AG92="",TRUE,IF(input_area_of_focus="",FALSE,SUMPRODUCT(--ISNUMBER(SEARCH(","&amp;TRIM(TEXTSPLIT(AG92,","))&amp;",",","&amp;SUBSTITUTE(input_area_of_focus," ","")&amp;",")))&gt;0)),IF(AI92="",TRUE,IF(input_area_of_focus="",FALSE,SUMPRODUCT(--ISNUMBER(SEARCH(","&amp;TRIM(TEXTSPLIT(AI92,","))&amp;",",","&amp;SUBSTITUTE(input_area_of_focus," ","")&amp;",")))=COUNTA(TEXTSPLIT(AI92,",")))),IF(AK92="",TRUE,IF(input_area_of_focus="",TRUE,SUMPRODUCT(--ISNUMBER(SEARCH(","&amp;TRIM(TEXTSPLIT(AK92,","))&amp;",",","&amp;SUBSTITUTE(input_area_of_focus," ","")&amp;",")))=0)),IF(AM92="",TRUE,IF(input_area_of_focus="",FALSE,SUMPRODUCT(--ISNUMBER(SEARCH(","&amp;TRIM(TEXTSPLIT(AM92,","))&amp;",",","&amp;SUBSTITUTE(input_area_of_focus," ","")&amp;",")))&gt;0)),IF(AO92="",TRUE,IF(input_area_of_focus="",FALSE,SUMPRODUCT(--ISNUMBER(SEARCH(","&amp;TRIM(TEXTSPLIT(AO92,","))&amp;",",","&amp;SUBSTITUTE(input_area_of_focus," ","")&amp;",")))=COUNTA(TEXTSPLIT(AO92,",")))))</f>
        <v/>
      </c>
      <c r="IW92">
        <f>AND(IF(AQ92="",TRUE,IF(input_audience="",FALSE,SUMPRODUCT(--ISNUMBER(SEARCH(","&amp;TRIM(TEXTSPLIT(AQ92,","))&amp;",",","&amp;SUBSTITUTE(input_audience," ","")&amp;",")))&gt;0)),IF(AS92="",TRUE,IF(input_audience="",FALSE,SUMPRODUCT(--ISNUMBER(SEARCH(","&amp;TRIM(TEXTSPLIT(AS92,","))&amp;",",","&amp;SUBSTITUTE(input_audience," ","")&amp;",")))=COUNTA(TEXTSPLIT(AS92,",")))),IF(AU92="",TRUE,IF(input_audience="",TRUE,SUMPRODUCT(--ISNUMBER(SEARCH(","&amp;TRIM(TEXTSPLIT(AU92,","))&amp;",",","&amp;SUBSTITUTE(input_audience," ","")&amp;",")))=0)),IF(AW92="",TRUE,IF(input_audience="",FALSE,SUMPRODUCT(--ISNUMBER(SEARCH(","&amp;TRIM(TEXTSPLIT(AW92,","))&amp;",",","&amp;SUBSTITUTE(input_audience," ","")&amp;",")))&gt;0)),IF(AY92="",TRUE,IF(input_audience="",FALSE,SUMPRODUCT(--ISNUMBER(SEARCH(","&amp;TRIM(TEXTSPLIT(AY92,","))&amp;",",","&amp;SUBSTITUTE(input_audience," ","")&amp;",")))=COUNTA(TEXTSPLIT(AY92,",")))))</f>
        <v/>
      </c>
      <c r="IX92">
        <f>AND(IF(BA92="",TRUE,IF(input_challenge_opportunities="",FALSE,SUMPRODUCT(--ISNUMBER(SEARCH(","&amp;TRIM(TEXTSPLIT(BA92,","))&amp;",",","&amp;SUBSTITUTE(input_challenge_opportunities," ","")&amp;",")))&gt;0)),IF(BC92="",TRUE,IF(input_challenge_opportunities="",FALSE,SUMPRODUCT(--ISNUMBER(SEARCH(","&amp;TRIM(TEXTSPLIT(BC92,","))&amp;",",","&amp;SUBSTITUTE(input_challenge_opportunities," ","")&amp;",")))=COUNTA(TEXTSPLIT(BC92,",")))),IF(BE92="",TRUE,IF(input_challenge_opportunities="",TRUE,SUMPRODUCT(--ISNUMBER(SEARCH(","&amp;TRIM(TEXTSPLIT(BE92,","))&amp;",",","&amp;SUBSTITUTE(input_challenge_opportunities," ","")&amp;",")))=0)),IF(BG92="",TRUE,IF(input_challenge_opportunities="",FALSE,SUMPRODUCT(--ISNUMBER(SEARCH(","&amp;TRIM(TEXTSPLIT(BG92,","))&amp;",",","&amp;SUBSTITUTE(input_challenge_opportunities," ","")&amp;",")))&gt;0)),IF(BI92="",TRUE,IF(input_challenge_opportunities="",FALSE,SUMPRODUCT(--ISNUMBER(SEARCH(","&amp;TRIM(TEXTSPLIT(BI92,","))&amp;",",","&amp;SUBSTITUTE(input_challenge_opportunities," ","")&amp;",")))=COUNTA(TEXTSPLIT(BI92,",")))))</f>
        <v/>
      </c>
      <c r="IY92">
        <f>AND(IF(BK92="",TRUE,IF(input_context="",FALSE,SUMPRODUCT(--ISNUMBER(SEARCH(","&amp;TRIM(TEXTSPLIT(BK92,","))&amp;",",","&amp;SUBSTITUTE(input_context," ","")&amp;",")))&gt;0)),IF(BM92="",TRUE,IF(input_context="",FALSE,SUMPRODUCT(--ISNUMBER(SEARCH(","&amp;TRIM(TEXTSPLIT(BM92,","))&amp;",",","&amp;SUBSTITUTE(input_context," ","")&amp;",")))=COUNTA(TEXTSPLIT(BM92,",")))),IF(BO92="",TRUE,IF(input_context="",TRUE,SUMPRODUCT(--ISNUMBER(SEARCH(","&amp;TRIM(TEXTSPLIT(BO92,","))&amp;",",","&amp;SUBSTITUTE(input_context," ","")&amp;",")))=0)),IF(BQ92="",TRUE,IF(input_context="",FALSE,SUMPRODUCT(--ISNUMBER(SEARCH(","&amp;TRIM(TEXTSPLIT(BQ92,","))&amp;",",","&amp;SUBSTITUTE(input_context," ","")&amp;",")))&gt;0)),IF(BS92="",TRUE,IF(input_context="",FALSE,SUMPRODUCT(--ISNUMBER(SEARCH(","&amp;TRIM(TEXTSPLIT(BS92,","))&amp;",",","&amp;SUBSTITUTE(input_context," ","")&amp;",")))=COUNTA(TEXTSPLIT(BS92,",")))))</f>
        <v/>
      </c>
      <c r="IZ92">
        <f>AND(IF(BU92="",TRUE,IF(input_enews_announcement_type="",FALSE,SUMPRODUCT(--ISNUMBER(SEARCH(","&amp;TRIM(TEXTSPLIT(BU92,","))&amp;",",","&amp;SUBSTITUTE(input_enews_announcement_type," ","")&amp;",")))&gt;0)),IF(BW92="",TRUE,IF(input_enews_announcement_type="",FALSE,SUMPRODUCT(--ISNUMBER(SEARCH(","&amp;TRIM(TEXTSPLIT(BW92,","))&amp;",",","&amp;SUBSTITUTE(input_enews_announcement_type," ","")&amp;",")))=COUNTA(TEXTSPLIT(BW92,",")))),IF(BY92="",TRUE,IF(input_enews_announcement_type="",TRUE,SUMPRODUCT(--ISNUMBER(SEARCH(","&amp;TRIM(TEXTSPLIT(BY92,","))&amp;",",","&amp;SUBSTITUTE(input_enews_announcement_type," ","")&amp;",")))=0)),IF(CA92="",TRUE,IF(input_enews_announcement_type="",FALSE,SUMPRODUCT(--ISNUMBER(SEARCH(","&amp;TRIM(TEXTSPLIT(CA92,","))&amp;",",","&amp;SUBSTITUTE(input_enews_announcement_type," ","")&amp;",")))&gt;0)),IF(CC92="",TRUE,IF(input_enews_announcement_type="",FALSE,SUMPRODUCT(--ISNUMBER(SEARCH(","&amp;TRIM(TEXTSPLIT(CC92,","))&amp;",",","&amp;SUBSTITUTE(input_enews_announcement_type," ","")&amp;",")))=COUNTA(TEXTSPLIT(CC92,",")))))</f>
        <v/>
      </c>
      <c r="JA92">
        <f>AND(IF(CE92="",TRUE,IF(input_enews_audience="",FALSE,SUMPRODUCT(--ISNUMBER(SEARCH(","&amp;TRIM(TEXTSPLIT(CE92,","))&amp;",",","&amp;SUBSTITUTE(input_enews_audience," ","")&amp;",")))&gt;0)),IF(CG92="",TRUE,IF(input_enews_audience="",FALSE,SUMPRODUCT(--ISNUMBER(SEARCH(","&amp;TRIM(TEXTSPLIT(CG92,","))&amp;",",","&amp;SUBSTITUTE(input_enews_audience," ","")&amp;",")))=COUNTA(TEXTSPLIT(CG92,",")))),IF(CI92="",TRUE,IF(input_enews_audience="",TRUE,SUMPRODUCT(--ISNUMBER(SEARCH(","&amp;TRIM(TEXTSPLIT(CI92,","))&amp;",",","&amp;SUBSTITUTE(input_enews_audience," ","")&amp;",")))=0)),IF(CK92="",TRUE,IF(input_enews_audience="",FALSE,SUMPRODUCT(--ISNUMBER(SEARCH(","&amp;TRIM(TEXTSPLIT(CK92,","))&amp;",",","&amp;SUBSTITUTE(input_enews_audience," ","")&amp;",")))&gt;0)),IF(CM92="",TRUE,IF(input_enews_audience="",FALSE,SUMPRODUCT(--ISNUMBER(SEARCH(","&amp;TRIM(TEXTSPLIT(CM92,","))&amp;",",","&amp;SUBSTITUTE(input_enews_audience," ","")&amp;",")))=COUNTA(TEXTSPLIT(CM92,",")))))</f>
        <v/>
      </c>
      <c r="JB92">
        <f>AND(IF(CO92="",TRUE,IF(input_event_location="",FALSE,SUMPRODUCT(--ISNUMBER(SEARCH(","&amp;TRIM(TEXTSPLIT(CO92,","))&amp;",",","&amp;SUBSTITUTE(input_event_location," ","")&amp;",")))&gt;0)),IF(CQ92="",TRUE,IF(input_event_location="",FALSE,SUMPRODUCT(--ISNUMBER(SEARCH(","&amp;TRIM(TEXTSPLIT(CQ92,","))&amp;",",","&amp;SUBSTITUTE(input_event_location," ","")&amp;",")))=COUNTA(TEXTSPLIT(CQ92,",")))),IF(CS92="",TRUE,IF(input_event_location="",TRUE,SUMPRODUCT(--ISNUMBER(SEARCH(","&amp;TRIM(TEXTSPLIT(CS92,","))&amp;",",","&amp;SUBSTITUTE(input_event_location," ","")&amp;",")))=0)),IF(CU92="",TRUE,IF(input_event_location="",FALSE,SUMPRODUCT(--ISNUMBER(SEARCH(","&amp;TRIM(TEXTSPLIT(CU92,","))&amp;",",","&amp;SUBSTITUTE(input_event_location," ","")&amp;",")))&gt;0)),IF(CW92="",TRUE,IF(input_event_location="",FALSE,SUMPRODUCT(--ISNUMBER(SEARCH(","&amp;TRIM(TEXTSPLIT(CW92,","))&amp;",",","&amp;SUBSTITUTE(input_event_location," ","")&amp;",")))=COUNTA(TEXTSPLIT(CW92,",")))))</f>
        <v/>
      </c>
      <c r="JC92">
        <f>AND(IF(CY92="",TRUE,IF(input_event_type="",FALSE,SUMPRODUCT(--ISNUMBER(SEARCH(","&amp;TRIM(TEXTSPLIT(CY92,","))&amp;",",","&amp;SUBSTITUTE(input_event_type," ","")&amp;",")))&gt;0)),IF(DA92="",TRUE,IF(input_event_type="",FALSE,SUMPRODUCT(--ISNUMBER(SEARCH(","&amp;TRIM(TEXTSPLIT(DA92,","))&amp;",",","&amp;SUBSTITUTE(input_event_type," ","")&amp;",")))=COUNTA(TEXTSPLIT(DA92,",")))),IF(DC92="",TRUE,IF(input_event_type="",TRUE,SUMPRODUCT(--ISNUMBER(SEARCH(","&amp;TRIM(TEXTSPLIT(DC92,","))&amp;",",","&amp;SUBSTITUTE(input_event_type," ","")&amp;",")))=0)),IF(DE92="",TRUE,IF(input_event_type="",FALSE,SUMPRODUCT(--ISNUMBER(SEARCH(","&amp;TRIM(TEXTSPLIT(DE92,","))&amp;",",","&amp;SUBSTITUTE(input_event_type," ","")&amp;",")))&gt;0)),IF(DG92="",TRUE,IF(input_event_type="",FALSE,SUMPRODUCT(--ISNUMBER(SEARCH(","&amp;TRIM(TEXTSPLIT(DG92,","))&amp;",",","&amp;SUBSTITUTE(input_event_type," ","")&amp;",")))=COUNTA(TEXTSPLIT(DG92,",")))))</f>
        <v/>
      </c>
      <c r="JD92">
        <f>AND(IF(DI92="",TRUE,IF(input_executive_education_focus="",FALSE,SUMPRODUCT(--ISNUMBER(SEARCH(","&amp;TRIM(TEXTSPLIT(DI92,","))&amp;",",","&amp;SUBSTITUTE(input_executive_education_focus," ","")&amp;",")))&gt;0)),IF(DK92="",TRUE,IF(input_executive_education_focus="",FALSE,SUMPRODUCT(--ISNUMBER(SEARCH(","&amp;TRIM(TEXTSPLIT(DK92,","))&amp;",",","&amp;SUBSTITUTE(input_executive_education_focus," ","")&amp;",")))=COUNTA(TEXTSPLIT(DK92,",")))),IF(DM92="",TRUE,IF(input_executive_education_focus="",TRUE,SUMPRODUCT(--ISNUMBER(SEARCH(","&amp;TRIM(TEXTSPLIT(DM92,","))&amp;",",","&amp;SUBSTITUTE(input_executive_education_focus," ","")&amp;",")))=0)),IF(DO92="",TRUE,IF(input_executive_education_focus="",FALSE,SUMPRODUCT(--ISNUMBER(SEARCH(","&amp;TRIM(TEXTSPLIT(DO92,","))&amp;",",","&amp;SUBSTITUTE(input_executive_education_focus," ","")&amp;",")))&gt;0)),IF(DQ92="",TRUE,IF(input_executive_education_focus="",FALSE,SUMPRODUCT(--ISNUMBER(SEARCH(","&amp;TRIM(TEXTSPLIT(DQ92,","))&amp;",",","&amp;SUBSTITUTE(input_executive_education_focus," ","")&amp;",")))=COUNTA(TEXTSPLIT(DQ92,",")))))</f>
        <v/>
      </c>
      <c r="JE92">
        <f>AND(IF(DS92="",TRUE,IF(input_faculty_category="",FALSE,SUMPRODUCT(--ISNUMBER(SEARCH(","&amp;TRIM(TEXTSPLIT(DS92,","))&amp;",",","&amp;SUBSTITUTE(input_faculty_category," ","")&amp;",")))&gt;0)),IF(DU92="",TRUE,IF(input_faculty_category="",FALSE,SUMPRODUCT(--ISNUMBER(SEARCH(","&amp;TRIM(TEXTSPLIT(DU92,","))&amp;",",","&amp;SUBSTITUTE(input_faculty_category," ","")&amp;",")))=COUNTA(TEXTSPLIT(DU92,",")))),IF(DW92="",TRUE,IF(input_faculty_category="",TRUE,SUMPRODUCT(--ISNUMBER(SEARCH(","&amp;TRIM(TEXTSPLIT(DW92,","))&amp;",",","&amp;SUBSTITUTE(input_faculty_category," ","")&amp;",")))=0)),IF(DY92="",TRUE,IF(input_faculty_category="",FALSE,SUMPRODUCT(--ISNUMBER(SEARCH(","&amp;TRIM(TEXTSPLIT(DY92,","))&amp;",",","&amp;SUBSTITUTE(input_faculty_category," ","")&amp;",")))&gt;0)),IF(EA92="",TRUE,IF(input_faculty_category="",FALSE,SUMPRODUCT(--ISNUMBER(SEARCH(","&amp;TRIM(TEXTSPLIT(EA92,","))&amp;",",","&amp;SUBSTITUTE(input_faculty_category," ","")&amp;",")))=COUNTA(TEXTSPLIT(EA92,",")))))</f>
        <v/>
      </c>
      <c r="JF92">
        <f>AND(IF(EC92="",TRUE,IF(input_faculty_discipline="",FALSE,SUMPRODUCT(--ISNUMBER(SEARCH(","&amp;TRIM(TEXTSPLIT(EC92,","))&amp;",",","&amp;SUBSTITUTE(input_faculty_discipline," ","")&amp;",")))&gt;0)),IF(EE92="",TRUE,IF(input_faculty_discipline="",FALSE,SUMPRODUCT(--ISNUMBER(SEARCH(","&amp;TRIM(TEXTSPLIT(EE92,","))&amp;",",","&amp;SUBSTITUTE(input_faculty_discipline," ","")&amp;",")))=COUNTA(TEXTSPLIT(EE92,",")))),IF(EG92="",TRUE,IF(input_faculty_discipline="",TRUE,SUMPRODUCT(--ISNUMBER(SEARCH(","&amp;TRIM(TEXTSPLIT(EG92,","))&amp;",",","&amp;SUBSTITUTE(input_faculty_discipline," ","")&amp;",")))=0)),IF(EI92="",TRUE,IF(input_faculty_discipline="",FALSE,SUMPRODUCT(--ISNUMBER(SEARCH(","&amp;TRIM(TEXTSPLIT(EI92,","))&amp;",",","&amp;SUBSTITUTE(input_faculty_discipline," ","")&amp;",")))&gt;0)),IF(EK92="",TRUE,IF(input_faculty_discipline="",FALSE,SUMPRODUCT(--ISNUMBER(SEARCH(","&amp;TRIM(TEXTSPLIT(EK92,","))&amp;",",","&amp;SUBSTITUTE(input_faculty_discipline," ","")&amp;",")))=COUNTA(TEXTSPLIT(EK92,",")))))</f>
        <v/>
      </c>
      <c r="JG92">
        <f>AND(IF(EM92="",TRUE,IF(input_faculty_expertise="",FALSE,SUMPRODUCT(--ISNUMBER(SEARCH(","&amp;TRIM(TEXTSPLIT(EM92,","))&amp;",",","&amp;SUBSTITUTE(input_faculty_expertise," ","")&amp;",")))&gt;0)),IF(EO92="",TRUE,IF(input_faculty_expertise="",FALSE,SUMPRODUCT(--ISNUMBER(SEARCH(","&amp;TRIM(TEXTSPLIT(EO92,","))&amp;",",","&amp;SUBSTITUTE(input_faculty_expertise," ","")&amp;",")))=COUNTA(TEXTSPLIT(EO92,",")))),IF(EQ92="",TRUE,IF(input_faculty_expertise="",TRUE,SUMPRODUCT(--ISNUMBER(SEARCH(","&amp;TRIM(TEXTSPLIT(EQ92,","))&amp;",",","&amp;SUBSTITUTE(input_faculty_expertise," ","")&amp;",")))=0)),IF(ES92="",TRUE,IF(input_faculty_expertise="",FALSE,SUMPRODUCT(--ISNUMBER(SEARCH(","&amp;TRIM(TEXTSPLIT(ES92,","))&amp;",",","&amp;SUBSTITUTE(input_faculty_expertise," ","")&amp;",")))&gt;0)),IF(EU92="",TRUE,IF(input_faculty_expertise="",FALSE,SUMPRODUCT(--ISNUMBER(SEARCH(","&amp;TRIM(TEXTSPLIT(EU92,","))&amp;",",","&amp;SUBSTITUTE(input_faculty_expertise," ","")&amp;",")))=COUNTA(TEXTSPLIT(EU92,",")))))</f>
        <v/>
      </c>
      <c r="JH92">
        <f>AND(IF(EW92="",TRUE,IF(input_global_network_school="",FALSE,SUMPRODUCT(--ISNUMBER(SEARCH(","&amp;TRIM(TEXTSPLIT(EW92,","))&amp;",",","&amp;SUBSTITUTE(input_global_network_school," ","")&amp;",")))&gt;0)),IF(EY92="",TRUE,IF(input_global_network_school="",FALSE,SUMPRODUCT(--ISNUMBER(SEARCH(","&amp;TRIM(TEXTSPLIT(EY92,","))&amp;",",","&amp;SUBSTITUTE(input_global_network_school," ","")&amp;",")))=COUNTA(TEXTSPLIT(EY92,",")))),IF(FA92="",TRUE,IF(input_global_network_school="",TRUE,SUMPRODUCT(--ISNUMBER(SEARCH(","&amp;TRIM(TEXTSPLIT(FA92,","))&amp;",",","&amp;SUBSTITUTE(input_global_network_school," ","")&amp;",")))=0)),IF(FC92="",TRUE,IF(input_global_network_school="",FALSE,SUMPRODUCT(--ISNUMBER(SEARCH(","&amp;TRIM(TEXTSPLIT(FC92,","))&amp;",",","&amp;SUBSTITUTE(input_global_network_school," ","")&amp;",")))&gt;0)),IF(FE92="",TRUE,IF(input_global_network_school="",FALSE,SUMPRODUCT(--ISNUMBER(SEARCH(","&amp;TRIM(TEXTSPLIT(FE92,","))&amp;",",","&amp;SUBSTITUTE(input_global_network_school," ","")&amp;",")))=COUNTA(TEXTSPLIT(FE92,",")))))</f>
        <v/>
      </c>
      <c r="JI92">
        <f>AND(IF(FG92="",TRUE,IF(input_industry="",FALSE,SUMPRODUCT(--ISNUMBER(SEARCH(","&amp;TRIM(TEXTSPLIT(FG92,","))&amp;",",","&amp;SUBSTITUTE(input_industry," ","")&amp;",")))&gt;0)),IF(FI92="",TRUE,IF(input_industry="",FALSE,SUMPRODUCT(--ISNUMBER(SEARCH(","&amp;TRIM(TEXTSPLIT(FI92,","))&amp;",",","&amp;SUBSTITUTE(input_industry," ","")&amp;",")))=COUNTA(TEXTSPLIT(FI92,",")))),IF(FK92="",TRUE,IF(input_industry="",TRUE,SUMPRODUCT(--ISNUMBER(SEARCH(","&amp;TRIM(TEXTSPLIT(FK92,","))&amp;",",","&amp;SUBSTITUTE(input_industry," ","")&amp;",")))=0)),IF(FM92="",TRUE,IF(input_industry="",FALSE,SUMPRODUCT(--ISNUMBER(SEARCH(","&amp;TRIM(TEXTSPLIT(FM92,","))&amp;",",","&amp;SUBSTITUTE(input_industry," ","")&amp;",")))&gt;0)),IF(FO92="",TRUE,IF(input_industry="",FALSE,SUMPRODUCT(--ISNUMBER(SEARCH(","&amp;TRIM(TEXTSPLIT(FO92,","))&amp;",",","&amp;SUBSTITUTE(input_industry," ","")&amp;",")))=COUNTA(TEXTSPLIT(FO92,",")))))</f>
        <v/>
      </c>
      <c r="JJ92">
        <f>AND(IF(FQ92="",TRUE,IF(input_location="",FALSE,SUMPRODUCT(--ISNUMBER(SEARCH(","&amp;TRIM(TEXTSPLIT(FQ92,","))&amp;",",","&amp;SUBSTITUTE(input_location," ","")&amp;",")))&gt;0)),IF(FS92="",TRUE,IF(input_location="",FALSE,SUMPRODUCT(--ISNUMBER(SEARCH(","&amp;TRIM(TEXTSPLIT(FS92,","))&amp;",",","&amp;SUBSTITUTE(input_location," ","")&amp;",")))=COUNTA(TEXTSPLIT(FS92,",")))),IF(FU92="",TRUE,IF(input_location="",TRUE,SUMPRODUCT(--ISNUMBER(SEARCH(","&amp;TRIM(TEXTSPLIT(FU92,","))&amp;",",","&amp;SUBSTITUTE(input_location," ","")&amp;",")))=0)),IF(FW92="",TRUE,IF(input_location="",FALSE,SUMPRODUCT(--ISNUMBER(SEARCH(","&amp;TRIM(TEXTSPLIT(FW92,","))&amp;",",","&amp;SUBSTITUTE(input_location," ","")&amp;",")))&gt;0)),IF(FY92="",TRUE,IF(input_location="",FALSE,SUMPRODUCT(--ISNUMBER(SEARCH(","&amp;TRIM(TEXTSPLIT(FY92,","))&amp;",",","&amp;SUBSTITUTE(input_location," ","")&amp;",")))=COUNTA(TEXTSPLIT(FY92,",")))))</f>
        <v/>
      </c>
      <c r="JK92">
        <f>AND(IF(GA92="",TRUE,IF(input_modality="",FALSE,SUMPRODUCT(--ISNUMBER(SEARCH(","&amp;TRIM(TEXTSPLIT(GA92,","))&amp;",",","&amp;SUBSTITUTE(input_modality," ","")&amp;",")))&gt;0)),IF(GC92="",TRUE,IF(input_modality="",FALSE,SUMPRODUCT(--ISNUMBER(SEARCH(","&amp;TRIM(TEXTSPLIT(GC92,","))&amp;",",","&amp;SUBSTITUTE(input_modality," ","")&amp;",")))=COUNTA(TEXTSPLIT(GC92,",")))),IF(GE92="",TRUE,IF(input_modality="",TRUE,SUMPRODUCT(--ISNUMBER(SEARCH(","&amp;TRIM(TEXTSPLIT(GE92,","))&amp;",",","&amp;SUBSTITUTE(input_modality," ","")&amp;",")))=0)),IF(GG92="",TRUE,IF(input_modality="",FALSE,SUMPRODUCT(--ISNUMBER(SEARCH(","&amp;TRIM(TEXTSPLIT(GG92,","))&amp;",",","&amp;SUBSTITUTE(input_modality," ","")&amp;",")))&gt;0)),IF(GI92="",TRUE,IF(input_modality="",FALSE,SUMPRODUCT(--ISNUMBER(SEARCH(","&amp;TRIM(TEXTSPLIT(GI92,","))&amp;",",","&amp;SUBSTITUTE(input_modality," ","")&amp;",")))=COUNTA(TEXTSPLIT(GI92,",")))))</f>
        <v/>
      </c>
      <c r="JL92">
        <f>AND(IF(GK92="",TRUE,IF(input_organizer="",FALSE,SUMPRODUCT(--ISNUMBER(SEARCH(","&amp;TRIM(TEXTSPLIT(GK92,","))&amp;",",","&amp;SUBSTITUTE(input_organizer," ","")&amp;",")))&gt;0)),IF(GM92="",TRUE,IF(input_organizer="",FALSE,SUMPRODUCT(--ISNUMBER(SEARCH(","&amp;TRIM(TEXTSPLIT(GM92,","))&amp;",",","&amp;SUBSTITUTE(input_organizer," ","")&amp;",")))=COUNTA(TEXTSPLIT(GM92,",")))),IF(GO92="",TRUE,IF(input_organizer="",TRUE,SUMPRODUCT(--ISNUMBER(SEARCH(","&amp;TRIM(TEXTSPLIT(GO92,","))&amp;",",","&amp;SUBSTITUTE(input_organizer," ","")&amp;",")))=0)),IF(GQ92="",TRUE,IF(input_organizer="",FALSE,SUMPRODUCT(--ISNUMBER(SEARCH(","&amp;TRIM(TEXTSPLIT(GQ92,","))&amp;",",","&amp;SUBSTITUTE(input_organizer," ","")&amp;",")))&gt;0)),IF(GS92="",TRUE,IF(input_organizer="",FALSE,SUMPRODUCT(--ISNUMBER(SEARCH(","&amp;TRIM(TEXTSPLIT(GS92,","))&amp;",",","&amp;SUBSTITUTE(input_organizer," ","")&amp;",")))=COUNTA(TEXTSPLIT(GS92,",")))))</f>
        <v/>
      </c>
      <c r="JM92">
        <f>AND(IF(GU92="",TRUE,IF(input_profile_type="",FALSE,SUMPRODUCT(--ISNUMBER(SEARCH(","&amp;TRIM(TEXTSPLIT(GU92,","))&amp;",",","&amp;SUBSTITUTE(input_profile_type," ","")&amp;",")))&gt;0)),IF(GW92="",TRUE,IF(input_profile_type="",FALSE,SUMPRODUCT(--ISNUMBER(SEARCH(","&amp;TRIM(TEXTSPLIT(GW92,","))&amp;",",","&amp;SUBSTITUTE(input_profile_type," ","")&amp;",")))=COUNTA(TEXTSPLIT(GW92,",")))),IF(GY92="",TRUE,IF(input_profile_type="",TRUE,SUMPRODUCT(--ISNUMBER(SEARCH(","&amp;TRIM(TEXTSPLIT(GY92,","))&amp;",",","&amp;SUBSTITUTE(input_profile_type," ","")&amp;",")))=0)),IF(HA92="",TRUE,IF(input_profile_type="",FALSE,SUMPRODUCT(--ISNUMBER(SEARCH(","&amp;TRIM(TEXTSPLIT(HA92,","))&amp;",",","&amp;SUBSTITUTE(input_profile_type," ","")&amp;",")))&gt;0)),IF(HC92="",TRUE,IF(input_profile_type="",FALSE,SUMPRODUCT(--ISNUMBER(SEARCH(","&amp;TRIM(TEXTSPLIT(HC92,","))&amp;",",","&amp;SUBSTITUTE(input_profile_type," ","")&amp;",")))=COUNTA(TEXTSPLIT(HC92,",")))))</f>
        <v/>
      </c>
      <c r="JN92">
        <f>AND(IF(HE92="",TRUE,IF(input_program="",FALSE,SUMPRODUCT(--ISNUMBER(SEARCH(","&amp;TRIM(TEXTSPLIT(HE92,","))&amp;",",","&amp;SUBSTITUTE(input_program," ","")&amp;",")))&gt;0)),IF(HG92="",TRUE,IF(input_program="",FALSE,SUMPRODUCT(--ISNUMBER(SEARCH(","&amp;TRIM(TEXTSPLIT(HG92,","))&amp;",",","&amp;SUBSTITUTE(input_program," ","")&amp;",")))=COUNTA(TEXTSPLIT(HG92,",")))),IF(HI92="",TRUE,IF(input_program="",TRUE,SUMPRODUCT(--ISNUMBER(SEARCH(","&amp;TRIM(TEXTSPLIT(HI92,","))&amp;",",","&amp;SUBSTITUTE(input_program," ","")&amp;",")))=0)),IF(HK92="",TRUE,IF(input_program="",FALSE,SUMPRODUCT(--ISNUMBER(SEARCH(","&amp;TRIM(TEXTSPLIT(HK92,","))&amp;",",","&amp;SUBSTITUTE(input_program," ","")&amp;",")))&gt;0)),IF(HM92="",TRUE,IF(input_program="",FALSE,SUMPRODUCT(--ISNUMBER(SEARCH(","&amp;TRIM(TEXTSPLIT(HM92,","))&amp;",",","&amp;SUBSTITUTE(input_program," ","")&amp;",")))=COUNTA(TEXTSPLIT(HM92,",")))))</f>
        <v/>
      </c>
      <c r="JO92">
        <f>AND(IF(HO92="",TRUE,IF(input_story_categories="",FALSE,SUMPRODUCT(--ISNUMBER(SEARCH(","&amp;TRIM(TEXTSPLIT(HO92,","))&amp;",",","&amp;SUBSTITUTE(input_story_categories," ","")&amp;",")))&gt;0)),IF(HQ92="",TRUE,IF(input_story_categories="",FALSE,SUMPRODUCT(--ISNUMBER(SEARCH(","&amp;TRIM(TEXTSPLIT(HQ92,","))&amp;",",","&amp;SUBSTITUTE(input_story_categories," ","")&amp;",")))=COUNTA(TEXTSPLIT(HQ92,",")))),IF(HS92="",TRUE,IF(input_story_categories="",TRUE,SUMPRODUCT(--ISNUMBER(SEARCH(","&amp;TRIM(TEXTSPLIT(HS92,","))&amp;",",","&amp;SUBSTITUTE(input_story_categories," ","")&amp;",")))=0)),IF(HU92="",TRUE,IF(input_story_categories="",FALSE,SUMPRODUCT(--ISNUMBER(SEARCH(","&amp;TRIM(TEXTSPLIT(HU92,","))&amp;",",","&amp;SUBSTITUTE(input_story_categories," ","")&amp;",")))&gt;0)),IF(HW92="",TRUE,IF(input_story_categories="",FALSE,SUMPRODUCT(--ISNUMBER(SEARCH(","&amp;TRIM(TEXTSPLIT(HW92,","))&amp;",",","&amp;SUBSTITUTE(input_story_categories," ","")&amp;",")))=COUNTA(TEXTSPLIT(HW92,",")))))</f>
        <v/>
      </c>
      <c r="JP92">
        <f>AND(IF(HY92="",TRUE,IF(input_story_type="",FALSE,SUMPRODUCT(--ISNUMBER(SEARCH(","&amp;TRIM(TEXTSPLIT(HY92,","))&amp;",",","&amp;SUBSTITUTE(input_story_type," ","")&amp;",")))&gt;0)),IF(IA92="",TRUE,IF(input_story_type="",FALSE,SUMPRODUCT(--ISNUMBER(SEARCH(","&amp;TRIM(TEXTSPLIT(IA92,","))&amp;",",","&amp;SUBSTITUTE(input_story_type," ","")&amp;",")))=COUNTA(TEXTSPLIT(IA92,",")))),IF(IC92="",TRUE,IF(input_story_type="",TRUE,SUMPRODUCT(--ISNUMBER(SEARCH(","&amp;TRIM(TEXTSPLIT(IC92,","))&amp;",",","&amp;SUBSTITUTE(input_story_type," ","")&amp;",")))=0)),IF(IE92="",TRUE,IF(input_story_type="",FALSE,SUMPRODUCT(--ISNUMBER(SEARCH(","&amp;TRIM(TEXTSPLIT(IE92,","))&amp;",",","&amp;SUBSTITUTE(input_story_type," ","")&amp;",")))&gt;0)),IF(IG92="",TRUE,IF(input_story_type="",FALSE,SUMPRODUCT(--ISNUMBER(SEARCH(","&amp;TRIM(TEXTSPLIT(IG92,","))&amp;",",","&amp;SUBSTITUTE(input_story_type," ","")&amp;",")))=COUNTA(TEXTSPLIT(IG92,",")))))</f>
        <v/>
      </c>
      <c r="JQ92">
        <f>AND(IF(II92="",TRUE,IF(input_topics="",FALSE,SUMPRODUCT(--ISNUMBER(SEARCH(","&amp;TRIM(TEXTSPLIT(II92,","))&amp;",",","&amp;SUBSTITUTE(input_topics," ","")&amp;",")))&gt;0)),IF(IK92="",TRUE,IF(input_topics="",FALSE,SUMPRODUCT(--ISNUMBER(SEARCH(","&amp;TRIM(TEXTSPLIT(IK92,","))&amp;",",","&amp;SUBSTITUTE(input_topics," ","")&amp;",")))=COUNTA(TEXTSPLIT(IK92,",")))),IF(IM92="",TRUE,IF(input_topics="",TRUE,SUMPRODUCT(--ISNUMBER(SEARCH(","&amp;TRIM(TEXTSPLIT(IM92,","))&amp;",",","&amp;SUBSTITUTE(input_topics," ","")&amp;",")))=0)),IF(IO92="",TRUE,IF(input_topics="",FALSE,SUMPRODUCT(--ISNUMBER(SEARCH(","&amp;TRIM(TEXTSPLIT(IO92,","))&amp;",",","&amp;SUBSTITUTE(input_topics," ","")&amp;",")))&gt;0)),IF(IQ92="",TRUE,IF(input_topics="",FALSE,SUMPRODUCT(--ISNUMBER(SEARCH(","&amp;TRIM(TEXTSPLIT(IQ92,","))&amp;",",","&amp;SUBSTITUTE(input_topics," ","")&amp;",")))=COUNTA(TEXTSPLIT(IQ92,",")))))</f>
        <v/>
      </c>
    </row>
    <row r="93">
      <c r="A93" s="4">
        <f>IF(NOT(IS93),"Excluded",IF(AND(IT93,IU93,IV93,IW93,IX93,IY93,IZ93,JA93,JB93,JC93,JD93,JE93,JF93,JG93,JH93,JI93,JJ93,JK93,JL93,JM93,JN93,JO93,JP93,JQ93),IF(I93&gt;0,"Eligible but limited","Will appear"),"Excluded"))</f>
        <v/>
      </c>
      <c r="B93" s="4" t="inlineStr">
        <is>
          <t>Embed</t>
        </is>
      </c>
      <c r="C93" s="4" t="inlineStr">
        <is>
          <t>/podcasts/career-conversations</t>
        </is>
      </c>
      <c r="D93" s="4" t="inlineStr">
        <is>
          <t>/podcasts/career-conversations</t>
        </is>
      </c>
      <c r="E93" s="4" t="n">
        <v>1</v>
      </c>
      <c r="F93" s="4" t="inlineStr">
        <is>
          <t>podcast</t>
        </is>
      </c>
      <c r="G93" s="4" t="inlineStr">
        <is>
          <t>podcast_list</t>
        </is>
      </c>
      <c r="H93" s="4" t="inlineStr">
        <is>
          <t>embed_list</t>
        </is>
      </c>
      <c r="I93" s="4" t="n">
        <v>10</v>
      </c>
      <c r="J93" s="4" t="inlineStr">
        <is>
          <t>Explicit args</t>
        </is>
      </c>
      <c r="K93" s="4" t="inlineStr">
        <is>
          <t>Page placement</t>
        </is>
      </c>
      <c r="L93" s="4" t="inlineStr">
        <is>
          <t>Content type: podcast; Limited to 10 item(s); Source: Explicit args</t>
        </is>
      </c>
      <c r="M93" t="inlineStr"/>
      <c r="N93" t="inlineStr"/>
      <c r="O93" t="inlineStr"/>
      <c r="P93" t="inlineStr"/>
      <c r="Q93" t="inlineStr"/>
      <c r="R93" t="inlineStr"/>
      <c r="S93" t="inlineStr"/>
      <c r="T93" t="inlineStr"/>
      <c r="U93" t="inlineStr"/>
      <c r="V93" t="inlineStr"/>
      <c r="W93" t="inlineStr"/>
      <c r="X93" t="inlineStr"/>
      <c r="Y93" t="inlineStr"/>
      <c r="Z93" t="inlineStr"/>
      <c r="AA93" t="inlineStr"/>
      <c r="AB93" t="inlineStr"/>
      <c r="AC93" t="inlineStr"/>
      <c r="AD93" t="inlineStr"/>
      <c r="AE93" t="inlineStr"/>
      <c r="AF93" t="inlineStr"/>
      <c r="AG93" t="inlineStr"/>
      <c r="AH93" t="inlineStr"/>
      <c r="AI93" t="inlineStr"/>
      <c r="AJ93" t="inlineStr"/>
      <c r="AK93" t="inlineStr"/>
      <c r="AL93" t="inlineStr"/>
      <c r="AM93" t="inlineStr"/>
      <c r="AN93" t="inlineStr"/>
      <c r="AO93" t="inlineStr"/>
      <c r="AP93" t="inlineStr"/>
      <c r="AQ93" t="inlineStr"/>
      <c r="AR93" t="inlineStr"/>
      <c r="AS93" t="inlineStr"/>
      <c r="AT93" t="inlineStr"/>
      <c r="AU93" t="inlineStr"/>
      <c r="AV93" t="inlineStr"/>
      <c r="AW93" t="inlineStr"/>
      <c r="AX93" t="inlineStr"/>
      <c r="AY93" t="inlineStr"/>
      <c r="AZ93" t="inlineStr"/>
      <c r="BA93" t="inlineStr"/>
      <c r="BB93" t="inlineStr"/>
      <c r="BC93" t="inlineStr"/>
      <c r="BD93" t="inlineStr"/>
      <c r="BE93" t="inlineStr"/>
      <c r="BF93" t="inlineStr"/>
      <c r="BG93" t="inlineStr"/>
      <c r="BH93" t="inlineStr"/>
      <c r="BI93" t="inlineStr"/>
      <c r="BJ93" t="inlineStr"/>
      <c r="BK93" t="inlineStr"/>
      <c r="BL93" t="inlineStr"/>
      <c r="BM93" t="inlineStr"/>
      <c r="BN93" t="inlineStr"/>
      <c r="BO93" t="inlineStr"/>
      <c r="BP93" t="inlineStr"/>
      <c r="BQ93" t="inlineStr"/>
      <c r="BR93" t="inlineStr"/>
      <c r="BS93" t="inlineStr"/>
      <c r="BT93" t="inlineStr"/>
      <c r="BU93" t="inlineStr"/>
      <c r="BV93" t="inlineStr"/>
      <c r="BW93" t="inlineStr"/>
      <c r="BX93" t="inlineStr"/>
      <c r="BY93" t="inlineStr"/>
      <c r="BZ93" t="inlineStr"/>
      <c r="CA93" t="inlineStr"/>
      <c r="CB93" t="inlineStr"/>
      <c r="CC93" t="inlineStr"/>
      <c r="CD93" t="inlineStr"/>
      <c r="CE93" t="inlineStr"/>
      <c r="CF93" t="inlineStr"/>
      <c r="CG93" t="inlineStr"/>
      <c r="CH93" t="inlineStr"/>
      <c r="CI93" t="inlineStr"/>
      <c r="CJ93" t="inlineStr"/>
      <c r="CK93" t="inlineStr"/>
      <c r="CL93" t="inlineStr"/>
      <c r="CM93" t="inlineStr"/>
      <c r="CN93" t="inlineStr"/>
      <c r="CO93" t="inlineStr"/>
      <c r="CP93" t="inlineStr"/>
      <c r="CQ93" t="inlineStr"/>
      <c r="CR93" t="inlineStr"/>
      <c r="CS93" t="inlineStr"/>
      <c r="CT93" t="inlineStr"/>
      <c r="CU93" t="inlineStr"/>
      <c r="CV93" t="inlineStr"/>
      <c r="CW93" t="inlineStr"/>
      <c r="CX93" t="inlineStr"/>
      <c r="CY93" t="inlineStr"/>
      <c r="CZ93" t="inlineStr"/>
      <c r="DA93" t="inlineStr"/>
      <c r="DB93" t="inlineStr"/>
      <c r="DC93" t="inlineStr"/>
      <c r="DD93" t="inlineStr"/>
      <c r="DE93" t="inlineStr"/>
      <c r="DF93" t="inlineStr"/>
      <c r="DG93" t="inlineStr"/>
      <c r="DH93" t="inlineStr"/>
      <c r="DI93" t="inlineStr"/>
      <c r="DJ93" t="inlineStr"/>
      <c r="DK93" t="inlineStr"/>
      <c r="DL93" t="inlineStr"/>
      <c r="DM93" t="inlineStr"/>
      <c r="DN93" t="inlineStr"/>
      <c r="DO93" t="inlineStr"/>
      <c r="DP93" t="inlineStr"/>
      <c r="DQ93" t="inlineStr"/>
      <c r="DR93" t="inlineStr"/>
      <c r="DS93" t="inlineStr"/>
      <c r="DT93" t="inlineStr"/>
      <c r="DU93" t="inlineStr"/>
      <c r="DV93" t="inlineStr"/>
      <c r="DW93" t="inlineStr"/>
      <c r="DX93" t="inlineStr"/>
      <c r="DY93" t="inlineStr"/>
      <c r="DZ93" t="inlineStr"/>
      <c r="EA93" t="inlineStr"/>
      <c r="EB93" t="inlineStr"/>
      <c r="EC93" t="inlineStr"/>
      <c r="ED93" t="inlineStr"/>
      <c r="EE93" t="inlineStr"/>
      <c r="EF93" t="inlineStr"/>
      <c r="EG93" t="inlineStr"/>
      <c r="EH93" t="inlineStr"/>
      <c r="EI93" t="inlineStr"/>
      <c r="EJ93" t="inlineStr"/>
      <c r="EK93" t="inlineStr"/>
      <c r="EL93" t="inlineStr"/>
      <c r="EM93" t="inlineStr"/>
      <c r="EN93" t="inlineStr"/>
      <c r="EO93" t="inlineStr"/>
      <c r="EP93" t="inlineStr"/>
      <c r="EQ93" t="inlineStr"/>
      <c r="ER93" t="inlineStr"/>
      <c r="ES93" t="inlineStr"/>
      <c r="ET93" t="inlineStr"/>
      <c r="EU93" t="inlineStr"/>
      <c r="EV93" t="inlineStr"/>
      <c r="EW93" t="inlineStr"/>
      <c r="EX93" t="inlineStr"/>
      <c r="EY93" t="inlineStr"/>
      <c r="EZ93" t="inlineStr"/>
      <c r="FA93" t="inlineStr"/>
      <c r="FB93" t="inlineStr"/>
      <c r="FC93" t="inlineStr"/>
      <c r="FD93" t="inlineStr"/>
      <c r="FE93" t="inlineStr"/>
      <c r="FF93" t="inlineStr"/>
      <c r="FG93" t="inlineStr"/>
      <c r="FH93" t="inlineStr"/>
      <c r="FI93" t="inlineStr"/>
      <c r="FJ93" t="inlineStr"/>
      <c r="FK93" t="inlineStr"/>
      <c r="FL93" t="inlineStr"/>
      <c r="FM93" t="inlineStr"/>
      <c r="FN93" t="inlineStr"/>
      <c r="FO93" t="inlineStr"/>
      <c r="FP93" t="inlineStr"/>
      <c r="FQ93" t="inlineStr"/>
      <c r="FR93" t="inlineStr"/>
      <c r="FS93" t="inlineStr"/>
      <c r="FT93" t="inlineStr"/>
      <c r="FU93" t="inlineStr"/>
      <c r="FV93" t="inlineStr"/>
      <c r="FW93" t="inlineStr"/>
      <c r="FX93" t="inlineStr"/>
      <c r="FY93" t="inlineStr"/>
      <c r="FZ93" t="inlineStr"/>
      <c r="GA93" t="inlineStr"/>
      <c r="GB93" t="inlineStr"/>
      <c r="GC93" t="inlineStr"/>
      <c r="GD93" t="inlineStr"/>
      <c r="GE93" t="inlineStr"/>
      <c r="GF93" t="inlineStr"/>
      <c r="GG93" t="inlineStr"/>
      <c r="GH93" t="inlineStr"/>
      <c r="GI93" t="inlineStr"/>
      <c r="GJ93" t="inlineStr"/>
      <c r="GK93" t="inlineStr"/>
      <c r="GL93" t="inlineStr"/>
      <c r="GM93" t="inlineStr"/>
      <c r="GN93" t="inlineStr"/>
      <c r="GO93" t="inlineStr"/>
      <c r="GP93" t="inlineStr"/>
      <c r="GQ93" t="inlineStr"/>
      <c r="GR93" t="inlineStr"/>
      <c r="GS93" t="inlineStr"/>
      <c r="GT93" t="inlineStr"/>
      <c r="GU93" t="inlineStr"/>
      <c r="GV93" t="inlineStr"/>
      <c r="GW93" t="inlineStr"/>
      <c r="GX93" t="inlineStr"/>
      <c r="GY93" t="inlineStr"/>
      <c r="GZ93" t="inlineStr"/>
      <c r="HA93" t="inlineStr"/>
      <c r="HB93" t="inlineStr"/>
      <c r="HC93" t="inlineStr"/>
      <c r="HD93" t="inlineStr"/>
      <c r="HE93" t="inlineStr"/>
      <c r="HF93" t="inlineStr"/>
      <c r="HG93" t="inlineStr"/>
      <c r="HH93" t="inlineStr"/>
      <c r="HI93" t="inlineStr"/>
      <c r="HJ93" t="inlineStr"/>
      <c r="HK93" t="inlineStr"/>
      <c r="HL93" t="inlineStr"/>
      <c r="HM93" t="inlineStr"/>
      <c r="HN93" t="inlineStr"/>
      <c r="HO93" t="inlineStr"/>
      <c r="HP93" t="inlineStr"/>
      <c r="HQ93" t="inlineStr"/>
      <c r="HR93" t="inlineStr"/>
      <c r="HS93" t="inlineStr"/>
      <c r="HT93" t="inlineStr"/>
      <c r="HU93" t="inlineStr"/>
      <c r="HV93" t="inlineStr"/>
      <c r="HW93" t="inlineStr"/>
      <c r="HX93" t="inlineStr"/>
      <c r="HY93" t="inlineStr"/>
      <c r="HZ93" t="inlineStr"/>
      <c r="IA93" t="inlineStr"/>
      <c r="IB93" t="inlineStr"/>
      <c r="IC93" t="inlineStr"/>
      <c r="ID93" t="inlineStr"/>
      <c r="IE93" t="inlineStr"/>
      <c r="IF93" t="inlineStr"/>
      <c r="IG93" t="inlineStr"/>
      <c r="IH93" t="inlineStr"/>
      <c r="II93" t="inlineStr"/>
      <c r="IJ93" t="inlineStr"/>
      <c r="IK93" t="inlineStr"/>
      <c r="IL93" t="inlineStr"/>
      <c r="IM93" t="inlineStr"/>
      <c r="IN93" t="inlineStr"/>
      <c r="IO93" t="inlineStr"/>
      <c r="IP93" t="inlineStr"/>
      <c r="IQ93" t="inlineStr"/>
      <c r="IR93" t="inlineStr"/>
      <c r="IS93">
        <f>IF(input_content_type="",FALSE,ISNUMBER(SEARCH(","&amp;LOWER(input_content_type)&amp;",",","&amp;LOWER(F93)&amp;",")))</f>
        <v/>
      </c>
      <c r="IT93">
        <f>AND(IF(M93="",TRUE,IF(input_affiliations="",FALSE,SUMPRODUCT(--ISNUMBER(SEARCH(","&amp;TRIM(TEXTSPLIT(M93,","))&amp;",",","&amp;SUBSTITUTE(input_affiliations," ","")&amp;",")))&gt;0)),IF(O93="",TRUE,IF(input_affiliations="",FALSE,SUMPRODUCT(--ISNUMBER(SEARCH(","&amp;TRIM(TEXTSPLIT(O93,","))&amp;",",","&amp;SUBSTITUTE(input_affiliations," ","")&amp;",")))=COUNTA(TEXTSPLIT(O93,",")))),IF(Q93="",TRUE,IF(input_affiliations="",TRUE,SUMPRODUCT(--ISNUMBER(SEARCH(","&amp;TRIM(TEXTSPLIT(Q93,","))&amp;",",","&amp;SUBSTITUTE(input_affiliations," ","")&amp;",")))=0)),IF(S93="",TRUE,IF(input_affiliations="",FALSE,SUMPRODUCT(--ISNUMBER(SEARCH(","&amp;TRIM(TEXTSPLIT(S93,","))&amp;",",","&amp;SUBSTITUTE(input_affiliations," ","")&amp;",")))&gt;0)),IF(U93="",TRUE,IF(input_affiliations="",FALSE,SUMPRODUCT(--ISNUMBER(SEARCH(","&amp;TRIM(TEXTSPLIT(U93,","))&amp;",",","&amp;SUBSTITUTE(input_affiliations," ","")&amp;",")))=COUNTA(TEXTSPLIT(U93,",")))))</f>
        <v/>
      </c>
      <c r="IU93">
        <f>AND(IF(W93="",TRUE,IF(input_announcement_category="",FALSE,SUMPRODUCT(--ISNUMBER(SEARCH(","&amp;TRIM(TEXTSPLIT(W93,","))&amp;",",","&amp;SUBSTITUTE(input_announcement_category," ","")&amp;",")))&gt;0)),IF(Y93="",TRUE,IF(input_announcement_category="",FALSE,SUMPRODUCT(--ISNUMBER(SEARCH(","&amp;TRIM(TEXTSPLIT(Y93,","))&amp;",",","&amp;SUBSTITUTE(input_announcement_category," ","")&amp;",")))=COUNTA(TEXTSPLIT(Y93,",")))),IF(AA93="",TRUE,IF(input_announcement_category="",TRUE,SUMPRODUCT(--ISNUMBER(SEARCH(","&amp;TRIM(TEXTSPLIT(AA93,","))&amp;",",","&amp;SUBSTITUTE(input_announcement_category," ","")&amp;",")))=0)),IF(AC93="",TRUE,IF(input_announcement_category="",FALSE,SUMPRODUCT(--ISNUMBER(SEARCH(","&amp;TRIM(TEXTSPLIT(AC93,","))&amp;",",","&amp;SUBSTITUTE(input_announcement_category," ","")&amp;",")))&gt;0)),IF(AE93="",TRUE,IF(input_announcement_category="",FALSE,SUMPRODUCT(--ISNUMBER(SEARCH(","&amp;TRIM(TEXTSPLIT(AE93,","))&amp;",",","&amp;SUBSTITUTE(input_announcement_category," ","")&amp;",")))=COUNTA(TEXTSPLIT(AE93,",")))))</f>
        <v/>
      </c>
      <c r="IV93">
        <f>AND(IF(AG93="",TRUE,IF(input_area_of_focus="",FALSE,SUMPRODUCT(--ISNUMBER(SEARCH(","&amp;TRIM(TEXTSPLIT(AG93,","))&amp;",",","&amp;SUBSTITUTE(input_area_of_focus," ","")&amp;",")))&gt;0)),IF(AI93="",TRUE,IF(input_area_of_focus="",FALSE,SUMPRODUCT(--ISNUMBER(SEARCH(","&amp;TRIM(TEXTSPLIT(AI93,","))&amp;",",","&amp;SUBSTITUTE(input_area_of_focus," ","")&amp;",")))=COUNTA(TEXTSPLIT(AI93,",")))),IF(AK93="",TRUE,IF(input_area_of_focus="",TRUE,SUMPRODUCT(--ISNUMBER(SEARCH(","&amp;TRIM(TEXTSPLIT(AK93,","))&amp;",",","&amp;SUBSTITUTE(input_area_of_focus," ","")&amp;",")))=0)),IF(AM93="",TRUE,IF(input_area_of_focus="",FALSE,SUMPRODUCT(--ISNUMBER(SEARCH(","&amp;TRIM(TEXTSPLIT(AM93,","))&amp;",",","&amp;SUBSTITUTE(input_area_of_focus," ","")&amp;",")))&gt;0)),IF(AO93="",TRUE,IF(input_area_of_focus="",FALSE,SUMPRODUCT(--ISNUMBER(SEARCH(","&amp;TRIM(TEXTSPLIT(AO93,","))&amp;",",","&amp;SUBSTITUTE(input_area_of_focus," ","")&amp;",")))=COUNTA(TEXTSPLIT(AO93,",")))))</f>
        <v/>
      </c>
      <c r="IW93">
        <f>AND(IF(AQ93="",TRUE,IF(input_audience="",FALSE,SUMPRODUCT(--ISNUMBER(SEARCH(","&amp;TRIM(TEXTSPLIT(AQ93,","))&amp;",",","&amp;SUBSTITUTE(input_audience," ","")&amp;",")))&gt;0)),IF(AS93="",TRUE,IF(input_audience="",FALSE,SUMPRODUCT(--ISNUMBER(SEARCH(","&amp;TRIM(TEXTSPLIT(AS93,","))&amp;",",","&amp;SUBSTITUTE(input_audience," ","")&amp;",")))=COUNTA(TEXTSPLIT(AS93,",")))),IF(AU93="",TRUE,IF(input_audience="",TRUE,SUMPRODUCT(--ISNUMBER(SEARCH(","&amp;TRIM(TEXTSPLIT(AU93,","))&amp;",",","&amp;SUBSTITUTE(input_audience," ","")&amp;",")))=0)),IF(AW93="",TRUE,IF(input_audience="",FALSE,SUMPRODUCT(--ISNUMBER(SEARCH(","&amp;TRIM(TEXTSPLIT(AW93,","))&amp;",",","&amp;SUBSTITUTE(input_audience," ","")&amp;",")))&gt;0)),IF(AY93="",TRUE,IF(input_audience="",FALSE,SUMPRODUCT(--ISNUMBER(SEARCH(","&amp;TRIM(TEXTSPLIT(AY93,","))&amp;",",","&amp;SUBSTITUTE(input_audience," ","")&amp;",")))=COUNTA(TEXTSPLIT(AY93,",")))))</f>
        <v/>
      </c>
      <c r="IX93">
        <f>AND(IF(BA93="",TRUE,IF(input_challenge_opportunities="",FALSE,SUMPRODUCT(--ISNUMBER(SEARCH(","&amp;TRIM(TEXTSPLIT(BA93,","))&amp;",",","&amp;SUBSTITUTE(input_challenge_opportunities," ","")&amp;",")))&gt;0)),IF(BC93="",TRUE,IF(input_challenge_opportunities="",FALSE,SUMPRODUCT(--ISNUMBER(SEARCH(","&amp;TRIM(TEXTSPLIT(BC93,","))&amp;",",","&amp;SUBSTITUTE(input_challenge_opportunities," ","")&amp;",")))=COUNTA(TEXTSPLIT(BC93,",")))),IF(BE93="",TRUE,IF(input_challenge_opportunities="",TRUE,SUMPRODUCT(--ISNUMBER(SEARCH(","&amp;TRIM(TEXTSPLIT(BE93,","))&amp;",",","&amp;SUBSTITUTE(input_challenge_opportunities," ","")&amp;",")))=0)),IF(BG93="",TRUE,IF(input_challenge_opportunities="",FALSE,SUMPRODUCT(--ISNUMBER(SEARCH(","&amp;TRIM(TEXTSPLIT(BG93,","))&amp;",",","&amp;SUBSTITUTE(input_challenge_opportunities," ","")&amp;",")))&gt;0)),IF(BI93="",TRUE,IF(input_challenge_opportunities="",FALSE,SUMPRODUCT(--ISNUMBER(SEARCH(","&amp;TRIM(TEXTSPLIT(BI93,","))&amp;",",","&amp;SUBSTITUTE(input_challenge_opportunities," ","")&amp;",")))=COUNTA(TEXTSPLIT(BI93,",")))))</f>
        <v/>
      </c>
      <c r="IY93">
        <f>AND(IF(BK93="",TRUE,IF(input_context="",FALSE,SUMPRODUCT(--ISNUMBER(SEARCH(","&amp;TRIM(TEXTSPLIT(BK93,","))&amp;",",","&amp;SUBSTITUTE(input_context," ","")&amp;",")))&gt;0)),IF(BM93="",TRUE,IF(input_context="",FALSE,SUMPRODUCT(--ISNUMBER(SEARCH(","&amp;TRIM(TEXTSPLIT(BM93,","))&amp;",",","&amp;SUBSTITUTE(input_context," ","")&amp;",")))=COUNTA(TEXTSPLIT(BM93,",")))),IF(BO93="",TRUE,IF(input_context="",TRUE,SUMPRODUCT(--ISNUMBER(SEARCH(","&amp;TRIM(TEXTSPLIT(BO93,","))&amp;",",","&amp;SUBSTITUTE(input_context," ","")&amp;",")))=0)),IF(BQ93="",TRUE,IF(input_context="",FALSE,SUMPRODUCT(--ISNUMBER(SEARCH(","&amp;TRIM(TEXTSPLIT(BQ93,","))&amp;",",","&amp;SUBSTITUTE(input_context," ","")&amp;",")))&gt;0)),IF(BS93="",TRUE,IF(input_context="",FALSE,SUMPRODUCT(--ISNUMBER(SEARCH(","&amp;TRIM(TEXTSPLIT(BS93,","))&amp;",",","&amp;SUBSTITUTE(input_context," ","")&amp;",")))=COUNTA(TEXTSPLIT(BS93,",")))))</f>
        <v/>
      </c>
      <c r="IZ93">
        <f>AND(IF(BU93="",TRUE,IF(input_enews_announcement_type="",FALSE,SUMPRODUCT(--ISNUMBER(SEARCH(","&amp;TRIM(TEXTSPLIT(BU93,","))&amp;",",","&amp;SUBSTITUTE(input_enews_announcement_type," ","")&amp;",")))&gt;0)),IF(BW93="",TRUE,IF(input_enews_announcement_type="",FALSE,SUMPRODUCT(--ISNUMBER(SEARCH(","&amp;TRIM(TEXTSPLIT(BW93,","))&amp;",",","&amp;SUBSTITUTE(input_enews_announcement_type," ","")&amp;",")))=COUNTA(TEXTSPLIT(BW93,",")))),IF(BY93="",TRUE,IF(input_enews_announcement_type="",TRUE,SUMPRODUCT(--ISNUMBER(SEARCH(","&amp;TRIM(TEXTSPLIT(BY93,","))&amp;",",","&amp;SUBSTITUTE(input_enews_announcement_type," ","")&amp;",")))=0)),IF(CA93="",TRUE,IF(input_enews_announcement_type="",FALSE,SUMPRODUCT(--ISNUMBER(SEARCH(","&amp;TRIM(TEXTSPLIT(CA93,","))&amp;",",","&amp;SUBSTITUTE(input_enews_announcement_type," ","")&amp;",")))&gt;0)),IF(CC93="",TRUE,IF(input_enews_announcement_type="",FALSE,SUMPRODUCT(--ISNUMBER(SEARCH(","&amp;TRIM(TEXTSPLIT(CC93,","))&amp;",",","&amp;SUBSTITUTE(input_enews_announcement_type," ","")&amp;",")))=COUNTA(TEXTSPLIT(CC93,",")))))</f>
        <v/>
      </c>
      <c r="JA93">
        <f>AND(IF(CE93="",TRUE,IF(input_enews_audience="",FALSE,SUMPRODUCT(--ISNUMBER(SEARCH(","&amp;TRIM(TEXTSPLIT(CE93,","))&amp;",",","&amp;SUBSTITUTE(input_enews_audience," ","")&amp;",")))&gt;0)),IF(CG93="",TRUE,IF(input_enews_audience="",FALSE,SUMPRODUCT(--ISNUMBER(SEARCH(","&amp;TRIM(TEXTSPLIT(CG93,","))&amp;",",","&amp;SUBSTITUTE(input_enews_audience," ","")&amp;",")))=COUNTA(TEXTSPLIT(CG93,",")))),IF(CI93="",TRUE,IF(input_enews_audience="",TRUE,SUMPRODUCT(--ISNUMBER(SEARCH(","&amp;TRIM(TEXTSPLIT(CI93,","))&amp;",",","&amp;SUBSTITUTE(input_enews_audience," ","")&amp;",")))=0)),IF(CK93="",TRUE,IF(input_enews_audience="",FALSE,SUMPRODUCT(--ISNUMBER(SEARCH(","&amp;TRIM(TEXTSPLIT(CK93,","))&amp;",",","&amp;SUBSTITUTE(input_enews_audience," ","")&amp;",")))&gt;0)),IF(CM93="",TRUE,IF(input_enews_audience="",FALSE,SUMPRODUCT(--ISNUMBER(SEARCH(","&amp;TRIM(TEXTSPLIT(CM93,","))&amp;",",","&amp;SUBSTITUTE(input_enews_audience," ","")&amp;",")))=COUNTA(TEXTSPLIT(CM93,",")))))</f>
        <v/>
      </c>
      <c r="JB93">
        <f>AND(IF(CO93="",TRUE,IF(input_event_location="",FALSE,SUMPRODUCT(--ISNUMBER(SEARCH(","&amp;TRIM(TEXTSPLIT(CO93,","))&amp;",",","&amp;SUBSTITUTE(input_event_location," ","")&amp;",")))&gt;0)),IF(CQ93="",TRUE,IF(input_event_location="",FALSE,SUMPRODUCT(--ISNUMBER(SEARCH(","&amp;TRIM(TEXTSPLIT(CQ93,","))&amp;",",","&amp;SUBSTITUTE(input_event_location," ","")&amp;",")))=COUNTA(TEXTSPLIT(CQ93,",")))),IF(CS93="",TRUE,IF(input_event_location="",TRUE,SUMPRODUCT(--ISNUMBER(SEARCH(","&amp;TRIM(TEXTSPLIT(CS93,","))&amp;",",","&amp;SUBSTITUTE(input_event_location," ","")&amp;",")))=0)),IF(CU93="",TRUE,IF(input_event_location="",FALSE,SUMPRODUCT(--ISNUMBER(SEARCH(","&amp;TRIM(TEXTSPLIT(CU93,","))&amp;",",","&amp;SUBSTITUTE(input_event_location," ","")&amp;",")))&gt;0)),IF(CW93="",TRUE,IF(input_event_location="",FALSE,SUMPRODUCT(--ISNUMBER(SEARCH(","&amp;TRIM(TEXTSPLIT(CW93,","))&amp;",",","&amp;SUBSTITUTE(input_event_location," ","")&amp;",")))=COUNTA(TEXTSPLIT(CW93,",")))))</f>
        <v/>
      </c>
      <c r="JC93">
        <f>AND(IF(CY93="",TRUE,IF(input_event_type="",FALSE,SUMPRODUCT(--ISNUMBER(SEARCH(","&amp;TRIM(TEXTSPLIT(CY93,","))&amp;",",","&amp;SUBSTITUTE(input_event_type," ","")&amp;",")))&gt;0)),IF(DA93="",TRUE,IF(input_event_type="",FALSE,SUMPRODUCT(--ISNUMBER(SEARCH(","&amp;TRIM(TEXTSPLIT(DA93,","))&amp;",",","&amp;SUBSTITUTE(input_event_type," ","")&amp;",")))=COUNTA(TEXTSPLIT(DA93,",")))),IF(DC93="",TRUE,IF(input_event_type="",TRUE,SUMPRODUCT(--ISNUMBER(SEARCH(","&amp;TRIM(TEXTSPLIT(DC93,","))&amp;",",","&amp;SUBSTITUTE(input_event_type," ","")&amp;",")))=0)),IF(DE93="",TRUE,IF(input_event_type="",FALSE,SUMPRODUCT(--ISNUMBER(SEARCH(","&amp;TRIM(TEXTSPLIT(DE93,","))&amp;",",","&amp;SUBSTITUTE(input_event_type," ","")&amp;",")))&gt;0)),IF(DG93="",TRUE,IF(input_event_type="",FALSE,SUMPRODUCT(--ISNUMBER(SEARCH(","&amp;TRIM(TEXTSPLIT(DG93,","))&amp;",",","&amp;SUBSTITUTE(input_event_type," ","")&amp;",")))=COUNTA(TEXTSPLIT(DG93,",")))))</f>
        <v/>
      </c>
      <c r="JD93">
        <f>AND(IF(DI93="",TRUE,IF(input_executive_education_focus="",FALSE,SUMPRODUCT(--ISNUMBER(SEARCH(","&amp;TRIM(TEXTSPLIT(DI93,","))&amp;",",","&amp;SUBSTITUTE(input_executive_education_focus," ","")&amp;",")))&gt;0)),IF(DK93="",TRUE,IF(input_executive_education_focus="",FALSE,SUMPRODUCT(--ISNUMBER(SEARCH(","&amp;TRIM(TEXTSPLIT(DK93,","))&amp;",",","&amp;SUBSTITUTE(input_executive_education_focus," ","")&amp;",")))=COUNTA(TEXTSPLIT(DK93,",")))),IF(DM93="",TRUE,IF(input_executive_education_focus="",TRUE,SUMPRODUCT(--ISNUMBER(SEARCH(","&amp;TRIM(TEXTSPLIT(DM93,","))&amp;",",","&amp;SUBSTITUTE(input_executive_education_focus," ","")&amp;",")))=0)),IF(DO93="",TRUE,IF(input_executive_education_focus="",FALSE,SUMPRODUCT(--ISNUMBER(SEARCH(","&amp;TRIM(TEXTSPLIT(DO93,","))&amp;",",","&amp;SUBSTITUTE(input_executive_education_focus," ","")&amp;",")))&gt;0)),IF(DQ93="",TRUE,IF(input_executive_education_focus="",FALSE,SUMPRODUCT(--ISNUMBER(SEARCH(","&amp;TRIM(TEXTSPLIT(DQ93,","))&amp;",",","&amp;SUBSTITUTE(input_executive_education_focus," ","")&amp;",")))=COUNTA(TEXTSPLIT(DQ93,",")))))</f>
        <v/>
      </c>
      <c r="JE93">
        <f>AND(IF(DS93="",TRUE,IF(input_faculty_category="",FALSE,SUMPRODUCT(--ISNUMBER(SEARCH(","&amp;TRIM(TEXTSPLIT(DS93,","))&amp;",",","&amp;SUBSTITUTE(input_faculty_category," ","")&amp;",")))&gt;0)),IF(DU93="",TRUE,IF(input_faculty_category="",FALSE,SUMPRODUCT(--ISNUMBER(SEARCH(","&amp;TRIM(TEXTSPLIT(DU93,","))&amp;",",","&amp;SUBSTITUTE(input_faculty_category," ","")&amp;",")))=COUNTA(TEXTSPLIT(DU93,",")))),IF(DW93="",TRUE,IF(input_faculty_category="",TRUE,SUMPRODUCT(--ISNUMBER(SEARCH(","&amp;TRIM(TEXTSPLIT(DW93,","))&amp;",",","&amp;SUBSTITUTE(input_faculty_category," ","")&amp;",")))=0)),IF(DY93="",TRUE,IF(input_faculty_category="",FALSE,SUMPRODUCT(--ISNUMBER(SEARCH(","&amp;TRIM(TEXTSPLIT(DY93,","))&amp;",",","&amp;SUBSTITUTE(input_faculty_category," ","")&amp;",")))&gt;0)),IF(EA93="",TRUE,IF(input_faculty_category="",FALSE,SUMPRODUCT(--ISNUMBER(SEARCH(","&amp;TRIM(TEXTSPLIT(EA93,","))&amp;",",","&amp;SUBSTITUTE(input_faculty_category," ","")&amp;",")))=COUNTA(TEXTSPLIT(EA93,",")))))</f>
        <v/>
      </c>
      <c r="JF93">
        <f>AND(IF(EC93="",TRUE,IF(input_faculty_discipline="",FALSE,SUMPRODUCT(--ISNUMBER(SEARCH(","&amp;TRIM(TEXTSPLIT(EC93,","))&amp;",",","&amp;SUBSTITUTE(input_faculty_discipline," ","")&amp;",")))&gt;0)),IF(EE93="",TRUE,IF(input_faculty_discipline="",FALSE,SUMPRODUCT(--ISNUMBER(SEARCH(","&amp;TRIM(TEXTSPLIT(EE93,","))&amp;",",","&amp;SUBSTITUTE(input_faculty_discipline," ","")&amp;",")))=COUNTA(TEXTSPLIT(EE93,",")))),IF(EG93="",TRUE,IF(input_faculty_discipline="",TRUE,SUMPRODUCT(--ISNUMBER(SEARCH(","&amp;TRIM(TEXTSPLIT(EG93,","))&amp;",",","&amp;SUBSTITUTE(input_faculty_discipline," ","")&amp;",")))=0)),IF(EI93="",TRUE,IF(input_faculty_discipline="",FALSE,SUMPRODUCT(--ISNUMBER(SEARCH(","&amp;TRIM(TEXTSPLIT(EI93,","))&amp;",",","&amp;SUBSTITUTE(input_faculty_discipline," ","")&amp;",")))&gt;0)),IF(EK93="",TRUE,IF(input_faculty_discipline="",FALSE,SUMPRODUCT(--ISNUMBER(SEARCH(","&amp;TRIM(TEXTSPLIT(EK93,","))&amp;",",","&amp;SUBSTITUTE(input_faculty_discipline," ","")&amp;",")))=COUNTA(TEXTSPLIT(EK93,",")))))</f>
        <v/>
      </c>
      <c r="JG93">
        <f>AND(IF(EM93="",TRUE,IF(input_faculty_expertise="",FALSE,SUMPRODUCT(--ISNUMBER(SEARCH(","&amp;TRIM(TEXTSPLIT(EM93,","))&amp;",",","&amp;SUBSTITUTE(input_faculty_expertise," ","")&amp;",")))&gt;0)),IF(EO93="",TRUE,IF(input_faculty_expertise="",FALSE,SUMPRODUCT(--ISNUMBER(SEARCH(","&amp;TRIM(TEXTSPLIT(EO93,","))&amp;",",","&amp;SUBSTITUTE(input_faculty_expertise," ","")&amp;",")))=COUNTA(TEXTSPLIT(EO93,",")))),IF(EQ93="",TRUE,IF(input_faculty_expertise="",TRUE,SUMPRODUCT(--ISNUMBER(SEARCH(","&amp;TRIM(TEXTSPLIT(EQ93,","))&amp;",",","&amp;SUBSTITUTE(input_faculty_expertise," ","")&amp;",")))=0)),IF(ES93="",TRUE,IF(input_faculty_expertise="",FALSE,SUMPRODUCT(--ISNUMBER(SEARCH(","&amp;TRIM(TEXTSPLIT(ES93,","))&amp;",",","&amp;SUBSTITUTE(input_faculty_expertise," ","")&amp;",")))&gt;0)),IF(EU93="",TRUE,IF(input_faculty_expertise="",FALSE,SUMPRODUCT(--ISNUMBER(SEARCH(","&amp;TRIM(TEXTSPLIT(EU93,","))&amp;",",","&amp;SUBSTITUTE(input_faculty_expertise," ","")&amp;",")))=COUNTA(TEXTSPLIT(EU93,",")))))</f>
        <v/>
      </c>
      <c r="JH93">
        <f>AND(IF(EW93="",TRUE,IF(input_global_network_school="",FALSE,SUMPRODUCT(--ISNUMBER(SEARCH(","&amp;TRIM(TEXTSPLIT(EW93,","))&amp;",",","&amp;SUBSTITUTE(input_global_network_school," ","")&amp;",")))&gt;0)),IF(EY93="",TRUE,IF(input_global_network_school="",FALSE,SUMPRODUCT(--ISNUMBER(SEARCH(","&amp;TRIM(TEXTSPLIT(EY93,","))&amp;",",","&amp;SUBSTITUTE(input_global_network_school," ","")&amp;",")))=COUNTA(TEXTSPLIT(EY93,",")))),IF(FA93="",TRUE,IF(input_global_network_school="",TRUE,SUMPRODUCT(--ISNUMBER(SEARCH(","&amp;TRIM(TEXTSPLIT(FA93,","))&amp;",",","&amp;SUBSTITUTE(input_global_network_school," ","")&amp;",")))=0)),IF(FC93="",TRUE,IF(input_global_network_school="",FALSE,SUMPRODUCT(--ISNUMBER(SEARCH(","&amp;TRIM(TEXTSPLIT(FC93,","))&amp;",",","&amp;SUBSTITUTE(input_global_network_school," ","")&amp;",")))&gt;0)),IF(FE93="",TRUE,IF(input_global_network_school="",FALSE,SUMPRODUCT(--ISNUMBER(SEARCH(","&amp;TRIM(TEXTSPLIT(FE93,","))&amp;",",","&amp;SUBSTITUTE(input_global_network_school," ","")&amp;",")))=COUNTA(TEXTSPLIT(FE93,",")))))</f>
        <v/>
      </c>
      <c r="JI93">
        <f>AND(IF(FG93="",TRUE,IF(input_industry="",FALSE,SUMPRODUCT(--ISNUMBER(SEARCH(","&amp;TRIM(TEXTSPLIT(FG93,","))&amp;",",","&amp;SUBSTITUTE(input_industry," ","")&amp;",")))&gt;0)),IF(FI93="",TRUE,IF(input_industry="",FALSE,SUMPRODUCT(--ISNUMBER(SEARCH(","&amp;TRIM(TEXTSPLIT(FI93,","))&amp;",",","&amp;SUBSTITUTE(input_industry," ","")&amp;",")))=COUNTA(TEXTSPLIT(FI93,",")))),IF(FK93="",TRUE,IF(input_industry="",TRUE,SUMPRODUCT(--ISNUMBER(SEARCH(","&amp;TRIM(TEXTSPLIT(FK93,","))&amp;",",","&amp;SUBSTITUTE(input_industry," ","")&amp;",")))=0)),IF(FM93="",TRUE,IF(input_industry="",FALSE,SUMPRODUCT(--ISNUMBER(SEARCH(","&amp;TRIM(TEXTSPLIT(FM93,","))&amp;",",","&amp;SUBSTITUTE(input_industry," ","")&amp;",")))&gt;0)),IF(FO93="",TRUE,IF(input_industry="",FALSE,SUMPRODUCT(--ISNUMBER(SEARCH(","&amp;TRIM(TEXTSPLIT(FO93,","))&amp;",",","&amp;SUBSTITUTE(input_industry," ","")&amp;",")))=COUNTA(TEXTSPLIT(FO93,",")))))</f>
        <v/>
      </c>
      <c r="JJ93">
        <f>AND(IF(FQ93="",TRUE,IF(input_location="",FALSE,SUMPRODUCT(--ISNUMBER(SEARCH(","&amp;TRIM(TEXTSPLIT(FQ93,","))&amp;",",","&amp;SUBSTITUTE(input_location," ","")&amp;",")))&gt;0)),IF(FS93="",TRUE,IF(input_location="",FALSE,SUMPRODUCT(--ISNUMBER(SEARCH(","&amp;TRIM(TEXTSPLIT(FS93,","))&amp;",",","&amp;SUBSTITUTE(input_location," ","")&amp;",")))=COUNTA(TEXTSPLIT(FS93,",")))),IF(FU93="",TRUE,IF(input_location="",TRUE,SUMPRODUCT(--ISNUMBER(SEARCH(","&amp;TRIM(TEXTSPLIT(FU93,","))&amp;",",","&amp;SUBSTITUTE(input_location," ","")&amp;",")))=0)),IF(FW93="",TRUE,IF(input_location="",FALSE,SUMPRODUCT(--ISNUMBER(SEARCH(","&amp;TRIM(TEXTSPLIT(FW93,","))&amp;",",","&amp;SUBSTITUTE(input_location," ","")&amp;",")))&gt;0)),IF(FY93="",TRUE,IF(input_location="",FALSE,SUMPRODUCT(--ISNUMBER(SEARCH(","&amp;TRIM(TEXTSPLIT(FY93,","))&amp;",",","&amp;SUBSTITUTE(input_location," ","")&amp;",")))=COUNTA(TEXTSPLIT(FY93,",")))))</f>
        <v/>
      </c>
      <c r="JK93">
        <f>AND(IF(GA93="",TRUE,IF(input_modality="",FALSE,SUMPRODUCT(--ISNUMBER(SEARCH(","&amp;TRIM(TEXTSPLIT(GA93,","))&amp;",",","&amp;SUBSTITUTE(input_modality," ","")&amp;",")))&gt;0)),IF(GC93="",TRUE,IF(input_modality="",FALSE,SUMPRODUCT(--ISNUMBER(SEARCH(","&amp;TRIM(TEXTSPLIT(GC93,","))&amp;",",","&amp;SUBSTITUTE(input_modality," ","")&amp;",")))=COUNTA(TEXTSPLIT(GC93,",")))),IF(GE93="",TRUE,IF(input_modality="",TRUE,SUMPRODUCT(--ISNUMBER(SEARCH(","&amp;TRIM(TEXTSPLIT(GE93,","))&amp;",",","&amp;SUBSTITUTE(input_modality," ","")&amp;",")))=0)),IF(GG93="",TRUE,IF(input_modality="",FALSE,SUMPRODUCT(--ISNUMBER(SEARCH(","&amp;TRIM(TEXTSPLIT(GG93,","))&amp;",",","&amp;SUBSTITUTE(input_modality," ","")&amp;",")))&gt;0)),IF(GI93="",TRUE,IF(input_modality="",FALSE,SUMPRODUCT(--ISNUMBER(SEARCH(","&amp;TRIM(TEXTSPLIT(GI93,","))&amp;",",","&amp;SUBSTITUTE(input_modality," ","")&amp;",")))=COUNTA(TEXTSPLIT(GI93,",")))))</f>
        <v/>
      </c>
      <c r="JL93">
        <f>AND(IF(GK93="",TRUE,IF(input_organizer="",FALSE,SUMPRODUCT(--ISNUMBER(SEARCH(","&amp;TRIM(TEXTSPLIT(GK93,","))&amp;",",","&amp;SUBSTITUTE(input_organizer," ","")&amp;",")))&gt;0)),IF(GM93="",TRUE,IF(input_organizer="",FALSE,SUMPRODUCT(--ISNUMBER(SEARCH(","&amp;TRIM(TEXTSPLIT(GM93,","))&amp;",",","&amp;SUBSTITUTE(input_organizer," ","")&amp;",")))=COUNTA(TEXTSPLIT(GM93,",")))),IF(GO93="",TRUE,IF(input_organizer="",TRUE,SUMPRODUCT(--ISNUMBER(SEARCH(","&amp;TRIM(TEXTSPLIT(GO93,","))&amp;",",","&amp;SUBSTITUTE(input_organizer," ","")&amp;",")))=0)),IF(GQ93="",TRUE,IF(input_organizer="",FALSE,SUMPRODUCT(--ISNUMBER(SEARCH(","&amp;TRIM(TEXTSPLIT(GQ93,","))&amp;",",","&amp;SUBSTITUTE(input_organizer," ","")&amp;",")))&gt;0)),IF(GS93="",TRUE,IF(input_organizer="",FALSE,SUMPRODUCT(--ISNUMBER(SEARCH(","&amp;TRIM(TEXTSPLIT(GS93,","))&amp;",",","&amp;SUBSTITUTE(input_organizer," ","")&amp;",")))=COUNTA(TEXTSPLIT(GS93,",")))))</f>
        <v/>
      </c>
      <c r="JM93">
        <f>AND(IF(GU93="",TRUE,IF(input_profile_type="",FALSE,SUMPRODUCT(--ISNUMBER(SEARCH(","&amp;TRIM(TEXTSPLIT(GU93,","))&amp;",",","&amp;SUBSTITUTE(input_profile_type," ","")&amp;",")))&gt;0)),IF(GW93="",TRUE,IF(input_profile_type="",FALSE,SUMPRODUCT(--ISNUMBER(SEARCH(","&amp;TRIM(TEXTSPLIT(GW93,","))&amp;",",","&amp;SUBSTITUTE(input_profile_type," ","")&amp;",")))=COUNTA(TEXTSPLIT(GW93,",")))),IF(GY93="",TRUE,IF(input_profile_type="",TRUE,SUMPRODUCT(--ISNUMBER(SEARCH(","&amp;TRIM(TEXTSPLIT(GY93,","))&amp;",",","&amp;SUBSTITUTE(input_profile_type," ","")&amp;",")))=0)),IF(HA93="",TRUE,IF(input_profile_type="",FALSE,SUMPRODUCT(--ISNUMBER(SEARCH(","&amp;TRIM(TEXTSPLIT(HA93,","))&amp;",",","&amp;SUBSTITUTE(input_profile_type," ","")&amp;",")))&gt;0)),IF(HC93="",TRUE,IF(input_profile_type="",FALSE,SUMPRODUCT(--ISNUMBER(SEARCH(","&amp;TRIM(TEXTSPLIT(HC93,","))&amp;",",","&amp;SUBSTITUTE(input_profile_type," ","")&amp;",")))=COUNTA(TEXTSPLIT(HC93,",")))))</f>
        <v/>
      </c>
      <c r="JN93">
        <f>AND(IF(HE93="",TRUE,IF(input_program="",FALSE,SUMPRODUCT(--ISNUMBER(SEARCH(","&amp;TRIM(TEXTSPLIT(HE93,","))&amp;",",","&amp;SUBSTITUTE(input_program," ","")&amp;",")))&gt;0)),IF(HG93="",TRUE,IF(input_program="",FALSE,SUMPRODUCT(--ISNUMBER(SEARCH(","&amp;TRIM(TEXTSPLIT(HG93,","))&amp;",",","&amp;SUBSTITUTE(input_program," ","")&amp;",")))=COUNTA(TEXTSPLIT(HG93,",")))),IF(HI93="",TRUE,IF(input_program="",TRUE,SUMPRODUCT(--ISNUMBER(SEARCH(","&amp;TRIM(TEXTSPLIT(HI93,","))&amp;",",","&amp;SUBSTITUTE(input_program," ","")&amp;",")))=0)),IF(HK93="",TRUE,IF(input_program="",FALSE,SUMPRODUCT(--ISNUMBER(SEARCH(","&amp;TRIM(TEXTSPLIT(HK93,","))&amp;",",","&amp;SUBSTITUTE(input_program," ","")&amp;",")))&gt;0)),IF(HM93="",TRUE,IF(input_program="",FALSE,SUMPRODUCT(--ISNUMBER(SEARCH(","&amp;TRIM(TEXTSPLIT(HM93,","))&amp;",",","&amp;SUBSTITUTE(input_program," ","")&amp;",")))=COUNTA(TEXTSPLIT(HM93,",")))))</f>
        <v/>
      </c>
      <c r="JO93">
        <f>AND(IF(HO93="",TRUE,IF(input_story_categories="",FALSE,SUMPRODUCT(--ISNUMBER(SEARCH(","&amp;TRIM(TEXTSPLIT(HO93,","))&amp;",",","&amp;SUBSTITUTE(input_story_categories," ","")&amp;",")))&gt;0)),IF(HQ93="",TRUE,IF(input_story_categories="",FALSE,SUMPRODUCT(--ISNUMBER(SEARCH(","&amp;TRIM(TEXTSPLIT(HQ93,","))&amp;",",","&amp;SUBSTITUTE(input_story_categories," ","")&amp;",")))=COUNTA(TEXTSPLIT(HQ93,",")))),IF(HS93="",TRUE,IF(input_story_categories="",TRUE,SUMPRODUCT(--ISNUMBER(SEARCH(","&amp;TRIM(TEXTSPLIT(HS93,","))&amp;",",","&amp;SUBSTITUTE(input_story_categories," ","")&amp;",")))=0)),IF(HU93="",TRUE,IF(input_story_categories="",FALSE,SUMPRODUCT(--ISNUMBER(SEARCH(","&amp;TRIM(TEXTSPLIT(HU93,","))&amp;",",","&amp;SUBSTITUTE(input_story_categories," ","")&amp;",")))&gt;0)),IF(HW93="",TRUE,IF(input_story_categories="",FALSE,SUMPRODUCT(--ISNUMBER(SEARCH(","&amp;TRIM(TEXTSPLIT(HW93,","))&amp;",",","&amp;SUBSTITUTE(input_story_categories," ","")&amp;",")))=COUNTA(TEXTSPLIT(HW93,",")))))</f>
        <v/>
      </c>
      <c r="JP93">
        <f>AND(IF(HY93="",TRUE,IF(input_story_type="",FALSE,SUMPRODUCT(--ISNUMBER(SEARCH(","&amp;TRIM(TEXTSPLIT(HY93,","))&amp;",",","&amp;SUBSTITUTE(input_story_type," ","")&amp;",")))&gt;0)),IF(IA93="",TRUE,IF(input_story_type="",FALSE,SUMPRODUCT(--ISNUMBER(SEARCH(","&amp;TRIM(TEXTSPLIT(IA93,","))&amp;",",","&amp;SUBSTITUTE(input_story_type," ","")&amp;",")))=COUNTA(TEXTSPLIT(IA93,",")))),IF(IC93="",TRUE,IF(input_story_type="",TRUE,SUMPRODUCT(--ISNUMBER(SEARCH(","&amp;TRIM(TEXTSPLIT(IC93,","))&amp;",",","&amp;SUBSTITUTE(input_story_type," ","")&amp;",")))=0)),IF(IE93="",TRUE,IF(input_story_type="",FALSE,SUMPRODUCT(--ISNUMBER(SEARCH(","&amp;TRIM(TEXTSPLIT(IE93,","))&amp;",",","&amp;SUBSTITUTE(input_story_type," ","")&amp;",")))&gt;0)),IF(IG93="",TRUE,IF(input_story_type="",FALSE,SUMPRODUCT(--ISNUMBER(SEARCH(","&amp;TRIM(TEXTSPLIT(IG93,","))&amp;",",","&amp;SUBSTITUTE(input_story_type," ","")&amp;",")))=COUNTA(TEXTSPLIT(IG93,",")))))</f>
        <v/>
      </c>
      <c r="JQ93">
        <f>AND(IF(II93="",TRUE,IF(input_topics="",FALSE,SUMPRODUCT(--ISNUMBER(SEARCH(","&amp;TRIM(TEXTSPLIT(II93,","))&amp;",",","&amp;SUBSTITUTE(input_topics," ","")&amp;",")))&gt;0)),IF(IK93="",TRUE,IF(input_topics="",FALSE,SUMPRODUCT(--ISNUMBER(SEARCH(","&amp;TRIM(TEXTSPLIT(IK93,","))&amp;",",","&amp;SUBSTITUTE(input_topics," ","")&amp;",")))=COUNTA(TEXTSPLIT(IK93,",")))),IF(IM93="",TRUE,IF(input_topics="",TRUE,SUMPRODUCT(--ISNUMBER(SEARCH(","&amp;TRIM(TEXTSPLIT(IM93,","))&amp;",",","&amp;SUBSTITUTE(input_topics," ","")&amp;",")))=0)),IF(IO93="",TRUE,IF(input_topics="",FALSE,SUMPRODUCT(--ISNUMBER(SEARCH(","&amp;TRIM(TEXTSPLIT(IO93,","))&amp;",",","&amp;SUBSTITUTE(input_topics," ","")&amp;",")))&gt;0)),IF(IQ93="",TRUE,IF(input_topics="",FALSE,SUMPRODUCT(--ISNUMBER(SEARCH(","&amp;TRIM(TEXTSPLIT(IQ93,","))&amp;",",","&amp;SUBSTITUTE(input_topics," ","")&amp;",")))=COUNTA(TEXTSPLIT(IQ93,",")))))</f>
        <v/>
      </c>
    </row>
    <row r="94">
      <c r="A94" s="4">
        <f>IF(NOT(IS94),"Excluded",IF(AND(IT94,IU94,IV94,IW94,IX94,IY94,IZ94,JA94,JB94,JC94,JD94,JE94,JF94,JG94,JH94,JI94,JJ94,JK94,JL94,JM94,JN94,JO94,JP94,JQ94),IF(I94&gt;0,"Eligible but limited","Will appear"),"Excluded"))</f>
        <v/>
      </c>
      <c r="B94" s="4" t="inlineStr">
        <is>
          <t>Embed</t>
        </is>
      </c>
      <c r="C94" s="4" t="inlineStr">
        <is>
          <t>/podcasts/cityscope-podcast</t>
        </is>
      </c>
      <c r="D94" s="4" t="inlineStr">
        <is>
          <t>/podcasts/cityscope-podcast</t>
        </is>
      </c>
      <c r="E94" s="4" t="n">
        <v>1</v>
      </c>
      <c r="F94" s="4" t="inlineStr">
        <is>
          <t>podcast</t>
        </is>
      </c>
      <c r="G94" s="4" t="inlineStr">
        <is>
          <t>podcast_list</t>
        </is>
      </c>
      <c r="H94" s="4" t="inlineStr">
        <is>
          <t>embed_list</t>
        </is>
      </c>
      <c r="I94" s="4" t="n">
        <v>10</v>
      </c>
      <c r="J94" s="4" t="inlineStr">
        <is>
          <t>Explicit args</t>
        </is>
      </c>
      <c r="K94" s="4" t="inlineStr">
        <is>
          <t>Page placement</t>
        </is>
      </c>
      <c r="L94" s="4" t="inlineStr">
        <is>
          <t>Content type: podcast; Limited to 10 item(s); Source: Explicit args</t>
        </is>
      </c>
      <c r="M94" t="inlineStr"/>
      <c r="N94" t="inlineStr"/>
      <c r="O94" t="inlineStr"/>
      <c r="P94" t="inlineStr"/>
      <c r="Q94" t="inlineStr"/>
      <c r="R94" t="inlineStr"/>
      <c r="S94" t="inlineStr"/>
      <c r="T94" t="inlineStr"/>
      <c r="U94" t="inlineStr"/>
      <c r="V94" t="inlineStr"/>
      <c r="W94" t="inlineStr"/>
      <c r="X94" t="inlineStr"/>
      <c r="Y94" t="inlineStr"/>
      <c r="Z94" t="inlineStr"/>
      <c r="AA94" t="inlineStr"/>
      <c r="AB94" t="inlineStr"/>
      <c r="AC94" t="inlineStr"/>
      <c r="AD94" t="inlineStr"/>
      <c r="AE94" t="inlineStr"/>
      <c r="AF94" t="inlineStr"/>
      <c r="AG94" t="inlineStr"/>
      <c r="AH94" t="inlineStr"/>
      <c r="AI94" t="inlineStr"/>
      <c r="AJ94" t="inlineStr"/>
      <c r="AK94" t="inlineStr"/>
      <c r="AL94" t="inlineStr"/>
      <c r="AM94" t="inlineStr"/>
      <c r="AN94" t="inlineStr"/>
      <c r="AO94" t="inlineStr"/>
      <c r="AP94" t="inlineStr"/>
      <c r="AQ94" t="inlineStr"/>
      <c r="AR94" t="inlineStr"/>
      <c r="AS94" t="inlineStr"/>
      <c r="AT94" t="inlineStr"/>
      <c r="AU94" t="inlineStr"/>
      <c r="AV94" t="inlineStr"/>
      <c r="AW94" t="inlineStr"/>
      <c r="AX94" t="inlineStr"/>
      <c r="AY94" t="inlineStr"/>
      <c r="AZ94" t="inlineStr"/>
      <c r="BA94" t="inlineStr"/>
      <c r="BB94" t="inlineStr"/>
      <c r="BC94" t="inlineStr"/>
      <c r="BD94" t="inlineStr"/>
      <c r="BE94" t="inlineStr"/>
      <c r="BF94" t="inlineStr"/>
      <c r="BG94" t="inlineStr"/>
      <c r="BH94" t="inlineStr"/>
      <c r="BI94" t="inlineStr"/>
      <c r="BJ94" t="inlineStr"/>
      <c r="BK94" t="inlineStr"/>
      <c r="BL94" t="inlineStr"/>
      <c r="BM94" t="inlineStr"/>
      <c r="BN94" t="inlineStr"/>
      <c r="BO94" t="inlineStr"/>
      <c r="BP94" t="inlineStr"/>
      <c r="BQ94" t="inlineStr"/>
      <c r="BR94" t="inlineStr"/>
      <c r="BS94" t="inlineStr"/>
      <c r="BT94" t="inlineStr"/>
      <c r="BU94" t="inlineStr"/>
      <c r="BV94" t="inlineStr"/>
      <c r="BW94" t="inlineStr"/>
      <c r="BX94" t="inlineStr"/>
      <c r="BY94" t="inlineStr"/>
      <c r="BZ94" t="inlineStr"/>
      <c r="CA94" t="inlineStr"/>
      <c r="CB94" t="inlineStr"/>
      <c r="CC94" t="inlineStr"/>
      <c r="CD94" t="inlineStr"/>
      <c r="CE94" t="inlineStr"/>
      <c r="CF94" t="inlineStr"/>
      <c r="CG94" t="inlineStr"/>
      <c r="CH94" t="inlineStr"/>
      <c r="CI94" t="inlineStr"/>
      <c r="CJ94" t="inlineStr"/>
      <c r="CK94" t="inlineStr"/>
      <c r="CL94" t="inlineStr"/>
      <c r="CM94" t="inlineStr"/>
      <c r="CN94" t="inlineStr"/>
      <c r="CO94" t="inlineStr"/>
      <c r="CP94" t="inlineStr"/>
      <c r="CQ94" t="inlineStr"/>
      <c r="CR94" t="inlineStr"/>
      <c r="CS94" t="inlineStr"/>
      <c r="CT94" t="inlineStr"/>
      <c r="CU94" t="inlineStr"/>
      <c r="CV94" t="inlineStr"/>
      <c r="CW94" t="inlineStr"/>
      <c r="CX94" t="inlineStr"/>
      <c r="CY94" t="inlineStr"/>
      <c r="CZ94" t="inlineStr"/>
      <c r="DA94" t="inlineStr"/>
      <c r="DB94" t="inlineStr"/>
      <c r="DC94" t="inlineStr"/>
      <c r="DD94" t="inlineStr"/>
      <c r="DE94" t="inlineStr"/>
      <c r="DF94" t="inlineStr"/>
      <c r="DG94" t="inlineStr"/>
      <c r="DH94" t="inlineStr"/>
      <c r="DI94" t="inlineStr"/>
      <c r="DJ94" t="inlineStr"/>
      <c r="DK94" t="inlineStr"/>
      <c r="DL94" t="inlineStr"/>
      <c r="DM94" t="inlineStr"/>
      <c r="DN94" t="inlineStr"/>
      <c r="DO94" t="inlineStr"/>
      <c r="DP94" t="inlineStr"/>
      <c r="DQ94" t="inlineStr"/>
      <c r="DR94" t="inlineStr"/>
      <c r="DS94" t="inlineStr"/>
      <c r="DT94" t="inlineStr"/>
      <c r="DU94" t="inlineStr"/>
      <c r="DV94" t="inlineStr"/>
      <c r="DW94" t="inlineStr"/>
      <c r="DX94" t="inlineStr"/>
      <c r="DY94" t="inlineStr"/>
      <c r="DZ94" t="inlineStr"/>
      <c r="EA94" t="inlineStr"/>
      <c r="EB94" t="inlineStr"/>
      <c r="EC94" t="inlineStr"/>
      <c r="ED94" t="inlineStr"/>
      <c r="EE94" t="inlineStr"/>
      <c r="EF94" t="inlineStr"/>
      <c r="EG94" t="inlineStr"/>
      <c r="EH94" t="inlineStr"/>
      <c r="EI94" t="inlineStr"/>
      <c r="EJ94" t="inlineStr"/>
      <c r="EK94" t="inlineStr"/>
      <c r="EL94" t="inlineStr"/>
      <c r="EM94" t="inlineStr"/>
      <c r="EN94" t="inlineStr"/>
      <c r="EO94" t="inlineStr"/>
      <c r="EP94" t="inlineStr"/>
      <c r="EQ94" t="inlineStr"/>
      <c r="ER94" t="inlineStr"/>
      <c r="ES94" t="inlineStr"/>
      <c r="ET94" t="inlineStr"/>
      <c r="EU94" t="inlineStr"/>
      <c r="EV94" t="inlineStr"/>
      <c r="EW94" t="inlineStr"/>
      <c r="EX94" t="inlineStr"/>
      <c r="EY94" t="inlineStr"/>
      <c r="EZ94" t="inlineStr"/>
      <c r="FA94" t="inlineStr"/>
      <c r="FB94" t="inlineStr"/>
      <c r="FC94" t="inlineStr"/>
      <c r="FD94" t="inlineStr"/>
      <c r="FE94" t="inlineStr"/>
      <c r="FF94" t="inlineStr"/>
      <c r="FG94" t="inlineStr"/>
      <c r="FH94" t="inlineStr"/>
      <c r="FI94" t="inlineStr"/>
      <c r="FJ94" t="inlineStr"/>
      <c r="FK94" t="inlineStr"/>
      <c r="FL94" t="inlineStr"/>
      <c r="FM94" t="inlineStr"/>
      <c r="FN94" t="inlineStr"/>
      <c r="FO94" t="inlineStr"/>
      <c r="FP94" t="inlineStr"/>
      <c r="FQ94" t="inlineStr"/>
      <c r="FR94" t="inlineStr"/>
      <c r="FS94" t="inlineStr"/>
      <c r="FT94" t="inlineStr"/>
      <c r="FU94" t="inlineStr"/>
      <c r="FV94" t="inlineStr"/>
      <c r="FW94" t="inlineStr"/>
      <c r="FX94" t="inlineStr"/>
      <c r="FY94" t="inlineStr"/>
      <c r="FZ94" t="inlineStr"/>
      <c r="GA94" t="inlineStr"/>
      <c r="GB94" t="inlineStr"/>
      <c r="GC94" t="inlineStr"/>
      <c r="GD94" t="inlineStr"/>
      <c r="GE94" t="inlineStr"/>
      <c r="GF94" t="inlineStr"/>
      <c r="GG94" t="inlineStr"/>
      <c r="GH94" t="inlineStr"/>
      <c r="GI94" t="inlineStr"/>
      <c r="GJ94" t="inlineStr"/>
      <c r="GK94" t="inlineStr"/>
      <c r="GL94" t="inlineStr"/>
      <c r="GM94" t="inlineStr"/>
      <c r="GN94" t="inlineStr"/>
      <c r="GO94" t="inlineStr"/>
      <c r="GP94" t="inlineStr"/>
      <c r="GQ94" t="inlineStr"/>
      <c r="GR94" t="inlineStr"/>
      <c r="GS94" t="inlineStr"/>
      <c r="GT94" t="inlineStr"/>
      <c r="GU94" t="inlineStr"/>
      <c r="GV94" t="inlineStr"/>
      <c r="GW94" t="inlineStr"/>
      <c r="GX94" t="inlineStr"/>
      <c r="GY94" t="inlineStr"/>
      <c r="GZ94" t="inlineStr"/>
      <c r="HA94" t="inlineStr"/>
      <c r="HB94" t="inlineStr"/>
      <c r="HC94" t="inlineStr"/>
      <c r="HD94" t="inlineStr"/>
      <c r="HE94" t="inlineStr"/>
      <c r="HF94" t="inlineStr"/>
      <c r="HG94" t="inlineStr"/>
      <c r="HH94" t="inlineStr"/>
      <c r="HI94" t="inlineStr"/>
      <c r="HJ94" t="inlineStr"/>
      <c r="HK94" t="inlineStr"/>
      <c r="HL94" t="inlineStr"/>
      <c r="HM94" t="inlineStr"/>
      <c r="HN94" t="inlineStr"/>
      <c r="HO94" t="inlineStr"/>
      <c r="HP94" t="inlineStr"/>
      <c r="HQ94" t="inlineStr"/>
      <c r="HR94" t="inlineStr"/>
      <c r="HS94" t="inlineStr"/>
      <c r="HT94" t="inlineStr"/>
      <c r="HU94" t="inlineStr"/>
      <c r="HV94" t="inlineStr"/>
      <c r="HW94" t="inlineStr"/>
      <c r="HX94" t="inlineStr"/>
      <c r="HY94" t="inlineStr"/>
      <c r="HZ94" t="inlineStr"/>
      <c r="IA94" t="inlineStr"/>
      <c r="IB94" t="inlineStr"/>
      <c r="IC94" t="inlineStr"/>
      <c r="ID94" t="inlineStr"/>
      <c r="IE94" t="inlineStr"/>
      <c r="IF94" t="inlineStr"/>
      <c r="IG94" t="inlineStr"/>
      <c r="IH94" t="inlineStr"/>
      <c r="II94" t="inlineStr"/>
      <c r="IJ94" t="inlineStr"/>
      <c r="IK94" t="inlineStr"/>
      <c r="IL94" t="inlineStr"/>
      <c r="IM94" t="inlineStr"/>
      <c r="IN94" t="inlineStr"/>
      <c r="IO94" t="inlineStr"/>
      <c r="IP94" t="inlineStr"/>
      <c r="IQ94" t="inlineStr"/>
      <c r="IR94" t="inlineStr"/>
      <c r="IS94">
        <f>IF(input_content_type="",FALSE,ISNUMBER(SEARCH(","&amp;LOWER(input_content_type)&amp;",",","&amp;LOWER(F94)&amp;",")))</f>
        <v/>
      </c>
      <c r="IT94">
        <f>AND(IF(M94="",TRUE,IF(input_affiliations="",FALSE,SUMPRODUCT(--ISNUMBER(SEARCH(","&amp;TRIM(TEXTSPLIT(M94,","))&amp;",",","&amp;SUBSTITUTE(input_affiliations," ","")&amp;",")))&gt;0)),IF(O94="",TRUE,IF(input_affiliations="",FALSE,SUMPRODUCT(--ISNUMBER(SEARCH(","&amp;TRIM(TEXTSPLIT(O94,","))&amp;",",","&amp;SUBSTITUTE(input_affiliations," ","")&amp;",")))=COUNTA(TEXTSPLIT(O94,",")))),IF(Q94="",TRUE,IF(input_affiliations="",TRUE,SUMPRODUCT(--ISNUMBER(SEARCH(","&amp;TRIM(TEXTSPLIT(Q94,","))&amp;",",","&amp;SUBSTITUTE(input_affiliations," ","")&amp;",")))=0)),IF(S94="",TRUE,IF(input_affiliations="",FALSE,SUMPRODUCT(--ISNUMBER(SEARCH(","&amp;TRIM(TEXTSPLIT(S94,","))&amp;",",","&amp;SUBSTITUTE(input_affiliations," ","")&amp;",")))&gt;0)),IF(U94="",TRUE,IF(input_affiliations="",FALSE,SUMPRODUCT(--ISNUMBER(SEARCH(","&amp;TRIM(TEXTSPLIT(U94,","))&amp;",",","&amp;SUBSTITUTE(input_affiliations," ","")&amp;",")))=COUNTA(TEXTSPLIT(U94,",")))))</f>
        <v/>
      </c>
      <c r="IU94">
        <f>AND(IF(W94="",TRUE,IF(input_announcement_category="",FALSE,SUMPRODUCT(--ISNUMBER(SEARCH(","&amp;TRIM(TEXTSPLIT(W94,","))&amp;",",","&amp;SUBSTITUTE(input_announcement_category," ","")&amp;",")))&gt;0)),IF(Y94="",TRUE,IF(input_announcement_category="",FALSE,SUMPRODUCT(--ISNUMBER(SEARCH(","&amp;TRIM(TEXTSPLIT(Y94,","))&amp;",",","&amp;SUBSTITUTE(input_announcement_category," ","")&amp;",")))=COUNTA(TEXTSPLIT(Y94,",")))),IF(AA94="",TRUE,IF(input_announcement_category="",TRUE,SUMPRODUCT(--ISNUMBER(SEARCH(","&amp;TRIM(TEXTSPLIT(AA94,","))&amp;",",","&amp;SUBSTITUTE(input_announcement_category," ","")&amp;",")))=0)),IF(AC94="",TRUE,IF(input_announcement_category="",FALSE,SUMPRODUCT(--ISNUMBER(SEARCH(","&amp;TRIM(TEXTSPLIT(AC94,","))&amp;",",","&amp;SUBSTITUTE(input_announcement_category," ","")&amp;",")))&gt;0)),IF(AE94="",TRUE,IF(input_announcement_category="",FALSE,SUMPRODUCT(--ISNUMBER(SEARCH(","&amp;TRIM(TEXTSPLIT(AE94,","))&amp;",",","&amp;SUBSTITUTE(input_announcement_category," ","")&amp;",")))=COUNTA(TEXTSPLIT(AE94,",")))))</f>
        <v/>
      </c>
      <c r="IV94">
        <f>AND(IF(AG94="",TRUE,IF(input_area_of_focus="",FALSE,SUMPRODUCT(--ISNUMBER(SEARCH(","&amp;TRIM(TEXTSPLIT(AG94,","))&amp;",",","&amp;SUBSTITUTE(input_area_of_focus," ","")&amp;",")))&gt;0)),IF(AI94="",TRUE,IF(input_area_of_focus="",FALSE,SUMPRODUCT(--ISNUMBER(SEARCH(","&amp;TRIM(TEXTSPLIT(AI94,","))&amp;",",","&amp;SUBSTITUTE(input_area_of_focus," ","")&amp;",")))=COUNTA(TEXTSPLIT(AI94,",")))),IF(AK94="",TRUE,IF(input_area_of_focus="",TRUE,SUMPRODUCT(--ISNUMBER(SEARCH(","&amp;TRIM(TEXTSPLIT(AK94,","))&amp;",",","&amp;SUBSTITUTE(input_area_of_focus," ","")&amp;",")))=0)),IF(AM94="",TRUE,IF(input_area_of_focus="",FALSE,SUMPRODUCT(--ISNUMBER(SEARCH(","&amp;TRIM(TEXTSPLIT(AM94,","))&amp;",",","&amp;SUBSTITUTE(input_area_of_focus," ","")&amp;",")))&gt;0)),IF(AO94="",TRUE,IF(input_area_of_focus="",FALSE,SUMPRODUCT(--ISNUMBER(SEARCH(","&amp;TRIM(TEXTSPLIT(AO94,","))&amp;",",","&amp;SUBSTITUTE(input_area_of_focus," ","")&amp;",")))=COUNTA(TEXTSPLIT(AO94,",")))))</f>
        <v/>
      </c>
      <c r="IW94">
        <f>AND(IF(AQ94="",TRUE,IF(input_audience="",FALSE,SUMPRODUCT(--ISNUMBER(SEARCH(","&amp;TRIM(TEXTSPLIT(AQ94,","))&amp;",",","&amp;SUBSTITUTE(input_audience," ","")&amp;",")))&gt;0)),IF(AS94="",TRUE,IF(input_audience="",FALSE,SUMPRODUCT(--ISNUMBER(SEARCH(","&amp;TRIM(TEXTSPLIT(AS94,","))&amp;",",","&amp;SUBSTITUTE(input_audience," ","")&amp;",")))=COUNTA(TEXTSPLIT(AS94,",")))),IF(AU94="",TRUE,IF(input_audience="",TRUE,SUMPRODUCT(--ISNUMBER(SEARCH(","&amp;TRIM(TEXTSPLIT(AU94,","))&amp;",",","&amp;SUBSTITUTE(input_audience," ","")&amp;",")))=0)),IF(AW94="",TRUE,IF(input_audience="",FALSE,SUMPRODUCT(--ISNUMBER(SEARCH(","&amp;TRIM(TEXTSPLIT(AW94,","))&amp;",",","&amp;SUBSTITUTE(input_audience," ","")&amp;",")))&gt;0)),IF(AY94="",TRUE,IF(input_audience="",FALSE,SUMPRODUCT(--ISNUMBER(SEARCH(","&amp;TRIM(TEXTSPLIT(AY94,","))&amp;",",","&amp;SUBSTITUTE(input_audience," ","")&amp;",")))=COUNTA(TEXTSPLIT(AY94,",")))))</f>
        <v/>
      </c>
      <c r="IX94">
        <f>AND(IF(BA94="",TRUE,IF(input_challenge_opportunities="",FALSE,SUMPRODUCT(--ISNUMBER(SEARCH(","&amp;TRIM(TEXTSPLIT(BA94,","))&amp;",",","&amp;SUBSTITUTE(input_challenge_opportunities," ","")&amp;",")))&gt;0)),IF(BC94="",TRUE,IF(input_challenge_opportunities="",FALSE,SUMPRODUCT(--ISNUMBER(SEARCH(","&amp;TRIM(TEXTSPLIT(BC94,","))&amp;",",","&amp;SUBSTITUTE(input_challenge_opportunities," ","")&amp;",")))=COUNTA(TEXTSPLIT(BC94,",")))),IF(BE94="",TRUE,IF(input_challenge_opportunities="",TRUE,SUMPRODUCT(--ISNUMBER(SEARCH(","&amp;TRIM(TEXTSPLIT(BE94,","))&amp;",",","&amp;SUBSTITUTE(input_challenge_opportunities," ","")&amp;",")))=0)),IF(BG94="",TRUE,IF(input_challenge_opportunities="",FALSE,SUMPRODUCT(--ISNUMBER(SEARCH(","&amp;TRIM(TEXTSPLIT(BG94,","))&amp;",",","&amp;SUBSTITUTE(input_challenge_opportunities," ","")&amp;",")))&gt;0)),IF(BI94="",TRUE,IF(input_challenge_opportunities="",FALSE,SUMPRODUCT(--ISNUMBER(SEARCH(","&amp;TRIM(TEXTSPLIT(BI94,","))&amp;",",","&amp;SUBSTITUTE(input_challenge_opportunities," ","")&amp;",")))=COUNTA(TEXTSPLIT(BI94,",")))))</f>
        <v/>
      </c>
      <c r="IY94">
        <f>AND(IF(BK94="",TRUE,IF(input_context="",FALSE,SUMPRODUCT(--ISNUMBER(SEARCH(","&amp;TRIM(TEXTSPLIT(BK94,","))&amp;",",","&amp;SUBSTITUTE(input_context," ","")&amp;",")))&gt;0)),IF(BM94="",TRUE,IF(input_context="",FALSE,SUMPRODUCT(--ISNUMBER(SEARCH(","&amp;TRIM(TEXTSPLIT(BM94,","))&amp;",",","&amp;SUBSTITUTE(input_context," ","")&amp;",")))=COUNTA(TEXTSPLIT(BM94,",")))),IF(BO94="",TRUE,IF(input_context="",TRUE,SUMPRODUCT(--ISNUMBER(SEARCH(","&amp;TRIM(TEXTSPLIT(BO94,","))&amp;",",","&amp;SUBSTITUTE(input_context," ","")&amp;",")))=0)),IF(BQ94="",TRUE,IF(input_context="",FALSE,SUMPRODUCT(--ISNUMBER(SEARCH(","&amp;TRIM(TEXTSPLIT(BQ94,","))&amp;",",","&amp;SUBSTITUTE(input_context," ","")&amp;",")))&gt;0)),IF(BS94="",TRUE,IF(input_context="",FALSE,SUMPRODUCT(--ISNUMBER(SEARCH(","&amp;TRIM(TEXTSPLIT(BS94,","))&amp;",",","&amp;SUBSTITUTE(input_context," ","")&amp;",")))=COUNTA(TEXTSPLIT(BS94,",")))))</f>
        <v/>
      </c>
      <c r="IZ94">
        <f>AND(IF(BU94="",TRUE,IF(input_enews_announcement_type="",FALSE,SUMPRODUCT(--ISNUMBER(SEARCH(","&amp;TRIM(TEXTSPLIT(BU94,","))&amp;",",","&amp;SUBSTITUTE(input_enews_announcement_type," ","")&amp;",")))&gt;0)),IF(BW94="",TRUE,IF(input_enews_announcement_type="",FALSE,SUMPRODUCT(--ISNUMBER(SEARCH(","&amp;TRIM(TEXTSPLIT(BW94,","))&amp;",",","&amp;SUBSTITUTE(input_enews_announcement_type," ","")&amp;",")))=COUNTA(TEXTSPLIT(BW94,",")))),IF(BY94="",TRUE,IF(input_enews_announcement_type="",TRUE,SUMPRODUCT(--ISNUMBER(SEARCH(","&amp;TRIM(TEXTSPLIT(BY94,","))&amp;",",","&amp;SUBSTITUTE(input_enews_announcement_type," ","")&amp;",")))=0)),IF(CA94="",TRUE,IF(input_enews_announcement_type="",FALSE,SUMPRODUCT(--ISNUMBER(SEARCH(","&amp;TRIM(TEXTSPLIT(CA94,","))&amp;",",","&amp;SUBSTITUTE(input_enews_announcement_type," ","")&amp;",")))&gt;0)),IF(CC94="",TRUE,IF(input_enews_announcement_type="",FALSE,SUMPRODUCT(--ISNUMBER(SEARCH(","&amp;TRIM(TEXTSPLIT(CC94,","))&amp;",",","&amp;SUBSTITUTE(input_enews_announcement_type," ","")&amp;",")))=COUNTA(TEXTSPLIT(CC94,",")))))</f>
        <v/>
      </c>
      <c r="JA94">
        <f>AND(IF(CE94="",TRUE,IF(input_enews_audience="",FALSE,SUMPRODUCT(--ISNUMBER(SEARCH(","&amp;TRIM(TEXTSPLIT(CE94,","))&amp;",",","&amp;SUBSTITUTE(input_enews_audience," ","")&amp;",")))&gt;0)),IF(CG94="",TRUE,IF(input_enews_audience="",FALSE,SUMPRODUCT(--ISNUMBER(SEARCH(","&amp;TRIM(TEXTSPLIT(CG94,","))&amp;",",","&amp;SUBSTITUTE(input_enews_audience," ","")&amp;",")))=COUNTA(TEXTSPLIT(CG94,",")))),IF(CI94="",TRUE,IF(input_enews_audience="",TRUE,SUMPRODUCT(--ISNUMBER(SEARCH(","&amp;TRIM(TEXTSPLIT(CI94,","))&amp;",",","&amp;SUBSTITUTE(input_enews_audience," ","")&amp;",")))=0)),IF(CK94="",TRUE,IF(input_enews_audience="",FALSE,SUMPRODUCT(--ISNUMBER(SEARCH(","&amp;TRIM(TEXTSPLIT(CK94,","))&amp;",",","&amp;SUBSTITUTE(input_enews_audience," ","")&amp;",")))&gt;0)),IF(CM94="",TRUE,IF(input_enews_audience="",FALSE,SUMPRODUCT(--ISNUMBER(SEARCH(","&amp;TRIM(TEXTSPLIT(CM94,","))&amp;",",","&amp;SUBSTITUTE(input_enews_audience," ","")&amp;",")))=COUNTA(TEXTSPLIT(CM94,",")))))</f>
        <v/>
      </c>
      <c r="JB94">
        <f>AND(IF(CO94="",TRUE,IF(input_event_location="",FALSE,SUMPRODUCT(--ISNUMBER(SEARCH(","&amp;TRIM(TEXTSPLIT(CO94,","))&amp;",",","&amp;SUBSTITUTE(input_event_location," ","")&amp;",")))&gt;0)),IF(CQ94="",TRUE,IF(input_event_location="",FALSE,SUMPRODUCT(--ISNUMBER(SEARCH(","&amp;TRIM(TEXTSPLIT(CQ94,","))&amp;",",","&amp;SUBSTITUTE(input_event_location," ","")&amp;",")))=COUNTA(TEXTSPLIT(CQ94,",")))),IF(CS94="",TRUE,IF(input_event_location="",TRUE,SUMPRODUCT(--ISNUMBER(SEARCH(","&amp;TRIM(TEXTSPLIT(CS94,","))&amp;",",","&amp;SUBSTITUTE(input_event_location," ","")&amp;",")))=0)),IF(CU94="",TRUE,IF(input_event_location="",FALSE,SUMPRODUCT(--ISNUMBER(SEARCH(","&amp;TRIM(TEXTSPLIT(CU94,","))&amp;",",","&amp;SUBSTITUTE(input_event_location," ","")&amp;",")))&gt;0)),IF(CW94="",TRUE,IF(input_event_location="",FALSE,SUMPRODUCT(--ISNUMBER(SEARCH(","&amp;TRIM(TEXTSPLIT(CW94,","))&amp;",",","&amp;SUBSTITUTE(input_event_location," ","")&amp;",")))=COUNTA(TEXTSPLIT(CW94,",")))))</f>
        <v/>
      </c>
      <c r="JC94">
        <f>AND(IF(CY94="",TRUE,IF(input_event_type="",FALSE,SUMPRODUCT(--ISNUMBER(SEARCH(","&amp;TRIM(TEXTSPLIT(CY94,","))&amp;",",","&amp;SUBSTITUTE(input_event_type," ","")&amp;",")))&gt;0)),IF(DA94="",TRUE,IF(input_event_type="",FALSE,SUMPRODUCT(--ISNUMBER(SEARCH(","&amp;TRIM(TEXTSPLIT(DA94,","))&amp;",",","&amp;SUBSTITUTE(input_event_type," ","")&amp;",")))=COUNTA(TEXTSPLIT(DA94,",")))),IF(DC94="",TRUE,IF(input_event_type="",TRUE,SUMPRODUCT(--ISNUMBER(SEARCH(","&amp;TRIM(TEXTSPLIT(DC94,","))&amp;",",","&amp;SUBSTITUTE(input_event_type," ","")&amp;",")))=0)),IF(DE94="",TRUE,IF(input_event_type="",FALSE,SUMPRODUCT(--ISNUMBER(SEARCH(","&amp;TRIM(TEXTSPLIT(DE94,","))&amp;",",","&amp;SUBSTITUTE(input_event_type," ","")&amp;",")))&gt;0)),IF(DG94="",TRUE,IF(input_event_type="",FALSE,SUMPRODUCT(--ISNUMBER(SEARCH(","&amp;TRIM(TEXTSPLIT(DG94,","))&amp;",",","&amp;SUBSTITUTE(input_event_type," ","")&amp;",")))=COUNTA(TEXTSPLIT(DG94,",")))))</f>
        <v/>
      </c>
      <c r="JD94">
        <f>AND(IF(DI94="",TRUE,IF(input_executive_education_focus="",FALSE,SUMPRODUCT(--ISNUMBER(SEARCH(","&amp;TRIM(TEXTSPLIT(DI94,","))&amp;",",","&amp;SUBSTITUTE(input_executive_education_focus," ","")&amp;",")))&gt;0)),IF(DK94="",TRUE,IF(input_executive_education_focus="",FALSE,SUMPRODUCT(--ISNUMBER(SEARCH(","&amp;TRIM(TEXTSPLIT(DK94,","))&amp;",",","&amp;SUBSTITUTE(input_executive_education_focus," ","")&amp;",")))=COUNTA(TEXTSPLIT(DK94,",")))),IF(DM94="",TRUE,IF(input_executive_education_focus="",TRUE,SUMPRODUCT(--ISNUMBER(SEARCH(","&amp;TRIM(TEXTSPLIT(DM94,","))&amp;",",","&amp;SUBSTITUTE(input_executive_education_focus," ","")&amp;",")))=0)),IF(DO94="",TRUE,IF(input_executive_education_focus="",FALSE,SUMPRODUCT(--ISNUMBER(SEARCH(","&amp;TRIM(TEXTSPLIT(DO94,","))&amp;",",","&amp;SUBSTITUTE(input_executive_education_focus," ","")&amp;",")))&gt;0)),IF(DQ94="",TRUE,IF(input_executive_education_focus="",FALSE,SUMPRODUCT(--ISNUMBER(SEARCH(","&amp;TRIM(TEXTSPLIT(DQ94,","))&amp;",",","&amp;SUBSTITUTE(input_executive_education_focus," ","")&amp;",")))=COUNTA(TEXTSPLIT(DQ94,",")))))</f>
        <v/>
      </c>
      <c r="JE94">
        <f>AND(IF(DS94="",TRUE,IF(input_faculty_category="",FALSE,SUMPRODUCT(--ISNUMBER(SEARCH(","&amp;TRIM(TEXTSPLIT(DS94,","))&amp;",",","&amp;SUBSTITUTE(input_faculty_category," ","")&amp;",")))&gt;0)),IF(DU94="",TRUE,IF(input_faculty_category="",FALSE,SUMPRODUCT(--ISNUMBER(SEARCH(","&amp;TRIM(TEXTSPLIT(DU94,","))&amp;",",","&amp;SUBSTITUTE(input_faculty_category," ","")&amp;",")))=COUNTA(TEXTSPLIT(DU94,",")))),IF(DW94="",TRUE,IF(input_faculty_category="",TRUE,SUMPRODUCT(--ISNUMBER(SEARCH(","&amp;TRIM(TEXTSPLIT(DW94,","))&amp;",",","&amp;SUBSTITUTE(input_faculty_category," ","")&amp;",")))=0)),IF(DY94="",TRUE,IF(input_faculty_category="",FALSE,SUMPRODUCT(--ISNUMBER(SEARCH(","&amp;TRIM(TEXTSPLIT(DY94,","))&amp;",",","&amp;SUBSTITUTE(input_faculty_category," ","")&amp;",")))&gt;0)),IF(EA94="",TRUE,IF(input_faculty_category="",FALSE,SUMPRODUCT(--ISNUMBER(SEARCH(","&amp;TRIM(TEXTSPLIT(EA94,","))&amp;",",","&amp;SUBSTITUTE(input_faculty_category," ","")&amp;",")))=COUNTA(TEXTSPLIT(EA94,",")))))</f>
        <v/>
      </c>
      <c r="JF94">
        <f>AND(IF(EC94="",TRUE,IF(input_faculty_discipline="",FALSE,SUMPRODUCT(--ISNUMBER(SEARCH(","&amp;TRIM(TEXTSPLIT(EC94,","))&amp;",",","&amp;SUBSTITUTE(input_faculty_discipline," ","")&amp;",")))&gt;0)),IF(EE94="",TRUE,IF(input_faculty_discipline="",FALSE,SUMPRODUCT(--ISNUMBER(SEARCH(","&amp;TRIM(TEXTSPLIT(EE94,","))&amp;",",","&amp;SUBSTITUTE(input_faculty_discipline," ","")&amp;",")))=COUNTA(TEXTSPLIT(EE94,",")))),IF(EG94="",TRUE,IF(input_faculty_discipline="",TRUE,SUMPRODUCT(--ISNUMBER(SEARCH(","&amp;TRIM(TEXTSPLIT(EG94,","))&amp;",",","&amp;SUBSTITUTE(input_faculty_discipline," ","")&amp;",")))=0)),IF(EI94="",TRUE,IF(input_faculty_discipline="",FALSE,SUMPRODUCT(--ISNUMBER(SEARCH(","&amp;TRIM(TEXTSPLIT(EI94,","))&amp;",",","&amp;SUBSTITUTE(input_faculty_discipline," ","")&amp;",")))&gt;0)),IF(EK94="",TRUE,IF(input_faculty_discipline="",FALSE,SUMPRODUCT(--ISNUMBER(SEARCH(","&amp;TRIM(TEXTSPLIT(EK94,","))&amp;",",","&amp;SUBSTITUTE(input_faculty_discipline," ","")&amp;",")))=COUNTA(TEXTSPLIT(EK94,",")))))</f>
        <v/>
      </c>
      <c r="JG94">
        <f>AND(IF(EM94="",TRUE,IF(input_faculty_expertise="",FALSE,SUMPRODUCT(--ISNUMBER(SEARCH(","&amp;TRIM(TEXTSPLIT(EM94,","))&amp;",",","&amp;SUBSTITUTE(input_faculty_expertise," ","")&amp;",")))&gt;0)),IF(EO94="",TRUE,IF(input_faculty_expertise="",FALSE,SUMPRODUCT(--ISNUMBER(SEARCH(","&amp;TRIM(TEXTSPLIT(EO94,","))&amp;",",","&amp;SUBSTITUTE(input_faculty_expertise," ","")&amp;",")))=COUNTA(TEXTSPLIT(EO94,",")))),IF(EQ94="",TRUE,IF(input_faculty_expertise="",TRUE,SUMPRODUCT(--ISNUMBER(SEARCH(","&amp;TRIM(TEXTSPLIT(EQ94,","))&amp;",",","&amp;SUBSTITUTE(input_faculty_expertise," ","")&amp;",")))=0)),IF(ES94="",TRUE,IF(input_faculty_expertise="",FALSE,SUMPRODUCT(--ISNUMBER(SEARCH(","&amp;TRIM(TEXTSPLIT(ES94,","))&amp;",",","&amp;SUBSTITUTE(input_faculty_expertise," ","")&amp;",")))&gt;0)),IF(EU94="",TRUE,IF(input_faculty_expertise="",FALSE,SUMPRODUCT(--ISNUMBER(SEARCH(","&amp;TRIM(TEXTSPLIT(EU94,","))&amp;",",","&amp;SUBSTITUTE(input_faculty_expertise," ","")&amp;",")))=COUNTA(TEXTSPLIT(EU94,",")))))</f>
        <v/>
      </c>
      <c r="JH94">
        <f>AND(IF(EW94="",TRUE,IF(input_global_network_school="",FALSE,SUMPRODUCT(--ISNUMBER(SEARCH(","&amp;TRIM(TEXTSPLIT(EW94,","))&amp;",",","&amp;SUBSTITUTE(input_global_network_school," ","")&amp;",")))&gt;0)),IF(EY94="",TRUE,IF(input_global_network_school="",FALSE,SUMPRODUCT(--ISNUMBER(SEARCH(","&amp;TRIM(TEXTSPLIT(EY94,","))&amp;",",","&amp;SUBSTITUTE(input_global_network_school," ","")&amp;",")))=COUNTA(TEXTSPLIT(EY94,",")))),IF(FA94="",TRUE,IF(input_global_network_school="",TRUE,SUMPRODUCT(--ISNUMBER(SEARCH(","&amp;TRIM(TEXTSPLIT(FA94,","))&amp;",",","&amp;SUBSTITUTE(input_global_network_school," ","")&amp;",")))=0)),IF(FC94="",TRUE,IF(input_global_network_school="",FALSE,SUMPRODUCT(--ISNUMBER(SEARCH(","&amp;TRIM(TEXTSPLIT(FC94,","))&amp;",",","&amp;SUBSTITUTE(input_global_network_school," ","")&amp;",")))&gt;0)),IF(FE94="",TRUE,IF(input_global_network_school="",FALSE,SUMPRODUCT(--ISNUMBER(SEARCH(","&amp;TRIM(TEXTSPLIT(FE94,","))&amp;",",","&amp;SUBSTITUTE(input_global_network_school," ","")&amp;",")))=COUNTA(TEXTSPLIT(FE94,",")))))</f>
        <v/>
      </c>
      <c r="JI94">
        <f>AND(IF(FG94="",TRUE,IF(input_industry="",FALSE,SUMPRODUCT(--ISNUMBER(SEARCH(","&amp;TRIM(TEXTSPLIT(FG94,","))&amp;",",","&amp;SUBSTITUTE(input_industry," ","")&amp;",")))&gt;0)),IF(FI94="",TRUE,IF(input_industry="",FALSE,SUMPRODUCT(--ISNUMBER(SEARCH(","&amp;TRIM(TEXTSPLIT(FI94,","))&amp;",",","&amp;SUBSTITUTE(input_industry," ","")&amp;",")))=COUNTA(TEXTSPLIT(FI94,",")))),IF(FK94="",TRUE,IF(input_industry="",TRUE,SUMPRODUCT(--ISNUMBER(SEARCH(","&amp;TRIM(TEXTSPLIT(FK94,","))&amp;",",","&amp;SUBSTITUTE(input_industry," ","")&amp;",")))=0)),IF(FM94="",TRUE,IF(input_industry="",FALSE,SUMPRODUCT(--ISNUMBER(SEARCH(","&amp;TRIM(TEXTSPLIT(FM94,","))&amp;",",","&amp;SUBSTITUTE(input_industry," ","")&amp;",")))&gt;0)),IF(FO94="",TRUE,IF(input_industry="",FALSE,SUMPRODUCT(--ISNUMBER(SEARCH(","&amp;TRIM(TEXTSPLIT(FO94,","))&amp;",",","&amp;SUBSTITUTE(input_industry," ","")&amp;",")))=COUNTA(TEXTSPLIT(FO94,",")))))</f>
        <v/>
      </c>
      <c r="JJ94">
        <f>AND(IF(FQ94="",TRUE,IF(input_location="",FALSE,SUMPRODUCT(--ISNUMBER(SEARCH(","&amp;TRIM(TEXTSPLIT(FQ94,","))&amp;",",","&amp;SUBSTITUTE(input_location," ","")&amp;",")))&gt;0)),IF(FS94="",TRUE,IF(input_location="",FALSE,SUMPRODUCT(--ISNUMBER(SEARCH(","&amp;TRIM(TEXTSPLIT(FS94,","))&amp;",",","&amp;SUBSTITUTE(input_location," ","")&amp;",")))=COUNTA(TEXTSPLIT(FS94,",")))),IF(FU94="",TRUE,IF(input_location="",TRUE,SUMPRODUCT(--ISNUMBER(SEARCH(","&amp;TRIM(TEXTSPLIT(FU94,","))&amp;",",","&amp;SUBSTITUTE(input_location," ","")&amp;",")))=0)),IF(FW94="",TRUE,IF(input_location="",FALSE,SUMPRODUCT(--ISNUMBER(SEARCH(","&amp;TRIM(TEXTSPLIT(FW94,","))&amp;",",","&amp;SUBSTITUTE(input_location," ","")&amp;",")))&gt;0)),IF(FY94="",TRUE,IF(input_location="",FALSE,SUMPRODUCT(--ISNUMBER(SEARCH(","&amp;TRIM(TEXTSPLIT(FY94,","))&amp;",",","&amp;SUBSTITUTE(input_location," ","")&amp;",")))=COUNTA(TEXTSPLIT(FY94,",")))))</f>
        <v/>
      </c>
      <c r="JK94">
        <f>AND(IF(GA94="",TRUE,IF(input_modality="",FALSE,SUMPRODUCT(--ISNUMBER(SEARCH(","&amp;TRIM(TEXTSPLIT(GA94,","))&amp;",",","&amp;SUBSTITUTE(input_modality," ","")&amp;",")))&gt;0)),IF(GC94="",TRUE,IF(input_modality="",FALSE,SUMPRODUCT(--ISNUMBER(SEARCH(","&amp;TRIM(TEXTSPLIT(GC94,","))&amp;",",","&amp;SUBSTITUTE(input_modality," ","")&amp;",")))=COUNTA(TEXTSPLIT(GC94,",")))),IF(GE94="",TRUE,IF(input_modality="",TRUE,SUMPRODUCT(--ISNUMBER(SEARCH(","&amp;TRIM(TEXTSPLIT(GE94,","))&amp;",",","&amp;SUBSTITUTE(input_modality," ","")&amp;",")))=0)),IF(GG94="",TRUE,IF(input_modality="",FALSE,SUMPRODUCT(--ISNUMBER(SEARCH(","&amp;TRIM(TEXTSPLIT(GG94,","))&amp;",",","&amp;SUBSTITUTE(input_modality," ","")&amp;",")))&gt;0)),IF(GI94="",TRUE,IF(input_modality="",FALSE,SUMPRODUCT(--ISNUMBER(SEARCH(","&amp;TRIM(TEXTSPLIT(GI94,","))&amp;",",","&amp;SUBSTITUTE(input_modality," ","")&amp;",")))=COUNTA(TEXTSPLIT(GI94,",")))))</f>
        <v/>
      </c>
      <c r="JL94">
        <f>AND(IF(GK94="",TRUE,IF(input_organizer="",FALSE,SUMPRODUCT(--ISNUMBER(SEARCH(","&amp;TRIM(TEXTSPLIT(GK94,","))&amp;",",","&amp;SUBSTITUTE(input_organizer," ","")&amp;",")))&gt;0)),IF(GM94="",TRUE,IF(input_organizer="",FALSE,SUMPRODUCT(--ISNUMBER(SEARCH(","&amp;TRIM(TEXTSPLIT(GM94,","))&amp;",",","&amp;SUBSTITUTE(input_organizer," ","")&amp;",")))=COUNTA(TEXTSPLIT(GM94,",")))),IF(GO94="",TRUE,IF(input_organizer="",TRUE,SUMPRODUCT(--ISNUMBER(SEARCH(","&amp;TRIM(TEXTSPLIT(GO94,","))&amp;",",","&amp;SUBSTITUTE(input_organizer," ","")&amp;",")))=0)),IF(GQ94="",TRUE,IF(input_organizer="",FALSE,SUMPRODUCT(--ISNUMBER(SEARCH(","&amp;TRIM(TEXTSPLIT(GQ94,","))&amp;",",","&amp;SUBSTITUTE(input_organizer," ","")&amp;",")))&gt;0)),IF(GS94="",TRUE,IF(input_organizer="",FALSE,SUMPRODUCT(--ISNUMBER(SEARCH(","&amp;TRIM(TEXTSPLIT(GS94,","))&amp;",",","&amp;SUBSTITUTE(input_organizer," ","")&amp;",")))=COUNTA(TEXTSPLIT(GS94,",")))))</f>
        <v/>
      </c>
      <c r="JM94">
        <f>AND(IF(GU94="",TRUE,IF(input_profile_type="",FALSE,SUMPRODUCT(--ISNUMBER(SEARCH(","&amp;TRIM(TEXTSPLIT(GU94,","))&amp;",",","&amp;SUBSTITUTE(input_profile_type," ","")&amp;",")))&gt;0)),IF(GW94="",TRUE,IF(input_profile_type="",FALSE,SUMPRODUCT(--ISNUMBER(SEARCH(","&amp;TRIM(TEXTSPLIT(GW94,","))&amp;",",","&amp;SUBSTITUTE(input_profile_type," ","")&amp;",")))=COUNTA(TEXTSPLIT(GW94,",")))),IF(GY94="",TRUE,IF(input_profile_type="",TRUE,SUMPRODUCT(--ISNUMBER(SEARCH(","&amp;TRIM(TEXTSPLIT(GY94,","))&amp;",",","&amp;SUBSTITUTE(input_profile_type," ","")&amp;",")))=0)),IF(HA94="",TRUE,IF(input_profile_type="",FALSE,SUMPRODUCT(--ISNUMBER(SEARCH(","&amp;TRIM(TEXTSPLIT(HA94,","))&amp;",",","&amp;SUBSTITUTE(input_profile_type," ","")&amp;",")))&gt;0)),IF(HC94="",TRUE,IF(input_profile_type="",FALSE,SUMPRODUCT(--ISNUMBER(SEARCH(","&amp;TRIM(TEXTSPLIT(HC94,","))&amp;",",","&amp;SUBSTITUTE(input_profile_type," ","")&amp;",")))=COUNTA(TEXTSPLIT(HC94,",")))))</f>
        <v/>
      </c>
      <c r="JN94">
        <f>AND(IF(HE94="",TRUE,IF(input_program="",FALSE,SUMPRODUCT(--ISNUMBER(SEARCH(","&amp;TRIM(TEXTSPLIT(HE94,","))&amp;",",","&amp;SUBSTITUTE(input_program," ","")&amp;",")))&gt;0)),IF(HG94="",TRUE,IF(input_program="",FALSE,SUMPRODUCT(--ISNUMBER(SEARCH(","&amp;TRIM(TEXTSPLIT(HG94,","))&amp;",",","&amp;SUBSTITUTE(input_program," ","")&amp;",")))=COUNTA(TEXTSPLIT(HG94,",")))),IF(HI94="",TRUE,IF(input_program="",TRUE,SUMPRODUCT(--ISNUMBER(SEARCH(","&amp;TRIM(TEXTSPLIT(HI94,","))&amp;",",","&amp;SUBSTITUTE(input_program," ","")&amp;",")))=0)),IF(HK94="",TRUE,IF(input_program="",FALSE,SUMPRODUCT(--ISNUMBER(SEARCH(","&amp;TRIM(TEXTSPLIT(HK94,","))&amp;",",","&amp;SUBSTITUTE(input_program," ","")&amp;",")))&gt;0)),IF(HM94="",TRUE,IF(input_program="",FALSE,SUMPRODUCT(--ISNUMBER(SEARCH(","&amp;TRIM(TEXTSPLIT(HM94,","))&amp;",",","&amp;SUBSTITUTE(input_program," ","")&amp;",")))=COUNTA(TEXTSPLIT(HM94,",")))))</f>
        <v/>
      </c>
      <c r="JO94">
        <f>AND(IF(HO94="",TRUE,IF(input_story_categories="",FALSE,SUMPRODUCT(--ISNUMBER(SEARCH(","&amp;TRIM(TEXTSPLIT(HO94,","))&amp;",",","&amp;SUBSTITUTE(input_story_categories," ","")&amp;",")))&gt;0)),IF(HQ94="",TRUE,IF(input_story_categories="",FALSE,SUMPRODUCT(--ISNUMBER(SEARCH(","&amp;TRIM(TEXTSPLIT(HQ94,","))&amp;",",","&amp;SUBSTITUTE(input_story_categories," ","")&amp;",")))=COUNTA(TEXTSPLIT(HQ94,",")))),IF(HS94="",TRUE,IF(input_story_categories="",TRUE,SUMPRODUCT(--ISNUMBER(SEARCH(","&amp;TRIM(TEXTSPLIT(HS94,","))&amp;",",","&amp;SUBSTITUTE(input_story_categories," ","")&amp;",")))=0)),IF(HU94="",TRUE,IF(input_story_categories="",FALSE,SUMPRODUCT(--ISNUMBER(SEARCH(","&amp;TRIM(TEXTSPLIT(HU94,","))&amp;",",","&amp;SUBSTITUTE(input_story_categories," ","")&amp;",")))&gt;0)),IF(HW94="",TRUE,IF(input_story_categories="",FALSE,SUMPRODUCT(--ISNUMBER(SEARCH(","&amp;TRIM(TEXTSPLIT(HW94,","))&amp;",",","&amp;SUBSTITUTE(input_story_categories," ","")&amp;",")))=COUNTA(TEXTSPLIT(HW94,",")))))</f>
        <v/>
      </c>
      <c r="JP94">
        <f>AND(IF(HY94="",TRUE,IF(input_story_type="",FALSE,SUMPRODUCT(--ISNUMBER(SEARCH(","&amp;TRIM(TEXTSPLIT(HY94,","))&amp;",",","&amp;SUBSTITUTE(input_story_type," ","")&amp;",")))&gt;0)),IF(IA94="",TRUE,IF(input_story_type="",FALSE,SUMPRODUCT(--ISNUMBER(SEARCH(","&amp;TRIM(TEXTSPLIT(IA94,","))&amp;",",","&amp;SUBSTITUTE(input_story_type," ","")&amp;",")))=COUNTA(TEXTSPLIT(IA94,",")))),IF(IC94="",TRUE,IF(input_story_type="",TRUE,SUMPRODUCT(--ISNUMBER(SEARCH(","&amp;TRIM(TEXTSPLIT(IC94,","))&amp;",",","&amp;SUBSTITUTE(input_story_type," ","")&amp;",")))=0)),IF(IE94="",TRUE,IF(input_story_type="",FALSE,SUMPRODUCT(--ISNUMBER(SEARCH(","&amp;TRIM(TEXTSPLIT(IE94,","))&amp;",",","&amp;SUBSTITUTE(input_story_type," ","")&amp;",")))&gt;0)),IF(IG94="",TRUE,IF(input_story_type="",FALSE,SUMPRODUCT(--ISNUMBER(SEARCH(","&amp;TRIM(TEXTSPLIT(IG94,","))&amp;",",","&amp;SUBSTITUTE(input_story_type," ","")&amp;",")))=COUNTA(TEXTSPLIT(IG94,",")))))</f>
        <v/>
      </c>
      <c r="JQ94">
        <f>AND(IF(II94="",TRUE,IF(input_topics="",FALSE,SUMPRODUCT(--ISNUMBER(SEARCH(","&amp;TRIM(TEXTSPLIT(II94,","))&amp;",",","&amp;SUBSTITUTE(input_topics," ","")&amp;",")))&gt;0)),IF(IK94="",TRUE,IF(input_topics="",FALSE,SUMPRODUCT(--ISNUMBER(SEARCH(","&amp;TRIM(TEXTSPLIT(IK94,","))&amp;",",","&amp;SUBSTITUTE(input_topics," ","")&amp;",")))=COUNTA(TEXTSPLIT(IK94,",")))),IF(IM94="",TRUE,IF(input_topics="",TRUE,SUMPRODUCT(--ISNUMBER(SEARCH(","&amp;TRIM(TEXTSPLIT(IM94,","))&amp;",",","&amp;SUBSTITUTE(input_topics," ","")&amp;",")))=0)),IF(IO94="",TRUE,IF(input_topics="",FALSE,SUMPRODUCT(--ISNUMBER(SEARCH(","&amp;TRIM(TEXTSPLIT(IO94,","))&amp;",",","&amp;SUBSTITUTE(input_topics," ","")&amp;",")))&gt;0)),IF(IQ94="",TRUE,IF(input_topics="",FALSE,SUMPRODUCT(--ISNUMBER(SEARCH(","&amp;TRIM(TEXTSPLIT(IQ94,","))&amp;",",","&amp;SUBSTITUTE(input_topics," ","")&amp;",")))=COUNTA(TEXTSPLIT(IQ94,",")))))</f>
        <v/>
      </c>
    </row>
    <row r="95">
      <c r="A95" s="4">
        <f>IF(NOT(IS95),"Excluded",IF(AND(IT95,IU95,IV95,IW95,IX95,IY95,IZ95,JA95,JB95,JC95,JD95,JE95,JF95,JG95,JH95,JI95,JJ95,JK95,JL95,JM95,JN95,JO95,JP95,JQ95),IF(I95&gt;0,"Eligible but limited","Will appear"),"Excluded"))</f>
        <v/>
      </c>
      <c r="B95" s="4" t="inlineStr">
        <is>
          <t>Embed</t>
        </is>
      </c>
      <c r="C95" s="4" t="inlineStr">
        <is>
          <t>/podcasts/impact-innovation</t>
        </is>
      </c>
      <c r="D95" s="4" t="inlineStr">
        <is>
          <t>/podcasts/impact-innovation</t>
        </is>
      </c>
      <c r="E95" s="4" t="n">
        <v>1</v>
      </c>
      <c r="F95" s="4" t="inlineStr">
        <is>
          <t>podcast</t>
        </is>
      </c>
      <c r="G95" s="4" t="inlineStr">
        <is>
          <t>podcast_list</t>
        </is>
      </c>
      <c r="H95" s="4" t="inlineStr">
        <is>
          <t>embed_list</t>
        </is>
      </c>
      <c r="I95" s="4" t="n">
        <v>10</v>
      </c>
      <c r="J95" s="4" t="inlineStr">
        <is>
          <t>Explicit args</t>
        </is>
      </c>
      <c r="K95" s="4" t="inlineStr">
        <is>
          <t>Page placement</t>
        </is>
      </c>
      <c r="L95" s="4" t="inlineStr">
        <is>
          <t>Content type: podcast; Limited to 10 item(s); Source: Explicit args</t>
        </is>
      </c>
      <c r="M95" t="inlineStr"/>
      <c r="N95" t="inlineStr"/>
      <c r="O95" t="inlineStr"/>
      <c r="P95" t="inlineStr"/>
      <c r="Q95" t="inlineStr"/>
      <c r="R95" t="inlineStr"/>
      <c r="S95" t="inlineStr"/>
      <c r="T95" t="inlineStr"/>
      <c r="U95" t="inlineStr"/>
      <c r="V95" t="inlineStr"/>
      <c r="W95" t="inlineStr"/>
      <c r="X95" t="inlineStr"/>
      <c r="Y95" t="inlineStr"/>
      <c r="Z95" t="inlineStr"/>
      <c r="AA95" t="inlineStr"/>
      <c r="AB95" t="inlineStr"/>
      <c r="AC95" t="inlineStr"/>
      <c r="AD95" t="inlineStr"/>
      <c r="AE95" t="inlineStr"/>
      <c r="AF95" t="inlineStr"/>
      <c r="AG95" t="inlineStr"/>
      <c r="AH95" t="inlineStr"/>
      <c r="AI95" t="inlineStr"/>
      <c r="AJ95" t="inlineStr"/>
      <c r="AK95" t="inlineStr"/>
      <c r="AL95" t="inlineStr"/>
      <c r="AM95" t="inlineStr"/>
      <c r="AN95" t="inlineStr"/>
      <c r="AO95" t="inlineStr"/>
      <c r="AP95" t="inlineStr"/>
      <c r="AQ95" t="inlineStr"/>
      <c r="AR95" t="inlineStr"/>
      <c r="AS95" t="inlineStr"/>
      <c r="AT95" t="inlineStr"/>
      <c r="AU95" t="inlineStr"/>
      <c r="AV95" t="inlineStr"/>
      <c r="AW95" t="inlineStr"/>
      <c r="AX95" t="inlineStr"/>
      <c r="AY95" t="inlineStr"/>
      <c r="AZ95" t="inlineStr"/>
      <c r="BA95" t="inlineStr"/>
      <c r="BB95" t="inlineStr"/>
      <c r="BC95" t="inlineStr"/>
      <c r="BD95" t="inlineStr"/>
      <c r="BE95" t="inlineStr"/>
      <c r="BF95" t="inlineStr"/>
      <c r="BG95" t="inlineStr"/>
      <c r="BH95" t="inlineStr"/>
      <c r="BI95" t="inlineStr"/>
      <c r="BJ95" t="inlineStr"/>
      <c r="BK95" t="inlineStr"/>
      <c r="BL95" t="inlineStr"/>
      <c r="BM95" t="inlineStr"/>
      <c r="BN95" t="inlineStr"/>
      <c r="BO95" t="inlineStr"/>
      <c r="BP95" t="inlineStr"/>
      <c r="BQ95" t="inlineStr"/>
      <c r="BR95" t="inlineStr"/>
      <c r="BS95" t="inlineStr"/>
      <c r="BT95" t="inlineStr"/>
      <c r="BU95" t="inlineStr"/>
      <c r="BV95" t="inlineStr"/>
      <c r="BW95" t="inlineStr"/>
      <c r="BX95" t="inlineStr"/>
      <c r="BY95" t="inlineStr"/>
      <c r="BZ95" t="inlineStr"/>
      <c r="CA95" t="inlineStr"/>
      <c r="CB95" t="inlineStr"/>
      <c r="CC95" t="inlineStr"/>
      <c r="CD95" t="inlineStr"/>
      <c r="CE95" t="inlineStr"/>
      <c r="CF95" t="inlineStr"/>
      <c r="CG95" t="inlineStr"/>
      <c r="CH95" t="inlineStr"/>
      <c r="CI95" t="inlineStr"/>
      <c r="CJ95" t="inlineStr"/>
      <c r="CK95" t="inlineStr"/>
      <c r="CL95" t="inlineStr"/>
      <c r="CM95" t="inlineStr"/>
      <c r="CN95" t="inlineStr"/>
      <c r="CO95" t="inlineStr"/>
      <c r="CP95" t="inlineStr"/>
      <c r="CQ95" t="inlineStr"/>
      <c r="CR95" t="inlineStr"/>
      <c r="CS95" t="inlineStr"/>
      <c r="CT95" t="inlineStr"/>
      <c r="CU95" t="inlineStr"/>
      <c r="CV95" t="inlineStr"/>
      <c r="CW95" t="inlineStr"/>
      <c r="CX95" t="inlineStr"/>
      <c r="CY95" t="inlineStr"/>
      <c r="CZ95" t="inlineStr"/>
      <c r="DA95" t="inlineStr"/>
      <c r="DB95" t="inlineStr"/>
      <c r="DC95" t="inlineStr"/>
      <c r="DD95" t="inlineStr"/>
      <c r="DE95" t="inlineStr"/>
      <c r="DF95" t="inlineStr"/>
      <c r="DG95" t="inlineStr"/>
      <c r="DH95" t="inlineStr"/>
      <c r="DI95" t="inlineStr"/>
      <c r="DJ95" t="inlineStr"/>
      <c r="DK95" t="inlineStr"/>
      <c r="DL95" t="inlineStr"/>
      <c r="DM95" t="inlineStr"/>
      <c r="DN95" t="inlineStr"/>
      <c r="DO95" t="inlineStr"/>
      <c r="DP95" t="inlineStr"/>
      <c r="DQ95" t="inlineStr"/>
      <c r="DR95" t="inlineStr"/>
      <c r="DS95" t="inlineStr"/>
      <c r="DT95" t="inlineStr"/>
      <c r="DU95" t="inlineStr"/>
      <c r="DV95" t="inlineStr"/>
      <c r="DW95" t="inlineStr"/>
      <c r="DX95" t="inlineStr"/>
      <c r="DY95" t="inlineStr"/>
      <c r="DZ95" t="inlineStr"/>
      <c r="EA95" t="inlineStr"/>
      <c r="EB95" t="inlineStr"/>
      <c r="EC95" t="inlineStr"/>
      <c r="ED95" t="inlineStr"/>
      <c r="EE95" t="inlineStr"/>
      <c r="EF95" t="inlineStr"/>
      <c r="EG95" t="inlineStr"/>
      <c r="EH95" t="inlineStr"/>
      <c r="EI95" t="inlineStr"/>
      <c r="EJ95" t="inlineStr"/>
      <c r="EK95" t="inlineStr"/>
      <c r="EL95" t="inlineStr"/>
      <c r="EM95" t="inlineStr"/>
      <c r="EN95" t="inlineStr"/>
      <c r="EO95" t="inlineStr"/>
      <c r="EP95" t="inlineStr"/>
      <c r="EQ95" t="inlineStr"/>
      <c r="ER95" t="inlineStr"/>
      <c r="ES95" t="inlineStr"/>
      <c r="ET95" t="inlineStr"/>
      <c r="EU95" t="inlineStr"/>
      <c r="EV95" t="inlineStr"/>
      <c r="EW95" t="inlineStr"/>
      <c r="EX95" t="inlineStr"/>
      <c r="EY95" t="inlineStr"/>
      <c r="EZ95" t="inlineStr"/>
      <c r="FA95" t="inlineStr"/>
      <c r="FB95" t="inlineStr"/>
      <c r="FC95" t="inlineStr"/>
      <c r="FD95" t="inlineStr"/>
      <c r="FE95" t="inlineStr"/>
      <c r="FF95" t="inlineStr"/>
      <c r="FG95" t="inlineStr"/>
      <c r="FH95" t="inlineStr"/>
      <c r="FI95" t="inlineStr"/>
      <c r="FJ95" t="inlineStr"/>
      <c r="FK95" t="inlineStr"/>
      <c r="FL95" t="inlineStr"/>
      <c r="FM95" t="inlineStr"/>
      <c r="FN95" t="inlineStr"/>
      <c r="FO95" t="inlineStr"/>
      <c r="FP95" t="inlineStr"/>
      <c r="FQ95" t="inlineStr"/>
      <c r="FR95" t="inlineStr"/>
      <c r="FS95" t="inlineStr"/>
      <c r="FT95" t="inlineStr"/>
      <c r="FU95" t="inlineStr"/>
      <c r="FV95" t="inlineStr"/>
      <c r="FW95" t="inlineStr"/>
      <c r="FX95" t="inlineStr"/>
      <c r="FY95" t="inlineStr"/>
      <c r="FZ95" t="inlineStr"/>
      <c r="GA95" t="inlineStr"/>
      <c r="GB95" t="inlineStr"/>
      <c r="GC95" t="inlineStr"/>
      <c r="GD95" t="inlineStr"/>
      <c r="GE95" t="inlineStr"/>
      <c r="GF95" t="inlineStr"/>
      <c r="GG95" t="inlineStr"/>
      <c r="GH95" t="inlineStr"/>
      <c r="GI95" t="inlineStr"/>
      <c r="GJ95" t="inlineStr"/>
      <c r="GK95" t="inlineStr"/>
      <c r="GL95" t="inlineStr"/>
      <c r="GM95" t="inlineStr"/>
      <c r="GN95" t="inlineStr"/>
      <c r="GO95" t="inlineStr"/>
      <c r="GP95" t="inlineStr"/>
      <c r="GQ95" t="inlineStr"/>
      <c r="GR95" t="inlineStr"/>
      <c r="GS95" t="inlineStr"/>
      <c r="GT95" t="inlineStr"/>
      <c r="GU95" t="inlineStr"/>
      <c r="GV95" t="inlineStr"/>
      <c r="GW95" t="inlineStr"/>
      <c r="GX95" t="inlineStr"/>
      <c r="GY95" t="inlineStr"/>
      <c r="GZ95" t="inlineStr"/>
      <c r="HA95" t="inlineStr"/>
      <c r="HB95" t="inlineStr"/>
      <c r="HC95" t="inlineStr"/>
      <c r="HD95" t="inlineStr"/>
      <c r="HE95" t="inlineStr"/>
      <c r="HF95" t="inlineStr"/>
      <c r="HG95" t="inlineStr"/>
      <c r="HH95" t="inlineStr"/>
      <c r="HI95" t="inlineStr"/>
      <c r="HJ95" t="inlineStr"/>
      <c r="HK95" t="inlineStr"/>
      <c r="HL95" t="inlineStr"/>
      <c r="HM95" t="inlineStr"/>
      <c r="HN95" t="inlineStr"/>
      <c r="HO95" t="inlineStr"/>
      <c r="HP95" t="inlineStr"/>
      <c r="HQ95" t="inlineStr"/>
      <c r="HR95" t="inlineStr"/>
      <c r="HS95" t="inlineStr"/>
      <c r="HT95" t="inlineStr"/>
      <c r="HU95" t="inlineStr"/>
      <c r="HV95" t="inlineStr"/>
      <c r="HW95" t="inlineStr"/>
      <c r="HX95" t="inlineStr"/>
      <c r="HY95" t="inlineStr"/>
      <c r="HZ95" t="inlineStr"/>
      <c r="IA95" t="inlineStr"/>
      <c r="IB95" t="inlineStr"/>
      <c r="IC95" t="inlineStr"/>
      <c r="ID95" t="inlineStr"/>
      <c r="IE95" t="inlineStr"/>
      <c r="IF95" t="inlineStr"/>
      <c r="IG95" t="inlineStr"/>
      <c r="IH95" t="inlineStr"/>
      <c r="II95" t="inlineStr"/>
      <c r="IJ95" t="inlineStr"/>
      <c r="IK95" t="inlineStr"/>
      <c r="IL95" t="inlineStr"/>
      <c r="IM95" t="inlineStr"/>
      <c r="IN95" t="inlineStr"/>
      <c r="IO95" t="inlineStr"/>
      <c r="IP95" t="inlineStr"/>
      <c r="IQ95" t="inlineStr"/>
      <c r="IR95" t="inlineStr"/>
      <c r="IS95">
        <f>IF(input_content_type="",FALSE,ISNUMBER(SEARCH(","&amp;LOWER(input_content_type)&amp;",",","&amp;LOWER(F95)&amp;",")))</f>
        <v/>
      </c>
      <c r="IT95">
        <f>AND(IF(M95="",TRUE,IF(input_affiliations="",FALSE,SUMPRODUCT(--ISNUMBER(SEARCH(","&amp;TRIM(TEXTSPLIT(M95,","))&amp;",",","&amp;SUBSTITUTE(input_affiliations," ","")&amp;",")))&gt;0)),IF(O95="",TRUE,IF(input_affiliations="",FALSE,SUMPRODUCT(--ISNUMBER(SEARCH(","&amp;TRIM(TEXTSPLIT(O95,","))&amp;",",","&amp;SUBSTITUTE(input_affiliations," ","")&amp;",")))=COUNTA(TEXTSPLIT(O95,",")))),IF(Q95="",TRUE,IF(input_affiliations="",TRUE,SUMPRODUCT(--ISNUMBER(SEARCH(","&amp;TRIM(TEXTSPLIT(Q95,","))&amp;",",","&amp;SUBSTITUTE(input_affiliations," ","")&amp;",")))=0)),IF(S95="",TRUE,IF(input_affiliations="",FALSE,SUMPRODUCT(--ISNUMBER(SEARCH(","&amp;TRIM(TEXTSPLIT(S95,","))&amp;",",","&amp;SUBSTITUTE(input_affiliations," ","")&amp;",")))&gt;0)),IF(U95="",TRUE,IF(input_affiliations="",FALSE,SUMPRODUCT(--ISNUMBER(SEARCH(","&amp;TRIM(TEXTSPLIT(U95,","))&amp;",",","&amp;SUBSTITUTE(input_affiliations," ","")&amp;",")))=COUNTA(TEXTSPLIT(U95,",")))))</f>
        <v/>
      </c>
      <c r="IU95">
        <f>AND(IF(W95="",TRUE,IF(input_announcement_category="",FALSE,SUMPRODUCT(--ISNUMBER(SEARCH(","&amp;TRIM(TEXTSPLIT(W95,","))&amp;",",","&amp;SUBSTITUTE(input_announcement_category," ","")&amp;",")))&gt;0)),IF(Y95="",TRUE,IF(input_announcement_category="",FALSE,SUMPRODUCT(--ISNUMBER(SEARCH(","&amp;TRIM(TEXTSPLIT(Y95,","))&amp;",",","&amp;SUBSTITUTE(input_announcement_category," ","")&amp;",")))=COUNTA(TEXTSPLIT(Y95,",")))),IF(AA95="",TRUE,IF(input_announcement_category="",TRUE,SUMPRODUCT(--ISNUMBER(SEARCH(","&amp;TRIM(TEXTSPLIT(AA95,","))&amp;",",","&amp;SUBSTITUTE(input_announcement_category," ","")&amp;",")))=0)),IF(AC95="",TRUE,IF(input_announcement_category="",FALSE,SUMPRODUCT(--ISNUMBER(SEARCH(","&amp;TRIM(TEXTSPLIT(AC95,","))&amp;",",","&amp;SUBSTITUTE(input_announcement_category," ","")&amp;",")))&gt;0)),IF(AE95="",TRUE,IF(input_announcement_category="",FALSE,SUMPRODUCT(--ISNUMBER(SEARCH(","&amp;TRIM(TEXTSPLIT(AE95,","))&amp;",",","&amp;SUBSTITUTE(input_announcement_category," ","")&amp;",")))=COUNTA(TEXTSPLIT(AE95,",")))))</f>
        <v/>
      </c>
      <c r="IV95">
        <f>AND(IF(AG95="",TRUE,IF(input_area_of_focus="",FALSE,SUMPRODUCT(--ISNUMBER(SEARCH(","&amp;TRIM(TEXTSPLIT(AG95,","))&amp;",",","&amp;SUBSTITUTE(input_area_of_focus," ","")&amp;",")))&gt;0)),IF(AI95="",TRUE,IF(input_area_of_focus="",FALSE,SUMPRODUCT(--ISNUMBER(SEARCH(","&amp;TRIM(TEXTSPLIT(AI95,","))&amp;",",","&amp;SUBSTITUTE(input_area_of_focus," ","")&amp;",")))=COUNTA(TEXTSPLIT(AI95,",")))),IF(AK95="",TRUE,IF(input_area_of_focus="",TRUE,SUMPRODUCT(--ISNUMBER(SEARCH(","&amp;TRIM(TEXTSPLIT(AK95,","))&amp;",",","&amp;SUBSTITUTE(input_area_of_focus," ","")&amp;",")))=0)),IF(AM95="",TRUE,IF(input_area_of_focus="",FALSE,SUMPRODUCT(--ISNUMBER(SEARCH(","&amp;TRIM(TEXTSPLIT(AM95,","))&amp;",",","&amp;SUBSTITUTE(input_area_of_focus," ","")&amp;",")))&gt;0)),IF(AO95="",TRUE,IF(input_area_of_focus="",FALSE,SUMPRODUCT(--ISNUMBER(SEARCH(","&amp;TRIM(TEXTSPLIT(AO95,","))&amp;",",","&amp;SUBSTITUTE(input_area_of_focus," ","")&amp;",")))=COUNTA(TEXTSPLIT(AO95,",")))))</f>
        <v/>
      </c>
      <c r="IW95">
        <f>AND(IF(AQ95="",TRUE,IF(input_audience="",FALSE,SUMPRODUCT(--ISNUMBER(SEARCH(","&amp;TRIM(TEXTSPLIT(AQ95,","))&amp;",",","&amp;SUBSTITUTE(input_audience," ","")&amp;",")))&gt;0)),IF(AS95="",TRUE,IF(input_audience="",FALSE,SUMPRODUCT(--ISNUMBER(SEARCH(","&amp;TRIM(TEXTSPLIT(AS95,","))&amp;",",","&amp;SUBSTITUTE(input_audience," ","")&amp;",")))=COUNTA(TEXTSPLIT(AS95,",")))),IF(AU95="",TRUE,IF(input_audience="",TRUE,SUMPRODUCT(--ISNUMBER(SEARCH(","&amp;TRIM(TEXTSPLIT(AU95,","))&amp;",",","&amp;SUBSTITUTE(input_audience," ","")&amp;",")))=0)),IF(AW95="",TRUE,IF(input_audience="",FALSE,SUMPRODUCT(--ISNUMBER(SEARCH(","&amp;TRIM(TEXTSPLIT(AW95,","))&amp;",",","&amp;SUBSTITUTE(input_audience," ","")&amp;",")))&gt;0)),IF(AY95="",TRUE,IF(input_audience="",FALSE,SUMPRODUCT(--ISNUMBER(SEARCH(","&amp;TRIM(TEXTSPLIT(AY95,","))&amp;",",","&amp;SUBSTITUTE(input_audience," ","")&amp;",")))=COUNTA(TEXTSPLIT(AY95,",")))))</f>
        <v/>
      </c>
      <c r="IX95">
        <f>AND(IF(BA95="",TRUE,IF(input_challenge_opportunities="",FALSE,SUMPRODUCT(--ISNUMBER(SEARCH(","&amp;TRIM(TEXTSPLIT(BA95,","))&amp;",",","&amp;SUBSTITUTE(input_challenge_opportunities," ","")&amp;",")))&gt;0)),IF(BC95="",TRUE,IF(input_challenge_opportunities="",FALSE,SUMPRODUCT(--ISNUMBER(SEARCH(","&amp;TRIM(TEXTSPLIT(BC95,","))&amp;",",","&amp;SUBSTITUTE(input_challenge_opportunities," ","")&amp;",")))=COUNTA(TEXTSPLIT(BC95,",")))),IF(BE95="",TRUE,IF(input_challenge_opportunities="",TRUE,SUMPRODUCT(--ISNUMBER(SEARCH(","&amp;TRIM(TEXTSPLIT(BE95,","))&amp;",",","&amp;SUBSTITUTE(input_challenge_opportunities," ","")&amp;",")))=0)),IF(BG95="",TRUE,IF(input_challenge_opportunities="",FALSE,SUMPRODUCT(--ISNUMBER(SEARCH(","&amp;TRIM(TEXTSPLIT(BG95,","))&amp;",",","&amp;SUBSTITUTE(input_challenge_opportunities," ","")&amp;",")))&gt;0)),IF(BI95="",TRUE,IF(input_challenge_opportunities="",FALSE,SUMPRODUCT(--ISNUMBER(SEARCH(","&amp;TRIM(TEXTSPLIT(BI95,","))&amp;",",","&amp;SUBSTITUTE(input_challenge_opportunities," ","")&amp;",")))=COUNTA(TEXTSPLIT(BI95,",")))))</f>
        <v/>
      </c>
      <c r="IY95">
        <f>AND(IF(BK95="",TRUE,IF(input_context="",FALSE,SUMPRODUCT(--ISNUMBER(SEARCH(","&amp;TRIM(TEXTSPLIT(BK95,","))&amp;",",","&amp;SUBSTITUTE(input_context," ","")&amp;",")))&gt;0)),IF(BM95="",TRUE,IF(input_context="",FALSE,SUMPRODUCT(--ISNUMBER(SEARCH(","&amp;TRIM(TEXTSPLIT(BM95,","))&amp;",",","&amp;SUBSTITUTE(input_context," ","")&amp;",")))=COUNTA(TEXTSPLIT(BM95,",")))),IF(BO95="",TRUE,IF(input_context="",TRUE,SUMPRODUCT(--ISNUMBER(SEARCH(","&amp;TRIM(TEXTSPLIT(BO95,","))&amp;",",","&amp;SUBSTITUTE(input_context," ","")&amp;",")))=0)),IF(BQ95="",TRUE,IF(input_context="",FALSE,SUMPRODUCT(--ISNUMBER(SEARCH(","&amp;TRIM(TEXTSPLIT(BQ95,","))&amp;",",","&amp;SUBSTITUTE(input_context," ","")&amp;",")))&gt;0)),IF(BS95="",TRUE,IF(input_context="",FALSE,SUMPRODUCT(--ISNUMBER(SEARCH(","&amp;TRIM(TEXTSPLIT(BS95,","))&amp;",",","&amp;SUBSTITUTE(input_context," ","")&amp;",")))=COUNTA(TEXTSPLIT(BS95,",")))))</f>
        <v/>
      </c>
      <c r="IZ95">
        <f>AND(IF(BU95="",TRUE,IF(input_enews_announcement_type="",FALSE,SUMPRODUCT(--ISNUMBER(SEARCH(","&amp;TRIM(TEXTSPLIT(BU95,","))&amp;",",","&amp;SUBSTITUTE(input_enews_announcement_type," ","")&amp;",")))&gt;0)),IF(BW95="",TRUE,IF(input_enews_announcement_type="",FALSE,SUMPRODUCT(--ISNUMBER(SEARCH(","&amp;TRIM(TEXTSPLIT(BW95,","))&amp;",",","&amp;SUBSTITUTE(input_enews_announcement_type," ","")&amp;",")))=COUNTA(TEXTSPLIT(BW95,",")))),IF(BY95="",TRUE,IF(input_enews_announcement_type="",TRUE,SUMPRODUCT(--ISNUMBER(SEARCH(","&amp;TRIM(TEXTSPLIT(BY95,","))&amp;",",","&amp;SUBSTITUTE(input_enews_announcement_type," ","")&amp;",")))=0)),IF(CA95="",TRUE,IF(input_enews_announcement_type="",FALSE,SUMPRODUCT(--ISNUMBER(SEARCH(","&amp;TRIM(TEXTSPLIT(CA95,","))&amp;",",","&amp;SUBSTITUTE(input_enews_announcement_type," ","")&amp;",")))&gt;0)),IF(CC95="",TRUE,IF(input_enews_announcement_type="",FALSE,SUMPRODUCT(--ISNUMBER(SEARCH(","&amp;TRIM(TEXTSPLIT(CC95,","))&amp;",",","&amp;SUBSTITUTE(input_enews_announcement_type," ","")&amp;",")))=COUNTA(TEXTSPLIT(CC95,",")))))</f>
        <v/>
      </c>
      <c r="JA95">
        <f>AND(IF(CE95="",TRUE,IF(input_enews_audience="",FALSE,SUMPRODUCT(--ISNUMBER(SEARCH(","&amp;TRIM(TEXTSPLIT(CE95,","))&amp;",",","&amp;SUBSTITUTE(input_enews_audience," ","")&amp;",")))&gt;0)),IF(CG95="",TRUE,IF(input_enews_audience="",FALSE,SUMPRODUCT(--ISNUMBER(SEARCH(","&amp;TRIM(TEXTSPLIT(CG95,","))&amp;",",","&amp;SUBSTITUTE(input_enews_audience," ","")&amp;",")))=COUNTA(TEXTSPLIT(CG95,",")))),IF(CI95="",TRUE,IF(input_enews_audience="",TRUE,SUMPRODUCT(--ISNUMBER(SEARCH(","&amp;TRIM(TEXTSPLIT(CI95,","))&amp;",",","&amp;SUBSTITUTE(input_enews_audience," ","")&amp;",")))=0)),IF(CK95="",TRUE,IF(input_enews_audience="",FALSE,SUMPRODUCT(--ISNUMBER(SEARCH(","&amp;TRIM(TEXTSPLIT(CK95,","))&amp;",",","&amp;SUBSTITUTE(input_enews_audience," ","")&amp;",")))&gt;0)),IF(CM95="",TRUE,IF(input_enews_audience="",FALSE,SUMPRODUCT(--ISNUMBER(SEARCH(","&amp;TRIM(TEXTSPLIT(CM95,","))&amp;",",","&amp;SUBSTITUTE(input_enews_audience," ","")&amp;",")))=COUNTA(TEXTSPLIT(CM95,",")))))</f>
        <v/>
      </c>
      <c r="JB95">
        <f>AND(IF(CO95="",TRUE,IF(input_event_location="",FALSE,SUMPRODUCT(--ISNUMBER(SEARCH(","&amp;TRIM(TEXTSPLIT(CO95,","))&amp;",",","&amp;SUBSTITUTE(input_event_location," ","")&amp;",")))&gt;0)),IF(CQ95="",TRUE,IF(input_event_location="",FALSE,SUMPRODUCT(--ISNUMBER(SEARCH(","&amp;TRIM(TEXTSPLIT(CQ95,","))&amp;",",","&amp;SUBSTITUTE(input_event_location," ","")&amp;",")))=COUNTA(TEXTSPLIT(CQ95,",")))),IF(CS95="",TRUE,IF(input_event_location="",TRUE,SUMPRODUCT(--ISNUMBER(SEARCH(","&amp;TRIM(TEXTSPLIT(CS95,","))&amp;",",","&amp;SUBSTITUTE(input_event_location," ","")&amp;",")))=0)),IF(CU95="",TRUE,IF(input_event_location="",FALSE,SUMPRODUCT(--ISNUMBER(SEARCH(","&amp;TRIM(TEXTSPLIT(CU95,","))&amp;",",","&amp;SUBSTITUTE(input_event_location," ","")&amp;",")))&gt;0)),IF(CW95="",TRUE,IF(input_event_location="",FALSE,SUMPRODUCT(--ISNUMBER(SEARCH(","&amp;TRIM(TEXTSPLIT(CW95,","))&amp;",",","&amp;SUBSTITUTE(input_event_location," ","")&amp;",")))=COUNTA(TEXTSPLIT(CW95,",")))))</f>
        <v/>
      </c>
      <c r="JC95">
        <f>AND(IF(CY95="",TRUE,IF(input_event_type="",FALSE,SUMPRODUCT(--ISNUMBER(SEARCH(","&amp;TRIM(TEXTSPLIT(CY95,","))&amp;",",","&amp;SUBSTITUTE(input_event_type," ","")&amp;",")))&gt;0)),IF(DA95="",TRUE,IF(input_event_type="",FALSE,SUMPRODUCT(--ISNUMBER(SEARCH(","&amp;TRIM(TEXTSPLIT(DA95,","))&amp;",",","&amp;SUBSTITUTE(input_event_type," ","")&amp;",")))=COUNTA(TEXTSPLIT(DA95,",")))),IF(DC95="",TRUE,IF(input_event_type="",TRUE,SUMPRODUCT(--ISNUMBER(SEARCH(","&amp;TRIM(TEXTSPLIT(DC95,","))&amp;",",","&amp;SUBSTITUTE(input_event_type," ","")&amp;",")))=0)),IF(DE95="",TRUE,IF(input_event_type="",FALSE,SUMPRODUCT(--ISNUMBER(SEARCH(","&amp;TRIM(TEXTSPLIT(DE95,","))&amp;",",","&amp;SUBSTITUTE(input_event_type," ","")&amp;",")))&gt;0)),IF(DG95="",TRUE,IF(input_event_type="",FALSE,SUMPRODUCT(--ISNUMBER(SEARCH(","&amp;TRIM(TEXTSPLIT(DG95,","))&amp;",",","&amp;SUBSTITUTE(input_event_type," ","")&amp;",")))=COUNTA(TEXTSPLIT(DG95,",")))))</f>
        <v/>
      </c>
      <c r="JD95">
        <f>AND(IF(DI95="",TRUE,IF(input_executive_education_focus="",FALSE,SUMPRODUCT(--ISNUMBER(SEARCH(","&amp;TRIM(TEXTSPLIT(DI95,","))&amp;",",","&amp;SUBSTITUTE(input_executive_education_focus," ","")&amp;",")))&gt;0)),IF(DK95="",TRUE,IF(input_executive_education_focus="",FALSE,SUMPRODUCT(--ISNUMBER(SEARCH(","&amp;TRIM(TEXTSPLIT(DK95,","))&amp;",",","&amp;SUBSTITUTE(input_executive_education_focus," ","")&amp;",")))=COUNTA(TEXTSPLIT(DK95,",")))),IF(DM95="",TRUE,IF(input_executive_education_focus="",TRUE,SUMPRODUCT(--ISNUMBER(SEARCH(","&amp;TRIM(TEXTSPLIT(DM95,","))&amp;",",","&amp;SUBSTITUTE(input_executive_education_focus," ","")&amp;",")))=0)),IF(DO95="",TRUE,IF(input_executive_education_focus="",FALSE,SUMPRODUCT(--ISNUMBER(SEARCH(","&amp;TRIM(TEXTSPLIT(DO95,","))&amp;",",","&amp;SUBSTITUTE(input_executive_education_focus," ","")&amp;",")))&gt;0)),IF(DQ95="",TRUE,IF(input_executive_education_focus="",FALSE,SUMPRODUCT(--ISNUMBER(SEARCH(","&amp;TRIM(TEXTSPLIT(DQ95,","))&amp;",",","&amp;SUBSTITUTE(input_executive_education_focus," ","")&amp;",")))=COUNTA(TEXTSPLIT(DQ95,",")))))</f>
        <v/>
      </c>
      <c r="JE95">
        <f>AND(IF(DS95="",TRUE,IF(input_faculty_category="",FALSE,SUMPRODUCT(--ISNUMBER(SEARCH(","&amp;TRIM(TEXTSPLIT(DS95,","))&amp;",",","&amp;SUBSTITUTE(input_faculty_category," ","")&amp;",")))&gt;0)),IF(DU95="",TRUE,IF(input_faculty_category="",FALSE,SUMPRODUCT(--ISNUMBER(SEARCH(","&amp;TRIM(TEXTSPLIT(DU95,","))&amp;",",","&amp;SUBSTITUTE(input_faculty_category," ","")&amp;",")))=COUNTA(TEXTSPLIT(DU95,",")))),IF(DW95="",TRUE,IF(input_faculty_category="",TRUE,SUMPRODUCT(--ISNUMBER(SEARCH(","&amp;TRIM(TEXTSPLIT(DW95,","))&amp;",",","&amp;SUBSTITUTE(input_faculty_category," ","")&amp;",")))=0)),IF(DY95="",TRUE,IF(input_faculty_category="",FALSE,SUMPRODUCT(--ISNUMBER(SEARCH(","&amp;TRIM(TEXTSPLIT(DY95,","))&amp;",",","&amp;SUBSTITUTE(input_faculty_category," ","")&amp;",")))&gt;0)),IF(EA95="",TRUE,IF(input_faculty_category="",FALSE,SUMPRODUCT(--ISNUMBER(SEARCH(","&amp;TRIM(TEXTSPLIT(EA95,","))&amp;",",","&amp;SUBSTITUTE(input_faculty_category," ","")&amp;",")))=COUNTA(TEXTSPLIT(EA95,",")))))</f>
        <v/>
      </c>
      <c r="JF95">
        <f>AND(IF(EC95="",TRUE,IF(input_faculty_discipline="",FALSE,SUMPRODUCT(--ISNUMBER(SEARCH(","&amp;TRIM(TEXTSPLIT(EC95,","))&amp;",",","&amp;SUBSTITUTE(input_faculty_discipline," ","")&amp;",")))&gt;0)),IF(EE95="",TRUE,IF(input_faculty_discipline="",FALSE,SUMPRODUCT(--ISNUMBER(SEARCH(","&amp;TRIM(TEXTSPLIT(EE95,","))&amp;",",","&amp;SUBSTITUTE(input_faculty_discipline," ","")&amp;",")))=COUNTA(TEXTSPLIT(EE95,",")))),IF(EG95="",TRUE,IF(input_faculty_discipline="",TRUE,SUMPRODUCT(--ISNUMBER(SEARCH(","&amp;TRIM(TEXTSPLIT(EG95,","))&amp;",",","&amp;SUBSTITUTE(input_faculty_discipline," ","")&amp;",")))=0)),IF(EI95="",TRUE,IF(input_faculty_discipline="",FALSE,SUMPRODUCT(--ISNUMBER(SEARCH(","&amp;TRIM(TEXTSPLIT(EI95,","))&amp;",",","&amp;SUBSTITUTE(input_faculty_discipline," ","")&amp;",")))&gt;0)),IF(EK95="",TRUE,IF(input_faculty_discipline="",FALSE,SUMPRODUCT(--ISNUMBER(SEARCH(","&amp;TRIM(TEXTSPLIT(EK95,","))&amp;",",","&amp;SUBSTITUTE(input_faculty_discipline," ","")&amp;",")))=COUNTA(TEXTSPLIT(EK95,",")))))</f>
        <v/>
      </c>
      <c r="JG95">
        <f>AND(IF(EM95="",TRUE,IF(input_faculty_expertise="",FALSE,SUMPRODUCT(--ISNUMBER(SEARCH(","&amp;TRIM(TEXTSPLIT(EM95,","))&amp;",",","&amp;SUBSTITUTE(input_faculty_expertise," ","")&amp;",")))&gt;0)),IF(EO95="",TRUE,IF(input_faculty_expertise="",FALSE,SUMPRODUCT(--ISNUMBER(SEARCH(","&amp;TRIM(TEXTSPLIT(EO95,","))&amp;",",","&amp;SUBSTITUTE(input_faculty_expertise," ","")&amp;",")))=COUNTA(TEXTSPLIT(EO95,",")))),IF(EQ95="",TRUE,IF(input_faculty_expertise="",TRUE,SUMPRODUCT(--ISNUMBER(SEARCH(","&amp;TRIM(TEXTSPLIT(EQ95,","))&amp;",",","&amp;SUBSTITUTE(input_faculty_expertise," ","")&amp;",")))=0)),IF(ES95="",TRUE,IF(input_faculty_expertise="",FALSE,SUMPRODUCT(--ISNUMBER(SEARCH(","&amp;TRIM(TEXTSPLIT(ES95,","))&amp;",",","&amp;SUBSTITUTE(input_faculty_expertise," ","")&amp;",")))&gt;0)),IF(EU95="",TRUE,IF(input_faculty_expertise="",FALSE,SUMPRODUCT(--ISNUMBER(SEARCH(","&amp;TRIM(TEXTSPLIT(EU95,","))&amp;",",","&amp;SUBSTITUTE(input_faculty_expertise," ","")&amp;",")))=COUNTA(TEXTSPLIT(EU95,",")))))</f>
        <v/>
      </c>
      <c r="JH95">
        <f>AND(IF(EW95="",TRUE,IF(input_global_network_school="",FALSE,SUMPRODUCT(--ISNUMBER(SEARCH(","&amp;TRIM(TEXTSPLIT(EW95,","))&amp;",",","&amp;SUBSTITUTE(input_global_network_school," ","")&amp;",")))&gt;0)),IF(EY95="",TRUE,IF(input_global_network_school="",FALSE,SUMPRODUCT(--ISNUMBER(SEARCH(","&amp;TRIM(TEXTSPLIT(EY95,","))&amp;",",","&amp;SUBSTITUTE(input_global_network_school," ","")&amp;",")))=COUNTA(TEXTSPLIT(EY95,",")))),IF(FA95="",TRUE,IF(input_global_network_school="",TRUE,SUMPRODUCT(--ISNUMBER(SEARCH(","&amp;TRIM(TEXTSPLIT(FA95,","))&amp;",",","&amp;SUBSTITUTE(input_global_network_school," ","")&amp;",")))=0)),IF(FC95="",TRUE,IF(input_global_network_school="",FALSE,SUMPRODUCT(--ISNUMBER(SEARCH(","&amp;TRIM(TEXTSPLIT(FC95,","))&amp;",",","&amp;SUBSTITUTE(input_global_network_school," ","")&amp;",")))&gt;0)),IF(FE95="",TRUE,IF(input_global_network_school="",FALSE,SUMPRODUCT(--ISNUMBER(SEARCH(","&amp;TRIM(TEXTSPLIT(FE95,","))&amp;",",","&amp;SUBSTITUTE(input_global_network_school," ","")&amp;",")))=COUNTA(TEXTSPLIT(FE95,",")))))</f>
        <v/>
      </c>
      <c r="JI95">
        <f>AND(IF(FG95="",TRUE,IF(input_industry="",FALSE,SUMPRODUCT(--ISNUMBER(SEARCH(","&amp;TRIM(TEXTSPLIT(FG95,","))&amp;",",","&amp;SUBSTITUTE(input_industry," ","")&amp;",")))&gt;0)),IF(FI95="",TRUE,IF(input_industry="",FALSE,SUMPRODUCT(--ISNUMBER(SEARCH(","&amp;TRIM(TEXTSPLIT(FI95,","))&amp;",",","&amp;SUBSTITUTE(input_industry," ","")&amp;",")))=COUNTA(TEXTSPLIT(FI95,",")))),IF(FK95="",TRUE,IF(input_industry="",TRUE,SUMPRODUCT(--ISNUMBER(SEARCH(","&amp;TRIM(TEXTSPLIT(FK95,","))&amp;",",","&amp;SUBSTITUTE(input_industry," ","")&amp;",")))=0)),IF(FM95="",TRUE,IF(input_industry="",FALSE,SUMPRODUCT(--ISNUMBER(SEARCH(","&amp;TRIM(TEXTSPLIT(FM95,","))&amp;",",","&amp;SUBSTITUTE(input_industry," ","")&amp;",")))&gt;0)),IF(FO95="",TRUE,IF(input_industry="",FALSE,SUMPRODUCT(--ISNUMBER(SEARCH(","&amp;TRIM(TEXTSPLIT(FO95,","))&amp;",",","&amp;SUBSTITUTE(input_industry," ","")&amp;",")))=COUNTA(TEXTSPLIT(FO95,",")))))</f>
        <v/>
      </c>
      <c r="JJ95">
        <f>AND(IF(FQ95="",TRUE,IF(input_location="",FALSE,SUMPRODUCT(--ISNUMBER(SEARCH(","&amp;TRIM(TEXTSPLIT(FQ95,","))&amp;",",","&amp;SUBSTITUTE(input_location," ","")&amp;",")))&gt;0)),IF(FS95="",TRUE,IF(input_location="",FALSE,SUMPRODUCT(--ISNUMBER(SEARCH(","&amp;TRIM(TEXTSPLIT(FS95,","))&amp;",",","&amp;SUBSTITUTE(input_location," ","")&amp;",")))=COUNTA(TEXTSPLIT(FS95,",")))),IF(FU95="",TRUE,IF(input_location="",TRUE,SUMPRODUCT(--ISNUMBER(SEARCH(","&amp;TRIM(TEXTSPLIT(FU95,","))&amp;",",","&amp;SUBSTITUTE(input_location," ","")&amp;",")))=0)),IF(FW95="",TRUE,IF(input_location="",FALSE,SUMPRODUCT(--ISNUMBER(SEARCH(","&amp;TRIM(TEXTSPLIT(FW95,","))&amp;",",","&amp;SUBSTITUTE(input_location," ","")&amp;",")))&gt;0)),IF(FY95="",TRUE,IF(input_location="",FALSE,SUMPRODUCT(--ISNUMBER(SEARCH(","&amp;TRIM(TEXTSPLIT(FY95,","))&amp;",",","&amp;SUBSTITUTE(input_location," ","")&amp;",")))=COUNTA(TEXTSPLIT(FY95,",")))))</f>
        <v/>
      </c>
      <c r="JK95">
        <f>AND(IF(GA95="",TRUE,IF(input_modality="",FALSE,SUMPRODUCT(--ISNUMBER(SEARCH(","&amp;TRIM(TEXTSPLIT(GA95,","))&amp;",",","&amp;SUBSTITUTE(input_modality," ","")&amp;",")))&gt;0)),IF(GC95="",TRUE,IF(input_modality="",FALSE,SUMPRODUCT(--ISNUMBER(SEARCH(","&amp;TRIM(TEXTSPLIT(GC95,","))&amp;",",","&amp;SUBSTITUTE(input_modality," ","")&amp;",")))=COUNTA(TEXTSPLIT(GC95,",")))),IF(GE95="",TRUE,IF(input_modality="",TRUE,SUMPRODUCT(--ISNUMBER(SEARCH(","&amp;TRIM(TEXTSPLIT(GE95,","))&amp;",",","&amp;SUBSTITUTE(input_modality," ","")&amp;",")))=0)),IF(GG95="",TRUE,IF(input_modality="",FALSE,SUMPRODUCT(--ISNUMBER(SEARCH(","&amp;TRIM(TEXTSPLIT(GG95,","))&amp;",",","&amp;SUBSTITUTE(input_modality," ","")&amp;",")))&gt;0)),IF(GI95="",TRUE,IF(input_modality="",FALSE,SUMPRODUCT(--ISNUMBER(SEARCH(","&amp;TRIM(TEXTSPLIT(GI95,","))&amp;",",","&amp;SUBSTITUTE(input_modality," ","")&amp;",")))=COUNTA(TEXTSPLIT(GI95,",")))))</f>
        <v/>
      </c>
      <c r="JL95">
        <f>AND(IF(GK95="",TRUE,IF(input_organizer="",FALSE,SUMPRODUCT(--ISNUMBER(SEARCH(","&amp;TRIM(TEXTSPLIT(GK95,","))&amp;",",","&amp;SUBSTITUTE(input_organizer," ","")&amp;",")))&gt;0)),IF(GM95="",TRUE,IF(input_organizer="",FALSE,SUMPRODUCT(--ISNUMBER(SEARCH(","&amp;TRIM(TEXTSPLIT(GM95,","))&amp;",",","&amp;SUBSTITUTE(input_organizer," ","")&amp;",")))=COUNTA(TEXTSPLIT(GM95,",")))),IF(GO95="",TRUE,IF(input_organizer="",TRUE,SUMPRODUCT(--ISNUMBER(SEARCH(","&amp;TRIM(TEXTSPLIT(GO95,","))&amp;",",","&amp;SUBSTITUTE(input_organizer," ","")&amp;",")))=0)),IF(GQ95="",TRUE,IF(input_organizer="",FALSE,SUMPRODUCT(--ISNUMBER(SEARCH(","&amp;TRIM(TEXTSPLIT(GQ95,","))&amp;",",","&amp;SUBSTITUTE(input_organizer," ","")&amp;",")))&gt;0)),IF(GS95="",TRUE,IF(input_organizer="",FALSE,SUMPRODUCT(--ISNUMBER(SEARCH(","&amp;TRIM(TEXTSPLIT(GS95,","))&amp;",",","&amp;SUBSTITUTE(input_organizer," ","")&amp;",")))=COUNTA(TEXTSPLIT(GS95,",")))))</f>
        <v/>
      </c>
      <c r="JM95">
        <f>AND(IF(GU95="",TRUE,IF(input_profile_type="",FALSE,SUMPRODUCT(--ISNUMBER(SEARCH(","&amp;TRIM(TEXTSPLIT(GU95,","))&amp;",",","&amp;SUBSTITUTE(input_profile_type," ","")&amp;",")))&gt;0)),IF(GW95="",TRUE,IF(input_profile_type="",FALSE,SUMPRODUCT(--ISNUMBER(SEARCH(","&amp;TRIM(TEXTSPLIT(GW95,","))&amp;",",","&amp;SUBSTITUTE(input_profile_type," ","")&amp;",")))=COUNTA(TEXTSPLIT(GW95,",")))),IF(GY95="",TRUE,IF(input_profile_type="",TRUE,SUMPRODUCT(--ISNUMBER(SEARCH(","&amp;TRIM(TEXTSPLIT(GY95,","))&amp;",",","&amp;SUBSTITUTE(input_profile_type," ","")&amp;",")))=0)),IF(HA95="",TRUE,IF(input_profile_type="",FALSE,SUMPRODUCT(--ISNUMBER(SEARCH(","&amp;TRIM(TEXTSPLIT(HA95,","))&amp;",",","&amp;SUBSTITUTE(input_profile_type," ","")&amp;",")))&gt;0)),IF(HC95="",TRUE,IF(input_profile_type="",FALSE,SUMPRODUCT(--ISNUMBER(SEARCH(","&amp;TRIM(TEXTSPLIT(HC95,","))&amp;",",","&amp;SUBSTITUTE(input_profile_type," ","")&amp;",")))=COUNTA(TEXTSPLIT(HC95,",")))))</f>
        <v/>
      </c>
      <c r="JN95">
        <f>AND(IF(HE95="",TRUE,IF(input_program="",FALSE,SUMPRODUCT(--ISNUMBER(SEARCH(","&amp;TRIM(TEXTSPLIT(HE95,","))&amp;",",","&amp;SUBSTITUTE(input_program," ","")&amp;",")))&gt;0)),IF(HG95="",TRUE,IF(input_program="",FALSE,SUMPRODUCT(--ISNUMBER(SEARCH(","&amp;TRIM(TEXTSPLIT(HG95,","))&amp;",",","&amp;SUBSTITUTE(input_program," ","")&amp;",")))=COUNTA(TEXTSPLIT(HG95,",")))),IF(HI95="",TRUE,IF(input_program="",TRUE,SUMPRODUCT(--ISNUMBER(SEARCH(","&amp;TRIM(TEXTSPLIT(HI95,","))&amp;",",","&amp;SUBSTITUTE(input_program," ","")&amp;",")))=0)),IF(HK95="",TRUE,IF(input_program="",FALSE,SUMPRODUCT(--ISNUMBER(SEARCH(","&amp;TRIM(TEXTSPLIT(HK95,","))&amp;",",","&amp;SUBSTITUTE(input_program," ","")&amp;",")))&gt;0)),IF(HM95="",TRUE,IF(input_program="",FALSE,SUMPRODUCT(--ISNUMBER(SEARCH(","&amp;TRIM(TEXTSPLIT(HM95,","))&amp;",",","&amp;SUBSTITUTE(input_program," ","")&amp;",")))=COUNTA(TEXTSPLIT(HM95,",")))))</f>
        <v/>
      </c>
      <c r="JO95">
        <f>AND(IF(HO95="",TRUE,IF(input_story_categories="",FALSE,SUMPRODUCT(--ISNUMBER(SEARCH(","&amp;TRIM(TEXTSPLIT(HO95,","))&amp;",",","&amp;SUBSTITUTE(input_story_categories," ","")&amp;",")))&gt;0)),IF(HQ95="",TRUE,IF(input_story_categories="",FALSE,SUMPRODUCT(--ISNUMBER(SEARCH(","&amp;TRIM(TEXTSPLIT(HQ95,","))&amp;",",","&amp;SUBSTITUTE(input_story_categories," ","")&amp;",")))=COUNTA(TEXTSPLIT(HQ95,",")))),IF(HS95="",TRUE,IF(input_story_categories="",TRUE,SUMPRODUCT(--ISNUMBER(SEARCH(","&amp;TRIM(TEXTSPLIT(HS95,","))&amp;",",","&amp;SUBSTITUTE(input_story_categories," ","")&amp;",")))=0)),IF(HU95="",TRUE,IF(input_story_categories="",FALSE,SUMPRODUCT(--ISNUMBER(SEARCH(","&amp;TRIM(TEXTSPLIT(HU95,","))&amp;",",","&amp;SUBSTITUTE(input_story_categories," ","")&amp;",")))&gt;0)),IF(HW95="",TRUE,IF(input_story_categories="",FALSE,SUMPRODUCT(--ISNUMBER(SEARCH(","&amp;TRIM(TEXTSPLIT(HW95,","))&amp;",",","&amp;SUBSTITUTE(input_story_categories," ","")&amp;",")))=COUNTA(TEXTSPLIT(HW95,",")))))</f>
        <v/>
      </c>
      <c r="JP95">
        <f>AND(IF(HY95="",TRUE,IF(input_story_type="",FALSE,SUMPRODUCT(--ISNUMBER(SEARCH(","&amp;TRIM(TEXTSPLIT(HY95,","))&amp;",",","&amp;SUBSTITUTE(input_story_type," ","")&amp;",")))&gt;0)),IF(IA95="",TRUE,IF(input_story_type="",FALSE,SUMPRODUCT(--ISNUMBER(SEARCH(","&amp;TRIM(TEXTSPLIT(IA95,","))&amp;",",","&amp;SUBSTITUTE(input_story_type," ","")&amp;",")))=COUNTA(TEXTSPLIT(IA95,",")))),IF(IC95="",TRUE,IF(input_story_type="",TRUE,SUMPRODUCT(--ISNUMBER(SEARCH(","&amp;TRIM(TEXTSPLIT(IC95,","))&amp;",",","&amp;SUBSTITUTE(input_story_type," ","")&amp;",")))=0)),IF(IE95="",TRUE,IF(input_story_type="",FALSE,SUMPRODUCT(--ISNUMBER(SEARCH(","&amp;TRIM(TEXTSPLIT(IE95,","))&amp;",",","&amp;SUBSTITUTE(input_story_type," ","")&amp;",")))&gt;0)),IF(IG95="",TRUE,IF(input_story_type="",FALSE,SUMPRODUCT(--ISNUMBER(SEARCH(","&amp;TRIM(TEXTSPLIT(IG95,","))&amp;",",","&amp;SUBSTITUTE(input_story_type," ","")&amp;",")))=COUNTA(TEXTSPLIT(IG95,",")))))</f>
        <v/>
      </c>
      <c r="JQ95">
        <f>AND(IF(II95="",TRUE,IF(input_topics="",FALSE,SUMPRODUCT(--ISNUMBER(SEARCH(","&amp;TRIM(TEXTSPLIT(II95,","))&amp;",",","&amp;SUBSTITUTE(input_topics," ","")&amp;",")))&gt;0)),IF(IK95="",TRUE,IF(input_topics="",FALSE,SUMPRODUCT(--ISNUMBER(SEARCH(","&amp;TRIM(TEXTSPLIT(IK95,","))&amp;",",","&amp;SUBSTITUTE(input_topics," ","")&amp;",")))=COUNTA(TEXTSPLIT(IK95,",")))),IF(IM95="",TRUE,IF(input_topics="",TRUE,SUMPRODUCT(--ISNUMBER(SEARCH(","&amp;TRIM(TEXTSPLIT(IM95,","))&amp;",",","&amp;SUBSTITUTE(input_topics," ","")&amp;",")))=0)),IF(IO95="",TRUE,IF(input_topics="",FALSE,SUMPRODUCT(--ISNUMBER(SEARCH(","&amp;TRIM(TEXTSPLIT(IO95,","))&amp;",",","&amp;SUBSTITUTE(input_topics," ","")&amp;",")))&gt;0)),IF(IQ95="",TRUE,IF(input_topics="",FALSE,SUMPRODUCT(--ISNUMBER(SEARCH(","&amp;TRIM(TEXTSPLIT(IQ95,","))&amp;",",","&amp;SUBSTITUTE(input_topics," ","")&amp;",")))=COUNTA(TEXTSPLIT(IQ95,",")))))</f>
        <v/>
      </c>
    </row>
    <row r="96">
      <c r="A96" s="4">
        <f>IF(NOT(IS96),"Excluded",IF(AND(IT96,IU96,IV96,IW96,IX96,IY96,IZ96,JA96,JB96,JC96,JD96,JE96,JF96,JG96,JH96,JI96,JJ96,JK96,JL96,JM96,JN96,JO96,JP96,JQ96),IF(I96&gt;0,"Eligible but limited","Will appear"),"Excluded"))</f>
        <v/>
      </c>
      <c r="B96" s="4" t="inlineStr">
        <is>
          <t>Embed</t>
        </is>
      </c>
      <c r="C96" s="4" t="inlineStr">
        <is>
          <t>/programs</t>
        </is>
      </c>
      <c r="D96" s="4" t="inlineStr">
        <is>
          <t>/programs</t>
        </is>
      </c>
      <c r="E96" s="4" t="n">
        <v>1</v>
      </c>
      <c r="F96" s="4" t="inlineStr">
        <is>
          <t>program</t>
        </is>
      </c>
      <c r="G96" s="4" t="inlineStr">
        <is>
          <t>programs_grid</t>
        </is>
      </c>
      <c r="H96" s="4" t="inlineStr">
        <is>
          <t>embed_1</t>
        </is>
      </c>
      <c r="I96" s="4" t="inlineStr"/>
      <c r="J96" s="4" t="inlineStr">
        <is>
          <t>View/config rules</t>
        </is>
      </c>
      <c r="K96" s="4" t="inlineStr">
        <is>
          <t>Page placement</t>
        </is>
      </c>
      <c r="L96" s="4" t="inlineStr">
        <is>
          <t>Content type: program; Source: View/config rules</t>
        </is>
      </c>
      <c r="M96" t="inlineStr"/>
      <c r="N96" t="inlineStr"/>
      <c r="O96" t="inlineStr"/>
      <c r="P96" t="inlineStr"/>
      <c r="Q96" t="inlineStr"/>
      <c r="R96" t="inlineStr"/>
      <c r="S96" t="inlineStr"/>
      <c r="T96" t="inlineStr"/>
      <c r="U96" t="inlineStr"/>
      <c r="V96" t="inlineStr"/>
      <c r="W96" t="inlineStr"/>
      <c r="X96" t="inlineStr"/>
      <c r="Y96" t="inlineStr"/>
      <c r="Z96" t="inlineStr"/>
      <c r="AA96" t="inlineStr"/>
      <c r="AB96" t="inlineStr"/>
      <c r="AC96" t="inlineStr"/>
      <c r="AD96" t="inlineStr"/>
      <c r="AE96" t="inlineStr"/>
      <c r="AF96" t="inlineStr"/>
      <c r="AG96" t="inlineStr"/>
      <c r="AH96" t="inlineStr"/>
      <c r="AI96" t="inlineStr"/>
      <c r="AJ96" t="inlineStr"/>
      <c r="AK96" t="inlineStr"/>
      <c r="AL96" t="inlineStr"/>
      <c r="AM96" t="inlineStr"/>
      <c r="AN96" t="inlineStr"/>
      <c r="AO96" t="inlineStr"/>
      <c r="AP96" t="inlineStr"/>
      <c r="AQ96" t="inlineStr"/>
      <c r="AR96" t="inlineStr"/>
      <c r="AS96" t="inlineStr"/>
      <c r="AT96" t="inlineStr"/>
      <c r="AU96" t="inlineStr"/>
      <c r="AV96" t="inlineStr"/>
      <c r="AW96" t="inlineStr"/>
      <c r="AX96" t="inlineStr"/>
      <c r="AY96" t="inlineStr"/>
      <c r="AZ96" t="inlineStr"/>
      <c r="BA96" t="inlineStr"/>
      <c r="BB96" t="inlineStr"/>
      <c r="BC96" t="inlineStr"/>
      <c r="BD96" t="inlineStr"/>
      <c r="BE96" t="inlineStr"/>
      <c r="BF96" t="inlineStr"/>
      <c r="BG96" t="inlineStr"/>
      <c r="BH96" t="inlineStr"/>
      <c r="BI96" t="inlineStr"/>
      <c r="BJ96" t="inlineStr"/>
      <c r="BK96" t="inlineStr"/>
      <c r="BL96" t="inlineStr"/>
      <c r="BM96" t="inlineStr"/>
      <c r="BN96" t="inlineStr"/>
      <c r="BO96" t="inlineStr"/>
      <c r="BP96" t="inlineStr"/>
      <c r="BQ96" t="inlineStr"/>
      <c r="BR96" t="inlineStr"/>
      <c r="BS96" t="inlineStr"/>
      <c r="BT96" t="inlineStr"/>
      <c r="BU96" t="inlineStr"/>
      <c r="BV96" t="inlineStr"/>
      <c r="BW96" t="inlineStr"/>
      <c r="BX96" t="inlineStr"/>
      <c r="BY96" t="inlineStr"/>
      <c r="BZ96" t="inlineStr"/>
      <c r="CA96" t="inlineStr"/>
      <c r="CB96" t="inlineStr"/>
      <c r="CC96" t="inlineStr"/>
      <c r="CD96" t="inlineStr"/>
      <c r="CE96" t="inlineStr"/>
      <c r="CF96" t="inlineStr"/>
      <c r="CG96" t="inlineStr"/>
      <c r="CH96" t="inlineStr"/>
      <c r="CI96" t="inlineStr"/>
      <c r="CJ96" t="inlineStr"/>
      <c r="CK96" t="inlineStr"/>
      <c r="CL96" t="inlineStr"/>
      <c r="CM96" t="inlineStr"/>
      <c r="CN96" t="inlineStr"/>
      <c r="CO96" t="inlineStr"/>
      <c r="CP96" t="inlineStr"/>
      <c r="CQ96" t="inlineStr"/>
      <c r="CR96" t="inlineStr"/>
      <c r="CS96" t="inlineStr"/>
      <c r="CT96" t="inlineStr"/>
      <c r="CU96" t="inlineStr"/>
      <c r="CV96" t="inlineStr"/>
      <c r="CW96" t="inlineStr"/>
      <c r="CX96" t="inlineStr"/>
      <c r="CY96" t="inlineStr"/>
      <c r="CZ96" t="inlineStr"/>
      <c r="DA96" t="inlineStr"/>
      <c r="DB96" t="inlineStr"/>
      <c r="DC96" t="inlineStr"/>
      <c r="DD96" t="inlineStr"/>
      <c r="DE96" t="inlineStr"/>
      <c r="DF96" t="inlineStr"/>
      <c r="DG96" t="inlineStr"/>
      <c r="DH96" t="inlineStr"/>
      <c r="DI96" t="inlineStr"/>
      <c r="DJ96" t="inlineStr"/>
      <c r="DK96" t="inlineStr"/>
      <c r="DL96" t="inlineStr"/>
      <c r="DM96" t="inlineStr"/>
      <c r="DN96" t="inlineStr"/>
      <c r="DO96" t="inlineStr"/>
      <c r="DP96" t="inlineStr"/>
      <c r="DQ96" t="inlineStr"/>
      <c r="DR96" t="inlineStr"/>
      <c r="DS96" t="inlineStr"/>
      <c r="DT96" t="inlineStr"/>
      <c r="DU96" t="inlineStr"/>
      <c r="DV96" t="inlineStr"/>
      <c r="DW96" t="inlineStr"/>
      <c r="DX96" t="inlineStr"/>
      <c r="DY96" t="inlineStr"/>
      <c r="DZ96" t="inlineStr"/>
      <c r="EA96" t="inlineStr"/>
      <c r="EB96" t="inlineStr"/>
      <c r="EC96" t="inlineStr"/>
      <c r="ED96" t="inlineStr"/>
      <c r="EE96" t="inlineStr"/>
      <c r="EF96" t="inlineStr"/>
      <c r="EG96" t="inlineStr"/>
      <c r="EH96" t="inlineStr"/>
      <c r="EI96" t="inlineStr"/>
      <c r="EJ96" t="inlineStr"/>
      <c r="EK96" t="inlineStr"/>
      <c r="EL96" t="inlineStr"/>
      <c r="EM96" t="inlineStr"/>
      <c r="EN96" t="inlineStr"/>
      <c r="EO96" t="inlineStr"/>
      <c r="EP96" t="inlineStr"/>
      <c r="EQ96" t="inlineStr"/>
      <c r="ER96" t="inlineStr"/>
      <c r="ES96" t="inlineStr"/>
      <c r="ET96" t="inlineStr"/>
      <c r="EU96" t="inlineStr"/>
      <c r="EV96" t="inlineStr"/>
      <c r="EW96" t="inlineStr"/>
      <c r="EX96" t="inlineStr"/>
      <c r="EY96" t="inlineStr"/>
      <c r="EZ96" t="inlineStr"/>
      <c r="FA96" t="inlineStr"/>
      <c r="FB96" t="inlineStr"/>
      <c r="FC96" t="inlineStr"/>
      <c r="FD96" t="inlineStr"/>
      <c r="FE96" t="inlineStr"/>
      <c r="FF96" t="inlineStr"/>
      <c r="FG96" t="inlineStr"/>
      <c r="FH96" t="inlineStr"/>
      <c r="FI96" t="inlineStr"/>
      <c r="FJ96" t="inlineStr"/>
      <c r="FK96" t="inlineStr"/>
      <c r="FL96" t="inlineStr"/>
      <c r="FM96" t="inlineStr"/>
      <c r="FN96" t="inlineStr"/>
      <c r="FO96" t="inlineStr"/>
      <c r="FP96" t="inlineStr"/>
      <c r="FQ96" t="inlineStr"/>
      <c r="FR96" t="inlineStr"/>
      <c r="FS96" t="inlineStr"/>
      <c r="FT96" t="inlineStr"/>
      <c r="FU96" t="inlineStr"/>
      <c r="FV96" t="inlineStr"/>
      <c r="FW96" t="inlineStr"/>
      <c r="FX96" t="inlineStr"/>
      <c r="FY96" t="inlineStr"/>
      <c r="FZ96" t="inlineStr"/>
      <c r="GA96" t="inlineStr"/>
      <c r="GB96" t="inlineStr"/>
      <c r="GC96" t="inlineStr"/>
      <c r="GD96" t="inlineStr"/>
      <c r="GE96" t="inlineStr"/>
      <c r="GF96" t="inlineStr"/>
      <c r="GG96" t="inlineStr"/>
      <c r="GH96" t="inlineStr"/>
      <c r="GI96" t="inlineStr"/>
      <c r="GJ96" t="inlineStr"/>
      <c r="GK96" t="inlineStr"/>
      <c r="GL96" t="inlineStr"/>
      <c r="GM96" t="inlineStr"/>
      <c r="GN96" t="inlineStr"/>
      <c r="GO96" t="inlineStr"/>
      <c r="GP96" t="inlineStr"/>
      <c r="GQ96" t="inlineStr"/>
      <c r="GR96" t="inlineStr"/>
      <c r="GS96" t="inlineStr"/>
      <c r="GT96" t="inlineStr"/>
      <c r="GU96" t="inlineStr"/>
      <c r="GV96" t="inlineStr"/>
      <c r="GW96" t="inlineStr"/>
      <c r="GX96" t="inlineStr"/>
      <c r="GY96" t="inlineStr"/>
      <c r="GZ96" t="inlineStr"/>
      <c r="HA96" t="inlineStr"/>
      <c r="HB96" t="inlineStr"/>
      <c r="HC96" t="inlineStr"/>
      <c r="HD96" t="inlineStr"/>
      <c r="HE96" t="inlineStr"/>
      <c r="HF96" t="inlineStr"/>
      <c r="HG96" t="inlineStr"/>
      <c r="HH96" t="inlineStr"/>
      <c r="HI96" t="inlineStr"/>
      <c r="HJ96" t="inlineStr"/>
      <c r="HK96" t="inlineStr"/>
      <c r="HL96" t="inlineStr"/>
      <c r="HM96" t="inlineStr"/>
      <c r="HN96" t="inlineStr"/>
      <c r="HO96" t="inlineStr"/>
      <c r="HP96" t="inlineStr"/>
      <c r="HQ96" t="inlineStr"/>
      <c r="HR96" t="inlineStr"/>
      <c r="HS96" t="inlineStr"/>
      <c r="HT96" t="inlineStr"/>
      <c r="HU96" t="inlineStr"/>
      <c r="HV96" t="inlineStr"/>
      <c r="HW96" t="inlineStr"/>
      <c r="HX96" t="inlineStr"/>
      <c r="HY96" t="inlineStr"/>
      <c r="HZ96" t="inlineStr"/>
      <c r="IA96" t="inlineStr"/>
      <c r="IB96" t="inlineStr"/>
      <c r="IC96" t="inlineStr"/>
      <c r="ID96" t="inlineStr"/>
      <c r="IE96" t="inlineStr"/>
      <c r="IF96" t="inlineStr"/>
      <c r="IG96" t="inlineStr"/>
      <c r="IH96" t="inlineStr"/>
      <c r="II96" t="inlineStr"/>
      <c r="IJ96" t="inlineStr"/>
      <c r="IK96" t="inlineStr"/>
      <c r="IL96" t="inlineStr"/>
      <c r="IM96" t="inlineStr"/>
      <c r="IN96" t="inlineStr"/>
      <c r="IO96" t="inlineStr"/>
      <c r="IP96" t="inlineStr"/>
      <c r="IQ96" t="inlineStr"/>
      <c r="IR96" t="inlineStr"/>
      <c r="IS96">
        <f>IF(input_content_type="",FALSE,ISNUMBER(SEARCH(","&amp;LOWER(input_content_type)&amp;",",","&amp;LOWER(F96)&amp;",")))</f>
        <v/>
      </c>
      <c r="IT96">
        <f>AND(IF(M96="",TRUE,IF(input_affiliations="",FALSE,SUMPRODUCT(--ISNUMBER(SEARCH(","&amp;TRIM(TEXTSPLIT(M96,","))&amp;",",","&amp;SUBSTITUTE(input_affiliations," ","")&amp;",")))&gt;0)),IF(O96="",TRUE,IF(input_affiliations="",FALSE,SUMPRODUCT(--ISNUMBER(SEARCH(","&amp;TRIM(TEXTSPLIT(O96,","))&amp;",",","&amp;SUBSTITUTE(input_affiliations," ","")&amp;",")))=COUNTA(TEXTSPLIT(O96,",")))),IF(Q96="",TRUE,IF(input_affiliations="",TRUE,SUMPRODUCT(--ISNUMBER(SEARCH(","&amp;TRIM(TEXTSPLIT(Q96,","))&amp;",",","&amp;SUBSTITUTE(input_affiliations," ","")&amp;",")))=0)),IF(S96="",TRUE,IF(input_affiliations="",FALSE,SUMPRODUCT(--ISNUMBER(SEARCH(","&amp;TRIM(TEXTSPLIT(S96,","))&amp;",",","&amp;SUBSTITUTE(input_affiliations," ","")&amp;",")))&gt;0)),IF(U96="",TRUE,IF(input_affiliations="",FALSE,SUMPRODUCT(--ISNUMBER(SEARCH(","&amp;TRIM(TEXTSPLIT(U96,","))&amp;",",","&amp;SUBSTITUTE(input_affiliations," ","")&amp;",")))=COUNTA(TEXTSPLIT(U96,",")))))</f>
        <v/>
      </c>
      <c r="IU96">
        <f>AND(IF(W96="",TRUE,IF(input_announcement_category="",FALSE,SUMPRODUCT(--ISNUMBER(SEARCH(","&amp;TRIM(TEXTSPLIT(W96,","))&amp;",",","&amp;SUBSTITUTE(input_announcement_category," ","")&amp;",")))&gt;0)),IF(Y96="",TRUE,IF(input_announcement_category="",FALSE,SUMPRODUCT(--ISNUMBER(SEARCH(","&amp;TRIM(TEXTSPLIT(Y96,","))&amp;",",","&amp;SUBSTITUTE(input_announcement_category," ","")&amp;",")))=COUNTA(TEXTSPLIT(Y96,",")))),IF(AA96="",TRUE,IF(input_announcement_category="",TRUE,SUMPRODUCT(--ISNUMBER(SEARCH(","&amp;TRIM(TEXTSPLIT(AA96,","))&amp;",",","&amp;SUBSTITUTE(input_announcement_category," ","")&amp;",")))=0)),IF(AC96="",TRUE,IF(input_announcement_category="",FALSE,SUMPRODUCT(--ISNUMBER(SEARCH(","&amp;TRIM(TEXTSPLIT(AC96,","))&amp;",",","&amp;SUBSTITUTE(input_announcement_category," ","")&amp;",")))&gt;0)),IF(AE96="",TRUE,IF(input_announcement_category="",FALSE,SUMPRODUCT(--ISNUMBER(SEARCH(","&amp;TRIM(TEXTSPLIT(AE96,","))&amp;",",","&amp;SUBSTITUTE(input_announcement_category," ","")&amp;",")))=COUNTA(TEXTSPLIT(AE96,",")))))</f>
        <v/>
      </c>
      <c r="IV96">
        <f>AND(IF(AG96="",TRUE,IF(input_area_of_focus="",FALSE,SUMPRODUCT(--ISNUMBER(SEARCH(","&amp;TRIM(TEXTSPLIT(AG96,","))&amp;",",","&amp;SUBSTITUTE(input_area_of_focus," ","")&amp;",")))&gt;0)),IF(AI96="",TRUE,IF(input_area_of_focus="",FALSE,SUMPRODUCT(--ISNUMBER(SEARCH(","&amp;TRIM(TEXTSPLIT(AI96,","))&amp;",",","&amp;SUBSTITUTE(input_area_of_focus," ","")&amp;",")))=COUNTA(TEXTSPLIT(AI96,",")))),IF(AK96="",TRUE,IF(input_area_of_focus="",TRUE,SUMPRODUCT(--ISNUMBER(SEARCH(","&amp;TRIM(TEXTSPLIT(AK96,","))&amp;",",","&amp;SUBSTITUTE(input_area_of_focus," ","")&amp;",")))=0)),IF(AM96="",TRUE,IF(input_area_of_focus="",FALSE,SUMPRODUCT(--ISNUMBER(SEARCH(","&amp;TRIM(TEXTSPLIT(AM96,","))&amp;",",","&amp;SUBSTITUTE(input_area_of_focus," ","")&amp;",")))&gt;0)),IF(AO96="",TRUE,IF(input_area_of_focus="",FALSE,SUMPRODUCT(--ISNUMBER(SEARCH(","&amp;TRIM(TEXTSPLIT(AO96,","))&amp;",",","&amp;SUBSTITUTE(input_area_of_focus," ","")&amp;",")))=COUNTA(TEXTSPLIT(AO96,",")))))</f>
        <v/>
      </c>
      <c r="IW96">
        <f>AND(IF(AQ96="",TRUE,IF(input_audience="",FALSE,SUMPRODUCT(--ISNUMBER(SEARCH(","&amp;TRIM(TEXTSPLIT(AQ96,","))&amp;",",","&amp;SUBSTITUTE(input_audience," ","")&amp;",")))&gt;0)),IF(AS96="",TRUE,IF(input_audience="",FALSE,SUMPRODUCT(--ISNUMBER(SEARCH(","&amp;TRIM(TEXTSPLIT(AS96,","))&amp;",",","&amp;SUBSTITUTE(input_audience," ","")&amp;",")))=COUNTA(TEXTSPLIT(AS96,",")))),IF(AU96="",TRUE,IF(input_audience="",TRUE,SUMPRODUCT(--ISNUMBER(SEARCH(","&amp;TRIM(TEXTSPLIT(AU96,","))&amp;",",","&amp;SUBSTITUTE(input_audience," ","")&amp;",")))=0)),IF(AW96="",TRUE,IF(input_audience="",FALSE,SUMPRODUCT(--ISNUMBER(SEARCH(","&amp;TRIM(TEXTSPLIT(AW96,","))&amp;",",","&amp;SUBSTITUTE(input_audience," ","")&amp;",")))&gt;0)),IF(AY96="",TRUE,IF(input_audience="",FALSE,SUMPRODUCT(--ISNUMBER(SEARCH(","&amp;TRIM(TEXTSPLIT(AY96,","))&amp;",",","&amp;SUBSTITUTE(input_audience," ","")&amp;",")))=COUNTA(TEXTSPLIT(AY96,",")))))</f>
        <v/>
      </c>
      <c r="IX96">
        <f>AND(IF(BA96="",TRUE,IF(input_challenge_opportunities="",FALSE,SUMPRODUCT(--ISNUMBER(SEARCH(","&amp;TRIM(TEXTSPLIT(BA96,","))&amp;",",","&amp;SUBSTITUTE(input_challenge_opportunities," ","")&amp;",")))&gt;0)),IF(BC96="",TRUE,IF(input_challenge_opportunities="",FALSE,SUMPRODUCT(--ISNUMBER(SEARCH(","&amp;TRIM(TEXTSPLIT(BC96,","))&amp;",",","&amp;SUBSTITUTE(input_challenge_opportunities," ","")&amp;",")))=COUNTA(TEXTSPLIT(BC96,",")))),IF(BE96="",TRUE,IF(input_challenge_opportunities="",TRUE,SUMPRODUCT(--ISNUMBER(SEARCH(","&amp;TRIM(TEXTSPLIT(BE96,","))&amp;",",","&amp;SUBSTITUTE(input_challenge_opportunities," ","")&amp;",")))=0)),IF(BG96="",TRUE,IF(input_challenge_opportunities="",FALSE,SUMPRODUCT(--ISNUMBER(SEARCH(","&amp;TRIM(TEXTSPLIT(BG96,","))&amp;",",","&amp;SUBSTITUTE(input_challenge_opportunities," ","")&amp;",")))&gt;0)),IF(BI96="",TRUE,IF(input_challenge_opportunities="",FALSE,SUMPRODUCT(--ISNUMBER(SEARCH(","&amp;TRIM(TEXTSPLIT(BI96,","))&amp;",",","&amp;SUBSTITUTE(input_challenge_opportunities," ","")&amp;",")))=COUNTA(TEXTSPLIT(BI96,",")))))</f>
        <v/>
      </c>
      <c r="IY96">
        <f>AND(IF(BK96="",TRUE,IF(input_context="",FALSE,SUMPRODUCT(--ISNUMBER(SEARCH(","&amp;TRIM(TEXTSPLIT(BK96,","))&amp;",",","&amp;SUBSTITUTE(input_context," ","")&amp;",")))&gt;0)),IF(BM96="",TRUE,IF(input_context="",FALSE,SUMPRODUCT(--ISNUMBER(SEARCH(","&amp;TRIM(TEXTSPLIT(BM96,","))&amp;",",","&amp;SUBSTITUTE(input_context," ","")&amp;",")))=COUNTA(TEXTSPLIT(BM96,",")))),IF(BO96="",TRUE,IF(input_context="",TRUE,SUMPRODUCT(--ISNUMBER(SEARCH(","&amp;TRIM(TEXTSPLIT(BO96,","))&amp;",",","&amp;SUBSTITUTE(input_context," ","")&amp;",")))=0)),IF(BQ96="",TRUE,IF(input_context="",FALSE,SUMPRODUCT(--ISNUMBER(SEARCH(","&amp;TRIM(TEXTSPLIT(BQ96,","))&amp;",",","&amp;SUBSTITUTE(input_context," ","")&amp;",")))&gt;0)),IF(BS96="",TRUE,IF(input_context="",FALSE,SUMPRODUCT(--ISNUMBER(SEARCH(","&amp;TRIM(TEXTSPLIT(BS96,","))&amp;",",","&amp;SUBSTITUTE(input_context," ","")&amp;",")))=COUNTA(TEXTSPLIT(BS96,",")))))</f>
        <v/>
      </c>
      <c r="IZ96">
        <f>AND(IF(BU96="",TRUE,IF(input_enews_announcement_type="",FALSE,SUMPRODUCT(--ISNUMBER(SEARCH(","&amp;TRIM(TEXTSPLIT(BU96,","))&amp;",",","&amp;SUBSTITUTE(input_enews_announcement_type," ","")&amp;",")))&gt;0)),IF(BW96="",TRUE,IF(input_enews_announcement_type="",FALSE,SUMPRODUCT(--ISNUMBER(SEARCH(","&amp;TRIM(TEXTSPLIT(BW96,","))&amp;",",","&amp;SUBSTITUTE(input_enews_announcement_type," ","")&amp;",")))=COUNTA(TEXTSPLIT(BW96,",")))),IF(BY96="",TRUE,IF(input_enews_announcement_type="",TRUE,SUMPRODUCT(--ISNUMBER(SEARCH(","&amp;TRIM(TEXTSPLIT(BY96,","))&amp;",",","&amp;SUBSTITUTE(input_enews_announcement_type," ","")&amp;",")))=0)),IF(CA96="",TRUE,IF(input_enews_announcement_type="",FALSE,SUMPRODUCT(--ISNUMBER(SEARCH(","&amp;TRIM(TEXTSPLIT(CA96,","))&amp;",",","&amp;SUBSTITUTE(input_enews_announcement_type," ","")&amp;",")))&gt;0)),IF(CC96="",TRUE,IF(input_enews_announcement_type="",FALSE,SUMPRODUCT(--ISNUMBER(SEARCH(","&amp;TRIM(TEXTSPLIT(CC96,","))&amp;",",","&amp;SUBSTITUTE(input_enews_announcement_type," ","")&amp;",")))=COUNTA(TEXTSPLIT(CC96,",")))))</f>
        <v/>
      </c>
      <c r="JA96">
        <f>AND(IF(CE96="",TRUE,IF(input_enews_audience="",FALSE,SUMPRODUCT(--ISNUMBER(SEARCH(","&amp;TRIM(TEXTSPLIT(CE96,","))&amp;",",","&amp;SUBSTITUTE(input_enews_audience," ","")&amp;",")))&gt;0)),IF(CG96="",TRUE,IF(input_enews_audience="",FALSE,SUMPRODUCT(--ISNUMBER(SEARCH(","&amp;TRIM(TEXTSPLIT(CG96,","))&amp;",",","&amp;SUBSTITUTE(input_enews_audience," ","")&amp;",")))=COUNTA(TEXTSPLIT(CG96,",")))),IF(CI96="",TRUE,IF(input_enews_audience="",TRUE,SUMPRODUCT(--ISNUMBER(SEARCH(","&amp;TRIM(TEXTSPLIT(CI96,","))&amp;",",","&amp;SUBSTITUTE(input_enews_audience," ","")&amp;",")))=0)),IF(CK96="",TRUE,IF(input_enews_audience="",FALSE,SUMPRODUCT(--ISNUMBER(SEARCH(","&amp;TRIM(TEXTSPLIT(CK96,","))&amp;",",","&amp;SUBSTITUTE(input_enews_audience," ","")&amp;",")))&gt;0)),IF(CM96="",TRUE,IF(input_enews_audience="",FALSE,SUMPRODUCT(--ISNUMBER(SEARCH(","&amp;TRIM(TEXTSPLIT(CM96,","))&amp;",",","&amp;SUBSTITUTE(input_enews_audience," ","")&amp;",")))=COUNTA(TEXTSPLIT(CM96,",")))))</f>
        <v/>
      </c>
      <c r="JB96">
        <f>AND(IF(CO96="",TRUE,IF(input_event_location="",FALSE,SUMPRODUCT(--ISNUMBER(SEARCH(","&amp;TRIM(TEXTSPLIT(CO96,","))&amp;",",","&amp;SUBSTITUTE(input_event_location," ","")&amp;",")))&gt;0)),IF(CQ96="",TRUE,IF(input_event_location="",FALSE,SUMPRODUCT(--ISNUMBER(SEARCH(","&amp;TRIM(TEXTSPLIT(CQ96,","))&amp;",",","&amp;SUBSTITUTE(input_event_location," ","")&amp;",")))=COUNTA(TEXTSPLIT(CQ96,",")))),IF(CS96="",TRUE,IF(input_event_location="",TRUE,SUMPRODUCT(--ISNUMBER(SEARCH(","&amp;TRIM(TEXTSPLIT(CS96,","))&amp;",",","&amp;SUBSTITUTE(input_event_location," ","")&amp;",")))=0)),IF(CU96="",TRUE,IF(input_event_location="",FALSE,SUMPRODUCT(--ISNUMBER(SEARCH(","&amp;TRIM(TEXTSPLIT(CU96,","))&amp;",",","&amp;SUBSTITUTE(input_event_location," ","")&amp;",")))&gt;0)),IF(CW96="",TRUE,IF(input_event_location="",FALSE,SUMPRODUCT(--ISNUMBER(SEARCH(","&amp;TRIM(TEXTSPLIT(CW96,","))&amp;",",","&amp;SUBSTITUTE(input_event_location," ","")&amp;",")))=COUNTA(TEXTSPLIT(CW96,",")))))</f>
        <v/>
      </c>
      <c r="JC96">
        <f>AND(IF(CY96="",TRUE,IF(input_event_type="",FALSE,SUMPRODUCT(--ISNUMBER(SEARCH(","&amp;TRIM(TEXTSPLIT(CY96,","))&amp;",",","&amp;SUBSTITUTE(input_event_type," ","")&amp;",")))&gt;0)),IF(DA96="",TRUE,IF(input_event_type="",FALSE,SUMPRODUCT(--ISNUMBER(SEARCH(","&amp;TRIM(TEXTSPLIT(DA96,","))&amp;",",","&amp;SUBSTITUTE(input_event_type," ","")&amp;",")))=COUNTA(TEXTSPLIT(DA96,",")))),IF(DC96="",TRUE,IF(input_event_type="",TRUE,SUMPRODUCT(--ISNUMBER(SEARCH(","&amp;TRIM(TEXTSPLIT(DC96,","))&amp;",",","&amp;SUBSTITUTE(input_event_type," ","")&amp;",")))=0)),IF(DE96="",TRUE,IF(input_event_type="",FALSE,SUMPRODUCT(--ISNUMBER(SEARCH(","&amp;TRIM(TEXTSPLIT(DE96,","))&amp;",",","&amp;SUBSTITUTE(input_event_type," ","")&amp;",")))&gt;0)),IF(DG96="",TRUE,IF(input_event_type="",FALSE,SUMPRODUCT(--ISNUMBER(SEARCH(","&amp;TRIM(TEXTSPLIT(DG96,","))&amp;",",","&amp;SUBSTITUTE(input_event_type," ","")&amp;",")))=COUNTA(TEXTSPLIT(DG96,",")))))</f>
        <v/>
      </c>
      <c r="JD96">
        <f>AND(IF(DI96="",TRUE,IF(input_executive_education_focus="",FALSE,SUMPRODUCT(--ISNUMBER(SEARCH(","&amp;TRIM(TEXTSPLIT(DI96,","))&amp;",",","&amp;SUBSTITUTE(input_executive_education_focus," ","")&amp;",")))&gt;0)),IF(DK96="",TRUE,IF(input_executive_education_focus="",FALSE,SUMPRODUCT(--ISNUMBER(SEARCH(","&amp;TRIM(TEXTSPLIT(DK96,","))&amp;",",","&amp;SUBSTITUTE(input_executive_education_focus," ","")&amp;",")))=COUNTA(TEXTSPLIT(DK96,",")))),IF(DM96="",TRUE,IF(input_executive_education_focus="",TRUE,SUMPRODUCT(--ISNUMBER(SEARCH(","&amp;TRIM(TEXTSPLIT(DM96,","))&amp;",",","&amp;SUBSTITUTE(input_executive_education_focus," ","")&amp;",")))=0)),IF(DO96="",TRUE,IF(input_executive_education_focus="",FALSE,SUMPRODUCT(--ISNUMBER(SEARCH(","&amp;TRIM(TEXTSPLIT(DO96,","))&amp;",",","&amp;SUBSTITUTE(input_executive_education_focus," ","")&amp;",")))&gt;0)),IF(DQ96="",TRUE,IF(input_executive_education_focus="",FALSE,SUMPRODUCT(--ISNUMBER(SEARCH(","&amp;TRIM(TEXTSPLIT(DQ96,","))&amp;",",","&amp;SUBSTITUTE(input_executive_education_focus," ","")&amp;",")))=COUNTA(TEXTSPLIT(DQ96,",")))))</f>
        <v/>
      </c>
      <c r="JE96">
        <f>AND(IF(DS96="",TRUE,IF(input_faculty_category="",FALSE,SUMPRODUCT(--ISNUMBER(SEARCH(","&amp;TRIM(TEXTSPLIT(DS96,","))&amp;",",","&amp;SUBSTITUTE(input_faculty_category," ","")&amp;",")))&gt;0)),IF(DU96="",TRUE,IF(input_faculty_category="",FALSE,SUMPRODUCT(--ISNUMBER(SEARCH(","&amp;TRIM(TEXTSPLIT(DU96,","))&amp;",",","&amp;SUBSTITUTE(input_faculty_category," ","")&amp;",")))=COUNTA(TEXTSPLIT(DU96,",")))),IF(DW96="",TRUE,IF(input_faculty_category="",TRUE,SUMPRODUCT(--ISNUMBER(SEARCH(","&amp;TRIM(TEXTSPLIT(DW96,","))&amp;",",","&amp;SUBSTITUTE(input_faculty_category," ","")&amp;",")))=0)),IF(DY96="",TRUE,IF(input_faculty_category="",FALSE,SUMPRODUCT(--ISNUMBER(SEARCH(","&amp;TRIM(TEXTSPLIT(DY96,","))&amp;",",","&amp;SUBSTITUTE(input_faculty_category," ","")&amp;",")))&gt;0)),IF(EA96="",TRUE,IF(input_faculty_category="",FALSE,SUMPRODUCT(--ISNUMBER(SEARCH(","&amp;TRIM(TEXTSPLIT(EA96,","))&amp;",",","&amp;SUBSTITUTE(input_faculty_category," ","")&amp;",")))=COUNTA(TEXTSPLIT(EA96,",")))))</f>
        <v/>
      </c>
      <c r="JF96">
        <f>AND(IF(EC96="",TRUE,IF(input_faculty_discipline="",FALSE,SUMPRODUCT(--ISNUMBER(SEARCH(","&amp;TRIM(TEXTSPLIT(EC96,","))&amp;",",","&amp;SUBSTITUTE(input_faculty_discipline," ","")&amp;",")))&gt;0)),IF(EE96="",TRUE,IF(input_faculty_discipline="",FALSE,SUMPRODUCT(--ISNUMBER(SEARCH(","&amp;TRIM(TEXTSPLIT(EE96,","))&amp;",",","&amp;SUBSTITUTE(input_faculty_discipline," ","")&amp;",")))=COUNTA(TEXTSPLIT(EE96,",")))),IF(EG96="",TRUE,IF(input_faculty_discipline="",TRUE,SUMPRODUCT(--ISNUMBER(SEARCH(","&amp;TRIM(TEXTSPLIT(EG96,","))&amp;",",","&amp;SUBSTITUTE(input_faculty_discipline," ","")&amp;",")))=0)),IF(EI96="",TRUE,IF(input_faculty_discipline="",FALSE,SUMPRODUCT(--ISNUMBER(SEARCH(","&amp;TRIM(TEXTSPLIT(EI96,","))&amp;",",","&amp;SUBSTITUTE(input_faculty_discipline," ","")&amp;",")))&gt;0)),IF(EK96="",TRUE,IF(input_faculty_discipline="",FALSE,SUMPRODUCT(--ISNUMBER(SEARCH(","&amp;TRIM(TEXTSPLIT(EK96,","))&amp;",",","&amp;SUBSTITUTE(input_faculty_discipline," ","")&amp;",")))=COUNTA(TEXTSPLIT(EK96,",")))))</f>
        <v/>
      </c>
      <c r="JG96">
        <f>AND(IF(EM96="",TRUE,IF(input_faculty_expertise="",FALSE,SUMPRODUCT(--ISNUMBER(SEARCH(","&amp;TRIM(TEXTSPLIT(EM96,","))&amp;",",","&amp;SUBSTITUTE(input_faculty_expertise," ","")&amp;",")))&gt;0)),IF(EO96="",TRUE,IF(input_faculty_expertise="",FALSE,SUMPRODUCT(--ISNUMBER(SEARCH(","&amp;TRIM(TEXTSPLIT(EO96,","))&amp;",",","&amp;SUBSTITUTE(input_faculty_expertise," ","")&amp;",")))=COUNTA(TEXTSPLIT(EO96,",")))),IF(EQ96="",TRUE,IF(input_faculty_expertise="",TRUE,SUMPRODUCT(--ISNUMBER(SEARCH(","&amp;TRIM(TEXTSPLIT(EQ96,","))&amp;",",","&amp;SUBSTITUTE(input_faculty_expertise," ","")&amp;",")))=0)),IF(ES96="",TRUE,IF(input_faculty_expertise="",FALSE,SUMPRODUCT(--ISNUMBER(SEARCH(","&amp;TRIM(TEXTSPLIT(ES96,","))&amp;",",","&amp;SUBSTITUTE(input_faculty_expertise," ","")&amp;",")))&gt;0)),IF(EU96="",TRUE,IF(input_faculty_expertise="",FALSE,SUMPRODUCT(--ISNUMBER(SEARCH(","&amp;TRIM(TEXTSPLIT(EU96,","))&amp;",",","&amp;SUBSTITUTE(input_faculty_expertise," ","")&amp;",")))=COUNTA(TEXTSPLIT(EU96,",")))))</f>
        <v/>
      </c>
      <c r="JH96">
        <f>AND(IF(EW96="",TRUE,IF(input_global_network_school="",FALSE,SUMPRODUCT(--ISNUMBER(SEARCH(","&amp;TRIM(TEXTSPLIT(EW96,","))&amp;",",","&amp;SUBSTITUTE(input_global_network_school," ","")&amp;",")))&gt;0)),IF(EY96="",TRUE,IF(input_global_network_school="",FALSE,SUMPRODUCT(--ISNUMBER(SEARCH(","&amp;TRIM(TEXTSPLIT(EY96,","))&amp;",",","&amp;SUBSTITUTE(input_global_network_school," ","")&amp;",")))=COUNTA(TEXTSPLIT(EY96,",")))),IF(FA96="",TRUE,IF(input_global_network_school="",TRUE,SUMPRODUCT(--ISNUMBER(SEARCH(","&amp;TRIM(TEXTSPLIT(FA96,","))&amp;",",","&amp;SUBSTITUTE(input_global_network_school," ","")&amp;",")))=0)),IF(FC96="",TRUE,IF(input_global_network_school="",FALSE,SUMPRODUCT(--ISNUMBER(SEARCH(","&amp;TRIM(TEXTSPLIT(FC96,","))&amp;",",","&amp;SUBSTITUTE(input_global_network_school," ","")&amp;",")))&gt;0)),IF(FE96="",TRUE,IF(input_global_network_school="",FALSE,SUMPRODUCT(--ISNUMBER(SEARCH(","&amp;TRIM(TEXTSPLIT(FE96,","))&amp;",",","&amp;SUBSTITUTE(input_global_network_school," ","")&amp;",")))=COUNTA(TEXTSPLIT(FE96,",")))))</f>
        <v/>
      </c>
      <c r="JI96">
        <f>AND(IF(FG96="",TRUE,IF(input_industry="",FALSE,SUMPRODUCT(--ISNUMBER(SEARCH(","&amp;TRIM(TEXTSPLIT(FG96,","))&amp;",",","&amp;SUBSTITUTE(input_industry," ","")&amp;",")))&gt;0)),IF(FI96="",TRUE,IF(input_industry="",FALSE,SUMPRODUCT(--ISNUMBER(SEARCH(","&amp;TRIM(TEXTSPLIT(FI96,","))&amp;",",","&amp;SUBSTITUTE(input_industry," ","")&amp;",")))=COUNTA(TEXTSPLIT(FI96,",")))),IF(FK96="",TRUE,IF(input_industry="",TRUE,SUMPRODUCT(--ISNUMBER(SEARCH(","&amp;TRIM(TEXTSPLIT(FK96,","))&amp;",",","&amp;SUBSTITUTE(input_industry," ","")&amp;",")))=0)),IF(FM96="",TRUE,IF(input_industry="",FALSE,SUMPRODUCT(--ISNUMBER(SEARCH(","&amp;TRIM(TEXTSPLIT(FM96,","))&amp;",",","&amp;SUBSTITUTE(input_industry," ","")&amp;",")))&gt;0)),IF(FO96="",TRUE,IF(input_industry="",FALSE,SUMPRODUCT(--ISNUMBER(SEARCH(","&amp;TRIM(TEXTSPLIT(FO96,","))&amp;",",","&amp;SUBSTITUTE(input_industry," ","")&amp;",")))=COUNTA(TEXTSPLIT(FO96,",")))))</f>
        <v/>
      </c>
      <c r="JJ96">
        <f>AND(IF(FQ96="",TRUE,IF(input_location="",FALSE,SUMPRODUCT(--ISNUMBER(SEARCH(","&amp;TRIM(TEXTSPLIT(FQ96,","))&amp;",",","&amp;SUBSTITUTE(input_location," ","")&amp;",")))&gt;0)),IF(FS96="",TRUE,IF(input_location="",FALSE,SUMPRODUCT(--ISNUMBER(SEARCH(","&amp;TRIM(TEXTSPLIT(FS96,","))&amp;",",","&amp;SUBSTITUTE(input_location," ","")&amp;",")))=COUNTA(TEXTSPLIT(FS96,",")))),IF(FU96="",TRUE,IF(input_location="",TRUE,SUMPRODUCT(--ISNUMBER(SEARCH(","&amp;TRIM(TEXTSPLIT(FU96,","))&amp;",",","&amp;SUBSTITUTE(input_location," ","")&amp;",")))=0)),IF(FW96="",TRUE,IF(input_location="",FALSE,SUMPRODUCT(--ISNUMBER(SEARCH(","&amp;TRIM(TEXTSPLIT(FW96,","))&amp;",",","&amp;SUBSTITUTE(input_location," ","")&amp;",")))&gt;0)),IF(FY96="",TRUE,IF(input_location="",FALSE,SUMPRODUCT(--ISNUMBER(SEARCH(","&amp;TRIM(TEXTSPLIT(FY96,","))&amp;",",","&amp;SUBSTITUTE(input_location," ","")&amp;",")))=COUNTA(TEXTSPLIT(FY96,",")))))</f>
        <v/>
      </c>
      <c r="JK96">
        <f>AND(IF(GA96="",TRUE,IF(input_modality="",FALSE,SUMPRODUCT(--ISNUMBER(SEARCH(","&amp;TRIM(TEXTSPLIT(GA96,","))&amp;",",","&amp;SUBSTITUTE(input_modality," ","")&amp;",")))&gt;0)),IF(GC96="",TRUE,IF(input_modality="",FALSE,SUMPRODUCT(--ISNUMBER(SEARCH(","&amp;TRIM(TEXTSPLIT(GC96,","))&amp;",",","&amp;SUBSTITUTE(input_modality," ","")&amp;",")))=COUNTA(TEXTSPLIT(GC96,",")))),IF(GE96="",TRUE,IF(input_modality="",TRUE,SUMPRODUCT(--ISNUMBER(SEARCH(","&amp;TRIM(TEXTSPLIT(GE96,","))&amp;",",","&amp;SUBSTITUTE(input_modality," ","")&amp;",")))=0)),IF(GG96="",TRUE,IF(input_modality="",FALSE,SUMPRODUCT(--ISNUMBER(SEARCH(","&amp;TRIM(TEXTSPLIT(GG96,","))&amp;",",","&amp;SUBSTITUTE(input_modality," ","")&amp;",")))&gt;0)),IF(GI96="",TRUE,IF(input_modality="",FALSE,SUMPRODUCT(--ISNUMBER(SEARCH(","&amp;TRIM(TEXTSPLIT(GI96,","))&amp;",",","&amp;SUBSTITUTE(input_modality," ","")&amp;",")))=COUNTA(TEXTSPLIT(GI96,",")))))</f>
        <v/>
      </c>
      <c r="JL96">
        <f>AND(IF(GK96="",TRUE,IF(input_organizer="",FALSE,SUMPRODUCT(--ISNUMBER(SEARCH(","&amp;TRIM(TEXTSPLIT(GK96,","))&amp;",",","&amp;SUBSTITUTE(input_organizer," ","")&amp;",")))&gt;0)),IF(GM96="",TRUE,IF(input_organizer="",FALSE,SUMPRODUCT(--ISNUMBER(SEARCH(","&amp;TRIM(TEXTSPLIT(GM96,","))&amp;",",","&amp;SUBSTITUTE(input_organizer," ","")&amp;",")))=COUNTA(TEXTSPLIT(GM96,",")))),IF(GO96="",TRUE,IF(input_organizer="",TRUE,SUMPRODUCT(--ISNUMBER(SEARCH(","&amp;TRIM(TEXTSPLIT(GO96,","))&amp;",",","&amp;SUBSTITUTE(input_organizer," ","")&amp;",")))=0)),IF(GQ96="",TRUE,IF(input_organizer="",FALSE,SUMPRODUCT(--ISNUMBER(SEARCH(","&amp;TRIM(TEXTSPLIT(GQ96,","))&amp;",",","&amp;SUBSTITUTE(input_organizer," ","")&amp;",")))&gt;0)),IF(GS96="",TRUE,IF(input_organizer="",FALSE,SUMPRODUCT(--ISNUMBER(SEARCH(","&amp;TRIM(TEXTSPLIT(GS96,","))&amp;",",","&amp;SUBSTITUTE(input_organizer," ","")&amp;",")))=COUNTA(TEXTSPLIT(GS96,",")))))</f>
        <v/>
      </c>
      <c r="JM96">
        <f>AND(IF(GU96="",TRUE,IF(input_profile_type="",FALSE,SUMPRODUCT(--ISNUMBER(SEARCH(","&amp;TRIM(TEXTSPLIT(GU96,","))&amp;",",","&amp;SUBSTITUTE(input_profile_type," ","")&amp;",")))&gt;0)),IF(GW96="",TRUE,IF(input_profile_type="",FALSE,SUMPRODUCT(--ISNUMBER(SEARCH(","&amp;TRIM(TEXTSPLIT(GW96,","))&amp;",",","&amp;SUBSTITUTE(input_profile_type," ","")&amp;",")))=COUNTA(TEXTSPLIT(GW96,",")))),IF(GY96="",TRUE,IF(input_profile_type="",TRUE,SUMPRODUCT(--ISNUMBER(SEARCH(","&amp;TRIM(TEXTSPLIT(GY96,","))&amp;",",","&amp;SUBSTITUTE(input_profile_type," ","")&amp;",")))=0)),IF(HA96="",TRUE,IF(input_profile_type="",FALSE,SUMPRODUCT(--ISNUMBER(SEARCH(","&amp;TRIM(TEXTSPLIT(HA96,","))&amp;",",","&amp;SUBSTITUTE(input_profile_type," ","")&amp;",")))&gt;0)),IF(HC96="",TRUE,IF(input_profile_type="",FALSE,SUMPRODUCT(--ISNUMBER(SEARCH(","&amp;TRIM(TEXTSPLIT(HC96,","))&amp;",",","&amp;SUBSTITUTE(input_profile_type," ","")&amp;",")))=COUNTA(TEXTSPLIT(HC96,",")))))</f>
        <v/>
      </c>
      <c r="JN96">
        <f>AND(IF(HE96="",TRUE,IF(input_program="",FALSE,SUMPRODUCT(--ISNUMBER(SEARCH(","&amp;TRIM(TEXTSPLIT(HE96,","))&amp;",",","&amp;SUBSTITUTE(input_program," ","")&amp;",")))&gt;0)),IF(HG96="",TRUE,IF(input_program="",FALSE,SUMPRODUCT(--ISNUMBER(SEARCH(","&amp;TRIM(TEXTSPLIT(HG96,","))&amp;",",","&amp;SUBSTITUTE(input_program," ","")&amp;",")))=COUNTA(TEXTSPLIT(HG96,",")))),IF(HI96="",TRUE,IF(input_program="",TRUE,SUMPRODUCT(--ISNUMBER(SEARCH(","&amp;TRIM(TEXTSPLIT(HI96,","))&amp;",",","&amp;SUBSTITUTE(input_program," ","")&amp;",")))=0)),IF(HK96="",TRUE,IF(input_program="",FALSE,SUMPRODUCT(--ISNUMBER(SEARCH(","&amp;TRIM(TEXTSPLIT(HK96,","))&amp;",",","&amp;SUBSTITUTE(input_program," ","")&amp;",")))&gt;0)),IF(HM96="",TRUE,IF(input_program="",FALSE,SUMPRODUCT(--ISNUMBER(SEARCH(","&amp;TRIM(TEXTSPLIT(HM96,","))&amp;",",","&amp;SUBSTITUTE(input_program," ","")&amp;",")))=COUNTA(TEXTSPLIT(HM96,",")))))</f>
        <v/>
      </c>
      <c r="JO96">
        <f>AND(IF(HO96="",TRUE,IF(input_story_categories="",FALSE,SUMPRODUCT(--ISNUMBER(SEARCH(","&amp;TRIM(TEXTSPLIT(HO96,","))&amp;",",","&amp;SUBSTITUTE(input_story_categories," ","")&amp;",")))&gt;0)),IF(HQ96="",TRUE,IF(input_story_categories="",FALSE,SUMPRODUCT(--ISNUMBER(SEARCH(","&amp;TRIM(TEXTSPLIT(HQ96,","))&amp;",",","&amp;SUBSTITUTE(input_story_categories," ","")&amp;",")))=COUNTA(TEXTSPLIT(HQ96,",")))),IF(HS96="",TRUE,IF(input_story_categories="",TRUE,SUMPRODUCT(--ISNUMBER(SEARCH(","&amp;TRIM(TEXTSPLIT(HS96,","))&amp;",",","&amp;SUBSTITUTE(input_story_categories," ","")&amp;",")))=0)),IF(HU96="",TRUE,IF(input_story_categories="",FALSE,SUMPRODUCT(--ISNUMBER(SEARCH(","&amp;TRIM(TEXTSPLIT(HU96,","))&amp;",",","&amp;SUBSTITUTE(input_story_categories," ","")&amp;",")))&gt;0)),IF(HW96="",TRUE,IF(input_story_categories="",FALSE,SUMPRODUCT(--ISNUMBER(SEARCH(","&amp;TRIM(TEXTSPLIT(HW96,","))&amp;",",","&amp;SUBSTITUTE(input_story_categories," ","")&amp;",")))=COUNTA(TEXTSPLIT(HW96,",")))))</f>
        <v/>
      </c>
      <c r="JP96">
        <f>AND(IF(HY96="",TRUE,IF(input_story_type="",FALSE,SUMPRODUCT(--ISNUMBER(SEARCH(","&amp;TRIM(TEXTSPLIT(HY96,","))&amp;",",","&amp;SUBSTITUTE(input_story_type," ","")&amp;",")))&gt;0)),IF(IA96="",TRUE,IF(input_story_type="",FALSE,SUMPRODUCT(--ISNUMBER(SEARCH(","&amp;TRIM(TEXTSPLIT(IA96,","))&amp;",",","&amp;SUBSTITUTE(input_story_type," ","")&amp;",")))=COUNTA(TEXTSPLIT(IA96,",")))),IF(IC96="",TRUE,IF(input_story_type="",TRUE,SUMPRODUCT(--ISNUMBER(SEARCH(","&amp;TRIM(TEXTSPLIT(IC96,","))&amp;",",","&amp;SUBSTITUTE(input_story_type," ","")&amp;",")))=0)),IF(IE96="",TRUE,IF(input_story_type="",FALSE,SUMPRODUCT(--ISNUMBER(SEARCH(","&amp;TRIM(TEXTSPLIT(IE96,","))&amp;",",","&amp;SUBSTITUTE(input_story_type," ","")&amp;",")))&gt;0)),IF(IG96="",TRUE,IF(input_story_type="",FALSE,SUMPRODUCT(--ISNUMBER(SEARCH(","&amp;TRIM(TEXTSPLIT(IG96,","))&amp;",",","&amp;SUBSTITUTE(input_story_type," ","")&amp;",")))=COUNTA(TEXTSPLIT(IG96,",")))))</f>
        <v/>
      </c>
      <c r="JQ96">
        <f>AND(IF(II96="",TRUE,IF(input_topics="",FALSE,SUMPRODUCT(--ISNUMBER(SEARCH(","&amp;TRIM(TEXTSPLIT(II96,","))&amp;",",","&amp;SUBSTITUTE(input_topics," ","")&amp;",")))&gt;0)),IF(IK96="",TRUE,IF(input_topics="",FALSE,SUMPRODUCT(--ISNUMBER(SEARCH(","&amp;TRIM(TEXTSPLIT(IK96,","))&amp;",",","&amp;SUBSTITUTE(input_topics," ","")&amp;",")))=COUNTA(TEXTSPLIT(IK96,",")))),IF(IM96="",TRUE,IF(input_topics="",TRUE,SUMPRODUCT(--ISNUMBER(SEARCH(","&amp;TRIM(TEXTSPLIT(IM96,","))&amp;",",","&amp;SUBSTITUTE(input_topics," ","")&amp;",")))=0)),IF(IO96="",TRUE,IF(input_topics="",FALSE,SUMPRODUCT(--ISNUMBER(SEARCH(","&amp;TRIM(TEXTSPLIT(IO96,","))&amp;",",","&amp;SUBSTITUTE(input_topics," ","")&amp;",")))&gt;0)),IF(IQ96="",TRUE,IF(input_topics="",FALSE,SUMPRODUCT(--ISNUMBER(SEARCH(","&amp;TRIM(TEXTSPLIT(IQ96,","))&amp;",",","&amp;SUBSTITUTE(input_topics," ","")&amp;",")))=COUNTA(TEXTSPLIT(IQ96,",")))))</f>
        <v/>
      </c>
    </row>
    <row r="97">
      <c r="A97" s="4">
        <f>IF(NOT(IS97),"Excluded",IF(AND(IT97,IU97,IV97,IW97,IX97,IY97,IZ97,JA97,JB97,JC97,JD97,JE97,JF97,JG97,JH97,JI97,JJ97,JK97,JL97,JM97,JN97,JO97,JP97,JQ97),IF(I97&gt;0,"Eligible but limited","Will appear"),"Excluded"))</f>
        <v/>
      </c>
      <c r="B97" s="4" t="inlineStr">
        <is>
          <t>Embed List Reverse</t>
        </is>
      </c>
      <c r="C97" s="4" t="inlineStr">
        <is>
          <t>/podcasts/mam-admissions-unplugged</t>
        </is>
      </c>
      <c r="D97" s="4" t="inlineStr">
        <is>
          <t>/podcasts/mam-admissions-unplugged</t>
        </is>
      </c>
      <c r="E97" s="4" t="n">
        <v>1</v>
      </c>
      <c r="F97" s="4" t="inlineStr">
        <is>
          <t>podcast</t>
        </is>
      </c>
      <c r="G97" s="4" t="inlineStr">
        <is>
          <t>podcast_list</t>
        </is>
      </c>
      <c r="H97" s="4" t="inlineStr">
        <is>
          <t>embed_list_reverse</t>
        </is>
      </c>
      <c r="I97" s="4" t="n">
        <v>10</v>
      </c>
      <c r="J97" s="4" t="inlineStr">
        <is>
          <t>Explicit args</t>
        </is>
      </c>
      <c r="K97" s="4" t="inlineStr">
        <is>
          <t>Page placement</t>
        </is>
      </c>
      <c r="L97" s="4" t="inlineStr">
        <is>
          <t>Content type: podcast; Limited to 10 item(s); Source: Explicit args</t>
        </is>
      </c>
      <c r="M97" t="inlineStr"/>
      <c r="N97" t="inlineStr"/>
      <c r="O97" t="inlineStr"/>
      <c r="P97" t="inlineStr"/>
      <c r="Q97" t="inlineStr"/>
      <c r="R97" t="inlineStr"/>
      <c r="S97" t="inlineStr"/>
      <c r="T97" t="inlineStr"/>
      <c r="U97" t="inlineStr"/>
      <c r="V97" t="inlineStr"/>
      <c r="W97" t="inlineStr"/>
      <c r="X97" t="inlineStr"/>
      <c r="Y97" t="inlineStr"/>
      <c r="Z97" t="inlineStr"/>
      <c r="AA97" t="inlineStr"/>
      <c r="AB97" t="inlineStr"/>
      <c r="AC97" t="inlineStr"/>
      <c r="AD97" t="inlineStr"/>
      <c r="AE97" t="inlineStr"/>
      <c r="AF97" t="inlineStr"/>
      <c r="AG97" t="inlineStr"/>
      <c r="AH97" t="inlineStr"/>
      <c r="AI97" t="inlineStr"/>
      <c r="AJ97" t="inlineStr"/>
      <c r="AK97" t="inlineStr"/>
      <c r="AL97" t="inlineStr"/>
      <c r="AM97" t="inlineStr"/>
      <c r="AN97" t="inlineStr"/>
      <c r="AO97" t="inlineStr"/>
      <c r="AP97" t="inlineStr"/>
      <c r="AQ97" t="inlineStr"/>
      <c r="AR97" t="inlineStr"/>
      <c r="AS97" t="inlineStr"/>
      <c r="AT97" t="inlineStr"/>
      <c r="AU97" t="inlineStr"/>
      <c r="AV97" t="inlineStr"/>
      <c r="AW97" t="inlineStr"/>
      <c r="AX97" t="inlineStr"/>
      <c r="AY97" t="inlineStr"/>
      <c r="AZ97" t="inlineStr"/>
      <c r="BA97" t="inlineStr"/>
      <c r="BB97" t="inlineStr"/>
      <c r="BC97" t="inlineStr"/>
      <c r="BD97" t="inlineStr"/>
      <c r="BE97" t="inlineStr"/>
      <c r="BF97" t="inlineStr"/>
      <c r="BG97" t="inlineStr"/>
      <c r="BH97" t="inlineStr"/>
      <c r="BI97" t="inlineStr"/>
      <c r="BJ97" t="inlineStr"/>
      <c r="BK97" t="inlineStr"/>
      <c r="BL97" t="inlineStr"/>
      <c r="BM97" t="inlineStr"/>
      <c r="BN97" t="inlineStr"/>
      <c r="BO97" t="inlineStr"/>
      <c r="BP97" t="inlineStr"/>
      <c r="BQ97" t="inlineStr"/>
      <c r="BR97" t="inlineStr"/>
      <c r="BS97" t="inlineStr"/>
      <c r="BT97" t="inlineStr"/>
      <c r="BU97" t="inlineStr"/>
      <c r="BV97" t="inlineStr"/>
      <c r="BW97" t="inlineStr"/>
      <c r="BX97" t="inlineStr"/>
      <c r="BY97" t="inlineStr"/>
      <c r="BZ97" t="inlineStr"/>
      <c r="CA97" t="inlineStr"/>
      <c r="CB97" t="inlineStr"/>
      <c r="CC97" t="inlineStr"/>
      <c r="CD97" t="inlineStr"/>
      <c r="CE97" t="inlineStr"/>
      <c r="CF97" t="inlineStr"/>
      <c r="CG97" t="inlineStr"/>
      <c r="CH97" t="inlineStr"/>
      <c r="CI97" t="inlineStr"/>
      <c r="CJ97" t="inlineStr"/>
      <c r="CK97" t="inlineStr"/>
      <c r="CL97" t="inlineStr"/>
      <c r="CM97" t="inlineStr"/>
      <c r="CN97" t="inlineStr"/>
      <c r="CO97" t="inlineStr"/>
      <c r="CP97" t="inlineStr"/>
      <c r="CQ97" t="inlineStr"/>
      <c r="CR97" t="inlineStr"/>
      <c r="CS97" t="inlineStr"/>
      <c r="CT97" t="inlineStr"/>
      <c r="CU97" t="inlineStr"/>
      <c r="CV97" t="inlineStr"/>
      <c r="CW97" t="inlineStr"/>
      <c r="CX97" t="inlineStr"/>
      <c r="CY97" t="inlineStr"/>
      <c r="CZ97" t="inlineStr"/>
      <c r="DA97" t="inlineStr"/>
      <c r="DB97" t="inlineStr"/>
      <c r="DC97" t="inlineStr"/>
      <c r="DD97" t="inlineStr"/>
      <c r="DE97" t="inlineStr"/>
      <c r="DF97" t="inlineStr"/>
      <c r="DG97" t="inlineStr"/>
      <c r="DH97" t="inlineStr"/>
      <c r="DI97" t="inlineStr"/>
      <c r="DJ97" t="inlineStr"/>
      <c r="DK97" t="inlineStr"/>
      <c r="DL97" t="inlineStr"/>
      <c r="DM97" t="inlineStr"/>
      <c r="DN97" t="inlineStr"/>
      <c r="DO97" t="inlineStr"/>
      <c r="DP97" t="inlineStr"/>
      <c r="DQ97" t="inlineStr"/>
      <c r="DR97" t="inlineStr"/>
      <c r="DS97" t="inlineStr"/>
      <c r="DT97" t="inlineStr"/>
      <c r="DU97" t="inlineStr"/>
      <c r="DV97" t="inlineStr"/>
      <c r="DW97" t="inlineStr"/>
      <c r="DX97" t="inlineStr"/>
      <c r="DY97" t="inlineStr"/>
      <c r="DZ97" t="inlineStr"/>
      <c r="EA97" t="inlineStr"/>
      <c r="EB97" t="inlineStr"/>
      <c r="EC97" t="inlineStr"/>
      <c r="ED97" t="inlineStr"/>
      <c r="EE97" t="inlineStr"/>
      <c r="EF97" t="inlineStr"/>
      <c r="EG97" t="inlineStr"/>
      <c r="EH97" t="inlineStr"/>
      <c r="EI97" t="inlineStr"/>
      <c r="EJ97" t="inlineStr"/>
      <c r="EK97" t="inlineStr"/>
      <c r="EL97" t="inlineStr"/>
      <c r="EM97" t="inlineStr"/>
      <c r="EN97" t="inlineStr"/>
      <c r="EO97" t="inlineStr"/>
      <c r="EP97" t="inlineStr"/>
      <c r="EQ97" t="inlineStr"/>
      <c r="ER97" t="inlineStr"/>
      <c r="ES97" t="inlineStr"/>
      <c r="ET97" t="inlineStr"/>
      <c r="EU97" t="inlineStr"/>
      <c r="EV97" t="inlineStr"/>
      <c r="EW97" t="inlineStr"/>
      <c r="EX97" t="inlineStr"/>
      <c r="EY97" t="inlineStr"/>
      <c r="EZ97" t="inlineStr"/>
      <c r="FA97" t="inlineStr"/>
      <c r="FB97" t="inlineStr"/>
      <c r="FC97" t="inlineStr"/>
      <c r="FD97" t="inlineStr"/>
      <c r="FE97" t="inlineStr"/>
      <c r="FF97" t="inlineStr"/>
      <c r="FG97" t="inlineStr"/>
      <c r="FH97" t="inlineStr"/>
      <c r="FI97" t="inlineStr"/>
      <c r="FJ97" t="inlineStr"/>
      <c r="FK97" t="inlineStr"/>
      <c r="FL97" t="inlineStr"/>
      <c r="FM97" t="inlineStr"/>
      <c r="FN97" t="inlineStr"/>
      <c r="FO97" t="inlineStr"/>
      <c r="FP97" t="inlineStr"/>
      <c r="FQ97" t="inlineStr"/>
      <c r="FR97" t="inlineStr"/>
      <c r="FS97" t="inlineStr"/>
      <c r="FT97" t="inlineStr"/>
      <c r="FU97" t="inlineStr"/>
      <c r="FV97" t="inlineStr"/>
      <c r="FW97" t="inlineStr"/>
      <c r="FX97" t="inlineStr"/>
      <c r="FY97" t="inlineStr"/>
      <c r="FZ97" t="inlineStr"/>
      <c r="GA97" t="inlineStr"/>
      <c r="GB97" t="inlineStr"/>
      <c r="GC97" t="inlineStr"/>
      <c r="GD97" t="inlineStr"/>
      <c r="GE97" t="inlineStr"/>
      <c r="GF97" t="inlineStr"/>
      <c r="GG97" t="inlineStr"/>
      <c r="GH97" t="inlineStr"/>
      <c r="GI97" t="inlineStr"/>
      <c r="GJ97" t="inlineStr"/>
      <c r="GK97" t="inlineStr"/>
      <c r="GL97" t="inlineStr"/>
      <c r="GM97" t="inlineStr"/>
      <c r="GN97" t="inlineStr"/>
      <c r="GO97" t="inlineStr"/>
      <c r="GP97" t="inlineStr"/>
      <c r="GQ97" t="inlineStr"/>
      <c r="GR97" t="inlineStr"/>
      <c r="GS97" t="inlineStr"/>
      <c r="GT97" t="inlineStr"/>
      <c r="GU97" t="inlineStr"/>
      <c r="GV97" t="inlineStr"/>
      <c r="GW97" t="inlineStr"/>
      <c r="GX97" t="inlineStr"/>
      <c r="GY97" t="inlineStr"/>
      <c r="GZ97" t="inlineStr"/>
      <c r="HA97" t="inlineStr"/>
      <c r="HB97" t="inlineStr"/>
      <c r="HC97" t="inlineStr"/>
      <c r="HD97" t="inlineStr"/>
      <c r="HE97" t="inlineStr"/>
      <c r="HF97" t="inlineStr"/>
      <c r="HG97" t="inlineStr"/>
      <c r="HH97" t="inlineStr"/>
      <c r="HI97" t="inlineStr"/>
      <c r="HJ97" t="inlineStr"/>
      <c r="HK97" t="inlineStr"/>
      <c r="HL97" t="inlineStr"/>
      <c r="HM97" t="inlineStr"/>
      <c r="HN97" t="inlineStr"/>
      <c r="HO97" t="inlineStr"/>
      <c r="HP97" t="inlineStr"/>
      <c r="HQ97" t="inlineStr"/>
      <c r="HR97" t="inlineStr"/>
      <c r="HS97" t="inlineStr"/>
      <c r="HT97" t="inlineStr"/>
      <c r="HU97" t="inlineStr"/>
      <c r="HV97" t="inlineStr"/>
      <c r="HW97" t="inlineStr"/>
      <c r="HX97" t="inlineStr"/>
      <c r="HY97" t="inlineStr"/>
      <c r="HZ97" t="inlineStr"/>
      <c r="IA97" t="inlineStr"/>
      <c r="IB97" t="inlineStr"/>
      <c r="IC97" t="inlineStr"/>
      <c r="ID97" t="inlineStr"/>
      <c r="IE97" t="inlineStr"/>
      <c r="IF97" t="inlineStr"/>
      <c r="IG97" t="inlineStr"/>
      <c r="IH97" t="inlineStr"/>
      <c r="II97" t="inlineStr"/>
      <c r="IJ97" t="inlineStr"/>
      <c r="IK97" t="inlineStr"/>
      <c r="IL97" t="inlineStr"/>
      <c r="IM97" t="inlineStr"/>
      <c r="IN97" t="inlineStr"/>
      <c r="IO97" t="inlineStr"/>
      <c r="IP97" t="inlineStr"/>
      <c r="IQ97" t="inlineStr"/>
      <c r="IR97" t="inlineStr"/>
      <c r="IS97">
        <f>IF(input_content_type="",FALSE,ISNUMBER(SEARCH(","&amp;LOWER(input_content_type)&amp;",",","&amp;LOWER(F97)&amp;",")))</f>
        <v/>
      </c>
      <c r="IT97">
        <f>AND(IF(M97="",TRUE,IF(input_affiliations="",FALSE,SUMPRODUCT(--ISNUMBER(SEARCH(","&amp;TRIM(TEXTSPLIT(M97,","))&amp;",",","&amp;SUBSTITUTE(input_affiliations," ","")&amp;",")))&gt;0)),IF(O97="",TRUE,IF(input_affiliations="",FALSE,SUMPRODUCT(--ISNUMBER(SEARCH(","&amp;TRIM(TEXTSPLIT(O97,","))&amp;",",","&amp;SUBSTITUTE(input_affiliations," ","")&amp;",")))=COUNTA(TEXTSPLIT(O97,",")))),IF(Q97="",TRUE,IF(input_affiliations="",TRUE,SUMPRODUCT(--ISNUMBER(SEARCH(","&amp;TRIM(TEXTSPLIT(Q97,","))&amp;",",","&amp;SUBSTITUTE(input_affiliations," ","")&amp;",")))=0)),IF(S97="",TRUE,IF(input_affiliations="",FALSE,SUMPRODUCT(--ISNUMBER(SEARCH(","&amp;TRIM(TEXTSPLIT(S97,","))&amp;",",","&amp;SUBSTITUTE(input_affiliations," ","")&amp;",")))&gt;0)),IF(U97="",TRUE,IF(input_affiliations="",FALSE,SUMPRODUCT(--ISNUMBER(SEARCH(","&amp;TRIM(TEXTSPLIT(U97,","))&amp;",",","&amp;SUBSTITUTE(input_affiliations," ","")&amp;",")))=COUNTA(TEXTSPLIT(U97,",")))))</f>
        <v/>
      </c>
      <c r="IU97">
        <f>AND(IF(W97="",TRUE,IF(input_announcement_category="",FALSE,SUMPRODUCT(--ISNUMBER(SEARCH(","&amp;TRIM(TEXTSPLIT(W97,","))&amp;",",","&amp;SUBSTITUTE(input_announcement_category," ","")&amp;",")))&gt;0)),IF(Y97="",TRUE,IF(input_announcement_category="",FALSE,SUMPRODUCT(--ISNUMBER(SEARCH(","&amp;TRIM(TEXTSPLIT(Y97,","))&amp;",",","&amp;SUBSTITUTE(input_announcement_category," ","")&amp;",")))=COUNTA(TEXTSPLIT(Y97,",")))),IF(AA97="",TRUE,IF(input_announcement_category="",TRUE,SUMPRODUCT(--ISNUMBER(SEARCH(","&amp;TRIM(TEXTSPLIT(AA97,","))&amp;",",","&amp;SUBSTITUTE(input_announcement_category," ","")&amp;",")))=0)),IF(AC97="",TRUE,IF(input_announcement_category="",FALSE,SUMPRODUCT(--ISNUMBER(SEARCH(","&amp;TRIM(TEXTSPLIT(AC97,","))&amp;",",","&amp;SUBSTITUTE(input_announcement_category," ","")&amp;",")))&gt;0)),IF(AE97="",TRUE,IF(input_announcement_category="",FALSE,SUMPRODUCT(--ISNUMBER(SEARCH(","&amp;TRIM(TEXTSPLIT(AE97,","))&amp;",",","&amp;SUBSTITUTE(input_announcement_category," ","")&amp;",")))=COUNTA(TEXTSPLIT(AE97,",")))))</f>
        <v/>
      </c>
      <c r="IV97">
        <f>AND(IF(AG97="",TRUE,IF(input_area_of_focus="",FALSE,SUMPRODUCT(--ISNUMBER(SEARCH(","&amp;TRIM(TEXTSPLIT(AG97,","))&amp;",",","&amp;SUBSTITUTE(input_area_of_focus," ","")&amp;",")))&gt;0)),IF(AI97="",TRUE,IF(input_area_of_focus="",FALSE,SUMPRODUCT(--ISNUMBER(SEARCH(","&amp;TRIM(TEXTSPLIT(AI97,","))&amp;",",","&amp;SUBSTITUTE(input_area_of_focus," ","")&amp;",")))=COUNTA(TEXTSPLIT(AI97,",")))),IF(AK97="",TRUE,IF(input_area_of_focus="",TRUE,SUMPRODUCT(--ISNUMBER(SEARCH(","&amp;TRIM(TEXTSPLIT(AK97,","))&amp;",",","&amp;SUBSTITUTE(input_area_of_focus," ","")&amp;",")))=0)),IF(AM97="",TRUE,IF(input_area_of_focus="",FALSE,SUMPRODUCT(--ISNUMBER(SEARCH(","&amp;TRIM(TEXTSPLIT(AM97,","))&amp;",",","&amp;SUBSTITUTE(input_area_of_focus," ","")&amp;",")))&gt;0)),IF(AO97="",TRUE,IF(input_area_of_focus="",FALSE,SUMPRODUCT(--ISNUMBER(SEARCH(","&amp;TRIM(TEXTSPLIT(AO97,","))&amp;",",","&amp;SUBSTITUTE(input_area_of_focus," ","")&amp;",")))=COUNTA(TEXTSPLIT(AO97,",")))))</f>
        <v/>
      </c>
      <c r="IW97">
        <f>AND(IF(AQ97="",TRUE,IF(input_audience="",FALSE,SUMPRODUCT(--ISNUMBER(SEARCH(","&amp;TRIM(TEXTSPLIT(AQ97,","))&amp;",",","&amp;SUBSTITUTE(input_audience," ","")&amp;",")))&gt;0)),IF(AS97="",TRUE,IF(input_audience="",FALSE,SUMPRODUCT(--ISNUMBER(SEARCH(","&amp;TRIM(TEXTSPLIT(AS97,","))&amp;",",","&amp;SUBSTITUTE(input_audience," ","")&amp;",")))=COUNTA(TEXTSPLIT(AS97,",")))),IF(AU97="",TRUE,IF(input_audience="",TRUE,SUMPRODUCT(--ISNUMBER(SEARCH(","&amp;TRIM(TEXTSPLIT(AU97,","))&amp;",",","&amp;SUBSTITUTE(input_audience," ","")&amp;",")))=0)),IF(AW97="",TRUE,IF(input_audience="",FALSE,SUMPRODUCT(--ISNUMBER(SEARCH(","&amp;TRIM(TEXTSPLIT(AW97,","))&amp;",",","&amp;SUBSTITUTE(input_audience," ","")&amp;",")))&gt;0)),IF(AY97="",TRUE,IF(input_audience="",FALSE,SUMPRODUCT(--ISNUMBER(SEARCH(","&amp;TRIM(TEXTSPLIT(AY97,","))&amp;",",","&amp;SUBSTITUTE(input_audience," ","")&amp;",")))=COUNTA(TEXTSPLIT(AY97,",")))))</f>
        <v/>
      </c>
      <c r="IX97">
        <f>AND(IF(BA97="",TRUE,IF(input_challenge_opportunities="",FALSE,SUMPRODUCT(--ISNUMBER(SEARCH(","&amp;TRIM(TEXTSPLIT(BA97,","))&amp;",",","&amp;SUBSTITUTE(input_challenge_opportunities," ","")&amp;",")))&gt;0)),IF(BC97="",TRUE,IF(input_challenge_opportunities="",FALSE,SUMPRODUCT(--ISNUMBER(SEARCH(","&amp;TRIM(TEXTSPLIT(BC97,","))&amp;",",","&amp;SUBSTITUTE(input_challenge_opportunities," ","")&amp;",")))=COUNTA(TEXTSPLIT(BC97,",")))),IF(BE97="",TRUE,IF(input_challenge_opportunities="",TRUE,SUMPRODUCT(--ISNUMBER(SEARCH(","&amp;TRIM(TEXTSPLIT(BE97,","))&amp;",",","&amp;SUBSTITUTE(input_challenge_opportunities," ","")&amp;",")))=0)),IF(BG97="",TRUE,IF(input_challenge_opportunities="",FALSE,SUMPRODUCT(--ISNUMBER(SEARCH(","&amp;TRIM(TEXTSPLIT(BG97,","))&amp;",",","&amp;SUBSTITUTE(input_challenge_opportunities," ","")&amp;",")))&gt;0)),IF(BI97="",TRUE,IF(input_challenge_opportunities="",FALSE,SUMPRODUCT(--ISNUMBER(SEARCH(","&amp;TRIM(TEXTSPLIT(BI97,","))&amp;",",","&amp;SUBSTITUTE(input_challenge_opportunities," ","")&amp;",")))=COUNTA(TEXTSPLIT(BI97,",")))))</f>
        <v/>
      </c>
      <c r="IY97">
        <f>AND(IF(BK97="",TRUE,IF(input_context="",FALSE,SUMPRODUCT(--ISNUMBER(SEARCH(","&amp;TRIM(TEXTSPLIT(BK97,","))&amp;",",","&amp;SUBSTITUTE(input_context," ","")&amp;",")))&gt;0)),IF(BM97="",TRUE,IF(input_context="",FALSE,SUMPRODUCT(--ISNUMBER(SEARCH(","&amp;TRIM(TEXTSPLIT(BM97,","))&amp;",",","&amp;SUBSTITUTE(input_context," ","")&amp;",")))=COUNTA(TEXTSPLIT(BM97,",")))),IF(BO97="",TRUE,IF(input_context="",TRUE,SUMPRODUCT(--ISNUMBER(SEARCH(","&amp;TRIM(TEXTSPLIT(BO97,","))&amp;",",","&amp;SUBSTITUTE(input_context," ","")&amp;",")))=0)),IF(BQ97="",TRUE,IF(input_context="",FALSE,SUMPRODUCT(--ISNUMBER(SEARCH(","&amp;TRIM(TEXTSPLIT(BQ97,","))&amp;",",","&amp;SUBSTITUTE(input_context," ","")&amp;",")))&gt;0)),IF(BS97="",TRUE,IF(input_context="",FALSE,SUMPRODUCT(--ISNUMBER(SEARCH(","&amp;TRIM(TEXTSPLIT(BS97,","))&amp;",",","&amp;SUBSTITUTE(input_context," ","")&amp;",")))=COUNTA(TEXTSPLIT(BS97,",")))))</f>
        <v/>
      </c>
      <c r="IZ97">
        <f>AND(IF(BU97="",TRUE,IF(input_enews_announcement_type="",FALSE,SUMPRODUCT(--ISNUMBER(SEARCH(","&amp;TRIM(TEXTSPLIT(BU97,","))&amp;",",","&amp;SUBSTITUTE(input_enews_announcement_type," ","")&amp;",")))&gt;0)),IF(BW97="",TRUE,IF(input_enews_announcement_type="",FALSE,SUMPRODUCT(--ISNUMBER(SEARCH(","&amp;TRIM(TEXTSPLIT(BW97,","))&amp;",",","&amp;SUBSTITUTE(input_enews_announcement_type," ","")&amp;",")))=COUNTA(TEXTSPLIT(BW97,",")))),IF(BY97="",TRUE,IF(input_enews_announcement_type="",TRUE,SUMPRODUCT(--ISNUMBER(SEARCH(","&amp;TRIM(TEXTSPLIT(BY97,","))&amp;",",","&amp;SUBSTITUTE(input_enews_announcement_type," ","")&amp;",")))=0)),IF(CA97="",TRUE,IF(input_enews_announcement_type="",FALSE,SUMPRODUCT(--ISNUMBER(SEARCH(","&amp;TRIM(TEXTSPLIT(CA97,","))&amp;",",","&amp;SUBSTITUTE(input_enews_announcement_type," ","")&amp;",")))&gt;0)),IF(CC97="",TRUE,IF(input_enews_announcement_type="",FALSE,SUMPRODUCT(--ISNUMBER(SEARCH(","&amp;TRIM(TEXTSPLIT(CC97,","))&amp;",",","&amp;SUBSTITUTE(input_enews_announcement_type," ","")&amp;",")))=COUNTA(TEXTSPLIT(CC97,",")))))</f>
        <v/>
      </c>
      <c r="JA97">
        <f>AND(IF(CE97="",TRUE,IF(input_enews_audience="",FALSE,SUMPRODUCT(--ISNUMBER(SEARCH(","&amp;TRIM(TEXTSPLIT(CE97,","))&amp;",",","&amp;SUBSTITUTE(input_enews_audience," ","")&amp;",")))&gt;0)),IF(CG97="",TRUE,IF(input_enews_audience="",FALSE,SUMPRODUCT(--ISNUMBER(SEARCH(","&amp;TRIM(TEXTSPLIT(CG97,","))&amp;",",","&amp;SUBSTITUTE(input_enews_audience," ","")&amp;",")))=COUNTA(TEXTSPLIT(CG97,",")))),IF(CI97="",TRUE,IF(input_enews_audience="",TRUE,SUMPRODUCT(--ISNUMBER(SEARCH(","&amp;TRIM(TEXTSPLIT(CI97,","))&amp;",",","&amp;SUBSTITUTE(input_enews_audience," ","")&amp;",")))=0)),IF(CK97="",TRUE,IF(input_enews_audience="",FALSE,SUMPRODUCT(--ISNUMBER(SEARCH(","&amp;TRIM(TEXTSPLIT(CK97,","))&amp;",",","&amp;SUBSTITUTE(input_enews_audience," ","")&amp;",")))&gt;0)),IF(CM97="",TRUE,IF(input_enews_audience="",FALSE,SUMPRODUCT(--ISNUMBER(SEARCH(","&amp;TRIM(TEXTSPLIT(CM97,","))&amp;",",","&amp;SUBSTITUTE(input_enews_audience," ","")&amp;",")))=COUNTA(TEXTSPLIT(CM97,",")))))</f>
        <v/>
      </c>
      <c r="JB97">
        <f>AND(IF(CO97="",TRUE,IF(input_event_location="",FALSE,SUMPRODUCT(--ISNUMBER(SEARCH(","&amp;TRIM(TEXTSPLIT(CO97,","))&amp;",",","&amp;SUBSTITUTE(input_event_location," ","")&amp;",")))&gt;0)),IF(CQ97="",TRUE,IF(input_event_location="",FALSE,SUMPRODUCT(--ISNUMBER(SEARCH(","&amp;TRIM(TEXTSPLIT(CQ97,","))&amp;",",","&amp;SUBSTITUTE(input_event_location," ","")&amp;",")))=COUNTA(TEXTSPLIT(CQ97,",")))),IF(CS97="",TRUE,IF(input_event_location="",TRUE,SUMPRODUCT(--ISNUMBER(SEARCH(","&amp;TRIM(TEXTSPLIT(CS97,","))&amp;",",","&amp;SUBSTITUTE(input_event_location," ","")&amp;",")))=0)),IF(CU97="",TRUE,IF(input_event_location="",FALSE,SUMPRODUCT(--ISNUMBER(SEARCH(","&amp;TRIM(TEXTSPLIT(CU97,","))&amp;",",","&amp;SUBSTITUTE(input_event_location," ","")&amp;",")))&gt;0)),IF(CW97="",TRUE,IF(input_event_location="",FALSE,SUMPRODUCT(--ISNUMBER(SEARCH(","&amp;TRIM(TEXTSPLIT(CW97,","))&amp;",",","&amp;SUBSTITUTE(input_event_location," ","")&amp;",")))=COUNTA(TEXTSPLIT(CW97,",")))))</f>
        <v/>
      </c>
      <c r="JC97">
        <f>AND(IF(CY97="",TRUE,IF(input_event_type="",FALSE,SUMPRODUCT(--ISNUMBER(SEARCH(","&amp;TRIM(TEXTSPLIT(CY97,","))&amp;",",","&amp;SUBSTITUTE(input_event_type," ","")&amp;",")))&gt;0)),IF(DA97="",TRUE,IF(input_event_type="",FALSE,SUMPRODUCT(--ISNUMBER(SEARCH(","&amp;TRIM(TEXTSPLIT(DA97,","))&amp;",",","&amp;SUBSTITUTE(input_event_type," ","")&amp;",")))=COUNTA(TEXTSPLIT(DA97,",")))),IF(DC97="",TRUE,IF(input_event_type="",TRUE,SUMPRODUCT(--ISNUMBER(SEARCH(","&amp;TRIM(TEXTSPLIT(DC97,","))&amp;",",","&amp;SUBSTITUTE(input_event_type," ","")&amp;",")))=0)),IF(DE97="",TRUE,IF(input_event_type="",FALSE,SUMPRODUCT(--ISNUMBER(SEARCH(","&amp;TRIM(TEXTSPLIT(DE97,","))&amp;",",","&amp;SUBSTITUTE(input_event_type," ","")&amp;",")))&gt;0)),IF(DG97="",TRUE,IF(input_event_type="",FALSE,SUMPRODUCT(--ISNUMBER(SEARCH(","&amp;TRIM(TEXTSPLIT(DG97,","))&amp;",",","&amp;SUBSTITUTE(input_event_type," ","")&amp;",")))=COUNTA(TEXTSPLIT(DG97,",")))))</f>
        <v/>
      </c>
      <c r="JD97">
        <f>AND(IF(DI97="",TRUE,IF(input_executive_education_focus="",FALSE,SUMPRODUCT(--ISNUMBER(SEARCH(","&amp;TRIM(TEXTSPLIT(DI97,","))&amp;",",","&amp;SUBSTITUTE(input_executive_education_focus," ","")&amp;",")))&gt;0)),IF(DK97="",TRUE,IF(input_executive_education_focus="",FALSE,SUMPRODUCT(--ISNUMBER(SEARCH(","&amp;TRIM(TEXTSPLIT(DK97,","))&amp;",",","&amp;SUBSTITUTE(input_executive_education_focus," ","")&amp;",")))=COUNTA(TEXTSPLIT(DK97,",")))),IF(DM97="",TRUE,IF(input_executive_education_focus="",TRUE,SUMPRODUCT(--ISNUMBER(SEARCH(","&amp;TRIM(TEXTSPLIT(DM97,","))&amp;",",","&amp;SUBSTITUTE(input_executive_education_focus," ","")&amp;",")))=0)),IF(DO97="",TRUE,IF(input_executive_education_focus="",FALSE,SUMPRODUCT(--ISNUMBER(SEARCH(","&amp;TRIM(TEXTSPLIT(DO97,","))&amp;",",","&amp;SUBSTITUTE(input_executive_education_focus," ","")&amp;",")))&gt;0)),IF(DQ97="",TRUE,IF(input_executive_education_focus="",FALSE,SUMPRODUCT(--ISNUMBER(SEARCH(","&amp;TRIM(TEXTSPLIT(DQ97,","))&amp;",",","&amp;SUBSTITUTE(input_executive_education_focus," ","")&amp;",")))=COUNTA(TEXTSPLIT(DQ97,",")))))</f>
        <v/>
      </c>
      <c r="JE97">
        <f>AND(IF(DS97="",TRUE,IF(input_faculty_category="",FALSE,SUMPRODUCT(--ISNUMBER(SEARCH(","&amp;TRIM(TEXTSPLIT(DS97,","))&amp;",",","&amp;SUBSTITUTE(input_faculty_category," ","")&amp;",")))&gt;0)),IF(DU97="",TRUE,IF(input_faculty_category="",FALSE,SUMPRODUCT(--ISNUMBER(SEARCH(","&amp;TRIM(TEXTSPLIT(DU97,","))&amp;",",","&amp;SUBSTITUTE(input_faculty_category," ","")&amp;",")))=COUNTA(TEXTSPLIT(DU97,",")))),IF(DW97="",TRUE,IF(input_faculty_category="",TRUE,SUMPRODUCT(--ISNUMBER(SEARCH(","&amp;TRIM(TEXTSPLIT(DW97,","))&amp;",",","&amp;SUBSTITUTE(input_faculty_category," ","")&amp;",")))=0)),IF(DY97="",TRUE,IF(input_faculty_category="",FALSE,SUMPRODUCT(--ISNUMBER(SEARCH(","&amp;TRIM(TEXTSPLIT(DY97,","))&amp;",",","&amp;SUBSTITUTE(input_faculty_category," ","")&amp;",")))&gt;0)),IF(EA97="",TRUE,IF(input_faculty_category="",FALSE,SUMPRODUCT(--ISNUMBER(SEARCH(","&amp;TRIM(TEXTSPLIT(EA97,","))&amp;",",","&amp;SUBSTITUTE(input_faculty_category," ","")&amp;",")))=COUNTA(TEXTSPLIT(EA97,",")))))</f>
        <v/>
      </c>
      <c r="JF97">
        <f>AND(IF(EC97="",TRUE,IF(input_faculty_discipline="",FALSE,SUMPRODUCT(--ISNUMBER(SEARCH(","&amp;TRIM(TEXTSPLIT(EC97,","))&amp;",",","&amp;SUBSTITUTE(input_faculty_discipline," ","")&amp;",")))&gt;0)),IF(EE97="",TRUE,IF(input_faculty_discipline="",FALSE,SUMPRODUCT(--ISNUMBER(SEARCH(","&amp;TRIM(TEXTSPLIT(EE97,","))&amp;",",","&amp;SUBSTITUTE(input_faculty_discipline," ","")&amp;",")))=COUNTA(TEXTSPLIT(EE97,",")))),IF(EG97="",TRUE,IF(input_faculty_discipline="",TRUE,SUMPRODUCT(--ISNUMBER(SEARCH(","&amp;TRIM(TEXTSPLIT(EG97,","))&amp;",",","&amp;SUBSTITUTE(input_faculty_discipline," ","")&amp;",")))=0)),IF(EI97="",TRUE,IF(input_faculty_discipline="",FALSE,SUMPRODUCT(--ISNUMBER(SEARCH(","&amp;TRIM(TEXTSPLIT(EI97,","))&amp;",",","&amp;SUBSTITUTE(input_faculty_discipline," ","")&amp;",")))&gt;0)),IF(EK97="",TRUE,IF(input_faculty_discipline="",FALSE,SUMPRODUCT(--ISNUMBER(SEARCH(","&amp;TRIM(TEXTSPLIT(EK97,","))&amp;",",","&amp;SUBSTITUTE(input_faculty_discipline," ","")&amp;",")))=COUNTA(TEXTSPLIT(EK97,",")))))</f>
        <v/>
      </c>
      <c r="JG97">
        <f>AND(IF(EM97="",TRUE,IF(input_faculty_expertise="",FALSE,SUMPRODUCT(--ISNUMBER(SEARCH(","&amp;TRIM(TEXTSPLIT(EM97,","))&amp;",",","&amp;SUBSTITUTE(input_faculty_expertise," ","")&amp;",")))&gt;0)),IF(EO97="",TRUE,IF(input_faculty_expertise="",FALSE,SUMPRODUCT(--ISNUMBER(SEARCH(","&amp;TRIM(TEXTSPLIT(EO97,","))&amp;",",","&amp;SUBSTITUTE(input_faculty_expertise," ","")&amp;",")))=COUNTA(TEXTSPLIT(EO97,",")))),IF(EQ97="",TRUE,IF(input_faculty_expertise="",TRUE,SUMPRODUCT(--ISNUMBER(SEARCH(","&amp;TRIM(TEXTSPLIT(EQ97,","))&amp;",",","&amp;SUBSTITUTE(input_faculty_expertise," ","")&amp;",")))=0)),IF(ES97="",TRUE,IF(input_faculty_expertise="",FALSE,SUMPRODUCT(--ISNUMBER(SEARCH(","&amp;TRIM(TEXTSPLIT(ES97,","))&amp;",",","&amp;SUBSTITUTE(input_faculty_expertise," ","")&amp;",")))&gt;0)),IF(EU97="",TRUE,IF(input_faculty_expertise="",FALSE,SUMPRODUCT(--ISNUMBER(SEARCH(","&amp;TRIM(TEXTSPLIT(EU97,","))&amp;",",","&amp;SUBSTITUTE(input_faculty_expertise," ","")&amp;",")))=COUNTA(TEXTSPLIT(EU97,",")))))</f>
        <v/>
      </c>
      <c r="JH97">
        <f>AND(IF(EW97="",TRUE,IF(input_global_network_school="",FALSE,SUMPRODUCT(--ISNUMBER(SEARCH(","&amp;TRIM(TEXTSPLIT(EW97,","))&amp;",",","&amp;SUBSTITUTE(input_global_network_school," ","")&amp;",")))&gt;0)),IF(EY97="",TRUE,IF(input_global_network_school="",FALSE,SUMPRODUCT(--ISNUMBER(SEARCH(","&amp;TRIM(TEXTSPLIT(EY97,","))&amp;",",","&amp;SUBSTITUTE(input_global_network_school," ","")&amp;",")))=COUNTA(TEXTSPLIT(EY97,",")))),IF(FA97="",TRUE,IF(input_global_network_school="",TRUE,SUMPRODUCT(--ISNUMBER(SEARCH(","&amp;TRIM(TEXTSPLIT(FA97,","))&amp;",",","&amp;SUBSTITUTE(input_global_network_school," ","")&amp;",")))=0)),IF(FC97="",TRUE,IF(input_global_network_school="",FALSE,SUMPRODUCT(--ISNUMBER(SEARCH(","&amp;TRIM(TEXTSPLIT(FC97,","))&amp;",",","&amp;SUBSTITUTE(input_global_network_school," ","")&amp;",")))&gt;0)),IF(FE97="",TRUE,IF(input_global_network_school="",FALSE,SUMPRODUCT(--ISNUMBER(SEARCH(","&amp;TRIM(TEXTSPLIT(FE97,","))&amp;",",","&amp;SUBSTITUTE(input_global_network_school," ","")&amp;",")))=COUNTA(TEXTSPLIT(FE97,",")))))</f>
        <v/>
      </c>
      <c r="JI97">
        <f>AND(IF(FG97="",TRUE,IF(input_industry="",FALSE,SUMPRODUCT(--ISNUMBER(SEARCH(","&amp;TRIM(TEXTSPLIT(FG97,","))&amp;",",","&amp;SUBSTITUTE(input_industry," ","")&amp;",")))&gt;0)),IF(FI97="",TRUE,IF(input_industry="",FALSE,SUMPRODUCT(--ISNUMBER(SEARCH(","&amp;TRIM(TEXTSPLIT(FI97,","))&amp;",",","&amp;SUBSTITUTE(input_industry," ","")&amp;",")))=COUNTA(TEXTSPLIT(FI97,",")))),IF(FK97="",TRUE,IF(input_industry="",TRUE,SUMPRODUCT(--ISNUMBER(SEARCH(","&amp;TRIM(TEXTSPLIT(FK97,","))&amp;",",","&amp;SUBSTITUTE(input_industry," ","")&amp;",")))=0)),IF(FM97="",TRUE,IF(input_industry="",FALSE,SUMPRODUCT(--ISNUMBER(SEARCH(","&amp;TRIM(TEXTSPLIT(FM97,","))&amp;",",","&amp;SUBSTITUTE(input_industry," ","")&amp;",")))&gt;0)),IF(FO97="",TRUE,IF(input_industry="",FALSE,SUMPRODUCT(--ISNUMBER(SEARCH(","&amp;TRIM(TEXTSPLIT(FO97,","))&amp;",",","&amp;SUBSTITUTE(input_industry," ","")&amp;",")))=COUNTA(TEXTSPLIT(FO97,",")))))</f>
        <v/>
      </c>
      <c r="JJ97">
        <f>AND(IF(FQ97="",TRUE,IF(input_location="",FALSE,SUMPRODUCT(--ISNUMBER(SEARCH(","&amp;TRIM(TEXTSPLIT(FQ97,","))&amp;",",","&amp;SUBSTITUTE(input_location," ","")&amp;",")))&gt;0)),IF(FS97="",TRUE,IF(input_location="",FALSE,SUMPRODUCT(--ISNUMBER(SEARCH(","&amp;TRIM(TEXTSPLIT(FS97,","))&amp;",",","&amp;SUBSTITUTE(input_location," ","")&amp;",")))=COUNTA(TEXTSPLIT(FS97,",")))),IF(FU97="",TRUE,IF(input_location="",TRUE,SUMPRODUCT(--ISNUMBER(SEARCH(","&amp;TRIM(TEXTSPLIT(FU97,","))&amp;",",","&amp;SUBSTITUTE(input_location," ","")&amp;",")))=0)),IF(FW97="",TRUE,IF(input_location="",FALSE,SUMPRODUCT(--ISNUMBER(SEARCH(","&amp;TRIM(TEXTSPLIT(FW97,","))&amp;",",","&amp;SUBSTITUTE(input_location," ","")&amp;",")))&gt;0)),IF(FY97="",TRUE,IF(input_location="",FALSE,SUMPRODUCT(--ISNUMBER(SEARCH(","&amp;TRIM(TEXTSPLIT(FY97,","))&amp;",",","&amp;SUBSTITUTE(input_location," ","")&amp;",")))=COUNTA(TEXTSPLIT(FY97,",")))))</f>
        <v/>
      </c>
      <c r="JK97">
        <f>AND(IF(GA97="",TRUE,IF(input_modality="",FALSE,SUMPRODUCT(--ISNUMBER(SEARCH(","&amp;TRIM(TEXTSPLIT(GA97,","))&amp;",",","&amp;SUBSTITUTE(input_modality," ","")&amp;",")))&gt;0)),IF(GC97="",TRUE,IF(input_modality="",FALSE,SUMPRODUCT(--ISNUMBER(SEARCH(","&amp;TRIM(TEXTSPLIT(GC97,","))&amp;",",","&amp;SUBSTITUTE(input_modality," ","")&amp;",")))=COUNTA(TEXTSPLIT(GC97,",")))),IF(GE97="",TRUE,IF(input_modality="",TRUE,SUMPRODUCT(--ISNUMBER(SEARCH(","&amp;TRIM(TEXTSPLIT(GE97,","))&amp;",",","&amp;SUBSTITUTE(input_modality," ","")&amp;",")))=0)),IF(GG97="",TRUE,IF(input_modality="",FALSE,SUMPRODUCT(--ISNUMBER(SEARCH(","&amp;TRIM(TEXTSPLIT(GG97,","))&amp;",",","&amp;SUBSTITUTE(input_modality," ","")&amp;",")))&gt;0)),IF(GI97="",TRUE,IF(input_modality="",FALSE,SUMPRODUCT(--ISNUMBER(SEARCH(","&amp;TRIM(TEXTSPLIT(GI97,","))&amp;",",","&amp;SUBSTITUTE(input_modality," ","")&amp;",")))=COUNTA(TEXTSPLIT(GI97,",")))))</f>
        <v/>
      </c>
      <c r="JL97">
        <f>AND(IF(GK97="",TRUE,IF(input_organizer="",FALSE,SUMPRODUCT(--ISNUMBER(SEARCH(","&amp;TRIM(TEXTSPLIT(GK97,","))&amp;",",","&amp;SUBSTITUTE(input_organizer," ","")&amp;",")))&gt;0)),IF(GM97="",TRUE,IF(input_organizer="",FALSE,SUMPRODUCT(--ISNUMBER(SEARCH(","&amp;TRIM(TEXTSPLIT(GM97,","))&amp;",",","&amp;SUBSTITUTE(input_organizer," ","")&amp;",")))=COUNTA(TEXTSPLIT(GM97,",")))),IF(GO97="",TRUE,IF(input_organizer="",TRUE,SUMPRODUCT(--ISNUMBER(SEARCH(","&amp;TRIM(TEXTSPLIT(GO97,","))&amp;",",","&amp;SUBSTITUTE(input_organizer," ","")&amp;",")))=0)),IF(GQ97="",TRUE,IF(input_organizer="",FALSE,SUMPRODUCT(--ISNUMBER(SEARCH(","&amp;TRIM(TEXTSPLIT(GQ97,","))&amp;",",","&amp;SUBSTITUTE(input_organizer," ","")&amp;",")))&gt;0)),IF(GS97="",TRUE,IF(input_organizer="",FALSE,SUMPRODUCT(--ISNUMBER(SEARCH(","&amp;TRIM(TEXTSPLIT(GS97,","))&amp;",",","&amp;SUBSTITUTE(input_organizer," ","")&amp;",")))=COUNTA(TEXTSPLIT(GS97,",")))))</f>
        <v/>
      </c>
      <c r="JM97">
        <f>AND(IF(GU97="",TRUE,IF(input_profile_type="",FALSE,SUMPRODUCT(--ISNUMBER(SEARCH(","&amp;TRIM(TEXTSPLIT(GU97,","))&amp;",",","&amp;SUBSTITUTE(input_profile_type," ","")&amp;",")))&gt;0)),IF(GW97="",TRUE,IF(input_profile_type="",FALSE,SUMPRODUCT(--ISNUMBER(SEARCH(","&amp;TRIM(TEXTSPLIT(GW97,","))&amp;",",","&amp;SUBSTITUTE(input_profile_type," ","")&amp;",")))=COUNTA(TEXTSPLIT(GW97,",")))),IF(GY97="",TRUE,IF(input_profile_type="",TRUE,SUMPRODUCT(--ISNUMBER(SEARCH(","&amp;TRIM(TEXTSPLIT(GY97,","))&amp;",",","&amp;SUBSTITUTE(input_profile_type," ","")&amp;",")))=0)),IF(HA97="",TRUE,IF(input_profile_type="",FALSE,SUMPRODUCT(--ISNUMBER(SEARCH(","&amp;TRIM(TEXTSPLIT(HA97,","))&amp;",",","&amp;SUBSTITUTE(input_profile_type," ","")&amp;",")))&gt;0)),IF(HC97="",TRUE,IF(input_profile_type="",FALSE,SUMPRODUCT(--ISNUMBER(SEARCH(","&amp;TRIM(TEXTSPLIT(HC97,","))&amp;",",","&amp;SUBSTITUTE(input_profile_type," ","")&amp;",")))=COUNTA(TEXTSPLIT(HC97,",")))))</f>
        <v/>
      </c>
      <c r="JN97">
        <f>AND(IF(HE97="",TRUE,IF(input_program="",FALSE,SUMPRODUCT(--ISNUMBER(SEARCH(","&amp;TRIM(TEXTSPLIT(HE97,","))&amp;",",","&amp;SUBSTITUTE(input_program," ","")&amp;",")))&gt;0)),IF(HG97="",TRUE,IF(input_program="",FALSE,SUMPRODUCT(--ISNUMBER(SEARCH(","&amp;TRIM(TEXTSPLIT(HG97,","))&amp;",",","&amp;SUBSTITUTE(input_program," ","")&amp;",")))=COUNTA(TEXTSPLIT(HG97,",")))),IF(HI97="",TRUE,IF(input_program="",TRUE,SUMPRODUCT(--ISNUMBER(SEARCH(","&amp;TRIM(TEXTSPLIT(HI97,","))&amp;",",","&amp;SUBSTITUTE(input_program," ","")&amp;",")))=0)),IF(HK97="",TRUE,IF(input_program="",FALSE,SUMPRODUCT(--ISNUMBER(SEARCH(","&amp;TRIM(TEXTSPLIT(HK97,","))&amp;",",","&amp;SUBSTITUTE(input_program," ","")&amp;",")))&gt;0)),IF(HM97="",TRUE,IF(input_program="",FALSE,SUMPRODUCT(--ISNUMBER(SEARCH(","&amp;TRIM(TEXTSPLIT(HM97,","))&amp;",",","&amp;SUBSTITUTE(input_program," ","")&amp;",")))=COUNTA(TEXTSPLIT(HM97,",")))))</f>
        <v/>
      </c>
      <c r="JO97">
        <f>AND(IF(HO97="",TRUE,IF(input_story_categories="",FALSE,SUMPRODUCT(--ISNUMBER(SEARCH(","&amp;TRIM(TEXTSPLIT(HO97,","))&amp;",",","&amp;SUBSTITUTE(input_story_categories," ","")&amp;",")))&gt;0)),IF(HQ97="",TRUE,IF(input_story_categories="",FALSE,SUMPRODUCT(--ISNUMBER(SEARCH(","&amp;TRIM(TEXTSPLIT(HQ97,","))&amp;",",","&amp;SUBSTITUTE(input_story_categories," ","")&amp;",")))=COUNTA(TEXTSPLIT(HQ97,",")))),IF(HS97="",TRUE,IF(input_story_categories="",TRUE,SUMPRODUCT(--ISNUMBER(SEARCH(","&amp;TRIM(TEXTSPLIT(HS97,","))&amp;",",","&amp;SUBSTITUTE(input_story_categories," ","")&amp;",")))=0)),IF(HU97="",TRUE,IF(input_story_categories="",FALSE,SUMPRODUCT(--ISNUMBER(SEARCH(","&amp;TRIM(TEXTSPLIT(HU97,","))&amp;",",","&amp;SUBSTITUTE(input_story_categories," ","")&amp;",")))&gt;0)),IF(HW97="",TRUE,IF(input_story_categories="",FALSE,SUMPRODUCT(--ISNUMBER(SEARCH(","&amp;TRIM(TEXTSPLIT(HW97,","))&amp;",",","&amp;SUBSTITUTE(input_story_categories," ","")&amp;",")))=COUNTA(TEXTSPLIT(HW97,",")))))</f>
        <v/>
      </c>
      <c r="JP97">
        <f>AND(IF(HY97="",TRUE,IF(input_story_type="",FALSE,SUMPRODUCT(--ISNUMBER(SEARCH(","&amp;TRIM(TEXTSPLIT(HY97,","))&amp;",",","&amp;SUBSTITUTE(input_story_type," ","")&amp;",")))&gt;0)),IF(IA97="",TRUE,IF(input_story_type="",FALSE,SUMPRODUCT(--ISNUMBER(SEARCH(","&amp;TRIM(TEXTSPLIT(IA97,","))&amp;",",","&amp;SUBSTITUTE(input_story_type," ","")&amp;",")))=COUNTA(TEXTSPLIT(IA97,",")))),IF(IC97="",TRUE,IF(input_story_type="",TRUE,SUMPRODUCT(--ISNUMBER(SEARCH(","&amp;TRIM(TEXTSPLIT(IC97,","))&amp;",",","&amp;SUBSTITUTE(input_story_type," ","")&amp;",")))=0)),IF(IE97="",TRUE,IF(input_story_type="",FALSE,SUMPRODUCT(--ISNUMBER(SEARCH(","&amp;TRIM(TEXTSPLIT(IE97,","))&amp;",",","&amp;SUBSTITUTE(input_story_type," ","")&amp;",")))&gt;0)),IF(IG97="",TRUE,IF(input_story_type="",FALSE,SUMPRODUCT(--ISNUMBER(SEARCH(","&amp;TRIM(TEXTSPLIT(IG97,","))&amp;",",","&amp;SUBSTITUTE(input_story_type," ","")&amp;",")))=COUNTA(TEXTSPLIT(IG97,",")))))</f>
        <v/>
      </c>
      <c r="JQ97">
        <f>AND(IF(II97="",TRUE,IF(input_topics="",FALSE,SUMPRODUCT(--ISNUMBER(SEARCH(","&amp;TRIM(TEXTSPLIT(II97,","))&amp;",",","&amp;SUBSTITUTE(input_topics," ","")&amp;",")))&gt;0)),IF(IK97="",TRUE,IF(input_topics="",FALSE,SUMPRODUCT(--ISNUMBER(SEARCH(","&amp;TRIM(TEXTSPLIT(IK97,","))&amp;",",","&amp;SUBSTITUTE(input_topics," ","")&amp;",")))=COUNTA(TEXTSPLIT(IK97,",")))),IF(IM97="",TRUE,IF(input_topics="",TRUE,SUMPRODUCT(--ISNUMBER(SEARCH(","&amp;TRIM(TEXTSPLIT(IM97,","))&amp;",",","&amp;SUBSTITUTE(input_topics," ","")&amp;",")))=0)),IF(IO97="",TRUE,IF(input_topics="",FALSE,SUMPRODUCT(--ISNUMBER(SEARCH(","&amp;TRIM(TEXTSPLIT(IO97,","))&amp;",",","&amp;SUBSTITUTE(input_topics," ","")&amp;",")))&gt;0)),IF(IQ97="",TRUE,IF(input_topics="",FALSE,SUMPRODUCT(--ISNUMBER(SEARCH(","&amp;TRIM(TEXTSPLIT(IQ97,","))&amp;",",","&amp;SUBSTITUTE(input_topics," ","")&amp;",")))=COUNTA(TEXTSPLIT(IQ97,",")))))</f>
        <v/>
      </c>
    </row>
    <row r="98">
      <c r="A98" s="4">
        <f>IF(NOT(IS98),"Excluded",IF(AND(IT98,IU98,IV98,IW98,IX98,IY98,IZ98,JA98,JB98,JC98,JD98,JE98,JF98,JG98,JH98,JI98,JJ98,JK98,JL98,JM98,JN98,JO98,JP98,JQ98),IF(I98&gt;0,"Eligible but limited","Will appear"),"Excluded"))</f>
        <v/>
      </c>
      <c r="B98" s="4" t="inlineStr">
        <is>
          <t>Entrepreneurship News</t>
        </is>
      </c>
      <c r="C98" s="4" t="inlineStr">
        <is>
          <t>/centers/program-entrepreneurship/entrepreneurship-news-events/entrepreneurship-news</t>
        </is>
      </c>
      <c r="D98" s="4" t="inlineStr">
        <is>
          <t>/centers/program-entrepreneurship/entrepreneurship-news-events/entrepreneurship-news</t>
        </is>
      </c>
      <c r="E98" s="4" t="n">
        <v>1</v>
      </c>
      <c r="F98" s="4" t="inlineStr">
        <is>
          <t>story</t>
        </is>
      </c>
      <c r="G98" s="4" t="inlineStr">
        <is>
          <t>stories_list</t>
        </is>
      </c>
      <c r="H98" s="4" t="inlineStr">
        <is>
          <t>embed_1</t>
        </is>
      </c>
      <c r="I98" s="4" t="n">
        <v>10</v>
      </c>
      <c r="J98" s="4" t="inlineStr">
        <is>
          <t>Explicit args</t>
        </is>
      </c>
      <c r="K98" s="4" t="inlineStr">
        <is>
          <t>Page placement</t>
        </is>
      </c>
      <c r="L98" s="4" t="inlineStr">
        <is>
          <t>Content type: story; Context uses Courses Context: Program on Entrepreneurship (934); Limited to 10 item(s); Source: Explicit args</t>
        </is>
      </c>
      <c r="M98" t="inlineStr"/>
      <c r="N98" t="inlineStr"/>
      <c r="O98" t="inlineStr"/>
      <c r="P98" t="inlineStr"/>
      <c r="Q98" t="inlineStr"/>
      <c r="R98" t="inlineStr"/>
      <c r="S98" t="inlineStr"/>
      <c r="T98" t="inlineStr"/>
      <c r="U98" t="inlineStr"/>
      <c r="V98" t="inlineStr"/>
      <c r="W98" t="inlineStr"/>
      <c r="X98" t="inlineStr"/>
      <c r="Y98" t="inlineStr"/>
      <c r="Z98" t="inlineStr"/>
      <c r="AA98" t="inlineStr"/>
      <c r="AB98" t="inlineStr"/>
      <c r="AC98" t="inlineStr"/>
      <c r="AD98" t="inlineStr"/>
      <c r="AE98" t="inlineStr"/>
      <c r="AF98" t="inlineStr"/>
      <c r="AG98" t="inlineStr"/>
      <c r="AH98" t="inlineStr"/>
      <c r="AI98" t="inlineStr"/>
      <c r="AJ98" t="inlineStr"/>
      <c r="AK98" t="inlineStr"/>
      <c r="AL98" t="inlineStr"/>
      <c r="AM98" t="inlineStr"/>
      <c r="AN98" t="inlineStr"/>
      <c r="AO98" t="inlineStr"/>
      <c r="AP98" t="inlineStr"/>
      <c r="AQ98" t="inlineStr"/>
      <c r="AR98" t="inlineStr"/>
      <c r="AS98" t="inlineStr"/>
      <c r="AT98" t="inlineStr"/>
      <c r="AU98" t="inlineStr"/>
      <c r="AV98" t="inlineStr"/>
      <c r="AW98" t="inlineStr"/>
      <c r="AX98" t="inlineStr"/>
      <c r="AY98" t="inlineStr"/>
      <c r="AZ98" t="inlineStr"/>
      <c r="BA98" t="inlineStr"/>
      <c r="BB98" t="inlineStr"/>
      <c r="BC98" t="inlineStr"/>
      <c r="BD98" t="inlineStr"/>
      <c r="BE98" t="inlineStr"/>
      <c r="BF98" t="inlineStr"/>
      <c r="BG98" t="inlineStr"/>
      <c r="BH98" t="inlineStr"/>
      <c r="BI98" t="inlineStr"/>
      <c r="BJ98" t="inlineStr"/>
      <c r="BK98" t="inlineStr"/>
      <c r="BL98" t="inlineStr"/>
      <c r="BM98" t="inlineStr"/>
      <c r="BN98" t="inlineStr"/>
      <c r="BO98" t="inlineStr"/>
      <c r="BP98" t="inlineStr"/>
      <c r="BQ98" t="inlineStr">
        <is>
          <t>934</t>
        </is>
      </c>
      <c r="BR98" t="inlineStr">
        <is>
          <t>Program on Entrepreneurship (934)</t>
        </is>
      </c>
      <c r="BS98" t="inlineStr"/>
      <c r="BT98" t="inlineStr"/>
      <c r="BU98" t="inlineStr"/>
      <c r="BV98" t="inlineStr"/>
      <c r="BW98" t="inlineStr"/>
      <c r="BX98" t="inlineStr"/>
      <c r="BY98" t="inlineStr"/>
      <c r="BZ98" t="inlineStr"/>
      <c r="CA98" t="inlineStr"/>
      <c r="CB98" t="inlineStr"/>
      <c r="CC98" t="inlineStr"/>
      <c r="CD98" t="inlineStr"/>
      <c r="CE98" t="inlineStr"/>
      <c r="CF98" t="inlineStr"/>
      <c r="CG98" t="inlineStr"/>
      <c r="CH98" t="inlineStr"/>
      <c r="CI98" t="inlineStr"/>
      <c r="CJ98" t="inlineStr"/>
      <c r="CK98" t="inlineStr"/>
      <c r="CL98" t="inlineStr"/>
      <c r="CM98" t="inlineStr"/>
      <c r="CN98" t="inlineStr"/>
      <c r="CO98" t="inlineStr"/>
      <c r="CP98" t="inlineStr"/>
      <c r="CQ98" t="inlineStr"/>
      <c r="CR98" t="inlineStr"/>
      <c r="CS98" t="inlineStr"/>
      <c r="CT98" t="inlineStr"/>
      <c r="CU98" t="inlineStr"/>
      <c r="CV98" t="inlineStr"/>
      <c r="CW98" t="inlineStr"/>
      <c r="CX98" t="inlineStr"/>
      <c r="CY98" t="inlineStr"/>
      <c r="CZ98" t="inlineStr"/>
      <c r="DA98" t="inlineStr"/>
      <c r="DB98" t="inlineStr"/>
      <c r="DC98" t="inlineStr"/>
      <c r="DD98" t="inlineStr"/>
      <c r="DE98" t="inlineStr"/>
      <c r="DF98" t="inlineStr"/>
      <c r="DG98" t="inlineStr"/>
      <c r="DH98" t="inlineStr"/>
      <c r="DI98" t="inlineStr"/>
      <c r="DJ98" t="inlineStr"/>
      <c r="DK98" t="inlineStr"/>
      <c r="DL98" t="inlineStr"/>
      <c r="DM98" t="inlineStr"/>
      <c r="DN98" t="inlineStr"/>
      <c r="DO98" t="inlineStr"/>
      <c r="DP98" t="inlineStr"/>
      <c r="DQ98" t="inlineStr"/>
      <c r="DR98" t="inlineStr"/>
      <c r="DS98" t="inlineStr"/>
      <c r="DT98" t="inlineStr"/>
      <c r="DU98" t="inlineStr"/>
      <c r="DV98" t="inlineStr"/>
      <c r="DW98" t="inlineStr"/>
      <c r="DX98" t="inlineStr"/>
      <c r="DY98" t="inlineStr"/>
      <c r="DZ98" t="inlineStr"/>
      <c r="EA98" t="inlineStr"/>
      <c r="EB98" t="inlineStr"/>
      <c r="EC98" t="inlineStr"/>
      <c r="ED98" t="inlineStr"/>
      <c r="EE98" t="inlineStr"/>
      <c r="EF98" t="inlineStr"/>
      <c r="EG98" t="inlineStr"/>
      <c r="EH98" t="inlineStr"/>
      <c r="EI98" t="inlineStr"/>
      <c r="EJ98" t="inlineStr"/>
      <c r="EK98" t="inlineStr"/>
      <c r="EL98" t="inlineStr"/>
      <c r="EM98" t="inlineStr"/>
      <c r="EN98" t="inlineStr"/>
      <c r="EO98" t="inlineStr"/>
      <c r="EP98" t="inlineStr"/>
      <c r="EQ98" t="inlineStr"/>
      <c r="ER98" t="inlineStr"/>
      <c r="ES98" t="inlineStr"/>
      <c r="ET98" t="inlineStr"/>
      <c r="EU98" t="inlineStr"/>
      <c r="EV98" t="inlineStr"/>
      <c r="EW98" t="inlineStr"/>
      <c r="EX98" t="inlineStr"/>
      <c r="EY98" t="inlineStr"/>
      <c r="EZ98" t="inlineStr"/>
      <c r="FA98" t="inlineStr"/>
      <c r="FB98" t="inlineStr"/>
      <c r="FC98" t="inlineStr"/>
      <c r="FD98" t="inlineStr"/>
      <c r="FE98" t="inlineStr"/>
      <c r="FF98" t="inlineStr"/>
      <c r="FG98" t="inlineStr"/>
      <c r="FH98" t="inlineStr"/>
      <c r="FI98" t="inlineStr"/>
      <c r="FJ98" t="inlineStr"/>
      <c r="FK98" t="inlineStr"/>
      <c r="FL98" t="inlineStr"/>
      <c r="FM98" t="inlineStr"/>
      <c r="FN98" t="inlineStr"/>
      <c r="FO98" t="inlineStr"/>
      <c r="FP98" t="inlineStr"/>
      <c r="FQ98" t="inlineStr"/>
      <c r="FR98" t="inlineStr"/>
      <c r="FS98" t="inlineStr"/>
      <c r="FT98" t="inlineStr"/>
      <c r="FU98" t="inlineStr"/>
      <c r="FV98" t="inlineStr"/>
      <c r="FW98" t="inlineStr"/>
      <c r="FX98" t="inlineStr"/>
      <c r="FY98" t="inlineStr"/>
      <c r="FZ98" t="inlineStr"/>
      <c r="GA98" t="inlineStr"/>
      <c r="GB98" t="inlineStr"/>
      <c r="GC98" t="inlineStr"/>
      <c r="GD98" t="inlineStr"/>
      <c r="GE98" t="inlineStr"/>
      <c r="GF98" t="inlineStr"/>
      <c r="GG98" t="inlineStr"/>
      <c r="GH98" t="inlineStr"/>
      <c r="GI98" t="inlineStr"/>
      <c r="GJ98" t="inlineStr"/>
      <c r="GK98" t="inlineStr"/>
      <c r="GL98" t="inlineStr"/>
      <c r="GM98" t="inlineStr"/>
      <c r="GN98" t="inlineStr"/>
      <c r="GO98" t="inlineStr"/>
      <c r="GP98" t="inlineStr"/>
      <c r="GQ98" t="inlineStr"/>
      <c r="GR98" t="inlineStr"/>
      <c r="GS98" t="inlineStr"/>
      <c r="GT98" t="inlineStr"/>
      <c r="GU98" t="inlineStr"/>
      <c r="GV98" t="inlineStr"/>
      <c r="GW98" t="inlineStr"/>
      <c r="GX98" t="inlineStr"/>
      <c r="GY98" t="inlineStr"/>
      <c r="GZ98" t="inlineStr"/>
      <c r="HA98" t="inlineStr"/>
      <c r="HB98" t="inlineStr"/>
      <c r="HC98" t="inlineStr"/>
      <c r="HD98" t="inlineStr"/>
      <c r="HE98" t="inlineStr"/>
      <c r="HF98" t="inlineStr"/>
      <c r="HG98" t="inlineStr"/>
      <c r="HH98" t="inlineStr"/>
      <c r="HI98" t="inlineStr"/>
      <c r="HJ98" t="inlineStr"/>
      <c r="HK98" t="inlineStr"/>
      <c r="HL98" t="inlineStr"/>
      <c r="HM98" t="inlineStr"/>
      <c r="HN98" t="inlineStr"/>
      <c r="HO98" t="inlineStr"/>
      <c r="HP98" t="inlineStr"/>
      <c r="HQ98" t="inlineStr"/>
      <c r="HR98" t="inlineStr"/>
      <c r="HS98" t="inlineStr"/>
      <c r="HT98" t="inlineStr"/>
      <c r="HU98" t="inlineStr"/>
      <c r="HV98" t="inlineStr"/>
      <c r="HW98" t="inlineStr"/>
      <c r="HX98" t="inlineStr"/>
      <c r="HY98" t="inlineStr"/>
      <c r="HZ98" t="inlineStr"/>
      <c r="IA98" t="inlineStr"/>
      <c r="IB98" t="inlineStr"/>
      <c r="IC98" t="inlineStr"/>
      <c r="ID98" t="inlineStr"/>
      <c r="IE98" t="inlineStr"/>
      <c r="IF98" t="inlineStr"/>
      <c r="IG98" t="inlineStr"/>
      <c r="IH98" t="inlineStr"/>
      <c r="II98" t="inlineStr"/>
      <c r="IJ98" t="inlineStr"/>
      <c r="IK98" t="inlineStr"/>
      <c r="IL98" t="inlineStr"/>
      <c r="IM98" t="inlineStr"/>
      <c r="IN98" t="inlineStr"/>
      <c r="IO98" t="inlineStr"/>
      <c r="IP98" t="inlineStr"/>
      <c r="IQ98" t="inlineStr"/>
      <c r="IR98" t="inlineStr"/>
      <c r="IS98">
        <f>IF(input_content_type="",FALSE,ISNUMBER(SEARCH(","&amp;LOWER(input_content_type)&amp;",",","&amp;LOWER(F98)&amp;",")))</f>
        <v/>
      </c>
      <c r="IT98">
        <f>AND(IF(M98="",TRUE,IF(input_affiliations="",FALSE,SUMPRODUCT(--ISNUMBER(SEARCH(","&amp;TRIM(TEXTSPLIT(M98,","))&amp;",",","&amp;SUBSTITUTE(input_affiliations," ","")&amp;",")))&gt;0)),IF(O98="",TRUE,IF(input_affiliations="",FALSE,SUMPRODUCT(--ISNUMBER(SEARCH(","&amp;TRIM(TEXTSPLIT(O98,","))&amp;",",","&amp;SUBSTITUTE(input_affiliations," ","")&amp;",")))=COUNTA(TEXTSPLIT(O98,",")))),IF(Q98="",TRUE,IF(input_affiliations="",TRUE,SUMPRODUCT(--ISNUMBER(SEARCH(","&amp;TRIM(TEXTSPLIT(Q98,","))&amp;",",","&amp;SUBSTITUTE(input_affiliations," ","")&amp;",")))=0)),IF(S98="",TRUE,IF(input_affiliations="",FALSE,SUMPRODUCT(--ISNUMBER(SEARCH(","&amp;TRIM(TEXTSPLIT(S98,","))&amp;",",","&amp;SUBSTITUTE(input_affiliations," ","")&amp;",")))&gt;0)),IF(U98="",TRUE,IF(input_affiliations="",FALSE,SUMPRODUCT(--ISNUMBER(SEARCH(","&amp;TRIM(TEXTSPLIT(U98,","))&amp;",",","&amp;SUBSTITUTE(input_affiliations," ","")&amp;",")))=COUNTA(TEXTSPLIT(U98,",")))))</f>
        <v/>
      </c>
      <c r="IU98">
        <f>AND(IF(W98="",TRUE,IF(input_announcement_category="",FALSE,SUMPRODUCT(--ISNUMBER(SEARCH(","&amp;TRIM(TEXTSPLIT(W98,","))&amp;",",","&amp;SUBSTITUTE(input_announcement_category," ","")&amp;",")))&gt;0)),IF(Y98="",TRUE,IF(input_announcement_category="",FALSE,SUMPRODUCT(--ISNUMBER(SEARCH(","&amp;TRIM(TEXTSPLIT(Y98,","))&amp;",",","&amp;SUBSTITUTE(input_announcement_category," ","")&amp;",")))=COUNTA(TEXTSPLIT(Y98,",")))),IF(AA98="",TRUE,IF(input_announcement_category="",TRUE,SUMPRODUCT(--ISNUMBER(SEARCH(","&amp;TRIM(TEXTSPLIT(AA98,","))&amp;",",","&amp;SUBSTITUTE(input_announcement_category," ","")&amp;",")))=0)),IF(AC98="",TRUE,IF(input_announcement_category="",FALSE,SUMPRODUCT(--ISNUMBER(SEARCH(","&amp;TRIM(TEXTSPLIT(AC98,","))&amp;",",","&amp;SUBSTITUTE(input_announcement_category," ","")&amp;",")))&gt;0)),IF(AE98="",TRUE,IF(input_announcement_category="",FALSE,SUMPRODUCT(--ISNUMBER(SEARCH(","&amp;TRIM(TEXTSPLIT(AE98,","))&amp;",",","&amp;SUBSTITUTE(input_announcement_category," ","")&amp;",")))=COUNTA(TEXTSPLIT(AE98,",")))))</f>
        <v/>
      </c>
      <c r="IV98">
        <f>AND(IF(AG98="",TRUE,IF(input_area_of_focus="",FALSE,SUMPRODUCT(--ISNUMBER(SEARCH(","&amp;TRIM(TEXTSPLIT(AG98,","))&amp;",",","&amp;SUBSTITUTE(input_area_of_focus," ","")&amp;",")))&gt;0)),IF(AI98="",TRUE,IF(input_area_of_focus="",FALSE,SUMPRODUCT(--ISNUMBER(SEARCH(","&amp;TRIM(TEXTSPLIT(AI98,","))&amp;",",","&amp;SUBSTITUTE(input_area_of_focus," ","")&amp;",")))=COUNTA(TEXTSPLIT(AI98,",")))),IF(AK98="",TRUE,IF(input_area_of_focus="",TRUE,SUMPRODUCT(--ISNUMBER(SEARCH(","&amp;TRIM(TEXTSPLIT(AK98,","))&amp;",",","&amp;SUBSTITUTE(input_area_of_focus," ","")&amp;",")))=0)),IF(AM98="",TRUE,IF(input_area_of_focus="",FALSE,SUMPRODUCT(--ISNUMBER(SEARCH(","&amp;TRIM(TEXTSPLIT(AM98,","))&amp;",",","&amp;SUBSTITUTE(input_area_of_focus," ","")&amp;",")))&gt;0)),IF(AO98="",TRUE,IF(input_area_of_focus="",FALSE,SUMPRODUCT(--ISNUMBER(SEARCH(","&amp;TRIM(TEXTSPLIT(AO98,","))&amp;",",","&amp;SUBSTITUTE(input_area_of_focus," ","")&amp;",")))=COUNTA(TEXTSPLIT(AO98,",")))))</f>
        <v/>
      </c>
      <c r="IW98">
        <f>AND(IF(AQ98="",TRUE,IF(input_audience="",FALSE,SUMPRODUCT(--ISNUMBER(SEARCH(","&amp;TRIM(TEXTSPLIT(AQ98,","))&amp;",",","&amp;SUBSTITUTE(input_audience," ","")&amp;",")))&gt;0)),IF(AS98="",TRUE,IF(input_audience="",FALSE,SUMPRODUCT(--ISNUMBER(SEARCH(","&amp;TRIM(TEXTSPLIT(AS98,","))&amp;",",","&amp;SUBSTITUTE(input_audience," ","")&amp;",")))=COUNTA(TEXTSPLIT(AS98,",")))),IF(AU98="",TRUE,IF(input_audience="",TRUE,SUMPRODUCT(--ISNUMBER(SEARCH(","&amp;TRIM(TEXTSPLIT(AU98,","))&amp;",",","&amp;SUBSTITUTE(input_audience," ","")&amp;",")))=0)),IF(AW98="",TRUE,IF(input_audience="",FALSE,SUMPRODUCT(--ISNUMBER(SEARCH(","&amp;TRIM(TEXTSPLIT(AW98,","))&amp;",",","&amp;SUBSTITUTE(input_audience," ","")&amp;",")))&gt;0)),IF(AY98="",TRUE,IF(input_audience="",FALSE,SUMPRODUCT(--ISNUMBER(SEARCH(","&amp;TRIM(TEXTSPLIT(AY98,","))&amp;",",","&amp;SUBSTITUTE(input_audience," ","")&amp;",")))=COUNTA(TEXTSPLIT(AY98,",")))))</f>
        <v/>
      </c>
      <c r="IX98">
        <f>AND(IF(BA98="",TRUE,IF(input_challenge_opportunities="",FALSE,SUMPRODUCT(--ISNUMBER(SEARCH(","&amp;TRIM(TEXTSPLIT(BA98,","))&amp;",",","&amp;SUBSTITUTE(input_challenge_opportunities," ","")&amp;",")))&gt;0)),IF(BC98="",TRUE,IF(input_challenge_opportunities="",FALSE,SUMPRODUCT(--ISNUMBER(SEARCH(","&amp;TRIM(TEXTSPLIT(BC98,","))&amp;",",","&amp;SUBSTITUTE(input_challenge_opportunities," ","")&amp;",")))=COUNTA(TEXTSPLIT(BC98,",")))),IF(BE98="",TRUE,IF(input_challenge_opportunities="",TRUE,SUMPRODUCT(--ISNUMBER(SEARCH(","&amp;TRIM(TEXTSPLIT(BE98,","))&amp;",",","&amp;SUBSTITUTE(input_challenge_opportunities," ","")&amp;",")))=0)),IF(BG98="",TRUE,IF(input_challenge_opportunities="",FALSE,SUMPRODUCT(--ISNUMBER(SEARCH(","&amp;TRIM(TEXTSPLIT(BG98,","))&amp;",",","&amp;SUBSTITUTE(input_challenge_opportunities," ","")&amp;",")))&gt;0)),IF(BI98="",TRUE,IF(input_challenge_opportunities="",FALSE,SUMPRODUCT(--ISNUMBER(SEARCH(","&amp;TRIM(TEXTSPLIT(BI98,","))&amp;",",","&amp;SUBSTITUTE(input_challenge_opportunities," ","")&amp;",")))=COUNTA(TEXTSPLIT(BI98,",")))))</f>
        <v/>
      </c>
      <c r="IY98">
        <f>AND(IF(BK98="",TRUE,IF(input_context="",FALSE,SUMPRODUCT(--ISNUMBER(SEARCH(","&amp;TRIM(TEXTSPLIT(BK98,","))&amp;",",","&amp;SUBSTITUTE(input_context," ","")&amp;",")))&gt;0)),IF(BM98="",TRUE,IF(input_context="",FALSE,SUMPRODUCT(--ISNUMBER(SEARCH(","&amp;TRIM(TEXTSPLIT(BM98,","))&amp;",",","&amp;SUBSTITUTE(input_context," ","")&amp;",")))=COUNTA(TEXTSPLIT(BM98,",")))),IF(BO98="",TRUE,IF(input_context="",TRUE,SUMPRODUCT(--ISNUMBER(SEARCH(","&amp;TRIM(TEXTSPLIT(BO98,","))&amp;",",","&amp;SUBSTITUTE(input_context," ","")&amp;",")))=0)),IF(BQ98="",TRUE,IF(input_context="",FALSE,SUMPRODUCT(--ISNUMBER(SEARCH(","&amp;TRIM(TEXTSPLIT(BQ98,","))&amp;",",","&amp;SUBSTITUTE(input_context," ","")&amp;",")))&gt;0)),IF(BS98="",TRUE,IF(input_context="",FALSE,SUMPRODUCT(--ISNUMBER(SEARCH(","&amp;TRIM(TEXTSPLIT(BS98,","))&amp;",",","&amp;SUBSTITUTE(input_context," ","")&amp;",")))=COUNTA(TEXTSPLIT(BS98,",")))))</f>
        <v/>
      </c>
      <c r="IZ98">
        <f>AND(IF(BU98="",TRUE,IF(input_enews_announcement_type="",FALSE,SUMPRODUCT(--ISNUMBER(SEARCH(","&amp;TRIM(TEXTSPLIT(BU98,","))&amp;",",","&amp;SUBSTITUTE(input_enews_announcement_type," ","")&amp;",")))&gt;0)),IF(BW98="",TRUE,IF(input_enews_announcement_type="",FALSE,SUMPRODUCT(--ISNUMBER(SEARCH(","&amp;TRIM(TEXTSPLIT(BW98,","))&amp;",",","&amp;SUBSTITUTE(input_enews_announcement_type," ","")&amp;",")))=COUNTA(TEXTSPLIT(BW98,",")))),IF(BY98="",TRUE,IF(input_enews_announcement_type="",TRUE,SUMPRODUCT(--ISNUMBER(SEARCH(","&amp;TRIM(TEXTSPLIT(BY98,","))&amp;",",","&amp;SUBSTITUTE(input_enews_announcement_type," ","")&amp;",")))=0)),IF(CA98="",TRUE,IF(input_enews_announcement_type="",FALSE,SUMPRODUCT(--ISNUMBER(SEARCH(","&amp;TRIM(TEXTSPLIT(CA98,","))&amp;",",","&amp;SUBSTITUTE(input_enews_announcement_type," ","")&amp;",")))&gt;0)),IF(CC98="",TRUE,IF(input_enews_announcement_type="",FALSE,SUMPRODUCT(--ISNUMBER(SEARCH(","&amp;TRIM(TEXTSPLIT(CC98,","))&amp;",",","&amp;SUBSTITUTE(input_enews_announcement_type," ","")&amp;",")))=COUNTA(TEXTSPLIT(CC98,",")))))</f>
        <v/>
      </c>
      <c r="JA98">
        <f>AND(IF(CE98="",TRUE,IF(input_enews_audience="",FALSE,SUMPRODUCT(--ISNUMBER(SEARCH(","&amp;TRIM(TEXTSPLIT(CE98,","))&amp;",",","&amp;SUBSTITUTE(input_enews_audience," ","")&amp;",")))&gt;0)),IF(CG98="",TRUE,IF(input_enews_audience="",FALSE,SUMPRODUCT(--ISNUMBER(SEARCH(","&amp;TRIM(TEXTSPLIT(CG98,","))&amp;",",","&amp;SUBSTITUTE(input_enews_audience," ","")&amp;",")))=COUNTA(TEXTSPLIT(CG98,",")))),IF(CI98="",TRUE,IF(input_enews_audience="",TRUE,SUMPRODUCT(--ISNUMBER(SEARCH(","&amp;TRIM(TEXTSPLIT(CI98,","))&amp;",",","&amp;SUBSTITUTE(input_enews_audience," ","")&amp;",")))=0)),IF(CK98="",TRUE,IF(input_enews_audience="",FALSE,SUMPRODUCT(--ISNUMBER(SEARCH(","&amp;TRIM(TEXTSPLIT(CK98,","))&amp;",",","&amp;SUBSTITUTE(input_enews_audience," ","")&amp;",")))&gt;0)),IF(CM98="",TRUE,IF(input_enews_audience="",FALSE,SUMPRODUCT(--ISNUMBER(SEARCH(","&amp;TRIM(TEXTSPLIT(CM98,","))&amp;",",","&amp;SUBSTITUTE(input_enews_audience," ","")&amp;",")))=COUNTA(TEXTSPLIT(CM98,",")))))</f>
        <v/>
      </c>
      <c r="JB98">
        <f>AND(IF(CO98="",TRUE,IF(input_event_location="",FALSE,SUMPRODUCT(--ISNUMBER(SEARCH(","&amp;TRIM(TEXTSPLIT(CO98,","))&amp;",",","&amp;SUBSTITUTE(input_event_location," ","")&amp;",")))&gt;0)),IF(CQ98="",TRUE,IF(input_event_location="",FALSE,SUMPRODUCT(--ISNUMBER(SEARCH(","&amp;TRIM(TEXTSPLIT(CQ98,","))&amp;",",","&amp;SUBSTITUTE(input_event_location," ","")&amp;",")))=COUNTA(TEXTSPLIT(CQ98,",")))),IF(CS98="",TRUE,IF(input_event_location="",TRUE,SUMPRODUCT(--ISNUMBER(SEARCH(","&amp;TRIM(TEXTSPLIT(CS98,","))&amp;",",","&amp;SUBSTITUTE(input_event_location," ","")&amp;",")))=0)),IF(CU98="",TRUE,IF(input_event_location="",FALSE,SUMPRODUCT(--ISNUMBER(SEARCH(","&amp;TRIM(TEXTSPLIT(CU98,","))&amp;",",","&amp;SUBSTITUTE(input_event_location," ","")&amp;",")))&gt;0)),IF(CW98="",TRUE,IF(input_event_location="",FALSE,SUMPRODUCT(--ISNUMBER(SEARCH(","&amp;TRIM(TEXTSPLIT(CW98,","))&amp;",",","&amp;SUBSTITUTE(input_event_location," ","")&amp;",")))=COUNTA(TEXTSPLIT(CW98,",")))))</f>
        <v/>
      </c>
      <c r="JC98">
        <f>AND(IF(CY98="",TRUE,IF(input_event_type="",FALSE,SUMPRODUCT(--ISNUMBER(SEARCH(","&amp;TRIM(TEXTSPLIT(CY98,","))&amp;",",","&amp;SUBSTITUTE(input_event_type," ","")&amp;",")))&gt;0)),IF(DA98="",TRUE,IF(input_event_type="",FALSE,SUMPRODUCT(--ISNUMBER(SEARCH(","&amp;TRIM(TEXTSPLIT(DA98,","))&amp;",",","&amp;SUBSTITUTE(input_event_type," ","")&amp;",")))=COUNTA(TEXTSPLIT(DA98,",")))),IF(DC98="",TRUE,IF(input_event_type="",TRUE,SUMPRODUCT(--ISNUMBER(SEARCH(","&amp;TRIM(TEXTSPLIT(DC98,","))&amp;",",","&amp;SUBSTITUTE(input_event_type," ","")&amp;",")))=0)),IF(DE98="",TRUE,IF(input_event_type="",FALSE,SUMPRODUCT(--ISNUMBER(SEARCH(","&amp;TRIM(TEXTSPLIT(DE98,","))&amp;",",","&amp;SUBSTITUTE(input_event_type," ","")&amp;",")))&gt;0)),IF(DG98="",TRUE,IF(input_event_type="",FALSE,SUMPRODUCT(--ISNUMBER(SEARCH(","&amp;TRIM(TEXTSPLIT(DG98,","))&amp;",",","&amp;SUBSTITUTE(input_event_type," ","")&amp;",")))=COUNTA(TEXTSPLIT(DG98,",")))))</f>
        <v/>
      </c>
      <c r="JD98">
        <f>AND(IF(DI98="",TRUE,IF(input_executive_education_focus="",FALSE,SUMPRODUCT(--ISNUMBER(SEARCH(","&amp;TRIM(TEXTSPLIT(DI98,","))&amp;",",","&amp;SUBSTITUTE(input_executive_education_focus," ","")&amp;",")))&gt;0)),IF(DK98="",TRUE,IF(input_executive_education_focus="",FALSE,SUMPRODUCT(--ISNUMBER(SEARCH(","&amp;TRIM(TEXTSPLIT(DK98,","))&amp;",",","&amp;SUBSTITUTE(input_executive_education_focus," ","")&amp;",")))=COUNTA(TEXTSPLIT(DK98,",")))),IF(DM98="",TRUE,IF(input_executive_education_focus="",TRUE,SUMPRODUCT(--ISNUMBER(SEARCH(","&amp;TRIM(TEXTSPLIT(DM98,","))&amp;",",","&amp;SUBSTITUTE(input_executive_education_focus," ","")&amp;",")))=0)),IF(DO98="",TRUE,IF(input_executive_education_focus="",FALSE,SUMPRODUCT(--ISNUMBER(SEARCH(","&amp;TRIM(TEXTSPLIT(DO98,","))&amp;",",","&amp;SUBSTITUTE(input_executive_education_focus," ","")&amp;",")))&gt;0)),IF(DQ98="",TRUE,IF(input_executive_education_focus="",FALSE,SUMPRODUCT(--ISNUMBER(SEARCH(","&amp;TRIM(TEXTSPLIT(DQ98,","))&amp;",",","&amp;SUBSTITUTE(input_executive_education_focus," ","")&amp;",")))=COUNTA(TEXTSPLIT(DQ98,",")))))</f>
        <v/>
      </c>
      <c r="JE98">
        <f>AND(IF(DS98="",TRUE,IF(input_faculty_category="",FALSE,SUMPRODUCT(--ISNUMBER(SEARCH(","&amp;TRIM(TEXTSPLIT(DS98,","))&amp;",",","&amp;SUBSTITUTE(input_faculty_category," ","")&amp;",")))&gt;0)),IF(DU98="",TRUE,IF(input_faculty_category="",FALSE,SUMPRODUCT(--ISNUMBER(SEARCH(","&amp;TRIM(TEXTSPLIT(DU98,","))&amp;",",","&amp;SUBSTITUTE(input_faculty_category," ","")&amp;",")))=COUNTA(TEXTSPLIT(DU98,",")))),IF(DW98="",TRUE,IF(input_faculty_category="",TRUE,SUMPRODUCT(--ISNUMBER(SEARCH(","&amp;TRIM(TEXTSPLIT(DW98,","))&amp;",",","&amp;SUBSTITUTE(input_faculty_category," ","")&amp;",")))=0)),IF(DY98="",TRUE,IF(input_faculty_category="",FALSE,SUMPRODUCT(--ISNUMBER(SEARCH(","&amp;TRIM(TEXTSPLIT(DY98,","))&amp;",",","&amp;SUBSTITUTE(input_faculty_category," ","")&amp;",")))&gt;0)),IF(EA98="",TRUE,IF(input_faculty_category="",FALSE,SUMPRODUCT(--ISNUMBER(SEARCH(","&amp;TRIM(TEXTSPLIT(EA98,","))&amp;",",","&amp;SUBSTITUTE(input_faculty_category," ","")&amp;",")))=COUNTA(TEXTSPLIT(EA98,",")))))</f>
        <v/>
      </c>
      <c r="JF98">
        <f>AND(IF(EC98="",TRUE,IF(input_faculty_discipline="",FALSE,SUMPRODUCT(--ISNUMBER(SEARCH(","&amp;TRIM(TEXTSPLIT(EC98,","))&amp;",",","&amp;SUBSTITUTE(input_faculty_discipline," ","")&amp;",")))&gt;0)),IF(EE98="",TRUE,IF(input_faculty_discipline="",FALSE,SUMPRODUCT(--ISNUMBER(SEARCH(","&amp;TRIM(TEXTSPLIT(EE98,","))&amp;",",","&amp;SUBSTITUTE(input_faculty_discipline," ","")&amp;",")))=COUNTA(TEXTSPLIT(EE98,",")))),IF(EG98="",TRUE,IF(input_faculty_discipline="",TRUE,SUMPRODUCT(--ISNUMBER(SEARCH(","&amp;TRIM(TEXTSPLIT(EG98,","))&amp;",",","&amp;SUBSTITUTE(input_faculty_discipline," ","")&amp;",")))=0)),IF(EI98="",TRUE,IF(input_faculty_discipline="",FALSE,SUMPRODUCT(--ISNUMBER(SEARCH(","&amp;TRIM(TEXTSPLIT(EI98,","))&amp;",",","&amp;SUBSTITUTE(input_faculty_discipline," ","")&amp;",")))&gt;0)),IF(EK98="",TRUE,IF(input_faculty_discipline="",FALSE,SUMPRODUCT(--ISNUMBER(SEARCH(","&amp;TRIM(TEXTSPLIT(EK98,","))&amp;",",","&amp;SUBSTITUTE(input_faculty_discipline," ","")&amp;",")))=COUNTA(TEXTSPLIT(EK98,",")))))</f>
        <v/>
      </c>
      <c r="JG98">
        <f>AND(IF(EM98="",TRUE,IF(input_faculty_expertise="",FALSE,SUMPRODUCT(--ISNUMBER(SEARCH(","&amp;TRIM(TEXTSPLIT(EM98,","))&amp;",",","&amp;SUBSTITUTE(input_faculty_expertise," ","")&amp;",")))&gt;0)),IF(EO98="",TRUE,IF(input_faculty_expertise="",FALSE,SUMPRODUCT(--ISNUMBER(SEARCH(","&amp;TRIM(TEXTSPLIT(EO98,","))&amp;",",","&amp;SUBSTITUTE(input_faculty_expertise," ","")&amp;",")))=COUNTA(TEXTSPLIT(EO98,",")))),IF(EQ98="",TRUE,IF(input_faculty_expertise="",TRUE,SUMPRODUCT(--ISNUMBER(SEARCH(","&amp;TRIM(TEXTSPLIT(EQ98,","))&amp;",",","&amp;SUBSTITUTE(input_faculty_expertise," ","")&amp;",")))=0)),IF(ES98="",TRUE,IF(input_faculty_expertise="",FALSE,SUMPRODUCT(--ISNUMBER(SEARCH(","&amp;TRIM(TEXTSPLIT(ES98,","))&amp;",",","&amp;SUBSTITUTE(input_faculty_expertise," ","")&amp;",")))&gt;0)),IF(EU98="",TRUE,IF(input_faculty_expertise="",FALSE,SUMPRODUCT(--ISNUMBER(SEARCH(","&amp;TRIM(TEXTSPLIT(EU98,","))&amp;",",","&amp;SUBSTITUTE(input_faculty_expertise," ","")&amp;",")))=COUNTA(TEXTSPLIT(EU98,",")))))</f>
        <v/>
      </c>
      <c r="JH98">
        <f>AND(IF(EW98="",TRUE,IF(input_global_network_school="",FALSE,SUMPRODUCT(--ISNUMBER(SEARCH(","&amp;TRIM(TEXTSPLIT(EW98,","))&amp;",",","&amp;SUBSTITUTE(input_global_network_school," ","")&amp;",")))&gt;0)),IF(EY98="",TRUE,IF(input_global_network_school="",FALSE,SUMPRODUCT(--ISNUMBER(SEARCH(","&amp;TRIM(TEXTSPLIT(EY98,","))&amp;",",","&amp;SUBSTITUTE(input_global_network_school," ","")&amp;",")))=COUNTA(TEXTSPLIT(EY98,",")))),IF(FA98="",TRUE,IF(input_global_network_school="",TRUE,SUMPRODUCT(--ISNUMBER(SEARCH(","&amp;TRIM(TEXTSPLIT(FA98,","))&amp;",",","&amp;SUBSTITUTE(input_global_network_school," ","")&amp;",")))=0)),IF(FC98="",TRUE,IF(input_global_network_school="",FALSE,SUMPRODUCT(--ISNUMBER(SEARCH(","&amp;TRIM(TEXTSPLIT(FC98,","))&amp;",",","&amp;SUBSTITUTE(input_global_network_school," ","")&amp;",")))&gt;0)),IF(FE98="",TRUE,IF(input_global_network_school="",FALSE,SUMPRODUCT(--ISNUMBER(SEARCH(","&amp;TRIM(TEXTSPLIT(FE98,","))&amp;",",","&amp;SUBSTITUTE(input_global_network_school," ","")&amp;",")))=COUNTA(TEXTSPLIT(FE98,",")))))</f>
        <v/>
      </c>
      <c r="JI98">
        <f>AND(IF(FG98="",TRUE,IF(input_industry="",FALSE,SUMPRODUCT(--ISNUMBER(SEARCH(","&amp;TRIM(TEXTSPLIT(FG98,","))&amp;",",","&amp;SUBSTITUTE(input_industry," ","")&amp;",")))&gt;0)),IF(FI98="",TRUE,IF(input_industry="",FALSE,SUMPRODUCT(--ISNUMBER(SEARCH(","&amp;TRIM(TEXTSPLIT(FI98,","))&amp;",",","&amp;SUBSTITUTE(input_industry," ","")&amp;",")))=COUNTA(TEXTSPLIT(FI98,",")))),IF(FK98="",TRUE,IF(input_industry="",TRUE,SUMPRODUCT(--ISNUMBER(SEARCH(","&amp;TRIM(TEXTSPLIT(FK98,","))&amp;",",","&amp;SUBSTITUTE(input_industry," ","")&amp;",")))=0)),IF(FM98="",TRUE,IF(input_industry="",FALSE,SUMPRODUCT(--ISNUMBER(SEARCH(","&amp;TRIM(TEXTSPLIT(FM98,","))&amp;",",","&amp;SUBSTITUTE(input_industry," ","")&amp;",")))&gt;0)),IF(FO98="",TRUE,IF(input_industry="",FALSE,SUMPRODUCT(--ISNUMBER(SEARCH(","&amp;TRIM(TEXTSPLIT(FO98,","))&amp;",",","&amp;SUBSTITUTE(input_industry," ","")&amp;",")))=COUNTA(TEXTSPLIT(FO98,",")))))</f>
        <v/>
      </c>
      <c r="JJ98">
        <f>AND(IF(FQ98="",TRUE,IF(input_location="",FALSE,SUMPRODUCT(--ISNUMBER(SEARCH(","&amp;TRIM(TEXTSPLIT(FQ98,","))&amp;",",","&amp;SUBSTITUTE(input_location," ","")&amp;",")))&gt;0)),IF(FS98="",TRUE,IF(input_location="",FALSE,SUMPRODUCT(--ISNUMBER(SEARCH(","&amp;TRIM(TEXTSPLIT(FS98,","))&amp;",",","&amp;SUBSTITUTE(input_location," ","")&amp;",")))=COUNTA(TEXTSPLIT(FS98,",")))),IF(FU98="",TRUE,IF(input_location="",TRUE,SUMPRODUCT(--ISNUMBER(SEARCH(","&amp;TRIM(TEXTSPLIT(FU98,","))&amp;",",","&amp;SUBSTITUTE(input_location," ","")&amp;",")))=0)),IF(FW98="",TRUE,IF(input_location="",FALSE,SUMPRODUCT(--ISNUMBER(SEARCH(","&amp;TRIM(TEXTSPLIT(FW98,","))&amp;",",","&amp;SUBSTITUTE(input_location," ","")&amp;",")))&gt;0)),IF(FY98="",TRUE,IF(input_location="",FALSE,SUMPRODUCT(--ISNUMBER(SEARCH(","&amp;TRIM(TEXTSPLIT(FY98,","))&amp;",",","&amp;SUBSTITUTE(input_location," ","")&amp;",")))=COUNTA(TEXTSPLIT(FY98,",")))))</f>
        <v/>
      </c>
      <c r="JK98">
        <f>AND(IF(GA98="",TRUE,IF(input_modality="",FALSE,SUMPRODUCT(--ISNUMBER(SEARCH(","&amp;TRIM(TEXTSPLIT(GA98,","))&amp;",",","&amp;SUBSTITUTE(input_modality," ","")&amp;",")))&gt;0)),IF(GC98="",TRUE,IF(input_modality="",FALSE,SUMPRODUCT(--ISNUMBER(SEARCH(","&amp;TRIM(TEXTSPLIT(GC98,","))&amp;",",","&amp;SUBSTITUTE(input_modality," ","")&amp;",")))=COUNTA(TEXTSPLIT(GC98,",")))),IF(GE98="",TRUE,IF(input_modality="",TRUE,SUMPRODUCT(--ISNUMBER(SEARCH(","&amp;TRIM(TEXTSPLIT(GE98,","))&amp;",",","&amp;SUBSTITUTE(input_modality," ","")&amp;",")))=0)),IF(GG98="",TRUE,IF(input_modality="",FALSE,SUMPRODUCT(--ISNUMBER(SEARCH(","&amp;TRIM(TEXTSPLIT(GG98,","))&amp;",",","&amp;SUBSTITUTE(input_modality," ","")&amp;",")))&gt;0)),IF(GI98="",TRUE,IF(input_modality="",FALSE,SUMPRODUCT(--ISNUMBER(SEARCH(","&amp;TRIM(TEXTSPLIT(GI98,","))&amp;",",","&amp;SUBSTITUTE(input_modality," ","")&amp;",")))=COUNTA(TEXTSPLIT(GI98,",")))))</f>
        <v/>
      </c>
      <c r="JL98">
        <f>AND(IF(GK98="",TRUE,IF(input_organizer="",FALSE,SUMPRODUCT(--ISNUMBER(SEARCH(","&amp;TRIM(TEXTSPLIT(GK98,","))&amp;",",","&amp;SUBSTITUTE(input_organizer," ","")&amp;",")))&gt;0)),IF(GM98="",TRUE,IF(input_organizer="",FALSE,SUMPRODUCT(--ISNUMBER(SEARCH(","&amp;TRIM(TEXTSPLIT(GM98,","))&amp;",",","&amp;SUBSTITUTE(input_organizer," ","")&amp;",")))=COUNTA(TEXTSPLIT(GM98,",")))),IF(GO98="",TRUE,IF(input_organizer="",TRUE,SUMPRODUCT(--ISNUMBER(SEARCH(","&amp;TRIM(TEXTSPLIT(GO98,","))&amp;",",","&amp;SUBSTITUTE(input_organizer," ","")&amp;",")))=0)),IF(GQ98="",TRUE,IF(input_organizer="",FALSE,SUMPRODUCT(--ISNUMBER(SEARCH(","&amp;TRIM(TEXTSPLIT(GQ98,","))&amp;",",","&amp;SUBSTITUTE(input_organizer," ","")&amp;",")))&gt;0)),IF(GS98="",TRUE,IF(input_organizer="",FALSE,SUMPRODUCT(--ISNUMBER(SEARCH(","&amp;TRIM(TEXTSPLIT(GS98,","))&amp;",",","&amp;SUBSTITUTE(input_organizer," ","")&amp;",")))=COUNTA(TEXTSPLIT(GS98,",")))))</f>
        <v/>
      </c>
      <c r="JM98">
        <f>AND(IF(GU98="",TRUE,IF(input_profile_type="",FALSE,SUMPRODUCT(--ISNUMBER(SEARCH(","&amp;TRIM(TEXTSPLIT(GU98,","))&amp;",",","&amp;SUBSTITUTE(input_profile_type," ","")&amp;",")))&gt;0)),IF(GW98="",TRUE,IF(input_profile_type="",FALSE,SUMPRODUCT(--ISNUMBER(SEARCH(","&amp;TRIM(TEXTSPLIT(GW98,","))&amp;",",","&amp;SUBSTITUTE(input_profile_type," ","")&amp;",")))=COUNTA(TEXTSPLIT(GW98,",")))),IF(GY98="",TRUE,IF(input_profile_type="",TRUE,SUMPRODUCT(--ISNUMBER(SEARCH(","&amp;TRIM(TEXTSPLIT(GY98,","))&amp;",",","&amp;SUBSTITUTE(input_profile_type," ","")&amp;",")))=0)),IF(HA98="",TRUE,IF(input_profile_type="",FALSE,SUMPRODUCT(--ISNUMBER(SEARCH(","&amp;TRIM(TEXTSPLIT(HA98,","))&amp;",",","&amp;SUBSTITUTE(input_profile_type," ","")&amp;",")))&gt;0)),IF(HC98="",TRUE,IF(input_profile_type="",FALSE,SUMPRODUCT(--ISNUMBER(SEARCH(","&amp;TRIM(TEXTSPLIT(HC98,","))&amp;",",","&amp;SUBSTITUTE(input_profile_type," ","")&amp;",")))=COUNTA(TEXTSPLIT(HC98,",")))))</f>
        <v/>
      </c>
      <c r="JN98">
        <f>AND(IF(HE98="",TRUE,IF(input_program="",FALSE,SUMPRODUCT(--ISNUMBER(SEARCH(","&amp;TRIM(TEXTSPLIT(HE98,","))&amp;",",","&amp;SUBSTITUTE(input_program," ","")&amp;",")))&gt;0)),IF(HG98="",TRUE,IF(input_program="",FALSE,SUMPRODUCT(--ISNUMBER(SEARCH(","&amp;TRIM(TEXTSPLIT(HG98,","))&amp;",",","&amp;SUBSTITUTE(input_program," ","")&amp;",")))=COUNTA(TEXTSPLIT(HG98,",")))),IF(HI98="",TRUE,IF(input_program="",TRUE,SUMPRODUCT(--ISNUMBER(SEARCH(","&amp;TRIM(TEXTSPLIT(HI98,","))&amp;",",","&amp;SUBSTITUTE(input_program," ","")&amp;",")))=0)),IF(HK98="",TRUE,IF(input_program="",FALSE,SUMPRODUCT(--ISNUMBER(SEARCH(","&amp;TRIM(TEXTSPLIT(HK98,","))&amp;",",","&amp;SUBSTITUTE(input_program," ","")&amp;",")))&gt;0)),IF(HM98="",TRUE,IF(input_program="",FALSE,SUMPRODUCT(--ISNUMBER(SEARCH(","&amp;TRIM(TEXTSPLIT(HM98,","))&amp;",",","&amp;SUBSTITUTE(input_program," ","")&amp;",")))=COUNTA(TEXTSPLIT(HM98,",")))))</f>
        <v/>
      </c>
      <c r="JO98">
        <f>AND(IF(HO98="",TRUE,IF(input_story_categories="",FALSE,SUMPRODUCT(--ISNUMBER(SEARCH(","&amp;TRIM(TEXTSPLIT(HO98,","))&amp;",",","&amp;SUBSTITUTE(input_story_categories," ","")&amp;",")))&gt;0)),IF(HQ98="",TRUE,IF(input_story_categories="",FALSE,SUMPRODUCT(--ISNUMBER(SEARCH(","&amp;TRIM(TEXTSPLIT(HQ98,","))&amp;",",","&amp;SUBSTITUTE(input_story_categories," ","")&amp;",")))=COUNTA(TEXTSPLIT(HQ98,",")))),IF(HS98="",TRUE,IF(input_story_categories="",TRUE,SUMPRODUCT(--ISNUMBER(SEARCH(","&amp;TRIM(TEXTSPLIT(HS98,","))&amp;",",","&amp;SUBSTITUTE(input_story_categories," ","")&amp;",")))=0)),IF(HU98="",TRUE,IF(input_story_categories="",FALSE,SUMPRODUCT(--ISNUMBER(SEARCH(","&amp;TRIM(TEXTSPLIT(HU98,","))&amp;",",","&amp;SUBSTITUTE(input_story_categories," ","")&amp;",")))&gt;0)),IF(HW98="",TRUE,IF(input_story_categories="",FALSE,SUMPRODUCT(--ISNUMBER(SEARCH(","&amp;TRIM(TEXTSPLIT(HW98,","))&amp;",",","&amp;SUBSTITUTE(input_story_categories," ","")&amp;",")))=COUNTA(TEXTSPLIT(HW98,",")))))</f>
        <v/>
      </c>
      <c r="JP98">
        <f>AND(IF(HY98="",TRUE,IF(input_story_type="",FALSE,SUMPRODUCT(--ISNUMBER(SEARCH(","&amp;TRIM(TEXTSPLIT(HY98,","))&amp;",",","&amp;SUBSTITUTE(input_story_type," ","")&amp;",")))&gt;0)),IF(IA98="",TRUE,IF(input_story_type="",FALSE,SUMPRODUCT(--ISNUMBER(SEARCH(","&amp;TRIM(TEXTSPLIT(IA98,","))&amp;",",","&amp;SUBSTITUTE(input_story_type," ","")&amp;",")))=COUNTA(TEXTSPLIT(IA98,",")))),IF(IC98="",TRUE,IF(input_story_type="",TRUE,SUMPRODUCT(--ISNUMBER(SEARCH(","&amp;TRIM(TEXTSPLIT(IC98,","))&amp;",",","&amp;SUBSTITUTE(input_story_type," ","")&amp;",")))=0)),IF(IE98="",TRUE,IF(input_story_type="",FALSE,SUMPRODUCT(--ISNUMBER(SEARCH(","&amp;TRIM(TEXTSPLIT(IE98,","))&amp;",",","&amp;SUBSTITUTE(input_story_type," ","")&amp;",")))&gt;0)),IF(IG98="",TRUE,IF(input_story_type="",FALSE,SUMPRODUCT(--ISNUMBER(SEARCH(","&amp;TRIM(TEXTSPLIT(IG98,","))&amp;",",","&amp;SUBSTITUTE(input_story_type," ","")&amp;",")))=COUNTA(TEXTSPLIT(IG98,",")))))</f>
        <v/>
      </c>
      <c r="JQ98">
        <f>AND(IF(II98="",TRUE,IF(input_topics="",FALSE,SUMPRODUCT(--ISNUMBER(SEARCH(","&amp;TRIM(TEXTSPLIT(II98,","))&amp;",",","&amp;SUBSTITUTE(input_topics," ","")&amp;",")))&gt;0)),IF(IK98="",TRUE,IF(input_topics="",FALSE,SUMPRODUCT(--ISNUMBER(SEARCH(","&amp;TRIM(TEXTSPLIT(IK98,","))&amp;",",","&amp;SUBSTITUTE(input_topics," ","")&amp;",")))=COUNTA(TEXTSPLIT(IK98,",")))),IF(IM98="",TRUE,IF(input_topics="",TRUE,SUMPRODUCT(--ISNUMBER(SEARCH(","&amp;TRIM(TEXTSPLIT(IM98,","))&amp;",",","&amp;SUBSTITUTE(input_topics," ","")&amp;",")))=0)),IF(IO98="",TRUE,IF(input_topics="",FALSE,SUMPRODUCT(--ISNUMBER(SEARCH(","&amp;TRIM(TEXTSPLIT(IO98,","))&amp;",",","&amp;SUBSTITUTE(input_topics," ","")&amp;",")))&gt;0)),IF(IQ98="",TRUE,IF(input_topics="",FALSE,SUMPRODUCT(--ISNUMBER(SEARCH(","&amp;TRIM(TEXTSPLIT(IQ98,","))&amp;",",","&amp;SUBSTITUTE(input_topics," ","")&amp;",")))=COUNTA(TEXTSPLIT(IQ98,",")))))</f>
        <v/>
      </c>
    </row>
    <row r="99">
      <c r="A99" s="4">
        <f>IF(NOT(IS99),"Excluded",IF(AND(IT99,IU99,IV99,IW99,IX99,IY99,IZ99,JA99,JB99,JC99,JD99,JE99,JF99,JG99,JH99,JI99,JJ99,JK99,JL99,JM99,JN99,JO99,JP99,JQ99),IF(I99&gt;0,"Eligible but limited","Will appear"),"Excluded"))</f>
        <v/>
      </c>
      <c r="B99" s="4" t="inlineStr">
        <is>
          <t>Event Dispatch</t>
        </is>
      </c>
      <c r="C99" s="4" t="inlineStr">
        <is>
          <t>/about/headlines/all-headlines/event-dispatch</t>
        </is>
      </c>
      <c r="D99" s="4" t="inlineStr">
        <is>
          <t>/about/headlines/all-headlines/event-dispatch</t>
        </is>
      </c>
      <c r="E99" s="4" t="n">
        <v>1</v>
      </c>
      <c r="F99" s="4" t="inlineStr">
        <is>
          <t>story</t>
        </is>
      </c>
      <c r="G99" s="4" t="inlineStr">
        <is>
          <t>stories_list</t>
        </is>
      </c>
      <c r="H99" s="4" t="inlineStr">
        <is>
          <t>embed_1</t>
        </is>
      </c>
      <c r="I99" s="4" t="n">
        <v>10</v>
      </c>
      <c r="J99" s="4" t="inlineStr">
        <is>
          <t>Explicit args</t>
        </is>
      </c>
      <c r="K99" s="4" t="inlineStr">
        <is>
          <t>Page placement</t>
        </is>
      </c>
      <c r="L99" s="4" t="inlineStr">
        <is>
          <t>Content type: story; Context uses Courses Context: Event Dispatch (1772); Limited to 10 item(s); Source: Explicit args</t>
        </is>
      </c>
      <c r="M99" t="inlineStr"/>
      <c r="N99" t="inlineStr"/>
      <c r="O99" t="inlineStr"/>
      <c r="P99" t="inlineStr"/>
      <c r="Q99" t="inlineStr"/>
      <c r="R99" t="inlineStr"/>
      <c r="S99" t="inlineStr"/>
      <c r="T99" t="inlineStr"/>
      <c r="U99" t="inlineStr"/>
      <c r="V99" t="inlineStr"/>
      <c r="W99" t="inlineStr"/>
      <c r="X99" t="inlineStr"/>
      <c r="Y99" t="inlineStr"/>
      <c r="Z99" t="inlineStr"/>
      <c r="AA99" t="inlineStr"/>
      <c r="AB99" t="inlineStr"/>
      <c r="AC99" t="inlineStr"/>
      <c r="AD99" t="inlineStr"/>
      <c r="AE99" t="inlineStr"/>
      <c r="AF99" t="inlineStr"/>
      <c r="AG99" t="inlineStr"/>
      <c r="AH99" t="inlineStr"/>
      <c r="AI99" t="inlineStr"/>
      <c r="AJ99" t="inlineStr"/>
      <c r="AK99" t="inlineStr"/>
      <c r="AL99" t="inlineStr"/>
      <c r="AM99" t="inlineStr"/>
      <c r="AN99" t="inlineStr"/>
      <c r="AO99" t="inlineStr"/>
      <c r="AP99" t="inlineStr"/>
      <c r="AQ99" t="inlineStr"/>
      <c r="AR99" t="inlineStr"/>
      <c r="AS99" t="inlineStr"/>
      <c r="AT99" t="inlineStr"/>
      <c r="AU99" t="inlineStr"/>
      <c r="AV99" t="inlineStr"/>
      <c r="AW99" t="inlineStr"/>
      <c r="AX99" t="inlineStr"/>
      <c r="AY99" t="inlineStr"/>
      <c r="AZ99" t="inlineStr"/>
      <c r="BA99" t="inlineStr"/>
      <c r="BB99" t="inlineStr"/>
      <c r="BC99" t="inlineStr"/>
      <c r="BD99" t="inlineStr"/>
      <c r="BE99" t="inlineStr"/>
      <c r="BF99" t="inlineStr"/>
      <c r="BG99" t="inlineStr"/>
      <c r="BH99" t="inlineStr"/>
      <c r="BI99" t="inlineStr"/>
      <c r="BJ99" t="inlineStr"/>
      <c r="BK99" t="inlineStr"/>
      <c r="BL99" t="inlineStr"/>
      <c r="BM99" t="inlineStr"/>
      <c r="BN99" t="inlineStr"/>
      <c r="BO99" t="inlineStr"/>
      <c r="BP99" t="inlineStr"/>
      <c r="BQ99" t="inlineStr">
        <is>
          <t>1772</t>
        </is>
      </c>
      <c r="BR99" t="inlineStr">
        <is>
          <t>Event Dispatch (1772)</t>
        </is>
      </c>
      <c r="BS99" t="inlineStr"/>
      <c r="BT99" t="inlineStr"/>
      <c r="BU99" t="inlineStr"/>
      <c r="BV99" t="inlineStr"/>
      <c r="BW99" t="inlineStr"/>
      <c r="BX99" t="inlineStr"/>
      <c r="BY99" t="inlineStr"/>
      <c r="BZ99" t="inlineStr"/>
      <c r="CA99" t="inlineStr"/>
      <c r="CB99" t="inlineStr"/>
      <c r="CC99" t="inlineStr"/>
      <c r="CD99" t="inlineStr"/>
      <c r="CE99" t="inlineStr"/>
      <c r="CF99" t="inlineStr"/>
      <c r="CG99" t="inlineStr"/>
      <c r="CH99" t="inlineStr"/>
      <c r="CI99" t="inlineStr"/>
      <c r="CJ99" t="inlineStr"/>
      <c r="CK99" t="inlineStr"/>
      <c r="CL99" t="inlineStr"/>
      <c r="CM99" t="inlineStr"/>
      <c r="CN99" t="inlineStr"/>
      <c r="CO99" t="inlineStr"/>
      <c r="CP99" t="inlineStr"/>
      <c r="CQ99" t="inlineStr"/>
      <c r="CR99" t="inlineStr"/>
      <c r="CS99" t="inlineStr"/>
      <c r="CT99" t="inlineStr"/>
      <c r="CU99" t="inlineStr"/>
      <c r="CV99" t="inlineStr"/>
      <c r="CW99" t="inlineStr"/>
      <c r="CX99" t="inlineStr"/>
      <c r="CY99" t="inlineStr"/>
      <c r="CZ99" t="inlineStr"/>
      <c r="DA99" t="inlineStr"/>
      <c r="DB99" t="inlineStr"/>
      <c r="DC99" t="inlineStr"/>
      <c r="DD99" t="inlineStr"/>
      <c r="DE99" t="inlineStr"/>
      <c r="DF99" t="inlineStr"/>
      <c r="DG99" t="inlineStr"/>
      <c r="DH99" t="inlineStr"/>
      <c r="DI99" t="inlineStr"/>
      <c r="DJ99" t="inlineStr"/>
      <c r="DK99" t="inlineStr"/>
      <c r="DL99" t="inlineStr"/>
      <c r="DM99" t="inlineStr"/>
      <c r="DN99" t="inlineStr"/>
      <c r="DO99" t="inlineStr"/>
      <c r="DP99" t="inlineStr"/>
      <c r="DQ99" t="inlineStr"/>
      <c r="DR99" t="inlineStr"/>
      <c r="DS99" t="inlineStr"/>
      <c r="DT99" t="inlineStr"/>
      <c r="DU99" t="inlineStr"/>
      <c r="DV99" t="inlineStr"/>
      <c r="DW99" t="inlineStr"/>
      <c r="DX99" t="inlineStr"/>
      <c r="DY99" t="inlineStr"/>
      <c r="DZ99" t="inlineStr"/>
      <c r="EA99" t="inlineStr"/>
      <c r="EB99" t="inlineStr"/>
      <c r="EC99" t="inlineStr"/>
      <c r="ED99" t="inlineStr"/>
      <c r="EE99" t="inlineStr"/>
      <c r="EF99" t="inlineStr"/>
      <c r="EG99" t="inlineStr"/>
      <c r="EH99" t="inlineStr"/>
      <c r="EI99" t="inlineStr"/>
      <c r="EJ99" t="inlineStr"/>
      <c r="EK99" t="inlineStr"/>
      <c r="EL99" t="inlineStr"/>
      <c r="EM99" t="inlineStr"/>
      <c r="EN99" t="inlineStr"/>
      <c r="EO99" t="inlineStr"/>
      <c r="EP99" t="inlineStr"/>
      <c r="EQ99" t="inlineStr"/>
      <c r="ER99" t="inlineStr"/>
      <c r="ES99" t="inlineStr"/>
      <c r="ET99" t="inlineStr"/>
      <c r="EU99" t="inlineStr"/>
      <c r="EV99" t="inlineStr"/>
      <c r="EW99" t="inlineStr"/>
      <c r="EX99" t="inlineStr"/>
      <c r="EY99" t="inlineStr"/>
      <c r="EZ99" t="inlineStr"/>
      <c r="FA99" t="inlineStr"/>
      <c r="FB99" t="inlineStr"/>
      <c r="FC99" t="inlineStr"/>
      <c r="FD99" t="inlineStr"/>
      <c r="FE99" t="inlineStr"/>
      <c r="FF99" t="inlineStr"/>
      <c r="FG99" t="inlineStr"/>
      <c r="FH99" t="inlineStr"/>
      <c r="FI99" t="inlineStr"/>
      <c r="FJ99" t="inlineStr"/>
      <c r="FK99" t="inlineStr"/>
      <c r="FL99" t="inlineStr"/>
      <c r="FM99" t="inlineStr"/>
      <c r="FN99" t="inlineStr"/>
      <c r="FO99" t="inlineStr"/>
      <c r="FP99" t="inlineStr"/>
      <c r="FQ99" t="inlineStr"/>
      <c r="FR99" t="inlineStr"/>
      <c r="FS99" t="inlineStr"/>
      <c r="FT99" t="inlineStr"/>
      <c r="FU99" t="inlineStr"/>
      <c r="FV99" t="inlineStr"/>
      <c r="FW99" t="inlineStr"/>
      <c r="FX99" t="inlineStr"/>
      <c r="FY99" t="inlineStr"/>
      <c r="FZ99" t="inlineStr"/>
      <c r="GA99" t="inlineStr"/>
      <c r="GB99" t="inlineStr"/>
      <c r="GC99" t="inlineStr"/>
      <c r="GD99" t="inlineStr"/>
      <c r="GE99" t="inlineStr"/>
      <c r="GF99" t="inlineStr"/>
      <c r="GG99" t="inlineStr"/>
      <c r="GH99" t="inlineStr"/>
      <c r="GI99" t="inlineStr"/>
      <c r="GJ99" t="inlineStr"/>
      <c r="GK99" t="inlineStr"/>
      <c r="GL99" t="inlineStr"/>
      <c r="GM99" t="inlineStr"/>
      <c r="GN99" t="inlineStr"/>
      <c r="GO99" t="inlineStr"/>
      <c r="GP99" t="inlineStr"/>
      <c r="GQ99" t="inlineStr"/>
      <c r="GR99" t="inlineStr"/>
      <c r="GS99" t="inlineStr"/>
      <c r="GT99" t="inlineStr"/>
      <c r="GU99" t="inlineStr"/>
      <c r="GV99" t="inlineStr"/>
      <c r="GW99" t="inlineStr"/>
      <c r="GX99" t="inlineStr"/>
      <c r="GY99" t="inlineStr"/>
      <c r="GZ99" t="inlineStr"/>
      <c r="HA99" t="inlineStr"/>
      <c r="HB99" t="inlineStr"/>
      <c r="HC99" t="inlineStr"/>
      <c r="HD99" t="inlineStr"/>
      <c r="HE99" t="inlineStr"/>
      <c r="HF99" t="inlineStr"/>
      <c r="HG99" t="inlineStr"/>
      <c r="HH99" t="inlineStr"/>
      <c r="HI99" t="inlineStr"/>
      <c r="HJ99" t="inlineStr"/>
      <c r="HK99" t="inlineStr"/>
      <c r="HL99" t="inlineStr"/>
      <c r="HM99" t="inlineStr"/>
      <c r="HN99" t="inlineStr"/>
      <c r="HO99" t="inlineStr"/>
      <c r="HP99" t="inlineStr"/>
      <c r="HQ99" t="inlineStr"/>
      <c r="HR99" t="inlineStr"/>
      <c r="HS99" t="inlineStr"/>
      <c r="HT99" t="inlineStr"/>
      <c r="HU99" t="inlineStr"/>
      <c r="HV99" t="inlineStr"/>
      <c r="HW99" t="inlineStr"/>
      <c r="HX99" t="inlineStr"/>
      <c r="HY99" t="inlineStr"/>
      <c r="HZ99" t="inlineStr"/>
      <c r="IA99" t="inlineStr"/>
      <c r="IB99" t="inlineStr"/>
      <c r="IC99" t="inlineStr"/>
      <c r="ID99" t="inlineStr"/>
      <c r="IE99" t="inlineStr"/>
      <c r="IF99" t="inlineStr"/>
      <c r="IG99" t="inlineStr"/>
      <c r="IH99" t="inlineStr"/>
      <c r="II99" t="inlineStr"/>
      <c r="IJ99" t="inlineStr"/>
      <c r="IK99" t="inlineStr"/>
      <c r="IL99" t="inlineStr"/>
      <c r="IM99" t="inlineStr"/>
      <c r="IN99" t="inlineStr"/>
      <c r="IO99" t="inlineStr"/>
      <c r="IP99" t="inlineStr"/>
      <c r="IQ99" t="inlineStr"/>
      <c r="IR99" t="inlineStr"/>
      <c r="IS99">
        <f>IF(input_content_type="",FALSE,ISNUMBER(SEARCH(","&amp;LOWER(input_content_type)&amp;",",","&amp;LOWER(F99)&amp;",")))</f>
        <v/>
      </c>
      <c r="IT99">
        <f>AND(IF(M99="",TRUE,IF(input_affiliations="",FALSE,SUMPRODUCT(--ISNUMBER(SEARCH(","&amp;TRIM(TEXTSPLIT(M99,","))&amp;",",","&amp;SUBSTITUTE(input_affiliations," ","")&amp;",")))&gt;0)),IF(O99="",TRUE,IF(input_affiliations="",FALSE,SUMPRODUCT(--ISNUMBER(SEARCH(","&amp;TRIM(TEXTSPLIT(O99,","))&amp;",",","&amp;SUBSTITUTE(input_affiliations," ","")&amp;",")))=COUNTA(TEXTSPLIT(O99,",")))),IF(Q99="",TRUE,IF(input_affiliations="",TRUE,SUMPRODUCT(--ISNUMBER(SEARCH(","&amp;TRIM(TEXTSPLIT(Q99,","))&amp;",",","&amp;SUBSTITUTE(input_affiliations," ","")&amp;",")))=0)),IF(S99="",TRUE,IF(input_affiliations="",FALSE,SUMPRODUCT(--ISNUMBER(SEARCH(","&amp;TRIM(TEXTSPLIT(S99,","))&amp;",",","&amp;SUBSTITUTE(input_affiliations," ","")&amp;",")))&gt;0)),IF(U99="",TRUE,IF(input_affiliations="",FALSE,SUMPRODUCT(--ISNUMBER(SEARCH(","&amp;TRIM(TEXTSPLIT(U99,","))&amp;",",","&amp;SUBSTITUTE(input_affiliations," ","")&amp;",")))=COUNTA(TEXTSPLIT(U99,",")))))</f>
        <v/>
      </c>
      <c r="IU99">
        <f>AND(IF(W99="",TRUE,IF(input_announcement_category="",FALSE,SUMPRODUCT(--ISNUMBER(SEARCH(","&amp;TRIM(TEXTSPLIT(W99,","))&amp;",",","&amp;SUBSTITUTE(input_announcement_category," ","")&amp;",")))&gt;0)),IF(Y99="",TRUE,IF(input_announcement_category="",FALSE,SUMPRODUCT(--ISNUMBER(SEARCH(","&amp;TRIM(TEXTSPLIT(Y99,","))&amp;",",","&amp;SUBSTITUTE(input_announcement_category," ","")&amp;",")))=COUNTA(TEXTSPLIT(Y99,",")))),IF(AA99="",TRUE,IF(input_announcement_category="",TRUE,SUMPRODUCT(--ISNUMBER(SEARCH(","&amp;TRIM(TEXTSPLIT(AA99,","))&amp;",",","&amp;SUBSTITUTE(input_announcement_category," ","")&amp;",")))=0)),IF(AC99="",TRUE,IF(input_announcement_category="",FALSE,SUMPRODUCT(--ISNUMBER(SEARCH(","&amp;TRIM(TEXTSPLIT(AC99,","))&amp;",",","&amp;SUBSTITUTE(input_announcement_category," ","")&amp;",")))&gt;0)),IF(AE99="",TRUE,IF(input_announcement_category="",FALSE,SUMPRODUCT(--ISNUMBER(SEARCH(","&amp;TRIM(TEXTSPLIT(AE99,","))&amp;",",","&amp;SUBSTITUTE(input_announcement_category," ","")&amp;",")))=COUNTA(TEXTSPLIT(AE99,",")))))</f>
        <v/>
      </c>
      <c r="IV99">
        <f>AND(IF(AG99="",TRUE,IF(input_area_of_focus="",FALSE,SUMPRODUCT(--ISNUMBER(SEARCH(","&amp;TRIM(TEXTSPLIT(AG99,","))&amp;",",","&amp;SUBSTITUTE(input_area_of_focus," ","")&amp;",")))&gt;0)),IF(AI99="",TRUE,IF(input_area_of_focus="",FALSE,SUMPRODUCT(--ISNUMBER(SEARCH(","&amp;TRIM(TEXTSPLIT(AI99,","))&amp;",",","&amp;SUBSTITUTE(input_area_of_focus," ","")&amp;",")))=COUNTA(TEXTSPLIT(AI99,",")))),IF(AK99="",TRUE,IF(input_area_of_focus="",TRUE,SUMPRODUCT(--ISNUMBER(SEARCH(","&amp;TRIM(TEXTSPLIT(AK99,","))&amp;",",","&amp;SUBSTITUTE(input_area_of_focus," ","")&amp;",")))=0)),IF(AM99="",TRUE,IF(input_area_of_focus="",FALSE,SUMPRODUCT(--ISNUMBER(SEARCH(","&amp;TRIM(TEXTSPLIT(AM99,","))&amp;",",","&amp;SUBSTITUTE(input_area_of_focus," ","")&amp;",")))&gt;0)),IF(AO99="",TRUE,IF(input_area_of_focus="",FALSE,SUMPRODUCT(--ISNUMBER(SEARCH(","&amp;TRIM(TEXTSPLIT(AO99,","))&amp;",",","&amp;SUBSTITUTE(input_area_of_focus," ","")&amp;",")))=COUNTA(TEXTSPLIT(AO99,",")))))</f>
        <v/>
      </c>
      <c r="IW99">
        <f>AND(IF(AQ99="",TRUE,IF(input_audience="",FALSE,SUMPRODUCT(--ISNUMBER(SEARCH(","&amp;TRIM(TEXTSPLIT(AQ99,","))&amp;",",","&amp;SUBSTITUTE(input_audience," ","")&amp;",")))&gt;0)),IF(AS99="",TRUE,IF(input_audience="",FALSE,SUMPRODUCT(--ISNUMBER(SEARCH(","&amp;TRIM(TEXTSPLIT(AS99,","))&amp;",",","&amp;SUBSTITUTE(input_audience," ","")&amp;",")))=COUNTA(TEXTSPLIT(AS99,",")))),IF(AU99="",TRUE,IF(input_audience="",TRUE,SUMPRODUCT(--ISNUMBER(SEARCH(","&amp;TRIM(TEXTSPLIT(AU99,","))&amp;",",","&amp;SUBSTITUTE(input_audience," ","")&amp;",")))=0)),IF(AW99="",TRUE,IF(input_audience="",FALSE,SUMPRODUCT(--ISNUMBER(SEARCH(","&amp;TRIM(TEXTSPLIT(AW99,","))&amp;",",","&amp;SUBSTITUTE(input_audience," ","")&amp;",")))&gt;0)),IF(AY99="",TRUE,IF(input_audience="",FALSE,SUMPRODUCT(--ISNUMBER(SEARCH(","&amp;TRIM(TEXTSPLIT(AY99,","))&amp;",",","&amp;SUBSTITUTE(input_audience," ","")&amp;",")))=COUNTA(TEXTSPLIT(AY99,",")))))</f>
        <v/>
      </c>
      <c r="IX99">
        <f>AND(IF(BA99="",TRUE,IF(input_challenge_opportunities="",FALSE,SUMPRODUCT(--ISNUMBER(SEARCH(","&amp;TRIM(TEXTSPLIT(BA99,","))&amp;",",","&amp;SUBSTITUTE(input_challenge_opportunities," ","")&amp;",")))&gt;0)),IF(BC99="",TRUE,IF(input_challenge_opportunities="",FALSE,SUMPRODUCT(--ISNUMBER(SEARCH(","&amp;TRIM(TEXTSPLIT(BC99,","))&amp;",",","&amp;SUBSTITUTE(input_challenge_opportunities," ","")&amp;",")))=COUNTA(TEXTSPLIT(BC99,",")))),IF(BE99="",TRUE,IF(input_challenge_opportunities="",TRUE,SUMPRODUCT(--ISNUMBER(SEARCH(","&amp;TRIM(TEXTSPLIT(BE99,","))&amp;",",","&amp;SUBSTITUTE(input_challenge_opportunities," ","")&amp;",")))=0)),IF(BG99="",TRUE,IF(input_challenge_opportunities="",FALSE,SUMPRODUCT(--ISNUMBER(SEARCH(","&amp;TRIM(TEXTSPLIT(BG99,","))&amp;",",","&amp;SUBSTITUTE(input_challenge_opportunities," ","")&amp;",")))&gt;0)),IF(BI99="",TRUE,IF(input_challenge_opportunities="",FALSE,SUMPRODUCT(--ISNUMBER(SEARCH(","&amp;TRIM(TEXTSPLIT(BI99,","))&amp;",",","&amp;SUBSTITUTE(input_challenge_opportunities," ","")&amp;",")))=COUNTA(TEXTSPLIT(BI99,",")))))</f>
        <v/>
      </c>
      <c r="IY99">
        <f>AND(IF(BK99="",TRUE,IF(input_context="",FALSE,SUMPRODUCT(--ISNUMBER(SEARCH(","&amp;TRIM(TEXTSPLIT(BK99,","))&amp;",",","&amp;SUBSTITUTE(input_context," ","")&amp;",")))&gt;0)),IF(BM99="",TRUE,IF(input_context="",FALSE,SUMPRODUCT(--ISNUMBER(SEARCH(","&amp;TRIM(TEXTSPLIT(BM99,","))&amp;",",","&amp;SUBSTITUTE(input_context," ","")&amp;",")))=COUNTA(TEXTSPLIT(BM99,",")))),IF(BO99="",TRUE,IF(input_context="",TRUE,SUMPRODUCT(--ISNUMBER(SEARCH(","&amp;TRIM(TEXTSPLIT(BO99,","))&amp;",",","&amp;SUBSTITUTE(input_context," ","")&amp;",")))=0)),IF(BQ99="",TRUE,IF(input_context="",FALSE,SUMPRODUCT(--ISNUMBER(SEARCH(","&amp;TRIM(TEXTSPLIT(BQ99,","))&amp;",",","&amp;SUBSTITUTE(input_context," ","")&amp;",")))&gt;0)),IF(BS99="",TRUE,IF(input_context="",FALSE,SUMPRODUCT(--ISNUMBER(SEARCH(","&amp;TRIM(TEXTSPLIT(BS99,","))&amp;",",","&amp;SUBSTITUTE(input_context," ","")&amp;",")))=COUNTA(TEXTSPLIT(BS99,",")))))</f>
        <v/>
      </c>
      <c r="IZ99">
        <f>AND(IF(BU99="",TRUE,IF(input_enews_announcement_type="",FALSE,SUMPRODUCT(--ISNUMBER(SEARCH(","&amp;TRIM(TEXTSPLIT(BU99,","))&amp;",",","&amp;SUBSTITUTE(input_enews_announcement_type," ","")&amp;",")))&gt;0)),IF(BW99="",TRUE,IF(input_enews_announcement_type="",FALSE,SUMPRODUCT(--ISNUMBER(SEARCH(","&amp;TRIM(TEXTSPLIT(BW99,","))&amp;",",","&amp;SUBSTITUTE(input_enews_announcement_type," ","")&amp;",")))=COUNTA(TEXTSPLIT(BW99,",")))),IF(BY99="",TRUE,IF(input_enews_announcement_type="",TRUE,SUMPRODUCT(--ISNUMBER(SEARCH(","&amp;TRIM(TEXTSPLIT(BY99,","))&amp;",",","&amp;SUBSTITUTE(input_enews_announcement_type," ","")&amp;",")))=0)),IF(CA99="",TRUE,IF(input_enews_announcement_type="",FALSE,SUMPRODUCT(--ISNUMBER(SEARCH(","&amp;TRIM(TEXTSPLIT(CA99,","))&amp;",",","&amp;SUBSTITUTE(input_enews_announcement_type," ","")&amp;",")))&gt;0)),IF(CC99="",TRUE,IF(input_enews_announcement_type="",FALSE,SUMPRODUCT(--ISNUMBER(SEARCH(","&amp;TRIM(TEXTSPLIT(CC99,","))&amp;",",","&amp;SUBSTITUTE(input_enews_announcement_type," ","")&amp;",")))=COUNTA(TEXTSPLIT(CC99,",")))))</f>
        <v/>
      </c>
      <c r="JA99">
        <f>AND(IF(CE99="",TRUE,IF(input_enews_audience="",FALSE,SUMPRODUCT(--ISNUMBER(SEARCH(","&amp;TRIM(TEXTSPLIT(CE99,","))&amp;",",","&amp;SUBSTITUTE(input_enews_audience," ","")&amp;",")))&gt;0)),IF(CG99="",TRUE,IF(input_enews_audience="",FALSE,SUMPRODUCT(--ISNUMBER(SEARCH(","&amp;TRIM(TEXTSPLIT(CG99,","))&amp;",",","&amp;SUBSTITUTE(input_enews_audience," ","")&amp;",")))=COUNTA(TEXTSPLIT(CG99,",")))),IF(CI99="",TRUE,IF(input_enews_audience="",TRUE,SUMPRODUCT(--ISNUMBER(SEARCH(","&amp;TRIM(TEXTSPLIT(CI99,","))&amp;",",","&amp;SUBSTITUTE(input_enews_audience," ","")&amp;",")))=0)),IF(CK99="",TRUE,IF(input_enews_audience="",FALSE,SUMPRODUCT(--ISNUMBER(SEARCH(","&amp;TRIM(TEXTSPLIT(CK99,","))&amp;",",","&amp;SUBSTITUTE(input_enews_audience," ","")&amp;",")))&gt;0)),IF(CM99="",TRUE,IF(input_enews_audience="",FALSE,SUMPRODUCT(--ISNUMBER(SEARCH(","&amp;TRIM(TEXTSPLIT(CM99,","))&amp;",",","&amp;SUBSTITUTE(input_enews_audience," ","")&amp;",")))=COUNTA(TEXTSPLIT(CM99,",")))))</f>
        <v/>
      </c>
      <c r="JB99">
        <f>AND(IF(CO99="",TRUE,IF(input_event_location="",FALSE,SUMPRODUCT(--ISNUMBER(SEARCH(","&amp;TRIM(TEXTSPLIT(CO99,","))&amp;",",","&amp;SUBSTITUTE(input_event_location," ","")&amp;",")))&gt;0)),IF(CQ99="",TRUE,IF(input_event_location="",FALSE,SUMPRODUCT(--ISNUMBER(SEARCH(","&amp;TRIM(TEXTSPLIT(CQ99,","))&amp;",",","&amp;SUBSTITUTE(input_event_location," ","")&amp;",")))=COUNTA(TEXTSPLIT(CQ99,",")))),IF(CS99="",TRUE,IF(input_event_location="",TRUE,SUMPRODUCT(--ISNUMBER(SEARCH(","&amp;TRIM(TEXTSPLIT(CS99,","))&amp;",",","&amp;SUBSTITUTE(input_event_location," ","")&amp;",")))=0)),IF(CU99="",TRUE,IF(input_event_location="",FALSE,SUMPRODUCT(--ISNUMBER(SEARCH(","&amp;TRIM(TEXTSPLIT(CU99,","))&amp;",",","&amp;SUBSTITUTE(input_event_location," ","")&amp;",")))&gt;0)),IF(CW99="",TRUE,IF(input_event_location="",FALSE,SUMPRODUCT(--ISNUMBER(SEARCH(","&amp;TRIM(TEXTSPLIT(CW99,","))&amp;",",","&amp;SUBSTITUTE(input_event_location," ","")&amp;",")))=COUNTA(TEXTSPLIT(CW99,",")))))</f>
        <v/>
      </c>
      <c r="JC99">
        <f>AND(IF(CY99="",TRUE,IF(input_event_type="",FALSE,SUMPRODUCT(--ISNUMBER(SEARCH(","&amp;TRIM(TEXTSPLIT(CY99,","))&amp;",",","&amp;SUBSTITUTE(input_event_type," ","")&amp;",")))&gt;0)),IF(DA99="",TRUE,IF(input_event_type="",FALSE,SUMPRODUCT(--ISNUMBER(SEARCH(","&amp;TRIM(TEXTSPLIT(DA99,","))&amp;",",","&amp;SUBSTITUTE(input_event_type," ","")&amp;",")))=COUNTA(TEXTSPLIT(DA99,",")))),IF(DC99="",TRUE,IF(input_event_type="",TRUE,SUMPRODUCT(--ISNUMBER(SEARCH(","&amp;TRIM(TEXTSPLIT(DC99,","))&amp;",",","&amp;SUBSTITUTE(input_event_type," ","")&amp;",")))=0)),IF(DE99="",TRUE,IF(input_event_type="",FALSE,SUMPRODUCT(--ISNUMBER(SEARCH(","&amp;TRIM(TEXTSPLIT(DE99,","))&amp;",",","&amp;SUBSTITUTE(input_event_type," ","")&amp;",")))&gt;0)),IF(DG99="",TRUE,IF(input_event_type="",FALSE,SUMPRODUCT(--ISNUMBER(SEARCH(","&amp;TRIM(TEXTSPLIT(DG99,","))&amp;",",","&amp;SUBSTITUTE(input_event_type," ","")&amp;",")))=COUNTA(TEXTSPLIT(DG99,",")))))</f>
        <v/>
      </c>
      <c r="JD99">
        <f>AND(IF(DI99="",TRUE,IF(input_executive_education_focus="",FALSE,SUMPRODUCT(--ISNUMBER(SEARCH(","&amp;TRIM(TEXTSPLIT(DI99,","))&amp;",",","&amp;SUBSTITUTE(input_executive_education_focus," ","")&amp;",")))&gt;0)),IF(DK99="",TRUE,IF(input_executive_education_focus="",FALSE,SUMPRODUCT(--ISNUMBER(SEARCH(","&amp;TRIM(TEXTSPLIT(DK99,","))&amp;",",","&amp;SUBSTITUTE(input_executive_education_focus," ","")&amp;",")))=COUNTA(TEXTSPLIT(DK99,",")))),IF(DM99="",TRUE,IF(input_executive_education_focus="",TRUE,SUMPRODUCT(--ISNUMBER(SEARCH(","&amp;TRIM(TEXTSPLIT(DM99,","))&amp;",",","&amp;SUBSTITUTE(input_executive_education_focus," ","")&amp;",")))=0)),IF(DO99="",TRUE,IF(input_executive_education_focus="",FALSE,SUMPRODUCT(--ISNUMBER(SEARCH(","&amp;TRIM(TEXTSPLIT(DO99,","))&amp;",",","&amp;SUBSTITUTE(input_executive_education_focus," ","")&amp;",")))&gt;0)),IF(DQ99="",TRUE,IF(input_executive_education_focus="",FALSE,SUMPRODUCT(--ISNUMBER(SEARCH(","&amp;TRIM(TEXTSPLIT(DQ99,","))&amp;",",","&amp;SUBSTITUTE(input_executive_education_focus," ","")&amp;",")))=COUNTA(TEXTSPLIT(DQ99,",")))))</f>
        <v/>
      </c>
      <c r="JE99">
        <f>AND(IF(DS99="",TRUE,IF(input_faculty_category="",FALSE,SUMPRODUCT(--ISNUMBER(SEARCH(","&amp;TRIM(TEXTSPLIT(DS99,","))&amp;",",","&amp;SUBSTITUTE(input_faculty_category," ","")&amp;",")))&gt;0)),IF(DU99="",TRUE,IF(input_faculty_category="",FALSE,SUMPRODUCT(--ISNUMBER(SEARCH(","&amp;TRIM(TEXTSPLIT(DU99,","))&amp;",",","&amp;SUBSTITUTE(input_faculty_category," ","")&amp;",")))=COUNTA(TEXTSPLIT(DU99,",")))),IF(DW99="",TRUE,IF(input_faculty_category="",TRUE,SUMPRODUCT(--ISNUMBER(SEARCH(","&amp;TRIM(TEXTSPLIT(DW99,","))&amp;",",","&amp;SUBSTITUTE(input_faculty_category," ","")&amp;",")))=0)),IF(DY99="",TRUE,IF(input_faculty_category="",FALSE,SUMPRODUCT(--ISNUMBER(SEARCH(","&amp;TRIM(TEXTSPLIT(DY99,","))&amp;",",","&amp;SUBSTITUTE(input_faculty_category," ","")&amp;",")))&gt;0)),IF(EA99="",TRUE,IF(input_faculty_category="",FALSE,SUMPRODUCT(--ISNUMBER(SEARCH(","&amp;TRIM(TEXTSPLIT(EA99,","))&amp;",",","&amp;SUBSTITUTE(input_faculty_category," ","")&amp;",")))=COUNTA(TEXTSPLIT(EA99,",")))))</f>
        <v/>
      </c>
      <c r="JF99">
        <f>AND(IF(EC99="",TRUE,IF(input_faculty_discipline="",FALSE,SUMPRODUCT(--ISNUMBER(SEARCH(","&amp;TRIM(TEXTSPLIT(EC99,","))&amp;",",","&amp;SUBSTITUTE(input_faculty_discipline," ","")&amp;",")))&gt;0)),IF(EE99="",TRUE,IF(input_faculty_discipline="",FALSE,SUMPRODUCT(--ISNUMBER(SEARCH(","&amp;TRIM(TEXTSPLIT(EE99,","))&amp;",",","&amp;SUBSTITUTE(input_faculty_discipline," ","")&amp;",")))=COUNTA(TEXTSPLIT(EE99,",")))),IF(EG99="",TRUE,IF(input_faculty_discipline="",TRUE,SUMPRODUCT(--ISNUMBER(SEARCH(","&amp;TRIM(TEXTSPLIT(EG99,","))&amp;",",","&amp;SUBSTITUTE(input_faculty_discipline," ","")&amp;",")))=0)),IF(EI99="",TRUE,IF(input_faculty_discipline="",FALSE,SUMPRODUCT(--ISNUMBER(SEARCH(","&amp;TRIM(TEXTSPLIT(EI99,","))&amp;",",","&amp;SUBSTITUTE(input_faculty_discipline," ","")&amp;",")))&gt;0)),IF(EK99="",TRUE,IF(input_faculty_discipline="",FALSE,SUMPRODUCT(--ISNUMBER(SEARCH(","&amp;TRIM(TEXTSPLIT(EK99,","))&amp;",",","&amp;SUBSTITUTE(input_faculty_discipline," ","")&amp;",")))=COUNTA(TEXTSPLIT(EK99,",")))))</f>
        <v/>
      </c>
      <c r="JG99">
        <f>AND(IF(EM99="",TRUE,IF(input_faculty_expertise="",FALSE,SUMPRODUCT(--ISNUMBER(SEARCH(","&amp;TRIM(TEXTSPLIT(EM99,","))&amp;",",","&amp;SUBSTITUTE(input_faculty_expertise," ","")&amp;",")))&gt;0)),IF(EO99="",TRUE,IF(input_faculty_expertise="",FALSE,SUMPRODUCT(--ISNUMBER(SEARCH(","&amp;TRIM(TEXTSPLIT(EO99,","))&amp;",",","&amp;SUBSTITUTE(input_faculty_expertise," ","")&amp;",")))=COUNTA(TEXTSPLIT(EO99,",")))),IF(EQ99="",TRUE,IF(input_faculty_expertise="",TRUE,SUMPRODUCT(--ISNUMBER(SEARCH(","&amp;TRIM(TEXTSPLIT(EQ99,","))&amp;",",","&amp;SUBSTITUTE(input_faculty_expertise," ","")&amp;",")))=0)),IF(ES99="",TRUE,IF(input_faculty_expertise="",FALSE,SUMPRODUCT(--ISNUMBER(SEARCH(","&amp;TRIM(TEXTSPLIT(ES99,","))&amp;",",","&amp;SUBSTITUTE(input_faculty_expertise," ","")&amp;",")))&gt;0)),IF(EU99="",TRUE,IF(input_faculty_expertise="",FALSE,SUMPRODUCT(--ISNUMBER(SEARCH(","&amp;TRIM(TEXTSPLIT(EU99,","))&amp;",",","&amp;SUBSTITUTE(input_faculty_expertise," ","")&amp;",")))=COUNTA(TEXTSPLIT(EU99,",")))))</f>
        <v/>
      </c>
      <c r="JH99">
        <f>AND(IF(EW99="",TRUE,IF(input_global_network_school="",FALSE,SUMPRODUCT(--ISNUMBER(SEARCH(","&amp;TRIM(TEXTSPLIT(EW99,","))&amp;",",","&amp;SUBSTITUTE(input_global_network_school," ","")&amp;",")))&gt;0)),IF(EY99="",TRUE,IF(input_global_network_school="",FALSE,SUMPRODUCT(--ISNUMBER(SEARCH(","&amp;TRIM(TEXTSPLIT(EY99,","))&amp;",",","&amp;SUBSTITUTE(input_global_network_school," ","")&amp;",")))=COUNTA(TEXTSPLIT(EY99,",")))),IF(FA99="",TRUE,IF(input_global_network_school="",TRUE,SUMPRODUCT(--ISNUMBER(SEARCH(","&amp;TRIM(TEXTSPLIT(FA99,","))&amp;",",","&amp;SUBSTITUTE(input_global_network_school," ","")&amp;",")))=0)),IF(FC99="",TRUE,IF(input_global_network_school="",FALSE,SUMPRODUCT(--ISNUMBER(SEARCH(","&amp;TRIM(TEXTSPLIT(FC99,","))&amp;",",","&amp;SUBSTITUTE(input_global_network_school," ","")&amp;",")))&gt;0)),IF(FE99="",TRUE,IF(input_global_network_school="",FALSE,SUMPRODUCT(--ISNUMBER(SEARCH(","&amp;TRIM(TEXTSPLIT(FE99,","))&amp;",",","&amp;SUBSTITUTE(input_global_network_school," ","")&amp;",")))=COUNTA(TEXTSPLIT(FE99,",")))))</f>
        <v/>
      </c>
      <c r="JI99">
        <f>AND(IF(FG99="",TRUE,IF(input_industry="",FALSE,SUMPRODUCT(--ISNUMBER(SEARCH(","&amp;TRIM(TEXTSPLIT(FG99,","))&amp;",",","&amp;SUBSTITUTE(input_industry," ","")&amp;",")))&gt;0)),IF(FI99="",TRUE,IF(input_industry="",FALSE,SUMPRODUCT(--ISNUMBER(SEARCH(","&amp;TRIM(TEXTSPLIT(FI99,","))&amp;",",","&amp;SUBSTITUTE(input_industry," ","")&amp;",")))=COUNTA(TEXTSPLIT(FI99,",")))),IF(FK99="",TRUE,IF(input_industry="",TRUE,SUMPRODUCT(--ISNUMBER(SEARCH(","&amp;TRIM(TEXTSPLIT(FK99,","))&amp;",",","&amp;SUBSTITUTE(input_industry," ","")&amp;",")))=0)),IF(FM99="",TRUE,IF(input_industry="",FALSE,SUMPRODUCT(--ISNUMBER(SEARCH(","&amp;TRIM(TEXTSPLIT(FM99,","))&amp;",",","&amp;SUBSTITUTE(input_industry," ","")&amp;",")))&gt;0)),IF(FO99="",TRUE,IF(input_industry="",FALSE,SUMPRODUCT(--ISNUMBER(SEARCH(","&amp;TRIM(TEXTSPLIT(FO99,","))&amp;",",","&amp;SUBSTITUTE(input_industry," ","")&amp;",")))=COUNTA(TEXTSPLIT(FO99,",")))))</f>
        <v/>
      </c>
      <c r="JJ99">
        <f>AND(IF(FQ99="",TRUE,IF(input_location="",FALSE,SUMPRODUCT(--ISNUMBER(SEARCH(","&amp;TRIM(TEXTSPLIT(FQ99,","))&amp;",",","&amp;SUBSTITUTE(input_location," ","")&amp;",")))&gt;0)),IF(FS99="",TRUE,IF(input_location="",FALSE,SUMPRODUCT(--ISNUMBER(SEARCH(","&amp;TRIM(TEXTSPLIT(FS99,","))&amp;",",","&amp;SUBSTITUTE(input_location," ","")&amp;",")))=COUNTA(TEXTSPLIT(FS99,",")))),IF(FU99="",TRUE,IF(input_location="",TRUE,SUMPRODUCT(--ISNUMBER(SEARCH(","&amp;TRIM(TEXTSPLIT(FU99,","))&amp;",",","&amp;SUBSTITUTE(input_location," ","")&amp;",")))=0)),IF(FW99="",TRUE,IF(input_location="",FALSE,SUMPRODUCT(--ISNUMBER(SEARCH(","&amp;TRIM(TEXTSPLIT(FW99,","))&amp;",",","&amp;SUBSTITUTE(input_location," ","")&amp;",")))&gt;0)),IF(FY99="",TRUE,IF(input_location="",FALSE,SUMPRODUCT(--ISNUMBER(SEARCH(","&amp;TRIM(TEXTSPLIT(FY99,","))&amp;",",","&amp;SUBSTITUTE(input_location," ","")&amp;",")))=COUNTA(TEXTSPLIT(FY99,",")))))</f>
        <v/>
      </c>
      <c r="JK99">
        <f>AND(IF(GA99="",TRUE,IF(input_modality="",FALSE,SUMPRODUCT(--ISNUMBER(SEARCH(","&amp;TRIM(TEXTSPLIT(GA99,","))&amp;",",","&amp;SUBSTITUTE(input_modality," ","")&amp;",")))&gt;0)),IF(GC99="",TRUE,IF(input_modality="",FALSE,SUMPRODUCT(--ISNUMBER(SEARCH(","&amp;TRIM(TEXTSPLIT(GC99,","))&amp;",",","&amp;SUBSTITUTE(input_modality," ","")&amp;",")))=COUNTA(TEXTSPLIT(GC99,",")))),IF(GE99="",TRUE,IF(input_modality="",TRUE,SUMPRODUCT(--ISNUMBER(SEARCH(","&amp;TRIM(TEXTSPLIT(GE99,","))&amp;",",","&amp;SUBSTITUTE(input_modality," ","")&amp;",")))=0)),IF(GG99="",TRUE,IF(input_modality="",FALSE,SUMPRODUCT(--ISNUMBER(SEARCH(","&amp;TRIM(TEXTSPLIT(GG99,","))&amp;",",","&amp;SUBSTITUTE(input_modality," ","")&amp;",")))&gt;0)),IF(GI99="",TRUE,IF(input_modality="",FALSE,SUMPRODUCT(--ISNUMBER(SEARCH(","&amp;TRIM(TEXTSPLIT(GI99,","))&amp;",",","&amp;SUBSTITUTE(input_modality," ","")&amp;",")))=COUNTA(TEXTSPLIT(GI99,",")))))</f>
        <v/>
      </c>
      <c r="JL99">
        <f>AND(IF(GK99="",TRUE,IF(input_organizer="",FALSE,SUMPRODUCT(--ISNUMBER(SEARCH(","&amp;TRIM(TEXTSPLIT(GK99,","))&amp;",",","&amp;SUBSTITUTE(input_organizer," ","")&amp;",")))&gt;0)),IF(GM99="",TRUE,IF(input_organizer="",FALSE,SUMPRODUCT(--ISNUMBER(SEARCH(","&amp;TRIM(TEXTSPLIT(GM99,","))&amp;",",","&amp;SUBSTITUTE(input_organizer," ","")&amp;",")))=COUNTA(TEXTSPLIT(GM99,",")))),IF(GO99="",TRUE,IF(input_organizer="",TRUE,SUMPRODUCT(--ISNUMBER(SEARCH(","&amp;TRIM(TEXTSPLIT(GO99,","))&amp;",",","&amp;SUBSTITUTE(input_organizer," ","")&amp;",")))=0)),IF(GQ99="",TRUE,IF(input_organizer="",FALSE,SUMPRODUCT(--ISNUMBER(SEARCH(","&amp;TRIM(TEXTSPLIT(GQ99,","))&amp;",",","&amp;SUBSTITUTE(input_organizer," ","")&amp;",")))&gt;0)),IF(GS99="",TRUE,IF(input_organizer="",FALSE,SUMPRODUCT(--ISNUMBER(SEARCH(","&amp;TRIM(TEXTSPLIT(GS99,","))&amp;",",","&amp;SUBSTITUTE(input_organizer," ","")&amp;",")))=COUNTA(TEXTSPLIT(GS99,",")))))</f>
        <v/>
      </c>
      <c r="JM99">
        <f>AND(IF(GU99="",TRUE,IF(input_profile_type="",FALSE,SUMPRODUCT(--ISNUMBER(SEARCH(","&amp;TRIM(TEXTSPLIT(GU99,","))&amp;",",","&amp;SUBSTITUTE(input_profile_type," ","")&amp;",")))&gt;0)),IF(GW99="",TRUE,IF(input_profile_type="",FALSE,SUMPRODUCT(--ISNUMBER(SEARCH(","&amp;TRIM(TEXTSPLIT(GW99,","))&amp;",",","&amp;SUBSTITUTE(input_profile_type," ","")&amp;",")))=COUNTA(TEXTSPLIT(GW99,",")))),IF(GY99="",TRUE,IF(input_profile_type="",TRUE,SUMPRODUCT(--ISNUMBER(SEARCH(","&amp;TRIM(TEXTSPLIT(GY99,","))&amp;",",","&amp;SUBSTITUTE(input_profile_type," ","")&amp;",")))=0)),IF(HA99="",TRUE,IF(input_profile_type="",FALSE,SUMPRODUCT(--ISNUMBER(SEARCH(","&amp;TRIM(TEXTSPLIT(HA99,","))&amp;",",","&amp;SUBSTITUTE(input_profile_type," ","")&amp;",")))&gt;0)),IF(HC99="",TRUE,IF(input_profile_type="",FALSE,SUMPRODUCT(--ISNUMBER(SEARCH(","&amp;TRIM(TEXTSPLIT(HC99,","))&amp;",",","&amp;SUBSTITUTE(input_profile_type," ","")&amp;",")))=COUNTA(TEXTSPLIT(HC99,",")))))</f>
        <v/>
      </c>
      <c r="JN99">
        <f>AND(IF(HE99="",TRUE,IF(input_program="",FALSE,SUMPRODUCT(--ISNUMBER(SEARCH(","&amp;TRIM(TEXTSPLIT(HE99,","))&amp;",",","&amp;SUBSTITUTE(input_program," ","")&amp;",")))&gt;0)),IF(HG99="",TRUE,IF(input_program="",FALSE,SUMPRODUCT(--ISNUMBER(SEARCH(","&amp;TRIM(TEXTSPLIT(HG99,","))&amp;",",","&amp;SUBSTITUTE(input_program," ","")&amp;",")))=COUNTA(TEXTSPLIT(HG99,",")))),IF(HI99="",TRUE,IF(input_program="",TRUE,SUMPRODUCT(--ISNUMBER(SEARCH(","&amp;TRIM(TEXTSPLIT(HI99,","))&amp;",",","&amp;SUBSTITUTE(input_program," ","")&amp;",")))=0)),IF(HK99="",TRUE,IF(input_program="",FALSE,SUMPRODUCT(--ISNUMBER(SEARCH(","&amp;TRIM(TEXTSPLIT(HK99,","))&amp;",",","&amp;SUBSTITUTE(input_program," ","")&amp;",")))&gt;0)),IF(HM99="",TRUE,IF(input_program="",FALSE,SUMPRODUCT(--ISNUMBER(SEARCH(","&amp;TRIM(TEXTSPLIT(HM99,","))&amp;",",","&amp;SUBSTITUTE(input_program," ","")&amp;",")))=COUNTA(TEXTSPLIT(HM99,",")))))</f>
        <v/>
      </c>
      <c r="JO99">
        <f>AND(IF(HO99="",TRUE,IF(input_story_categories="",FALSE,SUMPRODUCT(--ISNUMBER(SEARCH(","&amp;TRIM(TEXTSPLIT(HO99,","))&amp;",",","&amp;SUBSTITUTE(input_story_categories," ","")&amp;",")))&gt;0)),IF(HQ99="",TRUE,IF(input_story_categories="",FALSE,SUMPRODUCT(--ISNUMBER(SEARCH(","&amp;TRIM(TEXTSPLIT(HQ99,","))&amp;",",","&amp;SUBSTITUTE(input_story_categories," ","")&amp;",")))=COUNTA(TEXTSPLIT(HQ99,",")))),IF(HS99="",TRUE,IF(input_story_categories="",TRUE,SUMPRODUCT(--ISNUMBER(SEARCH(","&amp;TRIM(TEXTSPLIT(HS99,","))&amp;",",","&amp;SUBSTITUTE(input_story_categories," ","")&amp;",")))=0)),IF(HU99="",TRUE,IF(input_story_categories="",FALSE,SUMPRODUCT(--ISNUMBER(SEARCH(","&amp;TRIM(TEXTSPLIT(HU99,","))&amp;",",","&amp;SUBSTITUTE(input_story_categories," ","")&amp;",")))&gt;0)),IF(HW99="",TRUE,IF(input_story_categories="",FALSE,SUMPRODUCT(--ISNUMBER(SEARCH(","&amp;TRIM(TEXTSPLIT(HW99,","))&amp;",",","&amp;SUBSTITUTE(input_story_categories," ","")&amp;",")))=COUNTA(TEXTSPLIT(HW99,",")))))</f>
        <v/>
      </c>
      <c r="JP99">
        <f>AND(IF(HY99="",TRUE,IF(input_story_type="",FALSE,SUMPRODUCT(--ISNUMBER(SEARCH(","&amp;TRIM(TEXTSPLIT(HY99,","))&amp;",",","&amp;SUBSTITUTE(input_story_type," ","")&amp;",")))&gt;0)),IF(IA99="",TRUE,IF(input_story_type="",FALSE,SUMPRODUCT(--ISNUMBER(SEARCH(","&amp;TRIM(TEXTSPLIT(IA99,","))&amp;",",","&amp;SUBSTITUTE(input_story_type," ","")&amp;",")))=COUNTA(TEXTSPLIT(IA99,",")))),IF(IC99="",TRUE,IF(input_story_type="",TRUE,SUMPRODUCT(--ISNUMBER(SEARCH(","&amp;TRIM(TEXTSPLIT(IC99,","))&amp;",",","&amp;SUBSTITUTE(input_story_type," ","")&amp;",")))=0)),IF(IE99="",TRUE,IF(input_story_type="",FALSE,SUMPRODUCT(--ISNUMBER(SEARCH(","&amp;TRIM(TEXTSPLIT(IE99,","))&amp;",",","&amp;SUBSTITUTE(input_story_type," ","")&amp;",")))&gt;0)),IF(IG99="",TRUE,IF(input_story_type="",FALSE,SUMPRODUCT(--ISNUMBER(SEARCH(","&amp;TRIM(TEXTSPLIT(IG99,","))&amp;",",","&amp;SUBSTITUTE(input_story_type," ","")&amp;",")))=COUNTA(TEXTSPLIT(IG99,",")))))</f>
        <v/>
      </c>
      <c r="JQ99">
        <f>AND(IF(II99="",TRUE,IF(input_topics="",FALSE,SUMPRODUCT(--ISNUMBER(SEARCH(","&amp;TRIM(TEXTSPLIT(II99,","))&amp;",",","&amp;SUBSTITUTE(input_topics," ","")&amp;",")))&gt;0)),IF(IK99="",TRUE,IF(input_topics="",FALSE,SUMPRODUCT(--ISNUMBER(SEARCH(","&amp;TRIM(TEXTSPLIT(IK99,","))&amp;",",","&amp;SUBSTITUTE(input_topics," ","")&amp;",")))=COUNTA(TEXTSPLIT(IK99,",")))),IF(IM99="",TRUE,IF(input_topics="",TRUE,SUMPRODUCT(--ISNUMBER(SEARCH(","&amp;TRIM(TEXTSPLIT(IM99,","))&amp;",",","&amp;SUBSTITUTE(input_topics," ","")&amp;",")))=0)),IF(IO99="",TRUE,IF(input_topics="",FALSE,SUMPRODUCT(--ISNUMBER(SEARCH(","&amp;TRIM(TEXTSPLIT(IO99,","))&amp;",",","&amp;SUBSTITUTE(input_topics," ","")&amp;",")))&gt;0)),IF(IQ99="",TRUE,IF(input_topics="",FALSE,SUMPRODUCT(--ISNUMBER(SEARCH(","&amp;TRIM(TEXTSPLIT(IQ99,","))&amp;",",","&amp;SUBSTITUTE(input_topics," ","")&amp;",")))=COUNTA(TEXTSPLIT(IQ99,",")))))</f>
        <v/>
      </c>
    </row>
    <row r="100">
      <c r="A100" s="4">
        <f>IF(NOT(IS100),"Excluded",IF(AND(IT100,IU100,IV100,IW100,IX100,IY100,IZ100,JA100,JB100,JC100,JD100,JE100,JF100,JG100,JH100,JI100,JJ100,JK100,JL100,JM100,JN100,JO100,JP100,JQ100),IF(I100&gt;0,"Eligible but limited","Will appear"),"Excluded"))</f>
        <v/>
      </c>
      <c r="B100" s="4" t="inlineStr">
        <is>
          <t>Events</t>
        </is>
      </c>
      <c r="C100" s="4" t="inlineStr">
        <is>
          <t>/about/events</t>
        </is>
      </c>
      <c r="D100" s="4" t="inlineStr">
        <is>
          <t>/about/events</t>
        </is>
      </c>
      <c r="E100" s="4" t="n">
        <v>1</v>
      </c>
      <c r="F100" s="4" t="inlineStr">
        <is>
          <t>event</t>
        </is>
      </c>
      <c r="G100" s="4" t="inlineStr">
        <is>
          <t>event_list</t>
        </is>
      </c>
      <c r="H100" s="4" t="inlineStr">
        <is>
          <t>embed_with_filters</t>
        </is>
      </c>
      <c r="I100" s="4" t="n">
        <v>8</v>
      </c>
      <c r="J100" s="4" t="inlineStr">
        <is>
          <t>Explicit args</t>
        </is>
      </c>
      <c r="K100" s="4" t="inlineStr">
        <is>
          <t>Page placement</t>
        </is>
      </c>
      <c r="L100" s="4" t="inlineStr">
        <is>
          <t>Content type: event; Limited to 8 item(s); Source: Explicit args</t>
        </is>
      </c>
      <c r="M100" t="inlineStr"/>
      <c r="N100" t="inlineStr"/>
      <c r="O100" t="inlineStr"/>
      <c r="P100" t="inlineStr"/>
      <c r="Q100" t="inlineStr"/>
      <c r="R100" t="inlineStr"/>
      <c r="S100" t="inlineStr"/>
      <c r="T100" t="inlineStr"/>
      <c r="U100" t="inlineStr"/>
      <c r="V100" t="inlineStr"/>
      <c r="W100" t="inlineStr"/>
      <c r="X100" t="inlineStr"/>
      <c r="Y100" t="inlineStr"/>
      <c r="Z100" t="inlineStr"/>
      <c r="AA100" t="inlineStr"/>
      <c r="AB100" t="inlineStr"/>
      <c r="AC100" t="inlineStr"/>
      <c r="AD100" t="inlineStr"/>
      <c r="AE100" t="inlineStr"/>
      <c r="AF100" t="inlineStr"/>
      <c r="AG100" t="inlineStr"/>
      <c r="AH100" t="inlineStr"/>
      <c r="AI100" t="inlineStr"/>
      <c r="AJ100" t="inlineStr"/>
      <c r="AK100" t="inlineStr"/>
      <c r="AL100" t="inlineStr"/>
      <c r="AM100" t="inlineStr"/>
      <c r="AN100" t="inlineStr"/>
      <c r="AO100" t="inlineStr"/>
      <c r="AP100" t="inlineStr"/>
      <c r="AQ100" t="inlineStr"/>
      <c r="AR100" t="inlineStr"/>
      <c r="AS100" t="inlineStr"/>
      <c r="AT100" t="inlineStr"/>
      <c r="AU100" t="inlineStr"/>
      <c r="AV100" t="inlineStr"/>
      <c r="AW100" t="inlineStr"/>
      <c r="AX100" t="inlineStr"/>
      <c r="AY100" t="inlineStr"/>
      <c r="AZ100" t="inlineStr"/>
      <c r="BA100" t="inlineStr"/>
      <c r="BB100" t="inlineStr"/>
      <c r="BC100" t="inlineStr"/>
      <c r="BD100" t="inlineStr"/>
      <c r="BE100" t="inlineStr"/>
      <c r="BF100" t="inlineStr"/>
      <c r="BG100" t="inlineStr"/>
      <c r="BH100" t="inlineStr"/>
      <c r="BI100" t="inlineStr"/>
      <c r="BJ100" t="inlineStr"/>
      <c r="BK100" t="inlineStr"/>
      <c r="BL100" t="inlineStr"/>
      <c r="BM100" t="inlineStr"/>
      <c r="BN100" t="inlineStr"/>
      <c r="BO100" t="inlineStr"/>
      <c r="BP100" t="inlineStr"/>
      <c r="BQ100" t="inlineStr"/>
      <c r="BR100" t="inlineStr"/>
      <c r="BS100" t="inlineStr"/>
      <c r="BT100" t="inlineStr"/>
      <c r="BU100" t="inlineStr"/>
      <c r="BV100" t="inlineStr"/>
      <c r="BW100" t="inlineStr"/>
      <c r="BX100" t="inlineStr"/>
      <c r="BY100" t="inlineStr"/>
      <c r="BZ100" t="inlineStr"/>
      <c r="CA100" t="inlineStr"/>
      <c r="CB100" t="inlineStr"/>
      <c r="CC100" t="inlineStr"/>
      <c r="CD100" t="inlineStr"/>
      <c r="CE100" t="inlineStr"/>
      <c r="CF100" t="inlineStr"/>
      <c r="CG100" t="inlineStr"/>
      <c r="CH100" t="inlineStr"/>
      <c r="CI100" t="inlineStr"/>
      <c r="CJ100" t="inlineStr"/>
      <c r="CK100" t="inlineStr"/>
      <c r="CL100" t="inlineStr"/>
      <c r="CM100" t="inlineStr"/>
      <c r="CN100" t="inlineStr"/>
      <c r="CO100" t="inlineStr"/>
      <c r="CP100" t="inlineStr"/>
      <c r="CQ100" t="inlineStr"/>
      <c r="CR100" t="inlineStr"/>
      <c r="CS100" t="inlineStr"/>
      <c r="CT100" t="inlineStr"/>
      <c r="CU100" t="inlineStr"/>
      <c r="CV100" t="inlineStr"/>
      <c r="CW100" t="inlineStr"/>
      <c r="CX100" t="inlineStr"/>
      <c r="CY100" t="inlineStr"/>
      <c r="CZ100" t="inlineStr"/>
      <c r="DA100" t="inlineStr"/>
      <c r="DB100" t="inlineStr"/>
      <c r="DC100" t="inlineStr"/>
      <c r="DD100" t="inlineStr"/>
      <c r="DE100" t="inlineStr"/>
      <c r="DF100" t="inlineStr"/>
      <c r="DG100" t="inlineStr"/>
      <c r="DH100" t="inlineStr"/>
      <c r="DI100" t="inlineStr"/>
      <c r="DJ100" t="inlineStr"/>
      <c r="DK100" t="inlineStr"/>
      <c r="DL100" t="inlineStr"/>
      <c r="DM100" t="inlineStr"/>
      <c r="DN100" t="inlineStr"/>
      <c r="DO100" t="inlineStr"/>
      <c r="DP100" t="inlineStr"/>
      <c r="DQ100" t="inlineStr"/>
      <c r="DR100" t="inlineStr"/>
      <c r="DS100" t="inlineStr"/>
      <c r="DT100" t="inlineStr"/>
      <c r="DU100" t="inlineStr"/>
      <c r="DV100" t="inlineStr"/>
      <c r="DW100" t="inlineStr"/>
      <c r="DX100" t="inlineStr"/>
      <c r="DY100" t="inlineStr"/>
      <c r="DZ100" t="inlineStr"/>
      <c r="EA100" t="inlineStr"/>
      <c r="EB100" t="inlineStr"/>
      <c r="EC100" t="inlineStr"/>
      <c r="ED100" t="inlineStr"/>
      <c r="EE100" t="inlineStr"/>
      <c r="EF100" t="inlineStr"/>
      <c r="EG100" t="inlineStr"/>
      <c r="EH100" t="inlineStr"/>
      <c r="EI100" t="inlineStr"/>
      <c r="EJ100" t="inlineStr"/>
      <c r="EK100" t="inlineStr"/>
      <c r="EL100" t="inlineStr"/>
      <c r="EM100" t="inlineStr"/>
      <c r="EN100" t="inlineStr"/>
      <c r="EO100" t="inlineStr"/>
      <c r="EP100" t="inlineStr"/>
      <c r="EQ100" t="inlineStr"/>
      <c r="ER100" t="inlineStr"/>
      <c r="ES100" t="inlineStr"/>
      <c r="ET100" t="inlineStr"/>
      <c r="EU100" t="inlineStr"/>
      <c r="EV100" t="inlineStr"/>
      <c r="EW100" t="inlineStr"/>
      <c r="EX100" t="inlineStr"/>
      <c r="EY100" t="inlineStr"/>
      <c r="EZ100" t="inlineStr"/>
      <c r="FA100" t="inlineStr"/>
      <c r="FB100" t="inlineStr"/>
      <c r="FC100" t="inlineStr"/>
      <c r="FD100" t="inlineStr"/>
      <c r="FE100" t="inlineStr"/>
      <c r="FF100" t="inlineStr"/>
      <c r="FG100" t="inlineStr"/>
      <c r="FH100" t="inlineStr"/>
      <c r="FI100" t="inlineStr"/>
      <c r="FJ100" t="inlineStr"/>
      <c r="FK100" t="inlineStr"/>
      <c r="FL100" t="inlineStr"/>
      <c r="FM100" t="inlineStr"/>
      <c r="FN100" t="inlineStr"/>
      <c r="FO100" t="inlineStr"/>
      <c r="FP100" t="inlineStr"/>
      <c r="FQ100" t="inlineStr"/>
      <c r="FR100" t="inlineStr"/>
      <c r="FS100" t="inlineStr"/>
      <c r="FT100" t="inlineStr"/>
      <c r="FU100" t="inlineStr"/>
      <c r="FV100" t="inlineStr"/>
      <c r="FW100" t="inlineStr"/>
      <c r="FX100" t="inlineStr"/>
      <c r="FY100" t="inlineStr"/>
      <c r="FZ100" t="inlineStr"/>
      <c r="GA100" t="inlineStr"/>
      <c r="GB100" t="inlineStr"/>
      <c r="GC100" t="inlineStr"/>
      <c r="GD100" t="inlineStr"/>
      <c r="GE100" t="inlineStr"/>
      <c r="GF100" t="inlineStr"/>
      <c r="GG100" t="inlineStr"/>
      <c r="GH100" t="inlineStr"/>
      <c r="GI100" t="inlineStr"/>
      <c r="GJ100" t="inlineStr"/>
      <c r="GK100" t="inlineStr"/>
      <c r="GL100" t="inlineStr"/>
      <c r="GM100" t="inlineStr"/>
      <c r="GN100" t="inlineStr"/>
      <c r="GO100" t="inlineStr"/>
      <c r="GP100" t="inlineStr"/>
      <c r="GQ100" t="inlineStr"/>
      <c r="GR100" t="inlineStr"/>
      <c r="GS100" t="inlineStr"/>
      <c r="GT100" t="inlineStr"/>
      <c r="GU100" t="inlineStr"/>
      <c r="GV100" t="inlineStr"/>
      <c r="GW100" t="inlineStr"/>
      <c r="GX100" t="inlineStr"/>
      <c r="GY100" t="inlineStr"/>
      <c r="GZ100" t="inlineStr"/>
      <c r="HA100" t="inlineStr"/>
      <c r="HB100" t="inlineStr"/>
      <c r="HC100" t="inlineStr"/>
      <c r="HD100" t="inlineStr"/>
      <c r="HE100" t="inlineStr"/>
      <c r="HF100" t="inlineStr"/>
      <c r="HG100" t="inlineStr"/>
      <c r="HH100" t="inlineStr"/>
      <c r="HI100" t="inlineStr"/>
      <c r="HJ100" t="inlineStr"/>
      <c r="HK100" t="inlineStr"/>
      <c r="HL100" t="inlineStr"/>
      <c r="HM100" t="inlineStr"/>
      <c r="HN100" t="inlineStr"/>
      <c r="HO100" t="inlineStr"/>
      <c r="HP100" t="inlineStr"/>
      <c r="HQ100" t="inlineStr"/>
      <c r="HR100" t="inlineStr"/>
      <c r="HS100" t="inlineStr"/>
      <c r="HT100" t="inlineStr"/>
      <c r="HU100" t="inlineStr"/>
      <c r="HV100" t="inlineStr"/>
      <c r="HW100" t="inlineStr"/>
      <c r="HX100" t="inlineStr"/>
      <c r="HY100" t="inlineStr"/>
      <c r="HZ100" t="inlineStr"/>
      <c r="IA100" t="inlineStr"/>
      <c r="IB100" t="inlineStr"/>
      <c r="IC100" t="inlineStr"/>
      <c r="ID100" t="inlineStr"/>
      <c r="IE100" t="inlineStr"/>
      <c r="IF100" t="inlineStr"/>
      <c r="IG100" t="inlineStr"/>
      <c r="IH100" t="inlineStr"/>
      <c r="II100" t="inlineStr"/>
      <c r="IJ100" t="inlineStr"/>
      <c r="IK100" t="inlineStr"/>
      <c r="IL100" t="inlineStr"/>
      <c r="IM100" t="inlineStr"/>
      <c r="IN100" t="inlineStr"/>
      <c r="IO100" t="inlineStr"/>
      <c r="IP100" t="inlineStr"/>
      <c r="IQ100" t="inlineStr"/>
      <c r="IR100" t="inlineStr"/>
      <c r="IS100">
        <f>IF(input_content_type="",FALSE,ISNUMBER(SEARCH(","&amp;LOWER(input_content_type)&amp;",",","&amp;LOWER(F100)&amp;",")))</f>
        <v/>
      </c>
      <c r="IT100">
        <f>AND(IF(M100="",TRUE,IF(input_affiliations="",FALSE,SUMPRODUCT(--ISNUMBER(SEARCH(","&amp;TRIM(TEXTSPLIT(M100,","))&amp;",",","&amp;SUBSTITUTE(input_affiliations," ","")&amp;",")))&gt;0)),IF(O100="",TRUE,IF(input_affiliations="",FALSE,SUMPRODUCT(--ISNUMBER(SEARCH(","&amp;TRIM(TEXTSPLIT(O100,","))&amp;",",","&amp;SUBSTITUTE(input_affiliations," ","")&amp;",")))=COUNTA(TEXTSPLIT(O100,",")))),IF(Q100="",TRUE,IF(input_affiliations="",TRUE,SUMPRODUCT(--ISNUMBER(SEARCH(","&amp;TRIM(TEXTSPLIT(Q100,","))&amp;",",","&amp;SUBSTITUTE(input_affiliations," ","")&amp;",")))=0)),IF(S100="",TRUE,IF(input_affiliations="",FALSE,SUMPRODUCT(--ISNUMBER(SEARCH(","&amp;TRIM(TEXTSPLIT(S100,","))&amp;",",","&amp;SUBSTITUTE(input_affiliations," ","")&amp;",")))&gt;0)),IF(U100="",TRUE,IF(input_affiliations="",FALSE,SUMPRODUCT(--ISNUMBER(SEARCH(","&amp;TRIM(TEXTSPLIT(U100,","))&amp;",",","&amp;SUBSTITUTE(input_affiliations," ","")&amp;",")))=COUNTA(TEXTSPLIT(U100,",")))))</f>
        <v/>
      </c>
      <c r="IU100">
        <f>AND(IF(W100="",TRUE,IF(input_announcement_category="",FALSE,SUMPRODUCT(--ISNUMBER(SEARCH(","&amp;TRIM(TEXTSPLIT(W100,","))&amp;",",","&amp;SUBSTITUTE(input_announcement_category," ","")&amp;",")))&gt;0)),IF(Y100="",TRUE,IF(input_announcement_category="",FALSE,SUMPRODUCT(--ISNUMBER(SEARCH(","&amp;TRIM(TEXTSPLIT(Y100,","))&amp;",",","&amp;SUBSTITUTE(input_announcement_category," ","")&amp;",")))=COUNTA(TEXTSPLIT(Y100,",")))),IF(AA100="",TRUE,IF(input_announcement_category="",TRUE,SUMPRODUCT(--ISNUMBER(SEARCH(","&amp;TRIM(TEXTSPLIT(AA100,","))&amp;",",","&amp;SUBSTITUTE(input_announcement_category," ","")&amp;",")))=0)),IF(AC100="",TRUE,IF(input_announcement_category="",FALSE,SUMPRODUCT(--ISNUMBER(SEARCH(","&amp;TRIM(TEXTSPLIT(AC100,","))&amp;",",","&amp;SUBSTITUTE(input_announcement_category," ","")&amp;",")))&gt;0)),IF(AE100="",TRUE,IF(input_announcement_category="",FALSE,SUMPRODUCT(--ISNUMBER(SEARCH(","&amp;TRIM(TEXTSPLIT(AE100,","))&amp;",",","&amp;SUBSTITUTE(input_announcement_category," ","")&amp;",")))=COUNTA(TEXTSPLIT(AE100,",")))))</f>
        <v/>
      </c>
      <c r="IV100">
        <f>AND(IF(AG100="",TRUE,IF(input_area_of_focus="",FALSE,SUMPRODUCT(--ISNUMBER(SEARCH(","&amp;TRIM(TEXTSPLIT(AG100,","))&amp;",",","&amp;SUBSTITUTE(input_area_of_focus," ","")&amp;",")))&gt;0)),IF(AI100="",TRUE,IF(input_area_of_focus="",FALSE,SUMPRODUCT(--ISNUMBER(SEARCH(","&amp;TRIM(TEXTSPLIT(AI100,","))&amp;",",","&amp;SUBSTITUTE(input_area_of_focus," ","")&amp;",")))=COUNTA(TEXTSPLIT(AI100,",")))),IF(AK100="",TRUE,IF(input_area_of_focus="",TRUE,SUMPRODUCT(--ISNUMBER(SEARCH(","&amp;TRIM(TEXTSPLIT(AK100,","))&amp;",",","&amp;SUBSTITUTE(input_area_of_focus," ","")&amp;",")))=0)),IF(AM100="",TRUE,IF(input_area_of_focus="",FALSE,SUMPRODUCT(--ISNUMBER(SEARCH(","&amp;TRIM(TEXTSPLIT(AM100,","))&amp;",",","&amp;SUBSTITUTE(input_area_of_focus," ","")&amp;",")))&gt;0)),IF(AO100="",TRUE,IF(input_area_of_focus="",FALSE,SUMPRODUCT(--ISNUMBER(SEARCH(","&amp;TRIM(TEXTSPLIT(AO100,","))&amp;",",","&amp;SUBSTITUTE(input_area_of_focus," ","")&amp;",")))=COUNTA(TEXTSPLIT(AO100,",")))))</f>
        <v/>
      </c>
      <c r="IW100">
        <f>AND(IF(AQ100="",TRUE,IF(input_audience="",FALSE,SUMPRODUCT(--ISNUMBER(SEARCH(","&amp;TRIM(TEXTSPLIT(AQ100,","))&amp;",",","&amp;SUBSTITUTE(input_audience," ","")&amp;",")))&gt;0)),IF(AS100="",TRUE,IF(input_audience="",FALSE,SUMPRODUCT(--ISNUMBER(SEARCH(","&amp;TRIM(TEXTSPLIT(AS100,","))&amp;",",","&amp;SUBSTITUTE(input_audience," ","")&amp;",")))=COUNTA(TEXTSPLIT(AS100,",")))),IF(AU100="",TRUE,IF(input_audience="",TRUE,SUMPRODUCT(--ISNUMBER(SEARCH(","&amp;TRIM(TEXTSPLIT(AU100,","))&amp;",",","&amp;SUBSTITUTE(input_audience," ","")&amp;",")))=0)),IF(AW100="",TRUE,IF(input_audience="",FALSE,SUMPRODUCT(--ISNUMBER(SEARCH(","&amp;TRIM(TEXTSPLIT(AW100,","))&amp;",",","&amp;SUBSTITUTE(input_audience," ","")&amp;",")))&gt;0)),IF(AY100="",TRUE,IF(input_audience="",FALSE,SUMPRODUCT(--ISNUMBER(SEARCH(","&amp;TRIM(TEXTSPLIT(AY100,","))&amp;",",","&amp;SUBSTITUTE(input_audience," ","")&amp;",")))=COUNTA(TEXTSPLIT(AY100,",")))))</f>
        <v/>
      </c>
      <c r="IX100">
        <f>AND(IF(BA100="",TRUE,IF(input_challenge_opportunities="",FALSE,SUMPRODUCT(--ISNUMBER(SEARCH(","&amp;TRIM(TEXTSPLIT(BA100,","))&amp;",",","&amp;SUBSTITUTE(input_challenge_opportunities," ","")&amp;",")))&gt;0)),IF(BC100="",TRUE,IF(input_challenge_opportunities="",FALSE,SUMPRODUCT(--ISNUMBER(SEARCH(","&amp;TRIM(TEXTSPLIT(BC100,","))&amp;",",","&amp;SUBSTITUTE(input_challenge_opportunities," ","")&amp;",")))=COUNTA(TEXTSPLIT(BC100,",")))),IF(BE100="",TRUE,IF(input_challenge_opportunities="",TRUE,SUMPRODUCT(--ISNUMBER(SEARCH(","&amp;TRIM(TEXTSPLIT(BE100,","))&amp;",",","&amp;SUBSTITUTE(input_challenge_opportunities," ","")&amp;",")))=0)),IF(BG100="",TRUE,IF(input_challenge_opportunities="",FALSE,SUMPRODUCT(--ISNUMBER(SEARCH(","&amp;TRIM(TEXTSPLIT(BG100,","))&amp;",",","&amp;SUBSTITUTE(input_challenge_opportunities," ","")&amp;",")))&gt;0)),IF(BI100="",TRUE,IF(input_challenge_opportunities="",FALSE,SUMPRODUCT(--ISNUMBER(SEARCH(","&amp;TRIM(TEXTSPLIT(BI100,","))&amp;",",","&amp;SUBSTITUTE(input_challenge_opportunities," ","")&amp;",")))=COUNTA(TEXTSPLIT(BI100,",")))))</f>
        <v/>
      </c>
      <c r="IY100">
        <f>AND(IF(BK100="",TRUE,IF(input_context="",FALSE,SUMPRODUCT(--ISNUMBER(SEARCH(","&amp;TRIM(TEXTSPLIT(BK100,","))&amp;",",","&amp;SUBSTITUTE(input_context," ","")&amp;",")))&gt;0)),IF(BM100="",TRUE,IF(input_context="",FALSE,SUMPRODUCT(--ISNUMBER(SEARCH(","&amp;TRIM(TEXTSPLIT(BM100,","))&amp;",",","&amp;SUBSTITUTE(input_context," ","")&amp;",")))=COUNTA(TEXTSPLIT(BM100,",")))),IF(BO100="",TRUE,IF(input_context="",TRUE,SUMPRODUCT(--ISNUMBER(SEARCH(","&amp;TRIM(TEXTSPLIT(BO100,","))&amp;",",","&amp;SUBSTITUTE(input_context," ","")&amp;",")))=0)),IF(BQ100="",TRUE,IF(input_context="",FALSE,SUMPRODUCT(--ISNUMBER(SEARCH(","&amp;TRIM(TEXTSPLIT(BQ100,","))&amp;",",","&amp;SUBSTITUTE(input_context," ","")&amp;",")))&gt;0)),IF(BS100="",TRUE,IF(input_context="",FALSE,SUMPRODUCT(--ISNUMBER(SEARCH(","&amp;TRIM(TEXTSPLIT(BS100,","))&amp;",",","&amp;SUBSTITUTE(input_context," ","")&amp;",")))=COUNTA(TEXTSPLIT(BS100,",")))))</f>
        <v/>
      </c>
      <c r="IZ100">
        <f>AND(IF(BU100="",TRUE,IF(input_enews_announcement_type="",FALSE,SUMPRODUCT(--ISNUMBER(SEARCH(","&amp;TRIM(TEXTSPLIT(BU100,","))&amp;",",","&amp;SUBSTITUTE(input_enews_announcement_type," ","")&amp;",")))&gt;0)),IF(BW100="",TRUE,IF(input_enews_announcement_type="",FALSE,SUMPRODUCT(--ISNUMBER(SEARCH(","&amp;TRIM(TEXTSPLIT(BW100,","))&amp;",",","&amp;SUBSTITUTE(input_enews_announcement_type," ","")&amp;",")))=COUNTA(TEXTSPLIT(BW100,",")))),IF(BY100="",TRUE,IF(input_enews_announcement_type="",TRUE,SUMPRODUCT(--ISNUMBER(SEARCH(","&amp;TRIM(TEXTSPLIT(BY100,","))&amp;",",","&amp;SUBSTITUTE(input_enews_announcement_type," ","")&amp;",")))=0)),IF(CA100="",TRUE,IF(input_enews_announcement_type="",FALSE,SUMPRODUCT(--ISNUMBER(SEARCH(","&amp;TRIM(TEXTSPLIT(CA100,","))&amp;",",","&amp;SUBSTITUTE(input_enews_announcement_type," ","")&amp;",")))&gt;0)),IF(CC100="",TRUE,IF(input_enews_announcement_type="",FALSE,SUMPRODUCT(--ISNUMBER(SEARCH(","&amp;TRIM(TEXTSPLIT(CC100,","))&amp;",",","&amp;SUBSTITUTE(input_enews_announcement_type," ","")&amp;",")))=COUNTA(TEXTSPLIT(CC100,",")))))</f>
        <v/>
      </c>
      <c r="JA100">
        <f>AND(IF(CE100="",TRUE,IF(input_enews_audience="",FALSE,SUMPRODUCT(--ISNUMBER(SEARCH(","&amp;TRIM(TEXTSPLIT(CE100,","))&amp;",",","&amp;SUBSTITUTE(input_enews_audience," ","")&amp;",")))&gt;0)),IF(CG100="",TRUE,IF(input_enews_audience="",FALSE,SUMPRODUCT(--ISNUMBER(SEARCH(","&amp;TRIM(TEXTSPLIT(CG100,","))&amp;",",","&amp;SUBSTITUTE(input_enews_audience," ","")&amp;",")))=COUNTA(TEXTSPLIT(CG100,",")))),IF(CI100="",TRUE,IF(input_enews_audience="",TRUE,SUMPRODUCT(--ISNUMBER(SEARCH(","&amp;TRIM(TEXTSPLIT(CI100,","))&amp;",",","&amp;SUBSTITUTE(input_enews_audience," ","")&amp;",")))=0)),IF(CK100="",TRUE,IF(input_enews_audience="",FALSE,SUMPRODUCT(--ISNUMBER(SEARCH(","&amp;TRIM(TEXTSPLIT(CK100,","))&amp;",",","&amp;SUBSTITUTE(input_enews_audience," ","")&amp;",")))&gt;0)),IF(CM100="",TRUE,IF(input_enews_audience="",FALSE,SUMPRODUCT(--ISNUMBER(SEARCH(","&amp;TRIM(TEXTSPLIT(CM100,","))&amp;",",","&amp;SUBSTITUTE(input_enews_audience," ","")&amp;",")))=COUNTA(TEXTSPLIT(CM100,",")))))</f>
        <v/>
      </c>
      <c r="JB100">
        <f>AND(IF(CO100="",TRUE,IF(input_event_location="",FALSE,SUMPRODUCT(--ISNUMBER(SEARCH(","&amp;TRIM(TEXTSPLIT(CO100,","))&amp;",",","&amp;SUBSTITUTE(input_event_location," ","")&amp;",")))&gt;0)),IF(CQ100="",TRUE,IF(input_event_location="",FALSE,SUMPRODUCT(--ISNUMBER(SEARCH(","&amp;TRIM(TEXTSPLIT(CQ100,","))&amp;",",","&amp;SUBSTITUTE(input_event_location," ","")&amp;",")))=COUNTA(TEXTSPLIT(CQ100,",")))),IF(CS100="",TRUE,IF(input_event_location="",TRUE,SUMPRODUCT(--ISNUMBER(SEARCH(","&amp;TRIM(TEXTSPLIT(CS100,","))&amp;",",","&amp;SUBSTITUTE(input_event_location," ","")&amp;",")))=0)),IF(CU100="",TRUE,IF(input_event_location="",FALSE,SUMPRODUCT(--ISNUMBER(SEARCH(","&amp;TRIM(TEXTSPLIT(CU100,","))&amp;",",","&amp;SUBSTITUTE(input_event_location," ","")&amp;",")))&gt;0)),IF(CW100="",TRUE,IF(input_event_location="",FALSE,SUMPRODUCT(--ISNUMBER(SEARCH(","&amp;TRIM(TEXTSPLIT(CW100,","))&amp;",",","&amp;SUBSTITUTE(input_event_location," ","")&amp;",")))=COUNTA(TEXTSPLIT(CW100,",")))))</f>
        <v/>
      </c>
      <c r="JC100">
        <f>AND(IF(CY100="",TRUE,IF(input_event_type="",FALSE,SUMPRODUCT(--ISNUMBER(SEARCH(","&amp;TRIM(TEXTSPLIT(CY100,","))&amp;",",","&amp;SUBSTITUTE(input_event_type," ","")&amp;",")))&gt;0)),IF(DA100="",TRUE,IF(input_event_type="",FALSE,SUMPRODUCT(--ISNUMBER(SEARCH(","&amp;TRIM(TEXTSPLIT(DA100,","))&amp;",",","&amp;SUBSTITUTE(input_event_type," ","")&amp;",")))=COUNTA(TEXTSPLIT(DA100,",")))),IF(DC100="",TRUE,IF(input_event_type="",TRUE,SUMPRODUCT(--ISNUMBER(SEARCH(","&amp;TRIM(TEXTSPLIT(DC100,","))&amp;",",","&amp;SUBSTITUTE(input_event_type," ","")&amp;",")))=0)),IF(DE100="",TRUE,IF(input_event_type="",FALSE,SUMPRODUCT(--ISNUMBER(SEARCH(","&amp;TRIM(TEXTSPLIT(DE100,","))&amp;",",","&amp;SUBSTITUTE(input_event_type," ","")&amp;",")))&gt;0)),IF(DG100="",TRUE,IF(input_event_type="",FALSE,SUMPRODUCT(--ISNUMBER(SEARCH(","&amp;TRIM(TEXTSPLIT(DG100,","))&amp;",",","&amp;SUBSTITUTE(input_event_type," ","")&amp;",")))=COUNTA(TEXTSPLIT(DG100,",")))))</f>
        <v/>
      </c>
      <c r="JD100">
        <f>AND(IF(DI100="",TRUE,IF(input_executive_education_focus="",FALSE,SUMPRODUCT(--ISNUMBER(SEARCH(","&amp;TRIM(TEXTSPLIT(DI100,","))&amp;",",","&amp;SUBSTITUTE(input_executive_education_focus," ","")&amp;",")))&gt;0)),IF(DK100="",TRUE,IF(input_executive_education_focus="",FALSE,SUMPRODUCT(--ISNUMBER(SEARCH(","&amp;TRIM(TEXTSPLIT(DK100,","))&amp;",",","&amp;SUBSTITUTE(input_executive_education_focus," ","")&amp;",")))=COUNTA(TEXTSPLIT(DK100,",")))),IF(DM100="",TRUE,IF(input_executive_education_focus="",TRUE,SUMPRODUCT(--ISNUMBER(SEARCH(","&amp;TRIM(TEXTSPLIT(DM100,","))&amp;",",","&amp;SUBSTITUTE(input_executive_education_focus," ","")&amp;",")))=0)),IF(DO100="",TRUE,IF(input_executive_education_focus="",FALSE,SUMPRODUCT(--ISNUMBER(SEARCH(","&amp;TRIM(TEXTSPLIT(DO100,","))&amp;",",","&amp;SUBSTITUTE(input_executive_education_focus," ","")&amp;",")))&gt;0)),IF(DQ100="",TRUE,IF(input_executive_education_focus="",FALSE,SUMPRODUCT(--ISNUMBER(SEARCH(","&amp;TRIM(TEXTSPLIT(DQ100,","))&amp;",",","&amp;SUBSTITUTE(input_executive_education_focus," ","")&amp;",")))=COUNTA(TEXTSPLIT(DQ100,",")))))</f>
        <v/>
      </c>
      <c r="JE100">
        <f>AND(IF(DS100="",TRUE,IF(input_faculty_category="",FALSE,SUMPRODUCT(--ISNUMBER(SEARCH(","&amp;TRIM(TEXTSPLIT(DS100,","))&amp;",",","&amp;SUBSTITUTE(input_faculty_category," ","")&amp;",")))&gt;0)),IF(DU100="",TRUE,IF(input_faculty_category="",FALSE,SUMPRODUCT(--ISNUMBER(SEARCH(","&amp;TRIM(TEXTSPLIT(DU100,","))&amp;",",","&amp;SUBSTITUTE(input_faculty_category," ","")&amp;",")))=COUNTA(TEXTSPLIT(DU100,",")))),IF(DW100="",TRUE,IF(input_faculty_category="",TRUE,SUMPRODUCT(--ISNUMBER(SEARCH(","&amp;TRIM(TEXTSPLIT(DW100,","))&amp;",",","&amp;SUBSTITUTE(input_faculty_category," ","")&amp;",")))=0)),IF(DY100="",TRUE,IF(input_faculty_category="",FALSE,SUMPRODUCT(--ISNUMBER(SEARCH(","&amp;TRIM(TEXTSPLIT(DY100,","))&amp;",",","&amp;SUBSTITUTE(input_faculty_category," ","")&amp;",")))&gt;0)),IF(EA100="",TRUE,IF(input_faculty_category="",FALSE,SUMPRODUCT(--ISNUMBER(SEARCH(","&amp;TRIM(TEXTSPLIT(EA100,","))&amp;",",","&amp;SUBSTITUTE(input_faculty_category," ","")&amp;",")))=COUNTA(TEXTSPLIT(EA100,",")))))</f>
        <v/>
      </c>
      <c r="JF100">
        <f>AND(IF(EC100="",TRUE,IF(input_faculty_discipline="",FALSE,SUMPRODUCT(--ISNUMBER(SEARCH(","&amp;TRIM(TEXTSPLIT(EC100,","))&amp;",",","&amp;SUBSTITUTE(input_faculty_discipline," ","")&amp;",")))&gt;0)),IF(EE100="",TRUE,IF(input_faculty_discipline="",FALSE,SUMPRODUCT(--ISNUMBER(SEARCH(","&amp;TRIM(TEXTSPLIT(EE100,","))&amp;",",","&amp;SUBSTITUTE(input_faculty_discipline," ","")&amp;",")))=COUNTA(TEXTSPLIT(EE100,",")))),IF(EG100="",TRUE,IF(input_faculty_discipline="",TRUE,SUMPRODUCT(--ISNUMBER(SEARCH(","&amp;TRIM(TEXTSPLIT(EG100,","))&amp;",",","&amp;SUBSTITUTE(input_faculty_discipline," ","")&amp;",")))=0)),IF(EI100="",TRUE,IF(input_faculty_discipline="",FALSE,SUMPRODUCT(--ISNUMBER(SEARCH(","&amp;TRIM(TEXTSPLIT(EI100,","))&amp;",",","&amp;SUBSTITUTE(input_faculty_discipline," ","")&amp;",")))&gt;0)),IF(EK100="",TRUE,IF(input_faculty_discipline="",FALSE,SUMPRODUCT(--ISNUMBER(SEARCH(","&amp;TRIM(TEXTSPLIT(EK100,","))&amp;",",","&amp;SUBSTITUTE(input_faculty_discipline," ","")&amp;",")))=COUNTA(TEXTSPLIT(EK100,",")))))</f>
        <v/>
      </c>
      <c r="JG100">
        <f>AND(IF(EM100="",TRUE,IF(input_faculty_expertise="",FALSE,SUMPRODUCT(--ISNUMBER(SEARCH(","&amp;TRIM(TEXTSPLIT(EM100,","))&amp;",",","&amp;SUBSTITUTE(input_faculty_expertise," ","")&amp;",")))&gt;0)),IF(EO100="",TRUE,IF(input_faculty_expertise="",FALSE,SUMPRODUCT(--ISNUMBER(SEARCH(","&amp;TRIM(TEXTSPLIT(EO100,","))&amp;",",","&amp;SUBSTITUTE(input_faculty_expertise," ","")&amp;",")))=COUNTA(TEXTSPLIT(EO100,",")))),IF(EQ100="",TRUE,IF(input_faculty_expertise="",TRUE,SUMPRODUCT(--ISNUMBER(SEARCH(","&amp;TRIM(TEXTSPLIT(EQ100,","))&amp;",",","&amp;SUBSTITUTE(input_faculty_expertise," ","")&amp;",")))=0)),IF(ES100="",TRUE,IF(input_faculty_expertise="",FALSE,SUMPRODUCT(--ISNUMBER(SEARCH(","&amp;TRIM(TEXTSPLIT(ES100,","))&amp;",",","&amp;SUBSTITUTE(input_faculty_expertise," ","")&amp;",")))&gt;0)),IF(EU100="",TRUE,IF(input_faculty_expertise="",FALSE,SUMPRODUCT(--ISNUMBER(SEARCH(","&amp;TRIM(TEXTSPLIT(EU100,","))&amp;",",","&amp;SUBSTITUTE(input_faculty_expertise," ","")&amp;",")))=COUNTA(TEXTSPLIT(EU100,",")))))</f>
        <v/>
      </c>
      <c r="JH100">
        <f>AND(IF(EW100="",TRUE,IF(input_global_network_school="",FALSE,SUMPRODUCT(--ISNUMBER(SEARCH(","&amp;TRIM(TEXTSPLIT(EW100,","))&amp;",",","&amp;SUBSTITUTE(input_global_network_school," ","")&amp;",")))&gt;0)),IF(EY100="",TRUE,IF(input_global_network_school="",FALSE,SUMPRODUCT(--ISNUMBER(SEARCH(","&amp;TRIM(TEXTSPLIT(EY100,","))&amp;",",","&amp;SUBSTITUTE(input_global_network_school," ","")&amp;",")))=COUNTA(TEXTSPLIT(EY100,",")))),IF(FA100="",TRUE,IF(input_global_network_school="",TRUE,SUMPRODUCT(--ISNUMBER(SEARCH(","&amp;TRIM(TEXTSPLIT(FA100,","))&amp;",",","&amp;SUBSTITUTE(input_global_network_school," ","")&amp;",")))=0)),IF(FC100="",TRUE,IF(input_global_network_school="",FALSE,SUMPRODUCT(--ISNUMBER(SEARCH(","&amp;TRIM(TEXTSPLIT(FC100,","))&amp;",",","&amp;SUBSTITUTE(input_global_network_school," ","")&amp;",")))&gt;0)),IF(FE100="",TRUE,IF(input_global_network_school="",FALSE,SUMPRODUCT(--ISNUMBER(SEARCH(","&amp;TRIM(TEXTSPLIT(FE100,","))&amp;",",","&amp;SUBSTITUTE(input_global_network_school," ","")&amp;",")))=COUNTA(TEXTSPLIT(FE100,",")))))</f>
        <v/>
      </c>
      <c r="JI100">
        <f>AND(IF(FG100="",TRUE,IF(input_industry="",FALSE,SUMPRODUCT(--ISNUMBER(SEARCH(","&amp;TRIM(TEXTSPLIT(FG100,","))&amp;",",","&amp;SUBSTITUTE(input_industry," ","")&amp;",")))&gt;0)),IF(FI100="",TRUE,IF(input_industry="",FALSE,SUMPRODUCT(--ISNUMBER(SEARCH(","&amp;TRIM(TEXTSPLIT(FI100,","))&amp;",",","&amp;SUBSTITUTE(input_industry," ","")&amp;",")))=COUNTA(TEXTSPLIT(FI100,",")))),IF(FK100="",TRUE,IF(input_industry="",TRUE,SUMPRODUCT(--ISNUMBER(SEARCH(","&amp;TRIM(TEXTSPLIT(FK100,","))&amp;",",","&amp;SUBSTITUTE(input_industry," ","")&amp;",")))=0)),IF(FM100="",TRUE,IF(input_industry="",FALSE,SUMPRODUCT(--ISNUMBER(SEARCH(","&amp;TRIM(TEXTSPLIT(FM100,","))&amp;",",","&amp;SUBSTITUTE(input_industry," ","")&amp;",")))&gt;0)),IF(FO100="",TRUE,IF(input_industry="",FALSE,SUMPRODUCT(--ISNUMBER(SEARCH(","&amp;TRIM(TEXTSPLIT(FO100,","))&amp;",",","&amp;SUBSTITUTE(input_industry," ","")&amp;",")))=COUNTA(TEXTSPLIT(FO100,",")))))</f>
        <v/>
      </c>
      <c r="JJ100">
        <f>AND(IF(FQ100="",TRUE,IF(input_location="",FALSE,SUMPRODUCT(--ISNUMBER(SEARCH(","&amp;TRIM(TEXTSPLIT(FQ100,","))&amp;",",","&amp;SUBSTITUTE(input_location," ","")&amp;",")))&gt;0)),IF(FS100="",TRUE,IF(input_location="",FALSE,SUMPRODUCT(--ISNUMBER(SEARCH(","&amp;TRIM(TEXTSPLIT(FS100,","))&amp;",",","&amp;SUBSTITUTE(input_location," ","")&amp;",")))=COUNTA(TEXTSPLIT(FS100,",")))),IF(FU100="",TRUE,IF(input_location="",TRUE,SUMPRODUCT(--ISNUMBER(SEARCH(","&amp;TRIM(TEXTSPLIT(FU100,","))&amp;",",","&amp;SUBSTITUTE(input_location," ","")&amp;",")))=0)),IF(FW100="",TRUE,IF(input_location="",FALSE,SUMPRODUCT(--ISNUMBER(SEARCH(","&amp;TRIM(TEXTSPLIT(FW100,","))&amp;",",","&amp;SUBSTITUTE(input_location," ","")&amp;",")))&gt;0)),IF(FY100="",TRUE,IF(input_location="",FALSE,SUMPRODUCT(--ISNUMBER(SEARCH(","&amp;TRIM(TEXTSPLIT(FY100,","))&amp;",",","&amp;SUBSTITUTE(input_location," ","")&amp;",")))=COUNTA(TEXTSPLIT(FY100,",")))))</f>
        <v/>
      </c>
      <c r="JK100">
        <f>AND(IF(GA100="",TRUE,IF(input_modality="",FALSE,SUMPRODUCT(--ISNUMBER(SEARCH(","&amp;TRIM(TEXTSPLIT(GA100,","))&amp;",",","&amp;SUBSTITUTE(input_modality," ","")&amp;",")))&gt;0)),IF(GC100="",TRUE,IF(input_modality="",FALSE,SUMPRODUCT(--ISNUMBER(SEARCH(","&amp;TRIM(TEXTSPLIT(GC100,","))&amp;",",","&amp;SUBSTITUTE(input_modality," ","")&amp;",")))=COUNTA(TEXTSPLIT(GC100,",")))),IF(GE100="",TRUE,IF(input_modality="",TRUE,SUMPRODUCT(--ISNUMBER(SEARCH(","&amp;TRIM(TEXTSPLIT(GE100,","))&amp;",",","&amp;SUBSTITUTE(input_modality," ","")&amp;",")))=0)),IF(GG100="",TRUE,IF(input_modality="",FALSE,SUMPRODUCT(--ISNUMBER(SEARCH(","&amp;TRIM(TEXTSPLIT(GG100,","))&amp;",",","&amp;SUBSTITUTE(input_modality," ","")&amp;",")))&gt;0)),IF(GI100="",TRUE,IF(input_modality="",FALSE,SUMPRODUCT(--ISNUMBER(SEARCH(","&amp;TRIM(TEXTSPLIT(GI100,","))&amp;",",","&amp;SUBSTITUTE(input_modality," ","")&amp;",")))=COUNTA(TEXTSPLIT(GI100,",")))))</f>
        <v/>
      </c>
      <c r="JL100">
        <f>AND(IF(GK100="",TRUE,IF(input_organizer="",FALSE,SUMPRODUCT(--ISNUMBER(SEARCH(","&amp;TRIM(TEXTSPLIT(GK100,","))&amp;",",","&amp;SUBSTITUTE(input_organizer," ","")&amp;",")))&gt;0)),IF(GM100="",TRUE,IF(input_organizer="",FALSE,SUMPRODUCT(--ISNUMBER(SEARCH(","&amp;TRIM(TEXTSPLIT(GM100,","))&amp;",",","&amp;SUBSTITUTE(input_organizer," ","")&amp;",")))=COUNTA(TEXTSPLIT(GM100,",")))),IF(GO100="",TRUE,IF(input_organizer="",TRUE,SUMPRODUCT(--ISNUMBER(SEARCH(","&amp;TRIM(TEXTSPLIT(GO100,","))&amp;",",","&amp;SUBSTITUTE(input_organizer," ","")&amp;",")))=0)),IF(GQ100="",TRUE,IF(input_organizer="",FALSE,SUMPRODUCT(--ISNUMBER(SEARCH(","&amp;TRIM(TEXTSPLIT(GQ100,","))&amp;",",","&amp;SUBSTITUTE(input_organizer," ","")&amp;",")))&gt;0)),IF(GS100="",TRUE,IF(input_organizer="",FALSE,SUMPRODUCT(--ISNUMBER(SEARCH(","&amp;TRIM(TEXTSPLIT(GS100,","))&amp;",",","&amp;SUBSTITUTE(input_organizer," ","")&amp;",")))=COUNTA(TEXTSPLIT(GS100,",")))))</f>
        <v/>
      </c>
      <c r="JM100">
        <f>AND(IF(GU100="",TRUE,IF(input_profile_type="",FALSE,SUMPRODUCT(--ISNUMBER(SEARCH(","&amp;TRIM(TEXTSPLIT(GU100,","))&amp;",",","&amp;SUBSTITUTE(input_profile_type," ","")&amp;",")))&gt;0)),IF(GW100="",TRUE,IF(input_profile_type="",FALSE,SUMPRODUCT(--ISNUMBER(SEARCH(","&amp;TRIM(TEXTSPLIT(GW100,","))&amp;",",","&amp;SUBSTITUTE(input_profile_type," ","")&amp;",")))=COUNTA(TEXTSPLIT(GW100,",")))),IF(GY100="",TRUE,IF(input_profile_type="",TRUE,SUMPRODUCT(--ISNUMBER(SEARCH(","&amp;TRIM(TEXTSPLIT(GY100,","))&amp;",",","&amp;SUBSTITUTE(input_profile_type," ","")&amp;",")))=0)),IF(HA100="",TRUE,IF(input_profile_type="",FALSE,SUMPRODUCT(--ISNUMBER(SEARCH(","&amp;TRIM(TEXTSPLIT(HA100,","))&amp;",",","&amp;SUBSTITUTE(input_profile_type," ","")&amp;",")))&gt;0)),IF(HC100="",TRUE,IF(input_profile_type="",FALSE,SUMPRODUCT(--ISNUMBER(SEARCH(","&amp;TRIM(TEXTSPLIT(HC100,","))&amp;",",","&amp;SUBSTITUTE(input_profile_type," ","")&amp;",")))=COUNTA(TEXTSPLIT(HC100,",")))))</f>
        <v/>
      </c>
      <c r="JN100">
        <f>AND(IF(HE100="",TRUE,IF(input_program="",FALSE,SUMPRODUCT(--ISNUMBER(SEARCH(","&amp;TRIM(TEXTSPLIT(HE100,","))&amp;",",","&amp;SUBSTITUTE(input_program," ","")&amp;",")))&gt;0)),IF(HG100="",TRUE,IF(input_program="",FALSE,SUMPRODUCT(--ISNUMBER(SEARCH(","&amp;TRIM(TEXTSPLIT(HG100,","))&amp;",",","&amp;SUBSTITUTE(input_program," ","")&amp;",")))=COUNTA(TEXTSPLIT(HG100,",")))),IF(HI100="",TRUE,IF(input_program="",TRUE,SUMPRODUCT(--ISNUMBER(SEARCH(","&amp;TRIM(TEXTSPLIT(HI100,","))&amp;",",","&amp;SUBSTITUTE(input_program," ","")&amp;",")))=0)),IF(HK100="",TRUE,IF(input_program="",FALSE,SUMPRODUCT(--ISNUMBER(SEARCH(","&amp;TRIM(TEXTSPLIT(HK100,","))&amp;",",","&amp;SUBSTITUTE(input_program," ","")&amp;",")))&gt;0)),IF(HM100="",TRUE,IF(input_program="",FALSE,SUMPRODUCT(--ISNUMBER(SEARCH(","&amp;TRIM(TEXTSPLIT(HM100,","))&amp;",",","&amp;SUBSTITUTE(input_program," ","")&amp;",")))=COUNTA(TEXTSPLIT(HM100,",")))))</f>
        <v/>
      </c>
      <c r="JO100">
        <f>AND(IF(HO100="",TRUE,IF(input_story_categories="",FALSE,SUMPRODUCT(--ISNUMBER(SEARCH(","&amp;TRIM(TEXTSPLIT(HO100,","))&amp;",",","&amp;SUBSTITUTE(input_story_categories," ","")&amp;",")))&gt;0)),IF(HQ100="",TRUE,IF(input_story_categories="",FALSE,SUMPRODUCT(--ISNUMBER(SEARCH(","&amp;TRIM(TEXTSPLIT(HQ100,","))&amp;",",","&amp;SUBSTITUTE(input_story_categories," ","")&amp;",")))=COUNTA(TEXTSPLIT(HQ100,",")))),IF(HS100="",TRUE,IF(input_story_categories="",TRUE,SUMPRODUCT(--ISNUMBER(SEARCH(","&amp;TRIM(TEXTSPLIT(HS100,","))&amp;",",","&amp;SUBSTITUTE(input_story_categories," ","")&amp;",")))=0)),IF(HU100="",TRUE,IF(input_story_categories="",FALSE,SUMPRODUCT(--ISNUMBER(SEARCH(","&amp;TRIM(TEXTSPLIT(HU100,","))&amp;",",","&amp;SUBSTITUTE(input_story_categories," ","")&amp;",")))&gt;0)),IF(HW100="",TRUE,IF(input_story_categories="",FALSE,SUMPRODUCT(--ISNUMBER(SEARCH(","&amp;TRIM(TEXTSPLIT(HW100,","))&amp;",",","&amp;SUBSTITUTE(input_story_categories," ","")&amp;",")))=COUNTA(TEXTSPLIT(HW100,",")))))</f>
        <v/>
      </c>
      <c r="JP100">
        <f>AND(IF(HY100="",TRUE,IF(input_story_type="",FALSE,SUMPRODUCT(--ISNUMBER(SEARCH(","&amp;TRIM(TEXTSPLIT(HY100,","))&amp;",",","&amp;SUBSTITUTE(input_story_type," ","")&amp;",")))&gt;0)),IF(IA100="",TRUE,IF(input_story_type="",FALSE,SUMPRODUCT(--ISNUMBER(SEARCH(","&amp;TRIM(TEXTSPLIT(IA100,","))&amp;",",","&amp;SUBSTITUTE(input_story_type," ","")&amp;",")))=COUNTA(TEXTSPLIT(IA100,",")))),IF(IC100="",TRUE,IF(input_story_type="",TRUE,SUMPRODUCT(--ISNUMBER(SEARCH(","&amp;TRIM(TEXTSPLIT(IC100,","))&amp;",",","&amp;SUBSTITUTE(input_story_type," ","")&amp;",")))=0)),IF(IE100="",TRUE,IF(input_story_type="",FALSE,SUMPRODUCT(--ISNUMBER(SEARCH(","&amp;TRIM(TEXTSPLIT(IE100,","))&amp;",",","&amp;SUBSTITUTE(input_story_type," ","")&amp;",")))&gt;0)),IF(IG100="",TRUE,IF(input_story_type="",FALSE,SUMPRODUCT(--ISNUMBER(SEARCH(","&amp;TRIM(TEXTSPLIT(IG100,","))&amp;",",","&amp;SUBSTITUTE(input_story_type," ","")&amp;",")))=COUNTA(TEXTSPLIT(IG100,",")))))</f>
        <v/>
      </c>
      <c r="JQ100">
        <f>AND(IF(II100="",TRUE,IF(input_topics="",FALSE,SUMPRODUCT(--ISNUMBER(SEARCH(","&amp;TRIM(TEXTSPLIT(II100,","))&amp;",",","&amp;SUBSTITUTE(input_topics," ","")&amp;",")))&gt;0)),IF(IK100="",TRUE,IF(input_topics="",FALSE,SUMPRODUCT(--ISNUMBER(SEARCH(","&amp;TRIM(TEXTSPLIT(IK100,","))&amp;",",","&amp;SUBSTITUTE(input_topics," ","")&amp;",")))=COUNTA(TEXTSPLIT(IK100,",")))),IF(IM100="",TRUE,IF(input_topics="",TRUE,SUMPRODUCT(--ISNUMBER(SEARCH(","&amp;TRIM(TEXTSPLIT(IM100,","))&amp;",",","&amp;SUBSTITUTE(input_topics," ","")&amp;",")))=0)),IF(IO100="",TRUE,IF(input_topics="",FALSE,SUMPRODUCT(--ISNUMBER(SEARCH(","&amp;TRIM(TEXTSPLIT(IO100,","))&amp;",",","&amp;SUBSTITUTE(input_topics," ","")&amp;",")))&gt;0)),IF(IQ100="",TRUE,IF(input_topics="",FALSE,SUMPRODUCT(--ISNUMBER(SEARCH(","&amp;TRIM(TEXTSPLIT(IQ100,","))&amp;",",","&amp;SUBSTITUTE(input_topics," ","")&amp;",")))=COUNTA(TEXTSPLIT(IQ100,",")))))</f>
        <v/>
      </c>
    </row>
    <row r="101">
      <c r="A101" s="4">
        <f>IF(NOT(IS101),"Excluded",IF(AND(IT101,IU101,IV101,IW101,IX101,IY101,IZ101,JA101,JB101,JC101,JD101,JE101,JF101,JG101,JH101,JI101,JJ101,JK101,JL101,JM101,JN101,JO101,JP101,JQ101),IF(I101&gt;0,"Eligible but limited","Will appear"),"Excluded"))</f>
        <v/>
      </c>
      <c r="B101" s="4" t="inlineStr">
        <is>
          <t>Events</t>
        </is>
      </c>
      <c r="C101" s="4" t="inlineStr">
        <is>
          <t>/alumni</t>
        </is>
      </c>
      <c r="D101" s="4" t="inlineStr">
        <is>
          <t>/alumni</t>
        </is>
      </c>
      <c r="E101" s="4" t="n">
        <v>1</v>
      </c>
      <c r="F101" s="4" t="inlineStr">
        <is>
          <t>event</t>
        </is>
      </c>
      <c r="G101" s="4" t="inlineStr">
        <is>
          <t>event_teaser_list</t>
        </is>
      </c>
      <c r="H101" s="4" t="inlineStr">
        <is>
          <t>embed_1</t>
        </is>
      </c>
      <c r="I101" s="4" t="n">
        <v>3</v>
      </c>
      <c r="J101" s="4" t="inlineStr">
        <is>
          <t>Section inferred</t>
        </is>
      </c>
      <c r="K101" s="4" t="inlineStr">
        <is>
          <t>Page placement</t>
        </is>
      </c>
      <c r="L101" s="4" t="inlineStr">
        <is>
          <t>Content type: event; Context uses Courses Context: Alumni (1142); Limited to 3 item(s); Source: Section inferred</t>
        </is>
      </c>
      <c r="M101" t="inlineStr"/>
      <c r="N101" t="inlineStr"/>
      <c r="O101" t="inlineStr"/>
      <c r="P101" t="inlineStr"/>
      <c r="Q101" t="inlineStr"/>
      <c r="R101" t="inlineStr"/>
      <c r="S101" t="inlineStr"/>
      <c r="T101" t="inlineStr"/>
      <c r="U101" t="inlineStr"/>
      <c r="V101" t="inlineStr"/>
      <c r="W101" t="inlineStr"/>
      <c r="X101" t="inlineStr"/>
      <c r="Y101" t="inlineStr"/>
      <c r="Z101" t="inlineStr"/>
      <c r="AA101" t="inlineStr"/>
      <c r="AB101" t="inlineStr"/>
      <c r="AC101" t="inlineStr"/>
      <c r="AD101" t="inlineStr"/>
      <c r="AE101" t="inlineStr"/>
      <c r="AF101" t="inlineStr"/>
      <c r="AG101" t="inlineStr"/>
      <c r="AH101" t="inlineStr"/>
      <c r="AI101" t="inlineStr"/>
      <c r="AJ101" t="inlineStr"/>
      <c r="AK101" t="inlineStr"/>
      <c r="AL101" t="inlineStr"/>
      <c r="AM101" t="inlineStr"/>
      <c r="AN101" t="inlineStr"/>
      <c r="AO101" t="inlineStr"/>
      <c r="AP101" t="inlineStr"/>
      <c r="AQ101" t="inlineStr"/>
      <c r="AR101" t="inlineStr"/>
      <c r="AS101" t="inlineStr"/>
      <c r="AT101" t="inlineStr"/>
      <c r="AU101" t="inlineStr"/>
      <c r="AV101" t="inlineStr"/>
      <c r="AW101" t="inlineStr"/>
      <c r="AX101" t="inlineStr"/>
      <c r="AY101" t="inlineStr"/>
      <c r="AZ101" t="inlineStr"/>
      <c r="BA101" t="inlineStr"/>
      <c r="BB101" t="inlineStr"/>
      <c r="BC101" t="inlineStr"/>
      <c r="BD101" t="inlineStr"/>
      <c r="BE101" t="inlineStr"/>
      <c r="BF101" t="inlineStr"/>
      <c r="BG101" t="inlineStr"/>
      <c r="BH101" t="inlineStr"/>
      <c r="BI101" t="inlineStr"/>
      <c r="BJ101" t="inlineStr"/>
      <c r="BK101" t="inlineStr"/>
      <c r="BL101" t="inlineStr"/>
      <c r="BM101" t="inlineStr"/>
      <c r="BN101" t="inlineStr"/>
      <c r="BO101" t="inlineStr"/>
      <c r="BP101" t="inlineStr"/>
      <c r="BQ101" t="inlineStr">
        <is>
          <t>1142</t>
        </is>
      </c>
      <c r="BR101" t="inlineStr">
        <is>
          <t>Alumni (1142)</t>
        </is>
      </c>
      <c r="BS101" t="inlineStr"/>
      <c r="BT101" t="inlineStr"/>
      <c r="BU101" t="inlineStr"/>
      <c r="BV101" t="inlineStr"/>
      <c r="BW101" t="inlineStr"/>
      <c r="BX101" t="inlineStr"/>
      <c r="BY101" t="inlineStr"/>
      <c r="BZ101" t="inlineStr"/>
      <c r="CA101" t="inlineStr"/>
      <c r="CB101" t="inlineStr"/>
      <c r="CC101" t="inlineStr"/>
      <c r="CD101" t="inlineStr"/>
      <c r="CE101" t="inlineStr"/>
      <c r="CF101" t="inlineStr"/>
      <c r="CG101" t="inlineStr"/>
      <c r="CH101" t="inlineStr"/>
      <c r="CI101" t="inlineStr"/>
      <c r="CJ101" t="inlineStr"/>
      <c r="CK101" t="inlineStr"/>
      <c r="CL101" t="inlineStr"/>
      <c r="CM101" t="inlineStr"/>
      <c r="CN101" t="inlineStr"/>
      <c r="CO101" t="inlineStr"/>
      <c r="CP101" t="inlineStr"/>
      <c r="CQ101" t="inlineStr"/>
      <c r="CR101" t="inlineStr"/>
      <c r="CS101" t="inlineStr"/>
      <c r="CT101" t="inlineStr"/>
      <c r="CU101" t="inlineStr"/>
      <c r="CV101" t="inlineStr"/>
      <c r="CW101" t="inlineStr"/>
      <c r="CX101" t="inlineStr"/>
      <c r="CY101" t="inlineStr"/>
      <c r="CZ101" t="inlineStr"/>
      <c r="DA101" t="inlineStr"/>
      <c r="DB101" t="inlineStr"/>
      <c r="DC101" t="inlineStr"/>
      <c r="DD101" t="inlineStr"/>
      <c r="DE101" t="inlineStr"/>
      <c r="DF101" t="inlineStr"/>
      <c r="DG101" t="inlineStr"/>
      <c r="DH101" t="inlineStr"/>
      <c r="DI101" t="inlineStr"/>
      <c r="DJ101" t="inlineStr"/>
      <c r="DK101" t="inlineStr"/>
      <c r="DL101" t="inlineStr"/>
      <c r="DM101" t="inlineStr"/>
      <c r="DN101" t="inlineStr"/>
      <c r="DO101" t="inlineStr"/>
      <c r="DP101" t="inlineStr"/>
      <c r="DQ101" t="inlineStr"/>
      <c r="DR101" t="inlineStr"/>
      <c r="DS101" t="inlineStr"/>
      <c r="DT101" t="inlineStr"/>
      <c r="DU101" t="inlineStr"/>
      <c r="DV101" t="inlineStr"/>
      <c r="DW101" t="inlineStr"/>
      <c r="DX101" t="inlineStr"/>
      <c r="DY101" t="inlineStr"/>
      <c r="DZ101" t="inlineStr"/>
      <c r="EA101" t="inlineStr"/>
      <c r="EB101" t="inlineStr"/>
      <c r="EC101" t="inlineStr"/>
      <c r="ED101" t="inlineStr"/>
      <c r="EE101" t="inlineStr"/>
      <c r="EF101" t="inlineStr"/>
      <c r="EG101" t="inlineStr"/>
      <c r="EH101" t="inlineStr"/>
      <c r="EI101" t="inlineStr"/>
      <c r="EJ101" t="inlineStr"/>
      <c r="EK101" t="inlineStr"/>
      <c r="EL101" t="inlineStr"/>
      <c r="EM101" t="inlineStr"/>
      <c r="EN101" t="inlineStr"/>
      <c r="EO101" t="inlineStr"/>
      <c r="EP101" t="inlineStr"/>
      <c r="EQ101" t="inlineStr"/>
      <c r="ER101" t="inlineStr"/>
      <c r="ES101" t="inlineStr"/>
      <c r="ET101" t="inlineStr"/>
      <c r="EU101" t="inlineStr"/>
      <c r="EV101" t="inlineStr"/>
      <c r="EW101" t="inlineStr"/>
      <c r="EX101" t="inlineStr"/>
      <c r="EY101" t="inlineStr"/>
      <c r="EZ101" t="inlineStr"/>
      <c r="FA101" t="inlineStr"/>
      <c r="FB101" t="inlineStr"/>
      <c r="FC101" t="inlineStr"/>
      <c r="FD101" t="inlineStr"/>
      <c r="FE101" t="inlineStr"/>
      <c r="FF101" t="inlineStr"/>
      <c r="FG101" t="inlineStr"/>
      <c r="FH101" t="inlineStr"/>
      <c r="FI101" t="inlineStr"/>
      <c r="FJ101" t="inlineStr"/>
      <c r="FK101" t="inlineStr"/>
      <c r="FL101" t="inlineStr"/>
      <c r="FM101" t="inlineStr"/>
      <c r="FN101" t="inlineStr"/>
      <c r="FO101" t="inlineStr"/>
      <c r="FP101" t="inlineStr"/>
      <c r="FQ101" t="inlineStr"/>
      <c r="FR101" t="inlineStr"/>
      <c r="FS101" t="inlineStr"/>
      <c r="FT101" t="inlineStr"/>
      <c r="FU101" t="inlineStr"/>
      <c r="FV101" t="inlineStr"/>
      <c r="FW101" t="inlineStr"/>
      <c r="FX101" t="inlineStr"/>
      <c r="FY101" t="inlineStr"/>
      <c r="FZ101" t="inlineStr"/>
      <c r="GA101" t="inlineStr"/>
      <c r="GB101" t="inlineStr"/>
      <c r="GC101" t="inlineStr"/>
      <c r="GD101" t="inlineStr"/>
      <c r="GE101" t="inlineStr"/>
      <c r="GF101" t="inlineStr"/>
      <c r="GG101" t="inlineStr"/>
      <c r="GH101" t="inlineStr"/>
      <c r="GI101" t="inlineStr"/>
      <c r="GJ101" t="inlineStr"/>
      <c r="GK101" t="inlineStr"/>
      <c r="GL101" t="inlineStr"/>
      <c r="GM101" t="inlineStr"/>
      <c r="GN101" t="inlineStr"/>
      <c r="GO101" t="inlineStr"/>
      <c r="GP101" t="inlineStr"/>
      <c r="GQ101" t="inlineStr"/>
      <c r="GR101" t="inlineStr"/>
      <c r="GS101" t="inlineStr"/>
      <c r="GT101" t="inlineStr"/>
      <c r="GU101" t="inlineStr"/>
      <c r="GV101" t="inlineStr"/>
      <c r="GW101" t="inlineStr"/>
      <c r="GX101" t="inlineStr"/>
      <c r="GY101" t="inlineStr"/>
      <c r="GZ101" t="inlineStr"/>
      <c r="HA101" t="inlineStr"/>
      <c r="HB101" t="inlineStr"/>
      <c r="HC101" t="inlineStr"/>
      <c r="HD101" t="inlineStr"/>
      <c r="HE101" t="inlineStr"/>
      <c r="HF101" t="inlineStr"/>
      <c r="HG101" t="inlineStr"/>
      <c r="HH101" t="inlineStr"/>
      <c r="HI101" t="inlineStr"/>
      <c r="HJ101" t="inlineStr"/>
      <c r="HK101" t="inlineStr"/>
      <c r="HL101" t="inlineStr"/>
      <c r="HM101" t="inlineStr"/>
      <c r="HN101" t="inlineStr"/>
      <c r="HO101" t="inlineStr"/>
      <c r="HP101" t="inlineStr"/>
      <c r="HQ101" t="inlineStr"/>
      <c r="HR101" t="inlineStr"/>
      <c r="HS101" t="inlineStr"/>
      <c r="HT101" t="inlineStr"/>
      <c r="HU101" t="inlineStr"/>
      <c r="HV101" t="inlineStr"/>
      <c r="HW101" t="inlineStr"/>
      <c r="HX101" t="inlineStr"/>
      <c r="HY101" t="inlineStr"/>
      <c r="HZ101" t="inlineStr"/>
      <c r="IA101" t="inlineStr"/>
      <c r="IB101" t="inlineStr"/>
      <c r="IC101" t="inlineStr"/>
      <c r="ID101" t="inlineStr"/>
      <c r="IE101" t="inlineStr"/>
      <c r="IF101" t="inlineStr"/>
      <c r="IG101" t="inlineStr"/>
      <c r="IH101" t="inlineStr"/>
      <c r="II101" t="inlineStr"/>
      <c r="IJ101" t="inlineStr"/>
      <c r="IK101" t="inlineStr"/>
      <c r="IL101" t="inlineStr"/>
      <c r="IM101" t="inlineStr"/>
      <c r="IN101" t="inlineStr"/>
      <c r="IO101" t="inlineStr"/>
      <c r="IP101" t="inlineStr"/>
      <c r="IQ101" t="inlineStr"/>
      <c r="IR101" t="inlineStr"/>
      <c r="IS101">
        <f>IF(input_content_type="",FALSE,ISNUMBER(SEARCH(","&amp;LOWER(input_content_type)&amp;",",","&amp;LOWER(F101)&amp;",")))</f>
        <v/>
      </c>
      <c r="IT101">
        <f>AND(IF(M101="",TRUE,IF(input_affiliations="",FALSE,SUMPRODUCT(--ISNUMBER(SEARCH(","&amp;TRIM(TEXTSPLIT(M101,","))&amp;",",","&amp;SUBSTITUTE(input_affiliations," ","")&amp;",")))&gt;0)),IF(O101="",TRUE,IF(input_affiliations="",FALSE,SUMPRODUCT(--ISNUMBER(SEARCH(","&amp;TRIM(TEXTSPLIT(O101,","))&amp;",",","&amp;SUBSTITUTE(input_affiliations," ","")&amp;",")))=COUNTA(TEXTSPLIT(O101,",")))),IF(Q101="",TRUE,IF(input_affiliations="",TRUE,SUMPRODUCT(--ISNUMBER(SEARCH(","&amp;TRIM(TEXTSPLIT(Q101,","))&amp;",",","&amp;SUBSTITUTE(input_affiliations," ","")&amp;",")))=0)),IF(S101="",TRUE,IF(input_affiliations="",FALSE,SUMPRODUCT(--ISNUMBER(SEARCH(","&amp;TRIM(TEXTSPLIT(S101,","))&amp;",",","&amp;SUBSTITUTE(input_affiliations," ","")&amp;",")))&gt;0)),IF(U101="",TRUE,IF(input_affiliations="",FALSE,SUMPRODUCT(--ISNUMBER(SEARCH(","&amp;TRIM(TEXTSPLIT(U101,","))&amp;",",","&amp;SUBSTITUTE(input_affiliations," ","")&amp;",")))=COUNTA(TEXTSPLIT(U101,",")))))</f>
        <v/>
      </c>
      <c r="IU101">
        <f>AND(IF(W101="",TRUE,IF(input_announcement_category="",FALSE,SUMPRODUCT(--ISNUMBER(SEARCH(","&amp;TRIM(TEXTSPLIT(W101,","))&amp;",",","&amp;SUBSTITUTE(input_announcement_category," ","")&amp;",")))&gt;0)),IF(Y101="",TRUE,IF(input_announcement_category="",FALSE,SUMPRODUCT(--ISNUMBER(SEARCH(","&amp;TRIM(TEXTSPLIT(Y101,","))&amp;",",","&amp;SUBSTITUTE(input_announcement_category," ","")&amp;",")))=COUNTA(TEXTSPLIT(Y101,",")))),IF(AA101="",TRUE,IF(input_announcement_category="",TRUE,SUMPRODUCT(--ISNUMBER(SEARCH(","&amp;TRIM(TEXTSPLIT(AA101,","))&amp;",",","&amp;SUBSTITUTE(input_announcement_category," ","")&amp;",")))=0)),IF(AC101="",TRUE,IF(input_announcement_category="",FALSE,SUMPRODUCT(--ISNUMBER(SEARCH(","&amp;TRIM(TEXTSPLIT(AC101,","))&amp;",",","&amp;SUBSTITUTE(input_announcement_category," ","")&amp;",")))&gt;0)),IF(AE101="",TRUE,IF(input_announcement_category="",FALSE,SUMPRODUCT(--ISNUMBER(SEARCH(","&amp;TRIM(TEXTSPLIT(AE101,","))&amp;",",","&amp;SUBSTITUTE(input_announcement_category," ","")&amp;",")))=COUNTA(TEXTSPLIT(AE101,",")))))</f>
        <v/>
      </c>
      <c r="IV101">
        <f>AND(IF(AG101="",TRUE,IF(input_area_of_focus="",FALSE,SUMPRODUCT(--ISNUMBER(SEARCH(","&amp;TRIM(TEXTSPLIT(AG101,","))&amp;",",","&amp;SUBSTITUTE(input_area_of_focus," ","")&amp;",")))&gt;0)),IF(AI101="",TRUE,IF(input_area_of_focus="",FALSE,SUMPRODUCT(--ISNUMBER(SEARCH(","&amp;TRIM(TEXTSPLIT(AI101,","))&amp;",",","&amp;SUBSTITUTE(input_area_of_focus," ","")&amp;",")))=COUNTA(TEXTSPLIT(AI101,",")))),IF(AK101="",TRUE,IF(input_area_of_focus="",TRUE,SUMPRODUCT(--ISNUMBER(SEARCH(","&amp;TRIM(TEXTSPLIT(AK101,","))&amp;",",","&amp;SUBSTITUTE(input_area_of_focus," ","")&amp;",")))=0)),IF(AM101="",TRUE,IF(input_area_of_focus="",FALSE,SUMPRODUCT(--ISNUMBER(SEARCH(","&amp;TRIM(TEXTSPLIT(AM101,","))&amp;",",","&amp;SUBSTITUTE(input_area_of_focus," ","")&amp;",")))&gt;0)),IF(AO101="",TRUE,IF(input_area_of_focus="",FALSE,SUMPRODUCT(--ISNUMBER(SEARCH(","&amp;TRIM(TEXTSPLIT(AO101,","))&amp;",",","&amp;SUBSTITUTE(input_area_of_focus," ","")&amp;",")))=COUNTA(TEXTSPLIT(AO101,",")))))</f>
        <v/>
      </c>
      <c r="IW101">
        <f>AND(IF(AQ101="",TRUE,IF(input_audience="",FALSE,SUMPRODUCT(--ISNUMBER(SEARCH(","&amp;TRIM(TEXTSPLIT(AQ101,","))&amp;",",","&amp;SUBSTITUTE(input_audience," ","")&amp;",")))&gt;0)),IF(AS101="",TRUE,IF(input_audience="",FALSE,SUMPRODUCT(--ISNUMBER(SEARCH(","&amp;TRIM(TEXTSPLIT(AS101,","))&amp;",",","&amp;SUBSTITUTE(input_audience," ","")&amp;",")))=COUNTA(TEXTSPLIT(AS101,",")))),IF(AU101="",TRUE,IF(input_audience="",TRUE,SUMPRODUCT(--ISNUMBER(SEARCH(","&amp;TRIM(TEXTSPLIT(AU101,","))&amp;",",","&amp;SUBSTITUTE(input_audience," ","")&amp;",")))=0)),IF(AW101="",TRUE,IF(input_audience="",FALSE,SUMPRODUCT(--ISNUMBER(SEARCH(","&amp;TRIM(TEXTSPLIT(AW101,","))&amp;",",","&amp;SUBSTITUTE(input_audience," ","")&amp;",")))&gt;0)),IF(AY101="",TRUE,IF(input_audience="",FALSE,SUMPRODUCT(--ISNUMBER(SEARCH(","&amp;TRIM(TEXTSPLIT(AY101,","))&amp;",",","&amp;SUBSTITUTE(input_audience," ","")&amp;",")))=COUNTA(TEXTSPLIT(AY101,",")))))</f>
        <v/>
      </c>
      <c r="IX101">
        <f>AND(IF(BA101="",TRUE,IF(input_challenge_opportunities="",FALSE,SUMPRODUCT(--ISNUMBER(SEARCH(","&amp;TRIM(TEXTSPLIT(BA101,","))&amp;",",","&amp;SUBSTITUTE(input_challenge_opportunities," ","")&amp;",")))&gt;0)),IF(BC101="",TRUE,IF(input_challenge_opportunities="",FALSE,SUMPRODUCT(--ISNUMBER(SEARCH(","&amp;TRIM(TEXTSPLIT(BC101,","))&amp;",",","&amp;SUBSTITUTE(input_challenge_opportunities," ","")&amp;",")))=COUNTA(TEXTSPLIT(BC101,",")))),IF(BE101="",TRUE,IF(input_challenge_opportunities="",TRUE,SUMPRODUCT(--ISNUMBER(SEARCH(","&amp;TRIM(TEXTSPLIT(BE101,","))&amp;",",","&amp;SUBSTITUTE(input_challenge_opportunities," ","")&amp;",")))=0)),IF(BG101="",TRUE,IF(input_challenge_opportunities="",FALSE,SUMPRODUCT(--ISNUMBER(SEARCH(","&amp;TRIM(TEXTSPLIT(BG101,","))&amp;",",","&amp;SUBSTITUTE(input_challenge_opportunities," ","")&amp;",")))&gt;0)),IF(BI101="",TRUE,IF(input_challenge_opportunities="",FALSE,SUMPRODUCT(--ISNUMBER(SEARCH(","&amp;TRIM(TEXTSPLIT(BI101,","))&amp;",",","&amp;SUBSTITUTE(input_challenge_opportunities," ","")&amp;",")))=COUNTA(TEXTSPLIT(BI101,",")))))</f>
        <v/>
      </c>
      <c r="IY101">
        <f>AND(IF(BK101="",TRUE,IF(input_context="",FALSE,SUMPRODUCT(--ISNUMBER(SEARCH(","&amp;TRIM(TEXTSPLIT(BK101,","))&amp;",",","&amp;SUBSTITUTE(input_context," ","")&amp;",")))&gt;0)),IF(BM101="",TRUE,IF(input_context="",FALSE,SUMPRODUCT(--ISNUMBER(SEARCH(","&amp;TRIM(TEXTSPLIT(BM101,","))&amp;",",","&amp;SUBSTITUTE(input_context," ","")&amp;",")))=COUNTA(TEXTSPLIT(BM101,",")))),IF(BO101="",TRUE,IF(input_context="",TRUE,SUMPRODUCT(--ISNUMBER(SEARCH(","&amp;TRIM(TEXTSPLIT(BO101,","))&amp;",",","&amp;SUBSTITUTE(input_context," ","")&amp;",")))=0)),IF(BQ101="",TRUE,IF(input_context="",FALSE,SUMPRODUCT(--ISNUMBER(SEARCH(","&amp;TRIM(TEXTSPLIT(BQ101,","))&amp;",",","&amp;SUBSTITUTE(input_context," ","")&amp;",")))&gt;0)),IF(BS101="",TRUE,IF(input_context="",FALSE,SUMPRODUCT(--ISNUMBER(SEARCH(","&amp;TRIM(TEXTSPLIT(BS101,","))&amp;",",","&amp;SUBSTITUTE(input_context," ","")&amp;",")))=COUNTA(TEXTSPLIT(BS101,",")))))</f>
        <v/>
      </c>
      <c r="IZ101">
        <f>AND(IF(BU101="",TRUE,IF(input_enews_announcement_type="",FALSE,SUMPRODUCT(--ISNUMBER(SEARCH(","&amp;TRIM(TEXTSPLIT(BU101,","))&amp;",",","&amp;SUBSTITUTE(input_enews_announcement_type," ","")&amp;",")))&gt;0)),IF(BW101="",TRUE,IF(input_enews_announcement_type="",FALSE,SUMPRODUCT(--ISNUMBER(SEARCH(","&amp;TRIM(TEXTSPLIT(BW101,","))&amp;",",","&amp;SUBSTITUTE(input_enews_announcement_type," ","")&amp;",")))=COUNTA(TEXTSPLIT(BW101,",")))),IF(BY101="",TRUE,IF(input_enews_announcement_type="",TRUE,SUMPRODUCT(--ISNUMBER(SEARCH(","&amp;TRIM(TEXTSPLIT(BY101,","))&amp;",",","&amp;SUBSTITUTE(input_enews_announcement_type," ","")&amp;",")))=0)),IF(CA101="",TRUE,IF(input_enews_announcement_type="",FALSE,SUMPRODUCT(--ISNUMBER(SEARCH(","&amp;TRIM(TEXTSPLIT(CA101,","))&amp;",",","&amp;SUBSTITUTE(input_enews_announcement_type," ","")&amp;",")))&gt;0)),IF(CC101="",TRUE,IF(input_enews_announcement_type="",FALSE,SUMPRODUCT(--ISNUMBER(SEARCH(","&amp;TRIM(TEXTSPLIT(CC101,","))&amp;",",","&amp;SUBSTITUTE(input_enews_announcement_type," ","")&amp;",")))=COUNTA(TEXTSPLIT(CC101,",")))))</f>
        <v/>
      </c>
      <c r="JA101">
        <f>AND(IF(CE101="",TRUE,IF(input_enews_audience="",FALSE,SUMPRODUCT(--ISNUMBER(SEARCH(","&amp;TRIM(TEXTSPLIT(CE101,","))&amp;",",","&amp;SUBSTITUTE(input_enews_audience," ","")&amp;",")))&gt;0)),IF(CG101="",TRUE,IF(input_enews_audience="",FALSE,SUMPRODUCT(--ISNUMBER(SEARCH(","&amp;TRIM(TEXTSPLIT(CG101,","))&amp;",",","&amp;SUBSTITUTE(input_enews_audience," ","")&amp;",")))=COUNTA(TEXTSPLIT(CG101,",")))),IF(CI101="",TRUE,IF(input_enews_audience="",TRUE,SUMPRODUCT(--ISNUMBER(SEARCH(","&amp;TRIM(TEXTSPLIT(CI101,","))&amp;",",","&amp;SUBSTITUTE(input_enews_audience," ","")&amp;",")))=0)),IF(CK101="",TRUE,IF(input_enews_audience="",FALSE,SUMPRODUCT(--ISNUMBER(SEARCH(","&amp;TRIM(TEXTSPLIT(CK101,","))&amp;",",","&amp;SUBSTITUTE(input_enews_audience," ","")&amp;",")))&gt;0)),IF(CM101="",TRUE,IF(input_enews_audience="",FALSE,SUMPRODUCT(--ISNUMBER(SEARCH(","&amp;TRIM(TEXTSPLIT(CM101,","))&amp;",",","&amp;SUBSTITUTE(input_enews_audience," ","")&amp;",")))=COUNTA(TEXTSPLIT(CM101,",")))))</f>
        <v/>
      </c>
      <c r="JB101">
        <f>AND(IF(CO101="",TRUE,IF(input_event_location="",FALSE,SUMPRODUCT(--ISNUMBER(SEARCH(","&amp;TRIM(TEXTSPLIT(CO101,","))&amp;",",","&amp;SUBSTITUTE(input_event_location," ","")&amp;",")))&gt;0)),IF(CQ101="",TRUE,IF(input_event_location="",FALSE,SUMPRODUCT(--ISNUMBER(SEARCH(","&amp;TRIM(TEXTSPLIT(CQ101,","))&amp;",",","&amp;SUBSTITUTE(input_event_location," ","")&amp;",")))=COUNTA(TEXTSPLIT(CQ101,",")))),IF(CS101="",TRUE,IF(input_event_location="",TRUE,SUMPRODUCT(--ISNUMBER(SEARCH(","&amp;TRIM(TEXTSPLIT(CS101,","))&amp;",",","&amp;SUBSTITUTE(input_event_location," ","")&amp;",")))=0)),IF(CU101="",TRUE,IF(input_event_location="",FALSE,SUMPRODUCT(--ISNUMBER(SEARCH(","&amp;TRIM(TEXTSPLIT(CU101,","))&amp;",",","&amp;SUBSTITUTE(input_event_location," ","")&amp;",")))&gt;0)),IF(CW101="",TRUE,IF(input_event_location="",FALSE,SUMPRODUCT(--ISNUMBER(SEARCH(","&amp;TRIM(TEXTSPLIT(CW101,","))&amp;",",","&amp;SUBSTITUTE(input_event_location," ","")&amp;",")))=COUNTA(TEXTSPLIT(CW101,",")))))</f>
        <v/>
      </c>
      <c r="JC101">
        <f>AND(IF(CY101="",TRUE,IF(input_event_type="",FALSE,SUMPRODUCT(--ISNUMBER(SEARCH(","&amp;TRIM(TEXTSPLIT(CY101,","))&amp;",",","&amp;SUBSTITUTE(input_event_type," ","")&amp;",")))&gt;0)),IF(DA101="",TRUE,IF(input_event_type="",FALSE,SUMPRODUCT(--ISNUMBER(SEARCH(","&amp;TRIM(TEXTSPLIT(DA101,","))&amp;",",","&amp;SUBSTITUTE(input_event_type," ","")&amp;",")))=COUNTA(TEXTSPLIT(DA101,",")))),IF(DC101="",TRUE,IF(input_event_type="",TRUE,SUMPRODUCT(--ISNUMBER(SEARCH(","&amp;TRIM(TEXTSPLIT(DC101,","))&amp;",",","&amp;SUBSTITUTE(input_event_type," ","")&amp;",")))=0)),IF(DE101="",TRUE,IF(input_event_type="",FALSE,SUMPRODUCT(--ISNUMBER(SEARCH(","&amp;TRIM(TEXTSPLIT(DE101,","))&amp;",",","&amp;SUBSTITUTE(input_event_type," ","")&amp;",")))&gt;0)),IF(DG101="",TRUE,IF(input_event_type="",FALSE,SUMPRODUCT(--ISNUMBER(SEARCH(","&amp;TRIM(TEXTSPLIT(DG101,","))&amp;",",","&amp;SUBSTITUTE(input_event_type," ","")&amp;",")))=COUNTA(TEXTSPLIT(DG101,",")))))</f>
        <v/>
      </c>
      <c r="JD101">
        <f>AND(IF(DI101="",TRUE,IF(input_executive_education_focus="",FALSE,SUMPRODUCT(--ISNUMBER(SEARCH(","&amp;TRIM(TEXTSPLIT(DI101,","))&amp;",",","&amp;SUBSTITUTE(input_executive_education_focus," ","")&amp;",")))&gt;0)),IF(DK101="",TRUE,IF(input_executive_education_focus="",FALSE,SUMPRODUCT(--ISNUMBER(SEARCH(","&amp;TRIM(TEXTSPLIT(DK101,","))&amp;",",","&amp;SUBSTITUTE(input_executive_education_focus," ","")&amp;",")))=COUNTA(TEXTSPLIT(DK101,",")))),IF(DM101="",TRUE,IF(input_executive_education_focus="",TRUE,SUMPRODUCT(--ISNUMBER(SEARCH(","&amp;TRIM(TEXTSPLIT(DM101,","))&amp;",",","&amp;SUBSTITUTE(input_executive_education_focus," ","")&amp;",")))=0)),IF(DO101="",TRUE,IF(input_executive_education_focus="",FALSE,SUMPRODUCT(--ISNUMBER(SEARCH(","&amp;TRIM(TEXTSPLIT(DO101,","))&amp;",",","&amp;SUBSTITUTE(input_executive_education_focus," ","")&amp;",")))&gt;0)),IF(DQ101="",TRUE,IF(input_executive_education_focus="",FALSE,SUMPRODUCT(--ISNUMBER(SEARCH(","&amp;TRIM(TEXTSPLIT(DQ101,","))&amp;",",","&amp;SUBSTITUTE(input_executive_education_focus," ","")&amp;",")))=COUNTA(TEXTSPLIT(DQ101,",")))))</f>
        <v/>
      </c>
      <c r="JE101">
        <f>AND(IF(DS101="",TRUE,IF(input_faculty_category="",FALSE,SUMPRODUCT(--ISNUMBER(SEARCH(","&amp;TRIM(TEXTSPLIT(DS101,","))&amp;",",","&amp;SUBSTITUTE(input_faculty_category," ","")&amp;",")))&gt;0)),IF(DU101="",TRUE,IF(input_faculty_category="",FALSE,SUMPRODUCT(--ISNUMBER(SEARCH(","&amp;TRIM(TEXTSPLIT(DU101,","))&amp;",",","&amp;SUBSTITUTE(input_faculty_category," ","")&amp;",")))=COUNTA(TEXTSPLIT(DU101,",")))),IF(DW101="",TRUE,IF(input_faculty_category="",TRUE,SUMPRODUCT(--ISNUMBER(SEARCH(","&amp;TRIM(TEXTSPLIT(DW101,","))&amp;",",","&amp;SUBSTITUTE(input_faculty_category," ","")&amp;",")))=0)),IF(DY101="",TRUE,IF(input_faculty_category="",FALSE,SUMPRODUCT(--ISNUMBER(SEARCH(","&amp;TRIM(TEXTSPLIT(DY101,","))&amp;",",","&amp;SUBSTITUTE(input_faculty_category," ","")&amp;",")))&gt;0)),IF(EA101="",TRUE,IF(input_faculty_category="",FALSE,SUMPRODUCT(--ISNUMBER(SEARCH(","&amp;TRIM(TEXTSPLIT(EA101,","))&amp;",",","&amp;SUBSTITUTE(input_faculty_category," ","")&amp;",")))=COUNTA(TEXTSPLIT(EA101,",")))))</f>
        <v/>
      </c>
      <c r="JF101">
        <f>AND(IF(EC101="",TRUE,IF(input_faculty_discipline="",FALSE,SUMPRODUCT(--ISNUMBER(SEARCH(","&amp;TRIM(TEXTSPLIT(EC101,","))&amp;",",","&amp;SUBSTITUTE(input_faculty_discipline," ","")&amp;",")))&gt;0)),IF(EE101="",TRUE,IF(input_faculty_discipline="",FALSE,SUMPRODUCT(--ISNUMBER(SEARCH(","&amp;TRIM(TEXTSPLIT(EE101,","))&amp;",",","&amp;SUBSTITUTE(input_faculty_discipline," ","")&amp;",")))=COUNTA(TEXTSPLIT(EE101,",")))),IF(EG101="",TRUE,IF(input_faculty_discipline="",TRUE,SUMPRODUCT(--ISNUMBER(SEARCH(","&amp;TRIM(TEXTSPLIT(EG101,","))&amp;",",","&amp;SUBSTITUTE(input_faculty_discipline," ","")&amp;",")))=0)),IF(EI101="",TRUE,IF(input_faculty_discipline="",FALSE,SUMPRODUCT(--ISNUMBER(SEARCH(","&amp;TRIM(TEXTSPLIT(EI101,","))&amp;",",","&amp;SUBSTITUTE(input_faculty_discipline," ","")&amp;",")))&gt;0)),IF(EK101="",TRUE,IF(input_faculty_discipline="",FALSE,SUMPRODUCT(--ISNUMBER(SEARCH(","&amp;TRIM(TEXTSPLIT(EK101,","))&amp;",",","&amp;SUBSTITUTE(input_faculty_discipline," ","")&amp;",")))=COUNTA(TEXTSPLIT(EK101,",")))))</f>
        <v/>
      </c>
      <c r="JG101">
        <f>AND(IF(EM101="",TRUE,IF(input_faculty_expertise="",FALSE,SUMPRODUCT(--ISNUMBER(SEARCH(","&amp;TRIM(TEXTSPLIT(EM101,","))&amp;",",","&amp;SUBSTITUTE(input_faculty_expertise," ","")&amp;",")))&gt;0)),IF(EO101="",TRUE,IF(input_faculty_expertise="",FALSE,SUMPRODUCT(--ISNUMBER(SEARCH(","&amp;TRIM(TEXTSPLIT(EO101,","))&amp;",",","&amp;SUBSTITUTE(input_faculty_expertise," ","")&amp;",")))=COUNTA(TEXTSPLIT(EO101,",")))),IF(EQ101="",TRUE,IF(input_faculty_expertise="",TRUE,SUMPRODUCT(--ISNUMBER(SEARCH(","&amp;TRIM(TEXTSPLIT(EQ101,","))&amp;",",","&amp;SUBSTITUTE(input_faculty_expertise," ","")&amp;",")))=0)),IF(ES101="",TRUE,IF(input_faculty_expertise="",FALSE,SUMPRODUCT(--ISNUMBER(SEARCH(","&amp;TRIM(TEXTSPLIT(ES101,","))&amp;",",","&amp;SUBSTITUTE(input_faculty_expertise," ","")&amp;",")))&gt;0)),IF(EU101="",TRUE,IF(input_faculty_expertise="",FALSE,SUMPRODUCT(--ISNUMBER(SEARCH(","&amp;TRIM(TEXTSPLIT(EU101,","))&amp;",",","&amp;SUBSTITUTE(input_faculty_expertise," ","")&amp;",")))=COUNTA(TEXTSPLIT(EU101,",")))))</f>
        <v/>
      </c>
      <c r="JH101">
        <f>AND(IF(EW101="",TRUE,IF(input_global_network_school="",FALSE,SUMPRODUCT(--ISNUMBER(SEARCH(","&amp;TRIM(TEXTSPLIT(EW101,","))&amp;",",","&amp;SUBSTITUTE(input_global_network_school," ","")&amp;",")))&gt;0)),IF(EY101="",TRUE,IF(input_global_network_school="",FALSE,SUMPRODUCT(--ISNUMBER(SEARCH(","&amp;TRIM(TEXTSPLIT(EY101,","))&amp;",",","&amp;SUBSTITUTE(input_global_network_school," ","")&amp;",")))=COUNTA(TEXTSPLIT(EY101,",")))),IF(FA101="",TRUE,IF(input_global_network_school="",TRUE,SUMPRODUCT(--ISNUMBER(SEARCH(","&amp;TRIM(TEXTSPLIT(FA101,","))&amp;",",","&amp;SUBSTITUTE(input_global_network_school," ","")&amp;",")))=0)),IF(FC101="",TRUE,IF(input_global_network_school="",FALSE,SUMPRODUCT(--ISNUMBER(SEARCH(","&amp;TRIM(TEXTSPLIT(FC101,","))&amp;",",","&amp;SUBSTITUTE(input_global_network_school," ","")&amp;",")))&gt;0)),IF(FE101="",TRUE,IF(input_global_network_school="",FALSE,SUMPRODUCT(--ISNUMBER(SEARCH(","&amp;TRIM(TEXTSPLIT(FE101,","))&amp;",",","&amp;SUBSTITUTE(input_global_network_school," ","")&amp;",")))=COUNTA(TEXTSPLIT(FE101,",")))))</f>
        <v/>
      </c>
      <c r="JI101">
        <f>AND(IF(FG101="",TRUE,IF(input_industry="",FALSE,SUMPRODUCT(--ISNUMBER(SEARCH(","&amp;TRIM(TEXTSPLIT(FG101,","))&amp;",",","&amp;SUBSTITUTE(input_industry," ","")&amp;",")))&gt;0)),IF(FI101="",TRUE,IF(input_industry="",FALSE,SUMPRODUCT(--ISNUMBER(SEARCH(","&amp;TRIM(TEXTSPLIT(FI101,","))&amp;",",","&amp;SUBSTITUTE(input_industry," ","")&amp;",")))=COUNTA(TEXTSPLIT(FI101,",")))),IF(FK101="",TRUE,IF(input_industry="",TRUE,SUMPRODUCT(--ISNUMBER(SEARCH(","&amp;TRIM(TEXTSPLIT(FK101,","))&amp;",",","&amp;SUBSTITUTE(input_industry," ","")&amp;",")))=0)),IF(FM101="",TRUE,IF(input_industry="",FALSE,SUMPRODUCT(--ISNUMBER(SEARCH(","&amp;TRIM(TEXTSPLIT(FM101,","))&amp;",",","&amp;SUBSTITUTE(input_industry," ","")&amp;",")))&gt;0)),IF(FO101="",TRUE,IF(input_industry="",FALSE,SUMPRODUCT(--ISNUMBER(SEARCH(","&amp;TRIM(TEXTSPLIT(FO101,","))&amp;",",","&amp;SUBSTITUTE(input_industry," ","")&amp;",")))=COUNTA(TEXTSPLIT(FO101,",")))))</f>
        <v/>
      </c>
      <c r="JJ101">
        <f>AND(IF(FQ101="",TRUE,IF(input_location="",FALSE,SUMPRODUCT(--ISNUMBER(SEARCH(","&amp;TRIM(TEXTSPLIT(FQ101,","))&amp;",",","&amp;SUBSTITUTE(input_location," ","")&amp;",")))&gt;0)),IF(FS101="",TRUE,IF(input_location="",FALSE,SUMPRODUCT(--ISNUMBER(SEARCH(","&amp;TRIM(TEXTSPLIT(FS101,","))&amp;",",","&amp;SUBSTITUTE(input_location," ","")&amp;",")))=COUNTA(TEXTSPLIT(FS101,",")))),IF(FU101="",TRUE,IF(input_location="",TRUE,SUMPRODUCT(--ISNUMBER(SEARCH(","&amp;TRIM(TEXTSPLIT(FU101,","))&amp;",",","&amp;SUBSTITUTE(input_location," ","")&amp;",")))=0)),IF(FW101="",TRUE,IF(input_location="",FALSE,SUMPRODUCT(--ISNUMBER(SEARCH(","&amp;TRIM(TEXTSPLIT(FW101,","))&amp;",",","&amp;SUBSTITUTE(input_location," ","")&amp;",")))&gt;0)),IF(FY101="",TRUE,IF(input_location="",FALSE,SUMPRODUCT(--ISNUMBER(SEARCH(","&amp;TRIM(TEXTSPLIT(FY101,","))&amp;",",","&amp;SUBSTITUTE(input_location," ","")&amp;",")))=COUNTA(TEXTSPLIT(FY101,",")))))</f>
        <v/>
      </c>
      <c r="JK101">
        <f>AND(IF(GA101="",TRUE,IF(input_modality="",FALSE,SUMPRODUCT(--ISNUMBER(SEARCH(","&amp;TRIM(TEXTSPLIT(GA101,","))&amp;",",","&amp;SUBSTITUTE(input_modality," ","")&amp;",")))&gt;0)),IF(GC101="",TRUE,IF(input_modality="",FALSE,SUMPRODUCT(--ISNUMBER(SEARCH(","&amp;TRIM(TEXTSPLIT(GC101,","))&amp;",",","&amp;SUBSTITUTE(input_modality," ","")&amp;",")))=COUNTA(TEXTSPLIT(GC101,",")))),IF(GE101="",TRUE,IF(input_modality="",TRUE,SUMPRODUCT(--ISNUMBER(SEARCH(","&amp;TRIM(TEXTSPLIT(GE101,","))&amp;",",","&amp;SUBSTITUTE(input_modality," ","")&amp;",")))=0)),IF(GG101="",TRUE,IF(input_modality="",FALSE,SUMPRODUCT(--ISNUMBER(SEARCH(","&amp;TRIM(TEXTSPLIT(GG101,","))&amp;",",","&amp;SUBSTITUTE(input_modality," ","")&amp;",")))&gt;0)),IF(GI101="",TRUE,IF(input_modality="",FALSE,SUMPRODUCT(--ISNUMBER(SEARCH(","&amp;TRIM(TEXTSPLIT(GI101,","))&amp;",",","&amp;SUBSTITUTE(input_modality," ","")&amp;",")))=COUNTA(TEXTSPLIT(GI101,",")))))</f>
        <v/>
      </c>
      <c r="JL101">
        <f>AND(IF(GK101="",TRUE,IF(input_organizer="",FALSE,SUMPRODUCT(--ISNUMBER(SEARCH(","&amp;TRIM(TEXTSPLIT(GK101,","))&amp;",",","&amp;SUBSTITUTE(input_organizer," ","")&amp;",")))&gt;0)),IF(GM101="",TRUE,IF(input_organizer="",FALSE,SUMPRODUCT(--ISNUMBER(SEARCH(","&amp;TRIM(TEXTSPLIT(GM101,","))&amp;",",","&amp;SUBSTITUTE(input_organizer," ","")&amp;",")))=COUNTA(TEXTSPLIT(GM101,",")))),IF(GO101="",TRUE,IF(input_organizer="",TRUE,SUMPRODUCT(--ISNUMBER(SEARCH(","&amp;TRIM(TEXTSPLIT(GO101,","))&amp;",",","&amp;SUBSTITUTE(input_organizer," ","")&amp;",")))=0)),IF(GQ101="",TRUE,IF(input_organizer="",FALSE,SUMPRODUCT(--ISNUMBER(SEARCH(","&amp;TRIM(TEXTSPLIT(GQ101,","))&amp;",",","&amp;SUBSTITUTE(input_organizer," ","")&amp;",")))&gt;0)),IF(GS101="",TRUE,IF(input_organizer="",FALSE,SUMPRODUCT(--ISNUMBER(SEARCH(","&amp;TRIM(TEXTSPLIT(GS101,","))&amp;",",","&amp;SUBSTITUTE(input_organizer," ","")&amp;",")))=COUNTA(TEXTSPLIT(GS101,",")))))</f>
        <v/>
      </c>
      <c r="JM101">
        <f>AND(IF(GU101="",TRUE,IF(input_profile_type="",FALSE,SUMPRODUCT(--ISNUMBER(SEARCH(","&amp;TRIM(TEXTSPLIT(GU101,","))&amp;",",","&amp;SUBSTITUTE(input_profile_type," ","")&amp;",")))&gt;0)),IF(GW101="",TRUE,IF(input_profile_type="",FALSE,SUMPRODUCT(--ISNUMBER(SEARCH(","&amp;TRIM(TEXTSPLIT(GW101,","))&amp;",",","&amp;SUBSTITUTE(input_profile_type," ","")&amp;",")))=COUNTA(TEXTSPLIT(GW101,",")))),IF(GY101="",TRUE,IF(input_profile_type="",TRUE,SUMPRODUCT(--ISNUMBER(SEARCH(","&amp;TRIM(TEXTSPLIT(GY101,","))&amp;",",","&amp;SUBSTITUTE(input_profile_type," ","")&amp;",")))=0)),IF(HA101="",TRUE,IF(input_profile_type="",FALSE,SUMPRODUCT(--ISNUMBER(SEARCH(","&amp;TRIM(TEXTSPLIT(HA101,","))&amp;",",","&amp;SUBSTITUTE(input_profile_type," ","")&amp;",")))&gt;0)),IF(HC101="",TRUE,IF(input_profile_type="",FALSE,SUMPRODUCT(--ISNUMBER(SEARCH(","&amp;TRIM(TEXTSPLIT(HC101,","))&amp;",",","&amp;SUBSTITUTE(input_profile_type," ","")&amp;",")))=COUNTA(TEXTSPLIT(HC101,",")))))</f>
        <v/>
      </c>
      <c r="JN101">
        <f>AND(IF(HE101="",TRUE,IF(input_program="",FALSE,SUMPRODUCT(--ISNUMBER(SEARCH(","&amp;TRIM(TEXTSPLIT(HE101,","))&amp;",",","&amp;SUBSTITUTE(input_program," ","")&amp;",")))&gt;0)),IF(HG101="",TRUE,IF(input_program="",FALSE,SUMPRODUCT(--ISNUMBER(SEARCH(","&amp;TRIM(TEXTSPLIT(HG101,","))&amp;",",","&amp;SUBSTITUTE(input_program," ","")&amp;",")))=COUNTA(TEXTSPLIT(HG101,",")))),IF(HI101="",TRUE,IF(input_program="",TRUE,SUMPRODUCT(--ISNUMBER(SEARCH(","&amp;TRIM(TEXTSPLIT(HI101,","))&amp;",",","&amp;SUBSTITUTE(input_program," ","")&amp;",")))=0)),IF(HK101="",TRUE,IF(input_program="",FALSE,SUMPRODUCT(--ISNUMBER(SEARCH(","&amp;TRIM(TEXTSPLIT(HK101,","))&amp;",",","&amp;SUBSTITUTE(input_program," ","")&amp;",")))&gt;0)),IF(HM101="",TRUE,IF(input_program="",FALSE,SUMPRODUCT(--ISNUMBER(SEARCH(","&amp;TRIM(TEXTSPLIT(HM101,","))&amp;",",","&amp;SUBSTITUTE(input_program," ","")&amp;",")))=COUNTA(TEXTSPLIT(HM101,",")))))</f>
        <v/>
      </c>
      <c r="JO101">
        <f>AND(IF(HO101="",TRUE,IF(input_story_categories="",FALSE,SUMPRODUCT(--ISNUMBER(SEARCH(","&amp;TRIM(TEXTSPLIT(HO101,","))&amp;",",","&amp;SUBSTITUTE(input_story_categories," ","")&amp;",")))&gt;0)),IF(HQ101="",TRUE,IF(input_story_categories="",FALSE,SUMPRODUCT(--ISNUMBER(SEARCH(","&amp;TRIM(TEXTSPLIT(HQ101,","))&amp;",",","&amp;SUBSTITUTE(input_story_categories," ","")&amp;",")))=COUNTA(TEXTSPLIT(HQ101,",")))),IF(HS101="",TRUE,IF(input_story_categories="",TRUE,SUMPRODUCT(--ISNUMBER(SEARCH(","&amp;TRIM(TEXTSPLIT(HS101,","))&amp;",",","&amp;SUBSTITUTE(input_story_categories," ","")&amp;",")))=0)),IF(HU101="",TRUE,IF(input_story_categories="",FALSE,SUMPRODUCT(--ISNUMBER(SEARCH(","&amp;TRIM(TEXTSPLIT(HU101,","))&amp;",",","&amp;SUBSTITUTE(input_story_categories," ","")&amp;",")))&gt;0)),IF(HW101="",TRUE,IF(input_story_categories="",FALSE,SUMPRODUCT(--ISNUMBER(SEARCH(","&amp;TRIM(TEXTSPLIT(HW101,","))&amp;",",","&amp;SUBSTITUTE(input_story_categories," ","")&amp;",")))=COUNTA(TEXTSPLIT(HW101,",")))))</f>
        <v/>
      </c>
      <c r="JP101">
        <f>AND(IF(HY101="",TRUE,IF(input_story_type="",FALSE,SUMPRODUCT(--ISNUMBER(SEARCH(","&amp;TRIM(TEXTSPLIT(HY101,","))&amp;",",","&amp;SUBSTITUTE(input_story_type," ","")&amp;",")))&gt;0)),IF(IA101="",TRUE,IF(input_story_type="",FALSE,SUMPRODUCT(--ISNUMBER(SEARCH(","&amp;TRIM(TEXTSPLIT(IA101,","))&amp;",",","&amp;SUBSTITUTE(input_story_type," ","")&amp;",")))=COUNTA(TEXTSPLIT(IA101,",")))),IF(IC101="",TRUE,IF(input_story_type="",TRUE,SUMPRODUCT(--ISNUMBER(SEARCH(","&amp;TRIM(TEXTSPLIT(IC101,","))&amp;",",","&amp;SUBSTITUTE(input_story_type," ","")&amp;",")))=0)),IF(IE101="",TRUE,IF(input_story_type="",FALSE,SUMPRODUCT(--ISNUMBER(SEARCH(","&amp;TRIM(TEXTSPLIT(IE101,","))&amp;",",","&amp;SUBSTITUTE(input_story_type," ","")&amp;",")))&gt;0)),IF(IG101="",TRUE,IF(input_story_type="",FALSE,SUMPRODUCT(--ISNUMBER(SEARCH(","&amp;TRIM(TEXTSPLIT(IG101,","))&amp;",",","&amp;SUBSTITUTE(input_story_type," ","")&amp;",")))=COUNTA(TEXTSPLIT(IG101,",")))))</f>
        <v/>
      </c>
      <c r="JQ101">
        <f>AND(IF(II101="",TRUE,IF(input_topics="",FALSE,SUMPRODUCT(--ISNUMBER(SEARCH(","&amp;TRIM(TEXTSPLIT(II101,","))&amp;",",","&amp;SUBSTITUTE(input_topics," ","")&amp;",")))&gt;0)),IF(IK101="",TRUE,IF(input_topics="",FALSE,SUMPRODUCT(--ISNUMBER(SEARCH(","&amp;TRIM(TEXTSPLIT(IK101,","))&amp;",",","&amp;SUBSTITUTE(input_topics," ","")&amp;",")))=COUNTA(TEXTSPLIT(IK101,",")))),IF(IM101="",TRUE,IF(input_topics="",TRUE,SUMPRODUCT(--ISNUMBER(SEARCH(","&amp;TRIM(TEXTSPLIT(IM101,","))&amp;",",","&amp;SUBSTITUTE(input_topics," ","")&amp;",")))=0)),IF(IO101="",TRUE,IF(input_topics="",FALSE,SUMPRODUCT(--ISNUMBER(SEARCH(","&amp;TRIM(TEXTSPLIT(IO101,","))&amp;",",","&amp;SUBSTITUTE(input_topics," ","")&amp;",")))&gt;0)),IF(IQ101="",TRUE,IF(input_topics="",FALSE,SUMPRODUCT(--ISNUMBER(SEARCH(","&amp;TRIM(TEXTSPLIT(IQ101,","))&amp;",",","&amp;SUBSTITUTE(input_topics," ","")&amp;",")))=COUNTA(TEXTSPLIT(IQ101,",")))))</f>
        <v/>
      </c>
    </row>
    <row r="102">
      <c r="A102" s="4">
        <f>IF(NOT(IS102),"Excluded",IF(AND(IT102,IU102,IV102,IW102,IX102,IY102,IZ102,JA102,JB102,JC102,JD102,JE102,JF102,JG102,JH102,JI102,JJ102,JK102,JL102,JM102,JN102,JO102,JP102,JQ102),IF(I102&gt;0,"Eligible but limited","Will appear"),"Excluded"))</f>
        <v/>
      </c>
      <c r="B102" s="4" t="inlineStr">
        <is>
          <t>Events</t>
        </is>
      </c>
      <c r="C102" s="4" t="inlineStr">
        <is>
          <t>/centers/china-india-insights-program/events</t>
        </is>
      </c>
      <c r="D102" s="4" t="inlineStr">
        <is>
          <t>/centers/china-india-insights-program/events</t>
        </is>
      </c>
      <c r="E102" s="4" t="n">
        <v>1</v>
      </c>
      <c r="F102" s="4" t="inlineStr">
        <is>
          <t>event</t>
        </is>
      </c>
      <c r="G102" s="4" t="inlineStr">
        <is>
          <t>event_list</t>
        </is>
      </c>
      <c r="H102" s="4" t="inlineStr">
        <is>
          <t>embed_no_filters</t>
        </is>
      </c>
      <c r="I102" s="4" t="n">
        <v>8</v>
      </c>
      <c r="J102" s="4" t="inlineStr">
        <is>
          <t>Explicit args</t>
        </is>
      </c>
      <c r="K102" s="4" t="inlineStr">
        <is>
          <t>Page placement</t>
        </is>
      </c>
      <c r="L102" s="4" t="inlineStr">
        <is>
          <t>Content type: event; Context uses Courses Context: China India Insights Program (988); Limited to 8 item(s); Source: Explicit args</t>
        </is>
      </c>
      <c r="M102" t="inlineStr"/>
      <c r="N102" t="inlineStr"/>
      <c r="O102" t="inlineStr"/>
      <c r="P102" t="inlineStr"/>
      <c r="Q102" t="inlineStr"/>
      <c r="R102" t="inlineStr"/>
      <c r="S102" t="inlineStr"/>
      <c r="T102" t="inlineStr"/>
      <c r="U102" t="inlineStr"/>
      <c r="V102" t="inlineStr"/>
      <c r="W102" t="inlineStr"/>
      <c r="X102" t="inlineStr"/>
      <c r="Y102" t="inlineStr"/>
      <c r="Z102" t="inlineStr"/>
      <c r="AA102" t="inlineStr"/>
      <c r="AB102" t="inlineStr"/>
      <c r="AC102" t="inlineStr"/>
      <c r="AD102" t="inlineStr"/>
      <c r="AE102" t="inlineStr"/>
      <c r="AF102" t="inlineStr"/>
      <c r="AG102" t="inlineStr"/>
      <c r="AH102" t="inlineStr"/>
      <c r="AI102" t="inlineStr"/>
      <c r="AJ102" t="inlineStr"/>
      <c r="AK102" t="inlineStr"/>
      <c r="AL102" t="inlineStr"/>
      <c r="AM102" t="inlineStr"/>
      <c r="AN102" t="inlineStr"/>
      <c r="AO102" t="inlineStr"/>
      <c r="AP102" t="inlineStr"/>
      <c r="AQ102" t="inlineStr"/>
      <c r="AR102" t="inlineStr"/>
      <c r="AS102" t="inlineStr"/>
      <c r="AT102" t="inlineStr"/>
      <c r="AU102" t="inlineStr"/>
      <c r="AV102" t="inlineStr"/>
      <c r="AW102" t="inlineStr"/>
      <c r="AX102" t="inlineStr"/>
      <c r="AY102" t="inlineStr"/>
      <c r="AZ102" t="inlineStr"/>
      <c r="BA102" t="inlineStr"/>
      <c r="BB102" t="inlineStr"/>
      <c r="BC102" t="inlineStr"/>
      <c r="BD102" t="inlineStr"/>
      <c r="BE102" t="inlineStr"/>
      <c r="BF102" t="inlineStr"/>
      <c r="BG102" t="inlineStr"/>
      <c r="BH102" t="inlineStr"/>
      <c r="BI102" t="inlineStr"/>
      <c r="BJ102" t="inlineStr"/>
      <c r="BK102" t="inlineStr"/>
      <c r="BL102" t="inlineStr"/>
      <c r="BM102" t="inlineStr"/>
      <c r="BN102" t="inlineStr"/>
      <c r="BO102" t="inlineStr"/>
      <c r="BP102" t="inlineStr"/>
      <c r="BQ102" t="inlineStr">
        <is>
          <t>988</t>
        </is>
      </c>
      <c r="BR102" t="inlineStr">
        <is>
          <t>China India Insights Program (988)</t>
        </is>
      </c>
      <c r="BS102" t="inlineStr"/>
      <c r="BT102" t="inlineStr"/>
      <c r="BU102" t="inlineStr"/>
      <c r="BV102" t="inlineStr"/>
      <c r="BW102" t="inlineStr"/>
      <c r="BX102" t="inlineStr"/>
      <c r="BY102" t="inlineStr"/>
      <c r="BZ102" t="inlineStr"/>
      <c r="CA102" t="inlineStr"/>
      <c r="CB102" t="inlineStr"/>
      <c r="CC102" t="inlineStr"/>
      <c r="CD102" t="inlineStr"/>
      <c r="CE102" t="inlineStr"/>
      <c r="CF102" t="inlineStr"/>
      <c r="CG102" t="inlineStr"/>
      <c r="CH102" t="inlineStr"/>
      <c r="CI102" t="inlineStr"/>
      <c r="CJ102" t="inlineStr"/>
      <c r="CK102" t="inlineStr"/>
      <c r="CL102" t="inlineStr"/>
      <c r="CM102" t="inlineStr"/>
      <c r="CN102" t="inlineStr"/>
      <c r="CO102" t="inlineStr"/>
      <c r="CP102" t="inlineStr"/>
      <c r="CQ102" t="inlineStr"/>
      <c r="CR102" t="inlineStr"/>
      <c r="CS102" t="inlineStr"/>
      <c r="CT102" t="inlineStr"/>
      <c r="CU102" t="inlineStr"/>
      <c r="CV102" t="inlineStr"/>
      <c r="CW102" t="inlineStr"/>
      <c r="CX102" t="inlineStr"/>
      <c r="CY102" t="inlineStr"/>
      <c r="CZ102" t="inlineStr"/>
      <c r="DA102" t="inlineStr"/>
      <c r="DB102" t="inlineStr"/>
      <c r="DC102" t="inlineStr"/>
      <c r="DD102" t="inlineStr"/>
      <c r="DE102" t="inlineStr"/>
      <c r="DF102" t="inlineStr"/>
      <c r="DG102" t="inlineStr"/>
      <c r="DH102" t="inlineStr"/>
      <c r="DI102" t="inlineStr"/>
      <c r="DJ102" t="inlineStr"/>
      <c r="DK102" t="inlineStr"/>
      <c r="DL102" t="inlineStr"/>
      <c r="DM102" t="inlineStr"/>
      <c r="DN102" t="inlineStr"/>
      <c r="DO102" t="inlineStr"/>
      <c r="DP102" t="inlineStr"/>
      <c r="DQ102" t="inlineStr"/>
      <c r="DR102" t="inlineStr"/>
      <c r="DS102" t="inlineStr"/>
      <c r="DT102" t="inlineStr"/>
      <c r="DU102" t="inlineStr"/>
      <c r="DV102" t="inlineStr"/>
      <c r="DW102" t="inlineStr"/>
      <c r="DX102" t="inlineStr"/>
      <c r="DY102" t="inlineStr"/>
      <c r="DZ102" t="inlineStr"/>
      <c r="EA102" t="inlineStr"/>
      <c r="EB102" t="inlineStr"/>
      <c r="EC102" t="inlineStr"/>
      <c r="ED102" t="inlineStr"/>
      <c r="EE102" t="inlineStr"/>
      <c r="EF102" t="inlineStr"/>
      <c r="EG102" t="inlineStr"/>
      <c r="EH102" t="inlineStr"/>
      <c r="EI102" t="inlineStr"/>
      <c r="EJ102" t="inlineStr"/>
      <c r="EK102" t="inlineStr"/>
      <c r="EL102" t="inlineStr"/>
      <c r="EM102" t="inlineStr"/>
      <c r="EN102" t="inlineStr"/>
      <c r="EO102" t="inlineStr"/>
      <c r="EP102" t="inlineStr"/>
      <c r="EQ102" t="inlineStr"/>
      <c r="ER102" t="inlineStr"/>
      <c r="ES102" t="inlineStr"/>
      <c r="ET102" t="inlineStr"/>
      <c r="EU102" t="inlineStr"/>
      <c r="EV102" t="inlineStr"/>
      <c r="EW102" t="inlineStr"/>
      <c r="EX102" t="inlineStr"/>
      <c r="EY102" t="inlineStr"/>
      <c r="EZ102" t="inlineStr"/>
      <c r="FA102" t="inlineStr"/>
      <c r="FB102" t="inlineStr"/>
      <c r="FC102" t="inlineStr"/>
      <c r="FD102" t="inlineStr"/>
      <c r="FE102" t="inlineStr"/>
      <c r="FF102" t="inlineStr"/>
      <c r="FG102" t="inlineStr"/>
      <c r="FH102" t="inlineStr"/>
      <c r="FI102" t="inlineStr"/>
      <c r="FJ102" t="inlineStr"/>
      <c r="FK102" t="inlineStr"/>
      <c r="FL102" t="inlineStr"/>
      <c r="FM102" t="inlineStr"/>
      <c r="FN102" t="inlineStr"/>
      <c r="FO102" t="inlineStr"/>
      <c r="FP102" t="inlineStr"/>
      <c r="FQ102" t="inlineStr"/>
      <c r="FR102" t="inlineStr"/>
      <c r="FS102" t="inlineStr"/>
      <c r="FT102" t="inlineStr"/>
      <c r="FU102" t="inlineStr"/>
      <c r="FV102" t="inlineStr"/>
      <c r="FW102" t="inlineStr"/>
      <c r="FX102" t="inlineStr"/>
      <c r="FY102" t="inlineStr"/>
      <c r="FZ102" t="inlineStr"/>
      <c r="GA102" t="inlineStr"/>
      <c r="GB102" t="inlineStr"/>
      <c r="GC102" t="inlineStr"/>
      <c r="GD102" t="inlineStr"/>
      <c r="GE102" t="inlineStr"/>
      <c r="GF102" t="inlineStr"/>
      <c r="GG102" t="inlineStr"/>
      <c r="GH102" t="inlineStr"/>
      <c r="GI102" t="inlineStr"/>
      <c r="GJ102" t="inlineStr"/>
      <c r="GK102" t="inlineStr"/>
      <c r="GL102" t="inlineStr"/>
      <c r="GM102" t="inlineStr"/>
      <c r="GN102" t="inlineStr"/>
      <c r="GO102" t="inlineStr"/>
      <c r="GP102" t="inlineStr"/>
      <c r="GQ102" t="inlineStr"/>
      <c r="GR102" t="inlineStr"/>
      <c r="GS102" t="inlineStr"/>
      <c r="GT102" t="inlineStr"/>
      <c r="GU102" t="inlineStr"/>
      <c r="GV102" t="inlineStr"/>
      <c r="GW102" t="inlineStr"/>
      <c r="GX102" t="inlineStr"/>
      <c r="GY102" t="inlineStr"/>
      <c r="GZ102" t="inlineStr"/>
      <c r="HA102" t="inlineStr"/>
      <c r="HB102" t="inlineStr"/>
      <c r="HC102" t="inlineStr"/>
      <c r="HD102" t="inlineStr"/>
      <c r="HE102" t="inlineStr"/>
      <c r="HF102" t="inlineStr"/>
      <c r="HG102" t="inlineStr"/>
      <c r="HH102" t="inlineStr"/>
      <c r="HI102" t="inlineStr"/>
      <c r="HJ102" t="inlineStr"/>
      <c r="HK102" t="inlineStr"/>
      <c r="HL102" t="inlineStr"/>
      <c r="HM102" t="inlineStr"/>
      <c r="HN102" t="inlineStr"/>
      <c r="HO102" t="inlineStr"/>
      <c r="HP102" t="inlineStr"/>
      <c r="HQ102" t="inlineStr"/>
      <c r="HR102" t="inlineStr"/>
      <c r="HS102" t="inlineStr"/>
      <c r="HT102" t="inlineStr"/>
      <c r="HU102" t="inlineStr"/>
      <c r="HV102" t="inlineStr"/>
      <c r="HW102" t="inlineStr"/>
      <c r="HX102" t="inlineStr"/>
      <c r="HY102" t="inlineStr"/>
      <c r="HZ102" t="inlineStr"/>
      <c r="IA102" t="inlineStr"/>
      <c r="IB102" t="inlineStr"/>
      <c r="IC102" t="inlineStr"/>
      <c r="ID102" t="inlineStr"/>
      <c r="IE102" t="inlineStr"/>
      <c r="IF102" t="inlineStr"/>
      <c r="IG102" t="inlineStr"/>
      <c r="IH102" t="inlineStr"/>
      <c r="II102" t="inlineStr"/>
      <c r="IJ102" t="inlineStr"/>
      <c r="IK102" t="inlineStr"/>
      <c r="IL102" t="inlineStr"/>
      <c r="IM102" t="inlineStr"/>
      <c r="IN102" t="inlineStr"/>
      <c r="IO102" t="inlineStr"/>
      <c r="IP102" t="inlineStr"/>
      <c r="IQ102" t="inlineStr"/>
      <c r="IR102" t="inlineStr"/>
      <c r="IS102">
        <f>IF(input_content_type="",FALSE,ISNUMBER(SEARCH(","&amp;LOWER(input_content_type)&amp;",",","&amp;LOWER(F102)&amp;",")))</f>
        <v/>
      </c>
      <c r="IT102">
        <f>AND(IF(M102="",TRUE,IF(input_affiliations="",FALSE,SUMPRODUCT(--ISNUMBER(SEARCH(","&amp;TRIM(TEXTSPLIT(M102,","))&amp;",",","&amp;SUBSTITUTE(input_affiliations," ","")&amp;",")))&gt;0)),IF(O102="",TRUE,IF(input_affiliations="",FALSE,SUMPRODUCT(--ISNUMBER(SEARCH(","&amp;TRIM(TEXTSPLIT(O102,","))&amp;",",","&amp;SUBSTITUTE(input_affiliations," ","")&amp;",")))=COUNTA(TEXTSPLIT(O102,",")))),IF(Q102="",TRUE,IF(input_affiliations="",TRUE,SUMPRODUCT(--ISNUMBER(SEARCH(","&amp;TRIM(TEXTSPLIT(Q102,","))&amp;",",","&amp;SUBSTITUTE(input_affiliations," ","")&amp;",")))=0)),IF(S102="",TRUE,IF(input_affiliations="",FALSE,SUMPRODUCT(--ISNUMBER(SEARCH(","&amp;TRIM(TEXTSPLIT(S102,","))&amp;",",","&amp;SUBSTITUTE(input_affiliations," ","")&amp;",")))&gt;0)),IF(U102="",TRUE,IF(input_affiliations="",FALSE,SUMPRODUCT(--ISNUMBER(SEARCH(","&amp;TRIM(TEXTSPLIT(U102,","))&amp;",",","&amp;SUBSTITUTE(input_affiliations," ","")&amp;",")))=COUNTA(TEXTSPLIT(U102,",")))))</f>
        <v/>
      </c>
      <c r="IU102">
        <f>AND(IF(W102="",TRUE,IF(input_announcement_category="",FALSE,SUMPRODUCT(--ISNUMBER(SEARCH(","&amp;TRIM(TEXTSPLIT(W102,","))&amp;",",","&amp;SUBSTITUTE(input_announcement_category," ","")&amp;",")))&gt;0)),IF(Y102="",TRUE,IF(input_announcement_category="",FALSE,SUMPRODUCT(--ISNUMBER(SEARCH(","&amp;TRIM(TEXTSPLIT(Y102,","))&amp;",",","&amp;SUBSTITUTE(input_announcement_category," ","")&amp;",")))=COUNTA(TEXTSPLIT(Y102,",")))),IF(AA102="",TRUE,IF(input_announcement_category="",TRUE,SUMPRODUCT(--ISNUMBER(SEARCH(","&amp;TRIM(TEXTSPLIT(AA102,","))&amp;",",","&amp;SUBSTITUTE(input_announcement_category," ","")&amp;",")))=0)),IF(AC102="",TRUE,IF(input_announcement_category="",FALSE,SUMPRODUCT(--ISNUMBER(SEARCH(","&amp;TRIM(TEXTSPLIT(AC102,","))&amp;",",","&amp;SUBSTITUTE(input_announcement_category," ","")&amp;",")))&gt;0)),IF(AE102="",TRUE,IF(input_announcement_category="",FALSE,SUMPRODUCT(--ISNUMBER(SEARCH(","&amp;TRIM(TEXTSPLIT(AE102,","))&amp;",",","&amp;SUBSTITUTE(input_announcement_category," ","")&amp;",")))=COUNTA(TEXTSPLIT(AE102,",")))))</f>
        <v/>
      </c>
      <c r="IV102">
        <f>AND(IF(AG102="",TRUE,IF(input_area_of_focus="",FALSE,SUMPRODUCT(--ISNUMBER(SEARCH(","&amp;TRIM(TEXTSPLIT(AG102,","))&amp;",",","&amp;SUBSTITUTE(input_area_of_focus," ","")&amp;",")))&gt;0)),IF(AI102="",TRUE,IF(input_area_of_focus="",FALSE,SUMPRODUCT(--ISNUMBER(SEARCH(","&amp;TRIM(TEXTSPLIT(AI102,","))&amp;",",","&amp;SUBSTITUTE(input_area_of_focus," ","")&amp;",")))=COUNTA(TEXTSPLIT(AI102,",")))),IF(AK102="",TRUE,IF(input_area_of_focus="",TRUE,SUMPRODUCT(--ISNUMBER(SEARCH(","&amp;TRIM(TEXTSPLIT(AK102,","))&amp;",",","&amp;SUBSTITUTE(input_area_of_focus," ","")&amp;",")))=0)),IF(AM102="",TRUE,IF(input_area_of_focus="",FALSE,SUMPRODUCT(--ISNUMBER(SEARCH(","&amp;TRIM(TEXTSPLIT(AM102,","))&amp;",",","&amp;SUBSTITUTE(input_area_of_focus," ","")&amp;",")))&gt;0)),IF(AO102="",TRUE,IF(input_area_of_focus="",FALSE,SUMPRODUCT(--ISNUMBER(SEARCH(","&amp;TRIM(TEXTSPLIT(AO102,","))&amp;",",","&amp;SUBSTITUTE(input_area_of_focus," ","")&amp;",")))=COUNTA(TEXTSPLIT(AO102,",")))))</f>
        <v/>
      </c>
      <c r="IW102">
        <f>AND(IF(AQ102="",TRUE,IF(input_audience="",FALSE,SUMPRODUCT(--ISNUMBER(SEARCH(","&amp;TRIM(TEXTSPLIT(AQ102,","))&amp;",",","&amp;SUBSTITUTE(input_audience," ","")&amp;",")))&gt;0)),IF(AS102="",TRUE,IF(input_audience="",FALSE,SUMPRODUCT(--ISNUMBER(SEARCH(","&amp;TRIM(TEXTSPLIT(AS102,","))&amp;",",","&amp;SUBSTITUTE(input_audience," ","")&amp;",")))=COUNTA(TEXTSPLIT(AS102,",")))),IF(AU102="",TRUE,IF(input_audience="",TRUE,SUMPRODUCT(--ISNUMBER(SEARCH(","&amp;TRIM(TEXTSPLIT(AU102,","))&amp;",",","&amp;SUBSTITUTE(input_audience," ","")&amp;",")))=0)),IF(AW102="",TRUE,IF(input_audience="",FALSE,SUMPRODUCT(--ISNUMBER(SEARCH(","&amp;TRIM(TEXTSPLIT(AW102,","))&amp;",",","&amp;SUBSTITUTE(input_audience," ","")&amp;",")))&gt;0)),IF(AY102="",TRUE,IF(input_audience="",FALSE,SUMPRODUCT(--ISNUMBER(SEARCH(","&amp;TRIM(TEXTSPLIT(AY102,","))&amp;",",","&amp;SUBSTITUTE(input_audience," ","")&amp;",")))=COUNTA(TEXTSPLIT(AY102,",")))))</f>
        <v/>
      </c>
      <c r="IX102">
        <f>AND(IF(BA102="",TRUE,IF(input_challenge_opportunities="",FALSE,SUMPRODUCT(--ISNUMBER(SEARCH(","&amp;TRIM(TEXTSPLIT(BA102,","))&amp;",",","&amp;SUBSTITUTE(input_challenge_opportunities," ","")&amp;",")))&gt;0)),IF(BC102="",TRUE,IF(input_challenge_opportunities="",FALSE,SUMPRODUCT(--ISNUMBER(SEARCH(","&amp;TRIM(TEXTSPLIT(BC102,","))&amp;",",","&amp;SUBSTITUTE(input_challenge_opportunities," ","")&amp;",")))=COUNTA(TEXTSPLIT(BC102,",")))),IF(BE102="",TRUE,IF(input_challenge_opportunities="",TRUE,SUMPRODUCT(--ISNUMBER(SEARCH(","&amp;TRIM(TEXTSPLIT(BE102,","))&amp;",",","&amp;SUBSTITUTE(input_challenge_opportunities," ","")&amp;",")))=0)),IF(BG102="",TRUE,IF(input_challenge_opportunities="",FALSE,SUMPRODUCT(--ISNUMBER(SEARCH(","&amp;TRIM(TEXTSPLIT(BG102,","))&amp;",",","&amp;SUBSTITUTE(input_challenge_opportunities," ","")&amp;",")))&gt;0)),IF(BI102="",TRUE,IF(input_challenge_opportunities="",FALSE,SUMPRODUCT(--ISNUMBER(SEARCH(","&amp;TRIM(TEXTSPLIT(BI102,","))&amp;",",","&amp;SUBSTITUTE(input_challenge_opportunities," ","")&amp;",")))=COUNTA(TEXTSPLIT(BI102,",")))))</f>
        <v/>
      </c>
      <c r="IY102">
        <f>AND(IF(BK102="",TRUE,IF(input_context="",FALSE,SUMPRODUCT(--ISNUMBER(SEARCH(","&amp;TRIM(TEXTSPLIT(BK102,","))&amp;",",","&amp;SUBSTITUTE(input_context," ","")&amp;",")))&gt;0)),IF(BM102="",TRUE,IF(input_context="",FALSE,SUMPRODUCT(--ISNUMBER(SEARCH(","&amp;TRIM(TEXTSPLIT(BM102,","))&amp;",",","&amp;SUBSTITUTE(input_context," ","")&amp;",")))=COUNTA(TEXTSPLIT(BM102,",")))),IF(BO102="",TRUE,IF(input_context="",TRUE,SUMPRODUCT(--ISNUMBER(SEARCH(","&amp;TRIM(TEXTSPLIT(BO102,","))&amp;",",","&amp;SUBSTITUTE(input_context," ","")&amp;",")))=0)),IF(BQ102="",TRUE,IF(input_context="",FALSE,SUMPRODUCT(--ISNUMBER(SEARCH(","&amp;TRIM(TEXTSPLIT(BQ102,","))&amp;",",","&amp;SUBSTITUTE(input_context," ","")&amp;",")))&gt;0)),IF(BS102="",TRUE,IF(input_context="",FALSE,SUMPRODUCT(--ISNUMBER(SEARCH(","&amp;TRIM(TEXTSPLIT(BS102,","))&amp;",",","&amp;SUBSTITUTE(input_context," ","")&amp;",")))=COUNTA(TEXTSPLIT(BS102,",")))))</f>
        <v/>
      </c>
      <c r="IZ102">
        <f>AND(IF(BU102="",TRUE,IF(input_enews_announcement_type="",FALSE,SUMPRODUCT(--ISNUMBER(SEARCH(","&amp;TRIM(TEXTSPLIT(BU102,","))&amp;",",","&amp;SUBSTITUTE(input_enews_announcement_type," ","")&amp;",")))&gt;0)),IF(BW102="",TRUE,IF(input_enews_announcement_type="",FALSE,SUMPRODUCT(--ISNUMBER(SEARCH(","&amp;TRIM(TEXTSPLIT(BW102,","))&amp;",",","&amp;SUBSTITUTE(input_enews_announcement_type," ","")&amp;",")))=COUNTA(TEXTSPLIT(BW102,",")))),IF(BY102="",TRUE,IF(input_enews_announcement_type="",TRUE,SUMPRODUCT(--ISNUMBER(SEARCH(","&amp;TRIM(TEXTSPLIT(BY102,","))&amp;",",","&amp;SUBSTITUTE(input_enews_announcement_type," ","")&amp;",")))=0)),IF(CA102="",TRUE,IF(input_enews_announcement_type="",FALSE,SUMPRODUCT(--ISNUMBER(SEARCH(","&amp;TRIM(TEXTSPLIT(CA102,","))&amp;",",","&amp;SUBSTITUTE(input_enews_announcement_type," ","")&amp;",")))&gt;0)),IF(CC102="",TRUE,IF(input_enews_announcement_type="",FALSE,SUMPRODUCT(--ISNUMBER(SEARCH(","&amp;TRIM(TEXTSPLIT(CC102,","))&amp;",",","&amp;SUBSTITUTE(input_enews_announcement_type," ","")&amp;",")))=COUNTA(TEXTSPLIT(CC102,",")))))</f>
        <v/>
      </c>
      <c r="JA102">
        <f>AND(IF(CE102="",TRUE,IF(input_enews_audience="",FALSE,SUMPRODUCT(--ISNUMBER(SEARCH(","&amp;TRIM(TEXTSPLIT(CE102,","))&amp;",",","&amp;SUBSTITUTE(input_enews_audience," ","")&amp;",")))&gt;0)),IF(CG102="",TRUE,IF(input_enews_audience="",FALSE,SUMPRODUCT(--ISNUMBER(SEARCH(","&amp;TRIM(TEXTSPLIT(CG102,","))&amp;",",","&amp;SUBSTITUTE(input_enews_audience," ","")&amp;",")))=COUNTA(TEXTSPLIT(CG102,",")))),IF(CI102="",TRUE,IF(input_enews_audience="",TRUE,SUMPRODUCT(--ISNUMBER(SEARCH(","&amp;TRIM(TEXTSPLIT(CI102,","))&amp;",",","&amp;SUBSTITUTE(input_enews_audience," ","")&amp;",")))=0)),IF(CK102="",TRUE,IF(input_enews_audience="",FALSE,SUMPRODUCT(--ISNUMBER(SEARCH(","&amp;TRIM(TEXTSPLIT(CK102,","))&amp;",",","&amp;SUBSTITUTE(input_enews_audience," ","")&amp;",")))&gt;0)),IF(CM102="",TRUE,IF(input_enews_audience="",FALSE,SUMPRODUCT(--ISNUMBER(SEARCH(","&amp;TRIM(TEXTSPLIT(CM102,","))&amp;",",","&amp;SUBSTITUTE(input_enews_audience," ","")&amp;",")))=COUNTA(TEXTSPLIT(CM102,",")))))</f>
        <v/>
      </c>
      <c r="JB102">
        <f>AND(IF(CO102="",TRUE,IF(input_event_location="",FALSE,SUMPRODUCT(--ISNUMBER(SEARCH(","&amp;TRIM(TEXTSPLIT(CO102,","))&amp;",",","&amp;SUBSTITUTE(input_event_location," ","")&amp;",")))&gt;0)),IF(CQ102="",TRUE,IF(input_event_location="",FALSE,SUMPRODUCT(--ISNUMBER(SEARCH(","&amp;TRIM(TEXTSPLIT(CQ102,","))&amp;",",","&amp;SUBSTITUTE(input_event_location," ","")&amp;",")))=COUNTA(TEXTSPLIT(CQ102,",")))),IF(CS102="",TRUE,IF(input_event_location="",TRUE,SUMPRODUCT(--ISNUMBER(SEARCH(","&amp;TRIM(TEXTSPLIT(CS102,","))&amp;",",","&amp;SUBSTITUTE(input_event_location," ","")&amp;",")))=0)),IF(CU102="",TRUE,IF(input_event_location="",FALSE,SUMPRODUCT(--ISNUMBER(SEARCH(","&amp;TRIM(TEXTSPLIT(CU102,","))&amp;",",","&amp;SUBSTITUTE(input_event_location," ","")&amp;",")))&gt;0)),IF(CW102="",TRUE,IF(input_event_location="",FALSE,SUMPRODUCT(--ISNUMBER(SEARCH(","&amp;TRIM(TEXTSPLIT(CW102,","))&amp;",",","&amp;SUBSTITUTE(input_event_location," ","")&amp;",")))=COUNTA(TEXTSPLIT(CW102,",")))))</f>
        <v/>
      </c>
      <c r="JC102">
        <f>AND(IF(CY102="",TRUE,IF(input_event_type="",FALSE,SUMPRODUCT(--ISNUMBER(SEARCH(","&amp;TRIM(TEXTSPLIT(CY102,","))&amp;",",","&amp;SUBSTITUTE(input_event_type," ","")&amp;",")))&gt;0)),IF(DA102="",TRUE,IF(input_event_type="",FALSE,SUMPRODUCT(--ISNUMBER(SEARCH(","&amp;TRIM(TEXTSPLIT(DA102,","))&amp;",",","&amp;SUBSTITUTE(input_event_type," ","")&amp;",")))=COUNTA(TEXTSPLIT(DA102,",")))),IF(DC102="",TRUE,IF(input_event_type="",TRUE,SUMPRODUCT(--ISNUMBER(SEARCH(","&amp;TRIM(TEXTSPLIT(DC102,","))&amp;",",","&amp;SUBSTITUTE(input_event_type," ","")&amp;",")))=0)),IF(DE102="",TRUE,IF(input_event_type="",FALSE,SUMPRODUCT(--ISNUMBER(SEARCH(","&amp;TRIM(TEXTSPLIT(DE102,","))&amp;",",","&amp;SUBSTITUTE(input_event_type," ","")&amp;",")))&gt;0)),IF(DG102="",TRUE,IF(input_event_type="",FALSE,SUMPRODUCT(--ISNUMBER(SEARCH(","&amp;TRIM(TEXTSPLIT(DG102,","))&amp;",",","&amp;SUBSTITUTE(input_event_type," ","")&amp;",")))=COUNTA(TEXTSPLIT(DG102,",")))))</f>
        <v/>
      </c>
      <c r="JD102">
        <f>AND(IF(DI102="",TRUE,IF(input_executive_education_focus="",FALSE,SUMPRODUCT(--ISNUMBER(SEARCH(","&amp;TRIM(TEXTSPLIT(DI102,","))&amp;",",","&amp;SUBSTITUTE(input_executive_education_focus," ","")&amp;",")))&gt;0)),IF(DK102="",TRUE,IF(input_executive_education_focus="",FALSE,SUMPRODUCT(--ISNUMBER(SEARCH(","&amp;TRIM(TEXTSPLIT(DK102,","))&amp;",",","&amp;SUBSTITUTE(input_executive_education_focus," ","")&amp;",")))=COUNTA(TEXTSPLIT(DK102,",")))),IF(DM102="",TRUE,IF(input_executive_education_focus="",TRUE,SUMPRODUCT(--ISNUMBER(SEARCH(","&amp;TRIM(TEXTSPLIT(DM102,","))&amp;",",","&amp;SUBSTITUTE(input_executive_education_focus," ","")&amp;",")))=0)),IF(DO102="",TRUE,IF(input_executive_education_focus="",FALSE,SUMPRODUCT(--ISNUMBER(SEARCH(","&amp;TRIM(TEXTSPLIT(DO102,","))&amp;",",","&amp;SUBSTITUTE(input_executive_education_focus," ","")&amp;",")))&gt;0)),IF(DQ102="",TRUE,IF(input_executive_education_focus="",FALSE,SUMPRODUCT(--ISNUMBER(SEARCH(","&amp;TRIM(TEXTSPLIT(DQ102,","))&amp;",",","&amp;SUBSTITUTE(input_executive_education_focus," ","")&amp;",")))=COUNTA(TEXTSPLIT(DQ102,",")))))</f>
        <v/>
      </c>
      <c r="JE102">
        <f>AND(IF(DS102="",TRUE,IF(input_faculty_category="",FALSE,SUMPRODUCT(--ISNUMBER(SEARCH(","&amp;TRIM(TEXTSPLIT(DS102,","))&amp;",",","&amp;SUBSTITUTE(input_faculty_category," ","")&amp;",")))&gt;0)),IF(DU102="",TRUE,IF(input_faculty_category="",FALSE,SUMPRODUCT(--ISNUMBER(SEARCH(","&amp;TRIM(TEXTSPLIT(DU102,","))&amp;",",","&amp;SUBSTITUTE(input_faculty_category," ","")&amp;",")))=COUNTA(TEXTSPLIT(DU102,",")))),IF(DW102="",TRUE,IF(input_faculty_category="",TRUE,SUMPRODUCT(--ISNUMBER(SEARCH(","&amp;TRIM(TEXTSPLIT(DW102,","))&amp;",",","&amp;SUBSTITUTE(input_faculty_category," ","")&amp;",")))=0)),IF(DY102="",TRUE,IF(input_faculty_category="",FALSE,SUMPRODUCT(--ISNUMBER(SEARCH(","&amp;TRIM(TEXTSPLIT(DY102,","))&amp;",",","&amp;SUBSTITUTE(input_faculty_category," ","")&amp;",")))&gt;0)),IF(EA102="",TRUE,IF(input_faculty_category="",FALSE,SUMPRODUCT(--ISNUMBER(SEARCH(","&amp;TRIM(TEXTSPLIT(EA102,","))&amp;",",","&amp;SUBSTITUTE(input_faculty_category," ","")&amp;",")))=COUNTA(TEXTSPLIT(EA102,",")))))</f>
        <v/>
      </c>
      <c r="JF102">
        <f>AND(IF(EC102="",TRUE,IF(input_faculty_discipline="",FALSE,SUMPRODUCT(--ISNUMBER(SEARCH(","&amp;TRIM(TEXTSPLIT(EC102,","))&amp;",",","&amp;SUBSTITUTE(input_faculty_discipline," ","")&amp;",")))&gt;0)),IF(EE102="",TRUE,IF(input_faculty_discipline="",FALSE,SUMPRODUCT(--ISNUMBER(SEARCH(","&amp;TRIM(TEXTSPLIT(EE102,","))&amp;",",","&amp;SUBSTITUTE(input_faculty_discipline," ","")&amp;",")))=COUNTA(TEXTSPLIT(EE102,",")))),IF(EG102="",TRUE,IF(input_faculty_discipline="",TRUE,SUMPRODUCT(--ISNUMBER(SEARCH(","&amp;TRIM(TEXTSPLIT(EG102,","))&amp;",",","&amp;SUBSTITUTE(input_faculty_discipline," ","")&amp;",")))=0)),IF(EI102="",TRUE,IF(input_faculty_discipline="",FALSE,SUMPRODUCT(--ISNUMBER(SEARCH(","&amp;TRIM(TEXTSPLIT(EI102,","))&amp;",",","&amp;SUBSTITUTE(input_faculty_discipline," ","")&amp;",")))&gt;0)),IF(EK102="",TRUE,IF(input_faculty_discipline="",FALSE,SUMPRODUCT(--ISNUMBER(SEARCH(","&amp;TRIM(TEXTSPLIT(EK102,","))&amp;",",","&amp;SUBSTITUTE(input_faculty_discipline," ","")&amp;",")))=COUNTA(TEXTSPLIT(EK102,",")))))</f>
        <v/>
      </c>
      <c r="JG102">
        <f>AND(IF(EM102="",TRUE,IF(input_faculty_expertise="",FALSE,SUMPRODUCT(--ISNUMBER(SEARCH(","&amp;TRIM(TEXTSPLIT(EM102,","))&amp;",",","&amp;SUBSTITUTE(input_faculty_expertise," ","")&amp;",")))&gt;0)),IF(EO102="",TRUE,IF(input_faculty_expertise="",FALSE,SUMPRODUCT(--ISNUMBER(SEARCH(","&amp;TRIM(TEXTSPLIT(EO102,","))&amp;",",","&amp;SUBSTITUTE(input_faculty_expertise," ","")&amp;",")))=COUNTA(TEXTSPLIT(EO102,",")))),IF(EQ102="",TRUE,IF(input_faculty_expertise="",TRUE,SUMPRODUCT(--ISNUMBER(SEARCH(","&amp;TRIM(TEXTSPLIT(EQ102,","))&amp;",",","&amp;SUBSTITUTE(input_faculty_expertise," ","")&amp;",")))=0)),IF(ES102="",TRUE,IF(input_faculty_expertise="",FALSE,SUMPRODUCT(--ISNUMBER(SEARCH(","&amp;TRIM(TEXTSPLIT(ES102,","))&amp;",",","&amp;SUBSTITUTE(input_faculty_expertise," ","")&amp;",")))&gt;0)),IF(EU102="",TRUE,IF(input_faculty_expertise="",FALSE,SUMPRODUCT(--ISNUMBER(SEARCH(","&amp;TRIM(TEXTSPLIT(EU102,","))&amp;",",","&amp;SUBSTITUTE(input_faculty_expertise," ","")&amp;",")))=COUNTA(TEXTSPLIT(EU102,",")))))</f>
        <v/>
      </c>
      <c r="JH102">
        <f>AND(IF(EW102="",TRUE,IF(input_global_network_school="",FALSE,SUMPRODUCT(--ISNUMBER(SEARCH(","&amp;TRIM(TEXTSPLIT(EW102,","))&amp;",",","&amp;SUBSTITUTE(input_global_network_school," ","")&amp;",")))&gt;0)),IF(EY102="",TRUE,IF(input_global_network_school="",FALSE,SUMPRODUCT(--ISNUMBER(SEARCH(","&amp;TRIM(TEXTSPLIT(EY102,","))&amp;",",","&amp;SUBSTITUTE(input_global_network_school," ","")&amp;",")))=COUNTA(TEXTSPLIT(EY102,",")))),IF(FA102="",TRUE,IF(input_global_network_school="",TRUE,SUMPRODUCT(--ISNUMBER(SEARCH(","&amp;TRIM(TEXTSPLIT(FA102,","))&amp;",",","&amp;SUBSTITUTE(input_global_network_school," ","")&amp;",")))=0)),IF(FC102="",TRUE,IF(input_global_network_school="",FALSE,SUMPRODUCT(--ISNUMBER(SEARCH(","&amp;TRIM(TEXTSPLIT(FC102,","))&amp;",",","&amp;SUBSTITUTE(input_global_network_school," ","")&amp;",")))&gt;0)),IF(FE102="",TRUE,IF(input_global_network_school="",FALSE,SUMPRODUCT(--ISNUMBER(SEARCH(","&amp;TRIM(TEXTSPLIT(FE102,","))&amp;",",","&amp;SUBSTITUTE(input_global_network_school," ","")&amp;",")))=COUNTA(TEXTSPLIT(FE102,",")))))</f>
        <v/>
      </c>
      <c r="JI102">
        <f>AND(IF(FG102="",TRUE,IF(input_industry="",FALSE,SUMPRODUCT(--ISNUMBER(SEARCH(","&amp;TRIM(TEXTSPLIT(FG102,","))&amp;",",","&amp;SUBSTITUTE(input_industry," ","")&amp;",")))&gt;0)),IF(FI102="",TRUE,IF(input_industry="",FALSE,SUMPRODUCT(--ISNUMBER(SEARCH(","&amp;TRIM(TEXTSPLIT(FI102,","))&amp;",",","&amp;SUBSTITUTE(input_industry," ","")&amp;",")))=COUNTA(TEXTSPLIT(FI102,",")))),IF(FK102="",TRUE,IF(input_industry="",TRUE,SUMPRODUCT(--ISNUMBER(SEARCH(","&amp;TRIM(TEXTSPLIT(FK102,","))&amp;",",","&amp;SUBSTITUTE(input_industry," ","")&amp;",")))=0)),IF(FM102="",TRUE,IF(input_industry="",FALSE,SUMPRODUCT(--ISNUMBER(SEARCH(","&amp;TRIM(TEXTSPLIT(FM102,","))&amp;",",","&amp;SUBSTITUTE(input_industry," ","")&amp;",")))&gt;0)),IF(FO102="",TRUE,IF(input_industry="",FALSE,SUMPRODUCT(--ISNUMBER(SEARCH(","&amp;TRIM(TEXTSPLIT(FO102,","))&amp;",",","&amp;SUBSTITUTE(input_industry," ","")&amp;",")))=COUNTA(TEXTSPLIT(FO102,",")))))</f>
        <v/>
      </c>
      <c r="JJ102">
        <f>AND(IF(FQ102="",TRUE,IF(input_location="",FALSE,SUMPRODUCT(--ISNUMBER(SEARCH(","&amp;TRIM(TEXTSPLIT(FQ102,","))&amp;",",","&amp;SUBSTITUTE(input_location," ","")&amp;",")))&gt;0)),IF(FS102="",TRUE,IF(input_location="",FALSE,SUMPRODUCT(--ISNUMBER(SEARCH(","&amp;TRIM(TEXTSPLIT(FS102,","))&amp;",",","&amp;SUBSTITUTE(input_location," ","")&amp;",")))=COUNTA(TEXTSPLIT(FS102,",")))),IF(FU102="",TRUE,IF(input_location="",TRUE,SUMPRODUCT(--ISNUMBER(SEARCH(","&amp;TRIM(TEXTSPLIT(FU102,","))&amp;",",","&amp;SUBSTITUTE(input_location," ","")&amp;",")))=0)),IF(FW102="",TRUE,IF(input_location="",FALSE,SUMPRODUCT(--ISNUMBER(SEARCH(","&amp;TRIM(TEXTSPLIT(FW102,","))&amp;",",","&amp;SUBSTITUTE(input_location," ","")&amp;",")))&gt;0)),IF(FY102="",TRUE,IF(input_location="",FALSE,SUMPRODUCT(--ISNUMBER(SEARCH(","&amp;TRIM(TEXTSPLIT(FY102,","))&amp;",",","&amp;SUBSTITUTE(input_location," ","")&amp;",")))=COUNTA(TEXTSPLIT(FY102,",")))))</f>
        <v/>
      </c>
      <c r="JK102">
        <f>AND(IF(GA102="",TRUE,IF(input_modality="",FALSE,SUMPRODUCT(--ISNUMBER(SEARCH(","&amp;TRIM(TEXTSPLIT(GA102,","))&amp;",",","&amp;SUBSTITUTE(input_modality," ","")&amp;",")))&gt;0)),IF(GC102="",TRUE,IF(input_modality="",FALSE,SUMPRODUCT(--ISNUMBER(SEARCH(","&amp;TRIM(TEXTSPLIT(GC102,","))&amp;",",","&amp;SUBSTITUTE(input_modality," ","")&amp;",")))=COUNTA(TEXTSPLIT(GC102,",")))),IF(GE102="",TRUE,IF(input_modality="",TRUE,SUMPRODUCT(--ISNUMBER(SEARCH(","&amp;TRIM(TEXTSPLIT(GE102,","))&amp;",",","&amp;SUBSTITUTE(input_modality," ","")&amp;",")))=0)),IF(GG102="",TRUE,IF(input_modality="",FALSE,SUMPRODUCT(--ISNUMBER(SEARCH(","&amp;TRIM(TEXTSPLIT(GG102,","))&amp;",",","&amp;SUBSTITUTE(input_modality," ","")&amp;",")))&gt;0)),IF(GI102="",TRUE,IF(input_modality="",FALSE,SUMPRODUCT(--ISNUMBER(SEARCH(","&amp;TRIM(TEXTSPLIT(GI102,","))&amp;",",","&amp;SUBSTITUTE(input_modality," ","")&amp;",")))=COUNTA(TEXTSPLIT(GI102,",")))))</f>
        <v/>
      </c>
      <c r="JL102">
        <f>AND(IF(GK102="",TRUE,IF(input_organizer="",FALSE,SUMPRODUCT(--ISNUMBER(SEARCH(","&amp;TRIM(TEXTSPLIT(GK102,","))&amp;",",","&amp;SUBSTITUTE(input_organizer," ","")&amp;",")))&gt;0)),IF(GM102="",TRUE,IF(input_organizer="",FALSE,SUMPRODUCT(--ISNUMBER(SEARCH(","&amp;TRIM(TEXTSPLIT(GM102,","))&amp;",",","&amp;SUBSTITUTE(input_organizer," ","")&amp;",")))=COUNTA(TEXTSPLIT(GM102,",")))),IF(GO102="",TRUE,IF(input_organizer="",TRUE,SUMPRODUCT(--ISNUMBER(SEARCH(","&amp;TRIM(TEXTSPLIT(GO102,","))&amp;",",","&amp;SUBSTITUTE(input_organizer," ","")&amp;",")))=0)),IF(GQ102="",TRUE,IF(input_organizer="",FALSE,SUMPRODUCT(--ISNUMBER(SEARCH(","&amp;TRIM(TEXTSPLIT(GQ102,","))&amp;",",","&amp;SUBSTITUTE(input_organizer," ","")&amp;",")))&gt;0)),IF(GS102="",TRUE,IF(input_organizer="",FALSE,SUMPRODUCT(--ISNUMBER(SEARCH(","&amp;TRIM(TEXTSPLIT(GS102,","))&amp;",",","&amp;SUBSTITUTE(input_organizer," ","")&amp;",")))=COUNTA(TEXTSPLIT(GS102,",")))))</f>
        <v/>
      </c>
      <c r="JM102">
        <f>AND(IF(GU102="",TRUE,IF(input_profile_type="",FALSE,SUMPRODUCT(--ISNUMBER(SEARCH(","&amp;TRIM(TEXTSPLIT(GU102,","))&amp;",",","&amp;SUBSTITUTE(input_profile_type," ","")&amp;",")))&gt;0)),IF(GW102="",TRUE,IF(input_profile_type="",FALSE,SUMPRODUCT(--ISNUMBER(SEARCH(","&amp;TRIM(TEXTSPLIT(GW102,","))&amp;",",","&amp;SUBSTITUTE(input_profile_type," ","")&amp;",")))=COUNTA(TEXTSPLIT(GW102,",")))),IF(GY102="",TRUE,IF(input_profile_type="",TRUE,SUMPRODUCT(--ISNUMBER(SEARCH(","&amp;TRIM(TEXTSPLIT(GY102,","))&amp;",",","&amp;SUBSTITUTE(input_profile_type," ","")&amp;",")))=0)),IF(HA102="",TRUE,IF(input_profile_type="",FALSE,SUMPRODUCT(--ISNUMBER(SEARCH(","&amp;TRIM(TEXTSPLIT(HA102,","))&amp;",",","&amp;SUBSTITUTE(input_profile_type," ","")&amp;",")))&gt;0)),IF(HC102="",TRUE,IF(input_profile_type="",FALSE,SUMPRODUCT(--ISNUMBER(SEARCH(","&amp;TRIM(TEXTSPLIT(HC102,","))&amp;",",","&amp;SUBSTITUTE(input_profile_type," ","")&amp;",")))=COUNTA(TEXTSPLIT(HC102,",")))))</f>
        <v/>
      </c>
      <c r="JN102">
        <f>AND(IF(HE102="",TRUE,IF(input_program="",FALSE,SUMPRODUCT(--ISNUMBER(SEARCH(","&amp;TRIM(TEXTSPLIT(HE102,","))&amp;",",","&amp;SUBSTITUTE(input_program," ","")&amp;",")))&gt;0)),IF(HG102="",TRUE,IF(input_program="",FALSE,SUMPRODUCT(--ISNUMBER(SEARCH(","&amp;TRIM(TEXTSPLIT(HG102,","))&amp;",",","&amp;SUBSTITUTE(input_program," ","")&amp;",")))=COUNTA(TEXTSPLIT(HG102,",")))),IF(HI102="",TRUE,IF(input_program="",TRUE,SUMPRODUCT(--ISNUMBER(SEARCH(","&amp;TRIM(TEXTSPLIT(HI102,","))&amp;",",","&amp;SUBSTITUTE(input_program," ","")&amp;",")))=0)),IF(HK102="",TRUE,IF(input_program="",FALSE,SUMPRODUCT(--ISNUMBER(SEARCH(","&amp;TRIM(TEXTSPLIT(HK102,","))&amp;",",","&amp;SUBSTITUTE(input_program," ","")&amp;",")))&gt;0)),IF(HM102="",TRUE,IF(input_program="",FALSE,SUMPRODUCT(--ISNUMBER(SEARCH(","&amp;TRIM(TEXTSPLIT(HM102,","))&amp;",",","&amp;SUBSTITUTE(input_program," ","")&amp;",")))=COUNTA(TEXTSPLIT(HM102,",")))))</f>
        <v/>
      </c>
      <c r="JO102">
        <f>AND(IF(HO102="",TRUE,IF(input_story_categories="",FALSE,SUMPRODUCT(--ISNUMBER(SEARCH(","&amp;TRIM(TEXTSPLIT(HO102,","))&amp;",",","&amp;SUBSTITUTE(input_story_categories," ","")&amp;",")))&gt;0)),IF(HQ102="",TRUE,IF(input_story_categories="",FALSE,SUMPRODUCT(--ISNUMBER(SEARCH(","&amp;TRIM(TEXTSPLIT(HQ102,","))&amp;",",","&amp;SUBSTITUTE(input_story_categories," ","")&amp;",")))=COUNTA(TEXTSPLIT(HQ102,",")))),IF(HS102="",TRUE,IF(input_story_categories="",TRUE,SUMPRODUCT(--ISNUMBER(SEARCH(","&amp;TRIM(TEXTSPLIT(HS102,","))&amp;",",","&amp;SUBSTITUTE(input_story_categories," ","")&amp;",")))=0)),IF(HU102="",TRUE,IF(input_story_categories="",FALSE,SUMPRODUCT(--ISNUMBER(SEARCH(","&amp;TRIM(TEXTSPLIT(HU102,","))&amp;",",","&amp;SUBSTITUTE(input_story_categories," ","")&amp;",")))&gt;0)),IF(HW102="",TRUE,IF(input_story_categories="",FALSE,SUMPRODUCT(--ISNUMBER(SEARCH(","&amp;TRIM(TEXTSPLIT(HW102,","))&amp;",",","&amp;SUBSTITUTE(input_story_categories," ","")&amp;",")))=COUNTA(TEXTSPLIT(HW102,",")))))</f>
        <v/>
      </c>
      <c r="JP102">
        <f>AND(IF(HY102="",TRUE,IF(input_story_type="",FALSE,SUMPRODUCT(--ISNUMBER(SEARCH(","&amp;TRIM(TEXTSPLIT(HY102,","))&amp;",",","&amp;SUBSTITUTE(input_story_type," ","")&amp;",")))&gt;0)),IF(IA102="",TRUE,IF(input_story_type="",FALSE,SUMPRODUCT(--ISNUMBER(SEARCH(","&amp;TRIM(TEXTSPLIT(IA102,","))&amp;",",","&amp;SUBSTITUTE(input_story_type," ","")&amp;",")))=COUNTA(TEXTSPLIT(IA102,",")))),IF(IC102="",TRUE,IF(input_story_type="",TRUE,SUMPRODUCT(--ISNUMBER(SEARCH(","&amp;TRIM(TEXTSPLIT(IC102,","))&amp;",",","&amp;SUBSTITUTE(input_story_type," ","")&amp;",")))=0)),IF(IE102="",TRUE,IF(input_story_type="",FALSE,SUMPRODUCT(--ISNUMBER(SEARCH(","&amp;TRIM(TEXTSPLIT(IE102,","))&amp;",",","&amp;SUBSTITUTE(input_story_type," ","")&amp;",")))&gt;0)),IF(IG102="",TRUE,IF(input_story_type="",FALSE,SUMPRODUCT(--ISNUMBER(SEARCH(","&amp;TRIM(TEXTSPLIT(IG102,","))&amp;",",","&amp;SUBSTITUTE(input_story_type," ","")&amp;",")))=COUNTA(TEXTSPLIT(IG102,",")))))</f>
        <v/>
      </c>
      <c r="JQ102">
        <f>AND(IF(II102="",TRUE,IF(input_topics="",FALSE,SUMPRODUCT(--ISNUMBER(SEARCH(","&amp;TRIM(TEXTSPLIT(II102,","))&amp;",",","&amp;SUBSTITUTE(input_topics," ","")&amp;",")))&gt;0)),IF(IK102="",TRUE,IF(input_topics="",FALSE,SUMPRODUCT(--ISNUMBER(SEARCH(","&amp;TRIM(TEXTSPLIT(IK102,","))&amp;",",","&amp;SUBSTITUTE(input_topics," ","")&amp;",")))=COUNTA(TEXTSPLIT(IK102,",")))),IF(IM102="",TRUE,IF(input_topics="",TRUE,SUMPRODUCT(--ISNUMBER(SEARCH(","&amp;TRIM(TEXTSPLIT(IM102,","))&amp;",",","&amp;SUBSTITUTE(input_topics," ","")&amp;",")))=0)),IF(IO102="",TRUE,IF(input_topics="",FALSE,SUMPRODUCT(--ISNUMBER(SEARCH(","&amp;TRIM(TEXTSPLIT(IO102,","))&amp;",",","&amp;SUBSTITUTE(input_topics," ","")&amp;",")))&gt;0)),IF(IQ102="",TRUE,IF(input_topics="",FALSE,SUMPRODUCT(--ISNUMBER(SEARCH(","&amp;TRIM(TEXTSPLIT(IQ102,","))&amp;",",","&amp;SUBSTITUTE(input_topics," ","")&amp;",")))=COUNTA(TEXTSPLIT(IQ102,",")))))</f>
        <v/>
      </c>
    </row>
    <row r="103">
      <c r="A103" s="4">
        <f>IF(NOT(IS103),"Excluded",IF(AND(IT103,IU103,IV103,IW103,IX103,IY103,IZ103,JA103,JB103,JC103,JD103,JE103,JF103,JG103,JH103,JI103,JJ103,JK103,JL103,JM103,JN103,JO103,JP103,JQ103),IF(I103&gt;0,"Eligible but limited","Will appear"),"Excluded"))</f>
        <v/>
      </c>
      <c r="B103" s="4" t="inlineStr">
        <is>
          <t>Events</t>
        </is>
      </c>
      <c r="C103" s="4" t="inlineStr">
        <is>
          <t>/centers/international-center-for-finance/events</t>
        </is>
      </c>
      <c r="D103" s="4" t="inlineStr">
        <is>
          <t>/centers/international-center-for-finance/events</t>
        </is>
      </c>
      <c r="E103" s="4" t="n">
        <v>1</v>
      </c>
      <c r="F103" s="4" t="inlineStr">
        <is>
          <t>event</t>
        </is>
      </c>
      <c r="G103" s="4" t="inlineStr">
        <is>
          <t>event_list</t>
        </is>
      </c>
      <c r="H103" s="4" t="inlineStr">
        <is>
          <t>embed_no_filters</t>
        </is>
      </c>
      <c r="I103" s="4" t="n">
        <v>8</v>
      </c>
      <c r="J103" s="4" t="inlineStr">
        <is>
          <t>Explicit args</t>
        </is>
      </c>
      <c r="K103" s="4" t="inlineStr">
        <is>
          <t>Page placement</t>
        </is>
      </c>
      <c r="L103" s="4" t="inlineStr">
        <is>
          <t>Content type: event; Context uses Courses Context: International Center for Finance (931); Limited to 8 item(s); Source: Explicit args</t>
        </is>
      </c>
      <c r="M103" t="inlineStr"/>
      <c r="N103" t="inlineStr"/>
      <c r="O103" t="inlineStr"/>
      <c r="P103" t="inlineStr"/>
      <c r="Q103" t="inlineStr"/>
      <c r="R103" t="inlineStr"/>
      <c r="S103" t="inlineStr"/>
      <c r="T103" t="inlineStr"/>
      <c r="U103" t="inlineStr"/>
      <c r="V103" t="inlineStr"/>
      <c r="W103" t="inlineStr"/>
      <c r="X103" t="inlineStr"/>
      <c r="Y103" t="inlineStr"/>
      <c r="Z103" t="inlineStr"/>
      <c r="AA103" t="inlineStr"/>
      <c r="AB103" t="inlineStr"/>
      <c r="AC103" t="inlineStr"/>
      <c r="AD103" t="inlineStr"/>
      <c r="AE103" t="inlineStr"/>
      <c r="AF103" t="inlineStr"/>
      <c r="AG103" t="inlineStr"/>
      <c r="AH103" t="inlineStr"/>
      <c r="AI103" t="inlineStr"/>
      <c r="AJ103" t="inlineStr"/>
      <c r="AK103" t="inlineStr"/>
      <c r="AL103" t="inlineStr"/>
      <c r="AM103" t="inlineStr"/>
      <c r="AN103" t="inlineStr"/>
      <c r="AO103" t="inlineStr"/>
      <c r="AP103" t="inlineStr"/>
      <c r="AQ103" t="inlineStr"/>
      <c r="AR103" t="inlineStr"/>
      <c r="AS103" t="inlineStr"/>
      <c r="AT103" t="inlineStr"/>
      <c r="AU103" t="inlineStr"/>
      <c r="AV103" t="inlineStr"/>
      <c r="AW103" t="inlineStr"/>
      <c r="AX103" t="inlineStr"/>
      <c r="AY103" t="inlineStr"/>
      <c r="AZ103" t="inlineStr"/>
      <c r="BA103" t="inlineStr"/>
      <c r="BB103" t="inlineStr"/>
      <c r="BC103" t="inlineStr"/>
      <c r="BD103" t="inlineStr"/>
      <c r="BE103" t="inlineStr"/>
      <c r="BF103" t="inlineStr"/>
      <c r="BG103" t="inlineStr"/>
      <c r="BH103" t="inlineStr"/>
      <c r="BI103" t="inlineStr"/>
      <c r="BJ103" t="inlineStr"/>
      <c r="BK103" t="inlineStr"/>
      <c r="BL103" t="inlineStr"/>
      <c r="BM103" t="inlineStr"/>
      <c r="BN103" t="inlineStr"/>
      <c r="BO103" t="inlineStr"/>
      <c r="BP103" t="inlineStr"/>
      <c r="BQ103" t="inlineStr">
        <is>
          <t>931</t>
        </is>
      </c>
      <c r="BR103" t="inlineStr">
        <is>
          <t>International Center for Finance (931)</t>
        </is>
      </c>
      <c r="BS103" t="inlineStr"/>
      <c r="BT103" t="inlineStr"/>
      <c r="BU103" t="inlineStr"/>
      <c r="BV103" t="inlineStr"/>
      <c r="BW103" t="inlineStr"/>
      <c r="BX103" t="inlineStr"/>
      <c r="BY103" t="inlineStr"/>
      <c r="BZ103" t="inlineStr"/>
      <c r="CA103" t="inlineStr"/>
      <c r="CB103" t="inlineStr"/>
      <c r="CC103" t="inlineStr"/>
      <c r="CD103" t="inlineStr"/>
      <c r="CE103" t="inlineStr"/>
      <c r="CF103" t="inlineStr"/>
      <c r="CG103" t="inlineStr"/>
      <c r="CH103" t="inlineStr"/>
      <c r="CI103" t="inlineStr"/>
      <c r="CJ103" t="inlineStr"/>
      <c r="CK103" t="inlineStr"/>
      <c r="CL103" t="inlineStr"/>
      <c r="CM103" t="inlineStr"/>
      <c r="CN103" t="inlineStr"/>
      <c r="CO103" t="inlineStr"/>
      <c r="CP103" t="inlineStr"/>
      <c r="CQ103" t="inlineStr"/>
      <c r="CR103" t="inlineStr"/>
      <c r="CS103" t="inlineStr"/>
      <c r="CT103" t="inlineStr"/>
      <c r="CU103" t="inlineStr"/>
      <c r="CV103" t="inlineStr"/>
      <c r="CW103" t="inlineStr"/>
      <c r="CX103" t="inlineStr"/>
      <c r="CY103" t="inlineStr"/>
      <c r="CZ103" t="inlineStr"/>
      <c r="DA103" t="inlineStr"/>
      <c r="DB103" t="inlineStr"/>
      <c r="DC103" t="inlineStr"/>
      <c r="DD103" t="inlineStr"/>
      <c r="DE103" t="inlineStr"/>
      <c r="DF103" t="inlineStr"/>
      <c r="DG103" t="inlineStr"/>
      <c r="DH103" t="inlineStr"/>
      <c r="DI103" t="inlineStr"/>
      <c r="DJ103" t="inlineStr"/>
      <c r="DK103" t="inlineStr"/>
      <c r="DL103" t="inlineStr"/>
      <c r="DM103" t="inlineStr"/>
      <c r="DN103" t="inlineStr"/>
      <c r="DO103" t="inlineStr"/>
      <c r="DP103" t="inlineStr"/>
      <c r="DQ103" t="inlineStr"/>
      <c r="DR103" t="inlineStr"/>
      <c r="DS103" t="inlineStr"/>
      <c r="DT103" t="inlineStr"/>
      <c r="DU103" t="inlineStr"/>
      <c r="DV103" t="inlineStr"/>
      <c r="DW103" t="inlineStr"/>
      <c r="DX103" t="inlineStr"/>
      <c r="DY103" t="inlineStr"/>
      <c r="DZ103" t="inlineStr"/>
      <c r="EA103" t="inlineStr"/>
      <c r="EB103" t="inlineStr"/>
      <c r="EC103" t="inlineStr"/>
      <c r="ED103" t="inlineStr"/>
      <c r="EE103" t="inlineStr"/>
      <c r="EF103" t="inlineStr"/>
      <c r="EG103" t="inlineStr"/>
      <c r="EH103" t="inlineStr"/>
      <c r="EI103" t="inlineStr"/>
      <c r="EJ103" t="inlineStr"/>
      <c r="EK103" t="inlineStr"/>
      <c r="EL103" t="inlineStr"/>
      <c r="EM103" t="inlineStr"/>
      <c r="EN103" t="inlineStr"/>
      <c r="EO103" t="inlineStr"/>
      <c r="EP103" t="inlineStr"/>
      <c r="EQ103" t="inlineStr"/>
      <c r="ER103" t="inlineStr"/>
      <c r="ES103" t="inlineStr"/>
      <c r="ET103" t="inlineStr"/>
      <c r="EU103" t="inlineStr"/>
      <c r="EV103" t="inlineStr"/>
      <c r="EW103" t="inlineStr"/>
      <c r="EX103" t="inlineStr"/>
      <c r="EY103" t="inlineStr"/>
      <c r="EZ103" t="inlineStr"/>
      <c r="FA103" t="inlineStr"/>
      <c r="FB103" t="inlineStr"/>
      <c r="FC103" t="inlineStr"/>
      <c r="FD103" t="inlineStr"/>
      <c r="FE103" t="inlineStr"/>
      <c r="FF103" t="inlineStr"/>
      <c r="FG103" t="inlineStr"/>
      <c r="FH103" t="inlineStr"/>
      <c r="FI103" t="inlineStr"/>
      <c r="FJ103" t="inlineStr"/>
      <c r="FK103" t="inlineStr"/>
      <c r="FL103" t="inlineStr"/>
      <c r="FM103" t="inlineStr"/>
      <c r="FN103" t="inlineStr"/>
      <c r="FO103" t="inlineStr"/>
      <c r="FP103" t="inlineStr"/>
      <c r="FQ103" t="inlineStr"/>
      <c r="FR103" t="inlineStr"/>
      <c r="FS103" t="inlineStr"/>
      <c r="FT103" t="inlineStr"/>
      <c r="FU103" t="inlineStr"/>
      <c r="FV103" t="inlineStr"/>
      <c r="FW103" t="inlineStr"/>
      <c r="FX103" t="inlineStr"/>
      <c r="FY103" t="inlineStr"/>
      <c r="FZ103" t="inlineStr"/>
      <c r="GA103" t="inlineStr"/>
      <c r="GB103" t="inlineStr"/>
      <c r="GC103" t="inlineStr"/>
      <c r="GD103" t="inlineStr"/>
      <c r="GE103" t="inlineStr"/>
      <c r="GF103" t="inlineStr"/>
      <c r="GG103" t="inlineStr"/>
      <c r="GH103" t="inlineStr"/>
      <c r="GI103" t="inlineStr"/>
      <c r="GJ103" t="inlineStr"/>
      <c r="GK103" t="inlineStr"/>
      <c r="GL103" t="inlineStr"/>
      <c r="GM103" t="inlineStr"/>
      <c r="GN103" t="inlineStr"/>
      <c r="GO103" t="inlineStr"/>
      <c r="GP103" t="inlineStr"/>
      <c r="GQ103" t="inlineStr"/>
      <c r="GR103" t="inlineStr"/>
      <c r="GS103" t="inlineStr"/>
      <c r="GT103" t="inlineStr"/>
      <c r="GU103" t="inlineStr"/>
      <c r="GV103" t="inlineStr"/>
      <c r="GW103" t="inlineStr"/>
      <c r="GX103" t="inlineStr"/>
      <c r="GY103" t="inlineStr"/>
      <c r="GZ103" t="inlineStr"/>
      <c r="HA103" t="inlineStr"/>
      <c r="HB103" t="inlineStr"/>
      <c r="HC103" t="inlineStr"/>
      <c r="HD103" t="inlineStr"/>
      <c r="HE103" t="inlineStr"/>
      <c r="HF103" t="inlineStr"/>
      <c r="HG103" t="inlineStr"/>
      <c r="HH103" t="inlineStr"/>
      <c r="HI103" t="inlineStr"/>
      <c r="HJ103" t="inlineStr"/>
      <c r="HK103" t="inlineStr"/>
      <c r="HL103" t="inlineStr"/>
      <c r="HM103" t="inlineStr"/>
      <c r="HN103" t="inlineStr"/>
      <c r="HO103" t="inlineStr"/>
      <c r="HP103" t="inlineStr"/>
      <c r="HQ103" t="inlineStr"/>
      <c r="HR103" t="inlineStr"/>
      <c r="HS103" t="inlineStr"/>
      <c r="HT103" t="inlineStr"/>
      <c r="HU103" t="inlineStr"/>
      <c r="HV103" t="inlineStr"/>
      <c r="HW103" t="inlineStr"/>
      <c r="HX103" t="inlineStr"/>
      <c r="HY103" t="inlineStr"/>
      <c r="HZ103" t="inlineStr"/>
      <c r="IA103" t="inlineStr"/>
      <c r="IB103" t="inlineStr"/>
      <c r="IC103" t="inlineStr"/>
      <c r="ID103" t="inlineStr"/>
      <c r="IE103" t="inlineStr"/>
      <c r="IF103" t="inlineStr"/>
      <c r="IG103" t="inlineStr"/>
      <c r="IH103" t="inlineStr"/>
      <c r="II103" t="inlineStr"/>
      <c r="IJ103" t="inlineStr"/>
      <c r="IK103" t="inlineStr"/>
      <c r="IL103" t="inlineStr"/>
      <c r="IM103" t="inlineStr"/>
      <c r="IN103" t="inlineStr"/>
      <c r="IO103" t="inlineStr"/>
      <c r="IP103" t="inlineStr"/>
      <c r="IQ103" t="inlineStr"/>
      <c r="IR103" t="inlineStr"/>
      <c r="IS103">
        <f>IF(input_content_type="",FALSE,ISNUMBER(SEARCH(","&amp;LOWER(input_content_type)&amp;",",","&amp;LOWER(F103)&amp;",")))</f>
        <v/>
      </c>
      <c r="IT103">
        <f>AND(IF(M103="",TRUE,IF(input_affiliations="",FALSE,SUMPRODUCT(--ISNUMBER(SEARCH(","&amp;TRIM(TEXTSPLIT(M103,","))&amp;",",","&amp;SUBSTITUTE(input_affiliations," ","")&amp;",")))&gt;0)),IF(O103="",TRUE,IF(input_affiliations="",FALSE,SUMPRODUCT(--ISNUMBER(SEARCH(","&amp;TRIM(TEXTSPLIT(O103,","))&amp;",",","&amp;SUBSTITUTE(input_affiliations," ","")&amp;",")))=COUNTA(TEXTSPLIT(O103,",")))),IF(Q103="",TRUE,IF(input_affiliations="",TRUE,SUMPRODUCT(--ISNUMBER(SEARCH(","&amp;TRIM(TEXTSPLIT(Q103,","))&amp;",",","&amp;SUBSTITUTE(input_affiliations," ","")&amp;",")))=0)),IF(S103="",TRUE,IF(input_affiliations="",FALSE,SUMPRODUCT(--ISNUMBER(SEARCH(","&amp;TRIM(TEXTSPLIT(S103,","))&amp;",",","&amp;SUBSTITUTE(input_affiliations," ","")&amp;",")))&gt;0)),IF(U103="",TRUE,IF(input_affiliations="",FALSE,SUMPRODUCT(--ISNUMBER(SEARCH(","&amp;TRIM(TEXTSPLIT(U103,","))&amp;",",","&amp;SUBSTITUTE(input_affiliations," ","")&amp;",")))=COUNTA(TEXTSPLIT(U103,",")))))</f>
        <v/>
      </c>
      <c r="IU103">
        <f>AND(IF(W103="",TRUE,IF(input_announcement_category="",FALSE,SUMPRODUCT(--ISNUMBER(SEARCH(","&amp;TRIM(TEXTSPLIT(W103,","))&amp;",",","&amp;SUBSTITUTE(input_announcement_category," ","")&amp;",")))&gt;0)),IF(Y103="",TRUE,IF(input_announcement_category="",FALSE,SUMPRODUCT(--ISNUMBER(SEARCH(","&amp;TRIM(TEXTSPLIT(Y103,","))&amp;",",","&amp;SUBSTITUTE(input_announcement_category," ","")&amp;",")))=COUNTA(TEXTSPLIT(Y103,",")))),IF(AA103="",TRUE,IF(input_announcement_category="",TRUE,SUMPRODUCT(--ISNUMBER(SEARCH(","&amp;TRIM(TEXTSPLIT(AA103,","))&amp;",",","&amp;SUBSTITUTE(input_announcement_category," ","")&amp;",")))=0)),IF(AC103="",TRUE,IF(input_announcement_category="",FALSE,SUMPRODUCT(--ISNUMBER(SEARCH(","&amp;TRIM(TEXTSPLIT(AC103,","))&amp;",",","&amp;SUBSTITUTE(input_announcement_category," ","")&amp;",")))&gt;0)),IF(AE103="",TRUE,IF(input_announcement_category="",FALSE,SUMPRODUCT(--ISNUMBER(SEARCH(","&amp;TRIM(TEXTSPLIT(AE103,","))&amp;",",","&amp;SUBSTITUTE(input_announcement_category," ","")&amp;",")))=COUNTA(TEXTSPLIT(AE103,",")))))</f>
        <v/>
      </c>
      <c r="IV103">
        <f>AND(IF(AG103="",TRUE,IF(input_area_of_focus="",FALSE,SUMPRODUCT(--ISNUMBER(SEARCH(","&amp;TRIM(TEXTSPLIT(AG103,","))&amp;",",","&amp;SUBSTITUTE(input_area_of_focus," ","")&amp;",")))&gt;0)),IF(AI103="",TRUE,IF(input_area_of_focus="",FALSE,SUMPRODUCT(--ISNUMBER(SEARCH(","&amp;TRIM(TEXTSPLIT(AI103,","))&amp;",",","&amp;SUBSTITUTE(input_area_of_focus," ","")&amp;",")))=COUNTA(TEXTSPLIT(AI103,",")))),IF(AK103="",TRUE,IF(input_area_of_focus="",TRUE,SUMPRODUCT(--ISNUMBER(SEARCH(","&amp;TRIM(TEXTSPLIT(AK103,","))&amp;",",","&amp;SUBSTITUTE(input_area_of_focus," ","")&amp;",")))=0)),IF(AM103="",TRUE,IF(input_area_of_focus="",FALSE,SUMPRODUCT(--ISNUMBER(SEARCH(","&amp;TRIM(TEXTSPLIT(AM103,","))&amp;",",","&amp;SUBSTITUTE(input_area_of_focus," ","")&amp;",")))&gt;0)),IF(AO103="",TRUE,IF(input_area_of_focus="",FALSE,SUMPRODUCT(--ISNUMBER(SEARCH(","&amp;TRIM(TEXTSPLIT(AO103,","))&amp;",",","&amp;SUBSTITUTE(input_area_of_focus," ","")&amp;",")))=COUNTA(TEXTSPLIT(AO103,",")))))</f>
        <v/>
      </c>
      <c r="IW103">
        <f>AND(IF(AQ103="",TRUE,IF(input_audience="",FALSE,SUMPRODUCT(--ISNUMBER(SEARCH(","&amp;TRIM(TEXTSPLIT(AQ103,","))&amp;",",","&amp;SUBSTITUTE(input_audience," ","")&amp;",")))&gt;0)),IF(AS103="",TRUE,IF(input_audience="",FALSE,SUMPRODUCT(--ISNUMBER(SEARCH(","&amp;TRIM(TEXTSPLIT(AS103,","))&amp;",",","&amp;SUBSTITUTE(input_audience," ","")&amp;",")))=COUNTA(TEXTSPLIT(AS103,",")))),IF(AU103="",TRUE,IF(input_audience="",TRUE,SUMPRODUCT(--ISNUMBER(SEARCH(","&amp;TRIM(TEXTSPLIT(AU103,","))&amp;",",","&amp;SUBSTITUTE(input_audience," ","")&amp;",")))=0)),IF(AW103="",TRUE,IF(input_audience="",FALSE,SUMPRODUCT(--ISNUMBER(SEARCH(","&amp;TRIM(TEXTSPLIT(AW103,","))&amp;",",","&amp;SUBSTITUTE(input_audience," ","")&amp;",")))&gt;0)),IF(AY103="",TRUE,IF(input_audience="",FALSE,SUMPRODUCT(--ISNUMBER(SEARCH(","&amp;TRIM(TEXTSPLIT(AY103,","))&amp;",",","&amp;SUBSTITUTE(input_audience," ","")&amp;",")))=COUNTA(TEXTSPLIT(AY103,",")))))</f>
        <v/>
      </c>
      <c r="IX103">
        <f>AND(IF(BA103="",TRUE,IF(input_challenge_opportunities="",FALSE,SUMPRODUCT(--ISNUMBER(SEARCH(","&amp;TRIM(TEXTSPLIT(BA103,","))&amp;",",","&amp;SUBSTITUTE(input_challenge_opportunities," ","")&amp;",")))&gt;0)),IF(BC103="",TRUE,IF(input_challenge_opportunities="",FALSE,SUMPRODUCT(--ISNUMBER(SEARCH(","&amp;TRIM(TEXTSPLIT(BC103,","))&amp;",",","&amp;SUBSTITUTE(input_challenge_opportunities," ","")&amp;",")))=COUNTA(TEXTSPLIT(BC103,",")))),IF(BE103="",TRUE,IF(input_challenge_opportunities="",TRUE,SUMPRODUCT(--ISNUMBER(SEARCH(","&amp;TRIM(TEXTSPLIT(BE103,","))&amp;",",","&amp;SUBSTITUTE(input_challenge_opportunities," ","")&amp;",")))=0)),IF(BG103="",TRUE,IF(input_challenge_opportunities="",FALSE,SUMPRODUCT(--ISNUMBER(SEARCH(","&amp;TRIM(TEXTSPLIT(BG103,","))&amp;",",","&amp;SUBSTITUTE(input_challenge_opportunities," ","")&amp;",")))&gt;0)),IF(BI103="",TRUE,IF(input_challenge_opportunities="",FALSE,SUMPRODUCT(--ISNUMBER(SEARCH(","&amp;TRIM(TEXTSPLIT(BI103,","))&amp;",",","&amp;SUBSTITUTE(input_challenge_opportunities," ","")&amp;",")))=COUNTA(TEXTSPLIT(BI103,",")))))</f>
        <v/>
      </c>
      <c r="IY103">
        <f>AND(IF(BK103="",TRUE,IF(input_context="",FALSE,SUMPRODUCT(--ISNUMBER(SEARCH(","&amp;TRIM(TEXTSPLIT(BK103,","))&amp;",",","&amp;SUBSTITUTE(input_context," ","")&amp;",")))&gt;0)),IF(BM103="",TRUE,IF(input_context="",FALSE,SUMPRODUCT(--ISNUMBER(SEARCH(","&amp;TRIM(TEXTSPLIT(BM103,","))&amp;",",","&amp;SUBSTITUTE(input_context," ","")&amp;",")))=COUNTA(TEXTSPLIT(BM103,",")))),IF(BO103="",TRUE,IF(input_context="",TRUE,SUMPRODUCT(--ISNUMBER(SEARCH(","&amp;TRIM(TEXTSPLIT(BO103,","))&amp;",",","&amp;SUBSTITUTE(input_context," ","")&amp;",")))=0)),IF(BQ103="",TRUE,IF(input_context="",FALSE,SUMPRODUCT(--ISNUMBER(SEARCH(","&amp;TRIM(TEXTSPLIT(BQ103,","))&amp;",",","&amp;SUBSTITUTE(input_context," ","")&amp;",")))&gt;0)),IF(BS103="",TRUE,IF(input_context="",FALSE,SUMPRODUCT(--ISNUMBER(SEARCH(","&amp;TRIM(TEXTSPLIT(BS103,","))&amp;",",","&amp;SUBSTITUTE(input_context," ","")&amp;",")))=COUNTA(TEXTSPLIT(BS103,",")))))</f>
        <v/>
      </c>
      <c r="IZ103">
        <f>AND(IF(BU103="",TRUE,IF(input_enews_announcement_type="",FALSE,SUMPRODUCT(--ISNUMBER(SEARCH(","&amp;TRIM(TEXTSPLIT(BU103,","))&amp;",",","&amp;SUBSTITUTE(input_enews_announcement_type," ","")&amp;",")))&gt;0)),IF(BW103="",TRUE,IF(input_enews_announcement_type="",FALSE,SUMPRODUCT(--ISNUMBER(SEARCH(","&amp;TRIM(TEXTSPLIT(BW103,","))&amp;",",","&amp;SUBSTITUTE(input_enews_announcement_type," ","")&amp;",")))=COUNTA(TEXTSPLIT(BW103,",")))),IF(BY103="",TRUE,IF(input_enews_announcement_type="",TRUE,SUMPRODUCT(--ISNUMBER(SEARCH(","&amp;TRIM(TEXTSPLIT(BY103,","))&amp;",",","&amp;SUBSTITUTE(input_enews_announcement_type," ","")&amp;",")))=0)),IF(CA103="",TRUE,IF(input_enews_announcement_type="",FALSE,SUMPRODUCT(--ISNUMBER(SEARCH(","&amp;TRIM(TEXTSPLIT(CA103,","))&amp;",",","&amp;SUBSTITUTE(input_enews_announcement_type," ","")&amp;",")))&gt;0)),IF(CC103="",TRUE,IF(input_enews_announcement_type="",FALSE,SUMPRODUCT(--ISNUMBER(SEARCH(","&amp;TRIM(TEXTSPLIT(CC103,","))&amp;",",","&amp;SUBSTITUTE(input_enews_announcement_type," ","")&amp;",")))=COUNTA(TEXTSPLIT(CC103,",")))))</f>
        <v/>
      </c>
      <c r="JA103">
        <f>AND(IF(CE103="",TRUE,IF(input_enews_audience="",FALSE,SUMPRODUCT(--ISNUMBER(SEARCH(","&amp;TRIM(TEXTSPLIT(CE103,","))&amp;",",","&amp;SUBSTITUTE(input_enews_audience," ","")&amp;",")))&gt;0)),IF(CG103="",TRUE,IF(input_enews_audience="",FALSE,SUMPRODUCT(--ISNUMBER(SEARCH(","&amp;TRIM(TEXTSPLIT(CG103,","))&amp;",",","&amp;SUBSTITUTE(input_enews_audience," ","")&amp;",")))=COUNTA(TEXTSPLIT(CG103,",")))),IF(CI103="",TRUE,IF(input_enews_audience="",TRUE,SUMPRODUCT(--ISNUMBER(SEARCH(","&amp;TRIM(TEXTSPLIT(CI103,","))&amp;",",","&amp;SUBSTITUTE(input_enews_audience," ","")&amp;",")))=0)),IF(CK103="",TRUE,IF(input_enews_audience="",FALSE,SUMPRODUCT(--ISNUMBER(SEARCH(","&amp;TRIM(TEXTSPLIT(CK103,","))&amp;",",","&amp;SUBSTITUTE(input_enews_audience," ","")&amp;",")))&gt;0)),IF(CM103="",TRUE,IF(input_enews_audience="",FALSE,SUMPRODUCT(--ISNUMBER(SEARCH(","&amp;TRIM(TEXTSPLIT(CM103,","))&amp;",",","&amp;SUBSTITUTE(input_enews_audience," ","")&amp;",")))=COUNTA(TEXTSPLIT(CM103,",")))))</f>
        <v/>
      </c>
      <c r="JB103">
        <f>AND(IF(CO103="",TRUE,IF(input_event_location="",FALSE,SUMPRODUCT(--ISNUMBER(SEARCH(","&amp;TRIM(TEXTSPLIT(CO103,","))&amp;",",","&amp;SUBSTITUTE(input_event_location," ","")&amp;",")))&gt;0)),IF(CQ103="",TRUE,IF(input_event_location="",FALSE,SUMPRODUCT(--ISNUMBER(SEARCH(","&amp;TRIM(TEXTSPLIT(CQ103,","))&amp;",",","&amp;SUBSTITUTE(input_event_location," ","")&amp;",")))=COUNTA(TEXTSPLIT(CQ103,",")))),IF(CS103="",TRUE,IF(input_event_location="",TRUE,SUMPRODUCT(--ISNUMBER(SEARCH(","&amp;TRIM(TEXTSPLIT(CS103,","))&amp;",",","&amp;SUBSTITUTE(input_event_location," ","")&amp;",")))=0)),IF(CU103="",TRUE,IF(input_event_location="",FALSE,SUMPRODUCT(--ISNUMBER(SEARCH(","&amp;TRIM(TEXTSPLIT(CU103,","))&amp;",",","&amp;SUBSTITUTE(input_event_location," ","")&amp;",")))&gt;0)),IF(CW103="",TRUE,IF(input_event_location="",FALSE,SUMPRODUCT(--ISNUMBER(SEARCH(","&amp;TRIM(TEXTSPLIT(CW103,","))&amp;",",","&amp;SUBSTITUTE(input_event_location," ","")&amp;",")))=COUNTA(TEXTSPLIT(CW103,",")))))</f>
        <v/>
      </c>
      <c r="JC103">
        <f>AND(IF(CY103="",TRUE,IF(input_event_type="",FALSE,SUMPRODUCT(--ISNUMBER(SEARCH(","&amp;TRIM(TEXTSPLIT(CY103,","))&amp;",",","&amp;SUBSTITUTE(input_event_type," ","")&amp;",")))&gt;0)),IF(DA103="",TRUE,IF(input_event_type="",FALSE,SUMPRODUCT(--ISNUMBER(SEARCH(","&amp;TRIM(TEXTSPLIT(DA103,","))&amp;",",","&amp;SUBSTITUTE(input_event_type," ","")&amp;",")))=COUNTA(TEXTSPLIT(DA103,",")))),IF(DC103="",TRUE,IF(input_event_type="",TRUE,SUMPRODUCT(--ISNUMBER(SEARCH(","&amp;TRIM(TEXTSPLIT(DC103,","))&amp;",",","&amp;SUBSTITUTE(input_event_type," ","")&amp;",")))=0)),IF(DE103="",TRUE,IF(input_event_type="",FALSE,SUMPRODUCT(--ISNUMBER(SEARCH(","&amp;TRIM(TEXTSPLIT(DE103,","))&amp;",",","&amp;SUBSTITUTE(input_event_type," ","")&amp;",")))&gt;0)),IF(DG103="",TRUE,IF(input_event_type="",FALSE,SUMPRODUCT(--ISNUMBER(SEARCH(","&amp;TRIM(TEXTSPLIT(DG103,","))&amp;",",","&amp;SUBSTITUTE(input_event_type," ","")&amp;",")))=COUNTA(TEXTSPLIT(DG103,",")))))</f>
        <v/>
      </c>
      <c r="JD103">
        <f>AND(IF(DI103="",TRUE,IF(input_executive_education_focus="",FALSE,SUMPRODUCT(--ISNUMBER(SEARCH(","&amp;TRIM(TEXTSPLIT(DI103,","))&amp;",",","&amp;SUBSTITUTE(input_executive_education_focus," ","")&amp;",")))&gt;0)),IF(DK103="",TRUE,IF(input_executive_education_focus="",FALSE,SUMPRODUCT(--ISNUMBER(SEARCH(","&amp;TRIM(TEXTSPLIT(DK103,","))&amp;",",","&amp;SUBSTITUTE(input_executive_education_focus," ","")&amp;",")))=COUNTA(TEXTSPLIT(DK103,",")))),IF(DM103="",TRUE,IF(input_executive_education_focus="",TRUE,SUMPRODUCT(--ISNUMBER(SEARCH(","&amp;TRIM(TEXTSPLIT(DM103,","))&amp;",",","&amp;SUBSTITUTE(input_executive_education_focus," ","")&amp;",")))=0)),IF(DO103="",TRUE,IF(input_executive_education_focus="",FALSE,SUMPRODUCT(--ISNUMBER(SEARCH(","&amp;TRIM(TEXTSPLIT(DO103,","))&amp;",",","&amp;SUBSTITUTE(input_executive_education_focus," ","")&amp;",")))&gt;0)),IF(DQ103="",TRUE,IF(input_executive_education_focus="",FALSE,SUMPRODUCT(--ISNUMBER(SEARCH(","&amp;TRIM(TEXTSPLIT(DQ103,","))&amp;",",","&amp;SUBSTITUTE(input_executive_education_focus," ","")&amp;",")))=COUNTA(TEXTSPLIT(DQ103,",")))))</f>
        <v/>
      </c>
      <c r="JE103">
        <f>AND(IF(DS103="",TRUE,IF(input_faculty_category="",FALSE,SUMPRODUCT(--ISNUMBER(SEARCH(","&amp;TRIM(TEXTSPLIT(DS103,","))&amp;",",","&amp;SUBSTITUTE(input_faculty_category," ","")&amp;",")))&gt;0)),IF(DU103="",TRUE,IF(input_faculty_category="",FALSE,SUMPRODUCT(--ISNUMBER(SEARCH(","&amp;TRIM(TEXTSPLIT(DU103,","))&amp;",",","&amp;SUBSTITUTE(input_faculty_category," ","")&amp;",")))=COUNTA(TEXTSPLIT(DU103,",")))),IF(DW103="",TRUE,IF(input_faculty_category="",TRUE,SUMPRODUCT(--ISNUMBER(SEARCH(","&amp;TRIM(TEXTSPLIT(DW103,","))&amp;",",","&amp;SUBSTITUTE(input_faculty_category," ","")&amp;",")))=0)),IF(DY103="",TRUE,IF(input_faculty_category="",FALSE,SUMPRODUCT(--ISNUMBER(SEARCH(","&amp;TRIM(TEXTSPLIT(DY103,","))&amp;",",","&amp;SUBSTITUTE(input_faculty_category," ","")&amp;",")))&gt;0)),IF(EA103="",TRUE,IF(input_faculty_category="",FALSE,SUMPRODUCT(--ISNUMBER(SEARCH(","&amp;TRIM(TEXTSPLIT(EA103,","))&amp;",",","&amp;SUBSTITUTE(input_faculty_category," ","")&amp;",")))=COUNTA(TEXTSPLIT(EA103,",")))))</f>
        <v/>
      </c>
      <c r="JF103">
        <f>AND(IF(EC103="",TRUE,IF(input_faculty_discipline="",FALSE,SUMPRODUCT(--ISNUMBER(SEARCH(","&amp;TRIM(TEXTSPLIT(EC103,","))&amp;",",","&amp;SUBSTITUTE(input_faculty_discipline," ","")&amp;",")))&gt;0)),IF(EE103="",TRUE,IF(input_faculty_discipline="",FALSE,SUMPRODUCT(--ISNUMBER(SEARCH(","&amp;TRIM(TEXTSPLIT(EE103,","))&amp;",",","&amp;SUBSTITUTE(input_faculty_discipline," ","")&amp;",")))=COUNTA(TEXTSPLIT(EE103,",")))),IF(EG103="",TRUE,IF(input_faculty_discipline="",TRUE,SUMPRODUCT(--ISNUMBER(SEARCH(","&amp;TRIM(TEXTSPLIT(EG103,","))&amp;",",","&amp;SUBSTITUTE(input_faculty_discipline," ","")&amp;",")))=0)),IF(EI103="",TRUE,IF(input_faculty_discipline="",FALSE,SUMPRODUCT(--ISNUMBER(SEARCH(","&amp;TRIM(TEXTSPLIT(EI103,","))&amp;",",","&amp;SUBSTITUTE(input_faculty_discipline," ","")&amp;",")))&gt;0)),IF(EK103="",TRUE,IF(input_faculty_discipline="",FALSE,SUMPRODUCT(--ISNUMBER(SEARCH(","&amp;TRIM(TEXTSPLIT(EK103,","))&amp;",",","&amp;SUBSTITUTE(input_faculty_discipline," ","")&amp;",")))=COUNTA(TEXTSPLIT(EK103,",")))))</f>
        <v/>
      </c>
      <c r="JG103">
        <f>AND(IF(EM103="",TRUE,IF(input_faculty_expertise="",FALSE,SUMPRODUCT(--ISNUMBER(SEARCH(","&amp;TRIM(TEXTSPLIT(EM103,","))&amp;",",","&amp;SUBSTITUTE(input_faculty_expertise," ","")&amp;",")))&gt;0)),IF(EO103="",TRUE,IF(input_faculty_expertise="",FALSE,SUMPRODUCT(--ISNUMBER(SEARCH(","&amp;TRIM(TEXTSPLIT(EO103,","))&amp;",",","&amp;SUBSTITUTE(input_faculty_expertise," ","")&amp;",")))=COUNTA(TEXTSPLIT(EO103,",")))),IF(EQ103="",TRUE,IF(input_faculty_expertise="",TRUE,SUMPRODUCT(--ISNUMBER(SEARCH(","&amp;TRIM(TEXTSPLIT(EQ103,","))&amp;",",","&amp;SUBSTITUTE(input_faculty_expertise," ","")&amp;",")))=0)),IF(ES103="",TRUE,IF(input_faculty_expertise="",FALSE,SUMPRODUCT(--ISNUMBER(SEARCH(","&amp;TRIM(TEXTSPLIT(ES103,","))&amp;",",","&amp;SUBSTITUTE(input_faculty_expertise," ","")&amp;",")))&gt;0)),IF(EU103="",TRUE,IF(input_faculty_expertise="",FALSE,SUMPRODUCT(--ISNUMBER(SEARCH(","&amp;TRIM(TEXTSPLIT(EU103,","))&amp;",",","&amp;SUBSTITUTE(input_faculty_expertise," ","")&amp;",")))=COUNTA(TEXTSPLIT(EU103,",")))))</f>
        <v/>
      </c>
      <c r="JH103">
        <f>AND(IF(EW103="",TRUE,IF(input_global_network_school="",FALSE,SUMPRODUCT(--ISNUMBER(SEARCH(","&amp;TRIM(TEXTSPLIT(EW103,","))&amp;",",","&amp;SUBSTITUTE(input_global_network_school," ","")&amp;",")))&gt;0)),IF(EY103="",TRUE,IF(input_global_network_school="",FALSE,SUMPRODUCT(--ISNUMBER(SEARCH(","&amp;TRIM(TEXTSPLIT(EY103,","))&amp;",",","&amp;SUBSTITUTE(input_global_network_school," ","")&amp;",")))=COUNTA(TEXTSPLIT(EY103,",")))),IF(FA103="",TRUE,IF(input_global_network_school="",TRUE,SUMPRODUCT(--ISNUMBER(SEARCH(","&amp;TRIM(TEXTSPLIT(FA103,","))&amp;",",","&amp;SUBSTITUTE(input_global_network_school," ","")&amp;",")))=0)),IF(FC103="",TRUE,IF(input_global_network_school="",FALSE,SUMPRODUCT(--ISNUMBER(SEARCH(","&amp;TRIM(TEXTSPLIT(FC103,","))&amp;",",","&amp;SUBSTITUTE(input_global_network_school," ","")&amp;",")))&gt;0)),IF(FE103="",TRUE,IF(input_global_network_school="",FALSE,SUMPRODUCT(--ISNUMBER(SEARCH(","&amp;TRIM(TEXTSPLIT(FE103,","))&amp;",",","&amp;SUBSTITUTE(input_global_network_school," ","")&amp;",")))=COUNTA(TEXTSPLIT(FE103,",")))))</f>
        <v/>
      </c>
      <c r="JI103">
        <f>AND(IF(FG103="",TRUE,IF(input_industry="",FALSE,SUMPRODUCT(--ISNUMBER(SEARCH(","&amp;TRIM(TEXTSPLIT(FG103,","))&amp;",",","&amp;SUBSTITUTE(input_industry," ","")&amp;",")))&gt;0)),IF(FI103="",TRUE,IF(input_industry="",FALSE,SUMPRODUCT(--ISNUMBER(SEARCH(","&amp;TRIM(TEXTSPLIT(FI103,","))&amp;",",","&amp;SUBSTITUTE(input_industry," ","")&amp;",")))=COUNTA(TEXTSPLIT(FI103,",")))),IF(FK103="",TRUE,IF(input_industry="",TRUE,SUMPRODUCT(--ISNUMBER(SEARCH(","&amp;TRIM(TEXTSPLIT(FK103,","))&amp;",",","&amp;SUBSTITUTE(input_industry," ","")&amp;",")))=0)),IF(FM103="",TRUE,IF(input_industry="",FALSE,SUMPRODUCT(--ISNUMBER(SEARCH(","&amp;TRIM(TEXTSPLIT(FM103,","))&amp;",",","&amp;SUBSTITUTE(input_industry," ","")&amp;",")))&gt;0)),IF(FO103="",TRUE,IF(input_industry="",FALSE,SUMPRODUCT(--ISNUMBER(SEARCH(","&amp;TRIM(TEXTSPLIT(FO103,","))&amp;",",","&amp;SUBSTITUTE(input_industry," ","")&amp;",")))=COUNTA(TEXTSPLIT(FO103,",")))))</f>
        <v/>
      </c>
      <c r="JJ103">
        <f>AND(IF(FQ103="",TRUE,IF(input_location="",FALSE,SUMPRODUCT(--ISNUMBER(SEARCH(","&amp;TRIM(TEXTSPLIT(FQ103,","))&amp;",",","&amp;SUBSTITUTE(input_location," ","")&amp;",")))&gt;0)),IF(FS103="",TRUE,IF(input_location="",FALSE,SUMPRODUCT(--ISNUMBER(SEARCH(","&amp;TRIM(TEXTSPLIT(FS103,","))&amp;",",","&amp;SUBSTITUTE(input_location," ","")&amp;",")))=COUNTA(TEXTSPLIT(FS103,",")))),IF(FU103="",TRUE,IF(input_location="",TRUE,SUMPRODUCT(--ISNUMBER(SEARCH(","&amp;TRIM(TEXTSPLIT(FU103,","))&amp;",",","&amp;SUBSTITUTE(input_location," ","")&amp;",")))=0)),IF(FW103="",TRUE,IF(input_location="",FALSE,SUMPRODUCT(--ISNUMBER(SEARCH(","&amp;TRIM(TEXTSPLIT(FW103,","))&amp;",",","&amp;SUBSTITUTE(input_location," ","")&amp;",")))&gt;0)),IF(FY103="",TRUE,IF(input_location="",FALSE,SUMPRODUCT(--ISNUMBER(SEARCH(","&amp;TRIM(TEXTSPLIT(FY103,","))&amp;",",","&amp;SUBSTITUTE(input_location," ","")&amp;",")))=COUNTA(TEXTSPLIT(FY103,",")))))</f>
        <v/>
      </c>
      <c r="JK103">
        <f>AND(IF(GA103="",TRUE,IF(input_modality="",FALSE,SUMPRODUCT(--ISNUMBER(SEARCH(","&amp;TRIM(TEXTSPLIT(GA103,","))&amp;",",","&amp;SUBSTITUTE(input_modality," ","")&amp;",")))&gt;0)),IF(GC103="",TRUE,IF(input_modality="",FALSE,SUMPRODUCT(--ISNUMBER(SEARCH(","&amp;TRIM(TEXTSPLIT(GC103,","))&amp;",",","&amp;SUBSTITUTE(input_modality," ","")&amp;",")))=COUNTA(TEXTSPLIT(GC103,",")))),IF(GE103="",TRUE,IF(input_modality="",TRUE,SUMPRODUCT(--ISNUMBER(SEARCH(","&amp;TRIM(TEXTSPLIT(GE103,","))&amp;",",","&amp;SUBSTITUTE(input_modality," ","")&amp;",")))=0)),IF(GG103="",TRUE,IF(input_modality="",FALSE,SUMPRODUCT(--ISNUMBER(SEARCH(","&amp;TRIM(TEXTSPLIT(GG103,","))&amp;",",","&amp;SUBSTITUTE(input_modality," ","")&amp;",")))&gt;0)),IF(GI103="",TRUE,IF(input_modality="",FALSE,SUMPRODUCT(--ISNUMBER(SEARCH(","&amp;TRIM(TEXTSPLIT(GI103,","))&amp;",",","&amp;SUBSTITUTE(input_modality," ","")&amp;",")))=COUNTA(TEXTSPLIT(GI103,",")))))</f>
        <v/>
      </c>
      <c r="JL103">
        <f>AND(IF(GK103="",TRUE,IF(input_organizer="",FALSE,SUMPRODUCT(--ISNUMBER(SEARCH(","&amp;TRIM(TEXTSPLIT(GK103,","))&amp;",",","&amp;SUBSTITUTE(input_organizer," ","")&amp;",")))&gt;0)),IF(GM103="",TRUE,IF(input_organizer="",FALSE,SUMPRODUCT(--ISNUMBER(SEARCH(","&amp;TRIM(TEXTSPLIT(GM103,","))&amp;",",","&amp;SUBSTITUTE(input_organizer," ","")&amp;",")))=COUNTA(TEXTSPLIT(GM103,",")))),IF(GO103="",TRUE,IF(input_organizer="",TRUE,SUMPRODUCT(--ISNUMBER(SEARCH(","&amp;TRIM(TEXTSPLIT(GO103,","))&amp;",",","&amp;SUBSTITUTE(input_organizer," ","")&amp;",")))=0)),IF(GQ103="",TRUE,IF(input_organizer="",FALSE,SUMPRODUCT(--ISNUMBER(SEARCH(","&amp;TRIM(TEXTSPLIT(GQ103,","))&amp;",",","&amp;SUBSTITUTE(input_organizer," ","")&amp;",")))&gt;0)),IF(GS103="",TRUE,IF(input_organizer="",FALSE,SUMPRODUCT(--ISNUMBER(SEARCH(","&amp;TRIM(TEXTSPLIT(GS103,","))&amp;",",","&amp;SUBSTITUTE(input_organizer," ","")&amp;",")))=COUNTA(TEXTSPLIT(GS103,",")))))</f>
        <v/>
      </c>
      <c r="JM103">
        <f>AND(IF(GU103="",TRUE,IF(input_profile_type="",FALSE,SUMPRODUCT(--ISNUMBER(SEARCH(","&amp;TRIM(TEXTSPLIT(GU103,","))&amp;",",","&amp;SUBSTITUTE(input_profile_type," ","")&amp;",")))&gt;0)),IF(GW103="",TRUE,IF(input_profile_type="",FALSE,SUMPRODUCT(--ISNUMBER(SEARCH(","&amp;TRIM(TEXTSPLIT(GW103,","))&amp;",",","&amp;SUBSTITUTE(input_profile_type," ","")&amp;",")))=COUNTA(TEXTSPLIT(GW103,",")))),IF(GY103="",TRUE,IF(input_profile_type="",TRUE,SUMPRODUCT(--ISNUMBER(SEARCH(","&amp;TRIM(TEXTSPLIT(GY103,","))&amp;",",","&amp;SUBSTITUTE(input_profile_type," ","")&amp;",")))=0)),IF(HA103="",TRUE,IF(input_profile_type="",FALSE,SUMPRODUCT(--ISNUMBER(SEARCH(","&amp;TRIM(TEXTSPLIT(HA103,","))&amp;",",","&amp;SUBSTITUTE(input_profile_type," ","")&amp;",")))&gt;0)),IF(HC103="",TRUE,IF(input_profile_type="",FALSE,SUMPRODUCT(--ISNUMBER(SEARCH(","&amp;TRIM(TEXTSPLIT(HC103,","))&amp;",",","&amp;SUBSTITUTE(input_profile_type," ","")&amp;",")))=COUNTA(TEXTSPLIT(HC103,",")))))</f>
        <v/>
      </c>
      <c r="JN103">
        <f>AND(IF(HE103="",TRUE,IF(input_program="",FALSE,SUMPRODUCT(--ISNUMBER(SEARCH(","&amp;TRIM(TEXTSPLIT(HE103,","))&amp;",",","&amp;SUBSTITUTE(input_program," ","")&amp;",")))&gt;0)),IF(HG103="",TRUE,IF(input_program="",FALSE,SUMPRODUCT(--ISNUMBER(SEARCH(","&amp;TRIM(TEXTSPLIT(HG103,","))&amp;",",","&amp;SUBSTITUTE(input_program," ","")&amp;",")))=COUNTA(TEXTSPLIT(HG103,",")))),IF(HI103="",TRUE,IF(input_program="",TRUE,SUMPRODUCT(--ISNUMBER(SEARCH(","&amp;TRIM(TEXTSPLIT(HI103,","))&amp;",",","&amp;SUBSTITUTE(input_program," ","")&amp;",")))=0)),IF(HK103="",TRUE,IF(input_program="",FALSE,SUMPRODUCT(--ISNUMBER(SEARCH(","&amp;TRIM(TEXTSPLIT(HK103,","))&amp;",",","&amp;SUBSTITUTE(input_program," ","")&amp;",")))&gt;0)),IF(HM103="",TRUE,IF(input_program="",FALSE,SUMPRODUCT(--ISNUMBER(SEARCH(","&amp;TRIM(TEXTSPLIT(HM103,","))&amp;",",","&amp;SUBSTITUTE(input_program," ","")&amp;",")))=COUNTA(TEXTSPLIT(HM103,",")))))</f>
        <v/>
      </c>
      <c r="JO103">
        <f>AND(IF(HO103="",TRUE,IF(input_story_categories="",FALSE,SUMPRODUCT(--ISNUMBER(SEARCH(","&amp;TRIM(TEXTSPLIT(HO103,","))&amp;",",","&amp;SUBSTITUTE(input_story_categories," ","")&amp;",")))&gt;0)),IF(HQ103="",TRUE,IF(input_story_categories="",FALSE,SUMPRODUCT(--ISNUMBER(SEARCH(","&amp;TRIM(TEXTSPLIT(HQ103,","))&amp;",",","&amp;SUBSTITUTE(input_story_categories," ","")&amp;",")))=COUNTA(TEXTSPLIT(HQ103,",")))),IF(HS103="",TRUE,IF(input_story_categories="",TRUE,SUMPRODUCT(--ISNUMBER(SEARCH(","&amp;TRIM(TEXTSPLIT(HS103,","))&amp;",",","&amp;SUBSTITUTE(input_story_categories," ","")&amp;",")))=0)),IF(HU103="",TRUE,IF(input_story_categories="",FALSE,SUMPRODUCT(--ISNUMBER(SEARCH(","&amp;TRIM(TEXTSPLIT(HU103,","))&amp;",",","&amp;SUBSTITUTE(input_story_categories," ","")&amp;",")))&gt;0)),IF(HW103="",TRUE,IF(input_story_categories="",FALSE,SUMPRODUCT(--ISNUMBER(SEARCH(","&amp;TRIM(TEXTSPLIT(HW103,","))&amp;",",","&amp;SUBSTITUTE(input_story_categories," ","")&amp;",")))=COUNTA(TEXTSPLIT(HW103,",")))))</f>
        <v/>
      </c>
      <c r="JP103">
        <f>AND(IF(HY103="",TRUE,IF(input_story_type="",FALSE,SUMPRODUCT(--ISNUMBER(SEARCH(","&amp;TRIM(TEXTSPLIT(HY103,","))&amp;",",","&amp;SUBSTITUTE(input_story_type," ","")&amp;",")))&gt;0)),IF(IA103="",TRUE,IF(input_story_type="",FALSE,SUMPRODUCT(--ISNUMBER(SEARCH(","&amp;TRIM(TEXTSPLIT(IA103,","))&amp;",",","&amp;SUBSTITUTE(input_story_type," ","")&amp;",")))=COUNTA(TEXTSPLIT(IA103,",")))),IF(IC103="",TRUE,IF(input_story_type="",TRUE,SUMPRODUCT(--ISNUMBER(SEARCH(","&amp;TRIM(TEXTSPLIT(IC103,","))&amp;",",","&amp;SUBSTITUTE(input_story_type," ","")&amp;",")))=0)),IF(IE103="",TRUE,IF(input_story_type="",FALSE,SUMPRODUCT(--ISNUMBER(SEARCH(","&amp;TRIM(TEXTSPLIT(IE103,","))&amp;",",","&amp;SUBSTITUTE(input_story_type," ","")&amp;",")))&gt;0)),IF(IG103="",TRUE,IF(input_story_type="",FALSE,SUMPRODUCT(--ISNUMBER(SEARCH(","&amp;TRIM(TEXTSPLIT(IG103,","))&amp;",",","&amp;SUBSTITUTE(input_story_type," ","")&amp;",")))=COUNTA(TEXTSPLIT(IG103,",")))))</f>
        <v/>
      </c>
      <c r="JQ103">
        <f>AND(IF(II103="",TRUE,IF(input_topics="",FALSE,SUMPRODUCT(--ISNUMBER(SEARCH(","&amp;TRIM(TEXTSPLIT(II103,","))&amp;",",","&amp;SUBSTITUTE(input_topics," ","")&amp;",")))&gt;0)),IF(IK103="",TRUE,IF(input_topics="",FALSE,SUMPRODUCT(--ISNUMBER(SEARCH(","&amp;TRIM(TEXTSPLIT(IK103,","))&amp;",",","&amp;SUBSTITUTE(input_topics," ","")&amp;",")))=COUNTA(TEXTSPLIT(IK103,",")))),IF(IM103="",TRUE,IF(input_topics="",TRUE,SUMPRODUCT(--ISNUMBER(SEARCH(","&amp;TRIM(TEXTSPLIT(IM103,","))&amp;",",","&amp;SUBSTITUTE(input_topics," ","")&amp;",")))=0)),IF(IO103="",TRUE,IF(input_topics="",FALSE,SUMPRODUCT(--ISNUMBER(SEARCH(","&amp;TRIM(TEXTSPLIT(IO103,","))&amp;",",","&amp;SUBSTITUTE(input_topics," ","")&amp;",")))&gt;0)),IF(IQ103="",TRUE,IF(input_topics="",FALSE,SUMPRODUCT(--ISNUMBER(SEARCH(","&amp;TRIM(TEXTSPLIT(IQ103,","))&amp;",",","&amp;SUBSTITUTE(input_topics," ","")&amp;",")))=COUNTA(TEXTSPLIT(IQ103,",")))))</f>
        <v/>
      </c>
    </row>
    <row r="104">
      <c r="A104" s="4">
        <f>IF(NOT(IS104),"Excluded",IF(AND(IT104,IU104,IV104,IW104,IX104,IY104,IZ104,JA104,JB104,JC104,JD104,JE104,JF104,JG104,JH104,JI104,JJ104,JK104,JL104,JM104,JN104,JO104,JP104,JQ104),IF(I104&gt;0,"Eligible but limited","Will appear"),"Excluded"))</f>
        <v/>
      </c>
      <c r="B104" s="4" t="inlineStr">
        <is>
          <t>Events</t>
        </is>
      </c>
      <c r="C104" s="4" t="inlineStr">
        <is>
          <t>/programs/emba</t>
        </is>
      </c>
      <c r="D104" s="4" t="inlineStr">
        <is>
          <t>/programs/emba</t>
        </is>
      </c>
      <c r="E104" s="4" t="n">
        <v>1</v>
      </c>
      <c r="F104" s="4" t="inlineStr">
        <is>
          <t>event</t>
        </is>
      </c>
      <c r="G104" s="4" t="inlineStr">
        <is>
          <t>event_teaser_list</t>
        </is>
      </c>
      <c r="H104" s="4" t="inlineStr">
        <is>
          <t>embed_1</t>
        </is>
      </c>
      <c r="I104" s="4" t="n">
        <v>3</v>
      </c>
      <c r="J104" s="4" t="inlineStr">
        <is>
          <t>Section inferred</t>
        </is>
      </c>
      <c r="K104" s="4" t="inlineStr">
        <is>
          <t>Page placement</t>
        </is>
      </c>
      <c r="L104" s="4" t="inlineStr">
        <is>
          <t>Content type: event; Context uses Courses Context: MBA For Executives (928); Limited to 3 item(s); Source: Section inferred</t>
        </is>
      </c>
      <c r="M104" t="inlineStr"/>
      <c r="N104" t="inlineStr"/>
      <c r="O104" t="inlineStr"/>
      <c r="P104" t="inlineStr"/>
      <c r="Q104" t="inlineStr"/>
      <c r="R104" t="inlineStr"/>
      <c r="S104" t="inlineStr"/>
      <c r="T104" t="inlineStr"/>
      <c r="U104" t="inlineStr"/>
      <c r="V104" t="inlineStr"/>
      <c r="W104" t="inlineStr"/>
      <c r="X104" t="inlineStr"/>
      <c r="Y104" t="inlineStr"/>
      <c r="Z104" t="inlineStr"/>
      <c r="AA104" t="inlineStr"/>
      <c r="AB104" t="inlineStr"/>
      <c r="AC104" t="inlineStr"/>
      <c r="AD104" t="inlineStr"/>
      <c r="AE104" t="inlineStr"/>
      <c r="AF104" t="inlineStr"/>
      <c r="AG104" t="inlineStr"/>
      <c r="AH104" t="inlineStr"/>
      <c r="AI104" t="inlineStr"/>
      <c r="AJ104" t="inlineStr"/>
      <c r="AK104" t="inlineStr"/>
      <c r="AL104" t="inlineStr"/>
      <c r="AM104" t="inlineStr"/>
      <c r="AN104" t="inlineStr"/>
      <c r="AO104" t="inlineStr"/>
      <c r="AP104" t="inlineStr"/>
      <c r="AQ104" t="inlineStr"/>
      <c r="AR104" t="inlineStr"/>
      <c r="AS104" t="inlineStr"/>
      <c r="AT104" t="inlineStr"/>
      <c r="AU104" t="inlineStr"/>
      <c r="AV104" t="inlineStr"/>
      <c r="AW104" t="inlineStr"/>
      <c r="AX104" t="inlineStr"/>
      <c r="AY104" t="inlineStr"/>
      <c r="AZ104" t="inlineStr"/>
      <c r="BA104" t="inlineStr"/>
      <c r="BB104" t="inlineStr"/>
      <c r="BC104" t="inlineStr"/>
      <c r="BD104" t="inlineStr"/>
      <c r="BE104" t="inlineStr"/>
      <c r="BF104" t="inlineStr"/>
      <c r="BG104" t="inlineStr"/>
      <c r="BH104" t="inlineStr"/>
      <c r="BI104" t="inlineStr"/>
      <c r="BJ104" t="inlineStr"/>
      <c r="BK104" t="inlineStr"/>
      <c r="BL104" t="inlineStr"/>
      <c r="BM104" t="inlineStr"/>
      <c r="BN104" t="inlineStr"/>
      <c r="BO104" t="inlineStr"/>
      <c r="BP104" t="inlineStr"/>
      <c r="BQ104" t="inlineStr">
        <is>
          <t>928</t>
        </is>
      </c>
      <c r="BR104" t="inlineStr">
        <is>
          <t>MBA For Executives (928)</t>
        </is>
      </c>
      <c r="BS104" t="inlineStr"/>
      <c r="BT104" t="inlineStr"/>
      <c r="BU104" t="inlineStr"/>
      <c r="BV104" t="inlineStr"/>
      <c r="BW104" t="inlineStr"/>
      <c r="BX104" t="inlineStr"/>
      <c r="BY104" t="inlineStr"/>
      <c r="BZ104" t="inlineStr"/>
      <c r="CA104" t="inlineStr"/>
      <c r="CB104" t="inlineStr"/>
      <c r="CC104" t="inlineStr"/>
      <c r="CD104" t="inlineStr"/>
      <c r="CE104" t="inlineStr"/>
      <c r="CF104" t="inlineStr"/>
      <c r="CG104" t="inlineStr"/>
      <c r="CH104" t="inlineStr"/>
      <c r="CI104" t="inlineStr"/>
      <c r="CJ104" t="inlineStr"/>
      <c r="CK104" t="inlineStr"/>
      <c r="CL104" t="inlineStr"/>
      <c r="CM104" t="inlineStr"/>
      <c r="CN104" t="inlineStr"/>
      <c r="CO104" t="inlineStr"/>
      <c r="CP104" t="inlineStr"/>
      <c r="CQ104" t="inlineStr"/>
      <c r="CR104" t="inlineStr"/>
      <c r="CS104" t="inlineStr"/>
      <c r="CT104" t="inlineStr"/>
      <c r="CU104" t="inlineStr"/>
      <c r="CV104" t="inlineStr"/>
      <c r="CW104" t="inlineStr"/>
      <c r="CX104" t="inlineStr"/>
      <c r="CY104" t="inlineStr"/>
      <c r="CZ104" t="inlineStr"/>
      <c r="DA104" t="inlineStr"/>
      <c r="DB104" t="inlineStr"/>
      <c r="DC104" t="inlineStr"/>
      <c r="DD104" t="inlineStr"/>
      <c r="DE104" t="inlineStr"/>
      <c r="DF104" t="inlineStr"/>
      <c r="DG104" t="inlineStr"/>
      <c r="DH104" t="inlineStr"/>
      <c r="DI104" t="inlineStr"/>
      <c r="DJ104" t="inlineStr"/>
      <c r="DK104" t="inlineStr"/>
      <c r="DL104" t="inlineStr"/>
      <c r="DM104" t="inlineStr"/>
      <c r="DN104" t="inlineStr"/>
      <c r="DO104" t="inlineStr"/>
      <c r="DP104" t="inlineStr"/>
      <c r="DQ104" t="inlineStr"/>
      <c r="DR104" t="inlineStr"/>
      <c r="DS104" t="inlineStr"/>
      <c r="DT104" t="inlineStr"/>
      <c r="DU104" t="inlineStr"/>
      <c r="DV104" t="inlineStr"/>
      <c r="DW104" t="inlineStr"/>
      <c r="DX104" t="inlineStr"/>
      <c r="DY104" t="inlineStr"/>
      <c r="DZ104" t="inlineStr"/>
      <c r="EA104" t="inlineStr"/>
      <c r="EB104" t="inlineStr"/>
      <c r="EC104" t="inlineStr"/>
      <c r="ED104" t="inlineStr"/>
      <c r="EE104" t="inlineStr"/>
      <c r="EF104" t="inlineStr"/>
      <c r="EG104" t="inlineStr"/>
      <c r="EH104" t="inlineStr"/>
      <c r="EI104" t="inlineStr"/>
      <c r="EJ104" t="inlineStr"/>
      <c r="EK104" t="inlineStr"/>
      <c r="EL104" t="inlineStr"/>
      <c r="EM104" t="inlineStr"/>
      <c r="EN104" t="inlineStr"/>
      <c r="EO104" t="inlineStr"/>
      <c r="EP104" t="inlineStr"/>
      <c r="EQ104" t="inlineStr"/>
      <c r="ER104" t="inlineStr"/>
      <c r="ES104" t="inlineStr"/>
      <c r="ET104" t="inlineStr"/>
      <c r="EU104" t="inlineStr"/>
      <c r="EV104" t="inlineStr"/>
      <c r="EW104" t="inlineStr"/>
      <c r="EX104" t="inlineStr"/>
      <c r="EY104" t="inlineStr"/>
      <c r="EZ104" t="inlineStr"/>
      <c r="FA104" t="inlineStr"/>
      <c r="FB104" t="inlineStr"/>
      <c r="FC104" t="inlineStr"/>
      <c r="FD104" t="inlineStr"/>
      <c r="FE104" t="inlineStr"/>
      <c r="FF104" t="inlineStr"/>
      <c r="FG104" t="inlineStr"/>
      <c r="FH104" t="inlineStr"/>
      <c r="FI104" t="inlineStr"/>
      <c r="FJ104" t="inlineStr"/>
      <c r="FK104" t="inlineStr"/>
      <c r="FL104" t="inlineStr"/>
      <c r="FM104" t="inlineStr"/>
      <c r="FN104" t="inlineStr"/>
      <c r="FO104" t="inlineStr"/>
      <c r="FP104" t="inlineStr"/>
      <c r="FQ104" t="inlineStr"/>
      <c r="FR104" t="inlineStr"/>
      <c r="FS104" t="inlineStr"/>
      <c r="FT104" t="inlineStr"/>
      <c r="FU104" t="inlineStr"/>
      <c r="FV104" t="inlineStr"/>
      <c r="FW104" t="inlineStr"/>
      <c r="FX104" t="inlineStr"/>
      <c r="FY104" t="inlineStr"/>
      <c r="FZ104" t="inlineStr"/>
      <c r="GA104" t="inlineStr"/>
      <c r="GB104" t="inlineStr"/>
      <c r="GC104" t="inlineStr"/>
      <c r="GD104" t="inlineStr"/>
      <c r="GE104" t="inlineStr"/>
      <c r="GF104" t="inlineStr"/>
      <c r="GG104" t="inlineStr"/>
      <c r="GH104" t="inlineStr"/>
      <c r="GI104" t="inlineStr"/>
      <c r="GJ104" t="inlineStr"/>
      <c r="GK104" t="inlineStr"/>
      <c r="GL104" t="inlineStr"/>
      <c r="GM104" t="inlineStr"/>
      <c r="GN104" t="inlineStr"/>
      <c r="GO104" t="inlineStr"/>
      <c r="GP104" t="inlineStr"/>
      <c r="GQ104" t="inlineStr"/>
      <c r="GR104" t="inlineStr"/>
      <c r="GS104" t="inlineStr"/>
      <c r="GT104" t="inlineStr"/>
      <c r="GU104" t="inlineStr"/>
      <c r="GV104" t="inlineStr"/>
      <c r="GW104" t="inlineStr"/>
      <c r="GX104" t="inlineStr"/>
      <c r="GY104" t="inlineStr"/>
      <c r="GZ104" t="inlineStr"/>
      <c r="HA104" t="inlineStr"/>
      <c r="HB104" t="inlineStr"/>
      <c r="HC104" t="inlineStr"/>
      <c r="HD104" t="inlineStr"/>
      <c r="HE104" t="inlineStr"/>
      <c r="HF104" t="inlineStr"/>
      <c r="HG104" t="inlineStr"/>
      <c r="HH104" t="inlineStr"/>
      <c r="HI104" t="inlineStr"/>
      <c r="HJ104" t="inlineStr"/>
      <c r="HK104" t="inlineStr"/>
      <c r="HL104" t="inlineStr"/>
      <c r="HM104" t="inlineStr"/>
      <c r="HN104" t="inlineStr"/>
      <c r="HO104" t="inlineStr"/>
      <c r="HP104" t="inlineStr"/>
      <c r="HQ104" t="inlineStr"/>
      <c r="HR104" t="inlineStr"/>
      <c r="HS104" t="inlineStr"/>
      <c r="HT104" t="inlineStr"/>
      <c r="HU104" t="inlineStr"/>
      <c r="HV104" t="inlineStr"/>
      <c r="HW104" t="inlineStr"/>
      <c r="HX104" t="inlineStr"/>
      <c r="HY104" t="inlineStr"/>
      <c r="HZ104" t="inlineStr"/>
      <c r="IA104" t="inlineStr"/>
      <c r="IB104" t="inlineStr"/>
      <c r="IC104" t="inlineStr"/>
      <c r="ID104" t="inlineStr"/>
      <c r="IE104" t="inlineStr"/>
      <c r="IF104" t="inlineStr"/>
      <c r="IG104" t="inlineStr"/>
      <c r="IH104" t="inlineStr"/>
      <c r="II104" t="inlineStr"/>
      <c r="IJ104" t="inlineStr"/>
      <c r="IK104" t="inlineStr"/>
      <c r="IL104" t="inlineStr"/>
      <c r="IM104" t="inlineStr"/>
      <c r="IN104" t="inlineStr"/>
      <c r="IO104" t="inlineStr"/>
      <c r="IP104" t="inlineStr"/>
      <c r="IQ104" t="inlineStr"/>
      <c r="IR104" t="inlineStr"/>
      <c r="IS104">
        <f>IF(input_content_type="",FALSE,ISNUMBER(SEARCH(","&amp;LOWER(input_content_type)&amp;",",","&amp;LOWER(F104)&amp;",")))</f>
        <v/>
      </c>
      <c r="IT104">
        <f>AND(IF(M104="",TRUE,IF(input_affiliations="",FALSE,SUMPRODUCT(--ISNUMBER(SEARCH(","&amp;TRIM(TEXTSPLIT(M104,","))&amp;",",","&amp;SUBSTITUTE(input_affiliations," ","")&amp;",")))&gt;0)),IF(O104="",TRUE,IF(input_affiliations="",FALSE,SUMPRODUCT(--ISNUMBER(SEARCH(","&amp;TRIM(TEXTSPLIT(O104,","))&amp;",",","&amp;SUBSTITUTE(input_affiliations," ","")&amp;",")))=COUNTA(TEXTSPLIT(O104,",")))),IF(Q104="",TRUE,IF(input_affiliations="",TRUE,SUMPRODUCT(--ISNUMBER(SEARCH(","&amp;TRIM(TEXTSPLIT(Q104,","))&amp;",",","&amp;SUBSTITUTE(input_affiliations," ","")&amp;",")))=0)),IF(S104="",TRUE,IF(input_affiliations="",FALSE,SUMPRODUCT(--ISNUMBER(SEARCH(","&amp;TRIM(TEXTSPLIT(S104,","))&amp;",",","&amp;SUBSTITUTE(input_affiliations," ","")&amp;",")))&gt;0)),IF(U104="",TRUE,IF(input_affiliations="",FALSE,SUMPRODUCT(--ISNUMBER(SEARCH(","&amp;TRIM(TEXTSPLIT(U104,","))&amp;",",","&amp;SUBSTITUTE(input_affiliations," ","")&amp;",")))=COUNTA(TEXTSPLIT(U104,",")))))</f>
        <v/>
      </c>
      <c r="IU104">
        <f>AND(IF(W104="",TRUE,IF(input_announcement_category="",FALSE,SUMPRODUCT(--ISNUMBER(SEARCH(","&amp;TRIM(TEXTSPLIT(W104,","))&amp;",",","&amp;SUBSTITUTE(input_announcement_category," ","")&amp;",")))&gt;0)),IF(Y104="",TRUE,IF(input_announcement_category="",FALSE,SUMPRODUCT(--ISNUMBER(SEARCH(","&amp;TRIM(TEXTSPLIT(Y104,","))&amp;",",","&amp;SUBSTITUTE(input_announcement_category," ","")&amp;",")))=COUNTA(TEXTSPLIT(Y104,",")))),IF(AA104="",TRUE,IF(input_announcement_category="",TRUE,SUMPRODUCT(--ISNUMBER(SEARCH(","&amp;TRIM(TEXTSPLIT(AA104,","))&amp;",",","&amp;SUBSTITUTE(input_announcement_category," ","")&amp;",")))=0)),IF(AC104="",TRUE,IF(input_announcement_category="",FALSE,SUMPRODUCT(--ISNUMBER(SEARCH(","&amp;TRIM(TEXTSPLIT(AC104,","))&amp;",",","&amp;SUBSTITUTE(input_announcement_category," ","")&amp;",")))&gt;0)),IF(AE104="",TRUE,IF(input_announcement_category="",FALSE,SUMPRODUCT(--ISNUMBER(SEARCH(","&amp;TRIM(TEXTSPLIT(AE104,","))&amp;",",","&amp;SUBSTITUTE(input_announcement_category," ","")&amp;",")))=COUNTA(TEXTSPLIT(AE104,",")))))</f>
        <v/>
      </c>
      <c r="IV104">
        <f>AND(IF(AG104="",TRUE,IF(input_area_of_focus="",FALSE,SUMPRODUCT(--ISNUMBER(SEARCH(","&amp;TRIM(TEXTSPLIT(AG104,","))&amp;",",","&amp;SUBSTITUTE(input_area_of_focus," ","")&amp;",")))&gt;0)),IF(AI104="",TRUE,IF(input_area_of_focus="",FALSE,SUMPRODUCT(--ISNUMBER(SEARCH(","&amp;TRIM(TEXTSPLIT(AI104,","))&amp;",",","&amp;SUBSTITUTE(input_area_of_focus," ","")&amp;",")))=COUNTA(TEXTSPLIT(AI104,",")))),IF(AK104="",TRUE,IF(input_area_of_focus="",TRUE,SUMPRODUCT(--ISNUMBER(SEARCH(","&amp;TRIM(TEXTSPLIT(AK104,","))&amp;",",","&amp;SUBSTITUTE(input_area_of_focus," ","")&amp;",")))=0)),IF(AM104="",TRUE,IF(input_area_of_focus="",FALSE,SUMPRODUCT(--ISNUMBER(SEARCH(","&amp;TRIM(TEXTSPLIT(AM104,","))&amp;",",","&amp;SUBSTITUTE(input_area_of_focus," ","")&amp;",")))&gt;0)),IF(AO104="",TRUE,IF(input_area_of_focus="",FALSE,SUMPRODUCT(--ISNUMBER(SEARCH(","&amp;TRIM(TEXTSPLIT(AO104,","))&amp;",",","&amp;SUBSTITUTE(input_area_of_focus," ","")&amp;",")))=COUNTA(TEXTSPLIT(AO104,",")))))</f>
        <v/>
      </c>
      <c r="IW104">
        <f>AND(IF(AQ104="",TRUE,IF(input_audience="",FALSE,SUMPRODUCT(--ISNUMBER(SEARCH(","&amp;TRIM(TEXTSPLIT(AQ104,","))&amp;",",","&amp;SUBSTITUTE(input_audience," ","")&amp;",")))&gt;0)),IF(AS104="",TRUE,IF(input_audience="",FALSE,SUMPRODUCT(--ISNUMBER(SEARCH(","&amp;TRIM(TEXTSPLIT(AS104,","))&amp;",",","&amp;SUBSTITUTE(input_audience," ","")&amp;",")))=COUNTA(TEXTSPLIT(AS104,",")))),IF(AU104="",TRUE,IF(input_audience="",TRUE,SUMPRODUCT(--ISNUMBER(SEARCH(","&amp;TRIM(TEXTSPLIT(AU104,","))&amp;",",","&amp;SUBSTITUTE(input_audience," ","")&amp;",")))=0)),IF(AW104="",TRUE,IF(input_audience="",FALSE,SUMPRODUCT(--ISNUMBER(SEARCH(","&amp;TRIM(TEXTSPLIT(AW104,","))&amp;",",","&amp;SUBSTITUTE(input_audience," ","")&amp;",")))&gt;0)),IF(AY104="",TRUE,IF(input_audience="",FALSE,SUMPRODUCT(--ISNUMBER(SEARCH(","&amp;TRIM(TEXTSPLIT(AY104,","))&amp;",",","&amp;SUBSTITUTE(input_audience," ","")&amp;",")))=COUNTA(TEXTSPLIT(AY104,",")))))</f>
        <v/>
      </c>
      <c r="IX104">
        <f>AND(IF(BA104="",TRUE,IF(input_challenge_opportunities="",FALSE,SUMPRODUCT(--ISNUMBER(SEARCH(","&amp;TRIM(TEXTSPLIT(BA104,","))&amp;",",","&amp;SUBSTITUTE(input_challenge_opportunities," ","")&amp;",")))&gt;0)),IF(BC104="",TRUE,IF(input_challenge_opportunities="",FALSE,SUMPRODUCT(--ISNUMBER(SEARCH(","&amp;TRIM(TEXTSPLIT(BC104,","))&amp;",",","&amp;SUBSTITUTE(input_challenge_opportunities," ","")&amp;",")))=COUNTA(TEXTSPLIT(BC104,",")))),IF(BE104="",TRUE,IF(input_challenge_opportunities="",TRUE,SUMPRODUCT(--ISNUMBER(SEARCH(","&amp;TRIM(TEXTSPLIT(BE104,","))&amp;",",","&amp;SUBSTITUTE(input_challenge_opportunities," ","")&amp;",")))=0)),IF(BG104="",TRUE,IF(input_challenge_opportunities="",FALSE,SUMPRODUCT(--ISNUMBER(SEARCH(","&amp;TRIM(TEXTSPLIT(BG104,","))&amp;",",","&amp;SUBSTITUTE(input_challenge_opportunities," ","")&amp;",")))&gt;0)),IF(BI104="",TRUE,IF(input_challenge_opportunities="",FALSE,SUMPRODUCT(--ISNUMBER(SEARCH(","&amp;TRIM(TEXTSPLIT(BI104,","))&amp;",",","&amp;SUBSTITUTE(input_challenge_opportunities," ","")&amp;",")))=COUNTA(TEXTSPLIT(BI104,",")))))</f>
        <v/>
      </c>
      <c r="IY104">
        <f>AND(IF(BK104="",TRUE,IF(input_context="",FALSE,SUMPRODUCT(--ISNUMBER(SEARCH(","&amp;TRIM(TEXTSPLIT(BK104,","))&amp;",",","&amp;SUBSTITUTE(input_context," ","")&amp;",")))&gt;0)),IF(BM104="",TRUE,IF(input_context="",FALSE,SUMPRODUCT(--ISNUMBER(SEARCH(","&amp;TRIM(TEXTSPLIT(BM104,","))&amp;",",","&amp;SUBSTITUTE(input_context," ","")&amp;",")))=COUNTA(TEXTSPLIT(BM104,",")))),IF(BO104="",TRUE,IF(input_context="",TRUE,SUMPRODUCT(--ISNUMBER(SEARCH(","&amp;TRIM(TEXTSPLIT(BO104,","))&amp;",",","&amp;SUBSTITUTE(input_context," ","")&amp;",")))=0)),IF(BQ104="",TRUE,IF(input_context="",FALSE,SUMPRODUCT(--ISNUMBER(SEARCH(","&amp;TRIM(TEXTSPLIT(BQ104,","))&amp;",",","&amp;SUBSTITUTE(input_context," ","")&amp;",")))&gt;0)),IF(BS104="",TRUE,IF(input_context="",FALSE,SUMPRODUCT(--ISNUMBER(SEARCH(","&amp;TRIM(TEXTSPLIT(BS104,","))&amp;",",","&amp;SUBSTITUTE(input_context," ","")&amp;",")))=COUNTA(TEXTSPLIT(BS104,",")))))</f>
        <v/>
      </c>
      <c r="IZ104">
        <f>AND(IF(BU104="",TRUE,IF(input_enews_announcement_type="",FALSE,SUMPRODUCT(--ISNUMBER(SEARCH(","&amp;TRIM(TEXTSPLIT(BU104,","))&amp;",",","&amp;SUBSTITUTE(input_enews_announcement_type," ","")&amp;",")))&gt;0)),IF(BW104="",TRUE,IF(input_enews_announcement_type="",FALSE,SUMPRODUCT(--ISNUMBER(SEARCH(","&amp;TRIM(TEXTSPLIT(BW104,","))&amp;",",","&amp;SUBSTITUTE(input_enews_announcement_type," ","")&amp;",")))=COUNTA(TEXTSPLIT(BW104,",")))),IF(BY104="",TRUE,IF(input_enews_announcement_type="",TRUE,SUMPRODUCT(--ISNUMBER(SEARCH(","&amp;TRIM(TEXTSPLIT(BY104,","))&amp;",",","&amp;SUBSTITUTE(input_enews_announcement_type," ","")&amp;",")))=0)),IF(CA104="",TRUE,IF(input_enews_announcement_type="",FALSE,SUMPRODUCT(--ISNUMBER(SEARCH(","&amp;TRIM(TEXTSPLIT(CA104,","))&amp;",",","&amp;SUBSTITUTE(input_enews_announcement_type," ","")&amp;",")))&gt;0)),IF(CC104="",TRUE,IF(input_enews_announcement_type="",FALSE,SUMPRODUCT(--ISNUMBER(SEARCH(","&amp;TRIM(TEXTSPLIT(CC104,","))&amp;",",","&amp;SUBSTITUTE(input_enews_announcement_type," ","")&amp;",")))=COUNTA(TEXTSPLIT(CC104,",")))))</f>
        <v/>
      </c>
      <c r="JA104">
        <f>AND(IF(CE104="",TRUE,IF(input_enews_audience="",FALSE,SUMPRODUCT(--ISNUMBER(SEARCH(","&amp;TRIM(TEXTSPLIT(CE104,","))&amp;",",","&amp;SUBSTITUTE(input_enews_audience," ","")&amp;",")))&gt;0)),IF(CG104="",TRUE,IF(input_enews_audience="",FALSE,SUMPRODUCT(--ISNUMBER(SEARCH(","&amp;TRIM(TEXTSPLIT(CG104,","))&amp;",",","&amp;SUBSTITUTE(input_enews_audience," ","")&amp;",")))=COUNTA(TEXTSPLIT(CG104,",")))),IF(CI104="",TRUE,IF(input_enews_audience="",TRUE,SUMPRODUCT(--ISNUMBER(SEARCH(","&amp;TRIM(TEXTSPLIT(CI104,","))&amp;",",","&amp;SUBSTITUTE(input_enews_audience," ","")&amp;",")))=0)),IF(CK104="",TRUE,IF(input_enews_audience="",FALSE,SUMPRODUCT(--ISNUMBER(SEARCH(","&amp;TRIM(TEXTSPLIT(CK104,","))&amp;",",","&amp;SUBSTITUTE(input_enews_audience," ","")&amp;",")))&gt;0)),IF(CM104="",TRUE,IF(input_enews_audience="",FALSE,SUMPRODUCT(--ISNUMBER(SEARCH(","&amp;TRIM(TEXTSPLIT(CM104,","))&amp;",",","&amp;SUBSTITUTE(input_enews_audience," ","")&amp;",")))=COUNTA(TEXTSPLIT(CM104,",")))))</f>
        <v/>
      </c>
      <c r="JB104">
        <f>AND(IF(CO104="",TRUE,IF(input_event_location="",FALSE,SUMPRODUCT(--ISNUMBER(SEARCH(","&amp;TRIM(TEXTSPLIT(CO104,","))&amp;",",","&amp;SUBSTITUTE(input_event_location," ","")&amp;",")))&gt;0)),IF(CQ104="",TRUE,IF(input_event_location="",FALSE,SUMPRODUCT(--ISNUMBER(SEARCH(","&amp;TRIM(TEXTSPLIT(CQ104,","))&amp;",",","&amp;SUBSTITUTE(input_event_location," ","")&amp;",")))=COUNTA(TEXTSPLIT(CQ104,",")))),IF(CS104="",TRUE,IF(input_event_location="",TRUE,SUMPRODUCT(--ISNUMBER(SEARCH(","&amp;TRIM(TEXTSPLIT(CS104,","))&amp;",",","&amp;SUBSTITUTE(input_event_location," ","")&amp;",")))=0)),IF(CU104="",TRUE,IF(input_event_location="",FALSE,SUMPRODUCT(--ISNUMBER(SEARCH(","&amp;TRIM(TEXTSPLIT(CU104,","))&amp;",",","&amp;SUBSTITUTE(input_event_location," ","")&amp;",")))&gt;0)),IF(CW104="",TRUE,IF(input_event_location="",FALSE,SUMPRODUCT(--ISNUMBER(SEARCH(","&amp;TRIM(TEXTSPLIT(CW104,","))&amp;",",","&amp;SUBSTITUTE(input_event_location," ","")&amp;",")))=COUNTA(TEXTSPLIT(CW104,",")))))</f>
        <v/>
      </c>
      <c r="JC104">
        <f>AND(IF(CY104="",TRUE,IF(input_event_type="",FALSE,SUMPRODUCT(--ISNUMBER(SEARCH(","&amp;TRIM(TEXTSPLIT(CY104,","))&amp;",",","&amp;SUBSTITUTE(input_event_type," ","")&amp;",")))&gt;0)),IF(DA104="",TRUE,IF(input_event_type="",FALSE,SUMPRODUCT(--ISNUMBER(SEARCH(","&amp;TRIM(TEXTSPLIT(DA104,","))&amp;",",","&amp;SUBSTITUTE(input_event_type," ","")&amp;",")))=COUNTA(TEXTSPLIT(DA104,",")))),IF(DC104="",TRUE,IF(input_event_type="",TRUE,SUMPRODUCT(--ISNUMBER(SEARCH(","&amp;TRIM(TEXTSPLIT(DC104,","))&amp;",",","&amp;SUBSTITUTE(input_event_type," ","")&amp;",")))=0)),IF(DE104="",TRUE,IF(input_event_type="",FALSE,SUMPRODUCT(--ISNUMBER(SEARCH(","&amp;TRIM(TEXTSPLIT(DE104,","))&amp;",",","&amp;SUBSTITUTE(input_event_type," ","")&amp;",")))&gt;0)),IF(DG104="",TRUE,IF(input_event_type="",FALSE,SUMPRODUCT(--ISNUMBER(SEARCH(","&amp;TRIM(TEXTSPLIT(DG104,","))&amp;",",","&amp;SUBSTITUTE(input_event_type," ","")&amp;",")))=COUNTA(TEXTSPLIT(DG104,",")))))</f>
        <v/>
      </c>
      <c r="JD104">
        <f>AND(IF(DI104="",TRUE,IF(input_executive_education_focus="",FALSE,SUMPRODUCT(--ISNUMBER(SEARCH(","&amp;TRIM(TEXTSPLIT(DI104,","))&amp;",",","&amp;SUBSTITUTE(input_executive_education_focus," ","")&amp;",")))&gt;0)),IF(DK104="",TRUE,IF(input_executive_education_focus="",FALSE,SUMPRODUCT(--ISNUMBER(SEARCH(","&amp;TRIM(TEXTSPLIT(DK104,","))&amp;",",","&amp;SUBSTITUTE(input_executive_education_focus," ","")&amp;",")))=COUNTA(TEXTSPLIT(DK104,",")))),IF(DM104="",TRUE,IF(input_executive_education_focus="",TRUE,SUMPRODUCT(--ISNUMBER(SEARCH(","&amp;TRIM(TEXTSPLIT(DM104,","))&amp;",",","&amp;SUBSTITUTE(input_executive_education_focus," ","")&amp;",")))=0)),IF(DO104="",TRUE,IF(input_executive_education_focus="",FALSE,SUMPRODUCT(--ISNUMBER(SEARCH(","&amp;TRIM(TEXTSPLIT(DO104,","))&amp;",",","&amp;SUBSTITUTE(input_executive_education_focus," ","")&amp;",")))&gt;0)),IF(DQ104="",TRUE,IF(input_executive_education_focus="",FALSE,SUMPRODUCT(--ISNUMBER(SEARCH(","&amp;TRIM(TEXTSPLIT(DQ104,","))&amp;",",","&amp;SUBSTITUTE(input_executive_education_focus," ","")&amp;",")))=COUNTA(TEXTSPLIT(DQ104,",")))))</f>
        <v/>
      </c>
      <c r="JE104">
        <f>AND(IF(DS104="",TRUE,IF(input_faculty_category="",FALSE,SUMPRODUCT(--ISNUMBER(SEARCH(","&amp;TRIM(TEXTSPLIT(DS104,","))&amp;",",","&amp;SUBSTITUTE(input_faculty_category," ","")&amp;",")))&gt;0)),IF(DU104="",TRUE,IF(input_faculty_category="",FALSE,SUMPRODUCT(--ISNUMBER(SEARCH(","&amp;TRIM(TEXTSPLIT(DU104,","))&amp;",",","&amp;SUBSTITUTE(input_faculty_category," ","")&amp;",")))=COUNTA(TEXTSPLIT(DU104,",")))),IF(DW104="",TRUE,IF(input_faculty_category="",TRUE,SUMPRODUCT(--ISNUMBER(SEARCH(","&amp;TRIM(TEXTSPLIT(DW104,","))&amp;",",","&amp;SUBSTITUTE(input_faculty_category," ","")&amp;",")))=0)),IF(DY104="",TRUE,IF(input_faculty_category="",FALSE,SUMPRODUCT(--ISNUMBER(SEARCH(","&amp;TRIM(TEXTSPLIT(DY104,","))&amp;",",","&amp;SUBSTITUTE(input_faculty_category," ","")&amp;",")))&gt;0)),IF(EA104="",TRUE,IF(input_faculty_category="",FALSE,SUMPRODUCT(--ISNUMBER(SEARCH(","&amp;TRIM(TEXTSPLIT(EA104,","))&amp;",",","&amp;SUBSTITUTE(input_faculty_category," ","")&amp;",")))=COUNTA(TEXTSPLIT(EA104,",")))))</f>
        <v/>
      </c>
      <c r="JF104">
        <f>AND(IF(EC104="",TRUE,IF(input_faculty_discipline="",FALSE,SUMPRODUCT(--ISNUMBER(SEARCH(","&amp;TRIM(TEXTSPLIT(EC104,","))&amp;",",","&amp;SUBSTITUTE(input_faculty_discipline," ","")&amp;",")))&gt;0)),IF(EE104="",TRUE,IF(input_faculty_discipline="",FALSE,SUMPRODUCT(--ISNUMBER(SEARCH(","&amp;TRIM(TEXTSPLIT(EE104,","))&amp;",",","&amp;SUBSTITUTE(input_faculty_discipline," ","")&amp;",")))=COUNTA(TEXTSPLIT(EE104,",")))),IF(EG104="",TRUE,IF(input_faculty_discipline="",TRUE,SUMPRODUCT(--ISNUMBER(SEARCH(","&amp;TRIM(TEXTSPLIT(EG104,","))&amp;",",","&amp;SUBSTITUTE(input_faculty_discipline," ","")&amp;",")))=0)),IF(EI104="",TRUE,IF(input_faculty_discipline="",FALSE,SUMPRODUCT(--ISNUMBER(SEARCH(","&amp;TRIM(TEXTSPLIT(EI104,","))&amp;",",","&amp;SUBSTITUTE(input_faculty_discipline," ","")&amp;",")))&gt;0)),IF(EK104="",TRUE,IF(input_faculty_discipline="",FALSE,SUMPRODUCT(--ISNUMBER(SEARCH(","&amp;TRIM(TEXTSPLIT(EK104,","))&amp;",",","&amp;SUBSTITUTE(input_faculty_discipline," ","")&amp;",")))=COUNTA(TEXTSPLIT(EK104,",")))))</f>
        <v/>
      </c>
      <c r="JG104">
        <f>AND(IF(EM104="",TRUE,IF(input_faculty_expertise="",FALSE,SUMPRODUCT(--ISNUMBER(SEARCH(","&amp;TRIM(TEXTSPLIT(EM104,","))&amp;",",","&amp;SUBSTITUTE(input_faculty_expertise," ","")&amp;",")))&gt;0)),IF(EO104="",TRUE,IF(input_faculty_expertise="",FALSE,SUMPRODUCT(--ISNUMBER(SEARCH(","&amp;TRIM(TEXTSPLIT(EO104,","))&amp;",",","&amp;SUBSTITUTE(input_faculty_expertise," ","")&amp;",")))=COUNTA(TEXTSPLIT(EO104,",")))),IF(EQ104="",TRUE,IF(input_faculty_expertise="",TRUE,SUMPRODUCT(--ISNUMBER(SEARCH(","&amp;TRIM(TEXTSPLIT(EQ104,","))&amp;",",","&amp;SUBSTITUTE(input_faculty_expertise," ","")&amp;",")))=0)),IF(ES104="",TRUE,IF(input_faculty_expertise="",FALSE,SUMPRODUCT(--ISNUMBER(SEARCH(","&amp;TRIM(TEXTSPLIT(ES104,","))&amp;",",","&amp;SUBSTITUTE(input_faculty_expertise," ","")&amp;",")))&gt;0)),IF(EU104="",TRUE,IF(input_faculty_expertise="",FALSE,SUMPRODUCT(--ISNUMBER(SEARCH(","&amp;TRIM(TEXTSPLIT(EU104,","))&amp;",",","&amp;SUBSTITUTE(input_faculty_expertise," ","")&amp;",")))=COUNTA(TEXTSPLIT(EU104,",")))))</f>
        <v/>
      </c>
      <c r="JH104">
        <f>AND(IF(EW104="",TRUE,IF(input_global_network_school="",FALSE,SUMPRODUCT(--ISNUMBER(SEARCH(","&amp;TRIM(TEXTSPLIT(EW104,","))&amp;",",","&amp;SUBSTITUTE(input_global_network_school," ","")&amp;",")))&gt;0)),IF(EY104="",TRUE,IF(input_global_network_school="",FALSE,SUMPRODUCT(--ISNUMBER(SEARCH(","&amp;TRIM(TEXTSPLIT(EY104,","))&amp;",",","&amp;SUBSTITUTE(input_global_network_school," ","")&amp;",")))=COUNTA(TEXTSPLIT(EY104,",")))),IF(FA104="",TRUE,IF(input_global_network_school="",TRUE,SUMPRODUCT(--ISNUMBER(SEARCH(","&amp;TRIM(TEXTSPLIT(FA104,","))&amp;",",","&amp;SUBSTITUTE(input_global_network_school," ","")&amp;",")))=0)),IF(FC104="",TRUE,IF(input_global_network_school="",FALSE,SUMPRODUCT(--ISNUMBER(SEARCH(","&amp;TRIM(TEXTSPLIT(FC104,","))&amp;",",","&amp;SUBSTITUTE(input_global_network_school," ","")&amp;",")))&gt;0)),IF(FE104="",TRUE,IF(input_global_network_school="",FALSE,SUMPRODUCT(--ISNUMBER(SEARCH(","&amp;TRIM(TEXTSPLIT(FE104,","))&amp;",",","&amp;SUBSTITUTE(input_global_network_school," ","")&amp;",")))=COUNTA(TEXTSPLIT(FE104,",")))))</f>
        <v/>
      </c>
      <c r="JI104">
        <f>AND(IF(FG104="",TRUE,IF(input_industry="",FALSE,SUMPRODUCT(--ISNUMBER(SEARCH(","&amp;TRIM(TEXTSPLIT(FG104,","))&amp;",",","&amp;SUBSTITUTE(input_industry," ","")&amp;",")))&gt;0)),IF(FI104="",TRUE,IF(input_industry="",FALSE,SUMPRODUCT(--ISNUMBER(SEARCH(","&amp;TRIM(TEXTSPLIT(FI104,","))&amp;",",","&amp;SUBSTITUTE(input_industry," ","")&amp;",")))=COUNTA(TEXTSPLIT(FI104,",")))),IF(FK104="",TRUE,IF(input_industry="",TRUE,SUMPRODUCT(--ISNUMBER(SEARCH(","&amp;TRIM(TEXTSPLIT(FK104,","))&amp;",",","&amp;SUBSTITUTE(input_industry," ","")&amp;",")))=0)),IF(FM104="",TRUE,IF(input_industry="",FALSE,SUMPRODUCT(--ISNUMBER(SEARCH(","&amp;TRIM(TEXTSPLIT(FM104,","))&amp;",",","&amp;SUBSTITUTE(input_industry," ","")&amp;",")))&gt;0)),IF(FO104="",TRUE,IF(input_industry="",FALSE,SUMPRODUCT(--ISNUMBER(SEARCH(","&amp;TRIM(TEXTSPLIT(FO104,","))&amp;",",","&amp;SUBSTITUTE(input_industry," ","")&amp;",")))=COUNTA(TEXTSPLIT(FO104,",")))))</f>
        <v/>
      </c>
      <c r="JJ104">
        <f>AND(IF(FQ104="",TRUE,IF(input_location="",FALSE,SUMPRODUCT(--ISNUMBER(SEARCH(","&amp;TRIM(TEXTSPLIT(FQ104,","))&amp;",",","&amp;SUBSTITUTE(input_location," ","")&amp;",")))&gt;0)),IF(FS104="",TRUE,IF(input_location="",FALSE,SUMPRODUCT(--ISNUMBER(SEARCH(","&amp;TRIM(TEXTSPLIT(FS104,","))&amp;",",","&amp;SUBSTITUTE(input_location," ","")&amp;",")))=COUNTA(TEXTSPLIT(FS104,",")))),IF(FU104="",TRUE,IF(input_location="",TRUE,SUMPRODUCT(--ISNUMBER(SEARCH(","&amp;TRIM(TEXTSPLIT(FU104,","))&amp;",",","&amp;SUBSTITUTE(input_location," ","")&amp;",")))=0)),IF(FW104="",TRUE,IF(input_location="",FALSE,SUMPRODUCT(--ISNUMBER(SEARCH(","&amp;TRIM(TEXTSPLIT(FW104,","))&amp;",",","&amp;SUBSTITUTE(input_location," ","")&amp;",")))&gt;0)),IF(FY104="",TRUE,IF(input_location="",FALSE,SUMPRODUCT(--ISNUMBER(SEARCH(","&amp;TRIM(TEXTSPLIT(FY104,","))&amp;",",","&amp;SUBSTITUTE(input_location," ","")&amp;",")))=COUNTA(TEXTSPLIT(FY104,",")))))</f>
        <v/>
      </c>
      <c r="JK104">
        <f>AND(IF(GA104="",TRUE,IF(input_modality="",FALSE,SUMPRODUCT(--ISNUMBER(SEARCH(","&amp;TRIM(TEXTSPLIT(GA104,","))&amp;",",","&amp;SUBSTITUTE(input_modality," ","")&amp;",")))&gt;0)),IF(GC104="",TRUE,IF(input_modality="",FALSE,SUMPRODUCT(--ISNUMBER(SEARCH(","&amp;TRIM(TEXTSPLIT(GC104,","))&amp;",",","&amp;SUBSTITUTE(input_modality," ","")&amp;",")))=COUNTA(TEXTSPLIT(GC104,",")))),IF(GE104="",TRUE,IF(input_modality="",TRUE,SUMPRODUCT(--ISNUMBER(SEARCH(","&amp;TRIM(TEXTSPLIT(GE104,","))&amp;",",","&amp;SUBSTITUTE(input_modality," ","")&amp;",")))=0)),IF(GG104="",TRUE,IF(input_modality="",FALSE,SUMPRODUCT(--ISNUMBER(SEARCH(","&amp;TRIM(TEXTSPLIT(GG104,","))&amp;",",","&amp;SUBSTITUTE(input_modality," ","")&amp;",")))&gt;0)),IF(GI104="",TRUE,IF(input_modality="",FALSE,SUMPRODUCT(--ISNUMBER(SEARCH(","&amp;TRIM(TEXTSPLIT(GI104,","))&amp;",",","&amp;SUBSTITUTE(input_modality," ","")&amp;",")))=COUNTA(TEXTSPLIT(GI104,",")))))</f>
        <v/>
      </c>
      <c r="JL104">
        <f>AND(IF(GK104="",TRUE,IF(input_organizer="",FALSE,SUMPRODUCT(--ISNUMBER(SEARCH(","&amp;TRIM(TEXTSPLIT(GK104,","))&amp;",",","&amp;SUBSTITUTE(input_organizer," ","")&amp;",")))&gt;0)),IF(GM104="",TRUE,IF(input_organizer="",FALSE,SUMPRODUCT(--ISNUMBER(SEARCH(","&amp;TRIM(TEXTSPLIT(GM104,","))&amp;",",","&amp;SUBSTITUTE(input_organizer," ","")&amp;",")))=COUNTA(TEXTSPLIT(GM104,",")))),IF(GO104="",TRUE,IF(input_organizer="",TRUE,SUMPRODUCT(--ISNUMBER(SEARCH(","&amp;TRIM(TEXTSPLIT(GO104,","))&amp;",",","&amp;SUBSTITUTE(input_organizer," ","")&amp;",")))=0)),IF(GQ104="",TRUE,IF(input_organizer="",FALSE,SUMPRODUCT(--ISNUMBER(SEARCH(","&amp;TRIM(TEXTSPLIT(GQ104,","))&amp;",",","&amp;SUBSTITUTE(input_organizer," ","")&amp;",")))&gt;0)),IF(GS104="",TRUE,IF(input_organizer="",FALSE,SUMPRODUCT(--ISNUMBER(SEARCH(","&amp;TRIM(TEXTSPLIT(GS104,","))&amp;",",","&amp;SUBSTITUTE(input_organizer," ","")&amp;",")))=COUNTA(TEXTSPLIT(GS104,",")))))</f>
        <v/>
      </c>
      <c r="JM104">
        <f>AND(IF(GU104="",TRUE,IF(input_profile_type="",FALSE,SUMPRODUCT(--ISNUMBER(SEARCH(","&amp;TRIM(TEXTSPLIT(GU104,","))&amp;",",","&amp;SUBSTITUTE(input_profile_type," ","")&amp;",")))&gt;0)),IF(GW104="",TRUE,IF(input_profile_type="",FALSE,SUMPRODUCT(--ISNUMBER(SEARCH(","&amp;TRIM(TEXTSPLIT(GW104,","))&amp;",",","&amp;SUBSTITUTE(input_profile_type," ","")&amp;",")))=COUNTA(TEXTSPLIT(GW104,",")))),IF(GY104="",TRUE,IF(input_profile_type="",TRUE,SUMPRODUCT(--ISNUMBER(SEARCH(","&amp;TRIM(TEXTSPLIT(GY104,","))&amp;",",","&amp;SUBSTITUTE(input_profile_type," ","")&amp;",")))=0)),IF(HA104="",TRUE,IF(input_profile_type="",FALSE,SUMPRODUCT(--ISNUMBER(SEARCH(","&amp;TRIM(TEXTSPLIT(HA104,","))&amp;",",","&amp;SUBSTITUTE(input_profile_type," ","")&amp;",")))&gt;0)),IF(HC104="",TRUE,IF(input_profile_type="",FALSE,SUMPRODUCT(--ISNUMBER(SEARCH(","&amp;TRIM(TEXTSPLIT(HC104,","))&amp;",",","&amp;SUBSTITUTE(input_profile_type," ","")&amp;",")))=COUNTA(TEXTSPLIT(HC104,",")))))</f>
        <v/>
      </c>
      <c r="JN104">
        <f>AND(IF(HE104="",TRUE,IF(input_program="",FALSE,SUMPRODUCT(--ISNUMBER(SEARCH(","&amp;TRIM(TEXTSPLIT(HE104,","))&amp;",",","&amp;SUBSTITUTE(input_program," ","")&amp;",")))&gt;0)),IF(HG104="",TRUE,IF(input_program="",FALSE,SUMPRODUCT(--ISNUMBER(SEARCH(","&amp;TRIM(TEXTSPLIT(HG104,","))&amp;",",","&amp;SUBSTITUTE(input_program," ","")&amp;",")))=COUNTA(TEXTSPLIT(HG104,",")))),IF(HI104="",TRUE,IF(input_program="",TRUE,SUMPRODUCT(--ISNUMBER(SEARCH(","&amp;TRIM(TEXTSPLIT(HI104,","))&amp;",",","&amp;SUBSTITUTE(input_program," ","")&amp;",")))=0)),IF(HK104="",TRUE,IF(input_program="",FALSE,SUMPRODUCT(--ISNUMBER(SEARCH(","&amp;TRIM(TEXTSPLIT(HK104,","))&amp;",",","&amp;SUBSTITUTE(input_program," ","")&amp;",")))&gt;0)),IF(HM104="",TRUE,IF(input_program="",FALSE,SUMPRODUCT(--ISNUMBER(SEARCH(","&amp;TRIM(TEXTSPLIT(HM104,","))&amp;",",","&amp;SUBSTITUTE(input_program," ","")&amp;",")))=COUNTA(TEXTSPLIT(HM104,",")))))</f>
        <v/>
      </c>
      <c r="JO104">
        <f>AND(IF(HO104="",TRUE,IF(input_story_categories="",FALSE,SUMPRODUCT(--ISNUMBER(SEARCH(","&amp;TRIM(TEXTSPLIT(HO104,","))&amp;",",","&amp;SUBSTITUTE(input_story_categories," ","")&amp;",")))&gt;0)),IF(HQ104="",TRUE,IF(input_story_categories="",FALSE,SUMPRODUCT(--ISNUMBER(SEARCH(","&amp;TRIM(TEXTSPLIT(HQ104,","))&amp;",",","&amp;SUBSTITUTE(input_story_categories," ","")&amp;",")))=COUNTA(TEXTSPLIT(HQ104,",")))),IF(HS104="",TRUE,IF(input_story_categories="",TRUE,SUMPRODUCT(--ISNUMBER(SEARCH(","&amp;TRIM(TEXTSPLIT(HS104,","))&amp;",",","&amp;SUBSTITUTE(input_story_categories," ","")&amp;",")))=0)),IF(HU104="",TRUE,IF(input_story_categories="",FALSE,SUMPRODUCT(--ISNUMBER(SEARCH(","&amp;TRIM(TEXTSPLIT(HU104,","))&amp;",",","&amp;SUBSTITUTE(input_story_categories," ","")&amp;",")))&gt;0)),IF(HW104="",TRUE,IF(input_story_categories="",FALSE,SUMPRODUCT(--ISNUMBER(SEARCH(","&amp;TRIM(TEXTSPLIT(HW104,","))&amp;",",","&amp;SUBSTITUTE(input_story_categories," ","")&amp;",")))=COUNTA(TEXTSPLIT(HW104,",")))))</f>
        <v/>
      </c>
      <c r="JP104">
        <f>AND(IF(HY104="",TRUE,IF(input_story_type="",FALSE,SUMPRODUCT(--ISNUMBER(SEARCH(","&amp;TRIM(TEXTSPLIT(HY104,","))&amp;",",","&amp;SUBSTITUTE(input_story_type," ","")&amp;",")))&gt;0)),IF(IA104="",TRUE,IF(input_story_type="",FALSE,SUMPRODUCT(--ISNUMBER(SEARCH(","&amp;TRIM(TEXTSPLIT(IA104,","))&amp;",",","&amp;SUBSTITUTE(input_story_type," ","")&amp;",")))=COUNTA(TEXTSPLIT(IA104,",")))),IF(IC104="",TRUE,IF(input_story_type="",TRUE,SUMPRODUCT(--ISNUMBER(SEARCH(","&amp;TRIM(TEXTSPLIT(IC104,","))&amp;",",","&amp;SUBSTITUTE(input_story_type," ","")&amp;",")))=0)),IF(IE104="",TRUE,IF(input_story_type="",FALSE,SUMPRODUCT(--ISNUMBER(SEARCH(","&amp;TRIM(TEXTSPLIT(IE104,","))&amp;",",","&amp;SUBSTITUTE(input_story_type," ","")&amp;",")))&gt;0)),IF(IG104="",TRUE,IF(input_story_type="",FALSE,SUMPRODUCT(--ISNUMBER(SEARCH(","&amp;TRIM(TEXTSPLIT(IG104,","))&amp;",",","&amp;SUBSTITUTE(input_story_type," ","")&amp;",")))=COUNTA(TEXTSPLIT(IG104,",")))))</f>
        <v/>
      </c>
      <c r="JQ104">
        <f>AND(IF(II104="",TRUE,IF(input_topics="",FALSE,SUMPRODUCT(--ISNUMBER(SEARCH(","&amp;TRIM(TEXTSPLIT(II104,","))&amp;",",","&amp;SUBSTITUTE(input_topics," ","")&amp;",")))&gt;0)),IF(IK104="",TRUE,IF(input_topics="",FALSE,SUMPRODUCT(--ISNUMBER(SEARCH(","&amp;TRIM(TEXTSPLIT(IK104,","))&amp;",",","&amp;SUBSTITUTE(input_topics," ","")&amp;",")))=COUNTA(TEXTSPLIT(IK104,",")))),IF(IM104="",TRUE,IF(input_topics="",TRUE,SUMPRODUCT(--ISNUMBER(SEARCH(","&amp;TRIM(TEXTSPLIT(IM104,","))&amp;",",","&amp;SUBSTITUTE(input_topics," ","")&amp;",")))=0)),IF(IO104="",TRUE,IF(input_topics="",FALSE,SUMPRODUCT(--ISNUMBER(SEARCH(","&amp;TRIM(TEXTSPLIT(IO104,","))&amp;",",","&amp;SUBSTITUTE(input_topics," ","")&amp;",")))&gt;0)),IF(IQ104="",TRUE,IF(input_topics="",FALSE,SUMPRODUCT(--ISNUMBER(SEARCH(","&amp;TRIM(TEXTSPLIT(IQ104,","))&amp;",",","&amp;SUBSTITUTE(input_topics," ","")&amp;",")))=COUNTA(TEXTSPLIT(IQ104,",")))))</f>
        <v/>
      </c>
    </row>
    <row r="105">
      <c r="A105" s="4">
        <f>IF(NOT(IS105),"Excluded",IF(AND(IT105,IU105,IV105,IW105,IX105,IY105,IZ105,JA105,JB105,JC105,JD105,JE105,JF105,JG105,JH105,JI105,JJ105,JK105,JL105,JM105,JN105,JO105,JP105,JQ105),IF(I105&gt;0,"Eligible but limited","Will appear"),"Excluded"))</f>
        <v/>
      </c>
      <c r="B105" s="4" t="inlineStr">
        <is>
          <t>Events</t>
        </is>
      </c>
      <c r="C105" s="4" t="inlineStr">
        <is>
          <t>/programs/emba/admissions</t>
        </is>
      </c>
      <c r="D105" s="4" t="inlineStr">
        <is>
          <t>/programs/emba/admissions</t>
        </is>
      </c>
      <c r="E105" s="4" t="n">
        <v>1</v>
      </c>
      <c r="F105" s="4" t="inlineStr">
        <is>
          <t>event</t>
        </is>
      </c>
      <c r="G105" s="4" t="inlineStr">
        <is>
          <t>event_teaser_list</t>
        </is>
      </c>
      <c r="H105" s="4" t="inlineStr">
        <is>
          <t>embed_1</t>
        </is>
      </c>
      <c r="I105" s="4" t="n">
        <v>3</v>
      </c>
      <c r="J105" s="4" t="inlineStr">
        <is>
          <t>Section inferred</t>
        </is>
      </c>
      <c r="K105" s="4" t="inlineStr">
        <is>
          <t>Page placement</t>
        </is>
      </c>
      <c r="L105" s="4" t="inlineStr">
        <is>
          <t>Content type: event; Context uses Courses Context: MBA For Executives (928); Limited to 3 item(s); Source: Section inferred</t>
        </is>
      </c>
      <c r="M105" t="inlineStr"/>
      <c r="N105" t="inlineStr"/>
      <c r="O105" t="inlineStr"/>
      <c r="P105" t="inlineStr"/>
      <c r="Q105" t="inlineStr"/>
      <c r="R105" t="inlineStr"/>
      <c r="S105" t="inlineStr"/>
      <c r="T105" t="inlineStr"/>
      <c r="U105" t="inlineStr"/>
      <c r="V105" t="inlineStr"/>
      <c r="W105" t="inlineStr"/>
      <c r="X105" t="inlineStr"/>
      <c r="Y105" t="inlineStr"/>
      <c r="Z105" t="inlineStr"/>
      <c r="AA105" t="inlineStr"/>
      <c r="AB105" t="inlineStr"/>
      <c r="AC105" t="inlineStr"/>
      <c r="AD105" t="inlineStr"/>
      <c r="AE105" t="inlineStr"/>
      <c r="AF105" t="inlineStr"/>
      <c r="AG105" t="inlineStr"/>
      <c r="AH105" t="inlineStr"/>
      <c r="AI105" t="inlineStr"/>
      <c r="AJ105" t="inlineStr"/>
      <c r="AK105" t="inlineStr"/>
      <c r="AL105" t="inlineStr"/>
      <c r="AM105" t="inlineStr"/>
      <c r="AN105" t="inlineStr"/>
      <c r="AO105" t="inlineStr"/>
      <c r="AP105" t="inlineStr"/>
      <c r="AQ105" t="inlineStr"/>
      <c r="AR105" t="inlineStr"/>
      <c r="AS105" t="inlineStr"/>
      <c r="AT105" t="inlineStr"/>
      <c r="AU105" t="inlineStr"/>
      <c r="AV105" t="inlineStr"/>
      <c r="AW105" t="inlineStr"/>
      <c r="AX105" t="inlineStr"/>
      <c r="AY105" t="inlineStr"/>
      <c r="AZ105" t="inlineStr"/>
      <c r="BA105" t="inlineStr"/>
      <c r="BB105" t="inlineStr"/>
      <c r="BC105" t="inlineStr"/>
      <c r="BD105" t="inlineStr"/>
      <c r="BE105" t="inlineStr"/>
      <c r="BF105" t="inlineStr"/>
      <c r="BG105" t="inlineStr"/>
      <c r="BH105" t="inlineStr"/>
      <c r="BI105" t="inlineStr"/>
      <c r="BJ105" t="inlineStr"/>
      <c r="BK105" t="inlineStr"/>
      <c r="BL105" t="inlineStr"/>
      <c r="BM105" t="inlineStr"/>
      <c r="BN105" t="inlineStr"/>
      <c r="BO105" t="inlineStr"/>
      <c r="BP105" t="inlineStr"/>
      <c r="BQ105" t="inlineStr">
        <is>
          <t>928</t>
        </is>
      </c>
      <c r="BR105" t="inlineStr">
        <is>
          <t>MBA For Executives (928)</t>
        </is>
      </c>
      <c r="BS105" t="inlineStr"/>
      <c r="BT105" t="inlineStr"/>
      <c r="BU105" t="inlineStr"/>
      <c r="BV105" t="inlineStr"/>
      <c r="BW105" t="inlineStr"/>
      <c r="BX105" t="inlineStr"/>
      <c r="BY105" t="inlineStr"/>
      <c r="BZ105" t="inlineStr"/>
      <c r="CA105" t="inlineStr"/>
      <c r="CB105" t="inlineStr"/>
      <c r="CC105" t="inlineStr"/>
      <c r="CD105" t="inlineStr"/>
      <c r="CE105" t="inlineStr"/>
      <c r="CF105" t="inlineStr"/>
      <c r="CG105" t="inlineStr"/>
      <c r="CH105" t="inlineStr"/>
      <c r="CI105" t="inlineStr"/>
      <c r="CJ105" t="inlineStr"/>
      <c r="CK105" t="inlineStr"/>
      <c r="CL105" t="inlineStr"/>
      <c r="CM105" t="inlineStr"/>
      <c r="CN105" t="inlineStr"/>
      <c r="CO105" t="inlineStr"/>
      <c r="CP105" t="inlineStr"/>
      <c r="CQ105" t="inlineStr"/>
      <c r="CR105" t="inlineStr"/>
      <c r="CS105" t="inlineStr"/>
      <c r="CT105" t="inlineStr"/>
      <c r="CU105" t="inlineStr"/>
      <c r="CV105" t="inlineStr"/>
      <c r="CW105" t="inlineStr"/>
      <c r="CX105" t="inlineStr"/>
      <c r="CY105" t="inlineStr"/>
      <c r="CZ105" t="inlineStr"/>
      <c r="DA105" t="inlineStr"/>
      <c r="DB105" t="inlineStr"/>
      <c r="DC105" t="inlineStr"/>
      <c r="DD105" t="inlineStr"/>
      <c r="DE105" t="inlineStr"/>
      <c r="DF105" t="inlineStr"/>
      <c r="DG105" t="inlineStr"/>
      <c r="DH105" t="inlineStr"/>
      <c r="DI105" t="inlineStr"/>
      <c r="DJ105" t="inlineStr"/>
      <c r="DK105" t="inlineStr"/>
      <c r="DL105" t="inlineStr"/>
      <c r="DM105" t="inlineStr"/>
      <c r="DN105" t="inlineStr"/>
      <c r="DO105" t="inlineStr"/>
      <c r="DP105" t="inlineStr"/>
      <c r="DQ105" t="inlineStr"/>
      <c r="DR105" t="inlineStr"/>
      <c r="DS105" t="inlineStr"/>
      <c r="DT105" t="inlineStr"/>
      <c r="DU105" t="inlineStr"/>
      <c r="DV105" t="inlineStr"/>
      <c r="DW105" t="inlineStr"/>
      <c r="DX105" t="inlineStr"/>
      <c r="DY105" t="inlineStr"/>
      <c r="DZ105" t="inlineStr"/>
      <c r="EA105" t="inlineStr"/>
      <c r="EB105" t="inlineStr"/>
      <c r="EC105" t="inlineStr"/>
      <c r="ED105" t="inlineStr"/>
      <c r="EE105" t="inlineStr"/>
      <c r="EF105" t="inlineStr"/>
      <c r="EG105" t="inlineStr"/>
      <c r="EH105" t="inlineStr"/>
      <c r="EI105" t="inlineStr"/>
      <c r="EJ105" t="inlineStr"/>
      <c r="EK105" t="inlineStr"/>
      <c r="EL105" t="inlineStr"/>
      <c r="EM105" t="inlineStr"/>
      <c r="EN105" t="inlineStr"/>
      <c r="EO105" t="inlineStr"/>
      <c r="EP105" t="inlineStr"/>
      <c r="EQ105" t="inlineStr"/>
      <c r="ER105" t="inlineStr"/>
      <c r="ES105" t="inlineStr"/>
      <c r="ET105" t="inlineStr"/>
      <c r="EU105" t="inlineStr"/>
      <c r="EV105" t="inlineStr"/>
      <c r="EW105" t="inlineStr"/>
      <c r="EX105" t="inlineStr"/>
      <c r="EY105" t="inlineStr"/>
      <c r="EZ105" t="inlineStr"/>
      <c r="FA105" t="inlineStr"/>
      <c r="FB105" t="inlineStr"/>
      <c r="FC105" t="inlineStr"/>
      <c r="FD105" t="inlineStr"/>
      <c r="FE105" t="inlineStr"/>
      <c r="FF105" t="inlineStr"/>
      <c r="FG105" t="inlineStr"/>
      <c r="FH105" t="inlineStr"/>
      <c r="FI105" t="inlineStr"/>
      <c r="FJ105" t="inlineStr"/>
      <c r="FK105" t="inlineStr"/>
      <c r="FL105" t="inlineStr"/>
      <c r="FM105" t="inlineStr"/>
      <c r="FN105" t="inlineStr"/>
      <c r="FO105" t="inlineStr"/>
      <c r="FP105" t="inlineStr"/>
      <c r="FQ105" t="inlineStr"/>
      <c r="FR105" t="inlineStr"/>
      <c r="FS105" t="inlineStr"/>
      <c r="FT105" t="inlineStr"/>
      <c r="FU105" t="inlineStr"/>
      <c r="FV105" t="inlineStr"/>
      <c r="FW105" t="inlineStr"/>
      <c r="FX105" t="inlineStr"/>
      <c r="FY105" t="inlineStr"/>
      <c r="FZ105" t="inlineStr"/>
      <c r="GA105" t="inlineStr"/>
      <c r="GB105" t="inlineStr"/>
      <c r="GC105" t="inlineStr"/>
      <c r="GD105" t="inlineStr"/>
      <c r="GE105" t="inlineStr"/>
      <c r="GF105" t="inlineStr"/>
      <c r="GG105" t="inlineStr"/>
      <c r="GH105" t="inlineStr"/>
      <c r="GI105" t="inlineStr"/>
      <c r="GJ105" t="inlineStr"/>
      <c r="GK105" t="inlineStr"/>
      <c r="GL105" t="inlineStr"/>
      <c r="GM105" t="inlineStr"/>
      <c r="GN105" t="inlineStr"/>
      <c r="GO105" t="inlineStr"/>
      <c r="GP105" t="inlineStr"/>
      <c r="GQ105" t="inlineStr"/>
      <c r="GR105" t="inlineStr"/>
      <c r="GS105" t="inlineStr"/>
      <c r="GT105" t="inlineStr"/>
      <c r="GU105" t="inlineStr"/>
      <c r="GV105" t="inlineStr"/>
      <c r="GW105" t="inlineStr"/>
      <c r="GX105" t="inlineStr"/>
      <c r="GY105" t="inlineStr"/>
      <c r="GZ105" t="inlineStr"/>
      <c r="HA105" t="inlineStr"/>
      <c r="HB105" t="inlineStr"/>
      <c r="HC105" t="inlineStr"/>
      <c r="HD105" t="inlineStr"/>
      <c r="HE105" t="inlineStr"/>
      <c r="HF105" t="inlineStr"/>
      <c r="HG105" t="inlineStr"/>
      <c r="HH105" t="inlineStr"/>
      <c r="HI105" t="inlineStr"/>
      <c r="HJ105" t="inlineStr"/>
      <c r="HK105" t="inlineStr"/>
      <c r="HL105" t="inlineStr"/>
      <c r="HM105" t="inlineStr"/>
      <c r="HN105" t="inlineStr"/>
      <c r="HO105" t="inlineStr"/>
      <c r="HP105" t="inlineStr"/>
      <c r="HQ105" t="inlineStr"/>
      <c r="HR105" t="inlineStr"/>
      <c r="HS105" t="inlineStr"/>
      <c r="HT105" t="inlineStr"/>
      <c r="HU105" t="inlineStr"/>
      <c r="HV105" t="inlineStr"/>
      <c r="HW105" t="inlineStr"/>
      <c r="HX105" t="inlineStr"/>
      <c r="HY105" t="inlineStr"/>
      <c r="HZ105" t="inlineStr"/>
      <c r="IA105" t="inlineStr"/>
      <c r="IB105" t="inlineStr"/>
      <c r="IC105" t="inlineStr"/>
      <c r="ID105" t="inlineStr"/>
      <c r="IE105" t="inlineStr"/>
      <c r="IF105" t="inlineStr"/>
      <c r="IG105" t="inlineStr"/>
      <c r="IH105" t="inlineStr"/>
      <c r="II105" t="inlineStr"/>
      <c r="IJ105" t="inlineStr"/>
      <c r="IK105" t="inlineStr"/>
      <c r="IL105" t="inlineStr"/>
      <c r="IM105" t="inlineStr"/>
      <c r="IN105" t="inlineStr"/>
      <c r="IO105" t="inlineStr"/>
      <c r="IP105" t="inlineStr"/>
      <c r="IQ105" t="inlineStr"/>
      <c r="IR105" t="inlineStr"/>
      <c r="IS105">
        <f>IF(input_content_type="",FALSE,ISNUMBER(SEARCH(","&amp;LOWER(input_content_type)&amp;",",","&amp;LOWER(F105)&amp;",")))</f>
        <v/>
      </c>
      <c r="IT105">
        <f>AND(IF(M105="",TRUE,IF(input_affiliations="",FALSE,SUMPRODUCT(--ISNUMBER(SEARCH(","&amp;TRIM(TEXTSPLIT(M105,","))&amp;",",","&amp;SUBSTITUTE(input_affiliations," ","")&amp;",")))&gt;0)),IF(O105="",TRUE,IF(input_affiliations="",FALSE,SUMPRODUCT(--ISNUMBER(SEARCH(","&amp;TRIM(TEXTSPLIT(O105,","))&amp;",",","&amp;SUBSTITUTE(input_affiliations," ","")&amp;",")))=COUNTA(TEXTSPLIT(O105,",")))),IF(Q105="",TRUE,IF(input_affiliations="",TRUE,SUMPRODUCT(--ISNUMBER(SEARCH(","&amp;TRIM(TEXTSPLIT(Q105,","))&amp;",",","&amp;SUBSTITUTE(input_affiliations," ","")&amp;",")))=0)),IF(S105="",TRUE,IF(input_affiliations="",FALSE,SUMPRODUCT(--ISNUMBER(SEARCH(","&amp;TRIM(TEXTSPLIT(S105,","))&amp;",",","&amp;SUBSTITUTE(input_affiliations," ","")&amp;",")))&gt;0)),IF(U105="",TRUE,IF(input_affiliations="",FALSE,SUMPRODUCT(--ISNUMBER(SEARCH(","&amp;TRIM(TEXTSPLIT(U105,","))&amp;",",","&amp;SUBSTITUTE(input_affiliations," ","")&amp;",")))=COUNTA(TEXTSPLIT(U105,",")))))</f>
        <v/>
      </c>
      <c r="IU105">
        <f>AND(IF(W105="",TRUE,IF(input_announcement_category="",FALSE,SUMPRODUCT(--ISNUMBER(SEARCH(","&amp;TRIM(TEXTSPLIT(W105,","))&amp;",",","&amp;SUBSTITUTE(input_announcement_category," ","")&amp;",")))&gt;0)),IF(Y105="",TRUE,IF(input_announcement_category="",FALSE,SUMPRODUCT(--ISNUMBER(SEARCH(","&amp;TRIM(TEXTSPLIT(Y105,","))&amp;",",","&amp;SUBSTITUTE(input_announcement_category," ","")&amp;",")))=COUNTA(TEXTSPLIT(Y105,",")))),IF(AA105="",TRUE,IF(input_announcement_category="",TRUE,SUMPRODUCT(--ISNUMBER(SEARCH(","&amp;TRIM(TEXTSPLIT(AA105,","))&amp;",",","&amp;SUBSTITUTE(input_announcement_category," ","")&amp;",")))=0)),IF(AC105="",TRUE,IF(input_announcement_category="",FALSE,SUMPRODUCT(--ISNUMBER(SEARCH(","&amp;TRIM(TEXTSPLIT(AC105,","))&amp;",",","&amp;SUBSTITUTE(input_announcement_category," ","")&amp;",")))&gt;0)),IF(AE105="",TRUE,IF(input_announcement_category="",FALSE,SUMPRODUCT(--ISNUMBER(SEARCH(","&amp;TRIM(TEXTSPLIT(AE105,","))&amp;",",","&amp;SUBSTITUTE(input_announcement_category," ","")&amp;",")))=COUNTA(TEXTSPLIT(AE105,",")))))</f>
        <v/>
      </c>
      <c r="IV105">
        <f>AND(IF(AG105="",TRUE,IF(input_area_of_focus="",FALSE,SUMPRODUCT(--ISNUMBER(SEARCH(","&amp;TRIM(TEXTSPLIT(AG105,","))&amp;",",","&amp;SUBSTITUTE(input_area_of_focus," ","")&amp;",")))&gt;0)),IF(AI105="",TRUE,IF(input_area_of_focus="",FALSE,SUMPRODUCT(--ISNUMBER(SEARCH(","&amp;TRIM(TEXTSPLIT(AI105,","))&amp;",",","&amp;SUBSTITUTE(input_area_of_focus," ","")&amp;",")))=COUNTA(TEXTSPLIT(AI105,",")))),IF(AK105="",TRUE,IF(input_area_of_focus="",TRUE,SUMPRODUCT(--ISNUMBER(SEARCH(","&amp;TRIM(TEXTSPLIT(AK105,","))&amp;",",","&amp;SUBSTITUTE(input_area_of_focus," ","")&amp;",")))=0)),IF(AM105="",TRUE,IF(input_area_of_focus="",FALSE,SUMPRODUCT(--ISNUMBER(SEARCH(","&amp;TRIM(TEXTSPLIT(AM105,","))&amp;",",","&amp;SUBSTITUTE(input_area_of_focus," ","")&amp;",")))&gt;0)),IF(AO105="",TRUE,IF(input_area_of_focus="",FALSE,SUMPRODUCT(--ISNUMBER(SEARCH(","&amp;TRIM(TEXTSPLIT(AO105,","))&amp;",",","&amp;SUBSTITUTE(input_area_of_focus," ","")&amp;",")))=COUNTA(TEXTSPLIT(AO105,",")))))</f>
        <v/>
      </c>
      <c r="IW105">
        <f>AND(IF(AQ105="",TRUE,IF(input_audience="",FALSE,SUMPRODUCT(--ISNUMBER(SEARCH(","&amp;TRIM(TEXTSPLIT(AQ105,","))&amp;",",","&amp;SUBSTITUTE(input_audience," ","")&amp;",")))&gt;0)),IF(AS105="",TRUE,IF(input_audience="",FALSE,SUMPRODUCT(--ISNUMBER(SEARCH(","&amp;TRIM(TEXTSPLIT(AS105,","))&amp;",",","&amp;SUBSTITUTE(input_audience," ","")&amp;",")))=COUNTA(TEXTSPLIT(AS105,",")))),IF(AU105="",TRUE,IF(input_audience="",TRUE,SUMPRODUCT(--ISNUMBER(SEARCH(","&amp;TRIM(TEXTSPLIT(AU105,","))&amp;",",","&amp;SUBSTITUTE(input_audience," ","")&amp;",")))=0)),IF(AW105="",TRUE,IF(input_audience="",FALSE,SUMPRODUCT(--ISNUMBER(SEARCH(","&amp;TRIM(TEXTSPLIT(AW105,","))&amp;",",","&amp;SUBSTITUTE(input_audience," ","")&amp;",")))&gt;0)),IF(AY105="",TRUE,IF(input_audience="",FALSE,SUMPRODUCT(--ISNUMBER(SEARCH(","&amp;TRIM(TEXTSPLIT(AY105,","))&amp;",",","&amp;SUBSTITUTE(input_audience," ","")&amp;",")))=COUNTA(TEXTSPLIT(AY105,",")))))</f>
        <v/>
      </c>
      <c r="IX105">
        <f>AND(IF(BA105="",TRUE,IF(input_challenge_opportunities="",FALSE,SUMPRODUCT(--ISNUMBER(SEARCH(","&amp;TRIM(TEXTSPLIT(BA105,","))&amp;",",","&amp;SUBSTITUTE(input_challenge_opportunities," ","")&amp;",")))&gt;0)),IF(BC105="",TRUE,IF(input_challenge_opportunities="",FALSE,SUMPRODUCT(--ISNUMBER(SEARCH(","&amp;TRIM(TEXTSPLIT(BC105,","))&amp;",",","&amp;SUBSTITUTE(input_challenge_opportunities," ","")&amp;",")))=COUNTA(TEXTSPLIT(BC105,",")))),IF(BE105="",TRUE,IF(input_challenge_opportunities="",TRUE,SUMPRODUCT(--ISNUMBER(SEARCH(","&amp;TRIM(TEXTSPLIT(BE105,","))&amp;",",","&amp;SUBSTITUTE(input_challenge_opportunities," ","")&amp;",")))=0)),IF(BG105="",TRUE,IF(input_challenge_opportunities="",FALSE,SUMPRODUCT(--ISNUMBER(SEARCH(","&amp;TRIM(TEXTSPLIT(BG105,","))&amp;",",","&amp;SUBSTITUTE(input_challenge_opportunities," ","")&amp;",")))&gt;0)),IF(BI105="",TRUE,IF(input_challenge_opportunities="",FALSE,SUMPRODUCT(--ISNUMBER(SEARCH(","&amp;TRIM(TEXTSPLIT(BI105,","))&amp;",",","&amp;SUBSTITUTE(input_challenge_opportunities," ","")&amp;",")))=COUNTA(TEXTSPLIT(BI105,",")))))</f>
        <v/>
      </c>
      <c r="IY105">
        <f>AND(IF(BK105="",TRUE,IF(input_context="",FALSE,SUMPRODUCT(--ISNUMBER(SEARCH(","&amp;TRIM(TEXTSPLIT(BK105,","))&amp;",",","&amp;SUBSTITUTE(input_context," ","")&amp;",")))&gt;0)),IF(BM105="",TRUE,IF(input_context="",FALSE,SUMPRODUCT(--ISNUMBER(SEARCH(","&amp;TRIM(TEXTSPLIT(BM105,","))&amp;",",","&amp;SUBSTITUTE(input_context," ","")&amp;",")))=COUNTA(TEXTSPLIT(BM105,",")))),IF(BO105="",TRUE,IF(input_context="",TRUE,SUMPRODUCT(--ISNUMBER(SEARCH(","&amp;TRIM(TEXTSPLIT(BO105,","))&amp;",",","&amp;SUBSTITUTE(input_context," ","")&amp;",")))=0)),IF(BQ105="",TRUE,IF(input_context="",FALSE,SUMPRODUCT(--ISNUMBER(SEARCH(","&amp;TRIM(TEXTSPLIT(BQ105,","))&amp;",",","&amp;SUBSTITUTE(input_context," ","")&amp;",")))&gt;0)),IF(BS105="",TRUE,IF(input_context="",FALSE,SUMPRODUCT(--ISNUMBER(SEARCH(","&amp;TRIM(TEXTSPLIT(BS105,","))&amp;",",","&amp;SUBSTITUTE(input_context," ","")&amp;",")))=COUNTA(TEXTSPLIT(BS105,",")))))</f>
        <v/>
      </c>
      <c r="IZ105">
        <f>AND(IF(BU105="",TRUE,IF(input_enews_announcement_type="",FALSE,SUMPRODUCT(--ISNUMBER(SEARCH(","&amp;TRIM(TEXTSPLIT(BU105,","))&amp;",",","&amp;SUBSTITUTE(input_enews_announcement_type," ","")&amp;",")))&gt;0)),IF(BW105="",TRUE,IF(input_enews_announcement_type="",FALSE,SUMPRODUCT(--ISNUMBER(SEARCH(","&amp;TRIM(TEXTSPLIT(BW105,","))&amp;",",","&amp;SUBSTITUTE(input_enews_announcement_type," ","")&amp;",")))=COUNTA(TEXTSPLIT(BW105,",")))),IF(BY105="",TRUE,IF(input_enews_announcement_type="",TRUE,SUMPRODUCT(--ISNUMBER(SEARCH(","&amp;TRIM(TEXTSPLIT(BY105,","))&amp;",",","&amp;SUBSTITUTE(input_enews_announcement_type," ","")&amp;",")))=0)),IF(CA105="",TRUE,IF(input_enews_announcement_type="",FALSE,SUMPRODUCT(--ISNUMBER(SEARCH(","&amp;TRIM(TEXTSPLIT(CA105,","))&amp;",",","&amp;SUBSTITUTE(input_enews_announcement_type," ","")&amp;",")))&gt;0)),IF(CC105="",TRUE,IF(input_enews_announcement_type="",FALSE,SUMPRODUCT(--ISNUMBER(SEARCH(","&amp;TRIM(TEXTSPLIT(CC105,","))&amp;",",","&amp;SUBSTITUTE(input_enews_announcement_type," ","")&amp;",")))=COUNTA(TEXTSPLIT(CC105,",")))))</f>
        <v/>
      </c>
      <c r="JA105">
        <f>AND(IF(CE105="",TRUE,IF(input_enews_audience="",FALSE,SUMPRODUCT(--ISNUMBER(SEARCH(","&amp;TRIM(TEXTSPLIT(CE105,","))&amp;",",","&amp;SUBSTITUTE(input_enews_audience," ","")&amp;",")))&gt;0)),IF(CG105="",TRUE,IF(input_enews_audience="",FALSE,SUMPRODUCT(--ISNUMBER(SEARCH(","&amp;TRIM(TEXTSPLIT(CG105,","))&amp;",",","&amp;SUBSTITUTE(input_enews_audience," ","")&amp;",")))=COUNTA(TEXTSPLIT(CG105,",")))),IF(CI105="",TRUE,IF(input_enews_audience="",TRUE,SUMPRODUCT(--ISNUMBER(SEARCH(","&amp;TRIM(TEXTSPLIT(CI105,","))&amp;",",","&amp;SUBSTITUTE(input_enews_audience," ","")&amp;",")))=0)),IF(CK105="",TRUE,IF(input_enews_audience="",FALSE,SUMPRODUCT(--ISNUMBER(SEARCH(","&amp;TRIM(TEXTSPLIT(CK105,","))&amp;",",","&amp;SUBSTITUTE(input_enews_audience," ","")&amp;",")))&gt;0)),IF(CM105="",TRUE,IF(input_enews_audience="",FALSE,SUMPRODUCT(--ISNUMBER(SEARCH(","&amp;TRIM(TEXTSPLIT(CM105,","))&amp;",",","&amp;SUBSTITUTE(input_enews_audience," ","")&amp;",")))=COUNTA(TEXTSPLIT(CM105,",")))))</f>
        <v/>
      </c>
      <c r="JB105">
        <f>AND(IF(CO105="",TRUE,IF(input_event_location="",FALSE,SUMPRODUCT(--ISNUMBER(SEARCH(","&amp;TRIM(TEXTSPLIT(CO105,","))&amp;",",","&amp;SUBSTITUTE(input_event_location," ","")&amp;",")))&gt;0)),IF(CQ105="",TRUE,IF(input_event_location="",FALSE,SUMPRODUCT(--ISNUMBER(SEARCH(","&amp;TRIM(TEXTSPLIT(CQ105,","))&amp;",",","&amp;SUBSTITUTE(input_event_location," ","")&amp;",")))=COUNTA(TEXTSPLIT(CQ105,",")))),IF(CS105="",TRUE,IF(input_event_location="",TRUE,SUMPRODUCT(--ISNUMBER(SEARCH(","&amp;TRIM(TEXTSPLIT(CS105,","))&amp;",",","&amp;SUBSTITUTE(input_event_location," ","")&amp;",")))=0)),IF(CU105="",TRUE,IF(input_event_location="",FALSE,SUMPRODUCT(--ISNUMBER(SEARCH(","&amp;TRIM(TEXTSPLIT(CU105,","))&amp;",",","&amp;SUBSTITUTE(input_event_location," ","")&amp;",")))&gt;0)),IF(CW105="",TRUE,IF(input_event_location="",FALSE,SUMPRODUCT(--ISNUMBER(SEARCH(","&amp;TRIM(TEXTSPLIT(CW105,","))&amp;",",","&amp;SUBSTITUTE(input_event_location," ","")&amp;",")))=COUNTA(TEXTSPLIT(CW105,",")))))</f>
        <v/>
      </c>
      <c r="JC105">
        <f>AND(IF(CY105="",TRUE,IF(input_event_type="",FALSE,SUMPRODUCT(--ISNUMBER(SEARCH(","&amp;TRIM(TEXTSPLIT(CY105,","))&amp;",",","&amp;SUBSTITUTE(input_event_type," ","")&amp;",")))&gt;0)),IF(DA105="",TRUE,IF(input_event_type="",FALSE,SUMPRODUCT(--ISNUMBER(SEARCH(","&amp;TRIM(TEXTSPLIT(DA105,","))&amp;",",","&amp;SUBSTITUTE(input_event_type," ","")&amp;",")))=COUNTA(TEXTSPLIT(DA105,",")))),IF(DC105="",TRUE,IF(input_event_type="",TRUE,SUMPRODUCT(--ISNUMBER(SEARCH(","&amp;TRIM(TEXTSPLIT(DC105,","))&amp;",",","&amp;SUBSTITUTE(input_event_type," ","")&amp;",")))=0)),IF(DE105="",TRUE,IF(input_event_type="",FALSE,SUMPRODUCT(--ISNUMBER(SEARCH(","&amp;TRIM(TEXTSPLIT(DE105,","))&amp;",",","&amp;SUBSTITUTE(input_event_type," ","")&amp;",")))&gt;0)),IF(DG105="",TRUE,IF(input_event_type="",FALSE,SUMPRODUCT(--ISNUMBER(SEARCH(","&amp;TRIM(TEXTSPLIT(DG105,","))&amp;",",","&amp;SUBSTITUTE(input_event_type," ","")&amp;",")))=COUNTA(TEXTSPLIT(DG105,",")))))</f>
        <v/>
      </c>
      <c r="JD105">
        <f>AND(IF(DI105="",TRUE,IF(input_executive_education_focus="",FALSE,SUMPRODUCT(--ISNUMBER(SEARCH(","&amp;TRIM(TEXTSPLIT(DI105,","))&amp;",",","&amp;SUBSTITUTE(input_executive_education_focus," ","")&amp;",")))&gt;0)),IF(DK105="",TRUE,IF(input_executive_education_focus="",FALSE,SUMPRODUCT(--ISNUMBER(SEARCH(","&amp;TRIM(TEXTSPLIT(DK105,","))&amp;",",","&amp;SUBSTITUTE(input_executive_education_focus," ","")&amp;",")))=COUNTA(TEXTSPLIT(DK105,",")))),IF(DM105="",TRUE,IF(input_executive_education_focus="",TRUE,SUMPRODUCT(--ISNUMBER(SEARCH(","&amp;TRIM(TEXTSPLIT(DM105,","))&amp;",",","&amp;SUBSTITUTE(input_executive_education_focus," ","")&amp;",")))=0)),IF(DO105="",TRUE,IF(input_executive_education_focus="",FALSE,SUMPRODUCT(--ISNUMBER(SEARCH(","&amp;TRIM(TEXTSPLIT(DO105,","))&amp;",",","&amp;SUBSTITUTE(input_executive_education_focus," ","")&amp;",")))&gt;0)),IF(DQ105="",TRUE,IF(input_executive_education_focus="",FALSE,SUMPRODUCT(--ISNUMBER(SEARCH(","&amp;TRIM(TEXTSPLIT(DQ105,","))&amp;",",","&amp;SUBSTITUTE(input_executive_education_focus," ","")&amp;",")))=COUNTA(TEXTSPLIT(DQ105,",")))))</f>
        <v/>
      </c>
      <c r="JE105">
        <f>AND(IF(DS105="",TRUE,IF(input_faculty_category="",FALSE,SUMPRODUCT(--ISNUMBER(SEARCH(","&amp;TRIM(TEXTSPLIT(DS105,","))&amp;",",","&amp;SUBSTITUTE(input_faculty_category," ","")&amp;",")))&gt;0)),IF(DU105="",TRUE,IF(input_faculty_category="",FALSE,SUMPRODUCT(--ISNUMBER(SEARCH(","&amp;TRIM(TEXTSPLIT(DU105,","))&amp;",",","&amp;SUBSTITUTE(input_faculty_category," ","")&amp;",")))=COUNTA(TEXTSPLIT(DU105,",")))),IF(DW105="",TRUE,IF(input_faculty_category="",TRUE,SUMPRODUCT(--ISNUMBER(SEARCH(","&amp;TRIM(TEXTSPLIT(DW105,","))&amp;",",","&amp;SUBSTITUTE(input_faculty_category," ","")&amp;",")))=0)),IF(DY105="",TRUE,IF(input_faculty_category="",FALSE,SUMPRODUCT(--ISNUMBER(SEARCH(","&amp;TRIM(TEXTSPLIT(DY105,","))&amp;",",","&amp;SUBSTITUTE(input_faculty_category," ","")&amp;",")))&gt;0)),IF(EA105="",TRUE,IF(input_faculty_category="",FALSE,SUMPRODUCT(--ISNUMBER(SEARCH(","&amp;TRIM(TEXTSPLIT(EA105,","))&amp;",",","&amp;SUBSTITUTE(input_faculty_category," ","")&amp;",")))=COUNTA(TEXTSPLIT(EA105,",")))))</f>
        <v/>
      </c>
      <c r="JF105">
        <f>AND(IF(EC105="",TRUE,IF(input_faculty_discipline="",FALSE,SUMPRODUCT(--ISNUMBER(SEARCH(","&amp;TRIM(TEXTSPLIT(EC105,","))&amp;",",","&amp;SUBSTITUTE(input_faculty_discipline," ","")&amp;",")))&gt;0)),IF(EE105="",TRUE,IF(input_faculty_discipline="",FALSE,SUMPRODUCT(--ISNUMBER(SEARCH(","&amp;TRIM(TEXTSPLIT(EE105,","))&amp;",",","&amp;SUBSTITUTE(input_faculty_discipline," ","")&amp;",")))=COUNTA(TEXTSPLIT(EE105,",")))),IF(EG105="",TRUE,IF(input_faculty_discipline="",TRUE,SUMPRODUCT(--ISNUMBER(SEARCH(","&amp;TRIM(TEXTSPLIT(EG105,","))&amp;",",","&amp;SUBSTITUTE(input_faculty_discipline," ","")&amp;",")))=0)),IF(EI105="",TRUE,IF(input_faculty_discipline="",FALSE,SUMPRODUCT(--ISNUMBER(SEARCH(","&amp;TRIM(TEXTSPLIT(EI105,","))&amp;",",","&amp;SUBSTITUTE(input_faculty_discipline," ","")&amp;",")))&gt;0)),IF(EK105="",TRUE,IF(input_faculty_discipline="",FALSE,SUMPRODUCT(--ISNUMBER(SEARCH(","&amp;TRIM(TEXTSPLIT(EK105,","))&amp;",",","&amp;SUBSTITUTE(input_faculty_discipline," ","")&amp;",")))=COUNTA(TEXTSPLIT(EK105,",")))))</f>
        <v/>
      </c>
      <c r="JG105">
        <f>AND(IF(EM105="",TRUE,IF(input_faculty_expertise="",FALSE,SUMPRODUCT(--ISNUMBER(SEARCH(","&amp;TRIM(TEXTSPLIT(EM105,","))&amp;",",","&amp;SUBSTITUTE(input_faculty_expertise," ","")&amp;",")))&gt;0)),IF(EO105="",TRUE,IF(input_faculty_expertise="",FALSE,SUMPRODUCT(--ISNUMBER(SEARCH(","&amp;TRIM(TEXTSPLIT(EO105,","))&amp;",",","&amp;SUBSTITUTE(input_faculty_expertise," ","")&amp;",")))=COUNTA(TEXTSPLIT(EO105,",")))),IF(EQ105="",TRUE,IF(input_faculty_expertise="",TRUE,SUMPRODUCT(--ISNUMBER(SEARCH(","&amp;TRIM(TEXTSPLIT(EQ105,","))&amp;",",","&amp;SUBSTITUTE(input_faculty_expertise," ","")&amp;",")))=0)),IF(ES105="",TRUE,IF(input_faculty_expertise="",FALSE,SUMPRODUCT(--ISNUMBER(SEARCH(","&amp;TRIM(TEXTSPLIT(ES105,","))&amp;",",","&amp;SUBSTITUTE(input_faculty_expertise," ","")&amp;",")))&gt;0)),IF(EU105="",TRUE,IF(input_faculty_expertise="",FALSE,SUMPRODUCT(--ISNUMBER(SEARCH(","&amp;TRIM(TEXTSPLIT(EU105,","))&amp;",",","&amp;SUBSTITUTE(input_faculty_expertise," ","")&amp;",")))=COUNTA(TEXTSPLIT(EU105,",")))))</f>
        <v/>
      </c>
      <c r="JH105">
        <f>AND(IF(EW105="",TRUE,IF(input_global_network_school="",FALSE,SUMPRODUCT(--ISNUMBER(SEARCH(","&amp;TRIM(TEXTSPLIT(EW105,","))&amp;",",","&amp;SUBSTITUTE(input_global_network_school," ","")&amp;",")))&gt;0)),IF(EY105="",TRUE,IF(input_global_network_school="",FALSE,SUMPRODUCT(--ISNUMBER(SEARCH(","&amp;TRIM(TEXTSPLIT(EY105,","))&amp;",",","&amp;SUBSTITUTE(input_global_network_school," ","")&amp;",")))=COUNTA(TEXTSPLIT(EY105,",")))),IF(FA105="",TRUE,IF(input_global_network_school="",TRUE,SUMPRODUCT(--ISNUMBER(SEARCH(","&amp;TRIM(TEXTSPLIT(FA105,","))&amp;",",","&amp;SUBSTITUTE(input_global_network_school," ","")&amp;",")))=0)),IF(FC105="",TRUE,IF(input_global_network_school="",FALSE,SUMPRODUCT(--ISNUMBER(SEARCH(","&amp;TRIM(TEXTSPLIT(FC105,","))&amp;",",","&amp;SUBSTITUTE(input_global_network_school," ","")&amp;",")))&gt;0)),IF(FE105="",TRUE,IF(input_global_network_school="",FALSE,SUMPRODUCT(--ISNUMBER(SEARCH(","&amp;TRIM(TEXTSPLIT(FE105,","))&amp;",",","&amp;SUBSTITUTE(input_global_network_school," ","")&amp;",")))=COUNTA(TEXTSPLIT(FE105,",")))))</f>
        <v/>
      </c>
      <c r="JI105">
        <f>AND(IF(FG105="",TRUE,IF(input_industry="",FALSE,SUMPRODUCT(--ISNUMBER(SEARCH(","&amp;TRIM(TEXTSPLIT(FG105,","))&amp;",",","&amp;SUBSTITUTE(input_industry," ","")&amp;",")))&gt;0)),IF(FI105="",TRUE,IF(input_industry="",FALSE,SUMPRODUCT(--ISNUMBER(SEARCH(","&amp;TRIM(TEXTSPLIT(FI105,","))&amp;",",","&amp;SUBSTITUTE(input_industry," ","")&amp;",")))=COUNTA(TEXTSPLIT(FI105,",")))),IF(FK105="",TRUE,IF(input_industry="",TRUE,SUMPRODUCT(--ISNUMBER(SEARCH(","&amp;TRIM(TEXTSPLIT(FK105,","))&amp;",",","&amp;SUBSTITUTE(input_industry," ","")&amp;",")))=0)),IF(FM105="",TRUE,IF(input_industry="",FALSE,SUMPRODUCT(--ISNUMBER(SEARCH(","&amp;TRIM(TEXTSPLIT(FM105,","))&amp;",",","&amp;SUBSTITUTE(input_industry," ","")&amp;",")))&gt;0)),IF(FO105="",TRUE,IF(input_industry="",FALSE,SUMPRODUCT(--ISNUMBER(SEARCH(","&amp;TRIM(TEXTSPLIT(FO105,","))&amp;",",","&amp;SUBSTITUTE(input_industry," ","")&amp;",")))=COUNTA(TEXTSPLIT(FO105,",")))))</f>
        <v/>
      </c>
      <c r="JJ105">
        <f>AND(IF(FQ105="",TRUE,IF(input_location="",FALSE,SUMPRODUCT(--ISNUMBER(SEARCH(","&amp;TRIM(TEXTSPLIT(FQ105,","))&amp;",",","&amp;SUBSTITUTE(input_location," ","")&amp;",")))&gt;0)),IF(FS105="",TRUE,IF(input_location="",FALSE,SUMPRODUCT(--ISNUMBER(SEARCH(","&amp;TRIM(TEXTSPLIT(FS105,","))&amp;",",","&amp;SUBSTITUTE(input_location," ","")&amp;",")))=COUNTA(TEXTSPLIT(FS105,",")))),IF(FU105="",TRUE,IF(input_location="",TRUE,SUMPRODUCT(--ISNUMBER(SEARCH(","&amp;TRIM(TEXTSPLIT(FU105,","))&amp;",",","&amp;SUBSTITUTE(input_location," ","")&amp;",")))=0)),IF(FW105="",TRUE,IF(input_location="",FALSE,SUMPRODUCT(--ISNUMBER(SEARCH(","&amp;TRIM(TEXTSPLIT(FW105,","))&amp;",",","&amp;SUBSTITUTE(input_location," ","")&amp;",")))&gt;0)),IF(FY105="",TRUE,IF(input_location="",FALSE,SUMPRODUCT(--ISNUMBER(SEARCH(","&amp;TRIM(TEXTSPLIT(FY105,","))&amp;",",","&amp;SUBSTITUTE(input_location," ","")&amp;",")))=COUNTA(TEXTSPLIT(FY105,",")))))</f>
        <v/>
      </c>
      <c r="JK105">
        <f>AND(IF(GA105="",TRUE,IF(input_modality="",FALSE,SUMPRODUCT(--ISNUMBER(SEARCH(","&amp;TRIM(TEXTSPLIT(GA105,","))&amp;",",","&amp;SUBSTITUTE(input_modality," ","")&amp;",")))&gt;0)),IF(GC105="",TRUE,IF(input_modality="",FALSE,SUMPRODUCT(--ISNUMBER(SEARCH(","&amp;TRIM(TEXTSPLIT(GC105,","))&amp;",",","&amp;SUBSTITUTE(input_modality," ","")&amp;",")))=COUNTA(TEXTSPLIT(GC105,",")))),IF(GE105="",TRUE,IF(input_modality="",TRUE,SUMPRODUCT(--ISNUMBER(SEARCH(","&amp;TRIM(TEXTSPLIT(GE105,","))&amp;",",","&amp;SUBSTITUTE(input_modality," ","")&amp;",")))=0)),IF(GG105="",TRUE,IF(input_modality="",FALSE,SUMPRODUCT(--ISNUMBER(SEARCH(","&amp;TRIM(TEXTSPLIT(GG105,","))&amp;",",","&amp;SUBSTITUTE(input_modality," ","")&amp;",")))&gt;0)),IF(GI105="",TRUE,IF(input_modality="",FALSE,SUMPRODUCT(--ISNUMBER(SEARCH(","&amp;TRIM(TEXTSPLIT(GI105,","))&amp;",",","&amp;SUBSTITUTE(input_modality," ","")&amp;",")))=COUNTA(TEXTSPLIT(GI105,",")))))</f>
        <v/>
      </c>
      <c r="JL105">
        <f>AND(IF(GK105="",TRUE,IF(input_organizer="",FALSE,SUMPRODUCT(--ISNUMBER(SEARCH(","&amp;TRIM(TEXTSPLIT(GK105,","))&amp;",",","&amp;SUBSTITUTE(input_organizer," ","")&amp;",")))&gt;0)),IF(GM105="",TRUE,IF(input_organizer="",FALSE,SUMPRODUCT(--ISNUMBER(SEARCH(","&amp;TRIM(TEXTSPLIT(GM105,","))&amp;",",","&amp;SUBSTITUTE(input_organizer," ","")&amp;",")))=COUNTA(TEXTSPLIT(GM105,",")))),IF(GO105="",TRUE,IF(input_organizer="",TRUE,SUMPRODUCT(--ISNUMBER(SEARCH(","&amp;TRIM(TEXTSPLIT(GO105,","))&amp;",",","&amp;SUBSTITUTE(input_organizer," ","")&amp;",")))=0)),IF(GQ105="",TRUE,IF(input_organizer="",FALSE,SUMPRODUCT(--ISNUMBER(SEARCH(","&amp;TRIM(TEXTSPLIT(GQ105,","))&amp;",",","&amp;SUBSTITUTE(input_organizer," ","")&amp;",")))&gt;0)),IF(GS105="",TRUE,IF(input_organizer="",FALSE,SUMPRODUCT(--ISNUMBER(SEARCH(","&amp;TRIM(TEXTSPLIT(GS105,","))&amp;",",","&amp;SUBSTITUTE(input_organizer," ","")&amp;",")))=COUNTA(TEXTSPLIT(GS105,",")))))</f>
        <v/>
      </c>
      <c r="JM105">
        <f>AND(IF(GU105="",TRUE,IF(input_profile_type="",FALSE,SUMPRODUCT(--ISNUMBER(SEARCH(","&amp;TRIM(TEXTSPLIT(GU105,","))&amp;",",","&amp;SUBSTITUTE(input_profile_type," ","")&amp;",")))&gt;0)),IF(GW105="",TRUE,IF(input_profile_type="",FALSE,SUMPRODUCT(--ISNUMBER(SEARCH(","&amp;TRIM(TEXTSPLIT(GW105,","))&amp;",",","&amp;SUBSTITUTE(input_profile_type," ","")&amp;",")))=COUNTA(TEXTSPLIT(GW105,",")))),IF(GY105="",TRUE,IF(input_profile_type="",TRUE,SUMPRODUCT(--ISNUMBER(SEARCH(","&amp;TRIM(TEXTSPLIT(GY105,","))&amp;",",","&amp;SUBSTITUTE(input_profile_type," ","")&amp;",")))=0)),IF(HA105="",TRUE,IF(input_profile_type="",FALSE,SUMPRODUCT(--ISNUMBER(SEARCH(","&amp;TRIM(TEXTSPLIT(HA105,","))&amp;",",","&amp;SUBSTITUTE(input_profile_type," ","")&amp;",")))&gt;0)),IF(HC105="",TRUE,IF(input_profile_type="",FALSE,SUMPRODUCT(--ISNUMBER(SEARCH(","&amp;TRIM(TEXTSPLIT(HC105,","))&amp;",",","&amp;SUBSTITUTE(input_profile_type," ","")&amp;",")))=COUNTA(TEXTSPLIT(HC105,",")))))</f>
        <v/>
      </c>
      <c r="JN105">
        <f>AND(IF(HE105="",TRUE,IF(input_program="",FALSE,SUMPRODUCT(--ISNUMBER(SEARCH(","&amp;TRIM(TEXTSPLIT(HE105,","))&amp;",",","&amp;SUBSTITUTE(input_program," ","")&amp;",")))&gt;0)),IF(HG105="",TRUE,IF(input_program="",FALSE,SUMPRODUCT(--ISNUMBER(SEARCH(","&amp;TRIM(TEXTSPLIT(HG105,","))&amp;",",","&amp;SUBSTITUTE(input_program," ","")&amp;",")))=COUNTA(TEXTSPLIT(HG105,",")))),IF(HI105="",TRUE,IF(input_program="",TRUE,SUMPRODUCT(--ISNUMBER(SEARCH(","&amp;TRIM(TEXTSPLIT(HI105,","))&amp;",",","&amp;SUBSTITUTE(input_program," ","")&amp;",")))=0)),IF(HK105="",TRUE,IF(input_program="",FALSE,SUMPRODUCT(--ISNUMBER(SEARCH(","&amp;TRIM(TEXTSPLIT(HK105,","))&amp;",",","&amp;SUBSTITUTE(input_program," ","")&amp;",")))&gt;0)),IF(HM105="",TRUE,IF(input_program="",FALSE,SUMPRODUCT(--ISNUMBER(SEARCH(","&amp;TRIM(TEXTSPLIT(HM105,","))&amp;",",","&amp;SUBSTITUTE(input_program," ","")&amp;",")))=COUNTA(TEXTSPLIT(HM105,",")))))</f>
        <v/>
      </c>
      <c r="JO105">
        <f>AND(IF(HO105="",TRUE,IF(input_story_categories="",FALSE,SUMPRODUCT(--ISNUMBER(SEARCH(","&amp;TRIM(TEXTSPLIT(HO105,","))&amp;",",","&amp;SUBSTITUTE(input_story_categories," ","")&amp;",")))&gt;0)),IF(HQ105="",TRUE,IF(input_story_categories="",FALSE,SUMPRODUCT(--ISNUMBER(SEARCH(","&amp;TRIM(TEXTSPLIT(HQ105,","))&amp;",",","&amp;SUBSTITUTE(input_story_categories," ","")&amp;",")))=COUNTA(TEXTSPLIT(HQ105,",")))),IF(HS105="",TRUE,IF(input_story_categories="",TRUE,SUMPRODUCT(--ISNUMBER(SEARCH(","&amp;TRIM(TEXTSPLIT(HS105,","))&amp;",",","&amp;SUBSTITUTE(input_story_categories," ","")&amp;",")))=0)),IF(HU105="",TRUE,IF(input_story_categories="",FALSE,SUMPRODUCT(--ISNUMBER(SEARCH(","&amp;TRIM(TEXTSPLIT(HU105,","))&amp;",",","&amp;SUBSTITUTE(input_story_categories," ","")&amp;",")))&gt;0)),IF(HW105="",TRUE,IF(input_story_categories="",FALSE,SUMPRODUCT(--ISNUMBER(SEARCH(","&amp;TRIM(TEXTSPLIT(HW105,","))&amp;",",","&amp;SUBSTITUTE(input_story_categories," ","")&amp;",")))=COUNTA(TEXTSPLIT(HW105,",")))))</f>
        <v/>
      </c>
      <c r="JP105">
        <f>AND(IF(HY105="",TRUE,IF(input_story_type="",FALSE,SUMPRODUCT(--ISNUMBER(SEARCH(","&amp;TRIM(TEXTSPLIT(HY105,","))&amp;",",","&amp;SUBSTITUTE(input_story_type," ","")&amp;",")))&gt;0)),IF(IA105="",TRUE,IF(input_story_type="",FALSE,SUMPRODUCT(--ISNUMBER(SEARCH(","&amp;TRIM(TEXTSPLIT(IA105,","))&amp;",",","&amp;SUBSTITUTE(input_story_type," ","")&amp;",")))=COUNTA(TEXTSPLIT(IA105,",")))),IF(IC105="",TRUE,IF(input_story_type="",TRUE,SUMPRODUCT(--ISNUMBER(SEARCH(","&amp;TRIM(TEXTSPLIT(IC105,","))&amp;",",","&amp;SUBSTITUTE(input_story_type," ","")&amp;",")))=0)),IF(IE105="",TRUE,IF(input_story_type="",FALSE,SUMPRODUCT(--ISNUMBER(SEARCH(","&amp;TRIM(TEXTSPLIT(IE105,","))&amp;",",","&amp;SUBSTITUTE(input_story_type," ","")&amp;",")))&gt;0)),IF(IG105="",TRUE,IF(input_story_type="",FALSE,SUMPRODUCT(--ISNUMBER(SEARCH(","&amp;TRIM(TEXTSPLIT(IG105,","))&amp;",",","&amp;SUBSTITUTE(input_story_type," ","")&amp;",")))=COUNTA(TEXTSPLIT(IG105,",")))))</f>
        <v/>
      </c>
      <c r="JQ105">
        <f>AND(IF(II105="",TRUE,IF(input_topics="",FALSE,SUMPRODUCT(--ISNUMBER(SEARCH(","&amp;TRIM(TEXTSPLIT(II105,","))&amp;",",","&amp;SUBSTITUTE(input_topics," ","")&amp;",")))&gt;0)),IF(IK105="",TRUE,IF(input_topics="",FALSE,SUMPRODUCT(--ISNUMBER(SEARCH(","&amp;TRIM(TEXTSPLIT(IK105,","))&amp;",",","&amp;SUBSTITUTE(input_topics," ","")&amp;",")))=COUNTA(TEXTSPLIT(IK105,",")))),IF(IM105="",TRUE,IF(input_topics="",TRUE,SUMPRODUCT(--ISNUMBER(SEARCH(","&amp;TRIM(TEXTSPLIT(IM105,","))&amp;",",","&amp;SUBSTITUTE(input_topics," ","")&amp;",")))=0)),IF(IO105="",TRUE,IF(input_topics="",FALSE,SUMPRODUCT(--ISNUMBER(SEARCH(","&amp;TRIM(TEXTSPLIT(IO105,","))&amp;",",","&amp;SUBSTITUTE(input_topics," ","")&amp;",")))&gt;0)),IF(IQ105="",TRUE,IF(input_topics="",FALSE,SUMPRODUCT(--ISNUMBER(SEARCH(","&amp;TRIM(TEXTSPLIT(IQ105,","))&amp;",",","&amp;SUBSTITUTE(input_topics," ","")&amp;",")))=COUNTA(TEXTSPLIT(IQ105,",")))))</f>
        <v/>
      </c>
    </row>
    <row r="106">
      <c r="A106" s="4">
        <f>IF(NOT(IS106),"Excluded",IF(AND(IT106,IU106,IV106,IW106,IX106,IY106,IZ106,JA106,JB106,JC106,JD106,JE106,JF106,JG106,JH106,JI106,JJ106,JK106,JL106,JM106,JN106,JO106,JP106,JQ106),IF(I106&gt;0,"Eligible but limited","Will appear"),"Excluded"))</f>
        <v/>
      </c>
      <c r="B106" s="4" t="inlineStr">
        <is>
          <t>Events</t>
        </is>
      </c>
      <c r="C106" s="4" t="inlineStr">
        <is>
          <t>/programs/mam</t>
        </is>
      </c>
      <c r="D106" s="4" t="inlineStr">
        <is>
          <t>/programs/mam</t>
        </is>
      </c>
      <c r="E106" s="4" t="n">
        <v>1</v>
      </c>
      <c r="F106" s="4" t="inlineStr">
        <is>
          <t>event</t>
        </is>
      </c>
      <c r="G106" s="4" t="inlineStr">
        <is>
          <t>event_teaser_list</t>
        </is>
      </c>
      <c r="H106" s="4" t="inlineStr">
        <is>
          <t>embed_1</t>
        </is>
      </c>
      <c r="I106" s="4" t="n">
        <v>3</v>
      </c>
      <c r="J106" s="4" t="inlineStr">
        <is>
          <t>Section inferred</t>
        </is>
      </c>
      <c r="K106" s="4" t="inlineStr">
        <is>
          <t>Page placement</t>
        </is>
      </c>
      <c r="L106" s="4" t="inlineStr">
        <is>
          <t>Content type: event; Context uses Courses Context: Master of Advanced Management (932); Limited to 3 item(s); Source: Section inferred</t>
        </is>
      </c>
      <c r="M106" t="inlineStr"/>
      <c r="N106" t="inlineStr"/>
      <c r="O106" t="inlineStr"/>
      <c r="P106" t="inlineStr"/>
      <c r="Q106" t="inlineStr"/>
      <c r="R106" t="inlineStr"/>
      <c r="S106" t="inlineStr"/>
      <c r="T106" t="inlineStr"/>
      <c r="U106" t="inlineStr"/>
      <c r="V106" t="inlineStr"/>
      <c r="W106" t="inlineStr"/>
      <c r="X106" t="inlineStr"/>
      <c r="Y106" t="inlineStr"/>
      <c r="Z106" t="inlineStr"/>
      <c r="AA106" t="inlineStr"/>
      <c r="AB106" t="inlineStr"/>
      <c r="AC106" t="inlineStr"/>
      <c r="AD106" t="inlineStr"/>
      <c r="AE106" t="inlineStr"/>
      <c r="AF106" t="inlineStr"/>
      <c r="AG106" t="inlineStr"/>
      <c r="AH106" t="inlineStr"/>
      <c r="AI106" t="inlineStr"/>
      <c r="AJ106" t="inlineStr"/>
      <c r="AK106" t="inlineStr"/>
      <c r="AL106" t="inlineStr"/>
      <c r="AM106" t="inlineStr"/>
      <c r="AN106" t="inlineStr"/>
      <c r="AO106" t="inlineStr"/>
      <c r="AP106" t="inlineStr"/>
      <c r="AQ106" t="inlineStr"/>
      <c r="AR106" t="inlineStr"/>
      <c r="AS106" t="inlineStr"/>
      <c r="AT106" t="inlineStr"/>
      <c r="AU106" t="inlineStr"/>
      <c r="AV106" t="inlineStr"/>
      <c r="AW106" t="inlineStr"/>
      <c r="AX106" t="inlineStr"/>
      <c r="AY106" t="inlineStr"/>
      <c r="AZ106" t="inlineStr"/>
      <c r="BA106" t="inlineStr"/>
      <c r="BB106" t="inlineStr"/>
      <c r="BC106" t="inlineStr"/>
      <c r="BD106" t="inlineStr"/>
      <c r="BE106" t="inlineStr"/>
      <c r="BF106" t="inlineStr"/>
      <c r="BG106" t="inlineStr"/>
      <c r="BH106" t="inlineStr"/>
      <c r="BI106" t="inlineStr"/>
      <c r="BJ106" t="inlineStr"/>
      <c r="BK106" t="inlineStr"/>
      <c r="BL106" t="inlineStr"/>
      <c r="BM106" t="inlineStr"/>
      <c r="BN106" t="inlineStr"/>
      <c r="BO106" t="inlineStr"/>
      <c r="BP106" t="inlineStr"/>
      <c r="BQ106" t="inlineStr">
        <is>
          <t>932</t>
        </is>
      </c>
      <c r="BR106" t="inlineStr">
        <is>
          <t>Master of Advanced Management (932)</t>
        </is>
      </c>
      <c r="BS106" t="inlineStr"/>
      <c r="BT106" t="inlineStr"/>
      <c r="BU106" t="inlineStr"/>
      <c r="BV106" t="inlineStr"/>
      <c r="BW106" t="inlineStr"/>
      <c r="BX106" t="inlineStr"/>
      <c r="BY106" t="inlineStr"/>
      <c r="BZ106" t="inlineStr"/>
      <c r="CA106" t="inlineStr"/>
      <c r="CB106" t="inlineStr"/>
      <c r="CC106" t="inlineStr"/>
      <c r="CD106" t="inlineStr"/>
      <c r="CE106" t="inlineStr"/>
      <c r="CF106" t="inlineStr"/>
      <c r="CG106" t="inlineStr"/>
      <c r="CH106" t="inlineStr"/>
      <c r="CI106" t="inlineStr"/>
      <c r="CJ106" t="inlineStr"/>
      <c r="CK106" t="inlineStr"/>
      <c r="CL106" t="inlineStr"/>
      <c r="CM106" t="inlineStr"/>
      <c r="CN106" t="inlineStr"/>
      <c r="CO106" t="inlineStr"/>
      <c r="CP106" t="inlineStr"/>
      <c r="CQ106" t="inlineStr"/>
      <c r="CR106" t="inlineStr"/>
      <c r="CS106" t="inlineStr"/>
      <c r="CT106" t="inlineStr"/>
      <c r="CU106" t="inlineStr"/>
      <c r="CV106" t="inlineStr"/>
      <c r="CW106" t="inlineStr"/>
      <c r="CX106" t="inlineStr"/>
      <c r="CY106" t="inlineStr"/>
      <c r="CZ106" t="inlineStr"/>
      <c r="DA106" t="inlineStr"/>
      <c r="DB106" t="inlineStr"/>
      <c r="DC106" t="inlineStr"/>
      <c r="DD106" t="inlineStr"/>
      <c r="DE106" t="inlineStr"/>
      <c r="DF106" t="inlineStr"/>
      <c r="DG106" t="inlineStr"/>
      <c r="DH106" t="inlineStr"/>
      <c r="DI106" t="inlineStr"/>
      <c r="DJ106" t="inlineStr"/>
      <c r="DK106" t="inlineStr"/>
      <c r="DL106" t="inlineStr"/>
      <c r="DM106" t="inlineStr"/>
      <c r="DN106" t="inlineStr"/>
      <c r="DO106" t="inlineStr"/>
      <c r="DP106" t="inlineStr"/>
      <c r="DQ106" t="inlineStr"/>
      <c r="DR106" t="inlineStr"/>
      <c r="DS106" t="inlineStr"/>
      <c r="DT106" t="inlineStr"/>
      <c r="DU106" t="inlineStr"/>
      <c r="DV106" t="inlineStr"/>
      <c r="DW106" t="inlineStr"/>
      <c r="DX106" t="inlineStr"/>
      <c r="DY106" t="inlineStr"/>
      <c r="DZ106" t="inlineStr"/>
      <c r="EA106" t="inlineStr"/>
      <c r="EB106" t="inlineStr"/>
      <c r="EC106" t="inlineStr"/>
      <c r="ED106" t="inlineStr"/>
      <c r="EE106" t="inlineStr"/>
      <c r="EF106" t="inlineStr"/>
      <c r="EG106" t="inlineStr"/>
      <c r="EH106" t="inlineStr"/>
      <c r="EI106" t="inlineStr"/>
      <c r="EJ106" t="inlineStr"/>
      <c r="EK106" t="inlineStr"/>
      <c r="EL106" t="inlineStr"/>
      <c r="EM106" t="inlineStr"/>
      <c r="EN106" t="inlineStr"/>
      <c r="EO106" t="inlineStr"/>
      <c r="EP106" t="inlineStr"/>
      <c r="EQ106" t="inlineStr"/>
      <c r="ER106" t="inlineStr"/>
      <c r="ES106" t="inlineStr"/>
      <c r="ET106" t="inlineStr"/>
      <c r="EU106" t="inlineStr"/>
      <c r="EV106" t="inlineStr"/>
      <c r="EW106" t="inlineStr"/>
      <c r="EX106" t="inlineStr"/>
      <c r="EY106" t="inlineStr"/>
      <c r="EZ106" t="inlineStr"/>
      <c r="FA106" t="inlineStr"/>
      <c r="FB106" t="inlineStr"/>
      <c r="FC106" t="inlineStr"/>
      <c r="FD106" t="inlineStr"/>
      <c r="FE106" t="inlineStr"/>
      <c r="FF106" t="inlineStr"/>
      <c r="FG106" t="inlineStr"/>
      <c r="FH106" t="inlineStr"/>
      <c r="FI106" t="inlineStr"/>
      <c r="FJ106" t="inlineStr"/>
      <c r="FK106" t="inlineStr"/>
      <c r="FL106" t="inlineStr"/>
      <c r="FM106" t="inlineStr"/>
      <c r="FN106" t="inlineStr"/>
      <c r="FO106" t="inlineStr"/>
      <c r="FP106" t="inlineStr"/>
      <c r="FQ106" t="inlineStr"/>
      <c r="FR106" t="inlineStr"/>
      <c r="FS106" t="inlineStr"/>
      <c r="FT106" t="inlineStr"/>
      <c r="FU106" t="inlineStr"/>
      <c r="FV106" t="inlineStr"/>
      <c r="FW106" t="inlineStr"/>
      <c r="FX106" t="inlineStr"/>
      <c r="FY106" t="inlineStr"/>
      <c r="FZ106" t="inlineStr"/>
      <c r="GA106" t="inlineStr"/>
      <c r="GB106" t="inlineStr"/>
      <c r="GC106" t="inlineStr"/>
      <c r="GD106" t="inlineStr"/>
      <c r="GE106" t="inlineStr"/>
      <c r="GF106" t="inlineStr"/>
      <c r="GG106" t="inlineStr"/>
      <c r="GH106" t="inlineStr"/>
      <c r="GI106" t="inlineStr"/>
      <c r="GJ106" t="inlineStr"/>
      <c r="GK106" t="inlineStr"/>
      <c r="GL106" t="inlineStr"/>
      <c r="GM106" t="inlineStr"/>
      <c r="GN106" t="inlineStr"/>
      <c r="GO106" t="inlineStr"/>
      <c r="GP106" t="inlineStr"/>
      <c r="GQ106" t="inlineStr"/>
      <c r="GR106" t="inlineStr"/>
      <c r="GS106" t="inlineStr"/>
      <c r="GT106" t="inlineStr"/>
      <c r="GU106" t="inlineStr"/>
      <c r="GV106" t="inlineStr"/>
      <c r="GW106" t="inlineStr"/>
      <c r="GX106" t="inlineStr"/>
      <c r="GY106" t="inlineStr"/>
      <c r="GZ106" t="inlineStr"/>
      <c r="HA106" t="inlineStr"/>
      <c r="HB106" t="inlineStr"/>
      <c r="HC106" t="inlineStr"/>
      <c r="HD106" t="inlineStr"/>
      <c r="HE106" t="inlineStr"/>
      <c r="HF106" t="inlineStr"/>
      <c r="HG106" t="inlineStr"/>
      <c r="HH106" t="inlineStr"/>
      <c r="HI106" t="inlineStr"/>
      <c r="HJ106" t="inlineStr"/>
      <c r="HK106" t="inlineStr"/>
      <c r="HL106" t="inlineStr"/>
      <c r="HM106" t="inlineStr"/>
      <c r="HN106" t="inlineStr"/>
      <c r="HO106" t="inlineStr"/>
      <c r="HP106" t="inlineStr"/>
      <c r="HQ106" t="inlineStr"/>
      <c r="HR106" t="inlineStr"/>
      <c r="HS106" t="inlineStr"/>
      <c r="HT106" t="inlineStr"/>
      <c r="HU106" t="inlineStr"/>
      <c r="HV106" t="inlineStr"/>
      <c r="HW106" t="inlineStr"/>
      <c r="HX106" t="inlineStr"/>
      <c r="HY106" t="inlineStr"/>
      <c r="HZ106" t="inlineStr"/>
      <c r="IA106" t="inlineStr"/>
      <c r="IB106" t="inlineStr"/>
      <c r="IC106" t="inlineStr"/>
      <c r="ID106" t="inlineStr"/>
      <c r="IE106" t="inlineStr"/>
      <c r="IF106" t="inlineStr"/>
      <c r="IG106" t="inlineStr"/>
      <c r="IH106" t="inlineStr"/>
      <c r="II106" t="inlineStr"/>
      <c r="IJ106" t="inlineStr"/>
      <c r="IK106" t="inlineStr"/>
      <c r="IL106" t="inlineStr"/>
      <c r="IM106" t="inlineStr"/>
      <c r="IN106" t="inlineStr"/>
      <c r="IO106" t="inlineStr"/>
      <c r="IP106" t="inlineStr"/>
      <c r="IQ106" t="inlineStr"/>
      <c r="IR106" t="inlineStr"/>
      <c r="IS106">
        <f>IF(input_content_type="",FALSE,ISNUMBER(SEARCH(","&amp;LOWER(input_content_type)&amp;",",","&amp;LOWER(F106)&amp;",")))</f>
        <v/>
      </c>
      <c r="IT106">
        <f>AND(IF(M106="",TRUE,IF(input_affiliations="",FALSE,SUMPRODUCT(--ISNUMBER(SEARCH(","&amp;TRIM(TEXTSPLIT(M106,","))&amp;",",","&amp;SUBSTITUTE(input_affiliations," ","")&amp;",")))&gt;0)),IF(O106="",TRUE,IF(input_affiliations="",FALSE,SUMPRODUCT(--ISNUMBER(SEARCH(","&amp;TRIM(TEXTSPLIT(O106,","))&amp;",",","&amp;SUBSTITUTE(input_affiliations," ","")&amp;",")))=COUNTA(TEXTSPLIT(O106,",")))),IF(Q106="",TRUE,IF(input_affiliations="",TRUE,SUMPRODUCT(--ISNUMBER(SEARCH(","&amp;TRIM(TEXTSPLIT(Q106,","))&amp;",",","&amp;SUBSTITUTE(input_affiliations," ","")&amp;",")))=0)),IF(S106="",TRUE,IF(input_affiliations="",FALSE,SUMPRODUCT(--ISNUMBER(SEARCH(","&amp;TRIM(TEXTSPLIT(S106,","))&amp;",",","&amp;SUBSTITUTE(input_affiliations," ","")&amp;",")))&gt;0)),IF(U106="",TRUE,IF(input_affiliations="",FALSE,SUMPRODUCT(--ISNUMBER(SEARCH(","&amp;TRIM(TEXTSPLIT(U106,","))&amp;",",","&amp;SUBSTITUTE(input_affiliations," ","")&amp;",")))=COUNTA(TEXTSPLIT(U106,",")))))</f>
        <v/>
      </c>
      <c r="IU106">
        <f>AND(IF(W106="",TRUE,IF(input_announcement_category="",FALSE,SUMPRODUCT(--ISNUMBER(SEARCH(","&amp;TRIM(TEXTSPLIT(W106,","))&amp;",",","&amp;SUBSTITUTE(input_announcement_category," ","")&amp;",")))&gt;0)),IF(Y106="",TRUE,IF(input_announcement_category="",FALSE,SUMPRODUCT(--ISNUMBER(SEARCH(","&amp;TRIM(TEXTSPLIT(Y106,","))&amp;",",","&amp;SUBSTITUTE(input_announcement_category," ","")&amp;",")))=COUNTA(TEXTSPLIT(Y106,",")))),IF(AA106="",TRUE,IF(input_announcement_category="",TRUE,SUMPRODUCT(--ISNUMBER(SEARCH(","&amp;TRIM(TEXTSPLIT(AA106,","))&amp;",",","&amp;SUBSTITUTE(input_announcement_category," ","")&amp;",")))=0)),IF(AC106="",TRUE,IF(input_announcement_category="",FALSE,SUMPRODUCT(--ISNUMBER(SEARCH(","&amp;TRIM(TEXTSPLIT(AC106,","))&amp;",",","&amp;SUBSTITUTE(input_announcement_category," ","")&amp;",")))&gt;0)),IF(AE106="",TRUE,IF(input_announcement_category="",FALSE,SUMPRODUCT(--ISNUMBER(SEARCH(","&amp;TRIM(TEXTSPLIT(AE106,","))&amp;",",","&amp;SUBSTITUTE(input_announcement_category," ","")&amp;",")))=COUNTA(TEXTSPLIT(AE106,",")))))</f>
        <v/>
      </c>
      <c r="IV106">
        <f>AND(IF(AG106="",TRUE,IF(input_area_of_focus="",FALSE,SUMPRODUCT(--ISNUMBER(SEARCH(","&amp;TRIM(TEXTSPLIT(AG106,","))&amp;",",","&amp;SUBSTITUTE(input_area_of_focus," ","")&amp;",")))&gt;0)),IF(AI106="",TRUE,IF(input_area_of_focus="",FALSE,SUMPRODUCT(--ISNUMBER(SEARCH(","&amp;TRIM(TEXTSPLIT(AI106,","))&amp;",",","&amp;SUBSTITUTE(input_area_of_focus," ","")&amp;",")))=COUNTA(TEXTSPLIT(AI106,",")))),IF(AK106="",TRUE,IF(input_area_of_focus="",TRUE,SUMPRODUCT(--ISNUMBER(SEARCH(","&amp;TRIM(TEXTSPLIT(AK106,","))&amp;",",","&amp;SUBSTITUTE(input_area_of_focus," ","")&amp;",")))=0)),IF(AM106="",TRUE,IF(input_area_of_focus="",FALSE,SUMPRODUCT(--ISNUMBER(SEARCH(","&amp;TRIM(TEXTSPLIT(AM106,","))&amp;",",","&amp;SUBSTITUTE(input_area_of_focus," ","")&amp;",")))&gt;0)),IF(AO106="",TRUE,IF(input_area_of_focus="",FALSE,SUMPRODUCT(--ISNUMBER(SEARCH(","&amp;TRIM(TEXTSPLIT(AO106,","))&amp;",",","&amp;SUBSTITUTE(input_area_of_focus," ","")&amp;",")))=COUNTA(TEXTSPLIT(AO106,",")))))</f>
        <v/>
      </c>
      <c r="IW106">
        <f>AND(IF(AQ106="",TRUE,IF(input_audience="",FALSE,SUMPRODUCT(--ISNUMBER(SEARCH(","&amp;TRIM(TEXTSPLIT(AQ106,","))&amp;",",","&amp;SUBSTITUTE(input_audience," ","")&amp;",")))&gt;0)),IF(AS106="",TRUE,IF(input_audience="",FALSE,SUMPRODUCT(--ISNUMBER(SEARCH(","&amp;TRIM(TEXTSPLIT(AS106,","))&amp;",",","&amp;SUBSTITUTE(input_audience," ","")&amp;",")))=COUNTA(TEXTSPLIT(AS106,",")))),IF(AU106="",TRUE,IF(input_audience="",TRUE,SUMPRODUCT(--ISNUMBER(SEARCH(","&amp;TRIM(TEXTSPLIT(AU106,","))&amp;",",","&amp;SUBSTITUTE(input_audience," ","")&amp;",")))=0)),IF(AW106="",TRUE,IF(input_audience="",FALSE,SUMPRODUCT(--ISNUMBER(SEARCH(","&amp;TRIM(TEXTSPLIT(AW106,","))&amp;",",","&amp;SUBSTITUTE(input_audience," ","")&amp;",")))&gt;0)),IF(AY106="",TRUE,IF(input_audience="",FALSE,SUMPRODUCT(--ISNUMBER(SEARCH(","&amp;TRIM(TEXTSPLIT(AY106,","))&amp;",",","&amp;SUBSTITUTE(input_audience," ","")&amp;",")))=COUNTA(TEXTSPLIT(AY106,",")))))</f>
        <v/>
      </c>
      <c r="IX106">
        <f>AND(IF(BA106="",TRUE,IF(input_challenge_opportunities="",FALSE,SUMPRODUCT(--ISNUMBER(SEARCH(","&amp;TRIM(TEXTSPLIT(BA106,","))&amp;",",","&amp;SUBSTITUTE(input_challenge_opportunities," ","")&amp;",")))&gt;0)),IF(BC106="",TRUE,IF(input_challenge_opportunities="",FALSE,SUMPRODUCT(--ISNUMBER(SEARCH(","&amp;TRIM(TEXTSPLIT(BC106,","))&amp;",",","&amp;SUBSTITUTE(input_challenge_opportunities," ","")&amp;",")))=COUNTA(TEXTSPLIT(BC106,",")))),IF(BE106="",TRUE,IF(input_challenge_opportunities="",TRUE,SUMPRODUCT(--ISNUMBER(SEARCH(","&amp;TRIM(TEXTSPLIT(BE106,","))&amp;",",","&amp;SUBSTITUTE(input_challenge_opportunities," ","")&amp;",")))=0)),IF(BG106="",TRUE,IF(input_challenge_opportunities="",FALSE,SUMPRODUCT(--ISNUMBER(SEARCH(","&amp;TRIM(TEXTSPLIT(BG106,","))&amp;",",","&amp;SUBSTITUTE(input_challenge_opportunities," ","")&amp;",")))&gt;0)),IF(BI106="",TRUE,IF(input_challenge_opportunities="",FALSE,SUMPRODUCT(--ISNUMBER(SEARCH(","&amp;TRIM(TEXTSPLIT(BI106,","))&amp;",",","&amp;SUBSTITUTE(input_challenge_opportunities," ","")&amp;",")))=COUNTA(TEXTSPLIT(BI106,",")))))</f>
        <v/>
      </c>
      <c r="IY106">
        <f>AND(IF(BK106="",TRUE,IF(input_context="",FALSE,SUMPRODUCT(--ISNUMBER(SEARCH(","&amp;TRIM(TEXTSPLIT(BK106,","))&amp;",",","&amp;SUBSTITUTE(input_context," ","")&amp;",")))&gt;0)),IF(BM106="",TRUE,IF(input_context="",FALSE,SUMPRODUCT(--ISNUMBER(SEARCH(","&amp;TRIM(TEXTSPLIT(BM106,","))&amp;",",","&amp;SUBSTITUTE(input_context," ","")&amp;",")))=COUNTA(TEXTSPLIT(BM106,",")))),IF(BO106="",TRUE,IF(input_context="",TRUE,SUMPRODUCT(--ISNUMBER(SEARCH(","&amp;TRIM(TEXTSPLIT(BO106,","))&amp;",",","&amp;SUBSTITUTE(input_context," ","")&amp;",")))=0)),IF(BQ106="",TRUE,IF(input_context="",FALSE,SUMPRODUCT(--ISNUMBER(SEARCH(","&amp;TRIM(TEXTSPLIT(BQ106,","))&amp;",",","&amp;SUBSTITUTE(input_context," ","")&amp;",")))&gt;0)),IF(BS106="",TRUE,IF(input_context="",FALSE,SUMPRODUCT(--ISNUMBER(SEARCH(","&amp;TRIM(TEXTSPLIT(BS106,","))&amp;",",","&amp;SUBSTITUTE(input_context," ","")&amp;",")))=COUNTA(TEXTSPLIT(BS106,",")))))</f>
        <v/>
      </c>
      <c r="IZ106">
        <f>AND(IF(BU106="",TRUE,IF(input_enews_announcement_type="",FALSE,SUMPRODUCT(--ISNUMBER(SEARCH(","&amp;TRIM(TEXTSPLIT(BU106,","))&amp;",",","&amp;SUBSTITUTE(input_enews_announcement_type," ","")&amp;",")))&gt;0)),IF(BW106="",TRUE,IF(input_enews_announcement_type="",FALSE,SUMPRODUCT(--ISNUMBER(SEARCH(","&amp;TRIM(TEXTSPLIT(BW106,","))&amp;",",","&amp;SUBSTITUTE(input_enews_announcement_type," ","")&amp;",")))=COUNTA(TEXTSPLIT(BW106,",")))),IF(BY106="",TRUE,IF(input_enews_announcement_type="",TRUE,SUMPRODUCT(--ISNUMBER(SEARCH(","&amp;TRIM(TEXTSPLIT(BY106,","))&amp;",",","&amp;SUBSTITUTE(input_enews_announcement_type," ","")&amp;",")))=0)),IF(CA106="",TRUE,IF(input_enews_announcement_type="",FALSE,SUMPRODUCT(--ISNUMBER(SEARCH(","&amp;TRIM(TEXTSPLIT(CA106,","))&amp;",",","&amp;SUBSTITUTE(input_enews_announcement_type," ","")&amp;",")))&gt;0)),IF(CC106="",TRUE,IF(input_enews_announcement_type="",FALSE,SUMPRODUCT(--ISNUMBER(SEARCH(","&amp;TRIM(TEXTSPLIT(CC106,","))&amp;",",","&amp;SUBSTITUTE(input_enews_announcement_type," ","")&amp;",")))=COUNTA(TEXTSPLIT(CC106,",")))))</f>
        <v/>
      </c>
      <c r="JA106">
        <f>AND(IF(CE106="",TRUE,IF(input_enews_audience="",FALSE,SUMPRODUCT(--ISNUMBER(SEARCH(","&amp;TRIM(TEXTSPLIT(CE106,","))&amp;",",","&amp;SUBSTITUTE(input_enews_audience," ","")&amp;",")))&gt;0)),IF(CG106="",TRUE,IF(input_enews_audience="",FALSE,SUMPRODUCT(--ISNUMBER(SEARCH(","&amp;TRIM(TEXTSPLIT(CG106,","))&amp;",",","&amp;SUBSTITUTE(input_enews_audience," ","")&amp;",")))=COUNTA(TEXTSPLIT(CG106,",")))),IF(CI106="",TRUE,IF(input_enews_audience="",TRUE,SUMPRODUCT(--ISNUMBER(SEARCH(","&amp;TRIM(TEXTSPLIT(CI106,","))&amp;",",","&amp;SUBSTITUTE(input_enews_audience," ","")&amp;",")))=0)),IF(CK106="",TRUE,IF(input_enews_audience="",FALSE,SUMPRODUCT(--ISNUMBER(SEARCH(","&amp;TRIM(TEXTSPLIT(CK106,","))&amp;",",","&amp;SUBSTITUTE(input_enews_audience," ","")&amp;",")))&gt;0)),IF(CM106="",TRUE,IF(input_enews_audience="",FALSE,SUMPRODUCT(--ISNUMBER(SEARCH(","&amp;TRIM(TEXTSPLIT(CM106,","))&amp;",",","&amp;SUBSTITUTE(input_enews_audience," ","")&amp;",")))=COUNTA(TEXTSPLIT(CM106,",")))))</f>
        <v/>
      </c>
      <c r="JB106">
        <f>AND(IF(CO106="",TRUE,IF(input_event_location="",FALSE,SUMPRODUCT(--ISNUMBER(SEARCH(","&amp;TRIM(TEXTSPLIT(CO106,","))&amp;",",","&amp;SUBSTITUTE(input_event_location," ","")&amp;",")))&gt;0)),IF(CQ106="",TRUE,IF(input_event_location="",FALSE,SUMPRODUCT(--ISNUMBER(SEARCH(","&amp;TRIM(TEXTSPLIT(CQ106,","))&amp;",",","&amp;SUBSTITUTE(input_event_location," ","")&amp;",")))=COUNTA(TEXTSPLIT(CQ106,",")))),IF(CS106="",TRUE,IF(input_event_location="",TRUE,SUMPRODUCT(--ISNUMBER(SEARCH(","&amp;TRIM(TEXTSPLIT(CS106,","))&amp;",",","&amp;SUBSTITUTE(input_event_location," ","")&amp;",")))=0)),IF(CU106="",TRUE,IF(input_event_location="",FALSE,SUMPRODUCT(--ISNUMBER(SEARCH(","&amp;TRIM(TEXTSPLIT(CU106,","))&amp;",",","&amp;SUBSTITUTE(input_event_location," ","")&amp;",")))&gt;0)),IF(CW106="",TRUE,IF(input_event_location="",FALSE,SUMPRODUCT(--ISNUMBER(SEARCH(","&amp;TRIM(TEXTSPLIT(CW106,","))&amp;",",","&amp;SUBSTITUTE(input_event_location," ","")&amp;",")))=COUNTA(TEXTSPLIT(CW106,",")))))</f>
        <v/>
      </c>
      <c r="JC106">
        <f>AND(IF(CY106="",TRUE,IF(input_event_type="",FALSE,SUMPRODUCT(--ISNUMBER(SEARCH(","&amp;TRIM(TEXTSPLIT(CY106,","))&amp;",",","&amp;SUBSTITUTE(input_event_type," ","")&amp;",")))&gt;0)),IF(DA106="",TRUE,IF(input_event_type="",FALSE,SUMPRODUCT(--ISNUMBER(SEARCH(","&amp;TRIM(TEXTSPLIT(DA106,","))&amp;",",","&amp;SUBSTITUTE(input_event_type," ","")&amp;",")))=COUNTA(TEXTSPLIT(DA106,",")))),IF(DC106="",TRUE,IF(input_event_type="",TRUE,SUMPRODUCT(--ISNUMBER(SEARCH(","&amp;TRIM(TEXTSPLIT(DC106,","))&amp;",",","&amp;SUBSTITUTE(input_event_type," ","")&amp;",")))=0)),IF(DE106="",TRUE,IF(input_event_type="",FALSE,SUMPRODUCT(--ISNUMBER(SEARCH(","&amp;TRIM(TEXTSPLIT(DE106,","))&amp;",",","&amp;SUBSTITUTE(input_event_type," ","")&amp;",")))&gt;0)),IF(DG106="",TRUE,IF(input_event_type="",FALSE,SUMPRODUCT(--ISNUMBER(SEARCH(","&amp;TRIM(TEXTSPLIT(DG106,","))&amp;",",","&amp;SUBSTITUTE(input_event_type," ","")&amp;",")))=COUNTA(TEXTSPLIT(DG106,",")))))</f>
        <v/>
      </c>
      <c r="JD106">
        <f>AND(IF(DI106="",TRUE,IF(input_executive_education_focus="",FALSE,SUMPRODUCT(--ISNUMBER(SEARCH(","&amp;TRIM(TEXTSPLIT(DI106,","))&amp;",",","&amp;SUBSTITUTE(input_executive_education_focus," ","")&amp;",")))&gt;0)),IF(DK106="",TRUE,IF(input_executive_education_focus="",FALSE,SUMPRODUCT(--ISNUMBER(SEARCH(","&amp;TRIM(TEXTSPLIT(DK106,","))&amp;",",","&amp;SUBSTITUTE(input_executive_education_focus," ","")&amp;",")))=COUNTA(TEXTSPLIT(DK106,",")))),IF(DM106="",TRUE,IF(input_executive_education_focus="",TRUE,SUMPRODUCT(--ISNUMBER(SEARCH(","&amp;TRIM(TEXTSPLIT(DM106,","))&amp;",",","&amp;SUBSTITUTE(input_executive_education_focus," ","")&amp;",")))=0)),IF(DO106="",TRUE,IF(input_executive_education_focus="",FALSE,SUMPRODUCT(--ISNUMBER(SEARCH(","&amp;TRIM(TEXTSPLIT(DO106,","))&amp;",",","&amp;SUBSTITUTE(input_executive_education_focus," ","")&amp;",")))&gt;0)),IF(DQ106="",TRUE,IF(input_executive_education_focus="",FALSE,SUMPRODUCT(--ISNUMBER(SEARCH(","&amp;TRIM(TEXTSPLIT(DQ106,","))&amp;",",","&amp;SUBSTITUTE(input_executive_education_focus," ","")&amp;",")))=COUNTA(TEXTSPLIT(DQ106,",")))))</f>
        <v/>
      </c>
      <c r="JE106">
        <f>AND(IF(DS106="",TRUE,IF(input_faculty_category="",FALSE,SUMPRODUCT(--ISNUMBER(SEARCH(","&amp;TRIM(TEXTSPLIT(DS106,","))&amp;",",","&amp;SUBSTITUTE(input_faculty_category," ","")&amp;",")))&gt;0)),IF(DU106="",TRUE,IF(input_faculty_category="",FALSE,SUMPRODUCT(--ISNUMBER(SEARCH(","&amp;TRIM(TEXTSPLIT(DU106,","))&amp;",",","&amp;SUBSTITUTE(input_faculty_category," ","")&amp;",")))=COUNTA(TEXTSPLIT(DU106,",")))),IF(DW106="",TRUE,IF(input_faculty_category="",TRUE,SUMPRODUCT(--ISNUMBER(SEARCH(","&amp;TRIM(TEXTSPLIT(DW106,","))&amp;",",","&amp;SUBSTITUTE(input_faculty_category," ","")&amp;",")))=0)),IF(DY106="",TRUE,IF(input_faculty_category="",FALSE,SUMPRODUCT(--ISNUMBER(SEARCH(","&amp;TRIM(TEXTSPLIT(DY106,","))&amp;",",","&amp;SUBSTITUTE(input_faculty_category," ","")&amp;",")))&gt;0)),IF(EA106="",TRUE,IF(input_faculty_category="",FALSE,SUMPRODUCT(--ISNUMBER(SEARCH(","&amp;TRIM(TEXTSPLIT(EA106,","))&amp;",",","&amp;SUBSTITUTE(input_faculty_category," ","")&amp;",")))=COUNTA(TEXTSPLIT(EA106,",")))))</f>
        <v/>
      </c>
      <c r="JF106">
        <f>AND(IF(EC106="",TRUE,IF(input_faculty_discipline="",FALSE,SUMPRODUCT(--ISNUMBER(SEARCH(","&amp;TRIM(TEXTSPLIT(EC106,","))&amp;",",","&amp;SUBSTITUTE(input_faculty_discipline," ","")&amp;",")))&gt;0)),IF(EE106="",TRUE,IF(input_faculty_discipline="",FALSE,SUMPRODUCT(--ISNUMBER(SEARCH(","&amp;TRIM(TEXTSPLIT(EE106,","))&amp;",",","&amp;SUBSTITUTE(input_faculty_discipline," ","")&amp;",")))=COUNTA(TEXTSPLIT(EE106,",")))),IF(EG106="",TRUE,IF(input_faculty_discipline="",TRUE,SUMPRODUCT(--ISNUMBER(SEARCH(","&amp;TRIM(TEXTSPLIT(EG106,","))&amp;",",","&amp;SUBSTITUTE(input_faculty_discipline," ","")&amp;",")))=0)),IF(EI106="",TRUE,IF(input_faculty_discipline="",FALSE,SUMPRODUCT(--ISNUMBER(SEARCH(","&amp;TRIM(TEXTSPLIT(EI106,","))&amp;",",","&amp;SUBSTITUTE(input_faculty_discipline," ","")&amp;",")))&gt;0)),IF(EK106="",TRUE,IF(input_faculty_discipline="",FALSE,SUMPRODUCT(--ISNUMBER(SEARCH(","&amp;TRIM(TEXTSPLIT(EK106,","))&amp;",",","&amp;SUBSTITUTE(input_faculty_discipline," ","")&amp;",")))=COUNTA(TEXTSPLIT(EK106,",")))))</f>
        <v/>
      </c>
      <c r="JG106">
        <f>AND(IF(EM106="",TRUE,IF(input_faculty_expertise="",FALSE,SUMPRODUCT(--ISNUMBER(SEARCH(","&amp;TRIM(TEXTSPLIT(EM106,","))&amp;",",","&amp;SUBSTITUTE(input_faculty_expertise," ","")&amp;",")))&gt;0)),IF(EO106="",TRUE,IF(input_faculty_expertise="",FALSE,SUMPRODUCT(--ISNUMBER(SEARCH(","&amp;TRIM(TEXTSPLIT(EO106,","))&amp;",",","&amp;SUBSTITUTE(input_faculty_expertise," ","")&amp;",")))=COUNTA(TEXTSPLIT(EO106,",")))),IF(EQ106="",TRUE,IF(input_faculty_expertise="",TRUE,SUMPRODUCT(--ISNUMBER(SEARCH(","&amp;TRIM(TEXTSPLIT(EQ106,","))&amp;",",","&amp;SUBSTITUTE(input_faculty_expertise," ","")&amp;",")))=0)),IF(ES106="",TRUE,IF(input_faculty_expertise="",FALSE,SUMPRODUCT(--ISNUMBER(SEARCH(","&amp;TRIM(TEXTSPLIT(ES106,","))&amp;",",","&amp;SUBSTITUTE(input_faculty_expertise," ","")&amp;",")))&gt;0)),IF(EU106="",TRUE,IF(input_faculty_expertise="",FALSE,SUMPRODUCT(--ISNUMBER(SEARCH(","&amp;TRIM(TEXTSPLIT(EU106,","))&amp;",",","&amp;SUBSTITUTE(input_faculty_expertise," ","")&amp;",")))=COUNTA(TEXTSPLIT(EU106,",")))))</f>
        <v/>
      </c>
      <c r="JH106">
        <f>AND(IF(EW106="",TRUE,IF(input_global_network_school="",FALSE,SUMPRODUCT(--ISNUMBER(SEARCH(","&amp;TRIM(TEXTSPLIT(EW106,","))&amp;",",","&amp;SUBSTITUTE(input_global_network_school," ","")&amp;",")))&gt;0)),IF(EY106="",TRUE,IF(input_global_network_school="",FALSE,SUMPRODUCT(--ISNUMBER(SEARCH(","&amp;TRIM(TEXTSPLIT(EY106,","))&amp;",",","&amp;SUBSTITUTE(input_global_network_school," ","")&amp;",")))=COUNTA(TEXTSPLIT(EY106,",")))),IF(FA106="",TRUE,IF(input_global_network_school="",TRUE,SUMPRODUCT(--ISNUMBER(SEARCH(","&amp;TRIM(TEXTSPLIT(FA106,","))&amp;",",","&amp;SUBSTITUTE(input_global_network_school," ","")&amp;",")))=0)),IF(FC106="",TRUE,IF(input_global_network_school="",FALSE,SUMPRODUCT(--ISNUMBER(SEARCH(","&amp;TRIM(TEXTSPLIT(FC106,","))&amp;",",","&amp;SUBSTITUTE(input_global_network_school," ","")&amp;",")))&gt;0)),IF(FE106="",TRUE,IF(input_global_network_school="",FALSE,SUMPRODUCT(--ISNUMBER(SEARCH(","&amp;TRIM(TEXTSPLIT(FE106,","))&amp;",",","&amp;SUBSTITUTE(input_global_network_school," ","")&amp;",")))=COUNTA(TEXTSPLIT(FE106,",")))))</f>
        <v/>
      </c>
      <c r="JI106">
        <f>AND(IF(FG106="",TRUE,IF(input_industry="",FALSE,SUMPRODUCT(--ISNUMBER(SEARCH(","&amp;TRIM(TEXTSPLIT(FG106,","))&amp;",",","&amp;SUBSTITUTE(input_industry," ","")&amp;",")))&gt;0)),IF(FI106="",TRUE,IF(input_industry="",FALSE,SUMPRODUCT(--ISNUMBER(SEARCH(","&amp;TRIM(TEXTSPLIT(FI106,","))&amp;",",","&amp;SUBSTITUTE(input_industry," ","")&amp;",")))=COUNTA(TEXTSPLIT(FI106,",")))),IF(FK106="",TRUE,IF(input_industry="",TRUE,SUMPRODUCT(--ISNUMBER(SEARCH(","&amp;TRIM(TEXTSPLIT(FK106,","))&amp;",",","&amp;SUBSTITUTE(input_industry," ","")&amp;",")))=0)),IF(FM106="",TRUE,IF(input_industry="",FALSE,SUMPRODUCT(--ISNUMBER(SEARCH(","&amp;TRIM(TEXTSPLIT(FM106,","))&amp;",",","&amp;SUBSTITUTE(input_industry," ","")&amp;",")))&gt;0)),IF(FO106="",TRUE,IF(input_industry="",FALSE,SUMPRODUCT(--ISNUMBER(SEARCH(","&amp;TRIM(TEXTSPLIT(FO106,","))&amp;",",","&amp;SUBSTITUTE(input_industry," ","")&amp;",")))=COUNTA(TEXTSPLIT(FO106,",")))))</f>
        <v/>
      </c>
      <c r="JJ106">
        <f>AND(IF(FQ106="",TRUE,IF(input_location="",FALSE,SUMPRODUCT(--ISNUMBER(SEARCH(","&amp;TRIM(TEXTSPLIT(FQ106,","))&amp;",",","&amp;SUBSTITUTE(input_location," ","")&amp;",")))&gt;0)),IF(FS106="",TRUE,IF(input_location="",FALSE,SUMPRODUCT(--ISNUMBER(SEARCH(","&amp;TRIM(TEXTSPLIT(FS106,","))&amp;",",","&amp;SUBSTITUTE(input_location," ","")&amp;",")))=COUNTA(TEXTSPLIT(FS106,",")))),IF(FU106="",TRUE,IF(input_location="",TRUE,SUMPRODUCT(--ISNUMBER(SEARCH(","&amp;TRIM(TEXTSPLIT(FU106,","))&amp;",",","&amp;SUBSTITUTE(input_location," ","")&amp;",")))=0)),IF(FW106="",TRUE,IF(input_location="",FALSE,SUMPRODUCT(--ISNUMBER(SEARCH(","&amp;TRIM(TEXTSPLIT(FW106,","))&amp;",",","&amp;SUBSTITUTE(input_location," ","")&amp;",")))&gt;0)),IF(FY106="",TRUE,IF(input_location="",FALSE,SUMPRODUCT(--ISNUMBER(SEARCH(","&amp;TRIM(TEXTSPLIT(FY106,","))&amp;",",","&amp;SUBSTITUTE(input_location," ","")&amp;",")))=COUNTA(TEXTSPLIT(FY106,",")))))</f>
        <v/>
      </c>
      <c r="JK106">
        <f>AND(IF(GA106="",TRUE,IF(input_modality="",FALSE,SUMPRODUCT(--ISNUMBER(SEARCH(","&amp;TRIM(TEXTSPLIT(GA106,","))&amp;",",","&amp;SUBSTITUTE(input_modality," ","")&amp;",")))&gt;0)),IF(GC106="",TRUE,IF(input_modality="",FALSE,SUMPRODUCT(--ISNUMBER(SEARCH(","&amp;TRIM(TEXTSPLIT(GC106,","))&amp;",",","&amp;SUBSTITUTE(input_modality," ","")&amp;",")))=COUNTA(TEXTSPLIT(GC106,",")))),IF(GE106="",TRUE,IF(input_modality="",TRUE,SUMPRODUCT(--ISNUMBER(SEARCH(","&amp;TRIM(TEXTSPLIT(GE106,","))&amp;",",","&amp;SUBSTITUTE(input_modality," ","")&amp;",")))=0)),IF(GG106="",TRUE,IF(input_modality="",FALSE,SUMPRODUCT(--ISNUMBER(SEARCH(","&amp;TRIM(TEXTSPLIT(GG106,","))&amp;",",","&amp;SUBSTITUTE(input_modality," ","")&amp;",")))&gt;0)),IF(GI106="",TRUE,IF(input_modality="",FALSE,SUMPRODUCT(--ISNUMBER(SEARCH(","&amp;TRIM(TEXTSPLIT(GI106,","))&amp;",",","&amp;SUBSTITUTE(input_modality," ","")&amp;",")))=COUNTA(TEXTSPLIT(GI106,",")))))</f>
        <v/>
      </c>
      <c r="JL106">
        <f>AND(IF(GK106="",TRUE,IF(input_organizer="",FALSE,SUMPRODUCT(--ISNUMBER(SEARCH(","&amp;TRIM(TEXTSPLIT(GK106,","))&amp;",",","&amp;SUBSTITUTE(input_organizer," ","")&amp;",")))&gt;0)),IF(GM106="",TRUE,IF(input_organizer="",FALSE,SUMPRODUCT(--ISNUMBER(SEARCH(","&amp;TRIM(TEXTSPLIT(GM106,","))&amp;",",","&amp;SUBSTITUTE(input_organizer," ","")&amp;",")))=COUNTA(TEXTSPLIT(GM106,",")))),IF(GO106="",TRUE,IF(input_organizer="",TRUE,SUMPRODUCT(--ISNUMBER(SEARCH(","&amp;TRIM(TEXTSPLIT(GO106,","))&amp;",",","&amp;SUBSTITUTE(input_organizer," ","")&amp;",")))=0)),IF(GQ106="",TRUE,IF(input_organizer="",FALSE,SUMPRODUCT(--ISNUMBER(SEARCH(","&amp;TRIM(TEXTSPLIT(GQ106,","))&amp;",",","&amp;SUBSTITUTE(input_organizer," ","")&amp;",")))&gt;0)),IF(GS106="",TRUE,IF(input_organizer="",FALSE,SUMPRODUCT(--ISNUMBER(SEARCH(","&amp;TRIM(TEXTSPLIT(GS106,","))&amp;",",","&amp;SUBSTITUTE(input_organizer," ","")&amp;",")))=COUNTA(TEXTSPLIT(GS106,",")))))</f>
        <v/>
      </c>
      <c r="JM106">
        <f>AND(IF(GU106="",TRUE,IF(input_profile_type="",FALSE,SUMPRODUCT(--ISNUMBER(SEARCH(","&amp;TRIM(TEXTSPLIT(GU106,","))&amp;",",","&amp;SUBSTITUTE(input_profile_type," ","")&amp;",")))&gt;0)),IF(GW106="",TRUE,IF(input_profile_type="",FALSE,SUMPRODUCT(--ISNUMBER(SEARCH(","&amp;TRIM(TEXTSPLIT(GW106,","))&amp;",",","&amp;SUBSTITUTE(input_profile_type," ","")&amp;",")))=COUNTA(TEXTSPLIT(GW106,",")))),IF(GY106="",TRUE,IF(input_profile_type="",TRUE,SUMPRODUCT(--ISNUMBER(SEARCH(","&amp;TRIM(TEXTSPLIT(GY106,","))&amp;",",","&amp;SUBSTITUTE(input_profile_type," ","")&amp;",")))=0)),IF(HA106="",TRUE,IF(input_profile_type="",FALSE,SUMPRODUCT(--ISNUMBER(SEARCH(","&amp;TRIM(TEXTSPLIT(HA106,","))&amp;",",","&amp;SUBSTITUTE(input_profile_type," ","")&amp;",")))&gt;0)),IF(HC106="",TRUE,IF(input_profile_type="",FALSE,SUMPRODUCT(--ISNUMBER(SEARCH(","&amp;TRIM(TEXTSPLIT(HC106,","))&amp;",",","&amp;SUBSTITUTE(input_profile_type," ","")&amp;",")))=COUNTA(TEXTSPLIT(HC106,",")))))</f>
        <v/>
      </c>
      <c r="JN106">
        <f>AND(IF(HE106="",TRUE,IF(input_program="",FALSE,SUMPRODUCT(--ISNUMBER(SEARCH(","&amp;TRIM(TEXTSPLIT(HE106,","))&amp;",",","&amp;SUBSTITUTE(input_program," ","")&amp;",")))&gt;0)),IF(HG106="",TRUE,IF(input_program="",FALSE,SUMPRODUCT(--ISNUMBER(SEARCH(","&amp;TRIM(TEXTSPLIT(HG106,","))&amp;",",","&amp;SUBSTITUTE(input_program," ","")&amp;",")))=COUNTA(TEXTSPLIT(HG106,",")))),IF(HI106="",TRUE,IF(input_program="",TRUE,SUMPRODUCT(--ISNUMBER(SEARCH(","&amp;TRIM(TEXTSPLIT(HI106,","))&amp;",",","&amp;SUBSTITUTE(input_program," ","")&amp;",")))=0)),IF(HK106="",TRUE,IF(input_program="",FALSE,SUMPRODUCT(--ISNUMBER(SEARCH(","&amp;TRIM(TEXTSPLIT(HK106,","))&amp;",",","&amp;SUBSTITUTE(input_program," ","")&amp;",")))&gt;0)),IF(HM106="",TRUE,IF(input_program="",FALSE,SUMPRODUCT(--ISNUMBER(SEARCH(","&amp;TRIM(TEXTSPLIT(HM106,","))&amp;",",","&amp;SUBSTITUTE(input_program," ","")&amp;",")))=COUNTA(TEXTSPLIT(HM106,",")))))</f>
        <v/>
      </c>
      <c r="JO106">
        <f>AND(IF(HO106="",TRUE,IF(input_story_categories="",FALSE,SUMPRODUCT(--ISNUMBER(SEARCH(","&amp;TRIM(TEXTSPLIT(HO106,","))&amp;",",","&amp;SUBSTITUTE(input_story_categories," ","")&amp;",")))&gt;0)),IF(HQ106="",TRUE,IF(input_story_categories="",FALSE,SUMPRODUCT(--ISNUMBER(SEARCH(","&amp;TRIM(TEXTSPLIT(HQ106,","))&amp;",",","&amp;SUBSTITUTE(input_story_categories," ","")&amp;",")))=COUNTA(TEXTSPLIT(HQ106,",")))),IF(HS106="",TRUE,IF(input_story_categories="",TRUE,SUMPRODUCT(--ISNUMBER(SEARCH(","&amp;TRIM(TEXTSPLIT(HS106,","))&amp;",",","&amp;SUBSTITUTE(input_story_categories," ","")&amp;",")))=0)),IF(HU106="",TRUE,IF(input_story_categories="",FALSE,SUMPRODUCT(--ISNUMBER(SEARCH(","&amp;TRIM(TEXTSPLIT(HU106,","))&amp;",",","&amp;SUBSTITUTE(input_story_categories," ","")&amp;",")))&gt;0)),IF(HW106="",TRUE,IF(input_story_categories="",FALSE,SUMPRODUCT(--ISNUMBER(SEARCH(","&amp;TRIM(TEXTSPLIT(HW106,","))&amp;",",","&amp;SUBSTITUTE(input_story_categories," ","")&amp;",")))=COUNTA(TEXTSPLIT(HW106,",")))))</f>
        <v/>
      </c>
      <c r="JP106">
        <f>AND(IF(HY106="",TRUE,IF(input_story_type="",FALSE,SUMPRODUCT(--ISNUMBER(SEARCH(","&amp;TRIM(TEXTSPLIT(HY106,","))&amp;",",","&amp;SUBSTITUTE(input_story_type," ","")&amp;",")))&gt;0)),IF(IA106="",TRUE,IF(input_story_type="",FALSE,SUMPRODUCT(--ISNUMBER(SEARCH(","&amp;TRIM(TEXTSPLIT(IA106,","))&amp;",",","&amp;SUBSTITUTE(input_story_type," ","")&amp;",")))=COUNTA(TEXTSPLIT(IA106,",")))),IF(IC106="",TRUE,IF(input_story_type="",TRUE,SUMPRODUCT(--ISNUMBER(SEARCH(","&amp;TRIM(TEXTSPLIT(IC106,","))&amp;",",","&amp;SUBSTITUTE(input_story_type," ","")&amp;",")))=0)),IF(IE106="",TRUE,IF(input_story_type="",FALSE,SUMPRODUCT(--ISNUMBER(SEARCH(","&amp;TRIM(TEXTSPLIT(IE106,","))&amp;",",","&amp;SUBSTITUTE(input_story_type," ","")&amp;",")))&gt;0)),IF(IG106="",TRUE,IF(input_story_type="",FALSE,SUMPRODUCT(--ISNUMBER(SEARCH(","&amp;TRIM(TEXTSPLIT(IG106,","))&amp;",",","&amp;SUBSTITUTE(input_story_type," ","")&amp;",")))=COUNTA(TEXTSPLIT(IG106,",")))))</f>
        <v/>
      </c>
      <c r="JQ106">
        <f>AND(IF(II106="",TRUE,IF(input_topics="",FALSE,SUMPRODUCT(--ISNUMBER(SEARCH(","&amp;TRIM(TEXTSPLIT(II106,","))&amp;",",","&amp;SUBSTITUTE(input_topics," ","")&amp;",")))&gt;0)),IF(IK106="",TRUE,IF(input_topics="",FALSE,SUMPRODUCT(--ISNUMBER(SEARCH(","&amp;TRIM(TEXTSPLIT(IK106,","))&amp;",",","&amp;SUBSTITUTE(input_topics," ","")&amp;",")))=COUNTA(TEXTSPLIT(IK106,",")))),IF(IM106="",TRUE,IF(input_topics="",TRUE,SUMPRODUCT(--ISNUMBER(SEARCH(","&amp;TRIM(TEXTSPLIT(IM106,","))&amp;",",","&amp;SUBSTITUTE(input_topics," ","")&amp;",")))=0)),IF(IO106="",TRUE,IF(input_topics="",FALSE,SUMPRODUCT(--ISNUMBER(SEARCH(","&amp;TRIM(TEXTSPLIT(IO106,","))&amp;",",","&amp;SUBSTITUTE(input_topics," ","")&amp;",")))&gt;0)),IF(IQ106="",TRUE,IF(input_topics="",FALSE,SUMPRODUCT(--ISNUMBER(SEARCH(","&amp;TRIM(TEXTSPLIT(IQ106,","))&amp;",",","&amp;SUBSTITUTE(input_topics," ","")&amp;",")))=COUNTA(TEXTSPLIT(IQ106,",")))))</f>
        <v/>
      </c>
    </row>
    <row r="107">
      <c r="A107" s="4">
        <f>IF(NOT(IS107),"Excluded",IF(AND(IT107,IU107,IV107,IW107,IX107,IY107,IZ107,JA107,JB107,JC107,JD107,JE107,JF107,JG107,JH107,JI107,JJ107,JK107,JL107,JM107,JN107,JO107,JP107,JQ107),IF(I107&gt;0,"Eligible but limited","Will appear"),"Excluded"))</f>
        <v/>
      </c>
      <c r="B107" s="4" t="inlineStr">
        <is>
          <t>Events</t>
        </is>
      </c>
      <c r="C107" s="4" t="inlineStr">
        <is>
          <t>/programs/mba</t>
        </is>
      </c>
      <c r="D107" s="4" t="inlineStr">
        <is>
          <t>/programs/mba</t>
        </is>
      </c>
      <c r="E107" s="4" t="n">
        <v>1</v>
      </c>
      <c r="F107" s="4" t="inlineStr">
        <is>
          <t>event</t>
        </is>
      </c>
      <c r="G107" s="4" t="inlineStr">
        <is>
          <t>event_teaser_list</t>
        </is>
      </c>
      <c r="H107" s="4" t="inlineStr">
        <is>
          <t>embed_1</t>
        </is>
      </c>
      <c r="I107" s="4" t="n">
        <v>3</v>
      </c>
      <c r="J107" s="4" t="inlineStr">
        <is>
          <t>Section inferred</t>
        </is>
      </c>
      <c r="K107" s="4" t="inlineStr">
        <is>
          <t>Page placement</t>
        </is>
      </c>
      <c r="L107" s="4" t="inlineStr">
        <is>
          <t>Content type: event; Context uses Courses Context: MBA (92); Limited to 3 item(s); Source: Section inferred</t>
        </is>
      </c>
      <c r="M107" t="inlineStr"/>
      <c r="N107" t="inlineStr"/>
      <c r="O107" t="inlineStr"/>
      <c r="P107" t="inlineStr"/>
      <c r="Q107" t="inlineStr"/>
      <c r="R107" t="inlineStr"/>
      <c r="S107" t="inlineStr"/>
      <c r="T107" t="inlineStr"/>
      <c r="U107" t="inlineStr"/>
      <c r="V107" t="inlineStr"/>
      <c r="W107" t="inlineStr"/>
      <c r="X107" t="inlineStr"/>
      <c r="Y107" t="inlineStr"/>
      <c r="Z107" t="inlineStr"/>
      <c r="AA107" t="inlineStr"/>
      <c r="AB107" t="inlineStr"/>
      <c r="AC107" t="inlineStr"/>
      <c r="AD107" t="inlineStr"/>
      <c r="AE107" t="inlineStr"/>
      <c r="AF107" t="inlineStr"/>
      <c r="AG107" t="inlineStr"/>
      <c r="AH107" t="inlineStr"/>
      <c r="AI107" t="inlineStr"/>
      <c r="AJ107" t="inlineStr"/>
      <c r="AK107" t="inlineStr"/>
      <c r="AL107" t="inlineStr"/>
      <c r="AM107" t="inlineStr"/>
      <c r="AN107" t="inlineStr"/>
      <c r="AO107" t="inlineStr"/>
      <c r="AP107" t="inlineStr"/>
      <c r="AQ107" t="inlineStr"/>
      <c r="AR107" t="inlineStr"/>
      <c r="AS107" t="inlineStr"/>
      <c r="AT107" t="inlineStr"/>
      <c r="AU107" t="inlineStr"/>
      <c r="AV107" t="inlineStr"/>
      <c r="AW107" t="inlineStr"/>
      <c r="AX107" t="inlineStr"/>
      <c r="AY107" t="inlineStr"/>
      <c r="AZ107" t="inlineStr"/>
      <c r="BA107" t="inlineStr"/>
      <c r="BB107" t="inlineStr"/>
      <c r="BC107" t="inlineStr"/>
      <c r="BD107" t="inlineStr"/>
      <c r="BE107" t="inlineStr"/>
      <c r="BF107" t="inlineStr"/>
      <c r="BG107" t="inlineStr"/>
      <c r="BH107" t="inlineStr"/>
      <c r="BI107" t="inlineStr"/>
      <c r="BJ107" t="inlineStr"/>
      <c r="BK107" t="inlineStr"/>
      <c r="BL107" t="inlineStr"/>
      <c r="BM107" t="inlineStr"/>
      <c r="BN107" t="inlineStr"/>
      <c r="BO107" t="inlineStr"/>
      <c r="BP107" t="inlineStr"/>
      <c r="BQ107" t="inlineStr">
        <is>
          <t>92</t>
        </is>
      </c>
      <c r="BR107" t="inlineStr">
        <is>
          <t>MBA (92)</t>
        </is>
      </c>
      <c r="BS107" t="inlineStr"/>
      <c r="BT107" t="inlineStr"/>
      <c r="BU107" t="inlineStr"/>
      <c r="BV107" t="inlineStr"/>
      <c r="BW107" t="inlineStr"/>
      <c r="BX107" t="inlineStr"/>
      <c r="BY107" t="inlineStr"/>
      <c r="BZ107" t="inlineStr"/>
      <c r="CA107" t="inlineStr"/>
      <c r="CB107" t="inlineStr"/>
      <c r="CC107" t="inlineStr"/>
      <c r="CD107" t="inlineStr"/>
      <c r="CE107" t="inlineStr"/>
      <c r="CF107" t="inlineStr"/>
      <c r="CG107" t="inlineStr"/>
      <c r="CH107" t="inlineStr"/>
      <c r="CI107" t="inlineStr"/>
      <c r="CJ107" t="inlineStr"/>
      <c r="CK107" t="inlineStr"/>
      <c r="CL107" t="inlineStr"/>
      <c r="CM107" t="inlineStr"/>
      <c r="CN107" t="inlineStr"/>
      <c r="CO107" t="inlineStr"/>
      <c r="CP107" t="inlineStr"/>
      <c r="CQ107" t="inlineStr"/>
      <c r="CR107" t="inlineStr"/>
      <c r="CS107" t="inlineStr"/>
      <c r="CT107" t="inlineStr"/>
      <c r="CU107" t="inlineStr"/>
      <c r="CV107" t="inlineStr"/>
      <c r="CW107" t="inlineStr"/>
      <c r="CX107" t="inlineStr"/>
      <c r="CY107" t="inlineStr"/>
      <c r="CZ107" t="inlineStr"/>
      <c r="DA107" t="inlineStr"/>
      <c r="DB107" t="inlineStr"/>
      <c r="DC107" t="inlineStr"/>
      <c r="DD107" t="inlineStr"/>
      <c r="DE107" t="inlineStr"/>
      <c r="DF107" t="inlineStr"/>
      <c r="DG107" t="inlineStr"/>
      <c r="DH107" t="inlineStr"/>
      <c r="DI107" t="inlineStr"/>
      <c r="DJ107" t="inlineStr"/>
      <c r="DK107" t="inlineStr"/>
      <c r="DL107" t="inlineStr"/>
      <c r="DM107" t="inlineStr"/>
      <c r="DN107" t="inlineStr"/>
      <c r="DO107" t="inlineStr"/>
      <c r="DP107" t="inlineStr"/>
      <c r="DQ107" t="inlineStr"/>
      <c r="DR107" t="inlineStr"/>
      <c r="DS107" t="inlineStr"/>
      <c r="DT107" t="inlineStr"/>
      <c r="DU107" t="inlineStr"/>
      <c r="DV107" t="inlineStr"/>
      <c r="DW107" t="inlineStr"/>
      <c r="DX107" t="inlineStr"/>
      <c r="DY107" t="inlineStr"/>
      <c r="DZ107" t="inlineStr"/>
      <c r="EA107" t="inlineStr"/>
      <c r="EB107" t="inlineStr"/>
      <c r="EC107" t="inlineStr"/>
      <c r="ED107" t="inlineStr"/>
      <c r="EE107" t="inlineStr"/>
      <c r="EF107" t="inlineStr"/>
      <c r="EG107" t="inlineStr"/>
      <c r="EH107" t="inlineStr"/>
      <c r="EI107" t="inlineStr"/>
      <c r="EJ107" t="inlineStr"/>
      <c r="EK107" t="inlineStr"/>
      <c r="EL107" t="inlineStr"/>
      <c r="EM107" t="inlineStr"/>
      <c r="EN107" t="inlineStr"/>
      <c r="EO107" t="inlineStr"/>
      <c r="EP107" t="inlineStr"/>
      <c r="EQ107" t="inlineStr"/>
      <c r="ER107" t="inlineStr"/>
      <c r="ES107" t="inlineStr"/>
      <c r="ET107" t="inlineStr"/>
      <c r="EU107" t="inlineStr"/>
      <c r="EV107" t="inlineStr"/>
      <c r="EW107" t="inlineStr"/>
      <c r="EX107" t="inlineStr"/>
      <c r="EY107" t="inlineStr"/>
      <c r="EZ107" t="inlineStr"/>
      <c r="FA107" t="inlineStr"/>
      <c r="FB107" t="inlineStr"/>
      <c r="FC107" t="inlineStr"/>
      <c r="FD107" t="inlineStr"/>
      <c r="FE107" t="inlineStr"/>
      <c r="FF107" t="inlineStr"/>
      <c r="FG107" t="inlineStr"/>
      <c r="FH107" t="inlineStr"/>
      <c r="FI107" t="inlineStr"/>
      <c r="FJ107" t="inlineStr"/>
      <c r="FK107" t="inlineStr"/>
      <c r="FL107" t="inlineStr"/>
      <c r="FM107" t="inlineStr"/>
      <c r="FN107" t="inlineStr"/>
      <c r="FO107" t="inlineStr"/>
      <c r="FP107" t="inlineStr"/>
      <c r="FQ107" t="inlineStr"/>
      <c r="FR107" t="inlineStr"/>
      <c r="FS107" t="inlineStr"/>
      <c r="FT107" t="inlineStr"/>
      <c r="FU107" t="inlineStr"/>
      <c r="FV107" t="inlineStr"/>
      <c r="FW107" t="inlineStr"/>
      <c r="FX107" t="inlineStr"/>
      <c r="FY107" t="inlineStr"/>
      <c r="FZ107" t="inlineStr"/>
      <c r="GA107" t="inlineStr"/>
      <c r="GB107" t="inlineStr"/>
      <c r="GC107" t="inlineStr"/>
      <c r="GD107" t="inlineStr"/>
      <c r="GE107" t="inlineStr"/>
      <c r="GF107" t="inlineStr"/>
      <c r="GG107" t="inlineStr"/>
      <c r="GH107" t="inlineStr"/>
      <c r="GI107" t="inlineStr"/>
      <c r="GJ107" t="inlineStr"/>
      <c r="GK107" t="inlineStr"/>
      <c r="GL107" t="inlineStr"/>
      <c r="GM107" t="inlineStr"/>
      <c r="GN107" t="inlineStr"/>
      <c r="GO107" t="inlineStr"/>
      <c r="GP107" t="inlineStr"/>
      <c r="GQ107" t="inlineStr"/>
      <c r="GR107" t="inlineStr"/>
      <c r="GS107" t="inlineStr"/>
      <c r="GT107" t="inlineStr"/>
      <c r="GU107" t="inlineStr"/>
      <c r="GV107" t="inlineStr"/>
      <c r="GW107" t="inlineStr"/>
      <c r="GX107" t="inlineStr"/>
      <c r="GY107" t="inlineStr"/>
      <c r="GZ107" t="inlineStr"/>
      <c r="HA107" t="inlineStr"/>
      <c r="HB107" t="inlineStr"/>
      <c r="HC107" t="inlineStr"/>
      <c r="HD107" t="inlineStr"/>
      <c r="HE107" t="inlineStr"/>
      <c r="HF107" t="inlineStr"/>
      <c r="HG107" t="inlineStr"/>
      <c r="HH107" t="inlineStr"/>
      <c r="HI107" t="inlineStr"/>
      <c r="HJ107" t="inlineStr"/>
      <c r="HK107" t="inlineStr"/>
      <c r="HL107" t="inlineStr"/>
      <c r="HM107" t="inlineStr"/>
      <c r="HN107" t="inlineStr"/>
      <c r="HO107" t="inlineStr"/>
      <c r="HP107" t="inlineStr"/>
      <c r="HQ107" t="inlineStr"/>
      <c r="HR107" t="inlineStr"/>
      <c r="HS107" t="inlineStr"/>
      <c r="HT107" t="inlineStr"/>
      <c r="HU107" t="inlineStr"/>
      <c r="HV107" t="inlineStr"/>
      <c r="HW107" t="inlineStr"/>
      <c r="HX107" t="inlineStr"/>
      <c r="HY107" t="inlineStr"/>
      <c r="HZ107" t="inlineStr"/>
      <c r="IA107" t="inlineStr"/>
      <c r="IB107" t="inlineStr"/>
      <c r="IC107" t="inlineStr"/>
      <c r="ID107" t="inlineStr"/>
      <c r="IE107" t="inlineStr"/>
      <c r="IF107" t="inlineStr"/>
      <c r="IG107" t="inlineStr"/>
      <c r="IH107" t="inlineStr"/>
      <c r="II107" t="inlineStr"/>
      <c r="IJ107" t="inlineStr"/>
      <c r="IK107" t="inlineStr"/>
      <c r="IL107" t="inlineStr"/>
      <c r="IM107" t="inlineStr"/>
      <c r="IN107" t="inlineStr"/>
      <c r="IO107" t="inlineStr"/>
      <c r="IP107" t="inlineStr"/>
      <c r="IQ107" t="inlineStr"/>
      <c r="IR107" t="inlineStr"/>
      <c r="IS107">
        <f>IF(input_content_type="",FALSE,ISNUMBER(SEARCH(","&amp;LOWER(input_content_type)&amp;",",","&amp;LOWER(F107)&amp;",")))</f>
        <v/>
      </c>
      <c r="IT107">
        <f>AND(IF(M107="",TRUE,IF(input_affiliations="",FALSE,SUMPRODUCT(--ISNUMBER(SEARCH(","&amp;TRIM(TEXTSPLIT(M107,","))&amp;",",","&amp;SUBSTITUTE(input_affiliations," ","")&amp;",")))&gt;0)),IF(O107="",TRUE,IF(input_affiliations="",FALSE,SUMPRODUCT(--ISNUMBER(SEARCH(","&amp;TRIM(TEXTSPLIT(O107,","))&amp;",",","&amp;SUBSTITUTE(input_affiliations," ","")&amp;",")))=COUNTA(TEXTSPLIT(O107,",")))),IF(Q107="",TRUE,IF(input_affiliations="",TRUE,SUMPRODUCT(--ISNUMBER(SEARCH(","&amp;TRIM(TEXTSPLIT(Q107,","))&amp;",",","&amp;SUBSTITUTE(input_affiliations," ","")&amp;",")))=0)),IF(S107="",TRUE,IF(input_affiliations="",FALSE,SUMPRODUCT(--ISNUMBER(SEARCH(","&amp;TRIM(TEXTSPLIT(S107,","))&amp;",",","&amp;SUBSTITUTE(input_affiliations," ","")&amp;",")))&gt;0)),IF(U107="",TRUE,IF(input_affiliations="",FALSE,SUMPRODUCT(--ISNUMBER(SEARCH(","&amp;TRIM(TEXTSPLIT(U107,","))&amp;",",","&amp;SUBSTITUTE(input_affiliations," ","")&amp;",")))=COUNTA(TEXTSPLIT(U107,",")))))</f>
        <v/>
      </c>
      <c r="IU107">
        <f>AND(IF(W107="",TRUE,IF(input_announcement_category="",FALSE,SUMPRODUCT(--ISNUMBER(SEARCH(","&amp;TRIM(TEXTSPLIT(W107,","))&amp;",",","&amp;SUBSTITUTE(input_announcement_category," ","")&amp;",")))&gt;0)),IF(Y107="",TRUE,IF(input_announcement_category="",FALSE,SUMPRODUCT(--ISNUMBER(SEARCH(","&amp;TRIM(TEXTSPLIT(Y107,","))&amp;",",","&amp;SUBSTITUTE(input_announcement_category," ","")&amp;",")))=COUNTA(TEXTSPLIT(Y107,",")))),IF(AA107="",TRUE,IF(input_announcement_category="",TRUE,SUMPRODUCT(--ISNUMBER(SEARCH(","&amp;TRIM(TEXTSPLIT(AA107,","))&amp;",",","&amp;SUBSTITUTE(input_announcement_category," ","")&amp;",")))=0)),IF(AC107="",TRUE,IF(input_announcement_category="",FALSE,SUMPRODUCT(--ISNUMBER(SEARCH(","&amp;TRIM(TEXTSPLIT(AC107,","))&amp;",",","&amp;SUBSTITUTE(input_announcement_category," ","")&amp;",")))&gt;0)),IF(AE107="",TRUE,IF(input_announcement_category="",FALSE,SUMPRODUCT(--ISNUMBER(SEARCH(","&amp;TRIM(TEXTSPLIT(AE107,","))&amp;",",","&amp;SUBSTITUTE(input_announcement_category," ","")&amp;",")))=COUNTA(TEXTSPLIT(AE107,",")))))</f>
        <v/>
      </c>
      <c r="IV107">
        <f>AND(IF(AG107="",TRUE,IF(input_area_of_focus="",FALSE,SUMPRODUCT(--ISNUMBER(SEARCH(","&amp;TRIM(TEXTSPLIT(AG107,","))&amp;",",","&amp;SUBSTITUTE(input_area_of_focus," ","")&amp;",")))&gt;0)),IF(AI107="",TRUE,IF(input_area_of_focus="",FALSE,SUMPRODUCT(--ISNUMBER(SEARCH(","&amp;TRIM(TEXTSPLIT(AI107,","))&amp;",",","&amp;SUBSTITUTE(input_area_of_focus," ","")&amp;",")))=COUNTA(TEXTSPLIT(AI107,",")))),IF(AK107="",TRUE,IF(input_area_of_focus="",TRUE,SUMPRODUCT(--ISNUMBER(SEARCH(","&amp;TRIM(TEXTSPLIT(AK107,","))&amp;",",","&amp;SUBSTITUTE(input_area_of_focus," ","")&amp;",")))=0)),IF(AM107="",TRUE,IF(input_area_of_focus="",FALSE,SUMPRODUCT(--ISNUMBER(SEARCH(","&amp;TRIM(TEXTSPLIT(AM107,","))&amp;",",","&amp;SUBSTITUTE(input_area_of_focus," ","")&amp;",")))&gt;0)),IF(AO107="",TRUE,IF(input_area_of_focus="",FALSE,SUMPRODUCT(--ISNUMBER(SEARCH(","&amp;TRIM(TEXTSPLIT(AO107,","))&amp;",",","&amp;SUBSTITUTE(input_area_of_focus," ","")&amp;",")))=COUNTA(TEXTSPLIT(AO107,",")))))</f>
        <v/>
      </c>
      <c r="IW107">
        <f>AND(IF(AQ107="",TRUE,IF(input_audience="",FALSE,SUMPRODUCT(--ISNUMBER(SEARCH(","&amp;TRIM(TEXTSPLIT(AQ107,","))&amp;",",","&amp;SUBSTITUTE(input_audience," ","")&amp;",")))&gt;0)),IF(AS107="",TRUE,IF(input_audience="",FALSE,SUMPRODUCT(--ISNUMBER(SEARCH(","&amp;TRIM(TEXTSPLIT(AS107,","))&amp;",",","&amp;SUBSTITUTE(input_audience," ","")&amp;",")))=COUNTA(TEXTSPLIT(AS107,",")))),IF(AU107="",TRUE,IF(input_audience="",TRUE,SUMPRODUCT(--ISNUMBER(SEARCH(","&amp;TRIM(TEXTSPLIT(AU107,","))&amp;",",","&amp;SUBSTITUTE(input_audience," ","")&amp;",")))=0)),IF(AW107="",TRUE,IF(input_audience="",FALSE,SUMPRODUCT(--ISNUMBER(SEARCH(","&amp;TRIM(TEXTSPLIT(AW107,","))&amp;",",","&amp;SUBSTITUTE(input_audience," ","")&amp;",")))&gt;0)),IF(AY107="",TRUE,IF(input_audience="",FALSE,SUMPRODUCT(--ISNUMBER(SEARCH(","&amp;TRIM(TEXTSPLIT(AY107,","))&amp;",",","&amp;SUBSTITUTE(input_audience," ","")&amp;",")))=COUNTA(TEXTSPLIT(AY107,",")))))</f>
        <v/>
      </c>
      <c r="IX107">
        <f>AND(IF(BA107="",TRUE,IF(input_challenge_opportunities="",FALSE,SUMPRODUCT(--ISNUMBER(SEARCH(","&amp;TRIM(TEXTSPLIT(BA107,","))&amp;",",","&amp;SUBSTITUTE(input_challenge_opportunities," ","")&amp;",")))&gt;0)),IF(BC107="",TRUE,IF(input_challenge_opportunities="",FALSE,SUMPRODUCT(--ISNUMBER(SEARCH(","&amp;TRIM(TEXTSPLIT(BC107,","))&amp;",",","&amp;SUBSTITUTE(input_challenge_opportunities," ","")&amp;",")))=COUNTA(TEXTSPLIT(BC107,",")))),IF(BE107="",TRUE,IF(input_challenge_opportunities="",TRUE,SUMPRODUCT(--ISNUMBER(SEARCH(","&amp;TRIM(TEXTSPLIT(BE107,","))&amp;",",","&amp;SUBSTITUTE(input_challenge_opportunities," ","")&amp;",")))=0)),IF(BG107="",TRUE,IF(input_challenge_opportunities="",FALSE,SUMPRODUCT(--ISNUMBER(SEARCH(","&amp;TRIM(TEXTSPLIT(BG107,","))&amp;",",","&amp;SUBSTITUTE(input_challenge_opportunities," ","")&amp;",")))&gt;0)),IF(BI107="",TRUE,IF(input_challenge_opportunities="",FALSE,SUMPRODUCT(--ISNUMBER(SEARCH(","&amp;TRIM(TEXTSPLIT(BI107,","))&amp;",",","&amp;SUBSTITUTE(input_challenge_opportunities," ","")&amp;",")))=COUNTA(TEXTSPLIT(BI107,",")))))</f>
        <v/>
      </c>
      <c r="IY107">
        <f>AND(IF(BK107="",TRUE,IF(input_context="",FALSE,SUMPRODUCT(--ISNUMBER(SEARCH(","&amp;TRIM(TEXTSPLIT(BK107,","))&amp;",",","&amp;SUBSTITUTE(input_context," ","")&amp;",")))&gt;0)),IF(BM107="",TRUE,IF(input_context="",FALSE,SUMPRODUCT(--ISNUMBER(SEARCH(","&amp;TRIM(TEXTSPLIT(BM107,","))&amp;",",","&amp;SUBSTITUTE(input_context," ","")&amp;",")))=COUNTA(TEXTSPLIT(BM107,",")))),IF(BO107="",TRUE,IF(input_context="",TRUE,SUMPRODUCT(--ISNUMBER(SEARCH(","&amp;TRIM(TEXTSPLIT(BO107,","))&amp;",",","&amp;SUBSTITUTE(input_context," ","")&amp;",")))=0)),IF(BQ107="",TRUE,IF(input_context="",FALSE,SUMPRODUCT(--ISNUMBER(SEARCH(","&amp;TRIM(TEXTSPLIT(BQ107,","))&amp;",",","&amp;SUBSTITUTE(input_context," ","")&amp;",")))&gt;0)),IF(BS107="",TRUE,IF(input_context="",FALSE,SUMPRODUCT(--ISNUMBER(SEARCH(","&amp;TRIM(TEXTSPLIT(BS107,","))&amp;",",","&amp;SUBSTITUTE(input_context," ","")&amp;",")))=COUNTA(TEXTSPLIT(BS107,",")))))</f>
        <v/>
      </c>
      <c r="IZ107">
        <f>AND(IF(BU107="",TRUE,IF(input_enews_announcement_type="",FALSE,SUMPRODUCT(--ISNUMBER(SEARCH(","&amp;TRIM(TEXTSPLIT(BU107,","))&amp;",",","&amp;SUBSTITUTE(input_enews_announcement_type," ","")&amp;",")))&gt;0)),IF(BW107="",TRUE,IF(input_enews_announcement_type="",FALSE,SUMPRODUCT(--ISNUMBER(SEARCH(","&amp;TRIM(TEXTSPLIT(BW107,","))&amp;",",","&amp;SUBSTITUTE(input_enews_announcement_type," ","")&amp;",")))=COUNTA(TEXTSPLIT(BW107,",")))),IF(BY107="",TRUE,IF(input_enews_announcement_type="",TRUE,SUMPRODUCT(--ISNUMBER(SEARCH(","&amp;TRIM(TEXTSPLIT(BY107,","))&amp;",",","&amp;SUBSTITUTE(input_enews_announcement_type," ","")&amp;",")))=0)),IF(CA107="",TRUE,IF(input_enews_announcement_type="",FALSE,SUMPRODUCT(--ISNUMBER(SEARCH(","&amp;TRIM(TEXTSPLIT(CA107,","))&amp;",",","&amp;SUBSTITUTE(input_enews_announcement_type," ","")&amp;",")))&gt;0)),IF(CC107="",TRUE,IF(input_enews_announcement_type="",FALSE,SUMPRODUCT(--ISNUMBER(SEARCH(","&amp;TRIM(TEXTSPLIT(CC107,","))&amp;",",","&amp;SUBSTITUTE(input_enews_announcement_type," ","")&amp;",")))=COUNTA(TEXTSPLIT(CC107,",")))))</f>
        <v/>
      </c>
      <c r="JA107">
        <f>AND(IF(CE107="",TRUE,IF(input_enews_audience="",FALSE,SUMPRODUCT(--ISNUMBER(SEARCH(","&amp;TRIM(TEXTSPLIT(CE107,","))&amp;",",","&amp;SUBSTITUTE(input_enews_audience," ","")&amp;",")))&gt;0)),IF(CG107="",TRUE,IF(input_enews_audience="",FALSE,SUMPRODUCT(--ISNUMBER(SEARCH(","&amp;TRIM(TEXTSPLIT(CG107,","))&amp;",",","&amp;SUBSTITUTE(input_enews_audience," ","")&amp;",")))=COUNTA(TEXTSPLIT(CG107,",")))),IF(CI107="",TRUE,IF(input_enews_audience="",TRUE,SUMPRODUCT(--ISNUMBER(SEARCH(","&amp;TRIM(TEXTSPLIT(CI107,","))&amp;",",","&amp;SUBSTITUTE(input_enews_audience," ","")&amp;",")))=0)),IF(CK107="",TRUE,IF(input_enews_audience="",FALSE,SUMPRODUCT(--ISNUMBER(SEARCH(","&amp;TRIM(TEXTSPLIT(CK107,","))&amp;",",","&amp;SUBSTITUTE(input_enews_audience," ","")&amp;",")))&gt;0)),IF(CM107="",TRUE,IF(input_enews_audience="",FALSE,SUMPRODUCT(--ISNUMBER(SEARCH(","&amp;TRIM(TEXTSPLIT(CM107,","))&amp;",",","&amp;SUBSTITUTE(input_enews_audience," ","")&amp;",")))=COUNTA(TEXTSPLIT(CM107,",")))))</f>
        <v/>
      </c>
      <c r="JB107">
        <f>AND(IF(CO107="",TRUE,IF(input_event_location="",FALSE,SUMPRODUCT(--ISNUMBER(SEARCH(","&amp;TRIM(TEXTSPLIT(CO107,","))&amp;",",","&amp;SUBSTITUTE(input_event_location," ","")&amp;",")))&gt;0)),IF(CQ107="",TRUE,IF(input_event_location="",FALSE,SUMPRODUCT(--ISNUMBER(SEARCH(","&amp;TRIM(TEXTSPLIT(CQ107,","))&amp;",",","&amp;SUBSTITUTE(input_event_location," ","")&amp;",")))=COUNTA(TEXTSPLIT(CQ107,",")))),IF(CS107="",TRUE,IF(input_event_location="",TRUE,SUMPRODUCT(--ISNUMBER(SEARCH(","&amp;TRIM(TEXTSPLIT(CS107,","))&amp;",",","&amp;SUBSTITUTE(input_event_location," ","")&amp;",")))=0)),IF(CU107="",TRUE,IF(input_event_location="",FALSE,SUMPRODUCT(--ISNUMBER(SEARCH(","&amp;TRIM(TEXTSPLIT(CU107,","))&amp;",",","&amp;SUBSTITUTE(input_event_location," ","")&amp;",")))&gt;0)),IF(CW107="",TRUE,IF(input_event_location="",FALSE,SUMPRODUCT(--ISNUMBER(SEARCH(","&amp;TRIM(TEXTSPLIT(CW107,","))&amp;",",","&amp;SUBSTITUTE(input_event_location," ","")&amp;",")))=COUNTA(TEXTSPLIT(CW107,",")))))</f>
        <v/>
      </c>
      <c r="JC107">
        <f>AND(IF(CY107="",TRUE,IF(input_event_type="",FALSE,SUMPRODUCT(--ISNUMBER(SEARCH(","&amp;TRIM(TEXTSPLIT(CY107,","))&amp;",",","&amp;SUBSTITUTE(input_event_type," ","")&amp;",")))&gt;0)),IF(DA107="",TRUE,IF(input_event_type="",FALSE,SUMPRODUCT(--ISNUMBER(SEARCH(","&amp;TRIM(TEXTSPLIT(DA107,","))&amp;",",","&amp;SUBSTITUTE(input_event_type," ","")&amp;",")))=COUNTA(TEXTSPLIT(DA107,",")))),IF(DC107="",TRUE,IF(input_event_type="",TRUE,SUMPRODUCT(--ISNUMBER(SEARCH(","&amp;TRIM(TEXTSPLIT(DC107,","))&amp;",",","&amp;SUBSTITUTE(input_event_type," ","")&amp;",")))=0)),IF(DE107="",TRUE,IF(input_event_type="",FALSE,SUMPRODUCT(--ISNUMBER(SEARCH(","&amp;TRIM(TEXTSPLIT(DE107,","))&amp;",",","&amp;SUBSTITUTE(input_event_type," ","")&amp;",")))&gt;0)),IF(DG107="",TRUE,IF(input_event_type="",FALSE,SUMPRODUCT(--ISNUMBER(SEARCH(","&amp;TRIM(TEXTSPLIT(DG107,","))&amp;",",","&amp;SUBSTITUTE(input_event_type," ","")&amp;",")))=COUNTA(TEXTSPLIT(DG107,",")))))</f>
        <v/>
      </c>
      <c r="JD107">
        <f>AND(IF(DI107="",TRUE,IF(input_executive_education_focus="",FALSE,SUMPRODUCT(--ISNUMBER(SEARCH(","&amp;TRIM(TEXTSPLIT(DI107,","))&amp;",",","&amp;SUBSTITUTE(input_executive_education_focus," ","")&amp;",")))&gt;0)),IF(DK107="",TRUE,IF(input_executive_education_focus="",FALSE,SUMPRODUCT(--ISNUMBER(SEARCH(","&amp;TRIM(TEXTSPLIT(DK107,","))&amp;",",","&amp;SUBSTITUTE(input_executive_education_focus," ","")&amp;",")))=COUNTA(TEXTSPLIT(DK107,",")))),IF(DM107="",TRUE,IF(input_executive_education_focus="",TRUE,SUMPRODUCT(--ISNUMBER(SEARCH(","&amp;TRIM(TEXTSPLIT(DM107,","))&amp;",",","&amp;SUBSTITUTE(input_executive_education_focus," ","")&amp;",")))=0)),IF(DO107="",TRUE,IF(input_executive_education_focus="",FALSE,SUMPRODUCT(--ISNUMBER(SEARCH(","&amp;TRIM(TEXTSPLIT(DO107,","))&amp;",",","&amp;SUBSTITUTE(input_executive_education_focus," ","")&amp;",")))&gt;0)),IF(DQ107="",TRUE,IF(input_executive_education_focus="",FALSE,SUMPRODUCT(--ISNUMBER(SEARCH(","&amp;TRIM(TEXTSPLIT(DQ107,","))&amp;",",","&amp;SUBSTITUTE(input_executive_education_focus," ","")&amp;",")))=COUNTA(TEXTSPLIT(DQ107,",")))))</f>
        <v/>
      </c>
      <c r="JE107">
        <f>AND(IF(DS107="",TRUE,IF(input_faculty_category="",FALSE,SUMPRODUCT(--ISNUMBER(SEARCH(","&amp;TRIM(TEXTSPLIT(DS107,","))&amp;",",","&amp;SUBSTITUTE(input_faculty_category," ","")&amp;",")))&gt;0)),IF(DU107="",TRUE,IF(input_faculty_category="",FALSE,SUMPRODUCT(--ISNUMBER(SEARCH(","&amp;TRIM(TEXTSPLIT(DU107,","))&amp;",",","&amp;SUBSTITUTE(input_faculty_category," ","")&amp;",")))=COUNTA(TEXTSPLIT(DU107,",")))),IF(DW107="",TRUE,IF(input_faculty_category="",TRUE,SUMPRODUCT(--ISNUMBER(SEARCH(","&amp;TRIM(TEXTSPLIT(DW107,","))&amp;",",","&amp;SUBSTITUTE(input_faculty_category," ","")&amp;",")))=0)),IF(DY107="",TRUE,IF(input_faculty_category="",FALSE,SUMPRODUCT(--ISNUMBER(SEARCH(","&amp;TRIM(TEXTSPLIT(DY107,","))&amp;",",","&amp;SUBSTITUTE(input_faculty_category," ","")&amp;",")))&gt;0)),IF(EA107="",TRUE,IF(input_faculty_category="",FALSE,SUMPRODUCT(--ISNUMBER(SEARCH(","&amp;TRIM(TEXTSPLIT(EA107,","))&amp;",",","&amp;SUBSTITUTE(input_faculty_category," ","")&amp;",")))=COUNTA(TEXTSPLIT(EA107,",")))))</f>
        <v/>
      </c>
      <c r="JF107">
        <f>AND(IF(EC107="",TRUE,IF(input_faculty_discipline="",FALSE,SUMPRODUCT(--ISNUMBER(SEARCH(","&amp;TRIM(TEXTSPLIT(EC107,","))&amp;",",","&amp;SUBSTITUTE(input_faculty_discipline," ","")&amp;",")))&gt;0)),IF(EE107="",TRUE,IF(input_faculty_discipline="",FALSE,SUMPRODUCT(--ISNUMBER(SEARCH(","&amp;TRIM(TEXTSPLIT(EE107,","))&amp;",",","&amp;SUBSTITUTE(input_faculty_discipline," ","")&amp;",")))=COUNTA(TEXTSPLIT(EE107,",")))),IF(EG107="",TRUE,IF(input_faculty_discipline="",TRUE,SUMPRODUCT(--ISNUMBER(SEARCH(","&amp;TRIM(TEXTSPLIT(EG107,","))&amp;",",","&amp;SUBSTITUTE(input_faculty_discipline," ","")&amp;",")))=0)),IF(EI107="",TRUE,IF(input_faculty_discipline="",FALSE,SUMPRODUCT(--ISNUMBER(SEARCH(","&amp;TRIM(TEXTSPLIT(EI107,","))&amp;",",","&amp;SUBSTITUTE(input_faculty_discipline," ","")&amp;",")))&gt;0)),IF(EK107="",TRUE,IF(input_faculty_discipline="",FALSE,SUMPRODUCT(--ISNUMBER(SEARCH(","&amp;TRIM(TEXTSPLIT(EK107,","))&amp;",",","&amp;SUBSTITUTE(input_faculty_discipline," ","")&amp;",")))=COUNTA(TEXTSPLIT(EK107,",")))))</f>
        <v/>
      </c>
      <c r="JG107">
        <f>AND(IF(EM107="",TRUE,IF(input_faculty_expertise="",FALSE,SUMPRODUCT(--ISNUMBER(SEARCH(","&amp;TRIM(TEXTSPLIT(EM107,","))&amp;",",","&amp;SUBSTITUTE(input_faculty_expertise," ","")&amp;",")))&gt;0)),IF(EO107="",TRUE,IF(input_faculty_expertise="",FALSE,SUMPRODUCT(--ISNUMBER(SEARCH(","&amp;TRIM(TEXTSPLIT(EO107,","))&amp;",",","&amp;SUBSTITUTE(input_faculty_expertise," ","")&amp;",")))=COUNTA(TEXTSPLIT(EO107,",")))),IF(EQ107="",TRUE,IF(input_faculty_expertise="",TRUE,SUMPRODUCT(--ISNUMBER(SEARCH(","&amp;TRIM(TEXTSPLIT(EQ107,","))&amp;",",","&amp;SUBSTITUTE(input_faculty_expertise," ","")&amp;",")))=0)),IF(ES107="",TRUE,IF(input_faculty_expertise="",FALSE,SUMPRODUCT(--ISNUMBER(SEARCH(","&amp;TRIM(TEXTSPLIT(ES107,","))&amp;",",","&amp;SUBSTITUTE(input_faculty_expertise," ","")&amp;",")))&gt;0)),IF(EU107="",TRUE,IF(input_faculty_expertise="",FALSE,SUMPRODUCT(--ISNUMBER(SEARCH(","&amp;TRIM(TEXTSPLIT(EU107,","))&amp;",",","&amp;SUBSTITUTE(input_faculty_expertise," ","")&amp;",")))=COUNTA(TEXTSPLIT(EU107,",")))))</f>
        <v/>
      </c>
      <c r="JH107">
        <f>AND(IF(EW107="",TRUE,IF(input_global_network_school="",FALSE,SUMPRODUCT(--ISNUMBER(SEARCH(","&amp;TRIM(TEXTSPLIT(EW107,","))&amp;",",","&amp;SUBSTITUTE(input_global_network_school," ","")&amp;",")))&gt;0)),IF(EY107="",TRUE,IF(input_global_network_school="",FALSE,SUMPRODUCT(--ISNUMBER(SEARCH(","&amp;TRIM(TEXTSPLIT(EY107,","))&amp;",",","&amp;SUBSTITUTE(input_global_network_school," ","")&amp;",")))=COUNTA(TEXTSPLIT(EY107,",")))),IF(FA107="",TRUE,IF(input_global_network_school="",TRUE,SUMPRODUCT(--ISNUMBER(SEARCH(","&amp;TRIM(TEXTSPLIT(FA107,","))&amp;",",","&amp;SUBSTITUTE(input_global_network_school," ","")&amp;",")))=0)),IF(FC107="",TRUE,IF(input_global_network_school="",FALSE,SUMPRODUCT(--ISNUMBER(SEARCH(","&amp;TRIM(TEXTSPLIT(FC107,","))&amp;",",","&amp;SUBSTITUTE(input_global_network_school," ","")&amp;",")))&gt;0)),IF(FE107="",TRUE,IF(input_global_network_school="",FALSE,SUMPRODUCT(--ISNUMBER(SEARCH(","&amp;TRIM(TEXTSPLIT(FE107,","))&amp;",",","&amp;SUBSTITUTE(input_global_network_school," ","")&amp;",")))=COUNTA(TEXTSPLIT(FE107,",")))))</f>
        <v/>
      </c>
      <c r="JI107">
        <f>AND(IF(FG107="",TRUE,IF(input_industry="",FALSE,SUMPRODUCT(--ISNUMBER(SEARCH(","&amp;TRIM(TEXTSPLIT(FG107,","))&amp;",",","&amp;SUBSTITUTE(input_industry," ","")&amp;",")))&gt;0)),IF(FI107="",TRUE,IF(input_industry="",FALSE,SUMPRODUCT(--ISNUMBER(SEARCH(","&amp;TRIM(TEXTSPLIT(FI107,","))&amp;",",","&amp;SUBSTITUTE(input_industry," ","")&amp;",")))=COUNTA(TEXTSPLIT(FI107,",")))),IF(FK107="",TRUE,IF(input_industry="",TRUE,SUMPRODUCT(--ISNUMBER(SEARCH(","&amp;TRIM(TEXTSPLIT(FK107,","))&amp;",",","&amp;SUBSTITUTE(input_industry," ","")&amp;",")))=0)),IF(FM107="",TRUE,IF(input_industry="",FALSE,SUMPRODUCT(--ISNUMBER(SEARCH(","&amp;TRIM(TEXTSPLIT(FM107,","))&amp;",",","&amp;SUBSTITUTE(input_industry," ","")&amp;",")))&gt;0)),IF(FO107="",TRUE,IF(input_industry="",FALSE,SUMPRODUCT(--ISNUMBER(SEARCH(","&amp;TRIM(TEXTSPLIT(FO107,","))&amp;",",","&amp;SUBSTITUTE(input_industry," ","")&amp;",")))=COUNTA(TEXTSPLIT(FO107,",")))))</f>
        <v/>
      </c>
      <c r="JJ107">
        <f>AND(IF(FQ107="",TRUE,IF(input_location="",FALSE,SUMPRODUCT(--ISNUMBER(SEARCH(","&amp;TRIM(TEXTSPLIT(FQ107,","))&amp;",",","&amp;SUBSTITUTE(input_location," ","")&amp;",")))&gt;0)),IF(FS107="",TRUE,IF(input_location="",FALSE,SUMPRODUCT(--ISNUMBER(SEARCH(","&amp;TRIM(TEXTSPLIT(FS107,","))&amp;",",","&amp;SUBSTITUTE(input_location," ","")&amp;",")))=COUNTA(TEXTSPLIT(FS107,",")))),IF(FU107="",TRUE,IF(input_location="",TRUE,SUMPRODUCT(--ISNUMBER(SEARCH(","&amp;TRIM(TEXTSPLIT(FU107,","))&amp;",",","&amp;SUBSTITUTE(input_location," ","")&amp;",")))=0)),IF(FW107="",TRUE,IF(input_location="",FALSE,SUMPRODUCT(--ISNUMBER(SEARCH(","&amp;TRIM(TEXTSPLIT(FW107,","))&amp;",",","&amp;SUBSTITUTE(input_location," ","")&amp;",")))&gt;0)),IF(FY107="",TRUE,IF(input_location="",FALSE,SUMPRODUCT(--ISNUMBER(SEARCH(","&amp;TRIM(TEXTSPLIT(FY107,","))&amp;",",","&amp;SUBSTITUTE(input_location," ","")&amp;",")))=COUNTA(TEXTSPLIT(FY107,",")))))</f>
        <v/>
      </c>
      <c r="JK107">
        <f>AND(IF(GA107="",TRUE,IF(input_modality="",FALSE,SUMPRODUCT(--ISNUMBER(SEARCH(","&amp;TRIM(TEXTSPLIT(GA107,","))&amp;",",","&amp;SUBSTITUTE(input_modality," ","")&amp;",")))&gt;0)),IF(GC107="",TRUE,IF(input_modality="",FALSE,SUMPRODUCT(--ISNUMBER(SEARCH(","&amp;TRIM(TEXTSPLIT(GC107,","))&amp;",",","&amp;SUBSTITUTE(input_modality," ","")&amp;",")))=COUNTA(TEXTSPLIT(GC107,",")))),IF(GE107="",TRUE,IF(input_modality="",TRUE,SUMPRODUCT(--ISNUMBER(SEARCH(","&amp;TRIM(TEXTSPLIT(GE107,","))&amp;",",","&amp;SUBSTITUTE(input_modality," ","")&amp;",")))=0)),IF(GG107="",TRUE,IF(input_modality="",FALSE,SUMPRODUCT(--ISNUMBER(SEARCH(","&amp;TRIM(TEXTSPLIT(GG107,","))&amp;",",","&amp;SUBSTITUTE(input_modality," ","")&amp;",")))&gt;0)),IF(GI107="",TRUE,IF(input_modality="",FALSE,SUMPRODUCT(--ISNUMBER(SEARCH(","&amp;TRIM(TEXTSPLIT(GI107,","))&amp;",",","&amp;SUBSTITUTE(input_modality," ","")&amp;",")))=COUNTA(TEXTSPLIT(GI107,",")))))</f>
        <v/>
      </c>
      <c r="JL107">
        <f>AND(IF(GK107="",TRUE,IF(input_organizer="",FALSE,SUMPRODUCT(--ISNUMBER(SEARCH(","&amp;TRIM(TEXTSPLIT(GK107,","))&amp;",",","&amp;SUBSTITUTE(input_organizer," ","")&amp;",")))&gt;0)),IF(GM107="",TRUE,IF(input_organizer="",FALSE,SUMPRODUCT(--ISNUMBER(SEARCH(","&amp;TRIM(TEXTSPLIT(GM107,","))&amp;",",","&amp;SUBSTITUTE(input_organizer," ","")&amp;",")))=COUNTA(TEXTSPLIT(GM107,",")))),IF(GO107="",TRUE,IF(input_organizer="",TRUE,SUMPRODUCT(--ISNUMBER(SEARCH(","&amp;TRIM(TEXTSPLIT(GO107,","))&amp;",",","&amp;SUBSTITUTE(input_organizer," ","")&amp;",")))=0)),IF(GQ107="",TRUE,IF(input_organizer="",FALSE,SUMPRODUCT(--ISNUMBER(SEARCH(","&amp;TRIM(TEXTSPLIT(GQ107,","))&amp;",",","&amp;SUBSTITUTE(input_organizer," ","")&amp;",")))&gt;0)),IF(GS107="",TRUE,IF(input_organizer="",FALSE,SUMPRODUCT(--ISNUMBER(SEARCH(","&amp;TRIM(TEXTSPLIT(GS107,","))&amp;",",","&amp;SUBSTITUTE(input_organizer," ","")&amp;",")))=COUNTA(TEXTSPLIT(GS107,",")))))</f>
        <v/>
      </c>
      <c r="JM107">
        <f>AND(IF(GU107="",TRUE,IF(input_profile_type="",FALSE,SUMPRODUCT(--ISNUMBER(SEARCH(","&amp;TRIM(TEXTSPLIT(GU107,","))&amp;",",","&amp;SUBSTITUTE(input_profile_type," ","")&amp;",")))&gt;0)),IF(GW107="",TRUE,IF(input_profile_type="",FALSE,SUMPRODUCT(--ISNUMBER(SEARCH(","&amp;TRIM(TEXTSPLIT(GW107,","))&amp;",",","&amp;SUBSTITUTE(input_profile_type," ","")&amp;",")))=COUNTA(TEXTSPLIT(GW107,",")))),IF(GY107="",TRUE,IF(input_profile_type="",TRUE,SUMPRODUCT(--ISNUMBER(SEARCH(","&amp;TRIM(TEXTSPLIT(GY107,","))&amp;",",","&amp;SUBSTITUTE(input_profile_type," ","")&amp;",")))=0)),IF(HA107="",TRUE,IF(input_profile_type="",FALSE,SUMPRODUCT(--ISNUMBER(SEARCH(","&amp;TRIM(TEXTSPLIT(HA107,","))&amp;",",","&amp;SUBSTITUTE(input_profile_type," ","")&amp;",")))&gt;0)),IF(HC107="",TRUE,IF(input_profile_type="",FALSE,SUMPRODUCT(--ISNUMBER(SEARCH(","&amp;TRIM(TEXTSPLIT(HC107,","))&amp;",",","&amp;SUBSTITUTE(input_profile_type," ","")&amp;",")))=COUNTA(TEXTSPLIT(HC107,",")))))</f>
        <v/>
      </c>
      <c r="JN107">
        <f>AND(IF(HE107="",TRUE,IF(input_program="",FALSE,SUMPRODUCT(--ISNUMBER(SEARCH(","&amp;TRIM(TEXTSPLIT(HE107,","))&amp;",",","&amp;SUBSTITUTE(input_program," ","")&amp;",")))&gt;0)),IF(HG107="",TRUE,IF(input_program="",FALSE,SUMPRODUCT(--ISNUMBER(SEARCH(","&amp;TRIM(TEXTSPLIT(HG107,","))&amp;",",","&amp;SUBSTITUTE(input_program," ","")&amp;",")))=COUNTA(TEXTSPLIT(HG107,",")))),IF(HI107="",TRUE,IF(input_program="",TRUE,SUMPRODUCT(--ISNUMBER(SEARCH(","&amp;TRIM(TEXTSPLIT(HI107,","))&amp;",",","&amp;SUBSTITUTE(input_program," ","")&amp;",")))=0)),IF(HK107="",TRUE,IF(input_program="",FALSE,SUMPRODUCT(--ISNUMBER(SEARCH(","&amp;TRIM(TEXTSPLIT(HK107,","))&amp;",",","&amp;SUBSTITUTE(input_program," ","")&amp;",")))&gt;0)),IF(HM107="",TRUE,IF(input_program="",FALSE,SUMPRODUCT(--ISNUMBER(SEARCH(","&amp;TRIM(TEXTSPLIT(HM107,","))&amp;",",","&amp;SUBSTITUTE(input_program," ","")&amp;",")))=COUNTA(TEXTSPLIT(HM107,",")))))</f>
        <v/>
      </c>
      <c r="JO107">
        <f>AND(IF(HO107="",TRUE,IF(input_story_categories="",FALSE,SUMPRODUCT(--ISNUMBER(SEARCH(","&amp;TRIM(TEXTSPLIT(HO107,","))&amp;",",","&amp;SUBSTITUTE(input_story_categories," ","")&amp;",")))&gt;0)),IF(HQ107="",TRUE,IF(input_story_categories="",FALSE,SUMPRODUCT(--ISNUMBER(SEARCH(","&amp;TRIM(TEXTSPLIT(HQ107,","))&amp;",",","&amp;SUBSTITUTE(input_story_categories," ","")&amp;",")))=COUNTA(TEXTSPLIT(HQ107,",")))),IF(HS107="",TRUE,IF(input_story_categories="",TRUE,SUMPRODUCT(--ISNUMBER(SEARCH(","&amp;TRIM(TEXTSPLIT(HS107,","))&amp;",",","&amp;SUBSTITUTE(input_story_categories," ","")&amp;",")))=0)),IF(HU107="",TRUE,IF(input_story_categories="",FALSE,SUMPRODUCT(--ISNUMBER(SEARCH(","&amp;TRIM(TEXTSPLIT(HU107,","))&amp;",",","&amp;SUBSTITUTE(input_story_categories," ","")&amp;",")))&gt;0)),IF(HW107="",TRUE,IF(input_story_categories="",FALSE,SUMPRODUCT(--ISNUMBER(SEARCH(","&amp;TRIM(TEXTSPLIT(HW107,","))&amp;",",","&amp;SUBSTITUTE(input_story_categories," ","")&amp;",")))=COUNTA(TEXTSPLIT(HW107,",")))))</f>
        <v/>
      </c>
      <c r="JP107">
        <f>AND(IF(HY107="",TRUE,IF(input_story_type="",FALSE,SUMPRODUCT(--ISNUMBER(SEARCH(","&amp;TRIM(TEXTSPLIT(HY107,","))&amp;",",","&amp;SUBSTITUTE(input_story_type," ","")&amp;",")))&gt;0)),IF(IA107="",TRUE,IF(input_story_type="",FALSE,SUMPRODUCT(--ISNUMBER(SEARCH(","&amp;TRIM(TEXTSPLIT(IA107,","))&amp;",",","&amp;SUBSTITUTE(input_story_type," ","")&amp;",")))=COUNTA(TEXTSPLIT(IA107,",")))),IF(IC107="",TRUE,IF(input_story_type="",TRUE,SUMPRODUCT(--ISNUMBER(SEARCH(","&amp;TRIM(TEXTSPLIT(IC107,","))&amp;",",","&amp;SUBSTITUTE(input_story_type," ","")&amp;",")))=0)),IF(IE107="",TRUE,IF(input_story_type="",FALSE,SUMPRODUCT(--ISNUMBER(SEARCH(","&amp;TRIM(TEXTSPLIT(IE107,","))&amp;",",","&amp;SUBSTITUTE(input_story_type," ","")&amp;",")))&gt;0)),IF(IG107="",TRUE,IF(input_story_type="",FALSE,SUMPRODUCT(--ISNUMBER(SEARCH(","&amp;TRIM(TEXTSPLIT(IG107,","))&amp;",",","&amp;SUBSTITUTE(input_story_type," ","")&amp;",")))=COUNTA(TEXTSPLIT(IG107,",")))))</f>
        <v/>
      </c>
      <c r="JQ107">
        <f>AND(IF(II107="",TRUE,IF(input_topics="",FALSE,SUMPRODUCT(--ISNUMBER(SEARCH(","&amp;TRIM(TEXTSPLIT(II107,","))&amp;",",","&amp;SUBSTITUTE(input_topics," ","")&amp;",")))&gt;0)),IF(IK107="",TRUE,IF(input_topics="",FALSE,SUMPRODUCT(--ISNUMBER(SEARCH(","&amp;TRIM(TEXTSPLIT(IK107,","))&amp;",",","&amp;SUBSTITUTE(input_topics," ","")&amp;",")))=COUNTA(TEXTSPLIT(IK107,",")))),IF(IM107="",TRUE,IF(input_topics="",TRUE,SUMPRODUCT(--ISNUMBER(SEARCH(","&amp;TRIM(TEXTSPLIT(IM107,","))&amp;",",","&amp;SUBSTITUTE(input_topics," ","")&amp;",")))=0)),IF(IO107="",TRUE,IF(input_topics="",FALSE,SUMPRODUCT(--ISNUMBER(SEARCH(","&amp;TRIM(TEXTSPLIT(IO107,","))&amp;",",","&amp;SUBSTITUTE(input_topics," ","")&amp;",")))&gt;0)),IF(IQ107="",TRUE,IF(input_topics="",FALSE,SUMPRODUCT(--ISNUMBER(SEARCH(","&amp;TRIM(TEXTSPLIT(IQ107,","))&amp;",",","&amp;SUBSTITUTE(input_topics," ","")&amp;",")))=COUNTA(TEXTSPLIT(IQ107,",")))))</f>
        <v/>
      </c>
    </row>
    <row r="108">
      <c r="A108" s="4">
        <f>IF(NOT(IS108),"Excluded",IF(AND(IT108,IU108,IV108,IW108,IX108,IY108,IZ108,JA108,JB108,JC108,JD108,JE108,JF108,JG108,JH108,JI108,JJ108,JK108,JL108,JM108,JN108,JO108,JP108,JQ108),IF(I108&gt;0,"Eligible but limited","Will appear"),"Excluded"))</f>
        <v/>
      </c>
      <c r="B108" s="4" t="inlineStr">
        <is>
          <t>Events</t>
        </is>
      </c>
      <c r="C108" s="4" t="inlineStr">
        <is>
          <t>/programs/mba/admissions</t>
        </is>
      </c>
      <c r="D108" s="4" t="inlineStr">
        <is>
          <t>/programs/mba/admissions</t>
        </is>
      </c>
      <c r="E108" s="4" t="n">
        <v>1</v>
      </c>
      <c r="F108" s="4" t="inlineStr">
        <is>
          <t>event</t>
        </is>
      </c>
      <c r="G108" s="4" t="inlineStr">
        <is>
          <t>event_teaser_list</t>
        </is>
      </c>
      <c r="H108" s="4" t="inlineStr">
        <is>
          <t>embed_1</t>
        </is>
      </c>
      <c r="I108" s="4" t="n">
        <v>3</v>
      </c>
      <c r="J108" s="4" t="inlineStr">
        <is>
          <t>Section inferred</t>
        </is>
      </c>
      <c r="K108" s="4" t="inlineStr">
        <is>
          <t>Page placement</t>
        </is>
      </c>
      <c r="L108" s="4" t="inlineStr">
        <is>
          <t>Content type: event; Context uses Courses Context: MBA (92); Limited to 3 item(s); Source: Section inferred</t>
        </is>
      </c>
      <c r="M108" t="inlineStr"/>
      <c r="N108" t="inlineStr"/>
      <c r="O108" t="inlineStr"/>
      <c r="P108" t="inlineStr"/>
      <c r="Q108" t="inlineStr"/>
      <c r="R108" t="inlineStr"/>
      <c r="S108" t="inlineStr"/>
      <c r="T108" t="inlineStr"/>
      <c r="U108" t="inlineStr"/>
      <c r="V108" t="inlineStr"/>
      <c r="W108" t="inlineStr"/>
      <c r="X108" t="inlineStr"/>
      <c r="Y108" t="inlineStr"/>
      <c r="Z108" t="inlineStr"/>
      <c r="AA108" t="inlineStr"/>
      <c r="AB108" t="inlineStr"/>
      <c r="AC108" t="inlineStr"/>
      <c r="AD108" t="inlineStr"/>
      <c r="AE108" t="inlineStr"/>
      <c r="AF108" t="inlineStr"/>
      <c r="AG108" t="inlineStr"/>
      <c r="AH108" t="inlineStr"/>
      <c r="AI108" t="inlineStr"/>
      <c r="AJ108" t="inlineStr"/>
      <c r="AK108" t="inlineStr"/>
      <c r="AL108" t="inlineStr"/>
      <c r="AM108" t="inlineStr"/>
      <c r="AN108" t="inlineStr"/>
      <c r="AO108" t="inlineStr"/>
      <c r="AP108" t="inlineStr"/>
      <c r="AQ108" t="inlineStr"/>
      <c r="AR108" t="inlineStr"/>
      <c r="AS108" t="inlineStr"/>
      <c r="AT108" t="inlineStr"/>
      <c r="AU108" t="inlineStr"/>
      <c r="AV108" t="inlineStr"/>
      <c r="AW108" t="inlineStr"/>
      <c r="AX108" t="inlineStr"/>
      <c r="AY108" t="inlineStr"/>
      <c r="AZ108" t="inlineStr"/>
      <c r="BA108" t="inlineStr"/>
      <c r="BB108" t="inlineStr"/>
      <c r="BC108" t="inlineStr"/>
      <c r="BD108" t="inlineStr"/>
      <c r="BE108" t="inlineStr"/>
      <c r="BF108" t="inlineStr"/>
      <c r="BG108" t="inlineStr"/>
      <c r="BH108" t="inlineStr"/>
      <c r="BI108" t="inlineStr"/>
      <c r="BJ108" t="inlineStr"/>
      <c r="BK108" t="inlineStr"/>
      <c r="BL108" t="inlineStr"/>
      <c r="BM108" t="inlineStr"/>
      <c r="BN108" t="inlineStr"/>
      <c r="BO108" t="inlineStr"/>
      <c r="BP108" t="inlineStr"/>
      <c r="BQ108" t="inlineStr">
        <is>
          <t>92</t>
        </is>
      </c>
      <c r="BR108" t="inlineStr">
        <is>
          <t>MBA (92)</t>
        </is>
      </c>
      <c r="BS108" t="inlineStr"/>
      <c r="BT108" t="inlineStr"/>
      <c r="BU108" t="inlineStr"/>
      <c r="BV108" t="inlineStr"/>
      <c r="BW108" t="inlineStr"/>
      <c r="BX108" t="inlineStr"/>
      <c r="BY108" t="inlineStr"/>
      <c r="BZ108" t="inlineStr"/>
      <c r="CA108" t="inlineStr"/>
      <c r="CB108" t="inlineStr"/>
      <c r="CC108" t="inlineStr"/>
      <c r="CD108" t="inlineStr"/>
      <c r="CE108" t="inlineStr"/>
      <c r="CF108" t="inlineStr"/>
      <c r="CG108" t="inlineStr"/>
      <c r="CH108" t="inlineStr"/>
      <c r="CI108" t="inlineStr"/>
      <c r="CJ108" t="inlineStr"/>
      <c r="CK108" t="inlineStr"/>
      <c r="CL108" t="inlineStr"/>
      <c r="CM108" t="inlineStr"/>
      <c r="CN108" t="inlineStr"/>
      <c r="CO108" t="inlineStr"/>
      <c r="CP108" t="inlineStr"/>
      <c r="CQ108" t="inlineStr"/>
      <c r="CR108" t="inlineStr"/>
      <c r="CS108" t="inlineStr"/>
      <c r="CT108" t="inlineStr"/>
      <c r="CU108" t="inlineStr"/>
      <c r="CV108" t="inlineStr"/>
      <c r="CW108" t="inlineStr"/>
      <c r="CX108" t="inlineStr"/>
      <c r="CY108" t="inlineStr"/>
      <c r="CZ108" t="inlineStr"/>
      <c r="DA108" t="inlineStr"/>
      <c r="DB108" t="inlineStr"/>
      <c r="DC108" t="inlineStr"/>
      <c r="DD108" t="inlineStr"/>
      <c r="DE108" t="inlineStr"/>
      <c r="DF108" t="inlineStr"/>
      <c r="DG108" t="inlineStr"/>
      <c r="DH108" t="inlineStr"/>
      <c r="DI108" t="inlineStr"/>
      <c r="DJ108" t="inlineStr"/>
      <c r="DK108" t="inlineStr"/>
      <c r="DL108" t="inlineStr"/>
      <c r="DM108" t="inlineStr"/>
      <c r="DN108" t="inlineStr"/>
      <c r="DO108" t="inlineStr"/>
      <c r="DP108" t="inlineStr"/>
      <c r="DQ108" t="inlineStr"/>
      <c r="DR108" t="inlineStr"/>
      <c r="DS108" t="inlineStr"/>
      <c r="DT108" t="inlineStr"/>
      <c r="DU108" t="inlineStr"/>
      <c r="DV108" t="inlineStr"/>
      <c r="DW108" t="inlineStr"/>
      <c r="DX108" t="inlineStr"/>
      <c r="DY108" t="inlineStr"/>
      <c r="DZ108" t="inlineStr"/>
      <c r="EA108" t="inlineStr"/>
      <c r="EB108" t="inlineStr"/>
      <c r="EC108" t="inlineStr"/>
      <c r="ED108" t="inlineStr"/>
      <c r="EE108" t="inlineStr"/>
      <c r="EF108" t="inlineStr"/>
      <c r="EG108" t="inlineStr"/>
      <c r="EH108" t="inlineStr"/>
      <c r="EI108" t="inlineStr"/>
      <c r="EJ108" t="inlineStr"/>
      <c r="EK108" t="inlineStr"/>
      <c r="EL108" t="inlineStr"/>
      <c r="EM108" t="inlineStr"/>
      <c r="EN108" t="inlineStr"/>
      <c r="EO108" t="inlineStr"/>
      <c r="EP108" t="inlineStr"/>
      <c r="EQ108" t="inlineStr"/>
      <c r="ER108" t="inlineStr"/>
      <c r="ES108" t="inlineStr"/>
      <c r="ET108" t="inlineStr"/>
      <c r="EU108" t="inlineStr"/>
      <c r="EV108" t="inlineStr"/>
      <c r="EW108" t="inlineStr"/>
      <c r="EX108" t="inlineStr"/>
      <c r="EY108" t="inlineStr"/>
      <c r="EZ108" t="inlineStr"/>
      <c r="FA108" t="inlineStr"/>
      <c r="FB108" t="inlineStr"/>
      <c r="FC108" t="inlineStr"/>
      <c r="FD108" t="inlineStr"/>
      <c r="FE108" t="inlineStr"/>
      <c r="FF108" t="inlineStr"/>
      <c r="FG108" t="inlineStr"/>
      <c r="FH108" t="inlineStr"/>
      <c r="FI108" t="inlineStr"/>
      <c r="FJ108" t="inlineStr"/>
      <c r="FK108" t="inlineStr"/>
      <c r="FL108" t="inlineStr"/>
      <c r="FM108" t="inlineStr"/>
      <c r="FN108" t="inlineStr"/>
      <c r="FO108" t="inlineStr"/>
      <c r="FP108" t="inlineStr"/>
      <c r="FQ108" t="inlineStr"/>
      <c r="FR108" t="inlineStr"/>
      <c r="FS108" t="inlineStr"/>
      <c r="FT108" t="inlineStr"/>
      <c r="FU108" t="inlineStr"/>
      <c r="FV108" t="inlineStr"/>
      <c r="FW108" t="inlineStr"/>
      <c r="FX108" t="inlineStr"/>
      <c r="FY108" t="inlineStr"/>
      <c r="FZ108" t="inlineStr"/>
      <c r="GA108" t="inlineStr"/>
      <c r="GB108" t="inlineStr"/>
      <c r="GC108" t="inlineStr"/>
      <c r="GD108" t="inlineStr"/>
      <c r="GE108" t="inlineStr"/>
      <c r="GF108" t="inlineStr"/>
      <c r="GG108" t="inlineStr"/>
      <c r="GH108" t="inlineStr"/>
      <c r="GI108" t="inlineStr"/>
      <c r="GJ108" t="inlineStr"/>
      <c r="GK108" t="inlineStr"/>
      <c r="GL108" t="inlineStr"/>
      <c r="GM108" t="inlineStr"/>
      <c r="GN108" t="inlineStr"/>
      <c r="GO108" t="inlineStr"/>
      <c r="GP108" t="inlineStr"/>
      <c r="GQ108" t="inlineStr"/>
      <c r="GR108" t="inlineStr"/>
      <c r="GS108" t="inlineStr"/>
      <c r="GT108" t="inlineStr"/>
      <c r="GU108" t="inlineStr"/>
      <c r="GV108" t="inlineStr"/>
      <c r="GW108" t="inlineStr"/>
      <c r="GX108" t="inlineStr"/>
      <c r="GY108" t="inlineStr"/>
      <c r="GZ108" t="inlineStr"/>
      <c r="HA108" t="inlineStr"/>
      <c r="HB108" t="inlineStr"/>
      <c r="HC108" t="inlineStr"/>
      <c r="HD108" t="inlineStr"/>
      <c r="HE108" t="inlineStr"/>
      <c r="HF108" t="inlineStr"/>
      <c r="HG108" t="inlineStr"/>
      <c r="HH108" t="inlineStr"/>
      <c r="HI108" t="inlineStr"/>
      <c r="HJ108" t="inlineStr"/>
      <c r="HK108" t="inlineStr"/>
      <c r="HL108" t="inlineStr"/>
      <c r="HM108" t="inlineStr"/>
      <c r="HN108" t="inlineStr"/>
      <c r="HO108" t="inlineStr"/>
      <c r="HP108" t="inlineStr"/>
      <c r="HQ108" t="inlineStr"/>
      <c r="HR108" t="inlineStr"/>
      <c r="HS108" t="inlineStr"/>
      <c r="HT108" t="inlineStr"/>
      <c r="HU108" t="inlineStr"/>
      <c r="HV108" t="inlineStr"/>
      <c r="HW108" t="inlineStr"/>
      <c r="HX108" t="inlineStr"/>
      <c r="HY108" t="inlineStr"/>
      <c r="HZ108" t="inlineStr"/>
      <c r="IA108" t="inlineStr"/>
      <c r="IB108" t="inlineStr"/>
      <c r="IC108" t="inlineStr"/>
      <c r="ID108" t="inlineStr"/>
      <c r="IE108" t="inlineStr"/>
      <c r="IF108" t="inlineStr"/>
      <c r="IG108" t="inlineStr"/>
      <c r="IH108" t="inlineStr"/>
      <c r="II108" t="inlineStr"/>
      <c r="IJ108" t="inlineStr"/>
      <c r="IK108" t="inlineStr"/>
      <c r="IL108" t="inlineStr"/>
      <c r="IM108" t="inlineStr"/>
      <c r="IN108" t="inlineStr"/>
      <c r="IO108" t="inlineStr"/>
      <c r="IP108" t="inlineStr"/>
      <c r="IQ108" t="inlineStr"/>
      <c r="IR108" t="inlineStr"/>
      <c r="IS108">
        <f>IF(input_content_type="",FALSE,ISNUMBER(SEARCH(","&amp;LOWER(input_content_type)&amp;",",","&amp;LOWER(F108)&amp;",")))</f>
        <v/>
      </c>
      <c r="IT108">
        <f>AND(IF(M108="",TRUE,IF(input_affiliations="",FALSE,SUMPRODUCT(--ISNUMBER(SEARCH(","&amp;TRIM(TEXTSPLIT(M108,","))&amp;",",","&amp;SUBSTITUTE(input_affiliations," ","")&amp;",")))&gt;0)),IF(O108="",TRUE,IF(input_affiliations="",FALSE,SUMPRODUCT(--ISNUMBER(SEARCH(","&amp;TRIM(TEXTSPLIT(O108,","))&amp;",",","&amp;SUBSTITUTE(input_affiliations," ","")&amp;",")))=COUNTA(TEXTSPLIT(O108,",")))),IF(Q108="",TRUE,IF(input_affiliations="",TRUE,SUMPRODUCT(--ISNUMBER(SEARCH(","&amp;TRIM(TEXTSPLIT(Q108,","))&amp;",",","&amp;SUBSTITUTE(input_affiliations," ","")&amp;",")))=0)),IF(S108="",TRUE,IF(input_affiliations="",FALSE,SUMPRODUCT(--ISNUMBER(SEARCH(","&amp;TRIM(TEXTSPLIT(S108,","))&amp;",",","&amp;SUBSTITUTE(input_affiliations," ","")&amp;",")))&gt;0)),IF(U108="",TRUE,IF(input_affiliations="",FALSE,SUMPRODUCT(--ISNUMBER(SEARCH(","&amp;TRIM(TEXTSPLIT(U108,","))&amp;",",","&amp;SUBSTITUTE(input_affiliations," ","")&amp;",")))=COUNTA(TEXTSPLIT(U108,",")))))</f>
        <v/>
      </c>
      <c r="IU108">
        <f>AND(IF(W108="",TRUE,IF(input_announcement_category="",FALSE,SUMPRODUCT(--ISNUMBER(SEARCH(","&amp;TRIM(TEXTSPLIT(W108,","))&amp;",",","&amp;SUBSTITUTE(input_announcement_category," ","")&amp;",")))&gt;0)),IF(Y108="",TRUE,IF(input_announcement_category="",FALSE,SUMPRODUCT(--ISNUMBER(SEARCH(","&amp;TRIM(TEXTSPLIT(Y108,","))&amp;",",","&amp;SUBSTITUTE(input_announcement_category," ","")&amp;",")))=COUNTA(TEXTSPLIT(Y108,",")))),IF(AA108="",TRUE,IF(input_announcement_category="",TRUE,SUMPRODUCT(--ISNUMBER(SEARCH(","&amp;TRIM(TEXTSPLIT(AA108,","))&amp;",",","&amp;SUBSTITUTE(input_announcement_category," ","")&amp;",")))=0)),IF(AC108="",TRUE,IF(input_announcement_category="",FALSE,SUMPRODUCT(--ISNUMBER(SEARCH(","&amp;TRIM(TEXTSPLIT(AC108,","))&amp;",",","&amp;SUBSTITUTE(input_announcement_category," ","")&amp;",")))&gt;0)),IF(AE108="",TRUE,IF(input_announcement_category="",FALSE,SUMPRODUCT(--ISNUMBER(SEARCH(","&amp;TRIM(TEXTSPLIT(AE108,","))&amp;",",","&amp;SUBSTITUTE(input_announcement_category," ","")&amp;",")))=COUNTA(TEXTSPLIT(AE108,",")))))</f>
        <v/>
      </c>
      <c r="IV108">
        <f>AND(IF(AG108="",TRUE,IF(input_area_of_focus="",FALSE,SUMPRODUCT(--ISNUMBER(SEARCH(","&amp;TRIM(TEXTSPLIT(AG108,","))&amp;",",","&amp;SUBSTITUTE(input_area_of_focus," ","")&amp;",")))&gt;0)),IF(AI108="",TRUE,IF(input_area_of_focus="",FALSE,SUMPRODUCT(--ISNUMBER(SEARCH(","&amp;TRIM(TEXTSPLIT(AI108,","))&amp;",",","&amp;SUBSTITUTE(input_area_of_focus," ","")&amp;",")))=COUNTA(TEXTSPLIT(AI108,",")))),IF(AK108="",TRUE,IF(input_area_of_focus="",TRUE,SUMPRODUCT(--ISNUMBER(SEARCH(","&amp;TRIM(TEXTSPLIT(AK108,","))&amp;",",","&amp;SUBSTITUTE(input_area_of_focus," ","")&amp;",")))=0)),IF(AM108="",TRUE,IF(input_area_of_focus="",FALSE,SUMPRODUCT(--ISNUMBER(SEARCH(","&amp;TRIM(TEXTSPLIT(AM108,","))&amp;",",","&amp;SUBSTITUTE(input_area_of_focus," ","")&amp;",")))&gt;0)),IF(AO108="",TRUE,IF(input_area_of_focus="",FALSE,SUMPRODUCT(--ISNUMBER(SEARCH(","&amp;TRIM(TEXTSPLIT(AO108,","))&amp;",",","&amp;SUBSTITUTE(input_area_of_focus," ","")&amp;",")))=COUNTA(TEXTSPLIT(AO108,",")))))</f>
        <v/>
      </c>
      <c r="IW108">
        <f>AND(IF(AQ108="",TRUE,IF(input_audience="",FALSE,SUMPRODUCT(--ISNUMBER(SEARCH(","&amp;TRIM(TEXTSPLIT(AQ108,","))&amp;",",","&amp;SUBSTITUTE(input_audience," ","")&amp;",")))&gt;0)),IF(AS108="",TRUE,IF(input_audience="",FALSE,SUMPRODUCT(--ISNUMBER(SEARCH(","&amp;TRIM(TEXTSPLIT(AS108,","))&amp;",",","&amp;SUBSTITUTE(input_audience," ","")&amp;",")))=COUNTA(TEXTSPLIT(AS108,",")))),IF(AU108="",TRUE,IF(input_audience="",TRUE,SUMPRODUCT(--ISNUMBER(SEARCH(","&amp;TRIM(TEXTSPLIT(AU108,","))&amp;",",","&amp;SUBSTITUTE(input_audience," ","")&amp;",")))=0)),IF(AW108="",TRUE,IF(input_audience="",FALSE,SUMPRODUCT(--ISNUMBER(SEARCH(","&amp;TRIM(TEXTSPLIT(AW108,","))&amp;",",","&amp;SUBSTITUTE(input_audience," ","")&amp;",")))&gt;0)),IF(AY108="",TRUE,IF(input_audience="",FALSE,SUMPRODUCT(--ISNUMBER(SEARCH(","&amp;TRIM(TEXTSPLIT(AY108,","))&amp;",",","&amp;SUBSTITUTE(input_audience," ","")&amp;",")))=COUNTA(TEXTSPLIT(AY108,",")))))</f>
        <v/>
      </c>
      <c r="IX108">
        <f>AND(IF(BA108="",TRUE,IF(input_challenge_opportunities="",FALSE,SUMPRODUCT(--ISNUMBER(SEARCH(","&amp;TRIM(TEXTSPLIT(BA108,","))&amp;",",","&amp;SUBSTITUTE(input_challenge_opportunities," ","")&amp;",")))&gt;0)),IF(BC108="",TRUE,IF(input_challenge_opportunities="",FALSE,SUMPRODUCT(--ISNUMBER(SEARCH(","&amp;TRIM(TEXTSPLIT(BC108,","))&amp;",",","&amp;SUBSTITUTE(input_challenge_opportunities," ","")&amp;",")))=COUNTA(TEXTSPLIT(BC108,",")))),IF(BE108="",TRUE,IF(input_challenge_opportunities="",TRUE,SUMPRODUCT(--ISNUMBER(SEARCH(","&amp;TRIM(TEXTSPLIT(BE108,","))&amp;",",","&amp;SUBSTITUTE(input_challenge_opportunities," ","")&amp;",")))=0)),IF(BG108="",TRUE,IF(input_challenge_opportunities="",FALSE,SUMPRODUCT(--ISNUMBER(SEARCH(","&amp;TRIM(TEXTSPLIT(BG108,","))&amp;",",","&amp;SUBSTITUTE(input_challenge_opportunities," ","")&amp;",")))&gt;0)),IF(BI108="",TRUE,IF(input_challenge_opportunities="",FALSE,SUMPRODUCT(--ISNUMBER(SEARCH(","&amp;TRIM(TEXTSPLIT(BI108,","))&amp;",",","&amp;SUBSTITUTE(input_challenge_opportunities," ","")&amp;",")))=COUNTA(TEXTSPLIT(BI108,",")))))</f>
        <v/>
      </c>
      <c r="IY108">
        <f>AND(IF(BK108="",TRUE,IF(input_context="",FALSE,SUMPRODUCT(--ISNUMBER(SEARCH(","&amp;TRIM(TEXTSPLIT(BK108,","))&amp;",",","&amp;SUBSTITUTE(input_context," ","")&amp;",")))&gt;0)),IF(BM108="",TRUE,IF(input_context="",FALSE,SUMPRODUCT(--ISNUMBER(SEARCH(","&amp;TRIM(TEXTSPLIT(BM108,","))&amp;",",","&amp;SUBSTITUTE(input_context," ","")&amp;",")))=COUNTA(TEXTSPLIT(BM108,",")))),IF(BO108="",TRUE,IF(input_context="",TRUE,SUMPRODUCT(--ISNUMBER(SEARCH(","&amp;TRIM(TEXTSPLIT(BO108,","))&amp;",",","&amp;SUBSTITUTE(input_context," ","")&amp;",")))=0)),IF(BQ108="",TRUE,IF(input_context="",FALSE,SUMPRODUCT(--ISNUMBER(SEARCH(","&amp;TRIM(TEXTSPLIT(BQ108,","))&amp;",",","&amp;SUBSTITUTE(input_context," ","")&amp;",")))&gt;0)),IF(BS108="",TRUE,IF(input_context="",FALSE,SUMPRODUCT(--ISNUMBER(SEARCH(","&amp;TRIM(TEXTSPLIT(BS108,","))&amp;",",","&amp;SUBSTITUTE(input_context," ","")&amp;",")))=COUNTA(TEXTSPLIT(BS108,",")))))</f>
        <v/>
      </c>
      <c r="IZ108">
        <f>AND(IF(BU108="",TRUE,IF(input_enews_announcement_type="",FALSE,SUMPRODUCT(--ISNUMBER(SEARCH(","&amp;TRIM(TEXTSPLIT(BU108,","))&amp;",",","&amp;SUBSTITUTE(input_enews_announcement_type," ","")&amp;",")))&gt;0)),IF(BW108="",TRUE,IF(input_enews_announcement_type="",FALSE,SUMPRODUCT(--ISNUMBER(SEARCH(","&amp;TRIM(TEXTSPLIT(BW108,","))&amp;",",","&amp;SUBSTITUTE(input_enews_announcement_type," ","")&amp;",")))=COUNTA(TEXTSPLIT(BW108,",")))),IF(BY108="",TRUE,IF(input_enews_announcement_type="",TRUE,SUMPRODUCT(--ISNUMBER(SEARCH(","&amp;TRIM(TEXTSPLIT(BY108,","))&amp;",",","&amp;SUBSTITUTE(input_enews_announcement_type," ","")&amp;",")))=0)),IF(CA108="",TRUE,IF(input_enews_announcement_type="",FALSE,SUMPRODUCT(--ISNUMBER(SEARCH(","&amp;TRIM(TEXTSPLIT(CA108,","))&amp;",",","&amp;SUBSTITUTE(input_enews_announcement_type," ","")&amp;",")))&gt;0)),IF(CC108="",TRUE,IF(input_enews_announcement_type="",FALSE,SUMPRODUCT(--ISNUMBER(SEARCH(","&amp;TRIM(TEXTSPLIT(CC108,","))&amp;",",","&amp;SUBSTITUTE(input_enews_announcement_type," ","")&amp;",")))=COUNTA(TEXTSPLIT(CC108,",")))))</f>
        <v/>
      </c>
      <c r="JA108">
        <f>AND(IF(CE108="",TRUE,IF(input_enews_audience="",FALSE,SUMPRODUCT(--ISNUMBER(SEARCH(","&amp;TRIM(TEXTSPLIT(CE108,","))&amp;",",","&amp;SUBSTITUTE(input_enews_audience," ","")&amp;",")))&gt;0)),IF(CG108="",TRUE,IF(input_enews_audience="",FALSE,SUMPRODUCT(--ISNUMBER(SEARCH(","&amp;TRIM(TEXTSPLIT(CG108,","))&amp;",",","&amp;SUBSTITUTE(input_enews_audience," ","")&amp;",")))=COUNTA(TEXTSPLIT(CG108,",")))),IF(CI108="",TRUE,IF(input_enews_audience="",TRUE,SUMPRODUCT(--ISNUMBER(SEARCH(","&amp;TRIM(TEXTSPLIT(CI108,","))&amp;",",","&amp;SUBSTITUTE(input_enews_audience," ","")&amp;",")))=0)),IF(CK108="",TRUE,IF(input_enews_audience="",FALSE,SUMPRODUCT(--ISNUMBER(SEARCH(","&amp;TRIM(TEXTSPLIT(CK108,","))&amp;",",","&amp;SUBSTITUTE(input_enews_audience," ","")&amp;",")))&gt;0)),IF(CM108="",TRUE,IF(input_enews_audience="",FALSE,SUMPRODUCT(--ISNUMBER(SEARCH(","&amp;TRIM(TEXTSPLIT(CM108,","))&amp;",",","&amp;SUBSTITUTE(input_enews_audience," ","")&amp;",")))=COUNTA(TEXTSPLIT(CM108,",")))))</f>
        <v/>
      </c>
      <c r="JB108">
        <f>AND(IF(CO108="",TRUE,IF(input_event_location="",FALSE,SUMPRODUCT(--ISNUMBER(SEARCH(","&amp;TRIM(TEXTSPLIT(CO108,","))&amp;",",","&amp;SUBSTITUTE(input_event_location," ","")&amp;",")))&gt;0)),IF(CQ108="",TRUE,IF(input_event_location="",FALSE,SUMPRODUCT(--ISNUMBER(SEARCH(","&amp;TRIM(TEXTSPLIT(CQ108,","))&amp;",",","&amp;SUBSTITUTE(input_event_location," ","")&amp;",")))=COUNTA(TEXTSPLIT(CQ108,",")))),IF(CS108="",TRUE,IF(input_event_location="",TRUE,SUMPRODUCT(--ISNUMBER(SEARCH(","&amp;TRIM(TEXTSPLIT(CS108,","))&amp;",",","&amp;SUBSTITUTE(input_event_location," ","")&amp;",")))=0)),IF(CU108="",TRUE,IF(input_event_location="",FALSE,SUMPRODUCT(--ISNUMBER(SEARCH(","&amp;TRIM(TEXTSPLIT(CU108,","))&amp;",",","&amp;SUBSTITUTE(input_event_location," ","")&amp;",")))&gt;0)),IF(CW108="",TRUE,IF(input_event_location="",FALSE,SUMPRODUCT(--ISNUMBER(SEARCH(","&amp;TRIM(TEXTSPLIT(CW108,","))&amp;",",","&amp;SUBSTITUTE(input_event_location," ","")&amp;",")))=COUNTA(TEXTSPLIT(CW108,",")))))</f>
        <v/>
      </c>
      <c r="JC108">
        <f>AND(IF(CY108="",TRUE,IF(input_event_type="",FALSE,SUMPRODUCT(--ISNUMBER(SEARCH(","&amp;TRIM(TEXTSPLIT(CY108,","))&amp;",",","&amp;SUBSTITUTE(input_event_type," ","")&amp;",")))&gt;0)),IF(DA108="",TRUE,IF(input_event_type="",FALSE,SUMPRODUCT(--ISNUMBER(SEARCH(","&amp;TRIM(TEXTSPLIT(DA108,","))&amp;",",","&amp;SUBSTITUTE(input_event_type," ","")&amp;",")))=COUNTA(TEXTSPLIT(DA108,",")))),IF(DC108="",TRUE,IF(input_event_type="",TRUE,SUMPRODUCT(--ISNUMBER(SEARCH(","&amp;TRIM(TEXTSPLIT(DC108,","))&amp;",",","&amp;SUBSTITUTE(input_event_type," ","")&amp;",")))=0)),IF(DE108="",TRUE,IF(input_event_type="",FALSE,SUMPRODUCT(--ISNUMBER(SEARCH(","&amp;TRIM(TEXTSPLIT(DE108,","))&amp;",",","&amp;SUBSTITUTE(input_event_type," ","")&amp;",")))&gt;0)),IF(DG108="",TRUE,IF(input_event_type="",FALSE,SUMPRODUCT(--ISNUMBER(SEARCH(","&amp;TRIM(TEXTSPLIT(DG108,","))&amp;",",","&amp;SUBSTITUTE(input_event_type," ","")&amp;",")))=COUNTA(TEXTSPLIT(DG108,",")))))</f>
        <v/>
      </c>
      <c r="JD108">
        <f>AND(IF(DI108="",TRUE,IF(input_executive_education_focus="",FALSE,SUMPRODUCT(--ISNUMBER(SEARCH(","&amp;TRIM(TEXTSPLIT(DI108,","))&amp;",",","&amp;SUBSTITUTE(input_executive_education_focus," ","")&amp;",")))&gt;0)),IF(DK108="",TRUE,IF(input_executive_education_focus="",FALSE,SUMPRODUCT(--ISNUMBER(SEARCH(","&amp;TRIM(TEXTSPLIT(DK108,","))&amp;",",","&amp;SUBSTITUTE(input_executive_education_focus," ","")&amp;",")))=COUNTA(TEXTSPLIT(DK108,",")))),IF(DM108="",TRUE,IF(input_executive_education_focus="",TRUE,SUMPRODUCT(--ISNUMBER(SEARCH(","&amp;TRIM(TEXTSPLIT(DM108,","))&amp;",",","&amp;SUBSTITUTE(input_executive_education_focus," ","")&amp;",")))=0)),IF(DO108="",TRUE,IF(input_executive_education_focus="",FALSE,SUMPRODUCT(--ISNUMBER(SEARCH(","&amp;TRIM(TEXTSPLIT(DO108,","))&amp;",",","&amp;SUBSTITUTE(input_executive_education_focus," ","")&amp;",")))&gt;0)),IF(DQ108="",TRUE,IF(input_executive_education_focus="",FALSE,SUMPRODUCT(--ISNUMBER(SEARCH(","&amp;TRIM(TEXTSPLIT(DQ108,","))&amp;",",","&amp;SUBSTITUTE(input_executive_education_focus," ","")&amp;",")))=COUNTA(TEXTSPLIT(DQ108,",")))))</f>
        <v/>
      </c>
      <c r="JE108">
        <f>AND(IF(DS108="",TRUE,IF(input_faculty_category="",FALSE,SUMPRODUCT(--ISNUMBER(SEARCH(","&amp;TRIM(TEXTSPLIT(DS108,","))&amp;",",","&amp;SUBSTITUTE(input_faculty_category," ","")&amp;",")))&gt;0)),IF(DU108="",TRUE,IF(input_faculty_category="",FALSE,SUMPRODUCT(--ISNUMBER(SEARCH(","&amp;TRIM(TEXTSPLIT(DU108,","))&amp;",",","&amp;SUBSTITUTE(input_faculty_category," ","")&amp;",")))=COUNTA(TEXTSPLIT(DU108,",")))),IF(DW108="",TRUE,IF(input_faculty_category="",TRUE,SUMPRODUCT(--ISNUMBER(SEARCH(","&amp;TRIM(TEXTSPLIT(DW108,","))&amp;",",","&amp;SUBSTITUTE(input_faculty_category," ","")&amp;",")))=0)),IF(DY108="",TRUE,IF(input_faculty_category="",FALSE,SUMPRODUCT(--ISNUMBER(SEARCH(","&amp;TRIM(TEXTSPLIT(DY108,","))&amp;",",","&amp;SUBSTITUTE(input_faculty_category," ","")&amp;",")))&gt;0)),IF(EA108="",TRUE,IF(input_faculty_category="",FALSE,SUMPRODUCT(--ISNUMBER(SEARCH(","&amp;TRIM(TEXTSPLIT(EA108,","))&amp;",",","&amp;SUBSTITUTE(input_faculty_category," ","")&amp;",")))=COUNTA(TEXTSPLIT(EA108,",")))))</f>
        <v/>
      </c>
      <c r="JF108">
        <f>AND(IF(EC108="",TRUE,IF(input_faculty_discipline="",FALSE,SUMPRODUCT(--ISNUMBER(SEARCH(","&amp;TRIM(TEXTSPLIT(EC108,","))&amp;",",","&amp;SUBSTITUTE(input_faculty_discipline," ","")&amp;",")))&gt;0)),IF(EE108="",TRUE,IF(input_faculty_discipline="",FALSE,SUMPRODUCT(--ISNUMBER(SEARCH(","&amp;TRIM(TEXTSPLIT(EE108,","))&amp;",",","&amp;SUBSTITUTE(input_faculty_discipline," ","")&amp;",")))=COUNTA(TEXTSPLIT(EE108,",")))),IF(EG108="",TRUE,IF(input_faculty_discipline="",TRUE,SUMPRODUCT(--ISNUMBER(SEARCH(","&amp;TRIM(TEXTSPLIT(EG108,","))&amp;",",","&amp;SUBSTITUTE(input_faculty_discipline," ","")&amp;",")))=0)),IF(EI108="",TRUE,IF(input_faculty_discipline="",FALSE,SUMPRODUCT(--ISNUMBER(SEARCH(","&amp;TRIM(TEXTSPLIT(EI108,","))&amp;",",","&amp;SUBSTITUTE(input_faculty_discipline," ","")&amp;",")))&gt;0)),IF(EK108="",TRUE,IF(input_faculty_discipline="",FALSE,SUMPRODUCT(--ISNUMBER(SEARCH(","&amp;TRIM(TEXTSPLIT(EK108,","))&amp;",",","&amp;SUBSTITUTE(input_faculty_discipline," ","")&amp;",")))=COUNTA(TEXTSPLIT(EK108,",")))))</f>
        <v/>
      </c>
      <c r="JG108">
        <f>AND(IF(EM108="",TRUE,IF(input_faculty_expertise="",FALSE,SUMPRODUCT(--ISNUMBER(SEARCH(","&amp;TRIM(TEXTSPLIT(EM108,","))&amp;",",","&amp;SUBSTITUTE(input_faculty_expertise," ","")&amp;",")))&gt;0)),IF(EO108="",TRUE,IF(input_faculty_expertise="",FALSE,SUMPRODUCT(--ISNUMBER(SEARCH(","&amp;TRIM(TEXTSPLIT(EO108,","))&amp;",",","&amp;SUBSTITUTE(input_faculty_expertise," ","")&amp;",")))=COUNTA(TEXTSPLIT(EO108,",")))),IF(EQ108="",TRUE,IF(input_faculty_expertise="",TRUE,SUMPRODUCT(--ISNUMBER(SEARCH(","&amp;TRIM(TEXTSPLIT(EQ108,","))&amp;",",","&amp;SUBSTITUTE(input_faculty_expertise," ","")&amp;",")))=0)),IF(ES108="",TRUE,IF(input_faculty_expertise="",FALSE,SUMPRODUCT(--ISNUMBER(SEARCH(","&amp;TRIM(TEXTSPLIT(ES108,","))&amp;",",","&amp;SUBSTITUTE(input_faculty_expertise," ","")&amp;",")))&gt;0)),IF(EU108="",TRUE,IF(input_faculty_expertise="",FALSE,SUMPRODUCT(--ISNUMBER(SEARCH(","&amp;TRIM(TEXTSPLIT(EU108,","))&amp;",",","&amp;SUBSTITUTE(input_faculty_expertise," ","")&amp;",")))=COUNTA(TEXTSPLIT(EU108,",")))))</f>
        <v/>
      </c>
      <c r="JH108">
        <f>AND(IF(EW108="",TRUE,IF(input_global_network_school="",FALSE,SUMPRODUCT(--ISNUMBER(SEARCH(","&amp;TRIM(TEXTSPLIT(EW108,","))&amp;",",","&amp;SUBSTITUTE(input_global_network_school," ","")&amp;",")))&gt;0)),IF(EY108="",TRUE,IF(input_global_network_school="",FALSE,SUMPRODUCT(--ISNUMBER(SEARCH(","&amp;TRIM(TEXTSPLIT(EY108,","))&amp;",",","&amp;SUBSTITUTE(input_global_network_school," ","")&amp;",")))=COUNTA(TEXTSPLIT(EY108,",")))),IF(FA108="",TRUE,IF(input_global_network_school="",TRUE,SUMPRODUCT(--ISNUMBER(SEARCH(","&amp;TRIM(TEXTSPLIT(FA108,","))&amp;",",","&amp;SUBSTITUTE(input_global_network_school," ","")&amp;",")))=0)),IF(FC108="",TRUE,IF(input_global_network_school="",FALSE,SUMPRODUCT(--ISNUMBER(SEARCH(","&amp;TRIM(TEXTSPLIT(FC108,","))&amp;",",","&amp;SUBSTITUTE(input_global_network_school," ","")&amp;",")))&gt;0)),IF(FE108="",TRUE,IF(input_global_network_school="",FALSE,SUMPRODUCT(--ISNUMBER(SEARCH(","&amp;TRIM(TEXTSPLIT(FE108,","))&amp;",",","&amp;SUBSTITUTE(input_global_network_school," ","")&amp;",")))=COUNTA(TEXTSPLIT(FE108,",")))))</f>
        <v/>
      </c>
      <c r="JI108">
        <f>AND(IF(FG108="",TRUE,IF(input_industry="",FALSE,SUMPRODUCT(--ISNUMBER(SEARCH(","&amp;TRIM(TEXTSPLIT(FG108,","))&amp;",",","&amp;SUBSTITUTE(input_industry," ","")&amp;",")))&gt;0)),IF(FI108="",TRUE,IF(input_industry="",FALSE,SUMPRODUCT(--ISNUMBER(SEARCH(","&amp;TRIM(TEXTSPLIT(FI108,","))&amp;",",","&amp;SUBSTITUTE(input_industry," ","")&amp;",")))=COUNTA(TEXTSPLIT(FI108,",")))),IF(FK108="",TRUE,IF(input_industry="",TRUE,SUMPRODUCT(--ISNUMBER(SEARCH(","&amp;TRIM(TEXTSPLIT(FK108,","))&amp;",",","&amp;SUBSTITUTE(input_industry," ","")&amp;",")))=0)),IF(FM108="",TRUE,IF(input_industry="",FALSE,SUMPRODUCT(--ISNUMBER(SEARCH(","&amp;TRIM(TEXTSPLIT(FM108,","))&amp;",",","&amp;SUBSTITUTE(input_industry," ","")&amp;",")))&gt;0)),IF(FO108="",TRUE,IF(input_industry="",FALSE,SUMPRODUCT(--ISNUMBER(SEARCH(","&amp;TRIM(TEXTSPLIT(FO108,","))&amp;",",","&amp;SUBSTITUTE(input_industry," ","")&amp;",")))=COUNTA(TEXTSPLIT(FO108,",")))))</f>
        <v/>
      </c>
      <c r="JJ108">
        <f>AND(IF(FQ108="",TRUE,IF(input_location="",FALSE,SUMPRODUCT(--ISNUMBER(SEARCH(","&amp;TRIM(TEXTSPLIT(FQ108,","))&amp;",",","&amp;SUBSTITUTE(input_location," ","")&amp;",")))&gt;0)),IF(FS108="",TRUE,IF(input_location="",FALSE,SUMPRODUCT(--ISNUMBER(SEARCH(","&amp;TRIM(TEXTSPLIT(FS108,","))&amp;",",","&amp;SUBSTITUTE(input_location," ","")&amp;",")))=COUNTA(TEXTSPLIT(FS108,",")))),IF(FU108="",TRUE,IF(input_location="",TRUE,SUMPRODUCT(--ISNUMBER(SEARCH(","&amp;TRIM(TEXTSPLIT(FU108,","))&amp;",",","&amp;SUBSTITUTE(input_location," ","")&amp;",")))=0)),IF(FW108="",TRUE,IF(input_location="",FALSE,SUMPRODUCT(--ISNUMBER(SEARCH(","&amp;TRIM(TEXTSPLIT(FW108,","))&amp;",",","&amp;SUBSTITUTE(input_location," ","")&amp;",")))&gt;0)),IF(FY108="",TRUE,IF(input_location="",FALSE,SUMPRODUCT(--ISNUMBER(SEARCH(","&amp;TRIM(TEXTSPLIT(FY108,","))&amp;",",","&amp;SUBSTITUTE(input_location," ","")&amp;",")))=COUNTA(TEXTSPLIT(FY108,",")))))</f>
        <v/>
      </c>
      <c r="JK108">
        <f>AND(IF(GA108="",TRUE,IF(input_modality="",FALSE,SUMPRODUCT(--ISNUMBER(SEARCH(","&amp;TRIM(TEXTSPLIT(GA108,","))&amp;",",","&amp;SUBSTITUTE(input_modality," ","")&amp;",")))&gt;0)),IF(GC108="",TRUE,IF(input_modality="",FALSE,SUMPRODUCT(--ISNUMBER(SEARCH(","&amp;TRIM(TEXTSPLIT(GC108,","))&amp;",",","&amp;SUBSTITUTE(input_modality," ","")&amp;",")))=COUNTA(TEXTSPLIT(GC108,",")))),IF(GE108="",TRUE,IF(input_modality="",TRUE,SUMPRODUCT(--ISNUMBER(SEARCH(","&amp;TRIM(TEXTSPLIT(GE108,","))&amp;",",","&amp;SUBSTITUTE(input_modality," ","")&amp;",")))=0)),IF(GG108="",TRUE,IF(input_modality="",FALSE,SUMPRODUCT(--ISNUMBER(SEARCH(","&amp;TRIM(TEXTSPLIT(GG108,","))&amp;",",","&amp;SUBSTITUTE(input_modality," ","")&amp;",")))&gt;0)),IF(GI108="",TRUE,IF(input_modality="",FALSE,SUMPRODUCT(--ISNUMBER(SEARCH(","&amp;TRIM(TEXTSPLIT(GI108,","))&amp;",",","&amp;SUBSTITUTE(input_modality," ","")&amp;",")))=COUNTA(TEXTSPLIT(GI108,",")))))</f>
        <v/>
      </c>
      <c r="JL108">
        <f>AND(IF(GK108="",TRUE,IF(input_organizer="",FALSE,SUMPRODUCT(--ISNUMBER(SEARCH(","&amp;TRIM(TEXTSPLIT(GK108,","))&amp;",",","&amp;SUBSTITUTE(input_organizer," ","")&amp;",")))&gt;0)),IF(GM108="",TRUE,IF(input_organizer="",FALSE,SUMPRODUCT(--ISNUMBER(SEARCH(","&amp;TRIM(TEXTSPLIT(GM108,","))&amp;",",","&amp;SUBSTITUTE(input_organizer," ","")&amp;",")))=COUNTA(TEXTSPLIT(GM108,",")))),IF(GO108="",TRUE,IF(input_organizer="",TRUE,SUMPRODUCT(--ISNUMBER(SEARCH(","&amp;TRIM(TEXTSPLIT(GO108,","))&amp;",",","&amp;SUBSTITUTE(input_organizer," ","")&amp;",")))=0)),IF(GQ108="",TRUE,IF(input_organizer="",FALSE,SUMPRODUCT(--ISNUMBER(SEARCH(","&amp;TRIM(TEXTSPLIT(GQ108,","))&amp;",",","&amp;SUBSTITUTE(input_organizer," ","")&amp;",")))&gt;0)),IF(GS108="",TRUE,IF(input_organizer="",FALSE,SUMPRODUCT(--ISNUMBER(SEARCH(","&amp;TRIM(TEXTSPLIT(GS108,","))&amp;",",","&amp;SUBSTITUTE(input_organizer," ","")&amp;",")))=COUNTA(TEXTSPLIT(GS108,",")))))</f>
        <v/>
      </c>
      <c r="JM108">
        <f>AND(IF(GU108="",TRUE,IF(input_profile_type="",FALSE,SUMPRODUCT(--ISNUMBER(SEARCH(","&amp;TRIM(TEXTSPLIT(GU108,","))&amp;",",","&amp;SUBSTITUTE(input_profile_type," ","")&amp;",")))&gt;0)),IF(GW108="",TRUE,IF(input_profile_type="",FALSE,SUMPRODUCT(--ISNUMBER(SEARCH(","&amp;TRIM(TEXTSPLIT(GW108,","))&amp;",",","&amp;SUBSTITUTE(input_profile_type," ","")&amp;",")))=COUNTA(TEXTSPLIT(GW108,",")))),IF(GY108="",TRUE,IF(input_profile_type="",TRUE,SUMPRODUCT(--ISNUMBER(SEARCH(","&amp;TRIM(TEXTSPLIT(GY108,","))&amp;",",","&amp;SUBSTITUTE(input_profile_type," ","")&amp;",")))=0)),IF(HA108="",TRUE,IF(input_profile_type="",FALSE,SUMPRODUCT(--ISNUMBER(SEARCH(","&amp;TRIM(TEXTSPLIT(HA108,","))&amp;",",","&amp;SUBSTITUTE(input_profile_type," ","")&amp;",")))&gt;0)),IF(HC108="",TRUE,IF(input_profile_type="",FALSE,SUMPRODUCT(--ISNUMBER(SEARCH(","&amp;TRIM(TEXTSPLIT(HC108,","))&amp;",",","&amp;SUBSTITUTE(input_profile_type," ","")&amp;",")))=COUNTA(TEXTSPLIT(HC108,",")))))</f>
        <v/>
      </c>
      <c r="JN108">
        <f>AND(IF(HE108="",TRUE,IF(input_program="",FALSE,SUMPRODUCT(--ISNUMBER(SEARCH(","&amp;TRIM(TEXTSPLIT(HE108,","))&amp;",",","&amp;SUBSTITUTE(input_program," ","")&amp;",")))&gt;0)),IF(HG108="",TRUE,IF(input_program="",FALSE,SUMPRODUCT(--ISNUMBER(SEARCH(","&amp;TRIM(TEXTSPLIT(HG108,","))&amp;",",","&amp;SUBSTITUTE(input_program," ","")&amp;",")))=COUNTA(TEXTSPLIT(HG108,",")))),IF(HI108="",TRUE,IF(input_program="",TRUE,SUMPRODUCT(--ISNUMBER(SEARCH(","&amp;TRIM(TEXTSPLIT(HI108,","))&amp;",",","&amp;SUBSTITUTE(input_program," ","")&amp;",")))=0)),IF(HK108="",TRUE,IF(input_program="",FALSE,SUMPRODUCT(--ISNUMBER(SEARCH(","&amp;TRIM(TEXTSPLIT(HK108,","))&amp;",",","&amp;SUBSTITUTE(input_program," ","")&amp;",")))&gt;0)),IF(HM108="",TRUE,IF(input_program="",FALSE,SUMPRODUCT(--ISNUMBER(SEARCH(","&amp;TRIM(TEXTSPLIT(HM108,","))&amp;",",","&amp;SUBSTITUTE(input_program," ","")&amp;",")))=COUNTA(TEXTSPLIT(HM108,",")))))</f>
        <v/>
      </c>
      <c r="JO108">
        <f>AND(IF(HO108="",TRUE,IF(input_story_categories="",FALSE,SUMPRODUCT(--ISNUMBER(SEARCH(","&amp;TRIM(TEXTSPLIT(HO108,","))&amp;",",","&amp;SUBSTITUTE(input_story_categories," ","")&amp;",")))&gt;0)),IF(HQ108="",TRUE,IF(input_story_categories="",FALSE,SUMPRODUCT(--ISNUMBER(SEARCH(","&amp;TRIM(TEXTSPLIT(HQ108,","))&amp;",",","&amp;SUBSTITUTE(input_story_categories," ","")&amp;",")))=COUNTA(TEXTSPLIT(HQ108,",")))),IF(HS108="",TRUE,IF(input_story_categories="",TRUE,SUMPRODUCT(--ISNUMBER(SEARCH(","&amp;TRIM(TEXTSPLIT(HS108,","))&amp;",",","&amp;SUBSTITUTE(input_story_categories," ","")&amp;",")))=0)),IF(HU108="",TRUE,IF(input_story_categories="",FALSE,SUMPRODUCT(--ISNUMBER(SEARCH(","&amp;TRIM(TEXTSPLIT(HU108,","))&amp;",",","&amp;SUBSTITUTE(input_story_categories," ","")&amp;",")))&gt;0)),IF(HW108="",TRUE,IF(input_story_categories="",FALSE,SUMPRODUCT(--ISNUMBER(SEARCH(","&amp;TRIM(TEXTSPLIT(HW108,","))&amp;",",","&amp;SUBSTITUTE(input_story_categories," ","")&amp;",")))=COUNTA(TEXTSPLIT(HW108,",")))))</f>
        <v/>
      </c>
      <c r="JP108">
        <f>AND(IF(HY108="",TRUE,IF(input_story_type="",FALSE,SUMPRODUCT(--ISNUMBER(SEARCH(","&amp;TRIM(TEXTSPLIT(HY108,","))&amp;",",","&amp;SUBSTITUTE(input_story_type," ","")&amp;",")))&gt;0)),IF(IA108="",TRUE,IF(input_story_type="",FALSE,SUMPRODUCT(--ISNUMBER(SEARCH(","&amp;TRIM(TEXTSPLIT(IA108,","))&amp;",",","&amp;SUBSTITUTE(input_story_type," ","")&amp;",")))=COUNTA(TEXTSPLIT(IA108,",")))),IF(IC108="",TRUE,IF(input_story_type="",TRUE,SUMPRODUCT(--ISNUMBER(SEARCH(","&amp;TRIM(TEXTSPLIT(IC108,","))&amp;",",","&amp;SUBSTITUTE(input_story_type," ","")&amp;",")))=0)),IF(IE108="",TRUE,IF(input_story_type="",FALSE,SUMPRODUCT(--ISNUMBER(SEARCH(","&amp;TRIM(TEXTSPLIT(IE108,","))&amp;",",","&amp;SUBSTITUTE(input_story_type," ","")&amp;",")))&gt;0)),IF(IG108="",TRUE,IF(input_story_type="",FALSE,SUMPRODUCT(--ISNUMBER(SEARCH(","&amp;TRIM(TEXTSPLIT(IG108,","))&amp;",",","&amp;SUBSTITUTE(input_story_type," ","")&amp;",")))=COUNTA(TEXTSPLIT(IG108,",")))))</f>
        <v/>
      </c>
      <c r="JQ108">
        <f>AND(IF(II108="",TRUE,IF(input_topics="",FALSE,SUMPRODUCT(--ISNUMBER(SEARCH(","&amp;TRIM(TEXTSPLIT(II108,","))&amp;",",","&amp;SUBSTITUTE(input_topics," ","")&amp;",")))&gt;0)),IF(IK108="",TRUE,IF(input_topics="",FALSE,SUMPRODUCT(--ISNUMBER(SEARCH(","&amp;TRIM(TEXTSPLIT(IK108,","))&amp;",",","&amp;SUBSTITUTE(input_topics," ","")&amp;",")))=COUNTA(TEXTSPLIT(IK108,",")))),IF(IM108="",TRUE,IF(input_topics="",TRUE,SUMPRODUCT(--ISNUMBER(SEARCH(","&amp;TRIM(TEXTSPLIT(IM108,","))&amp;",",","&amp;SUBSTITUTE(input_topics," ","")&amp;",")))=0)),IF(IO108="",TRUE,IF(input_topics="",FALSE,SUMPRODUCT(--ISNUMBER(SEARCH(","&amp;TRIM(TEXTSPLIT(IO108,","))&amp;",",","&amp;SUBSTITUTE(input_topics," ","")&amp;",")))&gt;0)),IF(IQ108="",TRUE,IF(input_topics="",FALSE,SUMPRODUCT(--ISNUMBER(SEARCH(","&amp;TRIM(TEXTSPLIT(IQ108,","))&amp;",",","&amp;SUBSTITUTE(input_topics," ","")&amp;",")))=COUNTA(TEXTSPLIT(IQ108,",")))))</f>
        <v/>
      </c>
    </row>
    <row r="109">
      <c r="A109" s="4">
        <f>IF(NOT(IS109),"Excluded",IF(AND(IT109,IU109,IV109,IW109,IX109,IY109,IZ109,JA109,JB109,JC109,JD109,JE109,JF109,JG109,JH109,JI109,JJ109,JK109,JL109,JM109,JN109,JO109,JP109,JQ109),IF(I109&gt;0,"Eligible but limited","Will appear"),"Excluded"))</f>
        <v/>
      </c>
      <c r="B109" s="4" t="inlineStr">
        <is>
          <t>Events</t>
        </is>
      </c>
      <c r="C109" s="4" t="inlineStr">
        <is>
          <t>/programs/mms-asset-management</t>
        </is>
      </c>
      <c r="D109" s="4" t="inlineStr">
        <is>
          <t>/programs/mms-asset-management</t>
        </is>
      </c>
      <c r="E109" s="4" t="n">
        <v>1</v>
      </c>
      <c r="F109" s="4" t="inlineStr">
        <is>
          <t>event</t>
        </is>
      </c>
      <c r="G109" s="4" t="inlineStr">
        <is>
          <t>event_teaser_list</t>
        </is>
      </c>
      <c r="H109" s="4" t="inlineStr">
        <is>
          <t>embed_1</t>
        </is>
      </c>
      <c r="I109" s="4" t="n">
        <v>3</v>
      </c>
      <c r="J109" s="4" t="inlineStr">
        <is>
          <t>Section inferred</t>
        </is>
      </c>
      <c r="K109" s="4" t="inlineStr">
        <is>
          <t>Page placement</t>
        </is>
      </c>
      <c r="L109" s="4" t="inlineStr">
        <is>
          <t>Content type: event; Context uses Courses Context: Master's Degree in Asset Management (930); Limited to 3 item(s); Source: Section inferred</t>
        </is>
      </c>
      <c r="M109" t="inlineStr"/>
      <c r="N109" t="inlineStr"/>
      <c r="O109" t="inlineStr"/>
      <c r="P109" t="inlineStr"/>
      <c r="Q109" t="inlineStr"/>
      <c r="R109" t="inlineStr"/>
      <c r="S109" t="inlineStr"/>
      <c r="T109" t="inlineStr"/>
      <c r="U109" t="inlineStr"/>
      <c r="V109" t="inlineStr"/>
      <c r="W109" t="inlineStr"/>
      <c r="X109" t="inlineStr"/>
      <c r="Y109" t="inlineStr"/>
      <c r="Z109" t="inlineStr"/>
      <c r="AA109" t="inlineStr"/>
      <c r="AB109" t="inlineStr"/>
      <c r="AC109" t="inlineStr"/>
      <c r="AD109" t="inlineStr"/>
      <c r="AE109" t="inlineStr"/>
      <c r="AF109" t="inlineStr"/>
      <c r="AG109" t="inlineStr"/>
      <c r="AH109" t="inlineStr"/>
      <c r="AI109" t="inlineStr"/>
      <c r="AJ109" t="inlineStr"/>
      <c r="AK109" t="inlineStr"/>
      <c r="AL109" t="inlineStr"/>
      <c r="AM109" t="inlineStr"/>
      <c r="AN109" t="inlineStr"/>
      <c r="AO109" t="inlineStr"/>
      <c r="AP109" t="inlineStr"/>
      <c r="AQ109" t="inlineStr"/>
      <c r="AR109" t="inlineStr"/>
      <c r="AS109" t="inlineStr"/>
      <c r="AT109" t="inlineStr"/>
      <c r="AU109" t="inlineStr"/>
      <c r="AV109" t="inlineStr"/>
      <c r="AW109" t="inlineStr"/>
      <c r="AX109" t="inlineStr"/>
      <c r="AY109" t="inlineStr"/>
      <c r="AZ109" t="inlineStr"/>
      <c r="BA109" t="inlineStr"/>
      <c r="BB109" t="inlineStr"/>
      <c r="BC109" t="inlineStr"/>
      <c r="BD109" t="inlineStr"/>
      <c r="BE109" t="inlineStr"/>
      <c r="BF109" t="inlineStr"/>
      <c r="BG109" t="inlineStr"/>
      <c r="BH109" t="inlineStr"/>
      <c r="BI109" t="inlineStr"/>
      <c r="BJ109" t="inlineStr"/>
      <c r="BK109" t="inlineStr"/>
      <c r="BL109" t="inlineStr"/>
      <c r="BM109" t="inlineStr"/>
      <c r="BN109" t="inlineStr"/>
      <c r="BO109" t="inlineStr"/>
      <c r="BP109" t="inlineStr"/>
      <c r="BQ109" t="inlineStr">
        <is>
          <t>930</t>
        </is>
      </c>
      <c r="BR109" t="inlineStr">
        <is>
          <t>Master's Degree in Asset Management (930)</t>
        </is>
      </c>
      <c r="BS109" t="inlineStr"/>
      <c r="BT109" t="inlineStr"/>
      <c r="BU109" t="inlineStr"/>
      <c r="BV109" t="inlineStr"/>
      <c r="BW109" t="inlineStr"/>
      <c r="BX109" t="inlineStr"/>
      <c r="BY109" t="inlineStr"/>
      <c r="BZ109" t="inlineStr"/>
      <c r="CA109" t="inlineStr"/>
      <c r="CB109" t="inlineStr"/>
      <c r="CC109" t="inlineStr"/>
      <c r="CD109" t="inlineStr"/>
      <c r="CE109" t="inlineStr"/>
      <c r="CF109" t="inlineStr"/>
      <c r="CG109" t="inlineStr"/>
      <c r="CH109" t="inlineStr"/>
      <c r="CI109" t="inlineStr"/>
      <c r="CJ109" t="inlineStr"/>
      <c r="CK109" t="inlineStr"/>
      <c r="CL109" t="inlineStr"/>
      <c r="CM109" t="inlineStr"/>
      <c r="CN109" t="inlineStr"/>
      <c r="CO109" t="inlineStr"/>
      <c r="CP109" t="inlineStr"/>
      <c r="CQ109" t="inlineStr"/>
      <c r="CR109" t="inlineStr"/>
      <c r="CS109" t="inlineStr"/>
      <c r="CT109" t="inlineStr"/>
      <c r="CU109" t="inlineStr"/>
      <c r="CV109" t="inlineStr"/>
      <c r="CW109" t="inlineStr"/>
      <c r="CX109" t="inlineStr"/>
      <c r="CY109" t="inlineStr"/>
      <c r="CZ109" t="inlineStr"/>
      <c r="DA109" t="inlineStr"/>
      <c r="DB109" t="inlineStr"/>
      <c r="DC109" t="inlineStr"/>
      <c r="DD109" t="inlineStr"/>
      <c r="DE109" t="inlineStr"/>
      <c r="DF109" t="inlineStr"/>
      <c r="DG109" t="inlineStr"/>
      <c r="DH109" t="inlineStr"/>
      <c r="DI109" t="inlineStr"/>
      <c r="DJ109" t="inlineStr"/>
      <c r="DK109" t="inlineStr"/>
      <c r="DL109" t="inlineStr"/>
      <c r="DM109" t="inlineStr"/>
      <c r="DN109" t="inlineStr"/>
      <c r="DO109" t="inlineStr"/>
      <c r="DP109" t="inlineStr"/>
      <c r="DQ109" t="inlineStr"/>
      <c r="DR109" t="inlineStr"/>
      <c r="DS109" t="inlineStr"/>
      <c r="DT109" t="inlineStr"/>
      <c r="DU109" t="inlineStr"/>
      <c r="DV109" t="inlineStr"/>
      <c r="DW109" t="inlineStr"/>
      <c r="DX109" t="inlineStr"/>
      <c r="DY109" t="inlineStr"/>
      <c r="DZ109" t="inlineStr"/>
      <c r="EA109" t="inlineStr"/>
      <c r="EB109" t="inlineStr"/>
      <c r="EC109" t="inlineStr"/>
      <c r="ED109" t="inlineStr"/>
      <c r="EE109" t="inlineStr"/>
      <c r="EF109" t="inlineStr"/>
      <c r="EG109" t="inlineStr"/>
      <c r="EH109" t="inlineStr"/>
      <c r="EI109" t="inlineStr"/>
      <c r="EJ109" t="inlineStr"/>
      <c r="EK109" t="inlineStr"/>
      <c r="EL109" t="inlineStr"/>
      <c r="EM109" t="inlineStr"/>
      <c r="EN109" t="inlineStr"/>
      <c r="EO109" t="inlineStr"/>
      <c r="EP109" t="inlineStr"/>
      <c r="EQ109" t="inlineStr"/>
      <c r="ER109" t="inlineStr"/>
      <c r="ES109" t="inlineStr"/>
      <c r="ET109" t="inlineStr"/>
      <c r="EU109" t="inlineStr"/>
      <c r="EV109" t="inlineStr"/>
      <c r="EW109" t="inlineStr"/>
      <c r="EX109" t="inlineStr"/>
      <c r="EY109" t="inlineStr"/>
      <c r="EZ109" t="inlineStr"/>
      <c r="FA109" t="inlineStr"/>
      <c r="FB109" t="inlineStr"/>
      <c r="FC109" t="inlineStr"/>
      <c r="FD109" t="inlineStr"/>
      <c r="FE109" t="inlineStr"/>
      <c r="FF109" t="inlineStr"/>
      <c r="FG109" t="inlineStr"/>
      <c r="FH109" t="inlineStr"/>
      <c r="FI109" t="inlineStr"/>
      <c r="FJ109" t="inlineStr"/>
      <c r="FK109" t="inlineStr"/>
      <c r="FL109" t="inlineStr"/>
      <c r="FM109" t="inlineStr"/>
      <c r="FN109" t="inlineStr"/>
      <c r="FO109" t="inlineStr"/>
      <c r="FP109" t="inlineStr"/>
      <c r="FQ109" t="inlineStr"/>
      <c r="FR109" t="inlineStr"/>
      <c r="FS109" t="inlineStr"/>
      <c r="FT109" t="inlineStr"/>
      <c r="FU109" t="inlineStr"/>
      <c r="FV109" t="inlineStr"/>
      <c r="FW109" t="inlineStr"/>
      <c r="FX109" t="inlineStr"/>
      <c r="FY109" t="inlineStr"/>
      <c r="FZ109" t="inlineStr"/>
      <c r="GA109" t="inlineStr"/>
      <c r="GB109" t="inlineStr"/>
      <c r="GC109" t="inlineStr"/>
      <c r="GD109" t="inlineStr"/>
      <c r="GE109" t="inlineStr"/>
      <c r="GF109" t="inlineStr"/>
      <c r="GG109" t="inlineStr"/>
      <c r="GH109" t="inlineStr"/>
      <c r="GI109" t="inlineStr"/>
      <c r="GJ109" t="inlineStr"/>
      <c r="GK109" t="inlineStr"/>
      <c r="GL109" t="inlineStr"/>
      <c r="GM109" t="inlineStr"/>
      <c r="GN109" t="inlineStr"/>
      <c r="GO109" t="inlineStr"/>
      <c r="GP109" t="inlineStr"/>
      <c r="GQ109" t="inlineStr"/>
      <c r="GR109" t="inlineStr"/>
      <c r="GS109" t="inlineStr"/>
      <c r="GT109" t="inlineStr"/>
      <c r="GU109" t="inlineStr"/>
      <c r="GV109" t="inlineStr"/>
      <c r="GW109" t="inlineStr"/>
      <c r="GX109" t="inlineStr"/>
      <c r="GY109" t="inlineStr"/>
      <c r="GZ109" t="inlineStr"/>
      <c r="HA109" t="inlineStr"/>
      <c r="HB109" t="inlineStr"/>
      <c r="HC109" t="inlineStr"/>
      <c r="HD109" t="inlineStr"/>
      <c r="HE109" t="inlineStr"/>
      <c r="HF109" t="inlineStr"/>
      <c r="HG109" t="inlineStr"/>
      <c r="HH109" t="inlineStr"/>
      <c r="HI109" t="inlineStr"/>
      <c r="HJ109" t="inlineStr"/>
      <c r="HK109" t="inlineStr"/>
      <c r="HL109" t="inlineStr"/>
      <c r="HM109" t="inlineStr"/>
      <c r="HN109" t="inlineStr"/>
      <c r="HO109" t="inlineStr"/>
      <c r="HP109" t="inlineStr"/>
      <c r="HQ109" t="inlineStr"/>
      <c r="HR109" t="inlineStr"/>
      <c r="HS109" t="inlineStr"/>
      <c r="HT109" t="inlineStr"/>
      <c r="HU109" t="inlineStr"/>
      <c r="HV109" t="inlineStr"/>
      <c r="HW109" t="inlineStr"/>
      <c r="HX109" t="inlineStr"/>
      <c r="HY109" t="inlineStr"/>
      <c r="HZ109" t="inlineStr"/>
      <c r="IA109" t="inlineStr"/>
      <c r="IB109" t="inlineStr"/>
      <c r="IC109" t="inlineStr"/>
      <c r="ID109" t="inlineStr"/>
      <c r="IE109" t="inlineStr"/>
      <c r="IF109" t="inlineStr"/>
      <c r="IG109" t="inlineStr"/>
      <c r="IH109" t="inlineStr"/>
      <c r="II109" t="inlineStr"/>
      <c r="IJ109" t="inlineStr"/>
      <c r="IK109" t="inlineStr"/>
      <c r="IL109" t="inlineStr"/>
      <c r="IM109" t="inlineStr"/>
      <c r="IN109" t="inlineStr"/>
      <c r="IO109" t="inlineStr"/>
      <c r="IP109" t="inlineStr"/>
      <c r="IQ109" t="inlineStr"/>
      <c r="IR109" t="inlineStr"/>
      <c r="IS109">
        <f>IF(input_content_type="",FALSE,ISNUMBER(SEARCH(","&amp;LOWER(input_content_type)&amp;",",","&amp;LOWER(F109)&amp;",")))</f>
        <v/>
      </c>
      <c r="IT109">
        <f>AND(IF(M109="",TRUE,IF(input_affiliations="",FALSE,SUMPRODUCT(--ISNUMBER(SEARCH(","&amp;TRIM(TEXTSPLIT(M109,","))&amp;",",","&amp;SUBSTITUTE(input_affiliations," ","")&amp;",")))&gt;0)),IF(O109="",TRUE,IF(input_affiliations="",FALSE,SUMPRODUCT(--ISNUMBER(SEARCH(","&amp;TRIM(TEXTSPLIT(O109,","))&amp;",",","&amp;SUBSTITUTE(input_affiliations," ","")&amp;",")))=COUNTA(TEXTSPLIT(O109,",")))),IF(Q109="",TRUE,IF(input_affiliations="",TRUE,SUMPRODUCT(--ISNUMBER(SEARCH(","&amp;TRIM(TEXTSPLIT(Q109,","))&amp;",",","&amp;SUBSTITUTE(input_affiliations," ","")&amp;",")))=0)),IF(S109="",TRUE,IF(input_affiliations="",FALSE,SUMPRODUCT(--ISNUMBER(SEARCH(","&amp;TRIM(TEXTSPLIT(S109,","))&amp;",",","&amp;SUBSTITUTE(input_affiliations," ","")&amp;",")))&gt;0)),IF(U109="",TRUE,IF(input_affiliations="",FALSE,SUMPRODUCT(--ISNUMBER(SEARCH(","&amp;TRIM(TEXTSPLIT(U109,","))&amp;",",","&amp;SUBSTITUTE(input_affiliations," ","")&amp;",")))=COUNTA(TEXTSPLIT(U109,",")))))</f>
        <v/>
      </c>
      <c r="IU109">
        <f>AND(IF(W109="",TRUE,IF(input_announcement_category="",FALSE,SUMPRODUCT(--ISNUMBER(SEARCH(","&amp;TRIM(TEXTSPLIT(W109,","))&amp;",",","&amp;SUBSTITUTE(input_announcement_category," ","")&amp;",")))&gt;0)),IF(Y109="",TRUE,IF(input_announcement_category="",FALSE,SUMPRODUCT(--ISNUMBER(SEARCH(","&amp;TRIM(TEXTSPLIT(Y109,","))&amp;",",","&amp;SUBSTITUTE(input_announcement_category," ","")&amp;",")))=COUNTA(TEXTSPLIT(Y109,",")))),IF(AA109="",TRUE,IF(input_announcement_category="",TRUE,SUMPRODUCT(--ISNUMBER(SEARCH(","&amp;TRIM(TEXTSPLIT(AA109,","))&amp;",",","&amp;SUBSTITUTE(input_announcement_category," ","")&amp;",")))=0)),IF(AC109="",TRUE,IF(input_announcement_category="",FALSE,SUMPRODUCT(--ISNUMBER(SEARCH(","&amp;TRIM(TEXTSPLIT(AC109,","))&amp;",",","&amp;SUBSTITUTE(input_announcement_category," ","")&amp;",")))&gt;0)),IF(AE109="",TRUE,IF(input_announcement_category="",FALSE,SUMPRODUCT(--ISNUMBER(SEARCH(","&amp;TRIM(TEXTSPLIT(AE109,","))&amp;",",","&amp;SUBSTITUTE(input_announcement_category," ","")&amp;",")))=COUNTA(TEXTSPLIT(AE109,",")))))</f>
        <v/>
      </c>
      <c r="IV109">
        <f>AND(IF(AG109="",TRUE,IF(input_area_of_focus="",FALSE,SUMPRODUCT(--ISNUMBER(SEARCH(","&amp;TRIM(TEXTSPLIT(AG109,","))&amp;",",","&amp;SUBSTITUTE(input_area_of_focus," ","")&amp;",")))&gt;0)),IF(AI109="",TRUE,IF(input_area_of_focus="",FALSE,SUMPRODUCT(--ISNUMBER(SEARCH(","&amp;TRIM(TEXTSPLIT(AI109,","))&amp;",",","&amp;SUBSTITUTE(input_area_of_focus," ","")&amp;",")))=COUNTA(TEXTSPLIT(AI109,",")))),IF(AK109="",TRUE,IF(input_area_of_focus="",TRUE,SUMPRODUCT(--ISNUMBER(SEARCH(","&amp;TRIM(TEXTSPLIT(AK109,","))&amp;",",","&amp;SUBSTITUTE(input_area_of_focus," ","")&amp;",")))=0)),IF(AM109="",TRUE,IF(input_area_of_focus="",FALSE,SUMPRODUCT(--ISNUMBER(SEARCH(","&amp;TRIM(TEXTSPLIT(AM109,","))&amp;",",","&amp;SUBSTITUTE(input_area_of_focus," ","")&amp;",")))&gt;0)),IF(AO109="",TRUE,IF(input_area_of_focus="",FALSE,SUMPRODUCT(--ISNUMBER(SEARCH(","&amp;TRIM(TEXTSPLIT(AO109,","))&amp;",",","&amp;SUBSTITUTE(input_area_of_focus," ","")&amp;",")))=COUNTA(TEXTSPLIT(AO109,",")))))</f>
        <v/>
      </c>
      <c r="IW109">
        <f>AND(IF(AQ109="",TRUE,IF(input_audience="",FALSE,SUMPRODUCT(--ISNUMBER(SEARCH(","&amp;TRIM(TEXTSPLIT(AQ109,","))&amp;",",","&amp;SUBSTITUTE(input_audience," ","")&amp;",")))&gt;0)),IF(AS109="",TRUE,IF(input_audience="",FALSE,SUMPRODUCT(--ISNUMBER(SEARCH(","&amp;TRIM(TEXTSPLIT(AS109,","))&amp;",",","&amp;SUBSTITUTE(input_audience," ","")&amp;",")))=COUNTA(TEXTSPLIT(AS109,",")))),IF(AU109="",TRUE,IF(input_audience="",TRUE,SUMPRODUCT(--ISNUMBER(SEARCH(","&amp;TRIM(TEXTSPLIT(AU109,","))&amp;",",","&amp;SUBSTITUTE(input_audience," ","")&amp;",")))=0)),IF(AW109="",TRUE,IF(input_audience="",FALSE,SUMPRODUCT(--ISNUMBER(SEARCH(","&amp;TRIM(TEXTSPLIT(AW109,","))&amp;",",","&amp;SUBSTITUTE(input_audience," ","")&amp;",")))&gt;0)),IF(AY109="",TRUE,IF(input_audience="",FALSE,SUMPRODUCT(--ISNUMBER(SEARCH(","&amp;TRIM(TEXTSPLIT(AY109,","))&amp;",",","&amp;SUBSTITUTE(input_audience," ","")&amp;",")))=COUNTA(TEXTSPLIT(AY109,",")))))</f>
        <v/>
      </c>
      <c r="IX109">
        <f>AND(IF(BA109="",TRUE,IF(input_challenge_opportunities="",FALSE,SUMPRODUCT(--ISNUMBER(SEARCH(","&amp;TRIM(TEXTSPLIT(BA109,","))&amp;",",","&amp;SUBSTITUTE(input_challenge_opportunities," ","")&amp;",")))&gt;0)),IF(BC109="",TRUE,IF(input_challenge_opportunities="",FALSE,SUMPRODUCT(--ISNUMBER(SEARCH(","&amp;TRIM(TEXTSPLIT(BC109,","))&amp;",",","&amp;SUBSTITUTE(input_challenge_opportunities," ","")&amp;",")))=COUNTA(TEXTSPLIT(BC109,",")))),IF(BE109="",TRUE,IF(input_challenge_opportunities="",TRUE,SUMPRODUCT(--ISNUMBER(SEARCH(","&amp;TRIM(TEXTSPLIT(BE109,","))&amp;",",","&amp;SUBSTITUTE(input_challenge_opportunities," ","")&amp;",")))=0)),IF(BG109="",TRUE,IF(input_challenge_opportunities="",FALSE,SUMPRODUCT(--ISNUMBER(SEARCH(","&amp;TRIM(TEXTSPLIT(BG109,","))&amp;",",","&amp;SUBSTITUTE(input_challenge_opportunities," ","")&amp;",")))&gt;0)),IF(BI109="",TRUE,IF(input_challenge_opportunities="",FALSE,SUMPRODUCT(--ISNUMBER(SEARCH(","&amp;TRIM(TEXTSPLIT(BI109,","))&amp;",",","&amp;SUBSTITUTE(input_challenge_opportunities," ","")&amp;",")))=COUNTA(TEXTSPLIT(BI109,",")))))</f>
        <v/>
      </c>
      <c r="IY109">
        <f>AND(IF(BK109="",TRUE,IF(input_context="",FALSE,SUMPRODUCT(--ISNUMBER(SEARCH(","&amp;TRIM(TEXTSPLIT(BK109,","))&amp;",",","&amp;SUBSTITUTE(input_context," ","")&amp;",")))&gt;0)),IF(BM109="",TRUE,IF(input_context="",FALSE,SUMPRODUCT(--ISNUMBER(SEARCH(","&amp;TRIM(TEXTSPLIT(BM109,","))&amp;",",","&amp;SUBSTITUTE(input_context," ","")&amp;",")))=COUNTA(TEXTSPLIT(BM109,",")))),IF(BO109="",TRUE,IF(input_context="",TRUE,SUMPRODUCT(--ISNUMBER(SEARCH(","&amp;TRIM(TEXTSPLIT(BO109,","))&amp;",",","&amp;SUBSTITUTE(input_context," ","")&amp;",")))=0)),IF(BQ109="",TRUE,IF(input_context="",FALSE,SUMPRODUCT(--ISNUMBER(SEARCH(","&amp;TRIM(TEXTSPLIT(BQ109,","))&amp;",",","&amp;SUBSTITUTE(input_context," ","")&amp;",")))&gt;0)),IF(BS109="",TRUE,IF(input_context="",FALSE,SUMPRODUCT(--ISNUMBER(SEARCH(","&amp;TRIM(TEXTSPLIT(BS109,","))&amp;",",","&amp;SUBSTITUTE(input_context," ","")&amp;",")))=COUNTA(TEXTSPLIT(BS109,",")))))</f>
        <v/>
      </c>
      <c r="IZ109">
        <f>AND(IF(BU109="",TRUE,IF(input_enews_announcement_type="",FALSE,SUMPRODUCT(--ISNUMBER(SEARCH(","&amp;TRIM(TEXTSPLIT(BU109,","))&amp;",",","&amp;SUBSTITUTE(input_enews_announcement_type," ","")&amp;",")))&gt;0)),IF(BW109="",TRUE,IF(input_enews_announcement_type="",FALSE,SUMPRODUCT(--ISNUMBER(SEARCH(","&amp;TRIM(TEXTSPLIT(BW109,","))&amp;",",","&amp;SUBSTITUTE(input_enews_announcement_type," ","")&amp;",")))=COUNTA(TEXTSPLIT(BW109,",")))),IF(BY109="",TRUE,IF(input_enews_announcement_type="",TRUE,SUMPRODUCT(--ISNUMBER(SEARCH(","&amp;TRIM(TEXTSPLIT(BY109,","))&amp;",",","&amp;SUBSTITUTE(input_enews_announcement_type," ","")&amp;",")))=0)),IF(CA109="",TRUE,IF(input_enews_announcement_type="",FALSE,SUMPRODUCT(--ISNUMBER(SEARCH(","&amp;TRIM(TEXTSPLIT(CA109,","))&amp;",",","&amp;SUBSTITUTE(input_enews_announcement_type," ","")&amp;",")))&gt;0)),IF(CC109="",TRUE,IF(input_enews_announcement_type="",FALSE,SUMPRODUCT(--ISNUMBER(SEARCH(","&amp;TRIM(TEXTSPLIT(CC109,","))&amp;",",","&amp;SUBSTITUTE(input_enews_announcement_type," ","")&amp;",")))=COUNTA(TEXTSPLIT(CC109,",")))))</f>
        <v/>
      </c>
      <c r="JA109">
        <f>AND(IF(CE109="",TRUE,IF(input_enews_audience="",FALSE,SUMPRODUCT(--ISNUMBER(SEARCH(","&amp;TRIM(TEXTSPLIT(CE109,","))&amp;",",","&amp;SUBSTITUTE(input_enews_audience," ","")&amp;",")))&gt;0)),IF(CG109="",TRUE,IF(input_enews_audience="",FALSE,SUMPRODUCT(--ISNUMBER(SEARCH(","&amp;TRIM(TEXTSPLIT(CG109,","))&amp;",",","&amp;SUBSTITUTE(input_enews_audience," ","")&amp;",")))=COUNTA(TEXTSPLIT(CG109,",")))),IF(CI109="",TRUE,IF(input_enews_audience="",TRUE,SUMPRODUCT(--ISNUMBER(SEARCH(","&amp;TRIM(TEXTSPLIT(CI109,","))&amp;",",","&amp;SUBSTITUTE(input_enews_audience," ","")&amp;",")))=0)),IF(CK109="",TRUE,IF(input_enews_audience="",FALSE,SUMPRODUCT(--ISNUMBER(SEARCH(","&amp;TRIM(TEXTSPLIT(CK109,","))&amp;",",","&amp;SUBSTITUTE(input_enews_audience," ","")&amp;",")))&gt;0)),IF(CM109="",TRUE,IF(input_enews_audience="",FALSE,SUMPRODUCT(--ISNUMBER(SEARCH(","&amp;TRIM(TEXTSPLIT(CM109,","))&amp;",",","&amp;SUBSTITUTE(input_enews_audience," ","")&amp;",")))=COUNTA(TEXTSPLIT(CM109,",")))))</f>
        <v/>
      </c>
      <c r="JB109">
        <f>AND(IF(CO109="",TRUE,IF(input_event_location="",FALSE,SUMPRODUCT(--ISNUMBER(SEARCH(","&amp;TRIM(TEXTSPLIT(CO109,","))&amp;",",","&amp;SUBSTITUTE(input_event_location," ","")&amp;",")))&gt;0)),IF(CQ109="",TRUE,IF(input_event_location="",FALSE,SUMPRODUCT(--ISNUMBER(SEARCH(","&amp;TRIM(TEXTSPLIT(CQ109,","))&amp;",",","&amp;SUBSTITUTE(input_event_location," ","")&amp;",")))=COUNTA(TEXTSPLIT(CQ109,",")))),IF(CS109="",TRUE,IF(input_event_location="",TRUE,SUMPRODUCT(--ISNUMBER(SEARCH(","&amp;TRIM(TEXTSPLIT(CS109,","))&amp;",",","&amp;SUBSTITUTE(input_event_location," ","")&amp;",")))=0)),IF(CU109="",TRUE,IF(input_event_location="",FALSE,SUMPRODUCT(--ISNUMBER(SEARCH(","&amp;TRIM(TEXTSPLIT(CU109,","))&amp;",",","&amp;SUBSTITUTE(input_event_location," ","")&amp;",")))&gt;0)),IF(CW109="",TRUE,IF(input_event_location="",FALSE,SUMPRODUCT(--ISNUMBER(SEARCH(","&amp;TRIM(TEXTSPLIT(CW109,","))&amp;",",","&amp;SUBSTITUTE(input_event_location," ","")&amp;",")))=COUNTA(TEXTSPLIT(CW109,",")))))</f>
        <v/>
      </c>
      <c r="JC109">
        <f>AND(IF(CY109="",TRUE,IF(input_event_type="",FALSE,SUMPRODUCT(--ISNUMBER(SEARCH(","&amp;TRIM(TEXTSPLIT(CY109,","))&amp;",",","&amp;SUBSTITUTE(input_event_type," ","")&amp;",")))&gt;0)),IF(DA109="",TRUE,IF(input_event_type="",FALSE,SUMPRODUCT(--ISNUMBER(SEARCH(","&amp;TRIM(TEXTSPLIT(DA109,","))&amp;",",","&amp;SUBSTITUTE(input_event_type," ","")&amp;",")))=COUNTA(TEXTSPLIT(DA109,",")))),IF(DC109="",TRUE,IF(input_event_type="",TRUE,SUMPRODUCT(--ISNUMBER(SEARCH(","&amp;TRIM(TEXTSPLIT(DC109,","))&amp;",",","&amp;SUBSTITUTE(input_event_type," ","")&amp;",")))=0)),IF(DE109="",TRUE,IF(input_event_type="",FALSE,SUMPRODUCT(--ISNUMBER(SEARCH(","&amp;TRIM(TEXTSPLIT(DE109,","))&amp;",",","&amp;SUBSTITUTE(input_event_type," ","")&amp;",")))&gt;0)),IF(DG109="",TRUE,IF(input_event_type="",FALSE,SUMPRODUCT(--ISNUMBER(SEARCH(","&amp;TRIM(TEXTSPLIT(DG109,","))&amp;",",","&amp;SUBSTITUTE(input_event_type," ","")&amp;",")))=COUNTA(TEXTSPLIT(DG109,",")))))</f>
        <v/>
      </c>
      <c r="JD109">
        <f>AND(IF(DI109="",TRUE,IF(input_executive_education_focus="",FALSE,SUMPRODUCT(--ISNUMBER(SEARCH(","&amp;TRIM(TEXTSPLIT(DI109,","))&amp;",",","&amp;SUBSTITUTE(input_executive_education_focus," ","")&amp;",")))&gt;0)),IF(DK109="",TRUE,IF(input_executive_education_focus="",FALSE,SUMPRODUCT(--ISNUMBER(SEARCH(","&amp;TRIM(TEXTSPLIT(DK109,","))&amp;",",","&amp;SUBSTITUTE(input_executive_education_focus," ","")&amp;",")))=COUNTA(TEXTSPLIT(DK109,",")))),IF(DM109="",TRUE,IF(input_executive_education_focus="",TRUE,SUMPRODUCT(--ISNUMBER(SEARCH(","&amp;TRIM(TEXTSPLIT(DM109,","))&amp;",",","&amp;SUBSTITUTE(input_executive_education_focus," ","")&amp;",")))=0)),IF(DO109="",TRUE,IF(input_executive_education_focus="",FALSE,SUMPRODUCT(--ISNUMBER(SEARCH(","&amp;TRIM(TEXTSPLIT(DO109,","))&amp;",",","&amp;SUBSTITUTE(input_executive_education_focus," ","")&amp;",")))&gt;0)),IF(DQ109="",TRUE,IF(input_executive_education_focus="",FALSE,SUMPRODUCT(--ISNUMBER(SEARCH(","&amp;TRIM(TEXTSPLIT(DQ109,","))&amp;",",","&amp;SUBSTITUTE(input_executive_education_focus," ","")&amp;",")))=COUNTA(TEXTSPLIT(DQ109,",")))))</f>
        <v/>
      </c>
      <c r="JE109">
        <f>AND(IF(DS109="",TRUE,IF(input_faculty_category="",FALSE,SUMPRODUCT(--ISNUMBER(SEARCH(","&amp;TRIM(TEXTSPLIT(DS109,","))&amp;",",","&amp;SUBSTITUTE(input_faculty_category," ","")&amp;",")))&gt;0)),IF(DU109="",TRUE,IF(input_faculty_category="",FALSE,SUMPRODUCT(--ISNUMBER(SEARCH(","&amp;TRIM(TEXTSPLIT(DU109,","))&amp;",",","&amp;SUBSTITUTE(input_faculty_category," ","")&amp;",")))=COUNTA(TEXTSPLIT(DU109,",")))),IF(DW109="",TRUE,IF(input_faculty_category="",TRUE,SUMPRODUCT(--ISNUMBER(SEARCH(","&amp;TRIM(TEXTSPLIT(DW109,","))&amp;",",","&amp;SUBSTITUTE(input_faculty_category," ","")&amp;",")))=0)),IF(DY109="",TRUE,IF(input_faculty_category="",FALSE,SUMPRODUCT(--ISNUMBER(SEARCH(","&amp;TRIM(TEXTSPLIT(DY109,","))&amp;",",","&amp;SUBSTITUTE(input_faculty_category," ","")&amp;",")))&gt;0)),IF(EA109="",TRUE,IF(input_faculty_category="",FALSE,SUMPRODUCT(--ISNUMBER(SEARCH(","&amp;TRIM(TEXTSPLIT(EA109,","))&amp;",",","&amp;SUBSTITUTE(input_faculty_category," ","")&amp;",")))=COUNTA(TEXTSPLIT(EA109,",")))))</f>
        <v/>
      </c>
      <c r="JF109">
        <f>AND(IF(EC109="",TRUE,IF(input_faculty_discipline="",FALSE,SUMPRODUCT(--ISNUMBER(SEARCH(","&amp;TRIM(TEXTSPLIT(EC109,","))&amp;",",","&amp;SUBSTITUTE(input_faculty_discipline," ","")&amp;",")))&gt;0)),IF(EE109="",TRUE,IF(input_faculty_discipline="",FALSE,SUMPRODUCT(--ISNUMBER(SEARCH(","&amp;TRIM(TEXTSPLIT(EE109,","))&amp;",",","&amp;SUBSTITUTE(input_faculty_discipline," ","")&amp;",")))=COUNTA(TEXTSPLIT(EE109,",")))),IF(EG109="",TRUE,IF(input_faculty_discipline="",TRUE,SUMPRODUCT(--ISNUMBER(SEARCH(","&amp;TRIM(TEXTSPLIT(EG109,","))&amp;",",","&amp;SUBSTITUTE(input_faculty_discipline," ","")&amp;",")))=0)),IF(EI109="",TRUE,IF(input_faculty_discipline="",FALSE,SUMPRODUCT(--ISNUMBER(SEARCH(","&amp;TRIM(TEXTSPLIT(EI109,","))&amp;",",","&amp;SUBSTITUTE(input_faculty_discipline," ","")&amp;",")))&gt;0)),IF(EK109="",TRUE,IF(input_faculty_discipline="",FALSE,SUMPRODUCT(--ISNUMBER(SEARCH(","&amp;TRIM(TEXTSPLIT(EK109,","))&amp;",",","&amp;SUBSTITUTE(input_faculty_discipline," ","")&amp;",")))=COUNTA(TEXTSPLIT(EK109,",")))))</f>
        <v/>
      </c>
      <c r="JG109">
        <f>AND(IF(EM109="",TRUE,IF(input_faculty_expertise="",FALSE,SUMPRODUCT(--ISNUMBER(SEARCH(","&amp;TRIM(TEXTSPLIT(EM109,","))&amp;",",","&amp;SUBSTITUTE(input_faculty_expertise," ","")&amp;",")))&gt;0)),IF(EO109="",TRUE,IF(input_faculty_expertise="",FALSE,SUMPRODUCT(--ISNUMBER(SEARCH(","&amp;TRIM(TEXTSPLIT(EO109,","))&amp;",",","&amp;SUBSTITUTE(input_faculty_expertise," ","")&amp;",")))=COUNTA(TEXTSPLIT(EO109,",")))),IF(EQ109="",TRUE,IF(input_faculty_expertise="",TRUE,SUMPRODUCT(--ISNUMBER(SEARCH(","&amp;TRIM(TEXTSPLIT(EQ109,","))&amp;",",","&amp;SUBSTITUTE(input_faculty_expertise," ","")&amp;",")))=0)),IF(ES109="",TRUE,IF(input_faculty_expertise="",FALSE,SUMPRODUCT(--ISNUMBER(SEARCH(","&amp;TRIM(TEXTSPLIT(ES109,","))&amp;",",","&amp;SUBSTITUTE(input_faculty_expertise," ","")&amp;",")))&gt;0)),IF(EU109="",TRUE,IF(input_faculty_expertise="",FALSE,SUMPRODUCT(--ISNUMBER(SEARCH(","&amp;TRIM(TEXTSPLIT(EU109,","))&amp;",",","&amp;SUBSTITUTE(input_faculty_expertise," ","")&amp;",")))=COUNTA(TEXTSPLIT(EU109,",")))))</f>
        <v/>
      </c>
      <c r="JH109">
        <f>AND(IF(EW109="",TRUE,IF(input_global_network_school="",FALSE,SUMPRODUCT(--ISNUMBER(SEARCH(","&amp;TRIM(TEXTSPLIT(EW109,","))&amp;",",","&amp;SUBSTITUTE(input_global_network_school," ","")&amp;",")))&gt;0)),IF(EY109="",TRUE,IF(input_global_network_school="",FALSE,SUMPRODUCT(--ISNUMBER(SEARCH(","&amp;TRIM(TEXTSPLIT(EY109,","))&amp;",",","&amp;SUBSTITUTE(input_global_network_school," ","")&amp;",")))=COUNTA(TEXTSPLIT(EY109,",")))),IF(FA109="",TRUE,IF(input_global_network_school="",TRUE,SUMPRODUCT(--ISNUMBER(SEARCH(","&amp;TRIM(TEXTSPLIT(FA109,","))&amp;",",","&amp;SUBSTITUTE(input_global_network_school," ","")&amp;",")))=0)),IF(FC109="",TRUE,IF(input_global_network_school="",FALSE,SUMPRODUCT(--ISNUMBER(SEARCH(","&amp;TRIM(TEXTSPLIT(FC109,","))&amp;",",","&amp;SUBSTITUTE(input_global_network_school," ","")&amp;",")))&gt;0)),IF(FE109="",TRUE,IF(input_global_network_school="",FALSE,SUMPRODUCT(--ISNUMBER(SEARCH(","&amp;TRIM(TEXTSPLIT(FE109,","))&amp;",",","&amp;SUBSTITUTE(input_global_network_school," ","")&amp;",")))=COUNTA(TEXTSPLIT(FE109,",")))))</f>
        <v/>
      </c>
      <c r="JI109">
        <f>AND(IF(FG109="",TRUE,IF(input_industry="",FALSE,SUMPRODUCT(--ISNUMBER(SEARCH(","&amp;TRIM(TEXTSPLIT(FG109,","))&amp;",",","&amp;SUBSTITUTE(input_industry," ","")&amp;",")))&gt;0)),IF(FI109="",TRUE,IF(input_industry="",FALSE,SUMPRODUCT(--ISNUMBER(SEARCH(","&amp;TRIM(TEXTSPLIT(FI109,","))&amp;",",","&amp;SUBSTITUTE(input_industry," ","")&amp;",")))=COUNTA(TEXTSPLIT(FI109,",")))),IF(FK109="",TRUE,IF(input_industry="",TRUE,SUMPRODUCT(--ISNUMBER(SEARCH(","&amp;TRIM(TEXTSPLIT(FK109,","))&amp;",",","&amp;SUBSTITUTE(input_industry," ","")&amp;",")))=0)),IF(FM109="",TRUE,IF(input_industry="",FALSE,SUMPRODUCT(--ISNUMBER(SEARCH(","&amp;TRIM(TEXTSPLIT(FM109,","))&amp;",",","&amp;SUBSTITUTE(input_industry," ","")&amp;",")))&gt;0)),IF(FO109="",TRUE,IF(input_industry="",FALSE,SUMPRODUCT(--ISNUMBER(SEARCH(","&amp;TRIM(TEXTSPLIT(FO109,","))&amp;",",","&amp;SUBSTITUTE(input_industry," ","")&amp;",")))=COUNTA(TEXTSPLIT(FO109,",")))))</f>
        <v/>
      </c>
      <c r="JJ109">
        <f>AND(IF(FQ109="",TRUE,IF(input_location="",FALSE,SUMPRODUCT(--ISNUMBER(SEARCH(","&amp;TRIM(TEXTSPLIT(FQ109,","))&amp;",",","&amp;SUBSTITUTE(input_location," ","")&amp;",")))&gt;0)),IF(FS109="",TRUE,IF(input_location="",FALSE,SUMPRODUCT(--ISNUMBER(SEARCH(","&amp;TRIM(TEXTSPLIT(FS109,","))&amp;",",","&amp;SUBSTITUTE(input_location," ","")&amp;",")))=COUNTA(TEXTSPLIT(FS109,",")))),IF(FU109="",TRUE,IF(input_location="",TRUE,SUMPRODUCT(--ISNUMBER(SEARCH(","&amp;TRIM(TEXTSPLIT(FU109,","))&amp;",",","&amp;SUBSTITUTE(input_location," ","")&amp;",")))=0)),IF(FW109="",TRUE,IF(input_location="",FALSE,SUMPRODUCT(--ISNUMBER(SEARCH(","&amp;TRIM(TEXTSPLIT(FW109,","))&amp;",",","&amp;SUBSTITUTE(input_location," ","")&amp;",")))&gt;0)),IF(FY109="",TRUE,IF(input_location="",FALSE,SUMPRODUCT(--ISNUMBER(SEARCH(","&amp;TRIM(TEXTSPLIT(FY109,","))&amp;",",","&amp;SUBSTITUTE(input_location," ","")&amp;",")))=COUNTA(TEXTSPLIT(FY109,",")))))</f>
        <v/>
      </c>
      <c r="JK109">
        <f>AND(IF(GA109="",TRUE,IF(input_modality="",FALSE,SUMPRODUCT(--ISNUMBER(SEARCH(","&amp;TRIM(TEXTSPLIT(GA109,","))&amp;",",","&amp;SUBSTITUTE(input_modality," ","")&amp;",")))&gt;0)),IF(GC109="",TRUE,IF(input_modality="",FALSE,SUMPRODUCT(--ISNUMBER(SEARCH(","&amp;TRIM(TEXTSPLIT(GC109,","))&amp;",",","&amp;SUBSTITUTE(input_modality," ","")&amp;",")))=COUNTA(TEXTSPLIT(GC109,",")))),IF(GE109="",TRUE,IF(input_modality="",TRUE,SUMPRODUCT(--ISNUMBER(SEARCH(","&amp;TRIM(TEXTSPLIT(GE109,","))&amp;",",","&amp;SUBSTITUTE(input_modality," ","")&amp;",")))=0)),IF(GG109="",TRUE,IF(input_modality="",FALSE,SUMPRODUCT(--ISNUMBER(SEARCH(","&amp;TRIM(TEXTSPLIT(GG109,","))&amp;",",","&amp;SUBSTITUTE(input_modality," ","")&amp;",")))&gt;0)),IF(GI109="",TRUE,IF(input_modality="",FALSE,SUMPRODUCT(--ISNUMBER(SEARCH(","&amp;TRIM(TEXTSPLIT(GI109,","))&amp;",",","&amp;SUBSTITUTE(input_modality," ","")&amp;",")))=COUNTA(TEXTSPLIT(GI109,",")))))</f>
        <v/>
      </c>
      <c r="JL109">
        <f>AND(IF(GK109="",TRUE,IF(input_organizer="",FALSE,SUMPRODUCT(--ISNUMBER(SEARCH(","&amp;TRIM(TEXTSPLIT(GK109,","))&amp;",",","&amp;SUBSTITUTE(input_organizer," ","")&amp;",")))&gt;0)),IF(GM109="",TRUE,IF(input_organizer="",FALSE,SUMPRODUCT(--ISNUMBER(SEARCH(","&amp;TRIM(TEXTSPLIT(GM109,","))&amp;",",","&amp;SUBSTITUTE(input_organizer," ","")&amp;",")))=COUNTA(TEXTSPLIT(GM109,",")))),IF(GO109="",TRUE,IF(input_organizer="",TRUE,SUMPRODUCT(--ISNUMBER(SEARCH(","&amp;TRIM(TEXTSPLIT(GO109,","))&amp;",",","&amp;SUBSTITUTE(input_organizer," ","")&amp;",")))=0)),IF(GQ109="",TRUE,IF(input_organizer="",FALSE,SUMPRODUCT(--ISNUMBER(SEARCH(","&amp;TRIM(TEXTSPLIT(GQ109,","))&amp;",",","&amp;SUBSTITUTE(input_organizer," ","")&amp;",")))&gt;0)),IF(GS109="",TRUE,IF(input_organizer="",FALSE,SUMPRODUCT(--ISNUMBER(SEARCH(","&amp;TRIM(TEXTSPLIT(GS109,","))&amp;",",","&amp;SUBSTITUTE(input_organizer," ","")&amp;",")))=COUNTA(TEXTSPLIT(GS109,",")))))</f>
        <v/>
      </c>
      <c r="JM109">
        <f>AND(IF(GU109="",TRUE,IF(input_profile_type="",FALSE,SUMPRODUCT(--ISNUMBER(SEARCH(","&amp;TRIM(TEXTSPLIT(GU109,","))&amp;",",","&amp;SUBSTITUTE(input_profile_type," ","")&amp;",")))&gt;0)),IF(GW109="",TRUE,IF(input_profile_type="",FALSE,SUMPRODUCT(--ISNUMBER(SEARCH(","&amp;TRIM(TEXTSPLIT(GW109,","))&amp;",",","&amp;SUBSTITUTE(input_profile_type," ","")&amp;",")))=COUNTA(TEXTSPLIT(GW109,",")))),IF(GY109="",TRUE,IF(input_profile_type="",TRUE,SUMPRODUCT(--ISNUMBER(SEARCH(","&amp;TRIM(TEXTSPLIT(GY109,","))&amp;",",","&amp;SUBSTITUTE(input_profile_type," ","")&amp;",")))=0)),IF(HA109="",TRUE,IF(input_profile_type="",FALSE,SUMPRODUCT(--ISNUMBER(SEARCH(","&amp;TRIM(TEXTSPLIT(HA109,","))&amp;",",","&amp;SUBSTITUTE(input_profile_type," ","")&amp;",")))&gt;0)),IF(HC109="",TRUE,IF(input_profile_type="",FALSE,SUMPRODUCT(--ISNUMBER(SEARCH(","&amp;TRIM(TEXTSPLIT(HC109,","))&amp;",",","&amp;SUBSTITUTE(input_profile_type," ","")&amp;",")))=COUNTA(TEXTSPLIT(HC109,",")))))</f>
        <v/>
      </c>
      <c r="JN109">
        <f>AND(IF(HE109="",TRUE,IF(input_program="",FALSE,SUMPRODUCT(--ISNUMBER(SEARCH(","&amp;TRIM(TEXTSPLIT(HE109,","))&amp;",",","&amp;SUBSTITUTE(input_program," ","")&amp;",")))&gt;0)),IF(HG109="",TRUE,IF(input_program="",FALSE,SUMPRODUCT(--ISNUMBER(SEARCH(","&amp;TRIM(TEXTSPLIT(HG109,","))&amp;",",","&amp;SUBSTITUTE(input_program," ","")&amp;",")))=COUNTA(TEXTSPLIT(HG109,",")))),IF(HI109="",TRUE,IF(input_program="",TRUE,SUMPRODUCT(--ISNUMBER(SEARCH(","&amp;TRIM(TEXTSPLIT(HI109,","))&amp;",",","&amp;SUBSTITUTE(input_program," ","")&amp;",")))=0)),IF(HK109="",TRUE,IF(input_program="",FALSE,SUMPRODUCT(--ISNUMBER(SEARCH(","&amp;TRIM(TEXTSPLIT(HK109,","))&amp;",",","&amp;SUBSTITUTE(input_program," ","")&amp;",")))&gt;0)),IF(HM109="",TRUE,IF(input_program="",FALSE,SUMPRODUCT(--ISNUMBER(SEARCH(","&amp;TRIM(TEXTSPLIT(HM109,","))&amp;",",","&amp;SUBSTITUTE(input_program," ","")&amp;",")))=COUNTA(TEXTSPLIT(HM109,",")))))</f>
        <v/>
      </c>
      <c r="JO109">
        <f>AND(IF(HO109="",TRUE,IF(input_story_categories="",FALSE,SUMPRODUCT(--ISNUMBER(SEARCH(","&amp;TRIM(TEXTSPLIT(HO109,","))&amp;",",","&amp;SUBSTITUTE(input_story_categories," ","")&amp;",")))&gt;0)),IF(HQ109="",TRUE,IF(input_story_categories="",FALSE,SUMPRODUCT(--ISNUMBER(SEARCH(","&amp;TRIM(TEXTSPLIT(HQ109,","))&amp;",",","&amp;SUBSTITUTE(input_story_categories," ","")&amp;",")))=COUNTA(TEXTSPLIT(HQ109,",")))),IF(HS109="",TRUE,IF(input_story_categories="",TRUE,SUMPRODUCT(--ISNUMBER(SEARCH(","&amp;TRIM(TEXTSPLIT(HS109,","))&amp;",",","&amp;SUBSTITUTE(input_story_categories," ","")&amp;",")))=0)),IF(HU109="",TRUE,IF(input_story_categories="",FALSE,SUMPRODUCT(--ISNUMBER(SEARCH(","&amp;TRIM(TEXTSPLIT(HU109,","))&amp;",",","&amp;SUBSTITUTE(input_story_categories," ","")&amp;",")))&gt;0)),IF(HW109="",TRUE,IF(input_story_categories="",FALSE,SUMPRODUCT(--ISNUMBER(SEARCH(","&amp;TRIM(TEXTSPLIT(HW109,","))&amp;",",","&amp;SUBSTITUTE(input_story_categories," ","")&amp;",")))=COUNTA(TEXTSPLIT(HW109,",")))))</f>
        <v/>
      </c>
      <c r="JP109">
        <f>AND(IF(HY109="",TRUE,IF(input_story_type="",FALSE,SUMPRODUCT(--ISNUMBER(SEARCH(","&amp;TRIM(TEXTSPLIT(HY109,","))&amp;",",","&amp;SUBSTITUTE(input_story_type," ","")&amp;",")))&gt;0)),IF(IA109="",TRUE,IF(input_story_type="",FALSE,SUMPRODUCT(--ISNUMBER(SEARCH(","&amp;TRIM(TEXTSPLIT(IA109,","))&amp;",",","&amp;SUBSTITUTE(input_story_type," ","")&amp;",")))=COUNTA(TEXTSPLIT(IA109,",")))),IF(IC109="",TRUE,IF(input_story_type="",TRUE,SUMPRODUCT(--ISNUMBER(SEARCH(","&amp;TRIM(TEXTSPLIT(IC109,","))&amp;",",","&amp;SUBSTITUTE(input_story_type," ","")&amp;",")))=0)),IF(IE109="",TRUE,IF(input_story_type="",FALSE,SUMPRODUCT(--ISNUMBER(SEARCH(","&amp;TRIM(TEXTSPLIT(IE109,","))&amp;",",","&amp;SUBSTITUTE(input_story_type," ","")&amp;",")))&gt;0)),IF(IG109="",TRUE,IF(input_story_type="",FALSE,SUMPRODUCT(--ISNUMBER(SEARCH(","&amp;TRIM(TEXTSPLIT(IG109,","))&amp;",",","&amp;SUBSTITUTE(input_story_type," ","")&amp;",")))=COUNTA(TEXTSPLIT(IG109,",")))))</f>
        <v/>
      </c>
      <c r="JQ109">
        <f>AND(IF(II109="",TRUE,IF(input_topics="",FALSE,SUMPRODUCT(--ISNUMBER(SEARCH(","&amp;TRIM(TEXTSPLIT(II109,","))&amp;",",","&amp;SUBSTITUTE(input_topics," ","")&amp;",")))&gt;0)),IF(IK109="",TRUE,IF(input_topics="",FALSE,SUMPRODUCT(--ISNUMBER(SEARCH(","&amp;TRIM(TEXTSPLIT(IK109,","))&amp;",",","&amp;SUBSTITUTE(input_topics," ","")&amp;",")))=COUNTA(TEXTSPLIT(IK109,",")))),IF(IM109="",TRUE,IF(input_topics="",TRUE,SUMPRODUCT(--ISNUMBER(SEARCH(","&amp;TRIM(TEXTSPLIT(IM109,","))&amp;",",","&amp;SUBSTITUTE(input_topics," ","")&amp;",")))=0)),IF(IO109="",TRUE,IF(input_topics="",FALSE,SUMPRODUCT(--ISNUMBER(SEARCH(","&amp;TRIM(TEXTSPLIT(IO109,","))&amp;",",","&amp;SUBSTITUTE(input_topics," ","")&amp;",")))&gt;0)),IF(IQ109="",TRUE,IF(input_topics="",FALSE,SUMPRODUCT(--ISNUMBER(SEARCH(","&amp;TRIM(TEXTSPLIT(IQ109,","))&amp;",",","&amp;SUBSTITUTE(input_topics," ","")&amp;",")))=COUNTA(TEXTSPLIT(IQ109,",")))))</f>
        <v/>
      </c>
    </row>
    <row r="110">
      <c r="A110" s="4">
        <f>IF(NOT(IS110),"Excluded",IF(AND(IT110,IU110,IV110,IW110,IX110,IY110,IZ110,JA110,JB110,JC110,JD110,JE110,JF110,JG110,JH110,JI110,JJ110,JK110,JL110,JM110,JN110,JO110,JP110,JQ110),IF(I110&gt;0,"Eligible but limited","Will appear"),"Excluded"))</f>
        <v/>
      </c>
      <c r="B110" s="4" t="inlineStr">
        <is>
          <t>Events</t>
        </is>
      </c>
      <c r="C110" s="4" t="inlineStr">
        <is>
          <t>/programs/mms-global-business-and-society</t>
        </is>
      </c>
      <c r="D110" s="4" t="inlineStr">
        <is>
          <t>/programs/mms-global-business-and-society</t>
        </is>
      </c>
      <c r="E110" s="4" t="n">
        <v>1</v>
      </c>
      <c r="F110" s="4" t="inlineStr">
        <is>
          <t>event</t>
        </is>
      </c>
      <c r="G110" s="4" t="inlineStr">
        <is>
          <t>event_teaser_list</t>
        </is>
      </c>
      <c r="H110" s="4" t="inlineStr">
        <is>
          <t>embed_1</t>
        </is>
      </c>
      <c r="I110" s="4" t="n">
        <v>3</v>
      </c>
      <c r="J110" s="4" t="inlineStr">
        <is>
          <t>Section inferred</t>
        </is>
      </c>
      <c r="K110" s="4" t="inlineStr">
        <is>
          <t>Page placement</t>
        </is>
      </c>
      <c r="L110" s="4" t="inlineStr">
        <is>
          <t>Content type: event; Context uses Courses Context: Master's Degree in Global Business and Society (950); Limited to 3 item(s); Source: Section inferred</t>
        </is>
      </c>
      <c r="M110" t="inlineStr"/>
      <c r="N110" t="inlineStr"/>
      <c r="O110" t="inlineStr"/>
      <c r="P110" t="inlineStr"/>
      <c r="Q110" t="inlineStr"/>
      <c r="R110" t="inlineStr"/>
      <c r="S110" t="inlineStr"/>
      <c r="T110" t="inlineStr"/>
      <c r="U110" t="inlineStr"/>
      <c r="V110" t="inlineStr"/>
      <c r="W110" t="inlineStr"/>
      <c r="X110" t="inlineStr"/>
      <c r="Y110" t="inlineStr"/>
      <c r="Z110" t="inlineStr"/>
      <c r="AA110" t="inlineStr"/>
      <c r="AB110" t="inlineStr"/>
      <c r="AC110" t="inlineStr"/>
      <c r="AD110" t="inlineStr"/>
      <c r="AE110" t="inlineStr"/>
      <c r="AF110" t="inlineStr"/>
      <c r="AG110" t="inlineStr"/>
      <c r="AH110" t="inlineStr"/>
      <c r="AI110" t="inlineStr"/>
      <c r="AJ110" t="inlineStr"/>
      <c r="AK110" t="inlineStr"/>
      <c r="AL110" t="inlineStr"/>
      <c r="AM110" t="inlineStr"/>
      <c r="AN110" t="inlineStr"/>
      <c r="AO110" t="inlineStr"/>
      <c r="AP110" t="inlineStr"/>
      <c r="AQ110" t="inlineStr"/>
      <c r="AR110" t="inlineStr"/>
      <c r="AS110" t="inlineStr"/>
      <c r="AT110" t="inlineStr"/>
      <c r="AU110" t="inlineStr"/>
      <c r="AV110" t="inlineStr"/>
      <c r="AW110" t="inlineStr"/>
      <c r="AX110" t="inlineStr"/>
      <c r="AY110" t="inlineStr"/>
      <c r="AZ110" t="inlineStr"/>
      <c r="BA110" t="inlineStr"/>
      <c r="BB110" t="inlineStr"/>
      <c r="BC110" t="inlineStr"/>
      <c r="BD110" t="inlineStr"/>
      <c r="BE110" t="inlineStr"/>
      <c r="BF110" t="inlineStr"/>
      <c r="BG110" t="inlineStr"/>
      <c r="BH110" t="inlineStr"/>
      <c r="BI110" t="inlineStr"/>
      <c r="BJ110" t="inlineStr"/>
      <c r="BK110" t="inlineStr"/>
      <c r="BL110" t="inlineStr"/>
      <c r="BM110" t="inlineStr"/>
      <c r="BN110" t="inlineStr"/>
      <c r="BO110" t="inlineStr"/>
      <c r="BP110" t="inlineStr"/>
      <c r="BQ110" t="inlineStr">
        <is>
          <t>950</t>
        </is>
      </c>
      <c r="BR110" t="inlineStr">
        <is>
          <t>Master's Degree in Global Business and Society (950)</t>
        </is>
      </c>
      <c r="BS110" t="inlineStr"/>
      <c r="BT110" t="inlineStr"/>
      <c r="BU110" t="inlineStr"/>
      <c r="BV110" t="inlineStr"/>
      <c r="BW110" t="inlineStr"/>
      <c r="BX110" t="inlineStr"/>
      <c r="BY110" t="inlineStr"/>
      <c r="BZ110" t="inlineStr"/>
      <c r="CA110" t="inlineStr"/>
      <c r="CB110" t="inlineStr"/>
      <c r="CC110" t="inlineStr"/>
      <c r="CD110" t="inlineStr"/>
      <c r="CE110" t="inlineStr"/>
      <c r="CF110" t="inlineStr"/>
      <c r="CG110" t="inlineStr"/>
      <c r="CH110" t="inlineStr"/>
      <c r="CI110" t="inlineStr"/>
      <c r="CJ110" t="inlineStr"/>
      <c r="CK110" t="inlineStr"/>
      <c r="CL110" t="inlineStr"/>
      <c r="CM110" t="inlineStr"/>
      <c r="CN110" t="inlineStr"/>
      <c r="CO110" t="inlineStr"/>
      <c r="CP110" t="inlineStr"/>
      <c r="CQ110" t="inlineStr"/>
      <c r="CR110" t="inlineStr"/>
      <c r="CS110" t="inlineStr"/>
      <c r="CT110" t="inlineStr"/>
      <c r="CU110" t="inlineStr"/>
      <c r="CV110" t="inlineStr"/>
      <c r="CW110" t="inlineStr"/>
      <c r="CX110" t="inlineStr"/>
      <c r="CY110" t="inlineStr"/>
      <c r="CZ110" t="inlineStr"/>
      <c r="DA110" t="inlineStr"/>
      <c r="DB110" t="inlineStr"/>
      <c r="DC110" t="inlineStr"/>
      <c r="DD110" t="inlineStr"/>
      <c r="DE110" t="inlineStr"/>
      <c r="DF110" t="inlineStr"/>
      <c r="DG110" t="inlineStr"/>
      <c r="DH110" t="inlineStr"/>
      <c r="DI110" t="inlineStr"/>
      <c r="DJ110" t="inlineStr"/>
      <c r="DK110" t="inlineStr"/>
      <c r="DL110" t="inlineStr"/>
      <c r="DM110" t="inlineStr"/>
      <c r="DN110" t="inlineStr"/>
      <c r="DO110" t="inlineStr"/>
      <c r="DP110" t="inlineStr"/>
      <c r="DQ110" t="inlineStr"/>
      <c r="DR110" t="inlineStr"/>
      <c r="DS110" t="inlineStr"/>
      <c r="DT110" t="inlineStr"/>
      <c r="DU110" t="inlineStr"/>
      <c r="DV110" t="inlineStr"/>
      <c r="DW110" t="inlineStr"/>
      <c r="DX110" t="inlineStr"/>
      <c r="DY110" t="inlineStr"/>
      <c r="DZ110" t="inlineStr"/>
      <c r="EA110" t="inlineStr"/>
      <c r="EB110" t="inlineStr"/>
      <c r="EC110" t="inlineStr"/>
      <c r="ED110" t="inlineStr"/>
      <c r="EE110" t="inlineStr"/>
      <c r="EF110" t="inlineStr"/>
      <c r="EG110" t="inlineStr"/>
      <c r="EH110" t="inlineStr"/>
      <c r="EI110" t="inlineStr"/>
      <c r="EJ110" t="inlineStr"/>
      <c r="EK110" t="inlineStr"/>
      <c r="EL110" t="inlineStr"/>
      <c r="EM110" t="inlineStr"/>
      <c r="EN110" t="inlineStr"/>
      <c r="EO110" t="inlineStr"/>
      <c r="EP110" t="inlineStr"/>
      <c r="EQ110" t="inlineStr"/>
      <c r="ER110" t="inlineStr"/>
      <c r="ES110" t="inlineStr"/>
      <c r="ET110" t="inlineStr"/>
      <c r="EU110" t="inlineStr"/>
      <c r="EV110" t="inlineStr"/>
      <c r="EW110" t="inlineStr"/>
      <c r="EX110" t="inlineStr"/>
      <c r="EY110" t="inlineStr"/>
      <c r="EZ110" t="inlineStr"/>
      <c r="FA110" t="inlineStr"/>
      <c r="FB110" t="inlineStr"/>
      <c r="FC110" t="inlineStr"/>
      <c r="FD110" t="inlineStr"/>
      <c r="FE110" t="inlineStr"/>
      <c r="FF110" t="inlineStr"/>
      <c r="FG110" t="inlineStr"/>
      <c r="FH110" t="inlineStr"/>
      <c r="FI110" t="inlineStr"/>
      <c r="FJ110" t="inlineStr"/>
      <c r="FK110" t="inlineStr"/>
      <c r="FL110" t="inlineStr"/>
      <c r="FM110" t="inlineStr"/>
      <c r="FN110" t="inlineStr"/>
      <c r="FO110" t="inlineStr"/>
      <c r="FP110" t="inlineStr"/>
      <c r="FQ110" t="inlineStr"/>
      <c r="FR110" t="inlineStr"/>
      <c r="FS110" t="inlineStr"/>
      <c r="FT110" t="inlineStr"/>
      <c r="FU110" t="inlineStr"/>
      <c r="FV110" t="inlineStr"/>
      <c r="FW110" t="inlineStr"/>
      <c r="FX110" t="inlineStr"/>
      <c r="FY110" t="inlineStr"/>
      <c r="FZ110" t="inlineStr"/>
      <c r="GA110" t="inlineStr"/>
      <c r="GB110" t="inlineStr"/>
      <c r="GC110" t="inlineStr"/>
      <c r="GD110" t="inlineStr"/>
      <c r="GE110" t="inlineStr"/>
      <c r="GF110" t="inlineStr"/>
      <c r="GG110" t="inlineStr"/>
      <c r="GH110" t="inlineStr"/>
      <c r="GI110" t="inlineStr"/>
      <c r="GJ110" t="inlineStr"/>
      <c r="GK110" t="inlineStr"/>
      <c r="GL110" t="inlineStr"/>
      <c r="GM110" t="inlineStr"/>
      <c r="GN110" t="inlineStr"/>
      <c r="GO110" t="inlineStr"/>
      <c r="GP110" t="inlineStr"/>
      <c r="GQ110" t="inlineStr"/>
      <c r="GR110" t="inlineStr"/>
      <c r="GS110" t="inlineStr"/>
      <c r="GT110" t="inlineStr"/>
      <c r="GU110" t="inlineStr"/>
      <c r="GV110" t="inlineStr"/>
      <c r="GW110" t="inlineStr"/>
      <c r="GX110" t="inlineStr"/>
      <c r="GY110" t="inlineStr"/>
      <c r="GZ110" t="inlineStr"/>
      <c r="HA110" t="inlineStr"/>
      <c r="HB110" t="inlineStr"/>
      <c r="HC110" t="inlineStr"/>
      <c r="HD110" t="inlineStr"/>
      <c r="HE110" t="inlineStr"/>
      <c r="HF110" t="inlineStr"/>
      <c r="HG110" t="inlineStr"/>
      <c r="HH110" t="inlineStr"/>
      <c r="HI110" t="inlineStr"/>
      <c r="HJ110" t="inlineStr"/>
      <c r="HK110" t="inlineStr"/>
      <c r="HL110" t="inlineStr"/>
      <c r="HM110" t="inlineStr"/>
      <c r="HN110" t="inlineStr"/>
      <c r="HO110" t="inlineStr"/>
      <c r="HP110" t="inlineStr"/>
      <c r="HQ110" t="inlineStr"/>
      <c r="HR110" t="inlineStr"/>
      <c r="HS110" t="inlineStr"/>
      <c r="HT110" t="inlineStr"/>
      <c r="HU110" t="inlineStr"/>
      <c r="HV110" t="inlineStr"/>
      <c r="HW110" t="inlineStr"/>
      <c r="HX110" t="inlineStr"/>
      <c r="HY110" t="inlineStr"/>
      <c r="HZ110" t="inlineStr"/>
      <c r="IA110" t="inlineStr"/>
      <c r="IB110" t="inlineStr"/>
      <c r="IC110" t="inlineStr"/>
      <c r="ID110" t="inlineStr"/>
      <c r="IE110" t="inlineStr"/>
      <c r="IF110" t="inlineStr"/>
      <c r="IG110" t="inlineStr"/>
      <c r="IH110" t="inlineStr"/>
      <c r="II110" t="inlineStr"/>
      <c r="IJ110" t="inlineStr"/>
      <c r="IK110" t="inlineStr"/>
      <c r="IL110" t="inlineStr"/>
      <c r="IM110" t="inlineStr"/>
      <c r="IN110" t="inlineStr"/>
      <c r="IO110" t="inlineStr"/>
      <c r="IP110" t="inlineStr"/>
      <c r="IQ110" t="inlineStr"/>
      <c r="IR110" t="inlineStr"/>
      <c r="IS110">
        <f>IF(input_content_type="",FALSE,ISNUMBER(SEARCH(","&amp;LOWER(input_content_type)&amp;",",","&amp;LOWER(F110)&amp;",")))</f>
        <v/>
      </c>
      <c r="IT110">
        <f>AND(IF(M110="",TRUE,IF(input_affiliations="",FALSE,SUMPRODUCT(--ISNUMBER(SEARCH(","&amp;TRIM(TEXTSPLIT(M110,","))&amp;",",","&amp;SUBSTITUTE(input_affiliations," ","")&amp;",")))&gt;0)),IF(O110="",TRUE,IF(input_affiliations="",FALSE,SUMPRODUCT(--ISNUMBER(SEARCH(","&amp;TRIM(TEXTSPLIT(O110,","))&amp;",",","&amp;SUBSTITUTE(input_affiliations," ","")&amp;",")))=COUNTA(TEXTSPLIT(O110,",")))),IF(Q110="",TRUE,IF(input_affiliations="",TRUE,SUMPRODUCT(--ISNUMBER(SEARCH(","&amp;TRIM(TEXTSPLIT(Q110,","))&amp;",",","&amp;SUBSTITUTE(input_affiliations," ","")&amp;",")))=0)),IF(S110="",TRUE,IF(input_affiliations="",FALSE,SUMPRODUCT(--ISNUMBER(SEARCH(","&amp;TRIM(TEXTSPLIT(S110,","))&amp;",",","&amp;SUBSTITUTE(input_affiliations," ","")&amp;",")))&gt;0)),IF(U110="",TRUE,IF(input_affiliations="",FALSE,SUMPRODUCT(--ISNUMBER(SEARCH(","&amp;TRIM(TEXTSPLIT(U110,","))&amp;",",","&amp;SUBSTITUTE(input_affiliations," ","")&amp;",")))=COUNTA(TEXTSPLIT(U110,",")))))</f>
        <v/>
      </c>
      <c r="IU110">
        <f>AND(IF(W110="",TRUE,IF(input_announcement_category="",FALSE,SUMPRODUCT(--ISNUMBER(SEARCH(","&amp;TRIM(TEXTSPLIT(W110,","))&amp;",",","&amp;SUBSTITUTE(input_announcement_category," ","")&amp;",")))&gt;0)),IF(Y110="",TRUE,IF(input_announcement_category="",FALSE,SUMPRODUCT(--ISNUMBER(SEARCH(","&amp;TRIM(TEXTSPLIT(Y110,","))&amp;",",","&amp;SUBSTITUTE(input_announcement_category," ","")&amp;",")))=COUNTA(TEXTSPLIT(Y110,",")))),IF(AA110="",TRUE,IF(input_announcement_category="",TRUE,SUMPRODUCT(--ISNUMBER(SEARCH(","&amp;TRIM(TEXTSPLIT(AA110,","))&amp;",",","&amp;SUBSTITUTE(input_announcement_category," ","")&amp;",")))=0)),IF(AC110="",TRUE,IF(input_announcement_category="",FALSE,SUMPRODUCT(--ISNUMBER(SEARCH(","&amp;TRIM(TEXTSPLIT(AC110,","))&amp;",",","&amp;SUBSTITUTE(input_announcement_category," ","")&amp;",")))&gt;0)),IF(AE110="",TRUE,IF(input_announcement_category="",FALSE,SUMPRODUCT(--ISNUMBER(SEARCH(","&amp;TRIM(TEXTSPLIT(AE110,","))&amp;",",","&amp;SUBSTITUTE(input_announcement_category," ","")&amp;",")))=COUNTA(TEXTSPLIT(AE110,",")))))</f>
        <v/>
      </c>
      <c r="IV110">
        <f>AND(IF(AG110="",TRUE,IF(input_area_of_focus="",FALSE,SUMPRODUCT(--ISNUMBER(SEARCH(","&amp;TRIM(TEXTSPLIT(AG110,","))&amp;",",","&amp;SUBSTITUTE(input_area_of_focus," ","")&amp;",")))&gt;0)),IF(AI110="",TRUE,IF(input_area_of_focus="",FALSE,SUMPRODUCT(--ISNUMBER(SEARCH(","&amp;TRIM(TEXTSPLIT(AI110,","))&amp;",",","&amp;SUBSTITUTE(input_area_of_focus," ","")&amp;",")))=COUNTA(TEXTSPLIT(AI110,",")))),IF(AK110="",TRUE,IF(input_area_of_focus="",TRUE,SUMPRODUCT(--ISNUMBER(SEARCH(","&amp;TRIM(TEXTSPLIT(AK110,","))&amp;",",","&amp;SUBSTITUTE(input_area_of_focus," ","")&amp;",")))=0)),IF(AM110="",TRUE,IF(input_area_of_focus="",FALSE,SUMPRODUCT(--ISNUMBER(SEARCH(","&amp;TRIM(TEXTSPLIT(AM110,","))&amp;",",","&amp;SUBSTITUTE(input_area_of_focus," ","")&amp;",")))&gt;0)),IF(AO110="",TRUE,IF(input_area_of_focus="",FALSE,SUMPRODUCT(--ISNUMBER(SEARCH(","&amp;TRIM(TEXTSPLIT(AO110,","))&amp;",",","&amp;SUBSTITUTE(input_area_of_focus," ","")&amp;",")))=COUNTA(TEXTSPLIT(AO110,",")))))</f>
        <v/>
      </c>
      <c r="IW110">
        <f>AND(IF(AQ110="",TRUE,IF(input_audience="",FALSE,SUMPRODUCT(--ISNUMBER(SEARCH(","&amp;TRIM(TEXTSPLIT(AQ110,","))&amp;",",","&amp;SUBSTITUTE(input_audience," ","")&amp;",")))&gt;0)),IF(AS110="",TRUE,IF(input_audience="",FALSE,SUMPRODUCT(--ISNUMBER(SEARCH(","&amp;TRIM(TEXTSPLIT(AS110,","))&amp;",",","&amp;SUBSTITUTE(input_audience," ","")&amp;",")))=COUNTA(TEXTSPLIT(AS110,",")))),IF(AU110="",TRUE,IF(input_audience="",TRUE,SUMPRODUCT(--ISNUMBER(SEARCH(","&amp;TRIM(TEXTSPLIT(AU110,","))&amp;",",","&amp;SUBSTITUTE(input_audience," ","")&amp;",")))=0)),IF(AW110="",TRUE,IF(input_audience="",FALSE,SUMPRODUCT(--ISNUMBER(SEARCH(","&amp;TRIM(TEXTSPLIT(AW110,","))&amp;",",","&amp;SUBSTITUTE(input_audience," ","")&amp;",")))&gt;0)),IF(AY110="",TRUE,IF(input_audience="",FALSE,SUMPRODUCT(--ISNUMBER(SEARCH(","&amp;TRIM(TEXTSPLIT(AY110,","))&amp;",",","&amp;SUBSTITUTE(input_audience," ","")&amp;",")))=COUNTA(TEXTSPLIT(AY110,",")))))</f>
        <v/>
      </c>
      <c r="IX110">
        <f>AND(IF(BA110="",TRUE,IF(input_challenge_opportunities="",FALSE,SUMPRODUCT(--ISNUMBER(SEARCH(","&amp;TRIM(TEXTSPLIT(BA110,","))&amp;",",","&amp;SUBSTITUTE(input_challenge_opportunities," ","")&amp;",")))&gt;0)),IF(BC110="",TRUE,IF(input_challenge_opportunities="",FALSE,SUMPRODUCT(--ISNUMBER(SEARCH(","&amp;TRIM(TEXTSPLIT(BC110,","))&amp;",",","&amp;SUBSTITUTE(input_challenge_opportunities," ","")&amp;",")))=COUNTA(TEXTSPLIT(BC110,",")))),IF(BE110="",TRUE,IF(input_challenge_opportunities="",TRUE,SUMPRODUCT(--ISNUMBER(SEARCH(","&amp;TRIM(TEXTSPLIT(BE110,","))&amp;",",","&amp;SUBSTITUTE(input_challenge_opportunities," ","")&amp;",")))=0)),IF(BG110="",TRUE,IF(input_challenge_opportunities="",FALSE,SUMPRODUCT(--ISNUMBER(SEARCH(","&amp;TRIM(TEXTSPLIT(BG110,","))&amp;",",","&amp;SUBSTITUTE(input_challenge_opportunities," ","")&amp;",")))&gt;0)),IF(BI110="",TRUE,IF(input_challenge_opportunities="",FALSE,SUMPRODUCT(--ISNUMBER(SEARCH(","&amp;TRIM(TEXTSPLIT(BI110,","))&amp;",",","&amp;SUBSTITUTE(input_challenge_opportunities," ","")&amp;",")))=COUNTA(TEXTSPLIT(BI110,",")))))</f>
        <v/>
      </c>
      <c r="IY110">
        <f>AND(IF(BK110="",TRUE,IF(input_context="",FALSE,SUMPRODUCT(--ISNUMBER(SEARCH(","&amp;TRIM(TEXTSPLIT(BK110,","))&amp;",",","&amp;SUBSTITUTE(input_context," ","")&amp;",")))&gt;0)),IF(BM110="",TRUE,IF(input_context="",FALSE,SUMPRODUCT(--ISNUMBER(SEARCH(","&amp;TRIM(TEXTSPLIT(BM110,","))&amp;",",","&amp;SUBSTITUTE(input_context," ","")&amp;",")))=COUNTA(TEXTSPLIT(BM110,",")))),IF(BO110="",TRUE,IF(input_context="",TRUE,SUMPRODUCT(--ISNUMBER(SEARCH(","&amp;TRIM(TEXTSPLIT(BO110,","))&amp;",",","&amp;SUBSTITUTE(input_context," ","")&amp;",")))=0)),IF(BQ110="",TRUE,IF(input_context="",FALSE,SUMPRODUCT(--ISNUMBER(SEARCH(","&amp;TRIM(TEXTSPLIT(BQ110,","))&amp;",",","&amp;SUBSTITUTE(input_context," ","")&amp;",")))&gt;0)),IF(BS110="",TRUE,IF(input_context="",FALSE,SUMPRODUCT(--ISNUMBER(SEARCH(","&amp;TRIM(TEXTSPLIT(BS110,","))&amp;",",","&amp;SUBSTITUTE(input_context," ","")&amp;",")))=COUNTA(TEXTSPLIT(BS110,",")))))</f>
        <v/>
      </c>
      <c r="IZ110">
        <f>AND(IF(BU110="",TRUE,IF(input_enews_announcement_type="",FALSE,SUMPRODUCT(--ISNUMBER(SEARCH(","&amp;TRIM(TEXTSPLIT(BU110,","))&amp;",",","&amp;SUBSTITUTE(input_enews_announcement_type," ","")&amp;",")))&gt;0)),IF(BW110="",TRUE,IF(input_enews_announcement_type="",FALSE,SUMPRODUCT(--ISNUMBER(SEARCH(","&amp;TRIM(TEXTSPLIT(BW110,","))&amp;",",","&amp;SUBSTITUTE(input_enews_announcement_type," ","")&amp;",")))=COUNTA(TEXTSPLIT(BW110,",")))),IF(BY110="",TRUE,IF(input_enews_announcement_type="",TRUE,SUMPRODUCT(--ISNUMBER(SEARCH(","&amp;TRIM(TEXTSPLIT(BY110,","))&amp;",",","&amp;SUBSTITUTE(input_enews_announcement_type," ","")&amp;",")))=0)),IF(CA110="",TRUE,IF(input_enews_announcement_type="",FALSE,SUMPRODUCT(--ISNUMBER(SEARCH(","&amp;TRIM(TEXTSPLIT(CA110,","))&amp;",",","&amp;SUBSTITUTE(input_enews_announcement_type," ","")&amp;",")))&gt;0)),IF(CC110="",TRUE,IF(input_enews_announcement_type="",FALSE,SUMPRODUCT(--ISNUMBER(SEARCH(","&amp;TRIM(TEXTSPLIT(CC110,","))&amp;",",","&amp;SUBSTITUTE(input_enews_announcement_type," ","")&amp;",")))=COUNTA(TEXTSPLIT(CC110,",")))))</f>
        <v/>
      </c>
      <c r="JA110">
        <f>AND(IF(CE110="",TRUE,IF(input_enews_audience="",FALSE,SUMPRODUCT(--ISNUMBER(SEARCH(","&amp;TRIM(TEXTSPLIT(CE110,","))&amp;",",","&amp;SUBSTITUTE(input_enews_audience," ","")&amp;",")))&gt;0)),IF(CG110="",TRUE,IF(input_enews_audience="",FALSE,SUMPRODUCT(--ISNUMBER(SEARCH(","&amp;TRIM(TEXTSPLIT(CG110,","))&amp;",",","&amp;SUBSTITUTE(input_enews_audience," ","")&amp;",")))=COUNTA(TEXTSPLIT(CG110,",")))),IF(CI110="",TRUE,IF(input_enews_audience="",TRUE,SUMPRODUCT(--ISNUMBER(SEARCH(","&amp;TRIM(TEXTSPLIT(CI110,","))&amp;",",","&amp;SUBSTITUTE(input_enews_audience," ","")&amp;",")))=0)),IF(CK110="",TRUE,IF(input_enews_audience="",FALSE,SUMPRODUCT(--ISNUMBER(SEARCH(","&amp;TRIM(TEXTSPLIT(CK110,","))&amp;",",","&amp;SUBSTITUTE(input_enews_audience," ","")&amp;",")))&gt;0)),IF(CM110="",TRUE,IF(input_enews_audience="",FALSE,SUMPRODUCT(--ISNUMBER(SEARCH(","&amp;TRIM(TEXTSPLIT(CM110,","))&amp;",",","&amp;SUBSTITUTE(input_enews_audience," ","")&amp;",")))=COUNTA(TEXTSPLIT(CM110,",")))))</f>
        <v/>
      </c>
      <c r="JB110">
        <f>AND(IF(CO110="",TRUE,IF(input_event_location="",FALSE,SUMPRODUCT(--ISNUMBER(SEARCH(","&amp;TRIM(TEXTSPLIT(CO110,","))&amp;",",","&amp;SUBSTITUTE(input_event_location," ","")&amp;",")))&gt;0)),IF(CQ110="",TRUE,IF(input_event_location="",FALSE,SUMPRODUCT(--ISNUMBER(SEARCH(","&amp;TRIM(TEXTSPLIT(CQ110,","))&amp;",",","&amp;SUBSTITUTE(input_event_location," ","")&amp;",")))=COUNTA(TEXTSPLIT(CQ110,",")))),IF(CS110="",TRUE,IF(input_event_location="",TRUE,SUMPRODUCT(--ISNUMBER(SEARCH(","&amp;TRIM(TEXTSPLIT(CS110,","))&amp;",",","&amp;SUBSTITUTE(input_event_location," ","")&amp;",")))=0)),IF(CU110="",TRUE,IF(input_event_location="",FALSE,SUMPRODUCT(--ISNUMBER(SEARCH(","&amp;TRIM(TEXTSPLIT(CU110,","))&amp;",",","&amp;SUBSTITUTE(input_event_location," ","")&amp;",")))&gt;0)),IF(CW110="",TRUE,IF(input_event_location="",FALSE,SUMPRODUCT(--ISNUMBER(SEARCH(","&amp;TRIM(TEXTSPLIT(CW110,","))&amp;",",","&amp;SUBSTITUTE(input_event_location," ","")&amp;",")))=COUNTA(TEXTSPLIT(CW110,",")))))</f>
        <v/>
      </c>
      <c r="JC110">
        <f>AND(IF(CY110="",TRUE,IF(input_event_type="",FALSE,SUMPRODUCT(--ISNUMBER(SEARCH(","&amp;TRIM(TEXTSPLIT(CY110,","))&amp;",",","&amp;SUBSTITUTE(input_event_type," ","")&amp;",")))&gt;0)),IF(DA110="",TRUE,IF(input_event_type="",FALSE,SUMPRODUCT(--ISNUMBER(SEARCH(","&amp;TRIM(TEXTSPLIT(DA110,","))&amp;",",","&amp;SUBSTITUTE(input_event_type," ","")&amp;",")))=COUNTA(TEXTSPLIT(DA110,",")))),IF(DC110="",TRUE,IF(input_event_type="",TRUE,SUMPRODUCT(--ISNUMBER(SEARCH(","&amp;TRIM(TEXTSPLIT(DC110,","))&amp;",",","&amp;SUBSTITUTE(input_event_type," ","")&amp;",")))=0)),IF(DE110="",TRUE,IF(input_event_type="",FALSE,SUMPRODUCT(--ISNUMBER(SEARCH(","&amp;TRIM(TEXTSPLIT(DE110,","))&amp;",",","&amp;SUBSTITUTE(input_event_type," ","")&amp;",")))&gt;0)),IF(DG110="",TRUE,IF(input_event_type="",FALSE,SUMPRODUCT(--ISNUMBER(SEARCH(","&amp;TRIM(TEXTSPLIT(DG110,","))&amp;",",","&amp;SUBSTITUTE(input_event_type," ","")&amp;",")))=COUNTA(TEXTSPLIT(DG110,",")))))</f>
        <v/>
      </c>
      <c r="JD110">
        <f>AND(IF(DI110="",TRUE,IF(input_executive_education_focus="",FALSE,SUMPRODUCT(--ISNUMBER(SEARCH(","&amp;TRIM(TEXTSPLIT(DI110,","))&amp;",",","&amp;SUBSTITUTE(input_executive_education_focus," ","")&amp;",")))&gt;0)),IF(DK110="",TRUE,IF(input_executive_education_focus="",FALSE,SUMPRODUCT(--ISNUMBER(SEARCH(","&amp;TRIM(TEXTSPLIT(DK110,","))&amp;",",","&amp;SUBSTITUTE(input_executive_education_focus," ","")&amp;",")))=COUNTA(TEXTSPLIT(DK110,",")))),IF(DM110="",TRUE,IF(input_executive_education_focus="",TRUE,SUMPRODUCT(--ISNUMBER(SEARCH(","&amp;TRIM(TEXTSPLIT(DM110,","))&amp;",",","&amp;SUBSTITUTE(input_executive_education_focus," ","")&amp;",")))=0)),IF(DO110="",TRUE,IF(input_executive_education_focus="",FALSE,SUMPRODUCT(--ISNUMBER(SEARCH(","&amp;TRIM(TEXTSPLIT(DO110,","))&amp;",",","&amp;SUBSTITUTE(input_executive_education_focus," ","")&amp;",")))&gt;0)),IF(DQ110="",TRUE,IF(input_executive_education_focus="",FALSE,SUMPRODUCT(--ISNUMBER(SEARCH(","&amp;TRIM(TEXTSPLIT(DQ110,","))&amp;",",","&amp;SUBSTITUTE(input_executive_education_focus," ","")&amp;",")))=COUNTA(TEXTSPLIT(DQ110,",")))))</f>
        <v/>
      </c>
      <c r="JE110">
        <f>AND(IF(DS110="",TRUE,IF(input_faculty_category="",FALSE,SUMPRODUCT(--ISNUMBER(SEARCH(","&amp;TRIM(TEXTSPLIT(DS110,","))&amp;",",","&amp;SUBSTITUTE(input_faculty_category," ","")&amp;",")))&gt;0)),IF(DU110="",TRUE,IF(input_faculty_category="",FALSE,SUMPRODUCT(--ISNUMBER(SEARCH(","&amp;TRIM(TEXTSPLIT(DU110,","))&amp;",",","&amp;SUBSTITUTE(input_faculty_category," ","")&amp;",")))=COUNTA(TEXTSPLIT(DU110,",")))),IF(DW110="",TRUE,IF(input_faculty_category="",TRUE,SUMPRODUCT(--ISNUMBER(SEARCH(","&amp;TRIM(TEXTSPLIT(DW110,","))&amp;",",","&amp;SUBSTITUTE(input_faculty_category," ","")&amp;",")))=0)),IF(DY110="",TRUE,IF(input_faculty_category="",FALSE,SUMPRODUCT(--ISNUMBER(SEARCH(","&amp;TRIM(TEXTSPLIT(DY110,","))&amp;",",","&amp;SUBSTITUTE(input_faculty_category," ","")&amp;",")))&gt;0)),IF(EA110="",TRUE,IF(input_faculty_category="",FALSE,SUMPRODUCT(--ISNUMBER(SEARCH(","&amp;TRIM(TEXTSPLIT(EA110,","))&amp;",",","&amp;SUBSTITUTE(input_faculty_category," ","")&amp;",")))=COUNTA(TEXTSPLIT(EA110,",")))))</f>
        <v/>
      </c>
      <c r="JF110">
        <f>AND(IF(EC110="",TRUE,IF(input_faculty_discipline="",FALSE,SUMPRODUCT(--ISNUMBER(SEARCH(","&amp;TRIM(TEXTSPLIT(EC110,","))&amp;",",","&amp;SUBSTITUTE(input_faculty_discipline," ","")&amp;",")))&gt;0)),IF(EE110="",TRUE,IF(input_faculty_discipline="",FALSE,SUMPRODUCT(--ISNUMBER(SEARCH(","&amp;TRIM(TEXTSPLIT(EE110,","))&amp;",",","&amp;SUBSTITUTE(input_faculty_discipline," ","")&amp;",")))=COUNTA(TEXTSPLIT(EE110,",")))),IF(EG110="",TRUE,IF(input_faculty_discipline="",TRUE,SUMPRODUCT(--ISNUMBER(SEARCH(","&amp;TRIM(TEXTSPLIT(EG110,","))&amp;",",","&amp;SUBSTITUTE(input_faculty_discipline," ","")&amp;",")))=0)),IF(EI110="",TRUE,IF(input_faculty_discipline="",FALSE,SUMPRODUCT(--ISNUMBER(SEARCH(","&amp;TRIM(TEXTSPLIT(EI110,","))&amp;",",","&amp;SUBSTITUTE(input_faculty_discipline," ","")&amp;",")))&gt;0)),IF(EK110="",TRUE,IF(input_faculty_discipline="",FALSE,SUMPRODUCT(--ISNUMBER(SEARCH(","&amp;TRIM(TEXTSPLIT(EK110,","))&amp;",",","&amp;SUBSTITUTE(input_faculty_discipline," ","")&amp;",")))=COUNTA(TEXTSPLIT(EK110,",")))))</f>
        <v/>
      </c>
      <c r="JG110">
        <f>AND(IF(EM110="",TRUE,IF(input_faculty_expertise="",FALSE,SUMPRODUCT(--ISNUMBER(SEARCH(","&amp;TRIM(TEXTSPLIT(EM110,","))&amp;",",","&amp;SUBSTITUTE(input_faculty_expertise," ","")&amp;",")))&gt;0)),IF(EO110="",TRUE,IF(input_faculty_expertise="",FALSE,SUMPRODUCT(--ISNUMBER(SEARCH(","&amp;TRIM(TEXTSPLIT(EO110,","))&amp;",",","&amp;SUBSTITUTE(input_faculty_expertise," ","")&amp;",")))=COUNTA(TEXTSPLIT(EO110,",")))),IF(EQ110="",TRUE,IF(input_faculty_expertise="",TRUE,SUMPRODUCT(--ISNUMBER(SEARCH(","&amp;TRIM(TEXTSPLIT(EQ110,","))&amp;",",","&amp;SUBSTITUTE(input_faculty_expertise," ","")&amp;",")))=0)),IF(ES110="",TRUE,IF(input_faculty_expertise="",FALSE,SUMPRODUCT(--ISNUMBER(SEARCH(","&amp;TRIM(TEXTSPLIT(ES110,","))&amp;",",","&amp;SUBSTITUTE(input_faculty_expertise," ","")&amp;",")))&gt;0)),IF(EU110="",TRUE,IF(input_faculty_expertise="",FALSE,SUMPRODUCT(--ISNUMBER(SEARCH(","&amp;TRIM(TEXTSPLIT(EU110,","))&amp;",",","&amp;SUBSTITUTE(input_faculty_expertise," ","")&amp;",")))=COUNTA(TEXTSPLIT(EU110,",")))))</f>
        <v/>
      </c>
      <c r="JH110">
        <f>AND(IF(EW110="",TRUE,IF(input_global_network_school="",FALSE,SUMPRODUCT(--ISNUMBER(SEARCH(","&amp;TRIM(TEXTSPLIT(EW110,","))&amp;",",","&amp;SUBSTITUTE(input_global_network_school," ","")&amp;",")))&gt;0)),IF(EY110="",TRUE,IF(input_global_network_school="",FALSE,SUMPRODUCT(--ISNUMBER(SEARCH(","&amp;TRIM(TEXTSPLIT(EY110,","))&amp;",",","&amp;SUBSTITUTE(input_global_network_school," ","")&amp;",")))=COUNTA(TEXTSPLIT(EY110,",")))),IF(FA110="",TRUE,IF(input_global_network_school="",TRUE,SUMPRODUCT(--ISNUMBER(SEARCH(","&amp;TRIM(TEXTSPLIT(FA110,","))&amp;",",","&amp;SUBSTITUTE(input_global_network_school," ","")&amp;",")))=0)),IF(FC110="",TRUE,IF(input_global_network_school="",FALSE,SUMPRODUCT(--ISNUMBER(SEARCH(","&amp;TRIM(TEXTSPLIT(FC110,","))&amp;",",","&amp;SUBSTITUTE(input_global_network_school," ","")&amp;",")))&gt;0)),IF(FE110="",TRUE,IF(input_global_network_school="",FALSE,SUMPRODUCT(--ISNUMBER(SEARCH(","&amp;TRIM(TEXTSPLIT(FE110,","))&amp;",",","&amp;SUBSTITUTE(input_global_network_school," ","")&amp;",")))=COUNTA(TEXTSPLIT(FE110,",")))))</f>
        <v/>
      </c>
      <c r="JI110">
        <f>AND(IF(FG110="",TRUE,IF(input_industry="",FALSE,SUMPRODUCT(--ISNUMBER(SEARCH(","&amp;TRIM(TEXTSPLIT(FG110,","))&amp;",",","&amp;SUBSTITUTE(input_industry," ","")&amp;",")))&gt;0)),IF(FI110="",TRUE,IF(input_industry="",FALSE,SUMPRODUCT(--ISNUMBER(SEARCH(","&amp;TRIM(TEXTSPLIT(FI110,","))&amp;",",","&amp;SUBSTITUTE(input_industry," ","")&amp;",")))=COUNTA(TEXTSPLIT(FI110,",")))),IF(FK110="",TRUE,IF(input_industry="",TRUE,SUMPRODUCT(--ISNUMBER(SEARCH(","&amp;TRIM(TEXTSPLIT(FK110,","))&amp;",",","&amp;SUBSTITUTE(input_industry," ","")&amp;",")))=0)),IF(FM110="",TRUE,IF(input_industry="",FALSE,SUMPRODUCT(--ISNUMBER(SEARCH(","&amp;TRIM(TEXTSPLIT(FM110,","))&amp;",",","&amp;SUBSTITUTE(input_industry," ","")&amp;",")))&gt;0)),IF(FO110="",TRUE,IF(input_industry="",FALSE,SUMPRODUCT(--ISNUMBER(SEARCH(","&amp;TRIM(TEXTSPLIT(FO110,","))&amp;",",","&amp;SUBSTITUTE(input_industry," ","")&amp;",")))=COUNTA(TEXTSPLIT(FO110,",")))))</f>
        <v/>
      </c>
      <c r="JJ110">
        <f>AND(IF(FQ110="",TRUE,IF(input_location="",FALSE,SUMPRODUCT(--ISNUMBER(SEARCH(","&amp;TRIM(TEXTSPLIT(FQ110,","))&amp;",",","&amp;SUBSTITUTE(input_location," ","")&amp;",")))&gt;0)),IF(FS110="",TRUE,IF(input_location="",FALSE,SUMPRODUCT(--ISNUMBER(SEARCH(","&amp;TRIM(TEXTSPLIT(FS110,","))&amp;",",","&amp;SUBSTITUTE(input_location," ","")&amp;",")))=COUNTA(TEXTSPLIT(FS110,",")))),IF(FU110="",TRUE,IF(input_location="",TRUE,SUMPRODUCT(--ISNUMBER(SEARCH(","&amp;TRIM(TEXTSPLIT(FU110,","))&amp;",",","&amp;SUBSTITUTE(input_location," ","")&amp;",")))=0)),IF(FW110="",TRUE,IF(input_location="",FALSE,SUMPRODUCT(--ISNUMBER(SEARCH(","&amp;TRIM(TEXTSPLIT(FW110,","))&amp;",",","&amp;SUBSTITUTE(input_location," ","")&amp;",")))&gt;0)),IF(FY110="",TRUE,IF(input_location="",FALSE,SUMPRODUCT(--ISNUMBER(SEARCH(","&amp;TRIM(TEXTSPLIT(FY110,","))&amp;",",","&amp;SUBSTITUTE(input_location," ","")&amp;",")))=COUNTA(TEXTSPLIT(FY110,",")))))</f>
        <v/>
      </c>
      <c r="JK110">
        <f>AND(IF(GA110="",TRUE,IF(input_modality="",FALSE,SUMPRODUCT(--ISNUMBER(SEARCH(","&amp;TRIM(TEXTSPLIT(GA110,","))&amp;",",","&amp;SUBSTITUTE(input_modality," ","")&amp;",")))&gt;0)),IF(GC110="",TRUE,IF(input_modality="",FALSE,SUMPRODUCT(--ISNUMBER(SEARCH(","&amp;TRIM(TEXTSPLIT(GC110,","))&amp;",",","&amp;SUBSTITUTE(input_modality," ","")&amp;",")))=COUNTA(TEXTSPLIT(GC110,",")))),IF(GE110="",TRUE,IF(input_modality="",TRUE,SUMPRODUCT(--ISNUMBER(SEARCH(","&amp;TRIM(TEXTSPLIT(GE110,","))&amp;",",","&amp;SUBSTITUTE(input_modality," ","")&amp;",")))=0)),IF(GG110="",TRUE,IF(input_modality="",FALSE,SUMPRODUCT(--ISNUMBER(SEARCH(","&amp;TRIM(TEXTSPLIT(GG110,","))&amp;",",","&amp;SUBSTITUTE(input_modality," ","")&amp;",")))&gt;0)),IF(GI110="",TRUE,IF(input_modality="",FALSE,SUMPRODUCT(--ISNUMBER(SEARCH(","&amp;TRIM(TEXTSPLIT(GI110,","))&amp;",",","&amp;SUBSTITUTE(input_modality," ","")&amp;",")))=COUNTA(TEXTSPLIT(GI110,",")))))</f>
        <v/>
      </c>
      <c r="JL110">
        <f>AND(IF(GK110="",TRUE,IF(input_organizer="",FALSE,SUMPRODUCT(--ISNUMBER(SEARCH(","&amp;TRIM(TEXTSPLIT(GK110,","))&amp;",",","&amp;SUBSTITUTE(input_organizer," ","")&amp;",")))&gt;0)),IF(GM110="",TRUE,IF(input_organizer="",FALSE,SUMPRODUCT(--ISNUMBER(SEARCH(","&amp;TRIM(TEXTSPLIT(GM110,","))&amp;",",","&amp;SUBSTITUTE(input_organizer," ","")&amp;",")))=COUNTA(TEXTSPLIT(GM110,",")))),IF(GO110="",TRUE,IF(input_organizer="",TRUE,SUMPRODUCT(--ISNUMBER(SEARCH(","&amp;TRIM(TEXTSPLIT(GO110,","))&amp;",",","&amp;SUBSTITUTE(input_organizer," ","")&amp;",")))=0)),IF(GQ110="",TRUE,IF(input_organizer="",FALSE,SUMPRODUCT(--ISNUMBER(SEARCH(","&amp;TRIM(TEXTSPLIT(GQ110,","))&amp;",",","&amp;SUBSTITUTE(input_organizer," ","")&amp;",")))&gt;0)),IF(GS110="",TRUE,IF(input_organizer="",FALSE,SUMPRODUCT(--ISNUMBER(SEARCH(","&amp;TRIM(TEXTSPLIT(GS110,","))&amp;",",","&amp;SUBSTITUTE(input_organizer," ","")&amp;",")))=COUNTA(TEXTSPLIT(GS110,",")))))</f>
        <v/>
      </c>
      <c r="JM110">
        <f>AND(IF(GU110="",TRUE,IF(input_profile_type="",FALSE,SUMPRODUCT(--ISNUMBER(SEARCH(","&amp;TRIM(TEXTSPLIT(GU110,","))&amp;",",","&amp;SUBSTITUTE(input_profile_type," ","")&amp;",")))&gt;0)),IF(GW110="",TRUE,IF(input_profile_type="",FALSE,SUMPRODUCT(--ISNUMBER(SEARCH(","&amp;TRIM(TEXTSPLIT(GW110,","))&amp;",",","&amp;SUBSTITUTE(input_profile_type," ","")&amp;",")))=COUNTA(TEXTSPLIT(GW110,",")))),IF(GY110="",TRUE,IF(input_profile_type="",TRUE,SUMPRODUCT(--ISNUMBER(SEARCH(","&amp;TRIM(TEXTSPLIT(GY110,","))&amp;",",","&amp;SUBSTITUTE(input_profile_type," ","")&amp;",")))=0)),IF(HA110="",TRUE,IF(input_profile_type="",FALSE,SUMPRODUCT(--ISNUMBER(SEARCH(","&amp;TRIM(TEXTSPLIT(HA110,","))&amp;",",","&amp;SUBSTITUTE(input_profile_type," ","")&amp;",")))&gt;0)),IF(HC110="",TRUE,IF(input_profile_type="",FALSE,SUMPRODUCT(--ISNUMBER(SEARCH(","&amp;TRIM(TEXTSPLIT(HC110,","))&amp;",",","&amp;SUBSTITUTE(input_profile_type," ","")&amp;",")))=COUNTA(TEXTSPLIT(HC110,",")))))</f>
        <v/>
      </c>
      <c r="JN110">
        <f>AND(IF(HE110="",TRUE,IF(input_program="",FALSE,SUMPRODUCT(--ISNUMBER(SEARCH(","&amp;TRIM(TEXTSPLIT(HE110,","))&amp;",",","&amp;SUBSTITUTE(input_program," ","")&amp;",")))&gt;0)),IF(HG110="",TRUE,IF(input_program="",FALSE,SUMPRODUCT(--ISNUMBER(SEARCH(","&amp;TRIM(TEXTSPLIT(HG110,","))&amp;",",","&amp;SUBSTITUTE(input_program," ","")&amp;",")))=COUNTA(TEXTSPLIT(HG110,",")))),IF(HI110="",TRUE,IF(input_program="",TRUE,SUMPRODUCT(--ISNUMBER(SEARCH(","&amp;TRIM(TEXTSPLIT(HI110,","))&amp;",",","&amp;SUBSTITUTE(input_program," ","")&amp;",")))=0)),IF(HK110="",TRUE,IF(input_program="",FALSE,SUMPRODUCT(--ISNUMBER(SEARCH(","&amp;TRIM(TEXTSPLIT(HK110,","))&amp;",",","&amp;SUBSTITUTE(input_program," ","")&amp;",")))&gt;0)),IF(HM110="",TRUE,IF(input_program="",FALSE,SUMPRODUCT(--ISNUMBER(SEARCH(","&amp;TRIM(TEXTSPLIT(HM110,","))&amp;",",","&amp;SUBSTITUTE(input_program," ","")&amp;",")))=COUNTA(TEXTSPLIT(HM110,",")))))</f>
        <v/>
      </c>
      <c r="JO110">
        <f>AND(IF(HO110="",TRUE,IF(input_story_categories="",FALSE,SUMPRODUCT(--ISNUMBER(SEARCH(","&amp;TRIM(TEXTSPLIT(HO110,","))&amp;",",","&amp;SUBSTITUTE(input_story_categories," ","")&amp;",")))&gt;0)),IF(HQ110="",TRUE,IF(input_story_categories="",FALSE,SUMPRODUCT(--ISNUMBER(SEARCH(","&amp;TRIM(TEXTSPLIT(HQ110,","))&amp;",",","&amp;SUBSTITUTE(input_story_categories," ","")&amp;",")))=COUNTA(TEXTSPLIT(HQ110,",")))),IF(HS110="",TRUE,IF(input_story_categories="",TRUE,SUMPRODUCT(--ISNUMBER(SEARCH(","&amp;TRIM(TEXTSPLIT(HS110,","))&amp;",",","&amp;SUBSTITUTE(input_story_categories," ","")&amp;",")))=0)),IF(HU110="",TRUE,IF(input_story_categories="",FALSE,SUMPRODUCT(--ISNUMBER(SEARCH(","&amp;TRIM(TEXTSPLIT(HU110,","))&amp;",",","&amp;SUBSTITUTE(input_story_categories," ","")&amp;",")))&gt;0)),IF(HW110="",TRUE,IF(input_story_categories="",FALSE,SUMPRODUCT(--ISNUMBER(SEARCH(","&amp;TRIM(TEXTSPLIT(HW110,","))&amp;",",","&amp;SUBSTITUTE(input_story_categories," ","")&amp;",")))=COUNTA(TEXTSPLIT(HW110,",")))))</f>
        <v/>
      </c>
      <c r="JP110">
        <f>AND(IF(HY110="",TRUE,IF(input_story_type="",FALSE,SUMPRODUCT(--ISNUMBER(SEARCH(","&amp;TRIM(TEXTSPLIT(HY110,","))&amp;",",","&amp;SUBSTITUTE(input_story_type," ","")&amp;",")))&gt;0)),IF(IA110="",TRUE,IF(input_story_type="",FALSE,SUMPRODUCT(--ISNUMBER(SEARCH(","&amp;TRIM(TEXTSPLIT(IA110,","))&amp;",",","&amp;SUBSTITUTE(input_story_type," ","")&amp;",")))=COUNTA(TEXTSPLIT(IA110,",")))),IF(IC110="",TRUE,IF(input_story_type="",TRUE,SUMPRODUCT(--ISNUMBER(SEARCH(","&amp;TRIM(TEXTSPLIT(IC110,","))&amp;",",","&amp;SUBSTITUTE(input_story_type," ","")&amp;",")))=0)),IF(IE110="",TRUE,IF(input_story_type="",FALSE,SUMPRODUCT(--ISNUMBER(SEARCH(","&amp;TRIM(TEXTSPLIT(IE110,","))&amp;",",","&amp;SUBSTITUTE(input_story_type," ","")&amp;",")))&gt;0)),IF(IG110="",TRUE,IF(input_story_type="",FALSE,SUMPRODUCT(--ISNUMBER(SEARCH(","&amp;TRIM(TEXTSPLIT(IG110,","))&amp;",",","&amp;SUBSTITUTE(input_story_type," ","")&amp;",")))=COUNTA(TEXTSPLIT(IG110,",")))))</f>
        <v/>
      </c>
      <c r="JQ110">
        <f>AND(IF(II110="",TRUE,IF(input_topics="",FALSE,SUMPRODUCT(--ISNUMBER(SEARCH(","&amp;TRIM(TEXTSPLIT(II110,","))&amp;",",","&amp;SUBSTITUTE(input_topics," ","")&amp;",")))&gt;0)),IF(IK110="",TRUE,IF(input_topics="",FALSE,SUMPRODUCT(--ISNUMBER(SEARCH(","&amp;TRIM(TEXTSPLIT(IK110,","))&amp;",",","&amp;SUBSTITUTE(input_topics," ","")&amp;",")))=COUNTA(TEXTSPLIT(IK110,",")))),IF(IM110="",TRUE,IF(input_topics="",TRUE,SUMPRODUCT(--ISNUMBER(SEARCH(","&amp;TRIM(TEXTSPLIT(IM110,","))&amp;",",","&amp;SUBSTITUTE(input_topics," ","")&amp;",")))=0)),IF(IO110="",TRUE,IF(input_topics="",FALSE,SUMPRODUCT(--ISNUMBER(SEARCH(","&amp;TRIM(TEXTSPLIT(IO110,","))&amp;",",","&amp;SUBSTITUTE(input_topics," ","")&amp;",")))&gt;0)),IF(IQ110="",TRUE,IF(input_topics="",FALSE,SUMPRODUCT(--ISNUMBER(SEARCH(","&amp;TRIM(TEXTSPLIT(IQ110,","))&amp;",",","&amp;SUBSTITUTE(input_topics," ","")&amp;",")))=COUNTA(TEXTSPLIT(IQ110,",")))))</f>
        <v/>
      </c>
    </row>
    <row r="111">
      <c r="A111" s="4">
        <f>IF(NOT(IS111),"Excluded",IF(AND(IT111,IU111,IV111,IW111,IX111,IY111,IZ111,JA111,JB111,JC111,JD111,JE111,JF111,JG111,JH111,JI111,JJ111,JK111,JL111,JM111,JN111,JO111,JP111,JQ111),IF(I111&gt;0,"Eligible but limited","Will appear"),"Excluded"))</f>
        <v/>
      </c>
      <c r="B111" s="4" t="inlineStr">
        <is>
          <t>Faculty Directory</t>
        </is>
      </c>
      <c r="C111" s="4" t="inlineStr">
        <is>
          <t>/faculty-research/faculty-directory</t>
        </is>
      </c>
      <c r="D111" s="4" t="inlineStr">
        <is>
          <t>/faculty-research/faculty-directory</t>
        </is>
      </c>
      <c r="E111" s="4" t="n">
        <v>1</v>
      </c>
      <c r="F111" s="4" t="inlineStr">
        <is>
          <t>faculty</t>
        </is>
      </c>
      <c r="G111" s="4" t="inlineStr">
        <is>
          <t>faculty_directory_solr</t>
        </is>
      </c>
      <c r="H111" s="4" t="inlineStr">
        <is>
          <t>embed_1</t>
        </is>
      </c>
      <c r="I111" s="4" t="n">
        <v>150</v>
      </c>
      <c r="J111" s="4" t="inlineStr">
        <is>
          <t>View/config rules</t>
        </is>
      </c>
      <c r="K111" s="4" t="inlineStr">
        <is>
          <t>Page placement</t>
        </is>
      </c>
      <c r="L111" s="4" t="inlineStr">
        <is>
          <t>Content type: faculty; Limited to 150 item(s); Source: View/config rules</t>
        </is>
      </c>
      <c r="M111" t="inlineStr"/>
      <c r="N111" t="inlineStr"/>
      <c r="O111" t="inlineStr"/>
      <c r="P111" t="inlineStr"/>
      <c r="Q111" t="inlineStr"/>
      <c r="R111" t="inlineStr"/>
      <c r="S111" t="inlineStr"/>
      <c r="T111" t="inlineStr"/>
      <c r="U111" t="inlineStr"/>
      <c r="V111" t="inlineStr"/>
      <c r="W111" t="inlineStr"/>
      <c r="X111" t="inlineStr"/>
      <c r="Y111" t="inlineStr"/>
      <c r="Z111" t="inlineStr"/>
      <c r="AA111" t="inlineStr"/>
      <c r="AB111" t="inlineStr"/>
      <c r="AC111" t="inlineStr"/>
      <c r="AD111" t="inlineStr"/>
      <c r="AE111" t="inlineStr"/>
      <c r="AF111" t="inlineStr"/>
      <c r="AG111" t="inlineStr"/>
      <c r="AH111" t="inlineStr"/>
      <c r="AI111" t="inlineStr"/>
      <c r="AJ111" t="inlineStr"/>
      <c r="AK111" t="inlineStr"/>
      <c r="AL111" t="inlineStr"/>
      <c r="AM111" t="inlineStr"/>
      <c r="AN111" t="inlineStr"/>
      <c r="AO111" t="inlineStr"/>
      <c r="AP111" t="inlineStr"/>
      <c r="AQ111" t="inlineStr"/>
      <c r="AR111" t="inlineStr"/>
      <c r="AS111" t="inlineStr"/>
      <c r="AT111" t="inlineStr"/>
      <c r="AU111" t="inlineStr"/>
      <c r="AV111" t="inlineStr"/>
      <c r="AW111" t="inlineStr"/>
      <c r="AX111" t="inlineStr"/>
      <c r="AY111" t="inlineStr"/>
      <c r="AZ111" t="inlineStr"/>
      <c r="BA111" t="inlineStr"/>
      <c r="BB111" t="inlineStr"/>
      <c r="BC111" t="inlineStr"/>
      <c r="BD111" t="inlineStr"/>
      <c r="BE111" t="inlineStr"/>
      <c r="BF111" t="inlineStr"/>
      <c r="BG111" t="inlineStr"/>
      <c r="BH111" t="inlineStr"/>
      <c r="BI111" t="inlineStr"/>
      <c r="BJ111" t="inlineStr"/>
      <c r="BK111" t="inlineStr"/>
      <c r="BL111" t="inlineStr"/>
      <c r="BM111" t="inlineStr"/>
      <c r="BN111" t="inlineStr"/>
      <c r="BO111" t="inlineStr"/>
      <c r="BP111" t="inlineStr"/>
      <c r="BQ111" t="inlineStr"/>
      <c r="BR111" t="inlineStr"/>
      <c r="BS111" t="inlineStr"/>
      <c r="BT111" t="inlineStr"/>
      <c r="BU111" t="inlineStr"/>
      <c r="BV111" t="inlineStr"/>
      <c r="BW111" t="inlineStr"/>
      <c r="BX111" t="inlineStr"/>
      <c r="BY111" t="inlineStr"/>
      <c r="BZ111" t="inlineStr"/>
      <c r="CA111" t="inlineStr"/>
      <c r="CB111" t="inlineStr"/>
      <c r="CC111" t="inlineStr"/>
      <c r="CD111" t="inlineStr"/>
      <c r="CE111" t="inlineStr"/>
      <c r="CF111" t="inlineStr"/>
      <c r="CG111" t="inlineStr"/>
      <c r="CH111" t="inlineStr"/>
      <c r="CI111" t="inlineStr"/>
      <c r="CJ111" t="inlineStr"/>
      <c r="CK111" t="inlineStr"/>
      <c r="CL111" t="inlineStr"/>
      <c r="CM111" t="inlineStr"/>
      <c r="CN111" t="inlineStr"/>
      <c r="CO111" t="inlineStr"/>
      <c r="CP111" t="inlineStr"/>
      <c r="CQ111" t="inlineStr"/>
      <c r="CR111" t="inlineStr"/>
      <c r="CS111" t="inlineStr"/>
      <c r="CT111" t="inlineStr"/>
      <c r="CU111" t="inlineStr"/>
      <c r="CV111" t="inlineStr"/>
      <c r="CW111" t="inlineStr"/>
      <c r="CX111" t="inlineStr"/>
      <c r="CY111" t="inlineStr"/>
      <c r="CZ111" t="inlineStr"/>
      <c r="DA111" t="inlineStr"/>
      <c r="DB111" t="inlineStr"/>
      <c r="DC111" t="inlineStr"/>
      <c r="DD111" t="inlineStr"/>
      <c r="DE111" t="inlineStr"/>
      <c r="DF111" t="inlineStr"/>
      <c r="DG111" t="inlineStr"/>
      <c r="DH111" t="inlineStr"/>
      <c r="DI111" t="inlineStr"/>
      <c r="DJ111" t="inlineStr"/>
      <c r="DK111" t="inlineStr"/>
      <c r="DL111" t="inlineStr"/>
      <c r="DM111" t="inlineStr"/>
      <c r="DN111" t="inlineStr"/>
      <c r="DO111" t="inlineStr"/>
      <c r="DP111" t="inlineStr"/>
      <c r="DQ111" t="inlineStr"/>
      <c r="DR111" t="inlineStr"/>
      <c r="DS111" t="inlineStr"/>
      <c r="DT111" t="inlineStr"/>
      <c r="DU111" t="inlineStr"/>
      <c r="DV111" t="inlineStr"/>
      <c r="DW111" t="inlineStr"/>
      <c r="DX111" t="inlineStr"/>
      <c r="DY111" t="inlineStr"/>
      <c r="DZ111" t="inlineStr"/>
      <c r="EA111" t="inlineStr"/>
      <c r="EB111" t="inlineStr"/>
      <c r="EC111" t="inlineStr"/>
      <c r="ED111" t="inlineStr"/>
      <c r="EE111" t="inlineStr"/>
      <c r="EF111" t="inlineStr"/>
      <c r="EG111" t="inlineStr"/>
      <c r="EH111" t="inlineStr"/>
      <c r="EI111" t="inlineStr"/>
      <c r="EJ111" t="inlineStr"/>
      <c r="EK111" t="inlineStr"/>
      <c r="EL111" t="inlineStr"/>
      <c r="EM111" t="inlineStr"/>
      <c r="EN111" t="inlineStr"/>
      <c r="EO111" t="inlineStr"/>
      <c r="EP111" t="inlineStr"/>
      <c r="EQ111" t="inlineStr"/>
      <c r="ER111" t="inlineStr"/>
      <c r="ES111" t="inlineStr"/>
      <c r="ET111" t="inlineStr"/>
      <c r="EU111" t="inlineStr"/>
      <c r="EV111" t="inlineStr"/>
      <c r="EW111" t="inlineStr"/>
      <c r="EX111" t="inlineStr"/>
      <c r="EY111" t="inlineStr"/>
      <c r="EZ111" t="inlineStr"/>
      <c r="FA111" t="inlineStr"/>
      <c r="FB111" t="inlineStr"/>
      <c r="FC111" t="inlineStr"/>
      <c r="FD111" t="inlineStr"/>
      <c r="FE111" t="inlineStr"/>
      <c r="FF111" t="inlineStr"/>
      <c r="FG111" t="inlineStr"/>
      <c r="FH111" t="inlineStr"/>
      <c r="FI111" t="inlineStr"/>
      <c r="FJ111" t="inlineStr"/>
      <c r="FK111" t="inlineStr"/>
      <c r="FL111" t="inlineStr"/>
      <c r="FM111" t="inlineStr"/>
      <c r="FN111" t="inlineStr"/>
      <c r="FO111" t="inlineStr"/>
      <c r="FP111" t="inlineStr"/>
      <c r="FQ111" t="inlineStr"/>
      <c r="FR111" t="inlineStr"/>
      <c r="FS111" t="inlineStr"/>
      <c r="FT111" t="inlineStr"/>
      <c r="FU111" t="inlineStr"/>
      <c r="FV111" t="inlineStr"/>
      <c r="FW111" t="inlineStr"/>
      <c r="FX111" t="inlineStr"/>
      <c r="FY111" t="inlineStr"/>
      <c r="FZ111" t="inlineStr"/>
      <c r="GA111" t="inlineStr"/>
      <c r="GB111" t="inlineStr"/>
      <c r="GC111" t="inlineStr"/>
      <c r="GD111" t="inlineStr"/>
      <c r="GE111" t="inlineStr"/>
      <c r="GF111" t="inlineStr"/>
      <c r="GG111" t="inlineStr"/>
      <c r="GH111" t="inlineStr"/>
      <c r="GI111" t="inlineStr"/>
      <c r="GJ111" t="inlineStr"/>
      <c r="GK111" t="inlineStr"/>
      <c r="GL111" t="inlineStr"/>
      <c r="GM111" t="inlineStr"/>
      <c r="GN111" t="inlineStr"/>
      <c r="GO111" t="inlineStr"/>
      <c r="GP111" t="inlineStr"/>
      <c r="GQ111" t="inlineStr"/>
      <c r="GR111" t="inlineStr"/>
      <c r="GS111" t="inlineStr"/>
      <c r="GT111" t="inlineStr"/>
      <c r="GU111" t="inlineStr"/>
      <c r="GV111" t="inlineStr"/>
      <c r="GW111" t="inlineStr"/>
      <c r="GX111" t="inlineStr"/>
      <c r="GY111" t="inlineStr"/>
      <c r="GZ111" t="inlineStr"/>
      <c r="HA111" t="inlineStr"/>
      <c r="HB111" t="inlineStr"/>
      <c r="HC111" t="inlineStr"/>
      <c r="HD111" t="inlineStr"/>
      <c r="HE111" t="inlineStr"/>
      <c r="HF111" t="inlineStr"/>
      <c r="HG111" t="inlineStr"/>
      <c r="HH111" t="inlineStr"/>
      <c r="HI111" t="inlineStr"/>
      <c r="HJ111" t="inlineStr"/>
      <c r="HK111" t="inlineStr"/>
      <c r="HL111" t="inlineStr"/>
      <c r="HM111" t="inlineStr"/>
      <c r="HN111" t="inlineStr"/>
      <c r="HO111" t="inlineStr"/>
      <c r="HP111" t="inlineStr"/>
      <c r="HQ111" t="inlineStr"/>
      <c r="HR111" t="inlineStr"/>
      <c r="HS111" t="inlineStr"/>
      <c r="HT111" t="inlineStr"/>
      <c r="HU111" t="inlineStr"/>
      <c r="HV111" t="inlineStr"/>
      <c r="HW111" t="inlineStr"/>
      <c r="HX111" t="inlineStr"/>
      <c r="HY111" t="inlineStr"/>
      <c r="HZ111" t="inlineStr"/>
      <c r="IA111" t="inlineStr"/>
      <c r="IB111" t="inlineStr"/>
      <c r="IC111" t="inlineStr"/>
      <c r="ID111" t="inlineStr"/>
      <c r="IE111" t="inlineStr"/>
      <c r="IF111" t="inlineStr"/>
      <c r="IG111" t="inlineStr"/>
      <c r="IH111" t="inlineStr"/>
      <c r="II111" t="inlineStr"/>
      <c r="IJ111" t="inlineStr"/>
      <c r="IK111" t="inlineStr"/>
      <c r="IL111" t="inlineStr"/>
      <c r="IM111" t="inlineStr"/>
      <c r="IN111" t="inlineStr"/>
      <c r="IO111" t="inlineStr"/>
      <c r="IP111" t="inlineStr"/>
      <c r="IQ111" t="inlineStr"/>
      <c r="IR111" t="inlineStr"/>
      <c r="IS111">
        <f>IF(input_content_type="",FALSE,ISNUMBER(SEARCH(","&amp;LOWER(input_content_type)&amp;",",","&amp;LOWER(F111)&amp;",")))</f>
        <v/>
      </c>
      <c r="IT111">
        <f>AND(IF(M111="",TRUE,IF(input_affiliations="",FALSE,SUMPRODUCT(--ISNUMBER(SEARCH(","&amp;TRIM(TEXTSPLIT(M111,","))&amp;",",","&amp;SUBSTITUTE(input_affiliations," ","")&amp;",")))&gt;0)),IF(O111="",TRUE,IF(input_affiliations="",FALSE,SUMPRODUCT(--ISNUMBER(SEARCH(","&amp;TRIM(TEXTSPLIT(O111,","))&amp;",",","&amp;SUBSTITUTE(input_affiliations," ","")&amp;",")))=COUNTA(TEXTSPLIT(O111,",")))),IF(Q111="",TRUE,IF(input_affiliations="",TRUE,SUMPRODUCT(--ISNUMBER(SEARCH(","&amp;TRIM(TEXTSPLIT(Q111,","))&amp;",",","&amp;SUBSTITUTE(input_affiliations," ","")&amp;",")))=0)),IF(S111="",TRUE,IF(input_affiliations="",FALSE,SUMPRODUCT(--ISNUMBER(SEARCH(","&amp;TRIM(TEXTSPLIT(S111,","))&amp;",",","&amp;SUBSTITUTE(input_affiliations," ","")&amp;",")))&gt;0)),IF(U111="",TRUE,IF(input_affiliations="",FALSE,SUMPRODUCT(--ISNUMBER(SEARCH(","&amp;TRIM(TEXTSPLIT(U111,","))&amp;",",","&amp;SUBSTITUTE(input_affiliations," ","")&amp;",")))=COUNTA(TEXTSPLIT(U111,",")))))</f>
        <v/>
      </c>
      <c r="IU111">
        <f>AND(IF(W111="",TRUE,IF(input_announcement_category="",FALSE,SUMPRODUCT(--ISNUMBER(SEARCH(","&amp;TRIM(TEXTSPLIT(W111,","))&amp;",",","&amp;SUBSTITUTE(input_announcement_category," ","")&amp;",")))&gt;0)),IF(Y111="",TRUE,IF(input_announcement_category="",FALSE,SUMPRODUCT(--ISNUMBER(SEARCH(","&amp;TRIM(TEXTSPLIT(Y111,","))&amp;",",","&amp;SUBSTITUTE(input_announcement_category," ","")&amp;",")))=COUNTA(TEXTSPLIT(Y111,",")))),IF(AA111="",TRUE,IF(input_announcement_category="",TRUE,SUMPRODUCT(--ISNUMBER(SEARCH(","&amp;TRIM(TEXTSPLIT(AA111,","))&amp;",",","&amp;SUBSTITUTE(input_announcement_category," ","")&amp;",")))=0)),IF(AC111="",TRUE,IF(input_announcement_category="",FALSE,SUMPRODUCT(--ISNUMBER(SEARCH(","&amp;TRIM(TEXTSPLIT(AC111,","))&amp;",",","&amp;SUBSTITUTE(input_announcement_category," ","")&amp;",")))&gt;0)),IF(AE111="",TRUE,IF(input_announcement_category="",FALSE,SUMPRODUCT(--ISNUMBER(SEARCH(","&amp;TRIM(TEXTSPLIT(AE111,","))&amp;",",","&amp;SUBSTITUTE(input_announcement_category," ","")&amp;",")))=COUNTA(TEXTSPLIT(AE111,",")))))</f>
        <v/>
      </c>
      <c r="IV111">
        <f>AND(IF(AG111="",TRUE,IF(input_area_of_focus="",FALSE,SUMPRODUCT(--ISNUMBER(SEARCH(","&amp;TRIM(TEXTSPLIT(AG111,","))&amp;",",","&amp;SUBSTITUTE(input_area_of_focus," ","")&amp;",")))&gt;0)),IF(AI111="",TRUE,IF(input_area_of_focus="",FALSE,SUMPRODUCT(--ISNUMBER(SEARCH(","&amp;TRIM(TEXTSPLIT(AI111,","))&amp;",",","&amp;SUBSTITUTE(input_area_of_focus," ","")&amp;",")))=COUNTA(TEXTSPLIT(AI111,",")))),IF(AK111="",TRUE,IF(input_area_of_focus="",TRUE,SUMPRODUCT(--ISNUMBER(SEARCH(","&amp;TRIM(TEXTSPLIT(AK111,","))&amp;",",","&amp;SUBSTITUTE(input_area_of_focus," ","")&amp;",")))=0)),IF(AM111="",TRUE,IF(input_area_of_focus="",FALSE,SUMPRODUCT(--ISNUMBER(SEARCH(","&amp;TRIM(TEXTSPLIT(AM111,","))&amp;",",","&amp;SUBSTITUTE(input_area_of_focus," ","")&amp;",")))&gt;0)),IF(AO111="",TRUE,IF(input_area_of_focus="",FALSE,SUMPRODUCT(--ISNUMBER(SEARCH(","&amp;TRIM(TEXTSPLIT(AO111,","))&amp;",",","&amp;SUBSTITUTE(input_area_of_focus," ","")&amp;",")))=COUNTA(TEXTSPLIT(AO111,",")))))</f>
        <v/>
      </c>
      <c r="IW111">
        <f>AND(IF(AQ111="",TRUE,IF(input_audience="",FALSE,SUMPRODUCT(--ISNUMBER(SEARCH(","&amp;TRIM(TEXTSPLIT(AQ111,","))&amp;",",","&amp;SUBSTITUTE(input_audience," ","")&amp;",")))&gt;0)),IF(AS111="",TRUE,IF(input_audience="",FALSE,SUMPRODUCT(--ISNUMBER(SEARCH(","&amp;TRIM(TEXTSPLIT(AS111,","))&amp;",",","&amp;SUBSTITUTE(input_audience," ","")&amp;",")))=COUNTA(TEXTSPLIT(AS111,",")))),IF(AU111="",TRUE,IF(input_audience="",TRUE,SUMPRODUCT(--ISNUMBER(SEARCH(","&amp;TRIM(TEXTSPLIT(AU111,","))&amp;",",","&amp;SUBSTITUTE(input_audience," ","")&amp;",")))=0)),IF(AW111="",TRUE,IF(input_audience="",FALSE,SUMPRODUCT(--ISNUMBER(SEARCH(","&amp;TRIM(TEXTSPLIT(AW111,","))&amp;",",","&amp;SUBSTITUTE(input_audience," ","")&amp;",")))&gt;0)),IF(AY111="",TRUE,IF(input_audience="",FALSE,SUMPRODUCT(--ISNUMBER(SEARCH(","&amp;TRIM(TEXTSPLIT(AY111,","))&amp;",",","&amp;SUBSTITUTE(input_audience," ","")&amp;",")))=COUNTA(TEXTSPLIT(AY111,",")))))</f>
        <v/>
      </c>
      <c r="IX111">
        <f>AND(IF(BA111="",TRUE,IF(input_challenge_opportunities="",FALSE,SUMPRODUCT(--ISNUMBER(SEARCH(","&amp;TRIM(TEXTSPLIT(BA111,","))&amp;",",","&amp;SUBSTITUTE(input_challenge_opportunities," ","")&amp;",")))&gt;0)),IF(BC111="",TRUE,IF(input_challenge_opportunities="",FALSE,SUMPRODUCT(--ISNUMBER(SEARCH(","&amp;TRIM(TEXTSPLIT(BC111,","))&amp;",",","&amp;SUBSTITUTE(input_challenge_opportunities," ","")&amp;",")))=COUNTA(TEXTSPLIT(BC111,",")))),IF(BE111="",TRUE,IF(input_challenge_opportunities="",TRUE,SUMPRODUCT(--ISNUMBER(SEARCH(","&amp;TRIM(TEXTSPLIT(BE111,","))&amp;",",","&amp;SUBSTITUTE(input_challenge_opportunities," ","")&amp;",")))=0)),IF(BG111="",TRUE,IF(input_challenge_opportunities="",FALSE,SUMPRODUCT(--ISNUMBER(SEARCH(","&amp;TRIM(TEXTSPLIT(BG111,","))&amp;",",","&amp;SUBSTITUTE(input_challenge_opportunities," ","")&amp;",")))&gt;0)),IF(BI111="",TRUE,IF(input_challenge_opportunities="",FALSE,SUMPRODUCT(--ISNUMBER(SEARCH(","&amp;TRIM(TEXTSPLIT(BI111,","))&amp;",",","&amp;SUBSTITUTE(input_challenge_opportunities," ","")&amp;",")))=COUNTA(TEXTSPLIT(BI111,",")))))</f>
        <v/>
      </c>
      <c r="IY111">
        <f>AND(IF(BK111="",TRUE,IF(input_context="",FALSE,SUMPRODUCT(--ISNUMBER(SEARCH(","&amp;TRIM(TEXTSPLIT(BK111,","))&amp;",",","&amp;SUBSTITUTE(input_context," ","")&amp;",")))&gt;0)),IF(BM111="",TRUE,IF(input_context="",FALSE,SUMPRODUCT(--ISNUMBER(SEARCH(","&amp;TRIM(TEXTSPLIT(BM111,","))&amp;",",","&amp;SUBSTITUTE(input_context," ","")&amp;",")))=COUNTA(TEXTSPLIT(BM111,",")))),IF(BO111="",TRUE,IF(input_context="",TRUE,SUMPRODUCT(--ISNUMBER(SEARCH(","&amp;TRIM(TEXTSPLIT(BO111,","))&amp;",",","&amp;SUBSTITUTE(input_context," ","")&amp;",")))=0)),IF(BQ111="",TRUE,IF(input_context="",FALSE,SUMPRODUCT(--ISNUMBER(SEARCH(","&amp;TRIM(TEXTSPLIT(BQ111,","))&amp;",",","&amp;SUBSTITUTE(input_context," ","")&amp;",")))&gt;0)),IF(BS111="",TRUE,IF(input_context="",FALSE,SUMPRODUCT(--ISNUMBER(SEARCH(","&amp;TRIM(TEXTSPLIT(BS111,","))&amp;",",","&amp;SUBSTITUTE(input_context," ","")&amp;",")))=COUNTA(TEXTSPLIT(BS111,",")))))</f>
        <v/>
      </c>
      <c r="IZ111">
        <f>AND(IF(BU111="",TRUE,IF(input_enews_announcement_type="",FALSE,SUMPRODUCT(--ISNUMBER(SEARCH(","&amp;TRIM(TEXTSPLIT(BU111,","))&amp;",",","&amp;SUBSTITUTE(input_enews_announcement_type," ","")&amp;",")))&gt;0)),IF(BW111="",TRUE,IF(input_enews_announcement_type="",FALSE,SUMPRODUCT(--ISNUMBER(SEARCH(","&amp;TRIM(TEXTSPLIT(BW111,","))&amp;",",","&amp;SUBSTITUTE(input_enews_announcement_type," ","")&amp;",")))=COUNTA(TEXTSPLIT(BW111,",")))),IF(BY111="",TRUE,IF(input_enews_announcement_type="",TRUE,SUMPRODUCT(--ISNUMBER(SEARCH(","&amp;TRIM(TEXTSPLIT(BY111,","))&amp;",",","&amp;SUBSTITUTE(input_enews_announcement_type," ","")&amp;",")))=0)),IF(CA111="",TRUE,IF(input_enews_announcement_type="",FALSE,SUMPRODUCT(--ISNUMBER(SEARCH(","&amp;TRIM(TEXTSPLIT(CA111,","))&amp;",",","&amp;SUBSTITUTE(input_enews_announcement_type," ","")&amp;",")))&gt;0)),IF(CC111="",TRUE,IF(input_enews_announcement_type="",FALSE,SUMPRODUCT(--ISNUMBER(SEARCH(","&amp;TRIM(TEXTSPLIT(CC111,","))&amp;",",","&amp;SUBSTITUTE(input_enews_announcement_type," ","")&amp;",")))=COUNTA(TEXTSPLIT(CC111,",")))))</f>
        <v/>
      </c>
      <c r="JA111">
        <f>AND(IF(CE111="",TRUE,IF(input_enews_audience="",FALSE,SUMPRODUCT(--ISNUMBER(SEARCH(","&amp;TRIM(TEXTSPLIT(CE111,","))&amp;",",","&amp;SUBSTITUTE(input_enews_audience," ","")&amp;",")))&gt;0)),IF(CG111="",TRUE,IF(input_enews_audience="",FALSE,SUMPRODUCT(--ISNUMBER(SEARCH(","&amp;TRIM(TEXTSPLIT(CG111,","))&amp;",",","&amp;SUBSTITUTE(input_enews_audience," ","")&amp;",")))=COUNTA(TEXTSPLIT(CG111,",")))),IF(CI111="",TRUE,IF(input_enews_audience="",TRUE,SUMPRODUCT(--ISNUMBER(SEARCH(","&amp;TRIM(TEXTSPLIT(CI111,","))&amp;",",","&amp;SUBSTITUTE(input_enews_audience," ","")&amp;",")))=0)),IF(CK111="",TRUE,IF(input_enews_audience="",FALSE,SUMPRODUCT(--ISNUMBER(SEARCH(","&amp;TRIM(TEXTSPLIT(CK111,","))&amp;",",","&amp;SUBSTITUTE(input_enews_audience," ","")&amp;",")))&gt;0)),IF(CM111="",TRUE,IF(input_enews_audience="",FALSE,SUMPRODUCT(--ISNUMBER(SEARCH(","&amp;TRIM(TEXTSPLIT(CM111,","))&amp;",",","&amp;SUBSTITUTE(input_enews_audience," ","")&amp;",")))=COUNTA(TEXTSPLIT(CM111,",")))))</f>
        <v/>
      </c>
      <c r="JB111">
        <f>AND(IF(CO111="",TRUE,IF(input_event_location="",FALSE,SUMPRODUCT(--ISNUMBER(SEARCH(","&amp;TRIM(TEXTSPLIT(CO111,","))&amp;",",","&amp;SUBSTITUTE(input_event_location," ","")&amp;",")))&gt;0)),IF(CQ111="",TRUE,IF(input_event_location="",FALSE,SUMPRODUCT(--ISNUMBER(SEARCH(","&amp;TRIM(TEXTSPLIT(CQ111,","))&amp;",",","&amp;SUBSTITUTE(input_event_location," ","")&amp;",")))=COUNTA(TEXTSPLIT(CQ111,",")))),IF(CS111="",TRUE,IF(input_event_location="",TRUE,SUMPRODUCT(--ISNUMBER(SEARCH(","&amp;TRIM(TEXTSPLIT(CS111,","))&amp;",",","&amp;SUBSTITUTE(input_event_location," ","")&amp;",")))=0)),IF(CU111="",TRUE,IF(input_event_location="",FALSE,SUMPRODUCT(--ISNUMBER(SEARCH(","&amp;TRIM(TEXTSPLIT(CU111,","))&amp;",",","&amp;SUBSTITUTE(input_event_location," ","")&amp;",")))&gt;0)),IF(CW111="",TRUE,IF(input_event_location="",FALSE,SUMPRODUCT(--ISNUMBER(SEARCH(","&amp;TRIM(TEXTSPLIT(CW111,","))&amp;",",","&amp;SUBSTITUTE(input_event_location," ","")&amp;",")))=COUNTA(TEXTSPLIT(CW111,",")))))</f>
        <v/>
      </c>
      <c r="JC111">
        <f>AND(IF(CY111="",TRUE,IF(input_event_type="",FALSE,SUMPRODUCT(--ISNUMBER(SEARCH(","&amp;TRIM(TEXTSPLIT(CY111,","))&amp;",",","&amp;SUBSTITUTE(input_event_type," ","")&amp;",")))&gt;0)),IF(DA111="",TRUE,IF(input_event_type="",FALSE,SUMPRODUCT(--ISNUMBER(SEARCH(","&amp;TRIM(TEXTSPLIT(DA111,","))&amp;",",","&amp;SUBSTITUTE(input_event_type," ","")&amp;",")))=COUNTA(TEXTSPLIT(DA111,",")))),IF(DC111="",TRUE,IF(input_event_type="",TRUE,SUMPRODUCT(--ISNUMBER(SEARCH(","&amp;TRIM(TEXTSPLIT(DC111,","))&amp;",",","&amp;SUBSTITUTE(input_event_type," ","")&amp;",")))=0)),IF(DE111="",TRUE,IF(input_event_type="",FALSE,SUMPRODUCT(--ISNUMBER(SEARCH(","&amp;TRIM(TEXTSPLIT(DE111,","))&amp;",",","&amp;SUBSTITUTE(input_event_type," ","")&amp;",")))&gt;0)),IF(DG111="",TRUE,IF(input_event_type="",FALSE,SUMPRODUCT(--ISNUMBER(SEARCH(","&amp;TRIM(TEXTSPLIT(DG111,","))&amp;",",","&amp;SUBSTITUTE(input_event_type," ","")&amp;",")))=COUNTA(TEXTSPLIT(DG111,",")))))</f>
        <v/>
      </c>
      <c r="JD111">
        <f>AND(IF(DI111="",TRUE,IF(input_executive_education_focus="",FALSE,SUMPRODUCT(--ISNUMBER(SEARCH(","&amp;TRIM(TEXTSPLIT(DI111,","))&amp;",",","&amp;SUBSTITUTE(input_executive_education_focus," ","")&amp;",")))&gt;0)),IF(DK111="",TRUE,IF(input_executive_education_focus="",FALSE,SUMPRODUCT(--ISNUMBER(SEARCH(","&amp;TRIM(TEXTSPLIT(DK111,","))&amp;",",","&amp;SUBSTITUTE(input_executive_education_focus," ","")&amp;",")))=COUNTA(TEXTSPLIT(DK111,",")))),IF(DM111="",TRUE,IF(input_executive_education_focus="",TRUE,SUMPRODUCT(--ISNUMBER(SEARCH(","&amp;TRIM(TEXTSPLIT(DM111,","))&amp;",",","&amp;SUBSTITUTE(input_executive_education_focus," ","")&amp;",")))=0)),IF(DO111="",TRUE,IF(input_executive_education_focus="",FALSE,SUMPRODUCT(--ISNUMBER(SEARCH(","&amp;TRIM(TEXTSPLIT(DO111,","))&amp;",",","&amp;SUBSTITUTE(input_executive_education_focus," ","")&amp;",")))&gt;0)),IF(DQ111="",TRUE,IF(input_executive_education_focus="",FALSE,SUMPRODUCT(--ISNUMBER(SEARCH(","&amp;TRIM(TEXTSPLIT(DQ111,","))&amp;",",","&amp;SUBSTITUTE(input_executive_education_focus," ","")&amp;",")))=COUNTA(TEXTSPLIT(DQ111,",")))))</f>
        <v/>
      </c>
      <c r="JE111">
        <f>AND(IF(DS111="",TRUE,IF(input_faculty_category="",FALSE,SUMPRODUCT(--ISNUMBER(SEARCH(","&amp;TRIM(TEXTSPLIT(DS111,","))&amp;",",","&amp;SUBSTITUTE(input_faculty_category," ","")&amp;",")))&gt;0)),IF(DU111="",TRUE,IF(input_faculty_category="",FALSE,SUMPRODUCT(--ISNUMBER(SEARCH(","&amp;TRIM(TEXTSPLIT(DU111,","))&amp;",",","&amp;SUBSTITUTE(input_faculty_category," ","")&amp;",")))=COUNTA(TEXTSPLIT(DU111,",")))),IF(DW111="",TRUE,IF(input_faculty_category="",TRUE,SUMPRODUCT(--ISNUMBER(SEARCH(","&amp;TRIM(TEXTSPLIT(DW111,","))&amp;",",","&amp;SUBSTITUTE(input_faculty_category," ","")&amp;",")))=0)),IF(DY111="",TRUE,IF(input_faculty_category="",FALSE,SUMPRODUCT(--ISNUMBER(SEARCH(","&amp;TRIM(TEXTSPLIT(DY111,","))&amp;",",","&amp;SUBSTITUTE(input_faculty_category," ","")&amp;",")))&gt;0)),IF(EA111="",TRUE,IF(input_faculty_category="",FALSE,SUMPRODUCT(--ISNUMBER(SEARCH(","&amp;TRIM(TEXTSPLIT(EA111,","))&amp;",",","&amp;SUBSTITUTE(input_faculty_category," ","")&amp;",")))=COUNTA(TEXTSPLIT(EA111,",")))))</f>
        <v/>
      </c>
      <c r="JF111">
        <f>AND(IF(EC111="",TRUE,IF(input_faculty_discipline="",FALSE,SUMPRODUCT(--ISNUMBER(SEARCH(","&amp;TRIM(TEXTSPLIT(EC111,","))&amp;",",","&amp;SUBSTITUTE(input_faculty_discipline," ","")&amp;",")))&gt;0)),IF(EE111="",TRUE,IF(input_faculty_discipline="",FALSE,SUMPRODUCT(--ISNUMBER(SEARCH(","&amp;TRIM(TEXTSPLIT(EE111,","))&amp;",",","&amp;SUBSTITUTE(input_faculty_discipline," ","")&amp;",")))=COUNTA(TEXTSPLIT(EE111,",")))),IF(EG111="",TRUE,IF(input_faculty_discipline="",TRUE,SUMPRODUCT(--ISNUMBER(SEARCH(","&amp;TRIM(TEXTSPLIT(EG111,","))&amp;",",","&amp;SUBSTITUTE(input_faculty_discipline," ","")&amp;",")))=0)),IF(EI111="",TRUE,IF(input_faculty_discipline="",FALSE,SUMPRODUCT(--ISNUMBER(SEARCH(","&amp;TRIM(TEXTSPLIT(EI111,","))&amp;",",","&amp;SUBSTITUTE(input_faculty_discipline," ","")&amp;",")))&gt;0)),IF(EK111="",TRUE,IF(input_faculty_discipline="",FALSE,SUMPRODUCT(--ISNUMBER(SEARCH(","&amp;TRIM(TEXTSPLIT(EK111,","))&amp;",",","&amp;SUBSTITUTE(input_faculty_discipline," ","")&amp;",")))=COUNTA(TEXTSPLIT(EK111,",")))))</f>
        <v/>
      </c>
      <c r="JG111">
        <f>AND(IF(EM111="",TRUE,IF(input_faculty_expertise="",FALSE,SUMPRODUCT(--ISNUMBER(SEARCH(","&amp;TRIM(TEXTSPLIT(EM111,","))&amp;",",","&amp;SUBSTITUTE(input_faculty_expertise," ","")&amp;",")))&gt;0)),IF(EO111="",TRUE,IF(input_faculty_expertise="",FALSE,SUMPRODUCT(--ISNUMBER(SEARCH(","&amp;TRIM(TEXTSPLIT(EO111,","))&amp;",",","&amp;SUBSTITUTE(input_faculty_expertise," ","")&amp;",")))=COUNTA(TEXTSPLIT(EO111,",")))),IF(EQ111="",TRUE,IF(input_faculty_expertise="",TRUE,SUMPRODUCT(--ISNUMBER(SEARCH(","&amp;TRIM(TEXTSPLIT(EQ111,","))&amp;",",","&amp;SUBSTITUTE(input_faculty_expertise," ","")&amp;",")))=0)),IF(ES111="",TRUE,IF(input_faculty_expertise="",FALSE,SUMPRODUCT(--ISNUMBER(SEARCH(","&amp;TRIM(TEXTSPLIT(ES111,","))&amp;",",","&amp;SUBSTITUTE(input_faculty_expertise," ","")&amp;",")))&gt;0)),IF(EU111="",TRUE,IF(input_faculty_expertise="",FALSE,SUMPRODUCT(--ISNUMBER(SEARCH(","&amp;TRIM(TEXTSPLIT(EU111,","))&amp;",",","&amp;SUBSTITUTE(input_faculty_expertise," ","")&amp;",")))=COUNTA(TEXTSPLIT(EU111,",")))))</f>
        <v/>
      </c>
      <c r="JH111">
        <f>AND(IF(EW111="",TRUE,IF(input_global_network_school="",FALSE,SUMPRODUCT(--ISNUMBER(SEARCH(","&amp;TRIM(TEXTSPLIT(EW111,","))&amp;",",","&amp;SUBSTITUTE(input_global_network_school," ","")&amp;",")))&gt;0)),IF(EY111="",TRUE,IF(input_global_network_school="",FALSE,SUMPRODUCT(--ISNUMBER(SEARCH(","&amp;TRIM(TEXTSPLIT(EY111,","))&amp;",",","&amp;SUBSTITUTE(input_global_network_school," ","")&amp;",")))=COUNTA(TEXTSPLIT(EY111,",")))),IF(FA111="",TRUE,IF(input_global_network_school="",TRUE,SUMPRODUCT(--ISNUMBER(SEARCH(","&amp;TRIM(TEXTSPLIT(FA111,","))&amp;",",","&amp;SUBSTITUTE(input_global_network_school," ","")&amp;",")))=0)),IF(FC111="",TRUE,IF(input_global_network_school="",FALSE,SUMPRODUCT(--ISNUMBER(SEARCH(","&amp;TRIM(TEXTSPLIT(FC111,","))&amp;",",","&amp;SUBSTITUTE(input_global_network_school," ","")&amp;",")))&gt;0)),IF(FE111="",TRUE,IF(input_global_network_school="",FALSE,SUMPRODUCT(--ISNUMBER(SEARCH(","&amp;TRIM(TEXTSPLIT(FE111,","))&amp;",",","&amp;SUBSTITUTE(input_global_network_school," ","")&amp;",")))=COUNTA(TEXTSPLIT(FE111,",")))))</f>
        <v/>
      </c>
      <c r="JI111">
        <f>AND(IF(FG111="",TRUE,IF(input_industry="",FALSE,SUMPRODUCT(--ISNUMBER(SEARCH(","&amp;TRIM(TEXTSPLIT(FG111,","))&amp;",",","&amp;SUBSTITUTE(input_industry," ","")&amp;",")))&gt;0)),IF(FI111="",TRUE,IF(input_industry="",FALSE,SUMPRODUCT(--ISNUMBER(SEARCH(","&amp;TRIM(TEXTSPLIT(FI111,","))&amp;",",","&amp;SUBSTITUTE(input_industry," ","")&amp;",")))=COUNTA(TEXTSPLIT(FI111,",")))),IF(FK111="",TRUE,IF(input_industry="",TRUE,SUMPRODUCT(--ISNUMBER(SEARCH(","&amp;TRIM(TEXTSPLIT(FK111,","))&amp;",",","&amp;SUBSTITUTE(input_industry," ","")&amp;",")))=0)),IF(FM111="",TRUE,IF(input_industry="",FALSE,SUMPRODUCT(--ISNUMBER(SEARCH(","&amp;TRIM(TEXTSPLIT(FM111,","))&amp;",",","&amp;SUBSTITUTE(input_industry," ","")&amp;",")))&gt;0)),IF(FO111="",TRUE,IF(input_industry="",FALSE,SUMPRODUCT(--ISNUMBER(SEARCH(","&amp;TRIM(TEXTSPLIT(FO111,","))&amp;",",","&amp;SUBSTITUTE(input_industry," ","")&amp;",")))=COUNTA(TEXTSPLIT(FO111,",")))))</f>
        <v/>
      </c>
      <c r="JJ111">
        <f>AND(IF(FQ111="",TRUE,IF(input_location="",FALSE,SUMPRODUCT(--ISNUMBER(SEARCH(","&amp;TRIM(TEXTSPLIT(FQ111,","))&amp;",",","&amp;SUBSTITUTE(input_location," ","")&amp;",")))&gt;0)),IF(FS111="",TRUE,IF(input_location="",FALSE,SUMPRODUCT(--ISNUMBER(SEARCH(","&amp;TRIM(TEXTSPLIT(FS111,","))&amp;",",","&amp;SUBSTITUTE(input_location," ","")&amp;",")))=COUNTA(TEXTSPLIT(FS111,",")))),IF(FU111="",TRUE,IF(input_location="",TRUE,SUMPRODUCT(--ISNUMBER(SEARCH(","&amp;TRIM(TEXTSPLIT(FU111,","))&amp;",",","&amp;SUBSTITUTE(input_location," ","")&amp;",")))=0)),IF(FW111="",TRUE,IF(input_location="",FALSE,SUMPRODUCT(--ISNUMBER(SEARCH(","&amp;TRIM(TEXTSPLIT(FW111,","))&amp;",",","&amp;SUBSTITUTE(input_location," ","")&amp;",")))&gt;0)),IF(FY111="",TRUE,IF(input_location="",FALSE,SUMPRODUCT(--ISNUMBER(SEARCH(","&amp;TRIM(TEXTSPLIT(FY111,","))&amp;",",","&amp;SUBSTITUTE(input_location," ","")&amp;",")))=COUNTA(TEXTSPLIT(FY111,",")))))</f>
        <v/>
      </c>
      <c r="JK111">
        <f>AND(IF(GA111="",TRUE,IF(input_modality="",FALSE,SUMPRODUCT(--ISNUMBER(SEARCH(","&amp;TRIM(TEXTSPLIT(GA111,","))&amp;",",","&amp;SUBSTITUTE(input_modality," ","")&amp;",")))&gt;0)),IF(GC111="",TRUE,IF(input_modality="",FALSE,SUMPRODUCT(--ISNUMBER(SEARCH(","&amp;TRIM(TEXTSPLIT(GC111,","))&amp;",",","&amp;SUBSTITUTE(input_modality," ","")&amp;",")))=COUNTA(TEXTSPLIT(GC111,",")))),IF(GE111="",TRUE,IF(input_modality="",TRUE,SUMPRODUCT(--ISNUMBER(SEARCH(","&amp;TRIM(TEXTSPLIT(GE111,","))&amp;",",","&amp;SUBSTITUTE(input_modality," ","")&amp;",")))=0)),IF(GG111="",TRUE,IF(input_modality="",FALSE,SUMPRODUCT(--ISNUMBER(SEARCH(","&amp;TRIM(TEXTSPLIT(GG111,","))&amp;",",","&amp;SUBSTITUTE(input_modality," ","")&amp;",")))&gt;0)),IF(GI111="",TRUE,IF(input_modality="",FALSE,SUMPRODUCT(--ISNUMBER(SEARCH(","&amp;TRIM(TEXTSPLIT(GI111,","))&amp;",",","&amp;SUBSTITUTE(input_modality," ","")&amp;",")))=COUNTA(TEXTSPLIT(GI111,",")))))</f>
        <v/>
      </c>
      <c r="JL111">
        <f>AND(IF(GK111="",TRUE,IF(input_organizer="",FALSE,SUMPRODUCT(--ISNUMBER(SEARCH(","&amp;TRIM(TEXTSPLIT(GK111,","))&amp;",",","&amp;SUBSTITUTE(input_organizer," ","")&amp;",")))&gt;0)),IF(GM111="",TRUE,IF(input_organizer="",FALSE,SUMPRODUCT(--ISNUMBER(SEARCH(","&amp;TRIM(TEXTSPLIT(GM111,","))&amp;",",","&amp;SUBSTITUTE(input_organizer," ","")&amp;",")))=COUNTA(TEXTSPLIT(GM111,",")))),IF(GO111="",TRUE,IF(input_organizer="",TRUE,SUMPRODUCT(--ISNUMBER(SEARCH(","&amp;TRIM(TEXTSPLIT(GO111,","))&amp;",",","&amp;SUBSTITUTE(input_organizer," ","")&amp;",")))=0)),IF(GQ111="",TRUE,IF(input_organizer="",FALSE,SUMPRODUCT(--ISNUMBER(SEARCH(","&amp;TRIM(TEXTSPLIT(GQ111,","))&amp;",",","&amp;SUBSTITUTE(input_organizer," ","")&amp;",")))&gt;0)),IF(GS111="",TRUE,IF(input_organizer="",FALSE,SUMPRODUCT(--ISNUMBER(SEARCH(","&amp;TRIM(TEXTSPLIT(GS111,","))&amp;",",","&amp;SUBSTITUTE(input_organizer," ","")&amp;",")))=COUNTA(TEXTSPLIT(GS111,",")))))</f>
        <v/>
      </c>
      <c r="JM111">
        <f>AND(IF(GU111="",TRUE,IF(input_profile_type="",FALSE,SUMPRODUCT(--ISNUMBER(SEARCH(","&amp;TRIM(TEXTSPLIT(GU111,","))&amp;",",","&amp;SUBSTITUTE(input_profile_type," ","")&amp;",")))&gt;0)),IF(GW111="",TRUE,IF(input_profile_type="",FALSE,SUMPRODUCT(--ISNUMBER(SEARCH(","&amp;TRIM(TEXTSPLIT(GW111,","))&amp;",",","&amp;SUBSTITUTE(input_profile_type," ","")&amp;",")))=COUNTA(TEXTSPLIT(GW111,",")))),IF(GY111="",TRUE,IF(input_profile_type="",TRUE,SUMPRODUCT(--ISNUMBER(SEARCH(","&amp;TRIM(TEXTSPLIT(GY111,","))&amp;",",","&amp;SUBSTITUTE(input_profile_type," ","")&amp;",")))=0)),IF(HA111="",TRUE,IF(input_profile_type="",FALSE,SUMPRODUCT(--ISNUMBER(SEARCH(","&amp;TRIM(TEXTSPLIT(HA111,","))&amp;",",","&amp;SUBSTITUTE(input_profile_type," ","")&amp;",")))&gt;0)),IF(HC111="",TRUE,IF(input_profile_type="",FALSE,SUMPRODUCT(--ISNUMBER(SEARCH(","&amp;TRIM(TEXTSPLIT(HC111,","))&amp;",",","&amp;SUBSTITUTE(input_profile_type," ","")&amp;",")))=COUNTA(TEXTSPLIT(HC111,",")))))</f>
        <v/>
      </c>
      <c r="JN111">
        <f>AND(IF(HE111="",TRUE,IF(input_program="",FALSE,SUMPRODUCT(--ISNUMBER(SEARCH(","&amp;TRIM(TEXTSPLIT(HE111,","))&amp;",",","&amp;SUBSTITUTE(input_program," ","")&amp;",")))&gt;0)),IF(HG111="",TRUE,IF(input_program="",FALSE,SUMPRODUCT(--ISNUMBER(SEARCH(","&amp;TRIM(TEXTSPLIT(HG111,","))&amp;",",","&amp;SUBSTITUTE(input_program," ","")&amp;",")))=COUNTA(TEXTSPLIT(HG111,",")))),IF(HI111="",TRUE,IF(input_program="",TRUE,SUMPRODUCT(--ISNUMBER(SEARCH(","&amp;TRIM(TEXTSPLIT(HI111,","))&amp;",",","&amp;SUBSTITUTE(input_program," ","")&amp;",")))=0)),IF(HK111="",TRUE,IF(input_program="",FALSE,SUMPRODUCT(--ISNUMBER(SEARCH(","&amp;TRIM(TEXTSPLIT(HK111,","))&amp;",",","&amp;SUBSTITUTE(input_program," ","")&amp;",")))&gt;0)),IF(HM111="",TRUE,IF(input_program="",FALSE,SUMPRODUCT(--ISNUMBER(SEARCH(","&amp;TRIM(TEXTSPLIT(HM111,","))&amp;",",","&amp;SUBSTITUTE(input_program," ","")&amp;",")))=COUNTA(TEXTSPLIT(HM111,",")))))</f>
        <v/>
      </c>
      <c r="JO111">
        <f>AND(IF(HO111="",TRUE,IF(input_story_categories="",FALSE,SUMPRODUCT(--ISNUMBER(SEARCH(","&amp;TRIM(TEXTSPLIT(HO111,","))&amp;",",","&amp;SUBSTITUTE(input_story_categories," ","")&amp;",")))&gt;0)),IF(HQ111="",TRUE,IF(input_story_categories="",FALSE,SUMPRODUCT(--ISNUMBER(SEARCH(","&amp;TRIM(TEXTSPLIT(HQ111,","))&amp;",",","&amp;SUBSTITUTE(input_story_categories," ","")&amp;",")))=COUNTA(TEXTSPLIT(HQ111,",")))),IF(HS111="",TRUE,IF(input_story_categories="",TRUE,SUMPRODUCT(--ISNUMBER(SEARCH(","&amp;TRIM(TEXTSPLIT(HS111,","))&amp;",",","&amp;SUBSTITUTE(input_story_categories," ","")&amp;",")))=0)),IF(HU111="",TRUE,IF(input_story_categories="",FALSE,SUMPRODUCT(--ISNUMBER(SEARCH(","&amp;TRIM(TEXTSPLIT(HU111,","))&amp;",",","&amp;SUBSTITUTE(input_story_categories," ","")&amp;",")))&gt;0)),IF(HW111="",TRUE,IF(input_story_categories="",FALSE,SUMPRODUCT(--ISNUMBER(SEARCH(","&amp;TRIM(TEXTSPLIT(HW111,","))&amp;",",","&amp;SUBSTITUTE(input_story_categories," ","")&amp;",")))=COUNTA(TEXTSPLIT(HW111,",")))))</f>
        <v/>
      </c>
      <c r="JP111">
        <f>AND(IF(HY111="",TRUE,IF(input_story_type="",FALSE,SUMPRODUCT(--ISNUMBER(SEARCH(","&amp;TRIM(TEXTSPLIT(HY111,","))&amp;",",","&amp;SUBSTITUTE(input_story_type," ","")&amp;",")))&gt;0)),IF(IA111="",TRUE,IF(input_story_type="",FALSE,SUMPRODUCT(--ISNUMBER(SEARCH(","&amp;TRIM(TEXTSPLIT(IA111,","))&amp;",",","&amp;SUBSTITUTE(input_story_type," ","")&amp;",")))=COUNTA(TEXTSPLIT(IA111,",")))),IF(IC111="",TRUE,IF(input_story_type="",TRUE,SUMPRODUCT(--ISNUMBER(SEARCH(","&amp;TRIM(TEXTSPLIT(IC111,","))&amp;",",","&amp;SUBSTITUTE(input_story_type," ","")&amp;",")))=0)),IF(IE111="",TRUE,IF(input_story_type="",FALSE,SUMPRODUCT(--ISNUMBER(SEARCH(","&amp;TRIM(TEXTSPLIT(IE111,","))&amp;",",","&amp;SUBSTITUTE(input_story_type," ","")&amp;",")))&gt;0)),IF(IG111="",TRUE,IF(input_story_type="",FALSE,SUMPRODUCT(--ISNUMBER(SEARCH(","&amp;TRIM(TEXTSPLIT(IG111,","))&amp;",",","&amp;SUBSTITUTE(input_story_type," ","")&amp;",")))=COUNTA(TEXTSPLIT(IG111,",")))))</f>
        <v/>
      </c>
      <c r="JQ111">
        <f>AND(IF(II111="",TRUE,IF(input_topics="",FALSE,SUMPRODUCT(--ISNUMBER(SEARCH(","&amp;TRIM(TEXTSPLIT(II111,","))&amp;",",","&amp;SUBSTITUTE(input_topics," ","")&amp;",")))&gt;0)),IF(IK111="",TRUE,IF(input_topics="",FALSE,SUMPRODUCT(--ISNUMBER(SEARCH(","&amp;TRIM(TEXTSPLIT(IK111,","))&amp;",",","&amp;SUBSTITUTE(input_topics," ","")&amp;",")))=COUNTA(TEXTSPLIT(IK111,",")))),IF(IM111="",TRUE,IF(input_topics="",TRUE,SUMPRODUCT(--ISNUMBER(SEARCH(","&amp;TRIM(TEXTSPLIT(IM111,","))&amp;",",","&amp;SUBSTITUTE(input_topics," ","")&amp;",")))=0)),IF(IO111="",TRUE,IF(input_topics="",FALSE,SUMPRODUCT(--ISNUMBER(SEARCH(","&amp;TRIM(TEXTSPLIT(IO111,","))&amp;",",","&amp;SUBSTITUTE(input_topics," ","")&amp;",")))&gt;0)),IF(IQ111="",TRUE,IF(input_topics="",FALSE,SUMPRODUCT(--ISNUMBER(SEARCH(","&amp;TRIM(TEXTSPLIT(IQ111,","))&amp;",",","&amp;SUBSTITUTE(input_topics," ","")&amp;",")))=COUNTA(TEXTSPLIT(IQ111,",")))))</f>
        <v/>
      </c>
    </row>
    <row r="112">
      <c r="A112" s="4">
        <f>IF(NOT(IS112),"Excluded",IF(AND(IT112,IU112,IV112,IW112,IX112,IY112,IZ112,JA112,JB112,JC112,JD112,JE112,JF112,JG112,JH112,JI112,JJ112,JK112,JL112,JM112,JN112,JO112,JP112,JQ112),IF(I112&gt;0,"Eligible but limited","Will appear"),"Excluded"))</f>
        <v/>
      </c>
      <c r="B112" s="4" t="inlineStr">
        <is>
          <t>Filterable publication teaser list by context</t>
        </is>
      </c>
      <c r="C112" s="4" t="inlineStr">
        <is>
          <t>/centers/international-center-for-finance/publications</t>
        </is>
      </c>
      <c r="D112" s="4" t="inlineStr">
        <is>
          <t>/centers/international-center-for-finance/publications</t>
        </is>
      </c>
      <c r="E112" s="4" t="n">
        <v>1</v>
      </c>
      <c r="F112" s="4" t="inlineStr">
        <is>
          <t>publications</t>
        </is>
      </c>
      <c r="G112" s="4" t="inlineStr">
        <is>
          <t>publication_teaser_list</t>
        </is>
      </c>
      <c r="H112" s="4" t="inlineStr">
        <is>
          <t>publications_all_by_context_filtered</t>
        </is>
      </c>
      <c r="I112" s="4" t="n">
        <v>50</v>
      </c>
      <c r="J112" s="4" t="inlineStr">
        <is>
          <t>View/config rules</t>
        </is>
      </c>
      <c r="K112" s="4" t="inlineStr">
        <is>
          <t>Page placement</t>
        </is>
      </c>
      <c r="L112" s="4" t="inlineStr">
        <is>
          <t>Content type: publications; Limited to 50 item(s); Source: View/config rules</t>
        </is>
      </c>
      <c r="M112" t="inlineStr"/>
      <c r="N112" t="inlineStr"/>
      <c r="O112" t="inlineStr"/>
      <c r="P112" t="inlineStr"/>
      <c r="Q112" t="inlineStr"/>
      <c r="R112" t="inlineStr"/>
      <c r="S112" t="inlineStr"/>
      <c r="T112" t="inlineStr"/>
      <c r="U112" t="inlineStr"/>
      <c r="V112" t="inlineStr"/>
      <c r="W112" t="inlineStr"/>
      <c r="X112" t="inlineStr"/>
      <c r="Y112" t="inlineStr"/>
      <c r="Z112" t="inlineStr"/>
      <c r="AA112" t="inlineStr"/>
      <c r="AB112" t="inlineStr"/>
      <c r="AC112" t="inlineStr"/>
      <c r="AD112" t="inlineStr"/>
      <c r="AE112" t="inlineStr"/>
      <c r="AF112" t="inlineStr"/>
      <c r="AG112" t="inlineStr"/>
      <c r="AH112" t="inlineStr"/>
      <c r="AI112" t="inlineStr"/>
      <c r="AJ112" t="inlineStr"/>
      <c r="AK112" t="inlineStr"/>
      <c r="AL112" t="inlineStr"/>
      <c r="AM112" t="inlineStr"/>
      <c r="AN112" t="inlineStr"/>
      <c r="AO112" t="inlineStr"/>
      <c r="AP112" t="inlineStr"/>
      <c r="AQ112" t="inlineStr"/>
      <c r="AR112" t="inlineStr"/>
      <c r="AS112" t="inlineStr"/>
      <c r="AT112" t="inlineStr"/>
      <c r="AU112" t="inlineStr"/>
      <c r="AV112" t="inlineStr"/>
      <c r="AW112" t="inlineStr"/>
      <c r="AX112" t="inlineStr"/>
      <c r="AY112" t="inlineStr"/>
      <c r="AZ112" t="inlineStr"/>
      <c r="BA112" t="inlineStr"/>
      <c r="BB112" t="inlineStr"/>
      <c r="BC112" t="inlineStr"/>
      <c r="BD112" t="inlineStr"/>
      <c r="BE112" t="inlineStr"/>
      <c r="BF112" t="inlineStr"/>
      <c r="BG112" t="inlineStr"/>
      <c r="BH112" t="inlineStr"/>
      <c r="BI112" t="inlineStr"/>
      <c r="BJ112" t="inlineStr"/>
      <c r="BK112" t="inlineStr"/>
      <c r="BL112" t="inlineStr"/>
      <c r="BM112" t="inlineStr"/>
      <c r="BN112" t="inlineStr"/>
      <c r="BO112" t="inlineStr"/>
      <c r="BP112" t="inlineStr"/>
      <c r="BQ112" t="inlineStr"/>
      <c r="BR112" t="inlineStr"/>
      <c r="BS112" t="inlineStr"/>
      <c r="BT112" t="inlineStr"/>
      <c r="BU112" t="inlineStr"/>
      <c r="BV112" t="inlineStr"/>
      <c r="BW112" t="inlineStr"/>
      <c r="BX112" t="inlineStr"/>
      <c r="BY112" t="inlineStr"/>
      <c r="BZ112" t="inlineStr"/>
      <c r="CA112" t="inlineStr"/>
      <c r="CB112" t="inlineStr"/>
      <c r="CC112" t="inlineStr"/>
      <c r="CD112" t="inlineStr"/>
      <c r="CE112" t="inlineStr"/>
      <c r="CF112" t="inlineStr"/>
      <c r="CG112" t="inlineStr"/>
      <c r="CH112" t="inlineStr"/>
      <c r="CI112" t="inlineStr"/>
      <c r="CJ112" t="inlineStr"/>
      <c r="CK112" t="inlineStr"/>
      <c r="CL112" t="inlineStr"/>
      <c r="CM112" t="inlineStr"/>
      <c r="CN112" t="inlineStr"/>
      <c r="CO112" t="inlineStr"/>
      <c r="CP112" t="inlineStr"/>
      <c r="CQ112" t="inlineStr"/>
      <c r="CR112" t="inlineStr"/>
      <c r="CS112" t="inlineStr"/>
      <c r="CT112" t="inlineStr"/>
      <c r="CU112" t="inlineStr"/>
      <c r="CV112" t="inlineStr"/>
      <c r="CW112" t="inlineStr"/>
      <c r="CX112" t="inlineStr"/>
      <c r="CY112" t="inlineStr"/>
      <c r="CZ112" t="inlineStr"/>
      <c r="DA112" t="inlineStr"/>
      <c r="DB112" t="inlineStr"/>
      <c r="DC112" t="inlineStr"/>
      <c r="DD112" t="inlineStr"/>
      <c r="DE112" t="inlineStr"/>
      <c r="DF112" t="inlineStr"/>
      <c r="DG112" t="inlineStr"/>
      <c r="DH112" t="inlineStr"/>
      <c r="DI112" t="inlineStr"/>
      <c r="DJ112" t="inlineStr"/>
      <c r="DK112" t="inlineStr"/>
      <c r="DL112" t="inlineStr"/>
      <c r="DM112" t="inlineStr"/>
      <c r="DN112" t="inlineStr"/>
      <c r="DO112" t="inlineStr"/>
      <c r="DP112" t="inlineStr"/>
      <c r="DQ112" t="inlineStr"/>
      <c r="DR112" t="inlineStr"/>
      <c r="DS112" t="inlineStr"/>
      <c r="DT112" t="inlineStr"/>
      <c r="DU112" t="inlineStr"/>
      <c r="DV112" t="inlineStr"/>
      <c r="DW112" t="inlineStr"/>
      <c r="DX112" t="inlineStr"/>
      <c r="DY112" t="inlineStr"/>
      <c r="DZ112" t="inlineStr"/>
      <c r="EA112" t="inlineStr"/>
      <c r="EB112" t="inlineStr"/>
      <c r="EC112" t="inlineStr"/>
      <c r="ED112" t="inlineStr"/>
      <c r="EE112" t="inlineStr"/>
      <c r="EF112" t="inlineStr"/>
      <c r="EG112" t="inlineStr"/>
      <c r="EH112" t="inlineStr"/>
      <c r="EI112" t="inlineStr"/>
      <c r="EJ112" t="inlineStr"/>
      <c r="EK112" t="inlineStr"/>
      <c r="EL112" t="inlineStr"/>
      <c r="EM112" t="inlineStr"/>
      <c r="EN112" t="inlineStr"/>
      <c r="EO112" t="inlineStr"/>
      <c r="EP112" t="inlineStr"/>
      <c r="EQ112" t="inlineStr"/>
      <c r="ER112" t="inlineStr"/>
      <c r="ES112" t="inlineStr"/>
      <c r="ET112" t="inlineStr"/>
      <c r="EU112" t="inlineStr"/>
      <c r="EV112" t="inlineStr"/>
      <c r="EW112" t="inlineStr"/>
      <c r="EX112" t="inlineStr"/>
      <c r="EY112" t="inlineStr"/>
      <c r="EZ112" t="inlineStr"/>
      <c r="FA112" t="inlineStr"/>
      <c r="FB112" t="inlineStr"/>
      <c r="FC112" t="inlineStr"/>
      <c r="FD112" t="inlineStr"/>
      <c r="FE112" t="inlineStr"/>
      <c r="FF112" t="inlineStr"/>
      <c r="FG112" t="inlineStr"/>
      <c r="FH112" t="inlineStr"/>
      <c r="FI112" t="inlineStr"/>
      <c r="FJ112" t="inlineStr"/>
      <c r="FK112" t="inlineStr"/>
      <c r="FL112" t="inlineStr"/>
      <c r="FM112" t="inlineStr"/>
      <c r="FN112" t="inlineStr"/>
      <c r="FO112" t="inlineStr"/>
      <c r="FP112" t="inlineStr"/>
      <c r="FQ112" t="inlineStr"/>
      <c r="FR112" t="inlineStr"/>
      <c r="FS112" t="inlineStr"/>
      <c r="FT112" t="inlineStr"/>
      <c r="FU112" t="inlineStr"/>
      <c r="FV112" t="inlineStr"/>
      <c r="FW112" t="inlineStr"/>
      <c r="FX112" t="inlineStr"/>
      <c r="FY112" t="inlineStr"/>
      <c r="FZ112" t="inlineStr"/>
      <c r="GA112" t="inlineStr"/>
      <c r="GB112" t="inlineStr"/>
      <c r="GC112" t="inlineStr"/>
      <c r="GD112" t="inlineStr"/>
      <c r="GE112" t="inlineStr"/>
      <c r="GF112" t="inlineStr"/>
      <c r="GG112" t="inlineStr"/>
      <c r="GH112" t="inlineStr"/>
      <c r="GI112" t="inlineStr"/>
      <c r="GJ112" t="inlineStr"/>
      <c r="GK112" t="inlineStr"/>
      <c r="GL112" t="inlineStr"/>
      <c r="GM112" t="inlineStr"/>
      <c r="GN112" t="inlineStr"/>
      <c r="GO112" t="inlineStr"/>
      <c r="GP112" t="inlineStr"/>
      <c r="GQ112" t="inlineStr"/>
      <c r="GR112" t="inlineStr"/>
      <c r="GS112" t="inlineStr"/>
      <c r="GT112" t="inlineStr"/>
      <c r="GU112" t="inlineStr"/>
      <c r="GV112" t="inlineStr"/>
      <c r="GW112" t="inlineStr"/>
      <c r="GX112" t="inlineStr"/>
      <c r="GY112" t="inlineStr"/>
      <c r="GZ112" t="inlineStr"/>
      <c r="HA112" t="inlineStr"/>
      <c r="HB112" t="inlineStr"/>
      <c r="HC112" t="inlineStr"/>
      <c r="HD112" t="inlineStr"/>
      <c r="HE112" t="inlineStr"/>
      <c r="HF112" t="inlineStr"/>
      <c r="HG112" t="inlineStr"/>
      <c r="HH112" t="inlineStr"/>
      <c r="HI112" t="inlineStr"/>
      <c r="HJ112" t="inlineStr"/>
      <c r="HK112" t="inlineStr"/>
      <c r="HL112" t="inlineStr"/>
      <c r="HM112" t="inlineStr"/>
      <c r="HN112" t="inlineStr"/>
      <c r="HO112" t="inlineStr"/>
      <c r="HP112" t="inlineStr"/>
      <c r="HQ112" t="inlineStr"/>
      <c r="HR112" t="inlineStr"/>
      <c r="HS112" t="inlineStr"/>
      <c r="HT112" t="inlineStr"/>
      <c r="HU112" t="inlineStr"/>
      <c r="HV112" t="inlineStr"/>
      <c r="HW112" t="inlineStr"/>
      <c r="HX112" t="inlineStr"/>
      <c r="HY112" t="inlineStr"/>
      <c r="HZ112" t="inlineStr"/>
      <c r="IA112" t="inlineStr"/>
      <c r="IB112" t="inlineStr"/>
      <c r="IC112" t="inlineStr"/>
      <c r="ID112" t="inlineStr"/>
      <c r="IE112" t="inlineStr"/>
      <c r="IF112" t="inlineStr"/>
      <c r="IG112" t="inlineStr"/>
      <c r="IH112" t="inlineStr"/>
      <c r="II112" t="inlineStr"/>
      <c r="IJ112" t="inlineStr"/>
      <c r="IK112" t="inlineStr"/>
      <c r="IL112" t="inlineStr"/>
      <c r="IM112" t="inlineStr"/>
      <c r="IN112" t="inlineStr"/>
      <c r="IO112" t="inlineStr"/>
      <c r="IP112" t="inlineStr"/>
      <c r="IQ112" t="inlineStr"/>
      <c r="IR112" t="inlineStr"/>
      <c r="IS112">
        <f>IF(input_content_type="",FALSE,ISNUMBER(SEARCH(","&amp;LOWER(input_content_type)&amp;",",","&amp;LOWER(F112)&amp;",")))</f>
        <v/>
      </c>
      <c r="IT112">
        <f>AND(IF(M112="",TRUE,IF(input_affiliations="",FALSE,SUMPRODUCT(--ISNUMBER(SEARCH(","&amp;TRIM(TEXTSPLIT(M112,","))&amp;",",","&amp;SUBSTITUTE(input_affiliations," ","")&amp;",")))&gt;0)),IF(O112="",TRUE,IF(input_affiliations="",FALSE,SUMPRODUCT(--ISNUMBER(SEARCH(","&amp;TRIM(TEXTSPLIT(O112,","))&amp;",",","&amp;SUBSTITUTE(input_affiliations," ","")&amp;",")))=COUNTA(TEXTSPLIT(O112,",")))),IF(Q112="",TRUE,IF(input_affiliations="",TRUE,SUMPRODUCT(--ISNUMBER(SEARCH(","&amp;TRIM(TEXTSPLIT(Q112,","))&amp;",",","&amp;SUBSTITUTE(input_affiliations," ","")&amp;",")))=0)),IF(S112="",TRUE,IF(input_affiliations="",FALSE,SUMPRODUCT(--ISNUMBER(SEARCH(","&amp;TRIM(TEXTSPLIT(S112,","))&amp;",",","&amp;SUBSTITUTE(input_affiliations," ","")&amp;",")))&gt;0)),IF(U112="",TRUE,IF(input_affiliations="",FALSE,SUMPRODUCT(--ISNUMBER(SEARCH(","&amp;TRIM(TEXTSPLIT(U112,","))&amp;",",","&amp;SUBSTITUTE(input_affiliations," ","")&amp;",")))=COUNTA(TEXTSPLIT(U112,",")))))</f>
        <v/>
      </c>
      <c r="IU112">
        <f>AND(IF(W112="",TRUE,IF(input_announcement_category="",FALSE,SUMPRODUCT(--ISNUMBER(SEARCH(","&amp;TRIM(TEXTSPLIT(W112,","))&amp;",",","&amp;SUBSTITUTE(input_announcement_category," ","")&amp;",")))&gt;0)),IF(Y112="",TRUE,IF(input_announcement_category="",FALSE,SUMPRODUCT(--ISNUMBER(SEARCH(","&amp;TRIM(TEXTSPLIT(Y112,","))&amp;",",","&amp;SUBSTITUTE(input_announcement_category," ","")&amp;",")))=COUNTA(TEXTSPLIT(Y112,",")))),IF(AA112="",TRUE,IF(input_announcement_category="",TRUE,SUMPRODUCT(--ISNUMBER(SEARCH(","&amp;TRIM(TEXTSPLIT(AA112,","))&amp;",",","&amp;SUBSTITUTE(input_announcement_category," ","")&amp;",")))=0)),IF(AC112="",TRUE,IF(input_announcement_category="",FALSE,SUMPRODUCT(--ISNUMBER(SEARCH(","&amp;TRIM(TEXTSPLIT(AC112,","))&amp;",",","&amp;SUBSTITUTE(input_announcement_category," ","")&amp;",")))&gt;0)),IF(AE112="",TRUE,IF(input_announcement_category="",FALSE,SUMPRODUCT(--ISNUMBER(SEARCH(","&amp;TRIM(TEXTSPLIT(AE112,","))&amp;",",","&amp;SUBSTITUTE(input_announcement_category," ","")&amp;",")))=COUNTA(TEXTSPLIT(AE112,",")))))</f>
        <v/>
      </c>
      <c r="IV112">
        <f>AND(IF(AG112="",TRUE,IF(input_area_of_focus="",FALSE,SUMPRODUCT(--ISNUMBER(SEARCH(","&amp;TRIM(TEXTSPLIT(AG112,","))&amp;",",","&amp;SUBSTITUTE(input_area_of_focus," ","")&amp;",")))&gt;0)),IF(AI112="",TRUE,IF(input_area_of_focus="",FALSE,SUMPRODUCT(--ISNUMBER(SEARCH(","&amp;TRIM(TEXTSPLIT(AI112,","))&amp;",",","&amp;SUBSTITUTE(input_area_of_focus," ","")&amp;",")))=COUNTA(TEXTSPLIT(AI112,",")))),IF(AK112="",TRUE,IF(input_area_of_focus="",TRUE,SUMPRODUCT(--ISNUMBER(SEARCH(","&amp;TRIM(TEXTSPLIT(AK112,","))&amp;",",","&amp;SUBSTITUTE(input_area_of_focus," ","")&amp;",")))=0)),IF(AM112="",TRUE,IF(input_area_of_focus="",FALSE,SUMPRODUCT(--ISNUMBER(SEARCH(","&amp;TRIM(TEXTSPLIT(AM112,","))&amp;",",","&amp;SUBSTITUTE(input_area_of_focus," ","")&amp;",")))&gt;0)),IF(AO112="",TRUE,IF(input_area_of_focus="",FALSE,SUMPRODUCT(--ISNUMBER(SEARCH(","&amp;TRIM(TEXTSPLIT(AO112,","))&amp;",",","&amp;SUBSTITUTE(input_area_of_focus," ","")&amp;",")))=COUNTA(TEXTSPLIT(AO112,",")))))</f>
        <v/>
      </c>
      <c r="IW112">
        <f>AND(IF(AQ112="",TRUE,IF(input_audience="",FALSE,SUMPRODUCT(--ISNUMBER(SEARCH(","&amp;TRIM(TEXTSPLIT(AQ112,","))&amp;",",","&amp;SUBSTITUTE(input_audience," ","")&amp;",")))&gt;0)),IF(AS112="",TRUE,IF(input_audience="",FALSE,SUMPRODUCT(--ISNUMBER(SEARCH(","&amp;TRIM(TEXTSPLIT(AS112,","))&amp;",",","&amp;SUBSTITUTE(input_audience," ","")&amp;",")))=COUNTA(TEXTSPLIT(AS112,",")))),IF(AU112="",TRUE,IF(input_audience="",TRUE,SUMPRODUCT(--ISNUMBER(SEARCH(","&amp;TRIM(TEXTSPLIT(AU112,","))&amp;",",","&amp;SUBSTITUTE(input_audience," ","")&amp;",")))=0)),IF(AW112="",TRUE,IF(input_audience="",FALSE,SUMPRODUCT(--ISNUMBER(SEARCH(","&amp;TRIM(TEXTSPLIT(AW112,","))&amp;",",","&amp;SUBSTITUTE(input_audience," ","")&amp;",")))&gt;0)),IF(AY112="",TRUE,IF(input_audience="",FALSE,SUMPRODUCT(--ISNUMBER(SEARCH(","&amp;TRIM(TEXTSPLIT(AY112,","))&amp;",",","&amp;SUBSTITUTE(input_audience," ","")&amp;",")))=COUNTA(TEXTSPLIT(AY112,",")))))</f>
        <v/>
      </c>
      <c r="IX112">
        <f>AND(IF(BA112="",TRUE,IF(input_challenge_opportunities="",FALSE,SUMPRODUCT(--ISNUMBER(SEARCH(","&amp;TRIM(TEXTSPLIT(BA112,","))&amp;",",","&amp;SUBSTITUTE(input_challenge_opportunities," ","")&amp;",")))&gt;0)),IF(BC112="",TRUE,IF(input_challenge_opportunities="",FALSE,SUMPRODUCT(--ISNUMBER(SEARCH(","&amp;TRIM(TEXTSPLIT(BC112,","))&amp;",",","&amp;SUBSTITUTE(input_challenge_opportunities," ","")&amp;",")))=COUNTA(TEXTSPLIT(BC112,",")))),IF(BE112="",TRUE,IF(input_challenge_opportunities="",TRUE,SUMPRODUCT(--ISNUMBER(SEARCH(","&amp;TRIM(TEXTSPLIT(BE112,","))&amp;",",","&amp;SUBSTITUTE(input_challenge_opportunities," ","")&amp;",")))=0)),IF(BG112="",TRUE,IF(input_challenge_opportunities="",FALSE,SUMPRODUCT(--ISNUMBER(SEARCH(","&amp;TRIM(TEXTSPLIT(BG112,","))&amp;",",","&amp;SUBSTITUTE(input_challenge_opportunities," ","")&amp;",")))&gt;0)),IF(BI112="",TRUE,IF(input_challenge_opportunities="",FALSE,SUMPRODUCT(--ISNUMBER(SEARCH(","&amp;TRIM(TEXTSPLIT(BI112,","))&amp;",",","&amp;SUBSTITUTE(input_challenge_opportunities," ","")&amp;",")))=COUNTA(TEXTSPLIT(BI112,",")))))</f>
        <v/>
      </c>
      <c r="IY112">
        <f>AND(IF(BK112="",TRUE,IF(input_context="",FALSE,SUMPRODUCT(--ISNUMBER(SEARCH(","&amp;TRIM(TEXTSPLIT(BK112,","))&amp;",",","&amp;SUBSTITUTE(input_context," ","")&amp;",")))&gt;0)),IF(BM112="",TRUE,IF(input_context="",FALSE,SUMPRODUCT(--ISNUMBER(SEARCH(","&amp;TRIM(TEXTSPLIT(BM112,","))&amp;",",","&amp;SUBSTITUTE(input_context," ","")&amp;",")))=COUNTA(TEXTSPLIT(BM112,",")))),IF(BO112="",TRUE,IF(input_context="",TRUE,SUMPRODUCT(--ISNUMBER(SEARCH(","&amp;TRIM(TEXTSPLIT(BO112,","))&amp;",",","&amp;SUBSTITUTE(input_context," ","")&amp;",")))=0)),IF(BQ112="",TRUE,IF(input_context="",FALSE,SUMPRODUCT(--ISNUMBER(SEARCH(","&amp;TRIM(TEXTSPLIT(BQ112,","))&amp;",",","&amp;SUBSTITUTE(input_context," ","")&amp;",")))&gt;0)),IF(BS112="",TRUE,IF(input_context="",FALSE,SUMPRODUCT(--ISNUMBER(SEARCH(","&amp;TRIM(TEXTSPLIT(BS112,","))&amp;",",","&amp;SUBSTITUTE(input_context," ","")&amp;",")))=COUNTA(TEXTSPLIT(BS112,",")))))</f>
        <v/>
      </c>
      <c r="IZ112">
        <f>AND(IF(BU112="",TRUE,IF(input_enews_announcement_type="",FALSE,SUMPRODUCT(--ISNUMBER(SEARCH(","&amp;TRIM(TEXTSPLIT(BU112,","))&amp;",",","&amp;SUBSTITUTE(input_enews_announcement_type," ","")&amp;",")))&gt;0)),IF(BW112="",TRUE,IF(input_enews_announcement_type="",FALSE,SUMPRODUCT(--ISNUMBER(SEARCH(","&amp;TRIM(TEXTSPLIT(BW112,","))&amp;",",","&amp;SUBSTITUTE(input_enews_announcement_type," ","")&amp;",")))=COUNTA(TEXTSPLIT(BW112,",")))),IF(BY112="",TRUE,IF(input_enews_announcement_type="",TRUE,SUMPRODUCT(--ISNUMBER(SEARCH(","&amp;TRIM(TEXTSPLIT(BY112,","))&amp;",",","&amp;SUBSTITUTE(input_enews_announcement_type," ","")&amp;",")))=0)),IF(CA112="",TRUE,IF(input_enews_announcement_type="",FALSE,SUMPRODUCT(--ISNUMBER(SEARCH(","&amp;TRIM(TEXTSPLIT(CA112,","))&amp;",",","&amp;SUBSTITUTE(input_enews_announcement_type," ","")&amp;",")))&gt;0)),IF(CC112="",TRUE,IF(input_enews_announcement_type="",FALSE,SUMPRODUCT(--ISNUMBER(SEARCH(","&amp;TRIM(TEXTSPLIT(CC112,","))&amp;",",","&amp;SUBSTITUTE(input_enews_announcement_type," ","")&amp;",")))=COUNTA(TEXTSPLIT(CC112,",")))))</f>
        <v/>
      </c>
      <c r="JA112">
        <f>AND(IF(CE112="",TRUE,IF(input_enews_audience="",FALSE,SUMPRODUCT(--ISNUMBER(SEARCH(","&amp;TRIM(TEXTSPLIT(CE112,","))&amp;",",","&amp;SUBSTITUTE(input_enews_audience," ","")&amp;",")))&gt;0)),IF(CG112="",TRUE,IF(input_enews_audience="",FALSE,SUMPRODUCT(--ISNUMBER(SEARCH(","&amp;TRIM(TEXTSPLIT(CG112,","))&amp;",",","&amp;SUBSTITUTE(input_enews_audience," ","")&amp;",")))=COUNTA(TEXTSPLIT(CG112,",")))),IF(CI112="",TRUE,IF(input_enews_audience="",TRUE,SUMPRODUCT(--ISNUMBER(SEARCH(","&amp;TRIM(TEXTSPLIT(CI112,","))&amp;",",","&amp;SUBSTITUTE(input_enews_audience," ","")&amp;",")))=0)),IF(CK112="",TRUE,IF(input_enews_audience="",FALSE,SUMPRODUCT(--ISNUMBER(SEARCH(","&amp;TRIM(TEXTSPLIT(CK112,","))&amp;",",","&amp;SUBSTITUTE(input_enews_audience," ","")&amp;",")))&gt;0)),IF(CM112="",TRUE,IF(input_enews_audience="",FALSE,SUMPRODUCT(--ISNUMBER(SEARCH(","&amp;TRIM(TEXTSPLIT(CM112,","))&amp;",",","&amp;SUBSTITUTE(input_enews_audience," ","")&amp;",")))=COUNTA(TEXTSPLIT(CM112,",")))))</f>
        <v/>
      </c>
      <c r="JB112">
        <f>AND(IF(CO112="",TRUE,IF(input_event_location="",FALSE,SUMPRODUCT(--ISNUMBER(SEARCH(","&amp;TRIM(TEXTSPLIT(CO112,","))&amp;",",","&amp;SUBSTITUTE(input_event_location," ","")&amp;",")))&gt;0)),IF(CQ112="",TRUE,IF(input_event_location="",FALSE,SUMPRODUCT(--ISNUMBER(SEARCH(","&amp;TRIM(TEXTSPLIT(CQ112,","))&amp;",",","&amp;SUBSTITUTE(input_event_location," ","")&amp;",")))=COUNTA(TEXTSPLIT(CQ112,",")))),IF(CS112="",TRUE,IF(input_event_location="",TRUE,SUMPRODUCT(--ISNUMBER(SEARCH(","&amp;TRIM(TEXTSPLIT(CS112,","))&amp;",",","&amp;SUBSTITUTE(input_event_location," ","")&amp;",")))=0)),IF(CU112="",TRUE,IF(input_event_location="",FALSE,SUMPRODUCT(--ISNUMBER(SEARCH(","&amp;TRIM(TEXTSPLIT(CU112,","))&amp;",",","&amp;SUBSTITUTE(input_event_location," ","")&amp;",")))&gt;0)),IF(CW112="",TRUE,IF(input_event_location="",FALSE,SUMPRODUCT(--ISNUMBER(SEARCH(","&amp;TRIM(TEXTSPLIT(CW112,","))&amp;",",","&amp;SUBSTITUTE(input_event_location," ","")&amp;",")))=COUNTA(TEXTSPLIT(CW112,",")))))</f>
        <v/>
      </c>
      <c r="JC112">
        <f>AND(IF(CY112="",TRUE,IF(input_event_type="",FALSE,SUMPRODUCT(--ISNUMBER(SEARCH(","&amp;TRIM(TEXTSPLIT(CY112,","))&amp;",",","&amp;SUBSTITUTE(input_event_type," ","")&amp;",")))&gt;0)),IF(DA112="",TRUE,IF(input_event_type="",FALSE,SUMPRODUCT(--ISNUMBER(SEARCH(","&amp;TRIM(TEXTSPLIT(DA112,","))&amp;",",","&amp;SUBSTITUTE(input_event_type," ","")&amp;",")))=COUNTA(TEXTSPLIT(DA112,",")))),IF(DC112="",TRUE,IF(input_event_type="",TRUE,SUMPRODUCT(--ISNUMBER(SEARCH(","&amp;TRIM(TEXTSPLIT(DC112,","))&amp;",",","&amp;SUBSTITUTE(input_event_type," ","")&amp;",")))=0)),IF(DE112="",TRUE,IF(input_event_type="",FALSE,SUMPRODUCT(--ISNUMBER(SEARCH(","&amp;TRIM(TEXTSPLIT(DE112,","))&amp;",",","&amp;SUBSTITUTE(input_event_type," ","")&amp;",")))&gt;0)),IF(DG112="",TRUE,IF(input_event_type="",FALSE,SUMPRODUCT(--ISNUMBER(SEARCH(","&amp;TRIM(TEXTSPLIT(DG112,","))&amp;",",","&amp;SUBSTITUTE(input_event_type," ","")&amp;",")))=COUNTA(TEXTSPLIT(DG112,",")))))</f>
        <v/>
      </c>
      <c r="JD112">
        <f>AND(IF(DI112="",TRUE,IF(input_executive_education_focus="",FALSE,SUMPRODUCT(--ISNUMBER(SEARCH(","&amp;TRIM(TEXTSPLIT(DI112,","))&amp;",",","&amp;SUBSTITUTE(input_executive_education_focus," ","")&amp;",")))&gt;0)),IF(DK112="",TRUE,IF(input_executive_education_focus="",FALSE,SUMPRODUCT(--ISNUMBER(SEARCH(","&amp;TRIM(TEXTSPLIT(DK112,","))&amp;",",","&amp;SUBSTITUTE(input_executive_education_focus," ","")&amp;",")))=COUNTA(TEXTSPLIT(DK112,",")))),IF(DM112="",TRUE,IF(input_executive_education_focus="",TRUE,SUMPRODUCT(--ISNUMBER(SEARCH(","&amp;TRIM(TEXTSPLIT(DM112,","))&amp;",",","&amp;SUBSTITUTE(input_executive_education_focus," ","")&amp;",")))=0)),IF(DO112="",TRUE,IF(input_executive_education_focus="",FALSE,SUMPRODUCT(--ISNUMBER(SEARCH(","&amp;TRIM(TEXTSPLIT(DO112,","))&amp;",",","&amp;SUBSTITUTE(input_executive_education_focus," ","")&amp;",")))&gt;0)),IF(DQ112="",TRUE,IF(input_executive_education_focus="",FALSE,SUMPRODUCT(--ISNUMBER(SEARCH(","&amp;TRIM(TEXTSPLIT(DQ112,","))&amp;",",","&amp;SUBSTITUTE(input_executive_education_focus," ","")&amp;",")))=COUNTA(TEXTSPLIT(DQ112,",")))))</f>
        <v/>
      </c>
      <c r="JE112">
        <f>AND(IF(DS112="",TRUE,IF(input_faculty_category="",FALSE,SUMPRODUCT(--ISNUMBER(SEARCH(","&amp;TRIM(TEXTSPLIT(DS112,","))&amp;",",","&amp;SUBSTITUTE(input_faculty_category," ","")&amp;",")))&gt;0)),IF(DU112="",TRUE,IF(input_faculty_category="",FALSE,SUMPRODUCT(--ISNUMBER(SEARCH(","&amp;TRIM(TEXTSPLIT(DU112,","))&amp;",",","&amp;SUBSTITUTE(input_faculty_category," ","")&amp;",")))=COUNTA(TEXTSPLIT(DU112,",")))),IF(DW112="",TRUE,IF(input_faculty_category="",TRUE,SUMPRODUCT(--ISNUMBER(SEARCH(","&amp;TRIM(TEXTSPLIT(DW112,","))&amp;",",","&amp;SUBSTITUTE(input_faculty_category," ","")&amp;",")))=0)),IF(DY112="",TRUE,IF(input_faculty_category="",FALSE,SUMPRODUCT(--ISNUMBER(SEARCH(","&amp;TRIM(TEXTSPLIT(DY112,","))&amp;",",","&amp;SUBSTITUTE(input_faculty_category," ","")&amp;",")))&gt;0)),IF(EA112="",TRUE,IF(input_faculty_category="",FALSE,SUMPRODUCT(--ISNUMBER(SEARCH(","&amp;TRIM(TEXTSPLIT(EA112,","))&amp;",",","&amp;SUBSTITUTE(input_faculty_category," ","")&amp;",")))=COUNTA(TEXTSPLIT(EA112,",")))))</f>
        <v/>
      </c>
      <c r="JF112">
        <f>AND(IF(EC112="",TRUE,IF(input_faculty_discipline="",FALSE,SUMPRODUCT(--ISNUMBER(SEARCH(","&amp;TRIM(TEXTSPLIT(EC112,","))&amp;",",","&amp;SUBSTITUTE(input_faculty_discipline," ","")&amp;",")))&gt;0)),IF(EE112="",TRUE,IF(input_faculty_discipline="",FALSE,SUMPRODUCT(--ISNUMBER(SEARCH(","&amp;TRIM(TEXTSPLIT(EE112,","))&amp;",",","&amp;SUBSTITUTE(input_faculty_discipline," ","")&amp;",")))=COUNTA(TEXTSPLIT(EE112,",")))),IF(EG112="",TRUE,IF(input_faculty_discipline="",TRUE,SUMPRODUCT(--ISNUMBER(SEARCH(","&amp;TRIM(TEXTSPLIT(EG112,","))&amp;",",","&amp;SUBSTITUTE(input_faculty_discipline," ","")&amp;",")))=0)),IF(EI112="",TRUE,IF(input_faculty_discipline="",FALSE,SUMPRODUCT(--ISNUMBER(SEARCH(","&amp;TRIM(TEXTSPLIT(EI112,","))&amp;",",","&amp;SUBSTITUTE(input_faculty_discipline," ","")&amp;",")))&gt;0)),IF(EK112="",TRUE,IF(input_faculty_discipline="",FALSE,SUMPRODUCT(--ISNUMBER(SEARCH(","&amp;TRIM(TEXTSPLIT(EK112,","))&amp;",",","&amp;SUBSTITUTE(input_faculty_discipline," ","")&amp;",")))=COUNTA(TEXTSPLIT(EK112,",")))))</f>
        <v/>
      </c>
      <c r="JG112">
        <f>AND(IF(EM112="",TRUE,IF(input_faculty_expertise="",FALSE,SUMPRODUCT(--ISNUMBER(SEARCH(","&amp;TRIM(TEXTSPLIT(EM112,","))&amp;",",","&amp;SUBSTITUTE(input_faculty_expertise," ","")&amp;",")))&gt;0)),IF(EO112="",TRUE,IF(input_faculty_expertise="",FALSE,SUMPRODUCT(--ISNUMBER(SEARCH(","&amp;TRIM(TEXTSPLIT(EO112,","))&amp;",",","&amp;SUBSTITUTE(input_faculty_expertise," ","")&amp;",")))=COUNTA(TEXTSPLIT(EO112,",")))),IF(EQ112="",TRUE,IF(input_faculty_expertise="",TRUE,SUMPRODUCT(--ISNUMBER(SEARCH(","&amp;TRIM(TEXTSPLIT(EQ112,","))&amp;",",","&amp;SUBSTITUTE(input_faculty_expertise," ","")&amp;",")))=0)),IF(ES112="",TRUE,IF(input_faculty_expertise="",FALSE,SUMPRODUCT(--ISNUMBER(SEARCH(","&amp;TRIM(TEXTSPLIT(ES112,","))&amp;",",","&amp;SUBSTITUTE(input_faculty_expertise," ","")&amp;",")))&gt;0)),IF(EU112="",TRUE,IF(input_faculty_expertise="",FALSE,SUMPRODUCT(--ISNUMBER(SEARCH(","&amp;TRIM(TEXTSPLIT(EU112,","))&amp;",",","&amp;SUBSTITUTE(input_faculty_expertise," ","")&amp;",")))=COUNTA(TEXTSPLIT(EU112,",")))))</f>
        <v/>
      </c>
      <c r="JH112">
        <f>AND(IF(EW112="",TRUE,IF(input_global_network_school="",FALSE,SUMPRODUCT(--ISNUMBER(SEARCH(","&amp;TRIM(TEXTSPLIT(EW112,","))&amp;",",","&amp;SUBSTITUTE(input_global_network_school," ","")&amp;",")))&gt;0)),IF(EY112="",TRUE,IF(input_global_network_school="",FALSE,SUMPRODUCT(--ISNUMBER(SEARCH(","&amp;TRIM(TEXTSPLIT(EY112,","))&amp;",",","&amp;SUBSTITUTE(input_global_network_school," ","")&amp;",")))=COUNTA(TEXTSPLIT(EY112,",")))),IF(FA112="",TRUE,IF(input_global_network_school="",TRUE,SUMPRODUCT(--ISNUMBER(SEARCH(","&amp;TRIM(TEXTSPLIT(FA112,","))&amp;",",","&amp;SUBSTITUTE(input_global_network_school," ","")&amp;",")))=0)),IF(FC112="",TRUE,IF(input_global_network_school="",FALSE,SUMPRODUCT(--ISNUMBER(SEARCH(","&amp;TRIM(TEXTSPLIT(FC112,","))&amp;",",","&amp;SUBSTITUTE(input_global_network_school," ","")&amp;",")))&gt;0)),IF(FE112="",TRUE,IF(input_global_network_school="",FALSE,SUMPRODUCT(--ISNUMBER(SEARCH(","&amp;TRIM(TEXTSPLIT(FE112,","))&amp;",",","&amp;SUBSTITUTE(input_global_network_school," ","")&amp;",")))=COUNTA(TEXTSPLIT(FE112,",")))))</f>
        <v/>
      </c>
      <c r="JI112">
        <f>AND(IF(FG112="",TRUE,IF(input_industry="",FALSE,SUMPRODUCT(--ISNUMBER(SEARCH(","&amp;TRIM(TEXTSPLIT(FG112,","))&amp;",",","&amp;SUBSTITUTE(input_industry," ","")&amp;",")))&gt;0)),IF(FI112="",TRUE,IF(input_industry="",FALSE,SUMPRODUCT(--ISNUMBER(SEARCH(","&amp;TRIM(TEXTSPLIT(FI112,","))&amp;",",","&amp;SUBSTITUTE(input_industry," ","")&amp;",")))=COUNTA(TEXTSPLIT(FI112,",")))),IF(FK112="",TRUE,IF(input_industry="",TRUE,SUMPRODUCT(--ISNUMBER(SEARCH(","&amp;TRIM(TEXTSPLIT(FK112,","))&amp;",",","&amp;SUBSTITUTE(input_industry," ","")&amp;",")))=0)),IF(FM112="",TRUE,IF(input_industry="",FALSE,SUMPRODUCT(--ISNUMBER(SEARCH(","&amp;TRIM(TEXTSPLIT(FM112,","))&amp;",",","&amp;SUBSTITUTE(input_industry," ","")&amp;",")))&gt;0)),IF(FO112="",TRUE,IF(input_industry="",FALSE,SUMPRODUCT(--ISNUMBER(SEARCH(","&amp;TRIM(TEXTSPLIT(FO112,","))&amp;",",","&amp;SUBSTITUTE(input_industry," ","")&amp;",")))=COUNTA(TEXTSPLIT(FO112,",")))))</f>
        <v/>
      </c>
      <c r="JJ112">
        <f>AND(IF(FQ112="",TRUE,IF(input_location="",FALSE,SUMPRODUCT(--ISNUMBER(SEARCH(","&amp;TRIM(TEXTSPLIT(FQ112,","))&amp;",",","&amp;SUBSTITUTE(input_location," ","")&amp;",")))&gt;0)),IF(FS112="",TRUE,IF(input_location="",FALSE,SUMPRODUCT(--ISNUMBER(SEARCH(","&amp;TRIM(TEXTSPLIT(FS112,","))&amp;",",","&amp;SUBSTITUTE(input_location," ","")&amp;",")))=COUNTA(TEXTSPLIT(FS112,",")))),IF(FU112="",TRUE,IF(input_location="",TRUE,SUMPRODUCT(--ISNUMBER(SEARCH(","&amp;TRIM(TEXTSPLIT(FU112,","))&amp;",",","&amp;SUBSTITUTE(input_location," ","")&amp;",")))=0)),IF(FW112="",TRUE,IF(input_location="",FALSE,SUMPRODUCT(--ISNUMBER(SEARCH(","&amp;TRIM(TEXTSPLIT(FW112,","))&amp;",",","&amp;SUBSTITUTE(input_location," ","")&amp;",")))&gt;0)),IF(FY112="",TRUE,IF(input_location="",FALSE,SUMPRODUCT(--ISNUMBER(SEARCH(","&amp;TRIM(TEXTSPLIT(FY112,","))&amp;",",","&amp;SUBSTITUTE(input_location," ","")&amp;",")))=COUNTA(TEXTSPLIT(FY112,",")))))</f>
        <v/>
      </c>
      <c r="JK112">
        <f>AND(IF(GA112="",TRUE,IF(input_modality="",FALSE,SUMPRODUCT(--ISNUMBER(SEARCH(","&amp;TRIM(TEXTSPLIT(GA112,","))&amp;",",","&amp;SUBSTITUTE(input_modality," ","")&amp;",")))&gt;0)),IF(GC112="",TRUE,IF(input_modality="",FALSE,SUMPRODUCT(--ISNUMBER(SEARCH(","&amp;TRIM(TEXTSPLIT(GC112,","))&amp;",",","&amp;SUBSTITUTE(input_modality," ","")&amp;",")))=COUNTA(TEXTSPLIT(GC112,",")))),IF(GE112="",TRUE,IF(input_modality="",TRUE,SUMPRODUCT(--ISNUMBER(SEARCH(","&amp;TRIM(TEXTSPLIT(GE112,","))&amp;",",","&amp;SUBSTITUTE(input_modality," ","")&amp;",")))=0)),IF(GG112="",TRUE,IF(input_modality="",FALSE,SUMPRODUCT(--ISNUMBER(SEARCH(","&amp;TRIM(TEXTSPLIT(GG112,","))&amp;",",","&amp;SUBSTITUTE(input_modality," ","")&amp;",")))&gt;0)),IF(GI112="",TRUE,IF(input_modality="",FALSE,SUMPRODUCT(--ISNUMBER(SEARCH(","&amp;TRIM(TEXTSPLIT(GI112,","))&amp;",",","&amp;SUBSTITUTE(input_modality," ","")&amp;",")))=COUNTA(TEXTSPLIT(GI112,",")))))</f>
        <v/>
      </c>
      <c r="JL112">
        <f>AND(IF(GK112="",TRUE,IF(input_organizer="",FALSE,SUMPRODUCT(--ISNUMBER(SEARCH(","&amp;TRIM(TEXTSPLIT(GK112,","))&amp;",",","&amp;SUBSTITUTE(input_organizer," ","")&amp;",")))&gt;0)),IF(GM112="",TRUE,IF(input_organizer="",FALSE,SUMPRODUCT(--ISNUMBER(SEARCH(","&amp;TRIM(TEXTSPLIT(GM112,","))&amp;",",","&amp;SUBSTITUTE(input_organizer," ","")&amp;",")))=COUNTA(TEXTSPLIT(GM112,",")))),IF(GO112="",TRUE,IF(input_organizer="",TRUE,SUMPRODUCT(--ISNUMBER(SEARCH(","&amp;TRIM(TEXTSPLIT(GO112,","))&amp;",",","&amp;SUBSTITUTE(input_organizer," ","")&amp;",")))=0)),IF(GQ112="",TRUE,IF(input_organizer="",FALSE,SUMPRODUCT(--ISNUMBER(SEARCH(","&amp;TRIM(TEXTSPLIT(GQ112,","))&amp;",",","&amp;SUBSTITUTE(input_organizer," ","")&amp;",")))&gt;0)),IF(GS112="",TRUE,IF(input_organizer="",FALSE,SUMPRODUCT(--ISNUMBER(SEARCH(","&amp;TRIM(TEXTSPLIT(GS112,","))&amp;",",","&amp;SUBSTITUTE(input_organizer," ","")&amp;",")))=COUNTA(TEXTSPLIT(GS112,",")))))</f>
        <v/>
      </c>
      <c r="JM112">
        <f>AND(IF(GU112="",TRUE,IF(input_profile_type="",FALSE,SUMPRODUCT(--ISNUMBER(SEARCH(","&amp;TRIM(TEXTSPLIT(GU112,","))&amp;",",","&amp;SUBSTITUTE(input_profile_type," ","")&amp;",")))&gt;0)),IF(GW112="",TRUE,IF(input_profile_type="",FALSE,SUMPRODUCT(--ISNUMBER(SEARCH(","&amp;TRIM(TEXTSPLIT(GW112,","))&amp;",",","&amp;SUBSTITUTE(input_profile_type," ","")&amp;",")))=COUNTA(TEXTSPLIT(GW112,",")))),IF(GY112="",TRUE,IF(input_profile_type="",TRUE,SUMPRODUCT(--ISNUMBER(SEARCH(","&amp;TRIM(TEXTSPLIT(GY112,","))&amp;",",","&amp;SUBSTITUTE(input_profile_type," ","")&amp;",")))=0)),IF(HA112="",TRUE,IF(input_profile_type="",FALSE,SUMPRODUCT(--ISNUMBER(SEARCH(","&amp;TRIM(TEXTSPLIT(HA112,","))&amp;",",","&amp;SUBSTITUTE(input_profile_type," ","")&amp;",")))&gt;0)),IF(HC112="",TRUE,IF(input_profile_type="",FALSE,SUMPRODUCT(--ISNUMBER(SEARCH(","&amp;TRIM(TEXTSPLIT(HC112,","))&amp;",",","&amp;SUBSTITUTE(input_profile_type," ","")&amp;",")))=COUNTA(TEXTSPLIT(HC112,",")))))</f>
        <v/>
      </c>
      <c r="JN112">
        <f>AND(IF(HE112="",TRUE,IF(input_program="",FALSE,SUMPRODUCT(--ISNUMBER(SEARCH(","&amp;TRIM(TEXTSPLIT(HE112,","))&amp;",",","&amp;SUBSTITUTE(input_program," ","")&amp;",")))&gt;0)),IF(HG112="",TRUE,IF(input_program="",FALSE,SUMPRODUCT(--ISNUMBER(SEARCH(","&amp;TRIM(TEXTSPLIT(HG112,","))&amp;",",","&amp;SUBSTITUTE(input_program," ","")&amp;",")))=COUNTA(TEXTSPLIT(HG112,",")))),IF(HI112="",TRUE,IF(input_program="",TRUE,SUMPRODUCT(--ISNUMBER(SEARCH(","&amp;TRIM(TEXTSPLIT(HI112,","))&amp;",",","&amp;SUBSTITUTE(input_program," ","")&amp;",")))=0)),IF(HK112="",TRUE,IF(input_program="",FALSE,SUMPRODUCT(--ISNUMBER(SEARCH(","&amp;TRIM(TEXTSPLIT(HK112,","))&amp;",",","&amp;SUBSTITUTE(input_program," ","")&amp;",")))&gt;0)),IF(HM112="",TRUE,IF(input_program="",FALSE,SUMPRODUCT(--ISNUMBER(SEARCH(","&amp;TRIM(TEXTSPLIT(HM112,","))&amp;",",","&amp;SUBSTITUTE(input_program," ","")&amp;",")))=COUNTA(TEXTSPLIT(HM112,",")))))</f>
        <v/>
      </c>
      <c r="JO112">
        <f>AND(IF(HO112="",TRUE,IF(input_story_categories="",FALSE,SUMPRODUCT(--ISNUMBER(SEARCH(","&amp;TRIM(TEXTSPLIT(HO112,","))&amp;",",","&amp;SUBSTITUTE(input_story_categories," ","")&amp;",")))&gt;0)),IF(HQ112="",TRUE,IF(input_story_categories="",FALSE,SUMPRODUCT(--ISNUMBER(SEARCH(","&amp;TRIM(TEXTSPLIT(HQ112,","))&amp;",",","&amp;SUBSTITUTE(input_story_categories," ","")&amp;",")))=COUNTA(TEXTSPLIT(HQ112,",")))),IF(HS112="",TRUE,IF(input_story_categories="",TRUE,SUMPRODUCT(--ISNUMBER(SEARCH(","&amp;TRIM(TEXTSPLIT(HS112,","))&amp;",",","&amp;SUBSTITUTE(input_story_categories," ","")&amp;",")))=0)),IF(HU112="",TRUE,IF(input_story_categories="",FALSE,SUMPRODUCT(--ISNUMBER(SEARCH(","&amp;TRIM(TEXTSPLIT(HU112,","))&amp;",",","&amp;SUBSTITUTE(input_story_categories," ","")&amp;",")))&gt;0)),IF(HW112="",TRUE,IF(input_story_categories="",FALSE,SUMPRODUCT(--ISNUMBER(SEARCH(","&amp;TRIM(TEXTSPLIT(HW112,","))&amp;",",","&amp;SUBSTITUTE(input_story_categories," ","")&amp;",")))=COUNTA(TEXTSPLIT(HW112,",")))))</f>
        <v/>
      </c>
      <c r="JP112">
        <f>AND(IF(HY112="",TRUE,IF(input_story_type="",FALSE,SUMPRODUCT(--ISNUMBER(SEARCH(","&amp;TRIM(TEXTSPLIT(HY112,","))&amp;",",","&amp;SUBSTITUTE(input_story_type," ","")&amp;",")))&gt;0)),IF(IA112="",TRUE,IF(input_story_type="",FALSE,SUMPRODUCT(--ISNUMBER(SEARCH(","&amp;TRIM(TEXTSPLIT(IA112,","))&amp;",",","&amp;SUBSTITUTE(input_story_type," ","")&amp;",")))=COUNTA(TEXTSPLIT(IA112,",")))),IF(IC112="",TRUE,IF(input_story_type="",TRUE,SUMPRODUCT(--ISNUMBER(SEARCH(","&amp;TRIM(TEXTSPLIT(IC112,","))&amp;",",","&amp;SUBSTITUTE(input_story_type," ","")&amp;",")))=0)),IF(IE112="",TRUE,IF(input_story_type="",FALSE,SUMPRODUCT(--ISNUMBER(SEARCH(","&amp;TRIM(TEXTSPLIT(IE112,","))&amp;",",","&amp;SUBSTITUTE(input_story_type," ","")&amp;",")))&gt;0)),IF(IG112="",TRUE,IF(input_story_type="",FALSE,SUMPRODUCT(--ISNUMBER(SEARCH(","&amp;TRIM(TEXTSPLIT(IG112,","))&amp;",",","&amp;SUBSTITUTE(input_story_type," ","")&amp;",")))=COUNTA(TEXTSPLIT(IG112,",")))))</f>
        <v/>
      </c>
      <c r="JQ112">
        <f>AND(IF(II112="",TRUE,IF(input_topics="",FALSE,SUMPRODUCT(--ISNUMBER(SEARCH(","&amp;TRIM(TEXTSPLIT(II112,","))&amp;",",","&amp;SUBSTITUTE(input_topics," ","")&amp;",")))&gt;0)),IF(IK112="",TRUE,IF(input_topics="",FALSE,SUMPRODUCT(--ISNUMBER(SEARCH(","&amp;TRIM(TEXTSPLIT(IK112,","))&amp;",",","&amp;SUBSTITUTE(input_topics," ","")&amp;",")))=COUNTA(TEXTSPLIT(IK112,",")))),IF(IM112="",TRUE,IF(input_topics="",TRUE,SUMPRODUCT(--ISNUMBER(SEARCH(","&amp;TRIM(TEXTSPLIT(IM112,","))&amp;",",","&amp;SUBSTITUTE(input_topics," ","")&amp;",")))=0)),IF(IO112="",TRUE,IF(input_topics="",FALSE,SUMPRODUCT(--ISNUMBER(SEARCH(","&amp;TRIM(TEXTSPLIT(IO112,","))&amp;",",","&amp;SUBSTITUTE(input_topics," ","")&amp;",")))&gt;0)),IF(IQ112="",TRUE,IF(input_topics="",FALSE,SUMPRODUCT(--ISNUMBER(SEARCH(","&amp;TRIM(TEXTSPLIT(IQ112,","))&amp;",",","&amp;SUBSTITUTE(input_topics," ","")&amp;",")))=COUNTA(TEXTSPLIT(IQ112,",")))))</f>
        <v/>
      </c>
    </row>
    <row r="113">
      <c r="A113" s="4">
        <f>IF(NOT(IS113),"Excluded",IF(AND(IT113,IU113,IV113,IW113,IX113,IY113,IZ113,JA113,JB113,JC113,JD113,JE113,JF113,JG113,JH113,JI113,JJ113,JK113,JL113,JM113,JN113,JO113,JP113,JQ113),IF(I113&gt;0,"Eligible but limited","Will appear"),"Excluded"))</f>
        <v/>
      </c>
      <c r="B113" s="4" t="inlineStr">
        <is>
          <t>Following Up</t>
        </is>
      </c>
      <c r="C113" s="4" t="inlineStr">
        <is>
          <t>/about/headlines/following-up</t>
        </is>
      </c>
      <c r="D113" s="4" t="inlineStr">
        <is>
          <t>/about/headlines/following-up</t>
        </is>
      </c>
      <c r="E113" s="4" t="n">
        <v>1</v>
      </c>
      <c r="F113" s="4" t="inlineStr">
        <is>
          <t>story</t>
        </is>
      </c>
      <c r="G113" s="4" t="inlineStr">
        <is>
          <t>stories_list</t>
        </is>
      </c>
      <c r="H113" s="4" t="inlineStr">
        <is>
          <t>embed_1</t>
        </is>
      </c>
      <c r="I113" s="4" t="n">
        <v>10</v>
      </c>
      <c r="J113" s="4" t="inlineStr">
        <is>
          <t>Explicit args</t>
        </is>
      </c>
      <c r="K113" s="4" t="inlineStr">
        <is>
          <t>Page placement</t>
        </is>
      </c>
      <c r="L113" s="4" t="inlineStr">
        <is>
          <t>Content type: story; Context uses Courses Context: Following Up (1175); Limited to 10 item(s); Source: Explicit args</t>
        </is>
      </c>
      <c r="M113" t="inlineStr"/>
      <c r="N113" t="inlineStr"/>
      <c r="O113" t="inlineStr"/>
      <c r="P113" t="inlineStr"/>
      <c r="Q113" t="inlineStr"/>
      <c r="R113" t="inlineStr"/>
      <c r="S113" t="inlineStr"/>
      <c r="T113" t="inlineStr"/>
      <c r="U113" t="inlineStr"/>
      <c r="V113" t="inlineStr"/>
      <c r="W113" t="inlineStr"/>
      <c r="X113" t="inlineStr"/>
      <c r="Y113" t="inlineStr"/>
      <c r="Z113" t="inlineStr"/>
      <c r="AA113" t="inlineStr"/>
      <c r="AB113" t="inlineStr"/>
      <c r="AC113" t="inlineStr"/>
      <c r="AD113" t="inlineStr"/>
      <c r="AE113" t="inlineStr"/>
      <c r="AF113" t="inlineStr"/>
      <c r="AG113" t="inlineStr"/>
      <c r="AH113" t="inlineStr"/>
      <c r="AI113" t="inlineStr"/>
      <c r="AJ113" t="inlineStr"/>
      <c r="AK113" t="inlineStr"/>
      <c r="AL113" t="inlineStr"/>
      <c r="AM113" t="inlineStr"/>
      <c r="AN113" t="inlineStr"/>
      <c r="AO113" t="inlineStr"/>
      <c r="AP113" t="inlineStr"/>
      <c r="AQ113" t="inlineStr"/>
      <c r="AR113" t="inlineStr"/>
      <c r="AS113" t="inlineStr"/>
      <c r="AT113" t="inlineStr"/>
      <c r="AU113" t="inlineStr"/>
      <c r="AV113" t="inlineStr"/>
      <c r="AW113" t="inlineStr"/>
      <c r="AX113" t="inlineStr"/>
      <c r="AY113" t="inlineStr"/>
      <c r="AZ113" t="inlineStr"/>
      <c r="BA113" t="inlineStr"/>
      <c r="BB113" t="inlineStr"/>
      <c r="BC113" t="inlineStr"/>
      <c r="BD113" t="inlineStr"/>
      <c r="BE113" t="inlineStr"/>
      <c r="BF113" t="inlineStr"/>
      <c r="BG113" t="inlineStr"/>
      <c r="BH113" t="inlineStr"/>
      <c r="BI113" t="inlineStr"/>
      <c r="BJ113" t="inlineStr"/>
      <c r="BK113" t="inlineStr"/>
      <c r="BL113" t="inlineStr"/>
      <c r="BM113" t="inlineStr"/>
      <c r="BN113" t="inlineStr"/>
      <c r="BO113" t="inlineStr"/>
      <c r="BP113" t="inlineStr"/>
      <c r="BQ113" t="inlineStr">
        <is>
          <t>1175</t>
        </is>
      </c>
      <c r="BR113" t="inlineStr">
        <is>
          <t>Following Up (1175)</t>
        </is>
      </c>
      <c r="BS113" t="inlineStr"/>
      <c r="BT113" t="inlineStr"/>
      <c r="BU113" t="inlineStr"/>
      <c r="BV113" t="inlineStr"/>
      <c r="BW113" t="inlineStr"/>
      <c r="BX113" t="inlineStr"/>
      <c r="BY113" t="inlineStr"/>
      <c r="BZ113" t="inlineStr"/>
      <c r="CA113" t="inlineStr"/>
      <c r="CB113" t="inlineStr"/>
      <c r="CC113" t="inlineStr"/>
      <c r="CD113" t="inlineStr"/>
      <c r="CE113" t="inlineStr"/>
      <c r="CF113" t="inlineStr"/>
      <c r="CG113" t="inlineStr"/>
      <c r="CH113" t="inlineStr"/>
      <c r="CI113" t="inlineStr"/>
      <c r="CJ113" t="inlineStr"/>
      <c r="CK113" t="inlineStr"/>
      <c r="CL113" t="inlineStr"/>
      <c r="CM113" t="inlineStr"/>
      <c r="CN113" t="inlineStr"/>
      <c r="CO113" t="inlineStr"/>
      <c r="CP113" t="inlineStr"/>
      <c r="CQ113" t="inlineStr"/>
      <c r="CR113" t="inlineStr"/>
      <c r="CS113" t="inlineStr"/>
      <c r="CT113" t="inlineStr"/>
      <c r="CU113" t="inlineStr"/>
      <c r="CV113" t="inlineStr"/>
      <c r="CW113" t="inlineStr"/>
      <c r="CX113" t="inlineStr"/>
      <c r="CY113" t="inlineStr"/>
      <c r="CZ113" t="inlineStr"/>
      <c r="DA113" t="inlineStr"/>
      <c r="DB113" t="inlineStr"/>
      <c r="DC113" t="inlineStr"/>
      <c r="DD113" t="inlineStr"/>
      <c r="DE113" t="inlineStr"/>
      <c r="DF113" t="inlineStr"/>
      <c r="DG113" t="inlineStr"/>
      <c r="DH113" t="inlineStr"/>
      <c r="DI113" t="inlineStr"/>
      <c r="DJ113" t="inlineStr"/>
      <c r="DK113" t="inlineStr"/>
      <c r="DL113" t="inlineStr"/>
      <c r="DM113" t="inlineStr"/>
      <c r="DN113" t="inlineStr"/>
      <c r="DO113" t="inlineStr"/>
      <c r="DP113" t="inlineStr"/>
      <c r="DQ113" t="inlineStr"/>
      <c r="DR113" t="inlineStr"/>
      <c r="DS113" t="inlineStr"/>
      <c r="DT113" t="inlineStr"/>
      <c r="DU113" t="inlineStr"/>
      <c r="DV113" t="inlineStr"/>
      <c r="DW113" t="inlineStr"/>
      <c r="DX113" t="inlineStr"/>
      <c r="DY113" t="inlineStr"/>
      <c r="DZ113" t="inlineStr"/>
      <c r="EA113" t="inlineStr"/>
      <c r="EB113" t="inlineStr"/>
      <c r="EC113" t="inlineStr"/>
      <c r="ED113" t="inlineStr"/>
      <c r="EE113" t="inlineStr"/>
      <c r="EF113" t="inlineStr"/>
      <c r="EG113" t="inlineStr"/>
      <c r="EH113" t="inlineStr"/>
      <c r="EI113" t="inlineStr"/>
      <c r="EJ113" t="inlineStr"/>
      <c r="EK113" t="inlineStr"/>
      <c r="EL113" t="inlineStr"/>
      <c r="EM113" t="inlineStr"/>
      <c r="EN113" t="inlineStr"/>
      <c r="EO113" t="inlineStr"/>
      <c r="EP113" t="inlineStr"/>
      <c r="EQ113" t="inlineStr"/>
      <c r="ER113" t="inlineStr"/>
      <c r="ES113" t="inlineStr"/>
      <c r="ET113" t="inlineStr"/>
      <c r="EU113" t="inlineStr"/>
      <c r="EV113" t="inlineStr"/>
      <c r="EW113" t="inlineStr"/>
      <c r="EX113" t="inlineStr"/>
      <c r="EY113" t="inlineStr"/>
      <c r="EZ113" t="inlineStr"/>
      <c r="FA113" t="inlineStr"/>
      <c r="FB113" t="inlineStr"/>
      <c r="FC113" t="inlineStr"/>
      <c r="FD113" t="inlineStr"/>
      <c r="FE113" t="inlineStr"/>
      <c r="FF113" t="inlineStr"/>
      <c r="FG113" t="inlineStr"/>
      <c r="FH113" t="inlineStr"/>
      <c r="FI113" t="inlineStr"/>
      <c r="FJ113" t="inlineStr"/>
      <c r="FK113" t="inlineStr"/>
      <c r="FL113" t="inlineStr"/>
      <c r="FM113" t="inlineStr"/>
      <c r="FN113" t="inlineStr"/>
      <c r="FO113" t="inlineStr"/>
      <c r="FP113" t="inlineStr"/>
      <c r="FQ113" t="inlineStr"/>
      <c r="FR113" t="inlineStr"/>
      <c r="FS113" t="inlineStr"/>
      <c r="FT113" t="inlineStr"/>
      <c r="FU113" t="inlineStr"/>
      <c r="FV113" t="inlineStr"/>
      <c r="FW113" t="inlineStr"/>
      <c r="FX113" t="inlineStr"/>
      <c r="FY113" t="inlineStr"/>
      <c r="FZ113" t="inlineStr"/>
      <c r="GA113" t="inlineStr"/>
      <c r="GB113" t="inlineStr"/>
      <c r="GC113" t="inlineStr"/>
      <c r="GD113" t="inlineStr"/>
      <c r="GE113" t="inlineStr"/>
      <c r="GF113" t="inlineStr"/>
      <c r="GG113" t="inlineStr"/>
      <c r="GH113" t="inlineStr"/>
      <c r="GI113" t="inlineStr"/>
      <c r="GJ113" t="inlineStr"/>
      <c r="GK113" t="inlineStr"/>
      <c r="GL113" t="inlineStr"/>
      <c r="GM113" t="inlineStr"/>
      <c r="GN113" t="inlineStr"/>
      <c r="GO113" t="inlineStr"/>
      <c r="GP113" t="inlineStr"/>
      <c r="GQ113" t="inlineStr"/>
      <c r="GR113" t="inlineStr"/>
      <c r="GS113" t="inlineStr"/>
      <c r="GT113" t="inlineStr"/>
      <c r="GU113" t="inlineStr"/>
      <c r="GV113" t="inlineStr"/>
      <c r="GW113" t="inlineStr"/>
      <c r="GX113" t="inlineStr"/>
      <c r="GY113" t="inlineStr"/>
      <c r="GZ113" t="inlineStr"/>
      <c r="HA113" t="inlineStr"/>
      <c r="HB113" t="inlineStr"/>
      <c r="HC113" t="inlineStr"/>
      <c r="HD113" t="inlineStr"/>
      <c r="HE113" t="inlineStr"/>
      <c r="HF113" t="inlineStr"/>
      <c r="HG113" t="inlineStr"/>
      <c r="HH113" t="inlineStr"/>
      <c r="HI113" t="inlineStr"/>
      <c r="HJ113" t="inlineStr"/>
      <c r="HK113" t="inlineStr"/>
      <c r="HL113" t="inlineStr"/>
      <c r="HM113" t="inlineStr"/>
      <c r="HN113" t="inlineStr"/>
      <c r="HO113" t="inlineStr"/>
      <c r="HP113" t="inlineStr"/>
      <c r="HQ113" t="inlineStr"/>
      <c r="HR113" t="inlineStr"/>
      <c r="HS113" t="inlineStr"/>
      <c r="HT113" t="inlineStr"/>
      <c r="HU113" t="inlineStr"/>
      <c r="HV113" t="inlineStr"/>
      <c r="HW113" t="inlineStr"/>
      <c r="HX113" t="inlineStr"/>
      <c r="HY113" t="inlineStr"/>
      <c r="HZ113" t="inlineStr"/>
      <c r="IA113" t="inlineStr"/>
      <c r="IB113" t="inlineStr"/>
      <c r="IC113" t="inlineStr"/>
      <c r="ID113" t="inlineStr"/>
      <c r="IE113" t="inlineStr"/>
      <c r="IF113" t="inlineStr"/>
      <c r="IG113" t="inlineStr"/>
      <c r="IH113" t="inlineStr"/>
      <c r="II113" t="inlineStr"/>
      <c r="IJ113" t="inlineStr"/>
      <c r="IK113" t="inlineStr"/>
      <c r="IL113" t="inlineStr"/>
      <c r="IM113" t="inlineStr"/>
      <c r="IN113" t="inlineStr"/>
      <c r="IO113" t="inlineStr"/>
      <c r="IP113" t="inlineStr"/>
      <c r="IQ113" t="inlineStr"/>
      <c r="IR113" t="inlineStr"/>
      <c r="IS113">
        <f>IF(input_content_type="",FALSE,ISNUMBER(SEARCH(","&amp;LOWER(input_content_type)&amp;",",","&amp;LOWER(F113)&amp;",")))</f>
        <v/>
      </c>
      <c r="IT113">
        <f>AND(IF(M113="",TRUE,IF(input_affiliations="",FALSE,SUMPRODUCT(--ISNUMBER(SEARCH(","&amp;TRIM(TEXTSPLIT(M113,","))&amp;",",","&amp;SUBSTITUTE(input_affiliations," ","")&amp;",")))&gt;0)),IF(O113="",TRUE,IF(input_affiliations="",FALSE,SUMPRODUCT(--ISNUMBER(SEARCH(","&amp;TRIM(TEXTSPLIT(O113,","))&amp;",",","&amp;SUBSTITUTE(input_affiliations," ","")&amp;",")))=COUNTA(TEXTSPLIT(O113,",")))),IF(Q113="",TRUE,IF(input_affiliations="",TRUE,SUMPRODUCT(--ISNUMBER(SEARCH(","&amp;TRIM(TEXTSPLIT(Q113,","))&amp;",",","&amp;SUBSTITUTE(input_affiliations," ","")&amp;",")))=0)),IF(S113="",TRUE,IF(input_affiliations="",FALSE,SUMPRODUCT(--ISNUMBER(SEARCH(","&amp;TRIM(TEXTSPLIT(S113,","))&amp;",",","&amp;SUBSTITUTE(input_affiliations," ","")&amp;",")))&gt;0)),IF(U113="",TRUE,IF(input_affiliations="",FALSE,SUMPRODUCT(--ISNUMBER(SEARCH(","&amp;TRIM(TEXTSPLIT(U113,","))&amp;",",","&amp;SUBSTITUTE(input_affiliations," ","")&amp;",")))=COUNTA(TEXTSPLIT(U113,",")))))</f>
        <v/>
      </c>
      <c r="IU113">
        <f>AND(IF(W113="",TRUE,IF(input_announcement_category="",FALSE,SUMPRODUCT(--ISNUMBER(SEARCH(","&amp;TRIM(TEXTSPLIT(W113,","))&amp;",",","&amp;SUBSTITUTE(input_announcement_category," ","")&amp;",")))&gt;0)),IF(Y113="",TRUE,IF(input_announcement_category="",FALSE,SUMPRODUCT(--ISNUMBER(SEARCH(","&amp;TRIM(TEXTSPLIT(Y113,","))&amp;",",","&amp;SUBSTITUTE(input_announcement_category," ","")&amp;",")))=COUNTA(TEXTSPLIT(Y113,",")))),IF(AA113="",TRUE,IF(input_announcement_category="",TRUE,SUMPRODUCT(--ISNUMBER(SEARCH(","&amp;TRIM(TEXTSPLIT(AA113,","))&amp;",",","&amp;SUBSTITUTE(input_announcement_category," ","")&amp;",")))=0)),IF(AC113="",TRUE,IF(input_announcement_category="",FALSE,SUMPRODUCT(--ISNUMBER(SEARCH(","&amp;TRIM(TEXTSPLIT(AC113,","))&amp;",",","&amp;SUBSTITUTE(input_announcement_category," ","")&amp;",")))&gt;0)),IF(AE113="",TRUE,IF(input_announcement_category="",FALSE,SUMPRODUCT(--ISNUMBER(SEARCH(","&amp;TRIM(TEXTSPLIT(AE113,","))&amp;",",","&amp;SUBSTITUTE(input_announcement_category," ","")&amp;",")))=COUNTA(TEXTSPLIT(AE113,",")))))</f>
        <v/>
      </c>
      <c r="IV113">
        <f>AND(IF(AG113="",TRUE,IF(input_area_of_focus="",FALSE,SUMPRODUCT(--ISNUMBER(SEARCH(","&amp;TRIM(TEXTSPLIT(AG113,","))&amp;",",","&amp;SUBSTITUTE(input_area_of_focus," ","")&amp;",")))&gt;0)),IF(AI113="",TRUE,IF(input_area_of_focus="",FALSE,SUMPRODUCT(--ISNUMBER(SEARCH(","&amp;TRIM(TEXTSPLIT(AI113,","))&amp;",",","&amp;SUBSTITUTE(input_area_of_focus," ","")&amp;",")))=COUNTA(TEXTSPLIT(AI113,",")))),IF(AK113="",TRUE,IF(input_area_of_focus="",TRUE,SUMPRODUCT(--ISNUMBER(SEARCH(","&amp;TRIM(TEXTSPLIT(AK113,","))&amp;",",","&amp;SUBSTITUTE(input_area_of_focus," ","")&amp;",")))=0)),IF(AM113="",TRUE,IF(input_area_of_focus="",FALSE,SUMPRODUCT(--ISNUMBER(SEARCH(","&amp;TRIM(TEXTSPLIT(AM113,","))&amp;",",","&amp;SUBSTITUTE(input_area_of_focus," ","")&amp;",")))&gt;0)),IF(AO113="",TRUE,IF(input_area_of_focus="",FALSE,SUMPRODUCT(--ISNUMBER(SEARCH(","&amp;TRIM(TEXTSPLIT(AO113,","))&amp;",",","&amp;SUBSTITUTE(input_area_of_focus," ","")&amp;",")))=COUNTA(TEXTSPLIT(AO113,",")))))</f>
        <v/>
      </c>
      <c r="IW113">
        <f>AND(IF(AQ113="",TRUE,IF(input_audience="",FALSE,SUMPRODUCT(--ISNUMBER(SEARCH(","&amp;TRIM(TEXTSPLIT(AQ113,","))&amp;",",","&amp;SUBSTITUTE(input_audience," ","")&amp;",")))&gt;0)),IF(AS113="",TRUE,IF(input_audience="",FALSE,SUMPRODUCT(--ISNUMBER(SEARCH(","&amp;TRIM(TEXTSPLIT(AS113,","))&amp;",",","&amp;SUBSTITUTE(input_audience," ","")&amp;",")))=COUNTA(TEXTSPLIT(AS113,",")))),IF(AU113="",TRUE,IF(input_audience="",TRUE,SUMPRODUCT(--ISNUMBER(SEARCH(","&amp;TRIM(TEXTSPLIT(AU113,","))&amp;",",","&amp;SUBSTITUTE(input_audience," ","")&amp;",")))=0)),IF(AW113="",TRUE,IF(input_audience="",FALSE,SUMPRODUCT(--ISNUMBER(SEARCH(","&amp;TRIM(TEXTSPLIT(AW113,","))&amp;",",","&amp;SUBSTITUTE(input_audience," ","")&amp;",")))&gt;0)),IF(AY113="",TRUE,IF(input_audience="",FALSE,SUMPRODUCT(--ISNUMBER(SEARCH(","&amp;TRIM(TEXTSPLIT(AY113,","))&amp;",",","&amp;SUBSTITUTE(input_audience," ","")&amp;",")))=COUNTA(TEXTSPLIT(AY113,",")))))</f>
        <v/>
      </c>
      <c r="IX113">
        <f>AND(IF(BA113="",TRUE,IF(input_challenge_opportunities="",FALSE,SUMPRODUCT(--ISNUMBER(SEARCH(","&amp;TRIM(TEXTSPLIT(BA113,","))&amp;",",","&amp;SUBSTITUTE(input_challenge_opportunities," ","")&amp;",")))&gt;0)),IF(BC113="",TRUE,IF(input_challenge_opportunities="",FALSE,SUMPRODUCT(--ISNUMBER(SEARCH(","&amp;TRIM(TEXTSPLIT(BC113,","))&amp;",",","&amp;SUBSTITUTE(input_challenge_opportunities," ","")&amp;",")))=COUNTA(TEXTSPLIT(BC113,",")))),IF(BE113="",TRUE,IF(input_challenge_opportunities="",TRUE,SUMPRODUCT(--ISNUMBER(SEARCH(","&amp;TRIM(TEXTSPLIT(BE113,","))&amp;",",","&amp;SUBSTITUTE(input_challenge_opportunities," ","")&amp;",")))=0)),IF(BG113="",TRUE,IF(input_challenge_opportunities="",FALSE,SUMPRODUCT(--ISNUMBER(SEARCH(","&amp;TRIM(TEXTSPLIT(BG113,","))&amp;",",","&amp;SUBSTITUTE(input_challenge_opportunities," ","")&amp;",")))&gt;0)),IF(BI113="",TRUE,IF(input_challenge_opportunities="",FALSE,SUMPRODUCT(--ISNUMBER(SEARCH(","&amp;TRIM(TEXTSPLIT(BI113,","))&amp;",",","&amp;SUBSTITUTE(input_challenge_opportunities," ","")&amp;",")))=COUNTA(TEXTSPLIT(BI113,",")))))</f>
        <v/>
      </c>
      <c r="IY113">
        <f>AND(IF(BK113="",TRUE,IF(input_context="",FALSE,SUMPRODUCT(--ISNUMBER(SEARCH(","&amp;TRIM(TEXTSPLIT(BK113,","))&amp;",",","&amp;SUBSTITUTE(input_context," ","")&amp;",")))&gt;0)),IF(BM113="",TRUE,IF(input_context="",FALSE,SUMPRODUCT(--ISNUMBER(SEARCH(","&amp;TRIM(TEXTSPLIT(BM113,","))&amp;",",","&amp;SUBSTITUTE(input_context," ","")&amp;",")))=COUNTA(TEXTSPLIT(BM113,",")))),IF(BO113="",TRUE,IF(input_context="",TRUE,SUMPRODUCT(--ISNUMBER(SEARCH(","&amp;TRIM(TEXTSPLIT(BO113,","))&amp;",",","&amp;SUBSTITUTE(input_context," ","")&amp;",")))=0)),IF(BQ113="",TRUE,IF(input_context="",FALSE,SUMPRODUCT(--ISNUMBER(SEARCH(","&amp;TRIM(TEXTSPLIT(BQ113,","))&amp;",",","&amp;SUBSTITUTE(input_context," ","")&amp;",")))&gt;0)),IF(BS113="",TRUE,IF(input_context="",FALSE,SUMPRODUCT(--ISNUMBER(SEARCH(","&amp;TRIM(TEXTSPLIT(BS113,","))&amp;",",","&amp;SUBSTITUTE(input_context," ","")&amp;",")))=COUNTA(TEXTSPLIT(BS113,",")))))</f>
        <v/>
      </c>
      <c r="IZ113">
        <f>AND(IF(BU113="",TRUE,IF(input_enews_announcement_type="",FALSE,SUMPRODUCT(--ISNUMBER(SEARCH(","&amp;TRIM(TEXTSPLIT(BU113,","))&amp;",",","&amp;SUBSTITUTE(input_enews_announcement_type," ","")&amp;",")))&gt;0)),IF(BW113="",TRUE,IF(input_enews_announcement_type="",FALSE,SUMPRODUCT(--ISNUMBER(SEARCH(","&amp;TRIM(TEXTSPLIT(BW113,","))&amp;",",","&amp;SUBSTITUTE(input_enews_announcement_type," ","")&amp;",")))=COUNTA(TEXTSPLIT(BW113,",")))),IF(BY113="",TRUE,IF(input_enews_announcement_type="",TRUE,SUMPRODUCT(--ISNUMBER(SEARCH(","&amp;TRIM(TEXTSPLIT(BY113,","))&amp;",",","&amp;SUBSTITUTE(input_enews_announcement_type," ","")&amp;",")))=0)),IF(CA113="",TRUE,IF(input_enews_announcement_type="",FALSE,SUMPRODUCT(--ISNUMBER(SEARCH(","&amp;TRIM(TEXTSPLIT(CA113,","))&amp;",",","&amp;SUBSTITUTE(input_enews_announcement_type," ","")&amp;",")))&gt;0)),IF(CC113="",TRUE,IF(input_enews_announcement_type="",FALSE,SUMPRODUCT(--ISNUMBER(SEARCH(","&amp;TRIM(TEXTSPLIT(CC113,","))&amp;",",","&amp;SUBSTITUTE(input_enews_announcement_type," ","")&amp;",")))=COUNTA(TEXTSPLIT(CC113,",")))))</f>
        <v/>
      </c>
      <c r="JA113">
        <f>AND(IF(CE113="",TRUE,IF(input_enews_audience="",FALSE,SUMPRODUCT(--ISNUMBER(SEARCH(","&amp;TRIM(TEXTSPLIT(CE113,","))&amp;",",","&amp;SUBSTITUTE(input_enews_audience," ","")&amp;",")))&gt;0)),IF(CG113="",TRUE,IF(input_enews_audience="",FALSE,SUMPRODUCT(--ISNUMBER(SEARCH(","&amp;TRIM(TEXTSPLIT(CG113,","))&amp;",",","&amp;SUBSTITUTE(input_enews_audience," ","")&amp;",")))=COUNTA(TEXTSPLIT(CG113,",")))),IF(CI113="",TRUE,IF(input_enews_audience="",TRUE,SUMPRODUCT(--ISNUMBER(SEARCH(","&amp;TRIM(TEXTSPLIT(CI113,","))&amp;",",","&amp;SUBSTITUTE(input_enews_audience," ","")&amp;",")))=0)),IF(CK113="",TRUE,IF(input_enews_audience="",FALSE,SUMPRODUCT(--ISNUMBER(SEARCH(","&amp;TRIM(TEXTSPLIT(CK113,","))&amp;",",","&amp;SUBSTITUTE(input_enews_audience," ","")&amp;",")))&gt;0)),IF(CM113="",TRUE,IF(input_enews_audience="",FALSE,SUMPRODUCT(--ISNUMBER(SEARCH(","&amp;TRIM(TEXTSPLIT(CM113,","))&amp;",",","&amp;SUBSTITUTE(input_enews_audience," ","")&amp;",")))=COUNTA(TEXTSPLIT(CM113,",")))))</f>
        <v/>
      </c>
      <c r="JB113">
        <f>AND(IF(CO113="",TRUE,IF(input_event_location="",FALSE,SUMPRODUCT(--ISNUMBER(SEARCH(","&amp;TRIM(TEXTSPLIT(CO113,","))&amp;",",","&amp;SUBSTITUTE(input_event_location," ","")&amp;",")))&gt;0)),IF(CQ113="",TRUE,IF(input_event_location="",FALSE,SUMPRODUCT(--ISNUMBER(SEARCH(","&amp;TRIM(TEXTSPLIT(CQ113,","))&amp;",",","&amp;SUBSTITUTE(input_event_location," ","")&amp;",")))=COUNTA(TEXTSPLIT(CQ113,",")))),IF(CS113="",TRUE,IF(input_event_location="",TRUE,SUMPRODUCT(--ISNUMBER(SEARCH(","&amp;TRIM(TEXTSPLIT(CS113,","))&amp;",",","&amp;SUBSTITUTE(input_event_location," ","")&amp;",")))=0)),IF(CU113="",TRUE,IF(input_event_location="",FALSE,SUMPRODUCT(--ISNUMBER(SEARCH(","&amp;TRIM(TEXTSPLIT(CU113,","))&amp;",",","&amp;SUBSTITUTE(input_event_location," ","")&amp;",")))&gt;0)),IF(CW113="",TRUE,IF(input_event_location="",FALSE,SUMPRODUCT(--ISNUMBER(SEARCH(","&amp;TRIM(TEXTSPLIT(CW113,","))&amp;",",","&amp;SUBSTITUTE(input_event_location," ","")&amp;",")))=COUNTA(TEXTSPLIT(CW113,",")))))</f>
        <v/>
      </c>
      <c r="JC113">
        <f>AND(IF(CY113="",TRUE,IF(input_event_type="",FALSE,SUMPRODUCT(--ISNUMBER(SEARCH(","&amp;TRIM(TEXTSPLIT(CY113,","))&amp;",",","&amp;SUBSTITUTE(input_event_type," ","")&amp;",")))&gt;0)),IF(DA113="",TRUE,IF(input_event_type="",FALSE,SUMPRODUCT(--ISNUMBER(SEARCH(","&amp;TRIM(TEXTSPLIT(DA113,","))&amp;",",","&amp;SUBSTITUTE(input_event_type," ","")&amp;",")))=COUNTA(TEXTSPLIT(DA113,",")))),IF(DC113="",TRUE,IF(input_event_type="",TRUE,SUMPRODUCT(--ISNUMBER(SEARCH(","&amp;TRIM(TEXTSPLIT(DC113,","))&amp;",",","&amp;SUBSTITUTE(input_event_type," ","")&amp;",")))=0)),IF(DE113="",TRUE,IF(input_event_type="",FALSE,SUMPRODUCT(--ISNUMBER(SEARCH(","&amp;TRIM(TEXTSPLIT(DE113,","))&amp;",",","&amp;SUBSTITUTE(input_event_type," ","")&amp;",")))&gt;0)),IF(DG113="",TRUE,IF(input_event_type="",FALSE,SUMPRODUCT(--ISNUMBER(SEARCH(","&amp;TRIM(TEXTSPLIT(DG113,","))&amp;",",","&amp;SUBSTITUTE(input_event_type," ","")&amp;",")))=COUNTA(TEXTSPLIT(DG113,",")))))</f>
        <v/>
      </c>
      <c r="JD113">
        <f>AND(IF(DI113="",TRUE,IF(input_executive_education_focus="",FALSE,SUMPRODUCT(--ISNUMBER(SEARCH(","&amp;TRIM(TEXTSPLIT(DI113,","))&amp;",",","&amp;SUBSTITUTE(input_executive_education_focus," ","")&amp;",")))&gt;0)),IF(DK113="",TRUE,IF(input_executive_education_focus="",FALSE,SUMPRODUCT(--ISNUMBER(SEARCH(","&amp;TRIM(TEXTSPLIT(DK113,","))&amp;",",","&amp;SUBSTITUTE(input_executive_education_focus," ","")&amp;",")))=COUNTA(TEXTSPLIT(DK113,",")))),IF(DM113="",TRUE,IF(input_executive_education_focus="",TRUE,SUMPRODUCT(--ISNUMBER(SEARCH(","&amp;TRIM(TEXTSPLIT(DM113,","))&amp;",",","&amp;SUBSTITUTE(input_executive_education_focus," ","")&amp;",")))=0)),IF(DO113="",TRUE,IF(input_executive_education_focus="",FALSE,SUMPRODUCT(--ISNUMBER(SEARCH(","&amp;TRIM(TEXTSPLIT(DO113,","))&amp;",",","&amp;SUBSTITUTE(input_executive_education_focus," ","")&amp;",")))&gt;0)),IF(DQ113="",TRUE,IF(input_executive_education_focus="",FALSE,SUMPRODUCT(--ISNUMBER(SEARCH(","&amp;TRIM(TEXTSPLIT(DQ113,","))&amp;",",","&amp;SUBSTITUTE(input_executive_education_focus," ","")&amp;",")))=COUNTA(TEXTSPLIT(DQ113,",")))))</f>
        <v/>
      </c>
      <c r="JE113">
        <f>AND(IF(DS113="",TRUE,IF(input_faculty_category="",FALSE,SUMPRODUCT(--ISNUMBER(SEARCH(","&amp;TRIM(TEXTSPLIT(DS113,","))&amp;",",","&amp;SUBSTITUTE(input_faculty_category," ","")&amp;",")))&gt;0)),IF(DU113="",TRUE,IF(input_faculty_category="",FALSE,SUMPRODUCT(--ISNUMBER(SEARCH(","&amp;TRIM(TEXTSPLIT(DU113,","))&amp;",",","&amp;SUBSTITUTE(input_faculty_category," ","")&amp;",")))=COUNTA(TEXTSPLIT(DU113,",")))),IF(DW113="",TRUE,IF(input_faculty_category="",TRUE,SUMPRODUCT(--ISNUMBER(SEARCH(","&amp;TRIM(TEXTSPLIT(DW113,","))&amp;",",","&amp;SUBSTITUTE(input_faculty_category," ","")&amp;",")))=0)),IF(DY113="",TRUE,IF(input_faculty_category="",FALSE,SUMPRODUCT(--ISNUMBER(SEARCH(","&amp;TRIM(TEXTSPLIT(DY113,","))&amp;",",","&amp;SUBSTITUTE(input_faculty_category," ","")&amp;",")))&gt;0)),IF(EA113="",TRUE,IF(input_faculty_category="",FALSE,SUMPRODUCT(--ISNUMBER(SEARCH(","&amp;TRIM(TEXTSPLIT(EA113,","))&amp;",",","&amp;SUBSTITUTE(input_faculty_category," ","")&amp;",")))=COUNTA(TEXTSPLIT(EA113,",")))))</f>
        <v/>
      </c>
      <c r="JF113">
        <f>AND(IF(EC113="",TRUE,IF(input_faculty_discipline="",FALSE,SUMPRODUCT(--ISNUMBER(SEARCH(","&amp;TRIM(TEXTSPLIT(EC113,","))&amp;",",","&amp;SUBSTITUTE(input_faculty_discipline," ","")&amp;",")))&gt;0)),IF(EE113="",TRUE,IF(input_faculty_discipline="",FALSE,SUMPRODUCT(--ISNUMBER(SEARCH(","&amp;TRIM(TEXTSPLIT(EE113,","))&amp;",",","&amp;SUBSTITUTE(input_faculty_discipline," ","")&amp;",")))=COUNTA(TEXTSPLIT(EE113,",")))),IF(EG113="",TRUE,IF(input_faculty_discipline="",TRUE,SUMPRODUCT(--ISNUMBER(SEARCH(","&amp;TRIM(TEXTSPLIT(EG113,","))&amp;",",","&amp;SUBSTITUTE(input_faculty_discipline," ","")&amp;",")))=0)),IF(EI113="",TRUE,IF(input_faculty_discipline="",FALSE,SUMPRODUCT(--ISNUMBER(SEARCH(","&amp;TRIM(TEXTSPLIT(EI113,","))&amp;",",","&amp;SUBSTITUTE(input_faculty_discipline," ","")&amp;",")))&gt;0)),IF(EK113="",TRUE,IF(input_faculty_discipline="",FALSE,SUMPRODUCT(--ISNUMBER(SEARCH(","&amp;TRIM(TEXTSPLIT(EK113,","))&amp;",",","&amp;SUBSTITUTE(input_faculty_discipline," ","")&amp;",")))=COUNTA(TEXTSPLIT(EK113,",")))))</f>
        <v/>
      </c>
      <c r="JG113">
        <f>AND(IF(EM113="",TRUE,IF(input_faculty_expertise="",FALSE,SUMPRODUCT(--ISNUMBER(SEARCH(","&amp;TRIM(TEXTSPLIT(EM113,","))&amp;",",","&amp;SUBSTITUTE(input_faculty_expertise," ","")&amp;",")))&gt;0)),IF(EO113="",TRUE,IF(input_faculty_expertise="",FALSE,SUMPRODUCT(--ISNUMBER(SEARCH(","&amp;TRIM(TEXTSPLIT(EO113,","))&amp;",",","&amp;SUBSTITUTE(input_faculty_expertise," ","")&amp;",")))=COUNTA(TEXTSPLIT(EO113,",")))),IF(EQ113="",TRUE,IF(input_faculty_expertise="",TRUE,SUMPRODUCT(--ISNUMBER(SEARCH(","&amp;TRIM(TEXTSPLIT(EQ113,","))&amp;",",","&amp;SUBSTITUTE(input_faculty_expertise," ","")&amp;",")))=0)),IF(ES113="",TRUE,IF(input_faculty_expertise="",FALSE,SUMPRODUCT(--ISNUMBER(SEARCH(","&amp;TRIM(TEXTSPLIT(ES113,","))&amp;",",","&amp;SUBSTITUTE(input_faculty_expertise," ","")&amp;",")))&gt;0)),IF(EU113="",TRUE,IF(input_faculty_expertise="",FALSE,SUMPRODUCT(--ISNUMBER(SEARCH(","&amp;TRIM(TEXTSPLIT(EU113,","))&amp;",",","&amp;SUBSTITUTE(input_faculty_expertise," ","")&amp;",")))=COUNTA(TEXTSPLIT(EU113,",")))))</f>
        <v/>
      </c>
      <c r="JH113">
        <f>AND(IF(EW113="",TRUE,IF(input_global_network_school="",FALSE,SUMPRODUCT(--ISNUMBER(SEARCH(","&amp;TRIM(TEXTSPLIT(EW113,","))&amp;",",","&amp;SUBSTITUTE(input_global_network_school," ","")&amp;",")))&gt;0)),IF(EY113="",TRUE,IF(input_global_network_school="",FALSE,SUMPRODUCT(--ISNUMBER(SEARCH(","&amp;TRIM(TEXTSPLIT(EY113,","))&amp;",",","&amp;SUBSTITUTE(input_global_network_school," ","")&amp;",")))=COUNTA(TEXTSPLIT(EY113,",")))),IF(FA113="",TRUE,IF(input_global_network_school="",TRUE,SUMPRODUCT(--ISNUMBER(SEARCH(","&amp;TRIM(TEXTSPLIT(FA113,","))&amp;",",","&amp;SUBSTITUTE(input_global_network_school," ","")&amp;",")))=0)),IF(FC113="",TRUE,IF(input_global_network_school="",FALSE,SUMPRODUCT(--ISNUMBER(SEARCH(","&amp;TRIM(TEXTSPLIT(FC113,","))&amp;",",","&amp;SUBSTITUTE(input_global_network_school," ","")&amp;",")))&gt;0)),IF(FE113="",TRUE,IF(input_global_network_school="",FALSE,SUMPRODUCT(--ISNUMBER(SEARCH(","&amp;TRIM(TEXTSPLIT(FE113,","))&amp;",",","&amp;SUBSTITUTE(input_global_network_school," ","")&amp;",")))=COUNTA(TEXTSPLIT(FE113,",")))))</f>
        <v/>
      </c>
      <c r="JI113">
        <f>AND(IF(FG113="",TRUE,IF(input_industry="",FALSE,SUMPRODUCT(--ISNUMBER(SEARCH(","&amp;TRIM(TEXTSPLIT(FG113,","))&amp;",",","&amp;SUBSTITUTE(input_industry," ","")&amp;",")))&gt;0)),IF(FI113="",TRUE,IF(input_industry="",FALSE,SUMPRODUCT(--ISNUMBER(SEARCH(","&amp;TRIM(TEXTSPLIT(FI113,","))&amp;",",","&amp;SUBSTITUTE(input_industry," ","")&amp;",")))=COUNTA(TEXTSPLIT(FI113,",")))),IF(FK113="",TRUE,IF(input_industry="",TRUE,SUMPRODUCT(--ISNUMBER(SEARCH(","&amp;TRIM(TEXTSPLIT(FK113,","))&amp;",",","&amp;SUBSTITUTE(input_industry," ","")&amp;",")))=0)),IF(FM113="",TRUE,IF(input_industry="",FALSE,SUMPRODUCT(--ISNUMBER(SEARCH(","&amp;TRIM(TEXTSPLIT(FM113,","))&amp;",",","&amp;SUBSTITUTE(input_industry," ","")&amp;",")))&gt;0)),IF(FO113="",TRUE,IF(input_industry="",FALSE,SUMPRODUCT(--ISNUMBER(SEARCH(","&amp;TRIM(TEXTSPLIT(FO113,","))&amp;",",","&amp;SUBSTITUTE(input_industry," ","")&amp;",")))=COUNTA(TEXTSPLIT(FO113,",")))))</f>
        <v/>
      </c>
      <c r="JJ113">
        <f>AND(IF(FQ113="",TRUE,IF(input_location="",FALSE,SUMPRODUCT(--ISNUMBER(SEARCH(","&amp;TRIM(TEXTSPLIT(FQ113,","))&amp;",",","&amp;SUBSTITUTE(input_location," ","")&amp;",")))&gt;0)),IF(FS113="",TRUE,IF(input_location="",FALSE,SUMPRODUCT(--ISNUMBER(SEARCH(","&amp;TRIM(TEXTSPLIT(FS113,","))&amp;",",","&amp;SUBSTITUTE(input_location," ","")&amp;",")))=COUNTA(TEXTSPLIT(FS113,",")))),IF(FU113="",TRUE,IF(input_location="",TRUE,SUMPRODUCT(--ISNUMBER(SEARCH(","&amp;TRIM(TEXTSPLIT(FU113,","))&amp;",",","&amp;SUBSTITUTE(input_location," ","")&amp;",")))=0)),IF(FW113="",TRUE,IF(input_location="",FALSE,SUMPRODUCT(--ISNUMBER(SEARCH(","&amp;TRIM(TEXTSPLIT(FW113,","))&amp;",",","&amp;SUBSTITUTE(input_location," ","")&amp;",")))&gt;0)),IF(FY113="",TRUE,IF(input_location="",FALSE,SUMPRODUCT(--ISNUMBER(SEARCH(","&amp;TRIM(TEXTSPLIT(FY113,","))&amp;",",","&amp;SUBSTITUTE(input_location," ","")&amp;",")))=COUNTA(TEXTSPLIT(FY113,",")))))</f>
        <v/>
      </c>
      <c r="JK113">
        <f>AND(IF(GA113="",TRUE,IF(input_modality="",FALSE,SUMPRODUCT(--ISNUMBER(SEARCH(","&amp;TRIM(TEXTSPLIT(GA113,","))&amp;",",","&amp;SUBSTITUTE(input_modality," ","")&amp;",")))&gt;0)),IF(GC113="",TRUE,IF(input_modality="",FALSE,SUMPRODUCT(--ISNUMBER(SEARCH(","&amp;TRIM(TEXTSPLIT(GC113,","))&amp;",",","&amp;SUBSTITUTE(input_modality," ","")&amp;",")))=COUNTA(TEXTSPLIT(GC113,",")))),IF(GE113="",TRUE,IF(input_modality="",TRUE,SUMPRODUCT(--ISNUMBER(SEARCH(","&amp;TRIM(TEXTSPLIT(GE113,","))&amp;",",","&amp;SUBSTITUTE(input_modality," ","")&amp;",")))=0)),IF(GG113="",TRUE,IF(input_modality="",FALSE,SUMPRODUCT(--ISNUMBER(SEARCH(","&amp;TRIM(TEXTSPLIT(GG113,","))&amp;",",","&amp;SUBSTITUTE(input_modality," ","")&amp;",")))&gt;0)),IF(GI113="",TRUE,IF(input_modality="",FALSE,SUMPRODUCT(--ISNUMBER(SEARCH(","&amp;TRIM(TEXTSPLIT(GI113,","))&amp;",",","&amp;SUBSTITUTE(input_modality," ","")&amp;",")))=COUNTA(TEXTSPLIT(GI113,",")))))</f>
        <v/>
      </c>
      <c r="JL113">
        <f>AND(IF(GK113="",TRUE,IF(input_organizer="",FALSE,SUMPRODUCT(--ISNUMBER(SEARCH(","&amp;TRIM(TEXTSPLIT(GK113,","))&amp;",",","&amp;SUBSTITUTE(input_organizer," ","")&amp;",")))&gt;0)),IF(GM113="",TRUE,IF(input_organizer="",FALSE,SUMPRODUCT(--ISNUMBER(SEARCH(","&amp;TRIM(TEXTSPLIT(GM113,","))&amp;",",","&amp;SUBSTITUTE(input_organizer," ","")&amp;",")))=COUNTA(TEXTSPLIT(GM113,",")))),IF(GO113="",TRUE,IF(input_organizer="",TRUE,SUMPRODUCT(--ISNUMBER(SEARCH(","&amp;TRIM(TEXTSPLIT(GO113,","))&amp;",",","&amp;SUBSTITUTE(input_organizer," ","")&amp;",")))=0)),IF(GQ113="",TRUE,IF(input_organizer="",FALSE,SUMPRODUCT(--ISNUMBER(SEARCH(","&amp;TRIM(TEXTSPLIT(GQ113,","))&amp;",",","&amp;SUBSTITUTE(input_organizer," ","")&amp;",")))&gt;0)),IF(GS113="",TRUE,IF(input_organizer="",FALSE,SUMPRODUCT(--ISNUMBER(SEARCH(","&amp;TRIM(TEXTSPLIT(GS113,","))&amp;",",","&amp;SUBSTITUTE(input_organizer," ","")&amp;",")))=COUNTA(TEXTSPLIT(GS113,",")))))</f>
        <v/>
      </c>
      <c r="JM113">
        <f>AND(IF(GU113="",TRUE,IF(input_profile_type="",FALSE,SUMPRODUCT(--ISNUMBER(SEARCH(","&amp;TRIM(TEXTSPLIT(GU113,","))&amp;",",","&amp;SUBSTITUTE(input_profile_type," ","")&amp;",")))&gt;0)),IF(GW113="",TRUE,IF(input_profile_type="",FALSE,SUMPRODUCT(--ISNUMBER(SEARCH(","&amp;TRIM(TEXTSPLIT(GW113,","))&amp;",",","&amp;SUBSTITUTE(input_profile_type," ","")&amp;",")))=COUNTA(TEXTSPLIT(GW113,",")))),IF(GY113="",TRUE,IF(input_profile_type="",TRUE,SUMPRODUCT(--ISNUMBER(SEARCH(","&amp;TRIM(TEXTSPLIT(GY113,","))&amp;",",","&amp;SUBSTITUTE(input_profile_type," ","")&amp;",")))=0)),IF(HA113="",TRUE,IF(input_profile_type="",FALSE,SUMPRODUCT(--ISNUMBER(SEARCH(","&amp;TRIM(TEXTSPLIT(HA113,","))&amp;",",","&amp;SUBSTITUTE(input_profile_type," ","")&amp;",")))&gt;0)),IF(HC113="",TRUE,IF(input_profile_type="",FALSE,SUMPRODUCT(--ISNUMBER(SEARCH(","&amp;TRIM(TEXTSPLIT(HC113,","))&amp;",",","&amp;SUBSTITUTE(input_profile_type," ","")&amp;",")))=COUNTA(TEXTSPLIT(HC113,",")))))</f>
        <v/>
      </c>
      <c r="JN113">
        <f>AND(IF(HE113="",TRUE,IF(input_program="",FALSE,SUMPRODUCT(--ISNUMBER(SEARCH(","&amp;TRIM(TEXTSPLIT(HE113,","))&amp;",",","&amp;SUBSTITUTE(input_program," ","")&amp;",")))&gt;0)),IF(HG113="",TRUE,IF(input_program="",FALSE,SUMPRODUCT(--ISNUMBER(SEARCH(","&amp;TRIM(TEXTSPLIT(HG113,","))&amp;",",","&amp;SUBSTITUTE(input_program," ","")&amp;",")))=COUNTA(TEXTSPLIT(HG113,",")))),IF(HI113="",TRUE,IF(input_program="",TRUE,SUMPRODUCT(--ISNUMBER(SEARCH(","&amp;TRIM(TEXTSPLIT(HI113,","))&amp;",",","&amp;SUBSTITUTE(input_program," ","")&amp;",")))=0)),IF(HK113="",TRUE,IF(input_program="",FALSE,SUMPRODUCT(--ISNUMBER(SEARCH(","&amp;TRIM(TEXTSPLIT(HK113,","))&amp;",",","&amp;SUBSTITUTE(input_program," ","")&amp;",")))&gt;0)),IF(HM113="",TRUE,IF(input_program="",FALSE,SUMPRODUCT(--ISNUMBER(SEARCH(","&amp;TRIM(TEXTSPLIT(HM113,","))&amp;",",","&amp;SUBSTITUTE(input_program," ","")&amp;",")))=COUNTA(TEXTSPLIT(HM113,",")))))</f>
        <v/>
      </c>
      <c r="JO113">
        <f>AND(IF(HO113="",TRUE,IF(input_story_categories="",FALSE,SUMPRODUCT(--ISNUMBER(SEARCH(","&amp;TRIM(TEXTSPLIT(HO113,","))&amp;",",","&amp;SUBSTITUTE(input_story_categories," ","")&amp;",")))&gt;0)),IF(HQ113="",TRUE,IF(input_story_categories="",FALSE,SUMPRODUCT(--ISNUMBER(SEARCH(","&amp;TRIM(TEXTSPLIT(HQ113,","))&amp;",",","&amp;SUBSTITUTE(input_story_categories," ","")&amp;",")))=COUNTA(TEXTSPLIT(HQ113,",")))),IF(HS113="",TRUE,IF(input_story_categories="",TRUE,SUMPRODUCT(--ISNUMBER(SEARCH(","&amp;TRIM(TEXTSPLIT(HS113,","))&amp;",",","&amp;SUBSTITUTE(input_story_categories," ","")&amp;",")))=0)),IF(HU113="",TRUE,IF(input_story_categories="",FALSE,SUMPRODUCT(--ISNUMBER(SEARCH(","&amp;TRIM(TEXTSPLIT(HU113,","))&amp;",",","&amp;SUBSTITUTE(input_story_categories," ","")&amp;",")))&gt;0)),IF(HW113="",TRUE,IF(input_story_categories="",FALSE,SUMPRODUCT(--ISNUMBER(SEARCH(","&amp;TRIM(TEXTSPLIT(HW113,","))&amp;",",","&amp;SUBSTITUTE(input_story_categories," ","")&amp;",")))=COUNTA(TEXTSPLIT(HW113,",")))))</f>
        <v/>
      </c>
      <c r="JP113">
        <f>AND(IF(HY113="",TRUE,IF(input_story_type="",FALSE,SUMPRODUCT(--ISNUMBER(SEARCH(","&amp;TRIM(TEXTSPLIT(HY113,","))&amp;",",","&amp;SUBSTITUTE(input_story_type," ","")&amp;",")))&gt;0)),IF(IA113="",TRUE,IF(input_story_type="",FALSE,SUMPRODUCT(--ISNUMBER(SEARCH(","&amp;TRIM(TEXTSPLIT(IA113,","))&amp;",",","&amp;SUBSTITUTE(input_story_type," ","")&amp;",")))=COUNTA(TEXTSPLIT(IA113,",")))),IF(IC113="",TRUE,IF(input_story_type="",TRUE,SUMPRODUCT(--ISNUMBER(SEARCH(","&amp;TRIM(TEXTSPLIT(IC113,","))&amp;",",","&amp;SUBSTITUTE(input_story_type," ","")&amp;",")))=0)),IF(IE113="",TRUE,IF(input_story_type="",FALSE,SUMPRODUCT(--ISNUMBER(SEARCH(","&amp;TRIM(TEXTSPLIT(IE113,","))&amp;",",","&amp;SUBSTITUTE(input_story_type," ","")&amp;",")))&gt;0)),IF(IG113="",TRUE,IF(input_story_type="",FALSE,SUMPRODUCT(--ISNUMBER(SEARCH(","&amp;TRIM(TEXTSPLIT(IG113,","))&amp;",",","&amp;SUBSTITUTE(input_story_type," ","")&amp;",")))=COUNTA(TEXTSPLIT(IG113,",")))))</f>
        <v/>
      </c>
      <c r="JQ113">
        <f>AND(IF(II113="",TRUE,IF(input_topics="",FALSE,SUMPRODUCT(--ISNUMBER(SEARCH(","&amp;TRIM(TEXTSPLIT(II113,","))&amp;",",","&amp;SUBSTITUTE(input_topics," ","")&amp;",")))&gt;0)),IF(IK113="",TRUE,IF(input_topics="",FALSE,SUMPRODUCT(--ISNUMBER(SEARCH(","&amp;TRIM(TEXTSPLIT(IK113,","))&amp;",",","&amp;SUBSTITUTE(input_topics," ","")&amp;",")))=COUNTA(TEXTSPLIT(IK113,",")))),IF(IM113="",TRUE,IF(input_topics="",TRUE,SUMPRODUCT(--ISNUMBER(SEARCH(","&amp;TRIM(TEXTSPLIT(IM113,","))&amp;",",","&amp;SUBSTITUTE(input_topics," ","")&amp;",")))=0)),IF(IO113="",TRUE,IF(input_topics="",FALSE,SUMPRODUCT(--ISNUMBER(SEARCH(","&amp;TRIM(TEXTSPLIT(IO113,","))&amp;",",","&amp;SUBSTITUTE(input_topics," ","")&amp;",")))&gt;0)),IF(IQ113="",TRUE,IF(input_topics="",FALSE,SUMPRODUCT(--ISNUMBER(SEARCH(","&amp;TRIM(TEXTSPLIT(IQ113,","))&amp;",",","&amp;SUBSTITUTE(input_topics," ","")&amp;",")))=COUNTA(TEXTSPLIT(IQ113,",")))))</f>
        <v/>
      </c>
    </row>
    <row r="114">
      <c r="A114" s="4">
        <f>IF(NOT(IS114),"Excluded",IF(AND(IT114,IU114,IV114,IW114,IX114,IY114,IZ114,JA114,JB114,JC114,JD114,JE114,JF114,JG114,JH114,JI114,JJ114,JK114,JL114,JM114,JN114,JO114,JP114,JQ114),IF(I114&gt;0,"Eligible but limited","Will appear"),"Excluded"))</f>
        <v/>
      </c>
      <c r="B114" s="4" t="inlineStr">
        <is>
          <t>For Individuals</t>
        </is>
      </c>
      <c r="C114" s="4" t="inlineStr">
        <is>
          <t>/executive-education/for-individuals</t>
        </is>
      </c>
      <c r="D114" s="4" t="inlineStr">
        <is>
          <t>/executive-education/for-individuals</t>
        </is>
      </c>
      <c r="E114" s="4" t="n">
        <v>1</v>
      </c>
      <c r="F114" s="4" t="inlineStr">
        <is>
          <t>course</t>
        </is>
      </c>
      <c r="G114" s="4" t="inlineStr">
        <is>
          <t>courses_grid</t>
        </is>
      </c>
      <c r="H114" s="4" t="inlineStr">
        <is>
          <t>embed_1</t>
        </is>
      </c>
      <c r="I114" s="4" t="inlineStr"/>
      <c r="J114" s="4" t="inlineStr">
        <is>
          <t>Explicit args</t>
        </is>
      </c>
      <c r="K114" s="4" t="inlineStr">
        <is>
          <t>Page placement</t>
        </is>
      </c>
      <c r="L114" s="4" t="inlineStr">
        <is>
          <t>Content type: course; Context uses Courses Context: Executive Education (967); Source: Explicit args</t>
        </is>
      </c>
      <c r="M114" t="inlineStr"/>
      <c r="N114" t="inlineStr"/>
      <c r="O114" t="inlineStr"/>
      <c r="P114" t="inlineStr"/>
      <c r="Q114" t="inlineStr"/>
      <c r="R114" t="inlineStr"/>
      <c r="S114" t="inlineStr"/>
      <c r="T114" t="inlineStr"/>
      <c r="U114" t="inlineStr"/>
      <c r="V114" t="inlineStr"/>
      <c r="W114" t="inlineStr"/>
      <c r="X114" t="inlineStr"/>
      <c r="Y114" t="inlineStr"/>
      <c r="Z114" t="inlineStr"/>
      <c r="AA114" t="inlineStr"/>
      <c r="AB114" t="inlineStr"/>
      <c r="AC114" t="inlineStr"/>
      <c r="AD114" t="inlineStr"/>
      <c r="AE114" t="inlineStr"/>
      <c r="AF114" t="inlineStr"/>
      <c r="AG114" t="inlineStr"/>
      <c r="AH114" t="inlineStr"/>
      <c r="AI114" t="inlineStr"/>
      <c r="AJ114" t="inlineStr"/>
      <c r="AK114" t="inlineStr"/>
      <c r="AL114" t="inlineStr"/>
      <c r="AM114" t="inlineStr"/>
      <c r="AN114" t="inlineStr"/>
      <c r="AO114" t="inlineStr"/>
      <c r="AP114" t="inlineStr"/>
      <c r="AQ114" t="inlineStr"/>
      <c r="AR114" t="inlineStr"/>
      <c r="AS114" t="inlineStr"/>
      <c r="AT114" t="inlineStr"/>
      <c r="AU114" t="inlineStr"/>
      <c r="AV114" t="inlineStr"/>
      <c r="AW114" t="inlineStr"/>
      <c r="AX114" t="inlineStr"/>
      <c r="AY114" t="inlineStr"/>
      <c r="AZ114" t="inlineStr"/>
      <c r="BA114" t="inlineStr"/>
      <c r="BB114" t="inlineStr"/>
      <c r="BC114" t="inlineStr"/>
      <c r="BD114" t="inlineStr"/>
      <c r="BE114" t="inlineStr"/>
      <c r="BF114" t="inlineStr"/>
      <c r="BG114" t="inlineStr"/>
      <c r="BH114" t="inlineStr"/>
      <c r="BI114" t="inlineStr"/>
      <c r="BJ114" t="inlineStr"/>
      <c r="BK114" t="inlineStr"/>
      <c r="BL114" t="inlineStr"/>
      <c r="BM114" t="inlineStr"/>
      <c r="BN114" t="inlineStr"/>
      <c r="BO114" t="inlineStr"/>
      <c r="BP114" t="inlineStr"/>
      <c r="BQ114" t="inlineStr">
        <is>
          <t>967</t>
        </is>
      </c>
      <c r="BR114" t="inlineStr">
        <is>
          <t>Executive Education (967)</t>
        </is>
      </c>
      <c r="BS114" t="inlineStr"/>
      <c r="BT114" t="inlineStr"/>
      <c r="BU114" t="inlineStr"/>
      <c r="BV114" t="inlineStr"/>
      <c r="BW114" t="inlineStr"/>
      <c r="BX114" t="inlineStr"/>
      <c r="BY114" t="inlineStr"/>
      <c r="BZ114" t="inlineStr"/>
      <c r="CA114" t="inlineStr"/>
      <c r="CB114" t="inlineStr"/>
      <c r="CC114" t="inlineStr"/>
      <c r="CD114" t="inlineStr"/>
      <c r="CE114" t="inlineStr"/>
      <c r="CF114" t="inlineStr"/>
      <c r="CG114" t="inlineStr"/>
      <c r="CH114" t="inlineStr"/>
      <c r="CI114" t="inlineStr"/>
      <c r="CJ114" t="inlineStr"/>
      <c r="CK114" t="inlineStr"/>
      <c r="CL114" t="inlineStr"/>
      <c r="CM114" t="inlineStr"/>
      <c r="CN114" t="inlineStr"/>
      <c r="CO114" t="inlineStr"/>
      <c r="CP114" t="inlineStr"/>
      <c r="CQ114" t="inlineStr"/>
      <c r="CR114" t="inlineStr"/>
      <c r="CS114" t="inlineStr"/>
      <c r="CT114" t="inlineStr"/>
      <c r="CU114" t="inlineStr"/>
      <c r="CV114" t="inlineStr"/>
      <c r="CW114" t="inlineStr"/>
      <c r="CX114" t="inlineStr"/>
      <c r="CY114" t="inlineStr"/>
      <c r="CZ114" t="inlineStr"/>
      <c r="DA114" t="inlineStr"/>
      <c r="DB114" t="inlineStr"/>
      <c r="DC114" t="inlineStr"/>
      <c r="DD114" t="inlineStr"/>
      <c r="DE114" t="inlineStr"/>
      <c r="DF114" t="inlineStr"/>
      <c r="DG114" t="inlineStr"/>
      <c r="DH114" t="inlineStr"/>
      <c r="DI114" t="inlineStr"/>
      <c r="DJ114" t="inlineStr"/>
      <c r="DK114" t="inlineStr"/>
      <c r="DL114" t="inlineStr"/>
      <c r="DM114" t="inlineStr"/>
      <c r="DN114" t="inlineStr"/>
      <c r="DO114" t="inlineStr"/>
      <c r="DP114" t="inlineStr"/>
      <c r="DQ114" t="inlineStr"/>
      <c r="DR114" t="inlineStr"/>
      <c r="DS114" t="inlineStr"/>
      <c r="DT114" t="inlineStr"/>
      <c r="DU114" t="inlineStr"/>
      <c r="DV114" t="inlineStr"/>
      <c r="DW114" t="inlineStr"/>
      <c r="DX114" t="inlineStr"/>
      <c r="DY114" t="inlineStr"/>
      <c r="DZ114" t="inlineStr"/>
      <c r="EA114" t="inlineStr"/>
      <c r="EB114" t="inlineStr"/>
      <c r="EC114" t="inlineStr"/>
      <c r="ED114" t="inlineStr"/>
      <c r="EE114" t="inlineStr"/>
      <c r="EF114" t="inlineStr"/>
      <c r="EG114" t="inlineStr"/>
      <c r="EH114" t="inlineStr"/>
      <c r="EI114" t="inlineStr"/>
      <c r="EJ114" t="inlineStr"/>
      <c r="EK114" t="inlineStr"/>
      <c r="EL114" t="inlineStr"/>
      <c r="EM114" t="inlineStr"/>
      <c r="EN114" t="inlineStr"/>
      <c r="EO114" t="inlineStr"/>
      <c r="EP114" t="inlineStr"/>
      <c r="EQ114" t="inlineStr"/>
      <c r="ER114" t="inlineStr"/>
      <c r="ES114" t="inlineStr"/>
      <c r="ET114" t="inlineStr"/>
      <c r="EU114" t="inlineStr"/>
      <c r="EV114" t="inlineStr"/>
      <c r="EW114" t="inlineStr"/>
      <c r="EX114" t="inlineStr"/>
      <c r="EY114" t="inlineStr"/>
      <c r="EZ114" t="inlineStr"/>
      <c r="FA114" t="inlineStr"/>
      <c r="FB114" t="inlineStr"/>
      <c r="FC114" t="inlineStr"/>
      <c r="FD114" t="inlineStr"/>
      <c r="FE114" t="inlineStr"/>
      <c r="FF114" t="inlineStr"/>
      <c r="FG114" t="inlineStr"/>
      <c r="FH114" t="inlineStr"/>
      <c r="FI114" t="inlineStr"/>
      <c r="FJ114" t="inlineStr"/>
      <c r="FK114" t="inlineStr"/>
      <c r="FL114" t="inlineStr"/>
      <c r="FM114" t="inlineStr"/>
      <c r="FN114" t="inlineStr"/>
      <c r="FO114" t="inlineStr"/>
      <c r="FP114" t="inlineStr"/>
      <c r="FQ114" t="inlineStr"/>
      <c r="FR114" t="inlineStr"/>
      <c r="FS114" t="inlineStr"/>
      <c r="FT114" t="inlineStr"/>
      <c r="FU114" t="inlineStr"/>
      <c r="FV114" t="inlineStr"/>
      <c r="FW114" t="inlineStr"/>
      <c r="FX114" t="inlineStr"/>
      <c r="FY114" t="inlineStr"/>
      <c r="FZ114" t="inlineStr"/>
      <c r="GA114" t="inlineStr"/>
      <c r="GB114" t="inlineStr"/>
      <c r="GC114" t="inlineStr"/>
      <c r="GD114" t="inlineStr"/>
      <c r="GE114" t="inlineStr"/>
      <c r="GF114" t="inlineStr"/>
      <c r="GG114" t="inlineStr"/>
      <c r="GH114" t="inlineStr"/>
      <c r="GI114" t="inlineStr"/>
      <c r="GJ114" t="inlineStr"/>
      <c r="GK114" t="inlineStr"/>
      <c r="GL114" t="inlineStr"/>
      <c r="GM114" t="inlineStr"/>
      <c r="GN114" t="inlineStr"/>
      <c r="GO114" t="inlineStr"/>
      <c r="GP114" t="inlineStr"/>
      <c r="GQ114" t="inlineStr"/>
      <c r="GR114" t="inlineStr"/>
      <c r="GS114" t="inlineStr"/>
      <c r="GT114" t="inlineStr"/>
      <c r="GU114" t="inlineStr"/>
      <c r="GV114" t="inlineStr"/>
      <c r="GW114" t="inlineStr"/>
      <c r="GX114" t="inlineStr"/>
      <c r="GY114" t="inlineStr"/>
      <c r="GZ114" t="inlineStr"/>
      <c r="HA114" t="inlineStr"/>
      <c r="HB114" t="inlineStr"/>
      <c r="HC114" t="inlineStr"/>
      <c r="HD114" t="inlineStr"/>
      <c r="HE114" t="inlineStr"/>
      <c r="HF114" t="inlineStr"/>
      <c r="HG114" t="inlineStr"/>
      <c r="HH114" t="inlineStr"/>
      <c r="HI114" t="inlineStr"/>
      <c r="HJ114" t="inlineStr"/>
      <c r="HK114" t="inlineStr"/>
      <c r="HL114" t="inlineStr"/>
      <c r="HM114" t="inlineStr"/>
      <c r="HN114" t="inlineStr"/>
      <c r="HO114" t="inlineStr"/>
      <c r="HP114" t="inlineStr"/>
      <c r="HQ114" t="inlineStr"/>
      <c r="HR114" t="inlineStr"/>
      <c r="HS114" t="inlineStr"/>
      <c r="HT114" t="inlineStr"/>
      <c r="HU114" t="inlineStr"/>
      <c r="HV114" t="inlineStr"/>
      <c r="HW114" t="inlineStr"/>
      <c r="HX114" t="inlineStr"/>
      <c r="HY114" t="inlineStr"/>
      <c r="HZ114" t="inlineStr"/>
      <c r="IA114" t="inlineStr"/>
      <c r="IB114" t="inlineStr"/>
      <c r="IC114" t="inlineStr"/>
      <c r="ID114" t="inlineStr"/>
      <c r="IE114" t="inlineStr"/>
      <c r="IF114" t="inlineStr"/>
      <c r="IG114" t="inlineStr"/>
      <c r="IH114" t="inlineStr"/>
      <c r="II114" t="inlineStr"/>
      <c r="IJ114" t="inlineStr"/>
      <c r="IK114" t="inlineStr"/>
      <c r="IL114" t="inlineStr"/>
      <c r="IM114" t="inlineStr"/>
      <c r="IN114" t="inlineStr"/>
      <c r="IO114" t="inlineStr"/>
      <c r="IP114" t="inlineStr"/>
      <c r="IQ114" t="inlineStr"/>
      <c r="IR114" t="inlineStr"/>
      <c r="IS114">
        <f>IF(input_content_type="",FALSE,ISNUMBER(SEARCH(","&amp;LOWER(input_content_type)&amp;",",","&amp;LOWER(F114)&amp;",")))</f>
        <v/>
      </c>
      <c r="IT114">
        <f>AND(IF(M114="",TRUE,IF(input_affiliations="",FALSE,SUMPRODUCT(--ISNUMBER(SEARCH(","&amp;TRIM(TEXTSPLIT(M114,","))&amp;",",","&amp;SUBSTITUTE(input_affiliations," ","")&amp;",")))&gt;0)),IF(O114="",TRUE,IF(input_affiliations="",FALSE,SUMPRODUCT(--ISNUMBER(SEARCH(","&amp;TRIM(TEXTSPLIT(O114,","))&amp;",",","&amp;SUBSTITUTE(input_affiliations," ","")&amp;",")))=COUNTA(TEXTSPLIT(O114,",")))),IF(Q114="",TRUE,IF(input_affiliations="",TRUE,SUMPRODUCT(--ISNUMBER(SEARCH(","&amp;TRIM(TEXTSPLIT(Q114,","))&amp;",",","&amp;SUBSTITUTE(input_affiliations," ","")&amp;",")))=0)),IF(S114="",TRUE,IF(input_affiliations="",FALSE,SUMPRODUCT(--ISNUMBER(SEARCH(","&amp;TRIM(TEXTSPLIT(S114,","))&amp;",",","&amp;SUBSTITUTE(input_affiliations," ","")&amp;",")))&gt;0)),IF(U114="",TRUE,IF(input_affiliations="",FALSE,SUMPRODUCT(--ISNUMBER(SEARCH(","&amp;TRIM(TEXTSPLIT(U114,","))&amp;",",","&amp;SUBSTITUTE(input_affiliations," ","")&amp;",")))=COUNTA(TEXTSPLIT(U114,",")))))</f>
        <v/>
      </c>
      <c r="IU114">
        <f>AND(IF(W114="",TRUE,IF(input_announcement_category="",FALSE,SUMPRODUCT(--ISNUMBER(SEARCH(","&amp;TRIM(TEXTSPLIT(W114,","))&amp;",",","&amp;SUBSTITUTE(input_announcement_category," ","")&amp;",")))&gt;0)),IF(Y114="",TRUE,IF(input_announcement_category="",FALSE,SUMPRODUCT(--ISNUMBER(SEARCH(","&amp;TRIM(TEXTSPLIT(Y114,","))&amp;",",","&amp;SUBSTITUTE(input_announcement_category," ","")&amp;",")))=COUNTA(TEXTSPLIT(Y114,",")))),IF(AA114="",TRUE,IF(input_announcement_category="",TRUE,SUMPRODUCT(--ISNUMBER(SEARCH(","&amp;TRIM(TEXTSPLIT(AA114,","))&amp;",",","&amp;SUBSTITUTE(input_announcement_category," ","")&amp;",")))=0)),IF(AC114="",TRUE,IF(input_announcement_category="",FALSE,SUMPRODUCT(--ISNUMBER(SEARCH(","&amp;TRIM(TEXTSPLIT(AC114,","))&amp;",",","&amp;SUBSTITUTE(input_announcement_category," ","")&amp;",")))&gt;0)),IF(AE114="",TRUE,IF(input_announcement_category="",FALSE,SUMPRODUCT(--ISNUMBER(SEARCH(","&amp;TRIM(TEXTSPLIT(AE114,","))&amp;",",","&amp;SUBSTITUTE(input_announcement_category," ","")&amp;",")))=COUNTA(TEXTSPLIT(AE114,",")))))</f>
        <v/>
      </c>
      <c r="IV114">
        <f>AND(IF(AG114="",TRUE,IF(input_area_of_focus="",FALSE,SUMPRODUCT(--ISNUMBER(SEARCH(","&amp;TRIM(TEXTSPLIT(AG114,","))&amp;",",","&amp;SUBSTITUTE(input_area_of_focus," ","")&amp;",")))&gt;0)),IF(AI114="",TRUE,IF(input_area_of_focus="",FALSE,SUMPRODUCT(--ISNUMBER(SEARCH(","&amp;TRIM(TEXTSPLIT(AI114,","))&amp;",",","&amp;SUBSTITUTE(input_area_of_focus," ","")&amp;",")))=COUNTA(TEXTSPLIT(AI114,",")))),IF(AK114="",TRUE,IF(input_area_of_focus="",TRUE,SUMPRODUCT(--ISNUMBER(SEARCH(","&amp;TRIM(TEXTSPLIT(AK114,","))&amp;",",","&amp;SUBSTITUTE(input_area_of_focus," ","")&amp;",")))=0)),IF(AM114="",TRUE,IF(input_area_of_focus="",FALSE,SUMPRODUCT(--ISNUMBER(SEARCH(","&amp;TRIM(TEXTSPLIT(AM114,","))&amp;",",","&amp;SUBSTITUTE(input_area_of_focus," ","")&amp;",")))&gt;0)),IF(AO114="",TRUE,IF(input_area_of_focus="",FALSE,SUMPRODUCT(--ISNUMBER(SEARCH(","&amp;TRIM(TEXTSPLIT(AO114,","))&amp;",",","&amp;SUBSTITUTE(input_area_of_focus," ","")&amp;",")))=COUNTA(TEXTSPLIT(AO114,",")))))</f>
        <v/>
      </c>
      <c r="IW114">
        <f>AND(IF(AQ114="",TRUE,IF(input_audience="",FALSE,SUMPRODUCT(--ISNUMBER(SEARCH(","&amp;TRIM(TEXTSPLIT(AQ114,","))&amp;",",","&amp;SUBSTITUTE(input_audience," ","")&amp;",")))&gt;0)),IF(AS114="",TRUE,IF(input_audience="",FALSE,SUMPRODUCT(--ISNUMBER(SEARCH(","&amp;TRIM(TEXTSPLIT(AS114,","))&amp;",",","&amp;SUBSTITUTE(input_audience," ","")&amp;",")))=COUNTA(TEXTSPLIT(AS114,",")))),IF(AU114="",TRUE,IF(input_audience="",TRUE,SUMPRODUCT(--ISNUMBER(SEARCH(","&amp;TRIM(TEXTSPLIT(AU114,","))&amp;",",","&amp;SUBSTITUTE(input_audience," ","")&amp;",")))=0)),IF(AW114="",TRUE,IF(input_audience="",FALSE,SUMPRODUCT(--ISNUMBER(SEARCH(","&amp;TRIM(TEXTSPLIT(AW114,","))&amp;",",","&amp;SUBSTITUTE(input_audience," ","")&amp;",")))&gt;0)),IF(AY114="",TRUE,IF(input_audience="",FALSE,SUMPRODUCT(--ISNUMBER(SEARCH(","&amp;TRIM(TEXTSPLIT(AY114,","))&amp;",",","&amp;SUBSTITUTE(input_audience," ","")&amp;",")))=COUNTA(TEXTSPLIT(AY114,",")))))</f>
        <v/>
      </c>
      <c r="IX114">
        <f>AND(IF(BA114="",TRUE,IF(input_challenge_opportunities="",FALSE,SUMPRODUCT(--ISNUMBER(SEARCH(","&amp;TRIM(TEXTSPLIT(BA114,","))&amp;",",","&amp;SUBSTITUTE(input_challenge_opportunities," ","")&amp;",")))&gt;0)),IF(BC114="",TRUE,IF(input_challenge_opportunities="",FALSE,SUMPRODUCT(--ISNUMBER(SEARCH(","&amp;TRIM(TEXTSPLIT(BC114,","))&amp;",",","&amp;SUBSTITUTE(input_challenge_opportunities," ","")&amp;",")))=COUNTA(TEXTSPLIT(BC114,",")))),IF(BE114="",TRUE,IF(input_challenge_opportunities="",TRUE,SUMPRODUCT(--ISNUMBER(SEARCH(","&amp;TRIM(TEXTSPLIT(BE114,","))&amp;",",","&amp;SUBSTITUTE(input_challenge_opportunities," ","")&amp;",")))=0)),IF(BG114="",TRUE,IF(input_challenge_opportunities="",FALSE,SUMPRODUCT(--ISNUMBER(SEARCH(","&amp;TRIM(TEXTSPLIT(BG114,","))&amp;",",","&amp;SUBSTITUTE(input_challenge_opportunities," ","")&amp;",")))&gt;0)),IF(BI114="",TRUE,IF(input_challenge_opportunities="",FALSE,SUMPRODUCT(--ISNUMBER(SEARCH(","&amp;TRIM(TEXTSPLIT(BI114,","))&amp;",",","&amp;SUBSTITUTE(input_challenge_opportunities," ","")&amp;",")))=COUNTA(TEXTSPLIT(BI114,",")))))</f>
        <v/>
      </c>
      <c r="IY114">
        <f>AND(IF(BK114="",TRUE,IF(input_context="",FALSE,SUMPRODUCT(--ISNUMBER(SEARCH(","&amp;TRIM(TEXTSPLIT(BK114,","))&amp;",",","&amp;SUBSTITUTE(input_context," ","")&amp;",")))&gt;0)),IF(BM114="",TRUE,IF(input_context="",FALSE,SUMPRODUCT(--ISNUMBER(SEARCH(","&amp;TRIM(TEXTSPLIT(BM114,","))&amp;",",","&amp;SUBSTITUTE(input_context," ","")&amp;",")))=COUNTA(TEXTSPLIT(BM114,",")))),IF(BO114="",TRUE,IF(input_context="",TRUE,SUMPRODUCT(--ISNUMBER(SEARCH(","&amp;TRIM(TEXTSPLIT(BO114,","))&amp;",",","&amp;SUBSTITUTE(input_context," ","")&amp;",")))=0)),IF(BQ114="",TRUE,IF(input_context="",FALSE,SUMPRODUCT(--ISNUMBER(SEARCH(","&amp;TRIM(TEXTSPLIT(BQ114,","))&amp;",",","&amp;SUBSTITUTE(input_context," ","")&amp;",")))&gt;0)),IF(BS114="",TRUE,IF(input_context="",FALSE,SUMPRODUCT(--ISNUMBER(SEARCH(","&amp;TRIM(TEXTSPLIT(BS114,","))&amp;",",","&amp;SUBSTITUTE(input_context," ","")&amp;",")))=COUNTA(TEXTSPLIT(BS114,",")))))</f>
        <v/>
      </c>
      <c r="IZ114">
        <f>AND(IF(BU114="",TRUE,IF(input_enews_announcement_type="",FALSE,SUMPRODUCT(--ISNUMBER(SEARCH(","&amp;TRIM(TEXTSPLIT(BU114,","))&amp;",",","&amp;SUBSTITUTE(input_enews_announcement_type," ","")&amp;",")))&gt;0)),IF(BW114="",TRUE,IF(input_enews_announcement_type="",FALSE,SUMPRODUCT(--ISNUMBER(SEARCH(","&amp;TRIM(TEXTSPLIT(BW114,","))&amp;",",","&amp;SUBSTITUTE(input_enews_announcement_type," ","")&amp;",")))=COUNTA(TEXTSPLIT(BW114,",")))),IF(BY114="",TRUE,IF(input_enews_announcement_type="",TRUE,SUMPRODUCT(--ISNUMBER(SEARCH(","&amp;TRIM(TEXTSPLIT(BY114,","))&amp;",",","&amp;SUBSTITUTE(input_enews_announcement_type," ","")&amp;",")))=0)),IF(CA114="",TRUE,IF(input_enews_announcement_type="",FALSE,SUMPRODUCT(--ISNUMBER(SEARCH(","&amp;TRIM(TEXTSPLIT(CA114,","))&amp;",",","&amp;SUBSTITUTE(input_enews_announcement_type," ","")&amp;",")))&gt;0)),IF(CC114="",TRUE,IF(input_enews_announcement_type="",FALSE,SUMPRODUCT(--ISNUMBER(SEARCH(","&amp;TRIM(TEXTSPLIT(CC114,","))&amp;",",","&amp;SUBSTITUTE(input_enews_announcement_type," ","")&amp;",")))=COUNTA(TEXTSPLIT(CC114,",")))))</f>
        <v/>
      </c>
      <c r="JA114">
        <f>AND(IF(CE114="",TRUE,IF(input_enews_audience="",FALSE,SUMPRODUCT(--ISNUMBER(SEARCH(","&amp;TRIM(TEXTSPLIT(CE114,","))&amp;",",","&amp;SUBSTITUTE(input_enews_audience," ","")&amp;",")))&gt;0)),IF(CG114="",TRUE,IF(input_enews_audience="",FALSE,SUMPRODUCT(--ISNUMBER(SEARCH(","&amp;TRIM(TEXTSPLIT(CG114,","))&amp;",",","&amp;SUBSTITUTE(input_enews_audience," ","")&amp;",")))=COUNTA(TEXTSPLIT(CG114,",")))),IF(CI114="",TRUE,IF(input_enews_audience="",TRUE,SUMPRODUCT(--ISNUMBER(SEARCH(","&amp;TRIM(TEXTSPLIT(CI114,","))&amp;",",","&amp;SUBSTITUTE(input_enews_audience," ","")&amp;",")))=0)),IF(CK114="",TRUE,IF(input_enews_audience="",FALSE,SUMPRODUCT(--ISNUMBER(SEARCH(","&amp;TRIM(TEXTSPLIT(CK114,","))&amp;",",","&amp;SUBSTITUTE(input_enews_audience," ","")&amp;",")))&gt;0)),IF(CM114="",TRUE,IF(input_enews_audience="",FALSE,SUMPRODUCT(--ISNUMBER(SEARCH(","&amp;TRIM(TEXTSPLIT(CM114,","))&amp;",",","&amp;SUBSTITUTE(input_enews_audience," ","")&amp;",")))=COUNTA(TEXTSPLIT(CM114,",")))))</f>
        <v/>
      </c>
      <c r="JB114">
        <f>AND(IF(CO114="",TRUE,IF(input_event_location="",FALSE,SUMPRODUCT(--ISNUMBER(SEARCH(","&amp;TRIM(TEXTSPLIT(CO114,","))&amp;",",","&amp;SUBSTITUTE(input_event_location," ","")&amp;",")))&gt;0)),IF(CQ114="",TRUE,IF(input_event_location="",FALSE,SUMPRODUCT(--ISNUMBER(SEARCH(","&amp;TRIM(TEXTSPLIT(CQ114,","))&amp;",",","&amp;SUBSTITUTE(input_event_location," ","")&amp;",")))=COUNTA(TEXTSPLIT(CQ114,",")))),IF(CS114="",TRUE,IF(input_event_location="",TRUE,SUMPRODUCT(--ISNUMBER(SEARCH(","&amp;TRIM(TEXTSPLIT(CS114,","))&amp;",",","&amp;SUBSTITUTE(input_event_location," ","")&amp;",")))=0)),IF(CU114="",TRUE,IF(input_event_location="",FALSE,SUMPRODUCT(--ISNUMBER(SEARCH(","&amp;TRIM(TEXTSPLIT(CU114,","))&amp;",",","&amp;SUBSTITUTE(input_event_location," ","")&amp;",")))&gt;0)),IF(CW114="",TRUE,IF(input_event_location="",FALSE,SUMPRODUCT(--ISNUMBER(SEARCH(","&amp;TRIM(TEXTSPLIT(CW114,","))&amp;",",","&amp;SUBSTITUTE(input_event_location," ","")&amp;",")))=COUNTA(TEXTSPLIT(CW114,",")))))</f>
        <v/>
      </c>
      <c r="JC114">
        <f>AND(IF(CY114="",TRUE,IF(input_event_type="",FALSE,SUMPRODUCT(--ISNUMBER(SEARCH(","&amp;TRIM(TEXTSPLIT(CY114,","))&amp;",",","&amp;SUBSTITUTE(input_event_type," ","")&amp;",")))&gt;0)),IF(DA114="",TRUE,IF(input_event_type="",FALSE,SUMPRODUCT(--ISNUMBER(SEARCH(","&amp;TRIM(TEXTSPLIT(DA114,","))&amp;",",","&amp;SUBSTITUTE(input_event_type," ","")&amp;",")))=COUNTA(TEXTSPLIT(DA114,",")))),IF(DC114="",TRUE,IF(input_event_type="",TRUE,SUMPRODUCT(--ISNUMBER(SEARCH(","&amp;TRIM(TEXTSPLIT(DC114,","))&amp;",",","&amp;SUBSTITUTE(input_event_type," ","")&amp;",")))=0)),IF(DE114="",TRUE,IF(input_event_type="",FALSE,SUMPRODUCT(--ISNUMBER(SEARCH(","&amp;TRIM(TEXTSPLIT(DE114,","))&amp;",",","&amp;SUBSTITUTE(input_event_type," ","")&amp;",")))&gt;0)),IF(DG114="",TRUE,IF(input_event_type="",FALSE,SUMPRODUCT(--ISNUMBER(SEARCH(","&amp;TRIM(TEXTSPLIT(DG114,","))&amp;",",","&amp;SUBSTITUTE(input_event_type," ","")&amp;",")))=COUNTA(TEXTSPLIT(DG114,",")))))</f>
        <v/>
      </c>
      <c r="JD114">
        <f>AND(IF(DI114="",TRUE,IF(input_executive_education_focus="",FALSE,SUMPRODUCT(--ISNUMBER(SEARCH(","&amp;TRIM(TEXTSPLIT(DI114,","))&amp;",",","&amp;SUBSTITUTE(input_executive_education_focus," ","")&amp;",")))&gt;0)),IF(DK114="",TRUE,IF(input_executive_education_focus="",FALSE,SUMPRODUCT(--ISNUMBER(SEARCH(","&amp;TRIM(TEXTSPLIT(DK114,","))&amp;",",","&amp;SUBSTITUTE(input_executive_education_focus," ","")&amp;",")))=COUNTA(TEXTSPLIT(DK114,",")))),IF(DM114="",TRUE,IF(input_executive_education_focus="",TRUE,SUMPRODUCT(--ISNUMBER(SEARCH(","&amp;TRIM(TEXTSPLIT(DM114,","))&amp;",",","&amp;SUBSTITUTE(input_executive_education_focus," ","")&amp;",")))=0)),IF(DO114="",TRUE,IF(input_executive_education_focus="",FALSE,SUMPRODUCT(--ISNUMBER(SEARCH(","&amp;TRIM(TEXTSPLIT(DO114,","))&amp;",",","&amp;SUBSTITUTE(input_executive_education_focus," ","")&amp;",")))&gt;0)),IF(DQ114="",TRUE,IF(input_executive_education_focus="",FALSE,SUMPRODUCT(--ISNUMBER(SEARCH(","&amp;TRIM(TEXTSPLIT(DQ114,","))&amp;",",","&amp;SUBSTITUTE(input_executive_education_focus," ","")&amp;",")))=COUNTA(TEXTSPLIT(DQ114,",")))))</f>
        <v/>
      </c>
      <c r="JE114">
        <f>AND(IF(DS114="",TRUE,IF(input_faculty_category="",FALSE,SUMPRODUCT(--ISNUMBER(SEARCH(","&amp;TRIM(TEXTSPLIT(DS114,","))&amp;",",","&amp;SUBSTITUTE(input_faculty_category," ","")&amp;",")))&gt;0)),IF(DU114="",TRUE,IF(input_faculty_category="",FALSE,SUMPRODUCT(--ISNUMBER(SEARCH(","&amp;TRIM(TEXTSPLIT(DU114,","))&amp;",",","&amp;SUBSTITUTE(input_faculty_category," ","")&amp;",")))=COUNTA(TEXTSPLIT(DU114,",")))),IF(DW114="",TRUE,IF(input_faculty_category="",TRUE,SUMPRODUCT(--ISNUMBER(SEARCH(","&amp;TRIM(TEXTSPLIT(DW114,","))&amp;",",","&amp;SUBSTITUTE(input_faculty_category," ","")&amp;",")))=0)),IF(DY114="",TRUE,IF(input_faculty_category="",FALSE,SUMPRODUCT(--ISNUMBER(SEARCH(","&amp;TRIM(TEXTSPLIT(DY114,","))&amp;",",","&amp;SUBSTITUTE(input_faculty_category," ","")&amp;",")))&gt;0)),IF(EA114="",TRUE,IF(input_faculty_category="",FALSE,SUMPRODUCT(--ISNUMBER(SEARCH(","&amp;TRIM(TEXTSPLIT(EA114,","))&amp;",",","&amp;SUBSTITUTE(input_faculty_category," ","")&amp;",")))=COUNTA(TEXTSPLIT(EA114,",")))))</f>
        <v/>
      </c>
      <c r="JF114">
        <f>AND(IF(EC114="",TRUE,IF(input_faculty_discipline="",FALSE,SUMPRODUCT(--ISNUMBER(SEARCH(","&amp;TRIM(TEXTSPLIT(EC114,","))&amp;",",","&amp;SUBSTITUTE(input_faculty_discipline," ","")&amp;",")))&gt;0)),IF(EE114="",TRUE,IF(input_faculty_discipline="",FALSE,SUMPRODUCT(--ISNUMBER(SEARCH(","&amp;TRIM(TEXTSPLIT(EE114,","))&amp;",",","&amp;SUBSTITUTE(input_faculty_discipline," ","")&amp;",")))=COUNTA(TEXTSPLIT(EE114,",")))),IF(EG114="",TRUE,IF(input_faculty_discipline="",TRUE,SUMPRODUCT(--ISNUMBER(SEARCH(","&amp;TRIM(TEXTSPLIT(EG114,","))&amp;",",","&amp;SUBSTITUTE(input_faculty_discipline," ","")&amp;",")))=0)),IF(EI114="",TRUE,IF(input_faculty_discipline="",FALSE,SUMPRODUCT(--ISNUMBER(SEARCH(","&amp;TRIM(TEXTSPLIT(EI114,","))&amp;",",","&amp;SUBSTITUTE(input_faculty_discipline," ","")&amp;",")))&gt;0)),IF(EK114="",TRUE,IF(input_faculty_discipline="",FALSE,SUMPRODUCT(--ISNUMBER(SEARCH(","&amp;TRIM(TEXTSPLIT(EK114,","))&amp;",",","&amp;SUBSTITUTE(input_faculty_discipline," ","")&amp;",")))=COUNTA(TEXTSPLIT(EK114,",")))))</f>
        <v/>
      </c>
      <c r="JG114">
        <f>AND(IF(EM114="",TRUE,IF(input_faculty_expertise="",FALSE,SUMPRODUCT(--ISNUMBER(SEARCH(","&amp;TRIM(TEXTSPLIT(EM114,","))&amp;",",","&amp;SUBSTITUTE(input_faculty_expertise," ","")&amp;",")))&gt;0)),IF(EO114="",TRUE,IF(input_faculty_expertise="",FALSE,SUMPRODUCT(--ISNUMBER(SEARCH(","&amp;TRIM(TEXTSPLIT(EO114,","))&amp;",",","&amp;SUBSTITUTE(input_faculty_expertise," ","")&amp;",")))=COUNTA(TEXTSPLIT(EO114,",")))),IF(EQ114="",TRUE,IF(input_faculty_expertise="",TRUE,SUMPRODUCT(--ISNUMBER(SEARCH(","&amp;TRIM(TEXTSPLIT(EQ114,","))&amp;",",","&amp;SUBSTITUTE(input_faculty_expertise," ","")&amp;",")))=0)),IF(ES114="",TRUE,IF(input_faculty_expertise="",FALSE,SUMPRODUCT(--ISNUMBER(SEARCH(","&amp;TRIM(TEXTSPLIT(ES114,","))&amp;",",","&amp;SUBSTITUTE(input_faculty_expertise," ","")&amp;",")))&gt;0)),IF(EU114="",TRUE,IF(input_faculty_expertise="",FALSE,SUMPRODUCT(--ISNUMBER(SEARCH(","&amp;TRIM(TEXTSPLIT(EU114,","))&amp;",",","&amp;SUBSTITUTE(input_faculty_expertise," ","")&amp;",")))=COUNTA(TEXTSPLIT(EU114,",")))))</f>
        <v/>
      </c>
      <c r="JH114">
        <f>AND(IF(EW114="",TRUE,IF(input_global_network_school="",FALSE,SUMPRODUCT(--ISNUMBER(SEARCH(","&amp;TRIM(TEXTSPLIT(EW114,","))&amp;",",","&amp;SUBSTITUTE(input_global_network_school," ","")&amp;",")))&gt;0)),IF(EY114="",TRUE,IF(input_global_network_school="",FALSE,SUMPRODUCT(--ISNUMBER(SEARCH(","&amp;TRIM(TEXTSPLIT(EY114,","))&amp;",",","&amp;SUBSTITUTE(input_global_network_school," ","")&amp;",")))=COUNTA(TEXTSPLIT(EY114,",")))),IF(FA114="",TRUE,IF(input_global_network_school="",TRUE,SUMPRODUCT(--ISNUMBER(SEARCH(","&amp;TRIM(TEXTSPLIT(FA114,","))&amp;",",","&amp;SUBSTITUTE(input_global_network_school," ","")&amp;",")))=0)),IF(FC114="",TRUE,IF(input_global_network_school="",FALSE,SUMPRODUCT(--ISNUMBER(SEARCH(","&amp;TRIM(TEXTSPLIT(FC114,","))&amp;",",","&amp;SUBSTITUTE(input_global_network_school," ","")&amp;",")))&gt;0)),IF(FE114="",TRUE,IF(input_global_network_school="",FALSE,SUMPRODUCT(--ISNUMBER(SEARCH(","&amp;TRIM(TEXTSPLIT(FE114,","))&amp;",",","&amp;SUBSTITUTE(input_global_network_school," ","")&amp;",")))=COUNTA(TEXTSPLIT(FE114,",")))))</f>
        <v/>
      </c>
      <c r="JI114">
        <f>AND(IF(FG114="",TRUE,IF(input_industry="",FALSE,SUMPRODUCT(--ISNUMBER(SEARCH(","&amp;TRIM(TEXTSPLIT(FG114,","))&amp;",",","&amp;SUBSTITUTE(input_industry," ","")&amp;",")))&gt;0)),IF(FI114="",TRUE,IF(input_industry="",FALSE,SUMPRODUCT(--ISNUMBER(SEARCH(","&amp;TRIM(TEXTSPLIT(FI114,","))&amp;",",","&amp;SUBSTITUTE(input_industry," ","")&amp;",")))=COUNTA(TEXTSPLIT(FI114,",")))),IF(FK114="",TRUE,IF(input_industry="",TRUE,SUMPRODUCT(--ISNUMBER(SEARCH(","&amp;TRIM(TEXTSPLIT(FK114,","))&amp;",",","&amp;SUBSTITUTE(input_industry," ","")&amp;",")))=0)),IF(FM114="",TRUE,IF(input_industry="",FALSE,SUMPRODUCT(--ISNUMBER(SEARCH(","&amp;TRIM(TEXTSPLIT(FM114,","))&amp;",",","&amp;SUBSTITUTE(input_industry," ","")&amp;",")))&gt;0)),IF(FO114="",TRUE,IF(input_industry="",FALSE,SUMPRODUCT(--ISNUMBER(SEARCH(","&amp;TRIM(TEXTSPLIT(FO114,","))&amp;",",","&amp;SUBSTITUTE(input_industry," ","")&amp;",")))=COUNTA(TEXTSPLIT(FO114,",")))))</f>
        <v/>
      </c>
      <c r="JJ114">
        <f>AND(IF(FQ114="",TRUE,IF(input_location="",FALSE,SUMPRODUCT(--ISNUMBER(SEARCH(","&amp;TRIM(TEXTSPLIT(FQ114,","))&amp;",",","&amp;SUBSTITUTE(input_location," ","")&amp;",")))&gt;0)),IF(FS114="",TRUE,IF(input_location="",FALSE,SUMPRODUCT(--ISNUMBER(SEARCH(","&amp;TRIM(TEXTSPLIT(FS114,","))&amp;",",","&amp;SUBSTITUTE(input_location," ","")&amp;",")))=COUNTA(TEXTSPLIT(FS114,",")))),IF(FU114="",TRUE,IF(input_location="",TRUE,SUMPRODUCT(--ISNUMBER(SEARCH(","&amp;TRIM(TEXTSPLIT(FU114,","))&amp;",",","&amp;SUBSTITUTE(input_location," ","")&amp;",")))=0)),IF(FW114="",TRUE,IF(input_location="",FALSE,SUMPRODUCT(--ISNUMBER(SEARCH(","&amp;TRIM(TEXTSPLIT(FW114,","))&amp;",",","&amp;SUBSTITUTE(input_location," ","")&amp;",")))&gt;0)),IF(FY114="",TRUE,IF(input_location="",FALSE,SUMPRODUCT(--ISNUMBER(SEARCH(","&amp;TRIM(TEXTSPLIT(FY114,","))&amp;",",","&amp;SUBSTITUTE(input_location," ","")&amp;",")))=COUNTA(TEXTSPLIT(FY114,",")))))</f>
        <v/>
      </c>
      <c r="JK114">
        <f>AND(IF(GA114="",TRUE,IF(input_modality="",FALSE,SUMPRODUCT(--ISNUMBER(SEARCH(","&amp;TRIM(TEXTSPLIT(GA114,","))&amp;",",","&amp;SUBSTITUTE(input_modality," ","")&amp;",")))&gt;0)),IF(GC114="",TRUE,IF(input_modality="",FALSE,SUMPRODUCT(--ISNUMBER(SEARCH(","&amp;TRIM(TEXTSPLIT(GC114,","))&amp;",",","&amp;SUBSTITUTE(input_modality," ","")&amp;",")))=COUNTA(TEXTSPLIT(GC114,",")))),IF(GE114="",TRUE,IF(input_modality="",TRUE,SUMPRODUCT(--ISNUMBER(SEARCH(","&amp;TRIM(TEXTSPLIT(GE114,","))&amp;",",","&amp;SUBSTITUTE(input_modality," ","")&amp;",")))=0)),IF(GG114="",TRUE,IF(input_modality="",FALSE,SUMPRODUCT(--ISNUMBER(SEARCH(","&amp;TRIM(TEXTSPLIT(GG114,","))&amp;",",","&amp;SUBSTITUTE(input_modality," ","")&amp;",")))&gt;0)),IF(GI114="",TRUE,IF(input_modality="",FALSE,SUMPRODUCT(--ISNUMBER(SEARCH(","&amp;TRIM(TEXTSPLIT(GI114,","))&amp;",",","&amp;SUBSTITUTE(input_modality," ","")&amp;",")))=COUNTA(TEXTSPLIT(GI114,",")))))</f>
        <v/>
      </c>
      <c r="JL114">
        <f>AND(IF(GK114="",TRUE,IF(input_organizer="",FALSE,SUMPRODUCT(--ISNUMBER(SEARCH(","&amp;TRIM(TEXTSPLIT(GK114,","))&amp;",",","&amp;SUBSTITUTE(input_organizer," ","")&amp;",")))&gt;0)),IF(GM114="",TRUE,IF(input_organizer="",FALSE,SUMPRODUCT(--ISNUMBER(SEARCH(","&amp;TRIM(TEXTSPLIT(GM114,","))&amp;",",","&amp;SUBSTITUTE(input_organizer," ","")&amp;",")))=COUNTA(TEXTSPLIT(GM114,",")))),IF(GO114="",TRUE,IF(input_organizer="",TRUE,SUMPRODUCT(--ISNUMBER(SEARCH(","&amp;TRIM(TEXTSPLIT(GO114,","))&amp;",",","&amp;SUBSTITUTE(input_organizer," ","")&amp;",")))=0)),IF(GQ114="",TRUE,IF(input_organizer="",FALSE,SUMPRODUCT(--ISNUMBER(SEARCH(","&amp;TRIM(TEXTSPLIT(GQ114,","))&amp;",",","&amp;SUBSTITUTE(input_organizer," ","")&amp;",")))&gt;0)),IF(GS114="",TRUE,IF(input_organizer="",FALSE,SUMPRODUCT(--ISNUMBER(SEARCH(","&amp;TRIM(TEXTSPLIT(GS114,","))&amp;",",","&amp;SUBSTITUTE(input_organizer," ","")&amp;",")))=COUNTA(TEXTSPLIT(GS114,",")))))</f>
        <v/>
      </c>
      <c r="JM114">
        <f>AND(IF(GU114="",TRUE,IF(input_profile_type="",FALSE,SUMPRODUCT(--ISNUMBER(SEARCH(","&amp;TRIM(TEXTSPLIT(GU114,","))&amp;",",","&amp;SUBSTITUTE(input_profile_type," ","")&amp;",")))&gt;0)),IF(GW114="",TRUE,IF(input_profile_type="",FALSE,SUMPRODUCT(--ISNUMBER(SEARCH(","&amp;TRIM(TEXTSPLIT(GW114,","))&amp;",",","&amp;SUBSTITUTE(input_profile_type," ","")&amp;",")))=COUNTA(TEXTSPLIT(GW114,",")))),IF(GY114="",TRUE,IF(input_profile_type="",TRUE,SUMPRODUCT(--ISNUMBER(SEARCH(","&amp;TRIM(TEXTSPLIT(GY114,","))&amp;",",","&amp;SUBSTITUTE(input_profile_type," ","")&amp;",")))=0)),IF(HA114="",TRUE,IF(input_profile_type="",FALSE,SUMPRODUCT(--ISNUMBER(SEARCH(","&amp;TRIM(TEXTSPLIT(HA114,","))&amp;",",","&amp;SUBSTITUTE(input_profile_type," ","")&amp;",")))&gt;0)),IF(HC114="",TRUE,IF(input_profile_type="",FALSE,SUMPRODUCT(--ISNUMBER(SEARCH(","&amp;TRIM(TEXTSPLIT(HC114,","))&amp;",",","&amp;SUBSTITUTE(input_profile_type," ","")&amp;",")))=COUNTA(TEXTSPLIT(HC114,",")))))</f>
        <v/>
      </c>
      <c r="JN114">
        <f>AND(IF(HE114="",TRUE,IF(input_program="",FALSE,SUMPRODUCT(--ISNUMBER(SEARCH(","&amp;TRIM(TEXTSPLIT(HE114,","))&amp;",",","&amp;SUBSTITUTE(input_program," ","")&amp;",")))&gt;0)),IF(HG114="",TRUE,IF(input_program="",FALSE,SUMPRODUCT(--ISNUMBER(SEARCH(","&amp;TRIM(TEXTSPLIT(HG114,","))&amp;",",","&amp;SUBSTITUTE(input_program," ","")&amp;",")))=COUNTA(TEXTSPLIT(HG114,",")))),IF(HI114="",TRUE,IF(input_program="",TRUE,SUMPRODUCT(--ISNUMBER(SEARCH(","&amp;TRIM(TEXTSPLIT(HI114,","))&amp;",",","&amp;SUBSTITUTE(input_program," ","")&amp;",")))=0)),IF(HK114="",TRUE,IF(input_program="",FALSE,SUMPRODUCT(--ISNUMBER(SEARCH(","&amp;TRIM(TEXTSPLIT(HK114,","))&amp;",",","&amp;SUBSTITUTE(input_program," ","")&amp;",")))&gt;0)),IF(HM114="",TRUE,IF(input_program="",FALSE,SUMPRODUCT(--ISNUMBER(SEARCH(","&amp;TRIM(TEXTSPLIT(HM114,","))&amp;",",","&amp;SUBSTITUTE(input_program," ","")&amp;",")))=COUNTA(TEXTSPLIT(HM114,",")))))</f>
        <v/>
      </c>
      <c r="JO114">
        <f>AND(IF(HO114="",TRUE,IF(input_story_categories="",FALSE,SUMPRODUCT(--ISNUMBER(SEARCH(","&amp;TRIM(TEXTSPLIT(HO114,","))&amp;",",","&amp;SUBSTITUTE(input_story_categories," ","")&amp;",")))&gt;0)),IF(HQ114="",TRUE,IF(input_story_categories="",FALSE,SUMPRODUCT(--ISNUMBER(SEARCH(","&amp;TRIM(TEXTSPLIT(HQ114,","))&amp;",",","&amp;SUBSTITUTE(input_story_categories," ","")&amp;",")))=COUNTA(TEXTSPLIT(HQ114,",")))),IF(HS114="",TRUE,IF(input_story_categories="",TRUE,SUMPRODUCT(--ISNUMBER(SEARCH(","&amp;TRIM(TEXTSPLIT(HS114,","))&amp;",",","&amp;SUBSTITUTE(input_story_categories," ","")&amp;",")))=0)),IF(HU114="",TRUE,IF(input_story_categories="",FALSE,SUMPRODUCT(--ISNUMBER(SEARCH(","&amp;TRIM(TEXTSPLIT(HU114,","))&amp;",",","&amp;SUBSTITUTE(input_story_categories," ","")&amp;",")))&gt;0)),IF(HW114="",TRUE,IF(input_story_categories="",FALSE,SUMPRODUCT(--ISNUMBER(SEARCH(","&amp;TRIM(TEXTSPLIT(HW114,","))&amp;",",","&amp;SUBSTITUTE(input_story_categories," ","")&amp;",")))=COUNTA(TEXTSPLIT(HW114,",")))))</f>
        <v/>
      </c>
      <c r="JP114">
        <f>AND(IF(HY114="",TRUE,IF(input_story_type="",FALSE,SUMPRODUCT(--ISNUMBER(SEARCH(","&amp;TRIM(TEXTSPLIT(HY114,","))&amp;",",","&amp;SUBSTITUTE(input_story_type," ","")&amp;",")))&gt;0)),IF(IA114="",TRUE,IF(input_story_type="",FALSE,SUMPRODUCT(--ISNUMBER(SEARCH(","&amp;TRIM(TEXTSPLIT(IA114,","))&amp;",",","&amp;SUBSTITUTE(input_story_type," ","")&amp;",")))=COUNTA(TEXTSPLIT(IA114,",")))),IF(IC114="",TRUE,IF(input_story_type="",TRUE,SUMPRODUCT(--ISNUMBER(SEARCH(","&amp;TRIM(TEXTSPLIT(IC114,","))&amp;",",","&amp;SUBSTITUTE(input_story_type," ","")&amp;",")))=0)),IF(IE114="",TRUE,IF(input_story_type="",FALSE,SUMPRODUCT(--ISNUMBER(SEARCH(","&amp;TRIM(TEXTSPLIT(IE114,","))&amp;",",","&amp;SUBSTITUTE(input_story_type," ","")&amp;",")))&gt;0)),IF(IG114="",TRUE,IF(input_story_type="",FALSE,SUMPRODUCT(--ISNUMBER(SEARCH(","&amp;TRIM(TEXTSPLIT(IG114,","))&amp;",",","&amp;SUBSTITUTE(input_story_type," ","")&amp;",")))=COUNTA(TEXTSPLIT(IG114,",")))))</f>
        <v/>
      </c>
      <c r="JQ114">
        <f>AND(IF(II114="",TRUE,IF(input_topics="",FALSE,SUMPRODUCT(--ISNUMBER(SEARCH(","&amp;TRIM(TEXTSPLIT(II114,","))&amp;",",","&amp;SUBSTITUTE(input_topics," ","")&amp;",")))&gt;0)),IF(IK114="",TRUE,IF(input_topics="",FALSE,SUMPRODUCT(--ISNUMBER(SEARCH(","&amp;TRIM(TEXTSPLIT(IK114,","))&amp;",",","&amp;SUBSTITUTE(input_topics," ","")&amp;",")))=COUNTA(TEXTSPLIT(IK114,",")))),IF(IM114="",TRUE,IF(input_topics="",TRUE,SUMPRODUCT(--ISNUMBER(SEARCH(","&amp;TRIM(TEXTSPLIT(IM114,","))&amp;",",","&amp;SUBSTITUTE(input_topics," ","")&amp;",")))=0)),IF(IO114="",TRUE,IF(input_topics="",FALSE,SUMPRODUCT(--ISNUMBER(SEARCH(","&amp;TRIM(TEXTSPLIT(IO114,","))&amp;",",","&amp;SUBSTITUTE(input_topics," ","")&amp;",")))&gt;0)),IF(IQ114="",TRUE,IF(input_topics="",FALSE,SUMPRODUCT(--ISNUMBER(SEARCH(","&amp;TRIM(TEXTSPLIT(IQ114,","))&amp;",",","&amp;SUBSTITUTE(input_topics," ","")&amp;",")))=COUNTA(TEXTSPLIT(IQ114,",")))))</f>
        <v/>
      </c>
    </row>
    <row r="115">
      <c r="A115" s="4">
        <f>IF(NOT(IS115),"Excluded",IF(AND(IT115,IU115,IV115,IW115,IX115,IY115,IZ115,JA115,JB115,JC115,JD115,JE115,JF115,JG115,JH115,JI115,JJ115,JK115,JL115,JM115,JN115,JO115,JP115,JQ115),IF(I115&gt;0,"Eligible but limited","Will appear"),"Excluded"))</f>
        <v/>
      </c>
      <c r="B115" s="4" t="inlineStr">
        <is>
          <t>GBS Admissions Ambassadors</t>
        </is>
      </c>
      <c r="C115" s="4" t="inlineStr">
        <is>
          <t>/programs/mms-global-business-and-society/admissions/admissions-ambassadors</t>
        </is>
      </c>
      <c r="D115" s="4" t="inlineStr">
        <is>
          <t>/programs/mms-global-business-and-society/admissions/admissions-ambassadors</t>
        </is>
      </c>
      <c r="E115" s="4" t="n">
        <v>1</v>
      </c>
      <c r="F115" s="4" t="inlineStr">
        <is>
          <t>profile</t>
        </is>
      </c>
      <c r="G115" s="4" t="inlineStr">
        <is>
          <t>profiles_grid</t>
        </is>
      </c>
      <c r="H115" s="4" t="inlineStr">
        <is>
          <t>embed_4</t>
        </is>
      </c>
      <c r="I115" s="4" t="n">
        <v>9</v>
      </c>
      <c r="J115" s="4" t="inlineStr">
        <is>
          <t>Explicit args</t>
        </is>
      </c>
      <c r="K115" s="4" t="inlineStr">
        <is>
          <t>Page placement</t>
        </is>
      </c>
      <c r="L115" s="4" t="inlineStr">
        <is>
          <t>Content type: profile; Needs any Profile Type: Ambassador (1552); Context uses Program: Master’s Degree in Global Business &amp; Society (84), Master's Degree in Global Business and Society (950), GBS Admissions Ambassadors (260); Limited to 9 item(s); Source: Explicit args</t>
        </is>
      </c>
      <c r="M115" t="inlineStr"/>
      <c r="N115" t="inlineStr"/>
      <c r="O115" t="inlineStr"/>
      <c r="P115" t="inlineStr"/>
      <c r="Q115" t="inlineStr"/>
      <c r="R115" t="inlineStr"/>
      <c r="S115" t="inlineStr"/>
      <c r="T115" t="inlineStr"/>
      <c r="U115" t="inlineStr"/>
      <c r="V115" t="inlineStr"/>
      <c r="W115" t="inlineStr"/>
      <c r="X115" t="inlineStr"/>
      <c r="Y115" t="inlineStr"/>
      <c r="Z115" t="inlineStr"/>
      <c r="AA115" t="inlineStr"/>
      <c r="AB115" t="inlineStr"/>
      <c r="AC115" t="inlineStr"/>
      <c r="AD115" t="inlineStr"/>
      <c r="AE115" t="inlineStr"/>
      <c r="AF115" t="inlineStr"/>
      <c r="AG115" t="inlineStr"/>
      <c r="AH115" t="inlineStr"/>
      <c r="AI115" t="inlineStr"/>
      <c r="AJ115" t="inlineStr"/>
      <c r="AK115" t="inlineStr"/>
      <c r="AL115" t="inlineStr"/>
      <c r="AM115" t="inlineStr"/>
      <c r="AN115" t="inlineStr"/>
      <c r="AO115" t="inlineStr"/>
      <c r="AP115" t="inlineStr"/>
      <c r="AQ115" t="inlineStr"/>
      <c r="AR115" t="inlineStr"/>
      <c r="AS115" t="inlineStr"/>
      <c r="AT115" t="inlineStr"/>
      <c r="AU115" t="inlineStr"/>
      <c r="AV115" t="inlineStr"/>
      <c r="AW115" t="inlineStr"/>
      <c r="AX115" t="inlineStr"/>
      <c r="AY115" t="inlineStr"/>
      <c r="AZ115" t="inlineStr"/>
      <c r="BA115" t="inlineStr"/>
      <c r="BB115" t="inlineStr"/>
      <c r="BC115" t="inlineStr"/>
      <c r="BD115" t="inlineStr"/>
      <c r="BE115" t="inlineStr"/>
      <c r="BF115" t="inlineStr"/>
      <c r="BG115" t="inlineStr"/>
      <c r="BH115" t="inlineStr"/>
      <c r="BI115" t="inlineStr"/>
      <c r="BJ115" t="inlineStr"/>
      <c r="BK115" t="inlineStr"/>
      <c r="BL115" t="inlineStr"/>
      <c r="BM115" t="inlineStr"/>
      <c r="BN115" t="inlineStr"/>
      <c r="BO115" t="inlineStr"/>
      <c r="BP115" t="inlineStr"/>
      <c r="BQ115" t="inlineStr"/>
      <c r="BR115" t="inlineStr"/>
      <c r="BS115" t="inlineStr"/>
      <c r="BT115" t="inlineStr"/>
      <c r="BU115" t="inlineStr"/>
      <c r="BV115" t="inlineStr"/>
      <c r="BW115" t="inlineStr"/>
      <c r="BX115" t="inlineStr"/>
      <c r="BY115" t="inlineStr"/>
      <c r="BZ115" t="inlineStr"/>
      <c r="CA115" t="inlineStr"/>
      <c r="CB115" t="inlineStr"/>
      <c r="CC115" t="inlineStr"/>
      <c r="CD115" t="inlineStr"/>
      <c r="CE115" t="inlineStr"/>
      <c r="CF115" t="inlineStr"/>
      <c r="CG115" t="inlineStr"/>
      <c r="CH115" t="inlineStr"/>
      <c r="CI115" t="inlineStr"/>
      <c r="CJ115" t="inlineStr"/>
      <c r="CK115" t="inlineStr"/>
      <c r="CL115" t="inlineStr"/>
      <c r="CM115" t="inlineStr"/>
      <c r="CN115" t="inlineStr"/>
      <c r="CO115" t="inlineStr"/>
      <c r="CP115" t="inlineStr"/>
      <c r="CQ115" t="inlineStr"/>
      <c r="CR115" t="inlineStr"/>
      <c r="CS115" t="inlineStr"/>
      <c r="CT115" t="inlineStr"/>
      <c r="CU115" t="inlineStr"/>
      <c r="CV115" t="inlineStr"/>
      <c r="CW115" t="inlineStr"/>
      <c r="CX115" t="inlineStr"/>
      <c r="CY115" t="inlineStr"/>
      <c r="CZ115" t="inlineStr"/>
      <c r="DA115" t="inlineStr"/>
      <c r="DB115" t="inlineStr"/>
      <c r="DC115" t="inlineStr"/>
      <c r="DD115" t="inlineStr"/>
      <c r="DE115" t="inlineStr"/>
      <c r="DF115" t="inlineStr"/>
      <c r="DG115" t="inlineStr"/>
      <c r="DH115" t="inlineStr"/>
      <c r="DI115" t="inlineStr"/>
      <c r="DJ115" t="inlineStr"/>
      <c r="DK115" t="inlineStr"/>
      <c r="DL115" t="inlineStr"/>
      <c r="DM115" t="inlineStr"/>
      <c r="DN115" t="inlineStr"/>
      <c r="DO115" t="inlineStr"/>
      <c r="DP115" t="inlineStr"/>
      <c r="DQ115" t="inlineStr"/>
      <c r="DR115" t="inlineStr"/>
      <c r="DS115" t="inlineStr"/>
      <c r="DT115" t="inlineStr"/>
      <c r="DU115" t="inlineStr"/>
      <c r="DV115" t="inlineStr"/>
      <c r="DW115" t="inlineStr"/>
      <c r="DX115" t="inlineStr"/>
      <c r="DY115" t="inlineStr"/>
      <c r="DZ115" t="inlineStr"/>
      <c r="EA115" t="inlineStr"/>
      <c r="EB115" t="inlineStr"/>
      <c r="EC115" t="inlineStr"/>
      <c r="ED115" t="inlineStr"/>
      <c r="EE115" t="inlineStr"/>
      <c r="EF115" t="inlineStr"/>
      <c r="EG115" t="inlineStr"/>
      <c r="EH115" t="inlineStr"/>
      <c r="EI115" t="inlineStr"/>
      <c r="EJ115" t="inlineStr"/>
      <c r="EK115" t="inlineStr"/>
      <c r="EL115" t="inlineStr"/>
      <c r="EM115" t="inlineStr"/>
      <c r="EN115" t="inlineStr"/>
      <c r="EO115" t="inlineStr"/>
      <c r="EP115" t="inlineStr"/>
      <c r="EQ115" t="inlineStr"/>
      <c r="ER115" t="inlineStr"/>
      <c r="ES115" t="inlineStr"/>
      <c r="ET115" t="inlineStr"/>
      <c r="EU115" t="inlineStr"/>
      <c r="EV115" t="inlineStr"/>
      <c r="EW115" t="inlineStr"/>
      <c r="EX115" t="inlineStr"/>
      <c r="EY115" t="inlineStr"/>
      <c r="EZ115" t="inlineStr"/>
      <c r="FA115" t="inlineStr"/>
      <c r="FB115" t="inlineStr"/>
      <c r="FC115" t="inlineStr"/>
      <c r="FD115" t="inlineStr"/>
      <c r="FE115" t="inlineStr"/>
      <c r="FF115" t="inlineStr"/>
      <c r="FG115" t="inlineStr"/>
      <c r="FH115" t="inlineStr"/>
      <c r="FI115" t="inlineStr"/>
      <c r="FJ115" t="inlineStr"/>
      <c r="FK115" t="inlineStr"/>
      <c r="FL115" t="inlineStr"/>
      <c r="FM115" t="inlineStr"/>
      <c r="FN115" t="inlineStr"/>
      <c r="FO115" t="inlineStr"/>
      <c r="FP115" t="inlineStr"/>
      <c r="FQ115" t="inlineStr"/>
      <c r="FR115" t="inlineStr"/>
      <c r="FS115" t="inlineStr"/>
      <c r="FT115" t="inlineStr"/>
      <c r="FU115" t="inlineStr"/>
      <c r="FV115" t="inlineStr"/>
      <c r="FW115" t="inlineStr"/>
      <c r="FX115" t="inlineStr"/>
      <c r="FY115" t="inlineStr"/>
      <c r="FZ115" t="inlineStr"/>
      <c r="GA115" t="inlineStr"/>
      <c r="GB115" t="inlineStr"/>
      <c r="GC115" t="inlineStr"/>
      <c r="GD115" t="inlineStr"/>
      <c r="GE115" t="inlineStr"/>
      <c r="GF115" t="inlineStr"/>
      <c r="GG115" t="inlineStr"/>
      <c r="GH115" t="inlineStr"/>
      <c r="GI115" t="inlineStr"/>
      <c r="GJ115" t="inlineStr"/>
      <c r="GK115" t="inlineStr"/>
      <c r="GL115" t="inlineStr"/>
      <c r="GM115" t="inlineStr"/>
      <c r="GN115" t="inlineStr"/>
      <c r="GO115" t="inlineStr"/>
      <c r="GP115" t="inlineStr"/>
      <c r="GQ115" t="inlineStr"/>
      <c r="GR115" t="inlineStr"/>
      <c r="GS115" t="inlineStr"/>
      <c r="GT115" t="inlineStr"/>
      <c r="GU115" t="inlineStr">
        <is>
          <t>1552</t>
        </is>
      </c>
      <c r="GV115" t="inlineStr">
        <is>
          <t>Ambassador (1552)</t>
        </is>
      </c>
      <c r="GW115" t="inlineStr"/>
      <c r="GX115" t="inlineStr"/>
      <c r="GY115" t="inlineStr"/>
      <c r="GZ115" t="inlineStr"/>
      <c r="HA115" t="inlineStr"/>
      <c r="HB115" t="inlineStr"/>
      <c r="HC115" t="inlineStr"/>
      <c r="HD115" t="inlineStr"/>
      <c r="HE115" t="inlineStr"/>
      <c r="HF115" t="inlineStr"/>
      <c r="HG115" t="inlineStr"/>
      <c r="HH115" t="inlineStr"/>
      <c r="HI115" t="inlineStr"/>
      <c r="HJ115" t="inlineStr"/>
      <c r="HK115" t="inlineStr">
        <is>
          <t>84, 950, 260</t>
        </is>
      </c>
      <c r="HL115" t="inlineStr">
        <is>
          <t>Master’s Degree in Global Business &amp; Society (84), Master's Degree in Global Business and Society (950), GBS Admissions Ambassadors (260)</t>
        </is>
      </c>
      <c r="HM115" t="inlineStr"/>
      <c r="HN115" t="inlineStr"/>
      <c r="HO115" t="inlineStr"/>
      <c r="HP115" t="inlineStr"/>
      <c r="HQ115" t="inlineStr"/>
      <c r="HR115" t="inlineStr"/>
      <c r="HS115" t="inlineStr"/>
      <c r="HT115" t="inlineStr"/>
      <c r="HU115" t="inlineStr"/>
      <c r="HV115" t="inlineStr"/>
      <c r="HW115" t="inlineStr"/>
      <c r="HX115" t="inlineStr"/>
      <c r="HY115" t="inlineStr"/>
      <c r="HZ115" t="inlineStr"/>
      <c r="IA115" t="inlineStr"/>
      <c r="IB115" t="inlineStr"/>
      <c r="IC115" t="inlineStr"/>
      <c r="ID115" t="inlineStr"/>
      <c r="IE115" t="inlineStr"/>
      <c r="IF115" t="inlineStr"/>
      <c r="IG115" t="inlineStr"/>
      <c r="IH115" t="inlineStr"/>
      <c r="II115" t="inlineStr"/>
      <c r="IJ115" t="inlineStr"/>
      <c r="IK115" t="inlineStr"/>
      <c r="IL115" t="inlineStr"/>
      <c r="IM115" t="inlineStr"/>
      <c r="IN115" t="inlineStr"/>
      <c r="IO115" t="inlineStr"/>
      <c r="IP115" t="inlineStr"/>
      <c r="IQ115" t="inlineStr"/>
      <c r="IR115" t="inlineStr"/>
      <c r="IS115">
        <f>IF(input_content_type="",FALSE,ISNUMBER(SEARCH(","&amp;LOWER(input_content_type)&amp;",",","&amp;LOWER(F115)&amp;",")))</f>
        <v/>
      </c>
      <c r="IT115">
        <f>AND(IF(M115="",TRUE,IF(input_affiliations="",FALSE,SUMPRODUCT(--ISNUMBER(SEARCH(","&amp;TRIM(TEXTSPLIT(M115,","))&amp;",",","&amp;SUBSTITUTE(input_affiliations," ","")&amp;",")))&gt;0)),IF(O115="",TRUE,IF(input_affiliations="",FALSE,SUMPRODUCT(--ISNUMBER(SEARCH(","&amp;TRIM(TEXTSPLIT(O115,","))&amp;",",","&amp;SUBSTITUTE(input_affiliations," ","")&amp;",")))=COUNTA(TEXTSPLIT(O115,",")))),IF(Q115="",TRUE,IF(input_affiliations="",TRUE,SUMPRODUCT(--ISNUMBER(SEARCH(","&amp;TRIM(TEXTSPLIT(Q115,","))&amp;",",","&amp;SUBSTITUTE(input_affiliations," ","")&amp;",")))=0)),IF(S115="",TRUE,IF(input_affiliations="",FALSE,SUMPRODUCT(--ISNUMBER(SEARCH(","&amp;TRIM(TEXTSPLIT(S115,","))&amp;",",","&amp;SUBSTITUTE(input_affiliations," ","")&amp;",")))&gt;0)),IF(U115="",TRUE,IF(input_affiliations="",FALSE,SUMPRODUCT(--ISNUMBER(SEARCH(","&amp;TRIM(TEXTSPLIT(U115,","))&amp;",",","&amp;SUBSTITUTE(input_affiliations," ","")&amp;",")))=COUNTA(TEXTSPLIT(U115,",")))))</f>
        <v/>
      </c>
      <c r="IU115">
        <f>AND(IF(W115="",TRUE,IF(input_announcement_category="",FALSE,SUMPRODUCT(--ISNUMBER(SEARCH(","&amp;TRIM(TEXTSPLIT(W115,","))&amp;",",","&amp;SUBSTITUTE(input_announcement_category," ","")&amp;",")))&gt;0)),IF(Y115="",TRUE,IF(input_announcement_category="",FALSE,SUMPRODUCT(--ISNUMBER(SEARCH(","&amp;TRIM(TEXTSPLIT(Y115,","))&amp;",",","&amp;SUBSTITUTE(input_announcement_category," ","")&amp;",")))=COUNTA(TEXTSPLIT(Y115,",")))),IF(AA115="",TRUE,IF(input_announcement_category="",TRUE,SUMPRODUCT(--ISNUMBER(SEARCH(","&amp;TRIM(TEXTSPLIT(AA115,","))&amp;",",","&amp;SUBSTITUTE(input_announcement_category," ","")&amp;",")))=0)),IF(AC115="",TRUE,IF(input_announcement_category="",FALSE,SUMPRODUCT(--ISNUMBER(SEARCH(","&amp;TRIM(TEXTSPLIT(AC115,","))&amp;",",","&amp;SUBSTITUTE(input_announcement_category," ","")&amp;",")))&gt;0)),IF(AE115="",TRUE,IF(input_announcement_category="",FALSE,SUMPRODUCT(--ISNUMBER(SEARCH(","&amp;TRIM(TEXTSPLIT(AE115,","))&amp;",",","&amp;SUBSTITUTE(input_announcement_category," ","")&amp;",")))=COUNTA(TEXTSPLIT(AE115,",")))))</f>
        <v/>
      </c>
      <c r="IV115">
        <f>AND(IF(AG115="",TRUE,IF(input_area_of_focus="",FALSE,SUMPRODUCT(--ISNUMBER(SEARCH(","&amp;TRIM(TEXTSPLIT(AG115,","))&amp;",",","&amp;SUBSTITUTE(input_area_of_focus," ","")&amp;",")))&gt;0)),IF(AI115="",TRUE,IF(input_area_of_focus="",FALSE,SUMPRODUCT(--ISNUMBER(SEARCH(","&amp;TRIM(TEXTSPLIT(AI115,","))&amp;",",","&amp;SUBSTITUTE(input_area_of_focus," ","")&amp;",")))=COUNTA(TEXTSPLIT(AI115,",")))),IF(AK115="",TRUE,IF(input_area_of_focus="",TRUE,SUMPRODUCT(--ISNUMBER(SEARCH(","&amp;TRIM(TEXTSPLIT(AK115,","))&amp;",",","&amp;SUBSTITUTE(input_area_of_focus," ","")&amp;",")))=0)),IF(AM115="",TRUE,IF(input_area_of_focus="",FALSE,SUMPRODUCT(--ISNUMBER(SEARCH(","&amp;TRIM(TEXTSPLIT(AM115,","))&amp;",",","&amp;SUBSTITUTE(input_area_of_focus," ","")&amp;",")))&gt;0)),IF(AO115="",TRUE,IF(input_area_of_focus="",FALSE,SUMPRODUCT(--ISNUMBER(SEARCH(","&amp;TRIM(TEXTSPLIT(AO115,","))&amp;",",","&amp;SUBSTITUTE(input_area_of_focus," ","")&amp;",")))=COUNTA(TEXTSPLIT(AO115,",")))))</f>
        <v/>
      </c>
      <c r="IW115">
        <f>AND(IF(AQ115="",TRUE,IF(input_audience="",FALSE,SUMPRODUCT(--ISNUMBER(SEARCH(","&amp;TRIM(TEXTSPLIT(AQ115,","))&amp;",",","&amp;SUBSTITUTE(input_audience," ","")&amp;",")))&gt;0)),IF(AS115="",TRUE,IF(input_audience="",FALSE,SUMPRODUCT(--ISNUMBER(SEARCH(","&amp;TRIM(TEXTSPLIT(AS115,","))&amp;",",","&amp;SUBSTITUTE(input_audience," ","")&amp;",")))=COUNTA(TEXTSPLIT(AS115,",")))),IF(AU115="",TRUE,IF(input_audience="",TRUE,SUMPRODUCT(--ISNUMBER(SEARCH(","&amp;TRIM(TEXTSPLIT(AU115,","))&amp;",",","&amp;SUBSTITUTE(input_audience," ","")&amp;",")))=0)),IF(AW115="",TRUE,IF(input_audience="",FALSE,SUMPRODUCT(--ISNUMBER(SEARCH(","&amp;TRIM(TEXTSPLIT(AW115,","))&amp;",",","&amp;SUBSTITUTE(input_audience," ","")&amp;",")))&gt;0)),IF(AY115="",TRUE,IF(input_audience="",FALSE,SUMPRODUCT(--ISNUMBER(SEARCH(","&amp;TRIM(TEXTSPLIT(AY115,","))&amp;",",","&amp;SUBSTITUTE(input_audience," ","")&amp;",")))=COUNTA(TEXTSPLIT(AY115,",")))))</f>
        <v/>
      </c>
      <c r="IX115">
        <f>AND(IF(BA115="",TRUE,IF(input_challenge_opportunities="",FALSE,SUMPRODUCT(--ISNUMBER(SEARCH(","&amp;TRIM(TEXTSPLIT(BA115,","))&amp;",",","&amp;SUBSTITUTE(input_challenge_opportunities," ","")&amp;",")))&gt;0)),IF(BC115="",TRUE,IF(input_challenge_opportunities="",FALSE,SUMPRODUCT(--ISNUMBER(SEARCH(","&amp;TRIM(TEXTSPLIT(BC115,","))&amp;",",","&amp;SUBSTITUTE(input_challenge_opportunities," ","")&amp;",")))=COUNTA(TEXTSPLIT(BC115,",")))),IF(BE115="",TRUE,IF(input_challenge_opportunities="",TRUE,SUMPRODUCT(--ISNUMBER(SEARCH(","&amp;TRIM(TEXTSPLIT(BE115,","))&amp;",",","&amp;SUBSTITUTE(input_challenge_opportunities," ","")&amp;",")))=0)),IF(BG115="",TRUE,IF(input_challenge_opportunities="",FALSE,SUMPRODUCT(--ISNUMBER(SEARCH(","&amp;TRIM(TEXTSPLIT(BG115,","))&amp;",",","&amp;SUBSTITUTE(input_challenge_opportunities," ","")&amp;",")))&gt;0)),IF(BI115="",TRUE,IF(input_challenge_opportunities="",FALSE,SUMPRODUCT(--ISNUMBER(SEARCH(","&amp;TRIM(TEXTSPLIT(BI115,","))&amp;",",","&amp;SUBSTITUTE(input_challenge_opportunities," ","")&amp;",")))=COUNTA(TEXTSPLIT(BI115,",")))))</f>
        <v/>
      </c>
      <c r="IY115">
        <f>AND(IF(BK115="",TRUE,IF(input_context="",FALSE,SUMPRODUCT(--ISNUMBER(SEARCH(","&amp;TRIM(TEXTSPLIT(BK115,","))&amp;",",","&amp;SUBSTITUTE(input_context," ","")&amp;",")))&gt;0)),IF(BM115="",TRUE,IF(input_context="",FALSE,SUMPRODUCT(--ISNUMBER(SEARCH(","&amp;TRIM(TEXTSPLIT(BM115,","))&amp;",",","&amp;SUBSTITUTE(input_context," ","")&amp;",")))=COUNTA(TEXTSPLIT(BM115,",")))),IF(BO115="",TRUE,IF(input_context="",TRUE,SUMPRODUCT(--ISNUMBER(SEARCH(","&amp;TRIM(TEXTSPLIT(BO115,","))&amp;",",","&amp;SUBSTITUTE(input_context," ","")&amp;",")))=0)),IF(BQ115="",TRUE,IF(input_context="",FALSE,SUMPRODUCT(--ISNUMBER(SEARCH(","&amp;TRIM(TEXTSPLIT(BQ115,","))&amp;",",","&amp;SUBSTITUTE(input_context," ","")&amp;",")))&gt;0)),IF(BS115="",TRUE,IF(input_context="",FALSE,SUMPRODUCT(--ISNUMBER(SEARCH(","&amp;TRIM(TEXTSPLIT(BS115,","))&amp;",",","&amp;SUBSTITUTE(input_context," ","")&amp;",")))=COUNTA(TEXTSPLIT(BS115,",")))))</f>
        <v/>
      </c>
      <c r="IZ115">
        <f>AND(IF(BU115="",TRUE,IF(input_enews_announcement_type="",FALSE,SUMPRODUCT(--ISNUMBER(SEARCH(","&amp;TRIM(TEXTSPLIT(BU115,","))&amp;",",","&amp;SUBSTITUTE(input_enews_announcement_type," ","")&amp;",")))&gt;0)),IF(BW115="",TRUE,IF(input_enews_announcement_type="",FALSE,SUMPRODUCT(--ISNUMBER(SEARCH(","&amp;TRIM(TEXTSPLIT(BW115,","))&amp;",",","&amp;SUBSTITUTE(input_enews_announcement_type," ","")&amp;",")))=COUNTA(TEXTSPLIT(BW115,",")))),IF(BY115="",TRUE,IF(input_enews_announcement_type="",TRUE,SUMPRODUCT(--ISNUMBER(SEARCH(","&amp;TRIM(TEXTSPLIT(BY115,","))&amp;",",","&amp;SUBSTITUTE(input_enews_announcement_type," ","")&amp;",")))=0)),IF(CA115="",TRUE,IF(input_enews_announcement_type="",FALSE,SUMPRODUCT(--ISNUMBER(SEARCH(","&amp;TRIM(TEXTSPLIT(CA115,","))&amp;",",","&amp;SUBSTITUTE(input_enews_announcement_type," ","")&amp;",")))&gt;0)),IF(CC115="",TRUE,IF(input_enews_announcement_type="",FALSE,SUMPRODUCT(--ISNUMBER(SEARCH(","&amp;TRIM(TEXTSPLIT(CC115,","))&amp;",",","&amp;SUBSTITUTE(input_enews_announcement_type," ","")&amp;",")))=COUNTA(TEXTSPLIT(CC115,",")))))</f>
        <v/>
      </c>
      <c r="JA115">
        <f>AND(IF(CE115="",TRUE,IF(input_enews_audience="",FALSE,SUMPRODUCT(--ISNUMBER(SEARCH(","&amp;TRIM(TEXTSPLIT(CE115,","))&amp;",",","&amp;SUBSTITUTE(input_enews_audience," ","")&amp;",")))&gt;0)),IF(CG115="",TRUE,IF(input_enews_audience="",FALSE,SUMPRODUCT(--ISNUMBER(SEARCH(","&amp;TRIM(TEXTSPLIT(CG115,","))&amp;",",","&amp;SUBSTITUTE(input_enews_audience," ","")&amp;",")))=COUNTA(TEXTSPLIT(CG115,",")))),IF(CI115="",TRUE,IF(input_enews_audience="",TRUE,SUMPRODUCT(--ISNUMBER(SEARCH(","&amp;TRIM(TEXTSPLIT(CI115,","))&amp;",",","&amp;SUBSTITUTE(input_enews_audience," ","")&amp;",")))=0)),IF(CK115="",TRUE,IF(input_enews_audience="",FALSE,SUMPRODUCT(--ISNUMBER(SEARCH(","&amp;TRIM(TEXTSPLIT(CK115,","))&amp;",",","&amp;SUBSTITUTE(input_enews_audience," ","")&amp;",")))&gt;0)),IF(CM115="",TRUE,IF(input_enews_audience="",FALSE,SUMPRODUCT(--ISNUMBER(SEARCH(","&amp;TRIM(TEXTSPLIT(CM115,","))&amp;",",","&amp;SUBSTITUTE(input_enews_audience," ","")&amp;",")))=COUNTA(TEXTSPLIT(CM115,",")))))</f>
        <v/>
      </c>
      <c r="JB115">
        <f>AND(IF(CO115="",TRUE,IF(input_event_location="",FALSE,SUMPRODUCT(--ISNUMBER(SEARCH(","&amp;TRIM(TEXTSPLIT(CO115,","))&amp;",",","&amp;SUBSTITUTE(input_event_location," ","")&amp;",")))&gt;0)),IF(CQ115="",TRUE,IF(input_event_location="",FALSE,SUMPRODUCT(--ISNUMBER(SEARCH(","&amp;TRIM(TEXTSPLIT(CQ115,","))&amp;",",","&amp;SUBSTITUTE(input_event_location," ","")&amp;",")))=COUNTA(TEXTSPLIT(CQ115,",")))),IF(CS115="",TRUE,IF(input_event_location="",TRUE,SUMPRODUCT(--ISNUMBER(SEARCH(","&amp;TRIM(TEXTSPLIT(CS115,","))&amp;",",","&amp;SUBSTITUTE(input_event_location," ","")&amp;",")))=0)),IF(CU115="",TRUE,IF(input_event_location="",FALSE,SUMPRODUCT(--ISNUMBER(SEARCH(","&amp;TRIM(TEXTSPLIT(CU115,","))&amp;",",","&amp;SUBSTITUTE(input_event_location," ","")&amp;",")))&gt;0)),IF(CW115="",TRUE,IF(input_event_location="",FALSE,SUMPRODUCT(--ISNUMBER(SEARCH(","&amp;TRIM(TEXTSPLIT(CW115,","))&amp;",",","&amp;SUBSTITUTE(input_event_location," ","")&amp;",")))=COUNTA(TEXTSPLIT(CW115,",")))))</f>
        <v/>
      </c>
      <c r="JC115">
        <f>AND(IF(CY115="",TRUE,IF(input_event_type="",FALSE,SUMPRODUCT(--ISNUMBER(SEARCH(","&amp;TRIM(TEXTSPLIT(CY115,","))&amp;",",","&amp;SUBSTITUTE(input_event_type," ","")&amp;",")))&gt;0)),IF(DA115="",TRUE,IF(input_event_type="",FALSE,SUMPRODUCT(--ISNUMBER(SEARCH(","&amp;TRIM(TEXTSPLIT(DA115,","))&amp;",",","&amp;SUBSTITUTE(input_event_type," ","")&amp;",")))=COUNTA(TEXTSPLIT(DA115,",")))),IF(DC115="",TRUE,IF(input_event_type="",TRUE,SUMPRODUCT(--ISNUMBER(SEARCH(","&amp;TRIM(TEXTSPLIT(DC115,","))&amp;",",","&amp;SUBSTITUTE(input_event_type," ","")&amp;",")))=0)),IF(DE115="",TRUE,IF(input_event_type="",FALSE,SUMPRODUCT(--ISNUMBER(SEARCH(","&amp;TRIM(TEXTSPLIT(DE115,","))&amp;",",","&amp;SUBSTITUTE(input_event_type," ","")&amp;",")))&gt;0)),IF(DG115="",TRUE,IF(input_event_type="",FALSE,SUMPRODUCT(--ISNUMBER(SEARCH(","&amp;TRIM(TEXTSPLIT(DG115,","))&amp;",",","&amp;SUBSTITUTE(input_event_type," ","")&amp;",")))=COUNTA(TEXTSPLIT(DG115,",")))))</f>
        <v/>
      </c>
      <c r="JD115">
        <f>AND(IF(DI115="",TRUE,IF(input_executive_education_focus="",FALSE,SUMPRODUCT(--ISNUMBER(SEARCH(","&amp;TRIM(TEXTSPLIT(DI115,","))&amp;",",","&amp;SUBSTITUTE(input_executive_education_focus," ","")&amp;",")))&gt;0)),IF(DK115="",TRUE,IF(input_executive_education_focus="",FALSE,SUMPRODUCT(--ISNUMBER(SEARCH(","&amp;TRIM(TEXTSPLIT(DK115,","))&amp;",",","&amp;SUBSTITUTE(input_executive_education_focus," ","")&amp;",")))=COUNTA(TEXTSPLIT(DK115,",")))),IF(DM115="",TRUE,IF(input_executive_education_focus="",TRUE,SUMPRODUCT(--ISNUMBER(SEARCH(","&amp;TRIM(TEXTSPLIT(DM115,","))&amp;",",","&amp;SUBSTITUTE(input_executive_education_focus," ","")&amp;",")))=0)),IF(DO115="",TRUE,IF(input_executive_education_focus="",FALSE,SUMPRODUCT(--ISNUMBER(SEARCH(","&amp;TRIM(TEXTSPLIT(DO115,","))&amp;",",","&amp;SUBSTITUTE(input_executive_education_focus," ","")&amp;",")))&gt;0)),IF(DQ115="",TRUE,IF(input_executive_education_focus="",FALSE,SUMPRODUCT(--ISNUMBER(SEARCH(","&amp;TRIM(TEXTSPLIT(DQ115,","))&amp;",",","&amp;SUBSTITUTE(input_executive_education_focus," ","")&amp;",")))=COUNTA(TEXTSPLIT(DQ115,",")))))</f>
        <v/>
      </c>
      <c r="JE115">
        <f>AND(IF(DS115="",TRUE,IF(input_faculty_category="",FALSE,SUMPRODUCT(--ISNUMBER(SEARCH(","&amp;TRIM(TEXTSPLIT(DS115,","))&amp;",",","&amp;SUBSTITUTE(input_faculty_category," ","")&amp;",")))&gt;0)),IF(DU115="",TRUE,IF(input_faculty_category="",FALSE,SUMPRODUCT(--ISNUMBER(SEARCH(","&amp;TRIM(TEXTSPLIT(DU115,","))&amp;",",","&amp;SUBSTITUTE(input_faculty_category," ","")&amp;",")))=COUNTA(TEXTSPLIT(DU115,",")))),IF(DW115="",TRUE,IF(input_faculty_category="",TRUE,SUMPRODUCT(--ISNUMBER(SEARCH(","&amp;TRIM(TEXTSPLIT(DW115,","))&amp;",",","&amp;SUBSTITUTE(input_faculty_category," ","")&amp;",")))=0)),IF(DY115="",TRUE,IF(input_faculty_category="",FALSE,SUMPRODUCT(--ISNUMBER(SEARCH(","&amp;TRIM(TEXTSPLIT(DY115,","))&amp;",",","&amp;SUBSTITUTE(input_faculty_category," ","")&amp;",")))&gt;0)),IF(EA115="",TRUE,IF(input_faculty_category="",FALSE,SUMPRODUCT(--ISNUMBER(SEARCH(","&amp;TRIM(TEXTSPLIT(EA115,","))&amp;",",","&amp;SUBSTITUTE(input_faculty_category," ","")&amp;",")))=COUNTA(TEXTSPLIT(EA115,",")))))</f>
        <v/>
      </c>
      <c r="JF115">
        <f>AND(IF(EC115="",TRUE,IF(input_faculty_discipline="",FALSE,SUMPRODUCT(--ISNUMBER(SEARCH(","&amp;TRIM(TEXTSPLIT(EC115,","))&amp;",",","&amp;SUBSTITUTE(input_faculty_discipline," ","")&amp;",")))&gt;0)),IF(EE115="",TRUE,IF(input_faculty_discipline="",FALSE,SUMPRODUCT(--ISNUMBER(SEARCH(","&amp;TRIM(TEXTSPLIT(EE115,","))&amp;",",","&amp;SUBSTITUTE(input_faculty_discipline," ","")&amp;",")))=COUNTA(TEXTSPLIT(EE115,",")))),IF(EG115="",TRUE,IF(input_faculty_discipline="",TRUE,SUMPRODUCT(--ISNUMBER(SEARCH(","&amp;TRIM(TEXTSPLIT(EG115,","))&amp;",",","&amp;SUBSTITUTE(input_faculty_discipline," ","")&amp;",")))=0)),IF(EI115="",TRUE,IF(input_faculty_discipline="",FALSE,SUMPRODUCT(--ISNUMBER(SEARCH(","&amp;TRIM(TEXTSPLIT(EI115,","))&amp;",",","&amp;SUBSTITUTE(input_faculty_discipline," ","")&amp;",")))&gt;0)),IF(EK115="",TRUE,IF(input_faculty_discipline="",FALSE,SUMPRODUCT(--ISNUMBER(SEARCH(","&amp;TRIM(TEXTSPLIT(EK115,","))&amp;",",","&amp;SUBSTITUTE(input_faculty_discipline," ","")&amp;",")))=COUNTA(TEXTSPLIT(EK115,",")))))</f>
        <v/>
      </c>
      <c r="JG115">
        <f>AND(IF(EM115="",TRUE,IF(input_faculty_expertise="",FALSE,SUMPRODUCT(--ISNUMBER(SEARCH(","&amp;TRIM(TEXTSPLIT(EM115,","))&amp;",",","&amp;SUBSTITUTE(input_faculty_expertise," ","")&amp;",")))&gt;0)),IF(EO115="",TRUE,IF(input_faculty_expertise="",FALSE,SUMPRODUCT(--ISNUMBER(SEARCH(","&amp;TRIM(TEXTSPLIT(EO115,","))&amp;",",","&amp;SUBSTITUTE(input_faculty_expertise," ","")&amp;",")))=COUNTA(TEXTSPLIT(EO115,",")))),IF(EQ115="",TRUE,IF(input_faculty_expertise="",TRUE,SUMPRODUCT(--ISNUMBER(SEARCH(","&amp;TRIM(TEXTSPLIT(EQ115,","))&amp;",",","&amp;SUBSTITUTE(input_faculty_expertise," ","")&amp;",")))=0)),IF(ES115="",TRUE,IF(input_faculty_expertise="",FALSE,SUMPRODUCT(--ISNUMBER(SEARCH(","&amp;TRIM(TEXTSPLIT(ES115,","))&amp;",",","&amp;SUBSTITUTE(input_faculty_expertise," ","")&amp;",")))&gt;0)),IF(EU115="",TRUE,IF(input_faculty_expertise="",FALSE,SUMPRODUCT(--ISNUMBER(SEARCH(","&amp;TRIM(TEXTSPLIT(EU115,","))&amp;",",","&amp;SUBSTITUTE(input_faculty_expertise," ","")&amp;",")))=COUNTA(TEXTSPLIT(EU115,",")))))</f>
        <v/>
      </c>
      <c r="JH115">
        <f>AND(IF(EW115="",TRUE,IF(input_global_network_school="",FALSE,SUMPRODUCT(--ISNUMBER(SEARCH(","&amp;TRIM(TEXTSPLIT(EW115,","))&amp;",",","&amp;SUBSTITUTE(input_global_network_school," ","")&amp;",")))&gt;0)),IF(EY115="",TRUE,IF(input_global_network_school="",FALSE,SUMPRODUCT(--ISNUMBER(SEARCH(","&amp;TRIM(TEXTSPLIT(EY115,","))&amp;",",","&amp;SUBSTITUTE(input_global_network_school," ","")&amp;",")))=COUNTA(TEXTSPLIT(EY115,",")))),IF(FA115="",TRUE,IF(input_global_network_school="",TRUE,SUMPRODUCT(--ISNUMBER(SEARCH(","&amp;TRIM(TEXTSPLIT(FA115,","))&amp;",",","&amp;SUBSTITUTE(input_global_network_school," ","")&amp;",")))=0)),IF(FC115="",TRUE,IF(input_global_network_school="",FALSE,SUMPRODUCT(--ISNUMBER(SEARCH(","&amp;TRIM(TEXTSPLIT(FC115,","))&amp;",",","&amp;SUBSTITUTE(input_global_network_school," ","")&amp;",")))&gt;0)),IF(FE115="",TRUE,IF(input_global_network_school="",FALSE,SUMPRODUCT(--ISNUMBER(SEARCH(","&amp;TRIM(TEXTSPLIT(FE115,","))&amp;",",","&amp;SUBSTITUTE(input_global_network_school," ","")&amp;",")))=COUNTA(TEXTSPLIT(FE115,",")))))</f>
        <v/>
      </c>
      <c r="JI115">
        <f>AND(IF(FG115="",TRUE,IF(input_industry="",FALSE,SUMPRODUCT(--ISNUMBER(SEARCH(","&amp;TRIM(TEXTSPLIT(FG115,","))&amp;",",","&amp;SUBSTITUTE(input_industry," ","")&amp;",")))&gt;0)),IF(FI115="",TRUE,IF(input_industry="",FALSE,SUMPRODUCT(--ISNUMBER(SEARCH(","&amp;TRIM(TEXTSPLIT(FI115,","))&amp;",",","&amp;SUBSTITUTE(input_industry," ","")&amp;",")))=COUNTA(TEXTSPLIT(FI115,",")))),IF(FK115="",TRUE,IF(input_industry="",TRUE,SUMPRODUCT(--ISNUMBER(SEARCH(","&amp;TRIM(TEXTSPLIT(FK115,","))&amp;",",","&amp;SUBSTITUTE(input_industry," ","")&amp;",")))=0)),IF(FM115="",TRUE,IF(input_industry="",FALSE,SUMPRODUCT(--ISNUMBER(SEARCH(","&amp;TRIM(TEXTSPLIT(FM115,","))&amp;",",","&amp;SUBSTITUTE(input_industry," ","")&amp;",")))&gt;0)),IF(FO115="",TRUE,IF(input_industry="",FALSE,SUMPRODUCT(--ISNUMBER(SEARCH(","&amp;TRIM(TEXTSPLIT(FO115,","))&amp;",",","&amp;SUBSTITUTE(input_industry," ","")&amp;",")))=COUNTA(TEXTSPLIT(FO115,",")))))</f>
        <v/>
      </c>
      <c r="JJ115">
        <f>AND(IF(FQ115="",TRUE,IF(input_location="",FALSE,SUMPRODUCT(--ISNUMBER(SEARCH(","&amp;TRIM(TEXTSPLIT(FQ115,","))&amp;",",","&amp;SUBSTITUTE(input_location," ","")&amp;",")))&gt;0)),IF(FS115="",TRUE,IF(input_location="",FALSE,SUMPRODUCT(--ISNUMBER(SEARCH(","&amp;TRIM(TEXTSPLIT(FS115,","))&amp;",",","&amp;SUBSTITUTE(input_location," ","")&amp;",")))=COUNTA(TEXTSPLIT(FS115,",")))),IF(FU115="",TRUE,IF(input_location="",TRUE,SUMPRODUCT(--ISNUMBER(SEARCH(","&amp;TRIM(TEXTSPLIT(FU115,","))&amp;",",","&amp;SUBSTITUTE(input_location," ","")&amp;",")))=0)),IF(FW115="",TRUE,IF(input_location="",FALSE,SUMPRODUCT(--ISNUMBER(SEARCH(","&amp;TRIM(TEXTSPLIT(FW115,","))&amp;",",","&amp;SUBSTITUTE(input_location," ","")&amp;",")))&gt;0)),IF(FY115="",TRUE,IF(input_location="",FALSE,SUMPRODUCT(--ISNUMBER(SEARCH(","&amp;TRIM(TEXTSPLIT(FY115,","))&amp;",",","&amp;SUBSTITUTE(input_location," ","")&amp;",")))=COUNTA(TEXTSPLIT(FY115,",")))))</f>
        <v/>
      </c>
      <c r="JK115">
        <f>AND(IF(GA115="",TRUE,IF(input_modality="",FALSE,SUMPRODUCT(--ISNUMBER(SEARCH(","&amp;TRIM(TEXTSPLIT(GA115,","))&amp;",",","&amp;SUBSTITUTE(input_modality," ","")&amp;",")))&gt;0)),IF(GC115="",TRUE,IF(input_modality="",FALSE,SUMPRODUCT(--ISNUMBER(SEARCH(","&amp;TRIM(TEXTSPLIT(GC115,","))&amp;",",","&amp;SUBSTITUTE(input_modality," ","")&amp;",")))=COUNTA(TEXTSPLIT(GC115,",")))),IF(GE115="",TRUE,IF(input_modality="",TRUE,SUMPRODUCT(--ISNUMBER(SEARCH(","&amp;TRIM(TEXTSPLIT(GE115,","))&amp;",",","&amp;SUBSTITUTE(input_modality," ","")&amp;",")))=0)),IF(GG115="",TRUE,IF(input_modality="",FALSE,SUMPRODUCT(--ISNUMBER(SEARCH(","&amp;TRIM(TEXTSPLIT(GG115,","))&amp;",",","&amp;SUBSTITUTE(input_modality," ","")&amp;",")))&gt;0)),IF(GI115="",TRUE,IF(input_modality="",FALSE,SUMPRODUCT(--ISNUMBER(SEARCH(","&amp;TRIM(TEXTSPLIT(GI115,","))&amp;",",","&amp;SUBSTITUTE(input_modality," ","")&amp;",")))=COUNTA(TEXTSPLIT(GI115,",")))))</f>
        <v/>
      </c>
      <c r="JL115">
        <f>AND(IF(GK115="",TRUE,IF(input_organizer="",FALSE,SUMPRODUCT(--ISNUMBER(SEARCH(","&amp;TRIM(TEXTSPLIT(GK115,","))&amp;",",","&amp;SUBSTITUTE(input_organizer," ","")&amp;",")))&gt;0)),IF(GM115="",TRUE,IF(input_organizer="",FALSE,SUMPRODUCT(--ISNUMBER(SEARCH(","&amp;TRIM(TEXTSPLIT(GM115,","))&amp;",",","&amp;SUBSTITUTE(input_organizer," ","")&amp;",")))=COUNTA(TEXTSPLIT(GM115,",")))),IF(GO115="",TRUE,IF(input_organizer="",TRUE,SUMPRODUCT(--ISNUMBER(SEARCH(","&amp;TRIM(TEXTSPLIT(GO115,","))&amp;",",","&amp;SUBSTITUTE(input_organizer," ","")&amp;",")))=0)),IF(GQ115="",TRUE,IF(input_organizer="",FALSE,SUMPRODUCT(--ISNUMBER(SEARCH(","&amp;TRIM(TEXTSPLIT(GQ115,","))&amp;",",","&amp;SUBSTITUTE(input_organizer," ","")&amp;",")))&gt;0)),IF(GS115="",TRUE,IF(input_organizer="",FALSE,SUMPRODUCT(--ISNUMBER(SEARCH(","&amp;TRIM(TEXTSPLIT(GS115,","))&amp;",",","&amp;SUBSTITUTE(input_organizer," ","")&amp;",")))=COUNTA(TEXTSPLIT(GS115,",")))))</f>
        <v/>
      </c>
      <c r="JM115">
        <f>AND(IF(GU115="",TRUE,IF(input_profile_type="",FALSE,SUMPRODUCT(--ISNUMBER(SEARCH(","&amp;TRIM(TEXTSPLIT(GU115,","))&amp;",",","&amp;SUBSTITUTE(input_profile_type," ","")&amp;",")))&gt;0)),IF(GW115="",TRUE,IF(input_profile_type="",FALSE,SUMPRODUCT(--ISNUMBER(SEARCH(","&amp;TRIM(TEXTSPLIT(GW115,","))&amp;",",","&amp;SUBSTITUTE(input_profile_type," ","")&amp;",")))=COUNTA(TEXTSPLIT(GW115,",")))),IF(GY115="",TRUE,IF(input_profile_type="",TRUE,SUMPRODUCT(--ISNUMBER(SEARCH(","&amp;TRIM(TEXTSPLIT(GY115,","))&amp;",",","&amp;SUBSTITUTE(input_profile_type," ","")&amp;",")))=0)),IF(HA115="",TRUE,IF(input_profile_type="",FALSE,SUMPRODUCT(--ISNUMBER(SEARCH(","&amp;TRIM(TEXTSPLIT(HA115,","))&amp;",",","&amp;SUBSTITUTE(input_profile_type," ","")&amp;",")))&gt;0)),IF(HC115="",TRUE,IF(input_profile_type="",FALSE,SUMPRODUCT(--ISNUMBER(SEARCH(","&amp;TRIM(TEXTSPLIT(HC115,","))&amp;",",","&amp;SUBSTITUTE(input_profile_type," ","")&amp;",")))=COUNTA(TEXTSPLIT(HC115,",")))))</f>
        <v/>
      </c>
      <c r="JN115">
        <f>AND(IF(HE115="",TRUE,IF(input_program="",FALSE,SUMPRODUCT(--ISNUMBER(SEARCH(","&amp;TRIM(TEXTSPLIT(HE115,","))&amp;",",","&amp;SUBSTITUTE(input_program," ","")&amp;",")))&gt;0)),IF(HG115="",TRUE,IF(input_program="",FALSE,SUMPRODUCT(--ISNUMBER(SEARCH(","&amp;TRIM(TEXTSPLIT(HG115,","))&amp;",",","&amp;SUBSTITUTE(input_program," ","")&amp;",")))=COUNTA(TEXTSPLIT(HG115,",")))),IF(HI115="",TRUE,IF(input_program="",TRUE,SUMPRODUCT(--ISNUMBER(SEARCH(","&amp;TRIM(TEXTSPLIT(HI115,","))&amp;",",","&amp;SUBSTITUTE(input_program," ","")&amp;",")))=0)),IF(HK115="",TRUE,IF(input_program="",FALSE,SUMPRODUCT(--ISNUMBER(SEARCH(","&amp;TRIM(TEXTSPLIT(HK115,","))&amp;",",","&amp;SUBSTITUTE(input_program," ","")&amp;",")))&gt;0)),IF(HM115="",TRUE,IF(input_program="",FALSE,SUMPRODUCT(--ISNUMBER(SEARCH(","&amp;TRIM(TEXTSPLIT(HM115,","))&amp;",",","&amp;SUBSTITUTE(input_program," ","")&amp;",")))=COUNTA(TEXTSPLIT(HM115,",")))))</f>
        <v/>
      </c>
      <c r="JO115">
        <f>AND(IF(HO115="",TRUE,IF(input_story_categories="",FALSE,SUMPRODUCT(--ISNUMBER(SEARCH(","&amp;TRIM(TEXTSPLIT(HO115,","))&amp;",",","&amp;SUBSTITUTE(input_story_categories," ","")&amp;",")))&gt;0)),IF(HQ115="",TRUE,IF(input_story_categories="",FALSE,SUMPRODUCT(--ISNUMBER(SEARCH(","&amp;TRIM(TEXTSPLIT(HQ115,","))&amp;",",","&amp;SUBSTITUTE(input_story_categories," ","")&amp;",")))=COUNTA(TEXTSPLIT(HQ115,",")))),IF(HS115="",TRUE,IF(input_story_categories="",TRUE,SUMPRODUCT(--ISNUMBER(SEARCH(","&amp;TRIM(TEXTSPLIT(HS115,","))&amp;",",","&amp;SUBSTITUTE(input_story_categories," ","")&amp;",")))=0)),IF(HU115="",TRUE,IF(input_story_categories="",FALSE,SUMPRODUCT(--ISNUMBER(SEARCH(","&amp;TRIM(TEXTSPLIT(HU115,","))&amp;",",","&amp;SUBSTITUTE(input_story_categories," ","")&amp;",")))&gt;0)),IF(HW115="",TRUE,IF(input_story_categories="",FALSE,SUMPRODUCT(--ISNUMBER(SEARCH(","&amp;TRIM(TEXTSPLIT(HW115,","))&amp;",",","&amp;SUBSTITUTE(input_story_categories," ","")&amp;",")))=COUNTA(TEXTSPLIT(HW115,",")))))</f>
        <v/>
      </c>
      <c r="JP115">
        <f>AND(IF(HY115="",TRUE,IF(input_story_type="",FALSE,SUMPRODUCT(--ISNUMBER(SEARCH(","&amp;TRIM(TEXTSPLIT(HY115,","))&amp;",",","&amp;SUBSTITUTE(input_story_type," ","")&amp;",")))&gt;0)),IF(IA115="",TRUE,IF(input_story_type="",FALSE,SUMPRODUCT(--ISNUMBER(SEARCH(","&amp;TRIM(TEXTSPLIT(IA115,","))&amp;",",","&amp;SUBSTITUTE(input_story_type," ","")&amp;",")))=COUNTA(TEXTSPLIT(IA115,",")))),IF(IC115="",TRUE,IF(input_story_type="",TRUE,SUMPRODUCT(--ISNUMBER(SEARCH(","&amp;TRIM(TEXTSPLIT(IC115,","))&amp;",",","&amp;SUBSTITUTE(input_story_type," ","")&amp;",")))=0)),IF(IE115="",TRUE,IF(input_story_type="",FALSE,SUMPRODUCT(--ISNUMBER(SEARCH(","&amp;TRIM(TEXTSPLIT(IE115,","))&amp;",",","&amp;SUBSTITUTE(input_story_type," ","")&amp;",")))&gt;0)),IF(IG115="",TRUE,IF(input_story_type="",FALSE,SUMPRODUCT(--ISNUMBER(SEARCH(","&amp;TRIM(TEXTSPLIT(IG115,","))&amp;",",","&amp;SUBSTITUTE(input_story_type," ","")&amp;",")))=COUNTA(TEXTSPLIT(IG115,",")))))</f>
        <v/>
      </c>
      <c r="JQ115">
        <f>AND(IF(II115="",TRUE,IF(input_topics="",FALSE,SUMPRODUCT(--ISNUMBER(SEARCH(","&amp;TRIM(TEXTSPLIT(II115,","))&amp;",",","&amp;SUBSTITUTE(input_topics," ","")&amp;",")))&gt;0)),IF(IK115="",TRUE,IF(input_topics="",FALSE,SUMPRODUCT(--ISNUMBER(SEARCH(","&amp;TRIM(TEXTSPLIT(IK115,","))&amp;",",","&amp;SUBSTITUTE(input_topics," ","")&amp;",")))=COUNTA(TEXTSPLIT(IK115,",")))),IF(IM115="",TRUE,IF(input_topics="",TRUE,SUMPRODUCT(--ISNUMBER(SEARCH(","&amp;TRIM(TEXTSPLIT(IM115,","))&amp;",",","&amp;SUBSTITUTE(input_topics," ","")&amp;",")))=0)),IF(IO115="",TRUE,IF(input_topics="",FALSE,SUMPRODUCT(--ISNUMBER(SEARCH(","&amp;TRIM(TEXTSPLIT(IO115,","))&amp;",",","&amp;SUBSTITUTE(input_topics," ","")&amp;",")))&gt;0)),IF(IQ115="",TRUE,IF(input_topics="",FALSE,SUMPRODUCT(--ISNUMBER(SEARCH(","&amp;TRIM(TEXTSPLIT(IQ115,","))&amp;",",","&amp;SUBSTITUTE(input_topics," ","")&amp;",")))=COUNTA(TEXTSPLIT(IQ115,",")))))</f>
        <v/>
      </c>
    </row>
    <row r="116">
      <c r="A116" s="4">
        <f>IF(NOT(IS116),"Excluded",IF(AND(IT116,IU116,IV116,IW116,IX116,IY116,IZ116,JA116,JB116,JC116,JD116,JE116,JF116,JG116,JH116,JI116,JJ116,JK116,JL116,JM116,JN116,JO116,JP116,JQ116),IF(I116&gt;0,"Eligible but limited","Will appear"),"Excluded"))</f>
        <v/>
      </c>
      <c r="B116" s="4" t="inlineStr">
        <is>
          <t>GBS Admissions Events</t>
        </is>
      </c>
      <c r="C116" s="4" t="inlineStr">
        <is>
          <t>/programs/mms-global-business-and-society/admissions/mms-global-business-and-society-admissions-events</t>
        </is>
      </c>
      <c r="D116" s="4" t="inlineStr">
        <is>
          <t>/programs/mms-global-business-and-society/admissions/mms-global-business-and-society-admissions-events</t>
        </is>
      </c>
      <c r="E116" s="4" t="n">
        <v>1</v>
      </c>
      <c r="F116" s="4" t="inlineStr">
        <is>
          <t>event</t>
        </is>
      </c>
      <c r="G116" s="4" t="inlineStr">
        <is>
          <t>event_list</t>
        </is>
      </c>
      <c r="H116" s="4" t="inlineStr">
        <is>
          <t>embed_event_type_filter</t>
        </is>
      </c>
      <c r="I116" s="4" t="n">
        <v>8</v>
      </c>
      <c r="J116" s="4" t="inlineStr">
        <is>
          <t>Explicit args</t>
        </is>
      </c>
      <c r="K116" s="4" t="inlineStr">
        <is>
          <t>Page placement</t>
        </is>
      </c>
      <c r="L116" s="4" t="inlineStr">
        <is>
          <t>Content type: event; Context uses Courses Context: Master's Degree in Global Business and Society (950); Limited to 8 item(s); Source: Explicit args</t>
        </is>
      </c>
      <c r="M116" t="inlineStr"/>
      <c r="N116" t="inlineStr"/>
      <c r="O116" t="inlineStr"/>
      <c r="P116" t="inlineStr"/>
      <c r="Q116" t="inlineStr"/>
      <c r="R116" t="inlineStr"/>
      <c r="S116" t="inlineStr"/>
      <c r="T116" t="inlineStr"/>
      <c r="U116" t="inlineStr"/>
      <c r="V116" t="inlineStr"/>
      <c r="W116" t="inlineStr"/>
      <c r="X116" t="inlineStr"/>
      <c r="Y116" t="inlineStr"/>
      <c r="Z116" t="inlineStr"/>
      <c r="AA116" t="inlineStr"/>
      <c r="AB116" t="inlineStr"/>
      <c r="AC116" t="inlineStr"/>
      <c r="AD116" t="inlineStr"/>
      <c r="AE116" t="inlineStr"/>
      <c r="AF116" t="inlineStr"/>
      <c r="AG116" t="inlineStr"/>
      <c r="AH116" t="inlineStr"/>
      <c r="AI116" t="inlineStr"/>
      <c r="AJ116" t="inlineStr"/>
      <c r="AK116" t="inlineStr"/>
      <c r="AL116" t="inlineStr"/>
      <c r="AM116" t="inlineStr"/>
      <c r="AN116" t="inlineStr"/>
      <c r="AO116" t="inlineStr"/>
      <c r="AP116" t="inlineStr"/>
      <c r="AQ116" t="inlineStr"/>
      <c r="AR116" t="inlineStr"/>
      <c r="AS116" t="inlineStr"/>
      <c r="AT116" t="inlineStr"/>
      <c r="AU116" t="inlineStr"/>
      <c r="AV116" t="inlineStr"/>
      <c r="AW116" t="inlineStr"/>
      <c r="AX116" t="inlineStr"/>
      <c r="AY116" t="inlineStr"/>
      <c r="AZ116" t="inlineStr"/>
      <c r="BA116" t="inlineStr"/>
      <c r="BB116" t="inlineStr"/>
      <c r="BC116" t="inlineStr"/>
      <c r="BD116" t="inlineStr"/>
      <c r="BE116" t="inlineStr"/>
      <c r="BF116" t="inlineStr"/>
      <c r="BG116" t="inlineStr"/>
      <c r="BH116" t="inlineStr"/>
      <c r="BI116" t="inlineStr"/>
      <c r="BJ116" t="inlineStr"/>
      <c r="BK116" t="inlineStr"/>
      <c r="BL116" t="inlineStr"/>
      <c r="BM116" t="inlineStr"/>
      <c r="BN116" t="inlineStr"/>
      <c r="BO116" t="inlineStr"/>
      <c r="BP116" t="inlineStr"/>
      <c r="BQ116" t="inlineStr">
        <is>
          <t>950</t>
        </is>
      </c>
      <c r="BR116" t="inlineStr">
        <is>
          <t>Master's Degree in Global Business and Society (950)</t>
        </is>
      </c>
      <c r="BS116" t="inlineStr"/>
      <c r="BT116" t="inlineStr"/>
      <c r="BU116" t="inlineStr"/>
      <c r="BV116" t="inlineStr"/>
      <c r="BW116" t="inlineStr"/>
      <c r="BX116" t="inlineStr"/>
      <c r="BY116" t="inlineStr"/>
      <c r="BZ116" t="inlineStr"/>
      <c r="CA116" t="inlineStr"/>
      <c r="CB116" t="inlineStr"/>
      <c r="CC116" t="inlineStr"/>
      <c r="CD116" t="inlineStr"/>
      <c r="CE116" t="inlineStr"/>
      <c r="CF116" t="inlineStr"/>
      <c r="CG116" t="inlineStr"/>
      <c r="CH116" t="inlineStr"/>
      <c r="CI116" t="inlineStr"/>
      <c r="CJ116" t="inlineStr"/>
      <c r="CK116" t="inlineStr"/>
      <c r="CL116" t="inlineStr"/>
      <c r="CM116" t="inlineStr"/>
      <c r="CN116" t="inlineStr"/>
      <c r="CO116" t="inlineStr"/>
      <c r="CP116" t="inlineStr"/>
      <c r="CQ116" t="inlineStr"/>
      <c r="CR116" t="inlineStr"/>
      <c r="CS116" t="inlineStr"/>
      <c r="CT116" t="inlineStr"/>
      <c r="CU116" t="inlineStr"/>
      <c r="CV116" t="inlineStr"/>
      <c r="CW116" t="inlineStr"/>
      <c r="CX116" t="inlineStr"/>
      <c r="CY116" t="inlineStr"/>
      <c r="CZ116" t="inlineStr"/>
      <c r="DA116" t="inlineStr"/>
      <c r="DB116" t="inlineStr"/>
      <c r="DC116" t="inlineStr"/>
      <c r="DD116" t="inlineStr"/>
      <c r="DE116" t="inlineStr"/>
      <c r="DF116" t="inlineStr"/>
      <c r="DG116" t="inlineStr"/>
      <c r="DH116" t="inlineStr"/>
      <c r="DI116" t="inlineStr"/>
      <c r="DJ116" t="inlineStr"/>
      <c r="DK116" t="inlineStr"/>
      <c r="DL116" t="inlineStr"/>
      <c r="DM116" t="inlineStr"/>
      <c r="DN116" t="inlineStr"/>
      <c r="DO116" t="inlineStr"/>
      <c r="DP116" t="inlineStr"/>
      <c r="DQ116" t="inlineStr"/>
      <c r="DR116" t="inlineStr"/>
      <c r="DS116" t="inlineStr"/>
      <c r="DT116" t="inlineStr"/>
      <c r="DU116" t="inlineStr"/>
      <c r="DV116" t="inlineStr"/>
      <c r="DW116" t="inlineStr"/>
      <c r="DX116" t="inlineStr"/>
      <c r="DY116" t="inlineStr"/>
      <c r="DZ116" t="inlineStr"/>
      <c r="EA116" t="inlineStr"/>
      <c r="EB116" t="inlineStr"/>
      <c r="EC116" t="inlineStr"/>
      <c r="ED116" t="inlineStr"/>
      <c r="EE116" t="inlineStr"/>
      <c r="EF116" t="inlineStr"/>
      <c r="EG116" t="inlineStr"/>
      <c r="EH116" t="inlineStr"/>
      <c r="EI116" t="inlineStr"/>
      <c r="EJ116" t="inlineStr"/>
      <c r="EK116" t="inlineStr"/>
      <c r="EL116" t="inlineStr"/>
      <c r="EM116" t="inlineStr"/>
      <c r="EN116" t="inlineStr"/>
      <c r="EO116" t="inlineStr"/>
      <c r="EP116" t="inlineStr"/>
      <c r="EQ116" t="inlineStr"/>
      <c r="ER116" t="inlineStr"/>
      <c r="ES116" t="inlineStr"/>
      <c r="ET116" t="inlineStr"/>
      <c r="EU116" t="inlineStr"/>
      <c r="EV116" t="inlineStr"/>
      <c r="EW116" t="inlineStr"/>
      <c r="EX116" t="inlineStr"/>
      <c r="EY116" t="inlineStr"/>
      <c r="EZ116" t="inlineStr"/>
      <c r="FA116" t="inlineStr"/>
      <c r="FB116" t="inlineStr"/>
      <c r="FC116" t="inlineStr"/>
      <c r="FD116" t="inlineStr"/>
      <c r="FE116" t="inlineStr"/>
      <c r="FF116" t="inlineStr"/>
      <c r="FG116" t="inlineStr"/>
      <c r="FH116" t="inlineStr"/>
      <c r="FI116" t="inlineStr"/>
      <c r="FJ116" t="inlineStr"/>
      <c r="FK116" t="inlineStr"/>
      <c r="FL116" t="inlineStr"/>
      <c r="FM116" t="inlineStr"/>
      <c r="FN116" t="inlineStr"/>
      <c r="FO116" t="inlineStr"/>
      <c r="FP116" t="inlineStr"/>
      <c r="FQ116" t="inlineStr"/>
      <c r="FR116" t="inlineStr"/>
      <c r="FS116" t="inlineStr"/>
      <c r="FT116" t="inlineStr"/>
      <c r="FU116" t="inlineStr"/>
      <c r="FV116" t="inlineStr"/>
      <c r="FW116" t="inlineStr"/>
      <c r="FX116" t="inlineStr"/>
      <c r="FY116" t="inlineStr"/>
      <c r="FZ116" t="inlineStr"/>
      <c r="GA116" t="inlineStr"/>
      <c r="GB116" t="inlineStr"/>
      <c r="GC116" t="inlineStr"/>
      <c r="GD116" t="inlineStr"/>
      <c r="GE116" t="inlineStr"/>
      <c r="GF116" t="inlineStr"/>
      <c r="GG116" t="inlineStr"/>
      <c r="GH116" t="inlineStr"/>
      <c r="GI116" t="inlineStr"/>
      <c r="GJ116" t="inlineStr"/>
      <c r="GK116" t="inlineStr"/>
      <c r="GL116" t="inlineStr"/>
      <c r="GM116" t="inlineStr"/>
      <c r="GN116" t="inlineStr"/>
      <c r="GO116" t="inlineStr"/>
      <c r="GP116" t="inlineStr"/>
      <c r="GQ116" t="inlineStr"/>
      <c r="GR116" t="inlineStr"/>
      <c r="GS116" t="inlineStr"/>
      <c r="GT116" t="inlineStr"/>
      <c r="GU116" t="inlineStr"/>
      <c r="GV116" t="inlineStr"/>
      <c r="GW116" t="inlineStr"/>
      <c r="GX116" t="inlineStr"/>
      <c r="GY116" t="inlineStr"/>
      <c r="GZ116" t="inlineStr"/>
      <c r="HA116" t="inlineStr"/>
      <c r="HB116" t="inlineStr"/>
      <c r="HC116" t="inlineStr"/>
      <c r="HD116" t="inlineStr"/>
      <c r="HE116" t="inlineStr"/>
      <c r="HF116" t="inlineStr"/>
      <c r="HG116" t="inlineStr"/>
      <c r="HH116" t="inlineStr"/>
      <c r="HI116" t="inlineStr"/>
      <c r="HJ116" t="inlineStr"/>
      <c r="HK116" t="inlineStr"/>
      <c r="HL116" t="inlineStr"/>
      <c r="HM116" t="inlineStr"/>
      <c r="HN116" t="inlineStr"/>
      <c r="HO116" t="inlineStr"/>
      <c r="HP116" t="inlineStr"/>
      <c r="HQ116" t="inlineStr"/>
      <c r="HR116" t="inlineStr"/>
      <c r="HS116" t="inlineStr"/>
      <c r="HT116" t="inlineStr"/>
      <c r="HU116" t="inlineStr"/>
      <c r="HV116" t="inlineStr"/>
      <c r="HW116" t="inlineStr"/>
      <c r="HX116" t="inlineStr"/>
      <c r="HY116" t="inlineStr"/>
      <c r="HZ116" t="inlineStr"/>
      <c r="IA116" t="inlineStr"/>
      <c r="IB116" t="inlineStr"/>
      <c r="IC116" t="inlineStr"/>
      <c r="ID116" t="inlineStr"/>
      <c r="IE116" t="inlineStr"/>
      <c r="IF116" t="inlineStr"/>
      <c r="IG116" t="inlineStr"/>
      <c r="IH116" t="inlineStr"/>
      <c r="II116" t="inlineStr"/>
      <c r="IJ116" t="inlineStr"/>
      <c r="IK116" t="inlineStr"/>
      <c r="IL116" t="inlineStr"/>
      <c r="IM116" t="inlineStr"/>
      <c r="IN116" t="inlineStr"/>
      <c r="IO116" t="inlineStr"/>
      <c r="IP116" t="inlineStr"/>
      <c r="IQ116" t="inlineStr"/>
      <c r="IR116" t="inlineStr"/>
      <c r="IS116">
        <f>IF(input_content_type="",FALSE,ISNUMBER(SEARCH(","&amp;LOWER(input_content_type)&amp;",",","&amp;LOWER(F116)&amp;",")))</f>
        <v/>
      </c>
      <c r="IT116">
        <f>AND(IF(M116="",TRUE,IF(input_affiliations="",FALSE,SUMPRODUCT(--ISNUMBER(SEARCH(","&amp;TRIM(TEXTSPLIT(M116,","))&amp;",",","&amp;SUBSTITUTE(input_affiliations," ","")&amp;",")))&gt;0)),IF(O116="",TRUE,IF(input_affiliations="",FALSE,SUMPRODUCT(--ISNUMBER(SEARCH(","&amp;TRIM(TEXTSPLIT(O116,","))&amp;",",","&amp;SUBSTITUTE(input_affiliations," ","")&amp;",")))=COUNTA(TEXTSPLIT(O116,",")))),IF(Q116="",TRUE,IF(input_affiliations="",TRUE,SUMPRODUCT(--ISNUMBER(SEARCH(","&amp;TRIM(TEXTSPLIT(Q116,","))&amp;",",","&amp;SUBSTITUTE(input_affiliations," ","")&amp;",")))=0)),IF(S116="",TRUE,IF(input_affiliations="",FALSE,SUMPRODUCT(--ISNUMBER(SEARCH(","&amp;TRIM(TEXTSPLIT(S116,","))&amp;",",","&amp;SUBSTITUTE(input_affiliations," ","")&amp;",")))&gt;0)),IF(U116="",TRUE,IF(input_affiliations="",FALSE,SUMPRODUCT(--ISNUMBER(SEARCH(","&amp;TRIM(TEXTSPLIT(U116,","))&amp;",",","&amp;SUBSTITUTE(input_affiliations," ","")&amp;",")))=COUNTA(TEXTSPLIT(U116,",")))))</f>
        <v/>
      </c>
      <c r="IU116">
        <f>AND(IF(W116="",TRUE,IF(input_announcement_category="",FALSE,SUMPRODUCT(--ISNUMBER(SEARCH(","&amp;TRIM(TEXTSPLIT(W116,","))&amp;",",","&amp;SUBSTITUTE(input_announcement_category," ","")&amp;",")))&gt;0)),IF(Y116="",TRUE,IF(input_announcement_category="",FALSE,SUMPRODUCT(--ISNUMBER(SEARCH(","&amp;TRIM(TEXTSPLIT(Y116,","))&amp;",",","&amp;SUBSTITUTE(input_announcement_category," ","")&amp;",")))=COUNTA(TEXTSPLIT(Y116,",")))),IF(AA116="",TRUE,IF(input_announcement_category="",TRUE,SUMPRODUCT(--ISNUMBER(SEARCH(","&amp;TRIM(TEXTSPLIT(AA116,","))&amp;",",","&amp;SUBSTITUTE(input_announcement_category," ","")&amp;",")))=0)),IF(AC116="",TRUE,IF(input_announcement_category="",FALSE,SUMPRODUCT(--ISNUMBER(SEARCH(","&amp;TRIM(TEXTSPLIT(AC116,","))&amp;",",","&amp;SUBSTITUTE(input_announcement_category," ","")&amp;",")))&gt;0)),IF(AE116="",TRUE,IF(input_announcement_category="",FALSE,SUMPRODUCT(--ISNUMBER(SEARCH(","&amp;TRIM(TEXTSPLIT(AE116,","))&amp;",",","&amp;SUBSTITUTE(input_announcement_category," ","")&amp;",")))=COUNTA(TEXTSPLIT(AE116,",")))))</f>
        <v/>
      </c>
      <c r="IV116">
        <f>AND(IF(AG116="",TRUE,IF(input_area_of_focus="",FALSE,SUMPRODUCT(--ISNUMBER(SEARCH(","&amp;TRIM(TEXTSPLIT(AG116,","))&amp;",",","&amp;SUBSTITUTE(input_area_of_focus," ","")&amp;",")))&gt;0)),IF(AI116="",TRUE,IF(input_area_of_focus="",FALSE,SUMPRODUCT(--ISNUMBER(SEARCH(","&amp;TRIM(TEXTSPLIT(AI116,","))&amp;",",","&amp;SUBSTITUTE(input_area_of_focus," ","")&amp;",")))=COUNTA(TEXTSPLIT(AI116,",")))),IF(AK116="",TRUE,IF(input_area_of_focus="",TRUE,SUMPRODUCT(--ISNUMBER(SEARCH(","&amp;TRIM(TEXTSPLIT(AK116,","))&amp;",",","&amp;SUBSTITUTE(input_area_of_focus," ","")&amp;",")))=0)),IF(AM116="",TRUE,IF(input_area_of_focus="",FALSE,SUMPRODUCT(--ISNUMBER(SEARCH(","&amp;TRIM(TEXTSPLIT(AM116,","))&amp;",",","&amp;SUBSTITUTE(input_area_of_focus," ","")&amp;",")))&gt;0)),IF(AO116="",TRUE,IF(input_area_of_focus="",FALSE,SUMPRODUCT(--ISNUMBER(SEARCH(","&amp;TRIM(TEXTSPLIT(AO116,","))&amp;",",","&amp;SUBSTITUTE(input_area_of_focus," ","")&amp;",")))=COUNTA(TEXTSPLIT(AO116,",")))))</f>
        <v/>
      </c>
      <c r="IW116">
        <f>AND(IF(AQ116="",TRUE,IF(input_audience="",FALSE,SUMPRODUCT(--ISNUMBER(SEARCH(","&amp;TRIM(TEXTSPLIT(AQ116,","))&amp;",",","&amp;SUBSTITUTE(input_audience," ","")&amp;",")))&gt;0)),IF(AS116="",TRUE,IF(input_audience="",FALSE,SUMPRODUCT(--ISNUMBER(SEARCH(","&amp;TRIM(TEXTSPLIT(AS116,","))&amp;",",","&amp;SUBSTITUTE(input_audience," ","")&amp;",")))=COUNTA(TEXTSPLIT(AS116,",")))),IF(AU116="",TRUE,IF(input_audience="",TRUE,SUMPRODUCT(--ISNUMBER(SEARCH(","&amp;TRIM(TEXTSPLIT(AU116,","))&amp;",",","&amp;SUBSTITUTE(input_audience," ","")&amp;",")))=0)),IF(AW116="",TRUE,IF(input_audience="",FALSE,SUMPRODUCT(--ISNUMBER(SEARCH(","&amp;TRIM(TEXTSPLIT(AW116,","))&amp;",",","&amp;SUBSTITUTE(input_audience," ","")&amp;",")))&gt;0)),IF(AY116="",TRUE,IF(input_audience="",FALSE,SUMPRODUCT(--ISNUMBER(SEARCH(","&amp;TRIM(TEXTSPLIT(AY116,","))&amp;",",","&amp;SUBSTITUTE(input_audience," ","")&amp;",")))=COUNTA(TEXTSPLIT(AY116,",")))))</f>
        <v/>
      </c>
      <c r="IX116">
        <f>AND(IF(BA116="",TRUE,IF(input_challenge_opportunities="",FALSE,SUMPRODUCT(--ISNUMBER(SEARCH(","&amp;TRIM(TEXTSPLIT(BA116,","))&amp;",",","&amp;SUBSTITUTE(input_challenge_opportunities," ","")&amp;",")))&gt;0)),IF(BC116="",TRUE,IF(input_challenge_opportunities="",FALSE,SUMPRODUCT(--ISNUMBER(SEARCH(","&amp;TRIM(TEXTSPLIT(BC116,","))&amp;",",","&amp;SUBSTITUTE(input_challenge_opportunities," ","")&amp;",")))=COUNTA(TEXTSPLIT(BC116,",")))),IF(BE116="",TRUE,IF(input_challenge_opportunities="",TRUE,SUMPRODUCT(--ISNUMBER(SEARCH(","&amp;TRIM(TEXTSPLIT(BE116,","))&amp;",",","&amp;SUBSTITUTE(input_challenge_opportunities," ","")&amp;",")))=0)),IF(BG116="",TRUE,IF(input_challenge_opportunities="",FALSE,SUMPRODUCT(--ISNUMBER(SEARCH(","&amp;TRIM(TEXTSPLIT(BG116,","))&amp;",",","&amp;SUBSTITUTE(input_challenge_opportunities," ","")&amp;",")))&gt;0)),IF(BI116="",TRUE,IF(input_challenge_opportunities="",FALSE,SUMPRODUCT(--ISNUMBER(SEARCH(","&amp;TRIM(TEXTSPLIT(BI116,","))&amp;",",","&amp;SUBSTITUTE(input_challenge_opportunities," ","")&amp;",")))=COUNTA(TEXTSPLIT(BI116,",")))))</f>
        <v/>
      </c>
      <c r="IY116">
        <f>AND(IF(BK116="",TRUE,IF(input_context="",FALSE,SUMPRODUCT(--ISNUMBER(SEARCH(","&amp;TRIM(TEXTSPLIT(BK116,","))&amp;",",","&amp;SUBSTITUTE(input_context," ","")&amp;",")))&gt;0)),IF(BM116="",TRUE,IF(input_context="",FALSE,SUMPRODUCT(--ISNUMBER(SEARCH(","&amp;TRIM(TEXTSPLIT(BM116,","))&amp;",",","&amp;SUBSTITUTE(input_context," ","")&amp;",")))=COUNTA(TEXTSPLIT(BM116,",")))),IF(BO116="",TRUE,IF(input_context="",TRUE,SUMPRODUCT(--ISNUMBER(SEARCH(","&amp;TRIM(TEXTSPLIT(BO116,","))&amp;",",","&amp;SUBSTITUTE(input_context," ","")&amp;",")))=0)),IF(BQ116="",TRUE,IF(input_context="",FALSE,SUMPRODUCT(--ISNUMBER(SEARCH(","&amp;TRIM(TEXTSPLIT(BQ116,","))&amp;",",","&amp;SUBSTITUTE(input_context," ","")&amp;",")))&gt;0)),IF(BS116="",TRUE,IF(input_context="",FALSE,SUMPRODUCT(--ISNUMBER(SEARCH(","&amp;TRIM(TEXTSPLIT(BS116,","))&amp;",",","&amp;SUBSTITUTE(input_context," ","")&amp;",")))=COUNTA(TEXTSPLIT(BS116,",")))))</f>
        <v/>
      </c>
      <c r="IZ116">
        <f>AND(IF(BU116="",TRUE,IF(input_enews_announcement_type="",FALSE,SUMPRODUCT(--ISNUMBER(SEARCH(","&amp;TRIM(TEXTSPLIT(BU116,","))&amp;",",","&amp;SUBSTITUTE(input_enews_announcement_type," ","")&amp;",")))&gt;0)),IF(BW116="",TRUE,IF(input_enews_announcement_type="",FALSE,SUMPRODUCT(--ISNUMBER(SEARCH(","&amp;TRIM(TEXTSPLIT(BW116,","))&amp;",",","&amp;SUBSTITUTE(input_enews_announcement_type," ","")&amp;",")))=COUNTA(TEXTSPLIT(BW116,",")))),IF(BY116="",TRUE,IF(input_enews_announcement_type="",TRUE,SUMPRODUCT(--ISNUMBER(SEARCH(","&amp;TRIM(TEXTSPLIT(BY116,","))&amp;",",","&amp;SUBSTITUTE(input_enews_announcement_type," ","")&amp;",")))=0)),IF(CA116="",TRUE,IF(input_enews_announcement_type="",FALSE,SUMPRODUCT(--ISNUMBER(SEARCH(","&amp;TRIM(TEXTSPLIT(CA116,","))&amp;",",","&amp;SUBSTITUTE(input_enews_announcement_type," ","")&amp;",")))&gt;0)),IF(CC116="",TRUE,IF(input_enews_announcement_type="",FALSE,SUMPRODUCT(--ISNUMBER(SEARCH(","&amp;TRIM(TEXTSPLIT(CC116,","))&amp;",",","&amp;SUBSTITUTE(input_enews_announcement_type," ","")&amp;",")))=COUNTA(TEXTSPLIT(CC116,",")))))</f>
        <v/>
      </c>
      <c r="JA116">
        <f>AND(IF(CE116="",TRUE,IF(input_enews_audience="",FALSE,SUMPRODUCT(--ISNUMBER(SEARCH(","&amp;TRIM(TEXTSPLIT(CE116,","))&amp;",",","&amp;SUBSTITUTE(input_enews_audience," ","")&amp;",")))&gt;0)),IF(CG116="",TRUE,IF(input_enews_audience="",FALSE,SUMPRODUCT(--ISNUMBER(SEARCH(","&amp;TRIM(TEXTSPLIT(CG116,","))&amp;",",","&amp;SUBSTITUTE(input_enews_audience," ","")&amp;",")))=COUNTA(TEXTSPLIT(CG116,",")))),IF(CI116="",TRUE,IF(input_enews_audience="",TRUE,SUMPRODUCT(--ISNUMBER(SEARCH(","&amp;TRIM(TEXTSPLIT(CI116,","))&amp;",",","&amp;SUBSTITUTE(input_enews_audience," ","")&amp;",")))=0)),IF(CK116="",TRUE,IF(input_enews_audience="",FALSE,SUMPRODUCT(--ISNUMBER(SEARCH(","&amp;TRIM(TEXTSPLIT(CK116,","))&amp;",",","&amp;SUBSTITUTE(input_enews_audience," ","")&amp;",")))&gt;0)),IF(CM116="",TRUE,IF(input_enews_audience="",FALSE,SUMPRODUCT(--ISNUMBER(SEARCH(","&amp;TRIM(TEXTSPLIT(CM116,","))&amp;",",","&amp;SUBSTITUTE(input_enews_audience," ","")&amp;",")))=COUNTA(TEXTSPLIT(CM116,",")))))</f>
        <v/>
      </c>
      <c r="JB116">
        <f>AND(IF(CO116="",TRUE,IF(input_event_location="",FALSE,SUMPRODUCT(--ISNUMBER(SEARCH(","&amp;TRIM(TEXTSPLIT(CO116,","))&amp;",",","&amp;SUBSTITUTE(input_event_location," ","")&amp;",")))&gt;0)),IF(CQ116="",TRUE,IF(input_event_location="",FALSE,SUMPRODUCT(--ISNUMBER(SEARCH(","&amp;TRIM(TEXTSPLIT(CQ116,","))&amp;",",","&amp;SUBSTITUTE(input_event_location," ","")&amp;",")))=COUNTA(TEXTSPLIT(CQ116,",")))),IF(CS116="",TRUE,IF(input_event_location="",TRUE,SUMPRODUCT(--ISNUMBER(SEARCH(","&amp;TRIM(TEXTSPLIT(CS116,","))&amp;",",","&amp;SUBSTITUTE(input_event_location," ","")&amp;",")))=0)),IF(CU116="",TRUE,IF(input_event_location="",FALSE,SUMPRODUCT(--ISNUMBER(SEARCH(","&amp;TRIM(TEXTSPLIT(CU116,","))&amp;",",","&amp;SUBSTITUTE(input_event_location," ","")&amp;",")))&gt;0)),IF(CW116="",TRUE,IF(input_event_location="",FALSE,SUMPRODUCT(--ISNUMBER(SEARCH(","&amp;TRIM(TEXTSPLIT(CW116,","))&amp;",",","&amp;SUBSTITUTE(input_event_location," ","")&amp;",")))=COUNTA(TEXTSPLIT(CW116,",")))))</f>
        <v/>
      </c>
      <c r="JC116">
        <f>AND(IF(CY116="",TRUE,IF(input_event_type="",FALSE,SUMPRODUCT(--ISNUMBER(SEARCH(","&amp;TRIM(TEXTSPLIT(CY116,","))&amp;",",","&amp;SUBSTITUTE(input_event_type," ","")&amp;",")))&gt;0)),IF(DA116="",TRUE,IF(input_event_type="",FALSE,SUMPRODUCT(--ISNUMBER(SEARCH(","&amp;TRIM(TEXTSPLIT(DA116,","))&amp;",",","&amp;SUBSTITUTE(input_event_type," ","")&amp;",")))=COUNTA(TEXTSPLIT(DA116,",")))),IF(DC116="",TRUE,IF(input_event_type="",TRUE,SUMPRODUCT(--ISNUMBER(SEARCH(","&amp;TRIM(TEXTSPLIT(DC116,","))&amp;",",","&amp;SUBSTITUTE(input_event_type," ","")&amp;",")))=0)),IF(DE116="",TRUE,IF(input_event_type="",FALSE,SUMPRODUCT(--ISNUMBER(SEARCH(","&amp;TRIM(TEXTSPLIT(DE116,","))&amp;",",","&amp;SUBSTITUTE(input_event_type," ","")&amp;",")))&gt;0)),IF(DG116="",TRUE,IF(input_event_type="",FALSE,SUMPRODUCT(--ISNUMBER(SEARCH(","&amp;TRIM(TEXTSPLIT(DG116,","))&amp;",",","&amp;SUBSTITUTE(input_event_type," ","")&amp;",")))=COUNTA(TEXTSPLIT(DG116,",")))))</f>
        <v/>
      </c>
      <c r="JD116">
        <f>AND(IF(DI116="",TRUE,IF(input_executive_education_focus="",FALSE,SUMPRODUCT(--ISNUMBER(SEARCH(","&amp;TRIM(TEXTSPLIT(DI116,","))&amp;",",","&amp;SUBSTITUTE(input_executive_education_focus," ","")&amp;",")))&gt;0)),IF(DK116="",TRUE,IF(input_executive_education_focus="",FALSE,SUMPRODUCT(--ISNUMBER(SEARCH(","&amp;TRIM(TEXTSPLIT(DK116,","))&amp;",",","&amp;SUBSTITUTE(input_executive_education_focus," ","")&amp;",")))=COUNTA(TEXTSPLIT(DK116,",")))),IF(DM116="",TRUE,IF(input_executive_education_focus="",TRUE,SUMPRODUCT(--ISNUMBER(SEARCH(","&amp;TRIM(TEXTSPLIT(DM116,","))&amp;",",","&amp;SUBSTITUTE(input_executive_education_focus," ","")&amp;",")))=0)),IF(DO116="",TRUE,IF(input_executive_education_focus="",FALSE,SUMPRODUCT(--ISNUMBER(SEARCH(","&amp;TRIM(TEXTSPLIT(DO116,","))&amp;",",","&amp;SUBSTITUTE(input_executive_education_focus," ","")&amp;",")))&gt;0)),IF(DQ116="",TRUE,IF(input_executive_education_focus="",FALSE,SUMPRODUCT(--ISNUMBER(SEARCH(","&amp;TRIM(TEXTSPLIT(DQ116,","))&amp;",",","&amp;SUBSTITUTE(input_executive_education_focus," ","")&amp;",")))=COUNTA(TEXTSPLIT(DQ116,",")))))</f>
        <v/>
      </c>
      <c r="JE116">
        <f>AND(IF(DS116="",TRUE,IF(input_faculty_category="",FALSE,SUMPRODUCT(--ISNUMBER(SEARCH(","&amp;TRIM(TEXTSPLIT(DS116,","))&amp;",",","&amp;SUBSTITUTE(input_faculty_category," ","")&amp;",")))&gt;0)),IF(DU116="",TRUE,IF(input_faculty_category="",FALSE,SUMPRODUCT(--ISNUMBER(SEARCH(","&amp;TRIM(TEXTSPLIT(DU116,","))&amp;",",","&amp;SUBSTITUTE(input_faculty_category," ","")&amp;",")))=COUNTA(TEXTSPLIT(DU116,",")))),IF(DW116="",TRUE,IF(input_faculty_category="",TRUE,SUMPRODUCT(--ISNUMBER(SEARCH(","&amp;TRIM(TEXTSPLIT(DW116,","))&amp;",",","&amp;SUBSTITUTE(input_faculty_category," ","")&amp;",")))=0)),IF(DY116="",TRUE,IF(input_faculty_category="",FALSE,SUMPRODUCT(--ISNUMBER(SEARCH(","&amp;TRIM(TEXTSPLIT(DY116,","))&amp;",",","&amp;SUBSTITUTE(input_faculty_category," ","")&amp;",")))&gt;0)),IF(EA116="",TRUE,IF(input_faculty_category="",FALSE,SUMPRODUCT(--ISNUMBER(SEARCH(","&amp;TRIM(TEXTSPLIT(EA116,","))&amp;",",","&amp;SUBSTITUTE(input_faculty_category," ","")&amp;",")))=COUNTA(TEXTSPLIT(EA116,",")))))</f>
        <v/>
      </c>
      <c r="JF116">
        <f>AND(IF(EC116="",TRUE,IF(input_faculty_discipline="",FALSE,SUMPRODUCT(--ISNUMBER(SEARCH(","&amp;TRIM(TEXTSPLIT(EC116,","))&amp;",",","&amp;SUBSTITUTE(input_faculty_discipline," ","")&amp;",")))&gt;0)),IF(EE116="",TRUE,IF(input_faculty_discipline="",FALSE,SUMPRODUCT(--ISNUMBER(SEARCH(","&amp;TRIM(TEXTSPLIT(EE116,","))&amp;",",","&amp;SUBSTITUTE(input_faculty_discipline," ","")&amp;",")))=COUNTA(TEXTSPLIT(EE116,",")))),IF(EG116="",TRUE,IF(input_faculty_discipline="",TRUE,SUMPRODUCT(--ISNUMBER(SEARCH(","&amp;TRIM(TEXTSPLIT(EG116,","))&amp;",",","&amp;SUBSTITUTE(input_faculty_discipline," ","")&amp;",")))=0)),IF(EI116="",TRUE,IF(input_faculty_discipline="",FALSE,SUMPRODUCT(--ISNUMBER(SEARCH(","&amp;TRIM(TEXTSPLIT(EI116,","))&amp;",",","&amp;SUBSTITUTE(input_faculty_discipline," ","")&amp;",")))&gt;0)),IF(EK116="",TRUE,IF(input_faculty_discipline="",FALSE,SUMPRODUCT(--ISNUMBER(SEARCH(","&amp;TRIM(TEXTSPLIT(EK116,","))&amp;",",","&amp;SUBSTITUTE(input_faculty_discipline," ","")&amp;",")))=COUNTA(TEXTSPLIT(EK116,",")))))</f>
        <v/>
      </c>
      <c r="JG116">
        <f>AND(IF(EM116="",TRUE,IF(input_faculty_expertise="",FALSE,SUMPRODUCT(--ISNUMBER(SEARCH(","&amp;TRIM(TEXTSPLIT(EM116,","))&amp;",",","&amp;SUBSTITUTE(input_faculty_expertise," ","")&amp;",")))&gt;0)),IF(EO116="",TRUE,IF(input_faculty_expertise="",FALSE,SUMPRODUCT(--ISNUMBER(SEARCH(","&amp;TRIM(TEXTSPLIT(EO116,","))&amp;",",","&amp;SUBSTITUTE(input_faculty_expertise," ","")&amp;",")))=COUNTA(TEXTSPLIT(EO116,",")))),IF(EQ116="",TRUE,IF(input_faculty_expertise="",TRUE,SUMPRODUCT(--ISNUMBER(SEARCH(","&amp;TRIM(TEXTSPLIT(EQ116,","))&amp;",",","&amp;SUBSTITUTE(input_faculty_expertise," ","")&amp;",")))=0)),IF(ES116="",TRUE,IF(input_faculty_expertise="",FALSE,SUMPRODUCT(--ISNUMBER(SEARCH(","&amp;TRIM(TEXTSPLIT(ES116,","))&amp;",",","&amp;SUBSTITUTE(input_faculty_expertise," ","")&amp;",")))&gt;0)),IF(EU116="",TRUE,IF(input_faculty_expertise="",FALSE,SUMPRODUCT(--ISNUMBER(SEARCH(","&amp;TRIM(TEXTSPLIT(EU116,","))&amp;",",","&amp;SUBSTITUTE(input_faculty_expertise," ","")&amp;",")))=COUNTA(TEXTSPLIT(EU116,",")))))</f>
        <v/>
      </c>
      <c r="JH116">
        <f>AND(IF(EW116="",TRUE,IF(input_global_network_school="",FALSE,SUMPRODUCT(--ISNUMBER(SEARCH(","&amp;TRIM(TEXTSPLIT(EW116,","))&amp;",",","&amp;SUBSTITUTE(input_global_network_school," ","")&amp;",")))&gt;0)),IF(EY116="",TRUE,IF(input_global_network_school="",FALSE,SUMPRODUCT(--ISNUMBER(SEARCH(","&amp;TRIM(TEXTSPLIT(EY116,","))&amp;",",","&amp;SUBSTITUTE(input_global_network_school," ","")&amp;",")))=COUNTA(TEXTSPLIT(EY116,",")))),IF(FA116="",TRUE,IF(input_global_network_school="",TRUE,SUMPRODUCT(--ISNUMBER(SEARCH(","&amp;TRIM(TEXTSPLIT(FA116,","))&amp;",",","&amp;SUBSTITUTE(input_global_network_school," ","")&amp;",")))=0)),IF(FC116="",TRUE,IF(input_global_network_school="",FALSE,SUMPRODUCT(--ISNUMBER(SEARCH(","&amp;TRIM(TEXTSPLIT(FC116,","))&amp;",",","&amp;SUBSTITUTE(input_global_network_school," ","")&amp;",")))&gt;0)),IF(FE116="",TRUE,IF(input_global_network_school="",FALSE,SUMPRODUCT(--ISNUMBER(SEARCH(","&amp;TRIM(TEXTSPLIT(FE116,","))&amp;",",","&amp;SUBSTITUTE(input_global_network_school," ","")&amp;",")))=COUNTA(TEXTSPLIT(FE116,",")))))</f>
        <v/>
      </c>
      <c r="JI116">
        <f>AND(IF(FG116="",TRUE,IF(input_industry="",FALSE,SUMPRODUCT(--ISNUMBER(SEARCH(","&amp;TRIM(TEXTSPLIT(FG116,","))&amp;",",","&amp;SUBSTITUTE(input_industry," ","")&amp;",")))&gt;0)),IF(FI116="",TRUE,IF(input_industry="",FALSE,SUMPRODUCT(--ISNUMBER(SEARCH(","&amp;TRIM(TEXTSPLIT(FI116,","))&amp;",",","&amp;SUBSTITUTE(input_industry," ","")&amp;",")))=COUNTA(TEXTSPLIT(FI116,",")))),IF(FK116="",TRUE,IF(input_industry="",TRUE,SUMPRODUCT(--ISNUMBER(SEARCH(","&amp;TRIM(TEXTSPLIT(FK116,","))&amp;",",","&amp;SUBSTITUTE(input_industry," ","")&amp;",")))=0)),IF(FM116="",TRUE,IF(input_industry="",FALSE,SUMPRODUCT(--ISNUMBER(SEARCH(","&amp;TRIM(TEXTSPLIT(FM116,","))&amp;",",","&amp;SUBSTITUTE(input_industry," ","")&amp;",")))&gt;0)),IF(FO116="",TRUE,IF(input_industry="",FALSE,SUMPRODUCT(--ISNUMBER(SEARCH(","&amp;TRIM(TEXTSPLIT(FO116,","))&amp;",",","&amp;SUBSTITUTE(input_industry," ","")&amp;",")))=COUNTA(TEXTSPLIT(FO116,",")))))</f>
        <v/>
      </c>
      <c r="JJ116">
        <f>AND(IF(FQ116="",TRUE,IF(input_location="",FALSE,SUMPRODUCT(--ISNUMBER(SEARCH(","&amp;TRIM(TEXTSPLIT(FQ116,","))&amp;",",","&amp;SUBSTITUTE(input_location," ","")&amp;",")))&gt;0)),IF(FS116="",TRUE,IF(input_location="",FALSE,SUMPRODUCT(--ISNUMBER(SEARCH(","&amp;TRIM(TEXTSPLIT(FS116,","))&amp;",",","&amp;SUBSTITUTE(input_location," ","")&amp;",")))=COUNTA(TEXTSPLIT(FS116,",")))),IF(FU116="",TRUE,IF(input_location="",TRUE,SUMPRODUCT(--ISNUMBER(SEARCH(","&amp;TRIM(TEXTSPLIT(FU116,","))&amp;",",","&amp;SUBSTITUTE(input_location," ","")&amp;",")))=0)),IF(FW116="",TRUE,IF(input_location="",FALSE,SUMPRODUCT(--ISNUMBER(SEARCH(","&amp;TRIM(TEXTSPLIT(FW116,","))&amp;",",","&amp;SUBSTITUTE(input_location," ","")&amp;",")))&gt;0)),IF(FY116="",TRUE,IF(input_location="",FALSE,SUMPRODUCT(--ISNUMBER(SEARCH(","&amp;TRIM(TEXTSPLIT(FY116,","))&amp;",",","&amp;SUBSTITUTE(input_location," ","")&amp;",")))=COUNTA(TEXTSPLIT(FY116,",")))))</f>
        <v/>
      </c>
      <c r="JK116">
        <f>AND(IF(GA116="",TRUE,IF(input_modality="",FALSE,SUMPRODUCT(--ISNUMBER(SEARCH(","&amp;TRIM(TEXTSPLIT(GA116,","))&amp;",",","&amp;SUBSTITUTE(input_modality," ","")&amp;",")))&gt;0)),IF(GC116="",TRUE,IF(input_modality="",FALSE,SUMPRODUCT(--ISNUMBER(SEARCH(","&amp;TRIM(TEXTSPLIT(GC116,","))&amp;",",","&amp;SUBSTITUTE(input_modality," ","")&amp;",")))=COUNTA(TEXTSPLIT(GC116,",")))),IF(GE116="",TRUE,IF(input_modality="",TRUE,SUMPRODUCT(--ISNUMBER(SEARCH(","&amp;TRIM(TEXTSPLIT(GE116,","))&amp;",",","&amp;SUBSTITUTE(input_modality," ","")&amp;",")))=0)),IF(GG116="",TRUE,IF(input_modality="",FALSE,SUMPRODUCT(--ISNUMBER(SEARCH(","&amp;TRIM(TEXTSPLIT(GG116,","))&amp;",",","&amp;SUBSTITUTE(input_modality," ","")&amp;",")))&gt;0)),IF(GI116="",TRUE,IF(input_modality="",FALSE,SUMPRODUCT(--ISNUMBER(SEARCH(","&amp;TRIM(TEXTSPLIT(GI116,","))&amp;",",","&amp;SUBSTITUTE(input_modality," ","")&amp;",")))=COUNTA(TEXTSPLIT(GI116,",")))))</f>
        <v/>
      </c>
      <c r="JL116">
        <f>AND(IF(GK116="",TRUE,IF(input_organizer="",FALSE,SUMPRODUCT(--ISNUMBER(SEARCH(","&amp;TRIM(TEXTSPLIT(GK116,","))&amp;",",","&amp;SUBSTITUTE(input_organizer," ","")&amp;",")))&gt;0)),IF(GM116="",TRUE,IF(input_organizer="",FALSE,SUMPRODUCT(--ISNUMBER(SEARCH(","&amp;TRIM(TEXTSPLIT(GM116,","))&amp;",",","&amp;SUBSTITUTE(input_organizer," ","")&amp;",")))=COUNTA(TEXTSPLIT(GM116,",")))),IF(GO116="",TRUE,IF(input_organizer="",TRUE,SUMPRODUCT(--ISNUMBER(SEARCH(","&amp;TRIM(TEXTSPLIT(GO116,","))&amp;",",","&amp;SUBSTITUTE(input_organizer," ","")&amp;",")))=0)),IF(GQ116="",TRUE,IF(input_organizer="",FALSE,SUMPRODUCT(--ISNUMBER(SEARCH(","&amp;TRIM(TEXTSPLIT(GQ116,","))&amp;",",","&amp;SUBSTITUTE(input_organizer," ","")&amp;",")))&gt;0)),IF(GS116="",TRUE,IF(input_organizer="",FALSE,SUMPRODUCT(--ISNUMBER(SEARCH(","&amp;TRIM(TEXTSPLIT(GS116,","))&amp;",",","&amp;SUBSTITUTE(input_organizer," ","")&amp;",")))=COUNTA(TEXTSPLIT(GS116,",")))))</f>
        <v/>
      </c>
      <c r="JM116">
        <f>AND(IF(GU116="",TRUE,IF(input_profile_type="",FALSE,SUMPRODUCT(--ISNUMBER(SEARCH(","&amp;TRIM(TEXTSPLIT(GU116,","))&amp;",",","&amp;SUBSTITUTE(input_profile_type," ","")&amp;",")))&gt;0)),IF(GW116="",TRUE,IF(input_profile_type="",FALSE,SUMPRODUCT(--ISNUMBER(SEARCH(","&amp;TRIM(TEXTSPLIT(GW116,","))&amp;",",","&amp;SUBSTITUTE(input_profile_type," ","")&amp;",")))=COUNTA(TEXTSPLIT(GW116,",")))),IF(GY116="",TRUE,IF(input_profile_type="",TRUE,SUMPRODUCT(--ISNUMBER(SEARCH(","&amp;TRIM(TEXTSPLIT(GY116,","))&amp;",",","&amp;SUBSTITUTE(input_profile_type," ","")&amp;",")))=0)),IF(HA116="",TRUE,IF(input_profile_type="",FALSE,SUMPRODUCT(--ISNUMBER(SEARCH(","&amp;TRIM(TEXTSPLIT(HA116,","))&amp;",",","&amp;SUBSTITUTE(input_profile_type," ","")&amp;",")))&gt;0)),IF(HC116="",TRUE,IF(input_profile_type="",FALSE,SUMPRODUCT(--ISNUMBER(SEARCH(","&amp;TRIM(TEXTSPLIT(HC116,","))&amp;",",","&amp;SUBSTITUTE(input_profile_type," ","")&amp;",")))=COUNTA(TEXTSPLIT(HC116,",")))))</f>
        <v/>
      </c>
      <c r="JN116">
        <f>AND(IF(HE116="",TRUE,IF(input_program="",FALSE,SUMPRODUCT(--ISNUMBER(SEARCH(","&amp;TRIM(TEXTSPLIT(HE116,","))&amp;",",","&amp;SUBSTITUTE(input_program," ","")&amp;",")))&gt;0)),IF(HG116="",TRUE,IF(input_program="",FALSE,SUMPRODUCT(--ISNUMBER(SEARCH(","&amp;TRIM(TEXTSPLIT(HG116,","))&amp;",",","&amp;SUBSTITUTE(input_program," ","")&amp;",")))=COUNTA(TEXTSPLIT(HG116,",")))),IF(HI116="",TRUE,IF(input_program="",TRUE,SUMPRODUCT(--ISNUMBER(SEARCH(","&amp;TRIM(TEXTSPLIT(HI116,","))&amp;",",","&amp;SUBSTITUTE(input_program," ","")&amp;",")))=0)),IF(HK116="",TRUE,IF(input_program="",FALSE,SUMPRODUCT(--ISNUMBER(SEARCH(","&amp;TRIM(TEXTSPLIT(HK116,","))&amp;",",","&amp;SUBSTITUTE(input_program," ","")&amp;",")))&gt;0)),IF(HM116="",TRUE,IF(input_program="",FALSE,SUMPRODUCT(--ISNUMBER(SEARCH(","&amp;TRIM(TEXTSPLIT(HM116,","))&amp;",",","&amp;SUBSTITUTE(input_program," ","")&amp;",")))=COUNTA(TEXTSPLIT(HM116,",")))))</f>
        <v/>
      </c>
      <c r="JO116">
        <f>AND(IF(HO116="",TRUE,IF(input_story_categories="",FALSE,SUMPRODUCT(--ISNUMBER(SEARCH(","&amp;TRIM(TEXTSPLIT(HO116,","))&amp;",",","&amp;SUBSTITUTE(input_story_categories," ","")&amp;",")))&gt;0)),IF(HQ116="",TRUE,IF(input_story_categories="",FALSE,SUMPRODUCT(--ISNUMBER(SEARCH(","&amp;TRIM(TEXTSPLIT(HQ116,","))&amp;",",","&amp;SUBSTITUTE(input_story_categories," ","")&amp;",")))=COUNTA(TEXTSPLIT(HQ116,",")))),IF(HS116="",TRUE,IF(input_story_categories="",TRUE,SUMPRODUCT(--ISNUMBER(SEARCH(","&amp;TRIM(TEXTSPLIT(HS116,","))&amp;",",","&amp;SUBSTITUTE(input_story_categories," ","")&amp;",")))=0)),IF(HU116="",TRUE,IF(input_story_categories="",FALSE,SUMPRODUCT(--ISNUMBER(SEARCH(","&amp;TRIM(TEXTSPLIT(HU116,","))&amp;",",","&amp;SUBSTITUTE(input_story_categories," ","")&amp;",")))&gt;0)),IF(HW116="",TRUE,IF(input_story_categories="",FALSE,SUMPRODUCT(--ISNUMBER(SEARCH(","&amp;TRIM(TEXTSPLIT(HW116,","))&amp;",",","&amp;SUBSTITUTE(input_story_categories," ","")&amp;",")))=COUNTA(TEXTSPLIT(HW116,",")))))</f>
        <v/>
      </c>
      <c r="JP116">
        <f>AND(IF(HY116="",TRUE,IF(input_story_type="",FALSE,SUMPRODUCT(--ISNUMBER(SEARCH(","&amp;TRIM(TEXTSPLIT(HY116,","))&amp;",",","&amp;SUBSTITUTE(input_story_type," ","")&amp;",")))&gt;0)),IF(IA116="",TRUE,IF(input_story_type="",FALSE,SUMPRODUCT(--ISNUMBER(SEARCH(","&amp;TRIM(TEXTSPLIT(IA116,","))&amp;",",","&amp;SUBSTITUTE(input_story_type," ","")&amp;",")))=COUNTA(TEXTSPLIT(IA116,",")))),IF(IC116="",TRUE,IF(input_story_type="",TRUE,SUMPRODUCT(--ISNUMBER(SEARCH(","&amp;TRIM(TEXTSPLIT(IC116,","))&amp;",",","&amp;SUBSTITUTE(input_story_type," ","")&amp;",")))=0)),IF(IE116="",TRUE,IF(input_story_type="",FALSE,SUMPRODUCT(--ISNUMBER(SEARCH(","&amp;TRIM(TEXTSPLIT(IE116,","))&amp;",",","&amp;SUBSTITUTE(input_story_type," ","")&amp;",")))&gt;0)),IF(IG116="",TRUE,IF(input_story_type="",FALSE,SUMPRODUCT(--ISNUMBER(SEARCH(","&amp;TRIM(TEXTSPLIT(IG116,","))&amp;",",","&amp;SUBSTITUTE(input_story_type," ","")&amp;",")))=COUNTA(TEXTSPLIT(IG116,",")))))</f>
        <v/>
      </c>
      <c r="JQ116">
        <f>AND(IF(II116="",TRUE,IF(input_topics="",FALSE,SUMPRODUCT(--ISNUMBER(SEARCH(","&amp;TRIM(TEXTSPLIT(II116,","))&amp;",",","&amp;SUBSTITUTE(input_topics," ","")&amp;",")))&gt;0)),IF(IK116="",TRUE,IF(input_topics="",FALSE,SUMPRODUCT(--ISNUMBER(SEARCH(","&amp;TRIM(TEXTSPLIT(IK116,","))&amp;",",","&amp;SUBSTITUTE(input_topics," ","")&amp;",")))=COUNTA(TEXTSPLIT(IK116,",")))),IF(IM116="",TRUE,IF(input_topics="",TRUE,SUMPRODUCT(--ISNUMBER(SEARCH(","&amp;TRIM(TEXTSPLIT(IM116,","))&amp;",",","&amp;SUBSTITUTE(input_topics," ","")&amp;",")))=0)),IF(IO116="",TRUE,IF(input_topics="",FALSE,SUMPRODUCT(--ISNUMBER(SEARCH(","&amp;TRIM(TEXTSPLIT(IO116,","))&amp;",",","&amp;SUBSTITUTE(input_topics," ","")&amp;",")))&gt;0)),IF(IQ116="",TRUE,IF(input_topics="",FALSE,SUMPRODUCT(--ISNUMBER(SEARCH(","&amp;TRIM(TEXTSPLIT(IQ116,","))&amp;",",","&amp;SUBSTITUTE(input_topics," ","")&amp;",")))=COUNTA(TEXTSPLIT(IQ116,",")))))</f>
        <v/>
      </c>
    </row>
    <row r="117">
      <c r="A117" s="4">
        <f>IF(NOT(IS117),"Excluded",IF(AND(IT117,IU117,IV117,IW117,IX117,IY117,IZ117,JA117,JB117,JC117,JD117,JE117,JF117,JG117,JH117,JI117,JJ117,JK117,JL117,JM117,JN117,JO117,JP117,JQ117),IF(I117&gt;0,"Eligible but limited","Will appear"),"Excluded"))</f>
        <v/>
      </c>
      <c r="B117" s="4" t="inlineStr">
        <is>
          <t>GBS Blog &amp; News</t>
        </is>
      </c>
      <c r="C117" s="4" t="inlineStr">
        <is>
          <t>/programs/mms-global-business-and-society/blog-news</t>
        </is>
      </c>
      <c r="D117" s="4" t="inlineStr">
        <is>
          <t>/programs/mms-global-business-and-society/blog-news</t>
        </is>
      </c>
      <c r="E117" s="4" t="n">
        <v>1</v>
      </c>
      <c r="F117" s="4" t="inlineStr">
        <is>
          <t>story</t>
        </is>
      </c>
      <c r="G117" s="4" t="inlineStr">
        <is>
          <t>stories_list</t>
        </is>
      </c>
      <c r="H117" s="4" t="inlineStr">
        <is>
          <t>embed_1</t>
        </is>
      </c>
      <c r="I117" s="4" t="n">
        <v>10</v>
      </c>
      <c r="J117" s="4" t="inlineStr">
        <is>
          <t>Explicit args</t>
        </is>
      </c>
      <c r="K117" s="4" t="inlineStr">
        <is>
          <t>Page placement</t>
        </is>
      </c>
      <c r="L117" s="4" t="inlineStr">
        <is>
          <t>Content type: story; Context uses Courses Context: Master's Degree in Global Business and Society (950), Programs (94), Residential master's programs (1571); Limited to 10 item(s); Source: Explicit args</t>
        </is>
      </c>
      <c r="M117" t="inlineStr"/>
      <c r="N117" t="inlineStr"/>
      <c r="O117" t="inlineStr"/>
      <c r="P117" t="inlineStr"/>
      <c r="Q117" t="inlineStr"/>
      <c r="R117" t="inlineStr"/>
      <c r="S117" t="inlineStr"/>
      <c r="T117" t="inlineStr"/>
      <c r="U117" t="inlineStr"/>
      <c r="V117" t="inlineStr"/>
      <c r="W117" t="inlineStr"/>
      <c r="X117" t="inlineStr"/>
      <c r="Y117" t="inlineStr"/>
      <c r="Z117" t="inlineStr"/>
      <c r="AA117" t="inlineStr"/>
      <c r="AB117" t="inlineStr"/>
      <c r="AC117" t="inlineStr"/>
      <c r="AD117" t="inlineStr"/>
      <c r="AE117" t="inlineStr"/>
      <c r="AF117" t="inlineStr"/>
      <c r="AG117" t="inlineStr"/>
      <c r="AH117" t="inlineStr"/>
      <c r="AI117" t="inlineStr"/>
      <c r="AJ117" t="inlineStr"/>
      <c r="AK117" t="inlineStr"/>
      <c r="AL117" t="inlineStr"/>
      <c r="AM117" t="inlineStr"/>
      <c r="AN117" t="inlineStr"/>
      <c r="AO117" t="inlineStr"/>
      <c r="AP117" t="inlineStr"/>
      <c r="AQ117" t="inlineStr"/>
      <c r="AR117" t="inlineStr"/>
      <c r="AS117" t="inlineStr"/>
      <c r="AT117" t="inlineStr"/>
      <c r="AU117" t="inlineStr"/>
      <c r="AV117" t="inlineStr"/>
      <c r="AW117" t="inlineStr"/>
      <c r="AX117" t="inlineStr"/>
      <c r="AY117" t="inlineStr"/>
      <c r="AZ117" t="inlineStr"/>
      <c r="BA117" t="inlineStr"/>
      <c r="BB117" t="inlineStr"/>
      <c r="BC117" t="inlineStr"/>
      <c r="BD117" t="inlineStr"/>
      <c r="BE117" t="inlineStr"/>
      <c r="BF117" t="inlineStr"/>
      <c r="BG117" t="inlineStr"/>
      <c r="BH117" t="inlineStr"/>
      <c r="BI117" t="inlineStr"/>
      <c r="BJ117" t="inlineStr"/>
      <c r="BK117" t="inlineStr"/>
      <c r="BL117" t="inlineStr"/>
      <c r="BM117" t="inlineStr"/>
      <c r="BN117" t="inlineStr"/>
      <c r="BO117" t="inlineStr"/>
      <c r="BP117" t="inlineStr"/>
      <c r="BQ117" t="inlineStr">
        <is>
          <t>950, 94, 1571</t>
        </is>
      </c>
      <c r="BR117" t="inlineStr">
        <is>
          <t>Master's Degree in Global Business and Society (950), Programs (94), Residential master's programs (1571)</t>
        </is>
      </c>
      <c r="BS117" t="inlineStr"/>
      <c r="BT117" t="inlineStr"/>
      <c r="BU117" t="inlineStr"/>
      <c r="BV117" t="inlineStr"/>
      <c r="BW117" t="inlineStr"/>
      <c r="BX117" t="inlineStr"/>
      <c r="BY117" t="inlineStr"/>
      <c r="BZ117" t="inlineStr"/>
      <c r="CA117" t="inlineStr"/>
      <c r="CB117" t="inlineStr"/>
      <c r="CC117" t="inlineStr"/>
      <c r="CD117" t="inlineStr"/>
      <c r="CE117" t="inlineStr"/>
      <c r="CF117" t="inlineStr"/>
      <c r="CG117" t="inlineStr"/>
      <c r="CH117" t="inlineStr"/>
      <c r="CI117" t="inlineStr"/>
      <c r="CJ117" t="inlineStr"/>
      <c r="CK117" t="inlineStr"/>
      <c r="CL117" t="inlineStr"/>
      <c r="CM117" t="inlineStr"/>
      <c r="CN117" t="inlineStr"/>
      <c r="CO117" t="inlineStr"/>
      <c r="CP117" t="inlineStr"/>
      <c r="CQ117" t="inlineStr"/>
      <c r="CR117" t="inlineStr"/>
      <c r="CS117" t="inlineStr"/>
      <c r="CT117" t="inlineStr"/>
      <c r="CU117" t="inlineStr"/>
      <c r="CV117" t="inlineStr"/>
      <c r="CW117" t="inlineStr"/>
      <c r="CX117" t="inlineStr"/>
      <c r="CY117" t="inlineStr"/>
      <c r="CZ117" t="inlineStr"/>
      <c r="DA117" t="inlineStr"/>
      <c r="DB117" t="inlineStr"/>
      <c r="DC117" t="inlineStr"/>
      <c r="DD117" t="inlineStr"/>
      <c r="DE117" t="inlineStr"/>
      <c r="DF117" t="inlineStr"/>
      <c r="DG117" t="inlineStr"/>
      <c r="DH117" t="inlineStr"/>
      <c r="DI117" t="inlineStr"/>
      <c r="DJ117" t="inlineStr"/>
      <c r="DK117" t="inlineStr"/>
      <c r="DL117" t="inlineStr"/>
      <c r="DM117" t="inlineStr"/>
      <c r="DN117" t="inlineStr"/>
      <c r="DO117" t="inlineStr"/>
      <c r="DP117" t="inlineStr"/>
      <c r="DQ117" t="inlineStr"/>
      <c r="DR117" t="inlineStr"/>
      <c r="DS117" t="inlineStr"/>
      <c r="DT117" t="inlineStr"/>
      <c r="DU117" t="inlineStr"/>
      <c r="DV117" t="inlineStr"/>
      <c r="DW117" t="inlineStr"/>
      <c r="DX117" t="inlineStr"/>
      <c r="DY117" t="inlineStr"/>
      <c r="DZ117" t="inlineStr"/>
      <c r="EA117" t="inlineStr"/>
      <c r="EB117" t="inlineStr"/>
      <c r="EC117" t="inlineStr"/>
      <c r="ED117" t="inlineStr"/>
      <c r="EE117" t="inlineStr"/>
      <c r="EF117" t="inlineStr"/>
      <c r="EG117" t="inlineStr"/>
      <c r="EH117" t="inlineStr"/>
      <c r="EI117" t="inlineStr"/>
      <c r="EJ117" t="inlineStr"/>
      <c r="EK117" t="inlineStr"/>
      <c r="EL117" t="inlineStr"/>
      <c r="EM117" t="inlineStr"/>
      <c r="EN117" t="inlineStr"/>
      <c r="EO117" t="inlineStr"/>
      <c r="EP117" t="inlineStr"/>
      <c r="EQ117" t="inlineStr"/>
      <c r="ER117" t="inlineStr"/>
      <c r="ES117" t="inlineStr"/>
      <c r="ET117" t="inlineStr"/>
      <c r="EU117" t="inlineStr"/>
      <c r="EV117" t="inlineStr"/>
      <c r="EW117" t="inlineStr"/>
      <c r="EX117" t="inlineStr"/>
      <c r="EY117" t="inlineStr"/>
      <c r="EZ117" t="inlineStr"/>
      <c r="FA117" t="inlineStr"/>
      <c r="FB117" t="inlineStr"/>
      <c r="FC117" t="inlineStr"/>
      <c r="FD117" t="inlineStr"/>
      <c r="FE117" t="inlineStr"/>
      <c r="FF117" t="inlineStr"/>
      <c r="FG117" t="inlineStr"/>
      <c r="FH117" t="inlineStr"/>
      <c r="FI117" t="inlineStr"/>
      <c r="FJ117" t="inlineStr"/>
      <c r="FK117" t="inlineStr"/>
      <c r="FL117" t="inlineStr"/>
      <c r="FM117" t="inlineStr"/>
      <c r="FN117" t="inlineStr"/>
      <c r="FO117" t="inlineStr"/>
      <c r="FP117" t="inlineStr"/>
      <c r="FQ117" t="inlineStr"/>
      <c r="FR117" t="inlineStr"/>
      <c r="FS117" t="inlineStr"/>
      <c r="FT117" t="inlineStr"/>
      <c r="FU117" t="inlineStr"/>
      <c r="FV117" t="inlineStr"/>
      <c r="FW117" t="inlineStr"/>
      <c r="FX117" t="inlineStr"/>
      <c r="FY117" t="inlineStr"/>
      <c r="FZ117" t="inlineStr"/>
      <c r="GA117" t="inlineStr"/>
      <c r="GB117" t="inlineStr"/>
      <c r="GC117" t="inlineStr"/>
      <c r="GD117" t="inlineStr"/>
      <c r="GE117" t="inlineStr"/>
      <c r="GF117" t="inlineStr"/>
      <c r="GG117" t="inlineStr"/>
      <c r="GH117" t="inlineStr"/>
      <c r="GI117" t="inlineStr"/>
      <c r="GJ117" t="inlineStr"/>
      <c r="GK117" t="inlineStr"/>
      <c r="GL117" t="inlineStr"/>
      <c r="GM117" t="inlineStr"/>
      <c r="GN117" t="inlineStr"/>
      <c r="GO117" t="inlineStr"/>
      <c r="GP117" t="inlineStr"/>
      <c r="GQ117" t="inlineStr"/>
      <c r="GR117" t="inlineStr"/>
      <c r="GS117" t="inlineStr"/>
      <c r="GT117" t="inlineStr"/>
      <c r="GU117" t="inlineStr"/>
      <c r="GV117" t="inlineStr"/>
      <c r="GW117" t="inlineStr"/>
      <c r="GX117" t="inlineStr"/>
      <c r="GY117" t="inlineStr"/>
      <c r="GZ117" t="inlineStr"/>
      <c r="HA117" t="inlineStr"/>
      <c r="HB117" t="inlineStr"/>
      <c r="HC117" t="inlineStr"/>
      <c r="HD117" t="inlineStr"/>
      <c r="HE117" t="inlineStr"/>
      <c r="HF117" t="inlineStr"/>
      <c r="HG117" t="inlineStr"/>
      <c r="HH117" t="inlineStr"/>
      <c r="HI117" t="inlineStr"/>
      <c r="HJ117" t="inlineStr"/>
      <c r="HK117" t="inlineStr"/>
      <c r="HL117" t="inlineStr"/>
      <c r="HM117" t="inlineStr"/>
      <c r="HN117" t="inlineStr"/>
      <c r="HO117" t="inlineStr"/>
      <c r="HP117" t="inlineStr"/>
      <c r="HQ117" t="inlineStr"/>
      <c r="HR117" t="inlineStr"/>
      <c r="HS117" t="inlineStr"/>
      <c r="HT117" t="inlineStr"/>
      <c r="HU117" t="inlineStr"/>
      <c r="HV117" t="inlineStr"/>
      <c r="HW117" t="inlineStr"/>
      <c r="HX117" t="inlineStr"/>
      <c r="HY117" t="inlineStr"/>
      <c r="HZ117" t="inlineStr"/>
      <c r="IA117" t="inlineStr"/>
      <c r="IB117" t="inlineStr"/>
      <c r="IC117" t="inlineStr"/>
      <c r="ID117" t="inlineStr"/>
      <c r="IE117" t="inlineStr"/>
      <c r="IF117" t="inlineStr"/>
      <c r="IG117" t="inlineStr"/>
      <c r="IH117" t="inlineStr"/>
      <c r="II117" t="inlineStr"/>
      <c r="IJ117" t="inlineStr"/>
      <c r="IK117" t="inlineStr"/>
      <c r="IL117" t="inlineStr"/>
      <c r="IM117" t="inlineStr"/>
      <c r="IN117" t="inlineStr"/>
      <c r="IO117" t="inlineStr"/>
      <c r="IP117" t="inlineStr"/>
      <c r="IQ117" t="inlineStr"/>
      <c r="IR117" t="inlineStr"/>
      <c r="IS117">
        <f>IF(input_content_type="",FALSE,ISNUMBER(SEARCH(","&amp;LOWER(input_content_type)&amp;",",","&amp;LOWER(F117)&amp;",")))</f>
        <v/>
      </c>
      <c r="IT117">
        <f>AND(IF(M117="",TRUE,IF(input_affiliations="",FALSE,SUMPRODUCT(--ISNUMBER(SEARCH(","&amp;TRIM(TEXTSPLIT(M117,","))&amp;",",","&amp;SUBSTITUTE(input_affiliations," ","")&amp;",")))&gt;0)),IF(O117="",TRUE,IF(input_affiliations="",FALSE,SUMPRODUCT(--ISNUMBER(SEARCH(","&amp;TRIM(TEXTSPLIT(O117,","))&amp;",",","&amp;SUBSTITUTE(input_affiliations," ","")&amp;",")))=COUNTA(TEXTSPLIT(O117,",")))),IF(Q117="",TRUE,IF(input_affiliations="",TRUE,SUMPRODUCT(--ISNUMBER(SEARCH(","&amp;TRIM(TEXTSPLIT(Q117,","))&amp;",",","&amp;SUBSTITUTE(input_affiliations," ","")&amp;",")))=0)),IF(S117="",TRUE,IF(input_affiliations="",FALSE,SUMPRODUCT(--ISNUMBER(SEARCH(","&amp;TRIM(TEXTSPLIT(S117,","))&amp;",",","&amp;SUBSTITUTE(input_affiliations," ","")&amp;",")))&gt;0)),IF(U117="",TRUE,IF(input_affiliations="",FALSE,SUMPRODUCT(--ISNUMBER(SEARCH(","&amp;TRIM(TEXTSPLIT(U117,","))&amp;",",","&amp;SUBSTITUTE(input_affiliations," ","")&amp;",")))=COUNTA(TEXTSPLIT(U117,",")))))</f>
        <v/>
      </c>
      <c r="IU117">
        <f>AND(IF(W117="",TRUE,IF(input_announcement_category="",FALSE,SUMPRODUCT(--ISNUMBER(SEARCH(","&amp;TRIM(TEXTSPLIT(W117,","))&amp;",",","&amp;SUBSTITUTE(input_announcement_category," ","")&amp;",")))&gt;0)),IF(Y117="",TRUE,IF(input_announcement_category="",FALSE,SUMPRODUCT(--ISNUMBER(SEARCH(","&amp;TRIM(TEXTSPLIT(Y117,","))&amp;",",","&amp;SUBSTITUTE(input_announcement_category," ","")&amp;",")))=COUNTA(TEXTSPLIT(Y117,",")))),IF(AA117="",TRUE,IF(input_announcement_category="",TRUE,SUMPRODUCT(--ISNUMBER(SEARCH(","&amp;TRIM(TEXTSPLIT(AA117,","))&amp;",",","&amp;SUBSTITUTE(input_announcement_category," ","")&amp;",")))=0)),IF(AC117="",TRUE,IF(input_announcement_category="",FALSE,SUMPRODUCT(--ISNUMBER(SEARCH(","&amp;TRIM(TEXTSPLIT(AC117,","))&amp;",",","&amp;SUBSTITUTE(input_announcement_category," ","")&amp;",")))&gt;0)),IF(AE117="",TRUE,IF(input_announcement_category="",FALSE,SUMPRODUCT(--ISNUMBER(SEARCH(","&amp;TRIM(TEXTSPLIT(AE117,","))&amp;",",","&amp;SUBSTITUTE(input_announcement_category," ","")&amp;",")))=COUNTA(TEXTSPLIT(AE117,",")))))</f>
        <v/>
      </c>
      <c r="IV117">
        <f>AND(IF(AG117="",TRUE,IF(input_area_of_focus="",FALSE,SUMPRODUCT(--ISNUMBER(SEARCH(","&amp;TRIM(TEXTSPLIT(AG117,","))&amp;",",","&amp;SUBSTITUTE(input_area_of_focus," ","")&amp;",")))&gt;0)),IF(AI117="",TRUE,IF(input_area_of_focus="",FALSE,SUMPRODUCT(--ISNUMBER(SEARCH(","&amp;TRIM(TEXTSPLIT(AI117,","))&amp;",",","&amp;SUBSTITUTE(input_area_of_focus," ","")&amp;",")))=COUNTA(TEXTSPLIT(AI117,",")))),IF(AK117="",TRUE,IF(input_area_of_focus="",TRUE,SUMPRODUCT(--ISNUMBER(SEARCH(","&amp;TRIM(TEXTSPLIT(AK117,","))&amp;",",","&amp;SUBSTITUTE(input_area_of_focus," ","")&amp;",")))=0)),IF(AM117="",TRUE,IF(input_area_of_focus="",FALSE,SUMPRODUCT(--ISNUMBER(SEARCH(","&amp;TRIM(TEXTSPLIT(AM117,","))&amp;",",","&amp;SUBSTITUTE(input_area_of_focus," ","")&amp;",")))&gt;0)),IF(AO117="",TRUE,IF(input_area_of_focus="",FALSE,SUMPRODUCT(--ISNUMBER(SEARCH(","&amp;TRIM(TEXTSPLIT(AO117,","))&amp;",",","&amp;SUBSTITUTE(input_area_of_focus," ","")&amp;",")))=COUNTA(TEXTSPLIT(AO117,",")))))</f>
        <v/>
      </c>
      <c r="IW117">
        <f>AND(IF(AQ117="",TRUE,IF(input_audience="",FALSE,SUMPRODUCT(--ISNUMBER(SEARCH(","&amp;TRIM(TEXTSPLIT(AQ117,","))&amp;",",","&amp;SUBSTITUTE(input_audience," ","")&amp;",")))&gt;0)),IF(AS117="",TRUE,IF(input_audience="",FALSE,SUMPRODUCT(--ISNUMBER(SEARCH(","&amp;TRIM(TEXTSPLIT(AS117,","))&amp;",",","&amp;SUBSTITUTE(input_audience," ","")&amp;",")))=COUNTA(TEXTSPLIT(AS117,",")))),IF(AU117="",TRUE,IF(input_audience="",TRUE,SUMPRODUCT(--ISNUMBER(SEARCH(","&amp;TRIM(TEXTSPLIT(AU117,","))&amp;",",","&amp;SUBSTITUTE(input_audience," ","")&amp;",")))=0)),IF(AW117="",TRUE,IF(input_audience="",FALSE,SUMPRODUCT(--ISNUMBER(SEARCH(","&amp;TRIM(TEXTSPLIT(AW117,","))&amp;",",","&amp;SUBSTITUTE(input_audience," ","")&amp;",")))&gt;0)),IF(AY117="",TRUE,IF(input_audience="",FALSE,SUMPRODUCT(--ISNUMBER(SEARCH(","&amp;TRIM(TEXTSPLIT(AY117,","))&amp;",",","&amp;SUBSTITUTE(input_audience," ","")&amp;",")))=COUNTA(TEXTSPLIT(AY117,",")))))</f>
        <v/>
      </c>
      <c r="IX117">
        <f>AND(IF(BA117="",TRUE,IF(input_challenge_opportunities="",FALSE,SUMPRODUCT(--ISNUMBER(SEARCH(","&amp;TRIM(TEXTSPLIT(BA117,","))&amp;",",","&amp;SUBSTITUTE(input_challenge_opportunities," ","")&amp;",")))&gt;0)),IF(BC117="",TRUE,IF(input_challenge_opportunities="",FALSE,SUMPRODUCT(--ISNUMBER(SEARCH(","&amp;TRIM(TEXTSPLIT(BC117,","))&amp;",",","&amp;SUBSTITUTE(input_challenge_opportunities," ","")&amp;",")))=COUNTA(TEXTSPLIT(BC117,",")))),IF(BE117="",TRUE,IF(input_challenge_opportunities="",TRUE,SUMPRODUCT(--ISNUMBER(SEARCH(","&amp;TRIM(TEXTSPLIT(BE117,","))&amp;",",","&amp;SUBSTITUTE(input_challenge_opportunities," ","")&amp;",")))=0)),IF(BG117="",TRUE,IF(input_challenge_opportunities="",FALSE,SUMPRODUCT(--ISNUMBER(SEARCH(","&amp;TRIM(TEXTSPLIT(BG117,","))&amp;",",","&amp;SUBSTITUTE(input_challenge_opportunities," ","")&amp;",")))&gt;0)),IF(BI117="",TRUE,IF(input_challenge_opportunities="",FALSE,SUMPRODUCT(--ISNUMBER(SEARCH(","&amp;TRIM(TEXTSPLIT(BI117,","))&amp;",",","&amp;SUBSTITUTE(input_challenge_opportunities," ","")&amp;",")))=COUNTA(TEXTSPLIT(BI117,",")))))</f>
        <v/>
      </c>
      <c r="IY117">
        <f>AND(IF(BK117="",TRUE,IF(input_context="",FALSE,SUMPRODUCT(--ISNUMBER(SEARCH(","&amp;TRIM(TEXTSPLIT(BK117,","))&amp;",",","&amp;SUBSTITUTE(input_context," ","")&amp;",")))&gt;0)),IF(BM117="",TRUE,IF(input_context="",FALSE,SUMPRODUCT(--ISNUMBER(SEARCH(","&amp;TRIM(TEXTSPLIT(BM117,","))&amp;",",","&amp;SUBSTITUTE(input_context," ","")&amp;",")))=COUNTA(TEXTSPLIT(BM117,",")))),IF(BO117="",TRUE,IF(input_context="",TRUE,SUMPRODUCT(--ISNUMBER(SEARCH(","&amp;TRIM(TEXTSPLIT(BO117,","))&amp;",",","&amp;SUBSTITUTE(input_context," ","")&amp;",")))=0)),IF(BQ117="",TRUE,IF(input_context="",FALSE,SUMPRODUCT(--ISNUMBER(SEARCH(","&amp;TRIM(TEXTSPLIT(BQ117,","))&amp;",",","&amp;SUBSTITUTE(input_context," ","")&amp;",")))&gt;0)),IF(BS117="",TRUE,IF(input_context="",FALSE,SUMPRODUCT(--ISNUMBER(SEARCH(","&amp;TRIM(TEXTSPLIT(BS117,","))&amp;",",","&amp;SUBSTITUTE(input_context," ","")&amp;",")))=COUNTA(TEXTSPLIT(BS117,",")))))</f>
        <v/>
      </c>
      <c r="IZ117">
        <f>AND(IF(BU117="",TRUE,IF(input_enews_announcement_type="",FALSE,SUMPRODUCT(--ISNUMBER(SEARCH(","&amp;TRIM(TEXTSPLIT(BU117,","))&amp;",",","&amp;SUBSTITUTE(input_enews_announcement_type," ","")&amp;",")))&gt;0)),IF(BW117="",TRUE,IF(input_enews_announcement_type="",FALSE,SUMPRODUCT(--ISNUMBER(SEARCH(","&amp;TRIM(TEXTSPLIT(BW117,","))&amp;",",","&amp;SUBSTITUTE(input_enews_announcement_type," ","")&amp;",")))=COUNTA(TEXTSPLIT(BW117,",")))),IF(BY117="",TRUE,IF(input_enews_announcement_type="",TRUE,SUMPRODUCT(--ISNUMBER(SEARCH(","&amp;TRIM(TEXTSPLIT(BY117,","))&amp;",",","&amp;SUBSTITUTE(input_enews_announcement_type," ","")&amp;",")))=0)),IF(CA117="",TRUE,IF(input_enews_announcement_type="",FALSE,SUMPRODUCT(--ISNUMBER(SEARCH(","&amp;TRIM(TEXTSPLIT(CA117,","))&amp;",",","&amp;SUBSTITUTE(input_enews_announcement_type," ","")&amp;",")))&gt;0)),IF(CC117="",TRUE,IF(input_enews_announcement_type="",FALSE,SUMPRODUCT(--ISNUMBER(SEARCH(","&amp;TRIM(TEXTSPLIT(CC117,","))&amp;",",","&amp;SUBSTITUTE(input_enews_announcement_type," ","")&amp;",")))=COUNTA(TEXTSPLIT(CC117,",")))))</f>
        <v/>
      </c>
      <c r="JA117">
        <f>AND(IF(CE117="",TRUE,IF(input_enews_audience="",FALSE,SUMPRODUCT(--ISNUMBER(SEARCH(","&amp;TRIM(TEXTSPLIT(CE117,","))&amp;",",","&amp;SUBSTITUTE(input_enews_audience," ","")&amp;",")))&gt;0)),IF(CG117="",TRUE,IF(input_enews_audience="",FALSE,SUMPRODUCT(--ISNUMBER(SEARCH(","&amp;TRIM(TEXTSPLIT(CG117,","))&amp;",",","&amp;SUBSTITUTE(input_enews_audience," ","")&amp;",")))=COUNTA(TEXTSPLIT(CG117,",")))),IF(CI117="",TRUE,IF(input_enews_audience="",TRUE,SUMPRODUCT(--ISNUMBER(SEARCH(","&amp;TRIM(TEXTSPLIT(CI117,","))&amp;",",","&amp;SUBSTITUTE(input_enews_audience," ","")&amp;",")))=0)),IF(CK117="",TRUE,IF(input_enews_audience="",FALSE,SUMPRODUCT(--ISNUMBER(SEARCH(","&amp;TRIM(TEXTSPLIT(CK117,","))&amp;",",","&amp;SUBSTITUTE(input_enews_audience," ","")&amp;",")))&gt;0)),IF(CM117="",TRUE,IF(input_enews_audience="",FALSE,SUMPRODUCT(--ISNUMBER(SEARCH(","&amp;TRIM(TEXTSPLIT(CM117,","))&amp;",",","&amp;SUBSTITUTE(input_enews_audience," ","")&amp;",")))=COUNTA(TEXTSPLIT(CM117,",")))))</f>
        <v/>
      </c>
      <c r="JB117">
        <f>AND(IF(CO117="",TRUE,IF(input_event_location="",FALSE,SUMPRODUCT(--ISNUMBER(SEARCH(","&amp;TRIM(TEXTSPLIT(CO117,","))&amp;",",","&amp;SUBSTITUTE(input_event_location," ","")&amp;",")))&gt;0)),IF(CQ117="",TRUE,IF(input_event_location="",FALSE,SUMPRODUCT(--ISNUMBER(SEARCH(","&amp;TRIM(TEXTSPLIT(CQ117,","))&amp;",",","&amp;SUBSTITUTE(input_event_location," ","")&amp;",")))=COUNTA(TEXTSPLIT(CQ117,",")))),IF(CS117="",TRUE,IF(input_event_location="",TRUE,SUMPRODUCT(--ISNUMBER(SEARCH(","&amp;TRIM(TEXTSPLIT(CS117,","))&amp;",",","&amp;SUBSTITUTE(input_event_location," ","")&amp;",")))=0)),IF(CU117="",TRUE,IF(input_event_location="",FALSE,SUMPRODUCT(--ISNUMBER(SEARCH(","&amp;TRIM(TEXTSPLIT(CU117,","))&amp;",",","&amp;SUBSTITUTE(input_event_location," ","")&amp;",")))&gt;0)),IF(CW117="",TRUE,IF(input_event_location="",FALSE,SUMPRODUCT(--ISNUMBER(SEARCH(","&amp;TRIM(TEXTSPLIT(CW117,","))&amp;",",","&amp;SUBSTITUTE(input_event_location," ","")&amp;",")))=COUNTA(TEXTSPLIT(CW117,",")))))</f>
        <v/>
      </c>
      <c r="JC117">
        <f>AND(IF(CY117="",TRUE,IF(input_event_type="",FALSE,SUMPRODUCT(--ISNUMBER(SEARCH(","&amp;TRIM(TEXTSPLIT(CY117,","))&amp;",",","&amp;SUBSTITUTE(input_event_type," ","")&amp;",")))&gt;0)),IF(DA117="",TRUE,IF(input_event_type="",FALSE,SUMPRODUCT(--ISNUMBER(SEARCH(","&amp;TRIM(TEXTSPLIT(DA117,","))&amp;",",","&amp;SUBSTITUTE(input_event_type," ","")&amp;",")))=COUNTA(TEXTSPLIT(DA117,",")))),IF(DC117="",TRUE,IF(input_event_type="",TRUE,SUMPRODUCT(--ISNUMBER(SEARCH(","&amp;TRIM(TEXTSPLIT(DC117,","))&amp;",",","&amp;SUBSTITUTE(input_event_type," ","")&amp;",")))=0)),IF(DE117="",TRUE,IF(input_event_type="",FALSE,SUMPRODUCT(--ISNUMBER(SEARCH(","&amp;TRIM(TEXTSPLIT(DE117,","))&amp;",",","&amp;SUBSTITUTE(input_event_type," ","")&amp;",")))&gt;0)),IF(DG117="",TRUE,IF(input_event_type="",FALSE,SUMPRODUCT(--ISNUMBER(SEARCH(","&amp;TRIM(TEXTSPLIT(DG117,","))&amp;",",","&amp;SUBSTITUTE(input_event_type," ","")&amp;",")))=COUNTA(TEXTSPLIT(DG117,",")))))</f>
        <v/>
      </c>
      <c r="JD117">
        <f>AND(IF(DI117="",TRUE,IF(input_executive_education_focus="",FALSE,SUMPRODUCT(--ISNUMBER(SEARCH(","&amp;TRIM(TEXTSPLIT(DI117,","))&amp;",",","&amp;SUBSTITUTE(input_executive_education_focus," ","")&amp;",")))&gt;0)),IF(DK117="",TRUE,IF(input_executive_education_focus="",FALSE,SUMPRODUCT(--ISNUMBER(SEARCH(","&amp;TRIM(TEXTSPLIT(DK117,","))&amp;",",","&amp;SUBSTITUTE(input_executive_education_focus," ","")&amp;",")))=COUNTA(TEXTSPLIT(DK117,",")))),IF(DM117="",TRUE,IF(input_executive_education_focus="",TRUE,SUMPRODUCT(--ISNUMBER(SEARCH(","&amp;TRIM(TEXTSPLIT(DM117,","))&amp;",",","&amp;SUBSTITUTE(input_executive_education_focus," ","")&amp;",")))=0)),IF(DO117="",TRUE,IF(input_executive_education_focus="",FALSE,SUMPRODUCT(--ISNUMBER(SEARCH(","&amp;TRIM(TEXTSPLIT(DO117,","))&amp;",",","&amp;SUBSTITUTE(input_executive_education_focus," ","")&amp;",")))&gt;0)),IF(DQ117="",TRUE,IF(input_executive_education_focus="",FALSE,SUMPRODUCT(--ISNUMBER(SEARCH(","&amp;TRIM(TEXTSPLIT(DQ117,","))&amp;",",","&amp;SUBSTITUTE(input_executive_education_focus," ","")&amp;",")))=COUNTA(TEXTSPLIT(DQ117,",")))))</f>
        <v/>
      </c>
      <c r="JE117">
        <f>AND(IF(DS117="",TRUE,IF(input_faculty_category="",FALSE,SUMPRODUCT(--ISNUMBER(SEARCH(","&amp;TRIM(TEXTSPLIT(DS117,","))&amp;",",","&amp;SUBSTITUTE(input_faculty_category," ","")&amp;",")))&gt;0)),IF(DU117="",TRUE,IF(input_faculty_category="",FALSE,SUMPRODUCT(--ISNUMBER(SEARCH(","&amp;TRIM(TEXTSPLIT(DU117,","))&amp;",",","&amp;SUBSTITUTE(input_faculty_category," ","")&amp;",")))=COUNTA(TEXTSPLIT(DU117,",")))),IF(DW117="",TRUE,IF(input_faculty_category="",TRUE,SUMPRODUCT(--ISNUMBER(SEARCH(","&amp;TRIM(TEXTSPLIT(DW117,","))&amp;",",","&amp;SUBSTITUTE(input_faculty_category," ","")&amp;",")))=0)),IF(DY117="",TRUE,IF(input_faculty_category="",FALSE,SUMPRODUCT(--ISNUMBER(SEARCH(","&amp;TRIM(TEXTSPLIT(DY117,","))&amp;",",","&amp;SUBSTITUTE(input_faculty_category," ","")&amp;",")))&gt;0)),IF(EA117="",TRUE,IF(input_faculty_category="",FALSE,SUMPRODUCT(--ISNUMBER(SEARCH(","&amp;TRIM(TEXTSPLIT(EA117,","))&amp;",",","&amp;SUBSTITUTE(input_faculty_category," ","")&amp;",")))=COUNTA(TEXTSPLIT(EA117,",")))))</f>
        <v/>
      </c>
      <c r="JF117">
        <f>AND(IF(EC117="",TRUE,IF(input_faculty_discipline="",FALSE,SUMPRODUCT(--ISNUMBER(SEARCH(","&amp;TRIM(TEXTSPLIT(EC117,","))&amp;",",","&amp;SUBSTITUTE(input_faculty_discipline," ","")&amp;",")))&gt;0)),IF(EE117="",TRUE,IF(input_faculty_discipline="",FALSE,SUMPRODUCT(--ISNUMBER(SEARCH(","&amp;TRIM(TEXTSPLIT(EE117,","))&amp;",",","&amp;SUBSTITUTE(input_faculty_discipline," ","")&amp;",")))=COUNTA(TEXTSPLIT(EE117,",")))),IF(EG117="",TRUE,IF(input_faculty_discipline="",TRUE,SUMPRODUCT(--ISNUMBER(SEARCH(","&amp;TRIM(TEXTSPLIT(EG117,","))&amp;",",","&amp;SUBSTITUTE(input_faculty_discipline," ","")&amp;",")))=0)),IF(EI117="",TRUE,IF(input_faculty_discipline="",FALSE,SUMPRODUCT(--ISNUMBER(SEARCH(","&amp;TRIM(TEXTSPLIT(EI117,","))&amp;",",","&amp;SUBSTITUTE(input_faculty_discipline," ","")&amp;",")))&gt;0)),IF(EK117="",TRUE,IF(input_faculty_discipline="",FALSE,SUMPRODUCT(--ISNUMBER(SEARCH(","&amp;TRIM(TEXTSPLIT(EK117,","))&amp;",",","&amp;SUBSTITUTE(input_faculty_discipline," ","")&amp;",")))=COUNTA(TEXTSPLIT(EK117,",")))))</f>
        <v/>
      </c>
      <c r="JG117">
        <f>AND(IF(EM117="",TRUE,IF(input_faculty_expertise="",FALSE,SUMPRODUCT(--ISNUMBER(SEARCH(","&amp;TRIM(TEXTSPLIT(EM117,","))&amp;",",","&amp;SUBSTITUTE(input_faculty_expertise," ","")&amp;",")))&gt;0)),IF(EO117="",TRUE,IF(input_faculty_expertise="",FALSE,SUMPRODUCT(--ISNUMBER(SEARCH(","&amp;TRIM(TEXTSPLIT(EO117,","))&amp;",",","&amp;SUBSTITUTE(input_faculty_expertise," ","")&amp;",")))=COUNTA(TEXTSPLIT(EO117,",")))),IF(EQ117="",TRUE,IF(input_faculty_expertise="",TRUE,SUMPRODUCT(--ISNUMBER(SEARCH(","&amp;TRIM(TEXTSPLIT(EQ117,","))&amp;",",","&amp;SUBSTITUTE(input_faculty_expertise," ","")&amp;",")))=0)),IF(ES117="",TRUE,IF(input_faculty_expertise="",FALSE,SUMPRODUCT(--ISNUMBER(SEARCH(","&amp;TRIM(TEXTSPLIT(ES117,","))&amp;",",","&amp;SUBSTITUTE(input_faculty_expertise," ","")&amp;",")))&gt;0)),IF(EU117="",TRUE,IF(input_faculty_expertise="",FALSE,SUMPRODUCT(--ISNUMBER(SEARCH(","&amp;TRIM(TEXTSPLIT(EU117,","))&amp;",",","&amp;SUBSTITUTE(input_faculty_expertise," ","")&amp;",")))=COUNTA(TEXTSPLIT(EU117,",")))))</f>
        <v/>
      </c>
      <c r="JH117">
        <f>AND(IF(EW117="",TRUE,IF(input_global_network_school="",FALSE,SUMPRODUCT(--ISNUMBER(SEARCH(","&amp;TRIM(TEXTSPLIT(EW117,","))&amp;",",","&amp;SUBSTITUTE(input_global_network_school," ","")&amp;",")))&gt;0)),IF(EY117="",TRUE,IF(input_global_network_school="",FALSE,SUMPRODUCT(--ISNUMBER(SEARCH(","&amp;TRIM(TEXTSPLIT(EY117,","))&amp;",",","&amp;SUBSTITUTE(input_global_network_school," ","")&amp;",")))=COUNTA(TEXTSPLIT(EY117,",")))),IF(FA117="",TRUE,IF(input_global_network_school="",TRUE,SUMPRODUCT(--ISNUMBER(SEARCH(","&amp;TRIM(TEXTSPLIT(FA117,","))&amp;",",","&amp;SUBSTITUTE(input_global_network_school," ","")&amp;",")))=0)),IF(FC117="",TRUE,IF(input_global_network_school="",FALSE,SUMPRODUCT(--ISNUMBER(SEARCH(","&amp;TRIM(TEXTSPLIT(FC117,","))&amp;",",","&amp;SUBSTITUTE(input_global_network_school," ","")&amp;",")))&gt;0)),IF(FE117="",TRUE,IF(input_global_network_school="",FALSE,SUMPRODUCT(--ISNUMBER(SEARCH(","&amp;TRIM(TEXTSPLIT(FE117,","))&amp;",",","&amp;SUBSTITUTE(input_global_network_school," ","")&amp;",")))=COUNTA(TEXTSPLIT(FE117,",")))))</f>
        <v/>
      </c>
      <c r="JI117">
        <f>AND(IF(FG117="",TRUE,IF(input_industry="",FALSE,SUMPRODUCT(--ISNUMBER(SEARCH(","&amp;TRIM(TEXTSPLIT(FG117,","))&amp;",",","&amp;SUBSTITUTE(input_industry," ","")&amp;",")))&gt;0)),IF(FI117="",TRUE,IF(input_industry="",FALSE,SUMPRODUCT(--ISNUMBER(SEARCH(","&amp;TRIM(TEXTSPLIT(FI117,","))&amp;",",","&amp;SUBSTITUTE(input_industry," ","")&amp;",")))=COUNTA(TEXTSPLIT(FI117,",")))),IF(FK117="",TRUE,IF(input_industry="",TRUE,SUMPRODUCT(--ISNUMBER(SEARCH(","&amp;TRIM(TEXTSPLIT(FK117,","))&amp;",",","&amp;SUBSTITUTE(input_industry," ","")&amp;",")))=0)),IF(FM117="",TRUE,IF(input_industry="",FALSE,SUMPRODUCT(--ISNUMBER(SEARCH(","&amp;TRIM(TEXTSPLIT(FM117,","))&amp;",",","&amp;SUBSTITUTE(input_industry," ","")&amp;",")))&gt;0)),IF(FO117="",TRUE,IF(input_industry="",FALSE,SUMPRODUCT(--ISNUMBER(SEARCH(","&amp;TRIM(TEXTSPLIT(FO117,","))&amp;",",","&amp;SUBSTITUTE(input_industry," ","")&amp;",")))=COUNTA(TEXTSPLIT(FO117,",")))))</f>
        <v/>
      </c>
      <c r="JJ117">
        <f>AND(IF(FQ117="",TRUE,IF(input_location="",FALSE,SUMPRODUCT(--ISNUMBER(SEARCH(","&amp;TRIM(TEXTSPLIT(FQ117,","))&amp;",",","&amp;SUBSTITUTE(input_location," ","")&amp;",")))&gt;0)),IF(FS117="",TRUE,IF(input_location="",FALSE,SUMPRODUCT(--ISNUMBER(SEARCH(","&amp;TRIM(TEXTSPLIT(FS117,","))&amp;",",","&amp;SUBSTITUTE(input_location," ","")&amp;",")))=COUNTA(TEXTSPLIT(FS117,",")))),IF(FU117="",TRUE,IF(input_location="",TRUE,SUMPRODUCT(--ISNUMBER(SEARCH(","&amp;TRIM(TEXTSPLIT(FU117,","))&amp;",",","&amp;SUBSTITUTE(input_location," ","")&amp;",")))=0)),IF(FW117="",TRUE,IF(input_location="",FALSE,SUMPRODUCT(--ISNUMBER(SEARCH(","&amp;TRIM(TEXTSPLIT(FW117,","))&amp;",",","&amp;SUBSTITUTE(input_location," ","")&amp;",")))&gt;0)),IF(FY117="",TRUE,IF(input_location="",FALSE,SUMPRODUCT(--ISNUMBER(SEARCH(","&amp;TRIM(TEXTSPLIT(FY117,","))&amp;",",","&amp;SUBSTITUTE(input_location," ","")&amp;",")))=COUNTA(TEXTSPLIT(FY117,",")))))</f>
        <v/>
      </c>
      <c r="JK117">
        <f>AND(IF(GA117="",TRUE,IF(input_modality="",FALSE,SUMPRODUCT(--ISNUMBER(SEARCH(","&amp;TRIM(TEXTSPLIT(GA117,","))&amp;",",","&amp;SUBSTITUTE(input_modality," ","")&amp;",")))&gt;0)),IF(GC117="",TRUE,IF(input_modality="",FALSE,SUMPRODUCT(--ISNUMBER(SEARCH(","&amp;TRIM(TEXTSPLIT(GC117,","))&amp;",",","&amp;SUBSTITUTE(input_modality," ","")&amp;",")))=COUNTA(TEXTSPLIT(GC117,",")))),IF(GE117="",TRUE,IF(input_modality="",TRUE,SUMPRODUCT(--ISNUMBER(SEARCH(","&amp;TRIM(TEXTSPLIT(GE117,","))&amp;",",","&amp;SUBSTITUTE(input_modality," ","")&amp;",")))=0)),IF(GG117="",TRUE,IF(input_modality="",FALSE,SUMPRODUCT(--ISNUMBER(SEARCH(","&amp;TRIM(TEXTSPLIT(GG117,","))&amp;",",","&amp;SUBSTITUTE(input_modality," ","")&amp;",")))&gt;0)),IF(GI117="",TRUE,IF(input_modality="",FALSE,SUMPRODUCT(--ISNUMBER(SEARCH(","&amp;TRIM(TEXTSPLIT(GI117,","))&amp;",",","&amp;SUBSTITUTE(input_modality," ","")&amp;",")))=COUNTA(TEXTSPLIT(GI117,",")))))</f>
        <v/>
      </c>
      <c r="JL117">
        <f>AND(IF(GK117="",TRUE,IF(input_organizer="",FALSE,SUMPRODUCT(--ISNUMBER(SEARCH(","&amp;TRIM(TEXTSPLIT(GK117,","))&amp;",",","&amp;SUBSTITUTE(input_organizer," ","")&amp;",")))&gt;0)),IF(GM117="",TRUE,IF(input_organizer="",FALSE,SUMPRODUCT(--ISNUMBER(SEARCH(","&amp;TRIM(TEXTSPLIT(GM117,","))&amp;",",","&amp;SUBSTITUTE(input_organizer," ","")&amp;",")))=COUNTA(TEXTSPLIT(GM117,",")))),IF(GO117="",TRUE,IF(input_organizer="",TRUE,SUMPRODUCT(--ISNUMBER(SEARCH(","&amp;TRIM(TEXTSPLIT(GO117,","))&amp;",",","&amp;SUBSTITUTE(input_organizer," ","")&amp;",")))=0)),IF(GQ117="",TRUE,IF(input_organizer="",FALSE,SUMPRODUCT(--ISNUMBER(SEARCH(","&amp;TRIM(TEXTSPLIT(GQ117,","))&amp;",",","&amp;SUBSTITUTE(input_organizer," ","")&amp;",")))&gt;0)),IF(GS117="",TRUE,IF(input_organizer="",FALSE,SUMPRODUCT(--ISNUMBER(SEARCH(","&amp;TRIM(TEXTSPLIT(GS117,","))&amp;",",","&amp;SUBSTITUTE(input_organizer," ","")&amp;",")))=COUNTA(TEXTSPLIT(GS117,",")))))</f>
        <v/>
      </c>
      <c r="JM117">
        <f>AND(IF(GU117="",TRUE,IF(input_profile_type="",FALSE,SUMPRODUCT(--ISNUMBER(SEARCH(","&amp;TRIM(TEXTSPLIT(GU117,","))&amp;",",","&amp;SUBSTITUTE(input_profile_type," ","")&amp;",")))&gt;0)),IF(GW117="",TRUE,IF(input_profile_type="",FALSE,SUMPRODUCT(--ISNUMBER(SEARCH(","&amp;TRIM(TEXTSPLIT(GW117,","))&amp;",",","&amp;SUBSTITUTE(input_profile_type," ","")&amp;",")))=COUNTA(TEXTSPLIT(GW117,",")))),IF(GY117="",TRUE,IF(input_profile_type="",TRUE,SUMPRODUCT(--ISNUMBER(SEARCH(","&amp;TRIM(TEXTSPLIT(GY117,","))&amp;",",","&amp;SUBSTITUTE(input_profile_type," ","")&amp;",")))=0)),IF(HA117="",TRUE,IF(input_profile_type="",FALSE,SUMPRODUCT(--ISNUMBER(SEARCH(","&amp;TRIM(TEXTSPLIT(HA117,","))&amp;",",","&amp;SUBSTITUTE(input_profile_type," ","")&amp;",")))&gt;0)),IF(HC117="",TRUE,IF(input_profile_type="",FALSE,SUMPRODUCT(--ISNUMBER(SEARCH(","&amp;TRIM(TEXTSPLIT(HC117,","))&amp;",",","&amp;SUBSTITUTE(input_profile_type," ","")&amp;",")))=COUNTA(TEXTSPLIT(HC117,",")))))</f>
        <v/>
      </c>
      <c r="JN117">
        <f>AND(IF(HE117="",TRUE,IF(input_program="",FALSE,SUMPRODUCT(--ISNUMBER(SEARCH(","&amp;TRIM(TEXTSPLIT(HE117,","))&amp;",",","&amp;SUBSTITUTE(input_program," ","")&amp;",")))&gt;0)),IF(HG117="",TRUE,IF(input_program="",FALSE,SUMPRODUCT(--ISNUMBER(SEARCH(","&amp;TRIM(TEXTSPLIT(HG117,","))&amp;",",","&amp;SUBSTITUTE(input_program," ","")&amp;",")))=COUNTA(TEXTSPLIT(HG117,",")))),IF(HI117="",TRUE,IF(input_program="",TRUE,SUMPRODUCT(--ISNUMBER(SEARCH(","&amp;TRIM(TEXTSPLIT(HI117,","))&amp;",",","&amp;SUBSTITUTE(input_program," ","")&amp;",")))=0)),IF(HK117="",TRUE,IF(input_program="",FALSE,SUMPRODUCT(--ISNUMBER(SEARCH(","&amp;TRIM(TEXTSPLIT(HK117,","))&amp;",",","&amp;SUBSTITUTE(input_program," ","")&amp;",")))&gt;0)),IF(HM117="",TRUE,IF(input_program="",FALSE,SUMPRODUCT(--ISNUMBER(SEARCH(","&amp;TRIM(TEXTSPLIT(HM117,","))&amp;",",","&amp;SUBSTITUTE(input_program," ","")&amp;",")))=COUNTA(TEXTSPLIT(HM117,",")))))</f>
        <v/>
      </c>
      <c r="JO117">
        <f>AND(IF(HO117="",TRUE,IF(input_story_categories="",FALSE,SUMPRODUCT(--ISNUMBER(SEARCH(","&amp;TRIM(TEXTSPLIT(HO117,","))&amp;",",","&amp;SUBSTITUTE(input_story_categories," ","")&amp;",")))&gt;0)),IF(HQ117="",TRUE,IF(input_story_categories="",FALSE,SUMPRODUCT(--ISNUMBER(SEARCH(","&amp;TRIM(TEXTSPLIT(HQ117,","))&amp;",",","&amp;SUBSTITUTE(input_story_categories," ","")&amp;",")))=COUNTA(TEXTSPLIT(HQ117,",")))),IF(HS117="",TRUE,IF(input_story_categories="",TRUE,SUMPRODUCT(--ISNUMBER(SEARCH(","&amp;TRIM(TEXTSPLIT(HS117,","))&amp;",",","&amp;SUBSTITUTE(input_story_categories," ","")&amp;",")))=0)),IF(HU117="",TRUE,IF(input_story_categories="",FALSE,SUMPRODUCT(--ISNUMBER(SEARCH(","&amp;TRIM(TEXTSPLIT(HU117,","))&amp;",",","&amp;SUBSTITUTE(input_story_categories," ","")&amp;",")))&gt;0)),IF(HW117="",TRUE,IF(input_story_categories="",FALSE,SUMPRODUCT(--ISNUMBER(SEARCH(","&amp;TRIM(TEXTSPLIT(HW117,","))&amp;",",","&amp;SUBSTITUTE(input_story_categories," ","")&amp;",")))=COUNTA(TEXTSPLIT(HW117,",")))))</f>
        <v/>
      </c>
      <c r="JP117">
        <f>AND(IF(HY117="",TRUE,IF(input_story_type="",FALSE,SUMPRODUCT(--ISNUMBER(SEARCH(","&amp;TRIM(TEXTSPLIT(HY117,","))&amp;",",","&amp;SUBSTITUTE(input_story_type," ","")&amp;",")))&gt;0)),IF(IA117="",TRUE,IF(input_story_type="",FALSE,SUMPRODUCT(--ISNUMBER(SEARCH(","&amp;TRIM(TEXTSPLIT(IA117,","))&amp;",",","&amp;SUBSTITUTE(input_story_type," ","")&amp;",")))=COUNTA(TEXTSPLIT(IA117,",")))),IF(IC117="",TRUE,IF(input_story_type="",TRUE,SUMPRODUCT(--ISNUMBER(SEARCH(","&amp;TRIM(TEXTSPLIT(IC117,","))&amp;",",","&amp;SUBSTITUTE(input_story_type," ","")&amp;",")))=0)),IF(IE117="",TRUE,IF(input_story_type="",FALSE,SUMPRODUCT(--ISNUMBER(SEARCH(","&amp;TRIM(TEXTSPLIT(IE117,","))&amp;",",","&amp;SUBSTITUTE(input_story_type," ","")&amp;",")))&gt;0)),IF(IG117="",TRUE,IF(input_story_type="",FALSE,SUMPRODUCT(--ISNUMBER(SEARCH(","&amp;TRIM(TEXTSPLIT(IG117,","))&amp;",",","&amp;SUBSTITUTE(input_story_type," ","")&amp;",")))=COUNTA(TEXTSPLIT(IG117,",")))))</f>
        <v/>
      </c>
      <c r="JQ117">
        <f>AND(IF(II117="",TRUE,IF(input_topics="",FALSE,SUMPRODUCT(--ISNUMBER(SEARCH(","&amp;TRIM(TEXTSPLIT(II117,","))&amp;",",","&amp;SUBSTITUTE(input_topics," ","")&amp;",")))&gt;0)),IF(IK117="",TRUE,IF(input_topics="",FALSE,SUMPRODUCT(--ISNUMBER(SEARCH(","&amp;TRIM(TEXTSPLIT(IK117,","))&amp;",",","&amp;SUBSTITUTE(input_topics," ","")&amp;",")))=COUNTA(TEXTSPLIT(IK117,",")))),IF(IM117="",TRUE,IF(input_topics="",TRUE,SUMPRODUCT(--ISNUMBER(SEARCH(","&amp;TRIM(TEXTSPLIT(IM117,","))&amp;",",","&amp;SUBSTITUTE(input_topics," ","")&amp;",")))=0)),IF(IO117="",TRUE,IF(input_topics="",FALSE,SUMPRODUCT(--ISNUMBER(SEARCH(","&amp;TRIM(TEXTSPLIT(IO117,","))&amp;",",","&amp;SUBSTITUTE(input_topics," ","")&amp;",")))&gt;0)),IF(IQ117="",TRUE,IF(input_topics="",FALSE,SUMPRODUCT(--ISNUMBER(SEARCH(","&amp;TRIM(TEXTSPLIT(IQ117,","))&amp;",",","&amp;SUBSTITUTE(input_topics," ","")&amp;",")))=COUNTA(TEXTSPLIT(IQ117,",")))))</f>
        <v/>
      </c>
    </row>
    <row r="118">
      <c r="A118" s="4">
        <f>IF(NOT(IS118),"Excluded",IF(AND(IT118,IU118,IV118,IW118,IX118,IY118,IZ118,JA118,JB118,JC118,JD118,JE118,JF118,JG118,JH118,JI118,JJ118,JK118,JL118,JM118,JN118,JO118,JP118,JQ118),IF(I118&gt;0,"Eligible but limited","Will appear"),"Excluded"))</f>
        <v/>
      </c>
      <c r="B118" s="4" t="inlineStr">
        <is>
          <t>ICF Headlines</t>
        </is>
      </c>
      <c r="C118" s="4" t="inlineStr">
        <is>
          <t>/centers/international-center-for-finance/headlines</t>
        </is>
      </c>
      <c r="D118" s="4" t="inlineStr">
        <is>
          <t>/centers/international-center-for-finance/headlines</t>
        </is>
      </c>
      <c r="E118" s="4" t="n">
        <v>1</v>
      </c>
      <c r="F118" s="4" t="inlineStr">
        <is>
          <t>story</t>
        </is>
      </c>
      <c r="G118" s="4" t="inlineStr">
        <is>
          <t>stories_list</t>
        </is>
      </c>
      <c r="H118" s="4" t="inlineStr">
        <is>
          <t>embed_1</t>
        </is>
      </c>
      <c r="I118" s="4" t="n">
        <v>10</v>
      </c>
      <c r="J118" s="4" t="inlineStr">
        <is>
          <t>Explicit args</t>
        </is>
      </c>
      <c r="K118" s="4" t="inlineStr">
        <is>
          <t>Page placement</t>
        </is>
      </c>
      <c r="L118" s="4" t="inlineStr">
        <is>
          <t>Content type: story; Context uses Courses Context: International Center for Finance (931); Limited to 10 item(s); Source: Explicit args</t>
        </is>
      </c>
      <c r="M118" t="inlineStr"/>
      <c r="N118" t="inlineStr"/>
      <c r="O118" t="inlineStr"/>
      <c r="P118" t="inlineStr"/>
      <c r="Q118" t="inlineStr"/>
      <c r="R118" t="inlineStr"/>
      <c r="S118" t="inlineStr"/>
      <c r="T118" t="inlineStr"/>
      <c r="U118" t="inlineStr"/>
      <c r="V118" t="inlineStr"/>
      <c r="W118" t="inlineStr"/>
      <c r="X118" t="inlineStr"/>
      <c r="Y118" t="inlineStr"/>
      <c r="Z118" t="inlineStr"/>
      <c r="AA118" t="inlineStr"/>
      <c r="AB118" t="inlineStr"/>
      <c r="AC118" t="inlineStr"/>
      <c r="AD118" t="inlineStr"/>
      <c r="AE118" t="inlineStr"/>
      <c r="AF118" t="inlineStr"/>
      <c r="AG118" t="inlineStr"/>
      <c r="AH118" t="inlineStr"/>
      <c r="AI118" t="inlineStr"/>
      <c r="AJ118" t="inlineStr"/>
      <c r="AK118" t="inlineStr"/>
      <c r="AL118" t="inlineStr"/>
      <c r="AM118" t="inlineStr"/>
      <c r="AN118" t="inlineStr"/>
      <c r="AO118" t="inlineStr"/>
      <c r="AP118" t="inlineStr"/>
      <c r="AQ118" t="inlineStr"/>
      <c r="AR118" t="inlineStr"/>
      <c r="AS118" t="inlineStr"/>
      <c r="AT118" t="inlineStr"/>
      <c r="AU118" t="inlineStr"/>
      <c r="AV118" t="inlineStr"/>
      <c r="AW118" t="inlineStr"/>
      <c r="AX118" t="inlineStr"/>
      <c r="AY118" t="inlineStr"/>
      <c r="AZ118" t="inlineStr"/>
      <c r="BA118" t="inlineStr"/>
      <c r="BB118" t="inlineStr"/>
      <c r="BC118" t="inlineStr"/>
      <c r="BD118" t="inlineStr"/>
      <c r="BE118" t="inlineStr"/>
      <c r="BF118" t="inlineStr"/>
      <c r="BG118" t="inlineStr"/>
      <c r="BH118" t="inlineStr"/>
      <c r="BI118" t="inlineStr"/>
      <c r="BJ118" t="inlineStr"/>
      <c r="BK118" t="inlineStr"/>
      <c r="BL118" t="inlineStr"/>
      <c r="BM118" t="inlineStr"/>
      <c r="BN118" t="inlineStr"/>
      <c r="BO118" t="inlineStr"/>
      <c r="BP118" t="inlineStr"/>
      <c r="BQ118" t="inlineStr">
        <is>
          <t>931</t>
        </is>
      </c>
      <c r="BR118" t="inlineStr">
        <is>
          <t>International Center for Finance (931)</t>
        </is>
      </c>
      <c r="BS118" t="inlineStr"/>
      <c r="BT118" t="inlineStr"/>
      <c r="BU118" t="inlineStr"/>
      <c r="BV118" t="inlineStr"/>
      <c r="BW118" t="inlineStr"/>
      <c r="BX118" t="inlineStr"/>
      <c r="BY118" t="inlineStr"/>
      <c r="BZ118" t="inlineStr"/>
      <c r="CA118" t="inlineStr"/>
      <c r="CB118" t="inlineStr"/>
      <c r="CC118" t="inlineStr"/>
      <c r="CD118" t="inlineStr"/>
      <c r="CE118" t="inlineStr"/>
      <c r="CF118" t="inlineStr"/>
      <c r="CG118" t="inlineStr"/>
      <c r="CH118" t="inlineStr"/>
      <c r="CI118" t="inlineStr"/>
      <c r="CJ118" t="inlineStr"/>
      <c r="CK118" t="inlineStr"/>
      <c r="CL118" t="inlineStr"/>
      <c r="CM118" t="inlineStr"/>
      <c r="CN118" t="inlineStr"/>
      <c r="CO118" t="inlineStr"/>
      <c r="CP118" t="inlineStr"/>
      <c r="CQ118" t="inlineStr"/>
      <c r="CR118" t="inlineStr"/>
      <c r="CS118" t="inlineStr"/>
      <c r="CT118" t="inlineStr"/>
      <c r="CU118" t="inlineStr"/>
      <c r="CV118" t="inlineStr"/>
      <c r="CW118" t="inlineStr"/>
      <c r="CX118" t="inlineStr"/>
      <c r="CY118" t="inlineStr"/>
      <c r="CZ118" t="inlineStr"/>
      <c r="DA118" t="inlineStr"/>
      <c r="DB118" t="inlineStr"/>
      <c r="DC118" t="inlineStr"/>
      <c r="DD118" t="inlineStr"/>
      <c r="DE118" t="inlineStr"/>
      <c r="DF118" t="inlineStr"/>
      <c r="DG118" t="inlineStr"/>
      <c r="DH118" t="inlineStr"/>
      <c r="DI118" t="inlineStr"/>
      <c r="DJ118" t="inlineStr"/>
      <c r="DK118" t="inlineStr"/>
      <c r="DL118" t="inlineStr"/>
      <c r="DM118" t="inlineStr"/>
      <c r="DN118" t="inlineStr"/>
      <c r="DO118" t="inlineStr"/>
      <c r="DP118" t="inlineStr"/>
      <c r="DQ118" t="inlineStr"/>
      <c r="DR118" t="inlineStr"/>
      <c r="DS118" t="inlineStr"/>
      <c r="DT118" t="inlineStr"/>
      <c r="DU118" t="inlineStr"/>
      <c r="DV118" t="inlineStr"/>
      <c r="DW118" t="inlineStr"/>
      <c r="DX118" t="inlineStr"/>
      <c r="DY118" t="inlineStr"/>
      <c r="DZ118" t="inlineStr"/>
      <c r="EA118" t="inlineStr"/>
      <c r="EB118" t="inlineStr"/>
      <c r="EC118" t="inlineStr"/>
      <c r="ED118" t="inlineStr"/>
      <c r="EE118" t="inlineStr"/>
      <c r="EF118" t="inlineStr"/>
      <c r="EG118" t="inlineStr"/>
      <c r="EH118" t="inlineStr"/>
      <c r="EI118" t="inlineStr"/>
      <c r="EJ118" t="inlineStr"/>
      <c r="EK118" t="inlineStr"/>
      <c r="EL118" t="inlineStr"/>
      <c r="EM118" t="inlineStr"/>
      <c r="EN118" t="inlineStr"/>
      <c r="EO118" t="inlineStr"/>
      <c r="EP118" t="inlineStr"/>
      <c r="EQ118" t="inlineStr"/>
      <c r="ER118" t="inlineStr"/>
      <c r="ES118" t="inlineStr"/>
      <c r="ET118" t="inlineStr"/>
      <c r="EU118" t="inlineStr"/>
      <c r="EV118" t="inlineStr"/>
      <c r="EW118" t="inlineStr"/>
      <c r="EX118" t="inlineStr"/>
      <c r="EY118" t="inlineStr"/>
      <c r="EZ118" t="inlineStr"/>
      <c r="FA118" t="inlineStr"/>
      <c r="FB118" t="inlineStr"/>
      <c r="FC118" t="inlineStr"/>
      <c r="FD118" t="inlineStr"/>
      <c r="FE118" t="inlineStr"/>
      <c r="FF118" t="inlineStr"/>
      <c r="FG118" t="inlineStr"/>
      <c r="FH118" t="inlineStr"/>
      <c r="FI118" t="inlineStr"/>
      <c r="FJ118" t="inlineStr"/>
      <c r="FK118" t="inlineStr"/>
      <c r="FL118" t="inlineStr"/>
      <c r="FM118" t="inlineStr"/>
      <c r="FN118" t="inlineStr"/>
      <c r="FO118" t="inlineStr"/>
      <c r="FP118" t="inlineStr"/>
      <c r="FQ118" t="inlineStr"/>
      <c r="FR118" t="inlineStr"/>
      <c r="FS118" t="inlineStr"/>
      <c r="FT118" t="inlineStr"/>
      <c r="FU118" t="inlineStr"/>
      <c r="FV118" t="inlineStr"/>
      <c r="FW118" t="inlineStr"/>
      <c r="FX118" t="inlineStr"/>
      <c r="FY118" t="inlineStr"/>
      <c r="FZ118" t="inlineStr"/>
      <c r="GA118" t="inlineStr"/>
      <c r="GB118" t="inlineStr"/>
      <c r="GC118" t="inlineStr"/>
      <c r="GD118" t="inlineStr"/>
      <c r="GE118" t="inlineStr"/>
      <c r="GF118" t="inlineStr"/>
      <c r="GG118" t="inlineStr"/>
      <c r="GH118" t="inlineStr"/>
      <c r="GI118" t="inlineStr"/>
      <c r="GJ118" t="inlineStr"/>
      <c r="GK118" t="inlineStr"/>
      <c r="GL118" t="inlineStr"/>
      <c r="GM118" t="inlineStr"/>
      <c r="GN118" t="inlineStr"/>
      <c r="GO118" t="inlineStr"/>
      <c r="GP118" t="inlineStr"/>
      <c r="GQ118" t="inlineStr"/>
      <c r="GR118" t="inlineStr"/>
      <c r="GS118" t="inlineStr"/>
      <c r="GT118" t="inlineStr"/>
      <c r="GU118" t="inlineStr"/>
      <c r="GV118" t="inlineStr"/>
      <c r="GW118" t="inlineStr"/>
      <c r="GX118" t="inlineStr"/>
      <c r="GY118" t="inlineStr"/>
      <c r="GZ118" t="inlineStr"/>
      <c r="HA118" t="inlineStr"/>
      <c r="HB118" t="inlineStr"/>
      <c r="HC118" t="inlineStr"/>
      <c r="HD118" t="inlineStr"/>
      <c r="HE118" t="inlineStr"/>
      <c r="HF118" t="inlineStr"/>
      <c r="HG118" t="inlineStr"/>
      <c r="HH118" t="inlineStr"/>
      <c r="HI118" t="inlineStr"/>
      <c r="HJ118" t="inlineStr"/>
      <c r="HK118" t="inlineStr"/>
      <c r="HL118" t="inlineStr"/>
      <c r="HM118" t="inlineStr"/>
      <c r="HN118" t="inlineStr"/>
      <c r="HO118" t="inlineStr"/>
      <c r="HP118" t="inlineStr"/>
      <c r="HQ118" t="inlineStr"/>
      <c r="HR118" t="inlineStr"/>
      <c r="HS118" t="inlineStr"/>
      <c r="HT118" t="inlineStr"/>
      <c r="HU118" t="inlineStr"/>
      <c r="HV118" t="inlineStr"/>
      <c r="HW118" t="inlineStr"/>
      <c r="HX118" t="inlineStr"/>
      <c r="HY118" t="inlineStr"/>
      <c r="HZ118" t="inlineStr"/>
      <c r="IA118" t="inlineStr"/>
      <c r="IB118" t="inlineStr"/>
      <c r="IC118" t="inlineStr"/>
      <c r="ID118" t="inlineStr"/>
      <c r="IE118" t="inlineStr"/>
      <c r="IF118" t="inlineStr"/>
      <c r="IG118" t="inlineStr"/>
      <c r="IH118" t="inlineStr"/>
      <c r="II118" t="inlineStr"/>
      <c r="IJ118" t="inlineStr"/>
      <c r="IK118" t="inlineStr"/>
      <c r="IL118" t="inlineStr"/>
      <c r="IM118" t="inlineStr"/>
      <c r="IN118" t="inlineStr"/>
      <c r="IO118" t="inlineStr"/>
      <c r="IP118" t="inlineStr"/>
      <c r="IQ118" t="inlineStr"/>
      <c r="IR118" t="inlineStr"/>
      <c r="IS118">
        <f>IF(input_content_type="",FALSE,ISNUMBER(SEARCH(","&amp;LOWER(input_content_type)&amp;",",","&amp;LOWER(F118)&amp;",")))</f>
        <v/>
      </c>
      <c r="IT118">
        <f>AND(IF(M118="",TRUE,IF(input_affiliations="",FALSE,SUMPRODUCT(--ISNUMBER(SEARCH(","&amp;TRIM(TEXTSPLIT(M118,","))&amp;",",","&amp;SUBSTITUTE(input_affiliations," ","")&amp;",")))&gt;0)),IF(O118="",TRUE,IF(input_affiliations="",FALSE,SUMPRODUCT(--ISNUMBER(SEARCH(","&amp;TRIM(TEXTSPLIT(O118,","))&amp;",",","&amp;SUBSTITUTE(input_affiliations," ","")&amp;",")))=COUNTA(TEXTSPLIT(O118,",")))),IF(Q118="",TRUE,IF(input_affiliations="",TRUE,SUMPRODUCT(--ISNUMBER(SEARCH(","&amp;TRIM(TEXTSPLIT(Q118,","))&amp;",",","&amp;SUBSTITUTE(input_affiliations," ","")&amp;",")))=0)),IF(S118="",TRUE,IF(input_affiliations="",FALSE,SUMPRODUCT(--ISNUMBER(SEARCH(","&amp;TRIM(TEXTSPLIT(S118,","))&amp;",",","&amp;SUBSTITUTE(input_affiliations," ","")&amp;",")))&gt;0)),IF(U118="",TRUE,IF(input_affiliations="",FALSE,SUMPRODUCT(--ISNUMBER(SEARCH(","&amp;TRIM(TEXTSPLIT(U118,","))&amp;",",","&amp;SUBSTITUTE(input_affiliations," ","")&amp;",")))=COUNTA(TEXTSPLIT(U118,",")))))</f>
        <v/>
      </c>
      <c r="IU118">
        <f>AND(IF(W118="",TRUE,IF(input_announcement_category="",FALSE,SUMPRODUCT(--ISNUMBER(SEARCH(","&amp;TRIM(TEXTSPLIT(W118,","))&amp;",",","&amp;SUBSTITUTE(input_announcement_category," ","")&amp;",")))&gt;0)),IF(Y118="",TRUE,IF(input_announcement_category="",FALSE,SUMPRODUCT(--ISNUMBER(SEARCH(","&amp;TRIM(TEXTSPLIT(Y118,","))&amp;",",","&amp;SUBSTITUTE(input_announcement_category," ","")&amp;",")))=COUNTA(TEXTSPLIT(Y118,",")))),IF(AA118="",TRUE,IF(input_announcement_category="",TRUE,SUMPRODUCT(--ISNUMBER(SEARCH(","&amp;TRIM(TEXTSPLIT(AA118,","))&amp;",",","&amp;SUBSTITUTE(input_announcement_category," ","")&amp;",")))=0)),IF(AC118="",TRUE,IF(input_announcement_category="",FALSE,SUMPRODUCT(--ISNUMBER(SEARCH(","&amp;TRIM(TEXTSPLIT(AC118,","))&amp;",",","&amp;SUBSTITUTE(input_announcement_category," ","")&amp;",")))&gt;0)),IF(AE118="",TRUE,IF(input_announcement_category="",FALSE,SUMPRODUCT(--ISNUMBER(SEARCH(","&amp;TRIM(TEXTSPLIT(AE118,","))&amp;",",","&amp;SUBSTITUTE(input_announcement_category," ","")&amp;",")))=COUNTA(TEXTSPLIT(AE118,",")))))</f>
        <v/>
      </c>
      <c r="IV118">
        <f>AND(IF(AG118="",TRUE,IF(input_area_of_focus="",FALSE,SUMPRODUCT(--ISNUMBER(SEARCH(","&amp;TRIM(TEXTSPLIT(AG118,","))&amp;",",","&amp;SUBSTITUTE(input_area_of_focus," ","")&amp;",")))&gt;0)),IF(AI118="",TRUE,IF(input_area_of_focus="",FALSE,SUMPRODUCT(--ISNUMBER(SEARCH(","&amp;TRIM(TEXTSPLIT(AI118,","))&amp;",",","&amp;SUBSTITUTE(input_area_of_focus," ","")&amp;",")))=COUNTA(TEXTSPLIT(AI118,",")))),IF(AK118="",TRUE,IF(input_area_of_focus="",TRUE,SUMPRODUCT(--ISNUMBER(SEARCH(","&amp;TRIM(TEXTSPLIT(AK118,","))&amp;",",","&amp;SUBSTITUTE(input_area_of_focus," ","")&amp;",")))=0)),IF(AM118="",TRUE,IF(input_area_of_focus="",FALSE,SUMPRODUCT(--ISNUMBER(SEARCH(","&amp;TRIM(TEXTSPLIT(AM118,","))&amp;",",","&amp;SUBSTITUTE(input_area_of_focus," ","")&amp;",")))&gt;0)),IF(AO118="",TRUE,IF(input_area_of_focus="",FALSE,SUMPRODUCT(--ISNUMBER(SEARCH(","&amp;TRIM(TEXTSPLIT(AO118,","))&amp;",",","&amp;SUBSTITUTE(input_area_of_focus," ","")&amp;",")))=COUNTA(TEXTSPLIT(AO118,",")))))</f>
        <v/>
      </c>
      <c r="IW118">
        <f>AND(IF(AQ118="",TRUE,IF(input_audience="",FALSE,SUMPRODUCT(--ISNUMBER(SEARCH(","&amp;TRIM(TEXTSPLIT(AQ118,","))&amp;",",","&amp;SUBSTITUTE(input_audience," ","")&amp;",")))&gt;0)),IF(AS118="",TRUE,IF(input_audience="",FALSE,SUMPRODUCT(--ISNUMBER(SEARCH(","&amp;TRIM(TEXTSPLIT(AS118,","))&amp;",",","&amp;SUBSTITUTE(input_audience," ","")&amp;",")))=COUNTA(TEXTSPLIT(AS118,",")))),IF(AU118="",TRUE,IF(input_audience="",TRUE,SUMPRODUCT(--ISNUMBER(SEARCH(","&amp;TRIM(TEXTSPLIT(AU118,","))&amp;",",","&amp;SUBSTITUTE(input_audience," ","")&amp;",")))=0)),IF(AW118="",TRUE,IF(input_audience="",FALSE,SUMPRODUCT(--ISNUMBER(SEARCH(","&amp;TRIM(TEXTSPLIT(AW118,","))&amp;",",","&amp;SUBSTITUTE(input_audience," ","")&amp;",")))&gt;0)),IF(AY118="",TRUE,IF(input_audience="",FALSE,SUMPRODUCT(--ISNUMBER(SEARCH(","&amp;TRIM(TEXTSPLIT(AY118,","))&amp;",",","&amp;SUBSTITUTE(input_audience," ","")&amp;",")))=COUNTA(TEXTSPLIT(AY118,",")))))</f>
        <v/>
      </c>
      <c r="IX118">
        <f>AND(IF(BA118="",TRUE,IF(input_challenge_opportunities="",FALSE,SUMPRODUCT(--ISNUMBER(SEARCH(","&amp;TRIM(TEXTSPLIT(BA118,","))&amp;",",","&amp;SUBSTITUTE(input_challenge_opportunities," ","")&amp;",")))&gt;0)),IF(BC118="",TRUE,IF(input_challenge_opportunities="",FALSE,SUMPRODUCT(--ISNUMBER(SEARCH(","&amp;TRIM(TEXTSPLIT(BC118,","))&amp;",",","&amp;SUBSTITUTE(input_challenge_opportunities," ","")&amp;",")))=COUNTA(TEXTSPLIT(BC118,",")))),IF(BE118="",TRUE,IF(input_challenge_opportunities="",TRUE,SUMPRODUCT(--ISNUMBER(SEARCH(","&amp;TRIM(TEXTSPLIT(BE118,","))&amp;",",","&amp;SUBSTITUTE(input_challenge_opportunities," ","")&amp;",")))=0)),IF(BG118="",TRUE,IF(input_challenge_opportunities="",FALSE,SUMPRODUCT(--ISNUMBER(SEARCH(","&amp;TRIM(TEXTSPLIT(BG118,","))&amp;",",","&amp;SUBSTITUTE(input_challenge_opportunities," ","")&amp;",")))&gt;0)),IF(BI118="",TRUE,IF(input_challenge_opportunities="",FALSE,SUMPRODUCT(--ISNUMBER(SEARCH(","&amp;TRIM(TEXTSPLIT(BI118,","))&amp;",",","&amp;SUBSTITUTE(input_challenge_opportunities," ","")&amp;",")))=COUNTA(TEXTSPLIT(BI118,",")))))</f>
        <v/>
      </c>
      <c r="IY118">
        <f>AND(IF(BK118="",TRUE,IF(input_context="",FALSE,SUMPRODUCT(--ISNUMBER(SEARCH(","&amp;TRIM(TEXTSPLIT(BK118,","))&amp;",",","&amp;SUBSTITUTE(input_context," ","")&amp;",")))&gt;0)),IF(BM118="",TRUE,IF(input_context="",FALSE,SUMPRODUCT(--ISNUMBER(SEARCH(","&amp;TRIM(TEXTSPLIT(BM118,","))&amp;",",","&amp;SUBSTITUTE(input_context," ","")&amp;",")))=COUNTA(TEXTSPLIT(BM118,",")))),IF(BO118="",TRUE,IF(input_context="",TRUE,SUMPRODUCT(--ISNUMBER(SEARCH(","&amp;TRIM(TEXTSPLIT(BO118,","))&amp;",",","&amp;SUBSTITUTE(input_context," ","")&amp;",")))=0)),IF(BQ118="",TRUE,IF(input_context="",FALSE,SUMPRODUCT(--ISNUMBER(SEARCH(","&amp;TRIM(TEXTSPLIT(BQ118,","))&amp;",",","&amp;SUBSTITUTE(input_context," ","")&amp;",")))&gt;0)),IF(BS118="",TRUE,IF(input_context="",FALSE,SUMPRODUCT(--ISNUMBER(SEARCH(","&amp;TRIM(TEXTSPLIT(BS118,","))&amp;",",","&amp;SUBSTITUTE(input_context," ","")&amp;",")))=COUNTA(TEXTSPLIT(BS118,",")))))</f>
        <v/>
      </c>
      <c r="IZ118">
        <f>AND(IF(BU118="",TRUE,IF(input_enews_announcement_type="",FALSE,SUMPRODUCT(--ISNUMBER(SEARCH(","&amp;TRIM(TEXTSPLIT(BU118,","))&amp;",",","&amp;SUBSTITUTE(input_enews_announcement_type," ","")&amp;",")))&gt;0)),IF(BW118="",TRUE,IF(input_enews_announcement_type="",FALSE,SUMPRODUCT(--ISNUMBER(SEARCH(","&amp;TRIM(TEXTSPLIT(BW118,","))&amp;",",","&amp;SUBSTITUTE(input_enews_announcement_type," ","")&amp;",")))=COUNTA(TEXTSPLIT(BW118,",")))),IF(BY118="",TRUE,IF(input_enews_announcement_type="",TRUE,SUMPRODUCT(--ISNUMBER(SEARCH(","&amp;TRIM(TEXTSPLIT(BY118,","))&amp;",",","&amp;SUBSTITUTE(input_enews_announcement_type," ","")&amp;",")))=0)),IF(CA118="",TRUE,IF(input_enews_announcement_type="",FALSE,SUMPRODUCT(--ISNUMBER(SEARCH(","&amp;TRIM(TEXTSPLIT(CA118,","))&amp;",",","&amp;SUBSTITUTE(input_enews_announcement_type," ","")&amp;",")))&gt;0)),IF(CC118="",TRUE,IF(input_enews_announcement_type="",FALSE,SUMPRODUCT(--ISNUMBER(SEARCH(","&amp;TRIM(TEXTSPLIT(CC118,","))&amp;",",","&amp;SUBSTITUTE(input_enews_announcement_type," ","")&amp;",")))=COUNTA(TEXTSPLIT(CC118,",")))))</f>
        <v/>
      </c>
      <c r="JA118">
        <f>AND(IF(CE118="",TRUE,IF(input_enews_audience="",FALSE,SUMPRODUCT(--ISNUMBER(SEARCH(","&amp;TRIM(TEXTSPLIT(CE118,","))&amp;",",","&amp;SUBSTITUTE(input_enews_audience," ","")&amp;",")))&gt;0)),IF(CG118="",TRUE,IF(input_enews_audience="",FALSE,SUMPRODUCT(--ISNUMBER(SEARCH(","&amp;TRIM(TEXTSPLIT(CG118,","))&amp;",",","&amp;SUBSTITUTE(input_enews_audience," ","")&amp;",")))=COUNTA(TEXTSPLIT(CG118,",")))),IF(CI118="",TRUE,IF(input_enews_audience="",TRUE,SUMPRODUCT(--ISNUMBER(SEARCH(","&amp;TRIM(TEXTSPLIT(CI118,","))&amp;",",","&amp;SUBSTITUTE(input_enews_audience," ","")&amp;",")))=0)),IF(CK118="",TRUE,IF(input_enews_audience="",FALSE,SUMPRODUCT(--ISNUMBER(SEARCH(","&amp;TRIM(TEXTSPLIT(CK118,","))&amp;",",","&amp;SUBSTITUTE(input_enews_audience," ","")&amp;",")))&gt;0)),IF(CM118="",TRUE,IF(input_enews_audience="",FALSE,SUMPRODUCT(--ISNUMBER(SEARCH(","&amp;TRIM(TEXTSPLIT(CM118,","))&amp;",",","&amp;SUBSTITUTE(input_enews_audience," ","")&amp;",")))=COUNTA(TEXTSPLIT(CM118,",")))))</f>
        <v/>
      </c>
      <c r="JB118">
        <f>AND(IF(CO118="",TRUE,IF(input_event_location="",FALSE,SUMPRODUCT(--ISNUMBER(SEARCH(","&amp;TRIM(TEXTSPLIT(CO118,","))&amp;",",","&amp;SUBSTITUTE(input_event_location," ","")&amp;",")))&gt;0)),IF(CQ118="",TRUE,IF(input_event_location="",FALSE,SUMPRODUCT(--ISNUMBER(SEARCH(","&amp;TRIM(TEXTSPLIT(CQ118,","))&amp;",",","&amp;SUBSTITUTE(input_event_location," ","")&amp;",")))=COUNTA(TEXTSPLIT(CQ118,",")))),IF(CS118="",TRUE,IF(input_event_location="",TRUE,SUMPRODUCT(--ISNUMBER(SEARCH(","&amp;TRIM(TEXTSPLIT(CS118,","))&amp;",",","&amp;SUBSTITUTE(input_event_location," ","")&amp;",")))=0)),IF(CU118="",TRUE,IF(input_event_location="",FALSE,SUMPRODUCT(--ISNUMBER(SEARCH(","&amp;TRIM(TEXTSPLIT(CU118,","))&amp;",",","&amp;SUBSTITUTE(input_event_location," ","")&amp;",")))&gt;0)),IF(CW118="",TRUE,IF(input_event_location="",FALSE,SUMPRODUCT(--ISNUMBER(SEARCH(","&amp;TRIM(TEXTSPLIT(CW118,","))&amp;",",","&amp;SUBSTITUTE(input_event_location," ","")&amp;",")))=COUNTA(TEXTSPLIT(CW118,",")))))</f>
        <v/>
      </c>
      <c r="JC118">
        <f>AND(IF(CY118="",TRUE,IF(input_event_type="",FALSE,SUMPRODUCT(--ISNUMBER(SEARCH(","&amp;TRIM(TEXTSPLIT(CY118,","))&amp;",",","&amp;SUBSTITUTE(input_event_type," ","")&amp;",")))&gt;0)),IF(DA118="",TRUE,IF(input_event_type="",FALSE,SUMPRODUCT(--ISNUMBER(SEARCH(","&amp;TRIM(TEXTSPLIT(DA118,","))&amp;",",","&amp;SUBSTITUTE(input_event_type," ","")&amp;",")))=COUNTA(TEXTSPLIT(DA118,",")))),IF(DC118="",TRUE,IF(input_event_type="",TRUE,SUMPRODUCT(--ISNUMBER(SEARCH(","&amp;TRIM(TEXTSPLIT(DC118,","))&amp;",",","&amp;SUBSTITUTE(input_event_type," ","")&amp;",")))=0)),IF(DE118="",TRUE,IF(input_event_type="",FALSE,SUMPRODUCT(--ISNUMBER(SEARCH(","&amp;TRIM(TEXTSPLIT(DE118,","))&amp;",",","&amp;SUBSTITUTE(input_event_type," ","")&amp;",")))&gt;0)),IF(DG118="",TRUE,IF(input_event_type="",FALSE,SUMPRODUCT(--ISNUMBER(SEARCH(","&amp;TRIM(TEXTSPLIT(DG118,","))&amp;",",","&amp;SUBSTITUTE(input_event_type," ","")&amp;",")))=COUNTA(TEXTSPLIT(DG118,",")))))</f>
        <v/>
      </c>
      <c r="JD118">
        <f>AND(IF(DI118="",TRUE,IF(input_executive_education_focus="",FALSE,SUMPRODUCT(--ISNUMBER(SEARCH(","&amp;TRIM(TEXTSPLIT(DI118,","))&amp;",",","&amp;SUBSTITUTE(input_executive_education_focus," ","")&amp;",")))&gt;0)),IF(DK118="",TRUE,IF(input_executive_education_focus="",FALSE,SUMPRODUCT(--ISNUMBER(SEARCH(","&amp;TRIM(TEXTSPLIT(DK118,","))&amp;",",","&amp;SUBSTITUTE(input_executive_education_focus," ","")&amp;",")))=COUNTA(TEXTSPLIT(DK118,",")))),IF(DM118="",TRUE,IF(input_executive_education_focus="",TRUE,SUMPRODUCT(--ISNUMBER(SEARCH(","&amp;TRIM(TEXTSPLIT(DM118,","))&amp;",",","&amp;SUBSTITUTE(input_executive_education_focus," ","")&amp;",")))=0)),IF(DO118="",TRUE,IF(input_executive_education_focus="",FALSE,SUMPRODUCT(--ISNUMBER(SEARCH(","&amp;TRIM(TEXTSPLIT(DO118,","))&amp;",",","&amp;SUBSTITUTE(input_executive_education_focus," ","")&amp;",")))&gt;0)),IF(DQ118="",TRUE,IF(input_executive_education_focus="",FALSE,SUMPRODUCT(--ISNUMBER(SEARCH(","&amp;TRIM(TEXTSPLIT(DQ118,","))&amp;",",","&amp;SUBSTITUTE(input_executive_education_focus," ","")&amp;",")))=COUNTA(TEXTSPLIT(DQ118,",")))))</f>
        <v/>
      </c>
      <c r="JE118">
        <f>AND(IF(DS118="",TRUE,IF(input_faculty_category="",FALSE,SUMPRODUCT(--ISNUMBER(SEARCH(","&amp;TRIM(TEXTSPLIT(DS118,","))&amp;",",","&amp;SUBSTITUTE(input_faculty_category," ","")&amp;",")))&gt;0)),IF(DU118="",TRUE,IF(input_faculty_category="",FALSE,SUMPRODUCT(--ISNUMBER(SEARCH(","&amp;TRIM(TEXTSPLIT(DU118,","))&amp;",",","&amp;SUBSTITUTE(input_faculty_category," ","")&amp;",")))=COUNTA(TEXTSPLIT(DU118,",")))),IF(DW118="",TRUE,IF(input_faculty_category="",TRUE,SUMPRODUCT(--ISNUMBER(SEARCH(","&amp;TRIM(TEXTSPLIT(DW118,","))&amp;",",","&amp;SUBSTITUTE(input_faculty_category," ","")&amp;",")))=0)),IF(DY118="",TRUE,IF(input_faculty_category="",FALSE,SUMPRODUCT(--ISNUMBER(SEARCH(","&amp;TRIM(TEXTSPLIT(DY118,","))&amp;",",","&amp;SUBSTITUTE(input_faculty_category," ","")&amp;",")))&gt;0)),IF(EA118="",TRUE,IF(input_faculty_category="",FALSE,SUMPRODUCT(--ISNUMBER(SEARCH(","&amp;TRIM(TEXTSPLIT(EA118,","))&amp;",",","&amp;SUBSTITUTE(input_faculty_category," ","")&amp;",")))=COUNTA(TEXTSPLIT(EA118,",")))))</f>
        <v/>
      </c>
      <c r="JF118">
        <f>AND(IF(EC118="",TRUE,IF(input_faculty_discipline="",FALSE,SUMPRODUCT(--ISNUMBER(SEARCH(","&amp;TRIM(TEXTSPLIT(EC118,","))&amp;",",","&amp;SUBSTITUTE(input_faculty_discipline," ","")&amp;",")))&gt;0)),IF(EE118="",TRUE,IF(input_faculty_discipline="",FALSE,SUMPRODUCT(--ISNUMBER(SEARCH(","&amp;TRIM(TEXTSPLIT(EE118,","))&amp;",",","&amp;SUBSTITUTE(input_faculty_discipline," ","")&amp;",")))=COUNTA(TEXTSPLIT(EE118,",")))),IF(EG118="",TRUE,IF(input_faculty_discipline="",TRUE,SUMPRODUCT(--ISNUMBER(SEARCH(","&amp;TRIM(TEXTSPLIT(EG118,","))&amp;",",","&amp;SUBSTITUTE(input_faculty_discipline," ","")&amp;",")))=0)),IF(EI118="",TRUE,IF(input_faculty_discipline="",FALSE,SUMPRODUCT(--ISNUMBER(SEARCH(","&amp;TRIM(TEXTSPLIT(EI118,","))&amp;",",","&amp;SUBSTITUTE(input_faculty_discipline," ","")&amp;",")))&gt;0)),IF(EK118="",TRUE,IF(input_faculty_discipline="",FALSE,SUMPRODUCT(--ISNUMBER(SEARCH(","&amp;TRIM(TEXTSPLIT(EK118,","))&amp;",",","&amp;SUBSTITUTE(input_faculty_discipline," ","")&amp;",")))=COUNTA(TEXTSPLIT(EK118,",")))))</f>
        <v/>
      </c>
      <c r="JG118">
        <f>AND(IF(EM118="",TRUE,IF(input_faculty_expertise="",FALSE,SUMPRODUCT(--ISNUMBER(SEARCH(","&amp;TRIM(TEXTSPLIT(EM118,","))&amp;",",","&amp;SUBSTITUTE(input_faculty_expertise," ","")&amp;",")))&gt;0)),IF(EO118="",TRUE,IF(input_faculty_expertise="",FALSE,SUMPRODUCT(--ISNUMBER(SEARCH(","&amp;TRIM(TEXTSPLIT(EO118,","))&amp;",",","&amp;SUBSTITUTE(input_faculty_expertise," ","")&amp;",")))=COUNTA(TEXTSPLIT(EO118,",")))),IF(EQ118="",TRUE,IF(input_faculty_expertise="",TRUE,SUMPRODUCT(--ISNUMBER(SEARCH(","&amp;TRIM(TEXTSPLIT(EQ118,","))&amp;",",","&amp;SUBSTITUTE(input_faculty_expertise," ","")&amp;",")))=0)),IF(ES118="",TRUE,IF(input_faculty_expertise="",FALSE,SUMPRODUCT(--ISNUMBER(SEARCH(","&amp;TRIM(TEXTSPLIT(ES118,","))&amp;",",","&amp;SUBSTITUTE(input_faculty_expertise," ","")&amp;",")))&gt;0)),IF(EU118="",TRUE,IF(input_faculty_expertise="",FALSE,SUMPRODUCT(--ISNUMBER(SEARCH(","&amp;TRIM(TEXTSPLIT(EU118,","))&amp;",",","&amp;SUBSTITUTE(input_faculty_expertise," ","")&amp;",")))=COUNTA(TEXTSPLIT(EU118,",")))))</f>
        <v/>
      </c>
      <c r="JH118">
        <f>AND(IF(EW118="",TRUE,IF(input_global_network_school="",FALSE,SUMPRODUCT(--ISNUMBER(SEARCH(","&amp;TRIM(TEXTSPLIT(EW118,","))&amp;",",","&amp;SUBSTITUTE(input_global_network_school," ","")&amp;",")))&gt;0)),IF(EY118="",TRUE,IF(input_global_network_school="",FALSE,SUMPRODUCT(--ISNUMBER(SEARCH(","&amp;TRIM(TEXTSPLIT(EY118,","))&amp;",",","&amp;SUBSTITUTE(input_global_network_school," ","")&amp;",")))=COUNTA(TEXTSPLIT(EY118,",")))),IF(FA118="",TRUE,IF(input_global_network_school="",TRUE,SUMPRODUCT(--ISNUMBER(SEARCH(","&amp;TRIM(TEXTSPLIT(FA118,","))&amp;",",","&amp;SUBSTITUTE(input_global_network_school," ","")&amp;",")))=0)),IF(FC118="",TRUE,IF(input_global_network_school="",FALSE,SUMPRODUCT(--ISNUMBER(SEARCH(","&amp;TRIM(TEXTSPLIT(FC118,","))&amp;",",","&amp;SUBSTITUTE(input_global_network_school," ","")&amp;",")))&gt;0)),IF(FE118="",TRUE,IF(input_global_network_school="",FALSE,SUMPRODUCT(--ISNUMBER(SEARCH(","&amp;TRIM(TEXTSPLIT(FE118,","))&amp;",",","&amp;SUBSTITUTE(input_global_network_school," ","")&amp;",")))=COUNTA(TEXTSPLIT(FE118,",")))))</f>
        <v/>
      </c>
      <c r="JI118">
        <f>AND(IF(FG118="",TRUE,IF(input_industry="",FALSE,SUMPRODUCT(--ISNUMBER(SEARCH(","&amp;TRIM(TEXTSPLIT(FG118,","))&amp;",",","&amp;SUBSTITUTE(input_industry," ","")&amp;",")))&gt;0)),IF(FI118="",TRUE,IF(input_industry="",FALSE,SUMPRODUCT(--ISNUMBER(SEARCH(","&amp;TRIM(TEXTSPLIT(FI118,","))&amp;",",","&amp;SUBSTITUTE(input_industry," ","")&amp;",")))=COUNTA(TEXTSPLIT(FI118,",")))),IF(FK118="",TRUE,IF(input_industry="",TRUE,SUMPRODUCT(--ISNUMBER(SEARCH(","&amp;TRIM(TEXTSPLIT(FK118,","))&amp;",",","&amp;SUBSTITUTE(input_industry," ","")&amp;",")))=0)),IF(FM118="",TRUE,IF(input_industry="",FALSE,SUMPRODUCT(--ISNUMBER(SEARCH(","&amp;TRIM(TEXTSPLIT(FM118,","))&amp;",",","&amp;SUBSTITUTE(input_industry," ","")&amp;",")))&gt;0)),IF(FO118="",TRUE,IF(input_industry="",FALSE,SUMPRODUCT(--ISNUMBER(SEARCH(","&amp;TRIM(TEXTSPLIT(FO118,","))&amp;",",","&amp;SUBSTITUTE(input_industry," ","")&amp;",")))=COUNTA(TEXTSPLIT(FO118,",")))))</f>
        <v/>
      </c>
      <c r="JJ118">
        <f>AND(IF(FQ118="",TRUE,IF(input_location="",FALSE,SUMPRODUCT(--ISNUMBER(SEARCH(","&amp;TRIM(TEXTSPLIT(FQ118,","))&amp;",",","&amp;SUBSTITUTE(input_location," ","")&amp;",")))&gt;0)),IF(FS118="",TRUE,IF(input_location="",FALSE,SUMPRODUCT(--ISNUMBER(SEARCH(","&amp;TRIM(TEXTSPLIT(FS118,","))&amp;",",","&amp;SUBSTITUTE(input_location," ","")&amp;",")))=COUNTA(TEXTSPLIT(FS118,",")))),IF(FU118="",TRUE,IF(input_location="",TRUE,SUMPRODUCT(--ISNUMBER(SEARCH(","&amp;TRIM(TEXTSPLIT(FU118,","))&amp;",",","&amp;SUBSTITUTE(input_location," ","")&amp;",")))=0)),IF(FW118="",TRUE,IF(input_location="",FALSE,SUMPRODUCT(--ISNUMBER(SEARCH(","&amp;TRIM(TEXTSPLIT(FW118,","))&amp;",",","&amp;SUBSTITUTE(input_location," ","")&amp;",")))&gt;0)),IF(FY118="",TRUE,IF(input_location="",FALSE,SUMPRODUCT(--ISNUMBER(SEARCH(","&amp;TRIM(TEXTSPLIT(FY118,","))&amp;",",","&amp;SUBSTITUTE(input_location," ","")&amp;",")))=COUNTA(TEXTSPLIT(FY118,",")))))</f>
        <v/>
      </c>
      <c r="JK118">
        <f>AND(IF(GA118="",TRUE,IF(input_modality="",FALSE,SUMPRODUCT(--ISNUMBER(SEARCH(","&amp;TRIM(TEXTSPLIT(GA118,","))&amp;",",","&amp;SUBSTITUTE(input_modality," ","")&amp;",")))&gt;0)),IF(GC118="",TRUE,IF(input_modality="",FALSE,SUMPRODUCT(--ISNUMBER(SEARCH(","&amp;TRIM(TEXTSPLIT(GC118,","))&amp;",",","&amp;SUBSTITUTE(input_modality," ","")&amp;",")))=COUNTA(TEXTSPLIT(GC118,",")))),IF(GE118="",TRUE,IF(input_modality="",TRUE,SUMPRODUCT(--ISNUMBER(SEARCH(","&amp;TRIM(TEXTSPLIT(GE118,","))&amp;",",","&amp;SUBSTITUTE(input_modality," ","")&amp;",")))=0)),IF(GG118="",TRUE,IF(input_modality="",FALSE,SUMPRODUCT(--ISNUMBER(SEARCH(","&amp;TRIM(TEXTSPLIT(GG118,","))&amp;",",","&amp;SUBSTITUTE(input_modality," ","")&amp;",")))&gt;0)),IF(GI118="",TRUE,IF(input_modality="",FALSE,SUMPRODUCT(--ISNUMBER(SEARCH(","&amp;TRIM(TEXTSPLIT(GI118,","))&amp;",",","&amp;SUBSTITUTE(input_modality," ","")&amp;",")))=COUNTA(TEXTSPLIT(GI118,",")))))</f>
        <v/>
      </c>
      <c r="JL118">
        <f>AND(IF(GK118="",TRUE,IF(input_organizer="",FALSE,SUMPRODUCT(--ISNUMBER(SEARCH(","&amp;TRIM(TEXTSPLIT(GK118,","))&amp;",",","&amp;SUBSTITUTE(input_organizer," ","")&amp;",")))&gt;0)),IF(GM118="",TRUE,IF(input_organizer="",FALSE,SUMPRODUCT(--ISNUMBER(SEARCH(","&amp;TRIM(TEXTSPLIT(GM118,","))&amp;",",","&amp;SUBSTITUTE(input_organizer," ","")&amp;",")))=COUNTA(TEXTSPLIT(GM118,",")))),IF(GO118="",TRUE,IF(input_organizer="",TRUE,SUMPRODUCT(--ISNUMBER(SEARCH(","&amp;TRIM(TEXTSPLIT(GO118,","))&amp;",",","&amp;SUBSTITUTE(input_organizer," ","")&amp;",")))=0)),IF(GQ118="",TRUE,IF(input_organizer="",FALSE,SUMPRODUCT(--ISNUMBER(SEARCH(","&amp;TRIM(TEXTSPLIT(GQ118,","))&amp;",",","&amp;SUBSTITUTE(input_organizer," ","")&amp;",")))&gt;0)),IF(GS118="",TRUE,IF(input_organizer="",FALSE,SUMPRODUCT(--ISNUMBER(SEARCH(","&amp;TRIM(TEXTSPLIT(GS118,","))&amp;",",","&amp;SUBSTITUTE(input_organizer," ","")&amp;",")))=COUNTA(TEXTSPLIT(GS118,",")))))</f>
        <v/>
      </c>
      <c r="JM118">
        <f>AND(IF(GU118="",TRUE,IF(input_profile_type="",FALSE,SUMPRODUCT(--ISNUMBER(SEARCH(","&amp;TRIM(TEXTSPLIT(GU118,","))&amp;",",","&amp;SUBSTITUTE(input_profile_type," ","")&amp;",")))&gt;0)),IF(GW118="",TRUE,IF(input_profile_type="",FALSE,SUMPRODUCT(--ISNUMBER(SEARCH(","&amp;TRIM(TEXTSPLIT(GW118,","))&amp;",",","&amp;SUBSTITUTE(input_profile_type," ","")&amp;",")))=COUNTA(TEXTSPLIT(GW118,",")))),IF(GY118="",TRUE,IF(input_profile_type="",TRUE,SUMPRODUCT(--ISNUMBER(SEARCH(","&amp;TRIM(TEXTSPLIT(GY118,","))&amp;",",","&amp;SUBSTITUTE(input_profile_type," ","")&amp;",")))=0)),IF(HA118="",TRUE,IF(input_profile_type="",FALSE,SUMPRODUCT(--ISNUMBER(SEARCH(","&amp;TRIM(TEXTSPLIT(HA118,","))&amp;",",","&amp;SUBSTITUTE(input_profile_type," ","")&amp;",")))&gt;0)),IF(HC118="",TRUE,IF(input_profile_type="",FALSE,SUMPRODUCT(--ISNUMBER(SEARCH(","&amp;TRIM(TEXTSPLIT(HC118,","))&amp;",",","&amp;SUBSTITUTE(input_profile_type," ","")&amp;",")))=COUNTA(TEXTSPLIT(HC118,",")))))</f>
        <v/>
      </c>
      <c r="JN118">
        <f>AND(IF(HE118="",TRUE,IF(input_program="",FALSE,SUMPRODUCT(--ISNUMBER(SEARCH(","&amp;TRIM(TEXTSPLIT(HE118,","))&amp;",",","&amp;SUBSTITUTE(input_program," ","")&amp;",")))&gt;0)),IF(HG118="",TRUE,IF(input_program="",FALSE,SUMPRODUCT(--ISNUMBER(SEARCH(","&amp;TRIM(TEXTSPLIT(HG118,","))&amp;",",","&amp;SUBSTITUTE(input_program," ","")&amp;",")))=COUNTA(TEXTSPLIT(HG118,",")))),IF(HI118="",TRUE,IF(input_program="",TRUE,SUMPRODUCT(--ISNUMBER(SEARCH(","&amp;TRIM(TEXTSPLIT(HI118,","))&amp;",",","&amp;SUBSTITUTE(input_program," ","")&amp;",")))=0)),IF(HK118="",TRUE,IF(input_program="",FALSE,SUMPRODUCT(--ISNUMBER(SEARCH(","&amp;TRIM(TEXTSPLIT(HK118,","))&amp;",",","&amp;SUBSTITUTE(input_program," ","")&amp;",")))&gt;0)),IF(HM118="",TRUE,IF(input_program="",FALSE,SUMPRODUCT(--ISNUMBER(SEARCH(","&amp;TRIM(TEXTSPLIT(HM118,","))&amp;",",","&amp;SUBSTITUTE(input_program," ","")&amp;",")))=COUNTA(TEXTSPLIT(HM118,",")))))</f>
        <v/>
      </c>
      <c r="JO118">
        <f>AND(IF(HO118="",TRUE,IF(input_story_categories="",FALSE,SUMPRODUCT(--ISNUMBER(SEARCH(","&amp;TRIM(TEXTSPLIT(HO118,","))&amp;",",","&amp;SUBSTITUTE(input_story_categories," ","")&amp;",")))&gt;0)),IF(HQ118="",TRUE,IF(input_story_categories="",FALSE,SUMPRODUCT(--ISNUMBER(SEARCH(","&amp;TRIM(TEXTSPLIT(HQ118,","))&amp;",",","&amp;SUBSTITUTE(input_story_categories," ","")&amp;",")))=COUNTA(TEXTSPLIT(HQ118,",")))),IF(HS118="",TRUE,IF(input_story_categories="",TRUE,SUMPRODUCT(--ISNUMBER(SEARCH(","&amp;TRIM(TEXTSPLIT(HS118,","))&amp;",",","&amp;SUBSTITUTE(input_story_categories," ","")&amp;",")))=0)),IF(HU118="",TRUE,IF(input_story_categories="",FALSE,SUMPRODUCT(--ISNUMBER(SEARCH(","&amp;TRIM(TEXTSPLIT(HU118,","))&amp;",",","&amp;SUBSTITUTE(input_story_categories," ","")&amp;",")))&gt;0)),IF(HW118="",TRUE,IF(input_story_categories="",FALSE,SUMPRODUCT(--ISNUMBER(SEARCH(","&amp;TRIM(TEXTSPLIT(HW118,","))&amp;",",","&amp;SUBSTITUTE(input_story_categories," ","")&amp;",")))=COUNTA(TEXTSPLIT(HW118,",")))))</f>
        <v/>
      </c>
      <c r="JP118">
        <f>AND(IF(HY118="",TRUE,IF(input_story_type="",FALSE,SUMPRODUCT(--ISNUMBER(SEARCH(","&amp;TRIM(TEXTSPLIT(HY118,","))&amp;",",","&amp;SUBSTITUTE(input_story_type," ","")&amp;",")))&gt;0)),IF(IA118="",TRUE,IF(input_story_type="",FALSE,SUMPRODUCT(--ISNUMBER(SEARCH(","&amp;TRIM(TEXTSPLIT(IA118,","))&amp;",",","&amp;SUBSTITUTE(input_story_type," ","")&amp;",")))=COUNTA(TEXTSPLIT(IA118,",")))),IF(IC118="",TRUE,IF(input_story_type="",TRUE,SUMPRODUCT(--ISNUMBER(SEARCH(","&amp;TRIM(TEXTSPLIT(IC118,","))&amp;",",","&amp;SUBSTITUTE(input_story_type," ","")&amp;",")))=0)),IF(IE118="",TRUE,IF(input_story_type="",FALSE,SUMPRODUCT(--ISNUMBER(SEARCH(","&amp;TRIM(TEXTSPLIT(IE118,","))&amp;",",","&amp;SUBSTITUTE(input_story_type," ","")&amp;",")))&gt;0)),IF(IG118="",TRUE,IF(input_story_type="",FALSE,SUMPRODUCT(--ISNUMBER(SEARCH(","&amp;TRIM(TEXTSPLIT(IG118,","))&amp;",",","&amp;SUBSTITUTE(input_story_type," ","")&amp;",")))=COUNTA(TEXTSPLIT(IG118,",")))))</f>
        <v/>
      </c>
      <c r="JQ118">
        <f>AND(IF(II118="",TRUE,IF(input_topics="",FALSE,SUMPRODUCT(--ISNUMBER(SEARCH(","&amp;TRIM(TEXTSPLIT(II118,","))&amp;",",","&amp;SUBSTITUTE(input_topics," ","")&amp;",")))&gt;0)),IF(IK118="",TRUE,IF(input_topics="",FALSE,SUMPRODUCT(--ISNUMBER(SEARCH(","&amp;TRIM(TEXTSPLIT(IK118,","))&amp;",",","&amp;SUBSTITUTE(input_topics," ","")&amp;",")))=COUNTA(TEXTSPLIT(IK118,",")))),IF(IM118="",TRUE,IF(input_topics="",TRUE,SUMPRODUCT(--ISNUMBER(SEARCH(","&amp;TRIM(TEXTSPLIT(IM118,","))&amp;",",","&amp;SUBSTITUTE(input_topics," ","")&amp;",")))=0)),IF(IO118="",TRUE,IF(input_topics="",FALSE,SUMPRODUCT(--ISNUMBER(SEARCH(","&amp;TRIM(TEXTSPLIT(IO118,","))&amp;",",","&amp;SUBSTITUTE(input_topics," ","")&amp;",")))&gt;0)),IF(IQ118="",TRUE,IF(input_topics="",FALSE,SUMPRODUCT(--ISNUMBER(SEARCH(","&amp;TRIM(TEXTSPLIT(IQ118,","))&amp;",",","&amp;SUBSTITUTE(input_topics," ","")&amp;",")))=COUNTA(TEXTSPLIT(IQ118,",")))))</f>
        <v/>
      </c>
    </row>
    <row r="119">
      <c r="A119" s="4">
        <f>IF(NOT(IS119),"Excluded",IF(AND(IT119,IU119,IV119,IW119,IX119,IY119,IZ119,JA119,JB119,JC119,JD119,JE119,JF119,JG119,JH119,JI119,JJ119,JK119,JL119,JM119,JN119,JO119,JP119,JQ119),IF(I119&gt;0,"Eligible but limited","Will appear"),"Excluded"))</f>
        <v/>
      </c>
      <c r="B119" s="4" t="inlineStr">
        <is>
          <t>Internship Spotlight</t>
        </is>
      </c>
      <c r="C119" s="4" t="inlineStr">
        <is>
          <t>/about/headlines/internship-spotlight</t>
        </is>
      </c>
      <c r="D119" s="4" t="inlineStr">
        <is>
          <t>/about/headlines/internship-spotlight</t>
        </is>
      </c>
      <c r="E119" s="4" t="n">
        <v>1</v>
      </c>
      <c r="F119" s="4" t="inlineStr">
        <is>
          <t>story</t>
        </is>
      </c>
      <c r="G119" s="4" t="inlineStr">
        <is>
          <t>stories_list</t>
        </is>
      </c>
      <c r="H119" s="4" t="inlineStr">
        <is>
          <t>embed_1</t>
        </is>
      </c>
      <c r="I119" s="4" t="n">
        <v>10</v>
      </c>
      <c r="J119" s="4" t="inlineStr">
        <is>
          <t>Explicit args</t>
        </is>
      </c>
      <c r="K119" s="4" t="inlineStr">
        <is>
          <t>Page placement</t>
        </is>
      </c>
      <c r="L119" s="4" t="inlineStr">
        <is>
          <t>Content type: story; Context uses Courses Context: Internship Spotlight (1185); Limited to 10 item(s); Source: Explicit args</t>
        </is>
      </c>
      <c r="M119" t="inlineStr"/>
      <c r="N119" t="inlineStr"/>
      <c r="O119" t="inlineStr"/>
      <c r="P119" t="inlineStr"/>
      <c r="Q119" t="inlineStr"/>
      <c r="R119" t="inlineStr"/>
      <c r="S119" t="inlineStr"/>
      <c r="T119" t="inlineStr"/>
      <c r="U119" t="inlineStr"/>
      <c r="V119" t="inlineStr"/>
      <c r="W119" t="inlineStr"/>
      <c r="X119" t="inlineStr"/>
      <c r="Y119" t="inlineStr"/>
      <c r="Z119" t="inlineStr"/>
      <c r="AA119" t="inlineStr"/>
      <c r="AB119" t="inlineStr"/>
      <c r="AC119" t="inlineStr"/>
      <c r="AD119" t="inlineStr"/>
      <c r="AE119" t="inlineStr"/>
      <c r="AF119" t="inlineStr"/>
      <c r="AG119" t="inlineStr"/>
      <c r="AH119" t="inlineStr"/>
      <c r="AI119" t="inlineStr"/>
      <c r="AJ119" t="inlineStr"/>
      <c r="AK119" t="inlineStr"/>
      <c r="AL119" t="inlineStr"/>
      <c r="AM119" t="inlineStr"/>
      <c r="AN119" t="inlineStr"/>
      <c r="AO119" t="inlineStr"/>
      <c r="AP119" t="inlineStr"/>
      <c r="AQ119" t="inlineStr"/>
      <c r="AR119" t="inlineStr"/>
      <c r="AS119" t="inlineStr"/>
      <c r="AT119" t="inlineStr"/>
      <c r="AU119" t="inlineStr"/>
      <c r="AV119" t="inlineStr"/>
      <c r="AW119" t="inlineStr"/>
      <c r="AX119" t="inlineStr"/>
      <c r="AY119" t="inlineStr"/>
      <c r="AZ119" t="inlineStr"/>
      <c r="BA119" t="inlineStr"/>
      <c r="BB119" t="inlineStr"/>
      <c r="BC119" t="inlineStr"/>
      <c r="BD119" t="inlineStr"/>
      <c r="BE119" t="inlineStr"/>
      <c r="BF119" t="inlineStr"/>
      <c r="BG119" t="inlineStr"/>
      <c r="BH119" t="inlineStr"/>
      <c r="BI119" t="inlineStr"/>
      <c r="BJ119" t="inlineStr"/>
      <c r="BK119" t="inlineStr"/>
      <c r="BL119" t="inlineStr"/>
      <c r="BM119" t="inlineStr"/>
      <c r="BN119" t="inlineStr"/>
      <c r="BO119" t="inlineStr"/>
      <c r="BP119" t="inlineStr"/>
      <c r="BQ119" t="inlineStr">
        <is>
          <t>1185</t>
        </is>
      </c>
      <c r="BR119" t="inlineStr">
        <is>
          <t>Internship Spotlight (1185)</t>
        </is>
      </c>
      <c r="BS119" t="inlineStr"/>
      <c r="BT119" t="inlineStr"/>
      <c r="BU119" t="inlineStr"/>
      <c r="BV119" t="inlineStr"/>
      <c r="BW119" t="inlineStr"/>
      <c r="BX119" t="inlineStr"/>
      <c r="BY119" t="inlineStr"/>
      <c r="BZ119" t="inlineStr"/>
      <c r="CA119" t="inlineStr"/>
      <c r="CB119" t="inlineStr"/>
      <c r="CC119" t="inlineStr"/>
      <c r="CD119" t="inlineStr"/>
      <c r="CE119" t="inlineStr"/>
      <c r="CF119" t="inlineStr"/>
      <c r="CG119" t="inlineStr"/>
      <c r="CH119" t="inlineStr"/>
      <c r="CI119" t="inlineStr"/>
      <c r="CJ119" t="inlineStr"/>
      <c r="CK119" t="inlineStr"/>
      <c r="CL119" t="inlineStr"/>
      <c r="CM119" t="inlineStr"/>
      <c r="CN119" t="inlineStr"/>
      <c r="CO119" t="inlineStr"/>
      <c r="CP119" t="inlineStr"/>
      <c r="CQ119" t="inlineStr"/>
      <c r="CR119" t="inlineStr"/>
      <c r="CS119" t="inlineStr"/>
      <c r="CT119" t="inlineStr"/>
      <c r="CU119" t="inlineStr"/>
      <c r="CV119" t="inlineStr"/>
      <c r="CW119" t="inlineStr"/>
      <c r="CX119" t="inlineStr"/>
      <c r="CY119" t="inlineStr"/>
      <c r="CZ119" t="inlineStr"/>
      <c r="DA119" t="inlineStr"/>
      <c r="DB119" t="inlineStr"/>
      <c r="DC119" t="inlineStr"/>
      <c r="DD119" t="inlineStr"/>
      <c r="DE119" t="inlineStr"/>
      <c r="DF119" t="inlineStr"/>
      <c r="DG119" t="inlineStr"/>
      <c r="DH119" t="inlineStr"/>
      <c r="DI119" t="inlineStr"/>
      <c r="DJ119" t="inlineStr"/>
      <c r="DK119" t="inlineStr"/>
      <c r="DL119" t="inlineStr"/>
      <c r="DM119" t="inlineStr"/>
      <c r="DN119" t="inlineStr"/>
      <c r="DO119" t="inlineStr"/>
      <c r="DP119" t="inlineStr"/>
      <c r="DQ119" t="inlineStr"/>
      <c r="DR119" t="inlineStr"/>
      <c r="DS119" t="inlineStr"/>
      <c r="DT119" t="inlineStr"/>
      <c r="DU119" t="inlineStr"/>
      <c r="DV119" t="inlineStr"/>
      <c r="DW119" t="inlineStr"/>
      <c r="DX119" t="inlineStr"/>
      <c r="DY119" t="inlineStr"/>
      <c r="DZ119" t="inlineStr"/>
      <c r="EA119" t="inlineStr"/>
      <c r="EB119" t="inlineStr"/>
      <c r="EC119" t="inlineStr"/>
      <c r="ED119" t="inlineStr"/>
      <c r="EE119" t="inlineStr"/>
      <c r="EF119" t="inlineStr"/>
      <c r="EG119" t="inlineStr"/>
      <c r="EH119" t="inlineStr"/>
      <c r="EI119" t="inlineStr"/>
      <c r="EJ119" t="inlineStr"/>
      <c r="EK119" t="inlineStr"/>
      <c r="EL119" t="inlineStr"/>
      <c r="EM119" t="inlineStr"/>
      <c r="EN119" t="inlineStr"/>
      <c r="EO119" t="inlineStr"/>
      <c r="EP119" t="inlineStr"/>
      <c r="EQ119" t="inlineStr"/>
      <c r="ER119" t="inlineStr"/>
      <c r="ES119" t="inlineStr"/>
      <c r="ET119" t="inlineStr"/>
      <c r="EU119" t="inlineStr"/>
      <c r="EV119" t="inlineStr"/>
      <c r="EW119" t="inlineStr"/>
      <c r="EX119" t="inlineStr"/>
      <c r="EY119" t="inlineStr"/>
      <c r="EZ119" t="inlineStr"/>
      <c r="FA119" t="inlineStr"/>
      <c r="FB119" t="inlineStr"/>
      <c r="FC119" t="inlineStr"/>
      <c r="FD119" t="inlineStr"/>
      <c r="FE119" t="inlineStr"/>
      <c r="FF119" t="inlineStr"/>
      <c r="FG119" t="inlineStr"/>
      <c r="FH119" t="inlineStr"/>
      <c r="FI119" t="inlineStr"/>
      <c r="FJ119" t="inlineStr"/>
      <c r="FK119" t="inlineStr"/>
      <c r="FL119" t="inlineStr"/>
      <c r="FM119" t="inlineStr"/>
      <c r="FN119" t="inlineStr"/>
      <c r="FO119" t="inlineStr"/>
      <c r="FP119" t="inlineStr"/>
      <c r="FQ119" t="inlineStr"/>
      <c r="FR119" t="inlineStr"/>
      <c r="FS119" t="inlineStr"/>
      <c r="FT119" t="inlineStr"/>
      <c r="FU119" t="inlineStr"/>
      <c r="FV119" t="inlineStr"/>
      <c r="FW119" t="inlineStr"/>
      <c r="FX119" t="inlineStr"/>
      <c r="FY119" t="inlineStr"/>
      <c r="FZ119" t="inlineStr"/>
      <c r="GA119" t="inlineStr"/>
      <c r="GB119" t="inlineStr"/>
      <c r="GC119" t="inlineStr"/>
      <c r="GD119" t="inlineStr"/>
      <c r="GE119" t="inlineStr"/>
      <c r="GF119" t="inlineStr"/>
      <c r="GG119" t="inlineStr"/>
      <c r="GH119" t="inlineStr"/>
      <c r="GI119" t="inlineStr"/>
      <c r="GJ119" t="inlineStr"/>
      <c r="GK119" t="inlineStr"/>
      <c r="GL119" t="inlineStr"/>
      <c r="GM119" t="inlineStr"/>
      <c r="GN119" t="inlineStr"/>
      <c r="GO119" t="inlineStr"/>
      <c r="GP119" t="inlineStr"/>
      <c r="GQ119" t="inlineStr"/>
      <c r="GR119" t="inlineStr"/>
      <c r="GS119" t="inlineStr"/>
      <c r="GT119" t="inlineStr"/>
      <c r="GU119" t="inlineStr"/>
      <c r="GV119" t="inlineStr"/>
      <c r="GW119" t="inlineStr"/>
      <c r="GX119" t="inlineStr"/>
      <c r="GY119" t="inlineStr"/>
      <c r="GZ119" t="inlineStr"/>
      <c r="HA119" t="inlineStr"/>
      <c r="HB119" t="inlineStr"/>
      <c r="HC119" t="inlineStr"/>
      <c r="HD119" t="inlineStr"/>
      <c r="HE119" t="inlineStr"/>
      <c r="HF119" t="inlineStr"/>
      <c r="HG119" t="inlineStr"/>
      <c r="HH119" t="inlineStr"/>
      <c r="HI119" t="inlineStr"/>
      <c r="HJ119" t="inlineStr"/>
      <c r="HK119" t="inlineStr"/>
      <c r="HL119" t="inlineStr"/>
      <c r="HM119" t="inlineStr"/>
      <c r="HN119" t="inlineStr"/>
      <c r="HO119" t="inlineStr"/>
      <c r="HP119" t="inlineStr"/>
      <c r="HQ119" t="inlineStr"/>
      <c r="HR119" t="inlineStr"/>
      <c r="HS119" t="inlineStr"/>
      <c r="HT119" t="inlineStr"/>
      <c r="HU119" t="inlineStr"/>
      <c r="HV119" t="inlineStr"/>
      <c r="HW119" t="inlineStr"/>
      <c r="HX119" t="inlineStr"/>
      <c r="HY119" t="inlineStr"/>
      <c r="HZ119" t="inlineStr"/>
      <c r="IA119" t="inlineStr"/>
      <c r="IB119" t="inlineStr"/>
      <c r="IC119" t="inlineStr"/>
      <c r="ID119" t="inlineStr"/>
      <c r="IE119" t="inlineStr"/>
      <c r="IF119" t="inlineStr"/>
      <c r="IG119" t="inlineStr"/>
      <c r="IH119" t="inlineStr"/>
      <c r="II119" t="inlineStr"/>
      <c r="IJ119" t="inlineStr"/>
      <c r="IK119" t="inlineStr"/>
      <c r="IL119" t="inlineStr"/>
      <c r="IM119" t="inlineStr"/>
      <c r="IN119" t="inlineStr"/>
      <c r="IO119" t="inlineStr"/>
      <c r="IP119" t="inlineStr"/>
      <c r="IQ119" t="inlineStr"/>
      <c r="IR119" t="inlineStr"/>
      <c r="IS119">
        <f>IF(input_content_type="",FALSE,ISNUMBER(SEARCH(","&amp;LOWER(input_content_type)&amp;",",","&amp;LOWER(F119)&amp;",")))</f>
        <v/>
      </c>
      <c r="IT119">
        <f>AND(IF(M119="",TRUE,IF(input_affiliations="",FALSE,SUMPRODUCT(--ISNUMBER(SEARCH(","&amp;TRIM(TEXTSPLIT(M119,","))&amp;",",","&amp;SUBSTITUTE(input_affiliations," ","")&amp;",")))&gt;0)),IF(O119="",TRUE,IF(input_affiliations="",FALSE,SUMPRODUCT(--ISNUMBER(SEARCH(","&amp;TRIM(TEXTSPLIT(O119,","))&amp;",",","&amp;SUBSTITUTE(input_affiliations," ","")&amp;",")))=COUNTA(TEXTSPLIT(O119,",")))),IF(Q119="",TRUE,IF(input_affiliations="",TRUE,SUMPRODUCT(--ISNUMBER(SEARCH(","&amp;TRIM(TEXTSPLIT(Q119,","))&amp;",",","&amp;SUBSTITUTE(input_affiliations," ","")&amp;",")))=0)),IF(S119="",TRUE,IF(input_affiliations="",FALSE,SUMPRODUCT(--ISNUMBER(SEARCH(","&amp;TRIM(TEXTSPLIT(S119,","))&amp;",",","&amp;SUBSTITUTE(input_affiliations," ","")&amp;",")))&gt;0)),IF(U119="",TRUE,IF(input_affiliations="",FALSE,SUMPRODUCT(--ISNUMBER(SEARCH(","&amp;TRIM(TEXTSPLIT(U119,","))&amp;",",","&amp;SUBSTITUTE(input_affiliations," ","")&amp;",")))=COUNTA(TEXTSPLIT(U119,",")))))</f>
        <v/>
      </c>
      <c r="IU119">
        <f>AND(IF(W119="",TRUE,IF(input_announcement_category="",FALSE,SUMPRODUCT(--ISNUMBER(SEARCH(","&amp;TRIM(TEXTSPLIT(W119,","))&amp;",",","&amp;SUBSTITUTE(input_announcement_category," ","")&amp;",")))&gt;0)),IF(Y119="",TRUE,IF(input_announcement_category="",FALSE,SUMPRODUCT(--ISNUMBER(SEARCH(","&amp;TRIM(TEXTSPLIT(Y119,","))&amp;",",","&amp;SUBSTITUTE(input_announcement_category," ","")&amp;",")))=COUNTA(TEXTSPLIT(Y119,",")))),IF(AA119="",TRUE,IF(input_announcement_category="",TRUE,SUMPRODUCT(--ISNUMBER(SEARCH(","&amp;TRIM(TEXTSPLIT(AA119,","))&amp;",",","&amp;SUBSTITUTE(input_announcement_category," ","")&amp;",")))=0)),IF(AC119="",TRUE,IF(input_announcement_category="",FALSE,SUMPRODUCT(--ISNUMBER(SEARCH(","&amp;TRIM(TEXTSPLIT(AC119,","))&amp;",",","&amp;SUBSTITUTE(input_announcement_category," ","")&amp;",")))&gt;0)),IF(AE119="",TRUE,IF(input_announcement_category="",FALSE,SUMPRODUCT(--ISNUMBER(SEARCH(","&amp;TRIM(TEXTSPLIT(AE119,","))&amp;",",","&amp;SUBSTITUTE(input_announcement_category," ","")&amp;",")))=COUNTA(TEXTSPLIT(AE119,",")))))</f>
        <v/>
      </c>
      <c r="IV119">
        <f>AND(IF(AG119="",TRUE,IF(input_area_of_focus="",FALSE,SUMPRODUCT(--ISNUMBER(SEARCH(","&amp;TRIM(TEXTSPLIT(AG119,","))&amp;",",","&amp;SUBSTITUTE(input_area_of_focus," ","")&amp;",")))&gt;0)),IF(AI119="",TRUE,IF(input_area_of_focus="",FALSE,SUMPRODUCT(--ISNUMBER(SEARCH(","&amp;TRIM(TEXTSPLIT(AI119,","))&amp;",",","&amp;SUBSTITUTE(input_area_of_focus," ","")&amp;",")))=COUNTA(TEXTSPLIT(AI119,",")))),IF(AK119="",TRUE,IF(input_area_of_focus="",TRUE,SUMPRODUCT(--ISNUMBER(SEARCH(","&amp;TRIM(TEXTSPLIT(AK119,","))&amp;",",","&amp;SUBSTITUTE(input_area_of_focus," ","")&amp;",")))=0)),IF(AM119="",TRUE,IF(input_area_of_focus="",FALSE,SUMPRODUCT(--ISNUMBER(SEARCH(","&amp;TRIM(TEXTSPLIT(AM119,","))&amp;",",","&amp;SUBSTITUTE(input_area_of_focus," ","")&amp;",")))&gt;0)),IF(AO119="",TRUE,IF(input_area_of_focus="",FALSE,SUMPRODUCT(--ISNUMBER(SEARCH(","&amp;TRIM(TEXTSPLIT(AO119,","))&amp;",",","&amp;SUBSTITUTE(input_area_of_focus," ","")&amp;",")))=COUNTA(TEXTSPLIT(AO119,",")))))</f>
        <v/>
      </c>
      <c r="IW119">
        <f>AND(IF(AQ119="",TRUE,IF(input_audience="",FALSE,SUMPRODUCT(--ISNUMBER(SEARCH(","&amp;TRIM(TEXTSPLIT(AQ119,","))&amp;",",","&amp;SUBSTITUTE(input_audience," ","")&amp;",")))&gt;0)),IF(AS119="",TRUE,IF(input_audience="",FALSE,SUMPRODUCT(--ISNUMBER(SEARCH(","&amp;TRIM(TEXTSPLIT(AS119,","))&amp;",",","&amp;SUBSTITUTE(input_audience," ","")&amp;",")))=COUNTA(TEXTSPLIT(AS119,",")))),IF(AU119="",TRUE,IF(input_audience="",TRUE,SUMPRODUCT(--ISNUMBER(SEARCH(","&amp;TRIM(TEXTSPLIT(AU119,","))&amp;",",","&amp;SUBSTITUTE(input_audience," ","")&amp;",")))=0)),IF(AW119="",TRUE,IF(input_audience="",FALSE,SUMPRODUCT(--ISNUMBER(SEARCH(","&amp;TRIM(TEXTSPLIT(AW119,","))&amp;",",","&amp;SUBSTITUTE(input_audience," ","")&amp;",")))&gt;0)),IF(AY119="",TRUE,IF(input_audience="",FALSE,SUMPRODUCT(--ISNUMBER(SEARCH(","&amp;TRIM(TEXTSPLIT(AY119,","))&amp;",",","&amp;SUBSTITUTE(input_audience," ","")&amp;",")))=COUNTA(TEXTSPLIT(AY119,",")))))</f>
        <v/>
      </c>
      <c r="IX119">
        <f>AND(IF(BA119="",TRUE,IF(input_challenge_opportunities="",FALSE,SUMPRODUCT(--ISNUMBER(SEARCH(","&amp;TRIM(TEXTSPLIT(BA119,","))&amp;",",","&amp;SUBSTITUTE(input_challenge_opportunities," ","")&amp;",")))&gt;0)),IF(BC119="",TRUE,IF(input_challenge_opportunities="",FALSE,SUMPRODUCT(--ISNUMBER(SEARCH(","&amp;TRIM(TEXTSPLIT(BC119,","))&amp;",",","&amp;SUBSTITUTE(input_challenge_opportunities," ","")&amp;",")))=COUNTA(TEXTSPLIT(BC119,",")))),IF(BE119="",TRUE,IF(input_challenge_opportunities="",TRUE,SUMPRODUCT(--ISNUMBER(SEARCH(","&amp;TRIM(TEXTSPLIT(BE119,","))&amp;",",","&amp;SUBSTITUTE(input_challenge_opportunities," ","")&amp;",")))=0)),IF(BG119="",TRUE,IF(input_challenge_opportunities="",FALSE,SUMPRODUCT(--ISNUMBER(SEARCH(","&amp;TRIM(TEXTSPLIT(BG119,","))&amp;",",","&amp;SUBSTITUTE(input_challenge_opportunities," ","")&amp;",")))&gt;0)),IF(BI119="",TRUE,IF(input_challenge_opportunities="",FALSE,SUMPRODUCT(--ISNUMBER(SEARCH(","&amp;TRIM(TEXTSPLIT(BI119,","))&amp;",",","&amp;SUBSTITUTE(input_challenge_opportunities," ","")&amp;",")))=COUNTA(TEXTSPLIT(BI119,",")))))</f>
        <v/>
      </c>
      <c r="IY119">
        <f>AND(IF(BK119="",TRUE,IF(input_context="",FALSE,SUMPRODUCT(--ISNUMBER(SEARCH(","&amp;TRIM(TEXTSPLIT(BK119,","))&amp;",",","&amp;SUBSTITUTE(input_context," ","")&amp;",")))&gt;0)),IF(BM119="",TRUE,IF(input_context="",FALSE,SUMPRODUCT(--ISNUMBER(SEARCH(","&amp;TRIM(TEXTSPLIT(BM119,","))&amp;",",","&amp;SUBSTITUTE(input_context," ","")&amp;",")))=COUNTA(TEXTSPLIT(BM119,",")))),IF(BO119="",TRUE,IF(input_context="",TRUE,SUMPRODUCT(--ISNUMBER(SEARCH(","&amp;TRIM(TEXTSPLIT(BO119,","))&amp;",",","&amp;SUBSTITUTE(input_context," ","")&amp;",")))=0)),IF(BQ119="",TRUE,IF(input_context="",FALSE,SUMPRODUCT(--ISNUMBER(SEARCH(","&amp;TRIM(TEXTSPLIT(BQ119,","))&amp;",",","&amp;SUBSTITUTE(input_context," ","")&amp;",")))&gt;0)),IF(BS119="",TRUE,IF(input_context="",FALSE,SUMPRODUCT(--ISNUMBER(SEARCH(","&amp;TRIM(TEXTSPLIT(BS119,","))&amp;",",","&amp;SUBSTITUTE(input_context," ","")&amp;",")))=COUNTA(TEXTSPLIT(BS119,",")))))</f>
        <v/>
      </c>
      <c r="IZ119">
        <f>AND(IF(BU119="",TRUE,IF(input_enews_announcement_type="",FALSE,SUMPRODUCT(--ISNUMBER(SEARCH(","&amp;TRIM(TEXTSPLIT(BU119,","))&amp;",",","&amp;SUBSTITUTE(input_enews_announcement_type," ","")&amp;",")))&gt;0)),IF(BW119="",TRUE,IF(input_enews_announcement_type="",FALSE,SUMPRODUCT(--ISNUMBER(SEARCH(","&amp;TRIM(TEXTSPLIT(BW119,","))&amp;",",","&amp;SUBSTITUTE(input_enews_announcement_type," ","")&amp;",")))=COUNTA(TEXTSPLIT(BW119,",")))),IF(BY119="",TRUE,IF(input_enews_announcement_type="",TRUE,SUMPRODUCT(--ISNUMBER(SEARCH(","&amp;TRIM(TEXTSPLIT(BY119,","))&amp;",",","&amp;SUBSTITUTE(input_enews_announcement_type," ","")&amp;",")))=0)),IF(CA119="",TRUE,IF(input_enews_announcement_type="",FALSE,SUMPRODUCT(--ISNUMBER(SEARCH(","&amp;TRIM(TEXTSPLIT(CA119,","))&amp;",",","&amp;SUBSTITUTE(input_enews_announcement_type," ","")&amp;",")))&gt;0)),IF(CC119="",TRUE,IF(input_enews_announcement_type="",FALSE,SUMPRODUCT(--ISNUMBER(SEARCH(","&amp;TRIM(TEXTSPLIT(CC119,","))&amp;",",","&amp;SUBSTITUTE(input_enews_announcement_type," ","")&amp;",")))=COUNTA(TEXTSPLIT(CC119,",")))))</f>
        <v/>
      </c>
      <c r="JA119">
        <f>AND(IF(CE119="",TRUE,IF(input_enews_audience="",FALSE,SUMPRODUCT(--ISNUMBER(SEARCH(","&amp;TRIM(TEXTSPLIT(CE119,","))&amp;",",","&amp;SUBSTITUTE(input_enews_audience," ","")&amp;",")))&gt;0)),IF(CG119="",TRUE,IF(input_enews_audience="",FALSE,SUMPRODUCT(--ISNUMBER(SEARCH(","&amp;TRIM(TEXTSPLIT(CG119,","))&amp;",",","&amp;SUBSTITUTE(input_enews_audience," ","")&amp;",")))=COUNTA(TEXTSPLIT(CG119,",")))),IF(CI119="",TRUE,IF(input_enews_audience="",TRUE,SUMPRODUCT(--ISNUMBER(SEARCH(","&amp;TRIM(TEXTSPLIT(CI119,","))&amp;",",","&amp;SUBSTITUTE(input_enews_audience," ","")&amp;",")))=0)),IF(CK119="",TRUE,IF(input_enews_audience="",FALSE,SUMPRODUCT(--ISNUMBER(SEARCH(","&amp;TRIM(TEXTSPLIT(CK119,","))&amp;",",","&amp;SUBSTITUTE(input_enews_audience," ","")&amp;",")))&gt;0)),IF(CM119="",TRUE,IF(input_enews_audience="",FALSE,SUMPRODUCT(--ISNUMBER(SEARCH(","&amp;TRIM(TEXTSPLIT(CM119,","))&amp;",",","&amp;SUBSTITUTE(input_enews_audience," ","")&amp;",")))=COUNTA(TEXTSPLIT(CM119,",")))))</f>
        <v/>
      </c>
      <c r="JB119">
        <f>AND(IF(CO119="",TRUE,IF(input_event_location="",FALSE,SUMPRODUCT(--ISNUMBER(SEARCH(","&amp;TRIM(TEXTSPLIT(CO119,","))&amp;",",","&amp;SUBSTITUTE(input_event_location," ","")&amp;",")))&gt;0)),IF(CQ119="",TRUE,IF(input_event_location="",FALSE,SUMPRODUCT(--ISNUMBER(SEARCH(","&amp;TRIM(TEXTSPLIT(CQ119,","))&amp;",",","&amp;SUBSTITUTE(input_event_location," ","")&amp;",")))=COUNTA(TEXTSPLIT(CQ119,",")))),IF(CS119="",TRUE,IF(input_event_location="",TRUE,SUMPRODUCT(--ISNUMBER(SEARCH(","&amp;TRIM(TEXTSPLIT(CS119,","))&amp;",",","&amp;SUBSTITUTE(input_event_location," ","")&amp;",")))=0)),IF(CU119="",TRUE,IF(input_event_location="",FALSE,SUMPRODUCT(--ISNUMBER(SEARCH(","&amp;TRIM(TEXTSPLIT(CU119,","))&amp;",",","&amp;SUBSTITUTE(input_event_location," ","")&amp;",")))&gt;0)),IF(CW119="",TRUE,IF(input_event_location="",FALSE,SUMPRODUCT(--ISNUMBER(SEARCH(","&amp;TRIM(TEXTSPLIT(CW119,","))&amp;",",","&amp;SUBSTITUTE(input_event_location," ","")&amp;",")))=COUNTA(TEXTSPLIT(CW119,",")))))</f>
        <v/>
      </c>
      <c r="JC119">
        <f>AND(IF(CY119="",TRUE,IF(input_event_type="",FALSE,SUMPRODUCT(--ISNUMBER(SEARCH(","&amp;TRIM(TEXTSPLIT(CY119,","))&amp;",",","&amp;SUBSTITUTE(input_event_type," ","")&amp;",")))&gt;0)),IF(DA119="",TRUE,IF(input_event_type="",FALSE,SUMPRODUCT(--ISNUMBER(SEARCH(","&amp;TRIM(TEXTSPLIT(DA119,","))&amp;",",","&amp;SUBSTITUTE(input_event_type," ","")&amp;",")))=COUNTA(TEXTSPLIT(DA119,",")))),IF(DC119="",TRUE,IF(input_event_type="",TRUE,SUMPRODUCT(--ISNUMBER(SEARCH(","&amp;TRIM(TEXTSPLIT(DC119,","))&amp;",",","&amp;SUBSTITUTE(input_event_type," ","")&amp;",")))=0)),IF(DE119="",TRUE,IF(input_event_type="",FALSE,SUMPRODUCT(--ISNUMBER(SEARCH(","&amp;TRIM(TEXTSPLIT(DE119,","))&amp;",",","&amp;SUBSTITUTE(input_event_type," ","")&amp;",")))&gt;0)),IF(DG119="",TRUE,IF(input_event_type="",FALSE,SUMPRODUCT(--ISNUMBER(SEARCH(","&amp;TRIM(TEXTSPLIT(DG119,","))&amp;",",","&amp;SUBSTITUTE(input_event_type," ","")&amp;",")))=COUNTA(TEXTSPLIT(DG119,",")))))</f>
        <v/>
      </c>
      <c r="JD119">
        <f>AND(IF(DI119="",TRUE,IF(input_executive_education_focus="",FALSE,SUMPRODUCT(--ISNUMBER(SEARCH(","&amp;TRIM(TEXTSPLIT(DI119,","))&amp;",",","&amp;SUBSTITUTE(input_executive_education_focus," ","")&amp;",")))&gt;0)),IF(DK119="",TRUE,IF(input_executive_education_focus="",FALSE,SUMPRODUCT(--ISNUMBER(SEARCH(","&amp;TRIM(TEXTSPLIT(DK119,","))&amp;",",","&amp;SUBSTITUTE(input_executive_education_focus," ","")&amp;",")))=COUNTA(TEXTSPLIT(DK119,",")))),IF(DM119="",TRUE,IF(input_executive_education_focus="",TRUE,SUMPRODUCT(--ISNUMBER(SEARCH(","&amp;TRIM(TEXTSPLIT(DM119,","))&amp;",",","&amp;SUBSTITUTE(input_executive_education_focus," ","")&amp;",")))=0)),IF(DO119="",TRUE,IF(input_executive_education_focus="",FALSE,SUMPRODUCT(--ISNUMBER(SEARCH(","&amp;TRIM(TEXTSPLIT(DO119,","))&amp;",",","&amp;SUBSTITUTE(input_executive_education_focus," ","")&amp;",")))&gt;0)),IF(DQ119="",TRUE,IF(input_executive_education_focus="",FALSE,SUMPRODUCT(--ISNUMBER(SEARCH(","&amp;TRIM(TEXTSPLIT(DQ119,","))&amp;",",","&amp;SUBSTITUTE(input_executive_education_focus," ","")&amp;",")))=COUNTA(TEXTSPLIT(DQ119,",")))))</f>
        <v/>
      </c>
      <c r="JE119">
        <f>AND(IF(DS119="",TRUE,IF(input_faculty_category="",FALSE,SUMPRODUCT(--ISNUMBER(SEARCH(","&amp;TRIM(TEXTSPLIT(DS119,","))&amp;",",","&amp;SUBSTITUTE(input_faculty_category," ","")&amp;",")))&gt;0)),IF(DU119="",TRUE,IF(input_faculty_category="",FALSE,SUMPRODUCT(--ISNUMBER(SEARCH(","&amp;TRIM(TEXTSPLIT(DU119,","))&amp;",",","&amp;SUBSTITUTE(input_faculty_category," ","")&amp;",")))=COUNTA(TEXTSPLIT(DU119,",")))),IF(DW119="",TRUE,IF(input_faculty_category="",TRUE,SUMPRODUCT(--ISNUMBER(SEARCH(","&amp;TRIM(TEXTSPLIT(DW119,","))&amp;",",","&amp;SUBSTITUTE(input_faculty_category," ","")&amp;",")))=0)),IF(DY119="",TRUE,IF(input_faculty_category="",FALSE,SUMPRODUCT(--ISNUMBER(SEARCH(","&amp;TRIM(TEXTSPLIT(DY119,","))&amp;",",","&amp;SUBSTITUTE(input_faculty_category," ","")&amp;",")))&gt;0)),IF(EA119="",TRUE,IF(input_faculty_category="",FALSE,SUMPRODUCT(--ISNUMBER(SEARCH(","&amp;TRIM(TEXTSPLIT(EA119,","))&amp;",",","&amp;SUBSTITUTE(input_faculty_category," ","")&amp;",")))=COUNTA(TEXTSPLIT(EA119,",")))))</f>
        <v/>
      </c>
      <c r="JF119">
        <f>AND(IF(EC119="",TRUE,IF(input_faculty_discipline="",FALSE,SUMPRODUCT(--ISNUMBER(SEARCH(","&amp;TRIM(TEXTSPLIT(EC119,","))&amp;",",","&amp;SUBSTITUTE(input_faculty_discipline," ","")&amp;",")))&gt;0)),IF(EE119="",TRUE,IF(input_faculty_discipline="",FALSE,SUMPRODUCT(--ISNUMBER(SEARCH(","&amp;TRIM(TEXTSPLIT(EE119,","))&amp;",",","&amp;SUBSTITUTE(input_faculty_discipline," ","")&amp;",")))=COUNTA(TEXTSPLIT(EE119,",")))),IF(EG119="",TRUE,IF(input_faculty_discipline="",TRUE,SUMPRODUCT(--ISNUMBER(SEARCH(","&amp;TRIM(TEXTSPLIT(EG119,","))&amp;",",","&amp;SUBSTITUTE(input_faculty_discipline," ","")&amp;",")))=0)),IF(EI119="",TRUE,IF(input_faculty_discipline="",FALSE,SUMPRODUCT(--ISNUMBER(SEARCH(","&amp;TRIM(TEXTSPLIT(EI119,","))&amp;",",","&amp;SUBSTITUTE(input_faculty_discipline," ","")&amp;",")))&gt;0)),IF(EK119="",TRUE,IF(input_faculty_discipline="",FALSE,SUMPRODUCT(--ISNUMBER(SEARCH(","&amp;TRIM(TEXTSPLIT(EK119,","))&amp;",",","&amp;SUBSTITUTE(input_faculty_discipline," ","")&amp;",")))=COUNTA(TEXTSPLIT(EK119,",")))))</f>
        <v/>
      </c>
      <c r="JG119">
        <f>AND(IF(EM119="",TRUE,IF(input_faculty_expertise="",FALSE,SUMPRODUCT(--ISNUMBER(SEARCH(","&amp;TRIM(TEXTSPLIT(EM119,","))&amp;",",","&amp;SUBSTITUTE(input_faculty_expertise," ","")&amp;",")))&gt;0)),IF(EO119="",TRUE,IF(input_faculty_expertise="",FALSE,SUMPRODUCT(--ISNUMBER(SEARCH(","&amp;TRIM(TEXTSPLIT(EO119,","))&amp;",",","&amp;SUBSTITUTE(input_faculty_expertise," ","")&amp;",")))=COUNTA(TEXTSPLIT(EO119,",")))),IF(EQ119="",TRUE,IF(input_faculty_expertise="",TRUE,SUMPRODUCT(--ISNUMBER(SEARCH(","&amp;TRIM(TEXTSPLIT(EQ119,","))&amp;",",","&amp;SUBSTITUTE(input_faculty_expertise," ","")&amp;",")))=0)),IF(ES119="",TRUE,IF(input_faculty_expertise="",FALSE,SUMPRODUCT(--ISNUMBER(SEARCH(","&amp;TRIM(TEXTSPLIT(ES119,","))&amp;",",","&amp;SUBSTITUTE(input_faculty_expertise," ","")&amp;",")))&gt;0)),IF(EU119="",TRUE,IF(input_faculty_expertise="",FALSE,SUMPRODUCT(--ISNUMBER(SEARCH(","&amp;TRIM(TEXTSPLIT(EU119,","))&amp;",",","&amp;SUBSTITUTE(input_faculty_expertise," ","")&amp;",")))=COUNTA(TEXTSPLIT(EU119,",")))))</f>
        <v/>
      </c>
      <c r="JH119">
        <f>AND(IF(EW119="",TRUE,IF(input_global_network_school="",FALSE,SUMPRODUCT(--ISNUMBER(SEARCH(","&amp;TRIM(TEXTSPLIT(EW119,","))&amp;",",","&amp;SUBSTITUTE(input_global_network_school," ","")&amp;",")))&gt;0)),IF(EY119="",TRUE,IF(input_global_network_school="",FALSE,SUMPRODUCT(--ISNUMBER(SEARCH(","&amp;TRIM(TEXTSPLIT(EY119,","))&amp;",",","&amp;SUBSTITUTE(input_global_network_school," ","")&amp;",")))=COUNTA(TEXTSPLIT(EY119,",")))),IF(FA119="",TRUE,IF(input_global_network_school="",TRUE,SUMPRODUCT(--ISNUMBER(SEARCH(","&amp;TRIM(TEXTSPLIT(FA119,","))&amp;",",","&amp;SUBSTITUTE(input_global_network_school," ","")&amp;",")))=0)),IF(FC119="",TRUE,IF(input_global_network_school="",FALSE,SUMPRODUCT(--ISNUMBER(SEARCH(","&amp;TRIM(TEXTSPLIT(FC119,","))&amp;",",","&amp;SUBSTITUTE(input_global_network_school," ","")&amp;",")))&gt;0)),IF(FE119="",TRUE,IF(input_global_network_school="",FALSE,SUMPRODUCT(--ISNUMBER(SEARCH(","&amp;TRIM(TEXTSPLIT(FE119,","))&amp;",",","&amp;SUBSTITUTE(input_global_network_school," ","")&amp;",")))=COUNTA(TEXTSPLIT(FE119,",")))))</f>
        <v/>
      </c>
      <c r="JI119">
        <f>AND(IF(FG119="",TRUE,IF(input_industry="",FALSE,SUMPRODUCT(--ISNUMBER(SEARCH(","&amp;TRIM(TEXTSPLIT(FG119,","))&amp;",",","&amp;SUBSTITUTE(input_industry," ","")&amp;",")))&gt;0)),IF(FI119="",TRUE,IF(input_industry="",FALSE,SUMPRODUCT(--ISNUMBER(SEARCH(","&amp;TRIM(TEXTSPLIT(FI119,","))&amp;",",","&amp;SUBSTITUTE(input_industry," ","")&amp;",")))=COUNTA(TEXTSPLIT(FI119,",")))),IF(FK119="",TRUE,IF(input_industry="",TRUE,SUMPRODUCT(--ISNUMBER(SEARCH(","&amp;TRIM(TEXTSPLIT(FK119,","))&amp;",",","&amp;SUBSTITUTE(input_industry," ","")&amp;",")))=0)),IF(FM119="",TRUE,IF(input_industry="",FALSE,SUMPRODUCT(--ISNUMBER(SEARCH(","&amp;TRIM(TEXTSPLIT(FM119,","))&amp;",",","&amp;SUBSTITUTE(input_industry," ","")&amp;",")))&gt;0)),IF(FO119="",TRUE,IF(input_industry="",FALSE,SUMPRODUCT(--ISNUMBER(SEARCH(","&amp;TRIM(TEXTSPLIT(FO119,","))&amp;",",","&amp;SUBSTITUTE(input_industry," ","")&amp;",")))=COUNTA(TEXTSPLIT(FO119,",")))))</f>
        <v/>
      </c>
      <c r="JJ119">
        <f>AND(IF(FQ119="",TRUE,IF(input_location="",FALSE,SUMPRODUCT(--ISNUMBER(SEARCH(","&amp;TRIM(TEXTSPLIT(FQ119,","))&amp;",",","&amp;SUBSTITUTE(input_location," ","")&amp;",")))&gt;0)),IF(FS119="",TRUE,IF(input_location="",FALSE,SUMPRODUCT(--ISNUMBER(SEARCH(","&amp;TRIM(TEXTSPLIT(FS119,","))&amp;",",","&amp;SUBSTITUTE(input_location," ","")&amp;",")))=COUNTA(TEXTSPLIT(FS119,",")))),IF(FU119="",TRUE,IF(input_location="",TRUE,SUMPRODUCT(--ISNUMBER(SEARCH(","&amp;TRIM(TEXTSPLIT(FU119,","))&amp;",",","&amp;SUBSTITUTE(input_location," ","")&amp;",")))=0)),IF(FW119="",TRUE,IF(input_location="",FALSE,SUMPRODUCT(--ISNUMBER(SEARCH(","&amp;TRIM(TEXTSPLIT(FW119,","))&amp;",",","&amp;SUBSTITUTE(input_location," ","")&amp;",")))&gt;0)),IF(FY119="",TRUE,IF(input_location="",FALSE,SUMPRODUCT(--ISNUMBER(SEARCH(","&amp;TRIM(TEXTSPLIT(FY119,","))&amp;",",","&amp;SUBSTITUTE(input_location," ","")&amp;",")))=COUNTA(TEXTSPLIT(FY119,",")))))</f>
        <v/>
      </c>
      <c r="JK119">
        <f>AND(IF(GA119="",TRUE,IF(input_modality="",FALSE,SUMPRODUCT(--ISNUMBER(SEARCH(","&amp;TRIM(TEXTSPLIT(GA119,","))&amp;",",","&amp;SUBSTITUTE(input_modality," ","")&amp;",")))&gt;0)),IF(GC119="",TRUE,IF(input_modality="",FALSE,SUMPRODUCT(--ISNUMBER(SEARCH(","&amp;TRIM(TEXTSPLIT(GC119,","))&amp;",",","&amp;SUBSTITUTE(input_modality," ","")&amp;",")))=COUNTA(TEXTSPLIT(GC119,",")))),IF(GE119="",TRUE,IF(input_modality="",TRUE,SUMPRODUCT(--ISNUMBER(SEARCH(","&amp;TRIM(TEXTSPLIT(GE119,","))&amp;",",","&amp;SUBSTITUTE(input_modality," ","")&amp;",")))=0)),IF(GG119="",TRUE,IF(input_modality="",FALSE,SUMPRODUCT(--ISNUMBER(SEARCH(","&amp;TRIM(TEXTSPLIT(GG119,","))&amp;",",","&amp;SUBSTITUTE(input_modality," ","")&amp;",")))&gt;0)),IF(GI119="",TRUE,IF(input_modality="",FALSE,SUMPRODUCT(--ISNUMBER(SEARCH(","&amp;TRIM(TEXTSPLIT(GI119,","))&amp;",",","&amp;SUBSTITUTE(input_modality," ","")&amp;",")))=COUNTA(TEXTSPLIT(GI119,",")))))</f>
        <v/>
      </c>
      <c r="JL119">
        <f>AND(IF(GK119="",TRUE,IF(input_organizer="",FALSE,SUMPRODUCT(--ISNUMBER(SEARCH(","&amp;TRIM(TEXTSPLIT(GK119,","))&amp;",",","&amp;SUBSTITUTE(input_organizer," ","")&amp;",")))&gt;0)),IF(GM119="",TRUE,IF(input_organizer="",FALSE,SUMPRODUCT(--ISNUMBER(SEARCH(","&amp;TRIM(TEXTSPLIT(GM119,","))&amp;",",","&amp;SUBSTITUTE(input_organizer," ","")&amp;",")))=COUNTA(TEXTSPLIT(GM119,",")))),IF(GO119="",TRUE,IF(input_organizer="",TRUE,SUMPRODUCT(--ISNUMBER(SEARCH(","&amp;TRIM(TEXTSPLIT(GO119,","))&amp;",",","&amp;SUBSTITUTE(input_organizer," ","")&amp;",")))=0)),IF(GQ119="",TRUE,IF(input_organizer="",FALSE,SUMPRODUCT(--ISNUMBER(SEARCH(","&amp;TRIM(TEXTSPLIT(GQ119,","))&amp;",",","&amp;SUBSTITUTE(input_organizer," ","")&amp;",")))&gt;0)),IF(GS119="",TRUE,IF(input_organizer="",FALSE,SUMPRODUCT(--ISNUMBER(SEARCH(","&amp;TRIM(TEXTSPLIT(GS119,","))&amp;",",","&amp;SUBSTITUTE(input_organizer," ","")&amp;",")))=COUNTA(TEXTSPLIT(GS119,",")))))</f>
        <v/>
      </c>
      <c r="JM119">
        <f>AND(IF(GU119="",TRUE,IF(input_profile_type="",FALSE,SUMPRODUCT(--ISNUMBER(SEARCH(","&amp;TRIM(TEXTSPLIT(GU119,","))&amp;",",","&amp;SUBSTITUTE(input_profile_type," ","")&amp;",")))&gt;0)),IF(GW119="",TRUE,IF(input_profile_type="",FALSE,SUMPRODUCT(--ISNUMBER(SEARCH(","&amp;TRIM(TEXTSPLIT(GW119,","))&amp;",",","&amp;SUBSTITUTE(input_profile_type," ","")&amp;",")))=COUNTA(TEXTSPLIT(GW119,",")))),IF(GY119="",TRUE,IF(input_profile_type="",TRUE,SUMPRODUCT(--ISNUMBER(SEARCH(","&amp;TRIM(TEXTSPLIT(GY119,","))&amp;",",","&amp;SUBSTITUTE(input_profile_type," ","")&amp;",")))=0)),IF(HA119="",TRUE,IF(input_profile_type="",FALSE,SUMPRODUCT(--ISNUMBER(SEARCH(","&amp;TRIM(TEXTSPLIT(HA119,","))&amp;",",","&amp;SUBSTITUTE(input_profile_type," ","")&amp;",")))&gt;0)),IF(HC119="",TRUE,IF(input_profile_type="",FALSE,SUMPRODUCT(--ISNUMBER(SEARCH(","&amp;TRIM(TEXTSPLIT(HC119,","))&amp;",",","&amp;SUBSTITUTE(input_profile_type," ","")&amp;",")))=COUNTA(TEXTSPLIT(HC119,",")))))</f>
        <v/>
      </c>
      <c r="JN119">
        <f>AND(IF(HE119="",TRUE,IF(input_program="",FALSE,SUMPRODUCT(--ISNUMBER(SEARCH(","&amp;TRIM(TEXTSPLIT(HE119,","))&amp;",",","&amp;SUBSTITUTE(input_program," ","")&amp;",")))&gt;0)),IF(HG119="",TRUE,IF(input_program="",FALSE,SUMPRODUCT(--ISNUMBER(SEARCH(","&amp;TRIM(TEXTSPLIT(HG119,","))&amp;",",","&amp;SUBSTITUTE(input_program," ","")&amp;",")))=COUNTA(TEXTSPLIT(HG119,",")))),IF(HI119="",TRUE,IF(input_program="",TRUE,SUMPRODUCT(--ISNUMBER(SEARCH(","&amp;TRIM(TEXTSPLIT(HI119,","))&amp;",",","&amp;SUBSTITUTE(input_program," ","")&amp;",")))=0)),IF(HK119="",TRUE,IF(input_program="",FALSE,SUMPRODUCT(--ISNUMBER(SEARCH(","&amp;TRIM(TEXTSPLIT(HK119,","))&amp;",",","&amp;SUBSTITUTE(input_program," ","")&amp;",")))&gt;0)),IF(HM119="",TRUE,IF(input_program="",FALSE,SUMPRODUCT(--ISNUMBER(SEARCH(","&amp;TRIM(TEXTSPLIT(HM119,","))&amp;",",","&amp;SUBSTITUTE(input_program," ","")&amp;",")))=COUNTA(TEXTSPLIT(HM119,",")))))</f>
        <v/>
      </c>
      <c r="JO119">
        <f>AND(IF(HO119="",TRUE,IF(input_story_categories="",FALSE,SUMPRODUCT(--ISNUMBER(SEARCH(","&amp;TRIM(TEXTSPLIT(HO119,","))&amp;",",","&amp;SUBSTITUTE(input_story_categories," ","")&amp;",")))&gt;0)),IF(HQ119="",TRUE,IF(input_story_categories="",FALSE,SUMPRODUCT(--ISNUMBER(SEARCH(","&amp;TRIM(TEXTSPLIT(HQ119,","))&amp;",",","&amp;SUBSTITUTE(input_story_categories," ","")&amp;",")))=COUNTA(TEXTSPLIT(HQ119,",")))),IF(HS119="",TRUE,IF(input_story_categories="",TRUE,SUMPRODUCT(--ISNUMBER(SEARCH(","&amp;TRIM(TEXTSPLIT(HS119,","))&amp;",",","&amp;SUBSTITUTE(input_story_categories," ","")&amp;",")))=0)),IF(HU119="",TRUE,IF(input_story_categories="",FALSE,SUMPRODUCT(--ISNUMBER(SEARCH(","&amp;TRIM(TEXTSPLIT(HU119,","))&amp;",",","&amp;SUBSTITUTE(input_story_categories," ","")&amp;",")))&gt;0)),IF(HW119="",TRUE,IF(input_story_categories="",FALSE,SUMPRODUCT(--ISNUMBER(SEARCH(","&amp;TRIM(TEXTSPLIT(HW119,","))&amp;",",","&amp;SUBSTITUTE(input_story_categories," ","")&amp;",")))=COUNTA(TEXTSPLIT(HW119,",")))))</f>
        <v/>
      </c>
      <c r="JP119">
        <f>AND(IF(HY119="",TRUE,IF(input_story_type="",FALSE,SUMPRODUCT(--ISNUMBER(SEARCH(","&amp;TRIM(TEXTSPLIT(HY119,","))&amp;",",","&amp;SUBSTITUTE(input_story_type," ","")&amp;",")))&gt;0)),IF(IA119="",TRUE,IF(input_story_type="",FALSE,SUMPRODUCT(--ISNUMBER(SEARCH(","&amp;TRIM(TEXTSPLIT(IA119,","))&amp;",",","&amp;SUBSTITUTE(input_story_type," ","")&amp;",")))=COUNTA(TEXTSPLIT(IA119,",")))),IF(IC119="",TRUE,IF(input_story_type="",TRUE,SUMPRODUCT(--ISNUMBER(SEARCH(","&amp;TRIM(TEXTSPLIT(IC119,","))&amp;",",","&amp;SUBSTITUTE(input_story_type," ","")&amp;",")))=0)),IF(IE119="",TRUE,IF(input_story_type="",FALSE,SUMPRODUCT(--ISNUMBER(SEARCH(","&amp;TRIM(TEXTSPLIT(IE119,","))&amp;",",","&amp;SUBSTITUTE(input_story_type," ","")&amp;",")))&gt;0)),IF(IG119="",TRUE,IF(input_story_type="",FALSE,SUMPRODUCT(--ISNUMBER(SEARCH(","&amp;TRIM(TEXTSPLIT(IG119,","))&amp;",",","&amp;SUBSTITUTE(input_story_type," ","")&amp;",")))=COUNTA(TEXTSPLIT(IG119,",")))))</f>
        <v/>
      </c>
      <c r="JQ119">
        <f>AND(IF(II119="",TRUE,IF(input_topics="",FALSE,SUMPRODUCT(--ISNUMBER(SEARCH(","&amp;TRIM(TEXTSPLIT(II119,","))&amp;",",","&amp;SUBSTITUTE(input_topics," ","")&amp;",")))&gt;0)),IF(IK119="",TRUE,IF(input_topics="",FALSE,SUMPRODUCT(--ISNUMBER(SEARCH(","&amp;TRIM(TEXTSPLIT(IK119,","))&amp;",",","&amp;SUBSTITUTE(input_topics," ","")&amp;",")))=COUNTA(TEXTSPLIT(IK119,",")))),IF(IM119="",TRUE,IF(input_topics="",TRUE,SUMPRODUCT(--ISNUMBER(SEARCH(","&amp;TRIM(TEXTSPLIT(IM119,","))&amp;",",","&amp;SUBSTITUTE(input_topics," ","")&amp;",")))=0)),IF(IO119="",TRUE,IF(input_topics="",FALSE,SUMPRODUCT(--ISNUMBER(SEARCH(","&amp;TRIM(TEXTSPLIT(IO119,","))&amp;",",","&amp;SUBSTITUTE(input_topics," ","")&amp;",")))&gt;0)),IF(IQ119="",TRUE,IF(input_topics="",FALSE,SUMPRODUCT(--ISNUMBER(SEARCH(","&amp;TRIM(TEXTSPLIT(IQ119,","))&amp;",",","&amp;SUBSTITUTE(input_topics," ","")&amp;",")))=COUNTA(TEXTSPLIT(IQ119,",")))))</f>
        <v/>
      </c>
    </row>
    <row r="120">
      <c r="A120" s="4">
        <f>IF(NOT(IS120),"Excluded",IF(AND(IT120,IU120,IV120,IW120,IX120,IY120,IZ120,JA120,JB120,JC120,JD120,JE120,JF120,JG120,JH120,JI120,JJ120,JK120,JL120,JM120,JN120,JO120,JP120,JQ120),IF(I120&gt;0,"Eligible but limited","Will appear"),"Excluded"))</f>
        <v/>
      </c>
      <c r="B120" s="4" t="inlineStr">
        <is>
          <t>Latest</t>
        </is>
      </c>
      <c r="C120" s="4" t="inlineStr">
        <is>
          <t>/</t>
        </is>
      </c>
      <c r="D120" s="4" t="inlineStr">
        <is>
          <t>/</t>
        </is>
      </c>
      <c r="E120" s="4" t="n">
        <v>1</v>
      </c>
      <c r="F120" s="4" t="inlineStr">
        <is>
          <t>impact_story</t>
        </is>
      </c>
      <c r="G120" s="4" t="inlineStr">
        <is>
          <t>impact_stories</t>
        </is>
      </c>
      <c r="H120" s="4" t="inlineStr">
        <is>
          <t>embed_latest</t>
        </is>
      </c>
      <c r="I120" s="4" t="n">
        <v>12</v>
      </c>
      <c r="J120" s="4" t="inlineStr">
        <is>
          <t>View/config rules</t>
        </is>
      </c>
      <c r="K120" s="4" t="inlineStr">
        <is>
          <t>Page placement</t>
        </is>
      </c>
      <c r="L120" s="4" t="inlineStr">
        <is>
          <t>Content type: impact_story; Limited to 12 item(s); Source: View/config rules</t>
        </is>
      </c>
      <c r="M120" t="inlineStr"/>
      <c r="N120" t="inlineStr"/>
      <c r="O120" t="inlineStr"/>
      <c r="P120" t="inlineStr"/>
      <c r="Q120" t="inlineStr"/>
      <c r="R120" t="inlineStr"/>
      <c r="S120" t="inlineStr"/>
      <c r="T120" t="inlineStr"/>
      <c r="U120" t="inlineStr"/>
      <c r="V120" t="inlineStr"/>
      <c r="W120" t="inlineStr"/>
      <c r="X120" t="inlineStr"/>
      <c r="Y120" t="inlineStr"/>
      <c r="Z120" t="inlineStr"/>
      <c r="AA120" t="inlineStr"/>
      <c r="AB120" t="inlineStr"/>
      <c r="AC120" t="inlineStr"/>
      <c r="AD120" t="inlineStr"/>
      <c r="AE120" t="inlineStr"/>
      <c r="AF120" t="inlineStr"/>
      <c r="AG120" t="inlineStr"/>
      <c r="AH120" t="inlineStr"/>
      <c r="AI120" t="inlineStr"/>
      <c r="AJ120" t="inlineStr"/>
      <c r="AK120" t="inlineStr"/>
      <c r="AL120" t="inlineStr"/>
      <c r="AM120" t="inlineStr"/>
      <c r="AN120" t="inlineStr"/>
      <c r="AO120" t="inlineStr"/>
      <c r="AP120" t="inlineStr"/>
      <c r="AQ120" t="inlineStr"/>
      <c r="AR120" t="inlineStr"/>
      <c r="AS120" t="inlineStr"/>
      <c r="AT120" t="inlineStr"/>
      <c r="AU120" t="inlineStr"/>
      <c r="AV120" t="inlineStr"/>
      <c r="AW120" t="inlineStr"/>
      <c r="AX120" t="inlineStr"/>
      <c r="AY120" t="inlineStr"/>
      <c r="AZ120" t="inlineStr"/>
      <c r="BA120" t="inlineStr"/>
      <c r="BB120" t="inlineStr"/>
      <c r="BC120" t="inlineStr"/>
      <c r="BD120" t="inlineStr"/>
      <c r="BE120" t="inlineStr"/>
      <c r="BF120" t="inlineStr"/>
      <c r="BG120" t="inlineStr"/>
      <c r="BH120" t="inlineStr"/>
      <c r="BI120" t="inlineStr"/>
      <c r="BJ120" t="inlineStr"/>
      <c r="BK120" t="inlineStr"/>
      <c r="BL120" t="inlineStr"/>
      <c r="BM120" t="inlineStr"/>
      <c r="BN120" t="inlineStr"/>
      <c r="BO120" t="inlineStr"/>
      <c r="BP120" t="inlineStr"/>
      <c r="BQ120" t="inlineStr"/>
      <c r="BR120" t="inlineStr"/>
      <c r="BS120" t="inlineStr"/>
      <c r="BT120" t="inlineStr"/>
      <c r="BU120" t="inlineStr"/>
      <c r="BV120" t="inlineStr"/>
      <c r="BW120" t="inlineStr"/>
      <c r="BX120" t="inlineStr"/>
      <c r="BY120" t="inlineStr"/>
      <c r="BZ120" t="inlineStr"/>
      <c r="CA120" t="inlineStr"/>
      <c r="CB120" t="inlineStr"/>
      <c r="CC120" t="inlineStr"/>
      <c r="CD120" t="inlineStr"/>
      <c r="CE120" t="inlineStr"/>
      <c r="CF120" t="inlineStr"/>
      <c r="CG120" t="inlineStr"/>
      <c r="CH120" t="inlineStr"/>
      <c r="CI120" t="inlineStr"/>
      <c r="CJ120" t="inlineStr"/>
      <c r="CK120" t="inlineStr"/>
      <c r="CL120" t="inlineStr"/>
      <c r="CM120" t="inlineStr"/>
      <c r="CN120" t="inlineStr"/>
      <c r="CO120" t="inlineStr"/>
      <c r="CP120" t="inlineStr"/>
      <c r="CQ120" t="inlineStr"/>
      <c r="CR120" t="inlineStr"/>
      <c r="CS120" t="inlineStr"/>
      <c r="CT120" t="inlineStr"/>
      <c r="CU120" t="inlineStr"/>
      <c r="CV120" t="inlineStr"/>
      <c r="CW120" t="inlineStr"/>
      <c r="CX120" t="inlineStr"/>
      <c r="CY120" t="inlineStr"/>
      <c r="CZ120" t="inlineStr"/>
      <c r="DA120" t="inlineStr"/>
      <c r="DB120" t="inlineStr"/>
      <c r="DC120" t="inlineStr"/>
      <c r="DD120" t="inlineStr"/>
      <c r="DE120" t="inlineStr"/>
      <c r="DF120" t="inlineStr"/>
      <c r="DG120" t="inlineStr"/>
      <c r="DH120" t="inlineStr"/>
      <c r="DI120" t="inlineStr"/>
      <c r="DJ120" t="inlineStr"/>
      <c r="DK120" t="inlineStr"/>
      <c r="DL120" t="inlineStr"/>
      <c r="DM120" t="inlineStr"/>
      <c r="DN120" t="inlineStr"/>
      <c r="DO120" t="inlineStr"/>
      <c r="DP120" t="inlineStr"/>
      <c r="DQ120" t="inlineStr"/>
      <c r="DR120" t="inlineStr"/>
      <c r="DS120" t="inlineStr"/>
      <c r="DT120" t="inlineStr"/>
      <c r="DU120" t="inlineStr"/>
      <c r="DV120" t="inlineStr"/>
      <c r="DW120" t="inlineStr"/>
      <c r="DX120" t="inlineStr"/>
      <c r="DY120" t="inlineStr"/>
      <c r="DZ120" t="inlineStr"/>
      <c r="EA120" t="inlineStr"/>
      <c r="EB120" t="inlineStr"/>
      <c r="EC120" t="inlineStr"/>
      <c r="ED120" t="inlineStr"/>
      <c r="EE120" t="inlineStr"/>
      <c r="EF120" t="inlineStr"/>
      <c r="EG120" t="inlineStr"/>
      <c r="EH120" t="inlineStr"/>
      <c r="EI120" t="inlineStr"/>
      <c r="EJ120" t="inlineStr"/>
      <c r="EK120" t="inlineStr"/>
      <c r="EL120" t="inlineStr"/>
      <c r="EM120" t="inlineStr"/>
      <c r="EN120" t="inlineStr"/>
      <c r="EO120" t="inlineStr"/>
      <c r="EP120" t="inlineStr"/>
      <c r="EQ120" t="inlineStr"/>
      <c r="ER120" t="inlineStr"/>
      <c r="ES120" t="inlineStr"/>
      <c r="ET120" t="inlineStr"/>
      <c r="EU120" t="inlineStr"/>
      <c r="EV120" t="inlineStr"/>
      <c r="EW120" t="inlineStr"/>
      <c r="EX120" t="inlineStr"/>
      <c r="EY120" t="inlineStr"/>
      <c r="EZ120" t="inlineStr"/>
      <c r="FA120" t="inlineStr"/>
      <c r="FB120" t="inlineStr"/>
      <c r="FC120" t="inlineStr"/>
      <c r="FD120" t="inlineStr"/>
      <c r="FE120" t="inlineStr"/>
      <c r="FF120" t="inlineStr"/>
      <c r="FG120" t="inlineStr"/>
      <c r="FH120" t="inlineStr"/>
      <c r="FI120" t="inlineStr"/>
      <c r="FJ120" t="inlineStr"/>
      <c r="FK120" t="inlineStr"/>
      <c r="FL120" t="inlineStr"/>
      <c r="FM120" t="inlineStr"/>
      <c r="FN120" t="inlineStr"/>
      <c r="FO120" t="inlineStr"/>
      <c r="FP120" t="inlineStr"/>
      <c r="FQ120" t="inlineStr"/>
      <c r="FR120" t="inlineStr"/>
      <c r="FS120" t="inlineStr"/>
      <c r="FT120" t="inlineStr"/>
      <c r="FU120" t="inlineStr"/>
      <c r="FV120" t="inlineStr"/>
      <c r="FW120" t="inlineStr"/>
      <c r="FX120" t="inlineStr"/>
      <c r="FY120" t="inlineStr"/>
      <c r="FZ120" t="inlineStr"/>
      <c r="GA120" t="inlineStr"/>
      <c r="GB120" t="inlineStr"/>
      <c r="GC120" t="inlineStr"/>
      <c r="GD120" t="inlineStr"/>
      <c r="GE120" t="inlineStr"/>
      <c r="GF120" t="inlineStr"/>
      <c r="GG120" t="inlineStr"/>
      <c r="GH120" t="inlineStr"/>
      <c r="GI120" t="inlineStr"/>
      <c r="GJ120" t="inlineStr"/>
      <c r="GK120" t="inlineStr"/>
      <c r="GL120" t="inlineStr"/>
      <c r="GM120" t="inlineStr"/>
      <c r="GN120" t="inlineStr"/>
      <c r="GO120" t="inlineStr"/>
      <c r="GP120" t="inlineStr"/>
      <c r="GQ120" t="inlineStr"/>
      <c r="GR120" t="inlineStr"/>
      <c r="GS120" t="inlineStr"/>
      <c r="GT120" t="inlineStr"/>
      <c r="GU120" t="inlineStr"/>
      <c r="GV120" t="inlineStr"/>
      <c r="GW120" t="inlineStr"/>
      <c r="GX120" t="inlineStr"/>
      <c r="GY120" t="inlineStr"/>
      <c r="GZ120" t="inlineStr"/>
      <c r="HA120" t="inlineStr"/>
      <c r="HB120" t="inlineStr"/>
      <c r="HC120" t="inlineStr"/>
      <c r="HD120" t="inlineStr"/>
      <c r="HE120" t="inlineStr"/>
      <c r="HF120" t="inlineStr"/>
      <c r="HG120" t="inlineStr"/>
      <c r="HH120" t="inlineStr"/>
      <c r="HI120" t="inlineStr"/>
      <c r="HJ120" t="inlineStr"/>
      <c r="HK120" t="inlineStr"/>
      <c r="HL120" t="inlineStr"/>
      <c r="HM120" t="inlineStr"/>
      <c r="HN120" t="inlineStr"/>
      <c r="HO120" t="inlineStr"/>
      <c r="HP120" t="inlineStr"/>
      <c r="HQ120" t="inlineStr"/>
      <c r="HR120" t="inlineStr"/>
      <c r="HS120" t="inlineStr"/>
      <c r="HT120" t="inlineStr"/>
      <c r="HU120" t="inlineStr"/>
      <c r="HV120" t="inlineStr"/>
      <c r="HW120" t="inlineStr"/>
      <c r="HX120" t="inlineStr"/>
      <c r="HY120" t="inlineStr"/>
      <c r="HZ120" t="inlineStr"/>
      <c r="IA120" t="inlineStr"/>
      <c r="IB120" t="inlineStr"/>
      <c r="IC120" t="inlineStr"/>
      <c r="ID120" t="inlineStr"/>
      <c r="IE120" t="inlineStr"/>
      <c r="IF120" t="inlineStr"/>
      <c r="IG120" t="inlineStr"/>
      <c r="IH120" t="inlineStr"/>
      <c r="II120" t="inlineStr"/>
      <c r="IJ120" t="inlineStr"/>
      <c r="IK120" t="inlineStr"/>
      <c r="IL120" t="inlineStr"/>
      <c r="IM120" t="inlineStr"/>
      <c r="IN120" t="inlineStr"/>
      <c r="IO120" t="inlineStr"/>
      <c r="IP120" t="inlineStr"/>
      <c r="IQ120" t="inlineStr"/>
      <c r="IR120" t="inlineStr"/>
      <c r="IS120">
        <f>IF(input_content_type="",FALSE,ISNUMBER(SEARCH(","&amp;LOWER(input_content_type)&amp;",",","&amp;LOWER(F120)&amp;",")))</f>
        <v/>
      </c>
      <c r="IT120">
        <f>AND(IF(M120="",TRUE,IF(input_affiliations="",FALSE,SUMPRODUCT(--ISNUMBER(SEARCH(","&amp;TRIM(TEXTSPLIT(M120,","))&amp;",",","&amp;SUBSTITUTE(input_affiliations," ","")&amp;",")))&gt;0)),IF(O120="",TRUE,IF(input_affiliations="",FALSE,SUMPRODUCT(--ISNUMBER(SEARCH(","&amp;TRIM(TEXTSPLIT(O120,","))&amp;",",","&amp;SUBSTITUTE(input_affiliations," ","")&amp;",")))=COUNTA(TEXTSPLIT(O120,",")))),IF(Q120="",TRUE,IF(input_affiliations="",TRUE,SUMPRODUCT(--ISNUMBER(SEARCH(","&amp;TRIM(TEXTSPLIT(Q120,","))&amp;",",","&amp;SUBSTITUTE(input_affiliations," ","")&amp;",")))=0)),IF(S120="",TRUE,IF(input_affiliations="",FALSE,SUMPRODUCT(--ISNUMBER(SEARCH(","&amp;TRIM(TEXTSPLIT(S120,","))&amp;",",","&amp;SUBSTITUTE(input_affiliations," ","")&amp;",")))&gt;0)),IF(U120="",TRUE,IF(input_affiliations="",FALSE,SUMPRODUCT(--ISNUMBER(SEARCH(","&amp;TRIM(TEXTSPLIT(U120,","))&amp;",",","&amp;SUBSTITUTE(input_affiliations," ","")&amp;",")))=COUNTA(TEXTSPLIT(U120,",")))))</f>
        <v/>
      </c>
      <c r="IU120">
        <f>AND(IF(W120="",TRUE,IF(input_announcement_category="",FALSE,SUMPRODUCT(--ISNUMBER(SEARCH(","&amp;TRIM(TEXTSPLIT(W120,","))&amp;",",","&amp;SUBSTITUTE(input_announcement_category," ","")&amp;",")))&gt;0)),IF(Y120="",TRUE,IF(input_announcement_category="",FALSE,SUMPRODUCT(--ISNUMBER(SEARCH(","&amp;TRIM(TEXTSPLIT(Y120,","))&amp;",",","&amp;SUBSTITUTE(input_announcement_category," ","")&amp;",")))=COUNTA(TEXTSPLIT(Y120,",")))),IF(AA120="",TRUE,IF(input_announcement_category="",TRUE,SUMPRODUCT(--ISNUMBER(SEARCH(","&amp;TRIM(TEXTSPLIT(AA120,","))&amp;",",","&amp;SUBSTITUTE(input_announcement_category," ","")&amp;",")))=0)),IF(AC120="",TRUE,IF(input_announcement_category="",FALSE,SUMPRODUCT(--ISNUMBER(SEARCH(","&amp;TRIM(TEXTSPLIT(AC120,","))&amp;",",","&amp;SUBSTITUTE(input_announcement_category," ","")&amp;",")))&gt;0)),IF(AE120="",TRUE,IF(input_announcement_category="",FALSE,SUMPRODUCT(--ISNUMBER(SEARCH(","&amp;TRIM(TEXTSPLIT(AE120,","))&amp;",",","&amp;SUBSTITUTE(input_announcement_category," ","")&amp;",")))=COUNTA(TEXTSPLIT(AE120,",")))))</f>
        <v/>
      </c>
      <c r="IV120">
        <f>AND(IF(AG120="",TRUE,IF(input_area_of_focus="",FALSE,SUMPRODUCT(--ISNUMBER(SEARCH(","&amp;TRIM(TEXTSPLIT(AG120,","))&amp;",",","&amp;SUBSTITUTE(input_area_of_focus," ","")&amp;",")))&gt;0)),IF(AI120="",TRUE,IF(input_area_of_focus="",FALSE,SUMPRODUCT(--ISNUMBER(SEARCH(","&amp;TRIM(TEXTSPLIT(AI120,","))&amp;",",","&amp;SUBSTITUTE(input_area_of_focus," ","")&amp;",")))=COUNTA(TEXTSPLIT(AI120,",")))),IF(AK120="",TRUE,IF(input_area_of_focus="",TRUE,SUMPRODUCT(--ISNUMBER(SEARCH(","&amp;TRIM(TEXTSPLIT(AK120,","))&amp;",",","&amp;SUBSTITUTE(input_area_of_focus," ","")&amp;",")))=0)),IF(AM120="",TRUE,IF(input_area_of_focus="",FALSE,SUMPRODUCT(--ISNUMBER(SEARCH(","&amp;TRIM(TEXTSPLIT(AM120,","))&amp;",",","&amp;SUBSTITUTE(input_area_of_focus," ","")&amp;",")))&gt;0)),IF(AO120="",TRUE,IF(input_area_of_focus="",FALSE,SUMPRODUCT(--ISNUMBER(SEARCH(","&amp;TRIM(TEXTSPLIT(AO120,","))&amp;",",","&amp;SUBSTITUTE(input_area_of_focus," ","")&amp;",")))=COUNTA(TEXTSPLIT(AO120,",")))))</f>
        <v/>
      </c>
      <c r="IW120">
        <f>AND(IF(AQ120="",TRUE,IF(input_audience="",FALSE,SUMPRODUCT(--ISNUMBER(SEARCH(","&amp;TRIM(TEXTSPLIT(AQ120,","))&amp;",",","&amp;SUBSTITUTE(input_audience," ","")&amp;",")))&gt;0)),IF(AS120="",TRUE,IF(input_audience="",FALSE,SUMPRODUCT(--ISNUMBER(SEARCH(","&amp;TRIM(TEXTSPLIT(AS120,","))&amp;",",","&amp;SUBSTITUTE(input_audience," ","")&amp;",")))=COUNTA(TEXTSPLIT(AS120,",")))),IF(AU120="",TRUE,IF(input_audience="",TRUE,SUMPRODUCT(--ISNUMBER(SEARCH(","&amp;TRIM(TEXTSPLIT(AU120,","))&amp;",",","&amp;SUBSTITUTE(input_audience," ","")&amp;",")))=0)),IF(AW120="",TRUE,IF(input_audience="",FALSE,SUMPRODUCT(--ISNUMBER(SEARCH(","&amp;TRIM(TEXTSPLIT(AW120,","))&amp;",",","&amp;SUBSTITUTE(input_audience," ","")&amp;",")))&gt;0)),IF(AY120="",TRUE,IF(input_audience="",FALSE,SUMPRODUCT(--ISNUMBER(SEARCH(","&amp;TRIM(TEXTSPLIT(AY120,","))&amp;",",","&amp;SUBSTITUTE(input_audience," ","")&amp;",")))=COUNTA(TEXTSPLIT(AY120,",")))))</f>
        <v/>
      </c>
      <c r="IX120">
        <f>AND(IF(BA120="",TRUE,IF(input_challenge_opportunities="",FALSE,SUMPRODUCT(--ISNUMBER(SEARCH(","&amp;TRIM(TEXTSPLIT(BA120,","))&amp;",",","&amp;SUBSTITUTE(input_challenge_opportunities," ","")&amp;",")))&gt;0)),IF(BC120="",TRUE,IF(input_challenge_opportunities="",FALSE,SUMPRODUCT(--ISNUMBER(SEARCH(","&amp;TRIM(TEXTSPLIT(BC120,","))&amp;",",","&amp;SUBSTITUTE(input_challenge_opportunities," ","")&amp;",")))=COUNTA(TEXTSPLIT(BC120,",")))),IF(BE120="",TRUE,IF(input_challenge_opportunities="",TRUE,SUMPRODUCT(--ISNUMBER(SEARCH(","&amp;TRIM(TEXTSPLIT(BE120,","))&amp;",",","&amp;SUBSTITUTE(input_challenge_opportunities," ","")&amp;",")))=0)),IF(BG120="",TRUE,IF(input_challenge_opportunities="",FALSE,SUMPRODUCT(--ISNUMBER(SEARCH(","&amp;TRIM(TEXTSPLIT(BG120,","))&amp;",",","&amp;SUBSTITUTE(input_challenge_opportunities," ","")&amp;",")))&gt;0)),IF(BI120="",TRUE,IF(input_challenge_opportunities="",FALSE,SUMPRODUCT(--ISNUMBER(SEARCH(","&amp;TRIM(TEXTSPLIT(BI120,","))&amp;",",","&amp;SUBSTITUTE(input_challenge_opportunities," ","")&amp;",")))=COUNTA(TEXTSPLIT(BI120,",")))))</f>
        <v/>
      </c>
      <c r="IY120">
        <f>AND(IF(BK120="",TRUE,IF(input_context="",FALSE,SUMPRODUCT(--ISNUMBER(SEARCH(","&amp;TRIM(TEXTSPLIT(BK120,","))&amp;",",","&amp;SUBSTITUTE(input_context," ","")&amp;",")))&gt;0)),IF(BM120="",TRUE,IF(input_context="",FALSE,SUMPRODUCT(--ISNUMBER(SEARCH(","&amp;TRIM(TEXTSPLIT(BM120,","))&amp;",",","&amp;SUBSTITUTE(input_context," ","")&amp;",")))=COUNTA(TEXTSPLIT(BM120,",")))),IF(BO120="",TRUE,IF(input_context="",TRUE,SUMPRODUCT(--ISNUMBER(SEARCH(","&amp;TRIM(TEXTSPLIT(BO120,","))&amp;",",","&amp;SUBSTITUTE(input_context," ","")&amp;",")))=0)),IF(BQ120="",TRUE,IF(input_context="",FALSE,SUMPRODUCT(--ISNUMBER(SEARCH(","&amp;TRIM(TEXTSPLIT(BQ120,","))&amp;",",","&amp;SUBSTITUTE(input_context," ","")&amp;",")))&gt;0)),IF(BS120="",TRUE,IF(input_context="",FALSE,SUMPRODUCT(--ISNUMBER(SEARCH(","&amp;TRIM(TEXTSPLIT(BS120,","))&amp;",",","&amp;SUBSTITUTE(input_context," ","")&amp;",")))=COUNTA(TEXTSPLIT(BS120,",")))))</f>
        <v/>
      </c>
      <c r="IZ120">
        <f>AND(IF(BU120="",TRUE,IF(input_enews_announcement_type="",FALSE,SUMPRODUCT(--ISNUMBER(SEARCH(","&amp;TRIM(TEXTSPLIT(BU120,","))&amp;",",","&amp;SUBSTITUTE(input_enews_announcement_type," ","")&amp;",")))&gt;0)),IF(BW120="",TRUE,IF(input_enews_announcement_type="",FALSE,SUMPRODUCT(--ISNUMBER(SEARCH(","&amp;TRIM(TEXTSPLIT(BW120,","))&amp;",",","&amp;SUBSTITUTE(input_enews_announcement_type," ","")&amp;",")))=COUNTA(TEXTSPLIT(BW120,",")))),IF(BY120="",TRUE,IF(input_enews_announcement_type="",TRUE,SUMPRODUCT(--ISNUMBER(SEARCH(","&amp;TRIM(TEXTSPLIT(BY120,","))&amp;",",","&amp;SUBSTITUTE(input_enews_announcement_type," ","")&amp;",")))=0)),IF(CA120="",TRUE,IF(input_enews_announcement_type="",FALSE,SUMPRODUCT(--ISNUMBER(SEARCH(","&amp;TRIM(TEXTSPLIT(CA120,","))&amp;",",","&amp;SUBSTITUTE(input_enews_announcement_type," ","")&amp;",")))&gt;0)),IF(CC120="",TRUE,IF(input_enews_announcement_type="",FALSE,SUMPRODUCT(--ISNUMBER(SEARCH(","&amp;TRIM(TEXTSPLIT(CC120,","))&amp;",",","&amp;SUBSTITUTE(input_enews_announcement_type," ","")&amp;",")))=COUNTA(TEXTSPLIT(CC120,",")))))</f>
        <v/>
      </c>
      <c r="JA120">
        <f>AND(IF(CE120="",TRUE,IF(input_enews_audience="",FALSE,SUMPRODUCT(--ISNUMBER(SEARCH(","&amp;TRIM(TEXTSPLIT(CE120,","))&amp;",",","&amp;SUBSTITUTE(input_enews_audience," ","")&amp;",")))&gt;0)),IF(CG120="",TRUE,IF(input_enews_audience="",FALSE,SUMPRODUCT(--ISNUMBER(SEARCH(","&amp;TRIM(TEXTSPLIT(CG120,","))&amp;",",","&amp;SUBSTITUTE(input_enews_audience," ","")&amp;",")))=COUNTA(TEXTSPLIT(CG120,",")))),IF(CI120="",TRUE,IF(input_enews_audience="",TRUE,SUMPRODUCT(--ISNUMBER(SEARCH(","&amp;TRIM(TEXTSPLIT(CI120,","))&amp;",",","&amp;SUBSTITUTE(input_enews_audience," ","")&amp;",")))=0)),IF(CK120="",TRUE,IF(input_enews_audience="",FALSE,SUMPRODUCT(--ISNUMBER(SEARCH(","&amp;TRIM(TEXTSPLIT(CK120,","))&amp;",",","&amp;SUBSTITUTE(input_enews_audience," ","")&amp;",")))&gt;0)),IF(CM120="",TRUE,IF(input_enews_audience="",FALSE,SUMPRODUCT(--ISNUMBER(SEARCH(","&amp;TRIM(TEXTSPLIT(CM120,","))&amp;",",","&amp;SUBSTITUTE(input_enews_audience," ","")&amp;",")))=COUNTA(TEXTSPLIT(CM120,",")))))</f>
        <v/>
      </c>
      <c r="JB120">
        <f>AND(IF(CO120="",TRUE,IF(input_event_location="",FALSE,SUMPRODUCT(--ISNUMBER(SEARCH(","&amp;TRIM(TEXTSPLIT(CO120,","))&amp;",",","&amp;SUBSTITUTE(input_event_location," ","")&amp;",")))&gt;0)),IF(CQ120="",TRUE,IF(input_event_location="",FALSE,SUMPRODUCT(--ISNUMBER(SEARCH(","&amp;TRIM(TEXTSPLIT(CQ120,","))&amp;",",","&amp;SUBSTITUTE(input_event_location," ","")&amp;",")))=COUNTA(TEXTSPLIT(CQ120,",")))),IF(CS120="",TRUE,IF(input_event_location="",TRUE,SUMPRODUCT(--ISNUMBER(SEARCH(","&amp;TRIM(TEXTSPLIT(CS120,","))&amp;",",","&amp;SUBSTITUTE(input_event_location," ","")&amp;",")))=0)),IF(CU120="",TRUE,IF(input_event_location="",FALSE,SUMPRODUCT(--ISNUMBER(SEARCH(","&amp;TRIM(TEXTSPLIT(CU120,","))&amp;",",","&amp;SUBSTITUTE(input_event_location," ","")&amp;",")))&gt;0)),IF(CW120="",TRUE,IF(input_event_location="",FALSE,SUMPRODUCT(--ISNUMBER(SEARCH(","&amp;TRIM(TEXTSPLIT(CW120,","))&amp;",",","&amp;SUBSTITUTE(input_event_location," ","")&amp;",")))=COUNTA(TEXTSPLIT(CW120,",")))))</f>
        <v/>
      </c>
      <c r="JC120">
        <f>AND(IF(CY120="",TRUE,IF(input_event_type="",FALSE,SUMPRODUCT(--ISNUMBER(SEARCH(","&amp;TRIM(TEXTSPLIT(CY120,","))&amp;",",","&amp;SUBSTITUTE(input_event_type," ","")&amp;",")))&gt;0)),IF(DA120="",TRUE,IF(input_event_type="",FALSE,SUMPRODUCT(--ISNUMBER(SEARCH(","&amp;TRIM(TEXTSPLIT(DA120,","))&amp;",",","&amp;SUBSTITUTE(input_event_type," ","")&amp;",")))=COUNTA(TEXTSPLIT(DA120,",")))),IF(DC120="",TRUE,IF(input_event_type="",TRUE,SUMPRODUCT(--ISNUMBER(SEARCH(","&amp;TRIM(TEXTSPLIT(DC120,","))&amp;",",","&amp;SUBSTITUTE(input_event_type," ","")&amp;",")))=0)),IF(DE120="",TRUE,IF(input_event_type="",FALSE,SUMPRODUCT(--ISNUMBER(SEARCH(","&amp;TRIM(TEXTSPLIT(DE120,","))&amp;",",","&amp;SUBSTITUTE(input_event_type," ","")&amp;",")))&gt;0)),IF(DG120="",TRUE,IF(input_event_type="",FALSE,SUMPRODUCT(--ISNUMBER(SEARCH(","&amp;TRIM(TEXTSPLIT(DG120,","))&amp;",",","&amp;SUBSTITUTE(input_event_type," ","")&amp;",")))=COUNTA(TEXTSPLIT(DG120,",")))))</f>
        <v/>
      </c>
      <c r="JD120">
        <f>AND(IF(DI120="",TRUE,IF(input_executive_education_focus="",FALSE,SUMPRODUCT(--ISNUMBER(SEARCH(","&amp;TRIM(TEXTSPLIT(DI120,","))&amp;",",","&amp;SUBSTITUTE(input_executive_education_focus," ","")&amp;",")))&gt;0)),IF(DK120="",TRUE,IF(input_executive_education_focus="",FALSE,SUMPRODUCT(--ISNUMBER(SEARCH(","&amp;TRIM(TEXTSPLIT(DK120,","))&amp;",",","&amp;SUBSTITUTE(input_executive_education_focus," ","")&amp;",")))=COUNTA(TEXTSPLIT(DK120,",")))),IF(DM120="",TRUE,IF(input_executive_education_focus="",TRUE,SUMPRODUCT(--ISNUMBER(SEARCH(","&amp;TRIM(TEXTSPLIT(DM120,","))&amp;",",","&amp;SUBSTITUTE(input_executive_education_focus," ","")&amp;",")))=0)),IF(DO120="",TRUE,IF(input_executive_education_focus="",FALSE,SUMPRODUCT(--ISNUMBER(SEARCH(","&amp;TRIM(TEXTSPLIT(DO120,","))&amp;",",","&amp;SUBSTITUTE(input_executive_education_focus," ","")&amp;",")))&gt;0)),IF(DQ120="",TRUE,IF(input_executive_education_focus="",FALSE,SUMPRODUCT(--ISNUMBER(SEARCH(","&amp;TRIM(TEXTSPLIT(DQ120,","))&amp;",",","&amp;SUBSTITUTE(input_executive_education_focus," ","")&amp;",")))=COUNTA(TEXTSPLIT(DQ120,",")))))</f>
        <v/>
      </c>
      <c r="JE120">
        <f>AND(IF(DS120="",TRUE,IF(input_faculty_category="",FALSE,SUMPRODUCT(--ISNUMBER(SEARCH(","&amp;TRIM(TEXTSPLIT(DS120,","))&amp;",",","&amp;SUBSTITUTE(input_faculty_category," ","")&amp;",")))&gt;0)),IF(DU120="",TRUE,IF(input_faculty_category="",FALSE,SUMPRODUCT(--ISNUMBER(SEARCH(","&amp;TRIM(TEXTSPLIT(DU120,","))&amp;",",","&amp;SUBSTITUTE(input_faculty_category," ","")&amp;",")))=COUNTA(TEXTSPLIT(DU120,",")))),IF(DW120="",TRUE,IF(input_faculty_category="",TRUE,SUMPRODUCT(--ISNUMBER(SEARCH(","&amp;TRIM(TEXTSPLIT(DW120,","))&amp;",",","&amp;SUBSTITUTE(input_faculty_category," ","")&amp;",")))=0)),IF(DY120="",TRUE,IF(input_faculty_category="",FALSE,SUMPRODUCT(--ISNUMBER(SEARCH(","&amp;TRIM(TEXTSPLIT(DY120,","))&amp;",",","&amp;SUBSTITUTE(input_faculty_category," ","")&amp;",")))&gt;0)),IF(EA120="",TRUE,IF(input_faculty_category="",FALSE,SUMPRODUCT(--ISNUMBER(SEARCH(","&amp;TRIM(TEXTSPLIT(EA120,","))&amp;",",","&amp;SUBSTITUTE(input_faculty_category," ","")&amp;",")))=COUNTA(TEXTSPLIT(EA120,",")))))</f>
        <v/>
      </c>
      <c r="JF120">
        <f>AND(IF(EC120="",TRUE,IF(input_faculty_discipline="",FALSE,SUMPRODUCT(--ISNUMBER(SEARCH(","&amp;TRIM(TEXTSPLIT(EC120,","))&amp;",",","&amp;SUBSTITUTE(input_faculty_discipline," ","")&amp;",")))&gt;0)),IF(EE120="",TRUE,IF(input_faculty_discipline="",FALSE,SUMPRODUCT(--ISNUMBER(SEARCH(","&amp;TRIM(TEXTSPLIT(EE120,","))&amp;",",","&amp;SUBSTITUTE(input_faculty_discipline," ","")&amp;",")))=COUNTA(TEXTSPLIT(EE120,",")))),IF(EG120="",TRUE,IF(input_faculty_discipline="",TRUE,SUMPRODUCT(--ISNUMBER(SEARCH(","&amp;TRIM(TEXTSPLIT(EG120,","))&amp;",",","&amp;SUBSTITUTE(input_faculty_discipline," ","")&amp;",")))=0)),IF(EI120="",TRUE,IF(input_faculty_discipline="",FALSE,SUMPRODUCT(--ISNUMBER(SEARCH(","&amp;TRIM(TEXTSPLIT(EI120,","))&amp;",",","&amp;SUBSTITUTE(input_faculty_discipline," ","")&amp;",")))&gt;0)),IF(EK120="",TRUE,IF(input_faculty_discipline="",FALSE,SUMPRODUCT(--ISNUMBER(SEARCH(","&amp;TRIM(TEXTSPLIT(EK120,","))&amp;",",","&amp;SUBSTITUTE(input_faculty_discipline," ","")&amp;",")))=COUNTA(TEXTSPLIT(EK120,",")))))</f>
        <v/>
      </c>
      <c r="JG120">
        <f>AND(IF(EM120="",TRUE,IF(input_faculty_expertise="",FALSE,SUMPRODUCT(--ISNUMBER(SEARCH(","&amp;TRIM(TEXTSPLIT(EM120,","))&amp;",",","&amp;SUBSTITUTE(input_faculty_expertise," ","")&amp;",")))&gt;0)),IF(EO120="",TRUE,IF(input_faculty_expertise="",FALSE,SUMPRODUCT(--ISNUMBER(SEARCH(","&amp;TRIM(TEXTSPLIT(EO120,","))&amp;",",","&amp;SUBSTITUTE(input_faculty_expertise," ","")&amp;",")))=COUNTA(TEXTSPLIT(EO120,",")))),IF(EQ120="",TRUE,IF(input_faculty_expertise="",TRUE,SUMPRODUCT(--ISNUMBER(SEARCH(","&amp;TRIM(TEXTSPLIT(EQ120,","))&amp;",",","&amp;SUBSTITUTE(input_faculty_expertise," ","")&amp;",")))=0)),IF(ES120="",TRUE,IF(input_faculty_expertise="",FALSE,SUMPRODUCT(--ISNUMBER(SEARCH(","&amp;TRIM(TEXTSPLIT(ES120,","))&amp;",",","&amp;SUBSTITUTE(input_faculty_expertise," ","")&amp;",")))&gt;0)),IF(EU120="",TRUE,IF(input_faculty_expertise="",FALSE,SUMPRODUCT(--ISNUMBER(SEARCH(","&amp;TRIM(TEXTSPLIT(EU120,","))&amp;",",","&amp;SUBSTITUTE(input_faculty_expertise," ","")&amp;",")))=COUNTA(TEXTSPLIT(EU120,",")))))</f>
        <v/>
      </c>
      <c r="JH120">
        <f>AND(IF(EW120="",TRUE,IF(input_global_network_school="",FALSE,SUMPRODUCT(--ISNUMBER(SEARCH(","&amp;TRIM(TEXTSPLIT(EW120,","))&amp;",",","&amp;SUBSTITUTE(input_global_network_school," ","")&amp;",")))&gt;0)),IF(EY120="",TRUE,IF(input_global_network_school="",FALSE,SUMPRODUCT(--ISNUMBER(SEARCH(","&amp;TRIM(TEXTSPLIT(EY120,","))&amp;",",","&amp;SUBSTITUTE(input_global_network_school," ","")&amp;",")))=COUNTA(TEXTSPLIT(EY120,",")))),IF(FA120="",TRUE,IF(input_global_network_school="",TRUE,SUMPRODUCT(--ISNUMBER(SEARCH(","&amp;TRIM(TEXTSPLIT(FA120,","))&amp;",",","&amp;SUBSTITUTE(input_global_network_school," ","")&amp;",")))=0)),IF(FC120="",TRUE,IF(input_global_network_school="",FALSE,SUMPRODUCT(--ISNUMBER(SEARCH(","&amp;TRIM(TEXTSPLIT(FC120,","))&amp;",",","&amp;SUBSTITUTE(input_global_network_school," ","")&amp;",")))&gt;0)),IF(FE120="",TRUE,IF(input_global_network_school="",FALSE,SUMPRODUCT(--ISNUMBER(SEARCH(","&amp;TRIM(TEXTSPLIT(FE120,","))&amp;",",","&amp;SUBSTITUTE(input_global_network_school," ","")&amp;",")))=COUNTA(TEXTSPLIT(FE120,",")))))</f>
        <v/>
      </c>
      <c r="JI120">
        <f>AND(IF(FG120="",TRUE,IF(input_industry="",FALSE,SUMPRODUCT(--ISNUMBER(SEARCH(","&amp;TRIM(TEXTSPLIT(FG120,","))&amp;",",","&amp;SUBSTITUTE(input_industry," ","")&amp;",")))&gt;0)),IF(FI120="",TRUE,IF(input_industry="",FALSE,SUMPRODUCT(--ISNUMBER(SEARCH(","&amp;TRIM(TEXTSPLIT(FI120,","))&amp;",",","&amp;SUBSTITUTE(input_industry," ","")&amp;",")))=COUNTA(TEXTSPLIT(FI120,",")))),IF(FK120="",TRUE,IF(input_industry="",TRUE,SUMPRODUCT(--ISNUMBER(SEARCH(","&amp;TRIM(TEXTSPLIT(FK120,","))&amp;",",","&amp;SUBSTITUTE(input_industry," ","")&amp;",")))=0)),IF(FM120="",TRUE,IF(input_industry="",FALSE,SUMPRODUCT(--ISNUMBER(SEARCH(","&amp;TRIM(TEXTSPLIT(FM120,","))&amp;",",","&amp;SUBSTITUTE(input_industry," ","")&amp;",")))&gt;0)),IF(FO120="",TRUE,IF(input_industry="",FALSE,SUMPRODUCT(--ISNUMBER(SEARCH(","&amp;TRIM(TEXTSPLIT(FO120,","))&amp;",",","&amp;SUBSTITUTE(input_industry," ","")&amp;",")))=COUNTA(TEXTSPLIT(FO120,",")))))</f>
        <v/>
      </c>
      <c r="JJ120">
        <f>AND(IF(FQ120="",TRUE,IF(input_location="",FALSE,SUMPRODUCT(--ISNUMBER(SEARCH(","&amp;TRIM(TEXTSPLIT(FQ120,","))&amp;",",","&amp;SUBSTITUTE(input_location," ","")&amp;",")))&gt;0)),IF(FS120="",TRUE,IF(input_location="",FALSE,SUMPRODUCT(--ISNUMBER(SEARCH(","&amp;TRIM(TEXTSPLIT(FS120,","))&amp;",",","&amp;SUBSTITUTE(input_location," ","")&amp;",")))=COUNTA(TEXTSPLIT(FS120,",")))),IF(FU120="",TRUE,IF(input_location="",TRUE,SUMPRODUCT(--ISNUMBER(SEARCH(","&amp;TRIM(TEXTSPLIT(FU120,","))&amp;",",","&amp;SUBSTITUTE(input_location," ","")&amp;",")))=0)),IF(FW120="",TRUE,IF(input_location="",FALSE,SUMPRODUCT(--ISNUMBER(SEARCH(","&amp;TRIM(TEXTSPLIT(FW120,","))&amp;",",","&amp;SUBSTITUTE(input_location," ","")&amp;",")))&gt;0)),IF(FY120="",TRUE,IF(input_location="",FALSE,SUMPRODUCT(--ISNUMBER(SEARCH(","&amp;TRIM(TEXTSPLIT(FY120,","))&amp;",",","&amp;SUBSTITUTE(input_location," ","")&amp;",")))=COUNTA(TEXTSPLIT(FY120,",")))))</f>
        <v/>
      </c>
      <c r="JK120">
        <f>AND(IF(GA120="",TRUE,IF(input_modality="",FALSE,SUMPRODUCT(--ISNUMBER(SEARCH(","&amp;TRIM(TEXTSPLIT(GA120,","))&amp;",",","&amp;SUBSTITUTE(input_modality," ","")&amp;",")))&gt;0)),IF(GC120="",TRUE,IF(input_modality="",FALSE,SUMPRODUCT(--ISNUMBER(SEARCH(","&amp;TRIM(TEXTSPLIT(GC120,","))&amp;",",","&amp;SUBSTITUTE(input_modality," ","")&amp;",")))=COUNTA(TEXTSPLIT(GC120,",")))),IF(GE120="",TRUE,IF(input_modality="",TRUE,SUMPRODUCT(--ISNUMBER(SEARCH(","&amp;TRIM(TEXTSPLIT(GE120,","))&amp;",",","&amp;SUBSTITUTE(input_modality," ","")&amp;",")))=0)),IF(GG120="",TRUE,IF(input_modality="",FALSE,SUMPRODUCT(--ISNUMBER(SEARCH(","&amp;TRIM(TEXTSPLIT(GG120,","))&amp;",",","&amp;SUBSTITUTE(input_modality," ","")&amp;",")))&gt;0)),IF(GI120="",TRUE,IF(input_modality="",FALSE,SUMPRODUCT(--ISNUMBER(SEARCH(","&amp;TRIM(TEXTSPLIT(GI120,","))&amp;",",","&amp;SUBSTITUTE(input_modality," ","")&amp;",")))=COUNTA(TEXTSPLIT(GI120,",")))))</f>
        <v/>
      </c>
      <c r="JL120">
        <f>AND(IF(GK120="",TRUE,IF(input_organizer="",FALSE,SUMPRODUCT(--ISNUMBER(SEARCH(","&amp;TRIM(TEXTSPLIT(GK120,","))&amp;",",","&amp;SUBSTITUTE(input_organizer," ","")&amp;",")))&gt;0)),IF(GM120="",TRUE,IF(input_organizer="",FALSE,SUMPRODUCT(--ISNUMBER(SEARCH(","&amp;TRIM(TEXTSPLIT(GM120,","))&amp;",",","&amp;SUBSTITUTE(input_organizer," ","")&amp;",")))=COUNTA(TEXTSPLIT(GM120,",")))),IF(GO120="",TRUE,IF(input_organizer="",TRUE,SUMPRODUCT(--ISNUMBER(SEARCH(","&amp;TRIM(TEXTSPLIT(GO120,","))&amp;",",","&amp;SUBSTITUTE(input_organizer," ","")&amp;",")))=0)),IF(GQ120="",TRUE,IF(input_organizer="",FALSE,SUMPRODUCT(--ISNUMBER(SEARCH(","&amp;TRIM(TEXTSPLIT(GQ120,","))&amp;",",","&amp;SUBSTITUTE(input_organizer," ","")&amp;",")))&gt;0)),IF(GS120="",TRUE,IF(input_organizer="",FALSE,SUMPRODUCT(--ISNUMBER(SEARCH(","&amp;TRIM(TEXTSPLIT(GS120,","))&amp;",",","&amp;SUBSTITUTE(input_organizer," ","")&amp;",")))=COUNTA(TEXTSPLIT(GS120,",")))))</f>
        <v/>
      </c>
      <c r="JM120">
        <f>AND(IF(GU120="",TRUE,IF(input_profile_type="",FALSE,SUMPRODUCT(--ISNUMBER(SEARCH(","&amp;TRIM(TEXTSPLIT(GU120,","))&amp;",",","&amp;SUBSTITUTE(input_profile_type," ","")&amp;",")))&gt;0)),IF(GW120="",TRUE,IF(input_profile_type="",FALSE,SUMPRODUCT(--ISNUMBER(SEARCH(","&amp;TRIM(TEXTSPLIT(GW120,","))&amp;",",","&amp;SUBSTITUTE(input_profile_type," ","")&amp;",")))=COUNTA(TEXTSPLIT(GW120,",")))),IF(GY120="",TRUE,IF(input_profile_type="",TRUE,SUMPRODUCT(--ISNUMBER(SEARCH(","&amp;TRIM(TEXTSPLIT(GY120,","))&amp;",",","&amp;SUBSTITUTE(input_profile_type," ","")&amp;",")))=0)),IF(HA120="",TRUE,IF(input_profile_type="",FALSE,SUMPRODUCT(--ISNUMBER(SEARCH(","&amp;TRIM(TEXTSPLIT(HA120,","))&amp;",",","&amp;SUBSTITUTE(input_profile_type," ","")&amp;",")))&gt;0)),IF(HC120="",TRUE,IF(input_profile_type="",FALSE,SUMPRODUCT(--ISNUMBER(SEARCH(","&amp;TRIM(TEXTSPLIT(HC120,","))&amp;",",","&amp;SUBSTITUTE(input_profile_type," ","")&amp;",")))=COUNTA(TEXTSPLIT(HC120,",")))))</f>
        <v/>
      </c>
      <c r="JN120">
        <f>AND(IF(HE120="",TRUE,IF(input_program="",FALSE,SUMPRODUCT(--ISNUMBER(SEARCH(","&amp;TRIM(TEXTSPLIT(HE120,","))&amp;",",","&amp;SUBSTITUTE(input_program," ","")&amp;",")))&gt;0)),IF(HG120="",TRUE,IF(input_program="",FALSE,SUMPRODUCT(--ISNUMBER(SEARCH(","&amp;TRIM(TEXTSPLIT(HG120,","))&amp;",",","&amp;SUBSTITUTE(input_program," ","")&amp;",")))=COUNTA(TEXTSPLIT(HG120,",")))),IF(HI120="",TRUE,IF(input_program="",TRUE,SUMPRODUCT(--ISNUMBER(SEARCH(","&amp;TRIM(TEXTSPLIT(HI120,","))&amp;",",","&amp;SUBSTITUTE(input_program," ","")&amp;",")))=0)),IF(HK120="",TRUE,IF(input_program="",FALSE,SUMPRODUCT(--ISNUMBER(SEARCH(","&amp;TRIM(TEXTSPLIT(HK120,","))&amp;",",","&amp;SUBSTITUTE(input_program," ","")&amp;",")))&gt;0)),IF(HM120="",TRUE,IF(input_program="",FALSE,SUMPRODUCT(--ISNUMBER(SEARCH(","&amp;TRIM(TEXTSPLIT(HM120,","))&amp;",",","&amp;SUBSTITUTE(input_program," ","")&amp;",")))=COUNTA(TEXTSPLIT(HM120,",")))))</f>
        <v/>
      </c>
      <c r="JO120">
        <f>AND(IF(HO120="",TRUE,IF(input_story_categories="",FALSE,SUMPRODUCT(--ISNUMBER(SEARCH(","&amp;TRIM(TEXTSPLIT(HO120,","))&amp;",",","&amp;SUBSTITUTE(input_story_categories," ","")&amp;",")))&gt;0)),IF(HQ120="",TRUE,IF(input_story_categories="",FALSE,SUMPRODUCT(--ISNUMBER(SEARCH(","&amp;TRIM(TEXTSPLIT(HQ120,","))&amp;",",","&amp;SUBSTITUTE(input_story_categories," ","")&amp;",")))=COUNTA(TEXTSPLIT(HQ120,",")))),IF(HS120="",TRUE,IF(input_story_categories="",TRUE,SUMPRODUCT(--ISNUMBER(SEARCH(","&amp;TRIM(TEXTSPLIT(HS120,","))&amp;",",","&amp;SUBSTITUTE(input_story_categories," ","")&amp;",")))=0)),IF(HU120="",TRUE,IF(input_story_categories="",FALSE,SUMPRODUCT(--ISNUMBER(SEARCH(","&amp;TRIM(TEXTSPLIT(HU120,","))&amp;",",","&amp;SUBSTITUTE(input_story_categories," ","")&amp;",")))&gt;0)),IF(HW120="",TRUE,IF(input_story_categories="",FALSE,SUMPRODUCT(--ISNUMBER(SEARCH(","&amp;TRIM(TEXTSPLIT(HW120,","))&amp;",",","&amp;SUBSTITUTE(input_story_categories," ","")&amp;",")))=COUNTA(TEXTSPLIT(HW120,",")))))</f>
        <v/>
      </c>
      <c r="JP120">
        <f>AND(IF(HY120="",TRUE,IF(input_story_type="",FALSE,SUMPRODUCT(--ISNUMBER(SEARCH(","&amp;TRIM(TEXTSPLIT(HY120,","))&amp;",",","&amp;SUBSTITUTE(input_story_type," ","")&amp;",")))&gt;0)),IF(IA120="",TRUE,IF(input_story_type="",FALSE,SUMPRODUCT(--ISNUMBER(SEARCH(","&amp;TRIM(TEXTSPLIT(IA120,","))&amp;",",","&amp;SUBSTITUTE(input_story_type," ","")&amp;",")))=COUNTA(TEXTSPLIT(IA120,",")))),IF(IC120="",TRUE,IF(input_story_type="",TRUE,SUMPRODUCT(--ISNUMBER(SEARCH(","&amp;TRIM(TEXTSPLIT(IC120,","))&amp;",",","&amp;SUBSTITUTE(input_story_type," ","")&amp;",")))=0)),IF(IE120="",TRUE,IF(input_story_type="",FALSE,SUMPRODUCT(--ISNUMBER(SEARCH(","&amp;TRIM(TEXTSPLIT(IE120,","))&amp;",",","&amp;SUBSTITUTE(input_story_type," ","")&amp;",")))&gt;0)),IF(IG120="",TRUE,IF(input_story_type="",FALSE,SUMPRODUCT(--ISNUMBER(SEARCH(","&amp;TRIM(TEXTSPLIT(IG120,","))&amp;",",","&amp;SUBSTITUTE(input_story_type," ","")&amp;",")))=COUNTA(TEXTSPLIT(IG120,",")))))</f>
        <v/>
      </c>
      <c r="JQ120">
        <f>AND(IF(II120="",TRUE,IF(input_topics="",FALSE,SUMPRODUCT(--ISNUMBER(SEARCH(","&amp;TRIM(TEXTSPLIT(II120,","))&amp;",",","&amp;SUBSTITUTE(input_topics," ","")&amp;",")))&gt;0)),IF(IK120="",TRUE,IF(input_topics="",FALSE,SUMPRODUCT(--ISNUMBER(SEARCH(","&amp;TRIM(TEXTSPLIT(IK120,","))&amp;",",","&amp;SUBSTITUTE(input_topics," ","")&amp;",")))=COUNTA(TEXTSPLIT(IK120,",")))),IF(IM120="",TRUE,IF(input_topics="",TRUE,SUMPRODUCT(--ISNUMBER(SEARCH(","&amp;TRIM(TEXTSPLIT(IM120,","))&amp;",",","&amp;SUBSTITUTE(input_topics," ","")&amp;",")))=0)),IF(IO120="",TRUE,IF(input_topics="",FALSE,SUMPRODUCT(--ISNUMBER(SEARCH(","&amp;TRIM(TEXTSPLIT(IO120,","))&amp;",",","&amp;SUBSTITUTE(input_topics," ","")&amp;",")))&gt;0)),IF(IQ120="",TRUE,IF(input_topics="",FALSE,SUMPRODUCT(--ISNUMBER(SEARCH(","&amp;TRIM(TEXTSPLIT(IQ120,","))&amp;",",","&amp;SUBSTITUTE(input_topics," ","")&amp;",")))=COUNTA(TEXTSPLIT(IQ120,",")))))</f>
        <v/>
      </c>
    </row>
    <row r="121">
      <c r="A121" s="4">
        <f>IF(NOT(IS121),"Excluded",IF(AND(IT121,IU121,IV121,IW121,IX121,IY121,IZ121,JA121,JB121,JC121,JD121,JE121,JF121,JG121,JH121,JI121,JJ121,JK121,JL121,JM121,JN121,JO121,JP121,JQ121),IF(I121&gt;0,"Eligible but limited","Will appear"),"Excluded"))</f>
        <v/>
      </c>
      <c r="B121" s="4" t="inlineStr">
        <is>
          <t>Making a Difference</t>
        </is>
      </c>
      <c r="C121" s="4" t="inlineStr">
        <is>
          <t>/about/headlines/making-difference</t>
        </is>
      </c>
      <c r="D121" s="4" t="inlineStr">
        <is>
          <t>/about/headlines/making-difference</t>
        </is>
      </c>
      <c r="E121" s="4" t="n">
        <v>1</v>
      </c>
      <c r="F121" s="4" t="inlineStr">
        <is>
          <t>story</t>
        </is>
      </c>
      <c r="G121" s="4" t="inlineStr">
        <is>
          <t>stories_list</t>
        </is>
      </c>
      <c r="H121" s="4" t="inlineStr">
        <is>
          <t>embed_1</t>
        </is>
      </c>
      <c r="I121" s="4" t="n">
        <v>10</v>
      </c>
      <c r="J121" s="4" t="inlineStr">
        <is>
          <t>Explicit args</t>
        </is>
      </c>
      <c r="K121" s="4" t="inlineStr">
        <is>
          <t>Page placement</t>
        </is>
      </c>
      <c r="L121" s="4" t="inlineStr">
        <is>
          <t>Content type: story; Context uses Courses Context: Making a Difference (1167); Limited to 10 item(s); Source: Explicit args</t>
        </is>
      </c>
      <c r="M121" t="inlineStr"/>
      <c r="N121" t="inlineStr"/>
      <c r="O121" t="inlineStr"/>
      <c r="P121" t="inlineStr"/>
      <c r="Q121" t="inlineStr"/>
      <c r="R121" t="inlineStr"/>
      <c r="S121" t="inlineStr"/>
      <c r="T121" t="inlineStr"/>
      <c r="U121" t="inlineStr"/>
      <c r="V121" t="inlineStr"/>
      <c r="W121" t="inlineStr"/>
      <c r="X121" t="inlineStr"/>
      <c r="Y121" t="inlineStr"/>
      <c r="Z121" t="inlineStr"/>
      <c r="AA121" t="inlineStr"/>
      <c r="AB121" t="inlineStr"/>
      <c r="AC121" t="inlineStr"/>
      <c r="AD121" t="inlineStr"/>
      <c r="AE121" t="inlineStr"/>
      <c r="AF121" t="inlineStr"/>
      <c r="AG121" t="inlineStr"/>
      <c r="AH121" t="inlineStr"/>
      <c r="AI121" t="inlineStr"/>
      <c r="AJ121" t="inlineStr"/>
      <c r="AK121" t="inlineStr"/>
      <c r="AL121" t="inlineStr"/>
      <c r="AM121" t="inlineStr"/>
      <c r="AN121" t="inlineStr"/>
      <c r="AO121" t="inlineStr"/>
      <c r="AP121" t="inlineStr"/>
      <c r="AQ121" t="inlineStr"/>
      <c r="AR121" t="inlineStr"/>
      <c r="AS121" t="inlineStr"/>
      <c r="AT121" t="inlineStr"/>
      <c r="AU121" t="inlineStr"/>
      <c r="AV121" t="inlineStr"/>
      <c r="AW121" t="inlineStr"/>
      <c r="AX121" t="inlineStr"/>
      <c r="AY121" t="inlineStr"/>
      <c r="AZ121" t="inlineStr"/>
      <c r="BA121" t="inlineStr"/>
      <c r="BB121" t="inlineStr"/>
      <c r="BC121" t="inlineStr"/>
      <c r="BD121" t="inlineStr"/>
      <c r="BE121" t="inlineStr"/>
      <c r="BF121" t="inlineStr"/>
      <c r="BG121" t="inlineStr"/>
      <c r="BH121" t="inlineStr"/>
      <c r="BI121" t="inlineStr"/>
      <c r="BJ121" t="inlineStr"/>
      <c r="BK121" t="inlineStr"/>
      <c r="BL121" t="inlineStr"/>
      <c r="BM121" t="inlineStr"/>
      <c r="BN121" t="inlineStr"/>
      <c r="BO121" t="inlineStr"/>
      <c r="BP121" t="inlineStr"/>
      <c r="BQ121" t="inlineStr">
        <is>
          <t>1167</t>
        </is>
      </c>
      <c r="BR121" t="inlineStr">
        <is>
          <t>Making a Difference (1167)</t>
        </is>
      </c>
      <c r="BS121" t="inlineStr"/>
      <c r="BT121" t="inlineStr"/>
      <c r="BU121" t="inlineStr"/>
      <c r="BV121" t="inlineStr"/>
      <c r="BW121" t="inlineStr"/>
      <c r="BX121" t="inlineStr"/>
      <c r="BY121" t="inlineStr"/>
      <c r="BZ121" t="inlineStr"/>
      <c r="CA121" t="inlineStr"/>
      <c r="CB121" t="inlineStr"/>
      <c r="CC121" t="inlineStr"/>
      <c r="CD121" t="inlineStr"/>
      <c r="CE121" t="inlineStr"/>
      <c r="CF121" t="inlineStr"/>
      <c r="CG121" t="inlineStr"/>
      <c r="CH121" t="inlineStr"/>
      <c r="CI121" t="inlineStr"/>
      <c r="CJ121" t="inlineStr"/>
      <c r="CK121" t="inlineStr"/>
      <c r="CL121" t="inlineStr"/>
      <c r="CM121" t="inlineStr"/>
      <c r="CN121" t="inlineStr"/>
      <c r="CO121" t="inlineStr"/>
      <c r="CP121" t="inlineStr"/>
      <c r="CQ121" t="inlineStr"/>
      <c r="CR121" t="inlineStr"/>
      <c r="CS121" t="inlineStr"/>
      <c r="CT121" t="inlineStr"/>
      <c r="CU121" t="inlineStr"/>
      <c r="CV121" t="inlineStr"/>
      <c r="CW121" t="inlineStr"/>
      <c r="CX121" t="inlineStr"/>
      <c r="CY121" t="inlineStr"/>
      <c r="CZ121" t="inlineStr"/>
      <c r="DA121" t="inlineStr"/>
      <c r="DB121" t="inlineStr"/>
      <c r="DC121" t="inlineStr"/>
      <c r="DD121" t="inlineStr"/>
      <c r="DE121" t="inlineStr"/>
      <c r="DF121" t="inlineStr"/>
      <c r="DG121" t="inlineStr"/>
      <c r="DH121" t="inlineStr"/>
      <c r="DI121" t="inlineStr"/>
      <c r="DJ121" t="inlineStr"/>
      <c r="DK121" t="inlineStr"/>
      <c r="DL121" t="inlineStr"/>
      <c r="DM121" t="inlineStr"/>
      <c r="DN121" t="inlineStr"/>
      <c r="DO121" t="inlineStr"/>
      <c r="DP121" t="inlineStr"/>
      <c r="DQ121" t="inlineStr"/>
      <c r="DR121" t="inlineStr"/>
      <c r="DS121" t="inlineStr"/>
      <c r="DT121" t="inlineStr"/>
      <c r="DU121" t="inlineStr"/>
      <c r="DV121" t="inlineStr"/>
      <c r="DW121" t="inlineStr"/>
      <c r="DX121" t="inlineStr"/>
      <c r="DY121" t="inlineStr"/>
      <c r="DZ121" t="inlineStr"/>
      <c r="EA121" t="inlineStr"/>
      <c r="EB121" t="inlineStr"/>
      <c r="EC121" t="inlineStr"/>
      <c r="ED121" t="inlineStr"/>
      <c r="EE121" t="inlineStr"/>
      <c r="EF121" t="inlineStr"/>
      <c r="EG121" t="inlineStr"/>
      <c r="EH121" t="inlineStr"/>
      <c r="EI121" t="inlineStr"/>
      <c r="EJ121" t="inlineStr"/>
      <c r="EK121" t="inlineStr"/>
      <c r="EL121" t="inlineStr"/>
      <c r="EM121" t="inlineStr"/>
      <c r="EN121" t="inlineStr"/>
      <c r="EO121" t="inlineStr"/>
      <c r="EP121" t="inlineStr"/>
      <c r="EQ121" t="inlineStr"/>
      <c r="ER121" t="inlineStr"/>
      <c r="ES121" t="inlineStr"/>
      <c r="ET121" t="inlineStr"/>
      <c r="EU121" t="inlineStr"/>
      <c r="EV121" t="inlineStr"/>
      <c r="EW121" t="inlineStr"/>
      <c r="EX121" t="inlineStr"/>
      <c r="EY121" t="inlineStr"/>
      <c r="EZ121" t="inlineStr"/>
      <c r="FA121" t="inlineStr"/>
      <c r="FB121" t="inlineStr"/>
      <c r="FC121" t="inlineStr"/>
      <c r="FD121" t="inlineStr"/>
      <c r="FE121" t="inlineStr"/>
      <c r="FF121" t="inlineStr"/>
      <c r="FG121" t="inlineStr"/>
      <c r="FH121" t="inlineStr"/>
      <c r="FI121" t="inlineStr"/>
      <c r="FJ121" t="inlineStr"/>
      <c r="FK121" t="inlineStr"/>
      <c r="FL121" t="inlineStr"/>
      <c r="FM121" t="inlineStr"/>
      <c r="FN121" t="inlineStr"/>
      <c r="FO121" t="inlineStr"/>
      <c r="FP121" t="inlineStr"/>
      <c r="FQ121" t="inlineStr"/>
      <c r="FR121" t="inlineStr"/>
      <c r="FS121" t="inlineStr"/>
      <c r="FT121" t="inlineStr"/>
      <c r="FU121" t="inlineStr"/>
      <c r="FV121" t="inlineStr"/>
      <c r="FW121" t="inlineStr"/>
      <c r="FX121" t="inlineStr"/>
      <c r="FY121" t="inlineStr"/>
      <c r="FZ121" t="inlineStr"/>
      <c r="GA121" t="inlineStr"/>
      <c r="GB121" t="inlineStr"/>
      <c r="GC121" t="inlineStr"/>
      <c r="GD121" t="inlineStr"/>
      <c r="GE121" t="inlineStr"/>
      <c r="GF121" t="inlineStr"/>
      <c r="GG121" t="inlineStr"/>
      <c r="GH121" t="inlineStr"/>
      <c r="GI121" t="inlineStr"/>
      <c r="GJ121" t="inlineStr"/>
      <c r="GK121" t="inlineStr"/>
      <c r="GL121" t="inlineStr"/>
      <c r="GM121" t="inlineStr"/>
      <c r="GN121" t="inlineStr"/>
      <c r="GO121" t="inlineStr"/>
      <c r="GP121" t="inlineStr"/>
      <c r="GQ121" t="inlineStr"/>
      <c r="GR121" t="inlineStr"/>
      <c r="GS121" t="inlineStr"/>
      <c r="GT121" t="inlineStr"/>
      <c r="GU121" t="inlineStr"/>
      <c r="GV121" t="inlineStr"/>
      <c r="GW121" t="inlineStr"/>
      <c r="GX121" t="inlineStr"/>
      <c r="GY121" t="inlineStr"/>
      <c r="GZ121" t="inlineStr"/>
      <c r="HA121" t="inlineStr"/>
      <c r="HB121" t="inlineStr"/>
      <c r="HC121" t="inlineStr"/>
      <c r="HD121" t="inlineStr"/>
      <c r="HE121" t="inlineStr"/>
      <c r="HF121" t="inlineStr"/>
      <c r="HG121" t="inlineStr"/>
      <c r="HH121" t="inlineStr"/>
      <c r="HI121" t="inlineStr"/>
      <c r="HJ121" t="inlineStr"/>
      <c r="HK121" t="inlineStr"/>
      <c r="HL121" t="inlineStr"/>
      <c r="HM121" t="inlineStr"/>
      <c r="HN121" t="inlineStr"/>
      <c r="HO121" t="inlineStr"/>
      <c r="HP121" t="inlineStr"/>
      <c r="HQ121" t="inlineStr"/>
      <c r="HR121" t="inlineStr"/>
      <c r="HS121" t="inlineStr"/>
      <c r="HT121" t="inlineStr"/>
      <c r="HU121" t="inlineStr"/>
      <c r="HV121" t="inlineStr"/>
      <c r="HW121" t="inlineStr"/>
      <c r="HX121" t="inlineStr"/>
      <c r="HY121" t="inlineStr"/>
      <c r="HZ121" t="inlineStr"/>
      <c r="IA121" t="inlineStr"/>
      <c r="IB121" t="inlineStr"/>
      <c r="IC121" t="inlineStr"/>
      <c r="ID121" t="inlineStr"/>
      <c r="IE121" t="inlineStr"/>
      <c r="IF121" t="inlineStr"/>
      <c r="IG121" t="inlineStr"/>
      <c r="IH121" t="inlineStr"/>
      <c r="II121" t="inlineStr"/>
      <c r="IJ121" t="inlineStr"/>
      <c r="IK121" t="inlineStr"/>
      <c r="IL121" t="inlineStr"/>
      <c r="IM121" t="inlineStr"/>
      <c r="IN121" t="inlineStr"/>
      <c r="IO121" t="inlineStr"/>
      <c r="IP121" t="inlineStr"/>
      <c r="IQ121" t="inlineStr"/>
      <c r="IR121" t="inlineStr"/>
      <c r="IS121">
        <f>IF(input_content_type="",FALSE,ISNUMBER(SEARCH(","&amp;LOWER(input_content_type)&amp;",",","&amp;LOWER(F121)&amp;",")))</f>
        <v/>
      </c>
      <c r="IT121">
        <f>AND(IF(M121="",TRUE,IF(input_affiliations="",FALSE,SUMPRODUCT(--ISNUMBER(SEARCH(","&amp;TRIM(TEXTSPLIT(M121,","))&amp;",",","&amp;SUBSTITUTE(input_affiliations," ","")&amp;",")))&gt;0)),IF(O121="",TRUE,IF(input_affiliations="",FALSE,SUMPRODUCT(--ISNUMBER(SEARCH(","&amp;TRIM(TEXTSPLIT(O121,","))&amp;",",","&amp;SUBSTITUTE(input_affiliations," ","")&amp;",")))=COUNTA(TEXTSPLIT(O121,",")))),IF(Q121="",TRUE,IF(input_affiliations="",TRUE,SUMPRODUCT(--ISNUMBER(SEARCH(","&amp;TRIM(TEXTSPLIT(Q121,","))&amp;",",","&amp;SUBSTITUTE(input_affiliations," ","")&amp;",")))=0)),IF(S121="",TRUE,IF(input_affiliations="",FALSE,SUMPRODUCT(--ISNUMBER(SEARCH(","&amp;TRIM(TEXTSPLIT(S121,","))&amp;",",","&amp;SUBSTITUTE(input_affiliations," ","")&amp;",")))&gt;0)),IF(U121="",TRUE,IF(input_affiliations="",FALSE,SUMPRODUCT(--ISNUMBER(SEARCH(","&amp;TRIM(TEXTSPLIT(U121,","))&amp;",",","&amp;SUBSTITUTE(input_affiliations," ","")&amp;",")))=COUNTA(TEXTSPLIT(U121,",")))))</f>
        <v/>
      </c>
      <c r="IU121">
        <f>AND(IF(W121="",TRUE,IF(input_announcement_category="",FALSE,SUMPRODUCT(--ISNUMBER(SEARCH(","&amp;TRIM(TEXTSPLIT(W121,","))&amp;",",","&amp;SUBSTITUTE(input_announcement_category," ","")&amp;",")))&gt;0)),IF(Y121="",TRUE,IF(input_announcement_category="",FALSE,SUMPRODUCT(--ISNUMBER(SEARCH(","&amp;TRIM(TEXTSPLIT(Y121,","))&amp;",",","&amp;SUBSTITUTE(input_announcement_category," ","")&amp;",")))=COUNTA(TEXTSPLIT(Y121,",")))),IF(AA121="",TRUE,IF(input_announcement_category="",TRUE,SUMPRODUCT(--ISNUMBER(SEARCH(","&amp;TRIM(TEXTSPLIT(AA121,","))&amp;",",","&amp;SUBSTITUTE(input_announcement_category," ","")&amp;",")))=0)),IF(AC121="",TRUE,IF(input_announcement_category="",FALSE,SUMPRODUCT(--ISNUMBER(SEARCH(","&amp;TRIM(TEXTSPLIT(AC121,","))&amp;",",","&amp;SUBSTITUTE(input_announcement_category," ","")&amp;",")))&gt;0)),IF(AE121="",TRUE,IF(input_announcement_category="",FALSE,SUMPRODUCT(--ISNUMBER(SEARCH(","&amp;TRIM(TEXTSPLIT(AE121,","))&amp;",",","&amp;SUBSTITUTE(input_announcement_category," ","")&amp;",")))=COUNTA(TEXTSPLIT(AE121,",")))))</f>
        <v/>
      </c>
      <c r="IV121">
        <f>AND(IF(AG121="",TRUE,IF(input_area_of_focus="",FALSE,SUMPRODUCT(--ISNUMBER(SEARCH(","&amp;TRIM(TEXTSPLIT(AG121,","))&amp;",",","&amp;SUBSTITUTE(input_area_of_focus," ","")&amp;",")))&gt;0)),IF(AI121="",TRUE,IF(input_area_of_focus="",FALSE,SUMPRODUCT(--ISNUMBER(SEARCH(","&amp;TRIM(TEXTSPLIT(AI121,","))&amp;",",","&amp;SUBSTITUTE(input_area_of_focus," ","")&amp;",")))=COUNTA(TEXTSPLIT(AI121,",")))),IF(AK121="",TRUE,IF(input_area_of_focus="",TRUE,SUMPRODUCT(--ISNUMBER(SEARCH(","&amp;TRIM(TEXTSPLIT(AK121,","))&amp;",",","&amp;SUBSTITUTE(input_area_of_focus," ","")&amp;",")))=0)),IF(AM121="",TRUE,IF(input_area_of_focus="",FALSE,SUMPRODUCT(--ISNUMBER(SEARCH(","&amp;TRIM(TEXTSPLIT(AM121,","))&amp;",",","&amp;SUBSTITUTE(input_area_of_focus," ","")&amp;",")))&gt;0)),IF(AO121="",TRUE,IF(input_area_of_focus="",FALSE,SUMPRODUCT(--ISNUMBER(SEARCH(","&amp;TRIM(TEXTSPLIT(AO121,","))&amp;",",","&amp;SUBSTITUTE(input_area_of_focus," ","")&amp;",")))=COUNTA(TEXTSPLIT(AO121,",")))))</f>
        <v/>
      </c>
      <c r="IW121">
        <f>AND(IF(AQ121="",TRUE,IF(input_audience="",FALSE,SUMPRODUCT(--ISNUMBER(SEARCH(","&amp;TRIM(TEXTSPLIT(AQ121,","))&amp;",",","&amp;SUBSTITUTE(input_audience," ","")&amp;",")))&gt;0)),IF(AS121="",TRUE,IF(input_audience="",FALSE,SUMPRODUCT(--ISNUMBER(SEARCH(","&amp;TRIM(TEXTSPLIT(AS121,","))&amp;",",","&amp;SUBSTITUTE(input_audience," ","")&amp;",")))=COUNTA(TEXTSPLIT(AS121,",")))),IF(AU121="",TRUE,IF(input_audience="",TRUE,SUMPRODUCT(--ISNUMBER(SEARCH(","&amp;TRIM(TEXTSPLIT(AU121,","))&amp;",",","&amp;SUBSTITUTE(input_audience," ","")&amp;",")))=0)),IF(AW121="",TRUE,IF(input_audience="",FALSE,SUMPRODUCT(--ISNUMBER(SEARCH(","&amp;TRIM(TEXTSPLIT(AW121,","))&amp;",",","&amp;SUBSTITUTE(input_audience," ","")&amp;",")))&gt;0)),IF(AY121="",TRUE,IF(input_audience="",FALSE,SUMPRODUCT(--ISNUMBER(SEARCH(","&amp;TRIM(TEXTSPLIT(AY121,","))&amp;",",","&amp;SUBSTITUTE(input_audience," ","")&amp;",")))=COUNTA(TEXTSPLIT(AY121,",")))))</f>
        <v/>
      </c>
      <c r="IX121">
        <f>AND(IF(BA121="",TRUE,IF(input_challenge_opportunities="",FALSE,SUMPRODUCT(--ISNUMBER(SEARCH(","&amp;TRIM(TEXTSPLIT(BA121,","))&amp;",",","&amp;SUBSTITUTE(input_challenge_opportunities," ","")&amp;",")))&gt;0)),IF(BC121="",TRUE,IF(input_challenge_opportunities="",FALSE,SUMPRODUCT(--ISNUMBER(SEARCH(","&amp;TRIM(TEXTSPLIT(BC121,","))&amp;",",","&amp;SUBSTITUTE(input_challenge_opportunities," ","")&amp;",")))=COUNTA(TEXTSPLIT(BC121,",")))),IF(BE121="",TRUE,IF(input_challenge_opportunities="",TRUE,SUMPRODUCT(--ISNUMBER(SEARCH(","&amp;TRIM(TEXTSPLIT(BE121,","))&amp;",",","&amp;SUBSTITUTE(input_challenge_opportunities," ","")&amp;",")))=0)),IF(BG121="",TRUE,IF(input_challenge_opportunities="",FALSE,SUMPRODUCT(--ISNUMBER(SEARCH(","&amp;TRIM(TEXTSPLIT(BG121,","))&amp;",",","&amp;SUBSTITUTE(input_challenge_opportunities," ","")&amp;",")))&gt;0)),IF(BI121="",TRUE,IF(input_challenge_opportunities="",FALSE,SUMPRODUCT(--ISNUMBER(SEARCH(","&amp;TRIM(TEXTSPLIT(BI121,","))&amp;",",","&amp;SUBSTITUTE(input_challenge_opportunities," ","")&amp;",")))=COUNTA(TEXTSPLIT(BI121,",")))))</f>
        <v/>
      </c>
      <c r="IY121">
        <f>AND(IF(BK121="",TRUE,IF(input_context="",FALSE,SUMPRODUCT(--ISNUMBER(SEARCH(","&amp;TRIM(TEXTSPLIT(BK121,","))&amp;",",","&amp;SUBSTITUTE(input_context," ","")&amp;",")))&gt;0)),IF(BM121="",TRUE,IF(input_context="",FALSE,SUMPRODUCT(--ISNUMBER(SEARCH(","&amp;TRIM(TEXTSPLIT(BM121,","))&amp;",",","&amp;SUBSTITUTE(input_context," ","")&amp;",")))=COUNTA(TEXTSPLIT(BM121,",")))),IF(BO121="",TRUE,IF(input_context="",TRUE,SUMPRODUCT(--ISNUMBER(SEARCH(","&amp;TRIM(TEXTSPLIT(BO121,","))&amp;",",","&amp;SUBSTITUTE(input_context," ","")&amp;",")))=0)),IF(BQ121="",TRUE,IF(input_context="",FALSE,SUMPRODUCT(--ISNUMBER(SEARCH(","&amp;TRIM(TEXTSPLIT(BQ121,","))&amp;",",","&amp;SUBSTITUTE(input_context," ","")&amp;",")))&gt;0)),IF(BS121="",TRUE,IF(input_context="",FALSE,SUMPRODUCT(--ISNUMBER(SEARCH(","&amp;TRIM(TEXTSPLIT(BS121,","))&amp;",",","&amp;SUBSTITUTE(input_context," ","")&amp;",")))=COUNTA(TEXTSPLIT(BS121,",")))))</f>
        <v/>
      </c>
      <c r="IZ121">
        <f>AND(IF(BU121="",TRUE,IF(input_enews_announcement_type="",FALSE,SUMPRODUCT(--ISNUMBER(SEARCH(","&amp;TRIM(TEXTSPLIT(BU121,","))&amp;",",","&amp;SUBSTITUTE(input_enews_announcement_type," ","")&amp;",")))&gt;0)),IF(BW121="",TRUE,IF(input_enews_announcement_type="",FALSE,SUMPRODUCT(--ISNUMBER(SEARCH(","&amp;TRIM(TEXTSPLIT(BW121,","))&amp;",",","&amp;SUBSTITUTE(input_enews_announcement_type," ","")&amp;",")))=COUNTA(TEXTSPLIT(BW121,",")))),IF(BY121="",TRUE,IF(input_enews_announcement_type="",TRUE,SUMPRODUCT(--ISNUMBER(SEARCH(","&amp;TRIM(TEXTSPLIT(BY121,","))&amp;",",","&amp;SUBSTITUTE(input_enews_announcement_type," ","")&amp;",")))=0)),IF(CA121="",TRUE,IF(input_enews_announcement_type="",FALSE,SUMPRODUCT(--ISNUMBER(SEARCH(","&amp;TRIM(TEXTSPLIT(CA121,","))&amp;",",","&amp;SUBSTITUTE(input_enews_announcement_type," ","")&amp;",")))&gt;0)),IF(CC121="",TRUE,IF(input_enews_announcement_type="",FALSE,SUMPRODUCT(--ISNUMBER(SEARCH(","&amp;TRIM(TEXTSPLIT(CC121,","))&amp;",",","&amp;SUBSTITUTE(input_enews_announcement_type," ","")&amp;",")))=COUNTA(TEXTSPLIT(CC121,",")))))</f>
        <v/>
      </c>
      <c r="JA121">
        <f>AND(IF(CE121="",TRUE,IF(input_enews_audience="",FALSE,SUMPRODUCT(--ISNUMBER(SEARCH(","&amp;TRIM(TEXTSPLIT(CE121,","))&amp;",",","&amp;SUBSTITUTE(input_enews_audience," ","")&amp;",")))&gt;0)),IF(CG121="",TRUE,IF(input_enews_audience="",FALSE,SUMPRODUCT(--ISNUMBER(SEARCH(","&amp;TRIM(TEXTSPLIT(CG121,","))&amp;",",","&amp;SUBSTITUTE(input_enews_audience," ","")&amp;",")))=COUNTA(TEXTSPLIT(CG121,",")))),IF(CI121="",TRUE,IF(input_enews_audience="",TRUE,SUMPRODUCT(--ISNUMBER(SEARCH(","&amp;TRIM(TEXTSPLIT(CI121,","))&amp;",",","&amp;SUBSTITUTE(input_enews_audience," ","")&amp;",")))=0)),IF(CK121="",TRUE,IF(input_enews_audience="",FALSE,SUMPRODUCT(--ISNUMBER(SEARCH(","&amp;TRIM(TEXTSPLIT(CK121,","))&amp;",",","&amp;SUBSTITUTE(input_enews_audience," ","")&amp;",")))&gt;0)),IF(CM121="",TRUE,IF(input_enews_audience="",FALSE,SUMPRODUCT(--ISNUMBER(SEARCH(","&amp;TRIM(TEXTSPLIT(CM121,","))&amp;",",","&amp;SUBSTITUTE(input_enews_audience," ","")&amp;",")))=COUNTA(TEXTSPLIT(CM121,",")))))</f>
        <v/>
      </c>
      <c r="JB121">
        <f>AND(IF(CO121="",TRUE,IF(input_event_location="",FALSE,SUMPRODUCT(--ISNUMBER(SEARCH(","&amp;TRIM(TEXTSPLIT(CO121,","))&amp;",",","&amp;SUBSTITUTE(input_event_location," ","")&amp;",")))&gt;0)),IF(CQ121="",TRUE,IF(input_event_location="",FALSE,SUMPRODUCT(--ISNUMBER(SEARCH(","&amp;TRIM(TEXTSPLIT(CQ121,","))&amp;",",","&amp;SUBSTITUTE(input_event_location," ","")&amp;",")))=COUNTA(TEXTSPLIT(CQ121,",")))),IF(CS121="",TRUE,IF(input_event_location="",TRUE,SUMPRODUCT(--ISNUMBER(SEARCH(","&amp;TRIM(TEXTSPLIT(CS121,","))&amp;",",","&amp;SUBSTITUTE(input_event_location," ","")&amp;",")))=0)),IF(CU121="",TRUE,IF(input_event_location="",FALSE,SUMPRODUCT(--ISNUMBER(SEARCH(","&amp;TRIM(TEXTSPLIT(CU121,","))&amp;",",","&amp;SUBSTITUTE(input_event_location," ","")&amp;",")))&gt;0)),IF(CW121="",TRUE,IF(input_event_location="",FALSE,SUMPRODUCT(--ISNUMBER(SEARCH(","&amp;TRIM(TEXTSPLIT(CW121,","))&amp;",",","&amp;SUBSTITUTE(input_event_location," ","")&amp;",")))=COUNTA(TEXTSPLIT(CW121,",")))))</f>
        <v/>
      </c>
      <c r="JC121">
        <f>AND(IF(CY121="",TRUE,IF(input_event_type="",FALSE,SUMPRODUCT(--ISNUMBER(SEARCH(","&amp;TRIM(TEXTSPLIT(CY121,","))&amp;",",","&amp;SUBSTITUTE(input_event_type," ","")&amp;",")))&gt;0)),IF(DA121="",TRUE,IF(input_event_type="",FALSE,SUMPRODUCT(--ISNUMBER(SEARCH(","&amp;TRIM(TEXTSPLIT(DA121,","))&amp;",",","&amp;SUBSTITUTE(input_event_type," ","")&amp;",")))=COUNTA(TEXTSPLIT(DA121,",")))),IF(DC121="",TRUE,IF(input_event_type="",TRUE,SUMPRODUCT(--ISNUMBER(SEARCH(","&amp;TRIM(TEXTSPLIT(DC121,","))&amp;",",","&amp;SUBSTITUTE(input_event_type," ","")&amp;",")))=0)),IF(DE121="",TRUE,IF(input_event_type="",FALSE,SUMPRODUCT(--ISNUMBER(SEARCH(","&amp;TRIM(TEXTSPLIT(DE121,","))&amp;",",","&amp;SUBSTITUTE(input_event_type," ","")&amp;",")))&gt;0)),IF(DG121="",TRUE,IF(input_event_type="",FALSE,SUMPRODUCT(--ISNUMBER(SEARCH(","&amp;TRIM(TEXTSPLIT(DG121,","))&amp;",",","&amp;SUBSTITUTE(input_event_type," ","")&amp;",")))=COUNTA(TEXTSPLIT(DG121,",")))))</f>
        <v/>
      </c>
      <c r="JD121">
        <f>AND(IF(DI121="",TRUE,IF(input_executive_education_focus="",FALSE,SUMPRODUCT(--ISNUMBER(SEARCH(","&amp;TRIM(TEXTSPLIT(DI121,","))&amp;",",","&amp;SUBSTITUTE(input_executive_education_focus," ","")&amp;",")))&gt;0)),IF(DK121="",TRUE,IF(input_executive_education_focus="",FALSE,SUMPRODUCT(--ISNUMBER(SEARCH(","&amp;TRIM(TEXTSPLIT(DK121,","))&amp;",",","&amp;SUBSTITUTE(input_executive_education_focus," ","")&amp;",")))=COUNTA(TEXTSPLIT(DK121,",")))),IF(DM121="",TRUE,IF(input_executive_education_focus="",TRUE,SUMPRODUCT(--ISNUMBER(SEARCH(","&amp;TRIM(TEXTSPLIT(DM121,","))&amp;",",","&amp;SUBSTITUTE(input_executive_education_focus," ","")&amp;",")))=0)),IF(DO121="",TRUE,IF(input_executive_education_focus="",FALSE,SUMPRODUCT(--ISNUMBER(SEARCH(","&amp;TRIM(TEXTSPLIT(DO121,","))&amp;",",","&amp;SUBSTITUTE(input_executive_education_focus," ","")&amp;",")))&gt;0)),IF(DQ121="",TRUE,IF(input_executive_education_focus="",FALSE,SUMPRODUCT(--ISNUMBER(SEARCH(","&amp;TRIM(TEXTSPLIT(DQ121,","))&amp;",",","&amp;SUBSTITUTE(input_executive_education_focus," ","")&amp;",")))=COUNTA(TEXTSPLIT(DQ121,",")))))</f>
        <v/>
      </c>
      <c r="JE121">
        <f>AND(IF(DS121="",TRUE,IF(input_faculty_category="",FALSE,SUMPRODUCT(--ISNUMBER(SEARCH(","&amp;TRIM(TEXTSPLIT(DS121,","))&amp;",",","&amp;SUBSTITUTE(input_faculty_category," ","")&amp;",")))&gt;0)),IF(DU121="",TRUE,IF(input_faculty_category="",FALSE,SUMPRODUCT(--ISNUMBER(SEARCH(","&amp;TRIM(TEXTSPLIT(DU121,","))&amp;",",","&amp;SUBSTITUTE(input_faculty_category," ","")&amp;",")))=COUNTA(TEXTSPLIT(DU121,",")))),IF(DW121="",TRUE,IF(input_faculty_category="",TRUE,SUMPRODUCT(--ISNUMBER(SEARCH(","&amp;TRIM(TEXTSPLIT(DW121,","))&amp;",",","&amp;SUBSTITUTE(input_faculty_category," ","")&amp;",")))=0)),IF(DY121="",TRUE,IF(input_faculty_category="",FALSE,SUMPRODUCT(--ISNUMBER(SEARCH(","&amp;TRIM(TEXTSPLIT(DY121,","))&amp;",",","&amp;SUBSTITUTE(input_faculty_category," ","")&amp;",")))&gt;0)),IF(EA121="",TRUE,IF(input_faculty_category="",FALSE,SUMPRODUCT(--ISNUMBER(SEARCH(","&amp;TRIM(TEXTSPLIT(EA121,","))&amp;",",","&amp;SUBSTITUTE(input_faculty_category," ","")&amp;",")))=COUNTA(TEXTSPLIT(EA121,",")))))</f>
        <v/>
      </c>
      <c r="JF121">
        <f>AND(IF(EC121="",TRUE,IF(input_faculty_discipline="",FALSE,SUMPRODUCT(--ISNUMBER(SEARCH(","&amp;TRIM(TEXTSPLIT(EC121,","))&amp;",",","&amp;SUBSTITUTE(input_faculty_discipline," ","")&amp;",")))&gt;0)),IF(EE121="",TRUE,IF(input_faculty_discipline="",FALSE,SUMPRODUCT(--ISNUMBER(SEARCH(","&amp;TRIM(TEXTSPLIT(EE121,","))&amp;",",","&amp;SUBSTITUTE(input_faculty_discipline," ","")&amp;",")))=COUNTA(TEXTSPLIT(EE121,",")))),IF(EG121="",TRUE,IF(input_faculty_discipline="",TRUE,SUMPRODUCT(--ISNUMBER(SEARCH(","&amp;TRIM(TEXTSPLIT(EG121,","))&amp;",",","&amp;SUBSTITUTE(input_faculty_discipline," ","")&amp;",")))=0)),IF(EI121="",TRUE,IF(input_faculty_discipline="",FALSE,SUMPRODUCT(--ISNUMBER(SEARCH(","&amp;TRIM(TEXTSPLIT(EI121,","))&amp;",",","&amp;SUBSTITUTE(input_faculty_discipline," ","")&amp;",")))&gt;0)),IF(EK121="",TRUE,IF(input_faculty_discipline="",FALSE,SUMPRODUCT(--ISNUMBER(SEARCH(","&amp;TRIM(TEXTSPLIT(EK121,","))&amp;",",","&amp;SUBSTITUTE(input_faculty_discipline," ","")&amp;",")))=COUNTA(TEXTSPLIT(EK121,",")))))</f>
        <v/>
      </c>
      <c r="JG121">
        <f>AND(IF(EM121="",TRUE,IF(input_faculty_expertise="",FALSE,SUMPRODUCT(--ISNUMBER(SEARCH(","&amp;TRIM(TEXTSPLIT(EM121,","))&amp;",",","&amp;SUBSTITUTE(input_faculty_expertise," ","")&amp;",")))&gt;0)),IF(EO121="",TRUE,IF(input_faculty_expertise="",FALSE,SUMPRODUCT(--ISNUMBER(SEARCH(","&amp;TRIM(TEXTSPLIT(EO121,","))&amp;",",","&amp;SUBSTITUTE(input_faculty_expertise," ","")&amp;",")))=COUNTA(TEXTSPLIT(EO121,",")))),IF(EQ121="",TRUE,IF(input_faculty_expertise="",TRUE,SUMPRODUCT(--ISNUMBER(SEARCH(","&amp;TRIM(TEXTSPLIT(EQ121,","))&amp;",",","&amp;SUBSTITUTE(input_faculty_expertise," ","")&amp;",")))=0)),IF(ES121="",TRUE,IF(input_faculty_expertise="",FALSE,SUMPRODUCT(--ISNUMBER(SEARCH(","&amp;TRIM(TEXTSPLIT(ES121,","))&amp;",",","&amp;SUBSTITUTE(input_faculty_expertise," ","")&amp;",")))&gt;0)),IF(EU121="",TRUE,IF(input_faculty_expertise="",FALSE,SUMPRODUCT(--ISNUMBER(SEARCH(","&amp;TRIM(TEXTSPLIT(EU121,","))&amp;",",","&amp;SUBSTITUTE(input_faculty_expertise," ","")&amp;",")))=COUNTA(TEXTSPLIT(EU121,",")))))</f>
        <v/>
      </c>
      <c r="JH121">
        <f>AND(IF(EW121="",TRUE,IF(input_global_network_school="",FALSE,SUMPRODUCT(--ISNUMBER(SEARCH(","&amp;TRIM(TEXTSPLIT(EW121,","))&amp;",",","&amp;SUBSTITUTE(input_global_network_school," ","")&amp;",")))&gt;0)),IF(EY121="",TRUE,IF(input_global_network_school="",FALSE,SUMPRODUCT(--ISNUMBER(SEARCH(","&amp;TRIM(TEXTSPLIT(EY121,","))&amp;",",","&amp;SUBSTITUTE(input_global_network_school," ","")&amp;",")))=COUNTA(TEXTSPLIT(EY121,",")))),IF(FA121="",TRUE,IF(input_global_network_school="",TRUE,SUMPRODUCT(--ISNUMBER(SEARCH(","&amp;TRIM(TEXTSPLIT(FA121,","))&amp;",",","&amp;SUBSTITUTE(input_global_network_school," ","")&amp;",")))=0)),IF(FC121="",TRUE,IF(input_global_network_school="",FALSE,SUMPRODUCT(--ISNUMBER(SEARCH(","&amp;TRIM(TEXTSPLIT(FC121,","))&amp;",",","&amp;SUBSTITUTE(input_global_network_school," ","")&amp;",")))&gt;0)),IF(FE121="",TRUE,IF(input_global_network_school="",FALSE,SUMPRODUCT(--ISNUMBER(SEARCH(","&amp;TRIM(TEXTSPLIT(FE121,","))&amp;",",","&amp;SUBSTITUTE(input_global_network_school," ","")&amp;",")))=COUNTA(TEXTSPLIT(FE121,",")))))</f>
        <v/>
      </c>
      <c r="JI121">
        <f>AND(IF(FG121="",TRUE,IF(input_industry="",FALSE,SUMPRODUCT(--ISNUMBER(SEARCH(","&amp;TRIM(TEXTSPLIT(FG121,","))&amp;",",","&amp;SUBSTITUTE(input_industry," ","")&amp;",")))&gt;0)),IF(FI121="",TRUE,IF(input_industry="",FALSE,SUMPRODUCT(--ISNUMBER(SEARCH(","&amp;TRIM(TEXTSPLIT(FI121,","))&amp;",",","&amp;SUBSTITUTE(input_industry," ","")&amp;",")))=COUNTA(TEXTSPLIT(FI121,",")))),IF(FK121="",TRUE,IF(input_industry="",TRUE,SUMPRODUCT(--ISNUMBER(SEARCH(","&amp;TRIM(TEXTSPLIT(FK121,","))&amp;",",","&amp;SUBSTITUTE(input_industry," ","")&amp;",")))=0)),IF(FM121="",TRUE,IF(input_industry="",FALSE,SUMPRODUCT(--ISNUMBER(SEARCH(","&amp;TRIM(TEXTSPLIT(FM121,","))&amp;",",","&amp;SUBSTITUTE(input_industry," ","")&amp;",")))&gt;0)),IF(FO121="",TRUE,IF(input_industry="",FALSE,SUMPRODUCT(--ISNUMBER(SEARCH(","&amp;TRIM(TEXTSPLIT(FO121,","))&amp;",",","&amp;SUBSTITUTE(input_industry," ","")&amp;",")))=COUNTA(TEXTSPLIT(FO121,",")))))</f>
        <v/>
      </c>
      <c r="JJ121">
        <f>AND(IF(FQ121="",TRUE,IF(input_location="",FALSE,SUMPRODUCT(--ISNUMBER(SEARCH(","&amp;TRIM(TEXTSPLIT(FQ121,","))&amp;",",","&amp;SUBSTITUTE(input_location," ","")&amp;",")))&gt;0)),IF(FS121="",TRUE,IF(input_location="",FALSE,SUMPRODUCT(--ISNUMBER(SEARCH(","&amp;TRIM(TEXTSPLIT(FS121,","))&amp;",",","&amp;SUBSTITUTE(input_location," ","")&amp;",")))=COUNTA(TEXTSPLIT(FS121,",")))),IF(FU121="",TRUE,IF(input_location="",TRUE,SUMPRODUCT(--ISNUMBER(SEARCH(","&amp;TRIM(TEXTSPLIT(FU121,","))&amp;",",","&amp;SUBSTITUTE(input_location," ","")&amp;",")))=0)),IF(FW121="",TRUE,IF(input_location="",FALSE,SUMPRODUCT(--ISNUMBER(SEARCH(","&amp;TRIM(TEXTSPLIT(FW121,","))&amp;",",","&amp;SUBSTITUTE(input_location," ","")&amp;",")))&gt;0)),IF(FY121="",TRUE,IF(input_location="",FALSE,SUMPRODUCT(--ISNUMBER(SEARCH(","&amp;TRIM(TEXTSPLIT(FY121,","))&amp;",",","&amp;SUBSTITUTE(input_location," ","")&amp;",")))=COUNTA(TEXTSPLIT(FY121,",")))))</f>
        <v/>
      </c>
      <c r="JK121">
        <f>AND(IF(GA121="",TRUE,IF(input_modality="",FALSE,SUMPRODUCT(--ISNUMBER(SEARCH(","&amp;TRIM(TEXTSPLIT(GA121,","))&amp;",",","&amp;SUBSTITUTE(input_modality," ","")&amp;",")))&gt;0)),IF(GC121="",TRUE,IF(input_modality="",FALSE,SUMPRODUCT(--ISNUMBER(SEARCH(","&amp;TRIM(TEXTSPLIT(GC121,","))&amp;",",","&amp;SUBSTITUTE(input_modality," ","")&amp;",")))=COUNTA(TEXTSPLIT(GC121,",")))),IF(GE121="",TRUE,IF(input_modality="",TRUE,SUMPRODUCT(--ISNUMBER(SEARCH(","&amp;TRIM(TEXTSPLIT(GE121,","))&amp;",",","&amp;SUBSTITUTE(input_modality," ","")&amp;",")))=0)),IF(GG121="",TRUE,IF(input_modality="",FALSE,SUMPRODUCT(--ISNUMBER(SEARCH(","&amp;TRIM(TEXTSPLIT(GG121,","))&amp;",",","&amp;SUBSTITUTE(input_modality," ","")&amp;",")))&gt;0)),IF(GI121="",TRUE,IF(input_modality="",FALSE,SUMPRODUCT(--ISNUMBER(SEARCH(","&amp;TRIM(TEXTSPLIT(GI121,","))&amp;",",","&amp;SUBSTITUTE(input_modality," ","")&amp;",")))=COUNTA(TEXTSPLIT(GI121,",")))))</f>
        <v/>
      </c>
      <c r="JL121">
        <f>AND(IF(GK121="",TRUE,IF(input_organizer="",FALSE,SUMPRODUCT(--ISNUMBER(SEARCH(","&amp;TRIM(TEXTSPLIT(GK121,","))&amp;",",","&amp;SUBSTITUTE(input_organizer," ","")&amp;",")))&gt;0)),IF(GM121="",TRUE,IF(input_organizer="",FALSE,SUMPRODUCT(--ISNUMBER(SEARCH(","&amp;TRIM(TEXTSPLIT(GM121,","))&amp;",",","&amp;SUBSTITUTE(input_organizer," ","")&amp;",")))=COUNTA(TEXTSPLIT(GM121,",")))),IF(GO121="",TRUE,IF(input_organizer="",TRUE,SUMPRODUCT(--ISNUMBER(SEARCH(","&amp;TRIM(TEXTSPLIT(GO121,","))&amp;",",","&amp;SUBSTITUTE(input_organizer," ","")&amp;",")))=0)),IF(GQ121="",TRUE,IF(input_organizer="",FALSE,SUMPRODUCT(--ISNUMBER(SEARCH(","&amp;TRIM(TEXTSPLIT(GQ121,","))&amp;",",","&amp;SUBSTITUTE(input_organizer," ","")&amp;",")))&gt;0)),IF(GS121="",TRUE,IF(input_organizer="",FALSE,SUMPRODUCT(--ISNUMBER(SEARCH(","&amp;TRIM(TEXTSPLIT(GS121,","))&amp;",",","&amp;SUBSTITUTE(input_organizer," ","")&amp;",")))=COUNTA(TEXTSPLIT(GS121,",")))))</f>
        <v/>
      </c>
      <c r="JM121">
        <f>AND(IF(GU121="",TRUE,IF(input_profile_type="",FALSE,SUMPRODUCT(--ISNUMBER(SEARCH(","&amp;TRIM(TEXTSPLIT(GU121,","))&amp;",",","&amp;SUBSTITUTE(input_profile_type," ","")&amp;",")))&gt;0)),IF(GW121="",TRUE,IF(input_profile_type="",FALSE,SUMPRODUCT(--ISNUMBER(SEARCH(","&amp;TRIM(TEXTSPLIT(GW121,","))&amp;",",","&amp;SUBSTITUTE(input_profile_type," ","")&amp;",")))=COUNTA(TEXTSPLIT(GW121,",")))),IF(GY121="",TRUE,IF(input_profile_type="",TRUE,SUMPRODUCT(--ISNUMBER(SEARCH(","&amp;TRIM(TEXTSPLIT(GY121,","))&amp;",",","&amp;SUBSTITUTE(input_profile_type," ","")&amp;",")))=0)),IF(HA121="",TRUE,IF(input_profile_type="",FALSE,SUMPRODUCT(--ISNUMBER(SEARCH(","&amp;TRIM(TEXTSPLIT(HA121,","))&amp;",",","&amp;SUBSTITUTE(input_profile_type," ","")&amp;",")))&gt;0)),IF(HC121="",TRUE,IF(input_profile_type="",FALSE,SUMPRODUCT(--ISNUMBER(SEARCH(","&amp;TRIM(TEXTSPLIT(HC121,","))&amp;",",","&amp;SUBSTITUTE(input_profile_type," ","")&amp;",")))=COUNTA(TEXTSPLIT(HC121,",")))))</f>
        <v/>
      </c>
      <c r="JN121">
        <f>AND(IF(HE121="",TRUE,IF(input_program="",FALSE,SUMPRODUCT(--ISNUMBER(SEARCH(","&amp;TRIM(TEXTSPLIT(HE121,","))&amp;",",","&amp;SUBSTITUTE(input_program," ","")&amp;",")))&gt;0)),IF(HG121="",TRUE,IF(input_program="",FALSE,SUMPRODUCT(--ISNUMBER(SEARCH(","&amp;TRIM(TEXTSPLIT(HG121,","))&amp;",",","&amp;SUBSTITUTE(input_program," ","")&amp;",")))=COUNTA(TEXTSPLIT(HG121,",")))),IF(HI121="",TRUE,IF(input_program="",TRUE,SUMPRODUCT(--ISNUMBER(SEARCH(","&amp;TRIM(TEXTSPLIT(HI121,","))&amp;",",","&amp;SUBSTITUTE(input_program," ","")&amp;",")))=0)),IF(HK121="",TRUE,IF(input_program="",FALSE,SUMPRODUCT(--ISNUMBER(SEARCH(","&amp;TRIM(TEXTSPLIT(HK121,","))&amp;",",","&amp;SUBSTITUTE(input_program," ","")&amp;",")))&gt;0)),IF(HM121="",TRUE,IF(input_program="",FALSE,SUMPRODUCT(--ISNUMBER(SEARCH(","&amp;TRIM(TEXTSPLIT(HM121,","))&amp;",",","&amp;SUBSTITUTE(input_program," ","")&amp;",")))=COUNTA(TEXTSPLIT(HM121,",")))))</f>
        <v/>
      </c>
      <c r="JO121">
        <f>AND(IF(HO121="",TRUE,IF(input_story_categories="",FALSE,SUMPRODUCT(--ISNUMBER(SEARCH(","&amp;TRIM(TEXTSPLIT(HO121,","))&amp;",",","&amp;SUBSTITUTE(input_story_categories," ","")&amp;",")))&gt;0)),IF(HQ121="",TRUE,IF(input_story_categories="",FALSE,SUMPRODUCT(--ISNUMBER(SEARCH(","&amp;TRIM(TEXTSPLIT(HQ121,","))&amp;",",","&amp;SUBSTITUTE(input_story_categories," ","")&amp;",")))=COUNTA(TEXTSPLIT(HQ121,",")))),IF(HS121="",TRUE,IF(input_story_categories="",TRUE,SUMPRODUCT(--ISNUMBER(SEARCH(","&amp;TRIM(TEXTSPLIT(HS121,","))&amp;",",","&amp;SUBSTITUTE(input_story_categories," ","")&amp;",")))=0)),IF(HU121="",TRUE,IF(input_story_categories="",FALSE,SUMPRODUCT(--ISNUMBER(SEARCH(","&amp;TRIM(TEXTSPLIT(HU121,","))&amp;",",","&amp;SUBSTITUTE(input_story_categories," ","")&amp;",")))&gt;0)),IF(HW121="",TRUE,IF(input_story_categories="",FALSE,SUMPRODUCT(--ISNUMBER(SEARCH(","&amp;TRIM(TEXTSPLIT(HW121,","))&amp;",",","&amp;SUBSTITUTE(input_story_categories," ","")&amp;",")))=COUNTA(TEXTSPLIT(HW121,",")))))</f>
        <v/>
      </c>
      <c r="JP121">
        <f>AND(IF(HY121="",TRUE,IF(input_story_type="",FALSE,SUMPRODUCT(--ISNUMBER(SEARCH(","&amp;TRIM(TEXTSPLIT(HY121,","))&amp;",",","&amp;SUBSTITUTE(input_story_type," ","")&amp;",")))&gt;0)),IF(IA121="",TRUE,IF(input_story_type="",FALSE,SUMPRODUCT(--ISNUMBER(SEARCH(","&amp;TRIM(TEXTSPLIT(IA121,","))&amp;",",","&amp;SUBSTITUTE(input_story_type," ","")&amp;",")))=COUNTA(TEXTSPLIT(IA121,",")))),IF(IC121="",TRUE,IF(input_story_type="",TRUE,SUMPRODUCT(--ISNUMBER(SEARCH(","&amp;TRIM(TEXTSPLIT(IC121,","))&amp;",",","&amp;SUBSTITUTE(input_story_type," ","")&amp;",")))=0)),IF(IE121="",TRUE,IF(input_story_type="",FALSE,SUMPRODUCT(--ISNUMBER(SEARCH(","&amp;TRIM(TEXTSPLIT(IE121,","))&amp;",",","&amp;SUBSTITUTE(input_story_type," ","")&amp;",")))&gt;0)),IF(IG121="",TRUE,IF(input_story_type="",FALSE,SUMPRODUCT(--ISNUMBER(SEARCH(","&amp;TRIM(TEXTSPLIT(IG121,","))&amp;",",","&amp;SUBSTITUTE(input_story_type," ","")&amp;",")))=COUNTA(TEXTSPLIT(IG121,",")))))</f>
        <v/>
      </c>
      <c r="JQ121">
        <f>AND(IF(II121="",TRUE,IF(input_topics="",FALSE,SUMPRODUCT(--ISNUMBER(SEARCH(","&amp;TRIM(TEXTSPLIT(II121,","))&amp;",",","&amp;SUBSTITUTE(input_topics," ","")&amp;",")))&gt;0)),IF(IK121="",TRUE,IF(input_topics="",FALSE,SUMPRODUCT(--ISNUMBER(SEARCH(","&amp;TRIM(TEXTSPLIT(IK121,","))&amp;",",","&amp;SUBSTITUTE(input_topics," ","")&amp;",")))=COUNTA(TEXTSPLIT(IK121,",")))),IF(IM121="",TRUE,IF(input_topics="",TRUE,SUMPRODUCT(--ISNUMBER(SEARCH(","&amp;TRIM(TEXTSPLIT(IM121,","))&amp;",",","&amp;SUBSTITUTE(input_topics," ","")&amp;",")))=0)),IF(IO121="",TRUE,IF(input_topics="",FALSE,SUMPRODUCT(--ISNUMBER(SEARCH(","&amp;TRIM(TEXTSPLIT(IO121,","))&amp;",",","&amp;SUBSTITUTE(input_topics," ","")&amp;",")))&gt;0)),IF(IQ121="",TRUE,IF(input_topics="",FALSE,SUMPRODUCT(--ISNUMBER(SEARCH(","&amp;TRIM(TEXTSPLIT(IQ121,","))&amp;",",","&amp;SUBSTITUTE(input_topics," ","")&amp;",")))=COUNTA(TEXTSPLIT(IQ121,",")))))</f>
        <v/>
      </c>
    </row>
    <row r="122">
      <c r="A122" s="4">
        <f>IF(NOT(IS122),"Excluded",IF(AND(IT122,IU122,IV122,IW122,IX122,IY122,IZ122,JA122,JB122,JC122,JD122,JE122,JF122,JG122,JH122,JI122,JJ122,JK122,JL122,JM122,JN122,JO122,JP122,JQ122),IF(I122&gt;0,"Eligible but limited","Will appear"),"Excluded"))</f>
        <v/>
      </c>
      <c r="B122" s="4" t="inlineStr">
        <is>
          <t>MAM Admissions Ambassadors</t>
        </is>
      </c>
      <c r="C122" s="4" t="inlineStr">
        <is>
          <t>/programs/mam/admissions/mam-admissions-ambassadors</t>
        </is>
      </c>
      <c r="D122" s="4" t="inlineStr">
        <is>
          <t>/programs/mam/admissions/mam-admissions-ambassadors</t>
        </is>
      </c>
      <c r="E122" s="4" t="n">
        <v>1</v>
      </c>
      <c r="F122" s="4" t="inlineStr">
        <is>
          <t>profile</t>
        </is>
      </c>
      <c r="G122" s="4" t="inlineStr">
        <is>
          <t>profiles_grid</t>
        </is>
      </c>
      <c r="H122" s="4" t="inlineStr">
        <is>
          <t>embed_4</t>
        </is>
      </c>
      <c r="I122" s="4" t="n">
        <v>9</v>
      </c>
      <c r="J122" s="4" t="inlineStr">
        <is>
          <t>Explicit args</t>
        </is>
      </c>
      <c r="K122" s="4" t="inlineStr">
        <is>
          <t>Page placement</t>
        </is>
      </c>
      <c r="L122" s="4" t="inlineStr">
        <is>
          <t>Content type: profile; Needs any Profile Type: Ambassador (1552); Context uses Program: Master of Advanced Management (81); Limited to 9 item(s); Source: Explicit args</t>
        </is>
      </c>
      <c r="M122" t="inlineStr"/>
      <c r="N122" t="inlineStr"/>
      <c r="O122" t="inlineStr"/>
      <c r="P122" t="inlineStr"/>
      <c r="Q122" t="inlineStr"/>
      <c r="R122" t="inlineStr"/>
      <c r="S122" t="inlineStr"/>
      <c r="T122" t="inlineStr"/>
      <c r="U122" t="inlineStr"/>
      <c r="V122" t="inlineStr"/>
      <c r="W122" t="inlineStr"/>
      <c r="X122" t="inlineStr"/>
      <c r="Y122" t="inlineStr"/>
      <c r="Z122" t="inlineStr"/>
      <c r="AA122" t="inlineStr"/>
      <c r="AB122" t="inlineStr"/>
      <c r="AC122" t="inlineStr"/>
      <c r="AD122" t="inlineStr"/>
      <c r="AE122" t="inlineStr"/>
      <c r="AF122" t="inlineStr"/>
      <c r="AG122" t="inlineStr"/>
      <c r="AH122" t="inlineStr"/>
      <c r="AI122" t="inlineStr"/>
      <c r="AJ122" t="inlineStr"/>
      <c r="AK122" t="inlineStr"/>
      <c r="AL122" t="inlineStr"/>
      <c r="AM122" t="inlineStr"/>
      <c r="AN122" t="inlineStr"/>
      <c r="AO122" t="inlineStr"/>
      <c r="AP122" t="inlineStr"/>
      <c r="AQ122" t="inlineStr"/>
      <c r="AR122" t="inlineStr"/>
      <c r="AS122" t="inlineStr"/>
      <c r="AT122" t="inlineStr"/>
      <c r="AU122" t="inlineStr"/>
      <c r="AV122" t="inlineStr"/>
      <c r="AW122" t="inlineStr"/>
      <c r="AX122" t="inlineStr"/>
      <c r="AY122" t="inlineStr"/>
      <c r="AZ122" t="inlineStr"/>
      <c r="BA122" t="inlineStr"/>
      <c r="BB122" t="inlineStr"/>
      <c r="BC122" t="inlineStr"/>
      <c r="BD122" t="inlineStr"/>
      <c r="BE122" t="inlineStr"/>
      <c r="BF122" t="inlineStr"/>
      <c r="BG122" t="inlineStr"/>
      <c r="BH122" t="inlineStr"/>
      <c r="BI122" t="inlineStr"/>
      <c r="BJ122" t="inlineStr"/>
      <c r="BK122" t="inlineStr"/>
      <c r="BL122" t="inlineStr"/>
      <c r="BM122" t="inlineStr"/>
      <c r="BN122" t="inlineStr"/>
      <c r="BO122" t="inlineStr"/>
      <c r="BP122" t="inlineStr"/>
      <c r="BQ122" t="inlineStr"/>
      <c r="BR122" t="inlineStr"/>
      <c r="BS122" t="inlineStr"/>
      <c r="BT122" t="inlineStr"/>
      <c r="BU122" t="inlineStr"/>
      <c r="BV122" t="inlineStr"/>
      <c r="BW122" t="inlineStr"/>
      <c r="BX122" t="inlineStr"/>
      <c r="BY122" t="inlineStr"/>
      <c r="BZ122" t="inlineStr"/>
      <c r="CA122" t="inlineStr"/>
      <c r="CB122" t="inlineStr"/>
      <c r="CC122" t="inlineStr"/>
      <c r="CD122" t="inlineStr"/>
      <c r="CE122" t="inlineStr"/>
      <c r="CF122" t="inlineStr"/>
      <c r="CG122" t="inlineStr"/>
      <c r="CH122" t="inlineStr"/>
      <c r="CI122" t="inlineStr"/>
      <c r="CJ122" t="inlineStr"/>
      <c r="CK122" t="inlineStr"/>
      <c r="CL122" t="inlineStr"/>
      <c r="CM122" t="inlineStr"/>
      <c r="CN122" t="inlineStr"/>
      <c r="CO122" t="inlineStr"/>
      <c r="CP122" t="inlineStr"/>
      <c r="CQ122" t="inlineStr"/>
      <c r="CR122" t="inlineStr"/>
      <c r="CS122" t="inlineStr"/>
      <c r="CT122" t="inlineStr"/>
      <c r="CU122" t="inlineStr"/>
      <c r="CV122" t="inlineStr"/>
      <c r="CW122" t="inlineStr"/>
      <c r="CX122" t="inlineStr"/>
      <c r="CY122" t="inlineStr"/>
      <c r="CZ122" t="inlineStr"/>
      <c r="DA122" t="inlineStr"/>
      <c r="DB122" t="inlineStr"/>
      <c r="DC122" t="inlineStr"/>
      <c r="DD122" t="inlineStr"/>
      <c r="DE122" t="inlineStr"/>
      <c r="DF122" t="inlineStr"/>
      <c r="DG122" t="inlineStr"/>
      <c r="DH122" t="inlineStr"/>
      <c r="DI122" t="inlineStr"/>
      <c r="DJ122" t="inlineStr"/>
      <c r="DK122" t="inlineStr"/>
      <c r="DL122" t="inlineStr"/>
      <c r="DM122" t="inlineStr"/>
      <c r="DN122" t="inlineStr"/>
      <c r="DO122" t="inlineStr"/>
      <c r="DP122" t="inlineStr"/>
      <c r="DQ122" t="inlineStr"/>
      <c r="DR122" t="inlineStr"/>
      <c r="DS122" t="inlineStr"/>
      <c r="DT122" t="inlineStr"/>
      <c r="DU122" t="inlineStr"/>
      <c r="DV122" t="inlineStr"/>
      <c r="DW122" t="inlineStr"/>
      <c r="DX122" t="inlineStr"/>
      <c r="DY122" t="inlineStr"/>
      <c r="DZ122" t="inlineStr"/>
      <c r="EA122" t="inlineStr"/>
      <c r="EB122" t="inlineStr"/>
      <c r="EC122" t="inlineStr"/>
      <c r="ED122" t="inlineStr"/>
      <c r="EE122" t="inlineStr"/>
      <c r="EF122" t="inlineStr"/>
      <c r="EG122" t="inlineStr"/>
      <c r="EH122" t="inlineStr"/>
      <c r="EI122" t="inlineStr"/>
      <c r="EJ122" t="inlineStr"/>
      <c r="EK122" t="inlineStr"/>
      <c r="EL122" t="inlineStr"/>
      <c r="EM122" t="inlineStr"/>
      <c r="EN122" t="inlineStr"/>
      <c r="EO122" t="inlineStr"/>
      <c r="EP122" t="inlineStr"/>
      <c r="EQ122" t="inlineStr"/>
      <c r="ER122" t="inlineStr"/>
      <c r="ES122" t="inlineStr"/>
      <c r="ET122" t="inlineStr"/>
      <c r="EU122" t="inlineStr"/>
      <c r="EV122" t="inlineStr"/>
      <c r="EW122" t="inlineStr"/>
      <c r="EX122" t="inlineStr"/>
      <c r="EY122" t="inlineStr"/>
      <c r="EZ122" t="inlineStr"/>
      <c r="FA122" t="inlineStr"/>
      <c r="FB122" t="inlineStr"/>
      <c r="FC122" t="inlineStr"/>
      <c r="FD122" t="inlineStr"/>
      <c r="FE122" t="inlineStr"/>
      <c r="FF122" t="inlineStr"/>
      <c r="FG122" t="inlineStr"/>
      <c r="FH122" t="inlineStr"/>
      <c r="FI122" t="inlineStr"/>
      <c r="FJ122" t="inlineStr"/>
      <c r="FK122" t="inlineStr"/>
      <c r="FL122" t="inlineStr"/>
      <c r="FM122" t="inlineStr"/>
      <c r="FN122" t="inlineStr"/>
      <c r="FO122" t="inlineStr"/>
      <c r="FP122" t="inlineStr"/>
      <c r="FQ122" t="inlineStr"/>
      <c r="FR122" t="inlineStr"/>
      <c r="FS122" t="inlineStr"/>
      <c r="FT122" t="inlineStr"/>
      <c r="FU122" t="inlineStr"/>
      <c r="FV122" t="inlineStr"/>
      <c r="FW122" t="inlineStr"/>
      <c r="FX122" t="inlineStr"/>
      <c r="FY122" t="inlineStr"/>
      <c r="FZ122" t="inlineStr"/>
      <c r="GA122" t="inlineStr"/>
      <c r="GB122" t="inlineStr"/>
      <c r="GC122" t="inlineStr"/>
      <c r="GD122" t="inlineStr"/>
      <c r="GE122" t="inlineStr"/>
      <c r="GF122" t="inlineStr"/>
      <c r="GG122" t="inlineStr"/>
      <c r="GH122" t="inlineStr"/>
      <c r="GI122" t="inlineStr"/>
      <c r="GJ122" t="inlineStr"/>
      <c r="GK122" t="inlineStr"/>
      <c r="GL122" t="inlineStr"/>
      <c r="GM122" t="inlineStr"/>
      <c r="GN122" t="inlineStr"/>
      <c r="GO122" t="inlineStr"/>
      <c r="GP122" t="inlineStr"/>
      <c r="GQ122" t="inlineStr"/>
      <c r="GR122" t="inlineStr"/>
      <c r="GS122" t="inlineStr"/>
      <c r="GT122" t="inlineStr"/>
      <c r="GU122" t="inlineStr">
        <is>
          <t>1552</t>
        </is>
      </c>
      <c r="GV122" t="inlineStr">
        <is>
          <t>Ambassador (1552)</t>
        </is>
      </c>
      <c r="GW122" t="inlineStr"/>
      <c r="GX122" t="inlineStr"/>
      <c r="GY122" t="inlineStr"/>
      <c r="GZ122" t="inlineStr"/>
      <c r="HA122" t="inlineStr"/>
      <c r="HB122" t="inlineStr"/>
      <c r="HC122" t="inlineStr"/>
      <c r="HD122" t="inlineStr"/>
      <c r="HE122" t="inlineStr"/>
      <c r="HF122" t="inlineStr"/>
      <c r="HG122" t="inlineStr"/>
      <c r="HH122" t="inlineStr"/>
      <c r="HI122" t="inlineStr"/>
      <c r="HJ122" t="inlineStr"/>
      <c r="HK122" t="inlineStr">
        <is>
          <t>81</t>
        </is>
      </c>
      <c r="HL122" t="inlineStr">
        <is>
          <t>Master of Advanced Management (81)</t>
        </is>
      </c>
      <c r="HM122" t="inlineStr"/>
      <c r="HN122" t="inlineStr"/>
      <c r="HO122" t="inlineStr"/>
      <c r="HP122" t="inlineStr"/>
      <c r="HQ122" t="inlineStr"/>
      <c r="HR122" t="inlineStr"/>
      <c r="HS122" t="inlineStr"/>
      <c r="HT122" t="inlineStr"/>
      <c r="HU122" t="inlineStr"/>
      <c r="HV122" t="inlineStr"/>
      <c r="HW122" t="inlineStr"/>
      <c r="HX122" t="inlineStr"/>
      <c r="HY122" t="inlineStr"/>
      <c r="HZ122" t="inlineStr"/>
      <c r="IA122" t="inlineStr"/>
      <c r="IB122" t="inlineStr"/>
      <c r="IC122" t="inlineStr"/>
      <c r="ID122" t="inlineStr"/>
      <c r="IE122" t="inlineStr"/>
      <c r="IF122" t="inlineStr"/>
      <c r="IG122" t="inlineStr"/>
      <c r="IH122" t="inlineStr"/>
      <c r="II122" t="inlineStr"/>
      <c r="IJ122" t="inlineStr"/>
      <c r="IK122" t="inlineStr"/>
      <c r="IL122" t="inlineStr"/>
      <c r="IM122" t="inlineStr"/>
      <c r="IN122" t="inlineStr"/>
      <c r="IO122" t="inlineStr"/>
      <c r="IP122" t="inlineStr"/>
      <c r="IQ122" t="inlineStr"/>
      <c r="IR122" t="inlineStr"/>
      <c r="IS122">
        <f>IF(input_content_type="",FALSE,ISNUMBER(SEARCH(","&amp;LOWER(input_content_type)&amp;",",","&amp;LOWER(F122)&amp;",")))</f>
        <v/>
      </c>
      <c r="IT122">
        <f>AND(IF(M122="",TRUE,IF(input_affiliations="",FALSE,SUMPRODUCT(--ISNUMBER(SEARCH(","&amp;TRIM(TEXTSPLIT(M122,","))&amp;",",","&amp;SUBSTITUTE(input_affiliations," ","")&amp;",")))&gt;0)),IF(O122="",TRUE,IF(input_affiliations="",FALSE,SUMPRODUCT(--ISNUMBER(SEARCH(","&amp;TRIM(TEXTSPLIT(O122,","))&amp;",",","&amp;SUBSTITUTE(input_affiliations," ","")&amp;",")))=COUNTA(TEXTSPLIT(O122,",")))),IF(Q122="",TRUE,IF(input_affiliations="",TRUE,SUMPRODUCT(--ISNUMBER(SEARCH(","&amp;TRIM(TEXTSPLIT(Q122,","))&amp;",",","&amp;SUBSTITUTE(input_affiliations," ","")&amp;",")))=0)),IF(S122="",TRUE,IF(input_affiliations="",FALSE,SUMPRODUCT(--ISNUMBER(SEARCH(","&amp;TRIM(TEXTSPLIT(S122,","))&amp;",",","&amp;SUBSTITUTE(input_affiliations," ","")&amp;",")))&gt;0)),IF(U122="",TRUE,IF(input_affiliations="",FALSE,SUMPRODUCT(--ISNUMBER(SEARCH(","&amp;TRIM(TEXTSPLIT(U122,","))&amp;",",","&amp;SUBSTITUTE(input_affiliations," ","")&amp;",")))=COUNTA(TEXTSPLIT(U122,",")))))</f>
        <v/>
      </c>
      <c r="IU122">
        <f>AND(IF(W122="",TRUE,IF(input_announcement_category="",FALSE,SUMPRODUCT(--ISNUMBER(SEARCH(","&amp;TRIM(TEXTSPLIT(W122,","))&amp;",",","&amp;SUBSTITUTE(input_announcement_category," ","")&amp;",")))&gt;0)),IF(Y122="",TRUE,IF(input_announcement_category="",FALSE,SUMPRODUCT(--ISNUMBER(SEARCH(","&amp;TRIM(TEXTSPLIT(Y122,","))&amp;",",","&amp;SUBSTITUTE(input_announcement_category," ","")&amp;",")))=COUNTA(TEXTSPLIT(Y122,",")))),IF(AA122="",TRUE,IF(input_announcement_category="",TRUE,SUMPRODUCT(--ISNUMBER(SEARCH(","&amp;TRIM(TEXTSPLIT(AA122,","))&amp;",",","&amp;SUBSTITUTE(input_announcement_category," ","")&amp;",")))=0)),IF(AC122="",TRUE,IF(input_announcement_category="",FALSE,SUMPRODUCT(--ISNUMBER(SEARCH(","&amp;TRIM(TEXTSPLIT(AC122,","))&amp;",",","&amp;SUBSTITUTE(input_announcement_category," ","")&amp;",")))&gt;0)),IF(AE122="",TRUE,IF(input_announcement_category="",FALSE,SUMPRODUCT(--ISNUMBER(SEARCH(","&amp;TRIM(TEXTSPLIT(AE122,","))&amp;",",","&amp;SUBSTITUTE(input_announcement_category," ","")&amp;",")))=COUNTA(TEXTSPLIT(AE122,",")))))</f>
        <v/>
      </c>
      <c r="IV122">
        <f>AND(IF(AG122="",TRUE,IF(input_area_of_focus="",FALSE,SUMPRODUCT(--ISNUMBER(SEARCH(","&amp;TRIM(TEXTSPLIT(AG122,","))&amp;",",","&amp;SUBSTITUTE(input_area_of_focus," ","")&amp;",")))&gt;0)),IF(AI122="",TRUE,IF(input_area_of_focus="",FALSE,SUMPRODUCT(--ISNUMBER(SEARCH(","&amp;TRIM(TEXTSPLIT(AI122,","))&amp;",",","&amp;SUBSTITUTE(input_area_of_focus," ","")&amp;",")))=COUNTA(TEXTSPLIT(AI122,",")))),IF(AK122="",TRUE,IF(input_area_of_focus="",TRUE,SUMPRODUCT(--ISNUMBER(SEARCH(","&amp;TRIM(TEXTSPLIT(AK122,","))&amp;",",","&amp;SUBSTITUTE(input_area_of_focus," ","")&amp;",")))=0)),IF(AM122="",TRUE,IF(input_area_of_focus="",FALSE,SUMPRODUCT(--ISNUMBER(SEARCH(","&amp;TRIM(TEXTSPLIT(AM122,","))&amp;",",","&amp;SUBSTITUTE(input_area_of_focus," ","")&amp;",")))&gt;0)),IF(AO122="",TRUE,IF(input_area_of_focus="",FALSE,SUMPRODUCT(--ISNUMBER(SEARCH(","&amp;TRIM(TEXTSPLIT(AO122,","))&amp;",",","&amp;SUBSTITUTE(input_area_of_focus," ","")&amp;",")))=COUNTA(TEXTSPLIT(AO122,",")))))</f>
        <v/>
      </c>
      <c r="IW122">
        <f>AND(IF(AQ122="",TRUE,IF(input_audience="",FALSE,SUMPRODUCT(--ISNUMBER(SEARCH(","&amp;TRIM(TEXTSPLIT(AQ122,","))&amp;",",","&amp;SUBSTITUTE(input_audience," ","")&amp;",")))&gt;0)),IF(AS122="",TRUE,IF(input_audience="",FALSE,SUMPRODUCT(--ISNUMBER(SEARCH(","&amp;TRIM(TEXTSPLIT(AS122,","))&amp;",",","&amp;SUBSTITUTE(input_audience," ","")&amp;",")))=COUNTA(TEXTSPLIT(AS122,",")))),IF(AU122="",TRUE,IF(input_audience="",TRUE,SUMPRODUCT(--ISNUMBER(SEARCH(","&amp;TRIM(TEXTSPLIT(AU122,","))&amp;",",","&amp;SUBSTITUTE(input_audience," ","")&amp;",")))=0)),IF(AW122="",TRUE,IF(input_audience="",FALSE,SUMPRODUCT(--ISNUMBER(SEARCH(","&amp;TRIM(TEXTSPLIT(AW122,","))&amp;",",","&amp;SUBSTITUTE(input_audience," ","")&amp;",")))&gt;0)),IF(AY122="",TRUE,IF(input_audience="",FALSE,SUMPRODUCT(--ISNUMBER(SEARCH(","&amp;TRIM(TEXTSPLIT(AY122,","))&amp;",",","&amp;SUBSTITUTE(input_audience," ","")&amp;",")))=COUNTA(TEXTSPLIT(AY122,",")))))</f>
        <v/>
      </c>
      <c r="IX122">
        <f>AND(IF(BA122="",TRUE,IF(input_challenge_opportunities="",FALSE,SUMPRODUCT(--ISNUMBER(SEARCH(","&amp;TRIM(TEXTSPLIT(BA122,","))&amp;",",","&amp;SUBSTITUTE(input_challenge_opportunities," ","")&amp;",")))&gt;0)),IF(BC122="",TRUE,IF(input_challenge_opportunities="",FALSE,SUMPRODUCT(--ISNUMBER(SEARCH(","&amp;TRIM(TEXTSPLIT(BC122,","))&amp;",",","&amp;SUBSTITUTE(input_challenge_opportunities," ","")&amp;",")))=COUNTA(TEXTSPLIT(BC122,",")))),IF(BE122="",TRUE,IF(input_challenge_opportunities="",TRUE,SUMPRODUCT(--ISNUMBER(SEARCH(","&amp;TRIM(TEXTSPLIT(BE122,","))&amp;",",","&amp;SUBSTITUTE(input_challenge_opportunities," ","")&amp;",")))=0)),IF(BG122="",TRUE,IF(input_challenge_opportunities="",FALSE,SUMPRODUCT(--ISNUMBER(SEARCH(","&amp;TRIM(TEXTSPLIT(BG122,","))&amp;",",","&amp;SUBSTITUTE(input_challenge_opportunities," ","")&amp;",")))&gt;0)),IF(BI122="",TRUE,IF(input_challenge_opportunities="",FALSE,SUMPRODUCT(--ISNUMBER(SEARCH(","&amp;TRIM(TEXTSPLIT(BI122,","))&amp;",",","&amp;SUBSTITUTE(input_challenge_opportunities," ","")&amp;",")))=COUNTA(TEXTSPLIT(BI122,",")))))</f>
        <v/>
      </c>
      <c r="IY122">
        <f>AND(IF(BK122="",TRUE,IF(input_context="",FALSE,SUMPRODUCT(--ISNUMBER(SEARCH(","&amp;TRIM(TEXTSPLIT(BK122,","))&amp;",",","&amp;SUBSTITUTE(input_context," ","")&amp;",")))&gt;0)),IF(BM122="",TRUE,IF(input_context="",FALSE,SUMPRODUCT(--ISNUMBER(SEARCH(","&amp;TRIM(TEXTSPLIT(BM122,","))&amp;",",","&amp;SUBSTITUTE(input_context," ","")&amp;",")))=COUNTA(TEXTSPLIT(BM122,",")))),IF(BO122="",TRUE,IF(input_context="",TRUE,SUMPRODUCT(--ISNUMBER(SEARCH(","&amp;TRIM(TEXTSPLIT(BO122,","))&amp;",",","&amp;SUBSTITUTE(input_context," ","")&amp;",")))=0)),IF(BQ122="",TRUE,IF(input_context="",FALSE,SUMPRODUCT(--ISNUMBER(SEARCH(","&amp;TRIM(TEXTSPLIT(BQ122,","))&amp;",",","&amp;SUBSTITUTE(input_context," ","")&amp;",")))&gt;0)),IF(BS122="",TRUE,IF(input_context="",FALSE,SUMPRODUCT(--ISNUMBER(SEARCH(","&amp;TRIM(TEXTSPLIT(BS122,","))&amp;",",","&amp;SUBSTITUTE(input_context," ","")&amp;",")))=COUNTA(TEXTSPLIT(BS122,",")))))</f>
        <v/>
      </c>
      <c r="IZ122">
        <f>AND(IF(BU122="",TRUE,IF(input_enews_announcement_type="",FALSE,SUMPRODUCT(--ISNUMBER(SEARCH(","&amp;TRIM(TEXTSPLIT(BU122,","))&amp;",",","&amp;SUBSTITUTE(input_enews_announcement_type," ","")&amp;",")))&gt;0)),IF(BW122="",TRUE,IF(input_enews_announcement_type="",FALSE,SUMPRODUCT(--ISNUMBER(SEARCH(","&amp;TRIM(TEXTSPLIT(BW122,","))&amp;",",","&amp;SUBSTITUTE(input_enews_announcement_type," ","")&amp;",")))=COUNTA(TEXTSPLIT(BW122,",")))),IF(BY122="",TRUE,IF(input_enews_announcement_type="",TRUE,SUMPRODUCT(--ISNUMBER(SEARCH(","&amp;TRIM(TEXTSPLIT(BY122,","))&amp;",",","&amp;SUBSTITUTE(input_enews_announcement_type," ","")&amp;",")))=0)),IF(CA122="",TRUE,IF(input_enews_announcement_type="",FALSE,SUMPRODUCT(--ISNUMBER(SEARCH(","&amp;TRIM(TEXTSPLIT(CA122,","))&amp;",",","&amp;SUBSTITUTE(input_enews_announcement_type," ","")&amp;",")))&gt;0)),IF(CC122="",TRUE,IF(input_enews_announcement_type="",FALSE,SUMPRODUCT(--ISNUMBER(SEARCH(","&amp;TRIM(TEXTSPLIT(CC122,","))&amp;",",","&amp;SUBSTITUTE(input_enews_announcement_type," ","")&amp;",")))=COUNTA(TEXTSPLIT(CC122,",")))))</f>
        <v/>
      </c>
      <c r="JA122">
        <f>AND(IF(CE122="",TRUE,IF(input_enews_audience="",FALSE,SUMPRODUCT(--ISNUMBER(SEARCH(","&amp;TRIM(TEXTSPLIT(CE122,","))&amp;",",","&amp;SUBSTITUTE(input_enews_audience," ","")&amp;",")))&gt;0)),IF(CG122="",TRUE,IF(input_enews_audience="",FALSE,SUMPRODUCT(--ISNUMBER(SEARCH(","&amp;TRIM(TEXTSPLIT(CG122,","))&amp;",",","&amp;SUBSTITUTE(input_enews_audience," ","")&amp;",")))=COUNTA(TEXTSPLIT(CG122,",")))),IF(CI122="",TRUE,IF(input_enews_audience="",TRUE,SUMPRODUCT(--ISNUMBER(SEARCH(","&amp;TRIM(TEXTSPLIT(CI122,","))&amp;",",","&amp;SUBSTITUTE(input_enews_audience," ","")&amp;",")))=0)),IF(CK122="",TRUE,IF(input_enews_audience="",FALSE,SUMPRODUCT(--ISNUMBER(SEARCH(","&amp;TRIM(TEXTSPLIT(CK122,","))&amp;",",","&amp;SUBSTITUTE(input_enews_audience," ","")&amp;",")))&gt;0)),IF(CM122="",TRUE,IF(input_enews_audience="",FALSE,SUMPRODUCT(--ISNUMBER(SEARCH(","&amp;TRIM(TEXTSPLIT(CM122,","))&amp;",",","&amp;SUBSTITUTE(input_enews_audience," ","")&amp;",")))=COUNTA(TEXTSPLIT(CM122,",")))))</f>
        <v/>
      </c>
      <c r="JB122">
        <f>AND(IF(CO122="",TRUE,IF(input_event_location="",FALSE,SUMPRODUCT(--ISNUMBER(SEARCH(","&amp;TRIM(TEXTSPLIT(CO122,","))&amp;",",","&amp;SUBSTITUTE(input_event_location," ","")&amp;",")))&gt;0)),IF(CQ122="",TRUE,IF(input_event_location="",FALSE,SUMPRODUCT(--ISNUMBER(SEARCH(","&amp;TRIM(TEXTSPLIT(CQ122,","))&amp;",",","&amp;SUBSTITUTE(input_event_location," ","")&amp;",")))=COUNTA(TEXTSPLIT(CQ122,",")))),IF(CS122="",TRUE,IF(input_event_location="",TRUE,SUMPRODUCT(--ISNUMBER(SEARCH(","&amp;TRIM(TEXTSPLIT(CS122,","))&amp;",",","&amp;SUBSTITUTE(input_event_location," ","")&amp;",")))=0)),IF(CU122="",TRUE,IF(input_event_location="",FALSE,SUMPRODUCT(--ISNUMBER(SEARCH(","&amp;TRIM(TEXTSPLIT(CU122,","))&amp;",",","&amp;SUBSTITUTE(input_event_location," ","")&amp;",")))&gt;0)),IF(CW122="",TRUE,IF(input_event_location="",FALSE,SUMPRODUCT(--ISNUMBER(SEARCH(","&amp;TRIM(TEXTSPLIT(CW122,","))&amp;",",","&amp;SUBSTITUTE(input_event_location," ","")&amp;",")))=COUNTA(TEXTSPLIT(CW122,",")))))</f>
        <v/>
      </c>
      <c r="JC122">
        <f>AND(IF(CY122="",TRUE,IF(input_event_type="",FALSE,SUMPRODUCT(--ISNUMBER(SEARCH(","&amp;TRIM(TEXTSPLIT(CY122,","))&amp;",",","&amp;SUBSTITUTE(input_event_type," ","")&amp;",")))&gt;0)),IF(DA122="",TRUE,IF(input_event_type="",FALSE,SUMPRODUCT(--ISNUMBER(SEARCH(","&amp;TRIM(TEXTSPLIT(DA122,","))&amp;",",","&amp;SUBSTITUTE(input_event_type," ","")&amp;",")))=COUNTA(TEXTSPLIT(DA122,",")))),IF(DC122="",TRUE,IF(input_event_type="",TRUE,SUMPRODUCT(--ISNUMBER(SEARCH(","&amp;TRIM(TEXTSPLIT(DC122,","))&amp;",",","&amp;SUBSTITUTE(input_event_type," ","")&amp;",")))=0)),IF(DE122="",TRUE,IF(input_event_type="",FALSE,SUMPRODUCT(--ISNUMBER(SEARCH(","&amp;TRIM(TEXTSPLIT(DE122,","))&amp;",",","&amp;SUBSTITUTE(input_event_type," ","")&amp;",")))&gt;0)),IF(DG122="",TRUE,IF(input_event_type="",FALSE,SUMPRODUCT(--ISNUMBER(SEARCH(","&amp;TRIM(TEXTSPLIT(DG122,","))&amp;",",","&amp;SUBSTITUTE(input_event_type," ","")&amp;",")))=COUNTA(TEXTSPLIT(DG122,",")))))</f>
        <v/>
      </c>
      <c r="JD122">
        <f>AND(IF(DI122="",TRUE,IF(input_executive_education_focus="",FALSE,SUMPRODUCT(--ISNUMBER(SEARCH(","&amp;TRIM(TEXTSPLIT(DI122,","))&amp;",",","&amp;SUBSTITUTE(input_executive_education_focus," ","")&amp;",")))&gt;0)),IF(DK122="",TRUE,IF(input_executive_education_focus="",FALSE,SUMPRODUCT(--ISNUMBER(SEARCH(","&amp;TRIM(TEXTSPLIT(DK122,","))&amp;",",","&amp;SUBSTITUTE(input_executive_education_focus," ","")&amp;",")))=COUNTA(TEXTSPLIT(DK122,",")))),IF(DM122="",TRUE,IF(input_executive_education_focus="",TRUE,SUMPRODUCT(--ISNUMBER(SEARCH(","&amp;TRIM(TEXTSPLIT(DM122,","))&amp;",",","&amp;SUBSTITUTE(input_executive_education_focus," ","")&amp;",")))=0)),IF(DO122="",TRUE,IF(input_executive_education_focus="",FALSE,SUMPRODUCT(--ISNUMBER(SEARCH(","&amp;TRIM(TEXTSPLIT(DO122,","))&amp;",",","&amp;SUBSTITUTE(input_executive_education_focus," ","")&amp;",")))&gt;0)),IF(DQ122="",TRUE,IF(input_executive_education_focus="",FALSE,SUMPRODUCT(--ISNUMBER(SEARCH(","&amp;TRIM(TEXTSPLIT(DQ122,","))&amp;",",","&amp;SUBSTITUTE(input_executive_education_focus," ","")&amp;",")))=COUNTA(TEXTSPLIT(DQ122,",")))))</f>
        <v/>
      </c>
      <c r="JE122">
        <f>AND(IF(DS122="",TRUE,IF(input_faculty_category="",FALSE,SUMPRODUCT(--ISNUMBER(SEARCH(","&amp;TRIM(TEXTSPLIT(DS122,","))&amp;",",","&amp;SUBSTITUTE(input_faculty_category," ","")&amp;",")))&gt;0)),IF(DU122="",TRUE,IF(input_faculty_category="",FALSE,SUMPRODUCT(--ISNUMBER(SEARCH(","&amp;TRIM(TEXTSPLIT(DU122,","))&amp;",",","&amp;SUBSTITUTE(input_faculty_category," ","")&amp;",")))=COUNTA(TEXTSPLIT(DU122,",")))),IF(DW122="",TRUE,IF(input_faculty_category="",TRUE,SUMPRODUCT(--ISNUMBER(SEARCH(","&amp;TRIM(TEXTSPLIT(DW122,","))&amp;",",","&amp;SUBSTITUTE(input_faculty_category," ","")&amp;",")))=0)),IF(DY122="",TRUE,IF(input_faculty_category="",FALSE,SUMPRODUCT(--ISNUMBER(SEARCH(","&amp;TRIM(TEXTSPLIT(DY122,","))&amp;",",","&amp;SUBSTITUTE(input_faculty_category," ","")&amp;",")))&gt;0)),IF(EA122="",TRUE,IF(input_faculty_category="",FALSE,SUMPRODUCT(--ISNUMBER(SEARCH(","&amp;TRIM(TEXTSPLIT(EA122,","))&amp;",",","&amp;SUBSTITUTE(input_faculty_category," ","")&amp;",")))=COUNTA(TEXTSPLIT(EA122,",")))))</f>
        <v/>
      </c>
      <c r="JF122">
        <f>AND(IF(EC122="",TRUE,IF(input_faculty_discipline="",FALSE,SUMPRODUCT(--ISNUMBER(SEARCH(","&amp;TRIM(TEXTSPLIT(EC122,","))&amp;",",","&amp;SUBSTITUTE(input_faculty_discipline," ","")&amp;",")))&gt;0)),IF(EE122="",TRUE,IF(input_faculty_discipline="",FALSE,SUMPRODUCT(--ISNUMBER(SEARCH(","&amp;TRIM(TEXTSPLIT(EE122,","))&amp;",",","&amp;SUBSTITUTE(input_faculty_discipline," ","")&amp;",")))=COUNTA(TEXTSPLIT(EE122,",")))),IF(EG122="",TRUE,IF(input_faculty_discipline="",TRUE,SUMPRODUCT(--ISNUMBER(SEARCH(","&amp;TRIM(TEXTSPLIT(EG122,","))&amp;",",","&amp;SUBSTITUTE(input_faculty_discipline," ","")&amp;",")))=0)),IF(EI122="",TRUE,IF(input_faculty_discipline="",FALSE,SUMPRODUCT(--ISNUMBER(SEARCH(","&amp;TRIM(TEXTSPLIT(EI122,","))&amp;",",","&amp;SUBSTITUTE(input_faculty_discipline," ","")&amp;",")))&gt;0)),IF(EK122="",TRUE,IF(input_faculty_discipline="",FALSE,SUMPRODUCT(--ISNUMBER(SEARCH(","&amp;TRIM(TEXTSPLIT(EK122,","))&amp;",",","&amp;SUBSTITUTE(input_faculty_discipline," ","")&amp;",")))=COUNTA(TEXTSPLIT(EK122,",")))))</f>
        <v/>
      </c>
      <c r="JG122">
        <f>AND(IF(EM122="",TRUE,IF(input_faculty_expertise="",FALSE,SUMPRODUCT(--ISNUMBER(SEARCH(","&amp;TRIM(TEXTSPLIT(EM122,","))&amp;",",","&amp;SUBSTITUTE(input_faculty_expertise," ","")&amp;",")))&gt;0)),IF(EO122="",TRUE,IF(input_faculty_expertise="",FALSE,SUMPRODUCT(--ISNUMBER(SEARCH(","&amp;TRIM(TEXTSPLIT(EO122,","))&amp;",",","&amp;SUBSTITUTE(input_faculty_expertise," ","")&amp;",")))=COUNTA(TEXTSPLIT(EO122,",")))),IF(EQ122="",TRUE,IF(input_faculty_expertise="",TRUE,SUMPRODUCT(--ISNUMBER(SEARCH(","&amp;TRIM(TEXTSPLIT(EQ122,","))&amp;",",","&amp;SUBSTITUTE(input_faculty_expertise," ","")&amp;",")))=0)),IF(ES122="",TRUE,IF(input_faculty_expertise="",FALSE,SUMPRODUCT(--ISNUMBER(SEARCH(","&amp;TRIM(TEXTSPLIT(ES122,","))&amp;",",","&amp;SUBSTITUTE(input_faculty_expertise," ","")&amp;",")))&gt;0)),IF(EU122="",TRUE,IF(input_faculty_expertise="",FALSE,SUMPRODUCT(--ISNUMBER(SEARCH(","&amp;TRIM(TEXTSPLIT(EU122,","))&amp;",",","&amp;SUBSTITUTE(input_faculty_expertise," ","")&amp;",")))=COUNTA(TEXTSPLIT(EU122,",")))))</f>
        <v/>
      </c>
      <c r="JH122">
        <f>AND(IF(EW122="",TRUE,IF(input_global_network_school="",FALSE,SUMPRODUCT(--ISNUMBER(SEARCH(","&amp;TRIM(TEXTSPLIT(EW122,","))&amp;",",","&amp;SUBSTITUTE(input_global_network_school," ","")&amp;",")))&gt;0)),IF(EY122="",TRUE,IF(input_global_network_school="",FALSE,SUMPRODUCT(--ISNUMBER(SEARCH(","&amp;TRIM(TEXTSPLIT(EY122,","))&amp;",",","&amp;SUBSTITUTE(input_global_network_school," ","")&amp;",")))=COUNTA(TEXTSPLIT(EY122,",")))),IF(FA122="",TRUE,IF(input_global_network_school="",TRUE,SUMPRODUCT(--ISNUMBER(SEARCH(","&amp;TRIM(TEXTSPLIT(FA122,","))&amp;",",","&amp;SUBSTITUTE(input_global_network_school," ","")&amp;",")))=0)),IF(FC122="",TRUE,IF(input_global_network_school="",FALSE,SUMPRODUCT(--ISNUMBER(SEARCH(","&amp;TRIM(TEXTSPLIT(FC122,","))&amp;",",","&amp;SUBSTITUTE(input_global_network_school," ","")&amp;",")))&gt;0)),IF(FE122="",TRUE,IF(input_global_network_school="",FALSE,SUMPRODUCT(--ISNUMBER(SEARCH(","&amp;TRIM(TEXTSPLIT(FE122,","))&amp;",",","&amp;SUBSTITUTE(input_global_network_school," ","")&amp;",")))=COUNTA(TEXTSPLIT(FE122,",")))))</f>
        <v/>
      </c>
      <c r="JI122">
        <f>AND(IF(FG122="",TRUE,IF(input_industry="",FALSE,SUMPRODUCT(--ISNUMBER(SEARCH(","&amp;TRIM(TEXTSPLIT(FG122,","))&amp;",",","&amp;SUBSTITUTE(input_industry," ","")&amp;",")))&gt;0)),IF(FI122="",TRUE,IF(input_industry="",FALSE,SUMPRODUCT(--ISNUMBER(SEARCH(","&amp;TRIM(TEXTSPLIT(FI122,","))&amp;",",","&amp;SUBSTITUTE(input_industry," ","")&amp;",")))=COUNTA(TEXTSPLIT(FI122,",")))),IF(FK122="",TRUE,IF(input_industry="",TRUE,SUMPRODUCT(--ISNUMBER(SEARCH(","&amp;TRIM(TEXTSPLIT(FK122,","))&amp;",",","&amp;SUBSTITUTE(input_industry," ","")&amp;",")))=0)),IF(FM122="",TRUE,IF(input_industry="",FALSE,SUMPRODUCT(--ISNUMBER(SEARCH(","&amp;TRIM(TEXTSPLIT(FM122,","))&amp;",",","&amp;SUBSTITUTE(input_industry," ","")&amp;",")))&gt;0)),IF(FO122="",TRUE,IF(input_industry="",FALSE,SUMPRODUCT(--ISNUMBER(SEARCH(","&amp;TRIM(TEXTSPLIT(FO122,","))&amp;",",","&amp;SUBSTITUTE(input_industry," ","")&amp;",")))=COUNTA(TEXTSPLIT(FO122,",")))))</f>
        <v/>
      </c>
      <c r="JJ122">
        <f>AND(IF(FQ122="",TRUE,IF(input_location="",FALSE,SUMPRODUCT(--ISNUMBER(SEARCH(","&amp;TRIM(TEXTSPLIT(FQ122,","))&amp;",",","&amp;SUBSTITUTE(input_location," ","")&amp;",")))&gt;0)),IF(FS122="",TRUE,IF(input_location="",FALSE,SUMPRODUCT(--ISNUMBER(SEARCH(","&amp;TRIM(TEXTSPLIT(FS122,","))&amp;",",","&amp;SUBSTITUTE(input_location," ","")&amp;",")))=COUNTA(TEXTSPLIT(FS122,",")))),IF(FU122="",TRUE,IF(input_location="",TRUE,SUMPRODUCT(--ISNUMBER(SEARCH(","&amp;TRIM(TEXTSPLIT(FU122,","))&amp;",",","&amp;SUBSTITUTE(input_location," ","")&amp;",")))=0)),IF(FW122="",TRUE,IF(input_location="",FALSE,SUMPRODUCT(--ISNUMBER(SEARCH(","&amp;TRIM(TEXTSPLIT(FW122,","))&amp;",",","&amp;SUBSTITUTE(input_location," ","")&amp;",")))&gt;0)),IF(FY122="",TRUE,IF(input_location="",FALSE,SUMPRODUCT(--ISNUMBER(SEARCH(","&amp;TRIM(TEXTSPLIT(FY122,","))&amp;",",","&amp;SUBSTITUTE(input_location," ","")&amp;",")))=COUNTA(TEXTSPLIT(FY122,",")))))</f>
        <v/>
      </c>
      <c r="JK122">
        <f>AND(IF(GA122="",TRUE,IF(input_modality="",FALSE,SUMPRODUCT(--ISNUMBER(SEARCH(","&amp;TRIM(TEXTSPLIT(GA122,","))&amp;",",","&amp;SUBSTITUTE(input_modality," ","")&amp;",")))&gt;0)),IF(GC122="",TRUE,IF(input_modality="",FALSE,SUMPRODUCT(--ISNUMBER(SEARCH(","&amp;TRIM(TEXTSPLIT(GC122,","))&amp;",",","&amp;SUBSTITUTE(input_modality," ","")&amp;",")))=COUNTA(TEXTSPLIT(GC122,",")))),IF(GE122="",TRUE,IF(input_modality="",TRUE,SUMPRODUCT(--ISNUMBER(SEARCH(","&amp;TRIM(TEXTSPLIT(GE122,","))&amp;",",","&amp;SUBSTITUTE(input_modality," ","")&amp;",")))=0)),IF(GG122="",TRUE,IF(input_modality="",FALSE,SUMPRODUCT(--ISNUMBER(SEARCH(","&amp;TRIM(TEXTSPLIT(GG122,","))&amp;",",","&amp;SUBSTITUTE(input_modality," ","")&amp;",")))&gt;0)),IF(GI122="",TRUE,IF(input_modality="",FALSE,SUMPRODUCT(--ISNUMBER(SEARCH(","&amp;TRIM(TEXTSPLIT(GI122,","))&amp;",",","&amp;SUBSTITUTE(input_modality," ","")&amp;",")))=COUNTA(TEXTSPLIT(GI122,",")))))</f>
        <v/>
      </c>
      <c r="JL122">
        <f>AND(IF(GK122="",TRUE,IF(input_organizer="",FALSE,SUMPRODUCT(--ISNUMBER(SEARCH(","&amp;TRIM(TEXTSPLIT(GK122,","))&amp;",",","&amp;SUBSTITUTE(input_organizer," ","")&amp;",")))&gt;0)),IF(GM122="",TRUE,IF(input_organizer="",FALSE,SUMPRODUCT(--ISNUMBER(SEARCH(","&amp;TRIM(TEXTSPLIT(GM122,","))&amp;",",","&amp;SUBSTITUTE(input_organizer," ","")&amp;",")))=COUNTA(TEXTSPLIT(GM122,",")))),IF(GO122="",TRUE,IF(input_organizer="",TRUE,SUMPRODUCT(--ISNUMBER(SEARCH(","&amp;TRIM(TEXTSPLIT(GO122,","))&amp;",",","&amp;SUBSTITUTE(input_organizer," ","")&amp;",")))=0)),IF(GQ122="",TRUE,IF(input_organizer="",FALSE,SUMPRODUCT(--ISNUMBER(SEARCH(","&amp;TRIM(TEXTSPLIT(GQ122,","))&amp;",",","&amp;SUBSTITUTE(input_organizer," ","")&amp;",")))&gt;0)),IF(GS122="",TRUE,IF(input_organizer="",FALSE,SUMPRODUCT(--ISNUMBER(SEARCH(","&amp;TRIM(TEXTSPLIT(GS122,","))&amp;",",","&amp;SUBSTITUTE(input_organizer," ","")&amp;",")))=COUNTA(TEXTSPLIT(GS122,",")))))</f>
        <v/>
      </c>
      <c r="JM122">
        <f>AND(IF(GU122="",TRUE,IF(input_profile_type="",FALSE,SUMPRODUCT(--ISNUMBER(SEARCH(","&amp;TRIM(TEXTSPLIT(GU122,","))&amp;",",","&amp;SUBSTITUTE(input_profile_type," ","")&amp;",")))&gt;0)),IF(GW122="",TRUE,IF(input_profile_type="",FALSE,SUMPRODUCT(--ISNUMBER(SEARCH(","&amp;TRIM(TEXTSPLIT(GW122,","))&amp;",",","&amp;SUBSTITUTE(input_profile_type," ","")&amp;",")))=COUNTA(TEXTSPLIT(GW122,",")))),IF(GY122="",TRUE,IF(input_profile_type="",TRUE,SUMPRODUCT(--ISNUMBER(SEARCH(","&amp;TRIM(TEXTSPLIT(GY122,","))&amp;",",","&amp;SUBSTITUTE(input_profile_type," ","")&amp;",")))=0)),IF(HA122="",TRUE,IF(input_profile_type="",FALSE,SUMPRODUCT(--ISNUMBER(SEARCH(","&amp;TRIM(TEXTSPLIT(HA122,","))&amp;",",","&amp;SUBSTITUTE(input_profile_type," ","")&amp;",")))&gt;0)),IF(HC122="",TRUE,IF(input_profile_type="",FALSE,SUMPRODUCT(--ISNUMBER(SEARCH(","&amp;TRIM(TEXTSPLIT(HC122,","))&amp;",",","&amp;SUBSTITUTE(input_profile_type," ","")&amp;",")))=COUNTA(TEXTSPLIT(HC122,",")))))</f>
        <v/>
      </c>
      <c r="JN122">
        <f>AND(IF(HE122="",TRUE,IF(input_program="",FALSE,SUMPRODUCT(--ISNUMBER(SEARCH(","&amp;TRIM(TEXTSPLIT(HE122,","))&amp;",",","&amp;SUBSTITUTE(input_program," ","")&amp;",")))&gt;0)),IF(HG122="",TRUE,IF(input_program="",FALSE,SUMPRODUCT(--ISNUMBER(SEARCH(","&amp;TRIM(TEXTSPLIT(HG122,","))&amp;",",","&amp;SUBSTITUTE(input_program," ","")&amp;",")))=COUNTA(TEXTSPLIT(HG122,",")))),IF(HI122="",TRUE,IF(input_program="",TRUE,SUMPRODUCT(--ISNUMBER(SEARCH(","&amp;TRIM(TEXTSPLIT(HI122,","))&amp;",",","&amp;SUBSTITUTE(input_program," ","")&amp;",")))=0)),IF(HK122="",TRUE,IF(input_program="",FALSE,SUMPRODUCT(--ISNUMBER(SEARCH(","&amp;TRIM(TEXTSPLIT(HK122,","))&amp;",",","&amp;SUBSTITUTE(input_program," ","")&amp;",")))&gt;0)),IF(HM122="",TRUE,IF(input_program="",FALSE,SUMPRODUCT(--ISNUMBER(SEARCH(","&amp;TRIM(TEXTSPLIT(HM122,","))&amp;",",","&amp;SUBSTITUTE(input_program," ","")&amp;",")))=COUNTA(TEXTSPLIT(HM122,",")))))</f>
        <v/>
      </c>
      <c r="JO122">
        <f>AND(IF(HO122="",TRUE,IF(input_story_categories="",FALSE,SUMPRODUCT(--ISNUMBER(SEARCH(","&amp;TRIM(TEXTSPLIT(HO122,","))&amp;",",","&amp;SUBSTITUTE(input_story_categories," ","")&amp;",")))&gt;0)),IF(HQ122="",TRUE,IF(input_story_categories="",FALSE,SUMPRODUCT(--ISNUMBER(SEARCH(","&amp;TRIM(TEXTSPLIT(HQ122,","))&amp;",",","&amp;SUBSTITUTE(input_story_categories," ","")&amp;",")))=COUNTA(TEXTSPLIT(HQ122,",")))),IF(HS122="",TRUE,IF(input_story_categories="",TRUE,SUMPRODUCT(--ISNUMBER(SEARCH(","&amp;TRIM(TEXTSPLIT(HS122,","))&amp;",",","&amp;SUBSTITUTE(input_story_categories," ","")&amp;",")))=0)),IF(HU122="",TRUE,IF(input_story_categories="",FALSE,SUMPRODUCT(--ISNUMBER(SEARCH(","&amp;TRIM(TEXTSPLIT(HU122,","))&amp;",",","&amp;SUBSTITUTE(input_story_categories," ","")&amp;",")))&gt;0)),IF(HW122="",TRUE,IF(input_story_categories="",FALSE,SUMPRODUCT(--ISNUMBER(SEARCH(","&amp;TRIM(TEXTSPLIT(HW122,","))&amp;",",","&amp;SUBSTITUTE(input_story_categories," ","")&amp;",")))=COUNTA(TEXTSPLIT(HW122,",")))))</f>
        <v/>
      </c>
      <c r="JP122">
        <f>AND(IF(HY122="",TRUE,IF(input_story_type="",FALSE,SUMPRODUCT(--ISNUMBER(SEARCH(","&amp;TRIM(TEXTSPLIT(HY122,","))&amp;",",","&amp;SUBSTITUTE(input_story_type," ","")&amp;",")))&gt;0)),IF(IA122="",TRUE,IF(input_story_type="",FALSE,SUMPRODUCT(--ISNUMBER(SEARCH(","&amp;TRIM(TEXTSPLIT(IA122,","))&amp;",",","&amp;SUBSTITUTE(input_story_type," ","")&amp;",")))=COUNTA(TEXTSPLIT(IA122,",")))),IF(IC122="",TRUE,IF(input_story_type="",TRUE,SUMPRODUCT(--ISNUMBER(SEARCH(","&amp;TRIM(TEXTSPLIT(IC122,","))&amp;",",","&amp;SUBSTITUTE(input_story_type," ","")&amp;",")))=0)),IF(IE122="",TRUE,IF(input_story_type="",FALSE,SUMPRODUCT(--ISNUMBER(SEARCH(","&amp;TRIM(TEXTSPLIT(IE122,","))&amp;",",","&amp;SUBSTITUTE(input_story_type," ","")&amp;",")))&gt;0)),IF(IG122="",TRUE,IF(input_story_type="",FALSE,SUMPRODUCT(--ISNUMBER(SEARCH(","&amp;TRIM(TEXTSPLIT(IG122,","))&amp;",",","&amp;SUBSTITUTE(input_story_type," ","")&amp;",")))=COUNTA(TEXTSPLIT(IG122,",")))))</f>
        <v/>
      </c>
      <c r="JQ122">
        <f>AND(IF(II122="",TRUE,IF(input_topics="",FALSE,SUMPRODUCT(--ISNUMBER(SEARCH(","&amp;TRIM(TEXTSPLIT(II122,","))&amp;",",","&amp;SUBSTITUTE(input_topics," ","")&amp;",")))&gt;0)),IF(IK122="",TRUE,IF(input_topics="",FALSE,SUMPRODUCT(--ISNUMBER(SEARCH(","&amp;TRIM(TEXTSPLIT(IK122,","))&amp;",",","&amp;SUBSTITUTE(input_topics," ","")&amp;",")))=COUNTA(TEXTSPLIT(IK122,",")))),IF(IM122="",TRUE,IF(input_topics="",TRUE,SUMPRODUCT(--ISNUMBER(SEARCH(","&amp;TRIM(TEXTSPLIT(IM122,","))&amp;",",","&amp;SUBSTITUTE(input_topics," ","")&amp;",")))=0)),IF(IO122="",TRUE,IF(input_topics="",FALSE,SUMPRODUCT(--ISNUMBER(SEARCH(","&amp;TRIM(TEXTSPLIT(IO122,","))&amp;",",","&amp;SUBSTITUTE(input_topics," ","")&amp;",")))&gt;0)),IF(IQ122="",TRUE,IF(input_topics="",FALSE,SUMPRODUCT(--ISNUMBER(SEARCH(","&amp;TRIM(TEXTSPLIT(IQ122,","))&amp;",",","&amp;SUBSTITUTE(input_topics," ","")&amp;",")))=COUNTA(TEXTSPLIT(IQ122,",")))))</f>
        <v/>
      </c>
    </row>
    <row r="123">
      <c r="A123" s="4">
        <f>IF(NOT(IS123),"Excluded",IF(AND(IT123,IU123,IV123,IW123,IX123,IY123,IZ123,JA123,JB123,JC123,JD123,JE123,JF123,JG123,JH123,JI123,JJ123,JK123,JL123,JM123,JN123,JO123,JP123,JQ123),IF(I123&gt;0,"Eligible but limited","Will appear"),"Excluded"))</f>
        <v/>
      </c>
      <c r="B123" s="4" t="inlineStr">
        <is>
          <t>MAM Admissions Events</t>
        </is>
      </c>
      <c r="C123" s="4" t="inlineStr">
        <is>
          <t>/programs/mam/admissions/mam-admissions-events</t>
        </is>
      </c>
      <c r="D123" s="4" t="inlineStr">
        <is>
          <t>/programs/mam/admissions/mam-admissions-events</t>
        </is>
      </c>
      <c r="E123" s="4" t="n">
        <v>1</v>
      </c>
      <c r="F123" s="4" t="inlineStr">
        <is>
          <t>event</t>
        </is>
      </c>
      <c r="G123" s="4" t="inlineStr">
        <is>
          <t>external_event_list</t>
        </is>
      </c>
      <c r="H123" s="4" t="inlineStr">
        <is>
          <t>embed_filter_type_location</t>
        </is>
      </c>
      <c r="I123" s="4" t="n">
        <v>8</v>
      </c>
      <c r="J123" s="4" t="inlineStr">
        <is>
          <t>Explicit args</t>
        </is>
      </c>
      <c r="K123" s="4" t="inlineStr">
        <is>
          <t>Page placement</t>
        </is>
      </c>
      <c r="L123" s="4" t="inlineStr">
        <is>
          <t>Content type: event; Context needs all Courses Context: Master of Advanced Management (932), Admissions Events (994); Needs any Event Type: Admissions Events (994); Limited to 8 item(s); Source: Explicit args</t>
        </is>
      </c>
      <c r="M123" t="inlineStr"/>
      <c r="N123" t="inlineStr"/>
      <c r="O123" t="inlineStr"/>
      <c r="P123" t="inlineStr"/>
      <c r="Q123" t="inlineStr"/>
      <c r="R123" t="inlineStr"/>
      <c r="S123" t="inlineStr"/>
      <c r="T123" t="inlineStr"/>
      <c r="U123" t="inlineStr"/>
      <c r="V123" t="inlineStr"/>
      <c r="W123" t="inlineStr"/>
      <c r="X123" t="inlineStr"/>
      <c r="Y123" t="inlineStr"/>
      <c r="Z123" t="inlineStr"/>
      <c r="AA123" t="inlineStr"/>
      <c r="AB123" t="inlineStr"/>
      <c r="AC123" t="inlineStr"/>
      <c r="AD123" t="inlineStr"/>
      <c r="AE123" t="inlineStr"/>
      <c r="AF123" t="inlineStr"/>
      <c r="AG123" t="inlineStr"/>
      <c r="AH123" t="inlineStr"/>
      <c r="AI123" t="inlineStr"/>
      <c r="AJ123" t="inlineStr"/>
      <c r="AK123" t="inlineStr"/>
      <c r="AL123" t="inlineStr"/>
      <c r="AM123" t="inlineStr"/>
      <c r="AN123" t="inlineStr"/>
      <c r="AO123" t="inlineStr"/>
      <c r="AP123" t="inlineStr"/>
      <c r="AQ123" t="inlineStr"/>
      <c r="AR123" t="inlineStr"/>
      <c r="AS123" t="inlineStr"/>
      <c r="AT123" t="inlineStr"/>
      <c r="AU123" t="inlineStr"/>
      <c r="AV123" t="inlineStr"/>
      <c r="AW123" t="inlineStr"/>
      <c r="AX123" t="inlineStr"/>
      <c r="AY123" t="inlineStr"/>
      <c r="AZ123" t="inlineStr"/>
      <c r="BA123" t="inlineStr"/>
      <c r="BB123" t="inlineStr"/>
      <c r="BC123" t="inlineStr"/>
      <c r="BD123" t="inlineStr"/>
      <c r="BE123" t="inlineStr"/>
      <c r="BF123" t="inlineStr"/>
      <c r="BG123" t="inlineStr"/>
      <c r="BH123" t="inlineStr"/>
      <c r="BI123" t="inlineStr"/>
      <c r="BJ123" t="inlineStr"/>
      <c r="BK123" t="inlineStr"/>
      <c r="BL123" t="inlineStr"/>
      <c r="BM123" t="inlineStr"/>
      <c r="BN123" t="inlineStr"/>
      <c r="BO123" t="inlineStr"/>
      <c r="BP123" t="inlineStr"/>
      <c r="BQ123" t="inlineStr"/>
      <c r="BR123" t="inlineStr"/>
      <c r="BS123" t="inlineStr">
        <is>
          <t>932, 994</t>
        </is>
      </c>
      <c r="BT123" t="inlineStr">
        <is>
          <t>Master of Advanced Management (932), Admissions Events (994)</t>
        </is>
      </c>
      <c r="BU123" t="inlineStr"/>
      <c r="BV123" t="inlineStr"/>
      <c r="BW123" t="inlineStr"/>
      <c r="BX123" t="inlineStr"/>
      <c r="BY123" t="inlineStr"/>
      <c r="BZ123" t="inlineStr"/>
      <c r="CA123" t="inlineStr"/>
      <c r="CB123" t="inlineStr"/>
      <c r="CC123" t="inlineStr"/>
      <c r="CD123" t="inlineStr"/>
      <c r="CE123" t="inlineStr"/>
      <c r="CF123" t="inlineStr"/>
      <c r="CG123" t="inlineStr"/>
      <c r="CH123" t="inlineStr"/>
      <c r="CI123" t="inlineStr"/>
      <c r="CJ123" t="inlineStr"/>
      <c r="CK123" t="inlineStr"/>
      <c r="CL123" t="inlineStr"/>
      <c r="CM123" t="inlineStr"/>
      <c r="CN123" t="inlineStr"/>
      <c r="CO123" t="inlineStr"/>
      <c r="CP123" t="inlineStr"/>
      <c r="CQ123" t="inlineStr"/>
      <c r="CR123" t="inlineStr"/>
      <c r="CS123" t="inlineStr"/>
      <c r="CT123" t="inlineStr"/>
      <c r="CU123" t="inlineStr"/>
      <c r="CV123" t="inlineStr"/>
      <c r="CW123" t="inlineStr"/>
      <c r="CX123" t="inlineStr"/>
      <c r="CY123" t="inlineStr">
        <is>
          <t>994</t>
        </is>
      </c>
      <c r="CZ123" t="inlineStr">
        <is>
          <t>Admissions Events (994)</t>
        </is>
      </c>
      <c r="DA123" t="inlineStr"/>
      <c r="DB123" t="inlineStr"/>
      <c r="DC123" t="inlineStr"/>
      <c r="DD123" t="inlineStr"/>
      <c r="DE123" t="inlineStr"/>
      <c r="DF123" t="inlineStr"/>
      <c r="DG123" t="inlineStr"/>
      <c r="DH123" t="inlineStr"/>
      <c r="DI123" t="inlineStr"/>
      <c r="DJ123" t="inlineStr"/>
      <c r="DK123" t="inlineStr"/>
      <c r="DL123" t="inlineStr"/>
      <c r="DM123" t="inlineStr"/>
      <c r="DN123" t="inlineStr"/>
      <c r="DO123" t="inlineStr"/>
      <c r="DP123" t="inlineStr"/>
      <c r="DQ123" t="inlineStr"/>
      <c r="DR123" t="inlineStr"/>
      <c r="DS123" t="inlineStr"/>
      <c r="DT123" t="inlineStr"/>
      <c r="DU123" t="inlineStr"/>
      <c r="DV123" t="inlineStr"/>
      <c r="DW123" t="inlineStr"/>
      <c r="DX123" t="inlineStr"/>
      <c r="DY123" t="inlineStr"/>
      <c r="DZ123" t="inlineStr"/>
      <c r="EA123" t="inlineStr"/>
      <c r="EB123" t="inlineStr"/>
      <c r="EC123" t="inlineStr"/>
      <c r="ED123" t="inlineStr"/>
      <c r="EE123" t="inlineStr"/>
      <c r="EF123" t="inlineStr"/>
      <c r="EG123" t="inlineStr"/>
      <c r="EH123" t="inlineStr"/>
      <c r="EI123" t="inlineStr"/>
      <c r="EJ123" t="inlineStr"/>
      <c r="EK123" t="inlineStr"/>
      <c r="EL123" t="inlineStr"/>
      <c r="EM123" t="inlineStr"/>
      <c r="EN123" t="inlineStr"/>
      <c r="EO123" t="inlineStr"/>
      <c r="EP123" t="inlineStr"/>
      <c r="EQ123" t="inlineStr"/>
      <c r="ER123" t="inlineStr"/>
      <c r="ES123" t="inlineStr"/>
      <c r="ET123" t="inlineStr"/>
      <c r="EU123" t="inlineStr"/>
      <c r="EV123" t="inlineStr"/>
      <c r="EW123" t="inlineStr"/>
      <c r="EX123" t="inlineStr"/>
      <c r="EY123" t="inlineStr"/>
      <c r="EZ123" t="inlineStr"/>
      <c r="FA123" t="inlineStr"/>
      <c r="FB123" t="inlineStr"/>
      <c r="FC123" t="inlineStr"/>
      <c r="FD123" t="inlineStr"/>
      <c r="FE123" t="inlineStr"/>
      <c r="FF123" t="inlineStr"/>
      <c r="FG123" t="inlineStr"/>
      <c r="FH123" t="inlineStr"/>
      <c r="FI123" t="inlineStr"/>
      <c r="FJ123" t="inlineStr"/>
      <c r="FK123" t="inlineStr"/>
      <c r="FL123" t="inlineStr"/>
      <c r="FM123" t="inlineStr"/>
      <c r="FN123" t="inlineStr"/>
      <c r="FO123" t="inlineStr"/>
      <c r="FP123" t="inlineStr"/>
      <c r="FQ123" t="inlineStr"/>
      <c r="FR123" t="inlineStr"/>
      <c r="FS123" t="inlineStr"/>
      <c r="FT123" t="inlineStr"/>
      <c r="FU123" t="inlineStr"/>
      <c r="FV123" t="inlineStr"/>
      <c r="FW123" t="inlineStr"/>
      <c r="FX123" t="inlineStr"/>
      <c r="FY123" t="inlineStr"/>
      <c r="FZ123" t="inlineStr"/>
      <c r="GA123" t="inlineStr"/>
      <c r="GB123" t="inlineStr"/>
      <c r="GC123" t="inlineStr"/>
      <c r="GD123" t="inlineStr"/>
      <c r="GE123" t="inlineStr"/>
      <c r="GF123" t="inlineStr"/>
      <c r="GG123" t="inlineStr"/>
      <c r="GH123" t="inlineStr"/>
      <c r="GI123" t="inlineStr"/>
      <c r="GJ123" t="inlineStr"/>
      <c r="GK123" t="inlineStr"/>
      <c r="GL123" t="inlineStr"/>
      <c r="GM123" t="inlineStr"/>
      <c r="GN123" t="inlineStr"/>
      <c r="GO123" t="inlineStr"/>
      <c r="GP123" t="inlineStr"/>
      <c r="GQ123" t="inlineStr"/>
      <c r="GR123" t="inlineStr"/>
      <c r="GS123" t="inlineStr"/>
      <c r="GT123" t="inlineStr"/>
      <c r="GU123" t="inlineStr"/>
      <c r="GV123" t="inlineStr"/>
      <c r="GW123" t="inlineStr"/>
      <c r="GX123" t="inlineStr"/>
      <c r="GY123" t="inlineStr"/>
      <c r="GZ123" t="inlineStr"/>
      <c r="HA123" t="inlineStr"/>
      <c r="HB123" t="inlineStr"/>
      <c r="HC123" t="inlineStr"/>
      <c r="HD123" t="inlineStr"/>
      <c r="HE123" t="inlineStr"/>
      <c r="HF123" t="inlineStr"/>
      <c r="HG123" t="inlineStr"/>
      <c r="HH123" t="inlineStr"/>
      <c r="HI123" t="inlineStr"/>
      <c r="HJ123" t="inlineStr"/>
      <c r="HK123" t="inlineStr"/>
      <c r="HL123" t="inlineStr"/>
      <c r="HM123" t="inlineStr"/>
      <c r="HN123" t="inlineStr"/>
      <c r="HO123" t="inlineStr"/>
      <c r="HP123" t="inlineStr"/>
      <c r="HQ123" t="inlineStr"/>
      <c r="HR123" t="inlineStr"/>
      <c r="HS123" t="inlineStr"/>
      <c r="HT123" t="inlineStr"/>
      <c r="HU123" t="inlineStr"/>
      <c r="HV123" t="inlineStr"/>
      <c r="HW123" t="inlineStr"/>
      <c r="HX123" t="inlineStr"/>
      <c r="HY123" t="inlineStr"/>
      <c r="HZ123" t="inlineStr"/>
      <c r="IA123" t="inlineStr"/>
      <c r="IB123" t="inlineStr"/>
      <c r="IC123" t="inlineStr"/>
      <c r="ID123" t="inlineStr"/>
      <c r="IE123" t="inlineStr"/>
      <c r="IF123" t="inlineStr"/>
      <c r="IG123" t="inlineStr"/>
      <c r="IH123" t="inlineStr"/>
      <c r="II123" t="inlineStr"/>
      <c r="IJ123" t="inlineStr"/>
      <c r="IK123" t="inlineStr"/>
      <c r="IL123" t="inlineStr"/>
      <c r="IM123" t="inlineStr"/>
      <c r="IN123" t="inlineStr"/>
      <c r="IO123" t="inlineStr"/>
      <c r="IP123" t="inlineStr"/>
      <c r="IQ123" t="inlineStr"/>
      <c r="IR123" t="inlineStr"/>
      <c r="IS123">
        <f>IF(input_content_type="",FALSE,ISNUMBER(SEARCH(","&amp;LOWER(input_content_type)&amp;",",","&amp;LOWER(F123)&amp;",")))</f>
        <v/>
      </c>
      <c r="IT123">
        <f>AND(IF(M123="",TRUE,IF(input_affiliations="",FALSE,SUMPRODUCT(--ISNUMBER(SEARCH(","&amp;TRIM(TEXTSPLIT(M123,","))&amp;",",","&amp;SUBSTITUTE(input_affiliations," ","")&amp;",")))&gt;0)),IF(O123="",TRUE,IF(input_affiliations="",FALSE,SUMPRODUCT(--ISNUMBER(SEARCH(","&amp;TRIM(TEXTSPLIT(O123,","))&amp;",",","&amp;SUBSTITUTE(input_affiliations," ","")&amp;",")))=COUNTA(TEXTSPLIT(O123,",")))),IF(Q123="",TRUE,IF(input_affiliations="",TRUE,SUMPRODUCT(--ISNUMBER(SEARCH(","&amp;TRIM(TEXTSPLIT(Q123,","))&amp;",",","&amp;SUBSTITUTE(input_affiliations," ","")&amp;",")))=0)),IF(S123="",TRUE,IF(input_affiliations="",FALSE,SUMPRODUCT(--ISNUMBER(SEARCH(","&amp;TRIM(TEXTSPLIT(S123,","))&amp;",",","&amp;SUBSTITUTE(input_affiliations," ","")&amp;",")))&gt;0)),IF(U123="",TRUE,IF(input_affiliations="",FALSE,SUMPRODUCT(--ISNUMBER(SEARCH(","&amp;TRIM(TEXTSPLIT(U123,","))&amp;",",","&amp;SUBSTITUTE(input_affiliations," ","")&amp;",")))=COUNTA(TEXTSPLIT(U123,",")))))</f>
        <v/>
      </c>
      <c r="IU123">
        <f>AND(IF(W123="",TRUE,IF(input_announcement_category="",FALSE,SUMPRODUCT(--ISNUMBER(SEARCH(","&amp;TRIM(TEXTSPLIT(W123,","))&amp;",",","&amp;SUBSTITUTE(input_announcement_category," ","")&amp;",")))&gt;0)),IF(Y123="",TRUE,IF(input_announcement_category="",FALSE,SUMPRODUCT(--ISNUMBER(SEARCH(","&amp;TRIM(TEXTSPLIT(Y123,","))&amp;",",","&amp;SUBSTITUTE(input_announcement_category," ","")&amp;",")))=COUNTA(TEXTSPLIT(Y123,",")))),IF(AA123="",TRUE,IF(input_announcement_category="",TRUE,SUMPRODUCT(--ISNUMBER(SEARCH(","&amp;TRIM(TEXTSPLIT(AA123,","))&amp;",",","&amp;SUBSTITUTE(input_announcement_category," ","")&amp;",")))=0)),IF(AC123="",TRUE,IF(input_announcement_category="",FALSE,SUMPRODUCT(--ISNUMBER(SEARCH(","&amp;TRIM(TEXTSPLIT(AC123,","))&amp;",",","&amp;SUBSTITUTE(input_announcement_category," ","")&amp;",")))&gt;0)),IF(AE123="",TRUE,IF(input_announcement_category="",FALSE,SUMPRODUCT(--ISNUMBER(SEARCH(","&amp;TRIM(TEXTSPLIT(AE123,","))&amp;",",","&amp;SUBSTITUTE(input_announcement_category," ","")&amp;",")))=COUNTA(TEXTSPLIT(AE123,",")))))</f>
        <v/>
      </c>
      <c r="IV123">
        <f>AND(IF(AG123="",TRUE,IF(input_area_of_focus="",FALSE,SUMPRODUCT(--ISNUMBER(SEARCH(","&amp;TRIM(TEXTSPLIT(AG123,","))&amp;",",","&amp;SUBSTITUTE(input_area_of_focus," ","")&amp;",")))&gt;0)),IF(AI123="",TRUE,IF(input_area_of_focus="",FALSE,SUMPRODUCT(--ISNUMBER(SEARCH(","&amp;TRIM(TEXTSPLIT(AI123,","))&amp;",",","&amp;SUBSTITUTE(input_area_of_focus," ","")&amp;",")))=COUNTA(TEXTSPLIT(AI123,",")))),IF(AK123="",TRUE,IF(input_area_of_focus="",TRUE,SUMPRODUCT(--ISNUMBER(SEARCH(","&amp;TRIM(TEXTSPLIT(AK123,","))&amp;",",","&amp;SUBSTITUTE(input_area_of_focus," ","")&amp;",")))=0)),IF(AM123="",TRUE,IF(input_area_of_focus="",FALSE,SUMPRODUCT(--ISNUMBER(SEARCH(","&amp;TRIM(TEXTSPLIT(AM123,","))&amp;",",","&amp;SUBSTITUTE(input_area_of_focus," ","")&amp;",")))&gt;0)),IF(AO123="",TRUE,IF(input_area_of_focus="",FALSE,SUMPRODUCT(--ISNUMBER(SEARCH(","&amp;TRIM(TEXTSPLIT(AO123,","))&amp;",",","&amp;SUBSTITUTE(input_area_of_focus," ","")&amp;",")))=COUNTA(TEXTSPLIT(AO123,",")))))</f>
        <v/>
      </c>
      <c r="IW123">
        <f>AND(IF(AQ123="",TRUE,IF(input_audience="",FALSE,SUMPRODUCT(--ISNUMBER(SEARCH(","&amp;TRIM(TEXTSPLIT(AQ123,","))&amp;",",","&amp;SUBSTITUTE(input_audience," ","")&amp;",")))&gt;0)),IF(AS123="",TRUE,IF(input_audience="",FALSE,SUMPRODUCT(--ISNUMBER(SEARCH(","&amp;TRIM(TEXTSPLIT(AS123,","))&amp;",",","&amp;SUBSTITUTE(input_audience," ","")&amp;",")))=COUNTA(TEXTSPLIT(AS123,",")))),IF(AU123="",TRUE,IF(input_audience="",TRUE,SUMPRODUCT(--ISNUMBER(SEARCH(","&amp;TRIM(TEXTSPLIT(AU123,","))&amp;",",","&amp;SUBSTITUTE(input_audience," ","")&amp;",")))=0)),IF(AW123="",TRUE,IF(input_audience="",FALSE,SUMPRODUCT(--ISNUMBER(SEARCH(","&amp;TRIM(TEXTSPLIT(AW123,","))&amp;",",","&amp;SUBSTITUTE(input_audience," ","")&amp;",")))&gt;0)),IF(AY123="",TRUE,IF(input_audience="",FALSE,SUMPRODUCT(--ISNUMBER(SEARCH(","&amp;TRIM(TEXTSPLIT(AY123,","))&amp;",",","&amp;SUBSTITUTE(input_audience," ","")&amp;",")))=COUNTA(TEXTSPLIT(AY123,",")))))</f>
        <v/>
      </c>
      <c r="IX123">
        <f>AND(IF(BA123="",TRUE,IF(input_challenge_opportunities="",FALSE,SUMPRODUCT(--ISNUMBER(SEARCH(","&amp;TRIM(TEXTSPLIT(BA123,","))&amp;",",","&amp;SUBSTITUTE(input_challenge_opportunities," ","")&amp;",")))&gt;0)),IF(BC123="",TRUE,IF(input_challenge_opportunities="",FALSE,SUMPRODUCT(--ISNUMBER(SEARCH(","&amp;TRIM(TEXTSPLIT(BC123,","))&amp;",",","&amp;SUBSTITUTE(input_challenge_opportunities," ","")&amp;",")))=COUNTA(TEXTSPLIT(BC123,",")))),IF(BE123="",TRUE,IF(input_challenge_opportunities="",TRUE,SUMPRODUCT(--ISNUMBER(SEARCH(","&amp;TRIM(TEXTSPLIT(BE123,","))&amp;",",","&amp;SUBSTITUTE(input_challenge_opportunities," ","")&amp;",")))=0)),IF(BG123="",TRUE,IF(input_challenge_opportunities="",FALSE,SUMPRODUCT(--ISNUMBER(SEARCH(","&amp;TRIM(TEXTSPLIT(BG123,","))&amp;",",","&amp;SUBSTITUTE(input_challenge_opportunities," ","")&amp;",")))&gt;0)),IF(BI123="",TRUE,IF(input_challenge_opportunities="",FALSE,SUMPRODUCT(--ISNUMBER(SEARCH(","&amp;TRIM(TEXTSPLIT(BI123,","))&amp;",",","&amp;SUBSTITUTE(input_challenge_opportunities," ","")&amp;",")))=COUNTA(TEXTSPLIT(BI123,",")))))</f>
        <v/>
      </c>
      <c r="IY123">
        <f>AND(IF(BK123="",TRUE,IF(input_context="",FALSE,SUMPRODUCT(--ISNUMBER(SEARCH(","&amp;TRIM(TEXTSPLIT(BK123,","))&amp;",",","&amp;SUBSTITUTE(input_context," ","")&amp;",")))&gt;0)),IF(BM123="",TRUE,IF(input_context="",FALSE,SUMPRODUCT(--ISNUMBER(SEARCH(","&amp;TRIM(TEXTSPLIT(BM123,","))&amp;",",","&amp;SUBSTITUTE(input_context," ","")&amp;",")))=COUNTA(TEXTSPLIT(BM123,",")))),IF(BO123="",TRUE,IF(input_context="",TRUE,SUMPRODUCT(--ISNUMBER(SEARCH(","&amp;TRIM(TEXTSPLIT(BO123,","))&amp;",",","&amp;SUBSTITUTE(input_context," ","")&amp;",")))=0)),IF(BQ123="",TRUE,IF(input_context="",FALSE,SUMPRODUCT(--ISNUMBER(SEARCH(","&amp;TRIM(TEXTSPLIT(BQ123,","))&amp;",",","&amp;SUBSTITUTE(input_context," ","")&amp;",")))&gt;0)),IF(BS123="",TRUE,IF(input_context="",FALSE,SUMPRODUCT(--ISNUMBER(SEARCH(","&amp;TRIM(TEXTSPLIT(BS123,","))&amp;",",","&amp;SUBSTITUTE(input_context," ","")&amp;",")))=COUNTA(TEXTSPLIT(BS123,",")))))</f>
        <v/>
      </c>
      <c r="IZ123">
        <f>AND(IF(BU123="",TRUE,IF(input_enews_announcement_type="",FALSE,SUMPRODUCT(--ISNUMBER(SEARCH(","&amp;TRIM(TEXTSPLIT(BU123,","))&amp;",",","&amp;SUBSTITUTE(input_enews_announcement_type," ","")&amp;",")))&gt;0)),IF(BW123="",TRUE,IF(input_enews_announcement_type="",FALSE,SUMPRODUCT(--ISNUMBER(SEARCH(","&amp;TRIM(TEXTSPLIT(BW123,","))&amp;",",","&amp;SUBSTITUTE(input_enews_announcement_type," ","")&amp;",")))=COUNTA(TEXTSPLIT(BW123,",")))),IF(BY123="",TRUE,IF(input_enews_announcement_type="",TRUE,SUMPRODUCT(--ISNUMBER(SEARCH(","&amp;TRIM(TEXTSPLIT(BY123,","))&amp;",",","&amp;SUBSTITUTE(input_enews_announcement_type," ","")&amp;",")))=0)),IF(CA123="",TRUE,IF(input_enews_announcement_type="",FALSE,SUMPRODUCT(--ISNUMBER(SEARCH(","&amp;TRIM(TEXTSPLIT(CA123,","))&amp;",",","&amp;SUBSTITUTE(input_enews_announcement_type," ","")&amp;",")))&gt;0)),IF(CC123="",TRUE,IF(input_enews_announcement_type="",FALSE,SUMPRODUCT(--ISNUMBER(SEARCH(","&amp;TRIM(TEXTSPLIT(CC123,","))&amp;",",","&amp;SUBSTITUTE(input_enews_announcement_type," ","")&amp;",")))=COUNTA(TEXTSPLIT(CC123,",")))))</f>
        <v/>
      </c>
      <c r="JA123">
        <f>AND(IF(CE123="",TRUE,IF(input_enews_audience="",FALSE,SUMPRODUCT(--ISNUMBER(SEARCH(","&amp;TRIM(TEXTSPLIT(CE123,","))&amp;",",","&amp;SUBSTITUTE(input_enews_audience," ","")&amp;",")))&gt;0)),IF(CG123="",TRUE,IF(input_enews_audience="",FALSE,SUMPRODUCT(--ISNUMBER(SEARCH(","&amp;TRIM(TEXTSPLIT(CG123,","))&amp;",",","&amp;SUBSTITUTE(input_enews_audience," ","")&amp;",")))=COUNTA(TEXTSPLIT(CG123,",")))),IF(CI123="",TRUE,IF(input_enews_audience="",TRUE,SUMPRODUCT(--ISNUMBER(SEARCH(","&amp;TRIM(TEXTSPLIT(CI123,","))&amp;",",","&amp;SUBSTITUTE(input_enews_audience," ","")&amp;",")))=0)),IF(CK123="",TRUE,IF(input_enews_audience="",FALSE,SUMPRODUCT(--ISNUMBER(SEARCH(","&amp;TRIM(TEXTSPLIT(CK123,","))&amp;",",","&amp;SUBSTITUTE(input_enews_audience," ","")&amp;",")))&gt;0)),IF(CM123="",TRUE,IF(input_enews_audience="",FALSE,SUMPRODUCT(--ISNUMBER(SEARCH(","&amp;TRIM(TEXTSPLIT(CM123,","))&amp;",",","&amp;SUBSTITUTE(input_enews_audience," ","")&amp;",")))=COUNTA(TEXTSPLIT(CM123,",")))))</f>
        <v/>
      </c>
      <c r="JB123">
        <f>AND(IF(CO123="",TRUE,IF(input_event_location="",FALSE,SUMPRODUCT(--ISNUMBER(SEARCH(","&amp;TRIM(TEXTSPLIT(CO123,","))&amp;",",","&amp;SUBSTITUTE(input_event_location," ","")&amp;",")))&gt;0)),IF(CQ123="",TRUE,IF(input_event_location="",FALSE,SUMPRODUCT(--ISNUMBER(SEARCH(","&amp;TRIM(TEXTSPLIT(CQ123,","))&amp;",",","&amp;SUBSTITUTE(input_event_location," ","")&amp;",")))=COUNTA(TEXTSPLIT(CQ123,",")))),IF(CS123="",TRUE,IF(input_event_location="",TRUE,SUMPRODUCT(--ISNUMBER(SEARCH(","&amp;TRIM(TEXTSPLIT(CS123,","))&amp;",",","&amp;SUBSTITUTE(input_event_location," ","")&amp;",")))=0)),IF(CU123="",TRUE,IF(input_event_location="",FALSE,SUMPRODUCT(--ISNUMBER(SEARCH(","&amp;TRIM(TEXTSPLIT(CU123,","))&amp;",",","&amp;SUBSTITUTE(input_event_location," ","")&amp;",")))&gt;0)),IF(CW123="",TRUE,IF(input_event_location="",FALSE,SUMPRODUCT(--ISNUMBER(SEARCH(","&amp;TRIM(TEXTSPLIT(CW123,","))&amp;",",","&amp;SUBSTITUTE(input_event_location," ","")&amp;",")))=COUNTA(TEXTSPLIT(CW123,",")))))</f>
        <v/>
      </c>
      <c r="JC123">
        <f>AND(IF(CY123="",TRUE,IF(input_event_type="",FALSE,SUMPRODUCT(--ISNUMBER(SEARCH(","&amp;TRIM(TEXTSPLIT(CY123,","))&amp;",",","&amp;SUBSTITUTE(input_event_type," ","")&amp;",")))&gt;0)),IF(DA123="",TRUE,IF(input_event_type="",FALSE,SUMPRODUCT(--ISNUMBER(SEARCH(","&amp;TRIM(TEXTSPLIT(DA123,","))&amp;",",","&amp;SUBSTITUTE(input_event_type," ","")&amp;",")))=COUNTA(TEXTSPLIT(DA123,",")))),IF(DC123="",TRUE,IF(input_event_type="",TRUE,SUMPRODUCT(--ISNUMBER(SEARCH(","&amp;TRIM(TEXTSPLIT(DC123,","))&amp;",",","&amp;SUBSTITUTE(input_event_type," ","")&amp;",")))=0)),IF(DE123="",TRUE,IF(input_event_type="",FALSE,SUMPRODUCT(--ISNUMBER(SEARCH(","&amp;TRIM(TEXTSPLIT(DE123,","))&amp;",",","&amp;SUBSTITUTE(input_event_type," ","")&amp;",")))&gt;0)),IF(DG123="",TRUE,IF(input_event_type="",FALSE,SUMPRODUCT(--ISNUMBER(SEARCH(","&amp;TRIM(TEXTSPLIT(DG123,","))&amp;",",","&amp;SUBSTITUTE(input_event_type," ","")&amp;",")))=COUNTA(TEXTSPLIT(DG123,",")))))</f>
        <v/>
      </c>
      <c r="JD123">
        <f>AND(IF(DI123="",TRUE,IF(input_executive_education_focus="",FALSE,SUMPRODUCT(--ISNUMBER(SEARCH(","&amp;TRIM(TEXTSPLIT(DI123,","))&amp;",",","&amp;SUBSTITUTE(input_executive_education_focus," ","")&amp;",")))&gt;0)),IF(DK123="",TRUE,IF(input_executive_education_focus="",FALSE,SUMPRODUCT(--ISNUMBER(SEARCH(","&amp;TRIM(TEXTSPLIT(DK123,","))&amp;",",","&amp;SUBSTITUTE(input_executive_education_focus," ","")&amp;",")))=COUNTA(TEXTSPLIT(DK123,",")))),IF(DM123="",TRUE,IF(input_executive_education_focus="",TRUE,SUMPRODUCT(--ISNUMBER(SEARCH(","&amp;TRIM(TEXTSPLIT(DM123,","))&amp;",",","&amp;SUBSTITUTE(input_executive_education_focus," ","")&amp;",")))=0)),IF(DO123="",TRUE,IF(input_executive_education_focus="",FALSE,SUMPRODUCT(--ISNUMBER(SEARCH(","&amp;TRIM(TEXTSPLIT(DO123,","))&amp;",",","&amp;SUBSTITUTE(input_executive_education_focus," ","")&amp;",")))&gt;0)),IF(DQ123="",TRUE,IF(input_executive_education_focus="",FALSE,SUMPRODUCT(--ISNUMBER(SEARCH(","&amp;TRIM(TEXTSPLIT(DQ123,","))&amp;",",","&amp;SUBSTITUTE(input_executive_education_focus," ","")&amp;",")))=COUNTA(TEXTSPLIT(DQ123,",")))))</f>
        <v/>
      </c>
      <c r="JE123">
        <f>AND(IF(DS123="",TRUE,IF(input_faculty_category="",FALSE,SUMPRODUCT(--ISNUMBER(SEARCH(","&amp;TRIM(TEXTSPLIT(DS123,","))&amp;",",","&amp;SUBSTITUTE(input_faculty_category," ","")&amp;",")))&gt;0)),IF(DU123="",TRUE,IF(input_faculty_category="",FALSE,SUMPRODUCT(--ISNUMBER(SEARCH(","&amp;TRIM(TEXTSPLIT(DU123,","))&amp;",",","&amp;SUBSTITUTE(input_faculty_category," ","")&amp;",")))=COUNTA(TEXTSPLIT(DU123,",")))),IF(DW123="",TRUE,IF(input_faculty_category="",TRUE,SUMPRODUCT(--ISNUMBER(SEARCH(","&amp;TRIM(TEXTSPLIT(DW123,","))&amp;",",","&amp;SUBSTITUTE(input_faculty_category," ","")&amp;",")))=0)),IF(DY123="",TRUE,IF(input_faculty_category="",FALSE,SUMPRODUCT(--ISNUMBER(SEARCH(","&amp;TRIM(TEXTSPLIT(DY123,","))&amp;",",","&amp;SUBSTITUTE(input_faculty_category," ","")&amp;",")))&gt;0)),IF(EA123="",TRUE,IF(input_faculty_category="",FALSE,SUMPRODUCT(--ISNUMBER(SEARCH(","&amp;TRIM(TEXTSPLIT(EA123,","))&amp;",",","&amp;SUBSTITUTE(input_faculty_category," ","")&amp;",")))=COUNTA(TEXTSPLIT(EA123,",")))))</f>
        <v/>
      </c>
      <c r="JF123">
        <f>AND(IF(EC123="",TRUE,IF(input_faculty_discipline="",FALSE,SUMPRODUCT(--ISNUMBER(SEARCH(","&amp;TRIM(TEXTSPLIT(EC123,","))&amp;",",","&amp;SUBSTITUTE(input_faculty_discipline," ","")&amp;",")))&gt;0)),IF(EE123="",TRUE,IF(input_faculty_discipline="",FALSE,SUMPRODUCT(--ISNUMBER(SEARCH(","&amp;TRIM(TEXTSPLIT(EE123,","))&amp;",",","&amp;SUBSTITUTE(input_faculty_discipline," ","")&amp;",")))=COUNTA(TEXTSPLIT(EE123,",")))),IF(EG123="",TRUE,IF(input_faculty_discipline="",TRUE,SUMPRODUCT(--ISNUMBER(SEARCH(","&amp;TRIM(TEXTSPLIT(EG123,","))&amp;",",","&amp;SUBSTITUTE(input_faculty_discipline," ","")&amp;",")))=0)),IF(EI123="",TRUE,IF(input_faculty_discipline="",FALSE,SUMPRODUCT(--ISNUMBER(SEARCH(","&amp;TRIM(TEXTSPLIT(EI123,","))&amp;",",","&amp;SUBSTITUTE(input_faculty_discipline," ","")&amp;",")))&gt;0)),IF(EK123="",TRUE,IF(input_faculty_discipline="",FALSE,SUMPRODUCT(--ISNUMBER(SEARCH(","&amp;TRIM(TEXTSPLIT(EK123,","))&amp;",",","&amp;SUBSTITUTE(input_faculty_discipline," ","")&amp;",")))=COUNTA(TEXTSPLIT(EK123,",")))))</f>
        <v/>
      </c>
      <c r="JG123">
        <f>AND(IF(EM123="",TRUE,IF(input_faculty_expertise="",FALSE,SUMPRODUCT(--ISNUMBER(SEARCH(","&amp;TRIM(TEXTSPLIT(EM123,","))&amp;",",","&amp;SUBSTITUTE(input_faculty_expertise," ","")&amp;",")))&gt;0)),IF(EO123="",TRUE,IF(input_faculty_expertise="",FALSE,SUMPRODUCT(--ISNUMBER(SEARCH(","&amp;TRIM(TEXTSPLIT(EO123,","))&amp;",",","&amp;SUBSTITUTE(input_faculty_expertise," ","")&amp;",")))=COUNTA(TEXTSPLIT(EO123,",")))),IF(EQ123="",TRUE,IF(input_faculty_expertise="",TRUE,SUMPRODUCT(--ISNUMBER(SEARCH(","&amp;TRIM(TEXTSPLIT(EQ123,","))&amp;",",","&amp;SUBSTITUTE(input_faculty_expertise," ","")&amp;",")))=0)),IF(ES123="",TRUE,IF(input_faculty_expertise="",FALSE,SUMPRODUCT(--ISNUMBER(SEARCH(","&amp;TRIM(TEXTSPLIT(ES123,","))&amp;",",","&amp;SUBSTITUTE(input_faculty_expertise," ","")&amp;",")))&gt;0)),IF(EU123="",TRUE,IF(input_faculty_expertise="",FALSE,SUMPRODUCT(--ISNUMBER(SEARCH(","&amp;TRIM(TEXTSPLIT(EU123,","))&amp;",",","&amp;SUBSTITUTE(input_faculty_expertise," ","")&amp;",")))=COUNTA(TEXTSPLIT(EU123,",")))))</f>
        <v/>
      </c>
      <c r="JH123">
        <f>AND(IF(EW123="",TRUE,IF(input_global_network_school="",FALSE,SUMPRODUCT(--ISNUMBER(SEARCH(","&amp;TRIM(TEXTSPLIT(EW123,","))&amp;",",","&amp;SUBSTITUTE(input_global_network_school," ","")&amp;",")))&gt;0)),IF(EY123="",TRUE,IF(input_global_network_school="",FALSE,SUMPRODUCT(--ISNUMBER(SEARCH(","&amp;TRIM(TEXTSPLIT(EY123,","))&amp;",",","&amp;SUBSTITUTE(input_global_network_school," ","")&amp;",")))=COUNTA(TEXTSPLIT(EY123,",")))),IF(FA123="",TRUE,IF(input_global_network_school="",TRUE,SUMPRODUCT(--ISNUMBER(SEARCH(","&amp;TRIM(TEXTSPLIT(FA123,","))&amp;",",","&amp;SUBSTITUTE(input_global_network_school," ","")&amp;",")))=0)),IF(FC123="",TRUE,IF(input_global_network_school="",FALSE,SUMPRODUCT(--ISNUMBER(SEARCH(","&amp;TRIM(TEXTSPLIT(FC123,","))&amp;",",","&amp;SUBSTITUTE(input_global_network_school," ","")&amp;",")))&gt;0)),IF(FE123="",TRUE,IF(input_global_network_school="",FALSE,SUMPRODUCT(--ISNUMBER(SEARCH(","&amp;TRIM(TEXTSPLIT(FE123,","))&amp;",",","&amp;SUBSTITUTE(input_global_network_school," ","")&amp;",")))=COUNTA(TEXTSPLIT(FE123,",")))))</f>
        <v/>
      </c>
      <c r="JI123">
        <f>AND(IF(FG123="",TRUE,IF(input_industry="",FALSE,SUMPRODUCT(--ISNUMBER(SEARCH(","&amp;TRIM(TEXTSPLIT(FG123,","))&amp;",",","&amp;SUBSTITUTE(input_industry," ","")&amp;",")))&gt;0)),IF(FI123="",TRUE,IF(input_industry="",FALSE,SUMPRODUCT(--ISNUMBER(SEARCH(","&amp;TRIM(TEXTSPLIT(FI123,","))&amp;",",","&amp;SUBSTITUTE(input_industry," ","")&amp;",")))=COUNTA(TEXTSPLIT(FI123,",")))),IF(FK123="",TRUE,IF(input_industry="",TRUE,SUMPRODUCT(--ISNUMBER(SEARCH(","&amp;TRIM(TEXTSPLIT(FK123,","))&amp;",",","&amp;SUBSTITUTE(input_industry," ","")&amp;",")))=0)),IF(FM123="",TRUE,IF(input_industry="",FALSE,SUMPRODUCT(--ISNUMBER(SEARCH(","&amp;TRIM(TEXTSPLIT(FM123,","))&amp;",",","&amp;SUBSTITUTE(input_industry," ","")&amp;",")))&gt;0)),IF(FO123="",TRUE,IF(input_industry="",FALSE,SUMPRODUCT(--ISNUMBER(SEARCH(","&amp;TRIM(TEXTSPLIT(FO123,","))&amp;",",","&amp;SUBSTITUTE(input_industry," ","")&amp;",")))=COUNTA(TEXTSPLIT(FO123,",")))))</f>
        <v/>
      </c>
      <c r="JJ123">
        <f>AND(IF(FQ123="",TRUE,IF(input_location="",FALSE,SUMPRODUCT(--ISNUMBER(SEARCH(","&amp;TRIM(TEXTSPLIT(FQ123,","))&amp;",",","&amp;SUBSTITUTE(input_location," ","")&amp;",")))&gt;0)),IF(FS123="",TRUE,IF(input_location="",FALSE,SUMPRODUCT(--ISNUMBER(SEARCH(","&amp;TRIM(TEXTSPLIT(FS123,","))&amp;",",","&amp;SUBSTITUTE(input_location," ","")&amp;",")))=COUNTA(TEXTSPLIT(FS123,",")))),IF(FU123="",TRUE,IF(input_location="",TRUE,SUMPRODUCT(--ISNUMBER(SEARCH(","&amp;TRIM(TEXTSPLIT(FU123,","))&amp;",",","&amp;SUBSTITUTE(input_location," ","")&amp;",")))=0)),IF(FW123="",TRUE,IF(input_location="",FALSE,SUMPRODUCT(--ISNUMBER(SEARCH(","&amp;TRIM(TEXTSPLIT(FW123,","))&amp;",",","&amp;SUBSTITUTE(input_location," ","")&amp;",")))&gt;0)),IF(FY123="",TRUE,IF(input_location="",FALSE,SUMPRODUCT(--ISNUMBER(SEARCH(","&amp;TRIM(TEXTSPLIT(FY123,","))&amp;",",","&amp;SUBSTITUTE(input_location," ","")&amp;",")))=COUNTA(TEXTSPLIT(FY123,",")))))</f>
        <v/>
      </c>
      <c r="JK123">
        <f>AND(IF(GA123="",TRUE,IF(input_modality="",FALSE,SUMPRODUCT(--ISNUMBER(SEARCH(","&amp;TRIM(TEXTSPLIT(GA123,","))&amp;",",","&amp;SUBSTITUTE(input_modality," ","")&amp;",")))&gt;0)),IF(GC123="",TRUE,IF(input_modality="",FALSE,SUMPRODUCT(--ISNUMBER(SEARCH(","&amp;TRIM(TEXTSPLIT(GC123,","))&amp;",",","&amp;SUBSTITUTE(input_modality," ","")&amp;",")))=COUNTA(TEXTSPLIT(GC123,",")))),IF(GE123="",TRUE,IF(input_modality="",TRUE,SUMPRODUCT(--ISNUMBER(SEARCH(","&amp;TRIM(TEXTSPLIT(GE123,","))&amp;",",","&amp;SUBSTITUTE(input_modality," ","")&amp;",")))=0)),IF(GG123="",TRUE,IF(input_modality="",FALSE,SUMPRODUCT(--ISNUMBER(SEARCH(","&amp;TRIM(TEXTSPLIT(GG123,","))&amp;",",","&amp;SUBSTITUTE(input_modality," ","")&amp;",")))&gt;0)),IF(GI123="",TRUE,IF(input_modality="",FALSE,SUMPRODUCT(--ISNUMBER(SEARCH(","&amp;TRIM(TEXTSPLIT(GI123,","))&amp;",",","&amp;SUBSTITUTE(input_modality," ","")&amp;",")))=COUNTA(TEXTSPLIT(GI123,",")))))</f>
        <v/>
      </c>
      <c r="JL123">
        <f>AND(IF(GK123="",TRUE,IF(input_organizer="",FALSE,SUMPRODUCT(--ISNUMBER(SEARCH(","&amp;TRIM(TEXTSPLIT(GK123,","))&amp;",",","&amp;SUBSTITUTE(input_organizer," ","")&amp;",")))&gt;0)),IF(GM123="",TRUE,IF(input_organizer="",FALSE,SUMPRODUCT(--ISNUMBER(SEARCH(","&amp;TRIM(TEXTSPLIT(GM123,","))&amp;",",","&amp;SUBSTITUTE(input_organizer," ","")&amp;",")))=COUNTA(TEXTSPLIT(GM123,",")))),IF(GO123="",TRUE,IF(input_organizer="",TRUE,SUMPRODUCT(--ISNUMBER(SEARCH(","&amp;TRIM(TEXTSPLIT(GO123,","))&amp;",",","&amp;SUBSTITUTE(input_organizer," ","")&amp;",")))=0)),IF(GQ123="",TRUE,IF(input_organizer="",FALSE,SUMPRODUCT(--ISNUMBER(SEARCH(","&amp;TRIM(TEXTSPLIT(GQ123,","))&amp;",",","&amp;SUBSTITUTE(input_organizer," ","")&amp;",")))&gt;0)),IF(GS123="",TRUE,IF(input_organizer="",FALSE,SUMPRODUCT(--ISNUMBER(SEARCH(","&amp;TRIM(TEXTSPLIT(GS123,","))&amp;",",","&amp;SUBSTITUTE(input_organizer," ","")&amp;",")))=COUNTA(TEXTSPLIT(GS123,",")))))</f>
        <v/>
      </c>
      <c r="JM123">
        <f>AND(IF(GU123="",TRUE,IF(input_profile_type="",FALSE,SUMPRODUCT(--ISNUMBER(SEARCH(","&amp;TRIM(TEXTSPLIT(GU123,","))&amp;",",","&amp;SUBSTITUTE(input_profile_type," ","")&amp;",")))&gt;0)),IF(GW123="",TRUE,IF(input_profile_type="",FALSE,SUMPRODUCT(--ISNUMBER(SEARCH(","&amp;TRIM(TEXTSPLIT(GW123,","))&amp;",",","&amp;SUBSTITUTE(input_profile_type," ","")&amp;",")))=COUNTA(TEXTSPLIT(GW123,",")))),IF(GY123="",TRUE,IF(input_profile_type="",TRUE,SUMPRODUCT(--ISNUMBER(SEARCH(","&amp;TRIM(TEXTSPLIT(GY123,","))&amp;",",","&amp;SUBSTITUTE(input_profile_type," ","")&amp;",")))=0)),IF(HA123="",TRUE,IF(input_profile_type="",FALSE,SUMPRODUCT(--ISNUMBER(SEARCH(","&amp;TRIM(TEXTSPLIT(HA123,","))&amp;",",","&amp;SUBSTITUTE(input_profile_type," ","")&amp;",")))&gt;0)),IF(HC123="",TRUE,IF(input_profile_type="",FALSE,SUMPRODUCT(--ISNUMBER(SEARCH(","&amp;TRIM(TEXTSPLIT(HC123,","))&amp;",",","&amp;SUBSTITUTE(input_profile_type," ","")&amp;",")))=COUNTA(TEXTSPLIT(HC123,",")))))</f>
        <v/>
      </c>
      <c r="JN123">
        <f>AND(IF(HE123="",TRUE,IF(input_program="",FALSE,SUMPRODUCT(--ISNUMBER(SEARCH(","&amp;TRIM(TEXTSPLIT(HE123,","))&amp;",",","&amp;SUBSTITUTE(input_program," ","")&amp;",")))&gt;0)),IF(HG123="",TRUE,IF(input_program="",FALSE,SUMPRODUCT(--ISNUMBER(SEARCH(","&amp;TRIM(TEXTSPLIT(HG123,","))&amp;",",","&amp;SUBSTITUTE(input_program," ","")&amp;",")))=COUNTA(TEXTSPLIT(HG123,",")))),IF(HI123="",TRUE,IF(input_program="",TRUE,SUMPRODUCT(--ISNUMBER(SEARCH(","&amp;TRIM(TEXTSPLIT(HI123,","))&amp;",",","&amp;SUBSTITUTE(input_program," ","")&amp;",")))=0)),IF(HK123="",TRUE,IF(input_program="",FALSE,SUMPRODUCT(--ISNUMBER(SEARCH(","&amp;TRIM(TEXTSPLIT(HK123,","))&amp;",",","&amp;SUBSTITUTE(input_program," ","")&amp;",")))&gt;0)),IF(HM123="",TRUE,IF(input_program="",FALSE,SUMPRODUCT(--ISNUMBER(SEARCH(","&amp;TRIM(TEXTSPLIT(HM123,","))&amp;",",","&amp;SUBSTITUTE(input_program," ","")&amp;",")))=COUNTA(TEXTSPLIT(HM123,",")))))</f>
        <v/>
      </c>
      <c r="JO123">
        <f>AND(IF(HO123="",TRUE,IF(input_story_categories="",FALSE,SUMPRODUCT(--ISNUMBER(SEARCH(","&amp;TRIM(TEXTSPLIT(HO123,","))&amp;",",","&amp;SUBSTITUTE(input_story_categories," ","")&amp;",")))&gt;0)),IF(HQ123="",TRUE,IF(input_story_categories="",FALSE,SUMPRODUCT(--ISNUMBER(SEARCH(","&amp;TRIM(TEXTSPLIT(HQ123,","))&amp;",",","&amp;SUBSTITUTE(input_story_categories," ","")&amp;",")))=COUNTA(TEXTSPLIT(HQ123,",")))),IF(HS123="",TRUE,IF(input_story_categories="",TRUE,SUMPRODUCT(--ISNUMBER(SEARCH(","&amp;TRIM(TEXTSPLIT(HS123,","))&amp;",",","&amp;SUBSTITUTE(input_story_categories," ","")&amp;",")))=0)),IF(HU123="",TRUE,IF(input_story_categories="",FALSE,SUMPRODUCT(--ISNUMBER(SEARCH(","&amp;TRIM(TEXTSPLIT(HU123,","))&amp;",",","&amp;SUBSTITUTE(input_story_categories," ","")&amp;",")))&gt;0)),IF(HW123="",TRUE,IF(input_story_categories="",FALSE,SUMPRODUCT(--ISNUMBER(SEARCH(","&amp;TRIM(TEXTSPLIT(HW123,","))&amp;",",","&amp;SUBSTITUTE(input_story_categories," ","")&amp;",")))=COUNTA(TEXTSPLIT(HW123,",")))))</f>
        <v/>
      </c>
      <c r="JP123">
        <f>AND(IF(HY123="",TRUE,IF(input_story_type="",FALSE,SUMPRODUCT(--ISNUMBER(SEARCH(","&amp;TRIM(TEXTSPLIT(HY123,","))&amp;",",","&amp;SUBSTITUTE(input_story_type," ","")&amp;",")))&gt;0)),IF(IA123="",TRUE,IF(input_story_type="",FALSE,SUMPRODUCT(--ISNUMBER(SEARCH(","&amp;TRIM(TEXTSPLIT(IA123,","))&amp;",",","&amp;SUBSTITUTE(input_story_type," ","")&amp;",")))=COUNTA(TEXTSPLIT(IA123,",")))),IF(IC123="",TRUE,IF(input_story_type="",TRUE,SUMPRODUCT(--ISNUMBER(SEARCH(","&amp;TRIM(TEXTSPLIT(IC123,","))&amp;",",","&amp;SUBSTITUTE(input_story_type," ","")&amp;",")))=0)),IF(IE123="",TRUE,IF(input_story_type="",FALSE,SUMPRODUCT(--ISNUMBER(SEARCH(","&amp;TRIM(TEXTSPLIT(IE123,","))&amp;",",","&amp;SUBSTITUTE(input_story_type," ","")&amp;",")))&gt;0)),IF(IG123="",TRUE,IF(input_story_type="",FALSE,SUMPRODUCT(--ISNUMBER(SEARCH(","&amp;TRIM(TEXTSPLIT(IG123,","))&amp;",",","&amp;SUBSTITUTE(input_story_type," ","")&amp;",")))=COUNTA(TEXTSPLIT(IG123,",")))))</f>
        <v/>
      </c>
      <c r="JQ123">
        <f>AND(IF(II123="",TRUE,IF(input_topics="",FALSE,SUMPRODUCT(--ISNUMBER(SEARCH(","&amp;TRIM(TEXTSPLIT(II123,","))&amp;",",","&amp;SUBSTITUTE(input_topics," ","")&amp;",")))&gt;0)),IF(IK123="",TRUE,IF(input_topics="",FALSE,SUMPRODUCT(--ISNUMBER(SEARCH(","&amp;TRIM(TEXTSPLIT(IK123,","))&amp;",",","&amp;SUBSTITUTE(input_topics," ","")&amp;",")))=COUNTA(TEXTSPLIT(IK123,",")))),IF(IM123="",TRUE,IF(input_topics="",TRUE,SUMPRODUCT(--ISNUMBER(SEARCH(","&amp;TRIM(TEXTSPLIT(IM123,","))&amp;",",","&amp;SUBSTITUTE(input_topics," ","")&amp;",")))=0)),IF(IO123="",TRUE,IF(input_topics="",FALSE,SUMPRODUCT(--ISNUMBER(SEARCH(","&amp;TRIM(TEXTSPLIT(IO123,","))&amp;",",","&amp;SUBSTITUTE(input_topics," ","")&amp;",")))&gt;0)),IF(IQ123="",TRUE,IF(input_topics="",FALSE,SUMPRODUCT(--ISNUMBER(SEARCH(","&amp;TRIM(TEXTSPLIT(IQ123,","))&amp;",",","&amp;SUBSTITUTE(input_topics," ","")&amp;",")))=COUNTA(TEXTSPLIT(IQ123,",")))))</f>
        <v/>
      </c>
    </row>
    <row r="124">
      <c r="A124" s="4">
        <f>IF(NOT(IS124),"Excluded",IF(AND(IT124,IU124,IV124,IW124,IX124,IY124,IZ124,JA124,JB124,JC124,JD124,JE124,JF124,JG124,JH124,JI124,JJ124,JK124,JL124,JM124,JN124,JO124,JP124,JQ124),IF(I124&gt;0,"Eligible but limited","Will appear"),"Excluded"))</f>
        <v/>
      </c>
      <c r="B124" s="4" t="inlineStr">
        <is>
          <t>MAM Blog &amp; News</t>
        </is>
      </c>
      <c r="C124" s="4" t="inlineStr">
        <is>
          <t>/programs/mam/blog-news</t>
        </is>
      </c>
      <c r="D124" s="4" t="inlineStr">
        <is>
          <t>/programs/mam/blog-news</t>
        </is>
      </c>
      <c r="E124" s="4" t="n">
        <v>1</v>
      </c>
      <c r="F124" s="4" t="inlineStr">
        <is>
          <t>story</t>
        </is>
      </c>
      <c r="G124" s="4" t="inlineStr">
        <is>
          <t>stories_list</t>
        </is>
      </c>
      <c r="H124" s="4" t="inlineStr">
        <is>
          <t>embed_1</t>
        </is>
      </c>
      <c r="I124" s="4" t="n">
        <v>10</v>
      </c>
      <c r="J124" s="4" t="inlineStr">
        <is>
          <t>Explicit args</t>
        </is>
      </c>
      <c r="K124" s="4" t="inlineStr">
        <is>
          <t>Page placement</t>
        </is>
      </c>
      <c r="L124" s="4" t="inlineStr">
        <is>
          <t>Content type: story; Context uses Courses Context: Master of Advanced Management (932), Programs (94), Residential master's programs (1571); Limited to 10 item(s); Source: Explicit args</t>
        </is>
      </c>
      <c r="M124" t="inlineStr"/>
      <c r="N124" t="inlineStr"/>
      <c r="O124" t="inlineStr"/>
      <c r="P124" t="inlineStr"/>
      <c r="Q124" t="inlineStr"/>
      <c r="R124" t="inlineStr"/>
      <c r="S124" t="inlineStr"/>
      <c r="T124" t="inlineStr"/>
      <c r="U124" t="inlineStr"/>
      <c r="V124" t="inlineStr"/>
      <c r="W124" t="inlineStr"/>
      <c r="X124" t="inlineStr"/>
      <c r="Y124" t="inlineStr"/>
      <c r="Z124" t="inlineStr"/>
      <c r="AA124" t="inlineStr"/>
      <c r="AB124" t="inlineStr"/>
      <c r="AC124" t="inlineStr"/>
      <c r="AD124" t="inlineStr"/>
      <c r="AE124" t="inlineStr"/>
      <c r="AF124" t="inlineStr"/>
      <c r="AG124" t="inlineStr"/>
      <c r="AH124" t="inlineStr"/>
      <c r="AI124" t="inlineStr"/>
      <c r="AJ124" t="inlineStr"/>
      <c r="AK124" t="inlineStr"/>
      <c r="AL124" t="inlineStr"/>
      <c r="AM124" t="inlineStr"/>
      <c r="AN124" t="inlineStr"/>
      <c r="AO124" t="inlineStr"/>
      <c r="AP124" t="inlineStr"/>
      <c r="AQ124" t="inlineStr"/>
      <c r="AR124" t="inlineStr"/>
      <c r="AS124" t="inlineStr"/>
      <c r="AT124" t="inlineStr"/>
      <c r="AU124" t="inlineStr"/>
      <c r="AV124" t="inlineStr"/>
      <c r="AW124" t="inlineStr"/>
      <c r="AX124" t="inlineStr"/>
      <c r="AY124" t="inlineStr"/>
      <c r="AZ124" t="inlineStr"/>
      <c r="BA124" t="inlineStr"/>
      <c r="BB124" t="inlineStr"/>
      <c r="BC124" t="inlineStr"/>
      <c r="BD124" t="inlineStr"/>
      <c r="BE124" t="inlineStr"/>
      <c r="BF124" t="inlineStr"/>
      <c r="BG124" t="inlineStr"/>
      <c r="BH124" t="inlineStr"/>
      <c r="BI124" t="inlineStr"/>
      <c r="BJ124" t="inlineStr"/>
      <c r="BK124" t="inlineStr"/>
      <c r="BL124" t="inlineStr"/>
      <c r="BM124" t="inlineStr"/>
      <c r="BN124" t="inlineStr"/>
      <c r="BO124" t="inlineStr"/>
      <c r="BP124" t="inlineStr"/>
      <c r="BQ124" t="inlineStr">
        <is>
          <t>932, 94, 1571</t>
        </is>
      </c>
      <c r="BR124" t="inlineStr">
        <is>
          <t>Master of Advanced Management (932), Programs (94), Residential master's programs (1571)</t>
        </is>
      </c>
      <c r="BS124" t="inlineStr"/>
      <c r="BT124" t="inlineStr"/>
      <c r="BU124" t="inlineStr"/>
      <c r="BV124" t="inlineStr"/>
      <c r="BW124" t="inlineStr"/>
      <c r="BX124" t="inlineStr"/>
      <c r="BY124" t="inlineStr"/>
      <c r="BZ124" t="inlineStr"/>
      <c r="CA124" t="inlineStr"/>
      <c r="CB124" t="inlineStr"/>
      <c r="CC124" t="inlineStr"/>
      <c r="CD124" t="inlineStr"/>
      <c r="CE124" t="inlineStr"/>
      <c r="CF124" t="inlineStr"/>
      <c r="CG124" t="inlineStr"/>
      <c r="CH124" t="inlineStr"/>
      <c r="CI124" t="inlineStr"/>
      <c r="CJ124" t="inlineStr"/>
      <c r="CK124" t="inlineStr"/>
      <c r="CL124" t="inlineStr"/>
      <c r="CM124" t="inlineStr"/>
      <c r="CN124" t="inlineStr"/>
      <c r="CO124" t="inlineStr"/>
      <c r="CP124" t="inlineStr"/>
      <c r="CQ124" t="inlineStr"/>
      <c r="CR124" t="inlineStr"/>
      <c r="CS124" t="inlineStr"/>
      <c r="CT124" t="inlineStr"/>
      <c r="CU124" t="inlineStr"/>
      <c r="CV124" t="inlineStr"/>
      <c r="CW124" t="inlineStr"/>
      <c r="CX124" t="inlineStr"/>
      <c r="CY124" t="inlineStr"/>
      <c r="CZ124" t="inlineStr"/>
      <c r="DA124" t="inlineStr"/>
      <c r="DB124" t="inlineStr"/>
      <c r="DC124" t="inlineStr"/>
      <c r="DD124" t="inlineStr"/>
      <c r="DE124" t="inlineStr"/>
      <c r="DF124" t="inlineStr"/>
      <c r="DG124" t="inlineStr"/>
      <c r="DH124" t="inlineStr"/>
      <c r="DI124" t="inlineStr"/>
      <c r="DJ124" t="inlineStr"/>
      <c r="DK124" t="inlineStr"/>
      <c r="DL124" t="inlineStr"/>
      <c r="DM124" t="inlineStr"/>
      <c r="DN124" t="inlineStr"/>
      <c r="DO124" t="inlineStr"/>
      <c r="DP124" t="inlineStr"/>
      <c r="DQ124" t="inlineStr"/>
      <c r="DR124" t="inlineStr"/>
      <c r="DS124" t="inlineStr"/>
      <c r="DT124" t="inlineStr"/>
      <c r="DU124" t="inlineStr"/>
      <c r="DV124" t="inlineStr"/>
      <c r="DW124" t="inlineStr"/>
      <c r="DX124" t="inlineStr"/>
      <c r="DY124" t="inlineStr"/>
      <c r="DZ124" t="inlineStr"/>
      <c r="EA124" t="inlineStr"/>
      <c r="EB124" t="inlineStr"/>
      <c r="EC124" t="inlineStr"/>
      <c r="ED124" t="inlineStr"/>
      <c r="EE124" t="inlineStr"/>
      <c r="EF124" t="inlineStr"/>
      <c r="EG124" t="inlineStr"/>
      <c r="EH124" t="inlineStr"/>
      <c r="EI124" t="inlineStr"/>
      <c r="EJ124" t="inlineStr"/>
      <c r="EK124" t="inlineStr"/>
      <c r="EL124" t="inlineStr"/>
      <c r="EM124" t="inlineStr"/>
      <c r="EN124" t="inlineStr"/>
      <c r="EO124" t="inlineStr"/>
      <c r="EP124" t="inlineStr"/>
      <c r="EQ124" t="inlineStr"/>
      <c r="ER124" t="inlineStr"/>
      <c r="ES124" t="inlineStr"/>
      <c r="ET124" t="inlineStr"/>
      <c r="EU124" t="inlineStr"/>
      <c r="EV124" t="inlineStr"/>
      <c r="EW124" t="inlineStr"/>
      <c r="EX124" t="inlineStr"/>
      <c r="EY124" t="inlineStr"/>
      <c r="EZ124" t="inlineStr"/>
      <c r="FA124" t="inlineStr"/>
      <c r="FB124" t="inlineStr"/>
      <c r="FC124" t="inlineStr"/>
      <c r="FD124" t="inlineStr"/>
      <c r="FE124" t="inlineStr"/>
      <c r="FF124" t="inlineStr"/>
      <c r="FG124" t="inlineStr"/>
      <c r="FH124" t="inlineStr"/>
      <c r="FI124" t="inlineStr"/>
      <c r="FJ124" t="inlineStr"/>
      <c r="FK124" t="inlineStr"/>
      <c r="FL124" t="inlineStr"/>
      <c r="FM124" t="inlineStr"/>
      <c r="FN124" t="inlineStr"/>
      <c r="FO124" t="inlineStr"/>
      <c r="FP124" t="inlineStr"/>
      <c r="FQ124" t="inlineStr"/>
      <c r="FR124" t="inlineStr"/>
      <c r="FS124" t="inlineStr"/>
      <c r="FT124" t="inlineStr"/>
      <c r="FU124" t="inlineStr"/>
      <c r="FV124" t="inlineStr"/>
      <c r="FW124" t="inlineStr"/>
      <c r="FX124" t="inlineStr"/>
      <c r="FY124" t="inlineStr"/>
      <c r="FZ124" t="inlineStr"/>
      <c r="GA124" t="inlineStr"/>
      <c r="GB124" t="inlineStr"/>
      <c r="GC124" t="inlineStr"/>
      <c r="GD124" t="inlineStr"/>
      <c r="GE124" t="inlineStr"/>
      <c r="GF124" t="inlineStr"/>
      <c r="GG124" t="inlineStr"/>
      <c r="GH124" t="inlineStr"/>
      <c r="GI124" t="inlineStr"/>
      <c r="GJ124" t="inlineStr"/>
      <c r="GK124" t="inlineStr"/>
      <c r="GL124" t="inlineStr"/>
      <c r="GM124" t="inlineStr"/>
      <c r="GN124" t="inlineStr"/>
      <c r="GO124" t="inlineStr"/>
      <c r="GP124" t="inlineStr"/>
      <c r="GQ124" t="inlineStr"/>
      <c r="GR124" t="inlineStr"/>
      <c r="GS124" t="inlineStr"/>
      <c r="GT124" t="inlineStr"/>
      <c r="GU124" t="inlineStr"/>
      <c r="GV124" t="inlineStr"/>
      <c r="GW124" t="inlineStr"/>
      <c r="GX124" t="inlineStr"/>
      <c r="GY124" t="inlineStr"/>
      <c r="GZ124" t="inlineStr"/>
      <c r="HA124" t="inlineStr"/>
      <c r="HB124" t="inlineStr"/>
      <c r="HC124" t="inlineStr"/>
      <c r="HD124" t="inlineStr"/>
      <c r="HE124" t="inlineStr"/>
      <c r="HF124" t="inlineStr"/>
      <c r="HG124" t="inlineStr"/>
      <c r="HH124" t="inlineStr"/>
      <c r="HI124" t="inlineStr"/>
      <c r="HJ124" t="inlineStr"/>
      <c r="HK124" t="inlineStr"/>
      <c r="HL124" t="inlineStr"/>
      <c r="HM124" t="inlineStr"/>
      <c r="HN124" t="inlineStr"/>
      <c r="HO124" t="inlineStr"/>
      <c r="HP124" t="inlineStr"/>
      <c r="HQ124" t="inlineStr"/>
      <c r="HR124" t="inlineStr"/>
      <c r="HS124" t="inlineStr"/>
      <c r="HT124" t="inlineStr"/>
      <c r="HU124" t="inlineStr"/>
      <c r="HV124" t="inlineStr"/>
      <c r="HW124" t="inlineStr"/>
      <c r="HX124" t="inlineStr"/>
      <c r="HY124" t="inlineStr"/>
      <c r="HZ124" t="inlineStr"/>
      <c r="IA124" t="inlineStr"/>
      <c r="IB124" t="inlineStr"/>
      <c r="IC124" t="inlineStr"/>
      <c r="ID124" t="inlineStr"/>
      <c r="IE124" t="inlineStr"/>
      <c r="IF124" t="inlineStr"/>
      <c r="IG124" t="inlineStr"/>
      <c r="IH124" t="inlineStr"/>
      <c r="II124" t="inlineStr"/>
      <c r="IJ124" t="inlineStr"/>
      <c r="IK124" t="inlineStr"/>
      <c r="IL124" t="inlineStr"/>
      <c r="IM124" t="inlineStr"/>
      <c r="IN124" t="inlineStr"/>
      <c r="IO124" t="inlineStr"/>
      <c r="IP124" t="inlineStr"/>
      <c r="IQ124" t="inlineStr"/>
      <c r="IR124" t="inlineStr"/>
      <c r="IS124">
        <f>IF(input_content_type="",FALSE,ISNUMBER(SEARCH(","&amp;LOWER(input_content_type)&amp;",",","&amp;LOWER(F124)&amp;",")))</f>
        <v/>
      </c>
      <c r="IT124">
        <f>AND(IF(M124="",TRUE,IF(input_affiliations="",FALSE,SUMPRODUCT(--ISNUMBER(SEARCH(","&amp;TRIM(TEXTSPLIT(M124,","))&amp;",",","&amp;SUBSTITUTE(input_affiliations," ","")&amp;",")))&gt;0)),IF(O124="",TRUE,IF(input_affiliations="",FALSE,SUMPRODUCT(--ISNUMBER(SEARCH(","&amp;TRIM(TEXTSPLIT(O124,","))&amp;",",","&amp;SUBSTITUTE(input_affiliations," ","")&amp;",")))=COUNTA(TEXTSPLIT(O124,",")))),IF(Q124="",TRUE,IF(input_affiliations="",TRUE,SUMPRODUCT(--ISNUMBER(SEARCH(","&amp;TRIM(TEXTSPLIT(Q124,","))&amp;",",","&amp;SUBSTITUTE(input_affiliations," ","")&amp;",")))=0)),IF(S124="",TRUE,IF(input_affiliations="",FALSE,SUMPRODUCT(--ISNUMBER(SEARCH(","&amp;TRIM(TEXTSPLIT(S124,","))&amp;",",","&amp;SUBSTITUTE(input_affiliations," ","")&amp;",")))&gt;0)),IF(U124="",TRUE,IF(input_affiliations="",FALSE,SUMPRODUCT(--ISNUMBER(SEARCH(","&amp;TRIM(TEXTSPLIT(U124,","))&amp;",",","&amp;SUBSTITUTE(input_affiliations," ","")&amp;",")))=COUNTA(TEXTSPLIT(U124,",")))))</f>
        <v/>
      </c>
      <c r="IU124">
        <f>AND(IF(W124="",TRUE,IF(input_announcement_category="",FALSE,SUMPRODUCT(--ISNUMBER(SEARCH(","&amp;TRIM(TEXTSPLIT(W124,","))&amp;",",","&amp;SUBSTITUTE(input_announcement_category," ","")&amp;",")))&gt;0)),IF(Y124="",TRUE,IF(input_announcement_category="",FALSE,SUMPRODUCT(--ISNUMBER(SEARCH(","&amp;TRIM(TEXTSPLIT(Y124,","))&amp;",",","&amp;SUBSTITUTE(input_announcement_category," ","")&amp;",")))=COUNTA(TEXTSPLIT(Y124,",")))),IF(AA124="",TRUE,IF(input_announcement_category="",TRUE,SUMPRODUCT(--ISNUMBER(SEARCH(","&amp;TRIM(TEXTSPLIT(AA124,","))&amp;",",","&amp;SUBSTITUTE(input_announcement_category," ","")&amp;",")))=0)),IF(AC124="",TRUE,IF(input_announcement_category="",FALSE,SUMPRODUCT(--ISNUMBER(SEARCH(","&amp;TRIM(TEXTSPLIT(AC124,","))&amp;",",","&amp;SUBSTITUTE(input_announcement_category," ","")&amp;",")))&gt;0)),IF(AE124="",TRUE,IF(input_announcement_category="",FALSE,SUMPRODUCT(--ISNUMBER(SEARCH(","&amp;TRIM(TEXTSPLIT(AE124,","))&amp;",",","&amp;SUBSTITUTE(input_announcement_category," ","")&amp;",")))=COUNTA(TEXTSPLIT(AE124,",")))))</f>
        <v/>
      </c>
      <c r="IV124">
        <f>AND(IF(AG124="",TRUE,IF(input_area_of_focus="",FALSE,SUMPRODUCT(--ISNUMBER(SEARCH(","&amp;TRIM(TEXTSPLIT(AG124,","))&amp;",",","&amp;SUBSTITUTE(input_area_of_focus," ","")&amp;",")))&gt;0)),IF(AI124="",TRUE,IF(input_area_of_focus="",FALSE,SUMPRODUCT(--ISNUMBER(SEARCH(","&amp;TRIM(TEXTSPLIT(AI124,","))&amp;",",","&amp;SUBSTITUTE(input_area_of_focus," ","")&amp;",")))=COUNTA(TEXTSPLIT(AI124,",")))),IF(AK124="",TRUE,IF(input_area_of_focus="",TRUE,SUMPRODUCT(--ISNUMBER(SEARCH(","&amp;TRIM(TEXTSPLIT(AK124,","))&amp;",",","&amp;SUBSTITUTE(input_area_of_focus," ","")&amp;",")))=0)),IF(AM124="",TRUE,IF(input_area_of_focus="",FALSE,SUMPRODUCT(--ISNUMBER(SEARCH(","&amp;TRIM(TEXTSPLIT(AM124,","))&amp;",",","&amp;SUBSTITUTE(input_area_of_focus," ","")&amp;",")))&gt;0)),IF(AO124="",TRUE,IF(input_area_of_focus="",FALSE,SUMPRODUCT(--ISNUMBER(SEARCH(","&amp;TRIM(TEXTSPLIT(AO124,","))&amp;",",","&amp;SUBSTITUTE(input_area_of_focus," ","")&amp;",")))=COUNTA(TEXTSPLIT(AO124,",")))))</f>
        <v/>
      </c>
      <c r="IW124">
        <f>AND(IF(AQ124="",TRUE,IF(input_audience="",FALSE,SUMPRODUCT(--ISNUMBER(SEARCH(","&amp;TRIM(TEXTSPLIT(AQ124,","))&amp;",",","&amp;SUBSTITUTE(input_audience," ","")&amp;",")))&gt;0)),IF(AS124="",TRUE,IF(input_audience="",FALSE,SUMPRODUCT(--ISNUMBER(SEARCH(","&amp;TRIM(TEXTSPLIT(AS124,","))&amp;",",","&amp;SUBSTITUTE(input_audience," ","")&amp;",")))=COUNTA(TEXTSPLIT(AS124,",")))),IF(AU124="",TRUE,IF(input_audience="",TRUE,SUMPRODUCT(--ISNUMBER(SEARCH(","&amp;TRIM(TEXTSPLIT(AU124,","))&amp;",",","&amp;SUBSTITUTE(input_audience," ","")&amp;",")))=0)),IF(AW124="",TRUE,IF(input_audience="",FALSE,SUMPRODUCT(--ISNUMBER(SEARCH(","&amp;TRIM(TEXTSPLIT(AW124,","))&amp;",",","&amp;SUBSTITUTE(input_audience," ","")&amp;",")))&gt;0)),IF(AY124="",TRUE,IF(input_audience="",FALSE,SUMPRODUCT(--ISNUMBER(SEARCH(","&amp;TRIM(TEXTSPLIT(AY124,","))&amp;",",","&amp;SUBSTITUTE(input_audience," ","")&amp;",")))=COUNTA(TEXTSPLIT(AY124,",")))))</f>
        <v/>
      </c>
      <c r="IX124">
        <f>AND(IF(BA124="",TRUE,IF(input_challenge_opportunities="",FALSE,SUMPRODUCT(--ISNUMBER(SEARCH(","&amp;TRIM(TEXTSPLIT(BA124,","))&amp;",",","&amp;SUBSTITUTE(input_challenge_opportunities," ","")&amp;",")))&gt;0)),IF(BC124="",TRUE,IF(input_challenge_opportunities="",FALSE,SUMPRODUCT(--ISNUMBER(SEARCH(","&amp;TRIM(TEXTSPLIT(BC124,","))&amp;",",","&amp;SUBSTITUTE(input_challenge_opportunities," ","")&amp;",")))=COUNTA(TEXTSPLIT(BC124,",")))),IF(BE124="",TRUE,IF(input_challenge_opportunities="",TRUE,SUMPRODUCT(--ISNUMBER(SEARCH(","&amp;TRIM(TEXTSPLIT(BE124,","))&amp;",",","&amp;SUBSTITUTE(input_challenge_opportunities," ","")&amp;",")))=0)),IF(BG124="",TRUE,IF(input_challenge_opportunities="",FALSE,SUMPRODUCT(--ISNUMBER(SEARCH(","&amp;TRIM(TEXTSPLIT(BG124,","))&amp;",",","&amp;SUBSTITUTE(input_challenge_opportunities," ","")&amp;",")))&gt;0)),IF(BI124="",TRUE,IF(input_challenge_opportunities="",FALSE,SUMPRODUCT(--ISNUMBER(SEARCH(","&amp;TRIM(TEXTSPLIT(BI124,","))&amp;",",","&amp;SUBSTITUTE(input_challenge_opportunities," ","")&amp;",")))=COUNTA(TEXTSPLIT(BI124,",")))))</f>
        <v/>
      </c>
      <c r="IY124">
        <f>AND(IF(BK124="",TRUE,IF(input_context="",FALSE,SUMPRODUCT(--ISNUMBER(SEARCH(","&amp;TRIM(TEXTSPLIT(BK124,","))&amp;",",","&amp;SUBSTITUTE(input_context," ","")&amp;",")))&gt;0)),IF(BM124="",TRUE,IF(input_context="",FALSE,SUMPRODUCT(--ISNUMBER(SEARCH(","&amp;TRIM(TEXTSPLIT(BM124,","))&amp;",",","&amp;SUBSTITUTE(input_context," ","")&amp;",")))=COUNTA(TEXTSPLIT(BM124,",")))),IF(BO124="",TRUE,IF(input_context="",TRUE,SUMPRODUCT(--ISNUMBER(SEARCH(","&amp;TRIM(TEXTSPLIT(BO124,","))&amp;",",","&amp;SUBSTITUTE(input_context," ","")&amp;",")))=0)),IF(BQ124="",TRUE,IF(input_context="",FALSE,SUMPRODUCT(--ISNUMBER(SEARCH(","&amp;TRIM(TEXTSPLIT(BQ124,","))&amp;",",","&amp;SUBSTITUTE(input_context," ","")&amp;",")))&gt;0)),IF(BS124="",TRUE,IF(input_context="",FALSE,SUMPRODUCT(--ISNUMBER(SEARCH(","&amp;TRIM(TEXTSPLIT(BS124,","))&amp;",",","&amp;SUBSTITUTE(input_context," ","")&amp;",")))=COUNTA(TEXTSPLIT(BS124,",")))))</f>
        <v/>
      </c>
      <c r="IZ124">
        <f>AND(IF(BU124="",TRUE,IF(input_enews_announcement_type="",FALSE,SUMPRODUCT(--ISNUMBER(SEARCH(","&amp;TRIM(TEXTSPLIT(BU124,","))&amp;",",","&amp;SUBSTITUTE(input_enews_announcement_type," ","")&amp;",")))&gt;0)),IF(BW124="",TRUE,IF(input_enews_announcement_type="",FALSE,SUMPRODUCT(--ISNUMBER(SEARCH(","&amp;TRIM(TEXTSPLIT(BW124,","))&amp;",",","&amp;SUBSTITUTE(input_enews_announcement_type," ","")&amp;",")))=COUNTA(TEXTSPLIT(BW124,",")))),IF(BY124="",TRUE,IF(input_enews_announcement_type="",TRUE,SUMPRODUCT(--ISNUMBER(SEARCH(","&amp;TRIM(TEXTSPLIT(BY124,","))&amp;",",","&amp;SUBSTITUTE(input_enews_announcement_type," ","")&amp;",")))=0)),IF(CA124="",TRUE,IF(input_enews_announcement_type="",FALSE,SUMPRODUCT(--ISNUMBER(SEARCH(","&amp;TRIM(TEXTSPLIT(CA124,","))&amp;",",","&amp;SUBSTITUTE(input_enews_announcement_type," ","")&amp;",")))&gt;0)),IF(CC124="",TRUE,IF(input_enews_announcement_type="",FALSE,SUMPRODUCT(--ISNUMBER(SEARCH(","&amp;TRIM(TEXTSPLIT(CC124,","))&amp;",",","&amp;SUBSTITUTE(input_enews_announcement_type," ","")&amp;",")))=COUNTA(TEXTSPLIT(CC124,",")))))</f>
        <v/>
      </c>
      <c r="JA124">
        <f>AND(IF(CE124="",TRUE,IF(input_enews_audience="",FALSE,SUMPRODUCT(--ISNUMBER(SEARCH(","&amp;TRIM(TEXTSPLIT(CE124,","))&amp;",",","&amp;SUBSTITUTE(input_enews_audience," ","")&amp;",")))&gt;0)),IF(CG124="",TRUE,IF(input_enews_audience="",FALSE,SUMPRODUCT(--ISNUMBER(SEARCH(","&amp;TRIM(TEXTSPLIT(CG124,","))&amp;",",","&amp;SUBSTITUTE(input_enews_audience," ","")&amp;",")))=COUNTA(TEXTSPLIT(CG124,",")))),IF(CI124="",TRUE,IF(input_enews_audience="",TRUE,SUMPRODUCT(--ISNUMBER(SEARCH(","&amp;TRIM(TEXTSPLIT(CI124,","))&amp;",",","&amp;SUBSTITUTE(input_enews_audience," ","")&amp;",")))=0)),IF(CK124="",TRUE,IF(input_enews_audience="",FALSE,SUMPRODUCT(--ISNUMBER(SEARCH(","&amp;TRIM(TEXTSPLIT(CK124,","))&amp;",",","&amp;SUBSTITUTE(input_enews_audience," ","")&amp;",")))&gt;0)),IF(CM124="",TRUE,IF(input_enews_audience="",FALSE,SUMPRODUCT(--ISNUMBER(SEARCH(","&amp;TRIM(TEXTSPLIT(CM124,","))&amp;",",","&amp;SUBSTITUTE(input_enews_audience," ","")&amp;",")))=COUNTA(TEXTSPLIT(CM124,",")))))</f>
        <v/>
      </c>
      <c r="JB124">
        <f>AND(IF(CO124="",TRUE,IF(input_event_location="",FALSE,SUMPRODUCT(--ISNUMBER(SEARCH(","&amp;TRIM(TEXTSPLIT(CO124,","))&amp;",",","&amp;SUBSTITUTE(input_event_location," ","")&amp;",")))&gt;0)),IF(CQ124="",TRUE,IF(input_event_location="",FALSE,SUMPRODUCT(--ISNUMBER(SEARCH(","&amp;TRIM(TEXTSPLIT(CQ124,","))&amp;",",","&amp;SUBSTITUTE(input_event_location," ","")&amp;",")))=COUNTA(TEXTSPLIT(CQ124,",")))),IF(CS124="",TRUE,IF(input_event_location="",TRUE,SUMPRODUCT(--ISNUMBER(SEARCH(","&amp;TRIM(TEXTSPLIT(CS124,","))&amp;",",","&amp;SUBSTITUTE(input_event_location," ","")&amp;",")))=0)),IF(CU124="",TRUE,IF(input_event_location="",FALSE,SUMPRODUCT(--ISNUMBER(SEARCH(","&amp;TRIM(TEXTSPLIT(CU124,","))&amp;",",","&amp;SUBSTITUTE(input_event_location," ","")&amp;",")))&gt;0)),IF(CW124="",TRUE,IF(input_event_location="",FALSE,SUMPRODUCT(--ISNUMBER(SEARCH(","&amp;TRIM(TEXTSPLIT(CW124,","))&amp;",",","&amp;SUBSTITUTE(input_event_location," ","")&amp;",")))=COUNTA(TEXTSPLIT(CW124,",")))))</f>
        <v/>
      </c>
      <c r="JC124">
        <f>AND(IF(CY124="",TRUE,IF(input_event_type="",FALSE,SUMPRODUCT(--ISNUMBER(SEARCH(","&amp;TRIM(TEXTSPLIT(CY124,","))&amp;",",","&amp;SUBSTITUTE(input_event_type," ","")&amp;",")))&gt;0)),IF(DA124="",TRUE,IF(input_event_type="",FALSE,SUMPRODUCT(--ISNUMBER(SEARCH(","&amp;TRIM(TEXTSPLIT(DA124,","))&amp;",",","&amp;SUBSTITUTE(input_event_type," ","")&amp;",")))=COUNTA(TEXTSPLIT(DA124,",")))),IF(DC124="",TRUE,IF(input_event_type="",TRUE,SUMPRODUCT(--ISNUMBER(SEARCH(","&amp;TRIM(TEXTSPLIT(DC124,","))&amp;",",","&amp;SUBSTITUTE(input_event_type," ","")&amp;",")))=0)),IF(DE124="",TRUE,IF(input_event_type="",FALSE,SUMPRODUCT(--ISNUMBER(SEARCH(","&amp;TRIM(TEXTSPLIT(DE124,","))&amp;",",","&amp;SUBSTITUTE(input_event_type," ","")&amp;",")))&gt;0)),IF(DG124="",TRUE,IF(input_event_type="",FALSE,SUMPRODUCT(--ISNUMBER(SEARCH(","&amp;TRIM(TEXTSPLIT(DG124,","))&amp;",",","&amp;SUBSTITUTE(input_event_type," ","")&amp;",")))=COUNTA(TEXTSPLIT(DG124,",")))))</f>
        <v/>
      </c>
      <c r="JD124">
        <f>AND(IF(DI124="",TRUE,IF(input_executive_education_focus="",FALSE,SUMPRODUCT(--ISNUMBER(SEARCH(","&amp;TRIM(TEXTSPLIT(DI124,","))&amp;",",","&amp;SUBSTITUTE(input_executive_education_focus," ","")&amp;",")))&gt;0)),IF(DK124="",TRUE,IF(input_executive_education_focus="",FALSE,SUMPRODUCT(--ISNUMBER(SEARCH(","&amp;TRIM(TEXTSPLIT(DK124,","))&amp;",",","&amp;SUBSTITUTE(input_executive_education_focus," ","")&amp;",")))=COUNTA(TEXTSPLIT(DK124,",")))),IF(DM124="",TRUE,IF(input_executive_education_focus="",TRUE,SUMPRODUCT(--ISNUMBER(SEARCH(","&amp;TRIM(TEXTSPLIT(DM124,","))&amp;",",","&amp;SUBSTITUTE(input_executive_education_focus," ","")&amp;",")))=0)),IF(DO124="",TRUE,IF(input_executive_education_focus="",FALSE,SUMPRODUCT(--ISNUMBER(SEARCH(","&amp;TRIM(TEXTSPLIT(DO124,","))&amp;",",","&amp;SUBSTITUTE(input_executive_education_focus," ","")&amp;",")))&gt;0)),IF(DQ124="",TRUE,IF(input_executive_education_focus="",FALSE,SUMPRODUCT(--ISNUMBER(SEARCH(","&amp;TRIM(TEXTSPLIT(DQ124,","))&amp;",",","&amp;SUBSTITUTE(input_executive_education_focus," ","")&amp;",")))=COUNTA(TEXTSPLIT(DQ124,",")))))</f>
        <v/>
      </c>
      <c r="JE124">
        <f>AND(IF(DS124="",TRUE,IF(input_faculty_category="",FALSE,SUMPRODUCT(--ISNUMBER(SEARCH(","&amp;TRIM(TEXTSPLIT(DS124,","))&amp;",",","&amp;SUBSTITUTE(input_faculty_category," ","")&amp;",")))&gt;0)),IF(DU124="",TRUE,IF(input_faculty_category="",FALSE,SUMPRODUCT(--ISNUMBER(SEARCH(","&amp;TRIM(TEXTSPLIT(DU124,","))&amp;",",","&amp;SUBSTITUTE(input_faculty_category," ","")&amp;",")))=COUNTA(TEXTSPLIT(DU124,",")))),IF(DW124="",TRUE,IF(input_faculty_category="",TRUE,SUMPRODUCT(--ISNUMBER(SEARCH(","&amp;TRIM(TEXTSPLIT(DW124,","))&amp;",",","&amp;SUBSTITUTE(input_faculty_category," ","")&amp;",")))=0)),IF(DY124="",TRUE,IF(input_faculty_category="",FALSE,SUMPRODUCT(--ISNUMBER(SEARCH(","&amp;TRIM(TEXTSPLIT(DY124,","))&amp;",",","&amp;SUBSTITUTE(input_faculty_category," ","")&amp;",")))&gt;0)),IF(EA124="",TRUE,IF(input_faculty_category="",FALSE,SUMPRODUCT(--ISNUMBER(SEARCH(","&amp;TRIM(TEXTSPLIT(EA124,","))&amp;",",","&amp;SUBSTITUTE(input_faculty_category," ","")&amp;",")))=COUNTA(TEXTSPLIT(EA124,",")))))</f>
        <v/>
      </c>
      <c r="JF124">
        <f>AND(IF(EC124="",TRUE,IF(input_faculty_discipline="",FALSE,SUMPRODUCT(--ISNUMBER(SEARCH(","&amp;TRIM(TEXTSPLIT(EC124,","))&amp;",",","&amp;SUBSTITUTE(input_faculty_discipline," ","")&amp;",")))&gt;0)),IF(EE124="",TRUE,IF(input_faculty_discipline="",FALSE,SUMPRODUCT(--ISNUMBER(SEARCH(","&amp;TRIM(TEXTSPLIT(EE124,","))&amp;",",","&amp;SUBSTITUTE(input_faculty_discipline," ","")&amp;",")))=COUNTA(TEXTSPLIT(EE124,",")))),IF(EG124="",TRUE,IF(input_faculty_discipline="",TRUE,SUMPRODUCT(--ISNUMBER(SEARCH(","&amp;TRIM(TEXTSPLIT(EG124,","))&amp;",",","&amp;SUBSTITUTE(input_faculty_discipline," ","")&amp;",")))=0)),IF(EI124="",TRUE,IF(input_faculty_discipline="",FALSE,SUMPRODUCT(--ISNUMBER(SEARCH(","&amp;TRIM(TEXTSPLIT(EI124,","))&amp;",",","&amp;SUBSTITUTE(input_faculty_discipline," ","")&amp;",")))&gt;0)),IF(EK124="",TRUE,IF(input_faculty_discipline="",FALSE,SUMPRODUCT(--ISNUMBER(SEARCH(","&amp;TRIM(TEXTSPLIT(EK124,","))&amp;",",","&amp;SUBSTITUTE(input_faculty_discipline," ","")&amp;",")))=COUNTA(TEXTSPLIT(EK124,",")))))</f>
        <v/>
      </c>
      <c r="JG124">
        <f>AND(IF(EM124="",TRUE,IF(input_faculty_expertise="",FALSE,SUMPRODUCT(--ISNUMBER(SEARCH(","&amp;TRIM(TEXTSPLIT(EM124,","))&amp;",",","&amp;SUBSTITUTE(input_faculty_expertise," ","")&amp;",")))&gt;0)),IF(EO124="",TRUE,IF(input_faculty_expertise="",FALSE,SUMPRODUCT(--ISNUMBER(SEARCH(","&amp;TRIM(TEXTSPLIT(EO124,","))&amp;",",","&amp;SUBSTITUTE(input_faculty_expertise," ","")&amp;",")))=COUNTA(TEXTSPLIT(EO124,",")))),IF(EQ124="",TRUE,IF(input_faculty_expertise="",TRUE,SUMPRODUCT(--ISNUMBER(SEARCH(","&amp;TRIM(TEXTSPLIT(EQ124,","))&amp;",",","&amp;SUBSTITUTE(input_faculty_expertise," ","")&amp;",")))=0)),IF(ES124="",TRUE,IF(input_faculty_expertise="",FALSE,SUMPRODUCT(--ISNUMBER(SEARCH(","&amp;TRIM(TEXTSPLIT(ES124,","))&amp;",",","&amp;SUBSTITUTE(input_faculty_expertise," ","")&amp;",")))&gt;0)),IF(EU124="",TRUE,IF(input_faculty_expertise="",FALSE,SUMPRODUCT(--ISNUMBER(SEARCH(","&amp;TRIM(TEXTSPLIT(EU124,","))&amp;",",","&amp;SUBSTITUTE(input_faculty_expertise," ","")&amp;",")))=COUNTA(TEXTSPLIT(EU124,",")))))</f>
        <v/>
      </c>
      <c r="JH124">
        <f>AND(IF(EW124="",TRUE,IF(input_global_network_school="",FALSE,SUMPRODUCT(--ISNUMBER(SEARCH(","&amp;TRIM(TEXTSPLIT(EW124,","))&amp;",",","&amp;SUBSTITUTE(input_global_network_school," ","")&amp;",")))&gt;0)),IF(EY124="",TRUE,IF(input_global_network_school="",FALSE,SUMPRODUCT(--ISNUMBER(SEARCH(","&amp;TRIM(TEXTSPLIT(EY124,","))&amp;",",","&amp;SUBSTITUTE(input_global_network_school," ","")&amp;",")))=COUNTA(TEXTSPLIT(EY124,",")))),IF(FA124="",TRUE,IF(input_global_network_school="",TRUE,SUMPRODUCT(--ISNUMBER(SEARCH(","&amp;TRIM(TEXTSPLIT(FA124,","))&amp;",",","&amp;SUBSTITUTE(input_global_network_school," ","")&amp;",")))=0)),IF(FC124="",TRUE,IF(input_global_network_school="",FALSE,SUMPRODUCT(--ISNUMBER(SEARCH(","&amp;TRIM(TEXTSPLIT(FC124,","))&amp;",",","&amp;SUBSTITUTE(input_global_network_school," ","")&amp;",")))&gt;0)),IF(FE124="",TRUE,IF(input_global_network_school="",FALSE,SUMPRODUCT(--ISNUMBER(SEARCH(","&amp;TRIM(TEXTSPLIT(FE124,","))&amp;",",","&amp;SUBSTITUTE(input_global_network_school," ","")&amp;",")))=COUNTA(TEXTSPLIT(FE124,",")))))</f>
        <v/>
      </c>
      <c r="JI124">
        <f>AND(IF(FG124="",TRUE,IF(input_industry="",FALSE,SUMPRODUCT(--ISNUMBER(SEARCH(","&amp;TRIM(TEXTSPLIT(FG124,","))&amp;",",","&amp;SUBSTITUTE(input_industry," ","")&amp;",")))&gt;0)),IF(FI124="",TRUE,IF(input_industry="",FALSE,SUMPRODUCT(--ISNUMBER(SEARCH(","&amp;TRIM(TEXTSPLIT(FI124,","))&amp;",",","&amp;SUBSTITUTE(input_industry," ","")&amp;",")))=COUNTA(TEXTSPLIT(FI124,",")))),IF(FK124="",TRUE,IF(input_industry="",TRUE,SUMPRODUCT(--ISNUMBER(SEARCH(","&amp;TRIM(TEXTSPLIT(FK124,","))&amp;",",","&amp;SUBSTITUTE(input_industry," ","")&amp;",")))=0)),IF(FM124="",TRUE,IF(input_industry="",FALSE,SUMPRODUCT(--ISNUMBER(SEARCH(","&amp;TRIM(TEXTSPLIT(FM124,","))&amp;",",","&amp;SUBSTITUTE(input_industry," ","")&amp;",")))&gt;0)),IF(FO124="",TRUE,IF(input_industry="",FALSE,SUMPRODUCT(--ISNUMBER(SEARCH(","&amp;TRIM(TEXTSPLIT(FO124,","))&amp;",",","&amp;SUBSTITUTE(input_industry," ","")&amp;",")))=COUNTA(TEXTSPLIT(FO124,",")))))</f>
        <v/>
      </c>
      <c r="JJ124">
        <f>AND(IF(FQ124="",TRUE,IF(input_location="",FALSE,SUMPRODUCT(--ISNUMBER(SEARCH(","&amp;TRIM(TEXTSPLIT(FQ124,","))&amp;",",","&amp;SUBSTITUTE(input_location," ","")&amp;",")))&gt;0)),IF(FS124="",TRUE,IF(input_location="",FALSE,SUMPRODUCT(--ISNUMBER(SEARCH(","&amp;TRIM(TEXTSPLIT(FS124,","))&amp;",",","&amp;SUBSTITUTE(input_location," ","")&amp;",")))=COUNTA(TEXTSPLIT(FS124,",")))),IF(FU124="",TRUE,IF(input_location="",TRUE,SUMPRODUCT(--ISNUMBER(SEARCH(","&amp;TRIM(TEXTSPLIT(FU124,","))&amp;",",","&amp;SUBSTITUTE(input_location," ","")&amp;",")))=0)),IF(FW124="",TRUE,IF(input_location="",FALSE,SUMPRODUCT(--ISNUMBER(SEARCH(","&amp;TRIM(TEXTSPLIT(FW124,","))&amp;",",","&amp;SUBSTITUTE(input_location," ","")&amp;",")))&gt;0)),IF(FY124="",TRUE,IF(input_location="",FALSE,SUMPRODUCT(--ISNUMBER(SEARCH(","&amp;TRIM(TEXTSPLIT(FY124,","))&amp;",",","&amp;SUBSTITUTE(input_location," ","")&amp;",")))=COUNTA(TEXTSPLIT(FY124,",")))))</f>
        <v/>
      </c>
      <c r="JK124">
        <f>AND(IF(GA124="",TRUE,IF(input_modality="",FALSE,SUMPRODUCT(--ISNUMBER(SEARCH(","&amp;TRIM(TEXTSPLIT(GA124,","))&amp;",",","&amp;SUBSTITUTE(input_modality," ","")&amp;",")))&gt;0)),IF(GC124="",TRUE,IF(input_modality="",FALSE,SUMPRODUCT(--ISNUMBER(SEARCH(","&amp;TRIM(TEXTSPLIT(GC124,","))&amp;",",","&amp;SUBSTITUTE(input_modality," ","")&amp;",")))=COUNTA(TEXTSPLIT(GC124,",")))),IF(GE124="",TRUE,IF(input_modality="",TRUE,SUMPRODUCT(--ISNUMBER(SEARCH(","&amp;TRIM(TEXTSPLIT(GE124,","))&amp;",",","&amp;SUBSTITUTE(input_modality," ","")&amp;",")))=0)),IF(GG124="",TRUE,IF(input_modality="",FALSE,SUMPRODUCT(--ISNUMBER(SEARCH(","&amp;TRIM(TEXTSPLIT(GG124,","))&amp;",",","&amp;SUBSTITUTE(input_modality," ","")&amp;",")))&gt;0)),IF(GI124="",TRUE,IF(input_modality="",FALSE,SUMPRODUCT(--ISNUMBER(SEARCH(","&amp;TRIM(TEXTSPLIT(GI124,","))&amp;",",","&amp;SUBSTITUTE(input_modality," ","")&amp;",")))=COUNTA(TEXTSPLIT(GI124,",")))))</f>
        <v/>
      </c>
      <c r="JL124">
        <f>AND(IF(GK124="",TRUE,IF(input_organizer="",FALSE,SUMPRODUCT(--ISNUMBER(SEARCH(","&amp;TRIM(TEXTSPLIT(GK124,","))&amp;",",","&amp;SUBSTITUTE(input_organizer," ","")&amp;",")))&gt;0)),IF(GM124="",TRUE,IF(input_organizer="",FALSE,SUMPRODUCT(--ISNUMBER(SEARCH(","&amp;TRIM(TEXTSPLIT(GM124,","))&amp;",",","&amp;SUBSTITUTE(input_organizer," ","")&amp;",")))=COUNTA(TEXTSPLIT(GM124,",")))),IF(GO124="",TRUE,IF(input_organizer="",TRUE,SUMPRODUCT(--ISNUMBER(SEARCH(","&amp;TRIM(TEXTSPLIT(GO124,","))&amp;",",","&amp;SUBSTITUTE(input_organizer," ","")&amp;",")))=0)),IF(GQ124="",TRUE,IF(input_organizer="",FALSE,SUMPRODUCT(--ISNUMBER(SEARCH(","&amp;TRIM(TEXTSPLIT(GQ124,","))&amp;",",","&amp;SUBSTITUTE(input_organizer," ","")&amp;",")))&gt;0)),IF(GS124="",TRUE,IF(input_organizer="",FALSE,SUMPRODUCT(--ISNUMBER(SEARCH(","&amp;TRIM(TEXTSPLIT(GS124,","))&amp;",",","&amp;SUBSTITUTE(input_organizer," ","")&amp;",")))=COUNTA(TEXTSPLIT(GS124,",")))))</f>
        <v/>
      </c>
      <c r="JM124">
        <f>AND(IF(GU124="",TRUE,IF(input_profile_type="",FALSE,SUMPRODUCT(--ISNUMBER(SEARCH(","&amp;TRIM(TEXTSPLIT(GU124,","))&amp;",",","&amp;SUBSTITUTE(input_profile_type," ","")&amp;",")))&gt;0)),IF(GW124="",TRUE,IF(input_profile_type="",FALSE,SUMPRODUCT(--ISNUMBER(SEARCH(","&amp;TRIM(TEXTSPLIT(GW124,","))&amp;",",","&amp;SUBSTITUTE(input_profile_type," ","")&amp;",")))=COUNTA(TEXTSPLIT(GW124,",")))),IF(GY124="",TRUE,IF(input_profile_type="",TRUE,SUMPRODUCT(--ISNUMBER(SEARCH(","&amp;TRIM(TEXTSPLIT(GY124,","))&amp;",",","&amp;SUBSTITUTE(input_profile_type," ","")&amp;",")))=0)),IF(HA124="",TRUE,IF(input_profile_type="",FALSE,SUMPRODUCT(--ISNUMBER(SEARCH(","&amp;TRIM(TEXTSPLIT(HA124,","))&amp;",",","&amp;SUBSTITUTE(input_profile_type," ","")&amp;",")))&gt;0)),IF(HC124="",TRUE,IF(input_profile_type="",FALSE,SUMPRODUCT(--ISNUMBER(SEARCH(","&amp;TRIM(TEXTSPLIT(HC124,","))&amp;",",","&amp;SUBSTITUTE(input_profile_type," ","")&amp;",")))=COUNTA(TEXTSPLIT(HC124,",")))))</f>
        <v/>
      </c>
      <c r="JN124">
        <f>AND(IF(HE124="",TRUE,IF(input_program="",FALSE,SUMPRODUCT(--ISNUMBER(SEARCH(","&amp;TRIM(TEXTSPLIT(HE124,","))&amp;",",","&amp;SUBSTITUTE(input_program," ","")&amp;",")))&gt;0)),IF(HG124="",TRUE,IF(input_program="",FALSE,SUMPRODUCT(--ISNUMBER(SEARCH(","&amp;TRIM(TEXTSPLIT(HG124,","))&amp;",",","&amp;SUBSTITUTE(input_program," ","")&amp;",")))=COUNTA(TEXTSPLIT(HG124,",")))),IF(HI124="",TRUE,IF(input_program="",TRUE,SUMPRODUCT(--ISNUMBER(SEARCH(","&amp;TRIM(TEXTSPLIT(HI124,","))&amp;",",","&amp;SUBSTITUTE(input_program," ","")&amp;",")))=0)),IF(HK124="",TRUE,IF(input_program="",FALSE,SUMPRODUCT(--ISNUMBER(SEARCH(","&amp;TRIM(TEXTSPLIT(HK124,","))&amp;",",","&amp;SUBSTITUTE(input_program," ","")&amp;",")))&gt;0)),IF(HM124="",TRUE,IF(input_program="",FALSE,SUMPRODUCT(--ISNUMBER(SEARCH(","&amp;TRIM(TEXTSPLIT(HM124,","))&amp;",",","&amp;SUBSTITUTE(input_program," ","")&amp;",")))=COUNTA(TEXTSPLIT(HM124,",")))))</f>
        <v/>
      </c>
      <c r="JO124">
        <f>AND(IF(HO124="",TRUE,IF(input_story_categories="",FALSE,SUMPRODUCT(--ISNUMBER(SEARCH(","&amp;TRIM(TEXTSPLIT(HO124,","))&amp;",",","&amp;SUBSTITUTE(input_story_categories," ","")&amp;",")))&gt;0)),IF(HQ124="",TRUE,IF(input_story_categories="",FALSE,SUMPRODUCT(--ISNUMBER(SEARCH(","&amp;TRIM(TEXTSPLIT(HQ124,","))&amp;",",","&amp;SUBSTITUTE(input_story_categories," ","")&amp;",")))=COUNTA(TEXTSPLIT(HQ124,",")))),IF(HS124="",TRUE,IF(input_story_categories="",TRUE,SUMPRODUCT(--ISNUMBER(SEARCH(","&amp;TRIM(TEXTSPLIT(HS124,","))&amp;",",","&amp;SUBSTITUTE(input_story_categories," ","")&amp;",")))=0)),IF(HU124="",TRUE,IF(input_story_categories="",FALSE,SUMPRODUCT(--ISNUMBER(SEARCH(","&amp;TRIM(TEXTSPLIT(HU124,","))&amp;",",","&amp;SUBSTITUTE(input_story_categories," ","")&amp;",")))&gt;0)),IF(HW124="",TRUE,IF(input_story_categories="",FALSE,SUMPRODUCT(--ISNUMBER(SEARCH(","&amp;TRIM(TEXTSPLIT(HW124,","))&amp;",",","&amp;SUBSTITUTE(input_story_categories," ","")&amp;",")))=COUNTA(TEXTSPLIT(HW124,",")))))</f>
        <v/>
      </c>
      <c r="JP124">
        <f>AND(IF(HY124="",TRUE,IF(input_story_type="",FALSE,SUMPRODUCT(--ISNUMBER(SEARCH(","&amp;TRIM(TEXTSPLIT(HY124,","))&amp;",",","&amp;SUBSTITUTE(input_story_type," ","")&amp;",")))&gt;0)),IF(IA124="",TRUE,IF(input_story_type="",FALSE,SUMPRODUCT(--ISNUMBER(SEARCH(","&amp;TRIM(TEXTSPLIT(IA124,","))&amp;",",","&amp;SUBSTITUTE(input_story_type," ","")&amp;",")))=COUNTA(TEXTSPLIT(IA124,",")))),IF(IC124="",TRUE,IF(input_story_type="",TRUE,SUMPRODUCT(--ISNUMBER(SEARCH(","&amp;TRIM(TEXTSPLIT(IC124,","))&amp;",",","&amp;SUBSTITUTE(input_story_type," ","")&amp;",")))=0)),IF(IE124="",TRUE,IF(input_story_type="",FALSE,SUMPRODUCT(--ISNUMBER(SEARCH(","&amp;TRIM(TEXTSPLIT(IE124,","))&amp;",",","&amp;SUBSTITUTE(input_story_type," ","")&amp;",")))&gt;0)),IF(IG124="",TRUE,IF(input_story_type="",FALSE,SUMPRODUCT(--ISNUMBER(SEARCH(","&amp;TRIM(TEXTSPLIT(IG124,","))&amp;",",","&amp;SUBSTITUTE(input_story_type," ","")&amp;",")))=COUNTA(TEXTSPLIT(IG124,",")))))</f>
        <v/>
      </c>
      <c r="JQ124">
        <f>AND(IF(II124="",TRUE,IF(input_topics="",FALSE,SUMPRODUCT(--ISNUMBER(SEARCH(","&amp;TRIM(TEXTSPLIT(II124,","))&amp;",",","&amp;SUBSTITUTE(input_topics," ","")&amp;",")))&gt;0)),IF(IK124="",TRUE,IF(input_topics="",FALSE,SUMPRODUCT(--ISNUMBER(SEARCH(","&amp;TRIM(TEXTSPLIT(IK124,","))&amp;",",","&amp;SUBSTITUTE(input_topics," ","")&amp;",")))=COUNTA(TEXTSPLIT(IK124,",")))),IF(IM124="",TRUE,IF(input_topics="",TRUE,SUMPRODUCT(--ISNUMBER(SEARCH(","&amp;TRIM(TEXTSPLIT(IM124,","))&amp;",",","&amp;SUBSTITUTE(input_topics," ","")&amp;",")))=0)),IF(IO124="",TRUE,IF(input_topics="",FALSE,SUMPRODUCT(--ISNUMBER(SEARCH(","&amp;TRIM(TEXTSPLIT(IO124,","))&amp;",",","&amp;SUBSTITUTE(input_topics," ","")&amp;",")))&gt;0)),IF(IQ124="",TRUE,IF(input_topics="",FALSE,SUMPRODUCT(--ISNUMBER(SEARCH(","&amp;TRIM(TEXTSPLIT(IQ124,","))&amp;",",","&amp;SUBSTITUTE(input_topics," ","")&amp;",")))=COUNTA(TEXTSPLIT(IQ124,",")))))</f>
        <v/>
      </c>
    </row>
    <row r="125">
      <c r="A125" s="4">
        <f>IF(NOT(IS125),"Excluded",IF(AND(IT125,IU125,IV125,IW125,IX125,IY125,IZ125,JA125,JB125,JC125,JD125,JE125,JF125,JG125,JH125,JI125,JJ125,JK125,JL125,JM125,JN125,JO125,JP125,JQ125),IF(I125&gt;0,"Eligible but limited","Will appear"),"Excluded"))</f>
        <v/>
      </c>
      <c r="B125" s="4" t="inlineStr">
        <is>
          <t>Master's in Asset Management Admissions Ambassadors</t>
        </is>
      </c>
      <c r="C125" s="4" t="inlineStr">
        <is>
          <t>/programs/mms-asset-management/admissions/asset-management-admissions-ambassadors</t>
        </is>
      </c>
      <c r="D125" s="4" t="inlineStr">
        <is>
          <t>/programs/mms-asset-management/admissions/asset-management-admissions-ambassadors</t>
        </is>
      </c>
      <c r="E125" s="4" t="n">
        <v>1</v>
      </c>
      <c r="F125" s="4" t="inlineStr">
        <is>
          <t>profile</t>
        </is>
      </c>
      <c r="G125" s="4" t="inlineStr">
        <is>
          <t>profiles_grid</t>
        </is>
      </c>
      <c r="H125" s="4" t="inlineStr">
        <is>
          <t>embed_7</t>
        </is>
      </c>
      <c r="I125" s="4" t="n">
        <v>9</v>
      </c>
      <c r="J125" s="4" t="inlineStr">
        <is>
          <t>Explicit args</t>
        </is>
      </c>
      <c r="K125" s="4" t="inlineStr">
        <is>
          <t>Page placement</t>
        </is>
      </c>
      <c r="L125" s="4" t="inlineStr">
        <is>
          <t>Content type: profile; Needs any Profile Type: Ambassador (1552); Context uses Program: Master’s in Asset Management (82); Limited to 9 item(s); Source: Explicit args</t>
        </is>
      </c>
      <c r="M125" t="inlineStr"/>
      <c r="N125" t="inlineStr"/>
      <c r="O125" t="inlineStr"/>
      <c r="P125" t="inlineStr"/>
      <c r="Q125" t="inlineStr"/>
      <c r="R125" t="inlineStr"/>
      <c r="S125" t="inlineStr"/>
      <c r="T125" t="inlineStr"/>
      <c r="U125" t="inlineStr"/>
      <c r="V125" t="inlineStr"/>
      <c r="W125" t="inlineStr"/>
      <c r="X125" t="inlineStr"/>
      <c r="Y125" t="inlineStr"/>
      <c r="Z125" t="inlineStr"/>
      <c r="AA125" t="inlineStr"/>
      <c r="AB125" t="inlineStr"/>
      <c r="AC125" t="inlineStr"/>
      <c r="AD125" t="inlineStr"/>
      <c r="AE125" t="inlineStr"/>
      <c r="AF125" t="inlineStr"/>
      <c r="AG125" t="inlineStr"/>
      <c r="AH125" t="inlineStr"/>
      <c r="AI125" t="inlineStr"/>
      <c r="AJ125" t="inlineStr"/>
      <c r="AK125" t="inlineStr"/>
      <c r="AL125" t="inlineStr"/>
      <c r="AM125" t="inlineStr"/>
      <c r="AN125" t="inlineStr"/>
      <c r="AO125" t="inlineStr"/>
      <c r="AP125" t="inlineStr"/>
      <c r="AQ125" t="inlineStr"/>
      <c r="AR125" t="inlineStr"/>
      <c r="AS125" t="inlineStr"/>
      <c r="AT125" t="inlineStr"/>
      <c r="AU125" t="inlineStr"/>
      <c r="AV125" t="inlineStr"/>
      <c r="AW125" t="inlineStr"/>
      <c r="AX125" t="inlineStr"/>
      <c r="AY125" t="inlineStr"/>
      <c r="AZ125" t="inlineStr"/>
      <c r="BA125" t="inlineStr"/>
      <c r="BB125" t="inlineStr"/>
      <c r="BC125" t="inlineStr"/>
      <c r="BD125" t="inlineStr"/>
      <c r="BE125" t="inlineStr"/>
      <c r="BF125" t="inlineStr"/>
      <c r="BG125" t="inlineStr"/>
      <c r="BH125" t="inlineStr"/>
      <c r="BI125" t="inlineStr"/>
      <c r="BJ125" t="inlineStr"/>
      <c r="BK125" t="inlineStr"/>
      <c r="BL125" t="inlineStr"/>
      <c r="BM125" t="inlineStr"/>
      <c r="BN125" t="inlineStr"/>
      <c r="BO125" t="inlineStr"/>
      <c r="BP125" t="inlineStr"/>
      <c r="BQ125" t="inlineStr"/>
      <c r="BR125" t="inlineStr"/>
      <c r="BS125" t="inlineStr"/>
      <c r="BT125" t="inlineStr"/>
      <c r="BU125" t="inlineStr"/>
      <c r="BV125" t="inlineStr"/>
      <c r="BW125" t="inlineStr"/>
      <c r="BX125" t="inlineStr"/>
      <c r="BY125" t="inlineStr"/>
      <c r="BZ125" t="inlineStr"/>
      <c r="CA125" t="inlineStr"/>
      <c r="CB125" t="inlineStr"/>
      <c r="CC125" t="inlineStr"/>
      <c r="CD125" t="inlineStr"/>
      <c r="CE125" t="inlineStr"/>
      <c r="CF125" t="inlineStr"/>
      <c r="CG125" t="inlineStr"/>
      <c r="CH125" t="inlineStr"/>
      <c r="CI125" t="inlineStr"/>
      <c r="CJ125" t="inlineStr"/>
      <c r="CK125" t="inlineStr"/>
      <c r="CL125" t="inlineStr"/>
      <c r="CM125" t="inlineStr"/>
      <c r="CN125" t="inlineStr"/>
      <c r="CO125" t="inlineStr"/>
      <c r="CP125" t="inlineStr"/>
      <c r="CQ125" t="inlineStr"/>
      <c r="CR125" t="inlineStr"/>
      <c r="CS125" t="inlineStr"/>
      <c r="CT125" t="inlineStr"/>
      <c r="CU125" t="inlineStr"/>
      <c r="CV125" t="inlineStr"/>
      <c r="CW125" t="inlineStr"/>
      <c r="CX125" t="inlineStr"/>
      <c r="CY125" t="inlineStr"/>
      <c r="CZ125" t="inlineStr"/>
      <c r="DA125" t="inlineStr"/>
      <c r="DB125" t="inlineStr"/>
      <c r="DC125" t="inlineStr"/>
      <c r="DD125" t="inlineStr"/>
      <c r="DE125" t="inlineStr"/>
      <c r="DF125" t="inlineStr"/>
      <c r="DG125" t="inlineStr"/>
      <c r="DH125" t="inlineStr"/>
      <c r="DI125" t="inlineStr"/>
      <c r="DJ125" t="inlineStr"/>
      <c r="DK125" t="inlineStr"/>
      <c r="DL125" t="inlineStr"/>
      <c r="DM125" t="inlineStr"/>
      <c r="DN125" t="inlineStr"/>
      <c r="DO125" t="inlineStr"/>
      <c r="DP125" t="inlineStr"/>
      <c r="DQ125" t="inlineStr"/>
      <c r="DR125" t="inlineStr"/>
      <c r="DS125" t="inlineStr"/>
      <c r="DT125" t="inlineStr"/>
      <c r="DU125" t="inlineStr"/>
      <c r="DV125" t="inlineStr"/>
      <c r="DW125" t="inlineStr"/>
      <c r="DX125" t="inlineStr"/>
      <c r="DY125" t="inlineStr"/>
      <c r="DZ125" t="inlineStr"/>
      <c r="EA125" t="inlineStr"/>
      <c r="EB125" t="inlineStr"/>
      <c r="EC125" t="inlineStr"/>
      <c r="ED125" t="inlineStr"/>
      <c r="EE125" t="inlineStr"/>
      <c r="EF125" t="inlineStr"/>
      <c r="EG125" t="inlineStr"/>
      <c r="EH125" t="inlineStr"/>
      <c r="EI125" t="inlineStr"/>
      <c r="EJ125" t="inlineStr"/>
      <c r="EK125" t="inlineStr"/>
      <c r="EL125" t="inlineStr"/>
      <c r="EM125" t="inlineStr"/>
      <c r="EN125" t="inlineStr"/>
      <c r="EO125" t="inlineStr"/>
      <c r="EP125" t="inlineStr"/>
      <c r="EQ125" t="inlineStr"/>
      <c r="ER125" t="inlineStr"/>
      <c r="ES125" t="inlineStr"/>
      <c r="ET125" t="inlineStr"/>
      <c r="EU125" t="inlineStr"/>
      <c r="EV125" t="inlineStr"/>
      <c r="EW125" t="inlineStr"/>
      <c r="EX125" t="inlineStr"/>
      <c r="EY125" t="inlineStr"/>
      <c r="EZ125" t="inlineStr"/>
      <c r="FA125" t="inlineStr"/>
      <c r="FB125" t="inlineStr"/>
      <c r="FC125" t="inlineStr"/>
      <c r="FD125" t="inlineStr"/>
      <c r="FE125" t="inlineStr"/>
      <c r="FF125" t="inlineStr"/>
      <c r="FG125" t="inlineStr"/>
      <c r="FH125" t="inlineStr"/>
      <c r="FI125" t="inlineStr"/>
      <c r="FJ125" t="inlineStr"/>
      <c r="FK125" t="inlineStr"/>
      <c r="FL125" t="inlineStr"/>
      <c r="FM125" t="inlineStr"/>
      <c r="FN125" t="inlineStr"/>
      <c r="FO125" t="inlineStr"/>
      <c r="FP125" t="inlineStr"/>
      <c r="FQ125" t="inlineStr"/>
      <c r="FR125" t="inlineStr"/>
      <c r="FS125" t="inlineStr"/>
      <c r="FT125" t="inlineStr"/>
      <c r="FU125" t="inlineStr"/>
      <c r="FV125" t="inlineStr"/>
      <c r="FW125" t="inlineStr"/>
      <c r="FX125" t="inlineStr"/>
      <c r="FY125" t="inlineStr"/>
      <c r="FZ125" t="inlineStr"/>
      <c r="GA125" t="inlineStr"/>
      <c r="GB125" t="inlineStr"/>
      <c r="GC125" t="inlineStr"/>
      <c r="GD125" t="inlineStr"/>
      <c r="GE125" t="inlineStr"/>
      <c r="GF125" t="inlineStr"/>
      <c r="GG125" t="inlineStr"/>
      <c r="GH125" t="inlineStr"/>
      <c r="GI125" t="inlineStr"/>
      <c r="GJ125" t="inlineStr"/>
      <c r="GK125" t="inlineStr"/>
      <c r="GL125" t="inlineStr"/>
      <c r="GM125" t="inlineStr"/>
      <c r="GN125" t="inlineStr"/>
      <c r="GO125" t="inlineStr"/>
      <c r="GP125" t="inlineStr"/>
      <c r="GQ125" t="inlineStr"/>
      <c r="GR125" t="inlineStr"/>
      <c r="GS125" t="inlineStr"/>
      <c r="GT125" t="inlineStr"/>
      <c r="GU125" t="inlineStr">
        <is>
          <t>1552</t>
        </is>
      </c>
      <c r="GV125" t="inlineStr">
        <is>
          <t>Ambassador (1552)</t>
        </is>
      </c>
      <c r="GW125" t="inlineStr"/>
      <c r="GX125" t="inlineStr"/>
      <c r="GY125" t="inlineStr"/>
      <c r="GZ125" t="inlineStr"/>
      <c r="HA125" t="inlineStr"/>
      <c r="HB125" t="inlineStr"/>
      <c r="HC125" t="inlineStr"/>
      <c r="HD125" t="inlineStr"/>
      <c r="HE125" t="inlineStr"/>
      <c r="HF125" t="inlineStr"/>
      <c r="HG125" t="inlineStr"/>
      <c r="HH125" t="inlineStr"/>
      <c r="HI125" t="inlineStr"/>
      <c r="HJ125" t="inlineStr"/>
      <c r="HK125" t="inlineStr">
        <is>
          <t>82</t>
        </is>
      </c>
      <c r="HL125" t="inlineStr">
        <is>
          <t>Master’s in Asset Management (82)</t>
        </is>
      </c>
      <c r="HM125" t="inlineStr"/>
      <c r="HN125" t="inlineStr"/>
      <c r="HO125" t="inlineStr"/>
      <c r="HP125" t="inlineStr"/>
      <c r="HQ125" t="inlineStr"/>
      <c r="HR125" t="inlineStr"/>
      <c r="HS125" t="inlineStr"/>
      <c r="HT125" t="inlineStr"/>
      <c r="HU125" t="inlineStr"/>
      <c r="HV125" t="inlineStr"/>
      <c r="HW125" t="inlineStr"/>
      <c r="HX125" t="inlineStr"/>
      <c r="HY125" t="inlineStr"/>
      <c r="HZ125" t="inlineStr"/>
      <c r="IA125" t="inlineStr"/>
      <c r="IB125" t="inlineStr"/>
      <c r="IC125" t="inlineStr"/>
      <c r="ID125" t="inlineStr"/>
      <c r="IE125" t="inlineStr"/>
      <c r="IF125" t="inlineStr"/>
      <c r="IG125" t="inlineStr"/>
      <c r="IH125" t="inlineStr"/>
      <c r="II125" t="inlineStr"/>
      <c r="IJ125" t="inlineStr"/>
      <c r="IK125" t="inlineStr"/>
      <c r="IL125" t="inlineStr"/>
      <c r="IM125" t="inlineStr"/>
      <c r="IN125" t="inlineStr"/>
      <c r="IO125" t="inlineStr"/>
      <c r="IP125" t="inlineStr"/>
      <c r="IQ125" t="inlineStr"/>
      <c r="IR125" t="inlineStr"/>
      <c r="IS125">
        <f>IF(input_content_type="",FALSE,ISNUMBER(SEARCH(","&amp;LOWER(input_content_type)&amp;",",","&amp;LOWER(F125)&amp;",")))</f>
        <v/>
      </c>
      <c r="IT125">
        <f>AND(IF(M125="",TRUE,IF(input_affiliations="",FALSE,SUMPRODUCT(--ISNUMBER(SEARCH(","&amp;TRIM(TEXTSPLIT(M125,","))&amp;",",","&amp;SUBSTITUTE(input_affiliations," ","")&amp;",")))&gt;0)),IF(O125="",TRUE,IF(input_affiliations="",FALSE,SUMPRODUCT(--ISNUMBER(SEARCH(","&amp;TRIM(TEXTSPLIT(O125,","))&amp;",",","&amp;SUBSTITUTE(input_affiliations," ","")&amp;",")))=COUNTA(TEXTSPLIT(O125,",")))),IF(Q125="",TRUE,IF(input_affiliations="",TRUE,SUMPRODUCT(--ISNUMBER(SEARCH(","&amp;TRIM(TEXTSPLIT(Q125,","))&amp;",",","&amp;SUBSTITUTE(input_affiliations," ","")&amp;",")))=0)),IF(S125="",TRUE,IF(input_affiliations="",FALSE,SUMPRODUCT(--ISNUMBER(SEARCH(","&amp;TRIM(TEXTSPLIT(S125,","))&amp;",",","&amp;SUBSTITUTE(input_affiliations," ","")&amp;",")))&gt;0)),IF(U125="",TRUE,IF(input_affiliations="",FALSE,SUMPRODUCT(--ISNUMBER(SEARCH(","&amp;TRIM(TEXTSPLIT(U125,","))&amp;",",","&amp;SUBSTITUTE(input_affiliations," ","")&amp;",")))=COUNTA(TEXTSPLIT(U125,",")))))</f>
        <v/>
      </c>
      <c r="IU125">
        <f>AND(IF(W125="",TRUE,IF(input_announcement_category="",FALSE,SUMPRODUCT(--ISNUMBER(SEARCH(","&amp;TRIM(TEXTSPLIT(W125,","))&amp;",",","&amp;SUBSTITUTE(input_announcement_category," ","")&amp;",")))&gt;0)),IF(Y125="",TRUE,IF(input_announcement_category="",FALSE,SUMPRODUCT(--ISNUMBER(SEARCH(","&amp;TRIM(TEXTSPLIT(Y125,","))&amp;",",","&amp;SUBSTITUTE(input_announcement_category," ","")&amp;",")))=COUNTA(TEXTSPLIT(Y125,",")))),IF(AA125="",TRUE,IF(input_announcement_category="",TRUE,SUMPRODUCT(--ISNUMBER(SEARCH(","&amp;TRIM(TEXTSPLIT(AA125,","))&amp;",",","&amp;SUBSTITUTE(input_announcement_category," ","")&amp;",")))=0)),IF(AC125="",TRUE,IF(input_announcement_category="",FALSE,SUMPRODUCT(--ISNUMBER(SEARCH(","&amp;TRIM(TEXTSPLIT(AC125,","))&amp;",",","&amp;SUBSTITUTE(input_announcement_category," ","")&amp;",")))&gt;0)),IF(AE125="",TRUE,IF(input_announcement_category="",FALSE,SUMPRODUCT(--ISNUMBER(SEARCH(","&amp;TRIM(TEXTSPLIT(AE125,","))&amp;",",","&amp;SUBSTITUTE(input_announcement_category," ","")&amp;",")))=COUNTA(TEXTSPLIT(AE125,",")))))</f>
        <v/>
      </c>
      <c r="IV125">
        <f>AND(IF(AG125="",TRUE,IF(input_area_of_focus="",FALSE,SUMPRODUCT(--ISNUMBER(SEARCH(","&amp;TRIM(TEXTSPLIT(AG125,","))&amp;",",","&amp;SUBSTITUTE(input_area_of_focus," ","")&amp;",")))&gt;0)),IF(AI125="",TRUE,IF(input_area_of_focus="",FALSE,SUMPRODUCT(--ISNUMBER(SEARCH(","&amp;TRIM(TEXTSPLIT(AI125,","))&amp;",",","&amp;SUBSTITUTE(input_area_of_focus," ","")&amp;",")))=COUNTA(TEXTSPLIT(AI125,",")))),IF(AK125="",TRUE,IF(input_area_of_focus="",TRUE,SUMPRODUCT(--ISNUMBER(SEARCH(","&amp;TRIM(TEXTSPLIT(AK125,","))&amp;",",","&amp;SUBSTITUTE(input_area_of_focus," ","")&amp;",")))=0)),IF(AM125="",TRUE,IF(input_area_of_focus="",FALSE,SUMPRODUCT(--ISNUMBER(SEARCH(","&amp;TRIM(TEXTSPLIT(AM125,","))&amp;",",","&amp;SUBSTITUTE(input_area_of_focus," ","")&amp;",")))&gt;0)),IF(AO125="",TRUE,IF(input_area_of_focus="",FALSE,SUMPRODUCT(--ISNUMBER(SEARCH(","&amp;TRIM(TEXTSPLIT(AO125,","))&amp;",",","&amp;SUBSTITUTE(input_area_of_focus," ","")&amp;",")))=COUNTA(TEXTSPLIT(AO125,",")))))</f>
        <v/>
      </c>
      <c r="IW125">
        <f>AND(IF(AQ125="",TRUE,IF(input_audience="",FALSE,SUMPRODUCT(--ISNUMBER(SEARCH(","&amp;TRIM(TEXTSPLIT(AQ125,","))&amp;",",","&amp;SUBSTITUTE(input_audience," ","")&amp;",")))&gt;0)),IF(AS125="",TRUE,IF(input_audience="",FALSE,SUMPRODUCT(--ISNUMBER(SEARCH(","&amp;TRIM(TEXTSPLIT(AS125,","))&amp;",",","&amp;SUBSTITUTE(input_audience," ","")&amp;",")))=COUNTA(TEXTSPLIT(AS125,",")))),IF(AU125="",TRUE,IF(input_audience="",TRUE,SUMPRODUCT(--ISNUMBER(SEARCH(","&amp;TRIM(TEXTSPLIT(AU125,","))&amp;",",","&amp;SUBSTITUTE(input_audience," ","")&amp;",")))=0)),IF(AW125="",TRUE,IF(input_audience="",FALSE,SUMPRODUCT(--ISNUMBER(SEARCH(","&amp;TRIM(TEXTSPLIT(AW125,","))&amp;",",","&amp;SUBSTITUTE(input_audience," ","")&amp;",")))&gt;0)),IF(AY125="",TRUE,IF(input_audience="",FALSE,SUMPRODUCT(--ISNUMBER(SEARCH(","&amp;TRIM(TEXTSPLIT(AY125,","))&amp;",",","&amp;SUBSTITUTE(input_audience," ","")&amp;",")))=COUNTA(TEXTSPLIT(AY125,",")))))</f>
        <v/>
      </c>
      <c r="IX125">
        <f>AND(IF(BA125="",TRUE,IF(input_challenge_opportunities="",FALSE,SUMPRODUCT(--ISNUMBER(SEARCH(","&amp;TRIM(TEXTSPLIT(BA125,","))&amp;",",","&amp;SUBSTITUTE(input_challenge_opportunities," ","")&amp;",")))&gt;0)),IF(BC125="",TRUE,IF(input_challenge_opportunities="",FALSE,SUMPRODUCT(--ISNUMBER(SEARCH(","&amp;TRIM(TEXTSPLIT(BC125,","))&amp;",",","&amp;SUBSTITUTE(input_challenge_opportunities," ","")&amp;",")))=COUNTA(TEXTSPLIT(BC125,",")))),IF(BE125="",TRUE,IF(input_challenge_opportunities="",TRUE,SUMPRODUCT(--ISNUMBER(SEARCH(","&amp;TRIM(TEXTSPLIT(BE125,","))&amp;",",","&amp;SUBSTITUTE(input_challenge_opportunities," ","")&amp;",")))=0)),IF(BG125="",TRUE,IF(input_challenge_opportunities="",FALSE,SUMPRODUCT(--ISNUMBER(SEARCH(","&amp;TRIM(TEXTSPLIT(BG125,","))&amp;",",","&amp;SUBSTITUTE(input_challenge_opportunities," ","")&amp;",")))&gt;0)),IF(BI125="",TRUE,IF(input_challenge_opportunities="",FALSE,SUMPRODUCT(--ISNUMBER(SEARCH(","&amp;TRIM(TEXTSPLIT(BI125,","))&amp;",",","&amp;SUBSTITUTE(input_challenge_opportunities," ","")&amp;",")))=COUNTA(TEXTSPLIT(BI125,",")))))</f>
        <v/>
      </c>
      <c r="IY125">
        <f>AND(IF(BK125="",TRUE,IF(input_context="",FALSE,SUMPRODUCT(--ISNUMBER(SEARCH(","&amp;TRIM(TEXTSPLIT(BK125,","))&amp;",",","&amp;SUBSTITUTE(input_context," ","")&amp;",")))&gt;0)),IF(BM125="",TRUE,IF(input_context="",FALSE,SUMPRODUCT(--ISNUMBER(SEARCH(","&amp;TRIM(TEXTSPLIT(BM125,","))&amp;",",","&amp;SUBSTITUTE(input_context," ","")&amp;",")))=COUNTA(TEXTSPLIT(BM125,",")))),IF(BO125="",TRUE,IF(input_context="",TRUE,SUMPRODUCT(--ISNUMBER(SEARCH(","&amp;TRIM(TEXTSPLIT(BO125,","))&amp;",",","&amp;SUBSTITUTE(input_context," ","")&amp;",")))=0)),IF(BQ125="",TRUE,IF(input_context="",FALSE,SUMPRODUCT(--ISNUMBER(SEARCH(","&amp;TRIM(TEXTSPLIT(BQ125,","))&amp;",",","&amp;SUBSTITUTE(input_context," ","")&amp;",")))&gt;0)),IF(BS125="",TRUE,IF(input_context="",FALSE,SUMPRODUCT(--ISNUMBER(SEARCH(","&amp;TRIM(TEXTSPLIT(BS125,","))&amp;",",","&amp;SUBSTITUTE(input_context," ","")&amp;",")))=COUNTA(TEXTSPLIT(BS125,",")))))</f>
        <v/>
      </c>
      <c r="IZ125">
        <f>AND(IF(BU125="",TRUE,IF(input_enews_announcement_type="",FALSE,SUMPRODUCT(--ISNUMBER(SEARCH(","&amp;TRIM(TEXTSPLIT(BU125,","))&amp;",",","&amp;SUBSTITUTE(input_enews_announcement_type," ","")&amp;",")))&gt;0)),IF(BW125="",TRUE,IF(input_enews_announcement_type="",FALSE,SUMPRODUCT(--ISNUMBER(SEARCH(","&amp;TRIM(TEXTSPLIT(BW125,","))&amp;",",","&amp;SUBSTITUTE(input_enews_announcement_type," ","")&amp;",")))=COUNTA(TEXTSPLIT(BW125,",")))),IF(BY125="",TRUE,IF(input_enews_announcement_type="",TRUE,SUMPRODUCT(--ISNUMBER(SEARCH(","&amp;TRIM(TEXTSPLIT(BY125,","))&amp;",",","&amp;SUBSTITUTE(input_enews_announcement_type," ","")&amp;",")))=0)),IF(CA125="",TRUE,IF(input_enews_announcement_type="",FALSE,SUMPRODUCT(--ISNUMBER(SEARCH(","&amp;TRIM(TEXTSPLIT(CA125,","))&amp;",",","&amp;SUBSTITUTE(input_enews_announcement_type," ","")&amp;",")))&gt;0)),IF(CC125="",TRUE,IF(input_enews_announcement_type="",FALSE,SUMPRODUCT(--ISNUMBER(SEARCH(","&amp;TRIM(TEXTSPLIT(CC125,","))&amp;",",","&amp;SUBSTITUTE(input_enews_announcement_type," ","")&amp;",")))=COUNTA(TEXTSPLIT(CC125,",")))))</f>
        <v/>
      </c>
      <c r="JA125">
        <f>AND(IF(CE125="",TRUE,IF(input_enews_audience="",FALSE,SUMPRODUCT(--ISNUMBER(SEARCH(","&amp;TRIM(TEXTSPLIT(CE125,","))&amp;",",","&amp;SUBSTITUTE(input_enews_audience," ","")&amp;",")))&gt;0)),IF(CG125="",TRUE,IF(input_enews_audience="",FALSE,SUMPRODUCT(--ISNUMBER(SEARCH(","&amp;TRIM(TEXTSPLIT(CG125,","))&amp;",",","&amp;SUBSTITUTE(input_enews_audience," ","")&amp;",")))=COUNTA(TEXTSPLIT(CG125,",")))),IF(CI125="",TRUE,IF(input_enews_audience="",TRUE,SUMPRODUCT(--ISNUMBER(SEARCH(","&amp;TRIM(TEXTSPLIT(CI125,","))&amp;",",","&amp;SUBSTITUTE(input_enews_audience," ","")&amp;",")))=0)),IF(CK125="",TRUE,IF(input_enews_audience="",FALSE,SUMPRODUCT(--ISNUMBER(SEARCH(","&amp;TRIM(TEXTSPLIT(CK125,","))&amp;",",","&amp;SUBSTITUTE(input_enews_audience," ","")&amp;",")))&gt;0)),IF(CM125="",TRUE,IF(input_enews_audience="",FALSE,SUMPRODUCT(--ISNUMBER(SEARCH(","&amp;TRIM(TEXTSPLIT(CM125,","))&amp;",",","&amp;SUBSTITUTE(input_enews_audience," ","")&amp;",")))=COUNTA(TEXTSPLIT(CM125,",")))))</f>
        <v/>
      </c>
      <c r="JB125">
        <f>AND(IF(CO125="",TRUE,IF(input_event_location="",FALSE,SUMPRODUCT(--ISNUMBER(SEARCH(","&amp;TRIM(TEXTSPLIT(CO125,","))&amp;",",","&amp;SUBSTITUTE(input_event_location," ","")&amp;",")))&gt;0)),IF(CQ125="",TRUE,IF(input_event_location="",FALSE,SUMPRODUCT(--ISNUMBER(SEARCH(","&amp;TRIM(TEXTSPLIT(CQ125,","))&amp;",",","&amp;SUBSTITUTE(input_event_location," ","")&amp;",")))=COUNTA(TEXTSPLIT(CQ125,",")))),IF(CS125="",TRUE,IF(input_event_location="",TRUE,SUMPRODUCT(--ISNUMBER(SEARCH(","&amp;TRIM(TEXTSPLIT(CS125,","))&amp;",",","&amp;SUBSTITUTE(input_event_location," ","")&amp;",")))=0)),IF(CU125="",TRUE,IF(input_event_location="",FALSE,SUMPRODUCT(--ISNUMBER(SEARCH(","&amp;TRIM(TEXTSPLIT(CU125,","))&amp;",",","&amp;SUBSTITUTE(input_event_location," ","")&amp;",")))&gt;0)),IF(CW125="",TRUE,IF(input_event_location="",FALSE,SUMPRODUCT(--ISNUMBER(SEARCH(","&amp;TRIM(TEXTSPLIT(CW125,","))&amp;",",","&amp;SUBSTITUTE(input_event_location," ","")&amp;",")))=COUNTA(TEXTSPLIT(CW125,",")))))</f>
        <v/>
      </c>
      <c r="JC125">
        <f>AND(IF(CY125="",TRUE,IF(input_event_type="",FALSE,SUMPRODUCT(--ISNUMBER(SEARCH(","&amp;TRIM(TEXTSPLIT(CY125,","))&amp;",",","&amp;SUBSTITUTE(input_event_type," ","")&amp;",")))&gt;0)),IF(DA125="",TRUE,IF(input_event_type="",FALSE,SUMPRODUCT(--ISNUMBER(SEARCH(","&amp;TRIM(TEXTSPLIT(DA125,","))&amp;",",","&amp;SUBSTITUTE(input_event_type," ","")&amp;",")))=COUNTA(TEXTSPLIT(DA125,",")))),IF(DC125="",TRUE,IF(input_event_type="",TRUE,SUMPRODUCT(--ISNUMBER(SEARCH(","&amp;TRIM(TEXTSPLIT(DC125,","))&amp;",",","&amp;SUBSTITUTE(input_event_type," ","")&amp;",")))=0)),IF(DE125="",TRUE,IF(input_event_type="",FALSE,SUMPRODUCT(--ISNUMBER(SEARCH(","&amp;TRIM(TEXTSPLIT(DE125,","))&amp;",",","&amp;SUBSTITUTE(input_event_type," ","")&amp;",")))&gt;0)),IF(DG125="",TRUE,IF(input_event_type="",FALSE,SUMPRODUCT(--ISNUMBER(SEARCH(","&amp;TRIM(TEXTSPLIT(DG125,","))&amp;",",","&amp;SUBSTITUTE(input_event_type," ","")&amp;",")))=COUNTA(TEXTSPLIT(DG125,",")))))</f>
        <v/>
      </c>
      <c r="JD125">
        <f>AND(IF(DI125="",TRUE,IF(input_executive_education_focus="",FALSE,SUMPRODUCT(--ISNUMBER(SEARCH(","&amp;TRIM(TEXTSPLIT(DI125,","))&amp;",",","&amp;SUBSTITUTE(input_executive_education_focus," ","")&amp;",")))&gt;0)),IF(DK125="",TRUE,IF(input_executive_education_focus="",FALSE,SUMPRODUCT(--ISNUMBER(SEARCH(","&amp;TRIM(TEXTSPLIT(DK125,","))&amp;",",","&amp;SUBSTITUTE(input_executive_education_focus," ","")&amp;",")))=COUNTA(TEXTSPLIT(DK125,",")))),IF(DM125="",TRUE,IF(input_executive_education_focus="",TRUE,SUMPRODUCT(--ISNUMBER(SEARCH(","&amp;TRIM(TEXTSPLIT(DM125,","))&amp;",",","&amp;SUBSTITUTE(input_executive_education_focus," ","")&amp;",")))=0)),IF(DO125="",TRUE,IF(input_executive_education_focus="",FALSE,SUMPRODUCT(--ISNUMBER(SEARCH(","&amp;TRIM(TEXTSPLIT(DO125,","))&amp;",",","&amp;SUBSTITUTE(input_executive_education_focus," ","")&amp;",")))&gt;0)),IF(DQ125="",TRUE,IF(input_executive_education_focus="",FALSE,SUMPRODUCT(--ISNUMBER(SEARCH(","&amp;TRIM(TEXTSPLIT(DQ125,","))&amp;",",","&amp;SUBSTITUTE(input_executive_education_focus," ","")&amp;",")))=COUNTA(TEXTSPLIT(DQ125,",")))))</f>
        <v/>
      </c>
      <c r="JE125">
        <f>AND(IF(DS125="",TRUE,IF(input_faculty_category="",FALSE,SUMPRODUCT(--ISNUMBER(SEARCH(","&amp;TRIM(TEXTSPLIT(DS125,","))&amp;",",","&amp;SUBSTITUTE(input_faculty_category," ","")&amp;",")))&gt;0)),IF(DU125="",TRUE,IF(input_faculty_category="",FALSE,SUMPRODUCT(--ISNUMBER(SEARCH(","&amp;TRIM(TEXTSPLIT(DU125,","))&amp;",",","&amp;SUBSTITUTE(input_faculty_category," ","")&amp;",")))=COUNTA(TEXTSPLIT(DU125,",")))),IF(DW125="",TRUE,IF(input_faculty_category="",TRUE,SUMPRODUCT(--ISNUMBER(SEARCH(","&amp;TRIM(TEXTSPLIT(DW125,","))&amp;",",","&amp;SUBSTITUTE(input_faculty_category," ","")&amp;",")))=0)),IF(DY125="",TRUE,IF(input_faculty_category="",FALSE,SUMPRODUCT(--ISNUMBER(SEARCH(","&amp;TRIM(TEXTSPLIT(DY125,","))&amp;",",","&amp;SUBSTITUTE(input_faculty_category," ","")&amp;",")))&gt;0)),IF(EA125="",TRUE,IF(input_faculty_category="",FALSE,SUMPRODUCT(--ISNUMBER(SEARCH(","&amp;TRIM(TEXTSPLIT(EA125,","))&amp;",",","&amp;SUBSTITUTE(input_faculty_category," ","")&amp;",")))=COUNTA(TEXTSPLIT(EA125,",")))))</f>
        <v/>
      </c>
      <c r="JF125">
        <f>AND(IF(EC125="",TRUE,IF(input_faculty_discipline="",FALSE,SUMPRODUCT(--ISNUMBER(SEARCH(","&amp;TRIM(TEXTSPLIT(EC125,","))&amp;",",","&amp;SUBSTITUTE(input_faculty_discipline," ","")&amp;",")))&gt;0)),IF(EE125="",TRUE,IF(input_faculty_discipline="",FALSE,SUMPRODUCT(--ISNUMBER(SEARCH(","&amp;TRIM(TEXTSPLIT(EE125,","))&amp;",",","&amp;SUBSTITUTE(input_faculty_discipline," ","")&amp;",")))=COUNTA(TEXTSPLIT(EE125,",")))),IF(EG125="",TRUE,IF(input_faculty_discipline="",TRUE,SUMPRODUCT(--ISNUMBER(SEARCH(","&amp;TRIM(TEXTSPLIT(EG125,","))&amp;",",","&amp;SUBSTITUTE(input_faculty_discipline," ","")&amp;",")))=0)),IF(EI125="",TRUE,IF(input_faculty_discipline="",FALSE,SUMPRODUCT(--ISNUMBER(SEARCH(","&amp;TRIM(TEXTSPLIT(EI125,","))&amp;",",","&amp;SUBSTITUTE(input_faculty_discipline," ","")&amp;",")))&gt;0)),IF(EK125="",TRUE,IF(input_faculty_discipline="",FALSE,SUMPRODUCT(--ISNUMBER(SEARCH(","&amp;TRIM(TEXTSPLIT(EK125,","))&amp;",",","&amp;SUBSTITUTE(input_faculty_discipline," ","")&amp;",")))=COUNTA(TEXTSPLIT(EK125,",")))))</f>
        <v/>
      </c>
      <c r="JG125">
        <f>AND(IF(EM125="",TRUE,IF(input_faculty_expertise="",FALSE,SUMPRODUCT(--ISNUMBER(SEARCH(","&amp;TRIM(TEXTSPLIT(EM125,","))&amp;",",","&amp;SUBSTITUTE(input_faculty_expertise," ","")&amp;",")))&gt;0)),IF(EO125="",TRUE,IF(input_faculty_expertise="",FALSE,SUMPRODUCT(--ISNUMBER(SEARCH(","&amp;TRIM(TEXTSPLIT(EO125,","))&amp;",",","&amp;SUBSTITUTE(input_faculty_expertise," ","")&amp;",")))=COUNTA(TEXTSPLIT(EO125,",")))),IF(EQ125="",TRUE,IF(input_faculty_expertise="",TRUE,SUMPRODUCT(--ISNUMBER(SEARCH(","&amp;TRIM(TEXTSPLIT(EQ125,","))&amp;",",","&amp;SUBSTITUTE(input_faculty_expertise," ","")&amp;",")))=0)),IF(ES125="",TRUE,IF(input_faculty_expertise="",FALSE,SUMPRODUCT(--ISNUMBER(SEARCH(","&amp;TRIM(TEXTSPLIT(ES125,","))&amp;",",","&amp;SUBSTITUTE(input_faculty_expertise," ","")&amp;",")))&gt;0)),IF(EU125="",TRUE,IF(input_faculty_expertise="",FALSE,SUMPRODUCT(--ISNUMBER(SEARCH(","&amp;TRIM(TEXTSPLIT(EU125,","))&amp;",",","&amp;SUBSTITUTE(input_faculty_expertise," ","")&amp;",")))=COUNTA(TEXTSPLIT(EU125,",")))))</f>
        <v/>
      </c>
      <c r="JH125">
        <f>AND(IF(EW125="",TRUE,IF(input_global_network_school="",FALSE,SUMPRODUCT(--ISNUMBER(SEARCH(","&amp;TRIM(TEXTSPLIT(EW125,","))&amp;",",","&amp;SUBSTITUTE(input_global_network_school," ","")&amp;",")))&gt;0)),IF(EY125="",TRUE,IF(input_global_network_school="",FALSE,SUMPRODUCT(--ISNUMBER(SEARCH(","&amp;TRIM(TEXTSPLIT(EY125,","))&amp;",",","&amp;SUBSTITUTE(input_global_network_school," ","")&amp;",")))=COUNTA(TEXTSPLIT(EY125,",")))),IF(FA125="",TRUE,IF(input_global_network_school="",TRUE,SUMPRODUCT(--ISNUMBER(SEARCH(","&amp;TRIM(TEXTSPLIT(FA125,","))&amp;",",","&amp;SUBSTITUTE(input_global_network_school," ","")&amp;",")))=0)),IF(FC125="",TRUE,IF(input_global_network_school="",FALSE,SUMPRODUCT(--ISNUMBER(SEARCH(","&amp;TRIM(TEXTSPLIT(FC125,","))&amp;",",","&amp;SUBSTITUTE(input_global_network_school," ","")&amp;",")))&gt;0)),IF(FE125="",TRUE,IF(input_global_network_school="",FALSE,SUMPRODUCT(--ISNUMBER(SEARCH(","&amp;TRIM(TEXTSPLIT(FE125,","))&amp;",",","&amp;SUBSTITUTE(input_global_network_school," ","")&amp;",")))=COUNTA(TEXTSPLIT(FE125,",")))))</f>
        <v/>
      </c>
      <c r="JI125">
        <f>AND(IF(FG125="",TRUE,IF(input_industry="",FALSE,SUMPRODUCT(--ISNUMBER(SEARCH(","&amp;TRIM(TEXTSPLIT(FG125,","))&amp;",",","&amp;SUBSTITUTE(input_industry," ","")&amp;",")))&gt;0)),IF(FI125="",TRUE,IF(input_industry="",FALSE,SUMPRODUCT(--ISNUMBER(SEARCH(","&amp;TRIM(TEXTSPLIT(FI125,","))&amp;",",","&amp;SUBSTITUTE(input_industry," ","")&amp;",")))=COUNTA(TEXTSPLIT(FI125,",")))),IF(FK125="",TRUE,IF(input_industry="",TRUE,SUMPRODUCT(--ISNUMBER(SEARCH(","&amp;TRIM(TEXTSPLIT(FK125,","))&amp;",",","&amp;SUBSTITUTE(input_industry," ","")&amp;",")))=0)),IF(FM125="",TRUE,IF(input_industry="",FALSE,SUMPRODUCT(--ISNUMBER(SEARCH(","&amp;TRIM(TEXTSPLIT(FM125,","))&amp;",",","&amp;SUBSTITUTE(input_industry," ","")&amp;",")))&gt;0)),IF(FO125="",TRUE,IF(input_industry="",FALSE,SUMPRODUCT(--ISNUMBER(SEARCH(","&amp;TRIM(TEXTSPLIT(FO125,","))&amp;",",","&amp;SUBSTITUTE(input_industry," ","")&amp;",")))=COUNTA(TEXTSPLIT(FO125,",")))))</f>
        <v/>
      </c>
      <c r="JJ125">
        <f>AND(IF(FQ125="",TRUE,IF(input_location="",FALSE,SUMPRODUCT(--ISNUMBER(SEARCH(","&amp;TRIM(TEXTSPLIT(FQ125,","))&amp;",",","&amp;SUBSTITUTE(input_location," ","")&amp;",")))&gt;0)),IF(FS125="",TRUE,IF(input_location="",FALSE,SUMPRODUCT(--ISNUMBER(SEARCH(","&amp;TRIM(TEXTSPLIT(FS125,","))&amp;",",","&amp;SUBSTITUTE(input_location," ","")&amp;",")))=COUNTA(TEXTSPLIT(FS125,",")))),IF(FU125="",TRUE,IF(input_location="",TRUE,SUMPRODUCT(--ISNUMBER(SEARCH(","&amp;TRIM(TEXTSPLIT(FU125,","))&amp;",",","&amp;SUBSTITUTE(input_location," ","")&amp;",")))=0)),IF(FW125="",TRUE,IF(input_location="",FALSE,SUMPRODUCT(--ISNUMBER(SEARCH(","&amp;TRIM(TEXTSPLIT(FW125,","))&amp;",",","&amp;SUBSTITUTE(input_location," ","")&amp;",")))&gt;0)),IF(FY125="",TRUE,IF(input_location="",FALSE,SUMPRODUCT(--ISNUMBER(SEARCH(","&amp;TRIM(TEXTSPLIT(FY125,","))&amp;",",","&amp;SUBSTITUTE(input_location," ","")&amp;",")))=COUNTA(TEXTSPLIT(FY125,",")))))</f>
        <v/>
      </c>
      <c r="JK125">
        <f>AND(IF(GA125="",TRUE,IF(input_modality="",FALSE,SUMPRODUCT(--ISNUMBER(SEARCH(","&amp;TRIM(TEXTSPLIT(GA125,","))&amp;",",","&amp;SUBSTITUTE(input_modality," ","")&amp;",")))&gt;0)),IF(GC125="",TRUE,IF(input_modality="",FALSE,SUMPRODUCT(--ISNUMBER(SEARCH(","&amp;TRIM(TEXTSPLIT(GC125,","))&amp;",",","&amp;SUBSTITUTE(input_modality," ","")&amp;",")))=COUNTA(TEXTSPLIT(GC125,",")))),IF(GE125="",TRUE,IF(input_modality="",TRUE,SUMPRODUCT(--ISNUMBER(SEARCH(","&amp;TRIM(TEXTSPLIT(GE125,","))&amp;",",","&amp;SUBSTITUTE(input_modality," ","")&amp;",")))=0)),IF(GG125="",TRUE,IF(input_modality="",FALSE,SUMPRODUCT(--ISNUMBER(SEARCH(","&amp;TRIM(TEXTSPLIT(GG125,","))&amp;",",","&amp;SUBSTITUTE(input_modality," ","")&amp;",")))&gt;0)),IF(GI125="",TRUE,IF(input_modality="",FALSE,SUMPRODUCT(--ISNUMBER(SEARCH(","&amp;TRIM(TEXTSPLIT(GI125,","))&amp;",",","&amp;SUBSTITUTE(input_modality," ","")&amp;",")))=COUNTA(TEXTSPLIT(GI125,",")))))</f>
        <v/>
      </c>
      <c r="JL125">
        <f>AND(IF(GK125="",TRUE,IF(input_organizer="",FALSE,SUMPRODUCT(--ISNUMBER(SEARCH(","&amp;TRIM(TEXTSPLIT(GK125,","))&amp;",",","&amp;SUBSTITUTE(input_organizer," ","")&amp;",")))&gt;0)),IF(GM125="",TRUE,IF(input_organizer="",FALSE,SUMPRODUCT(--ISNUMBER(SEARCH(","&amp;TRIM(TEXTSPLIT(GM125,","))&amp;",",","&amp;SUBSTITUTE(input_organizer," ","")&amp;",")))=COUNTA(TEXTSPLIT(GM125,",")))),IF(GO125="",TRUE,IF(input_organizer="",TRUE,SUMPRODUCT(--ISNUMBER(SEARCH(","&amp;TRIM(TEXTSPLIT(GO125,","))&amp;",",","&amp;SUBSTITUTE(input_organizer," ","")&amp;",")))=0)),IF(GQ125="",TRUE,IF(input_organizer="",FALSE,SUMPRODUCT(--ISNUMBER(SEARCH(","&amp;TRIM(TEXTSPLIT(GQ125,","))&amp;",",","&amp;SUBSTITUTE(input_organizer," ","")&amp;",")))&gt;0)),IF(GS125="",TRUE,IF(input_organizer="",FALSE,SUMPRODUCT(--ISNUMBER(SEARCH(","&amp;TRIM(TEXTSPLIT(GS125,","))&amp;",",","&amp;SUBSTITUTE(input_organizer," ","")&amp;",")))=COUNTA(TEXTSPLIT(GS125,",")))))</f>
        <v/>
      </c>
      <c r="JM125">
        <f>AND(IF(GU125="",TRUE,IF(input_profile_type="",FALSE,SUMPRODUCT(--ISNUMBER(SEARCH(","&amp;TRIM(TEXTSPLIT(GU125,","))&amp;",",","&amp;SUBSTITUTE(input_profile_type," ","")&amp;",")))&gt;0)),IF(GW125="",TRUE,IF(input_profile_type="",FALSE,SUMPRODUCT(--ISNUMBER(SEARCH(","&amp;TRIM(TEXTSPLIT(GW125,","))&amp;",",","&amp;SUBSTITUTE(input_profile_type," ","")&amp;",")))=COUNTA(TEXTSPLIT(GW125,",")))),IF(GY125="",TRUE,IF(input_profile_type="",TRUE,SUMPRODUCT(--ISNUMBER(SEARCH(","&amp;TRIM(TEXTSPLIT(GY125,","))&amp;",",","&amp;SUBSTITUTE(input_profile_type," ","")&amp;",")))=0)),IF(HA125="",TRUE,IF(input_profile_type="",FALSE,SUMPRODUCT(--ISNUMBER(SEARCH(","&amp;TRIM(TEXTSPLIT(HA125,","))&amp;",",","&amp;SUBSTITUTE(input_profile_type," ","")&amp;",")))&gt;0)),IF(HC125="",TRUE,IF(input_profile_type="",FALSE,SUMPRODUCT(--ISNUMBER(SEARCH(","&amp;TRIM(TEXTSPLIT(HC125,","))&amp;",",","&amp;SUBSTITUTE(input_profile_type," ","")&amp;",")))=COUNTA(TEXTSPLIT(HC125,",")))))</f>
        <v/>
      </c>
      <c r="JN125">
        <f>AND(IF(HE125="",TRUE,IF(input_program="",FALSE,SUMPRODUCT(--ISNUMBER(SEARCH(","&amp;TRIM(TEXTSPLIT(HE125,","))&amp;",",","&amp;SUBSTITUTE(input_program," ","")&amp;",")))&gt;0)),IF(HG125="",TRUE,IF(input_program="",FALSE,SUMPRODUCT(--ISNUMBER(SEARCH(","&amp;TRIM(TEXTSPLIT(HG125,","))&amp;",",","&amp;SUBSTITUTE(input_program," ","")&amp;",")))=COUNTA(TEXTSPLIT(HG125,",")))),IF(HI125="",TRUE,IF(input_program="",TRUE,SUMPRODUCT(--ISNUMBER(SEARCH(","&amp;TRIM(TEXTSPLIT(HI125,","))&amp;",",","&amp;SUBSTITUTE(input_program," ","")&amp;",")))=0)),IF(HK125="",TRUE,IF(input_program="",FALSE,SUMPRODUCT(--ISNUMBER(SEARCH(","&amp;TRIM(TEXTSPLIT(HK125,","))&amp;",",","&amp;SUBSTITUTE(input_program," ","")&amp;",")))&gt;0)),IF(HM125="",TRUE,IF(input_program="",FALSE,SUMPRODUCT(--ISNUMBER(SEARCH(","&amp;TRIM(TEXTSPLIT(HM125,","))&amp;",",","&amp;SUBSTITUTE(input_program," ","")&amp;",")))=COUNTA(TEXTSPLIT(HM125,",")))))</f>
        <v/>
      </c>
      <c r="JO125">
        <f>AND(IF(HO125="",TRUE,IF(input_story_categories="",FALSE,SUMPRODUCT(--ISNUMBER(SEARCH(","&amp;TRIM(TEXTSPLIT(HO125,","))&amp;",",","&amp;SUBSTITUTE(input_story_categories," ","")&amp;",")))&gt;0)),IF(HQ125="",TRUE,IF(input_story_categories="",FALSE,SUMPRODUCT(--ISNUMBER(SEARCH(","&amp;TRIM(TEXTSPLIT(HQ125,","))&amp;",",","&amp;SUBSTITUTE(input_story_categories," ","")&amp;",")))=COUNTA(TEXTSPLIT(HQ125,",")))),IF(HS125="",TRUE,IF(input_story_categories="",TRUE,SUMPRODUCT(--ISNUMBER(SEARCH(","&amp;TRIM(TEXTSPLIT(HS125,","))&amp;",",","&amp;SUBSTITUTE(input_story_categories," ","")&amp;",")))=0)),IF(HU125="",TRUE,IF(input_story_categories="",FALSE,SUMPRODUCT(--ISNUMBER(SEARCH(","&amp;TRIM(TEXTSPLIT(HU125,","))&amp;",",","&amp;SUBSTITUTE(input_story_categories," ","")&amp;",")))&gt;0)),IF(HW125="",TRUE,IF(input_story_categories="",FALSE,SUMPRODUCT(--ISNUMBER(SEARCH(","&amp;TRIM(TEXTSPLIT(HW125,","))&amp;",",","&amp;SUBSTITUTE(input_story_categories," ","")&amp;",")))=COUNTA(TEXTSPLIT(HW125,",")))))</f>
        <v/>
      </c>
      <c r="JP125">
        <f>AND(IF(HY125="",TRUE,IF(input_story_type="",FALSE,SUMPRODUCT(--ISNUMBER(SEARCH(","&amp;TRIM(TEXTSPLIT(HY125,","))&amp;",",","&amp;SUBSTITUTE(input_story_type," ","")&amp;",")))&gt;0)),IF(IA125="",TRUE,IF(input_story_type="",FALSE,SUMPRODUCT(--ISNUMBER(SEARCH(","&amp;TRIM(TEXTSPLIT(IA125,","))&amp;",",","&amp;SUBSTITUTE(input_story_type," ","")&amp;",")))=COUNTA(TEXTSPLIT(IA125,",")))),IF(IC125="",TRUE,IF(input_story_type="",TRUE,SUMPRODUCT(--ISNUMBER(SEARCH(","&amp;TRIM(TEXTSPLIT(IC125,","))&amp;",",","&amp;SUBSTITUTE(input_story_type," ","")&amp;",")))=0)),IF(IE125="",TRUE,IF(input_story_type="",FALSE,SUMPRODUCT(--ISNUMBER(SEARCH(","&amp;TRIM(TEXTSPLIT(IE125,","))&amp;",",","&amp;SUBSTITUTE(input_story_type," ","")&amp;",")))&gt;0)),IF(IG125="",TRUE,IF(input_story_type="",FALSE,SUMPRODUCT(--ISNUMBER(SEARCH(","&amp;TRIM(TEXTSPLIT(IG125,","))&amp;",",","&amp;SUBSTITUTE(input_story_type," ","")&amp;",")))=COUNTA(TEXTSPLIT(IG125,",")))))</f>
        <v/>
      </c>
      <c r="JQ125">
        <f>AND(IF(II125="",TRUE,IF(input_topics="",FALSE,SUMPRODUCT(--ISNUMBER(SEARCH(","&amp;TRIM(TEXTSPLIT(II125,","))&amp;",",","&amp;SUBSTITUTE(input_topics," ","")&amp;",")))&gt;0)),IF(IK125="",TRUE,IF(input_topics="",FALSE,SUMPRODUCT(--ISNUMBER(SEARCH(","&amp;TRIM(TEXTSPLIT(IK125,","))&amp;",",","&amp;SUBSTITUTE(input_topics," ","")&amp;",")))=COUNTA(TEXTSPLIT(IK125,",")))),IF(IM125="",TRUE,IF(input_topics="",TRUE,SUMPRODUCT(--ISNUMBER(SEARCH(","&amp;TRIM(TEXTSPLIT(IM125,","))&amp;",",","&amp;SUBSTITUTE(input_topics," ","")&amp;",")))=0)),IF(IO125="",TRUE,IF(input_topics="",FALSE,SUMPRODUCT(--ISNUMBER(SEARCH(","&amp;TRIM(TEXTSPLIT(IO125,","))&amp;",",","&amp;SUBSTITUTE(input_topics," ","")&amp;",")))&gt;0)),IF(IQ125="",TRUE,IF(input_topics="",FALSE,SUMPRODUCT(--ISNUMBER(SEARCH(","&amp;TRIM(TEXTSPLIT(IQ125,","))&amp;",",","&amp;SUBSTITUTE(input_topics," ","")&amp;",")))=COUNTA(TEXTSPLIT(IQ125,",")))))</f>
        <v/>
      </c>
    </row>
    <row r="126">
      <c r="A126" s="4">
        <f>IF(NOT(IS126),"Excluded",IF(AND(IT126,IU126,IV126,IW126,IX126,IY126,IZ126,JA126,JB126,JC126,JD126,JE126,JF126,JG126,JH126,JI126,JJ126,JK126,JL126,JM126,JN126,JO126,JP126,JQ126),IF(I126&gt;0,"Eligible but limited","Will appear"),"Excluded"))</f>
        <v/>
      </c>
      <c r="B126" s="4" t="inlineStr">
        <is>
          <t>Master’s in Asset Management Blog &amp; News</t>
        </is>
      </c>
      <c r="C126" s="4" t="inlineStr">
        <is>
          <t>/programs/mms-asset-management/blog-news</t>
        </is>
      </c>
      <c r="D126" s="4" t="inlineStr">
        <is>
          <t>/programs/mms-asset-management/blog-news</t>
        </is>
      </c>
      <c r="E126" s="4" t="n">
        <v>1</v>
      </c>
      <c r="F126" s="4" t="inlineStr">
        <is>
          <t>story</t>
        </is>
      </c>
      <c r="G126" s="4" t="inlineStr">
        <is>
          <t>stories_list</t>
        </is>
      </c>
      <c r="H126" s="4" t="inlineStr">
        <is>
          <t>embed_1</t>
        </is>
      </c>
      <c r="I126" s="4" t="n">
        <v>10</v>
      </c>
      <c r="J126" s="4" t="inlineStr">
        <is>
          <t>Explicit args</t>
        </is>
      </c>
      <c r="K126" s="4" t="inlineStr">
        <is>
          <t>Page placement</t>
        </is>
      </c>
      <c r="L126" s="4" t="inlineStr">
        <is>
          <t>Content type: story; Context uses Courses Context: Master's Degree in Asset Management (930), Residential master's programs (1571), Programs (94); Limited to 10 item(s); Source: Explicit args</t>
        </is>
      </c>
      <c r="M126" t="inlineStr"/>
      <c r="N126" t="inlineStr"/>
      <c r="O126" t="inlineStr"/>
      <c r="P126" t="inlineStr"/>
      <c r="Q126" t="inlineStr"/>
      <c r="R126" t="inlineStr"/>
      <c r="S126" t="inlineStr"/>
      <c r="T126" t="inlineStr"/>
      <c r="U126" t="inlineStr"/>
      <c r="V126" t="inlineStr"/>
      <c r="W126" t="inlineStr"/>
      <c r="X126" t="inlineStr"/>
      <c r="Y126" t="inlineStr"/>
      <c r="Z126" t="inlineStr"/>
      <c r="AA126" t="inlineStr"/>
      <c r="AB126" t="inlineStr"/>
      <c r="AC126" t="inlineStr"/>
      <c r="AD126" t="inlineStr"/>
      <c r="AE126" t="inlineStr"/>
      <c r="AF126" t="inlineStr"/>
      <c r="AG126" t="inlineStr"/>
      <c r="AH126" t="inlineStr"/>
      <c r="AI126" t="inlineStr"/>
      <c r="AJ126" t="inlineStr"/>
      <c r="AK126" t="inlineStr"/>
      <c r="AL126" t="inlineStr"/>
      <c r="AM126" t="inlineStr"/>
      <c r="AN126" t="inlineStr"/>
      <c r="AO126" t="inlineStr"/>
      <c r="AP126" t="inlineStr"/>
      <c r="AQ126" t="inlineStr"/>
      <c r="AR126" t="inlineStr"/>
      <c r="AS126" t="inlineStr"/>
      <c r="AT126" t="inlineStr"/>
      <c r="AU126" t="inlineStr"/>
      <c r="AV126" t="inlineStr"/>
      <c r="AW126" t="inlineStr"/>
      <c r="AX126" t="inlineStr"/>
      <c r="AY126" t="inlineStr"/>
      <c r="AZ126" t="inlineStr"/>
      <c r="BA126" t="inlineStr"/>
      <c r="BB126" t="inlineStr"/>
      <c r="BC126" t="inlineStr"/>
      <c r="BD126" t="inlineStr"/>
      <c r="BE126" t="inlineStr"/>
      <c r="BF126" t="inlineStr"/>
      <c r="BG126" t="inlineStr"/>
      <c r="BH126" t="inlineStr"/>
      <c r="BI126" t="inlineStr"/>
      <c r="BJ126" t="inlineStr"/>
      <c r="BK126" t="inlineStr"/>
      <c r="BL126" t="inlineStr"/>
      <c r="BM126" t="inlineStr"/>
      <c r="BN126" t="inlineStr"/>
      <c r="BO126" t="inlineStr"/>
      <c r="BP126" t="inlineStr"/>
      <c r="BQ126" t="inlineStr">
        <is>
          <t>930, 1571, 94</t>
        </is>
      </c>
      <c r="BR126" t="inlineStr">
        <is>
          <t>Master's Degree in Asset Management (930), Residential master's programs (1571), Programs (94)</t>
        </is>
      </c>
      <c r="BS126" t="inlineStr"/>
      <c r="BT126" t="inlineStr"/>
      <c r="BU126" t="inlineStr"/>
      <c r="BV126" t="inlineStr"/>
      <c r="BW126" t="inlineStr"/>
      <c r="BX126" t="inlineStr"/>
      <c r="BY126" t="inlineStr"/>
      <c r="BZ126" t="inlineStr"/>
      <c r="CA126" t="inlineStr"/>
      <c r="CB126" t="inlineStr"/>
      <c r="CC126" t="inlineStr"/>
      <c r="CD126" t="inlineStr"/>
      <c r="CE126" t="inlineStr"/>
      <c r="CF126" t="inlineStr"/>
      <c r="CG126" t="inlineStr"/>
      <c r="CH126" t="inlineStr"/>
      <c r="CI126" t="inlineStr"/>
      <c r="CJ126" t="inlineStr"/>
      <c r="CK126" t="inlineStr"/>
      <c r="CL126" t="inlineStr"/>
      <c r="CM126" t="inlineStr"/>
      <c r="CN126" t="inlineStr"/>
      <c r="CO126" t="inlineStr"/>
      <c r="CP126" t="inlineStr"/>
      <c r="CQ126" t="inlineStr"/>
      <c r="CR126" t="inlineStr"/>
      <c r="CS126" t="inlineStr"/>
      <c r="CT126" t="inlineStr"/>
      <c r="CU126" t="inlineStr"/>
      <c r="CV126" t="inlineStr"/>
      <c r="CW126" t="inlineStr"/>
      <c r="CX126" t="inlineStr"/>
      <c r="CY126" t="inlineStr"/>
      <c r="CZ126" t="inlineStr"/>
      <c r="DA126" t="inlineStr"/>
      <c r="DB126" t="inlineStr"/>
      <c r="DC126" t="inlineStr"/>
      <c r="DD126" t="inlineStr"/>
      <c r="DE126" t="inlineStr"/>
      <c r="DF126" t="inlineStr"/>
      <c r="DG126" t="inlineStr"/>
      <c r="DH126" t="inlineStr"/>
      <c r="DI126" t="inlineStr"/>
      <c r="DJ126" t="inlineStr"/>
      <c r="DK126" t="inlineStr"/>
      <c r="DL126" t="inlineStr"/>
      <c r="DM126" t="inlineStr"/>
      <c r="DN126" t="inlineStr"/>
      <c r="DO126" t="inlineStr"/>
      <c r="DP126" t="inlineStr"/>
      <c r="DQ126" t="inlineStr"/>
      <c r="DR126" t="inlineStr"/>
      <c r="DS126" t="inlineStr"/>
      <c r="DT126" t="inlineStr"/>
      <c r="DU126" t="inlineStr"/>
      <c r="DV126" t="inlineStr"/>
      <c r="DW126" t="inlineStr"/>
      <c r="DX126" t="inlineStr"/>
      <c r="DY126" t="inlineStr"/>
      <c r="DZ126" t="inlineStr"/>
      <c r="EA126" t="inlineStr"/>
      <c r="EB126" t="inlineStr"/>
      <c r="EC126" t="inlineStr"/>
      <c r="ED126" t="inlineStr"/>
      <c r="EE126" t="inlineStr"/>
      <c r="EF126" t="inlineStr"/>
      <c r="EG126" t="inlineStr"/>
      <c r="EH126" t="inlineStr"/>
      <c r="EI126" t="inlineStr"/>
      <c r="EJ126" t="inlineStr"/>
      <c r="EK126" t="inlineStr"/>
      <c r="EL126" t="inlineStr"/>
      <c r="EM126" t="inlineStr"/>
      <c r="EN126" t="inlineStr"/>
      <c r="EO126" t="inlineStr"/>
      <c r="EP126" t="inlineStr"/>
      <c r="EQ126" t="inlineStr"/>
      <c r="ER126" t="inlineStr"/>
      <c r="ES126" t="inlineStr"/>
      <c r="ET126" t="inlineStr"/>
      <c r="EU126" t="inlineStr"/>
      <c r="EV126" t="inlineStr"/>
      <c r="EW126" t="inlineStr"/>
      <c r="EX126" t="inlineStr"/>
      <c r="EY126" t="inlineStr"/>
      <c r="EZ126" t="inlineStr"/>
      <c r="FA126" t="inlineStr"/>
      <c r="FB126" t="inlineStr"/>
      <c r="FC126" t="inlineStr"/>
      <c r="FD126" t="inlineStr"/>
      <c r="FE126" t="inlineStr"/>
      <c r="FF126" t="inlineStr"/>
      <c r="FG126" t="inlineStr"/>
      <c r="FH126" t="inlineStr"/>
      <c r="FI126" t="inlineStr"/>
      <c r="FJ126" t="inlineStr"/>
      <c r="FK126" t="inlineStr"/>
      <c r="FL126" t="inlineStr"/>
      <c r="FM126" t="inlineStr"/>
      <c r="FN126" t="inlineStr"/>
      <c r="FO126" t="inlineStr"/>
      <c r="FP126" t="inlineStr"/>
      <c r="FQ126" t="inlineStr"/>
      <c r="FR126" t="inlineStr"/>
      <c r="FS126" t="inlineStr"/>
      <c r="FT126" t="inlineStr"/>
      <c r="FU126" t="inlineStr"/>
      <c r="FV126" t="inlineStr"/>
      <c r="FW126" t="inlineStr"/>
      <c r="FX126" t="inlineStr"/>
      <c r="FY126" t="inlineStr"/>
      <c r="FZ126" t="inlineStr"/>
      <c r="GA126" t="inlineStr"/>
      <c r="GB126" t="inlineStr"/>
      <c r="GC126" t="inlineStr"/>
      <c r="GD126" t="inlineStr"/>
      <c r="GE126" t="inlineStr"/>
      <c r="GF126" t="inlineStr"/>
      <c r="GG126" t="inlineStr"/>
      <c r="GH126" t="inlineStr"/>
      <c r="GI126" t="inlineStr"/>
      <c r="GJ126" t="inlineStr"/>
      <c r="GK126" t="inlineStr"/>
      <c r="GL126" t="inlineStr"/>
      <c r="GM126" t="inlineStr"/>
      <c r="GN126" t="inlineStr"/>
      <c r="GO126" t="inlineStr"/>
      <c r="GP126" t="inlineStr"/>
      <c r="GQ126" t="inlineStr"/>
      <c r="GR126" t="inlineStr"/>
      <c r="GS126" t="inlineStr"/>
      <c r="GT126" t="inlineStr"/>
      <c r="GU126" t="inlineStr"/>
      <c r="GV126" t="inlineStr"/>
      <c r="GW126" t="inlineStr"/>
      <c r="GX126" t="inlineStr"/>
      <c r="GY126" t="inlineStr"/>
      <c r="GZ126" t="inlineStr"/>
      <c r="HA126" t="inlineStr"/>
      <c r="HB126" t="inlineStr"/>
      <c r="HC126" t="inlineStr"/>
      <c r="HD126" t="inlineStr"/>
      <c r="HE126" t="inlineStr"/>
      <c r="HF126" t="inlineStr"/>
      <c r="HG126" t="inlineStr"/>
      <c r="HH126" t="inlineStr"/>
      <c r="HI126" t="inlineStr"/>
      <c r="HJ126" t="inlineStr"/>
      <c r="HK126" t="inlineStr"/>
      <c r="HL126" t="inlineStr"/>
      <c r="HM126" t="inlineStr"/>
      <c r="HN126" t="inlineStr"/>
      <c r="HO126" t="inlineStr"/>
      <c r="HP126" t="inlineStr"/>
      <c r="HQ126" t="inlineStr"/>
      <c r="HR126" t="inlineStr"/>
      <c r="HS126" t="inlineStr"/>
      <c r="HT126" t="inlineStr"/>
      <c r="HU126" t="inlineStr"/>
      <c r="HV126" t="inlineStr"/>
      <c r="HW126" t="inlineStr"/>
      <c r="HX126" t="inlineStr"/>
      <c r="HY126" t="inlineStr"/>
      <c r="HZ126" t="inlineStr"/>
      <c r="IA126" t="inlineStr"/>
      <c r="IB126" t="inlineStr"/>
      <c r="IC126" t="inlineStr"/>
      <c r="ID126" t="inlineStr"/>
      <c r="IE126" t="inlineStr"/>
      <c r="IF126" t="inlineStr"/>
      <c r="IG126" t="inlineStr"/>
      <c r="IH126" t="inlineStr"/>
      <c r="II126" t="inlineStr"/>
      <c r="IJ126" t="inlineStr"/>
      <c r="IK126" t="inlineStr"/>
      <c r="IL126" t="inlineStr"/>
      <c r="IM126" t="inlineStr"/>
      <c r="IN126" t="inlineStr"/>
      <c r="IO126" t="inlineStr"/>
      <c r="IP126" t="inlineStr"/>
      <c r="IQ126" t="inlineStr"/>
      <c r="IR126" t="inlineStr"/>
      <c r="IS126">
        <f>IF(input_content_type="",FALSE,ISNUMBER(SEARCH(","&amp;LOWER(input_content_type)&amp;",",","&amp;LOWER(F126)&amp;",")))</f>
        <v/>
      </c>
      <c r="IT126">
        <f>AND(IF(M126="",TRUE,IF(input_affiliations="",FALSE,SUMPRODUCT(--ISNUMBER(SEARCH(","&amp;TRIM(TEXTSPLIT(M126,","))&amp;",",","&amp;SUBSTITUTE(input_affiliations," ","")&amp;",")))&gt;0)),IF(O126="",TRUE,IF(input_affiliations="",FALSE,SUMPRODUCT(--ISNUMBER(SEARCH(","&amp;TRIM(TEXTSPLIT(O126,","))&amp;",",","&amp;SUBSTITUTE(input_affiliations," ","")&amp;",")))=COUNTA(TEXTSPLIT(O126,",")))),IF(Q126="",TRUE,IF(input_affiliations="",TRUE,SUMPRODUCT(--ISNUMBER(SEARCH(","&amp;TRIM(TEXTSPLIT(Q126,","))&amp;",",","&amp;SUBSTITUTE(input_affiliations," ","")&amp;",")))=0)),IF(S126="",TRUE,IF(input_affiliations="",FALSE,SUMPRODUCT(--ISNUMBER(SEARCH(","&amp;TRIM(TEXTSPLIT(S126,","))&amp;",",","&amp;SUBSTITUTE(input_affiliations," ","")&amp;",")))&gt;0)),IF(U126="",TRUE,IF(input_affiliations="",FALSE,SUMPRODUCT(--ISNUMBER(SEARCH(","&amp;TRIM(TEXTSPLIT(U126,","))&amp;",",","&amp;SUBSTITUTE(input_affiliations," ","")&amp;",")))=COUNTA(TEXTSPLIT(U126,",")))))</f>
        <v/>
      </c>
      <c r="IU126">
        <f>AND(IF(W126="",TRUE,IF(input_announcement_category="",FALSE,SUMPRODUCT(--ISNUMBER(SEARCH(","&amp;TRIM(TEXTSPLIT(W126,","))&amp;",",","&amp;SUBSTITUTE(input_announcement_category," ","")&amp;",")))&gt;0)),IF(Y126="",TRUE,IF(input_announcement_category="",FALSE,SUMPRODUCT(--ISNUMBER(SEARCH(","&amp;TRIM(TEXTSPLIT(Y126,","))&amp;",",","&amp;SUBSTITUTE(input_announcement_category," ","")&amp;",")))=COUNTA(TEXTSPLIT(Y126,",")))),IF(AA126="",TRUE,IF(input_announcement_category="",TRUE,SUMPRODUCT(--ISNUMBER(SEARCH(","&amp;TRIM(TEXTSPLIT(AA126,","))&amp;",",","&amp;SUBSTITUTE(input_announcement_category," ","")&amp;",")))=0)),IF(AC126="",TRUE,IF(input_announcement_category="",FALSE,SUMPRODUCT(--ISNUMBER(SEARCH(","&amp;TRIM(TEXTSPLIT(AC126,","))&amp;",",","&amp;SUBSTITUTE(input_announcement_category," ","")&amp;",")))&gt;0)),IF(AE126="",TRUE,IF(input_announcement_category="",FALSE,SUMPRODUCT(--ISNUMBER(SEARCH(","&amp;TRIM(TEXTSPLIT(AE126,","))&amp;",",","&amp;SUBSTITUTE(input_announcement_category," ","")&amp;",")))=COUNTA(TEXTSPLIT(AE126,",")))))</f>
        <v/>
      </c>
      <c r="IV126">
        <f>AND(IF(AG126="",TRUE,IF(input_area_of_focus="",FALSE,SUMPRODUCT(--ISNUMBER(SEARCH(","&amp;TRIM(TEXTSPLIT(AG126,","))&amp;",",","&amp;SUBSTITUTE(input_area_of_focus," ","")&amp;",")))&gt;0)),IF(AI126="",TRUE,IF(input_area_of_focus="",FALSE,SUMPRODUCT(--ISNUMBER(SEARCH(","&amp;TRIM(TEXTSPLIT(AI126,","))&amp;",",","&amp;SUBSTITUTE(input_area_of_focus," ","")&amp;",")))=COUNTA(TEXTSPLIT(AI126,",")))),IF(AK126="",TRUE,IF(input_area_of_focus="",TRUE,SUMPRODUCT(--ISNUMBER(SEARCH(","&amp;TRIM(TEXTSPLIT(AK126,","))&amp;",",","&amp;SUBSTITUTE(input_area_of_focus," ","")&amp;",")))=0)),IF(AM126="",TRUE,IF(input_area_of_focus="",FALSE,SUMPRODUCT(--ISNUMBER(SEARCH(","&amp;TRIM(TEXTSPLIT(AM126,","))&amp;",",","&amp;SUBSTITUTE(input_area_of_focus," ","")&amp;",")))&gt;0)),IF(AO126="",TRUE,IF(input_area_of_focus="",FALSE,SUMPRODUCT(--ISNUMBER(SEARCH(","&amp;TRIM(TEXTSPLIT(AO126,","))&amp;",",","&amp;SUBSTITUTE(input_area_of_focus," ","")&amp;",")))=COUNTA(TEXTSPLIT(AO126,",")))))</f>
        <v/>
      </c>
      <c r="IW126">
        <f>AND(IF(AQ126="",TRUE,IF(input_audience="",FALSE,SUMPRODUCT(--ISNUMBER(SEARCH(","&amp;TRIM(TEXTSPLIT(AQ126,","))&amp;",",","&amp;SUBSTITUTE(input_audience," ","")&amp;",")))&gt;0)),IF(AS126="",TRUE,IF(input_audience="",FALSE,SUMPRODUCT(--ISNUMBER(SEARCH(","&amp;TRIM(TEXTSPLIT(AS126,","))&amp;",",","&amp;SUBSTITUTE(input_audience," ","")&amp;",")))=COUNTA(TEXTSPLIT(AS126,",")))),IF(AU126="",TRUE,IF(input_audience="",TRUE,SUMPRODUCT(--ISNUMBER(SEARCH(","&amp;TRIM(TEXTSPLIT(AU126,","))&amp;",",","&amp;SUBSTITUTE(input_audience," ","")&amp;",")))=0)),IF(AW126="",TRUE,IF(input_audience="",FALSE,SUMPRODUCT(--ISNUMBER(SEARCH(","&amp;TRIM(TEXTSPLIT(AW126,","))&amp;",",","&amp;SUBSTITUTE(input_audience," ","")&amp;",")))&gt;0)),IF(AY126="",TRUE,IF(input_audience="",FALSE,SUMPRODUCT(--ISNUMBER(SEARCH(","&amp;TRIM(TEXTSPLIT(AY126,","))&amp;",",","&amp;SUBSTITUTE(input_audience," ","")&amp;",")))=COUNTA(TEXTSPLIT(AY126,",")))))</f>
        <v/>
      </c>
      <c r="IX126">
        <f>AND(IF(BA126="",TRUE,IF(input_challenge_opportunities="",FALSE,SUMPRODUCT(--ISNUMBER(SEARCH(","&amp;TRIM(TEXTSPLIT(BA126,","))&amp;",",","&amp;SUBSTITUTE(input_challenge_opportunities," ","")&amp;",")))&gt;0)),IF(BC126="",TRUE,IF(input_challenge_opportunities="",FALSE,SUMPRODUCT(--ISNUMBER(SEARCH(","&amp;TRIM(TEXTSPLIT(BC126,","))&amp;",",","&amp;SUBSTITUTE(input_challenge_opportunities," ","")&amp;",")))=COUNTA(TEXTSPLIT(BC126,",")))),IF(BE126="",TRUE,IF(input_challenge_opportunities="",TRUE,SUMPRODUCT(--ISNUMBER(SEARCH(","&amp;TRIM(TEXTSPLIT(BE126,","))&amp;",",","&amp;SUBSTITUTE(input_challenge_opportunities," ","")&amp;",")))=0)),IF(BG126="",TRUE,IF(input_challenge_opportunities="",FALSE,SUMPRODUCT(--ISNUMBER(SEARCH(","&amp;TRIM(TEXTSPLIT(BG126,","))&amp;",",","&amp;SUBSTITUTE(input_challenge_opportunities," ","")&amp;",")))&gt;0)),IF(BI126="",TRUE,IF(input_challenge_opportunities="",FALSE,SUMPRODUCT(--ISNUMBER(SEARCH(","&amp;TRIM(TEXTSPLIT(BI126,","))&amp;",",","&amp;SUBSTITUTE(input_challenge_opportunities," ","")&amp;",")))=COUNTA(TEXTSPLIT(BI126,",")))))</f>
        <v/>
      </c>
      <c r="IY126">
        <f>AND(IF(BK126="",TRUE,IF(input_context="",FALSE,SUMPRODUCT(--ISNUMBER(SEARCH(","&amp;TRIM(TEXTSPLIT(BK126,","))&amp;",",","&amp;SUBSTITUTE(input_context," ","")&amp;",")))&gt;0)),IF(BM126="",TRUE,IF(input_context="",FALSE,SUMPRODUCT(--ISNUMBER(SEARCH(","&amp;TRIM(TEXTSPLIT(BM126,","))&amp;",",","&amp;SUBSTITUTE(input_context," ","")&amp;",")))=COUNTA(TEXTSPLIT(BM126,",")))),IF(BO126="",TRUE,IF(input_context="",TRUE,SUMPRODUCT(--ISNUMBER(SEARCH(","&amp;TRIM(TEXTSPLIT(BO126,","))&amp;",",","&amp;SUBSTITUTE(input_context," ","")&amp;",")))=0)),IF(BQ126="",TRUE,IF(input_context="",FALSE,SUMPRODUCT(--ISNUMBER(SEARCH(","&amp;TRIM(TEXTSPLIT(BQ126,","))&amp;",",","&amp;SUBSTITUTE(input_context," ","")&amp;",")))&gt;0)),IF(BS126="",TRUE,IF(input_context="",FALSE,SUMPRODUCT(--ISNUMBER(SEARCH(","&amp;TRIM(TEXTSPLIT(BS126,","))&amp;",",","&amp;SUBSTITUTE(input_context," ","")&amp;",")))=COUNTA(TEXTSPLIT(BS126,",")))))</f>
        <v/>
      </c>
      <c r="IZ126">
        <f>AND(IF(BU126="",TRUE,IF(input_enews_announcement_type="",FALSE,SUMPRODUCT(--ISNUMBER(SEARCH(","&amp;TRIM(TEXTSPLIT(BU126,","))&amp;",",","&amp;SUBSTITUTE(input_enews_announcement_type," ","")&amp;",")))&gt;0)),IF(BW126="",TRUE,IF(input_enews_announcement_type="",FALSE,SUMPRODUCT(--ISNUMBER(SEARCH(","&amp;TRIM(TEXTSPLIT(BW126,","))&amp;",",","&amp;SUBSTITUTE(input_enews_announcement_type," ","")&amp;",")))=COUNTA(TEXTSPLIT(BW126,",")))),IF(BY126="",TRUE,IF(input_enews_announcement_type="",TRUE,SUMPRODUCT(--ISNUMBER(SEARCH(","&amp;TRIM(TEXTSPLIT(BY126,","))&amp;",",","&amp;SUBSTITUTE(input_enews_announcement_type," ","")&amp;",")))=0)),IF(CA126="",TRUE,IF(input_enews_announcement_type="",FALSE,SUMPRODUCT(--ISNUMBER(SEARCH(","&amp;TRIM(TEXTSPLIT(CA126,","))&amp;",",","&amp;SUBSTITUTE(input_enews_announcement_type," ","")&amp;",")))&gt;0)),IF(CC126="",TRUE,IF(input_enews_announcement_type="",FALSE,SUMPRODUCT(--ISNUMBER(SEARCH(","&amp;TRIM(TEXTSPLIT(CC126,","))&amp;",",","&amp;SUBSTITUTE(input_enews_announcement_type," ","")&amp;",")))=COUNTA(TEXTSPLIT(CC126,",")))))</f>
        <v/>
      </c>
      <c r="JA126">
        <f>AND(IF(CE126="",TRUE,IF(input_enews_audience="",FALSE,SUMPRODUCT(--ISNUMBER(SEARCH(","&amp;TRIM(TEXTSPLIT(CE126,","))&amp;",",","&amp;SUBSTITUTE(input_enews_audience," ","")&amp;",")))&gt;0)),IF(CG126="",TRUE,IF(input_enews_audience="",FALSE,SUMPRODUCT(--ISNUMBER(SEARCH(","&amp;TRIM(TEXTSPLIT(CG126,","))&amp;",",","&amp;SUBSTITUTE(input_enews_audience," ","")&amp;",")))=COUNTA(TEXTSPLIT(CG126,",")))),IF(CI126="",TRUE,IF(input_enews_audience="",TRUE,SUMPRODUCT(--ISNUMBER(SEARCH(","&amp;TRIM(TEXTSPLIT(CI126,","))&amp;",",","&amp;SUBSTITUTE(input_enews_audience," ","")&amp;",")))=0)),IF(CK126="",TRUE,IF(input_enews_audience="",FALSE,SUMPRODUCT(--ISNUMBER(SEARCH(","&amp;TRIM(TEXTSPLIT(CK126,","))&amp;",",","&amp;SUBSTITUTE(input_enews_audience," ","")&amp;",")))&gt;0)),IF(CM126="",TRUE,IF(input_enews_audience="",FALSE,SUMPRODUCT(--ISNUMBER(SEARCH(","&amp;TRIM(TEXTSPLIT(CM126,","))&amp;",",","&amp;SUBSTITUTE(input_enews_audience," ","")&amp;",")))=COUNTA(TEXTSPLIT(CM126,",")))))</f>
        <v/>
      </c>
      <c r="JB126">
        <f>AND(IF(CO126="",TRUE,IF(input_event_location="",FALSE,SUMPRODUCT(--ISNUMBER(SEARCH(","&amp;TRIM(TEXTSPLIT(CO126,","))&amp;",",","&amp;SUBSTITUTE(input_event_location," ","")&amp;",")))&gt;0)),IF(CQ126="",TRUE,IF(input_event_location="",FALSE,SUMPRODUCT(--ISNUMBER(SEARCH(","&amp;TRIM(TEXTSPLIT(CQ126,","))&amp;",",","&amp;SUBSTITUTE(input_event_location," ","")&amp;",")))=COUNTA(TEXTSPLIT(CQ126,",")))),IF(CS126="",TRUE,IF(input_event_location="",TRUE,SUMPRODUCT(--ISNUMBER(SEARCH(","&amp;TRIM(TEXTSPLIT(CS126,","))&amp;",",","&amp;SUBSTITUTE(input_event_location," ","")&amp;",")))=0)),IF(CU126="",TRUE,IF(input_event_location="",FALSE,SUMPRODUCT(--ISNUMBER(SEARCH(","&amp;TRIM(TEXTSPLIT(CU126,","))&amp;",",","&amp;SUBSTITUTE(input_event_location," ","")&amp;",")))&gt;0)),IF(CW126="",TRUE,IF(input_event_location="",FALSE,SUMPRODUCT(--ISNUMBER(SEARCH(","&amp;TRIM(TEXTSPLIT(CW126,","))&amp;",",","&amp;SUBSTITUTE(input_event_location," ","")&amp;",")))=COUNTA(TEXTSPLIT(CW126,",")))))</f>
        <v/>
      </c>
      <c r="JC126">
        <f>AND(IF(CY126="",TRUE,IF(input_event_type="",FALSE,SUMPRODUCT(--ISNUMBER(SEARCH(","&amp;TRIM(TEXTSPLIT(CY126,","))&amp;",",","&amp;SUBSTITUTE(input_event_type," ","")&amp;",")))&gt;0)),IF(DA126="",TRUE,IF(input_event_type="",FALSE,SUMPRODUCT(--ISNUMBER(SEARCH(","&amp;TRIM(TEXTSPLIT(DA126,","))&amp;",",","&amp;SUBSTITUTE(input_event_type," ","")&amp;",")))=COUNTA(TEXTSPLIT(DA126,",")))),IF(DC126="",TRUE,IF(input_event_type="",TRUE,SUMPRODUCT(--ISNUMBER(SEARCH(","&amp;TRIM(TEXTSPLIT(DC126,","))&amp;",",","&amp;SUBSTITUTE(input_event_type," ","")&amp;",")))=0)),IF(DE126="",TRUE,IF(input_event_type="",FALSE,SUMPRODUCT(--ISNUMBER(SEARCH(","&amp;TRIM(TEXTSPLIT(DE126,","))&amp;",",","&amp;SUBSTITUTE(input_event_type," ","")&amp;",")))&gt;0)),IF(DG126="",TRUE,IF(input_event_type="",FALSE,SUMPRODUCT(--ISNUMBER(SEARCH(","&amp;TRIM(TEXTSPLIT(DG126,","))&amp;",",","&amp;SUBSTITUTE(input_event_type," ","")&amp;",")))=COUNTA(TEXTSPLIT(DG126,",")))))</f>
        <v/>
      </c>
      <c r="JD126">
        <f>AND(IF(DI126="",TRUE,IF(input_executive_education_focus="",FALSE,SUMPRODUCT(--ISNUMBER(SEARCH(","&amp;TRIM(TEXTSPLIT(DI126,","))&amp;",",","&amp;SUBSTITUTE(input_executive_education_focus," ","")&amp;",")))&gt;0)),IF(DK126="",TRUE,IF(input_executive_education_focus="",FALSE,SUMPRODUCT(--ISNUMBER(SEARCH(","&amp;TRIM(TEXTSPLIT(DK126,","))&amp;",",","&amp;SUBSTITUTE(input_executive_education_focus," ","")&amp;",")))=COUNTA(TEXTSPLIT(DK126,",")))),IF(DM126="",TRUE,IF(input_executive_education_focus="",TRUE,SUMPRODUCT(--ISNUMBER(SEARCH(","&amp;TRIM(TEXTSPLIT(DM126,","))&amp;",",","&amp;SUBSTITUTE(input_executive_education_focus," ","")&amp;",")))=0)),IF(DO126="",TRUE,IF(input_executive_education_focus="",FALSE,SUMPRODUCT(--ISNUMBER(SEARCH(","&amp;TRIM(TEXTSPLIT(DO126,","))&amp;",",","&amp;SUBSTITUTE(input_executive_education_focus," ","")&amp;",")))&gt;0)),IF(DQ126="",TRUE,IF(input_executive_education_focus="",FALSE,SUMPRODUCT(--ISNUMBER(SEARCH(","&amp;TRIM(TEXTSPLIT(DQ126,","))&amp;",",","&amp;SUBSTITUTE(input_executive_education_focus," ","")&amp;",")))=COUNTA(TEXTSPLIT(DQ126,",")))))</f>
        <v/>
      </c>
      <c r="JE126">
        <f>AND(IF(DS126="",TRUE,IF(input_faculty_category="",FALSE,SUMPRODUCT(--ISNUMBER(SEARCH(","&amp;TRIM(TEXTSPLIT(DS126,","))&amp;",",","&amp;SUBSTITUTE(input_faculty_category," ","")&amp;",")))&gt;0)),IF(DU126="",TRUE,IF(input_faculty_category="",FALSE,SUMPRODUCT(--ISNUMBER(SEARCH(","&amp;TRIM(TEXTSPLIT(DU126,","))&amp;",",","&amp;SUBSTITUTE(input_faculty_category," ","")&amp;",")))=COUNTA(TEXTSPLIT(DU126,",")))),IF(DW126="",TRUE,IF(input_faculty_category="",TRUE,SUMPRODUCT(--ISNUMBER(SEARCH(","&amp;TRIM(TEXTSPLIT(DW126,","))&amp;",",","&amp;SUBSTITUTE(input_faculty_category," ","")&amp;",")))=0)),IF(DY126="",TRUE,IF(input_faculty_category="",FALSE,SUMPRODUCT(--ISNUMBER(SEARCH(","&amp;TRIM(TEXTSPLIT(DY126,","))&amp;",",","&amp;SUBSTITUTE(input_faculty_category," ","")&amp;",")))&gt;0)),IF(EA126="",TRUE,IF(input_faculty_category="",FALSE,SUMPRODUCT(--ISNUMBER(SEARCH(","&amp;TRIM(TEXTSPLIT(EA126,","))&amp;",",","&amp;SUBSTITUTE(input_faculty_category," ","")&amp;",")))=COUNTA(TEXTSPLIT(EA126,",")))))</f>
        <v/>
      </c>
      <c r="JF126">
        <f>AND(IF(EC126="",TRUE,IF(input_faculty_discipline="",FALSE,SUMPRODUCT(--ISNUMBER(SEARCH(","&amp;TRIM(TEXTSPLIT(EC126,","))&amp;",",","&amp;SUBSTITUTE(input_faculty_discipline," ","")&amp;",")))&gt;0)),IF(EE126="",TRUE,IF(input_faculty_discipline="",FALSE,SUMPRODUCT(--ISNUMBER(SEARCH(","&amp;TRIM(TEXTSPLIT(EE126,","))&amp;",",","&amp;SUBSTITUTE(input_faculty_discipline," ","")&amp;",")))=COUNTA(TEXTSPLIT(EE126,",")))),IF(EG126="",TRUE,IF(input_faculty_discipline="",TRUE,SUMPRODUCT(--ISNUMBER(SEARCH(","&amp;TRIM(TEXTSPLIT(EG126,","))&amp;",",","&amp;SUBSTITUTE(input_faculty_discipline," ","")&amp;",")))=0)),IF(EI126="",TRUE,IF(input_faculty_discipline="",FALSE,SUMPRODUCT(--ISNUMBER(SEARCH(","&amp;TRIM(TEXTSPLIT(EI126,","))&amp;",",","&amp;SUBSTITUTE(input_faculty_discipline," ","")&amp;",")))&gt;0)),IF(EK126="",TRUE,IF(input_faculty_discipline="",FALSE,SUMPRODUCT(--ISNUMBER(SEARCH(","&amp;TRIM(TEXTSPLIT(EK126,","))&amp;",",","&amp;SUBSTITUTE(input_faculty_discipline," ","")&amp;",")))=COUNTA(TEXTSPLIT(EK126,",")))))</f>
        <v/>
      </c>
      <c r="JG126">
        <f>AND(IF(EM126="",TRUE,IF(input_faculty_expertise="",FALSE,SUMPRODUCT(--ISNUMBER(SEARCH(","&amp;TRIM(TEXTSPLIT(EM126,","))&amp;",",","&amp;SUBSTITUTE(input_faculty_expertise," ","")&amp;",")))&gt;0)),IF(EO126="",TRUE,IF(input_faculty_expertise="",FALSE,SUMPRODUCT(--ISNUMBER(SEARCH(","&amp;TRIM(TEXTSPLIT(EO126,","))&amp;",",","&amp;SUBSTITUTE(input_faculty_expertise," ","")&amp;",")))=COUNTA(TEXTSPLIT(EO126,",")))),IF(EQ126="",TRUE,IF(input_faculty_expertise="",TRUE,SUMPRODUCT(--ISNUMBER(SEARCH(","&amp;TRIM(TEXTSPLIT(EQ126,","))&amp;",",","&amp;SUBSTITUTE(input_faculty_expertise," ","")&amp;",")))=0)),IF(ES126="",TRUE,IF(input_faculty_expertise="",FALSE,SUMPRODUCT(--ISNUMBER(SEARCH(","&amp;TRIM(TEXTSPLIT(ES126,","))&amp;",",","&amp;SUBSTITUTE(input_faculty_expertise," ","")&amp;",")))&gt;0)),IF(EU126="",TRUE,IF(input_faculty_expertise="",FALSE,SUMPRODUCT(--ISNUMBER(SEARCH(","&amp;TRIM(TEXTSPLIT(EU126,","))&amp;",",","&amp;SUBSTITUTE(input_faculty_expertise," ","")&amp;",")))=COUNTA(TEXTSPLIT(EU126,",")))))</f>
        <v/>
      </c>
      <c r="JH126">
        <f>AND(IF(EW126="",TRUE,IF(input_global_network_school="",FALSE,SUMPRODUCT(--ISNUMBER(SEARCH(","&amp;TRIM(TEXTSPLIT(EW126,","))&amp;",",","&amp;SUBSTITUTE(input_global_network_school," ","")&amp;",")))&gt;0)),IF(EY126="",TRUE,IF(input_global_network_school="",FALSE,SUMPRODUCT(--ISNUMBER(SEARCH(","&amp;TRIM(TEXTSPLIT(EY126,","))&amp;",",","&amp;SUBSTITUTE(input_global_network_school," ","")&amp;",")))=COUNTA(TEXTSPLIT(EY126,",")))),IF(FA126="",TRUE,IF(input_global_network_school="",TRUE,SUMPRODUCT(--ISNUMBER(SEARCH(","&amp;TRIM(TEXTSPLIT(FA126,","))&amp;",",","&amp;SUBSTITUTE(input_global_network_school," ","")&amp;",")))=0)),IF(FC126="",TRUE,IF(input_global_network_school="",FALSE,SUMPRODUCT(--ISNUMBER(SEARCH(","&amp;TRIM(TEXTSPLIT(FC126,","))&amp;",",","&amp;SUBSTITUTE(input_global_network_school," ","")&amp;",")))&gt;0)),IF(FE126="",TRUE,IF(input_global_network_school="",FALSE,SUMPRODUCT(--ISNUMBER(SEARCH(","&amp;TRIM(TEXTSPLIT(FE126,","))&amp;",",","&amp;SUBSTITUTE(input_global_network_school," ","")&amp;",")))=COUNTA(TEXTSPLIT(FE126,",")))))</f>
        <v/>
      </c>
      <c r="JI126">
        <f>AND(IF(FG126="",TRUE,IF(input_industry="",FALSE,SUMPRODUCT(--ISNUMBER(SEARCH(","&amp;TRIM(TEXTSPLIT(FG126,","))&amp;",",","&amp;SUBSTITUTE(input_industry," ","")&amp;",")))&gt;0)),IF(FI126="",TRUE,IF(input_industry="",FALSE,SUMPRODUCT(--ISNUMBER(SEARCH(","&amp;TRIM(TEXTSPLIT(FI126,","))&amp;",",","&amp;SUBSTITUTE(input_industry," ","")&amp;",")))=COUNTA(TEXTSPLIT(FI126,",")))),IF(FK126="",TRUE,IF(input_industry="",TRUE,SUMPRODUCT(--ISNUMBER(SEARCH(","&amp;TRIM(TEXTSPLIT(FK126,","))&amp;",",","&amp;SUBSTITUTE(input_industry," ","")&amp;",")))=0)),IF(FM126="",TRUE,IF(input_industry="",FALSE,SUMPRODUCT(--ISNUMBER(SEARCH(","&amp;TRIM(TEXTSPLIT(FM126,","))&amp;",",","&amp;SUBSTITUTE(input_industry," ","")&amp;",")))&gt;0)),IF(FO126="",TRUE,IF(input_industry="",FALSE,SUMPRODUCT(--ISNUMBER(SEARCH(","&amp;TRIM(TEXTSPLIT(FO126,","))&amp;",",","&amp;SUBSTITUTE(input_industry," ","")&amp;",")))=COUNTA(TEXTSPLIT(FO126,",")))))</f>
        <v/>
      </c>
      <c r="JJ126">
        <f>AND(IF(FQ126="",TRUE,IF(input_location="",FALSE,SUMPRODUCT(--ISNUMBER(SEARCH(","&amp;TRIM(TEXTSPLIT(FQ126,","))&amp;",",","&amp;SUBSTITUTE(input_location," ","")&amp;",")))&gt;0)),IF(FS126="",TRUE,IF(input_location="",FALSE,SUMPRODUCT(--ISNUMBER(SEARCH(","&amp;TRIM(TEXTSPLIT(FS126,","))&amp;",",","&amp;SUBSTITUTE(input_location," ","")&amp;",")))=COUNTA(TEXTSPLIT(FS126,",")))),IF(FU126="",TRUE,IF(input_location="",TRUE,SUMPRODUCT(--ISNUMBER(SEARCH(","&amp;TRIM(TEXTSPLIT(FU126,","))&amp;",",","&amp;SUBSTITUTE(input_location," ","")&amp;",")))=0)),IF(FW126="",TRUE,IF(input_location="",FALSE,SUMPRODUCT(--ISNUMBER(SEARCH(","&amp;TRIM(TEXTSPLIT(FW126,","))&amp;",",","&amp;SUBSTITUTE(input_location," ","")&amp;",")))&gt;0)),IF(FY126="",TRUE,IF(input_location="",FALSE,SUMPRODUCT(--ISNUMBER(SEARCH(","&amp;TRIM(TEXTSPLIT(FY126,","))&amp;",",","&amp;SUBSTITUTE(input_location," ","")&amp;",")))=COUNTA(TEXTSPLIT(FY126,",")))))</f>
        <v/>
      </c>
      <c r="JK126">
        <f>AND(IF(GA126="",TRUE,IF(input_modality="",FALSE,SUMPRODUCT(--ISNUMBER(SEARCH(","&amp;TRIM(TEXTSPLIT(GA126,","))&amp;",",","&amp;SUBSTITUTE(input_modality," ","")&amp;",")))&gt;0)),IF(GC126="",TRUE,IF(input_modality="",FALSE,SUMPRODUCT(--ISNUMBER(SEARCH(","&amp;TRIM(TEXTSPLIT(GC126,","))&amp;",",","&amp;SUBSTITUTE(input_modality," ","")&amp;",")))=COUNTA(TEXTSPLIT(GC126,",")))),IF(GE126="",TRUE,IF(input_modality="",TRUE,SUMPRODUCT(--ISNUMBER(SEARCH(","&amp;TRIM(TEXTSPLIT(GE126,","))&amp;",",","&amp;SUBSTITUTE(input_modality," ","")&amp;",")))=0)),IF(GG126="",TRUE,IF(input_modality="",FALSE,SUMPRODUCT(--ISNUMBER(SEARCH(","&amp;TRIM(TEXTSPLIT(GG126,","))&amp;",",","&amp;SUBSTITUTE(input_modality," ","")&amp;",")))&gt;0)),IF(GI126="",TRUE,IF(input_modality="",FALSE,SUMPRODUCT(--ISNUMBER(SEARCH(","&amp;TRIM(TEXTSPLIT(GI126,","))&amp;",",","&amp;SUBSTITUTE(input_modality," ","")&amp;",")))=COUNTA(TEXTSPLIT(GI126,",")))))</f>
        <v/>
      </c>
      <c r="JL126">
        <f>AND(IF(GK126="",TRUE,IF(input_organizer="",FALSE,SUMPRODUCT(--ISNUMBER(SEARCH(","&amp;TRIM(TEXTSPLIT(GK126,","))&amp;",",","&amp;SUBSTITUTE(input_organizer," ","")&amp;",")))&gt;0)),IF(GM126="",TRUE,IF(input_organizer="",FALSE,SUMPRODUCT(--ISNUMBER(SEARCH(","&amp;TRIM(TEXTSPLIT(GM126,","))&amp;",",","&amp;SUBSTITUTE(input_organizer," ","")&amp;",")))=COUNTA(TEXTSPLIT(GM126,",")))),IF(GO126="",TRUE,IF(input_organizer="",TRUE,SUMPRODUCT(--ISNUMBER(SEARCH(","&amp;TRIM(TEXTSPLIT(GO126,","))&amp;",",","&amp;SUBSTITUTE(input_organizer," ","")&amp;",")))=0)),IF(GQ126="",TRUE,IF(input_organizer="",FALSE,SUMPRODUCT(--ISNUMBER(SEARCH(","&amp;TRIM(TEXTSPLIT(GQ126,","))&amp;",",","&amp;SUBSTITUTE(input_organizer," ","")&amp;",")))&gt;0)),IF(GS126="",TRUE,IF(input_organizer="",FALSE,SUMPRODUCT(--ISNUMBER(SEARCH(","&amp;TRIM(TEXTSPLIT(GS126,","))&amp;",",","&amp;SUBSTITUTE(input_organizer," ","")&amp;",")))=COUNTA(TEXTSPLIT(GS126,",")))))</f>
        <v/>
      </c>
      <c r="JM126">
        <f>AND(IF(GU126="",TRUE,IF(input_profile_type="",FALSE,SUMPRODUCT(--ISNUMBER(SEARCH(","&amp;TRIM(TEXTSPLIT(GU126,","))&amp;",",","&amp;SUBSTITUTE(input_profile_type," ","")&amp;",")))&gt;0)),IF(GW126="",TRUE,IF(input_profile_type="",FALSE,SUMPRODUCT(--ISNUMBER(SEARCH(","&amp;TRIM(TEXTSPLIT(GW126,","))&amp;",",","&amp;SUBSTITUTE(input_profile_type," ","")&amp;",")))=COUNTA(TEXTSPLIT(GW126,",")))),IF(GY126="",TRUE,IF(input_profile_type="",TRUE,SUMPRODUCT(--ISNUMBER(SEARCH(","&amp;TRIM(TEXTSPLIT(GY126,","))&amp;",",","&amp;SUBSTITUTE(input_profile_type," ","")&amp;",")))=0)),IF(HA126="",TRUE,IF(input_profile_type="",FALSE,SUMPRODUCT(--ISNUMBER(SEARCH(","&amp;TRIM(TEXTSPLIT(HA126,","))&amp;",",","&amp;SUBSTITUTE(input_profile_type," ","")&amp;",")))&gt;0)),IF(HC126="",TRUE,IF(input_profile_type="",FALSE,SUMPRODUCT(--ISNUMBER(SEARCH(","&amp;TRIM(TEXTSPLIT(HC126,","))&amp;",",","&amp;SUBSTITUTE(input_profile_type," ","")&amp;",")))=COUNTA(TEXTSPLIT(HC126,",")))))</f>
        <v/>
      </c>
      <c r="JN126">
        <f>AND(IF(HE126="",TRUE,IF(input_program="",FALSE,SUMPRODUCT(--ISNUMBER(SEARCH(","&amp;TRIM(TEXTSPLIT(HE126,","))&amp;",",","&amp;SUBSTITUTE(input_program," ","")&amp;",")))&gt;0)),IF(HG126="",TRUE,IF(input_program="",FALSE,SUMPRODUCT(--ISNUMBER(SEARCH(","&amp;TRIM(TEXTSPLIT(HG126,","))&amp;",",","&amp;SUBSTITUTE(input_program," ","")&amp;",")))=COUNTA(TEXTSPLIT(HG126,",")))),IF(HI126="",TRUE,IF(input_program="",TRUE,SUMPRODUCT(--ISNUMBER(SEARCH(","&amp;TRIM(TEXTSPLIT(HI126,","))&amp;",",","&amp;SUBSTITUTE(input_program," ","")&amp;",")))=0)),IF(HK126="",TRUE,IF(input_program="",FALSE,SUMPRODUCT(--ISNUMBER(SEARCH(","&amp;TRIM(TEXTSPLIT(HK126,","))&amp;",",","&amp;SUBSTITUTE(input_program," ","")&amp;",")))&gt;0)),IF(HM126="",TRUE,IF(input_program="",FALSE,SUMPRODUCT(--ISNUMBER(SEARCH(","&amp;TRIM(TEXTSPLIT(HM126,","))&amp;",",","&amp;SUBSTITUTE(input_program," ","")&amp;",")))=COUNTA(TEXTSPLIT(HM126,",")))))</f>
        <v/>
      </c>
      <c r="JO126">
        <f>AND(IF(HO126="",TRUE,IF(input_story_categories="",FALSE,SUMPRODUCT(--ISNUMBER(SEARCH(","&amp;TRIM(TEXTSPLIT(HO126,","))&amp;",",","&amp;SUBSTITUTE(input_story_categories," ","")&amp;",")))&gt;0)),IF(HQ126="",TRUE,IF(input_story_categories="",FALSE,SUMPRODUCT(--ISNUMBER(SEARCH(","&amp;TRIM(TEXTSPLIT(HQ126,","))&amp;",",","&amp;SUBSTITUTE(input_story_categories," ","")&amp;",")))=COUNTA(TEXTSPLIT(HQ126,",")))),IF(HS126="",TRUE,IF(input_story_categories="",TRUE,SUMPRODUCT(--ISNUMBER(SEARCH(","&amp;TRIM(TEXTSPLIT(HS126,","))&amp;",",","&amp;SUBSTITUTE(input_story_categories," ","")&amp;",")))=0)),IF(HU126="",TRUE,IF(input_story_categories="",FALSE,SUMPRODUCT(--ISNUMBER(SEARCH(","&amp;TRIM(TEXTSPLIT(HU126,","))&amp;",",","&amp;SUBSTITUTE(input_story_categories," ","")&amp;",")))&gt;0)),IF(HW126="",TRUE,IF(input_story_categories="",FALSE,SUMPRODUCT(--ISNUMBER(SEARCH(","&amp;TRIM(TEXTSPLIT(HW126,","))&amp;",",","&amp;SUBSTITUTE(input_story_categories," ","")&amp;",")))=COUNTA(TEXTSPLIT(HW126,",")))))</f>
        <v/>
      </c>
      <c r="JP126">
        <f>AND(IF(HY126="",TRUE,IF(input_story_type="",FALSE,SUMPRODUCT(--ISNUMBER(SEARCH(","&amp;TRIM(TEXTSPLIT(HY126,","))&amp;",",","&amp;SUBSTITUTE(input_story_type," ","")&amp;",")))&gt;0)),IF(IA126="",TRUE,IF(input_story_type="",FALSE,SUMPRODUCT(--ISNUMBER(SEARCH(","&amp;TRIM(TEXTSPLIT(IA126,","))&amp;",",","&amp;SUBSTITUTE(input_story_type," ","")&amp;",")))=COUNTA(TEXTSPLIT(IA126,",")))),IF(IC126="",TRUE,IF(input_story_type="",TRUE,SUMPRODUCT(--ISNUMBER(SEARCH(","&amp;TRIM(TEXTSPLIT(IC126,","))&amp;",",","&amp;SUBSTITUTE(input_story_type," ","")&amp;",")))=0)),IF(IE126="",TRUE,IF(input_story_type="",FALSE,SUMPRODUCT(--ISNUMBER(SEARCH(","&amp;TRIM(TEXTSPLIT(IE126,","))&amp;",",","&amp;SUBSTITUTE(input_story_type," ","")&amp;",")))&gt;0)),IF(IG126="",TRUE,IF(input_story_type="",FALSE,SUMPRODUCT(--ISNUMBER(SEARCH(","&amp;TRIM(TEXTSPLIT(IG126,","))&amp;",",","&amp;SUBSTITUTE(input_story_type," ","")&amp;",")))=COUNTA(TEXTSPLIT(IG126,",")))))</f>
        <v/>
      </c>
      <c r="JQ126">
        <f>AND(IF(II126="",TRUE,IF(input_topics="",FALSE,SUMPRODUCT(--ISNUMBER(SEARCH(","&amp;TRIM(TEXTSPLIT(II126,","))&amp;",",","&amp;SUBSTITUTE(input_topics," ","")&amp;",")))&gt;0)),IF(IK126="",TRUE,IF(input_topics="",FALSE,SUMPRODUCT(--ISNUMBER(SEARCH(","&amp;TRIM(TEXTSPLIT(IK126,","))&amp;",",","&amp;SUBSTITUTE(input_topics," ","")&amp;",")))=COUNTA(TEXTSPLIT(IK126,",")))),IF(IM126="",TRUE,IF(input_topics="",TRUE,SUMPRODUCT(--ISNUMBER(SEARCH(","&amp;TRIM(TEXTSPLIT(IM126,","))&amp;",",","&amp;SUBSTITUTE(input_topics," ","")&amp;",")))=0)),IF(IO126="",TRUE,IF(input_topics="",FALSE,SUMPRODUCT(--ISNUMBER(SEARCH(","&amp;TRIM(TEXTSPLIT(IO126,","))&amp;",",","&amp;SUBSTITUTE(input_topics," ","")&amp;",")))&gt;0)),IF(IQ126="",TRUE,IF(input_topics="",FALSE,SUMPRODUCT(--ISNUMBER(SEARCH(","&amp;TRIM(TEXTSPLIT(IQ126,","))&amp;",",","&amp;SUBSTITUTE(input_topics," ","")&amp;",")))=COUNTA(TEXTSPLIT(IQ126,",")))))</f>
        <v/>
      </c>
    </row>
    <row r="127">
      <c r="A127" s="4">
        <f>IF(NOT(IS127),"Excluded",IF(AND(IT127,IU127,IV127,IW127,IX127,IY127,IZ127,JA127,JB127,JC127,JD127,JE127,JF127,JG127,JH127,JI127,JJ127,JK127,JL127,JM127,JN127,JO127,JP127,JQ127),IF(I127&gt;0,"Eligible but limited","Will appear"),"Excluded"))</f>
        <v/>
      </c>
      <c r="B127" s="4" t="inlineStr">
        <is>
          <t>MBA Admissions Events</t>
        </is>
      </c>
      <c r="C127" s="4" t="inlineStr">
        <is>
          <t>/programs/mba/admissions/mba-admissions-events</t>
        </is>
      </c>
      <c r="D127" s="4" t="inlineStr">
        <is>
          <t>/programs/mba/admissions/mba-admissions-events</t>
        </is>
      </c>
      <c r="E127" s="4" t="n">
        <v>1</v>
      </c>
      <c r="F127" s="4" t="inlineStr">
        <is>
          <t>event</t>
        </is>
      </c>
      <c r="G127" s="4" t="inlineStr">
        <is>
          <t>external_event_list</t>
        </is>
      </c>
      <c r="H127" s="4" t="inlineStr">
        <is>
          <t>embed_mba_admissions_events</t>
        </is>
      </c>
      <c r="I127" s="4" t="n">
        <v>8</v>
      </c>
      <c r="J127" s="4" t="inlineStr">
        <is>
          <t>Explicit args</t>
        </is>
      </c>
      <c r="K127" s="4" t="inlineStr">
        <is>
          <t>Page placement</t>
        </is>
      </c>
      <c r="L127" s="4" t="inlineStr">
        <is>
          <t>Content type: event; Context uses Courses Context: MBA (92); Needs any Event Type: Diversity Events (999), Campus Visit (1149), Admissions Officer-hosted Event (1206), Student-hosted Events (1207), Current College Seniors (1208), Off-campus Events (1210), Joint Degree (1211), Admissions Events (994); Needs any Modality: In-Person (1293), Online (1295); Limited to 8 item(s); Source: Explicit args</t>
        </is>
      </c>
      <c r="M127" t="inlineStr"/>
      <c r="N127" t="inlineStr"/>
      <c r="O127" t="inlineStr"/>
      <c r="P127" t="inlineStr"/>
      <c r="Q127" t="inlineStr"/>
      <c r="R127" t="inlineStr"/>
      <c r="S127" t="inlineStr"/>
      <c r="T127" t="inlineStr"/>
      <c r="U127" t="inlineStr"/>
      <c r="V127" t="inlineStr"/>
      <c r="W127" t="inlineStr"/>
      <c r="X127" t="inlineStr"/>
      <c r="Y127" t="inlineStr"/>
      <c r="Z127" t="inlineStr"/>
      <c r="AA127" t="inlineStr"/>
      <c r="AB127" t="inlineStr"/>
      <c r="AC127" t="inlineStr"/>
      <c r="AD127" t="inlineStr"/>
      <c r="AE127" t="inlineStr"/>
      <c r="AF127" t="inlineStr"/>
      <c r="AG127" t="inlineStr"/>
      <c r="AH127" t="inlineStr"/>
      <c r="AI127" t="inlineStr"/>
      <c r="AJ127" t="inlineStr"/>
      <c r="AK127" t="inlineStr"/>
      <c r="AL127" t="inlineStr"/>
      <c r="AM127" t="inlineStr"/>
      <c r="AN127" t="inlineStr"/>
      <c r="AO127" t="inlineStr"/>
      <c r="AP127" t="inlineStr"/>
      <c r="AQ127" t="inlineStr"/>
      <c r="AR127" t="inlineStr"/>
      <c r="AS127" t="inlineStr"/>
      <c r="AT127" t="inlineStr"/>
      <c r="AU127" t="inlineStr"/>
      <c r="AV127" t="inlineStr"/>
      <c r="AW127" t="inlineStr"/>
      <c r="AX127" t="inlineStr"/>
      <c r="AY127" t="inlineStr"/>
      <c r="AZ127" t="inlineStr"/>
      <c r="BA127" t="inlineStr"/>
      <c r="BB127" t="inlineStr"/>
      <c r="BC127" t="inlineStr"/>
      <c r="BD127" t="inlineStr"/>
      <c r="BE127" t="inlineStr"/>
      <c r="BF127" t="inlineStr"/>
      <c r="BG127" t="inlineStr"/>
      <c r="BH127" t="inlineStr"/>
      <c r="BI127" t="inlineStr"/>
      <c r="BJ127" t="inlineStr"/>
      <c r="BK127" t="inlineStr"/>
      <c r="BL127" t="inlineStr"/>
      <c r="BM127" t="inlineStr"/>
      <c r="BN127" t="inlineStr"/>
      <c r="BO127" t="inlineStr"/>
      <c r="BP127" t="inlineStr"/>
      <c r="BQ127" t="inlineStr">
        <is>
          <t>92</t>
        </is>
      </c>
      <c r="BR127" t="inlineStr">
        <is>
          <t>MBA (92)</t>
        </is>
      </c>
      <c r="BS127" t="inlineStr"/>
      <c r="BT127" t="inlineStr"/>
      <c r="BU127" t="inlineStr"/>
      <c r="BV127" t="inlineStr"/>
      <c r="BW127" t="inlineStr"/>
      <c r="BX127" t="inlineStr"/>
      <c r="BY127" t="inlineStr"/>
      <c r="BZ127" t="inlineStr"/>
      <c r="CA127" t="inlineStr"/>
      <c r="CB127" t="inlineStr"/>
      <c r="CC127" t="inlineStr"/>
      <c r="CD127" t="inlineStr"/>
      <c r="CE127" t="inlineStr"/>
      <c r="CF127" t="inlineStr"/>
      <c r="CG127" t="inlineStr"/>
      <c r="CH127" t="inlineStr"/>
      <c r="CI127" t="inlineStr"/>
      <c r="CJ127" t="inlineStr"/>
      <c r="CK127" t="inlineStr"/>
      <c r="CL127" t="inlineStr"/>
      <c r="CM127" t="inlineStr"/>
      <c r="CN127" t="inlineStr"/>
      <c r="CO127" t="inlineStr"/>
      <c r="CP127" t="inlineStr"/>
      <c r="CQ127" t="inlineStr"/>
      <c r="CR127" t="inlineStr"/>
      <c r="CS127" t="inlineStr"/>
      <c r="CT127" t="inlineStr"/>
      <c r="CU127" t="inlineStr"/>
      <c r="CV127" t="inlineStr"/>
      <c r="CW127" t="inlineStr"/>
      <c r="CX127" t="inlineStr"/>
      <c r="CY127" t="inlineStr">
        <is>
          <t>999, 1149, 1206, 1207, 1208, 1210, 1211, 994</t>
        </is>
      </c>
      <c r="CZ127" t="inlineStr">
        <is>
          <t>Diversity Events (999), Campus Visit (1149), Admissions Officer-hosted Event (1206), Student-hosted Events (1207), Current College Seniors (1208), Off-campus Events (1210), Joint Degree (1211), Admissions Events (994)</t>
        </is>
      </c>
      <c r="DA127" t="inlineStr"/>
      <c r="DB127" t="inlineStr"/>
      <c r="DC127" t="inlineStr"/>
      <c r="DD127" t="inlineStr"/>
      <c r="DE127" t="inlineStr"/>
      <c r="DF127" t="inlineStr"/>
      <c r="DG127" t="inlineStr"/>
      <c r="DH127" t="inlineStr"/>
      <c r="DI127" t="inlineStr"/>
      <c r="DJ127" t="inlineStr"/>
      <c r="DK127" t="inlineStr"/>
      <c r="DL127" t="inlineStr"/>
      <c r="DM127" t="inlineStr"/>
      <c r="DN127" t="inlineStr"/>
      <c r="DO127" t="inlineStr"/>
      <c r="DP127" t="inlineStr"/>
      <c r="DQ127" t="inlineStr"/>
      <c r="DR127" t="inlineStr"/>
      <c r="DS127" t="inlineStr"/>
      <c r="DT127" t="inlineStr"/>
      <c r="DU127" t="inlineStr"/>
      <c r="DV127" t="inlineStr"/>
      <c r="DW127" t="inlineStr"/>
      <c r="DX127" t="inlineStr"/>
      <c r="DY127" t="inlineStr"/>
      <c r="DZ127" t="inlineStr"/>
      <c r="EA127" t="inlineStr"/>
      <c r="EB127" t="inlineStr"/>
      <c r="EC127" t="inlineStr"/>
      <c r="ED127" t="inlineStr"/>
      <c r="EE127" t="inlineStr"/>
      <c r="EF127" t="inlineStr"/>
      <c r="EG127" t="inlineStr"/>
      <c r="EH127" t="inlineStr"/>
      <c r="EI127" t="inlineStr"/>
      <c r="EJ127" t="inlineStr"/>
      <c r="EK127" t="inlineStr"/>
      <c r="EL127" t="inlineStr"/>
      <c r="EM127" t="inlineStr"/>
      <c r="EN127" t="inlineStr"/>
      <c r="EO127" t="inlineStr"/>
      <c r="EP127" t="inlineStr"/>
      <c r="EQ127" t="inlineStr"/>
      <c r="ER127" t="inlineStr"/>
      <c r="ES127" t="inlineStr"/>
      <c r="ET127" t="inlineStr"/>
      <c r="EU127" t="inlineStr"/>
      <c r="EV127" t="inlineStr"/>
      <c r="EW127" t="inlineStr"/>
      <c r="EX127" t="inlineStr"/>
      <c r="EY127" t="inlineStr"/>
      <c r="EZ127" t="inlineStr"/>
      <c r="FA127" t="inlineStr"/>
      <c r="FB127" t="inlineStr"/>
      <c r="FC127" t="inlineStr"/>
      <c r="FD127" t="inlineStr"/>
      <c r="FE127" t="inlineStr"/>
      <c r="FF127" t="inlineStr"/>
      <c r="FG127" t="inlineStr"/>
      <c r="FH127" t="inlineStr"/>
      <c r="FI127" t="inlineStr"/>
      <c r="FJ127" t="inlineStr"/>
      <c r="FK127" t="inlineStr"/>
      <c r="FL127" t="inlineStr"/>
      <c r="FM127" t="inlineStr"/>
      <c r="FN127" t="inlineStr"/>
      <c r="FO127" t="inlineStr"/>
      <c r="FP127" t="inlineStr"/>
      <c r="FQ127" t="inlineStr"/>
      <c r="FR127" t="inlineStr"/>
      <c r="FS127" t="inlineStr"/>
      <c r="FT127" t="inlineStr"/>
      <c r="FU127" t="inlineStr"/>
      <c r="FV127" t="inlineStr"/>
      <c r="FW127" t="inlineStr"/>
      <c r="FX127" t="inlineStr"/>
      <c r="FY127" t="inlineStr"/>
      <c r="FZ127" t="inlineStr"/>
      <c r="GA127" t="inlineStr">
        <is>
          <t>1293, 1295</t>
        </is>
      </c>
      <c r="GB127" t="inlineStr">
        <is>
          <t>In-Person (1293), Online (1295)</t>
        </is>
      </c>
      <c r="GC127" t="inlineStr"/>
      <c r="GD127" t="inlineStr"/>
      <c r="GE127" t="inlineStr"/>
      <c r="GF127" t="inlineStr"/>
      <c r="GG127" t="inlineStr"/>
      <c r="GH127" t="inlineStr"/>
      <c r="GI127" t="inlineStr"/>
      <c r="GJ127" t="inlineStr"/>
      <c r="GK127" t="inlineStr"/>
      <c r="GL127" t="inlineStr"/>
      <c r="GM127" t="inlineStr"/>
      <c r="GN127" t="inlineStr"/>
      <c r="GO127" t="inlineStr"/>
      <c r="GP127" t="inlineStr"/>
      <c r="GQ127" t="inlineStr"/>
      <c r="GR127" t="inlineStr"/>
      <c r="GS127" t="inlineStr"/>
      <c r="GT127" t="inlineStr"/>
      <c r="GU127" t="inlineStr"/>
      <c r="GV127" t="inlineStr"/>
      <c r="GW127" t="inlineStr"/>
      <c r="GX127" t="inlineStr"/>
      <c r="GY127" t="inlineStr"/>
      <c r="GZ127" t="inlineStr"/>
      <c r="HA127" t="inlineStr"/>
      <c r="HB127" t="inlineStr"/>
      <c r="HC127" t="inlineStr"/>
      <c r="HD127" t="inlineStr"/>
      <c r="HE127" t="inlineStr"/>
      <c r="HF127" t="inlineStr"/>
      <c r="HG127" t="inlineStr"/>
      <c r="HH127" t="inlineStr"/>
      <c r="HI127" t="inlineStr"/>
      <c r="HJ127" t="inlineStr"/>
      <c r="HK127" t="inlineStr"/>
      <c r="HL127" t="inlineStr"/>
      <c r="HM127" t="inlineStr"/>
      <c r="HN127" t="inlineStr"/>
      <c r="HO127" t="inlineStr"/>
      <c r="HP127" t="inlineStr"/>
      <c r="HQ127" t="inlineStr"/>
      <c r="HR127" t="inlineStr"/>
      <c r="HS127" t="inlineStr"/>
      <c r="HT127" t="inlineStr"/>
      <c r="HU127" t="inlineStr"/>
      <c r="HV127" t="inlineStr"/>
      <c r="HW127" t="inlineStr"/>
      <c r="HX127" t="inlineStr"/>
      <c r="HY127" t="inlineStr"/>
      <c r="HZ127" t="inlineStr"/>
      <c r="IA127" t="inlineStr"/>
      <c r="IB127" t="inlineStr"/>
      <c r="IC127" t="inlineStr"/>
      <c r="ID127" t="inlineStr"/>
      <c r="IE127" t="inlineStr"/>
      <c r="IF127" t="inlineStr"/>
      <c r="IG127" t="inlineStr"/>
      <c r="IH127" t="inlineStr"/>
      <c r="II127" t="inlineStr"/>
      <c r="IJ127" t="inlineStr"/>
      <c r="IK127" t="inlineStr"/>
      <c r="IL127" t="inlineStr"/>
      <c r="IM127" t="inlineStr"/>
      <c r="IN127" t="inlineStr"/>
      <c r="IO127" t="inlineStr"/>
      <c r="IP127" t="inlineStr"/>
      <c r="IQ127" t="inlineStr"/>
      <c r="IR127" t="inlineStr"/>
      <c r="IS127">
        <f>IF(input_content_type="",FALSE,ISNUMBER(SEARCH(","&amp;LOWER(input_content_type)&amp;",",","&amp;LOWER(F127)&amp;",")))</f>
        <v/>
      </c>
      <c r="IT127">
        <f>AND(IF(M127="",TRUE,IF(input_affiliations="",FALSE,SUMPRODUCT(--ISNUMBER(SEARCH(","&amp;TRIM(TEXTSPLIT(M127,","))&amp;",",","&amp;SUBSTITUTE(input_affiliations," ","")&amp;",")))&gt;0)),IF(O127="",TRUE,IF(input_affiliations="",FALSE,SUMPRODUCT(--ISNUMBER(SEARCH(","&amp;TRIM(TEXTSPLIT(O127,","))&amp;",",","&amp;SUBSTITUTE(input_affiliations," ","")&amp;",")))=COUNTA(TEXTSPLIT(O127,",")))),IF(Q127="",TRUE,IF(input_affiliations="",TRUE,SUMPRODUCT(--ISNUMBER(SEARCH(","&amp;TRIM(TEXTSPLIT(Q127,","))&amp;",",","&amp;SUBSTITUTE(input_affiliations," ","")&amp;",")))=0)),IF(S127="",TRUE,IF(input_affiliations="",FALSE,SUMPRODUCT(--ISNUMBER(SEARCH(","&amp;TRIM(TEXTSPLIT(S127,","))&amp;",",","&amp;SUBSTITUTE(input_affiliations," ","")&amp;",")))&gt;0)),IF(U127="",TRUE,IF(input_affiliations="",FALSE,SUMPRODUCT(--ISNUMBER(SEARCH(","&amp;TRIM(TEXTSPLIT(U127,","))&amp;",",","&amp;SUBSTITUTE(input_affiliations," ","")&amp;",")))=COUNTA(TEXTSPLIT(U127,",")))))</f>
        <v/>
      </c>
      <c r="IU127">
        <f>AND(IF(W127="",TRUE,IF(input_announcement_category="",FALSE,SUMPRODUCT(--ISNUMBER(SEARCH(","&amp;TRIM(TEXTSPLIT(W127,","))&amp;",",","&amp;SUBSTITUTE(input_announcement_category," ","")&amp;",")))&gt;0)),IF(Y127="",TRUE,IF(input_announcement_category="",FALSE,SUMPRODUCT(--ISNUMBER(SEARCH(","&amp;TRIM(TEXTSPLIT(Y127,","))&amp;",",","&amp;SUBSTITUTE(input_announcement_category," ","")&amp;",")))=COUNTA(TEXTSPLIT(Y127,",")))),IF(AA127="",TRUE,IF(input_announcement_category="",TRUE,SUMPRODUCT(--ISNUMBER(SEARCH(","&amp;TRIM(TEXTSPLIT(AA127,","))&amp;",",","&amp;SUBSTITUTE(input_announcement_category," ","")&amp;",")))=0)),IF(AC127="",TRUE,IF(input_announcement_category="",FALSE,SUMPRODUCT(--ISNUMBER(SEARCH(","&amp;TRIM(TEXTSPLIT(AC127,","))&amp;",",","&amp;SUBSTITUTE(input_announcement_category," ","")&amp;",")))&gt;0)),IF(AE127="",TRUE,IF(input_announcement_category="",FALSE,SUMPRODUCT(--ISNUMBER(SEARCH(","&amp;TRIM(TEXTSPLIT(AE127,","))&amp;",",","&amp;SUBSTITUTE(input_announcement_category," ","")&amp;",")))=COUNTA(TEXTSPLIT(AE127,",")))))</f>
        <v/>
      </c>
      <c r="IV127">
        <f>AND(IF(AG127="",TRUE,IF(input_area_of_focus="",FALSE,SUMPRODUCT(--ISNUMBER(SEARCH(","&amp;TRIM(TEXTSPLIT(AG127,","))&amp;",",","&amp;SUBSTITUTE(input_area_of_focus," ","")&amp;",")))&gt;0)),IF(AI127="",TRUE,IF(input_area_of_focus="",FALSE,SUMPRODUCT(--ISNUMBER(SEARCH(","&amp;TRIM(TEXTSPLIT(AI127,","))&amp;",",","&amp;SUBSTITUTE(input_area_of_focus," ","")&amp;",")))=COUNTA(TEXTSPLIT(AI127,",")))),IF(AK127="",TRUE,IF(input_area_of_focus="",TRUE,SUMPRODUCT(--ISNUMBER(SEARCH(","&amp;TRIM(TEXTSPLIT(AK127,","))&amp;",",","&amp;SUBSTITUTE(input_area_of_focus," ","")&amp;",")))=0)),IF(AM127="",TRUE,IF(input_area_of_focus="",FALSE,SUMPRODUCT(--ISNUMBER(SEARCH(","&amp;TRIM(TEXTSPLIT(AM127,","))&amp;",",","&amp;SUBSTITUTE(input_area_of_focus," ","")&amp;",")))&gt;0)),IF(AO127="",TRUE,IF(input_area_of_focus="",FALSE,SUMPRODUCT(--ISNUMBER(SEARCH(","&amp;TRIM(TEXTSPLIT(AO127,","))&amp;",",","&amp;SUBSTITUTE(input_area_of_focus," ","")&amp;",")))=COUNTA(TEXTSPLIT(AO127,",")))))</f>
        <v/>
      </c>
      <c r="IW127">
        <f>AND(IF(AQ127="",TRUE,IF(input_audience="",FALSE,SUMPRODUCT(--ISNUMBER(SEARCH(","&amp;TRIM(TEXTSPLIT(AQ127,","))&amp;",",","&amp;SUBSTITUTE(input_audience," ","")&amp;",")))&gt;0)),IF(AS127="",TRUE,IF(input_audience="",FALSE,SUMPRODUCT(--ISNUMBER(SEARCH(","&amp;TRIM(TEXTSPLIT(AS127,","))&amp;",",","&amp;SUBSTITUTE(input_audience," ","")&amp;",")))=COUNTA(TEXTSPLIT(AS127,",")))),IF(AU127="",TRUE,IF(input_audience="",TRUE,SUMPRODUCT(--ISNUMBER(SEARCH(","&amp;TRIM(TEXTSPLIT(AU127,","))&amp;",",","&amp;SUBSTITUTE(input_audience," ","")&amp;",")))=0)),IF(AW127="",TRUE,IF(input_audience="",FALSE,SUMPRODUCT(--ISNUMBER(SEARCH(","&amp;TRIM(TEXTSPLIT(AW127,","))&amp;",",","&amp;SUBSTITUTE(input_audience," ","")&amp;",")))&gt;0)),IF(AY127="",TRUE,IF(input_audience="",FALSE,SUMPRODUCT(--ISNUMBER(SEARCH(","&amp;TRIM(TEXTSPLIT(AY127,","))&amp;",",","&amp;SUBSTITUTE(input_audience," ","")&amp;",")))=COUNTA(TEXTSPLIT(AY127,",")))))</f>
        <v/>
      </c>
      <c r="IX127">
        <f>AND(IF(BA127="",TRUE,IF(input_challenge_opportunities="",FALSE,SUMPRODUCT(--ISNUMBER(SEARCH(","&amp;TRIM(TEXTSPLIT(BA127,","))&amp;",",","&amp;SUBSTITUTE(input_challenge_opportunities," ","")&amp;",")))&gt;0)),IF(BC127="",TRUE,IF(input_challenge_opportunities="",FALSE,SUMPRODUCT(--ISNUMBER(SEARCH(","&amp;TRIM(TEXTSPLIT(BC127,","))&amp;",",","&amp;SUBSTITUTE(input_challenge_opportunities," ","")&amp;",")))=COUNTA(TEXTSPLIT(BC127,",")))),IF(BE127="",TRUE,IF(input_challenge_opportunities="",TRUE,SUMPRODUCT(--ISNUMBER(SEARCH(","&amp;TRIM(TEXTSPLIT(BE127,","))&amp;",",","&amp;SUBSTITUTE(input_challenge_opportunities," ","")&amp;",")))=0)),IF(BG127="",TRUE,IF(input_challenge_opportunities="",FALSE,SUMPRODUCT(--ISNUMBER(SEARCH(","&amp;TRIM(TEXTSPLIT(BG127,","))&amp;",",","&amp;SUBSTITUTE(input_challenge_opportunities," ","")&amp;",")))&gt;0)),IF(BI127="",TRUE,IF(input_challenge_opportunities="",FALSE,SUMPRODUCT(--ISNUMBER(SEARCH(","&amp;TRIM(TEXTSPLIT(BI127,","))&amp;",",","&amp;SUBSTITUTE(input_challenge_opportunities," ","")&amp;",")))=COUNTA(TEXTSPLIT(BI127,",")))))</f>
        <v/>
      </c>
      <c r="IY127">
        <f>AND(IF(BK127="",TRUE,IF(input_context="",FALSE,SUMPRODUCT(--ISNUMBER(SEARCH(","&amp;TRIM(TEXTSPLIT(BK127,","))&amp;",",","&amp;SUBSTITUTE(input_context," ","")&amp;",")))&gt;0)),IF(BM127="",TRUE,IF(input_context="",FALSE,SUMPRODUCT(--ISNUMBER(SEARCH(","&amp;TRIM(TEXTSPLIT(BM127,","))&amp;",",","&amp;SUBSTITUTE(input_context," ","")&amp;",")))=COUNTA(TEXTSPLIT(BM127,",")))),IF(BO127="",TRUE,IF(input_context="",TRUE,SUMPRODUCT(--ISNUMBER(SEARCH(","&amp;TRIM(TEXTSPLIT(BO127,","))&amp;",",","&amp;SUBSTITUTE(input_context," ","")&amp;",")))=0)),IF(BQ127="",TRUE,IF(input_context="",FALSE,SUMPRODUCT(--ISNUMBER(SEARCH(","&amp;TRIM(TEXTSPLIT(BQ127,","))&amp;",",","&amp;SUBSTITUTE(input_context," ","")&amp;",")))&gt;0)),IF(BS127="",TRUE,IF(input_context="",FALSE,SUMPRODUCT(--ISNUMBER(SEARCH(","&amp;TRIM(TEXTSPLIT(BS127,","))&amp;",",","&amp;SUBSTITUTE(input_context," ","")&amp;",")))=COUNTA(TEXTSPLIT(BS127,",")))))</f>
        <v/>
      </c>
      <c r="IZ127">
        <f>AND(IF(BU127="",TRUE,IF(input_enews_announcement_type="",FALSE,SUMPRODUCT(--ISNUMBER(SEARCH(","&amp;TRIM(TEXTSPLIT(BU127,","))&amp;",",","&amp;SUBSTITUTE(input_enews_announcement_type," ","")&amp;",")))&gt;0)),IF(BW127="",TRUE,IF(input_enews_announcement_type="",FALSE,SUMPRODUCT(--ISNUMBER(SEARCH(","&amp;TRIM(TEXTSPLIT(BW127,","))&amp;",",","&amp;SUBSTITUTE(input_enews_announcement_type," ","")&amp;",")))=COUNTA(TEXTSPLIT(BW127,",")))),IF(BY127="",TRUE,IF(input_enews_announcement_type="",TRUE,SUMPRODUCT(--ISNUMBER(SEARCH(","&amp;TRIM(TEXTSPLIT(BY127,","))&amp;",",","&amp;SUBSTITUTE(input_enews_announcement_type," ","")&amp;",")))=0)),IF(CA127="",TRUE,IF(input_enews_announcement_type="",FALSE,SUMPRODUCT(--ISNUMBER(SEARCH(","&amp;TRIM(TEXTSPLIT(CA127,","))&amp;",",","&amp;SUBSTITUTE(input_enews_announcement_type," ","")&amp;",")))&gt;0)),IF(CC127="",TRUE,IF(input_enews_announcement_type="",FALSE,SUMPRODUCT(--ISNUMBER(SEARCH(","&amp;TRIM(TEXTSPLIT(CC127,","))&amp;",",","&amp;SUBSTITUTE(input_enews_announcement_type," ","")&amp;",")))=COUNTA(TEXTSPLIT(CC127,",")))))</f>
        <v/>
      </c>
      <c r="JA127">
        <f>AND(IF(CE127="",TRUE,IF(input_enews_audience="",FALSE,SUMPRODUCT(--ISNUMBER(SEARCH(","&amp;TRIM(TEXTSPLIT(CE127,","))&amp;",",","&amp;SUBSTITUTE(input_enews_audience," ","")&amp;",")))&gt;0)),IF(CG127="",TRUE,IF(input_enews_audience="",FALSE,SUMPRODUCT(--ISNUMBER(SEARCH(","&amp;TRIM(TEXTSPLIT(CG127,","))&amp;",",","&amp;SUBSTITUTE(input_enews_audience," ","")&amp;",")))=COUNTA(TEXTSPLIT(CG127,",")))),IF(CI127="",TRUE,IF(input_enews_audience="",TRUE,SUMPRODUCT(--ISNUMBER(SEARCH(","&amp;TRIM(TEXTSPLIT(CI127,","))&amp;",",","&amp;SUBSTITUTE(input_enews_audience," ","")&amp;",")))=0)),IF(CK127="",TRUE,IF(input_enews_audience="",FALSE,SUMPRODUCT(--ISNUMBER(SEARCH(","&amp;TRIM(TEXTSPLIT(CK127,","))&amp;",",","&amp;SUBSTITUTE(input_enews_audience," ","")&amp;",")))&gt;0)),IF(CM127="",TRUE,IF(input_enews_audience="",FALSE,SUMPRODUCT(--ISNUMBER(SEARCH(","&amp;TRIM(TEXTSPLIT(CM127,","))&amp;",",","&amp;SUBSTITUTE(input_enews_audience," ","")&amp;",")))=COUNTA(TEXTSPLIT(CM127,",")))))</f>
        <v/>
      </c>
      <c r="JB127">
        <f>AND(IF(CO127="",TRUE,IF(input_event_location="",FALSE,SUMPRODUCT(--ISNUMBER(SEARCH(","&amp;TRIM(TEXTSPLIT(CO127,","))&amp;",",","&amp;SUBSTITUTE(input_event_location," ","")&amp;",")))&gt;0)),IF(CQ127="",TRUE,IF(input_event_location="",FALSE,SUMPRODUCT(--ISNUMBER(SEARCH(","&amp;TRIM(TEXTSPLIT(CQ127,","))&amp;",",","&amp;SUBSTITUTE(input_event_location," ","")&amp;",")))=COUNTA(TEXTSPLIT(CQ127,",")))),IF(CS127="",TRUE,IF(input_event_location="",TRUE,SUMPRODUCT(--ISNUMBER(SEARCH(","&amp;TRIM(TEXTSPLIT(CS127,","))&amp;",",","&amp;SUBSTITUTE(input_event_location," ","")&amp;",")))=0)),IF(CU127="",TRUE,IF(input_event_location="",FALSE,SUMPRODUCT(--ISNUMBER(SEARCH(","&amp;TRIM(TEXTSPLIT(CU127,","))&amp;",",","&amp;SUBSTITUTE(input_event_location," ","")&amp;",")))&gt;0)),IF(CW127="",TRUE,IF(input_event_location="",FALSE,SUMPRODUCT(--ISNUMBER(SEARCH(","&amp;TRIM(TEXTSPLIT(CW127,","))&amp;",",","&amp;SUBSTITUTE(input_event_location," ","")&amp;",")))=COUNTA(TEXTSPLIT(CW127,",")))))</f>
        <v/>
      </c>
      <c r="JC127">
        <f>AND(IF(CY127="",TRUE,IF(input_event_type="",FALSE,SUMPRODUCT(--ISNUMBER(SEARCH(","&amp;TRIM(TEXTSPLIT(CY127,","))&amp;",",","&amp;SUBSTITUTE(input_event_type," ","")&amp;",")))&gt;0)),IF(DA127="",TRUE,IF(input_event_type="",FALSE,SUMPRODUCT(--ISNUMBER(SEARCH(","&amp;TRIM(TEXTSPLIT(DA127,","))&amp;",",","&amp;SUBSTITUTE(input_event_type," ","")&amp;",")))=COUNTA(TEXTSPLIT(DA127,",")))),IF(DC127="",TRUE,IF(input_event_type="",TRUE,SUMPRODUCT(--ISNUMBER(SEARCH(","&amp;TRIM(TEXTSPLIT(DC127,","))&amp;",",","&amp;SUBSTITUTE(input_event_type," ","")&amp;",")))=0)),IF(DE127="",TRUE,IF(input_event_type="",FALSE,SUMPRODUCT(--ISNUMBER(SEARCH(","&amp;TRIM(TEXTSPLIT(DE127,","))&amp;",",","&amp;SUBSTITUTE(input_event_type," ","")&amp;",")))&gt;0)),IF(DG127="",TRUE,IF(input_event_type="",FALSE,SUMPRODUCT(--ISNUMBER(SEARCH(","&amp;TRIM(TEXTSPLIT(DG127,","))&amp;",",","&amp;SUBSTITUTE(input_event_type," ","")&amp;",")))=COUNTA(TEXTSPLIT(DG127,",")))))</f>
        <v/>
      </c>
      <c r="JD127">
        <f>AND(IF(DI127="",TRUE,IF(input_executive_education_focus="",FALSE,SUMPRODUCT(--ISNUMBER(SEARCH(","&amp;TRIM(TEXTSPLIT(DI127,","))&amp;",",","&amp;SUBSTITUTE(input_executive_education_focus," ","")&amp;",")))&gt;0)),IF(DK127="",TRUE,IF(input_executive_education_focus="",FALSE,SUMPRODUCT(--ISNUMBER(SEARCH(","&amp;TRIM(TEXTSPLIT(DK127,","))&amp;",",","&amp;SUBSTITUTE(input_executive_education_focus," ","")&amp;",")))=COUNTA(TEXTSPLIT(DK127,",")))),IF(DM127="",TRUE,IF(input_executive_education_focus="",TRUE,SUMPRODUCT(--ISNUMBER(SEARCH(","&amp;TRIM(TEXTSPLIT(DM127,","))&amp;",",","&amp;SUBSTITUTE(input_executive_education_focus," ","")&amp;",")))=0)),IF(DO127="",TRUE,IF(input_executive_education_focus="",FALSE,SUMPRODUCT(--ISNUMBER(SEARCH(","&amp;TRIM(TEXTSPLIT(DO127,","))&amp;",",","&amp;SUBSTITUTE(input_executive_education_focus," ","")&amp;",")))&gt;0)),IF(DQ127="",TRUE,IF(input_executive_education_focus="",FALSE,SUMPRODUCT(--ISNUMBER(SEARCH(","&amp;TRIM(TEXTSPLIT(DQ127,","))&amp;",",","&amp;SUBSTITUTE(input_executive_education_focus," ","")&amp;",")))=COUNTA(TEXTSPLIT(DQ127,",")))))</f>
        <v/>
      </c>
      <c r="JE127">
        <f>AND(IF(DS127="",TRUE,IF(input_faculty_category="",FALSE,SUMPRODUCT(--ISNUMBER(SEARCH(","&amp;TRIM(TEXTSPLIT(DS127,","))&amp;",",","&amp;SUBSTITUTE(input_faculty_category," ","")&amp;",")))&gt;0)),IF(DU127="",TRUE,IF(input_faculty_category="",FALSE,SUMPRODUCT(--ISNUMBER(SEARCH(","&amp;TRIM(TEXTSPLIT(DU127,","))&amp;",",","&amp;SUBSTITUTE(input_faculty_category," ","")&amp;",")))=COUNTA(TEXTSPLIT(DU127,",")))),IF(DW127="",TRUE,IF(input_faculty_category="",TRUE,SUMPRODUCT(--ISNUMBER(SEARCH(","&amp;TRIM(TEXTSPLIT(DW127,","))&amp;",",","&amp;SUBSTITUTE(input_faculty_category," ","")&amp;",")))=0)),IF(DY127="",TRUE,IF(input_faculty_category="",FALSE,SUMPRODUCT(--ISNUMBER(SEARCH(","&amp;TRIM(TEXTSPLIT(DY127,","))&amp;",",","&amp;SUBSTITUTE(input_faculty_category," ","")&amp;",")))&gt;0)),IF(EA127="",TRUE,IF(input_faculty_category="",FALSE,SUMPRODUCT(--ISNUMBER(SEARCH(","&amp;TRIM(TEXTSPLIT(EA127,","))&amp;",",","&amp;SUBSTITUTE(input_faculty_category," ","")&amp;",")))=COUNTA(TEXTSPLIT(EA127,",")))))</f>
        <v/>
      </c>
      <c r="JF127">
        <f>AND(IF(EC127="",TRUE,IF(input_faculty_discipline="",FALSE,SUMPRODUCT(--ISNUMBER(SEARCH(","&amp;TRIM(TEXTSPLIT(EC127,","))&amp;",",","&amp;SUBSTITUTE(input_faculty_discipline," ","")&amp;",")))&gt;0)),IF(EE127="",TRUE,IF(input_faculty_discipline="",FALSE,SUMPRODUCT(--ISNUMBER(SEARCH(","&amp;TRIM(TEXTSPLIT(EE127,","))&amp;",",","&amp;SUBSTITUTE(input_faculty_discipline," ","")&amp;",")))=COUNTA(TEXTSPLIT(EE127,",")))),IF(EG127="",TRUE,IF(input_faculty_discipline="",TRUE,SUMPRODUCT(--ISNUMBER(SEARCH(","&amp;TRIM(TEXTSPLIT(EG127,","))&amp;",",","&amp;SUBSTITUTE(input_faculty_discipline," ","")&amp;",")))=0)),IF(EI127="",TRUE,IF(input_faculty_discipline="",FALSE,SUMPRODUCT(--ISNUMBER(SEARCH(","&amp;TRIM(TEXTSPLIT(EI127,","))&amp;",",","&amp;SUBSTITUTE(input_faculty_discipline," ","")&amp;",")))&gt;0)),IF(EK127="",TRUE,IF(input_faculty_discipline="",FALSE,SUMPRODUCT(--ISNUMBER(SEARCH(","&amp;TRIM(TEXTSPLIT(EK127,","))&amp;",",","&amp;SUBSTITUTE(input_faculty_discipline," ","")&amp;",")))=COUNTA(TEXTSPLIT(EK127,",")))))</f>
        <v/>
      </c>
      <c r="JG127">
        <f>AND(IF(EM127="",TRUE,IF(input_faculty_expertise="",FALSE,SUMPRODUCT(--ISNUMBER(SEARCH(","&amp;TRIM(TEXTSPLIT(EM127,","))&amp;",",","&amp;SUBSTITUTE(input_faculty_expertise," ","")&amp;",")))&gt;0)),IF(EO127="",TRUE,IF(input_faculty_expertise="",FALSE,SUMPRODUCT(--ISNUMBER(SEARCH(","&amp;TRIM(TEXTSPLIT(EO127,","))&amp;",",","&amp;SUBSTITUTE(input_faculty_expertise," ","")&amp;",")))=COUNTA(TEXTSPLIT(EO127,",")))),IF(EQ127="",TRUE,IF(input_faculty_expertise="",TRUE,SUMPRODUCT(--ISNUMBER(SEARCH(","&amp;TRIM(TEXTSPLIT(EQ127,","))&amp;",",","&amp;SUBSTITUTE(input_faculty_expertise," ","")&amp;",")))=0)),IF(ES127="",TRUE,IF(input_faculty_expertise="",FALSE,SUMPRODUCT(--ISNUMBER(SEARCH(","&amp;TRIM(TEXTSPLIT(ES127,","))&amp;",",","&amp;SUBSTITUTE(input_faculty_expertise," ","")&amp;",")))&gt;0)),IF(EU127="",TRUE,IF(input_faculty_expertise="",FALSE,SUMPRODUCT(--ISNUMBER(SEARCH(","&amp;TRIM(TEXTSPLIT(EU127,","))&amp;",",","&amp;SUBSTITUTE(input_faculty_expertise," ","")&amp;",")))=COUNTA(TEXTSPLIT(EU127,",")))))</f>
        <v/>
      </c>
      <c r="JH127">
        <f>AND(IF(EW127="",TRUE,IF(input_global_network_school="",FALSE,SUMPRODUCT(--ISNUMBER(SEARCH(","&amp;TRIM(TEXTSPLIT(EW127,","))&amp;",",","&amp;SUBSTITUTE(input_global_network_school," ","")&amp;",")))&gt;0)),IF(EY127="",TRUE,IF(input_global_network_school="",FALSE,SUMPRODUCT(--ISNUMBER(SEARCH(","&amp;TRIM(TEXTSPLIT(EY127,","))&amp;",",","&amp;SUBSTITUTE(input_global_network_school," ","")&amp;",")))=COUNTA(TEXTSPLIT(EY127,",")))),IF(FA127="",TRUE,IF(input_global_network_school="",TRUE,SUMPRODUCT(--ISNUMBER(SEARCH(","&amp;TRIM(TEXTSPLIT(FA127,","))&amp;",",","&amp;SUBSTITUTE(input_global_network_school," ","")&amp;",")))=0)),IF(FC127="",TRUE,IF(input_global_network_school="",FALSE,SUMPRODUCT(--ISNUMBER(SEARCH(","&amp;TRIM(TEXTSPLIT(FC127,","))&amp;",",","&amp;SUBSTITUTE(input_global_network_school," ","")&amp;",")))&gt;0)),IF(FE127="",TRUE,IF(input_global_network_school="",FALSE,SUMPRODUCT(--ISNUMBER(SEARCH(","&amp;TRIM(TEXTSPLIT(FE127,","))&amp;",",","&amp;SUBSTITUTE(input_global_network_school," ","")&amp;",")))=COUNTA(TEXTSPLIT(FE127,",")))))</f>
        <v/>
      </c>
      <c r="JI127">
        <f>AND(IF(FG127="",TRUE,IF(input_industry="",FALSE,SUMPRODUCT(--ISNUMBER(SEARCH(","&amp;TRIM(TEXTSPLIT(FG127,","))&amp;",",","&amp;SUBSTITUTE(input_industry," ","")&amp;",")))&gt;0)),IF(FI127="",TRUE,IF(input_industry="",FALSE,SUMPRODUCT(--ISNUMBER(SEARCH(","&amp;TRIM(TEXTSPLIT(FI127,","))&amp;",",","&amp;SUBSTITUTE(input_industry," ","")&amp;",")))=COUNTA(TEXTSPLIT(FI127,",")))),IF(FK127="",TRUE,IF(input_industry="",TRUE,SUMPRODUCT(--ISNUMBER(SEARCH(","&amp;TRIM(TEXTSPLIT(FK127,","))&amp;",",","&amp;SUBSTITUTE(input_industry," ","")&amp;",")))=0)),IF(FM127="",TRUE,IF(input_industry="",FALSE,SUMPRODUCT(--ISNUMBER(SEARCH(","&amp;TRIM(TEXTSPLIT(FM127,","))&amp;",",","&amp;SUBSTITUTE(input_industry," ","")&amp;",")))&gt;0)),IF(FO127="",TRUE,IF(input_industry="",FALSE,SUMPRODUCT(--ISNUMBER(SEARCH(","&amp;TRIM(TEXTSPLIT(FO127,","))&amp;",",","&amp;SUBSTITUTE(input_industry," ","")&amp;",")))=COUNTA(TEXTSPLIT(FO127,",")))))</f>
        <v/>
      </c>
      <c r="JJ127">
        <f>AND(IF(FQ127="",TRUE,IF(input_location="",FALSE,SUMPRODUCT(--ISNUMBER(SEARCH(","&amp;TRIM(TEXTSPLIT(FQ127,","))&amp;",",","&amp;SUBSTITUTE(input_location," ","")&amp;",")))&gt;0)),IF(FS127="",TRUE,IF(input_location="",FALSE,SUMPRODUCT(--ISNUMBER(SEARCH(","&amp;TRIM(TEXTSPLIT(FS127,","))&amp;",",","&amp;SUBSTITUTE(input_location," ","")&amp;",")))=COUNTA(TEXTSPLIT(FS127,",")))),IF(FU127="",TRUE,IF(input_location="",TRUE,SUMPRODUCT(--ISNUMBER(SEARCH(","&amp;TRIM(TEXTSPLIT(FU127,","))&amp;",",","&amp;SUBSTITUTE(input_location," ","")&amp;",")))=0)),IF(FW127="",TRUE,IF(input_location="",FALSE,SUMPRODUCT(--ISNUMBER(SEARCH(","&amp;TRIM(TEXTSPLIT(FW127,","))&amp;",",","&amp;SUBSTITUTE(input_location," ","")&amp;",")))&gt;0)),IF(FY127="",TRUE,IF(input_location="",FALSE,SUMPRODUCT(--ISNUMBER(SEARCH(","&amp;TRIM(TEXTSPLIT(FY127,","))&amp;",",","&amp;SUBSTITUTE(input_location," ","")&amp;",")))=COUNTA(TEXTSPLIT(FY127,",")))))</f>
        <v/>
      </c>
      <c r="JK127">
        <f>AND(IF(GA127="",TRUE,IF(input_modality="",FALSE,SUMPRODUCT(--ISNUMBER(SEARCH(","&amp;TRIM(TEXTSPLIT(GA127,","))&amp;",",","&amp;SUBSTITUTE(input_modality," ","")&amp;",")))&gt;0)),IF(GC127="",TRUE,IF(input_modality="",FALSE,SUMPRODUCT(--ISNUMBER(SEARCH(","&amp;TRIM(TEXTSPLIT(GC127,","))&amp;",",","&amp;SUBSTITUTE(input_modality," ","")&amp;",")))=COUNTA(TEXTSPLIT(GC127,",")))),IF(GE127="",TRUE,IF(input_modality="",TRUE,SUMPRODUCT(--ISNUMBER(SEARCH(","&amp;TRIM(TEXTSPLIT(GE127,","))&amp;",",","&amp;SUBSTITUTE(input_modality," ","")&amp;",")))=0)),IF(GG127="",TRUE,IF(input_modality="",FALSE,SUMPRODUCT(--ISNUMBER(SEARCH(","&amp;TRIM(TEXTSPLIT(GG127,","))&amp;",",","&amp;SUBSTITUTE(input_modality," ","")&amp;",")))&gt;0)),IF(GI127="",TRUE,IF(input_modality="",FALSE,SUMPRODUCT(--ISNUMBER(SEARCH(","&amp;TRIM(TEXTSPLIT(GI127,","))&amp;",",","&amp;SUBSTITUTE(input_modality," ","")&amp;",")))=COUNTA(TEXTSPLIT(GI127,",")))))</f>
        <v/>
      </c>
      <c r="JL127">
        <f>AND(IF(GK127="",TRUE,IF(input_organizer="",FALSE,SUMPRODUCT(--ISNUMBER(SEARCH(","&amp;TRIM(TEXTSPLIT(GK127,","))&amp;",",","&amp;SUBSTITUTE(input_organizer," ","")&amp;",")))&gt;0)),IF(GM127="",TRUE,IF(input_organizer="",FALSE,SUMPRODUCT(--ISNUMBER(SEARCH(","&amp;TRIM(TEXTSPLIT(GM127,","))&amp;",",","&amp;SUBSTITUTE(input_organizer," ","")&amp;",")))=COUNTA(TEXTSPLIT(GM127,",")))),IF(GO127="",TRUE,IF(input_organizer="",TRUE,SUMPRODUCT(--ISNUMBER(SEARCH(","&amp;TRIM(TEXTSPLIT(GO127,","))&amp;",",","&amp;SUBSTITUTE(input_organizer," ","")&amp;",")))=0)),IF(GQ127="",TRUE,IF(input_organizer="",FALSE,SUMPRODUCT(--ISNUMBER(SEARCH(","&amp;TRIM(TEXTSPLIT(GQ127,","))&amp;",",","&amp;SUBSTITUTE(input_organizer," ","")&amp;",")))&gt;0)),IF(GS127="",TRUE,IF(input_organizer="",FALSE,SUMPRODUCT(--ISNUMBER(SEARCH(","&amp;TRIM(TEXTSPLIT(GS127,","))&amp;",",","&amp;SUBSTITUTE(input_organizer," ","")&amp;",")))=COUNTA(TEXTSPLIT(GS127,",")))))</f>
        <v/>
      </c>
      <c r="JM127">
        <f>AND(IF(GU127="",TRUE,IF(input_profile_type="",FALSE,SUMPRODUCT(--ISNUMBER(SEARCH(","&amp;TRIM(TEXTSPLIT(GU127,","))&amp;",",","&amp;SUBSTITUTE(input_profile_type," ","")&amp;",")))&gt;0)),IF(GW127="",TRUE,IF(input_profile_type="",FALSE,SUMPRODUCT(--ISNUMBER(SEARCH(","&amp;TRIM(TEXTSPLIT(GW127,","))&amp;",",","&amp;SUBSTITUTE(input_profile_type," ","")&amp;",")))=COUNTA(TEXTSPLIT(GW127,",")))),IF(GY127="",TRUE,IF(input_profile_type="",TRUE,SUMPRODUCT(--ISNUMBER(SEARCH(","&amp;TRIM(TEXTSPLIT(GY127,","))&amp;",",","&amp;SUBSTITUTE(input_profile_type," ","")&amp;",")))=0)),IF(HA127="",TRUE,IF(input_profile_type="",FALSE,SUMPRODUCT(--ISNUMBER(SEARCH(","&amp;TRIM(TEXTSPLIT(HA127,","))&amp;",",","&amp;SUBSTITUTE(input_profile_type," ","")&amp;",")))&gt;0)),IF(HC127="",TRUE,IF(input_profile_type="",FALSE,SUMPRODUCT(--ISNUMBER(SEARCH(","&amp;TRIM(TEXTSPLIT(HC127,","))&amp;",",","&amp;SUBSTITUTE(input_profile_type," ","")&amp;",")))=COUNTA(TEXTSPLIT(HC127,",")))))</f>
        <v/>
      </c>
      <c r="JN127">
        <f>AND(IF(HE127="",TRUE,IF(input_program="",FALSE,SUMPRODUCT(--ISNUMBER(SEARCH(","&amp;TRIM(TEXTSPLIT(HE127,","))&amp;",",","&amp;SUBSTITUTE(input_program," ","")&amp;",")))&gt;0)),IF(HG127="",TRUE,IF(input_program="",FALSE,SUMPRODUCT(--ISNUMBER(SEARCH(","&amp;TRIM(TEXTSPLIT(HG127,","))&amp;",",","&amp;SUBSTITUTE(input_program," ","")&amp;",")))=COUNTA(TEXTSPLIT(HG127,",")))),IF(HI127="",TRUE,IF(input_program="",TRUE,SUMPRODUCT(--ISNUMBER(SEARCH(","&amp;TRIM(TEXTSPLIT(HI127,","))&amp;",",","&amp;SUBSTITUTE(input_program," ","")&amp;",")))=0)),IF(HK127="",TRUE,IF(input_program="",FALSE,SUMPRODUCT(--ISNUMBER(SEARCH(","&amp;TRIM(TEXTSPLIT(HK127,","))&amp;",",","&amp;SUBSTITUTE(input_program," ","")&amp;",")))&gt;0)),IF(HM127="",TRUE,IF(input_program="",FALSE,SUMPRODUCT(--ISNUMBER(SEARCH(","&amp;TRIM(TEXTSPLIT(HM127,","))&amp;",",","&amp;SUBSTITUTE(input_program," ","")&amp;",")))=COUNTA(TEXTSPLIT(HM127,",")))))</f>
        <v/>
      </c>
      <c r="JO127">
        <f>AND(IF(HO127="",TRUE,IF(input_story_categories="",FALSE,SUMPRODUCT(--ISNUMBER(SEARCH(","&amp;TRIM(TEXTSPLIT(HO127,","))&amp;",",","&amp;SUBSTITUTE(input_story_categories," ","")&amp;",")))&gt;0)),IF(HQ127="",TRUE,IF(input_story_categories="",FALSE,SUMPRODUCT(--ISNUMBER(SEARCH(","&amp;TRIM(TEXTSPLIT(HQ127,","))&amp;",",","&amp;SUBSTITUTE(input_story_categories," ","")&amp;",")))=COUNTA(TEXTSPLIT(HQ127,",")))),IF(HS127="",TRUE,IF(input_story_categories="",TRUE,SUMPRODUCT(--ISNUMBER(SEARCH(","&amp;TRIM(TEXTSPLIT(HS127,","))&amp;",",","&amp;SUBSTITUTE(input_story_categories," ","")&amp;",")))=0)),IF(HU127="",TRUE,IF(input_story_categories="",FALSE,SUMPRODUCT(--ISNUMBER(SEARCH(","&amp;TRIM(TEXTSPLIT(HU127,","))&amp;",",","&amp;SUBSTITUTE(input_story_categories," ","")&amp;",")))&gt;0)),IF(HW127="",TRUE,IF(input_story_categories="",FALSE,SUMPRODUCT(--ISNUMBER(SEARCH(","&amp;TRIM(TEXTSPLIT(HW127,","))&amp;",",","&amp;SUBSTITUTE(input_story_categories," ","")&amp;",")))=COUNTA(TEXTSPLIT(HW127,",")))))</f>
        <v/>
      </c>
      <c r="JP127">
        <f>AND(IF(HY127="",TRUE,IF(input_story_type="",FALSE,SUMPRODUCT(--ISNUMBER(SEARCH(","&amp;TRIM(TEXTSPLIT(HY127,","))&amp;",",","&amp;SUBSTITUTE(input_story_type," ","")&amp;",")))&gt;0)),IF(IA127="",TRUE,IF(input_story_type="",FALSE,SUMPRODUCT(--ISNUMBER(SEARCH(","&amp;TRIM(TEXTSPLIT(IA127,","))&amp;",",","&amp;SUBSTITUTE(input_story_type," ","")&amp;",")))=COUNTA(TEXTSPLIT(IA127,",")))),IF(IC127="",TRUE,IF(input_story_type="",TRUE,SUMPRODUCT(--ISNUMBER(SEARCH(","&amp;TRIM(TEXTSPLIT(IC127,","))&amp;",",","&amp;SUBSTITUTE(input_story_type," ","")&amp;",")))=0)),IF(IE127="",TRUE,IF(input_story_type="",FALSE,SUMPRODUCT(--ISNUMBER(SEARCH(","&amp;TRIM(TEXTSPLIT(IE127,","))&amp;",",","&amp;SUBSTITUTE(input_story_type," ","")&amp;",")))&gt;0)),IF(IG127="",TRUE,IF(input_story_type="",FALSE,SUMPRODUCT(--ISNUMBER(SEARCH(","&amp;TRIM(TEXTSPLIT(IG127,","))&amp;",",","&amp;SUBSTITUTE(input_story_type," ","")&amp;",")))=COUNTA(TEXTSPLIT(IG127,",")))))</f>
        <v/>
      </c>
      <c r="JQ127">
        <f>AND(IF(II127="",TRUE,IF(input_topics="",FALSE,SUMPRODUCT(--ISNUMBER(SEARCH(","&amp;TRIM(TEXTSPLIT(II127,","))&amp;",",","&amp;SUBSTITUTE(input_topics," ","")&amp;",")))&gt;0)),IF(IK127="",TRUE,IF(input_topics="",FALSE,SUMPRODUCT(--ISNUMBER(SEARCH(","&amp;TRIM(TEXTSPLIT(IK127,","))&amp;",",","&amp;SUBSTITUTE(input_topics," ","")&amp;",")))=COUNTA(TEXTSPLIT(IK127,",")))),IF(IM127="",TRUE,IF(input_topics="",TRUE,SUMPRODUCT(--ISNUMBER(SEARCH(","&amp;TRIM(TEXTSPLIT(IM127,","))&amp;",",","&amp;SUBSTITUTE(input_topics," ","")&amp;",")))=0)),IF(IO127="",TRUE,IF(input_topics="",FALSE,SUMPRODUCT(--ISNUMBER(SEARCH(","&amp;TRIM(TEXTSPLIT(IO127,","))&amp;",",","&amp;SUBSTITUTE(input_topics," ","")&amp;",")))&gt;0)),IF(IQ127="",TRUE,IF(input_topics="",FALSE,SUMPRODUCT(--ISNUMBER(SEARCH(","&amp;TRIM(TEXTSPLIT(IQ127,","))&amp;",",","&amp;SUBSTITUTE(input_topics," ","")&amp;",")))=COUNTA(TEXTSPLIT(IQ127,",")))))</f>
        <v/>
      </c>
    </row>
    <row r="128">
      <c r="A128" s="4">
        <f>IF(NOT(IS128),"Excluded",IF(AND(IT128,IU128,IV128,IW128,IX128,IY128,IZ128,JA128,JB128,JC128,JD128,JE128,JF128,JG128,JH128,JI128,JJ128,JK128,JL128,JM128,JN128,JO128,JP128,JQ128),IF(I128&gt;0,"Eligible but limited","Will appear"),"Excluded"))</f>
        <v/>
      </c>
      <c r="B128" s="4" t="inlineStr">
        <is>
          <t>MBA Blog &amp; News</t>
        </is>
      </c>
      <c r="C128" s="4" t="inlineStr">
        <is>
          <t>/programs/mba/blog-news</t>
        </is>
      </c>
      <c r="D128" s="4" t="inlineStr">
        <is>
          <t>/programs/mba/blog-news</t>
        </is>
      </c>
      <c r="E128" s="4" t="n">
        <v>1</v>
      </c>
      <c r="F128" s="4" t="inlineStr">
        <is>
          <t>story</t>
        </is>
      </c>
      <c r="G128" s="4" t="inlineStr">
        <is>
          <t>stories_list</t>
        </is>
      </c>
      <c r="H128" s="4" t="inlineStr">
        <is>
          <t>embed_1</t>
        </is>
      </c>
      <c r="I128" s="4" t="n">
        <v>10</v>
      </c>
      <c r="J128" s="4" t="inlineStr">
        <is>
          <t>Explicit args</t>
        </is>
      </c>
      <c r="K128" s="4" t="inlineStr">
        <is>
          <t>Page placement</t>
        </is>
      </c>
      <c r="L128" s="4" t="inlineStr">
        <is>
          <t>Content type: story; Context uses Courses Context: MBA (92), Programs (94), Residential master's programs (1571); Limited to 10 item(s); Source: Explicit args</t>
        </is>
      </c>
      <c r="M128" t="inlineStr"/>
      <c r="N128" t="inlineStr"/>
      <c r="O128" t="inlineStr"/>
      <c r="P128" t="inlineStr"/>
      <c r="Q128" t="inlineStr"/>
      <c r="R128" t="inlineStr"/>
      <c r="S128" t="inlineStr"/>
      <c r="T128" t="inlineStr"/>
      <c r="U128" t="inlineStr"/>
      <c r="V128" t="inlineStr"/>
      <c r="W128" t="inlineStr"/>
      <c r="X128" t="inlineStr"/>
      <c r="Y128" t="inlineStr"/>
      <c r="Z128" t="inlineStr"/>
      <c r="AA128" t="inlineStr"/>
      <c r="AB128" t="inlineStr"/>
      <c r="AC128" t="inlineStr"/>
      <c r="AD128" t="inlineStr"/>
      <c r="AE128" t="inlineStr"/>
      <c r="AF128" t="inlineStr"/>
      <c r="AG128" t="inlineStr"/>
      <c r="AH128" t="inlineStr"/>
      <c r="AI128" t="inlineStr"/>
      <c r="AJ128" t="inlineStr"/>
      <c r="AK128" t="inlineStr"/>
      <c r="AL128" t="inlineStr"/>
      <c r="AM128" t="inlineStr"/>
      <c r="AN128" t="inlineStr"/>
      <c r="AO128" t="inlineStr"/>
      <c r="AP128" t="inlineStr"/>
      <c r="AQ128" t="inlineStr"/>
      <c r="AR128" t="inlineStr"/>
      <c r="AS128" t="inlineStr"/>
      <c r="AT128" t="inlineStr"/>
      <c r="AU128" t="inlineStr"/>
      <c r="AV128" t="inlineStr"/>
      <c r="AW128" t="inlineStr"/>
      <c r="AX128" t="inlineStr"/>
      <c r="AY128" t="inlineStr"/>
      <c r="AZ128" t="inlineStr"/>
      <c r="BA128" t="inlineStr"/>
      <c r="BB128" t="inlineStr"/>
      <c r="BC128" t="inlineStr"/>
      <c r="BD128" t="inlineStr"/>
      <c r="BE128" t="inlineStr"/>
      <c r="BF128" t="inlineStr"/>
      <c r="BG128" t="inlineStr"/>
      <c r="BH128" t="inlineStr"/>
      <c r="BI128" t="inlineStr"/>
      <c r="BJ128" t="inlineStr"/>
      <c r="BK128" t="inlineStr"/>
      <c r="BL128" t="inlineStr"/>
      <c r="BM128" t="inlineStr"/>
      <c r="BN128" t="inlineStr"/>
      <c r="BO128" t="inlineStr"/>
      <c r="BP128" t="inlineStr"/>
      <c r="BQ128" t="inlineStr">
        <is>
          <t>92, 94, 1571</t>
        </is>
      </c>
      <c r="BR128" t="inlineStr">
        <is>
          <t>MBA (92), Programs (94), Residential master's programs (1571)</t>
        </is>
      </c>
      <c r="BS128" t="inlineStr"/>
      <c r="BT128" t="inlineStr"/>
      <c r="BU128" t="inlineStr"/>
      <c r="BV128" t="inlineStr"/>
      <c r="BW128" t="inlineStr"/>
      <c r="BX128" t="inlineStr"/>
      <c r="BY128" t="inlineStr"/>
      <c r="BZ128" t="inlineStr"/>
      <c r="CA128" t="inlineStr"/>
      <c r="CB128" t="inlineStr"/>
      <c r="CC128" t="inlineStr"/>
      <c r="CD128" t="inlineStr"/>
      <c r="CE128" t="inlineStr"/>
      <c r="CF128" t="inlineStr"/>
      <c r="CG128" t="inlineStr"/>
      <c r="CH128" t="inlineStr"/>
      <c r="CI128" t="inlineStr"/>
      <c r="CJ128" t="inlineStr"/>
      <c r="CK128" t="inlineStr"/>
      <c r="CL128" t="inlineStr"/>
      <c r="CM128" t="inlineStr"/>
      <c r="CN128" t="inlineStr"/>
      <c r="CO128" t="inlineStr"/>
      <c r="CP128" t="inlineStr"/>
      <c r="CQ128" t="inlineStr"/>
      <c r="CR128" t="inlineStr"/>
      <c r="CS128" t="inlineStr"/>
      <c r="CT128" t="inlineStr"/>
      <c r="CU128" t="inlineStr"/>
      <c r="CV128" t="inlineStr"/>
      <c r="CW128" t="inlineStr"/>
      <c r="CX128" t="inlineStr"/>
      <c r="CY128" t="inlineStr"/>
      <c r="CZ128" t="inlineStr"/>
      <c r="DA128" t="inlineStr"/>
      <c r="DB128" t="inlineStr"/>
      <c r="DC128" t="inlineStr"/>
      <c r="DD128" t="inlineStr"/>
      <c r="DE128" t="inlineStr"/>
      <c r="DF128" t="inlineStr"/>
      <c r="DG128" t="inlineStr"/>
      <c r="DH128" t="inlineStr"/>
      <c r="DI128" t="inlineStr"/>
      <c r="DJ128" t="inlineStr"/>
      <c r="DK128" t="inlineStr"/>
      <c r="DL128" t="inlineStr"/>
      <c r="DM128" t="inlineStr"/>
      <c r="DN128" t="inlineStr"/>
      <c r="DO128" t="inlineStr"/>
      <c r="DP128" t="inlineStr"/>
      <c r="DQ128" t="inlineStr"/>
      <c r="DR128" t="inlineStr"/>
      <c r="DS128" t="inlineStr"/>
      <c r="DT128" t="inlineStr"/>
      <c r="DU128" t="inlineStr"/>
      <c r="DV128" t="inlineStr"/>
      <c r="DW128" t="inlineStr"/>
      <c r="DX128" t="inlineStr"/>
      <c r="DY128" t="inlineStr"/>
      <c r="DZ128" t="inlineStr"/>
      <c r="EA128" t="inlineStr"/>
      <c r="EB128" t="inlineStr"/>
      <c r="EC128" t="inlineStr"/>
      <c r="ED128" t="inlineStr"/>
      <c r="EE128" t="inlineStr"/>
      <c r="EF128" t="inlineStr"/>
      <c r="EG128" t="inlineStr"/>
      <c r="EH128" t="inlineStr"/>
      <c r="EI128" t="inlineStr"/>
      <c r="EJ128" t="inlineStr"/>
      <c r="EK128" t="inlineStr"/>
      <c r="EL128" t="inlineStr"/>
      <c r="EM128" t="inlineStr"/>
      <c r="EN128" t="inlineStr"/>
      <c r="EO128" t="inlineStr"/>
      <c r="EP128" t="inlineStr"/>
      <c r="EQ128" t="inlineStr"/>
      <c r="ER128" t="inlineStr"/>
      <c r="ES128" t="inlineStr"/>
      <c r="ET128" t="inlineStr"/>
      <c r="EU128" t="inlineStr"/>
      <c r="EV128" t="inlineStr"/>
      <c r="EW128" t="inlineStr"/>
      <c r="EX128" t="inlineStr"/>
      <c r="EY128" t="inlineStr"/>
      <c r="EZ128" t="inlineStr"/>
      <c r="FA128" t="inlineStr"/>
      <c r="FB128" t="inlineStr"/>
      <c r="FC128" t="inlineStr"/>
      <c r="FD128" t="inlineStr"/>
      <c r="FE128" t="inlineStr"/>
      <c r="FF128" t="inlineStr"/>
      <c r="FG128" t="inlineStr"/>
      <c r="FH128" t="inlineStr"/>
      <c r="FI128" t="inlineStr"/>
      <c r="FJ128" t="inlineStr"/>
      <c r="FK128" t="inlineStr"/>
      <c r="FL128" t="inlineStr"/>
      <c r="FM128" t="inlineStr"/>
      <c r="FN128" t="inlineStr"/>
      <c r="FO128" t="inlineStr"/>
      <c r="FP128" t="inlineStr"/>
      <c r="FQ128" t="inlineStr"/>
      <c r="FR128" t="inlineStr"/>
      <c r="FS128" t="inlineStr"/>
      <c r="FT128" t="inlineStr"/>
      <c r="FU128" t="inlineStr"/>
      <c r="FV128" t="inlineStr"/>
      <c r="FW128" t="inlineStr"/>
      <c r="FX128" t="inlineStr"/>
      <c r="FY128" t="inlineStr"/>
      <c r="FZ128" t="inlineStr"/>
      <c r="GA128" t="inlineStr"/>
      <c r="GB128" t="inlineStr"/>
      <c r="GC128" t="inlineStr"/>
      <c r="GD128" t="inlineStr"/>
      <c r="GE128" t="inlineStr"/>
      <c r="GF128" t="inlineStr"/>
      <c r="GG128" t="inlineStr"/>
      <c r="GH128" t="inlineStr"/>
      <c r="GI128" t="inlineStr"/>
      <c r="GJ128" t="inlineStr"/>
      <c r="GK128" t="inlineStr"/>
      <c r="GL128" t="inlineStr"/>
      <c r="GM128" t="inlineStr"/>
      <c r="GN128" t="inlineStr"/>
      <c r="GO128" t="inlineStr"/>
      <c r="GP128" t="inlineStr"/>
      <c r="GQ128" t="inlineStr"/>
      <c r="GR128" t="inlineStr"/>
      <c r="GS128" t="inlineStr"/>
      <c r="GT128" t="inlineStr"/>
      <c r="GU128" t="inlineStr"/>
      <c r="GV128" t="inlineStr"/>
      <c r="GW128" t="inlineStr"/>
      <c r="GX128" t="inlineStr"/>
      <c r="GY128" t="inlineStr"/>
      <c r="GZ128" t="inlineStr"/>
      <c r="HA128" t="inlineStr"/>
      <c r="HB128" t="inlineStr"/>
      <c r="HC128" t="inlineStr"/>
      <c r="HD128" t="inlineStr"/>
      <c r="HE128" t="inlineStr"/>
      <c r="HF128" t="inlineStr"/>
      <c r="HG128" t="inlineStr"/>
      <c r="HH128" t="inlineStr"/>
      <c r="HI128" t="inlineStr"/>
      <c r="HJ128" t="inlineStr"/>
      <c r="HK128" t="inlineStr"/>
      <c r="HL128" t="inlineStr"/>
      <c r="HM128" t="inlineStr"/>
      <c r="HN128" t="inlineStr"/>
      <c r="HO128" t="inlineStr"/>
      <c r="HP128" t="inlineStr"/>
      <c r="HQ128" t="inlineStr"/>
      <c r="HR128" t="inlineStr"/>
      <c r="HS128" t="inlineStr"/>
      <c r="HT128" t="inlineStr"/>
      <c r="HU128" t="inlineStr"/>
      <c r="HV128" t="inlineStr"/>
      <c r="HW128" t="inlineStr"/>
      <c r="HX128" t="inlineStr"/>
      <c r="HY128" t="inlineStr"/>
      <c r="HZ128" t="inlineStr"/>
      <c r="IA128" t="inlineStr"/>
      <c r="IB128" t="inlineStr"/>
      <c r="IC128" t="inlineStr"/>
      <c r="ID128" t="inlineStr"/>
      <c r="IE128" t="inlineStr"/>
      <c r="IF128" t="inlineStr"/>
      <c r="IG128" t="inlineStr"/>
      <c r="IH128" t="inlineStr"/>
      <c r="II128" t="inlineStr"/>
      <c r="IJ128" t="inlineStr"/>
      <c r="IK128" t="inlineStr"/>
      <c r="IL128" t="inlineStr"/>
      <c r="IM128" t="inlineStr"/>
      <c r="IN128" t="inlineStr"/>
      <c r="IO128" t="inlineStr"/>
      <c r="IP128" t="inlineStr"/>
      <c r="IQ128" t="inlineStr"/>
      <c r="IR128" t="inlineStr"/>
      <c r="IS128">
        <f>IF(input_content_type="",FALSE,ISNUMBER(SEARCH(","&amp;LOWER(input_content_type)&amp;",",","&amp;LOWER(F128)&amp;",")))</f>
        <v/>
      </c>
      <c r="IT128">
        <f>AND(IF(M128="",TRUE,IF(input_affiliations="",FALSE,SUMPRODUCT(--ISNUMBER(SEARCH(","&amp;TRIM(TEXTSPLIT(M128,","))&amp;",",","&amp;SUBSTITUTE(input_affiliations," ","")&amp;",")))&gt;0)),IF(O128="",TRUE,IF(input_affiliations="",FALSE,SUMPRODUCT(--ISNUMBER(SEARCH(","&amp;TRIM(TEXTSPLIT(O128,","))&amp;",",","&amp;SUBSTITUTE(input_affiliations," ","")&amp;",")))=COUNTA(TEXTSPLIT(O128,",")))),IF(Q128="",TRUE,IF(input_affiliations="",TRUE,SUMPRODUCT(--ISNUMBER(SEARCH(","&amp;TRIM(TEXTSPLIT(Q128,","))&amp;",",","&amp;SUBSTITUTE(input_affiliations," ","")&amp;",")))=0)),IF(S128="",TRUE,IF(input_affiliations="",FALSE,SUMPRODUCT(--ISNUMBER(SEARCH(","&amp;TRIM(TEXTSPLIT(S128,","))&amp;",",","&amp;SUBSTITUTE(input_affiliations," ","")&amp;",")))&gt;0)),IF(U128="",TRUE,IF(input_affiliations="",FALSE,SUMPRODUCT(--ISNUMBER(SEARCH(","&amp;TRIM(TEXTSPLIT(U128,","))&amp;",",","&amp;SUBSTITUTE(input_affiliations," ","")&amp;",")))=COUNTA(TEXTSPLIT(U128,",")))))</f>
        <v/>
      </c>
      <c r="IU128">
        <f>AND(IF(W128="",TRUE,IF(input_announcement_category="",FALSE,SUMPRODUCT(--ISNUMBER(SEARCH(","&amp;TRIM(TEXTSPLIT(W128,","))&amp;",",","&amp;SUBSTITUTE(input_announcement_category," ","")&amp;",")))&gt;0)),IF(Y128="",TRUE,IF(input_announcement_category="",FALSE,SUMPRODUCT(--ISNUMBER(SEARCH(","&amp;TRIM(TEXTSPLIT(Y128,","))&amp;",",","&amp;SUBSTITUTE(input_announcement_category," ","")&amp;",")))=COUNTA(TEXTSPLIT(Y128,",")))),IF(AA128="",TRUE,IF(input_announcement_category="",TRUE,SUMPRODUCT(--ISNUMBER(SEARCH(","&amp;TRIM(TEXTSPLIT(AA128,","))&amp;",",","&amp;SUBSTITUTE(input_announcement_category," ","")&amp;",")))=0)),IF(AC128="",TRUE,IF(input_announcement_category="",FALSE,SUMPRODUCT(--ISNUMBER(SEARCH(","&amp;TRIM(TEXTSPLIT(AC128,","))&amp;",",","&amp;SUBSTITUTE(input_announcement_category," ","")&amp;",")))&gt;0)),IF(AE128="",TRUE,IF(input_announcement_category="",FALSE,SUMPRODUCT(--ISNUMBER(SEARCH(","&amp;TRIM(TEXTSPLIT(AE128,","))&amp;",",","&amp;SUBSTITUTE(input_announcement_category," ","")&amp;",")))=COUNTA(TEXTSPLIT(AE128,",")))))</f>
        <v/>
      </c>
      <c r="IV128">
        <f>AND(IF(AG128="",TRUE,IF(input_area_of_focus="",FALSE,SUMPRODUCT(--ISNUMBER(SEARCH(","&amp;TRIM(TEXTSPLIT(AG128,","))&amp;",",","&amp;SUBSTITUTE(input_area_of_focus," ","")&amp;",")))&gt;0)),IF(AI128="",TRUE,IF(input_area_of_focus="",FALSE,SUMPRODUCT(--ISNUMBER(SEARCH(","&amp;TRIM(TEXTSPLIT(AI128,","))&amp;",",","&amp;SUBSTITUTE(input_area_of_focus," ","")&amp;",")))=COUNTA(TEXTSPLIT(AI128,",")))),IF(AK128="",TRUE,IF(input_area_of_focus="",TRUE,SUMPRODUCT(--ISNUMBER(SEARCH(","&amp;TRIM(TEXTSPLIT(AK128,","))&amp;",",","&amp;SUBSTITUTE(input_area_of_focus," ","")&amp;",")))=0)),IF(AM128="",TRUE,IF(input_area_of_focus="",FALSE,SUMPRODUCT(--ISNUMBER(SEARCH(","&amp;TRIM(TEXTSPLIT(AM128,","))&amp;",",","&amp;SUBSTITUTE(input_area_of_focus," ","")&amp;",")))&gt;0)),IF(AO128="",TRUE,IF(input_area_of_focus="",FALSE,SUMPRODUCT(--ISNUMBER(SEARCH(","&amp;TRIM(TEXTSPLIT(AO128,","))&amp;",",","&amp;SUBSTITUTE(input_area_of_focus," ","")&amp;",")))=COUNTA(TEXTSPLIT(AO128,",")))))</f>
        <v/>
      </c>
      <c r="IW128">
        <f>AND(IF(AQ128="",TRUE,IF(input_audience="",FALSE,SUMPRODUCT(--ISNUMBER(SEARCH(","&amp;TRIM(TEXTSPLIT(AQ128,","))&amp;",",","&amp;SUBSTITUTE(input_audience," ","")&amp;",")))&gt;0)),IF(AS128="",TRUE,IF(input_audience="",FALSE,SUMPRODUCT(--ISNUMBER(SEARCH(","&amp;TRIM(TEXTSPLIT(AS128,","))&amp;",",","&amp;SUBSTITUTE(input_audience," ","")&amp;",")))=COUNTA(TEXTSPLIT(AS128,",")))),IF(AU128="",TRUE,IF(input_audience="",TRUE,SUMPRODUCT(--ISNUMBER(SEARCH(","&amp;TRIM(TEXTSPLIT(AU128,","))&amp;",",","&amp;SUBSTITUTE(input_audience," ","")&amp;",")))=0)),IF(AW128="",TRUE,IF(input_audience="",FALSE,SUMPRODUCT(--ISNUMBER(SEARCH(","&amp;TRIM(TEXTSPLIT(AW128,","))&amp;",",","&amp;SUBSTITUTE(input_audience," ","")&amp;",")))&gt;0)),IF(AY128="",TRUE,IF(input_audience="",FALSE,SUMPRODUCT(--ISNUMBER(SEARCH(","&amp;TRIM(TEXTSPLIT(AY128,","))&amp;",",","&amp;SUBSTITUTE(input_audience," ","")&amp;",")))=COUNTA(TEXTSPLIT(AY128,",")))))</f>
        <v/>
      </c>
      <c r="IX128">
        <f>AND(IF(BA128="",TRUE,IF(input_challenge_opportunities="",FALSE,SUMPRODUCT(--ISNUMBER(SEARCH(","&amp;TRIM(TEXTSPLIT(BA128,","))&amp;",",","&amp;SUBSTITUTE(input_challenge_opportunities," ","")&amp;",")))&gt;0)),IF(BC128="",TRUE,IF(input_challenge_opportunities="",FALSE,SUMPRODUCT(--ISNUMBER(SEARCH(","&amp;TRIM(TEXTSPLIT(BC128,","))&amp;",",","&amp;SUBSTITUTE(input_challenge_opportunities," ","")&amp;",")))=COUNTA(TEXTSPLIT(BC128,",")))),IF(BE128="",TRUE,IF(input_challenge_opportunities="",TRUE,SUMPRODUCT(--ISNUMBER(SEARCH(","&amp;TRIM(TEXTSPLIT(BE128,","))&amp;",",","&amp;SUBSTITUTE(input_challenge_opportunities," ","")&amp;",")))=0)),IF(BG128="",TRUE,IF(input_challenge_opportunities="",FALSE,SUMPRODUCT(--ISNUMBER(SEARCH(","&amp;TRIM(TEXTSPLIT(BG128,","))&amp;",",","&amp;SUBSTITUTE(input_challenge_opportunities," ","")&amp;",")))&gt;0)),IF(BI128="",TRUE,IF(input_challenge_opportunities="",FALSE,SUMPRODUCT(--ISNUMBER(SEARCH(","&amp;TRIM(TEXTSPLIT(BI128,","))&amp;",",","&amp;SUBSTITUTE(input_challenge_opportunities," ","")&amp;",")))=COUNTA(TEXTSPLIT(BI128,",")))))</f>
        <v/>
      </c>
      <c r="IY128">
        <f>AND(IF(BK128="",TRUE,IF(input_context="",FALSE,SUMPRODUCT(--ISNUMBER(SEARCH(","&amp;TRIM(TEXTSPLIT(BK128,","))&amp;",",","&amp;SUBSTITUTE(input_context," ","")&amp;",")))&gt;0)),IF(BM128="",TRUE,IF(input_context="",FALSE,SUMPRODUCT(--ISNUMBER(SEARCH(","&amp;TRIM(TEXTSPLIT(BM128,","))&amp;",",","&amp;SUBSTITUTE(input_context," ","")&amp;",")))=COUNTA(TEXTSPLIT(BM128,",")))),IF(BO128="",TRUE,IF(input_context="",TRUE,SUMPRODUCT(--ISNUMBER(SEARCH(","&amp;TRIM(TEXTSPLIT(BO128,","))&amp;",",","&amp;SUBSTITUTE(input_context," ","")&amp;",")))=0)),IF(BQ128="",TRUE,IF(input_context="",FALSE,SUMPRODUCT(--ISNUMBER(SEARCH(","&amp;TRIM(TEXTSPLIT(BQ128,","))&amp;",",","&amp;SUBSTITUTE(input_context," ","")&amp;",")))&gt;0)),IF(BS128="",TRUE,IF(input_context="",FALSE,SUMPRODUCT(--ISNUMBER(SEARCH(","&amp;TRIM(TEXTSPLIT(BS128,","))&amp;",",","&amp;SUBSTITUTE(input_context," ","")&amp;",")))=COUNTA(TEXTSPLIT(BS128,",")))))</f>
        <v/>
      </c>
      <c r="IZ128">
        <f>AND(IF(BU128="",TRUE,IF(input_enews_announcement_type="",FALSE,SUMPRODUCT(--ISNUMBER(SEARCH(","&amp;TRIM(TEXTSPLIT(BU128,","))&amp;",",","&amp;SUBSTITUTE(input_enews_announcement_type," ","")&amp;",")))&gt;0)),IF(BW128="",TRUE,IF(input_enews_announcement_type="",FALSE,SUMPRODUCT(--ISNUMBER(SEARCH(","&amp;TRIM(TEXTSPLIT(BW128,","))&amp;",",","&amp;SUBSTITUTE(input_enews_announcement_type," ","")&amp;",")))=COUNTA(TEXTSPLIT(BW128,",")))),IF(BY128="",TRUE,IF(input_enews_announcement_type="",TRUE,SUMPRODUCT(--ISNUMBER(SEARCH(","&amp;TRIM(TEXTSPLIT(BY128,","))&amp;",",","&amp;SUBSTITUTE(input_enews_announcement_type," ","")&amp;",")))=0)),IF(CA128="",TRUE,IF(input_enews_announcement_type="",FALSE,SUMPRODUCT(--ISNUMBER(SEARCH(","&amp;TRIM(TEXTSPLIT(CA128,","))&amp;",",","&amp;SUBSTITUTE(input_enews_announcement_type," ","")&amp;",")))&gt;0)),IF(CC128="",TRUE,IF(input_enews_announcement_type="",FALSE,SUMPRODUCT(--ISNUMBER(SEARCH(","&amp;TRIM(TEXTSPLIT(CC128,","))&amp;",",","&amp;SUBSTITUTE(input_enews_announcement_type," ","")&amp;",")))=COUNTA(TEXTSPLIT(CC128,",")))))</f>
        <v/>
      </c>
      <c r="JA128">
        <f>AND(IF(CE128="",TRUE,IF(input_enews_audience="",FALSE,SUMPRODUCT(--ISNUMBER(SEARCH(","&amp;TRIM(TEXTSPLIT(CE128,","))&amp;",",","&amp;SUBSTITUTE(input_enews_audience," ","")&amp;",")))&gt;0)),IF(CG128="",TRUE,IF(input_enews_audience="",FALSE,SUMPRODUCT(--ISNUMBER(SEARCH(","&amp;TRIM(TEXTSPLIT(CG128,","))&amp;",",","&amp;SUBSTITUTE(input_enews_audience," ","")&amp;",")))=COUNTA(TEXTSPLIT(CG128,",")))),IF(CI128="",TRUE,IF(input_enews_audience="",TRUE,SUMPRODUCT(--ISNUMBER(SEARCH(","&amp;TRIM(TEXTSPLIT(CI128,","))&amp;",",","&amp;SUBSTITUTE(input_enews_audience," ","")&amp;",")))=0)),IF(CK128="",TRUE,IF(input_enews_audience="",FALSE,SUMPRODUCT(--ISNUMBER(SEARCH(","&amp;TRIM(TEXTSPLIT(CK128,","))&amp;",",","&amp;SUBSTITUTE(input_enews_audience," ","")&amp;",")))&gt;0)),IF(CM128="",TRUE,IF(input_enews_audience="",FALSE,SUMPRODUCT(--ISNUMBER(SEARCH(","&amp;TRIM(TEXTSPLIT(CM128,","))&amp;",",","&amp;SUBSTITUTE(input_enews_audience," ","")&amp;",")))=COUNTA(TEXTSPLIT(CM128,",")))))</f>
        <v/>
      </c>
      <c r="JB128">
        <f>AND(IF(CO128="",TRUE,IF(input_event_location="",FALSE,SUMPRODUCT(--ISNUMBER(SEARCH(","&amp;TRIM(TEXTSPLIT(CO128,","))&amp;",",","&amp;SUBSTITUTE(input_event_location," ","")&amp;",")))&gt;0)),IF(CQ128="",TRUE,IF(input_event_location="",FALSE,SUMPRODUCT(--ISNUMBER(SEARCH(","&amp;TRIM(TEXTSPLIT(CQ128,","))&amp;",",","&amp;SUBSTITUTE(input_event_location," ","")&amp;",")))=COUNTA(TEXTSPLIT(CQ128,",")))),IF(CS128="",TRUE,IF(input_event_location="",TRUE,SUMPRODUCT(--ISNUMBER(SEARCH(","&amp;TRIM(TEXTSPLIT(CS128,","))&amp;",",","&amp;SUBSTITUTE(input_event_location," ","")&amp;",")))=0)),IF(CU128="",TRUE,IF(input_event_location="",FALSE,SUMPRODUCT(--ISNUMBER(SEARCH(","&amp;TRIM(TEXTSPLIT(CU128,","))&amp;",",","&amp;SUBSTITUTE(input_event_location," ","")&amp;",")))&gt;0)),IF(CW128="",TRUE,IF(input_event_location="",FALSE,SUMPRODUCT(--ISNUMBER(SEARCH(","&amp;TRIM(TEXTSPLIT(CW128,","))&amp;",",","&amp;SUBSTITUTE(input_event_location," ","")&amp;",")))=COUNTA(TEXTSPLIT(CW128,",")))))</f>
        <v/>
      </c>
      <c r="JC128">
        <f>AND(IF(CY128="",TRUE,IF(input_event_type="",FALSE,SUMPRODUCT(--ISNUMBER(SEARCH(","&amp;TRIM(TEXTSPLIT(CY128,","))&amp;",",","&amp;SUBSTITUTE(input_event_type," ","")&amp;",")))&gt;0)),IF(DA128="",TRUE,IF(input_event_type="",FALSE,SUMPRODUCT(--ISNUMBER(SEARCH(","&amp;TRIM(TEXTSPLIT(DA128,","))&amp;",",","&amp;SUBSTITUTE(input_event_type," ","")&amp;",")))=COUNTA(TEXTSPLIT(DA128,",")))),IF(DC128="",TRUE,IF(input_event_type="",TRUE,SUMPRODUCT(--ISNUMBER(SEARCH(","&amp;TRIM(TEXTSPLIT(DC128,","))&amp;",",","&amp;SUBSTITUTE(input_event_type," ","")&amp;",")))=0)),IF(DE128="",TRUE,IF(input_event_type="",FALSE,SUMPRODUCT(--ISNUMBER(SEARCH(","&amp;TRIM(TEXTSPLIT(DE128,","))&amp;",",","&amp;SUBSTITUTE(input_event_type," ","")&amp;",")))&gt;0)),IF(DG128="",TRUE,IF(input_event_type="",FALSE,SUMPRODUCT(--ISNUMBER(SEARCH(","&amp;TRIM(TEXTSPLIT(DG128,","))&amp;",",","&amp;SUBSTITUTE(input_event_type," ","")&amp;",")))=COUNTA(TEXTSPLIT(DG128,",")))))</f>
        <v/>
      </c>
      <c r="JD128">
        <f>AND(IF(DI128="",TRUE,IF(input_executive_education_focus="",FALSE,SUMPRODUCT(--ISNUMBER(SEARCH(","&amp;TRIM(TEXTSPLIT(DI128,","))&amp;",",","&amp;SUBSTITUTE(input_executive_education_focus," ","")&amp;",")))&gt;0)),IF(DK128="",TRUE,IF(input_executive_education_focus="",FALSE,SUMPRODUCT(--ISNUMBER(SEARCH(","&amp;TRIM(TEXTSPLIT(DK128,","))&amp;",",","&amp;SUBSTITUTE(input_executive_education_focus," ","")&amp;",")))=COUNTA(TEXTSPLIT(DK128,",")))),IF(DM128="",TRUE,IF(input_executive_education_focus="",TRUE,SUMPRODUCT(--ISNUMBER(SEARCH(","&amp;TRIM(TEXTSPLIT(DM128,","))&amp;",",","&amp;SUBSTITUTE(input_executive_education_focus," ","")&amp;",")))=0)),IF(DO128="",TRUE,IF(input_executive_education_focus="",FALSE,SUMPRODUCT(--ISNUMBER(SEARCH(","&amp;TRIM(TEXTSPLIT(DO128,","))&amp;",",","&amp;SUBSTITUTE(input_executive_education_focus," ","")&amp;",")))&gt;0)),IF(DQ128="",TRUE,IF(input_executive_education_focus="",FALSE,SUMPRODUCT(--ISNUMBER(SEARCH(","&amp;TRIM(TEXTSPLIT(DQ128,","))&amp;",",","&amp;SUBSTITUTE(input_executive_education_focus," ","")&amp;",")))=COUNTA(TEXTSPLIT(DQ128,",")))))</f>
        <v/>
      </c>
      <c r="JE128">
        <f>AND(IF(DS128="",TRUE,IF(input_faculty_category="",FALSE,SUMPRODUCT(--ISNUMBER(SEARCH(","&amp;TRIM(TEXTSPLIT(DS128,","))&amp;",",","&amp;SUBSTITUTE(input_faculty_category," ","")&amp;",")))&gt;0)),IF(DU128="",TRUE,IF(input_faculty_category="",FALSE,SUMPRODUCT(--ISNUMBER(SEARCH(","&amp;TRIM(TEXTSPLIT(DU128,","))&amp;",",","&amp;SUBSTITUTE(input_faculty_category," ","")&amp;",")))=COUNTA(TEXTSPLIT(DU128,",")))),IF(DW128="",TRUE,IF(input_faculty_category="",TRUE,SUMPRODUCT(--ISNUMBER(SEARCH(","&amp;TRIM(TEXTSPLIT(DW128,","))&amp;",",","&amp;SUBSTITUTE(input_faculty_category," ","")&amp;",")))=0)),IF(DY128="",TRUE,IF(input_faculty_category="",FALSE,SUMPRODUCT(--ISNUMBER(SEARCH(","&amp;TRIM(TEXTSPLIT(DY128,","))&amp;",",","&amp;SUBSTITUTE(input_faculty_category," ","")&amp;",")))&gt;0)),IF(EA128="",TRUE,IF(input_faculty_category="",FALSE,SUMPRODUCT(--ISNUMBER(SEARCH(","&amp;TRIM(TEXTSPLIT(EA128,","))&amp;",",","&amp;SUBSTITUTE(input_faculty_category," ","")&amp;",")))=COUNTA(TEXTSPLIT(EA128,",")))))</f>
        <v/>
      </c>
      <c r="JF128">
        <f>AND(IF(EC128="",TRUE,IF(input_faculty_discipline="",FALSE,SUMPRODUCT(--ISNUMBER(SEARCH(","&amp;TRIM(TEXTSPLIT(EC128,","))&amp;",",","&amp;SUBSTITUTE(input_faculty_discipline," ","")&amp;",")))&gt;0)),IF(EE128="",TRUE,IF(input_faculty_discipline="",FALSE,SUMPRODUCT(--ISNUMBER(SEARCH(","&amp;TRIM(TEXTSPLIT(EE128,","))&amp;",",","&amp;SUBSTITUTE(input_faculty_discipline," ","")&amp;",")))=COUNTA(TEXTSPLIT(EE128,",")))),IF(EG128="",TRUE,IF(input_faculty_discipline="",TRUE,SUMPRODUCT(--ISNUMBER(SEARCH(","&amp;TRIM(TEXTSPLIT(EG128,","))&amp;",",","&amp;SUBSTITUTE(input_faculty_discipline," ","")&amp;",")))=0)),IF(EI128="",TRUE,IF(input_faculty_discipline="",FALSE,SUMPRODUCT(--ISNUMBER(SEARCH(","&amp;TRIM(TEXTSPLIT(EI128,","))&amp;",",","&amp;SUBSTITUTE(input_faculty_discipline," ","")&amp;",")))&gt;0)),IF(EK128="",TRUE,IF(input_faculty_discipline="",FALSE,SUMPRODUCT(--ISNUMBER(SEARCH(","&amp;TRIM(TEXTSPLIT(EK128,","))&amp;",",","&amp;SUBSTITUTE(input_faculty_discipline," ","")&amp;",")))=COUNTA(TEXTSPLIT(EK128,",")))))</f>
        <v/>
      </c>
      <c r="JG128">
        <f>AND(IF(EM128="",TRUE,IF(input_faculty_expertise="",FALSE,SUMPRODUCT(--ISNUMBER(SEARCH(","&amp;TRIM(TEXTSPLIT(EM128,","))&amp;",",","&amp;SUBSTITUTE(input_faculty_expertise," ","")&amp;",")))&gt;0)),IF(EO128="",TRUE,IF(input_faculty_expertise="",FALSE,SUMPRODUCT(--ISNUMBER(SEARCH(","&amp;TRIM(TEXTSPLIT(EO128,","))&amp;",",","&amp;SUBSTITUTE(input_faculty_expertise," ","")&amp;",")))=COUNTA(TEXTSPLIT(EO128,",")))),IF(EQ128="",TRUE,IF(input_faculty_expertise="",TRUE,SUMPRODUCT(--ISNUMBER(SEARCH(","&amp;TRIM(TEXTSPLIT(EQ128,","))&amp;",",","&amp;SUBSTITUTE(input_faculty_expertise," ","")&amp;",")))=0)),IF(ES128="",TRUE,IF(input_faculty_expertise="",FALSE,SUMPRODUCT(--ISNUMBER(SEARCH(","&amp;TRIM(TEXTSPLIT(ES128,","))&amp;",",","&amp;SUBSTITUTE(input_faculty_expertise," ","")&amp;",")))&gt;0)),IF(EU128="",TRUE,IF(input_faculty_expertise="",FALSE,SUMPRODUCT(--ISNUMBER(SEARCH(","&amp;TRIM(TEXTSPLIT(EU128,","))&amp;",",","&amp;SUBSTITUTE(input_faculty_expertise," ","")&amp;",")))=COUNTA(TEXTSPLIT(EU128,",")))))</f>
        <v/>
      </c>
      <c r="JH128">
        <f>AND(IF(EW128="",TRUE,IF(input_global_network_school="",FALSE,SUMPRODUCT(--ISNUMBER(SEARCH(","&amp;TRIM(TEXTSPLIT(EW128,","))&amp;",",","&amp;SUBSTITUTE(input_global_network_school," ","")&amp;",")))&gt;0)),IF(EY128="",TRUE,IF(input_global_network_school="",FALSE,SUMPRODUCT(--ISNUMBER(SEARCH(","&amp;TRIM(TEXTSPLIT(EY128,","))&amp;",",","&amp;SUBSTITUTE(input_global_network_school," ","")&amp;",")))=COUNTA(TEXTSPLIT(EY128,",")))),IF(FA128="",TRUE,IF(input_global_network_school="",TRUE,SUMPRODUCT(--ISNUMBER(SEARCH(","&amp;TRIM(TEXTSPLIT(FA128,","))&amp;",",","&amp;SUBSTITUTE(input_global_network_school," ","")&amp;",")))=0)),IF(FC128="",TRUE,IF(input_global_network_school="",FALSE,SUMPRODUCT(--ISNUMBER(SEARCH(","&amp;TRIM(TEXTSPLIT(FC128,","))&amp;",",","&amp;SUBSTITUTE(input_global_network_school," ","")&amp;",")))&gt;0)),IF(FE128="",TRUE,IF(input_global_network_school="",FALSE,SUMPRODUCT(--ISNUMBER(SEARCH(","&amp;TRIM(TEXTSPLIT(FE128,","))&amp;",",","&amp;SUBSTITUTE(input_global_network_school," ","")&amp;",")))=COUNTA(TEXTSPLIT(FE128,",")))))</f>
        <v/>
      </c>
      <c r="JI128">
        <f>AND(IF(FG128="",TRUE,IF(input_industry="",FALSE,SUMPRODUCT(--ISNUMBER(SEARCH(","&amp;TRIM(TEXTSPLIT(FG128,","))&amp;",",","&amp;SUBSTITUTE(input_industry," ","")&amp;",")))&gt;0)),IF(FI128="",TRUE,IF(input_industry="",FALSE,SUMPRODUCT(--ISNUMBER(SEARCH(","&amp;TRIM(TEXTSPLIT(FI128,","))&amp;",",","&amp;SUBSTITUTE(input_industry," ","")&amp;",")))=COUNTA(TEXTSPLIT(FI128,",")))),IF(FK128="",TRUE,IF(input_industry="",TRUE,SUMPRODUCT(--ISNUMBER(SEARCH(","&amp;TRIM(TEXTSPLIT(FK128,","))&amp;",",","&amp;SUBSTITUTE(input_industry," ","")&amp;",")))=0)),IF(FM128="",TRUE,IF(input_industry="",FALSE,SUMPRODUCT(--ISNUMBER(SEARCH(","&amp;TRIM(TEXTSPLIT(FM128,","))&amp;",",","&amp;SUBSTITUTE(input_industry," ","")&amp;",")))&gt;0)),IF(FO128="",TRUE,IF(input_industry="",FALSE,SUMPRODUCT(--ISNUMBER(SEARCH(","&amp;TRIM(TEXTSPLIT(FO128,","))&amp;",",","&amp;SUBSTITUTE(input_industry," ","")&amp;",")))=COUNTA(TEXTSPLIT(FO128,",")))))</f>
        <v/>
      </c>
      <c r="JJ128">
        <f>AND(IF(FQ128="",TRUE,IF(input_location="",FALSE,SUMPRODUCT(--ISNUMBER(SEARCH(","&amp;TRIM(TEXTSPLIT(FQ128,","))&amp;",",","&amp;SUBSTITUTE(input_location," ","")&amp;",")))&gt;0)),IF(FS128="",TRUE,IF(input_location="",FALSE,SUMPRODUCT(--ISNUMBER(SEARCH(","&amp;TRIM(TEXTSPLIT(FS128,","))&amp;",",","&amp;SUBSTITUTE(input_location," ","")&amp;",")))=COUNTA(TEXTSPLIT(FS128,",")))),IF(FU128="",TRUE,IF(input_location="",TRUE,SUMPRODUCT(--ISNUMBER(SEARCH(","&amp;TRIM(TEXTSPLIT(FU128,","))&amp;",",","&amp;SUBSTITUTE(input_location," ","")&amp;",")))=0)),IF(FW128="",TRUE,IF(input_location="",FALSE,SUMPRODUCT(--ISNUMBER(SEARCH(","&amp;TRIM(TEXTSPLIT(FW128,","))&amp;",",","&amp;SUBSTITUTE(input_location," ","")&amp;",")))&gt;0)),IF(FY128="",TRUE,IF(input_location="",FALSE,SUMPRODUCT(--ISNUMBER(SEARCH(","&amp;TRIM(TEXTSPLIT(FY128,","))&amp;",",","&amp;SUBSTITUTE(input_location," ","")&amp;",")))=COUNTA(TEXTSPLIT(FY128,",")))))</f>
        <v/>
      </c>
      <c r="JK128">
        <f>AND(IF(GA128="",TRUE,IF(input_modality="",FALSE,SUMPRODUCT(--ISNUMBER(SEARCH(","&amp;TRIM(TEXTSPLIT(GA128,","))&amp;",",","&amp;SUBSTITUTE(input_modality," ","")&amp;",")))&gt;0)),IF(GC128="",TRUE,IF(input_modality="",FALSE,SUMPRODUCT(--ISNUMBER(SEARCH(","&amp;TRIM(TEXTSPLIT(GC128,","))&amp;",",","&amp;SUBSTITUTE(input_modality," ","")&amp;",")))=COUNTA(TEXTSPLIT(GC128,",")))),IF(GE128="",TRUE,IF(input_modality="",TRUE,SUMPRODUCT(--ISNUMBER(SEARCH(","&amp;TRIM(TEXTSPLIT(GE128,","))&amp;",",","&amp;SUBSTITUTE(input_modality," ","")&amp;",")))=0)),IF(GG128="",TRUE,IF(input_modality="",FALSE,SUMPRODUCT(--ISNUMBER(SEARCH(","&amp;TRIM(TEXTSPLIT(GG128,","))&amp;",",","&amp;SUBSTITUTE(input_modality," ","")&amp;",")))&gt;0)),IF(GI128="",TRUE,IF(input_modality="",FALSE,SUMPRODUCT(--ISNUMBER(SEARCH(","&amp;TRIM(TEXTSPLIT(GI128,","))&amp;",",","&amp;SUBSTITUTE(input_modality," ","")&amp;",")))=COUNTA(TEXTSPLIT(GI128,",")))))</f>
        <v/>
      </c>
      <c r="JL128">
        <f>AND(IF(GK128="",TRUE,IF(input_organizer="",FALSE,SUMPRODUCT(--ISNUMBER(SEARCH(","&amp;TRIM(TEXTSPLIT(GK128,","))&amp;",",","&amp;SUBSTITUTE(input_organizer," ","")&amp;",")))&gt;0)),IF(GM128="",TRUE,IF(input_organizer="",FALSE,SUMPRODUCT(--ISNUMBER(SEARCH(","&amp;TRIM(TEXTSPLIT(GM128,","))&amp;",",","&amp;SUBSTITUTE(input_organizer," ","")&amp;",")))=COUNTA(TEXTSPLIT(GM128,",")))),IF(GO128="",TRUE,IF(input_organizer="",TRUE,SUMPRODUCT(--ISNUMBER(SEARCH(","&amp;TRIM(TEXTSPLIT(GO128,","))&amp;",",","&amp;SUBSTITUTE(input_organizer," ","")&amp;",")))=0)),IF(GQ128="",TRUE,IF(input_organizer="",FALSE,SUMPRODUCT(--ISNUMBER(SEARCH(","&amp;TRIM(TEXTSPLIT(GQ128,","))&amp;",",","&amp;SUBSTITUTE(input_organizer," ","")&amp;",")))&gt;0)),IF(GS128="",TRUE,IF(input_organizer="",FALSE,SUMPRODUCT(--ISNUMBER(SEARCH(","&amp;TRIM(TEXTSPLIT(GS128,","))&amp;",",","&amp;SUBSTITUTE(input_organizer," ","")&amp;",")))=COUNTA(TEXTSPLIT(GS128,",")))))</f>
        <v/>
      </c>
      <c r="JM128">
        <f>AND(IF(GU128="",TRUE,IF(input_profile_type="",FALSE,SUMPRODUCT(--ISNUMBER(SEARCH(","&amp;TRIM(TEXTSPLIT(GU128,","))&amp;",",","&amp;SUBSTITUTE(input_profile_type," ","")&amp;",")))&gt;0)),IF(GW128="",TRUE,IF(input_profile_type="",FALSE,SUMPRODUCT(--ISNUMBER(SEARCH(","&amp;TRIM(TEXTSPLIT(GW128,","))&amp;",",","&amp;SUBSTITUTE(input_profile_type," ","")&amp;",")))=COUNTA(TEXTSPLIT(GW128,",")))),IF(GY128="",TRUE,IF(input_profile_type="",TRUE,SUMPRODUCT(--ISNUMBER(SEARCH(","&amp;TRIM(TEXTSPLIT(GY128,","))&amp;",",","&amp;SUBSTITUTE(input_profile_type," ","")&amp;",")))=0)),IF(HA128="",TRUE,IF(input_profile_type="",FALSE,SUMPRODUCT(--ISNUMBER(SEARCH(","&amp;TRIM(TEXTSPLIT(HA128,","))&amp;",",","&amp;SUBSTITUTE(input_profile_type," ","")&amp;",")))&gt;0)),IF(HC128="",TRUE,IF(input_profile_type="",FALSE,SUMPRODUCT(--ISNUMBER(SEARCH(","&amp;TRIM(TEXTSPLIT(HC128,","))&amp;",",","&amp;SUBSTITUTE(input_profile_type," ","")&amp;",")))=COUNTA(TEXTSPLIT(HC128,",")))))</f>
        <v/>
      </c>
      <c r="JN128">
        <f>AND(IF(HE128="",TRUE,IF(input_program="",FALSE,SUMPRODUCT(--ISNUMBER(SEARCH(","&amp;TRIM(TEXTSPLIT(HE128,","))&amp;",",","&amp;SUBSTITUTE(input_program," ","")&amp;",")))&gt;0)),IF(HG128="",TRUE,IF(input_program="",FALSE,SUMPRODUCT(--ISNUMBER(SEARCH(","&amp;TRIM(TEXTSPLIT(HG128,","))&amp;",",","&amp;SUBSTITUTE(input_program," ","")&amp;",")))=COUNTA(TEXTSPLIT(HG128,",")))),IF(HI128="",TRUE,IF(input_program="",TRUE,SUMPRODUCT(--ISNUMBER(SEARCH(","&amp;TRIM(TEXTSPLIT(HI128,","))&amp;",",","&amp;SUBSTITUTE(input_program," ","")&amp;",")))=0)),IF(HK128="",TRUE,IF(input_program="",FALSE,SUMPRODUCT(--ISNUMBER(SEARCH(","&amp;TRIM(TEXTSPLIT(HK128,","))&amp;",",","&amp;SUBSTITUTE(input_program," ","")&amp;",")))&gt;0)),IF(HM128="",TRUE,IF(input_program="",FALSE,SUMPRODUCT(--ISNUMBER(SEARCH(","&amp;TRIM(TEXTSPLIT(HM128,","))&amp;",",","&amp;SUBSTITUTE(input_program," ","")&amp;",")))=COUNTA(TEXTSPLIT(HM128,",")))))</f>
        <v/>
      </c>
      <c r="JO128">
        <f>AND(IF(HO128="",TRUE,IF(input_story_categories="",FALSE,SUMPRODUCT(--ISNUMBER(SEARCH(","&amp;TRIM(TEXTSPLIT(HO128,","))&amp;",",","&amp;SUBSTITUTE(input_story_categories," ","")&amp;",")))&gt;0)),IF(HQ128="",TRUE,IF(input_story_categories="",FALSE,SUMPRODUCT(--ISNUMBER(SEARCH(","&amp;TRIM(TEXTSPLIT(HQ128,","))&amp;",",","&amp;SUBSTITUTE(input_story_categories," ","")&amp;",")))=COUNTA(TEXTSPLIT(HQ128,",")))),IF(HS128="",TRUE,IF(input_story_categories="",TRUE,SUMPRODUCT(--ISNUMBER(SEARCH(","&amp;TRIM(TEXTSPLIT(HS128,","))&amp;",",","&amp;SUBSTITUTE(input_story_categories," ","")&amp;",")))=0)),IF(HU128="",TRUE,IF(input_story_categories="",FALSE,SUMPRODUCT(--ISNUMBER(SEARCH(","&amp;TRIM(TEXTSPLIT(HU128,","))&amp;",",","&amp;SUBSTITUTE(input_story_categories," ","")&amp;",")))&gt;0)),IF(HW128="",TRUE,IF(input_story_categories="",FALSE,SUMPRODUCT(--ISNUMBER(SEARCH(","&amp;TRIM(TEXTSPLIT(HW128,","))&amp;",",","&amp;SUBSTITUTE(input_story_categories," ","")&amp;",")))=COUNTA(TEXTSPLIT(HW128,",")))))</f>
        <v/>
      </c>
      <c r="JP128">
        <f>AND(IF(HY128="",TRUE,IF(input_story_type="",FALSE,SUMPRODUCT(--ISNUMBER(SEARCH(","&amp;TRIM(TEXTSPLIT(HY128,","))&amp;",",","&amp;SUBSTITUTE(input_story_type," ","")&amp;",")))&gt;0)),IF(IA128="",TRUE,IF(input_story_type="",FALSE,SUMPRODUCT(--ISNUMBER(SEARCH(","&amp;TRIM(TEXTSPLIT(IA128,","))&amp;",",","&amp;SUBSTITUTE(input_story_type," ","")&amp;",")))=COUNTA(TEXTSPLIT(IA128,",")))),IF(IC128="",TRUE,IF(input_story_type="",TRUE,SUMPRODUCT(--ISNUMBER(SEARCH(","&amp;TRIM(TEXTSPLIT(IC128,","))&amp;",",","&amp;SUBSTITUTE(input_story_type," ","")&amp;",")))=0)),IF(IE128="",TRUE,IF(input_story_type="",FALSE,SUMPRODUCT(--ISNUMBER(SEARCH(","&amp;TRIM(TEXTSPLIT(IE128,","))&amp;",",","&amp;SUBSTITUTE(input_story_type," ","")&amp;",")))&gt;0)),IF(IG128="",TRUE,IF(input_story_type="",FALSE,SUMPRODUCT(--ISNUMBER(SEARCH(","&amp;TRIM(TEXTSPLIT(IG128,","))&amp;",",","&amp;SUBSTITUTE(input_story_type," ","")&amp;",")))=COUNTA(TEXTSPLIT(IG128,",")))))</f>
        <v/>
      </c>
      <c r="JQ128">
        <f>AND(IF(II128="",TRUE,IF(input_topics="",FALSE,SUMPRODUCT(--ISNUMBER(SEARCH(","&amp;TRIM(TEXTSPLIT(II128,","))&amp;",",","&amp;SUBSTITUTE(input_topics," ","")&amp;",")))&gt;0)),IF(IK128="",TRUE,IF(input_topics="",FALSE,SUMPRODUCT(--ISNUMBER(SEARCH(","&amp;TRIM(TEXTSPLIT(IK128,","))&amp;",",","&amp;SUBSTITUTE(input_topics," ","")&amp;",")))=COUNTA(TEXTSPLIT(IK128,",")))),IF(IM128="",TRUE,IF(input_topics="",TRUE,SUMPRODUCT(--ISNUMBER(SEARCH(","&amp;TRIM(TEXTSPLIT(IM128,","))&amp;",",","&amp;SUBSTITUTE(input_topics," ","")&amp;",")))=0)),IF(IO128="",TRUE,IF(input_topics="",FALSE,SUMPRODUCT(--ISNUMBER(SEARCH(","&amp;TRIM(TEXTSPLIT(IO128,","))&amp;",",","&amp;SUBSTITUTE(input_topics," ","")&amp;",")))&gt;0)),IF(IQ128="",TRUE,IF(input_topics="",FALSE,SUMPRODUCT(--ISNUMBER(SEARCH(","&amp;TRIM(TEXTSPLIT(IQ128,","))&amp;",",","&amp;SUBSTITUTE(input_topics," ","")&amp;",")))=COUNTA(TEXTSPLIT(IQ128,",")))))</f>
        <v/>
      </c>
    </row>
    <row r="129">
      <c r="A129" s="4">
        <f>IF(NOT(IS129),"Excluded",IF(AND(IT129,IU129,IV129,IW129,IX129,IY129,IZ129,JA129,JB129,JC129,JD129,JE129,JF129,JG129,JH129,JI129,JJ129,JK129,JL129,JM129,JN129,JO129,JP129,JQ129),IF(I129&gt;0,"Eligible but limited","Will appear"),"Excluded"))</f>
        <v/>
      </c>
      <c r="B129" s="4" t="inlineStr">
        <is>
          <t>MBA for Executives Admissions Events</t>
        </is>
      </c>
      <c r="C129" s="4" t="inlineStr">
        <is>
          <t>/programs/emba/admissions/events</t>
        </is>
      </c>
      <c r="D129" s="4" t="inlineStr">
        <is>
          <t>/programs/emba/admissions/events</t>
        </is>
      </c>
      <c r="E129" s="4" t="n">
        <v>1</v>
      </c>
      <c r="F129" s="4" t="inlineStr">
        <is>
          <t>event</t>
        </is>
      </c>
      <c r="G129" s="4" t="inlineStr">
        <is>
          <t>external_event_list</t>
        </is>
      </c>
      <c r="H129" s="4" t="inlineStr">
        <is>
          <t>embed_filter_modality</t>
        </is>
      </c>
      <c r="I129" s="4" t="n">
        <v>8</v>
      </c>
      <c r="J129" s="4" t="inlineStr">
        <is>
          <t>Explicit args</t>
        </is>
      </c>
      <c r="K129" s="4" t="inlineStr">
        <is>
          <t>Page placement</t>
        </is>
      </c>
      <c r="L129" s="4" t="inlineStr">
        <is>
          <t>Content type: event; Context uses Courses Context: MBA For Executives (928); Needs any Event Type: Admissions Events (994); Limited to 8 item(s); Source: Explicit args</t>
        </is>
      </c>
      <c r="M129" t="inlineStr"/>
      <c r="N129" t="inlineStr"/>
      <c r="O129" t="inlineStr"/>
      <c r="P129" t="inlineStr"/>
      <c r="Q129" t="inlineStr"/>
      <c r="R129" t="inlineStr"/>
      <c r="S129" t="inlineStr"/>
      <c r="T129" t="inlineStr"/>
      <c r="U129" t="inlineStr"/>
      <c r="V129" t="inlineStr"/>
      <c r="W129" t="inlineStr"/>
      <c r="X129" t="inlineStr"/>
      <c r="Y129" t="inlineStr"/>
      <c r="Z129" t="inlineStr"/>
      <c r="AA129" t="inlineStr"/>
      <c r="AB129" t="inlineStr"/>
      <c r="AC129" t="inlineStr"/>
      <c r="AD129" t="inlineStr"/>
      <c r="AE129" t="inlineStr"/>
      <c r="AF129" t="inlineStr"/>
      <c r="AG129" t="inlineStr"/>
      <c r="AH129" t="inlineStr"/>
      <c r="AI129" t="inlineStr"/>
      <c r="AJ129" t="inlineStr"/>
      <c r="AK129" t="inlineStr"/>
      <c r="AL129" t="inlineStr"/>
      <c r="AM129" t="inlineStr"/>
      <c r="AN129" t="inlineStr"/>
      <c r="AO129" t="inlineStr"/>
      <c r="AP129" t="inlineStr"/>
      <c r="AQ129" t="inlineStr"/>
      <c r="AR129" t="inlineStr"/>
      <c r="AS129" t="inlineStr"/>
      <c r="AT129" t="inlineStr"/>
      <c r="AU129" t="inlineStr"/>
      <c r="AV129" t="inlineStr"/>
      <c r="AW129" t="inlineStr"/>
      <c r="AX129" t="inlineStr"/>
      <c r="AY129" t="inlineStr"/>
      <c r="AZ129" t="inlineStr"/>
      <c r="BA129" t="inlineStr"/>
      <c r="BB129" t="inlineStr"/>
      <c r="BC129" t="inlineStr"/>
      <c r="BD129" t="inlineStr"/>
      <c r="BE129" t="inlineStr"/>
      <c r="BF129" t="inlineStr"/>
      <c r="BG129" t="inlineStr"/>
      <c r="BH129" t="inlineStr"/>
      <c r="BI129" t="inlineStr"/>
      <c r="BJ129" t="inlineStr"/>
      <c r="BK129" t="inlineStr"/>
      <c r="BL129" t="inlineStr"/>
      <c r="BM129" t="inlineStr"/>
      <c r="BN129" t="inlineStr"/>
      <c r="BO129" t="inlineStr"/>
      <c r="BP129" t="inlineStr"/>
      <c r="BQ129" t="inlineStr">
        <is>
          <t>928</t>
        </is>
      </c>
      <c r="BR129" t="inlineStr">
        <is>
          <t>MBA For Executives (928)</t>
        </is>
      </c>
      <c r="BS129" t="inlineStr"/>
      <c r="BT129" t="inlineStr"/>
      <c r="BU129" t="inlineStr"/>
      <c r="BV129" t="inlineStr"/>
      <c r="BW129" t="inlineStr"/>
      <c r="BX129" t="inlineStr"/>
      <c r="BY129" t="inlineStr"/>
      <c r="BZ129" t="inlineStr"/>
      <c r="CA129" t="inlineStr"/>
      <c r="CB129" t="inlineStr"/>
      <c r="CC129" t="inlineStr"/>
      <c r="CD129" t="inlineStr"/>
      <c r="CE129" t="inlineStr"/>
      <c r="CF129" t="inlineStr"/>
      <c r="CG129" t="inlineStr"/>
      <c r="CH129" t="inlineStr"/>
      <c r="CI129" t="inlineStr"/>
      <c r="CJ129" t="inlineStr"/>
      <c r="CK129" t="inlineStr"/>
      <c r="CL129" t="inlineStr"/>
      <c r="CM129" t="inlineStr"/>
      <c r="CN129" t="inlineStr"/>
      <c r="CO129" t="inlineStr"/>
      <c r="CP129" t="inlineStr"/>
      <c r="CQ129" t="inlineStr"/>
      <c r="CR129" t="inlineStr"/>
      <c r="CS129" t="inlineStr"/>
      <c r="CT129" t="inlineStr"/>
      <c r="CU129" t="inlineStr"/>
      <c r="CV129" t="inlineStr"/>
      <c r="CW129" t="inlineStr"/>
      <c r="CX129" t="inlineStr"/>
      <c r="CY129" t="inlineStr">
        <is>
          <t>994</t>
        </is>
      </c>
      <c r="CZ129" t="inlineStr">
        <is>
          <t>Admissions Events (994)</t>
        </is>
      </c>
      <c r="DA129" t="inlineStr"/>
      <c r="DB129" t="inlineStr"/>
      <c r="DC129" t="inlineStr"/>
      <c r="DD129" t="inlineStr"/>
      <c r="DE129" t="inlineStr"/>
      <c r="DF129" t="inlineStr"/>
      <c r="DG129" t="inlineStr"/>
      <c r="DH129" t="inlineStr"/>
      <c r="DI129" t="inlineStr"/>
      <c r="DJ129" t="inlineStr"/>
      <c r="DK129" t="inlineStr"/>
      <c r="DL129" t="inlineStr"/>
      <c r="DM129" t="inlineStr"/>
      <c r="DN129" t="inlineStr"/>
      <c r="DO129" t="inlineStr"/>
      <c r="DP129" t="inlineStr"/>
      <c r="DQ129" t="inlineStr"/>
      <c r="DR129" t="inlineStr"/>
      <c r="DS129" t="inlineStr"/>
      <c r="DT129" t="inlineStr"/>
      <c r="DU129" t="inlineStr"/>
      <c r="DV129" t="inlineStr"/>
      <c r="DW129" t="inlineStr"/>
      <c r="DX129" t="inlineStr"/>
      <c r="DY129" t="inlineStr"/>
      <c r="DZ129" t="inlineStr"/>
      <c r="EA129" t="inlineStr"/>
      <c r="EB129" t="inlineStr"/>
      <c r="EC129" t="inlineStr"/>
      <c r="ED129" t="inlineStr"/>
      <c r="EE129" t="inlineStr"/>
      <c r="EF129" t="inlineStr"/>
      <c r="EG129" t="inlineStr"/>
      <c r="EH129" t="inlineStr"/>
      <c r="EI129" t="inlineStr"/>
      <c r="EJ129" t="inlineStr"/>
      <c r="EK129" t="inlineStr"/>
      <c r="EL129" t="inlineStr"/>
      <c r="EM129" t="inlineStr"/>
      <c r="EN129" t="inlineStr"/>
      <c r="EO129" t="inlineStr"/>
      <c r="EP129" t="inlineStr"/>
      <c r="EQ129" t="inlineStr"/>
      <c r="ER129" t="inlineStr"/>
      <c r="ES129" t="inlineStr"/>
      <c r="ET129" t="inlineStr"/>
      <c r="EU129" t="inlineStr"/>
      <c r="EV129" t="inlineStr"/>
      <c r="EW129" t="inlineStr"/>
      <c r="EX129" t="inlineStr"/>
      <c r="EY129" t="inlineStr"/>
      <c r="EZ129" t="inlineStr"/>
      <c r="FA129" t="inlineStr"/>
      <c r="FB129" t="inlineStr"/>
      <c r="FC129" t="inlineStr"/>
      <c r="FD129" t="inlineStr"/>
      <c r="FE129" t="inlineStr"/>
      <c r="FF129" t="inlineStr"/>
      <c r="FG129" t="inlineStr"/>
      <c r="FH129" t="inlineStr"/>
      <c r="FI129" t="inlineStr"/>
      <c r="FJ129" t="inlineStr"/>
      <c r="FK129" t="inlineStr"/>
      <c r="FL129" t="inlineStr"/>
      <c r="FM129" t="inlineStr"/>
      <c r="FN129" t="inlineStr"/>
      <c r="FO129" t="inlineStr"/>
      <c r="FP129" t="inlineStr"/>
      <c r="FQ129" t="inlineStr"/>
      <c r="FR129" t="inlineStr"/>
      <c r="FS129" t="inlineStr"/>
      <c r="FT129" t="inlineStr"/>
      <c r="FU129" t="inlineStr"/>
      <c r="FV129" t="inlineStr"/>
      <c r="FW129" t="inlineStr"/>
      <c r="FX129" t="inlineStr"/>
      <c r="FY129" t="inlineStr"/>
      <c r="FZ129" t="inlineStr"/>
      <c r="GA129" t="inlineStr"/>
      <c r="GB129" t="inlineStr"/>
      <c r="GC129" t="inlineStr"/>
      <c r="GD129" t="inlineStr"/>
      <c r="GE129" t="inlineStr"/>
      <c r="GF129" t="inlineStr"/>
      <c r="GG129" t="inlineStr"/>
      <c r="GH129" t="inlineStr"/>
      <c r="GI129" t="inlineStr"/>
      <c r="GJ129" t="inlineStr"/>
      <c r="GK129" t="inlineStr"/>
      <c r="GL129" t="inlineStr"/>
      <c r="GM129" t="inlineStr"/>
      <c r="GN129" t="inlineStr"/>
      <c r="GO129" t="inlineStr"/>
      <c r="GP129" t="inlineStr"/>
      <c r="GQ129" t="inlineStr"/>
      <c r="GR129" t="inlineStr"/>
      <c r="GS129" t="inlineStr"/>
      <c r="GT129" t="inlineStr"/>
      <c r="GU129" t="inlineStr"/>
      <c r="GV129" t="inlineStr"/>
      <c r="GW129" t="inlineStr"/>
      <c r="GX129" t="inlineStr"/>
      <c r="GY129" t="inlineStr"/>
      <c r="GZ129" t="inlineStr"/>
      <c r="HA129" t="inlineStr"/>
      <c r="HB129" t="inlineStr"/>
      <c r="HC129" t="inlineStr"/>
      <c r="HD129" t="inlineStr"/>
      <c r="HE129" t="inlineStr"/>
      <c r="HF129" t="inlineStr"/>
      <c r="HG129" t="inlineStr"/>
      <c r="HH129" t="inlineStr"/>
      <c r="HI129" t="inlineStr"/>
      <c r="HJ129" t="inlineStr"/>
      <c r="HK129" t="inlineStr"/>
      <c r="HL129" t="inlineStr"/>
      <c r="HM129" t="inlineStr"/>
      <c r="HN129" t="inlineStr"/>
      <c r="HO129" t="inlineStr"/>
      <c r="HP129" t="inlineStr"/>
      <c r="HQ129" t="inlineStr"/>
      <c r="HR129" t="inlineStr"/>
      <c r="HS129" t="inlineStr"/>
      <c r="HT129" t="inlineStr"/>
      <c r="HU129" t="inlineStr"/>
      <c r="HV129" t="inlineStr"/>
      <c r="HW129" t="inlineStr"/>
      <c r="HX129" t="inlineStr"/>
      <c r="HY129" t="inlineStr"/>
      <c r="HZ129" t="inlineStr"/>
      <c r="IA129" t="inlineStr"/>
      <c r="IB129" t="inlineStr"/>
      <c r="IC129" t="inlineStr"/>
      <c r="ID129" t="inlineStr"/>
      <c r="IE129" t="inlineStr"/>
      <c r="IF129" t="inlineStr"/>
      <c r="IG129" t="inlineStr"/>
      <c r="IH129" t="inlineStr"/>
      <c r="II129" t="inlineStr"/>
      <c r="IJ129" t="inlineStr"/>
      <c r="IK129" t="inlineStr"/>
      <c r="IL129" t="inlineStr"/>
      <c r="IM129" t="inlineStr"/>
      <c r="IN129" t="inlineStr"/>
      <c r="IO129" t="inlineStr"/>
      <c r="IP129" t="inlineStr"/>
      <c r="IQ129" t="inlineStr"/>
      <c r="IR129" t="inlineStr"/>
      <c r="IS129">
        <f>IF(input_content_type="",FALSE,ISNUMBER(SEARCH(","&amp;LOWER(input_content_type)&amp;",",","&amp;LOWER(F129)&amp;",")))</f>
        <v/>
      </c>
      <c r="IT129">
        <f>AND(IF(M129="",TRUE,IF(input_affiliations="",FALSE,SUMPRODUCT(--ISNUMBER(SEARCH(","&amp;TRIM(TEXTSPLIT(M129,","))&amp;",",","&amp;SUBSTITUTE(input_affiliations," ","")&amp;",")))&gt;0)),IF(O129="",TRUE,IF(input_affiliations="",FALSE,SUMPRODUCT(--ISNUMBER(SEARCH(","&amp;TRIM(TEXTSPLIT(O129,","))&amp;",",","&amp;SUBSTITUTE(input_affiliations," ","")&amp;",")))=COUNTA(TEXTSPLIT(O129,",")))),IF(Q129="",TRUE,IF(input_affiliations="",TRUE,SUMPRODUCT(--ISNUMBER(SEARCH(","&amp;TRIM(TEXTSPLIT(Q129,","))&amp;",",","&amp;SUBSTITUTE(input_affiliations," ","")&amp;",")))=0)),IF(S129="",TRUE,IF(input_affiliations="",FALSE,SUMPRODUCT(--ISNUMBER(SEARCH(","&amp;TRIM(TEXTSPLIT(S129,","))&amp;",",","&amp;SUBSTITUTE(input_affiliations," ","")&amp;",")))&gt;0)),IF(U129="",TRUE,IF(input_affiliations="",FALSE,SUMPRODUCT(--ISNUMBER(SEARCH(","&amp;TRIM(TEXTSPLIT(U129,","))&amp;",",","&amp;SUBSTITUTE(input_affiliations," ","")&amp;",")))=COUNTA(TEXTSPLIT(U129,",")))))</f>
        <v/>
      </c>
      <c r="IU129">
        <f>AND(IF(W129="",TRUE,IF(input_announcement_category="",FALSE,SUMPRODUCT(--ISNUMBER(SEARCH(","&amp;TRIM(TEXTSPLIT(W129,","))&amp;",",","&amp;SUBSTITUTE(input_announcement_category," ","")&amp;",")))&gt;0)),IF(Y129="",TRUE,IF(input_announcement_category="",FALSE,SUMPRODUCT(--ISNUMBER(SEARCH(","&amp;TRIM(TEXTSPLIT(Y129,","))&amp;",",","&amp;SUBSTITUTE(input_announcement_category," ","")&amp;",")))=COUNTA(TEXTSPLIT(Y129,",")))),IF(AA129="",TRUE,IF(input_announcement_category="",TRUE,SUMPRODUCT(--ISNUMBER(SEARCH(","&amp;TRIM(TEXTSPLIT(AA129,","))&amp;",",","&amp;SUBSTITUTE(input_announcement_category," ","")&amp;",")))=0)),IF(AC129="",TRUE,IF(input_announcement_category="",FALSE,SUMPRODUCT(--ISNUMBER(SEARCH(","&amp;TRIM(TEXTSPLIT(AC129,","))&amp;",",","&amp;SUBSTITUTE(input_announcement_category," ","")&amp;",")))&gt;0)),IF(AE129="",TRUE,IF(input_announcement_category="",FALSE,SUMPRODUCT(--ISNUMBER(SEARCH(","&amp;TRIM(TEXTSPLIT(AE129,","))&amp;",",","&amp;SUBSTITUTE(input_announcement_category," ","")&amp;",")))=COUNTA(TEXTSPLIT(AE129,",")))))</f>
        <v/>
      </c>
      <c r="IV129">
        <f>AND(IF(AG129="",TRUE,IF(input_area_of_focus="",FALSE,SUMPRODUCT(--ISNUMBER(SEARCH(","&amp;TRIM(TEXTSPLIT(AG129,","))&amp;",",","&amp;SUBSTITUTE(input_area_of_focus," ","")&amp;",")))&gt;0)),IF(AI129="",TRUE,IF(input_area_of_focus="",FALSE,SUMPRODUCT(--ISNUMBER(SEARCH(","&amp;TRIM(TEXTSPLIT(AI129,","))&amp;",",","&amp;SUBSTITUTE(input_area_of_focus," ","")&amp;",")))=COUNTA(TEXTSPLIT(AI129,",")))),IF(AK129="",TRUE,IF(input_area_of_focus="",TRUE,SUMPRODUCT(--ISNUMBER(SEARCH(","&amp;TRIM(TEXTSPLIT(AK129,","))&amp;",",","&amp;SUBSTITUTE(input_area_of_focus," ","")&amp;",")))=0)),IF(AM129="",TRUE,IF(input_area_of_focus="",FALSE,SUMPRODUCT(--ISNUMBER(SEARCH(","&amp;TRIM(TEXTSPLIT(AM129,","))&amp;",",","&amp;SUBSTITUTE(input_area_of_focus," ","")&amp;",")))&gt;0)),IF(AO129="",TRUE,IF(input_area_of_focus="",FALSE,SUMPRODUCT(--ISNUMBER(SEARCH(","&amp;TRIM(TEXTSPLIT(AO129,","))&amp;",",","&amp;SUBSTITUTE(input_area_of_focus," ","")&amp;",")))=COUNTA(TEXTSPLIT(AO129,",")))))</f>
        <v/>
      </c>
      <c r="IW129">
        <f>AND(IF(AQ129="",TRUE,IF(input_audience="",FALSE,SUMPRODUCT(--ISNUMBER(SEARCH(","&amp;TRIM(TEXTSPLIT(AQ129,","))&amp;",",","&amp;SUBSTITUTE(input_audience," ","")&amp;",")))&gt;0)),IF(AS129="",TRUE,IF(input_audience="",FALSE,SUMPRODUCT(--ISNUMBER(SEARCH(","&amp;TRIM(TEXTSPLIT(AS129,","))&amp;",",","&amp;SUBSTITUTE(input_audience," ","")&amp;",")))=COUNTA(TEXTSPLIT(AS129,",")))),IF(AU129="",TRUE,IF(input_audience="",TRUE,SUMPRODUCT(--ISNUMBER(SEARCH(","&amp;TRIM(TEXTSPLIT(AU129,","))&amp;",",","&amp;SUBSTITUTE(input_audience," ","")&amp;",")))=0)),IF(AW129="",TRUE,IF(input_audience="",FALSE,SUMPRODUCT(--ISNUMBER(SEARCH(","&amp;TRIM(TEXTSPLIT(AW129,","))&amp;",",","&amp;SUBSTITUTE(input_audience," ","")&amp;",")))&gt;0)),IF(AY129="",TRUE,IF(input_audience="",FALSE,SUMPRODUCT(--ISNUMBER(SEARCH(","&amp;TRIM(TEXTSPLIT(AY129,","))&amp;",",","&amp;SUBSTITUTE(input_audience," ","")&amp;",")))=COUNTA(TEXTSPLIT(AY129,",")))))</f>
        <v/>
      </c>
      <c r="IX129">
        <f>AND(IF(BA129="",TRUE,IF(input_challenge_opportunities="",FALSE,SUMPRODUCT(--ISNUMBER(SEARCH(","&amp;TRIM(TEXTSPLIT(BA129,","))&amp;",",","&amp;SUBSTITUTE(input_challenge_opportunities," ","")&amp;",")))&gt;0)),IF(BC129="",TRUE,IF(input_challenge_opportunities="",FALSE,SUMPRODUCT(--ISNUMBER(SEARCH(","&amp;TRIM(TEXTSPLIT(BC129,","))&amp;",",","&amp;SUBSTITUTE(input_challenge_opportunities," ","")&amp;",")))=COUNTA(TEXTSPLIT(BC129,",")))),IF(BE129="",TRUE,IF(input_challenge_opportunities="",TRUE,SUMPRODUCT(--ISNUMBER(SEARCH(","&amp;TRIM(TEXTSPLIT(BE129,","))&amp;",",","&amp;SUBSTITUTE(input_challenge_opportunities," ","")&amp;",")))=0)),IF(BG129="",TRUE,IF(input_challenge_opportunities="",FALSE,SUMPRODUCT(--ISNUMBER(SEARCH(","&amp;TRIM(TEXTSPLIT(BG129,","))&amp;",",","&amp;SUBSTITUTE(input_challenge_opportunities," ","")&amp;",")))&gt;0)),IF(BI129="",TRUE,IF(input_challenge_opportunities="",FALSE,SUMPRODUCT(--ISNUMBER(SEARCH(","&amp;TRIM(TEXTSPLIT(BI129,","))&amp;",",","&amp;SUBSTITUTE(input_challenge_opportunities," ","")&amp;",")))=COUNTA(TEXTSPLIT(BI129,",")))))</f>
        <v/>
      </c>
      <c r="IY129">
        <f>AND(IF(BK129="",TRUE,IF(input_context="",FALSE,SUMPRODUCT(--ISNUMBER(SEARCH(","&amp;TRIM(TEXTSPLIT(BK129,","))&amp;",",","&amp;SUBSTITUTE(input_context," ","")&amp;",")))&gt;0)),IF(BM129="",TRUE,IF(input_context="",FALSE,SUMPRODUCT(--ISNUMBER(SEARCH(","&amp;TRIM(TEXTSPLIT(BM129,","))&amp;",",","&amp;SUBSTITUTE(input_context," ","")&amp;",")))=COUNTA(TEXTSPLIT(BM129,",")))),IF(BO129="",TRUE,IF(input_context="",TRUE,SUMPRODUCT(--ISNUMBER(SEARCH(","&amp;TRIM(TEXTSPLIT(BO129,","))&amp;",",","&amp;SUBSTITUTE(input_context," ","")&amp;",")))=0)),IF(BQ129="",TRUE,IF(input_context="",FALSE,SUMPRODUCT(--ISNUMBER(SEARCH(","&amp;TRIM(TEXTSPLIT(BQ129,","))&amp;",",","&amp;SUBSTITUTE(input_context," ","")&amp;",")))&gt;0)),IF(BS129="",TRUE,IF(input_context="",FALSE,SUMPRODUCT(--ISNUMBER(SEARCH(","&amp;TRIM(TEXTSPLIT(BS129,","))&amp;",",","&amp;SUBSTITUTE(input_context," ","")&amp;",")))=COUNTA(TEXTSPLIT(BS129,",")))))</f>
        <v/>
      </c>
      <c r="IZ129">
        <f>AND(IF(BU129="",TRUE,IF(input_enews_announcement_type="",FALSE,SUMPRODUCT(--ISNUMBER(SEARCH(","&amp;TRIM(TEXTSPLIT(BU129,","))&amp;",",","&amp;SUBSTITUTE(input_enews_announcement_type," ","")&amp;",")))&gt;0)),IF(BW129="",TRUE,IF(input_enews_announcement_type="",FALSE,SUMPRODUCT(--ISNUMBER(SEARCH(","&amp;TRIM(TEXTSPLIT(BW129,","))&amp;",",","&amp;SUBSTITUTE(input_enews_announcement_type," ","")&amp;",")))=COUNTA(TEXTSPLIT(BW129,",")))),IF(BY129="",TRUE,IF(input_enews_announcement_type="",TRUE,SUMPRODUCT(--ISNUMBER(SEARCH(","&amp;TRIM(TEXTSPLIT(BY129,","))&amp;",",","&amp;SUBSTITUTE(input_enews_announcement_type," ","")&amp;",")))=0)),IF(CA129="",TRUE,IF(input_enews_announcement_type="",FALSE,SUMPRODUCT(--ISNUMBER(SEARCH(","&amp;TRIM(TEXTSPLIT(CA129,","))&amp;",",","&amp;SUBSTITUTE(input_enews_announcement_type," ","")&amp;",")))&gt;0)),IF(CC129="",TRUE,IF(input_enews_announcement_type="",FALSE,SUMPRODUCT(--ISNUMBER(SEARCH(","&amp;TRIM(TEXTSPLIT(CC129,","))&amp;",",","&amp;SUBSTITUTE(input_enews_announcement_type," ","")&amp;",")))=COUNTA(TEXTSPLIT(CC129,",")))))</f>
        <v/>
      </c>
      <c r="JA129">
        <f>AND(IF(CE129="",TRUE,IF(input_enews_audience="",FALSE,SUMPRODUCT(--ISNUMBER(SEARCH(","&amp;TRIM(TEXTSPLIT(CE129,","))&amp;",",","&amp;SUBSTITUTE(input_enews_audience," ","")&amp;",")))&gt;0)),IF(CG129="",TRUE,IF(input_enews_audience="",FALSE,SUMPRODUCT(--ISNUMBER(SEARCH(","&amp;TRIM(TEXTSPLIT(CG129,","))&amp;",",","&amp;SUBSTITUTE(input_enews_audience," ","")&amp;",")))=COUNTA(TEXTSPLIT(CG129,",")))),IF(CI129="",TRUE,IF(input_enews_audience="",TRUE,SUMPRODUCT(--ISNUMBER(SEARCH(","&amp;TRIM(TEXTSPLIT(CI129,","))&amp;",",","&amp;SUBSTITUTE(input_enews_audience," ","")&amp;",")))=0)),IF(CK129="",TRUE,IF(input_enews_audience="",FALSE,SUMPRODUCT(--ISNUMBER(SEARCH(","&amp;TRIM(TEXTSPLIT(CK129,","))&amp;",",","&amp;SUBSTITUTE(input_enews_audience," ","")&amp;",")))&gt;0)),IF(CM129="",TRUE,IF(input_enews_audience="",FALSE,SUMPRODUCT(--ISNUMBER(SEARCH(","&amp;TRIM(TEXTSPLIT(CM129,","))&amp;",",","&amp;SUBSTITUTE(input_enews_audience," ","")&amp;",")))=COUNTA(TEXTSPLIT(CM129,",")))))</f>
        <v/>
      </c>
      <c r="JB129">
        <f>AND(IF(CO129="",TRUE,IF(input_event_location="",FALSE,SUMPRODUCT(--ISNUMBER(SEARCH(","&amp;TRIM(TEXTSPLIT(CO129,","))&amp;",",","&amp;SUBSTITUTE(input_event_location," ","")&amp;",")))&gt;0)),IF(CQ129="",TRUE,IF(input_event_location="",FALSE,SUMPRODUCT(--ISNUMBER(SEARCH(","&amp;TRIM(TEXTSPLIT(CQ129,","))&amp;",",","&amp;SUBSTITUTE(input_event_location," ","")&amp;",")))=COUNTA(TEXTSPLIT(CQ129,",")))),IF(CS129="",TRUE,IF(input_event_location="",TRUE,SUMPRODUCT(--ISNUMBER(SEARCH(","&amp;TRIM(TEXTSPLIT(CS129,","))&amp;",",","&amp;SUBSTITUTE(input_event_location," ","")&amp;",")))=0)),IF(CU129="",TRUE,IF(input_event_location="",FALSE,SUMPRODUCT(--ISNUMBER(SEARCH(","&amp;TRIM(TEXTSPLIT(CU129,","))&amp;",",","&amp;SUBSTITUTE(input_event_location," ","")&amp;",")))&gt;0)),IF(CW129="",TRUE,IF(input_event_location="",FALSE,SUMPRODUCT(--ISNUMBER(SEARCH(","&amp;TRIM(TEXTSPLIT(CW129,","))&amp;",",","&amp;SUBSTITUTE(input_event_location," ","")&amp;",")))=COUNTA(TEXTSPLIT(CW129,",")))))</f>
        <v/>
      </c>
      <c r="JC129">
        <f>AND(IF(CY129="",TRUE,IF(input_event_type="",FALSE,SUMPRODUCT(--ISNUMBER(SEARCH(","&amp;TRIM(TEXTSPLIT(CY129,","))&amp;",",","&amp;SUBSTITUTE(input_event_type," ","")&amp;",")))&gt;0)),IF(DA129="",TRUE,IF(input_event_type="",FALSE,SUMPRODUCT(--ISNUMBER(SEARCH(","&amp;TRIM(TEXTSPLIT(DA129,","))&amp;",",","&amp;SUBSTITUTE(input_event_type," ","")&amp;",")))=COUNTA(TEXTSPLIT(DA129,",")))),IF(DC129="",TRUE,IF(input_event_type="",TRUE,SUMPRODUCT(--ISNUMBER(SEARCH(","&amp;TRIM(TEXTSPLIT(DC129,","))&amp;",",","&amp;SUBSTITUTE(input_event_type," ","")&amp;",")))=0)),IF(DE129="",TRUE,IF(input_event_type="",FALSE,SUMPRODUCT(--ISNUMBER(SEARCH(","&amp;TRIM(TEXTSPLIT(DE129,","))&amp;",",","&amp;SUBSTITUTE(input_event_type," ","")&amp;",")))&gt;0)),IF(DG129="",TRUE,IF(input_event_type="",FALSE,SUMPRODUCT(--ISNUMBER(SEARCH(","&amp;TRIM(TEXTSPLIT(DG129,","))&amp;",",","&amp;SUBSTITUTE(input_event_type," ","")&amp;",")))=COUNTA(TEXTSPLIT(DG129,",")))))</f>
        <v/>
      </c>
      <c r="JD129">
        <f>AND(IF(DI129="",TRUE,IF(input_executive_education_focus="",FALSE,SUMPRODUCT(--ISNUMBER(SEARCH(","&amp;TRIM(TEXTSPLIT(DI129,","))&amp;",",","&amp;SUBSTITUTE(input_executive_education_focus," ","")&amp;",")))&gt;0)),IF(DK129="",TRUE,IF(input_executive_education_focus="",FALSE,SUMPRODUCT(--ISNUMBER(SEARCH(","&amp;TRIM(TEXTSPLIT(DK129,","))&amp;",",","&amp;SUBSTITUTE(input_executive_education_focus," ","")&amp;",")))=COUNTA(TEXTSPLIT(DK129,",")))),IF(DM129="",TRUE,IF(input_executive_education_focus="",TRUE,SUMPRODUCT(--ISNUMBER(SEARCH(","&amp;TRIM(TEXTSPLIT(DM129,","))&amp;",",","&amp;SUBSTITUTE(input_executive_education_focus," ","")&amp;",")))=0)),IF(DO129="",TRUE,IF(input_executive_education_focus="",FALSE,SUMPRODUCT(--ISNUMBER(SEARCH(","&amp;TRIM(TEXTSPLIT(DO129,","))&amp;",",","&amp;SUBSTITUTE(input_executive_education_focus," ","")&amp;",")))&gt;0)),IF(DQ129="",TRUE,IF(input_executive_education_focus="",FALSE,SUMPRODUCT(--ISNUMBER(SEARCH(","&amp;TRIM(TEXTSPLIT(DQ129,","))&amp;",",","&amp;SUBSTITUTE(input_executive_education_focus," ","")&amp;",")))=COUNTA(TEXTSPLIT(DQ129,",")))))</f>
        <v/>
      </c>
      <c r="JE129">
        <f>AND(IF(DS129="",TRUE,IF(input_faculty_category="",FALSE,SUMPRODUCT(--ISNUMBER(SEARCH(","&amp;TRIM(TEXTSPLIT(DS129,","))&amp;",",","&amp;SUBSTITUTE(input_faculty_category," ","")&amp;",")))&gt;0)),IF(DU129="",TRUE,IF(input_faculty_category="",FALSE,SUMPRODUCT(--ISNUMBER(SEARCH(","&amp;TRIM(TEXTSPLIT(DU129,","))&amp;",",","&amp;SUBSTITUTE(input_faculty_category," ","")&amp;",")))=COUNTA(TEXTSPLIT(DU129,",")))),IF(DW129="",TRUE,IF(input_faculty_category="",TRUE,SUMPRODUCT(--ISNUMBER(SEARCH(","&amp;TRIM(TEXTSPLIT(DW129,","))&amp;",",","&amp;SUBSTITUTE(input_faculty_category," ","")&amp;",")))=0)),IF(DY129="",TRUE,IF(input_faculty_category="",FALSE,SUMPRODUCT(--ISNUMBER(SEARCH(","&amp;TRIM(TEXTSPLIT(DY129,","))&amp;",",","&amp;SUBSTITUTE(input_faculty_category," ","")&amp;",")))&gt;0)),IF(EA129="",TRUE,IF(input_faculty_category="",FALSE,SUMPRODUCT(--ISNUMBER(SEARCH(","&amp;TRIM(TEXTSPLIT(EA129,","))&amp;",",","&amp;SUBSTITUTE(input_faculty_category," ","")&amp;",")))=COUNTA(TEXTSPLIT(EA129,",")))))</f>
        <v/>
      </c>
      <c r="JF129">
        <f>AND(IF(EC129="",TRUE,IF(input_faculty_discipline="",FALSE,SUMPRODUCT(--ISNUMBER(SEARCH(","&amp;TRIM(TEXTSPLIT(EC129,","))&amp;",",","&amp;SUBSTITUTE(input_faculty_discipline," ","")&amp;",")))&gt;0)),IF(EE129="",TRUE,IF(input_faculty_discipline="",FALSE,SUMPRODUCT(--ISNUMBER(SEARCH(","&amp;TRIM(TEXTSPLIT(EE129,","))&amp;",",","&amp;SUBSTITUTE(input_faculty_discipline," ","")&amp;",")))=COUNTA(TEXTSPLIT(EE129,",")))),IF(EG129="",TRUE,IF(input_faculty_discipline="",TRUE,SUMPRODUCT(--ISNUMBER(SEARCH(","&amp;TRIM(TEXTSPLIT(EG129,","))&amp;",",","&amp;SUBSTITUTE(input_faculty_discipline," ","")&amp;",")))=0)),IF(EI129="",TRUE,IF(input_faculty_discipline="",FALSE,SUMPRODUCT(--ISNUMBER(SEARCH(","&amp;TRIM(TEXTSPLIT(EI129,","))&amp;",",","&amp;SUBSTITUTE(input_faculty_discipline," ","")&amp;",")))&gt;0)),IF(EK129="",TRUE,IF(input_faculty_discipline="",FALSE,SUMPRODUCT(--ISNUMBER(SEARCH(","&amp;TRIM(TEXTSPLIT(EK129,","))&amp;",",","&amp;SUBSTITUTE(input_faculty_discipline," ","")&amp;",")))=COUNTA(TEXTSPLIT(EK129,",")))))</f>
        <v/>
      </c>
      <c r="JG129">
        <f>AND(IF(EM129="",TRUE,IF(input_faculty_expertise="",FALSE,SUMPRODUCT(--ISNUMBER(SEARCH(","&amp;TRIM(TEXTSPLIT(EM129,","))&amp;",",","&amp;SUBSTITUTE(input_faculty_expertise," ","")&amp;",")))&gt;0)),IF(EO129="",TRUE,IF(input_faculty_expertise="",FALSE,SUMPRODUCT(--ISNUMBER(SEARCH(","&amp;TRIM(TEXTSPLIT(EO129,","))&amp;",",","&amp;SUBSTITUTE(input_faculty_expertise," ","")&amp;",")))=COUNTA(TEXTSPLIT(EO129,",")))),IF(EQ129="",TRUE,IF(input_faculty_expertise="",TRUE,SUMPRODUCT(--ISNUMBER(SEARCH(","&amp;TRIM(TEXTSPLIT(EQ129,","))&amp;",",","&amp;SUBSTITUTE(input_faculty_expertise," ","")&amp;",")))=0)),IF(ES129="",TRUE,IF(input_faculty_expertise="",FALSE,SUMPRODUCT(--ISNUMBER(SEARCH(","&amp;TRIM(TEXTSPLIT(ES129,","))&amp;",",","&amp;SUBSTITUTE(input_faculty_expertise," ","")&amp;",")))&gt;0)),IF(EU129="",TRUE,IF(input_faculty_expertise="",FALSE,SUMPRODUCT(--ISNUMBER(SEARCH(","&amp;TRIM(TEXTSPLIT(EU129,","))&amp;",",","&amp;SUBSTITUTE(input_faculty_expertise," ","")&amp;",")))=COUNTA(TEXTSPLIT(EU129,",")))))</f>
        <v/>
      </c>
      <c r="JH129">
        <f>AND(IF(EW129="",TRUE,IF(input_global_network_school="",FALSE,SUMPRODUCT(--ISNUMBER(SEARCH(","&amp;TRIM(TEXTSPLIT(EW129,","))&amp;",",","&amp;SUBSTITUTE(input_global_network_school," ","")&amp;",")))&gt;0)),IF(EY129="",TRUE,IF(input_global_network_school="",FALSE,SUMPRODUCT(--ISNUMBER(SEARCH(","&amp;TRIM(TEXTSPLIT(EY129,","))&amp;",",","&amp;SUBSTITUTE(input_global_network_school," ","")&amp;",")))=COUNTA(TEXTSPLIT(EY129,",")))),IF(FA129="",TRUE,IF(input_global_network_school="",TRUE,SUMPRODUCT(--ISNUMBER(SEARCH(","&amp;TRIM(TEXTSPLIT(FA129,","))&amp;",",","&amp;SUBSTITUTE(input_global_network_school," ","")&amp;",")))=0)),IF(FC129="",TRUE,IF(input_global_network_school="",FALSE,SUMPRODUCT(--ISNUMBER(SEARCH(","&amp;TRIM(TEXTSPLIT(FC129,","))&amp;",",","&amp;SUBSTITUTE(input_global_network_school," ","")&amp;",")))&gt;0)),IF(FE129="",TRUE,IF(input_global_network_school="",FALSE,SUMPRODUCT(--ISNUMBER(SEARCH(","&amp;TRIM(TEXTSPLIT(FE129,","))&amp;",",","&amp;SUBSTITUTE(input_global_network_school," ","")&amp;",")))=COUNTA(TEXTSPLIT(FE129,",")))))</f>
        <v/>
      </c>
      <c r="JI129">
        <f>AND(IF(FG129="",TRUE,IF(input_industry="",FALSE,SUMPRODUCT(--ISNUMBER(SEARCH(","&amp;TRIM(TEXTSPLIT(FG129,","))&amp;",",","&amp;SUBSTITUTE(input_industry," ","")&amp;",")))&gt;0)),IF(FI129="",TRUE,IF(input_industry="",FALSE,SUMPRODUCT(--ISNUMBER(SEARCH(","&amp;TRIM(TEXTSPLIT(FI129,","))&amp;",",","&amp;SUBSTITUTE(input_industry," ","")&amp;",")))=COUNTA(TEXTSPLIT(FI129,",")))),IF(FK129="",TRUE,IF(input_industry="",TRUE,SUMPRODUCT(--ISNUMBER(SEARCH(","&amp;TRIM(TEXTSPLIT(FK129,","))&amp;",",","&amp;SUBSTITUTE(input_industry," ","")&amp;",")))=0)),IF(FM129="",TRUE,IF(input_industry="",FALSE,SUMPRODUCT(--ISNUMBER(SEARCH(","&amp;TRIM(TEXTSPLIT(FM129,","))&amp;",",","&amp;SUBSTITUTE(input_industry," ","")&amp;",")))&gt;0)),IF(FO129="",TRUE,IF(input_industry="",FALSE,SUMPRODUCT(--ISNUMBER(SEARCH(","&amp;TRIM(TEXTSPLIT(FO129,","))&amp;",",","&amp;SUBSTITUTE(input_industry," ","")&amp;",")))=COUNTA(TEXTSPLIT(FO129,",")))))</f>
        <v/>
      </c>
      <c r="JJ129">
        <f>AND(IF(FQ129="",TRUE,IF(input_location="",FALSE,SUMPRODUCT(--ISNUMBER(SEARCH(","&amp;TRIM(TEXTSPLIT(FQ129,","))&amp;",",","&amp;SUBSTITUTE(input_location," ","")&amp;",")))&gt;0)),IF(FS129="",TRUE,IF(input_location="",FALSE,SUMPRODUCT(--ISNUMBER(SEARCH(","&amp;TRIM(TEXTSPLIT(FS129,","))&amp;",",","&amp;SUBSTITUTE(input_location," ","")&amp;",")))=COUNTA(TEXTSPLIT(FS129,",")))),IF(FU129="",TRUE,IF(input_location="",TRUE,SUMPRODUCT(--ISNUMBER(SEARCH(","&amp;TRIM(TEXTSPLIT(FU129,","))&amp;",",","&amp;SUBSTITUTE(input_location," ","")&amp;",")))=0)),IF(FW129="",TRUE,IF(input_location="",FALSE,SUMPRODUCT(--ISNUMBER(SEARCH(","&amp;TRIM(TEXTSPLIT(FW129,","))&amp;",",","&amp;SUBSTITUTE(input_location," ","")&amp;",")))&gt;0)),IF(FY129="",TRUE,IF(input_location="",FALSE,SUMPRODUCT(--ISNUMBER(SEARCH(","&amp;TRIM(TEXTSPLIT(FY129,","))&amp;",",","&amp;SUBSTITUTE(input_location," ","")&amp;",")))=COUNTA(TEXTSPLIT(FY129,",")))))</f>
        <v/>
      </c>
      <c r="JK129">
        <f>AND(IF(GA129="",TRUE,IF(input_modality="",FALSE,SUMPRODUCT(--ISNUMBER(SEARCH(","&amp;TRIM(TEXTSPLIT(GA129,","))&amp;",",","&amp;SUBSTITUTE(input_modality," ","")&amp;",")))&gt;0)),IF(GC129="",TRUE,IF(input_modality="",FALSE,SUMPRODUCT(--ISNUMBER(SEARCH(","&amp;TRIM(TEXTSPLIT(GC129,","))&amp;",",","&amp;SUBSTITUTE(input_modality," ","")&amp;",")))=COUNTA(TEXTSPLIT(GC129,",")))),IF(GE129="",TRUE,IF(input_modality="",TRUE,SUMPRODUCT(--ISNUMBER(SEARCH(","&amp;TRIM(TEXTSPLIT(GE129,","))&amp;",",","&amp;SUBSTITUTE(input_modality," ","")&amp;",")))=0)),IF(GG129="",TRUE,IF(input_modality="",FALSE,SUMPRODUCT(--ISNUMBER(SEARCH(","&amp;TRIM(TEXTSPLIT(GG129,","))&amp;",",","&amp;SUBSTITUTE(input_modality," ","")&amp;",")))&gt;0)),IF(GI129="",TRUE,IF(input_modality="",FALSE,SUMPRODUCT(--ISNUMBER(SEARCH(","&amp;TRIM(TEXTSPLIT(GI129,","))&amp;",",","&amp;SUBSTITUTE(input_modality," ","")&amp;",")))=COUNTA(TEXTSPLIT(GI129,",")))))</f>
        <v/>
      </c>
      <c r="JL129">
        <f>AND(IF(GK129="",TRUE,IF(input_organizer="",FALSE,SUMPRODUCT(--ISNUMBER(SEARCH(","&amp;TRIM(TEXTSPLIT(GK129,","))&amp;",",","&amp;SUBSTITUTE(input_organizer," ","")&amp;",")))&gt;0)),IF(GM129="",TRUE,IF(input_organizer="",FALSE,SUMPRODUCT(--ISNUMBER(SEARCH(","&amp;TRIM(TEXTSPLIT(GM129,","))&amp;",",","&amp;SUBSTITUTE(input_organizer," ","")&amp;",")))=COUNTA(TEXTSPLIT(GM129,",")))),IF(GO129="",TRUE,IF(input_organizer="",TRUE,SUMPRODUCT(--ISNUMBER(SEARCH(","&amp;TRIM(TEXTSPLIT(GO129,","))&amp;",",","&amp;SUBSTITUTE(input_organizer," ","")&amp;",")))=0)),IF(GQ129="",TRUE,IF(input_organizer="",FALSE,SUMPRODUCT(--ISNUMBER(SEARCH(","&amp;TRIM(TEXTSPLIT(GQ129,","))&amp;",",","&amp;SUBSTITUTE(input_organizer," ","")&amp;",")))&gt;0)),IF(GS129="",TRUE,IF(input_organizer="",FALSE,SUMPRODUCT(--ISNUMBER(SEARCH(","&amp;TRIM(TEXTSPLIT(GS129,","))&amp;",",","&amp;SUBSTITUTE(input_organizer," ","")&amp;",")))=COUNTA(TEXTSPLIT(GS129,",")))))</f>
        <v/>
      </c>
      <c r="JM129">
        <f>AND(IF(GU129="",TRUE,IF(input_profile_type="",FALSE,SUMPRODUCT(--ISNUMBER(SEARCH(","&amp;TRIM(TEXTSPLIT(GU129,","))&amp;",",","&amp;SUBSTITUTE(input_profile_type," ","")&amp;",")))&gt;0)),IF(GW129="",TRUE,IF(input_profile_type="",FALSE,SUMPRODUCT(--ISNUMBER(SEARCH(","&amp;TRIM(TEXTSPLIT(GW129,","))&amp;",",","&amp;SUBSTITUTE(input_profile_type," ","")&amp;",")))=COUNTA(TEXTSPLIT(GW129,",")))),IF(GY129="",TRUE,IF(input_profile_type="",TRUE,SUMPRODUCT(--ISNUMBER(SEARCH(","&amp;TRIM(TEXTSPLIT(GY129,","))&amp;",",","&amp;SUBSTITUTE(input_profile_type," ","")&amp;",")))=0)),IF(HA129="",TRUE,IF(input_profile_type="",FALSE,SUMPRODUCT(--ISNUMBER(SEARCH(","&amp;TRIM(TEXTSPLIT(HA129,","))&amp;",",","&amp;SUBSTITUTE(input_profile_type," ","")&amp;",")))&gt;0)),IF(HC129="",TRUE,IF(input_profile_type="",FALSE,SUMPRODUCT(--ISNUMBER(SEARCH(","&amp;TRIM(TEXTSPLIT(HC129,","))&amp;",",","&amp;SUBSTITUTE(input_profile_type," ","")&amp;",")))=COUNTA(TEXTSPLIT(HC129,",")))))</f>
        <v/>
      </c>
      <c r="JN129">
        <f>AND(IF(HE129="",TRUE,IF(input_program="",FALSE,SUMPRODUCT(--ISNUMBER(SEARCH(","&amp;TRIM(TEXTSPLIT(HE129,","))&amp;",",","&amp;SUBSTITUTE(input_program," ","")&amp;",")))&gt;0)),IF(HG129="",TRUE,IF(input_program="",FALSE,SUMPRODUCT(--ISNUMBER(SEARCH(","&amp;TRIM(TEXTSPLIT(HG129,","))&amp;",",","&amp;SUBSTITUTE(input_program," ","")&amp;",")))=COUNTA(TEXTSPLIT(HG129,",")))),IF(HI129="",TRUE,IF(input_program="",TRUE,SUMPRODUCT(--ISNUMBER(SEARCH(","&amp;TRIM(TEXTSPLIT(HI129,","))&amp;",",","&amp;SUBSTITUTE(input_program," ","")&amp;",")))=0)),IF(HK129="",TRUE,IF(input_program="",FALSE,SUMPRODUCT(--ISNUMBER(SEARCH(","&amp;TRIM(TEXTSPLIT(HK129,","))&amp;",",","&amp;SUBSTITUTE(input_program," ","")&amp;",")))&gt;0)),IF(HM129="",TRUE,IF(input_program="",FALSE,SUMPRODUCT(--ISNUMBER(SEARCH(","&amp;TRIM(TEXTSPLIT(HM129,","))&amp;",",","&amp;SUBSTITUTE(input_program," ","")&amp;",")))=COUNTA(TEXTSPLIT(HM129,",")))))</f>
        <v/>
      </c>
      <c r="JO129">
        <f>AND(IF(HO129="",TRUE,IF(input_story_categories="",FALSE,SUMPRODUCT(--ISNUMBER(SEARCH(","&amp;TRIM(TEXTSPLIT(HO129,","))&amp;",",","&amp;SUBSTITUTE(input_story_categories," ","")&amp;",")))&gt;0)),IF(HQ129="",TRUE,IF(input_story_categories="",FALSE,SUMPRODUCT(--ISNUMBER(SEARCH(","&amp;TRIM(TEXTSPLIT(HQ129,","))&amp;",",","&amp;SUBSTITUTE(input_story_categories," ","")&amp;",")))=COUNTA(TEXTSPLIT(HQ129,",")))),IF(HS129="",TRUE,IF(input_story_categories="",TRUE,SUMPRODUCT(--ISNUMBER(SEARCH(","&amp;TRIM(TEXTSPLIT(HS129,","))&amp;",",","&amp;SUBSTITUTE(input_story_categories," ","")&amp;",")))=0)),IF(HU129="",TRUE,IF(input_story_categories="",FALSE,SUMPRODUCT(--ISNUMBER(SEARCH(","&amp;TRIM(TEXTSPLIT(HU129,","))&amp;",",","&amp;SUBSTITUTE(input_story_categories," ","")&amp;",")))&gt;0)),IF(HW129="",TRUE,IF(input_story_categories="",FALSE,SUMPRODUCT(--ISNUMBER(SEARCH(","&amp;TRIM(TEXTSPLIT(HW129,","))&amp;",",","&amp;SUBSTITUTE(input_story_categories," ","")&amp;",")))=COUNTA(TEXTSPLIT(HW129,",")))))</f>
        <v/>
      </c>
      <c r="JP129">
        <f>AND(IF(HY129="",TRUE,IF(input_story_type="",FALSE,SUMPRODUCT(--ISNUMBER(SEARCH(","&amp;TRIM(TEXTSPLIT(HY129,","))&amp;",",","&amp;SUBSTITUTE(input_story_type," ","")&amp;",")))&gt;0)),IF(IA129="",TRUE,IF(input_story_type="",FALSE,SUMPRODUCT(--ISNUMBER(SEARCH(","&amp;TRIM(TEXTSPLIT(IA129,","))&amp;",",","&amp;SUBSTITUTE(input_story_type," ","")&amp;",")))=COUNTA(TEXTSPLIT(IA129,",")))),IF(IC129="",TRUE,IF(input_story_type="",TRUE,SUMPRODUCT(--ISNUMBER(SEARCH(","&amp;TRIM(TEXTSPLIT(IC129,","))&amp;",",","&amp;SUBSTITUTE(input_story_type," ","")&amp;",")))=0)),IF(IE129="",TRUE,IF(input_story_type="",FALSE,SUMPRODUCT(--ISNUMBER(SEARCH(","&amp;TRIM(TEXTSPLIT(IE129,","))&amp;",",","&amp;SUBSTITUTE(input_story_type," ","")&amp;",")))&gt;0)),IF(IG129="",TRUE,IF(input_story_type="",FALSE,SUMPRODUCT(--ISNUMBER(SEARCH(","&amp;TRIM(TEXTSPLIT(IG129,","))&amp;",",","&amp;SUBSTITUTE(input_story_type," ","")&amp;",")))=COUNTA(TEXTSPLIT(IG129,",")))))</f>
        <v/>
      </c>
      <c r="JQ129">
        <f>AND(IF(II129="",TRUE,IF(input_topics="",FALSE,SUMPRODUCT(--ISNUMBER(SEARCH(","&amp;TRIM(TEXTSPLIT(II129,","))&amp;",",","&amp;SUBSTITUTE(input_topics," ","")&amp;",")))&gt;0)),IF(IK129="",TRUE,IF(input_topics="",FALSE,SUMPRODUCT(--ISNUMBER(SEARCH(","&amp;TRIM(TEXTSPLIT(IK129,","))&amp;",",","&amp;SUBSTITUTE(input_topics," ","")&amp;",")))=COUNTA(TEXTSPLIT(IK129,",")))),IF(IM129="",TRUE,IF(input_topics="",TRUE,SUMPRODUCT(--ISNUMBER(SEARCH(","&amp;TRIM(TEXTSPLIT(IM129,","))&amp;",",","&amp;SUBSTITUTE(input_topics," ","")&amp;",")))=0)),IF(IO129="",TRUE,IF(input_topics="",FALSE,SUMPRODUCT(--ISNUMBER(SEARCH(","&amp;TRIM(TEXTSPLIT(IO129,","))&amp;",",","&amp;SUBSTITUTE(input_topics," ","")&amp;",")))&gt;0)),IF(IQ129="",TRUE,IF(input_topics="",FALSE,SUMPRODUCT(--ISNUMBER(SEARCH(","&amp;TRIM(TEXTSPLIT(IQ129,","))&amp;",",","&amp;SUBSTITUTE(input_topics," ","")&amp;",")))=COUNTA(TEXTSPLIT(IQ129,",")))))</f>
        <v/>
      </c>
    </row>
    <row r="130">
      <c r="A130" s="4">
        <f>IF(NOT(IS130),"Excluded",IF(AND(IT130,IU130,IV130,IW130,IX130,IY130,IZ130,JA130,JB130,JC130,JD130,JE130,JF130,JG130,JH130,JI130,JJ130,JK130,JL130,JM130,JN130,JO130,JP130,JQ130),IF(I130&gt;0,"Eligible but limited","Will appear"),"Excluded"))</f>
        <v/>
      </c>
      <c r="B130" s="4" t="inlineStr">
        <is>
          <t>MBA for Executives Blog &amp; News</t>
        </is>
      </c>
      <c r="C130" s="4" t="inlineStr">
        <is>
          <t>/programs/emba/blog-news</t>
        </is>
      </c>
      <c r="D130" s="4" t="inlineStr">
        <is>
          <t>/programs/emba/blog-news</t>
        </is>
      </c>
      <c r="E130" s="4" t="n">
        <v>1</v>
      </c>
      <c r="F130" s="4" t="inlineStr">
        <is>
          <t>story</t>
        </is>
      </c>
      <c r="G130" s="4" t="inlineStr">
        <is>
          <t>stories_list</t>
        </is>
      </c>
      <c r="H130" s="4" t="inlineStr">
        <is>
          <t>embed_1</t>
        </is>
      </c>
      <c r="I130" s="4" t="n">
        <v>10</v>
      </c>
      <c r="J130" s="4" t="inlineStr">
        <is>
          <t>Explicit args</t>
        </is>
      </c>
      <c r="K130" s="4" t="inlineStr">
        <is>
          <t>Page placement</t>
        </is>
      </c>
      <c r="L130" s="4" t="inlineStr">
        <is>
          <t>Content type: story; Context uses Courses Context: MBA For Executives (928), Programs (94); Limited to 10 item(s); Source: Explicit args</t>
        </is>
      </c>
      <c r="M130" t="inlineStr"/>
      <c r="N130" t="inlineStr"/>
      <c r="O130" t="inlineStr"/>
      <c r="P130" t="inlineStr"/>
      <c r="Q130" t="inlineStr"/>
      <c r="R130" t="inlineStr"/>
      <c r="S130" t="inlineStr"/>
      <c r="T130" t="inlineStr"/>
      <c r="U130" t="inlineStr"/>
      <c r="V130" t="inlineStr"/>
      <c r="W130" t="inlineStr"/>
      <c r="X130" t="inlineStr"/>
      <c r="Y130" t="inlineStr"/>
      <c r="Z130" t="inlineStr"/>
      <c r="AA130" t="inlineStr"/>
      <c r="AB130" t="inlineStr"/>
      <c r="AC130" t="inlineStr"/>
      <c r="AD130" t="inlineStr"/>
      <c r="AE130" t="inlineStr"/>
      <c r="AF130" t="inlineStr"/>
      <c r="AG130" t="inlineStr"/>
      <c r="AH130" t="inlineStr"/>
      <c r="AI130" t="inlineStr"/>
      <c r="AJ130" t="inlineStr"/>
      <c r="AK130" t="inlineStr"/>
      <c r="AL130" t="inlineStr"/>
      <c r="AM130" t="inlineStr"/>
      <c r="AN130" t="inlineStr"/>
      <c r="AO130" t="inlineStr"/>
      <c r="AP130" t="inlineStr"/>
      <c r="AQ130" t="inlineStr"/>
      <c r="AR130" t="inlineStr"/>
      <c r="AS130" t="inlineStr"/>
      <c r="AT130" t="inlineStr"/>
      <c r="AU130" t="inlineStr"/>
      <c r="AV130" t="inlineStr"/>
      <c r="AW130" t="inlineStr"/>
      <c r="AX130" t="inlineStr"/>
      <c r="AY130" t="inlineStr"/>
      <c r="AZ130" t="inlineStr"/>
      <c r="BA130" t="inlineStr"/>
      <c r="BB130" t="inlineStr"/>
      <c r="BC130" t="inlineStr"/>
      <c r="BD130" t="inlineStr"/>
      <c r="BE130" t="inlineStr"/>
      <c r="BF130" t="inlineStr"/>
      <c r="BG130" t="inlineStr"/>
      <c r="BH130" t="inlineStr"/>
      <c r="BI130" t="inlineStr"/>
      <c r="BJ130" t="inlineStr"/>
      <c r="BK130" t="inlineStr"/>
      <c r="BL130" t="inlineStr"/>
      <c r="BM130" t="inlineStr"/>
      <c r="BN130" t="inlineStr"/>
      <c r="BO130" t="inlineStr"/>
      <c r="BP130" t="inlineStr"/>
      <c r="BQ130" t="inlineStr">
        <is>
          <t>928, 94</t>
        </is>
      </c>
      <c r="BR130" t="inlineStr">
        <is>
          <t>MBA For Executives (928), Programs (94)</t>
        </is>
      </c>
      <c r="BS130" t="inlineStr"/>
      <c r="BT130" t="inlineStr"/>
      <c r="BU130" t="inlineStr"/>
      <c r="BV130" t="inlineStr"/>
      <c r="BW130" t="inlineStr"/>
      <c r="BX130" t="inlineStr"/>
      <c r="BY130" t="inlineStr"/>
      <c r="BZ130" t="inlineStr"/>
      <c r="CA130" t="inlineStr"/>
      <c r="CB130" t="inlineStr"/>
      <c r="CC130" t="inlineStr"/>
      <c r="CD130" t="inlineStr"/>
      <c r="CE130" t="inlineStr"/>
      <c r="CF130" t="inlineStr"/>
      <c r="CG130" t="inlineStr"/>
      <c r="CH130" t="inlineStr"/>
      <c r="CI130" t="inlineStr"/>
      <c r="CJ130" t="inlineStr"/>
      <c r="CK130" t="inlineStr"/>
      <c r="CL130" t="inlineStr"/>
      <c r="CM130" t="inlineStr"/>
      <c r="CN130" t="inlineStr"/>
      <c r="CO130" t="inlineStr"/>
      <c r="CP130" t="inlineStr"/>
      <c r="CQ130" t="inlineStr"/>
      <c r="CR130" t="inlineStr"/>
      <c r="CS130" t="inlineStr"/>
      <c r="CT130" t="inlineStr"/>
      <c r="CU130" t="inlineStr"/>
      <c r="CV130" t="inlineStr"/>
      <c r="CW130" t="inlineStr"/>
      <c r="CX130" t="inlineStr"/>
      <c r="CY130" t="inlineStr"/>
      <c r="CZ130" t="inlineStr"/>
      <c r="DA130" t="inlineStr"/>
      <c r="DB130" t="inlineStr"/>
      <c r="DC130" t="inlineStr"/>
      <c r="DD130" t="inlineStr"/>
      <c r="DE130" t="inlineStr"/>
      <c r="DF130" t="inlineStr"/>
      <c r="DG130" t="inlineStr"/>
      <c r="DH130" t="inlineStr"/>
      <c r="DI130" t="inlineStr"/>
      <c r="DJ130" t="inlineStr"/>
      <c r="DK130" t="inlineStr"/>
      <c r="DL130" t="inlineStr"/>
      <c r="DM130" t="inlineStr"/>
      <c r="DN130" t="inlineStr"/>
      <c r="DO130" t="inlineStr"/>
      <c r="DP130" t="inlineStr"/>
      <c r="DQ130" t="inlineStr"/>
      <c r="DR130" t="inlineStr"/>
      <c r="DS130" t="inlineStr"/>
      <c r="DT130" t="inlineStr"/>
      <c r="DU130" t="inlineStr"/>
      <c r="DV130" t="inlineStr"/>
      <c r="DW130" t="inlineStr"/>
      <c r="DX130" t="inlineStr"/>
      <c r="DY130" t="inlineStr"/>
      <c r="DZ130" t="inlineStr"/>
      <c r="EA130" t="inlineStr"/>
      <c r="EB130" t="inlineStr"/>
      <c r="EC130" t="inlineStr"/>
      <c r="ED130" t="inlineStr"/>
      <c r="EE130" t="inlineStr"/>
      <c r="EF130" t="inlineStr"/>
      <c r="EG130" t="inlineStr"/>
      <c r="EH130" t="inlineStr"/>
      <c r="EI130" t="inlineStr"/>
      <c r="EJ130" t="inlineStr"/>
      <c r="EK130" t="inlineStr"/>
      <c r="EL130" t="inlineStr"/>
      <c r="EM130" t="inlineStr"/>
      <c r="EN130" t="inlineStr"/>
      <c r="EO130" t="inlineStr"/>
      <c r="EP130" t="inlineStr"/>
      <c r="EQ130" t="inlineStr"/>
      <c r="ER130" t="inlineStr"/>
      <c r="ES130" t="inlineStr"/>
      <c r="ET130" t="inlineStr"/>
      <c r="EU130" t="inlineStr"/>
      <c r="EV130" t="inlineStr"/>
      <c r="EW130" t="inlineStr"/>
      <c r="EX130" t="inlineStr"/>
      <c r="EY130" t="inlineStr"/>
      <c r="EZ130" t="inlineStr"/>
      <c r="FA130" t="inlineStr"/>
      <c r="FB130" t="inlineStr"/>
      <c r="FC130" t="inlineStr"/>
      <c r="FD130" t="inlineStr"/>
      <c r="FE130" t="inlineStr"/>
      <c r="FF130" t="inlineStr"/>
      <c r="FG130" t="inlineStr"/>
      <c r="FH130" t="inlineStr"/>
      <c r="FI130" t="inlineStr"/>
      <c r="FJ130" t="inlineStr"/>
      <c r="FK130" t="inlineStr"/>
      <c r="FL130" t="inlineStr"/>
      <c r="FM130" t="inlineStr"/>
      <c r="FN130" t="inlineStr"/>
      <c r="FO130" t="inlineStr"/>
      <c r="FP130" t="inlineStr"/>
      <c r="FQ130" t="inlineStr"/>
      <c r="FR130" t="inlineStr"/>
      <c r="FS130" t="inlineStr"/>
      <c r="FT130" t="inlineStr"/>
      <c r="FU130" t="inlineStr"/>
      <c r="FV130" t="inlineStr"/>
      <c r="FW130" t="inlineStr"/>
      <c r="FX130" t="inlineStr"/>
      <c r="FY130" t="inlineStr"/>
      <c r="FZ130" t="inlineStr"/>
      <c r="GA130" t="inlineStr"/>
      <c r="GB130" t="inlineStr"/>
      <c r="GC130" t="inlineStr"/>
      <c r="GD130" t="inlineStr"/>
      <c r="GE130" t="inlineStr"/>
      <c r="GF130" t="inlineStr"/>
      <c r="GG130" t="inlineStr"/>
      <c r="GH130" t="inlineStr"/>
      <c r="GI130" t="inlineStr"/>
      <c r="GJ130" t="inlineStr"/>
      <c r="GK130" t="inlineStr"/>
      <c r="GL130" t="inlineStr"/>
      <c r="GM130" t="inlineStr"/>
      <c r="GN130" t="inlineStr"/>
      <c r="GO130" t="inlineStr"/>
      <c r="GP130" t="inlineStr"/>
      <c r="GQ130" t="inlineStr"/>
      <c r="GR130" t="inlineStr"/>
      <c r="GS130" t="inlineStr"/>
      <c r="GT130" t="inlineStr"/>
      <c r="GU130" t="inlineStr"/>
      <c r="GV130" t="inlineStr"/>
      <c r="GW130" t="inlineStr"/>
      <c r="GX130" t="inlineStr"/>
      <c r="GY130" t="inlineStr"/>
      <c r="GZ130" t="inlineStr"/>
      <c r="HA130" t="inlineStr"/>
      <c r="HB130" t="inlineStr"/>
      <c r="HC130" t="inlineStr"/>
      <c r="HD130" t="inlineStr"/>
      <c r="HE130" t="inlineStr"/>
      <c r="HF130" t="inlineStr"/>
      <c r="HG130" t="inlineStr"/>
      <c r="HH130" t="inlineStr"/>
      <c r="HI130" t="inlineStr"/>
      <c r="HJ130" t="inlineStr"/>
      <c r="HK130" t="inlineStr"/>
      <c r="HL130" t="inlineStr"/>
      <c r="HM130" t="inlineStr"/>
      <c r="HN130" t="inlineStr"/>
      <c r="HO130" t="inlineStr"/>
      <c r="HP130" t="inlineStr"/>
      <c r="HQ130" t="inlineStr"/>
      <c r="HR130" t="inlineStr"/>
      <c r="HS130" t="inlineStr"/>
      <c r="HT130" t="inlineStr"/>
      <c r="HU130" t="inlineStr"/>
      <c r="HV130" t="inlineStr"/>
      <c r="HW130" t="inlineStr"/>
      <c r="HX130" t="inlineStr"/>
      <c r="HY130" t="inlineStr"/>
      <c r="HZ130" t="inlineStr"/>
      <c r="IA130" t="inlineStr"/>
      <c r="IB130" t="inlineStr"/>
      <c r="IC130" t="inlineStr"/>
      <c r="ID130" t="inlineStr"/>
      <c r="IE130" t="inlineStr"/>
      <c r="IF130" t="inlineStr"/>
      <c r="IG130" t="inlineStr"/>
      <c r="IH130" t="inlineStr"/>
      <c r="II130" t="inlineStr"/>
      <c r="IJ130" t="inlineStr"/>
      <c r="IK130" t="inlineStr"/>
      <c r="IL130" t="inlineStr"/>
      <c r="IM130" t="inlineStr"/>
      <c r="IN130" t="inlineStr"/>
      <c r="IO130" t="inlineStr"/>
      <c r="IP130" t="inlineStr"/>
      <c r="IQ130" t="inlineStr"/>
      <c r="IR130" t="inlineStr"/>
      <c r="IS130">
        <f>IF(input_content_type="",FALSE,ISNUMBER(SEARCH(","&amp;LOWER(input_content_type)&amp;",",","&amp;LOWER(F130)&amp;",")))</f>
        <v/>
      </c>
      <c r="IT130">
        <f>AND(IF(M130="",TRUE,IF(input_affiliations="",FALSE,SUMPRODUCT(--ISNUMBER(SEARCH(","&amp;TRIM(TEXTSPLIT(M130,","))&amp;",",","&amp;SUBSTITUTE(input_affiliations," ","")&amp;",")))&gt;0)),IF(O130="",TRUE,IF(input_affiliations="",FALSE,SUMPRODUCT(--ISNUMBER(SEARCH(","&amp;TRIM(TEXTSPLIT(O130,","))&amp;",",","&amp;SUBSTITUTE(input_affiliations," ","")&amp;",")))=COUNTA(TEXTSPLIT(O130,",")))),IF(Q130="",TRUE,IF(input_affiliations="",TRUE,SUMPRODUCT(--ISNUMBER(SEARCH(","&amp;TRIM(TEXTSPLIT(Q130,","))&amp;",",","&amp;SUBSTITUTE(input_affiliations," ","")&amp;",")))=0)),IF(S130="",TRUE,IF(input_affiliations="",FALSE,SUMPRODUCT(--ISNUMBER(SEARCH(","&amp;TRIM(TEXTSPLIT(S130,","))&amp;",",","&amp;SUBSTITUTE(input_affiliations," ","")&amp;",")))&gt;0)),IF(U130="",TRUE,IF(input_affiliations="",FALSE,SUMPRODUCT(--ISNUMBER(SEARCH(","&amp;TRIM(TEXTSPLIT(U130,","))&amp;",",","&amp;SUBSTITUTE(input_affiliations," ","")&amp;",")))=COUNTA(TEXTSPLIT(U130,",")))))</f>
        <v/>
      </c>
      <c r="IU130">
        <f>AND(IF(W130="",TRUE,IF(input_announcement_category="",FALSE,SUMPRODUCT(--ISNUMBER(SEARCH(","&amp;TRIM(TEXTSPLIT(W130,","))&amp;",",","&amp;SUBSTITUTE(input_announcement_category," ","")&amp;",")))&gt;0)),IF(Y130="",TRUE,IF(input_announcement_category="",FALSE,SUMPRODUCT(--ISNUMBER(SEARCH(","&amp;TRIM(TEXTSPLIT(Y130,","))&amp;",",","&amp;SUBSTITUTE(input_announcement_category," ","")&amp;",")))=COUNTA(TEXTSPLIT(Y130,",")))),IF(AA130="",TRUE,IF(input_announcement_category="",TRUE,SUMPRODUCT(--ISNUMBER(SEARCH(","&amp;TRIM(TEXTSPLIT(AA130,","))&amp;",",","&amp;SUBSTITUTE(input_announcement_category," ","")&amp;",")))=0)),IF(AC130="",TRUE,IF(input_announcement_category="",FALSE,SUMPRODUCT(--ISNUMBER(SEARCH(","&amp;TRIM(TEXTSPLIT(AC130,","))&amp;",",","&amp;SUBSTITUTE(input_announcement_category," ","")&amp;",")))&gt;0)),IF(AE130="",TRUE,IF(input_announcement_category="",FALSE,SUMPRODUCT(--ISNUMBER(SEARCH(","&amp;TRIM(TEXTSPLIT(AE130,","))&amp;",",","&amp;SUBSTITUTE(input_announcement_category," ","")&amp;",")))=COUNTA(TEXTSPLIT(AE130,",")))))</f>
        <v/>
      </c>
      <c r="IV130">
        <f>AND(IF(AG130="",TRUE,IF(input_area_of_focus="",FALSE,SUMPRODUCT(--ISNUMBER(SEARCH(","&amp;TRIM(TEXTSPLIT(AG130,","))&amp;",",","&amp;SUBSTITUTE(input_area_of_focus," ","")&amp;",")))&gt;0)),IF(AI130="",TRUE,IF(input_area_of_focus="",FALSE,SUMPRODUCT(--ISNUMBER(SEARCH(","&amp;TRIM(TEXTSPLIT(AI130,","))&amp;",",","&amp;SUBSTITUTE(input_area_of_focus," ","")&amp;",")))=COUNTA(TEXTSPLIT(AI130,",")))),IF(AK130="",TRUE,IF(input_area_of_focus="",TRUE,SUMPRODUCT(--ISNUMBER(SEARCH(","&amp;TRIM(TEXTSPLIT(AK130,","))&amp;",",","&amp;SUBSTITUTE(input_area_of_focus," ","")&amp;",")))=0)),IF(AM130="",TRUE,IF(input_area_of_focus="",FALSE,SUMPRODUCT(--ISNUMBER(SEARCH(","&amp;TRIM(TEXTSPLIT(AM130,","))&amp;",",","&amp;SUBSTITUTE(input_area_of_focus," ","")&amp;",")))&gt;0)),IF(AO130="",TRUE,IF(input_area_of_focus="",FALSE,SUMPRODUCT(--ISNUMBER(SEARCH(","&amp;TRIM(TEXTSPLIT(AO130,","))&amp;",",","&amp;SUBSTITUTE(input_area_of_focus," ","")&amp;",")))=COUNTA(TEXTSPLIT(AO130,",")))))</f>
        <v/>
      </c>
      <c r="IW130">
        <f>AND(IF(AQ130="",TRUE,IF(input_audience="",FALSE,SUMPRODUCT(--ISNUMBER(SEARCH(","&amp;TRIM(TEXTSPLIT(AQ130,","))&amp;",",","&amp;SUBSTITUTE(input_audience," ","")&amp;",")))&gt;0)),IF(AS130="",TRUE,IF(input_audience="",FALSE,SUMPRODUCT(--ISNUMBER(SEARCH(","&amp;TRIM(TEXTSPLIT(AS130,","))&amp;",",","&amp;SUBSTITUTE(input_audience," ","")&amp;",")))=COUNTA(TEXTSPLIT(AS130,",")))),IF(AU130="",TRUE,IF(input_audience="",TRUE,SUMPRODUCT(--ISNUMBER(SEARCH(","&amp;TRIM(TEXTSPLIT(AU130,","))&amp;",",","&amp;SUBSTITUTE(input_audience," ","")&amp;",")))=0)),IF(AW130="",TRUE,IF(input_audience="",FALSE,SUMPRODUCT(--ISNUMBER(SEARCH(","&amp;TRIM(TEXTSPLIT(AW130,","))&amp;",",","&amp;SUBSTITUTE(input_audience," ","")&amp;",")))&gt;0)),IF(AY130="",TRUE,IF(input_audience="",FALSE,SUMPRODUCT(--ISNUMBER(SEARCH(","&amp;TRIM(TEXTSPLIT(AY130,","))&amp;",",","&amp;SUBSTITUTE(input_audience," ","")&amp;",")))=COUNTA(TEXTSPLIT(AY130,",")))))</f>
        <v/>
      </c>
      <c r="IX130">
        <f>AND(IF(BA130="",TRUE,IF(input_challenge_opportunities="",FALSE,SUMPRODUCT(--ISNUMBER(SEARCH(","&amp;TRIM(TEXTSPLIT(BA130,","))&amp;",",","&amp;SUBSTITUTE(input_challenge_opportunities," ","")&amp;",")))&gt;0)),IF(BC130="",TRUE,IF(input_challenge_opportunities="",FALSE,SUMPRODUCT(--ISNUMBER(SEARCH(","&amp;TRIM(TEXTSPLIT(BC130,","))&amp;",",","&amp;SUBSTITUTE(input_challenge_opportunities," ","")&amp;",")))=COUNTA(TEXTSPLIT(BC130,",")))),IF(BE130="",TRUE,IF(input_challenge_opportunities="",TRUE,SUMPRODUCT(--ISNUMBER(SEARCH(","&amp;TRIM(TEXTSPLIT(BE130,","))&amp;",",","&amp;SUBSTITUTE(input_challenge_opportunities," ","")&amp;",")))=0)),IF(BG130="",TRUE,IF(input_challenge_opportunities="",FALSE,SUMPRODUCT(--ISNUMBER(SEARCH(","&amp;TRIM(TEXTSPLIT(BG130,","))&amp;",",","&amp;SUBSTITUTE(input_challenge_opportunities," ","")&amp;",")))&gt;0)),IF(BI130="",TRUE,IF(input_challenge_opportunities="",FALSE,SUMPRODUCT(--ISNUMBER(SEARCH(","&amp;TRIM(TEXTSPLIT(BI130,","))&amp;",",","&amp;SUBSTITUTE(input_challenge_opportunities," ","")&amp;",")))=COUNTA(TEXTSPLIT(BI130,",")))))</f>
        <v/>
      </c>
      <c r="IY130">
        <f>AND(IF(BK130="",TRUE,IF(input_context="",FALSE,SUMPRODUCT(--ISNUMBER(SEARCH(","&amp;TRIM(TEXTSPLIT(BK130,","))&amp;",",","&amp;SUBSTITUTE(input_context," ","")&amp;",")))&gt;0)),IF(BM130="",TRUE,IF(input_context="",FALSE,SUMPRODUCT(--ISNUMBER(SEARCH(","&amp;TRIM(TEXTSPLIT(BM130,","))&amp;",",","&amp;SUBSTITUTE(input_context," ","")&amp;",")))=COUNTA(TEXTSPLIT(BM130,",")))),IF(BO130="",TRUE,IF(input_context="",TRUE,SUMPRODUCT(--ISNUMBER(SEARCH(","&amp;TRIM(TEXTSPLIT(BO130,","))&amp;",",","&amp;SUBSTITUTE(input_context," ","")&amp;",")))=0)),IF(BQ130="",TRUE,IF(input_context="",FALSE,SUMPRODUCT(--ISNUMBER(SEARCH(","&amp;TRIM(TEXTSPLIT(BQ130,","))&amp;",",","&amp;SUBSTITUTE(input_context," ","")&amp;",")))&gt;0)),IF(BS130="",TRUE,IF(input_context="",FALSE,SUMPRODUCT(--ISNUMBER(SEARCH(","&amp;TRIM(TEXTSPLIT(BS130,","))&amp;",",","&amp;SUBSTITUTE(input_context," ","")&amp;",")))=COUNTA(TEXTSPLIT(BS130,",")))))</f>
        <v/>
      </c>
      <c r="IZ130">
        <f>AND(IF(BU130="",TRUE,IF(input_enews_announcement_type="",FALSE,SUMPRODUCT(--ISNUMBER(SEARCH(","&amp;TRIM(TEXTSPLIT(BU130,","))&amp;",",","&amp;SUBSTITUTE(input_enews_announcement_type," ","")&amp;",")))&gt;0)),IF(BW130="",TRUE,IF(input_enews_announcement_type="",FALSE,SUMPRODUCT(--ISNUMBER(SEARCH(","&amp;TRIM(TEXTSPLIT(BW130,","))&amp;",",","&amp;SUBSTITUTE(input_enews_announcement_type," ","")&amp;",")))=COUNTA(TEXTSPLIT(BW130,",")))),IF(BY130="",TRUE,IF(input_enews_announcement_type="",TRUE,SUMPRODUCT(--ISNUMBER(SEARCH(","&amp;TRIM(TEXTSPLIT(BY130,","))&amp;",",","&amp;SUBSTITUTE(input_enews_announcement_type," ","")&amp;",")))=0)),IF(CA130="",TRUE,IF(input_enews_announcement_type="",FALSE,SUMPRODUCT(--ISNUMBER(SEARCH(","&amp;TRIM(TEXTSPLIT(CA130,","))&amp;",",","&amp;SUBSTITUTE(input_enews_announcement_type," ","")&amp;",")))&gt;0)),IF(CC130="",TRUE,IF(input_enews_announcement_type="",FALSE,SUMPRODUCT(--ISNUMBER(SEARCH(","&amp;TRIM(TEXTSPLIT(CC130,","))&amp;",",","&amp;SUBSTITUTE(input_enews_announcement_type," ","")&amp;",")))=COUNTA(TEXTSPLIT(CC130,",")))))</f>
        <v/>
      </c>
      <c r="JA130">
        <f>AND(IF(CE130="",TRUE,IF(input_enews_audience="",FALSE,SUMPRODUCT(--ISNUMBER(SEARCH(","&amp;TRIM(TEXTSPLIT(CE130,","))&amp;",",","&amp;SUBSTITUTE(input_enews_audience," ","")&amp;",")))&gt;0)),IF(CG130="",TRUE,IF(input_enews_audience="",FALSE,SUMPRODUCT(--ISNUMBER(SEARCH(","&amp;TRIM(TEXTSPLIT(CG130,","))&amp;",",","&amp;SUBSTITUTE(input_enews_audience," ","")&amp;",")))=COUNTA(TEXTSPLIT(CG130,",")))),IF(CI130="",TRUE,IF(input_enews_audience="",TRUE,SUMPRODUCT(--ISNUMBER(SEARCH(","&amp;TRIM(TEXTSPLIT(CI130,","))&amp;",",","&amp;SUBSTITUTE(input_enews_audience," ","")&amp;",")))=0)),IF(CK130="",TRUE,IF(input_enews_audience="",FALSE,SUMPRODUCT(--ISNUMBER(SEARCH(","&amp;TRIM(TEXTSPLIT(CK130,","))&amp;",",","&amp;SUBSTITUTE(input_enews_audience," ","")&amp;",")))&gt;0)),IF(CM130="",TRUE,IF(input_enews_audience="",FALSE,SUMPRODUCT(--ISNUMBER(SEARCH(","&amp;TRIM(TEXTSPLIT(CM130,","))&amp;",",","&amp;SUBSTITUTE(input_enews_audience," ","")&amp;",")))=COUNTA(TEXTSPLIT(CM130,",")))))</f>
        <v/>
      </c>
      <c r="JB130">
        <f>AND(IF(CO130="",TRUE,IF(input_event_location="",FALSE,SUMPRODUCT(--ISNUMBER(SEARCH(","&amp;TRIM(TEXTSPLIT(CO130,","))&amp;",",","&amp;SUBSTITUTE(input_event_location," ","")&amp;",")))&gt;0)),IF(CQ130="",TRUE,IF(input_event_location="",FALSE,SUMPRODUCT(--ISNUMBER(SEARCH(","&amp;TRIM(TEXTSPLIT(CQ130,","))&amp;",",","&amp;SUBSTITUTE(input_event_location," ","")&amp;",")))=COUNTA(TEXTSPLIT(CQ130,",")))),IF(CS130="",TRUE,IF(input_event_location="",TRUE,SUMPRODUCT(--ISNUMBER(SEARCH(","&amp;TRIM(TEXTSPLIT(CS130,","))&amp;",",","&amp;SUBSTITUTE(input_event_location," ","")&amp;",")))=0)),IF(CU130="",TRUE,IF(input_event_location="",FALSE,SUMPRODUCT(--ISNUMBER(SEARCH(","&amp;TRIM(TEXTSPLIT(CU130,","))&amp;",",","&amp;SUBSTITUTE(input_event_location," ","")&amp;",")))&gt;0)),IF(CW130="",TRUE,IF(input_event_location="",FALSE,SUMPRODUCT(--ISNUMBER(SEARCH(","&amp;TRIM(TEXTSPLIT(CW130,","))&amp;",",","&amp;SUBSTITUTE(input_event_location," ","")&amp;",")))=COUNTA(TEXTSPLIT(CW130,",")))))</f>
        <v/>
      </c>
      <c r="JC130">
        <f>AND(IF(CY130="",TRUE,IF(input_event_type="",FALSE,SUMPRODUCT(--ISNUMBER(SEARCH(","&amp;TRIM(TEXTSPLIT(CY130,","))&amp;",",","&amp;SUBSTITUTE(input_event_type," ","")&amp;",")))&gt;0)),IF(DA130="",TRUE,IF(input_event_type="",FALSE,SUMPRODUCT(--ISNUMBER(SEARCH(","&amp;TRIM(TEXTSPLIT(DA130,","))&amp;",",","&amp;SUBSTITUTE(input_event_type," ","")&amp;",")))=COUNTA(TEXTSPLIT(DA130,",")))),IF(DC130="",TRUE,IF(input_event_type="",TRUE,SUMPRODUCT(--ISNUMBER(SEARCH(","&amp;TRIM(TEXTSPLIT(DC130,","))&amp;",",","&amp;SUBSTITUTE(input_event_type," ","")&amp;",")))=0)),IF(DE130="",TRUE,IF(input_event_type="",FALSE,SUMPRODUCT(--ISNUMBER(SEARCH(","&amp;TRIM(TEXTSPLIT(DE130,","))&amp;",",","&amp;SUBSTITUTE(input_event_type," ","")&amp;",")))&gt;0)),IF(DG130="",TRUE,IF(input_event_type="",FALSE,SUMPRODUCT(--ISNUMBER(SEARCH(","&amp;TRIM(TEXTSPLIT(DG130,","))&amp;",",","&amp;SUBSTITUTE(input_event_type," ","")&amp;",")))=COUNTA(TEXTSPLIT(DG130,",")))))</f>
        <v/>
      </c>
      <c r="JD130">
        <f>AND(IF(DI130="",TRUE,IF(input_executive_education_focus="",FALSE,SUMPRODUCT(--ISNUMBER(SEARCH(","&amp;TRIM(TEXTSPLIT(DI130,","))&amp;",",","&amp;SUBSTITUTE(input_executive_education_focus," ","")&amp;",")))&gt;0)),IF(DK130="",TRUE,IF(input_executive_education_focus="",FALSE,SUMPRODUCT(--ISNUMBER(SEARCH(","&amp;TRIM(TEXTSPLIT(DK130,","))&amp;",",","&amp;SUBSTITUTE(input_executive_education_focus," ","")&amp;",")))=COUNTA(TEXTSPLIT(DK130,",")))),IF(DM130="",TRUE,IF(input_executive_education_focus="",TRUE,SUMPRODUCT(--ISNUMBER(SEARCH(","&amp;TRIM(TEXTSPLIT(DM130,","))&amp;",",","&amp;SUBSTITUTE(input_executive_education_focus," ","")&amp;",")))=0)),IF(DO130="",TRUE,IF(input_executive_education_focus="",FALSE,SUMPRODUCT(--ISNUMBER(SEARCH(","&amp;TRIM(TEXTSPLIT(DO130,","))&amp;",",","&amp;SUBSTITUTE(input_executive_education_focus," ","")&amp;",")))&gt;0)),IF(DQ130="",TRUE,IF(input_executive_education_focus="",FALSE,SUMPRODUCT(--ISNUMBER(SEARCH(","&amp;TRIM(TEXTSPLIT(DQ130,","))&amp;",",","&amp;SUBSTITUTE(input_executive_education_focus," ","")&amp;",")))=COUNTA(TEXTSPLIT(DQ130,",")))))</f>
        <v/>
      </c>
      <c r="JE130">
        <f>AND(IF(DS130="",TRUE,IF(input_faculty_category="",FALSE,SUMPRODUCT(--ISNUMBER(SEARCH(","&amp;TRIM(TEXTSPLIT(DS130,","))&amp;",",","&amp;SUBSTITUTE(input_faculty_category," ","")&amp;",")))&gt;0)),IF(DU130="",TRUE,IF(input_faculty_category="",FALSE,SUMPRODUCT(--ISNUMBER(SEARCH(","&amp;TRIM(TEXTSPLIT(DU130,","))&amp;",",","&amp;SUBSTITUTE(input_faculty_category," ","")&amp;",")))=COUNTA(TEXTSPLIT(DU130,",")))),IF(DW130="",TRUE,IF(input_faculty_category="",TRUE,SUMPRODUCT(--ISNUMBER(SEARCH(","&amp;TRIM(TEXTSPLIT(DW130,","))&amp;",",","&amp;SUBSTITUTE(input_faculty_category," ","")&amp;",")))=0)),IF(DY130="",TRUE,IF(input_faculty_category="",FALSE,SUMPRODUCT(--ISNUMBER(SEARCH(","&amp;TRIM(TEXTSPLIT(DY130,","))&amp;",",","&amp;SUBSTITUTE(input_faculty_category," ","")&amp;",")))&gt;0)),IF(EA130="",TRUE,IF(input_faculty_category="",FALSE,SUMPRODUCT(--ISNUMBER(SEARCH(","&amp;TRIM(TEXTSPLIT(EA130,","))&amp;",",","&amp;SUBSTITUTE(input_faculty_category," ","")&amp;",")))=COUNTA(TEXTSPLIT(EA130,",")))))</f>
        <v/>
      </c>
      <c r="JF130">
        <f>AND(IF(EC130="",TRUE,IF(input_faculty_discipline="",FALSE,SUMPRODUCT(--ISNUMBER(SEARCH(","&amp;TRIM(TEXTSPLIT(EC130,","))&amp;",",","&amp;SUBSTITUTE(input_faculty_discipline," ","")&amp;",")))&gt;0)),IF(EE130="",TRUE,IF(input_faculty_discipline="",FALSE,SUMPRODUCT(--ISNUMBER(SEARCH(","&amp;TRIM(TEXTSPLIT(EE130,","))&amp;",",","&amp;SUBSTITUTE(input_faculty_discipline," ","")&amp;",")))=COUNTA(TEXTSPLIT(EE130,",")))),IF(EG130="",TRUE,IF(input_faculty_discipline="",TRUE,SUMPRODUCT(--ISNUMBER(SEARCH(","&amp;TRIM(TEXTSPLIT(EG130,","))&amp;",",","&amp;SUBSTITUTE(input_faculty_discipline," ","")&amp;",")))=0)),IF(EI130="",TRUE,IF(input_faculty_discipline="",FALSE,SUMPRODUCT(--ISNUMBER(SEARCH(","&amp;TRIM(TEXTSPLIT(EI130,","))&amp;",",","&amp;SUBSTITUTE(input_faculty_discipline," ","")&amp;",")))&gt;0)),IF(EK130="",TRUE,IF(input_faculty_discipline="",FALSE,SUMPRODUCT(--ISNUMBER(SEARCH(","&amp;TRIM(TEXTSPLIT(EK130,","))&amp;",",","&amp;SUBSTITUTE(input_faculty_discipline," ","")&amp;",")))=COUNTA(TEXTSPLIT(EK130,",")))))</f>
        <v/>
      </c>
      <c r="JG130">
        <f>AND(IF(EM130="",TRUE,IF(input_faculty_expertise="",FALSE,SUMPRODUCT(--ISNUMBER(SEARCH(","&amp;TRIM(TEXTSPLIT(EM130,","))&amp;",",","&amp;SUBSTITUTE(input_faculty_expertise," ","")&amp;",")))&gt;0)),IF(EO130="",TRUE,IF(input_faculty_expertise="",FALSE,SUMPRODUCT(--ISNUMBER(SEARCH(","&amp;TRIM(TEXTSPLIT(EO130,","))&amp;",",","&amp;SUBSTITUTE(input_faculty_expertise," ","")&amp;",")))=COUNTA(TEXTSPLIT(EO130,",")))),IF(EQ130="",TRUE,IF(input_faculty_expertise="",TRUE,SUMPRODUCT(--ISNUMBER(SEARCH(","&amp;TRIM(TEXTSPLIT(EQ130,","))&amp;",",","&amp;SUBSTITUTE(input_faculty_expertise," ","")&amp;",")))=0)),IF(ES130="",TRUE,IF(input_faculty_expertise="",FALSE,SUMPRODUCT(--ISNUMBER(SEARCH(","&amp;TRIM(TEXTSPLIT(ES130,","))&amp;",",","&amp;SUBSTITUTE(input_faculty_expertise," ","")&amp;",")))&gt;0)),IF(EU130="",TRUE,IF(input_faculty_expertise="",FALSE,SUMPRODUCT(--ISNUMBER(SEARCH(","&amp;TRIM(TEXTSPLIT(EU130,","))&amp;",",","&amp;SUBSTITUTE(input_faculty_expertise," ","")&amp;",")))=COUNTA(TEXTSPLIT(EU130,",")))))</f>
        <v/>
      </c>
      <c r="JH130">
        <f>AND(IF(EW130="",TRUE,IF(input_global_network_school="",FALSE,SUMPRODUCT(--ISNUMBER(SEARCH(","&amp;TRIM(TEXTSPLIT(EW130,","))&amp;",",","&amp;SUBSTITUTE(input_global_network_school," ","")&amp;",")))&gt;0)),IF(EY130="",TRUE,IF(input_global_network_school="",FALSE,SUMPRODUCT(--ISNUMBER(SEARCH(","&amp;TRIM(TEXTSPLIT(EY130,","))&amp;",",","&amp;SUBSTITUTE(input_global_network_school," ","")&amp;",")))=COUNTA(TEXTSPLIT(EY130,",")))),IF(FA130="",TRUE,IF(input_global_network_school="",TRUE,SUMPRODUCT(--ISNUMBER(SEARCH(","&amp;TRIM(TEXTSPLIT(FA130,","))&amp;",",","&amp;SUBSTITUTE(input_global_network_school," ","")&amp;",")))=0)),IF(FC130="",TRUE,IF(input_global_network_school="",FALSE,SUMPRODUCT(--ISNUMBER(SEARCH(","&amp;TRIM(TEXTSPLIT(FC130,","))&amp;",",","&amp;SUBSTITUTE(input_global_network_school," ","")&amp;",")))&gt;0)),IF(FE130="",TRUE,IF(input_global_network_school="",FALSE,SUMPRODUCT(--ISNUMBER(SEARCH(","&amp;TRIM(TEXTSPLIT(FE130,","))&amp;",",","&amp;SUBSTITUTE(input_global_network_school," ","")&amp;",")))=COUNTA(TEXTSPLIT(FE130,",")))))</f>
        <v/>
      </c>
      <c r="JI130">
        <f>AND(IF(FG130="",TRUE,IF(input_industry="",FALSE,SUMPRODUCT(--ISNUMBER(SEARCH(","&amp;TRIM(TEXTSPLIT(FG130,","))&amp;",",","&amp;SUBSTITUTE(input_industry," ","")&amp;",")))&gt;0)),IF(FI130="",TRUE,IF(input_industry="",FALSE,SUMPRODUCT(--ISNUMBER(SEARCH(","&amp;TRIM(TEXTSPLIT(FI130,","))&amp;",",","&amp;SUBSTITUTE(input_industry," ","")&amp;",")))=COUNTA(TEXTSPLIT(FI130,",")))),IF(FK130="",TRUE,IF(input_industry="",TRUE,SUMPRODUCT(--ISNUMBER(SEARCH(","&amp;TRIM(TEXTSPLIT(FK130,","))&amp;",",","&amp;SUBSTITUTE(input_industry," ","")&amp;",")))=0)),IF(FM130="",TRUE,IF(input_industry="",FALSE,SUMPRODUCT(--ISNUMBER(SEARCH(","&amp;TRIM(TEXTSPLIT(FM130,","))&amp;",",","&amp;SUBSTITUTE(input_industry," ","")&amp;",")))&gt;0)),IF(FO130="",TRUE,IF(input_industry="",FALSE,SUMPRODUCT(--ISNUMBER(SEARCH(","&amp;TRIM(TEXTSPLIT(FO130,","))&amp;",",","&amp;SUBSTITUTE(input_industry," ","")&amp;",")))=COUNTA(TEXTSPLIT(FO130,",")))))</f>
        <v/>
      </c>
      <c r="JJ130">
        <f>AND(IF(FQ130="",TRUE,IF(input_location="",FALSE,SUMPRODUCT(--ISNUMBER(SEARCH(","&amp;TRIM(TEXTSPLIT(FQ130,","))&amp;",",","&amp;SUBSTITUTE(input_location," ","")&amp;",")))&gt;0)),IF(FS130="",TRUE,IF(input_location="",FALSE,SUMPRODUCT(--ISNUMBER(SEARCH(","&amp;TRIM(TEXTSPLIT(FS130,","))&amp;",",","&amp;SUBSTITUTE(input_location," ","")&amp;",")))=COUNTA(TEXTSPLIT(FS130,",")))),IF(FU130="",TRUE,IF(input_location="",TRUE,SUMPRODUCT(--ISNUMBER(SEARCH(","&amp;TRIM(TEXTSPLIT(FU130,","))&amp;",",","&amp;SUBSTITUTE(input_location," ","")&amp;",")))=0)),IF(FW130="",TRUE,IF(input_location="",FALSE,SUMPRODUCT(--ISNUMBER(SEARCH(","&amp;TRIM(TEXTSPLIT(FW130,","))&amp;",",","&amp;SUBSTITUTE(input_location," ","")&amp;",")))&gt;0)),IF(FY130="",TRUE,IF(input_location="",FALSE,SUMPRODUCT(--ISNUMBER(SEARCH(","&amp;TRIM(TEXTSPLIT(FY130,","))&amp;",",","&amp;SUBSTITUTE(input_location," ","")&amp;",")))=COUNTA(TEXTSPLIT(FY130,",")))))</f>
        <v/>
      </c>
      <c r="JK130">
        <f>AND(IF(GA130="",TRUE,IF(input_modality="",FALSE,SUMPRODUCT(--ISNUMBER(SEARCH(","&amp;TRIM(TEXTSPLIT(GA130,","))&amp;",",","&amp;SUBSTITUTE(input_modality," ","")&amp;",")))&gt;0)),IF(GC130="",TRUE,IF(input_modality="",FALSE,SUMPRODUCT(--ISNUMBER(SEARCH(","&amp;TRIM(TEXTSPLIT(GC130,","))&amp;",",","&amp;SUBSTITUTE(input_modality," ","")&amp;",")))=COUNTA(TEXTSPLIT(GC130,",")))),IF(GE130="",TRUE,IF(input_modality="",TRUE,SUMPRODUCT(--ISNUMBER(SEARCH(","&amp;TRIM(TEXTSPLIT(GE130,","))&amp;",",","&amp;SUBSTITUTE(input_modality," ","")&amp;",")))=0)),IF(GG130="",TRUE,IF(input_modality="",FALSE,SUMPRODUCT(--ISNUMBER(SEARCH(","&amp;TRIM(TEXTSPLIT(GG130,","))&amp;",",","&amp;SUBSTITUTE(input_modality," ","")&amp;",")))&gt;0)),IF(GI130="",TRUE,IF(input_modality="",FALSE,SUMPRODUCT(--ISNUMBER(SEARCH(","&amp;TRIM(TEXTSPLIT(GI130,","))&amp;",",","&amp;SUBSTITUTE(input_modality," ","")&amp;",")))=COUNTA(TEXTSPLIT(GI130,",")))))</f>
        <v/>
      </c>
      <c r="JL130">
        <f>AND(IF(GK130="",TRUE,IF(input_organizer="",FALSE,SUMPRODUCT(--ISNUMBER(SEARCH(","&amp;TRIM(TEXTSPLIT(GK130,","))&amp;",",","&amp;SUBSTITUTE(input_organizer," ","")&amp;",")))&gt;0)),IF(GM130="",TRUE,IF(input_organizer="",FALSE,SUMPRODUCT(--ISNUMBER(SEARCH(","&amp;TRIM(TEXTSPLIT(GM130,","))&amp;",",","&amp;SUBSTITUTE(input_organizer," ","")&amp;",")))=COUNTA(TEXTSPLIT(GM130,",")))),IF(GO130="",TRUE,IF(input_organizer="",TRUE,SUMPRODUCT(--ISNUMBER(SEARCH(","&amp;TRIM(TEXTSPLIT(GO130,","))&amp;",",","&amp;SUBSTITUTE(input_organizer," ","")&amp;",")))=0)),IF(GQ130="",TRUE,IF(input_organizer="",FALSE,SUMPRODUCT(--ISNUMBER(SEARCH(","&amp;TRIM(TEXTSPLIT(GQ130,","))&amp;",",","&amp;SUBSTITUTE(input_organizer," ","")&amp;",")))&gt;0)),IF(GS130="",TRUE,IF(input_organizer="",FALSE,SUMPRODUCT(--ISNUMBER(SEARCH(","&amp;TRIM(TEXTSPLIT(GS130,","))&amp;",",","&amp;SUBSTITUTE(input_organizer," ","")&amp;",")))=COUNTA(TEXTSPLIT(GS130,",")))))</f>
        <v/>
      </c>
      <c r="JM130">
        <f>AND(IF(GU130="",TRUE,IF(input_profile_type="",FALSE,SUMPRODUCT(--ISNUMBER(SEARCH(","&amp;TRIM(TEXTSPLIT(GU130,","))&amp;",",","&amp;SUBSTITUTE(input_profile_type," ","")&amp;",")))&gt;0)),IF(GW130="",TRUE,IF(input_profile_type="",FALSE,SUMPRODUCT(--ISNUMBER(SEARCH(","&amp;TRIM(TEXTSPLIT(GW130,","))&amp;",",","&amp;SUBSTITUTE(input_profile_type," ","")&amp;",")))=COUNTA(TEXTSPLIT(GW130,",")))),IF(GY130="",TRUE,IF(input_profile_type="",TRUE,SUMPRODUCT(--ISNUMBER(SEARCH(","&amp;TRIM(TEXTSPLIT(GY130,","))&amp;",",","&amp;SUBSTITUTE(input_profile_type," ","")&amp;",")))=0)),IF(HA130="",TRUE,IF(input_profile_type="",FALSE,SUMPRODUCT(--ISNUMBER(SEARCH(","&amp;TRIM(TEXTSPLIT(HA130,","))&amp;",",","&amp;SUBSTITUTE(input_profile_type," ","")&amp;",")))&gt;0)),IF(HC130="",TRUE,IF(input_profile_type="",FALSE,SUMPRODUCT(--ISNUMBER(SEARCH(","&amp;TRIM(TEXTSPLIT(HC130,","))&amp;",",","&amp;SUBSTITUTE(input_profile_type," ","")&amp;",")))=COUNTA(TEXTSPLIT(HC130,",")))))</f>
        <v/>
      </c>
      <c r="JN130">
        <f>AND(IF(HE130="",TRUE,IF(input_program="",FALSE,SUMPRODUCT(--ISNUMBER(SEARCH(","&amp;TRIM(TEXTSPLIT(HE130,","))&amp;",",","&amp;SUBSTITUTE(input_program," ","")&amp;",")))&gt;0)),IF(HG130="",TRUE,IF(input_program="",FALSE,SUMPRODUCT(--ISNUMBER(SEARCH(","&amp;TRIM(TEXTSPLIT(HG130,","))&amp;",",","&amp;SUBSTITUTE(input_program," ","")&amp;",")))=COUNTA(TEXTSPLIT(HG130,",")))),IF(HI130="",TRUE,IF(input_program="",TRUE,SUMPRODUCT(--ISNUMBER(SEARCH(","&amp;TRIM(TEXTSPLIT(HI130,","))&amp;",",","&amp;SUBSTITUTE(input_program," ","")&amp;",")))=0)),IF(HK130="",TRUE,IF(input_program="",FALSE,SUMPRODUCT(--ISNUMBER(SEARCH(","&amp;TRIM(TEXTSPLIT(HK130,","))&amp;",",","&amp;SUBSTITUTE(input_program," ","")&amp;",")))&gt;0)),IF(HM130="",TRUE,IF(input_program="",FALSE,SUMPRODUCT(--ISNUMBER(SEARCH(","&amp;TRIM(TEXTSPLIT(HM130,","))&amp;",",","&amp;SUBSTITUTE(input_program," ","")&amp;",")))=COUNTA(TEXTSPLIT(HM130,",")))))</f>
        <v/>
      </c>
      <c r="JO130">
        <f>AND(IF(HO130="",TRUE,IF(input_story_categories="",FALSE,SUMPRODUCT(--ISNUMBER(SEARCH(","&amp;TRIM(TEXTSPLIT(HO130,","))&amp;",",","&amp;SUBSTITUTE(input_story_categories," ","")&amp;",")))&gt;0)),IF(HQ130="",TRUE,IF(input_story_categories="",FALSE,SUMPRODUCT(--ISNUMBER(SEARCH(","&amp;TRIM(TEXTSPLIT(HQ130,","))&amp;",",","&amp;SUBSTITUTE(input_story_categories," ","")&amp;",")))=COUNTA(TEXTSPLIT(HQ130,",")))),IF(HS130="",TRUE,IF(input_story_categories="",TRUE,SUMPRODUCT(--ISNUMBER(SEARCH(","&amp;TRIM(TEXTSPLIT(HS130,","))&amp;",",","&amp;SUBSTITUTE(input_story_categories," ","")&amp;",")))=0)),IF(HU130="",TRUE,IF(input_story_categories="",FALSE,SUMPRODUCT(--ISNUMBER(SEARCH(","&amp;TRIM(TEXTSPLIT(HU130,","))&amp;",",","&amp;SUBSTITUTE(input_story_categories," ","")&amp;",")))&gt;0)),IF(HW130="",TRUE,IF(input_story_categories="",FALSE,SUMPRODUCT(--ISNUMBER(SEARCH(","&amp;TRIM(TEXTSPLIT(HW130,","))&amp;",",","&amp;SUBSTITUTE(input_story_categories," ","")&amp;",")))=COUNTA(TEXTSPLIT(HW130,",")))))</f>
        <v/>
      </c>
      <c r="JP130">
        <f>AND(IF(HY130="",TRUE,IF(input_story_type="",FALSE,SUMPRODUCT(--ISNUMBER(SEARCH(","&amp;TRIM(TEXTSPLIT(HY130,","))&amp;",",","&amp;SUBSTITUTE(input_story_type," ","")&amp;",")))&gt;0)),IF(IA130="",TRUE,IF(input_story_type="",FALSE,SUMPRODUCT(--ISNUMBER(SEARCH(","&amp;TRIM(TEXTSPLIT(IA130,","))&amp;",",","&amp;SUBSTITUTE(input_story_type," ","")&amp;",")))=COUNTA(TEXTSPLIT(IA130,",")))),IF(IC130="",TRUE,IF(input_story_type="",TRUE,SUMPRODUCT(--ISNUMBER(SEARCH(","&amp;TRIM(TEXTSPLIT(IC130,","))&amp;",",","&amp;SUBSTITUTE(input_story_type," ","")&amp;",")))=0)),IF(IE130="",TRUE,IF(input_story_type="",FALSE,SUMPRODUCT(--ISNUMBER(SEARCH(","&amp;TRIM(TEXTSPLIT(IE130,","))&amp;",",","&amp;SUBSTITUTE(input_story_type," ","")&amp;",")))&gt;0)),IF(IG130="",TRUE,IF(input_story_type="",FALSE,SUMPRODUCT(--ISNUMBER(SEARCH(","&amp;TRIM(TEXTSPLIT(IG130,","))&amp;",",","&amp;SUBSTITUTE(input_story_type," ","")&amp;",")))=COUNTA(TEXTSPLIT(IG130,",")))))</f>
        <v/>
      </c>
      <c r="JQ130">
        <f>AND(IF(II130="",TRUE,IF(input_topics="",FALSE,SUMPRODUCT(--ISNUMBER(SEARCH(","&amp;TRIM(TEXTSPLIT(II130,","))&amp;",",","&amp;SUBSTITUTE(input_topics," ","")&amp;",")))&gt;0)),IF(IK130="",TRUE,IF(input_topics="",FALSE,SUMPRODUCT(--ISNUMBER(SEARCH(","&amp;TRIM(TEXTSPLIT(IK130,","))&amp;",",","&amp;SUBSTITUTE(input_topics," ","")&amp;",")))=COUNTA(TEXTSPLIT(IK130,",")))),IF(IM130="",TRUE,IF(input_topics="",TRUE,SUMPRODUCT(--ISNUMBER(SEARCH(","&amp;TRIM(TEXTSPLIT(IM130,","))&amp;",",","&amp;SUBSTITUTE(input_topics," ","")&amp;",")))=0)),IF(IO130="",TRUE,IF(input_topics="",FALSE,SUMPRODUCT(--ISNUMBER(SEARCH(","&amp;TRIM(TEXTSPLIT(IO130,","))&amp;",",","&amp;SUBSTITUTE(input_topics," ","")&amp;",")))&gt;0)),IF(IQ130="",TRUE,IF(input_topics="",FALSE,SUMPRODUCT(--ISNUMBER(SEARCH(","&amp;TRIM(TEXTSPLIT(IQ130,","))&amp;",",","&amp;SUBSTITUTE(input_topics," ","")&amp;",")))=COUNTA(TEXTSPLIT(IQ130,",")))))</f>
        <v/>
      </c>
    </row>
    <row r="131">
      <c r="A131" s="4">
        <f>IF(NOT(IS131),"Excluded",IF(AND(IT131,IU131,IV131,IW131,IX131,IY131,IZ131,JA131,JB131,JC131,JD131,JE131,JF131,JG131,JH131,JI131,JJ131,JK131,JL131,JM131,JN131,JO131,JP131,JQ131),IF(I131&gt;0,"Eligible but limited","Will appear"),"Excluded"))</f>
        <v/>
      </c>
      <c r="B131" s="4" t="inlineStr">
        <is>
          <t>Media</t>
        </is>
      </c>
      <c r="C131" s="4" t="inlineStr">
        <is>
          <t>/centers/chief-executive-leadership-institute/media</t>
        </is>
      </c>
      <c r="D131" s="4" t="inlineStr">
        <is>
          <t>/centers/chief-executive-leadership-institute/media</t>
        </is>
      </c>
      <c r="E131" s="4" t="n">
        <v>1</v>
      </c>
      <c r="F131" s="4" t="inlineStr">
        <is>
          <t>story</t>
        </is>
      </c>
      <c r="G131" s="4" t="inlineStr">
        <is>
          <t>stories_list</t>
        </is>
      </c>
      <c r="H131" s="4" t="inlineStr">
        <is>
          <t>embed_1</t>
        </is>
      </c>
      <c r="I131" s="4" t="n">
        <v>10</v>
      </c>
      <c r="J131" s="4" t="inlineStr">
        <is>
          <t>Explicit args</t>
        </is>
      </c>
      <c r="K131" s="4" t="inlineStr">
        <is>
          <t>Page placement</t>
        </is>
      </c>
      <c r="L131" s="4" t="inlineStr">
        <is>
          <t>Content type: story; Context uses Courses Context: Media Appearance (1189); Limited to 10 item(s); Source: Explicit args</t>
        </is>
      </c>
      <c r="M131" t="inlineStr"/>
      <c r="N131" t="inlineStr"/>
      <c r="O131" t="inlineStr"/>
      <c r="P131" t="inlineStr"/>
      <c r="Q131" t="inlineStr"/>
      <c r="R131" t="inlineStr"/>
      <c r="S131" t="inlineStr"/>
      <c r="T131" t="inlineStr"/>
      <c r="U131" t="inlineStr"/>
      <c r="V131" t="inlineStr"/>
      <c r="W131" t="inlineStr"/>
      <c r="X131" t="inlineStr"/>
      <c r="Y131" t="inlineStr"/>
      <c r="Z131" t="inlineStr"/>
      <c r="AA131" t="inlineStr"/>
      <c r="AB131" t="inlineStr"/>
      <c r="AC131" t="inlineStr"/>
      <c r="AD131" t="inlineStr"/>
      <c r="AE131" t="inlineStr"/>
      <c r="AF131" t="inlineStr"/>
      <c r="AG131" t="inlineStr"/>
      <c r="AH131" t="inlineStr"/>
      <c r="AI131" t="inlineStr"/>
      <c r="AJ131" t="inlineStr"/>
      <c r="AK131" t="inlineStr"/>
      <c r="AL131" t="inlineStr"/>
      <c r="AM131" t="inlineStr"/>
      <c r="AN131" t="inlineStr"/>
      <c r="AO131" t="inlineStr"/>
      <c r="AP131" t="inlineStr"/>
      <c r="AQ131" t="inlineStr"/>
      <c r="AR131" t="inlineStr"/>
      <c r="AS131" t="inlineStr"/>
      <c r="AT131" t="inlineStr"/>
      <c r="AU131" t="inlineStr"/>
      <c r="AV131" t="inlineStr"/>
      <c r="AW131" t="inlineStr"/>
      <c r="AX131" t="inlineStr"/>
      <c r="AY131" t="inlineStr"/>
      <c r="AZ131" t="inlineStr"/>
      <c r="BA131" t="inlineStr"/>
      <c r="BB131" t="inlineStr"/>
      <c r="BC131" t="inlineStr"/>
      <c r="BD131" t="inlineStr"/>
      <c r="BE131" t="inlineStr"/>
      <c r="BF131" t="inlineStr"/>
      <c r="BG131" t="inlineStr"/>
      <c r="BH131" t="inlineStr"/>
      <c r="BI131" t="inlineStr"/>
      <c r="BJ131" t="inlineStr"/>
      <c r="BK131" t="inlineStr"/>
      <c r="BL131" t="inlineStr"/>
      <c r="BM131" t="inlineStr"/>
      <c r="BN131" t="inlineStr"/>
      <c r="BO131" t="inlineStr"/>
      <c r="BP131" t="inlineStr"/>
      <c r="BQ131" t="inlineStr">
        <is>
          <t>1189</t>
        </is>
      </c>
      <c r="BR131" t="inlineStr">
        <is>
          <t>Media Appearance (1189)</t>
        </is>
      </c>
      <c r="BS131" t="inlineStr"/>
      <c r="BT131" t="inlineStr"/>
      <c r="BU131" t="inlineStr"/>
      <c r="BV131" t="inlineStr"/>
      <c r="BW131" t="inlineStr"/>
      <c r="BX131" t="inlineStr"/>
      <c r="BY131" t="inlineStr"/>
      <c r="BZ131" t="inlineStr"/>
      <c r="CA131" t="inlineStr"/>
      <c r="CB131" t="inlineStr"/>
      <c r="CC131" t="inlineStr"/>
      <c r="CD131" t="inlineStr"/>
      <c r="CE131" t="inlineStr"/>
      <c r="CF131" t="inlineStr"/>
      <c r="CG131" t="inlineStr"/>
      <c r="CH131" t="inlineStr"/>
      <c r="CI131" t="inlineStr"/>
      <c r="CJ131" t="inlineStr"/>
      <c r="CK131" t="inlineStr"/>
      <c r="CL131" t="inlineStr"/>
      <c r="CM131" t="inlineStr"/>
      <c r="CN131" t="inlineStr"/>
      <c r="CO131" t="inlineStr"/>
      <c r="CP131" t="inlineStr"/>
      <c r="CQ131" t="inlineStr"/>
      <c r="CR131" t="inlineStr"/>
      <c r="CS131" t="inlineStr"/>
      <c r="CT131" t="inlineStr"/>
      <c r="CU131" t="inlineStr"/>
      <c r="CV131" t="inlineStr"/>
      <c r="CW131" t="inlineStr"/>
      <c r="CX131" t="inlineStr"/>
      <c r="CY131" t="inlineStr"/>
      <c r="CZ131" t="inlineStr"/>
      <c r="DA131" t="inlineStr"/>
      <c r="DB131" t="inlineStr"/>
      <c r="DC131" t="inlineStr"/>
      <c r="DD131" t="inlineStr"/>
      <c r="DE131" t="inlineStr"/>
      <c r="DF131" t="inlineStr"/>
      <c r="DG131" t="inlineStr"/>
      <c r="DH131" t="inlineStr"/>
      <c r="DI131" t="inlineStr"/>
      <c r="DJ131" t="inlineStr"/>
      <c r="DK131" t="inlineStr"/>
      <c r="DL131" t="inlineStr"/>
      <c r="DM131" t="inlineStr"/>
      <c r="DN131" t="inlineStr"/>
      <c r="DO131" t="inlineStr"/>
      <c r="DP131" t="inlineStr"/>
      <c r="DQ131" t="inlineStr"/>
      <c r="DR131" t="inlineStr"/>
      <c r="DS131" t="inlineStr"/>
      <c r="DT131" t="inlineStr"/>
      <c r="DU131" t="inlineStr"/>
      <c r="DV131" t="inlineStr"/>
      <c r="DW131" t="inlineStr"/>
      <c r="DX131" t="inlineStr"/>
      <c r="DY131" t="inlineStr"/>
      <c r="DZ131" t="inlineStr"/>
      <c r="EA131" t="inlineStr"/>
      <c r="EB131" t="inlineStr"/>
      <c r="EC131" t="inlineStr"/>
      <c r="ED131" t="inlineStr"/>
      <c r="EE131" t="inlineStr"/>
      <c r="EF131" t="inlineStr"/>
      <c r="EG131" t="inlineStr"/>
      <c r="EH131" t="inlineStr"/>
      <c r="EI131" t="inlineStr"/>
      <c r="EJ131" t="inlineStr"/>
      <c r="EK131" t="inlineStr"/>
      <c r="EL131" t="inlineStr"/>
      <c r="EM131" t="inlineStr"/>
      <c r="EN131" t="inlineStr"/>
      <c r="EO131" t="inlineStr"/>
      <c r="EP131" t="inlineStr"/>
      <c r="EQ131" t="inlineStr"/>
      <c r="ER131" t="inlineStr"/>
      <c r="ES131" t="inlineStr"/>
      <c r="ET131" t="inlineStr"/>
      <c r="EU131" t="inlineStr"/>
      <c r="EV131" t="inlineStr"/>
      <c r="EW131" t="inlineStr"/>
      <c r="EX131" t="inlineStr"/>
      <c r="EY131" t="inlineStr"/>
      <c r="EZ131" t="inlineStr"/>
      <c r="FA131" t="inlineStr"/>
      <c r="FB131" t="inlineStr"/>
      <c r="FC131" t="inlineStr"/>
      <c r="FD131" t="inlineStr"/>
      <c r="FE131" t="inlineStr"/>
      <c r="FF131" t="inlineStr"/>
      <c r="FG131" t="inlineStr"/>
      <c r="FH131" t="inlineStr"/>
      <c r="FI131" t="inlineStr"/>
      <c r="FJ131" t="inlineStr"/>
      <c r="FK131" t="inlineStr"/>
      <c r="FL131" t="inlineStr"/>
      <c r="FM131" t="inlineStr"/>
      <c r="FN131" t="inlineStr"/>
      <c r="FO131" t="inlineStr"/>
      <c r="FP131" t="inlineStr"/>
      <c r="FQ131" t="inlineStr"/>
      <c r="FR131" t="inlineStr"/>
      <c r="FS131" t="inlineStr"/>
      <c r="FT131" t="inlineStr"/>
      <c r="FU131" t="inlineStr"/>
      <c r="FV131" t="inlineStr"/>
      <c r="FW131" t="inlineStr"/>
      <c r="FX131" t="inlineStr"/>
      <c r="FY131" t="inlineStr"/>
      <c r="FZ131" t="inlineStr"/>
      <c r="GA131" t="inlineStr"/>
      <c r="GB131" t="inlineStr"/>
      <c r="GC131" t="inlineStr"/>
      <c r="GD131" t="inlineStr"/>
      <c r="GE131" t="inlineStr"/>
      <c r="GF131" t="inlineStr"/>
      <c r="GG131" t="inlineStr"/>
      <c r="GH131" t="inlineStr"/>
      <c r="GI131" t="inlineStr"/>
      <c r="GJ131" t="inlineStr"/>
      <c r="GK131" t="inlineStr"/>
      <c r="GL131" t="inlineStr"/>
      <c r="GM131" t="inlineStr"/>
      <c r="GN131" t="inlineStr"/>
      <c r="GO131" t="inlineStr"/>
      <c r="GP131" t="inlineStr"/>
      <c r="GQ131" t="inlineStr"/>
      <c r="GR131" t="inlineStr"/>
      <c r="GS131" t="inlineStr"/>
      <c r="GT131" t="inlineStr"/>
      <c r="GU131" t="inlineStr"/>
      <c r="GV131" t="inlineStr"/>
      <c r="GW131" t="inlineStr"/>
      <c r="GX131" t="inlineStr"/>
      <c r="GY131" t="inlineStr"/>
      <c r="GZ131" t="inlineStr"/>
      <c r="HA131" t="inlineStr"/>
      <c r="HB131" t="inlineStr"/>
      <c r="HC131" t="inlineStr"/>
      <c r="HD131" t="inlineStr"/>
      <c r="HE131" t="inlineStr"/>
      <c r="HF131" t="inlineStr"/>
      <c r="HG131" t="inlineStr"/>
      <c r="HH131" t="inlineStr"/>
      <c r="HI131" t="inlineStr"/>
      <c r="HJ131" t="inlineStr"/>
      <c r="HK131" t="inlineStr"/>
      <c r="HL131" t="inlineStr"/>
      <c r="HM131" t="inlineStr"/>
      <c r="HN131" t="inlineStr"/>
      <c r="HO131" t="inlineStr"/>
      <c r="HP131" t="inlineStr"/>
      <c r="HQ131" t="inlineStr"/>
      <c r="HR131" t="inlineStr"/>
      <c r="HS131" t="inlineStr"/>
      <c r="HT131" t="inlineStr"/>
      <c r="HU131" t="inlineStr"/>
      <c r="HV131" t="inlineStr"/>
      <c r="HW131" t="inlineStr"/>
      <c r="HX131" t="inlineStr"/>
      <c r="HY131" t="inlineStr"/>
      <c r="HZ131" t="inlineStr"/>
      <c r="IA131" t="inlineStr"/>
      <c r="IB131" t="inlineStr"/>
      <c r="IC131" t="inlineStr"/>
      <c r="ID131" t="inlineStr"/>
      <c r="IE131" t="inlineStr"/>
      <c r="IF131" t="inlineStr"/>
      <c r="IG131" t="inlineStr"/>
      <c r="IH131" t="inlineStr"/>
      <c r="II131" t="inlineStr"/>
      <c r="IJ131" t="inlineStr"/>
      <c r="IK131" t="inlineStr"/>
      <c r="IL131" t="inlineStr"/>
      <c r="IM131" t="inlineStr"/>
      <c r="IN131" t="inlineStr"/>
      <c r="IO131" t="inlineStr"/>
      <c r="IP131" t="inlineStr"/>
      <c r="IQ131" t="inlineStr"/>
      <c r="IR131" t="inlineStr"/>
      <c r="IS131">
        <f>IF(input_content_type="",FALSE,ISNUMBER(SEARCH(","&amp;LOWER(input_content_type)&amp;",",","&amp;LOWER(F131)&amp;",")))</f>
        <v/>
      </c>
      <c r="IT131">
        <f>AND(IF(M131="",TRUE,IF(input_affiliations="",FALSE,SUMPRODUCT(--ISNUMBER(SEARCH(","&amp;TRIM(TEXTSPLIT(M131,","))&amp;",",","&amp;SUBSTITUTE(input_affiliations," ","")&amp;",")))&gt;0)),IF(O131="",TRUE,IF(input_affiliations="",FALSE,SUMPRODUCT(--ISNUMBER(SEARCH(","&amp;TRIM(TEXTSPLIT(O131,","))&amp;",",","&amp;SUBSTITUTE(input_affiliations," ","")&amp;",")))=COUNTA(TEXTSPLIT(O131,",")))),IF(Q131="",TRUE,IF(input_affiliations="",TRUE,SUMPRODUCT(--ISNUMBER(SEARCH(","&amp;TRIM(TEXTSPLIT(Q131,","))&amp;",",","&amp;SUBSTITUTE(input_affiliations," ","")&amp;",")))=0)),IF(S131="",TRUE,IF(input_affiliations="",FALSE,SUMPRODUCT(--ISNUMBER(SEARCH(","&amp;TRIM(TEXTSPLIT(S131,","))&amp;",",","&amp;SUBSTITUTE(input_affiliations," ","")&amp;",")))&gt;0)),IF(U131="",TRUE,IF(input_affiliations="",FALSE,SUMPRODUCT(--ISNUMBER(SEARCH(","&amp;TRIM(TEXTSPLIT(U131,","))&amp;",",","&amp;SUBSTITUTE(input_affiliations," ","")&amp;",")))=COUNTA(TEXTSPLIT(U131,",")))))</f>
        <v/>
      </c>
      <c r="IU131">
        <f>AND(IF(W131="",TRUE,IF(input_announcement_category="",FALSE,SUMPRODUCT(--ISNUMBER(SEARCH(","&amp;TRIM(TEXTSPLIT(W131,","))&amp;",",","&amp;SUBSTITUTE(input_announcement_category," ","")&amp;",")))&gt;0)),IF(Y131="",TRUE,IF(input_announcement_category="",FALSE,SUMPRODUCT(--ISNUMBER(SEARCH(","&amp;TRIM(TEXTSPLIT(Y131,","))&amp;",",","&amp;SUBSTITUTE(input_announcement_category," ","")&amp;",")))=COUNTA(TEXTSPLIT(Y131,",")))),IF(AA131="",TRUE,IF(input_announcement_category="",TRUE,SUMPRODUCT(--ISNUMBER(SEARCH(","&amp;TRIM(TEXTSPLIT(AA131,","))&amp;",",","&amp;SUBSTITUTE(input_announcement_category," ","")&amp;",")))=0)),IF(AC131="",TRUE,IF(input_announcement_category="",FALSE,SUMPRODUCT(--ISNUMBER(SEARCH(","&amp;TRIM(TEXTSPLIT(AC131,","))&amp;",",","&amp;SUBSTITUTE(input_announcement_category," ","")&amp;",")))&gt;0)),IF(AE131="",TRUE,IF(input_announcement_category="",FALSE,SUMPRODUCT(--ISNUMBER(SEARCH(","&amp;TRIM(TEXTSPLIT(AE131,","))&amp;",",","&amp;SUBSTITUTE(input_announcement_category," ","")&amp;",")))=COUNTA(TEXTSPLIT(AE131,",")))))</f>
        <v/>
      </c>
      <c r="IV131">
        <f>AND(IF(AG131="",TRUE,IF(input_area_of_focus="",FALSE,SUMPRODUCT(--ISNUMBER(SEARCH(","&amp;TRIM(TEXTSPLIT(AG131,","))&amp;",",","&amp;SUBSTITUTE(input_area_of_focus," ","")&amp;",")))&gt;0)),IF(AI131="",TRUE,IF(input_area_of_focus="",FALSE,SUMPRODUCT(--ISNUMBER(SEARCH(","&amp;TRIM(TEXTSPLIT(AI131,","))&amp;",",","&amp;SUBSTITUTE(input_area_of_focus," ","")&amp;",")))=COUNTA(TEXTSPLIT(AI131,",")))),IF(AK131="",TRUE,IF(input_area_of_focus="",TRUE,SUMPRODUCT(--ISNUMBER(SEARCH(","&amp;TRIM(TEXTSPLIT(AK131,","))&amp;",",","&amp;SUBSTITUTE(input_area_of_focus," ","")&amp;",")))=0)),IF(AM131="",TRUE,IF(input_area_of_focus="",FALSE,SUMPRODUCT(--ISNUMBER(SEARCH(","&amp;TRIM(TEXTSPLIT(AM131,","))&amp;",",","&amp;SUBSTITUTE(input_area_of_focus," ","")&amp;",")))&gt;0)),IF(AO131="",TRUE,IF(input_area_of_focus="",FALSE,SUMPRODUCT(--ISNUMBER(SEARCH(","&amp;TRIM(TEXTSPLIT(AO131,","))&amp;",",","&amp;SUBSTITUTE(input_area_of_focus," ","")&amp;",")))=COUNTA(TEXTSPLIT(AO131,",")))))</f>
        <v/>
      </c>
      <c r="IW131">
        <f>AND(IF(AQ131="",TRUE,IF(input_audience="",FALSE,SUMPRODUCT(--ISNUMBER(SEARCH(","&amp;TRIM(TEXTSPLIT(AQ131,","))&amp;",",","&amp;SUBSTITUTE(input_audience," ","")&amp;",")))&gt;0)),IF(AS131="",TRUE,IF(input_audience="",FALSE,SUMPRODUCT(--ISNUMBER(SEARCH(","&amp;TRIM(TEXTSPLIT(AS131,","))&amp;",",","&amp;SUBSTITUTE(input_audience," ","")&amp;",")))=COUNTA(TEXTSPLIT(AS131,",")))),IF(AU131="",TRUE,IF(input_audience="",TRUE,SUMPRODUCT(--ISNUMBER(SEARCH(","&amp;TRIM(TEXTSPLIT(AU131,","))&amp;",",","&amp;SUBSTITUTE(input_audience," ","")&amp;",")))=0)),IF(AW131="",TRUE,IF(input_audience="",FALSE,SUMPRODUCT(--ISNUMBER(SEARCH(","&amp;TRIM(TEXTSPLIT(AW131,","))&amp;",",","&amp;SUBSTITUTE(input_audience," ","")&amp;",")))&gt;0)),IF(AY131="",TRUE,IF(input_audience="",FALSE,SUMPRODUCT(--ISNUMBER(SEARCH(","&amp;TRIM(TEXTSPLIT(AY131,","))&amp;",",","&amp;SUBSTITUTE(input_audience," ","")&amp;",")))=COUNTA(TEXTSPLIT(AY131,",")))))</f>
        <v/>
      </c>
      <c r="IX131">
        <f>AND(IF(BA131="",TRUE,IF(input_challenge_opportunities="",FALSE,SUMPRODUCT(--ISNUMBER(SEARCH(","&amp;TRIM(TEXTSPLIT(BA131,","))&amp;",",","&amp;SUBSTITUTE(input_challenge_opportunities," ","")&amp;",")))&gt;0)),IF(BC131="",TRUE,IF(input_challenge_opportunities="",FALSE,SUMPRODUCT(--ISNUMBER(SEARCH(","&amp;TRIM(TEXTSPLIT(BC131,","))&amp;",",","&amp;SUBSTITUTE(input_challenge_opportunities," ","")&amp;",")))=COUNTA(TEXTSPLIT(BC131,",")))),IF(BE131="",TRUE,IF(input_challenge_opportunities="",TRUE,SUMPRODUCT(--ISNUMBER(SEARCH(","&amp;TRIM(TEXTSPLIT(BE131,","))&amp;",",","&amp;SUBSTITUTE(input_challenge_opportunities," ","")&amp;",")))=0)),IF(BG131="",TRUE,IF(input_challenge_opportunities="",FALSE,SUMPRODUCT(--ISNUMBER(SEARCH(","&amp;TRIM(TEXTSPLIT(BG131,","))&amp;",",","&amp;SUBSTITUTE(input_challenge_opportunities," ","")&amp;",")))&gt;0)),IF(BI131="",TRUE,IF(input_challenge_opportunities="",FALSE,SUMPRODUCT(--ISNUMBER(SEARCH(","&amp;TRIM(TEXTSPLIT(BI131,","))&amp;",",","&amp;SUBSTITUTE(input_challenge_opportunities," ","")&amp;",")))=COUNTA(TEXTSPLIT(BI131,",")))))</f>
        <v/>
      </c>
      <c r="IY131">
        <f>AND(IF(BK131="",TRUE,IF(input_context="",FALSE,SUMPRODUCT(--ISNUMBER(SEARCH(","&amp;TRIM(TEXTSPLIT(BK131,","))&amp;",",","&amp;SUBSTITUTE(input_context," ","")&amp;",")))&gt;0)),IF(BM131="",TRUE,IF(input_context="",FALSE,SUMPRODUCT(--ISNUMBER(SEARCH(","&amp;TRIM(TEXTSPLIT(BM131,","))&amp;",",","&amp;SUBSTITUTE(input_context," ","")&amp;",")))=COUNTA(TEXTSPLIT(BM131,",")))),IF(BO131="",TRUE,IF(input_context="",TRUE,SUMPRODUCT(--ISNUMBER(SEARCH(","&amp;TRIM(TEXTSPLIT(BO131,","))&amp;",",","&amp;SUBSTITUTE(input_context," ","")&amp;",")))=0)),IF(BQ131="",TRUE,IF(input_context="",FALSE,SUMPRODUCT(--ISNUMBER(SEARCH(","&amp;TRIM(TEXTSPLIT(BQ131,","))&amp;",",","&amp;SUBSTITUTE(input_context," ","")&amp;",")))&gt;0)),IF(BS131="",TRUE,IF(input_context="",FALSE,SUMPRODUCT(--ISNUMBER(SEARCH(","&amp;TRIM(TEXTSPLIT(BS131,","))&amp;",",","&amp;SUBSTITUTE(input_context," ","")&amp;",")))=COUNTA(TEXTSPLIT(BS131,",")))))</f>
        <v/>
      </c>
      <c r="IZ131">
        <f>AND(IF(BU131="",TRUE,IF(input_enews_announcement_type="",FALSE,SUMPRODUCT(--ISNUMBER(SEARCH(","&amp;TRIM(TEXTSPLIT(BU131,","))&amp;",",","&amp;SUBSTITUTE(input_enews_announcement_type," ","")&amp;",")))&gt;0)),IF(BW131="",TRUE,IF(input_enews_announcement_type="",FALSE,SUMPRODUCT(--ISNUMBER(SEARCH(","&amp;TRIM(TEXTSPLIT(BW131,","))&amp;",",","&amp;SUBSTITUTE(input_enews_announcement_type," ","")&amp;",")))=COUNTA(TEXTSPLIT(BW131,",")))),IF(BY131="",TRUE,IF(input_enews_announcement_type="",TRUE,SUMPRODUCT(--ISNUMBER(SEARCH(","&amp;TRIM(TEXTSPLIT(BY131,","))&amp;",",","&amp;SUBSTITUTE(input_enews_announcement_type," ","")&amp;",")))=0)),IF(CA131="",TRUE,IF(input_enews_announcement_type="",FALSE,SUMPRODUCT(--ISNUMBER(SEARCH(","&amp;TRIM(TEXTSPLIT(CA131,","))&amp;",",","&amp;SUBSTITUTE(input_enews_announcement_type," ","")&amp;",")))&gt;0)),IF(CC131="",TRUE,IF(input_enews_announcement_type="",FALSE,SUMPRODUCT(--ISNUMBER(SEARCH(","&amp;TRIM(TEXTSPLIT(CC131,","))&amp;",",","&amp;SUBSTITUTE(input_enews_announcement_type," ","")&amp;",")))=COUNTA(TEXTSPLIT(CC131,",")))))</f>
        <v/>
      </c>
      <c r="JA131">
        <f>AND(IF(CE131="",TRUE,IF(input_enews_audience="",FALSE,SUMPRODUCT(--ISNUMBER(SEARCH(","&amp;TRIM(TEXTSPLIT(CE131,","))&amp;",",","&amp;SUBSTITUTE(input_enews_audience," ","")&amp;",")))&gt;0)),IF(CG131="",TRUE,IF(input_enews_audience="",FALSE,SUMPRODUCT(--ISNUMBER(SEARCH(","&amp;TRIM(TEXTSPLIT(CG131,","))&amp;",",","&amp;SUBSTITUTE(input_enews_audience," ","")&amp;",")))=COUNTA(TEXTSPLIT(CG131,",")))),IF(CI131="",TRUE,IF(input_enews_audience="",TRUE,SUMPRODUCT(--ISNUMBER(SEARCH(","&amp;TRIM(TEXTSPLIT(CI131,","))&amp;",",","&amp;SUBSTITUTE(input_enews_audience," ","")&amp;",")))=0)),IF(CK131="",TRUE,IF(input_enews_audience="",FALSE,SUMPRODUCT(--ISNUMBER(SEARCH(","&amp;TRIM(TEXTSPLIT(CK131,","))&amp;",",","&amp;SUBSTITUTE(input_enews_audience," ","")&amp;",")))&gt;0)),IF(CM131="",TRUE,IF(input_enews_audience="",FALSE,SUMPRODUCT(--ISNUMBER(SEARCH(","&amp;TRIM(TEXTSPLIT(CM131,","))&amp;",",","&amp;SUBSTITUTE(input_enews_audience," ","")&amp;",")))=COUNTA(TEXTSPLIT(CM131,",")))))</f>
        <v/>
      </c>
      <c r="JB131">
        <f>AND(IF(CO131="",TRUE,IF(input_event_location="",FALSE,SUMPRODUCT(--ISNUMBER(SEARCH(","&amp;TRIM(TEXTSPLIT(CO131,","))&amp;",",","&amp;SUBSTITUTE(input_event_location," ","")&amp;",")))&gt;0)),IF(CQ131="",TRUE,IF(input_event_location="",FALSE,SUMPRODUCT(--ISNUMBER(SEARCH(","&amp;TRIM(TEXTSPLIT(CQ131,","))&amp;",",","&amp;SUBSTITUTE(input_event_location," ","")&amp;",")))=COUNTA(TEXTSPLIT(CQ131,",")))),IF(CS131="",TRUE,IF(input_event_location="",TRUE,SUMPRODUCT(--ISNUMBER(SEARCH(","&amp;TRIM(TEXTSPLIT(CS131,","))&amp;",",","&amp;SUBSTITUTE(input_event_location," ","")&amp;",")))=0)),IF(CU131="",TRUE,IF(input_event_location="",FALSE,SUMPRODUCT(--ISNUMBER(SEARCH(","&amp;TRIM(TEXTSPLIT(CU131,","))&amp;",",","&amp;SUBSTITUTE(input_event_location," ","")&amp;",")))&gt;0)),IF(CW131="",TRUE,IF(input_event_location="",FALSE,SUMPRODUCT(--ISNUMBER(SEARCH(","&amp;TRIM(TEXTSPLIT(CW131,","))&amp;",",","&amp;SUBSTITUTE(input_event_location," ","")&amp;",")))=COUNTA(TEXTSPLIT(CW131,",")))))</f>
        <v/>
      </c>
      <c r="JC131">
        <f>AND(IF(CY131="",TRUE,IF(input_event_type="",FALSE,SUMPRODUCT(--ISNUMBER(SEARCH(","&amp;TRIM(TEXTSPLIT(CY131,","))&amp;",",","&amp;SUBSTITUTE(input_event_type," ","")&amp;",")))&gt;0)),IF(DA131="",TRUE,IF(input_event_type="",FALSE,SUMPRODUCT(--ISNUMBER(SEARCH(","&amp;TRIM(TEXTSPLIT(DA131,","))&amp;",",","&amp;SUBSTITUTE(input_event_type," ","")&amp;",")))=COUNTA(TEXTSPLIT(DA131,",")))),IF(DC131="",TRUE,IF(input_event_type="",TRUE,SUMPRODUCT(--ISNUMBER(SEARCH(","&amp;TRIM(TEXTSPLIT(DC131,","))&amp;",",","&amp;SUBSTITUTE(input_event_type," ","")&amp;",")))=0)),IF(DE131="",TRUE,IF(input_event_type="",FALSE,SUMPRODUCT(--ISNUMBER(SEARCH(","&amp;TRIM(TEXTSPLIT(DE131,","))&amp;",",","&amp;SUBSTITUTE(input_event_type," ","")&amp;",")))&gt;0)),IF(DG131="",TRUE,IF(input_event_type="",FALSE,SUMPRODUCT(--ISNUMBER(SEARCH(","&amp;TRIM(TEXTSPLIT(DG131,","))&amp;",",","&amp;SUBSTITUTE(input_event_type," ","")&amp;",")))=COUNTA(TEXTSPLIT(DG131,",")))))</f>
        <v/>
      </c>
      <c r="JD131">
        <f>AND(IF(DI131="",TRUE,IF(input_executive_education_focus="",FALSE,SUMPRODUCT(--ISNUMBER(SEARCH(","&amp;TRIM(TEXTSPLIT(DI131,","))&amp;",",","&amp;SUBSTITUTE(input_executive_education_focus," ","")&amp;",")))&gt;0)),IF(DK131="",TRUE,IF(input_executive_education_focus="",FALSE,SUMPRODUCT(--ISNUMBER(SEARCH(","&amp;TRIM(TEXTSPLIT(DK131,","))&amp;",",","&amp;SUBSTITUTE(input_executive_education_focus," ","")&amp;",")))=COUNTA(TEXTSPLIT(DK131,",")))),IF(DM131="",TRUE,IF(input_executive_education_focus="",TRUE,SUMPRODUCT(--ISNUMBER(SEARCH(","&amp;TRIM(TEXTSPLIT(DM131,","))&amp;",",","&amp;SUBSTITUTE(input_executive_education_focus," ","")&amp;",")))=0)),IF(DO131="",TRUE,IF(input_executive_education_focus="",FALSE,SUMPRODUCT(--ISNUMBER(SEARCH(","&amp;TRIM(TEXTSPLIT(DO131,","))&amp;",",","&amp;SUBSTITUTE(input_executive_education_focus," ","")&amp;",")))&gt;0)),IF(DQ131="",TRUE,IF(input_executive_education_focus="",FALSE,SUMPRODUCT(--ISNUMBER(SEARCH(","&amp;TRIM(TEXTSPLIT(DQ131,","))&amp;",",","&amp;SUBSTITUTE(input_executive_education_focus," ","")&amp;",")))=COUNTA(TEXTSPLIT(DQ131,",")))))</f>
        <v/>
      </c>
      <c r="JE131">
        <f>AND(IF(DS131="",TRUE,IF(input_faculty_category="",FALSE,SUMPRODUCT(--ISNUMBER(SEARCH(","&amp;TRIM(TEXTSPLIT(DS131,","))&amp;",",","&amp;SUBSTITUTE(input_faculty_category," ","")&amp;",")))&gt;0)),IF(DU131="",TRUE,IF(input_faculty_category="",FALSE,SUMPRODUCT(--ISNUMBER(SEARCH(","&amp;TRIM(TEXTSPLIT(DU131,","))&amp;",",","&amp;SUBSTITUTE(input_faculty_category," ","")&amp;",")))=COUNTA(TEXTSPLIT(DU131,",")))),IF(DW131="",TRUE,IF(input_faculty_category="",TRUE,SUMPRODUCT(--ISNUMBER(SEARCH(","&amp;TRIM(TEXTSPLIT(DW131,","))&amp;",",","&amp;SUBSTITUTE(input_faculty_category," ","")&amp;",")))=0)),IF(DY131="",TRUE,IF(input_faculty_category="",FALSE,SUMPRODUCT(--ISNUMBER(SEARCH(","&amp;TRIM(TEXTSPLIT(DY131,","))&amp;",",","&amp;SUBSTITUTE(input_faculty_category," ","")&amp;",")))&gt;0)),IF(EA131="",TRUE,IF(input_faculty_category="",FALSE,SUMPRODUCT(--ISNUMBER(SEARCH(","&amp;TRIM(TEXTSPLIT(EA131,","))&amp;",",","&amp;SUBSTITUTE(input_faculty_category," ","")&amp;",")))=COUNTA(TEXTSPLIT(EA131,",")))))</f>
        <v/>
      </c>
      <c r="JF131">
        <f>AND(IF(EC131="",TRUE,IF(input_faculty_discipline="",FALSE,SUMPRODUCT(--ISNUMBER(SEARCH(","&amp;TRIM(TEXTSPLIT(EC131,","))&amp;",",","&amp;SUBSTITUTE(input_faculty_discipline," ","")&amp;",")))&gt;0)),IF(EE131="",TRUE,IF(input_faculty_discipline="",FALSE,SUMPRODUCT(--ISNUMBER(SEARCH(","&amp;TRIM(TEXTSPLIT(EE131,","))&amp;",",","&amp;SUBSTITUTE(input_faculty_discipline," ","")&amp;",")))=COUNTA(TEXTSPLIT(EE131,",")))),IF(EG131="",TRUE,IF(input_faculty_discipline="",TRUE,SUMPRODUCT(--ISNUMBER(SEARCH(","&amp;TRIM(TEXTSPLIT(EG131,","))&amp;",",","&amp;SUBSTITUTE(input_faculty_discipline," ","")&amp;",")))=0)),IF(EI131="",TRUE,IF(input_faculty_discipline="",FALSE,SUMPRODUCT(--ISNUMBER(SEARCH(","&amp;TRIM(TEXTSPLIT(EI131,","))&amp;",",","&amp;SUBSTITUTE(input_faculty_discipline," ","")&amp;",")))&gt;0)),IF(EK131="",TRUE,IF(input_faculty_discipline="",FALSE,SUMPRODUCT(--ISNUMBER(SEARCH(","&amp;TRIM(TEXTSPLIT(EK131,","))&amp;",",","&amp;SUBSTITUTE(input_faculty_discipline," ","")&amp;",")))=COUNTA(TEXTSPLIT(EK131,",")))))</f>
        <v/>
      </c>
      <c r="JG131">
        <f>AND(IF(EM131="",TRUE,IF(input_faculty_expertise="",FALSE,SUMPRODUCT(--ISNUMBER(SEARCH(","&amp;TRIM(TEXTSPLIT(EM131,","))&amp;",",","&amp;SUBSTITUTE(input_faculty_expertise," ","")&amp;",")))&gt;0)),IF(EO131="",TRUE,IF(input_faculty_expertise="",FALSE,SUMPRODUCT(--ISNUMBER(SEARCH(","&amp;TRIM(TEXTSPLIT(EO131,","))&amp;",",","&amp;SUBSTITUTE(input_faculty_expertise," ","")&amp;",")))=COUNTA(TEXTSPLIT(EO131,",")))),IF(EQ131="",TRUE,IF(input_faculty_expertise="",TRUE,SUMPRODUCT(--ISNUMBER(SEARCH(","&amp;TRIM(TEXTSPLIT(EQ131,","))&amp;",",","&amp;SUBSTITUTE(input_faculty_expertise," ","")&amp;",")))=0)),IF(ES131="",TRUE,IF(input_faculty_expertise="",FALSE,SUMPRODUCT(--ISNUMBER(SEARCH(","&amp;TRIM(TEXTSPLIT(ES131,","))&amp;",",","&amp;SUBSTITUTE(input_faculty_expertise," ","")&amp;",")))&gt;0)),IF(EU131="",TRUE,IF(input_faculty_expertise="",FALSE,SUMPRODUCT(--ISNUMBER(SEARCH(","&amp;TRIM(TEXTSPLIT(EU131,","))&amp;",",","&amp;SUBSTITUTE(input_faculty_expertise," ","")&amp;",")))=COUNTA(TEXTSPLIT(EU131,",")))))</f>
        <v/>
      </c>
      <c r="JH131">
        <f>AND(IF(EW131="",TRUE,IF(input_global_network_school="",FALSE,SUMPRODUCT(--ISNUMBER(SEARCH(","&amp;TRIM(TEXTSPLIT(EW131,","))&amp;",",","&amp;SUBSTITUTE(input_global_network_school," ","")&amp;",")))&gt;0)),IF(EY131="",TRUE,IF(input_global_network_school="",FALSE,SUMPRODUCT(--ISNUMBER(SEARCH(","&amp;TRIM(TEXTSPLIT(EY131,","))&amp;",",","&amp;SUBSTITUTE(input_global_network_school," ","")&amp;",")))=COUNTA(TEXTSPLIT(EY131,",")))),IF(FA131="",TRUE,IF(input_global_network_school="",TRUE,SUMPRODUCT(--ISNUMBER(SEARCH(","&amp;TRIM(TEXTSPLIT(FA131,","))&amp;",",","&amp;SUBSTITUTE(input_global_network_school," ","")&amp;",")))=0)),IF(FC131="",TRUE,IF(input_global_network_school="",FALSE,SUMPRODUCT(--ISNUMBER(SEARCH(","&amp;TRIM(TEXTSPLIT(FC131,","))&amp;",",","&amp;SUBSTITUTE(input_global_network_school," ","")&amp;",")))&gt;0)),IF(FE131="",TRUE,IF(input_global_network_school="",FALSE,SUMPRODUCT(--ISNUMBER(SEARCH(","&amp;TRIM(TEXTSPLIT(FE131,","))&amp;",",","&amp;SUBSTITUTE(input_global_network_school," ","")&amp;",")))=COUNTA(TEXTSPLIT(FE131,",")))))</f>
        <v/>
      </c>
      <c r="JI131">
        <f>AND(IF(FG131="",TRUE,IF(input_industry="",FALSE,SUMPRODUCT(--ISNUMBER(SEARCH(","&amp;TRIM(TEXTSPLIT(FG131,","))&amp;",",","&amp;SUBSTITUTE(input_industry," ","")&amp;",")))&gt;0)),IF(FI131="",TRUE,IF(input_industry="",FALSE,SUMPRODUCT(--ISNUMBER(SEARCH(","&amp;TRIM(TEXTSPLIT(FI131,","))&amp;",",","&amp;SUBSTITUTE(input_industry," ","")&amp;",")))=COUNTA(TEXTSPLIT(FI131,",")))),IF(FK131="",TRUE,IF(input_industry="",TRUE,SUMPRODUCT(--ISNUMBER(SEARCH(","&amp;TRIM(TEXTSPLIT(FK131,","))&amp;",",","&amp;SUBSTITUTE(input_industry," ","")&amp;",")))=0)),IF(FM131="",TRUE,IF(input_industry="",FALSE,SUMPRODUCT(--ISNUMBER(SEARCH(","&amp;TRIM(TEXTSPLIT(FM131,","))&amp;",",","&amp;SUBSTITUTE(input_industry," ","")&amp;",")))&gt;0)),IF(FO131="",TRUE,IF(input_industry="",FALSE,SUMPRODUCT(--ISNUMBER(SEARCH(","&amp;TRIM(TEXTSPLIT(FO131,","))&amp;",",","&amp;SUBSTITUTE(input_industry," ","")&amp;",")))=COUNTA(TEXTSPLIT(FO131,",")))))</f>
        <v/>
      </c>
      <c r="JJ131">
        <f>AND(IF(FQ131="",TRUE,IF(input_location="",FALSE,SUMPRODUCT(--ISNUMBER(SEARCH(","&amp;TRIM(TEXTSPLIT(FQ131,","))&amp;",",","&amp;SUBSTITUTE(input_location," ","")&amp;",")))&gt;0)),IF(FS131="",TRUE,IF(input_location="",FALSE,SUMPRODUCT(--ISNUMBER(SEARCH(","&amp;TRIM(TEXTSPLIT(FS131,","))&amp;",",","&amp;SUBSTITUTE(input_location," ","")&amp;",")))=COUNTA(TEXTSPLIT(FS131,",")))),IF(FU131="",TRUE,IF(input_location="",TRUE,SUMPRODUCT(--ISNUMBER(SEARCH(","&amp;TRIM(TEXTSPLIT(FU131,","))&amp;",",","&amp;SUBSTITUTE(input_location," ","")&amp;",")))=0)),IF(FW131="",TRUE,IF(input_location="",FALSE,SUMPRODUCT(--ISNUMBER(SEARCH(","&amp;TRIM(TEXTSPLIT(FW131,","))&amp;",",","&amp;SUBSTITUTE(input_location," ","")&amp;",")))&gt;0)),IF(FY131="",TRUE,IF(input_location="",FALSE,SUMPRODUCT(--ISNUMBER(SEARCH(","&amp;TRIM(TEXTSPLIT(FY131,","))&amp;",",","&amp;SUBSTITUTE(input_location," ","")&amp;",")))=COUNTA(TEXTSPLIT(FY131,",")))))</f>
        <v/>
      </c>
      <c r="JK131">
        <f>AND(IF(GA131="",TRUE,IF(input_modality="",FALSE,SUMPRODUCT(--ISNUMBER(SEARCH(","&amp;TRIM(TEXTSPLIT(GA131,","))&amp;",",","&amp;SUBSTITUTE(input_modality," ","")&amp;",")))&gt;0)),IF(GC131="",TRUE,IF(input_modality="",FALSE,SUMPRODUCT(--ISNUMBER(SEARCH(","&amp;TRIM(TEXTSPLIT(GC131,","))&amp;",",","&amp;SUBSTITUTE(input_modality," ","")&amp;",")))=COUNTA(TEXTSPLIT(GC131,",")))),IF(GE131="",TRUE,IF(input_modality="",TRUE,SUMPRODUCT(--ISNUMBER(SEARCH(","&amp;TRIM(TEXTSPLIT(GE131,","))&amp;",",","&amp;SUBSTITUTE(input_modality," ","")&amp;",")))=0)),IF(GG131="",TRUE,IF(input_modality="",FALSE,SUMPRODUCT(--ISNUMBER(SEARCH(","&amp;TRIM(TEXTSPLIT(GG131,","))&amp;",",","&amp;SUBSTITUTE(input_modality," ","")&amp;",")))&gt;0)),IF(GI131="",TRUE,IF(input_modality="",FALSE,SUMPRODUCT(--ISNUMBER(SEARCH(","&amp;TRIM(TEXTSPLIT(GI131,","))&amp;",",","&amp;SUBSTITUTE(input_modality," ","")&amp;",")))=COUNTA(TEXTSPLIT(GI131,",")))))</f>
        <v/>
      </c>
      <c r="JL131">
        <f>AND(IF(GK131="",TRUE,IF(input_organizer="",FALSE,SUMPRODUCT(--ISNUMBER(SEARCH(","&amp;TRIM(TEXTSPLIT(GK131,","))&amp;",",","&amp;SUBSTITUTE(input_organizer," ","")&amp;",")))&gt;0)),IF(GM131="",TRUE,IF(input_organizer="",FALSE,SUMPRODUCT(--ISNUMBER(SEARCH(","&amp;TRIM(TEXTSPLIT(GM131,","))&amp;",",","&amp;SUBSTITUTE(input_organizer," ","")&amp;",")))=COUNTA(TEXTSPLIT(GM131,",")))),IF(GO131="",TRUE,IF(input_organizer="",TRUE,SUMPRODUCT(--ISNUMBER(SEARCH(","&amp;TRIM(TEXTSPLIT(GO131,","))&amp;",",","&amp;SUBSTITUTE(input_organizer," ","")&amp;",")))=0)),IF(GQ131="",TRUE,IF(input_organizer="",FALSE,SUMPRODUCT(--ISNUMBER(SEARCH(","&amp;TRIM(TEXTSPLIT(GQ131,","))&amp;",",","&amp;SUBSTITUTE(input_organizer," ","")&amp;",")))&gt;0)),IF(GS131="",TRUE,IF(input_organizer="",FALSE,SUMPRODUCT(--ISNUMBER(SEARCH(","&amp;TRIM(TEXTSPLIT(GS131,","))&amp;",",","&amp;SUBSTITUTE(input_organizer," ","")&amp;",")))=COUNTA(TEXTSPLIT(GS131,",")))))</f>
        <v/>
      </c>
      <c r="JM131">
        <f>AND(IF(GU131="",TRUE,IF(input_profile_type="",FALSE,SUMPRODUCT(--ISNUMBER(SEARCH(","&amp;TRIM(TEXTSPLIT(GU131,","))&amp;",",","&amp;SUBSTITUTE(input_profile_type," ","")&amp;",")))&gt;0)),IF(GW131="",TRUE,IF(input_profile_type="",FALSE,SUMPRODUCT(--ISNUMBER(SEARCH(","&amp;TRIM(TEXTSPLIT(GW131,","))&amp;",",","&amp;SUBSTITUTE(input_profile_type," ","")&amp;",")))=COUNTA(TEXTSPLIT(GW131,",")))),IF(GY131="",TRUE,IF(input_profile_type="",TRUE,SUMPRODUCT(--ISNUMBER(SEARCH(","&amp;TRIM(TEXTSPLIT(GY131,","))&amp;",",","&amp;SUBSTITUTE(input_profile_type," ","")&amp;",")))=0)),IF(HA131="",TRUE,IF(input_profile_type="",FALSE,SUMPRODUCT(--ISNUMBER(SEARCH(","&amp;TRIM(TEXTSPLIT(HA131,","))&amp;",",","&amp;SUBSTITUTE(input_profile_type," ","")&amp;",")))&gt;0)),IF(HC131="",TRUE,IF(input_profile_type="",FALSE,SUMPRODUCT(--ISNUMBER(SEARCH(","&amp;TRIM(TEXTSPLIT(HC131,","))&amp;",",","&amp;SUBSTITUTE(input_profile_type," ","")&amp;",")))=COUNTA(TEXTSPLIT(HC131,",")))))</f>
        <v/>
      </c>
      <c r="JN131">
        <f>AND(IF(HE131="",TRUE,IF(input_program="",FALSE,SUMPRODUCT(--ISNUMBER(SEARCH(","&amp;TRIM(TEXTSPLIT(HE131,","))&amp;",",","&amp;SUBSTITUTE(input_program," ","")&amp;",")))&gt;0)),IF(HG131="",TRUE,IF(input_program="",FALSE,SUMPRODUCT(--ISNUMBER(SEARCH(","&amp;TRIM(TEXTSPLIT(HG131,","))&amp;",",","&amp;SUBSTITUTE(input_program," ","")&amp;",")))=COUNTA(TEXTSPLIT(HG131,",")))),IF(HI131="",TRUE,IF(input_program="",TRUE,SUMPRODUCT(--ISNUMBER(SEARCH(","&amp;TRIM(TEXTSPLIT(HI131,","))&amp;",",","&amp;SUBSTITUTE(input_program," ","")&amp;",")))=0)),IF(HK131="",TRUE,IF(input_program="",FALSE,SUMPRODUCT(--ISNUMBER(SEARCH(","&amp;TRIM(TEXTSPLIT(HK131,","))&amp;",",","&amp;SUBSTITUTE(input_program," ","")&amp;",")))&gt;0)),IF(HM131="",TRUE,IF(input_program="",FALSE,SUMPRODUCT(--ISNUMBER(SEARCH(","&amp;TRIM(TEXTSPLIT(HM131,","))&amp;",",","&amp;SUBSTITUTE(input_program," ","")&amp;",")))=COUNTA(TEXTSPLIT(HM131,",")))))</f>
        <v/>
      </c>
      <c r="JO131">
        <f>AND(IF(HO131="",TRUE,IF(input_story_categories="",FALSE,SUMPRODUCT(--ISNUMBER(SEARCH(","&amp;TRIM(TEXTSPLIT(HO131,","))&amp;",",","&amp;SUBSTITUTE(input_story_categories," ","")&amp;",")))&gt;0)),IF(HQ131="",TRUE,IF(input_story_categories="",FALSE,SUMPRODUCT(--ISNUMBER(SEARCH(","&amp;TRIM(TEXTSPLIT(HQ131,","))&amp;",",","&amp;SUBSTITUTE(input_story_categories," ","")&amp;",")))=COUNTA(TEXTSPLIT(HQ131,",")))),IF(HS131="",TRUE,IF(input_story_categories="",TRUE,SUMPRODUCT(--ISNUMBER(SEARCH(","&amp;TRIM(TEXTSPLIT(HS131,","))&amp;",",","&amp;SUBSTITUTE(input_story_categories," ","")&amp;",")))=0)),IF(HU131="",TRUE,IF(input_story_categories="",FALSE,SUMPRODUCT(--ISNUMBER(SEARCH(","&amp;TRIM(TEXTSPLIT(HU131,","))&amp;",",","&amp;SUBSTITUTE(input_story_categories," ","")&amp;",")))&gt;0)),IF(HW131="",TRUE,IF(input_story_categories="",FALSE,SUMPRODUCT(--ISNUMBER(SEARCH(","&amp;TRIM(TEXTSPLIT(HW131,","))&amp;",",","&amp;SUBSTITUTE(input_story_categories," ","")&amp;",")))=COUNTA(TEXTSPLIT(HW131,",")))))</f>
        <v/>
      </c>
      <c r="JP131">
        <f>AND(IF(HY131="",TRUE,IF(input_story_type="",FALSE,SUMPRODUCT(--ISNUMBER(SEARCH(","&amp;TRIM(TEXTSPLIT(HY131,","))&amp;",",","&amp;SUBSTITUTE(input_story_type," ","")&amp;",")))&gt;0)),IF(IA131="",TRUE,IF(input_story_type="",FALSE,SUMPRODUCT(--ISNUMBER(SEARCH(","&amp;TRIM(TEXTSPLIT(IA131,","))&amp;",",","&amp;SUBSTITUTE(input_story_type," ","")&amp;",")))=COUNTA(TEXTSPLIT(IA131,",")))),IF(IC131="",TRUE,IF(input_story_type="",TRUE,SUMPRODUCT(--ISNUMBER(SEARCH(","&amp;TRIM(TEXTSPLIT(IC131,","))&amp;",",","&amp;SUBSTITUTE(input_story_type," ","")&amp;",")))=0)),IF(IE131="",TRUE,IF(input_story_type="",FALSE,SUMPRODUCT(--ISNUMBER(SEARCH(","&amp;TRIM(TEXTSPLIT(IE131,","))&amp;",",","&amp;SUBSTITUTE(input_story_type," ","")&amp;",")))&gt;0)),IF(IG131="",TRUE,IF(input_story_type="",FALSE,SUMPRODUCT(--ISNUMBER(SEARCH(","&amp;TRIM(TEXTSPLIT(IG131,","))&amp;",",","&amp;SUBSTITUTE(input_story_type," ","")&amp;",")))=COUNTA(TEXTSPLIT(IG131,",")))))</f>
        <v/>
      </c>
      <c r="JQ131">
        <f>AND(IF(II131="",TRUE,IF(input_topics="",FALSE,SUMPRODUCT(--ISNUMBER(SEARCH(","&amp;TRIM(TEXTSPLIT(II131,","))&amp;",",","&amp;SUBSTITUTE(input_topics," ","")&amp;",")))&gt;0)),IF(IK131="",TRUE,IF(input_topics="",FALSE,SUMPRODUCT(--ISNUMBER(SEARCH(","&amp;TRIM(TEXTSPLIT(IK131,","))&amp;",",","&amp;SUBSTITUTE(input_topics," ","")&amp;",")))=COUNTA(TEXTSPLIT(IK131,",")))),IF(IM131="",TRUE,IF(input_topics="",TRUE,SUMPRODUCT(--ISNUMBER(SEARCH(","&amp;TRIM(TEXTSPLIT(IM131,","))&amp;",",","&amp;SUBSTITUTE(input_topics," ","")&amp;",")))=0)),IF(IO131="",TRUE,IF(input_topics="",FALSE,SUMPRODUCT(--ISNUMBER(SEARCH(","&amp;TRIM(TEXTSPLIT(IO131,","))&amp;",",","&amp;SUBSTITUTE(input_topics," ","")&amp;",")))&gt;0)),IF(IQ131="",TRUE,IF(input_topics="",FALSE,SUMPRODUCT(--ISNUMBER(SEARCH(","&amp;TRIM(TEXTSPLIT(IQ131,","))&amp;",",","&amp;SUBSTITUTE(input_topics," ","")&amp;",")))=COUNTA(TEXTSPLIT(IQ131,",")))))</f>
        <v/>
      </c>
    </row>
    <row r="132">
      <c r="A132" s="4">
        <f>IF(NOT(IS132),"Excluded",IF(AND(IT132,IU132,IV132,IW132,IX132,IY132,IZ132,JA132,JB132,JC132,JD132,JE132,JF132,JG132,JH132,JI132,JJ132,JK132,JL132,JM132,JN132,JO132,JP132,JQ132),IF(I132&gt;0,"Eligible but limited","Will appear"),"Excluded"))</f>
        <v/>
      </c>
      <c r="B132" s="4" t="inlineStr">
        <is>
          <t>Middle East</t>
        </is>
      </c>
      <c r="C132" s="4" t="inlineStr">
        <is>
          <t>/centers/chief-executive-leadership-institute/media/middle-east</t>
        </is>
      </c>
      <c r="D132" s="4" t="inlineStr">
        <is>
          <t>/centers/chief-executive-leadership-institute/media/middle-east</t>
        </is>
      </c>
      <c r="E132" s="4" t="n">
        <v>1</v>
      </c>
      <c r="F132" s="4" t="inlineStr">
        <is>
          <t>story</t>
        </is>
      </c>
      <c r="G132" s="4" t="inlineStr">
        <is>
          <t>stories_list</t>
        </is>
      </c>
      <c r="H132" s="4" t="inlineStr">
        <is>
          <t>embed_1</t>
        </is>
      </c>
      <c r="I132" s="4" t="n">
        <v>10</v>
      </c>
      <c r="J132" s="4" t="inlineStr">
        <is>
          <t>Explicit args</t>
        </is>
      </c>
      <c r="K132" s="4" t="inlineStr">
        <is>
          <t>Page placement</t>
        </is>
      </c>
      <c r="L132" s="4" t="inlineStr">
        <is>
          <t>Content type: story; Context uses Courses Context: Middle East (1359); Limited to 10 item(s); Source: Explicit args</t>
        </is>
      </c>
      <c r="M132" t="inlineStr"/>
      <c r="N132" t="inlineStr"/>
      <c r="O132" t="inlineStr"/>
      <c r="P132" t="inlineStr"/>
      <c r="Q132" t="inlineStr"/>
      <c r="R132" t="inlineStr"/>
      <c r="S132" t="inlineStr"/>
      <c r="T132" t="inlineStr"/>
      <c r="U132" t="inlineStr"/>
      <c r="V132" t="inlineStr"/>
      <c r="W132" t="inlineStr"/>
      <c r="X132" t="inlineStr"/>
      <c r="Y132" t="inlineStr"/>
      <c r="Z132" t="inlineStr"/>
      <c r="AA132" t="inlineStr"/>
      <c r="AB132" t="inlineStr"/>
      <c r="AC132" t="inlineStr"/>
      <c r="AD132" t="inlineStr"/>
      <c r="AE132" t="inlineStr"/>
      <c r="AF132" t="inlineStr"/>
      <c r="AG132" t="inlineStr"/>
      <c r="AH132" t="inlineStr"/>
      <c r="AI132" t="inlineStr"/>
      <c r="AJ132" t="inlineStr"/>
      <c r="AK132" t="inlineStr"/>
      <c r="AL132" t="inlineStr"/>
      <c r="AM132" t="inlineStr"/>
      <c r="AN132" t="inlineStr"/>
      <c r="AO132" t="inlineStr"/>
      <c r="AP132" t="inlineStr"/>
      <c r="AQ132" t="inlineStr"/>
      <c r="AR132" t="inlineStr"/>
      <c r="AS132" t="inlineStr"/>
      <c r="AT132" t="inlineStr"/>
      <c r="AU132" t="inlineStr"/>
      <c r="AV132" t="inlineStr"/>
      <c r="AW132" t="inlineStr"/>
      <c r="AX132" t="inlineStr"/>
      <c r="AY132" t="inlineStr"/>
      <c r="AZ132" t="inlineStr"/>
      <c r="BA132" t="inlineStr"/>
      <c r="BB132" t="inlineStr"/>
      <c r="BC132" t="inlineStr"/>
      <c r="BD132" t="inlineStr"/>
      <c r="BE132" t="inlineStr"/>
      <c r="BF132" t="inlineStr"/>
      <c r="BG132" t="inlineStr"/>
      <c r="BH132" t="inlineStr"/>
      <c r="BI132" t="inlineStr"/>
      <c r="BJ132" t="inlineStr"/>
      <c r="BK132" t="inlineStr"/>
      <c r="BL132" t="inlineStr"/>
      <c r="BM132" t="inlineStr"/>
      <c r="BN132" t="inlineStr"/>
      <c r="BO132" t="inlineStr"/>
      <c r="BP132" t="inlineStr"/>
      <c r="BQ132" t="inlineStr">
        <is>
          <t>1359</t>
        </is>
      </c>
      <c r="BR132" t="inlineStr">
        <is>
          <t>Middle East (1359)</t>
        </is>
      </c>
      <c r="BS132" t="inlineStr"/>
      <c r="BT132" t="inlineStr"/>
      <c r="BU132" t="inlineStr"/>
      <c r="BV132" t="inlineStr"/>
      <c r="BW132" t="inlineStr"/>
      <c r="BX132" t="inlineStr"/>
      <c r="BY132" t="inlineStr"/>
      <c r="BZ132" t="inlineStr"/>
      <c r="CA132" t="inlineStr"/>
      <c r="CB132" t="inlineStr"/>
      <c r="CC132" t="inlineStr"/>
      <c r="CD132" t="inlineStr"/>
      <c r="CE132" t="inlineStr"/>
      <c r="CF132" t="inlineStr"/>
      <c r="CG132" t="inlineStr"/>
      <c r="CH132" t="inlineStr"/>
      <c r="CI132" t="inlineStr"/>
      <c r="CJ132" t="inlineStr"/>
      <c r="CK132" t="inlineStr"/>
      <c r="CL132" t="inlineStr"/>
      <c r="CM132" t="inlineStr"/>
      <c r="CN132" t="inlineStr"/>
      <c r="CO132" t="inlineStr"/>
      <c r="CP132" t="inlineStr"/>
      <c r="CQ132" t="inlineStr"/>
      <c r="CR132" t="inlineStr"/>
      <c r="CS132" t="inlineStr"/>
      <c r="CT132" t="inlineStr"/>
      <c r="CU132" t="inlineStr"/>
      <c r="CV132" t="inlineStr"/>
      <c r="CW132" t="inlineStr"/>
      <c r="CX132" t="inlineStr"/>
      <c r="CY132" t="inlineStr"/>
      <c r="CZ132" t="inlineStr"/>
      <c r="DA132" t="inlineStr"/>
      <c r="DB132" t="inlineStr"/>
      <c r="DC132" t="inlineStr"/>
      <c r="DD132" t="inlineStr"/>
      <c r="DE132" t="inlineStr"/>
      <c r="DF132" t="inlineStr"/>
      <c r="DG132" t="inlineStr"/>
      <c r="DH132" t="inlineStr"/>
      <c r="DI132" t="inlineStr"/>
      <c r="DJ132" t="inlineStr"/>
      <c r="DK132" t="inlineStr"/>
      <c r="DL132" t="inlineStr"/>
      <c r="DM132" t="inlineStr"/>
      <c r="DN132" t="inlineStr"/>
      <c r="DO132" t="inlineStr"/>
      <c r="DP132" t="inlineStr"/>
      <c r="DQ132" t="inlineStr"/>
      <c r="DR132" t="inlineStr"/>
      <c r="DS132" t="inlineStr"/>
      <c r="DT132" t="inlineStr"/>
      <c r="DU132" t="inlineStr"/>
      <c r="DV132" t="inlineStr"/>
      <c r="DW132" t="inlineStr"/>
      <c r="DX132" t="inlineStr"/>
      <c r="DY132" t="inlineStr"/>
      <c r="DZ132" t="inlineStr"/>
      <c r="EA132" t="inlineStr"/>
      <c r="EB132" t="inlineStr"/>
      <c r="EC132" t="inlineStr"/>
      <c r="ED132" t="inlineStr"/>
      <c r="EE132" t="inlineStr"/>
      <c r="EF132" t="inlineStr"/>
      <c r="EG132" t="inlineStr"/>
      <c r="EH132" t="inlineStr"/>
      <c r="EI132" t="inlineStr"/>
      <c r="EJ132" t="inlineStr"/>
      <c r="EK132" t="inlineStr"/>
      <c r="EL132" t="inlineStr"/>
      <c r="EM132" t="inlineStr"/>
      <c r="EN132" t="inlineStr"/>
      <c r="EO132" t="inlineStr"/>
      <c r="EP132" t="inlineStr"/>
      <c r="EQ132" t="inlineStr"/>
      <c r="ER132" t="inlineStr"/>
      <c r="ES132" t="inlineStr"/>
      <c r="ET132" t="inlineStr"/>
      <c r="EU132" t="inlineStr"/>
      <c r="EV132" t="inlineStr"/>
      <c r="EW132" t="inlineStr"/>
      <c r="EX132" t="inlineStr"/>
      <c r="EY132" t="inlineStr"/>
      <c r="EZ132" t="inlineStr"/>
      <c r="FA132" t="inlineStr"/>
      <c r="FB132" t="inlineStr"/>
      <c r="FC132" t="inlineStr"/>
      <c r="FD132" t="inlineStr"/>
      <c r="FE132" t="inlineStr"/>
      <c r="FF132" t="inlineStr"/>
      <c r="FG132" t="inlineStr"/>
      <c r="FH132" t="inlineStr"/>
      <c r="FI132" t="inlineStr"/>
      <c r="FJ132" t="inlineStr"/>
      <c r="FK132" t="inlineStr"/>
      <c r="FL132" t="inlineStr"/>
      <c r="FM132" t="inlineStr"/>
      <c r="FN132" t="inlineStr"/>
      <c r="FO132" t="inlineStr"/>
      <c r="FP132" t="inlineStr"/>
      <c r="FQ132" t="inlineStr"/>
      <c r="FR132" t="inlineStr"/>
      <c r="FS132" t="inlineStr"/>
      <c r="FT132" t="inlineStr"/>
      <c r="FU132" t="inlineStr"/>
      <c r="FV132" t="inlineStr"/>
      <c r="FW132" t="inlineStr"/>
      <c r="FX132" t="inlineStr"/>
      <c r="FY132" t="inlineStr"/>
      <c r="FZ132" t="inlineStr"/>
      <c r="GA132" t="inlineStr"/>
      <c r="GB132" t="inlineStr"/>
      <c r="GC132" t="inlineStr"/>
      <c r="GD132" t="inlineStr"/>
      <c r="GE132" t="inlineStr"/>
      <c r="GF132" t="inlineStr"/>
      <c r="GG132" t="inlineStr"/>
      <c r="GH132" t="inlineStr"/>
      <c r="GI132" t="inlineStr"/>
      <c r="GJ132" t="inlineStr"/>
      <c r="GK132" t="inlineStr"/>
      <c r="GL132" t="inlineStr"/>
      <c r="GM132" t="inlineStr"/>
      <c r="GN132" t="inlineStr"/>
      <c r="GO132" t="inlineStr"/>
      <c r="GP132" t="inlineStr"/>
      <c r="GQ132" t="inlineStr"/>
      <c r="GR132" t="inlineStr"/>
      <c r="GS132" t="inlineStr"/>
      <c r="GT132" t="inlineStr"/>
      <c r="GU132" t="inlineStr"/>
      <c r="GV132" t="inlineStr"/>
      <c r="GW132" t="inlineStr"/>
      <c r="GX132" t="inlineStr"/>
      <c r="GY132" t="inlineStr"/>
      <c r="GZ132" t="inlineStr"/>
      <c r="HA132" t="inlineStr"/>
      <c r="HB132" t="inlineStr"/>
      <c r="HC132" t="inlineStr"/>
      <c r="HD132" t="inlineStr"/>
      <c r="HE132" t="inlineStr"/>
      <c r="HF132" t="inlineStr"/>
      <c r="HG132" t="inlineStr"/>
      <c r="HH132" t="inlineStr"/>
      <c r="HI132" t="inlineStr"/>
      <c r="HJ132" t="inlineStr"/>
      <c r="HK132" t="inlineStr"/>
      <c r="HL132" t="inlineStr"/>
      <c r="HM132" t="inlineStr"/>
      <c r="HN132" t="inlineStr"/>
      <c r="HO132" t="inlineStr"/>
      <c r="HP132" t="inlineStr"/>
      <c r="HQ132" t="inlineStr"/>
      <c r="HR132" t="inlineStr"/>
      <c r="HS132" t="inlineStr"/>
      <c r="HT132" t="inlineStr"/>
      <c r="HU132" t="inlineStr"/>
      <c r="HV132" t="inlineStr"/>
      <c r="HW132" t="inlineStr"/>
      <c r="HX132" t="inlineStr"/>
      <c r="HY132" t="inlineStr"/>
      <c r="HZ132" t="inlineStr"/>
      <c r="IA132" t="inlineStr"/>
      <c r="IB132" t="inlineStr"/>
      <c r="IC132" t="inlineStr"/>
      <c r="ID132" t="inlineStr"/>
      <c r="IE132" t="inlineStr"/>
      <c r="IF132" t="inlineStr"/>
      <c r="IG132" t="inlineStr"/>
      <c r="IH132" t="inlineStr"/>
      <c r="II132" t="inlineStr"/>
      <c r="IJ132" t="inlineStr"/>
      <c r="IK132" t="inlineStr"/>
      <c r="IL132" t="inlineStr"/>
      <c r="IM132" t="inlineStr"/>
      <c r="IN132" t="inlineStr"/>
      <c r="IO132" t="inlineStr"/>
      <c r="IP132" t="inlineStr"/>
      <c r="IQ132" t="inlineStr"/>
      <c r="IR132" t="inlineStr"/>
      <c r="IS132">
        <f>IF(input_content_type="",FALSE,ISNUMBER(SEARCH(","&amp;LOWER(input_content_type)&amp;",",","&amp;LOWER(F132)&amp;",")))</f>
        <v/>
      </c>
      <c r="IT132">
        <f>AND(IF(M132="",TRUE,IF(input_affiliations="",FALSE,SUMPRODUCT(--ISNUMBER(SEARCH(","&amp;TRIM(TEXTSPLIT(M132,","))&amp;",",","&amp;SUBSTITUTE(input_affiliations," ","")&amp;",")))&gt;0)),IF(O132="",TRUE,IF(input_affiliations="",FALSE,SUMPRODUCT(--ISNUMBER(SEARCH(","&amp;TRIM(TEXTSPLIT(O132,","))&amp;",",","&amp;SUBSTITUTE(input_affiliations," ","")&amp;",")))=COUNTA(TEXTSPLIT(O132,",")))),IF(Q132="",TRUE,IF(input_affiliations="",TRUE,SUMPRODUCT(--ISNUMBER(SEARCH(","&amp;TRIM(TEXTSPLIT(Q132,","))&amp;",",","&amp;SUBSTITUTE(input_affiliations," ","")&amp;",")))=0)),IF(S132="",TRUE,IF(input_affiliations="",FALSE,SUMPRODUCT(--ISNUMBER(SEARCH(","&amp;TRIM(TEXTSPLIT(S132,","))&amp;",",","&amp;SUBSTITUTE(input_affiliations," ","")&amp;",")))&gt;0)),IF(U132="",TRUE,IF(input_affiliations="",FALSE,SUMPRODUCT(--ISNUMBER(SEARCH(","&amp;TRIM(TEXTSPLIT(U132,","))&amp;",",","&amp;SUBSTITUTE(input_affiliations," ","")&amp;",")))=COUNTA(TEXTSPLIT(U132,",")))))</f>
        <v/>
      </c>
      <c r="IU132">
        <f>AND(IF(W132="",TRUE,IF(input_announcement_category="",FALSE,SUMPRODUCT(--ISNUMBER(SEARCH(","&amp;TRIM(TEXTSPLIT(W132,","))&amp;",",","&amp;SUBSTITUTE(input_announcement_category," ","")&amp;",")))&gt;0)),IF(Y132="",TRUE,IF(input_announcement_category="",FALSE,SUMPRODUCT(--ISNUMBER(SEARCH(","&amp;TRIM(TEXTSPLIT(Y132,","))&amp;",",","&amp;SUBSTITUTE(input_announcement_category," ","")&amp;",")))=COUNTA(TEXTSPLIT(Y132,",")))),IF(AA132="",TRUE,IF(input_announcement_category="",TRUE,SUMPRODUCT(--ISNUMBER(SEARCH(","&amp;TRIM(TEXTSPLIT(AA132,","))&amp;",",","&amp;SUBSTITUTE(input_announcement_category," ","")&amp;",")))=0)),IF(AC132="",TRUE,IF(input_announcement_category="",FALSE,SUMPRODUCT(--ISNUMBER(SEARCH(","&amp;TRIM(TEXTSPLIT(AC132,","))&amp;",",","&amp;SUBSTITUTE(input_announcement_category," ","")&amp;",")))&gt;0)),IF(AE132="",TRUE,IF(input_announcement_category="",FALSE,SUMPRODUCT(--ISNUMBER(SEARCH(","&amp;TRIM(TEXTSPLIT(AE132,","))&amp;",",","&amp;SUBSTITUTE(input_announcement_category," ","")&amp;",")))=COUNTA(TEXTSPLIT(AE132,",")))))</f>
        <v/>
      </c>
      <c r="IV132">
        <f>AND(IF(AG132="",TRUE,IF(input_area_of_focus="",FALSE,SUMPRODUCT(--ISNUMBER(SEARCH(","&amp;TRIM(TEXTSPLIT(AG132,","))&amp;",",","&amp;SUBSTITUTE(input_area_of_focus," ","")&amp;",")))&gt;0)),IF(AI132="",TRUE,IF(input_area_of_focus="",FALSE,SUMPRODUCT(--ISNUMBER(SEARCH(","&amp;TRIM(TEXTSPLIT(AI132,","))&amp;",",","&amp;SUBSTITUTE(input_area_of_focus," ","")&amp;",")))=COUNTA(TEXTSPLIT(AI132,",")))),IF(AK132="",TRUE,IF(input_area_of_focus="",TRUE,SUMPRODUCT(--ISNUMBER(SEARCH(","&amp;TRIM(TEXTSPLIT(AK132,","))&amp;",",","&amp;SUBSTITUTE(input_area_of_focus," ","")&amp;",")))=0)),IF(AM132="",TRUE,IF(input_area_of_focus="",FALSE,SUMPRODUCT(--ISNUMBER(SEARCH(","&amp;TRIM(TEXTSPLIT(AM132,","))&amp;",",","&amp;SUBSTITUTE(input_area_of_focus," ","")&amp;",")))&gt;0)),IF(AO132="",TRUE,IF(input_area_of_focus="",FALSE,SUMPRODUCT(--ISNUMBER(SEARCH(","&amp;TRIM(TEXTSPLIT(AO132,","))&amp;",",","&amp;SUBSTITUTE(input_area_of_focus," ","")&amp;",")))=COUNTA(TEXTSPLIT(AO132,",")))))</f>
        <v/>
      </c>
      <c r="IW132">
        <f>AND(IF(AQ132="",TRUE,IF(input_audience="",FALSE,SUMPRODUCT(--ISNUMBER(SEARCH(","&amp;TRIM(TEXTSPLIT(AQ132,","))&amp;",",","&amp;SUBSTITUTE(input_audience," ","")&amp;",")))&gt;0)),IF(AS132="",TRUE,IF(input_audience="",FALSE,SUMPRODUCT(--ISNUMBER(SEARCH(","&amp;TRIM(TEXTSPLIT(AS132,","))&amp;",",","&amp;SUBSTITUTE(input_audience," ","")&amp;",")))=COUNTA(TEXTSPLIT(AS132,",")))),IF(AU132="",TRUE,IF(input_audience="",TRUE,SUMPRODUCT(--ISNUMBER(SEARCH(","&amp;TRIM(TEXTSPLIT(AU132,","))&amp;",",","&amp;SUBSTITUTE(input_audience," ","")&amp;",")))=0)),IF(AW132="",TRUE,IF(input_audience="",FALSE,SUMPRODUCT(--ISNUMBER(SEARCH(","&amp;TRIM(TEXTSPLIT(AW132,","))&amp;",",","&amp;SUBSTITUTE(input_audience," ","")&amp;",")))&gt;0)),IF(AY132="",TRUE,IF(input_audience="",FALSE,SUMPRODUCT(--ISNUMBER(SEARCH(","&amp;TRIM(TEXTSPLIT(AY132,","))&amp;",",","&amp;SUBSTITUTE(input_audience," ","")&amp;",")))=COUNTA(TEXTSPLIT(AY132,",")))))</f>
        <v/>
      </c>
      <c r="IX132">
        <f>AND(IF(BA132="",TRUE,IF(input_challenge_opportunities="",FALSE,SUMPRODUCT(--ISNUMBER(SEARCH(","&amp;TRIM(TEXTSPLIT(BA132,","))&amp;",",","&amp;SUBSTITUTE(input_challenge_opportunities," ","")&amp;",")))&gt;0)),IF(BC132="",TRUE,IF(input_challenge_opportunities="",FALSE,SUMPRODUCT(--ISNUMBER(SEARCH(","&amp;TRIM(TEXTSPLIT(BC132,","))&amp;",",","&amp;SUBSTITUTE(input_challenge_opportunities," ","")&amp;",")))=COUNTA(TEXTSPLIT(BC132,",")))),IF(BE132="",TRUE,IF(input_challenge_opportunities="",TRUE,SUMPRODUCT(--ISNUMBER(SEARCH(","&amp;TRIM(TEXTSPLIT(BE132,","))&amp;",",","&amp;SUBSTITUTE(input_challenge_opportunities," ","")&amp;",")))=0)),IF(BG132="",TRUE,IF(input_challenge_opportunities="",FALSE,SUMPRODUCT(--ISNUMBER(SEARCH(","&amp;TRIM(TEXTSPLIT(BG132,","))&amp;",",","&amp;SUBSTITUTE(input_challenge_opportunities," ","")&amp;",")))&gt;0)),IF(BI132="",TRUE,IF(input_challenge_opportunities="",FALSE,SUMPRODUCT(--ISNUMBER(SEARCH(","&amp;TRIM(TEXTSPLIT(BI132,","))&amp;",",","&amp;SUBSTITUTE(input_challenge_opportunities," ","")&amp;",")))=COUNTA(TEXTSPLIT(BI132,",")))))</f>
        <v/>
      </c>
      <c r="IY132">
        <f>AND(IF(BK132="",TRUE,IF(input_context="",FALSE,SUMPRODUCT(--ISNUMBER(SEARCH(","&amp;TRIM(TEXTSPLIT(BK132,","))&amp;",",","&amp;SUBSTITUTE(input_context," ","")&amp;",")))&gt;0)),IF(BM132="",TRUE,IF(input_context="",FALSE,SUMPRODUCT(--ISNUMBER(SEARCH(","&amp;TRIM(TEXTSPLIT(BM132,","))&amp;",",","&amp;SUBSTITUTE(input_context," ","")&amp;",")))=COUNTA(TEXTSPLIT(BM132,",")))),IF(BO132="",TRUE,IF(input_context="",TRUE,SUMPRODUCT(--ISNUMBER(SEARCH(","&amp;TRIM(TEXTSPLIT(BO132,","))&amp;",",","&amp;SUBSTITUTE(input_context," ","")&amp;",")))=0)),IF(BQ132="",TRUE,IF(input_context="",FALSE,SUMPRODUCT(--ISNUMBER(SEARCH(","&amp;TRIM(TEXTSPLIT(BQ132,","))&amp;",",","&amp;SUBSTITUTE(input_context," ","")&amp;",")))&gt;0)),IF(BS132="",TRUE,IF(input_context="",FALSE,SUMPRODUCT(--ISNUMBER(SEARCH(","&amp;TRIM(TEXTSPLIT(BS132,","))&amp;",",","&amp;SUBSTITUTE(input_context," ","")&amp;",")))=COUNTA(TEXTSPLIT(BS132,",")))))</f>
        <v/>
      </c>
      <c r="IZ132">
        <f>AND(IF(BU132="",TRUE,IF(input_enews_announcement_type="",FALSE,SUMPRODUCT(--ISNUMBER(SEARCH(","&amp;TRIM(TEXTSPLIT(BU132,","))&amp;",",","&amp;SUBSTITUTE(input_enews_announcement_type," ","")&amp;",")))&gt;0)),IF(BW132="",TRUE,IF(input_enews_announcement_type="",FALSE,SUMPRODUCT(--ISNUMBER(SEARCH(","&amp;TRIM(TEXTSPLIT(BW132,","))&amp;",",","&amp;SUBSTITUTE(input_enews_announcement_type," ","")&amp;",")))=COUNTA(TEXTSPLIT(BW132,",")))),IF(BY132="",TRUE,IF(input_enews_announcement_type="",TRUE,SUMPRODUCT(--ISNUMBER(SEARCH(","&amp;TRIM(TEXTSPLIT(BY132,","))&amp;",",","&amp;SUBSTITUTE(input_enews_announcement_type," ","")&amp;",")))=0)),IF(CA132="",TRUE,IF(input_enews_announcement_type="",FALSE,SUMPRODUCT(--ISNUMBER(SEARCH(","&amp;TRIM(TEXTSPLIT(CA132,","))&amp;",",","&amp;SUBSTITUTE(input_enews_announcement_type," ","")&amp;",")))&gt;0)),IF(CC132="",TRUE,IF(input_enews_announcement_type="",FALSE,SUMPRODUCT(--ISNUMBER(SEARCH(","&amp;TRIM(TEXTSPLIT(CC132,","))&amp;",",","&amp;SUBSTITUTE(input_enews_announcement_type," ","")&amp;",")))=COUNTA(TEXTSPLIT(CC132,",")))))</f>
        <v/>
      </c>
      <c r="JA132">
        <f>AND(IF(CE132="",TRUE,IF(input_enews_audience="",FALSE,SUMPRODUCT(--ISNUMBER(SEARCH(","&amp;TRIM(TEXTSPLIT(CE132,","))&amp;",",","&amp;SUBSTITUTE(input_enews_audience," ","")&amp;",")))&gt;0)),IF(CG132="",TRUE,IF(input_enews_audience="",FALSE,SUMPRODUCT(--ISNUMBER(SEARCH(","&amp;TRIM(TEXTSPLIT(CG132,","))&amp;",",","&amp;SUBSTITUTE(input_enews_audience," ","")&amp;",")))=COUNTA(TEXTSPLIT(CG132,",")))),IF(CI132="",TRUE,IF(input_enews_audience="",TRUE,SUMPRODUCT(--ISNUMBER(SEARCH(","&amp;TRIM(TEXTSPLIT(CI132,","))&amp;",",","&amp;SUBSTITUTE(input_enews_audience," ","")&amp;",")))=0)),IF(CK132="",TRUE,IF(input_enews_audience="",FALSE,SUMPRODUCT(--ISNUMBER(SEARCH(","&amp;TRIM(TEXTSPLIT(CK132,","))&amp;",",","&amp;SUBSTITUTE(input_enews_audience," ","")&amp;",")))&gt;0)),IF(CM132="",TRUE,IF(input_enews_audience="",FALSE,SUMPRODUCT(--ISNUMBER(SEARCH(","&amp;TRIM(TEXTSPLIT(CM132,","))&amp;",",","&amp;SUBSTITUTE(input_enews_audience," ","")&amp;",")))=COUNTA(TEXTSPLIT(CM132,",")))))</f>
        <v/>
      </c>
      <c r="JB132">
        <f>AND(IF(CO132="",TRUE,IF(input_event_location="",FALSE,SUMPRODUCT(--ISNUMBER(SEARCH(","&amp;TRIM(TEXTSPLIT(CO132,","))&amp;",",","&amp;SUBSTITUTE(input_event_location," ","")&amp;",")))&gt;0)),IF(CQ132="",TRUE,IF(input_event_location="",FALSE,SUMPRODUCT(--ISNUMBER(SEARCH(","&amp;TRIM(TEXTSPLIT(CQ132,","))&amp;",",","&amp;SUBSTITUTE(input_event_location," ","")&amp;",")))=COUNTA(TEXTSPLIT(CQ132,",")))),IF(CS132="",TRUE,IF(input_event_location="",TRUE,SUMPRODUCT(--ISNUMBER(SEARCH(","&amp;TRIM(TEXTSPLIT(CS132,","))&amp;",",","&amp;SUBSTITUTE(input_event_location," ","")&amp;",")))=0)),IF(CU132="",TRUE,IF(input_event_location="",FALSE,SUMPRODUCT(--ISNUMBER(SEARCH(","&amp;TRIM(TEXTSPLIT(CU132,","))&amp;",",","&amp;SUBSTITUTE(input_event_location," ","")&amp;",")))&gt;0)),IF(CW132="",TRUE,IF(input_event_location="",FALSE,SUMPRODUCT(--ISNUMBER(SEARCH(","&amp;TRIM(TEXTSPLIT(CW132,","))&amp;",",","&amp;SUBSTITUTE(input_event_location," ","")&amp;",")))=COUNTA(TEXTSPLIT(CW132,",")))))</f>
        <v/>
      </c>
      <c r="JC132">
        <f>AND(IF(CY132="",TRUE,IF(input_event_type="",FALSE,SUMPRODUCT(--ISNUMBER(SEARCH(","&amp;TRIM(TEXTSPLIT(CY132,","))&amp;",",","&amp;SUBSTITUTE(input_event_type," ","")&amp;",")))&gt;0)),IF(DA132="",TRUE,IF(input_event_type="",FALSE,SUMPRODUCT(--ISNUMBER(SEARCH(","&amp;TRIM(TEXTSPLIT(DA132,","))&amp;",",","&amp;SUBSTITUTE(input_event_type," ","")&amp;",")))=COUNTA(TEXTSPLIT(DA132,",")))),IF(DC132="",TRUE,IF(input_event_type="",TRUE,SUMPRODUCT(--ISNUMBER(SEARCH(","&amp;TRIM(TEXTSPLIT(DC132,","))&amp;",",","&amp;SUBSTITUTE(input_event_type," ","")&amp;",")))=0)),IF(DE132="",TRUE,IF(input_event_type="",FALSE,SUMPRODUCT(--ISNUMBER(SEARCH(","&amp;TRIM(TEXTSPLIT(DE132,","))&amp;",",","&amp;SUBSTITUTE(input_event_type," ","")&amp;",")))&gt;0)),IF(DG132="",TRUE,IF(input_event_type="",FALSE,SUMPRODUCT(--ISNUMBER(SEARCH(","&amp;TRIM(TEXTSPLIT(DG132,","))&amp;",",","&amp;SUBSTITUTE(input_event_type," ","")&amp;",")))=COUNTA(TEXTSPLIT(DG132,",")))))</f>
        <v/>
      </c>
      <c r="JD132">
        <f>AND(IF(DI132="",TRUE,IF(input_executive_education_focus="",FALSE,SUMPRODUCT(--ISNUMBER(SEARCH(","&amp;TRIM(TEXTSPLIT(DI132,","))&amp;",",","&amp;SUBSTITUTE(input_executive_education_focus," ","")&amp;",")))&gt;0)),IF(DK132="",TRUE,IF(input_executive_education_focus="",FALSE,SUMPRODUCT(--ISNUMBER(SEARCH(","&amp;TRIM(TEXTSPLIT(DK132,","))&amp;",",","&amp;SUBSTITUTE(input_executive_education_focus," ","")&amp;",")))=COUNTA(TEXTSPLIT(DK132,",")))),IF(DM132="",TRUE,IF(input_executive_education_focus="",TRUE,SUMPRODUCT(--ISNUMBER(SEARCH(","&amp;TRIM(TEXTSPLIT(DM132,","))&amp;",",","&amp;SUBSTITUTE(input_executive_education_focus," ","")&amp;",")))=0)),IF(DO132="",TRUE,IF(input_executive_education_focus="",FALSE,SUMPRODUCT(--ISNUMBER(SEARCH(","&amp;TRIM(TEXTSPLIT(DO132,","))&amp;",",","&amp;SUBSTITUTE(input_executive_education_focus," ","")&amp;",")))&gt;0)),IF(DQ132="",TRUE,IF(input_executive_education_focus="",FALSE,SUMPRODUCT(--ISNUMBER(SEARCH(","&amp;TRIM(TEXTSPLIT(DQ132,","))&amp;",",","&amp;SUBSTITUTE(input_executive_education_focus," ","")&amp;",")))=COUNTA(TEXTSPLIT(DQ132,",")))))</f>
        <v/>
      </c>
      <c r="JE132">
        <f>AND(IF(DS132="",TRUE,IF(input_faculty_category="",FALSE,SUMPRODUCT(--ISNUMBER(SEARCH(","&amp;TRIM(TEXTSPLIT(DS132,","))&amp;",",","&amp;SUBSTITUTE(input_faculty_category," ","")&amp;",")))&gt;0)),IF(DU132="",TRUE,IF(input_faculty_category="",FALSE,SUMPRODUCT(--ISNUMBER(SEARCH(","&amp;TRIM(TEXTSPLIT(DU132,","))&amp;",",","&amp;SUBSTITUTE(input_faculty_category," ","")&amp;",")))=COUNTA(TEXTSPLIT(DU132,",")))),IF(DW132="",TRUE,IF(input_faculty_category="",TRUE,SUMPRODUCT(--ISNUMBER(SEARCH(","&amp;TRIM(TEXTSPLIT(DW132,","))&amp;",",","&amp;SUBSTITUTE(input_faculty_category," ","")&amp;",")))=0)),IF(DY132="",TRUE,IF(input_faculty_category="",FALSE,SUMPRODUCT(--ISNUMBER(SEARCH(","&amp;TRIM(TEXTSPLIT(DY132,","))&amp;",",","&amp;SUBSTITUTE(input_faculty_category," ","")&amp;",")))&gt;0)),IF(EA132="",TRUE,IF(input_faculty_category="",FALSE,SUMPRODUCT(--ISNUMBER(SEARCH(","&amp;TRIM(TEXTSPLIT(EA132,","))&amp;",",","&amp;SUBSTITUTE(input_faculty_category," ","")&amp;",")))=COUNTA(TEXTSPLIT(EA132,",")))))</f>
        <v/>
      </c>
      <c r="JF132">
        <f>AND(IF(EC132="",TRUE,IF(input_faculty_discipline="",FALSE,SUMPRODUCT(--ISNUMBER(SEARCH(","&amp;TRIM(TEXTSPLIT(EC132,","))&amp;",",","&amp;SUBSTITUTE(input_faculty_discipline," ","")&amp;",")))&gt;0)),IF(EE132="",TRUE,IF(input_faculty_discipline="",FALSE,SUMPRODUCT(--ISNUMBER(SEARCH(","&amp;TRIM(TEXTSPLIT(EE132,","))&amp;",",","&amp;SUBSTITUTE(input_faculty_discipline," ","")&amp;",")))=COUNTA(TEXTSPLIT(EE132,",")))),IF(EG132="",TRUE,IF(input_faculty_discipline="",TRUE,SUMPRODUCT(--ISNUMBER(SEARCH(","&amp;TRIM(TEXTSPLIT(EG132,","))&amp;",",","&amp;SUBSTITUTE(input_faculty_discipline," ","")&amp;",")))=0)),IF(EI132="",TRUE,IF(input_faculty_discipline="",FALSE,SUMPRODUCT(--ISNUMBER(SEARCH(","&amp;TRIM(TEXTSPLIT(EI132,","))&amp;",",","&amp;SUBSTITUTE(input_faculty_discipline," ","")&amp;",")))&gt;0)),IF(EK132="",TRUE,IF(input_faculty_discipline="",FALSE,SUMPRODUCT(--ISNUMBER(SEARCH(","&amp;TRIM(TEXTSPLIT(EK132,","))&amp;",",","&amp;SUBSTITUTE(input_faculty_discipline," ","")&amp;",")))=COUNTA(TEXTSPLIT(EK132,",")))))</f>
        <v/>
      </c>
      <c r="JG132">
        <f>AND(IF(EM132="",TRUE,IF(input_faculty_expertise="",FALSE,SUMPRODUCT(--ISNUMBER(SEARCH(","&amp;TRIM(TEXTSPLIT(EM132,","))&amp;",",","&amp;SUBSTITUTE(input_faculty_expertise," ","")&amp;",")))&gt;0)),IF(EO132="",TRUE,IF(input_faculty_expertise="",FALSE,SUMPRODUCT(--ISNUMBER(SEARCH(","&amp;TRIM(TEXTSPLIT(EO132,","))&amp;",",","&amp;SUBSTITUTE(input_faculty_expertise," ","")&amp;",")))=COUNTA(TEXTSPLIT(EO132,",")))),IF(EQ132="",TRUE,IF(input_faculty_expertise="",TRUE,SUMPRODUCT(--ISNUMBER(SEARCH(","&amp;TRIM(TEXTSPLIT(EQ132,","))&amp;",",","&amp;SUBSTITUTE(input_faculty_expertise," ","")&amp;",")))=0)),IF(ES132="",TRUE,IF(input_faculty_expertise="",FALSE,SUMPRODUCT(--ISNUMBER(SEARCH(","&amp;TRIM(TEXTSPLIT(ES132,","))&amp;",",","&amp;SUBSTITUTE(input_faculty_expertise," ","")&amp;",")))&gt;0)),IF(EU132="",TRUE,IF(input_faculty_expertise="",FALSE,SUMPRODUCT(--ISNUMBER(SEARCH(","&amp;TRIM(TEXTSPLIT(EU132,","))&amp;",",","&amp;SUBSTITUTE(input_faculty_expertise," ","")&amp;",")))=COUNTA(TEXTSPLIT(EU132,",")))))</f>
        <v/>
      </c>
      <c r="JH132">
        <f>AND(IF(EW132="",TRUE,IF(input_global_network_school="",FALSE,SUMPRODUCT(--ISNUMBER(SEARCH(","&amp;TRIM(TEXTSPLIT(EW132,","))&amp;",",","&amp;SUBSTITUTE(input_global_network_school," ","")&amp;",")))&gt;0)),IF(EY132="",TRUE,IF(input_global_network_school="",FALSE,SUMPRODUCT(--ISNUMBER(SEARCH(","&amp;TRIM(TEXTSPLIT(EY132,","))&amp;",",","&amp;SUBSTITUTE(input_global_network_school," ","")&amp;",")))=COUNTA(TEXTSPLIT(EY132,",")))),IF(FA132="",TRUE,IF(input_global_network_school="",TRUE,SUMPRODUCT(--ISNUMBER(SEARCH(","&amp;TRIM(TEXTSPLIT(FA132,","))&amp;",",","&amp;SUBSTITUTE(input_global_network_school," ","")&amp;",")))=0)),IF(FC132="",TRUE,IF(input_global_network_school="",FALSE,SUMPRODUCT(--ISNUMBER(SEARCH(","&amp;TRIM(TEXTSPLIT(FC132,","))&amp;",",","&amp;SUBSTITUTE(input_global_network_school," ","")&amp;",")))&gt;0)),IF(FE132="",TRUE,IF(input_global_network_school="",FALSE,SUMPRODUCT(--ISNUMBER(SEARCH(","&amp;TRIM(TEXTSPLIT(FE132,","))&amp;",",","&amp;SUBSTITUTE(input_global_network_school," ","")&amp;",")))=COUNTA(TEXTSPLIT(FE132,",")))))</f>
        <v/>
      </c>
      <c r="JI132">
        <f>AND(IF(FG132="",TRUE,IF(input_industry="",FALSE,SUMPRODUCT(--ISNUMBER(SEARCH(","&amp;TRIM(TEXTSPLIT(FG132,","))&amp;",",","&amp;SUBSTITUTE(input_industry," ","")&amp;",")))&gt;0)),IF(FI132="",TRUE,IF(input_industry="",FALSE,SUMPRODUCT(--ISNUMBER(SEARCH(","&amp;TRIM(TEXTSPLIT(FI132,","))&amp;",",","&amp;SUBSTITUTE(input_industry," ","")&amp;",")))=COUNTA(TEXTSPLIT(FI132,",")))),IF(FK132="",TRUE,IF(input_industry="",TRUE,SUMPRODUCT(--ISNUMBER(SEARCH(","&amp;TRIM(TEXTSPLIT(FK132,","))&amp;",",","&amp;SUBSTITUTE(input_industry," ","")&amp;",")))=0)),IF(FM132="",TRUE,IF(input_industry="",FALSE,SUMPRODUCT(--ISNUMBER(SEARCH(","&amp;TRIM(TEXTSPLIT(FM132,","))&amp;",",","&amp;SUBSTITUTE(input_industry," ","")&amp;",")))&gt;0)),IF(FO132="",TRUE,IF(input_industry="",FALSE,SUMPRODUCT(--ISNUMBER(SEARCH(","&amp;TRIM(TEXTSPLIT(FO132,","))&amp;",",","&amp;SUBSTITUTE(input_industry," ","")&amp;",")))=COUNTA(TEXTSPLIT(FO132,",")))))</f>
        <v/>
      </c>
      <c r="JJ132">
        <f>AND(IF(FQ132="",TRUE,IF(input_location="",FALSE,SUMPRODUCT(--ISNUMBER(SEARCH(","&amp;TRIM(TEXTSPLIT(FQ132,","))&amp;",",","&amp;SUBSTITUTE(input_location," ","")&amp;",")))&gt;0)),IF(FS132="",TRUE,IF(input_location="",FALSE,SUMPRODUCT(--ISNUMBER(SEARCH(","&amp;TRIM(TEXTSPLIT(FS132,","))&amp;",",","&amp;SUBSTITUTE(input_location," ","")&amp;",")))=COUNTA(TEXTSPLIT(FS132,",")))),IF(FU132="",TRUE,IF(input_location="",TRUE,SUMPRODUCT(--ISNUMBER(SEARCH(","&amp;TRIM(TEXTSPLIT(FU132,","))&amp;",",","&amp;SUBSTITUTE(input_location," ","")&amp;",")))=0)),IF(FW132="",TRUE,IF(input_location="",FALSE,SUMPRODUCT(--ISNUMBER(SEARCH(","&amp;TRIM(TEXTSPLIT(FW132,","))&amp;",",","&amp;SUBSTITUTE(input_location," ","")&amp;",")))&gt;0)),IF(FY132="",TRUE,IF(input_location="",FALSE,SUMPRODUCT(--ISNUMBER(SEARCH(","&amp;TRIM(TEXTSPLIT(FY132,","))&amp;",",","&amp;SUBSTITUTE(input_location," ","")&amp;",")))=COUNTA(TEXTSPLIT(FY132,",")))))</f>
        <v/>
      </c>
      <c r="JK132">
        <f>AND(IF(GA132="",TRUE,IF(input_modality="",FALSE,SUMPRODUCT(--ISNUMBER(SEARCH(","&amp;TRIM(TEXTSPLIT(GA132,","))&amp;",",","&amp;SUBSTITUTE(input_modality," ","")&amp;",")))&gt;0)),IF(GC132="",TRUE,IF(input_modality="",FALSE,SUMPRODUCT(--ISNUMBER(SEARCH(","&amp;TRIM(TEXTSPLIT(GC132,","))&amp;",",","&amp;SUBSTITUTE(input_modality," ","")&amp;",")))=COUNTA(TEXTSPLIT(GC132,",")))),IF(GE132="",TRUE,IF(input_modality="",TRUE,SUMPRODUCT(--ISNUMBER(SEARCH(","&amp;TRIM(TEXTSPLIT(GE132,","))&amp;",",","&amp;SUBSTITUTE(input_modality," ","")&amp;",")))=0)),IF(GG132="",TRUE,IF(input_modality="",FALSE,SUMPRODUCT(--ISNUMBER(SEARCH(","&amp;TRIM(TEXTSPLIT(GG132,","))&amp;",",","&amp;SUBSTITUTE(input_modality," ","")&amp;",")))&gt;0)),IF(GI132="",TRUE,IF(input_modality="",FALSE,SUMPRODUCT(--ISNUMBER(SEARCH(","&amp;TRIM(TEXTSPLIT(GI132,","))&amp;",",","&amp;SUBSTITUTE(input_modality," ","")&amp;",")))=COUNTA(TEXTSPLIT(GI132,",")))))</f>
        <v/>
      </c>
      <c r="JL132">
        <f>AND(IF(GK132="",TRUE,IF(input_organizer="",FALSE,SUMPRODUCT(--ISNUMBER(SEARCH(","&amp;TRIM(TEXTSPLIT(GK132,","))&amp;",",","&amp;SUBSTITUTE(input_organizer," ","")&amp;",")))&gt;0)),IF(GM132="",TRUE,IF(input_organizer="",FALSE,SUMPRODUCT(--ISNUMBER(SEARCH(","&amp;TRIM(TEXTSPLIT(GM132,","))&amp;",",","&amp;SUBSTITUTE(input_organizer," ","")&amp;",")))=COUNTA(TEXTSPLIT(GM132,",")))),IF(GO132="",TRUE,IF(input_organizer="",TRUE,SUMPRODUCT(--ISNUMBER(SEARCH(","&amp;TRIM(TEXTSPLIT(GO132,","))&amp;",",","&amp;SUBSTITUTE(input_organizer," ","")&amp;",")))=0)),IF(GQ132="",TRUE,IF(input_organizer="",FALSE,SUMPRODUCT(--ISNUMBER(SEARCH(","&amp;TRIM(TEXTSPLIT(GQ132,","))&amp;",",","&amp;SUBSTITUTE(input_organizer," ","")&amp;",")))&gt;0)),IF(GS132="",TRUE,IF(input_organizer="",FALSE,SUMPRODUCT(--ISNUMBER(SEARCH(","&amp;TRIM(TEXTSPLIT(GS132,","))&amp;",",","&amp;SUBSTITUTE(input_organizer," ","")&amp;",")))=COUNTA(TEXTSPLIT(GS132,",")))))</f>
        <v/>
      </c>
      <c r="JM132">
        <f>AND(IF(GU132="",TRUE,IF(input_profile_type="",FALSE,SUMPRODUCT(--ISNUMBER(SEARCH(","&amp;TRIM(TEXTSPLIT(GU132,","))&amp;",",","&amp;SUBSTITUTE(input_profile_type," ","")&amp;",")))&gt;0)),IF(GW132="",TRUE,IF(input_profile_type="",FALSE,SUMPRODUCT(--ISNUMBER(SEARCH(","&amp;TRIM(TEXTSPLIT(GW132,","))&amp;",",","&amp;SUBSTITUTE(input_profile_type," ","")&amp;",")))=COUNTA(TEXTSPLIT(GW132,",")))),IF(GY132="",TRUE,IF(input_profile_type="",TRUE,SUMPRODUCT(--ISNUMBER(SEARCH(","&amp;TRIM(TEXTSPLIT(GY132,","))&amp;",",","&amp;SUBSTITUTE(input_profile_type," ","")&amp;",")))=0)),IF(HA132="",TRUE,IF(input_profile_type="",FALSE,SUMPRODUCT(--ISNUMBER(SEARCH(","&amp;TRIM(TEXTSPLIT(HA132,","))&amp;",",","&amp;SUBSTITUTE(input_profile_type," ","")&amp;",")))&gt;0)),IF(HC132="",TRUE,IF(input_profile_type="",FALSE,SUMPRODUCT(--ISNUMBER(SEARCH(","&amp;TRIM(TEXTSPLIT(HC132,","))&amp;",",","&amp;SUBSTITUTE(input_profile_type," ","")&amp;",")))=COUNTA(TEXTSPLIT(HC132,",")))))</f>
        <v/>
      </c>
      <c r="JN132">
        <f>AND(IF(HE132="",TRUE,IF(input_program="",FALSE,SUMPRODUCT(--ISNUMBER(SEARCH(","&amp;TRIM(TEXTSPLIT(HE132,","))&amp;",",","&amp;SUBSTITUTE(input_program," ","")&amp;",")))&gt;0)),IF(HG132="",TRUE,IF(input_program="",FALSE,SUMPRODUCT(--ISNUMBER(SEARCH(","&amp;TRIM(TEXTSPLIT(HG132,","))&amp;",",","&amp;SUBSTITUTE(input_program," ","")&amp;",")))=COUNTA(TEXTSPLIT(HG132,",")))),IF(HI132="",TRUE,IF(input_program="",TRUE,SUMPRODUCT(--ISNUMBER(SEARCH(","&amp;TRIM(TEXTSPLIT(HI132,","))&amp;",",","&amp;SUBSTITUTE(input_program," ","")&amp;",")))=0)),IF(HK132="",TRUE,IF(input_program="",FALSE,SUMPRODUCT(--ISNUMBER(SEARCH(","&amp;TRIM(TEXTSPLIT(HK132,","))&amp;",",","&amp;SUBSTITUTE(input_program," ","")&amp;",")))&gt;0)),IF(HM132="",TRUE,IF(input_program="",FALSE,SUMPRODUCT(--ISNUMBER(SEARCH(","&amp;TRIM(TEXTSPLIT(HM132,","))&amp;",",","&amp;SUBSTITUTE(input_program," ","")&amp;",")))=COUNTA(TEXTSPLIT(HM132,",")))))</f>
        <v/>
      </c>
      <c r="JO132">
        <f>AND(IF(HO132="",TRUE,IF(input_story_categories="",FALSE,SUMPRODUCT(--ISNUMBER(SEARCH(","&amp;TRIM(TEXTSPLIT(HO132,","))&amp;",",","&amp;SUBSTITUTE(input_story_categories," ","")&amp;",")))&gt;0)),IF(HQ132="",TRUE,IF(input_story_categories="",FALSE,SUMPRODUCT(--ISNUMBER(SEARCH(","&amp;TRIM(TEXTSPLIT(HQ132,","))&amp;",",","&amp;SUBSTITUTE(input_story_categories," ","")&amp;",")))=COUNTA(TEXTSPLIT(HQ132,",")))),IF(HS132="",TRUE,IF(input_story_categories="",TRUE,SUMPRODUCT(--ISNUMBER(SEARCH(","&amp;TRIM(TEXTSPLIT(HS132,","))&amp;",",","&amp;SUBSTITUTE(input_story_categories," ","")&amp;",")))=0)),IF(HU132="",TRUE,IF(input_story_categories="",FALSE,SUMPRODUCT(--ISNUMBER(SEARCH(","&amp;TRIM(TEXTSPLIT(HU132,","))&amp;",",","&amp;SUBSTITUTE(input_story_categories," ","")&amp;",")))&gt;0)),IF(HW132="",TRUE,IF(input_story_categories="",FALSE,SUMPRODUCT(--ISNUMBER(SEARCH(","&amp;TRIM(TEXTSPLIT(HW132,","))&amp;",",","&amp;SUBSTITUTE(input_story_categories," ","")&amp;",")))=COUNTA(TEXTSPLIT(HW132,",")))))</f>
        <v/>
      </c>
      <c r="JP132">
        <f>AND(IF(HY132="",TRUE,IF(input_story_type="",FALSE,SUMPRODUCT(--ISNUMBER(SEARCH(","&amp;TRIM(TEXTSPLIT(HY132,","))&amp;",",","&amp;SUBSTITUTE(input_story_type," ","")&amp;",")))&gt;0)),IF(IA132="",TRUE,IF(input_story_type="",FALSE,SUMPRODUCT(--ISNUMBER(SEARCH(","&amp;TRIM(TEXTSPLIT(IA132,","))&amp;",",","&amp;SUBSTITUTE(input_story_type," ","")&amp;",")))=COUNTA(TEXTSPLIT(IA132,",")))),IF(IC132="",TRUE,IF(input_story_type="",TRUE,SUMPRODUCT(--ISNUMBER(SEARCH(","&amp;TRIM(TEXTSPLIT(IC132,","))&amp;",",","&amp;SUBSTITUTE(input_story_type," ","")&amp;",")))=0)),IF(IE132="",TRUE,IF(input_story_type="",FALSE,SUMPRODUCT(--ISNUMBER(SEARCH(","&amp;TRIM(TEXTSPLIT(IE132,","))&amp;",",","&amp;SUBSTITUTE(input_story_type," ","")&amp;",")))&gt;0)),IF(IG132="",TRUE,IF(input_story_type="",FALSE,SUMPRODUCT(--ISNUMBER(SEARCH(","&amp;TRIM(TEXTSPLIT(IG132,","))&amp;",",","&amp;SUBSTITUTE(input_story_type," ","")&amp;",")))=COUNTA(TEXTSPLIT(IG132,",")))))</f>
        <v/>
      </c>
      <c r="JQ132">
        <f>AND(IF(II132="",TRUE,IF(input_topics="",FALSE,SUMPRODUCT(--ISNUMBER(SEARCH(","&amp;TRIM(TEXTSPLIT(II132,","))&amp;",",","&amp;SUBSTITUTE(input_topics," ","")&amp;",")))&gt;0)),IF(IK132="",TRUE,IF(input_topics="",FALSE,SUMPRODUCT(--ISNUMBER(SEARCH(","&amp;TRIM(TEXTSPLIT(IK132,","))&amp;",",","&amp;SUBSTITUTE(input_topics," ","")&amp;",")))=COUNTA(TEXTSPLIT(IK132,",")))),IF(IM132="",TRUE,IF(input_topics="",TRUE,SUMPRODUCT(--ISNUMBER(SEARCH(","&amp;TRIM(TEXTSPLIT(IM132,","))&amp;",",","&amp;SUBSTITUTE(input_topics," ","")&amp;",")))=0)),IF(IO132="",TRUE,IF(input_topics="",FALSE,SUMPRODUCT(--ISNUMBER(SEARCH(","&amp;TRIM(TEXTSPLIT(IO132,","))&amp;",",","&amp;SUBSTITUTE(input_topics," ","")&amp;",")))&gt;0)),IF(IQ132="",TRUE,IF(input_topics="",FALSE,SUMPRODUCT(--ISNUMBER(SEARCH(","&amp;TRIM(TEXTSPLIT(IQ132,","))&amp;",",","&amp;SUBSTITUTE(input_topics," ","")&amp;",")))=COUNTA(TEXTSPLIT(IQ132,",")))))</f>
        <v/>
      </c>
    </row>
    <row r="133">
      <c r="A133" s="4">
        <f>IF(NOT(IS133),"Excluded",IF(AND(IT133,IU133,IV133,IW133,IX133,IY133,IZ133,JA133,JB133,JC133,JD133,JE133,JF133,JG133,JH133,JI133,JJ133,JK133,JL133,JM133,JN133,JO133,JP133,JQ133),IF(I133&gt;0,"Eligible but limited","Will appear"),"Excluded"))</f>
        <v/>
      </c>
      <c r="B133" s="4" t="inlineStr">
        <is>
          <t>News</t>
        </is>
      </c>
      <c r="C133" s="4" t="inlineStr">
        <is>
          <t>/about/headlines/news</t>
        </is>
      </c>
      <c r="D133" s="4" t="inlineStr">
        <is>
          <t>/about/headlines/news</t>
        </is>
      </c>
      <c r="E133" s="4" t="n">
        <v>1</v>
      </c>
      <c r="F133" s="4" t="inlineStr">
        <is>
          <t>story</t>
        </is>
      </c>
      <c r="G133" s="4" t="inlineStr">
        <is>
          <t>stories_list</t>
        </is>
      </c>
      <c r="H133" s="4" t="inlineStr">
        <is>
          <t>embed_news</t>
        </is>
      </c>
      <c r="I133" s="4" t="n">
        <v>10</v>
      </c>
      <c r="J133" s="4" t="inlineStr">
        <is>
          <t>Explicit args</t>
        </is>
      </c>
      <c r="K133" s="4" t="inlineStr">
        <is>
          <t>Page placement</t>
        </is>
      </c>
      <c r="L133" s="4" t="inlineStr">
        <is>
          <t>Content type: story; Context uses Courses Context: Executive Education (967), Doctoral Programs (962), Joint Degrees (973), Master of Advanced Management (932), Master's Degree in Asset Management (930), Master's Degree in Global Business and Society (950), Master's Degree in Systemic Risk (949), MBA (92), MBA For Executives (928), 93, Yale Global Executive Leadership Program (968), All SOM (77), Headlines (1390); Needs any Story Type: News (924); Limited to 10 item(s); Source: Explicit args</t>
        </is>
      </c>
      <c r="M133" t="inlineStr"/>
      <c r="N133" t="inlineStr"/>
      <c r="O133" t="inlineStr"/>
      <c r="P133" t="inlineStr"/>
      <c r="Q133" t="inlineStr"/>
      <c r="R133" t="inlineStr"/>
      <c r="S133" t="inlineStr"/>
      <c r="T133" t="inlineStr"/>
      <c r="U133" t="inlineStr"/>
      <c r="V133" t="inlineStr"/>
      <c r="W133" t="inlineStr"/>
      <c r="X133" t="inlineStr"/>
      <c r="Y133" t="inlineStr"/>
      <c r="Z133" t="inlineStr"/>
      <c r="AA133" t="inlineStr"/>
      <c r="AB133" t="inlineStr"/>
      <c r="AC133" t="inlineStr"/>
      <c r="AD133" t="inlineStr"/>
      <c r="AE133" t="inlineStr"/>
      <c r="AF133" t="inlineStr"/>
      <c r="AG133" t="inlineStr"/>
      <c r="AH133" t="inlineStr"/>
      <c r="AI133" t="inlineStr"/>
      <c r="AJ133" t="inlineStr"/>
      <c r="AK133" t="inlineStr"/>
      <c r="AL133" t="inlineStr"/>
      <c r="AM133" t="inlineStr"/>
      <c r="AN133" t="inlineStr"/>
      <c r="AO133" t="inlineStr"/>
      <c r="AP133" t="inlineStr"/>
      <c r="AQ133" t="inlineStr"/>
      <c r="AR133" t="inlineStr"/>
      <c r="AS133" t="inlineStr"/>
      <c r="AT133" t="inlineStr"/>
      <c r="AU133" t="inlineStr"/>
      <c r="AV133" t="inlineStr"/>
      <c r="AW133" t="inlineStr"/>
      <c r="AX133" t="inlineStr"/>
      <c r="AY133" t="inlineStr"/>
      <c r="AZ133" t="inlineStr"/>
      <c r="BA133" t="inlineStr"/>
      <c r="BB133" t="inlineStr"/>
      <c r="BC133" t="inlineStr"/>
      <c r="BD133" t="inlineStr"/>
      <c r="BE133" t="inlineStr"/>
      <c r="BF133" t="inlineStr"/>
      <c r="BG133" t="inlineStr"/>
      <c r="BH133" t="inlineStr"/>
      <c r="BI133" t="inlineStr"/>
      <c r="BJ133" t="inlineStr"/>
      <c r="BK133" t="inlineStr"/>
      <c r="BL133" t="inlineStr"/>
      <c r="BM133" t="inlineStr"/>
      <c r="BN133" t="inlineStr"/>
      <c r="BO133" t="inlineStr"/>
      <c r="BP133" t="inlineStr"/>
      <c r="BQ133" t="inlineStr">
        <is>
          <t>967, 962, 973, 932, 930, 950, 949, 92, 928, 93, 968, 77, 1390</t>
        </is>
      </c>
      <c r="BR133" t="inlineStr">
        <is>
          <t>Executive Education (967), Doctoral Programs (962), Joint Degrees (973), Master of Advanced Management (932), Master's Degree in Asset Management (930), Master's Degree in Global Business and Society (950), Master's Degree in Systemic Risk (949), MBA (92), MBA For Executives (928), 93, Yale Global Executive Leadership Program (968), All SOM (77), Headlines (1390)</t>
        </is>
      </c>
      <c r="BS133" t="inlineStr"/>
      <c r="BT133" t="inlineStr"/>
      <c r="BU133" t="inlineStr"/>
      <c r="BV133" t="inlineStr"/>
      <c r="BW133" t="inlineStr"/>
      <c r="BX133" t="inlineStr"/>
      <c r="BY133" t="inlineStr"/>
      <c r="BZ133" t="inlineStr"/>
      <c r="CA133" t="inlineStr"/>
      <c r="CB133" t="inlineStr"/>
      <c r="CC133" t="inlineStr"/>
      <c r="CD133" t="inlineStr"/>
      <c r="CE133" t="inlineStr"/>
      <c r="CF133" t="inlineStr"/>
      <c r="CG133" t="inlineStr"/>
      <c r="CH133" t="inlineStr"/>
      <c r="CI133" t="inlineStr"/>
      <c r="CJ133" t="inlineStr"/>
      <c r="CK133" t="inlineStr"/>
      <c r="CL133" t="inlineStr"/>
      <c r="CM133" t="inlineStr"/>
      <c r="CN133" t="inlineStr"/>
      <c r="CO133" t="inlineStr"/>
      <c r="CP133" t="inlineStr"/>
      <c r="CQ133" t="inlineStr"/>
      <c r="CR133" t="inlineStr"/>
      <c r="CS133" t="inlineStr"/>
      <c r="CT133" t="inlineStr"/>
      <c r="CU133" t="inlineStr"/>
      <c r="CV133" t="inlineStr"/>
      <c r="CW133" t="inlineStr"/>
      <c r="CX133" t="inlineStr"/>
      <c r="CY133" t="inlineStr"/>
      <c r="CZ133" t="inlineStr"/>
      <c r="DA133" t="inlineStr"/>
      <c r="DB133" t="inlineStr"/>
      <c r="DC133" t="inlineStr"/>
      <c r="DD133" t="inlineStr"/>
      <c r="DE133" t="inlineStr"/>
      <c r="DF133" t="inlineStr"/>
      <c r="DG133" t="inlineStr"/>
      <c r="DH133" t="inlineStr"/>
      <c r="DI133" t="inlineStr"/>
      <c r="DJ133" t="inlineStr"/>
      <c r="DK133" t="inlineStr"/>
      <c r="DL133" t="inlineStr"/>
      <c r="DM133" t="inlineStr"/>
      <c r="DN133" t="inlineStr"/>
      <c r="DO133" t="inlineStr"/>
      <c r="DP133" t="inlineStr"/>
      <c r="DQ133" t="inlineStr"/>
      <c r="DR133" t="inlineStr"/>
      <c r="DS133" t="inlineStr"/>
      <c r="DT133" t="inlineStr"/>
      <c r="DU133" t="inlineStr"/>
      <c r="DV133" t="inlineStr"/>
      <c r="DW133" t="inlineStr"/>
      <c r="DX133" t="inlineStr"/>
      <c r="DY133" t="inlineStr"/>
      <c r="DZ133" t="inlineStr"/>
      <c r="EA133" t="inlineStr"/>
      <c r="EB133" t="inlineStr"/>
      <c r="EC133" t="inlineStr"/>
      <c r="ED133" t="inlineStr"/>
      <c r="EE133" t="inlineStr"/>
      <c r="EF133" t="inlineStr"/>
      <c r="EG133" t="inlineStr"/>
      <c r="EH133" t="inlineStr"/>
      <c r="EI133" t="inlineStr"/>
      <c r="EJ133" t="inlineStr"/>
      <c r="EK133" t="inlineStr"/>
      <c r="EL133" t="inlineStr"/>
      <c r="EM133" t="inlineStr"/>
      <c r="EN133" t="inlineStr"/>
      <c r="EO133" t="inlineStr"/>
      <c r="EP133" t="inlineStr"/>
      <c r="EQ133" t="inlineStr"/>
      <c r="ER133" t="inlineStr"/>
      <c r="ES133" t="inlineStr"/>
      <c r="ET133" t="inlineStr"/>
      <c r="EU133" t="inlineStr"/>
      <c r="EV133" t="inlineStr"/>
      <c r="EW133" t="inlineStr"/>
      <c r="EX133" t="inlineStr"/>
      <c r="EY133" t="inlineStr"/>
      <c r="EZ133" t="inlineStr"/>
      <c r="FA133" t="inlineStr"/>
      <c r="FB133" t="inlineStr"/>
      <c r="FC133" t="inlineStr"/>
      <c r="FD133" t="inlineStr"/>
      <c r="FE133" t="inlineStr"/>
      <c r="FF133" t="inlineStr"/>
      <c r="FG133" t="inlineStr"/>
      <c r="FH133" t="inlineStr"/>
      <c r="FI133" t="inlineStr"/>
      <c r="FJ133" t="inlineStr"/>
      <c r="FK133" t="inlineStr"/>
      <c r="FL133" t="inlineStr"/>
      <c r="FM133" t="inlineStr"/>
      <c r="FN133" t="inlineStr"/>
      <c r="FO133" t="inlineStr"/>
      <c r="FP133" t="inlineStr"/>
      <c r="FQ133" t="inlineStr"/>
      <c r="FR133" t="inlineStr"/>
      <c r="FS133" t="inlineStr"/>
      <c r="FT133" t="inlineStr"/>
      <c r="FU133" t="inlineStr"/>
      <c r="FV133" t="inlineStr"/>
      <c r="FW133" t="inlineStr"/>
      <c r="FX133" t="inlineStr"/>
      <c r="FY133" t="inlineStr"/>
      <c r="FZ133" t="inlineStr"/>
      <c r="GA133" t="inlineStr"/>
      <c r="GB133" t="inlineStr"/>
      <c r="GC133" t="inlineStr"/>
      <c r="GD133" t="inlineStr"/>
      <c r="GE133" t="inlineStr"/>
      <c r="GF133" t="inlineStr"/>
      <c r="GG133" t="inlineStr"/>
      <c r="GH133" t="inlineStr"/>
      <c r="GI133" t="inlineStr"/>
      <c r="GJ133" t="inlineStr"/>
      <c r="GK133" t="inlineStr"/>
      <c r="GL133" t="inlineStr"/>
      <c r="GM133" t="inlineStr"/>
      <c r="GN133" t="inlineStr"/>
      <c r="GO133" t="inlineStr"/>
      <c r="GP133" t="inlineStr"/>
      <c r="GQ133" t="inlineStr"/>
      <c r="GR133" t="inlineStr"/>
      <c r="GS133" t="inlineStr"/>
      <c r="GT133" t="inlineStr"/>
      <c r="GU133" t="inlineStr"/>
      <c r="GV133" t="inlineStr"/>
      <c r="GW133" t="inlineStr"/>
      <c r="GX133" t="inlineStr"/>
      <c r="GY133" t="inlineStr"/>
      <c r="GZ133" t="inlineStr"/>
      <c r="HA133" t="inlineStr"/>
      <c r="HB133" t="inlineStr"/>
      <c r="HC133" t="inlineStr"/>
      <c r="HD133" t="inlineStr"/>
      <c r="HE133" t="inlineStr"/>
      <c r="HF133" t="inlineStr"/>
      <c r="HG133" t="inlineStr"/>
      <c r="HH133" t="inlineStr"/>
      <c r="HI133" t="inlineStr"/>
      <c r="HJ133" t="inlineStr"/>
      <c r="HK133" t="inlineStr"/>
      <c r="HL133" t="inlineStr"/>
      <c r="HM133" t="inlineStr"/>
      <c r="HN133" t="inlineStr"/>
      <c r="HO133" t="inlineStr"/>
      <c r="HP133" t="inlineStr"/>
      <c r="HQ133" t="inlineStr"/>
      <c r="HR133" t="inlineStr"/>
      <c r="HS133" t="inlineStr"/>
      <c r="HT133" t="inlineStr"/>
      <c r="HU133" t="inlineStr"/>
      <c r="HV133" t="inlineStr"/>
      <c r="HW133" t="inlineStr"/>
      <c r="HX133" t="inlineStr"/>
      <c r="HY133" t="inlineStr">
        <is>
          <t>924</t>
        </is>
      </c>
      <c r="HZ133" t="inlineStr">
        <is>
          <t>News (924)</t>
        </is>
      </c>
      <c r="IA133" t="inlineStr"/>
      <c r="IB133" t="inlineStr"/>
      <c r="IC133" t="inlineStr"/>
      <c r="ID133" t="inlineStr"/>
      <c r="IE133" t="inlineStr"/>
      <c r="IF133" t="inlineStr"/>
      <c r="IG133" t="inlineStr"/>
      <c r="IH133" t="inlineStr"/>
      <c r="II133" t="inlineStr"/>
      <c r="IJ133" t="inlineStr"/>
      <c r="IK133" t="inlineStr"/>
      <c r="IL133" t="inlineStr"/>
      <c r="IM133" t="inlineStr"/>
      <c r="IN133" t="inlineStr"/>
      <c r="IO133" t="inlineStr"/>
      <c r="IP133" t="inlineStr"/>
      <c r="IQ133" t="inlineStr"/>
      <c r="IR133" t="inlineStr"/>
      <c r="IS133">
        <f>IF(input_content_type="",FALSE,ISNUMBER(SEARCH(","&amp;LOWER(input_content_type)&amp;",",","&amp;LOWER(F133)&amp;",")))</f>
        <v/>
      </c>
      <c r="IT133">
        <f>AND(IF(M133="",TRUE,IF(input_affiliations="",FALSE,SUMPRODUCT(--ISNUMBER(SEARCH(","&amp;TRIM(TEXTSPLIT(M133,","))&amp;",",","&amp;SUBSTITUTE(input_affiliations," ","")&amp;",")))&gt;0)),IF(O133="",TRUE,IF(input_affiliations="",FALSE,SUMPRODUCT(--ISNUMBER(SEARCH(","&amp;TRIM(TEXTSPLIT(O133,","))&amp;",",","&amp;SUBSTITUTE(input_affiliations," ","")&amp;",")))=COUNTA(TEXTSPLIT(O133,",")))),IF(Q133="",TRUE,IF(input_affiliations="",TRUE,SUMPRODUCT(--ISNUMBER(SEARCH(","&amp;TRIM(TEXTSPLIT(Q133,","))&amp;",",","&amp;SUBSTITUTE(input_affiliations," ","")&amp;",")))=0)),IF(S133="",TRUE,IF(input_affiliations="",FALSE,SUMPRODUCT(--ISNUMBER(SEARCH(","&amp;TRIM(TEXTSPLIT(S133,","))&amp;",",","&amp;SUBSTITUTE(input_affiliations," ","")&amp;",")))&gt;0)),IF(U133="",TRUE,IF(input_affiliations="",FALSE,SUMPRODUCT(--ISNUMBER(SEARCH(","&amp;TRIM(TEXTSPLIT(U133,","))&amp;",",","&amp;SUBSTITUTE(input_affiliations," ","")&amp;",")))=COUNTA(TEXTSPLIT(U133,",")))))</f>
        <v/>
      </c>
      <c r="IU133">
        <f>AND(IF(W133="",TRUE,IF(input_announcement_category="",FALSE,SUMPRODUCT(--ISNUMBER(SEARCH(","&amp;TRIM(TEXTSPLIT(W133,","))&amp;",",","&amp;SUBSTITUTE(input_announcement_category," ","")&amp;",")))&gt;0)),IF(Y133="",TRUE,IF(input_announcement_category="",FALSE,SUMPRODUCT(--ISNUMBER(SEARCH(","&amp;TRIM(TEXTSPLIT(Y133,","))&amp;",",","&amp;SUBSTITUTE(input_announcement_category," ","")&amp;",")))=COUNTA(TEXTSPLIT(Y133,",")))),IF(AA133="",TRUE,IF(input_announcement_category="",TRUE,SUMPRODUCT(--ISNUMBER(SEARCH(","&amp;TRIM(TEXTSPLIT(AA133,","))&amp;",",","&amp;SUBSTITUTE(input_announcement_category," ","")&amp;",")))=0)),IF(AC133="",TRUE,IF(input_announcement_category="",FALSE,SUMPRODUCT(--ISNUMBER(SEARCH(","&amp;TRIM(TEXTSPLIT(AC133,","))&amp;",",","&amp;SUBSTITUTE(input_announcement_category," ","")&amp;",")))&gt;0)),IF(AE133="",TRUE,IF(input_announcement_category="",FALSE,SUMPRODUCT(--ISNUMBER(SEARCH(","&amp;TRIM(TEXTSPLIT(AE133,","))&amp;",",","&amp;SUBSTITUTE(input_announcement_category," ","")&amp;",")))=COUNTA(TEXTSPLIT(AE133,",")))))</f>
        <v/>
      </c>
      <c r="IV133">
        <f>AND(IF(AG133="",TRUE,IF(input_area_of_focus="",FALSE,SUMPRODUCT(--ISNUMBER(SEARCH(","&amp;TRIM(TEXTSPLIT(AG133,","))&amp;",",","&amp;SUBSTITUTE(input_area_of_focus," ","")&amp;",")))&gt;0)),IF(AI133="",TRUE,IF(input_area_of_focus="",FALSE,SUMPRODUCT(--ISNUMBER(SEARCH(","&amp;TRIM(TEXTSPLIT(AI133,","))&amp;",",","&amp;SUBSTITUTE(input_area_of_focus," ","")&amp;",")))=COUNTA(TEXTSPLIT(AI133,",")))),IF(AK133="",TRUE,IF(input_area_of_focus="",TRUE,SUMPRODUCT(--ISNUMBER(SEARCH(","&amp;TRIM(TEXTSPLIT(AK133,","))&amp;",",","&amp;SUBSTITUTE(input_area_of_focus," ","")&amp;",")))=0)),IF(AM133="",TRUE,IF(input_area_of_focus="",FALSE,SUMPRODUCT(--ISNUMBER(SEARCH(","&amp;TRIM(TEXTSPLIT(AM133,","))&amp;",",","&amp;SUBSTITUTE(input_area_of_focus," ","")&amp;",")))&gt;0)),IF(AO133="",TRUE,IF(input_area_of_focus="",FALSE,SUMPRODUCT(--ISNUMBER(SEARCH(","&amp;TRIM(TEXTSPLIT(AO133,","))&amp;",",","&amp;SUBSTITUTE(input_area_of_focus," ","")&amp;",")))=COUNTA(TEXTSPLIT(AO133,",")))))</f>
        <v/>
      </c>
      <c r="IW133">
        <f>AND(IF(AQ133="",TRUE,IF(input_audience="",FALSE,SUMPRODUCT(--ISNUMBER(SEARCH(","&amp;TRIM(TEXTSPLIT(AQ133,","))&amp;",",","&amp;SUBSTITUTE(input_audience," ","")&amp;",")))&gt;0)),IF(AS133="",TRUE,IF(input_audience="",FALSE,SUMPRODUCT(--ISNUMBER(SEARCH(","&amp;TRIM(TEXTSPLIT(AS133,","))&amp;",",","&amp;SUBSTITUTE(input_audience," ","")&amp;",")))=COUNTA(TEXTSPLIT(AS133,",")))),IF(AU133="",TRUE,IF(input_audience="",TRUE,SUMPRODUCT(--ISNUMBER(SEARCH(","&amp;TRIM(TEXTSPLIT(AU133,","))&amp;",",","&amp;SUBSTITUTE(input_audience," ","")&amp;",")))=0)),IF(AW133="",TRUE,IF(input_audience="",FALSE,SUMPRODUCT(--ISNUMBER(SEARCH(","&amp;TRIM(TEXTSPLIT(AW133,","))&amp;",",","&amp;SUBSTITUTE(input_audience," ","")&amp;",")))&gt;0)),IF(AY133="",TRUE,IF(input_audience="",FALSE,SUMPRODUCT(--ISNUMBER(SEARCH(","&amp;TRIM(TEXTSPLIT(AY133,","))&amp;",",","&amp;SUBSTITUTE(input_audience," ","")&amp;",")))=COUNTA(TEXTSPLIT(AY133,",")))))</f>
        <v/>
      </c>
      <c r="IX133">
        <f>AND(IF(BA133="",TRUE,IF(input_challenge_opportunities="",FALSE,SUMPRODUCT(--ISNUMBER(SEARCH(","&amp;TRIM(TEXTSPLIT(BA133,","))&amp;",",","&amp;SUBSTITUTE(input_challenge_opportunities," ","")&amp;",")))&gt;0)),IF(BC133="",TRUE,IF(input_challenge_opportunities="",FALSE,SUMPRODUCT(--ISNUMBER(SEARCH(","&amp;TRIM(TEXTSPLIT(BC133,","))&amp;",",","&amp;SUBSTITUTE(input_challenge_opportunities," ","")&amp;",")))=COUNTA(TEXTSPLIT(BC133,",")))),IF(BE133="",TRUE,IF(input_challenge_opportunities="",TRUE,SUMPRODUCT(--ISNUMBER(SEARCH(","&amp;TRIM(TEXTSPLIT(BE133,","))&amp;",",","&amp;SUBSTITUTE(input_challenge_opportunities," ","")&amp;",")))=0)),IF(BG133="",TRUE,IF(input_challenge_opportunities="",FALSE,SUMPRODUCT(--ISNUMBER(SEARCH(","&amp;TRIM(TEXTSPLIT(BG133,","))&amp;",",","&amp;SUBSTITUTE(input_challenge_opportunities," ","")&amp;",")))&gt;0)),IF(BI133="",TRUE,IF(input_challenge_opportunities="",FALSE,SUMPRODUCT(--ISNUMBER(SEARCH(","&amp;TRIM(TEXTSPLIT(BI133,","))&amp;",",","&amp;SUBSTITUTE(input_challenge_opportunities," ","")&amp;",")))=COUNTA(TEXTSPLIT(BI133,",")))))</f>
        <v/>
      </c>
      <c r="IY133">
        <f>AND(IF(BK133="",TRUE,IF(input_context="",FALSE,SUMPRODUCT(--ISNUMBER(SEARCH(","&amp;TRIM(TEXTSPLIT(BK133,","))&amp;",",","&amp;SUBSTITUTE(input_context," ","")&amp;",")))&gt;0)),IF(BM133="",TRUE,IF(input_context="",FALSE,SUMPRODUCT(--ISNUMBER(SEARCH(","&amp;TRIM(TEXTSPLIT(BM133,","))&amp;",",","&amp;SUBSTITUTE(input_context," ","")&amp;",")))=COUNTA(TEXTSPLIT(BM133,",")))),IF(BO133="",TRUE,IF(input_context="",TRUE,SUMPRODUCT(--ISNUMBER(SEARCH(","&amp;TRIM(TEXTSPLIT(BO133,","))&amp;",",","&amp;SUBSTITUTE(input_context," ","")&amp;",")))=0)),IF(BQ133="",TRUE,IF(input_context="",FALSE,SUMPRODUCT(--ISNUMBER(SEARCH(","&amp;TRIM(TEXTSPLIT(BQ133,","))&amp;",",","&amp;SUBSTITUTE(input_context," ","")&amp;",")))&gt;0)),IF(BS133="",TRUE,IF(input_context="",FALSE,SUMPRODUCT(--ISNUMBER(SEARCH(","&amp;TRIM(TEXTSPLIT(BS133,","))&amp;",",","&amp;SUBSTITUTE(input_context," ","")&amp;",")))=COUNTA(TEXTSPLIT(BS133,",")))))</f>
        <v/>
      </c>
      <c r="IZ133">
        <f>AND(IF(BU133="",TRUE,IF(input_enews_announcement_type="",FALSE,SUMPRODUCT(--ISNUMBER(SEARCH(","&amp;TRIM(TEXTSPLIT(BU133,","))&amp;",",","&amp;SUBSTITUTE(input_enews_announcement_type," ","")&amp;",")))&gt;0)),IF(BW133="",TRUE,IF(input_enews_announcement_type="",FALSE,SUMPRODUCT(--ISNUMBER(SEARCH(","&amp;TRIM(TEXTSPLIT(BW133,","))&amp;",",","&amp;SUBSTITUTE(input_enews_announcement_type," ","")&amp;",")))=COUNTA(TEXTSPLIT(BW133,",")))),IF(BY133="",TRUE,IF(input_enews_announcement_type="",TRUE,SUMPRODUCT(--ISNUMBER(SEARCH(","&amp;TRIM(TEXTSPLIT(BY133,","))&amp;",",","&amp;SUBSTITUTE(input_enews_announcement_type," ","")&amp;",")))=0)),IF(CA133="",TRUE,IF(input_enews_announcement_type="",FALSE,SUMPRODUCT(--ISNUMBER(SEARCH(","&amp;TRIM(TEXTSPLIT(CA133,","))&amp;",",","&amp;SUBSTITUTE(input_enews_announcement_type," ","")&amp;",")))&gt;0)),IF(CC133="",TRUE,IF(input_enews_announcement_type="",FALSE,SUMPRODUCT(--ISNUMBER(SEARCH(","&amp;TRIM(TEXTSPLIT(CC133,","))&amp;",",","&amp;SUBSTITUTE(input_enews_announcement_type," ","")&amp;",")))=COUNTA(TEXTSPLIT(CC133,",")))))</f>
        <v/>
      </c>
      <c r="JA133">
        <f>AND(IF(CE133="",TRUE,IF(input_enews_audience="",FALSE,SUMPRODUCT(--ISNUMBER(SEARCH(","&amp;TRIM(TEXTSPLIT(CE133,","))&amp;",",","&amp;SUBSTITUTE(input_enews_audience," ","")&amp;",")))&gt;0)),IF(CG133="",TRUE,IF(input_enews_audience="",FALSE,SUMPRODUCT(--ISNUMBER(SEARCH(","&amp;TRIM(TEXTSPLIT(CG133,","))&amp;",",","&amp;SUBSTITUTE(input_enews_audience," ","")&amp;",")))=COUNTA(TEXTSPLIT(CG133,",")))),IF(CI133="",TRUE,IF(input_enews_audience="",TRUE,SUMPRODUCT(--ISNUMBER(SEARCH(","&amp;TRIM(TEXTSPLIT(CI133,","))&amp;",",","&amp;SUBSTITUTE(input_enews_audience," ","")&amp;",")))=0)),IF(CK133="",TRUE,IF(input_enews_audience="",FALSE,SUMPRODUCT(--ISNUMBER(SEARCH(","&amp;TRIM(TEXTSPLIT(CK133,","))&amp;",",","&amp;SUBSTITUTE(input_enews_audience," ","")&amp;",")))&gt;0)),IF(CM133="",TRUE,IF(input_enews_audience="",FALSE,SUMPRODUCT(--ISNUMBER(SEARCH(","&amp;TRIM(TEXTSPLIT(CM133,","))&amp;",",","&amp;SUBSTITUTE(input_enews_audience," ","")&amp;",")))=COUNTA(TEXTSPLIT(CM133,",")))))</f>
        <v/>
      </c>
      <c r="JB133">
        <f>AND(IF(CO133="",TRUE,IF(input_event_location="",FALSE,SUMPRODUCT(--ISNUMBER(SEARCH(","&amp;TRIM(TEXTSPLIT(CO133,","))&amp;",",","&amp;SUBSTITUTE(input_event_location," ","")&amp;",")))&gt;0)),IF(CQ133="",TRUE,IF(input_event_location="",FALSE,SUMPRODUCT(--ISNUMBER(SEARCH(","&amp;TRIM(TEXTSPLIT(CQ133,","))&amp;",",","&amp;SUBSTITUTE(input_event_location," ","")&amp;",")))=COUNTA(TEXTSPLIT(CQ133,",")))),IF(CS133="",TRUE,IF(input_event_location="",TRUE,SUMPRODUCT(--ISNUMBER(SEARCH(","&amp;TRIM(TEXTSPLIT(CS133,","))&amp;",",","&amp;SUBSTITUTE(input_event_location," ","")&amp;",")))=0)),IF(CU133="",TRUE,IF(input_event_location="",FALSE,SUMPRODUCT(--ISNUMBER(SEARCH(","&amp;TRIM(TEXTSPLIT(CU133,","))&amp;",",","&amp;SUBSTITUTE(input_event_location," ","")&amp;",")))&gt;0)),IF(CW133="",TRUE,IF(input_event_location="",FALSE,SUMPRODUCT(--ISNUMBER(SEARCH(","&amp;TRIM(TEXTSPLIT(CW133,","))&amp;",",","&amp;SUBSTITUTE(input_event_location," ","")&amp;",")))=COUNTA(TEXTSPLIT(CW133,",")))))</f>
        <v/>
      </c>
      <c r="JC133">
        <f>AND(IF(CY133="",TRUE,IF(input_event_type="",FALSE,SUMPRODUCT(--ISNUMBER(SEARCH(","&amp;TRIM(TEXTSPLIT(CY133,","))&amp;",",","&amp;SUBSTITUTE(input_event_type," ","")&amp;",")))&gt;0)),IF(DA133="",TRUE,IF(input_event_type="",FALSE,SUMPRODUCT(--ISNUMBER(SEARCH(","&amp;TRIM(TEXTSPLIT(DA133,","))&amp;",",","&amp;SUBSTITUTE(input_event_type," ","")&amp;",")))=COUNTA(TEXTSPLIT(DA133,",")))),IF(DC133="",TRUE,IF(input_event_type="",TRUE,SUMPRODUCT(--ISNUMBER(SEARCH(","&amp;TRIM(TEXTSPLIT(DC133,","))&amp;",",","&amp;SUBSTITUTE(input_event_type," ","")&amp;",")))=0)),IF(DE133="",TRUE,IF(input_event_type="",FALSE,SUMPRODUCT(--ISNUMBER(SEARCH(","&amp;TRIM(TEXTSPLIT(DE133,","))&amp;",",","&amp;SUBSTITUTE(input_event_type," ","")&amp;",")))&gt;0)),IF(DG133="",TRUE,IF(input_event_type="",FALSE,SUMPRODUCT(--ISNUMBER(SEARCH(","&amp;TRIM(TEXTSPLIT(DG133,","))&amp;",",","&amp;SUBSTITUTE(input_event_type," ","")&amp;",")))=COUNTA(TEXTSPLIT(DG133,",")))))</f>
        <v/>
      </c>
      <c r="JD133">
        <f>AND(IF(DI133="",TRUE,IF(input_executive_education_focus="",FALSE,SUMPRODUCT(--ISNUMBER(SEARCH(","&amp;TRIM(TEXTSPLIT(DI133,","))&amp;",",","&amp;SUBSTITUTE(input_executive_education_focus," ","")&amp;",")))&gt;0)),IF(DK133="",TRUE,IF(input_executive_education_focus="",FALSE,SUMPRODUCT(--ISNUMBER(SEARCH(","&amp;TRIM(TEXTSPLIT(DK133,","))&amp;",",","&amp;SUBSTITUTE(input_executive_education_focus," ","")&amp;",")))=COUNTA(TEXTSPLIT(DK133,",")))),IF(DM133="",TRUE,IF(input_executive_education_focus="",TRUE,SUMPRODUCT(--ISNUMBER(SEARCH(","&amp;TRIM(TEXTSPLIT(DM133,","))&amp;",",","&amp;SUBSTITUTE(input_executive_education_focus," ","")&amp;",")))=0)),IF(DO133="",TRUE,IF(input_executive_education_focus="",FALSE,SUMPRODUCT(--ISNUMBER(SEARCH(","&amp;TRIM(TEXTSPLIT(DO133,","))&amp;",",","&amp;SUBSTITUTE(input_executive_education_focus," ","")&amp;",")))&gt;0)),IF(DQ133="",TRUE,IF(input_executive_education_focus="",FALSE,SUMPRODUCT(--ISNUMBER(SEARCH(","&amp;TRIM(TEXTSPLIT(DQ133,","))&amp;",",","&amp;SUBSTITUTE(input_executive_education_focus," ","")&amp;",")))=COUNTA(TEXTSPLIT(DQ133,",")))))</f>
        <v/>
      </c>
      <c r="JE133">
        <f>AND(IF(DS133="",TRUE,IF(input_faculty_category="",FALSE,SUMPRODUCT(--ISNUMBER(SEARCH(","&amp;TRIM(TEXTSPLIT(DS133,","))&amp;",",","&amp;SUBSTITUTE(input_faculty_category," ","")&amp;",")))&gt;0)),IF(DU133="",TRUE,IF(input_faculty_category="",FALSE,SUMPRODUCT(--ISNUMBER(SEARCH(","&amp;TRIM(TEXTSPLIT(DU133,","))&amp;",",","&amp;SUBSTITUTE(input_faculty_category," ","")&amp;",")))=COUNTA(TEXTSPLIT(DU133,",")))),IF(DW133="",TRUE,IF(input_faculty_category="",TRUE,SUMPRODUCT(--ISNUMBER(SEARCH(","&amp;TRIM(TEXTSPLIT(DW133,","))&amp;",",","&amp;SUBSTITUTE(input_faculty_category," ","")&amp;",")))=0)),IF(DY133="",TRUE,IF(input_faculty_category="",FALSE,SUMPRODUCT(--ISNUMBER(SEARCH(","&amp;TRIM(TEXTSPLIT(DY133,","))&amp;",",","&amp;SUBSTITUTE(input_faculty_category," ","")&amp;",")))&gt;0)),IF(EA133="",TRUE,IF(input_faculty_category="",FALSE,SUMPRODUCT(--ISNUMBER(SEARCH(","&amp;TRIM(TEXTSPLIT(EA133,","))&amp;",",","&amp;SUBSTITUTE(input_faculty_category," ","")&amp;",")))=COUNTA(TEXTSPLIT(EA133,",")))))</f>
        <v/>
      </c>
      <c r="JF133">
        <f>AND(IF(EC133="",TRUE,IF(input_faculty_discipline="",FALSE,SUMPRODUCT(--ISNUMBER(SEARCH(","&amp;TRIM(TEXTSPLIT(EC133,","))&amp;",",","&amp;SUBSTITUTE(input_faculty_discipline," ","")&amp;",")))&gt;0)),IF(EE133="",TRUE,IF(input_faculty_discipline="",FALSE,SUMPRODUCT(--ISNUMBER(SEARCH(","&amp;TRIM(TEXTSPLIT(EE133,","))&amp;",",","&amp;SUBSTITUTE(input_faculty_discipline," ","")&amp;",")))=COUNTA(TEXTSPLIT(EE133,",")))),IF(EG133="",TRUE,IF(input_faculty_discipline="",TRUE,SUMPRODUCT(--ISNUMBER(SEARCH(","&amp;TRIM(TEXTSPLIT(EG133,","))&amp;",",","&amp;SUBSTITUTE(input_faculty_discipline," ","")&amp;",")))=0)),IF(EI133="",TRUE,IF(input_faculty_discipline="",FALSE,SUMPRODUCT(--ISNUMBER(SEARCH(","&amp;TRIM(TEXTSPLIT(EI133,","))&amp;",",","&amp;SUBSTITUTE(input_faculty_discipline," ","")&amp;",")))&gt;0)),IF(EK133="",TRUE,IF(input_faculty_discipline="",FALSE,SUMPRODUCT(--ISNUMBER(SEARCH(","&amp;TRIM(TEXTSPLIT(EK133,","))&amp;",",","&amp;SUBSTITUTE(input_faculty_discipline," ","")&amp;",")))=COUNTA(TEXTSPLIT(EK133,",")))))</f>
        <v/>
      </c>
      <c r="JG133">
        <f>AND(IF(EM133="",TRUE,IF(input_faculty_expertise="",FALSE,SUMPRODUCT(--ISNUMBER(SEARCH(","&amp;TRIM(TEXTSPLIT(EM133,","))&amp;",",","&amp;SUBSTITUTE(input_faculty_expertise," ","")&amp;",")))&gt;0)),IF(EO133="",TRUE,IF(input_faculty_expertise="",FALSE,SUMPRODUCT(--ISNUMBER(SEARCH(","&amp;TRIM(TEXTSPLIT(EO133,","))&amp;",",","&amp;SUBSTITUTE(input_faculty_expertise," ","")&amp;",")))=COUNTA(TEXTSPLIT(EO133,",")))),IF(EQ133="",TRUE,IF(input_faculty_expertise="",TRUE,SUMPRODUCT(--ISNUMBER(SEARCH(","&amp;TRIM(TEXTSPLIT(EQ133,","))&amp;",",","&amp;SUBSTITUTE(input_faculty_expertise," ","")&amp;",")))=0)),IF(ES133="",TRUE,IF(input_faculty_expertise="",FALSE,SUMPRODUCT(--ISNUMBER(SEARCH(","&amp;TRIM(TEXTSPLIT(ES133,","))&amp;",",","&amp;SUBSTITUTE(input_faculty_expertise," ","")&amp;",")))&gt;0)),IF(EU133="",TRUE,IF(input_faculty_expertise="",FALSE,SUMPRODUCT(--ISNUMBER(SEARCH(","&amp;TRIM(TEXTSPLIT(EU133,","))&amp;",",","&amp;SUBSTITUTE(input_faculty_expertise," ","")&amp;",")))=COUNTA(TEXTSPLIT(EU133,",")))))</f>
        <v/>
      </c>
      <c r="JH133">
        <f>AND(IF(EW133="",TRUE,IF(input_global_network_school="",FALSE,SUMPRODUCT(--ISNUMBER(SEARCH(","&amp;TRIM(TEXTSPLIT(EW133,","))&amp;",",","&amp;SUBSTITUTE(input_global_network_school," ","")&amp;",")))&gt;0)),IF(EY133="",TRUE,IF(input_global_network_school="",FALSE,SUMPRODUCT(--ISNUMBER(SEARCH(","&amp;TRIM(TEXTSPLIT(EY133,","))&amp;",",","&amp;SUBSTITUTE(input_global_network_school," ","")&amp;",")))=COUNTA(TEXTSPLIT(EY133,",")))),IF(FA133="",TRUE,IF(input_global_network_school="",TRUE,SUMPRODUCT(--ISNUMBER(SEARCH(","&amp;TRIM(TEXTSPLIT(FA133,","))&amp;",",","&amp;SUBSTITUTE(input_global_network_school," ","")&amp;",")))=0)),IF(FC133="",TRUE,IF(input_global_network_school="",FALSE,SUMPRODUCT(--ISNUMBER(SEARCH(","&amp;TRIM(TEXTSPLIT(FC133,","))&amp;",",","&amp;SUBSTITUTE(input_global_network_school," ","")&amp;",")))&gt;0)),IF(FE133="",TRUE,IF(input_global_network_school="",FALSE,SUMPRODUCT(--ISNUMBER(SEARCH(","&amp;TRIM(TEXTSPLIT(FE133,","))&amp;",",","&amp;SUBSTITUTE(input_global_network_school," ","")&amp;",")))=COUNTA(TEXTSPLIT(FE133,",")))))</f>
        <v/>
      </c>
      <c r="JI133">
        <f>AND(IF(FG133="",TRUE,IF(input_industry="",FALSE,SUMPRODUCT(--ISNUMBER(SEARCH(","&amp;TRIM(TEXTSPLIT(FG133,","))&amp;",",","&amp;SUBSTITUTE(input_industry," ","")&amp;",")))&gt;0)),IF(FI133="",TRUE,IF(input_industry="",FALSE,SUMPRODUCT(--ISNUMBER(SEARCH(","&amp;TRIM(TEXTSPLIT(FI133,","))&amp;",",","&amp;SUBSTITUTE(input_industry," ","")&amp;",")))=COUNTA(TEXTSPLIT(FI133,",")))),IF(FK133="",TRUE,IF(input_industry="",TRUE,SUMPRODUCT(--ISNUMBER(SEARCH(","&amp;TRIM(TEXTSPLIT(FK133,","))&amp;",",","&amp;SUBSTITUTE(input_industry," ","")&amp;",")))=0)),IF(FM133="",TRUE,IF(input_industry="",FALSE,SUMPRODUCT(--ISNUMBER(SEARCH(","&amp;TRIM(TEXTSPLIT(FM133,","))&amp;",",","&amp;SUBSTITUTE(input_industry," ","")&amp;",")))&gt;0)),IF(FO133="",TRUE,IF(input_industry="",FALSE,SUMPRODUCT(--ISNUMBER(SEARCH(","&amp;TRIM(TEXTSPLIT(FO133,","))&amp;",",","&amp;SUBSTITUTE(input_industry," ","")&amp;",")))=COUNTA(TEXTSPLIT(FO133,",")))))</f>
        <v/>
      </c>
      <c r="JJ133">
        <f>AND(IF(FQ133="",TRUE,IF(input_location="",FALSE,SUMPRODUCT(--ISNUMBER(SEARCH(","&amp;TRIM(TEXTSPLIT(FQ133,","))&amp;",",","&amp;SUBSTITUTE(input_location," ","")&amp;",")))&gt;0)),IF(FS133="",TRUE,IF(input_location="",FALSE,SUMPRODUCT(--ISNUMBER(SEARCH(","&amp;TRIM(TEXTSPLIT(FS133,","))&amp;",",","&amp;SUBSTITUTE(input_location," ","")&amp;",")))=COUNTA(TEXTSPLIT(FS133,",")))),IF(FU133="",TRUE,IF(input_location="",TRUE,SUMPRODUCT(--ISNUMBER(SEARCH(","&amp;TRIM(TEXTSPLIT(FU133,","))&amp;",",","&amp;SUBSTITUTE(input_location," ","")&amp;",")))=0)),IF(FW133="",TRUE,IF(input_location="",FALSE,SUMPRODUCT(--ISNUMBER(SEARCH(","&amp;TRIM(TEXTSPLIT(FW133,","))&amp;",",","&amp;SUBSTITUTE(input_location," ","")&amp;",")))&gt;0)),IF(FY133="",TRUE,IF(input_location="",FALSE,SUMPRODUCT(--ISNUMBER(SEARCH(","&amp;TRIM(TEXTSPLIT(FY133,","))&amp;",",","&amp;SUBSTITUTE(input_location," ","")&amp;",")))=COUNTA(TEXTSPLIT(FY133,",")))))</f>
        <v/>
      </c>
      <c r="JK133">
        <f>AND(IF(GA133="",TRUE,IF(input_modality="",FALSE,SUMPRODUCT(--ISNUMBER(SEARCH(","&amp;TRIM(TEXTSPLIT(GA133,","))&amp;",",","&amp;SUBSTITUTE(input_modality," ","")&amp;",")))&gt;0)),IF(GC133="",TRUE,IF(input_modality="",FALSE,SUMPRODUCT(--ISNUMBER(SEARCH(","&amp;TRIM(TEXTSPLIT(GC133,","))&amp;",",","&amp;SUBSTITUTE(input_modality," ","")&amp;",")))=COUNTA(TEXTSPLIT(GC133,",")))),IF(GE133="",TRUE,IF(input_modality="",TRUE,SUMPRODUCT(--ISNUMBER(SEARCH(","&amp;TRIM(TEXTSPLIT(GE133,","))&amp;",",","&amp;SUBSTITUTE(input_modality," ","")&amp;",")))=0)),IF(GG133="",TRUE,IF(input_modality="",FALSE,SUMPRODUCT(--ISNUMBER(SEARCH(","&amp;TRIM(TEXTSPLIT(GG133,","))&amp;",",","&amp;SUBSTITUTE(input_modality," ","")&amp;",")))&gt;0)),IF(GI133="",TRUE,IF(input_modality="",FALSE,SUMPRODUCT(--ISNUMBER(SEARCH(","&amp;TRIM(TEXTSPLIT(GI133,","))&amp;",",","&amp;SUBSTITUTE(input_modality," ","")&amp;",")))=COUNTA(TEXTSPLIT(GI133,",")))))</f>
        <v/>
      </c>
      <c r="JL133">
        <f>AND(IF(GK133="",TRUE,IF(input_organizer="",FALSE,SUMPRODUCT(--ISNUMBER(SEARCH(","&amp;TRIM(TEXTSPLIT(GK133,","))&amp;",",","&amp;SUBSTITUTE(input_organizer," ","")&amp;",")))&gt;0)),IF(GM133="",TRUE,IF(input_organizer="",FALSE,SUMPRODUCT(--ISNUMBER(SEARCH(","&amp;TRIM(TEXTSPLIT(GM133,","))&amp;",",","&amp;SUBSTITUTE(input_organizer," ","")&amp;",")))=COUNTA(TEXTSPLIT(GM133,",")))),IF(GO133="",TRUE,IF(input_organizer="",TRUE,SUMPRODUCT(--ISNUMBER(SEARCH(","&amp;TRIM(TEXTSPLIT(GO133,","))&amp;",",","&amp;SUBSTITUTE(input_organizer," ","")&amp;",")))=0)),IF(GQ133="",TRUE,IF(input_organizer="",FALSE,SUMPRODUCT(--ISNUMBER(SEARCH(","&amp;TRIM(TEXTSPLIT(GQ133,","))&amp;",",","&amp;SUBSTITUTE(input_organizer," ","")&amp;",")))&gt;0)),IF(GS133="",TRUE,IF(input_organizer="",FALSE,SUMPRODUCT(--ISNUMBER(SEARCH(","&amp;TRIM(TEXTSPLIT(GS133,","))&amp;",",","&amp;SUBSTITUTE(input_organizer," ","")&amp;",")))=COUNTA(TEXTSPLIT(GS133,",")))))</f>
        <v/>
      </c>
      <c r="JM133">
        <f>AND(IF(GU133="",TRUE,IF(input_profile_type="",FALSE,SUMPRODUCT(--ISNUMBER(SEARCH(","&amp;TRIM(TEXTSPLIT(GU133,","))&amp;",",","&amp;SUBSTITUTE(input_profile_type," ","")&amp;",")))&gt;0)),IF(GW133="",TRUE,IF(input_profile_type="",FALSE,SUMPRODUCT(--ISNUMBER(SEARCH(","&amp;TRIM(TEXTSPLIT(GW133,","))&amp;",",","&amp;SUBSTITUTE(input_profile_type," ","")&amp;",")))=COUNTA(TEXTSPLIT(GW133,",")))),IF(GY133="",TRUE,IF(input_profile_type="",TRUE,SUMPRODUCT(--ISNUMBER(SEARCH(","&amp;TRIM(TEXTSPLIT(GY133,","))&amp;",",","&amp;SUBSTITUTE(input_profile_type," ","")&amp;",")))=0)),IF(HA133="",TRUE,IF(input_profile_type="",FALSE,SUMPRODUCT(--ISNUMBER(SEARCH(","&amp;TRIM(TEXTSPLIT(HA133,","))&amp;",",","&amp;SUBSTITUTE(input_profile_type," ","")&amp;",")))&gt;0)),IF(HC133="",TRUE,IF(input_profile_type="",FALSE,SUMPRODUCT(--ISNUMBER(SEARCH(","&amp;TRIM(TEXTSPLIT(HC133,","))&amp;",",","&amp;SUBSTITUTE(input_profile_type," ","")&amp;",")))=COUNTA(TEXTSPLIT(HC133,",")))))</f>
        <v/>
      </c>
      <c r="JN133">
        <f>AND(IF(HE133="",TRUE,IF(input_program="",FALSE,SUMPRODUCT(--ISNUMBER(SEARCH(","&amp;TRIM(TEXTSPLIT(HE133,","))&amp;",",","&amp;SUBSTITUTE(input_program," ","")&amp;",")))&gt;0)),IF(HG133="",TRUE,IF(input_program="",FALSE,SUMPRODUCT(--ISNUMBER(SEARCH(","&amp;TRIM(TEXTSPLIT(HG133,","))&amp;",",","&amp;SUBSTITUTE(input_program," ","")&amp;",")))=COUNTA(TEXTSPLIT(HG133,",")))),IF(HI133="",TRUE,IF(input_program="",TRUE,SUMPRODUCT(--ISNUMBER(SEARCH(","&amp;TRIM(TEXTSPLIT(HI133,","))&amp;",",","&amp;SUBSTITUTE(input_program," ","")&amp;",")))=0)),IF(HK133="",TRUE,IF(input_program="",FALSE,SUMPRODUCT(--ISNUMBER(SEARCH(","&amp;TRIM(TEXTSPLIT(HK133,","))&amp;",",","&amp;SUBSTITUTE(input_program," ","")&amp;",")))&gt;0)),IF(HM133="",TRUE,IF(input_program="",FALSE,SUMPRODUCT(--ISNUMBER(SEARCH(","&amp;TRIM(TEXTSPLIT(HM133,","))&amp;",",","&amp;SUBSTITUTE(input_program," ","")&amp;",")))=COUNTA(TEXTSPLIT(HM133,",")))))</f>
        <v/>
      </c>
      <c r="JO133">
        <f>AND(IF(HO133="",TRUE,IF(input_story_categories="",FALSE,SUMPRODUCT(--ISNUMBER(SEARCH(","&amp;TRIM(TEXTSPLIT(HO133,","))&amp;",",","&amp;SUBSTITUTE(input_story_categories," ","")&amp;",")))&gt;0)),IF(HQ133="",TRUE,IF(input_story_categories="",FALSE,SUMPRODUCT(--ISNUMBER(SEARCH(","&amp;TRIM(TEXTSPLIT(HQ133,","))&amp;",",","&amp;SUBSTITUTE(input_story_categories," ","")&amp;",")))=COUNTA(TEXTSPLIT(HQ133,",")))),IF(HS133="",TRUE,IF(input_story_categories="",TRUE,SUMPRODUCT(--ISNUMBER(SEARCH(","&amp;TRIM(TEXTSPLIT(HS133,","))&amp;",",","&amp;SUBSTITUTE(input_story_categories," ","")&amp;",")))=0)),IF(HU133="",TRUE,IF(input_story_categories="",FALSE,SUMPRODUCT(--ISNUMBER(SEARCH(","&amp;TRIM(TEXTSPLIT(HU133,","))&amp;",",","&amp;SUBSTITUTE(input_story_categories," ","")&amp;",")))&gt;0)),IF(HW133="",TRUE,IF(input_story_categories="",FALSE,SUMPRODUCT(--ISNUMBER(SEARCH(","&amp;TRIM(TEXTSPLIT(HW133,","))&amp;",",","&amp;SUBSTITUTE(input_story_categories," ","")&amp;",")))=COUNTA(TEXTSPLIT(HW133,",")))))</f>
        <v/>
      </c>
      <c r="JP133">
        <f>AND(IF(HY133="",TRUE,IF(input_story_type="",FALSE,SUMPRODUCT(--ISNUMBER(SEARCH(","&amp;TRIM(TEXTSPLIT(HY133,","))&amp;",",","&amp;SUBSTITUTE(input_story_type," ","")&amp;",")))&gt;0)),IF(IA133="",TRUE,IF(input_story_type="",FALSE,SUMPRODUCT(--ISNUMBER(SEARCH(","&amp;TRIM(TEXTSPLIT(IA133,","))&amp;",",","&amp;SUBSTITUTE(input_story_type," ","")&amp;",")))=COUNTA(TEXTSPLIT(IA133,",")))),IF(IC133="",TRUE,IF(input_story_type="",TRUE,SUMPRODUCT(--ISNUMBER(SEARCH(","&amp;TRIM(TEXTSPLIT(IC133,","))&amp;",",","&amp;SUBSTITUTE(input_story_type," ","")&amp;",")))=0)),IF(IE133="",TRUE,IF(input_story_type="",FALSE,SUMPRODUCT(--ISNUMBER(SEARCH(","&amp;TRIM(TEXTSPLIT(IE133,","))&amp;",",","&amp;SUBSTITUTE(input_story_type," ","")&amp;",")))&gt;0)),IF(IG133="",TRUE,IF(input_story_type="",FALSE,SUMPRODUCT(--ISNUMBER(SEARCH(","&amp;TRIM(TEXTSPLIT(IG133,","))&amp;",",","&amp;SUBSTITUTE(input_story_type," ","")&amp;",")))=COUNTA(TEXTSPLIT(IG133,",")))))</f>
        <v/>
      </c>
      <c r="JQ133">
        <f>AND(IF(II133="",TRUE,IF(input_topics="",FALSE,SUMPRODUCT(--ISNUMBER(SEARCH(","&amp;TRIM(TEXTSPLIT(II133,","))&amp;",",","&amp;SUBSTITUTE(input_topics," ","")&amp;",")))&gt;0)),IF(IK133="",TRUE,IF(input_topics="",FALSE,SUMPRODUCT(--ISNUMBER(SEARCH(","&amp;TRIM(TEXTSPLIT(IK133,","))&amp;",",","&amp;SUBSTITUTE(input_topics," ","")&amp;",")))=COUNTA(TEXTSPLIT(IK133,",")))),IF(IM133="",TRUE,IF(input_topics="",TRUE,SUMPRODUCT(--ISNUMBER(SEARCH(","&amp;TRIM(TEXTSPLIT(IM133,","))&amp;",",","&amp;SUBSTITUTE(input_topics," ","")&amp;",")))=0)),IF(IO133="",TRUE,IF(input_topics="",FALSE,SUMPRODUCT(--ISNUMBER(SEARCH(","&amp;TRIM(TEXTSPLIT(IO133,","))&amp;",",","&amp;SUBSTITUTE(input_topics," ","")&amp;",")))&gt;0)),IF(IQ133="",TRUE,IF(input_topics="",FALSE,SUMPRODUCT(--ISNUMBER(SEARCH(","&amp;TRIM(TEXTSPLIT(IQ133,","))&amp;",",","&amp;SUBSTITUTE(input_topics," ","")&amp;",")))=COUNTA(TEXTSPLIT(IQ133,",")))))</f>
        <v/>
      </c>
    </row>
    <row r="134">
      <c r="A134" s="4">
        <f>IF(NOT(IS134),"Excluded",IF(AND(IT134,IU134,IV134,IW134,IX134,IY134,IZ134,JA134,JB134,JC134,JD134,JE134,JF134,JG134,JH134,JI134,JJ134,JK134,JL134,JM134,JN134,JO134,JP134,JQ134),IF(I134&gt;0,"Eligible but limited","Will appear"),"Excluded"))</f>
        <v/>
      </c>
      <c r="B134" s="4" t="inlineStr">
        <is>
          <t>News</t>
        </is>
      </c>
      <c r="C134" s="4" t="inlineStr">
        <is>
          <t>/centers/chief-executive-leadership-institute/celi-news</t>
        </is>
      </c>
      <c r="D134" s="4" t="inlineStr">
        <is>
          <t>/centers/chief-executive-leadership-institute/celi-news</t>
        </is>
      </c>
      <c r="E134" s="4" t="n">
        <v>1</v>
      </c>
      <c r="F134" s="4" t="inlineStr">
        <is>
          <t>story</t>
        </is>
      </c>
      <c r="G134" s="4" t="inlineStr">
        <is>
          <t>stories_list</t>
        </is>
      </c>
      <c r="H134" s="4" t="inlineStr">
        <is>
          <t>embed_1</t>
        </is>
      </c>
      <c r="I134" s="4" t="n">
        <v>10</v>
      </c>
      <c r="J134" s="4" t="inlineStr">
        <is>
          <t>Explicit args</t>
        </is>
      </c>
      <c r="K134" s="4" t="inlineStr">
        <is>
          <t>Page placement</t>
        </is>
      </c>
      <c r="L134" s="4" t="inlineStr">
        <is>
          <t>Content type: story; Context uses Courses Context: Chief Executive Leadership Institute (925); Limited to 10 item(s); Source: Explicit args</t>
        </is>
      </c>
      <c r="M134" t="inlineStr"/>
      <c r="N134" t="inlineStr"/>
      <c r="O134" t="inlineStr"/>
      <c r="P134" t="inlineStr"/>
      <c r="Q134" t="inlineStr"/>
      <c r="R134" t="inlineStr"/>
      <c r="S134" t="inlineStr"/>
      <c r="T134" t="inlineStr"/>
      <c r="U134" t="inlineStr"/>
      <c r="V134" t="inlineStr"/>
      <c r="W134" t="inlineStr"/>
      <c r="X134" t="inlineStr"/>
      <c r="Y134" t="inlineStr"/>
      <c r="Z134" t="inlineStr"/>
      <c r="AA134" t="inlineStr"/>
      <c r="AB134" t="inlineStr"/>
      <c r="AC134" t="inlineStr"/>
      <c r="AD134" t="inlineStr"/>
      <c r="AE134" t="inlineStr"/>
      <c r="AF134" t="inlineStr"/>
      <c r="AG134" t="inlineStr"/>
      <c r="AH134" t="inlineStr"/>
      <c r="AI134" t="inlineStr"/>
      <c r="AJ134" t="inlineStr"/>
      <c r="AK134" t="inlineStr"/>
      <c r="AL134" t="inlineStr"/>
      <c r="AM134" t="inlineStr"/>
      <c r="AN134" t="inlineStr"/>
      <c r="AO134" t="inlineStr"/>
      <c r="AP134" t="inlineStr"/>
      <c r="AQ134" t="inlineStr"/>
      <c r="AR134" t="inlineStr"/>
      <c r="AS134" t="inlineStr"/>
      <c r="AT134" t="inlineStr"/>
      <c r="AU134" t="inlineStr"/>
      <c r="AV134" t="inlineStr"/>
      <c r="AW134" t="inlineStr"/>
      <c r="AX134" t="inlineStr"/>
      <c r="AY134" t="inlineStr"/>
      <c r="AZ134" t="inlineStr"/>
      <c r="BA134" t="inlineStr"/>
      <c r="BB134" t="inlineStr"/>
      <c r="BC134" t="inlineStr"/>
      <c r="BD134" t="inlineStr"/>
      <c r="BE134" t="inlineStr"/>
      <c r="BF134" t="inlineStr"/>
      <c r="BG134" t="inlineStr"/>
      <c r="BH134" t="inlineStr"/>
      <c r="BI134" t="inlineStr"/>
      <c r="BJ134" t="inlineStr"/>
      <c r="BK134" t="inlineStr"/>
      <c r="BL134" t="inlineStr"/>
      <c r="BM134" t="inlineStr"/>
      <c r="BN134" t="inlineStr"/>
      <c r="BO134" t="inlineStr"/>
      <c r="BP134" t="inlineStr"/>
      <c r="BQ134" t="inlineStr">
        <is>
          <t>925</t>
        </is>
      </c>
      <c r="BR134" t="inlineStr">
        <is>
          <t>Chief Executive Leadership Institute (925)</t>
        </is>
      </c>
      <c r="BS134" t="inlineStr"/>
      <c r="BT134" t="inlineStr"/>
      <c r="BU134" t="inlineStr"/>
      <c r="BV134" t="inlineStr"/>
      <c r="BW134" t="inlineStr"/>
      <c r="BX134" t="inlineStr"/>
      <c r="BY134" t="inlineStr"/>
      <c r="BZ134" t="inlineStr"/>
      <c r="CA134" t="inlineStr"/>
      <c r="CB134" t="inlineStr"/>
      <c r="CC134" t="inlineStr"/>
      <c r="CD134" t="inlineStr"/>
      <c r="CE134" t="inlineStr"/>
      <c r="CF134" t="inlineStr"/>
      <c r="CG134" t="inlineStr"/>
      <c r="CH134" t="inlineStr"/>
      <c r="CI134" t="inlineStr"/>
      <c r="CJ134" t="inlineStr"/>
      <c r="CK134" t="inlineStr"/>
      <c r="CL134" t="inlineStr"/>
      <c r="CM134" t="inlineStr"/>
      <c r="CN134" t="inlineStr"/>
      <c r="CO134" t="inlineStr"/>
      <c r="CP134" t="inlineStr"/>
      <c r="CQ134" t="inlineStr"/>
      <c r="CR134" t="inlineStr"/>
      <c r="CS134" t="inlineStr"/>
      <c r="CT134" t="inlineStr"/>
      <c r="CU134" t="inlineStr"/>
      <c r="CV134" t="inlineStr"/>
      <c r="CW134" t="inlineStr"/>
      <c r="CX134" t="inlineStr"/>
      <c r="CY134" t="inlineStr"/>
      <c r="CZ134" t="inlineStr"/>
      <c r="DA134" t="inlineStr"/>
      <c r="DB134" t="inlineStr"/>
      <c r="DC134" t="inlineStr"/>
      <c r="DD134" t="inlineStr"/>
      <c r="DE134" t="inlineStr"/>
      <c r="DF134" t="inlineStr"/>
      <c r="DG134" t="inlineStr"/>
      <c r="DH134" t="inlineStr"/>
      <c r="DI134" t="inlineStr"/>
      <c r="DJ134" t="inlineStr"/>
      <c r="DK134" t="inlineStr"/>
      <c r="DL134" t="inlineStr"/>
      <c r="DM134" t="inlineStr"/>
      <c r="DN134" t="inlineStr"/>
      <c r="DO134" t="inlineStr"/>
      <c r="DP134" t="inlineStr"/>
      <c r="DQ134" t="inlineStr"/>
      <c r="DR134" t="inlineStr"/>
      <c r="DS134" t="inlineStr"/>
      <c r="DT134" t="inlineStr"/>
      <c r="DU134" t="inlineStr"/>
      <c r="DV134" t="inlineStr"/>
      <c r="DW134" t="inlineStr"/>
      <c r="DX134" t="inlineStr"/>
      <c r="DY134" t="inlineStr"/>
      <c r="DZ134" t="inlineStr"/>
      <c r="EA134" t="inlineStr"/>
      <c r="EB134" t="inlineStr"/>
      <c r="EC134" t="inlineStr"/>
      <c r="ED134" t="inlineStr"/>
      <c r="EE134" t="inlineStr"/>
      <c r="EF134" t="inlineStr"/>
      <c r="EG134" t="inlineStr"/>
      <c r="EH134" t="inlineStr"/>
      <c r="EI134" t="inlineStr"/>
      <c r="EJ134" t="inlineStr"/>
      <c r="EK134" t="inlineStr"/>
      <c r="EL134" t="inlineStr"/>
      <c r="EM134" t="inlineStr"/>
      <c r="EN134" t="inlineStr"/>
      <c r="EO134" t="inlineStr"/>
      <c r="EP134" t="inlineStr"/>
      <c r="EQ134" t="inlineStr"/>
      <c r="ER134" t="inlineStr"/>
      <c r="ES134" t="inlineStr"/>
      <c r="ET134" t="inlineStr"/>
      <c r="EU134" t="inlineStr"/>
      <c r="EV134" t="inlineStr"/>
      <c r="EW134" t="inlineStr"/>
      <c r="EX134" t="inlineStr"/>
      <c r="EY134" t="inlineStr"/>
      <c r="EZ134" t="inlineStr"/>
      <c r="FA134" t="inlineStr"/>
      <c r="FB134" t="inlineStr"/>
      <c r="FC134" t="inlineStr"/>
      <c r="FD134" t="inlineStr"/>
      <c r="FE134" t="inlineStr"/>
      <c r="FF134" t="inlineStr"/>
      <c r="FG134" t="inlineStr"/>
      <c r="FH134" t="inlineStr"/>
      <c r="FI134" t="inlineStr"/>
      <c r="FJ134" t="inlineStr"/>
      <c r="FK134" t="inlineStr"/>
      <c r="FL134" t="inlineStr"/>
      <c r="FM134" t="inlineStr"/>
      <c r="FN134" t="inlineStr"/>
      <c r="FO134" t="inlineStr"/>
      <c r="FP134" t="inlineStr"/>
      <c r="FQ134" t="inlineStr"/>
      <c r="FR134" t="inlineStr"/>
      <c r="FS134" t="inlineStr"/>
      <c r="FT134" t="inlineStr"/>
      <c r="FU134" t="inlineStr"/>
      <c r="FV134" t="inlineStr"/>
      <c r="FW134" t="inlineStr"/>
      <c r="FX134" t="inlineStr"/>
      <c r="FY134" t="inlineStr"/>
      <c r="FZ134" t="inlineStr"/>
      <c r="GA134" t="inlineStr"/>
      <c r="GB134" t="inlineStr"/>
      <c r="GC134" t="inlineStr"/>
      <c r="GD134" t="inlineStr"/>
      <c r="GE134" t="inlineStr"/>
      <c r="GF134" t="inlineStr"/>
      <c r="GG134" t="inlineStr"/>
      <c r="GH134" t="inlineStr"/>
      <c r="GI134" t="inlineStr"/>
      <c r="GJ134" t="inlineStr"/>
      <c r="GK134" t="inlineStr"/>
      <c r="GL134" t="inlineStr"/>
      <c r="GM134" t="inlineStr"/>
      <c r="GN134" t="inlineStr"/>
      <c r="GO134" t="inlineStr"/>
      <c r="GP134" t="inlineStr"/>
      <c r="GQ134" t="inlineStr"/>
      <c r="GR134" t="inlineStr"/>
      <c r="GS134" t="inlineStr"/>
      <c r="GT134" t="inlineStr"/>
      <c r="GU134" t="inlineStr"/>
      <c r="GV134" t="inlineStr"/>
      <c r="GW134" t="inlineStr"/>
      <c r="GX134" t="inlineStr"/>
      <c r="GY134" t="inlineStr"/>
      <c r="GZ134" t="inlineStr"/>
      <c r="HA134" t="inlineStr"/>
      <c r="HB134" t="inlineStr"/>
      <c r="HC134" t="inlineStr"/>
      <c r="HD134" t="inlineStr"/>
      <c r="HE134" t="inlineStr"/>
      <c r="HF134" t="inlineStr"/>
      <c r="HG134" t="inlineStr"/>
      <c r="HH134" t="inlineStr"/>
      <c r="HI134" t="inlineStr"/>
      <c r="HJ134" t="inlineStr"/>
      <c r="HK134" t="inlineStr"/>
      <c r="HL134" t="inlineStr"/>
      <c r="HM134" t="inlineStr"/>
      <c r="HN134" t="inlineStr"/>
      <c r="HO134" t="inlineStr"/>
      <c r="HP134" t="inlineStr"/>
      <c r="HQ134" t="inlineStr"/>
      <c r="HR134" t="inlineStr"/>
      <c r="HS134" t="inlineStr"/>
      <c r="HT134" t="inlineStr"/>
      <c r="HU134" t="inlineStr"/>
      <c r="HV134" t="inlineStr"/>
      <c r="HW134" t="inlineStr"/>
      <c r="HX134" t="inlineStr"/>
      <c r="HY134" t="inlineStr"/>
      <c r="HZ134" t="inlineStr"/>
      <c r="IA134" t="inlineStr"/>
      <c r="IB134" t="inlineStr"/>
      <c r="IC134" t="inlineStr"/>
      <c r="ID134" t="inlineStr"/>
      <c r="IE134" t="inlineStr"/>
      <c r="IF134" t="inlineStr"/>
      <c r="IG134" t="inlineStr"/>
      <c r="IH134" t="inlineStr"/>
      <c r="II134" t="inlineStr"/>
      <c r="IJ134" t="inlineStr"/>
      <c r="IK134" t="inlineStr"/>
      <c r="IL134" t="inlineStr"/>
      <c r="IM134" t="inlineStr"/>
      <c r="IN134" t="inlineStr"/>
      <c r="IO134" t="inlineStr"/>
      <c r="IP134" t="inlineStr"/>
      <c r="IQ134" t="inlineStr"/>
      <c r="IR134" t="inlineStr"/>
      <c r="IS134">
        <f>IF(input_content_type="",FALSE,ISNUMBER(SEARCH(","&amp;LOWER(input_content_type)&amp;",",","&amp;LOWER(F134)&amp;",")))</f>
        <v/>
      </c>
      <c r="IT134">
        <f>AND(IF(M134="",TRUE,IF(input_affiliations="",FALSE,SUMPRODUCT(--ISNUMBER(SEARCH(","&amp;TRIM(TEXTSPLIT(M134,","))&amp;",",","&amp;SUBSTITUTE(input_affiliations," ","")&amp;",")))&gt;0)),IF(O134="",TRUE,IF(input_affiliations="",FALSE,SUMPRODUCT(--ISNUMBER(SEARCH(","&amp;TRIM(TEXTSPLIT(O134,","))&amp;",",","&amp;SUBSTITUTE(input_affiliations," ","")&amp;",")))=COUNTA(TEXTSPLIT(O134,",")))),IF(Q134="",TRUE,IF(input_affiliations="",TRUE,SUMPRODUCT(--ISNUMBER(SEARCH(","&amp;TRIM(TEXTSPLIT(Q134,","))&amp;",",","&amp;SUBSTITUTE(input_affiliations," ","")&amp;",")))=0)),IF(S134="",TRUE,IF(input_affiliations="",FALSE,SUMPRODUCT(--ISNUMBER(SEARCH(","&amp;TRIM(TEXTSPLIT(S134,","))&amp;",",","&amp;SUBSTITUTE(input_affiliations," ","")&amp;",")))&gt;0)),IF(U134="",TRUE,IF(input_affiliations="",FALSE,SUMPRODUCT(--ISNUMBER(SEARCH(","&amp;TRIM(TEXTSPLIT(U134,","))&amp;",",","&amp;SUBSTITUTE(input_affiliations," ","")&amp;",")))=COUNTA(TEXTSPLIT(U134,",")))))</f>
        <v/>
      </c>
      <c r="IU134">
        <f>AND(IF(W134="",TRUE,IF(input_announcement_category="",FALSE,SUMPRODUCT(--ISNUMBER(SEARCH(","&amp;TRIM(TEXTSPLIT(W134,","))&amp;",",","&amp;SUBSTITUTE(input_announcement_category," ","")&amp;",")))&gt;0)),IF(Y134="",TRUE,IF(input_announcement_category="",FALSE,SUMPRODUCT(--ISNUMBER(SEARCH(","&amp;TRIM(TEXTSPLIT(Y134,","))&amp;",",","&amp;SUBSTITUTE(input_announcement_category," ","")&amp;",")))=COUNTA(TEXTSPLIT(Y134,",")))),IF(AA134="",TRUE,IF(input_announcement_category="",TRUE,SUMPRODUCT(--ISNUMBER(SEARCH(","&amp;TRIM(TEXTSPLIT(AA134,","))&amp;",",","&amp;SUBSTITUTE(input_announcement_category," ","")&amp;",")))=0)),IF(AC134="",TRUE,IF(input_announcement_category="",FALSE,SUMPRODUCT(--ISNUMBER(SEARCH(","&amp;TRIM(TEXTSPLIT(AC134,","))&amp;",",","&amp;SUBSTITUTE(input_announcement_category," ","")&amp;",")))&gt;0)),IF(AE134="",TRUE,IF(input_announcement_category="",FALSE,SUMPRODUCT(--ISNUMBER(SEARCH(","&amp;TRIM(TEXTSPLIT(AE134,","))&amp;",",","&amp;SUBSTITUTE(input_announcement_category," ","")&amp;",")))=COUNTA(TEXTSPLIT(AE134,",")))))</f>
        <v/>
      </c>
      <c r="IV134">
        <f>AND(IF(AG134="",TRUE,IF(input_area_of_focus="",FALSE,SUMPRODUCT(--ISNUMBER(SEARCH(","&amp;TRIM(TEXTSPLIT(AG134,","))&amp;",",","&amp;SUBSTITUTE(input_area_of_focus," ","")&amp;",")))&gt;0)),IF(AI134="",TRUE,IF(input_area_of_focus="",FALSE,SUMPRODUCT(--ISNUMBER(SEARCH(","&amp;TRIM(TEXTSPLIT(AI134,","))&amp;",",","&amp;SUBSTITUTE(input_area_of_focus," ","")&amp;",")))=COUNTA(TEXTSPLIT(AI134,",")))),IF(AK134="",TRUE,IF(input_area_of_focus="",TRUE,SUMPRODUCT(--ISNUMBER(SEARCH(","&amp;TRIM(TEXTSPLIT(AK134,","))&amp;",",","&amp;SUBSTITUTE(input_area_of_focus," ","")&amp;",")))=0)),IF(AM134="",TRUE,IF(input_area_of_focus="",FALSE,SUMPRODUCT(--ISNUMBER(SEARCH(","&amp;TRIM(TEXTSPLIT(AM134,","))&amp;",",","&amp;SUBSTITUTE(input_area_of_focus," ","")&amp;",")))&gt;0)),IF(AO134="",TRUE,IF(input_area_of_focus="",FALSE,SUMPRODUCT(--ISNUMBER(SEARCH(","&amp;TRIM(TEXTSPLIT(AO134,","))&amp;",",","&amp;SUBSTITUTE(input_area_of_focus," ","")&amp;",")))=COUNTA(TEXTSPLIT(AO134,",")))))</f>
        <v/>
      </c>
      <c r="IW134">
        <f>AND(IF(AQ134="",TRUE,IF(input_audience="",FALSE,SUMPRODUCT(--ISNUMBER(SEARCH(","&amp;TRIM(TEXTSPLIT(AQ134,","))&amp;",",","&amp;SUBSTITUTE(input_audience," ","")&amp;",")))&gt;0)),IF(AS134="",TRUE,IF(input_audience="",FALSE,SUMPRODUCT(--ISNUMBER(SEARCH(","&amp;TRIM(TEXTSPLIT(AS134,","))&amp;",",","&amp;SUBSTITUTE(input_audience," ","")&amp;",")))=COUNTA(TEXTSPLIT(AS134,",")))),IF(AU134="",TRUE,IF(input_audience="",TRUE,SUMPRODUCT(--ISNUMBER(SEARCH(","&amp;TRIM(TEXTSPLIT(AU134,","))&amp;",",","&amp;SUBSTITUTE(input_audience," ","")&amp;",")))=0)),IF(AW134="",TRUE,IF(input_audience="",FALSE,SUMPRODUCT(--ISNUMBER(SEARCH(","&amp;TRIM(TEXTSPLIT(AW134,","))&amp;",",","&amp;SUBSTITUTE(input_audience," ","")&amp;",")))&gt;0)),IF(AY134="",TRUE,IF(input_audience="",FALSE,SUMPRODUCT(--ISNUMBER(SEARCH(","&amp;TRIM(TEXTSPLIT(AY134,","))&amp;",",","&amp;SUBSTITUTE(input_audience," ","")&amp;",")))=COUNTA(TEXTSPLIT(AY134,",")))))</f>
        <v/>
      </c>
      <c r="IX134">
        <f>AND(IF(BA134="",TRUE,IF(input_challenge_opportunities="",FALSE,SUMPRODUCT(--ISNUMBER(SEARCH(","&amp;TRIM(TEXTSPLIT(BA134,","))&amp;",",","&amp;SUBSTITUTE(input_challenge_opportunities," ","")&amp;",")))&gt;0)),IF(BC134="",TRUE,IF(input_challenge_opportunities="",FALSE,SUMPRODUCT(--ISNUMBER(SEARCH(","&amp;TRIM(TEXTSPLIT(BC134,","))&amp;",",","&amp;SUBSTITUTE(input_challenge_opportunities," ","")&amp;",")))=COUNTA(TEXTSPLIT(BC134,",")))),IF(BE134="",TRUE,IF(input_challenge_opportunities="",TRUE,SUMPRODUCT(--ISNUMBER(SEARCH(","&amp;TRIM(TEXTSPLIT(BE134,","))&amp;",",","&amp;SUBSTITUTE(input_challenge_opportunities," ","")&amp;",")))=0)),IF(BG134="",TRUE,IF(input_challenge_opportunities="",FALSE,SUMPRODUCT(--ISNUMBER(SEARCH(","&amp;TRIM(TEXTSPLIT(BG134,","))&amp;",",","&amp;SUBSTITUTE(input_challenge_opportunities," ","")&amp;",")))&gt;0)),IF(BI134="",TRUE,IF(input_challenge_opportunities="",FALSE,SUMPRODUCT(--ISNUMBER(SEARCH(","&amp;TRIM(TEXTSPLIT(BI134,","))&amp;",",","&amp;SUBSTITUTE(input_challenge_opportunities," ","")&amp;",")))=COUNTA(TEXTSPLIT(BI134,",")))))</f>
        <v/>
      </c>
      <c r="IY134">
        <f>AND(IF(BK134="",TRUE,IF(input_context="",FALSE,SUMPRODUCT(--ISNUMBER(SEARCH(","&amp;TRIM(TEXTSPLIT(BK134,","))&amp;",",","&amp;SUBSTITUTE(input_context," ","")&amp;",")))&gt;0)),IF(BM134="",TRUE,IF(input_context="",FALSE,SUMPRODUCT(--ISNUMBER(SEARCH(","&amp;TRIM(TEXTSPLIT(BM134,","))&amp;",",","&amp;SUBSTITUTE(input_context," ","")&amp;",")))=COUNTA(TEXTSPLIT(BM134,",")))),IF(BO134="",TRUE,IF(input_context="",TRUE,SUMPRODUCT(--ISNUMBER(SEARCH(","&amp;TRIM(TEXTSPLIT(BO134,","))&amp;",",","&amp;SUBSTITUTE(input_context," ","")&amp;",")))=0)),IF(BQ134="",TRUE,IF(input_context="",FALSE,SUMPRODUCT(--ISNUMBER(SEARCH(","&amp;TRIM(TEXTSPLIT(BQ134,","))&amp;",",","&amp;SUBSTITUTE(input_context," ","")&amp;",")))&gt;0)),IF(BS134="",TRUE,IF(input_context="",FALSE,SUMPRODUCT(--ISNUMBER(SEARCH(","&amp;TRIM(TEXTSPLIT(BS134,","))&amp;",",","&amp;SUBSTITUTE(input_context," ","")&amp;",")))=COUNTA(TEXTSPLIT(BS134,",")))))</f>
        <v/>
      </c>
      <c r="IZ134">
        <f>AND(IF(BU134="",TRUE,IF(input_enews_announcement_type="",FALSE,SUMPRODUCT(--ISNUMBER(SEARCH(","&amp;TRIM(TEXTSPLIT(BU134,","))&amp;",",","&amp;SUBSTITUTE(input_enews_announcement_type," ","")&amp;",")))&gt;0)),IF(BW134="",TRUE,IF(input_enews_announcement_type="",FALSE,SUMPRODUCT(--ISNUMBER(SEARCH(","&amp;TRIM(TEXTSPLIT(BW134,","))&amp;",",","&amp;SUBSTITUTE(input_enews_announcement_type," ","")&amp;",")))=COUNTA(TEXTSPLIT(BW134,",")))),IF(BY134="",TRUE,IF(input_enews_announcement_type="",TRUE,SUMPRODUCT(--ISNUMBER(SEARCH(","&amp;TRIM(TEXTSPLIT(BY134,","))&amp;",",","&amp;SUBSTITUTE(input_enews_announcement_type," ","")&amp;",")))=0)),IF(CA134="",TRUE,IF(input_enews_announcement_type="",FALSE,SUMPRODUCT(--ISNUMBER(SEARCH(","&amp;TRIM(TEXTSPLIT(CA134,","))&amp;",",","&amp;SUBSTITUTE(input_enews_announcement_type," ","")&amp;",")))&gt;0)),IF(CC134="",TRUE,IF(input_enews_announcement_type="",FALSE,SUMPRODUCT(--ISNUMBER(SEARCH(","&amp;TRIM(TEXTSPLIT(CC134,","))&amp;",",","&amp;SUBSTITUTE(input_enews_announcement_type," ","")&amp;",")))=COUNTA(TEXTSPLIT(CC134,",")))))</f>
        <v/>
      </c>
      <c r="JA134">
        <f>AND(IF(CE134="",TRUE,IF(input_enews_audience="",FALSE,SUMPRODUCT(--ISNUMBER(SEARCH(","&amp;TRIM(TEXTSPLIT(CE134,","))&amp;",",","&amp;SUBSTITUTE(input_enews_audience," ","")&amp;",")))&gt;0)),IF(CG134="",TRUE,IF(input_enews_audience="",FALSE,SUMPRODUCT(--ISNUMBER(SEARCH(","&amp;TRIM(TEXTSPLIT(CG134,","))&amp;",",","&amp;SUBSTITUTE(input_enews_audience," ","")&amp;",")))=COUNTA(TEXTSPLIT(CG134,",")))),IF(CI134="",TRUE,IF(input_enews_audience="",TRUE,SUMPRODUCT(--ISNUMBER(SEARCH(","&amp;TRIM(TEXTSPLIT(CI134,","))&amp;",",","&amp;SUBSTITUTE(input_enews_audience," ","")&amp;",")))=0)),IF(CK134="",TRUE,IF(input_enews_audience="",FALSE,SUMPRODUCT(--ISNUMBER(SEARCH(","&amp;TRIM(TEXTSPLIT(CK134,","))&amp;",",","&amp;SUBSTITUTE(input_enews_audience," ","")&amp;",")))&gt;0)),IF(CM134="",TRUE,IF(input_enews_audience="",FALSE,SUMPRODUCT(--ISNUMBER(SEARCH(","&amp;TRIM(TEXTSPLIT(CM134,","))&amp;",",","&amp;SUBSTITUTE(input_enews_audience," ","")&amp;",")))=COUNTA(TEXTSPLIT(CM134,",")))))</f>
        <v/>
      </c>
      <c r="JB134">
        <f>AND(IF(CO134="",TRUE,IF(input_event_location="",FALSE,SUMPRODUCT(--ISNUMBER(SEARCH(","&amp;TRIM(TEXTSPLIT(CO134,","))&amp;",",","&amp;SUBSTITUTE(input_event_location," ","")&amp;",")))&gt;0)),IF(CQ134="",TRUE,IF(input_event_location="",FALSE,SUMPRODUCT(--ISNUMBER(SEARCH(","&amp;TRIM(TEXTSPLIT(CQ134,","))&amp;",",","&amp;SUBSTITUTE(input_event_location," ","")&amp;",")))=COUNTA(TEXTSPLIT(CQ134,",")))),IF(CS134="",TRUE,IF(input_event_location="",TRUE,SUMPRODUCT(--ISNUMBER(SEARCH(","&amp;TRIM(TEXTSPLIT(CS134,","))&amp;",",","&amp;SUBSTITUTE(input_event_location," ","")&amp;",")))=0)),IF(CU134="",TRUE,IF(input_event_location="",FALSE,SUMPRODUCT(--ISNUMBER(SEARCH(","&amp;TRIM(TEXTSPLIT(CU134,","))&amp;",",","&amp;SUBSTITUTE(input_event_location," ","")&amp;",")))&gt;0)),IF(CW134="",TRUE,IF(input_event_location="",FALSE,SUMPRODUCT(--ISNUMBER(SEARCH(","&amp;TRIM(TEXTSPLIT(CW134,","))&amp;",",","&amp;SUBSTITUTE(input_event_location," ","")&amp;",")))=COUNTA(TEXTSPLIT(CW134,",")))))</f>
        <v/>
      </c>
      <c r="JC134">
        <f>AND(IF(CY134="",TRUE,IF(input_event_type="",FALSE,SUMPRODUCT(--ISNUMBER(SEARCH(","&amp;TRIM(TEXTSPLIT(CY134,","))&amp;",",","&amp;SUBSTITUTE(input_event_type," ","")&amp;",")))&gt;0)),IF(DA134="",TRUE,IF(input_event_type="",FALSE,SUMPRODUCT(--ISNUMBER(SEARCH(","&amp;TRIM(TEXTSPLIT(DA134,","))&amp;",",","&amp;SUBSTITUTE(input_event_type," ","")&amp;",")))=COUNTA(TEXTSPLIT(DA134,",")))),IF(DC134="",TRUE,IF(input_event_type="",TRUE,SUMPRODUCT(--ISNUMBER(SEARCH(","&amp;TRIM(TEXTSPLIT(DC134,","))&amp;",",","&amp;SUBSTITUTE(input_event_type," ","")&amp;",")))=0)),IF(DE134="",TRUE,IF(input_event_type="",FALSE,SUMPRODUCT(--ISNUMBER(SEARCH(","&amp;TRIM(TEXTSPLIT(DE134,","))&amp;",",","&amp;SUBSTITUTE(input_event_type," ","")&amp;",")))&gt;0)),IF(DG134="",TRUE,IF(input_event_type="",FALSE,SUMPRODUCT(--ISNUMBER(SEARCH(","&amp;TRIM(TEXTSPLIT(DG134,","))&amp;",",","&amp;SUBSTITUTE(input_event_type," ","")&amp;",")))=COUNTA(TEXTSPLIT(DG134,",")))))</f>
        <v/>
      </c>
      <c r="JD134">
        <f>AND(IF(DI134="",TRUE,IF(input_executive_education_focus="",FALSE,SUMPRODUCT(--ISNUMBER(SEARCH(","&amp;TRIM(TEXTSPLIT(DI134,","))&amp;",",","&amp;SUBSTITUTE(input_executive_education_focus," ","")&amp;",")))&gt;0)),IF(DK134="",TRUE,IF(input_executive_education_focus="",FALSE,SUMPRODUCT(--ISNUMBER(SEARCH(","&amp;TRIM(TEXTSPLIT(DK134,","))&amp;",",","&amp;SUBSTITUTE(input_executive_education_focus," ","")&amp;",")))=COUNTA(TEXTSPLIT(DK134,",")))),IF(DM134="",TRUE,IF(input_executive_education_focus="",TRUE,SUMPRODUCT(--ISNUMBER(SEARCH(","&amp;TRIM(TEXTSPLIT(DM134,","))&amp;",",","&amp;SUBSTITUTE(input_executive_education_focus," ","")&amp;",")))=0)),IF(DO134="",TRUE,IF(input_executive_education_focus="",FALSE,SUMPRODUCT(--ISNUMBER(SEARCH(","&amp;TRIM(TEXTSPLIT(DO134,","))&amp;",",","&amp;SUBSTITUTE(input_executive_education_focus," ","")&amp;",")))&gt;0)),IF(DQ134="",TRUE,IF(input_executive_education_focus="",FALSE,SUMPRODUCT(--ISNUMBER(SEARCH(","&amp;TRIM(TEXTSPLIT(DQ134,","))&amp;",",","&amp;SUBSTITUTE(input_executive_education_focus," ","")&amp;",")))=COUNTA(TEXTSPLIT(DQ134,",")))))</f>
        <v/>
      </c>
      <c r="JE134">
        <f>AND(IF(DS134="",TRUE,IF(input_faculty_category="",FALSE,SUMPRODUCT(--ISNUMBER(SEARCH(","&amp;TRIM(TEXTSPLIT(DS134,","))&amp;",",","&amp;SUBSTITUTE(input_faculty_category," ","")&amp;",")))&gt;0)),IF(DU134="",TRUE,IF(input_faculty_category="",FALSE,SUMPRODUCT(--ISNUMBER(SEARCH(","&amp;TRIM(TEXTSPLIT(DU134,","))&amp;",",","&amp;SUBSTITUTE(input_faculty_category," ","")&amp;",")))=COUNTA(TEXTSPLIT(DU134,",")))),IF(DW134="",TRUE,IF(input_faculty_category="",TRUE,SUMPRODUCT(--ISNUMBER(SEARCH(","&amp;TRIM(TEXTSPLIT(DW134,","))&amp;",",","&amp;SUBSTITUTE(input_faculty_category," ","")&amp;",")))=0)),IF(DY134="",TRUE,IF(input_faculty_category="",FALSE,SUMPRODUCT(--ISNUMBER(SEARCH(","&amp;TRIM(TEXTSPLIT(DY134,","))&amp;",",","&amp;SUBSTITUTE(input_faculty_category," ","")&amp;",")))&gt;0)),IF(EA134="",TRUE,IF(input_faculty_category="",FALSE,SUMPRODUCT(--ISNUMBER(SEARCH(","&amp;TRIM(TEXTSPLIT(EA134,","))&amp;",",","&amp;SUBSTITUTE(input_faculty_category," ","")&amp;",")))=COUNTA(TEXTSPLIT(EA134,",")))))</f>
        <v/>
      </c>
      <c r="JF134">
        <f>AND(IF(EC134="",TRUE,IF(input_faculty_discipline="",FALSE,SUMPRODUCT(--ISNUMBER(SEARCH(","&amp;TRIM(TEXTSPLIT(EC134,","))&amp;",",","&amp;SUBSTITUTE(input_faculty_discipline," ","")&amp;",")))&gt;0)),IF(EE134="",TRUE,IF(input_faculty_discipline="",FALSE,SUMPRODUCT(--ISNUMBER(SEARCH(","&amp;TRIM(TEXTSPLIT(EE134,","))&amp;",",","&amp;SUBSTITUTE(input_faculty_discipline," ","")&amp;",")))=COUNTA(TEXTSPLIT(EE134,",")))),IF(EG134="",TRUE,IF(input_faculty_discipline="",TRUE,SUMPRODUCT(--ISNUMBER(SEARCH(","&amp;TRIM(TEXTSPLIT(EG134,","))&amp;",",","&amp;SUBSTITUTE(input_faculty_discipline," ","")&amp;",")))=0)),IF(EI134="",TRUE,IF(input_faculty_discipline="",FALSE,SUMPRODUCT(--ISNUMBER(SEARCH(","&amp;TRIM(TEXTSPLIT(EI134,","))&amp;",",","&amp;SUBSTITUTE(input_faculty_discipline," ","")&amp;",")))&gt;0)),IF(EK134="",TRUE,IF(input_faculty_discipline="",FALSE,SUMPRODUCT(--ISNUMBER(SEARCH(","&amp;TRIM(TEXTSPLIT(EK134,","))&amp;",",","&amp;SUBSTITUTE(input_faculty_discipline," ","")&amp;",")))=COUNTA(TEXTSPLIT(EK134,",")))))</f>
        <v/>
      </c>
      <c r="JG134">
        <f>AND(IF(EM134="",TRUE,IF(input_faculty_expertise="",FALSE,SUMPRODUCT(--ISNUMBER(SEARCH(","&amp;TRIM(TEXTSPLIT(EM134,","))&amp;",",","&amp;SUBSTITUTE(input_faculty_expertise," ","")&amp;",")))&gt;0)),IF(EO134="",TRUE,IF(input_faculty_expertise="",FALSE,SUMPRODUCT(--ISNUMBER(SEARCH(","&amp;TRIM(TEXTSPLIT(EO134,","))&amp;",",","&amp;SUBSTITUTE(input_faculty_expertise," ","")&amp;",")))=COUNTA(TEXTSPLIT(EO134,",")))),IF(EQ134="",TRUE,IF(input_faculty_expertise="",TRUE,SUMPRODUCT(--ISNUMBER(SEARCH(","&amp;TRIM(TEXTSPLIT(EQ134,","))&amp;",",","&amp;SUBSTITUTE(input_faculty_expertise," ","")&amp;",")))=0)),IF(ES134="",TRUE,IF(input_faculty_expertise="",FALSE,SUMPRODUCT(--ISNUMBER(SEARCH(","&amp;TRIM(TEXTSPLIT(ES134,","))&amp;",",","&amp;SUBSTITUTE(input_faculty_expertise," ","")&amp;",")))&gt;0)),IF(EU134="",TRUE,IF(input_faculty_expertise="",FALSE,SUMPRODUCT(--ISNUMBER(SEARCH(","&amp;TRIM(TEXTSPLIT(EU134,","))&amp;",",","&amp;SUBSTITUTE(input_faculty_expertise," ","")&amp;",")))=COUNTA(TEXTSPLIT(EU134,",")))))</f>
        <v/>
      </c>
      <c r="JH134">
        <f>AND(IF(EW134="",TRUE,IF(input_global_network_school="",FALSE,SUMPRODUCT(--ISNUMBER(SEARCH(","&amp;TRIM(TEXTSPLIT(EW134,","))&amp;",",","&amp;SUBSTITUTE(input_global_network_school," ","")&amp;",")))&gt;0)),IF(EY134="",TRUE,IF(input_global_network_school="",FALSE,SUMPRODUCT(--ISNUMBER(SEARCH(","&amp;TRIM(TEXTSPLIT(EY134,","))&amp;",",","&amp;SUBSTITUTE(input_global_network_school," ","")&amp;",")))=COUNTA(TEXTSPLIT(EY134,",")))),IF(FA134="",TRUE,IF(input_global_network_school="",TRUE,SUMPRODUCT(--ISNUMBER(SEARCH(","&amp;TRIM(TEXTSPLIT(FA134,","))&amp;",",","&amp;SUBSTITUTE(input_global_network_school," ","")&amp;",")))=0)),IF(FC134="",TRUE,IF(input_global_network_school="",FALSE,SUMPRODUCT(--ISNUMBER(SEARCH(","&amp;TRIM(TEXTSPLIT(FC134,","))&amp;",",","&amp;SUBSTITUTE(input_global_network_school," ","")&amp;",")))&gt;0)),IF(FE134="",TRUE,IF(input_global_network_school="",FALSE,SUMPRODUCT(--ISNUMBER(SEARCH(","&amp;TRIM(TEXTSPLIT(FE134,","))&amp;",",","&amp;SUBSTITUTE(input_global_network_school," ","")&amp;",")))=COUNTA(TEXTSPLIT(FE134,",")))))</f>
        <v/>
      </c>
      <c r="JI134">
        <f>AND(IF(FG134="",TRUE,IF(input_industry="",FALSE,SUMPRODUCT(--ISNUMBER(SEARCH(","&amp;TRIM(TEXTSPLIT(FG134,","))&amp;",",","&amp;SUBSTITUTE(input_industry," ","")&amp;",")))&gt;0)),IF(FI134="",TRUE,IF(input_industry="",FALSE,SUMPRODUCT(--ISNUMBER(SEARCH(","&amp;TRIM(TEXTSPLIT(FI134,","))&amp;",",","&amp;SUBSTITUTE(input_industry," ","")&amp;",")))=COUNTA(TEXTSPLIT(FI134,",")))),IF(FK134="",TRUE,IF(input_industry="",TRUE,SUMPRODUCT(--ISNUMBER(SEARCH(","&amp;TRIM(TEXTSPLIT(FK134,","))&amp;",",","&amp;SUBSTITUTE(input_industry," ","")&amp;",")))=0)),IF(FM134="",TRUE,IF(input_industry="",FALSE,SUMPRODUCT(--ISNUMBER(SEARCH(","&amp;TRIM(TEXTSPLIT(FM134,","))&amp;",",","&amp;SUBSTITUTE(input_industry," ","")&amp;",")))&gt;0)),IF(FO134="",TRUE,IF(input_industry="",FALSE,SUMPRODUCT(--ISNUMBER(SEARCH(","&amp;TRIM(TEXTSPLIT(FO134,","))&amp;",",","&amp;SUBSTITUTE(input_industry," ","")&amp;",")))=COUNTA(TEXTSPLIT(FO134,",")))))</f>
        <v/>
      </c>
      <c r="JJ134">
        <f>AND(IF(FQ134="",TRUE,IF(input_location="",FALSE,SUMPRODUCT(--ISNUMBER(SEARCH(","&amp;TRIM(TEXTSPLIT(FQ134,","))&amp;",",","&amp;SUBSTITUTE(input_location," ","")&amp;",")))&gt;0)),IF(FS134="",TRUE,IF(input_location="",FALSE,SUMPRODUCT(--ISNUMBER(SEARCH(","&amp;TRIM(TEXTSPLIT(FS134,","))&amp;",",","&amp;SUBSTITUTE(input_location," ","")&amp;",")))=COUNTA(TEXTSPLIT(FS134,",")))),IF(FU134="",TRUE,IF(input_location="",TRUE,SUMPRODUCT(--ISNUMBER(SEARCH(","&amp;TRIM(TEXTSPLIT(FU134,","))&amp;",",","&amp;SUBSTITUTE(input_location," ","")&amp;",")))=0)),IF(FW134="",TRUE,IF(input_location="",FALSE,SUMPRODUCT(--ISNUMBER(SEARCH(","&amp;TRIM(TEXTSPLIT(FW134,","))&amp;",",","&amp;SUBSTITUTE(input_location," ","")&amp;",")))&gt;0)),IF(FY134="",TRUE,IF(input_location="",FALSE,SUMPRODUCT(--ISNUMBER(SEARCH(","&amp;TRIM(TEXTSPLIT(FY134,","))&amp;",",","&amp;SUBSTITUTE(input_location," ","")&amp;",")))=COUNTA(TEXTSPLIT(FY134,",")))))</f>
        <v/>
      </c>
      <c r="JK134">
        <f>AND(IF(GA134="",TRUE,IF(input_modality="",FALSE,SUMPRODUCT(--ISNUMBER(SEARCH(","&amp;TRIM(TEXTSPLIT(GA134,","))&amp;",",","&amp;SUBSTITUTE(input_modality," ","")&amp;",")))&gt;0)),IF(GC134="",TRUE,IF(input_modality="",FALSE,SUMPRODUCT(--ISNUMBER(SEARCH(","&amp;TRIM(TEXTSPLIT(GC134,","))&amp;",",","&amp;SUBSTITUTE(input_modality," ","")&amp;",")))=COUNTA(TEXTSPLIT(GC134,",")))),IF(GE134="",TRUE,IF(input_modality="",TRUE,SUMPRODUCT(--ISNUMBER(SEARCH(","&amp;TRIM(TEXTSPLIT(GE134,","))&amp;",",","&amp;SUBSTITUTE(input_modality," ","")&amp;",")))=0)),IF(GG134="",TRUE,IF(input_modality="",FALSE,SUMPRODUCT(--ISNUMBER(SEARCH(","&amp;TRIM(TEXTSPLIT(GG134,","))&amp;",",","&amp;SUBSTITUTE(input_modality," ","")&amp;",")))&gt;0)),IF(GI134="",TRUE,IF(input_modality="",FALSE,SUMPRODUCT(--ISNUMBER(SEARCH(","&amp;TRIM(TEXTSPLIT(GI134,","))&amp;",",","&amp;SUBSTITUTE(input_modality," ","")&amp;",")))=COUNTA(TEXTSPLIT(GI134,",")))))</f>
        <v/>
      </c>
      <c r="JL134">
        <f>AND(IF(GK134="",TRUE,IF(input_organizer="",FALSE,SUMPRODUCT(--ISNUMBER(SEARCH(","&amp;TRIM(TEXTSPLIT(GK134,","))&amp;",",","&amp;SUBSTITUTE(input_organizer," ","")&amp;",")))&gt;0)),IF(GM134="",TRUE,IF(input_organizer="",FALSE,SUMPRODUCT(--ISNUMBER(SEARCH(","&amp;TRIM(TEXTSPLIT(GM134,","))&amp;",",","&amp;SUBSTITUTE(input_organizer," ","")&amp;",")))=COUNTA(TEXTSPLIT(GM134,",")))),IF(GO134="",TRUE,IF(input_organizer="",TRUE,SUMPRODUCT(--ISNUMBER(SEARCH(","&amp;TRIM(TEXTSPLIT(GO134,","))&amp;",",","&amp;SUBSTITUTE(input_organizer," ","")&amp;",")))=0)),IF(GQ134="",TRUE,IF(input_organizer="",FALSE,SUMPRODUCT(--ISNUMBER(SEARCH(","&amp;TRIM(TEXTSPLIT(GQ134,","))&amp;",",","&amp;SUBSTITUTE(input_organizer," ","")&amp;",")))&gt;0)),IF(GS134="",TRUE,IF(input_organizer="",FALSE,SUMPRODUCT(--ISNUMBER(SEARCH(","&amp;TRIM(TEXTSPLIT(GS134,","))&amp;",",","&amp;SUBSTITUTE(input_organizer," ","")&amp;",")))=COUNTA(TEXTSPLIT(GS134,",")))))</f>
        <v/>
      </c>
      <c r="JM134">
        <f>AND(IF(GU134="",TRUE,IF(input_profile_type="",FALSE,SUMPRODUCT(--ISNUMBER(SEARCH(","&amp;TRIM(TEXTSPLIT(GU134,","))&amp;",",","&amp;SUBSTITUTE(input_profile_type," ","")&amp;",")))&gt;0)),IF(GW134="",TRUE,IF(input_profile_type="",FALSE,SUMPRODUCT(--ISNUMBER(SEARCH(","&amp;TRIM(TEXTSPLIT(GW134,","))&amp;",",","&amp;SUBSTITUTE(input_profile_type," ","")&amp;",")))=COUNTA(TEXTSPLIT(GW134,",")))),IF(GY134="",TRUE,IF(input_profile_type="",TRUE,SUMPRODUCT(--ISNUMBER(SEARCH(","&amp;TRIM(TEXTSPLIT(GY134,","))&amp;",",","&amp;SUBSTITUTE(input_profile_type," ","")&amp;",")))=0)),IF(HA134="",TRUE,IF(input_profile_type="",FALSE,SUMPRODUCT(--ISNUMBER(SEARCH(","&amp;TRIM(TEXTSPLIT(HA134,","))&amp;",",","&amp;SUBSTITUTE(input_profile_type," ","")&amp;",")))&gt;0)),IF(HC134="",TRUE,IF(input_profile_type="",FALSE,SUMPRODUCT(--ISNUMBER(SEARCH(","&amp;TRIM(TEXTSPLIT(HC134,","))&amp;",",","&amp;SUBSTITUTE(input_profile_type," ","")&amp;",")))=COUNTA(TEXTSPLIT(HC134,",")))))</f>
        <v/>
      </c>
      <c r="JN134">
        <f>AND(IF(HE134="",TRUE,IF(input_program="",FALSE,SUMPRODUCT(--ISNUMBER(SEARCH(","&amp;TRIM(TEXTSPLIT(HE134,","))&amp;",",","&amp;SUBSTITUTE(input_program," ","")&amp;",")))&gt;0)),IF(HG134="",TRUE,IF(input_program="",FALSE,SUMPRODUCT(--ISNUMBER(SEARCH(","&amp;TRIM(TEXTSPLIT(HG134,","))&amp;",",","&amp;SUBSTITUTE(input_program," ","")&amp;",")))=COUNTA(TEXTSPLIT(HG134,",")))),IF(HI134="",TRUE,IF(input_program="",TRUE,SUMPRODUCT(--ISNUMBER(SEARCH(","&amp;TRIM(TEXTSPLIT(HI134,","))&amp;",",","&amp;SUBSTITUTE(input_program," ","")&amp;",")))=0)),IF(HK134="",TRUE,IF(input_program="",FALSE,SUMPRODUCT(--ISNUMBER(SEARCH(","&amp;TRIM(TEXTSPLIT(HK134,","))&amp;",",","&amp;SUBSTITUTE(input_program," ","")&amp;",")))&gt;0)),IF(HM134="",TRUE,IF(input_program="",FALSE,SUMPRODUCT(--ISNUMBER(SEARCH(","&amp;TRIM(TEXTSPLIT(HM134,","))&amp;",",","&amp;SUBSTITUTE(input_program," ","")&amp;",")))=COUNTA(TEXTSPLIT(HM134,",")))))</f>
        <v/>
      </c>
      <c r="JO134">
        <f>AND(IF(HO134="",TRUE,IF(input_story_categories="",FALSE,SUMPRODUCT(--ISNUMBER(SEARCH(","&amp;TRIM(TEXTSPLIT(HO134,","))&amp;",",","&amp;SUBSTITUTE(input_story_categories," ","")&amp;",")))&gt;0)),IF(HQ134="",TRUE,IF(input_story_categories="",FALSE,SUMPRODUCT(--ISNUMBER(SEARCH(","&amp;TRIM(TEXTSPLIT(HQ134,","))&amp;",",","&amp;SUBSTITUTE(input_story_categories," ","")&amp;",")))=COUNTA(TEXTSPLIT(HQ134,",")))),IF(HS134="",TRUE,IF(input_story_categories="",TRUE,SUMPRODUCT(--ISNUMBER(SEARCH(","&amp;TRIM(TEXTSPLIT(HS134,","))&amp;",",","&amp;SUBSTITUTE(input_story_categories," ","")&amp;",")))=0)),IF(HU134="",TRUE,IF(input_story_categories="",FALSE,SUMPRODUCT(--ISNUMBER(SEARCH(","&amp;TRIM(TEXTSPLIT(HU134,","))&amp;",",","&amp;SUBSTITUTE(input_story_categories," ","")&amp;",")))&gt;0)),IF(HW134="",TRUE,IF(input_story_categories="",FALSE,SUMPRODUCT(--ISNUMBER(SEARCH(","&amp;TRIM(TEXTSPLIT(HW134,","))&amp;",",","&amp;SUBSTITUTE(input_story_categories," ","")&amp;",")))=COUNTA(TEXTSPLIT(HW134,",")))))</f>
        <v/>
      </c>
      <c r="JP134">
        <f>AND(IF(HY134="",TRUE,IF(input_story_type="",FALSE,SUMPRODUCT(--ISNUMBER(SEARCH(","&amp;TRIM(TEXTSPLIT(HY134,","))&amp;",",","&amp;SUBSTITUTE(input_story_type," ","")&amp;",")))&gt;0)),IF(IA134="",TRUE,IF(input_story_type="",FALSE,SUMPRODUCT(--ISNUMBER(SEARCH(","&amp;TRIM(TEXTSPLIT(IA134,","))&amp;",",","&amp;SUBSTITUTE(input_story_type," ","")&amp;",")))=COUNTA(TEXTSPLIT(IA134,",")))),IF(IC134="",TRUE,IF(input_story_type="",TRUE,SUMPRODUCT(--ISNUMBER(SEARCH(","&amp;TRIM(TEXTSPLIT(IC134,","))&amp;",",","&amp;SUBSTITUTE(input_story_type," ","")&amp;",")))=0)),IF(IE134="",TRUE,IF(input_story_type="",FALSE,SUMPRODUCT(--ISNUMBER(SEARCH(","&amp;TRIM(TEXTSPLIT(IE134,","))&amp;",",","&amp;SUBSTITUTE(input_story_type," ","")&amp;",")))&gt;0)),IF(IG134="",TRUE,IF(input_story_type="",FALSE,SUMPRODUCT(--ISNUMBER(SEARCH(","&amp;TRIM(TEXTSPLIT(IG134,","))&amp;",",","&amp;SUBSTITUTE(input_story_type," ","")&amp;",")))=COUNTA(TEXTSPLIT(IG134,",")))))</f>
        <v/>
      </c>
      <c r="JQ134">
        <f>AND(IF(II134="",TRUE,IF(input_topics="",FALSE,SUMPRODUCT(--ISNUMBER(SEARCH(","&amp;TRIM(TEXTSPLIT(II134,","))&amp;",",","&amp;SUBSTITUTE(input_topics," ","")&amp;",")))&gt;0)),IF(IK134="",TRUE,IF(input_topics="",FALSE,SUMPRODUCT(--ISNUMBER(SEARCH(","&amp;TRIM(TEXTSPLIT(IK134,","))&amp;",",","&amp;SUBSTITUTE(input_topics," ","")&amp;",")))=COUNTA(TEXTSPLIT(IK134,",")))),IF(IM134="",TRUE,IF(input_topics="",TRUE,SUMPRODUCT(--ISNUMBER(SEARCH(","&amp;TRIM(TEXTSPLIT(IM134,","))&amp;",",","&amp;SUBSTITUTE(input_topics," ","")&amp;",")))=0)),IF(IO134="",TRUE,IF(input_topics="",FALSE,SUMPRODUCT(--ISNUMBER(SEARCH(","&amp;TRIM(TEXTSPLIT(IO134,","))&amp;",",","&amp;SUBSTITUTE(input_topics," ","")&amp;",")))&gt;0)),IF(IQ134="",TRUE,IF(input_topics="",FALSE,SUMPRODUCT(--ISNUMBER(SEARCH(","&amp;TRIM(TEXTSPLIT(IQ134,","))&amp;",",","&amp;SUBSTITUTE(input_topics," ","")&amp;",")))=COUNTA(TEXTSPLIT(IQ134,",")))))</f>
        <v/>
      </c>
    </row>
    <row r="135">
      <c r="A135" s="4">
        <f>IF(NOT(IS135),"Excluded",IF(AND(IT135,IU135,IV135,IW135,IX135,IY135,IZ135,JA135,JB135,JC135,JD135,JE135,JF135,JG135,JH135,JI135,JJ135,JK135,JL135,JM135,JN135,JO135,JP135,JQ135),IF(I135&gt;0,"Eligible but limited","Will appear"),"Excluded"))</f>
        <v/>
      </c>
      <c r="B135" s="4" t="inlineStr">
        <is>
          <t>News</t>
        </is>
      </c>
      <c r="C135" s="4" t="inlineStr">
        <is>
          <t>/centers/program-stakeholder-innovation-and-management/news/news</t>
        </is>
      </c>
      <c r="D135" s="4" t="inlineStr">
        <is>
          <t>/centers/program-stakeholder-innovation-and-management/news/news</t>
        </is>
      </c>
      <c r="E135" s="4" t="n">
        <v>1</v>
      </c>
      <c r="F135" s="4" t="inlineStr">
        <is>
          <t>story</t>
        </is>
      </c>
      <c r="G135" s="4" t="inlineStr">
        <is>
          <t>stories_list</t>
        </is>
      </c>
      <c r="H135" s="4" t="inlineStr">
        <is>
          <t>embed_news</t>
        </is>
      </c>
      <c r="I135" s="4" t="n">
        <v>10</v>
      </c>
      <c r="J135" s="4" t="inlineStr">
        <is>
          <t>Explicit args</t>
        </is>
      </c>
      <c r="K135" s="4" t="inlineStr">
        <is>
          <t>Page placement</t>
        </is>
      </c>
      <c r="L135" s="4" t="inlineStr">
        <is>
          <t>Content type: story; Context uses Courses Context: Program on Stakeholder Innovation and Management (1161); Needs any Story Type: News (924); Limited to 10 item(s); Source: Explicit args</t>
        </is>
      </c>
      <c r="M135" t="inlineStr"/>
      <c r="N135" t="inlineStr"/>
      <c r="O135" t="inlineStr"/>
      <c r="P135" t="inlineStr"/>
      <c r="Q135" t="inlineStr"/>
      <c r="R135" t="inlineStr"/>
      <c r="S135" t="inlineStr"/>
      <c r="T135" t="inlineStr"/>
      <c r="U135" t="inlineStr"/>
      <c r="V135" t="inlineStr"/>
      <c r="W135" t="inlineStr"/>
      <c r="X135" t="inlineStr"/>
      <c r="Y135" t="inlineStr"/>
      <c r="Z135" t="inlineStr"/>
      <c r="AA135" t="inlineStr"/>
      <c r="AB135" t="inlineStr"/>
      <c r="AC135" t="inlineStr"/>
      <c r="AD135" t="inlineStr"/>
      <c r="AE135" t="inlineStr"/>
      <c r="AF135" t="inlineStr"/>
      <c r="AG135" t="inlineStr"/>
      <c r="AH135" t="inlineStr"/>
      <c r="AI135" t="inlineStr"/>
      <c r="AJ135" t="inlineStr"/>
      <c r="AK135" t="inlineStr"/>
      <c r="AL135" t="inlineStr"/>
      <c r="AM135" t="inlineStr"/>
      <c r="AN135" t="inlineStr"/>
      <c r="AO135" t="inlineStr"/>
      <c r="AP135" t="inlineStr"/>
      <c r="AQ135" t="inlineStr"/>
      <c r="AR135" t="inlineStr"/>
      <c r="AS135" t="inlineStr"/>
      <c r="AT135" t="inlineStr"/>
      <c r="AU135" t="inlineStr"/>
      <c r="AV135" t="inlineStr"/>
      <c r="AW135" t="inlineStr"/>
      <c r="AX135" t="inlineStr"/>
      <c r="AY135" t="inlineStr"/>
      <c r="AZ135" t="inlineStr"/>
      <c r="BA135" t="inlineStr"/>
      <c r="BB135" t="inlineStr"/>
      <c r="BC135" t="inlineStr"/>
      <c r="BD135" t="inlineStr"/>
      <c r="BE135" t="inlineStr"/>
      <c r="BF135" t="inlineStr"/>
      <c r="BG135" t="inlineStr"/>
      <c r="BH135" t="inlineStr"/>
      <c r="BI135" t="inlineStr"/>
      <c r="BJ135" t="inlineStr"/>
      <c r="BK135" t="inlineStr"/>
      <c r="BL135" t="inlineStr"/>
      <c r="BM135" t="inlineStr"/>
      <c r="BN135" t="inlineStr"/>
      <c r="BO135" t="inlineStr"/>
      <c r="BP135" t="inlineStr"/>
      <c r="BQ135" t="inlineStr">
        <is>
          <t>1161</t>
        </is>
      </c>
      <c r="BR135" t="inlineStr">
        <is>
          <t>Program on Stakeholder Innovation and Management (1161)</t>
        </is>
      </c>
      <c r="BS135" t="inlineStr"/>
      <c r="BT135" t="inlineStr"/>
      <c r="BU135" t="inlineStr"/>
      <c r="BV135" t="inlineStr"/>
      <c r="BW135" t="inlineStr"/>
      <c r="BX135" t="inlineStr"/>
      <c r="BY135" t="inlineStr"/>
      <c r="BZ135" t="inlineStr"/>
      <c r="CA135" t="inlineStr"/>
      <c r="CB135" t="inlineStr"/>
      <c r="CC135" t="inlineStr"/>
      <c r="CD135" t="inlineStr"/>
      <c r="CE135" t="inlineStr"/>
      <c r="CF135" t="inlineStr"/>
      <c r="CG135" t="inlineStr"/>
      <c r="CH135" t="inlineStr"/>
      <c r="CI135" t="inlineStr"/>
      <c r="CJ135" t="inlineStr"/>
      <c r="CK135" t="inlineStr"/>
      <c r="CL135" t="inlineStr"/>
      <c r="CM135" t="inlineStr"/>
      <c r="CN135" t="inlineStr"/>
      <c r="CO135" t="inlineStr"/>
      <c r="CP135" t="inlineStr"/>
      <c r="CQ135" t="inlineStr"/>
      <c r="CR135" t="inlineStr"/>
      <c r="CS135" t="inlineStr"/>
      <c r="CT135" t="inlineStr"/>
      <c r="CU135" t="inlineStr"/>
      <c r="CV135" t="inlineStr"/>
      <c r="CW135" t="inlineStr"/>
      <c r="CX135" t="inlineStr"/>
      <c r="CY135" t="inlineStr"/>
      <c r="CZ135" t="inlineStr"/>
      <c r="DA135" t="inlineStr"/>
      <c r="DB135" t="inlineStr"/>
      <c r="DC135" t="inlineStr"/>
      <c r="DD135" t="inlineStr"/>
      <c r="DE135" t="inlineStr"/>
      <c r="DF135" t="inlineStr"/>
      <c r="DG135" t="inlineStr"/>
      <c r="DH135" t="inlineStr"/>
      <c r="DI135" t="inlineStr"/>
      <c r="DJ135" t="inlineStr"/>
      <c r="DK135" t="inlineStr"/>
      <c r="DL135" t="inlineStr"/>
      <c r="DM135" t="inlineStr"/>
      <c r="DN135" t="inlineStr"/>
      <c r="DO135" t="inlineStr"/>
      <c r="DP135" t="inlineStr"/>
      <c r="DQ135" t="inlineStr"/>
      <c r="DR135" t="inlineStr"/>
      <c r="DS135" t="inlineStr"/>
      <c r="DT135" t="inlineStr"/>
      <c r="DU135" t="inlineStr"/>
      <c r="DV135" t="inlineStr"/>
      <c r="DW135" t="inlineStr"/>
      <c r="DX135" t="inlineStr"/>
      <c r="DY135" t="inlineStr"/>
      <c r="DZ135" t="inlineStr"/>
      <c r="EA135" t="inlineStr"/>
      <c r="EB135" t="inlineStr"/>
      <c r="EC135" t="inlineStr"/>
      <c r="ED135" t="inlineStr"/>
      <c r="EE135" t="inlineStr"/>
      <c r="EF135" t="inlineStr"/>
      <c r="EG135" t="inlineStr"/>
      <c r="EH135" t="inlineStr"/>
      <c r="EI135" t="inlineStr"/>
      <c r="EJ135" t="inlineStr"/>
      <c r="EK135" t="inlineStr"/>
      <c r="EL135" t="inlineStr"/>
      <c r="EM135" t="inlineStr"/>
      <c r="EN135" t="inlineStr"/>
      <c r="EO135" t="inlineStr"/>
      <c r="EP135" t="inlineStr"/>
      <c r="EQ135" t="inlineStr"/>
      <c r="ER135" t="inlineStr"/>
      <c r="ES135" t="inlineStr"/>
      <c r="ET135" t="inlineStr"/>
      <c r="EU135" t="inlineStr"/>
      <c r="EV135" t="inlineStr"/>
      <c r="EW135" t="inlineStr"/>
      <c r="EX135" t="inlineStr"/>
      <c r="EY135" t="inlineStr"/>
      <c r="EZ135" t="inlineStr"/>
      <c r="FA135" t="inlineStr"/>
      <c r="FB135" t="inlineStr"/>
      <c r="FC135" t="inlineStr"/>
      <c r="FD135" t="inlineStr"/>
      <c r="FE135" t="inlineStr"/>
      <c r="FF135" t="inlineStr"/>
      <c r="FG135" t="inlineStr"/>
      <c r="FH135" t="inlineStr"/>
      <c r="FI135" t="inlineStr"/>
      <c r="FJ135" t="inlineStr"/>
      <c r="FK135" t="inlineStr"/>
      <c r="FL135" t="inlineStr"/>
      <c r="FM135" t="inlineStr"/>
      <c r="FN135" t="inlineStr"/>
      <c r="FO135" t="inlineStr"/>
      <c r="FP135" t="inlineStr"/>
      <c r="FQ135" t="inlineStr"/>
      <c r="FR135" t="inlineStr"/>
      <c r="FS135" t="inlineStr"/>
      <c r="FT135" t="inlineStr"/>
      <c r="FU135" t="inlineStr"/>
      <c r="FV135" t="inlineStr"/>
      <c r="FW135" t="inlineStr"/>
      <c r="FX135" t="inlineStr"/>
      <c r="FY135" t="inlineStr"/>
      <c r="FZ135" t="inlineStr"/>
      <c r="GA135" t="inlineStr"/>
      <c r="GB135" t="inlineStr"/>
      <c r="GC135" t="inlineStr"/>
      <c r="GD135" t="inlineStr"/>
      <c r="GE135" t="inlineStr"/>
      <c r="GF135" t="inlineStr"/>
      <c r="GG135" t="inlineStr"/>
      <c r="GH135" t="inlineStr"/>
      <c r="GI135" t="inlineStr"/>
      <c r="GJ135" t="inlineStr"/>
      <c r="GK135" t="inlineStr"/>
      <c r="GL135" t="inlineStr"/>
      <c r="GM135" t="inlineStr"/>
      <c r="GN135" t="inlineStr"/>
      <c r="GO135" t="inlineStr"/>
      <c r="GP135" t="inlineStr"/>
      <c r="GQ135" t="inlineStr"/>
      <c r="GR135" t="inlineStr"/>
      <c r="GS135" t="inlineStr"/>
      <c r="GT135" t="inlineStr"/>
      <c r="GU135" t="inlineStr"/>
      <c r="GV135" t="inlineStr"/>
      <c r="GW135" t="inlineStr"/>
      <c r="GX135" t="inlineStr"/>
      <c r="GY135" t="inlineStr"/>
      <c r="GZ135" t="inlineStr"/>
      <c r="HA135" t="inlineStr"/>
      <c r="HB135" t="inlineStr"/>
      <c r="HC135" t="inlineStr"/>
      <c r="HD135" t="inlineStr"/>
      <c r="HE135" t="inlineStr"/>
      <c r="HF135" t="inlineStr"/>
      <c r="HG135" t="inlineStr"/>
      <c r="HH135" t="inlineStr"/>
      <c r="HI135" t="inlineStr"/>
      <c r="HJ135" t="inlineStr"/>
      <c r="HK135" t="inlineStr"/>
      <c r="HL135" t="inlineStr"/>
      <c r="HM135" t="inlineStr"/>
      <c r="HN135" t="inlineStr"/>
      <c r="HO135" t="inlineStr"/>
      <c r="HP135" t="inlineStr"/>
      <c r="HQ135" t="inlineStr"/>
      <c r="HR135" t="inlineStr"/>
      <c r="HS135" t="inlineStr"/>
      <c r="HT135" t="inlineStr"/>
      <c r="HU135" t="inlineStr"/>
      <c r="HV135" t="inlineStr"/>
      <c r="HW135" t="inlineStr"/>
      <c r="HX135" t="inlineStr"/>
      <c r="HY135" t="inlineStr">
        <is>
          <t>924</t>
        </is>
      </c>
      <c r="HZ135" t="inlineStr">
        <is>
          <t>News (924)</t>
        </is>
      </c>
      <c r="IA135" t="inlineStr"/>
      <c r="IB135" t="inlineStr"/>
      <c r="IC135" t="inlineStr"/>
      <c r="ID135" t="inlineStr"/>
      <c r="IE135" t="inlineStr"/>
      <c r="IF135" t="inlineStr"/>
      <c r="IG135" t="inlineStr"/>
      <c r="IH135" t="inlineStr"/>
      <c r="II135" t="inlineStr"/>
      <c r="IJ135" t="inlineStr"/>
      <c r="IK135" t="inlineStr"/>
      <c r="IL135" t="inlineStr"/>
      <c r="IM135" t="inlineStr"/>
      <c r="IN135" t="inlineStr"/>
      <c r="IO135" t="inlineStr"/>
      <c r="IP135" t="inlineStr"/>
      <c r="IQ135" t="inlineStr"/>
      <c r="IR135" t="inlineStr"/>
      <c r="IS135">
        <f>IF(input_content_type="",FALSE,ISNUMBER(SEARCH(","&amp;LOWER(input_content_type)&amp;",",","&amp;LOWER(F135)&amp;",")))</f>
        <v/>
      </c>
      <c r="IT135">
        <f>AND(IF(M135="",TRUE,IF(input_affiliations="",FALSE,SUMPRODUCT(--ISNUMBER(SEARCH(","&amp;TRIM(TEXTSPLIT(M135,","))&amp;",",","&amp;SUBSTITUTE(input_affiliations," ","")&amp;",")))&gt;0)),IF(O135="",TRUE,IF(input_affiliations="",FALSE,SUMPRODUCT(--ISNUMBER(SEARCH(","&amp;TRIM(TEXTSPLIT(O135,","))&amp;",",","&amp;SUBSTITUTE(input_affiliations," ","")&amp;",")))=COUNTA(TEXTSPLIT(O135,",")))),IF(Q135="",TRUE,IF(input_affiliations="",TRUE,SUMPRODUCT(--ISNUMBER(SEARCH(","&amp;TRIM(TEXTSPLIT(Q135,","))&amp;",",","&amp;SUBSTITUTE(input_affiliations," ","")&amp;",")))=0)),IF(S135="",TRUE,IF(input_affiliations="",FALSE,SUMPRODUCT(--ISNUMBER(SEARCH(","&amp;TRIM(TEXTSPLIT(S135,","))&amp;",",","&amp;SUBSTITUTE(input_affiliations," ","")&amp;",")))&gt;0)),IF(U135="",TRUE,IF(input_affiliations="",FALSE,SUMPRODUCT(--ISNUMBER(SEARCH(","&amp;TRIM(TEXTSPLIT(U135,","))&amp;",",","&amp;SUBSTITUTE(input_affiliations," ","")&amp;",")))=COUNTA(TEXTSPLIT(U135,",")))))</f>
        <v/>
      </c>
      <c r="IU135">
        <f>AND(IF(W135="",TRUE,IF(input_announcement_category="",FALSE,SUMPRODUCT(--ISNUMBER(SEARCH(","&amp;TRIM(TEXTSPLIT(W135,","))&amp;",",","&amp;SUBSTITUTE(input_announcement_category," ","")&amp;",")))&gt;0)),IF(Y135="",TRUE,IF(input_announcement_category="",FALSE,SUMPRODUCT(--ISNUMBER(SEARCH(","&amp;TRIM(TEXTSPLIT(Y135,","))&amp;",",","&amp;SUBSTITUTE(input_announcement_category," ","")&amp;",")))=COUNTA(TEXTSPLIT(Y135,",")))),IF(AA135="",TRUE,IF(input_announcement_category="",TRUE,SUMPRODUCT(--ISNUMBER(SEARCH(","&amp;TRIM(TEXTSPLIT(AA135,","))&amp;",",","&amp;SUBSTITUTE(input_announcement_category," ","")&amp;",")))=0)),IF(AC135="",TRUE,IF(input_announcement_category="",FALSE,SUMPRODUCT(--ISNUMBER(SEARCH(","&amp;TRIM(TEXTSPLIT(AC135,","))&amp;",",","&amp;SUBSTITUTE(input_announcement_category," ","")&amp;",")))&gt;0)),IF(AE135="",TRUE,IF(input_announcement_category="",FALSE,SUMPRODUCT(--ISNUMBER(SEARCH(","&amp;TRIM(TEXTSPLIT(AE135,","))&amp;",",","&amp;SUBSTITUTE(input_announcement_category," ","")&amp;",")))=COUNTA(TEXTSPLIT(AE135,",")))))</f>
        <v/>
      </c>
      <c r="IV135">
        <f>AND(IF(AG135="",TRUE,IF(input_area_of_focus="",FALSE,SUMPRODUCT(--ISNUMBER(SEARCH(","&amp;TRIM(TEXTSPLIT(AG135,","))&amp;",",","&amp;SUBSTITUTE(input_area_of_focus," ","")&amp;",")))&gt;0)),IF(AI135="",TRUE,IF(input_area_of_focus="",FALSE,SUMPRODUCT(--ISNUMBER(SEARCH(","&amp;TRIM(TEXTSPLIT(AI135,","))&amp;",",","&amp;SUBSTITUTE(input_area_of_focus," ","")&amp;",")))=COUNTA(TEXTSPLIT(AI135,",")))),IF(AK135="",TRUE,IF(input_area_of_focus="",TRUE,SUMPRODUCT(--ISNUMBER(SEARCH(","&amp;TRIM(TEXTSPLIT(AK135,","))&amp;",",","&amp;SUBSTITUTE(input_area_of_focus," ","")&amp;",")))=0)),IF(AM135="",TRUE,IF(input_area_of_focus="",FALSE,SUMPRODUCT(--ISNUMBER(SEARCH(","&amp;TRIM(TEXTSPLIT(AM135,","))&amp;",",","&amp;SUBSTITUTE(input_area_of_focus," ","")&amp;",")))&gt;0)),IF(AO135="",TRUE,IF(input_area_of_focus="",FALSE,SUMPRODUCT(--ISNUMBER(SEARCH(","&amp;TRIM(TEXTSPLIT(AO135,","))&amp;",",","&amp;SUBSTITUTE(input_area_of_focus," ","")&amp;",")))=COUNTA(TEXTSPLIT(AO135,",")))))</f>
        <v/>
      </c>
      <c r="IW135">
        <f>AND(IF(AQ135="",TRUE,IF(input_audience="",FALSE,SUMPRODUCT(--ISNUMBER(SEARCH(","&amp;TRIM(TEXTSPLIT(AQ135,","))&amp;",",","&amp;SUBSTITUTE(input_audience," ","")&amp;",")))&gt;0)),IF(AS135="",TRUE,IF(input_audience="",FALSE,SUMPRODUCT(--ISNUMBER(SEARCH(","&amp;TRIM(TEXTSPLIT(AS135,","))&amp;",",","&amp;SUBSTITUTE(input_audience," ","")&amp;",")))=COUNTA(TEXTSPLIT(AS135,",")))),IF(AU135="",TRUE,IF(input_audience="",TRUE,SUMPRODUCT(--ISNUMBER(SEARCH(","&amp;TRIM(TEXTSPLIT(AU135,","))&amp;",",","&amp;SUBSTITUTE(input_audience," ","")&amp;",")))=0)),IF(AW135="",TRUE,IF(input_audience="",FALSE,SUMPRODUCT(--ISNUMBER(SEARCH(","&amp;TRIM(TEXTSPLIT(AW135,","))&amp;",",","&amp;SUBSTITUTE(input_audience," ","")&amp;",")))&gt;0)),IF(AY135="",TRUE,IF(input_audience="",FALSE,SUMPRODUCT(--ISNUMBER(SEARCH(","&amp;TRIM(TEXTSPLIT(AY135,","))&amp;",",","&amp;SUBSTITUTE(input_audience," ","")&amp;",")))=COUNTA(TEXTSPLIT(AY135,",")))))</f>
        <v/>
      </c>
      <c r="IX135">
        <f>AND(IF(BA135="",TRUE,IF(input_challenge_opportunities="",FALSE,SUMPRODUCT(--ISNUMBER(SEARCH(","&amp;TRIM(TEXTSPLIT(BA135,","))&amp;",",","&amp;SUBSTITUTE(input_challenge_opportunities," ","")&amp;",")))&gt;0)),IF(BC135="",TRUE,IF(input_challenge_opportunities="",FALSE,SUMPRODUCT(--ISNUMBER(SEARCH(","&amp;TRIM(TEXTSPLIT(BC135,","))&amp;",",","&amp;SUBSTITUTE(input_challenge_opportunities," ","")&amp;",")))=COUNTA(TEXTSPLIT(BC135,",")))),IF(BE135="",TRUE,IF(input_challenge_opportunities="",TRUE,SUMPRODUCT(--ISNUMBER(SEARCH(","&amp;TRIM(TEXTSPLIT(BE135,","))&amp;",",","&amp;SUBSTITUTE(input_challenge_opportunities," ","")&amp;",")))=0)),IF(BG135="",TRUE,IF(input_challenge_opportunities="",FALSE,SUMPRODUCT(--ISNUMBER(SEARCH(","&amp;TRIM(TEXTSPLIT(BG135,","))&amp;",",","&amp;SUBSTITUTE(input_challenge_opportunities," ","")&amp;",")))&gt;0)),IF(BI135="",TRUE,IF(input_challenge_opportunities="",FALSE,SUMPRODUCT(--ISNUMBER(SEARCH(","&amp;TRIM(TEXTSPLIT(BI135,","))&amp;",",","&amp;SUBSTITUTE(input_challenge_opportunities," ","")&amp;",")))=COUNTA(TEXTSPLIT(BI135,",")))))</f>
        <v/>
      </c>
      <c r="IY135">
        <f>AND(IF(BK135="",TRUE,IF(input_context="",FALSE,SUMPRODUCT(--ISNUMBER(SEARCH(","&amp;TRIM(TEXTSPLIT(BK135,","))&amp;",",","&amp;SUBSTITUTE(input_context," ","")&amp;",")))&gt;0)),IF(BM135="",TRUE,IF(input_context="",FALSE,SUMPRODUCT(--ISNUMBER(SEARCH(","&amp;TRIM(TEXTSPLIT(BM135,","))&amp;",",","&amp;SUBSTITUTE(input_context," ","")&amp;",")))=COUNTA(TEXTSPLIT(BM135,",")))),IF(BO135="",TRUE,IF(input_context="",TRUE,SUMPRODUCT(--ISNUMBER(SEARCH(","&amp;TRIM(TEXTSPLIT(BO135,","))&amp;",",","&amp;SUBSTITUTE(input_context," ","")&amp;",")))=0)),IF(BQ135="",TRUE,IF(input_context="",FALSE,SUMPRODUCT(--ISNUMBER(SEARCH(","&amp;TRIM(TEXTSPLIT(BQ135,","))&amp;",",","&amp;SUBSTITUTE(input_context," ","")&amp;",")))&gt;0)),IF(BS135="",TRUE,IF(input_context="",FALSE,SUMPRODUCT(--ISNUMBER(SEARCH(","&amp;TRIM(TEXTSPLIT(BS135,","))&amp;",",","&amp;SUBSTITUTE(input_context," ","")&amp;",")))=COUNTA(TEXTSPLIT(BS135,",")))))</f>
        <v/>
      </c>
      <c r="IZ135">
        <f>AND(IF(BU135="",TRUE,IF(input_enews_announcement_type="",FALSE,SUMPRODUCT(--ISNUMBER(SEARCH(","&amp;TRIM(TEXTSPLIT(BU135,","))&amp;",",","&amp;SUBSTITUTE(input_enews_announcement_type," ","")&amp;",")))&gt;0)),IF(BW135="",TRUE,IF(input_enews_announcement_type="",FALSE,SUMPRODUCT(--ISNUMBER(SEARCH(","&amp;TRIM(TEXTSPLIT(BW135,","))&amp;",",","&amp;SUBSTITUTE(input_enews_announcement_type," ","")&amp;",")))=COUNTA(TEXTSPLIT(BW135,",")))),IF(BY135="",TRUE,IF(input_enews_announcement_type="",TRUE,SUMPRODUCT(--ISNUMBER(SEARCH(","&amp;TRIM(TEXTSPLIT(BY135,","))&amp;",",","&amp;SUBSTITUTE(input_enews_announcement_type," ","")&amp;",")))=0)),IF(CA135="",TRUE,IF(input_enews_announcement_type="",FALSE,SUMPRODUCT(--ISNUMBER(SEARCH(","&amp;TRIM(TEXTSPLIT(CA135,","))&amp;",",","&amp;SUBSTITUTE(input_enews_announcement_type," ","")&amp;",")))&gt;0)),IF(CC135="",TRUE,IF(input_enews_announcement_type="",FALSE,SUMPRODUCT(--ISNUMBER(SEARCH(","&amp;TRIM(TEXTSPLIT(CC135,","))&amp;",",","&amp;SUBSTITUTE(input_enews_announcement_type," ","")&amp;",")))=COUNTA(TEXTSPLIT(CC135,",")))))</f>
        <v/>
      </c>
      <c r="JA135">
        <f>AND(IF(CE135="",TRUE,IF(input_enews_audience="",FALSE,SUMPRODUCT(--ISNUMBER(SEARCH(","&amp;TRIM(TEXTSPLIT(CE135,","))&amp;",",","&amp;SUBSTITUTE(input_enews_audience," ","")&amp;",")))&gt;0)),IF(CG135="",TRUE,IF(input_enews_audience="",FALSE,SUMPRODUCT(--ISNUMBER(SEARCH(","&amp;TRIM(TEXTSPLIT(CG135,","))&amp;",",","&amp;SUBSTITUTE(input_enews_audience," ","")&amp;",")))=COUNTA(TEXTSPLIT(CG135,",")))),IF(CI135="",TRUE,IF(input_enews_audience="",TRUE,SUMPRODUCT(--ISNUMBER(SEARCH(","&amp;TRIM(TEXTSPLIT(CI135,","))&amp;",",","&amp;SUBSTITUTE(input_enews_audience," ","")&amp;",")))=0)),IF(CK135="",TRUE,IF(input_enews_audience="",FALSE,SUMPRODUCT(--ISNUMBER(SEARCH(","&amp;TRIM(TEXTSPLIT(CK135,","))&amp;",",","&amp;SUBSTITUTE(input_enews_audience," ","")&amp;",")))&gt;0)),IF(CM135="",TRUE,IF(input_enews_audience="",FALSE,SUMPRODUCT(--ISNUMBER(SEARCH(","&amp;TRIM(TEXTSPLIT(CM135,","))&amp;",",","&amp;SUBSTITUTE(input_enews_audience," ","")&amp;",")))=COUNTA(TEXTSPLIT(CM135,",")))))</f>
        <v/>
      </c>
      <c r="JB135">
        <f>AND(IF(CO135="",TRUE,IF(input_event_location="",FALSE,SUMPRODUCT(--ISNUMBER(SEARCH(","&amp;TRIM(TEXTSPLIT(CO135,","))&amp;",",","&amp;SUBSTITUTE(input_event_location," ","")&amp;",")))&gt;0)),IF(CQ135="",TRUE,IF(input_event_location="",FALSE,SUMPRODUCT(--ISNUMBER(SEARCH(","&amp;TRIM(TEXTSPLIT(CQ135,","))&amp;",",","&amp;SUBSTITUTE(input_event_location," ","")&amp;",")))=COUNTA(TEXTSPLIT(CQ135,",")))),IF(CS135="",TRUE,IF(input_event_location="",TRUE,SUMPRODUCT(--ISNUMBER(SEARCH(","&amp;TRIM(TEXTSPLIT(CS135,","))&amp;",",","&amp;SUBSTITUTE(input_event_location," ","")&amp;",")))=0)),IF(CU135="",TRUE,IF(input_event_location="",FALSE,SUMPRODUCT(--ISNUMBER(SEARCH(","&amp;TRIM(TEXTSPLIT(CU135,","))&amp;",",","&amp;SUBSTITUTE(input_event_location," ","")&amp;",")))&gt;0)),IF(CW135="",TRUE,IF(input_event_location="",FALSE,SUMPRODUCT(--ISNUMBER(SEARCH(","&amp;TRIM(TEXTSPLIT(CW135,","))&amp;",",","&amp;SUBSTITUTE(input_event_location," ","")&amp;",")))=COUNTA(TEXTSPLIT(CW135,",")))))</f>
        <v/>
      </c>
      <c r="JC135">
        <f>AND(IF(CY135="",TRUE,IF(input_event_type="",FALSE,SUMPRODUCT(--ISNUMBER(SEARCH(","&amp;TRIM(TEXTSPLIT(CY135,","))&amp;",",","&amp;SUBSTITUTE(input_event_type," ","")&amp;",")))&gt;0)),IF(DA135="",TRUE,IF(input_event_type="",FALSE,SUMPRODUCT(--ISNUMBER(SEARCH(","&amp;TRIM(TEXTSPLIT(DA135,","))&amp;",",","&amp;SUBSTITUTE(input_event_type," ","")&amp;",")))=COUNTA(TEXTSPLIT(DA135,",")))),IF(DC135="",TRUE,IF(input_event_type="",TRUE,SUMPRODUCT(--ISNUMBER(SEARCH(","&amp;TRIM(TEXTSPLIT(DC135,","))&amp;",",","&amp;SUBSTITUTE(input_event_type," ","")&amp;",")))=0)),IF(DE135="",TRUE,IF(input_event_type="",FALSE,SUMPRODUCT(--ISNUMBER(SEARCH(","&amp;TRIM(TEXTSPLIT(DE135,","))&amp;",",","&amp;SUBSTITUTE(input_event_type," ","")&amp;",")))&gt;0)),IF(DG135="",TRUE,IF(input_event_type="",FALSE,SUMPRODUCT(--ISNUMBER(SEARCH(","&amp;TRIM(TEXTSPLIT(DG135,","))&amp;",",","&amp;SUBSTITUTE(input_event_type," ","")&amp;",")))=COUNTA(TEXTSPLIT(DG135,",")))))</f>
        <v/>
      </c>
      <c r="JD135">
        <f>AND(IF(DI135="",TRUE,IF(input_executive_education_focus="",FALSE,SUMPRODUCT(--ISNUMBER(SEARCH(","&amp;TRIM(TEXTSPLIT(DI135,","))&amp;",",","&amp;SUBSTITUTE(input_executive_education_focus," ","")&amp;",")))&gt;0)),IF(DK135="",TRUE,IF(input_executive_education_focus="",FALSE,SUMPRODUCT(--ISNUMBER(SEARCH(","&amp;TRIM(TEXTSPLIT(DK135,","))&amp;",",","&amp;SUBSTITUTE(input_executive_education_focus," ","")&amp;",")))=COUNTA(TEXTSPLIT(DK135,",")))),IF(DM135="",TRUE,IF(input_executive_education_focus="",TRUE,SUMPRODUCT(--ISNUMBER(SEARCH(","&amp;TRIM(TEXTSPLIT(DM135,","))&amp;",",","&amp;SUBSTITUTE(input_executive_education_focus," ","")&amp;",")))=0)),IF(DO135="",TRUE,IF(input_executive_education_focus="",FALSE,SUMPRODUCT(--ISNUMBER(SEARCH(","&amp;TRIM(TEXTSPLIT(DO135,","))&amp;",",","&amp;SUBSTITUTE(input_executive_education_focus," ","")&amp;",")))&gt;0)),IF(DQ135="",TRUE,IF(input_executive_education_focus="",FALSE,SUMPRODUCT(--ISNUMBER(SEARCH(","&amp;TRIM(TEXTSPLIT(DQ135,","))&amp;",",","&amp;SUBSTITUTE(input_executive_education_focus," ","")&amp;",")))=COUNTA(TEXTSPLIT(DQ135,",")))))</f>
        <v/>
      </c>
      <c r="JE135">
        <f>AND(IF(DS135="",TRUE,IF(input_faculty_category="",FALSE,SUMPRODUCT(--ISNUMBER(SEARCH(","&amp;TRIM(TEXTSPLIT(DS135,","))&amp;",",","&amp;SUBSTITUTE(input_faculty_category," ","")&amp;",")))&gt;0)),IF(DU135="",TRUE,IF(input_faculty_category="",FALSE,SUMPRODUCT(--ISNUMBER(SEARCH(","&amp;TRIM(TEXTSPLIT(DU135,","))&amp;",",","&amp;SUBSTITUTE(input_faculty_category," ","")&amp;",")))=COUNTA(TEXTSPLIT(DU135,",")))),IF(DW135="",TRUE,IF(input_faculty_category="",TRUE,SUMPRODUCT(--ISNUMBER(SEARCH(","&amp;TRIM(TEXTSPLIT(DW135,","))&amp;",",","&amp;SUBSTITUTE(input_faculty_category," ","")&amp;",")))=0)),IF(DY135="",TRUE,IF(input_faculty_category="",FALSE,SUMPRODUCT(--ISNUMBER(SEARCH(","&amp;TRIM(TEXTSPLIT(DY135,","))&amp;",",","&amp;SUBSTITUTE(input_faculty_category," ","")&amp;",")))&gt;0)),IF(EA135="",TRUE,IF(input_faculty_category="",FALSE,SUMPRODUCT(--ISNUMBER(SEARCH(","&amp;TRIM(TEXTSPLIT(EA135,","))&amp;",",","&amp;SUBSTITUTE(input_faculty_category," ","")&amp;",")))=COUNTA(TEXTSPLIT(EA135,",")))))</f>
        <v/>
      </c>
      <c r="JF135">
        <f>AND(IF(EC135="",TRUE,IF(input_faculty_discipline="",FALSE,SUMPRODUCT(--ISNUMBER(SEARCH(","&amp;TRIM(TEXTSPLIT(EC135,","))&amp;",",","&amp;SUBSTITUTE(input_faculty_discipline," ","")&amp;",")))&gt;0)),IF(EE135="",TRUE,IF(input_faculty_discipline="",FALSE,SUMPRODUCT(--ISNUMBER(SEARCH(","&amp;TRIM(TEXTSPLIT(EE135,","))&amp;",",","&amp;SUBSTITUTE(input_faculty_discipline," ","")&amp;",")))=COUNTA(TEXTSPLIT(EE135,",")))),IF(EG135="",TRUE,IF(input_faculty_discipline="",TRUE,SUMPRODUCT(--ISNUMBER(SEARCH(","&amp;TRIM(TEXTSPLIT(EG135,","))&amp;",",","&amp;SUBSTITUTE(input_faculty_discipline," ","")&amp;",")))=0)),IF(EI135="",TRUE,IF(input_faculty_discipline="",FALSE,SUMPRODUCT(--ISNUMBER(SEARCH(","&amp;TRIM(TEXTSPLIT(EI135,","))&amp;",",","&amp;SUBSTITUTE(input_faculty_discipline," ","")&amp;",")))&gt;0)),IF(EK135="",TRUE,IF(input_faculty_discipline="",FALSE,SUMPRODUCT(--ISNUMBER(SEARCH(","&amp;TRIM(TEXTSPLIT(EK135,","))&amp;",",","&amp;SUBSTITUTE(input_faculty_discipline," ","")&amp;",")))=COUNTA(TEXTSPLIT(EK135,",")))))</f>
        <v/>
      </c>
      <c r="JG135">
        <f>AND(IF(EM135="",TRUE,IF(input_faculty_expertise="",FALSE,SUMPRODUCT(--ISNUMBER(SEARCH(","&amp;TRIM(TEXTSPLIT(EM135,","))&amp;",",","&amp;SUBSTITUTE(input_faculty_expertise," ","")&amp;",")))&gt;0)),IF(EO135="",TRUE,IF(input_faculty_expertise="",FALSE,SUMPRODUCT(--ISNUMBER(SEARCH(","&amp;TRIM(TEXTSPLIT(EO135,","))&amp;",",","&amp;SUBSTITUTE(input_faculty_expertise," ","")&amp;",")))=COUNTA(TEXTSPLIT(EO135,",")))),IF(EQ135="",TRUE,IF(input_faculty_expertise="",TRUE,SUMPRODUCT(--ISNUMBER(SEARCH(","&amp;TRIM(TEXTSPLIT(EQ135,","))&amp;",",","&amp;SUBSTITUTE(input_faculty_expertise," ","")&amp;",")))=0)),IF(ES135="",TRUE,IF(input_faculty_expertise="",FALSE,SUMPRODUCT(--ISNUMBER(SEARCH(","&amp;TRIM(TEXTSPLIT(ES135,","))&amp;",",","&amp;SUBSTITUTE(input_faculty_expertise," ","")&amp;",")))&gt;0)),IF(EU135="",TRUE,IF(input_faculty_expertise="",FALSE,SUMPRODUCT(--ISNUMBER(SEARCH(","&amp;TRIM(TEXTSPLIT(EU135,","))&amp;",",","&amp;SUBSTITUTE(input_faculty_expertise," ","")&amp;",")))=COUNTA(TEXTSPLIT(EU135,",")))))</f>
        <v/>
      </c>
      <c r="JH135">
        <f>AND(IF(EW135="",TRUE,IF(input_global_network_school="",FALSE,SUMPRODUCT(--ISNUMBER(SEARCH(","&amp;TRIM(TEXTSPLIT(EW135,","))&amp;",",","&amp;SUBSTITUTE(input_global_network_school," ","")&amp;",")))&gt;0)),IF(EY135="",TRUE,IF(input_global_network_school="",FALSE,SUMPRODUCT(--ISNUMBER(SEARCH(","&amp;TRIM(TEXTSPLIT(EY135,","))&amp;",",","&amp;SUBSTITUTE(input_global_network_school," ","")&amp;",")))=COUNTA(TEXTSPLIT(EY135,",")))),IF(FA135="",TRUE,IF(input_global_network_school="",TRUE,SUMPRODUCT(--ISNUMBER(SEARCH(","&amp;TRIM(TEXTSPLIT(FA135,","))&amp;",",","&amp;SUBSTITUTE(input_global_network_school," ","")&amp;",")))=0)),IF(FC135="",TRUE,IF(input_global_network_school="",FALSE,SUMPRODUCT(--ISNUMBER(SEARCH(","&amp;TRIM(TEXTSPLIT(FC135,","))&amp;",",","&amp;SUBSTITUTE(input_global_network_school," ","")&amp;",")))&gt;0)),IF(FE135="",TRUE,IF(input_global_network_school="",FALSE,SUMPRODUCT(--ISNUMBER(SEARCH(","&amp;TRIM(TEXTSPLIT(FE135,","))&amp;",",","&amp;SUBSTITUTE(input_global_network_school," ","")&amp;",")))=COUNTA(TEXTSPLIT(FE135,",")))))</f>
        <v/>
      </c>
      <c r="JI135">
        <f>AND(IF(FG135="",TRUE,IF(input_industry="",FALSE,SUMPRODUCT(--ISNUMBER(SEARCH(","&amp;TRIM(TEXTSPLIT(FG135,","))&amp;",",","&amp;SUBSTITUTE(input_industry," ","")&amp;",")))&gt;0)),IF(FI135="",TRUE,IF(input_industry="",FALSE,SUMPRODUCT(--ISNUMBER(SEARCH(","&amp;TRIM(TEXTSPLIT(FI135,","))&amp;",",","&amp;SUBSTITUTE(input_industry," ","")&amp;",")))=COUNTA(TEXTSPLIT(FI135,",")))),IF(FK135="",TRUE,IF(input_industry="",TRUE,SUMPRODUCT(--ISNUMBER(SEARCH(","&amp;TRIM(TEXTSPLIT(FK135,","))&amp;",",","&amp;SUBSTITUTE(input_industry," ","")&amp;",")))=0)),IF(FM135="",TRUE,IF(input_industry="",FALSE,SUMPRODUCT(--ISNUMBER(SEARCH(","&amp;TRIM(TEXTSPLIT(FM135,","))&amp;",",","&amp;SUBSTITUTE(input_industry," ","")&amp;",")))&gt;0)),IF(FO135="",TRUE,IF(input_industry="",FALSE,SUMPRODUCT(--ISNUMBER(SEARCH(","&amp;TRIM(TEXTSPLIT(FO135,","))&amp;",",","&amp;SUBSTITUTE(input_industry," ","")&amp;",")))=COUNTA(TEXTSPLIT(FO135,",")))))</f>
        <v/>
      </c>
      <c r="JJ135">
        <f>AND(IF(FQ135="",TRUE,IF(input_location="",FALSE,SUMPRODUCT(--ISNUMBER(SEARCH(","&amp;TRIM(TEXTSPLIT(FQ135,","))&amp;",",","&amp;SUBSTITUTE(input_location," ","")&amp;",")))&gt;0)),IF(FS135="",TRUE,IF(input_location="",FALSE,SUMPRODUCT(--ISNUMBER(SEARCH(","&amp;TRIM(TEXTSPLIT(FS135,","))&amp;",",","&amp;SUBSTITUTE(input_location," ","")&amp;",")))=COUNTA(TEXTSPLIT(FS135,",")))),IF(FU135="",TRUE,IF(input_location="",TRUE,SUMPRODUCT(--ISNUMBER(SEARCH(","&amp;TRIM(TEXTSPLIT(FU135,","))&amp;",",","&amp;SUBSTITUTE(input_location," ","")&amp;",")))=0)),IF(FW135="",TRUE,IF(input_location="",FALSE,SUMPRODUCT(--ISNUMBER(SEARCH(","&amp;TRIM(TEXTSPLIT(FW135,","))&amp;",",","&amp;SUBSTITUTE(input_location," ","")&amp;",")))&gt;0)),IF(FY135="",TRUE,IF(input_location="",FALSE,SUMPRODUCT(--ISNUMBER(SEARCH(","&amp;TRIM(TEXTSPLIT(FY135,","))&amp;",",","&amp;SUBSTITUTE(input_location," ","")&amp;",")))=COUNTA(TEXTSPLIT(FY135,",")))))</f>
        <v/>
      </c>
      <c r="JK135">
        <f>AND(IF(GA135="",TRUE,IF(input_modality="",FALSE,SUMPRODUCT(--ISNUMBER(SEARCH(","&amp;TRIM(TEXTSPLIT(GA135,","))&amp;",",","&amp;SUBSTITUTE(input_modality," ","")&amp;",")))&gt;0)),IF(GC135="",TRUE,IF(input_modality="",FALSE,SUMPRODUCT(--ISNUMBER(SEARCH(","&amp;TRIM(TEXTSPLIT(GC135,","))&amp;",",","&amp;SUBSTITUTE(input_modality," ","")&amp;",")))=COUNTA(TEXTSPLIT(GC135,",")))),IF(GE135="",TRUE,IF(input_modality="",TRUE,SUMPRODUCT(--ISNUMBER(SEARCH(","&amp;TRIM(TEXTSPLIT(GE135,","))&amp;",",","&amp;SUBSTITUTE(input_modality," ","")&amp;",")))=0)),IF(GG135="",TRUE,IF(input_modality="",FALSE,SUMPRODUCT(--ISNUMBER(SEARCH(","&amp;TRIM(TEXTSPLIT(GG135,","))&amp;",",","&amp;SUBSTITUTE(input_modality," ","")&amp;",")))&gt;0)),IF(GI135="",TRUE,IF(input_modality="",FALSE,SUMPRODUCT(--ISNUMBER(SEARCH(","&amp;TRIM(TEXTSPLIT(GI135,","))&amp;",",","&amp;SUBSTITUTE(input_modality," ","")&amp;",")))=COUNTA(TEXTSPLIT(GI135,",")))))</f>
        <v/>
      </c>
      <c r="JL135">
        <f>AND(IF(GK135="",TRUE,IF(input_organizer="",FALSE,SUMPRODUCT(--ISNUMBER(SEARCH(","&amp;TRIM(TEXTSPLIT(GK135,","))&amp;",",","&amp;SUBSTITUTE(input_organizer," ","")&amp;",")))&gt;0)),IF(GM135="",TRUE,IF(input_organizer="",FALSE,SUMPRODUCT(--ISNUMBER(SEARCH(","&amp;TRIM(TEXTSPLIT(GM135,","))&amp;",",","&amp;SUBSTITUTE(input_organizer," ","")&amp;",")))=COUNTA(TEXTSPLIT(GM135,",")))),IF(GO135="",TRUE,IF(input_organizer="",TRUE,SUMPRODUCT(--ISNUMBER(SEARCH(","&amp;TRIM(TEXTSPLIT(GO135,","))&amp;",",","&amp;SUBSTITUTE(input_organizer," ","")&amp;",")))=0)),IF(GQ135="",TRUE,IF(input_organizer="",FALSE,SUMPRODUCT(--ISNUMBER(SEARCH(","&amp;TRIM(TEXTSPLIT(GQ135,","))&amp;",",","&amp;SUBSTITUTE(input_organizer," ","")&amp;",")))&gt;0)),IF(GS135="",TRUE,IF(input_organizer="",FALSE,SUMPRODUCT(--ISNUMBER(SEARCH(","&amp;TRIM(TEXTSPLIT(GS135,","))&amp;",",","&amp;SUBSTITUTE(input_organizer," ","")&amp;",")))=COUNTA(TEXTSPLIT(GS135,",")))))</f>
        <v/>
      </c>
      <c r="JM135">
        <f>AND(IF(GU135="",TRUE,IF(input_profile_type="",FALSE,SUMPRODUCT(--ISNUMBER(SEARCH(","&amp;TRIM(TEXTSPLIT(GU135,","))&amp;",",","&amp;SUBSTITUTE(input_profile_type," ","")&amp;",")))&gt;0)),IF(GW135="",TRUE,IF(input_profile_type="",FALSE,SUMPRODUCT(--ISNUMBER(SEARCH(","&amp;TRIM(TEXTSPLIT(GW135,","))&amp;",",","&amp;SUBSTITUTE(input_profile_type," ","")&amp;",")))=COUNTA(TEXTSPLIT(GW135,",")))),IF(GY135="",TRUE,IF(input_profile_type="",TRUE,SUMPRODUCT(--ISNUMBER(SEARCH(","&amp;TRIM(TEXTSPLIT(GY135,","))&amp;",",","&amp;SUBSTITUTE(input_profile_type," ","")&amp;",")))=0)),IF(HA135="",TRUE,IF(input_profile_type="",FALSE,SUMPRODUCT(--ISNUMBER(SEARCH(","&amp;TRIM(TEXTSPLIT(HA135,","))&amp;",",","&amp;SUBSTITUTE(input_profile_type," ","")&amp;",")))&gt;0)),IF(HC135="",TRUE,IF(input_profile_type="",FALSE,SUMPRODUCT(--ISNUMBER(SEARCH(","&amp;TRIM(TEXTSPLIT(HC135,","))&amp;",",","&amp;SUBSTITUTE(input_profile_type," ","")&amp;",")))=COUNTA(TEXTSPLIT(HC135,",")))))</f>
        <v/>
      </c>
      <c r="JN135">
        <f>AND(IF(HE135="",TRUE,IF(input_program="",FALSE,SUMPRODUCT(--ISNUMBER(SEARCH(","&amp;TRIM(TEXTSPLIT(HE135,","))&amp;",",","&amp;SUBSTITUTE(input_program," ","")&amp;",")))&gt;0)),IF(HG135="",TRUE,IF(input_program="",FALSE,SUMPRODUCT(--ISNUMBER(SEARCH(","&amp;TRIM(TEXTSPLIT(HG135,","))&amp;",",","&amp;SUBSTITUTE(input_program," ","")&amp;",")))=COUNTA(TEXTSPLIT(HG135,",")))),IF(HI135="",TRUE,IF(input_program="",TRUE,SUMPRODUCT(--ISNUMBER(SEARCH(","&amp;TRIM(TEXTSPLIT(HI135,","))&amp;",",","&amp;SUBSTITUTE(input_program," ","")&amp;",")))=0)),IF(HK135="",TRUE,IF(input_program="",FALSE,SUMPRODUCT(--ISNUMBER(SEARCH(","&amp;TRIM(TEXTSPLIT(HK135,","))&amp;",",","&amp;SUBSTITUTE(input_program," ","")&amp;",")))&gt;0)),IF(HM135="",TRUE,IF(input_program="",FALSE,SUMPRODUCT(--ISNUMBER(SEARCH(","&amp;TRIM(TEXTSPLIT(HM135,","))&amp;",",","&amp;SUBSTITUTE(input_program," ","")&amp;",")))=COUNTA(TEXTSPLIT(HM135,",")))))</f>
        <v/>
      </c>
      <c r="JO135">
        <f>AND(IF(HO135="",TRUE,IF(input_story_categories="",FALSE,SUMPRODUCT(--ISNUMBER(SEARCH(","&amp;TRIM(TEXTSPLIT(HO135,","))&amp;",",","&amp;SUBSTITUTE(input_story_categories," ","")&amp;",")))&gt;0)),IF(HQ135="",TRUE,IF(input_story_categories="",FALSE,SUMPRODUCT(--ISNUMBER(SEARCH(","&amp;TRIM(TEXTSPLIT(HQ135,","))&amp;",",","&amp;SUBSTITUTE(input_story_categories," ","")&amp;",")))=COUNTA(TEXTSPLIT(HQ135,",")))),IF(HS135="",TRUE,IF(input_story_categories="",TRUE,SUMPRODUCT(--ISNUMBER(SEARCH(","&amp;TRIM(TEXTSPLIT(HS135,","))&amp;",",","&amp;SUBSTITUTE(input_story_categories," ","")&amp;",")))=0)),IF(HU135="",TRUE,IF(input_story_categories="",FALSE,SUMPRODUCT(--ISNUMBER(SEARCH(","&amp;TRIM(TEXTSPLIT(HU135,","))&amp;",",","&amp;SUBSTITUTE(input_story_categories," ","")&amp;",")))&gt;0)),IF(HW135="",TRUE,IF(input_story_categories="",FALSE,SUMPRODUCT(--ISNUMBER(SEARCH(","&amp;TRIM(TEXTSPLIT(HW135,","))&amp;",",","&amp;SUBSTITUTE(input_story_categories," ","")&amp;",")))=COUNTA(TEXTSPLIT(HW135,",")))))</f>
        <v/>
      </c>
      <c r="JP135">
        <f>AND(IF(HY135="",TRUE,IF(input_story_type="",FALSE,SUMPRODUCT(--ISNUMBER(SEARCH(","&amp;TRIM(TEXTSPLIT(HY135,","))&amp;",",","&amp;SUBSTITUTE(input_story_type," ","")&amp;",")))&gt;0)),IF(IA135="",TRUE,IF(input_story_type="",FALSE,SUMPRODUCT(--ISNUMBER(SEARCH(","&amp;TRIM(TEXTSPLIT(IA135,","))&amp;",",","&amp;SUBSTITUTE(input_story_type," ","")&amp;",")))=COUNTA(TEXTSPLIT(IA135,",")))),IF(IC135="",TRUE,IF(input_story_type="",TRUE,SUMPRODUCT(--ISNUMBER(SEARCH(","&amp;TRIM(TEXTSPLIT(IC135,","))&amp;",",","&amp;SUBSTITUTE(input_story_type," ","")&amp;",")))=0)),IF(IE135="",TRUE,IF(input_story_type="",FALSE,SUMPRODUCT(--ISNUMBER(SEARCH(","&amp;TRIM(TEXTSPLIT(IE135,","))&amp;",",","&amp;SUBSTITUTE(input_story_type," ","")&amp;",")))&gt;0)),IF(IG135="",TRUE,IF(input_story_type="",FALSE,SUMPRODUCT(--ISNUMBER(SEARCH(","&amp;TRIM(TEXTSPLIT(IG135,","))&amp;",",","&amp;SUBSTITUTE(input_story_type," ","")&amp;",")))=COUNTA(TEXTSPLIT(IG135,",")))))</f>
        <v/>
      </c>
      <c r="JQ135">
        <f>AND(IF(II135="",TRUE,IF(input_topics="",FALSE,SUMPRODUCT(--ISNUMBER(SEARCH(","&amp;TRIM(TEXTSPLIT(II135,","))&amp;",",","&amp;SUBSTITUTE(input_topics," ","")&amp;",")))&gt;0)),IF(IK135="",TRUE,IF(input_topics="",FALSE,SUMPRODUCT(--ISNUMBER(SEARCH(","&amp;TRIM(TEXTSPLIT(IK135,","))&amp;",",","&amp;SUBSTITUTE(input_topics," ","")&amp;",")))=COUNTA(TEXTSPLIT(IK135,",")))),IF(IM135="",TRUE,IF(input_topics="",TRUE,SUMPRODUCT(--ISNUMBER(SEARCH(","&amp;TRIM(TEXTSPLIT(IM135,","))&amp;",",","&amp;SUBSTITUTE(input_topics," ","")&amp;",")))=0)),IF(IO135="",TRUE,IF(input_topics="",FALSE,SUMPRODUCT(--ISNUMBER(SEARCH(","&amp;TRIM(TEXTSPLIT(IO135,","))&amp;",",","&amp;SUBSTITUTE(input_topics," ","")&amp;",")))&gt;0)),IF(IQ135="",TRUE,IF(input_topics="",FALSE,SUMPRODUCT(--ISNUMBER(SEARCH(","&amp;TRIM(TEXTSPLIT(IQ135,","))&amp;",",","&amp;SUBSTITUTE(input_topics," ","")&amp;",")))=COUNTA(TEXTSPLIT(IQ135,",")))))</f>
        <v/>
      </c>
    </row>
    <row r="136">
      <c r="A136" s="4">
        <f>IF(NOT(IS136),"Excluded",IF(AND(IT136,IU136,IV136,IW136,IX136,IY136,IZ136,JA136,JB136,JC136,JD136,JE136,JF136,JG136,JH136,JI136,JJ136,JK136,JL136,JM136,JN136,JO136,JP136,JQ136),IF(I136&gt;0,"Eligible but limited","Will appear"),"Excluded"))</f>
        <v/>
      </c>
      <c r="B136" s="4" t="inlineStr">
        <is>
          <t>News &amp; Events</t>
        </is>
      </c>
      <c r="C136" s="4" t="inlineStr">
        <is>
          <t>/centers/the-broad-center/events</t>
        </is>
      </c>
      <c r="D136" s="4" t="inlineStr">
        <is>
          <t>/centers/the-broad-center/events</t>
        </is>
      </c>
      <c r="E136" s="4" t="n">
        <v>1</v>
      </c>
      <c r="F136" s="4" t="inlineStr">
        <is>
          <t>story</t>
        </is>
      </c>
      <c r="G136" s="4" t="inlineStr">
        <is>
          <t>stories_list</t>
        </is>
      </c>
      <c r="H136" s="4" t="inlineStr">
        <is>
          <t>embed_1</t>
        </is>
      </c>
      <c r="I136" s="4" t="n">
        <v>10</v>
      </c>
      <c r="J136" s="4" t="inlineStr">
        <is>
          <t>Explicit args</t>
        </is>
      </c>
      <c r="K136" s="4" t="inlineStr">
        <is>
          <t>Page placement</t>
        </is>
      </c>
      <c r="L136" s="4" t="inlineStr">
        <is>
          <t>Content type: story; Context uses Courses Context: The Broad Center (926); Limited to 10 item(s); Source: Explicit args</t>
        </is>
      </c>
      <c r="M136" t="inlineStr"/>
      <c r="N136" t="inlineStr"/>
      <c r="O136" t="inlineStr"/>
      <c r="P136" t="inlineStr"/>
      <c r="Q136" t="inlineStr"/>
      <c r="R136" t="inlineStr"/>
      <c r="S136" t="inlineStr"/>
      <c r="T136" t="inlineStr"/>
      <c r="U136" t="inlineStr"/>
      <c r="V136" t="inlineStr"/>
      <c r="W136" t="inlineStr"/>
      <c r="X136" t="inlineStr"/>
      <c r="Y136" t="inlineStr"/>
      <c r="Z136" t="inlineStr"/>
      <c r="AA136" t="inlineStr"/>
      <c r="AB136" t="inlineStr"/>
      <c r="AC136" t="inlineStr"/>
      <c r="AD136" t="inlineStr"/>
      <c r="AE136" t="inlineStr"/>
      <c r="AF136" t="inlineStr"/>
      <c r="AG136" t="inlineStr"/>
      <c r="AH136" t="inlineStr"/>
      <c r="AI136" t="inlineStr"/>
      <c r="AJ136" t="inlineStr"/>
      <c r="AK136" t="inlineStr"/>
      <c r="AL136" t="inlineStr"/>
      <c r="AM136" t="inlineStr"/>
      <c r="AN136" t="inlineStr"/>
      <c r="AO136" t="inlineStr"/>
      <c r="AP136" t="inlineStr"/>
      <c r="AQ136" t="inlineStr"/>
      <c r="AR136" t="inlineStr"/>
      <c r="AS136" t="inlineStr"/>
      <c r="AT136" t="inlineStr"/>
      <c r="AU136" t="inlineStr"/>
      <c r="AV136" t="inlineStr"/>
      <c r="AW136" t="inlineStr"/>
      <c r="AX136" t="inlineStr"/>
      <c r="AY136" t="inlineStr"/>
      <c r="AZ136" t="inlineStr"/>
      <c r="BA136" t="inlineStr"/>
      <c r="BB136" t="inlineStr"/>
      <c r="BC136" t="inlineStr"/>
      <c r="BD136" t="inlineStr"/>
      <c r="BE136" t="inlineStr"/>
      <c r="BF136" t="inlineStr"/>
      <c r="BG136" t="inlineStr"/>
      <c r="BH136" t="inlineStr"/>
      <c r="BI136" t="inlineStr"/>
      <c r="BJ136" t="inlineStr"/>
      <c r="BK136" t="inlineStr"/>
      <c r="BL136" t="inlineStr"/>
      <c r="BM136" t="inlineStr"/>
      <c r="BN136" t="inlineStr"/>
      <c r="BO136" t="inlineStr"/>
      <c r="BP136" t="inlineStr"/>
      <c r="BQ136" t="inlineStr">
        <is>
          <t>926</t>
        </is>
      </c>
      <c r="BR136" t="inlineStr">
        <is>
          <t>The Broad Center (926)</t>
        </is>
      </c>
      <c r="BS136" t="inlineStr"/>
      <c r="BT136" t="inlineStr"/>
      <c r="BU136" t="inlineStr"/>
      <c r="BV136" t="inlineStr"/>
      <c r="BW136" t="inlineStr"/>
      <c r="BX136" t="inlineStr"/>
      <c r="BY136" t="inlineStr"/>
      <c r="BZ136" t="inlineStr"/>
      <c r="CA136" t="inlineStr"/>
      <c r="CB136" t="inlineStr"/>
      <c r="CC136" t="inlineStr"/>
      <c r="CD136" t="inlineStr"/>
      <c r="CE136" t="inlineStr"/>
      <c r="CF136" t="inlineStr"/>
      <c r="CG136" t="inlineStr"/>
      <c r="CH136" t="inlineStr"/>
      <c r="CI136" t="inlineStr"/>
      <c r="CJ136" t="inlineStr"/>
      <c r="CK136" t="inlineStr"/>
      <c r="CL136" t="inlineStr"/>
      <c r="CM136" t="inlineStr"/>
      <c r="CN136" t="inlineStr"/>
      <c r="CO136" t="inlineStr"/>
      <c r="CP136" t="inlineStr"/>
      <c r="CQ136" t="inlineStr"/>
      <c r="CR136" t="inlineStr"/>
      <c r="CS136" t="inlineStr"/>
      <c r="CT136" t="inlineStr"/>
      <c r="CU136" t="inlineStr"/>
      <c r="CV136" t="inlineStr"/>
      <c r="CW136" t="inlineStr"/>
      <c r="CX136" t="inlineStr"/>
      <c r="CY136" t="inlineStr"/>
      <c r="CZ136" t="inlineStr"/>
      <c r="DA136" t="inlineStr"/>
      <c r="DB136" t="inlineStr"/>
      <c r="DC136" t="inlineStr"/>
      <c r="DD136" t="inlineStr"/>
      <c r="DE136" t="inlineStr"/>
      <c r="DF136" t="inlineStr"/>
      <c r="DG136" t="inlineStr"/>
      <c r="DH136" t="inlineStr"/>
      <c r="DI136" t="inlineStr"/>
      <c r="DJ136" t="inlineStr"/>
      <c r="DK136" t="inlineStr"/>
      <c r="DL136" t="inlineStr"/>
      <c r="DM136" t="inlineStr"/>
      <c r="DN136" t="inlineStr"/>
      <c r="DO136" t="inlineStr"/>
      <c r="DP136" t="inlineStr"/>
      <c r="DQ136" t="inlineStr"/>
      <c r="DR136" t="inlineStr"/>
      <c r="DS136" t="inlineStr"/>
      <c r="DT136" t="inlineStr"/>
      <c r="DU136" t="inlineStr"/>
      <c r="DV136" t="inlineStr"/>
      <c r="DW136" t="inlineStr"/>
      <c r="DX136" t="inlineStr"/>
      <c r="DY136" t="inlineStr"/>
      <c r="DZ136" t="inlineStr"/>
      <c r="EA136" t="inlineStr"/>
      <c r="EB136" t="inlineStr"/>
      <c r="EC136" t="inlineStr"/>
      <c r="ED136" t="inlineStr"/>
      <c r="EE136" t="inlineStr"/>
      <c r="EF136" t="inlineStr"/>
      <c r="EG136" t="inlineStr"/>
      <c r="EH136" t="inlineStr"/>
      <c r="EI136" t="inlineStr"/>
      <c r="EJ136" t="inlineStr"/>
      <c r="EK136" t="inlineStr"/>
      <c r="EL136" t="inlineStr"/>
      <c r="EM136" t="inlineStr"/>
      <c r="EN136" t="inlineStr"/>
      <c r="EO136" t="inlineStr"/>
      <c r="EP136" t="inlineStr"/>
      <c r="EQ136" t="inlineStr"/>
      <c r="ER136" t="inlineStr"/>
      <c r="ES136" t="inlineStr"/>
      <c r="ET136" t="inlineStr"/>
      <c r="EU136" t="inlineStr"/>
      <c r="EV136" t="inlineStr"/>
      <c r="EW136" t="inlineStr"/>
      <c r="EX136" t="inlineStr"/>
      <c r="EY136" t="inlineStr"/>
      <c r="EZ136" t="inlineStr"/>
      <c r="FA136" t="inlineStr"/>
      <c r="FB136" t="inlineStr"/>
      <c r="FC136" t="inlineStr"/>
      <c r="FD136" t="inlineStr"/>
      <c r="FE136" t="inlineStr"/>
      <c r="FF136" t="inlineStr"/>
      <c r="FG136" t="inlineStr"/>
      <c r="FH136" t="inlineStr"/>
      <c r="FI136" t="inlineStr"/>
      <c r="FJ136" t="inlineStr"/>
      <c r="FK136" t="inlineStr"/>
      <c r="FL136" t="inlineStr"/>
      <c r="FM136" t="inlineStr"/>
      <c r="FN136" t="inlineStr"/>
      <c r="FO136" t="inlineStr"/>
      <c r="FP136" t="inlineStr"/>
      <c r="FQ136" t="inlineStr"/>
      <c r="FR136" t="inlineStr"/>
      <c r="FS136" t="inlineStr"/>
      <c r="FT136" t="inlineStr"/>
      <c r="FU136" t="inlineStr"/>
      <c r="FV136" t="inlineStr"/>
      <c r="FW136" t="inlineStr"/>
      <c r="FX136" t="inlineStr"/>
      <c r="FY136" t="inlineStr"/>
      <c r="FZ136" t="inlineStr"/>
      <c r="GA136" t="inlineStr"/>
      <c r="GB136" t="inlineStr"/>
      <c r="GC136" t="inlineStr"/>
      <c r="GD136" t="inlineStr"/>
      <c r="GE136" t="inlineStr"/>
      <c r="GF136" t="inlineStr"/>
      <c r="GG136" t="inlineStr"/>
      <c r="GH136" t="inlineStr"/>
      <c r="GI136" t="inlineStr"/>
      <c r="GJ136" t="inlineStr"/>
      <c r="GK136" t="inlineStr"/>
      <c r="GL136" t="inlineStr"/>
      <c r="GM136" t="inlineStr"/>
      <c r="GN136" t="inlineStr"/>
      <c r="GO136" t="inlineStr"/>
      <c r="GP136" t="inlineStr"/>
      <c r="GQ136" t="inlineStr"/>
      <c r="GR136" t="inlineStr"/>
      <c r="GS136" t="inlineStr"/>
      <c r="GT136" t="inlineStr"/>
      <c r="GU136" t="inlineStr"/>
      <c r="GV136" t="inlineStr"/>
      <c r="GW136" t="inlineStr"/>
      <c r="GX136" t="inlineStr"/>
      <c r="GY136" t="inlineStr"/>
      <c r="GZ136" t="inlineStr"/>
      <c r="HA136" t="inlineStr"/>
      <c r="HB136" t="inlineStr"/>
      <c r="HC136" t="inlineStr"/>
      <c r="HD136" t="inlineStr"/>
      <c r="HE136" t="inlineStr"/>
      <c r="HF136" t="inlineStr"/>
      <c r="HG136" t="inlineStr"/>
      <c r="HH136" t="inlineStr"/>
      <c r="HI136" t="inlineStr"/>
      <c r="HJ136" t="inlineStr"/>
      <c r="HK136" t="inlineStr"/>
      <c r="HL136" t="inlineStr"/>
      <c r="HM136" t="inlineStr"/>
      <c r="HN136" t="inlineStr"/>
      <c r="HO136" t="inlineStr"/>
      <c r="HP136" t="inlineStr"/>
      <c r="HQ136" t="inlineStr"/>
      <c r="HR136" t="inlineStr"/>
      <c r="HS136" t="inlineStr"/>
      <c r="HT136" t="inlineStr"/>
      <c r="HU136" t="inlineStr"/>
      <c r="HV136" t="inlineStr"/>
      <c r="HW136" t="inlineStr"/>
      <c r="HX136" t="inlineStr"/>
      <c r="HY136" t="inlineStr"/>
      <c r="HZ136" t="inlineStr"/>
      <c r="IA136" t="inlineStr"/>
      <c r="IB136" t="inlineStr"/>
      <c r="IC136" t="inlineStr"/>
      <c r="ID136" t="inlineStr"/>
      <c r="IE136" t="inlineStr"/>
      <c r="IF136" t="inlineStr"/>
      <c r="IG136" t="inlineStr"/>
      <c r="IH136" t="inlineStr"/>
      <c r="II136" t="inlineStr"/>
      <c r="IJ136" t="inlineStr"/>
      <c r="IK136" t="inlineStr"/>
      <c r="IL136" t="inlineStr"/>
      <c r="IM136" t="inlineStr"/>
      <c r="IN136" t="inlineStr"/>
      <c r="IO136" t="inlineStr"/>
      <c r="IP136" t="inlineStr"/>
      <c r="IQ136" t="inlineStr"/>
      <c r="IR136" t="inlineStr"/>
      <c r="IS136">
        <f>IF(input_content_type="",FALSE,ISNUMBER(SEARCH(","&amp;LOWER(input_content_type)&amp;",",","&amp;LOWER(F136)&amp;",")))</f>
        <v/>
      </c>
      <c r="IT136">
        <f>AND(IF(M136="",TRUE,IF(input_affiliations="",FALSE,SUMPRODUCT(--ISNUMBER(SEARCH(","&amp;TRIM(TEXTSPLIT(M136,","))&amp;",",","&amp;SUBSTITUTE(input_affiliations," ","")&amp;",")))&gt;0)),IF(O136="",TRUE,IF(input_affiliations="",FALSE,SUMPRODUCT(--ISNUMBER(SEARCH(","&amp;TRIM(TEXTSPLIT(O136,","))&amp;",",","&amp;SUBSTITUTE(input_affiliations," ","")&amp;",")))=COUNTA(TEXTSPLIT(O136,",")))),IF(Q136="",TRUE,IF(input_affiliations="",TRUE,SUMPRODUCT(--ISNUMBER(SEARCH(","&amp;TRIM(TEXTSPLIT(Q136,","))&amp;",",","&amp;SUBSTITUTE(input_affiliations," ","")&amp;",")))=0)),IF(S136="",TRUE,IF(input_affiliations="",FALSE,SUMPRODUCT(--ISNUMBER(SEARCH(","&amp;TRIM(TEXTSPLIT(S136,","))&amp;",",","&amp;SUBSTITUTE(input_affiliations," ","")&amp;",")))&gt;0)),IF(U136="",TRUE,IF(input_affiliations="",FALSE,SUMPRODUCT(--ISNUMBER(SEARCH(","&amp;TRIM(TEXTSPLIT(U136,","))&amp;",",","&amp;SUBSTITUTE(input_affiliations," ","")&amp;",")))=COUNTA(TEXTSPLIT(U136,",")))))</f>
        <v/>
      </c>
      <c r="IU136">
        <f>AND(IF(W136="",TRUE,IF(input_announcement_category="",FALSE,SUMPRODUCT(--ISNUMBER(SEARCH(","&amp;TRIM(TEXTSPLIT(W136,","))&amp;",",","&amp;SUBSTITUTE(input_announcement_category," ","")&amp;",")))&gt;0)),IF(Y136="",TRUE,IF(input_announcement_category="",FALSE,SUMPRODUCT(--ISNUMBER(SEARCH(","&amp;TRIM(TEXTSPLIT(Y136,","))&amp;",",","&amp;SUBSTITUTE(input_announcement_category," ","")&amp;",")))=COUNTA(TEXTSPLIT(Y136,",")))),IF(AA136="",TRUE,IF(input_announcement_category="",TRUE,SUMPRODUCT(--ISNUMBER(SEARCH(","&amp;TRIM(TEXTSPLIT(AA136,","))&amp;",",","&amp;SUBSTITUTE(input_announcement_category," ","")&amp;",")))=0)),IF(AC136="",TRUE,IF(input_announcement_category="",FALSE,SUMPRODUCT(--ISNUMBER(SEARCH(","&amp;TRIM(TEXTSPLIT(AC136,","))&amp;",",","&amp;SUBSTITUTE(input_announcement_category," ","")&amp;",")))&gt;0)),IF(AE136="",TRUE,IF(input_announcement_category="",FALSE,SUMPRODUCT(--ISNUMBER(SEARCH(","&amp;TRIM(TEXTSPLIT(AE136,","))&amp;",",","&amp;SUBSTITUTE(input_announcement_category," ","")&amp;",")))=COUNTA(TEXTSPLIT(AE136,",")))))</f>
        <v/>
      </c>
      <c r="IV136">
        <f>AND(IF(AG136="",TRUE,IF(input_area_of_focus="",FALSE,SUMPRODUCT(--ISNUMBER(SEARCH(","&amp;TRIM(TEXTSPLIT(AG136,","))&amp;",",","&amp;SUBSTITUTE(input_area_of_focus," ","")&amp;",")))&gt;0)),IF(AI136="",TRUE,IF(input_area_of_focus="",FALSE,SUMPRODUCT(--ISNUMBER(SEARCH(","&amp;TRIM(TEXTSPLIT(AI136,","))&amp;",",","&amp;SUBSTITUTE(input_area_of_focus," ","")&amp;",")))=COUNTA(TEXTSPLIT(AI136,",")))),IF(AK136="",TRUE,IF(input_area_of_focus="",TRUE,SUMPRODUCT(--ISNUMBER(SEARCH(","&amp;TRIM(TEXTSPLIT(AK136,","))&amp;",",","&amp;SUBSTITUTE(input_area_of_focus," ","")&amp;",")))=0)),IF(AM136="",TRUE,IF(input_area_of_focus="",FALSE,SUMPRODUCT(--ISNUMBER(SEARCH(","&amp;TRIM(TEXTSPLIT(AM136,","))&amp;",",","&amp;SUBSTITUTE(input_area_of_focus," ","")&amp;",")))&gt;0)),IF(AO136="",TRUE,IF(input_area_of_focus="",FALSE,SUMPRODUCT(--ISNUMBER(SEARCH(","&amp;TRIM(TEXTSPLIT(AO136,","))&amp;",",","&amp;SUBSTITUTE(input_area_of_focus," ","")&amp;",")))=COUNTA(TEXTSPLIT(AO136,",")))))</f>
        <v/>
      </c>
      <c r="IW136">
        <f>AND(IF(AQ136="",TRUE,IF(input_audience="",FALSE,SUMPRODUCT(--ISNUMBER(SEARCH(","&amp;TRIM(TEXTSPLIT(AQ136,","))&amp;",",","&amp;SUBSTITUTE(input_audience," ","")&amp;",")))&gt;0)),IF(AS136="",TRUE,IF(input_audience="",FALSE,SUMPRODUCT(--ISNUMBER(SEARCH(","&amp;TRIM(TEXTSPLIT(AS136,","))&amp;",",","&amp;SUBSTITUTE(input_audience," ","")&amp;",")))=COUNTA(TEXTSPLIT(AS136,",")))),IF(AU136="",TRUE,IF(input_audience="",TRUE,SUMPRODUCT(--ISNUMBER(SEARCH(","&amp;TRIM(TEXTSPLIT(AU136,","))&amp;",",","&amp;SUBSTITUTE(input_audience," ","")&amp;",")))=0)),IF(AW136="",TRUE,IF(input_audience="",FALSE,SUMPRODUCT(--ISNUMBER(SEARCH(","&amp;TRIM(TEXTSPLIT(AW136,","))&amp;",",","&amp;SUBSTITUTE(input_audience," ","")&amp;",")))&gt;0)),IF(AY136="",TRUE,IF(input_audience="",FALSE,SUMPRODUCT(--ISNUMBER(SEARCH(","&amp;TRIM(TEXTSPLIT(AY136,","))&amp;",",","&amp;SUBSTITUTE(input_audience," ","")&amp;",")))=COUNTA(TEXTSPLIT(AY136,",")))))</f>
        <v/>
      </c>
      <c r="IX136">
        <f>AND(IF(BA136="",TRUE,IF(input_challenge_opportunities="",FALSE,SUMPRODUCT(--ISNUMBER(SEARCH(","&amp;TRIM(TEXTSPLIT(BA136,","))&amp;",",","&amp;SUBSTITUTE(input_challenge_opportunities," ","")&amp;",")))&gt;0)),IF(BC136="",TRUE,IF(input_challenge_opportunities="",FALSE,SUMPRODUCT(--ISNUMBER(SEARCH(","&amp;TRIM(TEXTSPLIT(BC136,","))&amp;",",","&amp;SUBSTITUTE(input_challenge_opportunities," ","")&amp;",")))=COUNTA(TEXTSPLIT(BC136,",")))),IF(BE136="",TRUE,IF(input_challenge_opportunities="",TRUE,SUMPRODUCT(--ISNUMBER(SEARCH(","&amp;TRIM(TEXTSPLIT(BE136,","))&amp;",",","&amp;SUBSTITUTE(input_challenge_opportunities," ","")&amp;",")))=0)),IF(BG136="",TRUE,IF(input_challenge_opportunities="",FALSE,SUMPRODUCT(--ISNUMBER(SEARCH(","&amp;TRIM(TEXTSPLIT(BG136,","))&amp;",",","&amp;SUBSTITUTE(input_challenge_opportunities," ","")&amp;",")))&gt;0)),IF(BI136="",TRUE,IF(input_challenge_opportunities="",FALSE,SUMPRODUCT(--ISNUMBER(SEARCH(","&amp;TRIM(TEXTSPLIT(BI136,","))&amp;",",","&amp;SUBSTITUTE(input_challenge_opportunities," ","")&amp;",")))=COUNTA(TEXTSPLIT(BI136,",")))))</f>
        <v/>
      </c>
      <c r="IY136">
        <f>AND(IF(BK136="",TRUE,IF(input_context="",FALSE,SUMPRODUCT(--ISNUMBER(SEARCH(","&amp;TRIM(TEXTSPLIT(BK136,","))&amp;",",","&amp;SUBSTITUTE(input_context," ","")&amp;",")))&gt;0)),IF(BM136="",TRUE,IF(input_context="",FALSE,SUMPRODUCT(--ISNUMBER(SEARCH(","&amp;TRIM(TEXTSPLIT(BM136,","))&amp;",",","&amp;SUBSTITUTE(input_context," ","")&amp;",")))=COUNTA(TEXTSPLIT(BM136,",")))),IF(BO136="",TRUE,IF(input_context="",TRUE,SUMPRODUCT(--ISNUMBER(SEARCH(","&amp;TRIM(TEXTSPLIT(BO136,","))&amp;",",","&amp;SUBSTITUTE(input_context," ","")&amp;",")))=0)),IF(BQ136="",TRUE,IF(input_context="",FALSE,SUMPRODUCT(--ISNUMBER(SEARCH(","&amp;TRIM(TEXTSPLIT(BQ136,","))&amp;",",","&amp;SUBSTITUTE(input_context," ","")&amp;",")))&gt;0)),IF(BS136="",TRUE,IF(input_context="",FALSE,SUMPRODUCT(--ISNUMBER(SEARCH(","&amp;TRIM(TEXTSPLIT(BS136,","))&amp;",",","&amp;SUBSTITUTE(input_context," ","")&amp;",")))=COUNTA(TEXTSPLIT(BS136,",")))))</f>
        <v/>
      </c>
      <c r="IZ136">
        <f>AND(IF(BU136="",TRUE,IF(input_enews_announcement_type="",FALSE,SUMPRODUCT(--ISNUMBER(SEARCH(","&amp;TRIM(TEXTSPLIT(BU136,","))&amp;",",","&amp;SUBSTITUTE(input_enews_announcement_type," ","")&amp;",")))&gt;0)),IF(BW136="",TRUE,IF(input_enews_announcement_type="",FALSE,SUMPRODUCT(--ISNUMBER(SEARCH(","&amp;TRIM(TEXTSPLIT(BW136,","))&amp;",",","&amp;SUBSTITUTE(input_enews_announcement_type," ","")&amp;",")))=COUNTA(TEXTSPLIT(BW136,",")))),IF(BY136="",TRUE,IF(input_enews_announcement_type="",TRUE,SUMPRODUCT(--ISNUMBER(SEARCH(","&amp;TRIM(TEXTSPLIT(BY136,","))&amp;",",","&amp;SUBSTITUTE(input_enews_announcement_type," ","")&amp;",")))=0)),IF(CA136="",TRUE,IF(input_enews_announcement_type="",FALSE,SUMPRODUCT(--ISNUMBER(SEARCH(","&amp;TRIM(TEXTSPLIT(CA136,","))&amp;",",","&amp;SUBSTITUTE(input_enews_announcement_type," ","")&amp;",")))&gt;0)),IF(CC136="",TRUE,IF(input_enews_announcement_type="",FALSE,SUMPRODUCT(--ISNUMBER(SEARCH(","&amp;TRIM(TEXTSPLIT(CC136,","))&amp;",",","&amp;SUBSTITUTE(input_enews_announcement_type," ","")&amp;",")))=COUNTA(TEXTSPLIT(CC136,",")))))</f>
        <v/>
      </c>
      <c r="JA136">
        <f>AND(IF(CE136="",TRUE,IF(input_enews_audience="",FALSE,SUMPRODUCT(--ISNUMBER(SEARCH(","&amp;TRIM(TEXTSPLIT(CE136,","))&amp;",",","&amp;SUBSTITUTE(input_enews_audience," ","")&amp;",")))&gt;0)),IF(CG136="",TRUE,IF(input_enews_audience="",FALSE,SUMPRODUCT(--ISNUMBER(SEARCH(","&amp;TRIM(TEXTSPLIT(CG136,","))&amp;",",","&amp;SUBSTITUTE(input_enews_audience," ","")&amp;",")))=COUNTA(TEXTSPLIT(CG136,",")))),IF(CI136="",TRUE,IF(input_enews_audience="",TRUE,SUMPRODUCT(--ISNUMBER(SEARCH(","&amp;TRIM(TEXTSPLIT(CI136,","))&amp;",",","&amp;SUBSTITUTE(input_enews_audience," ","")&amp;",")))=0)),IF(CK136="",TRUE,IF(input_enews_audience="",FALSE,SUMPRODUCT(--ISNUMBER(SEARCH(","&amp;TRIM(TEXTSPLIT(CK136,","))&amp;",",","&amp;SUBSTITUTE(input_enews_audience," ","")&amp;",")))&gt;0)),IF(CM136="",TRUE,IF(input_enews_audience="",FALSE,SUMPRODUCT(--ISNUMBER(SEARCH(","&amp;TRIM(TEXTSPLIT(CM136,","))&amp;",",","&amp;SUBSTITUTE(input_enews_audience," ","")&amp;",")))=COUNTA(TEXTSPLIT(CM136,",")))))</f>
        <v/>
      </c>
      <c r="JB136">
        <f>AND(IF(CO136="",TRUE,IF(input_event_location="",FALSE,SUMPRODUCT(--ISNUMBER(SEARCH(","&amp;TRIM(TEXTSPLIT(CO136,","))&amp;",",","&amp;SUBSTITUTE(input_event_location," ","")&amp;",")))&gt;0)),IF(CQ136="",TRUE,IF(input_event_location="",FALSE,SUMPRODUCT(--ISNUMBER(SEARCH(","&amp;TRIM(TEXTSPLIT(CQ136,","))&amp;",",","&amp;SUBSTITUTE(input_event_location," ","")&amp;",")))=COUNTA(TEXTSPLIT(CQ136,",")))),IF(CS136="",TRUE,IF(input_event_location="",TRUE,SUMPRODUCT(--ISNUMBER(SEARCH(","&amp;TRIM(TEXTSPLIT(CS136,","))&amp;",",","&amp;SUBSTITUTE(input_event_location," ","")&amp;",")))=0)),IF(CU136="",TRUE,IF(input_event_location="",FALSE,SUMPRODUCT(--ISNUMBER(SEARCH(","&amp;TRIM(TEXTSPLIT(CU136,","))&amp;",",","&amp;SUBSTITUTE(input_event_location," ","")&amp;",")))&gt;0)),IF(CW136="",TRUE,IF(input_event_location="",FALSE,SUMPRODUCT(--ISNUMBER(SEARCH(","&amp;TRIM(TEXTSPLIT(CW136,","))&amp;",",","&amp;SUBSTITUTE(input_event_location," ","")&amp;",")))=COUNTA(TEXTSPLIT(CW136,",")))))</f>
        <v/>
      </c>
      <c r="JC136">
        <f>AND(IF(CY136="",TRUE,IF(input_event_type="",FALSE,SUMPRODUCT(--ISNUMBER(SEARCH(","&amp;TRIM(TEXTSPLIT(CY136,","))&amp;",",","&amp;SUBSTITUTE(input_event_type," ","")&amp;",")))&gt;0)),IF(DA136="",TRUE,IF(input_event_type="",FALSE,SUMPRODUCT(--ISNUMBER(SEARCH(","&amp;TRIM(TEXTSPLIT(DA136,","))&amp;",",","&amp;SUBSTITUTE(input_event_type," ","")&amp;",")))=COUNTA(TEXTSPLIT(DA136,",")))),IF(DC136="",TRUE,IF(input_event_type="",TRUE,SUMPRODUCT(--ISNUMBER(SEARCH(","&amp;TRIM(TEXTSPLIT(DC136,","))&amp;",",","&amp;SUBSTITUTE(input_event_type," ","")&amp;",")))=0)),IF(DE136="",TRUE,IF(input_event_type="",FALSE,SUMPRODUCT(--ISNUMBER(SEARCH(","&amp;TRIM(TEXTSPLIT(DE136,","))&amp;",",","&amp;SUBSTITUTE(input_event_type," ","")&amp;",")))&gt;0)),IF(DG136="",TRUE,IF(input_event_type="",FALSE,SUMPRODUCT(--ISNUMBER(SEARCH(","&amp;TRIM(TEXTSPLIT(DG136,","))&amp;",",","&amp;SUBSTITUTE(input_event_type," ","")&amp;",")))=COUNTA(TEXTSPLIT(DG136,",")))))</f>
        <v/>
      </c>
      <c r="JD136">
        <f>AND(IF(DI136="",TRUE,IF(input_executive_education_focus="",FALSE,SUMPRODUCT(--ISNUMBER(SEARCH(","&amp;TRIM(TEXTSPLIT(DI136,","))&amp;",",","&amp;SUBSTITUTE(input_executive_education_focus," ","")&amp;",")))&gt;0)),IF(DK136="",TRUE,IF(input_executive_education_focus="",FALSE,SUMPRODUCT(--ISNUMBER(SEARCH(","&amp;TRIM(TEXTSPLIT(DK136,","))&amp;",",","&amp;SUBSTITUTE(input_executive_education_focus," ","")&amp;",")))=COUNTA(TEXTSPLIT(DK136,",")))),IF(DM136="",TRUE,IF(input_executive_education_focus="",TRUE,SUMPRODUCT(--ISNUMBER(SEARCH(","&amp;TRIM(TEXTSPLIT(DM136,","))&amp;",",","&amp;SUBSTITUTE(input_executive_education_focus," ","")&amp;",")))=0)),IF(DO136="",TRUE,IF(input_executive_education_focus="",FALSE,SUMPRODUCT(--ISNUMBER(SEARCH(","&amp;TRIM(TEXTSPLIT(DO136,","))&amp;",",","&amp;SUBSTITUTE(input_executive_education_focus," ","")&amp;",")))&gt;0)),IF(DQ136="",TRUE,IF(input_executive_education_focus="",FALSE,SUMPRODUCT(--ISNUMBER(SEARCH(","&amp;TRIM(TEXTSPLIT(DQ136,","))&amp;",",","&amp;SUBSTITUTE(input_executive_education_focus," ","")&amp;",")))=COUNTA(TEXTSPLIT(DQ136,",")))))</f>
        <v/>
      </c>
      <c r="JE136">
        <f>AND(IF(DS136="",TRUE,IF(input_faculty_category="",FALSE,SUMPRODUCT(--ISNUMBER(SEARCH(","&amp;TRIM(TEXTSPLIT(DS136,","))&amp;",",","&amp;SUBSTITUTE(input_faculty_category," ","")&amp;",")))&gt;0)),IF(DU136="",TRUE,IF(input_faculty_category="",FALSE,SUMPRODUCT(--ISNUMBER(SEARCH(","&amp;TRIM(TEXTSPLIT(DU136,","))&amp;",",","&amp;SUBSTITUTE(input_faculty_category," ","")&amp;",")))=COUNTA(TEXTSPLIT(DU136,",")))),IF(DW136="",TRUE,IF(input_faculty_category="",TRUE,SUMPRODUCT(--ISNUMBER(SEARCH(","&amp;TRIM(TEXTSPLIT(DW136,","))&amp;",",","&amp;SUBSTITUTE(input_faculty_category," ","")&amp;",")))=0)),IF(DY136="",TRUE,IF(input_faculty_category="",FALSE,SUMPRODUCT(--ISNUMBER(SEARCH(","&amp;TRIM(TEXTSPLIT(DY136,","))&amp;",",","&amp;SUBSTITUTE(input_faculty_category," ","")&amp;",")))&gt;0)),IF(EA136="",TRUE,IF(input_faculty_category="",FALSE,SUMPRODUCT(--ISNUMBER(SEARCH(","&amp;TRIM(TEXTSPLIT(EA136,","))&amp;",",","&amp;SUBSTITUTE(input_faculty_category," ","")&amp;",")))=COUNTA(TEXTSPLIT(EA136,",")))))</f>
        <v/>
      </c>
      <c r="JF136">
        <f>AND(IF(EC136="",TRUE,IF(input_faculty_discipline="",FALSE,SUMPRODUCT(--ISNUMBER(SEARCH(","&amp;TRIM(TEXTSPLIT(EC136,","))&amp;",",","&amp;SUBSTITUTE(input_faculty_discipline," ","")&amp;",")))&gt;0)),IF(EE136="",TRUE,IF(input_faculty_discipline="",FALSE,SUMPRODUCT(--ISNUMBER(SEARCH(","&amp;TRIM(TEXTSPLIT(EE136,","))&amp;",",","&amp;SUBSTITUTE(input_faculty_discipline," ","")&amp;",")))=COUNTA(TEXTSPLIT(EE136,",")))),IF(EG136="",TRUE,IF(input_faculty_discipline="",TRUE,SUMPRODUCT(--ISNUMBER(SEARCH(","&amp;TRIM(TEXTSPLIT(EG136,","))&amp;",",","&amp;SUBSTITUTE(input_faculty_discipline," ","")&amp;",")))=0)),IF(EI136="",TRUE,IF(input_faculty_discipline="",FALSE,SUMPRODUCT(--ISNUMBER(SEARCH(","&amp;TRIM(TEXTSPLIT(EI136,","))&amp;",",","&amp;SUBSTITUTE(input_faculty_discipline," ","")&amp;",")))&gt;0)),IF(EK136="",TRUE,IF(input_faculty_discipline="",FALSE,SUMPRODUCT(--ISNUMBER(SEARCH(","&amp;TRIM(TEXTSPLIT(EK136,","))&amp;",",","&amp;SUBSTITUTE(input_faculty_discipline," ","")&amp;",")))=COUNTA(TEXTSPLIT(EK136,",")))))</f>
        <v/>
      </c>
      <c r="JG136">
        <f>AND(IF(EM136="",TRUE,IF(input_faculty_expertise="",FALSE,SUMPRODUCT(--ISNUMBER(SEARCH(","&amp;TRIM(TEXTSPLIT(EM136,","))&amp;",",","&amp;SUBSTITUTE(input_faculty_expertise," ","")&amp;",")))&gt;0)),IF(EO136="",TRUE,IF(input_faculty_expertise="",FALSE,SUMPRODUCT(--ISNUMBER(SEARCH(","&amp;TRIM(TEXTSPLIT(EO136,","))&amp;",",","&amp;SUBSTITUTE(input_faculty_expertise," ","")&amp;",")))=COUNTA(TEXTSPLIT(EO136,",")))),IF(EQ136="",TRUE,IF(input_faculty_expertise="",TRUE,SUMPRODUCT(--ISNUMBER(SEARCH(","&amp;TRIM(TEXTSPLIT(EQ136,","))&amp;",",","&amp;SUBSTITUTE(input_faculty_expertise," ","")&amp;",")))=0)),IF(ES136="",TRUE,IF(input_faculty_expertise="",FALSE,SUMPRODUCT(--ISNUMBER(SEARCH(","&amp;TRIM(TEXTSPLIT(ES136,","))&amp;",",","&amp;SUBSTITUTE(input_faculty_expertise," ","")&amp;",")))&gt;0)),IF(EU136="",TRUE,IF(input_faculty_expertise="",FALSE,SUMPRODUCT(--ISNUMBER(SEARCH(","&amp;TRIM(TEXTSPLIT(EU136,","))&amp;",",","&amp;SUBSTITUTE(input_faculty_expertise," ","")&amp;",")))=COUNTA(TEXTSPLIT(EU136,",")))))</f>
        <v/>
      </c>
      <c r="JH136">
        <f>AND(IF(EW136="",TRUE,IF(input_global_network_school="",FALSE,SUMPRODUCT(--ISNUMBER(SEARCH(","&amp;TRIM(TEXTSPLIT(EW136,","))&amp;",",","&amp;SUBSTITUTE(input_global_network_school," ","")&amp;",")))&gt;0)),IF(EY136="",TRUE,IF(input_global_network_school="",FALSE,SUMPRODUCT(--ISNUMBER(SEARCH(","&amp;TRIM(TEXTSPLIT(EY136,","))&amp;",",","&amp;SUBSTITUTE(input_global_network_school," ","")&amp;",")))=COUNTA(TEXTSPLIT(EY136,",")))),IF(FA136="",TRUE,IF(input_global_network_school="",TRUE,SUMPRODUCT(--ISNUMBER(SEARCH(","&amp;TRIM(TEXTSPLIT(FA136,","))&amp;",",","&amp;SUBSTITUTE(input_global_network_school," ","")&amp;",")))=0)),IF(FC136="",TRUE,IF(input_global_network_school="",FALSE,SUMPRODUCT(--ISNUMBER(SEARCH(","&amp;TRIM(TEXTSPLIT(FC136,","))&amp;",",","&amp;SUBSTITUTE(input_global_network_school," ","")&amp;",")))&gt;0)),IF(FE136="",TRUE,IF(input_global_network_school="",FALSE,SUMPRODUCT(--ISNUMBER(SEARCH(","&amp;TRIM(TEXTSPLIT(FE136,","))&amp;",",","&amp;SUBSTITUTE(input_global_network_school," ","")&amp;",")))=COUNTA(TEXTSPLIT(FE136,",")))))</f>
        <v/>
      </c>
      <c r="JI136">
        <f>AND(IF(FG136="",TRUE,IF(input_industry="",FALSE,SUMPRODUCT(--ISNUMBER(SEARCH(","&amp;TRIM(TEXTSPLIT(FG136,","))&amp;",",","&amp;SUBSTITUTE(input_industry," ","")&amp;",")))&gt;0)),IF(FI136="",TRUE,IF(input_industry="",FALSE,SUMPRODUCT(--ISNUMBER(SEARCH(","&amp;TRIM(TEXTSPLIT(FI136,","))&amp;",",","&amp;SUBSTITUTE(input_industry," ","")&amp;",")))=COUNTA(TEXTSPLIT(FI136,",")))),IF(FK136="",TRUE,IF(input_industry="",TRUE,SUMPRODUCT(--ISNUMBER(SEARCH(","&amp;TRIM(TEXTSPLIT(FK136,","))&amp;",",","&amp;SUBSTITUTE(input_industry," ","")&amp;",")))=0)),IF(FM136="",TRUE,IF(input_industry="",FALSE,SUMPRODUCT(--ISNUMBER(SEARCH(","&amp;TRIM(TEXTSPLIT(FM136,","))&amp;",",","&amp;SUBSTITUTE(input_industry," ","")&amp;",")))&gt;0)),IF(FO136="",TRUE,IF(input_industry="",FALSE,SUMPRODUCT(--ISNUMBER(SEARCH(","&amp;TRIM(TEXTSPLIT(FO136,","))&amp;",",","&amp;SUBSTITUTE(input_industry," ","")&amp;",")))=COUNTA(TEXTSPLIT(FO136,",")))))</f>
        <v/>
      </c>
      <c r="JJ136">
        <f>AND(IF(FQ136="",TRUE,IF(input_location="",FALSE,SUMPRODUCT(--ISNUMBER(SEARCH(","&amp;TRIM(TEXTSPLIT(FQ136,","))&amp;",",","&amp;SUBSTITUTE(input_location," ","")&amp;",")))&gt;0)),IF(FS136="",TRUE,IF(input_location="",FALSE,SUMPRODUCT(--ISNUMBER(SEARCH(","&amp;TRIM(TEXTSPLIT(FS136,","))&amp;",",","&amp;SUBSTITUTE(input_location," ","")&amp;",")))=COUNTA(TEXTSPLIT(FS136,",")))),IF(FU136="",TRUE,IF(input_location="",TRUE,SUMPRODUCT(--ISNUMBER(SEARCH(","&amp;TRIM(TEXTSPLIT(FU136,","))&amp;",",","&amp;SUBSTITUTE(input_location," ","")&amp;",")))=0)),IF(FW136="",TRUE,IF(input_location="",FALSE,SUMPRODUCT(--ISNUMBER(SEARCH(","&amp;TRIM(TEXTSPLIT(FW136,","))&amp;",",","&amp;SUBSTITUTE(input_location," ","")&amp;",")))&gt;0)),IF(FY136="",TRUE,IF(input_location="",FALSE,SUMPRODUCT(--ISNUMBER(SEARCH(","&amp;TRIM(TEXTSPLIT(FY136,","))&amp;",",","&amp;SUBSTITUTE(input_location," ","")&amp;",")))=COUNTA(TEXTSPLIT(FY136,",")))))</f>
        <v/>
      </c>
      <c r="JK136">
        <f>AND(IF(GA136="",TRUE,IF(input_modality="",FALSE,SUMPRODUCT(--ISNUMBER(SEARCH(","&amp;TRIM(TEXTSPLIT(GA136,","))&amp;",",","&amp;SUBSTITUTE(input_modality," ","")&amp;",")))&gt;0)),IF(GC136="",TRUE,IF(input_modality="",FALSE,SUMPRODUCT(--ISNUMBER(SEARCH(","&amp;TRIM(TEXTSPLIT(GC136,","))&amp;",",","&amp;SUBSTITUTE(input_modality," ","")&amp;",")))=COUNTA(TEXTSPLIT(GC136,",")))),IF(GE136="",TRUE,IF(input_modality="",TRUE,SUMPRODUCT(--ISNUMBER(SEARCH(","&amp;TRIM(TEXTSPLIT(GE136,","))&amp;",",","&amp;SUBSTITUTE(input_modality," ","")&amp;",")))=0)),IF(GG136="",TRUE,IF(input_modality="",FALSE,SUMPRODUCT(--ISNUMBER(SEARCH(","&amp;TRIM(TEXTSPLIT(GG136,","))&amp;",",","&amp;SUBSTITUTE(input_modality," ","")&amp;",")))&gt;0)),IF(GI136="",TRUE,IF(input_modality="",FALSE,SUMPRODUCT(--ISNUMBER(SEARCH(","&amp;TRIM(TEXTSPLIT(GI136,","))&amp;",",","&amp;SUBSTITUTE(input_modality," ","")&amp;",")))=COUNTA(TEXTSPLIT(GI136,",")))))</f>
        <v/>
      </c>
      <c r="JL136">
        <f>AND(IF(GK136="",TRUE,IF(input_organizer="",FALSE,SUMPRODUCT(--ISNUMBER(SEARCH(","&amp;TRIM(TEXTSPLIT(GK136,","))&amp;",",","&amp;SUBSTITUTE(input_organizer," ","")&amp;",")))&gt;0)),IF(GM136="",TRUE,IF(input_organizer="",FALSE,SUMPRODUCT(--ISNUMBER(SEARCH(","&amp;TRIM(TEXTSPLIT(GM136,","))&amp;",",","&amp;SUBSTITUTE(input_organizer," ","")&amp;",")))=COUNTA(TEXTSPLIT(GM136,",")))),IF(GO136="",TRUE,IF(input_organizer="",TRUE,SUMPRODUCT(--ISNUMBER(SEARCH(","&amp;TRIM(TEXTSPLIT(GO136,","))&amp;",",","&amp;SUBSTITUTE(input_organizer," ","")&amp;",")))=0)),IF(GQ136="",TRUE,IF(input_organizer="",FALSE,SUMPRODUCT(--ISNUMBER(SEARCH(","&amp;TRIM(TEXTSPLIT(GQ136,","))&amp;",",","&amp;SUBSTITUTE(input_organizer," ","")&amp;",")))&gt;0)),IF(GS136="",TRUE,IF(input_organizer="",FALSE,SUMPRODUCT(--ISNUMBER(SEARCH(","&amp;TRIM(TEXTSPLIT(GS136,","))&amp;",",","&amp;SUBSTITUTE(input_organizer," ","")&amp;",")))=COUNTA(TEXTSPLIT(GS136,",")))))</f>
        <v/>
      </c>
      <c r="JM136">
        <f>AND(IF(GU136="",TRUE,IF(input_profile_type="",FALSE,SUMPRODUCT(--ISNUMBER(SEARCH(","&amp;TRIM(TEXTSPLIT(GU136,","))&amp;",",","&amp;SUBSTITUTE(input_profile_type," ","")&amp;",")))&gt;0)),IF(GW136="",TRUE,IF(input_profile_type="",FALSE,SUMPRODUCT(--ISNUMBER(SEARCH(","&amp;TRIM(TEXTSPLIT(GW136,","))&amp;",",","&amp;SUBSTITUTE(input_profile_type," ","")&amp;",")))=COUNTA(TEXTSPLIT(GW136,",")))),IF(GY136="",TRUE,IF(input_profile_type="",TRUE,SUMPRODUCT(--ISNUMBER(SEARCH(","&amp;TRIM(TEXTSPLIT(GY136,","))&amp;",",","&amp;SUBSTITUTE(input_profile_type," ","")&amp;",")))=0)),IF(HA136="",TRUE,IF(input_profile_type="",FALSE,SUMPRODUCT(--ISNUMBER(SEARCH(","&amp;TRIM(TEXTSPLIT(HA136,","))&amp;",",","&amp;SUBSTITUTE(input_profile_type," ","")&amp;",")))&gt;0)),IF(HC136="",TRUE,IF(input_profile_type="",FALSE,SUMPRODUCT(--ISNUMBER(SEARCH(","&amp;TRIM(TEXTSPLIT(HC136,","))&amp;",",","&amp;SUBSTITUTE(input_profile_type," ","")&amp;",")))=COUNTA(TEXTSPLIT(HC136,",")))))</f>
        <v/>
      </c>
      <c r="JN136">
        <f>AND(IF(HE136="",TRUE,IF(input_program="",FALSE,SUMPRODUCT(--ISNUMBER(SEARCH(","&amp;TRIM(TEXTSPLIT(HE136,","))&amp;",",","&amp;SUBSTITUTE(input_program," ","")&amp;",")))&gt;0)),IF(HG136="",TRUE,IF(input_program="",FALSE,SUMPRODUCT(--ISNUMBER(SEARCH(","&amp;TRIM(TEXTSPLIT(HG136,","))&amp;",",","&amp;SUBSTITUTE(input_program," ","")&amp;",")))=COUNTA(TEXTSPLIT(HG136,",")))),IF(HI136="",TRUE,IF(input_program="",TRUE,SUMPRODUCT(--ISNUMBER(SEARCH(","&amp;TRIM(TEXTSPLIT(HI136,","))&amp;",",","&amp;SUBSTITUTE(input_program," ","")&amp;",")))=0)),IF(HK136="",TRUE,IF(input_program="",FALSE,SUMPRODUCT(--ISNUMBER(SEARCH(","&amp;TRIM(TEXTSPLIT(HK136,","))&amp;",",","&amp;SUBSTITUTE(input_program," ","")&amp;",")))&gt;0)),IF(HM136="",TRUE,IF(input_program="",FALSE,SUMPRODUCT(--ISNUMBER(SEARCH(","&amp;TRIM(TEXTSPLIT(HM136,","))&amp;",",","&amp;SUBSTITUTE(input_program," ","")&amp;",")))=COUNTA(TEXTSPLIT(HM136,",")))))</f>
        <v/>
      </c>
      <c r="JO136">
        <f>AND(IF(HO136="",TRUE,IF(input_story_categories="",FALSE,SUMPRODUCT(--ISNUMBER(SEARCH(","&amp;TRIM(TEXTSPLIT(HO136,","))&amp;",",","&amp;SUBSTITUTE(input_story_categories," ","")&amp;",")))&gt;0)),IF(HQ136="",TRUE,IF(input_story_categories="",FALSE,SUMPRODUCT(--ISNUMBER(SEARCH(","&amp;TRIM(TEXTSPLIT(HQ136,","))&amp;",",","&amp;SUBSTITUTE(input_story_categories," ","")&amp;",")))=COUNTA(TEXTSPLIT(HQ136,",")))),IF(HS136="",TRUE,IF(input_story_categories="",TRUE,SUMPRODUCT(--ISNUMBER(SEARCH(","&amp;TRIM(TEXTSPLIT(HS136,","))&amp;",",","&amp;SUBSTITUTE(input_story_categories," ","")&amp;",")))=0)),IF(HU136="",TRUE,IF(input_story_categories="",FALSE,SUMPRODUCT(--ISNUMBER(SEARCH(","&amp;TRIM(TEXTSPLIT(HU136,","))&amp;",",","&amp;SUBSTITUTE(input_story_categories," ","")&amp;",")))&gt;0)),IF(HW136="",TRUE,IF(input_story_categories="",FALSE,SUMPRODUCT(--ISNUMBER(SEARCH(","&amp;TRIM(TEXTSPLIT(HW136,","))&amp;",",","&amp;SUBSTITUTE(input_story_categories," ","")&amp;",")))=COUNTA(TEXTSPLIT(HW136,",")))))</f>
        <v/>
      </c>
      <c r="JP136">
        <f>AND(IF(HY136="",TRUE,IF(input_story_type="",FALSE,SUMPRODUCT(--ISNUMBER(SEARCH(","&amp;TRIM(TEXTSPLIT(HY136,","))&amp;",",","&amp;SUBSTITUTE(input_story_type," ","")&amp;",")))&gt;0)),IF(IA136="",TRUE,IF(input_story_type="",FALSE,SUMPRODUCT(--ISNUMBER(SEARCH(","&amp;TRIM(TEXTSPLIT(IA136,","))&amp;",",","&amp;SUBSTITUTE(input_story_type," ","")&amp;",")))=COUNTA(TEXTSPLIT(IA136,",")))),IF(IC136="",TRUE,IF(input_story_type="",TRUE,SUMPRODUCT(--ISNUMBER(SEARCH(","&amp;TRIM(TEXTSPLIT(IC136,","))&amp;",",","&amp;SUBSTITUTE(input_story_type," ","")&amp;",")))=0)),IF(IE136="",TRUE,IF(input_story_type="",FALSE,SUMPRODUCT(--ISNUMBER(SEARCH(","&amp;TRIM(TEXTSPLIT(IE136,","))&amp;",",","&amp;SUBSTITUTE(input_story_type," ","")&amp;",")))&gt;0)),IF(IG136="",TRUE,IF(input_story_type="",FALSE,SUMPRODUCT(--ISNUMBER(SEARCH(","&amp;TRIM(TEXTSPLIT(IG136,","))&amp;",",","&amp;SUBSTITUTE(input_story_type," ","")&amp;",")))=COUNTA(TEXTSPLIT(IG136,",")))))</f>
        <v/>
      </c>
      <c r="JQ136">
        <f>AND(IF(II136="",TRUE,IF(input_topics="",FALSE,SUMPRODUCT(--ISNUMBER(SEARCH(","&amp;TRIM(TEXTSPLIT(II136,","))&amp;",",","&amp;SUBSTITUTE(input_topics," ","")&amp;",")))&gt;0)),IF(IK136="",TRUE,IF(input_topics="",FALSE,SUMPRODUCT(--ISNUMBER(SEARCH(","&amp;TRIM(TEXTSPLIT(IK136,","))&amp;",",","&amp;SUBSTITUTE(input_topics," ","")&amp;",")))=COUNTA(TEXTSPLIT(IK136,",")))),IF(IM136="",TRUE,IF(input_topics="",TRUE,SUMPRODUCT(--ISNUMBER(SEARCH(","&amp;TRIM(TEXTSPLIT(IM136,","))&amp;",",","&amp;SUBSTITUTE(input_topics," ","")&amp;",")))=0)),IF(IO136="",TRUE,IF(input_topics="",FALSE,SUMPRODUCT(--ISNUMBER(SEARCH(","&amp;TRIM(TEXTSPLIT(IO136,","))&amp;",",","&amp;SUBSTITUTE(input_topics," ","")&amp;",")))&gt;0)),IF(IQ136="",TRUE,IF(input_topics="",FALSE,SUMPRODUCT(--ISNUMBER(SEARCH(","&amp;TRIM(TEXTSPLIT(IQ136,","))&amp;",",","&amp;SUBSTITUTE(input_topics," ","")&amp;",")))=COUNTA(TEXTSPLIT(IQ136,",")))))</f>
        <v/>
      </c>
    </row>
    <row r="137">
      <c r="A137" s="4">
        <f>IF(NOT(IS137),"Excluded",IF(AND(IT137,IU137,IV137,IW137,IX137,IY137,IZ137,JA137,JB137,JC137,JD137,JE137,JF137,JG137,JH137,JI137,JJ137,JK137,JL137,JM137,JN137,JO137,JP137,JQ137),IF(I137&gt;0,"Eligible but limited","Will appear"),"Excluded"))</f>
        <v/>
      </c>
      <c r="B137" s="4" t="inlineStr">
        <is>
          <t>News - Summary</t>
        </is>
      </c>
      <c r="C137" s="4" t="inlineStr">
        <is>
          <t>/</t>
        </is>
      </c>
      <c r="D137" s="4" t="inlineStr">
        <is>
          <t>/</t>
        </is>
      </c>
      <c r="E137" s="4" t="n">
        <v>1</v>
      </c>
      <c r="F137" s="4" t="inlineStr">
        <is>
          <t>story</t>
        </is>
      </c>
      <c r="G137" s="4" t="inlineStr">
        <is>
          <t>stories_mosaic_grid</t>
        </is>
      </c>
      <c r="H137" s="4" t="inlineStr">
        <is>
          <t>embed_news_summary</t>
        </is>
      </c>
      <c r="I137" s="4" t="n">
        <v>1</v>
      </c>
      <c r="J137" s="4" t="inlineStr">
        <is>
          <t>View/config rules</t>
        </is>
      </c>
      <c r="K137" s="4" t="inlineStr">
        <is>
          <t>Page placement</t>
        </is>
      </c>
      <c r="L137" s="4" t="inlineStr">
        <is>
          <t>Content type: story; Needs any Story Type: News (924); Limited to 1 item(s); Source: View/config rules</t>
        </is>
      </c>
      <c r="M137" t="inlineStr"/>
      <c r="N137" t="inlineStr"/>
      <c r="O137" t="inlineStr"/>
      <c r="P137" t="inlineStr"/>
      <c r="Q137" t="inlineStr"/>
      <c r="R137" t="inlineStr"/>
      <c r="S137" t="inlineStr"/>
      <c r="T137" t="inlineStr"/>
      <c r="U137" t="inlineStr"/>
      <c r="V137" t="inlineStr"/>
      <c r="W137" t="inlineStr"/>
      <c r="X137" t="inlineStr"/>
      <c r="Y137" t="inlineStr"/>
      <c r="Z137" t="inlineStr"/>
      <c r="AA137" t="inlineStr"/>
      <c r="AB137" t="inlineStr"/>
      <c r="AC137" t="inlineStr"/>
      <c r="AD137" t="inlineStr"/>
      <c r="AE137" t="inlineStr"/>
      <c r="AF137" t="inlineStr"/>
      <c r="AG137" t="inlineStr"/>
      <c r="AH137" t="inlineStr"/>
      <c r="AI137" t="inlineStr"/>
      <c r="AJ137" t="inlineStr"/>
      <c r="AK137" t="inlineStr"/>
      <c r="AL137" t="inlineStr"/>
      <c r="AM137" t="inlineStr"/>
      <c r="AN137" t="inlineStr"/>
      <c r="AO137" t="inlineStr"/>
      <c r="AP137" t="inlineStr"/>
      <c r="AQ137" t="inlineStr"/>
      <c r="AR137" t="inlineStr"/>
      <c r="AS137" t="inlineStr"/>
      <c r="AT137" t="inlineStr"/>
      <c r="AU137" t="inlineStr"/>
      <c r="AV137" t="inlineStr"/>
      <c r="AW137" t="inlineStr"/>
      <c r="AX137" t="inlineStr"/>
      <c r="AY137" t="inlineStr"/>
      <c r="AZ137" t="inlineStr"/>
      <c r="BA137" t="inlineStr"/>
      <c r="BB137" t="inlineStr"/>
      <c r="BC137" t="inlineStr"/>
      <c r="BD137" t="inlineStr"/>
      <c r="BE137" t="inlineStr"/>
      <c r="BF137" t="inlineStr"/>
      <c r="BG137" t="inlineStr"/>
      <c r="BH137" t="inlineStr"/>
      <c r="BI137" t="inlineStr"/>
      <c r="BJ137" t="inlineStr"/>
      <c r="BK137" t="inlineStr"/>
      <c r="BL137" t="inlineStr"/>
      <c r="BM137" t="inlineStr"/>
      <c r="BN137" t="inlineStr"/>
      <c r="BO137" t="inlineStr"/>
      <c r="BP137" t="inlineStr"/>
      <c r="BQ137" t="inlineStr"/>
      <c r="BR137" t="inlineStr"/>
      <c r="BS137" t="inlineStr"/>
      <c r="BT137" t="inlineStr"/>
      <c r="BU137" t="inlineStr"/>
      <c r="BV137" t="inlineStr"/>
      <c r="BW137" t="inlineStr"/>
      <c r="BX137" t="inlineStr"/>
      <c r="BY137" t="inlineStr"/>
      <c r="BZ137" t="inlineStr"/>
      <c r="CA137" t="inlineStr"/>
      <c r="CB137" t="inlineStr"/>
      <c r="CC137" t="inlineStr"/>
      <c r="CD137" t="inlineStr"/>
      <c r="CE137" t="inlineStr"/>
      <c r="CF137" t="inlineStr"/>
      <c r="CG137" t="inlineStr"/>
      <c r="CH137" t="inlineStr"/>
      <c r="CI137" t="inlineStr"/>
      <c r="CJ137" t="inlineStr"/>
      <c r="CK137" t="inlineStr"/>
      <c r="CL137" t="inlineStr"/>
      <c r="CM137" t="inlineStr"/>
      <c r="CN137" t="inlineStr"/>
      <c r="CO137" t="inlineStr"/>
      <c r="CP137" t="inlineStr"/>
      <c r="CQ137" t="inlineStr"/>
      <c r="CR137" t="inlineStr"/>
      <c r="CS137" t="inlineStr"/>
      <c r="CT137" t="inlineStr"/>
      <c r="CU137" t="inlineStr"/>
      <c r="CV137" t="inlineStr"/>
      <c r="CW137" t="inlineStr"/>
      <c r="CX137" t="inlineStr"/>
      <c r="CY137" t="inlineStr"/>
      <c r="CZ137" t="inlineStr"/>
      <c r="DA137" t="inlineStr"/>
      <c r="DB137" t="inlineStr"/>
      <c r="DC137" t="inlineStr"/>
      <c r="DD137" t="inlineStr"/>
      <c r="DE137" t="inlineStr"/>
      <c r="DF137" t="inlineStr"/>
      <c r="DG137" t="inlineStr"/>
      <c r="DH137" t="inlineStr"/>
      <c r="DI137" t="inlineStr"/>
      <c r="DJ137" t="inlineStr"/>
      <c r="DK137" t="inlineStr"/>
      <c r="DL137" t="inlineStr"/>
      <c r="DM137" t="inlineStr"/>
      <c r="DN137" t="inlineStr"/>
      <c r="DO137" t="inlineStr"/>
      <c r="DP137" t="inlineStr"/>
      <c r="DQ137" t="inlineStr"/>
      <c r="DR137" t="inlineStr"/>
      <c r="DS137" t="inlineStr"/>
      <c r="DT137" t="inlineStr"/>
      <c r="DU137" t="inlineStr"/>
      <c r="DV137" t="inlineStr"/>
      <c r="DW137" t="inlineStr"/>
      <c r="DX137" t="inlineStr"/>
      <c r="DY137" t="inlineStr"/>
      <c r="DZ137" t="inlineStr"/>
      <c r="EA137" t="inlineStr"/>
      <c r="EB137" t="inlineStr"/>
      <c r="EC137" t="inlineStr"/>
      <c r="ED137" t="inlineStr"/>
      <c r="EE137" t="inlineStr"/>
      <c r="EF137" t="inlineStr"/>
      <c r="EG137" t="inlineStr"/>
      <c r="EH137" t="inlineStr"/>
      <c r="EI137" t="inlineStr"/>
      <c r="EJ137" t="inlineStr"/>
      <c r="EK137" t="inlineStr"/>
      <c r="EL137" t="inlineStr"/>
      <c r="EM137" t="inlineStr"/>
      <c r="EN137" t="inlineStr"/>
      <c r="EO137" t="inlineStr"/>
      <c r="EP137" t="inlineStr"/>
      <c r="EQ137" t="inlineStr"/>
      <c r="ER137" t="inlineStr"/>
      <c r="ES137" t="inlineStr"/>
      <c r="ET137" t="inlineStr"/>
      <c r="EU137" t="inlineStr"/>
      <c r="EV137" t="inlineStr"/>
      <c r="EW137" t="inlineStr"/>
      <c r="EX137" t="inlineStr"/>
      <c r="EY137" t="inlineStr"/>
      <c r="EZ137" t="inlineStr"/>
      <c r="FA137" t="inlineStr"/>
      <c r="FB137" t="inlineStr"/>
      <c r="FC137" t="inlineStr"/>
      <c r="FD137" t="inlineStr"/>
      <c r="FE137" t="inlineStr"/>
      <c r="FF137" t="inlineStr"/>
      <c r="FG137" t="inlineStr"/>
      <c r="FH137" t="inlineStr"/>
      <c r="FI137" t="inlineStr"/>
      <c r="FJ137" t="inlineStr"/>
      <c r="FK137" t="inlineStr"/>
      <c r="FL137" t="inlineStr"/>
      <c r="FM137" t="inlineStr"/>
      <c r="FN137" t="inlineStr"/>
      <c r="FO137" t="inlineStr"/>
      <c r="FP137" t="inlineStr"/>
      <c r="FQ137" t="inlineStr"/>
      <c r="FR137" t="inlineStr"/>
      <c r="FS137" t="inlineStr"/>
      <c r="FT137" t="inlineStr"/>
      <c r="FU137" t="inlineStr"/>
      <c r="FV137" t="inlineStr"/>
      <c r="FW137" t="inlineStr"/>
      <c r="FX137" t="inlineStr"/>
      <c r="FY137" t="inlineStr"/>
      <c r="FZ137" t="inlineStr"/>
      <c r="GA137" t="inlineStr"/>
      <c r="GB137" t="inlineStr"/>
      <c r="GC137" t="inlineStr"/>
      <c r="GD137" t="inlineStr"/>
      <c r="GE137" t="inlineStr"/>
      <c r="GF137" t="inlineStr"/>
      <c r="GG137" t="inlineStr"/>
      <c r="GH137" t="inlineStr"/>
      <c r="GI137" t="inlineStr"/>
      <c r="GJ137" t="inlineStr"/>
      <c r="GK137" t="inlineStr"/>
      <c r="GL137" t="inlineStr"/>
      <c r="GM137" t="inlineStr"/>
      <c r="GN137" t="inlineStr"/>
      <c r="GO137" t="inlineStr"/>
      <c r="GP137" t="inlineStr"/>
      <c r="GQ137" t="inlineStr"/>
      <c r="GR137" t="inlineStr"/>
      <c r="GS137" t="inlineStr"/>
      <c r="GT137" t="inlineStr"/>
      <c r="GU137" t="inlineStr"/>
      <c r="GV137" t="inlineStr"/>
      <c r="GW137" t="inlineStr"/>
      <c r="GX137" t="inlineStr"/>
      <c r="GY137" t="inlineStr"/>
      <c r="GZ137" t="inlineStr"/>
      <c r="HA137" t="inlineStr"/>
      <c r="HB137" t="inlineStr"/>
      <c r="HC137" t="inlineStr"/>
      <c r="HD137" t="inlineStr"/>
      <c r="HE137" t="inlineStr"/>
      <c r="HF137" t="inlineStr"/>
      <c r="HG137" t="inlineStr"/>
      <c r="HH137" t="inlineStr"/>
      <c r="HI137" t="inlineStr"/>
      <c r="HJ137" t="inlineStr"/>
      <c r="HK137" t="inlineStr"/>
      <c r="HL137" t="inlineStr"/>
      <c r="HM137" t="inlineStr"/>
      <c r="HN137" t="inlineStr"/>
      <c r="HO137" t="inlineStr"/>
      <c r="HP137" t="inlineStr"/>
      <c r="HQ137" t="inlineStr"/>
      <c r="HR137" t="inlineStr"/>
      <c r="HS137" t="inlineStr"/>
      <c r="HT137" t="inlineStr"/>
      <c r="HU137" t="inlineStr"/>
      <c r="HV137" t="inlineStr"/>
      <c r="HW137" t="inlineStr"/>
      <c r="HX137" t="inlineStr"/>
      <c r="HY137" t="inlineStr">
        <is>
          <t>924</t>
        </is>
      </c>
      <c r="HZ137" t="inlineStr">
        <is>
          <t>News (924)</t>
        </is>
      </c>
      <c r="IA137" t="inlineStr"/>
      <c r="IB137" t="inlineStr"/>
      <c r="IC137" t="inlineStr"/>
      <c r="ID137" t="inlineStr"/>
      <c r="IE137" t="inlineStr"/>
      <c r="IF137" t="inlineStr"/>
      <c r="IG137" t="inlineStr"/>
      <c r="IH137" t="inlineStr"/>
      <c r="II137" t="inlineStr"/>
      <c r="IJ137" t="inlineStr"/>
      <c r="IK137" t="inlineStr"/>
      <c r="IL137" t="inlineStr"/>
      <c r="IM137" t="inlineStr"/>
      <c r="IN137" t="inlineStr"/>
      <c r="IO137" t="inlineStr"/>
      <c r="IP137" t="inlineStr"/>
      <c r="IQ137" t="inlineStr"/>
      <c r="IR137" t="inlineStr"/>
      <c r="IS137">
        <f>IF(input_content_type="",FALSE,ISNUMBER(SEARCH(","&amp;LOWER(input_content_type)&amp;",",","&amp;LOWER(F137)&amp;",")))</f>
        <v/>
      </c>
      <c r="IT137">
        <f>AND(IF(M137="",TRUE,IF(input_affiliations="",FALSE,SUMPRODUCT(--ISNUMBER(SEARCH(","&amp;TRIM(TEXTSPLIT(M137,","))&amp;",",","&amp;SUBSTITUTE(input_affiliations," ","")&amp;",")))&gt;0)),IF(O137="",TRUE,IF(input_affiliations="",FALSE,SUMPRODUCT(--ISNUMBER(SEARCH(","&amp;TRIM(TEXTSPLIT(O137,","))&amp;",",","&amp;SUBSTITUTE(input_affiliations," ","")&amp;",")))=COUNTA(TEXTSPLIT(O137,",")))),IF(Q137="",TRUE,IF(input_affiliations="",TRUE,SUMPRODUCT(--ISNUMBER(SEARCH(","&amp;TRIM(TEXTSPLIT(Q137,","))&amp;",",","&amp;SUBSTITUTE(input_affiliations," ","")&amp;",")))=0)),IF(S137="",TRUE,IF(input_affiliations="",FALSE,SUMPRODUCT(--ISNUMBER(SEARCH(","&amp;TRIM(TEXTSPLIT(S137,","))&amp;",",","&amp;SUBSTITUTE(input_affiliations," ","")&amp;",")))&gt;0)),IF(U137="",TRUE,IF(input_affiliations="",FALSE,SUMPRODUCT(--ISNUMBER(SEARCH(","&amp;TRIM(TEXTSPLIT(U137,","))&amp;",",","&amp;SUBSTITUTE(input_affiliations," ","")&amp;",")))=COUNTA(TEXTSPLIT(U137,",")))))</f>
        <v/>
      </c>
      <c r="IU137">
        <f>AND(IF(W137="",TRUE,IF(input_announcement_category="",FALSE,SUMPRODUCT(--ISNUMBER(SEARCH(","&amp;TRIM(TEXTSPLIT(W137,","))&amp;",",","&amp;SUBSTITUTE(input_announcement_category," ","")&amp;",")))&gt;0)),IF(Y137="",TRUE,IF(input_announcement_category="",FALSE,SUMPRODUCT(--ISNUMBER(SEARCH(","&amp;TRIM(TEXTSPLIT(Y137,","))&amp;",",","&amp;SUBSTITUTE(input_announcement_category," ","")&amp;",")))=COUNTA(TEXTSPLIT(Y137,",")))),IF(AA137="",TRUE,IF(input_announcement_category="",TRUE,SUMPRODUCT(--ISNUMBER(SEARCH(","&amp;TRIM(TEXTSPLIT(AA137,","))&amp;",",","&amp;SUBSTITUTE(input_announcement_category," ","")&amp;",")))=0)),IF(AC137="",TRUE,IF(input_announcement_category="",FALSE,SUMPRODUCT(--ISNUMBER(SEARCH(","&amp;TRIM(TEXTSPLIT(AC137,","))&amp;",",","&amp;SUBSTITUTE(input_announcement_category," ","")&amp;",")))&gt;0)),IF(AE137="",TRUE,IF(input_announcement_category="",FALSE,SUMPRODUCT(--ISNUMBER(SEARCH(","&amp;TRIM(TEXTSPLIT(AE137,","))&amp;",",","&amp;SUBSTITUTE(input_announcement_category," ","")&amp;",")))=COUNTA(TEXTSPLIT(AE137,",")))))</f>
        <v/>
      </c>
      <c r="IV137">
        <f>AND(IF(AG137="",TRUE,IF(input_area_of_focus="",FALSE,SUMPRODUCT(--ISNUMBER(SEARCH(","&amp;TRIM(TEXTSPLIT(AG137,","))&amp;",",","&amp;SUBSTITUTE(input_area_of_focus," ","")&amp;",")))&gt;0)),IF(AI137="",TRUE,IF(input_area_of_focus="",FALSE,SUMPRODUCT(--ISNUMBER(SEARCH(","&amp;TRIM(TEXTSPLIT(AI137,","))&amp;",",","&amp;SUBSTITUTE(input_area_of_focus," ","")&amp;",")))=COUNTA(TEXTSPLIT(AI137,",")))),IF(AK137="",TRUE,IF(input_area_of_focus="",TRUE,SUMPRODUCT(--ISNUMBER(SEARCH(","&amp;TRIM(TEXTSPLIT(AK137,","))&amp;",",","&amp;SUBSTITUTE(input_area_of_focus," ","")&amp;",")))=0)),IF(AM137="",TRUE,IF(input_area_of_focus="",FALSE,SUMPRODUCT(--ISNUMBER(SEARCH(","&amp;TRIM(TEXTSPLIT(AM137,","))&amp;",",","&amp;SUBSTITUTE(input_area_of_focus," ","")&amp;",")))&gt;0)),IF(AO137="",TRUE,IF(input_area_of_focus="",FALSE,SUMPRODUCT(--ISNUMBER(SEARCH(","&amp;TRIM(TEXTSPLIT(AO137,","))&amp;",",","&amp;SUBSTITUTE(input_area_of_focus," ","")&amp;",")))=COUNTA(TEXTSPLIT(AO137,",")))))</f>
        <v/>
      </c>
      <c r="IW137">
        <f>AND(IF(AQ137="",TRUE,IF(input_audience="",FALSE,SUMPRODUCT(--ISNUMBER(SEARCH(","&amp;TRIM(TEXTSPLIT(AQ137,","))&amp;",",","&amp;SUBSTITUTE(input_audience," ","")&amp;",")))&gt;0)),IF(AS137="",TRUE,IF(input_audience="",FALSE,SUMPRODUCT(--ISNUMBER(SEARCH(","&amp;TRIM(TEXTSPLIT(AS137,","))&amp;",",","&amp;SUBSTITUTE(input_audience," ","")&amp;",")))=COUNTA(TEXTSPLIT(AS137,",")))),IF(AU137="",TRUE,IF(input_audience="",TRUE,SUMPRODUCT(--ISNUMBER(SEARCH(","&amp;TRIM(TEXTSPLIT(AU137,","))&amp;",",","&amp;SUBSTITUTE(input_audience," ","")&amp;",")))=0)),IF(AW137="",TRUE,IF(input_audience="",FALSE,SUMPRODUCT(--ISNUMBER(SEARCH(","&amp;TRIM(TEXTSPLIT(AW137,","))&amp;",",","&amp;SUBSTITUTE(input_audience," ","")&amp;",")))&gt;0)),IF(AY137="",TRUE,IF(input_audience="",FALSE,SUMPRODUCT(--ISNUMBER(SEARCH(","&amp;TRIM(TEXTSPLIT(AY137,","))&amp;",",","&amp;SUBSTITUTE(input_audience," ","")&amp;",")))=COUNTA(TEXTSPLIT(AY137,",")))))</f>
        <v/>
      </c>
      <c r="IX137">
        <f>AND(IF(BA137="",TRUE,IF(input_challenge_opportunities="",FALSE,SUMPRODUCT(--ISNUMBER(SEARCH(","&amp;TRIM(TEXTSPLIT(BA137,","))&amp;",",","&amp;SUBSTITUTE(input_challenge_opportunities," ","")&amp;",")))&gt;0)),IF(BC137="",TRUE,IF(input_challenge_opportunities="",FALSE,SUMPRODUCT(--ISNUMBER(SEARCH(","&amp;TRIM(TEXTSPLIT(BC137,","))&amp;",",","&amp;SUBSTITUTE(input_challenge_opportunities," ","")&amp;",")))=COUNTA(TEXTSPLIT(BC137,",")))),IF(BE137="",TRUE,IF(input_challenge_opportunities="",TRUE,SUMPRODUCT(--ISNUMBER(SEARCH(","&amp;TRIM(TEXTSPLIT(BE137,","))&amp;",",","&amp;SUBSTITUTE(input_challenge_opportunities," ","")&amp;",")))=0)),IF(BG137="",TRUE,IF(input_challenge_opportunities="",FALSE,SUMPRODUCT(--ISNUMBER(SEARCH(","&amp;TRIM(TEXTSPLIT(BG137,","))&amp;",",","&amp;SUBSTITUTE(input_challenge_opportunities," ","")&amp;",")))&gt;0)),IF(BI137="",TRUE,IF(input_challenge_opportunities="",FALSE,SUMPRODUCT(--ISNUMBER(SEARCH(","&amp;TRIM(TEXTSPLIT(BI137,","))&amp;",",","&amp;SUBSTITUTE(input_challenge_opportunities," ","")&amp;",")))=COUNTA(TEXTSPLIT(BI137,",")))))</f>
        <v/>
      </c>
      <c r="IY137">
        <f>AND(IF(BK137="",TRUE,IF(input_context="",FALSE,SUMPRODUCT(--ISNUMBER(SEARCH(","&amp;TRIM(TEXTSPLIT(BK137,","))&amp;",",","&amp;SUBSTITUTE(input_context," ","")&amp;",")))&gt;0)),IF(BM137="",TRUE,IF(input_context="",FALSE,SUMPRODUCT(--ISNUMBER(SEARCH(","&amp;TRIM(TEXTSPLIT(BM137,","))&amp;",",","&amp;SUBSTITUTE(input_context," ","")&amp;",")))=COUNTA(TEXTSPLIT(BM137,",")))),IF(BO137="",TRUE,IF(input_context="",TRUE,SUMPRODUCT(--ISNUMBER(SEARCH(","&amp;TRIM(TEXTSPLIT(BO137,","))&amp;",",","&amp;SUBSTITUTE(input_context," ","")&amp;",")))=0)),IF(BQ137="",TRUE,IF(input_context="",FALSE,SUMPRODUCT(--ISNUMBER(SEARCH(","&amp;TRIM(TEXTSPLIT(BQ137,","))&amp;",",","&amp;SUBSTITUTE(input_context," ","")&amp;",")))&gt;0)),IF(BS137="",TRUE,IF(input_context="",FALSE,SUMPRODUCT(--ISNUMBER(SEARCH(","&amp;TRIM(TEXTSPLIT(BS137,","))&amp;",",","&amp;SUBSTITUTE(input_context," ","")&amp;",")))=COUNTA(TEXTSPLIT(BS137,",")))))</f>
        <v/>
      </c>
      <c r="IZ137">
        <f>AND(IF(BU137="",TRUE,IF(input_enews_announcement_type="",FALSE,SUMPRODUCT(--ISNUMBER(SEARCH(","&amp;TRIM(TEXTSPLIT(BU137,","))&amp;",",","&amp;SUBSTITUTE(input_enews_announcement_type," ","")&amp;",")))&gt;0)),IF(BW137="",TRUE,IF(input_enews_announcement_type="",FALSE,SUMPRODUCT(--ISNUMBER(SEARCH(","&amp;TRIM(TEXTSPLIT(BW137,","))&amp;",",","&amp;SUBSTITUTE(input_enews_announcement_type," ","")&amp;",")))=COUNTA(TEXTSPLIT(BW137,",")))),IF(BY137="",TRUE,IF(input_enews_announcement_type="",TRUE,SUMPRODUCT(--ISNUMBER(SEARCH(","&amp;TRIM(TEXTSPLIT(BY137,","))&amp;",",","&amp;SUBSTITUTE(input_enews_announcement_type," ","")&amp;",")))=0)),IF(CA137="",TRUE,IF(input_enews_announcement_type="",FALSE,SUMPRODUCT(--ISNUMBER(SEARCH(","&amp;TRIM(TEXTSPLIT(CA137,","))&amp;",",","&amp;SUBSTITUTE(input_enews_announcement_type," ","")&amp;",")))&gt;0)),IF(CC137="",TRUE,IF(input_enews_announcement_type="",FALSE,SUMPRODUCT(--ISNUMBER(SEARCH(","&amp;TRIM(TEXTSPLIT(CC137,","))&amp;",",","&amp;SUBSTITUTE(input_enews_announcement_type," ","")&amp;",")))=COUNTA(TEXTSPLIT(CC137,",")))))</f>
        <v/>
      </c>
      <c r="JA137">
        <f>AND(IF(CE137="",TRUE,IF(input_enews_audience="",FALSE,SUMPRODUCT(--ISNUMBER(SEARCH(","&amp;TRIM(TEXTSPLIT(CE137,","))&amp;",",","&amp;SUBSTITUTE(input_enews_audience," ","")&amp;",")))&gt;0)),IF(CG137="",TRUE,IF(input_enews_audience="",FALSE,SUMPRODUCT(--ISNUMBER(SEARCH(","&amp;TRIM(TEXTSPLIT(CG137,","))&amp;",",","&amp;SUBSTITUTE(input_enews_audience," ","")&amp;",")))=COUNTA(TEXTSPLIT(CG137,",")))),IF(CI137="",TRUE,IF(input_enews_audience="",TRUE,SUMPRODUCT(--ISNUMBER(SEARCH(","&amp;TRIM(TEXTSPLIT(CI137,","))&amp;",",","&amp;SUBSTITUTE(input_enews_audience," ","")&amp;",")))=0)),IF(CK137="",TRUE,IF(input_enews_audience="",FALSE,SUMPRODUCT(--ISNUMBER(SEARCH(","&amp;TRIM(TEXTSPLIT(CK137,","))&amp;",",","&amp;SUBSTITUTE(input_enews_audience," ","")&amp;",")))&gt;0)),IF(CM137="",TRUE,IF(input_enews_audience="",FALSE,SUMPRODUCT(--ISNUMBER(SEARCH(","&amp;TRIM(TEXTSPLIT(CM137,","))&amp;",",","&amp;SUBSTITUTE(input_enews_audience," ","")&amp;",")))=COUNTA(TEXTSPLIT(CM137,",")))))</f>
        <v/>
      </c>
      <c r="JB137">
        <f>AND(IF(CO137="",TRUE,IF(input_event_location="",FALSE,SUMPRODUCT(--ISNUMBER(SEARCH(","&amp;TRIM(TEXTSPLIT(CO137,","))&amp;",",","&amp;SUBSTITUTE(input_event_location," ","")&amp;",")))&gt;0)),IF(CQ137="",TRUE,IF(input_event_location="",FALSE,SUMPRODUCT(--ISNUMBER(SEARCH(","&amp;TRIM(TEXTSPLIT(CQ137,","))&amp;",",","&amp;SUBSTITUTE(input_event_location," ","")&amp;",")))=COUNTA(TEXTSPLIT(CQ137,",")))),IF(CS137="",TRUE,IF(input_event_location="",TRUE,SUMPRODUCT(--ISNUMBER(SEARCH(","&amp;TRIM(TEXTSPLIT(CS137,","))&amp;",",","&amp;SUBSTITUTE(input_event_location," ","")&amp;",")))=0)),IF(CU137="",TRUE,IF(input_event_location="",FALSE,SUMPRODUCT(--ISNUMBER(SEARCH(","&amp;TRIM(TEXTSPLIT(CU137,","))&amp;",",","&amp;SUBSTITUTE(input_event_location," ","")&amp;",")))&gt;0)),IF(CW137="",TRUE,IF(input_event_location="",FALSE,SUMPRODUCT(--ISNUMBER(SEARCH(","&amp;TRIM(TEXTSPLIT(CW137,","))&amp;",",","&amp;SUBSTITUTE(input_event_location," ","")&amp;",")))=COUNTA(TEXTSPLIT(CW137,",")))))</f>
        <v/>
      </c>
      <c r="JC137">
        <f>AND(IF(CY137="",TRUE,IF(input_event_type="",FALSE,SUMPRODUCT(--ISNUMBER(SEARCH(","&amp;TRIM(TEXTSPLIT(CY137,","))&amp;",",","&amp;SUBSTITUTE(input_event_type," ","")&amp;",")))&gt;0)),IF(DA137="",TRUE,IF(input_event_type="",FALSE,SUMPRODUCT(--ISNUMBER(SEARCH(","&amp;TRIM(TEXTSPLIT(DA137,","))&amp;",",","&amp;SUBSTITUTE(input_event_type," ","")&amp;",")))=COUNTA(TEXTSPLIT(DA137,",")))),IF(DC137="",TRUE,IF(input_event_type="",TRUE,SUMPRODUCT(--ISNUMBER(SEARCH(","&amp;TRIM(TEXTSPLIT(DC137,","))&amp;",",","&amp;SUBSTITUTE(input_event_type," ","")&amp;",")))=0)),IF(DE137="",TRUE,IF(input_event_type="",FALSE,SUMPRODUCT(--ISNUMBER(SEARCH(","&amp;TRIM(TEXTSPLIT(DE137,","))&amp;",",","&amp;SUBSTITUTE(input_event_type," ","")&amp;",")))&gt;0)),IF(DG137="",TRUE,IF(input_event_type="",FALSE,SUMPRODUCT(--ISNUMBER(SEARCH(","&amp;TRIM(TEXTSPLIT(DG137,","))&amp;",",","&amp;SUBSTITUTE(input_event_type," ","")&amp;",")))=COUNTA(TEXTSPLIT(DG137,",")))))</f>
        <v/>
      </c>
      <c r="JD137">
        <f>AND(IF(DI137="",TRUE,IF(input_executive_education_focus="",FALSE,SUMPRODUCT(--ISNUMBER(SEARCH(","&amp;TRIM(TEXTSPLIT(DI137,","))&amp;",",","&amp;SUBSTITUTE(input_executive_education_focus," ","")&amp;",")))&gt;0)),IF(DK137="",TRUE,IF(input_executive_education_focus="",FALSE,SUMPRODUCT(--ISNUMBER(SEARCH(","&amp;TRIM(TEXTSPLIT(DK137,","))&amp;",",","&amp;SUBSTITUTE(input_executive_education_focus," ","")&amp;",")))=COUNTA(TEXTSPLIT(DK137,",")))),IF(DM137="",TRUE,IF(input_executive_education_focus="",TRUE,SUMPRODUCT(--ISNUMBER(SEARCH(","&amp;TRIM(TEXTSPLIT(DM137,","))&amp;",",","&amp;SUBSTITUTE(input_executive_education_focus," ","")&amp;",")))=0)),IF(DO137="",TRUE,IF(input_executive_education_focus="",FALSE,SUMPRODUCT(--ISNUMBER(SEARCH(","&amp;TRIM(TEXTSPLIT(DO137,","))&amp;",",","&amp;SUBSTITUTE(input_executive_education_focus," ","")&amp;",")))&gt;0)),IF(DQ137="",TRUE,IF(input_executive_education_focus="",FALSE,SUMPRODUCT(--ISNUMBER(SEARCH(","&amp;TRIM(TEXTSPLIT(DQ137,","))&amp;",",","&amp;SUBSTITUTE(input_executive_education_focus," ","")&amp;",")))=COUNTA(TEXTSPLIT(DQ137,",")))))</f>
        <v/>
      </c>
      <c r="JE137">
        <f>AND(IF(DS137="",TRUE,IF(input_faculty_category="",FALSE,SUMPRODUCT(--ISNUMBER(SEARCH(","&amp;TRIM(TEXTSPLIT(DS137,","))&amp;",",","&amp;SUBSTITUTE(input_faculty_category," ","")&amp;",")))&gt;0)),IF(DU137="",TRUE,IF(input_faculty_category="",FALSE,SUMPRODUCT(--ISNUMBER(SEARCH(","&amp;TRIM(TEXTSPLIT(DU137,","))&amp;",",","&amp;SUBSTITUTE(input_faculty_category," ","")&amp;",")))=COUNTA(TEXTSPLIT(DU137,",")))),IF(DW137="",TRUE,IF(input_faculty_category="",TRUE,SUMPRODUCT(--ISNUMBER(SEARCH(","&amp;TRIM(TEXTSPLIT(DW137,","))&amp;",",","&amp;SUBSTITUTE(input_faculty_category," ","")&amp;",")))=0)),IF(DY137="",TRUE,IF(input_faculty_category="",FALSE,SUMPRODUCT(--ISNUMBER(SEARCH(","&amp;TRIM(TEXTSPLIT(DY137,","))&amp;",",","&amp;SUBSTITUTE(input_faculty_category," ","")&amp;",")))&gt;0)),IF(EA137="",TRUE,IF(input_faculty_category="",FALSE,SUMPRODUCT(--ISNUMBER(SEARCH(","&amp;TRIM(TEXTSPLIT(EA137,","))&amp;",",","&amp;SUBSTITUTE(input_faculty_category," ","")&amp;",")))=COUNTA(TEXTSPLIT(EA137,",")))))</f>
        <v/>
      </c>
      <c r="JF137">
        <f>AND(IF(EC137="",TRUE,IF(input_faculty_discipline="",FALSE,SUMPRODUCT(--ISNUMBER(SEARCH(","&amp;TRIM(TEXTSPLIT(EC137,","))&amp;",",","&amp;SUBSTITUTE(input_faculty_discipline," ","")&amp;",")))&gt;0)),IF(EE137="",TRUE,IF(input_faculty_discipline="",FALSE,SUMPRODUCT(--ISNUMBER(SEARCH(","&amp;TRIM(TEXTSPLIT(EE137,","))&amp;",",","&amp;SUBSTITUTE(input_faculty_discipline," ","")&amp;",")))=COUNTA(TEXTSPLIT(EE137,",")))),IF(EG137="",TRUE,IF(input_faculty_discipline="",TRUE,SUMPRODUCT(--ISNUMBER(SEARCH(","&amp;TRIM(TEXTSPLIT(EG137,","))&amp;",",","&amp;SUBSTITUTE(input_faculty_discipline," ","")&amp;",")))=0)),IF(EI137="",TRUE,IF(input_faculty_discipline="",FALSE,SUMPRODUCT(--ISNUMBER(SEARCH(","&amp;TRIM(TEXTSPLIT(EI137,","))&amp;",",","&amp;SUBSTITUTE(input_faculty_discipline," ","")&amp;",")))&gt;0)),IF(EK137="",TRUE,IF(input_faculty_discipline="",FALSE,SUMPRODUCT(--ISNUMBER(SEARCH(","&amp;TRIM(TEXTSPLIT(EK137,","))&amp;",",","&amp;SUBSTITUTE(input_faculty_discipline," ","")&amp;",")))=COUNTA(TEXTSPLIT(EK137,",")))))</f>
        <v/>
      </c>
      <c r="JG137">
        <f>AND(IF(EM137="",TRUE,IF(input_faculty_expertise="",FALSE,SUMPRODUCT(--ISNUMBER(SEARCH(","&amp;TRIM(TEXTSPLIT(EM137,","))&amp;",",","&amp;SUBSTITUTE(input_faculty_expertise," ","")&amp;",")))&gt;0)),IF(EO137="",TRUE,IF(input_faculty_expertise="",FALSE,SUMPRODUCT(--ISNUMBER(SEARCH(","&amp;TRIM(TEXTSPLIT(EO137,","))&amp;",",","&amp;SUBSTITUTE(input_faculty_expertise," ","")&amp;",")))=COUNTA(TEXTSPLIT(EO137,",")))),IF(EQ137="",TRUE,IF(input_faculty_expertise="",TRUE,SUMPRODUCT(--ISNUMBER(SEARCH(","&amp;TRIM(TEXTSPLIT(EQ137,","))&amp;",",","&amp;SUBSTITUTE(input_faculty_expertise," ","")&amp;",")))=0)),IF(ES137="",TRUE,IF(input_faculty_expertise="",FALSE,SUMPRODUCT(--ISNUMBER(SEARCH(","&amp;TRIM(TEXTSPLIT(ES137,","))&amp;",",","&amp;SUBSTITUTE(input_faculty_expertise," ","")&amp;",")))&gt;0)),IF(EU137="",TRUE,IF(input_faculty_expertise="",FALSE,SUMPRODUCT(--ISNUMBER(SEARCH(","&amp;TRIM(TEXTSPLIT(EU137,","))&amp;",",","&amp;SUBSTITUTE(input_faculty_expertise," ","")&amp;",")))=COUNTA(TEXTSPLIT(EU137,",")))))</f>
        <v/>
      </c>
      <c r="JH137">
        <f>AND(IF(EW137="",TRUE,IF(input_global_network_school="",FALSE,SUMPRODUCT(--ISNUMBER(SEARCH(","&amp;TRIM(TEXTSPLIT(EW137,","))&amp;",",","&amp;SUBSTITUTE(input_global_network_school," ","")&amp;",")))&gt;0)),IF(EY137="",TRUE,IF(input_global_network_school="",FALSE,SUMPRODUCT(--ISNUMBER(SEARCH(","&amp;TRIM(TEXTSPLIT(EY137,","))&amp;",",","&amp;SUBSTITUTE(input_global_network_school," ","")&amp;",")))=COUNTA(TEXTSPLIT(EY137,",")))),IF(FA137="",TRUE,IF(input_global_network_school="",TRUE,SUMPRODUCT(--ISNUMBER(SEARCH(","&amp;TRIM(TEXTSPLIT(FA137,","))&amp;",",","&amp;SUBSTITUTE(input_global_network_school," ","")&amp;",")))=0)),IF(FC137="",TRUE,IF(input_global_network_school="",FALSE,SUMPRODUCT(--ISNUMBER(SEARCH(","&amp;TRIM(TEXTSPLIT(FC137,","))&amp;",",","&amp;SUBSTITUTE(input_global_network_school," ","")&amp;",")))&gt;0)),IF(FE137="",TRUE,IF(input_global_network_school="",FALSE,SUMPRODUCT(--ISNUMBER(SEARCH(","&amp;TRIM(TEXTSPLIT(FE137,","))&amp;",",","&amp;SUBSTITUTE(input_global_network_school," ","")&amp;",")))=COUNTA(TEXTSPLIT(FE137,",")))))</f>
        <v/>
      </c>
      <c r="JI137">
        <f>AND(IF(FG137="",TRUE,IF(input_industry="",FALSE,SUMPRODUCT(--ISNUMBER(SEARCH(","&amp;TRIM(TEXTSPLIT(FG137,","))&amp;",",","&amp;SUBSTITUTE(input_industry," ","")&amp;",")))&gt;0)),IF(FI137="",TRUE,IF(input_industry="",FALSE,SUMPRODUCT(--ISNUMBER(SEARCH(","&amp;TRIM(TEXTSPLIT(FI137,","))&amp;",",","&amp;SUBSTITUTE(input_industry," ","")&amp;",")))=COUNTA(TEXTSPLIT(FI137,",")))),IF(FK137="",TRUE,IF(input_industry="",TRUE,SUMPRODUCT(--ISNUMBER(SEARCH(","&amp;TRIM(TEXTSPLIT(FK137,","))&amp;",",","&amp;SUBSTITUTE(input_industry," ","")&amp;",")))=0)),IF(FM137="",TRUE,IF(input_industry="",FALSE,SUMPRODUCT(--ISNUMBER(SEARCH(","&amp;TRIM(TEXTSPLIT(FM137,","))&amp;",",","&amp;SUBSTITUTE(input_industry," ","")&amp;",")))&gt;0)),IF(FO137="",TRUE,IF(input_industry="",FALSE,SUMPRODUCT(--ISNUMBER(SEARCH(","&amp;TRIM(TEXTSPLIT(FO137,","))&amp;",",","&amp;SUBSTITUTE(input_industry," ","")&amp;",")))=COUNTA(TEXTSPLIT(FO137,",")))))</f>
        <v/>
      </c>
      <c r="JJ137">
        <f>AND(IF(FQ137="",TRUE,IF(input_location="",FALSE,SUMPRODUCT(--ISNUMBER(SEARCH(","&amp;TRIM(TEXTSPLIT(FQ137,","))&amp;",",","&amp;SUBSTITUTE(input_location," ","")&amp;",")))&gt;0)),IF(FS137="",TRUE,IF(input_location="",FALSE,SUMPRODUCT(--ISNUMBER(SEARCH(","&amp;TRIM(TEXTSPLIT(FS137,","))&amp;",",","&amp;SUBSTITUTE(input_location," ","")&amp;",")))=COUNTA(TEXTSPLIT(FS137,",")))),IF(FU137="",TRUE,IF(input_location="",TRUE,SUMPRODUCT(--ISNUMBER(SEARCH(","&amp;TRIM(TEXTSPLIT(FU137,","))&amp;",",","&amp;SUBSTITUTE(input_location," ","")&amp;",")))=0)),IF(FW137="",TRUE,IF(input_location="",FALSE,SUMPRODUCT(--ISNUMBER(SEARCH(","&amp;TRIM(TEXTSPLIT(FW137,","))&amp;",",","&amp;SUBSTITUTE(input_location," ","")&amp;",")))&gt;0)),IF(FY137="",TRUE,IF(input_location="",FALSE,SUMPRODUCT(--ISNUMBER(SEARCH(","&amp;TRIM(TEXTSPLIT(FY137,","))&amp;",",","&amp;SUBSTITUTE(input_location," ","")&amp;",")))=COUNTA(TEXTSPLIT(FY137,",")))))</f>
        <v/>
      </c>
      <c r="JK137">
        <f>AND(IF(GA137="",TRUE,IF(input_modality="",FALSE,SUMPRODUCT(--ISNUMBER(SEARCH(","&amp;TRIM(TEXTSPLIT(GA137,","))&amp;",",","&amp;SUBSTITUTE(input_modality," ","")&amp;",")))&gt;0)),IF(GC137="",TRUE,IF(input_modality="",FALSE,SUMPRODUCT(--ISNUMBER(SEARCH(","&amp;TRIM(TEXTSPLIT(GC137,","))&amp;",",","&amp;SUBSTITUTE(input_modality," ","")&amp;",")))=COUNTA(TEXTSPLIT(GC137,",")))),IF(GE137="",TRUE,IF(input_modality="",TRUE,SUMPRODUCT(--ISNUMBER(SEARCH(","&amp;TRIM(TEXTSPLIT(GE137,","))&amp;",",","&amp;SUBSTITUTE(input_modality," ","")&amp;",")))=0)),IF(GG137="",TRUE,IF(input_modality="",FALSE,SUMPRODUCT(--ISNUMBER(SEARCH(","&amp;TRIM(TEXTSPLIT(GG137,","))&amp;",",","&amp;SUBSTITUTE(input_modality," ","")&amp;",")))&gt;0)),IF(GI137="",TRUE,IF(input_modality="",FALSE,SUMPRODUCT(--ISNUMBER(SEARCH(","&amp;TRIM(TEXTSPLIT(GI137,","))&amp;",",","&amp;SUBSTITUTE(input_modality," ","")&amp;",")))=COUNTA(TEXTSPLIT(GI137,",")))))</f>
        <v/>
      </c>
      <c r="JL137">
        <f>AND(IF(GK137="",TRUE,IF(input_organizer="",FALSE,SUMPRODUCT(--ISNUMBER(SEARCH(","&amp;TRIM(TEXTSPLIT(GK137,","))&amp;",",","&amp;SUBSTITUTE(input_organizer," ","")&amp;",")))&gt;0)),IF(GM137="",TRUE,IF(input_organizer="",FALSE,SUMPRODUCT(--ISNUMBER(SEARCH(","&amp;TRIM(TEXTSPLIT(GM137,","))&amp;",",","&amp;SUBSTITUTE(input_organizer," ","")&amp;",")))=COUNTA(TEXTSPLIT(GM137,",")))),IF(GO137="",TRUE,IF(input_organizer="",TRUE,SUMPRODUCT(--ISNUMBER(SEARCH(","&amp;TRIM(TEXTSPLIT(GO137,","))&amp;",",","&amp;SUBSTITUTE(input_organizer," ","")&amp;",")))=0)),IF(GQ137="",TRUE,IF(input_organizer="",FALSE,SUMPRODUCT(--ISNUMBER(SEARCH(","&amp;TRIM(TEXTSPLIT(GQ137,","))&amp;",",","&amp;SUBSTITUTE(input_organizer," ","")&amp;",")))&gt;0)),IF(GS137="",TRUE,IF(input_organizer="",FALSE,SUMPRODUCT(--ISNUMBER(SEARCH(","&amp;TRIM(TEXTSPLIT(GS137,","))&amp;",",","&amp;SUBSTITUTE(input_organizer," ","")&amp;",")))=COUNTA(TEXTSPLIT(GS137,",")))))</f>
        <v/>
      </c>
      <c r="JM137">
        <f>AND(IF(GU137="",TRUE,IF(input_profile_type="",FALSE,SUMPRODUCT(--ISNUMBER(SEARCH(","&amp;TRIM(TEXTSPLIT(GU137,","))&amp;",",","&amp;SUBSTITUTE(input_profile_type," ","")&amp;",")))&gt;0)),IF(GW137="",TRUE,IF(input_profile_type="",FALSE,SUMPRODUCT(--ISNUMBER(SEARCH(","&amp;TRIM(TEXTSPLIT(GW137,","))&amp;",",","&amp;SUBSTITUTE(input_profile_type," ","")&amp;",")))=COUNTA(TEXTSPLIT(GW137,",")))),IF(GY137="",TRUE,IF(input_profile_type="",TRUE,SUMPRODUCT(--ISNUMBER(SEARCH(","&amp;TRIM(TEXTSPLIT(GY137,","))&amp;",",","&amp;SUBSTITUTE(input_profile_type," ","")&amp;",")))=0)),IF(HA137="",TRUE,IF(input_profile_type="",FALSE,SUMPRODUCT(--ISNUMBER(SEARCH(","&amp;TRIM(TEXTSPLIT(HA137,","))&amp;",",","&amp;SUBSTITUTE(input_profile_type," ","")&amp;",")))&gt;0)),IF(HC137="",TRUE,IF(input_profile_type="",FALSE,SUMPRODUCT(--ISNUMBER(SEARCH(","&amp;TRIM(TEXTSPLIT(HC137,","))&amp;",",","&amp;SUBSTITUTE(input_profile_type," ","")&amp;",")))=COUNTA(TEXTSPLIT(HC137,",")))))</f>
        <v/>
      </c>
      <c r="JN137">
        <f>AND(IF(HE137="",TRUE,IF(input_program="",FALSE,SUMPRODUCT(--ISNUMBER(SEARCH(","&amp;TRIM(TEXTSPLIT(HE137,","))&amp;",",","&amp;SUBSTITUTE(input_program," ","")&amp;",")))&gt;0)),IF(HG137="",TRUE,IF(input_program="",FALSE,SUMPRODUCT(--ISNUMBER(SEARCH(","&amp;TRIM(TEXTSPLIT(HG137,","))&amp;",",","&amp;SUBSTITUTE(input_program," ","")&amp;",")))=COUNTA(TEXTSPLIT(HG137,",")))),IF(HI137="",TRUE,IF(input_program="",TRUE,SUMPRODUCT(--ISNUMBER(SEARCH(","&amp;TRIM(TEXTSPLIT(HI137,","))&amp;",",","&amp;SUBSTITUTE(input_program," ","")&amp;",")))=0)),IF(HK137="",TRUE,IF(input_program="",FALSE,SUMPRODUCT(--ISNUMBER(SEARCH(","&amp;TRIM(TEXTSPLIT(HK137,","))&amp;",",","&amp;SUBSTITUTE(input_program," ","")&amp;",")))&gt;0)),IF(HM137="",TRUE,IF(input_program="",FALSE,SUMPRODUCT(--ISNUMBER(SEARCH(","&amp;TRIM(TEXTSPLIT(HM137,","))&amp;",",","&amp;SUBSTITUTE(input_program," ","")&amp;",")))=COUNTA(TEXTSPLIT(HM137,",")))))</f>
        <v/>
      </c>
      <c r="JO137">
        <f>AND(IF(HO137="",TRUE,IF(input_story_categories="",FALSE,SUMPRODUCT(--ISNUMBER(SEARCH(","&amp;TRIM(TEXTSPLIT(HO137,","))&amp;",",","&amp;SUBSTITUTE(input_story_categories," ","")&amp;",")))&gt;0)),IF(HQ137="",TRUE,IF(input_story_categories="",FALSE,SUMPRODUCT(--ISNUMBER(SEARCH(","&amp;TRIM(TEXTSPLIT(HQ137,","))&amp;",",","&amp;SUBSTITUTE(input_story_categories," ","")&amp;",")))=COUNTA(TEXTSPLIT(HQ137,",")))),IF(HS137="",TRUE,IF(input_story_categories="",TRUE,SUMPRODUCT(--ISNUMBER(SEARCH(","&amp;TRIM(TEXTSPLIT(HS137,","))&amp;",",","&amp;SUBSTITUTE(input_story_categories," ","")&amp;",")))=0)),IF(HU137="",TRUE,IF(input_story_categories="",FALSE,SUMPRODUCT(--ISNUMBER(SEARCH(","&amp;TRIM(TEXTSPLIT(HU137,","))&amp;",",","&amp;SUBSTITUTE(input_story_categories," ","")&amp;",")))&gt;0)),IF(HW137="",TRUE,IF(input_story_categories="",FALSE,SUMPRODUCT(--ISNUMBER(SEARCH(","&amp;TRIM(TEXTSPLIT(HW137,","))&amp;",",","&amp;SUBSTITUTE(input_story_categories," ","")&amp;",")))=COUNTA(TEXTSPLIT(HW137,",")))))</f>
        <v/>
      </c>
      <c r="JP137">
        <f>AND(IF(HY137="",TRUE,IF(input_story_type="",FALSE,SUMPRODUCT(--ISNUMBER(SEARCH(","&amp;TRIM(TEXTSPLIT(HY137,","))&amp;",",","&amp;SUBSTITUTE(input_story_type," ","")&amp;",")))&gt;0)),IF(IA137="",TRUE,IF(input_story_type="",FALSE,SUMPRODUCT(--ISNUMBER(SEARCH(","&amp;TRIM(TEXTSPLIT(IA137,","))&amp;",",","&amp;SUBSTITUTE(input_story_type," ","")&amp;",")))=COUNTA(TEXTSPLIT(IA137,",")))),IF(IC137="",TRUE,IF(input_story_type="",TRUE,SUMPRODUCT(--ISNUMBER(SEARCH(","&amp;TRIM(TEXTSPLIT(IC137,","))&amp;",",","&amp;SUBSTITUTE(input_story_type," ","")&amp;",")))=0)),IF(IE137="",TRUE,IF(input_story_type="",FALSE,SUMPRODUCT(--ISNUMBER(SEARCH(","&amp;TRIM(TEXTSPLIT(IE137,","))&amp;",",","&amp;SUBSTITUTE(input_story_type," ","")&amp;",")))&gt;0)),IF(IG137="",TRUE,IF(input_story_type="",FALSE,SUMPRODUCT(--ISNUMBER(SEARCH(","&amp;TRIM(TEXTSPLIT(IG137,","))&amp;",",","&amp;SUBSTITUTE(input_story_type," ","")&amp;",")))=COUNTA(TEXTSPLIT(IG137,",")))))</f>
        <v/>
      </c>
      <c r="JQ137">
        <f>AND(IF(II137="",TRUE,IF(input_topics="",FALSE,SUMPRODUCT(--ISNUMBER(SEARCH(","&amp;TRIM(TEXTSPLIT(II137,","))&amp;",",","&amp;SUBSTITUTE(input_topics," ","")&amp;",")))&gt;0)),IF(IK137="",TRUE,IF(input_topics="",FALSE,SUMPRODUCT(--ISNUMBER(SEARCH(","&amp;TRIM(TEXTSPLIT(IK137,","))&amp;",",","&amp;SUBSTITUTE(input_topics," ","")&amp;",")))=COUNTA(TEXTSPLIT(IK137,",")))),IF(IM137="",TRUE,IF(input_topics="",TRUE,SUMPRODUCT(--ISNUMBER(SEARCH(","&amp;TRIM(TEXTSPLIT(IM137,","))&amp;",",","&amp;SUBSTITUTE(input_topics," ","")&amp;",")))=0)),IF(IO137="",TRUE,IF(input_topics="",FALSE,SUMPRODUCT(--ISNUMBER(SEARCH(","&amp;TRIM(TEXTSPLIT(IO137,","))&amp;",",","&amp;SUBSTITUTE(input_topics," ","")&amp;",")))&gt;0)),IF(IQ137="",TRUE,IF(input_topics="",FALSE,SUMPRODUCT(--ISNUMBER(SEARCH(","&amp;TRIM(TEXTSPLIT(IQ137,","))&amp;",",","&amp;SUBSTITUTE(input_topics," ","")&amp;",")))=COUNTA(TEXTSPLIT(IQ137,",")))))</f>
        <v/>
      </c>
    </row>
    <row r="138">
      <c r="A138" s="4">
        <f>IF(NOT(IS138),"Excluded",IF(AND(IT138,IU138,IV138,IW138,IX138,IY138,IZ138,JA138,JB138,JC138,JD138,JE138,JF138,JG138,JH138,JI138,JJ138,JK138,JL138,JM138,JN138,JO138,JP138,JQ138),IF(I138&gt;0,"Eligible but limited","Will appear"),"Excluded"))</f>
        <v/>
      </c>
      <c r="B138" s="4" t="inlineStr">
        <is>
          <t>News - Summary</t>
        </is>
      </c>
      <c r="C138" s="4" t="inlineStr">
        <is>
          <t>/the-som-experience/interests-and-industries/ai-data-analytics</t>
        </is>
      </c>
      <c r="D138" s="4" t="inlineStr">
        <is>
          <t>/the-som-experience/interests-and-industries/ai-data-analytics</t>
        </is>
      </c>
      <c r="E138" s="4" t="n">
        <v>1</v>
      </c>
      <c r="F138" s="4" t="inlineStr">
        <is>
          <t>story</t>
        </is>
      </c>
      <c r="G138" s="4" t="inlineStr">
        <is>
          <t>stories_mosaic_grid</t>
        </is>
      </c>
      <c r="H138" s="4" t="inlineStr">
        <is>
          <t>embed_news_summary</t>
        </is>
      </c>
      <c r="I138" s="4" t="n">
        <v>1</v>
      </c>
      <c r="J138" s="4" t="inlineStr">
        <is>
          <t>View/config rules</t>
        </is>
      </c>
      <c r="K138" s="4" t="inlineStr">
        <is>
          <t>Page placement</t>
        </is>
      </c>
      <c r="L138" s="4" t="inlineStr">
        <is>
          <t>Content type: story; Needs any Story Type: News (924); Limited to 1 item(s); Source: View/config rules</t>
        </is>
      </c>
      <c r="M138" t="inlineStr"/>
      <c r="N138" t="inlineStr"/>
      <c r="O138" t="inlineStr"/>
      <c r="P138" t="inlineStr"/>
      <c r="Q138" t="inlineStr"/>
      <c r="R138" t="inlineStr"/>
      <c r="S138" t="inlineStr"/>
      <c r="T138" t="inlineStr"/>
      <c r="U138" t="inlineStr"/>
      <c r="V138" t="inlineStr"/>
      <c r="W138" t="inlineStr"/>
      <c r="X138" t="inlineStr"/>
      <c r="Y138" t="inlineStr"/>
      <c r="Z138" t="inlineStr"/>
      <c r="AA138" t="inlineStr"/>
      <c r="AB138" t="inlineStr"/>
      <c r="AC138" t="inlineStr"/>
      <c r="AD138" t="inlineStr"/>
      <c r="AE138" t="inlineStr"/>
      <c r="AF138" t="inlineStr"/>
      <c r="AG138" t="inlineStr"/>
      <c r="AH138" t="inlineStr"/>
      <c r="AI138" t="inlineStr"/>
      <c r="AJ138" t="inlineStr"/>
      <c r="AK138" t="inlineStr"/>
      <c r="AL138" t="inlineStr"/>
      <c r="AM138" t="inlineStr"/>
      <c r="AN138" t="inlineStr"/>
      <c r="AO138" t="inlineStr"/>
      <c r="AP138" t="inlineStr"/>
      <c r="AQ138" t="inlineStr"/>
      <c r="AR138" t="inlineStr"/>
      <c r="AS138" t="inlineStr"/>
      <c r="AT138" t="inlineStr"/>
      <c r="AU138" t="inlineStr"/>
      <c r="AV138" t="inlineStr"/>
      <c r="AW138" t="inlineStr"/>
      <c r="AX138" t="inlineStr"/>
      <c r="AY138" t="inlineStr"/>
      <c r="AZ138" t="inlineStr"/>
      <c r="BA138" t="inlineStr"/>
      <c r="BB138" t="inlineStr"/>
      <c r="BC138" t="inlineStr"/>
      <c r="BD138" t="inlineStr"/>
      <c r="BE138" t="inlineStr"/>
      <c r="BF138" t="inlineStr"/>
      <c r="BG138" t="inlineStr"/>
      <c r="BH138" t="inlineStr"/>
      <c r="BI138" t="inlineStr"/>
      <c r="BJ138" t="inlineStr"/>
      <c r="BK138" t="inlineStr"/>
      <c r="BL138" t="inlineStr"/>
      <c r="BM138" t="inlineStr"/>
      <c r="BN138" t="inlineStr"/>
      <c r="BO138" t="inlineStr"/>
      <c r="BP138" t="inlineStr"/>
      <c r="BQ138" t="inlineStr"/>
      <c r="BR138" t="inlineStr"/>
      <c r="BS138" t="inlineStr"/>
      <c r="BT138" t="inlineStr"/>
      <c r="BU138" t="inlineStr"/>
      <c r="BV138" t="inlineStr"/>
      <c r="BW138" t="inlineStr"/>
      <c r="BX138" t="inlineStr"/>
      <c r="BY138" t="inlineStr"/>
      <c r="BZ138" t="inlineStr"/>
      <c r="CA138" t="inlineStr"/>
      <c r="CB138" t="inlineStr"/>
      <c r="CC138" t="inlineStr"/>
      <c r="CD138" t="inlineStr"/>
      <c r="CE138" t="inlineStr"/>
      <c r="CF138" t="inlineStr"/>
      <c r="CG138" t="inlineStr"/>
      <c r="CH138" t="inlineStr"/>
      <c r="CI138" t="inlineStr"/>
      <c r="CJ138" t="inlineStr"/>
      <c r="CK138" t="inlineStr"/>
      <c r="CL138" t="inlineStr"/>
      <c r="CM138" t="inlineStr"/>
      <c r="CN138" t="inlineStr"/>
      <c r="CO138" t="inlineStr"/>
      <c r="CP138" t="inlineStr"/>
      <c r="CQ138" t="inlineStr"/>
      <c r="CR138" t="inlineStr"/>
      <c r="CS138" t="inlineStr"/>
      <c r="CT138" t="inlineStr"/>
      <c r="CU138" t="inlineStr"/>
      <c r="CV138" t="inlineStr"/>
      <c r="CW138" t="inlineStr"/>
      <c r="CX138" t="inlineStr"/>
      <c r="CY138" t="inlineStr"/>
      <c r="CZ138" t="inlineStr"/>
      <c r="DA138" t="inlineStr"/>
      <c r="DB138" t="inlineStr"/>
      <c r="DC138" t="inlineStr"/>
      <c r="DD138" t="inlineStr"/>
      <c r="DE138" t="inlineStr"/>
      <c r="DF138" t="inlineStr"/>
      <c r="DG138" t="inlineStr"/>
      <c r="DH138" t="inlineStr"/>
      <c r="DI138" t="inlineStr"/>
      <c r="DJ138" t="inlineStr"/>
      <c r="DK138" t="inlineStr"/>
      <c r="DL138" t="inlineStr"/>
      <c r="DM138" t="inlineStr"/>
      <c r="DN138" t="inlineStr"/>
      <c r="DO138" t="inlineStr"/>
      <c r="DP138" t="inlineStr"/>
      <c r="DQ138" t="inlineStr"/>
      <c r="DR138" t="inlineStr"/>
      <c r="DS138" t="inlineStr"/>
      <c r="DT138" t="inlineStr"/>
      <c r="DU138" t="inlineStr"/>
      <c r="DV138" t="inlineStr"/>
      <c r="DW138" t="inlineStr"/>
      <c r="DX138" t="inlineStr"/>
      <c r="DY138" t="inlineStr"/>
      <c r="DZ138" t="inlineStr"/>
      <c r="EA138" t="inlineStr"/>
      <c r="EB138" t="inlineStr"/>
      <c r="EC138" t="inlineStr"/>
      <c r="ED138" t="inlineStr"/>
      <c r="EE138" t="inlineStr"/>
      <c r="EF138" t="inlineStr"/>
      <c r="EG138" t="inlineStr"/>
      <c r="EH138" t="inlineStr"/>
      <c r="EI138" t="inlineStr"/>
      <c r="EJ138" t="inlineStr"/>
      <c r="EK138" t="inlineStr"/>
      <c r="EL138" t="inlineStr"/>
      <c r="EM138" t="inlineStr"/>
      <c r="EN138" t="inlineStr"/>
      <c r="EO138" t="inlineStr"/>
      <c r="EP138" t="inlineStr"/>
      <c r="EQ138" t="inlineStr"/>
      <c r="ER138" t="inlineStr"/>
      <c r="ES138" t="inlineStr"/>
      <c r="ET138" t="inlineStr"/>
      <c r="EU138" t="inlineStr"/>
      <c r="EV138" t="inlineStr"/>
      <c r="EW138" t="inlineStr"/>
      <c r="EX138" t="inlineStr"/>
      <c r="EY138" t="inlineStr"/>
      <c r="EZ138" t="inlineStr"/>
      <c r="FA138" t="inlineStr"/>
      <c r="FB138" t="inlineStr"/>
      <c r="FC138" t="inlineStr"/>
      <c r="FD138" t="inlineStr"/>
      <c r="FE138" t="inlineStr"/>
      <c r="FF138" t="inlineStr"/>
      <c r="FG138" t="inlineStr"/>
      <c r="FH138" t="inlineStr"/>
      <c r="FI138" t="inlineStr"/>
      <c r="FJ138" t="inlineStr"/>
      <c r="FK138" t="inlineStr"/>
      <c r="FL138" t="inlineStr"/>
      <c r="FM138" t="inlineStr"/>
      <c r="FN138" t="inlineStr"/>
      <c r="FO138" t="inlineStr"/>
      <c r="FP138" t="inlineStr"/>
      <c r="FQ138" t="inlineStr"/>
      <c r="FR138" t="inlineStr"/>
      <c r="FS138" t="inlineStr"/>
      <c r="FT138" t="inlineStr"/>
      <c r="FU138" t="inlineStr"/>
      <c r="FV138" t="inlineStr"/>
      <c r="FW138" t="inlineStr"/>
      <c r="FX138" t="inlineStr"/>
      <c r="FY138" t="inlineStr"/>
      <c r="FZ138" t="inlineStr"/>
      <c r="GA138" t="inlineStr"/>
      <c r="GB138" t="inlineStr"/>
      <c r="GC138" t="inlineStr"/>
      <c r="GD138" t="inlineStr"/>
      <c r="GE138" t="inlineStr"/>
      <c r="GF138" t="inlineStr"/>
      <c r="GG138" t="inlineStr"/>
      <c r="GH138" t="inlineStr"/>
      <c r="GI138" t="inlineStr"/>
      <c r="GJ138" t="inlineStr"/>
      <c r="GK138" t="inlineStr"/>
      <c r="GL138" t="inlineStr"/>
      <c r="GM138" t="inlineStr"/>
      <c r="GN138" t="inlineStr"/>
      <c r="GO138" t="inlineStr"/>
      <c r="GP138" t="inlineStr"/>
      <c r="GQ138" t="inlineStr"/>
      <c r="GR138" t="inlineStr"/>
      <c r="GS138" t="inlineStr"/>
      <c r="GT138" t="inlineStr"/>
      <c r="GU138" t="inlineStr"/>
      <c r="GV138" t="inlineStr"/>
      <c r="GW138" t="inlineStr"/>
      <c r="GX138" t="inlineStr"/>
      <c r="GY138" t="inlineStr"/>
      <c r="GZ138" t="inlineStr"/>
      <c r="HA138" t="inlineStr"/>
      <c r="HB138" t="inlineStr"/>
      <c r="HC138" t="inlineStr"/>
      <c r="HD138" t="inlineStr"/>
      <c r="HE138" t="inlineStr"/>
      <c r="HF138" t="inlineStr"/>
      <c r="HG138" t="inlineStr"/>
      <c r="HH138" t="inlineStr"/>
      <c r="HI138" t="inlineStr"/>
      <c r="HJ138" t="inlineStr"/>
      <c r="HK138" t="inlineStr"/>
      <c r="HL138" t="inlineStr"/>
      <c r="HM138" t="inlineStr"/>
      <c r="HN138" t="inlineStr"/>
      <c r="HO138" t="inlineStr"/>
      <c r="HP138" t="inlineStr"/>
      <c r="HQ138" t="inlineStr"/>
      <c r="HR138" t="inlineStr"/>
      <c r="HS138" t="inlineStr"/>
      <c r="HT138" t="inlineStr"/>
      <c r="HU138" t="inlineStr"/>
      <c r="HV138" t="inlineStr"/>
      <c r="HW138" t="inlineStr"/>
      <c r="HX138" t="inlineStr"/>
      <c r="HY138" t="inlineStr">
        <is>
          <t>924</t>
        </is>
      </c>
      <c r="HZ138" t="inlineStr">
        <is>
          <t>News (924)</t>
        </is>
      </c>
      <c r="IA138" t="inlineStr"/>
      <c r="IB138" t="inlineStr"/>
      <c r="IC138" t="inlineStr"/>
      <c r="ID138" t="inlineStr"/>
      <c r="IE138" t="inlineStr"/>
      <c r="IF138" t="inlineStr"/>
      <c r="IG138" t="inlineStr"/>
      <c r="IH138" t="inlineStr"/>
      <c r="II138" t="inlineStr"/>
      <c r="IJ138" t="inlineStr"/>
      <c r="IK138" t="inlineStr"/>
      <c r="IL138" t="inlineStr"/>
      <c r="IM138" t="inlineStr"/>
      <c r="IN138" t="inlineStr"/>
      <c r="IO138" t="inlineStr"/>
      <c r="IP138" t="inlineStr"/>
      <c r="IQ138" t="inlineStr"/>
      <c r="IR138" t="inlineStr"/>
      <c r="IS138">
        <f>IF(input_content_type="",FALSE,ISNUMBER(SEARCH(","&amp;LOWER(input_content_type)&amp;",",","&amp;LOWER(F138)&amp;",")))</f>
        <v/>
      </c>
      <c r="IT138">
        <f>AND(IF(M138="",TRUE,IF(input_affiliations="",FALSE,SUMPRODUCT(--ISNUMBER(SEARCH(","&amp;TRIM(TEXTSPLIT(M138,","))&amp;",",","&amp;SUBSTITUTE(input_affiliations," ","")&amp;",")))&gt;0)),IF(O138="",TRUE,IF(input_affiliations="",FALSE,SUMPRODUCT(--ISNUMBER(SEARCH(","&amp;TRIM(TEXTSPLIT(O138,","))&amp;",",","&amp;SUBSTITUTE(input_affiliations," ","")&amp;",")))=COUNTA(TEXTSPLIT(O138,",")))),IF(Q138="",TRUE,IF(input_affiliations="",TRUE,SUMPRODUCT(--ISNUMBER(SEARCH(","&amp;TRIM(TEXTSPLIT(Q138,","))&amp;",",","&amp;SUBSTITUTE(input_affiliations," ","")&amp;",")))=0)),IF(S138="",TRUE,IF(input_affiliations="",FALSE,SUMPRODUCT(--ISNUMBER(SEARCH(","&amp;TRIM(TEXTSPLIT(S138,","))&amp;",",","&amp;SUBSTITUTE(input_affiliations," ","")&amp;",")))&gt;0)),IF(U138="",TRUE,IF(input_affiliations="",FALSE,SUMPRODUCT(--ISNUMBER(SEARCH(","&amp;TRIM(TEXTSPLIT(U138,","))&amp;",",","&amp;SUBSTITUTE(input_affiliations," ","")&amp;",")))=COUNTA(TEXTSPLIT(U138,",")))))</f>
        <v/>
      </c>
      <c r="IU138">
        <f>AND(IF(W138="",TRUE,IF(input_announcement_category="",FALSE,SUMPRODUCT(--ISNUMBER(SEARCH(","&amp;TRIM(TEXTSPLIT(W138,","))&amp;",",","&amp;SUBSTITUTE(input_announcement_category," ","")&amp;",")))&gt;0)),IF(Y138="",TRUE,IF(input_announcement_category="",FALSE,SUMPRODUCT(--ISNUMBER(SEARCH(","&amp;TRIM(TEXTSPLIT(Y138,","))&amp;",",","&amp;SUBSTITUTE(input_announcement_category," ","")&amp;",")))=COUNTA(TEXTSPLIT(Y138,",")))),IF(AA138="",TRUE,IF(input_announcement_category="",TRUE,SUMPRODUCT(--ISNUMBER(SEARCH(","&amp;TRIM(TEXTSPLIT(AA138,","))&amp;",",","&amp;SUBSTITUTE(input_announcement_category," ","")&amp;",")))=0)),IF(AC138="",TRUE,IF(input_announcement_category="",FALSE,SUMPRODUCT(--ISNUMBER(SEARCH(","&amp;TRIM(TEXTSPLIT(AC138,","))&amp;",",","&amp;SUBSTITUTE(input_announcement_category," ","")&amp;",")))&gt;0)),IF(AE138="",TRUE,IF(input_announcement_category="",FALSE,SUMPRODUCT(--ISNUMBER(SEARCH(","&amp;TRIM(TEXTSPLIT(AE138,","))&amp;",",","&amp;SUBSTITUTE(input_announcement_category," ","")&amp;",")))=COUNTA(TEXTSPLIT(AE138,",")))))</f>
        <v/>
      </c>
      <c r="IV138">
        <f>AND(IF(AG138="",TRUE,IF(input_area_of_focus="",FALSE,SUMPRODUCT(--ISNUMBER(SEARCH(","&amp;TRIM(TEXTSPLIT(AG138,","))&amp;",",","&amp;SUBSTITUTE(input_area_of_focus," ","")&amp;",")))&gt;0)),IF(AI138="",TRUE,IF(input_area_of_focus="",FALSE,SUMPRODUCT(--ISNUMBER(SEARCH(","&amp;TRIM(TEXTSPLIT(AI138,","))&amp;",",","&amp;SUBSTITUTE(input_area_of_focus," ","")&amp;",")))=COUNTA(TEXTSPLIT(AI138,",")))),IF(AK138="",TRUE,IF(input_area_of_focus="",TRUE,SUMPRODUCT(--ISNUMBER(SEARCH(","&amp;TRIM(TEXTSPLIT(AK138,","))&amp;",",","&amp;SUBSTITUTE(input_area_of_focus," ","")&amp;",")))=0)),IF(AM138="",TRUE,IF(input_area_of_focus="",FALSE,SUMPRODUCT(--ISNUMBER(SEARCH(","&amp;TRIM(TEXTSPLIT(AM138,","))&amp;",",","&amp;SUBSTITUTE(input_area_of_focus," ","")&amp;",")))&gt;0)),IF(AO138="",TRUE,IF(input_area_of_focus="",FALSE,SUMPRODUCT(--ISNUMBER(SEARCH(","&amp;TRIM(TEXTSPLIT(AO138,","))&amp;",",","&amp;SUBSTITUTE(input_area_of_focus," ","")&amp;",")))=COUNTA(TEXTSPLIT(AO138,",")))))</f>
        <v/>
      </c>
      <c r="IW138">
        <f>AND(IF(AQ138="",TRUE,IF(input_audience="",FALSE,SUMPRODUCT(--ISNUMBER(SEARCH(","&amp;TRIM(TEXTSPLIT(AQ138,","))&amp;",",","&amp;SUBSTITUTE(input_audience," ","")&amp;",")))&gt;0)),IF(AS138="",TRUE,IF(input_audience="",FALSE,SUMPRODUCT(--ISNUMBER(SEARCH(","&amp;TRIM(TEXTSPLIT(AS138,","))&amp;",",","&amp;SUBSTITUTE(input_audience," ","")&amp;",")))=COUNTA(TEXTSPLIT(AS138,",")))),IF(AU138="",TRUE,IF(input_audience="",TRUE,SUMPRODUCT(--ISNUMBER(SEARCH(","&amp;TRIM(TEXTSPLIT(AU138,","))&amp;",",","&amp;SUBSTITUTE(input_audience," ","")&amp;",")))=0)),IF(AW138="",TRUE,IF(input_audience="",FALSE,SUMPRODUCT(--ISNUMBER(SEARCH(","&amp;TRIM(TEXTSPLIT(AW138,","))&amp;",",","&amp;SUBSTITUTE(input_audience," ","")&amp;",")))&gt;0)),IF(AY138="",TRUE,IF(input_audience="",FALSE,SUMPRODUCT(--ISNUMBER(SEARCH(","&amp;TRIM(TEXTSPLIT(AY138,","))&amp;",",","&amp;SUBSTITUTE(input_audience," ","")&amp;",")))=COUNTA(TEXTSPLIT(AY138,",")))))</f>
        <v/>
      </c>
      <c r="IX138">
        <f>AND(IF(BA138="",TRUE,IF(input_challenge_opportunities="",FALSE,SUMPRODUCT(--ISNUMBER(SEARCH(","&amp;TRIM(TEXTSPLIT(BA138,","))&amp;",",","&amp;SUBSTITUTE(input_challenge_opportunities," ","")&amp;",")))&gt;0)),IF(BC138="",TRUE,IF(input_challenge_opportunities="",FALSE,SUMPRODUCT(--ISNUMBER(SEARCH(","&amp;TRIM(TEXTSPLIT(BC138,","))&amp;",",","&amp;SUBSTITUTE(input_challenge_opportunities," ","")&amp;",")))=COUNTA(TEXTSPLIT(BC138,",")))),IF(BE138="",TRUE,IF(input_challenge_opportunities="",TRUE,SUMPRODUCT(--ISNUMBER(SEARCH(","&amp;TRIM(TEXTSPLIT(BE138,","))&amp;",",","&amp;SUBSTITUTE(input_challenge_opportunities," ","")&amp;",")))=0)),IF(BG138="",TRUE,IF(input_challenge_opportunities="",FALSE,SUMPRODUCT(--ISNUMBER(SEARCH(","&amp;TRIM(TEXTSPLIT(BG138,","))&amp;",",","&amp;SUBSTITUTE(input_challenge_opportunities," ","")&amp;",")))&gt;0)),IF(BI138="",TRUE,IF(input_challenge_opportunities="",FALSE,SUMPRODUCT(--ISNUMBER(SEARCH(","&amp;TRIM(TEXTSPLIT(BI138,","))&amp;",",","&amp;SUBSTITUTE(input_challenge_opportunities," ","")&amp;",")))=COUNTA(TEXTSPLIT(BI138,",")))))</f>
        <v/>
      </c>
      <c r="IY138">
        <f>AND(IF(BK138="",TRUE,IF(input_context="",FALSE,SUMPRODUCT(--ISNUMBER(SEARCH(","&amp;TRIM(TEXTSPLIT(BK138,","))&amp;",",","&amp;SUBSTITUTE(input_context," ","")&amp;",")))&gt;0)),IF(BM138="",TRUE,IF(input_context="",FALSE,SUMPRODUCT(--ISNUMBER(SEARCH(","&amp;TRIM(TEXTSPLIT(BM138,","))&amp;",",","&amp;SUBSTITUTE(input_context," ","")&amp;",")))=COUNTA(TEXTSPLIT(BM138,",")))),IF(BO138="",TRUE,IF(input_context="",TRUE,SUMPRODUCT(--ISNUMBER(SEARCH(","&amp;TRIM(TEXTSPLIT(BO138,","))&amp;",",","&amp;SUBSTITUTE(input_context," ","")&amp;",")))=0)),IF(BQ138="",TRUE,IF(input_context="",FALSE,SUMPRODUCT(--ISNUMBER(SEARCH(","&amp;TRIM(TEXTSPLIT(BQ138,","))&amp;",",","&amp;SUBSTITUTE(input_context," ","")&amp;",")))&gt;0)),IF(BS138="",TRUE,IF(input_context="",FALSE,SUMPRODUCT(--ISNUMBER(SEARCH(","&amp;TRIM(TEXTSPLIT(BS138,","))&amp;",",","&amp;SUBSTITUTE(input_context," ","")&amp;",")))=COUNTA(TEXTSPLIT(BS138,",")))))</f>
        <v/>
      </c>
      <c r="IZ138">
        <f>AND(IF(BU138="",TRUE,IF(input_enews_announcement_type="",FALSE,SUMPRODUCT(--ISNUMBER(SEARCH(","&amp;TRIM(TEXTSPLIT(BU138,","))&amp;",",","&amp;SUBSTITUTE(input_enews_announcement_type," ","")&amp;",")))&gt;0)),IF(BW138="",TRUE,IF(input_enews_announcement_type="",FALSE,SUMPRODUCT(--ISNUMBER(SEARCH(","&amp;TRIM(TEXTSPLIT(BW138,","))&amp;",",","&amp;SUBSTITUTE(input_enews_announcement_type," ","")&amp;",")))=COUNTA(TEXTSPLIT(BW138,",")))),IF(BY138="",TRUE,IF(input_enews_announcement_type="",TRUE,SUMPRODUCT(--ISNUMBER(SEARCH(","&amp;TRIM(TEXTSPLIT(BY138,","))&amp;",",","&amp;SUBSTITUTE(input_enews_announcement_type," ","")&amp;",")))=0)),IF(CA138="",TRUE,IF(input_enews_announcement_type="",FALSE,SUMPRODUCT(--ISNUMBER(SEARCH(","&amp;TRIM(TEXTSPLIT(CA138,","))&amp;",",","&amp;SUBSTITUTE(input_enews_announcement_type," ","")&amp;",")))&gt;0)),IF(CC138="",TRUE,IF(input_enews_announcement_type="",FALSE,SUMPRODUCT(--ISNUMBER(SEARCH(","&amp;TRIM(TEXTSPLIT(CC138,","))&amp;",",","&amp;SUBSTITUTE(input_enews_announcement_type," ","")&amp;",")))=COUNTA(TEXTSPLIT(CC138,",")))))</f>
        <v/>
      </c>
      <c r="JA138">
        <f>AND(IF(CE138="",TRUE,IF(input_enews_audience="",FALSE,SUMPRODUCT(--ISNUMBER(SEARCH(","&amp;TRIM(TEXTSPLIT(CE138,","))&amp;",",","&amp;SUBSTITUTE(input_enews_audience," ","")&amp;",")))&gt;0)),IF(CG138="",TRUE,IF(input_enews_audience="",FALSE,SUMPRODUCT(--ISNUMBER(SEARCH(","&amp;TRIM(TEXTSPLIT(CG138,","))&amp;",",","&amp;SUBSTITUTE(input_enews_audience," ","")&amp;",")))=COUNTA(TEXTSPLIT(CG138,",")))),IF(CI138="",TRUE,IF(input_enews_audience="",TRUE,SUMPRODUCT(--ISNUMBER(SEARCH(","&amp;TRIM(TEXTSPLIT(CI138,","))&amp;",",","&amp;SUBSTITUTE(input_enews_audience," ","")&amp;",")))=0)),IF(CK138="",TRUE,IF(input_enews_audience="",FALSE,SUMPRODUCT(--ISNUMBER(SEARCH(","&amp;TRIM(TEXTSPLIT(CK138,","))&amp;",",","&amp;SUBSTITUTE(input_enews_audience," ","")&amp;",")))&gt;0)),IF(CM138="",TRUE,IF(input_enews_audience="",FALSE,SUMPRODUCT(--ISNUMBER(SEARCH(","&amp;TRIM(TEXTSPLIT(CM138,","))&amp;",",","&amp;SUBSTITUTE(input_enews_audience," ","")&amp;",")))=COUNTA(TEXTSPLIT(CM138,",")))))</f>
        <v/>
      </c>
      <c r="JB138">
        <f>AND(IF(CO138="",TRUE,IF(input_event_location="",FALSE,SUMPRODUCT(--ISNUMBER(SEARCH(","&amp;TRIM(TEXTSPLIT(CO138,","))&amp;",",","&amp;SUBSTITUTE(input_event_location," ","")&amp;",")))&gt;0)),IF(CQ138="",TRUE,IF(input_event_location="",FALSE,SUMPRODUCT(--ISNUMBER(SEARCH(","&amp;TRIM(TEXTSPLIT(CQ138,","))&amp;",",","&amp;SUBSTITUTE(input_event_location," ","")&amp;",")))=COUNTA(TEXTSPLIT(CQ138,",")))),IF(CS138="",TRUE,IF(input_event_location="",TRUE,SUMPRODUCT(--ISNUMBER(SEARCH(","&amp;TRIM(TEXTSPLIT(CS138,","))&amp;",",","&amp;SUBSTITUTE(input_event_location," ","")&amp;",")))=0)),IF(CU138="",TRUE,IF(input_event_location="",FALSE,SUMPRODUCT(--ISNUMBER(SEARCH(","&amp;TRIM(TEXTSPLIT(CU138,","))&amp;",",","&amp;SUBSTITUTE(input_event_location," ","")&amp;",")))&gt;0)),IF(CW138="",TRUE,IF(input_event_location="",FALSE,SUMPRODUCT(--ISNUMBER(SEARCH(","&amp;TRIM(TEXTSPLIT(CW138,","))&amp;",",","&amp;SUBSTITUTE(input_event_location," ","")&amp;",")))=COUNTA(TEXTSPLIT(CW138,",")))))</f>
        <v/>
      </c>
      <c r="JC138">
        <f>AND(IF(CY138="",TRUE,IF(input_event_type="",FALSE,SUMPRODUCT(--ISNUMBER(SEARCH(","&amp;TRIM(TEXTSPLIT(CY138,","))&amp;",",","&amp;SUBSTITUTE(input_event_type," ","")&amp;",")))&gt;0)),IF(DA138="",TRUE,IF(input_event_type="",FALSE,SUMPRODUCT(--ISNUMBER(SEARCH(","&amp;TRIM(TEXTSPLIT(DA138,","))&amp;",",","&amp;SUBSTITUTE(input_event_type," ","")&amp;",")))=COUNTA(TEXTSPLIT(DA138,",")))),IF(DC138="",TRUE,IF(input_event_type="",TRUE,SUMPRODUCT(--ISNUMBER(SEARCH(","&amp;TRIM(TEXTSPLIT(DC138,","))&amp;",",","&amp;SUBSTITUTE(input_event_type," ","")&amp;",")))=0)),IF(DE138="",TRUE,IF(input_event_type="",FALSE,SUMPRODUCT(--ISNUMBER(SEARCH(","&amp;TRIM(TEXTSPLIT(DE138,","))&amp;",",","&amp;SUBSTITUTE(input_event_type," ","")&amp;",")))&gt;0)),IF(DG138="",TRUE,IF(input_event_type="",FALSE,SUMPRODUCT(--ISNUMBER(SEARCH(","&amp;TRIM(TEXTSPLIT(DG138,","))&amp;",",","&amp;SUBSTITUTE(input_event_type," ","")&amp;",")))=COUNTA(TEXTSPLIT(DG138,",")))))</f>
        <v/>
      </c>
      <c r="JD138">
        <f>AND(IF(DI138="",TRUE,IF(input_executive_education_focus="",FALSE,SUMPRODUCT(--ISNUMBER(SEARCH(","&amp;TRIM(TEXTSPLIT(DI138,","))&amp;",",","&amp;SUBSTITUTE(input_executive_education_focus," ","")&amp;",")))&gt;0)),IF(DK138="",TRUE,IF(input_executive_education_focus="",FALSE,SUMPRODUCT(--ISNUMBER(SEARCH(","&amp;TRIM(TEXTSPLIT(DK138,","))&amp;",",","&amp;SUBSTITUTE(input_executive_education_focus," ","")&amp;",")))=COUNTA(TEXTSPLIT(DK138,",")))),IF(DM138="",TRUE,IF(input_executive_education_focus="",TRUE,SUMPRODUCT(--ISNUMBER(SEARCH(","&amp;TRIM(TEXTSPLIT(DM138,","))&amp;",",","&amp;SUBSTITUTE(input_executive_education_focus," ","")&amp;",")))=0)),IF(DO138="",TRUE,IF(input_executive_education_focus="",FALSE,SUMPRODUCT(--ISNUMBER(SEARCH(","&amp;TRIM(TEXTSPLIT(DO138,","))&amp;",",","&amp;SUBSTITUTE(input_executive_education_focus," ","")&amp;",")))&gt;0)),IF(DQ138="",TRUE,IF(input_executive_education_focus="",FALSE,SUMPRODUCT(--ISNUMBER(SEARCH(","&amp;TRIM(TEXTSPLIT(DQ138,","))&amp;",",","&amp;SUBSTITUTE(input_executive_education_focus," ","")&amp;",")))=COUNTA(TEXTSPLIT(DQ138,",")))))</f>
        <v/>
      </c>
      <c r="JE138">
        <f>AND(IF(DS138="",TRUE,IF(input_faculty_category="",FALSE,SUMPRODUCT(--ISNUMBER(SEARCH(","&amp;TRIM(TEXTSPLIT(DS138,","))&amp;",",","&amp;SUBSTITUTE(input_faculty_category," ","")&amp;",")))&gt;0)),IF(DU138="",TRUE,IF(input_faculty_category="",FALSE,SUMPRODUCT(--ISNUMBER(SEARCH(","&amp;TRIM(TEXTSPLIT(DU138,","))&amp;",",","&amp;SUBSTITUTE(input_faculty_category," ","")&amp;",")))=COUNTA(TEXTSPLIT(DU138,",")))),IF(DW138="",TRUE,IF(input_faculty_category="",TRUE,SUMPRODUCT(--ISNUMBER(SEARCH(","&amp;TRIM(TEXTSPLIT(DW138,","))&amp;",",","&amp;SUBSTITUTE(input_faculty_category," ","")&amp;",")))=0)),IF(DY138="",TRUE,IF(input_faculty_category="",FALSE,SUMPRODUCT(--ISNUMBER(SEARCH(","&amp;TRIM(TEXTSPLIT(DY138,","))&amp;",",","&amp;SUBSTITUTE(input_faculty_category," ","")&amp;",")))&gt;0)),IF(EA138="",TRUE,IF(input_faculty_category="",FALSE,SUMPRODUCT(--ISNUMBER(SEARCH(","&amp;TRIM(TEXTSPLIT(EA138,","))&amp;",",","&amp;SUBSTITUTE(input_faculty_category," ","")&amp;",")))=COUNTA(TEXTSPLIT(EA138,",")))))</f>
        <v/>
      </c>
      <c r="JF138">
        <f>AND(IF(EC138="",TRUE,IF(input_faculty_discipline="",FALSE,SUMPRODUCT(--ISNUMBER(SEARCH(","&amp;TRIM(TEXTSPLIT(EC138,","))&amp;",",","&amp;SUBSTITUTE(input_faculty_discipline," ","")&amp;",")))&gt;0)),IF(EE138="",TRUE,IF(input_faculty_discipline="",FALSE,SUMPRODUCT(--ISNUMBER(SEARCH(","&amp;TRIM(TEXTSPLIT(EE138,","))&amp;",",","&amp;SUBSTITUTE(input_faculty_discipline," ","")&amp;",")))=COUNTA(TEXTSPLIT(EE138,",")))),IF(EG138="",TRUE,IF(input_faculty_discipline="",TRUE,SUMPRODUCT(--ISNUMBER(SEARCH(","&amp;TRIM(TEXTSPLIT(EG138,","))&amp;",",","&amp;SUBSTITUTE(input_faculty_discipline," ","")&amp;",")))=0)),IF(EI138="",TRUE,IF(input_faculty_discipline="",FALSE,SUMPRODUCT(--ISNUMBER(SEARCH(","&amp;TRIM(TEXTSPLIT(EI138,","))&amp;",",","&amp;SUBSTITUTE(input_faculty_discipline," ","")&amp;",")))&gt;0)),IF(EK138="",TRUE,IF(input_faculty_discipline="",FALSE,SUMPRODUCT(--ISNUMBER(SEARCH(","&amp;TRIM(TEXTSPLIT(EK138,","))&amp;",",","&amp;SUBSTITUTE(input_faculty_discipline," ","")&amp;",")))=COUNTA(TEXTSPLIT(EK138,",")))))</f>
        <v/>
      </c>
      <c r="JG138">
        <f>AND(IF(EM138="",TRUE,IF(input_faculty_expertise="",FALSE,SUMPRODUCT(--ISNUMBER(SEARCH(","&amp;TRIM(TEXTSPLIT(EM138,","))&amp;",",","&amp;SUBSTITUTE(input_faculty_expertise," ","")&amp;",")))&gt;0)),IF(EO138="",TRUE,IF(input_faculty_expertise="",FALSE,SUMPRODUCT(--ISNUMBER(SEARCH(","&amp;TRIM(TEXTSPLIT(EO138,","))&amp;",",","&amp;SUBSTITUTE(input_faculty_expertise," ","")&amp;",")))=COUNTA(TEXTSPLIT(EO138,",")))),IF(EQ138="",TRUE,IF(input_faculty_expertise="",TRUE,SUMPRODUCT(--ISNUMBER(SEARCH(","&amp;TRIM(TEXTSPLIT(EQ138,","))&amp;",",","&amp;SUBSTITUTE(input_faculty_expertise," ","")&amp;",")))=0)),IF(ES138="",TRUE,IF(input_faculty_expertise="",FALSE,SUMPRODUCT(--ISNUMBER(SEARCH(","&amp;TRIM(TEXTSPLIT(ES138,","))&amp;",",","&amp;SUBSTITUTE(input_faculty_expertise," ","")&amp;",")))&gt;0)),IF(EU138="",TRUE,IF(input_faculty_expertise="",FALSE,SUMPRODUCT(--ISNUMBER(SEARCH(","&amp;TRIM(TEXTSPLIT(EU138,","))&amp;",",","&amp;SUBSTITUTE(input_faculty_expertise," ","")&amp;",")))=COUNTA(TEXTSPLIT(EU138,",")))))</f>
        <v/>
      </c>
      <c r="JH138">
        <f>AND(IF(EW138="",TRUE,IF(input_global_network_school="",FALSE,SUMPRODUCT(--ISNUMBER(SEARCH(","&amp;TRIM(TEXTSPLIT(EW138,","))&amp;",",","&amp;SUBSTITUTE(input_global_network_school," ","")&amp;",")))&gt;0)),IF(EY138="",TRUE,IF(input_global_network_school="",FALSE,SUMPRODUCT(--ISNUMBER(SEARCH(","&amp;TRIM(TEXTSPLIT(EY138,","))&amp;",",","&amp;SUBSTITUTE(input_global_network_school," ","")&amp;",")))=COUNTA(TEXTSPLIT(EY138,",")))),IF(FA138="",TRUE,IF(input_global_network_school="",TRUE,SUMPRODUCT(--ISNUMBER(SEARCH(","&amp;TRIM(TEXTSPLIT(FA138,","))&amp;",",","&amp;SUBSTITUTE(input_global_network_school," ","")&amp;",")))=0)),IF(FC138="",TRUE,IF(input_global_network_school="",FALSE,SUMPRODUCT(--ISNUMBER(SEARCH(","&amp;TRIM(TEXTSPLIT(FC138,","))&amp;",",","&amp;SUBSTITUTE(input_global_network_school," ","")&amp;",")))&gt;0)),IF(FE138="",TRUE,IF(input_global_network_school="",FALSE,SUMPRODUCT(--ISNUMBER(SEARCH(","&amp;TRIM(TEXTSPLIT(FE138,","))&amp;",",","&amp;SUBSTITUTE(input_global_network_school," ","")&amp;",")))=COUNTA(TEXTSPLIT(FE138,",")))))</f>
        <v/>
      </c>
      <c r="JI138">
        <f>AND(IF(FG138="",TRUE,IF(input_industry="",FALSE,SUMPRODUCT(--ISNUMBER(SEARCH(","&amp;TRIM(TEXTSPLIT(FG138,","))&amp;",",","&amp;SUBSTITUTE(input_industry," ","")&amp;",")))&gt;0)),IF(FI138="",TRUE,IF(input_industry="",FALSE,SUMPRODUCT(--ISNUMBER(SEARCH(","&amp;TRIM(TEXTSPLIT(FI138,","))&amp;",",","&amp;SUBSTITUTE(input_industry," ","")&amp;",")))=COUNTA(TEXTSPLIT(FI138,",")))),IF(FK138="",TRUE,IF(input_industry="",TRUE,SUMPRODUCT(--ISNUMBER(SEARCH(","&amp;TRIM(TEXTSPLIT(FK138,","))&amp;",",","&amp;SUBSTITUTE(input_industry," ","")&amp;",")))=0)),IF(FM138="",TRUE,IF(input_industry="",FALSE,SUMPRODUCT(--ISNUMBER(SEARCH(","&amp;TRIM(TEXTSPLIT(FM138,","))&amp;",",","&amp;SUBSTITUTE(input_industry," ","")&amp;",")))&gt;0)),IF(FO138="",TRUE,IF(input_industry="",FALSE,SUMPRODUCT(--ISNUMBER(SEARCH(","&amp;TRIM(TEXTSPLIT(FO138,","))&amp;",",","&amp;SUBSTITUTE(input_industry," ","")&amp;",")))=COUNTA(TEXTSPLIT(FO138,",")))))</f>
        <v/>
      </c>
      <c r="JJ138">
        <f>AND(IF(FQ138="",TRUE,IF(input_location="",FALSE,SUMPRODUCT(--ISNUMBER(SEARCH(","&amp;TRIM(TEXTSPLIT(FQ138,","))&amp;",",","&amp;SUBSTITUTE(input_location," ","")&amp;",")))&gt;0)),IF(FS138="",TRUE,IF(input_location="",FALSE,SUMPRODUCT(--ISNUMBER(SEARCH(","&amp;TRIM(TEXTSPLIT(FS138,","))&amp;",",","&amp;SUBSTITUTE(input_location," ","")&amp;",")))=COUNTA(TEXTSPLIT(FS138,",")))),IF(FU138="",TRUE,IF(input_location="",TRUE,SUMPRODUCT(--ISNUMBER(SEARCH(","&amp;TRIM(TEXTSPLIT(FU138,","))&amp;",",","&amp;SUBSTITUTE(input_location," ","")&amp;",")))=0)),IF(FW138="",TRUE,IF(input_location="",FALSE,SUMPRODUCT(--ISNUMBER(SEARCH(","&amp;TRIM(TEXTSPLIT(FW138,","))&amp;",",","&amp;SUBSTITUTE(input_location," ","")&amp;",")))&gt;0)),IF(FY138="",TRUE,IF(input_location="",FALSE,SUMPRODUCT(--ISNUMBER(SEARCH(","&amp;TRIM(TEXTSPLIT(FY138,","))&amp;",",","&amp;SUBSTITUTE(input_location," ","")&amp;",")))=COUNTA(TEXTSPLIT(FY138,",")))))</f>
        <v/>
      </c>
      <c r="JK138">
        <f>AND(IF(GA138="",TRUE,IF(input_modality="",FALSE,SUMPRODUCT(--ISNUMBER(SEARCH(","&amp;TRIM(TEXTSPLIT(GA138,","))&amp;",",","&amp;SUBSTITUTE(input_modality," ","")&amp;",")))&gt;0)),IF(GC138="",TRUE,IF(input_modality="",FALSE,SUMPRODUCT(--ISNUMBER(SEARCH(","&amp;TRIM(TEXTSPLIT(GC138,","))&amp;",",","&amp;SUBSTITUTE(input_modality," ","")&amp;",")))=COUNTA(TEXTSPLIT(GC138,",")))),IF(GE138="",TRUE,IF(input_modality="",TRUE,SUMPRODUCT(--ISNUMBER(SEARCH(","&amp;TRIM(TEXTSPLIT(GE138,","))&amp;",",","&amp;SUBSTITUTE(input_modality," ","")&amp;",")))=0)),IF(GG138="",TRUE,IF(input_modality="",FALSE,SUMPRODUCT(--ISNUMBER(SEARCH(","&amp;TRIM(TEXTSPLIT(GG138,","))&amp;",",","&amp;SUBSTITUTE(input_modality," ","")&amp;",")))&gt;0)),IF(GI138="",TRUE,IF(input_modality="",FALSE,SUMPRODUCT(--ISNUMBER(SEARCH(","&amp;TRIM(TEXTSPLIT(GI138,","))&amp;",",","&amp;SUBSTITUTE(input_modality," ","")&amp;",")))=COUNTA(TEXTSPLIT(GI138,",")))))</f>
        <v/>
      </c>
      <c r="JL138">
        <f>AND(IF(GK138="",TRUE,IF(input_organizer="",FALSE,SUMPRODUCT(--ISNUMBER(SEARCH(","&amp;TRIM(TEXTSPLIT(GK138,","))&amp;",",","&amp;SUBSTITUTE(input_organizer," ","")&amp;",")))&gt;0)),IF(GM138="",TRUE,IF(input_organizer="",FALSE,SUMPRODUCT(--ISNUMBER(SEARCH(","&amp;TRIM(TEXTSPLIT(GM138,","))&amp;",",","&amp;SUBSTITUTE(input_organizer," ","")&amp;",")))=COUNTA(TEXTSPLIT(GM138,",")))),IF(GO138="",TRUE,IF(input_organizer="",TRUE,SUMPRODUCT(--ISNUMBER(SEARCH(","&amp;TRIM(TEXTSPLIT(GO138,","))&amp;",",","&amp;SUBSTITUTE(input_organizer," ","")&amp;",")))=0)),IF(GQ138="",TRUE,IF(input_organizer="",FALSE,SUMPRODUCT(--ISNUMBER(SEARCH(","&amp;TRIM(TEXTSPLIT(GQ138,","))&amp;",",","&amp;SUBSTITUTE(input_organizer," ","")&amp;",")))&gt;0)),IF(GS138="",TRUE,IF(input_organizer="",FALSE,SUMPRODUCT(--ISNUMBER(SEARCH(","&amp;TRIM(TEXTSPLIT(GS138,","))&amp;",",","&amp;SUBSTITUTE(input_organizer," ","")&amp;",")))=COUNTA(TEXTSPLIT(GS138,",")))))</f>
        <v/>
      </c>
      <c r="JM138">
        <f>AND(IF(GU138="",TRUE,IF(input_profile_type="",FALSE,SUMPRODUCT(--ISNUMBER(SEARCH(","&amp;TRIM(TEXTSPLIT(GU138,","))&amp;",",","&amp;SUBSTITUTE(input_profile_type," ","")&amp;",")))&gt;0)),IF(GW138="",TRUE,IF(input_profile_type="",FALSE,SUMPRODUCT(--ISNUMBER(SEARCH(","&amp;TRIM(TEXTSPLIT(GW138,","))&amp;",",","&amp;SUBSTITUTE(input_profile_type," ","")&amp;",")))=COUNTA(TEXTSPLIT(GW138,",")))),IF(GY138="",TRUE,IF(input_profile_type="",TRUE,SUMPRODUCT(--ISNUMBER(SEARCH(","&amp;TRIM(TEXTSPLIT(GY138,","))&amp;",",","&amp;SUBSTITUTE(input_profile_type," ","")&amp;",")))=0)),IF(HA138="",TRUE,IF(input_profile_type="",FALSE,SUMPRODUCT(--ISNUMBER(SEARCH(","&amp;TRIM(TEXTSPLIT(HA138,","))&amp;",",","&amp;SUBSTITUTE(input_profile_type," ","")&amp;",")))&gt;0)),IF(HC138="",TRUE,IF(input_profile_type="",FALSE,SUMPRODUCT(--ISNUMBER(SEARCH(","&amp;TRIM(TEXTSPLIT(HC138,","))&amp;",",","&amp;SUBSTITUTE(input_profile_type," ","")&amp;",")))=COUNTA(TEXTSPLIT(HC138,",")))))</f>
        <v/>
      </c>
      <c r="JN138">
        <f>AND(IF(HE138="",TRUE,IF(input_program="",FALSE,SUMPRODUCT(--ISNUMBER(SEARCH(","&amp;TRIM(TEXTSPLIT(HE138,","))&amp;",",","&amp;SUBSTITUTE(input_program," ","")&amp;",")))&gt;0)),IF(HG138="",TRUE,IF(input_program="",FALSE,SUMPRODUCT(--ISNUMBER(SEARCH(","&amp;TRIM(TEXTSPLIT(HG138,","))&amp;",",","&amp;SUBSTITUTE(input_program," ","")&amp;",")))=COUNTA(TEXTSPLIT(HG138,",")))),IF(HI138="",TRUE,IF(input_program="",TRUE,SUMPRODUCT(--ISNUMBER(SEARCH(","&amp;TRIM(TEXTSPLIT(HI138,","))&amp;",",","&amp;SUBSTITUTE(input_program," ","")&amp;",")))=0)),IF(HK138="",TRUE,IF(input_program="",FALSE,SUMPRODUCT(--ISNUMBER(SEARCH(","&amp;TRIM(TEXTSPLIT(HK138,","))&amp;",",","&amp;SUBSTITUTE(input_program," ","")&amp;",")))&gt;0)),IF(HM138="",TRUE,IF(input_program="",FALSE,SUMPRODUCT(--ISNUMBER(SEARCH(","&amp;TRIM(TEXTSPLIT(HM138,","))&amp;",",","&amp;SUBSTITUTE(input_program," ","")&amp;",")))=COUNTA(TEXTSPLIT(HM138,",")))))</f>
        <v/>
      </c>
      <c r="JO138">
        <f>AND(IF(HO138="",TRUE,IF(input_story_categories="",FALSE,SUMPRODUCT(--ISNUMBER(SEARCH(","&amp;TRIM(TEXTSPLIT(HO138,","))&amp;",",","&amp;SUBSTITUTE(input_story_categories," ","")&amp;",")))&gt;0)),IF(HQ138="",TRUE,IF(input_story_categories="",FALSE,SUMPRODUCT(--ISNUMBER(SEARCH(","&amp;TRIM(TEXTSPLIT(HQ138,","))&amp;",",","&amp;SUBSTITUTE(input_story_categories," ","")&amp;",")))=COUNTA(TEXTSPLIT(HQ138,",")))),IF(HS138="",TRUE,IF(input_story_categories="",TRUE,SUMPRODUCT(--ISNUMBER(SEARCH(","&amp;TRIM(TEXTSPLIT(HS138,","))&amp;",",","&amp;SUBSTITUTE(input_story_categories," ","")&amp;",")))=0)),IF(HU138="",TRUE,IF(input_story_categories="",FALSE,SUMPRODUCT(--ISNUMBER(SEARCH(","&amp;TRIM(TEXTSPLIT(HU138,","))&amp;",",","&amp;SUBSTITUTE(input_story_categories," ","")&amp;",")))&gt;0)),IF(HW138="",TRUE,IF(input_story_categories="",FALSE,SUMPRODUCT(--ISNUMBER(SEARCH(","&amp;TRIM(TEXTSPLIT(HW138,","))&amp;",",","&amp;SUBSTITUTE(input_story_categories," ","")&amp;",")))=COUNTA(TEXTSPLIT(HW138,",")))))</f>
        <v/>
      </c>
      <c r="JP138">
        <f>AND(IF(HY138="",TRUE,IF(input_story_type="",FALSE,SUMPRODUCT(--ISNUMBER(SEARCH(","&amp;TRIM(TEXTSPLIT(HY138,","))&amp;",",","&amp;SUBSTITUTE(input_story_type," ","")&amp;",")))&gt;0)),IF(IA138="",TRUE,IF(input_story_type="",FALSE,SUMPRODUCT(--ISNUMBER(SEARCH(","&amp;TRIM(TEXTSPLIT(IA138,","))&amp;",",","&amp;SUBSTITUTE(input_story_type," ","")&amp;",")))=COUNTA(TEXTSPLIT(IA138,",")))),IF(IC138="",TRUE,IF(input_story_type="",TRUE,SUMPRODUCT(--ISNUMBER(SEARCH(","&amp;TRIM(TEXTSPLIT(IC138,","))&amp;",",","&amp;SUBSTITUTE(input_story_type," ","")&amp;",")))=0)),IF(IE138="",TRUE,IF(input_story_type="",FALSE,SUMPRODUCT(--ISNUMBER(SEARCH(","&amp;TRIM(TEXTSPLIT(IE138,","))&amp;",",","&amp;SUBSTITUTE(input_story_type," ","")&amp;",")))&gt;0)),IF(IG138="",TRUE,IF(input_story_type="",FALSE,SUMPRODUCT(--ISNUMBER(SEARCH(","&amp;TRIM(TEXTSPLIT(IG138,","))&amp;",",","&amp;SUBSTITUTE(input_story_type," ","")&amp;",")))=COUNTA(TEXTSPLIT(IG138,",")))))</f>
        <v/>
      </c>
      <c r="JQ138">
        <f>AND(IF(II138="",TRUE,IF(input_topics="",FALSE,SUMPRODUCT(--ISNUMBER(SEARCH(","&amp;TRIM(TEXTSPLIT(II138,","))&amp;",",","&amp;SUBSTITUTE(input_topics," ","")&amp;",")))&gt;0)),IF(IK138="",TRUE,IF(input_topics="",FALSE,SUMPRODUCT(--ISNUMBER(SEARCH(","&amp;TRIM(TEXTSPLIT(IK138,","))&amp;",",","&amp;SUBSTITUTE(input_topics," ","")&amp;",")))=COUNTA(TEXTSPLIT(IK138,",")))),IF(IM138="",TRUE,IF(input_topics="",TRUE,SUMPRODUCT(--ISNUMBER(SEARCH(","&amp;TRIM(TEXTSPLIT(IM138,","))&amp;",",","&amp;SUBSTITUTE(input_topics," ","")&amp;",")))=0)),IF(IO138="",TRUE,IF(input_topics="",FALSE,SUMPRODUCT(--ISNUMBER(SEARCH(","&amp;TRIM(TEXTSPLIT(IO138,","))&amp;",",","&amp;SUBSTITUTE(input_topics," ","")&amp;",")))&gt;0)),IF(IQ138="",TRUE,IF(input_topics="",FALSE,SUMPRODUCT(--ISNUMBER(SEARCH(","&amp;TRIM(TEXTSPLIT(IQ138,","))&amp;",",","&amp;SUBSTITUTE(input_topics," ","")&amp;",")))=COUNTA(TEXTSPLIT(IQ138,",")))))</f>
        <v/>
      </c>
    </row>
    <row r="139">
      <c r="A139" s="4">
        <f>IF(NOT(IS139),"Excluded",IF(AND(IT139,IU139,IV139,IW139,IX139,IY139,IZ139,JA139,JB139,JC139,JD139,JE139,JF139,JG139,JH139,JI139,JJ139,JK139,JL139,JM139,JN139,JO139,JP139,JQ139),IF(I139&gt;0,"Eligible but limited","Will appear"),"Excluded"))</f>
        <v/>
      </c>
      <c r="B139" s="4" t="inlineStr">
        <is>
          <t>News - Summary</t>
        </is>
      </c>
      <c r="C139" s="4" t="inlineStr">
        <is>
          <t>/the-som-experience/interests-and-industries/consulting</t>
        </is>
      </c>
      <c r="D139" s="4" t="inlineStr">
        <is>
          <t>/the-som-experience/interests-and-industries/consulting</t>
        </is>
      </c>
      <c r="E139" s="4" t="n">
        <v>1</v>
      </c>
      <c r="F139" s="4" t="inlineStr">
        <is>
          <t>story</t>
        </is>
      </c>
      <c r="G139" s="4" t="inlineStr">
        <is>
          <t>stories_mosaic_grid</t>
        </is>
      </c>
      <c r="H139" s="4" t="inlineStr">
        <is>
          <t>embed_news_summary</t>
        </is>
      </c>
      <c r="I139" s="4" t="n">
        <v>1</v>
      </c>
      <c r="J139" s="4" t="inlineStr">
        <is>
          <t>View/config rules</t>
        </is>
      </c>
      <c r="K139" s="4" t="inlineStr">
        <is>
          <t>Page placement</t>
        </is>
      </c>
      <c r="L139" s="4" t="inlineStr">
        <is>
          <t>Content type: story; Needs any Story Type: News (924); Limited to 1 item(s); Source: View/config rules</t>
        </is>
      </c>
      <c r="M139" t="inlineStr"/>
      <c r="N139" t="inlineStr"/>
      <c r="O139" t="inlineStr"/>
      <c r="P139" t="inlineStr"/>
      <c r="Q139" t="inlineStr"/>
      <c r="R139" t="inlineStr"/>
      <c r="S139" t="inlineStr"/>
      <c r="T139" t="inlineStr"/>
      <c r="U139" t="inlineStr"/>
      <c r="V139" t="inlineStr"/>
      <c r="W139" t="inlineStr"/>
      <c r="X139" t="inlineStr"/>
      <c r="Y139" t="inlineStr"/>
      <c r="Z139" t="inlineStr"/>
      <c r="AA139" t="inlineStr"/>
      <c r="AB139" t="inlineStr"/>
      <c r="AC139" t="inlineStr"/>
      <c r="AD139" t="inlineStr"/>
      <c r="AE139" t="inlineStr"/>
      <c r="AF139" t="inlineStr"/>
      <c r="AG139" t="inlineStr"/>
      <c r="AH139" t="inlineStr"/>
      <c r="AI139" t="inlineStr"/>
      <c r="AJ139" t="inlineStr"/>
      <c r="AK139" t="inlineStr"/>
      <c r="AL139" t="inlineStr"/>
      <c r="AM139" t="inlineStr"/>
      <c r="AN139" t="inlineStr"/>
      <c r="AO139" t="inlineStr"/>
      <c r="AP139" t="inlineStr"/>
      <c r="AQ139" t="inlineStr"/>
      <c r="AR139" t="inlineStr"/>
      <c r="AS139" t="inlineStr"/>
      <c r="AT139" t="inlineStr"/>
      <c r="AU139" t="inlineStr"/>
      <c r="AV139" t="inlineStr"/>
      <c r="AW139" t="inlineStr"/>
      <c r="AX139" t="inlineStr"/>
      <c r="AY139" t="inlineStr"/>
      <c r="AZ139" t="inlineStr"/>
      <c r="BA139" t="inlineStr"/>
      <c r="BB139" t="inlineStr"/>
      <c r="BC139" t="inlineStr"/>
      <c r="BD139" t="inlineStr"/>
      <c r="BE139" t="inlineStr"/>
      <c r="BF139" t="inlineStr"/>
      <c r="BG139" t="inlineStr"/>
      <c r="BH139" t="inlineStr"/>
      <c r="BI139" t="inlineStr"/>
      <c r="BJ139" t="inlineStr"/>
      <c r="BK139" t="inlineStr"/>
      <c r="BL139" t="inlineStr"/>
      <c r="BM139" t="inlineStr"/>
      <c r="BN139" t="inlineStr"/>
      <c r="BO139" t="inlineStr"/>
      <c r="BP139" t="inlineStr"/>
      <c r="BQ139" t="inlineStr"/>
      <c r="BR139" t="inlineStr"/>
      <c r="BS139" t="inlineStr"/>
      <c r="BT139" t="inlineStr"/>
      <c r="BU139" t="inlineStr"/>
      <c r="BV139" t="inlineStr"/>
      <c r="BW139" t="inlineStr"/>
      <c r="BX139" t="inlineStr"/>
      <c r="BY139" t="inlineStr"/>
      <c r="BZ139" t="inlineStr"/>
      <c r="CA139" t="inlineStr"/>
      <c r="CB139" t="inlineStr"/>
      <c r="CC139" t="inlineStr"/>
      <c r="CD139" t="inlineStr"/>
      <c r="CE139" t="inlineStr"/>
      <c r="CF139" t="inlineStr"/>
      <c r="CG139" t="inlineStr"/>
      <c r="CH139" t="inlineStr"/>
      <c r="CI139" t="inlineStr"/>
      <c r="CJ139" t="inlineStr"/>
      <c r="CK139" t="inlineStr"/>
      <c r="CL139" t="inlineStr"/>
      <c r="CM139" t="inlineStr"/>
      <c r="CN139" t="inlineStr"/>
      <c r="CO139" t="inlineStr"/>
      <c r="CP139" t="inlineStr"/>
      <c r="CQ139" t="inlineStr"/>
      <c r="CR139" t="inlineStr"/>
      <c r="CS139" t="inlineStr"/>
      <c r="CT139" t="inlineStr"/>
      <c r="CU139" t="inlineStr"/>
      <c r="CV139" t="inlineStr"/>
      <c r="CW139" t="inlineStr"/>
      <c r="CX139" t="inlineStr"/>
      <c r="CY139" t="inlineStr"/>
      <c r="CZ139" t="inlineStr"/>
      <c r="DA139" t="inlineStr"/>
      <c r="DB139" t="inlineStr"/>
      <c r="DC139" t="inlineStr"/>
      <c r="DD139" t="inlineStr"/>
      <c r="DE139" t="inlineStr"/>
      <c r="DF139" t="inlineStr"/>
      <c r="DG139" t="inlineStr"/>
      <c r="DH139" t="inlineStr"/>
      <c r="DI139" t="inlineStr"/>
      <c r="DJ139" t="inlineStr"/>
      <c r="DK139" t="inlineStr"/>
      <c r="DL139" t="inlineStr"/>
      <c r="DM139" t="inlineStr"/>
      <c r="DN139" t="inlineStr"/>
      <c r="DO139" t="inlineStr"/>
      <c r="DP139" t="inlineStr"/>
      <c r="DQ139" t="inlineStr"/>
      <c r="DR139" t="inlineStr"/>
      <c r="DS139" t="inlineStr"/>
      <c r="DT139" t="inlineStr"/>
      <c r="DU139" t="inlineStr"/>
      <c r="DV139" t="inlineStr"/>
      <c r="DW139" t="inlineStr"/>
      <c r="DX139" t="inlineStr"/>
      <c r="DY139" t="inlineStr"/>
      <c r="DZ139" t="inlineStr"/>
      <c r="EA139" t="inlineStr"/>
      <c r="EB139" t="inlineStr"/>
      <c r="EC139" t="inlineStr"/>
      <c r="ED139" t="inlineStr"/>
      <c r="EE139" t="inlineStr"/>
      <c r="EF139" t="inlineStr"/>
      <c r="EG139" t="inlineStr"/>
      <c r="EH139" t="inlineStr"/>
      <c r="EI139" t="inlineStr"/>
      <c r="EJ139" t="inlineStr"/>
      <c r="EK139" t="inlineStr"/>
      <c r="EL139" t="inlineStr"/>
      <c r="EM139" t="inlineStr"/>
      <c r="EN139" t="inlineStr"/>
      <c r="EO139" t="inlineStr"/>
      <c r="EP139" t="inlineStr"/>
      <c r="EQ139" t="inlineStr"/>
      <c r="ER139" t="inlineStr"/>
      <c r="ES139" t="inlineStr"/>
      <c r="ET139" t="inlineStr"/>
      <c r="EU139" t="inlineStr"/>
      <c r="EV139" t="inlineStr"/>
      <c r="EW139" t="inlineStr"/>
      <c r="EX139" t="inlineStr"/>
      <c r="EY139" t="inlineStr"/>
      <c r="EZ139" t="inlineStr"/>
      <c r="FA139" t="inlineStr"/>
      <c r="FB139" t="inlineStr"/>
      <c r="FC139" t="inlineStr"/>
      <c r="FD139" t="inlineStr"/>
      <c r="FE139" t="inlineStr"/>
      <c r="FF139" t="inlineStr"/>
      <c r="FG139" t="inlineStr"/>
      <c r="FH139" t="inlineStr"/>
      <c r="FI139" t="inlineStr"/>
      <c r="FJ139" t="inlineStr"/>
      <c r="FK139" t="inlineStr"/>
      <c r="FL139" t="inlineStr"/>
      <c r="FM139" t="inlineStr"/>
      <c r="FN139" t="inlineStr"/>
      <c r="FO139" t="inlineStr"/>
      <c r="FP139" t="inlineStr"/>
      <c r="FQ139" t="inlineStr"/>
      <c r="FR139" t="inlineStr"/>
      <c r="FS139" t="inlineStr"/>
      <c r="FT139" t="inlineStr"/>
      <c r="FU139" t="inlineStr"/>
      <c r="FV139" t="inlineStr"/>
      <c r="FW139" t="inlineStr"/>
      <c r="FX139" t="inlineStr"/>
      <c r="FY139" t="inlineStr"/>
      <c r="FZ139" t="inlineStr"/>
      <c r="GA139" t="inlineStr"/>
      <c r="GB139" t="inlineStr"/>
      <c r="GC139" t="inlineStr"/>
      <c r="GD139" t="inlineStr"/>
      <c r="GE139" t="inlineStr"/>
      <c r="GF139" t="inlineStr"/>
      <c r="GG139" t="inlineStr"/>
      <c r="GH139" t="inlineStr"/>
      <c r="GI139" t="inlineStr"/>
      <c r="GJ139" t="inlineStr"/>
      <c r="GK139" t="inlineStr"/>
      <c r="GL139" t="inlineStr"/>
      <c r="GM139" t="inlineStr"/>
      <c r="GN139" t="inlineStr"/>
      <c r="GO139" t="inlineStr"/>
      <c r="GP139" t="inlineStr"/>
      <c r="GQ139" t="inlineStr"/>
      <c r="GR139" t="inlineStr"/>
      <c r="GS139" t="inlineStr"/>
      <c r="GT139" t="inlineStr"/>
      <c r="GU139" t="inlineStr"/>
      <c r="GV139" t="inlineStr"/>
      <c r="GW139" t="inlineStr"/>
      <c r="GX139" t="inlineStr"/>
      <c r="GY139" t="inlineStr"/>
      <c r="GZ139" t="inlineStr"/>
      <c r="HA139" t="inlineStr"/>
      <c r="HB139" t="inlineStr"/>
      <c r="HC139" t="inlineStr"/>
      <c r="HD139" t="inlineStr"/>
      <c r="HE139" t="inlineStr"/>
      <c r="HF139" t="inlineStr"/>
      <c r="HG139" t="inlineStr"/>
      <c r="HH139" t="inlineStr"/>
      <c r="HI139" t="inlineStr"/>
      <c r="HJ139" t="inlineStr"/>
      <c r="HK139" t="inlineStr"/>
      <c r="HL139" t="inlineStr"/>
      <c r="HM139" t="inlineStr"/>
      <c r="HN139" t="inlineStr"/>
      <c r="HO139" t="inlineStr"/>
      <c r="HP139" t="inlineStr"/>
      <c r="HQ139" t="inlineStr"/>
      <c r="HR139" t="inlineStr"/>
      <c r="HS139" t="inlineStr"/>
      <c r="HT139" t="inlineStr"/>
      <c r="HU139" t="inlineStr"/>
      <c r="HV139" t="inlineStr"/>
      <c r="HW139" t="inlineStr"/>
      <c r="HX139" t="inlineStr"/>
      <c r="HY139" t="inlineStr">
        <is>
          <t>924</t>
        </is>
      </c>
      <c r="HZ139" t="inlineStr">
        <is>
          <t>News (924)</t>
        </is>
      </c>
      <c r="IA139" t="inlineStr"/>
      <c r="IB139" t="inlineStr"/>
      <c r="IC139" t="inlineStr"/>
      <c r="ID139" t="inlineStr"/>
      <c r="IE139" t="inlineStr"/>
      <c r="IF139" t="inlineStr"/>
      <c r="IG139" t="inlineStr"/>
      <c r="IH139" t="inlineStr"/>
      <c r="II139" t="inlineStr"/>
      <c r="IJ139" t="inlineStr"/>
      <c r="IK139" t="inlineStr"/>
      <c r="IL139" t="inlineStr"/>
      <c r="IM139" t="inlineStr"/>
      <c r="IN139" t="inlineStr"/>
      <c r="IO139" t="inlineStr"/>
      <c r="IP139" t="inlineStr"/>
      <c r="IQ139" t="inlineStr"/>
      <c r="IR139" t="inlineStr"/>
      <c r="IS139">
        <f>IF(input_content_type="",FALSE,ISNUMBER(SEARCH(","&amp;LOWER(input_content_type)&amp;",",","&amp;LOWER(F139)&amp;",")))</f>
        <v/>
      </c>
      <c r="IT139">
        <f>AND(IF(M139="",TRUE,IF(input_affiliations="",FALSE,SUMPRODUCT(--ISNUMBER(SEARCH(","&amp;TRIM(TEXTSPLIT(M139,","))&amp;",",","&amp;SUBSTITUTE(input_affiliations," ","")&amp;",")))&gt;0)),IF(O139="",TRUE,IF(input_affiliations="",FALSE,SUMPRODUCT(--ISNUMBER(SEARCH(","&amp;TRIM(TEXTSPLIT(O139,","))&amp;",",","&amp;SUBSTITUTE(input_affiliations," ","")&amp;",")))=COUNTA(TEXTSPLIT(O139,",")))),IF(Q139="",TRUE,IF(input_affiliations="",TRUE,SUMPRODUCT(--ISNUMBER(SEARCH(","&amp;TRIM(TEXTSPLIT(Q139,","))&amp;",",","&amp;SUBSTITUTE(input_affiliations," ","")&amp;",")))=0)),IF(S139="",TRUE,IF(input_affiliations="",FALSE,SUMPRODUCT(--ISNUMBER(SEARCH(","&amp;TRIM(TEXTSPLIT(S139,","))&amp;",",","&amp;SUBSTITUTE(input_affiliations," ","")&amp;",")))&gt;0)),IF(U139="",TRUE,IF(input_affiliations="",FALSE,SUMPRODUCT(--ISNUMBER(SEARCH(","&amp;TRIM(TEXTSPLIT(U139,","))&amp;",",","&amp;SUBSTITUTE(input_affiliations," ","")&amp;",")))=COUNTA(TEXTSPLIT(U139,",")))))</f>
        <v/>
      </c>
      <c r="IU139">
        <f>AND(IF(W139="",TRUE,IF(input_announcement_category="",FALSE,SUMPRODUCT(--ISNUMBER(SEARCH(","&amp;TRIM(TEXTSPLIT(W139,","))&amp;",",","&amp;SUBSTITUTE(input_announcement_category," ","")&amp;",")))&gt;0)),IF(Y139="",TRUE,IF(input_announcement_category="",FALSE,SUMPRODUCT(--ISNUMBER(SEARCH(","&amp;TRIM(TEXTSPLIT(Y139,","))&amp;",",","&amp;SUBSTITUTE(input_announcement_category," ","")&amp;",")))=COUNTA(TEXTSPLIT(Y139,",")))),IF(AA139="",TRUE,IF(input_announcement_category="",TRUE,SUMPRODUCT(--ISNUMBER(SEARCH(","&amp;TRIM(TEXTSPLIT(AA139,","))&amp;",",","&amp;SUBSTITUTE(input_announcement_category," ","")&amp;",")))=0)),IF(AC139="",TRUE,IF(input_announcement_category="",FALSE,SUMPRODUCT(--ISNUMBER(SEARCH(","&amp;TRIM(TEXTSPLIT(AC139,","))&amp;",",","&amp;SUBSTITUTE(input_announcement_category," ","")&amp;",")))&gt;0)),IF(AE139="",TRUE,IF(input_announcement_category="",FALSE,SUMPRODUCT(--ISNUMBER(SEARCH(","&amp;TRIM(TEXTSPLIT(AE139,","))&amp;",",","&amp;SUBSTITUTE(input_announcement_category," ","")&amp;",")))=COUNTA(TEXTSPLIT(AE139,",")))))</f>
        <v/>
      </c>
      <c r="IV139">
        <f>AND(IF(AG139="",TRUE,IF(input_area_of_focus="",FALSE,SUMPRODUCT(--ISNUMBER(SEARCH(","&amp;TRIM(TEXTSPLIT(AG139,","))&amp;",",","&amp;SUBSTITUTE(input_area_of_focus," ","")&amp;",")))&gt;0)),IF(AI139="",TRUE,IF(input_area_of_focus="",FALSE,SUMPRODUCT(--ISNUMBER(SEARCH(","&amp;TRIM(TEXTSPLIT(AI139,","))&amp;",",","&amp;SUBSTITUTE(input_area_of_focus," ","")&amp;",")))=COUNTA(TEXTSPLIT(AI139,",")))),IF(AK139="",TRUE,IF(input_area_of_focus="",TRUE,SUMPRODUCT(--ISNUMBER(SEARCH(","&amp;TRIM(TEXTSPLIT(AK139,","))&amp;",",","&amp;SUBSTITUTE(input_area_of_focus," ","")&amp;",")))=0)),IF(AM139="",TRUE,IF(input_area_of_focus="",FALSE,SUMPRODUCT(--ISNUMBER(SEARCH(","&amp;TRIM(TEXTSPLIT(AM139,","))&amp;",",","&amp;SUBSTITUTE(input_area_of_focus," ","")&amp;",")))&gt;0)),IF(AO139="",TRUE,IF(input_area_of_focus="",FALSE,SUMPRODUCT(--ISNUMBER(SEARCH(","&amp;TRIM(TEXTSPLIT(AO139,","))&amp;",",","&amp;SUBSTITUTE(input_area_of_focus," ","")&amp;",")))=COUNTA(TEXTSPLIT(AO139,",")))))</f>
        <v/>
      </c>
      <c r="IW139">
        <f>AND(IF(AQ139="",TRUE,IF(input_audience="",FALSE,SUMPRODUCT(--ISNUMBER(SEARCH(","&amp;TRIM(TEXTSPLIT(AQ139,","))&amp;",",","&amp;SUBSTITUTE(input_audience," ","")&amp;",")))&gt;0)),IF(AS139="",TRUE,IF(input_audience="",FALSE,SUMPRODUCT(--ISNUMBER(SEARCH(","&amp;TRIM(TEXTSPLIT(AS139,","))&amp;",",","&amp;SUBSTITUTE(input_audience," ","")&amp;",")))=COUNTA(TEXTSPLIT(AS139,",")))),IF(AU139="",TRUE,IF(input_audience="",TRUE,SUMPRODUCT(--ISNUMBER(SEARCH(","&amp;TRIM(TEXTSPLIT(AU139,","))&amp;",",","&amp;SUBSTITUTE(input_audience," ","")&amp;",")))=0)),IF(AW139="",TRUE,IF(input_audience="",FALSE,SUMPRODUCT(--ISNUMBER(SEARCH(","&amp;TRIM(TEXTSPLIT(AW139,","))&amp;",",","&amp;SUBSTITUTE(input_audience," ","")&amp;",")))&gt;0)),IF(AY139="",TRUE,IF(input_audience="",FALSE,SUMPRODUCT(--ISNUMBER(SEARCH(","&amp;TRIM(TEXTSPLIT(AY139,","))&amp;",",","&amp;SUBSTITUTE(input_audience," ","")&amp;",")))=COUNTA(TEXTSPLIT(AY139,",")))))</f>
        <v/>
      </c>
      <c r="IX139">
        <f>AND(IF(BA139="",TRUE,IF(input_challenge_opportunities="",FALSE,SUMPRODUCT(--ISNUMBER(SEARCH(","&amp;TRIM(TEXTSPLIT(BA139,","))&amp;",",","&amp;SUBSTITUTE(input_challenge_opportunities," ","")&amp;",")))&gt;0)),IF(BC139="",TRUE,IF(input_challenge_opportunities="",FALSE,SUMPRODUCT(--ISNUMBER(SEARCH(","&amp;TRIM(TEXTSPLIT(BC139,","))&amp;",",","&amp;SUBSTITUTE(input_challenge_opportunities," ","")&amp;",")))=COUNTA(TEXTSPLIT(BC139,",")))),IF(BE139="",TRUE,IF(input_challenge_opportunities="",TRUE,SUMPRODUCT(--ISNUMBER(SEARCH(","&amp;TRIM(TEXTSPLIT(BE139,","))&amp;",",","&amp;SUBSTITUTE(input_challenge_opportunities," ","")&amp;",")))=0)),IF(BG139="",TRUE,IF(input_challenge_opportunities="",FALSE,SUMPRODUCT(--ISNUMBER(SEARCH(","&amp;TRIM(TEXTSPLIT(BG139,","))&amp;",",","&amp;SUBSTITUTE(input_challenge_opportunities," ","")&amp;",")))&gt;0)),IF(BI139="",TRUE,IF(input_challenge_opportunities="",FALSE,SUMPRODUCT(--ISNUMBER(SEARCH(","&amp;TRIM(TEXTSPLIT(BI139,","))&amp;",",","&amp;SUBSTITUTE(input_challenge_opportunities," ","")&amp;",")))=COUNTA(TEXTSPLIT(BI139,",")))))</f>
        <v/>
      </c>
      <c r="IY139">
        <f>AND(IF(BK139="",TRUE,IF(input_context="",FALSE,SUMPRODUCT(--ISNUMBER(SEARCH(","&amp;TRIM(TEXTSPLIT(BK139,","))&amp;",",","&amp;SUBSTITUTE(input_context," ","")&amp;",")))&gt;0)),IF(BM139="",TRUE,IF(input_context="",FALSE,SUMPRODUCT(--ISNUMBER(SEARCH(","&amp;TRIM(TEXTSPLIT(BM139,","))&amp;",",","&amp;SUBSTITUTE(input_context," ","")&amp;",")))=COUNTA(TEXTSPLIT(BM139,",")))),IF(BO139="",TRUE,IF(input_context="",TRUE,SUMPRODUCT(--ISNUMBER(SEARCH(","&amp;TRIM(TEXTSPLIT(BO139,","))&amp;",",","&amp;SUBSTITUTE(input_context," ","")&amp;",")))=0)),IF(BQ139="",TRUE,IF(input_context="",FALSE,SUMPRODUCT(--ISNUMBER(SEARCH(","&amp;TRIM(TEXTSPLIT(BQ139,","))&amp;",",","&amp;SUBSTITUTE(input_context," ","")&amp;",")))&gt;0)),IF(BS139="",TRUE,IF(input_context="",FALSE,SUMPRODUCT(--ISNUMBER(SEARCH(","&amp;TRIM(TEXTSPLIT(BS139,","))&amp;",",","&amp;SUBSTITUTE(input_context," ","")&amp;",")))=COUNTA(TEXTSPLIT(BS139,",")))))</f>
        <v/>
      </c>
      <c r="IZ139">
        <f>AND(IF(BU139="",TRUE,IF(input_enews_announcement_type="",FALSE,SUMPRODUCT(--ISNUMBER(SEARCH(","&amp;TRIM(TEXTSPLIT(BU139,","))&amp;",",","&amp;SUBSTITUTE(input_enews_announcement_type," ","")&amp;",")))&gt;0)),IF(BW139="",TRUE,IF(input_enews_announcement_type="",FALSE,SUMPRODUCT(--ISNUMBER(SEARCH(","&amp;TRIM(TEXTSPLIT(BW139,","))&amp;",",","&amp;SUBSTITUTE(input_enews_announcement_type," ","")&amp;",")))=COUNTA(TEXTSPLIT(BW139,",")))),IF(BY139="",TRUE,IF(input_enews_announcement_type="",TRUE,SUMPRODUCT(--ISNUMBER(SEARCH(","&amp;TRIM(TEXTSPLIT(BY139,","))&amp;",",","&amp;SUBSTITUTE(input_enews_announcement_type," ","")&amp;",")))=0)),IF(CA139="",TRUE,IF(input_enews_announcement_type="",FALSE,SUMPRODUCT(--ISNUMBER(SEARCH(","&amp;TRIM(TEXTSPLIT(CA139,","))&amp;",",","&amp;SUBSTITUTE(input_enews_announcement_type," ","")&amp;",")))&gt;0)),IF(CC139="",TRUE,IF(input_enews_announcement_type="",FALSE,SUMPRODUCT(--ISNUMBER(SEARCH(","&amp;TRIM(TEXTSPLIT(CC139,","))&amp;",",","&amp;SUBSTITUTE(input_enews_announcement_type," ","")&amp;",")))=COUNTA(TEXTSPLIT(CC139,",")))))</f>
        <v/>
      </c>
      <c r="JA139">
        <f>AND(IF(CE139="",TRUE,IF(input_enews_audience="",FALSE,SUMPRODUCT(--ISNUMBER(SEARCH(","&amp;TRIM(TEXTSPLIT(CE139,","))&amp;",",","&amp;SUBSTITUTE(input_enews_audience," ","")&amp;",")))&gt;0)),IF(CG139="",TRUE,IF(input_enews_audience="",FALSE,SUMPRODUCT(--ISNUMBER(SEARCH(","&amp;TRIM(TEXTSPLIT(CG139,","))&amp;",",","&amp;SUBSTITUTE(input_enews_audience," ","")&amp;",")))=COUNTA(TEXTSPLIT(CG139,",")))),IF(CI139="",TRUE,IF(input_enews_audience="",TRUE,SUMPRODUCT(--ISNUMBER(SEARCH(","&amp;TRIM(TEXTSPLIT(CI139,","))&amp;",",","&amp;SUBSTITUTE(input_enews_audience," ","")&amp;",")))=0)),IF(CK139="",TRUE,IF(input_enews_audience="",FALSE,SUMPRODUCT(--ISNUMBER(SEARCH(","&amp;TRIM(TEXTSPLIT(CK139,","))&amp;",",","&amp;SUBSTITUTE(input_enews_audience," ","")&amp;",")))&gt;0)),IF(CM139="",TRUE,IF(input_enews_audience="",FALSE,SUMPRODUCT(--ISNUMBER(SEARCH(","&amp;TRIM(TEXTSPLIT(CM139,","))&amp;",",","&amp;SUBSTITUTE(input_enews_audience," ","")&amp;",")))=COUNTA(TEXTSPLIT(CM139,",")))))</f>
        <v/>
      </c>
      <c r="JB139">
        <f>AND(IF(CO139="",TRUE,IF(input_event_location="",FALSE,SUMPRODUCT(--ISNUMBER(SEARCH(","&amp;TRIM(TEXTSPLIT(CO139,","))&amp;",",","&amp;SUBSTITUTE(input_event_location," ","")&amp;",")))&gt;0)),IF(CQ139="",TRUE,IF(input_event_location="",FALSE,SUMPRODUCT(--ISNUMBER(SEARCH(","&amp;TRIM(TEXTSPLIT(CQ139,","))&amp;",",","&amp;SUBSTITUTE(input_event_location," ","")&amp;",")))=COUNTA(TEXTSPLIT(CQ139,",")))),IF(CS139="",TRUE,IF(input_event_location="",TRUE,SUMPRODUCT(--ISNUMBER(SEARCH(","&amp;TRIM(TEXTSPLIT(CS139,","))&amp;",",","&amp;SUBSTITUTE(input_event_location," ","")&amp;",")))=0)),IF(CU139="",TRUE,IF(input_event_location="",FALSE,SUMPRODUCT(--ISNUMBER(SEARCH(","&amp;TRIM(TEXTSPLIT(CU139,","))&amp;",",","&amp;SUBSTITUTE(input_event_location," ","")&amp;",")))&gt;0)),IF(CW139="",TRUE,IF(input_event_location="",FALSE,SUMPRODUCT(--ISNUMBER(SEARCH(","&amp;TRIM(TEXTSPLIT(CW139,","))&amp;",",","&amp;SUBSTITUTE(input_event_location," ","")&amp;",")))=COUNTA(TEXTSPLIT(CW139,",")))))</f>
        <v/>
      </c>
      <c r="JC139">
        <f>AND(IF(CY139="",TRUE,IF(input_event_type="",FALSE,SUMPRODUCT(--ISNUMBER(SEARCH(","&amp;TRIM(TEXTSPLIT(CY139,","))&amp;",",","&amp;SUBSTITUTE(input_event_type," ","")&amp;",")))&gt;0)),IF(DA139="",TRUE,IF(input_event_type="",FALSE,SUMPRODUCT(--ISNUMBER(SEARCH(","&amp;TRIM(TEXTSPLIT(DA139,","))&amp;",",","&amp;SUBSTITUTE(input_event_type," ","")&amp;",")))=COUNTA(TEXTSPLIT(DA139,",")))),IF(DC139="",TRUE,IF(input_event_type="",TRUE,SUMPRODUCT(--ISNUMBER(SEARCH(","&amp;TRIM(TEXTSPLIT(DC139,","))&amp;",",","&amp;SUBSTITUTE(input_event_type," ","")&amp;",")))=0)),IF(DE139="",TRUE,IF(input_event_type="",FALSE,SUMPRODUCT(--ISNUMBER(SEARCH(","&amp;TRIM(TEXTSPLIT(DE139,","))&amp;",",","&amp;SUBSTITUTE(input_event_type," ","")&amp;",")))&gt;0)),IF(DG139="",TRUE,IF(input_event_type="",FALSE,SUMPRODUCT(--ISNUMBER(SEARCH(","&amp;TRIM(TEXTSPLIT(DG139,","))&amp;",",","&amp;SUBSTITUTE(input_event_type," ","")&amp;",")))=COUNTA(TEXTSPLIT(DG139,",")))))</f>
        <v/>
      </c>
      <c r="JD139">
        <f>AND(IF(DI139="",TRUE,IF(input_executive_education_focus="",FALSE,SUMPRODUCT(--ISNUMBER(SEARCH(","&amp;TRIM(TEXTSPLIT(DI139,","))&amp;",",","&amp;SUBSTITUTE(input_executive_education_focus," ","")&amp;",")))&gt;0)),IF(DK139="",TRUE,IF(input_executive_education_focus="",FALSE,SUMPRODUCT(--ISNUMBER(SEARCH(","&amp;TRIM(TEXTSPLIT(DK139,","))&amp;",",","&amp;SUBSTITUTE(input_executive_education_focus," ","")&amp;",")))=COUNTA(TEXTSPLIT(DK139,",")))),IF(DM139="",TRUE,IF(input_executive_education_focus="",TRUE,SUMPRODUCT(--ISNUMBER(SEARCH(","&amp;TRIM(TEXTSPLIT(DM139,","))&amp;",",","&amp;SUBSTITUTE(input_executive_education_focus," ","")&amp;",")))=0)),IF(DO139="",TRUE,IF(input_executive_education_focus="",FALSE,SUMPRODUCT(--ISNUMBER(SEARCH(","&amp;TRIM(TEXTSPLIT(DO139,","))&amp;",",","&amp;SUBSTITUTE(input_executive_education_focus," ","")&amp;",")))&gt;0)),IF(DQ139="",TRUE,IF(input_executive_education_focus="",FALSE,SUMPRODUCT(--ISNUMBER(SEARCH(","&amp;TRIM(TEXTSPLIT(DQ139,","))&amp;",",","&amp;SUBSTITUTE(input_executive_education_focus," ","")&amp;",")))=COUNTA(TEXTSPLIT(DQ139,",")))))</f>
        <v/>
      </c>
      <c r="JE139">
        <f>AND(IF(DS139="",TRUE,IF(input_faculty_category="",FALSE,SUMPRODUCT(--ISNUMBER(SEARCH(","&amp;TRIM(TEXTSPLIT(DS139,","))&amp;",",","&amp;SUBSTITUTE(input_faculty_category," ","")&amp;",")))&gt;0)),IF(DU139="",TRUE,IF(input_faculty_category="",FALSE,SUMPRODUCT(--ISNUMBER(SEARCH(","&amp;TRIM(TEXTSPLIT(DU139,","))&amp;",",","&amp;SUBSTITUTE(input_faculty_category," ","")&amp;",")))=COUNTA(TEXTSPLIT(DU139,",")))),IF(DW139="",TRUE,IF(input_faculty_category="",TRUE,SUMPRODUCT(--ISNUMBER(SEARCH(","&amp;TRIM(TEXTSPLIT(DW139,","))&amp;",",","&amp;SUBSTITUTE(input_faculty_category," ","")&amp;",")))=0)),IF(DY139="",TRUE,IF(input_faculty_category="",FALSE,SUMPRODUCT(--ISNUMBER(SEARCH(","&amp;TRIM(TEXTSPLIT(DY139,","))&amp;",",","&amp;SUBSTITUTE(input_faculty_category," ","")&amp;",")))&gt;0)),IF(EA139="",TRUE,IF(input_faculty_category="",FALSE,SUMPRODUCT(--ISNUMBER(SEARCH(","&amp;TRIM(TEXTSPLIT(EA139,","))&amp;",",","&amp;SUBSTITUTE(input_faculty_category," ","")&amp;",")))=COUNTA(TEXTSPLIT(EA139,",")))))</f>
        <v/>
      </c>
      <c r="JF139">
        <f>AND(IF(EC139="",TRUE,IF(input_faculty_discipline="",FALSE,SUMPRODUCT(--ISNUMBER(SEARCH(","&amp;TRIM(TEXTSPLIT(EC139,","))&amp;",",","&amp;SUBSTITUTE(input_faculty_discipline," ","")&amp;",")))&gt;0)),IF(EE139="",TRUE,IF(input_faculty_discipline="",FALSE,SUMPRODUCT(--ISNUMBER(SEARCH(","&amp;TRIM(TEXTSPLIT(EE139,","))&amp;",",","&amp;SUBSTITUTE(input_faculty_discipline," ","")&amp;",")))=COUNTA(TEXTSPLIT(EE139,",")))),IF(EG139="",TRUE,IF(input_faculty_discipline="",TRUE,SUMPRODUCT(--ISNUMBER(SEARCH(","&amp;TRIM(TEXTSPLIT(EG139,","))&amp;",",","&amp;SUBSTITUTE(input_faculty_discipline," ","")&amp;",")))=0)),IF(EI139="",TRUE,IF(input_faculty_discipline="",FALSE,SUMPRODUCT(--ISNUMBER(SEARCH(","&amp;TRIM(TEXTSPLIT(EI139,","))&amp;",",","&amp;SUBSTITUTE(input_faculty_discipline," ","")&amp;",")))&gt;0)),IF(EK139="",TRUE,IF(input_faculty_discipline="",FALSE,SUMPRODUCT(--ISNUMBER(SEARCH(","&amp;TRIM(TEXTSPLIT(EK139,","))&amp;",",","&amp;SUBSTITUTE(input_faculty_discipline," ","")&amp;",")))=COUNTA(TEXTSPLIT(EK139,",")))))</f>
        <v/>
      </c>
      <c r="JG139">
        <f>AND(IF(EM139="",TRUE,IF(input_faculty_expertise="",FALSE,SUMPRODUCT(--ISNUMBER(SEARCH(","&amp;TRIM(TEXTSPLIT(EM139,","))&amp;",",","&amp;SUBSTITUTE(input_faculty_expertise," ","")&amp;",")))&gt;0)),IF(EO139="",TRUE,IF(input_faculty_expertise="",FALSE,SUMPRODUCT(--ISNUMBER(SEARCH(","&amp;TRIM(TEXTSPLIT(EO139,","))&amp;",",","&amp;SUBSTITUTE(input_faculty_expertise," ","")&amp;",")))=COUNTA(TEXTSPLIT(EO139,",")))),IF(EQ139="",TRUE,IF(input_faculty_expertise="",TRUE,SUMPRODUCT(--ISNUMBER(SEARCH(","&amp;TRIM(TEXTSPLIT(EQ139,","))&amp;",",","&amp;SUBSTITUTE(input_faculty_expertise," ","")&amp;",")))=0)),IF(ES139="",TRUE,IF(input_faculty_expertise="",FALSE,SUMPRODUCT(--ISNUMBER(SEARCH(","&amp;TRIM(TEXTSPLIT(ES139,","))&amp;",",","&amp;SUBSTITUTE(input_faculty_expertise," ","")&amp;",")))&gt;0)),IF(EU139="",TRUE,IF(input_faculty_expertise="",FALSE,SUMPRODUCT(--ISNUMBER(SEARCH(","&amp;TRIM(TEXTSPLIT(EU139,","))&amp;",",","&amp;SUBSTITUTE(input_faculty_expertise," ","")&amp;",")))=COUNTA(TEXTSPLIT(EU139,",")))))</f>
        <v/>
      </c>
      <c r="JH139">
        <f>AND(IF(EW139="",TRUE,IF(input_global_network_school="",FALSE,SUMPRODUCT(--ISNUMBER(SEARCH(","&amp;TRIM(TEXTSPLIT(EW139,","))&amp;",",","&amp;SUBSTITUTE(input_global_network_school," ","")&amp;",")))&gt;0)),IF(EY139="",TRUE,IF(input_global_network_school="",FALSE,SUMPRODUCT(--ISNUMBER(SEARCH(","&amp;TRIM(TEXTSPLIT(EY139,","))&amp;",",","&amp;SUBSTITUTE(input_global_network_school," ","")&amp;",")))=COUNTA(TEXTSPLIT(EY139,",")))),IF(FA139="",TRUE,IF(input_global_network_school="",TRUE,SUMPRODUCT(--ISNUMBER(SEARCH(","&amp;TRIM(TEXTSPLIT(FA139,","))&amp;",",","&amp;SUBSTITUTE(input_global_network_school," ","")&amp;",")))=0)),IF(FC139="",TRUE,IF(input_global_network_school="",FALSE,SUMPRODUCT(--ISNUMBER(SEARCH(","&amp;TRIM(TEXTSPLIT(FC139,","))&amp;",",","&amp;SUBSTITUTE(input_global_network_school," ","")&amp;",")))&gt;0)),IF(FE139="",TRUE,IF(input_global_network_school="",FALSE,SUMPRODUCT(--ISNUMBER(SEARCH(","&amp;TRIM(TEXTSPLIT(FE139,","))&amp;",",","&amp;SUBSTITUTE(input_global_network_school," ","")&amp;",")))=COUNTA(TEXTSPLIT(FE139,",")))))</f>
        <v/>
      </c>
      <c r="JI139">
        <f>AND(IF(FG139="",TRUE,IF(input_industry="",FALSE,SUMPRODUCT(--ISNUMBER(SEARCH(","&amp;TRIM(TEXTSPLIT(FG139,","))&amp;",",","&amp;SUBSTITUTE(input_industry," ","")&amp;",")))&gt;0)),IF(FI139="",TRUE,IF(input_industry="",FALSE,SUMPRODUCT(--ISNUMBER(SEARCH(","&amp;TRIM(TEXTSPLIT(FI139,","))&amp;",",","&amp;SUBSTITUTE(input_industry," ","")&amp;",")))=COUNTA(TEXTSPLIT(FI139,",")))),IF(FK139="",TRUE,IF(input_industry="",TRUE,SUMPRODUCT(--ISNUMBER(SEARCH(","&amp;TRIM(TEXTSPLIT(FK139,","))&amp;",",","&amp;SUBSTITUTE(input_industry," ","")&amp;",")))=0)),IF(FM139="",TRUE,IF(input_industry="",FALSE,SUMPRODUCT(--ISNUMBER(SEARCH(","&amp;TRIM(TEXTSPLIT(FM139,","))&amp;",",","&amp;SUBSTITUTE(input_industry," ","")&amp;",")))&gt;0)),IF(FO139="",TRUE,IF(input_industry="",FALSE,SUMPRODUCT(--ISNUMBER(SEARCH(","&amp;TRIM(TEXTSPLIT(FO139,","))&amp;",",","&amp;SUBSTITUTE(input_industry," ","")&amp;",")))=COUNTA(TEXTSPLIT(FO139,",")))))</f>
        <v/>
      </c>
      <c r="JJ139">
        <f>AND(IF(FQ139="",TRUE,IF(input_location="",FALSE,SUMPRODUCT(--ISNUMBER(SEARCH(","&amp;TRIM(TEXTSPLIT(FQ139,","))&amp;",",","&amp;SUBSTITUTE(input_location," ","")&amp;",")))&gt;0)),IF(FS139="",TRUE,IF(input_location="",FALSE,SUMPRODUCT(--ISNUMBER(SEARCH(","&amp;TRIM(TEXTSPLIT(FS139,","))&amp;",",","&amp;SUBSTITUTE(input_location," ","")&amp;",")))=COUNTA(TEXTSPLIT(FS139,",")))),IF(FU139="",TRUE,IF(input_location="",TRUE,SUMPRODUCT(--ISNUMBER(SEARCH(","&amp;TRIM(TEXTSPLIT(FU139,","))&amp;",",","&amp;SUBSTITUTE(input_location," ","")&amp;",")))=0)),IF(FW139="",TRUE,IF(input_location="",FALSE,SUMPRODUCT(--ISNUMBER(SEARCH(","&amp;TRIM(TEXTSPLIT(FW139,","))&amp;",",","&amp;SUBSTITUTE(input_location," ","")&amp;",")))&gt;0)),IF(FY139="",TRUE,IF(input_location="",FALSE,SUMPRODUCT(--ISNUMBER(SEARCH(","&amp;TRIM(TEXTSPLIT(FY139,","))&amp;",",","&amp;SUBSTITUTE(input_location," ","")&amp;",")))=COUNTA(TEXTSPLIT(FY139,",")))))</f>
        <v/>
      </c>
      <c r="JK139">
        <f>AND(IF(GA139="",TRUE,IF(input_modality="",FALSE,SUMPRODUCT(--ISNUMBER(SEARCH(","&amp;TRIM(TEXTSPLIT(GA139,","))&amp;",",","&amp;SUBSTITUTE(input_modality," ","")&amp;",")))&gt;0)),IF(GC139="",TRUE,IF(input_modality="",FALSE,SUMPRODUCT(--ISNUMBER(SEARCH(","&amp;TRIM(TEXTSPLIT(GC139,","))&amp;",",","&amp;SUBSTITUTE(input_modality," ","")&amp;",")))=COUNTA(TEXTSPLIT(GC139,",")))),IF(GE139="",TRUE,IF(input_modality="",TRUE,SUMPRODUCT(--ISNUMBER(SEARCH(","&amp;TRIM(TEXTSPLIT(GE139,","))&amp;",",","&amp;SUBSTITUTE(input_modality," ","")&amp;",")))=0)),IF(GG139="",TRUE,IF(input_modality="",FALSE,SUMPRODUCT(--ISNUMBER(SEARCH(","&amp;TRIM(TEXTSPLIT(GG139,","))&amp;",",","&amp;SUBSTITUTE(input_modality," ","")&amp;",")))&gt;0)),IF(GI139="",TRUE,IF(input_modality="",FALSE,SUMPRODUCT(--ISNUMBER(SEARCH(","&amp;TRIM(TEXTSPLIT(GI139,","))&amp;",",","&amp;SUBSTITUTE(input_modality," ","")&amp;",")))=COUNTA(TEXTSPLIT(GI139,",")))))</f>
        <v/>
      </c>
      <c r="JL139">
        <f>AND(IF(GK139="",TRUE,IF(input_organizer="",FALSE,SUMPRODUCT(--ISNUMBER(SEARCH(","&amp;TRIM(TEXTSPLIT(GK139,","))&amp;",",","&amp;SUBSTITUTE(input_organizer," ","")&amp;",")))&gt;0)),IF(GM139="",TRUE,IF(input_organizer="",FALSE,SUMPRODUCT(--ISNUMBER(SEARCH(","&amp;TRIM(TEXTSPLIT(GM139,","))&amp;",",","&amp;SUBSTITUTE(input_organizer," ","")&amp;",")))=COUNTA(TEXTSPLIT(GM139,",")))),IF(GO139="",TRUE,IF(input_organizer="",TRUE,SUMPRODUCT(--ISNUMBER(SEARCH(","&amp;TRIM(TEXTSPLIT(GO139,","))&amp;",",","&amp;SUBSTITUTE(input_organizer," ","")&amp;",")))=0)),IF(GQ139="",TRUE,IF(input_organizer="",FALSE,SUMPRODUCT(--ISNUMBER(SEARCH(","&amp;TRIM(TEXTSPLIT(GQ139,","))&amp;",",","&amp;SUBSTITUTE(input_organizer," ","")&amp;",")))&gt;0)),IF(GS139="",TRUE,IF(input_organizer="",FALSE,SUMPRODUCT(--ISNUMBER(SEARCH(","&amp;TRIM(TEXTSPLIT(GS139,","))&amp;",",","&amp;SUBSTITUTE(input_organizer," ","")&amp;",")))=COUNTA(TEXTSPLIT(GS139,",")))))</f>
        <v/>
      </c>
      <c r="JM139">
        <f>AND(IF(GU139="",TRUE,IF(input_profile_type="",FALSE,SUMPRODUCT(--ISNUMBER(SEARCH(","&amp;TRIM(TEXTSPLIT(GU139,","))&amp;",",","&amp;SUBSTITUTE(input_profile_type," ","")&amp;",")))&gt;0)),IF(GW139="",TRUE,IF(input_profile_type="",FALSE,SUMPRODUCT(--ISNUMBER(SEARCH(","&amp;TRIM(TEXTSPLIT(GW139,","))&amp;",",","&amp;SUBSTITUTE(input_profile_type," ","")&amp;",")))=COUNTA(TEXTSPLIT(GW139,",")))),IF(GY139="",TRUE,IF(input_profile_type="",TRUE,SUMPRODUCT(--ISNUMBER(SEARCH(","&amp;TRIM(TEXTSPLIT(GY139,","))&amp;",",","&amp;SUBSTITUTE(input_profile_type," ","")&amp;",")))=0)),IF(HA139="",TRUE,IF(input_profile_type="",FALSE,SUMPRODUCT(--ISNUMBER(SEARCH(","&amp;TRIM(TEXTSPLIT(HA139,","))&amp;",",","&amp;SUBSTITUTE(input_profile_type," ","")&amp;",")))&gt;0)),IF(HC139="",TRUE,IF(input_profile_type="",FALSE,SUMPRODUCT(--ISNUMBER(SEARCH(","&amp;TRIM(TEXTSPLIT(HC139,","))&amp;",",","&amp;SUBSTITUTE(input_profile_type," ","")&amp;",")))=COUNTA(TEXTSPLIT(HC139,",")))))</f>
        <v/>
      </c>
      <c r="JN139">
        <f>AND(IF(HE139="",TRUE,IF(input_program="",FALSE,SUMPRODUCT(--ISNUMBER(SEARCH(","&amp;TRIM(TEXTSPLIT(HE139,","))&amp;",",","&amp;SUBSTITUTE(input_program," ","")&amp;",")))&gt;0)),IF(HG139="",TRUE,IF(input_program="",FALSE,SUMPRODUCT(--ISNUMBER(SEARCH(","&amp;TRIM(TEXTSPLIT(HG139,","))&amp;",",","&amp;SUBSTITUTE(input_program," ","")&amp;",")))=COUNTA(TEXTSPLIT(HG139,",")))),IF(HI139="",TRUE,IF(input_program="",TRUE,SUMPRODUCT(--ISNUMBER(SEARCH(","&amp;TRIM(TEXTSPLIT(HI139,","))&amp;",",","&amp;SUBSTITUTE(input_program," ","")&amp;",")))=0)),IF(HK139="",TRUE,IF(input_program="",FALSE,SUMPRODUCT(--ISNUMBER(SEARCH(","&amp;TRIM(TEXTSPLIT(HK139,","))&amp;",",","&amp;SUBSTITUTE(input_program," ","")&amp;",")))&gt;0)),IF(HM139="",TRUE,IF(input_program="",FALSE,SUMPRODUCT(--ISNUMBER(SEARCH(","&amp;TRIM(TEXTSPLIT(HM139,","))&amp;",",","&amp;SUBSTITUTE(input_program," ","")&amp;",")))=COUNTA(TEXTSPLIT(HM139,",")))))</f>
        <v/>
      </c>
      <c r="JO139">
        <f>AND(IF(HO139="",TRUE,IF(input_story_categories="",FALSE,SUMPRODUCT(--ISNUMBER(SEARCH(","&amp;TRIM(TEXTSPLIT(HO139,","))&amp;",",","&amp;SUBSTITUTE(input_story_categories," ","")&amp;",")))&gt;0)),IF(HQ139="",TRUE,IF(input_story_categories="",FALSE,SUMPRODUCT(--ISNUMBER(SEARCH(","&amp;TRIM(TEXTSPLIT(HQ139,","))&amp;",",","&amp;SUBSTITUTE(input_story_categories," ","")&amp;",")))=COUNTA(TEXTSPLIT(HQ139,",")))),IF(HS139="",TRUE,IF(input_story_categories="",TRUE,SUMPRODUCT(--ISNUMBER(SEARCH(","&amp;TRIM(TEXTSPLIT(HS139,","))&amp;",",","&amp;SUBSTITUTE(input_story_categories," ","")&amp;",")))=0)),IF(HU139="",TRUE,IF(input_story_categories="",FALSE,SUMPRODUCT(--ISNUMBER(SEARCH(","&amp;TRIM(TEXTSPLIT(HU139,","))&amp;",",","&amp;SUBSTITUTE(input_story_categories," ","")&amp;",")))&gt;0)),IF(HW139="",TRUE,IF(input_story_categories="",FALSE,SUMPRODUCT(--ISNUMBER(SEARCH(","&amp;TRIM(TEXTSPLIT(HW139,","))&amp;",",","&amp;SUBSTITUTE(input_story_categories," ","")&amp;",")))=COUNTA(TEXTSPLIT(HW139,",")))))</f>
        <v/>
      </c>
      <c r="JP139">
        <f>AND(IF(HY139="",TRUE,IF(input_story_type="",FALSE,SUMPRODUCT(--ISNUMBER(SEARCH(","&amp;TRIM(TEXTSPLIT(HY139,","))&amp;",",","&amp;SUBSTITUTE(input_story_type," ","")&amp;",")))&gt;0)),IF(IA139="",TRUE,IF(input_story_type="",FALSE,SUMPRODUCT(--ISNUMBER(SEARCH(","&amp;TRIM(TEXTSPLIT(IA139,","))&amp;",",","&amp;SUBSTITUTE(input_story_type," ","")&amp;",")))=COUNTA(TEXTSPLIT(IA139,",")))),IF(IC139="",TRUE,IF(input_story_type="",TRUE,SUMPRODUCT(--ISNUMBER(SEARCH(","&amp;TRIM(TEXTSPLIT(IC139,","))&amp;",",","&amp;SUBSTITUTE(input_story_type," ","")&amp;",")))=0)),IF(IE139="",TRUE,IF(input_story_type="",FALSE,SUMPRODUCT(--ISNUMBER(SEARCH(","&amp;TRIM(TEXTSPLIT(IE139,","))&amp;",",","&amp;SUBSTITUTE(input_story_type," ","")&amp;",")))&gt;0)),IF(IG139="",TRUE,IF(input_story_type="",FALSE,SUMPRODUCT(--ISNUMBER(SEARCH(","&amp;TRIM(TEXTSPLIT(IG139,","))&amp;",",","&amp;SUBSTITUTE(input_story_type," ","")&amp;",")))=COUNTA(TEXTSPLIT(IG139,",")))))</f>
        <v/>
      </c>
      <c r="JQ139">
        <f>AND(IF(II139="",TRUE,IF(input_topics="",FALSE,SUMPRODUCT(--ISNUMBER(SEARCH(","&amp;TRIM(TEXTSPLIT(II139,","))&amp;",",","&amp;SUBSTITUTE(input_topics," ","")&amp;",")))&gt;0)),IF(IK139="",TRUE,IF(input_topics="",FALSE,SUMPRODUCT(--ISNUMBER(SEARCH(","&amp;TRIM(TEXTSPLIT(IK139,","))&amp;",",","&amp;SUBSTITUTE(input_topics," ","")&amp;",")))=COUNTA(TEXTSPLIT(IK139,",")))),IF(IM139="",TRUE,IF(input_topics="",TRUE,SUMPRODUCT(--ISNUMBER(SEARCH(","&amp;TRIM(TEXTSPLIT(IM139,","))&amp;",",","&amp;SUBSTITUTE(input_topics," ","")&amp;",")))=0)),IF(IO139="",TRUE,IF(input_topics="",FALSE,SUMPRODUCT(--ISNUMBER(SEARCH(","&amp;TRIM(TEXTSPLIT(IO139,","))&amp;",",","&amp;SUBSTITUTE(input_topics," ","")&amp;",")))&gt;0)),IF(IQ139="",TRUE,IF(input_topics="",FALSE,SUMPRODUCT(--ISNUMBER(SEARCH(","&amp;TRIM(TEXTSPLIT(IQ139,","))&amp;",",","&amp;SUBSTITUTE(input_topics," ","")&amp;",")))=COUNTA(TEXTSPLIT(IQ139,",")))))</f>
        <v/>
      </c>
    </row>
    <row r="140">
      <c r="A140" s="4">
        <f>IF(NOT(IS140),"Excluded",IF(AND(IT140,IU140,IV140,IW140,IX140,IY140,IZ140,JA140,JB140,JC140,JD140,JE140,JF140,JG140,JH140,JI140,JJ140,JK140,JL140,JM140,JN140,JO140,JP140,JQ140),IF(I140&gt;0,"Eligible but limited","Will appear"),"Excluded"))</f>
        <v/>
      </c>
      <c r="B140" s="4" t="inlineStr">
        <is>
          <t>News - Summary</t>
        </is>
      </c>
      <c r="C140" s="4" t="inlineStr">
        <is>
          <t>/the-som-experience/interests-and-industries/entrepreneurship</t>
        </is>
      </c>
      <c r="D140" s="4" t="inlineStr">
        <is>
          <t>/the-som-experience/interests-and-industries/entrepreneurship</t>
        </is>
      </c>
      <c r="E140" s="4" t="n">
        <v>1</v>
      </c>
      <c r="F140" s="4" t="inlineStr">
        <is>
          <t>story</t>
        </is>
      </c>
      <c r="G140" s="4" t="inlineStr">
        <is>
          <t>stories_mosaic_grid</t>
        </is>
      </c>
      <c r="H140" s="4" t="inlineStr">
        <is>
          <t>embed_news_summary</t>
        </is>
      </c>
      <c r="I140" s="4" t="n">
        <v>1</v>
      </c>
      <c r="J140" s="4" t="inlineStr">
        <is>
          <t>View/config rules</t>
        </is>
      </c>
      <c r="K140" s="4" t="inlineStr">
        <is>
          <t>Page placement</t>
        </is>
      </c>
      <c r="L140" s="4" t="inlineStr">
        <is>
          <t>Content type: story; Needs any Story Type: News (924); Limited to 1 item(s); Source: View/config rules</t>
        </is>
      </c>
      <c r="M140" t="inlineStr"/>
      <c r="N140" t="inlineStr"/>
      <c r="O140" t="inlineStr"/>
      <c r="P140" t="inlineStr"/>
      <c r="Q140" t="inlineStr"/>
      <c r="R140" t="inlineStr"/>
      <c r="S140" t="inlineStr"/>
      <c r="T140" t="inlineStr"/>
      <c r="U140" t="inlineStr"/>
      <c r="V140" t="inlineStr"/>
      <c r="W140" t="inlineStr"/>
      <c r="X140" t="inlineStr"/>
      <c r="Y140" t="inlineStr"/>
      <c r="Z140" t="inlineStr"/>
      <c r="AA140" t="inlineStr"/>
      <c r="AB140" t="inlineStr"/>
      <c r="AC140" t="inlineStr"/>
      <c r="AD140" t="inlineStr"/>
      <c r="AE140" t="inlineStr"/>
      <c r="AF140" t="inlineStr"/>
      <c r="AG140" t="inlineStr"/>
      <c r="AH140" t="inlineStr"/>
      <c r="AI140" t="inlineStr"/>
      <c r="AJ140" t="inlineStr"/>
      <c r="AK140" t="inlineStr"/>
      <c r="AL140" t="inlineStr"/>
      <c r="AM140" t="inlineStr"/>
      <c r="AN140" t="inlineStr"/>
      <c r="AO140" t="inlineStr"/>
      <c r="AP140" t="inlineStr"/>
      <c r="AQ140" t="inlineStr"/>
      <c r="AR140" t="inlineStr"/>
      <c r="AS140" t="inlineStr"/>
      <c r="AT140" t="inlineStr"/>
      <c r="AU140" t="inlineStr"/>
      <c r="AV140" t="inlineStr"/>
      <c r="AW140" t="inlineStr"/>
      <c r="AX140" t="inlineStr"/>
      <c r="AY140" t="inlineStr"/>
      <c r="AZ140" t="inlineStr"/>
      <c r="BA140" t="inlineStr"/>
      <c r="BB140" t="inlineStr"/>
      <c r="BC140" t="inlineStr"/>
      <c r="BD140" t="inlineStr"/>
      <c r="BE140" t="inlineStr"/>
      <c r="BF140" t="inlineStr"/>
      <c r="BG140" t="inlineStr"/>
      <c r="BH140" t="inlineStr"/>
      <c r="BI140" t="inlineStr"/>
      <c r="BJ140" t="inlineStr"/>
      <c r="BK140" t="inlineStr"/>
      <c r="BL140" t="inlineStr"/>
      <c r="BM140" t="inlineStr"/>
      <c r="BN140" t="inlineStr"/>
      <c r="BO140" t="inlineStr"/>
      <c r="BP140" t="inlineStr"/>
      <c r="BQ140" t="inlineStr"/>
      <c r="BR140" t="inlineStr"/>
      <c r="BS140" t="inlineStr"/>
      <c r="BT140" t="inlineStr"/>
      <c r="BU140" t="inlineStr"/>
      <c r="BV140" t="inlineStr"/>
      <c r="BW140" t="inlineStr"/>
      <c r="BX140" t="inlineStr"/>
      <c r="BY140" t="inlineStr"/>
      <c r="BZ140" t="inlineStr"/>
      <c r="CA140" t="inlineStr"/>
      <c r="CB140" t="inlineStr"/>
      <c r="CC140" t="inlineStr"/>
      <c r="CD140" t="inlineStr"/>
      <c r="CE140" t="inlineStr"/>
      <c r="CF140" t="inlineStr"/>
      <c r="CG140" t="inlineStr"/>
      <c r="CH140" t="inlineStr"/>
      <c r="CI140" t="inlineStr"/>
      <c r="CJ140" t="inlineStr"/>
      <c r="CK140" t="inlineStr"/>
      <c r="CL140" t="inlineStr"/>
      <c r="CM140" t="inlineStr"/>
      <c r="CN140" t="inlineStr"/>
      <c r="CO140" t="inlineStr"/>
      <c r="CP140" t="inlineStr"/>
      <c r="CQ140" t="inlineStr"/>
      <c r="CR140" t="inlineStr"/>
      <c r="CS140" t="inlineStr"/>
      <c r="CT140" t="inlineStr"/>
      <c r="CU140" t="inlineStr"/>
      <c r="CV140" t="inlineStr"/>
      <c r="CW140" t="inlineStr"/>
      <c r="CX140" t="inlineStr"/>
      <c r="CY140" t="inlineStr"/>
      <c r="CZ140" t="inlineStr"/>
      <c r="DA140" t="inlineStr"/>
      <c r="DB140" t="inlineStr"/>
      <c r="DC140" t="inlineStr"/>
      <c r="DD140" t="inlineStr"/>
      <c r="DE140" t="inlineStr"/>
      <c r="DF140" t="inlineStr"/>
      <c r="DG140" t="inlineStr"/>
      <c r="DH140" t="inlineStr"/>
      <c r="DI140" t="inlineStr"/>
      <c r="DJ140" t="inlineStr"/>
      <c r="DK140" t="inlineStr"/>
      <c r="DL140" t="inlineStr"/>
      <c r="DM140" t="inlineStr"/>
      <c r="DN140" t="inlineStr"/>
      <c r="DO140" t="inlineStr"/>
      <c r="DP140" t="inlineStr"/>
      <c r="DQ140" t="inlineStr"/>
      <c r="DR140" t="inlineStr"/>
      <c r="DS140" t="inlineStr"/>
      <c r="DT140" t="inlineStr"/>
      <c r="DU140" t="inlineStr"/>
      <c r="DV140" t="inlineStr"/>
      <c r="DW140" t="inlineStr"/>
      <c r="DX140" t="inlineStr"/>
      <c r="DY140" t="inlineStr"/>
      <c r="DZ140" t="inlineStr"/>
      <c r="EA140" t="inlineStr"/>
      <c r="EB140" t="inlineStr"/>
      <c r="EC140" t="inlineStr"/>
      <c r="ED140" t="inlineStr"/>
      <c r="EE140" t="inlineStr"/>
      <c r="EF140" t="inlineStr"/>
      <c r="EG140" t="inlineStr"/>
      <c r="EH140" t="inlineStr"/>
      <c r="EI140" t="inlineStr"/>
      <c r="EJ140" t="inlineStr"/>
      <c r="EK140" t="inlineStr"/>
      <c r="EL140" t="inlineStr"/>
      <c r="EM140" t="inlineStr"/>
      <c r="EN140" t="inlineStr"/>
      <c r="EO140" t="inlineStr"/>
      <c r="EP140" t="inlineStr"/>
      <c r="EQ140" t="inlineStr"/>
      <c r="ER140" t="inlineStr"/>
      <c r="ES140" t="inlineStr"/>
      <c r="ET140" t="inlineStr"/>
      <c r="EU140" t="inlineStr"/>
      <c r="EV140" t="inlineStr"/>
      <c r="EW140" t="inlineStr"/>
      <c r="EX140" t="inlineStr"/>
      <c r="EY140" t="inlineStr"/>
      <c r="EZ140" t="inlineStr"/>
      <c r="FA140" t="inlineStr"/>
      <c r="FB140" t="inlineStr"/>
      <c r="FC140" t="inlineStr"/>
      <c r="FD140" t="inlineStr"/>
      <c r="FE140" t="inlineStr"/>
      <c r="FF140" t="inlineStr"/>
      <c r="FG140" t="inlineStr"/>
      <c r="FH140" t="inlineStr"/>
      <c r="FI140" t="inlineStr"/>
      <c r="FJ140" t="inlineStr"/>
      <c r="FK140" t="inlineStr"/>
      <c r="FL140" t="inlineStr"/>
      <c r="FM140" t="inlineStr"/>
      <c r="FN140" t="inlineStr"/>
      <c r="FO140" t="inlineStr"/>
      <c r="FP140" t="inlineStr"/>
      <c r="FQ140" t="inlineStr"/>
      <c r="FR140" t="inlineStr"/>
      <c r="FS140" t="inlineStr"/>
      <c r="FT140" t="inlineStr"/>
      <c r="FU140" t="inlineStr"/>
      <c r="FV140" t="inlineStr"/>
      <c r="FW140" t="inlineStr"/>
      <c r="FX140" t="inlineStr"/>
      <c r="FY140" t="inlineStr"/>
      <c r="FZ140" t="inlineStr"/>
      <c r="GA140" t="inlineStr"/>
      <c r="GB140" t="inlineStr"/>
      <c r="GC140" t="inlineStr"/>
      <c r="GD140" t="inlineStr"/>
      <c r="GE140" t="inlineStr"/>
      <c r="GF140" t="inlineStr"/>
      <c r="GG140" t="inlineStr"/>
      <c r="GH140" t="inlineStr"/>
      <c r="GI140" t="inlineStr"/>
      <c r="GJ140" t="inlineStr"/>
      <c r="GK140" t="inlineStr"/>
      <c r="GL140" t="inlineStr"/>
      <c r="GM140" t="inlineStr"/>
      <c r="GN140" t="inlineStr"/>
      <c r="GO140" t="inlineStr"/>
      <c r="GP140" t="inlineStr"/>
      <c r="GQ140" t="inlineStr"/>
      <c r="GR140" t="inlineStr"/>
      <c r="GS140" t="inlineStr"/>
      <c r="GT140" t="inlineStr"/>
      <c r="GU140" t="inlineStr"/>
      <c r="GV140" t="inlineStr"/>
      <c r="GW140" t="inlineStr"/>
      <c r="GX140" t="inlineStr"/>
      <c r="GY140" t="inlineStr"/>
      <c r="GZ140" t="inlineStr"/>
      <c r="HA140" t="inlineStr"/>
      <c r="HB140" t="inlineStr"/>
      <c r="HC140" t="inlineStr"/>
      <c r="HD140" t="inlineStr"/>
      <c r="HE140" t="inlineStr"/>
      <c r="HF140" t="inlineStr"/>
      <c r="HG140" t="inlineStr"/>
      <c r="HH140" t="inlineStr"/>
      <c r="HI140" t="inlineStr"/>
      <c r="HJ140" t="inlineStr"/>
      <c r="HK140" t="inlineStr"/>
      <c r="HL140" t="inlineStr"/>
      <c r="HM140" t="inlineStr"/>
      <c r="HN140" t="inlineStr"/>
      <c r="HO140" t="inlineStr"/>
      <c r="HP140" t="inlineStr"/>
      <c r="HQ140" t="inlineStr"/>
      <c r="HR140" t="inlineStr"/>
      <c r="HS140" t="inlineStr"/>
      <c r="HT140" t="inlineStr"/>
      <c r="HU140" t="inlineStr"/>
      <c r="HV140" t="inlineStr"/>
      <c r="HW140" t="inlineStr"/>
      <c r="HX140" t="inlineStr"/>
      <c r="HY140" t="inlineStr">
        <is>
          <t>924</t>
        </is>
      </c>
      <c r="HZ140" t="inlineStr">
        <is>
          <t>News (924)</t>
        </is>
      </c>
      <c r="IA140" t="inlineStr"/>
      <c r="IB140" t="inlineStr"/>
      <c r="IC140" t="inlineStr"/>
      <c r="ID140" t="inlineStr"/>
      <c r="IE140" t="inlineStr"/>
      <c r="IF140" t="inlineStr"/>
      <c r="IG140" t="inlineStr"/>
      <c r="IH140" t="inlineStr"/>
      <c r="II140" t="inlineStr"/>
      <c r="IJ140" t="inlineStr"/>
      <c r="IK140" t="inlineStr"/>
      <c r="IL140" t="inlineStr"/>
      <c r="IM140" t="inlineStr"/>
      <c r="IN140" t="inlineStr"/>
      <c r="IO140" t="inlineStr"/>
      <c r="IP140" t="inlineStr"/>
      <c r="IQ140" t="inlineStr"/>
      <c r="IR140" t="inlineStr"/>
      <c r="IS140">
        <f>IF(input_content_type="",FALSE,ISNUMBER(SEARCH(","&amp;LOWER(input_content_type)&amp;",",","&amp;LOWER(F140)&amp;",")))</f>
        <v/>
      </c>
      <c r="IT140">
        <f>AND(IF(M140="",TRUE,IF(input_affiliations="",FALSE,SUMPRODUCT(--ISNUMBER(SEARCH(","&amp;TRIM(TEXTSPLIT(M140,","))&amp;",",","&amp;SUBSTITUTE(input_affiliations," ","")&amp;",")))&gt;0)),IF(O140="",TRUE,IF(input_affiliations="",FALSE,SUMPRODUCT(--ISNUMBER(SEARCH(","&amp;TRIM(TEXTSPLIT(O140,","))&amp;",",","&amp;SUBSTITUTE(input_affiliations," ","")&amp;",")))=COUNTA(TEXTSPLIT(O140,",")))),IF(Q140="",TRUE,IF(input_affiliations="",TRUE,SUMPRODUCT(--ISNUMBER(SEARCH(","&amp;TRIM(TEXTSPLIT(Q140,","))&amp;",",","&amp;SUBSTITUTE(input_affiliations," ","")&amp;",")))=0)),IF(S140="",TRUE,IF(input_affiliations="",FALSE,SUMPRODUCT(--ISNUMBER(SEARCH(","&amp;TRIM(TEXTSPLIT(S140,","))&amp;",",","&amp;SUBSTITUTE(input_affiliations," ","")&amp;",")))&gt;0)),IF(U140="",TRUE,IF(input_affiliations="",FALSE,SUMPRODUCT(--ISNUMBER(SEARCH(","&amp;TRIM(TEXTSPLIT(U140,","))&amp;",",","&amp;SUBSTITUTE(input_affiliations," ","")&amp;",")))=COUNTA(TEXTSPLIT(U140,",")))))</f>
        <v/>
      </c>
      <c r="IU140">
        <f>AND(IF(W140="",TRUE,IF(input_announcement_category="",FALSE,SUMPRODUCT(--ISNUMBER(SEARCH(","&amp;TRIM(TEXTSPLIT(W140,","))&amp;",",","&amp;SUBSTITUTE(input_announcement_category," ","")&amp;",")))&gt;0)),IF(Y140="",TRUE,IF(input_announcement_category="",FALSE,SUMPRODUCT(--ISNUMBER(SEARCH(","&amp;TRIM(TEXTSPLIT(Y140,","))&amp;",",","&amp;SUBSTITUTE(input_announcement_category," ","")&amp;",")))=COUNTA(TEXTSPLIT(Y140,",")))),IF(AA140="",TRUE,IF(input_announcement_category="",TRUE,SUMPRODUCT(--ISNUMBER(SEARCH(","&amp;TRIM(TEXTSPLIT(AA140,","))&amp;",",","&amp;SUBSTITUTE(input_announcement_category," ","")&amp;",")))=0)),IF(AC140="",TRUE,IF(input_announcement_category="",FALSE,SUMPRODUCT(--ISNUMBER(SEARCH(","&amp;TRIM(TEXTSPLIT(AC140,","))&amp;",",","&amp;SUBSTITUTE(input_announcement_category," ","")&amp;",")))&gt;0)),IF(AE140="",TRUE,IF(input_announcement_category="",FALSE,SUMPRODUCT(--ISNUMBER(SEARCH(","&amp;TRIM(TEXTSPLIT(AE140,","))&amp;",",","&amp;SUBSTITUTE(input_announcement_category," ","")&amp;",")))=COUNTA(TEXTSPLIT(AE140,",")))))</f>
        <v/>
      </c>
      <c r="IV140">
        <f>AND(IF(AG140="",TRUE,IF(input_area_of_focus="",FALSE,SUMPRODUCT(--ISNUMBER(SEARCH(","&amp;TRIM(TEXTSPLIT(AG140,","))&amp;",",","&amp;SUBSTITUTE(input_area_of_focus," ","")&amp;",")))&gt;0)),IF(AI140="",TRUE,IF(input_area_of_focus="",FALSE,SUMPRODUCT(--ISNUMBER(SEARCH(","&amp;TRIM(TEXTSPLIT(AI140,","))&amp;",",","&amp;SUBSTITUTE(input_area_of_focus," ","")&amp;",")))=COUNTA(TEXTSPLIT(AI140,",")))),IF(AK140="",TRUE,IF(input_area_of_focus="",TRUE,SUMPRODUCT(--ISNUMBER(SEARCH(","&amp;TRIM(TEXTSPLIT(AK140,","))&amp;",",","&amp;SUBSTITUTE(input_area_of_focus," ","")&amp;",")))=0)),IF(AM140="",TRUE,IF(input_area_of_focus="",FALSE,SUMPRODUCT(--ISNUMBER(SEARCH(","&amp;TRIM(TEXTSPLIT(AM140,","))&amp;",",","&amp;SUBSTITUTE(input_area_of_focus," ","")&amp;",")))&gt;0)),IF(AO140="",TRUE,IF(input_area_of_focus="",FALSE,SUMPRODUCT(--ISNUMBER(SEARCH(","&amp;TRIM(TEXTSPLIT(AO140,","))&amp;",",","&amp;SUBSTITUTE(input_area_of_focus," ","")&amp;",")))=COUNTA(TEXTSPLIT(AO140,",")))))</f>
        <v/>
      </c>
      <c r="IW140">
        <f>AND(IF(AQ140="",TRUE,IF(input_audience="",FALSE,SUMPRODUCT(--ISNUMBER(SEARCH(","&amp;TRIM(TEXTSPLIT(AQ140,","))&amp;",",","&amp;SUBSTITUTE(input_audience," ","")&amp;",")))&gt;0)),IF(AS140="",TRUE,IF(input_audience="",FALSE,SUMPRODUCT(--ISNUMBER(SEARCH(","&amp;TRIM(TEXTSPLIT(AS140,","))&amp;",",","&amp;SUBSTITUTE(input_audience," ","")&amp;",")))=COUNTA(TEXTSPLIT(AS140,",")))),IF(AU140="",TRUE,IF(input_audience="",TRUE,SUMPRODUCT(--ISNUMBER(SEARCH(","&amp;TRIM(TEXTSPLIT(AU140,","))&amp;",",","&amp;SUBSTITUTE(input_audience," ","")&amp;",")))=0)),IF(AW140="",TRUE,IF(input_audience="",FALSE,SUMPRODUCT(--ISNUMBER(SEARCH(","&amp;TRIM(TEXTSPLIT(AW140,","))&amp;",",","&amp;SUBSTITUTE(input_audience," ","")&amp;",")))&gt;0)),IF(AY140="",TRUE,IF(input_audience="",FALSE,SUMPRODUCT(--ISNUMBER(SEARCH(","&amp;TRIM(TEXTSPLIT(AY140,","))&amp;",",","&amp;SUBSTITUTE(input_audience," ","")&amp;",")))=COUNTA(TEXTSPLIT(AY140,",")))))</f>
        <v/>
      </c>
      <c r="IX140">
        <f>AND(IF(BA140="",TRUE,IF(input_challenge_opportunities="",FALSE,SUMPRODUCT(--ISNUMBER(SEARCH(","&amp;TRIM(TEXTSPLIT(BA140,","))&amp;",",","&amp;SUBSTITUTE(input_challenge_opportunities," ","")&amp;",")))&gt;0)),IF(BC140="",TRUE,IF(input_challenge_opportunities="",FALSE,SUMPRODUCT(--ISNUMBER(SEARCH(","&amp;TRIM(TEXTSPLIT(BC140,","))&amp;",",","&amp;SUBSTITUTE(input_challenge_opportunities," ","")&amp;",")))=COUNTA(TEXTSPLIT(BC140,",")))),IF(BE140="",TRUE,IF(input_challenge_opportunities="",TRUE,SUMPRODUCT(--ISNUMBER(SEARCH(","&amp;TRIM(TEXTSPLIT(BE140,","))&amp;",",","&amp;SUBSTITUTE(input_challenge_opportunities," ","")&amp;",")))=0)),IF(BG140="",TRUE,IF(input_challenge_opportunities="",FALSE,SUMPRODUCT(--ISNUMBER(SEARCH(","&amp;TRIM(TEXTSPLIT(BG140,","))&amp;",",","&amp;SUBSTITUTE(input_challenge_opportunities," ","")&amp;",")))&gt;0)),IF(BI140="",TRUE,IF(input_challenge_opportunities="",FALSE,SUMPRODUCT(--ISNUMBER(SEARCH(","&amp;TRIM(TEXTSPLIT(BI140,","))&amp;",",","&amp;SUBSTITUTE(input_challenge_opportunities," ","")&amp;",")))=COUNTA(TEXTSPLIT(BI140,",")))))</f>
        <v/>
      </c>
      <c r="IY140">
        <f>AND(IF(BK140="",TRUE,IF(input_context="",FALSE,SUMPRODUCT(--ISNUMBER(SEARCH(","&amp;TRIM(TEXTSPLIT(BK140,","))&amp;",",","&amp;SUBSTITUTE(input_context," ","")&amp;",")))&gt;0)),IF(BM140="",TRUE,IF(input_context="",FALSE,SUMPRODUCT(--ISNUMBER(SEARCH(","&amp;TRIM(TEXTSPLIT(BM140,","))&amp;",",","&amp;SUBSTITUTE(input_context," ","")&amp;",")))=COUNTA(TEXTSPLIT(BM140,",")))),IF(BO140="",TRUE,IF(input_context="",TRUE,SUMPRODUCT(--ISNUMBER(SEARCH(","&amp;TRIM(TEXTSPLIT(BO140,","))&amp;",",","&amp;SUBSTITUTE(input_context," ","")&amp;",")))=0)),IF(BQ140="",TRUE,IF(input_context="",FALSE,SUMPRODUCT(--ISNUMBER(SEARCH(","&amp;TRIM(TEXTSPLIT(BQ140,","))&amp;",",","&amp;SUBSTITUTE(input_context," ","")&amp;",")))&gt;0)),IF(BS140="",TRUE,IF(input_context="",FALSE,SUMPRODUCT(--ISNUMBER(SEARCH(","&amp;TRIM(TEXTSPLIT(BS140,","))&amp;",",","&amp;SUBSTITUTE(input_context," ","")&amp;",")))=COUNTA(TEXTSPLIT(BS140,",")))))</f>
        <v/>
      </c>
      <c r="IZ140">
        <f>AND(IF(BU140="",TRUE,IF(input_enews_announcement_type="",FALSE,SUMPRODUCT(--ISNUMBER(SEARCH(","&amp;TRIM(TEXTSPLIT(BU140,","))&amp;",",","&amp;SUBSTITUTE(input_enews_announcement_type," ","")&amp;",")))&gt;0)),IF(BW140="",TRUE,IF(input_enews_announcement_type="",FALSE,SUMPRODUCT(--ISNUMBER(SEARCH(","&amp;TRIM(TEXTSPLIT(BW140,","))&amp;",",","&amp;SUBSTITUTE(input_enews_announcement_type," ","")&amp;",")))=COUNTA(TEXTSPLIT(BW140,",")))),IF(BY140="",TRUE,IF(input_enews_announcement_type="",TRUE,SUMPRODUCT(--ISNUMBER(SEARCH(","&amp;TRIM(TEXTSPLIT(BY140,","))&amp;",",","&amp;SUBSTITUTE(input_enews_announcement_type," ","")&amp;",")))=0)),IF(CA140="",TRUE,IF(input_enews_announcement_type="",FALSE,SUMPRODUCT(--ISNUMBER(SEARCH(","&amp;TRIM(TEXTSPLIT(CA140,","))&amp;",",","&amp;SUBSTITUTE(input_enews_announcement_type," ","")&amp;",")))&gt;0)),IF(CC140="",TRUE,IF(input_enews_announcement_type="",FALSE,SUMPRODUCT(--ISNUMBER(SEARCH(","&amp;TRIM(TEXTSPLIT(CC140,","))&amp;",",","&amp;SUBSTITUTE(input_enews_announcement_type," ","")&amp;",")))=COUNTA(TEXTSPLIT(CC140,",")))))</f>
        <v/>
      </c>
      <c r="JA140">
        <f>AND(IF(CE140="",TRUE,IF(input_enews_audience="",FALSE,SUMPRODUCT(--ISNUMBER(SEARCH(","&amp;TRIM(TEXTSPLIT(CE140,","))&amp;",",","&amp;SUBSTITUTE(input_enews_audience," ","")&amp;",")))&gt;0)),IF(CG140="",TRUE,IF(input_enews_audience="",FALSE,SUMPRODUCT(--ISNUMBER(SEARCH(","&amp;TRIM(TEXTSPLIT(CG140,","))&amp;",",","&amp;SUBSTITUTE(input_enews_audience," ","")&amp;",")))=COUNTA(TEXTSPLIT(CG140,",")))),IF(CI140="",TRUE,IF(input_enews_audience="",TRUE,SUMPRODUCT(--ISNUMBER(SEARCH(","&amp;TRIM(TEXTSPLIT(CI140,","))&amp;",",","&amp;SUBSTITUTE(input_enews_audience," ","")&amp;",")))=0)),IF(CK140="",TRUE,IF(input_enews_audience="",FALSE,SUMPRODUCT(--ISNUMBER(SEARCH(","&amp;TRIM(TEXTSPLIT(CK140,","))&amp;",",","&amp;SUBSTITUTE(input_enews_audience," ","")&amp;",")))&gt;0)),IF(CM140="",TRUE,IF(input_enews_audience="",FALSE,SUMPRODUCT(--ISNUMBER(SEARCH(","&amp;TRIM(TEXTSPLIT(CM140,","))&amp;",",","&amp;SUBSTITUTE(input_enews_audience," ","")&amp;",")))=COUNTA(TEXTSPLIT(CM140,",")))))</f>
        <v/>
      </c>
      <c r="JB140">
        <f>AND(IF(CO140="",TRUE,IF(input_event_location="",FALSE,SUMPRODUCT(--ISNUMBER(SEARCH(","&amp;TRIM(TEXTSPLIT(CO140,","))&amp;",",","&amp;SUBSTITUTE(input_event_location," ","")&amp;",")))&gt;0)),IF(CQ140="",TRUE,IF(input_event_location="",FALSE,SUMPRODUCT(--ISNUMBER(SEARCH(","&amp;TRIM(TEXTSPLIT(CQ140,","))&amp;",",","&amp;SUBSTITUTE(input_event_location," ","")&amp;",")))=COUNTA(TEXTSPLIT(CQ140,",")))),IF(CS140="",TRUE,IF(input_event_location="",TRUE,SUMPRODUCT(--ISNUMBER(SEARCH(","&amp;TRIM(TEXTSPLIT(CS140,","))&amp;",",","&amp;SUBSTITUTE(input_event_location," ","")&amp;",")))=0)),IF(CU140="",TRUE,IF(input_event_location="",FALSE,SUMPRODUCT(--ISNUMBER(SEARCH(","&amp;TRIM(TEXTSPLIT(CU140,","))&amp;",",","&amp;SUBSTITUTE(input_event_location," ","")&amp;",")))&gt;0)),IF(CW140="",TRUE,IF(input_event_location="",FALSE,SUMPRODUCT(--ISNUMBER(SEARCH(","&amp;TRIM(TEXTSPLIT(CW140,","))&amp;",",","&amp;SUBSTITUTE(input_event_location," ","")&amp;",")))=COUNTA(TEXTSPLIT(CW140,",")))))</f>
        <v/>
      </c>
      <c r="JC140">
        <f>AND(IF(CY140="",TRUE,IF(input_event_type="",FALSE,SUMPRODUCT(--ISNUMBER(SEARCH(","&amp;TRIM(TEXTSPLIT(CY140,","))&amp;",",","&amp;SUBSTITUTE(input_event_type," ","")&amp;",")))&gt;0)),IF(DA140="",TRUE,IF(input_event_type="",FALSE,SUMPRODUCT(--ISNUMBER(SEARCH(","&amp;TRIM(TEXTSPLIT(DA140,","))&amp;",",","&amp;SUBSTITUTE(input_event_type," ","")&amp;",")))=COUNTA(TEXTSPLIT(DA140,",")))),IF(DC140="",TRUE,IF(input_event_type="",TRUE,SUMPRODUCT(--ISNUMBER(SEARCH(","&amp;TRIM(TEXTSPLIT(DC140,","))&amp;",",","&amp;SUBSTITUTE(input_event_type," ","")&amp;",")))=0)),IF(DE140="",TRUE,IF(input_event_type="",FALSE,SUMPRODUCT(--ISNUMBER(SEARCH(","&amp;TRIM(TEXTSPLIT(DE140,","))&amp;",",","&amp;SUBSTITUTE(input_event_type," ","")&amp;",")))&gt;0)),IF(DG140="",TRUE,IF(input_event_type="",FALSE,SUMPRODUCT(--ISNUMBER(SEARCH(","&amp;TRIM(TEXTSPLIT(DG140,","))&amp;",",","&amp;SUBSTITUTE(input_event_type," ","")&amp;",")))=COUNTA(TEXTSPLIT(DG140,",")))))</f>
        <v/>
      </c>
      <c r="JD140">
        <f>AND(IF(DI140="",TRUE,IF(input_executive_education_focus="",FALSE,SUMPRODUCT(--ISNUMBER(SEARCH(","&amp;TRIM(TEXTSPLIT(DI140,","))&amp;",",","&amp;SUBSTITUTE(input_executive_education_focus," ","")&amp;",")))&gt;0)),IF(DK140="",TRUE,IF(input_executive_education_focus="",FALSE,SUMPRODUCT(--ISNUMBER(SEARCH(","&amp;TRIM(TEXTSPLIT(DK140,","))&amp;",",","&amp;SUBSTITUTE(input_executive_education_focus," ","")&amp;",")))=COUNTA(TEXTSPLIT(DK140,",")))),IF(DM140="",TRUE,IF(input_executive_education_focus="",TRUE,SUMPRODUCT(--ISNUMBER(SEARCH(","&amp;TRIM(TEXTSPLIT(DM140,","))&amp;",",","&amp;SUBSTITUTE(input_executive_education_focus," ","")&amp;",")))=0)),IF(DO140="",TRUE,IF(input_executive_education_focus="",FALSE,SUMPRODUCT(--ISNUMBER(SEARCH(","&amp;TRIM(TEXTSPLIT(DO140,","))&amp;",",","&amp;SUBSTITUTE(input_executive_education_focus," ","")&amp;",")))&gt;0)),IF(DQ140="",TRUE,IF(input_executive_education_focus="",FALSE,SUMPRODUCT(--ISNUMBER(SEARCH(","&amp;TRIM(TEXTSPLIT(DQ140,","))&amp;",",","&amp;SUBSTITUTE(input_executive_education_focus," ","")&amp;",")))=COUNTA(TEXTSPLIT(DQ140,",")))))</f>
        <v/>
      </c>
      <c r="JE140">
        <f>AND(IF(DS140="",TRUE,IF(input_faculty_category="",FALSE,SUMPRODUCT(--ISNUMBER(SEARCH(","&amp;TRIM(TEXTSPLIT(DS140,","))&amp;",",","&amp;SUBSTITUTE(input_faculty_category," ","")&amp;",")))&gt;0)),IF(DU140="",TRUE,IF(input_faculty_category="",FALSE,SUMPRODUCT(--ISNUMBER(SEARCH(","&amp;TRIM(TEXTSPLIT(DU140,","))&amp;",",","&amp;SUBSTITUTE(input_faculty_category," ","")&amp;",")))=COUNTA(TEXTSPLIT(DU140,",")))),IF(DW140="",TRUE,IF(input_faculty_category="",TRUE,SUMPRODUCT(--ISNUMBER(SEARCH(","&amp;TRIM(TEXTSPLIT(DW140,","))&amp;",",","&amp;SUBSTITUTE(input_faculty_category," ","")&amp;",")))=0)),IF(DY140="",TRUE,IF(input_faculty_category="",FALSE,SUMPRODUCT(--ISNUMBER(SEARCH(","&amp;TRIM(TEXTSPLIT(DY140,","))&amp;",",","&amp;SUBSTITUTE(input_faculty_category," ","")&amp;",")))&gt;0)),IF(EA140="",TRUE,IF(input_faculty_category="",FALSE,SUMPRODUCT(--ISNUMBER(SEARCH(","&amp;TRIM(TEXTSPLIT(EA140,","))&amp;",",","&amp;SUBSTITUTE(input_faculty_category," ","")&amp;",")))=COUNTA(TEXTSPLIT(EA140,",")))))</f>
        <v/>
      </c>
      <c r="JF140">
        <f>AND(IF(EC140="",TRUE,IF(input_faculty_discipline="",FALSE,SUMPRODUCT(--ISNUMBER(SEARCH(","&amp;TRIM(TEXTSPLIT(EC140,","))&amp;",",","&amp;SUBSTITUTE(input_faculty_discipline," ","")&amp;",")))&gt;0)),IF(EE140="",TRUE,IF(input_faculty_discipline="",FALSE,SUMPRODUCT(--ISNUMBER(SEARCH(","&amp;TRIM(TEXTSPLIT(EE140,","))&amp;",",","&amp;SUBSTITUTE(input_faculty_discipline," ","")&amp;",")))=COUNTA(TEXTSPLIT(EE140,",")))),IF(EG140="",TRUE,IF(input_faculty_discipline="",TRUE,SUMPRODUCT(--ISNUMBER(SEARCH(","&amp;TRIM(TEXTSPLIT(EG140,","))&amp;",",","&amp;SUBSTITUTE(input_faculty_discipline," ","")&amp;",")))=0)),IF(EI140="",TRUE,IF(input_faculty_discipline="",FALSE,SUMPRODUCT(--ISNUMBER(SEARCH(","&amp;TRIM(TEXTSPLIT(EI140,","))&amp;",",","&amp;SUBSTITUTE(input_faculty_discipline," ","")&amp;",")))&gt;0)),IF(EK140="",TRUE,IF(input_faculty_discipline="",FALSE,SUMPRODUCT(--ISNUMBER(SEARCH(","&amp;TRIM(TEXTSPLIT(EK140,","))&amp;",",","&amp;SUBSTITUTE(input_faculty_discipline," ","")&amp;",")))=COUNTA(TEXTSPLIT(EK140,",")))))</f>
        <v/>
      </c>
      <c r="JG140">
        <f>AND(IF(EM140="",TRUE,IF(input_faculty_expertise="",FALSE,SUMPRODUCT(--ISNUMBER(SEARCH(","&amp;TRIM(TEXTSPLIT(EM140,","))&amp;",",","&amp;SUBSTITUTE(input_faculty_expertise," ","")&amp;",")))&gt;0)),IF(EO140="",TRUE,IF(input_faculty_expertise="",FALSE,SUMPRODUCT(--ISNUMBER(SEARCH(","&amp;TRIM(TEXTSPLIT(EO140,","))&amp;",",","&amp;SUBSTITUTE(input_faculty_expertise," ","")&amp;",")))=COUNTA(TEXTSPLIT(EO140,",")))),IF(EQ140="",TRUE,IF(input_faculty_expertise="",TRUE,SUMPRODUCT(--ISNUMBER(SEARCH(","&amp;TRIM(TEXTSPLIT(EQ140,","))&amp;",",","&amp;SUBSTITUTE(input_faculty_expertise," ","")&amp;",")))=0)),IF(ES140="",TRUE,IF(input_faculty_expertise="",FALSE,SUMPRODUCT(--ISNUMBER(SEARCH(","&amp;TRIM(TEXTSPLIT(ES140,","))&amp;",",","&amp;SUBSTITUTE(input_faculty_expertise," ","")&amp;",")))&gt;0)),IF(EU140="",TRUE,IF(input_faculty_expertise="",FALSE,SUMPRODUCT(--ISNUMBER(SEARCH(","&amp;TRIM(TEXTSPLIT(EU140,","))&amp;",",","&amp;SUBSTITUTE(input_faculty_expertise," ","")&amp;",")))=COUNTA(TEXTSPLIT(EU140,",")))))</f>
        <v/>
      </c>
      <c r="JH140">
        <f>AND(IF(EW140="",TRUE,IF(input_global_network_school="",FALSE,SUMPRODUCT(--ISNUMBER(SEARCH(","&amp;TRIM(TEXTSPLIT(EW140,","))&amp;",",","&amp;SUBSTITUTE(input_global_network_school," ","")&amp;",")))&gt;0)),IF(EY140="",TRUE,IF(input_global_network_school="",FALSE,SUMPRODUCT(--ISNUMBER(SEARCH(","&amp;TRIM(TEXTSPLIT(EY140,","))&amp;",",","&amp;SUBSTITUTE(input_global_network_school," ","")&amp;",")))=COUNTA(TEXTSPLIT(EY140,",")))),IF(FA140="",TRUE,IF(input_global_network_school="",TRUE,SUMPRODUCT(--ISNUMBER(SEARCH(","&amp;TRIM(TEXTSPLIT(FA140,","))&amp;",",","&amp;SUBSTITUTE(input_global_network_school," ","")&amp;",")))=0)),IF(FC140="",TRUE,IF(input_global_network_school="",FALSE,SUMPRODUCT(--ISNUMBER(SEARCH(","&amp;TRIM(TEXTSPLIT(FC140,","))&amp;",",","&amp;SUBSTITUTE(input_global_network_school," ","")&amp;",")))&gt;0)),IF(FE140="",TRUE,IF(input_global_network_school="",FALSE,SUMPRODUCT(--ISNUMBER(SEARCH(","&amp;TRIM(TEXTSPLIT(FE140,","))&amp;",",","&amp;SUBSTITUTE(input_global_network_school," ","")&amp;",")))=COUNTA(TEXTSPLIT(FE140,",")))))</f>
        <v/>
      </c>
      <c r="JI140">
        <f>AND(IF(FG140="",TRUE,IF(input_industry="",FALSE,SUMPRODUCT(--ISNUMBER(SEARCH(","&amp;TRIM(TEXTSPLIT(FG140,","))&amp;",",","&amp;SUBSTITUTE(input_industry," ","")&amp;",")))&gt;0)),IF(FI140="",TRUE,IF(input_industry="",FALSE,SUMPRODUCT(--ISNUMBER(SEARCH(","&amp;TRIM(TEXTSPLIT(FI140,","))&amp;",",","&amp;SUBSTITUTE(input_industry," ","")&amp;",")))=COUNTA(TEXTSPLIT(FI140,",")))),IF(FK140="",TRUE,IF(input_industry="",TRUE,SUMPRODUCT(--ISNUMBER(SEARCH(","&amp;TRIM(TEXTSPLIT(FK140,","))&amp;",",","&amp;SUBSTITUTE(input_industry," ","")&amp;",")))=0)),IF(FM140="",TRUE,IF(input_industry="",FALSE,SUMPRODUCT(--ISNUMBER(SEARCH(","&amp;TRIM(TEXTSPLIT(FM140,","))&amp;",",","&amp;SUBSTITUTE(input_industry," ","")&amp;",")))&gt;0)),IF(FO140="",TRUE,IF(input_industry="",FALSE,SUMPRODUCT(--ISNUMBER(SEARCH(","&amp;TRIM(TEXTSPLIT(FO140,","))&amp;",",","&amp;SUBSTITUTE(input_industry," ","")&amp;",")))=COUNTA(TEXTSPLIT(FO140,",")))))</f>
        <v/>
      </c>
      <c r="JJ140">
        <f>AND(IF(FQ140="",TRUE,IF(input_location="",FALSE,SUMPRODUCT(--ISNUMBER(SEARCH(","&amp;TRIM(TEXTSPLIT(FQ140,","))&amp;",",","&amp;SUBSTITUTE(input_location," ","")&amp;",")))&gt;0)),IF(FS140="",TRUE,IF(input_location="",FALSE,SUMPRODUCT(--ISNUMBER(SEARCH(","&amp;TRIM(TEXTSPLIT(FS140,","))&amp;",",","&amp;SUBSTITUTE(input_location," ","")&amp;",")))=COUNTA(TEXTSPLIT(FS140,",")))),IF(FU140="",TRUE,IF(input_location="",TRUE,SUMPRODUCT(--ISNUMBER(SEARCH(","&amp;TRIM(TEXTSPLIT(FU140,","))&amp;",",","&amp;SUBSTITUTE(input_location," ","")&amp;",")))=0)),IF(FW140="",TRUE,IF(input_location="",FALSE,SUMPRODUCT(--ISNUMBER(SEARCH(","&amp;TRIM(TEXTSPLIT(FW140,","))&amp;",",","&amp;SUBSTITUTE(input_location," ","")&amp;",")))&gt;0)),IF(FY140="",TRUE,IF(input_location="",FALSE,SUMPRODUCT(--ISNUMBER(SEARCH(","&amp;TRIM(TEXTSPLIT(FY140,","))&amp;",",","&amp;SUBSTITUTE(input_location," ","")&amp;",")))=COUNTA(TEXTSPLIT(FY140,",")))))</f>
        <v/>
      </c>
      <c r="JK140">
        <f>AND(IF(GA140="",TRUE,IF(input_modality="",FALSE,SUMPRODUCT(--ISNUMBER(SEARCH(","&amp;TRIM(TEXTSPLIT(GA140,","))&amp;",",","&amp;SUBSTITUTE(input_modality," ","")&amp;",")))&gt;0)),IF(GC140="",TRUE,IF(input_modality="",FALSE,SUMPRODUCT(--ISNUMBER(SEARCH(","&amp;TRIM(TEXTSPLIT(GC140,","))&amp;",",","&amp;SUBSTITUTE(input_modality," ","")&amp;",")))=COUNTA(TEXTSPLIT(GC140,",")))),IF(GE140="",TRUE,IF(input_modality="",TRUE,SUMPRODUCT(--ISNUMBER(SEARCH(","&amp;TRIM(TEXTSPLIT(GE140,","))&amp;",",","&amp;SUBSTITUTE(input_modality," ","")&amp;",")))=0)),IF(GG140="",TRUE,IF(input_modality="",FALSE,SUMPRODUCT(--ISNUMBER(SEARCH(","&amp;TRIM(TEXTSPLIT(GG140,","))&amp;",",","&amp;SUBSTITUTE(input_modality," ","")&amp;",")))&gt;0)),IF(GI140="",TRUE,IF(input_modality="",FALSE,SUMPRODUCT(--ISNUMBER(SEARCH(","&amp;TRIM(TEXTSPLIT(GI140,","))&amp;",",","&amp;SUBSTITUTE(input_modality," ","")&amp;",")))=COUNTA(TEXTSPLIT(GI140,",")))))</f>
        <v/>
      </c>
      <c r="JL140">
        <f>AND(IF(GK140="",TRUE,IF(input_organizer="",FALSE,SUMPRODUCT(--ISNUMBER(SEARCH(","&amp;TRIM(TEXTSPLIT(GK140,","))&amp;",",","&amp;SUBSTITUTE(input_organizer," ","")&amp;",")))&gt;0)),IF(GM140="",TRUE,IF(input_organizer="",FALSE,SUMPRODUCT(--ISNUMBER(SEARCH(","&amp;TRIM(TEXTSPLIT(GM140,","))&amp;",",","&amp;SUBSTITUTE(input_organizer," ","")&amp;",")))=COUNTA(TEXTSPLIT(GM140,",")))),IF(GO140="",TRUE,IF(input_organizer="",TRUE,SUMPRODUCT(--ISNUMBER(SEARCH(","&amp;TRIM(TEXTSPLIT(GO140,","))&amp;",",","&amp;SUBSTITUTE(input_organizer," ","")&amp;",")))=0)),IF(GQ140="",TRUE,IF(input_organizer="",FALSE,SUMPRODUCT(--ISNUMBER(SEARCH(","&amp;TRIM(TEXTSPLIT(GQ140,","))&amp;",",","&amp;SUBSTITUTE(input_organizer," ","")&amp;",")))&gt;0)),IF(GS140="",TRUE,IF(input_organizer="",FALSE,SUMPRODUCT(--ISNUMBER(SEARCH(","&amp;TRIM(TEXTSPLIT(GS140,","))&amp;",",","&amp;SUBSTITUTE(input_organizer," ","")&amp;",")))=COUNTA(TEXTSPLIT(GS140,",")))))</f>
        <v/>
      </c>
      <c r="JM140">
        <f>AND(IF(GU140="",TRUE,IF(input_profile_type="",FALSE,SUMPRODUCT(--ISNUMBER(SEARCH(","&amp;TRIM(TEXTSPLIT(GU140,","))&amp;",",","&amp;SUBSTITUTE(input_profile_type," ","")&amp;",")))&gt;0)),IF(GW140="",TRUE,IF(input_profile_type="",FALSE,SUMPRODUCT(--ISNUMBER(SEARCH(","&amp;TRIM(TEXTSPLIT(GW140,","))&amp;",",","&amp;SUBSTITUTE(input_profile_type," ","")&amp;",")))=COUNTA(TEXTSPLIT(GW140,",")))),IF(GY140="",TRUE,IF(input_profile_type="",TRUE,SUMPRODUCT(--ISNUMBER(SEARCH(","&amp;TRIM(TEXTSPLIT(GY140,","))&amp;",",","&amp;SUBSTITUTE(input_profile_type," ","")&amp;",")))=0)),IF(HA140="",TRUE,IF(input_profile_type="",FALSE,SUMPRODUCT(--ISNUMBER(SEARCH(","&amp;TRIM(TEXTSPLIT(HA140,","))&amp;",",","&amp;SUBSTITUTE(input_profile_type," ","")&amp;",")))&gt;0)),IF(HC140="",TRUE,IF(input_profile_type="",FALSE,SUMPRODUCT(--ISNUMBER(SEARCH(","&amp;TRIM(TEXTSPLIT(HC140,","))&amp;",",","&amp;SUBSTITUTE(input_profile_type," ","")&amp;",")))=COUNTA(TEXTSPLIT(HC140,",")))))</f>
        <v/>
      </c>
      <c r="JN140">
        <f>AND(IF(HE140="",TRUE,IF(input_program="",FALSE,SUMPRODUCT(--ISNUMBER(SEARCH(","&amp;TRIM(TEXTSPLIT(HE140,","))&amp;",",","&amp;SUBSTITUTE(input_program," ","")&amp;",")))&gt;0)),IF(HG140="",TRUE,IF(input_program="",FALSE,SUMPRODUCT(--ISNUMBER(SEARCH(","&amp;TRIM(TEXTSPLIT(HG140,","))&amp;",",","&amp;SUBSTITUTE(input_program," ","")&amp;",")))=COUNTA(TEXTSPLIT(HG140,",")))),IF(HI140="",TRUE,IF(input_program="",TRUE,SUMPRODUCT(--ISNUMBER(SEARCH(","&amp;TRIM(TEXTSPLIT(HI140,","))&amp;",",","&amp;SUBSTITUTE(input_program," ","")&amp;",")))=0)),IF(HK140="",TRUE,IF(input_program="",FALSE,SUMPRODUCT(--ISNUMBER(SEARCH(","&amp;TRIM(TEXTSPLIT(HK140,","))&amp;",",","&amp;SUBSTITUTE(input_program," ","")&amp;",")))&gt;0)),IF(HM140="",TRUE,IF(input_program="",FALSE,SUMPRODUCT(--ISNUMBER(SEARCH(","&amp;TRIM(TEXTSPLIT(HM140,","))&amp;",",","&amp;SUBSTITUTE(input_program," ","")&amp;",")))=COUNTA(TEXTSPLIT(HM140,",")))))</f>
        <v/>
      </c>
      <c r="JO140">
        <f>AND(IF(HO140="",TRUE,IF(input_story_categories="",FALSE,SUMPRODUCT(--ISNUMBER(SEARCH(","&amp;TRIM(TEXTSPLIT(HO140,","))&amp;",",","&amp;SUBSTITUTE(input_story_categories," ","")&amp;",")))&gt;0)),IF(HQ140="",TRUE,IF(input_story_categories="",FALSE,SUMPRODUCT(--ISNUMBER(SEARCH(","&amp;TRIM(TEXTSPLIT(HQ140,","))&amp;",",","&amp;SUBSTITUTE(input_story_categories," ","")&amp;",")))=COUNTA(TEXTSPLIT(HQ140,",")))),IF(HS140="",TRUE,IF(input_story_categories="",TRUE,SUMPRODUCT(--ISNUMBER(SEARCH(","&amp;TRIM(TEXTSPLIT(HS140,","))&amp;",",","&amp;SUBSTITUTE(input_story_categories," ","")&amp;",")))=0)),IF(HU140="",TRUE,IF(input_story_categories="",FALSE,SUMPRODUCT(--ISNUMBER(SEARCH(","&amp;TRIM(TEXTSPLIT(HU140,","))&amp;",",","&amp;SUBSTITUTE(input_story_categories," ","")&amp;",")))&gt;0)),IF(HW140="",TRUE,IF(input_story_categories="",FALSE,SUMPRODUCT(--ISNUMBER(SEARCH(","&amp;TRIM(TEXTSPLIT(HW140,","))&amp;",",","&amp;SUBSTITUTE(input_story_categories," ","")&amp;",")))=COUNTA(TEXTSPLIT(HW140,",")))))</f>
        <v/>
      </c>
      <c r="JP140">
        <f>AND(IF(HY140="",TRUE,IF(input_story_type="",FALSE,SUMPRODUCT(--ISNUMBER(SEARCH(","&amp;TRIM(TEXTSPLIT(HY140,","))&amp;",",","&amp;SUBSTITUTE(input_story_type," ","")&amp;",")))&gt;0)),IF(IA140="",TRUE,IF(input_story_type="",FALSE,SUMPRODUCT(--ISNUMBER(SEARCH(","&amp;TRIM(TEXTSPLIT(IA140,","))&amp;",",","&amp;SUBSTITUTE(input_story_type," ","")&amp;",")))=COUNTA(TEXTSPLIT(IA140,",")))),IF(IC140="",TRUE,IF(input_story_type="",TRUE,SUMPRODUCT(--ISNUMBER(SEARCH(","&amp;TRIM(TEXTSPLIT(IC140,","))&amp;",",","&amp;SUBSTITUTE(input_story_type," ","")&amp;",")))=0)),IF(IE140="",TRUE,IF(input_story_type="",FALSE,SUMPRODUCT(--ISNUMBER(SEARCH(","&amp;TRIM(TEXTSPLIT(IE140,","))&amp;",",","&amp;SUBSTITUTE(input_story_type," ","")&amp;",")))&gt;0)),IF(IG140="",TRUE,IF(input_story_type="",FALSE,SUMPRODUCT(--ISNUMBER(SEARCH(","&amp;TRIM(TEXTSPLIT(IG140,","))&amp;",",","&amp;SUBSTITUTE(input_story_type," ","")&amp;",")))=COUNTA(TEXTSPLIT(IG140,",")))))</f>
        <v/>
      </c>
      <c r="JQ140">
        <f>AND(IF(II140="",TRUE,IF(input_topics="",FALSE,SUMPRODUCT(--ISNUMBER(SEARCH(","&amp;TRIM(TEXTSPLIT(II140,","))&amp;",",","&amp;SUBSTITUTE(input_topics," ","")&amp;",")))&gt;0)),IF(IK140="",TRUE,IF(input_topics="",FALSE,SUMPRODUCT(--ISNUMBER(SEARCH(","&amp;TRIM(TEXTSPLIT(IK140,","))&amp;",",","&amp;SUBSTITUTE(input_topics," ","")&amp;",")))=COUNTA(TEXTSPLIT(IK140,",")))),IF(IM140="",TRUE,IF(input_topics="",TRUE,SUMPRODUCT(--ISNUMBER(SEARCH(","&amp;TRIM(TEXTSPLIT(IM140,","))&amp;",",","&amp;SUBSTITUTE(input_topics," ","")&amp;",")))=0)),IF(IO140="",TRUE,IF(input_topics="",FALSE,SUMPRODUCT(--ISNUMBER(SEARCH(","&amp;TRIM(TEXTSPLIT(IO140,","))&amp;",",","&amp;SUBSTITUTE(input_topics," ","")&amp;",")))&gt;0)),IF(IQ140="",TRUE,IF(input_topics="",FALSE,SUMPRODUCT(--ISNUMBER(SEARCH(","&amp;TRIM(TEXTSPLIT(IQ140,","))&amp;",",","&amp;SUBSTITUTE(input_topics," ","")&amp;",")))=COUNTA(TEXTSPLIT(IQ140,",")))))</f>
        <v/>
      </c>
    </row>
    <row r="141">
      <c r="A141" s="4">
        <f>IF(NOT(IS141),"Excluded",IF(AND(IT141,IU141,IV141,IW141,IX141,IY141,IZ141,JA141,JB141,JC141,JD141,JE141,JF141,JG141,JH141,JI141,JJ141,JK141,JL141,JM141,JN141,JO141,JP141,JQ141),IF(I141&gt;0,"Eligible but limited","Will appear"),"Excluded"))</f>
        <v/>
      </c>
      <c r="B141" s="4" t="inlineStr">
        <is>
          <t>News - Summary</t>
        </is>
      </c>
      <c r="C141" s="4" t="inlineStr">
        <is>
          <t>/the-som-experience/interests-and-industries/finance</t>
        </is>
      </c>
      <c r="D141" s="4" t="inlineStr">
        <is>
          <t>/the-som-experience/interests-and-industries/finance</t>
        </is>
      </c>
      <c r="E141" s="4" t="n">
        <v>1</v>
      </c>
      <c r="F141" s="4" t="inlineStr">
        <is>
          <t>story</t>
        </is>
      </c>
      <c r="G141" s="4" t="inlineStr">
        <is>
          <t>stories_mosaic_grid</t>
        </is>
      </c>
      <c r="H141" s="4" t="inlineStr">
        <is>
          <t>embed_news_summary</t>
        </is>
      </c>
      <c r="I141" s="4" t="n">
        <v>1</v>
      </c>
      <c r="J141" s="4" t="inlineStr">
        <is>
          <t>View/config rules</t>
        </is>
      </c>
      <c r="K141" s="4" t="inlineStr">
        <is>
          <t>Page placement</t>
        </is>
      </c>
      <c r="L141" s="4" t="inlineStr">
        <is>
          <t>Content type: story; Needs any Story Type: News (924); Limited to 1 item(s); Source: View/config rules</t>
        </is>
      </c>
      <c r="M141" t="inlineStr"/>
      <c r="N141" t="inlineStr"/>
      <c r="O141" t="inlineStr"/>
      <c r="P141" t="inlineStr"/>
      <c r="Q141" t="inlineStr"/>
      <c r="R141" t="inlineStr"/>
      <c r="S141" t="inlineStr"/>
      <c r="T141" t="inlineStr"/>
      <c r="U141" t="inlineStr"/>
      <c r="V141" t="inlineStr"/>
      <c r="W141" t="inlineStr"/>
      <c r="X141" t="inlineStr"/>
      <c r="Y141" t="inlineStr"/>
      <c r="Z141" t="inlineStr"/>
      <c r="AA141" t="inlineStr"/>
      <c r="AB141" t="inlineStr"/>
      <c r="AC141" t="inlineStr"/>
      <c r="AD141" t="inlineStr"/>
      <c r="AE141" t="inlineStr"/>
      <c r="AF141" t="inlineStr"/>
      <c r="AG141" t="inlineStr"/>
      <c r="AH141" t="inlineStr"/>
      <c r="AI141" t="inlineStr"/>
      <c r="AJ141" t="inlineStr"/>
      <c r="AK141" t="inlineStr"/>
      <c r="AL141" t="inlineStr"/>
      <c r="AM141" t="inlineStr"/>
      <c r="AN141" t="inlineStr"/>
      <c r="AO141" t="inlineStr"/>
      <c r="AP141" t="inlineStr"/>
      <c r="AQ141" t="inlineStr"/>
      <c r="AR141" t="inlineStr"/>
      <c r="AS141" t="inlineStr"/>
      <c r="AT141" t="inlineStr"/>
      <c r="AU141" t="inlineStr"/>
      <c r="AV141" t="inlineStr"/>
      <c r="AW141" t="inlineStr"/>
      <c r="AX141" t="inlineStr"/>
      <c r="AY141" t="inlineStr"/>
      <c r="AZ141" t="inlineStr"/>
      <c r="BA141" t="inlineStr"/>
      <c r="BB141" t="inlineStr"/>
      <c r="BC141" t="inlineStr"/>
      <c r="BD141" t="inlineStr"/>
      <c r="BE141" t="inlineStr"/>
      <c r="BF141" t="inlineStr"/>
      <c r="BG141" t="inlineStr"/>
      <c r="BH141" t="inlineStr"/>
      <c r="BI141" t="inlineStr"/>
      <c r="BJ141" t="inlineStr"/>
      <c r="BK141" t="inlineStr"/>
      <c r="BL141" t="inlineStr"/>
      <c r="BM141" t="inlineStr"/>
      <c r="BN141" t="inlineStr"/>
      <c r="BO141" t="inlineStr"/>
      <c r="BP141" t="inlineStr"/>
      <c r="BQ141" t="inlineStr"/>
      <c r="BR141" t="inlineStr"/>
      <c r="BS141" t="inlineStr"/>
      <c r="BT141" t="inlineStr"/>
      <c r="BU141" t="inlineStr"/>
      <c r="BV141" t="inlineStr"/>
      <c r="BW141" t="inlineStr"/>
      <c r="BX141" t="inlineStr"/>
      <c r="BY141" t="inlineStr"/>
      <c r="BZ141" t="inlineStr"/>
      <c r="CA141" t="inlineStr"/>
      <c r="CB141" t="inlineStr"/>
      <c r="CC141" t="inlineStr"/>
      <c r="CD141" t="inlineStr"/>
      <c r="CE141" t="inlineStr"/>
      <c r="CF141" t="inlineStr"/>
      <c r="CG141" t="inlineStr"/>
      <c r="CH141" t="inlineStr"/>
      <c r="CI141" t="inlineStr"/>
      <c r="CJ141" t="inlineStr"/>
      <c r="CK141" t="inlineStr"/>
      <c r="CL141" t="inlineStr"/>
      <c r="CM141" t="inlineStr"/>
      <c r="CN141" t="inlineStr"/>
      <c r="CO141" t="inlineStr"/>
      <c r="CP141" t="inlineStr"/>
      <c r="CQ141" t="inlineStr"/>
      <c r="CR141" t="inlineStr"/>
      <c r="CS141" t="inlineStr"/>
      <c r="CT141" t="inlineStr"/>
      <c r="CU141" t="inlineStr"/>
      <c r="CV141" t="inlineStr"/>
      <c r="CW141" t="inlineStr"/>
      <c r="CX141" t="inlineStr"/>
      <c r="CY141" t="inlineStr"/>
      <c r="CZ141" t="inlineStr"/>
      <c r="DA141" t="inlineStr"/>
      <c r="DB141" t="inlineStr"/>
      <c r="DC141" t="inlineStr"/>
      <c r="DD141" t="inlineStr"/>
      <c r="DE141" t="inlineStr"/>
      <c r="DF141" t="inlineStr"/>
      <c r="DG141" t="inlineStr"/>
      <c r="DH141" t="inlineStr"/>
      <c r="DI141" t="inlineStr"/>
      <c r="DJ141" t="inlineStr"/>
      <c r="DK141" t="inlineStr"/>
      <c r="DL141" t="inlineStr"/>
      <c r="DM141" t="inlineStr"/>
      <c r="DN141" t="inlineStr"/>
      <c r="DO141" t="inlineStr"/>
      <c r="DP141" t="inlineStr"/>
      <c r="DQ141" t="inlineStr"/>
      <c r="DR141" t="inlineStr"/>
      <c r="DS141" t="inlineStr"/>
      <c r="DT141" t="inlineStr"/>
      <c r="DU141" t="inlineStr"/>
      <c r="DV141" t="inlineStr"/>
      <c r="DW141" t="inlineStr"/>
      <c r="DX141" t="inlineStr"/>
      <c r="DY141" t="inlineStr"/>
      <c r="DZ141" t="inlineStr"/>
      <c r="EA141" t="inlineStr"/>
      <c r="EB141" t="inlineStr"/>
      <c r="EC141" t="inlineStr"/>
      <c r="ED141" t="inlineStr"/>
      <c r="EE141" t="inlineStr"/>
      <c r="EF141" t="inlineStr"/>
      <c r="EG141" t="inlineStr"/>
      <c r="EH141" t="inlineStr"/>
      <c r="EI141" t="inlineStr"/>
      <c r="EJ141" t="inlineStr"/>
      <c r="EK141" t="inlineStr"/>
      <c r="EL141" t="inlineStr"/>
      <c r="EM141" t="inlineStr"/>
      <c r="EN141" t="inlineStr"/>
      <c r="EO141" t="inlineStr"/>
      <c r="EP141" t="inlineStr"/>
      <c r="EQ141" t="inlineStr"/>
      <c r="ER141" t="inlineStr"/>
      <c r="ES141" t="inlineStr"/>
      <c r="ET141" t="inlineStr"/>
      <c r="EU141" t="inlineStr"/>
      <c r="EV141" t="inlineStr"/>
      <c r="EW141" t="inlineStr"/>
      <c r="EX141" t="inlineStr"/>
      <c r="EY141" t="inlineStr"/>
      <c r="EZ141" t="inlineStr"/>
      <c r="FA141" t="inlineStr"/>
      <c r="FB141" t="inlineStr"/>
      <c r="FC141" t="inlineStr"/>
      <c r="FD141" t="inlineStr"/>
      <c r="FE141" t="inlineStr"/>
      <c r="FF141" t="inlineStr"/>
      <c r="FG141" t="inlineStr"/>
      <c r="FH141" t="inlineStr"/>
      <c r="FI141" t="inlineStr"/>
      <c r="FJ141" t="inlineStr"/>
      <c r="FK141" t="inlineStr"/>
      <c r="FL141" t="inlineStr"/>
      <c r="FM141" t="inlineStr"/>
      <c r="FN141" t="inlineStr"/>
      <c r="FO141" t="inlineStr"/>
      <c r="FP141" t="inlineStr"/>
      <c r="FQ141" t="inlineStr"/>
      <c r="FR141" t="inlineStr"/>
      <c r="FS141" t="inlineStr"/>
      <c r="FT141" t="inlineStr"/>
      <c r="FU141" t="inlineStr"/>
      <c r="FV141" t="inlineStr"/>
      <c r="FW141" t="inlineStr"/>
      <c r="FX141" t="inlineStr"/>
      <c r="FY141" t="inlineStr"/>
      <c r="FZ141" t="inlineStr"/>
      <c r="GA141" t="inlineStr"/>
      <c r="GB141" t="inlineStr"/>
      <c r="GC141" t="inlineStr"/>
      <c r="GD141" t="inlineStr"/>
      <c r="GE141" t="inlineStr"/>
      <c r="GF141" t="inlineStr"/>
      <c r="GG141" t="inlineStr"/>
      <c r="GH141" t="inlineStr"/>
      <c r="GI141" t="inlineStr"/>
      <c r="GJ141" t="inlineStr"/>
      <c r="GK141" t="inlineStr"/>
      <c r="GL141" t="inlineStr"/>
      <c r="GM141" t="inlineStr"/>
      <c r="GN141" t="inlineStr"/>
      <c r="GO141" t="inlineStr"/>
      <c r="GP141" t="inlineStr"/>
      <c r="GQ141" t="inlineStr"/>
      <c r="GR141" t="inlineStr"/>
      <c r="GS141" t="inlineStr"/>
      <c r="GT141" t="inlineStr"/>
      <c r="GU141" t="inlineStr"/>
      <c r="GV141" t="inlineStr"/>
      <c r="GW141" t="inlineStr"/>
      <c r="GX141" t="inlineStr"/>
      <c r="GY141" t="inlineStr"/>
      <c r="GZ141" t="inlineStr"/>
      <c r="HA141" t="inlineStr"/>
      <c r="HB141" t="inlineStr"/>
      <c r="HC141" t="inlineStr"/>
      <c r="HD141" t="inlineStr"/>
      <c r="HE141" t="inlineStr"/>
      <c r="HF141" t="inlineStr"/>
      <c r="HG141" t="inlineStr"/>
      <c r="HH141" t="inlineStr"/>
      <c r="HI141" t="inlineStr"/>
      <c r="HJ141" t="inlineStr"/>
      <c r="HK141" t="inlineStr"/>
      <c r="HL141" t="inlineStr"/>
      <c r="HM141" t="inlineStr"/>
      <c r="HN141" t="inlineStr"/>
      <c r="HO141" t="inlineStr"/>
      <c r="HP141" t="inlineStr"/>
      <c r="HQ141" t="inlineStr"/>
      <c r="HR141" t="inlineStr"/>
      <c r="HS141" t="inlineStr"/>
      <c r="HT141" t="inlineStr"/>
      <c r="HU141" t="inlineStr"/>
      <c r="HV141" t="inlineStr"/>
      <c r="HW141" t="inlineStr"/>
      <c r="HX141" t="inlineStr"/>
      <c r="HY141" t="inlineStr">
        <is>
          <t>924</t>
        </is>
      </c>
      <c r="HZ141" t="inlineStr">
        <is>
          <t>News (924)</t>
        </is>
      </c>
      <c r="IA141" t="inlineStr"/>
      <c r="IB141" t="inlineStr"/>
      <c r="IC141" t="inlineStr"/>
      <c r="ID141" t="inlineStr"/>
      <c r="IE141" t="inlineStr"/>
      <c r="IF141" t="inlineStr"/>
      <c r="IG141" t="inlineStr"/>
      <c r="IH141" t="inlineStr"/>
      <c r="II141" t="inlineStr"/>
      <c r="IJ141" t="inlineStr"/>
      <c r="IK141" t="inlineStr"/>
      <c r="IL141" t="inlineStr"/>
      <c r="IM141" t="inlineStr"/>
      <c r="IN141" t="inlineStr"/>
      <c r="IO141" t="inlineStr"/>
      <c r="IP141" t="inlineStr"/>
      <c r="IQ141" t="inlineStr"/>
      <c r="IR141" t="inlineStr"/>
      <c r="IS141">
        <f>IF(input_content_type="",FALSE,ISNUMBER(SEARCH(","&amp;LOWER(input_content_type)&amp;",",","&amp;LOWER(F141)&amp;",")))</f>
        <v/>
      </c>
      <c r="IT141">
        <f>AND(IF(M141="",TRUE,IF(input_affiliations="",FALSE,SUMPRODUCT(--ISNUMBER(SEARCH(","&amp;TRIM(TEXTSPLIT(M141,","))&amp;",",","&amp;SUBSTITUTE(input_affiliations," ","")&amp;",")))&gt;0)),IF(O141="",TRUE,IF(input_affiliations="",FALSE,SUMPRODUCT(--ISNUMBER(SEARCH(","&amp;TRIM(TEXTSPLIT(O141,","))&amp;",",","&amp;SUBSTITUTE(input_affiliations," ","")&amp;",")))=COUNTA(TEXTSPLIT(O141,",")))),IF(Q141="",TRUE,IF(input_affiliations="",TRUE,SUMPRODUCT(--ISNUMBER(SEARCH(","&amp;TRIM(TEXTSPLIT(Q141,","))&amp;",",","&amp;SUBSTITUTE(input_affiliations," ","")&amp;",")))=0)),IF(S141="",TRUE,IF(input_affiliations="",FALSE,SUMPRODUCT(--ISNUMBER(SEARCH(","&amp;TRIM(TEXTSPLIT(S141,","))&amp;",",","&amp;SUBSTITUTE(input_affiliations," ","")&amp;",")))&gt;0)),IF(U141="",TRUE,IF(input_affiliations="",FALSE,SUMPRODUCT(--ISNUMBER(SEARCH(","&amp;TRIM(TEXTSPLIT(U141,","))&amp;",",","&amp;SUBSTITUTE(input_affiliations," ","")&amp;",")))=COUNTA(TEXTSPLIT(U141,",")))))</f>
        <v/>
      </c>
      <c r="IU141">
        <f>AND(IF(W141="",TRUE,IF(input_announcement_category="",FALSE,SUMPRODUCT(--ISNUMBER(SEARCH(","&amp;TRIM(TEXTSPLIT(W141,","))&amp;",",","&amp;SUBSTITUTE(input_announcement_category," ","")&amp;",")))&gt;0)),IF(Y141="",TRUE,IF(input_announcement_category="",FALSE,SUMPRODUCT(--ISNUMBER(SEARCH(","&amp;TRIM(TEXTSPLIT(Y141,","))&amp;",",","&amp;SUBSTITUTE(input_announcement_category," ","")&amp;",")))=COUNTA(TEXTSPLIT(Y141,",")))),IF(AA141="",TRUE,IF(input_announcement_category="",TRUE,SUMPRODUCT(--ISNUMBER(SEARCH(","&amp;TRIM(TEXTSPLIT(AA141,","))&amp;",",","&amp;SUBSTITUTE(input_announcement_category," ","")&amp;",")))=0)),IF(AC141="",TRUE,IF(input_announcement_category="",FALSE,SUMPRODUCT(--ISNUMBER(SEARCH(","&amp;TRIM(TEXTSPLIT(AC141,","))&amp;",",","&amp;SUBSTITUTE(input_announcement_category," ","")&amp;",")))&gt;0)),IF(AE141="",TRUE,IF(input_announcement_category="",FALSE,SUMPRODUCT(--ISNUMBER(SEARCH(","&amp;TRIM(TEXTSPLIT(AE141,","))&amp;",",","&amp;SUBSTITUTE(input_announcement_category," ","")&amp;",")))=COUNTA(TEXTSPLIT(AE141,",")))))</f>
        <v/>
      </c>
      <c r="IV141">
        <f>AND(IF(AG141="",TRUE,IF(input_area_of_focus="",FALSE,SUMPRODUCT(--ISNUMBER(SEARCH(","&amp;TRIM(TEXTSPLIT(AG141,","))&amp;",",","&amp;SUBSTITUTE(input_area_of_focus," ","")&amp;",")))&gt;0)),IF(AI141="",TRUE,IF(input_area_of_focus="",FALSE,SUMPRODUCT(--ISNUMBER(SEARCH(","&amp;TRIM(TEXTSPLIT(AI141,","))&amp;",",","&amp;SUBSTITUTE(input_area_of_focus," ","")&amp;",")))=COUNTA(TEXTSPLIT(AI141,",")))),IF(AK141="",TRUE,IF(input_area_of_focus="",TRUE,SUMPRODUCT(--ISNUMBER(SEARCH(","&amp;TRIM(TEXTSPLIT(AK141,","))&amp;",",","&amp;SUBSTITUTE(input_area_of_focus," ","")&amp;",")))=0)),IF(AM141="",TRUE,IF(input_area_of_focus="",FALSE,SUMPRODUCT(--ISNUMBER(SEARCH(","&amp;TRIM(TEXTSPLIT(AM141,","))&amp;",",","&amp;SUBSTITUTE(input_area_of_focus," ","")&amp;",")))&gt;0)),IF(AO141="",TRUE,IF(input_area_of_focus="",FALSE,SUMPRODUCT(--ISNUMBER(SEARCH(","&amp;TRIM(TEXTSPLIT(AO141,","))&amp;",",","&amp;SUBSTITUTE(input_area_of_focus," ","")&amp;",")))=COUNTA(TEXTSPLIT(AO141,",")))))</f>
        <v/>
      </c>
      <c r="IW141">
        <f>AND(IF(AQ141="",TRUE,IF(input_audience="",FALSE,SUMPRODUCT(--ISNUMBER(SEARCH(","&amp;TRIM(TEXTSPLIT(AQ141,","))&amp;",",","&amp;SUBSTITUTE(input_audience," ","")&amp;",")))&gt;0)),IF(AS141="",TRUE,IF(input_audience="",FALSE,SUMPRODUCT(--ISNUMBER(SEARCH(","&amp;TRIM(TEXTSPLIT(AS141,","))&amp;",",","&amp;SUBSTITUTE(input_audience," ","")&amp;",")))=COUNTA(TEXTSPLIT(AS141,",")))),IF(AU141="",TRUE,IF(input_audience="",TRUE,SUMPRODUCT(--ISNUMBER(SEARCH(","&amp;TRIM(TEXTSPLIT(AU141,","))&amp;",",","&amp;SUBSTITUTE(input_audience," ","")&amp;",")))=0)),IF(AW141="",TRUE,IF(input_audience="",FALSE,SUMPRODUCT(--ISNUMBER(SEARCH(","&amp;TRIM(TEXTSPLIT(AW141,","))&amp;",",","&amp;SUBSTITUTE(input_audience," ","")&amp;",")))&gt;0)),IF(AY141="",TRUE,IF(input_audience="",FALSE,SUMPRODUCT(--ISNUMBER(SEARCH(","&amp;TRIM(TEXTSPLIT(AY141,","))&amp;",",","&amp;SUBSTITUTE(input_audience," ","")&amp;",")))=COUNTA(TEXTSPLIT(AY141,",")))))</f>
        <v/>
      </c>
      <c r="IX141">
        <f>AND(IF(BA141="",TRUE,IF(input_challenge_opportunities="",FALSE,SUMPRODUCT(--ISNUMBER(SEARCH(","&amp;TRIM(TEXTSPLIT(BA141,","))&amp;",",","&amp;SUBSTITUTE(input_challenge_opportunities," ","")&amp;",")))&gt;0)),IF(BC141="",TRUE,IF(input_challenge_opportunities="",FALSE,SUMPRODUCT(--ISNUMBER(SEARCH(","&amp;TRIM(TEXTSPLIT(BC141,","))&amp;",",","&amp;SUBSTITUTE(input_challenge_opportunities," ","")&amp;",")))=COUNTA(TEXTSPLIT(BC141,",")))),IF(BE141="",TRUE,IF(input_challenge_opportunities="",TRUE,SUMPRODUCT(--ISNUMBER(SEARCH(","&amp;TRIM(TEXTSPLIT(BE141,","))&amp;",",","&amp;SUBSTITUTE(input_challenge_opportunities," ","")&amp;",")))=0)),IF(BG141="",TRUE,IF(input_challenge_opportunities="",FALSE,SUMPRODUCT(--ISNUMBER(SEARCH(","&amp;TRIM(TEXTSPLIT(BG141,","))&amp;",",","&amp;SUBSTITUTE(input_challenge_opportunities," ","")&amp;",")))&gt;0)),IF(BI141="",TRUE,IF(input_challenge_opportunities="",FALSE,SUMPRODUCT(--ISNUMBER(SEARCH(","&amp;TRIM(TEXTSPLIT(BI141,","))&amp;",",","&amp;SUBSTITUTE(input_challenge_opportunities," ","")&amp;",")))=COUNTA(TEXTSPLIT(BI141,",")))))</f>
        <v/>
      </c>
      <c r="IY141">
        <f>AND(IF(BK141="",TRUE,IF(input_context="",FALSE,SUMPRODUCT(--ISNUMBER(SEARCH(","&amp;TRIM(TEXTSPLIT(BK141,","))&amp;",",","&amp;SUBSTITUTE(input_context," ","")&amp;",")))&gt;0)),IF(BM141="",TRUE,IF(input_context="",FALSE,SUMPRODUCT(--ISNUMBER(SEARCH(","&amp;TRIM(TEXTSPLIT(BM141,","))&amp;",",","&amp;SUBSTITUTE(input_context," ","")&amp;",")))=COUNTA(TEXTSPLIT(BM141,",")))),IF(BO141="",TRUE,IF(input_context="",TRUE,SUMPRODUCT(--ISNUMBER(SEARCH(","&amp;TRIM(TEXTSPLIT(BO141,","))&amp;",",","&amp;SUBSTITUTE(input_context," ","")&amp;",")))=0)),IF(BQ141="",TRUE,IF(input_context="",FALSE,SUMPRODUCT(--ISNUMBER(SEARCH(","&amp;TRIM(TEXTSPLIT(BQ141,","))&amp;",",","&amp;SUBSTITUTE(input_context," ","")&amp;",")))&gt;0)),IF(BS141="",TRUE,IF(input_context="",FALSE,SUMPRODUCT(--ISNUMBER(SEARCH(","&amp;TRIM(TEXTSPLIT(BS141,","))&amp;",",","&amp;SUBSTITUTE(input_context," ","")&amp;",")))=COUNTA(TEXTSPLIT(BS141,",")))))</f>
        <v/>
      </c>
      <c r="IZ141">
        <f>AND(IF(BU141="",TRUE,IF(input_enews_announcement_type="",FALSE,SUMPRODUCT(--ISNUMBER(SEARCH(","&amp;TRIM(TEXTSPLIT(BU141,","))&amp;",",","&amp;SUBSTITUTE(input_enews_announcement_type," ","")&amp;",")))&gt;0)),IF(BW141="",TRUE,IF(input_enews_announcement_type="",FALSE,SUMPRODUCT(--ISNUMBER(SEARCH(","&amp;TRIM(TEXTSPLIT(BW141,","))&amp;",",","&amp;SUBSTITUTE(input_enews_announcement_type," ","")&amp;",")))=COUNTA(TEXTSPLIT(BW141,",")))),IF(BY141="",TRUE,IF(input_enews_announcement_type="",TRUE,SUMPRODUCT(--ISNUMBER(SEARCH(","&amp;TRIM(TEXTSPLIT(BY141,","))&amp;",",","&amp;SUBSTITUTE(input_enews_announcement_type," ","")&amp;",")))=0)),IF(CA141="",TRUE,IF(input_enews_announcement_type="",FALSE,SUMPRODUCT(--ISNUMBER(SEARCH(","&amp;TRIM(TEXTSPLIT(CA141,","))&amp;",",","&amp;SUBSTITUTE(input_enews_announcement_type," ","")&amp;",")))&gt;0)),IF(CC141="",TRUE,IF(input_enews_announcement_type="",FALSE,SUMPRODUCT(--ISNUMBER(SEARCH(","&amp;TRIM(TEXTSPLIT(CC141,","))&amp;",",","&amp;SUBSTITUTE(input_enews_announcement_type," ","")&amp;",")))=COUNTA(TEXTSPLIT(CC141,",")))))</f>
        <v/>
      </c>
      <c r="JA141">
        <f>AND(IF(CE141="",TRUE,IF(input_enews_audience="",FALSE,SUMPRODUCT(--ISNUMBER(SEARCH(","&amp;TRIM(TEXTSPLIT(CE141,","))&amp;",",","&amp;SUBSTITUTE(input_enews_audience," ","")&amp;",")))&gt;0)),IF(CG141="",TRUE,IF(input_enews_audience="",FALSE,SUMPRODUCT(--ISNUMBER(SEARCH(","&amp;TRIM(TEXTSPLIT(CG141,","))&amp;",",","&amp;SUBSTITUTE(input_enews_audience," ","")&amp;",")))=COUNTA(TEXTSPLIT(CG141,",")))),IF(CI141="",TRUE,IF(input_enews_audience="",TRUE,SUMPRODUCT(--ISNUMBER(SEARCH(","&amp;TRIM(TEXTSPLIT(CI141,","))&amp;",",","&amp;SUBSTITUTE(input_enews_audience," ","")&amp;",")))=0)),IF(CK141="",TRUE,IF(input_enews_audience="",FALSE,SUMPRODUCT(--ISNUMBER(SEARCH(","&amp;TRIM(TEXTSPLIT(CK141,","))&amp;",",","&amp;SUBSTITUTE(input_enews_audience," ","")&amp;",")))&gt;0)),IF(CM141="",TRUE,IF(input_enews_audience="",FALSE,SUMPRODUCT(--ISNUMBER(SEARCH(","&amp;TRIM(TEXTSPLIT(CM141,","))&amp;",",","&amp;SUBSTITUTE(input_enews_audience," ","")&amp;",")))=COUNTA(TEXTSPLIT(CM141,",")))))</f>
        <v/>
      </c>
      <c r="JB141">
        <f>AND(IF(CO141="",TRUE,IF(input_event_location="",FALSE,SUMPRODUCT(--ISNUMBER(SEARCH(","&amp;TRIM(TEXTSPLIT(CO141,","))&amp;",",","&amp;SUBSTITUTE(input_event_location," ","")&amp;",")))&gt;0)),IF(CQ141="",TRUE,IF(input_event_location="",FALSE,SUMPRODUCT(--ISNUMBER(SEARCH(","&amp;TRIM(TEXTSPLIT(CQ141,","))&amp;",",","&amp;SUBSTITUTE(input_event_location," ","")&amp;",")))=COUNTA(TEXTSPLIT(CQ141,",")))),IF(CS141="",TRUE,IF(input_event_location="",TRUE,SUMPRODUCT(--ISNUMBER(SEARCH(","&amp;TRIM(TEXTSPLIT(CS141,","))&amp;",",","&amp;SUBSTITUTE(input_event_location," ","")&amp;",")))=0)),IF(CU141="",TRUE,IF(input_event_location="",FALSE,SUMPRODUCT(--ISNUMBER(SEARCH(","&amp;TRIM(TEXTSPLIT(CU141,","))&amp;",",","&amp;SUBSTITUTE(input_event_location," ","")&amp;",")))&gt;0)),IF(CW141="",TRUE,IF(input_event_location="",FALSE,SUMPRODUCT(--ISNUMBER(SEARCH(","&amp;TRIM(TEXTSPLIT(CW141,","))&amp;",",","&amp;SUBSTITUTE(input_event_location," ","")&amp;",")))=COUNTA(TEXTSPLIT(CW141,",")))))</f>
        <v/>
      </c>
      <c r="JC141">
        <f>AND(IF(CY141="",TRUE,IF(input_event_type="",FALSE,SUMPRODUCT(--ISNUMBER(SEARCH(","&amp;TRIM(TEXTSPLIT(CY141,","))&amp;",",","&amp;SUBSTITUTE(input_event_type," ","")&amp;",")))&gt;0)),IF(DA141="",TRUE,IF(input_event_type="",FALSE,SUMPRODUCT(--ISNUMBER(SEARCH(","&amp;TRIM(TEXTSPLIT(DA141,","))&amp;",",","&amp;SUBSTITUTE(input_event_type," ","")&amp;",")))=COUNTA(TEXTSPLIT(DA141,",")))),IF(DC141="",TRUE,IF(input_event_type="",TRUE,SUMPRODUCT(--ISNUMBER(SEARCH(","&amp;TRIM(TEXTSPLIT(DC141,","))&amp;",",","&amp;SUBSTITUTE(input_event_type," ","")&amp;",")))=0)),IF(DE141="",TRUE,IF(input_event_type="",FALSE,SUMPRODUCT(--ISNUMBER(SEARCH(","&amp;TRIM(TEXTSPLIT(DE141,","))&amp;",",","&amp;SUBSTITUTE(input_event_type," ","")&amp;",")))&gt;0)),IF(DG141="",TRUE,IF(input_event_type="",FALSE,SUMPRODUCT(--ISNUMBER(SEARCH(","&amp;TRIM(TEXTSPLIT(DG141,","))&amp;",",","&amp;SUBSTITUTE(input_event_type," ","")&amp;",")))=COUNTA(TEXTSPLIT(DG141,",")))))</f>
        <v/>
      </c>
      <c r="JD141">
        <f>AND(IF(DI141="",TRUE,IF(input_executive_education_focus="",FALSE,SUMPRODUCT(--ISNUMBER(SEARCH(","&amp;TRIM(TEXTSPLIT(DI141,","))&amp;",",","&amp;SUBSTITUTE(input_executive_education_focus," ","")&amp;",")))&gt;0)),IF(DK141="",TRUE,IF(input_executive_education_focus="",FALSE,SUMPRODUCT(--ISNUMBER(SEARCH(","&amp;TRIM(TEXTSPLIT(DK141,","))&amp;",",","&amp;SUBSTITUTE(input_executive_education_focus," ","")&amp;",")))=COUNTA(TEXTSPLIT(DK141,",")))),IF(DM141="",TRUE,IF(input_executive_education_focus="",TRUE,SUMPRODUCT(--ISNUMBER(SEARCH(","&amp;TRIM(TEXTSPLIT(DM141,","))&amp;",",","&amp;SUBSTITUTE(input_executive_education_focus," ","")&amp;",")))=0)),IF(DO141="",TRUE,IF(input_executive_education_focus="",FALSE,SUMPRODUCT(--ISNUMBER(SEARCH(","&amp;TRIM(TEXTSPLIT(DO141,","))&amp;",",","&amp;SUBSTITUTE(input_executive_education_focus," ","")&amp;",")))&gt;0)),IF(DQ141="",TRUE,IF(input_executive_education_focus="",FALSE,SUMPRODUCT(--ISNUMBER(SEARCH(","&amp;TRIM(TEXTSPLIT(DQ141,","))&amp;",",","&amp;SUBSTITUTE(input_executive_education_focus," ","")&amp;",")))=COUNTA(TEXTSPLIT(DQ141,",")))))</f>
        <v/>
      </c>
      <c r="JE141">
        <f>AND(IF(DS141="",TRUE,IF(input_faculty_category="",FALSE,SUMPRODUCT(--ISNUMBER(SEARCH(","&amp;TRIM(TEXTSPLIT(DS141,","))&amp;",",","&amp;SUBSTITUTE(input_faculty_category," ","")&amp;",")))&gt;0)),IF(DU141="",TRUE,IF(input_faculty_category="",FALSE,SUMPRODUCT(--ISNUMBER(SEARCH(","&amp;TRIM(TEXTSPLIT(DU141,","))&amp;",",","&amp;SUBSTITUTE(input_faculty_category," ","")&amp;",")))=COUNTA(TEXTSPLIT(DU141,",")))),IF(DW141="",TRUE,IF(input_faculty_category="",TRUE,SUMPRODUCT(--ISNUMBER(SEARCH(","&amp;TRIM(TEXTSPLIT(DW141,","))&amp;",",","&amp;SUBSTITUTE(input_faculty_category," ","")&amp;",")))=0)),IF(DY141="",TRUE,IF(input_faculty_category="",FALSE,SUMPRODUCT(--ISNUMBER(SEARCH(","&amp;TRIM(TEXTSPLIT(DY141,","))&amp;",",","&amp;SUBSTITUTE(input_faculty_category," ","")&amp;",")))&gt;0)),IF(EA141="",TRUE,IF(input_faculty_category="",FALSE,SUMPRODUCT(--ISNUMBER(SEARCH(","&amp;TRIM(TEXTSPLIT(EA141,","))&amp;",",","&amp;SUBSTITUTE(input_faculty_category," ","")&amp;",")))=COUNTA(TEXTSPLIT(EA141,",")))))</f>
        <v/>
      </c>
      <c r="JF141">
        <f>AND(IF(EC141="",TRUE,IF(input_faculty_discipline="",FALSE,SUMPRODUCT(--ISNUMBER(SEARCH(","&amp;TRIM(TEXTSPLIT(EC141,","))&amp;",",","&amp;SUBSTITUTE(input_faculty_discipline," ","")&amp;",")))&gt;0)),IF(EE141="",TRUE,IF(input_faculty_discipline="",FALSE,SUMPRODUCT(--ISNUMBER(SEARCH(","&amp;TRIM(TEXTSPLIT(EE141,","))&amp;",",","&amp;SUBSTITUTE(input_faculty_discipline," ","")&amp;",")))=COUNTA(TEXTSPLIT(EE141,",")))),IF(EG141="",TRUE,IF(input_faculty_discipline="",TRUE,SUMPRODUCT(--ISNUMBER(SEARCH(","&amp;TRIM(TEXTSPLIT(EG141,","))&amp;",",","&amp;SUBSTITUTE(input_faculty_discipline," ","")&amp;",")))=0)),IF(EI141="",TRUE,IF(input_faculty_discipline="",FALSE,SUMPRODUCT(--ISNUMBER(SEARCH(","&amp;TRIM(TEXTSPLIT(EI141,","))&amp;",",","&amp;SUBSTITUTE(input_faculty_discipline," ","")&amp;",")))&gt;0)),IF(EK141="",TRUE,IF(input_faculty_discipline="",FALSE,SUMPRODUCT(--ISNUMBER(SEARCH(","&amp;TRIM(TEXTSPLIT(EK141,","))&amp;",",","&amp;SUBSTITUTE(input_faculty_discipline," ","")&amp;",")))=COUNTA(TEXTSPLIT(EK141,",")))))</f>
        <v/>
      </c>
      <c r="JG141">
        <f>AND(IF(EM141="",TRUE,IF(input_faculty_expertise="",FALSE,SUMPRODUCT(--ISNUMBER(SEARCH(","&amp;TRIM(TEXTSPLIT(EM141,","))&amp;",",","&amp;SUBSTITUTE(input_faculty_expertise," ","")&amp;",")))&gt;0)),IF(EO141="",TRUE,IF(input_faculty_expertise="",FALSE,SUMPRODUCT(--ISNUMBER(SEARCH(","&amp;TRIM(TEXTSPLIT(EO141,","))&amp;",",","&amp;SUBSTITUTE(input_faculty_expertise," ","")&amp;",")))=COUNTA(TEXTSPLIT(EO141,",")))),IF(EQ141="",TRUE,IF(input_faculty_expertise="",TRUE,SUMPRODUCT(--ISNUMBER(SEARCH(","&amp;TRIM(TEXTSPLIT(EQ141,","))&amp;",",","&amp;SUBSTITUTE(input_faculty_expertise," ","")&amp;",")))=0)),IF(ES141="",TRUE,IF(input_faculty_expertise="",FALSE,SUMPRODUCT(--ISNUMBER(SEARCH(","&amp;TRIM(TEXTSPLIT(ES141,","))&amp;",",","&amp;SUBSTITUTE(input_faculty_expertise," ","")&amp;",")))&gt;0)),IF(EU141="",TRUE,IF(input_faculty_expertise="",FALSE,SUMPRODUCT(--ISNUMBER(SEARCH(","&amp;TRIM(TEXTSPLIT(EU141,","))&amp;",",","&amp;SUBSTITUTE(input_faculty_expertise," ","")&amp;",")))=COUNTA(TEXTSPLIT(EU141,",")))))</f>
        <v/>
      </c>
      <c r="JH141">
        <f>AND(IF(EW141="",TRUE,IF(input_global_network_school="",FALSE,SUMPRODUCT(--ISNUMBER(SEARCH(","&amp;TRIM(TEXTSPLIT(EW141,","))&amp;",",","&amp;SUBSTITUTE(input_global_network_school," ","")&amp;",")))&gt;0)),IF(EY141="",TRUE,IF(input_global_network_school="",FALSE,SUMPRODUCT(--ISNUMBER(SEARCH(","&amp;TRIM(TEXTSPLIT(EY141,","))&amp;",",","&amp;SUBSTITUTE(input_global_network_school," ","")&amp;",")))=COUNTA(TEXTSPLIT(EY141,",")))),IF(FA141="",TRUE,IF(input_global_network_school="",TRUE,SUMPRODUCT(--ISNUMBER(SEARCH(","&amp;TRIM(TEXTSPLIT(FA141,","))&amp;",",","&amp;SUBSTITUTE(input_global_network_school," ","")&amp;",")))=0)),IF(FC141="",TRUE,IF(input_global_network_school="",FALSE,SUMPRODUCT(--ISNUMBER(SEARCH(","&amp;TRIM(TEXTSPLIT(FC141,","))&amp;",",","&amp;SUBSTITUTE(input_global_network_school," ","")&amp;",")))&gt;0)),IF(FE141="",TRUE,IF(input_global_network_school="",FALSE,SUMPRODUCT(--ISNUMBER(SEARCH(","&amp;TRIM(TEXTSPLIT(FE141,","))&amp;",",","&amp;SUBSTITUTE(input_global_network_school," ","")&amp;",")))=COUNTA(TEXTSPLIT(FE141,",")))))</f>
        <v/>
      </c>
      <c r="JI141">
        <f>AND(IF(FG141="",TRUE,IF(input_industry="",FALSE,SUMPRODUCT(--ISNUMBER(SEARCH(","&amp;TRIM(TEXTSPLIT(FG141,","))&amp;",",","&amp;SUBSTITUTE(input_industry," ","")&amp;",")))&gt;0)),IF(FI141="",TRUE,IF(input_industry="",FALSE,SUMPRODUCT(--ISNUMBER(SEARCH(","&amp;TRIM(TEXTSPLIT(FI141,","))&amp;",",","&amp;SUBSTITUTE(input_industry," ","")&amp;",")))=COUNTA(TEXTSPLIT(FI141,",")))),IF(FK141="",TRUE,IF(input_industry="",TRUE,SUMPRODUCT(--ISNUMBER(SEARCH(","&amp;TRIM(TEXTSPLIT(FK141,","))&amp;",",","&amp;SUBSTITUTE(input_industry," ","")&amp;",")))=0)),IF(FM141="",TRUE,IF(input_industry="",FALSE,SUMPRODUCT(--ISNUMBER(SEARCH(","&amp;TRIM(TEXTSPLIT(FM141,","))&amp;",",","&amp;SUBSTITUTE(input_industry," ","")&amp;",")))&gt;0)),IF(FO141="",TRUE,IF(input_industry="",FALSE,SUMPRODUCT(--ISNUMBER(SEARCH(","&amp;TRIM(TEXTSPLIT(FO141,","))&amp;",",","&amp;SUBSTITUTE(input_industry," ","")&amp;",")))=COUNTA(TEXTSPLIT(FO141,",")))))</f>
        <v/>
      </c>
      <c r="JJ141">
        <f>AND(IF(FQ141="",TRUE,IF(input_location="",FALSE,SUMPRODUCT(--ISNUMBER(SEARCH(","&amp;TRIM(TEXTSPLIT(FQ141,","))&amp;",",","&amp;SUBSTITUTE(input_location," ","")&amp;",")))&gt;0)),IF(FS141="",TRUE,IF(input_location="",FALSE,SUMPRODUCT(--ISNUMBER(SEARCH(","&amp;TRIM(TEXTSPLIT(FS141,","))&amp;",",","&amp;SUBSTITUTE(input_location," ","")&amp;",")))=COUNTA(TEXTSPLIT(FS141,",")))),IF(FU141="",TRUE,IF(input_location="",TRUE,SUMPRODUCT(--ISNUMBER(SEARCH(","&amp;TRIM(TEXTSPLIT(FU141,","))&amp;",",","&amp;SUBSTITUTE(input_location," ","")&amp;",")))=0)),IF(FW141="",TRUE,IF(input_location="",FALSE,SUMPRODUCT(--ISNUMBER(SEARCH(","&amp;TRIM(TEXTSPLIT(FW141,","))&amp;",",","&amp;SUBSTITUTE(input_location," ","")&amp;",")))&gt;0)),IF(FY141="",TRUE,IF(input_location="",FALSE,SUMPRODUCT(--ISNUMBER(SEARCH(","&amp;TRIM(TEXTSPLIT(FY141,","))&amp;",",","&amp;SUBSTITUTE(input_location," ","")&amp;",")))=COUNTA(TEXTSPLIT(FY141,",")))))</f>
        <v/>
      </c>
      <c r="JK141">
        <f>AND(IF(GA141="",TRUE,IF(input_modality="",FALSE,SUMPRODUCT(--ISNUMBER(SEARCH(","&amp;TRIM(TEXTSPLIT(GA141,","))&amp;",",","&amp;SUBSTITUTE(input_modality," ","")&amp;",")))&gt;0)),IF(GC141="",TRUE,IF(input_modality="",FALSE,SUMPRODUCT(--ISNUMBER(SEARCH(","&amp;TRIM(TEXTSPLIT(GC141,","))&amp;",",","&amp;SUBSTITUTE(input_modality," ","")&amp;",")))=COUNTA(TEXTSPLIT(GC141,",")))),IF(GE141="",TRUE,IF(input_modality="",TRUE,SUMPRODUCT(--ISNUMBER(SEARCH(","&amp;TRIM(TEXTSPLIT(GE141,","))&amp;",",","&amp;SUBSTITUTE(input_modality," ","")&amp;",")))=0)),IF(GG141="",TRUE,IF(input_modality="",FALSE,SUMPRODUCT(--ISNUMBER(SEARCH(","&amp;TRIM(TEXTSPLIT(GG141,","))&amp;",",","&amp;SUBSTITUTE(input_modality," ","")&amp;",")))&gt;0)),IF(GI141="",TRUE,IF(input_modality="",FALSE,SUMPRODUCT(--ISNUMBER(SEARCH(","&amp;TRIM(TEXTSPLIT(GI141,","))&amp;",",","&amp;SUBSTITUTE(input_modality," ","")&amp;",")))=COUNTA(TEXTSPLIT(GI141,",")))))</f>
        <v/>
      </c>
      <c r="JL141">
        <f>AND(IF(GK141="",TRUE,IF(input_organizer="",FALSE,SUMPRODUCT(--ISNUMBER(SEARCH(","&amp;TRIM(TEXTSPLIT(GK141,","))&amp;",",","&amp;SUBSTITUTE(input_organizer," ","")&amp;",")))&gt;0)),IF(GM141="",TRUE,IF(input_organizer="",FALSE,SUMPRODUCT(--ISNUMBER(SEARCH(","&amp;TRIM(TEXTSPLIT(GM141,","))&amp;",",","&amp;SUBSTITUTE(input_organizer," ","")&amp;",")))=COUNTA(TEXTSPLIT(GM141,",")))),IF(GO141="",TRUE,IF(input_organizer="",TRUE,SUMPRODUCT(--ISNUMBER(SEARCH(","&amp;TRIM(TEXTSPLIT(GO141,","))&amp;",",","&amp;SUBSTITUTE(input_organizer," ","")&amp;",")))=0)),IF(GQ141="",TRUE,IF(input_organizer="",FALSE,SUMPRODUCT(--ISNUMBER(SEARCH(","&amp;TRIM(TEXTSPLIT(GQ141,","))&amp;",",","&amp;SUBSTITUTE(input_organizer," ","")&amp;",")))&gt;0)),IF(GS141="",TRUE,IF(input_organizer="",FALSE,SUMPRODUCT(--ISNUMBER(SEARCH(","&amp;TRIM(TEXTSPLIT(GS141,","))&amp;",",","&amp;SUBSTITUTE(input_organizer," ","")&amp;",")))=COUNTA(TEXTSPLIT(GS141,",")))))</f>
        <v/>
      </c>
      <c r="JM141">
        <f>AND(IF(GU141="",TRUE,IF(input_profile_type="",FALSE,SUMPRODUCT(--ISNUMBER(SEARCH(","&amp;TRIM(TEXTSPLIT(GU141,","))&amp;",",","&amp;SUBSTITUTE(input_profile_type," ","")&amp;",")))&gt;0)),IF(GW141="",TRUE,IF(input_profile_type="",FALSE,SUMPRODUCT(--ISNUMBER(SEARCH(","&amp;TRIM(TEXTSPLIT(GW141,","))&amp;",",","&amp;SUBSTITUTE(input_profile_type," ","")&amp;",")))=COUNTA(TEXTSPLIT(GW141,",")))),IF(GY141="",TRUE,IF(input_profile_type="",TRUE,SUMPRODUCT(--ISNUMBER(SEARCH(","&amp;TRIM(TEXTSPLIT(GY141,","))&amp;",",","&amp;SUBSTITUTE(input_profile_type," ","")&amp;",")))=0)),IF(HA141="",TRUE,IF(input_profile_type="",FALSE,SUMPRODUCT(--ISNUMBER(SEARCH(","&amp;TRIM(TEXTSPLIT(HA141,","))&amp;",",","&amp;SUBSTITUTE(input_profile_type," ","")&amp;",")))&gt;0)),IF(HC141="",TRUE,IF(input_profile_type="",FALSE,SUMPRODUCT(--ISNUMBER(SEARCH(","&amp;TRIM(TEXTSPLIT(HC141,","))&amp;",",","&amp;SUBSTITUTE(input_profile_type," ","")&amp;",")))=COUNTA(TEXTSPLIT(HC141,",")))))</f>
        <v/>
      </c>
      <c r="JN141">
        <f>AND(IF(HE141="",TRUE,IF(input_program="",FALSE,SUMPRODUCT(--ISNUMBER(SEARCH(","&amp;TRIM(TEXTSPLIT(HE141,","))&amp;",",","&amp;SUBSTITUTE(input_program," ","")&amp;",")))&gt;0)),IF(HG141="",TRUE,IF(input_program="",FALSE,SUMPRODUCT(--ISNUMBER(SEARCH(","&amp;TRIM(TEXTSPLIT(HG141,","))&amp;",",","&amp;SUBSTITUTE(input_program," ","")&amp;",")))=COUNTA(TEXTSPLIT(HG141,",")))),IF(HI141="",TRUE,IF(input_program="",TRUE,SUMPRODUCT(--ISNUMBER(SEARCH(","&amp;TRIM(TEXTSPLIT(HI141,","))&amp;",",","&amp;SUBSTITUTE(input_program," ","")&amp;",")))=0)),IF(HK141="",TRUE,IF(input_program="",FALSE,SUMPRODUCT(--ISNUMBER(SEARCH(","&amp;TRIM(TEXTSPLIT(HK141,","))&amp;",",","&amp;SUBSTITUTE(input_program," ","")&amp;",")))&gt;0)),IF(HM141="",TRUE,IF(input_program="",FALSE,SUMPRODUCT(--ISNUMBER(SEARCH(","&amp;TRIM(TEXTSPLIT(HM141,","))&amp;",",","&amp;SUBSTITUTE(input_program," ","")&amp;",")))=COUNTA(TEXTSPLIT(HM141,",")))))</f>
        <v/>
      </c>
      <c r="JO141">
        <f>AND(IF(HO141="",TRUE,IF(input_story_categories="",FALSE,SUMPRODUCT(--ISNUMBER(SEARCH(","&amp;TRIM(TEXTSPLIT(HO141,","))&amp;",",","&amp;SUBSTITUTE(input_story_categories," ","")&amp;",")))&gt;0)),IF(HQ141="",TRUE,IF(input_story_categories="",FALSE,SUMPRODUCT(--ISNUMBER(SEARCH(","&amp;TRIM(TEXTSPLIT(HQ141,","))&amp;",",","&amp;SUBSTITUTE(input_story_categories," ","")&amp;",")))=COUNTA(TEXTSPLIT(HQ141,",")))),IF(HS141="",TRUE,IF(input_story_categories="",TRUE,SUMPRODUCT(--ISNUMBER(SEARCH(","&amp;TRIM(TEXTSPLIT(HS141,","))&amp;",",","&amp;SUBSTITUTE(input_story_categories," ","")&amp;",")))=0)),IF(HU141="",TRUE,IF(input_story_categories="",FALSE,SUMPRODUCT(--ISNUMBER(SEARCH(","&amp;TRIM(TEXTSPLIT(HU141,","))&amp;",",","&amp;SUBSTITUTE(input_story_categories," ","")&amp;",")))&gt;0)),IF(HW141="",TRUE,IF(input_story_categories="",FALSE,SUMPRODUCT(--ISNUMBER(SEARCH(","&amp;TRIM(TEXTSPLIT(HW141,","))&amp;",",","&amp;SUBSTITUTE(input_story_categories," ","")&amp;",")))=COUNTA(TEXTSPLIT(HW141,",")))))</f>
        <v/>
      </c>
      <c r="JP141">
        <f>AND(IF(HY141="",TRUE,IF(input_story_type="",FALSE,SUMPRODUCT(--ISNUMBER(SEARCH(","&amp;TRIM(TEXTSPLIT(HY141,","))&amp;",",","&amp;SUBSTITUTE(input_story_type," ","")&amp;",")))&gt;0)),IF(IA141="",TRUE,IF(input_story_type="",FALSE,SUMPRODUCT(--ISNUMBER(SEARCH(","&amp;TRIM(TEXTSPLIT(IA141,","))&amp;",",","&amp;SUBSTITUTE(input_story_type," ","")&amp;",")))=COUNTA(TEXTSPLIT(IA141,",")))),IF(IC141="",TRUE,IF(input_story_type="",TRUE,SUMPRODUCT(--ISNUMBER(SEARCH(","&amp;TRIM(TEXTSPLIT(IC141,","))&amp;",",","&amp;SUBSTITUTE(input_story_type," ","")&amp;",")))=0)),IF(IE141="",TRUE,IF(input_story_type="",FALSE,SUMPRODUCT(--ISNUMBER(SEARCH(","&amp;TRIM(TEXTSPLIT(IE141,","))&amp;",",","&amp;SUBSTITUTE(input_story_type," ","")&amp;",")))&gt;0)),IF(IG141="",TRUE,IF(input_story_type="",FALSE,SUMPRODUCT(--ISNUMBER(SEARCH(","&amp;TRIM(TEXTSPLIT(IG141,","))&amp;",",","&amp;SUBSTITUTE(input_story_type," ","")&amp;",")))=COUNTA(TEXTSPLIT(IG141,",")))))</f>
        <v/>
      </c>
      <c r="JQ141">
        <f>AND(IF(II141="",TRUE,IF(input_topics="",FALSE,SUMPRODUCT(--ISNUMBER(SEARCH(","&amp;TRIM(TEXTSPLIT(II141,","))&amp;",",","&amp;SUBSTITUTE(input_topics," ","")&amp;",")))&gt;0)),IF(IK141="",TRUE,IF(input_topics="",FALSE,SUMPRODUCT(--ISNUMBER(SEARCH(","&amp;TRIM(TEXTSPLIT(IK141,","))&amp;",",","&amp;SUBSTITUTE(input_topics," ","")&amp;",")))=COUNTA(TEXTSPLIT(IK141,",")))),IF(IM141="",TRUE,IF(input_topics="",TRUE,SUMPRODUCT(--ISNUMBER(SEARCH(","&amp;TRIM(TEXTSPLIT(IM141,","))&amp;",",","&amp;SUBSTITUTE(input_topics," ","")&amp;",")))=0)),IF(IO141="",TRUE,IF(input_topics="",FALSE,SUMPRODUCT(--ISNUMBER(SEARCH(","&amp;TRIM(TEXTSPLIT(IO141,","))&amp;",",","&amp;SUBSTITUTE(input_topics," ","")&amp;",")))&gt;0)),IF(IQ141="",TRUE,IF(input_topics="",FALSE,SUMPRODUCT(--ISNUMBER(SEARCH(","&amp;TRIM(TEXTSPLIT(IQ141,","))&amp;",",","&amp;SUBSTITUTE(input_topics," ","")&amp;",")))=COUNTA(TEXTSPLIT(IQ141,",")))))</f>
        <v/>
      </c>
    </row>
    <row r="142">
      <c r="A142" s="4">
        <f>IF(NOT(IS142),"Excluded",IF(AND(IT142,IU142,IV142,IW142,IX142,IY142,IZ142,JA142,JB142,JC142,JD142,JE142,JF142,JG142,JH142,JI142,JJ142,JK142,JL142,JM142,JN142,JO142,JP142,JQ142),IF(I142&gt;0,"Eligible but limited","Will appear"),"Excluded"))</f>
        <v/>
      </c>
      <c r="B142" s="4" t="inlineStr">
        <is>
          <t>News - Summary</t>
        </is>
      </c>
      <c r="C142" s="4" t="inlineStr">
        <is>
          <t>/the-som-experience/interests-and-industries/healthcare</t>
        </is>
      </c>
      <c r="D142" s="4" t="inlineStr">
        <is>
          <t>/the-som-experience/interests-and-industries/healthcare</t>
        </is>
      </c>
      <c r="E142" s="4" t="n">
        <v>1</v>
      </c>
      <c r="F142" s="4" t="inlineStr">
        <is>
          <t>story</t>
        </is>
      </c>
      <c r="G142" s="4" t="inlineStr">
        <is>
          <t>stories_mosaic_grid</t>
        </is>
      </c>
      <c r="H142" s="4" t="inlineStr">
        <is>
          <t>embed_news_summary</t>
        </is>
      </c>
      <c r="I142" s="4" t="n">
        <v>1</v>
      </c>
      <c r="J142" s="4" t="inlineStr">
        <is>
          <t>View/config rules</t>
        </is>
      </c>
      <c r="K142" s="4" t="inlineStr">
        <is>
          <t>Page placement</t>
        </is>
      </c>
      <c r="L142" s="4" t="inlineStr">
        <is>
          <t>Content type: story; Needs any Story Type: News (924); Limited to 1 item(s); Source: View/config rules</t>
        </is>
      </c>
      <c r="M142" t="inlineStr"/>
      <c r="N142" t="inlineStr"/>
      <c r="O142" t="inlineStr"/>
      <c r="P142" t="inlineStr"/>
      <c r="Q142" t="inlineStr"/>
      <c r="R142" t="inlineStr"/>
      <c r="S142" t="inlineStr"/>
      <c r="T142" t="inlineStr"/>
      <c r="U142" t="inlineStr"/>
      <c r="V142" t="inlineStr"/>
      <c r="W142" t="inlineStr"/>
      <c r="X142" t="inlineStr"/>
      <c r="Y142" t="inlineStr"/>
      <c r="Z142" t="inlineStr"/>
      <c r="AA142" t="inlineStr"/>
      <c r="AB142" t="inlineStr"/>
      <c r="AC142" t="inlineStr"/>
      <c r="AD142" t="inlineStr"/>
      <c r="AE142" t="inlineStr"/>
      <c r="AF142" t="inlineStr"/>
      <c r="AG142" t="inlineStr"/>
      <c r="AH142" t="inlineStr"/>
      <c r="AI142" t="inlineStr"/>
      <c r="AJ142" t="inlineStr"/>
      <c r="AK142" t="inlineStr"/>
      <c r="AL142" t="inlineStr"/>
      <c r="AM142" t="inlineStr"/>
      <c r="AN142" t="inlineStr"/>
      <c r="AO142" t="inlineStr"/>
      <c r="AP142" t="inlineStr"/>
      <c r="AQ142" t="inlineStr"/>
      <c r="AR142" t="inlineStr"/>
      <c r="AS142" t="inlineStr"/>
      <c r="AT142" t="inlineStr"/>
      <c r="AU142" t="inlineStr"/>
      <c r="AV142" t="inlineStr"/>
      <c r="AW142" t="inlineStr"/>
      <c r="AX142" t="inlineStr"/>
      <c r="AY142" t="inlineStr"/>
      <c r="AZ142" t="inlineStr"/>
      <c r="BA142" t="inlineStr"/>
      <c r="BB142" t="inlineStr"/>
      <c r="BC142" t="inlineStr"/>
      <c r="BD142" t="inlineStr"/>
      <c r="BE142" t="inlineStr"/>
      <c r="BF142" t="inlineStr"/>
      <c r="BG142" t="inlineStr"/>
      <c r="BH142" t="inlineStr"/>
      <c r="BI142" t="inlineStr"/>
      <c r="BJ142" t="inlineStr"/>
      <c r="BK142" t="inlineStr"/>
      <c r="BL142" t="inlineStr"/>
      <c r="BM142" t="inlineStr"/>
      <c r="BN142" t="inlineStr"/>
      <c r="BO142" t="inlineStr"/>
      <c r="BP142" t="inlineStr"/>
      <c r="BQ142" t="inlineStr"/>
      <c r="BR142" t="inlineStr"/>
      <c r="BS142" t="inlineStr"/>
      <c r="BT142" t="inlineStr"/>
      <c r="BU142" t="inlineStr"/>
      <c r="BV142" t="inlineStr"/>
      <c r="BW142" t="inlineStr"/>
      <c r="BX142" t="inlineStr"/>
      <c r="BY142" t="inlineStr"/>
      <c r="BZ142" t="inlineStr"/>
      <c r="CA142" t="inlineStr"/>
      <c r="CB142" t="inlineStr"/>
      <c r="CC142" t="inlineStr"/>
      <c r="CD142" t="inlineStr"/>
      <c r="CE142" t="inlineStr"/>
      <c r="CF142" t="inlineStr"/>
      <c r="CG142" t="inlineStr"/>
      <c r="CH142" t="inlineStr"/>
      <c r="CI142" t="inlineStr"/>
      <c r="CJ142" t="inlineStr"/>
      <c r="CK142" t="inlineStr"/>
      <c r="CL142" t="inlineStr"/>
      <c r="CM142" t="inlineStr"/>
      <c r="CN142" t="inlineStr"/>
      <c r="CO142" t="inlineStr"/>
      <c r="CP142" t="inlineStr"/>
      <c r="CQ142" t="inlineStr"/>
      <c r="CR142" t="inlineStr"/>
      <c r="CS142" t="inlineStr"/>
      <c r="CT142" t="inlineStr"/>
      <c r="CU142" t="inlineStr"/>
      <c r="CV142" t="inlineStr"/>
      <c r="CW142" t="inlineStr"/>
      <c r="CX142" t="inlineStr"/>
      <c r="CY142" t="inlineStr"/>
      <c r="CZ142" t="inlineStr"/>
      <c r="DA142" t="inlineStr"/>
      <c r="DB142" t="inlineStr"/>
      <c r="DC142" t="inlineStr"/>
      <c r="DD142" t="inlineStr"/>
      <c r="DE142" t="inlineStr"/>
      <c r="DF142" t="inlineStr"/>
      <c r="DG142" t="inlineStr"/>
      <c r="DH142" t="inlineStr"/>
      <c r="DI142" t="inlineStr"/>
      <c r="DJ142" t="inlineStr"/>
      <c r="DK142" t="inlineStr"/>
      <c r="DL142" t="inlineStr"/>
      <c r="DM142" t="inlineStr"/>
      <c r="DN142" t="inlineStr"/>
      <c r="DO142" t="inlineStr"/>
      <c r="DP142" t="inlineStr"/>
      <c r="DQ142" t="inlineStr"/>
      <c r="DR142" t="inlineStr"/>
      <c r="DS142" t="inlineStr"/>
      <c r="DT142" t="inlineStr"/>
      <c r="DU142" t="inlineStr"/>
      <c r="DV142" t="inlineStr"/>
      <c r="DW142" t="inlineStr"/>
      <c r="DX142" t="inlineStr"/>
      <c r="DY142" t="inlineStr"/>
      <c r="DZ142" t="inlineStr"/>
      <c r="EA142" t="inlineStr"/>
      <c r="EB142" t="inlineStr"/>
      <c r="EC142" t="inlineStr"/>
      <c r="ED142" t="inlineStr"/>
      <c r="EE142" t="inlineStr"/>
      <c r="EF142" t="inlineStr"/>
      <c r="EG142" t="inlineStr"/>
      <c r="EH142" t="inlineStr"/>
      <c r="EI142" t="inlineStr"/>
      <c r="EJ142" t="inlineStr"/>
      <c r="EK142" t="inlineStr"/>
      <c r="EL142" t="inlineStr"/>
      <c r="EM142" t="inlineStr"/>
      <c r="EN142" t="inlineStr"/>
      <c r="EO142" t="inlineStr"/>
      <c r="EP142" t="inlineStr"/>
      <c r="EQ142" t="inlineStr"/>
      <c r="ER142" t="inlineStr"/>
      <c r="ES142" t="inlineStr"/>
      <c r="ET142" t="inlineStr"/>
      <c r="EU142" t="inlineStr"/>
      <c r="EV142" t="inlineStr"/>
      <c r="EW142" t="inlineStr"/>
      <c r="EX142" t="inlineStr"/>
      <c r="EY142" t="inlineStr"/>
      <c r="EZ142" t="inlineStr"/>
      <c r="FA142" t="inlineStr"/>
      <c r="FB142" t="inlineStr"/>
      <c r="FC142" t="inlineStr"/>
      <c r="FD142" t="inlineStr"/>
      <c r="FE142" t="inlineStr"/>
      <c r="FF142" t="inlineStr"/>
      <c r="FG142" t="inlineStr"/>
      <c r="FH142" t="inlineStr"/>
      <c r="FI142" t="inlineStr"/>
      <c r="FJ142" t="inlineStr"/>
      <c r="FK142" t="inlineStr"/>
      <c r="FL142" t="inlineStr"/>
      <c r="FM142" t="inlineStr"/>
      <c r="FN142" t="inlineStr"/>
      <c r="FO142" t="inlineStr"/>
      <c r="FP142" t="inlineStr"/>
      <c r="FQ142" t="inlineStr"/>
      <c r="FR142" t="inlineStr"/>
      <c r="FS142" t="inlineStr"/>
      <c r="FT142" t="inlineStr"/>
      <c r="FU142" t="inlineStr"/>
      <c r="FV142" t="inlineStr"/>
      <c r="FW142" t="inlineStr"/>
      <c r="FX142" t="inlineStr"/>
      <c r="FY142" t="inlineStr"/>
      <c r="FZ142" t="inlineStr"/>
      <c r="GA142" t="inlineStr"/>
      <c r="GB142" t="inlineStr"/>
      <c r="GC142" t="inlineStr"/>
      <c r="GD142" t="inlineStr"/>
      <c r="GE142" t="inlineStr"/>
      <c r="GF142" t="inlineStr"/>
      <c r="GG142" t="inlineStr"/>
      <c r="GH142" t="inlineStr"/>
      <c r="GI142" t="inlineStr"/>
      <c r="GJ142" t="inlineStr"/>
      <c r="GK142" t="inlineStr"/>
      <c r="GL142" t="inlineStr"/>
      <c r="GM142" t="inlineStr"/>
      <c r="GN142" t="inlineStr"/>
      <c r="GO142" t="inlineStr"/>
      <c r="GP142" t="inlineStr"/>
      <c r="GQ142" t="inlineStr"/>
      <c r="GR142" t="inlineStr"/>
      <c r="GS142" t="inlineStr"/>
      <c r="GT142" t="inlineStr"/>
      <c r="GU142" t="inlineStr"/>
      <c r="GV142" t="inlineStr"/>
      <c r="GW142" t="inlineStr"/>
      <c r="GX142" t="inlineStr"/>
      <c r="GY142" t="inlineStr"/>
      <c r="GZ142" t="inlineStr"/>
      <c r="HA142" t="inlineStr"/>
      <c r="HB142" t="inlineStr"/>
      <c r="HC142" t="inlineStr"/>
      <c r="HD142" t="inlineStr"/>
      <c r="HE142" t="inlineStr"/>
      <c r="HF142" t="inlineStr"/>
      <c r="HG142" t="inlineStr"/>
      <c r="HH142" t="inlineStr"/>
      <c r="HI142" t="inlineStr"/>
      <c r="HJ142" t="inlineStr"/>
      <c r="HK142" t="inlineStr"/>
      <c r="HL142" t="inlineStr"/>
      <c r="HM142" t="inlineStr"/>
      <c r="HN142" t="inlineStr"/>
      <c r="HO142" t="inlineStr"/>
      <c r="HP142" t="inlineStr"/>
      <c r="HQ142" t="inlineStr"/>
      <c r="HR142" t="inlineStr"/>
      <c r="HS142" t="inlineStr"/>
      <c r="HT142" t="inlineStr"/>
      <c r="HU142" t="inlineStr"/>
      <c r="HV142" t="inlineStr"/>
      <c r="HW142" t="inlineStr"/>
      <c r="HX142" t="inlineStr"/>
      <c r="HY142" t="inlineStr">
        <is>
          <t>924</t>
        </is>
      </c>
      <c r="HZ142" t="inlineStr">
        <is>
          <t>News (924)</t>
        </is>
      </c>
      <c r="IA142" t="inlineStr"/>
      <c r="IB142" t="inlineStr"/>
      <c r="IC142" t="inlineStr"/>
      <c r="ID142" t="inlineStr"/>
      <c r="IE142" t="inlineStr"/>
      <c r="IF142" t="inlineStr"/>
      <c r="IG142" t="inlineStr"/>
      <c r="IH142" t="inlineStr"/>
      <c r="II142" t="inlineStr"/>
      <c r="IJ142" t="inlineStr"/>
      <c r="IK142" t="inlineStr"/>
      <c r="IL142" t="inlineStr"/>
      <c r="IM142" t="inlineStr"/>
      <c r="IN142" t="inlineStr"/>
      <c r="IO142" t="inlineStr"/>
      <c r="IP142" t="inlineStr"/>
      <c r="IQ142" t="inlineStr"/>
      <c r="IR142" t="inlineStr"/>
      <c r="IS142">
        <f>IF(input_content_type="",FALSE,ISNUMBER(SEARCH(","&amp;LOWER(input_content_type)&amp;",",","&amp;LOWER(F142)&amp;",")))</f>
        <v/>
      </c>
      <c r="IT142">
        <f>AND(IF(M142="",TRUE,IF(input_affiliations="",FALSE,SUMPRODUCT(--ISNUMBER(SEARCH(","&amp;TRIM(TEXTSPLIT(M142,","))&amp;",",","&amp;SUBSTITUTE(input_affiliations," ","")&amp;",")))&gt;0)),IF(O142="",TRUE,IF(input_affiliations="",FALSE,SUMPRODUCT(--ISNUMBER(SEARCH(","&amp;TRIM(TEXTSPLIT(O142,","))&amp;",",","&amp;SUBSTITUTE(input_affiliations," ","")&amp;",")))=COUNTA(TEXTSPLIT(O142,",")))),IF(Q142="",TRUE,IF(input_affiliations="",TRUE,SUMPRODUCT(--ISNUMBER(SEARCH(","&amp;TRIM(TEXTSPLIT(Q142,","))&amp;",",","&amp;SUBSTITUTE(input_affiliations," ","")&amp;",")))=0)),IF(S142="",TRUE,IF(input_affiliations="",FALSE,SUMPRODUCT(--ISNUMBER(SEARCH(","&amp;TRIM(TEXTSPLIT(S142,","))&amp;",",","&amp;SUBSTITUTE(input_affiliations," ","")&amp;",")))&gt;0)),IF(U142="",TRUE,IF(input_affiliations="",FALSE,SUMPRODUCT(--ISNUMBER(SEARCH(","&amp;TRIM(TEXTSPLIT(U142,","))&amp;",",","&amp;SUBSTITUTE(input_affiliations," ","")&amp;",")))=COUNTA(TEXTSPLIT(U142,",")))))</f>
        <v/>
      </c>
      <c r="IU142">
        <f>AND(IF(W142="",TRUE,IF(input_announcement_category="",FALSE,SUMPRODUCT(--ISNUMBER(SEARCH(","&amp;TRIM(TEXTSPLIT(W142,","))&amp;",",","&amp;SUBSTITUTE(input_announcement_category," ","")&amp;",")))&gt;0)),IF(Y142="",TRUE,IF(input_announcement_category="",FALSE,SUMPRODUCT(--ISNUMBER(SEARCH(","&amp;TRIM(TEXTSPLIT(Y142,","))&amp;",",","&amp;SUBSTITUTE(input_announcement_category," ","")&amp;",")))=COUNTA(TEXTSPLIT(Y142,",")))),IF(AA142="",TRUE,IF(input_announcement_category="",TRUE,SUMPRODUCT(--ISNUMBER(SEARCH(","&amp;TRIM(TEXTSPLIT(AA142,","))&amp;",",","&amp;SUBSTITUTE(input_announcement_category," ","")&amp;",")))=0)),IF(AC142="",TRUE,IF(input_announcement_category="",FALSE,SUMPRODUCT(--ISNUMBER(SEARCH(","&amp;TRIM(TEXTSPLIT(AC142,","))&amp;",",","&amp;SUBSTITUTE(input_announcement_category," ","")&amp;",")))&gt;0)),IF(AE142="",TRUE,IF(input_announcement_category="",FALSE,SUMPRODUCT(--ISNUMBER(SEARCH(","&amp;TRIM(TEXTSPLIT(AE142,","))&amp;",",","&amp;SUBSTITUTE(input_announcement_category," ","")&amp;",")))=COUNTA(TEXTSPLIT(AE142,",")))))</f>
        <v/>
      </c>
      <c r="IV142">
        <f>AND(IF(AG142="",TRUE,IF(input_area_of_focus="",FALSE,SUMPRODUCT(--ISNUMBER(SEARCH(","&amp;TRIM(TEXTSPLIT(AG142,","))&amp;",",","&amp;SUBSTITUTE(input_area_of_focus," ","")&amp;",")))&gt;0)),IF(AI142="",TRUE,IF(input_area_of_focus="",FALSE,SUMPRODUCT(--ISNUMBER(SEARCH(","&amp;TRIM(TEXTSPLIT(AI142,","))&amp;",",","&amp;SUBSTITUTE(input_area_of_focus," ","")&amp;",")))=COUNTA(TEXTSPLIT(AI142,",")))),IF(AK142="",TRUE,IF(input_area_of_focus="",TRUE,SUMPRODUCT(--ISNUMBER(SEARCH(","&amp;TRIM(TEXTSPLIT(AK142,","))&amp;",",","&amp;SUBSTITUTE(input_area_of_focus," ","")&amp;",")))=0)),IF(AM142="",TRUE,IF(input_area_of_focus="",FALSE,SUMPRODUCT(--ISNUMBER(SEARCH(","&amp;TRIM(TEXTSPLIT(AM142,","))&amp;",",","&amp;SUBSTITUTE(input_area_of_focus," ","")&amp;",")))&gt;0)),IF(AO142="",TRUE,IF(input_area_of_focus="",FALSE,SUMPRODUCT(--ISNUMBER(SEARCH(","&amp;TRIM(TEXTSPLIT(AO142,","))&amp;",",","&amp;SUBSTITUTE(input_area_of_focus," ","")&amp;",")))=COUNTA(TEXTSPLIT(AO142,",")))))</f>
        <v/>
      </c>
      <c r="IW142">
        <f>AND(IF(AQ142="",TRUE,IF(input_audience="",FALSE,SUMPRODUCT(--ISNUMBER(SEARCH(","&amp;TRIM(TEXTSPLIT(AQ142,","))&amp;",",","&amp;SUBSTITUTE(input_audience," ","")&amp;",")))&gt;0)),IF(AS142="",TRUE,IF(input_audience="",FALSE,SUMPRODUCT(--ISNUMBER(SEARCH(","&amp;TRIM(TEXTSPLIT(AS142,","))&amp;",",","&amp;SUBSTITUTE(input_audience," ","")&amp;",")))=COUNTA(TEXTSPLIT(AS142,",")))),IF(AU142="",TRUE,IF(input_audience="",TRUE,SUMPRODUCT(--ISNUMBER(SEARCH(","&amp;TRIM(TEXTSPLIT(AU142,","))&amp;",",","&amp;SUBSTITUTE(input_audience," ","")&amp;",")))=0)),IF(AW142="",TRUE,IF(input_audience="",FALSE,SUMPRODUCT(--ISNUMBER(SEARCH(","&amp;TRIM(TEXTSPLIT(AW142,","))&amp;",",","&amp;SUBSTITUTE(input_audience," ","")&amp;",")))&gt;0)),IF(AY142="",TRUE,IF(input_audience="",FALSE,SUMPRODUCT(--ISNUMBER(SEARCH(","&amp;TRIM(TEXTSPLIT(AY142,","))&amp;",",","&amp;SUBSTITUTE(input_audience," ","")&amp;",")))=COUNTA(TEXTSPLIT(AY142,",")))))</f>
        <v/>
      </c>
      <c r="IX142">
        <f>AND(IF(BA142="",TRUE,IF(input_challenge_opportunities="",FALSE,SUMPRODUCT(--ISNUMBER(SEARCH(","&amp;TRIM(TEXTSPLIT(BA142,","))&amp;",",","&amp;SUBSTITUTE(input_challenge_opportunities," ","")&amp;",")))&gt;0)),IF(BC142="",TRUE,IF(input_challenge_opportunities="",FALSE,SUMPRODUCT(--ISNUMBER(SEARCH(","&amp;TRIM(TEXTSPLIT(BC142,","))&amp;",",","&amp;SUBSTITUTE(input_challenge_opportunities," ","")&amp;",")))=COUNTA(TEXTSPLIT(BC142,",")))),IF(BE142="",TRUE,IF(input_challenge_opportunities="",TRUE,SUMPRODUCT(--ISNUMBER(SEARCH(","&amp;TRIM(TEXTSPLIT(BE142,","))&amp;",",","&amp;SUBSTITUTE(input_challenge_opportunities," ","")&amp;",")))=0)),IF(BG142="",TRUE,IF(input_challenge_opportunities="",FALSE,SUMPRODUCT(--ISNUMBER(SEARCH(","&amp;TRIM(TEXTSPLIT(BG142,","))&amp;",",","&amp;SUBSTITUTE(input_challenge_opportunities," ","")&amp;",")))&gt;0)),IF(BI142="",TRUE,IF(input_challenge_opportunities="",FALSE,SUMPRODUCT(--ISNUMBER(SEARCH(","&amp;TRIM(TEXTSPLIT(BI142,","))&amp;",",","&amp;SUBSTITUTE(input_challenge_opportunities," ","")&amp;",")))=COUNTA(TEXTSPLIT(BI142,",")))))</f>
        <v/>
      </c>
      <c r="IY142">
        <f>AND(IF(BK142="",TRUE,IF(input_context="",FALSE,SUMPRODUCT(--ISNUMBER(SEARCH(","&amp;TRIM(TEXTSPLIT(BK142,","))&amp;",",","&amp;SUBSTITUTE(input_context," ","")&amp;",")))&gt;0)),IF(BM142="",TRUE,IF(input_context="",FALSE,SUMPRODUCT(--ISNUMBER(SEARCH(","&amp;TRIM(TEXTSPLIT(BM142,","))&amp;",",","&amp;SUBSTITUTE(input_context," ","")&amp;",")))=COUNTA(TEXTSPLIT(BM142,",")))),IF(BO142="",TRUE,IF(input_context="",TRUE,SUMPRODUCT(--ISNUMBER(SEARCH(","&amp;TRIM(TEXTSPLIT(BO142,","))&amp;",",","&amp;SUBSTITUTE(input_context," ","")&amp;",")))=0)),IF(BQ142="",TRUE,IF(input_context="",FALSE,SUMPRODUCT(--ISNUMBER(SEARCH(","&amp;TRIM(TEXTSPLIT(BQ142,","))&amp;",",","&amp;SUBSTITUTE(input_context," ","")&amp;",")))&gt;0)),IF(BS142="",TRUE,IF(input_context="",FALSE,SUMPRODUCT(--ISNUMBER(SEARCH(","&amp;TRIM(TEXTSPLIT(BS142,","))&amp;",",","&amp;SUBSTITUTE(input_context," ","")&amp;",")))=COUNTA(TEXTSPLIT(BS142,",")))))</f>
        <v/>
      </c>
      <c r="IZ142">
        <f>AND(IF(BU142="",TRUE,IF(input_enews_announcement_type="",FALSE,SUMPRODUCT(--ISNUMBER(SEARCH(","&amp;TRIM(TEXTSPLIT(BU142,","))&amp;",",","&amp;SUBSTITUTE(input_enews_announcement_type," ","")&amp;",")))&gt;0)),IF(BW142="",TRUE,IF(input_enews_announcement_type="",FALSE,SUMPRODUCT(--ISNUMBER(SEARCH(","&amp;TRIM(TEXTSPLIT(BW142,","))&amp;",",","&amp;SUBSTITUTE(input_enews_announcement_type," ","")&amp;",")))=COUNTA(TEXTSPLIT(BW142,",")))),IF(BY142="",TRUE,IF(input_enews_announcement_type="",TRUE,SUMPRODUCT(--ISNUMBER(SEARCH(","&amp;TRIM(TEXTSPLIT(BY142,","))&amp;",",","&amp;SUBSTITUTE(input_enews_announcement_type," ","")&amp;",")))=0)),IF(CA142="",TRUE,IF(input_enews_announcement_type="",FALSE,SUMPRODUCT(--ISNUMBER(SEARCH(","&amp;TRIM(TEXTSPLIT(CA142,","))&amp;",",","&amp;SUBSTITUTE(input_enews_announcement_type," ","")&amp;",")))&gt;0)),IF(CC142="",TRUE,IF(input_enews_announcement_type="",FALSE,SUMPRODUCT(--ISNUMBER(SEARCH(","&amp;TRIM(TEXTSPLIT(CC142,","))&amp;",",","&amp;SUBSTITUTE(input_enews_announcement_type," ","")&amp;",")))=COUNTA(TEXTSPLIT(CC142,",")))))</f>
        <v/>
      </c>
      <c r="JA142">
        <f>AND(IF(CE142="",TRUE,IF(input_enews_audience="",FALSE,SUMPRODUCT(--ISNUMBER(SEARCH(","&amp;TRIM(TEXTSPLIT(CE142,","))&amp;",",","&amp;SUBSTITUTE(input_enews_audience," ","")&amp;",")))&gt;0)),IF(CG142="",TRUE,IF(input_enews_audience="",FALSE,SUMPRODUCT(--ISNUMBER(SEARCH(","&amp;TRIM(TEXTSPLIT(CG142,","))&amp;",",","&amp;SUBSTITUTE(input_enews_audience," ","")&amp;",")))=COUNTA(TEXTSPLIT(CG142,",")))),IF(CI142="",TRUE,IF(input_enews_audience="",TRUE,SUMPRODUCT(--ISNUMBER(SEARCH(","&amp;TRIM(TEXTSPLIT(CI142,","))&amp;",",","&amp;SUBSTITUTE(input_enews_audience," ","")&amp;",")))=0)),IF(CK142="",TRUE,IF(input_enews_audience="",FALSE,SUMPRODUCT(--ISNUMBER(SEARCH(","&amp;TRIM(TEXTSPLIT(CK142,","))&amp;",",","&amp;SUBSTITUTE(input_enews_audience," ","")&amp;",")))&gt;0)),IF(CM142="",TRUE,IF(input_enews_audience="",FALSE,SUMPRODUCT(--ISNUMBER(SEARCH(","&amp;TRIM(TEXTSPLIT(CM142,","))&amp;",",","&amp;SUBSTITUTE(input_enews_audience," ","")&amp;",")))=COUNTA(TEXTSPLIT(CM142,",")))))</f>
        <v/>
      </c>
      <c r="JB142">
        <f>AND(IF(CO142="",TRUE,IF(input_event_location="",FALSE,SUMPRODUCT(--ISNUMBER(SEARCH(","&amp;TRIM(TEXTSPLIT(CO142,","))&amp;",",","&amp;SUBSTITUTE(input_event_location," ","")&amp;",")))&gt;0)),IF(CQ142="",TRUE,IF(input_event_location="",FALSE,SUMPRODUCT(--ISNUMBER(SEARCH(","&amp;TRIM(TEXTSPLIT(CQ142,","))&amp;",",","&amp;SUBSTITUTE(input_event_location," ","")&amp;",")))=COUNTA(TEXTSPLIT(CQ142,",")))),IF(CS142="",TRUE,IF(input_event_location="",TRUE,SUMPRODUCT(--ISNUMBER(SEARCH(","&amp;TRIM(TEXTSPLIT(CS142,","))&amp;",",","&amp;SUBSTITUTE(input_event_location," ","")&amp;",")))=0)),IF(CU142="",TRUE,IF(input_event_location="",FALSE,SUMPRODUCT(--ISNUMBER(SEARCH(","&amp;TRIM(TEXTSPLIT(CU142,","))&amp;",",","&amp;SUBSTITUTE(input_event_location," ","")&amp;",")))&gt;0)),IF(CW142="",TRUE,IF(input_event_location="",FALSE,SUMPRODUCT(--ISNUMBER(SEARCH(","&amp;TRIM(TEXTSPLIT(CW142,","))&amp;",",","&amp;SUBSTITUTE(input_event_location," ","")&amp;",")))=COUNTA(TEXTSPLIT(CW142,",")))))</f>
        <v/>
      </c>
      <c r="JC142">
        <f>AND(IF(CY142="",TRUE,IF(input_event_type="",FALSE,SUMPRODUCT(--ISNUMBER(SEARCH(","&amp;TRIM(TEXTSPLIT(CY142,","))&amp;",",","&amp;SUBSTITUTE(input_event_type," ","")&amp;",")))&gt;0)),IF(DA142="",TRUE,IF(input_event_type="",FALSE,SUMPRODUCT(--ISNUMBER(SEARCH(","&amp;TRIM(TEXTSPLIT(DA142,","))&amp;",",","&amp;SUBSTITUTE(input_event_type," ","")&amp;",")))=COUNTA(TEXTSPLIT(DA142,",")))),IF(DC142="",TRUE,IF(input_event_type="",TRUE,SUMPRODUCT(--ISNUMBER(SEARCH(","&amp;TRIM(TEXTSPLIT(DC142,","))&amp;",",","&amp;SUBSTITUTE(input_event_type," ","")&amp;",")))=0)),IF(DE142="",TRUE,IF(input_event_type="",FALSE,SUMPRODUCT(--ISNUMBER(SEARCH(","&amp;TRIM(TEXTSPLIT(DE142,","))&amp;",",","&amp;SUBSTITUTE(input_event_type," ","")&amp;",")))&gt;0)),IF(DG142="",TRUE,IF(input_event_type="",FALSE,SUMPRODUCT(--ISNUMBER(SEARCH(","&amp;TRIM(TEXTSPLIT(DG142,","))&amp;",",","&amp;SUBSTITUTE(input_event_type," ","")&amp;",")))=COUNTA(TEXTSPLIT(DG142,",")))))</f>
        <v/>
      </c>
      <c r="JD142">
        <f>AND(IF(DI142="",TRUE,IF(input_executive_education_focus="",FALSE,SUMPRODUCT(--ISNUMBER(SEARCH(","&amp;TRIM(TEXTSPLIT(DI142,","))&amp;",",","&amp;SUBSTITUTE(input_executive_education_focus," ","")&amp;",")))&gt;0)),IF(DK142="",TRUE,IF(input_executive_education_focus="",FALSE,SUMPRODUCT(--ISNUMBER(SEARCH(","&amp;TRIM(TEXTSPLIT(DK142,","))&amp;",",","&amp;SUBSTITUTE(input_executive_education_focus," ","")&amp;",")))=COUNTA(TEXTSPLIT(DK142,",")))),IF(DM142="",TRUE,IF(input_executive_education_focus="",TRUE,SUMPRODUCT(--ISNUMBER(SEARCH(","&amp;TRIM(TEXTSPLIT(DM142,","))&amp;",",","&amp;SUBSTITUTE(input_executive_education_focus," ","")&amp;",")))=0)),IF(DO142="",TRUE,IF(input_executive_education_focus="",FALSE,SUMPRODUCT(--ISNUMBER(SEARCH(","&amp;TRIM(TEXTSPLIT(DO142,","))&amp;",",","&amp;SUBSTITUTE(input_executive_education_focus," ","")&amp;",")))&gt;0)),IF(DQ142="",TRUE,IF(input_executive_education_focus="",FALSE,SUMPRODUCT(--ISNUMBER(SEARCH(","&amp;TRIM(TEXTSPLIT(DQ142,","))&amp;",",","&amp;SUBSTITUTE(input_executive_education_focus," ","")&amp;",")))=COUNTA(TEXTSPLIT(DQ142,",")))))</f>
        <v/>
      </c>
      <c r="JE142">
        <f>AND(IF(DS142="",TRUE,IF(input_faculty_category="",FALSE,SUMPRODUCT(--ISNUMBER(SEARCH(","&amp;TRIM(TEXTSPLIT(DS142,","))&amp;",",","&amp;SUBSTITUTE(input_faculty_category," ","")&amp;",")))&gt;0)),IF(DU142="",TRUE,IF(input_faculty_category="",FALSE,SUMPRODUCT(--ISNUMBER(SEARCH(","&amp;TRIM(TEXTSPLIT(DU142,","))&amp;",",","&amp;SUBSTITUTE(input_faculty_category," ","")&amp;",")))=COUNTA(TEXTSPLIT(DU142,",")))),IF(DW142="",TRUE,IF(input_faculty_category="",TRUE,SUMPRODUCT(--ISNUMBER(SEARCH(","&amp;TRIM(TEXTSPLIT(DW142,","))&amp;",",","&amp;SUBSTITUTE(input_faculty_category," ","")&amp;",")))=0)),IF(DY142="",TRUE,IF(input_faculty_category="",FALSE,SUMPRODUCT(--ISNUMBER(SEARCH(","&amp;TRIM(TEXTSPLIT(DY142,","))&amp;",",","&amp;SUBSTITUTE(input_faculty_category," ","")&amp;",")))&gt;0)),IF(EA142="",TRUE,IF(input_faculty_category="",FALSE,SUMPRODUCT(--ISNUMBER(SEARCH(","&amp;TRIM(TEXTSPLIT(EA142,","))&amp;",",","&amp;SUBSTITUTE(input_faculty_category," ","")&amp;",")))=COUNTA(TEXTSPLIT(EA142,",")))))</f>
        <v/>
      </c>
      <c r="JF142">
        <f>AND(IF(EC142="",TRUE,IF(input_faculty_discipline="",FALSE,SUMPRODUCT(--ISNUMBER(SEARCH(","&amp;TRIM(TEXTSPLIT(EC142,","))&amp;",",","&amp;SUBSTITUTE(input_faculty_discipline," ","")&amp;",")))&gt;0)),IF(EE142="",TRUE,IF(input_faculty_discipline="",FALSE,SUMPRODUCT(--ISNUMBER(SEARCH(","&amp;TRIM(TEXTSPLIT(EE142,","))&amp;",",","&amp;SUBSTITUTE(input_faculty_discipline," ","")&amp;",")))=COUNTA(TEXTSPLIT(EE142,",")))),IF(EG142="",TRUE,IF(input_faculty_discipline="",TRUE,SUMPRODUCT(--ISNUMBER(SEARCH(","&amp;TRIM(TEXTSPLIT(EG142,","))&amp;",",","&amp;SUBSTITUTE(input_faculty_discipline," ","")&amp;",")))=0)),IF(EI142="",TRUE,IF(input_faculty_discipline="",FALSE,SUMPRODUCT(--ISNUMBER(SEARCH(","&amp;TRIM(TEXTSPLIT(EI142,","))&amp;",",","&amp;SUBSTITUTE(input_faculty_discipline," ","")&amp;",")))&gt;0)),IF(EK142="",TRUE,IF(input_faculty_discipline="",FALSE,SUMPRODUCT(--ISNUMBER(SEARCH(","&amp;TRIM(TEXTSPLIT(EK142,","))&amp;",",","&amp;SUBSTITUTE(input_faculty_discipline," ","")&amp;",")))=COUNTA(TEXTSPLIT(EK142,",")))))</f>
        <v/>
      </c>
      <c r="JG142">
        <f>AND(IF(EM142="",TRUE,IF(input_faculty_expertise="",FALSE,SUMPRODUCT(--ISNUMBER(SEARCH(","&amp;TRIM(TEXTSPLIT(EM142,","))&amp;",",","&amp;SUBSTITUTE(input_faculty_expertise," ","")&amp;",")))&gt;0)),IF(EO142="",TRUE,IF(input_faculty_expertise="",FALSE,SUMPRODUCT(--ISNUMBER(SEARCH(","&amp;TRIM(TEXTSPLIT(EO142,","))&amp;",",","&amp;SUBSTITUTE(input_faculty_expertise," ","")&amp;",")))=COUNTA(TEXTSPLIT(EO142,",")))),IF(EQ142="",TRUE,IF(input_faculty_expertise="",TRUE,SUMPRODUCT(--ISNUMBER(SEARCH(","&amp;TRIM(TEXTSPLIT(EQ142,","))&amp;",",","&amp;SUBSTITUTE(input_faculty_expertise," ","")&amp;",")))=0)),IF(ES142="",TRUE,IF(input_faculty_expertise="",FALSE,SUMPRODUCT(--ISNUMBER(SEARCH(","&amp;TRIM(TEXTSPLIT(ES142,","))&amp;",",","&amp;SUBSTITUTE(input_faculty_expertise," ","")&amp;",")))&gt;0)),IF(EU142="",TRUE,IF(input_faculty_expertise="",FALSE,SUMPRODUCT(--ISNUMBER(SEARCH(","&amp;TRIM(TEXTSPLIT(EU142,","))&amp;",",","&amp;SUBSTITUTE(input_faculty_expertise," ","")&amp;",")))=COUNTA(TEXTSPLIT(EU142,",")))))</f>
        <v/>
      </c>
      <c r="JH142">
        <f>AND(IF(EW142="",TRUE,IF(input_global_network_school="",FALSE,SUMPRODUCT(--ISNUMBER(SEARCH(","&amp;TRIM(TEXTSPLIT(EW142,","))&amp;",",","&amp;SUBSTITUTE(input_global_network_school," ","")&amp;",")))&gt;0)),IF(EY142="",TRUE,IF(input_global_network_school="",FALSE,SUMPRODUCT(--ISNUMBER(SEARCH(","&amp;TRIM(TEXTSPLIT(EY142,","))&amp;",",","&amp;SUBSTITUTE(input_global_network_school," ","")&amp;",")))=COUNTA(TEXTSPLIT(EY142,",")))),IF(FA142="",TRUE,IF(input_global_network_school="",TRUE,SUMPRODUCT(--ISNUMBER(SEARCH(","&amp;TRIM(TEXTSPLIT(FA142,","))&amp;",",","&amp;SUBSTITUTE(input_global_network_school," ","")&amp;",")))=0)),IF(FC142="",TRUE,IF(input_global_network_school="",FALSE,SUMPRODUCT(--ISNUMBER(SEARCH(","&amp;TRIM(TEXTSPLIT(FC142,","))&amp;",",","&amp;SUBSTITUTE(input_global_network_school," ","")&amp;",")))&gt;0)),IF(FE142="",TRUE,IF(input_global_network_school="",FALSE,SUMPRODUCT(--ISNUMBER(SEARCH(","&amp;TRIM(TEXTSPLIT(FE142,","))&amp;",",","&amp;SUBSTITUTE(input_global_network_school," ","")&amp;",")))=COUNTA(TEXTSPLIT(FE142,",")))))</f>
        <v/>
      </c>
      <c r="JI142">
        <f>AND(IF(FG142="",TRUE,IF(input_industry="",FALSE,SUMPRODUCT(--ISNUMBER(SEARCH(","&amp;TRIM(TEXTSPLIT(FG142,","))&amp;",",","&amp;SUBSTITUTE(input_industry," ","")&amp;",")))&gt;0)),IF(FI142="",TRUE,IF(input_industry="",FALSE,SUMPRODUCT(--ISNUMBER(SEARCH(","&amp;TRIM(TEXTSPLIT(FI142,","))&amp;",",","&amp;SUBSTITUTE(input_industry," ","")&amp;",")))=COUNTA(TEXTSPLIT(FI142,",")))),IF(FK142="",TRUE,IF(input_industry="",TRUE,SUMPRODUCT(--ISNUMBER(SEARCH(","&amp;TRIM(TEXTSPLIT(FK142,","))&amp;",",","&amp;SUBSTITUTE(input_industry," ","")&amp;",")))=0)),IF(FM142="",TRUE,IF(input_industry="",FALSE,SUMPRODUCT(--ISNUMBER(SEARCH(","&amp;TRIM(TEXTSPLIT(FM142,","))&amp;",",","&amp;SUBSTITUTE(input_industry," ","")&amp;",")))&gt;0)),IF(FO142="",TRUE,IF(input_industry="",FALSE,SUMPRODUCT(--ISNUMBER(SEARCH(","&amp;TRIM(TEXTSPLIT(FO142,","))&amp;",",","&amp;SUBSTITUTE(input_industry," ","")&amp;",")))=COUNTA(TEXTSPLIT(FO142,",")))))</f>
        <v/>
      </c>
      <c r="JJ142">
        <f>AND(IF(FQ142="",TRUE,IF(input_location="",FALSE,SUMPRODUCT(--ISNUMBER(SEARCH(","&amp;TRIM(TEXTSPLIT(FQ142,","))&amp;",",","&amp;SUBSTITUTE(input_location," ","")&amp;",")))&gt;0)),IF(FS142="",TRUE,IF(input_location="",FALSE,SUMPRODUCT(--ISNUMBER(SEARCH(","&amp;TRIM(TEXTSPLIT(FS142,","))&amp;",",","&amp;SUBSTITUTE(input_location," ","")&amp;",")))=COUNTA(TEXTSPLIT(FS142,",")))),IF(FU142="",TRUE,IF(input_location="",TRUE,SUMPRODUCT(--ISNUMBER(SEARCH(","&amp;TRIM(TEXTSPLIT(FU142,","))&amp;",",","&amp;SUBSTITUTE(input_location," ","")&amp;",")))=0)),IF(FW142="",TRUE,IF(input_location="",FALSE,SUMPRODUCT(--ISNUMBER(SEARCH(","&amp;TRIM(TEXTSPLIT(FW142,","))&amp;",",","&amp;SUBSTITUTE(input_location," ","")&amp;",")))&gt;0)),IF(FY142="",TRUE,IF(input_location="",FALSE,SUMPRODUCT(--ISNUMBER(SEARCH(","&amp;TRIM(TEXTSPLIT(FY142,","))&amp;",",","&amp;SUBSTITUTE(input_location," ","")&amp;",")))=COUNTA(TEXTSPLIT(FY142,",")))))</f>
        <v/>
      </c>
      <c r="JK142">
        <f>AND(IF(GA142="",TRUE,IF(input_modality="",FALSE,SUMPRODUCT(--ISNUMBER(SEARCH(","&amp;TRIM(TEXTSPLIT(GA142,","))&amp;",",","&amp;SUBSTITUTE(input_modality," ","")&amp;",")))&gt;0)),IF(GC142="",TRUE,IF(input_modality="",FALSE,SUMPRODUCT(--ISNUMBER(SEARCH(","&amp;TRIM(TEXTSPLIT(GC142,","))&amp;",",","&amp;SUBSTITUTE(input_modality," ","")&amp;",")))=COUNTA(TEXTSPLIT(GC142,",")))),IF(GE142="",TRUE,IF(input_modality="",TRUE,SUMPRODUCT(--ISNUMBER(SEARCH(","&amp;TRIM(TEXTSPLIT(GE142,","))&amp;",",","&amp;SUBSTITUTE(input_modality," ","")&amp;",")))=0)),IF(GG142="",TRUE,IF(input_modality="",FALSE,SUMPRODUCT(--ISNUMBER(SEARCH(","&amp;TRIM(TEXTSPLIT(GG142,","))&amp;",",","&amp;SUBSTITUTE(input_modality," ","")&amp;",")))&gt;0)),IF(GI142="",TRUE,IF(input_modality="",FALSE,SUMPRODUCT(--ISNUMBER(SEARCH(","&amp;TRIM(TEXTSPLIT(GI142,","))&amp;",",","&amp;SUBSTITUTE(input_modality," ","")&amp;",")))=COUNTA(TEXTSPLIT(GI142,",")))))</f>
        <v/>
      </c>
      <c r="JL142">
        <f>AND(IF(GK142="",TRUE,IF(input_organizer="",FALSE,SUMPRODUCT(--ISNUMBER(SEARCH(","&amp;TRIM(TEXTSPLIT(GK142,","))&amp;",",","&amp;SUBSTITUTE(input_organizer," ","")&amp;",")))&gt;0)),IF(GM142="",TRUE,IF(input_organizer="",FALSE,SUMPRODUCT(--ISNUMBER(SEARCH(","&amp;TRIM(TEXTSPLIT(GM142,","))&amp;",",","&amp;SUBSTITUTE(input_organizer," ","")&amp;",")))=COUNTA(TEXTSPLIT(GM142,",")))),IF(GO142="",TRUE,IF(input_organizer="",TRUE,SUMPRODUCT(--ISNUMBER(SEARCH(","&amp;TRIM(TEXTSPLIT(GO142,","))&amp;",",","&amp;SUBSTITUTE(input_organizer," ","")&amp;",")))=0)),IF(GQ142="",TRUE,IF(input_organizer="",FALSE,SUMPRODUCT(--ISNUMBER(SEARCH(","&amp;TRIM(TEXTSPLIT(GQ142,","))&amp;",",","&amp;SUBSTITUTE(input_organizer," ","")&amp;",")))&gt;0)),IF(GS142="",TRUE,IF(input_organizer="",FALSE,SUMPRODUCT(--ISNUMBER(SEARCH(","&amp;TRIM(TEXTSPLIT(GS142,","))&amp;",",","&amp;SUBSTITUTE(input_organizer," ","")&amp;",")))=COUNTA(TEXTSPLIT(GS142,",")))))</f>
        <v/>
      </c>
      <c r="JM142">
        <f>AND(IF(GU142="",TRUE,IF(input_profile_type="",FALSE,SUMPRODUCT(--ISNUMBER(SEARCH(","&amp;TRIM(TEXTSPLIT(GU142,","))&amp;",",","&amp;SUBSTITUTE(input_profile_type," ","")&amp;",")))&gt;0)),IF(GW142="",TRUE,IF(input_profile_type="",FALSE,SUMPRODUCT(--ISNUMBER(SEARCH(","&amp;TRIM(TEXTSPLIT(GW142,","))&amp;",",","&amp;SUBSTITUTE(input_profile_type," ","")&amp;",")))=COUNTA(TEXTSPLIT(GW142,",")))),IF(GY142="",TRUE,IF(input_profile_type="",TRUE,SUMPRODUCT(--ISNUMBER(SEARCH(","&amp;TRIM(TEXTSPLIT(GY142,","))&amp;",",","&amp;SUBSTITUTE(input_profile_type," ","")&amp;",")))=0)),IF(HA142="",TRUE,IF(input_profile_type="",FALSE,SUMPRODUCT(--ISNUMBER(SEARCH(","&amp;TRIM(TEXTSPLIT(HA142,","))&amp;",",","&amp;SUBSTITUTE(input_profile_type," ","")&amp;",")))&gt;0)),IF(HC142="",TRUE,IF(input_profile_type="",FALSE,SUMPRODUCT(--ISNUMBER(SEARCH(","&amp;TRIM(TEXTSPLIT(HC142,","))&amp;",",","&amp;SUBSTITUTE(input_profile_type," ","")&amp;",")))=COUNTA(TEXTSPLIT(HC142,",")))))</f>
        <v/>
      </c>
      <c r="JN142">
        <f>AND(IF(HE142="",TRUE,IF(input_program="",FALSE,SUMPRODUCT(--ISNUMBER(SEARCH(","&amp;TRIM(TEXTSPLIT(HE142,","))&amp;",",","&amp;SUBSTITUTE(input_program," ","")&amp;",")))&gt;0)),IF(HG142="",TRUE,IF(input_program="",FALSE,SUMPRODUCT(--ISNUMBER(SEARCH(","&amp;TRIM(TEXTSPLIT(HG142,","))&amp;",",","&amp;SUBSTITUTE(input_program," ","")&amp;",")))=COUNTA(TEXTSPLIT(HG142,",")))),IF(HI142="",TRUE,IF(input_program="",TRUE,SUMPRODUCT(--ISNUMBER(SEARCH(","&amp;TRIM(TEXTSPLIT(HI142,","))&amp;",",","&amp;SUBSTITUTE(input_program," ","")&amp;",")))=0)),IF(HK142="",TRUE,IF(input_program="",FALSE,SUMPRODUCT(--ISNUMBER(SEARCH(","&amp;TRIM(TEXTSPLIT(HK142,","))&amp;",",","&amp;SUBSTITUTE(input_program," ","")&amp;",")))&gt;0)),IF(HM142="",TRUE,IF(input_program="",FALSE,SUMPRODUCT(--ISNUMBER(SEARCH(","&amp;TRIM(TEXTSPLIT(HM142,","))&amp;",",","&amp;SUBSTITUTE(input_program," ","")&amp;",")))=COUNTA(TEXTSPLIT(HM142,",")))))</f>
        <v/>
      </c>
      <c r="JO142">
        <f>AND(IF(HO142="",TRUE,IF(input_story_categories="",FALSE,SUMPRODUCT(--ISNUMBER(SEARCH(","&amp;TRIM(TEXTSPLIT(HO142,","))&amp;",",","&amp;SUBSTITUTE(input_story_categories," ","")&amp;",")))&gt;0)),IF(HQ142="",TRUE,IF(input_story_categories="",FALSE,SUMPRODUCT(--ISNUMBER(SEARCH(","&amp;TRIM(TEXTSPLIT(HQ142,","))&amp;",",","&amp;SUBSTITUTE(input_story_categories," ","")&amp;",")))=COUNTA(TEXTSPLIT(HQ142,",")))),IF(HS142="",TRUE,IF(input_story_categories="",TRUE,SUMPRODUCT(--ISNUMBER(SEARCH(","&amp;TRIM(TEXTSPLIT(HS142,","))&amp;",",","&amp;SUBSTITUTE(input_story_categories," ","")&amp;",")))=0)),IF(HU142="",TRUE,IF(input_story_categories="",FALSE,SUMPRODUCT(--ISNUMBER(SEARCH(","&amp;TRIM(TEXTSPLIT(HU142,","))&amp;",",","&amp;SUBSTITUTE(input_story_categories," ","")&amp;",")))&gt;0)),IF(HW142="",TRUE,IF(input_story_categories="",FALSE,SUMPRODUCT(--ISNUMBER(SEARCH(","&amp;TRIM(TEXTSPLIT(HW142,","))&amp;",",","&amp;SUBSTITUTE(input_story_categories," ","")&amp;",")))=COUNTA(TEXTSPLIT(HW142,",")))))</f>
        <v/>
      </c>
      <c r="JP142">
        <f>AND(IF(HY142="",TRUE,IF(input_story_type="",FALSE,SUMPRODUCT(--ISNUMBER(SEARCH(","&amp;TRIM(TEXTSPLIT(HY142,","))&amp;",",","&amp;SUBSTITUTE(input_story_type," ","")&amp;",")))&gt;0)),IF(IA142="",TRUE,IF(input_story_type="",FALSE,SUMPRODUCT(--ISNUMBER(SEARCH(","&amp;TRIM(TEXTSPLIT(IA142,","))&amp;",",","&amp;SUBSTITUTE(input_story_type," ","")&amp;",")))=COUNTA(TEXTSPLIT(IA142,",")))),IF(IC142="",TRUE,IF(input_story_type="",TRUE,SUMPRODUCT(--ISNUMBER(SEARCH(","&amp;TRIM(TEXTSPLIT(IC142,","))&amp;",",","&amp;SUBSTITUTE(input_story_type," ","")&amp;",")))=0)),IF(IE142="",TRUE,IF(input_story_type="",FALSE,SUMPRODUCT(--ISNUMBER(SEARCH(","&amp;TRIM(TEXTSPLIT(IE142,","))&amp;",",","&amp;SUBSTITUTE(input_story_type," ","")&amp;",")))&gt;0)),IF(IG142="",TRUE,IF(input_story_type="",FALSE,SUMPRODUCT(--ISNUMBER(SEARCH(","&amp;TRIM(TEXTSPLIT(IG142,","))&amp;",",","&amp;SUBSTITUTE(input_story_type," ","")&amp;",")))=COUNTA(TEXTSPLIT(IG142,",")))))</f>
        <v/>
      </c>
      <c r="JQ142">
        <f>AND(IF(II142="",TRUE,IF(input_topics="",FALSE,SUMPRODUCT(--ISNUMBER(SEARCH(","&amp;TRIM(TEXTSPLIT(II142,","))&amp;",",","&amp;SUBSTITUTE(input_topics," ","")&amp;",")))&gt;0)),IF(IK142="",TRUE,IF(input_topics="",FALSE,SUMPRODUCT(--ISNUMBER(SEARCH(","&amp;TRIM(TEXTSPLIT(IK142,","))&amp;",",","&amp;SUBSTITUTE(input_topics," ","")&amp;",")))=COUNTA(TEXTSPLIT(IK142,",")))),IF(IM142="",TRUE,IF(input_topics="",TRUE,SUMPRODUCT(--ISNUMBER(SEARCH(","&amp;TRIM(TEXTSPLIT(IM142,","))&amp;",",","&amp;SUBSTITUTE(input_topics," ","")&amp;",")))=0)),IF(IO142="",TRUE,IF(input_topics="",FALSE,SUMPRODUCT(--ISNUMBER(SEARCH(","&amp;TRIM(TEXTSPLIT(IO142,","))&amp;",",","&amp;SUBSTITUTE(input_topics," ","")&amp;",")))&gt;0)),IF(IQ142="",TRUE,IF(input_topics="",FALSE,SUMPRODUCT(--ISNUMBER(SEARCH(","&amp;TRIM(TEXTSPLIT(IQ142,","))&amp;",",","&amp;SUBSTITUTE(input_topics," ","")&amp;",")))=COUNTA(TEXTSPLIT(IQ142,",")))))</f>
        <v/>
      </c>
    </row>
    <row r="143">
      <c r="A143" s="4">
        <f>IF(NOT(IS143),"Excluded",IF(AND(IT143,IU143,IV143,IW143,IX143,IY143,IZ143,JA143,JB143,JC143,JD143,JE143,JF143,JG143,JH143,JI143,JJ143,JK143,JL143,JM143,JN143,JO143,JP143,JQ143),IF(I143&gt;0,"Eligible but limited","Will appear"),"Excluded"))</f>
        <v/>
      </c>
      <c r="B143" s="4" t="inlineStr">
        <is>
          <t>News - Summary</t>
        </is>
      </c>
      <c r="C143" s="4" t="inlineStr">
        <is>
          <t>/the-som-experience/interests-and-industries/marketing</t>
        </is>
      </c>
      <c r="D143" s="4" t="inlineStr">
        <is>
          <t>/the-som-experience/interests-and-industries/marketing</t>
        </is>
      </c>
      <c r="E143" s="4" t="n">
        <v>1</v>
      </c>
      <c r="F143" s="4" t="inlineStr">
        <is>
          <t>story</t>
        </is>
      </c>
      <c r="G143" s="4" t="inlineStr">
        <is>
          <t>stories_mosaic_grid</t>
        </is>
      </c>
      <c r="H143" s="4" t="inlineStr">
        <is>
          <t>embed_news_summary</t>
        </is>
      </c>
      <c r="I143" s="4" t="n">
        <v>1</v>
      </c>
      <c r="J143" s="4" t="inlineStr">
        <is>
          <t>View/config rules</t>
        </is>
      </c>
      <c r="K143" s="4" t="inlineStr">
        <is>
          <t>Page placement</t>
        </is>
      </c>
      <c r="L143" s="4" t="inlineStr">
        <is>
          <t>Content type: story; Needs any Story Type: News (924); Limited to 1 item(s); Source: View/config rules</t>
        </is>
      </c>
      <c r="M143" t="inlineStr"/>
      <c r="N143" t="inlineStr"/>
      <c r="O143" t="inlineStr"/>
      <c r="P143" t="inlineStr"/>
      <c r="Q143" t="inlineStr"/>
      <c r="R143" t="inlineStr"/>
      <c r="S143" t="inlineStr"/>
      <c r="T143" t="inlineStr"/>
      <c r="U143" t="inlineStr"/>
      <c r="V143" t="inlineStr"/>
      <c r="W143" t="inlineStr"/>
      <c r="X143" t="inlineStr"/>
      <c r="Y143" t="inlineStr"/>
      <c r="Z143" t="inlineStr"/>
      <c r="AA143" t="inlineStr"/>
      <c r="AB143" t="inlineStr"/>
      <c r="AC143" t="inlineStr"/>
      <c r="AD143" t="inlineStr"/>
      <c r="AE143" t="inlineStr"/>
      <c r="AF143" t="inlineStr"/>
      <c r="AG143" t="inlineStr"/>
      <c r="AH143" t="inlineStr"/>
      <c r="AI143" t="inlineStr"/>
      <c r="AJ143" t="inlineStr"/>
      <c r="AK143" t="inlineStr"/>
      <c r="AL143" t="inlineStr"/>
      <c r="AM143" t="inlineStr"/>
      <c r="AN143" t="inlineStr"/>
      <c r="AO143" t="inlineStr"/>
      <c r="AP143" t="inlineStr"/>
      <c r="AQ143" t="inlineStr"/>
      <c r="AR143" t="inlineStr"/>
      <c r="AS143" t="inlineStr"/>
      <c r="AT143" t="inlineStr"/>
      <c r="AU143" t="inlineStr"/>
      <c r="AV143" t="inlineStr"/>
      <c r="AW143" t="inlineStr"/>
      <c r="AX143" t="inlineStr"/>
      <c r="AY143" t="inlineStr"/>
      <c r="AZ143" t="inlineStr"/>
      <c r="BA143" t="inlineStr"/>
      <c r="BB143" t="inlineStr"/>
      <c r="BC143" t="inlineStr"/>
      <c r="BD143" t="inlineStr"/>
      <c r="BE143" t="inlineStr"/>
      <c r="BF143" t="inlineStr"/>
      <c r="BG143" t="inlineStr"/>
      <c r="BH143" t="inlineStr"/>
      <c r="BI143" t="inlineStr"/>
      <c r="BJ143" t="inlineStr"/>
      <c r="BK143" t="inlineStr"/>
      <c r="BL143" t="inlineStr"/>
      <c r="BM143" t="inlineStr"/>
      <c r="BN143" t="inlineStr"/>
      <c r="BO143" t="inlineStr"/>
      <c r="BP143" t="inlineStr"/>
      <c r="BQ143" t="inlineStr"/>
      <c r="BR143" t="inlineStr"/>
      <c r="BS143" t="inlineStr"/>
      <c r="BT143" t="inlineStr"/>
      <c r="BU143" t="inlineStr"/>
      <c r="BV143" t="inlineStr"/>
      <c r="BW143" t="inlineStr"/>
      <c r="BX143" t="inlineStr"/>
      <c r="BY143" t="inlineStr"/>
      <c r="BZ143" t="inlineStr"/>
      <c r="CA143" t="inlineStr"/>
      <c r="CB143" t="inlineStr"/>
      <c r="CC143" t="inlineStr"/>
      <c r="CD143" t="inlineStr"/>
      <c r="CE143" t="inlineStr"/>
      <c r="CF143" t="inlineStr"/>
      <c r="CG143" t="inlineStr"/>
      <c r="CH143" t="inlineStr"/>
      <c r="CI143" t="inlineStr"/>
      <c r="CJ143" t="inlineStr"/>
      <c r="CK143" t="inlineStr"/>
      <c r="CL143" t="inlineStr"/>
      <c r="CM143" t="inlineStr"/>
      <c r="CN143" t="inlineStr"/>
      <c r="CO143" t="inlineStr"/>
      <c r="CP143" t="inlineStr"/>
      <c r="CQ143" t="inlineStr"/>
      <c r="CR143" t="inlineStr"/>
      <c r="CS143" t="inlineStr"/>
      <c r="CT143" t="inlineStr"/>
      <c r="CU143" t="inlineStr"/>
      <c r="CV143" t="inlineStr"/>
      <c r="CW143" t="inlineStr"/>
      <c r="CX143" t="inlineStr"/>
      <c r="CY143" t="inlineStr"/>
      <c r="CZ143" t="inlineStr"/>
      <c r="DA143" t="inlineStr"/>
      <c r="DB143" t="inlineStr"/>
      <c r="DC143" t="inlineStr"/>
      <c r="DD143" t="inlineStr"/>
      <c r="DE143" t="inlineStr"/>
      <c r="DF143" t="inlineStr"/>
      <c r="DG143" t="inlineStr"/>
      <c r="DH143" t="inlineStr"/>
      <c r="DI143" t="inlineStr"/>
      <c r="DJ143" t="inlineStr"/>
      <c r="DK143" t="inlineStr"/>
      <c r="DL143" t="inlineStr"/>
      <c r="DM143" t="inlineStr"/>
      <c r="DN143" t="inlineStr"/>
      <c r="DO143" t="inlineStr"/>
      <c r="DP143" t="inlineStr"/>
      <c r="DQ143" t="inlineStr"/>
      <c r="DR143" t="inlineStr"/>
      <c r="DS143" t="inlineStr"/>
      <c r="DT143" t="inlineStr"/>
      <c r="DU143" t="inlineStr"/>
      <c r="DV143" t="inlineStr"/>
      <c r="DW143" t="inlineStr"/>
      <c r="DX143" t="inlineStr"/>
      <c r="DY143" t="inlineStr"/>
      <c r="DZ143" t="inlineStr"/>
      <c r="EA143" t="inlineStr"/>
      <c r="EB143" t="inlineStr"/>
      <c r="EC143" t="inlineStr"/>
      <c r="ED143" t="inlineStr"/>
      <c r="EE143" t="inlineStr"/>
      <c r="EF143" t="inlineStr"/>
      <c r="EG143" t="inlineStr"/>
      <c r="EH143" t="inlineStr"/>
      <c r="EI143" t="inlineStr"/>
      <c r="EJ143" t="inlineStr"/>
      <c r="EK143" t="inlineStr"/>
      <c r="EL143" t="inlineStr"/>
      <c r="EM143" t="inlineStr"/>
      <c r="EN143" t="inlineStr"/>
      <c r="EO143" t="inlineStr"/>
      <c r="EP143" t="inlineStr"/>
      <c r="EQ143" t="inlineStr"/>
      <c r="ER143" t="inlineStr"/>
      <c r="ES143" t="inlineStr"/>
      <c r="ET143" t="inlineStr"/>
      <c r="EU143" t="inlineStr"/>
      <c r="EV143" t="inlineStr"/>
      <c r="EW143" t="inlineStr"/>
      <c r="EX143" t="inlineStr"/>
      <c r="EY143" t="inlineStr"/>
      <c r="EZ143" t="inlineStr"/>
      <c r="FA143" t="inlineStr"/>
      <c r="FB143" t="inlineStr"/>
      <c r="FC143" t="inlineStr"/>
      <c r="FD143" t="inlineStr"/>
      <c r="FE143" t="inlineStr"/>
      <c r="FF143" t="inlineStr"/>
      <c r="FG143" t="inlineStr"/>
      <c r="FH143" t="inlineStr"/>
      <c r="FI143" t="inlineStr"/>
      <c r="FJ143" t="inlineStr"/>
      <c r="FK143" t="inlineStr"/>
      <c r="FL143" t="inlineStr"/>
      <c r="FM143" t="inlineStr"/>
      <c r="FN143" t="inlineStr"/>
      <c r="FO143" t="inlineStr"/>
      <c r="FP143" t="inlineStr"/>
      <c r="FQ143" t="inlineStr"/>
      <c r="FR143" t="inlineStr"/>
      <c r="FS143" t="inlineStr"/>
      <c r="FT143" t="inlineStr"/>
      <c r="FU143" t="inlineStr"/>
      <c r="FV143" t="inlineStr"/>
      <c r="FW143" t="inlineStr"/>
      <c r="FX143" t="inlineStr"/>
      <c r="FY143" t="inlineStr"/>
      <c r="FZ143" t="inlineStr"/>
      <c r="GA143" t="inlineStr"/>
      <c r="GB143" t="inlineStr"/>
      <c r="GC143" t="inlineStr"/>
      <c r="GD143" t="inlineStr"/>
      <c r="GE143" t="inlineStr"/>
      <c r="GF143" t="inlineStr"/>
      <c r="GG143" t="inlineStr"/>
      <c r="GH143" t="inlineStr"/>
      <c r="GI143" t="inlineStr"/>
      <c r="GJ143" t="inlineStr"/>
      <c r="GK143" t="inlineStr"/>
      <c r="GL143" t="inlineStr"/>
      <c r="GM143" t="inlineStr"/>
      <c r="GN143" t="inlineStr"/>
      <c r="GO143" t="inlineStr"/>
      <c r="GP143" t="inlineStr"/>
      <c r="GQ143" t="inlineStr"/>
      <c r="GR143" t="inlineStr"/>
      <c r="GS143" t="inlineStr"/>
      <c r="GT143" t="inlineStr"/>
      <c r="GU143" t="inlineStr"/>
      <c r="GV143" t="inlineStr"/>
      <c r="GW143" t="inlineStr"/>
      <c r="GX143" t="inlineStr"/>
      <c r="GY143" t="inlineStr"/>
      <c r="GZ143" t="inlineStr"/>
      <c r="HA143" t="inlineStr"/>
      <c r="HB143" t="inlineStr"/>
      <c r="HC143" t="inlineStr"/>
      <c r="HD143" t="inlineStr"/>
      <c r="HE143" t="inlineStr"/>
      <c r="HF143" t="inlineStr"/>
      <c r="HG143" t="inlineStr"/>
      <c r="HH143" t="inlineStr"/>
      <c r="HI143" t="inlineStr"/>
      <c r="HJ143" t="inlineStr"/>
      <c r="HK143" t="inlineStr"/>
      <c r="HL143" t="inlineStr"/>
      <c r="HM143" t="inlineStr"/>
      <c r="HN143" t="inlineStr"/>
      <c r="HO143" t="inlineStr"/>
      <c r="HP143" t="inlineStr"/>
      <c r="HQ143" t="inlineStr"/>
      <c r="HR143" t="inlineStr"/>
      <c r="HS143" t="inlineStr"/>
      <c r="HT143" t="inlineStr"/>
      <c r="HU143" t="inlineStr"/>
      <c r="HV143" t="inlineStr"/>
      <c r="HW143" t="inlineStr"/>
      <c r="HX143" t="inlineStr"/>
      <c r="HY143" t="inlineStr">
        <is>
          <t>924</t>
        </is>
      </c>
      <c r="HZ143" t="inlineStr">
        <is>
          <t>News (924)</t>
        </is>
      </c>
      <c r="IA143" t="inlineStr"/>
      <c r="IB143" t="inlineStr"/>
      <c r="IC143" t="inlineStr"/>
      <c r="ID143" t="inlineStr"/>
      <c r="IE143" t="inlineStr"/>
      <c r="IF143" t="inlineStr"/>
      <c r="IG143" t="inlineStr"/>
      <c r="IH143" t="inlineStr"/>
      <c r="II143" t="inlineStr"/>
      <c r="IJ143" t="inlineStr"/>
      <c r="IK143" t="inlineStr"/>
      <c r="IL143" t="inlineStr"/>
      <c r="IM143" t="inlineStr"/>
      <c r="IN143" t="inlineStr"/>
      <c r="IO143" t="inlineStr"/>
      <c r="IP143" t="inlineStr"/>
      <c r="IQ143" t="inlineStr"/>
      <c r="IR143" t="inlineStr"/>
      <c r="IS143">
        <f>IF(input_content_type="",FALSE,ISNUMBER(SEARCH(","&amp;LOWER(input_content_type)&amp;",",","&amp;LOWER(F143)&amp;",")))</f>
        <v/>
      </c>
      <c r="IT143">
        <f>AND(IF(M143="",TRUE,IF(input_affiliations="",FALSE,SUMPRODUCT(--ISNUMBER(SEARCH(","&amp;TRIM(TEXTSPLIT(M143,","))&amp;",",","&amp;SUBSTITUTE(input_affiliations," ","")&amp;",")))&gt;0)),IF(O143="",TRUE,IF(input_affiliations="",FALSE,SUMPRODUCT(--ISNUMBER(SEARCH(","&amp;TRIM(TEXTSPLIT(O143,","))&amp;",",","&amp;SUBSTITUTE(input_affiliations," ","")&amp;",")))=COUNTA(TEXTSPLIT(O143,",")))),IF(Q143="",TRUE,IF(input_affiliations="",TRUE,SUMPRODUCT(--ISNUMBER(SEARCH(","&amp;TRIM(TEXTSPLIT(Q143,","))&amp;",",","&amp;SUBSTITUTE(input_affiliations," ","")&amp;",")))=0)),IF(S143="",TRUE,IF(input_affiliations="",FALSE,SUMPRODUCT(--ISNUMBER(SEARCH(","&amp;TRIM(TEXTSPLIT(S143,","))&amp;",",","&amp;SUBSTITUTE(input_affiliations," ","")&amp;",")))&gt;0)),IF(U143="",TRUE,IF(input_affiliations="",FALSE,SUMPRODUCT(--ISNUMBER(SEARCH(","&amp;TRIM(TEXTSPLIT(U143,","))&amp;",",","&amp;SUBSTITUTE(input_affiliations," ","")&amp;",")))=COUNTA(TEXTSPLIT(U143,",")))))</f>
        <v/>
      </c>
      <c r="IU143">
        <f>AND(IF(W143="",TRUE,IF(input_announcement_category="",FALSE,SUMPRODUCT(--ISNUMBER(SEARCH(","&amp;TRIM(TEXTSPLIT(W143,","))&amp;",",","&amp;SUBSTITUTE(input_announcement_category," ","")&amp;",")))&gt;0)),IF(Y143="",TRUE,IF(input_announcement_category="",FALSE,SUMPRODUCT(--ISNUMBER(SEARCH(","&amp;TRIM(TEXTSPLIT(Y143,","))&amp;",",","&amp;SUBSTITUTE(input_announcement_category," ","")&amp;",")))=COUNTA(TEXTSPLIT(Y143,",")))),IF(AA143="",TRUE,IF(input_announcement_category="",TRUE,SUMPRODUCT(--ISNUMBER(SEARCH(","&amp;TRIM(TEXTSPLIT(AA143,","))&amp;",",","&amp;SUBSTITUTE(input_announcement_category," ","")&amp;",")))=0)),IF(AC143="",TRUE,IF(input_announcement_category="",FALSE,SUMPRODUCT(--ISNUMBER(SEARCH(","&amp;TRIM(TEXTSPLIT(AC143,","))&amp;",",","&amp;SUBSTITUTE(input_announcement_category," ","")&amp;",")))&gt;0)),IF(AE143="",TRUE,IF(input_announcement_category="",FALSE,SUMPRODUCT(--ISNUMBER(SEARCH(","&amp;TRIM(TEXTSPLIT(AE143,","))&amp;",",","&amp;SUBSTITUTE(input_announcement_category," ","")&amp;",")))=COUNTA(TEXTSPLIT(AE143,",")))))</f>
        <v/>
      </c>
      <c r="IV143">
        <f>AND(IF(AG143="",TRUE,IF(input_area_of_focus="",FALSE,SUMPRODUCT(--ISNUMBER(SEARCH(","&amp;TRIM(TEXTSPLIT(AG143,","))&amp;",",","&amp;SUBSTITUTE(input_area_of_focus," ","")&amp;",")))&gt;0)),IF(AI143="",TRUE,IF(input_area_of_focus="",FALSE,SUMPRODUCT(--ISNUMBER(SEARCH(","&amp;TRIM(TEXTSPLIT(AI143,","))&amp;",",","&amp;SUBSTITUTE(input_area_of_focus," ","")&amp;",")))=COUNTA(TEXTSPLIT(AI143,",")))),IF(AK143="",TRUE,IF(input_area_of_focus="",TRUE,SUMPRODUCT(--ISNUMBER(SEARCH(","&amp;TRIM(TEXTSPLIT(AK143,","))&amp;",",","&amp;SUBSTITUTE(input_area_of_focus," ","")&amp;",")))=0)),IF(AM143="",TRUE,IF(input_area_of_focus="",FALSE,SUMPRODUCT(--ISNUMBER(SEARCH(","&amp;TRIM(TEXTSPLIT(AM143,","))&amp;",",","&amp;SUBSTITUTE(input_area_of_focus," ","")&amp;",")))&gt;0)),IF(AO143="",TRUE,IF(input_area_of_focus="",FALSE,SUMPRODUCT(--ISNUMBER(SEARCH(","&amp;TRIM(TEXTSPLIT(AO143,","))&amp;",",","&amp;SUBSTITUTE(input_area_of_focus," ","")&amp;",")))=COUNTA(TEXTSPLIT(AO143,",")))))</f>
        <v/>
      </c>
      <c r="IW143">
        <f>AND(IF(AQ143="",TRUE,IF(input_audience="",FALSE,SUMPRODUCT(--ISNUMBER(SEARCH(","&amp;TRIM(TEXTSPLIT(AQ143,","))&amp;",",","&amp;SUBSTITUTE(input_audience," ","")&amp;",")))&gt;0)),IF(AS143="",TRUE,IF(input_audience="",FALSE,SUMPRODUCT(--ISNUMBER(SEARCH(","&amp;TRIM(TEXTSPLIT(AS143,","))&amp;",",","&amp;SUBSTITUTE(input_audience," ","")&amp;",")))=COUNTA(TEXTSPLIT(AS143,",")))),IF(AU143="",TRUE,IF(input_audience="",TRUE,SUMPRODUCT(--ISNUMBER(SEARCH(","&amp;TRIM(TEXTSPLIT(AU143,","))&amp;",",","&amp;SUBSTITUTE(input_audience," ","")&amp;",")))=0)),IF(AW143="",TRUE,IF(input_audience="",FALSE,SUMPRODUCT(--ISNUMBER(SEARCH(","&amp;TRIM(TEXTSPLIT(AW143,","))&amp;",",","&amp;SUBSTITUTE(input_audience," ","")&amp;",")))&gt;0)),IF(AY143="",TRUE,IF(input_audience="",FALSE,SUMPRODUCT(--ISNUMBER(SEARCH(","&amp;TRIM(TEXTSPLIT(AY143,","))&amp;",",","&amp;SUBSTITUTE(input_audience," ","")&amp;",")))=COUNTA(TEXTSPLIT(AY143,",")))))</f>
        <v/>
      </c>
      <c r="IX143">
        <f>AND(IF(BA143="",TRUE,IF(input_challenge_opportunities="",FALSE,SUMPRODUCT(--ISNUMBER(SEARCH(","&amp;TRIM(TEXTSPLIT(BA143,","))&amp;",",","&amp;SUBSTITUTE(input_challenge_opportunities," ","")&amp;",")))&gt;0)),IF(BC143="",TRUE,IF(input_challenge_opportunities="",FALSE,SUMPRODUCT(--ISNUMBER(SEARCH(","&amp;TRIM(TEXTSPLIT(BC143,","))&amp;",",","&amp;SUBSTITUTE(input_challenge_opportunities," ","")&amp;",")))=COUNTA(TEXTSPLIT(BC143,",")))),IF(BE143="",TRUE,IF(input_challenge_opportunities="",TRUE,SUMPRODUCT(--ISNUMBER(SEARCH(","&amp;TRIM(TEXTSPLIT(BE143,","))&amp;",",","&amp;SUBSTITUTE(input_challenge_opportunities," ","")&amp;",")))=0)),IF(BG143="",TRUE,IF(input_challenge_opportunities="",FALSE,SUMPRODUCT(--ISNUMBER(SEARCH(","&amp;TRIM(TEXTSPLIT(BG143,","))&amp;",",","&amp;SUBSTITUTE(input_challenge_opportunities," ","")&amp;",")))&gt;0)),IF(BI143="",TRUE,IF(input_challenge_opportunities="",FALSE,SUMPRODUCT(--ISNUMBER(SEARCH(","&amp;TRIM(TEXTSPLIT(BI143,","))&amp;",",","&amp;SUBSTITUTE(input_challenge_opportunities," ","")&amp;",")))=COUNTA(TEXTSPLIT(BI143,",")))))</f>
        <v/>
      </c>
      <c r="IY143">
        <f>AND(IF(BK143="",TRUE,IF(input_context="",FALSE,SUMPRODUCT(--ISNUMBER(SEARCH(","&amp;TRIM(TEXTSPLIT(BK143,","))&amp;",",","&amp;SUBSTITUTE(input_context," ","")&amp;",")))&gt;0)),IF(BM143="",TRUE,IF(input_context="",FALSE,SUMPRODUCT(--ISNUMBER(SEARCH(","&amp;TRIM(TEXTSPLIT(BM143,","))&amp;",",","&amp;SUBSTITUTE(input_context," ","")&amp;",")))=COUNTA(TEXTSPLIT(BM143,",")))),IF(BO143="",TRUE,IF(input_context="",TRUE,SUMPRODUCT(--ISNUMBER(SEARCH(","&amp;TRIM(TEXTSPLIT(BO143,","))&amp;",",","&amp;SUBSTITUTE(input_context," ","")&amp;",")))=0)),IF(BQ143="",TRUE,IF(input_context="",FALSE,SUMPRODUCT(--ISNUMBER(SEARCH(","&amp;TRIM(TEXTSPLIT(BQ143,","))&amp;",",","&amp;SUBSTITUTE(input_context," ","")&amp;",")))&gt;0)),IF(BS143="",TRUE,IF(input_context="",FALSE,SUMPRODUCT(--ISNUMBER(SEARCH(","&amp;TRIM(TEXTSPLIT(BS143,","))&amp;",",","&amp;SUBSTITUTE(input_context," ","")&amp;",")))=COUNTA(TEXTSPLIT(BS143,",")))))</f>
        <v/>
      </c>
      <c r="IZ143">
        <f>AND(IF(BU143="",TRUE,IF(input_enews_announcement_type="",FALSE,SUMPRODUCT(--ISNUMBER(SEARCH(","&amp;TRIM(TEXTSPLIT(BU143,","))&amp;",",","&amp;SUBSTITUTE(input_enews_announcement_type," ","")&amp;",")))&gt;0)),IF(BW143="",TRUE,IF(input_enews_announcement_type="",FALSE,SUMPRODUCT(--ISNUMBER(SEARCH(","&amp;TRIM(TEXTSPLIT(BW143,","))&amp;",",","&amp;SUBSTITUTE(input_enews_announcement_type," ","")&amp;",")))=COUNTA(TEXTSPLIT(BW143,",")))),IF(BY143="",TRUE,IF(input_enews_announcement_type="",TRUE,SUMPRODUCT(--ISNUMBER(SEARCH(","&amp;TRIM(TEXTSPLIT(BY143,","))&amp;",",","&amp;SUBSTITUTE(input_enews_announcement_type," ","")&amp;",")))=0)),IF(CA143="",TRUE,IF(input_enews_announcement_type="",FALSE,SUMPRODUCT(--ISNUMBER(SEARCH(","&amp;TRIM(TEXTSPLIT(CA143,","))&amp;",",","&amp;SUBSTITUTE(input_enews_announcement_type," ","")&amp;",")))&gt;0)),IF(CC143="",TRUE,IF(input_enews_announcement_type="",FALSE,SUMPRODUCT(--ISNUMBER(SEARCH(","&amp;TRIM(TEXTSPLIT(CC143,","))&amp;",",","&amp;SUBSTITUTE(input_enews_announcement_type," ","")&amp;",")))=COUNTA(TEXTSPLIT(CC143,",")))))</f>
        <v/>
      </c>
      <c r="JA143">
        <f>AND(IF(CE143="",TRUE,IF(input_enews_audience="",FALSE,SUMPRODUCT(--ISNUMBER(SEARCH(","&amp;TRIM(TEXTSPLIT(CE143,","))&amp;",",","&amp;SUBSTITUTE(input_enews_audience," ","")&amp;",")))&gt;0)),IF(CG143="",TRUE,IF(input_enews_audience="",FALSE,SUMPRODUCT(--ISNUMBER(SEARCH(","&amp;TRIM(TEXTSPLIT(CG143,","))&amp;",",","&amp;SUBSTITUTE(input_enews_audience," ","")&amp;",")))=COUNTA(TEXTSPLIT(CG143,",")))),IF(CI143="",TRUE,IF(input_enews_audience="",TRUE,SUMPRODUCT(--ISNUMBER(SEARCH(","&amp;TRIM(TEXTSPLIT(CI143,","))&amp;",",","&amp;SUBSTITUTE(input_enews_audience," ","")&amp;",")))=0)),IF(CK143="",TRUE,IF(input_enews_audience="",FALSE,SUMPRODUCT(--ISNUMBER(SEARCH(","&amp;TRIM(TEXTSPLIT(CK143,","))&amp;",",","&amp;SUBSTITUTE(input_enews_audience," ","")&amp;",")))&gt;0)),IF(CM143="",TRUE,IF(input_enews_audience="",FALSE,SUMPRODUCT(--ISNUMBER(SEARCH(","&amp;TRIM(TEXTSPLIT(CM143,","))&amp;",",","&amp;SUBSTITUTE(input_enews_audience," ","")&amp;",")))=COUNTA(TEXTSPLIT(CM143,",")))))</f>
        <v/>
      </c>
      <c r="JB143">
        <f>AND(IF(CO143="",TRUE,IF(input_event_location="",FALSE,SUMPRODUCT(--ISNUMBER(SEARCH(","&amp;TRIM(TEXTSPLIT(CO143,","))&amp;",",","&amp;SUBSTITUTE(input_event_location," ","")&amp;",")))&gt;0)),IF(CQ143="",TRUE,IF(input_event_location="",FALSE,SUMPRODUCT(--ISNUMBER(SEARCH(","&amp;TRIM(TEXTSPLIT(CQ143,","))&amp;",",","&amp;SUBSTITUTE(input_event_location," ","")&amp;",")))=COUNTA(TEXTSPLIT(CQ143,",")))),IF(CS143="",TRUE,IF(input_event_location="",TRUE,SUMPRODUCT(--ISNUMBER(SEARCH(","&amp;TRIM(TEXTSPLIT(CS143,","))&amp;",",","&amp;SUBSTITUTE(input_event_location," ","")&amp;",")))=0)),IF(CU143="",TRUE,IF(input_event_location="",FALSE,SUMPRODUCT(--ISNUMBER(SEARCH(","&amp;TRIM(TEXTSPLIT(CU143,","))&amp;",",","&amp;SUBSTITUTE(input_event_location," ","")&amp;",")))&gt;0)),IF(CW143="",TRUE,IF(input_event_location="",FALSE,SUMPRODUCT(--ISNUMBER(SEARCH(","&amp;TRIM(TEXTSPLIT(CW143,","))&amp;",",","&amp;SUBSTITUTE(input_event_location," ","")&amp;",")))=COUNTA(TEXTSPLIT(CW143,",")))))</f>
        <v/>
      </c>
      <c r="JC143">
        <f>AND(IF(CY143="",TRUE,IF(input_event_type="",FALSE,SUMPRODUCT(--ISNUMBER(SEARCH(","&amp;TRIM(TEXTSPLIT(CY143,","))&amp;",",","&amp;SUBSTITUTE(input_event_type," ","")&amp;",")))&gt;0)),IF(DA143="",TRUE,IF(input_event_type="",FALSE,SUMPRODUCT(--ISNUMBER(SEARCH(","&amp;TRIM(TEXTSPLIT(DA143,","))&amp;",",","&amp;SUBSTITUTE(input_event_type," ","")&amp;",")))=COUNTA(TEXTSPLIT(DA143,",")))),IF(DC143="",TRUE,IF(input_event_type="",TRUE,SUMPRODUCT(--ISNUMBER(SEARCH(","&amp;TRIM(TEXTSPLIT(DC143,","))&amp;",",","&amp;SUBSTITUTE(input_event_type," ","")&amp;",")))=0)),IF(DE143="",TRUE,IF(input_event_type="",FALSE,SUMPRODUCT(--ISNUMBER(SEARCH(","&amp;TRIM(TEXTSPLIT(DE143,","))&amp;",",","&amp;SUBSTITUTE(input_event_type," ","")&amp;",")))&gt;0)),IF(DG143="",TRUE,IF(input_event_type="",FALSE,SUMPRODUCT(--ISNUMBER(SEARCH(","&amp;TRIM(TEXTSPLIT(DG143,","))&amp;",",","&amp;SUBSTITUTE(input_event_type," ","")&amp;",")))=COUNTA(TEXTSPLIT(DG143,",")))))</f>
        <v/>
      </c>
      <c r="JD143">
        <f>AND(IF(DI143="",TRUE,IF(input_executive_education_focus="",FALSE,SUMPRODUCT(--ISNUMBER(SEARCH(","&amp;TRIM(TEXTSPLIT(DI143,","))&amp;",",","&amp;SUBSTITUTE(input_executive_education_focus," ","")&amp;",")))&gt;0)),IF(DK143="",TRUE,IF(input_executive_education_focus="",FALSE,SUMPRODUCT(--ISNUMBER(SEARCH(","&amp;TRIM(TEXTSPLIT(DK143,","))&amp;",",","&amp;SUBSTITUTE(input_executive_education_focus," ","")&amp;",")))=COUNTA(TEXTSPLIT(DK143,",")))),IF(DM143="",TRUE,IF(input_executive_education_focus="",TRUE,SUMPRODUCT(--ISNUMBER(SEARCH(","&amp;TRIM(TEXTSPLIT(DM143,","))&amp;",",","&amp;SUBSTITUTE(input_executive_education_focus," ","")&amp;",")))=0)),IF(DO143="",TRUE,IF(input_executive_education_focus="",FALSE,SUMPRODUCT(--ISNUMBER(SEARCH(","&amp;TRIM(TEXTSPLIT(DO143,","))&amp;",",","&amp;SUBSTITUTE(input_executive_education_focus," ","")&amp;",")))&gt;0)),IF(DQ143="",TRUE,IF(input_executive_education_focus="",FALSE,SUMPRODUCT(--ISNUMBER(SEARCH(","&amp;TRIM(TEXTSPLIT(DQ143,","))&amp;",",","&amp;SUBSTITUTE(input_executive_education_focus," ","")&amp;",")))=COUNTA(TEXTSPLIT(DQ143,",")))))</f>
        <v/>
      </c>
      <c r="JE143">
        <f>AND(IF(DS143="",TRUE,IF(input_faculty_category="",FALSE,SUMPRODUCT(--ISNUMBER(SEARCH(","&amp;TRIM(TEXTSPLIT(DS143,","))&amp;",",","&amp;SUBSTITUTE(input_faculty_category," ","")&amp;",")))&gt;0)),IF(DU143="",TRUE,IF(input_faculty_category="",FALSE,SUMPRODUCT(--ISNUMBER(SEARCH(","&amp;TRIM(TEXTSPLIT(DU143,","))&amp;",",","&amp;SUBSTITUTE(input_faculty_category," ","")&amp;",")))=COUNTA(TEXTSPLIT(DU143,",")))),IF(DW143="",TRUE,IF(input_faculty_category="",TRUE,SUMPRODUCT(--ISNUMBER(SEARCH(","&amp;TRIM(TEXTSPLIT(DW143,","))&amp;",",","&amp;SUBSTITUTE(input_faculty_category," ","")&amp;",")))=0)),IF(DY143="",TRUE,IF(input_faculty_category="",FALSE,SUMPRODUCT(--ISNUMBER(SEARCH(","&amp;TRIM(TEXTSPLIT(DY143,","))&amp;",",","&amp;SUBSTITUTE(input_faculty_category," ","")&amp;",")))&gt;0)),IF(EA143="",TRUE,IF(input_faculty_category="",FALSE,SUMPRODUCT(--ISNUMBER(SEARCH(","&amp;TRIM(TEXTSPLIT(EA143,","))&amp;",",","&amp;SUBSTITUTE(input_faculty_category," ","")&amp;",")))=COUNTA(TEXTSPLIT(EA143,",")))))</f>
        <v/>
      </c>
      <c r="JF143">
        <f>AND(IF(EC143="",TRUE,IF(input_faculty_discipline="",FALSE,SUMPRODUCT(--ISNUMBER(SEARCH(","&amp;TRIM(TEXTSPLIT(EC143,","))&amp;",",","&amp;SUBSTITUTE(input_faculty_discipline," ","")&amp;",")))&gt;0)),IF(EE143="",TRUE,IF(input_faculty_discipline="",FALSE,SUMPRODUCT(--ISNUMBER(SEARCH(","&amp;TRIM(TEXTSPLIT(EE143,","))&amp;",",","&amp;SUBSTITUTE(input_faculty_discipline," ","")&amp;",")))=COUNTA(TEXTSPLIT(EE143,",")))),IF(EG143="",TRUE,IF(input_faculty_discipline="",TRUE,SUMPRODUCT(--ISNUMBER(SEARCH(","&amp;TRIM(TEXTSPLIT(EG143,","))&amp;",",","&amp;SUBSTITUTE(input_faculty_discipline," ","")&amp;",")))=0)),IF(EI143="",TRUE,IF(input_faculty_discipline="",FALSE,SUMPRODUCT(--ISNUMBER(SEARCH(","&amp;TRIM(TEXTSPLIT(EI143,","))&amp;",",","&amp;SUBSTITUTE(input_faculty_discipline," ","")&amp;",")))&gt;0)),IF(EK143="",TRUE,IF(input_faculty_discipline="",FALSE,SUMPRODUCT(--ISNUMBER(SEARCH(","&amp;TRIM(TEXTSPLIT(EK143,","))&amp;",",","&amp;SUBSTITUTE(input_faculty_discipline," ","")&amp;",")))=COUNTA(TEXTSPLIT(EK143,",")))))</f>
        <v/>
      </c>
      <c r="JG143">
        <f>AND(IF(EM143="",TRUE,IF(input_faculty_expertise="",FALSE,SUMPRODUCT(--ISNUMBER(SEARCH(","&amp;TRIM(TEXTSPLIT(EM143,","))&amp;",",","&amp;SUBSTITUTE(input_faculty_expertise," ","")&amp;",")))&gt;0)),IF(EO143="",TRUE,IF(input_faculty_expertise="",FALSE,SUMPRODUCT(--ISNUMBER(SEARCH(","&amp;TRIM(TEXTSPLIT(EO143,","))&amp;",",","&amp;SUBSTITUTE(input_faculty_expertise," ","")&amp;",")))=COUNTA(TEXTSPLIT(EO143,",")))),IF(EQ143="",TRUE,IF(input_faculty_expertise="",TRUE,SUMPRODUCT(--ISNUMBER(SEARCH(","&amp;TRIM(TEXTSPLIT(EQ143,","))&amp;",",","&amp;SUBSTITUTE(input_faculty_expertise," ","")&amp;",")))=0)),IF(ES143="",TRUE,IF(input_faculty_expertise="",FALSE,SUMPRODUCT(--ISNUMBER(SEARCH(","&amp;TRIM(TEXTSPLIT(ES143,","))&amp;",",","&amp;SUBSTITUTE(input_faculty_expertise," ","")&amp;",")))&gt;0)),IF(EU143="",TRUE,IF(input_faculty_expertise="",FALSE,SUMPRODUCT(--ISNUMBER(SEARCH(","&amp;TRIM(TEXTSPLIT(EU143,","))&amp;",",","&amp;SUBSTITUTE(input_faculty_expertise," ","")&amp;",")))=COUNTA(TEXTSPLIT(EU143,",")))))</f>
        <v/>
      </c>
      <c r="JH143">
        <f>AND(IF(EW143="",TRUE,IF(input_global_network_school="",FALSE,SUMPRODUCT(--ISNUMBER(SEARCH(","&amp;TRIM(TEXTSPLIT(EW143,","))&amp;",",","&amp;SUBSTITUTE(input_global_network_school," ","")&amp;",")))&gt;0)),IF(EY143="",TRUE,IF(input_global_network_school="",FALSE,SUMPRODUCT(--ISNUMBER(SEARCH(","&amp;TRIM(TEXTSPLIT(EY143,","))&amp;",",","&amp;SUBSTITUTE(input_global_network_school," ","")&amp;",")))=COUNTA(TEXTSPLIT(EY143,",")))),IF(FA143="",TRUE,IF(input_global_network_school="",TRUE,SUMPRODUCT(--ISNUMBER(SEARCH(","&amp;TRIM(TEXTSPLIT(FA143,","))&amp;",",","&amp;SUBSTITUTE(input_global_network_school," ","")&amp;",")))=0)),IF(FC143="",TRUE,IF(input_global_network_school="",FALSE,SUMPRODUCT(--ISNUMBER(SEARCH(","&amp;TRIM(TEXTSPLIT(FC143,","))&amp;",",","&amp;SUBSTITUTE(input_global_network_school," ","")&amp;",")))&gt;0)),IF(FE143="",TRUE,IF(input_global_network_school="",FALSE,SUMPRODUCT(--ISNUMBER(SEARCH(","&amp;TRIM(TEXTSPLIT(FE143,","))&amp;",",","&amp;SUBSTITUTE(input_global_network_school," ","")&amp;",")))=COUNTA(TEXTSPLIT(FE143,",")))))</f>
        <v/>
      </c>
      <c r="JI143">
        <f>AND(IF(FG143="",TRUE,IF(input_industry="",FALSE,SUMPRODUCT(--ISNUMBER(SEARCH(","&amp;TRIM(TEXTSPLIT(FG143,","))&amp;",",","&amp;SUBSTITUTE(input_industry," ","")&amp;",")))&gt;0)),IF(FI143="",TRUE,IF(input_industry="",FALSE,SUMPRODUCT(--ISNUMBER(SEARCH(","&amp;TRIM(TEXTSPLIT(FI143,","))&amp;",",","&amp;SUBSTITUTE(input_industry," ","")&amp;",")))=COUNTA(TEXTSPLIT(FI143,",")))),IF(FK143="",TRUE,IF(input_industry="",TRUE,SUMPRODUCT(--ISNUMBER(SEARCH(","&amp;TRIM(TEXTSPLIT(FK143,","))&amp;",",","&amp;SUBSTITUTE(input_industry," ","")&amp;",")))=0)),IF(FM143="",TRUE,IF(input_industry="",FALSE,SUMPRODUCT(--ISNUMBER(SEARCH(","&amp;TRIM(TEXTSPLIT(FM143,","))&amp;",",","&amp;SUBSTITUTE(input_industry," ","")&amp;",")))&gt;0)),IF(FO143="",TRUE,IF(input_industry="",FALSE,SUMPRODUCT(--ISNUMBER(SEARCH(","&amp;TRIM(TEXTSPLIT(FO143,","))&amp;",",","&amp;SUBSTITUTE(input_industry," ","")&amp;",")))=COUNTA(TEXTSPLIT(FO143,",")))))</f>
        <v/>
      </c>
      <c r="JJ143">
        <f>AND(IF(FQ143="",TRUE,IF(input_location="",FALSE,SUMPRODUCT(--ISNUMBER(SEARCH(","&amp;TRIM(TEXTSPLIT(FQ143,","))&amp;",",","&amp;SUBSTITUTE(input_location," ","")&amp;",")))&gt;0)),IF(FS143="",TRUE,IF(input_location="",FALSE,SUMPRODUCT(--ISNUMBER(SEARCH(","&amp;TRIM(TEXTSPLIT(FS143,","))&amp;",",","&amp;SUBSTITUTE(input_location," ","")&amp;",")))=COUNTA(TEXTSPLIT(FS143,",")))),IF(FU143="",TRUE,IF(input_location="",TRUE,SUMPRODUCT(--ISNUMBER(SEARCH(","&amp;TRIM(TEXTSPLIT(FU143,","))&amp;",",","&amp;SUBSTITUTE(input_location," ","")&amp;",")))=0)),IF(FW143="",TRUE,IF(input_location="",FALSE,SUMPRODUCT(--ISNUMBER(SEARCH(","&amp;TRIM(TEXTSPLIT(FW143,","))&amp;",",","&amp;SUBSTITUTE(input_location," ","")&amp;",")))&gt;0)),IF(FY143="",TRUE,IF(input_location="",FALSE,SUMPRODUCT(--ISNUMBER(SEARCH(","&amp;TRIM(TEXTSPLIT(FY143,","))&amp;",",","&amp;SUBSTITUTE(input_location," ","")&amp;",")))=COUNTA(TEXTSPLIT(FY143,",")))))</f>
        <v/>
      </c>
      <c r="JK143">
        <f>AND(IF(GA143="",TRUE,IF(input_modality="",FALSE,SUMPRODUCT(--ISNUMBER(SEARCH(","&amp;TRIM(TEXTSPLIT(GA143,","))&amp;",",","&amp;SUBSTITUTE(input_modality," ","")&amp;",")))&gt;0)),IF(GC143="",TRUE,IF(input_modality="",FALSE,SUMPRODUCT(--ISNUMBER(SEARCH(","&amp;TRIM(TEXTSPLIT(GC143,","))&amp;",",","&amp;SUBSTITUTE(input_modality," ","")&amp;",")))=COUNTA(TEXTSPLIT(GC143,",")))),IF(GE143="",TRUE,IF(input_modality="",TRUE,SUMPRODUCT(--ISNUMBER(SEARCH(","&amp;TRIM(TEXTSPLIT(GE143,","))&amp;",",","&amp;SUBSTITUTE(input_modality," ","")&amp;",")))=0)),IF(GG143="",TRUE,IF(input_modality="",FALSE,SUMPRODUCT(--ISNUMBER(SEARCH(","&amp;TRIM(TEXTSPLIT(GG143,","))&amp;",",","&amp;SUBSTITUTE(input_modality," ","")&amp;",")))&gt;0)),IF(GI143="",TRUE,IF(input_modality="",FALSE,SUMPRODUCT(--ISNUMBER(SEARCH(","&amp;TRIM(TEXTSPLIT(GI143,","))&amp;",",","&amp;SUBSTITUTE(input_modality," ","")&amp;",")))=COUNTA(TEXTSPLIT(GI143,",")))))</f>
        <v/>
      </c>
      <c r="JL143">
        <f>AND(IF(GK143="",TRUE,IF(input_organizer="",FALSE,SUMPRODUCT(--ISNUMBER(SEARCH(","&amp;TRIM(TEXTSPLIT(GK143,","))&amp;",",","&amp;SUBSTITUTE(input_organizer," ","")&amp;",")))&gt;0)),IF(GM143="",TRUE,IF(input_organizer="",FALSE,SUMPRODUCT(--ISNUMBER(SEARCH(","&amp;TRIM(TEXTSPLIT(GM143,","))&amp;",",","&amp;SUBSTITUTE(input_organizer," ","")&amp;",")))=COUNTA(TEXTSPLIT(GM143,",")))),IF(GO143="",TRUE,IF(input_organizer="",TRUE,SUMPRODUCT(--ISNUMBER(SEARCH(","&amp;TRIM(TEXTSPLIT(GO143,","))&amp;",",","&amp;SUBSTITUTE(input_organizer," ","")&amp;",")))=0)),IF(GQ143="",TRUE,IF(input_organizer="",FALSE,SUMPRODUCT(--ISNUMBER(SEARCH(","&amp;TRIM(TEXTSPLIT(GQ143,","))&amp;",",","&amp;SUBSTITUTE(input_organizer," ","")&amp;",")))&gt;0)),IF(GS143="",TRUE,IF(input_organizer="",FALSE,SUMPRODUCT(--ISNUMBER(SEARCH(","&amp;TRIM(TEXTSPLIT(GS143,","))&amp;",",","&amp;SUBSTITUTE(input_organizer," ","")&amp;",")))=COUNTA(TEXTSPLIT(GS143,",")))))</f>
        <v/>
      </c>
      <c r="JM143">
        <f>AND(IF(GU143="",TRUE,IF(input_profile_type="",FALSE,SUMPRODUCT(--ISNUMBER(SEARCH(","&amp;TRIM(TEXTSPLIT(GU143,","))&amp;",",","&amp;SUBSTITUTE(input_profile_type," ","")&amp;",")))&gt;0)),IF(GW143="",TRUE,IF(input_profile_type="",FALSE,SUMPRODUCT(--ISNUMBER(SEARCH(","&amp;TRIM(TEXTSPLIT(GW143,","))&amp;",",","&amp;SUBSTITUTE(input_profile_type," ","")&amp;",")))=COUNTA(TEXTSPLIT(GW143,",")))),IF(GY143="",TRUE,IF(input_profile_type="",TRUE,SUMPRODUCT(--ISNUMBER(SEARCH(","&amp;TRIM(TEXTSPLIT(GY143,","))&amp;",",","&amp;SUBSTITUTE(input_profile_type," ","")&amp;",")))=0)),IF(HA143="",TRUE,IF(input_profile_type="",FALSE,SUMPRODUCT(--ISNUMBER(SEARCH(","&amp;TRIM(TEXTSPLIT(HA143,","))&amp;",",","&amp;SUBSTITUTE(input_profile_type," ","")&amp;",")))&gt;0)),IF(HC143="",TRUE,IF(input_profile_type="",FALSE,SUMPRODUCT(--ISNUMBER(SEARCH(","&amp;TRIM(TEXTSPLIT(HC143,","))&amp;",",","&amp;SUBSTITUTE(input_profile_type," ","")&amp;",")))=COUNTA(TEXTSPLIT(HC143,",")))))</f>
        <v/>
      </c>
      <c r="JN143">
        <f>AND(IF(HE143="",TRUE,IF(input_program="",FALSE,SUMPRODUCT(--ISNUMBER(SEARCH(","&amp;TRIM(TEXTSPLIT(HE143,","))&amp;",",","&amp;SUBSTITUTE(input_program," ","")&amp;",")))&gt;0)),IF(HG143="",TRUE,IF(input_program="",FALSE,SUMPRODUCT(--ISNUMBER(SEARCH(","&amp;TRIM(TEXTSPLIT(HG143,","))&amp;",",","&amp;SUBSTITUTE(input_program," ","")&amp;",")))=COUNTA(TEXTSPLIT(HG143,",")))),IF(HI143="",TRUE,IF(input_program="",TRUE,SUMPRODUCT(--ISNUMBER(SEARCH(","&amp;TRIM(TEXTSPLIT(HI143,","))&amp;",",","&amp;SUBSTITUTE(input_program," ","")&amp;",")))=0)),IF(HK143="",TRUE,IF(input_program="",FALSE,SUMPRODUCT(--ISNUMBER(SEARCH(","&amp;TRIM(TEXTSPLIT(HK143,","))&amp;",",","&amp;SUBSTITUTE(input_program," ","")&amp;",")))&gt;0)),IF(HM143="",TRUE,IF(input_program="",FALSE,SUMPRODUCT(--ISNUMBER(SEARCH(","&amp;TRIM(TEXTSPLIT(HM143,","))&amp;",",","&amp;SUBSTITUTE(input_program," ","")&amp;",")))=COUNTA(TEXTSPLIT(HM143,",")))))</f>
        <v/>
      </c>
      <c r="JO143">
        <f>AND(IF(HO143="",TRUE,IF(input_story_categories="",FALSE,SUMPRODUCT(--ISNUMBER(SEARCH(","&amp;TRIM(TEXTSPLIT(HO143,","))&amp;",",","&amp;SUBSTITUTE(input_story_categories," ","")&amp;",")))&gt;0)),IF(HQ143="",TRUE,IF(input_story_categories="",FALSE,SUMPRODUCT(--ISNUMBER(SEARCH(","&amp;TRIM(TEXTSPLIT(HQ143,","))&amp;",",","&amp;SUBSTITUTE(input_story_categories," ","")&amp;",")))=COUNTA(TEXTSPLIT(HQ143,",")))),IF(HS143="",TRUE,IF(input_story_categories="",TRUE,SUMPRODUCT(--ISNUMBER(SEARCH(","&amp;TRIM(TEXTSPLIT(HS143,","))&amp;",",","&amp;SUBSTITUTE(input_story_categories," ","")&amp;",")))=0)),IF(HU143="",TRUE,IF(input_story_categories="",FALSE,SUMPRODUCT(--ISNUMBER(SEARCH(","&amp;TRIM(TEXTSPLIT(HU143,","))&amp;",",","&amp;SUBSTITUTE(input_story_categories," ","")&amp;",")))&gt;0)),IF(HW143="",TRUE,IF(input_story_categories="",FALSE,SUMPRODUCT(--ISNUMBER(SEARCH(","&amp;TRIM(TEXTSPLIT(HW143,","))&amp;",",","&amp;SUBSTITUTE(input_story_categories," ","")&amp;",")))=COUNTA(TEXTSPLIT(HW143,",")))))</f>
        <v/>
      </c>
      <c r="JP143">
        <f>AND(IF(HY143="",TRUE,IF(input_story_type="",FALSE,SUMPRODUCT(--ISNUMBER(SEARCH(","&amp;TRIM(TEXTSPLIT(HY143,","))&amp;",",","&amp;SUBSTITUTE(input_story_type," ","")&amp;",")))&gt;0)),IF(IA143="",TRUE,IF(input_story_type="",FALSE,SUMPRODUCT(--ISNUMBER(SEARCH(","&amp;TRIM(TEXTSPLIT(IA143,","))&amp;",",","&amp;SUBSTITUTE(input_story_type," ","")&amp;",")))=COUNTA(TEXTSPLIT(IA143,",")))),IF(IC143="",TRUE,IF(input_story_type="",TRUE,SUMPRODUCT(--ISNUMBER(SEARCH(","&amp;TRIM(TEXTSPLIT(IC143,","))&amp;",",","&amp;SUBSTITUTE(input_story_type," ","")&amp;",")))=0)),IF(IE143="",TRUE,IF(input_story_type="",FALSE,SUMPRODUCT(--ISNUMBER(SEARCH(","&amp;TRIM(TEXTSPLIT(IE143,","))&amp;",",","&amp;SUBSTITUTE(input_story_type," ","")&amp;",")))&gt;0)),IF(IG143="",TRUE,IF(input_story_type="",FALSE,SUMPRODUCT(--ISNUMBER(SEARCH(","&amp;TRIM(TEXTSPLIT(IG143,","))&amp;",",","&amp;SUBSTITUTE(input_story_type," ","")&amp;",")))=COUNTA(TEXTSPLIT(IG143,",")))))</f>
        <v/>
      </c>
      <c r="JQ143">
        <f>AND(IF(II143="",TRUE,IF(input_topics="",FALSE,SUMPRODUCT(--ISNUMBER(SEARCH(","&amp;TRIM(TEXTSPLIT(II143,","))&amp;",",","&amp;SUBSTITUTE(input_topics," ","")&amp;",")))&gt;0)),IF(IK143="",TRUE,IF(input_topics="",FALSE,SUMPRODUCT(--ISNUMBER(SEARCH(","&amp;TRIM(TEXTSPLIT(IK143,","))&amp;",",","&amp;SUBSTITUTE(input_topics," ","")&amp;",")))=COUNTA(TEXTSPLIT(IK143,",")))),IF(IM143="",TRUE,IF(input_topics="",TRUE,SUMPRODUCT(--ISNUMBER(SEARCH(","&amp;TRIM(TEXTSPLIT(IM143,","))&amp;",",","&amp;SUBSTITUTE(input_topics," ","")&amp;",")))=0)),IF(IO143="",TRUE,IF(input_topics="",FALSE,SUMPRODUCT(--ISNUMBER(SEARCH(","&amp;TRIM(TEXTSPLIT(IO143,","))&amp;",",","&amp;SUBSTITUTE(input_topics," ","")&amp;",")))&gt;0)),IF(IQ143="",TRUE,IF(input_topics="",FALSE,SUMPRODUCT(--ISNUMBER(SEARCH(","&amp;TRIM(TEXTSPLIT(IQ143,","))&amp;",",","&amp;SUBSTITUTE(input_topics," ","")&amp;",")))=COUNTA(TEXTSPLIT(IQ143,",")))))</f>
        <v/>
      </c>
    </row>
    <row r="144">
      <c r="A144" s="4">
        <f>IF(NOT(IS144),"Excluded",IF(AND(IT144,IU144,IV144,IW144,IX144,IY144,IZ144,JA144,JB144,JC144,JD144,JE144,JF144,JG144,JH144,JI144,JJ144,JK144,JL144,JM144,JN144,JO144,JP144,JQ144),IF(I144&gt;0,"Eligible but limited","Will appear"),"Excluded"))</f>
        <v/>
      </c>
      <c r="B144" s="4" t="inlineStr">
        <is>
          <t>News - Summary</t>
        </is>
      </c>
      <c r="C144" s="4" t="inlineStr">
        <is>
          <t>/the-som-experience/interests-and-industries/social-impact</t>
        </is>
      </c>
      <c r="D144" s="4" t="inlineStr">
        <is>
          <t>/the-som-experience/interests-and-industries/social-impact</t>
        </is>
      </c>
      <c r="E144" s="4" t="n">
        <v>1</v>
      </c>
      <c r="F144" s="4" t="inlineStr">
        <is>
          <t>story</t>
        </is>
      </c>
      <c r="G144" s="4" t="inlineStr">
        <is>
          <t>stories_mosaic_grid</t>
        </is>
      </c>
      <c r="H144" s="4" t="inlineStr">
        <is>
          <t>embed_news_summary</t>
        </is>
      </c>
      <c r="I144" s="4" t="n">
        <v>1</v>
      </c>
      <c r="J144" s="4" t="inlineStr">
        <is>
          <t>View/config rules</t>
        </is>
      </c>
      <c r="K144" s="4" t="inlineStr">
        <is>
          <t>Page placement</t>
        </is>
      </c>
      <c r="L144" s="4" t="inlineStr">
        <is>
          <t>Content type: story; Needs any Story Type: News (924); Limited to 1 item(s); Source: View/config rules</t>
        </is>
      </c>
      <c r="M144" t="inlineStr"/>
      <c r="N144" t="inlineStr"/>
      <c r="O144" t="inlineStr"/>
      <c r="P144" t="inlineStr"/>
      <c r="Q144" t="inlineStr"/>
      <c r="R144" t="inlineStr"/>
      <c r="S144" t="inlineStr"/>
      <c r="T144" t="inlineStr"/>
      <c r="U144" t="inlineStr"/>
      <c r="V144" t="inlineStr"/>
      <c r="W144" t="inlineStr"/>
      <c r="X144" t="inlineStr"/>
      <c r="Y144" t="inlineStr"/>
      <c r="Z144" t="inlineStr"/>
      <c r="AA144" t="inlineStr"/>
      <c r="AB144" t="inlineStr"/>
      <c r="AC144" t="inlineStr"/>
      <c r="AD144" t="inlineStr"/>
      <c r="AE144" t="inlineStr"/>
      <c r="AF144" t="inlineStr"/>
      <c r="AG144" t="inlineStr"/>
      <c r="AH144" t="inlineStr"/>
      <c r="AI144" t="inlineStr"/>
      <c r="AJ144" t="inlineStr"/>
      <c r="AK144" t="inlineStr"/>
      <c r="AL144" t="inlineStr"/>
      <c r="AM144" t="inlineStr"/>
      <c r="AN144" t="inlineStr"/>
      <c r="AO144" t="inlineStr"/>
      <c r="AP144" t="inlineStr"/>
      <c r="AQ144" t="inlineStr"/>
      <c r="AR144" t="inlineStr"/>
      <c r="AS144" t="inlineStr"/>
      <c r="AT144" t="inlineStr"/>
      <c r="AU144" t="inlineStr"/>
      <c r="AV144" t="inlineStr"/>
      <c r="AW144" t="inlineStr"/>
      <c r="AX144" t="inlineStr"/>
      <c r="AY144" t="inlineStr"/>
      <c r="AZ144" t="inlineStr"/>
      <c r="BA144" t="inlineStr"/>
      <c r="BB144" t="inlineStr"/>
      <c r="BC144" t="inlineStr"/>
      <c r="BD144" t="inlineStr"/>
      <c r="BE144" t="inlineStr"/>
      <c r="BF144" t="inlineStr"/>
      <c r="BG144" t="inlineStr"/>
      <c r="BH144" t="inlineStr"/>
      <c r="BI144" t="inlineStr"/>
      <c r="BJ144" t="inlineStr"/>
      <c r="BK144" t="inlineStr"/>
      <c r="BL144" t="inlineStr"/>
      <c r="BM144" t="inlineStr"/>
      <c r="BN144" t="inlineStr"/>
      <c r="BO144" t="inlineStr"/>
      <c r="BP144" t="inlineStr"/>
      <c r="BQ144" t="inlineStr"/>
      <c r="BR144" t="inlineStr"/>
      <c r="BS144" t="inlineStr"/>
      <c r="BT144" t="inlineStr"/>
      <c r="BU144" t="inlineStr"/>
      <c r="BV144" t="inlineStr"/>
      <c r="BW144" t="inlineStr"/>
      <c r="BX144" t="inlineStr"/>
      <c r="BY144" t="inlineStr"/>
      <c r="BZ144" t="inlineStr"/>
      <c r="CA144" t="inlineStr"/>
      <c r="CB144" t="inlineStr"/>
      <c r="CC144" t="inlineStr"/>
      <c r="CD144" t="inlineStr"/>
      <c r="CE144" t="inlineStr"/>
      <c r="CF144" t="inlineStr"/>
      <c r="CG144" t="inlineStr"/>
      <c r="CH144" t="inlineStr"/>
      <c r="CI144" t="inlineStr"/>
      <c r="CJ144" t="inlineStr"/>
      <c r="CK144" t="inlineStr"/>
      <c r="CL144" t="inlineStr"/>
      <c r="CM144" t="inlineStr"/>
      <c r="CN144" t="inlineStr"/>
      <c r="CO144" t="inlineStr"/>
      <c r="CP144" t="inlineStr"/>
      <c r="CQ144" t="inlineStr"/>
      <c r="CR144" t="inlineStr"/>
      <c r="CS144" t="inlineStr"/>
      <c r="CT144" t="inlineStr"/>
      <c r="CU144" t="inlineStr"/>
      <c r="CV144" t="inlineStr"/>
      <c r="CW144" t="inlineStr"/>
      <c r="CX144" t="inlineStr"/>
      <c r="CY144" t="inlineStr"/>
      <c r="CZ144" t="inlineStr"/>
      <c r="DA144" t="inlineStr"/>
      <c r="DB144" t="inlineStr"/>
      <c r="DC144" t="inlineStr"/>
      <c r="DD144" t="inlineStr"/>
      <c r="DE144" t="inlineStr"/>
      <c r="DF144" t="inlineStr"/>
      <c r="DG144" t="inlineStr"/>
      <c r="DH144" t="inlineStr"/>
      <c r="DI144" t="inlineStr"/>
      <c r="DJ144" t="inlineStr"/>
      <c r="DK144" t="inlineStr"/>
      <c r="DL144" t="inlineStr"/>
      <c r="DM144" t="inlineStr"/>
      <c r="DN144" t="inlineStr"/>
      <c r="DO144" t="inlineStr"/>
      <c r="DP144" t="inlineStr"/>
      <c r="DQ144" t="inlineStr"/>
      <c r="DR144" t="inlineStr"/>
      <c r="DS144" t="inlineStr"/>
      <c r="DT144" t="inlineStr"/>
      <c r="DU144" t="inlineStr"/>
      <c r="DV144" t="inlineStr"/>
      <c r="DW144" t="inlineStr"/>
      <c r="DX144" t="inlineStr"/>
      <c r="DY144" t="inlineStr"/>
      <c r="DZ144" t="inlineStr"/>
      <c r="EA144" t="inlineStr"/>
      <c r="EB144" t="inlineStr"/>
      <c r="EC144" t="inlineStr"/>
      <c r="ED144" t="inlineStr"/>
      <c r="EE144" t="inlineStr"/>
      <c r="EF144" t="inlineStr"/>
      <c r="EG144" t="inlineStr"/>
      <c r="EH144" t="inlineStr"/>
      <c r="EI144" t="inlineStr"/>
      <c r="EJ144" t="inlineStr"/>
      <c r="EK144" t="inlineStr"/>
      <c r="EL144" t="inlineStr"/>
      <c r="EM144" t="inlineStr"/>
      <c r="EN144" t="inlineStr"/>
      <c r="EO144" t="inlineStr"/>
      <c r="EP144" t="inlineStr"/>
      <c r="EQ144" t="inlineStr"/>
      <c r="ER144" t="inlineStr"/>
      <c r="ES144" t="inlineStr"/>
      <c r="ET144" t="inlineStr"/>
      <c r="EU144" t="inlineStr"/>
      <c r="EV144" t="inlineStr"/>
      <c r="EW144" t="inlineStr"/>
      <c r="EX144" t="inlineStr"/>
      <c r="EY144" t="inlineStr"/>
      <c r="EZ144" t="inlineStr"/>
      <c r="FA144" t="inlineStr"/>
      <c r="FB144" t="inlineStr"/>
      <c r="FC144" t="inlineStr"/>
      <c r="FD144" t="inlineStr"/>
      <c r="FE144" t="inlineStr"/>
      <c r="FF144" t="inlineStr"/>
      <c r="FG144" t="inlineStr"/>
      <c r="FH144" t="inlineStr"/>
      <c r="FI144" t="inlineStr"/>
      <c r="FJ144" t="inlineStr"/>
      <c r="FK144" t="inlineStr"/>
      <c r="FL144" t="inlineStr"/>
      <c r="FM144" t="inlineStr"/>
      <c r="FN144" t="inlineStr"/>
      <c r="FO144" t="inlineStr"/>
      <c r="FP144" t="inlineStr"/>
      <c r="FQ144" t="inlineStr"/>
      <c r="FR144" t="inlineStr"/>
      <c r="FS144" t="inlineStr"/>
      <c r="FT144" t="inlineStr"/>
      <c r="FU144" t="inlineStr"/>
      <c r="FV144" t="inlineStr"/>
      <c r="FW144" t="inlineStr"/>
      <c r="FX144" t="inlineStr"/>
      <c r="FY144" t="inlineStr"/>
      <c r="FZ144" t="inlineStr"/>
      <c r="GA144" t="inlineStr"/>
      <c r="GB144" t="inlineStr"/>
      <c r="GC144" t="inlineStr"/>
      <c r="GD144" t="inlineStr"/>
      <c r="GE144" t="inlineStr"/>
      <c r="GF144" t="inlineStr"/>
      <c r="GG144" t="inlineStr"/>
      <c r="GH144" t="inlineStr"/>
      <c r="GI144" t="inlineStr"/>
      <c r="GJ144" t="inlineStr"/>
      <c r="GK144" t="inlineStr"/>
      <c r="GL144" t="inlineStr"/>
      <c r="GM144" t="inlineStr"/>
      <c r="GN144" t="inlineStr"/>
      <c r="GO144" t="inlineStr"/>
      <c r="GP144" t="inlineStr"/>
      <c r="GQ144" t="inlineStr"/>
      <c r="GR144" t="inlineStr"/>
      <c r="GS144" t="inlineStr"/>
      <c r="GT144" t="inlineStr"/>
      <c r="GU144" t="inlineStr"/>
      <c r="GV144" t="inlineStr"/>
      <c r="GW144" t="inlineStr"/>
      <c r="GX144" t="inlineStr"/>
      <c r="GY144" t="inlineStr"/>
      <c r="GZ144" t="inlineStr"/>
      <c r="HA144" t="inlineStr"/>
      <c r="HB144" t="inlineStr"/>
      <c r="HC144" t="inlineStr"/>
      <c r="HD144" t="inlineStr"/>
      <c r="HE144" t="inlineStr"/>
      <c r="HF144" t="inlineStr"/>
      <c r="HG144" t="inlineStr"/>
      <c r="HH144" t="inlineStr"/>
      <c r="HI144" t="inlineStr"/>
      <c r="HJ144" t="inlineStr"/>
      <c r="HK144" t="inlineStr"/>
      <c r="HL144" t="inlineStr"/>
      <c r="HM144" t="inlineStr"/>
      <c r="HN144" t="inlineStr"/>
      <c r="HO144" t="inlineStr"/>
      <c r="HP144" t="inlineStr"/>
      <c r="HQ144" t="inlineStr"/>
      <c r="HR144" t="inlineStr"/>
      <c r="HS144" t="inlineStr"/>
      <c r="HT144" t="inlineStr"/>
      <c r="HU144" t="inlineStr"/>
      <c r="HV144" t="inlineStr"/>
      <c r="HW144" t="inlineStr"/>
      <c r="HX144" t="inlineStr"/>
      <c r="HY144" t="inlineStr">
        <is>
          <t>924</t>
        </is>
      </c>
      <c r="HZ144" t="inlineStr">
        <is>
          <t>News (924)</t>
        </is>
      </c>
      <c r="IA144" t="inlineStr"/>
      <c r="IB144" t="inlineStr"/>
      <c r="IC144" t="inlineStr"/>
      <c r="ID144" t="inlineStr"/>
      <c r="IE144" t="inlineStr"/>
      <c r="IF144" t="inlineStr"/>
      <c r="IG144" t="inlineStr"/>
      <c r="IH144" t="inlineStr"/>
      <c r="II144" t="inlineStr"/>
      <c r="IJ144" t="inlineStr"/>
      <c r="IK144" t="inlineStr"/>
      <c r="IL144" t="inlineStr"/>
      <c r="IM144" t="inlineStr"/>
      <c r="IN144" t="inlineStr"/>
      <c r="IO144" t="inlineStr"/>
      <c r="IP144" t="inlineStr"/>
      <c r="IQ144" t="inlineStr"/>
      <c r="IR144" t="inlineStr"/>
      <c r="IS144">
        <f>IF(input_content_type="",FALSE,ISNUMBER(SEARCH(","&amp;LOWER(input_content_type)&amp;",",","&amp;LOWER(F144)&amp;",")))</f>
        <v/>
      </c>
      <c r="IT144">
        <f>AND(IF(M144="",TRUE,IF(input_affiliations="",FALSE,SUMPRODUCT(--ISNUMBER(SEARCH(","&amp;TRIM(TEXTSPLIT(M144,","))&amp;",",","&amp;SUBSTITUTE(input_affiliations," ","")&amp;",")))&gt;0)),IF(O144="",TRUE,IF(input_affiliations="",FALSE,SUMPRODUCT(--ISNUMBER(SEARCH(","&amp;TRIM(TEXTSPLIT(O144,","))&amp;",",","&amp;SUBSTITUTE(input_affiliations," ","")&amp;",")))=COUNTA(TEXTSPLIT(O144,",")))),IF(Q144="",TRUE,IF(input_affiliations="",TRUE,SUMPRODUCT(--ISNUMBER(SEARCH(","&amp;TRIM(TEXTSPLIT(Q144,","))&amp;",",","&amp;SUBSTITUTE(input_affiliations," ","")&amp;",")))=0)),IF(S144="",TRUE,IF(input_affiliations="",FALSE,SUMPRODUCT(--ISNUMBER(SEARCH(","&amp;TRIM(TEXTSPLIT(S144,","))&amp;",",","&amp;SUBSTITUTE(input_affiliations," ","")&amp;",")))&gt;0)),IF(U144="",TRUE,IF(input_affiliations="",FALSE,SUMPRODUCT(--ISNUMBER(SEARCH(","&amp;TRIM(TEXTSPLIT(U144,","))&amp;",",","&amp;SUBSTITUTE(input_affiliations," ","")&amp;",")))=COUNTA(TEXTSPLIT(U144,",")))))</f>
        <v/>
      </c>
      <c r="IU144">
        <f>AND(IF(W144="",TRUE,IF(input_announcement_category="",FALSE,SUMPRODUCT(--ISNUMBER(SEARCH(","&amp;TRIM(TEXTSPLIT(W144,","))&amp;",",","&amp;SUBSTITUTE(input_announcement_category," ","")&amp;",")))&gt;0)),IF(Y144="",TRUE,IF(input_announcement_category="",FALSE,SUMPRODUCT(--ISNUMBER(SEARCH(","&amp;TRIM(TEXTSPLIT(Y144,","))&amp;",",","&amp;SUBSTITUTE(input_announcement_category," ","")&amp;",")))=COUNTA(TEXTSPLIT(Y144,",")))),IF(AA144="",TRUE,IF(input_announcement_category="",TRUE,SUMPRODUCT(--ISNUMBER(SEARCH(","&amp;TRIM(TEXTSPLIT(AA144,","))&amp;",",","&amp;SUBSTITUTE(input_announcement_category," ","")&amp;",")))=0)),IF(AC144="",TRUE,IF(input_announcement_category="",FALSE,SUMPRODUCT(--ISNUMBER(SEARCH(","&amp;TRIM(TEXTSPLIT(AC144,","))&amp;",",","&amp;SUBSTITUTE(input_announcement_category," ","")&amp;",")))&gt;0)),IF(AE144="",TRUE,IF(input_announcement_category="",FALSE,SUMPRODUCT(--ISNUMBER(SEARCH(","&amp;TRIM(TEXTSPLIT(AE144,","))&amp;",",","&amp;SUBSTITUTE(input_announcement_category," ","")&amp;",")))=COUNTA(TEXTSPLIT(AE144,",")))))</f>
        <v/>
      </c>
      <c r="IV144">
        <f>AND(IF(AG144="",TRUE,IF(input_area_of_focus="",FALSE,SUMPRODUCT(--ISNUMBER(SEARCH(","&amp;TRIM(TEXTSPLIT(AG144,","))&amp;",",","&amp;SUBSTITUTE(input_area_of_focus," ","")&amp;",")))&gt;0)),IF(AI144="",TRUE,IF(input_area_of_focus="",FALSE,SUMPRODUCT(--ISNUMBER(SEARCH(","&amp;TRIM(TEXTSPLIT(AI144,","))&amp;",",","&amp;SUBSTITUTE(input_area_of_focus," ","")&amp;",")))=COUNTA(TEXTSPLIT(AI144,",")))),IF(AK144="",TRUE,IF(input_area_of_focus="",TRUE,SUMPRODUCT(--ISNUMBER(SEARCH(","&amp;TRIM(TEXTSPLIT(AK144,","))&amp;",",","&amp;SUBSTITUTE(input_area_of_focus," ","")&amp;",")))=0)),IF(AM144="",TRUE,IF(input_area_of_focus="",FALSE,SUMPRODUCT(--ISNUMBER(SEARCH(","&amp;TRIM(TEXTSPLIT(AM144,","))&amp;",",","&amp;SUBSTITUTE(input_area_of_focus," ","")&amp;",")))&gt;0)),IF(AO144="",TRUE,IF(input_area_of_focus="",FALSE,SUMPRODUCT(--ISNUMBER(SEARCH(","&amp;TRIM(TEXTSPLIT(AO144,","))&amp;",",","&amp;SUBSTITUTE(input_area_of_focus," ","")&amp;",")))=COUNTA(TEXTSPLIT(AO144,",")))))</f>
        <v/>
      </c>
      <c r="IW144">
        <f>AND(IF(AQ144="",TRUE,IF(input_audience="",FALSE,SUMPRODUCT(--ISNUMBER(SEARCH(","&amp;TRIM(TEXTSPLIT(AQ144,","))&amp;",",","&amp;SUBSTITUTE(input_audience," ","")&amp;",")))&gt;0)),IF(AS144="",TRUE,IF(input_audience="",FALSE,SUMPRODUCT(--ISNUMBER(SEARCH(","&amp;TRIM(TEXTSPLIT(AS144,","))&amp;",",","&amp;SUBSTITUTE(input_audience," ","")&amp;",")))=COUNTA(TEXTSPLIT(AS144,",")))),IF(AU144="",TRUE,IF(input_audience="",TRUE,SUMPRODUCT(--ISNUMBER(SEARCH(","&amp;TRIM(TEXTSPLIT(AU144,","))&amp;",",","&amp;SUBSTITUTE(input_audience," ","")&amp;",")))=0)),IF(AW144="",TRUE,IF(input_audience="",FALSE,SUMPRODUCT(--ISNUMBER(SEARCH(","&amp;TRIM(TEXTSPLIT(AW144,","))&amp;",",","&amp;SUBSTITUTE(input_audience," ","")&amp;",")))&gt;0)),IF(AY144="",TRUE,IF(input_audience="",FALSE,SUMPRODUCT(--ISNUMBER(SEARCH(","&amp;TRIM(TEXTSPLIT(AY144,","))&amp;",",","&amp;SUBSTITUTE(input_audience," ","")&amp;",")))=COUNTA(TEXTSPLIT(AY144,",")))))</f>
        <v/>
      </c>
      <c r="IX144">
        <f>AND(IF(BA144="",TRUE,IF(input_challenge_opportunities="",FALSE,SUMPRODUCT(--ISNUMBER(SEARCH(","&amp;TRIM(TEXTSPLIT(BA144,","))&amp;",",","&amp;SUBSTITUTE(input_challenge_opportunities," ","")&amp;",")))&gt;0)),IF(BC144="",TRUE,IF(input_challenge_opportunities="",FALSE,SUMPRODUCT(--ISNUMBER(SEARCH(","&amp;TRIM(TEXTSPLIT(BC144,","))&amp;",",","&amp;SUBSTITUTE(input_challenge_opportunities," ","")&amp;",")))=COUNTA(TEXTSPLIT(BC144,",")))),IF(BE144="",TRUE,IF(input_challenge_opportunities="",TRUE,SUMPRODUCT(--ISNUMBER(SEARCH(","&amp;TRIM(TEXTSPLIT(BE144,","))&amp;",",","&amp;SUBSTITUTE(input_challenge_opportunities," ","")&amp;",")))=0)),IF(BG144="",TRUE,IF(input_challenge_opportunities="",FALSE,SUMPRODUCT(--ISNUMBER(SEARCH(","&amp;TRIM(TEXTSPLIT(BG144,","))&amp;",",","&amp;SUBSTITUTE(input_challenge_opportunities," ","")&amp;",")))&gt;0)),IF(BI144="",TRUE,IF(input_challenge_opportunities="",FALSE,SUMPRODUCT(--ISNUMBER(SEARCH(","&amp;TRIM(TEXTSPLIT(BI144,","))&amp;",",","&amp;SUBSTITUTE(input_challenge_opportunities," ","")&amp;",")))=COUNTA(TEXTSPLIT(BI144,",")))))</f>
        <v/>
      </c>
      <c r="IY144">
        <f>AND(IF(BK144="",TRUE,IF(input_context="",FALSE,SUMPRODUCT(--ISNUMBER(SEARCH(","&amp;TRIM(TEXTSPLIT(BK144,","))&amp;",",","&amp;SUBSTITUTE(input_context," ","")&amp;",")))&gt;0)),IF(BM144="",TRUE,IF(input_context="",FALSE,SUMPRODUCT(--ISNUMBER(SEARCH(","&amp;TRIM(TEXTSPLIT(BM144,","))&amp;",",","&amp;SUBSTITUTE(input_context," ","")&amp;",")))=COUNTA(TEXTSPLIT(BM144,",")))),IF(BO144="",TRUE,IF(input_context="",TRUE,SUMPRODUCT(--ISNUMBER(SEARCH(","&amp;TRIM(TEXTSPLIT(BO144,","))&amp;",",","&amp;SUBSTITUTE(input_context," ","")&amp;",")))=0)),IF(BQ144="",TRUE,IF(input_context="",FALSE,SUMPRODUCT(--ISNUMBER(SEARCH(","&amp;TRIM(TEXTSPLIT(BQ144,","))&amp;",",","&amp;SUBSTITUTE(input_context," ","")&amp;",")))&gt;0)),IF(BS144="",TRUE,IF(input_context="",FALSE,SUMPRODUCT(--ISNUMBER(SEARCH(","&amp;TRIM(TEXTSPLIT(BS144,","))&amp;",",","&amp;SUBSTITUTE(input_context," ","")&amp;",")))=COUNTA(TEXTSPLIT(BS144,",")))))</f>
        <v/>
      </c>
      <c r="IZ144">
        <f>AND(IF(BU144="",TRUE,IF(input_enews_announcement_type="",FALSE,SUMPRODUCT(--ISNUMBER(SEARCH(","&amp;TRIM(TEXTSPLIT(BU144,","))&amp;",",","&amp;SUBSTITUTE(input_enews_announcement_type," ","")&amp;",")))&gt;0)),IF(BW144="",TRUE,IF(input_enews_announcement_type="",FALSE,SUMPRODUCT(--ISNUMBER(SEARCH(","&amp;TRIM(TEXTSPLIT(BW144,","))&amp;",",","&amp;SUBSTITUTE(input_enews_announcement_type," ","")&amp;",")))=COUNTA(TEXTSPLIT(BW144,",")))),IF(BY144="",TRUE,IF(input_enews_announcement_type="",TRUE,SUMPRODUCT(--ISNUMBER(SEARCH(","&amp;TRIM(TEXTSPLIT(BY144,","))&amp;",",","&amp;SUBSTITUTE(input_enews_announcement_type," ","")&amp;",")))=0)),IF(CA144="",TRUE,IF(input_enews_announcement_type="",FALSE,SUMPRODUCT(--ISNUMBER(SEARCH(","&amp;TRIM(TEXTSPLIT(CA144,","))&amp;",",","&amp;SUBSTITUTE(input_enews_announcement_type," ","")&amp;",")))&gt;0)),IF(CC144="",TRUE,IF(input_enews_announcement_type="",FALSE,SUMPRODUCT(--ISNUMBER(SEARCH(","&amp;TRIM(TEXTSPLIT(CC144,","))&amp;",",","&amp;SUBSTITUTE(input_enews_announcement_type," ","")&amp;",")))=COUNTA(TEXTSPLIT(CC144,",")))))</f>
        <v/>
      </c>
      <c r="JA144">
        <f>AND(IF(CE144="",TRUE,IF(input_enews_audience="",FALSE,SUMPRODUCT(--ISNUMBER(SEARCH(","&amp;TRIM(TEXTSPLIT(CE144,","))&amp;",",","&amp;SUBSTITUTE(input_enews_audience," ","")&amp;",")))&gt;0)),IF(CG144="",TRUE,IF(input_enews_audience="",FALSE,SUMPRODUCT(--ISNUMBER(SEARCH(","&amp;TRIM(TEXTSPLIT(CG144,","))&amp;",",","&amp;SUBSTITUTE(input_enews_audience," ","")&amp;",")))=COUNTA(TEXTSPLIT(CG144,",")))),IF(CI144="",TRUE,IF(input_enews_audience="",TRUE,SUMPRODUCT(--ISNUMBER(SEARCH(","&amp;TRIM(TEXTSPLIT(CI144,","))&amp;",",","&amp;SUBSTITUTE(input_enews_audience," ","")&amp;",")))=0)),IF(CK144="",TRUE,IF(input_enews_audience="",FALSE,SUMPRODUCT(--ISNUMBER(SEARCH(","&amp;TRIM(TEXTSPLIT(CK144,","))&amp;",",","&amp;SUBSTITUTE(input_enews_audience," ","")&amp;",")))&gt;0)),IF(CM144="",TRUE,IF(input_enews_audience="",FALSE,SUMPRODUCT(--ISNUMBER(SEARCH(","&amp;TRIM(TEXTSPLIT(CM144,","))&amp;",",","&amp;SUBSTITUTE(input_enews_audience," ","")&amp;",")))=COUNTA(TEXTSPLIT(CM144,",")))))</f>
        <v/>
      </c>
      <c r="JB144">
        <f>AND(IF(CO144="",TRUE,IF(input_event_location="",FALSE,SUMPRODUCT(--ISNUMBER(SEARCH(","&amp;TRIM(TEXTSPLIT(CO144,","))&amp;",",","&amp;SUBSTITUTE(input_event_location," ","")&amp;",")))&gt;0)),IF(CQ144="",TRUE,IF(input_event_location="",FALSE,SUMPRODUCT(--ISNUMBER(SEARCH(","&amp;TRIM(TEXTSPLIT(CQ144,","))&amp;",",","&amp;SUBSTITUTE(input_event_location," ","")&amp;",")))=COUNTA(TEXTSPLIT(CQ144,",")))),IF(CS144="",TRUE,IF(input_event_location="",TRUE,SUMPRODUCT(--ISNUMBER(SEARCH(","&amp;TRIM(TEXTSPLIT(CS144,","))&amp;",",","&amp;SUBSTITUTE(input_event_location," ","")&amp;",")))=0)),IF(CU144="",TRUE,IF(input_event_location="",FALSE,SUMPRODUCT(--ISNUMBER(SEARCH(","&amp;TRIM(TEXTSPLIT(CU144,","))&amp;",",","&amp;SUBSTITUTE(input_event_location," ","")&amp;",")))&gt;0)),IF(CW144="",TRUE,IF(input_event_location="",FALSE,SUMPRODUCT(--ISNUMBER(SEARCH(","&amp;TRIM(TEXTSPLIT(CW144,","))&amp;",",","&amp;SUBSTITUTE(input_event_location," ","")&amp;",")))=COUNTA(TEXTSPLIT(CW144,",")))))</f>
        <v/>
      </c>
      <c r="JC144">
        <f>AND(IF(CY144="",TRUE,IF(input_event_type="",FALSE,SUMPRODUCT(--ISNUMBER(SEARCH(","&amp;TRIM(TEXTSPLIT(CY144,","))&amp;",",","&amp;SUBSTITUTE(input_event_type," ","")&amp;",")))&gt;0)),IF(DA144="",TRUE,IF(input_event_type="",FALSE,SUMPRODUCT(--ISNUMBER(SEARCH(","&amp;TRIM(TEXTSPLIT(DA144,","))&amp;",",","&amp;SUBSTITUTE(input_event_type," ","")&amp;",")))=COUNTA(TEXTSPLIT(DA144,",")))),IF(DC144="",TRUE,IF(input_event_type="",TRUE,SUMPRODUCT(--ISNUMBER(SEARCH(","&amp;TRIM(TEXTSPLIT(DC144,","))&amp;",",","&amp;SUBSTITUTE(input_event_type," ","")&amp;",")))=0)),IF(DE144="",TRUE,IF(input_event_type="",FALSE,SUMPRODUCT(--ISNUMBER(SEARCH(","&amp;TRIM(TEXTSPLIT(DE144,","))&amp;",",","&amp;SUBSTITUTE(input_event_type," ","")&amp;",")))&gt;0)),IF(DG144="",TRUE,IF(input_event_type="",FALSE,SUMPRODUCT(--ISNUMBER(SEARCH(","&amp;TRIM(TEXTSPLIT(DG144,","))&amp;",",","&amp;SUBSTITUTE(input_event_type," ","")&amp;",")))=COUNTA(TEXTSPLIT(DG144,",")))))</f>
        <v/>
      </c>
      <c r="JD144">
        <f>AND(IF(DI144="",TRUE,IF(input_executive_education_focus="",FALSE,SUMPRODUCT(--ISNUMBER(SEARCH(","&amp;TRIM(TEXTSPLIT(DI144,","))&amp;",",","&amp;SUBSTITUTE(input_executive_education_focus," ","")&amp;",")))&gt;0)),IF(DK144="",TRUE,IF(input_executive_education_focus="",FALSE,SUMPRODUCT(--ISNUMBER(SEARCH(","&amp;TRIM(TEXTSPLIT(DK144,","))&amp;",",","&amp;SUBSTITUTE(input_executive_education_focus," ","")&amp;",")))=COUNTA(TEXTSPLIT(DK144,",")))),IF(DM144="",TRUE,IF(input_executive_education_focus="",TRUE,SUMPRODUCT(--ISNUMBER(SEARCH(","&amp;TRIM(TEXTSPLIT(DM144,","))&amp;",",","&amp;SUBSTITUTE(input_executive_education_focus," ","")&amp;",")))=0)),IF(DO144="",TRUE,IF(input_executive_education_focus="",FALSE,SUMPRODUCT(--ISNUMBER(SEARCH(","&amp;TRIM(TEXTSPLIT(DO144,","))&amp;",",","&amp;SUBSTITUTE(input_executive_education_focus," ","")&amp;",")))&gt;0)),IF(DQ144="",TRUE,IF(input_executive_education_focus="",FALSE,SUMPRODUCT(--ISNUMBER(SEARCH(","&amp;TRIM(TEXTSPLIT(DQ144,","))&amp;",",","&amp;SUBSTITUTE(input_executive_education_focus," ","")&amp;",")))=COUNTA(TEXTSPLIT(DQ144,",")))))</f>
        <v/>
      </c>
      <c r="JE144">
        <f>AND(IF(DS144="",TRUE,IF(input_faculty_category="",FALSE,SUMPRODUCT(--ISNUMBER(SEARCH(","&amp;TRIM(TEXTSPLIT(DS144,","))&amp;",",","&amp;SUBSTITUTE(input_faculty_category," ","")&amp;",")))&gt;0)),IF(DU144="",TRUE,IF(input_faculty_category="",FALSE,SUMPRODUCT(--ISNUMBER(SEARCH(","&amp;TRIM(TEXTSPLIT(DU144,","))&amp;",",","&amp;SUBSTITUTE(input_faculty_category," ","")&amp;",")))=COUNTA(TEXTSPLIT(DU144,",")))),IF(DW144="",TRUE,IF(input_faculty_category="",TRUE,SUMPRODUCT(--ISNUMBER(SEARCH(","&amp;TRIM(TEXTSPLIT(DW144,","))&amp;",",","&amp;SUBSTITUTE(input_faculty_category," ","")&amp;",")))=0)),IF(DY144="",TRUE,IF(input_faculty_category="",FALSE,SUMPRODUCT(--ISNUMBER(SEARCH(","&amp;TRIM(TEXTSPLIT(DY144,","))&amp;",",","&amp;SUBSTITUTE(input_faculty_category," ","")&amp;",")))&gt;0)),IF(EA144="",TRUE,IF(input_faculty_category="",FALSE,SUMPRODUCT(--ISNUMBER(SEARCH(","&amp;TRIM(TEXTSPLIT(EA144,","))&amp;",",","&amp;SUBSTITUTE(input_faculty_category," ","")&amp;",")))=COUNTA(TEXTSPLIT(EA144,",")))))</f>
        <v/>
      </c>
      <c r="JF144">
        <f>AND(IF(EC144="",TRUE,IF(input_faculty_discipline="",FALSE,SUMPRODUCT(--ISNUMBER(SEARCH(","&amp;TRIM(TEXTSPLIT(EC144,","))&amp;",",","&amp;SUBSTITUTE(input_faculty_discipline," ","")&amp;",")))&gt;0)),IF(EE144="",TRUE,IF(input_faculty_discipline="",FALSE,SUMPRODUCT(--ISNUMBER(SEARCH(","&amp;TRIM(TEXTSPLIT(EE144,","))&amp;",",","&amp;SUBSTITUTE(input_faculty_discipline," ","")&amp;",")))=COUNTA(TEXTSPLIT(EE144,",")))),IF(EG144="",TRUE,IF(input_faculty_discipline="",TRUE,SUMPRODUCT(--ISNUMBER(SEARCH(","&amp;TRIM(TEXTSPLIT(EG144,","))&amp;",",","&amp;SUBSTITUTE(input_faculty_discipline," ","")&amp;",")))=0)),IF(EI144="",TRUE,IF(input_faculty_discipline="",FALSE,SUMPRODUCT(--ISNUMBER(SEARCH(","&amp;TRIM(TEXTSPLIT(EI144,","))&amp;",",","&amp;SUBSTITUTE(input_faculty_discipline," ","")&amp;",")))&gt;0)),IF(EK144="",TRUE,IF(input_faculty_discipline="",FALSE,SUMPRODUCT(--ISNUMBER(SEARCH(","&amp;TRIM(TEXTSPLIT(EK144,","))&amp;",",","&amp;SUBSTITUTE(input_faculty_discipline," ","")&amp;",")))=COUNTA(TEXTSPLIT(EK144,",")))))</f>
        <v/>
      </c>
      <c r="JG144">
        <f>AND(IF(EM144="",TRUE,IF(input_faculty_expertise="",FALSE,SUMPRODUCT(--ISNUMBER(SEARCH(","&amp;TRIM(TEXTSPLIT(EM144,","))&amp;",",","&amp;SUBSTITUTE(input_faculty_expertise," ","")&amp;",")))&gt;0)),IF(EO144="",TRUE,IF(input_faculty_expertise="",FALSE,SUMPRODUCT(--ISNUMBER(SEARCH(","&amp;TRIM(TEXTSPLIT(EO144,","))&amp;",",","&amp;SUBSTITUTE(input_faculty_expertise," ","")&amp;",")))=COUNTA(TEXTSPLIT(EO144,",")))),IF(EQ144="",TRUE,IF(input_faculty_expertise="",TRUE,SUMPRODUCT(--ISNUMBER(SEARCH(","&amp;TRIM(TEXTSPLIT(EQ144,","))&amp;",",","&amp;SUBSTITUTE(input_faculty_expertise," ","")&amp;",")))=0)),IF(ES144="",TRUE,IF(input_faculty_expertise="",FALSE,SUMPRODUCT(--ISNUMBER(SEARCH(","&amp;TRIM(TEXTSPLIT(ES144,","))&amp;",",","&amp;SUBSTITUTE(input_faculty_expertise," ","")&amp;",")))&gt;0)),IF(EU144="",TRUE,IF(input_faculty_expertise="",FALSE,SUMPRODUCT(--ISNUMBER(SEARCH(","&amp;TRIM(TEXTSPLIT(EU144,","))&amp;",",","&amp;SUBSTITUTE(input_faculty_expertise," ","")&amp;",")))=COUNTA(TEXTSPLIT(EU144,",")))))</f>
        <v/>
      </c>
      <c r="JH144">
        <f>AND(IF(EW144="",TRUE,IF(input_global_network_school="",FALSE,SUMPRODUCT(--ISNUMBER(SEARCH(","&amp;TRIM(TEXTSPLIT(EW144,","))&amp;",",","&amp;SUBSTITUTE(input_global_network_school," ","")&amp;",")))&gt;0)),IF(EY144="",TRUE,IF(input_global_network_school="",FALSE,SUMPRODUCT(--ISNUMBER(SEARCH(","&amp;TRIM(TEXTSPLIT(EY144,","))&amp;",",","&amp;SUBSTITUTE(input_global_network_school," ","")&amp;",")))=COUNTA(TEXTSPLIT(EY144,",")))),IF(FA144="",TRUE,IF(input_global_network_school="",TRUE,SUMPRODUCT(--ISNUMBER(SEARCH(","&amp;TRIM(TEXTSPLIT(FA144,","))&amp;",",","&amp;SUBSTITUTE(input_global_network_school," ","")&amp;",")))=0)),IF(FC144="",TRUE,IF(input_global_network_school="",FALSE,SUMPRODUCT(--ISNUMBER(SEARCH(","&amp;TRIM(TEXTSPLIT(FC144,","))&amp;",",","&amp;SUBSTITUTE(input_global_network_school," ","")&amp;",")))&gt;0)),IF(FE144="",TRUE,IF(input_global_network_school="",FALSE,SUMPRODUCT(--ISNUMBER(SEARCH(","&amp;TRIM(TEXTSPLIT(FE144,","))&amp;",",","&amp;SUBSTITUTE(input_global_network_school," ","")&amp;",")))=COUNTA(TEXTSPLIT(FE144,",")))))</f>
        <v/>
      </c>
      <c r="JI144">
        <f>AND(IF(FG144="",TRUE,IF(input_industry="",FALSE,SUMPRODUCT(--ISNUMBER(SEARCH(","&amp;TRIM(TEXTSPLIT(FG144,","))&amp;",",","&amp;SUBSTITUTE(input_industry," ","")&amp;",")))&gt;0)),IF(FI144="",TRUE,IF(input_industry="",FALSE,SUMPRODUCT(--ISNUMBER(SEARCH(","&amp;TRIM(TEXTSPLIT(FI144,","))&amp;",",","&amp;SUBSTITUTE(input_industry," ","")&amp;",")))=COUNTA(TEXTSPLIT(FI144,",")))),IF(FK144="",TRUE,IF(input_industry="",TRUE,SUMPRODUCT(--ISNUMBER(SEARCH(","&amp;TRIM(TEXTSPLIT(FK144,","))&amp;",",","&amp;SUBSTITUTE(input_industry," ","")&amp;",")))=0)),IF(FM144="",TRUE,IF(input_industry="",FALSE,SUMPRODUCT(--ISNUMBER(SEARCH(","&amp;TRIM(TEXTSPLIT(FM144,","))&amp;",",","&amp;SUBSTITUTE(input_industry," ","")&amp;",")))&gt;0)),IF(FO144="",TRUE,IF(input_industry="",FALSE,SUMPRODUCT(--ISNUMBER(SEARCH(","&amp;TRIM(TEXTSPLIT(FO144,","))&amp;",",","&amp;SUBSTITUTE(input_industry," ","")&amp;",")))=COUNTA(TEXTSPLIT(FO144,",")))))</f>
        <v/>
      </c>
      <c r="JJ144">
        <f>AND(IF(FQ144="",TRUE,IF(input_location="",FALSE,SUMPRODUCT(--ISNUMBER(SEARCH(","&amp;TRIM(TEXTSPLIT(FQ144,","))&amp;",",","&amp;SUBSTITUTE(input_location," ","")&amp;",")))&gt;0)),IF(FS144="",TRUE,IF(input_location="",FALSE,SUMPRODUCT(--ISNUMBER(SEARCH(","&amp;TRIM(TEXTSPLIT(FS144,","))&amp;",",","&amp;SUBSTITUTE(input_location," ","")&amp;",")))=COUNTA(TEXTSPLIT(FS144,",")))),IF(FU144="",TRUE,IF(input_location="",TRUE,SUMPRODUCT(--ISNUMBER(SEARCH(","&amp;TRIM(TEXTSPLIT(FU144,","))&amp;",",","&amp;SUBSTITUTE(input_location," ","")&amp;",")))=0)),IF(FW144="",TRUE,IF(input_location="",FALSE,SUMPRODUCT(--ISNUMBER(SEARCH(","&amp;TRIM(TEXTSPLIT(FW144,","))&amp;",",","&amp;SUBSTITUTE(input_location," ","")&amp;",")))&gt;0)),IF(FY144="",TRUE,IF(input_location="",FALSE,SUMPRODUCT(--ISNUMBER(SEARCH(","&amp;TRIM(TEXTSPLIT(FY144,","))&amp;",",","&amp;SUBSTITUTE(input_location," ","")&amp;",")))=COUNTA(TEXTSPLIT(FY144,",")))))</f>
        <v/>
      </c>
      <c r="JK144">
        <f>AND(IF(GA144="",TRUE,IF(input_modality="",FALSE,SUMPRODUCT(--ISNUMBER(SEARCH(","&amp;TRIM(TEXTSPLIT(GA144,","))&amp;",",","&amp;SUBSTITUTE(input_modality," ","")&amp;",")))&gt;0)),IF(GC144="",TRUE,IF(input_modality="",FALSE,SUMPRODUCT(--ISNUMBER(SEARCH(","&amp;TRIM(TEXTSPLIT(GC144,","))&amp;",",","&amp;SUBSTITUTE(input_modality," ","")&amp;",")))=COUNTA(TEXTSPLIT(GC144,",")))),IF(GE144="",TRUE,IF(input_modality="",TRUE,SUMPRODUCT(--ISNUMBER(SEARCH(","&amp;TRIM(TEXTSPLIT(GE144,","))&amp;",",","&amp;SUBSTITUTE(input_modality," ","")&amp;",")))=0)),IF(GG144="",TRUE,IF(input_modality="",FALSE,SUMPRODUCT(--ISNUMBER(SEARCH(","&amp;TRIM(TEXTSPLIT(GG144,","))&amp;",",","&amp;SUBSTITUTE(input_modality," ","")&amp;",")))&gt;0)),IF(GI144="",TRUE,IF(input_modality="",FALSE,SUMPRODUCT(--ISNUMBER(SEARCH(","&amp;TRIM(TEXTSPLIT(GI144,","))&amp;",",","&amp;SUBSTITUTE(input_modality," ","")&amp;",")))=COUNTA(TEXTSPLIT(GI144,",")))))</f>
        <v/>
      </c>
      <c r="JL144">
        <f>AND(IF(GK144="",TRUE,IF(input_organizer="",FALSE,SUMPRODUCT(--ISNUMBER(SEARCH(","&amp;TRIM(TEXTSPLIT(GK144,","))&amp;",",","&amp;SUBSTITUTE(input_organizer," ","")&amp;",")))&gt;0)),IF(GM144="",TRUE,IF(input_organizer="",FALSE,SUMPRODUCT(--ISNUMBER(SEARCH(","&amp;TRIM(TEXTSPLIT(GM144,","))&amp;",",","&amp;SUBSTITUTE(input_organizer," ","")&amp;",")))=COUNTA(TEXTSPLIT(GM144,",")))),IF(GO144="",TRUE,IF(input_organizer="",TRUE,SUMPRODUCT(--ISNUMBER(SEARCH(","&amp;TRIM(TEXTSPLIT(GO144,","))&amp;",",","&amp;SUBSTITUTE(input_organizer," ","")&amp;",")))=0)),IF(GQ144="",TRUE,IF(input_organizer="",FALSE,SUMPRODUCT(--ISNUMBER(SEARCH(","&amp;TRIM(TEXTSPLIT(GQ144,","))&amp;",",","&amp;SUBSTITUTE(input_organizer," ","")&amp;",")))&gt;0)),IF(GS144="",TRUE,IF(input_organizer="",FALSE,SUMPRODUCT(--ISNUMBER(SEARCH(","&amp;TRIM(TEXTSPLIT(GS144,","))&amp;",",","&amp;SUBSTITUTE(input_organizer," ","")&amp;",")))=COUNTA(TEXTSPLIT(GS144,",")))))</f>
        <v/>
      </c>
      <c r="JM144">
        <f>AND(IF(GU144="",TRUE,IF(input_profile_type="",FALSE,SUMPRODUCT(--ISNUMBER(SEARCH(","&amp;TRIM(TEXTSPLIT(GU144,","))&amp;",",","&amp;SUBSTITUTE(input_profile_type," ","")&amp;",")))&gt;0)),IF(GW144="",TRUE,IF(input_profile_type="",FALSE,SUMPRODUCT(--ISNUMBER(SEARCH(","&amp;TRIM(TEXTSPLIT(GW144,","))&amp;",",","&amp;SUBSTITUTE(input_profile_type," ","")&amp;",")))=COUNTA(TEXTSPLIT(GW144,",")))),IF(GY144="",TRUE,IF(input_profile_type="",TRUE,SUMPRODUCT(--ISNUMBER(SEARCH(","&amp;TRIM(TEXTSPLIT(GY144,","))&amp;",",","&amp;SUBSTITUTE(input_profile_type," ","")&amp;",")))=0)),IF(HA144="",TRUE,IF(input_profile_type="",FALSE,SUMPRODUCT(--ISNUMBER(SEARCH(","&amp;TRIM(TEXTSPLIT(HA144,","))&amp;",",","&amp;SUBSTITUTE(input_profile_type," ","")&amp;",")))&gt;0)),IF(HC144="",TRUE,IF(input_profile_type="",FALSE,SUMPRODUCT(--ISNUMBER(SEARCH(","&amp;TRIM(TEXTSPLIT(HC144,","))&amp;",",","&amp;SUBSTITUTE(input_profile_type," ","")&amp;",")))=COUNTA(TEXTSPLIT(HC144,",")))))</f>
        <v/>
      </c>
      <c r="JN144">
        <f>AND(IF(HE144="",TRUE,IF(input_program="",FALSE,SUMPRODUCT(--ISNUMBER(SEARCH(","&amp;TRIM(TEXTSPLIT(HE144,","))&amp;",",","&amp;SUBSTITUTE(input_program," ","")&amp;",")))&gt;0)),IF(HG144="",TRUE,IF(input_program="",FALSE,SUMPRODUCT(--ISNUMBER(SEARCH(","&amp;TRIM(TEXTSPLIT(HG144,","))&amp;",",","&amp;SUBSTITUTE(input_program," ","")&amp;",")))=COUNTA(TEXTSPLIT(HG144,",")))),IF(HI144="",TRUE,IF(input_program="",TRUE,SUMPRODUCT(--ISNUMBER(SEARCH(","&amp;TRIM(TEXTSPLIT(HI144,","))&amp;",",","&amp;SUBSTITUTE(input_program," ","")&amp;",")))=0)),IF(HK144="",TRUE,IF(input_program="",FALSE,SUMPRODUCT(--ISNUMBER(SEARCH(","&amp;TRIM(TEXTSPLIT(HK144,","))&amp;",",","&amp;SUBSTITUTE(input_program," ","")&amp;",")))&gt;0)),IF(HM144="",TRUE,IF(input_program="",FALSE,SUMPRODUCT(--ISNUMBER(SEARCH(","&amp;TRIM(TEXTSPLIT(HM144,","))&amp;",",","&amp;SUBSTITUTE(input_program," ","")&amp;",")))=COUNTA(TEXTSPLIT(HM144,",")))))</f>
        <v/>
      </c>
      <c r="JO144">
        <f>AND(IF(HO144="",TRUE,IF(input_story_categories="",FALSE,SUMPRODUCT(--ISNUMBER(SEARCH(","&amp;TRIM(TEXTSPLIT(HO144,","))&amp;",",","&amp;SUBSTITUTE(input_story_categories," ","")&amp;",")))&gt;0)),IF(HQ144="",TRUE,IF(input_story_categories="",FALSE,SUMPRODUCT(--ISNUMBER(SEARCH(","&amp;TRIM(TEXTSPLIT(HQ144,","))&amp;",",","&amp;SUBSTITUTE(input_story_categories," ","")&amp;",")))=COUNTA(TEXTSPLIT(HQ144,",")))),IF(HS144="",TRUE,IF(input_story_categories="",TRUE,SUMPRODUCT(--ISNUMBER(SEARCH(","&amp;TRIM(TEXTSPLIT(HS144,","))&amp;",",","&amp;SUBSTITUTE(input_story_categories," ","")&amp;",")))=0)),IF(HU144="",TRUE,IF(input_story_categories="",FALSE,SUMPRODUCT(--ISNUMBER(SEARCH(","&amp;TRIM(TEXTSPLIT(HU144,","))&amp;",",","&amp;SUBSTITUTE(input_story_categories," ","")&amp;",")))&gt;0)),IF(HW144="",TRUE,IF(input_story_categories="",FALSE,SUMPRODUCT(--ISNUMBER(SEARCH(","&amp;TRIM(TEXTSPLIT(HW144,","))&amp;",",","&amp;SUBSTITUTE(input_story_categories," ","")&amp;",")))=COUNTA(TEXTSPLIT(HW144,",")))))</f>
        <v/>
      </c>
      <c r="JP144">
        <f>AND(IF(HY144="",TRUE,IF(input_story_type="",FALSE,SUMPRODUCT(--ISNUMBER(SEARCH(","&amp;TRIM(TEXTSPLIT(HY144,","))&amp;",",","&amp;SUBSTITUTE(input_story_type," ","")&amp;",")))&gt;0)),IF(IA144="",TRUE,IF(input_story_type="",FALSE,SUMPRODUCT(--ISNUMBER(SEARCH(","&amp;TRIM(TEXTSPLIT(IA144,","))&amp;",",","&amp;SUBSTITUTE(input_story_type," ","")&amp;",")))=COUNTA(TEXTSPLIT(IA144,",")))),IF(IC144="",TRUE,IF(input_story_type="",TRUE,SUMPRODUCT(--ISNUMBER(SEARCH(","&amp;TRIM(TEXTSPLIT(IC144,","))&amp;",",","&amp;SUBSTITUTE(input_story_type," ","")&amp;",")))=0)),IF(IE144="",TRUE,IF(input_story_type="",FALSE,SUMPRODUCT(--ISNUMBER(SEARCH(","&amp;TRIM(TEXTSPLIT(IE144,","))&amp;",",","&amp;SUBSTITUTE(input_story_type," ","")&amp;",")))&gt;0)),IF(IG144="",TRUE,IF(input_story_type="",FALSE,SUMPRODUCT(--ISNUMBER(SEARCH(","&amp;TRIM(TEXTSPLIT(IG144,","))&amp;",",","&amp;SUBSTITUTE(input_story_type," ","")&amp;",")))=COUNTA(TEXTSPLIT(IG144,",")))))</f>
        <v/>
      </c>
      <c r="JQ144">
        <f>AND(IF(II144="",TRUE,IF(input_topics="",FALSE,SUMPRODUCT(--ISNUMBER(SEARCH(","&amp;TRIM(TEXTSPLIT(II144,","))&amp;",",","&amp;SUBSTITUTE(input_topics," ","")&amp;",")))&gt;0)),IF(IK144="",TRUE,IF(input_topics="",FALSE,SUMPRODUCT(--ISNUMBER(SEARCH(","&amp;TRIM(TEXTSPLIT(IK144,","))&amp;",",","&amp;SUBSTITUTE(input_topics," ","")&amp;",")))=COUNTA(TEXTSPLIT(IK144,",")))),IF(IM144="",TRUE,IF(input_topics="",TRUE,SUMPRODUCT(--ISNUMBER(SEARCH(","&amp;TRIM(TEXTSPLIT(IM144,","))&amp;",",","&amp;SUBSTITUTE(input_topics," ","")&amp;",")))=0)),IF(IO144="",TRUE,IF(input_topics="",FALSE,SUMPRODUCT(--ISNUMBER(SEARCH(","&amp;TRIM(TEXTSPLIT(IO144,","))&amp;",",","&amp;SUBSTITUTE(input_topics," ","")&amp;",")))&gt;0)),IF(IQ144="",TRUE,IF(input_topics="",FALSE,SUMPRODUCT(--ISNUMBER(SEARCH(","&amp;TRIM(TEXTSPLIT(IQ144,","))&amp;",",","&amp;SUBSTITUTE(input_topics," ","")&amp;",")))=COUNTA(TEXTSPLIT(IQ144,",")))))</f>
        <v/>
      </c>
    </row>
    <row r="145">
      <c r="A145" s="4">
        <f>IF(NOT(IS145),"Excluded",IF(AND(IT145,IU145,IV145,IW145,IX145,IY145,IZ145,JA145,JB145,JC145,JD145,JE145,JF145,JG145,JH145,JI145,JJ145,JK145,JL145,JM145,JN145,JO145,JP145,JQ145),IF(I145&gt;0,"Eligible but limited","Will appear"),"Excluded"))</f>
        <v/>
      </c>
      <c r="B145" s="4" t="inlineStr">
        <is>
          <t>News - Summary</t>
        </is>
      </c>
      <c r="C145" s="4" t="inlineStr">
        <is>
          <t>/the-som-experience/interests-and-industries/sustainability</t>
        </is>
      </c>
      <c r="D145" s="4" t="inlineStr">
        <is>
          <t>/the-som-experience/interests-and-industries/sustainability</t>
        </is>
      </c>
      <c r="E145" s="4" t="n">
        <v>1</v>
      </c>
      <c r="F145" s="4" t="inlineStr">
        <is>
          <t>story</t>
        </is>
      </c>
      <c r="G145" s="4" t="inlineStr">
        <is>
          <t>stories_mosaic_grid</t>
        </is>
      </c>
      <c r="H145" s="4" t="inlineStr">
        <is>
          <t>embed_news_summary</t>
        </is>
      </c>
      <c r="I145" s="4" t="n">
        <v>1</v>
      </c>
      <c r="J145" s="4" t="inlineStr">
        <is>
          <t>View/config rules</t>
        </is>
      </c>
      <c r="K145" s="4" t="inlineStr">
        <is>
          <t>Page placement</t>
        </is>
      </c>
      <c r="L145" s="4" t="inlineStr">
        <is>
          <t>Content type: story; Needs any Story Type: News (924); Limited to 1 item(s); Source: View/config rules</t>
        </is>
      </c>
      <c r="M145" t="inlineStr"/>
      <c r="N145" t="inlineStr"/>
      <c r="O145" t="inlineStr"/>
      <c r="P145" t="inlineStr"/>
      <c r="Q145" t="inlineStr"/>
      <c r="R145" t="inlineStr"/>
      <c r="S145" t="inlineStr"/>
      <c r="T145" t="inlineStr"/>
      <c r="U145" t="inlineStr"/>
      <c r="V145" t="inlineStr"/>
      <c r="W145" t="inlineStr"/>
      <c r="X145" t="inlineStr"/>
      <c r="Y145" t="inlineStr"/>
      <c r="Z145" t="inlineStr"/>
      <c r="AA145" t="inlineStr"/>
      <c r="AB145" t="inlineStr"/>
      <c r="AC145" t="inlineStr"/>
      <c r="AD145" t="inlineStr"/>
      <c r="AE145" t="inlineStr"/>
      <c r="AF145" t="inlineStr"/>
      <c r="AG145" t="inlineStr"/>
      <c r="AH145" t="inlineStr"/>
      <c r="AI145" t="inlineStr"/>
      <c r="AJ145" t="inlineStr"/>
      <c r="AK145" t="inlineStr"/>
      <c r="AL145" t="inlineStr"/>
      <c r="AM145" t="inlineStr"/>
      <c r="AN145" t="inlineStr"/>
      <c r="AO145" t="inlineStr"/>
      <c r="AP145" t="inlineStr"/>
      <c r="AQ145" t="inlineStr"/>
      <c r="AR145" t="inlineStr"/>
      <c r="AS145" t="inlineStr"/>
      <c r="AT145" t="inlineStr"/>
      <c r="AU145" t="inlineStr"/>
      <c r="AV145" t="inlineStr"/>
      <c r="AW145" t="inlineStr"/>
      <c r="AX145" t="inlineStr"/>
      <c r="AY145" t="inlineStr"/>
      <c r="AZ145" t="inlineStr"/>
      <c r="BA145" t="inlineStr"/>
      <c r="BB145" t="inlineStr"/>
      <c r="BC145" t="inlineStr"/>
      <c r="BD145" t="inlineStr"/>
      <c r="BE145" t="inlineStr"/>
      <c r="BF145" t="inlineStr"/>
      <c r="BG145" t="inlineStr"/>
      <c r="BH145" t="inlineStr"/>
      <c r="BI145" t="inlineStr"/>
      <c r="BJ145" t="inlineStr"/>
      <c r="BK145" t="inlineStr"/>
      <c r="BL145" t="inlineStr"/>
      <c r="BM145" t="inlineStr"/>
      <c r="BN145" t="inlineStr"/>
      <c r="BO145" t="inlineStr"/>
      <c r="BP145" t="inlineStr"/>
      <c r="BQ145" t="inlineStr"/>
      <c r="BR145" t="inlineStr"/>
      <c r="BS145" t="inlineStr"/>
      <c r="BT145" t="inlineStr"/>
      <c r="BU145" t="inlineStr"/>
      <c r="BV145" t="inlineStr"/>
      <c r="BW145" t="inlineStr"/>
      <c r="BX145" t="inlineStr"/>
      <c r="BY145" t="inlineStr"/>
      <c r="BZ145" t="inlineStr"/>
      <c r="CA145" t="inlineStr"/>
      <c r="CB145" t="inlineStr"/>
      <c r="CC145" t="inlineStr"/>
      <c r="CD145" t="inlineStr"/>
      <c r="CE145" t="inlineStr"/>
      <c r="CF145" t="inlineStr"/>
      <c r="CG145" t="inlineStr"/>
      <c r="CH145" t="inlineStr"/>
      <c r="CI145" t="inlineStr"/>
      <c r="CJ145" t="inlineStr"/>
      <c r="CK145" t="inlineStr"/>
      <c r="CL145" t="inlineStr"/>
      <c r="CM145" t="inlineStr"/>
      <c r="CN145" t="inlineStr"/>
      <c r="CO145" t="inlineStr"/>
      <c r="CP145" t="inlineStr"/>
      <c r="CQ145" t="inlineStr"/>
      <c r="CR145" t="inlineStr"/>
      <c r="CS145" t="inlineStr"/>
      <c r="CT145" t="inlineStr"/>
      <c r="CU145" t="inlineStr"/>
      <c r="CV145" t="inlineStr"/>
      <c r="CW145" t="inlineStr"/>
      <c r="CX145" t="inlineStr"/>
      <c r="CY145" t="inlineStr"/>
      <c r="CZ145" t="inlineStr"/>
      <c r="DA145" t="inlineStr"/>
      <c r="DB145" t="inlineStr"/>
      <c r="DC145" t="inlineStr"/>
      <c r="DD145" t="inlineStr"/>
      <c r="DE145" t="inlineStr"/>
      <c r="DF145" t="inlineStr"/>
      <c r="DG145" t="inlineStr"/>
      <c r="DH145" t="inlineStr"/>
      <c r="DI145" t="inlineStr"/>
      <c r="DJ145" t="inlineStr"/>
      <c r="DK145" t="inlineStr"/>
      <c r="DL145" t="inlineStr"/>
      <c r="DM145" t="inlineStr"/>
      <c r="DN145" t="inlineStr"/>
      <c r="DO145" t="inlineStr"/>
      <c r="DP145" t="inlineStr"/>
      <c r="DQ145" t="inlineStr"/>
      <c r="DR145" t="inlineStr"/>
      <c r="DS145" t="inlineStr"/>
      <c r="DT145" t="inlineStr"/>
      <c r="DU145" t="inlineStr"/>
      <c r="DV145" t="inlineStr"/>
      <c r="DW145" t="inlineStr"/>
      <c r="DX145" t="inlineStr"/>
      <c r="DY145" t="inlineStr"/>
      <c r="DZ145" t="inlineStr"/>
      <c r="EA145" t="inlineStr"/>
      <c r="EB145" t="inlineStr"/>
      <c r="EC145" t="inlineStr"/>
      <c r="ED145" t="inlineStr"/>
      <c r="EE145" t="inlineStr"/>
      <c r="EF145" t="inlineStr"/>
      <c r="EG145" t="inlineStr"/>
      <c r="EH145" t="inlineStr"/>
      <c r="EI145" t="inlineStr"/>
      <c r="EJ145" t="inlineStr"/>
      <c r="EK145" t="inlineStr"/>
      <c r="EL145" t="inlineStr"/>
      <c r="EM145" t="inlineStr"/>
      <c r="EN145" t="inlineStr"/>
      <c r="EO145" t="inlineStr"/>
      <c r="EP145" t="inlineStr"/>
      <c r="EQ145" t="inlineStr"/>
      <c r="ER145" t="inlineStr"/>
      <c r="ES145" t="inlineStr"/>
      <c r="ET145" t="inlineStr"/>
      <c r="EU145" t="inlineStr"/>
      <c r="EV145" t="inlineStr"/>
      <c r="EW145" t="inlineStr"/>
      <c r="EX145" t="inlineStr"/>
      <c r="EY145" t="inlineStr"/>
      <c r="EZ145" t="inlineStr"/>
      <c r="FA145" t="inlineStr"/>
      <c r="FB145" t="inlineStr"/>
      <c r="FC145" t="inlineStr"/>
      <c r="FD145" t="inlineStr"/>
      <c r="FE145" t="inlineStr"/>
      <c r="FF145" t="inlineStr"/>
      <c r="FG145" t="inlineStr"/>
      <c r="FH145" t="inlineStr"/>
      <c r="FI145" t="inlineStr"/>
      <c r="FJ145" t="inlineStr"/>
      <c r="FK145" t="inlineStr"/>
      <c r="FL145" t="inlineStr"/>
      <c r="FM145" t="inlineStr"/>
      <c r="FN145" t="inlineStr"/>
      <c r="FO145" t="inlineStr"/>
      <c r="FP145" t="inlineStr"/>
      <c r="FQ145" t="inlineStr"/>
      <c r="FR145" t="inlineStr"/>
      <c r="FS145" t="inlineStr"/>
      <c r="FT145" t="inlineStr"/>
      <c r="FU145" t="inlineStr"/>
      <c r="FV145" t="inlineStr"/>
      <c r="FW145" t="inlineStr"/>
      <c r="FX145" t="inlineStr"/>
      <c r="FY145" t="inlineStr"/>
      <c r="FZ145" t="inlineStr"/>
      <c r="GA145" t="inlineStr"/>
      <c r="GB145" t="inlineStr"/>
      <c r="GC145" t="inlineStr"/>
      <c r="GD145" t="inlineStr"/>
      <c r="GE145" t="inlineStr"/>
      <c r="GF145" t="inlineStr"/>
      <c r="GG145" t="inlineStr"/>
      <c r="GH145" t="inlineStr"/>
      <c r="GI145" t="inlineStr"/>
      <c r="GJ145" t="inlineStr"/>
      <c r="GK145" t="inlineStr"/>
      <c r="GL145" t="inlineStr"/>
      <c r="GM145" t="inlineStr"/>
      <c r="GN145" t="inlineStr"/>
      <c r="GO145" t="inlineStr"/>
      <c r="GP145" t="inlineStr"/>
      <c r="GQ145" t="inlineStr"/>
      <c r="GR145" t="inlineStr"/>
      <c r="GS145" t="inlineStr"/>
      <c r="GT145" t="inlineStr"/>
      <c r="GU145" t="inlineStr"/>
      <c r="GV145" t="inlineStr"/>
      <c r="GW145" t="inlineStr"/>
      <c r="GX145" t="inlineStr"/>
      <c r="GY145" t="inlineStr"/>
      <c r="GZ145" t="inlineStr"/>
      <c r="HA145" t="inlineStr"/>
      <c r="HB145" t="inlineStr"/>
      <c r="HC145" t="inlineStr"/>
      <c r="HD145" t="inlineStr"/>
      <c r="HE145" t="inlineStr"/>
      <c r="HF145" t="inlineStr"/>
      <c r="HG145" t="inlineStr"/>
      <c r="HH145" t="inlineStr"/>
      <c r="HI145" t="inlineStr"/>
      <c r="HJ145" t="inlineStr"/>
      <c r="HK145" t="inlineStr"/>
      <c r="HL145" t="inlineStr"/>
      <c r="HM145" t="inlineStr"/>
      <c r="HN145" t="inlineStr"/>
      <c r="HO145" t="inlineStr"/>
      <c r="HP145" t="inlineStr"/>
      <c r="HQ145" t="inlineStr"/>
      <c r="HR145" t="inlineStr"/>
      <c r="HS145" t="inlineStr"/>
      <c r="HT145" t="inlineStr"/>
      <c r="HU145" t="inlineStr"/>
      <c r="HV145" t="inlineStr"/>
      <c r="HW145" t="inlineStr"/>
      <c r="HX145" t="inlineStr"/>
      <c r="HY145" t="inlineStr">
        <is>
          <t>924</t>
        </is>
      </c>
      <c r="HZ145" t="inlineStr">
        <is>
          <t>News (924)</t>
        </is>
      </c>
      <c r="IA145" t="inlineStr"/>
      <c r="IB145" t="inlineStr"/>
      <c r="IC145" t="inlineStr"/>
      <c r="ID145" t="inlineStr"/>
      <c r="IE145" t="inlineStr"/>
      <c r="IF145" t="inlineStr"/>
      <c r="IG145" t="inlineStr"/>
      <c r="IH145" t="inlineStr"/>
      <c r="II145" t="inlineStr"/>
      <c r="IJ145" t="inlineStr"/>
      <c r="IK145" t="inlineStr"/>
      <c r="IL145" t="inlineStr"/>
      <c r="IM145" t="inlineStr"/>
      <c r="IN145" t="inlineStr"/>
      <c r="IO145" t="inlineStr"/>
      <c r="IP145" t="inlineStr"/>
      <c r="IQ145" t="inlineStr"/>
      <c r="IR145" t="inlineStr"/>
      <c r="IS145">
        <f>IF(input_content_type="",FALSE,ISNUMBER(SEARCH(","&amp;LOWER(input_content_type)&amp;",",","&amp;LOWER(F145)&amp;",")))</f>
        <v/>
      </c>
      <c r="IT145">
        <f>AND(IF(M145="",TRUE,IF(input_affiliations="",FALSE,SUMPRODUCT(--ISNUMBER(SEARCH(","&amp;TRIM(TEXTSPLIT(M145,","))&amp;",",","&amp;SUBSTITUTE(input_affiliations," ","")&amp;",")))&gt;0)),IF(O145="",TRUE,IF(input_affiliations="",FALSE,SUMPRODUCT(--ISNUMBER(SEARCH(","&amp;TRIM(TEXTSPLIT(O145,","))&amp;",",","&amp;SUBSTITUTE(input_affiliations," ","")&amp;",")))=COUNTA(TEXTSPLIT(O145,",")))),IF(Q145="",TRUE,IF(input_affiliations="",TRUE,SUMPRODUCT(--ISNUMBER(SEARCH(","&amp;TRIM(TEXTSPLIT(Q145,","))&amp;",",","&amp;SUBSTITUTE(input_affiliations," ","")&amp;",")))=0)),IF(S145="",TRUE,IF(input_affiliations="",FALSE,SUMPRODUCT(--ISNUMBER(SEARCH(","&amp;TRIM(TEXTSPLIT(S145,","))&amp;",",","&amp;SUBSTITUTE(input_affiliations," ","")&amp;",")))&gt;0)),IF(U145="",TRUE,IF(input_affiliations="",FALSE,SUMPRODUCT(--ISNUMBER(SEARCH(","&amp;TRIM(TEXTSPLIT(U145,","))&amp;",",","&amp;SUBSTITUTE(input_affiliations," ","")&amp;",")))=COUNTA(TEXTSPLIT(U145,",")))))</f>
        <v/>
      </c>
      <c r="IU145">
        <f>AND(IF(W145="",TRUE,IF(input_announcement_category="",FALSE,SUMPRODUCT(--ISNUMBER(SEARCH(","&amp;TRIM(TEXTSPLIT(W145,","))&amp;",",","&amp;SUBSTITUTE(input_announcement_category," ","")&amp;",")))&gt;0)),IF(Y145="",TRUE,IF(input_announcement_category="",FALSE,SUMPRODUCT(--ISNUMBER(SEARCH(","&amp;TRIM(TEXTSPLIT(Y145,","))&amp;",",","&amp;SUBSTITUTE(input_announcement_category," ","")&amp;",")))=COUNTA(TEXTSPLIT(Y145,",")))),IF(AA145="",TRUE,IF(input_announcement_category="",TRUE,SUMPRODUCT(--ISNUMBER(SEARCH(","&amp;TRIM(TEXTSPLIT(AA145,","))&amp;",",","&amp;SUBSTITUTE(input_announcement_category," ","")&amp;",")))=0)),IF(AC145="",TRUE,IF(input_announcement_category="",FALSE,SUMPRODUCT(--ISNUMBER(SEARCH(","&amp;TRIM(TEXTSPLIT(AC145,","))&amp;",",","&amp;SUBSTITUTE(input_announcement_category," ","")&amp;",")))&gt;0)),IF(AE145="",TRUE,IF(input_announcement_category="",FALSE,SUMPRODUCT(--ISNUMBER(SEARCH(","&amp;TRIM(TEXTSPLIT(AE145,","))&amp;",",","&amp;SUBSTITUTE(input_announcement_category," ","")&amp;",")))=COUNTA(TEXTSPLIT(AE145,",")))))</f>
        <v/>
      </c>
      <c r="IV145">
        <f>AND(IF(AG145="",TRUE,IF(input_area_of_focus="",FALSE,SUMPRODUCT(--ISNUMBER(SEARCH(","&amp;TRIM(TEXTSPLIT(AG145,","))&amp;",",","&amp;SUBSTITUTE(input_area_of_focus," ","")&amp;",")))&gt;0)),IF(AI145="",TRUE,IF(input_area_of_focus="",FALSE,SUMPRODUCT(--ISNUMBER(SEARCH(","&amp;TRIM(TEXTSPLIT(AI145,","))&amp;",",","&amp;SUBSTITUTE(input_area_of_focus," ","")&amp;",")))=COUNTA(TEXTSPLIT(AI145,",")))),IF(AK145="",TRUE,IF(input_area_of_focus="",TRUE,SUMPRODUCT(--ISNUMBER(SEARCH(","&amp;TRIM(TEXTSPLIT(AK145,","))&amp;",",","&amp;SUBSTITUTE(input_area_of_focus," ","")&amp;",")))=0)),IF(AM145="",TRUE,IF(input_area_of_focus="",FALSE,SUMPRODUCT(--ISNUMBER(SEARCH(","&amp;TRIM(TEXTSPLIT(AM145,","))&amp;",",","&amp;SUBSTITUTE(input_area_of_focus," ","")&amp;",")))&gt;0)),IF(AO145="",TRUE,IF(input_area_of_focus="",FALSE,SUMPRODUCT(--ISNUMBER(SEARCH(","&amp;TRIM(TEXTSPLIT(AO145,","))&amp;",",","&amp;SUBSTITUTE(input_area_of_focus," ","")&amp;",")))=COUNTA(TEXTSPLIT(AO145,",")))))</f>
        <v/>
      </c>
      <c r="IW145">
        <f>AND(IF(AQ145="",TRUE,IF(input_audience="",FALSE,SUMPRODUCT(--ISNUMBER(SEARCH(","&amp;TRIM(TEXTSPLIT(AQ145,","))&amp;",",","&amp;SUBSTITUTE(input_audience," ","")&amp;",")))&gt;0)),IF(AS145="",TRUE,IF(input_audience="",FALSE,SUMPRODUCT(--ISNUMBER(SEARCH(","&amp;TRIM(TEXTSPLIT(AS145,","))&amp;",",","&amp;SUBSTITUTE(input_audience," ","")&amp;",")))=COUNTA(TEXTSPLIT(AS145,",")))),IF(AU145="",TRUE,IF(input_audience="",TRUE,SUMPRODUCT(--ISNUMBER(SEARCH(","&amp;TRIM(TEXTSPLIT(AU145,","))&amp;",",","&amp;SUBSTITUTE(input_audience," ","")&amp;",")))=0)),IF(AW145="",TRUE,IF(input_audience="",FALSE,SUMPRODUCT(--ISNUMBER(SEARCH(","&amp;TRIM(TEXTSPLIT(AW145,","))&amp;",",","&amp;SUBSTITUTE(input_audience," ","")&amp;",")))&gt;0)),IF(AY145="",TRUE,IF(input_audience="",FALSE,SUMPRODUCT(--ISNUMBER(SEARCH(","&amp;TRIM(TEXTSPLIT(AY145,","))&amp;",",","&amp;SUBSTITUTE(input_audience," ","")&amp;",")))=COUNTA(TEXTSPLIT(AY145,",")))))</f>
        <v/>
      </c>
      <c r="IX145">
        <f>AND(IF(BA145="",TRUE,IF(input_challenge_opportunities="",FALSE,SUMPRODUCT(--ISNUMBER(SEARCH(","&amp;TRIM(TEXTSPLIT(BA145,","))&amp;",",","&amp;SUBSTITUTE(input_challenge_opportunities," ","")&amp;",")))&gt;0)),IF(BC145="",TRUE,IF(input_challenge_opportunities="",FALSE,SUMPRODUCT(--ISNUMBER(SEARCH(","&amp;TRIM(TEXTSPLIT(BC145,","))&amp;",",","&amp;SUBSTITUTE(input_challenge_opportunities," ","")&amp;",")))=COUNTA(TEXTSPLIT(BC145,",")))),IF(BE145="",TRUE,IF(input_challenge_opportunities="",TRUE,SUMPRODUCT(--ISNUMBER(SEARCH(","&amp;TRIM(TEXTSPLIT(BE145,","))&amp;",",","&amp;SUBSTITUTE(input_challenge_opportunities," ","")&amp;",")))=0)),IF(BG145="",TRUE,IF(input_challenge_opportunities="",FALSE,SUMPRODUCT(--ISNUMBER(SEARCH(","&amp;TRIM(TEXTSPLIT(BG145,","))&amp;",",","&amp;SUBSTITUTE(input_challenge_opportunities," ","")&amp;",")))&gt;0)),IF(BI145="",TRUE,IF(input_challenge_opportunities="",FALSE,SUMPRODUCT(--ISNUMBER(SEARCH(","&amp;TRIM(TEXTSPLIT(BI145,","))&amp;",",","&amp;SUBSTITUTE(input_challenge_opportunities," ","")&amp;",")))=COUNTA(TEXTSPLIT(BI145,",")))))</f>
        <v/>
      </c>
      <c r="IY145">
        <f>AND(IF(BK145="",TRUE,IF(input_context="",FALSE,SUMPRODUCT(--ISNUMBER(SEARCH(","&amp;TRIM(TEXTSPLIT(BK145,","))&amp;",",","&amp;SUBSTITUTE(input_context," ","")&amp;",")))&gt;0)),IF(BM145="",TRUE,IF(input_context="",FALSE,SUMPRODUCT(--ISNUMBER(SEARCH(","&amp;TRIM(TEXTSPLIT(BM145,","))&amp;",",","&amp;SUBSTITUTE(input_context," ","")&amp;",")))=COUNTA(TEXTSPLIT(BM145,",")))),IF(BO145="",TRUE,IF(input_context="",TRUE,SUMPRODUCT(--ISNUMBER(SEARCH(","&amp;TRIM(TEXTSPLIT(BO145,","))&amp;",",","&amp;SUBSTITUTE(input_context," ","")&amp;",")))=0)),IF(BQ145="",TRUE,IF(input_context="",FALSE,SUMPRODUCT(--ISNUMBER(SEARCH(","&amp;TRIM(TEXTSPLIT(BQ145,","))&amp;",",","&amp;SUBSTITUTE(input_context," ","")&amp;",")))&gt;0)),IF(BS145="",TRUE,IF(input_context="",FALSE,SUMPRODUCT(--ISNUMBER(SEARCH(","&amp;TRIM(TEXTSPLIT(BS145,","))&amp;",",","&amp;SUBSTITUTE(input_context," ","")&amp;",")))=COUNTA(TEXTSPLIT(BS145,",")))))</f>
        <v/>
      </c>
      <c r="IZ145">
        <f>AND(IF(BU145="",TRUE,IF(input_enews_announcement_type="",FALSE,SUMPRODUCT(--ISNUMBER(SEARCH(","&amp;TRIM(TEXTSPLIT(BU145,","))&amp;",",","&amp;SUBSTITUTE(input_enews_announcement_type," ","")&amp;",")))&gt;0)),IF(BW145="",TRUE,IF(input_enews_announcement_type="",FALSE,SUMPRODUCT(--ISNUMBER(SEARCH(","&amp;TRIM(TEXTSPLIT(BW145,","))&amp;",",","&amp;SUBSTITUTE(input_enews_announcement_type," ","")&amp;",")))=COUNTA(TEXTSPLIT(BW145,",")))),IF(BY145="",TRUE,IF(input_enews_announcement_type="",TRUE,SUMPRODUCT(--ISNUMBER(SEARCH(","&amp;TRIM(TEXTSPLIT(BY145,","))&amp;",",","&amp;SUBSTITUTE(input_enews_announcement_type," ","")&amp;",")))=0)),IF(CA145="",TRUE,IF(input_enews_announcement_type="",FALSE,SUMPRODUCT(--ISNUMBER(SEARCH(","&amp;TRIM(TEXTSPLIT(CA145,","))&amp;",",","&amp;SUBSTITUTE(input_enews_announcement_type," ","")&amp;",")))&gt;0)),IF(CC145="",TRUE,IF(input_enews_announcement_type="",FALSE,SUMPRODUCT(--ISNUMBER(SEARCH(","&amp;TRIM(TEXTSPLIT(CC145,","))&amp;",",","&amp;SUBSTITUTE(input_enews_announcement_type," ","")&amp;",")))=COUNTA(TEXTSPLIT(CC145,",")))))</f>
        <v/>
      </c>
      <c r="JA145">
        <f>AND(IF(CE145="",TRUE,IF(input_enews_audience="",FALSE,SUMPRODUCT(--ISNUMBER(SEARCH(","&amp;TRIM(TEXTSPLIT(CE145,","))&amp;",",","&amp;SUBSTITUTE(input_enews_audience," ","")&amp;",")))&gt;0)),IF(CG145="",TRUE,IF(input_enews_audience="",FALSE,SUMPRODUCT(--ISNUMBER(SEARCH(","&amp;TRIM(TEXTSPLIT(CG145,","))&amp;",",","&amp;SUBSTITUTE(input_enews_audience," ","")&amp;",")))=COUNTA(TEXTSPLIT(CG145,",")))),IF(CI145="",TRUE,IF(input_enews_audience="",TRUE,SUMPRODUCT(--ISNUMBER(SEARCH(","&amp;TRIM(TEXTSPLIT(CI145,","))&amp;",",","&amp;SUBSTITUTE(input_enews_audience," ","")&amp;",")))=0)),IF(CK145="",TRUE,IF(input_enews_audience="",FALSE,SUMPRODUCT(--ISNUMBER(SEARCH(","&amp;TRIM(TEXTSPLIT(CK145,","))&amp;",",","&amp;SUBSTITUTE(input_enews_audience," ","")&amp;",")))&gt;0)),IF(CM145="",TRUE,IF(input_enews_audience="",FALSE,SUMPRODUCT(--ISNUMBER(SEARCH(","&amp;TRIM(TEXTSPLIT(CM145,","))&amp;",",","&amp;SUBSTITUTE(input_enews_audience," ","")&amp;",")))=COUNTA(TEXTSPLIT(CM145,",")))))</f>
        <v/>
      </c>
      <c r="JB145">
        <f>AND(IF(CO145="",TRUE,IF(input_event_location="",FALSE,SUMPRODUCT(--ISNUMBER(SEARCH(","&amp;TRIM(TEXTSPLIT(CO145,","))&amp;",",","&amp;SUBSTITUTE(input_event_location," ","")&amp;",")))&gt;0)),IF(CQ145="",TRUE,IF(input_event_location="",FALSE,SUMPRODUCT(--ISNUMBER(SEARCH(","&amp;TRIM(TEXTSPLIT(CQ145,","))&amp;",",","&amp;SUBSTITUTE(input_event_location," ","")&amp;",")))=COUNTA(TEXTSPLIT(CQ145,",")))),IF(CS145="",TRUE,IF(input_event_location="",TRUE,SUMPRODUCT(--ISNUMBER(SEARCH(","&amp;TRIM(TEXTSPLIT(CS145,","))&amp;",",","&amp;SUBSTITUTE(input_event_location," ","")&amp;",")))=0)),IF(CU145="",TRUE,IF(input_event_location="",FALSE,SUMPRODUCT(--ISNUMBER(SEARCH(","&amp;TRIM(TEXTSPLIT(CU145,","))&amp;",",","&amp;SUBSTITUTE(input_event_location," ","")&amp;",")))&gt;0)),IF(CW145="",TRUE,IF(input_event_location="",FALSE,SUMPRODUCT(--ISNUMBER(SEARCH(","&amp;TRIM(TEXTSPLIT(CW145,","))&amp;",",","&amp;SUBSTITUTE(input_event_location," ","")&amp;",")))=COUNTA(TEXTSPLIT(CW145,",")))))</f>
        <v/>
      </c>
      <c r="JC145">
        <f>AND(IF(CY145="",TRUE,IF(input_event_type="",FALSE,SUMPRODUCT(--ISNUMBER(SEARCH(","&amp;TRIM(TEXTSPLIT(CY145,","))&amp;",",","&amp;SUBSTITUTE(input_event_type," ","")&amp;",")))&gt;0)),IF(DA145="",TRUE,IF(input_event_type="",FALSE,SUMPRODUCT(--ISNUMBER(SEARCH(","&amp;TRIM(TEXTSPLIT(DA145,","))&amp;",",","&amp;SUBSTITUTE(input_event_type," ","")&amp;",")))=COUNTA(TEXTSPLIT(DA145,",")))),IF(DC145="",TRUE,IF(input_event_type="",TRUE,SUMPRODUCT(--ISNUMBER(SEARCH(","&amp;TRIM(TEXTSPLIT(DC145,","))&amp;",",","&amp;SUBSTITUTE(input_event_type," ","")&amp;",")))=0)),IF(DE145="",TRUE,IF(input_event_type="",FALSE,SUMPRODUCT(--ISNUMBER(SEARCH(","&amp;TRIM(TEXTSPLIT(DE145,","))&amp;",",","&amp;SUBSTITUTE(input_event_type," ","")&amp;",")))&gt;0)),IF(DG145="",TRUE,IF(input_event_type="",FALSE,SUMPRODUCT(--ISNUMBER(SEARCH(","&amp;TRIM(TEXTSPLIT(DG145,","))&amp;",",","&amp;SUBSTITUTE(input_event_type," ","")&amp;",")))=COUNTA(TEXTSPLIT(DG145,",")))))</f>
        <v/>
      </c>
      <c r="JD145">
        <f>AND(IF(DI145="",TRUE,IF(input_executive_education_focus="",FALSE,SUMPRODUCT(--ISNUMBER(SEARCH(","&amp;TRIM(TEXTSPLIT(DI145,","))&amp;",",","&amp;SUBSTITUTE(input_executive_education_focus," ","")&amp;",")))&gt;0)),IF(DK145="",TRUE,IF(input_executive_education_focus="",FALSE,SUMPRODUCT(--ISNUMBER(SEARCH(","&amp;TRIM(TEXTSPLIT(DK145,","))&amp;",",","&amp;SUBSTITUTE(input_executive_education_focus," ","")&amp;",")))=COUNTA(TEXTSPLIT(DK145,",")))),IF(DM145="",TRUE,IF(input_executive_education_focus="",TRUE,SUMPRODUCT(--ISNUMBER(SEARCH(","&amp;TRIM(TEXTSPLIT(DM145,","))&amp;",",","&amp;SUBSTITUTE(input_executive_education_focus," ","")&amp;",")))=0)),IF(DO145="",TRUE,IF(input_executive_education_focus="",FALSE,SUMPRODUCT(--ISNUMBER(SEARCH(","&amp;TRIM(TEXTSPLIT(DO145,","))&amp;",",","&amp;SUBSTITUTE(input_executive_education_focus," ","")&amp;",")))&gt;0)),IF(DQ145="",TRUE,IF(input_executive_education_focus="",FALSE,SUMPRODUCT(--ISNUMBER(SEARCH(","&amp;TRIM(TEXTSPLIT(DQ145,","))&amp;",",","&amp;SUBSTITUTE(input_executive_education_focus," ","")&amp;",")))=COUNTA(TEXTSPLIT(DQ145,",")))))</f>
        <v/>
      </c>
      <c r="JE145">
        <f>AND(IF(DS145="",TRUE,IF(input_faculty_category="",FALSE,SUMPRODUCT(--ISNUMBER(SEARCH(","&amp;TRIM(TEXTSPLIT(DS145,","))&amp;",",","&amp;SUBSTITUTE(input_faculty_category," ","")&amp;",")))&gt;0)),IF(DU145="",TRUE,IF(input_faculty_category="",FALSE,SUMPRODUCT(--ISNUMBER(SEARCH(","&amp;TRIM(TEXTSPLIT(DU145,","))&amp;",",","&amp;SUBSTITUTE(input_faculty_category," ","")&amp;",")))=COUNTA(TEXTSPLIT(DU145,",")))),IF(DW145="",TRUE,IF(input_faculty_category="",TRUE,SUMPRODUCT(--ISNUMBER(SEARCH(","&amp;TRIM(TEXTSPLIT(DW145,","))&amp;",",","&amp;SUBSTITUTE(input_faculty_category," ","")&amp;",")))=0)),IF(DY145="",TRUE,IF(input_faculty_category="",FALSE,SUMPRODUCT(--ISNUMBER(SEARCH(","&amp;TRIM(TEXTSPLIT(DY145,","))&amp;",",","&amp;SUBSTITUTE(input_faculty_category," ","")&amp;",")))&gt;0)),IF(EA145="",TRUE,IF(input_faculty_category="",FALSE,SUMPRODUCT(--ISNUMBER(SEARCH(","&amp;TRIM(TEXTSPLIT(EA145,","))&amp;",",","&amp;SUBSTITUTE(input_faculty_category," ","")&amp;",")))=COUNTA(TEXTSPLIT(EA145,",")))))</f>
        <v/>
      </c>
      <c r="JF145">
        <f>AND(IF(EC145="",TRUE,IF(input_faculty_discipline="",FALSE,SUMPRODUCT(--ISNUMBER(SEARCH(","&amp;TRIM(TEXTSPLIT(EC145,","))&amp;",",","&amp;SUBSTITUTE(input_faculty_discipline," ","")&amp;",")))&gt;0)),IF(EE145="",TRUE,IF(input_faculty_discipline="",FALSE,SUMPRODUCT(--ISNUMBER(SEARCH(","&amp;TRIM(TEXTSPLIT(EE145,","))&amp;",",","&amp;SUBSTITUTE(input_faculty_discipline," ","")&amp;",")))=COUNTA(TEXTSPLIT(EE145,",")))),IF(EG145="",TRUE,IF(input_faculty_discipline="",TRUE,SUMPRODUCT(--ISNUMBER(SEARCH(","&amp;TRIM(TEXTSPLIT(EG145,","))&amp;",",","&amp;SUBSTITUTE(input_faculty_discipline," ","")&amp;",")))=0)),IF(EI145="",TRUE,IF(input_faculty_discipline="",FALSE,SUMPRODUCT(--ISNUMBER(SEARCH(","&amp;TRIM(TEXTSPLIT(EI145,","))&amp;",",","&amp;SUBSTITUTE(input_faculty_discipline," ","")&amp;",")))&gt;0)),IF(EK145="",TRUE,IF(input_faculty_discipline="",FALSE,SUMPRODUCT(--ISNUMBER(SEARCH(","&amp;TRIM(TEXTSPLIT(EK145,","))&amp;",",","&amp;SUBSTITUTE(input_faculty_discipline," ","")&amp;",")))=COUNTA(TEXTSPLIT(EK145,",")))))</f>
        <v/>
      </c>
      <c r="JG145">
        <f>AND(IF(EM145="",TRUE,IF(input_faculty_expertise="",FALSE,SUMPRODUCT(--ISNUMBER(SEARCH(","&amp;TRIM(TEXTSPLIT(EM145,","))&amp;",",","&amp;SUBSTITUTE(input_faculty_expertise," ","")&amp;",")))&gt;0)),IF(EO145="",TRUE,IF(input_faculty_expertise="",FALSE,SUMPRODUCT(--ISNUMBER(SEARCH(","&amp;TRIM(TEXTSPLIT(EO145,","))&amp;",",","&amp;SUBSTITUTE(input_faculty_expertise," ","")&amp;",")))=COUNTA(TEXTSPLIT(EO145,",")))),IF(EQ145="",TRUE,IF(input_faculty_expertise="",TRUE,SUMPRODUCT(--ISNUMBER(SEARCH(","&amp;TRIM(TEXTSPLIT(EQ145,","))&amp;",",","&amp;SUBSTITUTE(input_faculty_expertise," ","")&amp;",")))=0)),IF(ES145="",TRUE,IF(input_faculty_expertise="",FALSE,SUMPRODUCT(--ISNUMBER(SEARCH(","&amp;TRIM(TEXTSPLIT(ES145,","))&amp;",",","&amp;SUBSTITUTE(input_faculty_expertise," ","")&amp;",")))&gt;0)),IF(EU145="",TRUE,IF(input_faculty_expertise="",FALSE,SUMPRODUCT(--ISNUMBER(SEARCH(","&amp;TRIM(TEXTSPLIT(EU145,","))&amp;",",","&amp;SUBSTITUTE(input_faculty_expertise," ","")&amp;",")))=COUNTA(TEXTSPLIT(EU145,",")))))</f>
        <v/>
      </c>
      <c r="JH145">
        <f>AND(IF(EW145="",TRUE,IF(input_global_network_school="",FALSE,SUMPRODUCT(--ISNUMBER(SEARCH(","&amp;TRIM(TEXTSPLIT(EW145,","))&amp;",",","&amp;SUBSTITUTE(input_global_network_school," ","")&amp;",")))&gt;0)),IF(EY145="",TRUE,IF(input_global_network_school="",FALSE,SUMPRODUCT(--ISNUMBER(SEARCH(","&amp;TRIM(TEXTSPLIT(EY145,","))&amp;",",","&amp;SUBSTITUTE(input_global_network_school," ","")&amp;",")))=COUNTA(TEXTSPLIT(EY145,",")))),IF(FA145="",TRUE,IF(input_global_network_school="",TRUE,SUMPRODUCT(--ISNUMBER(SEARCH(","&amp;TRIM(TEXTSPLIT(FA145,","))&amp;",",","&amp;SUBSTITUTE(input_global_network_school," ","")&amp;",")))=0)),IF(FC145="",TRUE,IF(input_global_network_school="",FALSE,SUMPRODUCT(--ISNUMBER(SEARCH(","&amp;TRIM(TEXTSPLIT(FC145,","))&amp;",",","&amp;SUBSTITUTE(input_global_network_school," ","")&amp;",")))&gt;0)),IF(FE145="",TRUE,IF(input_global_network_school="",FALSE,SUMPRODUCT(--ISNUMBER(SEARCH(","&amp;TRIM(TEXTSPLIT(FE145,","))&amp;",",","&amp;SUBSTITUTE(input_global_network_school," ","")&amp;",")))=COUNTA(TEXTSPLIT(FE145,",")))))</f>
        <v/>
      </c>
      <c r="JI145">
        <f>AND(IF(FG145="",TRUE,IF(input_industry="",FALSE,SUMPRODUCT(--ISNUMBER(SEARCH(","&amp;TRIM(TEXTSPLIT(FG145,","))&amp;",",","&amp;SUBSTITUTE(input_industry," ","")&amp;",")))&gt;0)),IF(FI145="",TRUE,IF(input_industry="",FALSE,SUMPRODUCT(--ISNUMBER(SEARCH(","&amp;TRIM(TEXTSPLIT(FI145,","))&amp;",",","&amp;SUBSTITUTE(input_industry," ","")&amp;",")))=COUNTA(TEXTSPLIT(FI145,",")))),IF(FK145="",TRUE,IF(input_industry="",TRUE,SUMPRODUCT(--ISNUMBER(SEARCH(","&amp;TRIM(TEXTSPLIT(FK145,","))&amp;",",","&amp;SUBSTITUTE(input_industry," ","")&amp;",")))=0)),IF(FM145="",TRUE,IF(input_industry="",FALSE,SUMPRODUCT(--ISNUMBER(SEARCH(","&amp;TRIM(TEXTSPLIT(FM145,","))&amp;",",","&amp;SUBSTITUTE(input_industry," ","")&amp;",")))&gt;0)),IF(FO145="",TRUE,IF(input_industry="",FALSE,SUMPRODUCT(--ISNUMBER(SEARCH(","&amp;TRIM(TEXTSPLIT(FO145,","))&amp;",",","&amp;SUBSTITUTE(input_industry," ","")&amp;",")))=COUNTA(TEXTSPLIT(FO145,",")))))</f>
        <v/>
      </c>
      <c r="JJ145">
        <f>AND(IF(FQ145="",TRUE,IF(input_location="",FALSE,SUMPRODUCT(--ISNUMBER(SEARCH(","&amp;TRIM(TEXTSPLIT(FQ145,","))&amp;",",","&amp;SUBSTITUTE(input_location," ","")&amp;",")))&gt;0)),IF(FS145="",TRUE,IF(input_location="",FALSE,SUMPRODUCT(--ISNUMBER(SEARCH(","&amp;TRIM(TEXTSPLIT(FS145,","))&amp;",",","&amp;SUBSTITUTE(input_location," ","")&amp;",")))=COUNTA(TEXTSPLIT(FS145,",")))),IF(FU145="",TRUE,IF(input_location="",TRUE,SUMPRODUCT(--ISNUMBER(SEARCH(","&amp;TRIM(TEXTSPLIT(FU145,","))&amp;",",","&amp;SUBSTITUTE(input_location," ","")&amp;",")))=0)),IF(FW145="",TRUE,IF(input_location="",FALSE,SUMPRODUCT(--ISNUMBER(SEARCH(","&amp;TRIM(TEXTSPLIT(FW145,","))&amp;",",","&amp;SUBSTITUTE(input_location," ","")&amp;",")))&gt;0)),IF(FY145="",TRUE,IF(input_location="",FALSE,SUMPRODUCT(--ISNUMBER(SEARCH(","&amp;TRIM(TEXTSPLIT(FY145,","))&amp;",",","&amp;SUBSTITUTE(input_location," ","")&amp;",")))=COUNTA(TEXTSPLIT(FY145,",")))))</f>
        <v/>
      </c>
      <c r="JK145">
        <f>AND(IF(GA145="",TRUE,IF(input_modality="",FALSE,SUMPRODUCT(--ISNUMBER(SEARCH(","&amp;TRIM(TEXTSPLIT(GA145,","))&amp;",",","&amp;SUBSTITUTE(input_modality," ","")&amp;",")))&gt;0)),IF(GC145="",TRUE,IF(input_modality="",FALSE,SUMPRODUCT(--ISNUMBER(SEARCH(","&amp;TRIM(TEXTSPLIT(GC145,","))&amp;",",","&amp;SUBSTITUTE(input_modality," ","")&amp;",")))=COUNTA(TEXTSPLIT(GC145,",")))),IF(GE145="",TRUE,IF(input_modality="",TRUE,SUMPRODUCT(--ISNUMBER(SEARCH(","&amp;TRIM(TEXTSPLIT(GE145,","))&amp;",",","&amp;SUBSTITUTE(input_modality," ","")&amp;",")))=0)),IF(GG145="",TRUE,IF(input_modality="",FALSE,SUMPRODUCT(--ISNUMBER(SEARCH(","&amp;TRIM(TEXTSPLIT(GG145,","))&amp;",",","&amp;SUBSTITUTE(input_modality," ","")&amp;",")))&gt;0)),IF(GI145="",TRUE,IF(input_modality="",FALSE,SUMPRODUCT(--ISNUMBER(SEARCH(","&amp;TRIM(TEXTSPLIT(GI145,","))&amp;",",","&amp;SUBSTITUTE(input_modality," ","")&amp;",")))=COUNTA(TEXTSPLIT(GI145,",")))))</f>
        <v/>
      </c>
      <c r="JL145">
        <f>AND(IF(GK145="",TRUE,IF(input_organizer="",FALSE,SUMPRODUCT(--ISNUMBER(SEARCH(","&amp;TRIM(TEXTSPLIT(GK145,","))&amp;",",","&amp;SUBSTITUTE(input_organizer," ","")&amp;",")))&gt;0)),IF(GM145="",TRUE,IF(input_organizer="",FALSE,SUMPRODUCT(--ISNUMBER(SEARCH(","&amp;TRIM(TEXTSPLIT(GM145,","))&amp;",",","&amp;SUBSTITUTE(input_organizer," ","")&amp;",")))=COUNTA(TEXTSPLIT(GM145,",")))),IF(GO145="",TRUE,IF(input_organizer="",TRUE,SUMPRODUCT(--ISNUMBER(SEARCH(","&amp;TRIM(TEXTSPLIT(GO145,","))&amp;",",","&amp;SUBSTITUTE(input_organizer," ","")&amp;",")))=0)),IF(GQ145="",TRUE,IF(input_organizer="",FALSE,SUMPRODUCT(--ISNUMBER(SEARCH(","&amp;TRIM(TEXTSPLIT(GQ145,","))&amp;",",","&amp;SUBSTITUTE(input_organizer," ","")&amp;",")))&gt;0)),IF(GS145="",TRUE,IF(input_organizer="",FALSE,SUMPRODUCT(--ISNUMBER(SEARCH(","&amp;TRIM(TEXTSPLIT(GS145,","))&amp;",",","&amp;SUBSTITUTE(input_organizer," ","")&amp;",")))=COUNTA(TEXTSPLIT(GS145,",")))))</f>
        <v/>
      </c>
      <c r="JM145">
        <f>AND(IF(GU145="",TRUE,IF(input_profile_type="",FALSE,SUMPRODUCT(--ISNUMBER(SEARCH(","&amp;TRIM(TEXTSPLIT(GU145,","))&amp;",",","&amp;SUBSTITUTE(input_profile_type," ","")&amp;",")))&gt;0)),IF(GW145="",TRUE,IF(input_profile_type="",FALSE,SUMPRODUCT(--ISNUMBER(SEARCH(","&amp;TRIM(TEXTSPLIT(GW145,","))&amp;",",","&amp;SUBSTITUTE(input_profile_type," ","")&amp;",")))=COUNTA(TEXTSPLIT(GW145,",")))),IF(GY145="",TRUE,IF(input_profile_type="",TRUE,SUMPRODUCT(--ISNUMBER(SEARCH(","&amp;TRIM(TEXTSPLIT(GY145,","))&amp;",",","&amp;SUBSTITUTE(input_profile_type," ","")&amp;",")))=0)),IF(HA145="",TRUE,IF(input_profile_type="",FALSE,SUMPRODUCT(--ISNUMBER(SEARCH(","&amp;TRIM(TEXTSPLIT(HA145,","))&amp;",",","&amp;SUBSTITUTE(input_profile_type," ","")&amp;",")))&gt;0)),IF(HC145="",TRUE,IF(input_profile_type="",FALSE,SUMPRODUCT(--ISNUMBER(SEARCH(","&amp;TRIM(TEXTSPLIT(HC145,","))&amp;",",","&amp;SUBSTITUTE(input_profile_type," ","")&amp;",")))=COUNTA(TEXTSPLIT(HC145,",")))))</f>
        <v/>
      </c>
      <c r="JN145">
        <f>AND(IF(HE145="",TRUE,IF(input_program="",FALSE,SUMPRODUCT(--ISNUMBER(SEARCH(","&amp;TRIM(TEXTSPLIT(HE145,","))&amp;",",","&amp;SUBSTITUTE(input_program," ","")&amp;",")))&gt;0)),IF(HG145="",TRUE,IF(input_program="",FALSE,SUMPRODUCT(--ISNUMBER(SEARCH(","&amp;TRIM(TEXTSPLIT(HG145,","))&amp;",",","&amp;SUBSTITUTE(input_program," ","")&amp;",")))=COUNTA(TEXTSPLIT(HG145,",")))),IF(HI145="",TRUE,IF(input_program="",TRUE,SUMPRODUCT(--ISNUMBER(SEARCH(","&amp;TRIM(TEXTSPLIT(HI145,","))&amp;",",","&amp;SUBSTITUTE(input_program," ","")&amp;",")))=0)),IF(HK145="",TRUE,IF(input_program="",FALSE,SUMPRODUCT(--ISNUMBER(SEARCH(","&amp;TRIM(TEXTSPLIT(HK145,","))&amp;",",","&amp;SUBSTITUTE(input_program," ","")&amp;",")))&gt;0)),IF(HM145="",TRUE,IF(input_program="",FALSE,SUMPRODUCT(--ISNUMBER(SEARCH(","&amp;TRIM(TEXTSPLIT(HM145,","))&amp;",",","&amp;SUBSTITUTE(input_program," ","")&amp;",")))=COUNTA(TEXTSPLIT(HM145,",")))))</f>
        <v/>
      </c>
      <c r="JO145">
        <f>AND(IF(HO145="",TRUE,IF(input_story_categories="",FALSE,SUMPRODUCT(--ISNUMBER(SEARCH(","&amp;TRIM(TEXTSPLIT(HO145,","))&amp;",",","&amp;SUBSTITUTE(input_story_categories," ","")&amp;",")))&gt;0)),IF(HQ145="",TRUE,IF(input_story_categories="",FALSE,SUMPRODUCT(--ISNUMBER(SEARCH(","&amp;TRIM(TEXTSPLIT(HQ145,","))&amp;",",","&amp;SUBSTITUTE(input_story_categories," ","")&amp;",")))=COUNTA(TEXTSPLIT(HQ145,",")))),IF(HS145="",TRUE,IF(input_story_categories="",TRUE,SUMPRODUCT(--ISNUMBER(SEARCH(","&amp;TRIM(TEXTSPLIT(HS145,","))&amp;",",","&amp;SUBSTITUTE(input_story_categories," ","")&amp;",")))=0)),IF(HU145="",TRUE,IF(input_story_categories="",FALSE,SUMPRODUCT(--ISNUMBER(SEARCH(","&amp;TRIM(TEXTSPLIT(HU145,","))&amp;",",","&amp;SUBSTITUTE(input_story_categories," ","")&amp;",")))&gt;0)),IF(HW145="",TRUE,IF(input_story_categories="",FALSE,SUMPRODUCT(--ISNUMBER(SEARCH(","&amp;TRIM(TEXTSPLIT(HW145,","))&amp;",",","&amp;SUBSTITUTE(input_story_categories," ","")&amp;",")))=COUNTA(TEXTSPLIT(HW145,",")))))</f>
        <v/>
      </c>
      <c r="JP145">
        <f>AND(IF(HY145="",TRUE,IF(input_story_type="",FALSE,SUMPRODUCT(--ISNUMBER(SEARCH(","&amp;TRIM(TEXTSPLIT(HY145,","))&amp;",",","&amp;SUBSTITUTE(input_story_type," ","")&amp;",")))&gt;0)),IF(IA145="",TRUE,IF(input_story_type="",FALSE,SUMPRODUCT(--ISNUMBER(SEARCH(","&amp;TRIM(TEXTSPLIT(IA145,","))&amp;",",","&amp;SUBSTITUTE(input_story_type," ","")&amp;",")))=COUNTA(TEXTSPLIT(IA145,",")))),IF(IC145="",TRUE,IF(input_story_type="",TRUE,SUMPRODUCT(--ISNUMBER(SEARCH(","&amp;TRIM(TEXTSPLIT(IC145,","))&amp;",",","&amp;SUBSTITUTE(input_story_type," ","")&amp;",")))=0)),IF(IE145="",TRUE,IF(input_story_type="",FALSE,SUMPRODUCT(--ISNUMBER(SEARCH(","&amp;TRIM(TEXTSPLIT(IE145,","))&amp;",",","&amp;SUBSTITUTE(input_story_type," ","")&amp;",")))&gt;0)),IF(IG145="",TRUE,IF(input_story_type="",FALSE,SUMPRODUCT(--ISNUMBER(SEARCH(","&amp;TRIM(TEXTSPLIT(IG145,","))&amp;",",","&amp;SUBSTITUTE(input_story_type," ","")&amp;",")))=COUNTA(TEXTSPLIT(IG145,",")))))</f>
        <v/>
      </c>
      <c r="JQ145">
        <f>AND(IF(II145="",TRUE,IF(input_topics="",FALSE,SUMPRODUCT(--ISNUMBER(SEARCH(","&amp;TRIM(TEXTSPLIT(II145,","))&amp;",",","&amp;SUBSTITUTE(input_topics," ","")&amp;",")))&gt;0)),IF(IK145="",TRUE,IF(input_topics="",FALSE,SUMPRODUCT(--ISNUMBER(SEARCH(","&amp;TRIM(TEXTSPLIT(IK145,","))&amp;",",","&amp;SUBSTITUTE(input_topics," ","")&amp;",")))=COUNTA(TEXTSPLIT(IK145,",")))),IF(IM145="",TRUE,IF(input_topics="",TRUE,SUMPRODUCT(--ISNUMBER(SEARCH(","&amp;TRIM(TEXTSPLIT(IM145,","))&amp;",",","&amp;SUBSTITUTE(input_topics," ","")&amp;",")))=0)),IF(IO145="",TRUE,IF(input_topics="",FALSE,SUMPRODUCT(--ISNUMBER(SEARCH(","&amp;TRIM(TEXTSPLIT(IO145,","))&amp;",",","&amp;SUBSTITUTE(input_topics," ","")&amp;",")))&gt;0)),IF(IQ145="",TRUE,IF(input_topics="",FALSE,SUMPRODUCT(--ISNUMBER(SEARCH(","&amp;TRIM(TEXTSPLIT(IQ145,","))&amp;",",","&amp;SUBSTITUTE(input_topics," ","")&amp;",")))=COUNTA(TEXTSPLIT(IQ145,",")))))</f>
        <v/>
      </c>
    </row>
    <row r="146">
      <c r="A146" s="4">
        <f>IF(NOT(IS146),"Excluded",IF(AND(IT146,IU146,IV146,IW146,IX146,IY146,IZ146,JA146,JB146,JC146,JD146,JE146,JF146,JG146,JH146,JI146,JJ146,JK146,JL146,JM146,JN146,JO146,JP146,JQ146),IF(I146&gt;0,"Eligible but limited","Will appear"),"Excluded"))</f>
        <v/>
      </c>
      <c r="B146" s="4" t="inlineStr">
        <is>
          <t>News - Summary</t>
        </is>
      </c>
      <c r="C146" s="4" t="inlineStr">
        <is>
          <t>/the-som-experience/life-at-yale-som/new-haven</t>
        </is>
      </c>
      <c r="D146" s="4" t="inlineStr">
        <is>
          <t>/the-som-experience/life-at-yale-som/new-haven</t>
        </is>
      </c>
      <c r="E146" s="4" t="n">
        <v>1</v>
      </c>
      <c r="F146" s="4" t="inlineStr">
        <is>
          <t>story</t>
        </is>
      </c>
      <c r="G146" s="4" t="inlineStr">
        <is>
          <t>stories_mosaic_grid</t>
        </is>
      </c>
      <c r="H146" s="4" t="inlineStr">
        <is>
          <t>embed_news_summary</t>
        </is>
      </c>
      <c r="I146" s="4" t="n">
        <v>1</v>
      </c>
      <c r="J146" s="4" t="inlineStr">
        <is>
          <t>View/config rules</t>
        </is>
      </c>
      <c r="K146" s="4" t="inlineStr">
        <is>
          <t>Page placement</t>
        </is>
      </c>
      <c r="L146" s="4" t="inlineStr">
        <is>
          <t>Content type: story; Needs any Story Type: News (924); Limited to 1 item(s); Source: View/config rules</t>
        </is>
      </c>
      <c r="M146" t="inlineStr"/>
      <c r="N146" t="inlineStr"/>
      <c r="O146" t="inlineStr"/>
      <c r="P146" t="inlineStr"/>
      <c r="Q146" t="inlineStr"/>
      <c r="R146" t="inlineStr"/>
      <c r="S146" t="inlineStr"/>
      <c r="T146" t="inlineStr"/>
      <c r="U146" t="inlineStr"/>
      <c r="V146" t="inlineStr"/>
      <c r="W146" t="inlineStr"/>
      <c r="X146" t="inlineStr"/>
      <c r="Y146" t="inlineStr"/>
      <c r="Z146" t="inlineStr"/>
      <c r="AA146" t="inlineStr"/>
      <c r="AB146" t="inlineStr"/>
      <c r="AC146" t="inlineStr"/>
      <c r="AD146" t="inlineStr"/>
      <c r="AE146" t="inlineStr"/>
      <c r="AF146" t="inlineStr"/>
      <c r="AG146" t="inlineStr"/>
      <c r="AH146" t="inlineStr"/>
      <c r="AI146" t="inlineStr"/>
      <c r="AJ146" t="inlineStr"/>
      <c r="AK146" t="inlineStr"/>
      <c r="AL146" t="inlineStr"/>
      <c r="AM146" t="inlineStr"/>
      <c r="AN146" t="inlineStr"/>
      <c r="AO146" t="inlineStr"/>
      <c r="AP146" t="inlineStr"/>
      <c r="AQ146" t="inlineStr"/>
      <c r="AR146" t="inlineStr"/>
      <c r="AS146" t="inlineStr"/>
      <c r="AT146" t="inlineStr"/>
      <c r="AU146" t="inlineStr"/>
      <c r="AV146" t="inlineStr"/>
      <c r="AW146" t="inlineStr"/>
      <c r="AX146" t="inlineStr"/>
      <c r="AY146" t="inlineStr"/>
      <c r="AZ146" t="inlineStr"/>
      <c r="BA146" t="inlineStr"/>
      <c r="BB146" t="inlineStr"/>
      <c r="BC146" t="inlineStr"/>
      <c r="BD146" t="inlineStr"/>
      <c r="BE146" t="inlineStr"/>
      <c r="BF146" t="inlineStr"/>
      <c r="BG146" t="inlineStr"/>
      <c r="BH146" t="inlineStr"/>
      <c r="BI146" t="inlineStr"/>
      <c r="BJ146" t="inlineStr"/>
      <c r="BK146" t="inlineStr"/>
      <c r="BL146" t="inlineStr"/>
      <c r="BM146" t="inlineStr"/>
      <c r="BN146" t="inlineStr"/>
      <c r="BO146" t="inlineStr"/>
      <c r="BP146" t="inlineStr"/>
      <c r="BQ146" t="inlineStr"/>
      <c r="BR146" t="inlineStr"/>
      <c r="BS146" t="inlineStr"/>
      <c r="BT146" t="inlineStr"/>
      <c r="BU146" t="inlineStr"/>
      <c r="BV146" t="inlineStr"/>
      <c r="BW146" t="inlineStr"/>
      <c r="BX146" t="inlineStr"/>
      <c r="BY146" t="inlineStr"/>
      <c r="BZ146" t="inlineStr"/>
      <c r="CA146" t="inlineStr"/>
      <c r="CB146" t="inlineStr"/>
      <c r="CC146" t="inlineStr"/>
      <c r="CD146" t="inlineStr"/>
      <c r="CE146" t="inlineStr"/>
      <c r="CF146" t="inlineStr"/>
      <c r="CG146" t="inlineStr"/>
      <c r="CH146" t="inlineStr"/>
      <c r="CI146" t="inlineStr"/>
      <c r="CJ146" t="inlineStr"/>
      <c r="CK146" t="inlineStr"/>
      <c r="CL146" t="inlineStr"/>
      <c r="CM146" t="inlineStr"/>
      <c r="CN146" t="inlineStr"/>
      <c r="CO146" t="inlineStr"/>
      <c r="CP146" t="inlineStr"/>
      <c r="CQ146" t="inlineStr"/>
      <c r="CR146" t="inlineStr"/>
      <c r="CS146" t="inlineStr"/>
      <c r="CT146" t="inlineStr"/>
      <c r="CU146" t="inlineStr"/>
      <c r="CV146" t="inlineStr"/>
      <c r="CW146" t="inlineStr"/>
      <c r="CX146" t="inlineStr"/>
      <c r="CY146" t="inlineStr"/>
      <c r="CZ146" t="inlineStr"/>
      <c r="DA146" t="inlineStr"/>
      <c r="DB146" t="inlineStr"/>
      <c r="DC146" t="inlineStr"/>
      <c r="DD146" t="inlineStr"/>
      <c r="DE146" t="inlineStr"/>
      <c r="DF146" t="inlineStr"/>
      <c r="DG146" t="inlineStr"/>
      <c r="DH146" t="inlineStr"/>
      <c r="DI146" t="inlineStr"/>
      <c r="DJ146" t="inlineStr"/>
      <c r="DK146" t="inlineStr"/>
      <c r="DL146" t="inlineStr"/>
      <c r="DM146" t="inlineStr"/>
      <c r="DN146" t="inlineStr"/>
      <c r="DO146" t="inlineStr"/>
      <c r="DP146" t="inlineStr"/>
      <c r="DQ146" t="inlineStr"/>
      <c r="DR146" t="inlineStr"/>
      <c r="DS146" t="inlineStr"/>
      <c r="DT146" t="inlineStr"/>
      <c r="DU146" t="inlineStr"/>
      <c r="DV146" t="inlineStr"/>
      <c r="DW146" t="inlineStr"/>
      <c r="DX146" t="inlineStr"/>
      <c r="DY146" t="inlineStr"/>
      <c r="DZ146" t="inlineStr"/>
      <c r="EA146" t="inlineStr"/>
      <c r="EB146" t="inlineStr"/>
      <c r="EC146" t="inlineStr"/>
      <c r="ED146" t="inlineStr"/>
      <c r="EE146" t="inlineStr"/>
      <c r="EF146" t="inlineStr"/>
      <c r="EG146" t="inlineStr"/>
      <c r="EH146" t="inlineStr"/>
      <c r="EI146" t="inlineStr"/>
      <c r="EJ146" t="inlineStr"/>
      <c r="EK146" t="inlineStr"/>
      <c r="EL146" t="inlineStr"/>
      <c r="EM146" t="inlineStr"/>
      <c r="EN146" t="inlineStr"/>
      <c r="EO146" t="inlineStr"/>
      <c r="EP146" t="inlineStr"/>
      <c r="EQ146" t="inlineStr"/>
      <c r="ER146" t="inlineStr"/>
      <c r="ES146" t="inlineStr"/>
      <c r="ET146" t="inlineStr"/>
      <c r="EU146" t="inlineStr"/>
      <c r="EV146" t="inlineStr"/>
      <c r="EW146" t="inlineStr"/>
      <c r="EX146" t="inlineStr"/>
      <c r="EY146" t="inlineStr"/>
      <c r="EZ146" t="inlineStr"/>
      <c r="FA146" t="inlineStr"/>
      <c r="FB146" t="inlineStr"/>
      <c r="FC146" t="inlineStr"/>
      <c r="FD146" t="inlineStr"/>
      <c r="FE146" t="inlineStr"/>
      <c r="FF146" t="inlineStr"/>
      <c r="FG146" t="inlineStr"/>
      <c r="FH146" t="inlineStr"/>
      <c r="FI146" t="inlineStr"/>
      <c r="FJ146" t="inlineStr"/>
      <c r="FK146" t="inlineStr"/>
      <c r="FL146" t="inlineStr"/>
      <c r="FM146" t="inlineStr"/>
      <c r="FN146" t="inlineStr"/>
      <c r="FO146" t="inlineStr"/>
      <c r="FP146" t="inlineStr"/>
      <c r="FQ146" t="inlineStr"/>
      <c r="FR146" t="inlineStr"/>
      <c r="FS146" t="inlineStr"/>
      <c r="FT146" t="inlineStr"/>
      <c r="FU146" t="inlineStr"/>
      <c r="FV146" t="inlineStr"/>
      <c r="FW146" t="inlineStr"/>
      <c r="FX146" t="inlineStr"/>
      <c r="FY146" t="inlineStr"/>
      <c r="FZ146" t="inlineStr"/>
      <c r="GA146" t="inlineStr"/>
      <c r="GB146" t="inlineStr"/>
      <c r="GC146" t="inlineStr"/>
      <c r="GD146" t="inlineStr"/>
      <c r="GE146" t="inlineStr"/>
      <c r="GF146" t="inlineStr"/>
      <c r="GG146" t="inlineStr"/>
      <c r="GH146" t="inlineStr"/>
      <c r="GI146" t="inlineStr"/>
      <c r="GJ146" t="inlineStr"/>
      <c r="GK146" t="inlineStr"/>
      <c r="GL146" t="inlineStr"/>
      <c r="GM146" t="inlineStr"/>
      <c r="GN146" t="inlineStr"/>
      <c r="GO146" t="inlineStr"/>
      <c r="GP146" t="inlineStr"/>
      <c r="GQ146" t="inlineStr"/>
      <c r="GR146" t="inlineStr"/>
      <c r="GS146" t="inlineStr"/>
      <c r="GT146" t="inlineStr"/>
      <c r="GU146" t="inlineStr"/>
      <c r="GV146" t="inlineStr"/>
      <c r="GW146" t="inlineStr"/>
      <c r="GX146" t="inlineStr"/>
      <c r="GY146" t="inlineStr"/>
      <c r="GZ146" t="inlineStr"/>
      <c r="HA146" t="inlineStr"/>
      <c r="HB146" t="inlineStr"/>
      <c r="HC146" t="inlineStr"/>
      <c r="HD146" t="inlineStr"/>
      <c r="HE146" t="inlineStr"/>
      <c r="HF146" t="inlineStr"/>
      <c r="HG146" t="inlineStr"/>
      <c r="HH146" t="inlineStr"/>
      <c r="HI146" t="inlineStr"/>
      <c r="HJ146" t="inlineStr"/>
      <c r="HK146" t="inlineStr"/>
      <c r="HL146" t="inlineStr"/>
      <c r="HM146" t="inlineStr"/>
      <c r="HN146" t="inlineStr"/>
      <c r="HO146" t="inlineStr"/>
      <c r="HP146" t="inlineStr"/>
      <c r="HQ146" t="inlineStr"/>
      <c r="HR146" t="inlineStr"/>
      <c r="HS146" t="inlineStr"/>
      <c r="HT146" t="inlineStr"/>
      <c r="HU146" t="inlineStr"/>
      <c r="HV146" t="inlineStr"/>
      <c r="HW146" t="inlineStr"/>
      <c r="HX146" t="inlineStr"/>
      <c r="HY146" t="inlineStr">
        <is>
          <t>924</t>
        </is>
      </c>
      <c r="HZ146" t="inlineStr">
        <is>
          <t>News (924)</t>
        </is>
      </c>
      <c r="IA146" t="inlineStr"/>
      <c r="IB146" t="inlineStr"/>
      <c r="IC146" t="inlineStr"/>
      <c r="ID146" t="inlineStr"/>
      <c r="IE146" t="inlineStr"/>
      <c r="IF146" t="inlineStr"/>
      <c r="IG146" t="inlineStr"/>
      <c r="IH146" t="inlineStr"/>
      <c r="II146" t="inlineStr"/>
      <c r="IJ146" t="inlineStr"/>
      <c r="IK146" t="inlineStr"/>
      <c r="IL146" t="inlineStr"/>
      <c r="IM146" t="inlineStr"/>
      <c r="IN146" t="inlineStr"/>
      <c r="IO146" t="inlineStr"/>
      <c r="IP146" t="inlineStr"/>
      <c r="IQ146" t="inlineStr"/>
      <c r="IR146" t="inlineStr"/>
      <c r="IS146">
        <f>IF(input_content_type="",FALSE,ISNUMBER(SEARCH(","&amp;LOWER(input_content_type)&amp;",",","&amp;LOWER(F146)&amp;",")))</f>
        <v/>
      </c>
      <c r="IT146">
        <f>AND(IF(M146="",TRUE,IF(input_affiliations="",FALSE,SUMPRODUCT(--ISNUMBER(SEARCH(","&amp;TRIM(TEXTSPLIT(M146,","))&amp;",",","&amp;SUBSTITUTE(input_affiliations," ","")&amp;",")))&gt;0)),IF(O146="",TRUE,IF(input_affiliations="",FALSE,SUMPRODUCT(--ISNUMBER(SEARCH(","&amp;TRIM(TEXTSPLIT(O146,","))&amp;",",","&amp;SUBSTITUTE(input_affiliations," ","")&amp;",")))=COUNTA(TEXTSPLIT(O146,",")))),IF(Q146="",TRUE,IF(input_affiliations="",TRUE,SUMPRODUCT(--ISNUMBER(SEARCH(","&amp;TRIM(TEXTSPLIT(Q146,","))&amp;",",","&amp;SUBSTITUTE(input_affiliations," ","")&amp;",")))=0)),IF(S146="",TRUE,IF(input_affiliations="",FALSE,SUMPRODUCT(--ISNUMBER(SEARCH(","&amp;TRIM(TEXTSPLIT(S146,","))&amp;",",","&amp;SUBSTITUTE(input_affiliations," ","")&amp;",")))&gt;0)),IF(U146="",TRUE,IF(input_affiliations="",FALSE,SUMPRODUCT(--ISNUMBER(SEARCH(","&amp;TRIM(TEXTSPLIT(U146,","))&amp;",",","&amp;SUBSTITUTE(input_affiliations," ","")&amp;",")))=COUNTA(TEXTSPLIT(U146,",")))))</f>
        <v/>
      </c>
      <c r="IU146">
        <f>AND(IF(W146="",TRUE,IF(input_announcement_category="",FALSE,SUMPRODUCT(--ISNUMBER(SEARCH(","&amp;TRIM(TEXTSPLIT(W146,","))&amp;",",","&amp;SUBSTITUTE(input_announcement_category," ","")&amp;",")))&gt;0)),IF(Y146="",TRUE,IF(input_announcement_category="",FALSE,SUMPRODUCT(--ISNUMBER(SEARCH(","&amp;TRIM(TEXTSPLIT(Y146,","))&amp;",",","&amp;SUBSTITUTE(input_announcement_category," ","")&amp;",")))=COUNTA(TEXTSPLIT(Y146,",")))),IF(AA146="",TRUE,IF(input_announcement_category="",TRUE,SUMPRODUCT(--ISNUMBER(SEARCH(","&amp;TRIM(TEXTSPLIT(AA146,","))&amp;",",","&amp;SUBSTITUTE(input_announcement_category," ","")&amp;",")))=0)),IF(AC146="",TRUE,IF(input_announcement_category="",FALSE,SUMPRODUCT(--ISNUMBER(SEARCH(","&amp;TRIM(TEXTSPLIT(AC146,","))&amp;",",","&amp;SUBSTITUTE(input_announcement_category," ","")&amp;",")))&gt;0)),IF(AE146="",TRUE,IF(input_announcement_category="",FALSE,SUMPRODUCT(--ISNUMBER(SEARCH(","&amp;TRIM(TEXTSPLIT(AE146,","))&amp;",",","&amp;SUBSTITUTE(input_announcement_category," ","")&amp;",")))=COUNTA(TEXTSPLIT(AE146,",")))))</f>
        <v/>
      </c>
      <c r="IV146">
        <f>AND(IF(AG146="",TRUE,IF(input_area_of_focus="",FALSE,SUMPRODUCT(--ISNUMBER(SEARCH(","&amp;TRIM(TEXTSPLIT(AG146,","))&amp;",",","&amp;SUBSTITUTE(input_area_of_focus," ","")&amp;",")))&gt;0)),IF(AI146="",TRUE,IF(input_area_of_focus="",FALSE,SUMPRODUCT(--ISNUMBER(SEARCH(","&amp;TRIM(TEXTSPLIT(AI146,","))&amp;",",","&amp;SUBSTITUTE(input_area_of_focus," ","")&amp;",")))=COUNTA(TEXTSPLIT(AI146,",")))),IF(AK146="",TRUE,IF(input_area_of_focus="",TRUE,SUMPRODUCT(--ISNUMBER(SEARCH(","&amp;TRIM(TEXTSPLIT(AK146,","))&amp;",",","&amp;SUBSTITUTE(input_area_of_focus," ","")&amp;",")))=0)),IF(AM146="",TRUE,IF(input_area_of_focus="",FALSE,SUMPRODUCT(--ISNUMBER(SEARCH(","&amp;TRIM(TEXTSPLIT(AM146,","))&amp;",",","&amp;SUBSTITUTE(input_area_of_focus," ","")&amp;",")))&gt;0)),IF(AO146="",TRUE,IF(input_area_of_focus="",FALSE,SUMPRODUCT(--ISNUMBER(SEARCH(","&amp;TRIM(TEXTSPLIT(AO146,","))&amp;",",","&amp;SUBSTITUTE(input_area_of_focus," ","")&amp;",")))=COUNTA(TEXTSPLIT(AO146,",")))))</f>
        <v/>
      </c>
      <c r="IW146">
        <f>AND(IF(AQ146="",TRUE,IF(input_audience="",FALSE,SUMPRODUCT(--ISNUMBER(SEARCH(","&amp;TRIM(TEXTSPLIT(AQ146,","))&amp;",",","&amp;SUBSTITUTE(input_audience," ","")&amp;",")))&gt;0)),IF(AS146="",TRUE,IF(input_audience="",FALSE,SUMPRODUCT(--ISNUMBER(SEARCH(","&amp;TRIM(TEXTSPLIT(AS146,","))&amp;",",","&amp;SUBSTITUTE(input_audience," ","")&amp;",")))=COUNTA(TEXTSPLIT(AS146,",")))),IF(AU146="",TRUE,IF(input_audience="",TRUE,SUMPRODUCT(--ISNUMBER(SEARCH(","&amp;TRIM(TEXTSPLIT(AU146,","))&amp;",",","&amp;SUBSTITUTE(input_audience," ","")&amp;",")))=0)),IF(AW146="",TRUE,IF(input_audience="",FALSE,SUMPRODUCT(--ISNUMBER(SEARCH(","&amp;TRIM(TEXTSPLIT(AW146,","))&amp;",",","&amp;SUBSTITUTE(input_audience," ","")&amp;",")))&gt;0)),IF(AY146="",TRUE,IF(input_audience="",FALSE,SUMPRODUCT(--ISNUMBER(SEARCH(","&amp;TRIM(TEXTSPLIT(AY146,","))&amp;",",","&amp;SUBSTITUTE(input_audience," ","")&amp;",")))=COUNTA(TEXTSPLIT(AY146,",")))))</f>
        <v/>
      </c>
      <c r="IX146">
        <f>AND(IF(BA146="",TRUE,IF(input_challenge_opportunities="",FALSE,SUMPRODUCT(--ISNUMBER(SEARCH(","&amp;TRIM(TEXTSPLIT(BA146,","))&amp;",",","&amp;SUBSTITUTE(input_challenge_opportunities," ","")&amp;",")))&gt;0)),IF(BC146="",TRUE,IF(input_challenge_opportunities="",FALSE,SUMPRODUCT(--ISNUMBER(SEARCH(","&amp;TRIM(TEXTSPLIT(BC146,","))&amp;",",","&amp;SUBSTITUTE(input_challenge_opportunities," ","")&amp;",")))=COUNTA(TEXTSPLIT(BC146,",")))),IF(BE146="",TRUE,IF(input_challenge_opportunities="",TRUE,SUMPRODUCT(--ISNUMBER(SEARCH(","&amp;TRIM(TEXTSPLIT(BE146,","))&amp;",",","&amp;SUBSTITUTE(input_challenge_opportunities," ","")&amp;",")))=0)),IF(BG146="",TRUE,IF(input_challenge_opportunities="",FALSE,SUMPRODUCT(--ISNUMBER(SEARCH(","&amp;TRIM(TEXTSPLIT(BG146,","))&amp;",",","&amp;SUBSTITUTE(input_challenge_opportunities," ","")&amp;",")))&gt;0)),IF(BI146="",TRUE,IF(input_challenge_opportunities="",FALSE,SUMPRODUCT(--ISNUMBER(SEARCH(","&amp;TRIM(TEXTSPLIT(BI146,","))&amp;",",","&amp;SUBSTITUTE(input_challenge_opportunities," ","")&amp;",")))=COUNTA(TEXTSPLIT(BI146,",")))))</f>
        <v/>
      </c>
      <c r="IY146">
        <f>AND(IF(BK146="",TRUE,IF(input_context="",FALSE,SUMPRODUCT(--ISNUMBER(SEARCH(","&amp;TRIM(TEXTSPLIT(BK146,","))&amp;",",","&amp;SUBSTITUTE(input_context," ","")&amp;",")))&gt;0)),IF(BM146="",TRUE,IF(input_context="",FALSE,SUMPRODUCT(--ISNUMBER(SEARCH(","&amp;TRIM(TEXTSPLIT(BM146,","))&amp;",",","&amp;SUBSTITUTE(input_context," ","")&amp;",")))=COUNTA(TEXTSPLIT(BM146,",")))),IF(BO146="",TRUE,IF(input_context="",TRUE,SUMPRODUCT(--ISNUMBER(SEARCH(","&amp;TRIM(TEXTSPLIT(BO146,","))&amp;",",","&amp;SUBSTITUTE(input_context," ","")&amp;",")))=0)),IF(BQ146="",TRUE,IF(input_context="",FALSE,SUMPRODUCT(--ISNUMBER(SEARCH(","&amp;TRIM(TEXTSPLIT(BQ146,","))&amp;",",","&amp;SUBSTITUTE(input_context," ","")&amp;",")))&gt;0)),IF(BS146="",TRUE,IF(input_context="",FALSE,SUMPRODUCT(--ISNUMBER(SEARCH(","&amp;TRIM(TEXTSPLIT(BS146,","))&amp;",",","&amp;SUBSTITUTE(input_context," ","")&amp;",")))=COUNTA(TEXTSPLIT(BS146,",")))))</f>
        <v/>
      </c>
      <c r="IZ146">
        <f>AND(IF(BU146="",TRUE,IF(input_enews_announcement_type="",FALSE,SUMPRODUCT(--ISNUMBER(SEARCH(","&amp;TRIM(TEXTSPLIT(BU146,","))&amp;",",","&amp;SUBSTITUTE(input_enews_announcement_type," ","")&amp;",")))&gt;0)),IF(BW146="",TRUE,IF(input_enews_announcement_type="",FALSE,SUMPRODUCT(--ISNUMBER(SEARCH(","&amp;TRIM(TEXTSPLIT(BW146,","))&amp;",",","&amp;SUBSTITUTE(input_enews_announcement_type," ","")&amp;",")))=COUNTA(TEXTSPLIT(BW146,",")))),IF(BY146="",TRUE,IF(input_enews_announcement_type="",TRUE,SUMPRODUCT(--ISNUMBER(SEARCH(","&amp;TRIM(TEXTSPLIT(BY146,","))&amp;",",","&amp;SUBSTITUTE(input_enews_announcement_type," ","")&amp;",")))=0)),IF(CA146="",TRUE,IF(input_enews_announcement_type="",FALSE,SUMPRODUCT(--ISNUMBER(SEARCH(","&amp;TRIM(TEXTSPLIT(CA146,","))&amp;",",","&amp;SUBSTITUTE(input_enews_announcement_type," ","")&amp;",")))&gt;0)),IF(CC146="",TRUE,IF(input_enews_announcement_type="",FALSE,SUMPRODUCT(--ISNUMBER(SEARCH(","&amp;TRIM(TEXTSPLIT(CC146,","))&amp;",",","&amp;SUBSTITUTE(input_enews_announcement_type," ","")&amp;",")))=COUNTA(TEXTSPLIT(CC146,",")))))</f>
        <v/>
      </c>
      <c r="JA146">
        <f>AND(IF(CE146="",TRUE,IF(input_enews_audience="",FALSE,SUMPRODUCT(--ISNUMBER(SEARCH(","&amp;TRIM(TEXTSPLIT(CE146,","))&amp;",",","&amp;SUBSTITUTE(input_enews_audience," ","")&amp;",")))&gt;0)),IF(CG146="",TRUE,IF(input_enews_audience="",FALSE,SUMPRODUCT(--ISNUMBER(SEARCH(","&amp;TRIM(TEXTSPLIT(CG146,","))&amp;",",","&amp;SUBSTITUTE(input_enews_audience," ","")&amp;",")))=COUNTA(TEXTSPLIT(CG146,",")))),IF(CI146="",TRUE,IF(input_enews_audience="",TRUE,SUMPRODUCT(--ISNUMBER(SEARCH(","&amp;TRIM(TEXTSPLIT(CI146,","))&amp;",",","&amp;SUBSTITUTE(input_enews_audience," ","")&amp;",")))=0)),IF(CK146="",TRUE,IF(input_enews_audience="",FALSE,SUMPRODUCT(--ISNUMBER(SEARCH(","&amp;TRIM(TEXTSPLIT(CK146,","))&amp;",",","&amp;SUBSTITUTE(input_enews_audience," ","")&amp;",")))&gt;0)),IF(CM146="",TRUE,IF(input_enews_audience="",FALSE,SUMPRODUCT(--ISNUMBER(SEARCH(","&amp;TRIM(TEXTSPLIT(CM146,","))&amp;",",","&amp;SUBSTITUTE(input_enews_audience," ","")&amp;",")))=COUNTA(TEXTSPLIT(CM146,",")))))</f>
        <v/>
      </c>
      <c r="JB146">
        <f>AND(IF(CO146="",TRUE,IF(input_event_location="",FALSE,SUMPRODUCT(--ISNUMBER(SEARCH(","&amp;TRIM(TEXTSPLIT(CO146,","))&amp;",",","&amp;SUBSTITUTE(input_event_location," ","")&amp;",")))&gt;0)),IF(CQ146="",TRUE,IF(input_event_location="",FALSE,SUMPRODUCT(--ISNUMBER(SEARCH(","&amp;TRIM(TEXTSPLIT(CQ146,","))&amp;",",","&amp;SUBSTITUTE(input_event_location," ","")&amp;",")))=COUNTA(TEXTSPLIT(CQ146,",")))),IF(CS146="",TRUE,IF(input_event_location="",TRUE,SUMPRODUCT(--ISNUMBER(SEARCH(","&amp;TRIM(TEXTSPLIT(CS146,","))&amp;",",","&amp;SUBSTITUTE(input_event_location," ","")&amp;",")))=0)),IF(CU146="",TRUE,IF(input_event_location="",FALSE,SUMPRODUCT(--ISNUMBER(SEARCH(","&amp;TRIM(TEXTSPLIT(CU146,","))&amp;",",","&amp;SUBSTITUTE(input_event_location," ","")&amp;",")))&gt;0)),IF(CW146="",TRUE,IF(input_event_location="",FALSE,SUMPRODUCT(--ISNUMBER(SEARCH(","&amp;TRIM(TEXTSPLIT(CW146,","))&amp;",",","&amp;SUBSTITUTE(input_event_location," ","")&amp;",")))=COUNTA(TEXTSPLIT(CW146,",")))))</f>
        <v/>
      </c>
      <c r="JC146">
        <f>AND(IF(CY146="",TRUE,IF(input_event_type="",FALSE,SUMPRODUCT(--ISNUMBER(SEARCH(","&amp;TRIM(TEXTSPLIT(CY146,","))&amp;",",","&amp;SUBSTITUTE(input_event_type," ","")&amp;",")))&gt;0)),IF(DA146="",TRUE,IF(input_event_type="",FALSE,SUMPRODUCT(--ISNUMBER(SEARCH(","&amp;TRIM(TEXTSPLIT(DA146,","))&amp;",",","&amp;SUBSTITUTE(input_event_type," ","")&amp;",")))=COUNTA(TEXTSPLIT(DA146,",")))),IF(DC146="",TRUE,IF(input_event_type="",TRUE,SUMPRODUCT(--ISNUMBER(SEARCH(","&amp;TRIM(TEXTSPLIT(DC146,","))&amp;",",","&amp;SUBSTITUTE(input_event_type," ","")&amp;",")))=0)),IF(DE146="",TRUE,IF(input_event_type="",FALSE,SUMPRODUCT(--ISNUMBER(SEARCH(","&amp;TRIM(TEXTSPLIT(DE146,","))&amp;",",","&amp;SUBSTITUTE(input_event_type," ","")&amp;",")))&gt;0)),IF(DG146="",TRUE,IF(input_event_type="",FALSE,SUMPRODUCT(--ISNUMBER(SEARCH(","&amp;TRIM(TEXTSPLIT(DG146,","))&amp;",",","&amp;SUBSTITUTE(input_event_type," ","")&amp;",")))=COUNTA(TEXTSPLIT(DG146,",")))))</f>
        <v/>
      </c>
      <c r="JD146">
        <f>AND(IF(DI146="",TRUE,IF(input_executive_education_focus="",FALSE,SUMPRODUCT(--ISNUMBER(SEARCH(","&amp;TRIM(TEXTSPLIT(DI146,","))&amp;",",","&amp;SUBSTITUTE(input_executive_education_focus," ","")&amp;",")))&gt;0)),IF(DK146="",TRUE,IF(input_executive_education_focus="",FALSE,SUMPRODUCT(--ISNUMBER(SEARCH(","&amp;TRIM(TEXTSPLIT(DK146,","))&amp;",",","&amp;SUBSTITUTE(input_executive_education_focus," ","")&amp;",")))=COUNTA(TEXTSPLIT(DK146,",")))),IF(DM146="",TRUE,IF(input_executive_education_focus="",TRUE,SUMPRODUCT(--ISNUMBER(SEARCH(","&amp;TRIM(TEXTSPLIT(DM146,","))&amp;",",","&amp;SUBSTITUTE(input_executive_education_focus," ","")&amp;",")))=0)),IF(DO146="",TRUE,IF(input_executive_education_focus="",FALSE,SUMPRODUCT(--ISNUMBER(SEARCH(","&amp;TRIM(TEXTSPLIT(DO146,","))&amp;",",","&amp;SUBSTITUTE(input_executive_education_focus," ","")&amp;",")))&gt;0)),IF(DQ146="",TRUE,IF(input_executive_education_focus="",FALSE,SUMPRODUCT(--ISNUMBER(SEARCH(","&amp;TRIM(TEXTSPLIT(DQ146,","))&amp;",",","&amp;SUBSTITUTE(input_executive_education_focus," ","")&amp;",")))=COUNTA(TEXTSPLIT(DQ146,",")))))</f>
        <v/>
      </c>
      <c r="JE146">
        <f>AND(IF(DS146="",TRUE,IF(input_faculty_category="",FALSE,SUMPRODUCT(--ISNUMBER(SEARCH(","&amp;TRIM(TEXTSPLIT(DS146,","))&amp;",",","&amp;SUBSTITUTE(input_faculty_category," ","")&amp;",")))&gt;0)),IF(DU146="",TRUE,IF(input_faculty_category="",FALSE,SUMPRODUCT(--ISNUMBER(SEARCH(","&amp;TRIM(TEXTSPLIT(DU146,","))&amp;",",","&amp;SUBSTITUTE(input_faculty_category," ","")&amp;",")))=COUNTA(TEXTSPLIT(DU146,",")))),IF(DW146="",TRUE,IF(input_faculty_category="",TRUE,SUMPRODUCT(--ISNUMBER(SEARCH(","&amp;TRIM(TEXTSPLIT(DW146,","))&amp;",",","&amp;SUBSTITUTE(input_faculty_category," ","")&amp;",")))=0)),IF(DY146="",TRUE,IF(input_faculty_category="",FALSE,SUMPRODUCT(--ISNUMBER(SEARCH(","&amp;TRIM(TEXTSPLIT(DY146,","))&amp;",",","&amp;SUBSTITUTE(input_faculty_category," ","")&amp;",")))&gt;0)),IF(EA146="",TRUE,IF(input_faculty_category="",FALSE,SUMPRODUCT(--ISNUMBER(SEARCH(","&amp;TRIM(TEXTSPLIT(EA146,","))&amp;",",","&amp;SUBSTITUTE(input_faculty_category," ","")&amp;",")))=COUNTA(TEXTSPLIT(EA146,",")))))</f>
        <v/>
      </c>
      <c r="JF146">
        <f>AND(IF(EC146="",TRUE,IF(input_faculty_discipline="",FALSE,SUMPRODUCT(--ISNUMBER(SEARCH(","&amp;TRIM(TEXTSPLIT(EC146,","))&amp;",",","&amp;SUBSTITUTE(input_faculty_discipline," ","")&amp;",")))&gt;0)),IF(EE146="",TRUE,IF(input_faculty_discipline="",FALSE,SUMPRODUCT(--ISNUMBER(SEARCH(","&amp;TRIM(TEXTSPLIT(EE146,","))&amp;",",","&amp;SUBSTITUTE(input_faculty_discipline," ","")&amp;",")))=COUNTA(TEXTSPLIT(EE146,",")))),IF(EG146="",TRUE,IF(input_faculty_discipline="",TRUE,SUMPRODUCT(--ISNUMBER(SEARCH(","&amp;TRIM(TEXTSPLIT(EG146,","))&amp;",",","&amp;SUBSTITUTE(input_faculty_discipline," ","")&amp;",")))=0)),IF(EI146="",TRUE,IF(input_faculty_discipline="",FALSE,SUMPRODUCT(--ISNUMBER(SEARCH(","&amp;TRIM(TEXTSPLIT(EI146,","))&amp;",",","&amp;SUBSTITUTE(input_faculty_discipline," ","")&amp;",")))&gt;0)),IF(EK146="",TRUE,IF(input_faculty_discipline="",FALSE,SUMPRODUCT(--ISNUMBER(SEARCH(","&amp;TRIM(TEXTSPLIT(EK146,","))&amp;",",","&amp;SUBSTITUTE(input_faculty_discipline," ","")&amp;",")))=COUNTA(TEXTSPLIT(EK146,",")))))</f>
        <v/>
      </c>
      <c r="JG146">
        <f>AND(IF(EM146="",TRUE,IF(input_faculty_expertise="",FALSE,SUMPRODUCT(--ISNUMBER(SEARCH(","&amp;TRIM(TEXTSPLIT(EM146,","))&amp;",",","&amp;SUBSTITUTE(input_faculty_expertise," ","")&amp;",")))&gt;0)),IF(EO146="",TRUE,IF(input_faculty_expertise="",FALSE,SUMPRODUCT(--ISNUMBER(SEARCH(","&amp;TRIM(TEXTSPLIT(EO146,","))&amp;",",","&amp;SUBSTITUTE(input_faculty_expertise," ","")&amp;",")))=COUNTA(TEXTSPLIT(EO146,",")))),IF(EQ146="",TRUE,IF(input_faculty_expertise="",TRUE,SUMPRODUCT(--ISNUMBER(SEARCH(","&amp;TRIM(TEXTSPLIT(EQ146,","))&amp;",",","&amp;SUBSTITUTE(input_faculty_expertise," ","")&amp;",")))=0)),IF(ES146="",TRUE,IF(input_faculty_expertise="",FALSE,SUMPRODUCT(--ISNUMBER(SEARCH(","&amp;TRIM(TEXTSPLIT(ES146,","))&amp;",",","&amp;SUBSTITUTE(input_faculty_expertise," ","")&amp;",")))&gt;0)),IF(EU146="",TRUE,IF(input_faculty_expertise="",FALSE,SUMPRODUCT(--ISNUMBER(SEARCH(","&amp;TRIM(TEXTSPLIT(EU146,","))&amp;",",","&amp;SUBSTITUTE(input_faculty_expertise," ","")&amp;",")))=COUNTA(TEXTSPLIT(EU146,",")))))</f>
        <v/>
      </c>
      <c r="JH146">
        <f>AND(IF(EW146="",TRUE,IF(input_global_network_school="",FALSE,SUMPRODUCT(--ISNUMBER(SEARCH(","&amp;TRIM(TEXTSPLIT(EW146,","))&amp;",",","&amp;SUBSTITUTE(input_global_network_school," ","")&amp;",")))&gt;0)),IF(EY146="",TRUE,IF(input_global_network_school="",FALSE,SUMPRODUCT(--ISNUMBER(SEARCH(","&amp;TRIM(TEXTSPLIT(EY146,","))&amp;",",","&amp;SUBSTITUTE(input_global_network_school," ","")&amp;",")))=COUNTA(TEXTSPLIT(EY146,",")))),IF(FA146="",TRUE,IF(input_global_network_school="",TRUE,SUMPRODUCT(--ISNUMBER(SEARCH(","&amp;TRIM(TEXTSPLIT(FA146,","))&amp;",",","&amp;SUBSTITUTE(input_global_network_school," ","")&amp;",")))=0)),IF(FC146="",TRUE,IF(input_global_network_school="",FALSE,SUMPRODUCT(--ISNUMBER(SEARCH(","&amp;TRIM(TEXTSPLIT(FC146,","))&amp;",",","&amp;SUBSTITUTE(input_global_network_school," ","")&amp;",")))&gt;0)),IF(FE146="",TRUE,IF(input_global_network_school="",FALSE,SUMPRODUCT(--ISNUMBER(SEARCH(","&amp;TRIM(TEXTSPLIT(FE146,","))&amp;",",","&amp;SUBSTITUTE(input_global_network_school," ","")&amp;",")))=COUNTA(TEXTSPLIT(FE146,",")))))</f>
        <v/>
      </c>
      <c r="JI146">
        <f>AND(IF(FG146="",TRUE,IF(input_industry="",FALSE,SUMPRODUCT(--ISNUMBER(SEARCH(","&amp;TRIM(TEXTSPLIT(FG146,","))&amp;",",","&amp;SUBSTITUTE(input_industry," ","")&amp;",")))&gt;0)),IF(FI146="",TRUE,IF(input_industry="",FALSE,SUMPRODUCT(--ISNUMBER(SEARCH(","&amp;TRIM(TEXTSPLIT(FI146,","))&amp;",",","&amp;SUBSTITUTE(input_industry," ","")&amp;",")))=COUNTA(TEXTSPLIT(FI146,",")))),IF(FK146="",TRUE,IF(input_industry="",TRUE,SUMPRODUCT(--ISNUMBER(SEARCH(","&amp;TRIM(TEXTSPLIT(FK146,","))&amp;",",","&amp;SUBSTITUTE(input_industry," ","")&amp;",")))=0)),IF(FM146="",TRUE,IF(input_industry="",FALSE,SUMPRODUCT(--ISNUMBER(SEARCH(","&amp;TRIM(TEXTSPLIT(FM146,","))&amp;",",","&amp;SUBSTITUTE(input_industry," ","")&amp;",")))&gt;0)),IF(FO146="",TRUE,IF(input_industry="",FALSE,SUMPRODUCT(--ISNUMBER(SEARCH(","&amp;TRIM(TEXTSPLIT(FO146,","))&amp;",",","&amp;SUBSTITUTE(input_industry," ","")&amp;",")))=COUNTA(TEXTSPLIT(FO146,",")))))</f>
        <v/>
      </c>
      <c r="JJ146">
        <f>AND(IF(FQ146="",TRUE,IF(input_location="",FALSE,SUMPRODUCT(--ISNUMBER(SEARCH(","&amp;TRIM(TEXTSPLIT(FQ146,","))&amp;",",","&amp;SUBSTITUTE(input_location," ","")&amp;",")))&gt;0)),IF(FS146="",TRUE,IF(input_location="",FALSE,SUMPRODUCT(--ISNUMBER(SEARCH(","&amp;TRIM(TEXTSPLIT(FS146,","))&amp;",",","&amp;SUBSTITUTE(input_location," ","")&amp;",")))=COUNTA(TEXTSPLIT(FS146,",")))),IF(FU146="",TRUE,IF(input_location="",TRUE,SUMPRODUCT(--ISNUMBER(SEARCH(","&amp;TRIM(TEXTSPLIT(FU146,","))&amp;",",","&amp;SUBSTITUTE(input_location," ","")&amp;",")))=0)),IF(FW146="",TRUE,IF(input_location="",FALSE,SUMPRODUCT(--ISNUMBER(SEARCH(","&amp;TRIM(TEXTSPLIT(FW146,","))&amp;",",","&amp;SUBSTITUTE(input_location," ","")&amp;",")))&gt;0)),IF(FY146="",TRUE,IF(input_location="",FALSE,SUMPRODUCT(--ISNUMBER(SEARCH(","&amp;TRIM(TEXTSPLIT(FY146,","))&amp;",",","&amp;SUBSTITUTE(input_location," ","")&amp;",")))=COUNTA(TEXTSPLIT(FY146,",")))))</f>
        <v/>
      </c>
      <c r="JK146">
        <f>AND(IF(GA146="",TRUE,IF(input_modality="",FALSE,SUMPRODUCT(--ISNUMBER(SEARCH(","&amp;TRIM(TEXTSPLIT(GA146,","))&amp;",",","&amp;SUBSTITUTE(input_modality," ","")&amp;",")))&gt;0)),IF(GC146="",TRUE,IF(input_modality="",FALSE,SUMPRODUCT(--ISNUMBER(SEARCH(","&amp;TRIM(TEXTSPLIT(GC146,","))&amp;",",","&amp;SUBSTITUTE(input_modality," ","")&amp;",")))=COUNTA(TEXTSPLIT(GC146,",")))),IF(GE146="",TRUE,IF(input_modality="",TRUE,SUMPRODUCT(--ISNUMBER(SEARCH(","&amp;TRIM(TEXTSPLIT(GE146,","))&amp;",",","&amp;SUBSTITUTE(input_modality," ","")&amp;",")))=0)),IF(GG146="",TRUE,IF(input_modality="",FALSE,SUMPRODUCT(--ISNUMBER(SEARCH(","&amp;TRIM(TEXTSPLIT(GG146,","))&amp;",",","&amp;SUBSTITUTE(input_modality," ","")&amp;",")))&gt;0)),IF(GI146="",TRUE,IF(input_modality="",FALSE,SUMPRODUCT(--ISNUMBER(SEARCH(","&amp;TRIM(TEXTSPLIT(GI146,","))&amp;",",","&amp;SUBSTITUTE(input_modality," ","")&amp;",")))=COUNTA(TEXTSPLIT(GI146,",")))))</f>
        <v/>
      </c>
      <c r="JL146">
        <f>AND(IF(GK146="",TRUE,IF(input_organizer="",FALSE,SUMPRODUCT(--ISNUMBER(SEARCH(","&amp;TRIM(TEXTSPLIT(GK146,","))&amp;",",","&amp;SUBSTITUTE(input_organizer," ","")&amp;",")))&gt;0)),IF(GM146="",TRUE,IF(input_organizer="",FALSE,SUMPRODUCT(--ISNUMBER(SEARCH(","&amp;TRIM(TEXTSPLIT(GM146,","))&amp;",",","&amp;SUBSTITUTE(input_organizer," ","")&amp;",")))=COUNTA(TEXTSPLIT(GM146,",")))),IF(GO146="",TRUE,IF(input_organizer="",TRUE,SUMPRODUCT(--ISNUMBER(SEARCH(","&amp;TRIM(TEXTSPLIT(GO146,","))&amp;",",","&amp;SUBSTITUTE(input_organizer," ","")&amp;",")))=0)),IF(GQ146="",TRUE,IF(input_organizer="",FALSE,SUMPRODUCT(--ISNUMBER(SEARCH(","&amp;TRIM(TEXTSPLIT(GQ146,","))&amp;",",","&amp;SUBSTITUTE(input_organizer," ","")&amp;",")))&gt;0)),IF(GS146="",TRUE,IF(input_organizer="",FALSE,SUMPRODUCT(--ISNUMBER(SEARCH(","&amp;TRIM(TEXTSPLIT(GS146,","))&amp;",",","&amp;SUBSTITUTE(input_organizer," ","")&amp;",")))=COUNTA(TEXTSPLIT(GS146,",")))))</f>
        <v/>
      </c>
      <c r="JM146">
        <f>AND(IF(GU146="",TRUE,IF(input_profile_type="",FALSE,SUMPRODUCT(--ISNUMBER(SEARCH(","&amp;TRIM(TEXTSPLIT(GU146,","))&amp;",",","&amp;SUBSTITUTE(input_profile_type," ","")&amp;",")))&gt;0)),IF(GW146="",TRUE,IF(input_profile_type="",FALSE,SUMPRODUCT(--ISNUMBER(SEARCH(","&amp;TRIM(TEXTSPLIT(GW146,","))&amp;",",","&amp;SUBSTITUTE(input_profile_type," ","")&amp;",")))=COUNTA(TEXTSPLIT(GW146,",")))),IF(GY146="",TRUE,IF(input_profile_type="",TRUE,SUMPRODUCT(--ISNUMBER(SEARCH(","&amp;TRIM(TEXTSPLIT(GY146,","))&amp;",",","&amp;SUBSTITUTE(input_profile_type," ","")&amp;",")))=0)),IF(HA146="",TRUE,IF(input_profile_type="",FALSE,SUMPRODUCT(--ISNUMBER(SEARCH(","&amp;TRIM(TEXTSPLIT(HA146,","))&amp;",",","&amp;SUBSTITUTE(input_profile_type," ","")&amp;",")))&gt;0)),IF(HC146="",TRUE,IF(input_profile_type="",FALSE,SUMPRODUCT(--ISNUMBER(SEARCH(","&amp;TRIM(TEXTSPLIT(HC146,","))&amp;",",","&amp;SUBSTITUTE(input_profile_type," ","")&amp;",")))=COUNTA(TEXTSPLIT(HC146,",")))))</f>
        <v/>
      </c>
      <c r="JN146">
        <f>AND(IF(HE146="",TRUE,IF(input_program="",FALSE,SUMPRODUCT(--ISNUMBER(SEARCH(","&amp;TRIM(TEXTSPLIT(HE146,","))&amp;",",","&amp;SUBSTITUTE(input_program," ","")&amp;",")))&gt;0)),IF(HG146="",TRUE,IF(input_program="",FALSE,SUMPRODUCT(--ISNUMBER(SEARCH(","&amp;TRIM(TEXTSPLIT(HG146,","))&amp;",",","&amp;SUBSTITUTE(input_program," ","")&amp;",")))=COUNTA(TEXTSPLIT(HG146,",")))),IF(HI146="",TRUE,IF(input_program="",TRUE,SUMPRODUCT(--ISNUMBER(SEARCH(","&amp;TRIM(TEXTSPLIT(HI146,","))&amp;",",","&amp;SUBSTITUTE(input_program," ","")&amp;",")))=0)),IF(HK146="",TRUE,IF(input_program="",FALSE,SUMPRODUCT(--ISNUMBER(SEARCH(","&amp;TRIM(TEXTSPLIT(HK146,","))&amp;",",","&amp;SUBSTITUTE(input_program," ","")&amp;",")))&gt;0)),IF(HM146="",TRUE,IF(input_program="",FALSE,SUMPRODUCT(--ISNUMBER(SEARCH(","&amp;TRIM(TEXTSPLIT(HM146,","))&amp;",",","&amp;SUBSTITUTE(input_program," ","")&amp;",")))=COUNTA(TEXTSPLIT(HM146,",")))))</f>
        <v/>
      </c>
      <c r="JO146">
        <f>AND(IF(HO146="",TRUE,IF(input_story_categories="",FALSE,SUMPRODUCT(--ISNUMBER(SEARCH(","&amp;TRIM(TEXTSPLIT(HO146,","))&amp;",",","&amp;SUBSTITUTE(input_story_categories," ","")&amp;",")))&gt;0)),IF(HQ146="",TRUE,IF(input_story_categories="",FALSE,SUMPRODUCT(--ISNUMBER(SEARCH(","&amp;TRIM(TEXTSPLIT(HQ146,","))&amp;",",","&amp;SUBSTITUTE(input_story_categories," ","")&amp;",")))=COUNTA(TEXTSPLIT(HQ146,",")))),IF(HS146="",TRUE,IF(input_story_categories="",TRUE,SUMPRODUCT(--ISNUMBER(SEARCH(","&amp;TRIM(TEXTSPLIT(HS146,","))&amp;",",","&amp;SUBSTITUTE(input_story_categories," ","")&amp;",")))=0)),IF(HU146="",TRUE,IF(input_story_categories="",FALSE,SUMPRODUCT(--ISNUMBER(SEARCH(","&amp;TRIM(TEXTSPLIT(HU146,","))&amp;",",","&amp;SUBSTITUTE(input_story_categories," ","")&amp;",")))&gt;0)),IF(HW146="",TRUE,IF(input_story_categories="",FALSE,SUMPRODUCT(--ISNUMBER(SEARCH(","&amp;TRIM(TEXTSPLIT(HW146,","))&amp;",",","&amp;SUBSTITUTE(input_story_categories," ","")&amp;",")))=COUNTA(TEXTSPLIT(HW146,",")))))</f>
        <v/>
      </c>
      <c r="JP146">
        <f>AND(IF(HY146="",TRUE,IF(input_story_type="",FALSE,SUMPRODUCT(--ISNUMBER(SEARCH(","&amp;TRIM(TEXTSPLIT(HY146,","))&amp;",",","&amp;SUBSTITUTE(input_story_type," ","")&amp;",")))&gt;0)),IF(IA146="",TRUE,IF(input_story_type="",FALSE,SUMPRODUCT(--ISNUMBER(SEARCH(","&amp;TRIM(TEXTSPLIT(IA146,","))&amp;",",","&amp;SUBSTITUTE(input_story_type," ","")&amp;",")))=COUNTA(TEXTSPLIT(IA146,",")))),IF(IC146="",TRUE,IF(input_story_type="",TRUE,SUMPRODUCT(--ISNUMBER(SEARCH(","&amp;TRIM(TEXTSPLIT(IC146,","))&amp;",",","&amp;SUBSTITUTE(input_story_type," ","")&amp;",")))=0)),IF(IE146="",TRUE,IF(input_story_type="",FALSE,SUMPRODUCT(--ISNUMBER(SEARCH(","&amp;TRIM(TEXTSPLIT(IE146,","))&amp;",",","&amp;SUBSTITUTE(input_story_type," ","")&amp;",")))&gt;0)),IF(IG146="",TRUE,IF(input_story_type="",FALSE,SUMPRODUCT(--ISNUMBER(SEARCH(","&amp;TRIM(TEXTSPLIT(IG146,","))&amp;",",","&amp;SUBSTITUTE(input_story_type," ","")&amp;",")))=COUNTA(TEXTSPLIT(IG146,",")))))</f>
        <v/>
      </c>
      <c r="JQ146">
        <f>AND(IF(II146="",TRUE,IF(input_topics="",FALSE,SUMPRODUCT(--ISNUMBER(SEARCH(","&amp;TRIM(TEXTSPLIT(II146,","))&amp;",",","&amp;SUBSTITUTE(input_topics," ","")&amp;",")))&gt;0)),IF(IK146="",TRUE,IF(input_topics="",FALSE,SUMPRODUCT(--ISNUMBER(SEARCH(","&amp;TRIM(TEXTSPLIT(IK146,","))&amp;",",","&amp;SUBSTITUTE(input_topics," ","")&amp;",")))=COUNTA(TEXTSPLIT(IK146,",")))),IF(IM146="",TRUE,IF(input_topics="",TRUE,SUMPRODUCT(--ISNUMBER(SEARCH(","&amp;TRIM(TEXTSPLIT(IM146,","))&amp;",",","&amp;SUBSTITUTE(input_topics," ","")&amp;",")))=0)),IF(IO146="",TRUE,IF(input_topics="",FALSE,SUMPRODUCT(--ISNUMBER(SEARCH(","&amp;TRIM(TEXTSPLIT(IO146,","))&amp;",",","&amp;SUBSTITUTE(input_topics," ","")&amp;",")))&gt;0)),IF(IQ146="",TRUE,IF(input_topics="",FALSE,SUMPRODUCT(--ISNUMBER(SEARCH(","&amp;TRIM(TEXTSPLIT(IQ146,","))&amp;",",","&amp;SUBSTITUTE(input_topics," ","")&amp;",")))=COUNTA(TEXTSPLIT(IQ146,",")))))</f>
        <v/>
      </c>
    </row>
    <row r="147">
      <c r="A147" s="4">
        <f>IF(NOT(IS147),"Excluded",IF(AND(IT147,IU147,IV147,IW147,IX147,IY147,IZ147,JA147,JB147,JC147,JD147,JE147,JF147,JG147,JH147,JI147,JJ147,JK147,JL147,JM147,JN147,JO147,JP147,JQ147),IF(I147&gt;0,"Eligible but limited","Will appear"),"Excluded"))</f>
        <v/>
      </c>
      <c r="B147" s="4" t="inlineStr">
        <is>
          <t>One Minute with...</t>
        </is>
      </c>
      <c r="C147" s="4" t="inlineStr">
        <is>
          <t>/about/headlines/one-minute</t>
        </is>
      </c>
      <c r="D147" s="4" t="inlineStr">
        <is>
          <t>/about/headlines/one-minute</t>
        </is>
      </c>
      <c r="E147" s="4" t="n">
        <v>1</v>
      </c>
      <c r="F147" s="4" t="inlineStr">
        <is>
          <t>story</t>
        </is>
      </c>
      <c r="G147" s="4" t="inlineStr">
        <is>
          <t>stories_list</t>
        </is>
      </c>
      <c r="H147" s="4" t="inlineStr">
        <is>
          <t>embed_1</t>
        </is>
      </c>
      <c r="I147" s="4" t="n">
        <v>10</v>
      </c>
      <c r="J147" s="4" t="inlineStr">
        <is>
          <t>Explicit args</t>
        </is>
      </c>
      <c r="K147" s="4" t="inlineStr">
        <is>
          <t>Page placement</t>
        </is>
      </c>
      <c r="L147" s="4" t="inlineStr">
        <is>
          <t>Content type: story; Context uses Courses Context: One Minute with... (1168); Limited to 10 item(s); Source: Explicit args</t>
        </is>
      </c>
      <c r="M147" t="inlineStr"/>
      <c r="N147" t="inlineStr"/>
      <c r="O147" t="inlineStr"/>
      <c r="P147" t="inlineStr"/>
      <c r="Q147" t="inlineStr"/>
      <c r="R147" t="inlineStr"/>
      <c r="S147" t="inlineStr"/>
      <c r="T147" t="inlineStr"/>
      <c r="U147" t="inlineStr"/>
      <c r="V147" t="inlineStr"/>
      <c r="W147" t="inlineStr"/>
      <c r="X147" t="inlineStr"/>
      <c r="Y147" t="inlineStr"/>
      <c r="Z147" t="inlineStr"/>
      <c r="AA147" t="inlineStr"/>
      <c r="AB147" t="inlineStr"/>
      <c r="AC147" t="inlineStr"/>
      <c r="AD147" t="inlineStr"/>
      <c r="AE147" t="inlineStr"/>
      <c r="AF147" t="inlineStr"/>
      <c r="AG147" t="inlineStr"/>
      <c r="AH147" t="inlineStr"/>
      <c r="AI147" t="inlineStr"/>
      <c r="AJ147" t="inlineStr"/>
      <c r="AK147" t="inlineStr"/>
      <c r="AL147" t="inlineStr"/>
      <c r="AM147" t="inlineStr"/>
      <c r="AN147" t="inlineStr"/>
      <c r="AO147" t="inlineStr"/>
      <c r="AP147" t="inlineStr"/>
      <c r="AQ147" t="inlineStr"/>
      <c r="AR147" t="inlineStr"/>
      <c r="AS147" t="inlineStr"/>
      <c r="AT147" t="inlineStr"/>
      <c r="AU147" t="inlineStr"/>
      <c r="AV147" t="inlineStr"/>
      <c r="AW147" t="inlineStr"/>
      <c r="AX147" t="inlineStr"/>
      <c r="AY147" t="inlineStr"/>
      <c r="AZ147" t="inlineStr"/>
      <c r="BA147" t="inlineStr"/>
      <c r="BB147" t="inlineStr"/>
      <c r="BC147" t="inlineStr"/>
      <c r="BD147" t="inlineStr"/>
      <c r="BE147" t="inlineStr"/>
      <c r="BF147" t="inlineStr"/>
      <c r="BG147" t="inlineStr"/>
      <c r="BH147" t="inlineStr"/>
      <c r="BI147" t="inlineStr"/>
      <c r="BJ147" t="inlineStr"/>
      <c r="BK147" t="inlineStr"/>
      <c r="BL147" t="inlineStr"/>
      <c r="BM147" t="inlineStr"/>
      <c r="BN147" t="inlineStr"/>
      <c r="BO147" t="inlineStr"/>
      <c r="BP147" t="inlineStr"/>
      <c r="BQ147" t="inlineStr">
        <is>
          <t>1168</t>
        </is>
      </c>
      <c r="BR147" t="inlineStr">
        <is>
          <t>One Minute with... (1168)</t>
        </is>
      </c>
      <c r="BS147" t="inlineStr"/>
      <c r="BT147" t="inlineStr"/>
      <c r="BU147" t="inlineStr"/>
      <c r="BV147" t="inlineStr"/>
      <c r="BW147" t="inlineStr"/>
      <c r="BX147" t="inlineStr"/>
      <c r="BY147" t="inlineStr"/>
      <c r="BZ147" t="inlineStr"/>
      <c r="CA147" t="inlineStr"/>
      <c r="CB147" t="inlineStr"/>
      <c r="CC147" t="inlineStr"/>
      <c r="CD147" t="inlineStr"/>
      <c r="CE147" t="inlineStr"/>
      <c r="CF147" t="inlineStr"/>
      <c r="CG147" t="inlineStr"/>
      <c r="CH147" t="inlineStr"/>
      <c r="CI147" t="inlineStr"/>
      <c r="CJ147" t="inlineStr"/>
      <c r="CK147" t="inlineStr"/>
      <c r="CL147" t="inlineStr"/>
      <c r="CM147" t="inlineStr"/>
      <c r="CN147" t="inlineStr"/>
      <c r="CO147" t="inlineStr"/>
      <c r="CP147" t="inlineStr"/>
      <c r="CQ147" t="inlineStr"/>
      <c r="CR147" t="inlineStr"/>
      <c r="CS147" t="inlineStr"/>
      <c r="CT147" t="inlineStr"/>
      <c r="CU147" t="inlineStr"/>
      <c r="CV147" t="inlineStr"/>
      <c r="CW147" t="inlineStr"/>
      <c r="CX147" t="inlineStr"/>
      <c r="CY147" t="inlineStr"/>
      <c r="CZ147" t="inlineStr"/>
      <c r="DA147" t="inlineStr"/>
      <c r="DB147" t="inlineStr"/>
      <c r="DC147" t="inlineStr"/>
      <c r="DD147" t="inlineStr"/>
      <c r="DE147" t="inlineStr"/>
      <c r="DF147" t="inlineStr"/>
      <c r="DG147" t="inlineStr"/>
      <c r="DH147" t="inlineStr"/>
      <c r="DI147" t="inlineStr"/>
      <c r="DJ147" t="inlineStr"/>
      <c r="DK147" t="inlineStr"/>
      <c r="DL147" t="inlineStr"/>
      <c r="DM147" t="inlineStr"/>
      <c r="DN147" t="inlineStr"/>
      <c r="DO147" t="inlineStr"/>
      <c r="DP147" t="inlineStr"/>
      <c r="DQ147" t="inlineStr"/>
      <c r="DR147" t="inlineStr"/>
      <c r="DS147" t="inlineStr"/>
      <c r="DT147" t="inlineStr"/>
      <c r="DU147" t="inlineStr"/>
      <c r="DV147" t="inlineStr"/>
      <c r="DW147" t="inlineStr"/>
      <c r="DX147" t="inlineStr"/>
      <c r="DY147" t="inlineStr"/>
      <c r="DZ147" t="inlineStr"/>
      <c r="EA147" t="inlineStr"/>
      <c r="EB147" t="inlineStr"/>
      <c r="EC147" t="inlineStr"/>
      <c r="ED147" t="inlineStr"/>
      <c r="EE147" t="inlineStr"/>
      <c r="EF147" t="inlineStr"/>
      <c r="EG147" t="inlineStr"/>
      <c r="EH147" t="inlineStr"/>
      <c r="EI147" t="inlineStr"/>
      <c r="EJ147" t="inlineStr"/>
      <c r="EK147" t="inlineStr"/>
      <c r="EL147" t="inlineStr"/>
      <c r="EM147" t="inlineStr"/>
      <c r="EN147" t="inlineStr"/>
      <c r="EO147" t="inlineStr"/>
      <c r="EP147" t="inlineStr"/>
      <c r="EQ147" t="inlineStr"/>
      <c r="ER147" t="inlineStr"/>
      <c r="ES147" t="inlineStr"/>
      <c r="ET147" t="inlineStr"/>
      <c r="EU147" t="inlineStr"/>
      <c r="EV147" t="inlineStr"/>
      <c r="EW147" t="inlineStr"/>
      <c r="EX147" t="inlineStr"/>
      <c r="EY147" t="inlineStr"/>
      <c r="EZ147" t="inlineStr"/>
      <c r="FA147" t="inlineStr"/>
      <c r="FB147" t="inlineStr"/>
      <c r="FC147" t="inlineStr"/>
      <c r="FD147" t="inlineStr"/>
      <c r="FE147" t="inlineStr"/>
      <c r="FF147" t="inlineStr"/>
      <c r="FG147" t="inlineStr"/>
      <c r="FH147" t="inlineStr"/>
      <c r="FI147" t="inlineStr"/>
      <c r="FJ147" t="inlineStr"/>
      <c r="FK147" t="inlineStr"/>
      <c r="FL147" t="inlineStr"/>
      <c r="FM147" t="inlineStr"/>
      <c r="FN147" t="inlineStr"/>
      <c r="FO147" t="inlineStr"/>
      <c r="FP147" t="inlineStr"/>
      <c r="FQ147" t="inlineStr"/>
      <c r="FR147" t="inlineStr"/>
      <c r="FS147" t="inlineStr"/>
      <c r="FT147" t="inlineStr"/>
      <c r="FU147" t="inlineStr"/>
      <c r="FV147" t="inlineStr"/>
      <c r="FW147" t="inlineStr"/>
      <c r="FX147" t="inlineStr"/>
      <c r="FY147" t="inlineStr"/>
      <c r="FZ147" t="inlineStr"/>
      <c r="GA147" t="inlineStr"/>
      <c r="GB147" t="inlineStr"/>
      <c r="GC147" t="inlineStr"/>
      <c r="GD147" t="inlineStr"/>
      <c r="GE147" t="inlineStr"/>
      <c r="GF147" t="inlineStr"/>
      <c r="GG147" t="inlineStr"/>
      <c r="GH147" t="inlineStr"/>
      <c r="GI147" t="inlineStr"/>
      <c r="GJ147" t="inlineStr"/>
      <c r="GK147" t="inlineStr"/>
      <c r="GL147" t="inlineStr"/>
      <c r="GM147" t="inlineStr"/>
      <c r="GN147" t="inlineStr"/>
      <c r="GO147" t="inlineStr"/>
      <c r="GP147" t="inlineStr"/>
      <c r="GQ147" t="inlineStr"/>
      <c r="GR147" t="inlineStr"/>
      <c r="GS147" t="inlineStr"/>
      <c r="GT147" t="inlineStr"/>
      <c r="GU147" t="inlineStr"/>
      <c r="GV147" t="inlineStr"/>
      <c r="GW147" t="inlineStr"/>
      <c r="GX147" t="inlineStr"/>
      <c r="GY147" t="inlineStr"/>
      <c r="GZ147" t="inlineStr"/>
      <c r="HA147" t="inlineStr"/>
      <c r="HB147" t="inlineStr"/>
      <c r="HC147" t="inlineStr"/>
      <c r="HD147" t="inlineStr"/>
      <c r="HE147" t="inlineStr"/>
      <c r="HF147" t="inlineStr"/>
      <c r="HG147" t="inlineStr"/>
      <c r="HH147" t="inlineStr"/>
      <c r="HI147" t="inlineStr"/>
      <c r="HJ147" t="inlineStr"/>
      <c r="HK147" t="inlineStr"/>
      <c r="HL147" t="inlineStr"/>
      <c r="HM147" t="inlineStr"/>
      <c r="HN147" t="inlineStr"/>
      <c r="HO147" t="inlineStr"/>
      <c r="HP147" t="inlineStr"/>
      <c r="HQ147" t="inlineStr"/>
      <c r="HR147" t="inlineStr"/>
      <c r="HS147" t="inlineStr"/>
      <c r="HT147" t="inlineStr"/>
      <c r="HU147" t="inlineStr"/>
      <c r="HV147" t="inlineStr"/>
      <c r="HW147" t="inlineStr"/>
      <c r="HX147" t="inlineStr"/>
      <c r="HY147" t="inlineStr"/>
      <c r="HZ147" t="inlineStr"/>
      <c r="IA147" t="inlineStr"/>
      <c r="IB147" t="inlineStr"/>
      <c r="IC147" t="inlineStr"/>
      <c r="ID147" t="inlineStr"/>
      <c r="IE147" t="inlineStr"/>
      <c r="IF147" t="inlineStr"/>
      <c r="IG147" t="inlineStr"/>
      <c r="IH147" t="inlineStr"/>
      <c r="II147" t="inlineStr"/>
      <c r="IJ147" t="inlineStr"/>
      <c r="IK147" t="inlineStr"/>
      <c r="IL147" t="inlineStr"/>
      <c r="IM147" t="inlineStr"/>
      <c r="IN147" t="inlineStr"/>
      <c r="IO147" t="inlineStr"/>
      <c r="IP147" t="inlineStr"/>
      <c r="IQ147" t="inlineStr"/>
      <c r="IR147" t="inlineStr"/>
      <c r="IS147">
        <f>IF(input_content_type="",FALSE,ISNUMBER(SEARCH(","&amp;LOWER(input_content_type)&amp;",",","&amp;LOWER(F147)&amp;",")))</f>
        <v/>
      </c>
      <c r="IT147">
        <f>AND(IF(M147="",TRUE,IF(input_affiliations="",FALSE,SUMPRODUCT(--ISNUMBER(SEARCH(","&amp;TRIM(TEXTSPLIT(M147,","))&amp;",",","&amp;SUBSTITUTE(input_affiliations," ","")&amp;",")))&gt;0)),IF(O147="",TRUE,IF(input_affiliations="",FALSE,SUMPRODUCT(--ISNUMBER(SEARCH(","&amp;TRIM(TEXTSPLIT(O147,","))&amp;",",","&amp;SUBSTITUTE(input_affiliations," ","")&amp;",")))=COUNTA(TEXTSPLIT(O147,",")))),IF(Q147="",TRUE,IF(input_affiliations="",TRUE,SUMPRODUCT(--ISNUMBER(SEARCH(","&amp;TRIM(TEXTSPLIT(Q147,","))&amp;",",","&amp;SUBSTITUTE(input_affiliations," ","")&amp;",")))=0)),IF(S147="",TRUE,IF(input_affiliations="",FALSE,SUMPRODUCT(--ISNUMBER(SEARCH(","&amp;TRIM(TEXTSPLIT(S147,","))&amp;",",","&amp;SUBSTITUTE(input_affiliations," ","")&amp;",")))&gt;0)),IF(U147="",TRUE,IF(input_affiliations="",FALSE,SUMPRODUCT(--ISNUMBER(SEARCH(","&amp;TRIM(TEXTSPLIT(U147,","))&amp;",",","&amp;SUBSTITUTE(input_affiliations," ","")&amp;",")))=COUNTA(TEXTSPLIT(U147,",")))))</f>
        <v/>
      </c>
      <c r="IU147">
        <f>AND(IF(W147="",TRUE,IF(input_announcement_category="",FALSE,SUMPRODUCT(--ISNUMBER(SEARCH(","&amp;TRIM(TEXTSPLIT(W147,","))&amp;",",","&amp;SUBSTITUTE(input_announcement_category," ","")&amp;",")))&gt;0)),IF(Y147="",TRUE,IF(input_announcement_category="",FALSE,SUMPRODUCT(--ISNUMBER(SEARCH(","&amp;TRIM(TEXTSPLIT(Y147,","))&amp;",",","&amp;SUBSTITUTE(input_announcement_category," ","")&amp;",")))=COUNTA(TEXTSPLIT(Y147,",")))),IF(AA147="",TRUE,IF(input_announcement_category="",TRUE,SUMPRODUCT(--ISNUMBER(SEARCH(","&amp;TRIM(TEXTSPLIT(AA147,","))&amp;",",","&amp;SUBSTITUTE(input_announcement_category," ","")&amp;",")))=0)),IF(AC147="",TRUE,IF(input_announcement_category="",FALSE,SUMPRODUCT(--ISNUMBER(SEARCH(","&amp;TRIM(TEXTSPLIT(AC147,","))&amp;",",","&amp;SUBSTITUTE(input_announcement_category," ","")&amp;",")))&gt;0)),IF(AE147="",TRUE,IF(input_announcement_category="",FALSE,SUMPRODUCT(--ISNUMBER(SEARCH(","&amp;TRIM(TEXTSPLIT(AE147,","))&amp;",",","&amp;SUBSTITUTE(input_announcement_category," ","")&amp;",")))=COUNTA(TEXTSPLIT(AE147,",")))))</f>
        <v/>
      </c>
      <c r="IV147">
        <f>AND(IF(AG147="",TRUE,IF(input_area_of_focus="",FALSE,SUMPRODUCT(--ISNUMBER(SEARCH(","&amp;TRIM(TEXTSPLIT(AG147,","))&amp;",",","&amp;SUBSTITUTE(input_area_of_focus," ","")&amp;",")))&gt;0)),IF(AI147="",TRUE,IF(input_area_of_focus="",FALSE,SUMPRODUCT(--ISNUMBER(SEARCH(","&amp;TRIM(TEXTSPLIT(AI147,","))&amp;",",","&amp;SUBSTITUTE(input_area_of_focus," ","")&amp;",")))=COUNTA(TEXTSPLIT(AI147,",")))),IF(AK147="",TRUE,IF(input_area_of_focus="",TRUE,SUMPRODUCT(--ISNUMBER(SEARCH(","&amp;TRIM(TEXTSPLIT(AK147,","))&amp;",",","&amp;SUBSTITUTE(input_area_of_focus," ","")&amp;",")))=0)),IF(AM147="",TRUE,IF(input_area_of_focus="",FALSE,SUMPRODUCT(--ISNUMBER(SEARCH(","&amp;TRIM(TEXTSPLIT(AM147,","))&amp;",",","&amp;SUBSTITUTE(input_area_of_focus," ","")&amp;",")))&gt;0)),IF(AO147="",TRUE,IF(input_area_of_focus="",FALSE,SUMPRODUCT(--ISNUMBER(SEARCH(","&amp;TRIM(TEXTSPLIT(AO147,","))&amp;",",","&amp;SUBSTITUTE(input_area_of_focus," ","")&amp;",")))=COUNTA(TEXTSPLIT(AO147,",")))))</f>
        <v/>
      </c>
      <c r="IW147">
        <f>AND(IF(AQ147="",TRUE,IF(input_audience="",FALSE,SUMPRODUCT(--ISNUMBER(SEARCH(","&amp;TRIM(TEXTSPLIT(AQ147,","))&amp;",",","&amp;SUBSTITUTE(input_audience," ","")&amp;",")))&gt;0)),IF(AS147="",TRUE,IF(input_audience="",FALSE,SUMPRODUCT(--ISNUMBER(SEARCH(","&amp;TRIM(TEXTSPLIT(AS147,","))&amp;",",","&amp;SUBSTITUTE(input_audience," ","")&amp;",")))=COUNTA(TEXTSPLIT(AS147,",")))),IF(AU147="",TRUE,IF(input_audience="",TRUE,SUMPRODUCT(--ISNUMBER(SEARCH(","&amp;TRIM(TEXTSPLIT(AU147,","))&amp;",",","&amp;SUBSTITUTE(input_audience," ","")&amp;",")))=0)),IF(AW147="",TRUE,IF(input_audience="",FALSE,SUMPRODUCT(--ISNUMBER(SEARCH(","&amp;TRIM(TEXTSPLIT(AW147,","))&amp;",",","&amp;SUBSTITUTE(input_audience," ","")&amp;",")))&gt;0)),IF(AY147="",TRUE,IF(input_audience="",FALSE,SUMPRODUCT(--ISNUMBER(SEARCH(","&amp;TRIM(TEXTSPLIT(AY147,","))&amp;",",","&amp;SUBSTITUTE(input_audience," ","")&amp;",")))=COUNTA(TEXTSPLIT(AY147,",")))))</f>
        <v/>
      </c>
      <c r="IX147">
        <f>AND(IF(BA147="",TRUE,IF(input_challenge_opportunities="",FALSE,SUMPRODUCT(--ISNUMBER(SEARCH(","&amp;TRIM(TEXTSPLIT(BA147,","))&amp;",",","&amp;SUBSTITUTE(input_challenge_opportunities," ","")&amp;",")))&gt;0)),IF(BC147="",TRUE,IF(input_challenge_opportunities="",FALSE,SUMPRODUCT(--ISNUMBER(SEARCH(","&amp;TRIM(TEXTSPLIT(BC147,","))&amp;",",","&amp;SUBSTITUTE(input_challenge_opportunities," ","")&amp;",")))=COUNTA(TEXTSPLIT(BC147,",")))),IF(BE147="",TRUE,IF(input_challenge_opportunities="",TRUE,SUMPRODUCT(--ISNUMBER(SEARCH(","&amp;TRIM(TEXTSPLIT(BE147,","))&amp;",",","&amp;SUBSTITUTE(input_challenge_opportunities," ","")&amp;",")))=0)),IF(BG147="",TRUE,IF(input_challenge_opportunities="",FALSE,SUMPRODUCT(--ISNUMBER(SEARCH(","&amp;TRIM(TEXTSPLIT(BG147,","))&amp;",",","&amp;SUBSTITUTE(input_challenge_opportunities," ","")&amp;",")))&gt;0)),IF(BI147="",TRUE,IF(input_challenge_opportunities="",FALSE,SUMPRODUCT(--ISNUMBER(SEARCH(","&amp;TRIM(TEXTSPLIT(BI147,","))&amp;",",","&amp;SUBSTITUTE(input_challenge_opportunities," ","")&amp;",")))=COUNTA(TEXTSPLIT(BI147,",")))))</f>
        <v/>
      </c>
      <c r="IY147">
        <f>AND(IF(BK147="",TRUE,IF(input_context="",FALSE,SUMPRODUCT(--ISNUMBER(SEARCH(","&amp;TRIM(TEXTSPLIT(BK147,","))&amp;",",","&amp;SUBSTITUTE(input_context," ","")&amp;",")))&gt;0)),IF(BM147="",TRUE,IF(input_context="",FALSE,SUMPRODUCT(--ISNUMBER(SEARCH(","&amp;TRIM(TEXTSPLIT(BM147,","))&amp;",",","&amp;SUBSTITUTE(input_context," ","")&amp;",")))=COUNTA(TEXTSPLIT(BM147,",")))),IF(BO147="",TRUE,IF(input_context="",TRUE,SUMPRODUCT(--ISNUMBER(SEARCH(","&amp;TRIM(TEXTSPLIT(BO147,","))&amp;",",","&amp;SUBSTITUTE(input_context," ","")&amp;",")))=0)),IF(BQ147="",TRUE,IF(input_context="",FALSE,SUMPRODUCT(--ISNUMBER(SEARCH(","&amp;TRIM(TEXTSPLIT(BQ147,","))&amp;",",","&amp;SUBSTITUTE(input_context," ","")&amp;",")))&gt;0)),IF(BS147="",TRUE,IF(input_context="",FALSE,SUMPRODUCT(--ISNUMBER(SEARCH(","&amp;TRIM(TEXTSPLIT(BS147,","))&amp;",",","&amp;SUBSTITUTE(input_context," ","")&amp;",")))=COUNTA(TEXTSPLIT(BS147,",")))))</f>
        <v/>
      </c>
      <c r="IZ147">
        <f>AND(IF(BU147="",TRUE,IF(input_enews_announcement_type="",FALSE,SUMPRODUCT(--ISNUMBER(SEARCH(","&amp;TRIM(TEXTSPLIT(BU147,","))&amp;",",","&amp;SUBSTITUTE(input_enews_announcement_type," ","")&amp;",")))&gt;0)),IF(BW147="",TRUE,IF(input_enews_announcement_type="",FALSE,SUMPRODUCT(--ISNUMBER(SEARCH(","&amp;TRIM(TEXTSPLIT(BW147,","))&amp;",",","&amp;SUBSTITUTE(input_enews_announcement_type," ","")&amp;",")))=COUNTA(TEXTSPLIT(BW147,",")))),IF(BY147="",TRUE,IF(input_enews_announcement_type="",TRUE,SUMPRODUCT(--ISNUMBER(SEARCH(","&amp;TRIM(TEXTSPLIT(BY147,","))&amp;",",","&amp;SUBSTITUTE(input_enews_announcement_type," ","")&amp;",")))=0)),IF(CA147="",TRUE,IF(input_enews_announcement_type="",FALSE,SUMPRODUCT(--ISNUMBER(SEARCH(","&amp;TRIM(TEXTSPLIT(CA147,","))&amp;",",","&amp;SUBSTITUTE(input_enews_announcement_type," ","")&amp;",")))&gt;0)),IF(CC147="",TRUE,IF(input_enews_announcement_type="",FALSE,SUMPRODUCT(--ISNUMBER(SEARCH(","&amp;TRIM(TEXTSPLIT(CC147,","))&amp;",",","&amp;SUBSTITUTE(input_enews_announcement_type," ","")&amp;",")))=COUNTA(TEXTSPLIT(CC147,",")))))</f>
        <v/>
      </c>
      <c r="JA147">
        <f>AND(IF(CE147="",TRUE,IF(input_enews_audience="",FALSE,SUMPRODUCT(--ISNUMBER(SEARCH(","&amp;TRIM(TEXTSPLIT(CE147,","))&amp;",",","&amp;SUBSTITUTE(input_enews_audience," ","")&amp;",")))&gt;0)),IF(CG147="",TRUE,IF(input_enews_audience="",FALSE,SUMPRODUCT(--ISNUMBER(SEARCH(","&amp;TRIM(TEXTSPLIT(CG147,","))&amp;",",","&amp;SUBSTITUTE(input_enews_audience," ","")&amp;",")))=COUNTA(TEXTSPLIT(CG147,",")))),IF(CI147="",TRUE,IF(input_enews_audience="",TRUE,SUMPRODUCT(--ISNUMBER(SEARCH(","&amp;TRIM(TEXTSPLIT(CI147,","))&amp;",",","&amp;SUBSTITUTE(input_enews_audience," ","")&amp;",")))=0)),IF(CK147="",TRUE,IF(input_enews_audience="",FALSE,SUMPRODUCT(--ISNUMBER(SEARCH(","&amp;TRIM(TEXTSPLIT(CK147,","))&amp;",",","&amp;SUBSTITUTE(input_enews_audience," ","")&amp;",")))&gt;0)),IF(CM147="",TRUE,IF(input_enews_audience="",FALSE,SUMPRODUCT(--ISNUMBER(SEARCH(","&amp;TRIM(TEXTSPLIT(CM147,","))&amp;",",","&amp;SUBSTITUTE(input_enews_audience," ","")&amp;",")))=COUNTA(TEXTSPLIT(CM147,",")))))</f>
        <v/>
      </c>
      <c r="JB147">
        <f>AND(IF(CO147="",TRUE,IF(input_event_location="",FALSE,SUMPRODUCT(--ISNUMBER(SEARCH(","&amp;TRIM(TEXTSPLIT(CO147,","))&amp;",",","&amp;SUBSTITUTE(input_event_location," ","")&amp;",")))&gt;0)),IF(CQ147="",TRUE,IF(input_event_location="",FALSE,SUMPRODUCT(--ISNUMBER(SEARCH(","&amp;TRIM(TEXTSPLIT(CQ147,","))&amp;",",","&amp;SUBSTITUTE(input_event_location," ","")&amp;",")))=COUNTA(TEXTSPLIT(CQ147,",")))),IF(CS147="",TRUE,IF(input_event_location="",TRUE,SUMPRODUCT(--ISNUMBER(SEARCH(","&amp;TRIM(TEXTSPLIT(CS147,","))&amp;",",","&amp;SUBSTITUTE(input_event_location," ","")&amp;",")))=0)),IF(CU147="",TRUE,IF(input_event_location="",FALSE,SUMPRODUCT(--ISNUMBER(SEARCH(","&amp;TRIM(TEXTSPLIT(CU147,","))&amp;",",","&amp;SUBSTITUTE(input_event_location," ","")&amp;",")))&gt;0)),IF(CW147="",TRUE,IF(input_event_location="",FALSE,SUMPRODUCT(--ISNUMBER(SEARCH(","&amp;TRIM(TEXTSPLIT(CW147,","))&amp;",",","&amp;SUBSTITUTE(input_event_location," ","")&amp;",")))=COUNTA(TEXTSPLIT(CW147,",")))))</f>
        <v/>
      </c>
      <c r="JC147">
        <f>AND(IF(CY147="",TRUE,IF(input_event_type="",FALSE,SUMPRODUCT(--ISNUMBER(SEARCH(","&amp;TRIM(TEXTSPLIT(CY147,","))&amp;",",","&amp;SUBSTITUTE(input_event_type," ","")&amp;",")))&gt;0)),IF(DA147="",TRUE,IF(input_event_type="",FALSE,SUMPRODUCT(--ISNUMBER(SEARCH(","&amp;TRIM(TEXTSPLIT(DA147,","))&amp;",",","&amp;SUBSTITUTE(input_event_type," ","")&amp;",")))=COUNTA(TEXTSPLIT(DA147,",")))),IF(DC147="",TRUE,IF(input_event_type="",TRUE,SUMPRODUCT(--ISNUMBER(SEARCH(","&amp;TRIM(TEXTSPLIT(DC147,","))&amp;",",","&amp;SUBSTITUTE(input_event_type," ","")&amp;",")))=0)),IF(DE147="",TRUE,IF(input_event_type="",FALSE,SUMPRODUCT(--ISNUMBER(SEARCH(","&amp;TRIM(TEXTSPLIT(DE147,","))&amp;",",","&amp;SUBSTITUTE(input_event_type," ","")&amp;",")))&gt;0)),IF(DG147="",TRUE,IF(input_event_type="",FALSE,SUMPRODUCT(--ISNUMBER(SEARCH(","&amp;TRIM(TEXTSPLIT(DG147,","))&amp;",",","&amp;SUBSTITUTE(input_event_type," ","")&amp;",")))=COUNTA(TEXTSPLIT(DG147,",")))))</f>
        <v/>
      </c>
      <c r="JD147">
        <f>AND(IF(DI147="",TRUE,IF(input_executive_education_focus="",FALSE,SUMPRODUCT(--ISNUMBER(SEARCH(","&amp;TRIM(TEXTSPLIT(DI147,","))&amp;",",","&amp;SUBSTITUTE(input_executive_education_focus," ","")&amp;",")))&gt;0)),IF(DK147="",TRUE,IF(input_executive_education_focus="",FALSE,SUMPRODUCT(--ISNUMBER(SEARCH(","&amp;TRIM(TEXTSPLIT(DK147,","))&amp;",",","&amp;SUBSTITUTE(input_executive_education_focus," ","")&amp;",")))=COUNTA(TEXTSPLIT(DK147,",")))),IF(DM147="",TRUE,IF(input_executive_education_focus="",TRUE,SUMPRODUCT(--ISNUMBER(SEARCH(","&amp;TRIM(TEXTSPLIT(DM147,","))&amp;",",","&amp;SUBSTITUTE(input_executive_education_focus," ","")&amp;",")))=0)),IF(DO147="",TRUE,IF(input_executive_education_focus="",FALSE,SUMPRODUCT(--ISNUMBER(SEARCH(","&amp;TRIM(TEXTSPLIT(DO147,","))&amp;",",","&amp;SUBSTITUTE(input_executive_education_focus," ","")&amp;",")))&gt;0)),IF(DQ147="",TRUE,IF(input_executive_education_focus="",FALSE,SUMPRODUCT(--ISNUMBER(SEARCH(","&amp;TRIM(TEXTSPLIT(DQ147,","))&amp;",",","&amp;SUBSTITUTE(input_executive_education_focus," ","")&amp;",")))=COUNTA(TEXTSPLIT(DQ147,",")))))</f>
        <v/>
      </c>
      <c r="JE147">
        <f>AND(IF(DS147="",TRUE,IF(input_faculty_category="",FALSE,SUMPRODUCT(--ISNUMBER(SEARCH(","&amp;TRIM(TEXTSPLIT(DS147,","))&amp;",",","&amp;SUBSTITUTE(input_faculty_category," ","")&amp;",")))&gt;0)),IF(DU147="",TRUE,IF(input_faculty_category="",FALSE,SUMPRODUCT(--ISNUMBER(SEARCH(","&amp;TRIM(TEXTSPLIT(DU147,","))&amp;",",","&amp;SUBSTITUTE(input_faculty_category," ","")&amp;",")))=COUNTA(TEXTSPLIT(DU147,",")))),IF(DW147="",TRUE,IF(input_faculty_category="",TRUE,SUMPRODUCT(--ISNUMBER(SEARCH(","&amp;TRIM(TEXTSPLIT(DW147,","))&amp;",",","&amp;SUBSTITUTE(input_faculty_category," ","")&amp;",")))=0)),IF(DY147="",TRUE,IF(input_faculty_category="",FALSE,SUMPRODUCT(--ISNUMBER(SEARCH(","&amp;TRIM(TEXTSPLIT(DY147,","))&amp;",",","&amp;SUBSTITUTE(input_faculty_category," ","")&amp;",")))&gt;0)),IF(EA147="",TRUE,IF(input_faculty_category="",FALSE,SUMPRODUCT(--ISNUMBER(SEARCH(","&amp;TRIM(TEXTSPLIT(EA147,","))&amp;",",","&amp;SUBSTITUTE(input_faculty_category," ","")&amp;",")))=COUNTA(TEXTSPLIT(EA147,",")))))</f>
        <v/>
      </c>
      <c r="JF147">
        <f>AND(IF(EC147="",TRUE,IF(input_faculty_discipline="",FALSE,SUMPRODUCT(--ISNUMBER(SEARCH(","&amp;TRIM(TEXTSPLIT(EC147,","))&amp;",",","&amp;SUBSTITUTE(input_faculty_discipline," ","")&amp;",")))&gt;0)),IF(EE147="",TRUE,IF(input_faculty_discipline="",FALSE,SUMPRODUCT(--ISNUMBER(SEARCH(","&amp;TRIM(TEXTSPLIT(EE147,","))&amp;",",","&amp;SUBSTITUTE(input_faculty_discipline," ","")&amp;",")))=COUNTA(TEXTSPLIT(EE147,",")))),IF(EG147="",TRUE,IF(input_faculty_discipline="",TRUE,SUMPRODUCT(--ISNUMBER(SEARCH(","&amp;TRIM(TEXTSPLIT(EG147,","))&amp;",",","&amp;SUBSTITUTE(input_faculty_discipline," ","")&amp;",")))=0)),IF(EI147="",TRUE,IF(input_faculty_discipline="",FALSE,SUMPRODUCT(--ISNUMBER(SEARCH(","&amp;TRIM(TEXTSPLIT(EI147,","))&amp;",",","&amp;SUBSTITUTE(input_faculty_discipline," ","")&amp;",")))&gt;0)),IF(EK147="",TRUE,IF(input_faculty_discipline="",FALSE,SUMPRODUCT(--ISNUMBER(SEARCH(","&amp;TRIM(TEXTSPLIT(EK147,","))&amp;",",","&amp;SUBSTITUTE(input_faculty_discipline," ","")&amp;",")))=COUNTA(TEXTSPLIT(EK147,",")))))</f>
        <v/>
      </c>
      <c r="JG147">
        <f>AND(IF(EM147="",TRUE,IF(input_faculty_expertise="",FALSE,SUMPRODUCT(--ISNUMBER(SEARCH(","&amp;TRIM(TEXTSPLIT(EM147,","))&amp;",",","&amp;SUBSTITUTE(input_faculty_expertise," ","")&amp;",")))&gt;0)),IF(EO147="",TRUE,IF(input_faculty_expertise="",FALSE,SUMPRODUCT(--ISNUMBER(SEARCH(","&amp;TRIM(TEXTSPLIT(EO147,","))&amp;",",","&amp;SUBSTITUTE(input_faculty_expertise," ","")&amp;",")))=COUNTA(TEXTSPLIT(EO147,",")))),IF(EQ147="",TRUE,IF(input_faculty_expertise="",TRUE,SUMPRODUCT(--ISNUMBER(SEARCH(","&amp;TRIM(TEXTSPLIT(EQ147,","))&amp;",",","&amp;SUBSTITUTE(input_faculty_expertise," ","")&amp;",")))=0)),IF(ES147="",TRUE,IF(input_faculty_expertise="",FALSE,SUMPRODUCT(--ISNUMBER(SEARCH(","&amp;TRIM(TEXTSPLIT(ES147,","))&amp;",",","&amp;SUBSTITUTE(input_faculty_expertise," ","")&amp;",")))&gt;0)),IF(EU147="",TRUE,IF(input_faculty_expertise="",FALSE,SUMPRODUCT(--ISNUMBER(SEARCH(","&amp;TRIM(TEXTSPLIT(EU147,","))&amp;",",","&amp;SUBSTITUTE(input_faculty_expertise," ","")&amp;",")))=COUNTA(TEXTSPLIT(EU147,",")))))</f>
        <v/>
      </c>
      <c r="JH147">
        <f>AND(IF(EW147="",TRUE,IF(input_global_network_school="",FALSE,SUMPRODUCT(--ISNUMBER(SEARCH(","&amp;TRIM(TEXTSPLIT(EW147,","))&amp;",",","&amp;SUBSTITUTE(input_global_network_school," ","")&amp;",")))&gt;0)),IF(EY147="",TRUE,IF(input_global_network_school="",FALSE,SUMPRODUCT(--ISNUMBER(SEARCH(","&amp;TRIM(TEXTSPLIT(EY147,","))&amp;",",","&amp;SUBSTITUTE(input_global_network_school," ","")&amp;",")))=COUNTA(TEXTSPLIT(EY147,",")))),IF(FA147="",TRUE,IF(input_global_network_school="",TRUE,SUMPRODUCT(--ISNUMBER(SEARCH(","&amp;TRIM(TEXTSPLIT(FA147,","))&amp;",",","&amp;SUBSTITUTE(input_global_network_school," ","")&amp;",")))=0)),IF(FC147="",TRUE,IF(input_global_network_school="",FALSE,SUMPRODUCT(--ISNUMBER(SEARCH(","&amp;TRIM(TEXTSPLIT(FC147,","))&amp;",",","&amp;SUBSTITUTE(input_global_network_school," ","")&amp;",")))&gt;0)),IF(FE147="",TRUE,IF(input_global_network_school="",FALSE,SUMPRODUCT(--ISNUMBER(SEARCH(","&amp;TRIM(TEXTSPLIT(FE147,","))&amp;",",","&amp;SUBSTITUTE(input_global_network_school," ","")&amp;",")))=COUNTA(TEXTSPLIT(FE147,",")))))</f>
        <v/>
      </c>
      <c r="JI147">
        <f>AND(IF(FG147="",TRUE,IF(input_industry="",FALSE,SUMPRODUCT(--ISNUMBER(SEARCH(","&amp;TRIM(TEXTSPLIT(FG147,","))&amp;",",","&amp;SUBSTITUTE(input_industry," ","")&amp;",")))&gt;0)),IF(FI147="",TRUE,IF(input_industry="",FALSE,SUMPRODUCT(--ISNUMBER(SEARCH(","&amp;TRIM(TEXTSPLIT(FI147,","))&amp;",",","&amp;SUBSTITUTE(input_industry," ","")&amp;",")))=COUNTA(TEXTSPLIT(FI147,",")))),IF(FK147="",TRUE,IF(input_industry="",TRUE,SUMPRODUCT(--ISNUMBER(SEARCH(","&amp;TRIM(TEXTSPLIT(FK147,","))&amp;",",","&amp;SUBSTITUTE(input_industry," ","")&amp;",")))=0)),IF(FM147="",TRUE,IF(input_industry="",FALSE,SUMPRODUCT(--ISNUMBER(SEARCH(","&amp;TRIM(TEXTSPLIT(FM147,","))&amp;",",","&amp;SUBSTITUTE(input_industry," ","")&amp;",")))&gt;0)),IF(FO147="",TRUE,IF(input_industry="",FALSE,SUMPRODUCT(--ISNUMBER(SEARCH(","&amp;TRIM(TEXTSPLIT(FO147,","))&amp;",",","&amp;SUBSTITUTE(input_industry," ","")&amp;",")))=COUNTA(TEXTSPLIT(FO147,",")))))</f>
        <v/>
      </c>
      <c r="JJ147">
        <f>AND(IF(FQ147="",TRUE,IF(input_location="",FALSE,SUMPRODUCT(--ISNUMBER(SEARCH(","&amp;TRIM(TEXTSPLIT(FQ147,","))&amp;",",","&amp;SUBSTITUTE(input_location," ","")&amp;",")))&gt;0)),IF(FS147="",TRUE,IF(input_location="",FALSE,SUMPRODUCT(--ISNUMBER(SEARCH(","&amp;TRIM(TEXTSPLIT(FS147,","))&amp;",",","&amp;SUBSTITUTE(input_location," ","")&amp;",")))=COUNTA(TEXTSPLIT(FS147,",")))),IF(FU147="",TRUE,IF(input_location="",TRUE,SUMPRODUCT(--ISNUMBER(SEARCH(","&amp;TRIM(TEXTSPLIT(FU147,","))&amp;",",","&amp;SUBSTITUTE(input_location," ","")&amp;",")))=0)),IF(FW147="",TRUE,IF(input_location="",FALSE,SUMPRODUCT(--ISNUMBER(SEARCH(","&amp;TRIM(TEXTSPLIT(FW147,","))&amp;",",","&amp;SUBSTITUTE(input_location," ","")&amp;",")))&gt;0)),IF(FY147="",TRUE,IF(input_location="",FALSE,SUMPRODUCT(--ISNUMBER(SEARCH(","&amp;TRIM(TEXTSPLIT(FY147,","))&amp;",",","&amp;SUBSTITUTE(input_location," ","")&amp;",")))=COUNTA(TEXTSPLIT(FY147,",")))))</f>
        <v/>
      </c>
      <c r="JK147">
        <f>AND(IF(GA147="",TRUE,IF(input_modality="",FALSE,SUMPRODUCT(--ISNUMBER(SEARCH(","&amp;TRIM(TEXTSPLIT(GA147,","))&amp;",",","&amp;SUBSTITUTE(input_modality," ","")&amp;",")))&gt;0)),IF(GC147="",TRUE,IF(input_modality="",FALSE,SUMPRODUCT(--ISNUMBER(SEARCH(","&amp;TRIM(TEXTSPLIT(GC147,","))&amp;",",","&amp;SUBSTITUTE(input_modality," ","")&amp;",")))=COUNTA(TEXTSPLIT(GC147,",")))),IF(GE147="",TRUE,IF(input_modality="",TRUE,SUMPRODUCT(--ISNUMBER(SEARCH(","&amp;TRIM(TEXTSPLIT(GE147,","))&amp;",",","&amp;SUBSTITUTE(input_modality," ","")&amp;",")))=0)),IF(GG147="",TRUE,IF(input_modality="",FALSE,SUMPRODUCT(--ISNUMBER(SEARCH(","&amp;TRIM(TEXTSPLIT(GG147,","))&amp;",",","&amp;SUBSTITUTE(input_modality," ","")&amp;",")))&gt;0)),IF(GI147="",TRUE,IF(input_modality="",FALSE,SUMPRODUCT(--ISNUMBER(SEARCH(","&amp;TRIM(TEXTSPLIT(GI147,","))&amp;",",","&amp;SUBSTITUTE(input_modality," ","")&amp;",")))=COUNTA(TEXTSPLIT(GI147,",")))))</f>
        <v/>
      </c>
      <c r="JL147">
        <f>AND(IF(GK147="",TRUE,IF(input_organizer="",FALSE,SUMPRODUCT(--ISNUMBER(SEARCH(","&amp;TRIM(TEXTSPLIT(GK147,","))&amp;",",","&amp;SUBSTITUTE(input_organizer," ","")&amp;",")))&gt;0)),IF(GM147="",TRUE,IF(input_organizer="",FALSE,SUMPRODUCT(--ISNUMBER(SEARCH(","&amp;TRIM(TEXTSPLIT(GM147,","))&amp;",",","&amp;SUBSTITUTE(input_organizer," ","")&amp;",")))=COUNTA(TEXTSPLIT(GM147,",")))),IF(GO147="",TRUE,IF(input_organizer="",TRUE,SUMPRODUCT(--ISNUMBER(SEARCH(","&amp;TRIM(TEXTSPLIT(GO147,","))&amp;",",","&amp;SUBSTITUTE(input_organizer," ","")&amp;",")))=0)),IF(GQ147="",TRUE,IF(input_organizer="",FALSE,SUMPRODUCT(--ISNUMBER(SEARCH(","&amp;TRIM(TEXTSPLIT(GQ147,","))&amp;",",","&amp;SUBSTITUTE(input_organizer," ","")&amp;",")))&gt;0)),IF(GS147="",TRUE,IF(input_organizer="",FALSE,SUMPRODUCT(--ISNUMBER(SEARCH(","&amp;TRIM(TEXTSPLIT(GS147,","))&amp;",",","&amp;SUBSTITUTE(input_organizer," ","")&amp;",")))=COUNTA(TEXTSPLIT(GS147,",")))))</f>
        <v/>
      </c>
      <c r="JM147">
        <f>AND(IF(GU147="",TRUE,IF(input_profile_type="",FALSE,SUMPRODUCT(--ISNUMBER(SEARCH(","&amp;TRIM(TEXTSPLIT(GU147,","))&amp;",",","&amp;SUBSTITUTE(input_profile_type," ","")&amp;",")))&gt;0)),IF(GW147="",TRUE,IF(input_profile_type="",FALSE,SUMPRODUCT(--ISNUMBER(SEARCH(","&amp;TRIM(TEXTSPLIT(GW147,","))&amp;",",","&amp;SUBSTITUTE(input_profile_type," ","")&amp;",")))=COUNTA(TEXTSPLIT(GW147,",")))),IF(GY147="",TRUE,IF(input_profile_type="",TRUE,SUMPRODUCT(--ISNUMBER(SEARCH(","&amp;TRIM(TEXTSPLIT(GY147,","))&amp;",",","&amp;SUBSTITUTE(input_profile_type," ","")&amp;",")))=0)),IF(HA147="",TRUE,IF(input_profile_type="",FALSE,SUMPRODUCT(--ISNUMBER(SEARCH(","&amp;TRIM(TEXTSPLIT(HA147,","))&amp;",",","&amp;SUBSTITUTE(input_profile_type," ","")&amp;",")))&gt;0)),IF(HC147="",TRUE,IF(input_profile_type="",FALSE,SUMPRODUCT(--ISNUMBER(SEARCH(","&amp;TRIM(TEXTSPLIT(HC147,","))&amp;",",","&amp;SUBSTITUTE(input_profile_type," ","")&amp;",")))=COUNTA(TEXTSPLIT(HC147,",")))))</f>
        <v/>
      </c>
      <c r="JN147">
        <f>AND(IF(HE147="",TRUE,IF(input_program="",FALSE,SUMPRODUCT(--ISNUMBER(SEARCH(","&amp;TRIM(TEXTSPLIT(HE147,","))&amp;",",","&amp;SUBSTITUTE(input_program," ","")&amp;",")))&gt;0)),IF(HG147="",TRUE,IF(input_program="",FALSE,SUMPRODUCT(--ISNUMBER(SEARCH(","&amp;TRIM(TEXTSPLIT(HG147,","))&amp;",",","&amp;SUBSTITUTE(input_program," ","")&amp;",")))=COUNTA(TEXTSPLIT(HG147,",")))),IF(HI147="",TRUE,IF(input_program="",TRUE,SUMPRODUCT(--ISNUMBER(SEARCH(","&amp;TRIM(TEXTSPLIT(HI147,","))&amp;",",","&amp;SUBSTITUTE(input_program," ","")&amp;",")))=0)),IF(HK147="",TRUE,IF(input_program="",FALSE,SUMPRODUCT(--ISNUMBER(SEARCH(","&amp;TRIM(TEXTSPLIT(HK147,","))&amp;",",","&amp;SUBSTITUTE(input_program," ","")&amp;",")))&gt;0)),IF(HM147="",TRUE,IF(input_program="",FALSE,SUMPRODUCT(--ISNUMBER(SEARCH(","&amp;TRIM(TEXTSPLIT(HM147,","))&amp;",",","&amp;SUBSTITUTE(input_program," ","")&amp;",")))=COUNTA(TEXTSPLIT(HM147,",")))))</f>
        <v/>
      </c>
      <c r="JO147">
        <f>AND(IF(HO147="",TRUE,IF(input_story_categories="",FALSE,SUMPRODUCT(--ISNUMBER(SEARCH(","&amp;TRIM(TEXTSPLIT(HO147,","))&amp;",",","&amp;SUBSTITUTE(input_story_categories," ","")&amp;",")))&gt;0)),IF(HQ147="",TRUE,IF(input_story_categories="",FALSE,SUMPRODUCT(--ISNUMBER(SEARCH(","&amp;TRIM(TEXTSPLIT(HQ147,","))&amp;",",","&amp;SUBSTITUTE(input_story_categories," ","")&amp;",")))=COUNTA(TEXTSPLIT(HQ147,",")))),IF(HS147="",TRUE,IF(input_story_categories="",TRUE,SUMPRODUCT(--ISNUMBER(SEARCH(","&amp;TRIM(TEXTSPLIT(HS147,","))&amp;",",","&amp;SUBSTITUTE(input_story_categories," ","")&amp;",")))=0)),IF(HU147="",TRUE,IF(input_story_categories="",FALSE,SUMPRODUCT(--ISNUMBER(SEARCH(","&amp;TRIM(TEXTSPLIT(HU147,","))&amp;",",","&amp;SUBSTITUTE(input_story_categories," ","")&amp;",")))&gt;0)),IF(HW147="",TRUE,IF(input_story_categories="",FALSE,SUMPRODUCT(--ISNUMBER(SEARCH(","&amp;TRIM(TEXTSPLIT(HW147,","))&amp;",",","&amp;SUBSTITUTE(input_story_categories," ","")&amp;",")))=COUNTA(TEXTSPLIT(HW147,",")))))</f>
        <v/>
      </c>
      <c r="JP147">
        <f>AND(IF(HY147="",TRUE,IF(input_story_type="",FALSE,SUMPRODUCT(--ISNUMBER(SEARCH(","&amp;TRIM(TEXTSPLIT(HY147,","))&amp;",",","&amp;SUBSTITUTE(input_story_type," ","")&amp;",")))&gt;0)),IF(IA147="",TRUE,IF(input_story_type="",FALSE,SUMPRODUCT(--ISNUMBER(SEARCH(","&amp;TRIM(TEXTSPLIT(IA147,","))&amp;",",","&amp;SUBSTITUTE(input_story_type," ","")&amp;",")))=COUNTA(TEXTSPLIT(IA147,",")))),IF(IC147="",TRUE,IF(input_story_type="",TRUE,SUMPRODUCT(--ISNUMBER(SEARCH(","&amp;TRIM(TEXTSPLIT(IC147,","))&amp;",",","&amp;SUBSTITUTE(input_story_type," ","")&amp;",")))=0)),IF(IE147="",TRUE,IF(input_story_type="",FALSE,SUMPRODUCT(--ISNUMBER(SEARCH(","&amp;TRIM(TEXTSPLIT(IE147,","))&amp;",",","&amp;SUBSTITUTE(input_story_type," ","")&amp;",")))&gt;0)),IF(IG147="",TRUE,IF(input_story_type="",FALSE,SUMPRODUCT(--ISNUMBER(SEARCH(","&amp;TRIM(TEXTSPLIT(IG147,","))&amp;",",","&amp;SUBSTITUTE(input_story_type," ","")&amp;",")))=COUNTA(TEXTSPLIT(IG147,",")))))</f>
        <v/>
      </c>
      <c r="JQ147">
        <f>AND(IF(II147="",TRUE,IF(input_topics="",FALSE,SUMPRODUCT(--ISNUMBER(SEARCH(","&amp;TRIM(TEXTSPLIT(II147,","))&amp;",",","&amp;SUBSTITUTE(input_topics," ","")&amp;",")))&gt;0)),IF(IK147="",TRUE,IF(input_topics="",FALSE,SUMPRODUCT(--ISNUMBER(SEARCH(","&amp;TRIM(TEXTSPLIT(IK147,","))&amp;",",","&amp;SUBSTITUTE(input_topics," ","")&amp;",")))=COUNTA(TEXTSPLIT(IK147,",")))),IF(IM147="",TRUE,IF(input_topics="",TRUE,SUMPRODUCT(--ISNUMBER(SEARCH(","&amp;TRIM(TEXTSPLIT(IM147,","))&amp;",",","&amp;SUBSTITUTE(input_topics," ","")&amp;",")))=0)),IF(IO147="",TRUE,IF(input_topics="",FALSE,SUMPRODUCT(--ISNUMBER(SEARCH(","&amp;TRIM(TEXTSPLIT(IO147,","))&amp;",",","&amp;SUBSTITUTE(input_topics," ","")&amp;",")))&gt;0)),IF(IQ147="",TRUE,IF(input_topics="",FALSE,SUMPRODUCT(--ISNUMBER(SEARCH(","&amp;TRIM(TEXTSPLIT(IQ147,","))&amp;",",","&amp;SUBSTITUTE(input_topics," ","")&amp;",")))=COUNTA(TEXTSPLIT(IQ147,",")))))</f>
        <v/>
      </c>
    </row>
    <row r="148">
      <c r="A148" s="4">
        <f>IF(NOT(IS148),"Excluded",IF(AND(IT148,IU148,IV148,IW148,IX148,IY148,IZ148,JA148,JB148,JC148,JD148,JE148,JF148,JG148,JH148,JI148,JJ148,JK148,JL148,JM148,JN148,JO148,JP148,JQ148),IF(I148&gt;0,"Eligible but limited","Will appear"),"Excluded"))</f>
        <v/>
      </c>
      <c r="B148" s="4" t="inlineStr">
        <is>
          <t>Participant Spotlights</t>
        </is>
      </c>
      <c r="C148" s="4" t="inlineStr">
        <is>
          <t>/executive-education/community/participant-spotlights</t>
        </is>
      </c>
      <c r="D148" s="4" t="inlineStr">
        <is>
          <t>/executive-education/community/participant-spotlights</t>
        </is>
      </c>
      <c r="E148" s="4" t="n">
        <v>1</v>
      </c>
      <c r="F148" s="4" t="inlineStr">
        <is>
          <t>story</t>
        </is>
      </c>
      <c r="G148" s="4" t="inlineStr">
        <is>
          <t>stories_list</t>
        </is>
      </c>
      <c r="H148" s="4" t="inlineStr">
        <is>
          <t>embed_blog</t>
        </is>
      </c>
      <c r="I148" s="4" t="n">
        <v>10</v>
      </c>
      <c r="J148" s="4" t="inlineStr">
        <is>
          <t>Explicit args</t>
        </is>
      </c>
      <c r="K148" s="4" t="inlineStr">
        <is>
          <t>Page placement</t>
        </is>
      </c>
      <c r="L148" s="4" t="inlineStr">
        <is>
          <t>Content type: story; Context needs all Courses Context: Executive Education (967), Exec Ed Participant Spotlights (1182); Needs any Story Type: Blog (974); Limited to 10 item(s); Source: Explicit args</t>
        </is>
      </c>
      <c r="M148" t="inlineStr"/>
      <c r="N148" t="inlineStr"/>
      <c r="O148" t="inlineStr"/>
      <c r="P148" t="inlineStr"/>
      <c r="Q148" t="inlineStr"/>
      <c r="R148" t="inlineStr"/>
      <c r="S148" t="inlineStr"/>
      <c r="T148" t="inlineStr"/>
      <c r="U148" t="inlineStr"/>
      <c r="V148" t="inlineStr"/>
      <c r="W148" t="inlineStr"/>
      <c r="X148" t="inlineStr"/>
      <c r="Y148" t="inlineStr"/>
      <c r="Z148" t="inlineStr"/>
      <c r="AA148" t="inlineStr"/>
      <c r="AB148" t="inlineStr"/>
      <c r="AC148" t="inlineStr"/>
      <c r="AD148" t="inlineStr"/>
      <c r="AE148" t="inlineStr"/>
      <c r="AF148" t="inlineStr"/>
      <c r="AG148" t="inlineStr"/>
      <c r="AH148" t="inlineStr"/>
      <c r="AI148" t="inlineStr"/>
      <c r="AJ148" t="inlineStr"/>
      <c r="AK148" t="inlineStr"/>
      <c r="AL148" t="inlineStr"/>
      <c r="AM148" t="inlineStr"/>
      <c r="AN148" t="inlineStr"/>
      <c r="AO148" t="inlineStr"/>
      <c r="AP148" t="inlineStr"/>
      <c r="AQ148" t="inlineStr"/>
      <c r="AR148" t="inlineStr"/>
      <c r="AS148" t="inlineStr"/>
      <c r="AT148" t="inlineStr"/>
      <c r="AU148" t="inlineStr"/>
      <c r="AV148" t="inlineStr"/>
      <c r="AW148" t="inlineStr"/>
      <c r="AX148" t="inlineStr"/>
      <c r="AY148" t="inlineStr"/>
      <c r="AZ148" t="inlineStr"/>
      <c r="BA148" t="inlineStr"/>
      <c r="BB148" t="inlineStr"/>
      <c r="BC148" t="inlineStr"/>
      <c r="BD148" t="inlineStr"/>
      <c r="BE148" t="inlineStr"/>
      <c r="BF148" t="inlineStr"/>
      <c r="BG148" t="inlineStr"/>
      <c r="BH148" t="inlineStr"/>
      <c r="BI148" t="inlineStr"/>
      <c r="BJ148" t="inlineStr"/>
      <c r="BK148" t="inlineStr"/>
      <c r="BL148" t="inlineStr"/>
      <c r="BM148" t="inlineStr"/>
      <c r="BN148" t="inlineStr"/>
      <c r="BO148" t="inlineStr"/>
      <c r="BP148" t="inlineStr"/>
      <c r="BQ148" t="inlineStr"/>
      <c r="BR148" t="inlineStr"/>
      <c r="BS148" t="inlineStr">
        <is>
          <t>967, 1182</t>
        </is>
      </c>
      <c r="BT148" t="inlineStr">
        <is>
          <t>Executive Education (967), Exec Ed Participant Spotlights (1182)</t>
        </is>
      </c>
      <c r="BU148" t="inlineStr"/>
      <c r="BV148" t="inlineStr"/>
      <c r="BW148" t="inlineStr"/>
      <c r="BX148" t="inlineStr"/>
      <c r="BY148" t="inlineStr"/>
      <c r="BZ148" t="inlineStr"/>
      <c r="CA148" t="inlineStr"/>
      <c r="CB148" t="inlineStr"/>
      <c r="CC148" t="inlineStr"/>
      <c r="CD148" t="inlineStr"/>
      <c r="CE148" t="inlineStr"/>
      <c r="CF148" t="inlineStr"/>
      <c r="CG148" t="inlineStr"/>
      <c r="CH148" t="inlineStr"/>
      <c r="CI148" t="inlineStr"/>
      <c r="CJ148" t="inlineStr"/>
      <c r="CK148" t="inlineStr"/>
      <c r="CL148" t="inlineStr"/>
      <c r="CM148" t="inlineStr"/>
      <c r="CN148" t="inlineStr"/>
      <c r="CO148" t="inlineStr"/>
      <c r="CP148" t="inlineStr"/>
      <c r="CQ148" t="inlineStr"/>
      <c r="CR148" t="inlineStr"/>
      <c r="CS148" t="inlineStr"/>
      <c r="CT148" t="inlineStr"/>
      <c r="CU148" t="inlineStr"/>
      <c r="CV148" t="inlineStr"/>
      <c r="CW148" t="inlineStr"/>
      <c r="CX148" t="inlineStr"/>
      <c r="CY148" t="inlineStr"/>
      <c r="CZ148" t="inlineStr"/>
      <c r="DA148" t="inlineStr"/>
      <c r="DB148" t="inlineStr"/>
      <c r="DC148" t="inlineStr"/>
      <c r="DD148" t="inlineStr"/>
      <c r="DE148" t="inlineStr"/>
      <c r="DF148" t="inlineStr"/>
      <c r="DG148" t="inlineStr"/>
      <c r="DH148" t="inlineStr"/>
      <c r="DI148" t="inlineStr"/>
      <c r="DJ148" t="inlineStr"/>
      <c r="DK148" t="inlineStr"/>
      <c r="DL148" t="inlineStr"/>
      <c r="DM148" t="inlineStr"/>
      <c r="DN148" t="inlineStr"/>
      <c r="DO148" t="inlineStr"/>
      <c r="DP148" t="inlineStr"/>
      <c r="DQ148" t="inlineStr"/>
      <c r="DR148" t="inlineStr"/>
      <c r="DS148" t="inlineStr"/>
      <c r="DT148" t="inlineStr"/>
      <c r="DU148" t="inlineStr"/>
      <c r="DV148" t="inlineStr"/>
      <c r="DW148" t="inlineStr"/>
      <c r="DX148" t="inlineStr"/>
      <c r="DY148" t="inlineStr"/>
      <c r="DZ148" t="inlineStr"/>
      <c r="EA148" t="inlineStr"/>
      <c r="EB148" t="inlineStr"/>
      <c r="EC148" t="inlineStr"/>
      <c r="ED148" t="inlineStr"/>
      <c r="EE148" t="inlineStr"/>
      <c r="EF148" t="inlineStr"/>
      <c r="EG148" t="inlineStr"/>
      <c r="EH148" t="inlineStr"/>
      <c r="EI148" t="inlineStr"/>
      <c r="EJ148" t="inlineStr"/>
      <c r="EK148" t="inlineStr"/>
      <c r="EL148" t="inlineStr"/>
      <c r="EM148" t="inlineStr"/>
      <c r="EN148" t="inlineStr"/>
      <c r="EO148" t="inlineStr"/>
      <c r="EP148" t="inlineStr"/>
      <c r="EQ148" t="inlineStr"/>
      <c r="ER148" t="inlineStr"/>
      <c r="ES148" t="inlineStr"/>
      <c r="ET148" t="inlineStr"/>
      <c r="EU148" t="inlineStr"/>
      <c r="EV148" t="inlineStr"/>
      <c r="EW148" t="inlineStr"/>
      <c r="EX148" t="inlineStr"/>
      <c r="EY148" t="inlineStr"/>
      <c r="EZ148" t="inlineStr"/>
      <c r="FA148" t="inlineStr"/>
      <c r="FB148" t="inlineStr"/>
      <c r="FC148" t="inlineStr"/>
      <c r="FD148" t="inlineStr"/>
      <c r="FE148" t="inlineStr"/>
      <c r="FF148" t="inlineStr"/>
      <c r="FG148" t="inlineStr"/>
      <c r="FH148" t="inlineStr"/>
      <c r="FI148" t="inlineStr"/>
      <c r="FJ148" t="inlineStr"/>
      <c r="FK148" t="inlineStr"/>
      <c r="FL148" t="inlineStr"/>
      <c r="FM148" t="inlineStr"/>
      <c r="FN148" t="inlineStr"/>
      <c r="FO148" t="inlineStr"/>
      <c r="FP148" t="inlineStr"/>
      <c r="FQ148" t="inlineStr"/>
      <c r="FR148" t="inlineStr"/>
      <c r="FS148" t="inlineStr"/>
      <c r="FT148" t="inlineStr"/>
      <c r="FU148" t="inlineStr"/>
      <c r="FV148" t="inlineStr"/>
      <c r="FW148" t="inlineStr"/>
      <c r="FX148" t="inlineStr"/>
      <c r="FY148" t="inlineStr"/>
      <c r="FZ148" t="inlineStr"/>
      <c r="GA148" t="inlineStr"/>
      <c r="GB148" t="inlineStr"/>
      <c r="GC148" t="inlineStr"/>
      <c r="GD148" t="inlineStr"/>
      <c r="GE148" t="inlineStr"/>
      <c r="GF148" t="inlineStr"/>
      <c r="GG148" t="inlineStr"/>
      <c r="GH148" t="inlineStr"/>
      <c r="GI148" t="inlineStr"/>
      <c r="GJ148" t="inlineStr"/>
      <c r="GK148" t="inlineStr"/>
      <c r="GL148" t="inlineStr"/>
      <c r="GM148" t="inlineStr"/>
      <c r="GN148" t="inlineStr"/>
      <c r="GO148" t="inlineStr"/>
      <c r="GP148" t="inlineStr"/>
      <c r="GQ148" t="inlineStr"/>
      <c r="GR148" t="inlineStr"/>
      <c r="GS148" t="inlineStr"/>
      <c r="GT148" t="inlineStr"/>
      <c r="GU148" t="inlineStr"/>
      <c r="GV148" t="inlineStr"/>
      <c r="GW148" t="inlineStr"/>
      <c r="GX148" t="inlineStr"/>
      <c r="GY148" t="inlineStr"/>
      <c r="GZ148" t="inlineStr"/>
      <c r="HA148" t="inlineStr"/>
      <c r="HB148" t="inlineStr"/>
      <c r="HC148" t="inlineStr"/>
      <c r="HD148" t="inlineStr"/>
      <c r="HE148" t="inlineStr"/>
      <c r="HF148" t="inlineStr"/>
      <c r="HG148" t="inlineStr"/>
      <c r="HH148" t="inlineStr"/>
      <c r="HI148" t="inlineStr"/>
      <c r="HJ148" t="inlineStr"/>
      <c r="HK148" t="inlineStr"/>
      <c r="HL148" t="inlineStr"/>
      <c r="HM148" t="inlineStr"/>
      <c r="HN148" t="inlineStr"/>
      <c r="HO148" t="inlineStr"/>
      <c r="HP148" t="inlineStr"/>
      <c r="HQ148" t="inlineStr"/>
      <c r="HR148" t="inlineStr"/>
      <c r="HS148" t="inlineStr"/>
      <c r="HT148" t="inlineStr"/>
      <c r="HU148" t="inlineStr"/>
      <c r="HV148" t="inlineStr"/>
      <c r="HW148" t="inlineStr"/>
      <c r="HX148" t="inlineStr"/>
      <c r="HY148" t="inlineStr">
        <is>
          <t>974</t>
        </is>
      </c>
      <c r="HZ148" t="inlineStr">
        <is>
          <t>Blog (974)</t>
        </is>
      </c>
      <c r="IA148" t="inlineStr"/>
      <c r="IB148" t="inlineStr"/>
      <c r="IC148" t="inlineStr"/>
      <c r="ID148" t="inlineStr"/>
      <c r="IE148" t="inlineStr"/>
      <c r="IF148" t="inlineStr"/>
      <c r="IG148" t="inlineStr"/>
      <c r="IH148" t="inlineStr"/>
      <c r="II148" t="inlineStr"/>
      <c r="IJ148" t="inlineStr"/>
      <c r="IK148" t="inlineStr"/>
      <c r="IL148" t="inlineStr"/>
      <c r="IM148" t="inlineStr"/>
      <c r="IN148" t="inlineStr"/>
      <c r="IO148" t="inlineStr"/>
      <c r="IP148" t="inlineStr"/>
      <c r="IQ148" t="inlineStr"/>
      <c r="IR148" t="inlineStr"/>
      <c r="IS148">
        <f>IF(input_content_type="",FALSE,ISNUMBER(SEARCH(","&amp;LOWER(input_content_type)&amp;",",","&amp;LOWER(F148)&amp;",")))</f>
        <v/>
      </c>
      <c r="IT148">
        <f>AND(IF(M148="",TRUE,IF(input_affiliations="",FALSE,SUMPRODUCT(--ISNUMBER(SEARCH(","&amp;TRIM(TEXTSPLIT(M148,","))&amp;",",","&amp;SUBSTITUTE(input_affiliations," ","")&amp;",")))&gt;0)),IF(O148="",TRUE,IF(input_affiliations="",FALSE,SUMPRODUCT(--ISNUMBER(SEARCH(","&amp;TRIM(TEXTSPLIT(O148,","))&amp;",",","&amp;SUBSTITUTE(input_affiliations," ","")&amp;",")))=COUNTA(TEXTSPLIT(O148,",")))),IF(Q148="",TRUE,IF(input_affiliations="",TRUE,SUMPRODUCT(--ISNUMBER(SEARCH(","&amp;TRIM(TEXTSPLIT(Q148,","))&amp;",",","&amp;SUBSTITUTE(input_affiliations," ","")&amp;",")))=0)),IF(S148="",TRUE,IF(input_affiliations="",FALSE,SUMPRODUCT(--ISNUMBER(SEARCH(","&amp;TRIM(TEXTSPLIT(S148,","))&amp;",",","&amp;SUBSTITUTE(input_affiliations," ","")&amp;",")))&gt;0)),IF(U148="",TRUE,IF(input_affiliations="",FALSE,SUMPRODUCT(--ISNUMBER(SEARCH(","&amp;TRIM(TEXTSPLIT(U148,","))&amp;",",","&amp;SUBSTITUTE(input_affiliations," ","")&amp;",")))=COUNTA(TEXTSPLIT(U148,",")))))</f>
        <v/>
      </c>
      <c r="IU148">
        <f>AND(IF(W148="",TRUE,IF(input_announcement_category="",FALSE,SUMPRODUCT(--ISNUMBER(SEARCH(","&amp;TRIM(TEXTSPLIT(W148,","))&amp;",",","&amp;SUBSTITUTE(input_announcement_category," ","")&amp;",")))&gt;0)),IF(Y148="",TRUE,IF(input_announcement_category="",FALSE,SUMPRODUCT(--ISNUMBER(SEARCH(","&amp;TRIM(TEXTSPLIT(Y148,","))&amp;",",","&amp;SUBSTITUTE(input_announcement_category," ","")&amp;",")))=COUNTA(TEXTSPLIT(Y148,",")))),IF(AA148="",TRUE,IF(input_announcement_category="",TRUE,SUMPRODUCT(--ISNUMBER(SEARCH(","&amp;TRIM(TEXTSPLIT(AA148,","))&amp;",",","&amp;SUBSTITUTE(input_announcement_category," ","")&amp;",")))=0)),IF(AC148="",TRUE,IF(input_announcement_category="",FALSE,SUMPRODUCT(--ISNUMBER(SEARCH(","&amp;TRIM(TEXTSPLIT(AC148,","))&amp;",",","&amp;SUBSTITUTE(input_announcement_category," ","")&amp;",")))&gt;0)),IF(AE148="",TRUE,IF(input_announcement_category="",FALSE,SUMPRODUCT(--ISNUMBER(SEARCH(","&amp;TRIM(TEXTSPLIT(AE148,","))&amp;",",","&amp;SUBSTITUTE(input_announcement_category," ","")&amp;",")))=COUNTA(TEXTSPLIT(AE148,",")))))</f>
        <v/>
      </c>
      <c r="IV148">
        <f>AND(IF(AG148="",TRUE,IF(input_area_of_focus="",FALSE,SUMPRODUCT(--ISNUMBER(SEARCH(","&amp;TRIM(TEXTSPLIT(AG148,","))&amp;",",","&amp;SUBSTITUTE(input_area_of_focus," ","")&amp;",")))&gt;0)),IF(AI148="",TRUE,IF(input_area_of_focus="",FALSE,SUMPRODUCT(--ISNUMBER(SEARCH(","&amp;TRIM(TEXTSPLIT(AI148,","))&amp;",",","&amp;SUBSTITUTE(input_area_of_focus," ","")&amp;",")))=COUNTA(TEXTSPLIT(AI148,",")))),IF(AK148="",TRUE,IF(input_area_of_focus="",TRUE,SUMPRODUCT(--ISNUMBER(SEARCH(","&amp;TRIM(TEXTSPLIT(AK148,","))&amp;",",","&amp;SUBSTITUTE(input_area_of_focus," ","")&amp;",")))=0)),IF(AM148="",TRUE,IF(input_area_of_focus="",FALSE,SUMPRODUCT(--ISNUMBER(SEARCH(","&amp;TRIM(TEXTSPLIT(AM148,","))&amp;",",","&amp;SUBSTITUTE(input_area_of_focus," ","")&amp;",")))&gt;0)),IF(AO148="",TRUE,IF(input_area_of_focus="",FALSE,SUMPRODUCT(--ISNUMBER(SEARCH(","&amp;TRIM(TEXTSPLIT(AO148,","))&amp;",",","&amp;SUBSTITUTE(input_area_of_focus," ","")&amp;",")))=COUNTA(TEXTSPLIT(AO148,",")))))</f>
        <v/>
      </c>
      <c r="IW148">
        <f>AND(IF(AQ148="",TRUE,IF(input_audience="",FALSE,SUMPRODUCT(--ISNUMBER(SEARCH(","&amp;TRIM(TEXTSPLIT(AQ148,","))&amp;",",","&amp;SUBSTITUTE(input_audience," ","")&amp;",")))&gt;0)),IF(AS148="",TRUE,IF(input_audience="",FALSE,SUMPRODUCT(--ISNUMBER(SEARCH(","&amp;TRIM(TEXTSPLIT(AS148,","))&amp;",",","&amp;SUBSTITUTE(input_audience," ","")&amp;",")))=COUNTA(TEXTSPLIT(AS148,",")))),IF(AU148="",TRUE,IF(input_audience="",TRUE,SUMPRODUCT(--ISNUMBER(SEARCH(","&amp;TRIM(TEXTSPLIT(AU148,","))&amp;",",","&amp;SUBSTITUTE(input_audience," ","")&amp;",")))=0)),IF(AW148="",TRUE,IF(input_audience="",FALSE,SUMPRODUCT(--ISNUMBER(SEARCH(","&amp;TRIM(TEXTSPLIT(AW148,","))&amp;",",","&amp;SUBSTITUTE(input_audience," ","")&amp;",")))&gt;0)),IF(AY148="",TRUE,IF(input_audience="",FALSE,SUMPRODUCT(--ISNUMBER(SEARCH(","&amp;TRIM(TEXTSPLIT(AY148,","))&amp;",",","&amp;SUBSTITUTE(input_audience," ","")&amp;",")))=COUNTA(TEXTSPLIT(AY148,",")))))</f>
        <v/>
      </c>
      <c r="IX148">
        <f>AND(IF(BA148="",TRUE,IF(input_challenge_opportunities="",FALSE,SUMPRODUCT(--ISNUMBER(SEARCH(","&amp;TRIM(TEXTSPLIT(BA148,","))&amp;",",","&amp;SUBSTITUTE(input_challenge_opportunities," ","")&amp;",")))&gt;0)),IF(BC148="",TRUE,IF(input_challenge_opportunities="",FALSE,SUMPRODUCT(--ISNUMBER(SEARCH(","&amp;TRIM(TEXTSPLIT(BC148,","))&amp;",",","&amp;SUBSTITUTE(input_challenge_opportunities," ","")&amp;",")))=COUNTA(TEXTSPLIT(BC148,",")))),IF(BE148="",TRUE,IF(input_challenge_opportunities="",TRUE,SUMPRODUCT(--ISNUMBER(SEARCH(","&amp;TRIM(TEXTSPLIT(BE148,","))&amp;",",","&amp;SUBSTITUTE(input_challenge_opportunities," ","")&amp;",")))=0)),IF(BG148="",TRUE,IF(input_challenge_opportunities="",FALSE,SUMPRODUCT(--ISNUMBER(SEARCH(","&amp;TRIM(TEXTSPLIT(BG148,","))&amp;",",","&amp;SUBSTITUTE(input_challenge_opportunities," ","")&amp;",")))&gt;0)),IF(BI148="",TRUE,IF(input_challenge_opportunities="",FALSE,SUMPRODUCT(--ISNUMBER(SEARCH(","&amp;TRIM(TEXTSPLIT(BI148,","))&amp;",",","&amp;SUBSTITUTE(input_challenge_opportunities," ","")&amp;",")))=COUNTA(TEXTSPLIT(BI148,",")))))</f>
        <v/>
      </c>
      <c r="IY148">
        <f>AND(IF(BK148="",TRUE,IF(input_context="",FALSE,SUMPRODUCT(--ISNUMBER(SEARCH(","&amp;TRIM(TEXTSPLIT(BK148,","))&amp;",",","&amp;SUBSTITUTE(input_context," ","")&amp;",")))&gt;0)),IF(BM148="",TRUE,IF(input_context="",FALSE,SUMPRODUCT(--ISNUMBER(SEARCH(","&amp;TRIM(TEXTSPLIT(BM148,","))&amp;",",","&amp;SUBSTITUTE(input_context," ","")&amp;",")))=COUNTA(TEXTSPLIT(BM148,",")))),IF(BO148="",TRUE,IF(input_context="",TRUE,SUMPRODUCT(--ISNUMBER(SEARCH(","&amp;TRIM(TEXTSPLIT(BO148,","))&amp;",",","&amp;SUBSTITUTE(input_context," ","")&amp;",")))=0)),IF(BQ148="",TRUE,IF(input_context="",FALSE,SUMPRODUCT(--ISNUMBER(SEARCH(","&amp;TRIM(TEXTSPLIT(BQ148,","))&amp;",",","&amp;SUBSTITUTE(input_context," ","")&amp;",")))&gt;0)),IF(BS148="",TRUE,IF(input_context="",FALSE,SUMPRODUCT(--ISNUMBER(SEARCH(","&amp;TRIM(TEXTSPLIT(BS148,","))&amp;",",","&amp;SUBSTITUTE(input_context," ","")&amp;",")))=COUNTA(TEXTSPLIT(BS148,",")))))</f>
        <v/>
      </c>
      <c r="IZ148">
        <f>AND(IF(BU148="",TRUE,IF(input_enews_announcement_type="",FALSE,SUMPRODUCT(--ISNUMBER(SEARCH(","&amp;TRIM(TEXTSPLIT(BU148,","))&amp;",",","&amp;SUBSTITUTE(input_enews_announcement_type," ","")&amp;",")))&gt;0)),IF(BW148="",TRUE,IF(input_enews_announcement_type="",FALSE,SUMPRODUCT(--ISNUMBER(SEARCH(","&amp;TRIM(TEXTSPLIT(BW148,","))&amp;",",","&amp;SUBSTITUTE(input_enews_announcement_type," ","")&amp;",")))=COUNTA(TEXTSPLIT(BW148,",")))),IF(BY148="",TRUE,IF(input_enews_announcement_type="",TRUE,SUMPRODUCT(--ISNUMBER(SEARCH(","&amp;TRIM(TEXTSPLIT(BY148,","))&amp;",",","&amp;SUBSTITUTE(input_enews_announcement_type," ","")&amp;",")))=0)),IF(CA148="",TRUE,IF(input_enews_announcement_type="",FALSE,SUMPRODUCT(--ISNUMBER(SEARCH(","&amp;TRIM(TEXTSPLIT(CA148,","))&amp;",",","&amp;SUBSTITUTE(input_enews_announcement_type," ","")&amp;",")))&gt;0)),IF(CC148="",TRUE,IF(input_enews_announcement_type="",FALSE,SUMPRODUCT(--ISNUMBER(SEARCH(","&amp;TRIM(TEXTSPLIT(CC148,","))&amp;",",","&amp;SUBSTITUTE(input_enews_announcement_type," ","")&amp;",")))=COUNTA(TEXTSPLIT(CC148,",")))))</f>
        <v/>
      </c>
      <c r="JA148">
        <f>AND(IF(CE148="",TRUE,IF(input_enews_audience="",FALSE,SUMPRODUCT(--ISNUMBER(SEARCH(","&amp;TRIM(TEXTSPLIT(CE148,","))&amp;",",","&amp;SUBSTITUTE(input_enews_audience," ","")&amp;",")))&gt;0)),IF(CG148="",TRUE,IF(input_enews_audience="",FALSE,SUMPRODUCT(--ISNUMBER(SEARCH(","&amp;TRIM(TEXTSPLIT(CG148,","))&amp;",",","&amp;SUBSTITUTE(input_enews_audience," ","")&amp;",")))=COUNTA(TEXTSPLIT(CG148,",")))),IF(CI148="",TRUE,IF(input_enews_audience="",TRUE,SUMPRODUCT(--ISNUMBER(SEARCH(","&amp;TRIM(TEXTSPLIT(CI148,","))&amp;",",","&amp;SUBSTITUTE(input_enews_audience," ","")&amp;",")))=0)),IF(CK148="",TRUE,IF(input_enews_audience="",FALSE,SUMPRODUCT(--ISNUMBER(SEARCH(","&amp;TRIM(TEXTSPLIT(CK148,","))&amp;",",","&amp;SUBSTITUTE(input_enews_audience," ","")&amp;",")))&gt;0)),IF(CM148="",TRUE,IF(input_enews_audience="",FALSE,SUMPRODUCT(--ISNUMBER(SEARCH(","&amp;TRIM(TEXTSPLIT(CM148,","))&amp;",",","&amp;SUBSTITUTE(input_enews_audience," ","")&amp;",")))=COUNTA(TEXTSPLIT(CM148,",")))))</f>
        <v/>
      </c>
      <c r="JB148">
        <f>AND(IF(CO148="",TRUE,IF(input_event_location="",FALSE,SUMPRODUCT(--ISNUMBER(SEARCH(","&amp;TRIM(TEXTSPLIT(CO148,","))&amp;",",","&amp;SUBSTITUTE(input_event_location," ","")&amp;",")))&gt;0)),IF(CQ148="",TRUE,IF(input_event_location="",FALSE,SUMPRODUCT(--ISNUMBER(SEARCH(","&amp;TRIM(TEXTSPLIT(CQ148,","))&amp;",",","&amp;SUBSTITUTE(input_event_location," ","")&amp;",")))=COUNTA(TEXTSPLIT(CQ148,",")))),IF(CS148="",TRUE,IF(input_event_location="",TRUE,SUMPRODUCT(--ISNUMBER(SEARCH(","&amp;TRIM(TEXTSPLIT(CS148,","))&amp;",",","&amp;SUBSTITUTE(input_event_location," ","")&amp;",")))=0)),IF(CU148="",TRUE,IF(input_event_location="",FALSE,SUMPRODUCT(--ISNUMBER(SEARCH(","&amp;TRIM(TEXTSPLIT(CU148,","))&amp;",",","&amp;SUBSTITUTE(input_event_location," ","")&amp;",")))&gt;0)),IF(CW148="",TRUE,IF(input_event_location="",FALSE,SUMPRODUCT(--ISNUMBER(SEARCH(","&amp;TRIM(TEXTSPLIT(CW148,","))&amp;",",","&amp;SUBSTITUTE(input_event_location," ","")&amp;",")))=COUNTA(TEXTSPLIT(CW148,",")))))</f>
        <v/>
      </c>
      <c r="JC148">
        <f>AND(IF(CY148="",TRUE,IF(input_event_type="",FALSE,SUMPRODUCT(--ISNUMBER(SEARCH(","&amp;TRIM(TEXTSPLIT(CY148,","))&amp;",",","&amp;SUBSTITUTE(input_event_type," ","")&amp;",")))&gt;0)),IF(DA148="",TRUE,IF(input_event_type="",FALSE,SUMPRODUCT(--ISNUMBER(SEARCH(","&amp;TRIM(TEXTSPLIT(DA148,","))&amp;",",","&amp;SUBSTITUTE(input_event_type," ","")&amp;",")))=COUNTA(TEXTSPLIT(DA148,",")))),IF(DC148="",TRUE,IF(input_event_type="",TRUE,SUMPRODUCT(--ISNUMBER(SEARCH(","&amp;TRIM(TEXTSPLIT(DC148,","))&amp;",",","&amp;SUBSTITUTE(input_event_type," ","")&amp;",")))=0)),IF(DE148="",TRUE,IF(input_event_type="",FALSE,SUMPRODUCT(--ISNUMBER(SEARCH(","&amp;TRIM(TEXTSPLIT(DE148,","))&amp;",",","&amp;SUBSTITUTE(input_event_type," ","")&amp;",")))&gt;0)),IF(DG148="",TRUE,IF(input_event_type="",FALSE,SUMPRODUCT(--ISNUMBER(SEARCH(","&amp;TRIM(TEXTSPLIT(DG148,","))&amp;",",","&amp;SUBSTITUTE(input_event_type," ","")&amp;",")))=COUNTA(TEXTSPLIT(DG148,",")))))</f>
        <v/>
      </c>
      <c r="JD148">
        <f>AND(IF(DI148="",TRUE,IF(input_executive_education_focus="",FALSE,SUMPRODUCT(--ISNUMBER(SEARCH(","&amp;TRIM(TEXTSPLIT(DI148,","))&amp;",",","&amp;SUBSTITUTE(input_executive_education_focus," ","")&amp;",")))&gt;0)),IF(DK148="",TRUE,IF(input_executive_education_focus="",FALSE,SUMPRODUCT(--ISNUMBER(SEARCH(","&amp;TRIM(TEXTSPLIT(DK148,","))&amp;",",","&amp;SUBSTITUTE(input_executive_education_focus," ","")&amp;",")))=COUNTA(TEXTSPLIT(DK148,",")))),IF(DM148="",TRUE,IF(input_executive_education_focus="",TRUE,SUMPRODUCT(--ISNUMBER(SEARCH(","&amp;TRIM(TEXTSPLIT(DM148,","))&amp;",",","&amp;SUBSTITUTE(input_executive_education_focus," ","")&amp;",")))=0)),IF(DO148="",TRUE,IF(input_executive_education_focus="",FALSE,SUMPRODUCT(--ISNUMBER(SEARCH(","&amp;TRIM(TEXTSPLIT(DO148,","))&amp;",",","&amp;SUBSTITUTE(input_executive_education_focus," ","")&amp;",")))&gt;0)),IF(DQ148="",TRUE,IF(input_executive_education_focus="",FALSE,SUMPRODUCT(--ISNUMBER(SEARCH(","&amp;TRIM(TEXTSPLIT(DQ148,","))&amp;",",","&amp;SUBSTITUTE(input_executive_education_focus," ","")&amp;",")))=COUNTA(TEXTSPLIT(DQ148,",")))))</f>
        <v/>
      </c>
      <c r="JE148">
        <f>AND(IF(DS148="",TRUE,IF(input_faculty_category="",FALSE,SUMPRODUCT(--ISNUMBER(SEARCH(","&amp;TRIM(TEXTSPLIT(DS148,","))&amp;",",","&amp;SUBSTITUTE(input_faculty_category," ","")&amp;",")))&gt;0)),IF(DU148="",TRUE,IF(input_faculty_category="",FALSE,SUMPRODUCT(--ISNUMBER(SEARCH(","&amp;TRIM(TEXTSPLIT(DU148,","))&amp;",",","&amp;SUBSTITUTE(input_faculty_category," ","")&amp;",")))=COUNTA(TEXTSPLIT(DU148,",")))),IF(DW148="",TRUE,IF(input_faculty_category="",TRUE,SUMPRODUCT(--ISNUMBER(SEARCH(","&amp;TRIM(TEXTSPLIT(DW148,","))&amp;",",","&amp;SUBSTITUTE(input_faculty_category," ","")&amp;",")))=0)),IF(DY148="",TRUE,IF(input_faculty_category="",FALSE,SUMPRODUCT(--ISNUMBER(SEARCH(","&amp;TRIM(TEXTSPLIT(DY148,","))&amp;",",","&amp;SUBSTITUTE(input_faculty_category," ","")&amp;",")))&gt;0)),IF(EA148="",TRUE,IF(input_faculty_category="",FALSE,SUMPRODUCT(--ISNUMBER(SEARCH(","&amp;TRIM(TEXTSPLIT(EA148,","))&amp;",",","&amp;SUBSTITUTE(input_faculty_category," ","")&amp;",")))=COUNTA(TEXTSPLIT(EA148,",")))))</f>
        <v/>
      </c>
      <c r="JF148">
        <f>AND(IF(EC148="",TRUE,IF(input_faculty_discipline="",FALSE,SUMPRODUCT(--ISNUMBER(SEARCH(","&amp;TRIM(TEXTSPLIT(EC148,","))&amp;",",","&amp;SUBSTITUTE(input_faculty_discipline," ","")&amp;",")))&gt;0)),IF(EE148="",TRUE,IF(input_faculty_discipline="",FALSE,SUMPRODUCT(--ISNUMBER(SEARCH(","&amp;TRIM(TEXTSPLIT(EE148,","))&amp;",",","&amp;SUBSTITUTE(input_faculty_discipline," ","")&amp;",")))=COUNTA(TEXTSPLIT(EE148,",")))),IF(EG148="",TRUE,IF(input_faculty_discipline="",TRUE,SUMPRODUCT(--ISNUMBER(SEARCH(","&amp;TRIM(TEXTSPLIT(EG148,","))&amp;",",","&amp;SUBSTITUTE(input_faculty_discipline," ","")&amp;",")))=0)),IF(EI148="",TRUE,IF(input_faculty_discipline="",FALSE,SUMPRODUCT(--ISNUMBER(SEARCH(","&amp;TRIM(TEXTSPLIT(EI148,","))&amp;",",","&amp;SUBSTITUTE(input_faculty_discipline," ","")&amp;",")))&gt;0)),IF(EK148="",TRUE,IF(input_faculty_discipline="",FALSE,SUMPRODUCT(--ISNUMBER(SEARCH(","&amp;TRIM(TEXTSPLIT(EK148,","))&amp;",",","&amp;SUBSTITUTE(input_faculty_discipline," ","")&amp;",")))=COUNTA(TEXTSPLIT(EK148,",")))))</f>
        <v/>
      </c>
      <c r="JG148">
        <f>AND(IF(EM148="",TRUE,IF(input_faculty_expertise="",FALSE,SUMPRODUCT(--ISNUMBER(SEARCH(","&amp;TRIM(TEXTSPLIT(EM148,","))&amp;",",","&amp;SUBSTITUTE(input_faculty_expertise," ","")&amp;",")))&gt;0)),IF(EO148="",TRUE,IF(input_faculty_expertise="",FALSE,SUMPRODUCT(--ISNUMBER(SEARCH(","&amp;TRIM(TEXTSPLIT(EO148,","))&amp;",",","&amp;SUBSTITUTE(input_faculty_expertise," ","")&amp;",")))=COUNTA(TEXTSPLIT(EO148,",")))),IF(EQ148="",TRUE,IF(input_faculty_expertise="",TRUE,SUMPRODUCT(--ISNUMBER(SEARCH(","&amp;TRIM(TEXTSPLIT(EQ148,","))&amp;",",","&amp;SUBSTITUTE(input_faculty_expertise," ","")&amp;",")))=0)),IF(ES148="",TRUE,IF(input_faculty_expertise="",FALSE,SUMPRODUCT(--ISNUMBER(SEARCH(","&amp;TRIM(TEXTSPLIT(ES148,","))&amp;",",","&amp;SUBSTITUTE(input_faculty_expertise," ","")&amp;",")))&gt;0)),IF(EU148="",TRUE,IF(input_faculty_expertise="",FALSE,SUMPRODUCT(--ISNUMBER(SEARCH(","&amp;TRIM(TEXTSPLIT(EU148,","))&amp;",",","&amp;SUBSTITUTE(input_faculty_expertise," ","")&amp;",")))=COUNTA(TEXTSPLIT(EU148,",")))))</f>
        <v/>
      </c>
      <c r="JH148">
        <f>AND(IF(EW148="",TRUE,IF(input_global_network_school="",FALSE,SUMPRODUCT(--ISNUMBER(SEARCH(","&amp;TRIM(TEXTSPLIT(EW148,","))&amp;",",","&amp;SUBSTITUTE(input_global_network_school," ","")&amp;",")))&gt;0)),IF(EY148="",TRUE,IF(input_global_network_school="",FALSE,SUMPRODUCT(--ISNUMBER(SEARCH(","&amp;TRIM(TEXTSPLIT(EY148,","))&amp;",",","&amp;SUBSTITUTE(input_global_network_school," ","")&amp;",")))=COUNTA(TEXTSPLIT(EY148,",")))),IF(FA148="",TRUE,IF(input_global_network_school="",TRUE,SUMPRODUCT(--ISNUMBER(SEARCH(","&amp;TRIM(TEXTSPLIT(FA148,","))&amp;",",","&amp;SUBSTITUTE(input_global_network_school," ","")&amp;",")))=0)),IF(FC148="",TRUE,IF(input_global_network_school="",FALSE,SUMPRODUCT(--ISNUMBER(SEARCH(","&amp;TRIM(TEXTSPLIT(FC148,","))&amp;",",","&amp;SUBSTITUTE(input_global_network_school," ","")&amp;",")))&gt;0)),IF(FE148="",TRUE,IF(input_global_network_school="",FALSE,SUMPRODUCT(--ISNUMBER(SEARCH(","&amp;TRIM(TEXTSPLIT(FE148,","))&amp;",",","&amp;SUBSTITUTE(input_global_network_school," ","")&amp;",")))=COUNTA(TEXTSPLIT(FE148,",")))))</f>
        <v/>
      </c>
      <c r="JI148">
        <f>AND(IF(FG148="",TRUE,IF(input_industry="",FALSE,SUMPRODUCT(--ISNUMBER(SEARCH(","&amp;TRIM(TEXTSPLIT(FG148,","))&amp;",",","&amp;SUBSTITUTE(input_industry," ","")&amp;",")))&gt;0)),IF(FI148="",TRUE,IF(input_industry="",FALSE,SUMPRODUCT(--ISNUMBER(SEARCH(","&amp;TRIM(TEXTSPLIT(FI148,","))&amp;",",","&amp;SUBSTITUTE(input_industry," ","")&amp;",")))=COUNTA(TEXTSPLIT(FI148,",")))),IF(FK148="",TRUE,IF(input_industry="",TRUE,SUMPRODUCT(--ISNUMBER(SEARCH(","&amp;TRIM(TEXTSPLIT(FK148,","))&amp;",",","&amp;SUBSTITUTE(input_industry," ","")&amp;",")))=0)),IF(FM148="",TRUE,IF(input_industry="",FALSE,SUMPRODUCT(--ISNUMBER(SEARCH(","&amp;TRIM(TEXTSPLIT(FM148,","))&amp;",",","&amp;SUBSTITUTE(input_industry," ","")&amp;",")))&gt;0)),IF(FO148="",TRUE,IF(input_industry="",FALSE,SUMPRODUCT(--ISNUMBER(SEARCH(","&amp;TRIM(TEXTSPLIT(FO148,","))&amp;",",","&amp;SUBSTITUTE(input_industry," ","")&amp;",")))=COUNTA(TEXTSPLIT(FO148,",")))))</f>
        <v/>
      </c>
      <c r="JJ148">
        <f>AND(IF(FQ148="",TRUE,IF(input_location="",FALSE,SUMPRODUCT(--ISNUMBER(SEARCH(","&amp;TRIM(TEXTSPLIT(FQ148,","))&amp;",",","&amp;SUBSTITUTE(input_location," ","")&amp;",")))&gt;0)),IF(FS148="",TRUE,IF(input_location="",FALSE,SUMPRODUCT(--ISNUMBER(SEARCH(","&amp;TRIM(TEXTSPLIT(FS148,","))&amp;",",","&amp;SUBSTITUTE(input_location," ","")&amp;",")))=COUNTA(TEXTSPLIT(FS148,",")))),IF(FU148="",TRUE,IF(input_location="",TRUE,SUMPRODUCT(--ISNUMBER(SEARCH(","&amp;TRIM(TEXTSPLIT(FU148,","))&amp;",",","&amp;SUBSTITUTE(input_location," ","")&amp;",")))=0)),IF(FW148="",TRUE,IF(input_location="",FALSE,SUMPRODUCT(--ISNUMBER(SEARCH(","&amp;TRIM(TEXTSPLIT(FW148,","))&amp;",",","&amp;SUBSTITUTE(input_location," ","")&amp;",")))&gt;0)),IF(FY148="",TRUE,IF(input_location="",FALSE,SUMPRODUCT(--ISNUMBER(SEARCH(","&amp;TRIM(TEXTSPLIT(FY148,","))&amp;",",","&amp;SUBSTITUTE(input_location," ","")&amp;",")))=COUNTA(TEXTSPLIT(FY148,",")))))</f>
        <v/>
      </c>
      <c r="JK148">
        <f>AND(IF(GA148="",TRUE,IF(input_modality="",FALSE,SUMPRODUCT(--ISNUMBER(SEARCH(","&amp;TRIM(TEXTSPLIT(GA148,","))&amp;",",","&amp;SUBSTITUTE(input_modality," ","")&amp;",")))&gt;0)),IF(GC148="",TRUE,IF(input_modality="",FALSE,SUMPRODUCT(--ISNUMBER(SEARCH(","&amp;TRIM(TEXTSPLIT(GC148,","))&amp;",",","&amp;SUBSTITUTE(input_modality," ","")&amp;",")))=COUNTA(TEXTSPLIT(GC148,",")))),IF(GE148="",TRUE,IF(input_modality="",TRUE,SUMPRODUCT(--ISNUMBER(SEARCH(","&amp;TRIM(TEXTSPLIT(GE148,","))&amp;",",","&amp;SUBSTITUTE(input_modality," ","")&amp;",")))=0)),IF(GG148="",TRUE,IF(input_modality="",FALSE,SUMPRODUCT(--ISNUMBER(SEARCH(","&amp;TRIM(TEXTSPLIT(GG148,","))&amp;",",","&amp;SUBSTITUTE(input_modality," ","")&amp;",")))&gt;0)),IF(GI148="",TRUE,IF(input_modality="",FALSE,SUMPRODUCT(--ISNUMBER(SEARCH(","&amp;TRIM(TEXTSPLIT(GI148,","))&amp;",",","&amp;SUBSTITUTE(input_modality," ","")&amp;",")))=COUNTA(TEXTSPLIT(GI148,",")))))</f>
        <v/>
      </c>
      <c r="JL148">
        <f>AND(IF(GK148="",TRUE,IF(input_organizer="",FALSE,SUMPRODUCT(--ISNUMBER(SEARCH(","&amp;TRIM(TEXTSPLIT(GK148,","))&amp;",",","&amp;SUBSTITUTE(input_organizer," ","")&amp;",")))&gt;0)),IF(GM148="",TRUE,IF(input_organizer="",FALSE,SUMPRODUCT(--ISNUMBER(SEARCH(","&amp;TRIM(TEXTSPLIT(GM148,","))&amp;",",","&amp;SUBSTITUTE(input_organizer," ","")&amp;",")))=COUNTA(TEXTSPLIT(GM148,",")))),IF(GO148="",TRUE,IF(input_organizer="",TRUE,SUMPRODUCT(--ISNUMBER(SEARCH(","&amp;TRIM(TEXTSPLIT(GO148,","))&amp;",",","&amp;SUBSTITUTE(input_organizer," ","")&amp;",")))=0)),IF(GQ148="",TRUE,IF(input_organizer="",FALSE,SUMPRODUCT(--ISNUMBER(SEARCH(","&amp;TRIM(TEXTSPLIT(GQ148,","))&amp;",",","&amp;SUBSTITUTE(input_organizer," ","")&amp;",")))&gt;0)),IF(GS148="",TRUE,IF(input_organizer="",FALSE,SUMPRODUCT(--ISNUMBER(SEARCH(","&amp;TRIM(TEXTSPLIT(GS148,","))&amp;",",","&amp;SUBSTITUTE(input_organizer," ","")&amp;",")))=COUNTA(TEXTSPLIT(GS148,",")))))</f>
        <v/>
      </c>
      <c r="JM148">
        <f>AND(IF(GU148="",TRUE,IF(input_profile_type="",FALSE,SUMPRODUCT(--ISNUMBER(SEARCH(","&amp;TRIM(TEXTSPLIT(GU148,","))&amp;",",","&amp;SUBSTITUTE(input_profile_type," ","")&amp;",")))&gt;0)),IF(GW148="",TRUE,IF(input_profile_type="",FALSE,SUMPRODUCT(--ISNUMBER(SEARCH(","&amp;TRIM(TEXTSPLIT(GW148,","))&amp;",",","&amp;SUBSTITUTE(input_profile_type," ","")&amp;",")))=COUNTA(TEXTSPLIT(GW148,",")))),IF(GY148="",TRUE,IF(input_profile_type="",TRUE,SUMPRODUCT(--ISNUMBER(SEARCH(","&amp;TRIM(TEXTSPLIT(GY148,","))&amp;",",","&amp;SUBSTITUTE(input_profile_type," ","")&amp;",")))=0)),IF(HA148="",TRUE,IF(input_profile_type="",FALSE,SUMPRODUCT(--ISNUMBER(SEARCH(","&amp;TRIM(TEXTSPLIT(HA148,","))&amp;",",","&amp;SUBSTITUTE(input_profile_type," ","")&amp;",")))&gt;0)),IF(HC148="",TRUE,IF(input_profile_type="",FALSE,SUMPRODUCT(--ISNUMBER(SEARCH(","&amp;TRIM(TEXTSPLIT(HC148,","))&amp;",",","&amp;SUBSTITUTE(input_profile_type," ","")&amp;",")))=COUNTA(TEXTSPLIT(HC148,",")))))</f>
        <v/>
      </c>
      <c r="JN148">
        <f>AND(IF(HE148="",TRUE,IF(input_program="",FALSE,SUMPRODUCT(--ISNUMBER(SEARCH(","&amp;TRIM(TEXTSPLIT(HE148,","))&amp;",",","&amp;SUBSTITUTE(input_program," ","")&amp;",")))&gt;0)),IF(HG148="",TRUE,IF(input_program="",FALSE,SUMPRODUCT(--ISNUMBER(SEARCH(","&amp;TRIM(TEXTSPLIT(HG148,","))&amp;",",","&amp;SUBSTITUTE(input_program," ","")&amp;",")))=COUNTA(TEXTSPLIT(HG148,",")))),IF(HI148="",TRUE,IF(input_program="",TRUE,SUMPRODUCT(--ISNUMBER(SEARCH(","&amp;TRIM(TEXTSPLIT(HI148,","))&amp;",",","&amp;SUBSTITUTE(input_program," ","")&amp;",")))=0)),IF(HK148="",TRUE,IF(input_program="",FALSE,SUMPRODUCT(--ISNUMBER(SEARCH(","&amp;TRIM(TEXTSPLIT(HK148,","))&amp;",",","&amp;SUBSTITUTE(input_program," ","")&amp;",")))&gt;0)),IF(HM148="",TRUE,IF(input_program="",FALSE,SUMPRODUCT(--ISNUMBER(SEARCH(","&amp;TRIM(TEXTSPLIT(HM148,","))&amp;",",","&amp;SUBSTITUTE(input_program," ","")&amp;",")))=COUNTA(TEXTSPLIT(HM148,",")))))</f>
        <v/>
      </c>
      <c r="JO148">
        <f>AND(IF(HO148="",TRUE,IF(input_story_categories="",FALSE,SUMPRODUCT(--ISNUMBER(SEARCH(","&amp;TRIM(TEXTSPLIT(HO148,","))&amp;",",","&amp;SUBSTITUTE(input_story_categories," ","")&amp;",")))&gt;0)),IF(HQ148="",TRUE,IF(input_story_categories="",FALSE,SUMPRODUCT(--ISNUMBER(SEARCH(","&amp;TRIM(TEXTSPLIT(HQ148,","))&amp;",",","&amp;SUBSTITUTE(input_story_categories," ","")&amp;",")))=COUNTA(TEXTSPLIT(HQ148,",")))),IF(HS148="",TRUE,IF(input_story_categories="",TRUE,SUMPRODUCT(--ISNUMBER(SEARCH(","&amp;TRIM(TEXTSPLIT(HS148,","))&amp;",",","&amp;SUBSTITUTE(input_story_categories," ","")&amp;",")))=0)),IF(HU148="",TRUE,IF(input_story_categories="",FALSE,SUMPRODUCT(--ISNUMBER(SEARCH(","&amp;TRIM(TEXTSPLIT(HU148,","))&amp;",",","&amp;SUBSTITUTE(input_story_categories," ","")&amp;",")))&gt;0)),IF(HW148="",TRUE,IF(input_story_categories="",FALSE,SUMPRODUCT(--ISNUMBER(SEARCH(","&amp;TRIM(TEXTSPLIT(HW148,","))&amp;",",","&amp;SUBSTITUTE(input_story_categories," ","")&amp;",")))=COUNTA(TEXTSPLIT(HW148,",")))))</f>
        <v/>
      </c>
      <c r="JP148">
        <f>AND(IF(HY148="",TRUE,IF(input_story_type="",FALSE,SUMPRODUCT(--ISNUMBER(SEARCH(","&amp;TRIM(TEXTSPLIT(HY148,","))&amp;",",","&amp;SUBSTITUTE(input_story_type," ","")&amp;",")))&gt;0)),IF(IA148="",TRUE,IF(input_story_type="",FALSE,SUMPRODUCT(--ISNUMBER(SEARCH(","&amp;TRIM(TEXTSPLIT(IA148,","))&amp;",",","&amp;SUBSTITUTE(input_story_type," ","")&amp;",")))=COUNTA(TEXTSPLIT(IA148,",")))),IF(IC148="",TRUE,IF(input_story_type="",TRUE,SUMPRODUCT(--ISNUMBER(SEARCH(","&amp;TRIM(TEXTSPLIT(IC148,","))&amp;",",","&amp;SUBSTITUTE(input_story_type," ","")&amp;",")))=0)),IF(IE148="",TRUE,IF(input_story_type="",FALSE,SUMPRODUCT(--ISNUMBER(SEARCH(","&amp;TRIM(TEXTSPLIT(IE148,","))&amp;",",","&amp;SUBSTITUTE(input_story_type," ","")&amp;",")))&gt;0)),IF(IG148="",TRUE,IF(input_story_type="",FALSE,SUMPRODUCT(--ISNUMBER(SEARCH(","&amp;TRIM(TEXTSPLIT(IG148,","))&amp;",",","&amp;SUBSTITUTE(input_story_type," ","")&amp;",")))=COUNTA(TEXTSPLIT(IG148,",")))))</f>
        <v/>
      </c>
      <c r="JQ148">
        <f>AND(IF(II148="",TRUE,IF(input_topics="",FALSE,SUMPRODUCT(--ISNUMBER(SEARCH(","&amp;TRIM(TEXTSPLIT(II148,","))&amp;",",","&amp;SUBSTITUTE(input_topics," ","")&amp;",")))&gt;0)),IF(IK148="",TRUE,IF(input_topics="",FALSE,SUMPRODUCT(--ISNUMBER(SEARCH(","&amp;TRIM(TEXTSPLIT(IK148,","))&amp;",",","&amp;SUBSTITUTE(input_topics," ","")&amp;",")))=COUNTA(TEXTSPLIT(IK148,",")))),IF(IM148="",TRUE,IF(input_topics="",TRUE,SUMPRODUCT(--ISNUMBER(SEARCH(","&amp;TRIM(TEXTSPLIT(IM148,","))&amp;",",","&amp;SUBSTITUTE(input_topics," ","")&amp;",")))=0)),IF(IO148="",TRUE,IF(input_topics="",FALSE,SUMPRODUCT(--ISNUMBER(SEARCH(","&amp;TRIM(TEXTSPLIT(IO148,","))&amp;",",","&amp;SUBSTITUTE(input_topics," ","")&amp;",")))&gt;0)),IF(IQ148="",TRUE,IF(input_topics="",FALSE,SUMPRODUCT(--ISNUMBER(SEARCH(","&amp;TRIM(TEXTSPLIT(IQ148,","))&amp;",",","&amp;SUBSTITUTE(input_topics," ","")&amp;",")))=COUNTA(TEXTSPLIT(IQ148,",")))))</f>
        <v/>
      </c>
    </row>
    <row r="149">
      <c r="A149" s="4">
        <f>IF(NOT(IS149),"Excluded",IF(AND(IT149,IU149,IV149,IW149,IX149,IY149,IZ149,JA149,JB149,JC149,JD149,JE149,JF149,JG149,JH149,JI149,JJ149,JK149,JL149,JM149,JN149,JO149,JP149,JQ149),IF(I149&gt;0,"Eligible but limited","Will appear"),"Excluded"))</f>
        <v/>
      </c>
      <c r="B149" s="4" t="inlineStr">
        <is>
          <t>PhD News</t>
        </is>
      </c>
      <c r="C149" s="4" t="inlineStr">
        <is>
          <t>/programs/phd/phd-news</t>
        </is>
      </c>
      <c r="D149" s="4" t="inlineStr">
        <is>
          <t>/programs/phd/phd-news</t>
        </is>
      </c>
      <c r="E149" s="4" t="n">
        <v>1</v>
      </c>
      <c r="F149" s="4" t="inlineStr">
        <is>
          <t>story</t>
        </is>
      </c>
      <c r="G149" s="4" t="inlineStr">
        <is>
          <t>stories_list</t>
        </is>
      </c>
      <c r="H149" s="4" t="inlineStr">
        <is>
          <t>embed_1</t>
        </is>
      </c>
      <c r="I149" s="4" t="n">
        <v>10</v>
      </c>
      <c r="J149" s="4" t="inlineStr">
        <is>
          <t>Explicit args</t>
        </is>
      </c>
      <c r="K149" s="4" t="inlineStr">
        <is>
          <t>Page placement</t>
        </is>
      </c>
      <c r="L149" s="4" t="inlineStr">
        <is>
          <t>Content type: story; Context uses Courses Context: Faculty (1592), Doctoral Programs (962); Limited to 10 item(s); Source: Explicit args</t>
        </is>
      </c>
      <c r="M149" t="inlineStr"/>
      <c r="N149" t="inlineStr"/>
      <c r="O149" t="inlineStr"/>
      <c r="P149" t="inlineStr"/>
      <c r="Q149" t="inlineStr"/>
      <c r="R149" t="inlineStr"/>
      <c r="S149" t="inlineStr"/>
      <c r="T149" t="inlineStr"/>
      <c r="U149" t="inlineStr"/>
      <c r="V149" t="inlineStr"/>
      <c r="W149" t="inlineStr"/>
      <c r="X149" t="inlineStr"/>
      <c r="Y149" t="inlineStr"/>
      <c r="Z149" t="inlineStr"/>
      <c r="AA149" t="inlineStr"/>
      <c r="AB149" t="inlineStr"/>
      <c r="AC149" t="inlineStr"/>
      <c r="AD149" t="inlineStr"/>
      <c r="AE149" t="inlineStr"/>
      <c r="AF149" t="inlineStr"/>
      <c r="AG149" t="inlineStr"/>
      <c r="AH149" t="inlineStr"/>
      <c r="AI149" t="inlineStr"/>
      <c r="AJ149" t="inlineStr"/>
      <c r="AK149" t="inlineStr"/>
      <c r="AL149" t="inlineStr"/>
      <c r="AM149" t="inlineStr"/>
      <c r="AN149" t="inlineStr"/>
      <c r="AO149" t="inlineStr"/>
      <c r="AP149" t="inlineStr"/>
      <c r="AQ149" t="inlineStr"/>
      <c r="AR149" t="inlineStr"/>
      <c r="AS149" t="inlineStr"/>
      <c r="AT149" t="inlineStr"/>
      <c r="AU149" t="inlineStr"/>
      <c r="AV149" t="inlineStr"/>
      <c r="AW149" t="inlineStr"/>
      <c r="AX149" t="inlineStr"/>
      <c r="AY149" t="inlineStr"/>
      <c r="AZ149" t="inlineStr"/>
      <c r="BA149" t="inlineStr"/>
      <c r="BB149" t="inlineStr"/>
      <c r="BC149" t="inlineStr"/>
      <c r="BD149" t="inlineStr"/>
      <c r="BE149" t="inlineStr"/>
      <c r="BF149" t="inlineStr"/>
      <c r="BG149" t="inlineStr"/>
      <c r="BH149" t="inlineStr"/>
      <c r="BI149" t="inlineStr"/>
      <c r="BJ149" t="inlineStr"/>
      <c r="BK149" t="inlineStr"/>
      <c r="BL149" t="inlineStr"/>
      <c r="BM149" t="inlineStr"/>
      <c r="BN149" t="inlineStr"/>
      <c r="BO149" t="inlineStr"/>
      <c r="BP149" t="inlineStr"/>
      <c r="BQ149" t="inlineStr">
        <is>
          <t>1592, 962</t>
        </is>
      </c>
      <c r="BR149" t="inlineStr">
        <is>
          <t>Faculty (1592), Doctoral Programs (962)</t>
        </is>
      </c>
      <c r="BS149" t="inlineStr"/>
      <c r="BT149" t="inlineStr"/>
      <c r="BU149" t="inlineStr"/>
      <c r="BV149" t="inlineStr"/>
      <c r="BW149" t="inlineStr"/>
      <c r="BX149" t="inlineStr"/>
      <c r="BY149" t="inlineStr"/>
      <c r="BZ149" t="inlineStr"/>
      <c r="CA149" t="inlineStr"/>
      <c r="CB149" t="inlineStr"/>
      <c r="CC149" t="inlineStr"/>
      <c r="CD149" t="inlineStr"/>
      <c r="CE149" t="inlineStr"/>
      <c r="CF149" t="inlineStr"/>
      <c r="CG149" t="inlineStr"/>
      <c r="CH149" t="inlineStr"/>
      <c r="CI149" t="inlineStr"/>
      <c r="CJ149" t="inlineStr"/>
      <c r="CK149" t="inlineStr"/>
      <c r="CL149" t="inlineStr"/>
      <c r="CM149" t="inlineStr"/>
      <c r="CN149" t="inlineStr"/>
      <c r="CO149" t="inlineStr"/>
      <c r="CP149" t="inlineStr"/>
      <c r="CQ149" t="inlineStr"/>
      <c r="CR149" t="inlineStr"/>
      <c r="CS149" t="inlineStr"/>
      <c r="CT149" t="inlineStr"/>
      <c r="CU149" t="inlineStr"/>
      <c r="CV149" t="inlineStr"/>
      <c r="CW149" t="inlineStr"/>
      <c r="CX149" t="inlineStr"/>
      <c r="CY149" t="inlineStr"/>
      <c r="CZ149" t="inlineStr"/>
      <c r="DA149" t="inlineStr"/>
      <c r="DB149" t="inlineStr"/>
      <c r="DC149" t="inlineStr"/>
      <c r="DD149" t="inlineStr"/>
      <c r="DE149" t="inlineStr"/>
      <c r="DF149" t="inlineStr"/>
      <c r="DG149" t="inlineStr"/>
      <c r="DH149" t="inlineStr"/>
      <c r="DI149" t="inlineStr"/>
      <c r="DJ149" t="inlineStr"/>
      <c r="DK149" t="inlineStr"/>
      <c r="DL149" t="inlineStr"/>
      <c r="DM149" t="inlineStr"/>
      <c r="DN149" t="inlineStr"/>
      <c r="DO149" t="inlineStr"/>
      <c r="DP149" t="inlineStr"/>
      <c r="DQ149" t="inlineStr"/>
      <c r="DR149" t="inlineStr"/>
      <c r="DS149" t="inlineStr"/>
      <c r="DT149" t="inlineStr"/>
      <c r="DU149" t="inlineStr"/>
      <c r="DV149" t="inlineStr"/>
      <c r="DW149" t="inlineStr"/>
      <c r="DX149" t="inlineStr"/>
      <c r="DY149" t="inlineStr"/>
      <c r="DZ149" t="inlineStr"/>
      <c r="EA149" t="inlineStr"/>
      <c r="EB149" t="inlineStr"/>
      <c r="EC149" t="inlineStr"/>
      <c r="ED149" t="inlineStr"/>
      <c r="EE149" t="inlineStr"/>
      <c r="EF149" t="inlineStr"/>
      <c r="EG149" t="inlineStr"/>
      <c r="EH149" t="inlineStr"/>
      <c r="EI149" t="inlineStr"/>
      <c r="EJ149" t="inlineStr"/>
      <c r="EK149" t="inlineStr"/>
      <c r="EL149" t="inlineStr"/>
      <c r="EM149" t="inlineStr"/>
      <c r="EN149" t="inlineStr"/>
      <c r="EO149" t="inlineStr"/>
      <c r="EP149" t="inlineStr"/>
      <c r="EQ149" t="inlineStr"/>
      <c r="ER149" t="inlineStr"/>
      <c r="ES149" t="inlineStr"/>
      <c r="ET149" t="inlineStr"/>
      <c r="EU149" t="inlineStr"/>
      <c r="EV149" t="inlineStr"/>
      <c r="EW149" t="inlineStr"/>
      <c r="EX149" t="inlineStr"/>
      <c r="EY149" t="inlineStr"/>
      <c r="EZ149" t="inlineStr"/>
      <c r="FA149" t="inlineStr"/>
      <c r="FB149" t="inlineStr"/>
      <c r="FC149" t="inlineStr"/>
      <c r="FD149" t="inlineStr"/>
      <c r="FE149" t="inlineStr"/>
      <c r="FF149" t="inlineStr"/>
      <c r="FG149" t="inlineStr"/>
      <c r="FH149" t="inlineStr"/>
      <c r="FI149" t="inlineStr"/>
      <c r="FJ149" t="inlineStr"/>
      <c r="FK149" t="inlineStr"/>
      <c r="FL149" t="inlineStr"/>
      <c r="FM149" t="inlineStr"/>
      <c r="FN149" t="inlineStr"/>
      <c r="FO149" t="inlineStr"/>
      <c r="FP149" t="inlineStr"/>
      <c r="FQ149" t="inlineStr"/>
      <c r="FR149" t="inlineStr"/>
      <c r="FS149" t="inlineStr"/>
      <c r="FT149" t="inlineStr"/>
      <c r="FU149" t="inlineStr"/>
      <c r="FV149" t="inlineStr"/>
      <c r="FW149" t="inlineStr"/>
      <c r="FX149" t="inlineStr"/>
      <c r="FY149" t="inlineStr"/>
      <c r="FZ149" t="inlineStr"/>
      <c r="GA149" t="inlineStr"/>
      <c r="GB149" t="inlineStr"/>
      <c r="GC149" t="inlineStr"/>
      <c r="GD149" t="inlineStr"/>
      <c r="GE149" t="inlineStr"/>
      <c r="GF149" t="inlineStr"/>
      <c r="GG149" t="inlineStr"/>
      <c r="GH149" t="inlineStr"/>
      <c r="GI149" t="inlineStr"/>
      <c r="GJ149" t="inlineStr"/>
      <c r="GK149" t="inlineStr"/>
      <c r="GL149" t="inlineStr"/>
      <c r="GM149" t="inlineStr"/>
      <c r="GN149" t="inlineStr"/>
      <c r="GO149" t="inlineStr"/>
      <c r="GP149" t="inlineStr"/>
      <c r="GQ149" t="inlineStr"/>
      <c r="GR149" t="inlineStr"/>
      <c r="GS149" t="inlineStr"/>
      <c r="GT149" t="inlineStr"/>
      <c r="GU149" t="inlineStr"/>
      <c r="GV149" t="inlineStr"/>
      <c r="GW149" t="inlineStr"/>
      <c r="GX149" t="inlineStr"/>
      <c r="GY149" t="inlineStr"/>
      <c r="GZ149" t="inlineStr"/>
      <c r="HA149" t="inlineStr"/>
      <c r="HB149" t="inlineStr"/>
      <c r="HC149" t="inlineStr"/>
      <c r="HD149" t="inlineStr"/>
      <c r="HE149" t="inlineStr"/>
      <c r="HF149" t="inlineStr"/>
      <c r="HG149" t="inlineStr"/>
      <c r="HH149" t="inlineStr"/>
      <c r="HI149" t="inlineStr"/>
      <c r="HJ149" t="inlineStr"/>
      <c r="HK149" t="inlineStr"/>
      <c r="HL149" t="inlineStr"/>
      <c r="HM149" t="inlineStr"/>
      <c r="HN149" t="inlineStr"/>
      <c r="HO149" t="inlineStr"/>
      <c r="HP149" t="inlineStr"/>
      <c r="HQ149" t="inlineStr"/>
      <c r="HR149" t="inlineStr"/>
      <c r="HS149" t="inlineStr"/>
      <c r="HT149" t="inlineStr"/>
      <c r="HU149" t="inlineStr"/>
      <c r="HV149" t="inlineStr"/>
      <c r="HW149" t="inlineStr"/>
      <c r="HX149" t="inlineStr"/>
      <c r="HY149" t="inlineStr"/>
      <c r="HZ149" t="inlineStr"/>
      <c r="IA149" t="inlineStr"/>
      <c r="IB149" t="inlineStr"/>
      <c r="IC149" t="inlineStr"/>
      <c r="ID149" t="inlineStr"/>
      <c r="IE149" t="inlineStr"/>
      <c r="IF149" t="inlineStr"/>
      <c r="IG149" t="inlineStr"/>
      <c r="IH149" t="inlineStr"/>
      <c r="II149" t="inlineStr"/>
      <c r="IJ149" t="inlineStr"/>
      <c r="IK149" t="inlineStr"/>
      <c r="IL149" t="inlineStr"/>
      <c r="IM149" t="inlineStr"/>
      <c r="IN149" t="inlineStr"/>
      <c r="IO149" t="inlineStr"/>
      <c r="IP149" t="inlineStr"/>
      <c r="IQ149" t="inlineStr"/>
      <c r="IR149" t="inlineStr"/>
      <c r="IS149">
        <f>IF(input_content_type="",FALSE,ISNUMBER(SEARCH(","&amp;LOWER(input_content_type)&amp;",",","&amp;LOWER(F149)&amp;",")))</f>
        <v/>
      </c>
      <c r="IT149">
        <f>AND(IF(M149="",TRUE,IF(input_affiliations="",FALSE,SUMPRODUCT(--ISNUMBER(SEARCH(","&amp;TRIM(TEXTSPLIT(M149,","))&amp;",",","&amp;SUBSTITUTE(input_affiliations," ","")&amp;",")))&gt;0)),IF(O149="",TRUE,IF(input_affiliations="",FALSE,SUMPRODUCT(--ISNUMBER(SEARCH(","&amp;TRIM(TEXTSPLIT(O149,","))&amp;",",","&amp;SUBSTITUTE(input_affiliations," ","")&amp;",")))=COUNTA(TEXTSPLIT(O149,",")))),IF(Q149="",TRUE,IF(input_affiliations="",TRUE,SUMPRODUCT(--ISNUMBER(SEARCH(","&amp;TRIM(TEXTSPLIT(Q149,","))&amp;",",","&amp;SUBSTITUTE(input_affiliations," ","")&amp;",")))=0)),IF(S149="",TRUE,IF(input_affiliations="",FALSE,SUMPRODUCT(--ISNUMBER(SEARCH(","&amp;TRIM(TEXTSPLIT(S149,","))&amp;",",","&amp;SUBSTITUTE(input_affiliations," ","")&amp;",")))&gt;0)),IF(U149="",TRUE,IF(input_affiliations="",FALSE,SUMPRODUCT(--ISNUMBER(SEARCH(","&amp;TRIM(TEXTSPLIT(U149,","))&amp;",",","&amp;SUBSTITUTE(input_affiliations," ","")&amp;",")))=COUNTA(TEXTSPLIT(U149,",")))))</f>
        <v/>
      </c>
      <c r="IU149">
        <f>AND(IF(W149="",TRUE,IF(input_announcement_category="",FALSE,SUMPRODUCT(--ISNUMBER(SEARCH(","&amp;TRIM(TEXTSPLIT(W149,","))&amp;",",","&amp;SUBSTITUTE(input_announcement_category," ","")&amp;",")))&gt;0)),IF(Y149="",TRUE,IF(input_announcement_category="",FALSE,SUMPRODUCT(--ISNUMBER(SEARCH(","&amp;TRIM(TEXTSPLIT(Y149,","))&amp;",",","&amp;SUBSTITUTE(input_announcement_category," ","")&amp;",")))=COUNTA(TEXTSPLIT(Y149,",")))),IF(AA149="",TRUE,IF(input_announcement_category="",TRUE,SUMPRODUCT(--ISNUMBER(SEARCH(","&amp;TRIM(TEXTSPLIT(AA149,","))&amp;",",","&amp;SUBSTITUTE(input_announcement_category," ","")&amp;",")))=0)),IF(AC149="",TRUE,IF(input_announcement_category="",FALSE,SUMPRODUCT(--ISNUMBER(SEARCH(","&amp;TRIM(TEXTSPLIT(AC149,","))&amp;",",","&amp;SUBSTITUTE(input_announcement_category," ","")&amp;",")))&gt;0)),IF(AE149="",TRUE,IF(input_announcement_category="",FALSE,SUMPRODUCT(--ISNUMBER(SEARCH(","&amp;TRIM(TEXTSPLIT(AE149,","))&amp;",",","&amp;SUBSTITUTE(input_announcement_category," ","")&amp;",")))=COUNTA(TEXTSPLIT(AE149,",")))))</f>
        <v/>
      </c>
      <c r="IV149">
        <f>AND(IF(AG149="",TRUE,IF(input_area_of_focus="",FALSE,SUMPRODUCT(--ISNUMBER(SEARCH(","&amp;TRIM(TEXTSPLIT(AG149,","))&amp;",",","&amp;SUBSTITUTE(input_area_of_focus," ","")&amp;",")))&gt;0)),IF(AI149="",TRUE,IF(input_area_of_focus="",FALSE,SUMPRODUCT(--ISNUMBER(SEARCH(","&amp;TRIM(TEXTSPLIT(AI149,","))&amp;",",","&amp;SUBSTITUTE(input_area_of_focus," ","")&amp;",")))=COUNTA(TEXTSPLIT(AI149,",")))),IF(AK149="",TRUE,IF(input_area_of_focus="",TRUE,SUMPRODUCT(--ISNUMBER(SEARCH(","&amp;TRIM(TEXTSPLIT(AK149,","))&amp;",",","&amp;SUBSTITUTE(input_area_of_focus," ","")&amp;",")))=0)),IF(AM149="",TRUE,IF(input_area_of_focus="",FALSE,SUMPRODUCT(--ISNUMBER(SEARCH(","&amp;TRIM(TEXTSPLIT(AM149,","))&amp;",",","&amp;SUBSTITUTE(input_area_of_focus," ","")&amp;",")))&gt;0)),IF(AO149="",TRUE,IF(input_area_of_focus="",FALSE,SUMPRODUCT(--ISNUMBER(SEARCH(","&amp;TRIM(TEXTSPLIT(AO149,","))&amp;",",","&amp;SUBSTITUTE(input_area_of_focus," ","")&amp;",")))=COUNTA(TEXTSPLIT(AO149,",")))))</f>
        <v/>
      </c>
      <c r="IW149">
        <f>AND(IF(AQ149="",TRUE,IF(input_audience="",FALSE,SUMPRODUCT(--ISNUMBER(SEARCH(","&amp;TRIM(TEXTSPLIT(AQ149,","))&amp;",",","&amp;SUBSTITUTE(input_audience," ","")&amp;",")))&gt;0)),IF(AS149="",TRUE,IF(input_audience="",FALSE,SUMPRODUCT(--ISNUMBER(SEARCH(","&amp;TRIM(TEXTSPLIT(AS149,","))&amp;",",","&amp;SUBSTITUTE(input_audience," ","")&amp;",")))=COUNTA(TEXTSPLIT(AS149,",")))),IF(AU149="",TRUE,IF(input_audience="",TRUE,SUMPRODUCT(--ISNUMBER(SEARCH(","&amp;TRIM(TEXTSPLIT(AU149,","))&amp;",",","&amp;SUBSTITUTE(input_audience," ","")&amp;",")))=0)),IF(AW149="",TRUE,IF(input_audience="",FALSE,SUMPRODUCT(--ISNUMBER(SEARCH(","&amp;TRIM(TEXTSPLIT(AW149,","))&amp;",",","&amp;SUBSTITUTE(input_audience," ","")&amp;",")))&gt;0)),IF(AY149="",TRUE,IF(input_audience="",FALSE,SUMPRODUCT(--ISNUMBER(SEARCH(","&amp;TRIM(TEXTSPLIT(AY149,","))&amp;",",","&amp;SUBSTITUTE(input_audience," ","")&amp;",")))=COUNTA(TEXTSPLIT(AY149,",")))))</f>
        <v/>
      </c>
      <c r="IX149">
        <f>AND(IF(BA149="",TRUE,IF(input_challenge_opportunities="",FALSE,SUMPRODUCT(--ISNUMBER(SEARCH(","&amp;TRIM(TEXTSPLIT(BA149,","))&amp;",",","&amp;SUBSTITUTE(input_challenge_opportunities," ","")&amp;",")))&gt;0)),IF(BC149="",TRUE,IF(input_challenge_opportunities="",FALSE,SUMPRODUCT(--ISNUMBER(SEARCH(","&amp;TRIM(TEXTSPLIT(BC149,","))&amp;",",","&amp;SUBSTITUTE(input_challenge_opportunities," ","")&amp;",")))=COUNTA(TEXTSPLIT(BC149,",")))),IF(BE149="",TRUE,IF(input_challenge_opportunities="",TRUE,SUMPRODUCT(--ISNUMBER(SEARCH(","&amp;TRIM(TEXTSPLIT(BE149,","))&amp;",",","&amp;SUBSTITUTE(input_challenge_opportunities," ","")&amp;",")))=0)),IF(BG149="",TRUE,IF(input_challenge_opportunities="",FALSE,SUMPRODUCT(--ISNUMBER(SEARCH(","&amp;TRIM(TEXTSPLIT(BG149,","))&amp;",",","&amp;SUBSTITUTE(input_challenge_opportunities," ","")&amp;",")))&gt;0)),IF(BI149="",TRUE,IF(input_challenge_opportunities="",FALSE,SUMPRODUCT(--ISNUMBER(SEARCH(","&amp;TRIM(TEXTSPLIT(BI149,","))&amp;",",","&amp;SUBSTITUTE(input_challenge_opportunities," ","")&amp;",")))=COUNTA(TEXTSPLIT(BI149,",")))))</f>
        <v/>
      </c>
      <c r="IY149">
        <f>AND(IF(BK149="",TRUE,IF(input_context="",FALSE,SUMPRODUCT(--ISNUMBER(SEARCH(","&amp;TRIM(TEXTSPLIT(BK149,","))&amp;",",","&amp;SUBSTITUTE(input_context," ","")&amp;",")))&gt;0)),IF(BM149="",TRUE,IF(input_context="",FALSE,SUMPRODUCT(--ISNUMBER(SEARCH(","&amp;TRIM(TEXTSPLIT(BM149,","))&amp;",",","&amp;SUBSTITUTE(input_context," ","")&amp;",")))=COUNTA(TEXTSPLIT(BM149,",")))),IF(BO149="",TRUE,IF(input_context="",TRUE,SUMPRODUCT(--ISNUMBER(SEARCH(","&amp;TRIM(TEXTSPLIT(BO149,","))&amp;",",","&amp;SUBSTITUTE(input_context," ","")&amp;",")))=0)),IF(BQ149="",TRUE,IF(input_context="",FALSE,SUMPRODUCT(--ISNUMBER(SEARCH(","&amp;TRIM(TEXTSPLIT(BQ149,","))&amp;",",","&amp;SUBSTITUTE(input_context," ","")&amp;",")))&gt;0)),IF(BS149="",TRUE,IF(input_context="",FALSE,SUMPRODUCT(--ISNUMBER(SEARCH(","&amp;TRIM(TEXTSPLIT(BS149,","))&amp;",",","&amp;SUBSTITUTE(input_context," ","")&amp;",")))=COUNTA(TEXTSPLIT(BS149,",")))))</f>
        <v/>
      </c>
      <c r="IZ149">
        <f>AND(IF(BU149="",TRUE,IF(input_enews_announcement_type="",FALSE,SUMPRODUCT(--ISNUMBER(SEARCH(","&amp;TRIM(TEXTSPLIT(BU149,","))&amp;",",","&amp;SUBSTITUTE(input_enews_announcement_type," ","")&amp;",")))&gt;0)),IF(BW149="",TRUE,IF(input_enews_announcement_type="",FALSE,SUMPRODUCT(--ISNUMBER(SEARCH(","&amp;TRIM(TEXTSPLIT(BW149,","))&amp;",",","&amp;SUBSTITUTE(input_enews_announcement_type," ","")&amp;",")))=COUNTA(TEXTSPLIT(BW149,",")))),IF(BY149="",TRUE,IF(input_enews_announcement_type="",TRUE,SUMPRODUCT(--ISNUMBER(SEARCH(","&amp;TRIM(TEXTSPLIT(BY149,","))&amp;",",","&amp;SUBSTITUTE(input_enews_announcement_type," ","")&amp;",")))=0)),IF(CA149="",TRUE,IF(input_enews_announcement_type="",FALSE,SUMPRODUCT(--ISNUMBER(SEARCH(","&amp;TRIM(TEXTSPLIT(CA149,","))&amp;",",","&amp;SUBSTITUTE(input_enews_announcement_type," ","")&amp;",")))&gt;0)),IF(CC149="",TRUE,IF(input_enews_announcement_type="",FALSE,SUMPRODUCT(--ISNUMBER(SEARCH(","&amp;TRIM(TEXTSPLIT(CC149,","))&amp;",",","&amp;SUBSTITUTE(input_enews_announcement_type," ","")&amp;",")))=COUNTA(TEXTSPLIT(CC149,",")))))</f>
        <v/>
      </c>
      <c r="JA149">
        <f>AND(IF(CE149="",TRUE,IF(input_enews_audience="",FALSE,SUMPRODUCT(--ISNUMBER(SEARCH(","&amp;TRIM(TEXTSPLIT(CE149,","))&amp;",",","&amp;SUBSTITUTE(input_enews_audience," ","")&amp;",")))&gt;0)),IF(CG149="",TRUE,IF(input_enews_audience="",FALSE,SUMPRODUCT(--ISNUMBER(SEARCH(","&amp;TRIM(TEXTSPLIT(CG149,","))&amp;",",","&amp;SUBSTITUTE(input_enews_audience," ","")&amp;",")))=COUNTA(TEXTSPLIT(CG149,",")))),IF(CI149="",TRUE,IF(input_enews_audience="",TRUE,SUMPRODUCT(--ISNUMBER(SEARCH(","&amp;TRIM(TEXTSPLIT(CI149,","))&amp;",",","&amp;SUBSTITUTE(input_enews_audience," ","")&amp;",")))=0)),IF(CK149="",TRUE,IF(input_enews_audience="",FALSE,SUMPRODUCT(--ISNUMBER(SEARCH(","&amp;TRIM(TEXTSPLIT(CK149,","))&amp;",",","&amp;SUBSTITUTE(input_enews_audience," ","")&amp;",")))&gt;0)),IF(CM149="",TRUE,IF(input_enews_audience="",FALSE,SUMPRODUCT(--ISNUMBER(SEARCH(","&amp;TRIM(TEXTSPLIT(CM149,","))&amp;",",","&amp;SUBSTITUTE(input_enews_audience," ","")&amp;",")))=COUNTA(TEXTSPLIT(CM149,",")))))</f>
        <v/>
      </c>
      <c r="JB149">
        <f>AND(IF(CO149="",TRUE,IF(input_event_location="",FALSE,SUMPRODUCT(--ISNUMBER(SEARCH(","&amp;TRIM(TEXTSPLIT(CO149,","))&amp;",",","&amp;SUBSTITUTE(input_event_location," ","")&amp;",")))&gt;0)),IF(CQ149="",TRUE,IF(input_event_location="",FALSE,SUMPRODUCT(--ISNUMBER(SEARCH(","&amp;TRIM(TEXTSPLIT(CQ149,","))&amp;",",","&amp;SUBSTITUTE(input_event_location," ","")&amp;",")))=COUNTA(TEXTSPLIT(CQ149,",")))),IF(CS149="",TRUE,IF(input_event_location="",TRUE,SUMPRODUCT(--ISNUMBER(SEARCH(","&amp;TRIM(TEXTSPLIT(CS149,","))&amp;",",","&amp;SUBSTITUTE(input_event_location," ","")&amp;",")))=0)),IF(CU149="",TRUE,IF(input_event_location="",FALSE,SUMPRODUCT(--ISNUMBER(SEARCH(","&amp;TRIM(TEXTSPLIT(CU149,","))&amp;",",","&amp;SUBSTITUTE(input_event_location," ","")&amp;",")))&gt;0)),IF(CW149="",TRUE,IF(input_event_location="",FALSE,SUMPRODUCT(--ISNUMBER(SEARCH(","&amp;TRIM(TEXTSPLIT(CW149,","))&amp;",",","&amp;SUBSTITUTE(input_event_location," ","")&amp;",")))=COUNTA(TEXTSPLIT(CW149,",")))))</f>
        <v/>
      </c>
      <c r="JC149">
        <f>AND(IF(CY149="",TRUE,IF(input_event_type="",FALSE,SUMPRODUCT(--ISNUMBER(SEARCH(","&amp;TRIM(TEXTSPLIT(CY149,","))&amp;",",","&amp;SUBSTITUTE(input_event_type," ","")&amp;",")))&gt;0)),IF(DA149="",TRUE,IF(input_event_type="",FALSE,SUMPRODUCT(--ISNUMBER(SEARCH(","&amp;TRIM(TEXTSPLIT(DA149,","))&amp;",",","&amp;SUBSTITUTE(input_event_type," ","")&amp;",")))=COUNTA(TEXTSPLIT(DA149,",")))),IF(DC149="",TRUE,IF(input_event_type="",TRUE,SUMPRODUCT(--ISNUMBER(SEARCH(","&amp;TRIM(TEXTSPLIT(DC149,","))&amp;",",","&amp;SUBSTITUTE(input_event_type," ","")&amp;",")))=0)),IF(DE149="",TRUE,IF(input_event_type="",FALSE,SUMPRODUCT(--ISNUMBER(SEARCH(","&amp;TRIM(TEXTSPLIT(DE149,","))&amp;",",","&amp;SUBSTITUTE(input_event_type," ","")&amp;",")))&gt;0)),IF(DG149="",TRUE,IF(input_event_type="",FALSE,SUMPRODUCT(--ISNUMBER(SEARCH(","&amp;TRIM(TEXTSPLIT(DG149,","))&amp;",",","&amp;SUBSTITUTE(input_event_type," ","")&amp;",")))=COUNTA(TEXTSPLIT(DG149,",")))))</f>
        <v/>
      </c>
      <c r="JD149">
        <f>AND(IF(DI149="",TRUE,IF(input_executive_education_focus="",FALSE,SUMPRODUCT(--ISNUMBER(SEARCH(","&amp;TRIM(TEXTSPLIT(DI149,","))&amp;",",","&amp;SUBSTITUTE(input_executive_education_focus," ","")&amp;",")))&gt;0)),IF(DK149="",TRUE,IF(input_executive_education_focus="",FALSE,SUMPRODUCT(--ISNUMBER(SEARCH(","&amp;TRIM(TEXTSPLIT(DK149,","))&amp;",",","&amp;SUBSTITUTE(input_executive_education_focus," ","")&amp;",")))=COUNTA(TEXTSPLIT(DK149,",")))),IF(DM149="",TRUE,IF(input_executive_education_focus="",TRUE,SUMPRODUCT(--ISNUMBER(SEARCH(","&amp;TRIM(TEXTSPLIT(DM149,","))&amp;",",","&amp;SUBSTITUTE(input_executive_education_focus," ","")&amp;",")))=0)),IF(DO149="",TRUE,IF(input_executive_education_focus="",FALSE,SUMPRODUCT(--ISNUMBER(SEARCH(","&amp;TRIM(TEXTSPLIT(DO149,","))&amp;",",","&amp;SUBSTITUTE(input_executive_education_focus," ","")&amp;",")))&gt;0)),IF(DQ149="",TRUE,IF(input_executive_education_focus="",FALSE,SUMPRODUCT(--ISNUMBER(SEARCH(","&amp;TRIM(TEXTSPLIT(DQ149,","))&amp;",",","&amp;SUBSTITUTE(input_executive_education_focus," ","")&amp;",")))=COUNTA(TEXTSPLIT(DQ149,",")))))</f>
        <v/>
      </c>
      <c r="JE149">
        <f>AND(IF(DS149="",TRUE,IF(input_faculty_category="",FALSE,SUMPRODUCT(--ISNUMBER(SEARCH(","&amp;TRIM(TEXTSPLIT(DS149,","))&amp;",",","&amp;SUBSTITUTE(input_faculty_category," ","")&amp;",")))&gt;0)),IF(DU149="",TRUE,IF(input_faculty_category="",FALSE,SUMPRODUCT(--ISNUMBER(SEARCH(","&amp;TRIM(TEXTSPLIT(DU149,","))&amp;",",","&amp;SUBSTITUTE(input_faculty_category," ","")&amp;",")))=COUNTA(TEXTSPLIT(DU149,",")))),IF(DW149="",TRUE,IF(input_faculty_category="",TRUE,SUMPRODUCT(--ISNUMBER(SEARCH(","&amp;TRIM(TEXTSPLIT(DW149,","))&amp;",",","&amp;SUBSTITUTE(input_faculty_category," ","")&amp;",")))=0)),IF(DY149="",TRUE,IF(input_faculty_category="",FALSE,SUMPRODUCT(--ISNUMBER(SEARCH(","&amp;TRIM(TEXTSPLIT(DY149,","))&amp;",",","&amp;SUBSTITUTE(input_faculty_category," ","")&amp;",")))&gt;0)),IF(EA149="",TRUE,IF(input_faculty_category="",FALSE,SUMPRODUCT(--ISNUMBER(SEARCH(","&amp;TRIM(TEXTSPLIT(EA149,","))&amp;",",","&amp;SUBSTITUTE(input_faculty_category," ","")&amp;",")))=COUNTA(TEXTSPLIT(EA149,",")))))</f>
        <v/>
      </c>
      <c r="JF149">
        <f>AND(IF(EC149="",TRUE,IF(input_faculty_discipline="",FALSE,SUMPRODUCT(--ISNUMBER(SEARCH(","&amp;TRIM(TEXTSPLIT(EC149,","))&amp;",",","&amp;SUBSTITUTE(input_faculty_discipline," ","")&amp;",")))&gt;0)),IF(EE149="",TRUE,IF(input_faculty_discipline="",FALSE,SUMPRODUCT(--ISNUMBER(SEARCH(","&amp;TRIM(TEXTSPLIT(EE149,","))&amp;",",","&amp;SUBSTITUTE(input_faculty_discipline," ","")&amp;",")))=COUNTA(TEXTSPLIT(EE149,",")))),IF(EG149="",TRUE,IF(input_faculty_discipline="",TRUE,SUMPRODUCT(--ISNUMBER(SEARCH(","&amp;TRIM(TEXTSPLIT(EG149,","))&amp;",",","&amp;SUBSTITUTE(input_faculty_discipline," ","")&amp;",")))=0)),IF(EI149="",TRUE,IF(input_faculty_discipline="",FALSE,SUMPRODUCT(--ISNUMBER(SEARCH(","&amp;TRIM(TEXTSPLIT(EI149,","))&amp;",",","&amp;SUBSTITUTE(input_faculty_discipline," ","")&amp;",")))&gt;0)),IF(EK149="",TRUE,IF(input_faculty_discipline="",FALSE,SUMPRODUCT(--ISNUMBER(SEARCH(","&amp;TRIM(TEXTSPLIT(EK149,","))&amp;",",","&amp;SUBSTITUTE(input_faculty_discipline," ","")&amp;",")))=COUNTA(TEXTSPLIT(EK149,",")))))</f>
        <v/>
      </c>
      <c r="JG149">
        <f>AND(IF(EM149="",TRUE,IF(input_faculty_expertise="",FALSE,SUMPRODUCT(--ISNUMBER(SEARCH(","&amp;TRIM(TEXTSPLIT(EM149,","))&amp;",",","&amp;SUBSTITUTE(input_faculty_expertise," ","")&amp;",")))&gt;0)),IF(EO149="",TRUE,IF(input_faculty_expertise="",FALSE,SUMPRODUCT(--ISNUMBER(SEARCH(","&amp;TRIM(TEXTSPLIT(EO149,","))&amp;",",","&amp;SUBSTITUTE(input_faculty_expertise," ","")&amp;",")))=COUNTA(TEXTSPLIT(EO149,",")))),IF(EQ149="",TRUE,IF(input_faculty_expertise="",TRUE,SUMPRODUCT(--ISNUMBER(SEARCH(","&amp;TRIM(TEXTSPLIT(EQ149,","))&amp;",",","&amp;SUBSTITUTE(input_faculty_expertise," ","")&amp;",")))=0)),IF(ES149="",TRUE,IF(input_faculty_expertise="",FALSE,SUMPRODUCT(--ISNUMBER(SEARCH(","&amp;TRIM(TEXTSPLIT(ES149,","))&amp;",",","&amp;SUBSTITUTE(input_faculty_expertise," ","")&amp;",")))&gt;0)),IF(EU149="",TRUE,IF(input_faculty_expertise="",FALSE,SUMPRODUCT(--ISNUMBER(SEARCH(","&amp;TRIM(TEXTSPLIT(EU149,","))&amp;",",","&amp;SUBSTITUTE(input_faculty_expertise," ","")&amp;",")))=COUNTA(TEXTSPLIT(EU149,",")))))</f>
        <v/>
      </c>
      <c r="JH149">
        <f>AND(IF(EW149="",TRUE,IF(input_global_network_school="",FALSE,SUMPRODUCT(--ISNUMBER(SEARCH(","&amp;TRIM(TEXTSPLIT(EW149,","))&amp;",",","&amp;SUBSTITUTE(input_global_network_school," ","")&amp;",")))&gt;0)),IF(EY149="",TRUE,IF(input_global_network_school="",FALSE,SUMPRODUCT(--ISNUMBER(SEARCH(","&amp;TRIM(TEXTSPLIT(EY149,","))&amp;",",","&amp;SUBSTITUTE(input_global_network_school," ","")&amp;",")))=COUNTA(TEXTSPLIT(EY149,",")))),IF(FA149="",TRUE,IF(input_global_network_school="",TRUE,SUMPRODUCT(--ISNUMBER(SEARCH(","&amp;TRIM(TEXTSPLIT(FA149,","))&amp;",",","&amp;SUBSTITUTE(input_global_network_school," ","")&amp;",")))=0)),IF(FC149="",TRUE,IF(input_global_network_school="",FALSE,SUMPRODUCT(--ISNUMBER(SEARCH(","&amp;TRIM(TEXTSPLIT(FC149,","))&amp;",",","&amp;SUBSTITUTE(input_global_network_school," ","")&amp;",")))&gt;0)),IF(FE149="",TRUE,IF(input_global_network_school="",FALSE,SUMPRODUCT(--ISNUMBER(SEARCH(","&amp;TRIM(TEXTSPLIT(FE149,","))&amp;",",","&amp;SUBSTITUTE(input_global_network_school," ","")&amp;",")))=COUNTA(TEXTSPLIT(FE149,",")))))</f>
        <v/>
      </c>
      <c r="JI149">
        <f>AND(IF(FG149="",TRUE,IF(input_industry="",FALSE,SUMPRODUCT(--ISNUMBER(SEARCH(","&amp;TRIM(TEXTSPLIT(FG149,","))&amp;",",","&amp;SUBSTITUTE(input_industry," ","")&amp;",")))&gt;0)),IF(FI149="",TRUE,IF(input_industry="",FALSE,SUMPRODUCT(--ISNUMBER(SEARCH(","&amp;TRIM(TEXTSPLIT(FI149,","))&amp;",",","&amp;SUBSTITUTE(input_industry," ","")&amp;",")))=COUNTA(TEXTSPLIT(FI149,",")))),IF(FK149="",TRUE,IF(input_industry="",TRUE,SUMPRODUCT(--ISNUMBER(SEARCH(","&amp;TRIM(TEXTSPLIT(FK149,","))&amp;",",","&amp;SUBSTITUTE(input_industry," ","")&amp;",")))=0)),IF(FM149="",TRUE,IF(input_industry="",FALSE,SUMPRODUCT(--ISNUMBER(SEARCH(","&amp;TRIM(TEXTSPLIT(FM149,","))&amp;",",","&amp;SUBSTITUTE(input_industry," ","")&amp;",")))&gt;0)),IF(FO149="",TRUE,IF(input_industry="",FALSE,SUMPRODUCT(--ISNUMBER(SEARCH(","&amp;TRIM(TEXTSPLIT(FO149,","))&amp;",",","&amp;SUBSTITUTE(input_industry," ","")&amp;",")))=COUNTA(TEXTSPLIT(FO149,",")))))</f>
        <v/>
      </c>
      <c r="JJ149">
        <f>AND(IF(FQ149="",TRUE,IF(input_location="",FALSE,SUMPRODUCT(--ISNUMBER(SEARCH(","&amp;TRIM(TEXTSPLIT(FQ149,","))&amp;",",","&amp;SUBSTITUTE(input_location," ","")&amp;",")))&gt;0)),IF(FS149="",TRUE,IF(input_location="",FALSE,SUMPRODUCT(--ISNUMBER(SEARCH(","&amp;TRIM(TEXTSPLIT(FS149,","))&amp;",",","&amp;SUBSTITUTE(input_location," ","")&amp;",")))=COUNTA(TEXTSPLIT(FS149,",")))),IF(FU149="",TRUE,IF(input_location="",TRUE,SUMPRODUCT(--ISNUMBER(SEARCH(","&amp;TRIM(TEXTSPLIT(FU149,","))&amp;",",","&amp;SUBSTITUTE(input_location," ","")&amp;",")))=0)),IF(FW149="",TRUE,IF(input_location="",FALSE,SUMPRODUCT(--ISNUMBER(SEARCH(","&amp;TRIM(TEXTSPLIT(FW149,","))&amp;",",","&amp;SUBSTITUTE(input_location," ","")&amp;",")))&gt;0)),IF(FY149="",TRUE,IF(input_location="",FALSE,SUMPRODUCT(--ISNUMBER(SEARCH(","&amp;TRIM(TEXTSPLIT(FY149,","))&amp;",",","&amp;SUBSTITUTE(input_location," ","")&amp;",")))=COUNTA(TEXTSPLIT(FY149,",")))))</f>
        <v/>
      </c>
      <c r="JK149">
        <f>AND(IF(GA149="",TRUE,IF(input_modality="",FALSE,SUMPRODUCT(--ISNUMBER(SEARCH(","&amp;TRIM(TEXTSPLIT(GA149,","))&amp;",",","&amp;SUBSTITUTE(input_modality," ","")&amp;",")))&gt;0)),IF(GC149="",TRUE,IF(input_modality="",FALSE,SUMPRODUCT(--ISNUMBER(SEARCH(","&amp;TRIM(TEXTSPLIT(GC149,","))&amp;",",","&amp;SUBSTITUTE(input_modality," ","")&amp;",")))=COUNTA(TEXTSPLIT(GC149,",")))),IF(GE149="",TRUE,IF(input_modality="",TRUE,SUMPRODUCT(--ISNUMBER(SEARCH(","&amp;TRIM(TEXTSPLIT(GE149,","))&amp;",",","&amp;SUBSTITUTE(input_modality," ","")&amp;",")))=0)),IF(GG149="",TRUE,IF(input_modality="",FALSE,SUMPRODUCT(--ISNUMBER(SEARCH(","&amp;TRIM(TEXTSPLIT(GG149,","))&amp;",",","&amp;SUBSTITUTE(input_modality," ","")&amp;",")))&gt;0)),IF(GI149="",TRUE,IF(input_modality="",FALSE,SUMPRODUCT(--ISNUMBER(SEARCH(","&amp;TRIM(TEXTSPLIT(GI149,","))&amp;",",","&amp;SUBSTITUTE(input_modality," ","")&amp;",")))=COUNTA(TEXTSPLIT(GI149,",")))))</f>
        <v/>
      </c>
      <c r="JL149">
        <f>AND(IF(GK149="",TRUE,IF(input_organizer="",FALSE,SUMPRODUCT(--ISNUMBER(SEARCH(","&amp;TRIM(TEXTSPLIT(GK149,","))&amp;",",","&amp;SUBSTITUTE(input_organizer," ","")&amp;",")))&gt;0)),IF(GM149="",TRUE,IF(input_organizer="",FALSE,SUMPRODUCT(--ISNUMBER(SEARCH(","&amp;TRIM(TEXTSPLIT(GM149,","))&amp;",",","&amp;SUBSTITUTE(input_organizer," ","")&amp;",")))=COUNTA(TEXTSPLIT(GM149,",")))),IF(GO149="",TRUE,IF(input_organizer="",TRUE,SUMPRODUCT(--ISNUMBER(SEARCH(","&amp;TRIM(TEXTSPLIT(GO149,","))&amp;",",","&amp;SUBSTITUTE(input_organizer," ","")&amp;",")))=0)),IF(GQ149="",TRUE,IF(input_organizer="",FALSE,SUMPRODUCT(--ISNUMBER(SEARCH(","&amp;TRIM(TEXTSPLIT(GQ149,","))&amp;",",","&amp;SUBSTITUTE(input_organizer," ","")&amp;",")))&gt;0)),IF(GS149="",TRUE,IF(input_organizer="",FALSE,SUMPRODUCT(--ISNUMBER(SEARCH(","&amp;TRIM(TEXTSPLIT(GS149,","))&amp;",",","&amp;SUBSTITUTE(input_organizer," ","")&amp;",")))=COUNTA(TEXTSPLIT(GS149,",")))))</f>
        <v/>
      </c>
      <c r="JM149">
        <f>AND(IF(GU149="",TRUE,IF(input_profile_type="",FALSE,SUMPRODUCT(--ISNUMBER(SEARCH(","&amp;TRIM(TEXTSPLIT(GU149,","))&amp;",",","&amp;SUBSTITUTE(input_profile_type," ","")&amp;",")))&gt;0)),IF(GW149="",TRUE,IF(input_profile_type="",FALSE,SUMPRODUCT(--ISNUMBER(SEARCH(","&amp;TRIM(TEXTSPLIT(GW149,","))&amp;",",","&amp;SUBSTITUTE(input_profile_type," ","")&amp;",")))=COUNTA(TEXTSPLIT(GW149,",")))),IF(GY149="",TRUE,IF(input_profile_type="",TRUE,SUMPRODUCT(--ISNUMBER(SEARCH(","&amp;TRIM(TEXTSPLIT(GY149,","))&amp;",",","&amp;SUBSTITUTE(input_profile_type," ","")&amp;",")))=0)),IF(HA149="",TRUE,IF(input_profile_type="",FALSE,SUMPRODUCT(--ISNUMBER(SEARCH(","&amp;TRIM(TEXTSPLIT(HA149,","))&amp;",",","&amp;SUBSTITUTE(input_profile_type," ","")&amp;",")))&gt;0)),IF(HC149="",TRUE,IF(input_profile_type="",FALSE,SUMPRODUCT(--ISNUMBER(SEARCH(","&amp;TRIM(TEXTSPLIT(HC149,","))&amp;",",","&amp;SUBSTITUTE(input_profile_type," ","")&amp;",")))=COUNTA(TEXTSPLIT(HC149,",")))))</f>
        <v/>
      </c>
      <c r="JN149">
        <f>AND(IF(HE149="",TRUE,IF(input_program="",FALSE,SUMPRODUCT(--ISNUMBER(SEARCH(","&amp;TRIM(TEXTSPLIT(HE149,","))&amp;",",","&amp;SUBSTITUTE(input_program," ","")&amp;",")))&gt;0)),IF(HG149="",TRUE,IF(input_program="",FALSE,SUMPRODUCT(--ISNUMBER(SEARCH(","&amp;TRIM(TEXTSPLIT(HG149,","))&amp;",",","&amp;SUBSTITUTE(input_program," ","")&amp;",")))=COUNTA(TEXTSPLIT(HG149,",")))),IF(HI149="",TRUE,IF(input_program="",TRUE,SUMPRODUCT(--ISNUMBER(SEARCH(","&amp;TRIM(TEXTSPLIT(HI149,","))&amp;",",","&amp;SUBSTITUTE(input_program," ","")&amp;",")))=0)),IF(HK149="",TRUE,IF(input_program="",FALSE,SUMPRODUCT(--ISNUMBER(SEARCH(","&amp;TRIM(TEXTSPLIT(HK149,","))&amp;",",","&amp;SUBSTITUTE(input_program," ","")&amp;",")))&gt;0)),IF(HM149="",TRUE,IF(input_program="",FALSE,SUMPRODUCT(--ISNUMBER(SEARCH(","&amp;TRIM(TEXTSPLIT(HM149,","))&amp;",",","&amp;SUBSTITUTE(input_program," ","")&amp;",")))=COUNTA(TEXTSPLIT(HM149,",")))))</f>
        <v/>
      </c>
      <c r="JO149">
        <f>AND(IF(HO149="",TRUE,IF(input_story_categories="",FALSE,SUMPRODUCT(--ISNUMBER(SEARCH(","&amp;TRIM(TEXTSPLIT(HO149,","))&amp;",",","&amp;SUBSTITUTE(input_story_categories," ","")&amp;",")))&gt;0)),IF(HQ149="",TRUE,IF(input_story_categories="",FALSE,SUMPRODUCT(--ISNUMBER(SEARCH(","&amp;TRIM(TEXTSPLIT(HQ149,","))&amp;",",","&amp;SUBSTITUTE(input_story_categories," ","")&amp;",")))=COUNTA(TEXTSPLIT(HQ149,",")))),IF(HS149="",TRUE,IF(input_story_categories="",TRUE,SUMPRODUCT(--ISNUMBER(SEARCH(","&amp;TRIM(TEXTSPLIT(HS149,","))&amp;",",","&amp;SUBSTITUTE(input_story_categories," ","")&amp;",")))=0)),IF(HU149="",TRUE,IF(input_story_categories="",FALSE,SUMPRODUCT(--ISNUMBER(SEARCH(","&amp;TRIM(TEXTSPLIT(HU149,","))&amp;",",","&amp;SUBSTITUTE(input_story_categories," ","")&amp;",")))&gt;0)),IF(HW149="",TRUE,IF(input_story_categories="",FALSE,SUMPRODUCT(--ISNUMBER(SEARCH(","&amp;TRIM(TEXTSPLIT(HW149,","))&amp;",",","&amp;SUBSTITUTE(input_story_categories," ","")&amp;",")))=COUNTA(TEXTSPLIT(HW149,",")))))</f>
        <v/>
      </c>
      <c r="JP149">
        <f>AND(IF(HY149="",TRUE,IF(input_story_type="",FALSE,SUMPRODUCT(--ISNUMBER(SEARCH(","&amp;TRIM(TEXTSPLIT(HY149,","))&amp;",",","&amp;SUBSTITUTE(input_story_type," ","")&amp;",")))&gt;0)),IF(IA149="",TRUE,IF(input_story_type="",FALSE,SUMPRODUCT(--ISNUMBER(SEARCH(","&amp;TRIM(TEXTSPLIT(IA149,","))&amp;",",","&amp;SUBSTITUTE(input_story_type," ","")&amp;",")))=COUNTA(TEXTSPLIT(IA149,",")))),IF(IC149="",TRUE,IF(input_story_type="",TRUE,SUMPRODUCT(--ISNUMBER(SEARCH(","&amp;TRIM(TEXTSPLIT(IC149,","))&amp;",",","&amp;SUBSTITUTE(input_story_type," ","")&amp;",")))=0)),IF(IE149="",TRUE,IF(input_story_type="",FALSE,SUMPRODUCT(--ISNUMBER(SEARCH(","&amp;TRIM(TEXTSPLIT(IE149,","))&amp;",",","&amp;SUBSTITUTE(input_story_type," ","")&amp;",")))&gt;0)),IF(IG149="",TRUE,IF(input_story_type="",FALSE,SUMPRODUCT(--ISNUMBER(SEARCH(","&amp;TRIM(TEXTSPLIT(IG149,","))&amp;",",","&amp;SUBSTITUTE(input_story_type," ","")&amp;",")))=COUNTA(TEXTSPLIT(IG149,",")))))</f>
        <v/>
      </c>
      <c r="JQ149">
        <f>AND(IF(II149="",TRUE,IF(input_topics="",FALSE,SUMPRODUCT(--ISNUMBER(SEARCH(","&amp;TRIM(TEXTSPLIT(II149,","))&amp;",",","&amp;SUBSTITUTE(input_topics," ","")&amp;",")))&gt;0)),IF(IK149="",TRUE,IF(input_topics="",FALSE,SUMPRODUCT(--ISNUMBER(SEARCH(","&amp;TRIM(TEXTSPLIT(IK149,","))&amp;",",","&amp;SUBSTITUTE(input_topics," ","")&amp;",")))=COUNTA(TEXTSPLIT(IK149,",")))),IF(IM149="",TRUE,IF(input_topics="",TRUE,SUMPRODUCT(--ISNUMBER(SEARCH(","&amp;TRIM(TEXTSPLIT(IM149,","))&amp;",",","&amp;SUBSTITUTE(input_topics," ","")&amp;",")))=0)),IF(IO149="",TRUE,IF(input_topics="",FALSE,SUMPRODUCT(--ISNUMBER(SEARCH(","&amp;TRIM(TEXTSPLIT(IO149,","))&amp;",",","&amp;SUBSTITUTE(input_topics," ","")&amp;",")))&gt;0)),IF(IQ149="",TRUE,IF(input_topics="",FALSE,SUMPRODUCT(--ISNUMBER(SEARCH(","&amp;TRIM(TEXTSPLIT(IQ149,","))&amp;",",","&amp;SUBSTITUTE(input_topics," ","")&amp;",")))=COUNTA(TEXTSPLIT(IQ149,",")))))</f>
        <v/>
      </c>
    </row>
    <row r="150">
      <c r="A150" s="4">
        <f>IF(NOT(IS150),"Excluded",IF(AND(IT150,IU150,IV150,IW150,IX150,IY150,IZ150,JA150,JB150,JC150,JD150,JE150,JF150,JG150,JH150,JI150,JJ150,JK150,JL150,JM150,JN150,JO150,JP150,JQ150),IF(I150&gt;0,"Eligible but limited","Will appear"),"Excluded"))</f>
        <v/>
      </c>
      <c r="B150" s="4" t="inlineStr">
        <is>
          <t>Profiles</t>
        </is>
      </c>
      <c r="C150" s="4" t="inlineStr">
        <is>
          <t>/the-som-experience/community/profiles</t>
        </is>
      </c>
      <c r="D150" s="4" t="inlineStr">
        <is>
          <t>/the-som-experience/community/profiles</t>
        </is>
      </c>
      <c r="E150" s="4" t="n">
        <v>1</v>
      </c>
      <c r="F150" s="4" t="inlineStr">
        <is>
          <t>profile</t>
        </is>
      </c>
      <c r="G150" s="4" t="inlineStr">
        <is>
          <t>profiles_grid</t>
        </is>
      </c>
      <c r="H150" s="4" t="inlineStr">
        <is>
          <t>embed_1</t>
        </is>
      </c>
      <c r="I150" s="4" t="n">
        <v>9</v>
      </c>
      <c r="J150" s="4" t="inlineStr">
        <is>
          <t>View/config rules</t>
        </is>
      </c>
      <c r="K150" s="4" t="inlineStr">
        <is>
          <t>Page placement</t>
        </is>
      </c>
      <c r="L150" s="4" t="inlineStr">
        <is>
          <t>Content type: profile; Excludes Profile Type: Ambassador (1552); Limited to 9 item(s); Source: View/config rules</t>
        </is>
      </c>
      <c r="M150" t="inlineStr"/>
      <c r="N150" t="inlineStr"/>
      <c r="O150" t="inlineStr"/>
      <c r="P150" t="inlineStr"/>
      <c r="Q150" t="inlineStr"/>
      <c r="R150" t="inlineStr"/>
      <c r="S150" t="inlineStr"/>
      <c r="T150" t="inlineStr"/>
      <c r="U150" t="inlineStr"/>
      <c r="V150" t="inlineStr"/>
      <c r="W150" t="inlineStr"/>
      <c r="X150" t="inlineStr"/>
      <c r="Y150" t="inlineStr"/>
      <c r="Z150" t="inlineStr"/>
      <c r="AA150" t="inlineStr"/>
      <c r="AB150" t="inlineStr"/>
      <c r="AC150" t="inlineStr"/>
      <c r="AD150" t="inlineStr"/>
      <c r="AE150" t="inlineStr"/>
      <c r="AF150" t="inlineStr"/>
      <c r="AG150" t="inlineStr"/>
      <c r="AH150" t="inlineStr"/>
      <c r="AI150" t="inlineStr"/>
      <c r="AJ150" t="inlineStr"/>
      <c r="AK150" t="inlineStr"/>
      <c r="AL150" t="inlineStr"/>
      <c r="AM150" t="inlineStr"/>
      <c r="AN150" t="inlineStr"/>
      <c r="AO150" t="inlineStr"/>
      <c r="AP150" t="inlineStr"/>
      <c r="AQ150" t="inlineStr"/>
      <c r="AR150" t="inlineStr"/>
      <c r="AS150" t="inlineStr"/>
      <c r="AT150" t="inlineStr"/>
      <c r="AU150" t="inlineStr"/>
      <c r="AV150" t="inlineStr"/>
      <c r="AW150" t="inlineStr"/>
      <c r="AX150" t="inlineStr"/>
      <c r="AY150" t="inlineStr"/>
      <c r="AZ150" t="inlineStr"/>
      <c r="BA150" t="inlineStr"/>
      <c r="BB150" t="inlineStr"/>
      <c r="BC150" t="inlineStr"/>
      <c r="BD150" t="inlineStr"/>
      <c r="BE150" t="inlineStr"/>
      <c r="BF150" t="inlineStr"/>
      <c r="BG150" t="inlineStr"/>
      <c r="BH150" t="inlineStr"/>
      <c r="BI150" t="inlineStr"/>
      <c r="BJ150" t="inlineStr"/>
      <c r="BK150" t="inlineStr"/>
      <c r="BL150" t="inlineStr"/>
      <c r="BM150" t="inlineStr"/>
      <c r="BN150" t="inlineStr"/>
      <c r="BO150" t="inlineStr"/>
      <c r="BP150" t="inlineStr"/>
      <c r="BQ150" t="inlineStr"/>
      <c r="BR150" t="inlineStr"/>
      <c r="BS150" t="inlineStr"/>
      <c r="BT150" t="inlineStr"/>
      <c r="BU150" t="inlineStr"/>
      <c r="BV150" t="inlineStr"/>
      <c r="BW150" t="inlineStr"/>
      <c r="BX150" t="inlineStr"/>
      <c r="BY150" t="inlineStr"/>
      <c r="BZ150" t="inlineStr"/>
      <c r="CA150" t="inlineStr"/>
      <c r="CB150" t="inlineStr"/>
      <c r="CC150" t="inlineStr"/>
      <c r="CD150" t="inlineStr"/>
      <c r="CE150" t="inlineStr"/>
      <c r="CF150" t="inlineStr"/>
      <c r="CG150" t="inlineStr"/>
      <c r="CH150" t="inlineStr"/>
      <c r="CI150" t="inlineStr"/>
      <c r="CJ150" t="inlineStr"/>
      <c r="CK150" t="inlineStr"/>
      <c r="CL150" t="inlineStr"/>
      <c r="CM150" t="inlineStr"/>
      <c r="CN150" t="inlineStr"/>
      <c r="CO150" t="inlineStr"/>
      <c r="CP150" t="inlineStr"/>
      <c r="CQ150" t="inlineStr"/>
      <c r="CR150" t="inlineStr"/>
      <c r="CS150" t="inlineStr"/>
      <c r="CT150" t="inlineStr"/>
      <c r="CU150" t="inlineStr"/>
      <c r="CV150" t="inlineStr"/>
      <c r="CW150" t="inlineStr"/>
      <c r="CX150" t="inlineStr"/>
      <c r="CY150" t="inlineStr"/>
      <c r="CZ150" t="inlineStr"/>
      <c r="DA150" t="inlineStr"/>
      <c r="DB150" t="inlineStr"/>
      <c r="DC150" t="inlineStr"/>
      <c r="DD150" t="inlineStr"/>
      <c r="DE150" t="inlineStr"/>
      <c r="DF150" t="inlineStr"/>
      <c r="DG150" t="inlineStr"/>
      <c r="DH150" t="inlineStr"/>
      <c r="DI150" t="inlineStr"/>
      <c r="DJ150" t="inlineStr"/>
      <c r="DK150" t="inlineStr"/>
      <c r="DL150" t="inlineStr"/>
      <c r="DM150" t="inlineStr"/>
      <c r="DN150" t="inlineStr"/>
      <c r="DO150" t="inlineStr"/>
      <c r="DP150" t="inlineStr"/>
      <c r="DQ150" t="inlineStr"/>
      <c r="DR150" t="inlineStr"/>
      <c r="DS150" t="inlineStr"/>
      <c r="DT150" t="inlineStr"/>
      <c r="DU150" t="inlineStr"/>
      <c r="DV150" t="inlineStr"/>
      <c r="DW150" t="inlineStr"/>
      <c r="DX150" t="inlineStr"/>
      <c r="DY150" t="inlineStr"/>
      <c r="DZ150" t="inlineStr"/>
      <c r="EA150" t="inlineStr"/>
      <c r="EB150" t="inlineStr"/>
      <c r="EC150" t="inlineStr"/>
      <c r="ED150" t="inlineStr"/>
      <c r="EE150" t="inlineStr"/>
      <c r="EF150" t="inlineStr"/>
      <c r="EG150" t="inlineStr"/>
      <c r="EH150" t="inlineStr"/>
      <c r="EI150" t="inlineStr"/>
      <c r="EJ150" t="inlineStr"/>
      <c r="EK150" t="inlineStr"/>
      <c r="EL150" t="inlineStr"/>
      <c r="EM150" t="inlineStr"/>
      <c r="EN150" t="inlineStr"/>
      <c r="EO150" t="inlineStr"/>
      <c r="EP150" t="inlineStr"/>
      <c r="EQ150" t="inlineStr"/>
      <c r="ER150" t="inlineStr"/>
      <c r="ES150" t="inlineStr"/>
      <c r="ET150" t="inlineStr"/>
      <c r="EU150" t="inlineStr"/>
      <c r="EV150" t="inlineStr"/>
      <c r="EW150" t="inlineStr"/>
      <c r="EX150" t="inlineStr"/>
      <c r="EY150" t="inlineStr"/>
      <c r="EZ150" t="inlineStr"/>
      <c r="FA150" t="inlineStr"/>
      <c r="FB150" t="inlineStr"/>
      <c r="FC150" t="inlineStr"/>
      <c r="FD150" t="inlineStr"/>
      <c r="FE150" t="inlineStr"/>
      <c r="FF150" t="inlineStr"/>
      <c r="FG150" t="inlineStr"/>
      <c r="FH150" t="inlineStr"/>
      <c r="FI150" t="inlineStr"/>
      <c r="FJ150" t="inlineStr"/>
      <c r="FK150" t="inlineStr"/>
      <c r="FL150" t="inlineStr"/>
      <c r="FM150" t="inlineStr"/>
      <c r="FN150" t="inlineStr"/>
      <c r="FO150" t="inlineStr"/>
      <c r="FP150" t="inlineStr"/>
      <c r="FQ150" t="inlineStr"/>
      <c r="FR150" t="inlineStr"/>
      <c r="FS150" t="inlineStr"/>
      <c r="FT150" t="inlineStr"/>
      <c r="FU150" t="inlineStr"/>
      <c r="FV150" t="inlineStr"/>
      <c r="FW150" t="inlineStr"/>
      <c r="FX150" t="inlineStr"/>
      <c r="FY150" t="inlineStr"/>
      <c r="FZ150" t="inlineStr"/>
      <c r="GA150" t="inlineStr"/>
      <c r="GB150" t="inlineStr"/>
      <c r="GC150" t="inlineStr"/>
      <c r="GD150" t="inlineStr"/>
      <c r="GE150" t="inlineStr"/>
      <c r="GF150" t="inlineStr"/>
      <c r="GG150" t="inlineStr"/>
      <c r="GH150" t="inlineStr"/>
      <c r="GI150" t="inlineStr"/>
      <c r="GJ150" t="inlineStr"/>
      <c r="GK150" t="inlineStr"/>
      <c r="GL150" t="inlineStr"/>
      <c r="GM150" t="inlineStr"/>
      <c r="GN150" t="inlineStr"/>
      <c r="GO150" t="inlineStr"/>
      <c r="GP150" t="inlineStr"/>
      <c r="GQ150" t="inlineStr"/>
      <c r="GR150" t="inlineStr"/>
      <c r="GS150" t="inlineStr"/>
      <c r="GT150" t="inlineStr"/>
      <c r="GU150" t="inlineStr"/>
      <c r="GV150" t="inlineStr"/>
      <c r="GW150" t="inlineStr"/>
      <c r="GX150" t="inlineStr"/>
      <c r="GY150" t="inlineStr">
        <is>
          <t>1552</t>
        </is>
      </c>
      <c r="GZ150" t="inlineStr">
        <is>
          <t>Ambassador (1552)</t>
        </is>
      </c>
      <c r="HA150" t="inlineStr"/>
      <c r="HB150" t="inlineStr"/>
      <c r="HC150" t="inlineStr"/>
      <c r="HD150" t="inlineStr"/>
      <c r="HE150" t="inlineStr"/>
      <c r="HF150" t="inlineStr"/>
      <c r="HG150" t="inlineStr"/>
      <c r="HH150" t="inlineStr"/>
      <c r="HI150" t="inlineStr"/>
      <c r="HJ150" t="inlineStr"/>
      <c r="HK150" t="inlineStr"/>
      <c r="HL150" t="inlineStr"/>
      <c r="HM150" t="inlineStr"/>
      <c r="HN150" t="inlineStr"/>
      <c r="HO150" t="inlineStr"/>
      <c r="HP150" t="inlineStr"/>
      <c r="HQ150" t="inlineStr"/>
      <c r="HR150" t="inlineStr"/>
      <c r="HS150" t="inlineStr"/>
      <c r="HT150" t="inlineStr"/>
      <c r="HU150" t="inlineStr"/>
      <c r="HV150" t="inlineStr"/>
      <c r="HW150" t="inlineStr"/>
      <c r="HX150" t="inlineStr"/>
      <c r="HY150" t="inlineStr"/>
      <c r="HZ150" t="inlineStr"/>
      <c r="IA150" t="inlineStr"/>
      <c r="IB150" t="inlineStr"/>
      <c r="IC150" t="inlineStr"/>
      <c r="ID150" t="inlineStr"/>
      <c r="IE150" t="inlineStr"/>
      <c r="IF150" t="inlineStr"/>
      <c r="IG150" t="inlineStr"/>
      <c r="IH150" t="inlineStr"/>
      <c r="II150" t="inlineStr"/>
      <c r="IJ150" t="inlineStr"/>
      <c r="IK150" t="inlineStr"/>
      <c r="IL150" t="inlineStr"/>
      <c r="IM150" t="inlineStr"/>
      <c r="IN150" t="inlineStr"/>
      <c r="IO150" t="inlineStr"/>
      <c r="IP150" t="inlineStr"/>
      <c r="IQ150" t="inlineStr"/>
      <c r="IR150" t="inlineStr"/>
      <c r="IS150">
        <f>IF(input_content_type="",FALSE,ISNUMBER(SEARCH(","&amp;LOWER(input_content_type)&amp;",",","&amp;LOWER(F150)&amp;",")))</f>
        <v/>
      </c>
      <c r="IT150">
        <f>AND(IF(M150="",TRUE,IF(input_affiliations="",FALSE,SUMPRODUCT(--ISNUMBER(SEARCH(","&amp;TRIM(TEXTSPLIT(M150,","))&amp;",",","&amp;SUBSTITUTE(input_affiliations," ","")&amp;",")))&gt;0)),IF(O150="",TRUE,IF(input_affiliations="",FALSE,SUMPRODUCT(--ISNUMBER(SEARCH(","&amp;TRIM(TEXTSPLIT(O150,","))&amp;",",","&amp;SUBSTITUTE(input_affiliations," ","")&amp;",")))=COUNTA(TEXTSPLIT(O150,",")))),IF(Q150="",TRUE,IF(input_affiliations="",TRUE,SUMPRODUCT(--ISNUMBER(SEARCH(","&amp;TRIM(TEXTSPLIT(Q150,","))&amp;",",","&amp;SUBSTITUTE(input_affiliations," ","")&amp;",")))=0)),IF(S150="",TRUE,IF(input_affiliations="",FALSE,SUMPRODUCT(--ISNUMBER(SEARCH(","&amp;TRIM(TEXTSPLIT(S150,","))&amp;",",","&amp;SUBSTITUTE(input_affiliations," ","")&amp;",")))&gt;0)),IF(U150="",TRUE,IF(input_affiliations="",FALSE,SUMPRODUCT(--ISNUMBER(SEARCH(","&amp;TRIM(TEXTSPLIT(U150,","))&amp;",",","&amp;SUBSTITUTE(input_affiliations," ","")&amp;",")))=COUNTA(TEXTSPLIT(U150,",")))))</f>
        <v/>
      </c>
      <c r="IU150">
        <f>AND(IF(W150="",TRUE,IF(input_announcement_category="",FALSE,SUMPRODUCT(--ISNUMBER(SEARCH(","&amp;TRIM(TEXTSPLIT(W150,","))&amp;",",","&amp;SUBSTITUTE(input_announcement_category," ","")&amp;",")))&gt;0)),IF(Y150="",TRUE,IF(input_announcement_category="",FALSE,SUMPRODUCT(--ISNUMBER(SEARCH(","&amp;TRIM(TEXTSPLIT(Y150,","))&amp;",",","&amp;SUBSTITUTE(input_announcement_category," ","")&amp;",")))=COUNTA(TEXTSPLIT(Y150,",")))),IF(AA150="",TRUE,IF(input_announcement_category="",TRUE,SUMPRODUCT(--ISNUMBER(SEARCH(","&amp;TRIM(TEXTSPLIT(AA150,","))&amp;",",","&amp;SUBSTITUTE(input_announcement_category," ","")&amp;",")))=0)),IF(AC150="",TRUE,IF(input_announcement_category="",FALSE,SUMPRODUCT(--ISNUMBER(SEARCH(","&amp;TRIM(TEXTSPLIT(AC150,","))&amp;",",","&amp;SUBSTITUTE(input_announcement_category," ","")&amp;",")))&gt;0)),IF(AE150="",TRUE,IF(input_announcement_category="",FALSE,SUMPRODUCT(--ISNUMBER(SEARCH(","&amp;TRIM(TEXTSPLIT(AE150,","))&amp;",",","&amp;SUBSTITUTE(input_announcement_category," ","")&amp;",")))=COUNTA(TEXTSPLIT(AE150,",")))))</f>
        <v/>
      </c>
      <c r="IV150">
        <f>AND(IF(AG150="",TRUE,IF(input_area_of_focus="",FALSE,SUMPRODUCT(--ISNUMBER(SEARCH(","&amp;TRIM(TEXTSPLIT(AG150,","))&amp;",",","&amp;SUBSTITUTE(input_area_of_focus," ","")&amp;",")))&gt;0)),IF(AI150="",TRUE,IF(input_area_of_focus="",FALSE,SUMPRODUCT(--ISNUMBER(SEARCH(","&amp;TRIM(TEXTSPLIT(AI150,","))&amp;",",","&amp;SUBSTITUTE(input_area_of_focus," ","")&amp;",")))=COUNTA(TEXTSPLIT(AI150,",")))),IF(AK150="",TRUE,IF(input_area_of_focus="",TRUE,SUMPRODUCT(--ISNUMBER(SEARCH(","&amp;TRIM(TEXTSPLIT(AK150,","))&amp;",",","&amp;SUBSTITUTE(input_area_of_focus," ","")&amp;",")))=0)),IF(AM150="",TRUE,IF(input_area_of_focus="",FALSE,SUMPRODUCT(--ISNUMBER(SEARCH(","&amp;TRIM(TEXTSPLIT(AM150,","))&amp;",",","&amp;SUBSTITUTE(input_area_of_focus," ","")&amp;",")))&gt;0)),IF(AO150="",TRUE,IF(input_area_of_focus="",FALSE,SUMPRODUCT(--ISNUMBER(SEARCH(","&amp;TRIM(TEXTSPLIT(AO150,","))&amp;",",","&amp;SUBSTITUTE(input_area_of_focus," ","")&amp;",")))=COUNTA(TEXTSPLIT(AO150,",")))))</f>
        <v/>
      </c>
      <c r="IW150">
        <f>AND(IF(AQ150="",TRUE,IF(input_audience="",FALSE,SUMPRODUCT(--ISNUMBER(SEARCH(","&amp;TRIM(TEXTSPLIT(AQ150,","))&amp;",",","&amp;SUBSTITUTE(input_audience," ","")&amp;",")))&gt;0)),IF(AS150="",TRUE,IF(input_audience="",FALSE,SUMPRODUCT(--ISNUMBER(SEARCH(","&amp;TRIM(TEXTSPLIT(AS150,","))&amp;",",","&amp;SUBSTITUTE(input_audience," ","")&amp;",")))=COUNTA(TEXTSPLIT(AS150,",")))),IF(AU150="",TRUE,IF(input_audience="",TRUE,SUMPRODUCT(--ISNUMBER(SEARCH(","&amp;TRIM(TEXTSPLIT(AU150,","))&amp;",",","&amp;SUBSTITUTE(input_audience," ","")&amp;",")))=0)),IF(AW150="",TRUE,IF(input_audience="",FALSE,SUMPRODUCT(--ISNUMBER(SEARCH(","&amp;TRIM(TEXTSPLIT(AW150,","))&amp;",",","&amp;SUBSTITUTE(input_audience," ","")&amp;",")))&gt;0)),IF(AY150="",TRUE,IF(input_audience="",FALSE,SUMPRODUCT(--ISNUMBER(SEARCH(","&amp;TRIM(TEXTSPLIT(AY150,","))&amp;",",","&amp;SUBSTITUTE(input_audience," ","")&amp;",")))=COUNTA(TEXTSPLIT(AY150,",")))))</f>
        <v/>
      </c>
      <c r="IX150">
        <f>AND(IF(BA150="",TRUE,IF(input_challenge_opportunities="",FALSE,SUMPRODUCT(--ISNUMBER(SEARCH(","&amp;TRIM(TEXTSPLIT(BA150,","))&amp;",",","&amp;SUBSTITUTE(input_challenge_opportunities," ","")&amp;",")))&gt;0)),IF(BC150="",TRUE,IF(input_challenge_opportunities="",FALSE,SUMPRODUCT(--ISNUMBER(SEARCH(","&amp;TRIM(TEXTSPLIT(BC150,","))&amp;",",","&amp;SUBSTITUTE(input_challenge_opportunities," ","")&amp;",")))=COUNTA(TEXTSPLIT(BC150,",")))),IF(BE150="",TRUE,IF(input_challenge_opportunities="",TRUE,SUMPRODUCT(--ISNUMBER(SEARCH(","&amp;TRIM(TEXTSPLIT(BE150,","))&amp;",",","&amp;SUBSTITUTE(input_challenge_opportunities," ","")&amp;",")))=0)),IF(BG150="",TRUE,IF(input_challenge_opportunities="",FALSE,SUMPRODUCT(--ISNUMBER(SEARCH(","&amp;TRIM(TEXTSPLIT(BG150,","))&amp;",",","&amp;SUBSTITUTE(input_challenge_opportunities," ","")&amp;",")))&gt;0)),IF(BI150="",TRUE,IF(input_challenge_opportunities="",FALSE,SUMPRODUCT(--ISNUMBER(SEARCH(","&amp;TRIM(TEXTSPLIT(BI150,","))&amp;",",","&amp;SUBSTITUTE(input_challenge_opportunities," ","")&amp;",")))=COUNTA(TEXTSPLIT(BI150,",")))))</f>
        <v/>
      </c>
      <c r="IY150">
        <f>AND(IF(BK150="",TRUE,IF(input_context="",FALSE,SUMPRODUCT(--ISNUMBER(SEARCH(","&amp;TRIM(TEXTSPLIT(BK150,","))&amp;",",","&amp;SUBSTITUTE(input_context," ","")&amp;",")))&gt;0)),IF(BM150="",TRUE,IF(input_context="",FALSE,SUMPRODUCT(--ISNUMBER(SEARCH(","&amp;TRIM(TEXTSPLIT(BM150,","))&amp;",",","&amp;SUBSTITUTE(input_context," ","")&amp;",")))=COUNTA(TEXTSPLIT(BM150,",")))),IF(BO150="",TRUE,IF(input_context="",TRUE,SUMPRODUCT(--ISNUMBER(SEARCH(","&amp;TRIM(TEXTSPLIT(BO150,","))&amp;",",","&amp;SUBSTITUTE(input_context," ","")&amp;",")))=0)),IF(BQ150="",TRUE,IF(input_context="",FALSE,SUMPRODUCT(--ISNUMBER(SEARCH(","&amp;TRIM(TEXTSPLIT(BQ150,","))&amp;",",","&amp;SUBSTITUTE(input_context," ","")&amp;",")))&gt;0)),IF(BS150="",TRUE,IF(input_context="",FALSE,SUMPRODUCT(--ISNUMBER(SEARCH(","&amp;TRIM(TEXTSPLIT(BS150,","))&amp;",",","&amp;SUBSTITUTE(input_context," ","")&amp;",")))=COUNTA(TEXTSPLIT(BS150,",")))))</f>
        <v/>
      </c>
      <c r="IZ150">
        <f>AND(IF(BU150="",TRUE,IF(input_enews_announcement_type="",FALSE,SUMPRODUCT(--ISNUMBER(SEARCH(","&amp;TRIM(TEXTSPLIT(BU150,","))&amp;",",","&amp;SUBSTITUTE(input_enews_announcement_type," ","")&amp;",")))&gt;0)),IF(BW150="",TRUE,IF(input_enews_announcement_type="",FALSE,SUMPRODUCT(--ISNUMBER(SEARCH(","&amp;TRIM(TEXTSPLIT(BW150,","))&amp;",",","&amp;SUBSTITUTE(input_enews_announcement_type," ","")&amp;",")))=COUNTA(TEXTSPLIT(BW150,",")))),IF(BY150="",TRUE,IF(input_enews_announcement_type="",TRUE,SUMPRODUCT(--ISNUMBER(SEARCH(","&amp;TRIM(TEXTSPLIT(BY150,","))&amp;",",","&amp;SUBSTITUTE(input_enews_announcement_type," ","")&amp;",")))=0)),IF(CA150="",TRUE,IF(input_enews_announcement_type="",FALSE,SUMPRODUCT(--ISNUMBER(SEARCH(","&amp;TRIM(TEXTSPLIT(CA150,","))&amp;",",","&amp;SUBSTITUTE(input_enews_announcement_type," ","")&amp;",")))&gt;0)),IF(CC150="",TRUE,IF(input_enews_announcement_type="",FALSE,SUMPRODUCT(--ISNUMBER(SEARCH(","&amp;TRIM(TEXTSPLIT(CC150,","))&amp;",",","&amp;SUBSTITUTE(input_enews_announcement_type," ","")&amp;",")))=COUNTA(TEXTSPLIT(CC150,",")))))</f>
        <v/>
      </c>
      <c r="JA150">
        <f>AND(IF(CE150="",TRUE,IF(input_enews_audience="",FALSE,SUMPRODUCT(--ISNUMBER(SEARCH(","&amp;TRIM(TEXTSPLIT(CE150,","))&amp;",",","&amp;SUBSTITUTE(input_enews_audience," ","")&amp;",")))&gt;0)),IF(CG150="",TRUE,IF(input_enews_audience="",FALSE,SUMPRODUCT(--ISNUMBER(SEARCH(","&amp;TRIM(TEXTSPLIT(CG150,","))&amp;",",","&amp;SUBSTITUTE(input_enews_audience," ","")&amp;",")))=COUNTA(TEXTSPLIT(CG150,",")))),IF(CI150="",TRUE,IF(input_enews_audience="",TRUE,SUMPRODUCT(--ISNUMBER(SEARCH(","&amp;TRIM(TEXTSPLIT(CI150,","))&amp;",",","&amp;SUBSTITUTE(input_enews_audience," ","")&amp;",")))=0)),IF(CK150="",TRUE,IF(input_enews_audience="",FALSE,SUMPRODUCT(--ISNUMBER(SEARCH(","&amp;TRIM(TEXTSPLIT(CK150,","))&amp;",",","&amp;SUBSTITUTE(input_enews_audience," ","")&amp;",")))&gt;0)),IF(CM150="",TRUE,IF(input_enews_audience="",FALSE,SUMPRODUCT(--ISNUMBER(SEARCH(","&amp;TRIM(TEXTSPLIT(CM150,","))&amp;",",","&amp;SUBSTITUTE(input_enews_audience," ","")&amp;",")))=COUNTA(TEXTSPLIT(CM150,",")))))</f>
        <v/>
      </c>
      <c r="JB150">
        <f>AND(IF(CO150="",TRUE,IF(input_event_location="",FALSE,SUMPRODUCT(--ISNUMBER(SEARCH(","&amp;TRIM(TEXTSPLIT(CO150,","))&amp;",",","&amp;SUBSTITUTE(input_event_location," ","")&amp;",")))&gt;0)),IF(CQ150="",TRUE,IF(input_event_location="",FALSE,SUMPRODUCT(--ISNUMBER(SEARCH(","&amp;TRIM(TEXTSPLIT(CQ150,","))&amp;",",","&amp;SUBSTITUTE(input_event_location," ","")&amp;",")))=COUNTA(TEXTSPLIT(CQ150,",")))),IF(CS150="",TRUE,IF(input_event_location="",TRUE,SUMPRODUCT(--ISNUMBER(SEARCH(","&amp;TRIM(TEXTSPLIT(CS150,","))&amp;",",","&amp;SUBSTITUTE(input_event_location," ","")&amp;",")))=0)),IF(CU150="",TRUE,IF(input_event_location="",FALSE,SUMPRODUCT(--ISNUMBER(SEARCH(","&amp;TRIM(TEXTSPLIT(CU150,","))&amp;",",","&amp;SUBSTITUTE(input_event_location," ","")&amp;",")))&gt;0)),IF(CW150="",TRUE,IF(input_event_location="",FALSE,SUMPRODUCT(--ISNUMBER(SEARCH(","&amp;TRIM(TEXTSPLIT(CW150,","))&amp;",",","&amp;SUBSTITUTE(input_event_location," ","")&amp;",")))=COUNTA(TEXTSPLIT(CW150,",")))))</f>
        <v/>
      </c>
      <c r="JC150">
        <f>AND(IF(CY150="",TRUE,IF(input_event_type="",FALSE,SUMPRODUCT(--ISNUMBER(SEARCH(","&amp;TRIM(TEXTSPLIT(CY150,","))&amp;",",","&amp;SUBSTITUTE(input_event_type," ","")&amp;",")))&gt;0)),IF(DA150="",TRUE,IF(input_event_type="",FALSE,SUMPRODUCT(--ISNUMBER(SEARCH(","&amp;TRIM(TEXTSPLIT(DA150,","))&amp;",",","&amp;SUBSTITUTE(input_event_type," ","")&amp;",")))=COUNTA(TEXTSPLIT(DA150,",")))),IF(DC150="",TRUE,IF(input_event_type="",TRUE,SUMPRODUCT(--ISNUMBER(SEARCH(","&amp;TRIM(TEXTSPLIT(DC150,","))&amp;",",","&amp;SUBSTITUTE(input_event_type," ","")&amp;",")))=0)),IF(DE150="",TRUE,IF(input_event_type="",FALSE,SUMPRODUCT(--ISNUMBER(SEARCH(","&amp;TRIM(TEXTSPLIT(DE150,","))&amp;",",","&amp;SUBSTITUTE(input_event_type," ","")&amp;",")))&gt;0)),IF(DG150="",TRUE,IF(input_event_type="",FALSE,SUMPRODUCT(--ISNUMBER(SEARCH(","&amp;TRIM(TEXTSPLIT(DG150,","))&amp;",",","&amp;SUBSTITUTE(input_event_type," ","")&amp;",")))=COUNTA(TEXTSPLIT(DG150,",")))))</f>
        <v/>
      </c>
      <c r="JD150">
        <f>AND(IF(DI150="",TRUE,IF(input_executive_education_focus="",FALSE,SUMPRODUCT(--ISNUMBER(SEARCH(","&amp;TRIM(TEXTSPLIT(DI150,","))&amp;",",","&amp;SUBSTITUTE(input_executive_education_focus," ","")&amp;",")))&gt;0)),IF(DK150="",TRUE,IF(input_executive_education_focus="",FALSE,SUMPRODUCT(--ISNUMBER(SEARCH(","&amp;TRIM(TEXTSPLIT(DK150,","))&amp;",",","&amp;SUBSTITUTE(input_executive_education_focus," ","")&amp;",")))=COUNTA(TEXTSPLIT(DK150,",")))),IF(DM150="",TRUE,IF(input_executive_education_focus="",TRUE,SUMPRODUCT(--ISNUMBER(SEARCH(","&amp;TRIM(TEXTSPLIT(DM150,","))&amp;",",","&amp;SUBSTITUTE(input_executive_education_focus," ","")&amp;",")))=0)),IF(DO150="",TRUE,IF(input_executive_education_focus="",FALSE,SUMPRODUCT(--ISNUMBER(SEARCH(","&amp;TRIM(TEXTSPLIT(DO150,","))&amp;",",","&amp;SUBSTITUTE(input_executive_education_focus," ","")&amp;",")))&gt;0)),IF(DQ150="",TRUE,IF(input_executive_education_focus="",FALSE,SUMPRODUCT(--ISNUMBER(SEARCH(","&amp;TRIM(TEXTSPLIT(DQ150,","))&amp;",",","&amp;SUBSTITUTE(input_executive_education_focus," ","")&amp;",")))=COUNTA(TEXTSPLIT(DQ150,",")))))</f>
        <v/>
      </c>
      <c r="JE150">
        <f>AND(IF(DS150="",TRUE,IF(input_faculty_category="",FALSE,SUMPRODUCT(--ISNUMBER(SEARCH(","&amp;TRIM(TEXTSPLIT(DS150,","))&amp;",",","&amp;SUBSTITUTE(input_faculty_category," ","")&amp;",")))&gt;0)),IF(DU150="",TRUE,IF(input_faculty_category="",FALSE,SUMPRODUCT(--ISNUMBER(SEARCH(","&amp;TRIM(TEXTSPLIT(DU150,","))&amp;",",","&amp;SUBSTITUTE(input_faculty_category," ","")&amp;",")))=COUNTA(TEXTSPLIT(DU150,",")))),IF(DW150="",TRUE,IF(input_faculty_category="",TRUE,SUMPRODUCT(--ISNUMBER(SEARCH(","&amp;TRIM(TEXTSPLIT(DW150,","))&amp;",",","&amp;SUBSTITUTE(input_faculty_category," ","")&amp;",")))=0)),IF(DY150="",TRUE,IF(input_faculty_category="",FALSE,SUMPRODUCT(--ISNUMBER(SEARCH(","&amp;TRIM(TEXTSPLIT(DY150,","))&amp;",",","&amp;SUBSTITUTE(input_faculty_category," ","")&amp;",")))&gt;0)),IF(EA150="",TRUE,IF(input_faculty_category="",FALSE,SUMPRODUCT(--ISNUMBER(SEARCH(","&amp;TRIM(TEXTSPLIT(EA150,","))&amp;",",","&amp;SUBSTITUTE(input_faculty_category," ","")&amp;",")))=COUNTA(TEXTSPLIT(EA150,",")))))</f>
        <v/>
      </c>
      <c r="JF150">
        <f>AND(IF(EC150="",TRUE,IF(input_faculty_discipline="",FALSE,SUMPRODUCT(--ISNUMBER(SEARCH(","&amp;TRIM(TEXTSPLIT(EC150,","))&amp;",",","&amp;SUBSTITUTE(input_faculty_discipline," ","")&amp;",")))&gt;0)),IF(EE150="",TRUE,IF(input_faculty_discipline="",FALSE,SUMPRODUCT(--ISNUMBER(SEARCH(","&amp;TRIM(TEXTSPLIT(EE150,","))&amp;",",","&amp;SUBSTITUTE(input_faculty_discipline," ","")&amp;",")))=COUNTA(TEXTSPLIT(EE150,",")))),IF(EG150="",TRUE,IF(input_faculty_discipline="",TRUE,SUMPRODUCT(--ISNUMBER(SEARCH(","&amp;TRIM(TEXTSPLIT(EG150,","))&amp;",",","&amp;SUBSTITUTE(input_faculty_discipline," ","")&amp;",")))=0)),IF(EI150="",TRUE,IF(input_faculty_discipline="",FALSE,SUMPRODUCT(--ISNUMBER(SEARCH(","&amp;TRIM(TEXTSPLIT(EI150,","))&amp;",",","&amp;SUBSTITUTE(input_faculty_discipline," ","")&amp;",")))&gt;0)),IF(EK150="",TRUE,IF(input_faculty_discipline="",FALSE,SUMPRODUCT(--ISNUMBER(SEARCH(","&amp;TRIM(TEXTSPLIT(EK150,","))&amp;",",","&amp;SUBSTITUTE(input_faculty_discipline," ","")&amp;",")))=COUNTA(TEXTSPLIT(EK150,",")))))</f>
        <v/>
      </c>
      <c r="JG150">
        <f>AND(IF(EM150="",TRUE,IF(input_faculty_expertise="",FALSE,SUMPRODUCT(--ISNUMBER(SEARCH(","&amp;TRIM(TEXTSPLIT(EM150,","))&amp;",",","&amp;SUBSTITUTE(input_faculty_expertise," ","")&amp;",")))&gt;0)),IF(EO150="",TRUE,IF(input_faculty_expertise="",FALSE,SUMPRODUCT(--ISNUMBER(SEARCH(","&amp;TRIM(TEXTSPLIT(EO150,","))&amp;",",","&amp;SUBSTITUTE(input_faculty_expertise," ","")&amp;",")))=COUNTA(TEXTSPLIT(EO150,",")))),IF(EQ150="",TRUE,IF(input_faculty_expertise="",TRUE,SUMPRODUCT(--ISNUMBER(SEARCH(","&amp;TRIM(TEXTSPLIT(EQ150,","))&amp;",",","&amp;SUBSTITUTE(input_faculty_expertise," ","")&amp;",")))=0)),IF(ES150="",TRUE,IF(input_faculty_expertise="",FALSE,SUMPRODUCT(--ISNUMBER(SEARCH(","&amp;TRIM(TEXTSPLIT(ES150,","))&amp;",",","&amp;SUBSTITUTE(input_faculty_expertise," ","")&amp;",")))&gt;0)),IF(EU150="",TRUE,IF(input_faculty_expertise="",FALSE,SUMPRODUCT(--ISNUMBER(SEARCH(","&amp;TRIM(TEXTSPLIT(EU150,","))&amp;",",","&amp;SUBSTITUTE(input_faculty_expertise," ","")&amp;",")))=COUNTA(TEXTSPLIT(EU150,",")))))</f>
        <v/>
      </c>
      <c r="JH150">
        <f>AND(IF(EW150="",TRUE,IF(input_global_network_school="",FALSE,SUMPRODUCT(--ISNUMBER(SEARCH(","&amp;TRIM(TEXTSPLIT(EW150,","))&amp;",",","&amp;SUBSTITUTE(input_global_network_school," ","")&amp;",")))&gt;0)),IF(EY150="",TRUE,IF(input_global_network_school="",FALSE,SUMPRODUCT(--ISNUMBER(SEARCH(","&amp;TRIM(TEXTSPLIT(EY150,","))&amp;",",","&amp;SUBSTITUTE(input_global_network_school," ","")&amp;",")))=COUNTA(TEXTSPLIT(EY150,",")))),IF(FA150="",TRUE,IF(input_global_network_school="",TRUE,SUMPRODUCT(--ISNUMBER(SEARCH(","&amp;TRIM(TEXTSPLIT(FA150,","))&amp;",",","&amp;SUBSTITUTE(input_global_network_school," ","")&amp;",")))=0)),IF(FC150="",TRUE,IF(input_global_network_school="",FALSE,SUMPRODUCT(--ISNUMBER(SEARCH(","&amp;TRIM(TEXTSPLIT(FC150,","))&amp;",",","&amp;SUBSTITUTE(input_global_network_school," ","")&amp;",")))&gt;0)),IF(FE150="",TRUE,IF(input_global_network_school="",FALSE,SUMPRODUCT(--ISNUMBER(SEARCH(","&amp;TRIM(TEXTSPLIT(FE150,","))&amp;",",","&amp;SUBSTITUTE(input_global_network_school," ","")&amp;",")))=COUNTA(TEXTSPLIT(FE150,",")))))</f>
        <v/>
      </c>
      <c r="JI150">
        <f>AND(IF(FG150="",TRUE,IF(input_industry="",FALSE,SUMPRODUCT(--ISNUMBER(SEARCH(","&amp;TRIM(TEXTSPLIT(FG150,","))&amp;",",","&amp;SUBSTITUTE(input_industry," ","")&amp;",")))&gt;0)),IF(FI150="",TRUE,IF(input_industry="",FALSE,SUMPRODUCT(--ISNUMBER(SEARCH(","&amp;TRIM(TEXTSPLIT(FI150,","))&amp;",",","&amp;SUBSTITUTE(input_industry," ","")&amp;",")))=COUNTA(TEXTSPLIT(FI150,",")))),IF(FK150="",TRUE,IF(input_industry="",TRUE,SUMPRODUCT(--ISNUMBER(SEARCH(","&amp;TRIM(TEXTSPLIT(FK150,","))&amp;",",","&amp;SUBSTITUTE(input_industry," ","")&amp;",")))=0)),IF(FM150="",TRUE,IF(input_industry="",FALSE,SUMPRODUCT(--ISNUMBER(SEARCH(","&amp;TRIM(TEXTSPLIT(FM150,","))&amp;",",","&amp;SUBSTITUTE(input_industry," ","")&amp;",")))&gt;0)),IF(FO150="",TRUE,IF(input_industry="",FALSE,SUMPRODUCT(--ISNUMBER(SEARCH(","&amp;TRIM(TEXTSPLIT(FO150,","))&amp;",",","&amp;SUBSTITUTE(input_industry," ","")&amp;",")))=COUNTA(TEXTSPLIT(FO150,",")))))</f>
        <v/>
      </c>
      <c r="JJ150">
        <f>AND(IF(FQ150="",TRUE,IF(input_location="",FALSE,SUMPRODUCT(--ISNUMBER(SEARCH(","&amp;TRIM(TEXTSPLIT(FQ150,","))&amp;",",","&amp;SUBSTITUTE(input_location," ","")&amp;",")))&gt;0)),IF(FS150="",TRUE,IF(input_location="",FALSE,SUMPRODUCT(--ISNUMBER(SEARCH(","&amp;TRIM(TEXTSPLIT(FS150,","))&amp;",",","&amp;SUBSTITUTE(input_location," ","")&amp;",")))=COUNTA(TEXTSPLIT(FS150,",")))),IF(FU150="",TRUE,IF(input_location="",TRUE,SUMPRODUCT(--ISNUMBER(SEARCH(","&amp;TRIM(TEXTSPLIT(FU150,","))&amp;",",","&amp;SUBSTITUTE(input_location," ","")&amp;",")))=0)),IF(FW150="",TRUE,IF(input_location="",FALSE,SUMPRODUCT(--ISNUMBER(SEARCH(","&amp;TRIM(TEXTSPLIT(FW150,","))&amp;",",","&amp;SUBSTITUTE(input_location," ","")&amp;",")))&gt;0)),IF(FY150="",TRUE,IF(input_location="",FALSE,SUMPRODUCT(--ISNUMBER(SEARCH(","&amp;TRIM(TEXTSPLIT(FY150,","))&amp;",",","&amp;SUBSTITUTE(input_location," ","")&amp;",")))=COUNTA(TEXTSPLIT(FY150,",")))))</f>
        <v/>
      </c>
      <c r="JK150">
        <f>AND(IF(GA150="",TRUE,IF(input_modality="",FALSE,SUMPRODUCT(--ISNUMBER(SEARCH(","&amp;TRIM(TEXTSPLIT(GA150,","))&amp;",",","&amp;SUBSTITUTE(input_modality," ","")&amp;",")))&gt;0)),IF(GC150="",TRUE,IF(input_modality="",FALSE,SUMPRODUCT(--ISNUMBER(SEARCH(","&amp;TRIM(TEXTSPLIT(GC150,","))&amp;",",","&amp;SUBSTITUTE(input_modality," ","")&amp;",")))=COUNTA(TEXTSPLIT(GC150,",")))),IF(GE150="",TRUE,IF(input_modality="",TRUE,SUMPRODUCT(--ISNUMBER(SEARCH(","&amp;TRIM(TEXTSPLIT(GE150,","))&amp;",",","&amp;SUBSTITUTE(input_modality," ","")&amp;",")))=0)),IF(GG150="",TRUE,IF(input_modality="",FALSE,SUMPRODUCT(--ISNUMBER(SEARCH(","&amp;TRIM(TEXTSPLIT(GG150,","))&amp;",",","&amp;SUBSTITUTE(input_modality," ","")&amp;",")))&gt;0)),IF(GI150="",TRUE,IF(input_modality="",FALSE,SUMPRODUCT(--ISNUMBER(SEARCH(","&amp;TRIM(TEXTSPLIT(GI150,","))&amp;",",","&amp;SUBSTITUTE(input_modality," ","")&amp;",")))=COUNTA(TEXTSPLIT(GI150,",")))))</f>
        <v/>
      </c>
      <c r="JL150">
        <f>AND(IF(GK150="",TRUE,IF(input_organizer="",FALSE,SUMPRODUCT(--ISNUMBER(SEARCH(","&amp;TRIM(TEXTSPLIT(GK150,","))&amp;",",","&amp;SUBSTITUTE(input_organizer," ","")&amp;",")))&gt;0)),IF(GM150="",TRUE,IF(input_organizer="",FALSE,SUMPRODUCT(--ISNUMBER(SEARCH(","&amp;TRIM(TEXTSPLIT(GM150,","))&amp;",",","&amp;SUBSTITUTE(input_organizer," ","")&amp;",")))=COUNTA(TEXTSPLIT(GM150,",")))),IF(GO150="",TRUE,IF(input_organizer="",TRUE,SUMPRODUCT(--ISNUMBER(SEARCH(","&amp;TRIM(TEXTSPLIT(GO150,","))&amp;",",","&amp;SUBSTITUTE(input_organizer," ","")&amp;",")))=0)),IF(GQ150="",TRUE,IF(input_organizer="",FALSE,SUMPRODUCT(--ISNUMBER(SEARCH(","&amp;TRIM(TEXTSPLIT(GQ150,","))&amp;",",","&amp;SUBSTITUTE(input_organizer," ","")&amp;",")))&gt;0)),IF(GS150="",TRUE,IF(input_organizer="",FALSE,SUMPRODUCT(--ISNUMBER(SEARCH(","&amp;TRIM(TEXTSPLIT(GS150,","))&amp;",",","&amp;SUBSTITUTE(input_organizer," ","")&amp;",")))=COUNTA(TEXTSPLIT(GS150,",")))))</f>
        <v/>
      </c>
      <c r="JM150">
        <f>AND(IF(GU150="",TRUE,IF(input_profile_type="",FALSE,SUMPRODUCT(--ISNUMBER(SEARCH(","&amp;TRIM(TEXTSPLIT(GU150,","))&amp;",",","&amp;SUBSTITUTE(input_profile_type," ","")&amp;",")))&gt;0)),IF(GW150="",TRUE,IF(input_profile_type="",FALSE,SUMPRODUCT(--ISNUMBER(SEARCH(","&amp;TRIM(TEXTSPLIT(GW150,","))&amp;",",","&amp;SUBSTITUTE(input_profile_type," ","")&amp;",")))=COUNTA(TEXTSPLIT(GW150,",")))),IF(GY150="",TRUE,IF(input_profile_type="",TRUE,SUMPRODUCT(--ISNUMBER(SEARCH(","&amp;TRIM(TEXTSPLIT(GY150,","))&amp;",",","&amp;SUBSTITUTE(input_profile_type," ","")&amp;",")))=0)),IF(HA150="",TRUE,IF(input_profile_type="",FALSE,SUMPRODUCT(--ISNUMBER(SEARCH(","&amp;TRIM(TEXTSPLIT(HA150,","))&amp;",",","&amp;SUBSTITUTE(input_profile_type," ","")&amp;",")))&gt;0)),IF(HC150="",TRUE,IF(input_profile_type="",FALSE,SUMPRODUCT(--ISNUMBER(SEARCH(","&amp;TRIM(TEXTSPLIT(HC150,","))&amp;",",","&amp;SUBSTITUTE(input_profile_type," ","")&amp;",")))=COUNTA(TEXTSPLIT(HC150,",")))))</f>
        <v/>
      </c>
      <c r="JN150">
        <f>AND(IF(HE150="",TRUE,IF(input_program="",FALSE,SUMPRODUCT(--ISNUMBER(SEARCH(","&amp;TRIM(TEXTSPLIT(HE150,","))&amp;",",","&amp;SUBSTITUTE(input_program," ","")&amp;",")))&gt;0)),IF(HG150="",TRUE,IF(input_program="",FALSE,SUMPRODUCT(--ISNUMBER(SEARCH(","&amp;TRIM(TEXTSPLIT(HG150,","))&amp;",",","&amp;SUBSTITUTE(input_program," ","")&amp;",")))=COUNTA(TEXTSPLIT(HG150,",")))),IF(HI150="",TRUE,IF(input_program="",TRUE,SUMPRODUCT(--ISNUMBER(SEARCH(","&amp;TRIM(TEXTSPLIT(HI150,","))&amp;",",","&amp;SUBSTITUTE(input_program," ","")&amp;",")))=0)),IF(HK150="",TRUE,IF(input_program="",FALSE,SUMPRODUCT(--ISNUMBER(SEARCH(","&amp;TRIM(TEXTSPLIT(HK150,","))&amp;",",","&amp;SUBSTITUTE(input_program," ","")&amp;",")))&gt;0)),IF(HM150="",TRUE,IF(input_program="",FALSE,SUMPRODUCT(--ISNUMBER(SEARCH(","&amp;TRIM(TEXTSPLIT(HM150,","))&amp;",",","&amp;SUBSTITUTE(input_program," ","")&amp;",")))=COUNTA(TEXTSPLIT(HM150,",")))))</f>
        <v/>
      </c>
      <c r="JO150">
        <f>AND(IF(HO150="",TRUE,IF(input_story_categories="",FALSE,SUMPRODUCT(--ISNUMBER(SEARCH(","&amp;TRIM(TEXTSPLIT(HO150,","))&amp;",",","&amp;SUBSTITUTE(input_story_categories," ","")&amp;",")))&gt;0)),IF(HQ150="",TRUE,IF(input_story_categories="",FALSE,SUMPRODUCT(--ISNUMBER(SEARCH(","&amp;TRIM(TEXTSPLIT(HQ150,","))&amp;",",","&amp;SUBSTITUTE(input_story_categories," ","")&amp;",")))=COUNTA(TEXTSPLIT(HQ150,",")))),IF(HS150="",TRUE,IF(input_story_categories="",TRUE,SUMPRODUCT(--ISNUMBER(SEARCH(","&amp;TRIM(TEXTSPLIT(HS150,","))&amp;",",","&amp;SUBSTITUTE(input_story_categories," ","")&amp;",")))=0)),IF(HU150="",TRUE,IF(input_story_categories="",FALSE,SUMPRODUCT(--ISNUMBER(SEARCH(","&amp;TRIM(TEXTSPLIT(HU150,","))&amp;",",","&amp;SUBSTITUTE(input_story_categories," ","")&amp;",")))&gt;0)),IF(HW150="",TRUE,IF(input_story_categories="",FALSE,SUMPRODUCT(--ISNUMBER(SEARCH(","&amp;TRIM(TEXTSPLIT(HW150,","))&amp;",",","&amp;SUBSTITUTE(input_story_categories," ","")&amp;",")))=COUNTA(TEXTSPLIT(HW150,",")))))</f>
        <v/>
      </c>
      <c r="JP150">
        <f>AND(IF(HY150="",TRUE,IF(input_story_type="",FALSE,SUMPRODUCT(--ISNUMBER(SEARCH(","&amp;TRIM(TEXTSPLIT(HY150,","))&amp;",",","&amp;SUBSTITUTE(input_story_type," ","")&amp;",")))&gt;0)),IF(IA150="",TRUE,IF(input_story_type="",FALSE,SUMPRODUCT(--ISNUMBER(SEARCH(","&amp;TRIM(TEXTSPLIT(IA150,","))&amp;",",","&amp;SUBSTITUTE(input_story_type," ","")&amp;",")))=COUNTA(TEXTSPLIT(IA150,",")))),IF(IC150="",TRUE,IF(input_story_type="",TRUE,SUMPRODUCT(--ISNUMBER(SEARCH(","&amp;TRIM(TEXTSPLIT(IC150,","))&amp;",",","&amp;SUBSTITUTE(input_story_type," ","")&amp;",")))=0)),IF(IE150="",TRUE,IF(input_story_type="",FALSE,SUMPRODUCT(--ISNUMBER(SEARCH(","&amp;TRIM(TEXTSPLIT(IE150,","))&amp;",",","&amp;SUBSTITUTE(input_story_type," ","")&amp;",")))&gt;0)),IF(IG150="",TRUE,IF(input_story_type="",FALSE,SUMPRODUCT(--ISNUMBER(SEARCH(","&amp;TRIM(TEXTSPLIT(IG150,","))&amp;",",","&amp;SUBSTITUTE(input_story_type," ","")&amp;",")))=COUNTA(TEXTSPLIT(IG150,",")))))</f>
        <v/>
      </c>
      <c r="JQ150">
        <f>AND(IF(II150="",TRUE,IF(input_topics="",FALSE,SUMPRODUCT(--ISNUMBER(SEARCH(","&amp;TRIM(TEXTSPLIT(II150,","))&amp;",",","&amp;SUBSTITUTE(input_topics," ","")&amp;",")))&gt;0)),IF(IK150="",TRUE,IF(input_topics="",FALSE,SUMPRODUCT(--ISNUMBER(SEARCH(","&amp;TRIM(TEXTSPLIT(IK150,","))&amp;",",","&amp;SUBSTITUTE(input_topics," ","")&amp;",")))=COUNTA(TEXTSPLIT(IK150,",")))),IF(IM150="",TRUE,IF(input_topics="",TRUE,SUMPRODUCT(--ISNUMBER(SEARCH(","&amp;TRIM(TEXTSPLIT(IM150,","))&amp;",",","&amp;SUBSTITUTE(input_topics," ","")&amp;",")))=0)),IF(IO150="",TRUE,IF(input_topics="",FALSE,SUMPRODUCT(--ISNUMBER(SEARCH(","&amp;TRIM(TEXTSPLIT(IO150,","))&amp;",",","&amp;SUBSTITUTE(input_topics," ","")&amp;",")))&gt;0)),IF(IQ150="",TRUE,IF(input_topics="",FALSE,SUMPRODUCT(--ISNUMBER(SEARCH(","&amp;TRIM(TEXTSPLIT(IQ150,","))&amp;",",","&amp;SUBSTITUTE(input_topics," ","")&amp;",")))=COUNTA(TEXTSPLIT(IQ150,",")))))</f>
        <v/>
      </c>
    </row>
    <row r="151">
      <c r="A151" s="4">
        <f>IF(NOT(IS151),"Excluded",IF(AND(IT151,IU151,IV151,IW151,IX151,IY151,IZ151,JA151,JB151,JC151,JD151,JE151,JF151,JG151,JH151,JI151,JJ151,JK151,JL151,JM151,JN151,JO151,JP151,JQ151),IF(I151&gt;0,"Eligible but limited","Will appear"),"Excluded"))</f>
        <v/>
      </c>
      <c r="B151" s="4" t="inlineStr">
        <is>
          <t>PSEII News</t>
        </is>
      </c>
      <c r="C151" s="4" t="inlineStr">
        <is>
          <t>/centers/program-social-enterprise-innovation-impact/pseii-news</t>
        </is>
      </c>
      <c r="D151" s="4" t="inlineStr">
        <is>
          <t>/centers/program-social-enterprise-innovation-impact/pseii-news</t>
        </is>
      </c>
      <c r="E151" s="4" t="n">
        <v>1</v>
      </c>
      <c r="F151" s="4" t="inlineStr">
        <is>
          <t>story</t>
        </is>
      </c>
      <c r="G151" s="4" t="inlineStr">
        <is>
          <t>stories_list</t>
        </is>
      </c>
      <c r="H151" s="4" t="inlineStr">
        <is>
          <t>embed_1</t>
        </is>
      </c>
      <c r="I151" s="4" t="n">
        <v>10</v>
      </c>
      <c r="J151" s="4" t="inlineStr">
        <is>
          <t>Explicit args</t>
        </is>
      </c>
      <c r="K151" s="4" t="inlineStr">
        <is>
          <t>Page placement</t>
        </is>
      </c>
      <c r="L151" s="4" t="inlineStr">
        <is>
          <t>Content type: story; Context uses Courses Context: Program on Social Enterprise, Innovation, and Impact (933); Limited to 10 item(s); Source: Explicit args</t>
        </is>
      </c>
      <c r="M151" t="inlineStr"/>
      <c r="N151" t="inlineStr"/>
      <c r="O151" t="inlineStr"/>
      <c r="P151" t="inlineStr"/>
      <c r="Q151" t="inlineStr"/>
      <c r="R151" t="inlineStr"/>
      <c r="S151" t="inlineStr"/>
      <c r="T151" t="inlineStr"/>
      <c r="U151" t="inlineStr"/>
      <c r="V151" t="inlineStr"/>
      <c r="W151" t="inlineStr"/>
      <c r="X151" t="inlineStr"/>
      <c r="Y151" t="inlineStr"/>
      <c r="Z151" t="inlineStr"/>
      <c r="AA151" t="inlineStr"/>
      <c r="AB151" t="inlineStr"/>
      <c r="AC151" t="inlineStr"/>
      <c r="AD151" t="inlineStr"/>
      <c r="AE151" t="inlineStr"/>
      <c r="AF151" t="inlineStr"/>
      <c r="AG151" t="inlineStr"/>
      <c r="AH151" t="inlineStr"/>
      <c r="AI151" t="inlineStr"/>
      <c r="AJ151" t="inlineStr"/>
      <c r="AK151" t="inlineStr"/>
      <c r="AL151" t="inlineStr"/>
      <c r="AM151" t="inlineStr"/>
      <c r="AN151" t="inlineStr"/>
      <c r="AO151" t="inlineStr"/>
      <c r="AP151" t="inlineStr"/>
      <c r="AQ151" t="inlineStr"/>
      <c r="AR151" t="inlineStr"/>
      <c r="AS151" t="inlineStr"/>
      <c r="AT151" t="inlineStr"/>
      <c r="AU151" t="inlineStr"/>
      <c r="AV151" t="inlineStr"/>
      <c r="AW151" t="inlineStr"/>
      <c r="AX151" t="inlineStr"/>
      <c r="AY151" t="inlineStr"/>
      <c r="AZ151" t="inlineStr"/>
      <c r="BA151" t="inlineStr"/>
      <c r="BB151" t="inlineStr"/>
      <c r="BC151" t="inlineStr"/>
      <c r="BD151" t="inlineStr"/>
      <c r="BE151" t="inlineStr"/>
      <c r="BF151" t="inlineStr"/>
      <c r="BG151" t="inlineStr"/>
      <c r="BH151" t="inlineStr"/>
      <c r="BI151" t="inlineStr"/>
      <c r="BJ151" t="inlineStr"/>
      <c r="BK151" t="inlineStr"/>
      <c r="BL151" t="inlineStr"/>
      <c r="BM151" t="inlineStr"/>
      <c r="BN151" t="inlineStr"/>
      <c r="BO151" t="inlineStr"/>
      <c r="BP151" t="inlineStr"/>
      <c r="BQ151" t="inlineStr">
        <is>
          <t>933</t>
        </is>
      </c>
      <c r="BR151" t="inlineStr">
        <is>
          <t>Program on Social Enterprise, Innovation, and Impact (933)</t>
        </is>
      </c>
      <c r="BS151" t="inlineStr"/>
      <c r="BT151" t="inlineStr"/>
      <c r="BU151" t="inlineStr"/>
      <c r="BV151" t="inlineStr"/>
      <c r="BW151" t="inlineStr"/>
      <c r="BX151" t="inlineStr"/>
      <c r="BY151" t="inlineStr"/>
      <c r="BZ151" t="inlineStr"/>
      <c r="CA151" t="inlineStr"/>
      <c r="CB151" t="inlineStr"/>
      <c r="CC151" t="inlineStr"/>
      <c r="CD151" t="inlineStr"/>
      <c r="CE151" t="inlineStr"/>
      <c r="CF151" t="inlineStr"/>
      <c r="CG151" t="inlineStr"/>
      <c r="CH151" t="inlineStr"/>
      <c r="CI151" t="inlineStr"/>
      <c r="CJ151" t="inlineStr"/>
      <c r="CK151" t="inlineStr"/>
      <c r="CL151" t="inlineStr"/>
      <c r="CM151" t="inlineStr"/>
      <c r="CN151" t="inlineStr"/>
      <c r="CO151" t="inlineStr"/>
      <c r="CP151" t="inlineStr"/>
      <c r="CQ151" t="inlineStr"/>
      <c r="CR151" t="inlineStr"/>
      <c r="CS151" t="inlineStr"/>
      <c r="CT151" t="inlineStr"/>
      <c r="CU151" t="inlineStr"/>
      <c r="CV151" t="inlineStr"/>
      <c r="CW151" t="inlineStr"/>
      <c r="CX151" t="inlineStr"/>
      <c r="CY151" t="inlineStr"/>
      <c r="CZ151" t="inlineStr"/>
      <c r="DA151" t="inlineStr"/>
      <c r="DB151" t="inlineStr"/>
      <c r="DC151" t="inlineStr"/>
      <c r="DD151" t="inlineStr"/>
      <c r="DE151" t="inlineStr"/>
      <c r="DF151" t="inlineStr"/>
      <c r="DG151" t="inlineStr"/>
      <c r="DH151" t="inlineStr"/>
      <c r="DI151" t="inlineStr"/>
      <c r="DJ151" t="inlineStr"/>
      <c r="DK151" t="inlineStr"/>
      <c r="DL151" t="inlineStr"/>
      <c r="DM151" t="inlineStr"/>
      <c r="DN151" t="inlineStr"/>
      <c r="DO151" t="inlineStr"/>
      <c r="DP151" t="inlineStr"/>
      <c r="DQ151" t="inlineStr"/>
      <c r="DR151" t="inlineStr"/>
      <c r="DS151" t="inlineStr"/>
      <c r="DT151" t="inlineStr"/>
      <c r="DU151" t="inlineStr"/>
      <c r="DV151" t="inlineStr"/>
      <c r="DW151" t="inlineStr"/>
      <c r="DX151" t="inlineStr"/>
      <c r="DY151" t="inlineStr"/>
      <c r="DZ151" t="inlineStr"/>
      <c r="EA151" t="inlineStr"/>
      <c r="EB151" t="inlineStr"/>
      <c r="EC151" t="inlineStr"/>
      <c r="ED151" t="inlineStr"/>
      <c r="EE151" t="inlineStr"/>
      <c r="EF151" t="inlineStr"/>
      <c r="EG151" t="inlineStr"/>
      <c r="EH151" t="inlineStr"/>
      <c r="EI151" t="inlineStr"/>
      <c r="EJ151" t="inlineStr"/>
      <c r="EK151" t="inlineStr"/>
      <c r="EL151" t="inlineStr"/>
      <c r="EM151" t="inlineStr"/>
      <c r="EN151" t="inlineStr"/>
      <c r="EO151" t="inlineStr"/>
      <c r="EP151" t="inlineStr"/>
      <c r="EQ151" t="inlineStr"/>
      <c r="ER151" t="inlineStr"/>
      <c r="ES151" t="inlineStr"/>
      <c r="ET151" t="inlineStr"/>
      <c r="EU151" t="inlineStr"/>
      <c r="EV151" t="inlineStr"/>
      <c r="EW151" t="inlineStr"/>
      <c r="EX151" t="inlineStr"/>
      <c r="EY151" t="inlineStr"/>
      <c r="EZ151" t="inlineStr"/>
      <c r="FA151" t="inlineStr"/>
      <c r="FB151" t="inlineStr"/>
      <c r="FC151" t="inlineStr"/>
      <c r="FD151" t="inlineStr"/>
      <c r="FE151" t="inlineStr"/>
      <c r="FF151" t="inlineStr"/>
      <c r="FG151" t="inlineStr"/>
      <c r="FH151" t="inlineStr"/>
      <c r="FI151" t="inlineStr"/>
      <c r="FJ151" t="inlineStr"/>
      <c r="FK151" t="inlineStr"/>
      <c r="FL151" t="inlineStr"/>
      <c r="FM151" t="inlineStr"/>
      <c r="FN151" t="inlineStr"/>
      <c r="FO151" t="inlineStr"/>
      <c r="FP151" t="inlineStr"/>
      <c r="FQ151" t="inlineStr"/>
      <c r="FR151" t="inlineStr"/>
      <c r="FS151" t="inlineStr"/>
      <c r="FT151" t="inlineStr"/>
      <c r="FU151" t="inlineStr"/>
      <c r="FV151" t="inlineStr"/>
      <c r="FW151" t="inlineStr"/>
      <c r="FX151" t="inlineStr"/>
      <c r="FY151" t="inlineStr"/>
      <c r="FZ151" t="inlineStr"/>
      <c r="GA151" t="inlineStr"/>
      <c r="GB151" t="inlineStr"/>
      <c r="GC151" t="inlineStr"/>
      <c r="GD151" t="inlineStr"/>
      <c r="GE151" t="inlineStr"/>
      <c r="GF151" t="inlineStr"/>
      <c r="GG151" t="inlineStr"/>
      <c r="GH151" t="inlineStr"/>
      <c r="GI151" t="inlineStr"/>
      <c r="GJ151" t="inlineStr"/>
      <c r="GK151" t="inlineStr"/>
      <c r="GL151" t="inlineStr"/>
      <c r="GM151" t="inlineStr"/>
      <c r="GN151" t="inlineStr"/>
      <c r="GO151" t="inlineStr"/>
      <c r="GP151" t="inlineStr"/>
      <c r="GQ151" t="inlineStr"/>
      <c r="GR151" t="inlineStr"/>
      <c r="GS151" t="inlineStr"/>
      <c r="GT151" t="inlineStr"/>
      <c r="GU151" t="inlineStr"/>
      <c r="GV151" t="inlineStr"/>
      <c r="GW151" t="inlineStr"/>
      <c r="GX151" t="inlineStr"/>
      <c r="GY151" t="inlineStr"/>
      <c r="GZ151" t="inlineStr"/>
      <c r="HA151" t="inlineStr"/>
      <c r="HB151" t="inlineStr"/>
      <c r="HC151" t="inlineStr"/>
      <c r="HD151" t="inlineStr"/>
      <c r="HE151" t="inlineStr"/>
      <c r="HF151" t="inlineStr"/>
      <c r="HG151" t="inlineStr"/>
      <c r="HH151" t="inlineStr"/>
      <c r="HI151" t="inlineStr"/>
      <c r="HJ151" t="inlineStr"/>
      <c r="HK151" t="inlineStr"/>
      <c r="HL151" t="inlineStr"/>
      <c r="HM151" t="inlineStr"/>
      <c r="HN151" t="inlineStr"/>
      <c r="HO151" t="inlineStr"/>
      <c r="HP151" t="inlineStr"/>
      <c r="HQ151" t="inlineStr"/>
      <c r="HR151" t="inlineStr"/>
      <c r="HS151" t="inlineStr"/>
      <c r="HT151" t="inlineStr"/>
      <c r="HU151" t="inlineStr"/>
      <c r="HV151" t="inlineStr"/>
      <c r="HW151" t="inlineStr"/>
      <c r="HX151" t="inlineStr"/>
      <c r="HY151" t="inlineStr"/>
      <c r="HZ151" t="inlineStr"/>
      <c r="IA151" t="inlineStr"/>
      <c r="IB151" t="inlineStr"/>
      <c r="IC151" t="inlineStr"/>
      <c r="ID151" t="inlineStr"/>
      <c r="IE151" t="inlineStr"/>
      <c r="IF151" t="inlineStr"/>
      <c r="IG151" t="inlineStr"/>
      <c r="IH151" t="inlineStr"/>
      <c r="II151" t="inlineStr"/>
      <c r="IJ151" t="inlineStr"/>
      <c r="IK151" t="inlineStr"/>
      <c r="IL151" t="inlineStr"/>
      <c r="IM151" t="inlineStr"/>
      <c r="IN151" t="inlineStr"/>
      <c r="IO151" t="inlineStr"/>
      <c r="IP151" t="inlineStr"/>
      <c r="IQ151" t="inlineStr"/>
      <c r="IR151" t="inlineStr"/>
      <c r="IS151">
        <f>IF(input_content_type="",FALSE,ISNUMBER(SEARCH(","&amp;LOWER(input_content_type)&amp;",",","&amp;LOWER(F151)&amp;",")))</f>
        <v/>
      </c>
      <c r="IT151">
        <f>AND(IF(M151="",TRUE,IF(input_affiliations="",FALSE,SUMPRODUCT(--ISNUMBER(SEARCH(","&amp;TRIM(TEXTSPLIT(M151,","))&amp;",",","&amp;SUBSTITUTE(input_affiliations," ","")&amp;",")))&gt;0)),IF(O151="",TRUE,IF(input_affiliations="",FALSE,SUMPRODUCT(--ISNUMBER(SEARCH(","&amp;TRIM(TEXTSPLIT(O151,","))&amp;",",","&amp;SUBSTITUTE(input_affiliations," ","")&amp;",")))=COUNTA(TEXTSPLIT(O151,",")))),IF(Q151="",TRUE,IF(input_affiliations="",TRUE,SUMPRODUCT(--ISNUMBER(SEARCH(","&amp;TRIM(TEXTSPLIT(Q151,","))&amp;",",","&amp;SUBSTITUTE(input_affiliations," ","")&amp;",")))=0)),IF(S151="",TRUE,IF(input_affiliations="",FALSE,SUMPRODUCT(--ISNUMBER(SEARCH(","&amp;TRIM(TEXTSPLIT(S151,","))&amp;",",","&amp;SUBSTITUTE(input_affiliations," ","")&amp;",")))&gt;0)),IF(U151="",TRUE,IF(input_affiliations="",FALSE,SUMPRODUCT(--ISNUMBER(SEARCH(","&amp;TRIM(TEXTSPLIT(U151,","))&amp;",",","&amp;SUBSTITUTE(input_affiliations," ","")&amp;",")))=COUNTA(TEXTSPLIT(U151,",")))))</f>
        <v/>
      </c>
      <c r="IU151">
        <f>AND(IF(W151="",TRUE,IF(input_announcement_category="",FALSE,SUMPRODUCT(--ISNUMBER(SEARCH(","&amp;TRIM(TEXTSPLIT(W151,","))&amp;",",","&amp;SUBSTITUTE(input_announcement_category," ","")&amp;",")))&gt;0)),IF(Y151="",TRUE,IF(input_announcement_category="",FALSE,SUMPRODUCT(--ISNUMBER(SEARCH(","&amp;TRIM(TEXTSPLIT(Y151,","))&amp;",",","&amp;SUBSTITUTE(input_announcement_category," ","")&amp;",")))=COUNTA(TEXTSPLIT(Y151,",")))),IF(AA151="",TRUE,IF(input_announcement_category="",TRUE,SUMPRODUCT(--ISNUMBER(SEARCH(","&amp;TRIM(TEXTSPLIT(AA151,","))&amp;",",","&amp;SUBSTITUTE(input_announcement_category," ","")&amp;",")))=0)),IF(AC151="",TRUE,IF(input_announcement_category="",FALSE,SUMPRODUCT(--ISNUMBER(SEARCH(","&amp;TRIM(TEXTSPLIT(AC151,","))&amp;",",","&amp;SUBSTITUTE(input_announcement_category," ","")&amp;",")))&gt;0)),IF(AE151="",TRUE,IF(input_announcement_category="",FALSE,SUMPRODUCT(--ISNUMBER(SEARCH(","&amp;TRIM(TEXTSPLIT(AE151,","))&amp;",",","&amp;SUBSTITUTE(input_announcement_category," ","")&amp;",")))=COUNTA(TEXTSPLIT(AE151,",")))))</f>
        <v/>
      </c>
      <c r="IV151">
        <f>AND(IF(AG151="",TRUE,IF(input_area_of_focus="",FALSE,SUMPRODUCT(--ISNUMBER(SEARCH(","&amp;TRIM(TEXTSPLIT(AG151,","))&amp;",",","&amp;SUBSTITUTE(input_area_of_focus," ","")&amp;",")))&gt;0)),IF(AI151="",TRUE,IF(input_area_of_focus="",FALSE,SUMPRODUCT(--ISNUMBER(SEARCH(","&amp;TRIM(TEXTSPLIT(AI151,","))&amp;",",","&amp;SUBSTITUTE(input_area_of_focus," ","")&amp;",")))=COUNTA(TEXTSPLIT(AI151,",")))),IF(AK151="",TRUE,IF(input_area_of_focus="",TRUE,SUMPRODUCT(--ISNUMBER(SEARCH(","&amp;TRIM(TEXTSPLIT(AK151,","))&amp;",",","&amp;SUBSTITUTE(input_area_of_focus," ","")&amp;",")))=0)),IF(AM151="",TRUE,IF(input_area_of_focus="",FALSE,SUMPRODUCT(--ISNUMBER(SEARCH(","&amp;TRIM(TEXTSPLIT(AM151,","))&amp;",",","&amp;SUBSTITUTE(input_area_of_focus," ","")&amp;",")))&gt;0)),IF(AO151="",TRUE,IF(input_area_of_focus="",FALSE,SUMPRODUCT(--ISNUMBER(SEARCH(","&amp;TRIM(TEXTSPLIT(AO151,","))&amp;",",","&amp;SUBSTITUTE(input_area_of_focus," ","")&amp;",")))=COUNTA(TEXTSPLIT(AO151,",")))))</f>
        <v/>
      </c>
      <c r="IW151">
        <f>AND(IF(AQ151="",TRUE,IF(input_audience="",FALSE,SUMPRODUCT(--ISNUMBER(SEARCH(","&amp;TRIM(TEXTSPLIT(AQ151,","))&amp;",",","&amp;SUBSTITUTE(input_audience," ","")&amp;",")))&gt;0)),IF(AS151="",TRUE,IF(input_audience="",FALSE,SUMPRODUCT(--ISNUMBER(SEARCH(","&amp;TRIM(TEXTSPLIT(AS151,","))&amp;",",","&amp;SUBSTITUTE(input_audience," ","")&amp;",")))=COUNTA(TEXTSPLIT(AS151,",")))),IF(AU151="",TRUE,IF(input_audience="",TRUE,SUMPRODUCT(--ISNUMBER(SEARCH(","&amp;TRIM(TEXTSPLIT(AU151,","))&amp;",",","&amp;SUBSTITUTE(input_audience," ","")&amp;",")))=0)),IF(AW151="",TRUE,IF(input_audience="",FALSE,SUMPRODUCT(--ISNUMBER(SEARCH(","&amp;TRIM(TEXTSPLIT(AW151,","))&amp;",",","&amp;SUBSTITUTE(input_audience," ","")&amp;",")))&gt;0)),IF(AY151="",TRUE,IF(input_audience="",FALSE,SUMPRODUCT(--ISNUMBER(SEARCH(","&amp;TRIM(TEXTSPLIT(AY151,","))&amp;",",","&amp;SUBSTITUTE(input_audience," ","")&amp;",")))=COUNTA(TEXTSPLIT(AY151,",")))))</f>
        <v/>
      </c>
      <c r="IX151">
        <f>AND(IF(BA151="",TRUE,IF(input_challenge_opportunities="",FALSE,SUMPRODUCT(--ISNUMBER(SEARCH(","&amp;TRIM(TEXTSPLIT(BA151,","))&amp;",",","&amp;SUBSTITUTE(input_challenge_opportunities," ","")&amp;",")))&gt;0)),IF(BC151="",TRUE,IF(input_challenge_opportunities="",FALSE,SUMPRODUCT(--ISNUMBER(SEARCH(","&amp;TRIM(TEXTSPLIT(BC151,","))&amp;",",","&amp;SUBSTITUTE(input_challenge_opportunities," ","")&amp;",")))=COUNTA(TEXTSPLIT(BC151,",")))),IF(BE151="",TRUE,IF(input_challenge_opportunities="",TRUE,SUMPRODUCT(--ISNUMBER(SEARCH(","&amp;TRIM(TEXTSPLIT(BE151,","))&amp;",",","&amp;SUBSTITUTE(input_challenge_opportunities," ","")&amp;",")))=0)),IF(BG151="",TRUE,IF(input_challenge_opportunities="",FALSE,SUMPRODUCT(--ISNUMBER(SEARCH(","&amp;TRIM(TEXTSPLIT(BG151,","))&amp;",",","&amp;SUBSTITUTE(input_challenge_opportunities," ","")&amp;",")))&gt;0)),IF(BI151="",TRUE,IF(input_challenge_opportunities="",FALSE,SUMPRODUCT(--ISNUMBER(SEARCH(","&amp;TRIM(TEXTSPLIT(BI151,","))&amp;",",","&amp;SUBSTITUTE(input_challenge_opportunities," ","")&amp;",")))=COUNTA(TEXTSPLIT(BI151,",")))))</f>
        <v/>
      </c>
      <c r="IY151">
        <f>AND(IF(BK151="",TRUE,IF(input_context="",FALSE,SUMPRODUCT(--ISNUMBER(SEARCH(","&amp;TRIM(TEXTSPLIT(BK151,","))&amp;",",","&amp;SUBSTITUTE(input_context," ","")&amp;",")))&gt;0)),IF(BM151="",TRUE,IF(input_context="",FALSE,SUMPRODUCT(--ISNUMBER(SEARCH(","&amp;TRIM(TEXTSPLIT(BM151,","))&amp;",",","&amp;SUBSTITUTE(input_context," ","")&amp;",")))=COUNTA(TEXTSPLIT(BM151,",")))),IF(BO151="",TRUE,IF(input_context="",TRUE,SUMPRODUCT(--ISNUMBER(SEARCH(","&amp;TRIM(TEXTSPLIT(BO151,","))&amp;",",","&amp;SUBSTITUTE(input_context," ","")&amp;",")))=0)),IF(BQ151="",TRUE,IF(input_context="",FALSE,SUMPRODUCT(--ISNUMBER(SEARCH(","&amp;TRIM(TEXTSPLIT(BQ151,","))&amp;",",","&amp;SUBSTITUTE(input_context," ","")&amp;",")))&gt;0)),IF(BS151="",TRUE,IF(input_context="",FALSE,SUMPRODUCT(--ISNUMBER(SEARCH(","&amp;TRIM(TEXTSPLIT(BS151,","))&amp;",",","&amp;SUBSTITUTE(input_context," ","")&amp;",")))=COUNTA(TEXTSPLIT(BS151,",")))))</f>
        <v/>
      </c>
      <c r="IZ151">
        <f>AND(IF(BU151="",TRUE,IF(input_enews_announcement_type="",FALSE,SUMPRODUCT(--ISNUMBER(SEARCH(","&amp;TRIM(TEXTSPLIT(BU151,","))&amp;",",","&amp;SUBSTITUTE(input_enews_announcement_type," ","")&amp;",")))&gt;0)),IF(BW151="",TRUE,IF(input_enews_announcement_type="",FALSE,SUMPRODUCT(--ISNUMBER(SEARCH(","&amp;TRIM(TEXTSPLIT(BW151,","))&amp;",",","&amp;SUBSTITUTE(input_enews_announcement_type," ","")&amp;",")))=COUNTA(TEXTSPLIT(BW151,",")))),IF(BY151="",TRUE,IF(input_enews_announcement_type="",TRUE,SUMPRODUCT(--ISNUMBER(SEARCH(","&amp;TRIM(TEXTSPLIT(BY151,","))&amp;",",","&amp;SUBSTITUTE(input_enews_announcement_type," ","")&amp;",")))=0)),IF(CA151="",TRUE,IF(input_enews_announcement_type="",FALSE,SUMPRODUCT(--ISNUMBER(SEARCH(","&amp;TRIM(TEXTSPLIT(CA151,","))&amp;",",","&amp;SUBSTITUTE(input_enews_announcement_type," ","")&amp;",")))&gt;0)),IF(CC151="",TRUE,IF(input_enews_announcement_type="",FALSE,SUMPRODUCT(--ISNUMBER(SEARCH(","&amp;TRIM(TEXTSPLIT(CC151,","))&amp;",",","&amp;SUBSTITUTE(input_enews_announcement_type," ","")&amp;",")))=COUNTA(TEXTSPLIT(CC151,",")))))</f>
        <v/>
      </c>
      <c r="JA151">
        <f>AND(IF(CE151="",TRUE,IF(input_enews_audience="",FALSE,SUMPRODUCT(--ISNUMBER(SEARCH(","&amp;TRIM(TEXTSPLIT(CE151,","))&amp;",",","&amp;SUBSTITUTE(input_enews_audience," ","")&amp;",")))&gt;0)),IF(CG151="",TRUE,IF(input_enews_audience="",FALSE,SUMPRODUCT(--ISNUMBER(SEARCH(","&amp;TRIM(TEXTSPLIT(CG151,","))&amp;",",","&amp;SUBSTITUTE(input_enews_audience," ","")&amp;",")))=COUNTA(TEXTSPLIT(CG151,",")))),IF(CI151="",TRUE,IF(input_enews_audience="",TRUE,SUMPRODUCT(--ISNUMBER(SEARCH(","&amp;TRIM(TEXTSPLIT(CI151,","))&amp;",",","&amp;SUBSTITUTE(input_enews_audience," ","")&amp;",")))=0)),IF(CK151="",TRUE,IF(input_enews_audience="",FALSE,SUMPRODUCT(--ISNUMBER(SEARCH(","&amp;TRIM(TEXTSPLIT(CK151,","))&amp;",",","&amp;SUBSTITUTE(input_enews_audience," ","")&amp;",")))&gt;0)),IF(CM151="",TRUE,IF(input_enews_audience="",FALSE,SUMPRODUCT(--ISNUMBER(SEARCH(","&amp;TRIM(TEXTSPLIT(CM151,","))&amp;",",","&amp;SUBSTITUTE(input_enews_audience," ","")&amp;",")))=COUNTA(TEXTSPLIT(CM151,",")))))</f>
        <v/>
      </c>
      <c r="JB151">
        <f>AND(IF(CO151="",TRUE,IF(input_event_location="",FALSE,SUMPRODUCT(--ISNUMBER(SEARCH(","&amp;TRIM(TEXTSPLIT(CO151,","))&amp;",",","&amp;SUBSTITUTE(input_event_location," ","")&amp;",")))&gt;0)),IF(CQ151="",TRUE,IF(input_event_location="",FALSE,SUMPRODUCT(--ISNUMBER(SEARCH(","&amp;TRIM(TEXTSPLIT(CQ151,","))&amp;",",","&amp;SUBSTITUTE(input_event_location," ","")&amp;",")))=COUNTA(TEXTSPLIT(CQ151,",")))),IF(CS151="",TRUE,IF(input_event_location="",TRUE,SUMPRODUCT(--ISNUMBER(SEARCH(","&amp;TRIM(TEXTSPLIT(CS151,","))&amp;",",","&amp;SUBSTITUTE(input_event_location," ","")&amp;",")))=0)),IF(CU151="",TRUE,IF(input_event_location="",FALSE,SUMPRODUCT(--ISNUMBER(SEARCH(","&amp;TRIM(TEXTSPLIT(CU151,","))&amp;",",","&amp;SUBSTITUTE(input_event_location," ","")&amp;",")))&gt;0)),IF(CW151="",TRUE,IF(input_event_location="",FALSE,SUMPRODUCT(--ISNUMBER(SEARCH(","&amp;TRIM(TEXTSPLIT(CW151,","))&amp;",",","&amp;SUBSTITUTE(input_event_location," ","")&amp;",")))=COUNTA(TEXTSPLIT(CW151,",")))))</f>
        <v/>
      </c>
      <c r="JC151">
        <f>AND(IF(CY151="",TRUE,IF(input_event_type="",FALSE,SUMPRODUCT(--ISNUMBER(SEARCH(","&amp;TRIM(TEXTSPLIT(CY151,","))&amp;",",","&amp;SUBSTITUTE(input_event_type," ","")&amp;",")))&gt;0)),IF(DA151="",TRUE,IF(input_event_type="",FALSE,SUMPRODUCT(--ISNUMBER(SEARCH(","&amp;TRIM(TEXTSPLIT(DA151,","))&amp;",",","&amp;SUBSTITUTE(input_event_type," ","")&amp;",")))=COUNTA(TEXTSPLIT(DA151,",")))),IF(DC151="",TRUE,IF(input_event_type="",TRUE,SUMPRODUCT(--ISNUMBER(SEARCH(","&amp;TRIM(TEXTSPLIT(DC151,","))&amp;",",","&amp;SUBSTITUTE(input_event_type," ","")&amp;",")))=0)),IF(DE151="",TRUE,IF(input_event_type="",FALSE,SUMPRODUCT(--ISNUMBER(SEARCH(","&amp;TRIM(TEXTSPLIT(DE151,","))&amp;",",","&amp;SUBSTITUTE(input_event_type," ","")&amp;",")))&gt;0)),IF(DG151="",TRUE,IF(input_event_type="",FALSE,SUMPRODUCT(--ISNUMBER(SEARCH(","&amp;TRIM(TEXTSPLIT(DG151,","))&amp;",",","&amp;SUBSTITUTE(input_event_type," ","")&amp;",")))=COUNTA(TEXTSPLIT(DG151,",")))))</f>
        <v/>
      </c>
      <c r="JD151">
        <f>AND(IF(DI151="",TRUE,IF(input_executive_education_focus="",FALSE,SUMPRODUCT(--ISNUMBER(SEARCH(","&amp;TRIM(TEXTSPLIT(DI151,","))&amp;",",","&amp;SUBSTITUTE(input_executive_education_focus," ","")&amp;",")))&gt;0)),IF(DK151="",TRUE,IF(input_executive_education_focus="",FALSE,SUMPRODUCT(--ISNUMBER(SEARCH(","&amp;TRIM(TEXTSPLIT(DK151,","))&amp;",",","&amp;SUBSTITUTE(input_executive_education_focus," ","")&amp;",")))=COUNTA(TEXTSPLIT(DK151,",")))),IF(DM151="",TRUE,IF(input_executive_education_focus="",TRUE,SUMPRODUCT(--ISNUMBER(SEARCH(","&amp;TRIM(TEXTSPLIT(DM151,","))&amp;",",","&amp;SUBSTITUTE(input_executive_education_focus," ","")&amp;",")))=0)),IF(DO151="",TRUE,IF(input_executive_education_focus="",FALSE,SUMPRODUCT(--ISNUMBER(SEARCH(","&amp;TRIM(TEXTSPLIT(DO151,","))&amp;",",","&amp;SUBSTITUTE(input_executive_education_focus," ","")&amp;",")))&gt;0)),IF(DQ151="",TRUE,IF(input_executive_education_focus="",FALSE,SUMPRODUCT(--ISNUMBER(SEARCH(","&amp;TRIM(TEXTSPLIT(DQ151,","))&amp;",",","&amp;SUBSTITUTE(input_executive_education_focus," ","")&amp;",")))=COUNTA(TEXTSPLIT(DQ151,",")))))</f>
        <v/>
      </c>
      <c r="JE151">
        <f>AND(IF(DS151="",TRUE,IF(input_faculty_category="",FALSE,SUMPRODUCT(--ISNUMBER(SEARCH(","&amp;TRIM(TEXTSPLIT(DS151,","))&amp;",",","&amp;SUBSTITUTE(input_faculty_category," ","")&amp;",")))&gt;0)),IF(DU151="",TRUE,IF(input_faculty_category="",FALSE,SUMPRODUCT(--ISNUMBER(SEARCH(","&amp;TRIM(TEXTSPLIT(DU151,","))&amp;",",","&amp;SUBSTITUTE(input_faculty_category," ","")&amp;",")))=COUNTA(TEXTSPLIT(DU151,",")))),IF(DW151="",TRUE,IF(input_faculty_category="",TRUE,SUMPRODUCT(--ISNUMBER(SEARCH(","&amp;TRIM(TEXTSPLIT(DW151,","))&amp;",",","&amp;SUBSTITUTE(input_faculty_category," ","")&amp;",")))=0)),IF(DY151="",TRUE,IF(input_faculty_category="",FALSE,SUMPRODUCT(--ISNUMBER(SEARCH(","&amp;TRIM(TEXTSPLIT(DY151,","))&amp;",",","&amp;SUBSTITUTE(input_faculty_category," ","")&amp;",")))&gt;0)),IF(EA151="",TRUE,IF(input_faculty_category="",FALSE,SUMPRODUCT(--ISNUMBER(SEARCH(","&amp;TRIM(TEXTSPLIT(EA151,","))&amp;",",","&amp;SUBSTITUTE(input_faculty_category," ","")&amp;",")))=COUNTA(TEXTSPLIT(EA151,",")))))</f>
        <v/>
      </c>
      <c r="JF151">
        <f>AND(IF(EC151="",TRUE,IF(input_faculty_discipline="",FALSE,SUMPRODUCT(--ISNUMBER(SEARCH(","&amp;TRIM(TEXTSPLIT(EC151,","))&amp;",",","&amp;SUBSTITUTE(input_faculty_discipline," ","")&amp;",")))&gt;0)),IF(EE151="",TRUE,IF(input_faculty_discipline="",FALSE,SUMPRODUCT(--ISNUMBER(SEARCH(","&amp;TRIM(TEXTSPLIT(EE151,","))&amp;",",","&amp;SUBSTITUTE(input_faculty_discipline," ","")&amp;",")))=COUNTA(TEXTSPLIT(EE151,",")))),IF(EG151="",TRUE,IF(input_faculty_discipline="",TRUE,SUMPRODUCT(--ISNUMBER(SEARCH(","&amp;TRIM(TEXTSPLIT(EG151,","))&amp;",",","&amp;SUBSTITUTE(input_faculty_discipline," ","")&amp;",")))=0)),IF(EI151="",TRUE,IF(input_faculty_discipline="",FALSE,SUMPRODUCT(--ISNUMBER(SEARCH(","&amp;TRIM(TEXTSPLIT(EI151,","))&amp;",",","&amp;SUBSTITUTE(input_faculty_discipline," ","")&amp;",")))&gt;0)),IF(EK151="",TRUE,IF(input_faculty_discipline="",FALSE,SUMPRODUCT(--ISNUMBER(SEARCH(","&amp;TRIM(TEXTSPLIT(EK151,","))&amp;",",","&amp;SUBSTITUTE(input_faculty_discipline," ","")&amp;",")))=COUNTA(TEXTSPLIT(EK151,",")))))</f>
        <v/>
      </c>
      <c r="JG151">
        <f>AND(IF(EM151="",TRUE,IF(input_faculty_expertise="",FALSE,SUMPRODUCT(--ISNUMBER(SEARCH(","&amp;TRIM(TEXTSPLIT(EM151,","))&amp;",",","&amp;SUBSTITUTE(input_faculty_expertise," ","")&amp;",")))&gt;0)),IF(EO151="",TRUE,IF(input_faculty_expertise="",FALSE,SUMPRODUCT(--ISNUMBER(SEARCH(","&amp;TRIM(TEXTSPLIT(EO151,","))&amp;",",","&amp;SUBSTITUTE(input_faculty_expertise," ","")&amp;",")))=COUNTA(TEXTSPLIT(EO151,",")))),IF(EQ151="",TRUE,IF(input_faculty_expertise="",TRUE,SUMPRODUCT(--ISNUMBER(SEARCH(","&amp;TRIM(TEXTSPLIT(EQ151,","))&amp;",",","&amp;SUBSTITUTE(input_faculty_expertise," ","")&amp;",")))=0)),IF(ES151="",TRUE,IF(input_faculty_expertise="",FALSE,SUMPRODUCT(--ISNUMBER(SEARCH(","&amp;TRIM(TEXTSPLIT(ES151,","))&amp;",",","&amp;SUBSTITUTE(input_faculty_expertise," ","")&amp;",")))&gt;0)),IF(EU151="",TRUE,IF(input_faculty_expertise="",FALSE,SUMPRODUCT(--ISNUMBER(SEARCH(","&amp;TRIM(TEXTSPLIT(EU151,","))&amp;",",","&amp;SUBSTITUTE(input_faculty_expertise," ","")&amp;",")))=COUNTA(TEXTSPLIT(EU151,",")))))</f>
        <v/>
      </c>
      <c r="JH151">
        <f>AND(IF(EW151="",TRUE,IF(input_global_network_school="",FALSE,SUMPRODUCT(--ISNUMBER(SEARCH(","&amp;TRIM(TEXTSPLIT(EW151,","))&amp;",",","&amp;SUBSTITUTE(input_global_network_school," ","")&amp;",")))&gt;0)),IF(EY151="",TRUE,IF(input_global_network_school="",FALSE,SUMPRODUCT(--ISNUMBER(SEARCH(","&amp;TRIM(TEXTSPLIT(EY151,","))&amp;",",","&amp;SUBSTITUTE(input_global_network_school," ","")&amp;",")))=COUNTA(TEXTSPLIT(EY151,",")))),IF(FA151="",TRUE,IF(input_global_network_school="",TRUE,SUMPRODUCT(--ISNUMBER(SEARCH(","&amp;TRIM(TEXTSPLIT(FA151,","))&amp;",",","&amp;SUBSTITUTE(input_global_network_school," ","")&amp;",")))=0)),IF(FC151="",TRUE,IF(input_global_network_school="",FALSE,SUMPRODUCT(--ISNUMBER(SEARCH(","&amp;TRIM(TEXTSPLIT(FC151,","))&amp;",",","&amp;SUBSTITUTE(input_global_network_school," ","")&amp;",")))&gt;0)),IF(FE151="",TRUE,IF(input_global_network_school="",FALSE,SUMPRODUCT(--ISNUMBER(SEARCH(","&amp;TRIM(TEXTSPLIT(FE151,","))&amp;",",","&amp;SUBSTITUTE(input_global_network_school," ","")&amp;",")))=COUNTA(TEXTSPLIT(FE151,",")))))</f>
        <v/>
      </c>
      <c r="JI151">
        <f>AND(IF(FG151="",TRUE,IF(input_industry="",FALSE,SUMPRODUCT(--ISNUMBER(SEARCH(","&amp;TRIM(TEXTSPLIT(FG151,","))&amp;",",","&amp;SUBSTITUTE(input_industry," ","")&amp;",")))&gt;0)),IF(FI151="",TRUE,IF(input_industry="",FALSE,SUMPRODUCT(--ISNUMBER(SEARCH(","&amp;TRIM(TEXTSPLIT(FI151,","))&amp;",",","&amp;SUBSTITUTE(input_industry," ","")&amp;",")))=COUNTA(TEXTSPLIT(FI151,",")))),IF(FK151="",TRUE,IF(input_industry="",TRUE,SUMPRODUCT(--ISNUMBER(SEARCH(","&amp;TRIM(TEXTSPLIT(FK151,","))&amp;",",","&amp;SUBSTITUTE(input_industry," ","")&amp;",")))=0)),IF(FM151="",TRUE,IF(input_industry="",FALSE,SUMPRODUCT(--ISNUMBER(SEARCH(","&amp;TRIM(TEXTSPLIT(FM151,","))&amp;",",","&amp;SUBSTITUTE(input_industry," ","")&amp;",")))&gt;0)),IF(FO151="",TRUE,IF(input_industry="",FALSE,SUMPRODUCT(--ISNUMBER(SEARCH(","&amp;TRIM(TEXTSPLIT(FO151,","))&amp;",",","&amp;SUBSTITUTE(input_industry," ","")&amp;",")))=COUNTA(TEXTSPLIT(FO151,",")))))</f>
        <v/>
      </c>
      <c r="JJ151">
        <f>AND(IF(FQ151="",TRUE,IF(input_location="",FALSE,SUMPRODUCT(--ISNUMBER(SEARCH(","&amp;TRIM(TEXTSPLIT(FQ151,","))&amp;",",","&amp;SUBSTITUTE(input_location," ","")&amp;",")))&gt;0)),IF(FS151="",TRUE,IF(input_location="",FALSE,SUMPRODUCT(--ISNUMBER(SEARCH(","&amp;TRIM(TEXTSPLIT(FS151,","))&amp;",",","&amp;SUBSTITUTE(input_location," ","")&amp;",")))=COUNTA(TEXTSPLIT(FS151,",")))),IF(FU151="",TRUE,IF(input_location="",TRUE,SUMPRODUCT(--ISNUMBER(SEARCH(","&amp;TRIM(TEXTSPLIT(FU151,","))&amp;",",","&amp;SUBSTITUTE(input_location," ","")&amp;",")))=0)),IF(FW151="",TRUE,IF(input_location="",FALSE,SUMPRODUCT(--ISNUMBER(SEARCH(","&amp;TRIM(TEXTSPLIT(FW151,","))&amp;",",","&amp;SUBSTITUTE(input_location," ","")&amp;",")))&gt;0)),IF(FY151="",TRUE,IF(input_location="",FALSE,SUMPRODUCT(--ISNUMBER(SEARCH(","&amp;TRIM(TEXTSPLIT(FY151,","))&amp;",",","&amp;SUBSTITUTE(input_location," ","")&amp;",")))=COUNTA(TEXTSPLIT(FY151,",")))))</f>
        <v/>
      </c>
      <c r="JK151">
        <f>AND(IF(GA151="",TRUE,IF(input_modality="",FALSE,SUMPRODUCT(--ISNUMBER(SEARCH(","&amp;TRIM(TEXTSPLIT(GA151,","))&amp;",",","&amp;SUBSTITUTE(input_modality," ","")&amp;",")))&gt;0)),IF(GC151="",TRUE,IF(input_modality="",FALSE,SUMPRODUCT(--ISNUMBER(SEARCH(","&amp;TRIM(TEXTSPLIT(GC151,","))&amp;",",","&amp;SUBSTITUTE(input_modality," ","")&amp;",")))=COUNTA(TEXTSPLIT(GC151,",")))),IF(GE151="",TRUE,IF(input_modality="",TRUE,SUMPRODUCT(--ISNUMBER(SEARCH(","&amp;TRIM(TEXTSPLIT(GE151,","))&amp;",",","&amp;SUBSTITUTE(input_modality," ","")&amp;",")))=0)),IF(GG151="",TRUE,IF(input_modality="",FALSE,SUMPRODUCT(--ISNUMBER(SEARCH(","&amp;TRIM(TEXTSPLIT(GG151,","))&amp;",",","&amp;SUBSTITUTE(input_modality," ","")&amp;",")))&gt;0)),IF(GI151="",TRUE,IF(input_modality="",FALSE,SUMPRODUCT(--ISNUMBER(SEARCH(","&amp;TRIM(TEXTSPLIT(GI151,","))&amp;",",","&amp;SUBSTITUTE(input_modality," ","")&amp;",")))=COUNTA(TEXTSPLIT(GI151,",")))))</f>
        <v/>
      </c>
      <c r="JL151">
        <f>AND(IF(GK151="",TRUE,IF(input_organizer="",FALSE,SUMPRODUCT(--ISNUMBER(SEARCH(","&amp;TRIM(TEXTSPLIT(GK151,","))&amp;",",","&amp;SUBSTITUTE(input_organizer," ","")&amp;",")))&gt;0)),IF(GM151="",TRUE,IF(input_organizer="",FALSE,SUMPRODUCT(--ISNUMBER(SEARCH(","&amp;TRIM(TEXTSPLIT(GM151,","))&amp;",",","&amp;SUBSTITUTE(input_organizer," ","")&amp;",")))=COUNTA(TEXTSPLIT(GM151,",")))),IF(GO151="",TRUE,IF(input_organizer="",TRUE,SUMPRODUCT(--ISNUMBER(SEARCH(","&amp;TRIM(TEXTSPLIT(GO151,","))&amp;",",","&amp;SUBSTITUTE(input_organizer," ","")&amp;",")))=0)),IF(GQ151="",TRUE,IF(input_organizer="",FALSE,SUMPRODUCT(--ISNUMBER(SEARCH(","&amp;TRIM(TEXTSPLIT(GQ151,","))&amp;",",","&amp;SUBSTITUTE(input_organizer," ","")&amp;",")))&gt;0)),IF(GS151="",TRUE,IF(input_organizer="",FALSE,SUMPRODUCT(--ISNUMBER(SEARCH(","&amp;TRIM(TEXTSPLIT(GS151,","))&amp;",",","&amp;SUBSTITUTE(input_organizer," ","")&amp;",")))=COUNTA(TEXTSPLIT(GS151,",")))))</f>
        <v/>
      </c>
      <c r="JM151">
        <f>AND(IF(GU151="",TRUE,IF(input_profile_type="",FALSE,SUMPRODUCT(--ISNUMBER(SEARCH(","&amp;TRIM(TEXTSPLIT(GU151,","))&amp;",",","&amp;SUBSTITUTE(input_profile_type," ","")&amp;",")))&gt;0)),IF(GW151="",TRUE,IF(input_profile_type="",FALSE,SUMPRODUCT(--ISNUMBER(SEARCH(","&amp;TRIM(TEXTSPLIT(GW151,","))&amp;",",","&amp;SUBSTITUTE(input_profile_type," ","")&amp;",")))=COUNTA(TEXTSPLIT(GW151,",")))),IF(GY151="",TRUE,IF(input_profile_type="",TRUE,SUMPRODUCT(--ISNUMBER(SEARCH(","&amp;TRIM(TEXTSPLIT(GY151,","))&amp;",",","&amp;SUBSTITUTE(input_profile_type," ","")&amp;",")))=0)),IF(HA151="",TRUE,IF(input_profile_type="",FALSE,SUMPRODUCT(--ISNUMBER(SEARCH(","&amp;TRIM(TEXTSPLIT(HA151,","))&amp;",",","&amp;SUBSTITUTE(input_profile_type," ","")&amp;",")))&gt;0)),IF(HC151="",TRUE,IF(input_profile_type="",FALSE,SUMPRODUCT(--ISNUMBER(SEARCH(","&amp;TRIM(TEXTSPLIT(HC151,","))&amp;",",","&amp;SUBSTITUTE(input_profile_type," ","")&amp;",")))=COUNTA(TEXTSPLIT(HC151,",")))))</f>
        <v/>
      </c>
      <c r="JN151">
        <f>AND(IF(HE151="",TRUE,IF(input_program="",FALSE,SUMPRODUCT(--ISNUMBER(SEARCH(","&amp;TRIM(TEXTSPLIT(HE151,","))&amp;",",","&amp;SUBSTITUTE(input_program," ","")&amp;",")))&gt;0)),IF(HG151="",TRUE,IF(input_program="",FALSE,SUMPRODUCT(--ISNUMBER(SEARCH(","&amp;TRIM(TEXTSPLIT(HG151,","))&amp;",",","&amp;SUBSTITUTE(input_program," ","")&amp;",")))=COUNTA(TEXTSPLIT(HG151,",")))),IF(HI151="",TRUE,IF(input_program="",TRUE,SUMPRODUCT(--ISNUMBER(SEARCH(","&amp;TRIM(TEXTSPLIT(HI151,","))&amp;",",","&amp;SUBSTITUTE(input_program," ","")&amp;",")))=0)),IF(HK151="",TRUE,IF(input_program="",FALSE,SUMPRODUCT(--ISNUMBER(SEARCH(","&amp;TRIM(TEXTSPLIT(HK151,","))&amp;",",","&amp;SUBSTITUTE(input_program," ","")&amp;",")))&gt;0)),IF(HM151="",TRUE,IF(input_program="",FALSE,SUMPRODUCT(--ISNUMBER(SEARCH(","&amp;TRIM(TEXTSPLIT(HM151,","))&amp;",",","&amp;SUBSTITUTE(input_program," ","")&amp;",")))=COUNTA(TEXTSPLIT(HM151,",")))))</f>
        <v/>
      </c>
      <c r="JO151">
        <f>AND(IF(HO151="",TRUE,IF(input_story_categories="",FALSE,SUMPRODUCT(--ISNUMBER(SEARCH(","&amp;TRIM(TEXTSPLIT(HO151,","))&amp;",",","&amp;SUBSTITUTE(input_story_categories," ","")&amp;",")))&gt;0)),IF(HQ151="",TRUE,IF(input_story_categories="",FALSE,SUMPRODUCT(--ISNUMBER(SEARCH(","&amp;TRIM(TEXTSPLIT(HQ151,","))&amp;",",","&amp;SUBSTITUTE(input_story_categories," ","")&amp;",")))=COUNTA(TEXTSPLIT(HQ151,",")))),IF(HS151="",TRUE,IF(input_story_categories="",TRUE,SUMPRODUCT(--ISNUMBER(SEARCH(","&amp;TRIM(TEXTSPLIT(HS151,","))&amp;",",","&amp;SUBSTITUTE(input_story_categories," ","")&amp;",")))=0)),IF(HU151="",TRUE,IF(input_story_categories="",FALSE,SUMPRODUCT(--ISNUMBER(SEARCH(","&amp;TRIM(TEXTSPLIT(HU151,","))&amp;",",","&amp;SUBSTITUTE(input_story_categories," ","")&amp;",")))&gt;0)),IF(HW151="",TRUE,IF(input_story_categories="",FALSE,SUMPRODUCT(--ISNUMBER(SEARCH(","&amp;TRIM(TEXTSPLIT(HW151,","))&amp;",",","&amp;SUBSTITUTE(input_story_categories," ","")&amp;",")))=COUNTA(TEXTSPLIT(HW151,",")))))</f>
        <v/>
      </c>
      <c r="JP151">
        <f>AND(IF(HY151="",TRUE,IF(input_story_type="",FALSE,SUMPRODUCT(--ISNUMBER(SEARCH(","&amp;TRIM(TEXTSPLIT(HY151,","))&amp;",",","&amp;SUBSTITUTE(input_story_type," ","")&amp;",")))&gt;0)),IF(IA151="",TRUE,IF(input_story_type="",FALSE,SUMPRODUCT(--ISNUMBER(SEARCH(","&amp;TRIM(TEXTSPLIT(IA151,","))&amp;",",","&amp;SUBSTITUTE(input_story_type," ","")&amp;",")))=COUNTA(TEXTSPLIT(IA151,",")))),IF(IC151="",TRUE,IF(input_story_type="",TRUE,SUMPRODUCT(--ISNUMBER(SEARCH(","&amp;TRIM(TEXTSPLIT(IC151,","))&amp;",",","&amp;SUBSTITUTE(input_story_type," ","")&amp;",")))=0)),IF(IE151="",TRUE,IF(input_story_type="",FALSE,SUMPRODUCT(--ISNUMBER(SEARCH(","&amp;TRIM(TEXTSPLIT(IE151,","))&amp;",",","&amp;SUBSTITUTE(input_story_type," ","")&amp;",")))&gt;0)),IF(IG151="",TRUE,IF(input_story_type="",FALSE,SUMPRODUCT(--ISNUMBER(SEARCH(","&amp;TRIM(TEXTSPLIT(IG151,","))&amp;",",","&amp;SUBSTITUTE(input_story_type," ","")&amp;",")))=COUNTA(TEXTSPLIT(IG151,",")))))</f>
        <v/>
      </c>
      <c r="JQ151">
        <f>AND(IF(II151="",TRUE,IF(input_topics="",FALSE,SUMPRODUCT(--ISNUMBER(SEARCH(","&amp;TRIM(TEXTSPLIT(II151,","))&amp;",",","&amp;SUBSTITUTE(input_topics," ","")&amp;",")))&gt;0)),IF(IK151="",TRUE,IF(input_topics="",FALSE,SUMPRODUCT(--ISNUMBER(SEARCH(","&amp;TRIM(TEXTSPLIT(IK151,","))&amp;",",","&amp;SUBSTITUTE(input_topics," ","")&amp;",")))=COUNTA(TEXTSPLIT(IK151,",")))),IF(IM151="",TRUE,IF(input_topics="",TRUE,SUMPRODUCT(--ISNUMBER(SEARCH(","&amp;TRIM(TEXTSPLIT(IM151,","))&amp;",",","&amp;SUBSTITUTE(input_topics," ","")&amp;",")))=0)),IF(IO151="",TRUE,IF(input_topics="",FALSE,SUMPRODUCT(--ISNUMBER(SEARCH(","&amp;TRIM(TEXTSPLIT(IO151,","))&amp;",",","&amp;SUBSTITUTE(input_topics," ","")&amp;",")))&gt;0)),IF(IQ151="",TRUE,IF(input_topics="",FALSE,SUMPRODUCT(--ISNUMBER(SEARCH(","&amp;TRIM(TEXTSPLIT(IQ151,","))&amp;",",","&amp;SUBSTITUTE(input_topics," ","")&amp;",")))=COUNTA(TEXTSPLIT(IQ151,",")))))</f>
        <v/>
      </c>
    </row>
    <row r="152">
      <c r="A152" s="4">
        <f>IF(NOT(IS152),"Excluded",IF(AND(IT152,IU152,IV152,IW152,IX152,IY152,IZ152,JA152,JB152,JC152,JD152,JE152,JF152,JG152,JH152,JI152,JJ152,JK152,JL152,JM152,JN152,JO152,JP152,JQ152),IF(I152&gt;0,"Eligible but limited","Will appear"),"Excluded"))</f>
        <v/>
      </c>
      <c r="B152" s="4" t="inlineStr">
        <is>
          <t>Publication Article</t>
        </is>
      </c>
      <c r="C152" s="4" t="inlineStr">
        <is>
          <t>/faculty-research/faculty-directory/gregory-p-licholai</t>
        </is>
      </c>
      <c r="D152" s="4" t="inlineStr">
        <is>
          <t>/faculty-research/faculty-directory/gregory-p-licholai</t>
        </is>
      </c>
      <c r="E152" s="4" t="n">
        <v>1</v>
      </c>
      <c r="F152" s="4" t="inlineStr">
        <is>
          <t>publications</t>
        </is>
      </c>
      <c r="G152" s="4" t="inlineStr">
        <is>
          <t>publication_teaser_list</t>
        </is>
      </c>
      <c r="H152" s="4" t="inlineStr">
        <is>
          <t>publication_teaser_list_article</t>
        </is>
      </c>
      <c r="I152" s="4" t="n">
        <v>3</v>
      </c>
      <c r="J152" s="4" t="inlineStr">
        <is>
          <t>View/config rules</t>
        </is>
      </c>
      <c r="K152" s="4" t="inlineStr">
        <is>
          <t>Page placement</t>
        </is>
      </c>
      <c r="L152" s="4" t="inlineStr">
        <is>
          <t>Content type: publications; Limited to 3 item(s); Source: View/config rules</t>
        </is>
      </c>
      <c r="M152" t="inlineStr"/>
      <c r="N152" t="inlineStr"/>
      <c r="O152" t="inlineStr"/>
      <c r="P152" t="inlineStr"/>
      <c r="Q152" t="inlineStr"/>
      <c r="R152" t="inlineStr"/>
      <c r="S152" t="inlineStr"/>
      <c r="T152" t="inlineStr"/>
      <c r="U152" t="inlineStr"/>
      <c r="V152" t="inlineStr"/>
      <c r="W152" t="inlineStr"/>
      <c r="X152" t="inlineStr"/>
      <c r="Y152" t="inlineStr"/>
      <c r="Z152" t="inlineStr"/>
      <c r="AA152" t="inlineStr"/>
      <c r="AB152" t="inlineStr"/>
      <c r="AC152" t="inlineStr"/>
      <c r="AD152" t="inlineStr"/>
      <c r="AE152" t="inlineStr"/>
      <c r="AF152" t="inlineStr"/>
      <c r="AG152" t="inlineStr"/>
      <c r="AH152" t="inlineStr"/>
      <c r="AI152" t="inlineStr"/>
      <c r="AJ152" t="inlineStr"/>
      <c r="AK152" t="inlineStr"/>
      <c r="AL152" t="inlineStr"/>
      <c r="AM152" t="inlineStr"/>
      <c r="AN152" t="inlineStr"/>
      <c r="AO152" t="inlineStr"/>
      <c r="AP152" t="inlineStr"/>
      <c r="AQ152" t="inlineStr"/>
      <c r="AR152" t="inlineStr"/>
      <c r="AS152" t="inlineStr"/>
      <c r="AT152" t="inlineStr"/>
      <c r="AU152" t="inlineStr"/>
      <c r="AV152" t="inlineStr"/>
      <c r="AW152" t="inlineStr"/>
      <c r="AX152" t="inlineStr"/>
      <c r="AY152" t="inlineStr"/>
      <c r="AZ152" t="inlineStr"/>
      <c r="BA152" t="inlineStr"/>
      <c r="BB152" t="inlineStr"/>
      <c r="BC152" t="inlineStr"/>
      <c r="BD152" t="inlineStr"/>
      <c r="BE152" t="inlineStr"/>
      <c r="BF152" t="inlineStr"/>
      <c r="BG152" t="inlineStr"/>
      <c r="BH152" t="inlineStr"/>
      <c r="BI152" t="inlineStr"/>
      <c r="BJ152" t="inlineStr"/>
      <c r="BK152" t="inlineStr"/>
      <c r="BL152" t="inlineStr"/>
      <c r="BM152" t="inlineStr"/>
      <c r="BN152" t="inlineStr"/>
      <c r="BO152" t="inlineStr"/>
      <c r="BP152" t="inlineStr"/>
      <c r="BQ152" t="inlineStr"/>
      <c r="BR152" t="inlineStr"/>
      <c r="BS152" t="inlineStr"/>
      <c r="BT152" t="inlineStr"/>
      <c r="BU152" t="inlineStr"/>
      <c r="BV152" t="inlineStr"/>
      <c r="BW152" t="inlineStr"/>
      <c r="BX152" t="inlineStr"/>
      <c r="BY152" t="inlineStr"/>
      <c r="BZ152" t="inlineStr"/>
      <c r="CA152" t="inlineStr"/>
      <c r="CB152" t="inlineStr"/>
      <c r="CC152" t="inlineStr"/>
      <c r="CD152" t="inlineStr"/>
      <c r="CE152" t="inlineStr"/>
      <c r="CF152" t="inlineStr"/>
      <c r="CG152" t="inlineStr"/>
      <c r="CH152" t="inlineStr"/>
      <c r="CI152" t="inlineStr"/>
      <c r="CJ152" t="inlineStr"/>
      <c r="CK152" t="inlineStr"/>
      <c r="CL152" t="inlineStr"/>
      <c r="CM152" t="inlineStr"/>
      <c r="CN152" t="inlineStr"/>
      <c r="CO152" t="inlineStr"/>
      <c r="CP152" t="inlineStr"/>
      <c r="CQ152" t="inlineStr"/>
      <c r="CR152" t="inlineStr"/>
      <c r="CS152" t="inlineStr"/>
      <c r="CT152" t="inlineStr"/>
      <c r="CU152" t="inlineStr"/>
      <c r="CV152" t="inlineStr"/>
      <c r="CW152" t="inlineStr"/>
      <c r="CX152" t="inlineStr"/>
      <c r="CY152" t="inlineStr"/>
      <c r="CZ152" t="inlineStr"/>
      <c r="DA152" t="inlineStr"/>
      <c r="DB152" t="inlineStr"/>
      <c r="DC152" t="inlineStr"/>
      <c r="DD152" t="inlineStr"/>
      <c r="DE152" t="inlineStr"/>
      <c r="DF152" t="inlineStr"/>
      <c r="DG152" t="inlineStr"/>
      <c r="DH152" t="inlineStr"/>
      <c r="DI152" t="inlineStr"/>
      <c r="DJ152" t="inlineStr"/>
      <c r="DK152" t="inlineStr"/>
      <c r="DL152" t="inlineStr"/>
      <c r="DM152" t="inlineStr"/>
      <c r="DN152" t="inlineStr"/>
      <c r="DO152" t="inlineStr"/>
      <c r="DP152" t="inlineStr"/>
      <c r="DQ152" t="inlineStr"/>
      <c r="DR152" t="inlineStr"/>
      <c r="DS152" t="inlineStr"/>
      <c r="DT152" t="inlineStr"/>
      <c r="DU152" t="inlineStr"/>
      <c r="DV152" t="inlineStr"/>
      <c r="DW152" t="inlineStr"/>
      <c r="DX152" t="inlineStr"/>
      <c r="DY152" t="inlineStr"/>
      <c r="DZ152" t="inlineStr"/>
      <c r="EA152" t="inlineStr"/>
      <c r="EB152" t="inlineStr"/>
      <c r="EC152" t="inlineStr"/>
      <c r="ED152" t="inlineStr"/>
      <c r="EE152" t="inlineStr"/>
      <c r="EF152" t="inlineStr"/>
      <c r="EG152" t="inlineStr"/>
      <c r="EH152" t="inlineStr"/>
      <c r="EI152" t="inlineStr"/>
      <c r="EJ152" t="inlineStr"/>
      <c r="EK152" t="inlineStr"/>
      <c r="EL152" t="inlineStr"/>
      <c r="EM152" t="inlineStr"/>
      <c r="EN152" t="inlineStr"/>
      <c r="EO152" t="inlineStr"/>
      <c r="EP152" t="inlineStr"/>
      <c r="EQ152" t="inlineStr"/>
      <c r="ER152" t="inlineStr"/>
      <c r="ES152" t="inlineStr"/>
      <c r="ET152" t="inlineStr"/>
      <c r="EU152" t="inlineStr"/>
      <c r="EV152" t="inlineStr"/>
      <c r="EW152" t="inlineStr"/>
      <c r="EX152" t="inlineStr"/>
      <c r="EY152" t="inlineStr"/>
      <c r="EZ152" t="inlineStr"/>
      <c r="FA152" t="inlineStr"/>
      <c r="FB152" t="inlineStr"/>
      <c r="FC152" t="inlineStr"/>
      <c r="FD152" t="inlineStr"/>
      <c r="FE152" t="inlineStr"/>
      <c r="FF152" t="inlineStr"/>
      <c r="FG152" t="inlineStr"/>
      <c r="FH152" t="inlineStr"/>
      <c r="FI152" t="inlineStr"/>
      <c r="FJ152" t="inlineStr"/>
      <c r="FK152" t="inlineStr"/>
      <c r="FL152" t="inlineStr"/>
      <c r="FM152" t="inlineStr"/>
      <c r="FN152" t="inlineStr"/>
      <c r="FO152" t="inlineStr"/>
      <c r="FP152" t="inlineStr"/>
      <c r="FQ152" t="inlineStr"/>
      <c r="FR152" t="inlineStr"/>
      <c r="FS152" t="inlineStr"/>
      <c r="FT152" t="inlineStr"/>
      <c r="FU152" t="inlineStr"/>
      <c r="FV152" t="inlineStr"/>
      <c r="FW152" t="inlineStr"/>
      <c r="FX152" t="inlineStr"/>
      <c r="FY152" t="inlineStr"/>
      <c r="FZ152" t="inlineStr"/>
      <c r="GA152" t="inlineStr"/>
      <c r="GB152" t="inlineStr"/>
      <c r="GC152" t="inlineStr"/>
      <c r="GD152" t="inlineStr"/>
      <c r="GE152" t="inlineStr"/>
      <c r="GF152" t="inlineStr"/>
      <c r="GG152" t="inlineStr"/>
      <c r="GH152" t="inlineStr"/>
      <c r="GI152" t="inlineStr"/>
      <c r="GJ152" t="inlineStr"/>
      <c r="GK152" t="inlineStr"/>
      <c r="GL152" t="inlineStr"/>
      <c r="GM152" t="inlineStr"/>
      <c r="GN152" t="inlineStr"/>
      <c r="GO152" t="inlineStr"/>
      <c r="GP152" t="inlineStr"/>
      <c r="GQ152" t="inlineStr"/>
      <c r="GR152" t="inlineStr"/>
      <c r="GS152" t="inlineStr"/>
      <c r="GT152" t="inlineStr"/>
      <c r="GU152" t="inlineStr"/>
      <c r="GV152" t="inlineStr"/>
      <c r="GW152" t="inlineStr"/>
      <c r="GX152" t="inlineStr"/>
      <c r="GY152" t="inlineStr"/>
      <c r="GZ152" t="inlineStr"/>
      <c r="HA152" t="inlineStr"/>
      <c r="HB152" t="inlineStr"/>
      <c r="HC152" t="inlineStr"/>
      <c r="HD152" t="inlineStr"/>
      <c r="HE152" t="inlineStr"/>
      <c r="HF152" t="inlineStr"/>
      <c r="HG152" t="inlineStr"/>
      <c r="HH152" t="inlineStr"/>
      <c r="HI152" t="inlineStr"/>
      <c r="HJ152" t="inlineStr"/>
      <c r="HK152" t="inlineStr"/>
      <c r="HL152" t="inlineStr"/>
      <c r="HM152" t="inlineStr"/>
      <c r="HN152" t="inlineStr"/>
      <c r="HO152" t="inlineStr"/>
      <c r="HP152" t="inlineStr"/>
      <c r="HQ152" t="inlineStr"/>
      <c r="HR152" t="inlineStr"/>
      <c r="HS152" t="inlineStr"/>
      <c r="HT152" t="inlineStr"/>
      <c r="HU152" t="inlineStr"/>
      <c r="HV152" t="inlineStr"/>
      <c r="HW152" t="inlineStr"/>
      <c r="HX152" t="inlineStr"/>
      <c r="HY152" t="inlineStr"/>
      <c r="HZ152" t="inlineStr"/>
      <c r="IA152" t="inlineStr"/>
      <c r="IB152" t="inlineStr"/>
      <c r="IC152" t="inlineStr"/>
      <c r="ID152" t="inlineStr"/>
      <c r="IE152" t="inlineStr"/>
      <c r="IF152" t="inlineStr"/>
      <c r="IG152" t="inlineStr"/>
      <c r="IH152" t="inlineStr"/>
      <c r="II152" t="inlineStr"/>
      <c r="IJ152" t="inlineStr"/>
      <c r="IK152" t="inlineStr"/>
      <c r="IL152" t="inlineStr"/>
      <c r="IM152" t="inlineStr"/>
      <c r="IN152" t="inlineStr"/>
      <c r="IO152" t="inlineStr"/>
      <c r="IP152" t="inlineStr"/>
      <c r="IQ152" t="inlineStr"/>
      <c r="IR152" t="inlineStr"/>
      <c r="IS152">
        <f>IF(input_content_type="",FALSE,ISNUMBER(SEARCH(","&amp;LOWER(input_content_type)&amp;",",","&amp;LOWER(F152)&amp;",")))</f>
        <v/>
      </c>
      <c r="IT152">
        <f>AND(IF(M152="",TRUE,IF(input_affiliations="",FALSE,SUMPRODUCT(--ISNUMBER(SEARCH(","&amp;TRIM(TEXTSPLIT(M152,","))&amp;",",","&amp;SUBSTITUTE(input_affiliations," ","")&amp;",")))&gt;0)),IF(O152="",TRUE,IF(input_affiliations="",FALSE,SUMPRODUCT(--ISNUMBER(SEARCH(","&amp;TRIM(TEXTSPLIT(O152,","))&amp;",",","&amp;SUBSTITUTE(input_affiliations," ","")&amp;",")))=COUNTA(TEXTSPLIT(O152,",")))),IF(Q152="",TRUE,IF(input_affiliations="",TRUE,SUMPRODUCT(--ISNUMBER(SEARCH(","&amp;TRIM(TEXTSPLIT(Q152,","))&amp;",",","&amp;SUBSTITUTE(input_affiliations," ","")&amp;",")))=0)),IF(S152="",TRUE,IF(input_affiliations="",FALSE,SUMPRODUCT(--ISNUMBER(SEARCH(","&amp;TRIM(TEXTSPLIT(S152,","))&amp;",",","&amp;SUBSTITUTE(input_affiliations," ","")&amp;",")))&gt;0)),IF(U152="",TRUE,IF(input_affiliations="",FALSE,SUMPRODUCT(--ISNUMBER(SEARCH(","&amp;TRIM(TEXTSPLIT(U152,","))&amp;",",","&amp;SUBSTITUTE(input_affiliations," ","")&amp;",")))=COUNTA(TEXTSPLIT(U152,",")))))</f>
        <v/>
      </c>
      <c r="IU152">
        <f>AND(IF(W152="",TRUE,IF(input_announcement_category="",FALSE,SUMPRODUCT(--ISNUMBER(SEARCH(","&amp;TRIM(TEXTSPLIT(W152,","))&amp;",",","&amp;SUBSTITUTE(input_announcement_category," ","")&amp;",")))&gt;0)),IF(Y152="",TRUE,IF(input_announcement_category="",FALSE,SUMPRODUCT(--ISNUMBER(SEARCH(","&amp;TRIM(TEXTSPLIT(Y152,","))&amp;",",","&amp;SUBSTITUTE(input_announcement_category," ","")&amp;",")))=COUNTA(TEXTSPLIT(Y152,",")))),IF(AA152="",TRUE,IF(input_announcement_category="",TRUE,SUMPRODUCT(--ISNUMBER(SEARCH(","&amp;TRIM(TEXTSPLIT(AA152,","))&amp;",",","&amp;SUBSTITUTE(input_announcement_category," ","")&amp;",")))=0)),IF(AC152="",TRUE,IF(input_announcement_category="",FALSE,SUMPRODUCT(--ISNUMBER(SEARCH(","&amp;TRIM(TEXTSPLIT(AC152,","))&amp;",",","&amp;SUBSTITUTE(input_announcement_category," ","")&amp;",")))&gt;0)),IF(AE152="",TRUE,IF(input_announcement_category="",FALSE,SUMPRODUCT(--ISNUMBER(SEARCH(","&amp;TRIM(TEXTSPLIT(AE152,","))&amp;",",","&amp;SUBSTITUTE(input_announcement_category," ","")&amp;",")))=COUNTA(TEXTSPLIT(AE152,",")))))</f>
        <v/>
      </c>
      <c r="IV152">
        <f>AND(IF(AG152="",TRUE,IF(input_area_of_focus="",FALSE,SUMPRODUCT(--ISNUMBER(SEARCH(","&amp;TRIM(TEXTSPLIT(AG152,","))&amp;",",","&amp;SUBSTITUTE(input_area_of_focus," ","")&amp;",")))&gt;0)),IF(AI152="",TRUE,IF(input_area_of_focus="",FALSE,SUMPRODUCT(--ISNUMBER(SEARCH(","&amp;TRIM(TEXTSPLIT(AI152,","))&amp;",",","&amp;SUBSTITUTE(input_area_of_focus," ","")&amp;",")))=COUNTA(TEXTSPLIT(AI152,",")))),IF(AK152="",TRUE,IF(input_area_of_focus="",TRUE,SUMPRODUCT(--ISNUMBER(SEARCH(","&amp;TRIM(TEXTSPLIT(AK152,","))&amp;",",","&amp;SUBSTITUTE(input_area_of_focus," ","")&amp;",")))=0)),IF(AM152="",TRUE,IF(input_area_of_focus="",FALSE,SUMPRODUCT(--ISNUMBER(SEARCH(","&amp;TRIM(TEXTSPLIT(AM152,","))&amp;",",","&amp;SUBSTITUTE(input_area_of_focus," ","")&amp;",")))&gt;0)),IF(AO152="",TRUE,IF(input_area_of_focus="",FALSE,SUMPRODUCT(--ISNUMBER(SEARCH(","&amp;TRIM(TEXTSPLIT(AO152,","))&amp;",",","&amp;SUBSTITUTE(input_area_of_focus," ","")&amp;",")))=COUNTA(TEXTSPLIT(AO152,",")))))</f>
        <v/>
      </c>
      <c r="IW152">
        <f>AND(IF(AQ152="",TRUE,IF(input_audience="",FALSE,SUMPRODUCT(--ISNUMBER(SEARCH(","&amp;TRIM(TEXTSPLIT(AQ152,","))&amp;",",","&amp;SUBSTITUTE(input_audience," ","")&amp;",")))&gt;0)),IF(AS152="",TRUE,IF(input_audience="",FALSE,SUMPRODUCT(--ISNUMBER(SEARCH(","&amp;TRIM(TEXTSPLIT(AS152,","))&amp;",",","&amp;SUBSTITUTE(input_audience," ","")&amp;",")))=COUNTA(TEXTSPLIT(AS152,",")))),IF(AU152="",TRUE,IF(input_audience="",TRUE,SUMPRODUCT(--ISNUMBER(SEARCH(","&amp;TRIM(TEXTSPLIT(AU152,","))&amp;",",","&amp;SUBSTITUTE(input_audience," ","")&amp;",")))=0)),IF(AW152="",TRUE,IF(input_audience="",FALSE,SUMPRODUCT(--ISNUMBER(SEARCH(","&amp;TRIM(TEXTSPLIT(AW152,","))&amp;",",","&amp;SUBSTITUTE(input_audience," ","")&amp;",")))&gt;0)),IF(AY152="",TRUE,IF(input_audience="",FALSE,SUMPRODUCT(--ISNUMBER(SEARCH(","&amp;TRIM(TEXTSPLIT(AY152,","))&amp;",",","&amp;SUBSTITUTE(input_audience," ","")&amp;",")))=COUNTA(TEXTSPLIT(AY152,",")))))</f>
        <v/>
      </c>
      <c r="IX152">
        <f>AND(IF(BA152="",TRUE,IF(input_challenge_opportunities="",FALSE,SUMPRODUCT(--ISNUMBER(SEARCH(","&amp;TRIM(TEXTSPLIT(BA152,","))&amp;",",","&amp;SUBSTITUTE(input_challenge_opportunities," ","")&amp;",")))&gt;0)),IF(BC152="",TRUE,IF(input_challenge_opportunities="",FALSE,SUMPRODUCT(--ISNUMBER(SEARCH(","&amp;TRIM(TEXTSPLIT(BC152,","))&amp;",",","&amp;SUBSTITUTE(input_challenge_opportunities," ","")&amp;",")))=COUNTA(TEXTSPLIT(BC152,",")))),IF(BE152="",TRUE,IF(input_challenge_opportunities="",TRUE,SUMPRODUCT(--ISNUMBER(SEARCH(","&amp;TRIM(TEXTSPLIT(BE152,","))&amp;",",","&amp;SUBSTITUTE(input_challenge_opportunities," ","")&amp;",")))=0)),IF(BG152="",TRUE,IF(input_challenge_opportunities="",FALSE,SUMPRODUCT(--ISNUMBER(SEARCH(","&amp;TRIM(TEXTSPLIT(BG152,","))&amp;",",","&amp;SUBSTITUTE(input_challenge_opportunities," ","")&amp;",")))&gt;0)),IF(BI152="",TRUE,IF(input_challenge_opportunities="",FALSE,SUMPRODUCT(--ISNUMBER(SEARCH(","&amp;TRIM(TEXTSPLIT(BI152,","))&amp;",",","&amp;SUBSTITUTE(input_challenge_opportunities," ","")&amp;",")))=COUNTA(TEXTSPLIT(BI152,",")))))</f>
        <v/>
      </c>
      <c r="IY152">
        <f>AND(IF(BK152="",TRUE,IF(input_context="",FALSE,SUMPRODUCT(--ISNUMBER(SEARCH(","&amp;TRIM(TEXTSPLIT(BK152,","))&amp;",",","&amp;SUBSTITUTE(input_context," ","")&amp;",")))&gt;0)),IF(BM152="",TRUE,IF(input_context="",FALSE,SUMPRODUCT(--ISNUMBER(SEARCH(","&amp;TRIM(TEXTSPLIT(BM152,","))&amp;",",","&amp;SUBSTITUTE(input_context," ","")&amp;",")))=COUNTA(TEXTSPLIT(BM152,",")))),IF(BO152="",TRUE,IF(input_context="",TRUE,SUMPRODUCT(--ISNUMBER(SEARCH(","&amp;TRIM(TEXTSPLIT(BO152,","))&amp;",",","&amp;SUBSTITUTE(input_context," ","")&amp;",")))=0)),IF(BQ152="",TRUE,IF(input_context="",FALSE,SUMPRODUCT(--ISNUMBER(SEARCH(","&amp;TRIM(TEXTSPLIT(BQ152,","))&amp;",",","&amp;SUBSTITUTE(input_context," ","")&amp;",")))&gt;0)),IF(BS152="",TRUE,IF(input_context="",FALSE,SUMPRODUCT(--ISNUMBER(SEARCH(","&amp;TRIM(TEXTSPLIT(BS152,","))&amp;",",","&amp;SUBSTITUTE(input_context," ","")&amp;",")))=COUNTA(TEXTSPLIT(BS152,",")))))</f>
        <v/>
      </c>
      <c r="IZ152">
        <f>AND(IF(BU152="",TRUE,IF(input_enews_announcement_type="",FALSE,SUMPRODUCT(--ISNUMBER(SEARCH(","&amp;TRIM(TEXTSPLIT(BU152,","))&amp;",",","&amp;SUBSTITUTE(input_enews_announcement_type," ","")&amp;",")))&gt;0)),IF(BW152="",TRUE,IF(input_enews_announcement_type="",FALSE,SUMPRODUCT(--ISNUMBER(SEARCH(","&amp;TRIM(TEXTSPLIT(BW152,","))&amp;",",","&amp;SUBSTITUTE(input_enews_announcement_type," ","")&amp;",")))=COUNTA(TEXTSPLIT(BW152,",")))),IF(BY152="",TRUE,IF(input_enews_announcement_type="",TRUE,SUMPRODUCT(--ISNUMBER(SEARCH(","&amp;TRIM(TEXTSPLIT(BY152,","))&amp;",",","&amp;SUBSTITUTE(input_enews_announcement_type," ","")&amp;",")))=0)),IF(CA152="",TRUE,IF(input_enews_announcement_type="",FALSE,SUMPRODUCT(--ISNUMBER(SEARCH(","&amp;TRIM(TEXTSPLIT(CA152,","))&amp;",",","&amp;SUBSTITUTE(input_enews_announcement_type," ","")&amp;",")))&gt;0)),IF(CC152="",TRUE,IF(input_enews_announcement_type="",FALSE,SUMPRODUCT(--ISNUMBER(SEARCH(","&amp;TRIM(TEXTSPLIT(CC152,","))&amp;",",","&amp;SUBSTITUTE(input_enews_announcement_type," ","")&amp;",")))=COUNTA(TEXTSPLIT(CC152,",")))))</f>
        <v/>
      </c>
      <c r="JA152">
        <f>AND(IF(CE152="",TRUE,IF(input_enews_audience="",FALSE,SUMPRODUCT(--ISNUMBER(SEARCH(","&amp;TRIM(TEXTSPLIT(CE152,","))&amp;",",","&amp;SUBSTITUTE(input_enews_audience," ","")&amp;",")))&gt;0)),IF(CG152="",TRUE,IF(input_enews_audience="",FALSE,SUMPRODUCT(--ISNUMBER(SEARCH(","&amp;TRIM(TEXTSPLIT(CG152,","))&amp;",",","&amp;SUBSTITUTE(input_enews_audience," ","")&amp;",")))=COUNTA(TEXTSPLIT(CG152,",")))),IF(CI152="",TRUE,IF(input_enews_audience="",TRUE,SUMPRODUCT(--ISNUMBER(SEARCH(","&amp;TRIM(TEXTSPLIT(CI152,","))&amp;",",","&amp;SUBSTITUTE(input_enews_audience," ","")&amp;",")))=0)),IF(CK152="",TRUE,IF(input_enews_audience="",FALSE,SUMPRODUCT(--ISNUMBER(SEARCH(","&amp;TRIM(TEXTSPLIT(CK152,","))&amp;",",","&amp;SUBSTITUTE(input_enews_audience," ","")&amp;",")))&gt;0)),IF(CM152="",TRUE,IF(input_enews_audience="",FALSE,SUMPRODUCT(--ISNUMBER(SEARCH(","&amp;TRIM(TEXTSPLIT(CM152,","))&amp;",",","&amp;SUBSTITUTE(input_enews_audience," ","")&amp;",")))=COUNTA(TEXTSPLIT(CM152,",")))))</f>
        <v/>
      </c>
      <c r="JB152">
        <f>AND(IF(CO152="",TRUE,IF(input_event_location="",FALSE,SUMPRODUCT(--ISNUMBER(SEARCH(","&amp;TRIM(TEXTSPLIT(CO152,","))&amp;",",","&amp;SUBSTITUTE(input_event_location," ","")&amp;",")))&gt;0)),IF(CQ152="",TRUE,IF(input_event_location="",FALSE,SUMPRODUCT(--ISNUMBER(SEARCH(","&amp;TRIM(TEXTSPLIT(CQ152,","))&amp;",",","&amp;SUBSTITUTE(input_event_location," ","")&amp;",")))=COUNTA(TEXTSPLIT(CQ152,",")))),IF(CS152="",TRUE,IF(input_event_location="",TRUE,SUMPRODUCT(--ISNUMBER(SEARCH(","&amp;TRIM(TEXTSPLIT(CS152,","))&amp;",",","&amp;SUBSTITUTE(input_event_location," ","")&amp;",")))=0)),IF(CU152="",TRUE,IF(input_event_location="",FALSE,SUMPRODUCT(--ISNUMBER(SEARCH(","&amp;TRIM(TEXTSPLIT(CU152,","))&amp;",",","&amp;SUBSTITUTE(input_event_location," ","")&amp;",")))&gt;0)),IF(CW152="",TRUE,IF(input_event_location="",FALSE,SUMPRODUCT(--ISNUMBER(SEARCH(","&amp;TRIM(TEXTSPLIT(CW152,","))&amp;",",","&amp;SUBSTITUTE(input_event_location," ","")&amp;",")))=COUNTA(TEXTSPLIT(CW152,",")))))</f>
        <v/>
      </c>
      <c r="JC152">
        <f>AND(IF(CY152="",TRUE,IF(input_event_type="",FALSE,SUMPRODUCT(--ISNUMBER(SEARCH(","&amp;TRIM(TEXTSPLIT(CY152,","))&amp;",",","&amp;SUBSTITUTE(input_event_type," ","")&amp;",")))&gt;0)),IF(DA152="",TRUE,IF(input_event_type="",FALSE,SUMPRODUCT(--ISNUMBER(SEARCH(","&amp;TRIM(TEXTSPLIT(DA152,","))&amp;",",","&amp;SUBSTITUTE(input_event_type," ","")&amp;",")))=COUNTA(TEXTSPLIT(DA152,",")))),IF(DC152="",TRUE,IF(input_event_type="",TRUE,SUMPRODUCT(--ISNUMBER(SEARCH(","&amp;TRIM(TEXTSPLIT(DC152,","))&amp;",",","&amp;SUBSTITUTE(input_event_type," ","")&amp;",")))=0)),IF(DE152="",TRUE,IF(input_event_type="",FALSE,SUMPRODUCT(--ISNUMBER(SEARCH(","&amp;TRIM(TEXTSPLIT(DE152,","))&amp;",",","&amp;SUBSTITUTE(input_event_type," ","")&amp;",")))&gt;0)),IF(DG152="",TRUE,IF(input_event_type="",FALSE,SUMPRODUCT(--ISNUMBER(SEARCH(","&amp;TRIM(TEXTSPLIT(DG152,","))&amp;",",","&amp;SUBSTITUTE(input_event_type," ","")&amp;",")))=COUNTA(TEXTSPLIT(DG152,",")))))</f>
        <v/>
      </c>
      <c r="JD152">
        <f>AND(IF(DI152="",TRUE,IF(input_executive_education_focus="",FALSE,SUMPRODUCT(--ISNUMBER(SEARCH(","&amp;TRIM(TEXTSPLIT(DI152,","))&amp;",",","&amp;SUBSTITUTE(input_executive_education_focus," ","")&amp;",")))&gt;0)),IF(DK152="",TRUE,IF(input_executive_education_focus="",FALSE,SUMPRODUCT(--ISNUMBER(SEARCH(","&amp;TRIM(TEXTSPLIT(DK152,","))&amp;",",","&amp;SUBSTITUTE(input_executive_education_focus," ","")&amp;",")))=COUNTA(TEXTSPLIT(DK152,",")))),IF(DM152="",TRUE,IF(input_executive_education_focus="",TRUE,SUMPRODUCT(--ISNUMBER(SEARCH(","&amp;TRIM(TEXTSPLIT(DM152,","))&amp;",",","&amp;SUBSTITUTE(input_executive_education_focus," ","")&amp;",")))=0)),IF(DO152="",TRUE,IF(input_executive_education_focus="",FALSE,SUMPRODUCT(--ISNUMBER(SEARCH(","&amp;TRIM(TEXTSPLIT(DO152,","))&amp;",",","&amp;SUBSTITUTE(input_executive_education_focus," ","")&amp;",")))&gt;0)),IF(DQ152="",TRUE,IF(input_executive_education_focus="",FALSE,SUMPRODUCT(--ISNUMBER(SEARCH(","&amp;TRIM(TEXTSPLIT(DQ152,","))&amp;",",","&amp;SUBSTITUTE(input_executive_education_focus," ","")&amp;",")))=COUNTA(TEXTSPLIT(DQ152,",")))))</f>
        <v/>
      </c>
      <c r="JE152">
        <f>AND(IF(DS152="",TRUE,IF(input_faculty_category="",FALSE,SUMPRODUCT(--ISNUMBER(SEARCH(","&amp;TRIM(TEXTSPLIT(DS152,","))&amp;",",","&amp;SUBSTITUTE(input_faculty_category," ","")&amp;",")))&gt;0)),IF(DU152="",TRUE,IF(input_faculty_category="",FALSE,SUMPRODUCT(--ISNUMBER(SEARCH(","&amp;TRIM(TEXTSPLIT(DU152,","))&amp;",",","&amp;SUBSTITUTE(input_faculty_category," ","")&amp;",")))=COUNTA(TEXTSPLIT(DU152,",")))),IF(DW152="",TRUE,IF(input_faculty_category="",TRUE,SUMPRODUCT(--ISNUMBER(SEARCH(","&amp;TRIM(TEXTSPLIT(DW152,","))&amp;",",","&amp;SUBSTITUTE(input_faculty_category," ","")&amp;",")))=0)),IF(DY152="",TRUE,IF(input_faculty_category="",FALSE,SUMPRODUCT(--ISNUMBER(SEARCH(","&amp;TRIM(TEXTSPLIT(DY152,","))&amp;",",","&amp;SUBSTITUTE(input_faculty_category," ","")&amp;",")))&gt;0)),IF(EA152="",TRUE,IF(input_faculty_category="",FALSE,SUMPRODUCT(--ISNUMBER(SEARCH(","&amp;TRIM(TEXTSPLIT(EA152,","))&amp;",",","&amp;SUBSTITUTE(input_faculty_category," ","")&amp;",")))=COUNTA(TEXTSPLIT(EA152,",")))))</f>
        <v/>
      </c>
      <c r="JF152">
        <f>AND(IF(EC152="",TRUE,IF(input_faculty_discipline="",FALSE,SUMPRODUCT(--ISNUMBER(SEARCH(","&amp;TRIM(TEXTSPLIT(EC152,","))&amp;",",","&amp;SUBSTITUTE(input_faculty_discipline," ","")&amp;",")))&gt;0)),IF(EE152="",TRUE,IF(input_faculty_discipline="",FALSE,SUMPRODUCT(--ISNUMBER(SEARCH(","&amp;TRIM(TEXTSPLIT(EE152,","))&amp;",",","&amp;SUBSTITUTE(input_faculty_discipline," ","")&amp;",")))=COUNTA(TEXTSPLIT(EE152,",")))),IF(EG152="",TRUE,IF(input_faculty_discipline="",TRUE,SUMPRODUCT(--ISNUMBER(SEARCH(","&amp;TRIM(TEXTSPLIT(EG152,","))&amp;",",","&amp;SUBSTITUTE(input_faculty_discipline," ","")&amp;",")))=0)),IF(EI152="",TRUE,IF(input_faculty_discipline="",FALSE,SUMPRODUCT(--ISNUMBER(SEARCH(","&amp;TRIM(TEXTSPLIT(EI152,","))&amp;",",","&amp;SUBSTITUTE(input_faculty_discipline," ","")&amp;",")))&gt;0)),IF(EK152="",TRUE,IF(input_faculty_discipline="",FALSE,SUMPRODUCT(--ISNUMBER(SEARCH(","&amp;TRIM(TEXTSPLIT(EK152,","))&amp;",",","&amp;SUBSTITUTE(input_faculty_discipline," ","")&amp;",")))=COUNTA(TEXTSPLIT(EK152,",")))))</f>
        <v/>
      </c>
      <c r="JG152">
        <f>AND(IF(EM152="",TRUE,IF(input_faculty_expertise="",FALSE,SUMPRODUCT(--ISNUMBER(SEARCH(","&amp;TRIM(TEXTSPLIT(EM152,","))&amp;",",","&amp;SUBSTITUTE(input_faculty_expertise," ","")&amp;",")))&gt;0)),IF(EO152="",TRUE,IF(input_faculty_expertise="",FALSE,SUMPRODUCT(--ISNUMBER(SEARCH(","&amp;TRIM(TEXTSPLIT(EO152,","))&amp;",",","&amp;SUBSTITUTE(input_faculty_expertise," ","")&amp;",")))=COUNTA(TEXTSPLIT(EO152,",")))),IF(EQ152="",TRUE,IF(input_faculty_expertise="",TRUE,SUMPRODUCT(--ISNUMBER(SEARCH(","&amp;TRIM(TEXTSPLIT(EQ152,","))&amp;",",","&amp;SUBSTITUTE(input_faculty_expertise," ","")&amp;",")))=0)),IF(ES152="",TRUE,IF(input_faculty_expertise="",FALSE,SUMPRODUCT(--ISNUMBER(SEARCH(","&amp;TRIM(TEXTSPLIT(ES152,","))&amp;",",","&amp;SUBSTITUTE(input_faculty_expertise," ","")&amp;",")))&gt;0)),IF(EU152="",TRUE,IF(input_faculty_expertise="",FALSE,SUMPRODUCT(--ISNUMBER(SEARCH(","&amp;TRIM(TEXTSPLIT(EU152,","))&amp;",",","&amp;SUBSTITUTE(input_faculty_expertise," ","")&amp;",")))=COUNTA(TEXTSPLIT(EU152,",")))))</f>
        <v/>
      </c>
      <c r="JH152">
        <f>AND(IF(EW152="",TRUE,IF(input_global_network_school="",FALSE,SUMPRODUCT(--ISNUMBER(SEARCH(","&amp;TRIM(TEXTSPLIT(EW152,","))&amp;",",","&amp;SUBSTITUTE(input_global_network_school," ","")&amp;",")))&gt;0)),IF(EY152="",TRUE,IF(input_global_network_school="",FALSE,SUMPRODUCT(--ISNUMBER(SEARCH(","&amp;TRIM(TEXTSPLIT(EY152,","))&amp;",",","&amp;SUBSTITUTE(input_global_network_school," ","")&amp;",")))=COUNTA(TEXTSPLIT(EY152,",")))),IF(FA152="",TRUE,IF(input_global_network_school="",TRUE,SUMPRODUCT(--ISNUMBER(SEARCH(","&amp;TRIM(TEXTSPLIT(FA152,","))&amp;",",","&amp;SUBSTITUTE(input_global_network_school," ","")&amp;",")))=0)),IF(FC152="",TRUE,IF(input_global_network_school="",FALSE,SUMPRODUCT(--ISNUMBER(SEARCH(","&amp;TRIM(TEXTSPLIT(FC152,","))&amp;",",","&amp;SUBSTITUTE(input_global_network_school," ","")&amp;",")))&gt;0)),IF(FE152="",TRUE,IF(input_global_network_school="",FALSE,SUMPRODUCT(--ISNUMBER(SEARCH(","&amp;TRIM(TEXTSPLIT(FE152,","))&amp;",",","&amp;SUBSTITUTE(input_global_network_school," ","")&amp;",")))=COUNTA(TEXTSPLIT(FE152,",")))))</f>
        <v/>
      </c>
      <c r="JI152">
        <f>AND(IF(FG152="",TRUE,IF(input_industry="",FALSE,SUMPRODUCT(--ISNUMBER(SEARCH(","&amp;TRIM(TEXTSPLIT(FG152,","))&amp;",",","&amp;SUBSTITUTE(input_industry," ","")&amp;",")))&gt;0)),IF(FI152="",TRUE,IF(input_industry="",FALSE,SUMPRODUCT(--ISNUMBER(SEARCH(","&amp;TRIM(TEXTSPLIT(FI152,","))&amp;",",","&amp;SUBSTITUTE(input_industry," ","")&amp;",")))=COUNTA(TEXTSPLIT(FI152,",")))),IF(FK152="",TRUE,IF(input_industry="",TRUE,SUMPRODUCT(--ISNUMBER(SEARCH(","&amp;TRIM(TEXTSPLIT(FK152,","))&amp;",",","&amp;SUBSTITUTE(input_industry," ","")&amp;",")))=0)),IF(FM152="",TRUE,IF(input_industry="",FALSE,SUMPRODUCT(--ISNUMBER(SEARCH(","&amp;TRIM(TEXTSPLIT(FM152,","))&amp;",",","&amp;SUBSTITUTE(input_industry," ","")&amp;",")))&gt;0)),IF(FO152="",TRUE,IF(input_industry="",FALSE,SUMPRODUCT(--ISNUMBER(SEARCH(","&amp;TRIM(TEXTSPLIT(FO152,","))&amp;",",","&amp;SUBSTITUTE(input_industry," ","")&amp;",")))=COUNTA(TEXTSPLIT(FO152,",")))))</f>
        <v/>
      </c>
      <c r="JJ152">
        <f>AND(IF(FQ152="",TRUE,IF(input_location="",FALSE,SUMPRODUCT(--ISNUMBER(SEARCH(","&amp;TRIM(TEXTSPLIT(FQ152,","))&amp;",",","&amp;SUBSTITUTE(input_location," ","")&amp;",")))&gt;0)),IF(FS152="",TRUE,IF(input_location="",FALSE,SUMPRODUCT(--ISNUMBER(SEARCH(","&amp;TRIM(TEXTSPLIT(FS152,","))&amp;",",","&amp;SUBSTITUTE(input_location," ","")&amp;",")))=COUNTA(TEXTSPLIT(FS152,",")))),IF(FU152="",TRUE,IF(input_location="",TRUE,SUMPRODUCT(--ISNUMBER(SEARCH(","&amp;TRIM(TEXTSPLIT(FU152,","))&amp;",",","&amp;SUBSTITUTE(input_location," ","")&amp;",")))=0)),IF(FW152="",TRUE,IF(input_location="",FALSE,SUMPRODUCT(--ISNUMBER(SEARCH(","&amp;TRIM(TEXTSPLIT(FW152,","))&amp;",",","&amp;SUBSTITUTE(input_location," ","")&amp;",")))&gt;0)),IF(FY152="",TRUE,IF(input_location="",FALSE,SUMPRODUCT(--ISNUMBER(SEARCH(","&amp;TRIM(TEXTSPLIT(FY152,","))&amp;",",","&amp;SUBSTITUTE(input_location," ","")&amp;",")))=COUNTA(TEXTSPLIT(FY152,",")))))</f>
        <v/>
      </c>
      <c r="JK152">
        <f>AND(IF(GA152="",TRUE,IF(input_modality="",FALSE,SUMPRODUCT(--ISNUMBER(SEARCH(","&amp;TRIM(TEXTSPLIT(GA152,","))&amp;",",","&amp;SUBSTITUTE(input_modality," ","")&amp;",")))&gt;0)),IF(GC152="",TRUE,IF(input_modality="",FALSE,SUMPRODUCT(--ISNUMBER(SEARCH(","&amp;TRIM(TEXTSPLIT(GC152,","))&amp;",",","&amp;SUBSTITUTE(input_modality," ","")&amp;",")))=COUNTA(TEXTSPLIT(GC152,",")))),IF(GE152="",TRUE,IF(input_modality="",TRUE,SUMPRODUCT(--ISNUMBER(SEARCH(","&amp;TRIM(TEXTSPLIT(GE152,","))&amp;",",","&amp;SUBSTITUTE(input_modality," ","")&amp;",")))=0)),IF(GG152="",TRUE,IF(input_modality="",FALSE,SUMPRODUCT(--ISNUMBER(SEARCH(","&amp;TRIM(TEXTSPLIT(GG152,","))&amp;",",","&amp;SUBSTITUTE(input_modality," ","")&amp;",")))&gt;0)),IF(GI152="",TRUE,IF(input_modality="",FALSE,SUMPRODUCT(--ISNUMBER(SEARCH(","&amp;TRIM(TEXTSPLIT(GI152,","))&amp;",",","&amp;SUBSTITUTE(input_modality," ","")&amp;",")))=COUNTA(TEXTSPLIT(GI152,",")))))</f>
        <v/>
      </c>
      <c r="JL152">
        <f>AND(IF(GK152="",TRUE,IF(input_organizer="",FALSE,SUMPRODUCT(--ISNUMBER(SEARCH(","&amp;TRIM(TEXTSPLIT(GK152,","))&amp;",",","&amp;SUBSTITUTE(input_organizer," ","")&amp;",")))&gt;0)),IF(GM152="",TRUE,IF(input_organizer="",FALSE,SUMPRODUCT(--ISNUMBER(SEARCH(","&amp;TRIM(TEXTSPLIT(GM152,","))&amp;",",","&amp;SUBSTITUTE(input_organizer," ","")&amp;",")))=COUNTA(TEXTSPLIT(GM152,",")))),IF(GO152="",TRUE,IF(input_organizer="",TRUE,SUMPRODUCT(--ISNUMBER(SEARCH(","&amp;TRIM(TEXTSPLIT(GO152,","))&amp;",",","&amp;SUBSTITUTE(input_organizer," ","")&amp;",")))=0)),IF(GQ152="",TRUE,IF(input_organizer="",FALSE,SUMPRODUCT(--ISNUMBER(SEARCH(","&amp;TRIM(TEXTSPLIT(GQ152,","))&amp;",",","&amp;SUBSTITUTE(input_organizer," ","")&amp;",")))&gt;0)),IF(GS152="",TRUE,IF(input_organizer="",FALSE,SUMPRODUCT(--ISNUMBER(SEARCH(","&amp;TRIM(TEXTSPLIT(GS152,","))&amp;",",","&amp;SUBSTITUTE(input_organizer," ","")&amp;",")))=COUNTA(TEXTSPLIT(GS152,",")))))</f>
        <v/>
      </c>
      <c r="JM152">
        <f>AND(IF(GU152="",TRUE,IF(input_profile_type="",FALSE,SUMPRODUCT(--ISNUMBER(SEARCH(","&amp;TRIM(TEXTSPLIT(GU152,","))&amp;",",","&amp;SUBSTITUTE(input_profile_type," ","")&amp;",")))&gt;0)),IF(GW152="",TRUE,IF(input_profile_type="",FALSE,SUMPRODUCT(--ISNUMBER(SEARCH(","&amp;TRIM(TEXTSPLIT(GW152,","))&amp;",",","&amp;SUBSTITUTE(input_profile_type," ","")&amp;",")))=COUNTA(TEXTSPLIT(GW152,",")))),IF(GY152="",TRUE,IF(input_profile_type="",TRUE,SUMPRODUCT(--ISNUMBER(SEARCH(","&amp;TRIM(TEXTSPLIT(GY152,","))&amp;",",","&amp;SUBSTITUTE(input_profile_type," ","")&amp;",")))=0)),IF(HA152="",TRUE,IF(input_profile_type="",FALSE,SUMPRODUCT(--ISNUMBER(SEARCH(","&amp;TRIM(TEXTSPLIT(HA152,","))&amp;",",","&amp;SUBSTITUTE(input_profile_type," ","")&amp;",")))&gt;0)),IF(HC152="",TRUE,IF(input_profile_type="",FALSE,SUMPRODUCT(--ISNUMBER(SEARCH(","&amp;TRIM(TEXTSPLIT(HC152,","))&amp;",",","&amp;SUBSTITUTE(input_profile_type," ","")&amp;",")))=COUNTA(TEXTSPLIT(HC152,",")))))</f>
        <v/>
      </c>
      <c r="JN152">
        <f>AND(IF(HE152="",TRUE,IF(input_program="",FALSE,SUMPRODUCT(--ISNUMBER(SEARCH(","&amp;TRIM(TEXTSPLIT(HE152,","))&amp;",",","&amp;SUBSTITUTE(input_program," ","")&amp;",")))&gt;0)),IF(HG152="",TRUE,IF(input_program="",FALSE,SUMPRODUCT(--ISNUMBER(SEARCH(","&amp;TRIM(TEXTSPLIT(HG152,","))&amp;",",","&amp;SUBSTITUTE(input_program," ","")&amp;",")))=COUNTA(TEXTSPLIT(HG152,",")))),IF(HI152="",TRUE,IF(input_program="",TRUE,SUMPRODUCT(--ISNUMBER(SEARCH(","&amp;TRIM(TEXTSPLIT(HI152,","))&amp;",",","&amp;SUBSTITUTE(input_program," ","")&amp;",")))=0)),IF(HK152="",TRUE,IF(input_program="",FALSE,SUMPRODUCT(--ISNUMBER(SEARCH(","&amp;TRIM(TEXTSPLIT(HK152,","))&amp;",",","&amp;SUBSTITUTE(input_program," ","")&amp;",")))&gt;0)),IF(HM152="",TRUE,IF(input_program="",FALSE,SUMPRODUCT(--ISNUMBER(SEARCH(","&amp;TRIM(TEXTSPLIT(HM152,","))&amp;",",","&amp;SUBSTITUTE(input_program," ","")&amp;",")))=COUNTA(TEXTSPLIT(HM152,",")))))</f>
        <v/>
      </c>
      <c r="JO152">
        <f>AND(IF(HO152="",TRUE,IF(input_story_categories="",FALSE,SUMPRODUCT(--ISNUMBER(SEARCH(","&amp;TRIM(TEXTSPLIT(HO152,","))&amp;",",","&amp;SUBSTITUTE(input_story_categories," ","")&amp;",")))&gt;0)),IF(HQ152="",TRUE,IF(input_story_categories="",FALSE,SUMPRODUCT(--ISNUMBER(SEARCH(","&amp;TRIM(TEXTSPLIT(HQ152,","))&amp;",",","&amp;SUBSTITUTE(input_story_categories," ","")&amp;",")))=COUNTA(TEXTSPLIT(HQ152,",")))),IF(HS152="",TRUE,IF(input_story_categories="",TRUE,SUMPRODUCT(--ISNUMBER(SEARCH(","&amp;TRIM(TEXTSPLIT(HS152,","))&amp;",",","&amp;SUBSTITUTE(input_story_categories," ","")&amp;",")))=0)),IF(HU152="",TRUE,IF(input_story_categories="",FALSE,SUMPRODUCT(--ISNUMBER(SEARCH(","&amp;TRIM(TEXTSPLIT(HU152,","))&amp;",",","&amp;SUBSTITUTE(input_story_categories," ","")&amp;",")))&gt;0)),IF(HW152="",TRUE,IF(input_story_categories="",FALSE,SUMPRODUCT(--ISNUMBER(SEARCH(","&amp;TRIM(TEXTSPLIT(HW152,","))&amp;",",","&amp;SUBSTITUTE(input_story_categories," ","")&amp;",")))=COUNTA(TEXTSPLIT(HW152,",")))))</f>
        <v/>
      </c>
      <c r="JP152">
        <f>AND(IF(HY152="",TRUE,IF(input_story_type="",FALSE,SUMPRODUCT(--ISNUMBER(SEARCH(","&amp;TRIM(TEXTSPLIT(HY152,","))&amp;",",","&amp;SUBSTITUTE(input_story_type," ","")&amp;",")))&gt;0)),IF(IA152="",TRUE,IF(input_story_type="",FALSE,SUMPRODUCT(--ISNUMBER(SEARCH(","&amp;TRIM(TEXTSPLIT(IA152,","))&amp;",",","&amp;SUBSTITUTE(input_story_type," ","")&amp;",")))=COUNTA(TEXTSPLIT(IA152,",")))),IF(IC152="",TRUE,IF(input_story_type="",TRUE,SUMPRODUCT(--ISNUMBER(SEARCH(","&amp;TRIM(TEXTSPLIT(IC152,","))&amp;",",","&amp;SUBSTITUTE(input_story_type," ","")&amp;",")))=0)),IF(IE152="",TRUE,IF(input_story_type="",FALSE,SUMPRODUCT(--ISNUMBER(SEARCH(","&amp;TRIM(TEXTSPLIT(IE152,","))&amp;",",","&amp;SUBSTITUTE(input_story_type," ","")&amp;",")))&gt;0)),IF(IG152="",TRUE,IF(input_story_type="",FALSE,SUMPRODUCT(--ISNUMBER(SEARCH(","&amp;TRIM(TEXTSPLIT(IG152,","))&amp;",",","&amp;SUBSTITUTE(input_story_type," ","")&amp;",")))=COUNTA(TEXTSPLIT(IG152,",")))))</f>
        <v/>
      </c>
      <c r="JQ152">
        <f>AND(IF(II152="",TRUE,IF(input_topics="",FALSE,SUMPRODUCT(--ISNUMBER(SEARCH(","&amp;TRIM(TEXTSPLIT(II152,","))&amp;",",","&amp;SUBSTITUTE(input_topics," ","")&amp;",")))&gt;0)),IF(IK152="",TRUE,IF(input_topics="",FALSE,SUMPRODUCT(--ISNUMBER(SEARCH(","&amp;TRIM(TEXTSPLIT(IK152,","))&amp;",",","&amp;SUBSTITUTE(input_topics," ","")&amp;",")))=COUNTA(TEXTSPLIT(IK152,",")))),IF(IM152="",TRUE,IF(input_topics="",TRUE,SUMPRODUCT(--ISNUMBER(SEARCH(","&amp;TRIM(TEXTSPLIT(IM152,","))&amp;",",","&amp;SUBSTITUTE(input_topics," ","")&amp;",")))=0)),IF(IO152="",TRUE,IF(input_topics="",FALSE,SUMPRODUCT(--ISNUMBER(SEARCH(","&amp;TRIM(TEXTSPLIT(IO152,","))&amp;",",","&amp;SUBSTITUTE(input_topics," ","")&amp;",")))&gt;0)),IF(IQ152="",TRUE,IF(input_topics="",FALSE,SUMPRODUCT(--ISNUMBER(SEARCH(","&amp;TRIM(TEXTSPLIT(IQ152,","))&amp;",",","&amp;SUBSTITUTE(input_topics," ","")&amp;",")))=COUNTA(TEXTSPLIT(IQ152,",")))))</f>
        <v/>
      </c>
    </row>
    <row r="153">
      <c r="A153" s="4">
        <f>IF(NOT(IS153),"Excluded",IF(AND(IT153,IU153,IV153,IW153,IX153,IY153,IZ153,JA153,JB153,JC153,JD153,JE153,JF153,JG153,JH153,JI153,JJ153,JK153,JL153,JM153,JN153,JO153,JP153,JQ153),IF(I153&gt;0,"Eligible but limited","Will appear"),"Excluded"))</f>
        <v/>
      </c>
      <c r="B153" s="4" t="inlineStr">
        <is>
          <t>Publication Article</t>
        </is>
      </c>
      <c r="C153" s="4" t="inlineStr">
        <is>
          <t>/faculty-research/faculty-directory/james-choi</t>
        </is>
      </c>
      <c r="D153" s="4" t="inlineStr">
        <is>
          <t>/faculty-research/faculty-directory/james-choi</t>
        </is>
      </c>
      <c r="E153" s="4" t="n">
        <v>1</v>
      </c>
      <c r="F153" s="4" t="inlineStr">
        <is>
          <t>publications</t>
        </is>
      </c>
      <c r="G153" s="4" t="inlineStr">
        <is>
          <t>publication_teaser_list</t>
        </is>
      </c>
      <c r="H153" s="4" t="inlineStr">
        <is>
          <t>publication_teaser_list_article</t>
        </is>
      </c>
      <c r="I153" s="4" t="n">
        <v>3</v>
      </c>
      <c r="J153" s="4" t="inlineStr">
        <is>
          <t>View/config rules</t>
        </is>
      </c>
      <c r="K153" s="4" t="inlineStr">
        <is>
          <t>Page placement</t>
        </is>
      </c>
      <c r="L153" s="4" t="inlineStr">
        <is>
          <t>Content type: publications; Limited to 3 item(s); Source: View/config rules</t>
        </is>
      </c>
      <c r="M153" t="inlineStr"/>
      <c r="N153" t="inlineStr"/>
      <c r="O153" t="inlineStr"/>
      <c r="P153" t="inlineStr"/>
      <c r="Q153" t="inlineStr"/>
      <c r="R153" t="inlineStr"/>
      <c r="S153" t="inlineStr"/>
      <c r="T153" t="inlineStr"/>
      <c r="U153" t="inlineStr"/>
      <c r="V153" t="inlineStr"/>
      <c r="W153" t="inlineStr"/>
      <c r="X153" t="inlineStr"/>
      <c r="Y153" t="inlineStr"/>
      <c r="Z153" t="inlineStr"/>
      <c r="AA153" t="inlineStr"/>
      <c r="AB153" t="inlineStr"/>
      <c r="AC153" t="inlineStr"/>
      <c r="AD153" t="inlineStr"/>
      <c r="AE153" t="inlineStr"/>
      <c r="AF153" t="inlineStr"/>
      <c r="AG153" t="inlineStr"/>
      <c r="AH153" t="inlineStr"/>
      <c r="AI153" t="inlineStr"/>
      <c r="AJ153" t="inlineStr"/>
      <c r="AK153" t="inlineStr"/>
      <c r="AL153" t="inlineStr"/>
      <c r="AM153" t="inlineStr"/>
      <c r="AN153" t="inlineStr"/>
      <c r="AO153" t="inlineStr"/>
      <c r="AP153" t="inlineStr"/>
      <c r="AQ153" t="inlineStr"/>
      <c r="AR153" t="inlineStr"/>
      <c r="AS153" t="inlineStr"/>
      <c r="AT153" t="inlineStr"/>
      <c r="AU153" t="inlineStr"/>
      <c r="AV153" t="inlineStr"/>
      <c r="AW153" t="inlineStr"/>
      <c r="AX153" t="inlineStr"/>
      <c r="AY153" t="inlineStr"/>
      <c r="AZ153" t="inlineStr"/>
      <c r="BA153" t="inlineStr"/>
      <c r="BB153" t="inlineStr"/>
      <c r="BC153" t="inlineStr"/>
      <c r="BD153" t="inlineStr"/>
      <c r="BE153" t="inlineStr"/>
      <c r="BF153" t="inlineStr"/>
      <c r="BG153" t="inlineStr"/>
      <c r="BH153" t="inlineStr"/>
      <c r="BI153" t="inlineStr"/>
      <c r="BJ153" t="inlineStr"/>
      <c r="BK153" t="inlineStr"/>
      <c r="BL153" t="inlineStr"/>
      <c r="BM153" t="inlineStr"/>
      <c r="BN153" t="inlineStr"/>
      <c r="BO153" t="inlineStr"/>
      <c r="BP153" t="inlineStr"/>
      <c r="BQ153" t="inlineStr"/>
      <c r="BR153" t="inlineStr"/>
      <c r="BS153" t="inlineStr"/>
      <c r="BT153" t="inlineStr"/>
      <c r="BU153" t="inlineStr"/>
      <c r="BV153" t="inlineStr"/>
      <c r="BW153" t="inlineStr"/>
      <c r="BX153" t="inlineStr"/>
      <c r="BY153" t="inlineStr"/>
      <c r="BZ153" t="inlineStr"/>
      <c r="CA153" t="inlineStr"/>
      <c r="CB153" t="inlineStr"/>
      <c r="CC153" t="inlineStr"/>
      <c r="CD153" t="inlineStr"/>
      <c r="CE153" t="inlineStr"/>
      <c r="CF153" t="inlineStr"/>
      <c r="CG153" t="inlineStr"/>
      <c r="CH153" t="inlineStr"/>
      <c r="CI153" t="inlineStr"/>
      <c r="CJ153" t="inlineStr"/>
      <c r="CK153" t="inlineStr"/>
      <c r="CL153" t="inlineStr"/>
      <c r="CM153" t="inlineStr"/>
      <c r="CN153" t="inlineStr"/>
      <c r="CO153" t="inlineStr"/>
      <c r="CP153" t="inlineStr"/>
      <c r="CQ153" t="inlineStr"/>
      <c r="CR153" t="inlineStr"/>
      <c r="CS153" t="inlineStr"/>
      <c r="CT153" t="inlineStr"/>
      <c r="CU153" t="inlineStr"/>
      <c r="CV153" t="inlineStr"/>
      <c r="CW153" t="inlineStr"/>
      <c r="CX153" t="inlineStr"/>
      <c r="CY153" t="inlineStr"/>
      <c r="CZ153" t="inlineStr"/>
      <c r="DA153" t="inlineStr"/>
      <c r="DB153" t="inlineStr"/>
      <c r="DC153" t="inlineStr"/>
      <c r="DD153" t="inlineStr"/>
      <c r="DE153" t="inlineStr"/>
      <c r="DF153" t="inlineStr"/>
      <c r="DG153" t="inlineStr"/>
      <c r="DH153" t="inlineStr"/>
      <c r="DI153" t="inlineStr"/>
      <c r="DJ153" t="inlineStr"/>
      <c r="DK153" t="inlineStr"/>
      <c r="DL153" t="inlineStr"/>
      <c r="DM153" t="inlineStr"/>
      <c r="DN153" t="inlineStr"/>
      <c r="DO153" t="inlineStr"/>
      <c r="DP153" t="inlineStr"/>
      <c r="DQ153" t="inlineStr"/>
      <c r="DR153" t="inlineStr"/>
      <c r="DS153" t="inlineStr"/>
      <c r="DT153" t="inlineStr"/>
      <c r="DU153" t="inlineStr"/>
      <c r="DV153" t="inlineStr"/>
      <c r="DW153" t="inlineStr"/>
      <c r="DX153" t="inlineStr"/>
      <c r="DY153" t="inlineStr"/>
      <c r="DZ153" t="inlineStr"/>
      <c r="EA153" t="inlineStr"/>
      <c r="EB153" t="inlineStr"/>
      <c r="EC153" t="inlineStr"/>
      <c r="ED153" t="inlineStr"/>
      <c r="EE153" t="inlineStr"/>
      <c r="EF153" t="inlineStr"/>
      <c r="EG153" t="inlineStr"/>
      <c r="EH153" t="inlineStr"/>
      <c r="EI153" t="inlineStr"/>
      <c r="EJ153" t="inlineStr"/>
      <c r="EK153" t="inlineStr"/>
      <c r="EL153" t="inlineStr"/>
      <c r="EM153" t="inlineStr"/>
      <c r="EN153" t="inlineStr"/>
      <c r="EO153" t="inlineStr"/>
      <c r="EP153" t="inlineStr"/>
      <c r="EQ153" t="inlineStr"/>
      <c r="ER153" t="inlineStr"/>
      <c r="ES153" t="inlineStr"/>
      <c r="ET153" t="inlineStr"/>
      <c r="EU153" t="inlineStr"/>
      <c r="EV153" t="inlineStr"/>
      <c r="EW153" t="inlineStr"/>
      <c r="EX153" t="inlineStr"/>
      <c r="EY153" t="inlineStr"/>
      <c r="EZ153" t="inlineStr"/>
      <c r="FA153" t="inlineStr"/>
      <c r="FB153" t="inlineStr"/>
      <c r="FC153" t="inlineStr"/>
      <c r="FD153" t="inlineStr"/>
      <c r="FE153" t="inlineStr"/>
      <c r="FF153" t="inlineStr"/>
      <c r="FG153" t="inlineStr"/>
      <c r="FH153" t="inlineStr"/>
      <c r="FI153" t="inlineStr"/>
      <c r="FJ153" t="inlineStr"/>
      <c r="FK153" t="inlineStr"/>
      <c r="FL153" t="inlineStr"/>
      <c r="FM153" t="inlineStr"/>
      <c r="FN153" t="inlineStr"/>
      <c r="FO153" t="inlineStr"/>
      <c r="FP153" t="inlineStr"/>
      <c r="FQ153" t="inlineStr"/>
      <c r="FR153" t="inlineStr"/>
      <c r="FS153" t="inlineStr"/>
      <c r="FT153" t="inlineStr"/>
      <c r="FU153" t="inlineStr"/>
      <c r="FV153" t="inlineStr"/>
      <c r="FW153" t="inlineStr"/>
      <c r="FX153" t="inlineStr"/>
      <c r="FY153" t="inlineStr"/>
      <c r="FZ153" t="inlineStr"/>
      <c r="GA153" t="inlineStr"/>
      <c r="GB153" t="inlineStr"/>
      <c r="GC153" t="inlineStr"/>
      <c r="GD153" t="inlineStr"/>
      <c r="GE153" t="inlineStr"/>
      <c r="GF153" t="inlineStr"/>
      <c r="GG153" t="inlineStr"/>
      <c r="GH153" t="inlineStr"/>
      <c r="GI153" t="inlineStr"/>
      <c r="GJ153" t="inlineStr"/>
      <c r="GK153" t="inlineStr"/>
      <c r="GL153" t="inlineStr"/>
      <c r="GM153" t="inlineStr"/>
      <c r="GN153" t="inlineStr"/>
      <c r="GO153" t="inlineStr"/>
      <c r="GP153" t="inlineStr"/>
      <c r="GQ153" t="inlineStr"/>
      <c r="GR153" t="inlineStr"/>
      <c r="GS153" t="inlineStr"/>
      <c r="GT153" t="inlineStr"/>
      <c r="GU153" t="inlineStr"/>
      <c r="GV153" t="inlineStr"/>
      <c r="GW153" t="inlineStr"/>
      <c r="GX153" t="inlineStr"/>
      <c r="GY153" t="inlineStr"/>
      <c r="GZ153" t="inlineStr"/>
      <c r="HA153" t="inlineStr"/>
      <c r="HB153" t="inlineStr"/>
      <c r="HC153" t="inlineStr"/>
      <c r="HD153" t="inlineStr"/>
      <c r="HE153" t="inlineStr"/>
      <c r="HF153" t="inlineStr"/>
      <c r="HG153" t="inlineStr"/>
      <c r="HH153" t="inlineStr"/>
      <c r="HI153" t="inlineStr"/>
      <c r="HJ153" t="inlineStr"/>
      <c r="HK153" t="inlineStr"/>
      <c r="HL153" t="inlineStr"/>
      <c r="HM153" t="inlineStr"/>
      <c r="HN153" t="inlineStr"/>
      <c r="HO153" t="inlineStr"/>
      <c r="HP153" t="inlineStr"/>
      <c r="HQ153" t="inlineStr"/>
      <c r="HR153" t="inlineStr"/>
      <c r="HS153" t="inlineStr"/>
      <c r="HT153" t="inlineStr"/>
      <c r="HU153" t="inlineStr"/>
      <c r="HV153" t="inlineStr"/>
      <c r="HW153" t="inlineStr"/>
      <c r="HX153" t="inlineStr"/>
      <c r="HY153" t="inlineStr"/>
      <c r="HZ153" t="inlineStr"/>
      <c r="IA153" t="inlineStr"/>
      <c r="IB153" t="inlineStr"/>
      <c r="IC153" t="inlineStr"/>
      <c r="ID153" t="inlineStr"/>
      <c r="IE153" t="inlineStr"/>
      <c r="IF153" t="inlineStr"/>
      <c r="IG153" t="inlineStr"/>
      <c r="IH153" t="inlineStr"/>
      <c r="II153" t="inlineStr"/>
      <c r="IJ153" t="inlineStr"/>
      <c r="IK153" t="inlineStr"/>
      <c r="IL153" t="inlineStr"/>
      <c r="IM153" t="inlineStr"/>
      <c r="IN153" t="inlineStr"/>
      <c r="IO153" t="inlineStr"/>
      <c r="IP153" t="inlineStr"/>
      <c r="IQ153" t="inlineStr"/>
      <c r="IR153" t="inlineStr"/>
      <c r="IS153">
        <f>IF(input_content_type="",FALSE,ISNUMBER(SEARCH(","&amp;LOWER(input_content_type)&amp;",",","&amp;LOWER(F153)&amp;",")))</f>
        <v/>
      </c>
      <c r="IT153">
        <f>AND(IF(M153="",TRUE,IF(input_affiliations="",FALSE,SUMPRODUCT(--ISNUMBER(SEARCH(","&amp;TRIM(TEXTSPLIT(M153,","))&amp;",",","&amp;SUBSTITUTE(input_affiliations," ","")&amp;",")))&gt;0)),IF(O153="",TRUE,IF(input_affiliations="",FALSE,SUMPRODUCT(--ISNUMBER(SEARCH(","&amp;TRIM(TEXTSPLIT(O153,","))&amp;",",","&amp;SUBSTITUTE(input_affiliations," ","")&amp;",")))=COUNTA(TEXTSPLIT(O153,",")))),IF(Q153="",TRUE,IF(input_affiliations="",TRUE,SUMPRODUCT(--ISNUMBER(SEARCH(","&amp;TRIM(TEXTSPLIT(Q153,","))&amp;",",","&amp;SUBSTITUTE(input_affiliations," ","")&amp;",")))=0)),IF(S153="",TRUE,IF(input_affiliations="",FALSE,SUMPRODUCT(--ISNUMBER(SEARCH(","&amp;TRIM(TEXTSPLIT(S153,","))&amp;",",","&amp;SUBSTITUTE(input_affiliations," ","")&amp;",")))&gt;0)),IF(U153="",TRUE,IF(input_affiliations="",FALSE,SUMPRODUCT(--ISNUMBER(SEARCH(","&amp;TRIM(TEXTSPLIT(U153,","))&amp;",",","&amp;SUBSTITUTE(input_affiliations," ","")&amp;",")))=COUNTA(TEXTSPLIT(U153,",")))))</f>
        <v/>
      </c>
      <c r="IU153">
        <f>AND(IF(W153="",TRUE,IF(input_announcement_category="",FALSE,SUMPRODUCT(--ISNUMBER(SEARCH(","&amp;TRIM(TEXTSPLIT(W153,","))&amp;",",","&amp;SUBSTITUTE(input_announcement_category," ","")&amp;",")))&gt;0)),IF(Y153="",TRUE,IF(input_announcement_category="",FALSE,SUMPRODUCT(--ISNUMBER(SEARCH(","&amp;TRIM(TEXTSPLIT(Y153,","))&amp;",",","&amp;SUBSTITUTE(input_announcement_category," ","")&amp;",")))=COUNTA(TEXTSPLIT(Y153,",")))),IF(AA153="",TRUE,IF(input_announcement_category="",TRUE,SUMPRODUCT(--ISNUMBER(SEARCH(","&amp;TRIM(TEXTSPLIT(AA153,","))&amp;",",","&amp;SUBSTITUTE(input_announcement_category," ","")&amp;",")))=0)),IF(AC153="",TRUE,IF(input_announcement_category="",FALSE,SUMPRODUCT(--ISNUMBER(SEARCH(","&amp;TRIM(TEXTSPLIT(AC153,","))&amp;",",","&amp;SUBSTITUTE(input_announcement_category," ","")&amp;",")))&gt;0)),IF(AE153="",TRUE,IF(input_announcement_category="",FALSE,SUMPRODUCT(--ISNUMBER(SEARCH(","&amp;TRIM(TEXTSPLIT(AE153,","))&amp;",",","&amp;SUBSTITUTE(input_announcement_category," ","")&amp;",")))=COUNTA(TEXTSPLIT(AE153,",")))))</f>
        <v/>
      </c>
      <c r="IV153">
        <f>AND(IF(AG153="",TRUE,IF(input_area_of_focus="",FALSE,SUMPRODUCT(--ISNUMBER(SEARCH(","&amp;TRIM(TEXTSPLIT(AG153,","))&amp;",",","&amp;SUBSTITUTE(input_area_of_focus," ","")&amp;",")))&gt;0)),IF(AI153="",TRUE,IF(input_area_of_focus="",FALSE,SUMPRODUCT(--ISNUMBER(SEARCH(","&amp;TRIM(TEXTSPLIT(AI153,","))&amp;",",","&amp;SUBSTITUTE(input_area_of_focus," ","")&amp;",")))=COUNTA(TEXTSPLIT(AI153,",")))),IF(AK153="",TRUE,IF(input_area_of_focus="",TRUE,SUMPRODUCT(--ISNUMBER(SEARCH(","&amp;TRIM(TEXTSPLIT(AK153,","))&amp;",",","&amp;SUBSTITUTE(input_area_of_focus," ","")&amp;",")))=0)),IF(AM153="",TRUE,IF(input_area_of_focus="",FALSE,SUMPRODUCT(--ISNUMBER(SEARCH(","&amp;TRIM(TEXTSPLIT(AM153,","))&amp;",",","&amp;SUBSTITUTE(input_area_of_focus," ","")&amp;",")))&gt;0)),IF(AO153="",TRUE,IF(input_area_of_focus="",FALSE,SUMPRODUCT(--ISNUMBER(SEARCH(","&amp;TRIM(TEXTSPLIT(AO153,","))&amp;",",","&amp;SUBSTITUTE(input_area_of_focus," ","")&amp;",")))=COUNTA(TEXTSPLIT(AO153,",")))))</f>
        <v/>
      </c>
      <c r="IW153">
        <f>AND(IF(AQ153="",TRUE,IF(input_audience="",FALSE,SUMPRODUCT(--ISNUMBER(SEARCH(","&amp;TRIM(TEXTSPLIT(AQ153,","))&amp;",",","&amp;SUBSTITUTE(input_audience," ","")&amp;",")))&gt;0)),IF(AS153="",TRUE,IF(input_audience="",FALSE,SUMPRODUCT(--ISNUMBER(SEARCH(","&amp;TRIM(TEXTSPLIT(AS153,","))&amp;",",","&amp;SUBSTITUTE(input_audience," ","")&amp;",")))=COUNTA(TEXTSPLIT(AS153,",")))),IF(AU153="",TRUE,IF(input_audience="",TRUE,SUMPRODUCT(--ISNUMBER(SEARCH(","&amp;TRIM(TEXTSPLIT(AU153,","))&amp;",",","&amp;SUBSTITUTE(input_audience," ","")&amp;",")))=0)),IF(AW153="",TRUE,IF(input_audience="",FALSE,SUMPRODUCT(--ISNUMBER(SEARCH(","&amp;TRIM(TEXTSPLIT(AW153,","))&amp;",",","&amp;SUBSTITUTE(input_audience," ","")&amp;",")))&gt;0)),IF(AY153="",TRUE,IF(input_audience="",FALSE,SUMPRODUCT(--ISNUMBER(SEARCH(","&amp;TRIM(TEXTSPLIT(AY153,","))&amp;",",","&amp;SUBSTITUTE(input_audience," ","")&amp;",")))=COUNTA(TEXTSPLIT(AY153,",")))))</f>
        <v/>
      </c>
      <c r="IX153">
        <f>AND(IF(BA153="",TRUE,IF(input_challenge_opportunities="",FALSE,SUMPRODUCT(--ISNUMBER(SEARCH(","&amp;TRIM(TEXTSPLIT(BA153,","))&amp;",",","&amp;SUBSTITUTE(input_challenge_opportunities," ","")&amp;",")))&gt;0)),IF(BC153="",TRUE,IF(input_challenge_opportunities="",FALSE,SUMPRODUCT(--ISNUMBER(SEARCH(","&amp;TRIM(TEXTSPLIT(BC153,","))&amp;",",","&amp;SUBSTITUTE(input_challenge_opportunities," ","")&amp;",")))=COUNTA(TEXTSPLIT(BC153,",")))),IF(BE153="",TRUE,IF(input_challenge_opportunities="",TRUE,SUMPRODUCT(--ISNUMBER(SEARCH(","&amp;TRIM(TEXTSPLIT(BE153,","))&amp;",",","&amp;SUBSTITUTE(input_challenge_opportunities," ","")&amp;",")))=0)),IF(BG153="",TRUE,IF(input_challenge_opportunities="",FALSE,SUMPRODUCT(--ISNUMBER(SEARCH(","&amp;TRIM(TEXTSPLIT(BG153,","))&amp;",",","&amp;SUBSTITUTE(input_challenge_opportunities," ","")&amp;",")))&gt;0)),IF(BI153="",TRUE,IF(input_challenge_opportunities="",FALSE,SUMPRODUCT(--ISNUMBER(SEARCH(","&amp;TRIM(TEXTSPLIT(BI153,","))&amp;",",","&amp;SUBSTITUTE(input_challenge_opportunities," ","")&amp;",")))=COUNTA(TEXTSPLIT(BI153,",")))))</f>
        <v/>
      </c>
      <c r="IY153">
        <f>AND(IF(BK153="",TRUE,IF(input_context="",FALSE,SUMPRODUCT(--ISNUMBER(SEARCH(","&amp;TRIM(TEXTSPLIT(BK153,","))&amp;",",","&amp;SUBSTITUTE(input_context," ","")&amp;",")))&gt;0)),IF(BM153="",TRUE,IF(input_context="",FALSE,SUMPRODUCT(--ISNUMBER(SEARCH(","&amp;TRIM(TEXTSPLIT(BM153,","))&amp;",",","&amp;SUBSTITUTE(input_context," ","")&amp;",")))=COUNTA(TEXTSPLIT(BM153,",")))),IF(BO153="",TRUE,IF(input_context="",TRUE,SUMPRODUCT(--ISNUMBER(SEARCH(","&amp;TRIM(TEXTSPLIT(BO153,","))&amp;",",","&amp;SUBSTITUTE(input_context," ","")&amp;",")))=0)),IF(BQ153="",TRUE,IF(input_context="",FALSE,SUMPRODUCT(--ISNUMBER(SEARCH(","&amp;TRIM(TEXTSPLIT(BQ153,","))&amp;",",","&amp;SUBSTITUTE(input_context," ","")&amp;",")))&gt;0)),IF(BS153="",TRUE,IF(input_context="",FALSE,SUMPRODUCT(--ISNUMBER(SEARCH(","&amp;TRIM(TEXTSPLIT(BS153,","))&amp;",",","&amp;SUBSTITUTE(input_context," ","")&amp;",")))=COUNTA(TEXTSPLIT(BS153,",")))))</f>
        <v/>
      </c>
      <c r="IZ153">
        <f>AND(IF(BU153="",TRUE,IF(input_enews_announcement_type="",FALSE,SUMPRODUCT(--ISNUMBER(SEARCH(","&amp;TRIM(TEXTSPLIT(BU153,","))&amp;",",","&amp;SUBSTITUTE(input_enews_announcement_type," ","")&amp;",")))&gt;0)),IF(BW153="",TRUE,IF(input_enews_announcement_type="",FALSE,SUMPRODUCT(--ISNUMBER(SEARCH(","&amp;TRIM(TEXTSPLIT(BW153,","))&amp;",",","&amp;SUBSTITUTE(input_enews_announcement_type," ","")&amp;",")))=COUNTA(TEXTSPLIT(BW153,",")))),IF(BY153="",TRUE,IF(input_enews_announcement_type="",TRUE,SUMPRODUCT(--ISNUMBER(SEARCH(","&amp;TRIM(TEXTSPLIT(BY153,","))&amp;",",","&amp;SUBSTITUTE(input_enews_announcement_type," ","")&amp;",")))=0)),IF(CA153="",TRUE,IF(input_enews_announcement_type="",FALSE,SUMPRODUCT(--ISNUMBER(SEARCH(","&amp;TRIM(TEXTSPLIT(CA153,","))&amp;",",","&amp;SUBSTITUTE(input_enews_announcement_type," ","")&amp;",")))&gt;0)),IF(CC153="",TRUE,IF(input_enews_announcement_type="",FALSE,SUMPRODUCT(--ISNUMBER(SEARCH(","&amp;TRIM(TEXTSPLIT(CC153,","))&amp;",",","&amp;SUBSTITUTE(input_enews_announcement_type," ","")&amp;",")))=COUNTA(TEXTSPLIT(CC153,",")))))</f>
        <v/>
      </c>
      <c r="JA153">
        <f>AND(IF(CE153="",TRUE,IF(input_enews_audience="",FALSE,SUMPRODUCT(--ISNUMBER(SEARCH(","&amp;TRIM(TEXTSPLIT(CE153,","))&amp;",",","&amp;SUBSTITUTE(input_enews_audience," ","")&amp;",")))&gt;0)),IF(CG153="",TRUE,IF(input_enews_audience="",FALSE,SUMPRODUCT(--ISNUMBER(SEARCH(","&amp;TRIM(TEXTSPLIT(CG153,","))&amp;",",","&amp;SUBSTITUTE(input_enews_audience," ","")&amp;",")))=COUNTA(TEXTSPLIT(CG153,",")))),IF(CI153="",TRUE,IF(input_enews_audience="",TRUE,SUMPRODUCT(--ISNUMBER(SEARCH(","&amp;TRIM(TEXTSPLIT(CI153,","))&amp;",",","&amp;SUBSTITUTE(input_enews_audience," ","")&amp;",")))=0)),IF(CK153="",TRUE,IF(input_enews_audience="",FALSE,SUMPRODUCT(--ISNUMBER(SEARCH(","&amp;TRIM(TEXTSPLIT(CK153,","))&amp;",",","&amp;SUBSTITUTE(input_enews_audience," ","")&amp;",")))&gt;0)),IF(CM153="",TRUE,IF(input_enews_audience="",FALSE,SUMPRODUCT(--ISNUMBER(SEARCH(","&amp;TRIM(TEXTSPLIT(CM153,","))&amp;",",","&amp;SUBSTITUTE(input_enews_audience," ","")&amp;",")))=COUNTA(TEXTSPLIT(CM153,",")))))</f>
        <v/>
      </c>
      <c r="JB153">
        <f>AND(IF(CO153="",TRUE,IF(input_event_location="",FALSE,SUMPRODUCT(--ISNUMBER(SEARCH(","&amp;TRIM(TEXTSPLIT(CO153,","))&amp;",",","&amp;SUBSTITUTE(input_event_location," ","")&amp;",")))&gt;0)),IF(CQ153="",TRUE,IF(input_event_location="",FALSE,SUMPRODUCT(--ISNUMBER(SEARCH(","&amp;TRIM(TEXTSPLIT(CQ153,","))&amp;",",","&amp;SUBSTITUTE(input_event_location," ","")&amp;",")))=COUNTA(TEXTSPLIT(CQ153,",")))),IF(CS153="",TRUE,IF(input_event_location="",TRUE,SUMPRODUCT(--ISNUMBER(SEARCH(","&amp;TRIM(TEXTSPLIT(CS153,","))&amp;",",","&amp;SUBSTITUTE(input_event_location," ","")&amp;",")))=0)),IF(CU153="",TRUE,IF(input_event_location="",FALSE,SUMPRODUCT(--ISNUMBER(SEARCH(","&amp;TRIM(TEXTSPLIT(CU153,","))&amp;",",","&amp;SUBSTITUTE(input_event_location," ","")&amp;",")))&gt;0)),IF(CW153="",TRUE,IF(input_event_location="",FALSE,SUMPRODUCT(--ISNUMBER(SEARCH(","&amp;TRIM(TEXTSPLIT(CW153,","))&amp;",",","&amp;SUBSTITUTE(input_event_location," ","")&amp;",")))=COUNTA(TEXTSPLIT(CW153,",")))))</f>
        <v/>
      </c>
      <c r="JC153">
        <f>AND(IF(CY153="",TRUE,IF(input_event_type="",FALSE,SUMPRODUCT(--ISNUMBER(SEARCH(","&amp;TRIM(TEXTSPLIT(CY153,","))&amp;",",","&amp;SUBSTITUTE(input_event_type," ","")&amp;",")))&gt;0)),IF(DA153="",TRUE,IF(input_event_type="",FALSE,SUMPRODUCT(--ISNUMBER(SEARCH(","&amp;TRIM(TEXTSPLIT(DA153,","))&amp;",",","&amp;SUBSTITUTE(input_event_type," ","")&amp;",")))=COUNTA(TEXTSPLIT(DA153,",")))),IF(DC153="",TRUE,IF(input_event_type="",TRUE,SUMPRODUCT(--ISNUMBER(SEARCH(","&amp;TRIM(TEXTSPLIT(DC153,","))&amp;",",","&amp;SUBSTITUTE(input_event_type," ","")&amp;",")))=0)),IF(DE153="",TRUE,IF(input_event_type="",FALSE,SUMPRODUCT(--ISNUMBER(SEARCH(","&amp;TRIM(TEXTSPLIT(DE153,","))&amp;",",","&amp;SUBSTITUTE(input_event_type," ","")&amp;",")))&gt;0)),IF(DG153="",TRUE,IF(input_event_type="",FALSE,SUMPRODUCT(--ISNUMBER(SEARCH(","&amp;TRIM(TEXTSPLIT(DG153,","))&amp;",",","&amp;SUBSTITUTE(input_event_type," ","")&amp;",")))=COUNTA(TEXTSPLIT(DG153,",")))))</f>
        <v/>
      </c>
      <c r="JD153">
        <f>AND(IF(DI153="",TRUE,IF(input_executive_education_focus="",FALSE,SUMPRODUCT(--ISNUMBER(SEARCH(","&amp;TRIM(TEXTSPLIT(DI153,","))&amp;",",","&amp;SUBSTITUTE(input_executive_education_focus," ","")&amp;",")))&gt;0)),IF(DK153="",TRUE,IF(input_executive_education_focus="",FALSE,SUMPRODUCT(--ISNUMBER(SEARCH(","&amp;TRIM(TEXTSPLIT(DK153,","))&amp;",",","&amp;SUBSTITUTE(input_executive_education_focus," ","")&amp;",")))=COUNTA(TEXTSPLIT(DK153,",")))),IF(DM153="",TRUE,IF(input_executive_education_focus="",TRUE,SUMPRODUCT(--ISNUMBER(SEARCH(","&amp;TRIM(TEXTSPLIT(DM153,","))&amp;",",","&amp;SUBSTITUTE(input_executive_education_focus," ","")&amp;",")))=0)),IF(DO153="",TRUE,IF(input_executive_education_focus="",FALSE,SUMPRODUCT(--ISNUMBER(SEARCH(","&amp;TRIM(TEXTSPLIT(DO153,","))&amp;",",","&amp;SUBSTITUTE(input_executive_education_focus," ","")&amp;",")))&gt;0)),IF(DQ153="",TRUE,IF(input_executive_education_focus="",FALSE,SUMPRODUCT(--ISNUMBER(SEARCH(","&amp;TRIM(TEXTSPLIT(DQ153,","))&amp;",",","&amp;SUBSTITUTE(input_executive_education_focus," ","")&amp;",")))=COUNTA(TEXTSPLIT(DQ153,",")))))</f>
        <v/>
      </c>
      <c r="JE153">
        <f>AND(IF(DS153="",TRUE,IF(input_faculty_category="",FALSE,SUMPRODUCT(--ISNUMBER(SEARCH(","&amp;TRIM(TEXTSPLIT(DS153,","))&amp;",",","&amp;SUBSTITUTE(input_faculty_category," ","")&amp;",")))&gt;0)),IF(DU153="",TRUE,IF(input_faculty_category="",FALSE,SUMPRODUCT(--ISNUMBER(SEARCH(","&amp;TRIM(TEXTSPLIT(DU153,","))&amp;",",","&amp;SUBSTITUTE(input_faculty_category," ","")&amp;",")))=COUNTA(TEXTSPLIT(DU153,",")))),IF(DW153="",TRUE,IF(input_faculty_category="",TRUE,SUMPRODUCT(--ISNUMBER(SEARCH(","&amp;TRIM(TEXTSPLIT(DW153,","))&amp;",",","&amp;SUBSTITUTE(input_faculty_category," ","")&amp;",")))=0)),IF(DY153="",TRUE,IF(input_faculty_category="",FALSE,SUMPRODUCT(--ISNUMBER(SEARCH(","&amp;TRIM(TEXTSPLIT(DY153,","))&amp;",",","&amp;SUBSTITUTE(input_faculty_category," ","")&amp;",")))&gt;0)),IF(EA153="",TRUE,IF(input_faculty_category="",FALSE,SUMPRODUCT(--ISNUMBER(SEARCH(","&amp;TRIM(TEXTSPLIT(EA153,","))&amp;",",","&amp;SUBSTITUTE(input_faculty_category," ","")&amp;",")))=COUNTA(TEXTSPLIT(EA153,",")))))</f>
        <v/>
      </c>
      <c r="JF153">
        <f>AND(IF(EC153="",TRUE,IF(input_faculty_discipline="",FALSE,SUMPRODUCT(--ISNUMBER(SEARCH(","&amp;TRIM(TEXTSPLIT(EC153,","))&amp;",",","&amp;SUBSTITUTE(input_faculty_discipline," ","")&amp;",")))&gt;0)),IF(EE153="",TRUE,IF(input_faculty_discipline="",FALSE,SUMPRODUCT(--ISNUMBER(SEARCH(","&amp;TRIM(TEXTSPLIT(EE153,","))&amp;",",","&amp;SUBSTITUTE(input_faculty_discipline," ","")&amp;",")))=COUNTA(TEXTSPLIT(EE153,",")))),IF(EG153="",TRUE,IF(input_faculty_discipline="",TRUE,SUMPRODUCT(--ISNUMBER(SEARCH(","&amp;TRIM(TEXTSPLIT(EG153,","))&amp;",",","&amp;SUBSTITUTE(input_faculty_discipline," ","")&amp;",")))=0)),IF(EI153="",TRUE,IF(input_faculty_discipline="",FALSE,SUMPRODUCT(--ISNUMBER(SEARCH(","&amp;TRIM(TEXTSPLIT(EI153,","))&amp;",",","&amp;SUBSTITUTE(input_faculty_discipline," ","")&amp;",")))&gt;0)),IF(EK153="",TRUE,IF(input_faculty_discipline="",FALSE,SUMPRODUCT(--ISNUMBER(SEARCH(","&amp;TRIM(TEXTSPLIT(EK153,","))&amp;",",","&amp;SUBSTITUTE(input_faculty_discipline," ","")&amp;",")))=COUNTA(TEXTSPLIT(EK153,",")))))</f>
        <v/>
      </c>
      <c r="JG153">
        <f>AND(IF(EM153="",TRUE,IF(input_faculty_expertise="",FALSE,SUMPRODUCT(--ISNUMBER(SEARCH(","&amp;TRIM(TEXTSPLIT(EM153,","))&amp;",",","&amp;SUBSTITUTE(input_faculty_expertise," ","")&amp;",")))&gt;0)),IF(EO153="",TRUE,IF(input_faculty_expertise="",FALSE,SUMPRODUCT(--ISNUMBER(SEARCH(","&amp;TRIM(TEXTSPLIT(EO153,","))&amp;",",","&amp;SUBSTITUTE(input_faculty_expertise," ","")&amp;",")))=COUNTA(TEXTSPLIT(EO153,",")))),IF(EQ153="",TRUE,IF(input_faculty_expertise="",TRUE,SUMPRODUCT(--ISNUMBER(SEARCH(","&amp;TRIM(TEXTSPLIT(EQ153,","))&amp;",",","&amp;SUBSTITUTE(input_faculty_expertise," ","")&amp;",")))=0)),IF(ES153="",TRUE,IF(input_faculty_expertise="",FALSE,SUMPRODUCT(--ISNUMBER(SEARCH(","&amp;TRIM(TEXTSPLIT(ES153,","))&amp;",",","&amp;SUBSTITUTE(input_faculty_expertise," ","")&amp;",")))&gt;0)),IF(EU153="",TRUE,IF(input_faculty_expertise="",FALSE,SUMPRODUCT(--ISNUMBER(SEARCH(","&amp;TRIM(TEXTSPLIT(EU153,","))&amp;",",","&amp;SUBSTITUTE(input_faculty_expertise," ","")&amp;",")))=COUNTA(TEXTSPLIT(EU153,",")))))</f>
        <v/>
      </c>
      <c r="JH153">
        <f>AND(IF(EW153="",TRUE,IF(input_global_network_school="",FALSE,SUMPRODUCT(--ISNUMBER(SEARCH(","&amp;TRIM(TEXTSPLIT(EW153,","))&amp;",",","&amp;SUBSTITUTE(input_global_network_school," ","")&amp;",")))&gt;0)),IF(EY153="",TRUE,IF(input_global_network_school="",FALSE,SUMPRODUCT(--ISNUMBER(SEARCH(","&amp;TRIM(TEXTSPLIT(EY153,","))&amp;",",","&amp;SUBSTITUTE(input_global_network_school," ","")&amp;",")))=COUNTA(TEXTSPLIT(EY153,",")))),IF(FA153="",TRUE,IF(input_global_network_school="",TRUE,SUMPRODUCT(--ISNUMBER(SEARCH(","&amp;TRIM(TEXTSPLIT(FA153,","))&amp;",",","&amp;SUBSTITUTE(input_global_network_school," ","")&amp;",")))=0)),IF(FC153="",TRUE,IF(input_global_network_school="",FALSE,SUMPRODUCT(--ISNUMBER(SEARCH(","&amp;TRIM(TEXTSPLIT(FC153,","))&amp;",",","&amp;SUBSTITUTE(input_global_network_school," ","")&amp;",")))&gt;0)),IF(FE153="",TRUE,IF(input_global_network_school="",FALSE,SUMPRODUCT(--ISNUMBER(SEARCH(","&amp;TRIM(TEXTSPLIT(FE153,","))&amp;",",","&amp;SUBSTITUTE(input_global_network_school," ","")&amp;",")))=COUNTA(TEXTSPLIT(FE153,",")))))</f>
        <v/>
      </c>
      <c r="JI153">
        <f>AND(IF(FG153="",TRUE,IF(input_industry="",FALSE,SUMPRODUCT(--ISNUMBER(SEARCH(","&amp;TRIM(TEXTSPLIT(FG153,","))&amp;",",","&amp;SUBSTITUTE(input_industry," ","")&amp;",")))&gt;0)),IF(FI153="",TRUE,IF(input_industry="",FALSE,SUMPRODUCT(--ISNUMBER(SEARCH(","&amp;TRIM(TEXTSPLIT(FI153,","))&amp;",",","&amp;SUBSTITUTE(input_industry," ","")&amp;",")))=COUNTA(TEXTSPLIT(FI153,",")))),IF(FK153="",TRUE,IF(input_industry="",TRUE,SUMPRODUCT(--ISNUMBER(SEARCH(","&amp;TRIM(TEXTSPLIT(FK153,","))&amp;",",","&amp;SUBSTITUTE(input_industry," ","")&amp;",")))=0)),IF(FM153="",TRUE,IF(input_industry="",FALSE,SUMPRODUCT(--ISNUMBER(SEARCH(","&amp;TRIM(TEXTSPLIT(FM153,","))&amp;",",","&amp;SUBSTITUTE(input_industry," ","")&amp;",")))&gt;0)),IF(FO153="",TRUE,IF(input_industry="",FALSE,SUMPRODUCT(--ISNUMBER(SEARCH(","&amp;TRIM(TEXTSPLIT(FO153,","))&amp;",",","&amp;SUBSTITUTE(input_industry," ","")&amp;",")))=COUNTA(TEXTSPLIT(FO153,",")))))</f>
        <v/>
      </c>
      <c r="JJ153">
        <f>AND(IF(FQ153="",TRUE,IF(input_location="",FALSE,SUMPRODUCT(--ISNUMBER(SEARCH(","&amp;TRIM(TEXTSPLIT(FQ153,","))&amp;",",","&amp;SUBSTITUTE(input_location," ","")&amp;",")))&gt;0)),IF(FS153="",TRUE,IF(input_location="",FALSE,SUMPRODUCT(--ISNUMBER(SEARCH(","&amp;TRIM(TEXTSPLIT(FS153,","))&amp;",",","&amp;SUBSTITUTE(input_location," ","")&amp;",")))=COUNTA(TEXTSPLIT(FS153,",")))),IF(FU153="",TRUE,IF(input_location="",TRUE,SUMPRODUCT(--ISNUMBER(SEARCH(","&amp;TRIM(TEXTSPLIT(FU153,","))&amp;",",","&amp;SUBSTITUTE(input_location," ","")&amp;",")))=0)),IF(FW153="",TRUE,IF(input_location="",FALSE,SUMPRODUCT(--ISNUMBER(SEARCH(","&amp;TRIM(TEXTSPLIT(FW153,","))&amp;",",","&amp;SUBSTITUTE(input_location," ","")&amp;",")))&gt;0)),IF(FY153="",TRUE,IF(input_location="",FALSE,SUMPRODUCT(--ISNUMBER(SEARCH(","&amp;TRIM(TEXTSPLIT(FY153,","))&amp;",",","&amp;SUBSTITUTE(input_location," ","")&amp;",")))=COUNTA(TEXTSPLIT(FY153,",")))))</f>
        <v/>
      </c>
      <c r="JK153">
        <f>AND(IF(GA153="",TRUE,IF(input_modality="",FALSE,SUMPRODUCT(--ISNUMBER(SEARCH(","&amp;TRIM(TEXTSPLIT(GA153,","))&amp;",",","&amp;SUBSTITUTE(input_modality," ","")&amp;",")))&gt;0)),IF(GC153="",TRUE,IF(input_modality="",FALSE,SUMPRODUCT(--ISNUMBER(SEARCH(","&amp;TRIM(TEXTSPLIT(GC153,","))&amp;",",","&amp;SUBSTITUTE(input_modality," ","")&amp;",")))=COUNTA(TEXTSPLIT(GC153,",")))),IF(GE153="",TRUE,IF(input_modality="",TRUE,SUMPRODUCT(--ISNUMBER(SEARCH(","&amp;TRIM(TEXTSPLIT(GE153,","))&amp;",",","&amp;SUBSTITUTE(input_modality," ","")&amp;",")))=0)),IF(GG153="",TRUE,IF(input_modality="",FALSE,SUMPRODUCT(--ISNUMBER(SEARCH(","&amp;TRIM(TEXTSPLIT(GG153,","))&amp;",",","&amp;SUBSTITUTE(input_modality," ","")&amp;",")))&gt;0)),IF(GI153="",TRUE,IF(input_modality="",FALSE,SUMPRODUCT(--ISNUMBER(SEARCH(","&amp;TRIM(TEXTSPLIT(GI153,","))&amp;",",","&amp;SUBSTITUTE(input_modality," ","")&amp;",")))=COUNTA(TEXTSPLIT(GI153,",")))))</f>
        <v/>
      </c>
      <c r="JL153">
        <f>AND(IF(GK153="",TRUE,IF(input_organizer="",FALSE,SUMPRODUCT(--ISNUMBER(SEARCH(","&amp;TRIM(TEXTSPLIT(GK153,","))&amp;",",","&amp;SUBSTITUTE(input_organizer," ","")&amp;",")))&gt;0)),IF(GM153="",TRUE,IF(input_organizer="",FALSE,SUMPRODUCT(--ISNUMBER(SEARCH(","&amp;TRIM(TEXTSPLIT(GM153,","))&amp;",",","&amp;SUBSTITUTE(input_organizer," ","")&amp;",")))=COUNTA(TEXTSPLIT(GM153,",")))),IF(GO153="",TRUE,IF(input_organizer="",TRUE,SUMPRODUCT(--ISNUMBER(SEARCH(","&amp;TRIM(TEXTSPLIT(GO153,","))&amp;",",","&amp;SUBSTITUTE(input_organizer," ","")&amp;",")))=0)),IF(GQ153="",TRUE,IF(input_organizer="",FALSE,SUMPRODUCT(--ISNUMBER(SEARCH(","&amp;TRIM(TEXTSPLIT(GQ153,","))&amp;",",","&amp;SUBSTITUTE(input_organizer," ","")&amp;",")))&gt;0)),IF(GS153="",TRUE,IF(input_organizer="",FALSE,SUMPRODUCT(--ISNUMBER(SEARCH(","&amp;TRIM(TEXTSPLIT(GS153,","))&amp;",",","&amp;SUBSTITUTE(input_organizer," ","")&amp;",")))=COUNTA(TEXTSPLIT(GS153,",")))))</f>
        <v/>
      </c>
      <c r="JM153">
        <f>AND(IF(GU153="",TRUE,IF(input_profile_type="",FALSE,SUMPRODUCT(--ISNUMBER(SEARCH(","&amp;TRIM(TEXTSPLIT(GU153,","))&amp;",",","&amp;SUBSTITUTE(input_profile_type," ","")&amp;",")))&gt;0)),IF(GW153="",TRUE,IF(input_profile_type="",FALSE,SUMPRODUCT(--ISNUMBER(SEARCH(","&amp;TRIM(TEXTSPLIT(GW153,","))&amp;",",","&amp;SUBSTITUTE(input_profile_type," ","")&amp;",")))=COUNTA(TEXTSPLIT(GW153,",")))),IF(GY153="",TRUE,IF(input_profile_type="",TRUE,SUMPRODUCT(--ISNUMBER(SEARCH(","&amp;TRIM(TEXTSPLIT(GY153,","))&amp;",",","&amp;SUBSTITUTE(input_profile_type," ","")&amp;",")))=0)),IF(HA153="",TRUE,IF(input_profile_type="",FALSE,SUMPRODUCT(--ISNUMBER(SEARCH(","&amp;TRIM(TEXTSPLIT(HA153,","))&amp;",",","&amp;SUBSTITUTE(input_profile_type," ","")&amp;",")))&gt;0)),IF(HC153="",TRUE,IF(input_profile_type="",FALSE,SUMPRODUCT(--ISNUMBER(SEARCH(","&amp;TRIM(TEXTSPLIT(HC153,","))&amp;",",","&amp;SUBSTITUTE(input_profile_type," ","")&amp;",")))=COUNTA(TEXTSPLIT(HC153,",")))))</f>
        <v/>
      </c>
      <c r="JN153">
        <f>AND(IF(HE153="",TRUE,IF(input_program="",FALSE,SUMPRODUCT(--ISNUMBER(SEARCH(","&amp;TRIM(TEXTSPLIT(HE153,","))&amp;",",","&amp;SUBSTITUTE(input_program," ","")&amp;",")))&gt;0)),IF(HG153="",TRUE,IF(input_program="",FALSE,SUMPRODUCT(--ISNUMBER(SEARCH(","&amp;TRIM(TEXTSPLIT(HG153,","))&amp;",",","&amp;SUBSTITUTE(input_program," ","")&amp;",")))=COUNTA(TEXTSPLIT(HG153,",")))),IF(HI153="",TRUE,IF(input_program="",TRUE,SUMPRODUCT(--ISNUMBER(SEARCH(","&amp;TRIM(TEXTSPLIT(HI153,","))&amp;",",","&amp;SUBSTITUTE(input_program," ","")&amp;",")))=0)),IF(HK153="",TRUE,IF(input_program="",FALSE,SUMPRODUCT(--ISNUMBER(SEARCH(","&amp;TRIM(TEXTSPLIT(HK153,","))&amp;",",","&amp;SUBSTITUTE(input_program," ","")&amp;",")))&gt;0)),IF(HM153="",TRUE,IF(input_program="",FALSE,SUMPRODUCT(--ISNUMBER(SEARCH(","&amp;TRIM(TEXTSPLIT(HM153,","))&amp;",",","&amp;SUBSTITUTE(input_program," ","")&amp;",")))=COUNTA(TEXTSPLIT(HM153,",")))))</f>
        <v/>
      </c>
      <c r="JO153">
        <f>AND(IF(HO153="",TRUE,IF(input_story_categories="",FALSE,SUMPRODUCT(--ISNUMBER(SEARCH(","&amp;TRIM(TEXTSPLIT(HO153,","))&amp;",",","&amp;SUBSTITUTE(input_story_categories," ","")&amp;",")))&gt;0)),IF(HQ153="",TRUE,IF(input_story_categories="",FALSE,SUMPRODUCT(--ISNUMBER(SEARCH(","&amp;TRIM(TEXTSPLIT(HQ153,","))&amp;",",","&amp;SUBSTITUTE(input_story_categories," ","")&amp;",")))=COUNTA(TEXTSPLIT(HQ153,",")))),IF(HS153="",TRUE,IF(input_story_categories="",TRUE,SUMPRODUCT(--ISNUMBER(SEARCH(","&amp;TRIM(TEXTSPLIT(HS153,","))&amp;",",","&amp;SUBSTITUTE(input_story_categories," ","")&amp;",")))=0)),IF(HU153="",TRUE,IF(input_story_categories="",FALSE,SUMPRODUCT(--ISNUMBER(SEARCH(","&amp;TRIM(TEXTSPLIT(HU153,","))&amp;",",","&amp;SUBSTITUTE(input_story_categories," ","")&amp;",")))&gt;0)),IF(HW153="",TRUE,IF(input_story_categories="",FALSE,SUMPRODUCT(--ISNUMBER(SEARCH(","&amp;TRIM(TEXTSPLIT(HW153,","))&amp;",",","&amp;SUBSTITUTE(input_story_categories," ","")&amp;",")))=COUNTA(TEXTSPLIT(HW153,",")))))</f>
        <v/>
      </c>
      <c r="JP153">
        <f>AND(IF(HY153="",TRUE,IF(input_story_type="",FALSE,SUMPRODUCT(--ISNUMBER(SEARCH(","&amp;TRIM(TEXTSPLIT(HY153,","))&amp;",",","&amp;SUBSTITUTE(input_story_type," ","")&amp;",")))&gt;0)),IF(IA153="",TRUE,IF(input_story_type="",FALSE,SUMPRODUCT(--ISNUMBER(SEARCH(","&amp;TRIM(TEXTSPLIT(IA153,","))&amp;",",","&amp;SUBSTITUTE(input_story_type," ","")&amp;",")))=COUNTA(TEXTSPLIT(IA153,",")))),IF(IC153="",TRUE,IF(input_story_type="",TRUE,SUMPRODUCT(--ISNUMBER(SEARCH(","&amp;TRIM(TEXTSPLIT(IC153,","))&amp;",",","&amp;SUBSTITUTE(input_story_type," ","")&amp;",")))=0)),IF(IE153="",TRUE,IF(input_story_type="",FALSE,SUMPRODUCT(--ISNUMBER(SEARCH(","&amp;TRIM(TEXTSPLIT(IE153,","))&amp;",",","&amp;SUBSTITUTE(input_story_type," ","")&amp;",")))&gt;0)),IF(IG153="",TRUE,IF(input_story_type="",FALSE,SUMPRODUCT(--ISNUMBER(SEARCH(","&amp;TRIM(TEXTSPLIT(IG153,","))&amp;",",","&amp;SUBSTITUTE(input_story_type," ","")&amp;",")))=COUNTA(TEXTSPLIT(IG153,",")))))</f>
        <v/>
      </c>
      <c r="JQ153">
        <f>AND(IF(II153="",TRUE,IF(input_topics="",FALSE,SUMPRODUCT(--ISNUMBER(SEARCH(","&amp;TRIM(TEXTSPLIT(II153,","))&amp;",",","&amp;SUBSTITUTE(input_topics," ","")&amp;",")))&gt;0)),IF(IK153="",TRUE,IF(input_topics="",FALSE,SUMPRODUCT(--ISNUMBER(SEARCH(","&amp;TRIM(TEXTSPLIT(IK153,","))&amp;",",","&amp;SUBSTITUTE(input_topics," ","")&amp;",")))=COUNTA(TEXTSPLIT(IK153,",")))),IF(IM153="",TRUE,IF(input_topics="",TRUE,SUMPRODUCT(--ISNUMBER(SEARCH(","&amp;TRIM(TEXTSPLIT(IM153,","))&amp;",",","&amp;SUBSTITUTE(input_topics," ","")&amp;",")))=0)),IF(IO153="",TRUE,IF(input_topics="",FALSE,SUMPRODUCT(--ISNUMBER(SEARCH(","&amp;TRIM(TEXTSPLIT(IO153,","))&amp;",",","&amp;SUBSTITUTE(input_topics," ","")&amp;",")))&gt;0)),IF(IQ153="",TRUE,IF(input_topics="",FALSE,SUMPRODUCT(--ISNUMBER(SEARCH(","&amp;TRIM(TEXTSPLIT(IQ153,","))&amp;",",","&amp;SUBSTITUTE(input_topics," ","")&amp;",")))=COUNTA(TEXTSPLIT(IQ153,",")))))</f>
        <v/>
      </c>
    </row>
    <row r="154">
      <c r="A154" s="4">
        <f>IF(NOT(IS154),"Excluded",IF(AND(IT154,IU154,IV154,IW154,IX154,IY154,IZ154,JA154,JB154,JC154,JD154,JE154,JF154,JG154,JH154,JI154,JJ154,JK154,JL154,JM154,JN154,JO154,JP154,JQ154),IF(I154&gt;0,"Eligible but limited","Will appear"),"Excluded"))</f>
        <v/>
      </c>
      <c r="B154" s="4" t="inlineStr">
        <is>
          <t>Publication Book</t>
        </is>
      </c>
      <c r="C154" s="4" t="inlineStr">
        <is>
          <t>/faculty-research/faculty-directory/gregory-p-licholai</t>
        </is>
      </c>
      <c r="D154" s="4" t="inlineStr">
        <is>
          <t>/faculty-research/faculty-directory/gregory-p-licholai</t>
        </is>
      </c>
      <c r="E154" s="4" t="n">
        <v>1</v>
      </c>
      <c r="F154" s="4" t="inlineStr">
        <is>
          <t>publications</t>
        </is>
      </c>
      <c r="G154" s="4" t="inlineStr">
        <is>
          <t>publication_teaser_list</t>
        </is>
      </c>
      <c r="H154" s="4" t="inlineStr">
        <is>
          <t>publication_teaser_list_book</t>
        </is>
      </c>
      <c r="I154" s="4" t="n">
        <v>3</v>
      </c>
      <c r="J154" s="4" t="inlineStr">
        <is>
          <t>View/config rules</t>
        </is>
      </c>
      <c r="K154" s="4" t="inlineStr">
        <is>
          <t>Page placement</t>
        </is>
      </c>
      <c r="L154" s="4" t="inlineStr">
        <is>
          <t>Content type: publications; Limited to 3 item(s); Source: View/config rules</t>
        </is>
      </c>
      <c r="M154" t="inlineStr"/>
      <c r="N154" t="inlineStr"/>
      <c r="O154" t="inlineStr"/>
      <c r="P154" t="inlineStr"/>
      <c r="Q154" t="inlineStr"/>
      <c r="R154" t="inlineStr"/>
      <c r="S154" t="inlineStr"/>
      <c r="T154" t="inlineStr"/>
      <c r="U154" t="inlineStr"/>
      <c r="V154" t="inlineStr"/>
      <c r="W154" t="inlineStr"/>
      <c r="X154" t="inlineStr"/>
      <c r="Y154" t="inlineStr"/>
      <c r="Z154" t="inlineStr"/>
      <c r="AA154" t="inlineStr"/>
      <c r="AB154" t="inlineStr"/>
      <c r="AC154" t="inlineStr"/>
      <c r="AD154" t="inlineStr"/>
      <c r="AE154" t="inlineStr"/>
      <c r="AF154" t="inlineStr"/>
      <c r="AG154" t="inlineStr"/>
      <c r="AH154" t="inlineStr"/>
      <c r="AI154" t="inlineStr"/>
      <c r="AJ154" t="inlineStr"/>
      <c r="AK154" t="inlineStr"/>
      <c r="AL154" t="inlineStr"/>
      <c r="AM154" t="inlineStr"/>
      <c r="AN154" t="inlineStr"/>
      <c r="AO154" t="inlineStr"/>
      <c r="AP154" t="inlineStr"/>
      <c r="AQ154" t="inlineStr"/>
      <c r="AR154" t="inlineStr"/>
      <c r="AS154" t="inlineStr"/>
      <c r="AT154" t="inlineStr"/>
      <c r="AU154" t="inlineStr"/>
      <c r="AV154" t="inlineStr"/>
      <c r="AW154" t="inlineStr"/>
      <c r="AX154" t="inlineStr"/>
      <c r="AY154" t="inlineStr"/>
      <c r="AZ154" t="inlineStr"/>
      <c r="BA154" t="inlineStr"/>
      <c r="BB154" t="inlineStr"/>
      <c r="BC154" t="inlineStr"/>
      <c r="BD154" t="inlineStr"/>
      <c r="BE154" t="inlineStr"/>
      <c r="BF154" t="inlineStr"/>
      <c r="BG154" t="inlineStr"/>
      <c r="BH154" t="inlineStr"/>
      <c r="BI154" t="inlineStr"/>
      <c r="BJ154" t="inlineStr"/>
      <c r="BK154" t="inlineStr"/>
      <c r="BL154" t="inlineStr"/>
      <c r="BM154" t="inlineStr"/>
      <c r="BN154" t="inlineStr"/>
      <c r="BO154" t="inlineStr"/>
      <c r="BP154" t="inlineStr"/>
      <c r="BQ154" t="inlineStr"/>
      <c r="BR154" t="inlineStr"/>
      <c r="BS154" t="inlineStr"/>
      <c r="BT154" t="inlineStr"/>
      <c r="BU154" t="inlineStr"/>
      <c r="BV154" t="inlineStr"/>
      <c r="BW154" t="inlineStr"/>
      <c r="BX154" t="inlineStr"/>
      <c r="BY154" t="inlineStr"/>
      <c r="BZ154" t="inlineStr"/>
      <c r="CA154" t="inlineStr"/>
      <c r="CB154" t="inlineStr"/>
      <c r="CC154" t="inlineStr"/>
      <c r="CD154" t="inlineStr"/>
      <c r="CE154" t="inlineStr"/>
      <c r="CF154" t="inlineStr"/>
      <c r="CG154" t="inlineStr"/>
      <c r="CH154" t="inlineStr"/>
      <c r="CI154" t="inlineStr"/>
      <c r="CJ154" t="inlineStr"/>
      <c r="CK154" t="inlineStr"/>
      <c r="CL154" t="inlineStr"/>
      <c r="CM154" t="inlineStr"/>
      <c r="CN154" t="inlineStr"/>
      <c r="CO154" t="inlineStr"/>
      <c r="CP154" t="inlineStr"/>
      <c r="CQ154" t="inlineStr"/>
      <c r="CR154" t="inlineStr"/>
      <c r="CS154" t="inlineStr"/>
      <c r="CT154" t="inlineStr"/>
      <c r="CU154" t="inlineStr"/>
      <c r="CV154" t="inlineStr"/>
      <c r="CW154" t="inlineStr"/>
      <c r="CX154" t="inlineStr"/>
      <c r="CY154" t="inlineStr"/>
      <c r="CZ154" t="inlineStr"/>
      <c r="DA154" t="inlineStr"/>
      <c r="DB154" t="inlineStr"/>
      <c r="DC154" t="inlineStr"/>
      <c r="DD154" t="inlineStr"/>
      <c r="DE154" t="inlineStr"/>
      <c r="DF154" t="inlineStr"/>
      <c r="DG154" t="inlineStr"/>
      <c r="DH154" t="inlineStr"/>
      <c r="DI154" t="inlineStr"/>
      <c r="DJ154" t="inlineStr"/>
      <c r="DK154" t="inlineStr"/>
      <c r="DL154" t="inlineStr"/>
      <c r="DM154" t="inlineStr"/>
      <c r="DN154" t="inlineStr"/>
      <c r="DO154" t="inlineStr"/>
      <c r="DP154" t="inlineStr"/>
      <c r="DQ154" t="inlineStr"/>
      <c r="DR154" t="inlineStr"/>
      <c r="DS154" t="inlineStr"/>
      <c r="DT154" t="inlineStr"/>
      <c r="DU154" t="inlineStr"/>
      <c r="DV154" t="inlineStr"/>
      <c r="DW154" t="inlineStr"/>
      <c r="DX154" t="inlineStr"/>
      <c r="DY154" t="inlineStr"/>
      <c r="DZ154" t="inlineStr"/>
      <c r="EA154" t="inlineStr"/>
      <c r="EB154" t="inlineStr"/>
      <c r="EC154" t="inlineStr"/>
      <c r="ED154" t="inlineStr"/>
      <c r="EE154" t="inlineStr"/>
      <c r="EF154" t="inlineStr"/>
      <c r="EG154" t="inlineStr"/>
      <c r="EH154" t="inlineStr"/>
      <c r="EI154" t="inlineStr"/>
      <c r="EJ154" t="inlineStr"/>
      <c r="EK154" t="inlineStr"/>
      <c r="EL154" t="inlineStr"/>
      <c r="EM154" t="inlineStr"/>
      <c r="EN154" t="inlineStr"/>
      <c r="EO154" t="inlineStr"/>
      <c r="EP154" t="inlineStr"/>
      <c r="EQ154" t="inlineStr"/>
      <c r="ER154" t="inlineStr"/>
      <c r="ES154" t="inlineStr"/>
      <c r="ET154" t="inlineStr"/>
      <c r="EU154" t="inlineStr"/>
      <c r="EV154" t="inlineStr"/>
      <c r="EW154" t="inlineStr"/>
      <c r="EX154" t="inlineStr"/>
      <c r="EY154" t="inlineStr"/>
      <c r="EZ154" t="inlineStr"/>
      <c r="FA154" t="inlineStr"/>
      <c r="FB154" t="inlineStr"/>
      <c r="FC154" t="inlineStr"/>
      <c r="FD154" t="inlineStr"/>
      <c r="FE154" t="inlineStr"/>
      <c r="FF154" t="inlineStr"/>
      <c r="FG154" t="inlineStr"/>
      <c r="FH154" t="inlineStr"/>
      <c r="FI154" t="inlineStr"/>
      <c r="FJ154" t="inlineStr"/>
      <c r="FK154" t="inlineStr"/>
      <c r="FL154" t="inlineStr"/>
      <c r="FM154" t="inlineStr"/>
      <c r="FN154" t="inlineStr"/>
      <c r="FO154" t="inlineStr"/>
      <c r="FP154" t="inlineStr"/>
      <c r="FQ154" t="inlineStr"/>
      <c r="FR154" t="inlineStr"/>
      <c r="FS154" t="inlineStr"/>
      <c r="FT154" t="inlineStr"/>
      <c r="FU154" t="inlineStr"/>
      <c r="FV154" t="inlineStr"/>
      <c r="FW154" t="inlineStr"/>
      <c r="FX154" t="inlineStr"/>
      <c r="FY154" t="inlineStr"/>
      <c r="FZ154" t="inlineStr"/>
      <c r="GA154" t="inlineStr"/>
      <c r="GB154" t="inlineStr"/>
      <c r="GC154" t="inlineStr"/>
      <c r="GD154" t="inlineStr"/>
      <c r="GE154" t="inlineStr"/>
      <c r="GF154" t="inlineStr"/>
      <c r="GG154" t="inlineStr"/>
      <c r="GH154" t="inlineStr"/>
      <c r="GI154" t="inlineStr"/>
      <c r="GJ154" t="inlineStr"/>
      <c r="GK154" t="inlineStr"/>
      <c r="GL154" t="inlineStr"/>
      <c r="GM154" t="inlineStr"/>
      <c r="GN154" t="inlineStr"/>
      <c r="GO154" t="inlineStr"/>
      <c r="GP154" t="inlineStr"/>
      <c r="GQ154" t="inlineStr"/>
      <c r="GR154" t="inlineStr"/>
      <c r="GS154" t="inlineStr"/>
      <c r="GT154" t="inlineStr"/>
      <c r="GU154" t="inlineStr"/>
      <c r="GV154" t="inlineStr"/>
      <c r="GW154" t="inlineStr"/>
      <c r="GX154" t="inlineStr"/>
      <c r="GY154" t="inlineStr"/>
      <c r="GZ154" t="inlineStr"/>
      <c r="HA154" t="inlineStr"/>
      <c r="HB154" t="inlineStr"/>
      <c r="HC154" t="inlineStr"/>
      <c r="HD154" t="inlineStr"/>
      <c r="HE154" t="inlineStr"/>
      <c r="HF154" t="inlineStr"/>
      <c r="HG154" t="inlineStr"/>
      <c r="HH154" t="inlineStr"/>
      <c r="HI154" t="inlineStr"/>
      <c r="HJ154" t="inlineStr"/>
      <c r="HK154" t="inlineStr"/>
      <c r="HL154" t="inlineStr"/>
      <c r="HM154" t="inlineStr"/>
      <c r="HN154" t="inlineStr"/>
      <c r="HO154" t="inlineStr"/>
      <c r="HP154" t="inlineStr"/>
      <c r="HQ154" t="inlineStr"/>
      <c r="HR154" t="inlineStr"/>
      <c r="HS154" t="inlineStr"/>
      <c r="HT154" t="inlineStr"/>
      <c r="HU154" t="inlineStr"/>
      <c r="HV154" t="inlineStr"/>
      <c r="HW154" t="inlineStr"/>
      <c r="HX154" t="inlineStr"/>
      <c r="HY154" t="inlineStr"/>
      <c r="HZ154" t="inlineStr"/>
      <c r="IA154" t="inlineStr"/>
      <c r="IB154" t="inlineStr"/>
      <c r="IC154" t="inlineStr"/>
      <c r="ID154" t="inlineStr"/>
      <c r="IE154" t="inlineStr"/>
      <c r="IF154" t="inlineStr"/>
      <c r="IG154" t="inlineStr"/>
      <c r="IH154" t="inlineStr"/>
      <c r="II154" t="inlineStr"/>
      <c r="IJ154" t="inlineStr"/>
      <c r="IK154" t="inlineStr"/>
      <c r="IL154" t="inlineStr"/>
      <c r="IM154" t="inlineStr"/>
      <c r="IN154" t="inlineStr"/>
      <c r="IO154" t="inlineStr"/>
      <c r="IP154" t="inlineStr"/>
      <c r="IQ154" t="inlineStr"/>
      <c r="IR154" t="inlineStr"/>
      <c r="IS154">
        <f>IF(input_content_type="",FALSE,ISNUMBER(SEARCH(","&amp;LOWER(input_content_type)&amp;",",","&amp;LOWER(F154)&amp;",")))</f>
        <v/>
      </c>
      <c r="IT154">
        <f>AND(IF(M154="",TRUE,IF(input_affiliations="",FALSE,SUMPRODUCT(--ISNUMBER(SEARCH(","&amp;TRIM(TEXTSPLIT(M154,","))&amp;",",","&amp;SUBSTITUTE(input_affiliations," ","")&amp;",")))&gt;0)),IF(O154="",TRUE,IF(input_affiliations="",FALSE,SUMPRODUCT(--ISNUMBER(SEARCH(","&amp;TRIM(TEXTSPLIT(O154,","))&amp;",",","&amp;SUBSTITUTE(input_affiliations," ","")&amp;",")))=COUNTA(TEXTSPLIT(O154,",")))),IF(Q154="",TRUE,IF(input_affiliations="",TRUE,SUMPRODUCT(--ISNUMBER(SEARCH(","&amp;TRIM(TEXTSPLIT(Q154,","))&amp;",",","&amp;SUBSTITUTE(input_affiliations," ","")&amp;",")))=0)),IF(S154="",TRUE,IF(input_affiliations="",FALSE,SUMPRODUCT(--ISNUMBER(SEARCH(","&amp;TRIM(TEXTSPLIT(S154,","))&amp;",",","&amp;SUBSTITUTE(input_affiliations," ","")&amp;",")))&gt;0)),IF(U154="",TRUE,IF(input_affiliations="",FALSE,SUMPRODUCT(--ISNUMBER(SEARCH(","&amp;TRIM(TEXTSPLIT(U154,","))&amp;",",","&amp;SUBSTITUTE(input_affiliations," ","")&amp;",")))=COUNTA(TEXTSPLIT(U154,",")))))</f>
        <v/>
      </c>
      <c r="IU154">
        <f>AND(IF(W154="",TRUE,IF(input_announcement_category="",FALSE,SUMPRODUCT(--ISNUMBER(SEARCH(","&amp;TRIM(TEXTSPLIT(W154,","))&amp;",",","&amp;SUBSTITUTE(input_announcement_category," ","")&amp;",")))&gt;0)),IF(Y154="",TRUE,IF(input_announcement_category="",FALSE,SUMPRODUCT(--ISNUMBER(SEARCH(","&amp;TRIM(TEXTSPLIT(Y154,","))&amp;",",","&amp;SUBSTITUTE(input_announcement_category," ","")&amp;",")))=COUNTA(TEXTSPLIT(Y154,",")))),IF(AA154="",TRUE,IF(input_announcement_category="",TRUE,SUMPRODUCT(--ISNUMBER(SEARCH(","&amp;TRIM(TEXTSPLIT(AA154,","))&amp;",",","&amp;SUBSTITUTE(input_announcement_category," ","")&amp;",")))=0)),IF(AC154="",TRUE,IF(input_announcement_category="",FALSE,SUMPRODUCT(--ISNUMBER(SEARCH(","&amp;TRIM(TEXTSPLIT(AC154,","))&amp;",",","&amp;SUBSTITUTE(input_announcement_category," ","")&amp;",")))&gt;0)),IF(AE154="",TRUE,IF(input_announcement_category="",FALSE,SUMPRODUCT(--ISNUMBER(SEARCH(","&amp;TRIM(TEXTSPLIT(AE154,","))&amp;",",","&amp;SUBSTITUTE(input_announcement_category," ","")&amp;",")))=COUNTA(TEXTSPLIT(AE154,",")))))</f>
        <v/>
      </c>
      <c r="IV154">
        <f>AND(IF(AG154="",TRUE,IF(input_area_of_focus="",FALSE,SUMPRODUCT(--ISNUMBER(SEARCH(","&amp;TRIM(TEXTSPLIT(AG154,","))&amp;",",","&amp;SUBSTITUTE(input_area_of_focus," ","")&amp;",")))&gt;0)),IF(AI154="",TRUE,IF(input_area_of_focus="",FALSE,SUMPRODUCT(--ISNUMBER(SEARCH(","&amp;TRIM(TEXTSPLIT(AI154,","))&amp;",",","&amp;SUBSTITUTE(input_area_of_focus," ","")&amp;",")))=COUNTA(TEXTSPLIT(AI154,",")))),IF(AK154="",TRUE,IF(input_area_of_focus="",TRUE,SUMPRODUCT(--ISNUMBER(SEARCH(","&amp;TRIM(TEXTSPLIT(AK154,","))&amp;",",","&amp;SUBSTITUTE(input_area_of_focus," ","")&amp;",")))=0)),IF(AM154="",TRUE,IF(input_area_of_focus="",FALSE,SUMPRODUCT(--ISNUMBER(SEARCH(","&amp;TRIM(TEXTSPLIT(AM154,","))&amp;",",","&amp;SUBSTITUTE(input_area_of_focus," ","")&amp;",")))&gt;0)),IF(AO154="",TRUE,IF(input_area_of_focus="",FALSE,SUMPRODUCT(--ISNUMBER(SEARCH(","&amp;TRIM(TEXTSPLIT(AO154,","))&amp;",",","&amp;SUBSTITUTE(input_area_of_focus," ","")&amp;",")))=COUNTA(TEXTSPLIT(AO154,",")))))</f>
        <v/>
      </c>
      <c r="IW154">
        <f>AND(IF(AQ154="",TRUE,IF(input_audience="",FALSE,SUMPRODUCT(--ISNUMBER(SEARCH(","&amp;TRIM(TEXTSPLIT(AQ154,","))&amp;",",","&amp;SUBSTITUTE(input_audience," ","")&amp;",")))&gt;0)),IF(AS154="",TRUE,IF(input_audience="",FALSE,SUMPRODUCT(--ISNUMBER(SEARCH(","&amp;TRIM(TEXTSPLIT(AS154,","))&amp;",",","&amp;SUBSTITUTE(input_audience," ","")&amp;",")))=COUNTA(TEXTSPLIT(AS154,",")))),IF(AU154="",TRUE,IF(input_audience="",TRUE,SUMPRODUCT(--ISNUMBER(SEARCH(","&amp;TRIM(TEXTSPLIT(AU154,","))&amp;",",","&amp;SUBSTITUTE(input_audience," ","")&amp;",")))=0)),IF(AW154="",TRUE,IF(input_audience="",FALSE,SUMPRODUCT(--ISNUMBER(SEARCH(","&amp;TRIM(TEXTSPLIT(AW154,","))&amp;",",","&amp;SUBSTITUTE(input_audience," ","")&amp;",")))&gt;0)),IF(AY154="",TRUE,IF(input_audience="",FALSE,SUMPRODUCT(--ISNUMBER(SEARCH(","&amp;TRIM(TEXTSPLIT(AY154,","))&amp;",",","&amp;SUBSTITUTE(input_audience," ","")&amp;",")))=COUNTA(TEXTSPLIT(AY154,",")))))</f>
        <v/>
      </c>
      <c r="IX154">
        <f>AND(IF(BA154="",TRUE,IF(input_challenge_opportunities="",FALSE,SUMPRODUCT(--ISNUMBER(SEARCH(","&amp;TRIM(TEXTSPLIT(BA154,","))&amp;",",","&amp;SUBSTITUTE(input_challenge_opportunities," ","")&amp;",")))&gt;0)),IF(BC154="",TRUE,IF(input_challenge_opportunities="",FALSE,SUMPRODUCT(--ISNUMBER(SEARCH(","&amp;TRIM(TEXTSPLIT(BC154,","))&amp;",",","&amp;SUBSTITUTE(input_challenge_opportunities," ","")&amp;",")))=COUNTA(TEXTSPLIT(BC154,",")))),IF(BE154="",TRUE,IF(input_challenge_opportunities="",TRUE,SUMPRODUCT(--ISNUMBER(SEARCH(","&amp;TRIM(TEXTSPLIT(BE154,","))&amp;",",","&amp;SUBSTITUTE(input_challenge_opportunities," ","")&amp;",")))=0)),IF(BG154="",TRUE,IF(input_challenge_opportunities="",FALSE,SUMPRODUCT(--ISNUMBER(SEARCH(","&amp;TRIM(TEXTSPLIT(BG154,","))&amp;",",","&amp;SUBSTITUTE(input_challenge_opportunities," ","")&amp;",")))&gt;0)),IF(BI154="",TRUE,IF(input_challenge_opportunities="",FALSE,SUMPRODUCT(--ISNUMBER(SEARCH(","&amp;TRIM(TEXTSPLIT(BI154,","))&amp;",",","&amp;SUBSTITUTE(input_challenge_opportunities," ","")&amp;",")))=COUNTA(TEXTSPLIT(BI154,",")))))</f>
        <v/>
      </c>
      <c r="IY154">
        <f>AND(IF(BK154="",TRUE,IF(input_context="",FALSE,SUMPRODUCT(--ISNUMBER(SEARCH(","&amp;TRIM(TEXTSPLIT(BK154,","))&amp;",",","&amp;SUBSTITUTE(input_context," ","")&amp;",")))&gt;0)),IF(BM154="",TRUE,IF(input_context="",FALSE,SUMPRODUCT(--ISNUMBER(SEARCH(","&amp;TRIM(TEXTSPLIT(BM154,","))&amp;",",","&amp;SUBSTITUTE(input_context," ","")&amp;",")))=COUNTA(TEXTSPLIT(BM154,",")))),IF(BO154="",TRUE,IF(input_context="",TRUE,SUMPRODUCT(--ISNUMBER(SEARCH(","&amp;TRIM(TEXTSPLIT(BO154,","))&amp;",",","&amp;SUBSTITUTE(input_context," ","")&amp;",")))=0)),IF(BQ154="",TRUE,IF(input_context="",FALSE,SUMPRODUCT(--ISNUMBER(SEARCH(","&amp;TRIM(TEXTSPLIT(BQ154,","))&amp;",",","&amp;SUBSTITUTE(input_context," ","")&amp;",")))&gt;0)),IF(BS154="",TRUE,IF(input_context="",FALSE,SUMPRODUCT(--ISNUMBER(SEARCH(","&amp;TRIM(TEXTSPLIT(BS154,","))&amp;",",","&amp;SUBSTITUTE(input_context," ","")&amp;",")))=COUNTA(TEXTSPLIT(BS154,",")))))</f>
        <v/>
      </c>
      <c r="IZ154">
        <f>AND(IF(BU154="",TRUE,IF(input_enews_announcement_type="",FALSE,SUMPRODUCT(--ISNUMBER(SEARCH(","&amp;TRIM(TEXTSPLIT(BU154,","))&amp;",",","&amp;SUBSTITUTE(input_enews_announcement_type," ","")&amp;",")))&gt;0)),IF(BW154="",TRUE,IF(input_enews_announcement_type="",FALSE,SUMPRODUCT(--ISNUMBER(SEARCH(","&amp;TRIM(TEXTSPLIT(BW154,","))&amp;",",","&amp;SUBSTITUTE(input_enews_announcement_type," ","")&amp;",")))=COUNTA(TEXTSPLIT(BW154,",")))),IF(BY154="",TRUE,IF(input_enews_announcement_type="",TRUE,SUMPRODUCT(--ISNUMBER(SEARCH(","&amp;TRIM(TEXTSPLIT(BY154,","))&amp;",",","&amp;SUBSTITUTE(input_enews_announcement_type," ","")&amp;",")))=0)),IF(CA154="",TRUE,IF(input_enews_announcement_type="",FALSE,SUMPRODUCT(--ISNUMBER(SEARCH(","&amp;TRIM(TEXTSPLIT(CA154,","))&amp;",",","&amp;SUBSTITUTE(input_enews_announcement_type," ","")&amp;",")))&gt;0)),IF(CC154="",TRUE,IF(input_enews_announcement_type="",FALSE,SUMPRODUCT(--ISNUMBER(SEARCH(","&amp;TRIM(TEXTSPLIT(CC154,","))&amp;",",","&amp;SUBSTITUTE(input_enews_announcement_type," ","")&amp;",")))=COUNTA(TEXTSPLIT(CC154,",")))))</f>
        <v/>
      </c>
      <c r="JA154">
        <f>AND(IF(CE154="",TRUE,IF(input_enews_audience="",FALSE,SUMPRODUCT(--ISNUMBER(SEARCH(","&amp;TRIM(TEXTSPLIT(CE154,","))&amp;",",","&amp;SUBSTITUTE(input_enews_audience," ","")&amp;",")))&gt;0)),IF(CG154="",TRUE,IF(input_enews_audience="",FALSE,SUMPRODUCT(--ISNUMBER(SEARCH(","&amp;TRIM(TEXTSPLIT(CG154,","))&amp;",",","&amp;SUBSTITUTE(input_enews_audience," ","")&amp;",")))=COUNTA(TEXTSPLIT(CG154,",")))),IF(CI154="",TRUE,IF(input_enews_audience="",TRUE,SUMPRODUCT(--ISNUMBER(SEARCH(","&amp;TRIM(TEXTSPLIT(CI154,","))&amp;",",","&amp;SUBSTITUTE(input_enews_audience," ","")&amp;",")))=0)),IF(CK154="",TRUE,IF(input_enews_audience="",FALSE,SUMPRODUCT(--ISNUMBER(SEARCH(","&amp;TRIM(TEXTSPLIT(CK154,","))&amp;",",","&amp;SUBSTITUTE(input_enews_audience," ","")&amp;",")))&gt;0)),IF(CM154="",TRUE,IF(input_enews_audience="",FALSE,SUMPRODUCT(--ISNUMBER(SEARCH(","&amp;TRIM(TEXTSPLIT(CM154,","))&amp;",",","&amp;SUBSTITUTE(input_enews_audience," ","")&amp;",")))=COUNTA(TEXTSPLIT(CM154,",")))))</f>
        <v/>
      </c>
      <c r="JB154">
        <f>AND(IF(CO154="",TRUE,IF(input_event_location="",FALSE,SUMPRODUCT(--ISNUMBER(SEARCH(","&amp;TRIM(TEXTSPLIT(CO154,","))&amp;",",","&amp;SUBSTITUTE(input_event_location," ","")&amp;",")))&gt;0)),IF(CQ154="",TRUE,IF(input_event_location="",FALSE,SUMPRODUCT(--ISNUMBER(SEARCH(","&amp;TRIM(TEXTSPLIT(CQ154,","))&amp;",",","&amp;SUBSTITUTE(input_event_location," ","")&amp;",")))=COUNTA(TEXTSPLIT(CQ154,",")))),IF(CS154="",TRUE,IF(input_event_location="",TRUE,SUMPRODUCT(--ISNUMBER(SEARCH(","&amp;TRIM(TEXTSPLIT(CS154,","))&amp;",",","&amp;SUBSTITUTE(input_event_location," ","")&amp;",")))=0)),IF(CU154="",TRUE,IF(input_event_location="",FALSE,SUMPRODUCT(--ISNUMBER(SEARCH(","&amp;TRIM(TEXTSPLIT(CU154,","))&amp;",",","&amp;SUBSTITUTE(input_event_location," ","")&amp;",")))&gt;0)),IF(CW154="",TRUE,IF(input_event_location="",FALSE,SUMPRODUCT(--ISNUMBER(SEARCH(","&amp;TRIM(TEXTSPLIT(CW154,","))&amp;",",","&amp;SUBSTITUTE(input_event_location," ","")&amp;",")))=COUNTA(TEXTSPLIT(CW154,",")))))</f>
        <v/>
      </c>
      <c r="JC154">
        <f>AND(IF(CY154="",TRUE,IF(input_event_type="",FALSE,SUMPRODUCT(--ISNUMBER(SEARCH(","&amp;TRIM(TEXTSPLIT(CY154,","))&amp;",",","&amp;SUBSTITUTE(input_event_type," ","")&amp;",")))&gt;0)),IF(DA154="",TRUE,IF(input_event_type="",FALSE,SUMPRODUCT(--ISNUMBER(SEARCH(","&amp;TRIM(TEXTSPLIT(DA154,","))&amp;",",","&amp;SUBSTITUTE(input_event_type," ","")&amp;",")))=COUNTA(TEXTSPLIT(DA154,",")))),IF(DC154="",TRUE,IF(input_event_type="",TRUE,SUMPRODUCT(--ISNUMBER(SEARCH(","&amp;TRIM(TEXTSPLIT(DC154,","))&amp;",",","&amp;SUBSTITUTE(input_event_type," ","")&amp;",")))=0)),IF(DE154="",TRUE,IF(input_event_type="",FALSE,SUMPRODUCT(--ISNUMBER(SEARCH(","&amp;TRIM(TEXTSPLIT(DE154,","))&amp;",",","&amp;SUBSTITUTE(input_event_type," ","")&amp;",")))&gt;0)),IF(DG154="",TRUE,IF(input_event_type="",FALSE,SUMPRODUCT(--ISNUMBER(SEARCH(","&amp;TRIM(TEXTSPLIT(DG154,","))&amp;",",","&amp;SUBSTITUTE(input_event_type," ","")&amp;",")))=COUNTA(TEXTSPLIT(DG154,",")))))</f>
        <v/>
      </c>
      <c r="JD154">
        <f>AND(IF(DI154="",TRUE,IF(input_executive_education_focus="",FALSE,SUMPRODUCT(--ISNUMBER(SEARCH(","&amp;TRIM(TEXTSPLIT(DI154,","))&amp;",",","&amp;SUBSTITUTE(input_executive_education_focus," ","")&amp;",")))&gt;0)),IF(DK154="",TRUE,IF(input_executive_education_focus="",FALSE,SUMPRODUCT(--ISNUMBER(SEARCH(","&amp;TRIM(TEXTSPLIT(DK154,","))&amp;",",","&amp;SUBSTITUTE(input_executive_education_focus," ","")&amp;",")))=COUNTA(TEXTSPLIT(DK154,",")))),IF(DM154="",TRUE,IF(input_executive_education_focus="",TRUE,SUMPRODUCT(--ISNUMBER(SEARCH(","&amp;TRIM(TEXTSPLIT(DM154,","))&amp;",",","&amp;SUBSTITUTE(input_executive_education_focus," ","")&amp;",")))=0)),IF(DO154="",TRUE,IF(input_executive_education_focus="",FALSE,SUMPRODUCT(--ISNUMBER(SEARCH(","&amp;TRIM(TEXTSPLIT(DO154,","))&amp;",",","&amp;SUBSTITUTE(input_executive_education_focus," ","")&amp;",")))&gt;0)),IF(DQ154="",TRUE,IF(input_executive_education_focus="",FALSE,SUMPRODUCT(--ISNUMBER(SEARCH(","&amp;TRIM(TEXTSPLIT(DQ154,","))&amp;",",","&amp;SUBSTITUTE(input_executive_education_focus," ","")&amp;",")))=COUNTA(TEXTSPLIT(DQ154,",")))))</f>
        <v/>
      </c>
      <c r="JE154">
        <f>AND(IF(DS154="",TRUE,IF(input_faculty_category="",FALSE,SUMPRODUCT(--ISNUMBER(SEARCH(","&amp;TRIM(TEXTSPLIT(DS154,","))&amp;",",","&amp;SUBSTITUTE(input_faculty_category," ","")&amp;",")))&gt;0)),IF(DU154="",TRUE,IF(input_faculty_category="",FALSE,SUMPRODUCT(--ISNUMBER(SEARCH(","&amp;TRIM(TEXTSPLIT(DU154,","))&amp;",",","&amp;SUBSTITUTE(input_faculty_category," ","")&amp;",")))=COUNTA(TEXTSPLIT(DU154,",")))),IF(DW154="",TRUE,IF(input_faculty_category="",TRUE,SUMPRODUCT(--ISNUMBER(SEARCH(","&amp;TRIM(TEXTSPLIT(DW154,","))&amp;",",","&amp;SUBSTITUTE(input_faculty_category," ","")&amp;",")))=0)),IF(DY154="",TRUE,IF(input_faculty_category="",FALSE,SUMPRODUCT(--ISNUMBER(SEARCH(","&amp;TRIM(TEXTSPLIT(DY154,","))&amp;",",","&amp;SUBSTITUTE(input_faculty_category," ","")&amp;",")))&gt;0)),IF(EA154="",TRUE,IF(input_faculty_category="",FALSE,SUMPRODUCT(--ISNUMBER(SEARCH(","&amp;TRIM(TEXTSPLIT(EA154,","))&amp;",",","&amp;SUBSTITUTE(input_faculty_category," ","")&amp;",")))=COUNTA(TEXTSPLIT(EA154,",")))))</f>
        <v/>
      </c>
      <c r="JF154">
        <f>AND(IF(EC154="",TRUE,IF(input_faculty_discipline="",FALSE,SUMPRODUCT(--ISNUMBER(SEARCH(","&amp;TRIM(TEXTSPLIT(EC154,","))&amp;",",","&amp;SUBSTITUTE(input_faculty_discipline," ","")&amp;",")))&gt;0)),IF(EE154="",TRUE,IF(input_faculty_discipline="",FALSE,SUMPRODUCT(--ISNUMBER(SEARCH(","&amp;TRIM(TEXTSPLIT(EE154,","))&amp;",",","&amp;SUBSTITUTE(input_faculty_discipline," ","")&amp;",")))=COUNTA(TEXTSPLIT(EE154,",")))),IF(EG154="",TRUE,IF(input_faculty_discipline="",TRUE,SUMPRODUCT(--ISNUMBER(SEARCH(","&amp;TRIM(TEXTSPLIT(EG154,","))&amp;",",","&amp;SUBSTITUTE(input_faculty_discipline," ","")&amp;",")))=0)),IF(EI154="",TRUE,IF(input_faculty_discipline="",FALSE,SUMPRODUCT(--ISNUMBER(SEARCH(","&amp;TRIM(TEXTSPLIT(EI154,","))&amp;",",","&amp;SUBSTITUTE(input_faculty_discipline," ","")&amp;",")))&gt;0)),IF(EK154="",TRUE,IF(input_faculty_discipline="",FALSE,SUMPRODUCT(--ISNUMBER(SEARCH(","&amp;TRIM(TEXTSPLIT(EK154,","))&amp;",",","&amp;SUBSTITUTE(input_faculty_discipline," ","")&amp;",")))=COUNTA(TEXTSPLIT(EK154,",")))))</f>
        <v/>
      </c>
      <c r="JG154">
        <f>AND(IF(EM154="",TRUE,IF(input_faculty_expertise="",FALSE,SUMPRODUCT(--ISNUMBER(SEARCH(","&amp;TRIM(TEXTSPLIT(EM154,","))&amp;",",","&amp;SUBSTITUTE(input_faculty_expertise," ","")&amp;",")))&gt;0)),IF(EO154="",TRUE,IF(input_faculty_expertise="",FALSE,SUMPRODUCT(--ISNUMBER(SEARCH(","&amp;TRIM(TEXTSPLIT(EO154,","))&amp;",",","&amp;SUBSTITUTE(input_faculty_expertise," ","")&amp;",")))=COUNTA(TEXTSPLIT(EO154,",")))),IF(EQ154="",TRUE,IF(input_faculty_expertise="",TRUE,SUMPRODUCT(--ISNUMBER(SEARCH(","&amp;TRIM(TEXTSPLIT(EQ154,","))&amp;",",","&amp;SUBSTITUTE(input_faculty_expertise," ","")&amp;",")))=0)),IF(ES154="",TRUE,IF(input_faculty_expertise="",FALSE,SUMPRODUCT(--ISNUMBER(SEARCH(","&amp;TRIM(TEXTSPLIT(ES154,","))&amp;",",","&amp;SUBSTITUTE(input_faculty_expertise," ","")&amp;",")))&gt;0)),IF(EU154="",TRUE,IF(input_faculty_expertise="",FALSE,SUMPRODUCT(--ISNUMBER(SEARCH(","&amp;TRIM(TEXTSPLIT(EU154,","))&amp;",",","&amp;SUBSTITUTE(input_faculty_expertise," ","")&amp;",")))=COUNTA(TEXTSPLIT(EU154,",")))))</f>
        <v/>
      </c>
      <c r="JH154">
        <f>AND(IF(EW154="",TRUE,IF(input_global_network_school="",FALSE,SUMPRODUCT(--ISNUMBER(SEARCH(","&amp;TRIM(TEXTSPLIT(EW154,","))&amp;",",","&amp;SUBSTITUTE(input_global_network_school," ","")&amp;",")))&gt;0)),IF(EY154="",TRUE,IF(input_global_network_school="",FALSE,SUMPRODUCT(--ISNUMBER(SEARCH(","&amp;TRIM(TEXTSPLIT(EY154,","))&amp;",",","&amp;SUBSTITUTE(input_global_network_school," ","")&amp;",")))=COUNTA(TEXTSPLIT(EY154,",")))),IF(FA154="",TRUE,IF(input_global_network_school="",TRUE,SUMPRODUCT(--ISNUMBER(SEARCH(","&amp;TRIM(TEXTSPLIT(FA154,","))&amp;",",","&amp;SUBSTITUTE(input_global_network_school," ","")&amp;",")))=0)),IF(FC154="",TRUE,IF(input_global_network_school="",FALSE,SUMPRODUCT(--ISNUMBER(SEARCH(","&amp;TRIM(TEXTSPLIT(FC154,","))&amp;",",","&amp;SUBSTITUTE(input_global_network_school," ","")&amp;",")))&gt;0)),IF(FE154="",TRUE,IF(input_global_network_school="",FALSE,SUMPRODUCT(--ISNUMBER(SEARCH(","&amp;TRIM(TEXTSPLIT(FE154,","))&amp;",",","&amp;SUBSTITUTE(input_global_network_school," ","")&amp;",")))=COUNTA(TEXTSPLIT(FE154,",")))))</f>
        <v/>
      </c>
      <c r="JI154">
        <f>AND(IF(FG154="",TRUE,IF(input_industry="",FALSE,SUMPRODUCT(--ISNUMBER(SEARCH(","&amp;TRIM(TEXTSPLIT(FG154,","))&amp;",",","&amp;SUBSTITUTE(input_industry," ","")&amp;",")))&gt;0)),IF(FI154="",TRUE,IF(input_industry="",FALSE,SUMPRODUCT(--ISNUMBER(SEARCH(","&amp;TRIM(TEXTSPLIT(FI154,","))&amp;",",","&amp;SUBSTITUTE(input_industry," ","")&amp;",")))=COUNTA(TEXTSPLIT(FI154,",")))),IF(FK154="",TRUE,IF(input_industry="",TRUE,SUMPRODUCT(--ISNUMBER(SEARCH(","&amp;TRIM(TEXTSPLIT(FK154,","))&amp;",",","&amp;SUBSTITUTE(input_industry," ","")&amp;",")))=0)),IF(FM154="",TRUE,IF(input_industry="",FALSE,SUMPRODUCT(--ISNUMBER(SEARCH(","&amp;TRIM(TEXTSPLIT(FM154,","))&amp;",",","&amp;SUBSTITUTE(input_industry," ","")&amp;",")))&gt;0)),IF(FO154="",TRUE,IF(input_industry="",FALSE,SUMPRODUCT(--ISNUMBER(SEARCH(","&amp;TRIM(TEXTSPLIT(FO154,","))&amp;",",","&amp;SUBSTITUTE(input_industry," ","")&amp;",")))=COUNTA(TEXTSPLIT(FO154,",")))))</f>
        <v/>
      </c>
      <c r="JJ154">
        <f>AND(IF(FQ154="",TRUE,IF(input_location="",FALSE,SUMPRODUCT(--ISNUMBER(SEARCH(","&amp;TRIM(TEXTSPLIT(FQ154,","))&amp;",",","&amp;SUBSTITUTE(input_location," ","")&amp;",")))&gt;0)),IF(FS154="",TRUE,IF(input_location="",FALSE,SUMPRODUCT(--ISNUMBER(SEARCH(","&amp;TRIM(TEXTSPLIT(FS154,","))&amp;",",","&amp;SUBSTITUTE(input_location," ","")&amp;",")))=COUNTA(TEXTSPLIT(FS154,",")))),IF(FU154="",TRUE,IF(input_location="",TRUE,SUMPRODUCT(--ISNUMBER(SEARCH(","&amp;TRIM(TEXTSPLIT(FU154,","))&amp;",",","&amp;SUBSTITUTE(input_location," ","")&amp;",")))=0)),IF(FW154="",TRUE,IF(input_location="",FALSE,SUMPRODUCT(--ISNUMBER(SEARCH(","&amp;TRIM(TEXTSPLIT(FW154,","))&amp;",",","&amp;SUBSTITUTE(input_location," ","")&amp;",")))&gt;0)),IF(FY154="",TRUE,IF(input_location="",FALSE,SUMPRODUCT(--ISNUMBER(SEARCH(","&amp;TRIM(TEXTSPLIT(FY154,","))&amp;",",","&amp;SUBSTITUTE(input_location," ","")&amp;",")))=COUNTA(TEXTSPLIT(FY154,",")))))</f>
        <v/>
      </c>
      <c r="JK154">
        <f>AND(IF(GA154="",TRUE,IF(input_modality="",FALSE,SUMPRODUCT(--ISNUMBER(SEARCH(","&amp;TRIM(TEXTSPLIT(GA154,","))&amp;",",","&amp;SUBSTITUTE(input_modality," ","")&amp;",")))&gt;0)),IF(GC154="",TRUE,IF(input_modality="",FALSE,SUMPRODUCT(--ISNUMBER(SEARCH(","&amp;TRIM(TEXTSPLIT(GC154,","))&amp;",",","&amp;SUBSTITUTE(input_modality," ","")&amp;",")))=COUNTA(TEXTSPLIT(GC154,",")))),IF(GE154="",TRUE,IF(input_modality="",TRUE,SUMPRODUCT(--ISNUMBER(SEARCH(","&amp;TRIM(TEXTSPLIT(GE154,","))&amp;",",","&amp;SUBSTITUTE(input_modality," ","")&amp;",")))=0)),IF(GG154="",TRUE,IF(input_modality="",FALSE,SUMPRODUCT(--ISNUMBER(SEARCH(","&amp;TRIM(TEXTSPLIT(GG154,","))&amp;",",","&amp;SUBSTITUTE(input_modality," ","")&amp;",")))&gt;0)),IF(GI154="",TRUE,IF(input_modality="",FALSE,SUMPRODUCT(--ISNUMBER(SEARCH(","&amp;TRIM(TEXTSPLIT(GI154,","))&amp;",",","&amp;SUBSTITUTE(input_modality," ","")&amp;",")))=COUNTA(TEXTSPLIT(GI154,",")))))</f>
        <v/>
      </c>
      <c r="JL154">
        <f>AND(IF(GK154="",TRUE,IF(input_organizer="",FALSE,SUMPRODUCT(--ISNUMBER(SEARCH(","&amp;TRIM(TEXTSPLIT(GK154,","))&amp;",",","&amp;SUBSTITUTE(input_organizer," ","")&amp;",")))&gt;0)),IF(GM154="",TRUE,IF(input_organizer="",FALSE,SUMPRODUCT(--ISNUMBER(SEARCH(","&amp;TRIM(TEXTSPLIT(GM154,","))&amp;",",","&amp;SUBSTITUTE(input_organizer," ","")&amp;",")))=COUNTA(TEXTSPLIT(GM154,",")))),IF(GO154="",TRUE,IF(input_organizer="",TRUE,SUMPRODUCT(--ISNUMBER(SEARCH(","&amp;TRIM(TEXTSPLIT(GO154,","))&amp;",",","&amp;SUBSTITUTE(input_organizer," ","")&amp;",")))=0)),IF(GQ154="",TRUE,IF(input_organizer="",FALSE,SUMPRODUCT(--ISNUMBER(SEARCH(","&amp;TRIM(TEXTSPLIT(GQ154,","))&amp;",",","&amp;SUBSTITUTE(input_organizer," ","")&amp;",")))&gt;0)),IF(GS154="",TRUE,IF(input_organizer="",FALSE,SUMPRODUCT(--ISNUMBER(SEARCH(","&amp;TRIM(TEXTSPLIT(GS154,","))&amp;",",","&amp;SUBSTITUTE(input_organizer," ","")&amp;",")))=COUNTA(TEXTSPLIT(GS154,",")))))</f>
        <v/>
      </c>
      <c r="JM154">
        <f>AND(IF(GU154="",TRUE,IF(input_profile_type="",FALSE,SUMPRODUCT(--ISNUMBER(SEARCH(","&amp;TRIM(TEXTSPLIT(GU154,","))&amp;",",","&amp;SUBSTITUTE(input_profile_type," ","")&amp;",")))&gt;0)),IF(GW154="",TRUE,IF(input_profile_type="",FALSE,SUMPRODUCT(--ISNUMBER(SEARCH(","&amp;TRIM(TEXTSPLIT(GW154,","))&amp;",",","&amp;SUBSTITUTE(input_profile_type," ","")&amp;",")))=COUNTA(TEXTSPLIT(GW154,",")))),IF(GY154="",TRUE,IF(input_profile_type="",TRUE,SUMPRODUCT(--ISNUMBER(SEARCH(","&amp;TRIM(TEXTSPLIT(GY154,","))&amp;",",","&amp;SUBSTITUTE(input_profile_type," ","")&amp;",")))=0)),IF(HA154="",TRUE,IF(input_profile_type="",FALSE,SUMPRODUCT(--ISNUMBER(SEARCH(","&amp;TRIM(TEXTSPLIT(HA154,","))&amp;",",","&amp;SUBSTITUTE(input_profile_type," ","")&amp;",")))&gt;0)),IF(HC154="",TRUE,IF(input_profile_type="",FALSE,SUMPRODUCT(--ISNUMBER(SEARCH(","&amp;TRIM(TEXTSPLIT(HC154,","))&amp;",",","&amp;SUBSTITUTE(input_profile_type," ","")&amp;",")))=COUNTA(TEXTSPLIT(HC154,",")))))</f>
        <v/>
      </c>
      <c r="JN154">
        <f>AND(IF(HE154="",TRUE,IF(input_program="",FALSE,SUMPRODUCT(--ISNUMBER(SEARCH(","&amp;TRIM(TEXTSPLIT(HE154,","))&amp;",",","&amp;SUBSTITUTE(input_program," ","")&amp;",")))&gt;0)),IF(HG154="",TRUE,IF(input_program="",FALSE,SUMPRODUCT(--ISNUMBER(SEARCH(","&amp;TRIM(TEXTSPLIT(HG154,","))&amp;",",","&amp;SUBSTITUTE(input_program," ","")&amp;",")))=COUNTA(TEXTSPLIT(HG154,",")))),IF(HI154="",TRUE,IF(input_program="",TRUE,SUMPRODUCT(--ISNUMBER(SEARCH(","&amp;TRIM(TEXTSPLIT(HI154,","))&amp;",",","&amp;SUBSTITUTE(input_program," ","")&amp;",")))=0)),IF(HK154="",TRUE,IF(input_program="",FALSE,SUMPRODUCT(--ISNUMBER(SEARCH(","&amp;TRIM(TEXTSPLIT(HK154,","))&amp;",",","&amp;SUBSTITUTE(input_program," ","")&amp;",")))&gt;0)),IF(HM154="",TRUE,IF(input_program="",FALSE,SUMPRODUCT(--ISNUMBER(SEARCH(","&amp;TRIM(TEXTSPLIT(HM154,","))&amp;",",","&amp;SUBSTITUTE(input_program," ","")&amp;",")))=COUNTA(TEXTSPLIT(HM154,",")))))</f>
        <v/>
      </c>
      <c r="JO154">
        <f>AND(IF(HO154="",TRUE,IF(input_story_categories="",FALSE,SUMPRODUCT(--ISNUMBER(SEARCH(","&amp;TRIM(TEXTSPLIT(HO154,","))&amp;",",","&amp;SUBSTITUTE(input_story_categories," ","")&amp;",")))&gt;0)),IF(HQ154="",TRUE,IF(input_story_categories="",FALSE,SUMPRODUCT(--ISNUMBER(SEARCH(","&amp;TRIM(TEXTSPLIT(HQ154,","))&amp;",",","&amp;SUBSTITUTE(input_story_categories," ","")&amp;",")))=COUNTA(TEXTSPLIT(HQ154,",")))),IF(HS154="",TRUE,IF(input_story_categories="",TRUE,SUMPRODUCT(--ISNUMBER(SEARCH(","&amp;TRIM(TEXTSPLIT(HS154,","))&amp;",",","&amp;SUBSTITUTE(input_story_categories," ","")&amp;",")))=0)),IF(HU154="",TRUE,IF(input_story_categories="",FALSE,SUMPRODUCT(--ISNUMBER(SEARCH(","&amp;TRIM(TEXTSPLIT(HU154,","))&amp;",",","&amp;SUBSTITUTE(input_story_categories," ","")&amp;",")))&gt;0)),IF(HW154="",TRUE,IF(input_story_categories="",FALSE,SUMPRODUCT(--ISNUMBER(SEARCH(","&amp;TRIM(TEXTSPLIT(HW154,","))&amp;",",","&amp;SUBSTITUTE(input_story_categories," ","")&amp;",")))=COUNTA(TEXTSPLIT(HW154,",")))))</f>
        <v/>
      </c>
      <c r="JP154">
        <f>AND(IF(HY154="",TRUE,IF(input_story_type="",FALSE,SUMPRODUCT(--ISNUMBER(SEARCH(","&amp;TRIM(TEXTSPLIT(HY154,","))&amp;",",","&amp;SUBSTITUTE(input_story_type," ","")&amp;",")))&gt;0)),IF(IA154="",TRUE,IF(input_story_type="",FALSE,SUMPRODUCT(--ISNUMBER(SEARCH(","&amp;TRIM(TEXTSPLIT(IA154,","))&amp;",",","&amp;SUBSTITUTE(input_story_type," ","")&amp;",")))=COUNTA(TEXTSPLIT(IA154,",")))),IF(IC154="",TRUE,IF(input_story_type="",TRUE,SUMPRODUCT(--ISNUMBER(SEARCH(","&amp;TRIM(TEXTSPLIT(IC154,","))&amp;",",","&amp;SUBSTITUTE(input_story_type," ","")&amp;",")))=0)),IF(IE154="",TRUE,IF(input_story_type="",FALSE,SUMPRODUCT(--ISNUMBER(SEARCH(","&amp;TRIM(TEXTSPLIT(IE154,","))&amp;",",","&amp;SUBSTITUTE(input_story_type," ","")&amp;",")))&gt;0)),IF(IG154="",TRUE,IF(input_story_type="",FALSE,SUMPRODUCT(--ISNUMBER(SEARCH(","&amp;TRIM(TEXTSPLIT(IG154,","))&amp;",",","&amp;SUBSTITUTE(input_story_type," ","")&amp;",")))=COUNTA(TEXTSPLIT(IG154,",")))))</f>
        <v/>
      </c>
      <c r="JQ154">
        <f>AND(IF(II154="",TRUE,IF(input_topics="",FALSE,SUMPRODUCT(--ISNUMBER(SEARCH(","&amp;TRIM(TEXTSPLIT(II154,","))&amp;",",","&amp;SUBSTITUTE(input_topics," ","")&amp;",")))&gt;0)),IF(IK154="",TRUE,IF(input_topics="",FALSE,SUMPRODUCT(--ISNUMBER(SEARCH(","&amp;TRIM(TEXTSPLIT(IK154,","))&amp;",",","&amp;SUBSTITUTE(input_topics," ","")&amp;",")))=COUNTA(TEXTSPLIT(IK154,",")))),IF(IM154="",TRUE,IF(input_topics="",TRUE,SUMPRODUCT(--ISNUMBER(SEARCH(","&amp;TRIM(TEXTSPLIT(IM154,","))&amp;",",","&amp;SUBSTITUTE(input_topics," ","")&amp;",")))=0)),IF(IO154="",TRUE,IF(input_topics="",FALSE,SUMPRODUCT(--ISNUMBER(SEARCH(","&amp;TRIM(TEXTSPLIT(IO154,","))&amp;",",","&amp;SUBSTITUTE(input_topics," ","")&amp;",")))&gt;0)),IF(IQ154="",TRUE,IF(input_topics="",FALSE,SUMPRODUCT(--ISNUMBER(SEARCH(","&amp;TRIM(TEXTSPLIT(IQ154,","))&amp;",",","&amp;SUBSTITUTE(input_topics," ","")&amp;",")))=COUNTA(TEXTSPLIT(IQ154,",")))))</f>
        <v/>
      </c>
    </row>
    <row r="155">
      <c r="A155" s="4">
        <f>IF(NOT(IS155),"Excluded",IF(AND(IT155,IU155,IV155,IW155,IX155,IY155,IZ155,JA155,JB155,JC155,JD155,JE155,JF155,JG155,JH155,JI155,JJ155,JK155,JL155,JM155,JN155,JO155,JP155,JQ155),IF(I155&gt;0,"Eligible but limited","Will appear"),"Excluded"))</f>
        <v/>
      </c>
      <c r="B155" s="4" t="inlineStr">
        <is>
          <t>Publications</t>
        </is>
      </c>
      <c r="C155" s="4" t="inlineStr">
        <is>
          <t>/faculty-research/publications</t>
        </is>
      </c>
      <c r="D155" s="4" t="inlineStr">
        <is>
          <t>/faculty-research/publications</t>
        </is>
      </c>
      <c r="E155" s="4" t="n">
        <v>1</v>
      </c>
      <c r="F155" s="4" t="inlineStr">
        <is>
          <t>publications</t>
        </is>
      </c>
      <c r="G155" s="4" t="inlineStr">
        <is>
          <t>publications_directory_solr</t>
        </is>
      </c>
      <c r="H155" s="4" t="inlineStr">
        <is>
          <t>embed_publication_directory</t>
        </is>
      </c>
      <c r="I155" s="4" t="n">
        <v>20</v>
      </c>
      <c r="J155" s="4" t="inlineStr">
        <is>
          <t>View/config rules</t>
        </is>
      </c>
      <c r="K155" s="4" t="inlineStr">
        <is>
          <t>Page placement</t>
        </is>
      </c>
      <c r="L155" s="4" t="inlineStr">
        <is>
          <t>Content type: publications; Limited to 20 item(s); Source: View/config rules</t>
        </is>
      </c>
      <c r="M155" t="inlineStr"/>
      <c r="N155" t="inlineStr"/>
      <c r="O155" t="inlineStr"/>
      <c r="P155" t="inlineStr"/>
      <c r="Q155" t="inlineStr"/>
      <c r="R155" t="inlineStr"/>
      <c r="S155" t="inlineStr"/>
      <c r="T155" t="inlineStr"/>
      <c r="U155" t="inlineStr"/>
      <c r="V155" t="inlineStr"/>
      <c r="W155" t="inlineStr"/>
      <c r="X155" t="inlineStr"/>
      <c r="Y155" t="inlineStr"/>
      <c r="Z155" t="inlineStr"/>
      <c r="AA155" t="inlineStr"/>
      <c r="AB155" t="inlineStr"/>
      <c r="AC155" t="inlineStr"/>
      <c r="AD155" t="inlineStr"/>
      <c r="AE155" t="inlineStr"/>
      <c r="AF155" t="inlineStr"/>
      <c r="AG155" t="inlineStr"/>
      <c r="AH155" t="inlineStr"/>
      <c r="AI155" t="inlineStr"/>
      <c r="AJ155" t="inlineStr"/>
      <c r="AK155" t="inlineStr"/>
      <c r="AL155" t="inlineStr"/>
      <c r="AM155" t="inlineStr"/>
      <c r="AN155" t="inlineStr"/>
      <c r="AO155" t="inlineStr"/>
      <c r="AP155" t="inlineStr"/>
      <c r="AQ155" t="inlineStr"/>
      <c r="AR155" t="inlineStr"/>
      <c r="AS155" t="inlineStr"/>
      <c r="AT155" t="inlineStr"/>
      <c r="AU155" t="inlineStr"/>
      <c r="AV155" t="inlineStr"/>
      <c r="AW155" t="inlineStr"/>
      <c r="AX155" t="inlineStr"/>
      <c r="AY155" t="inlineStr"/>
      <c r="AZ155" t="inlineStr"/>
      <c r="BA155" t="inlineStr"/>
      <c r="BB155" t="inlineStr"/>
      <c r="BC155" t="inlineStr"/>
      <c r="BD155" t="inlineStr"/>
      <c r="BE155" t="inlineStr"/>
      <c r="BF155" t="inlineStr"/>
      <c r="BG155" t="inlineStr"/>
      <c r="BH155" t="inlineStr"/>
      <c r="BI155" t="inlineStr"/>
      <c r="BJ155" t="inlineStr"/>
      <c r="BK155" t="inlineStr"/>
      <c r="BL155" t="inlineStr"/>
      <c r="BM155" t="inlineStr"/>
      <c r="BN155" t="inlineStr"/>
      <c r="BO155" t="inlineStr"/>
      <c r="BP155" t="inlineStr"/>
      <c r="BQ155" t="inlineStr"/>
      <c r="BR155" t="inlineStr"/>
      <c r="BS155" t="inlineStr"/>
      <c r="BT155" t="inlineStr"/>
      <c r="BU155" t="inlineStr"/>
      <c r="BV155" t="inlineStr"/>
      <c r="BW155" t="inlineStr"/>
      <c r="BX155" t="inlineStr"/>
      <c r="BY155" t="inlineStr"/>
      <c r="BZ155" t="inlineStr"/>
      <c r="CA155" t="inlineStr"/>
      <c r="CB155" t="inlineStr"/>
      <c r="CC155" t="inlineStr"/>
      <c r="CD155" t="inlineStr"/>
      <c r="CE155" t="inlineStr"/>
      <c r="CF155" t="inlineStr"/>
      <c r="CG155" t="inlineStr"/>
      <c r="CH155" t="inlineStr"/>
      <c r="CI155" t="inlineStr"/>
      <c r="CJ155" t="inlineStr"/>
      <c r="CK155" t="inlineStr"/>
      <c r="CL155" t="inlineStr"/>
      <c r="CM155" t="inlineStr"/>
      <c r="CN155" t="inlineStr"/>
      <c r="CO155" t="inlineStr"/>
      <c r="CP155" t="inlineStr"/>
      <c r="CQ155" t="inlineStr"/>
      <c r="CR155" t="inlineStr"/>
      <c r="CS155" t="inlineStr"/>
      <c r="CT155" t="inlineStr"/>
      <c r="CU155" t="inlineStr"/>
      <c r="CV155" t="inlineStr"/>
      <c r="CW155" t="inlineStr"/>
      <c r="CX155" t="inlineStr"/>
      <c r="CY155" t="inlineStr"/>
      <c r="CZ155" t="inlineStr"/>
      <c r="DA155" t="inlineStr"/>
      <c r="DB155" t="inlineStr"/>
      <c r="DC155" t="inlineStr"/>
      <c r="DD155" t="inlineStr"/>
      <c r="DE155" t="inlineStr"/>
      <c r="DF155" t="inlineStr"/>
      <c r="DG155" t="inlineStr"/>
      <c r="DH155" t="inlineStr"/>
      <c r="DI155" t="inlineStr"/>
      <c r="DJ155" t="inlineStr"/>
      <c r="DK155" t="inlineStr"/>
      <c r="DL155" t="inlineStr"/>
      <c r="DM155" t="inlineStr"/>
      <c r="DN155" t="inlineStr"/>
      <c r="DO155" t="inlineStr"/>
      <c r="DP155" t="inlineStr"/>
      <c r="DQ155" t="inlineStr"/>
      <c r="DR155" t="inlineStr"/>
      <c r="DS155" t="inlineStr"/>
      <c r="DT155" t="inlineStr"/>
      <c r="DU155" t="inlineStr"/>
      <c r="DV155" t="inlineStr"/>
      <c r="DW155" t="inlineStr"/>
      <c r="DX155" t="inlineStr"/>
      <c r="DY155" t="inlineStr"/>
      <c r="DZ155" t="inlineStr"/>
      <c r="EA155" t="inlineStr"/>
      <c r="EB155" t="inlineStr"/>
      <c r="EC155" t="inlineStr"/>
      <c r="ED155" t="inlineStr"/>
      <c r="EE155" t="inlineStr"/>
      <c r="EF155" t="inlineStr"/>
      <c r="EG155" t="inlineStr"/>
      <c r="EH155" t="inlineStr"/>
      <c r="EI155" t="inlineStr"/>
      <c r="EJ155" t="inlineStr"/>
      <c r="EK155" t="inlineStr"/>
      <c r="EL155" t="inlineStr"/>
      <c r="EM155" t="inlineStr"/>
      <c r="EN155" t="inlineStr"/>
      <c r="EO155" t="inlineStr"/>
      <c r="EP155" t="inlineStr"/>
      <c r="EQ155" t="inlineStr"/>
      <c r="ER155" t="inlineStr"/>
      <c r="ES155" t="inlineStr"/>
      <c r="ET155" t="inlineStr"/>
      <c r="EU155" t="inlineStr"/>
      <c r="EV155" t="inlineStr"/>
      <c r="EW155" t="inlineStr"/>
      <c r="EX155" t="inlineStr"/>
      <c r="EY155" t="inlineStr"/>
      <c r="EZ155" t="inlineStr"/>
      <c r="FA155" t="inlineStr"/>
      <c r="FB155" t="inlineStr"/>
      <c r="FC155" t="inlineStr"/>
      <c r="FD155" t="inlineStr"/>
      <c r="FE155" t="inlineStr"/>
      <c r="FF155" t="inlineStr"/>
      <c r="FG155" t="inlineStr"/>
      <c r="FH155" t="inlineStr"/>
      <c r="FI155" t="inlineStr"/>
      <c r="FJ155" t="inlineStr"/>
      <c r="FK155" t="inlineStr"/>
      <c r="FL155" t="inlineStr"/>
      <c r="FM155" t="inlineStr"/>
      <c r="FN155" t="inlineStr"/>
      <c r="FO155" t="inlineStr"/>
      <c r="FP155" t="inlineStr"/>
      <c r="FQ155" t="inlineStr"/>
      <c r="FR155" t="inlineStr"/>
      <c r="FS155" t="inlineStr"/>
      <c r="FT155" t="inlineStr"/>
      <c r="FU155" t="inlineStr"/>
      <c r="FV155" t="inlineStr"/>
      <c r="FW155" t="inlineStr"/>
      <c r="FX155" t="inlineStr"/>
      <c r="FY155" t="inlineStr"/>
      <c r="FZ155" t="inlineStr"/>
      <c r="GA155" t="inlineStr"/>
      <c r="GB155" t="inlineStr"/>
      <c r="GC155" t="inlineStr"/>
      <c r="GD155" t="inlineStr"/>
      <c r="GE155" t="inlineStr"/>
      <c r="GF155" t="inlineStr"/>
      <c r="GG155" t="inlineStr"/>
      <c r="GH155" t="inlineStr"/>
      <c r="GI155" t="inlineStr"/>
      <c r="GJ155" t="inlineStr"/>
      <c r="GK155" t="inlineStr"/>
      <c r="GL155" t="inlineStr"/>
      <c r="GM155" t="inlineStr"/>
      <c r="GN155" t="inlineStr"/>
      <c r="GO155" t="inlineStr"/>
      <c r="GP155" t="inlineStr"/>
      <c r="GQ155" t="inlineStr"/>
      <c r="GR155" t="inlineStr"/>
      <c r="GS155" t="inlineStr"/>
      <c r="GT155" t="inlineStr"/>
      <c r="GU155" t="inlineStr"/>
      <c r="GV155" t="inlineStr"/>
      <c r="GW155" t="inlineStr"/>
      <c r="GX155" t="inlineStr"/>
      <c r="GY155" t="inlineStr"/>
      <c r="GZ155" t="inlineStr"/>
      <c r="HA155" t="inlineStr"/>
      <c r="HB155" t="inlineStr"/>
      <c r="HC155" t="inlineStr"/>
      <c r="HD155" t="inlineStr"/>
      <c r="HE155" t="inlineStr"/>
      <c r="HF155" t="inlineStr"/>
      <c r="HG155" t="inlineStr"/>
      <c r="HH155" t="inlineStr"/>
      <c r="HI155" t="inlineStr"/>
      <c r="HJ155" t="inlineStr"/>
      <c r="HK155" t="inlineStr"/>
      <c r="HL155" t="inlineStr"/>
      <c r="HM155" t="inlineStr"/>
      <c r="HN155" t="inlineStr"/>
      <c r="HO155" t="inlineStr"/>
      <c r="HP155" t="inlineStr"/>
      <c r="HQ155" t="inlineStr"/>
      <c r="HR155" t="inlineStr"/>
      <c r="HS155" t="inlineStr"/>
      <c r="HT155" t="inlineStr"/>
      <c r="HU155" t="inlineStr"/>
      <c r="HV155" t="inlineStr"/>
      <c r="HW155" t="inlineStr"/>
      <c r="HX155" t="inlineStr"/>
      <c r="HY155" t="inlineStr"/>
      <c r="HZ155" t="inlineStr"/>
      <c r="IA155" t="inlineStr"/>
      <c r="IB155" t="inlineStr"/>
      <c r="IC155" t="inlineStr"/>
      <c r="ID155" t="inlineStr"/>
      <c r="IE155" t="inlineStr"/>
      <c r="IF155" t="inlineStr"/>
      <c r="IG155" t="inlineStr"/>
      <c r="IH155" t="inlineStr"/>
      <c r="II155" t="inlineStr"/>
      <c r="IJ155" t="inlineStr"/>
      <c r="IK155" t="inlineStr"/>
      <c r="IL155" t="inlineStr"/>
      <c r="IM155" t="inlineStr"/>
      <c r="IN155" t="inlineStr"/>
      <c r="IO155" t="inlineStr"/>
      <c r="IP155" t="inlineStr"/>
      <c r="IQ155" t="inlineStr"/>
      <c r="IR155" t="inlineStr"/>
      <c r="IS155">
        <f>IF(input_content_type="",FALSE,ISNUMBER(SEARCH(","&amp;LOWER(input_content_type)&amp;",",","&amp;LOWER(F155)&amp;",")))</f>
        <v/>
      </c>
      <c r="IT155">
        <f>AND(IF(M155="",TRUE,IF(input_affiliations="",FALSE,SUMPRODUCT(--ISNUMBER(SEARCH(","&amp;TRIM(TEXTSPLIT(M155,","))&amp;",",","&amp;SUBSTITUTE(input_affiliations," ","")&amp;",")))&gt;0)),IF(O155="",TRUE,IF(input_affiliations="",FALSE,SUMPRODUCT(--ISNUMBER(SEARCH(","&amp;TRIM(TEXTSPLIT(O155,","))&amp;",",","&amp;SUBSTITUTE(input_affiliations," ","")&amp;",")))=COUNTA(TEXTSPLIT(O155,",")))),IF(Q155="",TRUE,IF(input_affiliations="",TRUE,SUMPRODUCT(--ISNUMBER(SEARCH(","&amp;TRIM(TEXTSPLIT(Q155,","))&amp;",",","&amp;SUBSTITUTE(input_affiliations," ","")&amp;",")))=0)),IF(S155="",TRUE,IF(input_affiliations="",FALSE,SUMPRODUCT(--ISNUMBER(SEARCH(","&amp;TRIM(TEXTSPLIT(S155,","))&amp;",",","&amp;SUBSTITUTE(input_affiliations," ","")&amp;",")))&gt;0)),IF(U155="",TRUE,IF(input_affiliations="",FALSE,SUMPRODUCT(--ISNUMBER(SEARCH(","&amp;TRIM(TEXTSPLIT(U155,","))&amp;",",","&amp;SUBSTITUTE(input_affiliations," ","")&amp;",")))=COUNTA(TEXTSPLIT(U155,",")))))</f>
        <v/>
      </c>
      <c r="IU155">
        <f>AND(IF(W155="",TRUE,IF(input_announcement_category="",FALSE,SUMPRODUCT(--ISNUMBER(SEARCH(","&amp;TRIM(TEXTSPLIT(W155,","))&amp;",",","&amp;SUBSTITUTE(input_announcement_category," ","")&amp;",")))&gt;0)),IF(Y155="",TRUE,IF(input_announcement_category="",FALSE,SUMPRODUCT(--ISNUMBER(SEARCH(","&amp;TRIM(TEXTSPLIT(Y155,","))&amp;",",","&amp;SUBSTITUTE(input_announcement_category," ","")&amp;",")))=COUNTA(TEXTSPLIT(Y155,",")))),IF(AA155="",TRUE,IF(input_announcement_category="",TRUE,SUMPRODUCT(--ISNUMBER(SEARCH(","&amp;TRIM(TEXTSPLIT(AA155,","))&amp;",",","&amp;SUBSTITUTE(input_announcement_category," ","")&amp;",")))=0)),IF(AC155="",TRUE,IF(input_announcement_category="",FALSE,SUMPRODUCT(--ISNUMBER(SEARCH(","&amp;TRIM(TEXTSPLIT(AC155,","))&amp;",",","&amp;SUBSTITUTE(input_announcement_category," ","")&amp;",")))&gt;0)),IF(AE155="",TRUE,IF(input_announcement_category="",FALSE,SUMPRODUCT(--ISNUMBER(SEARCH(","&amp;TRIM(TEXTSPLIT(AE155,","))&amp;",",","&amp;SUBSTITUTE(input_announcement_category," ","")&amp;",")))=COUNTA(TEXTSPLIT(AE155,",")))))</f>
        <v/>
      </c>
      <c r="IV155">
        <f>AND(IF(AG155="",TRUE,IF(input_area_of_focus="",FALSE,SUMPRODUCT(--ISNUMBER(SEARCH(","&amp;TRIM(TEXTSPLIT(AG155,","))&amp;",",","&amp;SUBSTITUTE(input_area_of_focus," ","")&amp;",")))&gt;0)),IF(AI155="",TRUE,IF(input_area_of_focus="",FALSE,SUMPRODUCT(--ISNUMBER(SEARCH(","&amp;TRIM(TEXTSPLIT(AI155,","))&amp;",",","&amp;SUBSTITUTE(input_area_of_focus," ","")&amp;",")))=COUNTA(TEXTSPLIT(AI155,",")))),IF(AK155="",TRUE,IF(input_area_of_focus="",TRUE,SUMPRODUCT(--ISNUMBER(SEARCH(","&amp;TRIM(TEXTSPLIT(AK155,","))&amp;",",","&amp;SUBSTITUTE(input_area_of_focus," ","")&amp;",")))=0)),IF(AM155="",TRUE,IF(input_area_of_focus="",FALSE,SUMPRODUCT(--ISNUMBER(SEARCH(","&amp;TRIM(TEXTSPLIT(AM155,","))&amp;",",","&amp;SUBSTITUTE(input_area_of_focus," ","")&amp;",")))&gt;0)),IF(AO155="",TRUE,IF(input_area_of_focus="",FALSE,SUMPRODUCT(--ISNUMBER(SEARCH(","&amp;TRIM(TEXTSPLIT(AO155,","))&amp;",",","&amp;SUBSTITUTE(input_area_of_focus," ","")&amp;",")))=COUNTA(TEXTSPLIT(AO155,",")))))</f>
        <v/>
      </c>
      <c r="IW155">
        <f>AND(IF(AQ155="",TRUE,IF(input_audience="",FALSE,SUMPRODUCT(--ISNUMBER(SEARCH(","&amp;TRIM(TEXTSPLIT(AQ155,","))&amp;",",","&amp;SUBSTITUTE(input_audience," ","")&amp;",")))&gt;0)),IF(AS155="",TRUE,IF(input_audience="",FALSE,SUMPRODUCT(--ISNUMBER(SEARCH(","&amp;TRIM(TEXTSPLIT(AS155,","))&amp;",",","&amp;SUBSTITUTE(input_audience," ","")&amp;",")))=COUNTA(TEXTSPLIT(AS155,",")))),IF(AU155="",TRUE,IF(input_audience="",TRUE,SUMPRODUCT(--ISNUMBER(SEARCH(","&amp;TRIM(TEXTSPLIT(AU155,","))&amp;",",","&amp;SUBSTITUTE(input_audience," ","")&amp;",")))=0)),IF(AW155="",TRUE,IF(input_audience="",FALSE,SUMPRODUCT(--ISNUMBER(SEARCH(","&amp;TRIM(TEXTSPLIT(AW155,","))&amp;",",","&amp;SUBSTITUTE(input_audience," ","")&amp;",")))&gt;0)),IF(AY155="",TRUE,IF(input_audience="",FALSE,SUMPRODUCT(--ISNUMBER(SEARCH(","&amp;TRIM(TEXTSPLIT(AY155,","))&amp;",",","&amp;SUBSTITUTE(input_audience," ","")&amp;",")))=COUNTA(TEXTSPLIT(AY155,",")))))</f>
        <v/>
      </c>
      <c r="IX155">
        <f>AND(IF(BA155="",TRUE,IF(input_challenge_opportunities="",FALSE,SUMPRODUCT(--ISNUMBER(SEARCH(","&amp;TRIM(TEXTSPLIT(BA155,","))&amp;",",","&amp;SUBSTITUTE(input_challenge_opportunities," ","")&amp;",")))&gt;0)),IF(BC155="",TRUE,IF(input_challenge_opportunities="",FALSE,SUMPRODUCT(--ISNUMBER(SEARCH(","&amp;TRIM(TEXTSPLIT(BC155,","))&amp;",",","&amp;SUBSTITUTE(input_challenge_opportunities," ","")&amp;",")))=COUNTA(TEXTSPLIT(BC155,",")))),IF(BE155="",TRUE,IF(input_challenge_opportunities="",TRUE,SUMPRODUCT(--ISNUMBER(SEARCH(","&amp;TRIM(TEXTSPLIT(BE155,","))&amp;",",","&amp;SUBSTITUTE(input_challenge_opportunities," ","")&amp;",")))=0)),IF(BG155="",TRUE,IF(input_challenge_opportunities="",FALSE,SUMPRODUCT(--ISNUMBER(SEARCH(","&amp;TRIM(TEXTSPLIT(BG155,","))&amp;",",","&amp;SUBSTITUTE(input_challenge_opportunities," ","")&amp;",")))&gt;0)),IF(BI155="",TRUE,IF(input_challenge_opportunities="",FALSE,SUMPRODUCT(--ISNUMBER(SEARCH(","&amp;TRIM(TEXTSPLIT(BI155,","))&amp;",",","&amp;SUBSTITUTE(input_challenge_opportunities," ","")&amp;",")))=COUNTA(TEXTSPLIT(BI155,",")))))</f>
        <v/>
      </c>
      <c r="IY155">
        <f>AND(IF(BK155="",TRUE,IF(input_context="",FALSE,SUMPRODUCT(--ISNUMBER(SEARCH(","&amp;TRIM(TEXTSPLIT(BK155,","))&amp;",",","&amp;SUBSTITUTE(input_context," ","")&amp;",")))&gt;0)),IF(BM155="",TRUE,IF(input_context="",FALSE,SUMPRODUCT(--ISNUMBER(SEARCH(","&amp;TRIM(TEXTSPLIT(BM155,","))&amp;",",","&amp;SUBSTITUTE(input_context," ","")&amp;",")))=COUNTA(TEXTSPLIT(BM155,",")))),IF(BO155="",TRUE,IF(input_context="",TRUE,SUMPRODUCT(--ISNUMBER(SEARCH(","&amp;TRIM(TEXTSPLIT(BO155,","))&amp;",",","&amp;SUBSTITUTE(input_context," ","")&amp;",")))=0)),IF(BQ155="",TRUE,IF(input_context="",FALSE,SUMPRODUCT(--ISNUMBER(SEARCH(","&amp;TRIM(TEXTSPLIT(BQ155,","))&amp;",",","&amp;SUBSTITUTE(input_context," ","")&amp;",")))&gt;0)),IF(BS155="",TRUE,IF(input_context="",FALSE,SUMPRODUCT(--ISNUMBER(SEARCH(","&amp;TRIM(TEXTSPLIT(BS155,","))&amp;",",","&amp;SUBSTITUTE(input_context," ","")&amp;",")))=COUNTA(TEXTSPLIT(BS155,",")))))</f>
        <v/>
      </c>
      <c r="IZ155">
        <f>AND(IF(BU155="",TRUE,IF(input_enews_announcement_type="",FALSE,SUMPRODUCT(--ISNUMBER(SEARCH(","&amp;TRIM(TEXTSPLIT(BU155,","))&amp;",",","&amp;SUBSTITUTE(input_enews_announcement_type," ","")&amp;",")))&gt;0)),IF(BW155="",TRUE,IF(input_enews_announcement_type="",FALSE,SUMPRODUCT(--ISNUMBER(SEARCH(","&amp;TRIM(TEXTSPLIT(BW155,","))&amp;",",","&amp;SUBSTITUTE(input_enews_announcement_type," ","")&amp;",")))=COUNTA(TEXTSPLIT(BW155,",")))),IF(BY155="",TRUE,IF(input_enews_announcement_type="",TRUE,SUMPRODUCT(--ISNUMBER(SEARCH(","&amp;TRIM(TEXTSPLIT(BY155,","))&amp;",",","&amp;SUBSTITUTE(input_enews_announcement_type," ","")&amp;",")))=0)),IF(CA155="",TRUE,IF(input_enews_announcement_type="",FALSE,SUMPRODUCT(--ISNUMBER(SEARCH(","&amp;TRIM(TEXTSPLIT(CA155,","))&amp;",",","&amp;SUBSTITUTE(input_enews_announcement_type," ","")&amp;",")))&gt;0)),IF(CC155="",TRUE,IF(input_enews_announcement_type="",FALSE,SUMPRODUCT(--ISNUMBER(SEARCH(","&amp;TRIM(TEXTSPLIT(CC155,","))&amp;",",","&amp;SUBSTITUTE(input_enews_announcement_type," ","")&amp;",")))=COUNTA(TEXTSPLIT(CC155,",")))))</f>
        <v/>
      </c>
      <c r="JA155">
        <f>AND(IF(CE155="",TRUE,IF(input_enews_audience="",FALSE,SUMPRODUCT(--ISNUMBER(SEARCH(","&amp;TRIM(TEXTSPLIT(CE155,","))&amp;",",","&amp;SUBSTITUTE(input_enews_audience," ","")&amp;",")))&gt;0)),IF(CG155="",TRUE,IF(input_enews_audience="",FALSE,SUMPRODUCT(--ISNUMBER(SEARCH(","&amp;TRIM(TEXTSPLIT(CG155,","))&amp;",",","&amp;SUBSTITUTE(input_enews_audience," ","")&amp;",")))=COUNTA(TEXTSPLIT(CG155,",")))),IF(CI155="",TRUE,IF(input_enews_audience="",TRUE,SUMPRODUCT(--ISNUMBER(SEARCH(","&amp;TRIM(TEXTSPLIT(CI155,","))&amp;",",","&amp;SUBSTITUTE(input_enews_audience," ","")&amp;",")))=0)),IF(CK155="",TRUE,IF(input_enews_audience="",FALSE,SUMPRODUCT(--ISNUMBER(SEARCH(","&amp;TRIM(TEXTSPLIT(CK155,","))&amp;",",","&amp;SUBSTITUTE(input_enews_audience," ","")&amp;",")))&gt;0)),IF(CM155="",TRUE,IF(input_enews_audience="",FALSE,SUMPRODUCT(--ISNUMBER(SEARCH(","&amp;TRIM(TEXTSPLIT(CM155,","))&amp;",",","&amp;SUBSTITUTE(input_enews_audience," ","")&amp;",")))=COUNTA(TEXTSPLIT(CM155,",")))))</f>
        <v/>
      </c>
      <c r="JB155">
        <f>AND(IF(CO155="",TRUE,IF(input_event_location="",FALSE,SUMPRODUCT(--ISNUMBER(SEARCH(","&amp;TRIM(TEXTSPLIT(CO155,","))&amp;",",","&amp;SUBSTITUTE(input_event_location," ","")&amp;",")))&gt;0)),IF(CQ155="",TRUE,IF(input_event_location="",FALSE,SUMPRODUCT(--ISNUMBER(SEARCH(","&amp;TRIM(TEXTSPLIT(CQ155,","))&amp;",",","&amp;SUBSTITUTE(input_event_location," ","")&amp;",")))=COUNTA(TEXTSPLIT(CQ155,",")))),IF(CS155="",TRUE,IF(input_event_location="",TRUE,SUMPRODUCT(--ISNUMBER(SEARCH(","&amp;TRIM(TEXTSPLIT(CS155,","))&amp;",",","&amp;SUBSTITUTE(input_event_location," ","")&amp;",")))=0)),IF(CU155="",TRUE,IF(input_event_location="",FALSE,SUMPRODUCT(--ISNUMBER(SEARCH(","&amp;TRIM(TEXTSPLIT(CU155,","))&amp;",",","&amp;SUBSTITUTE(input_event_location," ","")&amp;",")))&gt;0)),IF(CW155="",TRUE,IF(input_event_location="",FALSE,SUMPRODUCT(--ISNUMBER(SEARCH(","&amp;TRIM(TEXTSPLIT(CW155,","))&amp;",",","&amp;SUBSTITUTE(input_event_location," ","")&amp;",")))=COUNTA(TEXTSPLIT(CW155,",")))))</f>
        <v/>
      </c>
      <c r="JC155">
        <f>AND(IF(CY155="",TRUE,IF(input_event_type="",FALSE,SUMPRODUCT(--ISNUMBER(SEARCH(","&amp;TRIM(TEXTSPLIT(CY155,","))&amp;",",","&amp;SUBSTITUTE(input_event_type," ","")&amp;",")))&gt;0)),IF(DA155="",TRUE,IF(input_event_type="",FALSE,SUMPRODUCT(--ISNUMBER(SEARCH(","&amp;TRIM(TEXTSPLIT(DA155,","))&amp;",",","&amp;SUBSTITUTE(input_event_type," ","")&amp;",")))=COUNTA(TEXTSPLIT(DA155,",")))),IF(DC155="",TRUE,IF(input_event_type="",TRUE,SUMPRODUCT(--ISNUMBER(SEARCH(","&amp;TRIM(TEXTSPLIT(DC155,","))&amp;",",","&amp;SUBSTITUTE(input_event_type," ","")&amp;",")))=0)),IF(DE155="",TRUE,IF(input_event_type="",FALSE,SUMPRODUCT(--ISNUMBER(SEARCH(","&amp;TRIM(TEXTSPLIT(DE155,","))&amp;",",","&amp;SUBSTITUTE(input_event_type," ","")&amp;",")))&gt;0)),IF(DG155="",TRUE,IF(input_event_type="",FALSE,SUMPRODUCT(--ISNUMBER(SEARCH(","&amp;TRIM(TEXTSPLIT(DG155,","))&amp;",",","&amp;SUBSTITUTE(input_event_type," ","")&amp;",")))=COUNTA(TEXTSPLIT(DG155,",")))))</f>
        <v/>
      </c>
      <c r="JD155">
        <f>AND(IF(DI155="",TRUE,IF(input_executive_education_focus="",FALSE,SUMPRODUCT(--ISNUMBER(SEARCH(","&amp;TRIM(TEXTSPLIT(DI155,","))&amp;",",","&amp;SUBSTITUTE(input_executive_education_focus," ","")&amp;",")))&gt;0)),IF(DK155="",TRUE,IF(input_executive_education_focus="",FALSE,SUMPRODUCT(--ISNUMBER(SEARCH(","&amp;TRIM(TEXTSPLIT(DK155,","))&amp;",",","&amp;SUBSTITUTE(input_executive_education_focus," ","")&amp;",")))=COUNTA(TEXTSPLIT(DK155,",")))),IF(DM155="",TRUE,IF(input_executive_education_focus="",TRUE,SUMPRODUCT(--ISNUMBER(SEARCH(","&amp;TRIM(TEXTSPLIT(DM155,","))&amp;",",","&amp;SUBSTITUTE(input_executive_education_focus," ","")&amp;",")))=0)),IF(DO155="",TRUE,IF(input_executive_education_focus="",FALSE,SUMPRODUCT(--ISNUMBER(SEARCH(","&amp;TRIM(TEXTSPLIT(DO155,","))&amp;",",","&amp;SUBSTITUTE(input_executive_education_focus," ","")&amp;",")))&gt;0)),IF(DQ155="",TRUE,IF(input_executive_education_focus="",FALSE,SUMPRODUCT(--ISNUMBER(SEARCH(","&amp;TRIM(TEXTSPLIT(DQ155,","))&amp;",",","&amp;SUBSTITUTE(input_executive_education_focus," ","")&amp;",")))=COUNTA(TEXTSPLIT(DQ155,",")))))</f>
        <v/>
      </c>
      <c r="JE155">
        <f>AND(IF(DS155="",TRUE,IF(input_faculty_category="",FALSE,SUMPRODUCT(--ISNUMBER(SEARCH(","&amp;TRIM(TEXTSPLIT(DS155,","))&amp;",",","&amp;SUBSTITUTE(input_faculty_category," ","")&amp;",")))&gt;0)),IF(DU155="",TRUE,IF(input_faculty_category="",FALSE,SUMPRODUCT(--ISNUMBER(SEARCH(","&amp;TRIM(TEXTSPLIT(DU155,","))&amp;",",","&amp;SUBSTITUTE(input_faculty_category," ","")&amp;",")))=COUNTA(TEXTSPLIT(DU155,",")))),IF(DW155="",TRUE,IF(input_faculty_category="",TRUE,SUMPRODUCT(--ISNUMBER(SEARCH(","&amp;TRIM(TEXTSPLIT(DW155,","))&amp;",",","&amp;SUBSTITUTE(input_faculty_category," ","")&amp;",")))=0)),IF(DY155="",TRUE,IF(input_faculty_category="",FALSE,SUMPRODUCT(--ISNUMBER(SEARCH(","&amp;TRIM(TEXTSPLIT(DY155,","))&amp;",",","&amp;SUBSTITUTE(input_faculty_category," ","")&amp;",")))&gt;0)),IF(EA155="",TRUE,IF(input_faculty_category="",FALSE,SUMPRODUCT(--ISNUMBER(SEARCH(","&amp;TRIM(TEXTSPLIT(EA155,","))&amp;",",","&amp;SUBSTITUTE(input_faculty_category," ","")&amp;",")))=COUNTA(TEXTSPLIT(EA155,",")))))</f>
        <v/>
      </c>
      <c r="JF155">
        <f>AND(IF(EC155="",TRUE,IF(input_faculty_discipline="",FALSE,SUMPRODUCT(--ISNUMBER(SEARCH(","&amp;TRIM(TEXTSPLIT(EC155,","))&amp;",",","&amp;SUBSTITUTE(input_faculty_discipline," ","")&amp;",")))&gt;0)),IF(EE155="",TRUE,IF(input_faculty_discipline="",FALSE,SUMPRODUCT(--ISNUMBER(SEARCH(","&amp;TRIM(TEXTSPLIT(EE155,","))&amp;",",","&amp;SUBSTITUTE(input_faculty_discipline," ","")&amp;",")))=COUNTA(TEXTSPLIT(EE155,",")))),IF(EG155="",TRUE,IF(input_faculty_discipline="",TRUE,SUMPRODUCT(--ISNUMBER(SEARCH(","&amp;TRIM(TEXTSPLIT(EG155,","))&amp;",",","&amp;SUBSTITUTE(input_faculty_discipline," ","")&amp;",")))=0)),IF(EI155="",TRUE,IF(input_faculty_discipline="",FALSE,SUMPRODUCT(--ISNUMBER(SEARCH(","&amp;TRIM(TEXTSPLIT(EI155,","))&amp;",",","&amp;SUBSTITUTE(input_faculty_discipline," ","")&amp;",")))&gt;0)),IF(EK155="",TRUE,IF(input_faculty_discipline="",FALSE,SUMPRODUCT(--ISNUMBER(SEARCH(","&amp;TRIM(TEXTSPLIT(EK155,","))&amp;",",","&amp;SUBSTITUTE(input_faculty_discipline," ","")&amp;",")))=COUNTA(TEXTSPLIT(EK155,",")))))</f>
        <v/>
      </c>
      <c r="JG155">
        <f>AND(IF(EM155="",TRUE,IF(input_faculty_expertise="",FALSE,SUMPRODUCT(--ISNUMBER(SEARCH(","&amp;TRIM(TEXTSPLIT(EM155,","))&amp;",",","&amp;SUBSTITUTE(input_faculty_expertise," ","")&amp;",")))&gt;0)),IF(EO155="",TRUE,IF(input_faculty_expertise="",FALSE,SUMPRODUCT(--ISNUMBER(SEARCH(","&amp;TRIM(TEXTSPLIT(EO155,","))&amp;",",","&amp;SUBSTITUTE(input_faculty_expertise," ","")&amp;",")))=COUNTA(TEXTSPLIT(EO155,",")))),IF(EQ155="",TRUE,IF(input_faculty_expertise="",TRUE,SUMPRODUCT(--ISNUMBER(SEARCH(","&amp;TRIM(TEXTSPLIT(EQ155,","))&amp;",",","&amp;SUBSTITUTE(input_faculty_expertise," ","")&amp;",")))=0)),IF(ES155="",TRUE,IF(input_faculty_expertise="",FALSE,SUMPRODUCT(--ISNUMBER(SEARCH(","&amp;TRIM(TEXTSPLIT(ES155,","))&amp;",",","&amp;SUBSTITUTE(input_faculty_expertise," ","")&amp;",")))&gt;0)),IF(EU155="",TRUE,IF(input_faculty_expertise="",FALSE,SUMPRODUCT(--ISNUMBER(SEARCH(","&amp;TRIM(TEXTSPLIT(EU155,","))&amp;",",","&amp;SUBSTITUTE(input_faculty_expertise," ","")&amp;",")))=COUNTA(TEXTSPLIT(EU155,",")))))</f>
        <v/>
      </c>
      <c r="JH155">
        <f>AND(IF(EW155="",TRUE,IF(input_global_network_school="",FALSE,SUMPRODUCT(--ISNUMBER(SEARCH(","&amp;TRIM(TEXTSPLIT(EW155,","))&amp;",",","&amp;SUBSTITUTE(input_global_network_school," ","")&amp;",")))&gt;0)),IF(EY155="",TRUE,IF(input_global_network_school="",FALSE,SUMPRODUCT(--ISNUMBER(SEARCH(","&amp;TRIM(TEXTSPLIT(EY155,","))&amp;",",","&amp;SUBSTITUTE(input_global_network_school," ","")&amp;",")))=COUNTA(TEXTSPLIT(EY155,",")))),IF(FA155="",TRUE,IF(input_global_network_school="",TRUE,SUMPRODUCT(--ISNUMBER(SEARCH(","&amp;TRIM(TEXTSPLIT(FA155,","))&amp;",",","&amp;SUBSTITUTE(input_global_network_school," ","")&amp;",")))=0)),IF(FC155="",TRUE,IF(input_global_network_school="",FALSE,SUMPRODUCT(--ISNUMBER(SEARCH(","&amp;TRIM(TEXTSPLIT(FC155,","))&amp;",",","&amp;SUBSTITUTE(input_global_network_school," ","")&amp;",")))&gt;0)),IF(FE155="",TRUE,IF(input_global_network_school="",FALSE,SUMPRODUCT(--ISNUMBER(SEARCH(","&amp;TRIM(TEXTSPLIT(FE155,","))&amp;",",","&amp;SUBSTITUTE(input_global_network_school," ","")&amp;",")))=COUNTA(TEXTSPLIT(FE155,",")))))</f>
        <v/>
      </c>
      <c r="JI155">
        <f>AND(IF(FG155="",TRUE,IF(input_industry="",FALSE,SUMPRODUCT(--ISNUMBER(SEARCH(","&amp;TRIM(TEXTSPLIT(FG155,","))&amp;",",","&amp;SUBSTITUTE(input_industry," ","")&amp;",")))&gt;0)),IF(FI155="",TRUE,IF(input_industry="",FALSE,SUMPRODUCT(--ISNUMBER(SEARCH(","&amp;TRIM(TEXTSPLIT(FI155,","))&amp;",",","&amp;SUBSTITUTE(input_industry," ","")&amp;",")))=COUNTA(TEXTSPLIT(FI155,",")))),IF(FK155="",TRUE,IF(input_industry="",TRUE,SUMPRODUCT(--ISNUMBER(SEARCH(","&amp;TRIM(TEXTSPLIT(FK155,","))&amp;",",","&amp;SUBSTITUTE(input_industry," ","")&amp;",")))=0)),IF(FM155="",TRUE,IF(input_industry="",FALSE,SUMPRODUCT(--ISNUMBER(SEARCH(","&amp;TRIM(TEXTSPLIT(FM155,","))&amp;",",","&amp;SUBSTITUTE(input_industry," ","")&amp;",")))&gt;0)),IF(FO155="",TRUE,IF(input_industry="",FALSE,SUMPRODUCT(--ISNUMBER(SEARCH(","&amp;TRIM(TEXTSPLIT(FO155,","))&amp;",",","&amp;SUBSTITUTE(input_industry," ","")&amp;",")))=COUNTA(TEXTSPLIT(FO155,",")))))</f>
        <v/>
      </c>
      <c r="JJ155">
        <f>AND(IF(FQ155="",TRUE,IF(input_location="",FALSE,SUMPRODUCT(--ISNUMBER(SEARCH(","&amp;TRIM(TEXTSPLIT(FQ155,","))&amp;",",","&amp;SUBSTITUTE(input_location," ","")&amp;",")))&gt;0)),IF(FS155="",TRUE,IF(input_location="",FALSE,SUMPRODUCT(--ISNUMBER(SEARCH(","&amp;TRIM(TEXTSPLIT(FS155,","))&amp;",",","&amp;SUBSTITUTE(input_location," ","")&amp;",")))=COUNTA(TEXTSPLIT(FS155,",")))),IF(FU155="",TRUE,IF(input_location="",TRUE,SUMPRODUCT(--ISNUMBER(SEARCH(","&amp;TRIM(TEXTSPLIT(FU155,","))&amp;",",","&amp;SUBSTITUTE(input_location," ","")&amp;",")))=0)),IF(FW155="",TRUE,IF(input_location="",FALSE,SUMPRODUCT(--ISNUMBER(SEARCH(","&amp;TRIM(TEXTSPLIT(FW155,","))&amp;",",","&amp;SUBSTITUTE(input_location," ","")&amp;",")))&gt;0)),IF(FY155="",TRUE,IF(input_location="",FALSE,SUMPRODUCT(--ISNUMBER(SEARCH(","&amp;TRIM(TEXTSPLIT(FY155,","))&amp;",",","&amp;SUBSTITUTE(input_location," ","")&amp;",")))=COUNTA(TEXTSPLIT(FY155,",")))))</f>
        <v/>
      </c>
      <c r="JK155">
        <f>AND(IF(GA155="",TRUE,IF(input_modality="",FALSE,SUMPRODUCT(--ISNUMBER(SEARCH(","&amp;TRIM(TEXTSPLIT(GA155,","))&amp;",",","&amp;SUBSTITUTE(input_modality," ","")&amp;",")))&gt;0)),IF(GC155="",TRUE,IF(input_modality="",FALSE,SUMPRODUCT(--ISNUMBER(SEARCH(","&amp;TRIM(TEXTSPLIT(GC155,","))&amp;",",","&amp;SUBSTITUTE(input_modality," ","")&amp;",")))=COUNTA(TEXTSPLIT(GC155,",")))),IF(GE155="",TRUE,IF(input_modality="",TRUE,SUMPRODUCT(--ISNUMBER(SEARCH(","&amp;TRIM(TEXTSPLIT(GE155,","))&amp;",",","&amp;SUBSTITUTE(input_modality," ","")&amp;",")))=0)),IF(GG155="",TRUE,IF(input_modality="",FALSE,SUMPRODUCT(--ISNUMBER(SEARCH(","&amp;TRIM(TEXTSPLIT(GG155,","))&amp;",",","&amp;SUBSTITUTE(input_modality," ","")&amp;",")))&gt;0)),IF(GI155="",TRUE,IF(input_modality="",FALSE,SUMPRODUCT(--ISNUMBER(SEARCH(","&amp;TRIM(TEXTSPLIT(GI155,","))&amp;",",","&amp;SUBSTITUTE(input_modality," ","")&amp;",")))=COUNTA(TEXTSPLIT(GI155,",")))))</f>
        <v/>
      </c>
      <c r="JL155">
        <f>AND(IF(GK155="",TRUE,IF(input_organizer="",FALSE,SUMPRODUCT(--ISNUMBER(SEARCH(","&amp;TRIM(TEXTSPLIT(GK155,","))&amp;",",","&amp;SUBSTITUTE(input_organizer," ","")&amp;",")))&gt;0)),IF(GM155="",TRUE,IF(input_organizer="",FALSE,SUMPRODUCT(--ISNUMBER(SEARCH(","&amp;TRIM(TEXTSPLIT(GM155,","))&amp;",",","&amp;SUBSTITUTE(input_organizer," ","")&amp;",")))=COUNTA(TEXTSPLIT(GM155,",")))),IF(GO155="",TRUE,IF(input_organizer="",TRUE,SUMPRODUCT(--ISNUMBER(SEARCH(","&amp;TRIM(TEXTSPLIT(GO155,","))&amp;",",","&amp;SUBSTITUTE(input_organizer," ","")&amp;",")))=0)),IF(GQ155="",TRUE,IF(input_organizer="",FALSE,SUMPRODUCT(--ISNUMBER(SEARCH(","&amp;TRIM(TEXTSPLIT(GQ155,","))&amp;",",","&amp;SUBSTITUTE(input_organizer," ","")&amp;",")))&gt;0)),IF(GS155="",TRUE,IF(input_organizer="",FALSE,SUMPRODUCT(--ISNUMBER(SEARCH(","&amp;TRIM(TEXTSPLIT(GS155,","))&amp;",",","&amp;SUBSTITUTE(input_organizer," ","")&amp;",")))=COUNTA(TEXTSPLIT(GS155,",")))))</f>
        <v/>
      </c>
      <c r="JM155">
        <f>AND(IF(GU155="",TRUE,IF(input_profile_type="",FALSE,SUMPRODUCT(--ISNUMBER(SEARCH(","&amp;TRIM(TEXTSPLIT(GU155,","))&amp;",",","&amp;SUBSTITUTE(input_profile_type," ","")&amp;",")))&gt;0)),IF(GW155="",TRUE,IF(input_profile_type="",FALSE,SUMPRODUCT(--ISNUMBER(SEARCH(","&amp;TRIM(TEXTSPLIT(GW155,","))&amp;",",","&amp;SUBSTITUTE(input_profile_type," ","")&amp;",")))=COUNTA(TEXTSPLIT(GW155,",")))),IF(GY155="",TRUE,IF(input_profile_type="",TRUE,SUMPRODUCT(--ISNUMBER(SEARCH(","&amp;TRIM(TEXTSPLIT(GY155,","))&amp;",",","&amp;SUBSTITUTE(input_profile_type," ","")&amp;",")))=0)),IF(HA155="",TRUE,IF(input_profile_type="",FALSE,SUMPRODUCT(--ISNUMBER(SEARCH(","&amp;TRIM(TEXTSPLIT(HA155,","))&amp;",",","&amp;SUBSTITUTE(input_profile_type," ","")&amp;",")))&gt;0)),IF(HC155="",TRUE,IF(input_profile_type="",FALSE,SUMPRODUCT(--ISNUMBER(SEARCH(","&amp;TRIM(TEXTSPLIT(HC155,","))&amp;",",","&amp;SUBSTITUTE(input_profile_type," ","")&amp;",")))=COUNTA(TEXTSPLIT(HC155,",")))))</f>
        <v/>
      </c>
      <c r="JN155">
        <f>AND(IF(HE155="",TRUE,IF(input_program="",FALSE,SUMPRODUCT(--ISNUMBER(SEARCH(","&amp;TRIM(TEXTSPLIT(HE155,","))&amp;",",","&amp;SUBSTITUTE(input_program," ","")&amp;",")))&gt;0)),IF(HG155="",TRUE,IF(input_program="",FALSE,SUMPRODUCT(--ISNUMBER(SEARCH(","&amp;TRIM(TEXTSPLIT(HG155,","))&amp;",",","&amp;SUBSTITUTE(input_program," ","")&amp;",")))=COUNTA(TEXTSPLIT(HG155,",")))),IF(HI155="",TRUE,IF(input_program="",TRUE,SUMPRODUCT(--ISNUMBER(SEARCH(","&amp;TRIM(TEXTSPLIT(HI155,","))&amp;",",","&amp;SUBSTITUTE(input_program," ","")&amp;",")))=0)),IF(HK155="",TRUE,IF(input_program="",FALSE,SUMPRODUCT(--ISNUMBER(SEARCH(","&amp;TRIM(TEXTSPLIT(HK155,","))&amp;",",","&amp;SUBSTITUTE(input_program," ","")&amp;",")))&gt;0)),IF(HM155="",TRUE,IF(input_program="",FALSE,SUMPRODUCT(--ISNUMBER(SEARCH(","&amp;TRIM(TEXTSPLIT(HM155,","))&amp;",",","&amp;SUBSTITUTE(input_program," ","")&amp;",")))=COUNTA(TEXTSPLIT(HM155,",")))))</f>
        <v/>
      </c>
      <c r="JO155">
        <f>AND(IF(HO155="",TRUE,IF(input_story_categories="",FALSE,SUMPRODUCT(--ISNUMBER(SEARCH(","&amp;TRIM(TEXTSPLIT(HO155,","))&amp;",",","&amp;SUBSTITUTE(input_story_categories," ","")&amp;",")))&gt;0)),IF(HQ155="",TRUE,IF(input_story_categories="",FALSE,SUMPRODUCT(--ISNUMBER(SEARCH(","&amp;TRIM(TEXTSPLIT(HQ155,","))&amp;",",","&amp;SUBSTITUTE(input_story_categories," ","")&amp;",")))=COUNTA(TEXTSPLIT(HQ155,",")))),IF(HS155="",TRUE,IF(input_story_categories="",TRUE,SUMPRODUCT(--ISNUMBER(SEARCH(","&amp;TRIM(TEXTSPLIT(HS155,","))&amp;",",","&amp;SUBSTITUTE(input_story_categories," ","")&amp;",")))=0)),IF(HU155="",TRUE,IF(input_story_categories="",FALSE,SUMPRODUCT(--ISNUMBER(SEARCH(","&amp;TRIM(TEXTSPLIT(HU155,","))&amp;",",","&amp;SUBSTITUTE(input_story_categories," ","")&amp;",")))&gt;0)),IF(HW155="",TRUE,IF(input_story_categories="",FALSE,SUMPRODUCT(--ISNUMBER(SEARCH(","&amp;TRIM(TEXTSPLIT(HW155,","))&amp;",",","&amp;SUBSTITUTE(input_story_categories," ","")&amp;",")))=COUNTA(TEXTSPLIT(HW155,",")))))</f>
        <v/>
      </c>
      <c r="JP155">
        <f>AND(IF(HY155="",TRUE,IF(input_story_type="",FALSE,SUMPRODUCT(--ISNUMBER(SEARCH(","&amp;TRIM(TEXTSPLIT(HY155,","))&amp;",",","&amp;SUBSTITUTE(input_story_type," ","")&amp;",")))&gt;0)),IF(IA155="",TRUE,IF(input_story_type="",FALSE,SUMPRODUCT(--ISNUMBER(SEARCH(","&amp;TRIM(TEXTSPLIT(IA155,","))&amp;",",","&amp;SUBSTITUTE(input_story_type," ","")&amp;",")))=COUNTA(TEXTSPLIT(IA155,",")))),IF(IC155="",TRUE,IF(input_story_type="",TRUE,SUMPRODUCT(--ISNUMBER(SEARCH(","&amp;TRIM(TEXTSPLIT(IC155,","))&amp;",",","&amp;SUBSTITUTE(input_story_type," ","")&amp;",")))=0)),IF(IE155="",TRUE,IF(input_story_type="",FALSE,SUMPRODUCT(--ISNUMBER(SEARCH(","&amp;TRIM(TEXTSPLIT(IE155,","))&amp;",",","&amp;SUBSTITUTE(input_story_type," ","")&amp;",")))&gt;0)),IF(IG155="",TRUE,IF(input_story_type="",FALSE,SUMPRODUCT(--ISNUMBER(SEARCH(","&amp;TRIM(TEXTSPLIT(IG155,","))&amp;",",","&amp;SUBSTITUTE(input_story_type," ","")&amp;",")))=COUNTA(TEXTSPLIT(IG155,",")))))</f>
        <v/>
      </c>
      <c r="JQ155">
        <f>AND(IF(II155="",TRUE,IF(input_topics="",FALSE,SUMPRODUCT(--ISNUMBER(SEARCH(","&amp;TRIM(TEXTSPLIT(II155,","))&amp;",",","&amp;SUBSTITUTE(input_topics," ","")&amp;",")))&gt;0)),IF(IK155="",TRUE,IF(input_topics="",FALSE,SUMPRODUCT(--ISNUMBER(SEARCH(","&amp;TRIM(TEXTSPLIT(IK155,","))&amp;",",","&amp;SUBSTITUTE(input_topics," ","")&amp;",")))=COUNTA(TEXTSPLIT(IK155,",")))),IF(IM155="",TRUE,IF(input_topics="",TRUE,SUMPRODUCT(--ISNUMBER(SEARCH(","&amp;TRIM(TEXTSPLIT(IM155,","))&amp;",",","&amp;SUBSTITUTE(input_topics," ","")&amp;",")))=0)),IF(IO155="",TRUE,IF(input_topics="",FALSE,SUMPRODUCT(--ISNUMBER(SEARCH(","&amp;TRIM(TEXTSPLIT(IO155,","))&amp;",",","&amp;SUBSTITUTE(input_topics," ","")&amp;",")))&gt;0)),IF(IQ155="",TRUE,IF(input_topics="",FALSE,SUMPRODUCT(--ISNUMBER(SEARCH(","&amp;TRIM(TEXTSPLIT(IQ155,","))&amp;",",","&amp;SUBSTITUTE(input_topics," ","")&amp;",")))=COUNTA(TEXTSPLIT(IQ155,",")))))</f>
        <v/>
      </c>
    </row>
    <row r="156">
      <c r="A156" s="4">
        <f>IF(NOT(IS156),"Excluded",IF(AND(IT156,IU156,IV156,IW156,IX156,IY156,IZ156,JA156,JB156,JC156,JD156,JE156,JF156,JG156,JH156,JI156,JJ156,JK156,JL156,JM156,JN156,JO156,JP156,JQ156),IF(I156&gt;0,"Eligible but limited","Will appear"),"Excluded"))</f>
        <v/>
      </c>
      <c r="B156" s="4" t="inlineStr">
        <is>
          <t>Recruiting Journeys</t>
        </is>
      </c>
      <c r="C156" s="4" t="inlineStr">
        <is>
          <t>/about/headlines/all-headlines/recruiting-journeys</t>
        </is>
      </c>
      <c r="D156" s="4" t="inlineStr">
        <is>
          <t>/about/headlines/all-headlines/recruiting-journeys</t>
        </is>
      </c>
      <c r="E156" s="4" t="n">
        <v>1</v>
      </c>
      <c r="F156" s="4" t="inlineStr">
        <is>
          <t>story</t>
        </is>
      </c>
      <c r="G156" s="4" t="inlineStr">
        <is>
          <t>stories_list</t>
        </is>
      </c>
      <c r="H156" s="4" t="inlineStr">
        <is>
          <t>embed_1</t>
        </is>
      </c>
      <c r="I156" s="4" t="n">
        <v>10</v>
      </c>
      <c r="J156" s="4" t="inlineStr">
        <is>
          <t>Explicit args</t>
        </is>
      </c>
      <c r="K156" s="4" t="inlineStr">
        <is>
          <t>Page placement</t>
        </is>
      </c>
      <c r="L156" s="4" t="inlineStr">
        <is>
          <t>Content type: story; Context uses Courses Context: Recruiting Journeys (1566); Limited to 10 item(s); Source: Explicit args</t>
        </is>
      </c>
      <c r="M156" t="inlineStr"/>
      <c r="N156" t="inlineStr"/>
      <c r="O156" t="inlineStr"/>
      <c r="P156" t="inlineStr"/>
      <c r="Q156" t="inlineStr"/>
      <c r="R156" t="inlineStr"/>
      <c r="S156" t="inlineStr"/>
      <c r="T156" t="inlineStr"/>
      <c r="U156" t="inlineStr"/>
      <c r="V156" t="inlineStr"/>
      <c r="W156" t="inlineStr"/>
      <c r="X156" t="inlineStr"/>
      <c r="Y156" t="inlineStr"/>
      <c r="Z156" t="inlineStr"/>
      <c r="AA156" t="inlineStr"/>
      <c r="AB156" t="inlineStr"/>
      <c r="AC156" t="inlineStr"/>
      <c r="AD156" t="inlineStr"/>
      <c r="AE156" t="inlineStr"/>
      <c r="AF156" t="inlineStr"/>
      <c r="AG156" t="inlineStr"/>
      <c r="AH156" t="inlineStr"/>
      <c r="AI156" t="inlineStr"/>
      <c r="AJ156" t="inlineStr"/>
      <c r="AK156" t="inlineStr"/>
      <c r="AL156" t="inlineStr"/>
      <c r="AM156" t="inlineStr"/>
      <c r="AN156" t="inlineStr"/>
      <c r="AO156" t="inlineStr"/>
      <c r="AP156" t="inlineStr"/>
      <c r="AQ156" t="inlineStr"/>
      <c r="AR156" t="inlineStr"/>
      <c r="AS156" t="inlineStr"/>
      <c r="AT156" t="inlineStr"/>
      <c r="AU156" t="inlineStr"/>
      <c r="AV156" t="inlineStr"/>
      <c r="AW156" t="inlineStr"/>
      <c r="AX156" t="inlineStr"/>
      <c r="AY156" t="inlineStr"/>
      <c r="AZ156" t="inlineStr"/>
      <c r="BA156" t="inlineStr"/>
      <c r="BB156" t="inlineStr"/>
      <c r="BC156" t="inlineStr"/>
      <c r="BD156" t="inlineStr"/>
      <c r="BE156" t="inlineStr"/>
      <c r="BF156" t="inlineStr"/>
      <c r="BG156" t="inlineStr"/>
      <c r="BH156" t="inlineStr"/>
      <c r="BI156" t="inlineStr"/>
      <c r="BJ156" t="inlineStr"/>
      <c r="BK156" t="inlineStr"/>
      <c r="BL156" t="inlineStr"/>
      <c r="BM156" t="inlineStr"/>
      <c r="BN156" t="inlineStr"/>
      <c r="BO156" t="inlineStr"/>
      <c r="BP156" t="inlineStr"/>
      <c r="BQ156" t="inlineStr">
        <is>
          <t>1566</t>
        </is>
      </c>
      <c r="BR156" t="inlineStr">
        <is>
          <t>Recruiting Journeys (1566)</t>
        </is>
      </c>
      <c r="BS156" t="inlineStr"/>
      <c r="BT156" t="inlineStr"/>
      <c r="BU156" t="inlineStr"/>
      <c r="BV156" t="inlineStr"/>
      <c r="BW156" t="inlineStr"/>
      <c r="BX156" t="inlineStr"/>
      <c r="BY156" t="inlineStr"/>
      <c r="BZ156" t="inlineStr"/>
      <c r="CA156" t="inlineStr"/>
      <c r="CB156" t="inlineStr"/>
      <c r="CC156" t="inlineStr"/>
      <c r="CD156" t="inlineStr"/>
      <c r="CE156" t="inlineStr"/>
      <c r="CF156" t="inlineStr"/>
      <c r="CG156" t="inlineStr"/>
      <c r="CH156" t="inlineStr"/>
      <c r="CI156" t="inlineStr"/>
      <c r="CJ156" t="inlineStr"/>
      <c r="CK156" t="inlineStr"/>
      <c r="CL156" t="inlineStr"/>
      <c r="CM156" t="inlineStr"/>
      <c r="CN156" t="inlineStr"/>
      <c r="CO156" t="inlineStr"/>
      <c r="CP156" t="inlineStr"/>
      <c r="CQ156" t="inlineStr"/>
      <c r="CR156" t="inlineStr"/>
      <c r="CS156" t="inlineStr"/>
      <c r="CT156" t="inlineStr"/>
      <c r="CU156" t="inlineStr"/>
      <c r="CV156" t="inlineStr"/>
      <c r="CW156" t="inlineStr"/>
      <c r="CX156" t="inlineStr"/>
      <c r="CY156" t="inlineStr"/>
      <c r="CZ156" t="inlineStr"/>
      <c r="DA156" t="inlineStr"/>
      <c r="DB156" t="inlineStr"/>
      <c r="DC156" t="inlineStr"/>
      <c r="DD156" t="inlineStr"/>
      <c r="DE156" t="inlineStr"/>
      <c r="DF156" t="inlineStr"/>
      <c r="DG156" t="inlineStr"/>
      <c r="DH156" t="inlineStr"/>
      <c r="DI156" t="inlineStr"/>
      <c r="DJ156" t="inlineStr"/>
      <c r="DK156" t="inlineStr"/>
      <c r="DL156" t="inlineStr"/>
      <c r="DM156" t="inlineStr"/>
      <c r="DN156" t="inlineStr"/>
      <c r="DO156" t="inlineStr"/>
      <c r="DP156" t="inlineStr"/>
      <c r="DQ156" t="inlineStr"/>
      <c r="DR156" t="inlineStr"/>
      <c r="DS156" t="inlineStr"/>
      <c r="DT156" t="inlineStr"/>
      <c r="DU156" t="inlineStr"/>
      <c r="DV156" t="inlineStr"/>
      <c r="DW156" t="inlineStr"/>
      <c r="DX156" t="inlineStr"/>
      <c r="DY156" t="inlineStr"/>
      <c r="DZ156" t="inlineStr"/>
      <c r="EA156" t="inlineStr"/>
      <c r="EB156" t="inlineStr"/>
      <c r="EC156" t="inlineStr"/>
      <c r="ED156" t="inlineStr"/>
      <c r="EE156" t="inlineStr"/>
      <c r="EF156" t="inlineStr"/>
      <c r="EG156" t="inlineStr"/>
      <c r="EH156" t="inlineStr"/>
      <c r="EI156" t="inlineStr"/>
      <c r="EJ156" t="inlineStr"/>
      <c r="EK156" t="inlineStr"/>
      <c r="EL156" t="inlineStr"/>
      <c r="EM156" t="inlineStr"/>
      <c r="EN156" t="inlineStr"/>
      <c r="EO156" t="inlineStr"/>
      <c r="EP156" t="inlineStr"/>
      <c r="EQ156" t="inlineStr"/>
      <c r="ER156" t="inlineStr"/>
      <c r="ES156" t="inlineStr"/>
      <c r="ET156" t="inlineStr"/>
      <c r="EU156" t="inlineStr"/>
      <c r="EV156" t="inlineStr"/>
      <c r="EW156" t="inlineStr"/>
      <c r="EX156" t="inlineStr"/>
      <c r="EY156" t="inlineStr"/>
      <c r="EZ156" t="inlineStr"/>
      <c r="FA156" t="inlineStr"/>
      <c r="FB156" t="inlineStr"/>
      <c r="FC156" t="inlineStr"/>
      <c r="FD156" t="inlineStr"/>
      <c r="FE156" t="inlineStr"/>
      <c r="FF156" t="inlineStr"/>
      <c r="FG156" t="inlineStr"/>
      <c r="FH156" t="inlineStr"/>
      <c r="FI156" t="inlineStr"/>
      <c r="FJ156" t="inlineStr"/>
      <c r="FK156" t="inlineStr"/>
      <c r="FL156" t="inlineStr"/>
      <c r="FM156" t="inlineStr"/>
      <c r="FN156" t="inlineStr"/>
      <c r="FO156" t="inlineStr"/>
      <c r="FP156" t="inlineStr"/>
      <c r="FQ156" t="inlineStr"/>
      <c r="FR156" t="inlineStr"/>
      <c r="FS156" t="inlineStr"/>
      <c r="FT156" t="inlineStr"/>
      <c r="FU156" t="inlineStr"/>
      <c r="FV156" t="inlineStr"/>
      <c r="FW156" t="inlineStr"/>
      <c r="FX156" t="inlineStr"/>
      <c r="FY156" t="inlineStr"/>
      <c r="FZ156" t="inlineStr"/>
      <c r="GA156" t="inlineStr"/>
      <c r="GB156" t="inlineStr"/>
      <c r="GC156" t="inlineStr"/>
      <c r="GD156" t="inlineStr"/>
      <c r="GE156" t="inlineStr"/>
      <c r="GF156" t="inlineStr"/>
      <c r="GG156" t="inlineStr"/>
      <c r="GH156" t="inlineStr"/>
      <c r="GI156" t="inlineStr"/>
      <c r="GJ156" t="inlineStr"/>
      <c r="GK156" t="inlineStr"/>
      <c r="GL156" t="inlineStr"/>
      <c r="GM156" t="inlineStr"/>
      <c r="GN156" t="inlineStr"/>
      <c r="GO156" t="inlineStr"/>
      <c r="GP156" t="inlineStr"/>
      <c r="GQ156" t="inlineStr"/>
      <c r="GR156" t="inlineStr"/>
      <c r="GS156" t="inlineStr"/>
      <c r="GT156" t="inlineStr"/>
      <c r="GU156" t="inlineStr"/>
      <c r="GV156" t="inlineStr"/>
      <c r="GW156" t="inlineStr"/>
      <c r="GX156" t="inlineStr"/>
      <c r="GY156" t="inlineStr"/>
      <c r="GZ156" t="inlineStr"/>
      <c r="HA156" t="inlineStr"/>
      <c r="HB156" t="inlineStr"/>
      <c r="HC156" t="inlineStr"/>
      <c r="HD156" t="inlineStr"/>
      <c r="HE156" t="inlineStr"/>
      <c r="HF156" t="inlineStr"/>
      <c r="HG156" t="inlineStr"/>
      <c r="HH156" t="inlineStr"/>
      <c r="HI156" t="inlineStr"/>
      <c r="HJ156" t="inlineStr"/>
      <c r="HK156" t="inlineStr"/>
      <c r="HL156" t="inlineStr"/>
      <c r="HM156" t="inlineStr"/>
      <c r="HN156" t="inlineStr"/>
      <c r="HO156" t="inlineStr"/>
      <c r="HP156" t="inlineStr"/>
      <c r="HQ156" t="inlineStr"/>
      <c r="HR156" t="inlineStr"/>
      <c r="HS156" t="inlineStr"/>
      <c r="HT156" t="inlineStr"/>
      <c r="HU156" t="inlineStr"/>
      <c r="HV156" t="inlineStr"/>
      <c r="HW156" t="inlineStr"/>
      <c r="HX156" t="inlineStr"/>
      <c r="HY156" t="inlineStr"/>
      <c r="HZ156" t="inlineStr"/>
      <c r="IA156" t="inlineStr"/>
      <c r="IB156" t="inlineStr"/>
      <c r="IC156" t="inlineStr"/>
      <c r="ID156" t="inlineStr"/>
      <c r="IE156" t="inlineStr"/>
      <c r="IF156" t="inlineStr"/>
      <c r="IG156" t="inlineStr"/>
      <c r="IH156" t="inlineStr"/>
      <c r="II156" t="inlineStr"/>
      <c r="IJ156" t="inlineStr"/>
      <c r="IK156" t="inlineStr"/>
      <c r="IL156" t="inlineStr"/>
      <c r="IM156" t="inlineStr"/>
      <c r="IN156" t="inlineStr"/>
      <c r="IO156" t="inlineStr"/>
      <c r="IP156" t="inlineStr"/>
      <c r="IQ156" t="inlineStr"/>
      <c r="IR156" t="inlineStr"/>
      <c r="IS156">
        <f>IF(input_content_type="",FALSE,ISNUMBER(SEARCH(","&amp;LOWER(input_content_type)&amp;",",","&amp;LOWER(F156)&amp;",")))</f>
        <v/>
      </c>
      <c r="IT156">
        <f>AND(IF(M156="",TRUE,IF(input_affiliations="",FALSE,SUMPRODUCT(--ISNUMBER(SEARCH(","&amp;TRIM(TEXTSPLIT(M156,","))&amp;",",","&amp;SUBSTITUTE(input_affiliations," ","")&amp;",")))&gt;0)),IF(O156="",TRUE,IF(input_affiliations="",FALSE,SUMPRODUCT(--ISNUMBER(SEARCH(","&amp;TRIM(TEXTSPLIT(O156,","))&amp;",",","&amp;SUBSTITUTE(input_affiliations," ","")&amp;",")))=COUNTA(TEXTSPLIT(O156,",")))),IF(Q156="",TRUE,IF(input_affiliations="",TRUE,SUMPRODUCT(--ISNUMBER(SEARCH(","&amp;TRIM(TEXTSPLIT(Q156,","))&amp;",",","&amp;SUBSTITUTE(input_affiliations," ","")&amp;",")))=0)),IF(S156="",TRUE,IF(input_affiliations="",FALSE,SUMPRODUCT(--ISNUMBER(SEARCH(","&amp;TRIM(TEXTSPLIT(S156,","))&amp;",",","&amp;SUBSTITUTE(input_affiliations," ","")&amp;",")))&gt;0)),IF(U156="",TRUE,IF(input_affiliations="",FALSE,SUMPRODUCT(--ISNUMBER(SEARCH(","&amp;TRIM(TEXTSPLIT(U156,","))&amp;",",","&amp;SUBSTITUTE(input_affiliations," ","")&amp;",")))=COUNTA(TEXTSPLIT(U156,",")))))</f>
        <v/>
      </c>
      <c r="IU156">
        <f>AND(IF(W156="",TRUE,IF(input_announcement_category="",FALSE,SUMPRODUCT(--ISNUMBER(SEARCH(","&amp;TRIM(TEXTSPLIT(W156,","))&amp;",",","&amp;SUBSTITUTE(input_announcement_category," ","")&amp;",")))&gt;0)),IF(Y156="",TRUE,IF(input_announcement_category="",FALSE,SUMPRODUCT(--ISNUMBER(SEARCH(","&amp;TRIM(TEXTSPLIT(Y156,","))&amp;",",","&amp;SUBSTITUTE(input_announcement_category," ","")&amp;",")))=COUNTA(TEXTSPLIT(Y156,",")))),IF(AA156="",TRUE,IF(input_announcement_category="",TRUE,SUMPRODUCT(--ISNUMBER(SEARCH(","&amp;TRIM(TEXTSPLIT(AA156,","))&amp;",",","&amp;SUBSTITUTE(input_announcement_category," ","")&amp;",")))=0)),IF(AC156="",TRUE,IF(input_announcement_category="",FALSE,SUMPRODUCT(--ISNUMBER(SEARCH(","&amp;TRIM(TEXTSPLIT(AC156,","))&amp;",",","&amp;SUBSTITUTE(input_announcement_category," ","")&amp;",")))&gt;0)),IF(AE156="",TRUE,IF(input_announcement_category="",FALSE,SUMPRODUCT(--ISNUMBER(SEARCH(","&amp;TRIM(TEXTSPLIT(AE156,","))&amp;",",","&amp;SUBSTITUTE(input_announcement_category," ","")&amp;",")))=COUNTA(TEXTSPLIT(AE156,",")))))</f>
        <v/>
      </c>
      <c r="IV156">
        <f>AND(IF(AG156="",TRUE,IF(input_area_of_focus="",FALSE,SUMPRODUCT(--ISNUMBER(SEARCH(","&amp;TRIM(TEXTSPLIT(AG156,","))&amp;",",","&amp;SUBSTITUTE(input_area_of_focus," ","")&amp;",")))&gt;0)),IF(AI156="",TRUE,IF(input_area_of_focus="",FALSE,SUMPRODUCT(--ISNUMBER(SEARCH(","&amp;TRIM(TEXTSPLIT(AI156,","))&amp;",",","&amp;SUBSTITUTE(input_area_of_focus," ","")&amp;",")))=COUNTA(TEXTSPLIT(AI156,",")))),IF(AK156="",TRUE,IF(input_area_of_focus="",TRUE,SUMPRODUCT(--ISNUMBER(SEARCH(","&amp;TRIM(TEXTSPLIT(AK156,","))&amp;",",","&amp;SUBSTITUTE(input_area_of_focus," ","")&amp;",")))=0)),IF(AM156="",TRUE,IF(input_area_of_focus="",FALSE,SUMPRODUCT(--ISNUMBER(SEARCH(","&amp;TRIM(TEXTSPLIT(AM156,","))&amp;",",","&amp;SUBSTITUTE(input_area_of_focus," ","")&amp;",")))&gt;0)),IF(AO156="",TRUE,IF(input_area_of_focus="",FALSE,SUMPRODUCT(--ISNUMBER(SEARCH(","&amp;TRIM(TEXTSPLIT(AO156,","))&amp;",",","&amp;SUBSTITUTE(input_area_of_focus," ","")&amp;",")))=COUNTA(TEXTSPLIT(AO156,",")))))</f>
        <v/>
      </c>
      <c r="IW156">
        <f>AND(IF(AQ156="",TRUE,IF(input_audience="",FALSE,SUMPRODUCT(--ISNUMBER(SEARCH(","&amp;TRIM(TEXTSPLIT(AQ156,","))&amp;",",","&amp;SUBSTITUTE(input_audience," ","")&amp;",")))&gt;0)),IF(AS156="",TRUE,IF(input_audience="",FALSE,SUMPRODUCT(--ISNUMBER(SEARCH(","&amp;TRIM(TEXTSPLIT(AS156,","))&amp;",",","&amp;SUBSTITUTE(input_audience," ","")&amp;",")))=COUNTA(TEXTSPLIT(AS156,",")))),IF(AU156="",TRUE,IF(input_audience="",TRUE,SUMPRODUCT(--ISNUMBER(SEARCH(","&amp;TRIM(TEXTSPLIT(AU156,","))&amp;",",","&amp;SUBSTITUTE(input_audience," ","")&amp;",")))=0)),IF(AW156="",TRUE,IF(input_audience="",FALSE,SUMPRODUCT(--ISNUMBER(SEARCH(","&amp;TRIM(TEXTSPLIT(AW156,","))&amp;",",","&amp;SUBSTITUTE(input_audience," ","")&amp;",")))&gt;0)),IF(AY156="",TRUE,IF(input_audience="",FALSE,SUMPRODUCT(--ISNUMBER(SEARCH(","&amp;TRIM(TEXTSPLIT(AY156,","))&amp;",",","&amp;SUBSTITUTE(input_audience," ","")&amp;",")))=COUNTA(TEXTSPLIT(AY156,",")))))</f>
        <v/>
      </c>
      <c r="IX156">
        <f>AND(IF(BA156="",TRUE,IF(input_challenge_opportunities="",FALSE,SUMPRODUCT(--ISNUMBER(SEARCH(","&amp;TRIM(TEXTSPLIT(BA156,","))&amp;",",","&amp;SUBSTITUTE(input_challenge_opportunities," ","")&amp;",")))&gt;0)),IF(BC156="",TRUE,IF(input_challenge_opportunities="",FALSE,SUMPRODUCT(--ISNUMBER(SEARCH(","&amp;TRIM(TEXTSPLIT(BC156,","))&amp;",",","&amp;SUBSTITUTE(input_challenge_opportunities," ","")&amp;",")))=COUNTA(TEXTSPLIT(BC156,",")))),IF(BE156="",TRUE,IF(input_challenge_opportunities="",TRUE,SUMPRODUCT(--ISNUMBER(SEARCH(","&amp;TRIM(TEXTSPLIT(BE156,","))&amp;",",","&amp;SUBSTITUTE(input_challenge_opportunities," ","")&amp;",")))=0)),IF(BG156="",TRUE,IF(input_challenge_opportunities="",FALSE,SUMPRODUCT(--ISNUMBER(SEARCH(","&amp;TRIM(TEXTSPLIT(BG156,","))&amp;",",","&amp;SUBSTITUTE(input_challenge_opportunities," ","")&amp;",")))&gt;0)),IF(BI156="",TRUE,IF(input_challenge_opportunities="",FALSE,SUMPRODUCT(--ISNUMBER(SEARCH(","&amp;TRIM(TEXTSPLIT(BI156,","))&amp;",",","&amp;SUBSTITUTE(input_challenge_opportunities," ","")&amp;",")))=COUNTA(TEXTSPLIT(BI156,",")))))</f>
        <v/>
      </c>
      <c r="IY156">
        <f>AND(IF(BK156="",TRUE,IF(input_context="",FALSE,SUMPRODUCT(--ISNUMBER(SEARCH(","&amp;TRIM(TEXTSPLIT(BK156,","))&amp;",",","&amp;SUBSTITUTE(input_context," ","")&amp;",")))&gt;0)),IF(BM156="",TRUE,IF(input_context="",FALSE,SUMPRODUCT(--ISNUMBER(SEARCH(","&amp;TRIM(TEXTSPLIT(BM156,","))&amp;",",","&amp;SUBSTITUTE(input_context," ","")&amp;",")))=COUNTA(TEXTSPLIT(BM156,",")))),IF(BO156="",TRUE,IF(input_context="",TRUE,SUMPRODUCT(--ISNUMBER(SEARCH(","&amp;TRIM(TEXTSPLIT(BO156,","))&amp;",",","&amp;SUBSTITUTE(input_context," ","")&amp;",")))=0)),IF(BQ156="",TRUE,IF(input_context="",FALSE,SUMPRODUCT(--ISNUMBER(SEARCH(","&amp;TRIM(TEXTSPLIT(BQ156,","))&amp;",",","&amp;SUBSTITUTE(input_context," ","")&amp;",")))&gt;0)),IF(BS156="",TRUE,IF(input_context="",FALSE,SUMPRODUCT(--ISNUMBER(SEARCH(","&amp;TRIM(TEXTSPLIT(BS156,","))&amp;",",","&amp;SUBSTITUTE(input_context," ","")&amp;",")))=COUNTA(TEXTSPLIT(BS156,",")))))</f>
        <v/>
      </c>
      <c r="IZ156">
        <f>AND(IF(BU156="",TRUE,IF(input_enews_announcement_type="",FALSE,SUMPRODUCT(--ISNUMBER(SEARCH(","&amp;TRIM(TEXTSPLIT(BU156,","))&amp;",",","&amp;SUBSTITUTE(input_enews_announcement_type," ","")&amp;",")))&gt;0)),IF(BW156="",TRUE,IF(input_enews_announcement_type="",FALSE,SUMPRODUCT(--ISNUMBER(SEARCH(","&amp;TRIM(TEXTSPLIT(BW156,","))&amp;",",","&amp;SUBSTITUTE(input_enews_announcement_type," ","")&amp;",")))=COUNTA(TEXTSPLIT(BW156,",")))),IF(BY156="",TRUE,IF(input_enews_announcement_type="",TRUE,SUMPRODUCT(--ISNUMBER(SEARCH(","&amp;TRIM(TEXTSPLIT(BY156,","))&amp;",",","&amp;SUBSTITUTE(input_enews_announcement_type," ","")&amp;",")))=0)),IF(CA156="",TRUE,IF(input_enews_announcement_type="",FALSE,SUMPRODUCT(--ISNUMBER(SEARCH(","&amp;TRIM(TEXTSPLIT(CA156,","))&amp;",",","&amp;SUBSTITUTE(input_enews_announcement_type," ","")&amp;",")))&gt;0)),IF(CC156="",TRUE,IF(input_enews_announcement_type="",FALSE,SUMPRODUCT(--ISNUMBER(SEARCH(","&amp;TRIM(TEXTSPLIT(CC156,","))&amp;",",","&amp;SUBSTITUTE(input_enews_announcement_type," ","")&amp;",")))=COUNTA(TEXTSPLIT(CC156,",")))))</f>
        <v/>
      </c>
      <c r="JA156">
        <f>AND(IF(CE156="",TRUE,IF(input_enews_audience="",FALSE,SUMPRODUCT(--ISNUMBER(SEARCH(","&amp;TRIM(TEXTSPLIT(CE156,","))&amp;",",","&amp;SUBSTITUTE(input_enews_audience," ","")&amp;",")))&gt;0)),IF(CG156="",TRUE,IF(input_enews_audience="",FALSE,SUMPRODUCT(--ISNUMBER(SEARCH(","&amp;TRIM(TEXTSPLIT(CG156,","))&amp;",",","&amp;SUBSTITUTE(input_enews_audience," ","")&amp;",")))=COUNTA(TEXTSPLIT(CG156,",")))),IF(CI156="",TRUE,IF(input_enews_audience="",TRUE,SUMPRODUCT(--ISNUMBER(SEARCH(","&amp;TRIM(TEXTSPLIT(CI156,","))&amp;",",","&amp;SUBSTITUTE(input_enews_audience," ","")&amp;",")))=0)),IF(CK156="",TRUE,IF(input_enews_audience="",FALSE,SUMPRODUCT(--ISNUMBER(SEARCH(","&amp;TRIM(TEXTSPLIT(CK156,","))&amp;",",","&amp;SUBSTITUTE(input_enews_audience," ","")&amp;",")))&gt;0)),IF(CM156="",TRUE,IF(input_enews_audience="",FALSE,SUMPRODUCT(--ISNUMBER(SEARCH(","&amp;TRIM(TEXTSPLIT(CM156,","))&amp;",",","&amp;SUBSTITUTE(input_enews_audience," ","")&amp;",")))=COUNTA(TEXTSPLIT(CM156,",")))))</f>
        <v/>
      </c>
      <c r="JB156">
        <f>AND(IF(CO156="",TRUE,IF(input_event_location="",FALSE,SUMPRODUCT(--ISNUMBER(SEARCH(","&amp;TRIM(TEXTSPLIT(CO156,","))&amp;",",","&amp;SUBSTITUTE(input_event_location," ","")&amp;",")))&gt;0)),IF(CQ156="",TRUE,IF(input_event_location="",FALSE,SUMPRODUCT(--ISNUMBER(SEARCH(","&amp;TRIM(TEXTSPLIT(CQ156,","))&amp;",",","&amp;SUBSTITUTE(input_event_location," ","")&amp;",")))=COUNTA(TEXTSPLIT(CQ156,",")))),IF(CS156="",TRUE,IF(input_event_location="",TRUE,SUMPRODUCT(--ISNUMBER(SEARCH(","&amp;TRIM(TEXTSPLIT(CS156,","))&amp;",",","&amp;SUBSTITUTE(input_event_location," ","")&amp;",")))=0)),IF(CU156="",TRUE,IF(input_event_location="",FALSE,SUMPRODUCT(--ISNUMBER(SEARCH(","&amp;TRIM(TEXTSPLIT(CU156,","))&amp;",",","&amp;SUBSTITUTE(input_event_location," ","")&amp;",")))&gt;0)),IF(CW156="",TRUE,IF(input_event_location="",FALSE,SUMPRODUCT(--ISNUMBER(SEARCH(","&amp;TRIM(TEXTSPLIT(CW156,","))&amp;",",","&amp;SUBSTITUTE(input_event_location," ","")&amp;",")))=COUNTA(TEXTSPLIT(CW156,",")))))</f>
        <v/>
      </c>
      <c r="JC156">
        <f>AND(IF(CY156="",TRUE,IF(input_event_type="",FALSE,SUMPRODUCT(--ISNUMBER(SEARCH(","&amp;TRIM(TEXTSPLIT(CY156,","))&amp;",",","&amp;SUBSTITUTE(input_event_type," ","")&amp;",")))&gt;0)),IF(DA156="",TRUE,IF(input_event_type="",FALSE,SUMPRODUCT(--ISNUMBER(SEARCH(","&amp;TRIM(TEXTSPLIT(DA156,","))&amp;",",","&amp;SUBSTITUTE(input_event_type," ","")&amp;",")))=COUNTA(TEXTSPLIT(DA156,",")))),IF(DC156="",TRUE,IF(input_event_type="",TRUE,SUMPRODUCT(--ISNUMBER(SEARCH(","&amp;TRIM(TEXTSPLIT(DC156,","))&amp;",",","&amp;SUBSTITUTE(input_event_type," ","")&amp;",")))=0)),IF(DE156="",TRUE,IF(input_event_type="",FALSE,SUMPRODUCT(--ISNUMBER(SEARCH(","&amp;TRIM(TEXTSPLIT(DE156,","))&amp;",",","&amp;SUBSTITUTE(input_event_type," ","")&amp;",")))&gt;0)),IF(DG156="",TRUE,IF(input_event_type="",FALSE,SUMPRODUCT(--ISNUMBER(SEARCH(","&amp;TRIM(TEXTSPLIT(DG156,","))&amp;",",","&amp;SUBSTITUTE(input_event_type," ","")&amp;",")))=COUNTA(TEXTSPLIT(DG156,",")))))</f>
        <v/>
      </c>
      <c r="JD156">
        <f>AND(IF(DI156="",TRUE,IF(input_executive_education_focus="",FALSE,SUMPRODUCT(--ISNUMBER(SEARCH(","&amp;TRIM(TEXTSPLIT(DI156,","))&amp;",",","&amp;SUBSTITUTE(input_executive_education_focus," ","")&amp;",")))&gt;0)),IF(DK156="",TRUE,IF(input_executive_education_focus="",FALSE,SUMPRODUCT(--ISNUMBER(SEARCH(","&amp;TRIM(TEXTSPLIT(DK156,","))&amp;",",","&amp;SUBSTITUTE(input_executive_education_focus," ","")&amp;",")))=COUNTA(TEXTSPLIT(DK156,",")))),IF(DM156="",TRUE,IF(input_executive_education_focus="",TRUE,SUMPRODUCT(--ISNUMBER(SEARCH(","&amp;TRIM(TEXTSPLIT(DM156,","))&amp;",",","&amp;SUBSTITUTE(input_executive_education_focus," ","")&amp;",")))=0)),IF(DO156="",TRUE,IF(input_executive_education_focus="",FALSE,SUMPRODUCT(--ISNUMBER(SEARCH(","&amp;TRIM(TEXTSPLIT(DO156,","))&amp;",",","&amp;SUBSTITUTE(input_executive_education_focus," ","")&amp;",")))&gt;0)),IF(DQ156="",TRUE,IF(input_executive_education_focus="",FALSE,SUMPRODUCT(--ISNUMBER(SEARCH(","&amp;TRIM(TEXTSPLIT(DQ156,","))&amp;",",","&amp;SUBSTITUTE(input_executive_education_focus," ","")&amp;",")))=COUNTA(TEXTSPLIT(DQ156,",")))))</f>
        <v/>
      </c>
      <c r="JE156">
        <f>AND(IF(DS156="",TRUE,IF(input_faculty_category="",FALSE,SUMPRODUCT(--ISNUMBER(SEARCH(","&amp;TRIM(TEXTSPLIT(DS156,","))&amp;",",","&amp;SUBSTITUTE(input_faculty_category," ","")&amp;",")))&gt;0)),IF(DU156="",TRUE,IF(input_faculty_category="",FALSE,SUMPRODUCT(--ISNUMBER(SEARCH(","&amp;TRIM(TEXTSPLIT(DU156,","))&amp;",",","&amp;SUBSTITUTE(input_faculty_category," ","")&amp;",")))=COUNTA(TEXTSPLIT(DU156,",")))),IF(DW156="",TRUE,IF(input_faculty_category="",TRUE,SUMPRODUCT(--ISNUMBER(SEARCH(","&amp;TRIM(TEXTSPLIT(DW156,","))&amp;",",","&amp;SUBSTITUTE(input_faculty_category," ","")&amp;",")))=0)),IF(DY156="",TRUE,IF(input_faculty_category="",FALSE,SUMPRODUCT(--ISNUMBER(SEARCH(","&amp;TRIM(TEXTSPLIT(DY156,","))&amp;",",","&amp;SUBSTITUTE(input_faculty_category," ","")&amp;",")))&gt;0)),IF(EA156="",TRUE,IF(input_faculty_category="",FALSE,SUMPRODUCT(--ISNUMBER(SEARCH(","&amp;TRIM(TEXTSPLIT(EA156,","))&amp;",",","&amp;SUBSTITUTE(input_faculty_category," ","")&amp;",")))=COUNTA(TEXTSPLIT(EA156,",")))))</f>
        <v/>
      </c>
      <c r="JF156">
        <f>AND(IF(EC156="",TRUE,IF(input_faculty_discipline="",FALSE,SUMPRODUCT(--ISNUMBER(SEARCH(","&amp;TRIM(TEXTSPLIT(EC156,","))&amp;",",","&amp;SUBSTITUTE(input_faculty_discipline," ","")&amp;",")))&gt;0)),IF(EE156="",TRUE,IF(input_faculty_discipline="",FALSE,SUMPRODUCT(--ISNUMBER(SEARCH(","&amp;TRIM(TEXTSPLIT(EE156,","))&amp;",",","&amp;SUBSTITUTE(input_faculty_discipline," ","")&amp;",")))=COUNTA(TEXTSPLIT(EE156,",")))),IF(EG156="",TRUE,IF(input_faculty_discipline="",TRUE,SUMPRODUCT(--ISNUMBER(SEARCH(","&amp;TRIM(TEXTSPLIT(EG156,","))&amp;",",","&amp;SUBSTITUTE(input_faculty_discipline," ","")&amp;",")))=0)),IF(EI156="",TRUE,IF(input_faculty_discipline="",FALSE,SUMPRODUCT(--ISNUMBER(SEARCH(","&amp;TRIM(TEXTSPLIT(EI156,","))&amp;",",","&amp;SUBSTITUTE(input_faculty_discipline," ","")&amp;",")))&gt;0)),IF(EK156="",TRUE,IF(input_faculty_discipline="",FALSE,SUMPRODUCT(--ISNUMBER(SEARCH(","&amp;TRIM(TEXTSPLIT(EK156,","))&amp;",",","&amp;SUBSTITUTE(input_faculty_discipline," ","")&amp;",")))=COUNTA(TEXTSPLIT(EK156,",")))))</f>
        <v/>
      </c>
      <c r="JG156">
        <f>AND(IF(EM156="",TRUE,IF(input_faculty_expertise="",FALSE,SUMPRODUCT(--ISNUMBER(SEARCH(","&amp;TRIM(TEXTSPLIT(EM156,","))&amp;",",","&amp;SUBSTITUTE(input_faculty_expertise," ","")&amp;",")))&gt;0)),IF(EO156="",TRUE,IF(input_faculty_expertise="",FALSE,SUMPRODUCT(--ISNUMBER(SEARCH(","&amp;TRIM(TEXTSPLIT(EO156,","))&amp;",",","&amp;SUBSTITUTE(input_faculty_expertise," ","")&amp;",")))=COUNTA(TEXTSPLIT(EO156,",")))),IF(EQ156="",TRUE,IF(input_faculty_expertise="",TRUE,SUMPRODUCT(--ISNUMBER(SEARCH(","&amp;TRIM(TEXTSPLIT(EQ156,","))&amp;",",","&amp;SUBSTITUTE(input_faculty_expertise," ","")&amp;",")))=0)),IF(ES156="",TRUE,IF(input_faculty_expertise="",FALSE,SUMPRODUCT(--ISNUMBER(SEARCH(","&amp;TRIM(TEXTSPLIT(ES156,","))&amp;",",","&amp;SUBSTITUTE(input_faculty_expertise," ","")&amp;",")))&gt;0)),IF(EU156="",TRUE,IF(input_faculty_expertise="",FALSE,SUMPRODUCT(--ISNUMBER(SEARCH(","&amp;TRIM(TEXTSPLIT(EU156,","))&amp;",",","&amp;SUBSTITUTE(input_faculty_expertise," ","")&amp;",")))=COUNTA(TEXTSPLIT(EU156,",")))))</f>
        <v/>
      </c>
      <c r="JH156">
        <f>AND(IF(EW156="",TRUE,IF(input_global_network_school="",FALSE,SUMPRODUCT(--ISNUMBER(SEARCH(","&amp;TRIM(TEXTSPLIT(EW156,","))&amp;",",","&amp;SUBSTITUTE(input_global_network_school," ","")&amp;",")))&gt;0)),IF(EY156="",TRUE,IF(input_global_network_school="",FALSE,SUMPRODUCT(--ISNUMBER(SEARCH(","&amp;TRIM(TEXTSPLIT(EY156,","))&amp;",",","&amp;SUBSTITUTE(input_global_network_school," ","")&amp;",")))=COUNTA(TEXTSPLIT(EY156,",")))),IF(FA156="",TRUE,IF(input_global_network_school="",TRUE,SUMPRODUCT(--ISNUMBER(SEARCH(","&amp;TRIM(TEXTSPLIT(FA156,","))&amp;",",","&amp;SUBSTITUTE(input_global_network_school," ","")&amp;",")))=0)),IF(FC156="",TRUE,IF(input_global_network_school="",FALSE,SUMPRODUCT(--ISNUMBER(SEARCH(","&amp;TRIM(TEXTSPLIT(FC156,","))&amp;",",","&amp;SUBSTITUTE(input_global_network_school," ","")&amp;",")))&gt;0)),IF(FE156="",TRUE,IF(input_global_network_school="",FALSE,SUMPRODUCT(--ISNUMBER(SEARCH(","&amp;TRIM(TEXTSPLIT(FE156,","))&amp;",",","&amp;SUBSTITUTE(input_global_network_school," ","")&amp;",")))=COUNTA(TEXTSPLIT(FE156,",")))))</f>
        <v/>
      </c>
      <c r="JI156">
        <f>AND(IF(FG156="",TRUE,IF(input_industry="",FALSE,SUMPRODUCT(--ISNUMBER(SEARCH(","&amp;TRIM(TEXTSPLIT(FG156,","))&amp;",",","&amp;SUBSTITUTE(input_industry," ","")&amp;",")))&gt;0)),IF(FI156="",TRUE,IF(input_industry="",FALSE,SUMPRODUCT(--ISNUMBER(SEARCH(","&amp;TRIM(TEXTSPLIT(FI156,","))&amp;",",","&amp;SUBSTITUTE(input_industry," ","")&amp;",")))=COUNTA(TEXTSPLIT(FI156,",")))),IF(FK156="",TRUE,IF(input_industry="",TRUE,SUMPRODUCT(--ISNUMBER(SEARCH(","&amp;TRIM(TEXTSPLIT(FK156,","))&amp;",",","&amp;SUBSTITUTE(input_industry," ","")&amp;",")))=0)),IF(FM156="",TRUE,IF(input_industry="",FALSE,SUMPRODUCT(--ISNUMBER(SEARCH(","&amp;TRIM(TEXTSPLIT(FM156,","))&amp;",",","&amp;SUBSTITUTE(input_industry," ","")&amp;",")))&gt;0)),IF(FO156="",TRUE,IF(input_industry="",FALSE,SUMPRODUCT(--ISNUMBER(SEARCH(","&amp;TRIM(TEXTSPLIT(FO156,","))&amp;",",","&amp;SUBSTITUTE(input_industry," ","")&amp;",")))=COUNTA(TEXTSPLIT(FO156,",")))))</f>
        <v/>
      </c>
      <c r="JJ156">
        <f>AND(IF(FQ156="",TRUE,IF(input_location="",FALSE,SUMPRODUCT(--ISNUMBER(SEARCH(","&amp;TRIM(TEXTSPLIT(FQ156,","))&amp;",",","&amp;SUBSTITUTE(input_location," ","")&amp;",")))&gt;0)),IF(FS156="",TRUE,IF(input_location="",FALSE,SUMPRODUCT(--ISNUMBER(SEARCH(","&amp;TRIM(TEXTSPLIT(FS156,","))&amp;",",","&amp;SUBSTITUTE(input_location," ","")&amp;",")))=COUNTA(TEXTSPLIT(FS156,",")))),IF(FU156="",TRUE,IF(input_location="",TRUE,SUMPRODUCT(--ISNUMBER(SEARCH(","&amp;TRIM(TEXTSPLIT(FU156,","))&amp;",",","&amp;SUBSTITUTE(input_location," ","")&amp;",")))=0)),IF(FW156="",TRUE,IF(input_location="",FALSE,SUMPRODUCT(--ISNUMBER(SEARCH(","&amp;TRIM(TEXTSPLIT(FW156,","))&amp;",",","&amp;SUBSTITUTE(input_location," ","")&amp;",")))&gt;0)),IF(FY156="",TRUE,IF(input_location="",FALSE,SUMPRODUCT(--ISNUMBER(SEARCH(","&amp;TRIM(TEXTSPLIT(FY156,","))&amp;",",","&amp;SUBSTITUTE(input_location," ","")&amp;",")))=COUNTA(TEXTSPLIT(FY156,",")))))</f>
        <v/>
      </c>
      <c r="JK156">
        <f>AND(IF(GA156="",TRUE,IF(input_modality="",FALSE,SUMPRODUCT(--ISNUMBER(SEARCH(","&amp;TRIM(TEXTSPLIT(GA156,","))&amp;",",","&amp;SUBSTITUTE(input_modality," ","")&amp;",")))&gt;0)),IF(GC156="",TRUE,IF(input_modality="",FALSE,SUMPRODUCT(--ISNUMBER(SEARCH(","&amp;TRIM(TEXTSPLIT(GC156,","))&amp;",",","&amp;SUBSTITUTE(input_modality," ","")&amp;",")))=COUNTA(TEXTSPLIT(GC156,",")))),IF(GE156="",TRUE,IF(input_modality="",TRUE,SUMPRODUCT(--ISNUMBER(SEARCH(","&amp;TRIM(TEXTSPLIT(GE156,","))&amp;",",","&amp;SUBSTITUTE(input_modality," ","")&amp;",")))=0)),IF(GG156="",TRUE,IF(input_modality="",FALSE,SUMPRODUCT(--ISNUMBER(SEARCH(","&amp;TRIM(TEXTSPLIT(GG156,","))&amp;",",","&amp;SUBSTITUTE(input_modality," ","")&amp;",")))&gt;0)),IF(GI156="",TRUE,IF(input_modality="",FALSE,SUMPRODUCT(--ISNUMBER(SEARCH(","&amp;TRIM(TEXTSPLIT(GI156,","))&amp;",",","&amp;SUBSTITUTE(input_modality," ","")&amp;",")))=COUNTA(TEXTSPLIT(GI156,",")))))</f>
        <v/>
      </c>
      <c r="JL156">
        <f>AND(IF(GK156="",TRUE,IF(input_organizer="",FALSE,SUMPRODUCT(--ISNUMBER(SEARCH(","&amp;TRIM(TEXTSPLIT(GK156,","))&amp;",",","&amp;SUBSTITUTE(input_organizer," ","")&amp;",")))&gt;0)),IF(GM156="",TRUE,IF(input_organizer="",FALSE,SUMPRODUCT(--ISNUMBER(SEARCH(","&amp;TRIM(TEXTSPLIT(GM156,","))&amp;",",","&amp;SUBSTITUTE(input_organizer," ","")&amp;",")))=COUNTA(TEXTSPLIT(GM156,",")))),IF(GO156="",TRUE,IF(input_organizer="",TRUE,SUMPRODUCT(--ISNUMBER(SEARCH(","&amp;TRIM(TEXTSPLIT(GO156,","))&amp;",",","&amp;SUBSTITUTE(input_organizer," ","")&amp;",")))=0)),IF(GQ156="",TRUE,IF(input_organizer="",FALSE,SUMPRODUCT(--ISNUMBER(SEARCH(","&amp;TRIM(TEXTSPLIT(GQ156,","))&amp;",",","&amp;SUBSTITUTE(input_organizer," ","")&amp;",")))&gt;0)),IF(GS156="",TRUE,IF(input_organizer="",FALSE,SUMPRODUCT(--ISNUMBER(SEARCH(","&amp;TRIM(TEXTSPLIT(GS156,","))&amp;",",","&amp;SUBSTITUTE(input_organizer," ","")&amp;",")))=COUNTA(TEXTSPLIT(GS156,",")))))</f>
        <v/>
      </c>
      <c r="JM156">
        <f>AND(IF(GU156="",TRUE,IF(input_profile_type="",FALSE,SUMPRODUCT(--ISNUMBER(SEARCH(","&amp;TRIM(TEXTSPLIT(GU156,","))&amp;",",","&amp;SUBSTITUTE(input_profile_type," ","")&amp;",")))&gt;0)),IF(GW156="",TRUE,IF(input_profile_type="",FALSE,SUMPRODUCT(--ISNUMBER(SEARCH(","&amp;TRIM(TEXTSPLIT(GW156,","))&amp;",",","&amp;SUBSTITUTE(input_profile_type," ","")&amp;",")))=COUNTA(TEXTSPLIT(GW156,",")))),IF(GY156="",TRUE,IF(input_profile_type="",TRUE,SUMPRODUCT(--ISNUMBER(SEARCH(","&amp;TRIM(TEXTSPLIT(GY156,","))&amp;",",","&amp;SUBSTITUTE(input_profile_type," ","")&amp;",")))=0)),IF(HA156="",TRUE,IF(input_profile_type="",FALSE,SUMPRODUCT(--ISNUMBER(SEARCH(","&amp;TRIM(TEXTSPLIT(HA156,","))&amp;",",","&amp;SUBSTITUTE(input_profile_type," ","")&amp;",")))&gt;0)),IF(HC156="",TRUE,IF(input_profile_type="",FALSE,SUMPRODUCT(--ISNUMBER(SEARCH(","&amp;TRIM(TEXTSPLIT(HC156,","))&amp;",",","&amp;SUBSTITUTE(input_profile_type," ","")&amp;",")))=COUNTA(TEXTSPLIT(HC156,",")))))</f>
        <v/>
      </c>
      <c r="JN156">
        <f>AND(IF(HE156="",TRUE,IF(input_program="",FALSE,SUMPRODUCT(--ISNUMBER(SEARCH(","&amp;TRIM(TEXTSPLIT(HE156,","))&amp;",",","&amp;SUBSTITUTE(input_program," ","")&amp;",")))&gt;0)),IF(HG156="",TRUE,IF(input_program="",FALSE,SUMPRODUCT(--ISNUMBER(SEARCH(","&amp;TRIM(TEXTSPLIT(HG156,","))&amp;",",","&amp;SUBSTITUTE(input_program," ","")&amp;",")))=COUNTA(TEXTSPLIT(HG156,",")))),IF(HI156="",TRUE,IF(input_program="",TRUE,SUMPRODUCT(--ISNUMBER(SEARCH(","&amp;TRIM(TEXTSPLIT(HI156,","))&amp;",",","&amp;SUBSTITUTE(input_program," ","")&amp;",")))=0)),IF(HK156="",TRUE,IF(input_program="",FALSE,SUMPRODUCT(--ISNUMBER(SEARCH(","&amp;TRIM(TEXTSPLIT(HK156,","))&amp;",",","&amp;SUBSTITUTE(input_program," ","")&amp;",")))&gt;0)),IF(HM156="",TRUE,IF(input_program="",FALSE,SUMPRODUCT(--ISNUMBER(SEARCH(","&amp;TRIM(TEXTSPLIT(HM156,","))&amp;",",","&amp;SUBSTITUTE(input_program," ","")&amp;",")))=COUNTA(TEXTSPLIT(HM156,",")))))</f>
        <v/>
      </c>
      <c r="JO156">
        <f>AND(IF(HO156="",TRUE,IF(input_story_categories="",FALSE,SUMPRODUCT(--ISNUMBER(SEARCH(","&amp;TRIM(TEXTSPLIT(HO156,","))&amp;",",","&amp;SUBSTITUTE(input_story_categories," ","")&amp;",")))&gt;0)),IF(HQ156="",TRUE,IF(input_story_categories="",FALSE,SUMPRODUCT(--ISNUMBER(SEARCH(","&amp;TRIM(TEXTSPLIT(HQ156,","))&amp;",",","&amp;SUBSTITUTE(input_story_categories," ","")&amp;",")))=COUNTA(TEXTSPLIT(HQ156,",")))),IF(HS156="",TRUE,IF(input_story_categories="",TRUE,SUMPRODUCT(--ISNUMBER(SEARCH(","&amp;TRIM(TEXTSPLIT(HS156,","))&amp;",",","&amp;SUBSTITUTE(input_story_categories," ","")&amp;",")))=0)),IF(HU156="",TRUE,IF(input_story_categories="",FALSE,SUMPRODUCT(--ISNUMBER(SEARCH(","&amp;TRIM(TEXTSPLIT(HU156,","))&amp;",",","&amp;SUBSTITUTE(input_story_categories," ","")&amp;",")))&gt;0)),IF(HW156="",TRUE,IF(input_story_categories="",FALSE,SUMPRODUCT(--ISNUMBER(SEARCH(","&amp;TRIM(TEXTSPLIT(HW156,","))&amp;",",","&amp;SUBSTITUTE(input_story_categories," ","")&amp;",")))=COUNTA(TEXTSPLIT(HW156,",")))))</f>
        <v/>
      </c>
      <c r="JP156">
        <f>AND(IF(HY156="",TRUE,IF(input_story_type="",FALSE,SUMPRODUCT(--ISNUMBER(SEARCH(","&amp;TRIM(TEXTSPLIT(HY156,","))&amp;",",","&amp;SUBSTITUTE(input_story_type," ","")&amp;",")))&gt;0)),IF(IA156="",TRUE,IF(input_story_type="",FALSE,SUMPRODUCT(--ISNUMBER(SEARCH(","&amp;TRIM(TEXTSPLIT(IA156,","))&amp;",",","&amp;SUBSTITUTE(input_story_type," ","")&amp;",")))=COUNTA(TEXTSPLIT(IA156,",")))),IF(IC156="",TRUE,IF(input_story_type="",TRUE,SUMPRODUCT(--ISNUMBER(SEARCH(","&amp;TRIM(TEXTSPLIT(IC156,","))&amp;",",","&amp;SUBSTITUTE(input_story_type," ","")&amp;",")))=0)),IF(IE156="",TRUE,IF(input_story_type="",FALSE,SUMPRODUCT(--ISNUMBER(SEARCH(","&amp;TRIM(TEXTSPLIT(IE156,","))&amp;",",","&amp;SUBSTITUTE(input_story_type," ","")&amp;",")))&gt;0)),IF(IG156="",TRUE,IF(input_story_type="",FALSE,SUMPRODUCT(--ISNUMBER(SEARCH(","&amp;TRIM(TEXTSPLIT(IG156,","))&amp;",",","&amp;SUBSTITUTE(input_story_type," ","")&amp;",")))=COUNTA(TEXTSPLIT(IG156,",")))))</f>
        <v/>
      </c>
      <c r="JQ156">
        <f>AND(IF(II156="",TRUE,IF(input_topics="",FALSE,SUMPRODUCT(--ISNUMBER(SEARCH(","&amp;TRIM(TEXTSPLIT(II156,","))&amp;",",","&amp;SUBSTITUTE(input_topics," ","")&amp;",")))&gt;0)),IF(IK156="",TRUE,IF(input_topics="",FALSE,SUMPRODUCT(--ISNUMBER(SEARCH(","&amp;TRIM(TEXTSPLIT(IK156,","))&amp;",",","&amp;SUBSTITUTE(input_topics," ","")&amp;",")))=COUNTA(TEXTSPLIT(IK156,",")))),IF(IM156="",TRUE,IF(input_topics="",TRUE,SUMPRODUCT(--ISNUMBER(SEARCH(","&amp;TRIM(TEXTSPLIT(IM156,","))&amp;",",","&amp;SUBSTITUTE(input_topics," ","")&amp;",")))=0)),IF(IO156="",TRUE,IF(input_topics="",FALSE,SUMPRODUCT(--ISNUMBER(SEARCH(","&amp;TRIM(TEXTSPLIT(IO156,","))&amp;",",","&amp;SUBSTITUTE(input_topics," ","")&amp;",")))&gt;0)),IF(IQ156="",TRUE,IF(input_topics="",FALSE,SUMPRODUCT(--ISNUMBER(SEARCH(","&amp;TRIM(TEXTSPLIT(IQ156,","))&amp;",",","&amp;SUBSTITUTE(input_topics," ","")&amp;",")))=COUNTA(TEXTSPLIT(IQ156,",")))))</f>
        <v/>
      </c>
    </row>
    <row r="157">
      <c r="A157" s="4">
        <f>IF(NOT(IS157),"Excluded",IF(AND(IT157,IU157,IV157,IW157,IX157,IY157,IZ157,JA157,JB157,JC157,JD157,JE157,JF157,JG157,JH157,JI157,JJ157,JK157,JL157,JM157,JN157,JO157,JP157,JQ157),IF(I157&gt;0,"Eligible but limited","Will appear"),"Excluded"))</f>
        <v/>
      </c>
      <c r="B157" s="4" t="inlineStr">
        <is>
          <t>Related profiles on profile pages</t>
        </is>
      </c>
      <c r="C157" s="4" t="inlineStr">
        <is>
          <t>/profile/alejandra-pruneda-22</t>
        </is>
      </c>
      <c r="D157" s="4" t="inlineStr">
        <is>
          <t>/profile/alejandra-pruneda-22
/profile/junko-oguri-20
/profile/nik-adlina-nik-mokhtar-23</t>
        </is>
      </c>
      <c r="E157" s="4" t="n">
        <v>5</v>
      </c>
      <c r="F157" s="4" t="inlineStr">
        <is>
          <t>profile</t>
        </is>
      </c>
      <c r="G157" s="4" t="inlineStr">
        <is>
          <t>profiles_grid</t>
        </is>
      </c>
      <c r="H157" s="4" t="inlineStr">
        <is>
          <t>related</t>
        </is>
      </c>
      <c r="I157" s="4" t="n">
        <v>3</v>
      </c>
      <c r="J157" s="4" t="inlineStr">
        <is>
          <t>Explicit args</t>
        </is>
      </c>
      <c r="K157" s="4" t="inlineStr">
        <is>
          <t>Grouped surface</t>
        </is>
      </c>
      <c r="L157" s="4" t="inlineStr">
        <is>
          <t>Content type: profile; Context uses Profile Type: Student (1551); Context uses Program: Master’s Degree in Systemic Risk (86); Limited to 3 item(s); Source: Explicit args</t>
        </is>
      </c>
      <c r="M157" t="inlineStr"/>
      <c r="N157" t="inlineStr"/>
      <c r="O157" t="inlineStr"/>
      <c r="P157" t="inlineStr"/>
      <c r="Q157" t="inlineStr"/>
      <c r="R157" t="inlineStr"/>
      <c r="S157" t="inlineStr"/>
      <c r="T157" t="inlineStr"/>
      <c r="U157" t="inlineStr"/>
      <c r="V157" t="inlineStr"/>
      <c r="W157" t="inlineStr"/>
      <c r="X157" t="inlineStr"/>
      <c r="Y157" t="inlineStr"/>
      <c r="Z157" t="inlineStr"/>
      <c r="AA157" t="inlineStr"/>
      <c r="AB157" t="inlineStr"/>
      <c r="AC157" t="inlineStr"/>
      <c r="AD157" t="inlineStr"/>
      <c r="AE157" t="inlineStr"/>
      <c r="AF157" t="inlineStr"/>
      <c r="AG157" t="inlineStr"/>
      <c r="AH157" t="inlineStr"/>
      <c r="AI157" t="inlineStr"/>
      <c r="AJ157" t="inlineStr"/>
      <c r="AK157" t="inlineStr"/>
      <c r="AL157" t="inlineStr"/>
      <c r="AM157" t="inlineStr"/>
      <c r="AN157" t="inlineStr"/>
      <c r="AO157" t="inlineStr"/>
      <c r="AP157" t="inlineStr"/>
      <c r="AQ157" t="inlineStr"/>
      <c r="AR157" t="inlineStr"/>
      <c r="AS157" t="inlineStr"/>
      <c r="AT157" t="inlineStr"/>
      <c r="AU157" t="inlineStr"/>
      <c r="AV157" t="inlineStr"/>
      <c r="AW157" t="inlineStr"/>
      <c r="AX157" t="inlineStr"/>
      <c r="AY157" t="inlineStr"/>
      <c r="AZ157" t="inlineStr"/>
      <c r="BA157" t="inlineStr"/>
      <c r="BB157" t="inlineStr"/>
      <c r="BC157" t="inlineStr"/>
      <c r="BD157" t="inlineStr"/>
      <c r="BE157" t="inlineStr"/>
      <c r="BF157" t="inlineStr"/>
      <c r="BG157" t="inlineStr"/>
      <c r="BH157" t="inlineStr"/>
      <c r="BI157" t="inlineStr"/>
      <c r="BJ157" t="inlineStr"/>
      <c r="BK157" t="inlineStr"/>
      <c r="BL157" t="inlineStr"/>
      <c r="BM157" t="inlineStr"/>
      <c r="BN157" t="inlineStr"/>
      <c r="BO157" t="inlineStr"/>
      <c r="BP157" t="inlineStr"/>
      <c r="BQ157" t="inlineStr"/>
      <c r="BR157" t="inlineStr"/>
      <c r="BS157" t="inlineStr"/>
      <c r="BT157" t="inlineStr"/>
      <c r="BU157" t="inlineStr"/>
      <c r="BV157" t="inlineStr"/>
      <c r="BW157" t="inlineStr"/>
      <c r="BX157" t="inlineStr"/>
      <c r="BY157" t="inlineStr"/>
      <c r="BZ157" t="inlineStr"/>
      <c r="CA157" t="inlineStr"/>
      <c r="CB157" t="inlineStr"/>
      <c r="CC157" t="inlineStr"/>
      <c r="CD157" t="inlineStr"/>
      <c r="CE157" t="inlineStr"/>
      <c r="CF157" t="inlineStr"/>
      <c r="CG157" t="inlineStr"/>
      <c r="CH157" t="inlineStr"/>
      <c r="CI157" t="inlineStr"/>
      <c r="CJ157" t="inlineStr"/>
      <c r="CK157" t="inlineStr"/>
      <c r="CL157" t="inlineStr"/>
      <c r="CM157" t="inlineStr"/>
      <c r="CN157" t="inlineStr"/>
      <c r="CO157" t="inlineStr"/>
      <c r="CP157" t="inlineStr"/>
      <c r="CQ157" t="inlineStr"/>
      <c r="CR157" t="inlineStr"/>
      <c r="CS157" t="inlineStr"/>
      <c r="CT157" t="inlineStr"/>
      <c r="CU157" t="inlineStr"/>
      <c r="CV157" t="inlineStr"/>
      <c r="CW157" t="inlineStr"/>
      <c r="CX157" t="inlineStr"/>
      <c r="CY157" t="inlineStr"/>
      <c r="CZ157" t="inlineStr"/>
      <c r="DA157" t="inlineStr"/>
      <c r="DB157" t="inlineStr"/>
      <c r="DC157" t="inlineStr"/>
      <c r="DD157" t="inlineStr"/>
      <c r="DE157" t="inlineStr"/>
      <c r="DF157" t="inlineStr"/>
      <c r="DG157" t="inlineStr"/>
      <c r="DH157" t="inlineStr"/>
      <c r="DI157" t="inlineStr"/>
      <c r="DJ157" t="inlineStr"/>
      <c r="DK157" t="inlineStr"/>
      <c r="DL157" t="inlineStr"/>
      <c r="DM157" t="inlineStr"/>
      <c r="DN157" t="inlineStr"/>
      <c r="DO157" t="inlineStr"/>
      <c r="DP157" t="inlineStr"/>
      <c r="DQ157" t="inlineStr"/>
      <c r="DR157" t="inlineStr"/>
      <c r="DS157" t="inlineStr"/>
      <c r="DT157" t="inlineStr"/>
      <c r="DU157" t="inlineStr"/>
      <c r="DV157" t="inlineStr"/>
      <c r="DW157" t="inlineStr"/>
      <c r="DX157" t="inlineStr"/>
      <c r="DY157" t="inlineStr"/>
      <c r="DZ157" t="inlineStr"/>
      <c r="EA157" t="inlineStr"/>
      <c r="EB157" t="inlineStr"/>
      <c r="EC157" t="inlineStr"/>
      <c r="ED157" t="inlineStr"/>
      <c r="EE157" t="inlineStr"/>
      <c r="EF157" t="inlineStr"/>
      <c r="EG157" t="inlineStr"/>
      <c r="EH157" t="inlineStr"/>
      <c r="EI157" t="inlineStr"/>
      <c r="EJ157" t="inlineStr"/>
      <c r="EK157" t="inlineStr"/>
      <c r="EL157" t="inlineStr"/>
      <c r="EM157" t="inlineStr"/>
      <c r="EN157" t="inlineStr"/>
      <c r="EO157" t="inlineStr"/>
      <c r="EP157" t="inlineStr"/>
      <c r="EQ157" t="inlineStr"/>
      <c r="ER157" t="inlineStr"/>
      <c r="ES157" t="inlineStr"/>
      <c r="ET157" t="inlineStr"/>
      <c r="EU157" t="inlineStr"/>
      <c r="EV157" t="inlineStr"/>
      <c r="EW157" t="inlineStr"/>
      <c r="EX157" t="inlineStr"/>
      <c r="EY157" t="inlineStr"/>
      <c r="EZ157" t="inlineStr"/>
      <c r="FA157" t="inlineStr"/>
      <c r="FB157" t="inlineStr"/>
      <c r="FC157" t="inlineStr"/>
      <c r="FD157" t="inlineStr"/>
      <c r="FE157" t="inlineStr"/>
      <c r="FF157" t="inlineStr"/>
      <c r="FG157" t="inlineStr"/>
      <c r="FH157" t="inlineStr"/>
      <c r="FI157" t="inlineStr"/>
      <c r="FJ157" t="inlineStr"/>
      <c r="FK157" t="inlineStr"/>
      <c r="FL157" t="inlineStr"/>
      <c r="FM157" t="inlineStr"/>
      <c r="FN157" t="inlineStr"/>
      <c r="FO157" t="inlineStr"/>
      <c r="FP157" t="inlineStr"/>
      <c r="FQ157" t="inlineStr"/>
      <c r="FR157" t="inlineStr"/>
      <c r="FS157" t="inlineStr"/>
      <c r="FT157" t="inlineStr"/>
      <c r="FU157" t="inlineStr"/>
      <c r="FV157" t="inlineStr"/>
      <c r="FW157" t="inlineStr"/>
      <c r="FX157" t="inlineStr"/>
      <c r="FY157" t="inlineStr"/>
      <c r="FZ157" t="inlineStr"/>
      <c r="GA157" t="inlineStr"/>
      <c r="GB157" t="inlineStr"/>
      <c r="GC157" t="inlineStr"/>
      <c r="GD157" t="inlineStr"/>
      <c r="GE157" t="inlineStr"/>
      <c r="GF157" t="inlineStr"/>
      <c r="GG157" t="inlineStr"/>
      <c r="GH157" t="inlineStr"/>
      <c r="GI157" t="inlineStr"/>
      <c r="GJ157" t="inlineStr"/>
      <c r="GK157" t="inlineStr"/>
      <c r="GL157" t="inlineStr"/>
      <c r="GM157" t="inlineStr"/>
      <c r="GN157" t="inlineStr"/>
      <c r="GO157" t="inlineStr"/>
      <c r="GP157" t="inlineStr"/>
      <c r="GQ157" t="inlineStr"/>
      <c r="GR157" t="inlineStr"/>
      <c r="GS157" t="inlineStr"/>
      <c r="GT157" t="inlineStr"/>
      <c r="GU157" t="inlineStr"/>
      <c r="GV157" t="inlineStr"/>
      <c r="GW157" t="inlineStr"/>
      <c r="GX157" t="inlineStr"/>
      <c r="GY157" t="inlineStr"/>
      <c r="GZ157" t="inlineStr"/>
      <c r="HA157" t="inlineStr">
        <is>
          <t>1551</t>
        </is>
      </c>
      <c r="HB157" t="inlineStr">
        <is>
          <t>Student (1551)</t>
        </is>
      </c>
      <c r="HC157" t="inlineStr"/>
      <c r="HD157" t="inlineStr"/>
      <c r="HE157" t="inlineStr"/>
      <c r="HF157" t="inlineStr"/>
      <c r="HG157" t="inlineStr"/>
      <c r="HH157" t="inlineStr"/>
      <c r="HI157" t="inlineStr"/>
      <c r="HJ157" t="inlineStr"/>
      <c r="HK157" t="inlineStr">
        <is>
          <t>86</t>
        </is>
      </c>
      <c r="HL157" t="inlineStr">
        <is>
          <t>Master’s Degree in Systemic Risk (86)</t>
        </is>
      </c>
      <c r="HM157" t="inlineStr"/>
      <c r="HN157" t="inlineStr"/>
      <c r="HO157" t="inlineStr"/>
      <c r="HP157" t="inlineStr"/>
      <c r="HQ157" t="inlineStr"/>
      <c r="HR157" t="inlineStr"/>
      <c r="HS157" t="inlineStr"/>
      <c r="HT157" t="inlineStr"/>
      <c r="HU157" t="inlineStr"/>
      <c r="HV157" t="inlineStr"/>
      <c r="HW157" t="inlineStr"/>
      <c r="HX157" t="inlineStr"/>
      <c r="HY157" t="inlineStr"/>
      <c r="HZ157" t="inlineStr"/>
      <c r="IA157" t="inlineStr"/>
      <c r="IB157" t="inlineStr"/>
      <c r="IC157" t="inlineStr"/>
      <c r="ID157" t="inlineStr"/>
      <c r="IE157" t="inlineStr"/>
      <c r="IF157" t="inlineStr"/>
      <c r="IG157" t="inlineStr"/>
      <c r="IH157" t="inlineStr"/>
      <c r="II157" t="inlineStr"/>
      <c r="IJ157" t="inlineStr"/>
      <c r="IK157" t="inlineStr"/>
      <c r="IL157" t="inlineStr"/>
      <c r="IM157" t="inlineStr"/>
      <c r="IN157" t="inlineStr"/>
      <c r="IO157" t="inlineStr"/>
      <c r="IP157" t="inlineStr"/>
      <c r="IQ157" t="inlineStr"/>
      <c r="IR157" t="inlineStr"/>
      <c r="IS157">
        <f>IF(input_content_type="",FALSE,ISNUMBER(SEARCH(","&amp;LOWER(input_content_type)&amp;",",","&amp;LOWER(F157)&amp;",")))</f>
        <v/>
      </c>
      <c r="IT157">
        <f>AND(IF(M157="",TRUE,IF(input_affiliations="",FALSE,SUMPRODUCT(--ISNUMBER(SEARCH(","&amp;TRIM(TEXTSPLIT(M157,","))&amp;",",","&amp;SUBSTITUTE(input_affiliations," ","")&amp;",")))&gt;0)),IF(O157="",TRUE,IF(input_affiliations="",FALSE,SUMPRODUCT(--ISNUMBER(SEARCH(","&amp;TRIM(TEXTSPLIT(O157,","))&amp;",",","&amp;SUBSTITUTE(input_affiliations," ","")&amp;",")))=COUNTA(TEXTSPLIT(O157,",")))),IF(Q157="",TRUE,IF(input_affiliations="",TRUE,SUMPRODUCT(--ISNUMBER(SEARCH(","&amp;TRIM(TEXTSPLIT(Q157,","))&amp;",",","&amp;SUBSTITUTE(input_affiliations," ","")&amp;",")))=0)),IF(S157="",TRUE,IF(input_affiliations="",FALSE,SUMPRODUCT(--ISNUMBER(SEARCH(","&amp;TRIM(TEXTSPLIT(S157,","))&amp;",",","&amp;SUBSTITUTE(input_affiliations," ","")&amp;",")))&gt;0)),IF(U157="",TRUE,IF(input_affiliations="",FALSE,SUMPRODUCT(--ISNUMBER(SEARCH(","&amp;TRIM(TEXTSPLIT(U157,","))&amp;",",","&amp;SUBSTITUTE(input_affiliations," ","")&amp;",")))=COUNTA(TEXTSPLIT(U157,",")))))</f>
        <v/>
      </c>
      <c r="IU157">
        <f>AND(IF(W157="",TRUE,IF(input_announcement_category="",FALSE,SUMPRODUCT(--ISNUMBER(SEARCH(","&amp;TRIM(TEXTSPLIT(W157,","))&amp;",",","&amp;SUBSTITUTE(input_announcement_category," ","")&amp;",")))&gt;0)),IF(Y157="",TRUE,IF(input_announcement_category="",FALSE,SUMPRODUCT(--ISNUMBER(SEARCH(","&amp;TRIM(TEXTSPLIT(Y157,","))&amp;",",","&amp;SUBSTITUTE(input_announcement_category," ","")&amp;",")))=COUNTA(TEXTSPLIT(Y157,",")))),IF(AA157="",TRUE,IF(input_announcement_category="",TRUE,SUMPRODUCT(--ISNUMBER(SEARCH(","&amp;TRIM(TEXTSPLIT(AA157,","))&amp;",",","&amp;SUBSTITUTE(input_announcement_category," ","")&amp;",")))=0)),IF(AC157="",TRUE,IF(input_announcement_category="",FALSE,SUMPRODUCT(--ISNUMBER(SEARCH(","&amp;TRIM(TEXTSPLIT(AC157,","))&amp;",",","&amp;SUBSTITUTE(input_announcement_category," ","")&amp;",")))&gt;0)),IF(AE157="",TRUE,IF(input_announcement_category="",FALSE,SUMPRODUCT(--ISNUMBER(SEARCH(","&amp;TRIM(TEXTSPLIT(AE157,","))&amp;",",","&amp;SUBSTITUTE(input_announcement_category," ","")&amp;",")))=COUNTA(TEXTSPLIT(AE157,",")))))</f>
        <v/>
      </c>
      <c r="IV157">
        <f>AND(IF(AG157="",TRUE,IF(input_area_of_focus="",FALSE,SUMPRODUCT(--ISNUMBER(SEARCH(","&amp;TRIM(TEXTSPLIT(AG157,","))&amp;",",","&amp;SUBSTITUTE(input_area_of_focus," ","")&amp;",")))&gt;0)),IF(AI157="",TRUE,IF(input_area_of_focus="",FALSE,SUMPRODUCT(--ISNUMBER(SEARCH(","&amp;TRIM(TEXTSPLIT(AI157,","))&amp;",",","&amp;SUBSTITUTE(input_area_of_focus," ","")&amp;",")))=COUNTA(TEXTSPLIT(AI157,",")))),IF(AK157="",TRUE,IF(input_area_of_focus="",TRUE,SUMPRODUCT(--ISNUMBER(SEARCH(","&amp;TRIM(TEXTSPLIT(AK157,","))&amp;",",","&amp;SUBSTITUTE(input_area_of_focus," ","")&amp;",")))=0)),IF(AM157="",TRUE,IF(input_area_of_focus="",FALSE,SUMPRODUCT(--ISNUMBER(SEARCH(","&amp;TRIM(TEXTSPLIT(AM157,","))&amp;",",","&amp;SUBSTITUTE(input_area_of_focus," ","")&amp;",")))&gt;0)),IF(AO157="",TRUE,IF(input_area_of_focus="",FALSE,SUMPRODUCT(--ISNUMBER(SEARCH(","&amp;TRIM(TEXTSPLIT(AO157,","))&amp;",",","&amp;SUBSTITUTE(input_area_of_focus," ","")&amp;",")))=COUNTA(TEXTSPLIT(AO157,",")))))</f>
        <v/>
      </c>
      <c r="IW157">
        <f>AND(IF(AQ157="",TRUE,IF(input_audience="",FALSE,SUMPRODUCT(--ISNUMBER(SEARCH(","&amp;TRIM(TEXTSPLIT(AQ157,","))&amp;",",","&amp;SUBSTITUTE(input_audience," ","")&amp;",")))&gt;0)),IF(AS157="",TRUE,IF(input_audience="",FALSE,SUMPRODUCT(--ISNUMBER(SEARCH(","&amp;TRIM(TEXTSPLIT(AS157,","))&amp;",",","&amp;SUBSTITUTE(input_audience," ","")&amp;",")))=COUNTA(TEXTSPLIT(AS157,",")))),IF(AU157="",TRUE,IF(input_audience="",TRUE,SUMPRODUCT(--ISNUMBER(SEARCH(","&amp;TRIM(TEXTSPLIT(AU157,","))&amp;",",","&amp;SUBSTITUTE(input_audience," ","")&amp;",")))=0)),IF(AW157="",TRUE,IF(input_audience="",FALSE,SUMPRODUCT(--ISNUMBER(SEARCH(","&amp;TRIM(TEXTSPLIT(AW157,","))&amp;",",","&amp;SUBSTITUTE(input_audience," ","")&amp;",")))&gt;0)),IF(AY157="",TRUE,IF(input_audience="",FALSE,SUMPRODUCT(--ISNUMBER(SEARCH(","&amp;TRIM(TEXTSPLIT(AY157,","))&amp;",",","&amp;SUBSTITUTE(input_audience," ","")&amp;",")))=COUNTA(TEXTSPLIT(AY157,",")))))</f>
        <v/>
      </c>
      <c r="IX157">
        <f>AND(IF(BA157="",TRUE,IF(input_challenge_opportunities="",FALSE,SUMPRODUCT(--ISNUMBER(SEARCH(","&amp;TRIM(TEXTSPLIT(BA157,","))&amp;",",","&amp;SUBSTITUTE(input_challenge_opportunities," ","")&amp;",")))&gt;0)),IF(BC157="",TRUE,IF(input_challenge_opportunities="",FALSE,SUMPRODUCT(--ISNUMBER(SEARCH(","&amp;TRIM(TEXTSPLIT(BC157,","))&amp;",",","&amp;SUBSTITUTE(input_challenge_opportunities," ","")&amp;",")))=COUNTA(TEXTSPLIT(BC157,",")))),IF(BE157="",TRUE,IF(input_challenge_opportunities="",TRUE,SUMPRODUCT(--ISNUMBER(SEARCH(","&amp;TRIM(TEXTSPLIT(BE157,","))&amp;",",","&amp;SUBSTITUTE(input_challenge_opportunities," ","")&amp;",")))=0)),IF(BG157="",TRUE,IF(input_challenge_opportunities="",FALSE,SUMPRODUCT(--ISNUMBER(SEARCH(","&amp;TRIM(TEXTSPLIT(BG157,","))&amp;",",","&amp;SUBSTITUTE(input_challenge_opportunities," ","")&amp;",")))&gt;0)),IF(BI157="",TRUE,IF(input_challenge_opportunities="",FALSE,SUMPRODUCT(--ISNUMBER(SEARCH(","&amp;TRIM(TEXTSPLIT(BI157,","))&amp;",",","&amp;SUBSTITUTE(input_challenge_opportunities," ","")&amp;",")))=COUNTA(TEXTSPLIT(BI157,",")))))</f>
        <v/>
      </c>
      <c r="IY157">
        <f>AND(IF(BK157="",TRUE,IF(input_context="",FALSE,SUMPRODUCT(--ISNUMBER(SEARCH(","&amp;TRIM(TEXTSPLIT(BK157,","))&amp;",",","&amp;SUBSTITUTE(input_context," ","")&amp;",")))&gt;0)),IF(BM157="",TRUE,IF(input_context="",FALSE,SUMPRODUCT(--ISNUMBER(SEARCH(","&amp;TRIM(TEXTSPLIT(BM157,","))&amp;",",","&amp;SUBSTITUTE(input_context," ","")&amp;",")))=COUNTA(TEXTSPLIT(BM157,",")))),IF(BO157="",TRUE,IF(input_context="",TRUE,SUMPRODUCT(--ISNUMBER(SEARCH(","&amp;TRIM(TEXTSPLIT(BO157,","))&amp;",",","&amp;SUBSTITUTE(input_context," ","")&amp;",")))=0)),IF(BQ157="",TRUE,IF(input_context="",FALSE,SUMPRODUCT(--ISNUMBER(SEARCH(","&amp;TRIM(TEXTSPLIT(BQ157,","))&amp;",",","&amp;SUBSTITUTE(input_context," ","")&amp;",")))&gt;0)),IF(BS157="",TRUE,IF(input_context="",FALSE,SUMPRODUCT(--ISNUMBER(SEARCH(","&amp;TRIM(TEXTSPLIT(BS157,","))&amp;",",","&amp;SUBSTITUTE(input_context," ","")&amp;",")))=COUNTA(TEXTSPLIT(BS157,",")))))</f>
        <v/>
      </c>
      <c r="IZ157">
        <f>AND(IF(BU157="",TRUE,IF(input_enews_announcement_type="",FALSE,SUMPRODUCT(--ISNUMBER(SEARCH(","&amp;TRIM(TEXTSPLIT(BU157,","))&amp;",",","&amp;SUBSTITUTE(input_enews_announcement_type," ","")&amp;",")))&gt;0)),IF(BW157="",TRUE,IF(input_enews_announcement_type="",FALSE,SUMPRODUCT(--ISNUMBER(SEARCH(","&amp;TRIM(TEXTSPLIT(BW157,","))&amp;",",","&amp;SUBSTITUTE(input_enews_announcement_type," ","")&amp;",")))=COUNTA(TEXTSPLIT(BW157,",")))),IF(BY157="",TRUE,IF(input_enews_announcement_type="",TRUE,SUMPRODUCT(--ISNUMBER(SEARCH(","&amp;TRIM(TEXTSPLIT(BY157,","))&amp;",",","&amp;SUBSTITUTE(input_enews_announcement_type," ","")&amp;",")))=0)),IF(CA157="",TRUE,IF(input_enews_announcement_type="",FALSE,SUMPRODUCT(--ISNUMBER(SEARCH(","&amp;TRIM(TEXTSPLIT(CA157,","))&amp;",",","&amp;SUBSTITUTE(input_enews_announcement_type," ","")&amp;",")))&gt;0)),IF(CC157="",TRUE,IF(input_enews_announcement_type="",FALSE,SUMPRODUCT(--ISNUMBER(SEARCH(","&amp;TRIM(TEXTSPLIT(CC157,","))&amp;",",","&amp;SUBSTITUTE(input_enews_announcement_type," ","")&amp;",")))=COUNTA(TEXTSPLIT(CC157,",")))))</f>
        <v/>
      </c>
      <c r="JA157">
        <f>AND(IF(CE157="",TRUE,IF(input_enews_audience="",FALSE,SUMPRODUCT(--ISNUMBER(SEARCH(","&amp;TRIM(TEXTSPLIT(CE157,","))&amp;",",","&amp;SUBSTITUTE(input_enews_audience," ","")&amp;",")))&gt;0)),IF(CG157="",TRUE,IF(input_enews_audience="",FALSE,SUMPRODUCT(--ISNUMBER(SEARCH(","&amp;TRIM(TEXTSPLIT(CG157,","))&amp;",",","&amp;SUBSTITUTE(input_enews_audience," ","")&amp;",")))=COUNTA(TEXTSPLIT(CG157,",")))),IF(CI157="",TRUE,IF(input_enews_audience="",TRUE,SUMPRODUCT(--ISNUMBER(SEARCH(","&amp;TRIM(TEXTSPLIT(CI157,","))&amp;",",","&amp;SUBSTITUTE(input_enews_audience," ","")&amp;",")))=0)),IF(CK157="",TRUE,IF(input_enews_audience="",FALSE,SUMPRODUCT(--ISNUMBER(SEARCH(","&amp;TRIM(TEXTSPLIT(CK157,","))&amp;",",","&amp;SUBSTITUTE(input_enews_audience," ","")&amp;",")))&gt;0)),IF(CM157="",TRUE,IF(input_enews_audience="",FALSE,SUMPRODUCT(--ISNUMBER(SEARCH(","&amp;TRIM(TEXTSPLIT(CM157,","))&amp;",",","&amp;SUBSTITUTE(input_enews_audience," ","")&amp;",")))=COUNTA(TEXTSPLIT(CM157,",")))))</f>
        <v/>
      </c>
      <c r="JB157">
        <f>AND(IF(CO157="",TRUE,IF(input_event_location="",FALSE,SUMPRODUCT(--ISNUMBER(SEARCH(","&amp;TRIM(TEXTSPLIT(CO157,","))&amp;",",","&amp;SUBSTITUTE(input_event_location," ","")&amp;",")))&gt;0)),IF(CQ157="",TRUE,IF(input_event_location="",FALSE,SUMPRODUCT(--ISNUMBER(SEARCH(","&amp;TRIM(TEXTSPLIT(CQ157,","))&amp;",",","&amp;SUBSTITUTE(input_event_location," ","")&amp;",")))=COUNTA(TEXTSPLIT(CQ157,",")))),IF(CS157="",TRUE,IF(input_event_location="",TRUE,SUMPRODUCT(--ISNUMBER(SEARCH(","&amp;TRIM(TEXTSPLIT(CS157,","))&amp;",",","&amp;SUBSTITUTE(input_event_location," ","")&amp;",")))=0)),IF(CU157="",TRUE,IF(input_event_location="",FALSE,SUMPRODUCT(--ISNUMBER(SEARCH(","&amp;TRIM(TEXTSPLIT(CU157,","))&amp;",",","&amp;SUBSTITUTE(input_event_location," ","")&amp;",")))&gt;0)),IF(CW157="",TRUE,IF(input_event_location="",FALSE,SUMPRODUCT(--ISNUMBER(SEARCH(","&amp;TRIM(TEXTSPLIT(CW157,","))&amp;",",","&amp;SUBSTITUTE(input_event_location," ","")&amp;",")))=COUNTA(TEXTSPLIT(CW157,",")))))</f>
        <v/>
      </c>
      <c r="JC157">
        <f>AND(IF(CY157="",TRUE,IF(input_event_type="",FALSE,SUMPRODUCT(--ISNUMBER(SEARCH(","&amp;TRIM(TEXTSPLIT(CY157,","))&amp;",",","&amp;SUBSTITUTE(input_event_type," ","")&amp;",")))&gt;0)),IF(DA157="",TRUE,IF(input_event_type="",FALSE,SUMPRODUCT(--ISNUMBER(SEARCH(","&amp;TRIM(TEXTSPLIT(DA157,","))&amp;",",","&amp;SUBSTITUTE(input_event_type," ","")&amp;",")))=COUNTA(TEXTSPLIT(DA157,",")))),IF(DC157="",TRUE,IF(input_event_type="",TRUE,SUMPRODUCT(--ISNUMBER(SEARCH(","&amp;TRIM(TEXTSPLIT(DC157,","))&amp;",",","&amp;SUBSTITUTE(input_event_type," ","")&amp;",")))=0)),IF(DE157="",TRUE,IF(input_event_type="",FALSE,SUMPRODUCT(--ISNUMBER(SEARCH(","&amp;TRIM(TEXTSPLIT(DE157,","))&amp;",",","&amp;SUBSTITUTE(input_event_type," ","")&amp;",")))&gt;0)),IF(DG157="",TRUE,IF(input_event_type="",FALSE,SUMPRODUCT(--ISNUMBER(SEARCH(","&amp;TRIM(TEXTSPLIT(DG157,","))&amp;",",","&amp;SUBSTITUTE(input_event_type," ","")&amp;",")))=COUNTA(TEXTSPLIT(DG157,",")))))</f>
        <v/>
      </c>
      <c r="JD157">
        <f>AND(IF(DI157="",TRUE,IF(input_executive_education_focus="",FALSE,SUMPRODUCT(--ISNUMBER(SEARCH(","&amp;TRIM(TEXTSPLIT(DI157,","))&amp;",",","&amp;SUBSTITUTE(input_executive_education_focus," ","")&amp;",")))&gt;0)),IF(DK157="",TRUE,IF(input_executive_education_focus="",FALSE,SUMPRODUCT(--ISNUMBER(SEARCH(","&amp;TRIM(TEXTSPLIT(DK157,","))&amp;",",","&amp;SUBSTITUTE(input_executive_education_focus," ","")&amp;",")))=COUNTA(TEXTSPLIT(DK157,",")))),IF(DM157="",TRUE,IF(input_executive_education_focus="",TRUE,SUMPRODUCT(--ISNUMBER(SEARCH(","&amp;TRIM(TEXTSPLIT(DM157,","))&amp;",",","&amp;SUBSTITUTE(input_executive_education_focus," ","")&amp;",")))=0)),IF(DO157="",TRUE,IF(input_executive_education_focus="",FALSE,SUMPRODUCT(--ISNUMBER(SEARCH(","&amp;TRIM(TEXTSPLIT(DO157,","))&amp;",",","&amp;SUBSTITUTE(input_executive_education_focus," ","")&amp;",")))&gt;0)),IF(DQ157="",TRUE,IF(input_executive_education_focus="",FALSE,SUMPRODUCT(--ISNUMBER(SEARCH(","&amp;TRIM(TEXTSPLIT(DQ157,","))&amp;",",","&amp;SUBSTITUTE(input_executive_education_focus," ","")&amp;",")))=COUNTA(TEXTSPLIT(DQ157,",")))))</f>
        <v/>
      </c>
      <c r="JE157">
        <f>AND(IF(DS157="",TRUE,IF(input_faculty_category="",FALSE,SUMPRODUCT(--ISNUMBER(SEARCH(","&amp;TRIM(TEXTSPLIT(DS157,","))&amp;",",","&amp;SUBSTITUTE(input_faculty_category," ","")&amp;",")))&gt;0)),IF(DU157="",TRUE,IF(input_faculty_category="",FALSE,SUMPRODUCT(--ISNUMBER(SEARCH(","&amp;TRIM(TEXTSPLIT(DU157,","))&amp;",",","&amp;SUBSTITUTE(input_faculty_category," ","")&amp;",")))=COUNTA(TEXTSPLIT(DU157,",")))),IF(DW157="",TRUE,IF(input_faculty_category="",TRUE,SUMPRODUCT(--ISNUMBER(SEARCH(","&amp;TRIM(TEXTSPLIT(DW157,","))&amp;",",","&amp;SUBSTITUTE(input_faculty_category," ","")&amp;",")))=0)),IF(DY157="",TRUE,IF(input_faculty_category="",FALSE,SUMPRODUCT(--ISNUMBER(SEARCH(","&amp;TRIM(TEXTSPLIT(DY157,","))&amp;",",","&amp;SUBSTITUTE(input_faculty_category," ","")&amp;",")))&gt;0)),IF(EA157="",TRUE,IF(input_faculty_category="",FALSE,SUMPRODUCT(--ISNUMBER(SEARCH(","&amp;TRIM(TEXTSPLIT(EA157,","))&amp;",",","&amp;SUBSTITUTE(input_faculty_category," ","")&amp;",")))=COUNTA(TEXTSPLIT(EA157,",")))))</f>
        <v/>
      </c>
      <c r="JF157">
        <f>AND(IF(EC157="",TRUE,IF(input_faculty_discipline="",FALSE,SUMPRODUCT(--ISNUMBER(SEARCH(","&amp;TRIM(TEXTSPLIT(EC157,","))&amp;",",","&amp;SUBSTITUTE(input_faculty_discipline," ","")&amp;",")))&gt;0)),IF(EE157="",TRUE,IF(input_faculty_discipline="",FALSE,SUMPRODUCT(--ISNUMBER(SEARCH(","&amp;TRIM(TEXTSPLIT(EE157,","))&amp;",",","&amp;SUBSTITUTE(input_faculty_discipline," ","")&amp;",")))=COUNTA(TEXTSPLIT(EE157,",")))),IF(EG157="",TRUE,IF(input_faculty_discipline="",TRUE,SUMPRODUCT(--ISNUMBER(SEARCH(","&amp;TRIM(TEXTSPLIT(EG157,","))&amp;",",","&amp;SUBSTITUTE(input_faculty_discipline," ","")&amp;",")))=0)),IF(EI157="",TRUE,IF(input_faculty_discipline="",FALSE,SUMPRODUCT(--ISNUMBER(SEARCH(","&amp;TRIM(TEXTSPLIT(EI157,","))&amp;",",","&amp;SUBSTITUTE(input_faculty_discipline," ","")&amp;",")))&gt;0)),IF(EK157="",TRUE,IF(input_faculty_discipline="",FALSE,SUMPRODUCT(--ISNUMBER(SEARCH(","&amp;TRIM(TEXTSPLIT(EK157,","))&amp;",",","&amp;SUBSTITUTE(input_faculty_discipline," ","")&amp;",")))=COUNTA(TEXTSPLIT(EK157,",")))))</f>
        <v/>
      </c>
      <c r="JG157">
        <f>AND(IF(EM157="",TRUE,IF(input_faculty_expertise="",FALSE,SUMPRODUCT(--ISNUMBER(SEARCH(","&amp;TRIM(TEXTSPLIT(EM157,","))&amp;",",","&amp;SUBSTITUTE(input_faculty_expertise," ","")&amp;",")))&gt;0)),IF(EO157="",TRUE,IF(input_faculty_expertise="",FALSE,SUMPRODUCT(--ISNUMBER(SEARCH(","&amp;TRIM(TEXTSPLIT(EO157,","))&amp;",",","&amp;SUBSTITUTE(input_faculty_expertise," ","")&amp;",")))=COUNTA(TEXTSPLIT(EO157,",")))),IF(EQ157="",TRUE,IF(input_faculty_expertise="",TRUE,SUMPRODUCT(--ISNUMBER(SEARCH(","&amp;TRIM(TEXTSPLIT(EQ157,","))&amp;",",","&amp;SUBSTITUTE(input_faculty_expertise," ","")&amp;",")))=0)),IF(ES157="",TRUE,IF(input_faculty_expertise="",FALSE,SUMPRODUCT(--ISNUMBER(SEARCH(","&amp;TRIM(TEXTSPLIT(ES157,","))&amp;",",","&amp;SUBSTITUTE(input_faculty_expertise," ","")&amp;",")))&gt;0)),IF(EU157="",TRUE,IF(input_faculty_expertise="",FALSE,SUMPRODUCT(--ISNUMBER(SEARCH(","&amp;TRIM(TEXTSPLIT(EU157,","))&amp;",",","&amp;SUBSTITUTE(input_faculty_expertise," ","")&amp;",")))=COUNTA(TEXTSPLIT(EU157,",")))))</f>
        <v/>
      </c>
      <c r="JH157">
        <f>AND(IF(EW157="",TRUE,IF(input_global_network_school="",FALSE,SUMPRODUCT(--ISNUMBER(SEARCH(","&amp;TRIM(TEXTSPLIT(EW157,","))&amp;",",","&amp;SUBSTITUTE(input_global_network_school," ","")&amp;",")))&gt;0)),IF(EY157="",TRUE,IF(input_global_network_school="",FALSE,SUMPRODUCT(--ISNUMBER(SEARCH(","&amp;TRIM(TEXTSPLIT(EY157,","))&amp;",",","&amp;SUBSTITUTE(input_global_network_school," ","")&amp;",")))=COUNTA(TEXTSPLIT(EY157,",")))),IF(FA157="",TRUE,IF(input_global_network_school="",TRUE,SUMPRODUCT(--ISNUMBER(SEARCH(","&amp;TRIM(TEXTSPLIT(FA157,","))&amp;",",","&amp;SUBSTITUTE(input_global_network_school," ","")&amp;",")))=0)),IF(FC157="",TRUE,IF(input_global_network_school="",FALSE,SUMPRODUCT(--ISNUMBER(SEARCH(","&amp;TRIM(TEXTSPLIT(FC157,","))&amp;",",","&amp;SUBSTITUTE(input_global_network_school," ","")&amp;",")))&gt;0)),IF(FE157="",TRUE,IF(input_global_network_school="",FALSE,SUMPRODUCT(--ISNUMBER(SEARCH(","&amp;TRIM(TEXTSPLIT(FE157,","))&amp;",",","&amp;SUBSTITUTE(input_global_network_school," ","")&amp;",")))=COUNTA(TEXTSPLIT(FE157,",")))))</f>
        <v/>
      </c>
      <c r="JI157">
        <f>AND(IF(FG157="",TRUE,IF(input_industry="",FALSE,SUMPRODUCT(--ISNUMBER(SEARCH(","&amp;TRIM(TEXTSPLIT(FG157,","))&amp;",",","&amp;SUBSTITUTE(input_industry," ","")&amp;",")))&gt;0)),IF(FI157="",TRUE,IF(input_industry="",FALSE,SUMPRODUCT(--ISNUMBER(SEARCH(","&amp;TRIM(TEXTSPLIT(FI157,","))&amp;",",","&amp;SUBSTITUTE(input_industry," ","")&amp;",")))=COUNTA(TEXTSPLIT(FI157,",")))),IF(FK157="",TRUE,IF(input_industry="",TRUE,SUMPRODUCT(--ISNUMBER(SEARCH(","&amp;TRIM(TEXTSPLIT(FK157,","))&amp;",",","&amp;SUBSTITUTE(input_industry," ","")&amp;",")))=0)),IF(FM157="",TRUE,IF(input_industry="",FALSE,SUMPRODUCT(--ISNUMBER(SEARCH(","&amp;TRIM(TEXTSPLIT(FM157,","))&amp;",",","&amp;SUBSTITUTE(input_industry," ","")&amp;",")))&gt;0)),IF(FO157="",TRUE,IF(input_industry="",FALSE,SUMPRODUCT(--ISNUMBER(SEARCH(","&amp;TRIM(TEXTSPLIT(FO157,","))&amp;",",","&amp;SUBSTITUTE(input_industry," ","")&amp;",")))=COUNTA(TEXTSPLIT(FO157,",")))))</f>
        <v/>
      </c>
      <c r="JJ157">
        <f>AND(IF(FQ157="",TRUE,IF(input_location="",FALSE,SUMPRODUCT(--ISNUMBER(SEARCH(","&amp;TRIM(TEXTSPLIT(FQ157,","))&amp;",",","&amp;SUBSTITUTE(input_location," ","")&amp;",")))&gt;0)),IF(FS157="",TRUE,IF(input_location="",FALSE,SUMPRODUCT(--ISNUMBER(SEARCH(","&amp;TRIM(TEXTSPLIT(FS157,","))&amp;",",","&amp;SUBSTITUTE(input_location," ","")&amp;",")))=COUNTA(TEXTSPLIT(FS157,",")))),IF(FU157="",TRUE,IF(input_location="",TRUE,SUMPRODUCT(--ISNUMBER(SEARCH(","&amp;TRIM(TEXTSPLIT(FU157,","))&amp;",",","&amp;SUBSTITUTE(input_location," ","")&amp;",")))=0)),IF(FW157="",TRUE,IF(input_location="",FALSE,SUMPRODUCT(--ISNUMBER(SEARCH(","&amp;TRIM(TEXTSPLIT(FW157,","))&amp;",",","&amp;SUBSTITUTE(input_location," ","")&amp;",")))&gt;0)),IF(FY157="",TRUE,IF(input_location="",FALSE,SUMPRODUCT(--ISNUMBER(SEARCH(","&amp;TRIM(TEXTSPLIT(FY157,","))&amp;",",","&amp;SUBSTITUTE(input_location," ","")&amp;",")))=COUNTA(TEXTSPLIT(FY157,",")))))</f>
        <v/>
      </c>
      <c r="JK157">
        <f>AND(IF(GA157="",TRUE,IF(input_modality="",FALSE,SUMPRODUCT(--ISNUMBER(SEARCH(","&amp;TRIM(TEXTSPLIT(GA157,","))&amp;",",","&amp;SUBSTITUTE(input_modality," ","")&amp;",")))&gt;0)),IF(GC157="",TRUE,IF(input_modality="",FALSE,SUMPRODUCT(--ISNUMBER(SEARCH(","&amp;TRIM(TEXTSPLIT(GC157,","))&amp;",",","&amp;SUBSTITUTE(input_modality," ","")&amp;",")))=COUNTA(TEXTSPLIT(GC157,",")))),IF(GE157="",TRUE,IF(input_modality="",TRUE,SUMPRODUCT(--ISNUMBER(SEARCH(","&amp;TRIM(TEXTSPLIT(GE157,","))&amp;",",","&amp;SUBSTITUTE(input_modality," ","")&amp;",")))=0)),IF(GG157="",TRUE,IF(input_modality="",FALSE,SUMPRODUCT(--ISNUMBER(SEARCH(","&amp;TRIM(TEXTSPLIT(GG157,","))&amp;",",","&amp;SUBSTITUTE(input_modality," ","")&amp;",")))&gt;0)),IF(GI157="",TRUE,IF(input_modality="",FALSE,SUMPRODUCT(--ISNUMBER(SEARCH(","&amp;TRIM(TEXTSPLIT(GI157,","))&amp;",",","&amp;SUBSTITUTE(input_modality," ","")&amp;",")))=COUNTA(TEXTSPLIT(GI157,",")))))</f>
        <v/>
      </c>
      <c r="JL157">
        <f>AND(IF(GK157="",TRUE,IF(input_organizer="",FALSE,SUMPRODUCT(--ISNUMBER(SEARCH(","&amp;TRIM(TEXTSPLIT(GK157,","))&amp;",",","&amp;SUBSTITUTE(input_organizer," ","")&amp;",")))&gt;0)),IF(GM157="",TRUE,IF(input_organizer="",FALSE,SUMPRODUCT(--ISNUMBER(SEARCH(","&amp;TRIM(TEXTSPLIT(GM157,","))&amp;",",","&amp;SUBSTITUTE(input_organizer," ","")&amp;",")))=COUNTA(TEXTSPLIT(GM157,",")))),IF(GO157="",TRUE,IF(input_organizer="",TRUE,SUMPRODUCT(--ISNUMBER(SEARCH(","&amp;TRIM(TEXTSPLIT(GO157,","))&amp;",",","&amp;SUBSTITUTE(input_organizer," ","")&amp;",")))=0)),IF(GQ157="",TRUE,IF(input_organizer="",FALSE,SUMPRODUCT(--ISNUMBER(SEARCH(","&amp;TRIM(TEXTSPLIT(GQ157,","))&amp;",",","&amp;SUBSTITUTE(input_organizer," ","")&amp;",")))&gt;0)),IF(GS157="",TRUE,IF(input_organizer="",FALSE,SUMPRODUCT(--ISNUMBER(SEARCH(","&amp;TRIM(TEXTSPLIT(GS157,","))&amp;",",","&amp;SUBSTITUTE(input_organizer," ","")&amp;",")))=COUNTA(TEXTSPLIT(GS157,",")))))</f>
        <v/>
      </c>
      <c r="JM157">
        <f>AND(IF(GU157="",TRUE,IF(input_profile_type="",FALSE,SUMPRODUCT(--ISNUMBER(SEARCH(","&amp;TRIM(TEXTSPLIT(GU157,","))&amp;",",","&amp;SUBSTITUTE(input_profile_type," ","")&amp;",")))&gt;0)),IF(GW157="",TRUE,IF(input_profile_type="",FALSE,SUMPRODUCT(--ISNUMBER(SEARCH(","&amp;TRIM(TEXTSPLIT(GW157,","))&amp;",",","&amp;SUBSTITUTE(input_profile_type," ","")&amp;",")))=COUNTA(TEXTSPLIT(GW157,",")))),IF(GY157="",TRUE,IF(input_profile_type="",TRUE,SUMPRODUCT(--ISNUMBER(SEARCH(","&amp;TRIM(TEXTSPLIT(GY157,","))&amp;",",","&amp;SUBSTITUTE(input_profile_type," ","")&amp;",")))=0)),IF(HA157="",TRUE,IF(input_profile_type="",FALSE,SUMPRODUCT(--ISNUMBER(SEARCH(","&amp;TRIM(TEXTSPLIT(HA157,","))&amp;",",","&amp;SUBSTITUTE(input_profile_type," ","")&amp;",")))&gt;0)),IF(HC157="",TRUE,IF(input_profile_type="",FALSE,SUMPRODUCT(--ISNUMBER(SEARCH(","&amp;TRIM(TEXTSPLIT(HC157,","))&amp;",",","&amp;SUBSTITUTE(input_profile_type," ","")&amp;",")))=COUNTA(TEXTSPLIT(HC157,",")))))</f>
        <v/>
      </c>
      <c r="JN157">
        <f>AND(IF(HE157="",TRUE,IF(input_program="",FALSE,SUMPRODUCT(--ISNUMBER(SEARCH(","&amp;TRIM(TEXTSPLIT(HE157,","))&amp;",",","&amp;SUBSTITUTE(input_program," ","")&amp;",")))&gt;0)),IF(HG157="",TRUE,IF(input_program="",FALSE,SUMPRODUCT(--ISNUMBER(SEARCH(","&amp;TRIM(TEXTSPLIT(HG157,","))&amp;",",","&amp;SUBSTITUTE(input_program," ","")&amp;",")))=COUNTA(TEXTSPLIT(HG157,",")))),IF(HI157="",TRUE,IF(input_program="",TRUE,SUMPRODUCT(--ISNUMBER(SEARCH(","&amp;TRIM(TEXTSPLIT(HI157,","))&amp;",",","&amp;SUBSTITUTE(input_program," ","")&amp;",")))=0)),IF(HK157="",TRUE,IF(input_program="",FALSE,SUMPRODUCT(--ISNUMBER(SEARCH(","&amp;TRIM(TEXTSPLIT(HK157,","))&amp;",",","&amp;SUBSTITUTE(input_program," ","")&amp;",")))&gt;0)),IF(HM157="",TRUE,IF(input_program="",FALSE,SUMPRODUCT(--ISNUMBER(SEARCH(","&amp;TRIM(TEXTSPLIT(HM157,","))&amp;",",","&amp;SUBSTITUTE(input_program," ","")&amp;",")))=COUNTA(TEXTSPLIT(HM157,",")))))</f>
        <v/>
      </c>
      <c r="JO157">
        <f>AND(IF(HO157="",TRUE,IF(input_story_categories="",FALSE,SUMPRODUCT(--ISNUMBER(SEARCH(","&amp;TRIM(TEXTSPLIT(HO157,","))&amp;",",","&amp;SUBSTITUTE(input_story_categories," ","")&amp;",")))&gt;0)),IF(HQ157="",TRUE,IF(input_story_categories="",FALSE,SUMPRODUCT(--ISNUMBER(SEARCH(","&amp;TRIM(TEXTSPLIT(HQ157,","))&amp;",",","&amp;SUBSTITUTE(input_story_categories," ","")&amp;",")))=COUNTA(TEXTSPLIT(HQ157,",")))),IF(HS157="",TRUE,IF(input_story_categories="",TRUE,SUMPRODUCT(--ISNUMBER(SEARCH(","&amp;TRIM(TEXTSPLIT(HS157,","))&amp;",",","&amp;SUBSTITUTE(input_story_categories," ","")&amp;",")))=0)),IF(HU157="",TRUE,IF(input_story_categories="",FALSE,SUMPRODUCT(--ISNUMBER(SEARCH(","&amp;TRIM(TEXTSPLIT(HU157,","))&amp;",",","&amp;SUBSTITUTE(input_story_categories," ","")&amp;",")))&gt;0)),IF(HW157="",TRUE,IF(input_story_categories="",FALSE,SUMPRODUCT(--ISNUMBER(SEARCH(","&amp;TRIM(TEXTSPLIT(HW157,","))&amp;",",","&amp;SUBSTITUTE(input_story_categories," ","")&amp;",")))=COUNTA(TEXTSPLIT(HW157,",")))))</f>
        <v/>
      </c>
      <c r="JP157">
        <f>AND(IF(HY157="",TRUE,IF(input_story_type="",FALSE,SUMPRODUCT(--ISNUMBER(SEARCH(","&amp;TRIM(TEXTSPLIT(HY157,","))&amp;",",","&amp;SUBSTITUTE(input_story_type," ","")&amp;",")))&gt;0)),IF(IA157="",TRUE,IF(input_story_type="",FALSE,SUMPRODUCT(--ISNUMBER(SEARCH(","&amp;TRIM(TEXTSPLIT(IA157,","))&amp;",",","&amp;SUBSTITUTE(input_story_type," ","")&amp;",")))=COUNTA(TEXTSPLIT(IA157,",")))),IF(IC157="",TRUE,IF(input_story_type="",TRUE,SUMPRODUCT(--ISNUMBER(SEARCH(","&amp;TRIM(TEXTSPLIT(IC157,","))&amp;",",","&amp;SUBSTITUTE(input_story_type," ","")&amp;",")))=0)),IF(IE157="",TRUE,IF(input_story_type="",FALSE,SUMPRODUCT(--ISNUMBER(SEARCH(","&amp;TRIM(TEXTSPLIT(IE157,","))&amp;",",","&amp;SUBSTITUTE(input_story_type," ","")&amp;",")))&gt;0)),IF(IG157="",TRUE,IF(input_story_type="",FALSE,SUMPRODUCT(--ISNUMBER(SEARCH(","&amp;TRIM(TEXTSPLIT(IG157,","))&amp;",",","&amp;SUBSTITUTE(input_story_type," ","")&amp;",")))=COUNTA(TEXTSPLIT(IG157,",")))))</f>
        <v/>
      </c>
      <c r="JQ157">
        <f>AND(IF(II157="",TRUE,IF(input_topics="",FALSE,SUMPRODUCT(--ISNUMBER(SEARCH(","&amp;TRIM(TEXTSPLIT(II157,","))&amp;",",","&amp;SUBSTITUTE(input_topics," ","")&amp;",")))&gt;0)),IF(IK157="",TRUE,IF(input_topics="",FALSE,SUMPRODUCT(--ISNUMBER(SEARCH(","&amp;TRIM(TEXTSPLIT(IK157,","))&amp;",",","&amp;SUBSTITUTE(input_topics," ","")&amp;",")))=COUNTA(TEXTSPLIT(IK157,",")))),IF(IM157="",TRUE,IF(input_topics="",TRUE,SUMPRODUCT(--ISNUMBER(SEARCH(","&amp;TRIM(TEXTSPLIT(IM157,","))&amp;",",","&amp;SUBSTITUTE(input_topics," ","")&amp;",")))=0)),IF(IO157="",TRUE,IF(input_topics="",FALSE,SUMPRODUCT(--ISNUMBER(SEARCH(","&amp;TRIM(TEXTSPLIT(IO157,","))&amp;",",","&amp;SUBSTITUTE(input_topics," ","")&amp;",")))&gt;0)),IF(IQ157="",TRUE,IF(input_topics="",FALSE,SUMPRODUCT(--ISNUMBER(SEARCH(","&amp;TRIM(TEXTSPLIT(IQ157,","))&amp;",",","&amp;SUBSTITUTE(input_topics," ","")&amp;",")))=COUNTA(TEXTSPLIT(IQ157,",")))))</f>
        <v/>
      </c>
    </row>
    <row r="158">
      <c r="A158" s="4">
        <f>IF(NOT(IS158),"Excluded",IF(AND(IT158,IU158,IV158,IW158,IX158,IY158,IZ158,JA158,JB158,JC158,JD158,JE158,JF158,JG158,JH158,JI158,JJ158,JK158,JL158,JM158,JN158,JO158,JP158,JQ158),IF(I158&gt;0,"Eligible but limited","Will appear"),"Excluded"))</f>
        <v/>
      </c>
      <c r="B158" s="4" t="inlineStr">
        <is>
          <t>Related profiles on profile pages</t>
        </is>
      </c>
      <c r="C158" s="4" t="inlineStr">
        <is>
          <t>/profile/alexander-costa-22</t>
        </is>
      </c>
      <c r="D158" s="4" t="inlineStr">
        <is>
          <t>/profile/alexander-costa-22
/profile/ann-graf-20
/profile/austin-he-22-0</t>
        </is>
      </c>
      <c r="E158" s="4" t="n">
        <v>20</v>
      </c>
      <c r="F158" s="4" t="inlineStr">
        <is>
          <t>profile</t>
        </is>
      </c>
      <c r="G158" s="4" t="inlineStr">
        <is>
          <t>profiles_grid</t>
        </is>
      </c>
      <c r="H158" s="4" t="inlineStr">
        <is>
          <t>related</t>
        </is>
      </c>
      <c r="I158" s="4" t="n">
        <v>3</v>
      </c>
      <c r="J158" s="4" t="inlineStr">
        <is>
          <t>Explicit args</t>
        </is>
      </c>
      <c r="K158" s="4" t="inlineStr">
        <is>
          <t>Grouped surface</t>
        </is>
      </c>
      <c r="L158" s="4" t="inlineStr">
        <is>
          <t>Content type: profile; Context uses Profile Type: Student (1551); Context uses Program: Master’s Degree in Global Business &amp; Society (84); Limited to 3 item(s); Source: Explicit args</t>
        </is>
      </c>
      <c r="M158" t="inlineStr"/>
      <c r="N158" t="inlineStr"/>
      <c r="O158" t="inlineStr"/>
      <c r="P158" t="inlineStr"/>
      <c r="Q158" t="inlineStr"/>
      <c r="R158" t="inlineStr"/>
      <c r="S158" t="inlineStr"/>
      <c r="T158" t="inlineStr"/>
      <c r="U158" t="inlineStr"/>
      <c r="V158" t="inlineStr"/>
      <c r="W158" t="inlineStr"/>
      <c r="X158" t="inlineStr"/>
      <c r="Y158" t="inlineStr"/>
      <c r="Z158" t="inlineStr"/>
      <c r="AA158" t="inlineStr"/>
      <c r="AB158" t="inlineStr"/>
      <c r="AC158" t="inlineStr"/>
      <c r="AD158" t="inlineStr"/>
      <c r="AE158" t="inlineStr"/>
      <c r="AF158" t="inlineStr"/>
      <c r="AG158" t="inlineStr"/>
      <c r="AH158" t="inlineStr"/>
      <c r="AI158" t="inlineStr"/>
      <c r="AJ158" t="inlineStr"/>
      <c r="AK158" t="inlineStr"/>
      <c r="AL158" t="inlineStr"/>
      <c r="AM158" t="inlineStr"/>
      <c r="AN158" t="inlineStr"/>
      <c r="AO158" t="inlineStr"/>
      <c r="AP158" t="inlineStr"/>
      <c r="AQ158" t="inlineStr"/>
      <c r="AR158" t="inlineStr"/>
      <c r="AS158" t="inlineStr"/>
      <c r="AT158" t="inlineStr"/>
      <c r="AU158" t="inlineStr"/>
      <c r="AV158" t="inlineStr"/>
      <c r="AW158" t="inlineStr"/>
      <c r="AX158" t="inlineStr"/>
      <c r="AY158" t="inlineStr"/>
      <c r="AZ158" t="inlineStr"/>
      <c r="BA158" t="inlineStr"/>
      <c r="BB158" t="inlineStr"/>
      <c r="BC158" t="inlineStr"/>
      <c r="BD158" t="inlineStr"/>
      <c r="BE158" t="inlineStr"/>
      <c r="BF158" t="inlineStr"/>
      <c r="BG158" t="inlineStr"/>
      <c r="BH158" t="inlineStr"/>
      <c r="BI158" t="inlineStr"/>
      <c r="BJ158" t="inlineStr"/>
      <c r="BK158" t="inlineStr"/>
      <c r="BL158" t="inlineStr"/>
      <c r="BM158" t="inlineStr"/>
      <c r="BN158" t="inlineStr"/>
      <c r="BO158" t="inlineStr"/>
      <c r="BP158" t="inlineStr"/>
      <c r="BQ158" t="inlineStr"/>
      <c r="BR158" t="inlineStr"/>
      <c r="BS158" t="inlineStr"/>
      <c r="BT158" t="inlineStr"/>
      <c r="BU158" t="inlineStr"/>
      <c r="BV158" t="inlineStr"/>
      <c r="BW158" t="inlineStr"/>
      <c r="BX158" t="inlineStr"/>
      <c r="BY158" t="inlineStr"/>
      <c r="BZ158" t="inlineStr"/>
      <c r="CA158" t="inlineStr"/>
      <c r="CB158" t="inlineStr"/>
      <c r="CC158" t="inlineStr"/>
      <c r="CD158" t="inlineStr"/>
      <c r="CE158" t="inlineStr"/>
      <c r="CF158" t="inlineStr"/>
      <c r="CG158" t="inlineStr"/>
      <c r="CH158" t="inlineStr"/>
      <c r="CI158" t="inlineStr"/>
      <c r="CJ158" t="inlineStr"/>
      <c r="CK158" t="inlineStr"/>
      <c r="CL158" t="inlineStr"/>
      <c r="CM158" t="inlineStr"/>
      <c r="CN158" t="inlineStr"/>
      <c r="CO158" t="inlineStr"/>
      <c r="CP158" t="inlineStr"/>
      <c r="CQ158" t="inlineStr"/>
      <c r="CR158" t="inlineStr"/>
      <c r="CS158" t="inlineStr"/>
      <c r="CT158" t="inlineStr"/>
      <c r="CU158" t="inlineStr"/>
      <c r="CV158" t="inlineStr"/>
      <c r="CW158" t="inlineStr"/>
      <c r="CX158" t="inlineStr"/>
      <c r="CY158" t="inlineStr"/>
      <c r="CZ158" t="inlineStr"/>
      <c r="DA158" t="inlineStr"/>
      <c r="DB158" t="inlineStr"/>
      <c r="DC158" t="inlineStr"/>
      <c r="DD158" t="inlineStr"/>
      <c r="DE158" t="inlineStr"/>
      <c r="DF158" t="inlineStr"/>
      <c r="DG158" t="inlineStr"/>
      <c r="DH158" t="inlineStr"/>
      <c r="DI158" t="inlineStr"/>
      <c r="DJ158" t="inlineStr"/>
      <c r="DK158" t="inlineStr"/>
      <c r="DL158" t="inlineStr"/>
      <c r="DM158" t="inlineStr"/>
      <c r="DN158" t="inlineStr"/>
      <c r="DO158" t="inlineStr"/>
      <c r="DP158" t="inlineStr"/>
      <c r="DQ158" t="inlineStr"/>
      <c r="DR158" t="inlineStr"/>
      <c r="DS158" t="inlineStr"/>
      <c r="DT158" t="inlineStr"/>
      <c r="DU158" t="inlineStr"/>
      <c r="DV158" t="inlineStr"/>
      <c r="DW158" t="inlineStr"/>
      <c r="DX158" t="inlineStr"/>
      <c r="DY158" t="inlineStr"/>
      <c r="DZ158" t="inlineStr"/>
      <c r="EA158" t="inlineStr"/>
      <c r="EB158" t="inlineStr"/>
      <c r="EC158" t="inlineStr"/>
      <c r="ED158" t="inlineStr"/>
      <c r="EE158" t="inlineStr"/>
      <c r="EF158" t="inlineStr"/>
      <c r="EG158" t="inlineStr"/>
      <c r="EH158" t="inlineStr"/>
      <c r="EI158" t="inlineStr"/>
      <c r="EJ158" t="inlineStr"/>
      <c r="EK158" t="inlineStr"/>
      <c r="EL158" t="inlineStr"/>
      <c r="EM158" t="inlineStr"/>
      <c r="EN158" t="inlineStr"/>
      <c r="EO158" t="inlineStr"/>
      <c r="EP158" t="inlineStr"/>
      <c r="EQ158" t="inlineStr"/>
      <c r="ER158" t="inlineStr"/>
      <c r="ES158" t="inlineStr"/>
      <c r="ET158" t="inlineStr"/>
      <c r="EU158" t="inlineStr"/>
      <c r="EV158" t="inlineStr"/>
      <c r="EW158" t="inlineStr"/>
      <c r="EX158" t="inlineStr"/>
      <c r="EY158" t="inlineStr"/>
      <c r="EZ158" t="inlineStr"/>
      <c r="FA158" t="inlineStr"/>
      <c r="FB158" t="inlineStr"/>
      <c r="FC158" t="inlineStr"/>
      <c r="FD158" t="inlineStr"/>
      <c r="FE158" t="inlineStr"/>
      <c r="FF158" t="inlineStr"/>
      <c r="FG158" t="inlineStr"/>
      <c r="FH158" t="inlineStr"/>
      <c r="FI158" t="inlineStr"/>
      <c r="FJ158" t="inlineStr"/>
      <c r="FK158" t="inlineStr"/>
      <c r="FL158" t="inlineStr"/>
      <c r="FM158" t="inlineStr"/>
      <c r="FN158" t="inlineStr"/>
      <c r="FO158" t="inlineStr"/>
      <c r="FP158" t="inlineStr"/>
      <c r="FQ158" t="inlineStr"/>
      <c r="FR158" t="inlineStr"/>
      <c r="FS158" t="inlineStr"/>
      <c r="FT158" t="inlineStr"/>
      <c r="FU158" t="inlineStr"/>
      <c r="FV158" t="inlineStr"/>
      <c r="FW158" t="inlineStr"/>
      <c r="FX158" t="inlineStr"/>
      <c r="FY158" t="inlineStr"/>
      <c r="FZ158" t="inlineStr"/>
      <c r="GA158" t="inlineStr"/>
      <c r="GB158" t="inlineStr"/>
      <c r="GC158" t="inlineStr"/>
      <c r="GD158" t="inlineStr"/>
      <c r="GE158" t="inlineStr"/>
      <c r="GF158" t="inlineStr"/>
      <c r="GG158" t="inlineStr"/>
      <c r="GH158" t="inlineStr"/>
      <c r="GI158" t="inlineStr"/>
      <c r="GJ158" t="inlineStr"/>
      <c r="GK158" t="inlineStr"/>
      <c r="GL158" t="inlineStr"/>
      <c r="GM158" t="inlineStr"/>
      <c r="GN158" t="inlineStr"/>
      <c r="GO158" t="inlineStr"/>
      <c r="GP158" t="inlineStr"/>
      <c r="GQ158" t="inlineStr"/>
      <c r="GR158" t="inlineStr"/>
      <c r="GS158" t="inlineStr"/>
      <c r="GT158" t="inlineStr"/>
      <c r="GU158" t="inlineStr"/>
      <c r="GV158" t="inlineStr"/>
      <c r="GW158" t="inlineStr"/>
      <c r="GX158" t="inlineStr"/>
      <c r="GY158" t="inlineStr"/>
      <c r="GZ158" t="inlineStr"/>
      <c r="HA158" t="inlineStr">
        <is>
          <t>1551</t>
        </is>
      </c>
      <c r="HB158" t="inlineStr">
        <is>
          <t>Student (1551)</t>
        </is>
      </c>
      <c r="HC158" t="inlineStr"/>
      <c r="HD158" t="inlineStr"/>
      <c r="HE158" t="inlineStr"/>
      <c r="HF158" t="inlineStr"/>
      <c r="HG158" t="inlineStr"/>
      <c r="HH158" t="inlineStr"/>
      <c r="HI158" t="inlineStr"/>
      <c r="HJ158" t="inlineStr"/>
      <c r="HK158" t="inlineStr">
        <is>
          <t>84</t>
        </is>
      </c>
      <c r="HL158" t="inlineStr">
        <is>
          <t>Master’s Degree in Global Business &amp; Society (84)</t>
        </is>
      </c>
      <c r="HM158" t="inlineStr"/>
      <c r="HN158" t="inlineStr"/>
      <c r="HO158" t="inlineStr"/>
      <c r="HP158" t="inlineStr"/>
      <c r="HQ158" t="inlineStr"/>
      <c r="HR158" t="inlineStr"/>
      <c r="HS158" t="inlineStr"/>
      <c r="HT158" t="inlineStr"/>
      <c r="HU158" t="inlineStr"/>
      <c r="HV158" t="inlineStr"/>
      <c r="HW158" t="inlineStr"/>
      <c r="HX158" t="inlineStr"/>
      <c r="HY158" t="inlineStr"/>
      <c r="HZ158" t="inlineStr"/>
      <c r="IA158" t="inlineStr"/>
      <c r="IB158" t="inlineStr"/>
      <c r="IC158" t="inlineStr"/>
      <c r="ID158" t="inlineStr"/>
      <c r="IE158" t="inlineStr"/>
      <c r="IF158" t="inlineStr"/>
      <c r="IG158" t="inlineStr"/>
      <c r="IH158" t="inlineStr"/>
      <c r="II158" t="inlineStr"/>
      <c r="IJ158" t="inlineStr"/>
      <c r="IK158" t="inlineStr"/>
      <c r="IL158" t="inlineStr"/>
      <c r="IM158" t="inlineStr"/>
      <c r="IN158" t="inlineStr"/>
      <c r="IO158" t="inlineStr"/>
      <c r="IP158" t="inlineStr"/>
      <c r="IQ158" t="inlineStr"/>
      <c r="IR158" t="inlineStr"/>
      <c r="IS158">
        <f>IF(input_content_type="",FALSE,ISNUMBER(SEARCH(","&amp;LOWER(input_content_type)&amp;",",","&amp;LOWER(F158)&amp;",")))</f>
        <v/>
      </c>
      <c r="IT158">
        <f>AND(IF(M158="",TRUE,IF(input_affiliations="",FALSE,SUMPRODUCT(--ISNUMBER(SEARCH(","&amp;TRIM(TEXTSPLIT(M158,","))&amp;",",","&amp;SUBSTITUTE(input_affiliations," ","")&amp;",")))&gt;0)),IF(O158="",TRUE,IF(input_affiliations="",FALSE,SUMPRODUCT(--ISNUMBER(SEARCH(","&amp;TRIM(TEXTSPLIT(O158,","))&amp;",",","&amp;SUBSTITUTE(input_affiliations," ","")&amp;",")))=COUNTA(TEXTSPLIT(O158,",")))),IF(Q158="",TRUE,IF(input_affiliations="",TRUE,SUMPRODUCT(--ISNUMBER(SEARCH(","&amp;TRIM(TEXTSPLIT(Q158,","))&amp;",",","&amp;SUBSTITUTE(input_affiliations," ","")&amp;",")))=0)),IF(S158="",TRUE,IF(input_affiliations="",FALSE,SUMPRODUCT(--ISNUMBER(SEARCH(","&amp;TRIM(TEXTSPLIT(S158,","))&amp;",",","&amp;SUBSTITUTE(input_affiliations," ","")&amp;",")))&gt;0)),IF(U158="",TRUE,IF(input_affiliations="",FALSE,SUMPRODUCT(--ISNUMBER(SEARCH(","&amp;TRIM(TEXTSPLIT(U158,","))&amp;",",","&amp;SUBSTITUTE(input_affiliations," ","")&amp;",")))=COUNTA(TEXTSPLIT(U158,",")))))</f>
        <v/>
      </c>
      <c r="IU158">
        <f>AND(IF(W158="",TRUE,IF(input_announcement_category="",FALSE,SUMPRODUCT(--ISNUMBER(SEARCH(","&amp;TRIM(TEXTSPLIT(W158,","))&amp;",",","&amp;SUBSTITUTE(input_announcement_category," ","")&amp;",")))&gt;0)),IF(Y158="",TRUE,IF(input_announcement_category="",FALSE,SUMPRODUCT(--ISNUMBER(SEARCH(","&amp;TRIM(TEXTSPLIT(Y158,","))&amp;",",","&amp;SUBSTITUTE(input_announcement_category," ","")&amp;",")))=COUNTA(TEXTSPLIT(Y158,",")))),IF(AA158="",TRUE,IF(input_announcement_category="",TRUE,SUMPRODUCT(--ISNUMBER(SEARCH(","&amp;TRIM(TEXTSPLIT(AA158,","))&amp;",",","&amp;SUBSTITUTE(input_announcement_category," ","")&amp;",")))=0)),IF(AC158="",TRUE,IF(input_announcement_category="",FALSE,SUMPRODUCT(--ISNUMBER(SEARCH(","&amp;TRIM(TEXTSPLIT(AC158,","))&amp;",",","&amp;SUBSTITUTE(input_announcement_category," ","")&amp;",")))&gt;0)),IF(AE158="",TRUE,IF(input_announcement_category="",FALSE,SUMPRODUCT(--ISNUMBER(SEARCH(","&amp;TRIM(TEXTSPLIT(AE158,","))&amp;",",","&amp;SUBSTITUTE(input_announcement_category," ","")&amp;",")))=COUNTA(TEXTSPLIT(AE158,",")))))</f>
        <v/>
      </c>
      <c r="IV158">
        <f>AND(IF(AG158="",TRUE,IF(input_area_of_focus="",FALSE,SUMPRODUCT(--ISNUMBER(SEARCH(","&amp;TRIM(TEXTSPLIT(AG158,","))&amp;",",","&amp;SUBSTITUTE(input_area_of_focus," ","")&amp;",")))&gt;0)),IF(AI158="",TRUE,IF(input_area_of_focus="",FALSE,SUMPRODUCT(--ISNUMBER(SEARCH(","&amp;TRIM(TEXTSPLIT(AI158,","))&amp;",",","&amp;SUBSTITUTE(input_area_of_focus," ","")&amp;",")))=COUNTA(TEXTSPLIT(AI158,",")))),IF(AK158="",TRUE,IF(input_area_of_focus="",TRUE,SUMPRODUCT(--ISNUMBER(SEARCH(","&amp;TRIM(TEXTSPLIT(AK158,","))&amp;",",","&amp;SUBSTITUTE(input_area_of_focus," ","")&amp;",")))=0)),IF(AM158="",TRUE,IF(input_area_of_focus="",FALSE,SUMPRODUCT(--ISNUMBER(SEARCH(","&amp;TRIM(TEXTSPLIT(AM158,","))&amp;",",","&amp;SUBSTITUTE(input_area_of_focus," ","")&amp;",")))&gt;0)),IF(AO158="",TRUE,IF(input_area_of_focus="",FALSE,SUMPRODUCT(--ISNUMBER(SEARCH(","&amp;TRIM(TEXTSPLIT(AO158,","))&amp;",",","&amp;SUBSTITUTE(input_area_of_focus," ","")&amp;",")))=COUNTA(TEXTSPLIT(AO158,",")))))</f>
        <v/>
      </c>
      <c r="IW158">
        <f>AND(IF(AQ158="",TRUE,IF(input_audience="",FALSE,SUMPRODUCT(--ISNUMBER(SEARCH(","&amp;TRIM(TEXTSPLIT(AQ158,","))&amp;",",","&amp;SUBSTITUTE(input_audience," ","")&amp;",")))&gt;0)),IF(AS158="",TRUE,IF(input_audience="",FALSE,SUMPRODUCT(--ISNUMBER(SEARCH(","&amp;TRIM(TEXTSPLIT(AS158,","))&amp;",",","&amp;SUBSTITUTE(input_audience," ","")&amp;",")))=COUNTA(TEXTSPLIT(AS158,",")))),IF(AU158="",TRUE,IF(input_audience="",TRUE,SUMPRODUCT(--ISNUMBER(SEARCH(","&amp;TRIM(TEXTSPLIT(AU158,","))&amp;",",","&amp;SUBSTITUTE(input_audience," ","")&amp;",")))=0)),IF(AW158="",TRUE,IF(input_audience="",FALSE,SUMPRODUCT(--ISNUMBER(SEARCH(","&amp;TRIM(TEXTSPLIT(AW158,","))&amp;",",","&amp;SUBSTITUTE(input_audience," ","")&amp;",")))&gt;0)),IF(AY158="",TRUE,IF(input_audience="",FALSE,SUMPRODUCT(--ISNUMBER(SEARCH(","&amp;TRIM(TEXTSPLIT(AY158,","))&amp;",",","&amp;SUBSTITUTE(input_audience," ","")&amp;",")))=COUNTA(TEXTSPLIT(AY158,",")))))</f>
        <v/>
      </c>
      <c r="IX158">
        <f>AND(IF(BA158="",TRUE,IF(input_challenge_opportunities="",FALSE,SUMPRODUCT(--ISNUMBER(SEARCH(","&amp;TRIM(TEXTSPLIT(BA158,","))&amp;",",","&amp;SUBSTITUTE(input_challenge_opportunities," ","")&amp;",")))&gt;0)),IF(BC158="",TRUE,IF(input_challenge_opportunities="",FALSE,SUMPRODUCT(--ISNUMBER(SEARCH(","&amp;TRIM(TEXTSPLIT(BC158,","))&amp;",",","&amp;SUBSTITUTE(input_challenge_opportunities," ","")&amp;",")))=COUNTA(TEXTSPLIT(BC158,",")))),IF(BE158="",TRUE,IF(input_challenge_opportunities="",TRUE,SUMPRODUCT(--ISNUMBER(SEARCH(","&amp;TRIM(TEXTSPLIT(BE158,","))&amp;",",","&amp;SUBSTITUTE(input_challenge_opportunities," ","")&amp;",")))=0)),IF(BG158="",TRUE,IF(input_challenge_opportunities="",FALSE,SUMPRODUCT(--ISNUMBER(SEARCH(","&amp;TRIM(TEXTSPLIT(BG158,","))&amp;",",","&amp;SUBSTITUTE(input_challenge_opportunities," ","")&amp;",")))&gt;0)),IF(BI158="",TRUE,IF(input_challenge_opportunities="",FALSE,SUMPRODUCT(--ISNUMBER(SEARCH(","&amp;TRIM(TEXTSPLIT(BI158,","))&amp;",",","&amp;SUBSTITUTE(input_challenge_opportunities," ","")&amp;",")))=COUNTA(TEXTSPLIT(BI158,",")))))</f>
        <v/>
      </c>
      <c r="IY158">
        <f>AND(IF(BK158="",TRUE,IF(input_context="",FALSE,SUMPRODUCT(--ISNUMBER(SEARCH(","&amp;TRIM(TEXTSPLIT(BK158,","))&amp;",",","&amp;SUBSTITUTE(input_context," ","")&amp;",")))&gt;0)),IF(BM158="",TRUE,IF(input_context="",FALSE,SUMPRODUCT(--ISNUMBER(SEARCH(","&amp;TRIM(TEXTSPLIT(BM158,","))&amp;",",","&amp;SUBSTITUTE(input_context," ","")&amp;",")))=COUNTA(TEXTSPLIT(BM158,",")))),IF(BO158="",TRUE,IF(input_context="",TRUE,SUMPRODUCT(--ISNUMBER(SEARCH(","&amp;TRIM(TEXTSPLIT(BO158,","))&amp;",",","&amp;SUBSTITUTE(input_context," ","")&amp;",")))=0)),IF(BQ158="",TRUE,IF(input_context="",FALSE,SUMPRODUCT(--ISNUMBER(SEARCH(","&amp;TRIM(TEXTSPLIT(BQ158,","))&amp;",",","&amp;SUBSTITUTE(input_context," ","")&amp;",")))&gt;0)),IF(BS158="",TRUE,IF(input_context="",FALSE,SUMPRODUCT(--ISNUMBER(SEARCH(","&amp;TRIM(TEXTSPLIT(BS158,","))&amp;",",","&amp;SUBSTITUTE(input_context," ","")&amp;",")))=COUNTA(TEXTSPLIT(BS158,",")))))</f>
        <v/>
      </c>
      <c r="IZ158">
        <f>AND(IF(BU158="",TRUE,IF(input_enews_announcement_type="",FALSE,SUMPRODUCT(--ISNUMBER(SEARCH(","&amp;TRIM(TEXTSPLIT(BU158,","))&amp;",",","&amp;SUBSTITUTE(input_enews_announcement_type," ","")&amp;",")))&gt;0)),IF(BW158="",TRUE,IF(input_enews_announcement_type="",FALSE,SUMPRODUCT(--ISNUMBER(SEARCH(","&amp;TRIM(TEXTSPLIT(BW158,","))&amp;",",","&amp;SUBSTITUTE(input_enews_announcement_type," ","")&amp;",")))=COUNTA(TEXTSPLIT(BW158,",")))),IF(BY158="",TRUE,IF(input_enews_announcement_type="",TRUE,SUMPRODUCT(--ISNUMBER(SEARCH(","&amp;TRIM(TEXTSPLIT(BY158,","))&amp;",",","&amp;SUBSTITUTE(input_enews_announcement_type," ","")&amp;",")))=0)),IF(CA158="",TRUE,IF(input_enews_announcement_type="",FALSE,SUMPRODUCT(--ISNUMBER(SEARCH(","&amp;TRIM(TEXTSPLIT(CA158,","))&amp;",",","&amp;SUBSTITUTE(input_enews_announcement_type," ","")&amp;",")))&gt;0)),IF(CC158="",TRUE,IF(input_enews_announcement_type="",FALSE,SUMPRODUCT(--ISNUMBER(SEARCH(","&amp;TRIM(TEXTSPLIT(CC158,","))&amp;",",","&amp;SUBSTITUTE(input_enews_announcement_type," ","")&amp;",")))=COUNTA(TEXTSPLIT(CC158,",")))))</f>
        <v/>
      </c>
      <c r="JA158">
        <f>AND(IF(CE158="",TRUE,IF(input_enews_audience="",FALSE,SUMPRODUCT(--ISNUMBER(SEARCH(","&amp;TRIM(TEXTSPLIT(CE158,","))&amp;",",","&amp;SUBSTITUTE(input_enews_audience," ","")&amp;",")))&gt;0)),IF(CG158="",TRUE,IF(input_enews_audience="",FALSE,SUMPRODUCT(--ISNUMBER(SEARCH(","&amp;TRIM(TEXTSPLIT(CG158,","))&amp;",",","&amp;SUBSTITUTE(input_enews_audience," ","")&amp;",")))=COUNTA(TEXTSPLIT(CG158,",")))),IF(CI158="",TRUE,IF(input_enews_audience="",TRUE,SUMPRODUCT(--ISNUMBER(SEARCH(","&amp;TRIM(TEXTSPLIT(CI158,","))&amp;",",","&amp;SUBSTITUTE(input_enews_audience," ","")&amp;",")))=0)),IF(CK158="",TRUE,IF(input_enews_audience="",FALSE,SUMPRODUCT(--ISNUMBER(SEARCH(","&amp;TRIM(TEXTSPLIT(CK158,","))&amp;",",","&amp;SUBSTITUTE(input_enews_audience," ","")&amp;",")))&gt;0)),IF(CM158="",TRUE,IF(input_enews_audience="",FALSE,SUMPRODUCT(--ISNUMBER(SEARCH(","&amp;TRIM(TEXTSPLIT(CM158,","))&amp;",",","&amp;SUBSTITUTE(input_enews_audience," ","")&amp;",")))=COUNTA(TEXTSPLIT(CM158,",")))))</f>
        <v/>
      </c>
      <c r="JB158">
        <f>AND(IF(CO158="",TRUE,IF(input_event_location="",FALSE,SUMPRODUCT(--ISNUMBER(SEARCH(","&amp;TRIM(TEXTSPLIT(CO158,","))&amp;",",","&amp;SUBSTITUTE(input_event_location," ","")&amp;",")))&gt;0)),IF(CQ158="",TRUE,IF(input_event_location="",FALSE,SUMPRODUCT(--ISNUMBER(SEARCH(","&amp;TRIM(TEXTSPLIT(CQ158,","))&amp;",",","&amp;SUBSTITUTE(input_event_location," ","")&amp;",")))=COUNTA(TEXTSPLIT(CQ158,",")))),IF(CS158="",TRUE,IF(input_event_location="",TRUE,SUMPRODUCT(--ISNUMBER(SEARCH(","&amp;TRIM(TEXTSPLIT(CS158,","))&amp;",",","&amp;SUBSTITUTE(input_event_location," ","")&amp;",")))=0)),IF(CU158="",TRUE,IF(input_event_location="",FALSE,SUMPRODUCT(--ISNUMBER(SEARCH(","&amp;TRIM(TEXTSPLIT(CU158,","))&amp;",",","&amp;SUBSTITUTE(input_event_location," ","")&amp;",")))&gt;0)),IF(CW158="",TRUE,IF(input_event_location="",FALSE,SUMPRODUCT(--ISNUMBER(SEARCH(","&amp;TRIM(TEXTSPLIT(CW158,","))&amp;",",","&amp;SUBSTITUTE(input_event_location," ","")&amp;",")))=COUNTA(TEXTSPLIT(CW158,",")))))</f>
        <v/>
      </c>
      <c r="JC158">
        <f>AND(IF(CY158="",TRUE,IF(input_event_type="",FALSE,SUMPRODUCT(--ISNUMBER(SEARCH(","&amp;TRIM(TEXTSPLIT(CY158,","))&amp;",",","&amp;SUBSTITUTE(input_event_type," ","")&amp;",")))&gt;0)),IF(DA158="",TRUE,IF(input_event_type="",FALSE,SUMPRODUCT(--ISNUMBER(SEARCH(","&amp;TRIM(TEXTSPLIT(DA158,","))&amp;",",","&amp;SUBSTITUTE(input_event_type," ","")&amp;",")))=COUNTA(TEXTSPLIT(DA158,",")))),IF(DC158="",TRUE,IF(input_event_type="",TRUE,SUMPRODUCT(--ISNUMBER(SEARCH(","&amp;TRIM(TEXTSPLIT(DC158,","))&amp;",",","&amp;SUBSTITUTE(input_event_type," ","")&amp;",")))=0)),IF(DE158="",TRUE,IF(input_event_type="",FALSE,SUMPRODUCT(--ISNUMBER(SEARCH(","&amp;TRIM(TEXTSPLIT(DE158,","))&amp;",",","&amp;SUBSTITUTE(input_event_type," ","")&amp;",")))&gt;0)),IF(DG158="",TRUE,IF(input_event_type="",FALSE,SUMPRODUCT(--ISNUMBER(SEARCH(","&amp;TRIM(TEXTSPLIT(DG158,","))&amp;",",","&amp;SUBSTITUTE(input_event_type," ","")&amp;",")))=COUNTA(TEXTSPLIT(DG158,",")))))</f>
        <v/>
      </c>
      <c r="JD158">
        <f>AND(IF(DI158="",TRUE,IF(input_executive_education_focus="",FALSE,SUMPRODUCT(--ISNUMBER(SEARCH(","&amp;TRIM(TEXTSPLIT(DI158,","))&amp;",",","&amp;SUBSTITUTE(input_executive_education_focus," ","")&amp;",")))&gt;0)),IF(DK158="",TRUE,IF(input_executive_education_focus="",FALSE,SUMPRODUCT(--ISNUMBER(SEARCH(","&amp;TRIM(TEXTSPLIT(DK158,","))&amp;",",","&amp;SUBSTITUTE(input_executive_education_focus," ","")&amp;",")))=COUNTA(TEXTSPLIT(DK158,",")))),IF(DM158="",TRUE,IF(input_executive_education_focus="",TRUE,SUMPRODUCT(--ISNUMBER(SEARCH(","&amp;TRIM(TEXTSPLIT(DM158,","))&amp;",",","&amp;SUBSTITUTE(input_executive_education_focus," ","")&amp;",")))=0)),IF(DO158="",TRUE,IF(input_executive_education_focus="",FALSE,SUMPRODUCT(--ISNUMBER(SEARCH(","&amp;TRIM(TEXTSPLIT(DO158,","))&amp;",",","&amp;SUBSTITUTE(input_executive_education_focus," ","")&amp;",")))&gt;0)),IF(DQ158="",TRUE,IF(input_executive_education_focus="",FALSE,SUMPRODUCT(--ISNUMBER(SEARCH(","&amp;TRIM(TEXTSPLIT(DQ158,","))&amp;",",","&amp;SUBSTITUTE(input_executive_education_focus," ","")&amp;",")))=COUNTA(TEXTSPLIT(DQ158,",")))))</f>
        <v/>
      </c>
      <c r="JE158">
        <f>AND(IF(DS158="",TRUE,IF(input_faculty_category="",FALSE,SUMPRODUCT(--ISNUMBER(SEARCH(","&amp;TRIM(TEXTSPLIT(DS158,","))&amp;",",","&amp;SUBSTITUTE(input_faculty_category," ","")&amp;",")))&gt;0)),IF(DU158="",TRUE,IF(input_faculty_category="",FALSE,SUMPRODUCT(--ISNUMBER(SEARCH(","&amp;TRIM(TEXTSPLIT(DU158,","))&amp;",",","&amp;SUBSTITUTE(input_faculty_category," ","")&amp;",")))=COUNTA(TEXTSPLIT(DU158,",")))),IF(DW158="",TRUE,IF(input_faculty_category="",TRUE,SUMPRODUCT(--ISNUMBER(SEARCH(","&amp;TRIM(TEXTSPLIT(DW158,","))&amp;",",","&amp;SUBSTITUTE(input_faculty_category," ","")&amp;",")))=0)),IF(DY158="",TRUE,IF(input_faculty_category="",FALSE,SUMPRODUCT(--ISNUMBER(SEARCH(","&amp;TRIM(TEXTSPLIT(DY158,","))&amp;",",","&amp;SUBSTITUTE(input_faculty_category," ","")&amp;",")))&gt;0)),IF(EA158="",TRUE,IF(input_faculty_category="",FALSE,SUMPRODUCT(--ISNUMBER(SEARCH(","&amp;TRIM(TEXTSPLIT(EA158,","))&amp;",",","&amp;SUBSTITUTE(input_faculty_category," ","")&amp;",")))=COUNTA(TEXTSPLIT(EA158,",")))))</f>
        <v/>
      </c>
      <c r="JF158">
        <f>AND(IF(EC158="",TRUE,IF(input_faculty_discipline="",FALSE,SUMPRODUCT(--ISNUMBER(SEARCH(","&amp;TRIM(TEXTSPLIT(EC158,","))&amp;",",","&amp;SUBSTITUTE(input_faculty_discipline," ","")&amp;",")))&gt;0)),IF(EE158="",TRUE,IF(input_faculty_discipline="",FALSE,SUMPRODUCT(--ISNUMBER(SEARCH(","&amp;TRIM(TEXTSPLIT(EE158,","))&amp;",",","&amp;SUBSTITUTE(input_faculty_discipline," ","")&amp;",")))=COUNTA(TEXTSPLIT(EE158,",")))),IF(EG158="",TRUE,IF(input_faculty_discipline="",TRUE,SUMPRODUCT(--ISNUMBER(SEARCH(","&amp;TRIM(TEXTSPLIT(EG158,","))&amp;",",","&amp;SUBSTITUTE(input_faculty_discipline," ","")&amp;",")))=0)),IF(EI158="",TRUE,IF(input_faculty_discipline="",FALSE,SUMPRODUCT(--ISNUMBER(SEARCH(","&amp;TRIM(TEXTSPLIT(EI158,","))&amp;",",","&amp;SUBSTITUTE(input_faculty_discipline," ","")&amp;",")))&gt;0)),IF(EK158="",TRUE,IF(input_faculty_discipline="",FALSE,SUMPRODUCT(--ISNUMBER(SEARCH(","&amp;TRIM(TEXTSPLIT(EK158,","))&amp;",",","&amp;SUBSTITUTE(input_faculty_discipline," ","")&amp;",")))=COUNTA(TEXTSPLIT(EK158,",")))))</f>
        <v/>
      </c>
      <c r="JG158">
        <f>AND(IF(EM158="",TRUE,IF(input_faculty_expertise="",FALSE,SUMPRODUCT(--ISNUMBER(SEARCH(","&amp;TRIM(TEXTSPLIT(EM158,","))&amp;",",","&amp;SUBSTITUTE(input_faculty_expertise," ","")&amp;",")))&gt;0)),IF(EO158="",TRUE,IF(input_faculty_expertise="",FALSE,SUMPRODUCT(--ISNUMBER(SEARCH(","&amp;TRIM(TEXTSPLIT(EO158,","))&amp;",",","&amp;SUBSTITUTE(input_faculty_expertise," ","")&amp;",")))=COUNTA(TEXTSPLIT(EO158,",")))),IF(EQ158="",TRUE,IF(input_faculty_expertise="",TRUE,SUMPRODUCT(--ISNUMBER(SEARCH(","&amp;TRIM(TEXTSPLIT(EQ158,","))&amp;",",","&amp;SUBSTITUTE(input_faculty_expertise," ","")&amp;",")))=0)),IF(ES158="",TRUE,IF(input_faculty_expertise="",FALSE,SUMPRODUCT(--ISNUMBER(SEARCH(","&amp;TRIM(TEXTSPLIT(ES158,","))&amp;",",","&amp;SUBSTITUTE(input_faculty_expertise," ","")&amp;",")))&gt;0)),IF(EU158="",TRUE,IF(input_faculty_expertise="",FALSE,SUMPRODUCT(--ISNUMBER(SEARCH(","&amp;TRIM(TEXTSPLIT(EU158,","))&amp;",",","&amp;SUBSTITUTE(input_faculty_expertise," ","")&amp;",")))=COUNTA(TEXTSPLIT(EU158,",")))))</f>
        <v/>
      </c>
      <c r="JH158">
        <f>AND(IF(EW158="",TRUE,IF(input_global_network_school="",FALSE,SUMPRODUCT(--ISNUMBER(SEARCH(","&amp;TRIM(TEXTSPLIT(EW158,","))&amp;",",","&amp;SUBSTITUTE(input_global_network_school," ","")&amp;",")))&gt;0)),IF(EY158="",TRUE,IF(input_global_network_school="",FALSE,SUMPRODUCT(--ISNUMBER(SEARCH(","&amp;TRIM(TEXTSPLIT(EY158,","))&amp;",",","&amp;SUBSTITUTE(input_global_network_school," ","")&amp;",")))=COUNTA(TEXTSPLIT(EY158,",")))),IF(FA158="",TRUE,IF(input_global_network_school="",TRUE,SUMPRODUCT(--ISNUMBER(SEARCH(","&amp;TRIM(TEXTSPLIT(FA158,","))&amp;",",","&amp;SUBSTITUTE(input_global_network_school," ","")&amp;",")))=0)),IF(FC158="",TRUE,IF(input_global_network_school="",FALSE,SUMPRODUCT(--ISNUMBER(SEARCH(","&amp;TRIM(TEXTSPLIT(FC158,","))&amp;",",","&amp;SUBSTITUTE(input_global_network_school," ","")&amp;",")))&gt;0)),IF(FE158="",TRUE,IF(input_global_network_school="",FALSE,SUMPRODUCT(--ISNUMBER(SEARCH(","&amp;TRIM(TEXTSPLIT(FE158,","))&amp;",",","&amp;SUBSTITUTE(input_global_network_school," ","")&amp;",")))=COUNTA(TEXTSPLIT(FE158,",")))))</f>
        <v/>
      </c>
      <c r="JI158">
        <f>AND(IF(FG158="",TRUE,IF(input_industry="",FALSE,SUMPRODUCT(--ISNUMBER(SEARCH(","&amp;TRIM(TEXTSPLIT(FG158,","))&amp;",",","&amp;SUBSTITUTE(input_industry," ","")&amp;",")))&gt;0)),IF(FI158="",TRUE,IF(input_industry="",FALSE,SUMPRODUCT(--ISNUMBER(SEARCH(","&amp;TRIM(TEXTSPLIT(FI158,","))&amp;",",","&amp;SUBSTITUTE(input_industry," ","")&amp;",")))=COUNTA(TEXTSPLIT(FI158,",")))),IF(FK158="",TRUE,IF(input_industry="",TRUE,SUMPRODUCT(--ISNUMBER(SEARCH(","&amp;TRIM(TEXTSPLIT(FK158,","))&amp;",",","&amp;SUBSTITUTE(input_industry," ","")&amp;",")))=0)),IF(FM158="",TRUE,IF(input_industry="",FALSE,SUMPRODUCT(--ISNUMBER(SEARCH(","&amp;TRIM(TEXTSPLIT(FM158,","))&amp;",",","&amp;SUBSTITUTE(input_industry," ","")&amp;",")))&gt;0)),IF(FO158="",TRUE,IF(input_industry="",FALSE,SUMPRODUCT(--ISNUMBER(SEARCH(","&amp;TRIM(TEXTSPLIT(FO158,","))&amp;",",","&amp;SUBSTITUTE(input_industry," ","")&amp;",")))=COUNTA(TEXTSPLIT(FO158,",")))))</f>
        <v/>
      </c>
      <c r="JJ158">
        <f>AND(IF(FQ158="",TRUE,IF(input_location="",FALSE,SUMPRODUCT(--ISNUMBER(SEARCH(","&amp;TRIM(TEXTSPLIT(FQ158,","))&amp;",",","&amp;SUBSTITUTE(input_location," ","")&amp;",")))&gt;0)),IF(FS158="",TRUE,IF(input_location="",FALSE,SUMPRODUCT(--ISNUMBER(SEARCH(","&amp;TRIM(TEXTSPLIT(FS158,","))&amp;",",","&amp;SUBSTITUTE(input_location," ","")&amp;",")))=COUNTA(TEXTSPLIT(FS158,",")))),IF(FU158="",TRUE,IF(input_location="",TRUE,SUMPRODUCT(--ISNUMBER(SEARCH(","&amp;TRIM(TEXTSPLIT(FU158,","))&amp;",",","&amp;SUBSTITUTE(input_location," ","")&amp;",")))=0)),IF(FW158="",TRUE,IF(input_location="",FALSE,SUMPRODUCT(--ISNUMBER(SEARCH(","&amp;TRIM(TEXTSPLIT(FW158,","))&amp;",",","&amp;SUBSTITUTE(input_location," ","")&amp;",")))&gt;0)),IF(FY158="",TRUE,IF(input_location="",FALSE,SUMPRODUCT(--ISNUMBER(SEARCH(","&amp;TRIM(TEXTSPLIT(FY158,","))&amp;",",","&amp;SUBSTITUTE(input_location," ","")&amp;",")))=COUNTA(TEXTSPLIT(FY158,",")))))</f>
        <v/>
      </c>
      <c r="JK158">
        <f>AND(IF(GA158="",TRUE,IF(input_modality="",FALSE,SUMPRODUCT(--ISNUMBER(SEARCH(","&amp;TRIM(TEXTSPLIT(GA158,","))&amp;",",","&amp;SUBSTITUTE(input_modality," ","")&amp;",")))&gt;0)),IF(GC158="",TRUE,IF(input_modality="",FALSE,SUMPRODUCT(--ISNUMBER(SEARCH(","&amp;TRIM(TEXTSPLIT(GC158,","))&amp;",",","&amp;SUBSTITUTE(input_modality," ","")&amp;",")))=COUNTA(TEXTSPLIT(GC158,",")))),IF(GE158="",TRUE,IF(input_modality="",TRUE,SUMPRODUCT(--ISNUMBER(SEARCH(","&amp;TRIM(TEXTSPLIT(GE158,","))&amp;",",","&amp;SUBSTITUTE(input_modality," ","")&amp;",")))=0)),IF(GG158="",TRUE,IF(input_modality="",FALSE,SUMPRODUCT(--ISNUMBER(SEARCH(","&amp;TRIM(TEXTSPLIT(GG158,","))&amp;",",","&amp;SUBSTITUTE(input_modality," ","")&amp;",")))&gt;0)),IF(GI158="",TRUE,IF(input_modality="",FALSE,SUMPRODUCT(--ISNUMBER(SEARCH(","&amp;TRIM(TEXTSPLIT(GI158,","))&amp;",",","&amp;SUBSTITUTE(input_modality," ","")&amp;",")))=COUNTA(TEXTSPLIT(GI158,",")))))</f>
        <v/>
      </c>
      <c r="JL158">
        <f>AND(IF(GK158="",TRUE,IF(input_organizer="",FALSE,SUMPRODUCT(--ISNUMBER(SEARCH(","&amp;TRIM(TEXTSPLIT(GK158,","))&amp;",",","&amp;SUBSTITUTE(input_organizer," ","")&amp;",")))&gt;0)),IF(GM158="",TRUE,IF(input_organizer="",FALSE,SUMPRODUCT(--ISNUMBER(SEARCH(","&amp;TRIM(TEXTSPLIT(GM158,","))&amp;",",","&amp;SUBSTITUTE(input_organizer," ","")&amp;",")))=COUNTA(TEXTSPLIT(GM158,",")))),IF(GO158="",TRUE,IF(input_organizer="",TRUE,SUMPRODUCT(--ISNUMBER(SEARCH(","&amp;TRIM(TEXTSPLIT(GO158,","))&amp;",",","&amp;SUBSTITUTE(input_organizer," ","")&amp;",")))=0)),IF(GQ158="",TRUE,IF(input_organizer="",FALSE,SUMPRODUCT(--ISNUMBER(SEARCH(","&amp;TRIM(TEXTSPLIT(GQ158,","))&amp;",",","&amp;SUBSTITUTE(input_organizer," ","")&amp;",")))&gt;0)),IF(GS158="",TRUE,IF(input_organizer="",FALSE,SUMPRODUCT(--ISNUMBER(SEARCH(","&amp;TRIM(TEXTSPLIT(GS158,","))&amp;",",","&amp;SUBSTITUTE(input_organizer," ","")&amp;",")))=COUNTA(TEXTSPLIT(GS158,",")))))</f>
        <v/>
      </c>
      <c r="JM158">
        <f>AND(IF(GU158="",TRUE,IF(input_profile_type="",FALSE,SUMPRODUCT(--ISNUMBER(SEARCH(","&amp;TRIM(TEXTSPLIT(GU158,","))&amp;",",","&amp;SUBSTITUTE(input_profile_type," ","")&amp;",")))&gt;0)),IF(GW158="",TRUE,IF(input_profile_type="",FALSE,SUMPRODUCT(--ISNUMBER(SEARCH(","&amp;TRIM(TEXTSPLIT(GW158,","))&amp;",",","&amp;SUBSTITUTE(input_profile_type," ","")&amp;",")))=COUNTA(TEXTSPLIT(GW158,",")))),IF(GY158="",TRUE,IF(input_profile_type="",TRUE,SUMPRODUCT(--ISNUMBER(SEARCH(","&amp;TRIM(TEXTSPLIT(GY158,","))&amp;",",","&amp;SUBSTITUTE(input_profile_type," ","")&amp;",")))=0)),IF(HA158="",TRUE,IF(input_profile_type="",FALSE,SUMPRODUCT(--ISNUMBER(SEARCH(","&amp;TRIM(TEXTSPLIT(HA158,","))&amp;",",","&amp;SUBSTITUTE(input_profile_type," ","")&amp;",")))&gt;0)),IF(HC158="",TRUE,IF(input_profile_type="",FALSE,SUMPRODUCT(--ISNUMBER(SEARCH(","&amp;TRIM(TEXTSPLIT(HC158,","))&amp;",",","&amp;SUBSTITUTE(input_profile_type," ","")&amp;",")))=COUNTA(TEXTSPLIT(HC158,",")))))</f>
        <v/>
      </c>
      <c r="JN158">
        <f>AND(IF(HE158="",TRUE,IF(input_program="",FALSE,SUMPRODUCT(--ISNUMBER(SEARCH(","&amp;TRIM(TEXTSPLIT(HE158,","))&amp;",",","&amp;SUBSTITUTE(input_program," ","")&amp;",")))&gt;0)),IF(HG158="",TRUE,IF(input_program="",FALSE,SUMPRODUCT(--ISNUMBER(SEARCH(","&amp;TRIM(TEXTSPLIT(HG158,","))&amp;",",","&amp;SUBSTITUTE(input_program," ","")&amp;",")))=COUNTA(TEXTSPLIT(HG158,",")))),IF(HI158="",TRUE,IF(input_program="",TRUE,SUMPRODUCT(--ISNUMBER(SEARCH(","&amp;TRIM(TEXTSPLIT(HI158,","))&amp;",",","&amp;SUBSTITUTE(input_program," ","")&amp;",")))=0)),IF(HK158="",TRUE,IF(input_program="",FALSE,SUMPRODUCT(--ISNUMBER(SEARCH(","&amp;TRIM(TEXTSPLIT(HK158,","))&amp;",",","&amp;SUBSTITUTE(input_program," ","")&amp;",")))&gt;0)),IF(HM158="",TRUE,IF(input_program="",FALSE,SUMPRODUCT(--ISNUMBER(SEARCH(","&amp;TRIM(TEXTSPLIT(HM158,","))&amp;",",","&amp;SUBSTITUTE(input_program," ","")&amp;",")))=COUNTA(TEXTSPLIT(HM158,",")))))</f>
        <v/>
      </c>
      <c r="JO158">
        <f>AND(IF(HO158="",TRUE,IF(input_story_categories="",FALSE,SUMPRODUCT(--ISNUMBER(SEARCH(","&amp;TRIM(TEXTSPLIT(HO158,","))&amp;",",","&amp;SUBSTITUTE(input_story_categories," ","")&amp;",")))&gt;0)),IF(HQ158="",TRUE,IF(input_story_categories="",FALSE,SUMPRODUCT(--ISNUMBER(SEARCH(","&amp;TRIM(TEXTSPLIT(HQ158,","))&amp;",",","&amp;SUBSTITUTE(input_story_categories," ","")&amp;",")))=COUNTA(TEXTSPLIT(HQ158,",")))),IF(HS158="",TRUE,IF(input_story_categories="",TRUE,SUMPRODUCT(--ISNUMBER(SEARCH(","&amp;TRIM(TEXTSPLIT(HS158,","))&amp;",",","&amp;SUBSTITUTE(input_story_categories," ","")&amp;",")))=0)),IF(HU158="",TRUE,IF(input_story_categories="",FALSE,SUMPRODUCT(--ISNUMBER(SEARCH(","&amp;TRIM(TEXTSPLIT(HU158,","))&amp;",",","&amp;SUBSTITUTE(input_story_categories," ","")&amp;",")))&gt;0)),IF(HW158="",TRUE,IF(input_story_categories="",FALSE,SUMPRODUCT(--ISNUMBER(SEARCH(","&amp;TRIM(TEXTSPLIT(HW158,","))&amp;",",","&amp;SUBSTITUTE(input_story_categories," ","")&amp;",")))=COUNTA(TEXTSPLIT(HW158,",")))))</f>
        <v/>
      </c>
      <c r="JP158">
        <f>AND(IF(HY158="",TRUE,IF(input_story_type="",FALSE,SUMPRODUCT(--ISNUMBER(SEARCH(","&amp;TRIM(TEXTSPLIT(HY158,","))&amp;",",","&amp;SUBSTITUTE(input_story_type," ","")&amp;",")))&gt;0)),IF(IA158="",TRUE,IF(input_story_type="",FALSE,SUMPRODUCT(--ISNUMBER(SEARCH(","&amp;TRIM(TEXTSPLIT(IA158,","))&amp;",",","&amp;SUBSTITUTE(input_story_type," ","")&amp;",")))=COUNTA(TEXTSPLIT(IA158,",")))),IF(IC158="",TRUE,IF(input_story_type="",TRUE,SUMPRODUCT(--ISNUMBER(SEARCH(","&amp;TRIM(TEXTSPLIT(IC158,","))&amp;",",","&amp;SUBSTITUTE(input_story_type," ","")&amp;",")))=0)),IF(IE158="",TRUE,IF(input_story_type="",FALSE,SUMPRODUCT(--ISNUMBER(SEARCH(","&amp;TRIM(TEXTSPLIT(IE158,","))&amp;",",","&amp;SUBSTITUTE(input_story_type," ","")&amp;",")))&gt;0)),IF(IG158="",TRUE,IF(input_story_type="",FALSE,SUMPRODUCT(--ISNUMBER(SEARCH(","&amp;TRIM(TEXTSPLIT(IG158,","))&amp;",",","&amp;SUBSTITUTE(input_story_type," ","")&amp;",")))=COUNTA(TEXTSPLIT(IG158,",")))))</f>
        <v/>
      </c>
      <c r="JQ158">
        <f>AND(IF(II158="",TRUE,IF(input_topics="",FALSE,SUMPRODUCT(--ISNUMBER(SEARCH(","&amp;TRIM(TEXTSPLIT(II158,","))&amp;",",","&amp;SUBSTITUTE(input_topics," ","")&amp;",")))&gt;0)),IF(IK158="",TRUE,IF(input_topics="",FALSE,SUMPRODUCT(--ISNUMBER(SEARCH(","&amp;TRIM(TEXTSPLIT(IK158,","))&amp;",",","&amp;SUBSTITUTE(input_topics," ","")&amp;",")))=COUNTA(TEXTSPLIT(IK158,",")))),IF(IM158="",TRUE,IF(input_topics="",TRUE,SUMPRODUCT(--ISNUMBER(SEARCH(","&amp;TRIM(TEXTSPLIT(IM158,","))&amp;",",","&amp;SUBSTITUTE(input_topics," ","")&amp;",")))=0)),IF(IO158="",TRUE,IF(input_topics="",FALSE,SUMPRODUCT(--ISNUMBER(SEARCH(","&amp;TRIM(TEXTSPLIT(IO158,","))&amp;",",","&amp;SUBSTITUTE(input_topics," ","")&amp;",")))&gt;0)),IF(IQ158="",TRUE,IF(input_topics="",FALSE,SUMPRODUCT(--ISNUMBER(SEARCH(","&amp;TRIM(TEXTSPLIT(IQ158,","))&amp;",",","&amp;SUBSTITUTE(input_topics," ","")&amp;",")))=COUNTA(TEXTSPLIT(IQ158,",")))))</f>
        <v/>
      </c>
    </row>
    <row r="159">
      <c r="A159" s="4">
        <f>IF(NOT(IS159),"Excluded",IF(AND(IT159,IU159,IV159,IW159,IX159,IY159,IZ159,JA159,JB159,JC159,JD159,JE159,JF159,JG159,JH159,JI159,JJ159,JK159,JL159,JM159,JN159,JO159,JP159,JQ159),IF(I159&gt;0,"Eligible but limited","Will appear"),"Excluded"))</f>
        <v/>
      </c>
      <c r="B159" s="4" t="inlineStr">
        <is>
          <t>Related profiles on profile pages</t>
        </is>
      </c>
      <c r="C159" s="4" t="inlineStr">
        <is>
          <t>/profile/ali-nourang-syed-24</t>
        </is>
      </c>
      <c r="D159" s="4" t="inlineStr">
        <is>
          <t>/profile/ali-nourang-syed-24
/profile/grace-gorman-24
/profile/jackie-peszynski-24</t>
        </is>
      </c>
      <c r="E159" s="4" t="n">
        <v>29</v>
      </c>
      <c r="F159" s="4" t="inlineStr">
        <is>
          <t>profile</t>
        </is>
      </c>
      <c r="G159" s="4" t="inlineStr">
        <is>
          <t>profiles_grid</t>
        </is>
      </c>
      <c r="H159" s="4" t="inlineStr">
        <is>
          <t>related</t>
        </is>
      </c>
      <c r="I159" s="4" t="n">
        <v>3</v>
      </c>
      <c r="J159" s="4" t="inlineStr">
        <is>
          <t>Explicit args</t>
        </is>
      </c>
      <c r="K159" s="4" t="inlineStr">
        <is>
          <t>Grouped surface</t>
        </is>
      </c>
      <c r="L159" s="4" t="inlineStr">
        <is>
          <t>Content type: profile; Context uses Profile Type: Student (1551); Context uses Program: MBA (4); Limited to 3 item(s); Source: Explicit args</t>
        </is>
      </c>
      <c r="M159" t="inlineStr"/>
      <c r="N159" t="inlineStr"/>
      <c r="O159" t="inlineStr"/>
      <c r="P159" t="inlineStr"/>
      <c r="Q159" t="inlineStr"/>
      <c r="R159" t="inlineStr"/>
      <c r="S159" t="inlineStr"/>
      <c r="T159" t="inlineStr"/>
      <c r="U159" t="inlineStr"/>
      <c r="V159" t="inlineStr"/>
      <c r="W159" t="inlineStr"/>
      <c r="X159" t="inlineStr"/>
      <c r="Y159" t="inlineStr"/>
      <c r="Z159" t="inlineStr"/>
      <c r="AA159" t="inlineStr"/>
      <c r="AB159" t="inlineStr"/>
      <c r="AC159" t="inlineStr"/>
      <c r="AD159" t="inlineStr"/>
      <c r="AE159" t="inlineStr"/>
      <c r="AF159" t="inlineStr"/>
      <c r="AG159" t="inlineStr"/>
      <c r="AH159" t="inlineStr"/>
      <c r="AI159" t="inlineStr"/>
      <c r="AJ159" t="inlineStr"/>
      <c r="AK159" t="inlineStr"/>
      <c r="AL159" t="inlineStr"/>
      <c r="AM159" t="inlineStr"/>
      <c r="AN159" t="inlineStr"/>
      <c r="AO159" t="inlineStr"/>
      <c r="AP159" t="inlineStr"/>
      <c r="AQ159" t="inlineStr"/>
      <c r="AR159" t="inlineStr"/>
      <c r="AS159" t="inlineStr"/>
      <c r="AT159" t="inlineStr"/>
      <c r="AU159" t="inlineStr"/>
      <c r="AV159" t="inlineStr"/>
      <c r="AW159" t="inlineStr"/>
      <c r="AX159" t="inlineStr"/>
      <c r="AY159" t="inlineStr"/>
      <c r="AZ159" t="inlineStr"/>
      <c r="BA159" t="inlineStr"/>
      <c r="BB159" t="inlineStr"/>
      <c r="BC159" t="inlineStr"/>
      <c r="BD159" t="inlineStr"/>
      <c r="BE159" t="inlineStr"/>
      <c r="BF159" t="inlineStr"/>
      <c r="BG159" t="inlineStr"/>
      <c r="BH159" t="inlineStr"/>
      <c r="BI159" t="inlineStr"/>
      <c r="BJ159" t="inlineStr"/>
      <c r="BK159" t="inlineStr"/>
      <c r="BL159" t="inlineStr"/>
      <c r="BM159" t="inlineStr"/>
      <c r="BN159" t="inlineStr"/>
      <c r="BO159" t="inlineStr"/>
      <c r="BP159" t="inlineStr"/>
      <c r="BQ159" t="inlineStr"/>
      <c r="BR159" t="inlineStr"/>
      <c r="BS159" t="inlineStr"/>
      <c r="BT159" t="inlineStr"/>
      <c r="BU159" t="inlineStr"/>
      <c r="BV159" t="inlineStr"/>
      <c r="BW159" t="inlineStr"/>
      <c r="BX159" t="inlineStr"/>
      <c r="BY159" t="inlineStr"/>
      <c r="BZ159" t="inlineStr"/>
      <c r="CA159" t="inlineStr"/>
      <c r="CB159" t="inlineStr"/>
      <c r="CC159" t="inlineStr"/>
      <c r="CD159" t="inlineStr"/>
      <c r="CE159" t="inlineStr"/>
      <c r="CF159" t="inlineStr"/>
      <c r="CG159" t="inlineStr"/>
      <c r="CH159" t="inlineStr"/>
      <c r="CI159" t="inlineStr"/>
      <c r="CJ159" t="inlineStr"/>
      <c r="CK159" t="inlineStr"/>
      <c r="CL159" t="inlineStr"/>
      <c r="CM159" t="inlineStr"/>
      <c r="CN159" t="inlineStr"/>
      <c r="CO159" t="inlineStr"/>
      <c r="CP159" t="inlineStr"/>
      <c r="CQ159" t="inlineStr"/>
      <c r="CR159" t="inlineStr"/>
      <c r="CS159" t="inlineStr"/>
      <c r="CT159" t="inlineStr"/>
      <c r="CU159" t="inlineStr"/>
      <c r="CV159" t="inlineStr"/>
      <c r="CW159" t="inlineStr"/>
      <c r="CX159" t="inlineStr"/>
      <c r="CY159" t="inlineStr"/>
      <c r="CZ159" t="inlineStr"/>
      <c r="DA159" t="inlineStr"/>
      <c r="DB159" t="inlineStr"/>
      <c r="DC159" t="inlineStr"/>
      <c r="DD159" t="inlineStr"/>
      <c r="DE159" t="inlineStr"/>
      <c r="DF159" t="inlineStr"/>
      <c r="DG159" t="inlineStr"/>
      <c r="DH159" t="inlineStr"/>
      <c r="DI159" t="inlineStr"/>
      <c r="DJ159" t="inlineStr"/>
      <c r="DK159" t="inlineStr"/>
      <c r="DL159" t="inlineStr"/>
      <c r="DM159" t="inlineStr"/>
      <c r="DN159" t="inlineStr"/>
      <c r="DO159" t="inlineStr"/>
      <c r="DP159" t="inlineStr"/>
      <c r="DQ159" t="inlineStr"/>
      <c r="DR159" t="inlineStr"/>
      <c r="DS159" t="inlineStr"/>
      <c r="DT159" t="inlineStr"/>
      <c r="DU159" t="inlineStr"/>
      <c r="DV159" t="inlineStr"/>
      <c r="DW159" t="inlineStr"/>
      <c r="DX159" t="inlineStr"/>
      <c r="DY159" t="inlineStr"/>
      <c r="DZ159" t="inlineStr"/>
      <c r="EA159" t="inlineStr"/>
      <c r="EB159" t="inlineStr"/>
      <c r="EC159" t="inlineStr"/>
      <c r="ED159" t="inlineStr"/>
      <c r="EE159" t="inlineStr"/>
      <c r="EF159" t="inlineStr"/>
      <c r="EG159" t="inlineStr"/>
      <c r="EH159" t="inlineStr"/>
      <c r="EI159" t="inlineStr"/>
      <c r="EJ159" t="inlineStr"/>
      <c r="EK159" t="inlineStr"/>
      <c r="EL159" t="inlineStr"/>
      <c r="EM159" t="inlineStr"/>
      <c r="EN159" t="inlineStr"/>
      <c r="EO159" t="inlineStr"/>
      <c r="EP159" t="inlineStr"/>
      <c r="EQ159" t="inlineStr"/>
      <c r="ER159" t="inlineStr"/>
      <c r="ES159" t="inlineStr"/>
      <c r="ET159" t="inlineStr"/>
      <c r="EU159" t="inlineStr"/>
      <c r="EV159" t="inlineStr"/>
      <c r="EW159" t="inlineStr"/>
      <c r="EX159" t="inlineStr"/>
      <c r="EY159" t="inlineStr"/>
      <c r="EZ159" t="inlineStr"/>
      <c r="FA159" t="inlineStr"/>
      <c r="FB159" t="inlineStr"/>
      <c r="FC159" t="inlineStr"/>
      <c r="FD159" t="inlineStr"/>
      <c r="FE159" t="inlineStr"/>
      <c r="FF159" t="inlineStr"/>
      <c r="FG159" t="inlineStr"/>
      <c r="FH159" t="inlineStr"/>
      <c r="FI159" t="inlineStr"/>
      <c r="FJ159" t="inlineStr"/>
      <c r="FK159" t="inlineStr"/>
      <c r="FL159" t="inlineStr"/>
      <c r="FM159" t="inlineStr"/>
      <c r="FN159" t="inlineStr"/>
      <c r="FO159" t="inlineStr"/>
      <c r="FP159" t="inlineStr"/>
      <c r="FQ159" t="inlineStr"/>
      <c r="FR159" t="inlineStr"/>
      <c r="FS159" t="inlineStr"/>
      <c r="FT159" t="inlineStr"/>
      <c r="FU159" t="inlineStr"/>
      <c r="FV159" t="inlineStr"/>
      <c r="FW159" t="inlineStr"/>
      <c r="FX159" t="inlineStr"/>
      <c r="FY159" t="inlineStr"/>
      <c r="FZ159" t="inlineStr"/>
      <c r="GA159" t="inlineStr"/>
      <c r="GB159" t="inlineStr"/>
      <c r="GC159" t="inlineStr"/>
      <c r="GD159" t="inlineStr"/>
      <c r="GE159" t="inlineStr"/>
      <c r="GF159" t="inlineStr"/>
      <c r="GG159" t="inlineStr"/>
      <c r="GH159" t="inlineStr"/>
      <c r="GI159" t="inlineStr"/>
      <c r="GJ159" t="inlineStr"/>
      <c r="GK159" t="inlineStr"/>
      <c r="GL159" t="inlineStr"/>
      <c r="GM159" t="inlineStr"/>
      <c r="GN159" t="inlineStr"/>
      <c r="GO159" t="inlineStr"/>
      <c r="GP159" t="inlineStr"/>
      <c r="GQ159" t="inlineStr"/>
      <c r="GR159" t="inlineStr"/>
      <c r="GS159" t="inlineStr"/>
      <c r="GT159" t="inlineStr"/>
      <c r="GU159" t="inlineStr"/>
      <c r="GV159" t="inlineStr"/>
      <c r="GW159" t="inlineStr"/>
      <c r="GX159" t="inlineStr"/>
      <c r="GY159" t="inlineStr"/>
      <c r="GZ159" t="inlineStr"/>
      <c r="HA159" t="inlineStr">
        <is>
          <t>1551</t>
        </is>
      </c>
      <c r="HB159" t="inlineStr">
        <is>
          <t>Student (1551)</t>
        </is>
      </c>
      <c r="HC159" t="inlineStr"/>
      <c r="HD159" t="inlineStr"/>
      <c r="HE159" t="inlineStr"/>
      <c r="HF159" t="inlineStr"/>
      <c r="HG159" t="inlineStr"/>
      <c r="HH159" t="inlineStr"/>
      <c r="HI159" t="inlineStr"/>
      <c r="HJ159" t="inlineStr"/>
      <c r="HK159" t="inlineStr">
        <is>
          <t>4</t>
        </is>
      </c>
      <c r="HL159" t="inlineStr">
        <is>
          <t>MBA (4)</t>
        </is>
      </c>
      <c r="HM159" t="inlineStr"/>
      <c r="HN159" t="inlineStr"/>
      <c r="HO159" t="inlineStr"/>
      <c r="HP159" t="inlineStr"/>
      <c r="HQ159" t="inlineStr"/>
      <c r="HR159" t="inlineStr"/>
      <c r="HS159" t="inlineStr"/>
      <c r="HT159" t="inlineStr"/>
      <c r="HU159" t="inlineStr"/>
      <c r="HV159" t="inlineStr"/>
      <c r="HW159" t="inlineStr"/>
      <c r="HX159" t="inlineStr"/>
      <c r="HY159" t="inlineStr"/>
      <c r="HZ159" t="inlineStr"/>
      <c r="IA159" t="inlineStr"/>
      <c r="IB159" t="inlineStr"/>
      <c r="IC159" t="inlineStr"/>
      <c r="ID159" t="inlineStr"/>
      <c r="IE159" t="inlineStr"/>
      <c r="IF159" t="inlineStr"/>
      <c r="IG159" t="inlineStr"/>
      <c r="IH159" t="inlineStr"/>
      <c r="II159" t="inlineStr"/>
      <c r="IJ159" t="inlineStr"/>
      <c r="IK159" t="inlineStr"/>
      <c r="IL159" t="inlineStr"/>
      <c r="IM159" t="inlineStr"/>
      <c r="IN159" t="inlineStr"/>
      <c r="IO159" t="inlineStr"/>
      <c r="IP159" t="inlineStr"/>
      <c r="IQ159" t="inlineStr"/>
      <c r="IR159" t="inlineStr"/>
      <c r="IS159">
        <f>IF(input_content_type="",FALSE,ISNUMBER(SEARCH(","&amp;LOWER(input_content_type)&amp;",",","&amp;LOWER(F159)&amp;",")))</f>
        <v/>
      </c>
      <c r="IT159">
        <f>AND(IF(M159="",TRUE,IF(input_affiliations="",FALSE,SUMPRODUCT(--ISNUMBER(SEARCH(","&amp;TRIM(TEXTSPLIT(M159,","))&amp;",",","&amp;SUBSTITUTE(input_affiliations," ","")&amp;",")))&gt;0)),IF(O159="",TRUE,IF(input_affiliations="",FALSE,SUMPRODUCT(--ISNUMBER(SEARCH(","&amp;TRIM(TEXTSPLIT(O159,","))&amp;",",","&amp;SUBSTITUTE(input_affiliations," ","")&amp;",")))=COUNTA(TEXTSPLIT(O159,",")))),IF(Q159="",TRUE,IF(input_affiliations="",TRUE,SUMPRODUCT(--ISNUMBER(SEARCH(","&amp;TRIM(TEXTSPLIT(Q159,","))&amp;",",","&amp;SUBSTITUTE(input_affiliations," ","")&amp;",")))=0)),IF(S159="",TRUE,IF(input_affiliations="",FALSE,SUMPRODUCT(--ISNUMBER(SEARCH(","&amp;TRIM(TEXTSPLIT(S159,","))&amp;",",","&amp;SUBSTITUTE(input_affiliations," ","")&amp;",")))&gt;0)),IF(U159="",TRUE,IF(input_affiliations="",FALSE,SUMPRODUCT(--ISNUMBER(SEARCH(","&amp;TRIM(TEXTSPLIT(U159,","))&amp;",",","&amp;SUBSTITUTE(input_affiliations," ","")&amp;",")))=COUNTA(TEXTSPLIT(U159,",")))))</f>
        <v/>
      </c>
      <c r="IU159">
        <f>AND(IF(W159="",TRUE,IF(input_announcement_category="",FALSE,SUMPRODUCT(--ISNUMBER(SEARCH(","&amp;TRIM(TEXTSPLIT(W159,","))&amp;",",","&amp;SUBSTITUTE(input_announcement_category," ","")&amp;",")))&gt;0)),IF(Y159="",TRUE,IF(input_announcement_category="",FALSE,SUMPRODUCT(--ISNUMBER(SEARCH(","&amp;TRIM(TEXTSPLIT(Y159,","))&amp;",",","&amp;SUBSTITUTE(input_announcement_category," ","")&amp;",")))=COUNTA(TEXTSPLIT(Y159,",")))),IF(AA159="",TRUE,IF(input_announcement_category="",TRUE,SUMPRODUCT(--ISNUMBER(SEARCH(","&amp;TRIM(TEXTSPLIT(AA159,","))&amp;",",","&amp;SUBSTITUTE(input_announcement_category," ","")&amp;",")))=0)),IF(AC159="",TRUE,IF(input_announcement_category="",FALSE,SUMPRODUCT(--ISNUMBER(SEARCH(","&amp;TRIM(TEXTSPLIT(AC159,","))&amp;",",","&amp;SUBSTITUTE(input_announcement_category," ","")&amp;",")))&gt;0)),IF(AE159="",TRUE,IF(input_announcement_category="",FALSE,SUMPRODUCT(--ISNUMBER(SEARCH(","&amp;TRIM(TEXTSPLIT(AE159,","))&amp;",",","&amp;SUBSTITUTE(input_announcement_category," ","")&amp;",")))=COUNTA(TEXTSPLIT(AE159,",")))))</f>
        <v/>
      </c>
      <c r="IV159">
        <f>AND(IF(AG159="",TRUE,IF(input_area_of_focus="",FALSE,SUMPRODUCT(--ISNUMBER(SEARCH(","&amp;TRIM(TEXTSPLIT(AG159,","))&amp;",",","&amp;SUBSTITUTE(input_area_of_focus," ","")&amp;",")))&gt;0)),IF(AI159="",TRUE,IF(input_area_of_focus="",FALSE,SUMPRODUCT(--ISNUMBER(SEARCH(","&amp;TRIM(TEXTSPLIT(AI159,","))&amp;",",","&amp;SUBSTITUTE(input_area_of_focus," ","")&amp;",")))=COUNTA(TEXTSPLIT(AI159,",")))),IF(AK159="",TRUE,IF(input_area_of_focus="",TRUE,SUMPRODUCT(--ISNUMBER(SEARCH(","&amp;TRIM(TEXTSPLIT(AK159,","))&amp;",",","&amp;SUBSTITUTE(input_area_of_focus," ","")&amp;",")))=0)),IF(AM159="",TRUE,IF(input_area_of_focus="",FALSE,SUMPRODUCT(--ISNUMBER(SEARCH(","&amp;TRIM(TEXTSPLIT(AM159,","))&amp;",",","&amp;SUBSTITUTE(input_area_of_focus," ","")&amp;",")))&gt;0)),IF(AO159="",TRUE,IF(input_area_of_focus="",FALSE,SUMPRODUCT(--ISNUMBER(SEARCH(","&amp;TRIM(TEXTSPLIT(AO159,","))&amp;",",","&amp;SUBSTITUTE(input_area_of_focus," ","")&amp;",")))=COUNTA(TEXTSPLIT(AO159,",")))))</f>
        <v/>
      </c>
      <c r="IW159">
        <f>AND(IF(AQ159="",TRUE,IF(input_audience="",FALSE,SUMPRODUCT(--ISNUMBER(SEARCH(","&amp;TRIM(TEXTSPLIT(AQ159,","))&amp;",",","&amp;SUBSTITUTE(input_audience," ","")&amp;",")))&gt;0)),IF(AS159="",TRUE,IF(input_audience="",FALSE,SUMPRODUCT(--ISNUMBER(SEARCH(","&amp;TRIM(TEXTSPLIT(AS159,","))&amp;",",","&amp;SUBSTITUTE(input_audience," ","")&amp;",")))=COUNTA(TEXTSPLIT(AS159,",")))),IF(AU159="",TRUE,IF(input_audience="",TRUE,SUMPRODUCT(--ISNUMBER(SEARCH(","&amp;TRIM(TEXTSPLIT(AU159,","))&amp;",",","&amp;SUBSTITUTE(input_audience," ","")&amp;",")))=0)),IF(AW159="",TRUE,IF(input_audience="",FALSE,SUMPRODUCT(--ISNUMBER(SEARCH(","&amp;TRIM(TEXTSPLIT(AW159,","))&amp;",",","&amp;SUBSTITUTE(input_audience," ","")&amp;",")))&gt;0)),IF(AY159="",TRUE,IF(input_audience="",FALSE,SUMPRODUCT(--ISNUMBER(SEARCH(","&amp;TRIM(TEXTSPLIT(AY159,","))&amp;",",","&amp;SUBSTITUTE(input_audience," ","")&amp;",")))=COUNTA(TEXTSPLIT(AY159,",")))))</f>
        <v/>
      </c>
      <c r="IX159">
        <f>AND(IF(BA159="",TRUE,IF(input_challenge_opportunities="",FALSE,SUMPRODUCT(--ISNUMBER(SEARCH(","&amp;TRIM(TEXTSPLIT(BA159,","))&amp;",",","&amp;SUBSTITUTE(input_challenge_opportunities," ","")&amp;",")))&gt;0)),IF(BC159="",TRUE,IF(input_challenge_opportunities="",FALSE,SUMPRODUCT(--ISNUMBER(SEARCH(","&amp;TRIM(TEXTSPLIT(BC159,","))&amp;",",","&amp;SUBSTITUTE(input_challenge_opportunities," ","")&amp;",")))=COUNTA(TEXTSPLIT(BC159,",")))),IF(BE159="",TRUE,IF(input_challenge_opportunities="",TRUE,SUMPRODUCT(--ISNUMBER(SEARCH(","&amp;TRIM(TEXTSPLIT(BE159,","))&amp;",",","&amp;SUBSTITUTE(input_challenge_opportunities," ","")&amp;",")))=0)),IF(BG159="",TRUE,IF(input_challenge_opportunities="",FALSE,SUMPRODUCT(--ISNUMBER(SEARCH(","&amp;TRIM(TEXTSPLIT(BG159,","))&amp;",",","&amp;SUBSTITUTE(input_challenge_opportunities," ","")&amp;",")))&gt;0)),IF(BI159="",TRUE,IF(input_challenge_opportunities="",FALSE,SUMPRODUCT(--ISNUMBER(SEARCH(","&amp;TRIM(TEXTSPLIT(BI159,","))&amp;",",","&amp;SUBSTITUTE(input_challenge_opportunities," ","")&amp;",")))=COUNTA(TEXTSPLIT(BI159,",")))))</f>
        <v/>
      </c>
      <c r="IY159">
        <f>AND(IF(BK159="",TRUE,IF(input_context="",FALSE,SUMPRODUCT(--ISNUMBER(SEARCH(","&amp;TRIM(TEXTSPLIT(BK159,","))&amp;",",","&amp;SUBSTITUTE(input_context," ","")&amp;",")))&gt;0)),IF(BM159="",TRUE,IF(input_context="",FALSE,SUMPRODUCT(--ISNUMBER(SEARCH(","&amp;TRIM(TEXTSPLIT(BM159,","))&amp;",",","&amp;SUBSTITUTE(input_context," ","")&amp;",")))=COUNTA(TEXTSPLIT(BM159,",")))),IF(BO159="",TRUE,IF(input_context="",TRUE,SUMPRODUCT(--ISNUMBER(SEARCH(","&amp;TRIM(TEXTSPLIT(BO159,","))&amp;",",","&amp;SUBSTITUTE(input_context," ","")&amp;",")))=0)),IF(BQ159="",TRUE,IF(input_context="",FALSE,SUMPRODUCT(--ISNUMBER(SEARCH(","&amp;TRIM(TEXTSPLIT(BQ159,","))&amp;",",","&amp;SUBSTITUTE(input_context," ","")&amp;",")))&gt;0)),IF(BS159="",TRUE,IF(input_context="",FALSE,SUMPRODUCT(--ISNUMBER(SEARCH(","&amp;TRIM(TEXTSPLIT(BS159,","))&amp;",",","&amp;SUBSTITUTE(input_context," ","")&amp;",")))=COUNTA(TEXTSPLIT(BS159,",")))))</f>
        <v/>
      </c>
      <c r="IZ159">
        <f>AND(IF(BU159="",TRUE,IF(input_enews_announcement_type="",FALSE,SUMPRODUCT(--ISNUMBER(SEARCH(","&amp;TRIM(TEXTSPLIT(BU159,","))&amp;",",","&amp;SUBSTITUTE(input_enews_announcement_type," ","")&amp;",")))&gt;0)),IF(BW159="",TRUE,IF(input_enews_announcement_type="",FALSE,SUMPRODUCT(--ISNUMBER(SEARCH(","&amp;TRIM(TEXTSPLIT(BW159,","))&amp;",",","&amp;SUBSTITUTE(input_enews_announcement_type," ","")&amp;",")))=COUNTA(TEXTSPLIT(BW159,",")))),IF(BY159="",TRUE,IF(input_enews_announcement_type="",TRUE,SUMPRODUCT(--ISNUMBER(SEARCH(","&amp;TRIM(TEXTSPLIT(BY159,","))&amp;",",","&amp;SUBSTITUTE(input_enews_announcement_type," ","")&amp;",")))=0)),IF(CA159="",TRUE,IF(input_enews_announcement_type="",FALSE,SUMPRODUCT(--ISNUMBER(SEARCH(","&amp;TRIM(TEXTSPLIT(CA159,","))&amp;",",","&amp;SUBSTITUTE(input_enews_announcement_type," ","")&amp;",")))&gt;0)),IF(CC159="",TRUE,IF(input_enews_announcement_type="",FALSE,SUMPRODUCT(--ISNUMBER(SEARCH(","&amp;TRIM(TEXTSPLIT(CC159,","))&amp;",",","&amp;SUBSTITUTE(input_enews_announcement_type," ","")&amp;",")))=COUNTA(TEXTSPLIT(CC159,",")))))</f>
        <v/>
      </c>
      <c r="JA159">
        <f>AND(IF(CE159="",TRUE,IF(input_enews_audience="",FALSE,SUMPRODUCT(--ISNUMBER(SEARCH(","&amp;TRIM(TEXTSPLIT(CE159,","))&amp;",",","&amp;SUBSTITUTE(input_enews_audience," ","")&amp;",")))&gt;0)),IF(CG159="",TRUE,IF(input_enews_audience="",FALSE,SUMPRODUCT(--ISNUMBER(SEARCH(","&amp;TRIM(TEXTSPLIT(CG159,","))&amp;",",","&amp;SUBSTITUTE(input_enews_audience," ","")&amp;",")))=COUNTA(TEXTSPLIT(CG159,",")))),IF(CI159="",TRUE,IF(input_enews_audience="",TRUE,SUMPRODUCT(--ISNUMBER(SEARCH(","&amp;TRIM(TEXTSPLIT(CI159,","))&amp;",",","&amp;SUBSTITUTE(input_enews_audience," ","")&amp;",")))=0)),IF(CK159="",TRUE,IF(input_enews_audience="",FALSE,SUMPRODUCT(--ISNUMBER(SEARCH(","&amp;TRIM(TEXTSPLIT(CK159,","))&amp;",",","&amp;SUBSTITUTE(input_enews_audience," ","")&amp;",")))&gt;0)),IF(CM159="",TRUE,IF(input_enews_audience="",FALSE,SUMPRODUCT(--ISNUMBER(SEARCH(","&amp;TRIM(TEXTSPLIT(CM159,","))&amp;",",","&amp;SUBSTITUTE(input_enews_audience," ","")&amp;",")))=COUNTA(TEXTSPLIT(CM159,",")))))</f>
        <v/>
      </c>
      <c r="JB159">
        <f>AND(IF(CO159="",TRUE,IF(input_event_location="",FALSE,SUMPRODUCT(--ISNUMBER(SEARCH(","&amp;TRIM(TEXTSPLIT(CO159,","))&amp;",",","&amp;SUBSTITUTE(input_event_location," ","")&amp;",")))&gt;0)),IF(CQ159="",TRUE,IF(input_event_location="",FALSE,SUMPRODUCT(--ISNUMBER(SEARCH(","&amp;TRIM(TEXTSPLIT(CQ159,","))&amp;",",","&amp;SUBSTITUTE(input_event_location," ","")&amp;",")))=COUNTA(TEXTSPLIT(CQ159,",")))),IF(CS159="",TRUE,IF(input_event_location="",TRUE,SUMPRODUCT(--ISNUMBER(SEARCH(","&amp;TRIM(TEXTSPLIT(CS159,","))&amp;",",","&amp;SUBSTITUTE(input_event_location," ","")&amp;",")))=0)),IF(CU159="",TRUE,IF(input_event_location="",FALSE,SUMPRODUCT(--ISNUMBER(SEARCH(","&amp;TRIM(TEXTSPLIT(CU159,","))&amp;",",","&amp;SUBSTITUTE(input_event_location," ","")&amp;",")))&gt;0)),IF(CW159="",TRUE,IF(input_event_location="",FALSE,SUMPRODUCT(--ISNUMBER(SEARCH(","&amp;TRIM(TEXTSPLIT(CW159,","))&amp;",",","&amp;SUBSTITUTE(input_event_location," ","")&amp;",")))=COUNTA(TEXTSPLIT(CW159,",")))))</f>
        <v/>
      </c>
      <c r="JC159">
        <f>AND(IF(CY159="",TRUE,IF(input_event_type="",FALSE,SUMPRODUCT(--ISNUMBER(SEARCH(","&amp;TRIM(TEXTSPLIT(CY159,","))&amp;",",","&amp;SUBSTITUTE(input_event_type," ","")&amp;",")))&gt;0)),IF(DA159="",TRUE,IF(input_event_type="",FALSE,SUMPRODUCT(--ISNUMBER(SEARCH(","&amp;TRIM(TEXTSPLIT(DA159,","))&amp;",",","&amp;SUBSTITUTE(input_event_type," ","")&amp;",")))=COUNTA(TEXTSPLIT(DA159,",")))),IF(DC159="",TRUE,IF(input_event_type="",TRUE,SUMPRODUCT(--ISNUMBER(SEARCH(","&amp;TRIM(TEXTSPLIT(DC159,","))&amp;",",","&amp;SUBSTITUTE(input_event_type," ","")&amp;",")))=0)),IF(DE159="",TRUE,IF(input_event_type="",FALSE,SUMPRODUCT(--ISNUMBER(SEARCH(","&amp;TRIM(TEXTSPLIT(DE159,","))&amp;",",","&amp;SUBSTITUTE(input_event_type," ","")&amp;",")))&gt;0)),IF(DG159="",TRUE,IF(input_event_type="",FALSE,SUMPRODUCT(--ISNUMBER(SEARCH(","&amp;TRIM(TEXTSPLIT(DG159,","))&amp;",",","&amp;SUBSTITUTE(input_event_type," ","")&amp;",")))=COUNTA(TEXTSPLIT(DG159,",")))))</f>
        <v/>
      </c>
      <c r="JD159">
        <f>AND(IF(DI159="",TRUE,IF(input_executive_education_focus="",FALSE,SUMPRODUCT(--ISNUMBER(SEARCH(","&amp;TRIM(TEXTSPLIT(DI159,","))&amp;",",","&amp;SUBSTITUTE(input_executive_education_focus," ","")&amp;",")))&gt;0)),IF(DK159="",TRUE,IF(input_executive_education_focus="",FALSE,SUMPRODUCT(--ISNUMBER(SEARCH(","&amp;TRIM(TEXTSPLIT(DK159,","))&amp;",",","&amp;SUBSTITUTE(input_executive_education_focus," ","")&amp;",")))=COUNTA(TEXTSPLIT(DK159,",")))),IF(DM159="",TRUE,IF(input_executive_education_focus="",TRUE,SUMPRODUCT(--ISNUMBER(SEARCH(","&amp;TRIM(TEXTSPLIT(DM159,","))&amp;",",","&amp;SUBSTITUTE(input_executive_education_focus," ","")&amp;",")))=0)),IF(DO159="",TRUE,IF(input_executive_education_focus="",FALSE,SUMPRODUCT(--ISNUMBER(SEARCH(","&amp;TRIM(TEXTSPLIT(DO159,","))&amp;",",","&amp;SUBSTITUTE(input_executive_education_focus," ","")&amp;",")))&gt;0)),IF(DQ159="",TRUE,IF(input_executive_education_focus="",FALSE,SUMPRODUCT(--ISNUMBER(SEARCH(","&amp;TRIM(TEXTSPLIT(DQ159,","))&amp;",",","&amp;SUBSTITUTE(input_executive_education_focus," ","")&amp;",")))=COUNTA(TEXTSPLIT(DQ159,",")))))</f>
        <v/>
      </c>
      <c r="JE159">
        <f>AND(IF(DS159="",TRUE,IF(input_faculty_category="",FALSE,SUMPRODUCT(--ISNUMBER(SEARCH(","&amp;TRIM(TEXTSPLIT(DS159,","))&amp;",",","&amp;SUBSTITUTE(input_faculty_category," ","")&amp;",")))&gt;0)),IF(DU159="",TRUE,IF(input_faculty_category="",FALSE,SUMPRODUCT(--ISNUMBER(SEARCH(","&amp;TRIM(TEXTSPLIT(DU159,","))&amp;",",","&amp;SUBSTITUTE(input_faculty_category," ","")&amp;",")))=COUNTA(TEXTSPLIT(DU159,",")))),IF(DW159="",TRUE,IF(input_faculty_category="",TRUE,SUMPRODUCT(--ISNUMBER(SEARCH(","&amp;TRIM(TEXTSPLIT(DW159,","))&amp;",",","&amp;SUBSTITUTE(input_faculty_category," ","")&amp;",")))=0)),IF(DY159="",TRUE,IF(input_faculty_category="",FALSE,SUMPRODUCT(--ISNUMBER(SEARCH(","&amp;TRIM(TEXTSPLIT(DY159,","))&amp;",",","&amp;SUBSTITUTE(input_faculty_category," ","")&amp;",")))&gt;0)),IF(EA159="",TRUE,IF(input_faculty_category="",FALSE,SUMPRODUCT(--ISNUMBER(SEARCH(","&amp;TRIM(TEXTSPLIT(EA159,","))&amp;",",","&amp;SUBSTITUTE(input_faculty_category," ","")&amp;",")))=COUNTA(TEXTSPLIT(EA159,",")))))</f>
        <v/>
      </c>
      <c r="JF159">
        <f>AND(IF(EC159="",TRUE,IF(input_faculty_discipline="",FALSE,SUMPRODUCT(--ISNUMBER(SEARCH(","&amp;TRIM(TEXTSPLIT(EC159,","))&amp;",",","&amp;SUBSTITUTE(input_faculty_discipline," ","")&amp;",")))&gt;0)),IF(EE159="",TRUE,IF(input_faculty_discipline="",FALSE,SUMPRODUCT(--ISNUMBER(SEARCH(","&amp;TRIM(TEXTSPLIT(EE159,","))&amp;",",","&amp;SUBSTITUTE(input_faculty_discipline," ","")&amp;",")))=COUNTA(TEXTSPLIT(EE159,",")))),IF(EG159="",TRUE,IF(input_faculty_discipline="",TRUE,SUMPRODUCT(--ISNUMBER(SEARCH(","&amp;TRIM(TEXTSPLIT(EG159,","))&amp;",",","&amp;SUBSTITUTE(input_faculty_discipline," ","")&amp;",")))=0)),IF(EI159="",TRUE,IF(input_faculty_discipline="",FALSE,SUMPRODUCT(--ISNUMBER(SEARCH(","&amp;TRIM(TEXTSPLIT(EI159,","))&amp;",",","&amp;SUBSTITUTE(input_faculty_discipline," ","")&amp;",")))&gt;0)),IF(EK159="",TRUE,IF(input_faculty_discipline="",FALSE,SUMPRODUCT(--ISNUMBER(SEARCH(","&amp;TRIM(TEXTSPLIT(EK159,","))&amp;",",","&amp;SUBSTITUTE(input_faculty_discipline," ","")&amp;",")))=COUNTA(TEXTSPLIT(EK159,",")))))</f>
        <v/>
      </c>
      <c r="JG159">
        <f>AND(IF(EM159="",TRUE,IF(input_faculty_expertise="",FALSE,SUMPRODUCT(--ISNUMBER(SEARCH(","&amp;TRIM(TEXTSPLIT(EM159,","))&amp;",",","&amp;SUBSTITUTE(input_faculty_expertise," ","")&amp;",")))&gt;0)),IF(EO159="",TRUE,IF(input_faculty_expertise="",FALSE,SUMPRODUCT(--ISNUMBER(SEARCH(","&amp;TRIM(TEXTSPLIT(EO159,","))&amp;",",","&amp;SUBSTITUTE(input_faculty_expertise," ","")&amp;",")))=COUNTA(TEXTSPLIT(EO159,",")))),IF(EQ159="",TRUE,IF(input_faculty_expertise="",TRUE,SUMPRODUCT(--ISNUMBER(SEARCH(","&amp;TRIM(TEXTSPLIT(EQ159,","))&amp;",",","&amp;SUBSTITUTE(input_faculty_expertise," ","")&amp;",")))=0)),IF(ES159="",TRUE,IF(input_faculty_expertise="",FALSE,SUMPRODUCT(--ISNUMBER(SEARCH(","&amp;TRIM(TEXTSPLIT(ES159,","))&amp;",",","&amp;SUBSTITUTE(input_faculty_expertise," ","")&amp;",")))&gt;0)),IF(EU159="",TRUE,IF(input_faculty_expertise="",FALSE,SUMPRODUCT(--ISNUMBER(SEARCH(","&amp;TRIM(TEXTSPLIT(EU159,","))&amp;",",","&amp;SUBSTITUTE(input_faculty_expertise," ","")&amp;",")))=COUNTA(TEXTSPLIT(EU159,",")))))</f>
        <v/>
      </c>
      <c r="JH159">
        <f>AND(IF(EW159="",TRUE,IF(input_global_network_school="",FALSE,SUMPRODUCT(--ISNUMBER(SEARCH(","&amp;TRIM(TEXTSPLIT(EW159,","))&amp;",",","&amp;SUBSTITUTE(input_global_network_school," ","")&amp;",")))&gt;0)),IF(EY159="",TRUE,IF(input_global_network_school="",FALSE,SUMPRODUCT(--ISNUMBER(SEARCH(","&amp;TRIM(TEXTSPLIT(EY159,","))&amp;",",","&amp;SUBSTITUTE(input_global_network_school," ","")&amp;",")))=COUNTA(TEXTSPLIT(EY159,",")))),IF(FA159="",TRUE,IF(input_global_network_school="",TRUE,SUMPRODUCT(--ISNUMBER(SEARCH(","&amp;TRIM(TEXTSPLIT(FA159,","))&amp;",",","&amp;SUBSTITUTE(input_global_network_school," ","")&amp;",")))=0)),IF(FC159="",TRUE,IF(input_global_network_school="",FALSE,SUMPRODUCT(--ISNUMBER(SEARCH(","&amp;TRIM(TEXTSPLIT(FC159,","))&amp;",",","&amp;SUBSTITUTE(input_global_network_school," ","")&amp;",")))&gt;0)),IF(FE159="",TRUE,IF(input_global_network_school="",FALSE,SUMPRODUCT(--ISNUMBER(SEARCH(","&amp;TRIM(TEXTSPLIT(FE159,","))&amp;",",","&amp;SUBSTITUTE(input_global_network_school," ","")&amp;",")))=COUNTA(TEXTSPLIT(FE159,",")))))</f>
        <v/>
      </c>
      <c r="JI159">
        <f>AND(IF(FG159="",TRUE,IF(input_industry="",FALSE,SUMPRODUCT(--ISNUMBER(SEARCH(","&amp;TRIM(TEXTSPLIT(FG159,","))&amp;",",","&amp;SUBSTITUTE(input_industry," ","")&amp;",")))&gt;0)),IF(FI159="",TRUE,IF(input_industry="",FALSE,SUMPRODUCT(--ISNUMBER(SEARCH(","&amp;TRIM(TEXTSPLIT(FI159,","))&amp;",",","&amp;SUBSTITUTE(input_industry," ","")&amp;",")))=COUNTA(TEXTSPLIT(FI159,",")))),IF(FK159="",TRUE,IF(input_industry="",TRUE,SUMPRODUCT(--ISNUMBER(SEARCH(","&amp;TRIM(TEXTSPLIT(FK159,","))&amp;",",","&amp;SUBSTITUTE(input_industry," ","")&amp;",")))=0)),IF(FM159="",TRUE,IF(input_industry="",FALSE,SUMPRODUCT(--ISNUMBER(SEARCH(","&amp;TRIM(TEXTSPLIT(FM159,","))&amp;",",","&amp;SUBSTITUTE(input_industry," ","")&amp;",")))&gt;0)),IF(FO159="",TRUE,IF(input_industry="",FALSE,SUMPRODUCT(--ISNUMBER(SEARCH(","&amp;TRIM(TEXTSPLIT(FO159,","))&amp;",",","&amp;SUBSTITUTE(input_industry," ","")&amp;",")))=COUNTA(TEXTSPLIT(FO159,",")))))</f>
        <v/>
      </c>
      <c r="JJ159">
        <f>AND(IF(FQ159="",TRUE,IF(input_location="",FALSE,SUMPRODUCT(--ISNUMBER(SEARCH(","&amp;TRIM(TEXTSPLIT(FQ159,","))&amp;",",","&amp;SUBSTITUTE(input_location," ","")&amp;",")))&gt;0)),IF(FS159="",TRUE,IF(input_location="",FALSE,SUMPRODUCT(--ISNUMBER(SEARCH(","&amp;TRIM(TEXTSPLIT(FS159,","))&amp;",",","&amp;SUBSTITUTE(input_location," ","")&amp;",")))=COUNTA(TEXTSPLIT(FS159,",")))),IF(FU159="",TRUE,IF(input_location="",TRUE,SUMPRODUCT(--ISNUMBER(SEARCH(","&amp;TRIM(TEXTSPLIT(FU159,","))&amp;",",","&amp;SUBSTITUTE(input_location," ","")&amp;",")))=0)),IF(FW159="",TRUE,IF(input_location="",FALSE,SUMPRODUCT(--ISNUMBER(SEARCH(","&amp;TRIM(TEXTSPLIT(FW159,","))&amp;",",","&amp;SUBSTITUTE(input_location," ","")&amp;",")))&gt;0)),IF(FY159="",TRUE,IF(input_location="",FALSE,SUMPRODUCT(--ISNUMBER(SEARCH(","&amp;TRIM(TEXTSPLIT(FY159,","))&amp;",",","&amp;SUBSTITUTE(input_location," ","")&amp;",")))=COUNTA(TEXTSPLIT(FY159,",")))))</f>
        <v/>
      </c>
      <c r="JK159">
        <f>AND(IF(GA159="",TRUE,IF(input_modality="",FALSE,SUMPRODUCT(--ISNUMBER(SEARCH(","&amp;TRIM(TEXTSPLIT(GA159,","))&amp;",",","&amp;SUBSTITUTE(input_modality," ","")&amp;",")))&gt;0)),IF(GC159="",TRUE,IF(input_modality="",FALSE,SUMPRODUCT(--ISNUMBER(SEARCH(","&amp;TRIM(TEXTSPLIT(GC159,","))&amp;",",","&amp;SUBSTITUTE(input_modality," ","")&amp;",")))=COUNTA(TEXTSPLIT(GC159,",")))),IF(GE159="",TRUE,IF(input_modality="",TRUE,SUMPRODUCT(--ISNUMBER(SEARCH(","&amp;TRIM(TEXTSPLIT(GE159,","))&amp;",",","&amp;SUBSTITUTE(input_modality," ","")&amp;",")))=0)),IF(GG159="",TRUE,IF(input_modality="",FALSE,SUMPRODUCT(--ISNUMBER(SEARCH(","&amp;TRIM(TEXTSPLIT(GG159,","))&amp;",",","&amp;SUBSTITUTE(input_modality," ","")&amp;",")))&gt;0)),IF(GI159="",TRUE,IF(input_modality="",FALSE,SUMPRODUCT(--ISNUMBER(SEARCH(","&amp;TRIM(TEXTSPLIT(GI159,","))&amp;",",","&amp;SUBSTITUTE(input_modality," ","")&amp;",")))=COUNTA(TEXTSPLIT(GI159,",")))))</f>
        <v/>
      </c>
      <c r="JL159">
        <f>AND(IF(GK159="",TRUE,IF(input_organizer="",FALSE,SUMPRODUCT(--ISNUMBER(SEARCH(","&amp;TRIM(TEXTSPLIT(GK159,","))&amp;",",","&amp;SUBSTITUTE(input_organizer," ","")&amp;",")))&gt;0)),IF(GM159="",TRUE,IF(input_organizer="",FALSE,SUMPRODUCT(--ISNUMBER(SEARCH(","&amp;TRIM(TEXTSPLIT(GM159,","))&amp;",",","&amp;SUBSTITUTE(input_organizer," ","")&amp;",")))=COUNTA(TEXTSPLIT(GM159,",")))),IF(GO159="",TRUE,IF(input_organizer="",TRUE,SUMPRODUCT(--ISNUMBER(SEARCH(","&amp;TRIM(TEXTSPLIT(GO159,","))&amp;",",","&amp;SUBSTITUTE(input_organizer," ","")&amp;",")))=0)),IF(GQ159="",TRUE,IF(input_organizer="",FALSE,SUMPRODUCT(--ISNUMBER(SEARCH(","&amp;TRIM(TEXTSPLIT(GQ159,","))&amp;",",","&amp;SUBSTITUTE(input_organizer," ","")&amp;",")))&gt;0)),IF(GS159="",TRUE,IF(input_organizer="",FALSE,SUMPRODUCT(--ISNUMBER(SEARCH(","&amp;TRIM(TEXTSPLIT(GS159,","))&amp;",",","&amp;SUBSTITUTE(input_organizer," ","")&amp;",")))=COUNTA(TEXTSPLIT(GS159,",")))))</f>
        <v/>
      </c>
      <c r="JM159">
        <f>AND(IF(GU159="",TRUE,IF(input_profile_type="",FALSE,SUMPRODUCT(--ISNUMBER(SEARCH(","&amp;TRIM(TEXTSPLIT(GU159,","))&amp;",",","&amp;SUBSTITUTE(input_profile_type," ","")&amp;",")))&gt;0)),IF(GW159="",TRUE,IF(input_profile_type="",FALSE,SUMPRODUCT(--ISNUMBER(SEARCH(","&amp;TRIM(TEXTSPLIT(GW159,","))&amp;",",","&amp;SUBSTITUTE(input_profile_type," ","")&amp;",")))=COUNTA(TEXTSPLIT(GW159,",")))),IF(GY159="",TRUE,IF(input_profile_type="",TRUE,SUMPRODUCT(--ISNUMBER(SEARCH(","&amp;TRIM(TEXTSPLIT(GY159,","))&amp;",",","&amp;SUBSTITUTE(input_profile_type," ","")&amp;",")))=0)),IF(HA159="",TRUE,IF(input_profile_type="",FALSE,SUMPRODUCT(--ISNUMBER(SEARCH(","&amp;TRIM(TEXTSPLIT(HA159,","))&amp;",",","&amp;SUBSTITUTE(input_profile_type," ","")&amp;",")))&gt;0)),IF(HC159="",TRUE,IF(input_profile_type="",FALSE,SUMPRODUCT(--ISNUMBER(SEARCH(","&amp;TRIM(TEXTSPLIT(HC159,","))&amp;",",","&amp;SUBSTITUTE(input_profile_type," ","")&amp;",")))=COUNTA(TEXTSPLIT(HC159,",")))))</f>
        <v/>
      </c>
      <c r="JN159">
        <f>AND(IF(HE159="",TRUE,IF(input_program="",FALSE,SUMPRODUCT(--ISNUMBER(SEARCH(","&amp;TRIM(TEXTSPLIT(HE159,","))&amp;",",","&amp;SUBSTITUTE(input_program," ","")&amp;",")))&gt;0)),IF(HG159="",TRUE,IF(input_program="",FALSE,SUMPRODUCT(--ISNUMBER(SEARCH(","&amp;TRIM(TEXTSPLIT(HG159,","))&amp;",",","&amp;SUBSTITUTE(input_program," ","")&amp;",")))=COUNTA(TEXTSPLIT(HG159,",")))),IF(HI159="",TRUE,IF(input_program="",TRUE,SUMPRODUCT(--ISNUMBER(SEARCH(","&amp;TRIM(TEXTSPLIT(HI159,","))&amp;",",","&amp;SUBSTITUTE(input_program," ","")&amp;",")))=0)),IF(HK159="",TRUE,IF(input_program="",FALSE,SUMPRODUCT(--ISNUMBER(SEARCH(","&amp;TRIM(TEXTSPLIT(HK159,","))&amp;",",","&amp;SUBSTITUTE(input_program," ","")&amp;",")))&gt;0)),IF(HM159="",TRUE,IF(input_program="",FALSE,SUMPRODUCT(--ISNUMBER(SEARCH(","&amp;TRIM(TEXTSPLIT(HM159,","))&amp;",",","&amp;SUBSTITUTE(input_program," ","")&amp;",")))=COUNTA(TEXTSPLIT(HM159,",")))))</f>
        <v/>
      </c>
      <c r="JO159">
        <f>AND(IF(HO159="",TRUE,IF(input_story_categories="",FALSE,SUMPRODUCT(--ISNUMBER(SEARCH(","&amp;TRIM(TEXTSPLIT(HO159,","))&amp;",",","&amp;SUBSTITUTE(input_story_categories," ","")&amp;",")))&gt;0)),IF(HQ159="",TRUE,IF(input_story_categories="",FALSE,SUMPRODUCT(--ISNUMBER(SEARCH(","&amp;TRIM(TEXTSPLIT(HQ159,","))&amp;",",","&amp;SUBSTITUTE(input_story_categories," ","")&amp;",")))=COUNTA(TEXTSPLIT(HQ159,",")))),IF(HS159="",TRUE,IF(input_story_categories="",TRUE,SUMPRODUCT(--ISNUMBER(SEARCH(","&amp;TRIM(TEXTSPLIT(HS159,","))&amp;",",","&amp;SUBSTITUTE(input_story_categories," ","")&amp;",")))=0)),IF(HU159="",TRUE,IF(input_story_categories="",FALSE,SUMPRODUCT(--ISNUMBER(SEARCH(","&amp;TRIM(TEXTSPLIT(HU159,","))&amp;",",","&amp;SUBSTITUTE(input_story_categories," ","")&amp;",")))&gt;0)),IF(HW159="",TRUE,IF(input_story_categories="",FALSE,SUMPRODUCT(--ISNUMBER(SEARCH(","&amp;TRIM(TEXTSPLIT(HW159,","))&amp;",",","&amp;SUBSTITUTE(input_story_categories," ","")&amp;",")))=COUNTA(TEXTSPLIT(HW159,",")))))</f>
        <v/>
      </c>
      <c r="JP159">
        <f>AND(IF(HY159="",TRUE,IF(input_story_type="",FALSE,SUMPRODUCT(--ISNUMBER(SEARCH(","&amp;TRIM(TEXTSPLIT(HY159,","))&amp;",",","&amp;SUBSTITUTE(input_story_type," ","")&amp;",")))&gt;0)),IF(IA159="",TRUE,IF(input_story_type="",FALSE,SUMPRODUCT(--ISNUMBER(SEARCH(","&amp;TRIM(TEXTSPLIT(IA159,","))&amp;",",","&amp;SUBSTITUTE(input_story_type," ","")&amp;",")))=COUNTA(TEXTSPLIT(IA159,",")))),IF(IC159="",TRUE,IF(input_story_type="",TRUE,SUMPRODUCT(--ISNUMBER(SEARCH(","&amp;TRIM(TEXTSPLIT(IC159,","))&amp;",",","&amp;SUBSTITUTE(input_story_type," ","")&amp;",")))=0)),IF(IE159="",TRUE,IF(input_story_type="",FALSE,SUMPRODUCT(--ISNUMBER(SEARCH(","&amp;TRIM(TEXTSPLIT(IE159,","))&amp;",",","&amp;SUBSTITUTE(input_story_type," ","")&amp;",")))&gt;0)),IF(IG159="",TRUE,IF(input_story_type="",FALSE,SUMPRODUCT(--ISNUMBER(SEARCH(","&amp;TRIM(TEXTSPLIT(IG159,","))&amp;",",","&amp;SUBSTITUTE(input_story_type," ","")&amp;",")))=COUNTA(TEXTSPLIT(IG159,",")))))</f>
        <v/>
      </c>
      <c r="JQ159">
        <f>AND(IF(II159="",TRUE,IF(input_topics="",FALSE,SUMPRODUCT(--ISNUMBER(SEARCH(","&amp;TRIM(TEXTSPLIT(II159,","))&amp;",",","&amp;SUBSTITUTE(input_topics," ","")&amp;",")))&gt;0)),IF(IK159="",TRUE,IF(input_topics="",FALSE,SUMPRODUCT(--ISNUMBER(SEARCH(","&amp;TRIM(TEXTSPLIT(IK159,","))&amp;",",","&amp;SUBSTITUTE(input_topics," ","")&amp;",")))=COUNTA(TEXTSPLIT(IK159,",")))),IF(IM159="",TRUE,IF(input_topics="",TRUE,SUMPRODUCT(--ISNUMBER(SEARCH(","&amp;TRIM(TEXTSPLIT(IM159,","))&amp;",",","&amp;SUBSTITUTE(input_topics," ","")&amp;",")))=0)),IF(IO159="",TRUE,IF(input_topics="",FALSE,SUMPRODUCT(--ISNUMBER(SEARCH(","&amp;TRIM(TEXTSPLIT(IO159,","))&amp;",",","&amp;SUBSTITUTE(input_topics," ","")&amp;",")))&gt;0)),IF(IQ159="",TRUE,IF(input_topics="",FALSE,SUMPRODUCT(--ISNUMBER(SEARCH(","&amp;TRIM(TEXTSPLIT(IQ159,","))&amp;",",","&amp;SUBSTITUTE(input_topics," ","")&amp;",")))=COUNTA(TEXTSPLIT(IQ159,",")))))</f>
        <v/>
      </c>
    </row>
    <row r="160">
      <c r="A160" s="4">
        <f>IF(NOT(IS160),"Excluded",IF(AND(IT160,IU160,IV160,IW160,IX160,IY160,IZ160,JA160,JB160,JC160,JD160,JE160,JF160,JG160,JH160,JI160,JJ160,JK160,JL160,JM160,JN160,JO160,JP160,JQ160),IF(I160&gt;0,"Eligible but limited","Will appear"),"Excluded"))</f>
        <v/>
      </c>
      <c r="B160" s="4" t="inlineStr">
        <is>
          <t>Related profiles on profile pages</t>
        </is>
      </c>
      <c r="C160" s="4" t="inlineStr">
        <is>
          <t>/profile/alice-ervaz-23</t>
        </is>
      </c>
      <c r="D160" s="4" t="inlineStr">
        <is>
          <t>/profile/alice-ervaz-23
/profile/krishna-polavarapu-24
/profile/michelle-shao-23</t>
        </is>
      </c>
      <c r="E160" s="4" t="n">
        <v>6</v>
      </c>
      <c r="F160" s="4" t="inlineStr">
        <is>
          <t>profile</t>
        </is>
      </c>
      <c r="G160" s="4" t="inlineStr">
        <is>
          <t>profiles_grid</t>
        </is>
      </c>
      <c r="H160" s="4" t="inlineStr">
        <is>
          <t>related</t>
        </is>
      </c>
      <c r="I160" s="4" t="n">
        <v>3</v>
      </c>
      <c r="J160" s="4" t="inlineStr">
        <is>
          <t>Explicit args</t>
        </is>
      </c>
      <c r="K160" s="4" t="inlineStr">
        <is>
          <t>Grouped surface</t>
        </is>
      </c>
      <c r="L160" s="4" t="inlineStr">
        <is>
          <t>Content type: profile; Context uses Profile Type: Student (1551); Context uses Program: Master’s in Asset Management (82); Limited to 3 item(s); Source: Explicit args</t>
        </is>
      </c>
      <c r="M160" t="inlineStr"/>
      <c r="N160" t="inlineStr"/>
      <c r="O160" t="inlineStr"/>
      <c r="P160" t="inlineStr"/>
      <c r="Q160" t="inlineStr"/>
      <c r="R160" t="inlineStr"/>
      <c r="S160" t="inlineStr"/>
      <c r="T160" t="inlineStr"/>
      <c r="U160" t="inlineStr"/>
      <c r="V160" t="inlineStr"/>
      <c r="W160" t="inlineStr"/>
      <c r="X160" t="inlineStr"/>
      <c r="Y160" t="inlineStr"/>
      <c r="Z160" t="inlineStr"/>
      <c r="AA160" t="inlineStr"/>
      <c r="AB160" t="inlineStr"/>
      <c r="AC160" t="inlineStr"/>
      <c r="AD160" t="inlineStr"/>
      <c r="AE160" t="inlineStr"/>
      <c r="AF160" t="inlineStr"/>
      <c r="AG160" t="inlineStr"/>
      <c r="AH160" t="inlineStr"/>
      <c r="AI160" t="inlineStr"/>
      <c r="AJ160" t="inlineStr"/>
      <c r="AK160" t="inlineStr"/>
      <c r="AL160" t="inlineStr"/>
      <c r="AM160" t="inlineStr"/>
      <c r="AN160" t="inlineStr"/>
      <c r="AO160" t="inlineStr"/>
      <c r="AP160" t="inlineStr"/>
      <c r="AQ160" t="inlineStr"/>
      <c r="AR160" t="inlineStr"/>
      <c r="AS160" t="inlineStr"/>
      <c r="AT160" t="inlineStr"/>
      <c r="AU160" t="inlineStr"/>
      <c r="AV160" t="inlineStr"/>
      <c r="AW160" t="inlineStr"/>
      <c r="AX160" t="inlineStr"/>
      <c r="AY160" t="inlineStr"/>
      <c r="AZ160" t="inlineStr"/>
      <c r="BA160" t="inlineStr"/>
      <c r="BB160" t="inlineStr"/>
      <c r="BC160" t="inlineStr"/>
      <c r="BD160" t="inlineStr"/>
      <c r="BE160" t="inlineStr"/>
      <c r="BF160" t="inlineStr"/>
      <c r="BG160" t="inlineStr"/>
      <c r="BH160" t="inlineStr"/>
      <c r="BI160" t="inlineStr"/>
      <c r="BJ160" t="inlineStr"/>
      <c r="BK160" t="inlineStr"/>
      <c r="BL160" t="inlineStr"/>
      <c r="BM160" t="inlineStr"/>
      <c r="BN160" t="inlineStr"/>
      <c r="BO160" t="inlineStr"/>
      <c r="BP160" t="inlineStr"/>
      <c r="BQ160" t="inlineStr"/>
      <c r="BR160" t="inlineStr"/>
      <c r="BS160" t="inlineStr"/>
      <c r="BT160" t="inlineStr"/>
      <c r="BU160" t="inlineStr"/>
      <c r="BV160" t="inlineStr"/>
      <c r="BW160" t="inlineStr"/>
      <c r="BX160" t="inlineStr"/>
      <c r="BY160" t="inlineStr"/>
      <c r="BZ160" t="inlineStr"/>
      <c r="CA160" t="inlineStr"/>
      <c r="CB160" t="inlineStr"/>
      <c r="CC160" t="inlineStr"/>
      <c r="CD160" t="inlineStr"/>
      <c r="CE160" t="inlineStr"/>
      <c r="CF160" t="inlineStr"/>
      <c r="CG160" t="inlineStr"/>
      <c r="CH160" t="inlineStr"/>
      <c r="CI160" t="inlineStr"/>
      <c r="CJ160" t="inlineStr"/>
      <c r="CK160" t="inlineStr"/>
      <c r="CL160" t="inlineStr"/>
      <c r="CM160" t="inlineStr"/>
      <c r="CN160" t="inlineStr"/>
      <c r="CO160" t="inlineStr"/>
      <c r="CP160" t="inlineStr"/>
      <c r="CQ160" t="inlineStr"/>
      <c r="CR160" t="inlineStr"/>
      <c r="CS160" t="inlineStr"/>
      <c r="CT160" t="inlineStr"/>
      <c r="CU160" t="inlineStr"/>
      <c r="CV160" t="inlineStr"/>
      <c r="CW160" t="inlineStr"/>
      <c r="CX160" t="inlineStr"/>
      <c r="CY160" t="inlineStr"/>
      <c r="CZ160" t="inlineStr"/>
      <c r="DA160" t="inlineStr"/>
      <c r="DB160" t="inlineStr"/>
      <c r="DC160" t="inlineStr"/>
      <c r="DD160" t="inlineStr"/>
      <c r="DE160" t="inlineStr"/>
      <c r="DF160" t="inlineStr"/>
      <c r="DG160" t="inlineStr"/>
      <c r="DH160" t="inlineStr"/>
      <c r="DI160" t="inlineStr"/>
      <c r="DJ160" t="inlineStr"/>
      <c r="DK160" t="inlineStr"/>
      <c r="DL160" t="inlineStr"/>
      <c r="DM160" t="inlineStr"/>
      <c r="DN160" t="inlineStr"/>
      <c r="DO160" t="inlineStr"/>
      <c r="DP160" t="inlineStr"/>
      <c r="DQ160" t="inlineStr"/>
      <c r="DR160" t="inlineStr"/>
      <c r="DS160" t="inlineStr"/>
      <c r="DT160" t="inlineStr"/>
      <c r="DU160" t="inlineStr"/>
      <c r="DV160" t="inlineStr"/>
      <c r="DW160" t="inlineStr"/>
      <c r="DX160" t="inlineStr"/>
      <c r="DY160" t="inlineStr"/>
      <c r="DZ160" t="inlineStr"/>
      <c r="EA160" t="inlineStr"/>
      <c r="EB160" t="inlineStr"/>
      <c r="EC160" t="inlineStr"/>
      <c r="ED160" t="inlineStr"/>
      <c r="EE160" t="inlineStr"/>
      <c r="EF160" t="inlineStr"/>
      <c r="EG160" t="inlineStr"/>
      <c r="EH160" t="inlineStr"/>
      <c r="EI160" t="inlineStr"/>
      <c r="EJ160" t="inlineStr"/>
      <c r="EK160" t="inlineStr"/>
      <c r="EL160" t="inlineStr"/>
      <c r="EM160" t="inlineStr"/>
      <c r="EN160" t="inlineStr"/>
      <c r="EO160" t="inlineStr"/>
      <c r="EP160" t="inlineStr"/>
      <c r="EQ160" t="inlineStr"/>
      <c r="ER160" t="inlineStr"/>
      <c r="ES160" t="inlineStr"/>
      <c r="ET160" t="inlineStr"/>
      <c r="EU160" t="inlineStr"/>
      <c r="EV160" t="inlineStr"/>
      <c r="EW160" t="inlineStr"/>
      <c r="EX160" t="inlineStr"/>
      <c r="EY160" t="inlineStr"/>
      <c r="EZ160" t="inlineStr"/>
      <c r="FA160" t="inlineStr"/>
      <c r="FB160" t="inlineStr"/>
      <c r="FC160" t="inlineStr"/>
      <c r="FD160" t="inlineStr"/>
      <c r="FE160" t="inlineStr"/>
      <c r="FF160" t="inlineStr"/>
      <c r="FG160" t="inlineStr"/>
      <c r="FH160" t="inlineStr"/>
      <c r="FI160" t="inlineStr"/>
      <c r="FJ160" t="inlineStr"/>
      <c r="FK160" t="inlineStr"/>
      <c r="FL160" t="inlineStr"/>
      <c r="FM160" t="inlineStr"/>
      <c r="FN160" t="inlineStr"/>
      <c r="FO160" t="inlineStr"/>
      <c r="FP160" t="inlineStr"/>
      <c r="FQ160" t="inlineStr"/>
      <c r="FR160" t="inlineStr"/>
      <c r="FS160" t="inlineStr"/>
      <c r="FT160" t="inlineStr"/>
      <c r="FU160" t="inlineStr"/>
      <c r="FV160" t="inlineStr"/>
      <c r="FW160" t="inlineStr"/>
      <c r="FX160" t="inlineStr"/>
      <c r="FY160" t="inlineStr"/>
      <c r="FZ160" t="inlineStr"/>
      <c r="GA160" t="inlineStr"/>
      <c r="GB160" t="inlineStr"/>
      <c r="GC160" t="inlineStr"/>
      <c r="GD160" t="inlineStr"/>
      <c r="GE160" t="inlineStr"/>
      <c r="GF160" t="inlineStr"/>
      <c r="GG160" t="inlineStr"/>
      <c r="GH160" t="inlineStr"/>
      <c r="GI160" t="inlineStr"/>
      <c r="GJ160" t="inlineStr"/>
      <c r="GK160" t="inlineStr"/>
      <c r="GL160" t="inlineStr"/>
      <c r="GM160" t="inlineStr"/>
      <c r="GN160" t="inlineStr"/>
      <c r="GO160" t="inlineStr"/>
      <c r="GP160" t="inlineStr"/>
      <c r="GQ160" t="inlineStr"/>
      <c r="GR160" t="inlineStr"/>
      <c r="GS160" t="inlineStr"/>
      <c r="GT160" t="inlineStr"/>
      <c r="GU160" t="inlineStr"/>
      <c r="GV160" t="inlineStr"/>
      <c r="GW160" t="inlineStr"/>
      <c r="GX160" t="inlineStr"/>
      <c r="GY160" t="inlineStr"/>
      <c r="GZ160" t="inlineStr"/>
      <c r="HA160" t="inlineStr">
        <is>
          <t>1551</t>
        </is>
      </c>
      <c r="HB160" t="inlineStr">
        <is>
          <t>Student (1551)</t>
        </is>
      </c>
      <c r="HC160" t="inlineStr"/>
      <c r="HD160" t="inlineStr"/>
      <c r="HE160" t="inlineStr"/>
      <c r="HF160" t="inlineStr"/>
      <c r="HG160" t="inlineStr"/>
      <c r="HH160" t="inlineStr"/>
      <c r="HI160" t="inlineStr"/>
      <c r="HJ160" t="inlineStr"/>
      <c r="HK160" t="inlineStr">
        <is>
          <t>82</t>
        </is>
      </c>
      <c r="HL160" t="inlineStr">
        <is>
          <t>Master’s in Asset Management (82)</t>
        </is>
      </c>
      <c r="HM160" t="inlineStr"/>
      <c r="HN160" t="inlineStr"/>
      <c r="HO160" t="inlineStr"/>
      <c r="HP160" t="inlineStr"/>
      <c r="HQ160" t="inlineStr"/>
      <c r="HR160" t="inlineStr"/>
      <c r="HS160" t="inlineStr"/>
      <c r="HT160" t="inlineStr"/>
      <c r="HU160" t="inlineStr"/>
      <c r="HV160" t="inlineStr"/>
      <c r="HW160" t="inlineStr"/>
      <c r="HX160" t="inlineStr"/>
      <c r="HY160" t="inlineStr"/>
      <c r="HZ160" t="inlineStr"/>
      <c r="IA160" t="inlineStr"/>
      <c r="IB160" t="inlineStr"/>
      <c r="IC160" t="inlineStr"/>
      <c r="ID160" t="inlineStr"/>
      <c r="IE160" t="inlineStr"/>
      <c r="IF160" t="inlineStr"/>
      <c r="IG160" t="inlineStr"/>
      <c r="IH160" t="inlineStr"/>
      <c r="II160" t="inlineStr"/>
      <c r="IJ160" t="inlineStr"/>
      <c r="IK160" t="inlineStr"/>
      <c r="IL160" t="inlineStr"/>
      <c r="IM160" t="inlineStr"/>
      <c r="IN160" t="inlineStr"/>
      <c r="IO160" t="inlineStr"/>
      <c r="IP160" t="inlineStr"/>
      <c r="IQ160" t="inlineStr"/>
      <c r="IR160" t="inlineStr"/>
      <c r="IS160">
        <f>IF(input_content_type="",FALSE,ISNUMBER(SEARCH(","&amp;LOWER(input_content_type)&amp;",",","&amp;LOWER(F160)&amp;",")))</f>
        <v/>
      </c>
      <c r="IT160">
        <f>AND(IF(M160="",TRUE,IF(input_affiliations="",FALSE,SUMPRODUCT(--ISNUMBER(SEARCH(","&amp;TRIM(TEXTSPLIT(M160,","))&amp;",",","&amp;SUBSTITUTE(input_affiliations," ","")&amp;",")))&gt;0)),IF(O160="",TRUE,IF(input_affiliations="",FALSE,SUMPRODUCT(--ISNUMBER(SEARCH(","&amp;TRIM(TEXTSPLIT(O160,","))&amp;",",","&amp;SUBSTITUTE(input_affiliations," ","")&amp;",")))=COUNTA(TEXTSPLIT(O160,",")))),IF(Q160="",TRUE,IF(input_affiliations="",TRUE,SUMPRODUCT(--ISNUMBER(SEARCH(","&amp;TRIM(TEXTSPLIT(Q160,","))&amp;",",","&amp;SUBSTITUTE(input_affiliations," ","")&amp;",")))=0)),IF(S160="",TRUE,IF(input_affiliations="",FALSE,SUMPRODUCT(--ISNUMBER(SEARCH(","&amp;TRIM(TEXTSPLIT(S160,","))&amp;",",","&amp;SUBSTITUTE(input_affiliations," ","")&amp;",")))&gt;0)),IF(U160="",TRUE,IF(input_affiliations="",FALSE,SUMPRODUCT(--ISNUMBER(SEARCH(","&amp;TRIM(TEXTSPLIT(U160,","))&amp;",",","&amp;SUBSTITUTE(input_affiliations," ","")&amp;",")))=COUNTA(TEXTSPLIT(U160,",")))))</f>
        <v/>
      </c>
      <c r="IU160">
        <f>AND(IF(W160="",TRUE,IF(input_announcement_category="",FALSE,SUMPRODUCT(--ISNUMBER(SEARCH(","&amp;TRIM(TEXTSPLIT(W160,","))&amp;",",","&amp;SUBSTITUTE(input_announcement_category," ","")&amp;",")))&gt;0)),IF(Y160="",TRUE,IF(input_announcement_category="",FALSE,SUMPRODUCT(--ISNUMBER(SEARCH(","&amp;TRIM(TEXTSPLIT(Y160,","))&amp;",",","&amp;SUBSTITUTE(input_announcement_category," ","")&amp;",")))=COUNTA(TEXTSPLIT(Y160,",")))),IF(AA160="",TRUE,IF(input_announcement_category="",TRUE,SUMPRODUCT(--ISNUMBER(SEARCH(","&amp;TRIM(TEXTSPLIT(AA160,","))&amp;",",","&amp;SUBSTITUTE(input_announcement_category," ","")&amp;",")))=0)),IF(AC160="",TRUE,IF(input_announcement_category="",FALSE,SUMPRODUCT(--ISNUMBER(SEARCH(","&amp;TRIM(TEXTSPLIT(AC160,","))&amp;",",","&amp;SUBSTITUTE(input_announcement_category," ","")&amp;",")))&gt;0)),IF(AE160="",TRUE,IF(input_announcement_category="",FALSE,SUMPRODUCT(--ISNUMBER(SEARCH(","&amp;TRIM(TEXTSPLIT(AE160,","))&amp;",",","&amp;SUBSTITUTE(input_announcement_category," ","")&amp;",")))=COUNTA(TEXTSPLIT(AE160,",")))))</f>
        <v/>
      </c>
      <c r="IV160">
        <f>AND(IF(AG160="",TRUE,IF(input_area_of_focus="",FALSE,SUMPRODUCT(--ISNUMBER(SEARCH(","&amp;TRIM(TEXTSPLIT(AG160,","))&amp;",",","&amp;SUBSTITUTE(input_area_of_focus," ","")&amp;",")))&gt;0)),IF(AI160="",TRUE,IF(input_area_of_focus="",FALSE,SUMPRODUCT(--ISNUMBER(SEARCH(","&amp;TRIM(TEXTSPLIT(AI160,","))&amp;",",","&amp;SUBSTITUTE(input_area_of_focus," ","")&amp;",")))=COUNTA(TEXTSPLIT(AI160,",")))),IF(AK160="",TRUE,IF(input_area_of_focus="",TRUE,SUMPRODUCT(--ISNUMBER(SEARCH(","&amp;TRIM(TEXTSPLIT(AK160,","))&amp;",",","&amp;SUBSTITUTE(input_area_of_focus," ","")&amp;",")))=0)),IF(AM160="",TRUE,IF(input_area_of_focus="",FALSE,SUMPRODUCT(--ISNUMBER(SEARCH(","&amp;TRIM(TEXTSPLIT(AM160,","))&amp;",",","&amp;SUBSTITUTE(input_area_of_focus," ","")&amp;",")))&gt;0)),IF(AO160="",TRUE,IF(input_area_of_focus="",FALSE,SUMPRODUCT(--ISNUMBER(SEARCH(","&amp;TRIM(TEXTSPLIT(AO160,","))&amp;",",","&amp;SUBSTITUTE(input_area_of_focus," ","")&amp;",")))=COUNTA(TEXTSPLIT(AO160,",")))))</f>
        <v/>
      </c>
      <c r="IW160">
        <f>AND(IF(AQ160="",TRUE,IF(input_audience="",FALSE,SUMPRODUCT(--ISNUMBER(SEARCH(","&amp;TRIM(TEXTSPLIT(AQ160,","))&amp;",",","&amp;SUBSTITUTE(input_audience," ","")&amp;",")))&gt;0)),IF(AS160="",TRUE,IF(input_audience="",FALSE,SUMPRODUCT(--ISNUMBER(SEARCH(","&amp;TRIM(TEXTSPLIT(AS160,","))&amp;",",","&amp;SUBSTITUTE(input_audience," ","")&amp;",")))=COUNTA(TEXTSPLIT(AS160,",")))),IF(AU160="",TRUE,IF(input_audience="",TRUE,SUMPRODUCT(--ISNUMBER(SEARCH(","&amp;TRIM(TEXTSPLIT(AU160,","))&amp;",",","&amp;SUBSTITUTE(input_audience," ","")&amp;",")))=0)),IF(AW160="",TRUE,IF(input_audience="",FALSE,SUMPRODUCT(--ISNUMBER(SEARCH(","&amp;TRIM(TEXTSPLIT(AW160,","))&amp;",",","&amp;SUBSTITUTE(input_audience," ","")&amp;",")))&gt;0)),IF(AY160="",TRUE,IF(input_audience="",FALSE,SUMPRODUCT(--ISNUMBER(SEARCH(","&amp;TRIM(TEXTSPLIT(AY160,","))&amp;",",","&amp;SUBSTITUTE(input_audience," ","")&amp;",")))=COUNTA(TEXTSPLIT(AY160,",")))))</f>
        <v/>
      </c>
      <c r="IX160">
        <f>AND(IF(BA160="",TRUE,IF(input_challenge_opportunities="",FALSE,SUMPRODUCT(--ISNUMBER(SEARCH(","&amp;TRIM(TEXTSPLIT(BA160,","))&amp;",",","&amp;SUBSTITUTE(input_challenge_opportunities," ","")&amp;",")))&gt;0)),IF(BC160="",TRUE,IF(input_challenge_opportunities="",FALSE,SUMPRODUCT(--ISNUMBER(SEARCH(","&amp;TRIM(TEXTSPLIT(BC160,","))&amp;",",","&amp;SUBSTITUTE(input_challenge_opportunities," ","")&amp;",")))=COUNTA(TEXTSPLIT(BC160,",")))),IF(BE160="",TRUE,IF(input_challenge_opportunities="",TRUE,SUMPRODUCT(--ISNUMBER(SEARCH(","&amp;TRIM(TEXTSPLIT(BE160,","))&amp;",",","&amp;SUBSTITUTE(input_challenge_opportunities," ","")&amp;",")))=0)),IF(BG160="",TRUE,IF(input_challenge_opportunities="",FALSE,SUMPRODUCT(--ISNUMBER(SEARCH(","&amp;TRIM(TEXTSPLIT(BG160,","))&amp;",",","&amp;SUBSTITUTE(input_challenge_opportunities," ","")&amp;",")))&gt;0)),IF(BI160="",TRUE,IF(input_challenge_opportunities="",FALSE,SUMPRODUCT(--ISNUMBER(SEARCH(","&amp;TRIM(TEXTSPLIT(BI160,","))&amp;",",","&amp;SUBSTITUTE(input_challenge_opportunities," ","")&amp;",")))=COUNTA(TEXTSPLIT(BI160,",")))))</f>
        <v/>
      </c>
      <c r="IY160">
        <f>AND(IF(BK160="",TRUE,IF(input_context="",FALSE,SUMPRODUCT(--ISNUMBER(SEARCH(","&amp;TRIM(TEXTSPLIT(BK160,","))&amp;",",","&amp;SUBSTITUTE(input_context," ","")&amp;",")))&gt;0)),IF(BM160="",TRUE,IF(input_context="",FALSE,SUMPRODUCT(--ISNUMBER(SEARCH(","&amp;TRIM(TEXTSPLIT(BM160,","))&amp;",",","&amp;SUBSTITUTE(input_context," ","")&amp;",")))=COUNTA(TEXTSPLIT(BM160,",")))),IF(BO160="",TRUE,IF(input_context="",TRUE,SUMPRODUCT(--ISNUMBER(SEARCH(","&amp;TRIM(TEXTSPLIT(BO160,","))&amp;",",","&amp;SUBSTITUTE(input_context," ","")&amp;",")))=0)),IF(BQ160="",TRUE,IF(input_context="",FALSE,SUMPRODUCT(--ISNUMBER(SEARCH(","&amp;TRIM(TEXTSPLIT(BQ160,","))&amp;",",","&amp;SUBSTITUTE(input_context," ","")&amp;",")))&gt;0)),IF(BS160="",TRUE,IF(input_context="",FALSE,SUMPRODUCT(--ISNUMBER(SEARCH(","&amp;TRIM(TEXTSPLIT(BS160,","))&amp;",",","&amp;SUBSTITUTE(input_context," ","")&amp;",")))=COUNTA(TEXTSPLIT(BS160,",")))))</f>
        <v/>
      </c>
      <c r="IZ160">
        <f>AND(IF(BU160="",TRUE,IF(input_enews_announcement_type="",FALSE,SUMPRODUCT(--ISNUMBER(SEARCH(","&amp;TRIM(TEXTSPLIT(BU160,","))&amp;",",","&amp;SUBSTITUTE(input_enews_announcement_type," ","")&amp;",")))&gt;0)),IF(BW160="",TRUE,IF(input_enews_announcement_type="",FALSE,SUMPRODUCT(--ISNUMBER(SEARCH(","&amp;TRIM(TEXTSPLIT(BW160,","))&amp;",",","&amp;SUBSTITUTE(input_enews_announcement_type," ","")&amp;",")))=COUNTA(TEXTSPLIT(BW160,",")))),IF(BY160="",TRUE,IF(input_enews_announcement_type="",TRUE,SUMPRODUCT(--ISNUMBER(SEARCH(","&amp;TRIM(TEXTSPLIT(BY160,","))&amp;",",","&amp;SUBSTITUTE(input_enews_announcement_type," ","")&amp;",")))=0)),IF(CA160="",TRUE,IF(input_enews_announcement_type="",FALSE,SUMPRODUCT(--ISNUMBER(SEARCH(","&amp;TRIM(TEXTSPLIT(CA160,","))&amp;",",","&amp;SUBSTITUTE(input_enews_announcement_type," ","")&amp;",")))&gt;0)),IF(CC160="",TRUE,IF(input_enews_announcement_type="",FALSE,SUMPRODUCT(--ISNUMBER(SEARCH(","&amp;TRIM(TEXTSPLIT(CC160,","))&amp;",",","&amp;SUBSTITUTE(input_enews_announcement_type," ","")&amp;",")))=COUNTA(TEXTSPLIT(CC160,",")))))</f>
        <v/>
      </c>
      <c r="JA160">
        <f>AND(IF(CE160="",TRUE,IF(input_enews_audience="",FALSE,SUMPRODUCT(--ISNUMBER(SEARCH(","&amp;TRIM(TEXTSPLIT(CE160,","))&amp;",",","&amp;SUBSTITUTE(input_enews_audience," ","")&amp;",")))&gt;0)),IF(CG160="",TRUE,IF(input_enews_audience="",FALSE,SUMPRODUCT(--ISNUMBER(SEARCH(","&amp;TRIM(TEXTSPLIT(CG160,","))&amp;",",","&amp;SUBSTITUTE(input_enews_audience," ","")&amp;",")))=COUNTA(TEXTSPLIT(CG160,",")))),IF(CI160="",TRUE,IF(input_enews_audience="",TRUE,SUMPRODUCT(--ISNUMBER(SEARCH(","&amp;TRIM(TEXTSPLIT(CI160,","))&amp;",",","&amp;SUBSTITUTE(input_enews_audience," ","")&amp;",")))=0)),IF(CK160="",TRUE,IF(input_enews_audience="",FALSE,SUMPRODUCT(--ISNUMBER(SEARCH(","&amp;TRIM(TEXTSPLIT(CK160,","))&amp;",",","&amp;SUBSTITUTE(input_enews_audience," ","")&amp;",")))&gt;0)),IF(CM160="",TRUE,IF(input_enews_audience="",FALSE,SUMPRODUCT(--ISNUMBER(SEARCH(","&amp;TRIM(TEXTSPLIT(CM160,","))&amp;",",","&amp;SUBSTITUTE(input_enews_audience," ","")&amp;",")))=COUNTA(TEXTSPLIT(CM160,",")))))</f>
        <v/>
      </c>
      <c r="JB160">
        <f>AND(IF(CO160="",TRUE,IF(input_event_location="",FALSE,SUMPRODUCT(--ISNUMBER(SEARCH(","&amp;TRIM(TEXTSPLIT(CO160,","))&amp;",",","&amp;SUBSTITUTE(input_event_location," ","")&amp;",")))&gt;0)),IF(CQ160="",TRUE,IF(input_event_location="",FALSE,SUMPRODUCT(--ISNUMBER(SEARCH(","&amp;TRIM(TEXTSPLIT(CQ160,","))&amp;",",","&amp;SUBSTITUTE(input_event_location," ","")&amp;",")))=COUNTA(TEXTSPLIT(CQ160,",")))),IF(CS160="",TRUE,IF(input_event_location="",TRUE,SUMPRODUCT(--ISNUMBER(SEARCH(","&amp;TRIM(TEXTSPLIT(CS160,","))&amp;",",","&amp;SUBSTITUTE(input_event_location," ","")&amp;",")))=0)),IF(CU160="",TRUE,IF(input_event_location="",FALSE,SUMPRODUCT(--ISNUMBER(SEARCH(","&amp;TRIM(TEXTSPLIT(CU160,","))&amp;",",","&amp;SUBSTITUTE(input_event_location," ","")&amp;",")))&gt;0)),IF(CW160="",TRUE,IF(input_event_location="",FALSE,SUMPRODUCT(--ISNUMBER(SEARCH(","&amp;TRIM(TEXTSPLIT(CW160,","))&amp;",",","&amp;SUBSTITUTE(input_event_location," ","")&amp;",")))=COUNTA(TEXTSPLIT(CW160,",")))))</f>
        <v/>
      </c>
      <c r="JC160">
        <f>AND(IF(CY160="",TRUE,IF(input_event_type="",FALSE,SUMPRODUCT(--ISNUMBER(SEARCH(","&amp;TRIM(TEXTSPLIT(CY160,","))&amp;",",","&amp;SUBSTITUTE(input_event_type," ","")&amp;",")))&gt;0)),IF(DA160="",TRUE,IF(input_event_type="",FALSE,SUMPRODUCT(--ISNUMBER(SEARCH(","&amp;TRIM(TEXTSPLIT(DA160,","))&amp;",",","&amp;SUBSTITUTE(input_event_type," ","")&amp;",")))=COUNTA(TEXTSPLIT(DA160,",")))),IF(DC160="",TRUE,IF(input_event_type="",TRUE,SUMPRODUCT(--ISNUMBER(SEARCH(","&amp;TRIM(TEXTSPLIT(DC160,","))&amp;",",","&amp;SUBSTITUTE(input_event_type," ","")&amp;",")))=0)),IF(DE160="",TRUE,IF(input_event_type="",FALSE,SUMPRODUCT(--ISNUMBER(SEARCH(","&amp;TRIM(TEXTSPLIT(DE160,","))&amp;",",","&amp;SUBSTITUTE(input_event_type," ","")&amp;",")))&gt;0)),IF(DG160="",TRUE,IF(input_event_type="",FALSE,SUMPRODUCT(--ISNUMBER(SEARCH(","&amp;TRIM(TEXTSPLIT(DG160,","))&amp;",",","&amp;SUBSTITUTE(input_event_type," ","")&amp;",")))=COUNTA(TEXTSPLIT(DG160,",")))))</f>
        <v/>
      </c>
      <c r="JD160">
        <f>AND(IF(DI160="",TRUE,IF(input_executive_education_focus="",FALSE,SUMPRODUCT(--ISNUMBER(SEARCH(","&amp;TRIM(TEXTSPLIT(DI160,","))&amp;",",","&amp;SUBSTITUTE(input_executive_education_focus," ","")&amp;",")))&gt;0)),IF(DK160="",TRUE,IF(input_executive_education_focus="",FALSE,SUMPRODUCT(--ISNUMBER(SEARCH(","&amp;TRIM(TEXTSPLIT(DK160,","))&amp;",",","&amp;SUBSTITUTE(input_executive_education_focus," ","")&amp;",")))=COUNTA(TEXTSPLIT(DK160,",")))),IF(DM160="",TRUE,IF(input_executive_education_focus="",TRUE,SUMPRODUCT(--ISNUMBER(SEARCH(","&amp;TRIM(TEXTSPLIT(DM160,","))&amp;",",","&amp;SUBSTITUTE(input_executive_education_focus," ","")&amp;",")))=0)),IF(DO160="",TRUE,IF(input_executive_education_focus="",FALSE,SUMPRODUCT(--ISNUMBER(SEARCH(","&amp;TRIM(TEXTSPLIT(DO160,","))&amp;",",","&amp;SUBSTITUTE(input_executive_education_focus," ","")&amp;",")))&gt;0)),IF(DQ160="",TRUE,IF(input_executive_education_focus="",FALSE,SUMPRODUCT(--ISNUMBER(SEARCH(","&amp;TRIM(TEXTSPLIT(DQ160,","))&amp;",",","&amp;SUBSTITUTE(input_executive_education_focus," ","")&amp;",")))=COUNTA(TEXTSPLIT(DQ160,",")))))</f>
        <v/>
      </c>
      <c r="JE160">
        <f>AND(IF(DS160="",TRUE,IF(input_faculty_category="",FALSE,SUMPRODUCT(--ISNUMBER(SEARCH(","&amp;TRIM(TEXTSPLIT(DS160,","))&amp;",",","&amp;SUBSTITUTE(input_faculty_category," ","")&amp;",")))&gt;0)),IF(DU160="",TRUE,IF(input_faculty_category="",FALSE,SUMPRODUCT(--ISNUMBER(SEARCH(","&amp;TRIM(TEXTSPLIT(DU160,","))&amp;",",","&amp;SUBSTITUTE(input_faculty_category," ","")&amp;",")))=COUNTA(TEXTSPLIT(DU160,",")))),IF(DW160="",TRUE,IF(input_faculty_category="",TRUE,SUMPRODUCT(--ISNUMBER(SEARCH(","&amp;TRIM(TEXTSPLIT(DW160,","))&amp;",",","&amp;SUBSTITUTE(input_faculty_category," ","")&amp;",")))=0)),IF(DY160="",TRUE,IF(input_faculty_category="",FALSE,SUMPRODUCT(--ISNUMBER(SEARCH(","&amp;TRIM(TEXTSPLIT(DY160,","))&amp;",",","&amp;SUBSTITUTE(input_faculty_category," ","")&amp;",")))&gt;0)),IF(EA160="",TRUE,IF(input_faculty_category="",FALSE,SUMPRODUCT(--ISNUMBER(SEARCH(","&amp;TRIM(TEXTSPLIT(EA160,","))&amp;",",","&amp;SUBSTITUTE(input_faculty_category," ","")&amp;",")))=COUNTA(TEXTSPLIT(EA160,",")))))</f>
        <v/>
      </c>
      <c r="JF160">
        <f>AND(IF(EC160="",TRUE,IF(input_faculty_discipline="",FALSE,SUMPRODUCT(--ISNUMBER(SEARCH(","&amp;TRIM(TEXTSPLIT(EC160,","))&amp;",",","&amp;SUBSTITUTE(input_faculty_discipline," ","")&amp;",")))&gt;0)),IF(EE160="",TRUE,IF(input_faculty_discipline="",FALSE,SUMPRODUCT(--ISNUMBER(SEARCH(","&amp;TRIM(TEXTSPLIT(EE160,","))&amp;",",","&amp;SUBSTITUTE(input_faculty_discipline," ","")&amp;",")))=COUNTA(TEXTSPLIT(EE160,",")))),IF(EG160="",TRUE,IF(input_faculty_discipline="",TRUE,SUMPRODUCT(--ISNUMBER(SEARCH(","&amp;TRIM(TEXTSPLIT(EG160,","))&amp;",",","&amp;SUBSTITUTE(input_faculty_discipline," ","")&amp;",")))=0)),IF(EI160="",TRUE,IF(input_faculty_discipline="",FALSE,SUMPRODUCT(--ISNUMBER(SEARCH(","&amp;TRIM(TEXTSPLIT(EI160,","))&amp;",",","&amp;SUBSTITUTE(input_faculty_discipline," ","")&amp;",")))&gt;0)),IF(EK160="",TRUE,IF(input_faculty_discipline="",FALSE,SUMPRODUCT(--ISNUMBER(SEARCH(","&amp;TRIM(TEXTSPLIT(EK160,","))&amp;",",","&amp;SUBSTITUTE(input_faculty_discipline," ","")&amp;",")))=COUNTA(TEXTSPLIT(EK160,",")))))</f>
        <v/>
      </c>
      <c r="JG160">
        <f>AND(IF(EM160="",TRUE,IF(input_faculty_expertise="",FALSE,SUMPRODUCT(--ISNUMBER(SEARCH(","&amp;TRIM(TEXTSPLIT(EM160,","))&amp;",",","&amp;SUBSTITUTE(input_faculty_expertise," ","")&amp;",")))&gt;0)),IF(EO160="",TRUE,IF(input_faculty_expertise="",FALSE,SUMPRODUCT(--ISNUMBER(SEARCH(","&amp;TRIM(TEXTSPLIT(EO160,","))&amp;",",","&amp;SUBSTITUTE(input_faculty_expertise," ","")&amp;",")))=COUNTA(TEXTSPLIT(EO160,",")))),IF(EQ160="",TRUE,IF(input_faculty_expertise="",TRUE,SUMPRODUCT(--ISNUMBER(SEARCH(","&amp;TRIM(TEXTSPLIT(EQ160,","))&amp;",",","&amp;SUBSTITUTE(input_faculty_expertise," ","")&amp;",")))=0)),IF(ES160="",TRUE,IF(input_faculty_expertise="",FALSE,SUMPRODUCT(--ISNUMBER(SEARCH(","&amp;TRIM(TEXTSPLIT(ES160,","))&amp;",",","&amp;SUBSTITUTE(input_faculty_expertise," ","")&amp;",")))&gt;0)),IF(EU160="",TRUE,IF(input_faculty_expertise="",FALSE,SUMPRODUCT(--ISNUMBER(SEARCH(","&amp;TRIM(TEXTSPLIT(EU160,","))&amp;",",","&amp;SUBSTITUTE(input_faculty_expertise," ","")&amp;",")))=COUNTA(TEXTSPLIT(EU160,",")))))</f>
        <v/>
      </c>
      <c r="JH160">
        <f>AND(IF(EW160="",TRUE,IF(input_global_network_school="",FALSE,SUMPRODUCT(--ISNUMBER(SEARCH(","&amp;TRIM(TEXTSPLIT(EW160,","))&amp;",",","&amp;SUBSTITUTE(input_global_network_school," ","")&amp;",")))&gt;0)),IF(EY160="",TRUE,IF(input_global_network_school="",FALSE,SUMPRODUCT(--ISNUMBER(SEARCH(","&amp;TRIM(TEXTSPLIT(EY160,","))&amp;",",","&amp;SUBSTITUTE(input_global_network_school," ","")&amp;",")))=COUNTA(TEXTSPLIT(EY160,",")))),IF(FA160="",TRUE,IF(input_global_network_school="",TRUE,SUMPRODUCT(--ISNUMBER(SEARCH(","&amp;TRIM(TEXTSPLIT(FA160,","))&amp;",",","&amp;SUBSTITUTE(input_global_network_school," ","")&amp;",")))=0)),IF(FC160="",TRUE,IF(input_global_network_school="",FALSE,SUMPRODUCT(--ISNUMBER(SEARCH(","&amp;TRIM(TEXTSPLIT(FC160,","))&amp;",",","&amp;SUBSTITUTE(input_global_network_school," ","")&amp;",")))&gt;0)),IF(FE160="",TRUE,IF(input_global_network_school="",FALSE,SUMPRODUCT(--ISNUMBER(SEARCH(","&amp;TRIM(TEXTSPLIT(FE160,","))&amp;",",","&amp;SUBSTITUTE(input_global_network_school," ","")&amp;",")))=COUNTA(TEXTSPLIT(FE160,",")))))</f>
        <v/>
      </c>
      <c r="JI160">
        <f>AND(IF(FG160="",TRUE,IF(input_industry="",FALSE,SUMPRODUCT(--ISNUMBER(SEARCH(","&amp;TRIM(TEXTSPLIT(FG160,","))&amp;",",","&amp;SUBSTITUTE(input_industry," ","")&amp;",")))&gt;0)),IF(FI160="",TRUE,IF(input_industry="",FALSE,SUMPRODUCT(--ISNUMBER(SEARCH(","&amp;TRIM(TEXTSPLIT(FI160,","))&amp;",",","&amp;SUBSTITUTE(input_industry," ","")&amp;",")))=COUNTA(TEXTSPLIT(FI160,",")))),IF(FK160="",TRUE,IF(input_industry="",TRUE,SUMPRODUCT(--ISNUMBER(SEARCH(","&amp;TRIM(TEXTSPLIT(FK160,","))&amp;",",","&amp;SUBSTITUTE(input_industry," ","")&amp;",")))=0)),IF(FM160="",TRUE,IF(input_industry="",FALSE,SUMPRODUCT(--ISNUMBER(SEARCH(","&amp;TRIM(TEXTSPLIT(FM160,","))&amp;",",","&amp;SUBSTITUTE(input_industry," ","")&amp;",")))&gt;0)),IF(FO160="",TRUE,IF(input_industry="",FALSE,SUMPRODUCT(--ISNUMBER(SEARCH(","&amp;TRIM(TEXTSPLIT(FO160,","))&amp;",",","&amp;SUBSTITUTE(input_industry," ","")&amp;",")))=COUNTA(TEXTSPLIT(FO160,",")))))</f>
        <v/>
      </c>
      <c r="JJ160">
        <f>AND(IF(FQ160="",TRUE,IF(input_location="",FALSE,SUMPRODUCT(--ISNUMBER(SEARCH(","&amp;TRIM(TEXTSPLIT(FQ160,","))&amp;",",","&amp;SUBSTITUTE(input_location," ","")&amp;",")))&gt;0)),IF(FS160="",TRUE,IF(input_location="",FALSE,SUMPRODUCT(--ISNUMBER(SEARCH(","&amp;TRIM(TEXTSPLIT(FS160,","))&amp;",",","&amp;SUBSTITUTE(input_location," ","")&amp;",")))=COUNTA(TEXTSPLIT(FS160,",")))),IF(FU160="",TRUE,IF(input_location="",TRUE,SUMPRODUCT(--ISNUMBER(SEARCH(","&amp;TRIM(TEXTSPLIT(FU160,","))&amp;",",","&amp;SUBSTITUTE(input_location," ","")&amp;",")))=0)),IF(FW160="",TRUE,IF(input_location="",FALSE,SUMPRODUCT(--ISNUMBER(SEARCH(","&amp;TRIM(TEXTSPLIT(FW160,","))&amp;",",","&amp;SUBSTITUTE(input_location," ","")&amp;",")))&gt;0)),IF(FY160="",TRUE,IF(input_location="",FALSE,SUMPRODUCT(--ISNUMBER(SEARCH(","&amp;TRIM(TEXTSPLIT(FY160,","))&amp;",",","&amp;SUBSTITUTE(input_location," ","")&amp;",")))=COUNTA(TEXTSPLIT(FY160,",")))))</f>
        <v/>
      </c>
      <c r="JK160">
        <f>AND(IF(GA160="",TRUE,IF(input_modality="",FALSE,SUMPRODUCT(--ISNUMBER(SEARCH(","&amp;TRIM(TEXTSPLIT(GA160,","))&amp;",",","&amp;SUBSTITUTE(input_modality," ","")&amp;",")))&gt;0)),IF(GC160="",TRUE,IF(input_modality="",FALSE,SUMPRODUCT(--ISNUMBER(SEARCH(","&amp;TRIM(TEXTSPLIT(GC160,","))&amp;",",","&amp;SUBSTITUTE(input_modality," ","")&amp;",")))=COUNTA(TEXTSPLIT(GC160,",")))),IF(GE160="",TRUE,IF(input_modality="",TRUE,SUMPRODUCT(--ISNUMBER(SEARCH(","&amp;TRIM(TEXTSPLIT(GE160,","))&amp;",",","&amp;SUBSTITUTE(input_modality," ","")&amp;",")))=0)),IF(GG160="",TRUE,IF(input_modality="",FALSE,SUMPRODUCT(--ISNUMBER(SEARCH(","&amp;TRIM(TEXTSPLIT(GG160,","))&amp;",",","&amp;SUBSTITUTE(input_modality," ","")&amp;",")))&gt;0)),IF(GI160="",TRUE,IF(input_modality="",FALSE,SUMPRODUCT(--ISNUMBER(SEARCH(","&amp;TRIM(TEXTSPLIT(GI160,","))&amp;",",","&amp;SUBSTITUTE(input_modality," ","")&amp;",")))=COUNTA(TEXTSPLIT(GI160,",")))))</f>
        <v/>
      </c>
      <c r="JL160">
        <f>AND(IF(GK160="",TRUE,IF(input_organizer="",FALSE,SUMPRODUCT(--ISNUMBER(SEARCH(","&amp;TRIM(TEXTSPLIT(GK160,","))&amp;",",","&amp;SUBSTITUTE(input_organizer," ","")&amp;",")))&gt;0)),IF(GM160="",TRUE,IF(input_organizer="",FALSE,SUMPRODUCT(--ISNUMBER(SEARCH(","&amp;TRIM(TEXTSPLIT(GM160,","))&amp;",",","&amp;SUBSTITUTE(input_organizer," ","")&amp;",")))=COUNTA(TEXTSPLIT(GM160,",")))),IF(GO160="",TRUE,IF(input_organizer="",TRUE,SUMPRODUCT(--ISNUMBER(SEARCH(","&amp;TRIM(TEXTSPLIT(GO160,","))&amp;",",","&amp;SUBSTITUTE(input_organizer," ","")&amp;",")))=0)),IF(GQ160="",TRUE,IF(input_organizer="",FALSE,SUMPRODUCT(--ISNUMBER(SEARCH(","&amp;TRIM(TEXTSPLIT(GQ160,","))&amp;",",","&amp;SUBSTITUTE(input_organizer," ","")&amp;",")))&gt;0)),IF(GS160="",TRUE,IF(input_organizer="",FALSE,SUMPRODUCT(--ISNUMBER(SEARCH(","&amp;TRIM(TEXTSPLIT(GS160,","))&amp;",",","&amp;SUBSTITUTE(input_organizer," ","")&amp;",")))=COUNTA(TEXTSPLIT(GS160,",")))))</f>
        <v/>
      </c>
      <c r="JM160">
        <f>AND(IF(GU160="",TRUE,IF(input_profile_type="",FALSE,SUMPRODUCT(--ISNUMBER(SEARCH(","&amp;TRIM(TEXTSPLIT(GU160,","))&amp;",",","&amp;SUBSTITUTE(input_profile_type," ","")&amp;",")))&gt;0)),IF(GW160="",TRUE,IF(input_profile_type="",FALSE,SUMPRODUCT(--ISNUMBER(SEARCH(","&amp;TRIM(TEXTSPLIT(GW160,","))&amp;",",","&amp;SUBSTITUTE(input_profile_type," ","")&amp;",")))=COUNTA(TEXTSPLIT(GW160,",")))),IF(GY160="",TRUE,IF(input_profile_type="",TRUE,SUMPRODUCT(--ISNUMBER(SEARCH(","&amp;TRIM(TEXTSPLIT(GY160,","))&amp;",",","&amp;SUBSTITUTE(input_profile_type," ","")&amp;",")))=0)),IF(HA160="",TRUE,IF(input_profile_type="",FALSE,SUMPRODUCT(--ISNUMBER(SEARCH(","&amp;TRIM(TEXTSPLIT(HA160,","))&amp;",",","&amp;SUBSTITUTE(input_profile_type," ","")&amp;",")))&gt;0)),IF(HC160="",TRUE,IF(input_profile_type="",FALSE,SUMPRODUCT(--ISNUMBER(SEARCH(","&amp;TRIM(TEXTSPLIT(HC160,","))&amp;",",","&amp;SUBSTITUTE(input_profile_type," ","")&amp;",")))=COUNTA(TEXTSPLIT(HC160,",")))))</f>
        <v/>
      </c>
      <c r="JN160">
        <f>AND(IF(HE160="",TRUE,IF(input_program="",FALSE,SUMPRODUCT(--ISNUMBER(SEARCH(","&amp;TRIM(TEXTSPLIT(HE160,","))&amp;",",","&amp;SUBSTITUTE(input_program," ","")&amp;",")))&gt;0)),IF(HG160="",TRUE,IF(input_program="",FALSE,SUMPRODUCT(--ISNUMBER(SEARCH(","&amp;TRIM(TEXTSPLIT(HG160,","))&amp;",",","&amp;SUBSTITUTE(input_program," ","")&amp;",")))=COUNTA(TEXTSPLIT(HG160,",")))),IF(HI160="",TRUE,IF(input_program="",TRUE,SUMPRODUCT(--ISNUMBER(SEARCH(","&amp;TRIM(TEXTSPLIT(HI160,","))&amp;",",","&amp;SUBSTITUTE(input_program," ","")&amp;",")))=0)),IF(HK160="",TRUE,IF(input_program="",FALSE,SUMPRODUCT(--ISNUMBER(SEARCH(","&amp;TRIM(TEXTSPLIT(HK160,","))&amp;",",","&amp;SUBSTITUTE(input_program," ","")&amp;",")))&gt;0)),IF(HM160="",TRUE,IF(input_program="",FALSE,SUMPRODUCT(--ISNUMBER(SEARCH(","&amp;TRIM(TEXTSPLIT(HM160,","))&amp;",",","&amp;SUBSTITUTE(input_program," ","")&amp;",")))=COUNTA(TEXTSPLIT(HM160,",")))))</f>
        <v/>
      </c>
      <c r="JO160">
        <f>AND(IF(HO160="",TRUE,IF(input_story_categories="",FALSE,SUMPRODUCT(--ISNUMBER(SEARCH(","&amp;TRIM(TEXTSPLIT(HO160,","))&amp;",",","&amp;SUBSTITUTE(input_story_categories," ","")&amp;",")))&gt;0)),IF(HQ160="",TRUE,IF(input_story_categories="",FALSE,SUMPRODUCT(--ISNUMBER(SEARCH(","&amp;TRIM(TEXTSPLIT(HQ160,","))&amp;",",","&amp;SUBSTITUTE(input_story_categories," ","")&amp;",")))=COUNTA(TEXTSPLIT(HQ160,",")))),IF(HS160="",TRUE,IF(input_story_categories="",TRUE,SUMPRODUCT(--ISNUMBER(SEARCH(","&amp;TRIM(TEXTSPLIT(HS160,","))&amp;",",","&amp;SUBSTITUTE(input_story_categories," ","")&amp;",")))=0)),IF(HU160="",TRUE,IF(input_story_categories="",FALSE,SUMPRODUCT(--ISNUMBER(SEARCH(","&amp;TRIM(TEXTSPLIT(HU160,","))&amp;",",","&amp;SUBSTITUTE(input_story_categories," ","")&amp;",")))&gt;0)),IF(HW160="",TRUE,IF(input_story_categories="",FALSE,SUMPRODUCT(--ISNUMBER(SEARCH(","&amp;TRIM(TEXTSPLIT(HW160,","))&amp;",",","&amp;SUBSTITUTE(input_story_categories," ","")&amp;",")))=COUNTA(TEXTSPLIT(HW160,",")))))</f>
        <v/>
      </c>
      <c r="JP160">
        <f>AND(IF(HY160="",TRUE,IF(input_story_type="",FALSE,SUMPRODUCT(--ISNUMBER(SEARCH(","&amp;TRIM(TEXTSPLIT(HY160,","))&amp;",",","&amp;SUBSTITUTE(input_story_type," ","")&amp;",")))&gt;0)),IF(IA160="",TRUE,IF(input_story_type="",FALSE,SUMPRODUCT(--ISNUMBER(SEARCH(","&amp;TRIM(TEXTSPLIT(IA160,","))&amp;",",","&amp;SUBSTITUTE(input_story_type," ","")&amp;",")))=COUNTA(TEXTSPLIT(IA160,",")))),IF(IC160="",TRUE,IF(input_story_type="",TRUE,SUMPRODUCT(--ISNUMBER(SEARCH(","&amp;TRIM(TEXTSPLIT(IC160,","))&amp;",",","&amp;SUBSTITUTE(input_story_type," ","")&amp;",")))=0)),IF(IE160="",TRUE,IF(input_story_type="",FALSE,SUMPRODUCT(--ISNUMBER(SEARCH(","&amp;TRIM(TEXTSPLIT(IE160,","))&amp;",",","&amp;SUBSTITUTE(input_story_type," ","")&amp;",")))&gt;0)),IF(IG160="",TRUE,IF(input_story_type="",FALSE,SUMPRODUCT(--ISNUMBER(SEARCH(","&amp;TRIM(TEXTSPLIT(IG160,","))&amp;",",","&amp;SUBSTITUTE(input_story_type," ","")&amp;",")))=COUNTA(TEXTSPLIT(IG160,",")))))</f>
        <v/>
      </c>
      <c r="JQ160">
        <f>AND(IF(II160="",TRUE,IF(input_topics="",FALSE,SUMPRODUCT(--ISNUMBER(SEARCH(","&amp;TRIM(TEXTSPLIT(II160,","))&amp;",",","&amp;SUBSTITUTE(input_topics," ","")&amp;",")))&gt;0)),IF(IK160="",TRUE,IF(input_topics="",FALSE,SUMPRODUCT(--ISNUMBER(SEARCH(","&amp;TRIM(TEXTSPLIT(IK160,","))&amp;",",","&amp;SUBSTITUTE(input_topics," ","")&amp;",")))=COUNTA(TEXTSPLIT(IK160,",")))),IF(IM160="",TRUE,IF(input_topics="",TRUE,SUMPRODUCT(--ISNUMBER(SEARCH(","&amp;TRIM(TEXTSPLIT(IM160,","))&amp;",",","&amp;SUBSTITUTE(input_topics," ","")&amp;",")))=0)),IF(IO160="",TRUE,IF(input_topics="",FALSE,SUMPRODUCT(--ISNUMBER(SEARCH(","&amp;TRIM(TEXTSPLIT(IO160,","))&amp;",",","&amp;SUBSTITUTE(input_topics," ","")&amp;",")))&gt;0)),IF(IQ160="",TRUE,IF(input_topics="",FALSE,SUMPRODUCT(--ISNUMBER(SEARCH(","&amp;TRIM(TEXTSPLIT(IQ160,","))&amp;",",","&amp;SUBSTITUTE(input_topics," ","")&amp;",")))=COUNTA(TEXTSPLIT(IQ160,",")))))</f>
        <v/>
      </c>
    </row>
    <row r="161">
      <c r="A161" s="4">
        <f>IF(NOT(IS161),"Excluded",IF(AND(IT161,IU161,IV161,IW161,IX161,IY161,IZ161,JA161,JB161,JC161,JD161,JE161,JF161,JG161,JH161,JI161,JJ161,JK161,JL161,JM161,JN161,JO161,JP161,JQ161),IF(I161&gt;0,"Eligible but limited","Will appear"),"Excluded"))</f>
        <v/>
      </c>
      <c r="B161" s="4" t="inlineStr">
        <is>
          <t>Related profiles on profile pages</t>
        </is>
      </c>
      <c r="C161" s="4" t="inlineStr">
        <is>
          <t>/profile/alumni/claire-hughes-johnson-01</t>
        </is>
      </c>
      <c r="D161" s="4" t="inlineStr">
        <is>
          <t>/profile/alumni/claire-hughes-johnson-01
/profile/alumni/corey-harrison-11
/profile/alumni/john-rose-82</t>
        </is>
      </c>
      <c r="E161" s="4" t="n">
        <v>12</v>
      </c>
      <c r="F161" s="4" t="inlineStr">
        <is>
          <t>profile</t>
        </is>
      </c>
      <c r="G161" s="4" t="inlineStr">
        <is>
          <t>profiles_grid</t>
        </is>
      </c>
      <c r="H161" s="4" t="inlineStr">
        <is>
          <t>related</t>
        </is>
      </c>
      <c r="I161" s="4" t="n">
        <v>3</v>
      </c>
      <c r="J161" s="4" t="inlineStr">
        <is>
          <t>Explicit args</t>
        </is>
      </c>
      <c r="K161" s="4" t="inlineStr">
        <is>
          <t>Grouped surface</t>
        </is>
      </c>
      <c r="L161" s="4" t="inlineStr">
        <is>
          <t>Content type: profile; Context uses Profile Type: Alumni (1549); Context uses Program: MBA (4); Limited to 3 item(s); Source: Explicit args</t>
        </is>
      </c>
      <c r="M161" t="inlineStr"/>
      <c r="N161" t="inlineStr"/>
      <c r="O161" t="inlineStr"/>
      <c r="P161" t="inlineStr"/>
      <c r="Q161" t="inlineStr"/>
      <c r="R161" t="inlineStr"/>
      <c r="S161" t="inlineStr"/>
      <c r="T161" t="inlineStr"/>
      <c r="U161" t="inlineStr"/>
      <c r="V161" t="inlineStr"/>
      <c r="W161" t="inlineStr"/>
      <c r="X161" t="inlineStr"/>
      <c r="Y161" t="inlineStr"/>
      <c r="Z161" t="inlineStr"/>
      <c r="AA161" t="inlineStr"/>
      <c r="AB161" t="inlineStr"/>
      <c r="AC161" t="inlineStr"/>
      <c r="AD161" t="inlineStr"/>
      <c r="AE161" t="inlineStr"/>
      <c r="AF161" t="inlineStr"/>
      <c r="AG161" t="inlineStr"/>
      <c r="AH161" t="inlineStr"/>
      <c r="AI161" t="inlineStr"/>
      <c r="AJ161" t="inlineStr"/>
      <c r="AK161" t="inlineStr"/>
      <c r="AL161" t="inlineStr"/>
      <c r="AM161" t="inlineStr"/>
      <c r="AN161" t="inlineStr"/>
      <c r="AO161" t="inlineStr"/>
      <c r="AP161" t="inlineStr"/>
      <c r="AQ161" t="inlineStr"/>
      <c r="AR161" t="inlineStr"/>
      <c r="AS161" t="inlineStr"/>
      <c r="AT161" t="inlineStr"/>
      <c r="AU161" t="inlineStr"/>
      <c r="AV161" t="inlineStr"/>
      <c r="AW161" t="inlineStr"/>
      <c r="AX161" t="inlineStr"/>
      <c r="AY161" t="inlineStr"/>
      <c r="AZ161" t="inlineStr"/>
      <c r="BA161" t="inlineStr"/>
      <c r="BB161" t="inlineStr"/>
      <c r="BC161" t="inlineStr"/>
      <c r="BD161" t="inlineStr"/>
      <c r="BE161" t="inlineStr"/>
      <c r="BF161" t="inlineStr"/>
      <c r="BG161" t="inlineStr"/>
      <c r="BH161" t="inlineStr"/>
      <c r="BI161" t="inlineStr"/>
      <c r="BJ161" t="inlineStr"/>
      <c r="BK161" t="inlineStr"/>
      <c r="BL161" t="inlineStr"/>
      <c r="BM161" t="inlineStr"/>
      <c r="BN161" t="inlineStr"/>
      <c r="BO161" t="inlineStr"/>
      <c r="BP161" t="inlineStr"/>
      <c r="BQ161" t="inlineStr"/>
      <c r="BR161" t="inlineStr"/>
      <c r="BS161" t="inlineStr"/>
      <c r="BT161" t="inlineStr"/>
      <c r="BU161" t="inlineStr"/>
      <c r="BV161" t="inlineStr"/>
      <c r="BW161" t="inlineStr"/>
      <c r="BX161" t="inlineStr"/>
      <c r="BY161" t="inlineStr"/>
      <c r="BZ161" t="inlineStr"/>
      <c r="CA161" t="inlineStr"/>
      <c r="CB161" t="inlineStr"/>
      <c r="CC161" t="inlineStr"/>
      <c r="CD161" t="inlineStr"/>
      <c r="CE161" t="inlineStr"/>
      <c r="CF161" t="inlineStr"/>
      <c r="CG161" t="inlineStr"/>
      <c r="CH161" t="inlineStr"/>
      <c r="CI161" t="inlineStr"/>
      <c r="CJ161" t="inlineStr"/>
      <c r="CK161" t="inlineStr"/>
      <c r="CL161" t="inlineStr"/>
      <c r="CM161" t="inlineStr"/>
      <c r="CN161" t="inlineStr"/>
      <c r="CO161" t="inlineStr"/>
      <c r="CP161" t="inlineStr"/>
      <c r="CQ161" t="inlineStr"/>
      <c r="CR161" t="inlineStr"/>
      <c r="CS161" t="inlineStr"/>
      <c r="CT161" t="inlineStr"/>
      <c r="CU161" t="inlineStr"/>
      <c r="CV161" t="inlineStr"/>
      <c r="CW161" t="inlineStr"/>
      <c r="CX161" t="inlineStr"/>
      <c r="CY161" t="inlineStr"/>
      <c r="CZ161" t="inlineStr"/>
      <c r="DA161" t="inlineStr"/>
      <c r="DB161" t="inlineStr"/>
      <c r="DC161" t="inlineStr"/>
      <c r="DD161" t="inlineStr"/>
      <c r="DE161" t="inlineStr"/>
      <c r="DF161" t="inlineStr"/>
      <c r="DG161" t="inlineStr"/>
      <c r="DH161" t="inlineStr"/>
      <c r="DI161" t="inlineStr"/>
      <c r="DJ161" t="inlineStr"/>
      <c r="DK161" t="inlineStr"/>
      <c r="DL161" t="inlineStr"/>
      <c r="DM161" t="inlineStr"/>
      <c r="DN161" t="inlineStr"/>
      <c r="DO161" t="inlineStr"/>
      <c r="DP161" t="inlineStr"/>
      <c r="DQ161" t="inlineStr"/>
      <c r="DR161" t="inlineStr"/>
      <c r="DS161" t="inlineStr"/>
      <c r="DT161" t="inlineStr"/>
      <c r="DU161" t="inlineStr"/>
      <c r="DV161" t="inlineStr"/>
      <c r="DW161" t="inlineStr"/>
      <c r="DX161" t="inlineStr"/>
      <c r="DY161" t="inlineStr"/>
      <c r="DZ161" t="inlineStr"/>
      <c r="EA161" t="inlineStr"/>
      <c r="EB161" t="inlineStr"/>
      <c r="EC161" t="inlineStr"/>
      <c r="ED161" t="inlineStr"/>
      <c r="EE161" t="inlineStr"/>
      <c r="EF161" t="inlineStr"/>
      <c r="EG161" t="inlineStr"/>
      <c r="EH161" t="inlineStr"/>
      <c r="EI161" t="inlineStr"/>
      <c r="EJ161" t="inlineStr"/>
      <c r="EK161" t="inlineStr"/>
      <c r="EL161" t="inlineStr"/>
      <c r="EM161" t="inlineStr"/>
      <c r="EN161" t="inlineStr"/>
      <c r="EO161" t="inlineStr"/>
      <c r="EP161" t="inlineStr"/>
      <c r="EQ161" t="inlineStr"/>
      <c r="ER161" t="inlineStr"/>
      <c r="ES161" t="inlineStr"/>
      <c r="ET161" t="inlineStr"/>
      <c r="EU161" t="inlineStr"/>
      <c r="EV161" t="inlineStr"/>
      <c r="EW161" t="inlineStr"/>
      <c r="EX161" t="inlineStr"/>
      <c r="EY161" t="inlineStr"/>
      <c r="EZ161" t="inlineStr"/>
      <c r="FA161" t="inlineStr"/>
      <c r="FB161" t="inlineStr"/>
      <c r="FC161" t="inlineStr"/>
      <c r="FD161" t="inlineStr"/>
      <c r="FE161" t="inlineStr"/>
      <c r="FF161" t="inlineStr"/>
      <c r="FG161" t="inlineStr"/>
      <c r="FH161" t="inlineStr"/>
      <c r="FI161" t="inlineStr"/>
      <c r="FJ161" t="inlineStr"/>
      <c r="FK161" t="inlineStr"/>
      <c r="FL161" t="inlineStr"/>
      <c r="FM161" t="inlineStr"/>
      <c r="FN161" t="inlineStr"/>
      <c r="FO161" t="inlineStr"/>
      <c r="FP161" t="inlineStr"/>
      <c r="FQ161" t="inlineStr"/>
      <c r="FR161" t="inlineStr"/>
      <c r="FS161" t="inlineStr"/>
      <c r="FT161" t="inlineStr"/>
      <c r="FU161" t="inlineStr"/>
      <c r="FV161" t="inlineStr"/>
      <c r="FW161" t="inlineStr"/>
      <c r="FX161" t="inlineStr"/>
      <c r="FY161" t="inlineStr"/>
      <c r="FZ161" t="inlineStr"/>
      <c r="GA161" t="inlineStr"/>
      <c r="GB161" t="inlineStr"/>
      <c r="GC161" t="inlineStr"/>
      <c r="GD161" t="inlineStr"/>
      <c r="GE161" t="inlineStr"/>
      <c r="GF161" t="inlineStr"/>
      <c r="GG161" t="inlineStr"/>
      <c r="GH161" t="inlineStr"/>
      <c r="GI161" t="inlineStr"/>
      <c r="GJ161" t="inlineStr"/>
      <c r="GK161" t="inlineStr"/>
      <c r="GL161" t="inlineStr"/>
      <c r="GM161" t="inlineStr"/>
      <c r="GN161" t="inlineStr"/>
      <c r="GO161" t="inlineStr"/>
      <c r="GP161" t="inlineStr"/>
      <c r="GQ161" t="inlineStr"/>
      <c r="GR161" t="inlineStr"/>
      <c r="GS161" t="inlineStr"/>
      <c r="GT161" t="inlineStr"/>
      <c r="GU161" t="inlineStr"/>
      <c r="GV161" t="inlineStr"/>
      <c r="GW161" t="inlineStr"/>
      <c r="GX161" t="inlineStr"/>
      <c r="GY161" t="inlineStr"/>
      <c r="GZ161" t="inlineStr"/>
      <c r="HA161" t="inlineStr">
        <is>
          <t>1549</t>
        </is>
      </c>
      <c r="HB161" t="inlineStr">
        <is>
          <t>Alumni (1549)</t>
        </is>
      </c>
      <c r="HC161" t="inlineStr"/>
      <c r="HD161" t="inlineStr"/>
      <c r="HE161" t="inlineStr"/>
      <c r="HF161" t="inlineStr"/>
      <c r="HG161" t="inlineStr"/>
      <c r="HH161" t="inlineStr"/>
      <c r="HI161" t="inlineStr"/>
      <c r="HJ161" t="inlineStr"/>
      <c r="HK161" t="inlineStr">
        <is>
          <t>4</t>
        </is>
      </c>
      <c r="HL161" t="inlineStr">
        <is>
          <t>MBA (4)</t>
        </is>
      </c>
      <c r="HM161" t="inlineStr"/>
      <c r="HN161" t="inlineStr"/>
      <c r="HO161" t="inlineStr"/>
      <c r="HP161" t="inlineStr"/>
      <c r="HQ161" t="inlineStr"/>
      <c r="HR161" t="inlineStr"/>
      <c r="HS161" t="inlineStr"/>
      <c r="HT161" t="inlineStr"/>
      <c r="HU161" t="inlineStr"/>
      <c r="HV161" t="inlineStr"/>
      <c r="HW161" t="inlineStr"/>
      <c r="HX161" t="inlineStr"/>
      <c r="HY161" t="inlineStr"/>
      <c r="HZ161" t="inlineStr"/>
      <c r="IA161" t="inlineStr"/>
      <c r="IB161" t="inlineStr"/>
      <c r="IC161" t="inlineStr"/>
      <c r="ID161" t="inlineStr"/>
      <c r="IE161" t="inlineStr"/>
      <c r="IF161" t="inlineStr"/>
      <c r="IG161" t="inlineStr"/>
      <c r="IH161" t="inlineStr"/>
      <c r="II161" t="inlineStr"/>
      <c r="IJ161" t="inlineStr"/>
      <c r="IK161" t="inlineStr"/>
      <c r="IL161" t="inlineStr"/>
      <c r="IM161" t="inlineStr"/>
      <c r="IN161" t="inlineStr"/>
      <c r="IO161" t="inlineStr"/>
      <c r="IP161" t="inlineStr"/>
      <c r="IQ161" t="inlineStr"/>
      <c r="IR161" t="inlineStr"/>
      <c r="IS161">
        <f>IF(input_content_type="",FALSE,ISNUMBER(SEARCH(","&amp;LOWER(input_content_type)&amp;",",","&amp;LOWER(F161)&amp;",")))</f>
        <v/>
      </c>
      <c r="IT161">
        <f>AND(IF(M161="",TRUE,IF(input_affiliations="",FALSE,SUMPRODUCT(--ISNUMBER(SEARCH(","&amp;TRIM(TEXTSPLIT(M161,","))&amp;",",","&amp;SUBSTITUTE(input_affiliations," ","")&amp;",")))&gt;0)),IF(O161="",TRUE,IF(input_affiliations="",FALSE,SUMPRODUCT(--ISNUMBER(SEARCH(","&amp;TRIM(TEXTSPLIT(O161,","))&amp;",",","&amp;SUBSTITUTE(input_affiliations," ","")&amp;",")))=COUNTA(TEXTSPLIT(O161,",")))),IF(Q161="",TRUE,IF(input_affiliations="",TRUE,SUMPRODUCT(--ISNUMBER(SEARCH(","&amp;TRIM(TEXTSPLIT(Q161,","))&amp;",",","&amp;SUBSTITUTE(input_affiliations," ","")&amp;",")))=0)),IF(S161="",TRUE,IF(input_affiliations="",FALSE,SUMPRODUCT(--ISNUMBER(SEARCH(","&amp;TRIM(TEXTSPLIT(S161,","))&amp;",",","&amp;SUBSTITUTE(input_affiliations," ","")&amp;",")))&gt;0)),IF(U161="",TRUE,IF(input_affiliations="",FALSE,SUMPRODUCT(--ISNUMBER(SEARCH(","&amp;TRIM(TEXTSPLIT(U161,","))&amp;",",","&amp;SUBSTITUTE(input_affiliations," ","")&amp;",")))=COUNTA(TEXTSPLIT(U161,",")))))</f>
        <v/>
      </c>
      <c r="IU161">
        <f>AND(IF(W161="",TRUE,IF(input_announcement_category="",FALSE,SUMPRODUCT(--ISNUMBER(SEARCH(","&amp;TRIM(TEXTSPLIT(W161,","))&amp;",",","&amp;SUBSTITUTE(input_announcement_category," ","")&amp;",")))&gt;0)),IF(Y161="",TRUE,IF(input_announcement_category="",FALSE,SUMPRODUCT(--ISNUMBER(SEARCH(","&amp;TRIM(TEXTSPLIT(Y161,","))&amp;",",","&amp;SUBSTITUTE(input_announcement_category," ","")&amp;",")))=COUNTA(TEXTSPLIT(Y161,",")))),IF(AA161="",TRUE,IF(input_announcement_category="",TRUE,SUMPRODUCT(--ISNUMBER(SEARCH(","&amp;TRIM(TEXTSPLIT(AA161,","))&amp;",",","&amp;SUBSTITUTE(input_announcement_category," ","")&amp;",")))=0)),IF(AC161="",TRUE,IF(input_announcement_category="",FALSE,SUMPRODUCT(--ISNUMBER(SEARCH(","&amp;TRIM(TEXTSPLIT(AC161,","))&amp;",",","&amp;SUBSTITUTE(input_announcement_category," ","")&amp;",")))&gt;0)),IF(AE161="",TRUE,IF(input_announcement_category="",FALSE,SUMPRODUCT(--ISNUMBER(SEARCH(","&amp;TRIM(TEXTSPLIT(AE161,","))&amp;",",","&amp;SUBSTITUTE(input_announcement_category," ","")&amp;",")))=COUNTA(TEXTSPLIT(AE161,",")))))</f>
        <v/>
      </c>
      <c r="IV161">
        <f>AND(IF(AG161="",TRUE,IF(input_area_of_focus="",FALSE,SUMPRODUCT(--ISNUMBER(SEARCH(","&amp;TRIM(TEXTSPLIT(AG161,","))&amp;",",","&amp;SUBSTITUTE(input_area_of_focus," ","")&amp;",")))&gt;0)),IF(AI161="",TRUE,IF(input_area_of_focus="",FALSE,SUMPRODUCT(--ISNUMBER(SEARCH(","&amp;TRIM(TEXTSPLIT(AI161,","))&amp;",",","&amp;SUBSTITUTE(input_area_of_focus," ","")&amp;",")))=COUNTA(TEXTSPLIT(AI161,",")))),IF(AK161="",TRUE,IF(input_area_of_focus="",TRUE,SUMPRODUCT(--ISNUMBER(SEARCH(","&amp;TRIM(TEXTSPLIT(AK161,","))&amp;",",","&amp;SUBSTITUTE(input_area_of_focus," ","")&amp;",")))=0)),IF(AM161="",TRUE,IF(input_area_of_focus="",FALSE,SUMPRODUCT(--ISNUMBER(SEARCH(","&amp;TRIM(TEXTSPLIT(AM161,","))&amp;",",","&amp;SUBSTITUTE(input_area_of_focus," ","")&amp;",")))&gt;0)),IF(AO161="",TRUE,IF(input_area_of_focus="",FALSE,SUMPRODUCT(--ISNUMBER(SEARCH(","&amp;TRIM(TEXTSPLIT(AO161,","))&amp;",",","&amp;SUBSTITUTE(input_area_of_focus," ","")&amp;",")))=COUNTA(TEXTSPLIT(AO161,",")))))</f>
        <v/>
      </c>
      <c r="IW161">
        <f>AND(IF(AQ161="",TRUE,IF(input_audience="",FALSE,SUMPRODUCT(--ISNUMBER(SEARCH(","&amp;TRIM(TEXTSPLIT(AQ161,","))&amp;",",","&amp;SUBSTITUTE(input_audience," ","")&amp;",")))&gt;0)),IF(AS161="",TRUE,IF(input_audience="",FALSE,SUMPRODUCT(--ISNUMBER(SEARCH(","&amp;TRIM(TEXTSPLIT(AS161,","))&amp;",",","&amp;SUBSTITUTE(input_audience," ","")&amp;",")))=COUNTA(TEXTSPLIT(AS161,",")))),IF(AU161="",TRUE,IF(input_audience="",TRUE,SUMPRODUCT(--ISNUMBER(SEARCH(","&amp;TRIM(TEXTSPLIT(AU161,","))&amp;",",","&amp;SUBSTITUTE(input_audience," ","")&amp;",")))=0)),IF(AW161="",TRUE,IF(input_audience="",FALSE,SUMPRODUCT(--ISNUMBER(SEARCH(","&amp;TRIM(TEXTSPLIT(AW161,","))&amp;",",","&amp;SUBSTITUTE(input_audience," ","")&amp;",")))&gt;0)),IF(AY161="",TRUE,IF(input_audience="",FALSE,SUMPRODUCT(--ISNUMBER(SEARCH(","&amp;TRIM(TEXTSPLIT(AY161,","))&amp;",",","&amp;SUBSTITUTE(input_audience," ","")&amp;",")))=COUNTA(TEXTSPLIT(AY161,",")))))</f>
        <v/>
      </c>
      <c r="IX161">
        <f>AND(IF(BA161="",TRUE,IF(input_challenge_opportunities="",FALSE,SUMPRODUCT(--ISNUMBER(SEARCH(","&amp;TRIM(TEXTSPLIT(BA161,","))&amp;",",","&amp;SUBSTITUTE(input_challenge_opportunities," ","")&amp;",")))&gt;0)),IF(BC161="",TRUE,IF(input_challenge_opportunities="",FALSE,SUMPRODUCT(--ISNUMBER(SEARCH(","&amp;TRIM(TEXTSPLIT(BC161,","))&amp;",",","&amp;SUBSTITUTE(input_challenge_opportunities," ","")&amp;",")))=COUNTA(TEXTSPLIT(BC161,",")))),IF(BE161="",TRUE,IF(input_challenge_opportunities="",TRUE,SUMPRODUCT(--ISNUMBER(SEARCH(","&amp;TRIM(TEXTSPLIT(BE161,","))&amp;",",","&amp;SUBSTITUTE(input_challenge_opportunities," ","")&amp;",")))=0)),IF(BG161="",TRUE,IF(input_challenge_opportunities="",FALSE,SUMPRODUCT(--ISNUMBER(SEARCH(","&amp;TRIM(TEXTSPLIT(BG161,","))&amp;",",","&amp;SUBSTITUTE(input_challenge_opportunities," ","")&amp;",")))&gt;0)),IF(BI161="",TRUE,IF(input_challenge_opportunities="",FALSE,SUMPRODUCT(--ISNUMBER(SEARCH(","&amp;TRIM(TEXTSPLIT(BI161,","))&amp;",",","&amp;SUBSTITUTE(input_challenge_opportunities," ","")&amp;",")))=COUNTA(TEXTSPLIT(BI161,",")))))</f>
        <v/>
      </c>
      <c r="IY161">
        <f>AND(IF(BK161="",TRUE,IF(input_context="",FALSE,SUMPRODUCT(--ISNUMBER(SEARCH(","&amp;TRIM(TEXTSPLIT(BK161,","))&amp;",",","&amp;SUBSTITUTE(input_context," ","")&amp;",")))&gt;0)),IF(BM161="",TRUE,IF(input_context="",FALSE,SUMPRODUCT(--ISNUMBER(SEARCH(","&amp;TRIM(TEXTSPLIT(BM161,","))&amp;",",","&amp;SUBSTITUTE(input_context," ","")&amp;",")))=COUNTA(TEXTSPLIT(BM161,",")))),IF(BO161="",TRUE,IF(input_context="",TRUE,SUMPRODUCT(--ISNUMBER(SEARCH(","&amp;TRIM(TEXTSPLIT(BO161,","))&amp;",",","&amp;SUBSTITUTE(input_context," ","")&amp;",")))=0)),IF(BQ161="",TRUE,IF(input_context="",FALSE,SUMPRODUCT(--ISNUMBER(SEARCH(","&amp;TRIM(TEXTSPLIT(BQ161,","))&amp;",",","&amp;SUBSTITUTE(input_context," ","")&amp;",")))&gt;0)),IF(BS161="",TRUE,IF(input_context="",FALSE,SUMPRODUCT(--ISNUMBER(SEARCH(","&amp;TRIM(TEXTSPLIT(BS161,","))&amp;",",","&amp;SUBSTITUTE(input_context," ","")&amp;",")))=COUNTA(TEXTSPLIT(BS161,",")))))</f>
        <v/>
      </c>
      <c r="IZ161">
        <f>AND(IF(BU161="",TRUE,IF(input_enews_announcement_type="",FALSE,SUMPRODUCT(--ISNUMBER(SEARCH(","&amp;TRIM(TEXTSPLIT(BU161,","))&amp;",",","&amp;SUBSTITUTE(input_enews_announcement_type," ","")&amp;",")))&gt;0)),IF(BW161="",TRUE,IF(input_enews_announcement_type="",FALSE,SUMPRODUCT(--ISNUMBER(SEARCH(","&amp;TRIM(TEXTSPLIT(BW161,","))&amp;",",","&amp;SUBSTITUTE(input_enews_announcement_type," ","")&amp;",")))=COUNTA(TEXTSPLIT(BW161,",")))),IF(BY161="",TRUE,IF(input_enews_announcement_type="",TRUE,SUMPRODUCT(--ISNUMBER(SEARCH(","&amp;TRIM(TEXTSPLIT(BY161,","))&amp;",",","&amp;SUBSTITUTE(input_enews_announcement_type," ","")&amp;",")))=0)),IF(CA161="",TRUE,IF(input_enews_announcement_type="",FALSE,SUMPRODUCT(--ISNUMBER(SEARCH(","&amp;TRIM(TEXTSPLIT(CA161,","))&amp;",",","&amp;SUBSTITUTE(input_enews_announcement_type," ","")&amp;",")))&gt;0)),IF(CC161="",TRUE,IF(input_enews_announcement_type="",FALSE,SUMPRODUCT(--ISNUMBER(SEARCH(","&amp;TRIM(TEXTSPLIT(CC161,","))&amp;",",","&amp;SUBSTITUTE(input_enews_announcement_type," ","")&amp;",")))=COUNTA(TEXTSPLIT(CC161,",")))))</f>
        <v/>
      </c>
      <c r="JA161">
        <f>AND(IF(CE161="",TRUE,IF(input_enews_audience="",FALSE,SUMPRODUCT(--ISNUMBER(SEARCH(","&amp;TRIM(TEXTSPLIT(CE161,","))&amp;",",","&amp;SUBSTITUTE(input_enews_audience," ","")&amp;",")))&gt;0)),IF(CG161="",TRUE,IF(input_enews_audience="",FALSE,SUMPRODUCT(--ISNUMBER(SEARCH(","&amp;TRIM(TEXTSPLIT(CG161,","))&amp;",",","&amp;SUBSTITUTE(input_enews_audience," ","")&amp;",")))=COUNTA(TEXTSPLIT(CG161,",")))),IF(CI161="",TRUE,IF(input_enews_audience="",TRUE,SUMPRODUCT(--ISNUMBER(SEARCH(","&amp;TRIM(TEXTSPLIT(CI161,","))&amp;",",","&amp;SUBSTITUTE(input_enews_audience," ","")&amp;",")))=0)),IF(CK161="",TRUE,IF(input_enews_audience="",FALSE,SUMPRODUCT(--ISNUMBER(SEARCH(","&amp;TRIM(TEXTSPLIT(CK161,","))&amp;",",","&amp;SUBSTITUTE(input_enews_audience," ","")&amp;",")))&gt;0)),IF(CM161="",TRUE,IF(input_enews_audience="",FALSE,SUMPRODUCT(--ISNUMBER(SEARCH(","&amp;TRIM(TEXTSPLIT(CM161,","))&amp;",",","&amp;SUBSTITUTE(input_enews_audience," ","")&amp;",")))=COUNTA(TEXTSPLIT(CM161,",")))))</f>
        <v/>
      </c>
      <c r="JB161">
        <f>AND(IF(CO161="",TRUE,IF(input_event_location="",FALSE,SUMPRODUCT(--ISNUMBER(SEARCH(","&amp;TRIM(TEXTSPLIT(CO161,","))&amp;",",","&amp;SUBSTITUTE(input_event_location," ","")&amp;",")))&gt;0)),IF(CQ161="",TRUE,IF(input_event_location="",FALSE,SUMPRODUCT(--ISNUMBER(SEARCH(","&amp;TRIM(TEXTSPLIT(CQ161,","))&amp;",",","&amp;SUBSTITUTE(input_event_location," ","")&amp;",")))=COUNTA(TEXTSPLIT(CQ161,",")))),IF(CS161="",TRUE,IF(input_event_location="",TRUE,SUMPRODUCT(--ISNUMBER(SEARCH(","&amp;TRIM(TEXTSPLIT(CS161,","))&amp;",",","&amp;SUBSTITUTE(input_event_location," ","")&amp;",")))=0)),IF(CU161="",TRUE,IF(input_event_location="",FALSE,SUMPRODUCT(--ISNUMBER(SEARCH(","&amp;TRIM(TEXTSPLIT(CU161,","))&amp;",",","&amp;SUBSTITUTE(input_event_location," ","")&amp;",")))&gt;0)),IF(CW161="",TRUE,IF(input_event_location="",FALSE,SUMPRODUCT(--ISNUMBER(SEARCH(","&amp;TRIM(TEXTSPLIT(CW161,","))&amp;",",","&amp;SUBSTITUTE(input_event_location," ","")&amp;",")))=COUNTA(TEXTSPLIT(CW161,",")))))</f>
        <v/>
      </c>
      <c r="JC161">
        <f>AND(IF(CY161="",TRUE,IF(input_event_type="",FALSE,SUMPRODUCT(--ISNUMBER(SEARCH(","&amp;TRIM(TEXTSPLIT(CY161,","))&amp;",",","&amp;SUBSTITUTE(input_event_type," ","")&amp;",")))&gt;0)),IF(DA161="",TRUE,IF(input_event_type="",FALSE,SUMPRODUCT(--ISNUMBER(SEARCH(","&amp;TRIM(TEXTSPLIT(DA161,","))&amp;",",","&amp;SUBSTITUTE(input_event_type," ","")&amp;",")))=COUNTA(TEXTSPLIT(DA161,",")))),IF(DC161="",TRUE,IF(input_event_type="",TRUE,SUMPRODUCT(--ISNUMBER(SEARCH(","&amp;TRIM(TEXTSPLIT(DC161,","))&amp;",",","&amp;SUBSTITUTE(input_event_type," ","")&amp;",")))=0)),IF(DE161="",TRUE,IF(input_event_type="",FALSE,SUMPRODUCT(--ISNUMBER(SEARCH(","&amp;TRIM(TEXTSPLIT(DE161,","))&amp;",",","&amp;SUBSTITUTE(input_event_type," ","")&amp;",")))&gt;0)),IF(DG161="",TRUE,IF(input_event_type="",FALSE,SUMPRODUCT(--ISNUMBER(SEARCH(","&amp;TRIM(TEXTSPLIT(DG161,","))&amp;",",","&amp;SUBSTITUTE(input_event_type," ","")&amp;",")))=COUNTA(TEXTSPLIT(DG161,",")))))</f>
        <v/>
      </c>
      <c r="JD161">
        <f>AND(IF(DI161="",TRUE,IF(input_executive_education_focus="",FALSE,SUMPRODUCT(--ISNUMBER(SEARCH(","&amp;TRIM(TEXTSPLIT(DI161,","))&amp;",",","&amp;SUBSTITUTE(input_executive_education_focus," ","")&amp;",")))&gt;0)),IF(DK161="",TRUE,IF(input_executive_education_focus="",FALSE,SUMPRODUCT(--ISNUMBER(SEARCH(","&amp;TRIM(TEXTSPLIT(DK161,","))&amp;",",","&amp;SUBSTITUTE(input_executive_education_focus," ","")&amp;",")))=COUNTA(TEXTSPLIT(DK161,",")))),IF(DM161="",TRUE,IF(input_executive_education_focus="",TRUE,SUMPRODUCT(--ISNUMBER(SEARCH(","&amp;TRIM(TEXTSPLIT(DM161,","))&amp;",",","&amp;SUBSTITUTE(input_executive_education_focus," ","")&amp;",")))=0)),IF(DO161="",TRUE,IF(input_executive_education_focus="",FALSE,SUMPRODUCT(--ISNUMBER(SEARCH(","&amp;TRIM(TEXTSPLIT(DO161,","))&amp;",",","&amp;SUBSTITUTE(input_executive_education_focus," ","")&amp;",")))&gt;0)),IF(DQ161="",TRUE,IF(input_executive_education_focus="",FALSE,SUMPRODUCT(--ISNUMBER(SEARCH(","&amp;TRIM(TEXTSPLIT(DQ161,","))&amp;",",","&amp;SUBSTITUTE(input_executive_education_focus," ","")&amp;",")))=COUNTA(TEXTSPLIT(DQ161,",")))))</f>
        <v/>
      </c>
      <c r="JE161">
        <f>AND(IF(DS161="",TRUE,IF(input_faculty_category="",FALSE,SUMPRODUCT(--ISNUMBER(SEARCH(","&amp;TRIM(TEXTSPLIT(DS161,","))&amp;",",","&amp;SUBSTITUTE(input_faculty_category," ","")&amp;",")))&gt;0)),IF(DU161="",TRUE,IF(input_faculty_category="",FALSE,SUMPRODUCT(--ISNUMBER(SEARCH(","&amp;TRIM(TEXTSPLIT(DU161,","))&amp;",",","&amp;SUBSTITUTE(input_faculty_category," ","")&amp;",")))=COUNTA(TEXTSPLIT(DU161,",")))),IF(DW161="",TRUE,IF(input_faculty_category="",TRUE,SUMPRODUCT(--ISNUMBER(SEARCH(","&amp;TRIM(TEXTSPLIT(DW161,","))&amp;",",","&amp;SUBSTITUTE(input_faculty_category," ","")&amp;",")))=0)),IF(DY161="",TRUE,IF(input_faculty_category="",FALSE,SUMPRODUCT(--ISNUMBER(SEARCH(","&amp;TRIM(TEXTSPLIT(DY161,","))&amp;",",","&amp;SUBSTITUTE(input_faculty_category," ","")&amp;",")))&gt;0)),IF(EA161="",TRUE,IF(input_faculty_category="",FALSE,SUMPRODUCT(--ISNUMBER(SEARCH(","&amp;TRIM(TEXTSPLIT(EA161,","))&amp;",",","&amp;SUBSTITUTE(input_faculty_category," ","")&amp;",")))=COUNTA(TEXTSPLIT(EA161,",")))))</f>
        <v/>
      </c>
      <c r="JF161">
        <f>AND(IF(EC161="",TRUE,IF(input_faculty_discipline="",FALSE,SUMPRODUCT(--ISNUMBER(SEARCH(","&amp;TRIM(TEXTSPLIT(EC161,","))&amp;",",","&amp;SUBSTITUTE(input_faculty_discipline," ","")&amp;",")))&gt;0)),IF(EE161="",TRUE,IF(input_faculty_discipline="",FALSE,SUMPRODUCT(--ISNUMBER(SEARCH(","&amp;TRIM(TEXTSPLIT(EE161,","))&amp;",",","&amp;SUBSTITUTE(input_faculty_discipline," ","")&amp;",")))=COUNTA(TEXTSPLIT(EE161,",")))),IF(EG161="",TRUE,IF(input_faculty_discipline="",TRUE,SUMPRODUCT(--ISNUMBER(SEARCH(","&amp;TRIM(TEXTSPLIT(EG161,","))&amp;",",","&amp;SUBSTITUTE(input_faculty_discipline," ","")&amp;",")))=0)),IF(EI161="",TRUE,IF(input_faculty_discipline="",FALSE,SUMPRODUCT(--ISNUMBER(SEARCH(","&amp;TRIM(TEXTSPLIT(EI161,","))&amp;",",","&amp;SUBSTITUTE(input_faculty_discipline," ","")&amp;",")))&gt;0)),IF(EK161="",TRUE,IF(input_faculty_discipline="",FALSE,SUMPRODUCT(--ISNUMBER(SEARCH(","&amp;TRIM(TEXTSPLIT(EK161,","))&amp;",",","&amp;SUBSTITUTE(input_faculty_discipline," ","")&amp;",")))=COUNTA(TEXTSPLIT(EK161,",")))))</f>
        <v/>
      </c>
      <c r="JG161">
        <f>AND(IF(EM161="",TRUE,IF(input_faculty_expertise="",FALSE,SUMPRODUCT(--ISNUMBER(SEARCH(","&amp;TRIM(TEXTSPLIT(EM161,","))&amp;",",","&amp;SUBSTITUTE(input_faculty_expertise," ","")&amp;",")))&gt;0)),IF(EO161="",TRUE,IF(input_faculty_expertise="",FALSE,SUMPRODUCT(--ISNUMBER(SEARCH(","&amp;TRIM(TEXTSPLIT(EO161,","))&amp;",",","&amp;SUBSTITUTE(input_faculty_expertise," ","")&amp;",")))=COUNTA(TEXTSPLIT(EO161,",")))),IF(EQ161="",TRUE,IF(input_faculty_expertise="",TRUE,SUMPRODUCT(--ISNUMBER(SEARCH(","&amp;TRIM(TEXTSPLIT(EQ161,","))&amp;",",","&amp;SUBSTITUTE(input_faculty_expertise," ","")&amp;",")))=0)),IF(ES161="",TRUE,IF(input_faculty_expertise="",FALSE,SUMPRODUCT(--ISNUMBER(SEARCH(","&amp;TRIM(TEXTSPLIT(ES161,","))&amp;",",","&amp;SUBSTITUTE(input_faculty_expertise," ","")&amp;",")))&gt;0)),IF(EU161="",TRUE,IF(input_faculty_expertise="",FALSE,SUMPRODUCT(--ISNUMBER(SEARCH(","&amp;TRIM(TEXTSPLIT(EU161,","))&amp;",",","&amp;SUBSTITUTE(input_faculty_expertise," ","")&amp;",")))=COUNTA(TEXTSPLIT(EU161,",")))))</f>
        <v/>
      </c>
      <c r="JH161">
        <f>AND(IF(EW161="",TRUE,IF(input_global_network_school="",FALSE,SUMPRODUCT(--ISNUMBER(SEARCH(","&amp;TRIM(TEXTSPLIT(EW161,","))&amp;",",","&amp;SUBSTITUTE(input_global_network_school," ","")&amp;",")))&gt;0)),IF(EY161="",TRUE,IF(input_global_network_school="",FALSE,SUMPRODUCT(--ISNUMBER(SEARCH(","&amp;TRIM(TEXTSPLIT(EY161,","))&amp;",",","&amp;SUBSTITUTE(input_global_network_school," ","")&amp;",")))=COUNTA(TEXTSPLIT(EY161,",")))),IF(FA161="",TRUE,IF(input_global_network_school="",TRUE,SUMPRODUCT(--ISNUMBER(SEARCH(","&amp;TRIM(TEXTSPLIT(FA161,","))&amp;",",","&amp;SUBSTITUTE(input_global_network_school," ","")&amp;",")))=0)),IF(FC161="",TRUE,IF(input_global_network_school="",FALSE,SUMPRODUCT(--ISNUMBER(SEARCH(","&amp;TRIM(TEXTSPLIT(FC161,","))&amp;",",","&amp;SUBSTITUTE(input_global_network_school," ","")&amp;",")))&gt;0)),IF(FE161="",TRUE,IF(input_global_network_school="",FALSE,SUMPRODUCT(--ISNUMBER(SEARCH(","&amp;TRIM(TEXTSPLIT(FE161,","))&amp;",",","&amp;SUBSTITUTE(input_global_network_school," ","")&amp;",")))=COUNTA(TEXTSPLIT(FE161,",")))))</f>
        <v/>
      </c>
      <c r="JI161">
        <f>AND(IF(FG161="",TRUE,IF(input_industry="",FALSE,SUMPRODUCT(--ISNUMBER(SEARCH(","&amp;TRIM(TEXTSPLIT(FG161,","))&amp;",",","&amp;SUBSTITUTE(input_industry," ","")&amp;",")))&gt;0)),IF(FI161="",TRUE,IF(input_industry="",FALSE,SUMPRODUCT(--ISNUMBER(SEARCH(","&amp;TRIM(TEXTSPLIT(FI161,","))&amp;",",","&amp;SUBSTITUTE(input_industry," ","")&amp;",")))=COUNTA(TEXTSPLIT(FI161,",")))),IF(FK161="",TRUE,IF(input_industry="",TRUE,SUMPRODUCT(--ISNUMBER(SEARCH(","&amp;TRIM(TEXTSPLIT(FK161,","))&amp;",",","&amp;SUBSTITUTE(input_industry," ","")&amp;",")))=0)),IF(FM161="",TRUE,IF(input_industry="",FALSE,SUMPRODUCT(--ISNUMBER(SEARCH(","&amp;TRIM(TEXTSPLIT(FM161,","))&amp;",",","&amp;SUBSTITUTE(input_industry," ","")&amp;",")))&gt;0)),IF(FO161="",TRUE,IF(input_industry="",FALSE,SUMPRODUCT(--ISNUMBER(SEARCH(","&amp;TRIM(TEXTSPLIT(FO161,","))&amp;",",","&amp;SUBSTITUTE(input_industry," ","")&amp;",")))=COUNTA(TEXTSPLIT(FO161,",")))))</f>
        <v/>
      </c>
      <c r="JJ161">
        <f>AND(IF(FQ161="",TRUE,IF(input_location="",FALSE,SUMPRODUCT(--ISNUMBER(SEARCH(","&amp;TRIM(TEXTSPLIT(FQ161,","))&amp;",",","&amp;SUBSTITUTE(input_location," ","")&amp;",")))&gt;0)),IF(FS161="",TRUE,IF(input_location="",FALSE,SUMPRODUCT(--ISNUMBER(SEARCH(","&amp;TRIM(TEXTSPLIT(FS161,","))&amp;",",","&amp;SUBSTITUTE(input_location," ","")&amp;",")))=COUNTA(TEXTSPLIT(FS161,",")))),IF(FU161="",TRUE,IF(input_location="",TRUE,SUMPRODUCT(--ISNUMBER(SEARCH(","&amp;TRIM(TEXTSPLIT(FU161,","))&amp;",",","&amp;SUBSTITUTE(input_location," ","")&amp;",")))=0)),IF(FW161="",TRUE,IF(input_location="",FALSE,SUMPRODUCT(--ISNUMBER(SEARCH(","&amp;TRIM(TEXTSPLIT(FW161,","))&amp;",",","&amp;SUBSTITUTE(input_location," ","")&amp;",")))&gt;0)),IF(FY161="",TRUE,IF(input_location="",FALSE,SUMPRODUCT(--ISNUMBER(SEARCH(","&amp;TRIM(TEXTSPLIT(FY161,","))&amp;",",","&amp;SUBSTITUTE(input_location," ","")&amp;",")))=COUNTA(TEXTSPLIT(FY161,",")))))</f>
        <v/>
      </c>
      <c r="JK161">
        <f>AND(IF(GA161="",TRUE,IF(input_modality="",FALSE,SUMPRODUCT(--ISNUMBER(SEARCH(","&amp;TRIM(TEXTSPLIT(GA161,","))&amp;",",","&amp;SUBSTITUTE(input_modality," ","")&amp;",")))&gt;0)),IF(GC161="",TRUE,IF(input_modality="",FALSE,SUMPRODUCT(--ISNUMBER(SEARCH(","&amp;TRIM(TEXTSPLIT(GC161,","))&amp;",",","&amp;SUBSTITUTE(input_modality," ","")&amp;",")))=COUNTA(TEXTSPLIT(GC161,",")))),IF(GE161="",TRUE,IF(input_modality="",TRUE,SUMPRODUCT(--ISNUMBER(SEARCH(","&amp;TRIM(TEXTSPLIT(GE161,","))&amp;",",","&amp;SUBSTITUTE(input_modality," ","")&amp;",")))=0)),IF(GG161="",TRUE,IF(input_modality="",FALSE,SUMPRODUCT(--ISNUMBER(SEARCH(","&amp;TRIM(TEXTSPLIT(GG161,","))&amp;",",","&amp;SUBSTITUTE(input_modality," ","")&amp;",")))&gt;0)),IF(GI161="",TRUE,IF(input_modality="",FALSE,SUMPRODUCT(--ISNUMBER(SEARCH(","&amp;TRIM(TEXTSPLIT(GI161,","))&amp;",",","&amp;SUBSTITUTE(input_modality," ","")&amp;",")))=COUNTA(TEXTSPLIT(GI161,",")))))</f>
        <v/>
      </c>
      <c r="JL161">
        <f>AND(IF(GK161="",TRUE,IF(input_organizer="",FALSE,SUMPRODUCT(--ISNUMBER(SEARCH(","&amp;TRIM(TEXTSPLIT(GK161,","))&amp;",",","&amp;SUBSTITUTE(input_organizer," ","")&amp;",")))&gt;0)),IF(GM161="",TRUE,IF(input_organizer="",FALSE,SUMPRODUCT(--ISNUMBER(SEARCH(","&amp;TRIM(TEXTSPLIT(GM161,","))&amp;",",","&amp;SUBSTITUTE(input_organizer," ","")&amp;",")))=COUNTA(TEXTSPLIT(GM161,",")))),IF(GO161="",TRUE,IF(input_organizer="",TRUE,SUMPRODUCT(--ISNUMBER(SEARCH(","&amp;TRIM(TEXTSPLIT(GO161,","))&amp;",",","&amp;SUBSTITUTE(input_organizer," ","")&amp;",")))=0)),IF(GQ161="",TRUE,IF(input_organizer="",FALSE,SUMPRODUCT(--ISNUMBER(SEARCH(","&amp;TRIM(TEXTSPLIT(GQ161,","))&amp;",",","&amp;SUBSTITUTE(input_organizer," ","")&amp;",")))&gt;0)),IF(GS161="",TRUE,IF(input_organizer="",FALSE,SUMPRODUCT(--ISNUMBER(SEARCH(","&amp;TRIM(TEXTSPLIT(GS161,","))&amp;",",","&amp;SUBSTITUTE(input_organizer," ","")&amp;",")))=COUNTA(TEXTSPLIT(GS161,",")))))</f>
        <v/>
      </c>
      <c r="JM161">
        <f>AND(IF(GU161="",TRUE,IF(input_profile_type="",FALSE,SUMPRODUCT(--ISNUMBER(SEARCH(","&amp;TRIM(TEXTSPLIT(GU161,","))&amp;",",","&amp;SUBSTITUTE(input_profile_type," ","")&amp;",")))&gt;0)),IF(GW161="",TRUE,IF(input_profile_type="",FALSE,SUMPRODUCT(--ISNUMBER(SEARCH(","&amp;TRIM(TEXTSPLIT(GW161,","))&amp;",",","&amp;SUBSTITUTE(input_profile_type," ","")&amp;",")))=COUNTA(TEXTSPLIT(GW161,",")))),IF(GY161="",TRUE,IF(input_profile_type="",TRUE,SUMPRODUCT(--ISNUMBER(SEARCH(","&amp;TRIM(TEXTSPLIT(GY161,","))&amp;",",","&amp;SUBSTITUTE(input_profile_type," ","")&amp;",")))=0)),IF(HA161="",TRUE,IF(input_profile_type="",FALSE,SUMPRODUCT(--ISNUMBER(SEARCH(","&amp;TRIM(TEXTSPLIT(HA161,","))&amp;",",","&amp;SUBSTITUTE(input_profile_type," ","")&amp;",")))&gt;0)),IF(HC161="",TRUE,IF(input_profile_type="",FALSE,SUMPRODUCT(--ISNUMBER(SEARCH(","&amp;TRIM(TEXTSPLIT(HC161,","))&amp;",",","&amp;SUBSTITUTE(input_profile_type," ","")&amp;",")))=COUNTA(TEXTSPLIT(HC161,",")))))</f>
        <v/>
      </c>
      <c r="JN161">
        <f>AND(IF(HE161="",TRUE,IF(input_program="",FALSE,SUMPRODUCT(--ISNUMBER(SEARCH(","&amp;TRIM(TEXTSPLIT(HE161,","))&amp;",",","&amp;SUBSTITUTE(input_program," ","")&amp;",")))&gt;0)),IF(HG161="",TRUE,IF(input_program="",FALSE,SUMPRODUCT(--ISNUMBER(SEARCH(","&amp;TRIM(TEXTSPLIT(HG161,","))&amp;",",","&amp;SUBSTITUTE(input_program," ","")&amp;",")))=COUNTA(TEXTSPLIT(HG161,",")))),IF(HI161="",TRUE,IF(input_program="",TRUE,SUMPRODUCT(--ISNUMBER(SEARCH(","&amp;TRIM(TEXTSPLIT(HI161,","))&amp;",",","&amp;SUBSTITUTE(input_program," ","")&amp;",")))=0)),IF(HK161="",TRUE,IF(input_program="",FALSE,SUMPRODUCT(--ISNUMBER(SEARCH(","&amp;TRIM(TEXTSPLIT(HK161,","))&amp;",",","&amp;SUBSTITUTE(input_program," ","")&amp;",")))&gt;0)),IF(HM161="",TRUE,IF(input_program="",FALSE,SUMPRODUCT(--ISNUMBER(SEARCH(","&amp;TRIM(TEXTSPLIT(HM161,","))&amp;",",","&amp;SUBSTITUTE(input_program," ","")&amp;",")))=COUNTA(TEXTSPLIT(HM161,",")))))</f>
        <v/>
      </c>
      <c r="JO161">
        <f>AND(IF(HO161="",TRUE,IF(input_story_categories="",FALSE,SUMPRODUCT(--ISNUMBER(SEARCH(","&amp;TRIM(TEXTSPLIT(HO161,","))&amp;",",","&amp;SUBSTITUTE(input_story_categories," ","")&amp;",")))&gt;0)),IF(HQ161="",TRUE,IF(input_story_categories="",FALSE,SUMPRODUCT(--ISNUMBER(SEARCH(","&amp;TRIM(TEXTSPLIT(HQ161,","))&amp;",",","&amp;SUBSTITUTE(input_story_categories," ","")&amp;",")))=COUNTA(TEXTSPLIT(HQ161,",")))),IF(HS161="",TRUE,IF(input_story_categories="",TRUE,SUMPRODUCT(--ISNUMBER(SEARCH(","&amp;TRIM(TEXTSPLIT(HS161,","))&amp;",",","&amp;SUBSTITUTE(input_story_categories," ","")&amp;",")))=0)),IF(HU161="",TRUE,IF(input_story_categories="",FALSE,SUMPRODUCT(--ISNUMBER(SEARCH(","&amp;TRIM(TEXTSPLIT(HU161,","))&amp;",",","&amp;SUBSTITUTE(input_story_categories," ","")&amp;",")))&gt;0)),IF(HW161="",TRUE,IF(input_story_categories="",FALSE,SUMPRODUCT(--ISNUMBER(SEARCH(","&amp;TRIM(TEXTSPLIT(HW161,","))&amp;",",","&amp;SUBSTITUTE(input_story_categories," ","")&amp;",")))=COUNTA(TEXTSPLIT(HW161,",")))))</f>
        <v/>
      </c>
      <c r="JP161">
        <f>AND(IF(HY161="",TRUE,IF(input_story_type="",FALSE,SUMPRODUCT(--ISNUMBER(SEARCH(","&amp;TRIM(TEXTSPLIT(HY161,","))&amp;",",","&amp;SUBSTITUTE(input_story_type," ","")&amp;",")))&gt;0)),IF(IA161="",TRUE,IF(input_story_type="",FALSE,SUMPRODUCT(--ISNUMBER(SEARCH(","&amp;TRIM(TEXTSPLIT(IA161,","))&amp;",",","&amp;SUBSTITUTE(input_story_type," ","")&amp;",")))=COUNTA(TEXTSPLIT(IA161,",")))),IF(IC161="",TRUE,IF(input_story_type="",TRUE,SUMPRODUCT(--ISNUMBER(SEARCH(","&amp;TRIM(TEXTSPLIT(IC161,","))&amp;",",","&amp;SUBSTITUTE(input_story_type," ","")&amp;",")))=0)),IF(IE161="",TRUE,IF(input_story_type="",FALSE,SUMPRODUCT(--ISNUMBER(SEARCH(","&amp;TRIM(TEXTSPLIT(IE161,","))&amp;",",","&amp;SUBSTITUTE(input_story_type," ","")&amp;",")))&gt;0)),IF(IG161="",TRUE,IF(input_story_type="",FALSE,SUMPRODUCT(--ISNUMBER(SEARCH(","&amp;TRIM(TEXTSPLIT(IG161,","))&amp;",",","&amp;SUBSTITUTE(input_story_type," ","")&amp;",")))=COUNTA(TEXTSPLIT(IG161,",")))))</f>
        <v/>
      </c>
      <c r="JQ161">
        <f>AND(IF(II161="",TRUE,IF(input_topics="",FALSE,SUMPRODUCT(--ISNUMBER(SEARCH(","&amp;TRIM(TEXTSPLIT(II161,","))&amp;",",","&amp;SUBSTITUTE(input_topics," ","")&amp;",")))&gt;0)),IF(IK161="",TRUE,IF(input_topics="",FALSE,SUMPRODUCT(--ISNUMBER(SEARCH(","&amp;TRIM(TEXTSPLIT(IK161,","))&amp;",",","&amp;SUBSTITUTE(input_topics," ","")&amp;",")))=COUNTA(TEXTSPLIT(IK161,",")))),IF(IM161="",TRUE,IF(input_topics="",TRUE,SUMPRODUCT(--ISNUMBER(SEARCH(","&amp;TRIM(TEXTSPLIT(IM161,","))&amp;",",","&amp;SUBSTITUTE(input_topics," ","")&amp;",")))=0)),IF(IO161="",TRUE,IF(input_topics="",FALSE,SUMPRODUCT(--ISNUMBER(SEARCH(","&amp;TRIM(TEXTSPLIT(IO161,","))&amp;",",","&amp;SUBSTITUTE(input_topics," ","")&amp;",")))&gt;0)),IF(IQ161="",TRUE,IF(input_topics="",FALSE,SUMPRODUCT(--ISNUMBER(SEARCH(","&amp;TRIM(TEXTSPLIT(IQ161,","))&amp;",",","&amp;SUBSTITUTE(input_topics," ","")&amp;",")))=COUNTA(TEXTSPLIT(IQ161,",")))))</f>
        <v/>
      </c>
    </row>
    <row r="162">
      <c r="A162" s="4">
        <f>IF(NOT(IS162),"Excluded",IF(AND(IT162,IU162,IV162,IW162,IX162,IY162,IZ162,JA162,JB162,JC162,JD162,JE162,JF162,JG162,JH162,JI162,JJ162,JK162,JL162,JM162,JN162,JO162,JP162,JQ162),IF(I162&gt;0,"Eligible but limited","Will appear"),"Excluded"))</f>
        <v/>
      </c>
      <c r="B162" s="4" t="inlineStr">
        <is>
          <t>Related profiles on profile pages</t>
        </is>
      </c>
      <c r="C162" s="4" t="inlineStr">
        <is>
          <t>/profile/alumni/madeline-negron-tbf-2024-25</t>
        </is>
      </c>
      <c r="D162" s="4" t="inlineStr">
        <is>
          <t>/profile/alumni/madeline-negron-tbf-2024-25</t>
        </is>
      </c>
      <c r="E162" s="4" t="n">
        <v>1</v>
      </c>
      <c r="F162" s="4" t="inlineStr">
        <is>
          <t>profile</t>
        </is>
      </c>
      <c r="G162" s="4" t="inlineStr">
        <is>
          <t>profiles_grid</t>
        </is>
      </c>
      <c r="H162" s="4" t="inlineStr">
        <is>
          <t>related</t>
        </is>
      </c>
      <c r="I162" s="4" t="n">
        <v>3</v>
      </c>
      <c r="J162" s="4" t="inlineStr">
        <is>
          <t>Explicit args</t>
        </is>
      </c>
      <c r="K162" s="4" t="inlineStr">
        <is>
          <t>Grouped surface</t>
        </is>
      </c>
      <c r="L162" s="4" t="inlineStr">
        <is>
          <t>Content type: profile; Context uses Profile Type: Alumni (1549); Context uses Program: all; Limited to 3 item(s); Source: Explicit args</t>
        </is>
      </c>
      <c r="M162" t="inlineStr"/>
      <c r="N162" t="inlineStr"/>
      <c r="O162" t="inlineStr"/>
      <c r="P162" t="inlineStr"/>
      <c r="Q162" t="inlineStr"/>
      <c r="R162" t="inlineStr"/>
      <c r="S162" t="inlineStr"/>
      <c r="T162" t="inlineStr"/>
      <c r="U162" t="inlineStr"/>
      <c r="V162" t="inlineStr"/>
      <c r="W162" t="inlineStr"/>
      <c r="X162" t="inlineStr"/>
      <c r="Y162" t="inlineStr"/>
      <c r="Z162" t="inlineStr"/>
      <c r="AA162" t="inlineStr"/>
      <c r="AB162" t="inlineStr"/>
      <c r="AC162" t="inlineStr"/>
      <c r="AD162" t="inlineStr"/>
      <c r="AE162" t="inlineStr"/>
      <c r="AF162" t="inlineStr"/>
      <c r="AG162" t="inlineStr"/>
      <c r="AH162" t="inlineStr"/>
      <c r="AI162" t="inlineStr"/>
      <c r="AJ162" t="inlineStr"/>
      <c r="AK162" t="inlineStr"/>
      <c r="AL162" t="inlineStr"/>
      <c r="AM162" t="inlineStr"/>
      <c r="AN162" t="inlineStr"/>
      <c r="AO162" t="inlineStr"/>
      <c r="AP162" t="inlineStr"/>
      <c r="AQ162" t="inlineStr"/>
      <c r="AR162" t="inlineStr"/>
      <c r="AS162" t="inlineStr"/>
      <c r="AT162" t="inlineStr"/>
      <c r="AU162" t="inlineStr"/>
      <c r="AV162" t="inlineStr"/>
      <c r="AW162" t="inlineStr"/>
      <c r="AX162" t="inlineStr"/>
      <c r="AY162" t="inlineStr"/>
      <c r="AZ162" t="inlineStr"/>
      <c r="BA162" t="inlineStr"/>
      <c r="BB162" t="inlineStr"/>
      <c r="BC162" t="inlineStr"/>
      <c r="BD162" t="inlineStr"/>
      <c r="BE162" t="inlineStr"/>
      <c r="BF162" t="inlineStr"/>
      <c r="BG162" t="inlineStr"/>
      <c r="BH162" t="inlineStr"/>
      <c r="BI162" t="inlineStr"/>
      <c r="BJ162" t="inlineStr"/>
      <c r="BK162" t="inlineStr"/>
      <c r="BL162" t="inlineStr"/>
      <c r="BM162" t="inlineStr"/>
      <c r="BN162" t="inlineStr"/>
      <c r="BO162" t="inlineStr"/>
      <c r="BP162" t="inlineStr"/>
      <c r="BQ162" t="inlineStr"/>
      <c r="BR162" t="inlineStr"/>
      <c r="BS162" t="inlineStr"/>
      <c r="BT162" t="inlineStr"/>
      <c r="BU162" t="inlineStr"/>
      <c r="BV162" t="inlineStr"/>
      <c r="BW162" t="inlineStr"/>
      <c r="BX162" t="inlineStr"/>
      <c r="BY162" t="inlineStr"/>
      <c r="BZ162" t="inlineStr"/>
      <c r="CA162" t="inlineStr"/>
      <c r="CB162" t="inlineStr"/>
      <c r="CC162" t="inlineStr"/>
      <c r="CD162" t="inlineStr"/>
      <c r="CE162" t="inlineStr"/>
      <c r="CF162" t="inlineStr"/>
      <c r="CG162" t="inlineStr"/>
      <c r="CH162" t="inlineStr"/>
      <c r="CI162" t="inlineStr"/>
      <c r="CJ162" t="inlineStr"/>
      <c r="CK162" t="inlineStr"/>
      <c r="CL162" t="inlineStr"/>
      <c r="CM162" t="inlineStr"/>
      <c r="CN162" t="inlineStr"/>
      <c r="CO162" t="inlineStr"/>
      <c r="CP162" t="inlineStr"/>
      <c r="CQ162" t="inlineStr"/>
      <c r="CR162" t="inlineStr"/>
      <c r="CS162" t="inlineStr"/>
      <c r="CT162" t="inlineStr"/>
      <c r="CU162" t="inlineStr"/>
      <c r="CV162" t="inlineStr"/>
      <c r="CW162" t="inlineStr"/>
      <c r="CX162" t="inlineStr"/>
      <c r="CY162" t="inlineStr"/>
      <c r="CZ162" t="inlineStr"/>
      <c r="DA162" t="inlineStr"/>
      <c r="DB162" t="inlineStr"/>
      <c r="DC162" t="inlineStr"/>
      <c r="DD162" t="inlineStr"/>
      <c r="DE162" t="inlineStr"/>
      <c r="DF162" t="inlineStr"/>
      <c r="DG162" t="inlineStr"/>
      <c r="DH162" t="inlineStr"/>
      <c r="DI162" t="inlineStr"/>
      <c r="DJ162" t="inlineStr"/>
      <c r="DK162" t="inlineStr"/>
      <c r="DL162" t="inlineStr"/>
      <c r="DM162" t="inlineStr"/>
      <c r="DN162" t="inlineStr"/>
      <c r="DO162" t="inlineStr"/>
      <c r="DP162" t="inlineStr"/>
      <c r="DQ162" t="inlineStr"/>
      <c r="DR162" t="inlineStr"/>
      <c r="DS162" t="inlineStr"/>
      <c r="DT162" t="inlineStr"/>
      <c r="DU162" t="inlineStr"/>
      <c r="DV162" t="inlineStr"/>
      <c r="DW162" t="inlineStr"/>
      <c r="DX162" t="inlineStr"/>
      <c r="DY162" t="inlineStr"/>
      <c r="DZ162" t="inlineStr"/>
      <c r="EA162" t="inlineStr"/>
      <c r="EB162" t="inlineStr"/>
      <c r="EC162" t="inlineStr"/>
      <c r="ED162" t="inlineStr"/>
      <c r="EE162" t="inlineStr"/>
      <c r="EF162" t="inlineStr"/>
      <c r="EG162" t="inlineStr"/>
      <c r="EH162" t="inlineStr"/>
      <c r="EI162" t="inlineStr"/>
      <c r="EJ162" t="inlineStr"/>
      <c r="EK162" t="inlineStr"/>
      <c r="EL162" t="inlineStr"/>
      <c r="EM162" t="inlineStr"/>
      <c r="EN162" t="inlineStr"/>
      <c r="EO162" t="inlineStr"/>
      <c r="EP162" t="inlineStr"/>
      <c r="EQ162" t="inlineStr"/>
      <c r="ER162" t="inlineStr"/>
      <c r="ES162" t="inlineStr"/>
      <c r="ET162" t="inlineStr"/>
      <c r="EU162" t="inlineStr"/>
      <c r="EV162" t="inlineStr"/>
      <c r="EW162" t="inlineStr"/>
      <c r="EX162" t="inlineStr"/>
      <c r="EY162" t="inlineStr"/>
      <c r="EZ162" t="inlineStr"/>
      <c r="FA162" t="inlineStr"/>
      <c r="FB162" t="inlineStr"/>
      <c r="FC162" t="inlineStr"/>
      <c r="FD162" t="inlineStr"/>
      <c r="FE162" t="inlineStr"/>
      <c r="FF162" t="inlineStr"/>
      <c r="FG162" t="inlineStr"/>
      <c r="FH162" t="inlineStr"/>
      <c r="FI162" t="inlineStr"/>
      <c r="FJ162" t="inlineStr"/>
      <c r="FK162" t="inlineStr"/>
      <c r="FL162" t="inlineStr"/>
      <c r="FM162" t="inlineStr"/>
      <c r="FN162" t="inlineStr"/>
      <c r="FO162" t="inlineStr"/>
      <c r="FP162" t="inlineStr"/>
      <c r="FQ162" t="inlineStr"/>
      <c r="FR162" t="inlineStr"/>
      <c r="FS162" t="inlineStr"/>
      <c r="FT162" t="inlineStr"/>
      <c r="FU162" t="inlineStr"/>
      <c r="FV162" t="inlineStr"/>
      <c r="FW162" t="inlineStr"/>
      <c r="FX162" t="inlineStr"/>
      <c r="FY162" t="inlineStr"/>
      <c r="FZ162" t="inlineStr"/>
      <c r="GA162" t="inlineStr"/>
      <c r="GB162" t="inlineStr"/>
      <c r="GC162" t="inlineStr"/>
      <c r="GD162" t="inlineStr"/>
      <c r="GE162" t="inlineStr"/>
      <c r="GF162" t="inlineStr"/>
      <c r="GG162" t="inlineStr"/>
      <c r="GH162" t="inlineStr"/>
      <c r="GI162" t="inlineStr"/>
      <c r="GJ162" t="inlineStr"/>
      <c r="GK162" t="inlineStr"/>
      <c r="GL162" t="inlineStr"/>
      <c r="GM162" t="inlineStr"/>
      <c r="GN162" t="inlineStr"/>
      <c r="GO162" t="inlineStr"/>
      <c r="GP162" t="inlineStr"/>
      <c r="GQ162" t="inlineStr"/>
      <c r="GR162" t="inlineStr"/>
      <c r="GS162" t="inlineStr"/>
      <c r="GT162" t="inlineStr"/>
      <c r="GU162" t="inlineStr"/>
      <c r="GV162" t="inlineStr"/>
      <c r="GW162" t="inlineStr"/>
      <c r="GX162" t="inlineStr"/>
      <c r="GY162" t="inlineStr"/>
      <c r="GZ162" t="inlineStr"/>
      <c r="HA162" t="inlineStr">
        <is>
          <t>1549</t>
        </is>
      </c>
      <c r="HB162" t="inlineStr">
        <is>
          <t>Alumni (1549)</t>
        </is>
      </c>
      <c r="HC162" t="inlineStr"/>
      <c r="HD162" t="inlineStr"/>
      <c r="HE162" t="inlineStr"/>
      <c r="HF162" t="inlineStr"/>
      <c r="HG162" t="inlineStr"/>
      <c r="HH162" t="inlineStr"/>
      <c r="HI162" t="inlineStr"/>
      <c r="HJ162" t="inlineStr"/>
      <c r="HK162" t="inlineStr">
        <is>
          <t>all</t>
        </is>
      </c>
      <c r="HL162" t="inlineStr">
        <is>
          <t>all</t>
        </is>
      </c>
      <c r="HM162" t="inlineStr"/>
      <c r="HN162" t="inlineStr"/>
      <c r="HO162" t="inlineStr"/>
      <c r="HP162" t="inlineStr"/>
      <c r="HQ162" t="inlineStr"/>
      <c r="HR162" t="inlineStr"/>
      <c r="HS162" t="inlineStr"/>
      <c r="HT162" t="inlineStr"/>
      <c r="HU162" t="inlineStr"/>
      <c r="HV162" t="inlineStr"/>
      <c r="HW162" t="inlineStr"/>
      <c r="HX162" t="inlineStr"/>
      <c r="HY162" t="inlineStr"/>
      <c r="HZ162" t="inlineStr"/>
      <c r="IA162" t="inlineStr"/>
      <c r="IB162" t="inlineStr"/>
      <c r="IC162" t="inlineStr"/>
      <c r="ID162" t="inlineStr"/>
      <c r="IE162" t="inlineStr"/>
      <c r="IF162" t="inlineStr"/>
      <c r="IG162" t="inlineStr"/>
      <c r="IH162" t="inlineStr"/>
      <c r="II162" t="inlineStr"/>
      <c r="IJ162" t="inlineStr"/>
      <c r="IK162" t="inlineStr"/>
      <c r="IL162" t="inlineStr"/>
      <c r="IM162" t="inlineStr"/>
      <c r="IN162" t="inlineStr"/>
      <c r="IO162" t="inlineStr"/>
      <c r="IP162" t="inlineStr"/>
      <c r="IQ162" t="inlineStr"/>
      <c r="IR162" t="inlineStr"/>
      <c r="IS162">
        <f>IF(input_content_type="",FALSE,ISNUMBER(SEARCH(","&amp;LOWER(input_content_type)&amp;",",","&amp;LOWER(F162)&amp;",")))</f>
        <v/>
      </c>
      <c r="IT162">
        <f>AND(IF(M162="",TRUE,IF(input_affiliations="",FALSE,SUMPRODUCT(--ISNUMBER(SEARCH(","&amp;TRIM(TEXTSPLIT(M162,","))&amp;",",","&amp;SUBSTITUTE(input_affiliations," ","")&amp;",")))&gt;0)),IF(O162="",TRUE,IF(input_affiliations="",FALSE,SUMPRODUCT(--ISNUMBER(SEARCH(","&amp;TRIM(TEXTSPLIT(O162,","))&amp;",",","&amp;SUBSTITUTE(input_affiliations," ","")&amp;",")))=COUNTA(TEXTSPLIT(O162,",")))),IF(Q162="",TRUE,IF(input_affiliations="",TRUE,SUMPRODUCT(--ISNUMBER(SEARCH(","&amp;TRIM(TEXTSPLIT(Q162,","))&amp;",",","&amp;SUBSTITUTE(input_affiliations," ","")&amp;",")))=0)),IF(S162="",TRUE,IF(input_affiliations="",FALSE,SUMPRODUCT(--ISNUMBER(SEARCH(","&amp;TRIM(TEXTSPLIT(S162,","))&amp;",",","&amp;SUBSTITUTE(input_affiliations," ","")&amp;",")))&gt;0)),IF(U162="",TRUE,IF(input_affiliations="",FALSE,SUMPRODUCT(--ISNUMBER(SEARCH(","&amp;TRIM(TEXTSPLIT(U162,","))&amp;",",","&amp;SUBSTITUTE(input_affiliations," ","")&amp;",")))=COUNTA(TEXTSPLIT(U162,",")))))</f>
        <v/>
      </c>
      <c r="IU162">
        <f>AND(IF(W162="",TRUE,IF(input_announcement_category="",FALSE,SUMPRODUCT(--ISNUMBER(SEARCH(","&amp;TRIM(TEXTSPLIT(W162,","))&amp;",",","&amp;SUBSTITUTE(input_announcement_category," ","")&amp;",")))&gt;0)),IF(Y162="",TRUE,IF(input_announcement_category="",FALSE,SUMPRODUCT(--ISNUMBER(SEARCH(","&amp;TRIM(TEXTSPLIT(Y162,","))&amp;",",","&amp;SUBSTITUTE(input_announcement_category," ","")&amp;",")))=COUNTA(TEXTSPLIT(Y162,",")))),IF(AA162="",TRUE,IF(input_announcement_category="",TRUE,SUMPRODUCT(--ISNUMBER(SEARCH(","&amp;TRIM(TEXTSPLIT(AA162,","))&amp;",",","&amp;SUBSTITUTE(input_announcement_category," ","")&amp;",")))=0)),IF(AC162="",TRUE,IF(input_announcement_category="",FALSE,SUMPRODUCT(--ISNUMBER(SEARCH(","&amp;TRIM(TEXTSPLIT(AC162,","))&amp;",",","&amp;SUBSTITUTE(input_announcement_category," ","")&amp;",")))&gt;0)),IF(AE162="",TRUE,IF(input_announcement_category="",FALSE,SUMPRODUCT(--ISNUMBER(SEARCH(","&amp;TRIM(TEXTSPLIT(AE162,","))&amp;",",","&amp;SUBSTITUTE(input_announcement_category," ","")&amp;",")))=COUNTA(TEXTSPLIT(AE162,",")))))</f>
        <v/>
      </c>
      <c r="IV162">
        <f>AND(IF(AG162="",TRUE,IF(input_area_of_focus="",FALSE,SUMPRODUCT(--ISNUMBER(SEARCH(","&amp;TRIM(TEXTSPLIT(AG162,","))&amp;",",","&amp;SUBSTITUTE(input_area_of_focus," ","")&amp;",")))&gt;0)),IF(AI162="",TRUE,IF(input_area_of_focus="",FALSE,SUMPRODUCT(--ISNUMBER(SEARCH(","&amp;TRIM(TEXTSPLIT(AI162,","))&amp;",",","&amp;SUBSTITUTE(input_area_of_focus," ","")&amp;",")))=COUNTA(TEXTSPLIT(AI162,",")))),IF(AK162="",TRUE,IF(input_area_of_focus="",TRUE,SUMPRODUCT(--ISNUMBER(SEARCH(","&amp;TRIM(TEXTSPLIT(AK162,","))&amp;",",","&amp;SUBSTITUTE(input_area_of_focus," ","")&amp;",")))=0)),IF(AM162="",TRUE,IF(input_area_of_focus="",FALSE,SUMPRODUCT(--ISNUMBER(SEARCH(","&amp;TRIM(TEXTSPLIT(AM162,","))&amp;",",","&amp;SUBSTITUTE(input_area_of_focus," ","")&amp;",")))&gt;0)),IF(AO162="",TRUE,IF(input_area_of_focus="",FALSE,SUMPRODUCT(--ISNUMBER(SEARCH(","&amp;TRIM(TEXTSPLIT(AO162,","))&amp;",",","&amp;SUBSTITUTE(input_area_of_focus," ","")&amp;",")))=COUNTA(TEXTSPLIT(AO162,",")))))</f>
        <v/>
      </c>
      <c r="IW162">
        <f>AND(IF(AQ162="",TRUE,IF(input_audience="",FALSE,SUMPRODUCT(--ISNUMBER(SEARCH(","&amp;TRIM(TEXTSPLIT(AQ162,","))&amp;",",","&amp;SUBSTITUTE(input_audience," ","")&amp;",")))&gt;0)),IF(AS162="",TRUE,IF(input_audience="",FALSE,SUMPRODUCT(--ISNUMBER(SEARCH(","&amp;TRIM(TEXTSPLIT(AS162,","))&amp;",",","&amp;SUBSTITUTE(input_audience," ","")&amp;",")))=COUNTA(TEXTSPLIT(AS162,",")))),IF(AU162="",TRUE,IF(input_audience="",TRUE,SUMPRODUCT(--ISNUMBER(SEARCH(","&amp;TRIM(TEXTSPLIT(AU162,","))&amp;",",","&amp;SUBSTITUTE(input_audience," ","")&amp;",")))=0)),IF(AW162="",TRUE,IF(input_audience="",FALSE,SUMPRODUCT(--ISNUMBER(SEARCH(","&amp;TRIM(TEXTSPLIT(AW162,","))&amp;",",","&amp;SUBSTITUTE(input_audience," ","")&amp;",")))&gt;0)),IF(AY162="",TRUE,IF(input_audience="",FALSE,SUMPRODUCT(--ISNUMBER(SEARCH(","&amp;TRIM(TEXTSPLIT(AY162,","))&amp;",",","&amp;SUBSTITUTE(input_audience," ","")&amp;",")))=COUNTA(TEXTSPLIT(AY162,",")))))</f>
        <v/>
      </c>
      <c r="IX162">
        <f>AND(IF(BA162="",TRUE,IF(input_challenge_opportunities="",FALSE,SUMPRODUCT(--ISNUMBER(SEARCH(","&amp;TRIM(TEXTSPLIT(BA162,","))&amp;",",","&amp;SUBSTITUTE(input_challenge_opportunities," ","")&amp;",")))&gt;0)),IF(BC162="",TRUE,IF(input_challenge_opportunities="",FALSE,SUMPRODUCT(--ISNUMBER(SEARCH(","&amp;TRIM(TEXTSPLIT(BC162,","))&amp;",",","&amp;SUBSTITUTE(input_challenge_opportunities," ","")&amp;",")))=COUNTA(TEXTSPLIT(BC162,",")))),IF(BE162="",TRUE,IF(input_challenge_opportunities="",TRUE,SUMPRODUCT(--ISNUMBER(SEARCH(","&amp;TRIM(TEXTSPLIT(BE162,","))&amp;",",","&amp;SUBSTITUTE(input_challenge_opportunities," ","")&amp;",")))=0)),IF(BG162="",TRUE,IF(input_challenge_opportunities="",FALSE,SUMPRODUCT(--ISNUMBER(SEARCH(","&amp;TRIM(TEXTSPLIT(BG162,","))&amp;",",","&amp;SUBSTITUTE(input_challenge_opportunities," ","")&amp;",")))&gt;0)),IF(BI162="",TRUE,IF(input_challenge_opportunities="",FALSE,SUMPRODUCT(--ISNUMBER(SEARCH(","&amp;TRIM(TEXTSPLIT(BI162,","))&amp;",",","&amp;SUBSTITUTE(input_challenge_opportunities," ","")&amp;",")))=COUNTA(TEXTSPLIT(BI162,",")))))</f>
        <v/>
      </c>
      <c r="IY162">
        <f>AND(IF(BK162="",TRUE,IF(input_context="",FALSE,SUMPRODUCT(--ISNUMBER(SEARCH(","&amp;TRIM(TEXTSPLIT(BK162,","))&amp;",",","&amp;SUBSTITUTE(input_context," ","")&amp;",")))&gt;0)),IF(BM162="",TRUE,IF(input_context="",FALSE,SUMPRODUCT(--ISNUMBER(SEARCH(","&amp;TRIM(TEXTSPLIT(BM162,","))&amp;",",","&amp;SUBSTITUTE(input_context," ","")&amp;",")))=COUNTA(TEXTSPLIT(BM162,",")))),IF(BO162="",TRUE,IF(input_context="",TRUE,SUMPRODUCT(--ISNUMBER(SEARCH(","&amp;TRIM(TEXTSPLIT(BO162,","))&amp;",",","&amp;SUBSTITUTE(input_context," ","")&amp;",")))=0)),IF(BQ162="",TRUE,IF(input_context="",FALSE,SUMPRODUCT(--ISNUMBER(SEARCH(","&amp;TRIM(TEXTSPLIT(BQ162,","))&amp;",",","&amp;SUBSTITUTE(input_context," ","")&amp;",")))&gt;0)),IF(BS162="",TRUE,IF(input_context="",FALSE,SUMPRODUCT(--ISNUMBER(SEARCH(","&amp;TRIM(TEXTSPLIT(BS162,","))&amp;",",","&amp;SUBSTITUTE(input_context," ","")&amp;",")))=COUNTA(TEXTSPLIT(BS162,",")))))</f>
        <v/>
      </c>
      <c r="IZ162">
        <f>AND(IF(BU162="",TRUE,IF(input_enews_announcement_type="",FALSE,SUMPRODUCT(--ISNUMBER(SEARCH(","&amp;TRIM(TEXTSPLIT(BU162,","))&amp;",",","&amp;SUBSTITUTE(input_enews_announcement_type," ","")&amp;",")))&gt;0)),IF(BW162="",TRUE,IF(input_enews_announcement_type="",FALSE,SUMPRODUCT(--ISNUMBER(SEARCH(","&amp;TRIM(TEXTSPLIT(BW162,","))&amp;",",","&amp;SUBSTITUTE(input_enews_announcement_type," ","")&amp;",")))=COUNTA(TEXTSPLIT(BW162,",")))),IF(BY162="",TRUE,IF(input_enews_announcement_type="",TRUE,SUMPRODUCT(--ISNUMBER(SEARCH(","&amp;TRIM(TEXTSPLIT(BY162,","))&amp;",",","&amp;SUBSTITUTE(input_enews_announcement_type," ","")&amp;",")))=0)),IF(CA162="",TRUE,IF(input_enews_announcement_type="",FALSE,SUMPRODUCT(--ISNUMBER(SEARCH(","&amp;TRIM(TEXTSPLIT(CA162,","))&amp;",",","&amp;SUBSTITUTE(input_enews_announcement_type," ","")&amp;",")))&gt;0)),IF(CC162="",TRUE,IF(input_enews_announcement_type="",FALSE,SUMPRODUCT(--ISNUMBER(SEARCH(","&amp;TRIM(TEXTSPLIT(CC162,","))&amp;",",","&amp;SUBSTITUTE(input_enews_announcement_type," ","")&amp;",")))=COUNTA(TEXTSPLIT(CC162,",")))))</f>
        <v/>
      </c>
      <c r="JA162">
        <f>AND(IF(CE162="",TRUE,IF(input_enews_audience="",FALSE,SUMPRODUCT(--ISNUMBER(SEARCH(","&amp;TRIM(TEXTSPLIT(CE162,","))&amp;",",","&amp;SUBSTITUTE(input_enews_audience," ","")&amp;",")))&gt;0)),IF(CG162="",TRUE,IF(input_enews_audience="",FALSE,SUMPRODUCT(--ISNUMBER(SEARCH(","&amp;TRIM(TEXTSPLIT(CG162,","))&amp;",",","&amp;SUBSTITUTE(input_enews_audience," ","")&amp;",")))=COUNTA(TEXTSPLIT(CG162,",")))),IF(CI162="",TRUE,IF(input_enews_audience="",TRUE,SUMPRODUCT(--ISNUMBER(SEARCH(","&amp;TRIM(TEXTSPLIT(CI162,","))&amp;",",","&amp;SUBSTITUTE(input_enews_audience," ","")&amp;",")))=0)),IF(CK162="",TRUE,IF(input_enews_audience="",FALSE,SUMPRODUCT(--ISNUMBER(SEARCH(","&amp;TRIM(TEXTSPLIT(CK162,","))&amp;",",","&amp;SUBSTITUTE(input_enews_audience," ","")&amp;",")))&gt;0)),IF(CM162="",TRUE,IF(input_enews_audience="",FALSE,SUMPRODUCT(--ISNUMBER(SEARCH(","&amp;TRIM(TEXTSPLIT(CM162,","))&amp;",",","&amp;SUBSTITUTE(input_enews_audience," ","")&amp;",")))=COUNTA(TEXTSPLIT(CM162,",")))))</f>
        <v/>
      </c>
      <c r="JB162">
        <f>AND(IF(CO162="",TRUE,IF(input_event_location="",FALSE,SUMPRODUCT(--ISNUMBER(SEARCH(","&amp;TRIM(TEXTSPLIT(CO162,","))&amp;",",","&amp;SUBSTITUTE(input_event_location," ","")&amp;",")))&gt;0)),IF(CQ162="",TRUE,IF(input_event_location="",FALSE,SUMPRODUCT(--ISNUMBER(SEARCH(","&amp;TRIM(TEXTSPLIT(CQ162,","))&amp;",",","&amp;SUBSTITUTE(input_event_location," ","")&amp;",")))=COUNTA(TEXTSPLIT(CQ162,",")))),IF(CS162="",TRUE,IF(input_event_location="",TRUE,SUMPRODUCT(--ISNUMBER(SEARCH(","&amp;TRIM(TEXTSPLIT(CS162,","))&amp;",",","&amp;SUBSTITUTE(input_event_location," ","")&amp;",")))=0)),IF(CU162="",TRUE,IF(input_event_location="",FALSE,SUMPRODUCT(--ISNUMBER(SEARCH(","&amp;TRIM(TEXTSPLIT(CU162,","))&amp;",",","&amp;SUBSTITUTE(input_event_location," ","")&amp;",")))&gt;0)),IF(CW162="",TRUE,IF(input_event_location="",FALSE,SUMPRODUCT(--ISNUMBER(SEARCH(","&amp;TRIM(TEXTSPLIT(CW162,","))&amp;",",","&amp;SUBSTITUTE(input_event_location," ","")&amp;",")))=COUNTA(TEXTSPLIT(CW162,",")))))</f>
        <v/>
      </c>
      <c r="JC162">
        <f>AND(IF(CY162="",TRUE,IF(input_event_type="",FALSE,SUMPRODUCT(--ISNUMBER(SEARCH(","&amp;TRIM(TEXTSPLIT(CY162,","))&amp;",",","&amp;SUBSTITUTE(input_event_type," ","")&amp;",")))&gt;0)),IF(DA162="",TRUE,IF(input_event_type="",FALSE,SUMPRODUCT(--ISNUMBER(SEARCH(","&amp;TRIM(TEXTSPLIT(DA162,","))&amp;",",","&amp;SUBSTITUTE(input_event_type," ","")&amp;",")))=COUNTA(TEXTSPLIT(DA162,",")))),IF(DC162="",TRUE,IF(input_event_type="",TRUE,SUMPRODUCT(--ISNUMBER(SEARCH(","&amp;TRIM(TEXTSPLIT(DC162,","))&amp;",",","&amp;SUBSTITUTE(input_event_type," ","")&amp;",")))=0)),IF(DE162="",TRUE,IF(input_event_type="",FALSE,SUMPRODUCT(--ISNUMBER(SEARCH(","&amp;TRIM(TEXTSPLIT(DE162,","))&amp;",",","&amp;SUBSTITUTE(input_event_type," ","")&amp;",")))&gt;0)),IF(DG162="",TRUE,IF(input_event_type="",FALSE,SUMPRODUCT(--ISNUMBER(SEARCH(","&amp;TRIM(TEXTSPLIT(DG162,","))&amp;",",","&amp;SUBSTITUTE(input_event_type," ","")&amp;",")))=COUNTA(TEXTSPLIT(DG162,",")))))</f>
        <v/>
      </c>
      <c r="JD162">
        <f>AND(IF(DI162="",TRUE,IF(input_executive_education_focus="",FALSE,SUMPRODUCT(--ISNUMBER(SEARCH(","&amp;TRIM(TEXTSPLIT(DI162,","))&amp;",",","&amp;SUBSTITUTE(input_executive_education_focus," ","")&amp;",")))&gt;0)),IF(DK162="",TRUE,IF(input_executive_education_focus="",FALSE,SUMPRODUCT(--ISNUMBER(SEARCH(","&amp;TRIM(TEXTSPLIT(DK162,","))&amp;",",","&amp;SUBSTITUTE(input_executive_education_focus," ","")&amp;",")))=COUNTA(TEXTSPLIT(DK162,",")))),IF(DM162="",TRUE,IF(input_executive_education_focus="",TRUE,SUMPRODUCT(--ISNUMBER(SEARCH(","&amp;TRIM(TEXTSPLIT(DM162,","))&amp;",",","&amp;SUBSTITUTE(input_executive_education_focus," ","")&amp;",")))=0)),IF(DO162="",TRUE,IF(input_executive_education_focus="",FALSE,SUMPRODUCT(--ISNUMBER(SEARCH(","&amp;TRIM(TEXTSPLIT(DO162,","))&amp;",",","&amp;SUBSTITUTE(input_executive_education_focus," ","")&amp;",")))&gt;0)),IF(DQ162="",TRUE,IF(input_executive_education_focus="",FALSE,SUMPRODUCT(--ISNUMBER(SEARCH(","&amp;TRIM(TEXTSPLIT(DQ162,","))&amp;",",","&amp;SUBSTITUTE(input_executive_education_focus," ","")&amp;",")))=COUNTA(TEXTSPLIT(DQ162,",")))))</f>
        <v/>
      </c>
      <c r="JE162">
        <f>AND(IF(DS162="",TRUE,IF(input_faculty_category="",FALSE,SUMPRODUCT(--ISNUMBER(SEARCH(","&amp;TRIM(TEXTSPLIT(DS162,","))&amp;",",","&amp;SUBSTITUTE(input_faculty_category," ","")&amp;",")))&gt;0)),IF(DU162="",TRUE,IF(input_faculty_category="",FALSE,SUMPRODUCT(--ISNUMBER(SEARCH(","&amp;TRIM(TEXTSPLIT(DU162,","))&amp;",",","&amp;SUBSTITUTE(input_faculty_category," ","")&amp;",")))=COUNTA(TEXTSPLIT(DU162,",")))),IF(DW162="",TRUE,IF(input_faculty_category="",TRUE,SUMPRODUCT(--ISNUMBER(SEARCH(","&amp;TRIM(TEXTSPLIT(DW162,","))&amp;",",","&amp;SUBSTITUTE(input_faculty_category," ","")&amp;",")))=0)),IF(DY162="",TRUE,IF(input_faculty_category="",FALSE,SUMPRODUCT(--ISNUMBER(SEARCH(","&amp;TRIM(TEXTSPLIT(DY162,","))&amp;",",","&amp;SUBSTITUTE(input_faculty_category," ","")&amp;",")))&gt;0)),IF(EA162="",TRUE,IF(input_faculty_category="",FALSE,SUMPRODUCT(--ISNUMBER(SEARCH(","&amp;TRIM(TEXTSPLIT(EA162,","))&amp;",",","&amp;SUBSTITUTE(input_faculty_category," ","")&amp;",")))=COUNTA(TEXTSPLIT(EA162,",")))))</f>
        <v/>
      </c>
      <c r="JF162">
        <f>AND(IF(EC162="",TRUE,IF(input_faculty_discipline="",FALSE,SUMPRODUCT(--ISNUMBER(SEARCH(","&amp;TRIM(TEXTSPLIT(EC162,","))&amp;",",","&amp;SUBSTITUTE(input_faculty_discipline," ","")&amp;",")))&gt;0)),IF(EE162="",TRUE,IF(input_faculty_discipline="",FALSE,SUMPRODUCT(--ISNUMBER(SEARCH(","&amp;TRIM(TEXTSPLIT(EE162,","))&amp;",",","&amp;SUBSTITUTE(input_faculty_discipline," ","")&amp;",")))=COUNTA(TEXTSPLIT(EE162,",")))),IF(EG162="",TRUE,IF(input_faculty_discipline="",TRUE,SUMPRODUCT(--ISNUMBER(SEARCH(","&amp;TRIM(TEXTSPLIT(EG162,","))&amp;",",","&amp;SUBSTITUTE(input_faculty_discipline," ","")&amp;",")))=0)),IF(EI162="",TRUE,IF(input_faculty_discipline="",FALSE,SUMPRODUCT(--ISNUMBER(SEARCH(","&amp;TRIM(TEXTSPLIT(EI162,","))&amp;",",","&amp;SUBSTITUTE(input_faculty_discipline," ","")&amp;",")))&gt;0)),IF(EK162="",TRUE,IF(input_faculty_discipline="",FALSE,SUMPRODUCT(--ISNUMBER(SEARCH(","&amp;TRIM(TEXTSPLIT(EK162,","))&amp;",",","&amp;SUBSTITUTE(input_faculty_discipline," ","")&amp;",")))=COUNTA(TEXTSPLIT(EK162,",")))))</f>
        <v/>
      </c>
      <c r="JG162">
        <f>AND(IF(EM162="",TRUE,IF(input_faculty_expertise="",FALSE,SUMPRODUCT(--ISNUMBER(SEARCH(","&amp;TRIM(TEXTSPLIT(EM162,","))&amp;",",","&amp;SUBSTITUTE(input_faculty_expertise," ","")&amp;",")))&gt;0)),IF(EO162="",TRUE,IF(input_faculty_expertise="",FALSE,SUMPRODUCT(--ISNUMBER(SEARCH(","&amp;TRIM(TEXTSPLIT(EO162,","))&amp;",",","&amp;SUBSTITUTE(input_faculty_expertise," ","")&amp;",")))=COUNTA(TEXTSPLIT(EO162,",")))),IF(EQ162="",TRUE,IF(input_faculty_expertise="",TRUE,SUMPRODUCT(--ISNUMBER(SEARCH(","&amp;TRIM(TEXTSPLIT(EQ162,","))&amp;",",","&amp;SUBSTITUTE(input_faculty_expertise," ","")&amp;",")))=0)),IF(ES162="",TRUE,IF(input_faculty_expertise="",FALSE,SUMPRODUCT(--ISNUMBER(SEARCH(","&amp;TRIM(TEXTSPLIT(ES162,","))&amp;",",","&amp;SUBSTITUTE(input_faculty_expertise," ","")&amp;",")))&gt;0)),IF(EU162="",TRUE,IF(input_faculty_expertise="",FALSE,SUMPRODUCT(--ISNUMBER(SEARCH(","&amp;TRIM(TEXTSPLIT(EU162,","))&amp;",",","&amp;SUBSTITUTE(input_faculty_expertise," ","")&amp;",")))=COUNTA(TEXTSPLIT(EU162,",")))))</f>
        <v/>
      </c>
      <c r="JH162">
        <f>AND(IF(EW162="",TRUE,IF(input_global_network_school="",FALSE,SUMPRODUCT(--ISNUMBER(SEARCH(","&amp;TRIM(TEXTSPLIT(EW162,","))&amp;",",","&amp;SUBSTITUTE(input_global_network_school," ","")&amp;",")))&gt;0)),IF(EY162="",TRUE,IF(input_global_network_school="",FALSE,SUMPRODUCT(--ISNUMBER(SEARCH(","&amp;TRIM(TEXTSPLIT(EY162,","))&amp;",",","&amp;SUBSTITUTE(input_global_network_school," ","")&amp;",")))=COUNTA(TEXTSPLIT(EY162,",")))),IF(FA162="",TRUE,IF(input_global_network_school="",TRUE,SUMPRODUCT(--ISNUMBER(SEARCH(","&amp;TRIM(TEXTSPLIT(FA162,","))&amp;",",","&amp;SUBSTITUTE(input_global_network_school," ","")&amp;",")))=0)),IF(FC162="",TRUE,IF(input_global_network_school="",FALSE,SUMPRODUCT(--ISNUMBER(SEARCH(","&amp;TRIM(TEXTSPLIT(FC162,","))&amp;",",","&amp;SUBSTITUTE(input_global_network_school," ","")&amp;",")))&gt;0)),IF(FE162="",TRUE,IF(input_global_network_school="",FALSE,SUMPRODUCT(--ISNUMBER(SEARCH(","&amp;TRIM(TEXTSPLIT(FE162,","))&amp;",",","&amp;SUBSTITUTE(input_global_network_school," ","")&amp;",")))=COUNTA(TEXTSPLIT(FE162,",")))))</f>
        <v/>
      </c>
      <c r="JI162">
        <f>AND(IF(FG162="",TRUE,IF(input_industry="",FALSE,SUMPRODUCT(--ISNUMBER(SEARCH(","&amp;TRIM(TEXTSPLIT(FG162,","))&amp;",",","&amp;SUBSTITUTE(input_industry," ","")&amp;",")))&gt;0)),IF(FI162="",TRUE,IF(input_industry="",FALSE,SUMPRODUCT(--ISNUMBER(SEARCH(","&amp;TRIM(TEXTSPLIT(FI162,","))&amp;",",","&amp;SUBSTITUTE(input_industry," ","")&amp;",")))=COUNTA(TEXTSPLIT(FI162,",")))),IF(FK162="",TRUE,IF(input_industry="",TRUE,SUMPRODUCT(--ISNUMBER(SEARCH(","&amp;TRIM(TEXTSPLIT(FK162,","))&amp;",",","&amp;SUBSTITUTE(input_industry," ","")&amp;",")))=0)),IF(FM162="",TRUE,IF(input_industry="",FALSE,SUMPRODUCT(--ISNUMBER(SEARCH(","&amp;TRIM(TEXTSPLIT(FM162,","))&amp;",",","&amp;SUBSTITUTE(input_industry," ","")&amp;",")))&gt;0)),IF(FO162="",TRUE,IF(input_industry="",FALSE,SUMPRODUCT(--ISNUMBER(SEARCH(","&amp;TRIM(TEXTSPLIT(FO162,","))&amp;",",","&amp;SUBSTITUTE(input_industry," ","")&amp;",")))=COUNTA(TEXTSPLIT(FO162,",")))))</f>
        <v/>
      </c>
      <c r="JJ162">
        <f>AND(IF(FQ162="",TRUE,IF(input_location="",FALSE,SUMPRODUCT(--ISNUMBER(SEARCH(","&amp;TRIM(TEXTSPLIT(FQ162,","))&amp;",",","&amp;SUBSTITUTE(input_location," ","")&amp;",")))&gt;0)),IF(FS162="",TRUE,IF(input_location="",FALSE,SUMPRODUCT(--ISNUMBER(SEARCH(","&amp;TRIM(TEXTSPLIT(FS162,","))&amp;",",","&amp;SUBSTITUTE(input_location," ","")&amp;",")))=COUNTA(TEXTSPLIT(FS162,",")))),IF(FU162="",TRUE,IF(input_location="",TRUE,SUMPRODUCT(--ISNUMBER(SEARCH(","&amp;TRIM(TEXTSPLIT(FU162,","))&amp;",",","&amp;SUBSTITUTE(input_location," ","")&amp;",")))=0)),IF(FW162="",TRUE,IF(input_location="",FALSE,SUMPRODUCT(--ISNUMBER(SEARCH(","&amp;TRIM(TEXTSPLIT(FW162,","))&amp;",",","&amp;SUBSTITUTE(input_location," ","")&amp;",")))&gt;0)),IF(FY162="",TRUE,IF(input_location="",FALSE,SUMPRODUCT(--ISNUMBER(SEARCH(","&amp;TRIM(TEXTSPLIT(FY162,","))&amp;",",","&amp;SUBSTITUTE(input_location," ","")&amp;",")))=COUNTA(TEXTSPLIT(FY162,",")))))</f>
        <v/>
      </c>
      <c r="JK162">
        <f>AND(IF(GA162="",TRUE,IF(input_modality="",FALSE,SUMPRODUCT(--ISNUMBER(SEARCH(","&amp;TRIM(TEXTSPLIT(GA162,","))&amp;",",","&amp;SUBSTITUTE(input_modality," ","")&amp;",")))&gt;0)),IF(GC162="",TRUE,IF(input_modality="",FALSE,SUMPRODUCT(--ISNUMBER(SEARCH(","&amp;TRIM(TEXTSPLIT(GC162,","))&amp;",",","&amp;SUBSTITUTE(input_modality," ","")&amp;",")))=COUNTA(TEXTSPLIT(GC162,",")))),IF(GE162="",TRUE,IF(input_modality="",TRUE,SUMPRODUCT(--ISNUMBER(SEARCH(","&amp;TRIM(TEXTSPLIT(GE162,","))&amp;",",","&amp;SUBSTITUTE(input_modality," ","")&amp;",")))=0)),IF(GG162="",TRUE,IF(input_modality="",FALSE,SUMPRODUCT(--ISNUMBER(SEARCH(","&amp;TRIM(TEXTSPLIT(GG162,","))&amp;",",","&amp;SUBSTITUTE(input_modality," ","")&amp;",")))&gt;0)),IF(GI162="",TRUE,IF(input_modality="",FALSE,SUMPRODUCT(--ISNUMBER(SEARCH(","&amp;TRIM(TEXTSPLIT(GI162,","))&amp;",",","&amp;SUBSTITUTE(input_modality," ","")&amp;",")))=COUNTA(TEXTSPLIT(GI162,",")))))</f>
        <v/>
      </c>
      <c r="JL162">
        <f>AND(IF(GK162="",TRUE,IF(input_organizer="",FALSE,SUMPRODUCT(--ISNUMBER(SEARCH(","&amp;TRIM(TEXTSPLIT(GK162,","))&amp;",",","&amp;SUBSTITUTE(input_organizer," ","")&amp;",")))&gt;0)),IF(GM162="",TRUE,IF(input_organizer="",FALSE,SUMPRODUCT(--ISNUMBER(SEARCH(","&amp;TRIM(TEXTSPLIT(GM162,","))&amp;",",","&amp;SUBSTITUTE(input_organizer," ","")&amp;",")))=COUNTA(TEXTSPLIT(GM162,",")))),IF(GO162="",TRUE,IF(input_organizer="",TRUE,SUMPRODUCT(--ISNUMBER(SEARCH(","&amp;TRIM(TEXTSPLIT(GO162,","))&amp;",",","&amp;SUBSTITUTE(input_organizer," ","")&amp;",")))=0)),IF(GQ162="",TRUE,IF(input_organizer="",FALSE,SUMPRODUCT(--ISNUMBER(SEARCH(","&amp;TRIM(TEXTSPLIT(GQ162,","))&amp;",",","&amp;SUBSTITUTE(input_organizer," ","")&amp;",")))&gt;0)),IF(GS162="",TRUE,IF(input_organizer="",FALSE,SUMPRODUCT(--ISNUMBER(SEARCH(","&amp;TRIM(TEXTSPLIT(GS162,","))&amp;",",","&amp;SUBSTITUTE(input_organizer," ","")&amp;",")))=COUNTA(TEXTSPLIT(GS162,",")))))</f>
        <v/>
      </c>
      <c r="JM162">
        <f>AND(IF(GU162="",TRUE,IF(input_profile_type="",FALSE,SUMPRODUCT(--ISNUMBER(SEARCH(","&amp;TRIM(TEXTSPLIT(GU162,","))&amp;",",","&amp;SUBSTITUTE(input_profile_type," ","")&amp;",")))&gt;0)),IF(GW162="",TRUE,IF(input_profile_type="",FALSE,SUMPRODUCT(--ISNUMBER(SEARCH(","&amp;TRIM(TEXTSPLIT(GW162,","))&amp;",",","&amp;SUBSTITUTE(input_profile_type," ","")&amp;",")))=COUNTA(TEXTSPLIT(GW162,",")))),IF(GY162="",TRUE,IF(input_profile_type="",TRUE,SUMPRODUCT(--ISNUMBER(SEARCH(","&amp;TRIM(TEXTSPLIT(GY162,","))&amp;",",","&amp;SUBSTITUTE(input_profile_type," ","")&amp;",")))=0)),IF(HA162="",TRUE,IF(input_profile_type="",FALSE,SUMPRODUCT(--ISNUMBER(SEARCH(","&amp;TRIM(TEXTSPLIT(HA162,","))&amp;",",","&amp;SUBSTITUTE(input_profile_type," ","")&amp;",")))&gt;0)),IF(HC162="",TRUE,IF(input_profile_type="",FALSE,SUMPRODUCT(--ISNUMBER(SEARCH(","&amp;TRIM(TEXTSPLIT(HC162,","))&amp;",",","&amp;SUBSTITUTE(input_profile_type," ","")&amp;",")))=COUNTA(TEXTSPLIT(HC162,",")))))</f>
        <v/>
      </c>
      <c r="JN162">
        <f>AND(IF(HE162="",TRUE,IF(input_program="",FALSE,SUMPRODUCT(--ISNUMBER(SEARCH(","&amp;TRIM(TEXTSPLIT(HE162,","))&amp;",",","&amp;SUBSTITUTE(input_program," ","")&amp;",")))&gt;0)),IF(HG162="",TRUE,IF(input_program="",FALSE,SUMPRODUCT(--ISNUMBER(SEARCH(","&amp;TRIM(TEXTSPLIT(HG162,","))&amp;",",","&amp;SUBSTITUTE(input_program," ","")&amp;",")))=COUNTA(TEXTSPLIT(HG162,",")))),IF(HI162="",TRUE,IF(input_program="",TRUE,SUMPRODUCT(--ISNUMBER(SEARCH(","&amp;TRIM(TEXTSPLIT(HI162,","))&amp;",",","&amp;SUBSTITUTE(input_program," ","")&amp;",")))=0)),IF(HK162="",TRUE,IF(input_program="",FALSE,SUMPRODUCT(--ISNUMBER(SEARCH(","&amp;TRIM(TEXTSPLIT(HK162,","))&amp;",",","&amp;SUBSTITUTE(input_program," ","")&amp;",")))&gt;0)),IF(HM162="",TRUE,IF(input_program="",FALSE,SUMPRODUCT(--ISNUMBER(SEARCH(","&amp;TRIM(TEXTSPLIT(HM162,","))&amp;",",","&amp;SUBSTITUTE(input_program," ","")&amp;",")))=COUNTA(TEXTSPLIT(HM162,",")))))</f>
        <v/>
      </c>
      <c r="JO162">
        <f>AND(IF(HO162="",TRUE,IF(input_story_categories="",FALSE,SUMPRODUCT(--ISNUMBER(SEARCH(","&amp;TRIM(TEXTSPLIT(HO162,","))&amp;",",","&amp;SUBSTITUTE(input_story_categories," ","")&amp;",")))&gt;0)),IF(HQ162="",TRUE,IF(input_story_categories="",FALSE,SUMPRODUCT(--ISNUMBER(SEARCH(","&amp;TRIM(TEXTSPLIT(HQ162,","))&amp;",",","&amp;SUBSTITUTE(input_story_categories," ","")&amp;",")))=COUNTA(TEXTSPLIT(HQ162,",")))),IF(HS162="",TRUE,IF(input_story_categories="",TRUE,SUMPRODUCT(--ISNUMBER(SEARCH(","&amp;TRIM(TEXTSPLIT(HS162,","))&amp;",",","&amp;SUBSTITUTE(input_story_categories," ","")&amp;",")))=0)),IF(HU162="",TRUE,IF(input_story_categories="",FALSE,SUMPRODUCT(--ISNUMBER(SEARCH(","&amp;TRIM(TEXTSPLIT(HU162,","))&amp;",",","&amp;SUBSTITUTE(input_story_categories," ","")&amp;",")))&gt;0)),IF(HW162="",TRUE,IF(input_story_categories="",FALSE,SUMPRODUCT(--ISNUMBER(SEARCH(","&amp;TRIM(TEXTSPLIT(HW162,","))&amp;",",","&amp;SUBSTITUTE(input_story_categories," ","")&amp;",")))=COUNTA(TEXTSPLIT(HW162,",")))))</f>
        <v/>
      </c>
      <c r="JP162">
        <f>AND(IF(HY162="",TRUE,IF(input_story_type="",FALSE,SUMPRODUCT(--ISNUMBER(SEARCH(","&amp;TRIM(TEXTSPLIT(HY162,","))&amp;",",","&amp;SUBSTITUTE(input_story_type," ","")&amp;",")))&gt;0)),IF(IA162="",TRUE,IF(input_story_type="",FALSE,SUMPRODUCT(--ISNUMBER(SEARCH(","&amp;TRIM(TEXTSPLIT(IA162,","))&amp;",",","&amp;SUBSTITUTE(input_story_type," ","")&amp;",")))=COUNTA(TEXTSPLIT(IA162,",")))),IF(IC162="",TRUE,IF(input_story_type="",TRUE,SUMPRODUCT(--ISNUMBER(SEARCH(","&amp;TRIM(TEXTSPLIT(IC162,","))&amp;",",","&amp;SUBSTITUTE(input_story_type," ","")&amp;",")))=0)),IF(IE162="",TRUE,IF(input_story_type="",FALSE,SUMPRODUCT(--ISNUMBER(SEARCH(","&amp;TRIM(TEXTSPLIT(IE162,","))&amp;",",","&amp;SUBSTITUTE(input_story_type," ","")&amp;",")))&gt;0)),IF(IG162="",TRUE,IF(input_story_type="",FALSE,SUMPRODUCT(--ISNUMBER(SEARCH(","&amp;TRIM(TEXTSPLIT(IG162,","))&amp;",",","&amp;SUBSTITUTE(input_story_type," ","")&amp;",")))=COUNTA(TEXTSPLIT(IG162,",")))))</f>
        <v/>
      </c>
      <c r="JQ162">
        <f>AND(IF(II162="",TRUE,IF(input_topics="",FALSE,SUMPRODUCT(--ISNUMBER(SEARCH(","&amp;TRIM(TEXTSPLIT(II162,","))&amp;",",","&amp;SUBSTITUTE(input_topics," ","")&amp;",")))&gt;0)),IF(IK162="",TRUE,IF(input_topics="",FALSE,SUMPRODUCT(--ISNUMBER(SEARCH(","&amp;TRIM(TEXTSPLIT(IK162,","))&amp;",",","&amp;SUBSTITUTE(input_topics," ","")&amp;",")))=COUNTA(TEXTSPLIT(IK162,",")))),IF(IM162="",TRUE,IF(input_topics="",TRUE,SUMPRODUCT(--ISNUMBER(SEARCH(","&amp;TRIM(TEXTSPLIT(IM162,","))&amp;",",","&amp;SUBSTITUTE(input_topics," ","")&amp;",")))=0)),IF(IO162="",TRUE,IF(input_topics="",FALSE,SUMPRODUCT(--ISNUMBER(SEARCH(","&amp;TRIM(TEXTSPLIT(IO162,","))&amp;",",","&amp;SUBSTITUTE(input_topics," ","")&amp;",")))&gt;0)),IF(IQ162="",TRUE,IF(input_topics="",FALSE,SUMPRODUCT(--ISNUMBER(SEARCH(","&amp;TRIM(TEXTSPLIT(IQ162,","))&amp;",",","&amp;SUBSTITUTE(input_topics," ","")&amp;",")))=COUNTA(TEXTSPLIT(IQ162,",")))))</f>
        <v/>
      </c>
    </row>
    <row r="163">
      <c r="A163" s="4">
        <f>IF(NOT(IS163),"Excluded",IF(AND(IT163,IU163,IV163,IW163,IX163,IY163,IZ163,JA163,JB163,JC163,JD163,JE163,JF163,JG163,JH163,JI163,JJ163,JK163,JL163,JM163,JN163,JO163,JP163,JQ163),IF(I163&gt;0,"Eligible but limited","Will appear"),"Excluded"))</f>
        <v/>
      </c>
      <c r="B163" s="4" t="inlineStr">
        <is>
          <t>Related profiles on profile pages</t>
        </is>
      </c>
      <c r="C163" s="4" t="inlineStr">
        <is>
          <t>/profile/ambassador/abhinav-keshri-26</t>
        </is>
      </c>
      <c r="D163" s="4" t="inlineStr">
        <is>
          <t>/profile/ambassador/abhinav-keshri-26</t>
        </is>
      </c>
      <c r="E163" s="4" t="n">
        <v>1</v>
      </c>
      <c r="F163" s="4" t="inlineStr">
        <is>
          <t>profile</t>
        </is>
      </c>
      <c r="G163" s="4" t="inlineStr">
        <is>
          <t>profiles_grid</t>
        </is>
      </c>
      <c r="H163" s="4" t="inlineStr">
        <is>
          <t>related</t>
        </is>
      </c>
      <c r="I163" s="4" t="n">
        <v>3</v>
      </c>
      <c r="J163" s="4" t="inlineStr">
        <is>
          <t>Explicit args</t>
        </is>
      </c>
      <c r="K163" s="4" t="inlineStr">
        <is>
          <t>Grouped surface</t>
        </is>
      </c>
      <c r="L163" s="4" t="inlineStr">
        <is>
          <t>Content type: profile; Context uses Profile Type: Ambassador (1552); Context uses Program: Master’s in Asset Management (82); Limited to 3 item(s); Source: Explicit args</t>
        </is>
      </c>
      <c r="M163" t="inlineStr"/>
      <c r="N163" t="inlineStr"/>
      <c r="O163" t="inlineStr"/>
      <c r="P163" t="inlineStr"/>
      <c r="Q163" t="inlineStr"/>
      <c r="R163" t="inlineStr"/>
      <c r="S163" t="inlineStr"/>
      <c r="T163" t="inlineStr"/>
      <c r="U163" t="inlineStr"/>
      <c r="V163" t="inlineStr"/>
      <c r="W163" t="inlineStr"/>
      <c r="X163" t="inlineStr"/>
      <c r="Y163" t="inlineStr"/>
      <c r="Z163" t="inlineStr"/>
      <c r="AA163" t="inlineStr"/>
      <c r="AB163" t="inlineStr"/>
      <c r="AC163" t="inlineStr"/>
      <c r="AD163" t="inlineStr"/>
      <c r="AE163" t="inlineStr"/>
      <c r="AF163" t="inlineStr"/>
      <c r="AG163" t="inlineStr"/>
      <c r="AH163" t="inlineStr"/>
      <c r="AI163" t="inlineStr"/>
      <c r="AJ163" t="inlineStr"/>
      <c r="AK163" t="inlineStr"/>
      <c r="AL163" t="inlineStr"/>
      <c r="AM163" t="inlineStr"/>
      <c r="AN163" t="inlineStr"/>
      <c r="AO163" t="inlineStr"/>
      <c r="AP163" t="inlineStr"/>
      <c r="AQ163" t="inlineStr"/>
      <c r="AR163" t="inlineStr"/>
      <c r="AS163" t="inlineStr"/>
      <c r="AT163" t="inlineStr"/>
      <c r="AU163" t="inlineStr"/>
      <c r="AV163" t="inlineStr"/>
      <c r="AW163" t="inlineStr"/>
      <c r="AX163" t="inlineStr"/>
      <c r="AY163" t="inlineStr"/>
      <c r="AZ163" t="inlineStr"/>
      <c r="BA163" t="inlineStr"/>
      <c r="BB163" t="inlineStr"/>
      <c r="BC163" t="inlineStr"/>
      <c r="BD163" t="inlineStr"/>
      <c r="BE163" t="inlineStr"/>
      <c r="BF163" t="inlineStr"/>
      <c r="BG163" t="inlineStr"/>
      <c r="BH163" t="inlineStr"/>
      <c r="BI163" t="inlineStr"/>
      <c r="BJ163" t="inlineStr"/>
      <c r="BK163" t="inlineStr"/>
      <c r="BL163" t="inlineStr"/>
      <c r="BM163" t="inlineStr"/>
      <c r="BN163" t="inlineStr"/>
      <c r="BO163" t="inlineStr"/>
      <c r="BP163" t="inlineStr"/>
      <c r="BQ163" t="inlineStr"/>
      <c r="BR163" t="inlineStr"/>
      <c r="BS163" t="inlineStr"/>
      <c r="BT163" t="inlineStr"/>
      <c r="BU163" t="inlineStr"/>
      <c r="BV163" t="inlineStr"/>
      <c r="BW163" t="inlineStr"/>
      <c r="BX163" t="inlineStr"/>
      <c r="BY163" t="inlineStr"/>
      <c r="BZ163" t="inlineStr"/>
      <c r="CA163" t="inlineStr"/>
      <c r="CB163" t="inlineStr"/>
      <c r="CC163" t="inlineStr"/>
      <c r="CD163" t="inlineStr"/>
      <c r="CE163" t="inlineStr"/>
      <c r="CF163" t="inlineStr"/>
      <c r="CG163" t="inlineStr"/>
      <c r="CH163" t="inlineStr"/>
      <c r="CI163" t="inlineStr"/>
      <c r="CJ163" t="inlineStr"/>
      <c r="CK163" t="inlineStr"/>
      <c r="CL163" t="inlineStr"/>
      <c r="CM163" t="inlineStr"/>
      <c r="CN163" t="inlineStr"/>
      <c r="CO163" t="inlineStr"/>
      <c r="CP163" t="inlineStr"/>
      <c r="CQ163" t="inlineStr"/>
      <c r="CR163" t="inlineStr"/>
      <c r="CS163" t="inlineStr"/>
      <c r="CT163" t="inlineStr"/>
      <c r="CU163" t="inlineStr"/>
      <c r="CV163" t="inlineStr"/>
      <c r="CW163" t="inlineStr"/>
      <c r="CX163" t="inlineStr"/>
      <c r="CY163" t="inlineStr"/>
      <c r="CZ163" t="inlineStr"/>
      <c r="DA163" t="inlineStr"/>
      <c r="DB163" t="inlineStr"/>
      <c r="DC163" t="inlineStr"/>
      <c r="DD163" t="inlineStr"/>
      <c r="DE163" t="inlineStr"/>
      <c r="DF163" t="inlineStr"/>
      <c r="DG163" t="inlineStr"/>
      <c r="DH163" t="inlineStr"/>
      <c r="DI163" t="inlineStr"/>
      <c r="DJ163" t="inlineStr"/>
      <c r="DK163" t="inlineStr"/>
      <c r="DL163" t="inlineStr"/>
      <c r="DM163" t="inlineStr"/>
      <c r="DN163" t="inlineStr"/>
      <c r="DO163" t="inlineStr"/>
      <c r="DP163" t="inlineStr"/>
      <c r="DQ163" t="inlineStr"/>
      <c r="DR163" t="inlineStr"/>
      <c r="DS163" t="inlineStr"/>
      <c r="DT163" t="inlineStr"/>
      <c r="DU163" t="inlineStr"/>
      <c r="DV163" t="inlineStr"/>
      <c r="DW163" t="inlineStr"/>
      <c r="DX163" t="inlineStr"/>
      <c r="DY163" t="inlineStr"/>
      <c r="DZ163" t="inlineStr"/>
      <c r="EA163" t="inlineStr"/>
      <c r="EB163" t="inlineStr"/>
      <c r="EC163" t="inlineStr"/>
      <c r="ED163" t="inlineStr"/>
      <c r="EE163" t="inlineStr"/>
      <c r="EF163" t="inlineStr"/>
      <c r="EG163" t="inlineStr"/>
      <c r="EH163" t="inlineStr"/>
      <c r="EI163" t="inlineStr"/>
      <c r="EJ163" t="inlineStr"/>
      <c r="EK163" t="inlineStr"/>
      <c r="EL163" t="inlineStr"/>
      <c r="EM163" t="inlineStr"/>
      <c r="EN163" t="inlineStr"/>
      <c r="EO163" t="inlineStr"/>
      <c r="EP163" t="inlineStr"/>
      <c r="EQ163" t="inlineStr"/>
      <c r="ER163" t="inlineStr"/>
      <c r="ES163" t="inlineStr"/>
      <c r="ET163" t="inlineStr"/>
      <c r="EU163" t="inlineStr"/>
      <c r="EV163" t="inlineStr"/>
      <c r="EW163" t="inlineStr"/>
      <c r="EX163" t="inlineStr"/>
      <c r="EY163" t="inlineStr"/>
      <c r="EZ163" t="inlineStr"/>
      <c r="FA163" t="inlineStr"/>
      <c r="FB163" t="inlineStr"/>
      <c r="FC163" t="inlineStr"/>
      <c r="FD163" t="inlineStr"/>
      <c r="FE163" t="inlineStr"/>
      <c r="FF163" t="inlineStr"/>
      <c r="FG163" t="inlineStr"/>
      <c r="FH163" t="inlineStr"/>
      <c r="FI163" t="inlineStr"/>
      <c r="FJ163" t="inlineStr"/>
      <c r="FK163" t="inlineStr"/>
      <c r="FL163" t="inlineStr"/>
      <c r="FM163" t="inlineStr"/>
      <c r="FN163" t="inlineStr"/>
      <c r="FO163" t="inlineStr"/>
      <c r="FP163" t="inlineStr"/>
      <c r="FQ163" t="inlineStr"/>
      <c r="FR163" t="inlineStr"/>
      <c r="FS163" t="inlineStr"/>
      <c r="FT163" t="inlineStr"/>
      <c r="FU163" t="inlineStr"/>
      <c r="FV163" t="inlineStr"/>
      <c r="FW163" t="inlineStr"/>
      <c r="FX163" t="inlineStr"/>
      <c r="FY163" t="inlineStr"/>
      <c r="FZ163" t="inlineStr"/>
      <c r="GA163" t="inlineStr"/>
      <c r="GB163" t="inlineStr"/>
      <c r="GC163" t="inlineStr"/>
      <c r="GD163" t="inlineStr"/>
      <c r="GE163" t="inlineStr"/>
      <c r="GF163" t="inlineStr"/>
      <c r="GG163" t="inlineStr"/>
      <c r="GH163" t="inlineStr"/>
      <c r="GI163" t="inlineStr"/>
      <c r="GJ163" t="inlineStr"/>
      <c r="GK163" t="inlineStr"/>
      <c r="GL163" t="inlineStr"/>
      <c r="GM163" t="inlineStr"/>
      <c r="GN163" t="inlineStr"/>
      <c r="GO163" t="inlineStr"/>
      <c r="GP163" t="inlineStr"/>
      <c r="GQ163" t="inlineStr"/>
      <c r="GR163" t="inlineStr"/>
      <c r="GS163" t="inlineStr"/>
      <c r="GT163" t="inlineStr"/>
      <c r="GU163" t="inlineStr"/>
      <c r="GV163" t="inlineStr"/>
      <c r="GW163" t="inlineStr"/>
      <c r="GX163" t="inlineStr"/>
      <c r="GY163" t="inlineStr"/>
      <c r="GZ163" t="inlineStr"/>
      <c r="HA163" t="inlineStr">
        <is>
          <t>1552</t>
        </is>
      </c>
      <c r="HB163" t="inlineStr">
        <is>
          <t>Ambassador (1552)</t>
        </is>
      </c>
      <c r="HC163" t="inlineStr"/>
      <c r="HD163" t="inlineStr"/>
      <c r="HE163" t="inlineStr"/>
      <c r="HF163" t="inlineStr"/>
      <c r="HG163" t="inlineStr"/>
      <c r="HH163" t="inlineStr"/>
      <c r="HI163" t="inlineStr"/>
      <c r="HJ163" t="inlineStr"/>
      <c r="HK163" t="inlineStr">
        <is>
          <t>82</t>
        </is>
      </c>
      <c r="HL163" t="inlineStr">
        <is>
          <t>Master’s in Asset Management (82)</t>
        </is>
      </c>
      <c r="HM163" t="inlineStr"/>
      <c r="HN163" t="inlineStr"/>
      <c r="HO163" t="inlineStr"/>
      <c r="HP163" t="inlineStr"/>
      <c r="HQ163" t="inlineStr"/>
      <c r="HR163" t="inlineStr"/>
      <c r="HS163" t="inlineStr"/>
      <c r="HT163" t="inlineStr"/>
      <c r="HU163" t="inlineStr"/>
      <c r="HV163" t="inlineStr"/>
      <c r="HW163" t="inlineStr"/>
      <c r="HX163" t="inlineStr"/>
      <c r="HY163" t="inlineStr"/>
      <c r="HZ163" t="inlineStr"/>
      <c r="IA163" t="inlineStr"/>
      <c r="IB163" t="inlineStr"/>
      <c r="IC163" t="inlineStr"/>
      <c r="ID163" t="inlineStr"/>
      <c r="IE163" t="inlineStr"/>
      <c r="IF163" t="inlineStr"/>
      <c r="IG163" t="inlineStr"/>
      <c r="IH163" t="inlineStr"/>
      <c r="II163" t="inlineStr"/>
      <c r="IJ163" t="inlineStr"/>
      <c r="IK163" t="inlineStr"/>
      <c r="IL163" t="inlineStr"/>
      <c r="IM163" t="inlineStr"/>
      <c r="IN163" t="inlineStr"/>
      <c r="IO163" t="inlineStr"/>
      <c r="IP163" t="inlineStr"/>
      <c r="IQ163" t="inlineStr"/>
      <c r="IR163" t="inlineStr"/>
      <c r="IS163">
        <f>IF(input_content_type="",FALSE,ISNUMBER(SEARCH(","&amp;LOWER(input_content_type)&amp;",",","&amp;LOWER(F163)&amp;",")))</f>
        <v/>
      </c>
      <c r="IT163">
        <f>AND(IF(M163="",TRUE,IF(input_affiliations="",FALSE,SUMPRODUCT(--ISNUMBER(SEARCH(","&amp;TRIM(TEXTSPLIT(M163,","))&amp;",",","&amp;SUBSTITUTE(input_affiliations," ","")&amp;",")))&gt;0)),IF(O163="",TRUE,IF(input_affiliations="",FALSE,SUMPRODUCT(--ISNUMBER(SEARCH(","&amp;TRIM(TEXTSPLIT(O163,","))&amp;",",","&amp;SUBSTITUTE(input_affiliations," ","")&amp;",")))=COUNTA(TEXTSPLIT(O163,",")))),IF(Q163="",TRUE,IF(input_affiliations="",TRUE,SUMPRODUCT(--ISNUMBER(SEARCH(","&amp;TRIM(TEXTSPLIT(Q163,","))&amp;",",","&amp;SUBSTITUTE(input_affiliations," ","")&amp;",")))=0)),IF(S163="",TRUE,IF(input_affiliations="",FALSE,SUMPRODUCT(--ISNUMBER(SEARCH(","&amp;TRIM(TEXTSPLIT(S163,","))&amp;",",","&amp;SUBSTITUTE(input_affiliations," ","")&amp;",")))&gt;0)),IF(U163="",TRUE,IF(input_affiliations="",FALSE,SUMPRODUCT(--ISNUMBER(SEARCH(","&amp;TRIM(TEXTSPLIT(U163,","))&amp;",",","&amp;SUBSTITUTE(input_affiliations," ","")&amp;",")))=COUNTA(TEXTSPLIT(U163,",")))))</f>
        <v/>
      </c>
      <c r="IU163">
        <f>AND(IF(W163="",TRUE,IF(input_announcement_category="",FALSE,SUMPRODUCT(--ISNUMBER(SEARCH(","&amp;TRIM(TEXTSPLIT(W163,","))&amp;",",","&amp;SUBSTITUTE(input_announcement_category," ","")&amp;",")))&gt;0)),IF(Y163="",TRUE,IF(input_announcement_category="",FALSE,SUMPRODUCT(--ISNUMBER(SEARCH(","&amp;TRIM(TEXTSPLIT(Y163,","))&amp;",",","&amp;SUBSTITUTE(input_announcement_category," ","")&amp;",")))=COUNTA(TEXTSPLIT(Y163,",")))),IF(AA163="",TRUE,IF(input_announcement_category="",TRUE,SUMPRODUCT(--ISNUMBER(SEARCH(","&amp;TRIM(TEXTSPLIT(AA163,","))&amp;",",","&amp;SUBSTITUTE(input_announcement_category," ","")&amp;",")))=0)),IF(AC163="",TRUE,IF(input_announcement_category="",FALSE,SUMPRODUCT(--ISNUMBER(SEARCH(","&amp;TRIM(TEXTSPLIT(AC163,","))&amp;",",","&amp;SUBSTITUTE(input_announcement_category," ","")&amp;",")))&gt;0)),IF(AE163="",TRUE,IF(input_announcement_category="",FALSE,SUMPRODUCT(--ISNUMBER(SEARCH(","&amp;TRIM(TEXTSPLIT(AE163,","))&amp;",",","&amp;SUBSTITUTE(input_announcement_category," ","")&amp;",")))=COUNTA(TEXTSPLIT(AE163,",")))))</f>
        <v/>
      </c>
      <c r="IV163">
        <f>AND(IF(AG163="",TRUE,IF(input_area_of_focus="",FALSE,SUMPRODUCT(--ISNUMBER(SEARCH(","&amp;TRIM(TEXTSPLIT(AG163,","))&amp;",",","&amp;SUBSTITUTE(input_area_of_focus," ","")&amp;",")))&gt;0)),IF(AI163="",TRUE,IF(input_area_of_focus="",FALSE,SUMPRODUCT(--ISNUMBER(SEARCH(","&amp;TRIM(TEXTSPLIT(AI163,","))&amp;",",","&amp;SUBSTITUTE(input_area_of_focus," ","")&amp;",")))=COUNTA(TEXTSPLIT(AI163,",")))),IF(AK163="",TRUE,IF(input_area_of_focus="",TRUE,SUMPRODUCT(--ISNUMBER(SEARCH(","&amp;TRIM(TEXTSPLIT(AK163,","))&amp;",",","&amp;SUBSTITUTE(input_area_of_focus," ","")&amp;",")))=0)),IF(AM163="",TRUE,IF(input_area_of_focus="",FALSE,SUMPRODUCT(--ISNUMBER(SEARCH(","&amp;TRIM(TEXTSPLIT(AM163,","))&amp;",",","&amp;SUBSTITUTE(input_area_of_focus," ","")&amp;",")))&gt;0)),IF(AO163="",TRUE,IF(input_area_of_focus="",FALSE,SUMPRODUCT(--ISNUMBER(SEARCH(","&amp;TRIM(TEXTSPLIT(AO163,","))&amp;",",","&amp;SUBSTITUTE(input_area_of_focus," ","")&amp;",")))=COUNTA(TEXTSPLIT(AO163,",")))))</f>
        <v/>
      </c>
      <c r="IW163">
        <f>AND(IF(AQ163="",TRUE,IF(input_audience="",FALSE,SUMPRODUCT(--ISNUMBER(SEARCH(","&amp;TRIM(TEXTSPLIT(AQ163,","))&amp;",",","&amp;SUBSTITUTE(input_audience," ","")&amp;",")))&gt;0)),IF(AS163="",TRUE,IF(input_audience="",FALSE,SUMPRODUCT(--ISNUMBER(SEARCH(","&amp;TRIM(TEXTSPLIT(AS163,","))&amp;",",","&amp;SUBSTITUTE(input_audience," ","")&amp;",")))=COUNTA(TEXTSPLIT(AS163,",")))),IF(AU163="",TRUE,IF(input_audience="",TRUE,SUMPRODUCT(--ISNUMBER(SEARCH(","&amp;TRIM(TEXTSPLIT(AU163,","))&amp;",",","&amp;SUBSTITUTE(input_audience," ","")&amp;",")))=0)),IF(AW163="",TRUE,IF(input_audience="",FALSE,SUMPRODUCT(--ISNUMBER(SEARCH(","&amp;TRIM(TEXTSPLIT(AW163,","))&amp;",",","&amp;SUBSTITUTE(input_audience," ","")&amp;",")))&gt;0)),IF(AY163="",TRUE,IF(input_audience="",FALSE,SUMPRODUCT(--ISNUMBER(SEARCH(","&amp;TRIM(TEXTSPLIT(AY163,","))&amp;",",","&amp;SUBSTITUTE(input_audience," ","")&amp;",")))=COUNTA(TEXTSPLIT(AY163,",")))))</f>
        <v/>
      </c>
      <c r="IX163">
        <f>AND(IF(BA163="",TRUE,IF(input_challenge_opportunities="",FALSE,SUMPRODUCT(--ISNUMBER(SEARCH(","&amp;TRIM(TEXTSPLIT(BA163,","))&amp;",",","&amp;SUBSTITUTE(input_challenge_opportunities," ","")&amp;",")))&gt;0)),IF(BC163="",TRUE,IF(input_challenge_opportunities="",FALSE,SUMPRODUCT(--ISNUMBER(SEARCH(","&amp;TRIM(TEXTSPLIT(BC163,","))&amp;",",","&amp;SUBSTITUTE(input_challenge_opportunities," ","")&amp;",")))=COUNTA(TEXTSPLIT(BC163,",")))),IF(BE163="",TRUE,IF(input_challenge_opportunities="",TRUE,SUMPRODUCT(--ISNUMBER(SEARCH(","&amp;TRIM(TEXTSPLIT(BE163,","))&amp;",",","&amp;SUBSTITUTE(input_challenge_opportunities," ","")&amp;",")))=0)),IF(BG163="",TRUE,IF(input_challenge_opportunities="",FALSE,SUMPRODUCT(--ISNUMBER(SEARCH(","&amp;TRIM(TEXTSPLIT(BG163,","))&amp;",",","&amp;SUBSTITUTE(input_challenge_opportunities," ","")&amp;",")))&gt;0)),IF(BI163="",TRUE,IF(input_challenge_opportunities="",FALSE,SUMPRODUCT(--ISNUMBER(SEARCH(","&amp;TRIM(TEXTSPLIT(BI163,","))&amp;",",","&amp;SUBSTITUTE(input_challenge_opportunities," ","")&amp;",")))=COUNTA(TEXTSPLIT(BI163,",")))))</f>
        <v/>
      </c>
      <c r="IY163">
        <f>AND(IF(BK163="",TRUE,IF(input_context="",FALSE,SUMPRODUCT(--ISNUMBER(SEARCH(","&amp;TRIM(TEXTSPLIT(BK163,","))&amp;",",","&amp;SUBSTITUTE(input_context," ","")&amp;",")))&gt;0)),IF(BM163="",TRUE,IF(input_context="",FALSE,SUMPRODUCT(--ISNUMBER(SEARCH(","&amp;TRIM(TEXTSPLIT(BM163,","))&amp;",",","&amp;SUBSTITUTE(input_context," ","")&amp;",")))=COUNTA(TEXTSPLIT(BM163,",")))),IF(BO163="",TRUE,IF(input_context="",TRUE,SUMPRODUCT(--ISNUMBER(SEARCH(","&amp;TRIM(TEXTSPLIT(BO163,","))&amp;",",","&amp;SUBSTITUTE(input_context," ","")&amp;",")))=0)),IF(BQ163="",TRUE,IF(input_context="",FALSE,SUMPRODUCT(--ISNUMBER(SEARCH(","&amp;TRIM(TEXTSPLIT(BQ163,","))&amp;",",","&amp;SUBSTITUTE(input_context," ","")&amp;",")))&gt;0)),IF(BS163="",TRUE,IF(input_context="",FALSE,SUMPRODUCT(--ISNUMBER(SEARCH(","&amp;TRIM(TEXTSPLIT(BS163,","))&amp;",",","&amp;SUBSTITUTE(input_context," ","")&amp;",")))=COUNTA(TEXTSPLIT(BS163,",")))))</f>
        <v/>
      </c>
      <c r="IZ163">
        <f>AND(IF(BU163="",TRUE,IF(input_enews_announcement_type="",FALSE,SUMPRODUCT(--ISNUMBER(SEARCH(","&amp;TRIM(TEXTSPLIT(BU163,","))&amp;",",","&amp;SUBSTITUTE(input_enews_announcement_type," ","")&amp;",")))&gt;0)),IF(BW163="",TRUE,IF(input_enews_announcement_type="",FALSE,SUMPRODUCT(--ISNUMBER(SEARCH(","&amp;TRIM(TEXTSPLIT(BW163,","))&amp;",",","&amp;SUBSTITUTE(input_enews_announcement_type," ","")&amp;",")))=COUNTA(TEXTSPLIT(BW163,",")))),IF(BY163="",TRUE,IF(input_enews_announcement_type="",TRUE,SUMPRODUCT(--ISNUMBER(SEARCH(","&amp;TRIM(TEXTSPLIT(BY163,","))&amp;",",","&amp;SUBSTITUTE(input_enews_announcement_type," ","")&amp;",")))=0)),IF(CA163="",TRUE,IF(input_enews_announcement_type="",FALSE,SUMPRODUCT(--ISNUMBER(SEARCH(","&amp;TRIM(TEXTSPLIT(CA163,","))&amp;",",","&amp;SUBSTITUTE(input_enews_announcement_type," ","")&amp;",")))&gt;0)),IF(CC163="",TRUE,IF(input_enews_announcement_type="",FALSE,SUMPRODUCT(--ISNUMBER(SEARCH(","&amp;TRIM(TEXTSPLIT(CC163,","))&amp;",",","&amp;SUBSTITUTE(input_enews_announcement_type," ","")&amp;",")))=COUNTA(TEXTSPLIT(CC163,",")))))</f>
        <v/>
      </c>
      <c r="JA163">
        <f>AND(IF(CE163="",TRUE,IF(input_enews_audience="",FALSE,SUMPRODUCT(--ISNUMBER(SEARCH(","&amp;TRIM(TEXTSPLIT(CE163,","))&amp;",",","&amp;SUBSTITUTE(input_enews_audience," ","")&amp;",")))&gt;0)),IF(CG163="",TRUE,IF(input_enews_audience="",FALSE,SUMPRODUCT(--ISNUMBER(SEARCH(","&amp;TRIM(TEXTSPLIT(CG163,","))&amp;",",","&amp;SUBSTITUTE(input_enews_audience," ","")&amp;",")))=COUNTA(TEXTSPLIT(CG163,",")))),IF(CI163="",TRUE,IF(input_enews_audience="",TRUE,SUMPRODUCT(--ISNUMBER(SEARCH(","&amp;TRIM(TEXTSPLIT(CI163,","))&amp;",",","&amp;SUBSTITUTE(input_enews_audience," ","")&amp;",")))=0)),IF(CK163="",TRUE,IF(input_enews_audience="",FALSE,SUMPRODUCT(--ISNUMBER(SEARCH(","&amp;TRIM(TEXTSPLIT(CK163,","))&amp;",",","&amp;SUBSTITUTE(input_enews_audience," ","")&amp;",")))&gt;0)),IF(CM163="",TRUE,IF(input_enews_audience="",FALSE,SUMPRODUCT(--ISNUMBER(SEARCH(","&amp;TRIM(TEXTSPLIT(CM163,","))&amp;",",","&amp;SUBSTITUTE(input_enews_audience," ","")&amp;",")))=COUNTA(TEXTSPLIT(CM163,",")))))</f>
        <v/>
      </c>
      <c r="JB163">
        <f>AND(IF(CO163="",TRUE,IF(input_event_location="",FALSE,SUMPRODUCT(--ISNUMBER(SEARCH(","&amp;TRIM(TEXTSPLIT(CO163,","))&amp;",",","&amp;SUBSTITUTE(input_event_location," ","")&amp;",")))&gt;0)),IF(CQ163="",TRUE,IF(input_event_location="",FALSE,SUMPRODUCT(--ISNUMBER(SEARCH(","&amp;TRIM(TEXTSPLIT(CQ163,","))&amp;",",","&amp;SUBSTITUTE(input_event_location," ","")&amp;",")))=COUNTA(TEXTSPLIT(CQ163,",")))),IF(CS163="",TRUE,IF(input_event_location="",TRUE,SUMPRODUCT(--ISNUMBER(SEARCH(","&amp;TRIM(TEXTSPLIT(CS163,","))&amp;",",","&amp;SUBSTITUTE(input_event_location," ","")&amp;",")))=0)),IF(CU163="",TRUE,IF(input_event_location="",FALSE,SUMPRODUCT(--ISNUMBER(SEARCH(","&amp;TRIM(TEXTSPLIT(CU163,","))&amp;",",","&amp;SUBSTITUTE(input_event_location," ","")&amp;",")))&gt;0)),IF(CW163="",TRUE,IF(input_event_location="",FALSE,SUMPRODUCT(--ISNUMBER(SEARCH(","&amp;TRIM(TEXTSPLIT(CW163,","))&amp;",",","&amp;SUBSTITUTE(input_event_location," ","")&amp;",")))=COUNTA(TEXTSPLIT(CW163,",")))))</f>
        <v/>
      </c>
      <c r="JC163">
        <f>AND(IF(CY163="",TRUE,IF(input_event_type="",FALSE,SUMPRODUCT(--ISNUMBER(SEARCH(","&amp;TRIM(TEXTSPLIT(CY163,","))&amp;",",","&amp;SUBSTITUTE(input_event_type," ","")&amp;",")))&gt;0)),IF(DA163="",TRUE,IF(input_event_type="",FALSE,SUMPRODUCT(--ISNUMBER(SEARCH(","&amp;TRIM(TEXTSPLIT(DA163,","))&amp;",",","&amp;SUBSTITUTE(input_event_type," ","")&amp;",")))=COUNTA(TEXTSPLIT(DA163,",")))),IF(DC163="",TRUE,IF(input_event_type="",TRUE,SUMPRODUCT(--ISNUMBER(SEARCH(","&amp;TRIM(TEXTSPLIT(DC163,","))&amp;",",","&amp;SUBSTITUTE(input_event_type," ","")&amp;",")))=0)),IF(DE163="",TRUE,IF(input_event_type="",FALSE,SUMPRODUCT(--ISNUMBER(SEARCH(","&amp;TRIM(TEXTSPLIT(DE163,","))&amp;",",","&amp;SUBSTITUTE(input_event_type," ","")&amp;",")))&gt;0)),IF(DG163="",TRUE,IF(input_event_type="",FALSE,SUMPRODUCT(--ISNUMBER(SEARCH(","&amp;TRIM(TEXTSPLIT(DG163,","))&amp;",",","&amp;SUBSTITUTE(input_event_type," ","")&amp;",")))=COUNTA(TEXTSPLIT(DG163,",")))))</f>
        <v/>
      </c>
      <c r="JD163">
        <f>AND(IF(DI163="",TRUE,IF(input_executive_education_focus="",FALSE,SUMPRODUCT(--ISNUMBER(SEARCH(","&amp;TRIM(TEXTSPLIT(DI163,","))&amp;",",","&amp;SUBSTITUTE(input_executive_education_focus," ","")&amp;",")))&gt;0)),IF(DK163="",TRUE,IF(input_executive_education_focus="",FALSE,SUMPRODUCT(--ISNUMBER(SEARCH(","&amp;TRIM(TEXTSPLIT(DK163,","))&amp;",",","&amp;SUBSTITUTE(input_executive_education_focus," ","")&amp;",")))=COUNTA(TEXTSPLIT(DK163,",")))),IF(DM163="",TRUE,IF(input_executive_education_focus="",TRUE,SUMPRODUCT(--ISNUMBER(SEARCH(","&amp;TRIM(TEXTSPLIT(DM163,","))&amp;",",","&amp;SUBSTITUTE(input_executive_education_focus," ","")&amp;",")))=0)),IF(DO163="",TRUE,IF(input_executive_education_focus="",FALSE,SUMPRODUCT(--ISNUMBER(SEARCH(","&amp;TRIM(TEXTSPLIT(DO163,","))&amp;",",","&amp;SUBSTITUTE(input_executive_education_focus," ","")&amp;",")))&gt;0)),IF(DQ163="",TRUE,IF(input_executive_education_focus="",FALSE,SUMPRODUCT(--ISNUMBER(SEARCH(","&amp;TRIM(TEXTSPLIT(DQ163,","))&amp;",",","&amp;SUBSTITUTE(input_executive_education_focus," ","")&amp;",")))=COUNTA(TEXTSPLIT(DQ163,",")))))</f>
        <v/>
      </c>
      <c r="JE163">
        <f>AND(IF(DS163="",TRUE,IF(input_faculty_category="",FALSE,SUMPRODUCT(--ISNUMBER(SEARCH(","&amp;TRIM(TEXTSPLIT(DS163,","))&amp;",",","&amp;SUBSTITUTE(input_faculty_category," ","")&amp;",")))&gt;0)),IF(DU163="",TRUE,IF(input_faculty_category="",FALSE,SUMPRODUCT(--ISNUMBER(SEARCH(","&amp;TRIM(TEXTSPLIT(DU163,","))&amp;",",","&amp;SUBSTITUTE(input_faculty_category," ","")&amp;",")))=COUNTA(TEXTSPLIT(DU163,",")))),IF(DW163="",TRUE,IF(input_faculty_category="",TRUE,SUMPRODUCT(--ISNUMBER(SEARCH(","&amp;TRIM(TEXTSPLIT(DW163,","))&amp;",",","&amp;SUBSTITUTE(input_faculty_category," ","")&amp;",")))=0)),IF(DY163="",TRUE,IF(input_faculty_category="",FALSE,SUMPRODUCT(--ISNUMBER(SEARCH(","&amp;TRIM(TEXTSPLIT(DY163,","))&amp;",",","&amp;SUBSTITUTE(input_faculty_category," ","")&amp;",")))&gt;0)),IF(EA163="",TRUE,IF(input_faculty_category="",FALSE,SUMPRODUCT(--ISNUMBER(SEARCH(","&amp;TRIM(TEXTSPLIT(EA163,","))&amp;",",","&amp;SUBSTITUTE(input_faculty_category," ","")&amp;",")))=COUNTA(TEXTSPLIT(EA163,",")))))</f>
        <v/>
      </c>
      <c r="JF163">
        <f>AND(IF(EC163="",TRUE,IF(input_faculty_discipline="",FALSE,SUMPRODUCT(--ISNUMBER(SEARCH(","&amp;TRIM(TEXTSPLIT(EC163,","))&amp;",",","&amp;SUBSTITUTE(input_faculty_discipline," ","")&amp;",")))&gt;0)),IF(EE163="",TRUE,IF(input_faculty_discipline="",FALSE,SUMPRODUCT(--ISNUMBER(SEARCH(","&amp;TRIM(TEXTSPLIT(EE163,","))&amp;",",","&amp;SUBSTITUTE(input_faculty_discipline," ","")&amp;",")))=COUNTA(TEXTSPLIT(EE163,",")))),IF(EG163="",TRUE,IF(input_faculty_discipline="",TRUE,SUMPRODUCT(--ISNUMBER(SEARCH(","&amp;TRIM(TEXTSPLIT(EG163,","))&amp;",",","&amp;SUBSTITUTE(input_faculty_discipline," ","")&amp;",")))=0)),IF(EI163="",TRUE,IF(input_faculty_discipline="",FALSE,SUMPRODUCT(--ISNUMBER(SEARCH(","&amp;TRIM(TEXTSPLIT(EI163,","))&amp;",",","&amp;SUBSTITUTE(input_faculty_discipline," ","")&amp;",")))&gt;0)),IF(EK163="",TRUE,IF(input_faculty_discipline="",FALSE,SUMPRODUCT(--ISNUMBER(SEARCH(","&amp;TRIM(TEXTSPLIT(EK163,","))&amp;",",","&amp;SUBSTITUTE(input_faculty_discipline," ","")&amp;",")))=COUNTA(TEXTSPLIT(EK163,",")))))</f>
        <v/>
      </c>
      <c r="JG163">
        <f>AND(IF(EM163="",TRUE,IF(input_faculty_expertise="",FALSE,SUMPRODUCT(--ISNUMBER(SEARCH(","&amp;TRIM(TEXTSPLIT(EM163,","))&amp;",",","&amp;SUBSTITUTE(input_faculty_expertise," ","")&amp;",")))&gt;0)),IF(EO163="",TRUE,IF(input_faculty_expertise="",FALSE,SUMPRODUCT(--ISNUMBER(SEARCH(","&amp;TRIM(TEXTSPLIT(EO163,","))&amp;",",","&amp;SUBSTITUTE(input_faculty_expertise," ","")&amp;",")))=COUNTA(TEXTSPLIT(EO163,",")))),IF(EQ163="",TRUE,IF(input_faculty_expertise="",TRUE,SUMPRODUCT(--ISNUMBER(SEARCH(","&amp;TRIM(TEXTSPLIT(EQ163,","))&amp;",",","&amp;SUBSTITUTE(input_faculty_expertise," ","")&amp;",")))=0)),IF(ES163="",TRUE,IF(input_faculty_expertise="",FALSE,SUMPRODUCT(--ISNUMBER(SEARCH(","&amp;TRIM(TEXTSPLIT(ES163,","))&amp;",",","&amp;SUBSTITUTE(input_faculty_expertise," ","")&amp;",")))&gt;0)),IF(EU163="",TRUE,IF(input_faculty_expertise="",FALSE,SUMPRODUCT(--ISNUMBER(SEARCH(","&amp;TRIM(TEXTSPLIT(EU163,","))&amp;",",","&amp;SUBSTITUTE(input_faculty_expertise," ","")&amp;",")))=COUNTA(TEXTSPLIT(EU163,",")))))</f>
        <v/>
      </c>
      <c r="JH163">
        <f>AND(IF(EW163="",TRUE,IF(input_global_network_school="",FALSE,SUMPRODUCT(--ISNUMBER(SEARCH(","&amp;TRIM(TEXTSPLIT(EW163,","))&amp;",",","&amp;SUBSTITUTE(input_global_network_school," ","")&amp;",")))&gt;0)),IF(EY163="",TRUE,IF(input_global_network_school="",FALSE,SUMPRODUCT(--ISNUMBER(SEARCH(","&amp;TRIM(TEXTSPLIT(EY163,","))&amp;",",","&amp;SUBSTITUTE(input_global_network_school," ","")&amp;",")))=COUNTA(TEXTSPLIT(EY163,",")))),IF(FA163="",TRUE,IF(input_global_network_school="",TRUE,SUMPRODUCT(--ISNUMBER(SEARCH(","&amp;TRIM(TEXTSPLIT(FA163,","))&amp;",",","&amp;SUBSTITUTE(input_global_network_school," ","")&amp;",")))=0)),IF(FC163="",TRUE,IF(input_global_network_school="",FALSE,SUMPRODUCT(--ISNUMBER(SEARCH(","&amp;TRIM(TEXTSPLIT(FC163,","))&amp;",",","&amp;SUBSTITUTE(input_global_network_school," ","")&amp;",")))&gt;0)),IF(FE163="",TRUE,IF(input_global_network_school="",FALSE,SUMPRODUCT(--ISNUMBER(SEARCH(","&amp;TRIM(TEXTSPLIT(FE163,","))&amp;",",","&amp;SUBSTITUTE(input_global_network_school," ","")&amp;",")))=COUNTA(TEXTSPLIT(FE163,",")))))</f>
        <v/>
      </c>
      <c r="JI163">
        <f>AND(IF(FG163="",TRUE,IF(input_industry="",FALSE,SUMPRODUCT(--ISNUMBER(SEARCH(","&amp;TRIM(TEXTSPLIT(FG163,","))&amp;",",","&amp;SUBSTITUTE(input_industry," ","")&amp;",")))&gt;0)),IF(FI163="",TRUE,IF(input_industry="",FALSE,SUMPRODUCT(--ISNUMBER(SEARCH(","&amp;TRIM(TEXTSPLIT(FI163,","))&amp;",",","&amp;SUBSTITUTE(input_industry," ","")&amp;",")))=COUNTA(TEXTSPLIT(FI163,",")))),IF(FK163="",TRUE,IF(input_industry="",TRUE,SUMPRODUCT(--ISNUMBER(SEARCH(","&amp;TRIM(TEXTSPLIT(FK163,","))&amp;",",","&amp;SUBSTITUTE(input_industry," ","")&amp;",")))=0)),IF(FM163="",TRUE,IF(input_industry="",FALSE,SUMPRODUCT(--ISNUMBER(SEARCH(","&amp;TRIM(TEXTSPLIT(FM163,","))&amp;",",","&amp;SUBSTITUTE(input_industry," ","")&amp;",")))&gt;0)),IF(FO163="",TRUE,IF(input_industry="",FALSE,SUMPRODUCT(--ISNUMBER(SEARCH(","&amp;TRIM(TEXTSPLIT(FO163,","))&amp;",",","&amp;SUBSTITUTE(input_industry," ","")&amp;",")))=COUNTA(TEXTSPLIT(FO163,",")))))</f>
        <v/>
      </c>
      <c r="JJ163">
        <f>AND(IF(FQ163="",TRUE,IF(input_location="",FALSE,SUMPRODUCT(--ISNUMBER(SEARCH(","&amp;TRIM(TEXTSPLIT(FQ163,","))&amp;",",","&amp;SUBSTITUTE(input_location," ","")&amp;",")))&gt;0)),IF(FS163="",TRUE,IF(input_location="",FALSE,SUMPRODUCT(--ISNUMBER(SEARCH(","&amp;TRIM(TEXTSPLIT(FS163,","))&amp;",",","&amp;SUBSTITUTE(input_location," ","")&amp;",")))=COUNTA(TEXTSPLIT(FS163,",")))),IF(FU163="",TRUE,IF(input_location="",TRUE,SUMPRODUCT(--ISNUMBER(SEARCH(","&amp;TRIM(TEXTSPLIT(FU163,","))&amp;",",","&amp;SUBSTITUTE(input_location," ","")&amp;",")))=0)),IF(FW163="",TRUE,IF(input_location="",FALSE,SUMPRODUCT(--ISNUMBER(SEARCH(","&amp;TRIM(TEXTSPLIT(FW163,","))&amp;",",","&amp;SUBSTITUTE(input_location," ","")&amp;",")))&gt;0)),IF(FY163="",TRUE,IF(input_location="",FALSE,SUMPRODUCT(--ISNUMBER(SEARCH(","&amp;TRIM(TEXTSPLIT(FY163,","))&amp;",",","&amp;SUBSTITUTE(input_location," ","")&amp;",")))=COUNTA(TEXTSPLIT(FY163,",")))))</f>
        <v/>
      </c>
      <c r="JK163">
        <f>AND(IF(GA163="",TRUE,IF(input_modality="",FALSE,SUMPRODUCT(--ISNUMBER(SEARCH(","&amp;TRIM(TEXTSPLIT(GA163,","))&amp;",",","&amp;SUBSTITUTE(input_modality," ","")&amp;",")))&gt;0)),IF(GC163="",TRUE,IF(input_modality="",FALSE,SUMPRODUCT(--ISNUMBER(SEARCH(","&amp;TRIM(TEXTSPLIT(GC163,","))&amp;",",","&amp;SUBSTITUTE(input_modality," ","")&amp;",")))=COUNTA(TEXTSPLIT(GC163,",")))),IF(GE163="",TRUE,IF(input_modality="",TRUE,SUMPRODUCT(--ISNUMBER(SEARCH(","&amp;TRIM(TEXTSPLIT(GE163,","))&amp;",",","&amp;SUBSTITUTE(input_modality," ","")&amp;",")))=0)),IF(GG163="",TRUE,IF(input_modality="",FALSE,SUMPRODUCT(--ISNUMBER(SEARCH(","&amp;TRIM(TEXTSPLIT(GG163,","))&amp;",",","&amp;SUBSTITUTE(input_modality," ","")&amp;",")))&gt;0)),IF(GI163="",TRUE,IF(input_modality="",FALSE,SUMPRODUCT(--ISNUMBER(SEARCH(","&amp;TRIM(TEXTSPLIT(GI163,","))&amp;",",","&amp;SUBSTITUTE(input_modality," ","")&amp;",")))=COUNTA(TEXTSPLIT(GI163,",")))))</f>
        <v/>
      </c>
      <c r="JL163">
        <f>AND(IF(GK163="",TRUE,IF(input_organizer="",FALSE,SUMPRODUCT(--ISNUMBER(SEARCH(","&amp;TRIM(TEXTSPLIT(GK163,","))&amp;",",","&amp;SUBSTITUTE(input_organizer," ","")&amp;",")))&gt;0)),IF(GM163="",TRUE,IF(input_organizer="",FALSE,SUMPRODUCT(--ISNUMBER(SEARCH(","&amp;TRIM(TEXTSPLIT(GM163,","))&amp;",",","&amp;SUBSTITUTE(input_organizer," ","")&amp;",")))=COUNTA(TEXTSPLIT(GM163,",")))),IF(GO163="",TRUE,IF(input_organizer="",TRUE,SUMPRODUCT(--ISNUMBER(SEARCH(","&amp;TRIM(TEXTSPLIT(GO163,","))&amp;",",","&amp;SUBSTITUTE(input_organizer," ","")&amp;",")))=0)),IF(GQ163="",TRUE,IF(input_organizer="",FALSE,SUMPRODUCT(--ISNUMBER(SEARCH(","&amp;TRIM(TEXTSPLIT(GQ163,","))&amp;",",","&amp;SUBSTITUTE(input_organizer," ","")&amp;",")))&gt;0)),IF(GS163="",TRUE,IF(input_organizer="",FALSE,SUMPRODUCT(--ISNUMBER(SEARCH(","&amp;TRIM(TEXTSPLIT(GS163,","))&amp;",",","&amp;SUBSTITUTE(input_organizer," ","")&amp;",")))=COUNTA(TEXTSPLIT(GS163,",")))))</f>
        <v/>
      </c>
      <c r="JM163">
        <f>AND(IF(GU163="",TRUE,IF(input_profile_type="",FALSE,SUMPRODUCT(--ISNUMBER(SEARCH(","&amp;TRIM(TEXTSPLIT(GU163,","))&amp;",",","&amp;SUBSTITUTE(input_profile_type," ","")&amp;",")))&gt;0)),IF(GW163="",TRUE,IF(input_profile_type="",FALSE,SUMPRODUCT(--ISNUMBER(SEARCH(","&amp;TRIM(TEXTSPLIT(GW163,","))&amp;",",","&amp;SUBSTITUTE(input_profile_type," ","")&amp;",")))=COUNTA(TEXTSPLIT(GW163,",")))),IF(GY163="",TRUE,IF(input_profile_type="",TRUE,SUMPRODUCT(--ISNUMBER(SEARCH(","&amp;TRIM(TEXTSPLIT(GY163,","))&amp;",",","&amp;SUBSTITUTE(input_profile_type," ","")&amp;",")))=0)),IF(HA163="",TRUE,IF(input_profile_type="",FALSE,SUMPRODUCT(--ISNUMBER(SEARCH(","&amp;TRIM(TEXTSPLIT(HA163,","))&amp;",",","&amp;SUBSTITUTE(input_profile_type," ","")&amp;",")))&gt;0)),IF(HC163="",TRUE,IF(input_profile_type="",FALSE,SUMPRODUCT(--ISNUMBER(SEARCH(","&amp;TRIM(TEXTSPLIT(HC163,","))&amp;",",","&amp;SUBSTITUTE(input_profile_type," ","")&amp;",")))=COUNTA(TEXTSPLIT(HC163,",")))))</f>
        <v/>
      </c>
      <c r="JN163">
        <f>AND(IF(HE163="",TRUE,IF(input_program="",FALSE,SUMPRODUCT(--ISNUMBER(SEARCH(","&amp;TRIM(TEXTSPLIT(HE163,","))&amp;",",","&amp;SUBSTITUTE(input_program," ","")&amp;",")))&gt;0)),IF(HG163="",TRUE,IF(input_program="",FALSE,SUMPRODUCT(--ISNUMBER(SEARCH(","&amp;TRIM(TEXTSPLIT(HG163,","))&amp;",",","&amp;SUBSTITUTE(input_program," ","")&amp;",")))=COUNTA(TEXTSPLIT(HG163,",")))),IF(HI163="",TRUE,IF(input_program="",TRUE,SUMPRODUCT(--ISNUMBER(SEARCH(","&amp;TRIM(TEXTSPLIT(HI163,","))&amp;",",","&amp;SUBSTITUTE(input_program," ","")&amp;",")))=0)),IF(HK163="",TRUE,IF(input_program="",FALSE,SUMPRODUCT(--ISNUMBER(SEARCH(","&amp;TRIM(TEXTSPLIT(HK163,","))&amp;",",","&amp;SUBSTITUTE(input_program," ","")&amp;",")))&gt;0)),IF(HM163="",TRUE,IF(input_program="",FALSE,SUMPRODUCT(--ISNUMBER(SEARCH(","&amp;TRIM(TEXTSPLIT(HM163,","))&amp;",",","&amp;SUBSTITUTE(input_program," ","")&amp;",")))=COUNTA(TEXTSPLIT(HM163,",")))))</f>
        <v/>
      </c>
      <c r="JO163">
        <f>AND(IF(HO163="",TRUE,IF(input_story_categories="",FALSE,SUMPRODUCT(--ISNUMBER(SEARCH(","&amp;TRIM(TEXTSPLIT(HO163,","))&amp;",",","&amp;SUBSTITUTE(input_story_categories," ","")&amp;",")))&gt;0)),IF(HQ163="",TRUE,IF(input_story_categories="",FALSE,SUMPRODUCT(--ISNUMBER(SEARCH(","&amp;TRIM(TEXTSPLIT(HQ163,","))&amp;",",","&amp;SUBSTITUTE(input_story_categories," ","")&amp;",")))=COUNTA(TEXTSPLIT(HQ163,",")))),IF(HS163="",TRUE,IF(input_story_categories="",TRUE,SUMPRODUCT(--ISNUMBER(SEARCH(","&amp;TRIM(TEXTSPLIT(HS163,","))&amp;",",","&amp;SUBSTITUTE(input_story_categories," ","")&amp;",")))=0)),IF(HU163="",TRUE,IF(input_story_categories="",FALSE,SUMPRODUCT(--ISNUMBER(SEARCH(","&amp;TRIM(TEXTSPLIT(HU163,","))&amp;",",","&amp;SUBSTITUTE(input_story_categories," ","")&amp;",")))&gt;0)),IF(HW163="",TRUE,IF(input_story_categories="",FALSE,SUMPRODUCT(--ISNUMBER(SEARCH(","&amp;TRIM(TEXTSPLIT(HW163,","))&amp;",",","&amp;SUBSTITUTE(input_story_categories," ","")&amp;",")))=COUNTA(TEXTSPLIT(HW163,",")))))</f>
        <v/>
      </c>
      <c r="JP163">
        <f>AND(IF(HY163="",TRUE,IF(input_story_type="",FALSE,SUMPRODUCT(--ISNUMBER(SEARCH(","&amp;TRIM(TEXTSPLIT(HY163,","))&amp;",",","&amp;SUBSTITUTE(input_story_type," ","")&amp;",")))&gt;0)),IF(IA163="",TRUE,IF(input_story_type="",FALSE,SUMPRODUCT(--ISNUMBER(SEARCH(","&amp;TRIM(TEXTSPLIT(IA163,","))&amp;",",","&amp;SUBSTITUTE(input_story_type," ","")&amp;",")))=COUNTA(TEXTSPLIT(IA163,",")))),IF(IC163="",TRUE,IF(input_story_type="",TRUE,SUMPRODUCT(--ISNUMBER(SEARCH(","&amp;TRIM(TEXTSPLIT(IC163,","))&amp;",",","&amp;SUBSTITUTE(input_story_type," ","")&amp;",")))=0)),IF(IE163="",TRUE,IF(input_story_type="",FALSE,SUMPRODUCT(--ISNUMBER(SEARCH(","&amp;TRIM(TEXTSPLIT(IE163,","))&amp;",",","&amp;SUBSTITUTE(input_story_type," ","")&amp;",")))&gt;0)),IF(IG163="",TRUE,IF(input_story_type="",FALSE,SUMPRODUCT(--ISNUMBER(SEARCH(","&amp;TRIM(TEXTSPLIT(IG163,","))&amp;",",","&amp;SUBSTITUTE(input_story_type," ","")&amp;",")))=COUNTA(TEXTSPLIT(IG163,",")))))</f>
        <v/>
      </c>
      <c r="JQ163">
        <f>AND(IF(II163="",TRUE,IF(input_topics="",FALSE,SUMPRODUCT(--ISNUMBER(SEARCH(","&amp;TRIM(TEXTSPLIT(II163,","))&amp;",",","&amp;SUBSTITUTE(input_topics," ","")&amp;",")))&gt;0)),IF(IK163="",TRUE,IF(input_topics="",FALSE,SUMPRODUCT(--ISNUMBER(SEARCH(","&amp;TRIM(TEXTSPLIT(IK163,","))&amp;",",","&amp;SUBSTITUTE(input_topics," ","")&amp;",")))=COUNTA(TEXTSPLIT(IK163,",")))),IF(IM163="",TRUE,IF(input_topics="",TRUE,SUMPRODUCT(--ISNUMBER(SEARCH(","&amp;TRIM(TEXTSPLIT(IM163,","))&amp;",",","&amp;SUBSTITUTE(input_topics," ","")&amp;",")))=0)),IF(IO163="",TRUE,IF(input_topics="",FALSE,SUMPRODUCT(--ISNUMBER(SEARCH(","&amp;TRIM(TEXTSPLIT(IO163,","))&amp;",",","&amp;SUBSTITUTE(input_topics," ","")&amp;",")))&gt;0)),IF(IQ163="",TRUE,IF(input_topics="",FALSE,SUMPRODUCT(--ISNUMBER(SEARCH(","&amp;TRIM(TEXTSPLIT(IQ163,","))&amp;",",","&amp;SUBSTITUTE(input_topics," ","")&amp;",")))=COUNTA(TEXTSPLIT(IQ163,",")))))</f>
        <v/>
      </c>
    </row>
    <row r="164">
      <c r="A164" s="4">
        <f>IF(NOT(IS164),"Excluded",IF(AND(IT164,IU164,IV164,IW164,IX164,IY164,IZ164,JA164,JB164,JC164,JD164,JE164,JF164,JG164,JH164,JI164,JJ164,JK164,JL164,JM164,JN164,JO164,JP164,JQ164),IF(I164&gt;0,"Eligible but limited","Will appear"),"Excluded"))</f>
        <v/>
      </c>
      <c r="B164" s="4" t="inlineStr">
        <is>
          <t>Related profiles on profile pages</t>
        </is>
      </c>
      <c r="C164" s="4" t="inlineStr">
        <is>
          <t>/profile/amy-romano-15</t>
        </is>
      </c>
      <c r="D164" s="4" t="inlineStr">
        <is>
          <t>/profile/amy-romano-15
/profile/jenny-chan-18
/profile/nicolas-encina-10</t>
        </is>
      </c>
      <c r="E164" s="4" t="n">
        <v>4</v>
      </c>
      <c r="F164" s="4" t="inlineStr">
        <is>
          <t>profile</t>
        </is>
      </c>
      <c r="G164" s="4" t="inlineStr">
        <is>
          <t>profiles_grid</t>
        </is>
      </c>
      <c r="H164" s="4" t="inlineStr">
        <is>
          <t>related</t>
        </is>
      </c>
      <c r="I164" s="4" t="n">
        <v>3</v>
      </c>
      <c r="J164" s="4" t="inlineStr">
        <is>
          <t>Explicit args</t>
        </is>
      </c>
      <c r="K164" s="4" t="inlineStr">
        <is>
          <t>Grouped surface</t>
        </is>
      </c>
      <c r="L164" s="4" t="inlineStr">
        <is>
          <t>Content type: profile; Context uses Profile Type: Alumni (1549); Context uses Program: MBA for Executives (80); Limited to 3 item(s); Source: Explicit args</t>
        </is>
      </c>
      <c r="M164" t="inlineStr"/>
      <c r="N164" t="inlineStr"/>
      <c r="O164" t="inlineStr"/>
      <c r="P164" t="inlineStr"/>
      <c r="Q164" t="inlineStr"/>
      <c r="R164" t="inlineStr"/>
      <c r="S164" t="inlineStr"/>
      <c r="T164" t="inlineStr"/>
      <c r="U164" t="inlineStr"/>
      <c r="V164" t="inlineStr"/>
      <c r="W164" t="inlineStr"/>
      <c r="X164" t="inlineStr"/>
      <c r="Y164" t="inlineStr"/>
      <c r="Z164" t="inlineStr"/>
      <c r="AA164" t="inlineStr"/>
      <c r="AB164" t="inlineStr"/>
      <c r="AC164" t="inlineStr"/>
      <c r="AD164" t="inlineStr"/>
      <c r="AE164" t="inlineStr"/>
      <c r="AF164" t="inlineStr"/>
      <c r="AG164" t="inlineStr"/>
      <c r="AH164" t="inlineStr"/>
      <c r="AI164" t="inlineStr"/>
      <c r="AJ164" t="inlineStr"/>
      <c r="AK164" t="inlineStr"/>
      <c r="AL164" t="inlineStr"/>
      <c r="AM164" t="inlineStr"/>
      <c r="AN164" t="inlineStr"/>
      <c r="AO164" t="inlineStr"/>
      <c r="AP164" t="inlineStr"/>
      <c r="AQ164" t="inlineStr"/>
      <c r="AR164" t="inlineStr"/>
      <c r="AS164" t="inlineStr"/>
      <c r="AT164" t="inlineStr"/>
      <c r="AU164" t="inlineStr"/>
      <c r="AV164" t="inlineStr"/>
      <c r="AW164" t="inlineStr"/>
      <c r="AX164" t="inlineStr"/>
      <c r="AY164" t="inlineStr"/>
      <c r="AZ164" t="inlineStr"/>
      <c r="BA164" t="inlineStr"/>
      <c r="BB164" t="inlineStr"/>
      <c r="BC164" t="inlineStr"/>
      <c r="BD164" t="inlineStr"/>
      <c r="BE164" t="inlineStr"/>
      <c r="BF164" t="inlineStr"/>
      <c r="BG164" t="inlineStr"/>
      <c r="BH164" t="inlineStr"/>
      <c r="BI164" t="inlineStr"/>
      <c r="BJ164" t="inlineStr"/>
      <c r="BK164" t="inlineStr"/>
      <c r="BL164" t="inlineStr"/>
      <c r="BM164" t="inlineStr"/>
      <c r="BN164" t="inlineStr"/>
      <c r="BO164" t="inlineStr"/>
      <c r="BP164" t="inlineStr"/>
      <c r="BQ164" t="inlineStr"/>
      <c r="BR164" t="inlineStr"/>
      <c r="BS164" t="inlineStr"/>
      <c r="BT164" t="inlineStr"/>
      <c r="BU164" t="inlineStr"/>
      <c r="BV164" t="inlineStr"/>
      <c r="BW164" t="inlineStr"/>
      <c r="BX164" t="inlineStr"/>
      <c r="BY164" t="inlineStr"/>
      <c r="BZ164" t="inlineStr"/>
      <c r="CA164" t="inlineStr"/>
      <c r="CB164" t="inlineStr"/>
      <c r="CC164" t="inlineStr"/>
      <c r="CD164" t="inlineStr"/>
      <c r="CE164" t="inlineStr"/>
      <c r="CF164" t="inlineStr"/>
      <c r="CG164" t="inlineStr"/>
      <c r="CH164" t="inlineStr"/>
      <c r="CI164" t="inlineStr"/>
      <c r="CJ164" t="inlineStr"/>
      <c r="CK164" t="inlineStr"/>
      <c r="CL164" t="inlineStr"/>
      <c r="CM164" t="inlineStr"/>
      <c r="CN164" t="inlineStr"/>
      <c r="CO164" t="inlineStr"/>
      <c r="CP164" t="inlineStr"/>
      <c r="CQ164" t="inlineStr"/>
      <c r="CR164" t="inlineStr"/>
      <c r="CS164" t="inlineStr"/>
      <c r="CT164" t="inlineStr"/>
      <c r="CU164" t="inlineStr"/>
      <c r="CV164" t="inlineStr"/>
      <c r="CW164" t="inlineStr"/>
      <c r="CX164" t="inlineStr"/>
      <c r="CY164" t="inlineStr"/>
      <c r="CZ164" t="inlineStr"/>
      <c r="DA164" t="inlineStr"/>
      <c r="DB164" t="inlineStr"/>
      <c r="DC164" t="inlineStr"/>
      <c r="DD164" t="inlineStr"/>
      <c r="DE164" t="inlineStr"/>
      <c r="DF164" t="inlineStr"/>
      <c r="DG164" t="inlineStr"/>
      <c r="DH164" t="inlineStr"/>
      <c r="DI164" t="inlineStr"/>
      <c r="DJ164" t="inlineStr"/>
      <c r="DK164" t="inlineStr"/>
      <c r="DL164" t="inlineStr"/>
      <c r="DM164" t="inlineStr"/>
      <c r="DN164" t="inlineStr"/>
      <c r="DO164" t="inlineStr"/>
      <c r="DP164" t="inlineStr"/>
      <c r="DQ164" t="inlineStr"/>
      <c r="DR164" t="inlineStr"/>
      <c r="DS164" t="inlineStr"/>
      <c r="DT164" t="inlineStr"/>
      <c r="DU164" t="inlineStr"/>
      <c r="DV164" t="inlineStr"/>
      <c r="DW164" t="inlineStr"/>
      <c r="DX164" t="inlineStr"/>
      <c r="DY164" t="inlineStr"/>
      <c r="DZ164" t="inlineStr"/>
      <c r="EA164" t="inlineStr"/>
      <c r="EB164" t="inlineStr"/>
      <c r="EC164" t="inlineStr"/>
      <c r="ED164" t="inlineStr"/>
      <c r="EE164" t="inlineStr"/>
      <c r="EF164" t="inlineStr"/>
      <c r="EG164" t="inlineStr"/>
      <c r="EH164" t="inlineStr"/>
      <c r="EI164" t="inlineStr"/>
      <c r="EJ164" t="inlineStr"/>
      <c r="EK164" t="inlineStr"/>
      <c r="EL164" t="inlineStr"/>
      <c r="EM164" t="inlineStr"/>
      <c r="EN164" t="inlineStr"/>
      <c r="EO164" t="inlineStr"/>
      <c r="EP164" t="inlineStr"/>
      <c r="EQ164" t="inlineStr"/>
      <c r="ER164" t="inlineStr"/>
      <c r="ES164" t="inlineStr"/>
      <c r="ET164" t="inlineStr"/>
      <c r="EU164" t="inlineStr"/>
      <c r="EV164" t="inlineStr"/>
      <c r="EW164" t="inlineStr"/>
      <c r="EX164" t="inlineStr"/>
      <c r="EY164" t="inlineStr"/>
      <c r="EZ164" t="inlineStr"/>
      <c r="FA164" t="inlineStr"/>
      <c r="FB164" t="inlineStr"/>
      <c r="FC164" t="inlineStr"/>
      <c r="FD164" t="inlineStr"/>
      <c r="FE164" t="inlineStr"/>
      <c r="FF164" t="inlineStr"/>
      <c r="FG164" t="inlineStr"/>
      <c r="FH164" t="inlineStr"/>
      <c r="FI164" t="inlineStr"/>
      <c r="FJ164" t="inlineStr"/>
      <c r="FK164" t="inlineStr"/>
      <c r="FL164" t="inlineStr"/>
      <c r="FM164" t="inlineStr"/>
      <c r="FN164" t="inlineStr"/>
      <c r="FO164" t="inlineStr"/>
      <c r="FP164" t="inlineStr"/>
      <c r="FQ164" t="inlineStr"/>
      <c r="FR164" t="inlineStr"/>
      <c r="FS164" t="inlineStr"/>
      <c r="FT164" t="inlineStr"/>
      <c r="FU164" t="inlineStr"/>
      <c r="FV164" t="inlineStr"/>
      <c r="FW164" t="inlineStr"/>
      <c r="FX164" t="inlineStr"/>
      <c r="FY164" t="inlineStr"/>
      <c r="FZ164" t="inlineStr"/>
      <c r="GA164" t="inlineStr"/>
      <c r="GB164" t="inlineStr"/>
      <c r="GC164" t="inlineStr"/>
      <c r="GD164" t="inlineStr"/>
      <c r="GE164" t="inlineStr"/>
      <c r="GF164" t="inlineStr"/>
      <c r="GG164" t="inlineStr"/>
      <c r="GH164" t="inlineStr"/>
      <c r="GI164" t="inlineStr"/>
      <c r="GJ164" t="inlineStr"/>
      <c r="GK164" t="inlineStr"/>
      <c r="GL164" t="inlineStr"/>
      <c r="GM164" t="inlineStr"/>
      <c r="GN164" t="inlineStr"/>
      <c r="GO164" t="inlineStr"/>
      <c r="GP164" t="inlineStr"/>
      <c r="GQ164" t="inlineStr"/>
      <c r="GR164" t="inlineStr"/>
      <c r="GS164" t="inlineStr"/>
      <c r="GT164" t="inlineStr"/>
      <c r="GU164" t="inlineStr"/>
      <c r="GV164" t="inlineStr"/>
      <c r="GW164" t="inlineStr"/>
      <c r="GX164" t="inlineStr"/>
      <c r="GY164" t="inlineStr"/>
      <c r="GZ164" t="inlineStr"/>
      <c r="HA164" t="inlineStr">
        <is>
          <t>1549</t>
        </is>
      </c>
      <c r="HB164" t="inlineStr">
        <is>
          <t>Alumni (1549)</t>
        </is>
      </c>
      <c r="HC164" t="inlineStr"/>
      <c r="HD164" t="inlineStr"/>
      <c r="HE164" t="inlineStr"/>
      <c r="HF164" t="inlineStr"/>
      <c r="HG164" t="inlineStr"/>
      <c r="HH164" t="inlineStr"/>
      <c r="HI164" t="inlineStr"/>
      <c r="HJ164" t="inlineStr"/>
      <c r="HK164" t="inlineStr">
        <is>
          <t>80</t>
        </is>
      </c>
      <c r="HL164" t="inlineStr">
        <is>
          <t>MBA for Executives (80)</t>
        </is>
      </c>
      <c r="HM164" t="inlineStr"/>
      <c r="HN164" t="inlineStr"/>
      <c r="HO164" t="inlineStr"/>
      <c r="HP164" t="inlineStr"/>
      <c r="HQ164" t="inlineStr"/>
      <c r="HR164" t="inlineStr"/>
      <c r="HS164" t="inlineStr"/>
      <c r="HT164" t="inlineStr"/>
      <c r="HU164" t="inlineStr"/>
      <c r="HV164" t="inlineStr"/>
      <c r="HW164" t="inlineStr"/>
      <c r="HX164" t="inlineStr"/>
      <c r="HY164" t="inlineStr"/>
      <c r="HZ164" t="inlineStr"/>
      <c r="IA164" t="inlineStr"/>
      <c r="IB164" t="inlineStr"/>
      <c r="IC164" t="inlineStr"/>
      <c r="ID164" t="inlineStr"/>
      <c r="IE164" t="inlineStr"/>
      <c r="IF164" t="inlineStr"/>
      <c r="IG164" t="inlineStr"/>
      <c r="IH164" t="inlineStr"/>
      <c r="II164" t="inlineStr"/>
      <c r="IJ164" t="inlineStr"/>
      <c r="IK164" t="inlineStr"/>
      <c r="IL164" t="inlineStr"/>
      <c r="IM164" t="inlineStr"/>
      <c r="IN164" t="inlineStr"/>
      <c r="IO164" t="inlineStr"/>
      <c r="IP164" t="inlineStr"/>
      <c r="IQ164" t="inlineStr"/>
      <c r="IR164" t="inlineStr"/>
      <c r="IS164">
        <f>IF(input_content_type="",FALSE,ISNUMBER(SEARCH(","&amp;LOWER(input_content_type)&amp;",",","&amp;LOWER(F164)&amp;",")))</f>
        <v/>
      </c>
      <c r="IT164">
        <f>AND(IF(M164="",TRUE,IF(input_affiliations="",FALSE,SUMPRODUCT(--ISNUMBER(SEARCH(","&amp;TRIM(TEXTSPLIT(M164,","))&amp;",",","&amp;SUBSTITUTE(input_affiliations," ","")&amp;",")))&gt;0)),IF(O164="",TRUE,IF(input_affiliations="",FALSE,SUMPRODUCT(--ISNUMBER(SEARCH(","&amp;TRIM(TEXTSPLIT(O164,","))&amp;",",","&amp;SUBSTITUTE(input_affiliations," ","")&amp;",")))=COUNTA(TEXTSPLIT(O164,",")))),IF(Q164="",TRUE,IF(input_affiliations="",TRUE,SUMPRODUCT(--ISNUMBER(SEARCH(","&amp;TRIM(TEXTSPLIT(Q164,","))&amp;",",","&amp;SUBSTITUTE(input_affiliations," ","")&amp;",")))=0)),IF(S164="",TRUE,IF(input_affiliations="",FALSE,SUMPRODUCT(--ISNUMBER(SEARCH(","&amp;TRIM(TEXTSPLIT(S164,","))&amp;",",","&amp;SUBSTITUTE(input_affiliations," ","")&amp;",")))&gt;0)),IF(U164="",TRUE,IF(input_affiliations="",FALSE,SUMPRODUCT(--ISNUMBER(SEARCH(","&amp;TRIM(TEXTSPLIT(U164,","))&amp;",",","&amp;SUBSTITUTE(input_affiliations," ","")&amp;",")))=COUNTA(TEXTSPLIT(U164,",")))))</f>
        <v/>
      </c>
      <c r="IU164">
        <f>AND(IF(W164="",TRUE,IF(input_announcement_category="",FALSE,SUMPRODUCT(--ISNUMBER(SEARCH(","&amp;TRIM(TEXTSPLIT(W164,","))&amp;",",","&amp;SUBSTITUTE(input_announcement_category," ","")&amp;",")))&gt;0)),IF(Y164="",TRUE,IF(input_announcement_category="",FALSE,SUMPRODUCT(--ISNUMBER(SEARCH(","&amp;TRIM(TEXTSPLIT(Y164,","))&amp;",",","&amp;SUBSTITUTE(input_announcement_category," ","")&amp;",")))=COUNTA(TEXTSPLIT(Y164,",")))),IF(AA164="",TRUE,IF(input_announcement_category="",TRUE,SUMPRODUCT(--ISNUMBER(SEARCH(","&amp;TRIM(TEXTSPLIT(AA164,","))&amp;",",","&amp;SUBSTITUTE(input_announcement_category," ","")&amp;",")))=0)),IF(AC164="",TRUE,IF(input_announcement_category="",FALSE,SUMPRODUCT(--ISNUMBER(SEARCH(","&amp;TRIM(TEXTSPLIT(AC164,","))&amp;",",","&amp;SUBSTITUTE(input_announcement_category," ","")&amp;",")))&gt;0)),IF(AE164="",TRUE,IF(input_announcement_category="",FALSE,SUMPRODUCT(--ISNUMBER(SEARCH(","&amp;TRIM(TEXTSPLIT(AE164,","))&amp;",",","&amp;SUBSTITUTE(input_announcement_category," ","")&amp;",")))=COUNTA(TEXTSPLIT(AE164,",")))))</f>
        <v/>
      </c>
      <c r="IV164">
        <f>AND(IF(AG164="",TRUE,IF(input_area_of_focus="",FALSE,SUMPRODUCT(--ISNUMBER(SEARCH(","&amp;TRIM(TEXTSPLIT(AG164,","))&amp;",",","&amp;SUBSTITUTE(input_area_of_focus," ","")&amp;",")))&gt;0)),IF(AI164="",TRUE,IF(input_area_of_focus="",FALSE,SUMPRODUCT(--ISNUMBER(SEARCH(","&amp;TRIM(TEXTSPLIT(AI164,","))&amp;",",","&amp;SUBSTITUTE(input_area_of_focus," ","")&amp;",")))=COUNTA(TEXTSPLIT(AI164,",")))),IF(AK164="",TRUE,IF(input_area_of_focus="",TRUE,SUMPRODUCT(--ISNUMBER(SEARCH(","&amp;TRIM(TEXTSPLIT(AK164,","))&amp;",",","&amp;SUBSTITUTE(input_area_of_focus," ","")&amp;",")))=0)),IF(AM164="",TRUE,IF(input_area_of_focus="",FALSE,SUMPRODUCT(--ISNUMBER(SEARCH(","&amp;TRIM(TEXTSPLIT(AM164,","))&amp;",",","&amp;SUBSTITUTE(input_area_of_focus," ","")&amp;",")))&gt;0)),IF(AO164="",TRUE,IF(input_area_of_focus="",FALSE,SUMPRODUCT(--ISNUMBER(SEARCH(","&amp;TRIM(TEXTSPLIT(AO164,","))&amp;",",","&amp;SUBSTITUTE(input_area_of_focus," ","")&amp;",")))=COUNTA(TEXTSPLIT(AO164,",")))))</f>
        <v/>
      </c>
      <c r="IW164">
        <f>AND(IF(AQ164="",TRUE,IF(input_audience="",FALSE,SUMPRODUCT(--ISNUMBER(SEARCH(","&amp;TRIM(TEXTSPLIT(AQ164,","))&amp;",",","&amp;SUBSTITUTE(input_audience," ","")&amp;",")))&gt;0)),IF(AS164="",TRUE,IF(input_audience="",FALSE,SUMPRODUCT(--ISNUMBER(SEARCH(","&amp;TRIM(TEXTSPLIT(AS164,","))&amp;",",","&amp;SUBSTITUTE(input_audience," ","")&amp;",")))=COUNTA(TEXTSPLIT(AS164,",")))),IF(AU164="",TRUE,IF(input_audience="",TRUE,SUMPRODUCT(--ISNUMBER(SEARCH(","&amp;TRIM(TEXTSPLIT(AU164,","))&amp;",",","&amp;SUBSTITUTE(input_audience," ","")&amp;",")))=0)),IF(AW164="",TRUE,IF(input_audience="",FALSE,SUMPRODUCT(--ISNUMBER(SEARCH(","&amp;TRIM(TEXTSPLIT(AW164,","))&amp;",",","&amp;SUBSTITUTE(input_audience," ","")&amp;",")))&gt;0)),IF(AY164="",TRUE,IF(input_audience="",FALSE,SUMPRODUCT(--ISNUMBER(SEARCH(","&amp;TRIM(TEXTSPLIT(AY164,","))&amp;",",","&amp;SUBSTITUTE(input_audience," ","")&amp;",")))=COUNTA(TEXTSPLIT(AY164,",")))))</f>
        <v/>
      </c>
      <c r="IX164">
        <f>AND(IF(BA164="",TRUE,IF(input_challenge_opportunities="",FALSE,SUMPRODUCT(--ISNUMBER(SEARCH(","&amp;TRIM(TEXTSPLIT(BA164,","))&amp;",",","&amp;SUBSTITUTE(input_challenge_opportunities," ","")&amp;",")))&gt;0)),IF(BC164="",TRUE,IF(input_challenge_opportunities="",FALSE,SUMPRODUCT(--ISNUMBER(SEARCH(","&amp;TRIM(TEXTSPLIT(BC164,","))&amp;",",","&amp;SUBSTITUTE(input_challenge_opportunities," ","")&amp;",")))=COUNTA(TEXTSPLIT(BC164,",")))),IF(BE164="",TRUE,IF(input_challenge_opportunities="",TRUE,SUMPRODUCT(--ISNUMBER(SEARCH(","&amp;TRIM(TEXTSPLIT(BE164,","))&amp;",",","&amp;SUBSTITUTE(input_challenge_opportunities," ","")&amp;",")))=0)),IF(BG164="",TRUE,IF(input_challenge_opportunities="",FALSE,SUMPRODUCT(--ISNUMBER(SEARCH(","&amp;TRIM(TEXTSPLIT(BG164,","))&amp;",",","&amp;SUBSTITUTE(input_challenge_opportunities," ","")&amp;",")))&gt;0)),IF(BI164="",TRUE,IF(input_challenge_opportunities="",FALSE,SUMPRODUCT(--ISNUMBER(SEARCH(","&amp;TRIM(TEXTSPLIT(BI164,","))&amp;",",","&amp;SUBSTITUTE(input_challenge_opportunities," ","")&amp;",")))=COUNTA(TEXTSPLIT(BI164,",")))))</f>
        <v/>
      </c>
      <c r="IY164">
        <f>AND(IF(BK164="",TRUE,IF(input_context="",FALSE,SUMPRODUCT(--ISNUMBER(SEARCH(","&amp;TRIM(TEXTSPLIT(BK164,","))&amp;",",","&amp;SUBSTITUTE(input_context," ","")&amp;",")))&gt;0)),IF(BM164="",TRUE,IF(input_context="",FALSE,SUMPRODUCT(--ISNUMBER(SEARCH(","&amp;TRIM(TEXTSPLIT(BM164,","))&amp;",",","&amp;SUBSTITUTE(input_context," ","")&amp;",")))=COUNTA(TEXTSPLIT(BM164,",")))),IF(BO164="",TRUE,IF(input_context="",TRUE,SUMPRODUCT(--ISNUMBER(SEARCH(","&amp;TRIM(TEXTSPLIT(BO164,","))&amp;",",","&amp;SUBSTITUTE(input_context," ","")&amp;",")))=0)),IF(BQ164="",TRUE,IF(input_context="",FALSE,SUMPRODUCT(--ISNUMBER(SEARCH(","&amp;TRIM(TEXTSPLIT(BQ164,","))&amp;",",","&amp;SUBSTITUTE(input_context," ","")&amp;",")))&gt;0)),IF(BS164="",TRUE,IF(input_context="",FALSE,SUMPRODUCT(--ISNUMBER(SEARCH(","&amp;TRIM(TEXTSPLIT(BS164,","))&amp;",",","&amp;SUBSTITUTE(input_context," ","")&amp;",")))=COUNTA(TEXTSPLIT(BS164,",")))))</f>
        <v/>
      </c>
      <c r="IZ164">
        <f>AND(IF(BU164="",TRUE,IF(input_enews_announcement_type="",FALSE,SUMPRODUCT(--ISNUMBER(SEARCH(","&amp;TRIM(TEXTSPLIT(BU164,","))&amp;",",","&amp;SUBSTITUTE(input_enews_announcement_type," ","")&amp;",")))&gt;0)),IF(BW164="",TRUE,IF(input_enews_announcement_type="",FALSE,SUMPRODUCT(--ISNUMBER(SEARCH(","&amp;TRIM(TEXTSPLIT(BW164,","))&amp;",",","&amp;SUBSTITUTE(input_enews_announcement_type," ","")&amp;",")))=COUNTA(TEXTSPLIT(BW164,",")))),IF(BY164="",TRUE,IF(input_enews_announcement_type="",TRUE,SUMPRODUCT(--ISNUMBER(SEARCH(","&amp;TRIM(TEXTSPLIT(BY164,","))&amp;",",","&amp;SUBSTITUTE(input_enews_announcement_type," ","")&amp;",")))=0)),IF(CA164="",TRUE,IF(input_enews_announcement_type="",FALSE,SUMPRODUCT(--ISNUMBER(SEARCH(","&amp;TRIM(TEXTSPLIT(CA164,","))&amp;",",","&amp;SUBSTITUTE(input_enews_announcement_type," ","")&amp;",")))&gt;0)),IF(CC164="",TRUE,IF(input_enews_announcement_type="",FALSE,SUMPRODUCT(--ISNUMBER(SEARCH(","&amp;TRIM(TEXTSPLIT(CC164,","))&amp;",",","&amp;SUBSTITUTE(input_enews_announcement_type," ","")&amp;",")))=COUNTA(TEXTSPLIT(CC164,",")))))</f>
        <v/>
      </c>
      <c r="JA164">
        <f>AND(IF(CE164="",TRUE,IF(input_enews_audience="",FALSE,SUMPRODUCT(--ISNUMBER(SEARCH(","&amp;TRIM(TEXTSPLIT(CE164,","))&amp;",",","&amp;SUBSTITUTE(input_enews_audience," ","")&amp;",")))&gt;0)),IF(CG164="",TRUE,IF(input_enews_audience="",FALSE,SUMPRODUCT(--ISNUMBER(SEARCH(","&amp;TRIM(TEXTSPLIT(CG164,","))&amp;",",","&amp;SUBSTITUTE(input_enews_audience," ","")&amp;",")))=COUNTA(TEXTSPLIT(CG164,",")))),IF(CI164="",TRUE,IF(input_enews_audience="",TRUE,SUMPRODUCT(--ISNUMBER(SEARCH(","&amp;TRIM(TEXTSPLIT(CI164,","))&amp;",",","&amp;SUBSTITUTE(input_enews_audience," ","")&amp;",")))=0)),IF(CK164="",TRUE,IF(input_enews_audience="",FALSE,SUMPRODUCT(--ISNUMBER(SEARCH(","&amp;TRIM(TEXTSPLIT(CK164,","))&amp;",",","&amp;SUBSTITUTE(input_enews_audience," ","")&amp;",")))&gt;0)),IF(CM164="",TRUE,IF(input_enews_audience="",FALSE,SUMPRODUCT(--ISNUMBER(SEARCH(","&amp;TRIM(TEXTSPLIT(CM164,","))&amp;",",","&amp;SUBSTITUTE(input_enews_audience," ","")&amp;",")))=COUNTA(TEXTSPLIT(CM164,",")))))</f>
        <v/>
      </c>
      <c r="JB164">
        <f>AND(IF(CO164="",TRUE,IF(input_event_location="",FALSE,SUMPRODUCT(--ISNUMBER(SEARCH(","&amp;TRIM(TEXTSPLIT(CO164,","))&amp;",",","&amp;SUBSTITUTE(input_event_location," ","")&amp;",")))&gt;0)),IF(CQ164="",TRUE,IF(input_event_location="",FALSE,SUMPRODUCT(--ISNUMBER(SEARCH(","&amp;TRIM(TEXTSPLIT(CQ164,","))&amp;",",","&amp;SUBSTITUTE(input_event_location," ","")&amp;",")))=COUNTA(TEXTSPLIT(CQ164,",")))),IF(CS164="",TRUE,IF(input_event_location="",TRUE,SUMPRODUCT(--ISNUMBER(SEARCH(","&amp;TRIM(TEXTSPLIT(CS164,","))&amp;",",","&amp;SUBSTITUTE(input_event_location," ","")&amp;",")))=0)),IF(CU164="",TRUE,IF(input_event_location="",FALSE,SUMPRODUCT(--ISNUMBER(SEARCH(","&amp;TRIM(TEXTSPLIT(CU164,","))&amp;",",","&amp;SUBSTITUTE(input_event_location," ","")&amp;",")))&gt;0)),IF(CW164="",TRUE,IF(input_event_location="",FALSE,SUMPRODUCT(--ISNUMBER(SEARCH(","&amp;TRIM(TEXTSPLIT(CW164,","))&amp;",",","&amp;SUBSTITUTE(input_event_location," ","")&amp;",")))=COUNTA(TEXTSPLIT(CW164,",")))))</f>
        <v/>
      </c>
      <c r="JC164">
        <f>AND(IF(CY164="",TRUE,IF(input_event_type="",FALSE,SUMPRODUCT(--ISNUMBER(SEARCH(","&amp;TRIM(TEXTSPLIT(CY164,","))&amp;",",","&amp;SUBSTITUTE(input_event_type," ","")&amp;",")))&gt;0)),IF(DA164="",TRUE,IF(input_event_type="",FALSE,SUMPRODUCT(--ISNUMBER(SEARCH(","&amp;TRIM(TEXTSPLIT(DA164,","))&amp;",",","&amp;SUBSTITUTE(input_event_type," ","")&amp;",")))=COUNTA(TEXTSPLIT(DA164,",")))),IF(DC164="",TRUE,IF(input_event_type="",TRUE,SUMPRODUCT(--ISNUMBER(SEARCH(","&amp;TRIM(TEXTSPLIT(DC164,","))&amp;",",","&amp;SUBSTITUTE(input_event_type," ","")&amp;",")))=0)),IF(DE164="",TRUE,IF(input_event_type="",FALSE,SUMPRODUCT(--ISNUMBER(SEARCH(","&amp;TRIM(TEXTSPLIT(DE164,","))&amp;",",","&amp;SUBSTITUTE(input_event_type," ","")&amp;",")))&gt;0)),IF(DG164="",TRUE,IF(input_event_type="",FALSE,SUMPRODUCT(--ISNUMBER(SEARCH(","&amp;TRIM(TEXTSPLIT(DG164,","))&amp;",",","&amp;SUBSTITUTE(input_event_type," ","")&amp;",")))=COUNTA(TEXTSPLIT(DG164,",")))))</f>
        <v/>
      </c>
      <c r="JD164">
        <f>AND(IF(DI164="",TRUE,IF(input_executive_education_focus="",FALSE,SUMPRODUCT(--ISNUMBER(SEARCH(","&amp;TRIM(TEXTSPLIT(DI164,","))&amp;",",","&amp;SUBSTITUTE(input_executive_education_focus," ","")&amp;",")))&gt;0)),IF(DK164="",TRUE,IF(input_executive_education_focus="",FALSE,SUMPRODUCT(--ISNUMBER(SEARCH(","&amp;TRIM(TEXTSPLIT(DK164,","))&amp;",",","&amp;SUBSTITUTE(input_executive_education_focus," ","")&amp;",")))=COUNTA(TEXTSPLIT(DK164,",")))),IF(DM164="",TRUE,IF(input_executive_education_focus="",TRUE,SUMPRODUCT(--ISNUMBER(SEARCH(","&amp;TRIM(TEXTSPLIT(DM164,","))&amp;",",","&amp;SUBSTITUTE(input_executive_education_focus," ","")&amp;",")))=0)),IF(DO164="",TRUE,IF(input_executive_education_focus="",FALSE,SUMPRODUCT(--ISNUMBER(SEARCH(","&amp;TRIM(TEXTSPLIT(DO164,","))&amp;",",","&amp;SUBSTITUTE(input_executive_education_focus," ","")&amp;",")))&gt;0)),IF(DQ164="",TRUE,IF(input_executive_education_focus="",FALSE,SUMPRODUCT(--ISNUMBER(SEARCH(","&amp;TRIM(TEXTSPLIT(DQ164,","))&amp;",",","&amp;SUBSTITUTE(input_executive_education_focus," ","")&amp;",")))=COUNTA(TEXTSPLIT(DQ164,",")))))</f>
        <v/>
      </c>
      <c r="JE164">
        <f>AND(IF(DS164="",TRUE,IF(input_faculty_category="",FALSE,SUMPRODUCT(--ISNUMBER(SEARCH(","&amp;TRIM(TEXTSPLIT(DS164,","))&amp;",",","&amp;SUBSTITUTE(input_faculty_category," ","")&amp;",")))&gt;0)),IF(DU164="",TRUE,IF(input_faculty_category="",FALSE,SUMPRODUCT(--ISNUMBER(SEARCH(","&amp;TRIM(TEXTSPLIT(DU164,","))&amp;",",","&amp;SUBSTITUTE(input_faculty_category," ","")&amp;",")))=COUNTA(TEXTSPLIT(DU164,",")))),IF(DW164="",TRUE,IF(input_faculty_category="",TRUE,SUMPRODUCT(--ISNUMBER(SEARCH(","&amp;TRIM(TEXTSPLIT(DW164,","))&amp;",",","&amp;SUBSTITUTE(input_faculty_category," ","")&amp;",")))=0)),IF(DY164="",TRUE,IF(input_faculty_category="",FALSE,SUMPRODUCT(--ISNUMBER(SEARCH(","&amp;TRIM(TEXTSPLIT(DY164,","))&amp;",",","&amp;SUBSTITUTE(input_faculty_category," ","")&amp;",")))&gt;0)),IF(EA164="",TRUE,IF(input_faculty_category="",FALSE,SUMPRODUCT(--ISNUMBER(SEARCH(","&amp;TRIM(TEXTSPLIT(EA164,","))&amp;",",","&amp;SUBSTITUTE(input_faculty_category," ","")&amp;",")))=COUNTA(TEXTSPLIT(EA164,",")))))</f>
        <v/>
      </c>
      <c r="JF164">
        <f>AND(IF(EC164="",TRUE,IF(input_faculty_discipline="",FALSE,SUMPRODUCT(--ISNUMBER(SEARCH(","&amp;TRIM(TEXTSPLIT(EC164,","))&amp;",",","&amp;SUBSTITUTE(input_faculty_discipline," ","")&amp;",")))&gt;0)),IF(EE164="",TRUE,IF(input_faculty_discipline="",FALSE,SUMPRODUCT(--ISNUMBER(SEARCH(","&amp;TRIM(TEXTSPLIT(EE164,","))&amp;",",","&amp;SUBSTITUTE(input_faculty_discipline," ","")&amp;",")))=COUNTA(TEXTSPLIT(EE164,",")))),IF(EG164="",TRUE,IF(input_faculty_discipline="",TRUE,SUMPRODUCT(--ISNUMBER(SEARCH(","&amp;TRIM(TEXTSPLIT(EG164,","))&amp;",",","&amp;SUBSTITUTE(input_faculty_discipline," ","")&amp;",")))=0)),IF(EI164="",TRUE,IF(input_faculty_discipline="",FALSE,SUMPRODUCT(--ISNUMBER(SEARCH(","&amp;TRIM(TEXTSPLIT(EI164,","))&amp;",",","&amp;SUBSTITUTE(input_faculty_discipline," ","")&amp;",")))&gt;0)),IF(EK164="",TRUE,IF(input_faculty_discipline="",FALSE,SUMPRODUCT(--ISNUMBER(SEARCH(","&amp;TRIM(TEXTSPLIT(EK164,","))&amp;",",","&amp;SUBSTITUTE(input_faculty_discipline," ","")&amp;",")))=COUNTA(TEXTSPLIT(EK164,",")))))</f>
        <v/>
      </c>
      <c r="JG164">
        <f>AND(IF(EM164="",TRUE,IF(input_faculty_expertise="",FALSE,SUMPRODUCT(--ISNUMBER(SEARCH(","&amp;TRIM(TEXTSPLIT(EM164,","))&amp;",",","&amp;SUBSTITUTE(input_faculty_expertise," ","")&amp;",")))&gt;0)),IF(EO164="",TRUE,IF(input_faculty_expertise="",FALSE,SUMPRODUCT(--ISNUMBER(SEARCH(","&amp;TRIM(TEXTSPLIT(EO164,","))&amp;",",","&amp;SUBSTITUTE(input_faculty_expertise," ","")&amp;",")))=COUNTA(TEXTSPLIT(EO164,",")))),IF(EQ164="",TRUE,IF(input_faculty_expertise="",TRUE,SUMPRODUCT(--ISNUMBER(SEARCH(","&amp;TRIM(TEXTSPLIT(EQ164,","))&amp;",",","&amp;SUBSTITUTE(input_faculty_expertise," ","")&amp;",")))=0)),IF(ES164="",TRUE,IF(input_faculty_expertise="",FALSE,SUMPRODUCT(--ISNUMBER(SEARCH(","&amp;TRIM(TEXTSPLIT(ES164,","))&amp;",",","&amp;SUBSTITUTE(input_faculty_expertise," ","")&amp;",")))&gt;0)),IF(EU164="",TRUE,IF(input_faculty_expertise="",FALSE,SUMPRODUCT(--ISNUMBER(SEARCH(","&amp;TRIM(TEXTSPLIT(EU164,","))&amp;",",","&amp;SUBSTITUTE(input_faculty_expertise," ","")&amp;",")))=COUNTA(TEXTSPLIT(EU164,",")))))</f>
        <v/>
      </c>
      <c r="JH164">
        <f>AND(IF(EW164="",TRUE,IF(input_global_network_school="",FALSE,SUMPRODUCT(--ISNUMBER(SEARCH(","&amp;TRIM(TEXTSPLIT(EW164,","))&amp;",",","&amp;SUBSTITUTE(input_global_network_school," ","")&amp;",")))&gt;0)),IF(EY164="",TRUE,IF(input_global_network_school="",FALSE,SUMPRODUCT(--ISNUMBER(SEARCH(","&amp;TRIM(TEXTSPLIT(EY164,","))&amp;",",","&amp;SUBSTITUTE(input_global_network_school," ","")&amp;",")))=COUNTA(TEXTSPLIT(EY164,",")))),IF(FA164="",TRUE,IF(input_global_network_school="",TRUE,SUMPRODUCT(--ISNUMBER(SEARCH(","&amp;TRIM(TEXTSPLIT(FA164,","))&amp;",",","&amp;SUBSTITUTE(input_global_network_school," ","")&amp;",")))=0)),IF(FC164="",TRUE,IF(input_global_network_school="",FALSE,SUMPRODUCT(--ISNUMBER(SEARCH(","&amp;TRIM(TEXTSPLIT(FC164,","))&amp;",",","&amp;SUBSTITUTE(input_global_network_school," ","")&amp;",")))&gt;0)),IF(FE164="",TRUE,IF(input_global_network_school="",FALSE,SUMPRODUCT(--ISNUMBER(SEARCH(","&amp;TRIM(TEXTSPLIT(FE164,","))&amp;",",","&amp;SUBSTITUTE(input_global_network_school," ","")&amp;",")))=COUNTA(TEXTSPLIT(FE164,",")))))</f>
        <v/>
      </c>
      <c r="JI164">
        <f>AND(IF(FG164="",TRUE,IF(input_industry="",FALSE,SUMPRODUCT(--ISNUMBER(SEARCH(","&amp;TRIM(TEXTSPLIT(FG164,","))&amp;",",","&amp;SUBSTITUTE(input_industry," ","")&amp;",")))&gt;0)),IF(FI164="",TRUE,IF(input_industry="",FALSE,SUMPRODUCT(--ISNUMBER(SEARCH(","&amp;TRIM(TEXTSPLIT(FI164,","))&amp;",",","&amp;SUBSTITUTE(input_industry," ","")&amp;",")))=COUNTA(TEXTSPLIT(FI164,",")))),IF(FK164="",TRUE,IF(input_industry="",TRUE,SUMPRODUCT(--ISNUMBER(SEARCH(","&amp;TRIM(TEXTSPLIT(FK164,","))&amp;",",","&amp;SUBSTITUTE(input_industry," ","")&amp;",")))=0)),IF(FM164="",TRUE,IF(input_industry="",FALSE,SUMPRODUCT(--ISNUMBER(SEARCH(","&amp;TRIM(TEXTSPLIT(FM164,","))&amp;",",","&amp;SUBSTITUTE(input_industry," ","")&amp;",")))&gt;0)),IF(FO164="",TRUE,IF(input_industry="",FALSE,SUMPRODUCT(--ISNUMBER(SEARCH(","&amp;TRIM(TEXTSPLIT(FO164,","))&amp;",",","&amp;SUBSTITUTE(input_industry," ","")&amp;",")))=COUNTA(TEXTSPLIT(FO164,",")))))</f>
        <v/>
      </c>
      <c r="JJ164">
        <f>AND(IF(FQ164="",TRUE,IF(input_location="",FALSE,SUMPRODUCT(--ISNUMBER(SEARCH(","&amp;TRIM(TEXTSPLIT(FQ164,","))&amp;",",","&amp;SUBSTITUTE(input_location," ","")&amp;",")))&gt;0)),IF(FS164="",TRUE,IF(input_location="",FALSE,SUMPRODUCT(--ISNUMBER(SEARCH(","&amp;TRIM(TEXTSPLIT(FS164,","))&amp;",",","&amp;SUBSTITUTE(input_location," ","")&amp;",")))=COUNTA(TEXTSPLIT(FS164,",")))),IF(FU164="",TRUE,IF(input_location="",TRUE,SUMPRODUCT(--ISNUMBER(SEARCH(","&amp;TRIM(TEXTSPLIT(FU164,","))&amp;",",","&amp;SUBSTITUTE(input_location," ","")&amp;",")))=0)),IF(FW164="",TRUE,IF(input_location="",FALSE,SUMPRODUCT(--ISNUMBER(SEARCH(","&amp;TRIM(TEXTSPLIT(FW164,","))&amp;",",","&amp;SUBSTITUTE(input_location," ","")&amp;",")))&gt;0)),IF(FY164="",TRUE,IF(input_location="",FALSE,SUMPRODUCT(--ISNUMBER(SEARCH(","&amp;TRIM(TEXTSPLIT(FY164,","))&amp;",",","&amp;SUBSTITUTE(input_location," ","")&amp;",")))=COUNTA(TEXTSPLIT(FY164,",")))))</f>
        <v/>
      </c>
      <c r="JK164">
        <f>AND(IF(GA164="",TRUE,IF(input_modality="",FALSE,SUMPRODUCT(--ISNUMBER(SEARCH(","&amp;TRIM(TEXTSPLIT(GA164,","))&amp;",",","&amp;SUBSTITUTE(input_modality," ","")&amp;",")))&gt;0)),IF(GC164="",TRUE,IF(input_modality="",FALSE,SUMPRODUCT(--ISNUMBER(SEARCH(","&amp;TRIM(TEXTSPLIT(GC164,","))&amp;",",","&amp;SUBSTITUTE(input_modality," ","")&amp;",")))=COUNTA(TEXTSPLIT(GC164,",")))),IF(GE164="",TRUE,IF(input_modality="",TRUE,SUMPRODUCT(--ISNUMBER(SEARCH(","&amp;TRIM(TEXTSPLIT(GE164,","))&amp;",",","&amp;SUBSTITUTE(input_modality," ","")&amp;",")))=0)),IF(GG164="",TRUE,IF(input_modality="",FALSE,SUMPRODUCT(--ISNUMBER(SEARCH(","&amp;TRIM(TEXTSPLIT(GG164,","))&amp;",",","&amp;SUBSTITUTE(input_modality," ","")&amp;",")))&gt;0)),IF(GI164="",TRUE,IF(input_modality="",FALSE,SUMPRODUCT(--ISNUMBER(SEARCH(","&amp;TRIM(TEXTSPLIT(GI164,","))&amp;",",","&amp;SUBSTITUTE(input_modality," ","")&amp;",")))=COUNTA(TEXTSPLIT(GI164,",")))))</f>
        <v/>
      </c>
      <c r="JL164">
        <f>AND(IF(GK164="",TRUE,IF(input_organizer="",FALSE,SUMPRODUCT(--ISNUMBER(SEARCH(","&amp;TRIM(TEXTSPLIT(GK164,","))&amp;",",","&amp;SUBSTITUTE(input_organizer," ","")&amp;",")))&gt;0)),IF(GM164="",TRUE,IF(input_organizer="",FALSE,SUMPRODUCT(--ISNUMBER(SEARCH(","&amp;TRIM(TEXTSPLIT(GM164,","))&amp;",",","&amp;SUBSTITUTE(input_organizer," ","")&amp;",")))=COUNTA(TEXTSPLIT(GM164,",")))),IF(GO164="",TRUE,IF(input_organizer="",TRUE,SUMPRODUCT(--ISNUMBER(SEARCH(","&amp;TRIM(TEXTSPLIT(GO164,","))&amp;",",","&amp;SUBSTITUTE(input_organizer," ","")&amp;",")))=0)),IF(GQ164="",TRUE,IF(input_organizer="",FALSE,SUMPRODUCT(--ISNUMBER(SEARCH(","&amp;TRIM(TEXTSPLIT(GQ164,","))&amp;",",","&amp;SUBSTITUTE(input_organizer," ","")&amp;",")))&gt;0)),IF(GS164="",TRUE,IF(input_organizer="",FALSE,SUMPRODUCT(--ISNUMBER(SEARCH(","&amp;TRIM(TEXTSPLIT(GS164,","))&amp;",",","&amp;SUBSTITUTE(input_organizer," ","")&amp;",")))=COUNTA(TEXTSPLIT(GS164,",")))))</f>
        <v/>
      </c>
      <c r="JM164">
        <f>AND(IF(GU164="",TRUE,IF(input_profile_type="",FALSE,SUMPRODUCT(--ISNUMBER(SEARCH(","&amp;TRIM(TEXTSPLIT(GU164,","))&amp;",",","&amp;SUBSTITUTE(input_profile_type," ","")&amp;",")))&gt;0)),IF(GW164="",TRUE,IF(input_profile_type="",FALSE,SUMPRODUCT(--ISNUMBER(SEARCH(","&amp;TRIM(TEXTSPLIT(GW164,","))&amp;",",","&amp;SUBSTITUTE(input_profile_type," ","")&amp;",")))=COUNTA(TEXTSPLIT(GW164,",")))),IF(GY164="",TRUE,IF(input_profile_type="",TRUE,SUMPRODUCT(--ISNUMBER(SEARCH(","&amp;TRIM(TEXTSPLIT(GY164,","))&amp;",",","&amp;SUBSTITUTE(input_profile_type," ","")&amp;",")))=0)),IF(HA164="",TRUE,IF(input_profile_type="",FALSE,SUMPRODUCT(--ISNUMBER(SEARCH(","&amp;TRIM(TEXTSPLIT(HA164,","))&amp;",",","&amp;SUBSTITUTE(input_profile_type," ","")&amp;",")))&gt;0)),IF(HC164="",TRUE,IF(input_profile_type="",FALSE,SUMPRODUCT(--ISNUMBER(SEARCH(","&amp;TRIM(TEXTSPLIT(HC164,","))&amp;",",","&amp;SUBSTITUTE(input_profile_type," ","")&amp;",")))=COUNTA(TEXTSPLIT(HC164,",")))))</f>
        <v/>
      </c>
      <c r="JN164">
        <f>AND(IF(HE164="",TRUE,IF(input_program="",FALSE,SUMPRODUCT(--ISNUMBER(SEARCH(","&amp;TRIM(TEXTSPLIT(HE164,","))&amp;",",","&amp;SUBSTITUTE(input_program," ","")&amp;",")))&gt;0)),IF(HG164="",TRUE,IF(input_program="",FALSE,SUMPRODUCT(--ISNUMBER(SEARCH(","&amp;TRIM(TEXTSPLIT(HG164,","))&amp;",",","&amp;SUBSTITUTE(input_program," ","")&amp;",")))=COUNTA(TEXTSPLIT(HG164,",")))),IF(HI164="",TRUE,IF(input_program="",TRUE,SUMPRODUCT(--ISNUMBER(SEARCH(","&amp;TRIM(TEXTSPLIT(HI164,","))&amp;",",","&amp;SUBSTITUTE(input_program," ","")&amp;",")))=0)),IF(HK164="",TRUE,IF(input_program="",FALSE,SUMPRODUCT(--ISNUMBER(SEARCH(","&amp;TRIM(TEXTSPLIT(HK164,","))&amp;",",","&amp;SUBSTITUTE(input_program," ","")&amp;",")))&gt;0)),IF(HM164="",TRUE,IF(input_program="",FALSE,SUMPRODUCT(--ISNUMBER(SEARCH(","&amp;TRIM(TEXTSPLIT(HM164,","))&amp;",",","&amp;SUBSTITUTE(input_program," ","")&amp;",")))=COUNTA(TEXTSPLIT(HM164,",")))))</f>
        <v/>
      </c>
      <c r="JO164">
        <f>AND(IF(HO164="",TRUE,IF(input_story_categories="",FALSE,SUMPRODUCT(--ISNUMBER(SEARCH(","&amp;TRIM(TEXTSPLIT(HO164,","))&amp;",",","&amp;SUBSTITUTE(input_story_categories," ","")&amp;",")))&gt;0)),IF(HQ164="",TRUE,IF(input_story_categories="",FALSE,SUMPRODUCT(--ISNUMBER(SEARCH(","&amp;TRIM(TEXTSPLIT(HQ164,","))&amp;",",","&amp;SUBSTITUTE(input_story_categories," ","")&amp;",")))=COUNTA(TEXTSPLIT(HQ164,",")))),IF(HS164="",TRUE,IF(input_story_categories="",TRUE,SUMPRODUCT(--ISNUMBER(SEARCH(","&amp;TRIM(TEXTSPLIT(HS164,","))&amp;",",","&amp;SUBSTITUTE(input_story_categories," ","")&amp;",")))=0)),IF(HU164="",TRUE,IF(input_story_categories="",FALSE,SUMPRODUCT(--ISNUMBER(SEARCH(","&amp;TRIM(TEXTSPLIT(HU164,","))&amp;",",","&amp;SUBSTITUTE(input_story_categories," ","")&amp;",")))&gt;0)),IF(HW164="",TRUE,IF(input_story_categories="",FALSE,SUMPRODUCT(--ISNUMBER(SEARCH(","&amp;TRIM(TEXTSPLIT(HW164,","))&amp;",",","&amp;SUBSTITUTE(input_story_categories," ","")&amp;",")))=COUNTA(TEXTSPLIT(HW164,",")))))</f>
        <v/>
      </c>
      <c r="JP164">
        <f>AND(IF(HY164="",TRUE,IF(input_story_type="",FALSE,SUMPRODUCT(--ISNUMBER(SEARCH(","&amp;TRIM(TEXTSPLIT(HY164,","))&amp;",",","&amp;SUBSTITUTE(input_story_type," ","")&amp;",")))&gt;0)),IF(IA164="",TRUE,IF(input_story_type="",FALSE,SUMPRODUCT(--ISNUMBER(SEARCH(","&amp;TRIM(TEXTSPLIT(IA164,","))&amp;",",","&amp;SUBSTITUTE(input_story_type," ","")&amp;",")))=COUNTA(TEXTSPLIT(IA164,",")))),IF(IC164="",TRUE,IF(input_story_type="",TRUE,SUMPRODUCT(--ISNUMBER(SEARCH(","&amp;TRIM(TEXTSPLIT(IC164,","))&amp;",",","&amp;SUBSTITUTE(input_story_type," ","")&amp;",")))=0)),IF(IE164="",TRUE,IF(input_story_type="",FALSE,SUMPRODUCT(--ISNUMBER(SEARCH(","&amp;TRIM(TEXTSPLIT(IE164,","))&amp;",",","&amp;SUBSTITUTE(input_story_type," ","")&amp;",")))&gt;0)),IF(IG164="",TRUE,IF(input_story_type="",FALSE,SUMPRODUCT(--ISNUMBER(SEARCH(","&amp;TRIM(TEXTSPLIT(IG164,","))&amp;",",","&amp;SUBSTITUTE(input_story_type," ","")&amp;",")))=COUNTA(TEXTSPLIT(IG164,",")))))</f>
        <v/>
      </c>
      <c r="JQ164">
        <f>AND(IF(II164="",TRUE,IF(input_topics="",FALSE,SUMPRODUCT(--ISNUMBER(SEARCH(","&amp;TRIM(TEXTSPLIT(II164,","))&amp;",",","&amp;SUBSTITUTE(input_topics," ","")&amp;",")))&gt;0)),IF(IK164="",TRUE,IF(input_topics="",FALSE,SUMPRODUCT(--ISNUMBER(SEARCH(","&amp;TRIM(TEXTSPLIT(IK164,","))&amp;",",","&amp;SUBSTITUTE(input_topics," ","")&amp;",")))=COUNTA(TEXTSPLIT(IK164,",")))),IF(IM164="",TRUE,IF(input_topics="",TRUE,SUMPRODUCT(--ISNUMBER(SEARCH(","&amp;TRIM(TEXTSPLIT(IM164,","))&amp;",",","&amp;SUBSTITUTE(input_topics," ","")&amp;",")))=0)),IF(IO164="",TRUE,IF(input_topics="",FALSE,SUMPRODUCT(--ISNUMBER(SEARCH(","&amp;TRIM(TEXTSPLIT(IO164,","))&amp;",",","&amp;SUBSTITUTE(input_topics," ","")&amp;",")))&gt;0)),IF(IQ164="",TRUE,IF(input_topics="",FALSE,SUMPRODUCT(--ISNUMBER(SEARCH(","&amp;TRIM(TEXTSPLIT(IQ164,","))&amp;",",","&amp;SUBSTITUTE(input_topics," ","")&amp;",")))=COUNTA(TEXTSPLIT(IQ164,",")))))</f>
        <v/>
      </c>
    </row>
    <row r="165">
      <c r="A165" s="4">
        <f>IF(NOT(IS165),"Excluded",IF(AND(IT165,IU165,IV165,IW165,IX165,IY165,IZ165,JA165,JB165,JC165,JD165,JE165,JF165,JG165,JH165,JI165,JJ165,JK165,JL165,JM165,JN165,JO165,JP165,JQ165),IF(I165&gt;0,"Eligible but limited","Will appear"),"Excluded"))</f>
        <v/>
      </c>
      <c r="B165" s="4" t="inlineStr">
        <is>
          <t>Related profiles on profile pages</t>
        </is>
      </c>
      <c r="C165" s="4" t="inlineStr">
        <is>
          <t>/profile/audrey-atwell-23-0</t>
        </is>
      </c>
      <c r="D165" s="4" t="inlineStr">
        <is>
          <t>/profile/audrey-atwell-23-0
/profile/chris-teng-23
/profile/crystal-zhang-23</t>
        </is>
      </c>
      <c r="E165" s="4" t="n">
        <v>50</v>
      </c>
      <c r="F165" s="4" t="inlineStr">
        <is>
          <t>profile</t>
        </is>
      </c>
      <c r="G165" s="4" t="inlineStr">
        <is>
          <t>profiles_grid</t>
        </is>
      </c>
      <c r="H165" s="4" t="inlineStr">
        <is>
          <t>related</t>
        </is>
      </c>
      <c r="I165" s="4" t="n">
        <v>3</v>
      </c>
      <c r="J165" s="4" t="inlineStr">
        <is>
          <t>Explicit args</t>
        </is>
      </c>
      <c r="K165" s="4" t="inlineStr">
        <is>
          <t>Grouped surface</t>
        </is>
      </c>
      <c r="L165" s="4" t="inlineStr">
        <is>
          <t>Content type: profile; Context uses Profile Type: Student (1551); Context uses Program: MBA for Executives (80); Limited to 3 item(s); Source: Explicit args</t>
        </is>
      </c>
      <c r="M165" t="inlineStr"/>
      <c r="N165" t="inlineStr"/>
      <c r="O165" t="inlineStr"/>
      <c r="P165" t="inlineStr"/>
      <c r="Q165" t="inlineStr"/>
      <c r="R165" t="inlineStr"/>
      <c r="S165" t="inlineStr"/>
      <c r="T165" t="inlineStr"/>
      <c r="U165" t="inlineStr"/>
      <c r="V165" t="inlineStr"/>
      <c r="W165" t="inlineStr"/>
      <c r="X165" t="inlineStr"/>
      <c r="Y165" t="inlineStr"/>
      <c r="Z165" t="inlineStr"/>
      <c r="AA165" t="inlineStr"/>
      <c r="AB165" t="inlineStr"/>
      <c r="AC165" t="inlineStr"/>
      <c r="AD165" t="inlineStr"/>
      <c r="AE165" t="inlineStr"/>
      <c r="AF165" t="inlineStr"/>
      <c r="AG165" t="inlineStr"/>
      <c r="AH165" t="inlineStr"/>
      <c r="AI165" t="inlineStr"/>
      <c r="AJ165" t="inlineStr"/>
      <c r="AK165" t="inlineStr"/>
      <c r="AL165" t="inlineStr"/>
      <c r="AM165" t="inlineStr"/>
      <c r="AN165" t="inlineStr"/>
      <c r="AO165" t="inlineStr"/>
      <c r="AP165" t="inlineStr"/>
      <c r="AQ165" t="inlineStr"/>
      <c r="AR165" t="inlineStr"/>
      <c r="AS165" t="inlineStr"/>
      <c r="AT165" t="inlineStr"/>
      <c r="AU165" t="inlineStr"/>
      <c r="AV165" t="inlineStr"/>
      <c r="AW165" t="inlineStr"/>
      <c r="AX165" t="inlineStr"/>
      <c r="AY165" t="inlineStr"/>
      <c r="AZ165" t="inlineStr"/>
      <c r="BA165" t="inlineStr"/>
      <c r="BB165" t="inlineStr"/>
      <c r="BC165" t="inlineStr"/>
      <c r="BD165" t="inlineStr"/>
      <c r="BE165" t="inlineStr"/>
      <c r="BF165" t="inlineStr"/>
      <c r="BG165" t="inlineStr"/>
      <c r="BH165" t="inlineStr"/>
      <c r="BI165" t="inlineStr"/>
      <c r="BJ165" t="inlineStr"/>
      <c r="BK165" t="inlineStr"/>
      <c r="BL165" t="inlineStr"/>
      <c r="BM165" t="inlineStr"/>
      <c r="BN165" t="inlineStr"/>
      <c r="BO165" t="inlineStr"/>
      <c r="BP165" t="inlineStr"/>
      <c r="BQ165" t="inlineStr"/>
      <c r="BR165" t="inlineStr"/>
      <c r="BS165" t="inlineStr"/>
      <c r="BT165" t="inlineStr"/>
      <c r="BU165" t="inlineStr"/>
      <c r="BV165" t="inlineStr"/>
      <c r="BW165" t="inlineStr"/>
      <c r="BX165" t="inlineStr"/>
      <c r="BY165" t="inlineStr"/>
      <c r="BZ165" t="inlineStr"/>
      <c r="CA165" t="inlineStr"/>
      <c r="CB165" t="inlineStr"/>
      <c r="CC165" t="inlineStr"/>
      <c r="CD165" t="inlineStr"/>
      <c r="CE165" t="inlineStr"/>
      <c r="CF165" t="inlineStr"/>
      <c r="CG165" t="inlineStr"/>
      <c r="CH165" t="inlineStr"/>
      <c r="CI165" t="inlineStr"/>
      <c r="CJ165" t="inlineStr"/>
      <c r="CK165" t="inlineStr"/>
      <c r="CL165" t="inlineStr"/>
      <c r="CM165" t="inlineStr"/>
      <c r="CN165" t="inlineStr"/>
      <c r="CO165" t="inlineStr"/>
      <c r="CP165" t="inlineStr"/>
      <c r="CQ165" t="inlineStr"/>
      <c r="CR165" t="inlineStr"/>
      <c r="CS165" t="inlineStr"/>
      <c r="CT165" t="inlineStr"/>
      <c r="CU165" t="inlineStr"/>
      <c r="CV165" t="inlineStr"/>
      <c r="CW165" t="inlineStr"/>
      <c r="CX165" t="inlineStr"/>
      <c r="CY165" t="inlineStr"/>
      <c r="CZ165" t="inlineStr"/>
      <c r="DA165" t="inlineStr"/>
      <c r="DB165" t="inlineStr"/>
      <c r="DC165" t="inlineStr"/>
      <c r="DD165" t="inlineStr"/>
      <c r="DE165" t="inlineStr"/>
      <c r="DF165" t="inlineStr"/>
      <c r="DG165" t="inlineStr"/>
      <c r="DH165" t="inlineStr"/>
      <c r="DI165" t="inlineStr"/>
      <c r="DJ165" t="inlineStr"/>
      <c r="DK165" t="inlineStr"/>
      <c r="DL165" t="inlineStr"/>
      <c r="DM165" t="inlineStr"/>
      <c r="DN165" t="inlineStr"/>
      <c r="DO165" t="inlineStr"/>
      <c r="DP165" t="inlineStr"/>
      <c r="DQ165" t="inlineStr"/>
      <c r="DR165" t="inlineStr"/>
      <c r="DS165" t="inlineStr"/>
      <c r="DT165" t="inlineStr"/>
      <c r="DU165" t="inlineStr"/>
      <c r="DV165" t="inlineStr"/>
      <c r="DW165" t="inlineStr"/>
      <c r="DX165" t="inlineStr"/>
      <c r="DY165" t="inlineStr"/>
      <c r="DZ165" t="inlineStr"/>
      <c r="EA165" t="inlineStr"/>
      <c r="EB165" t="inlineStr"/>
      <c r="EC165" t="inlineStr"/>
      <c r="ED165" t="inlineStr"/>
      <c r="EE165" t="inlineStr"/>
      <c r="EF165" t="inlineStr"/>
      <c r="EG165" t="inlineStr"/>
      <c r="EH165" t="inlineStr"/>
      <c r="EI165" t="inlineStr"/>
      <c r="EJ165" t="inlineStr"/>
      <c r="EK165" t="inlineStr"/>
      <c r="EL165" t="inlineStr"/>
      <c r="EM165" t="inlineStr"/>
      <c r="EN165" t="inlineStr"/>
      <c r="EO165" t="inlineStr"/>
      <c r="EP165" t="inlineStr"/>
      <c r="EQ165" t="inlineStr"/>
      <c r="ER165" t="inlineStr"/>
      <c r="ES165" t="inlineStr"/>
      <c r="ET165" t="inlineStr"/>
      <c r="EU165" t="inlineStr"/>
      <c r="EV165" t="inlineStr"/>
      <c r="EW165" t="inlineStr"/>
      <c r="EX165" t="inlineStr"/>
      <c r="EY165" t="inlineStr"/>
      <c r="EZ165" t="inlineStr"/>
      <c r="FA165" t="inlineStr"/>
      <c r="FB165" t="inlineStr"/>
      <c r="FC165" t="inlineStr"/>
      <c r="FD165" t="inlineStr"/>
      <c r="FE165" t="inlineStr"/>
      <c r="FF165" t="inlineStr"/>
      <c r="FG165" t="inlineStr"/>
      <c r="FH165" t="inlineStr"/>
      <c r="FI165" t="inlineStr"/>
      <c r="FJ165" t="inlineStr"/>
      <c r="FK165" t="inlineStr"/>
      <c r="FL165" t="inlineStr"/>
      <c r="FM165" t="inlineStr"/>
      <c r="FN165" t="inlineStr"/>
      <c r="FO165" t="inlineStr"/>
      <c r="FP165" t="inlineStr"/>
      <c r="FQ165" t="inlineStr"/>
      <c r="FR165" t="inlineStr"/>
      <c r="FS165" t="inlineStr"/>
      <c r="FT165" t="inlineStr"/>
      <c r="FU165" t="inlineStr"/>
      <c r="FV165" t="inlineStr"/>
      <c r="FW165" t="inlineStr"/>
      <c r="FX165" t="inlineStr"/>
      <c r="FY165" t="inlineStr"/>
      <c r="FZ165" t="inlineStr"/>
      <c r="GA165" t="inlineStr"/>
      <c r="GB165" t="inlineStr"/>
      <c r="GC165" t="inlineStr"/>
      <c r="GD165" t="inlineStr"/>
      <c r="GE165" t="inlineStr"/>
      <c r="GF165" t="inlineStr"/>
      <c r="GG165" t="inlineStr"/>
      <c r="GH165" t="inlineStr"/>
      <c r="GI165" t="inlineStr"/>
      <c r="GJ165" t="inlineStr"/>
      <c r="GK165" t="inlineStr"/>
      <c r="GL165" t="inlineStr"/>
      <c r="GM165" t="inlineStr"/>
      <c r="GN165" t="inlineStr"/>
      <c r="GO165" t="inlineStr"/>
      <c r="GP165" t="inlineStr"/>
      <c r="GQ165" t="inlineStr"/>
      <c r="GR165" t="inlineStr"/>
      <c r="GS165" t="inlineStr"/>
      <c r="GT165" t="inlineStr"/>
      <c r="GU165" t="inlineStr"/>
      <c r="GV165" t="inlineStr"/>
      <c r="GW165" t="inlineStr"/>
      <c r="GX165" t="inlineStr"/>
      <c r="GY165" t="inlineStr"/>
      <c r="GZ165" t="inlineStr"/>
      <c r="HA165" t="inlineStr">
        <is>
          <t>1551</t>
        </is>
      </c>
      <c r="HB165" t="inlineStr">
        <is>
          <t>Student (1551)</t>
        </is>
      </c>
      <c r="HC165" t="inlineStr"/>
      <c r="HD165" t="inlineStr"/>
      <c r="HE165" t="inlineStr"/>
      <c r="HF165" t="inlineStr"/>
      <c r="HG165" t="inlineStr"/>
      <c r="HH165" t="inlineStr"/>
      <c r="HI165" t="inlineStr"/>
      <c r="HJ165" t="inlineStr"/>
      <c r="HK165" t="inlineStr">
        <is>
          <t>80</t>
        </is>
      </c>
      <c r="HL165" t="inlineStr">
        <is>
          <t>MBA for Executives (80)</t>
        </is>
      </c>
      <c r="HM165" t="inlineStr"/>
      <c r="HN165" t="inlineStr"/>
      <c r="HO165" t="inlineStr"/>
      <c r="HP165" t="inlineStr"/>
      <c r="HQ165" t="inlineStr"/>
      <c r="HR165" t="inlineStr"/>
      <c r="HS165" t="inlineStr"/>
      <c r="HT165" t="inlineStr"/>
      <c r="HU165" t="inlineStr"/>
      <c r="HV165" t="inlineStr"/>
      <c r="HW165" t="inlineStr"/>
      <c r="HX165" t="inlineStr"/>
      <c r="HY165" t="inlineStr"/>
      <c r="HZ165" t="inlineStr"/>
      <c r="IA165" t="inlineStr"/>
      <c r="IB165" t="inlineStr"/>
      <c r="IC165" t="inlineStr"/>
      <c r="ID165" t="inlineStr"/>
      <c r="IE165" t="inlineStr"/>
      <c r="IF165" t="inlineStr"/>
      <c r="IG165" t="inlineStr"/>
      <c r="IH165" t="inlineStr"/>
      <c r="II165" t="inlineStr"/>
      <c r="IJ165" t="inlineStr"/>
      <c r="IK165" t="inlineStr"/>
      <c r="IL165" t="inlineStr"/>
      <c r="IM165" t="inlineStr"/>
      <c r="IN165" t="inlineStr"/>
      <c r="IO165" t="inlineStr"/>
      <c r="IP165" t="inlineStr"/>
      <c r="IQ165" t="inlineStr"/>
      <c r="IR165" t="inlineStr"/>
      <c r="IS165">
        <f>IF(input_content_type="",FALSE,ISNUMBER(SEARCH(","&amp;LOWER(input_content_type)&amp;",",","&amp;LOWER(F165)&amp;",")))</f>
        <v/>
      </c>
      <c r="IT165">
        <f>AND(IF(M165="",TRUE,IF(input_affiliations="",FALSE,SUMPRODUCT(--ISNUMBER(SEARCH(","&amp;TRIM(TEXTSPLIT(M165,","))&amp;",",","&amp;SUBSTITUTE(input_affiliations," ","")&amp;",")))&gt;0)),IF(O165="",TRUE,IF(input_affiliations="",FALSE,SUMPRODUCT(--ISNUMBER(SEARCH(","&amp;TRIM(TEXTSPLIT(O165,","))&amp;",",","&amp;SUBSTITUTE(input_affiliations," ","")&amp;",")))=COUNTA(TEXTSPLIT(O165,",")))),IF(Q165="",TRUE,IF(input_affiliations="",TRUE,SUMPRODUCT(--ISNUMBER(SEARCH(","&amp;TRIM(TEXTSPLIT(Q165,","))&amp;",",","&amp;SUBSTITUTE(input_affiliations," ","")&amp;",")))=0)),IF(S165="",TRUE,IF(input_affiliations="",FALSE,SUMPRODUCT(--ISNUMBER(SEARCH(","&amp;TRIM(TEXTSPLIT(S165,","))&amp;",",","&amp;SUBSTITUTE(input_affiliations," ","")&amp;",")))&gt;0)),IF(U165="",TRUE,IF(input_affiliations="",FALSE,SUMPRODUCT(--ISNUMBER(SEARCH(","&amp;TRIM(TEXTSPLIT(U165,","))&amp;",",","&amp;SUBSTITUTE(input_affiliations," ","")&amp;",")))=COUNTA(TEXTSPLIT(U165,",")))))</f>
        <v/>
      </c>
      <c r="IU165">
        <f>AND(IF(W165="",TRUE,IF(input_announcement_category="",FALSE,SUMPRODUCT(--ISNUMBER(SEARCH(","&amp;TRIM(TEXTSPLIT(W165,","))&amp;",",","&amp;SUBSTITUTE(input_announcement_category," ","")&amp;",")))&gt;0)),IF(Y165="",TRUE,IF(input_announcement_category="",FALSE,SUMPRODUCT(--ISNUMBER(SEARCH(","&amp;TRIM(TEXTSPLIT(Y165,","))&amp;",",","&amp;SUBSTITUTE(input_announcement_category," ","")&amp;",")))=COUNTA(TEXTSPLIT(Y165,",")))),IF(AA165="",TRUE,IF(input_announcement_category="",TRUE,SUMPRODUCT(--ISNUMBER(SEARCH(","&amp;TRIM(TEXTSPLIT(AA165,","))&amp;",",","&amp;SUBSTITUTE(input_announcement_category," ","")&amp;",")))=0)),IF(AC165="",TRUE,IF(input_announcement_category="",FALSE,SUMPRODUCT(--ISNUMBER(SEARCH(","&amp;TRIM(TEXTSPLIT(AC165,","))&amp;",",","&amp;SUBSTITUTE(input_announcement_category," ","")&amp;",")))&gt;0)),IF(AE165="",TRUE,IF(input_announcement_category="",FALSE,SUMPRODUCT(--ISNUMBER(SEARCH(","&amp;TRIM(TEXTSPLIT(AE165,","))&amp;",",","&amp;SUBSTITUTE(input_announcement_category," ","")&amp;",")))=COUNTA(TEXTSPLIT(AE165,",")))))</f>
        <v/>
      </c>
      <c r="IV165">
        <f>AND(IF(AG165="",TRUE,IF(input_area_of_focus="",FALSE,SUMPRODUCT(--ISNUMBER(SEARCH(","&amp;TRIM(TEXTSPLIT(AG165,","))&amp;",",","&amp;SUBSTITUTE(input_area_of_focus," ","")&amp;",")))&gt;0)),IF(AI165="",TRUE,IF(input_area_of_focus="",FALSE,SUMPRODUCT(--ISNUMBER(SEARCH(","&amp;TRIM(TEXTSPLIT(AI165,","))&amp;",",","&amp;SUBSTITUTE(input_area_of_focus," ","")&amp;",")))=COUNTA(TEXTSPLIT(AI165,",")))),IF(AK165="",TRUE,IF(input_area_of_focus="",TRUE,SUMPRODUCT(--ISNUMBER(SEARCH(","&amp;TRIM(TEXTSPLIT(AK165,","))&amp;",",","&amp;SUBSTITUTE(input_area_of_focus," ","")&amp;",")))=0)),IF(AM165="",TRUE,IF(input_area_of_focus="",FALSE,SUMPRODUCT(--ISNUMBER(SEARCH(","&amp;TRIM(TEXTSPLIT(AM165,","))&amp;",",","&amp;SUBSTITUTE(input_area_of_focus," ","")&amp;",")))&gt;0)),IF(AO165="",TRUE,IF(input_area_of_focus="",FALSE,SUMPRODUCT(--ISNUMBER(SEARCH(","&amp;TRIM(TEXTSPLIT(AO165,","))&amp;",",","&amp;SUBSTITUTE(input_area_of_focus," ","")&amp;",")))=COUNTA(TEXTSPLIT(AO165,",")))))</f>
        <v/>
      </c>
      <c r="IW165">
        <f>AND(IF(AQ165="",TRUE,IF(input_audience="",FALSE,SUMPRODUCT(--ISNUMBER(SEARCH(","&amp;TRIM(TEXTSPLIT(AQ165,","))&amp;",",","&amp;SUBSTITUTE(input_audience," ","")&amp;",")))&gt;0)),IF(AS165="",TRUE,IF(input_audience="",FALSE,SUMPRODUCT(--ISNUMBER(SEARCH(","&amp;TRIM(TEXTSPLIT(AS165,","))&amp;",",","&amp;SUBSTITUTE(input_audience," ","")&amp;",")))=COUNTA(TEXTSPLIT(AS165,",")))),IF(AU165="",TRUE,IF(input_audience="",TRUE,SUMPRODUCT(--ISNUMBER(SEARCH(","&amp;TRIM(TEXTSPLIT(AU165,","))&amp;",",","&amp;SUBSTITUTE(input_audience," ","")&amp;",")))=0)),IF(AW165="",TRUE,IF(input_audience="",FALSE,SUMPRODUCT(--ISNUMBER(SEARCH(","&amp;TRIM(TEXTSPLIT(AW165,","))&amp;",",","&amp;SUBSTITUTE(input_audience," ","")&amp;",")))&gt;0)),IF(AY165="",TRUE,IF(input_audience="",FALSE,SUMPRODUCT(--ISNUMBER(SEARCH(","&amp;TRIM(TEXTSPLIT(AY165,","))&amp;",",","&amp;SUBSTITUTE(input_audience," ","")&amp;",")))=COUNTA(TEXTSPLIT(AY165,",")))))</f>
        <v/>
      </c>
      <c r="IX165">
        <f>AND(IF(BA165="",TRUE,IF(input_challenge_opportunities="",FALSE,SUMPRODUCT(--ISNUMBER(SEARCH(","&amp;TRIM(TEXTSPLIT(BA165,","))&amp;",",","&amp;SUBSTITUTE(input_challenge_opportunities," ","")&amp;",")))&gt;0)),IF(BC165="",TRUE,IF(input_challenge_opportunities="",FALSE,SUMPRODUCT(--ISNUMBER(SEARCH(","&amp;TRIM(TEXTSPLIT(BC165,","))&amp;",",","&amp;SUBSTITUTE(input_challenge_opportunities," ","")&amp;",")))=COUNTA(TEXTSPLIT(BC165,",")))),IF(BE165="",TRUE,IF(input_challenge_opportunities="",TRUE,SUMPRODUCT(--ISNUMBER(SEARCH(","&amp;TRIM(TEXTSPLIT(BE165,","))&amp;",",","&amp;SUBSTITUTE(input_challenge_opportunities," ","")&amp;",")))=0)),IF(BG165="",TRUE,IF(input_challenge_opportunities="",FALSE,SUMPRODUCT(--ISNUMBER(SEARCH(","&amp;TRIM(TEXTSPLIT(BG165,","))&amp;",",","&amp;SUBSTITUTE(input_challenge_opportunities," ","")&amp;",")))&gt;0)),IF(BI165="",TRUE,IF(input_challenge_opportunities="",FALSE,SUMPRODUCT(--ISNUMBER(SEARCH(","&amp;TRIM(TEXTSPLIT(BI165,","))&amp;",",","&amp;SUBSTITUTE(input_challenge_opportunities," ","")&amp;",")))=COUNTA(TEXTSPLIT(BI165,",")))))</f>
        <v/>
      </c>
      <c r="IY165">
        <f>AND(IF(BK165="",TRUE,IF(input_context="",FALSE,SUMPRODUCT(--ISNUMBER(SEARCH(","&amp;TRIM(TEXTSPLIT(BK165,","))&amp;",",","&amp;SUBSTITUTE(input_context," ","")&amp;",")))&gt;0)),IF(BM165="",TRUE,IF(input_context="",FALSE,SUMPRODUCT(--ISNUMBER(SEARCH(","&amp;TRIM(TEXTSPLIT(BM165,","))&amp;",",","&amp;SUBSTITUTE(input_context," ","")&amp;",")))=COUNTA(TEXTSPLIT(BM165,",")))),IF(BO165="",TRUE,IF(input_context="",TRUE,SUMPRODUCT(--ISNUMBER(SEARCH(","&amp;TRIM(TEXTSPLIT(BO165,","))&amp;",",","&amp;SUBSTITUTE(input_context," ","")&amp;",")))=0)),IF(BQ165="",TRUE,IF(input_context="",FALSE,SUMPRODUCT(--ISNUMBER(SEARCH(","&amp;TRIM(TEXTSPLIT(BQ165,","))&amp;",",","&amp;SUBSTITUTE(input_context," ","")&amp;",")))&gt;0)),IF(BS165="",TRUE,IF(input_context="",FALSE,SUMPRODUCT(--ISNUMBER(SEARCH(","&amp;TRIM(TEXTSPLIT(BS165,","))&amp;",",","&amp;SUBSTITUTE(input_context," ","")&amp;",")))=COUNTA(TEXTSPLIT(BS165,",")))))</f>
        <v/>
      </c>
      <c r="IZ165">
        <f>AND(IF(BU165="",TRUE,IF(input_enews_announcement_type="",FALSE,SUMPRODUCT(--ISNUMBER(SEARCH(","&amp;TRIM(TEXTSPLIT(BU165,","))&amp;",",","&amp;SUBSTITUTE(input_enews_announcement_type," ","")&amp;",")))&gt;0)),IF(BW165="",TRUE,IF(input_enews_announcement_type="",FALSE,SUMPRODUCT(--ISNUMBER(SEARCH(","&amp;TRIM(TEXTSPLIT(BW165,","))&amp;",",","&amp;SUBSTITUTE(input_enews_announcement_type," ","")&amp;",")))=COUNTA(TEXTSPLIT(BW165,",")))),IF(BY165="",TRUE,IF(input_enews_announcement_type="",TRUE,SUMPRODUCT(--ISNUMBER(SEARCH(","&amp;TRIM(TEXTSPLIT(BY165,","))&amp;",",","&amp;SUBSTITUTE(input_enews_announcement_type," ","")&amp;",")))=0)),IF(CA165="",TRUE,IF(input_enews_announcement_type="",FALSE,SUMPRODUCT(--ISNUMBER(SEARCH(","&amp;TRIM(TEXTSPLIT(CA165,","))&amp;",",","&amp;SUBSTITUTE(input_enews_announcement_type," ","")&amp;",")))&gt;0)),IF(CC165="",TRUE,IF(input_enews_announcement_type="",FALSE,SUMPRODUCT(--ISNUMBER(SEARCH(","&amp;TRIM(TEXTSPLIT(CC165,","))&amp;",",","&amp;SUBSTITUTE(input_enews_announcement_type," ","")&amp;",")))=COUNTA(TEXTSPLIT(CC165,",")))))</f>
        <v/>
      </c>
      <c r="JA165">
        <f>AND(IF(CE165="",TRUE,IF(input_enews_audience="",FALSE,SUMPRODUCT(--ISNUMBER(SEARCH(","&amp;TRIM(TEXTSPLIT(CE165,","))&amp;",",","&amp;SUBSTITUTE(input_enews_audience," ","")&amp;",")))&gt;0)),IF(CG165="",TRUE,IF(input_enews_audience="",FALSE,SUMPRODUCT(--ISNUMBER(SEARCH(","&amp;TRIM(TEXTSPLIT(CG165,","))&amp;",",","&amp;SUBSTITUTE(input_enews_audience," ","")&amp;",")))=COUNTA(TEXTSPLIT(CG165,",")))),IF(CI165="",TRUE,IF(input_enews_audience="",TRUE,SUMPRODUCT(--ISNUMBER(SEARCH(","&amp;TRIM(TEXTSPLIT(CI165,","))&amp;",",","&amp;SUBSTITUTE(input_enews_audience," ","")&amp;",")))=0)),IF(CK165="",TRUE,IF(input_enews_audience="",FALSE,SUMPRODUCT(--ISNUMBER(SEARCH(","&amp;TRIM(TEXTSPLIT(CK165,","))&amp;",",","&amp;SUBSTITUTE(input_enews_audience," ","")&amp;",")))&gt;0)),IF(CM165="",TRUE,IF(input_enews_audience="",FALSE,SUMPRODUCT(--ISNUMBER(SEARCH(","&amp;TRIM(TEXTSPLIT(CM165,","))&amp;",",","&amp;SUBSTITUTE(input_enews_audience," ","")&amp;",")))=COUNTA(TEXTSPLIT(CM165,",")))))</f>
        <v/>
      </c>
      <c r="JB165">
        <f>AND(IF(CO165="",TRUE,IF(input_event_location="",FALSE,SUMPRODUCT(--ISNUMBER(SEARCH(","&amp;TRIM(TEXTSPLIT(CO165,","))&amp;",",","&amp;SUBSTITUTE(input_event_location," ","")&amp;",")))&gt;0)),IF(CQ165="",TRUE,IF(input_event_location="",FALSE,SUMPRODUCT(--ISNUMBER(SEARCH(","&amp;TRIM(TEXTSPLIT(CQ165,","))&amp;",",","&amp;SUBSTITUTE(input_event_location," ","")&amp;",")))=COUNTA(TEXTSPLIT(CQ165,",")))),IF(CS165="",TRUE,IF(input_event_location="",TRUE,SUMPRODUCT(--ISNUMBER(SEARCH(","&amp;TRIM(TEXTSPLIT(CS165,","))&amp;",",","&amp;SUBSTITUTE(input_event_location," ","")&amp;",")))=0)),IF(CU165="",TRUE,IF(input_event_location="",FALSE,SUMPRODUCT(--ISNUMBER(SEARCH(","&amp;TRIM(TEXTSPLIT(CU165,","))&amp;",",","&amp;SUBSTITUTE(input_event_location," ","")&amp;",")))&gt;0)),IF(CW165="",TRUE,IF(input_event_location="",FALSE,SUMPRODUCT(--ISNUMBER(SEARCH(","&amp;TRIM(TEXTSPLIT(CW165,","))&amp;",",","&amp;SUBSTITUTE(input_event_location," ","")&amp;",")))=COUNTA(TEXTSPLIT(CW165,",")))))</f>
        <v/>
      </c>
      <c r="JC165">
        <f>AND(IF(CY165="",TRUE,IF(input_event_type="",FALSE,SUMPRODUCT(--ISNUMBER(SEARCH(","&amp;TRIM(TEXTSPLIT(CY165,","))&amp;",",","&amp;SUBSTITUTE(input_event_type," ","")&amp;",")))&gt;0)),IF(DA165="",TRUE,IF(input_event_type="",FALSE,SUMPRODUCT(--ISNUMBER(SEARCH(","&amp;TRIM(TEXTSPLIT(DA165,","))&amp;",",","&amp;SUBSTITUTE(input_event_type," ","")&amp;",")))=COUNTA(TEXTSPLIT(DA165,",")))),IF(DC165="",TRUE,IF(input_event_type="",TRUE,SUMPRODUCT(--ISNUMBER(SEARCH(","&amp;TRIM(TEXTSPLIT(DC165,","))&amp;",",","&amp;SUBSTITUTE(input_event_type," ","")&amp;",")))=0)),IF(DE165="",TRUE,IF(input_event_type="",FALSE,SUMPRODUCT(--ISNUMBER(SEARCH(","&amp;TRIM(TEXTSPLIT(DE165,","))&amp;",",","&amp;SUBSTITUTE(input_event_type," ","")&amp;",")))&gt;0)),IF(DG165="",TRUE,IF(input_event_type="",FALSE,SUMPRODUCT(--ISNUMBER(SEARCH(","&amp;TRIM(TEXTSPLIT(DG165,","))&amp;",",","&amp;SUBSTITUTE(input_event_type," ","")&amp;",")))=COUNTA(TEXTSPLIT(DG165,",")))))</f>
        <v/>
      </c>
      <c r="JD165">
        <f>AND(IF(DI165="",TRUE,IF(input_executive_education_focus="",FALSE,SUMPRODUCT(--ISNUMBER(SEARCH(","&amp;TRIM(TEXTSPLIT(DI165,","))&amp;",",","&amp;SUBSTITUTE(input_executive_education_focus," ","")&amp;",")))&gt;0)),IF(DK165="",TRUE,IF(input_executive_education_focus="",FALSE,SUMPRODUCT(--ISNUMBER(SEARCH(","&amp;TRIM(TEXTSPLIT(DK165,","))&amp;",",","&amp;SUBSTITUTE(input_executive_education_focus," ","")&amp;",")))=COUNTA(TEXTSPLIT(DK165,",")))),IF(DM165="",TRUE,IF(input_executive_education_focus="",TRUE,SUMPRODUCT(--ISNUMBER(SEARCH(","&amp;TRIM(TEXTSPLIT(DM165,","))&amp;",",","&amp;SUBSTITUTE(input_executive_education_focus," ","")&amp;",")))=0)),IF(DO165="",TRUE,IF(input_executive_education_focus="",FALSE,SUMPRODUCT(--ISNUMBER(SEARCH(","&amp;TRIM(TEXTSPLIT(DO165,","))&amp;",",","&amp;SUBSTITUTE(input_executive_education_focus," ","")&amp;",")))&gt;0)),IF(DQ165="",TRUE,IF(input_executive_education_focus="",FALSE,SUMPRODUCT(--ISNUMBER(SEARCH(","&amp;TRIM(TEXTSPLIT(DQ165,","))&amp;",",","&amp;SUBSTITUTE(input_executive_education_focus," ","")&amp;",")))=COUNTA(TEXTSPLIT(DQ165,",")))))</f>
        <v/>
      </c>
      <c r="JE165">
        <f>AND(IF(DS165="",TRUE,IF(input_faculty_category="",FALSE,SUMPRODUCT(--ISNUMBER(SEARCH(","&amp;TRIM(TEXTSPLIT(DS165,","))&amp;",",","&amp;SUBSTITUTE(input_faculty_category," ","")&amp;",")))&gt;0)),IF(DU165="",TRUE,IF(input_faculty_category="",FALSE,SUMPRODUCT(--ISNUMBER(SEARCH(","&amp;TRIM(TEXTSPLIT(DU165,","))&amp;",",","&amp;SUBSTITUTE(input_faculty_category," ","")&amp;",")))=COUNTA(TEXTSPLIT(DU165,",")))),IF(DW165="",TRUE,IF(input_faculty_category="",TRUE,SUMPRODUCT(--ISNUMBER(SEARCH(","&amp;TRIM(TEXTSPLIT(DW165,","))&amp;",",","&amp;SUBSTITUTE(input_faculty_category," ","")&amp;",")))=0)),IF(DY165="",TRUE,IF(input_faculty_category="",FALSE,SUMPRODUCT(--ISNUMBER(SEARCH(","&amp;TRIM(TEXTSPLIT(DY165,","))&amp;",",","&amp;SUBSTITUTE(input_faculty_category," ","")&amp;",")))&gt;0)),IF(EA165="",TRUE,IF(input_faculty_category="",FALSE,SUMPRODUCT(--ISNUMBER(SEARCH(","&amp;TRIM(TEXTSPLIT(EA165,","))&amp;",",","&amp;SUBSTITUTE(input_faculty_category," ","")&amp;",")))=COUNTA(TEXTSPLIT(EA165,",")))))</f>
        <v/>
      </c>
      <c r="JF165">
        <f>AND(IF(EC165="",TRUE,IF(input_faculty_discipline="",FALSE,SUMPRODUCT(--ISNUMBER(SEARCH(","&amp;TRIM(TEXTSPLIT(EC165,","))&amp;",",","&amp;SUBSTITUTE(input_faculty_discipline," ","")&amp;",")))&gt;0)),IF(EE165="",TRUE,IF(input_faculty_discipline="",FALSE,SUMPRODUCT(--ISNUMBER(SEARCH(","&amp;TRIM(TEXTSPLIT(EE165,","))&amp;",",","&amp;SUBSTITUTE(input_faculty_discipline," ","")&amp;",")))=COUNTA(TEXTSPLIT(EE165,",")))),IF(EG165="",TRUE,IF(input_faculty_discipline="",TRUE,SUMPRODUCT(--ISNUMBER(SEARCH(","&amp;TRIM(TEXTSPLIT(EG165,","))&amp;",",","&amp;SUBSTITUTE(input_faculty_discipline," ","")&amp;",")))=0)),IF(EI165="",TRUE,IF(input_faculty_discipline="",FALSE,SUMPRODUCT(--ISNUMBER(SEARCH(","&amp;TRIM(TEXTSPLIT(EI165,","))&amp;",",","&amp;SUBSTITUTE(input_faculty_discipline," ","")&amp;",")))&gt;0)),IF(EK165="",TRUE,IF(input_faculty_discipline="",FALSE,SUMPRODUCT(--ISNUMBER(SEARCH(","&amp;TRIM(TEXTSPLIT(EK165,","))&amp;",",","&amp;SUBSTITUTE(input_faculty_discipline," ","")&amp;",")))=COUNTA(TEXTSPLIT(EK165,",")))))</f>
        <v/>
      </c>
      <c r="JG165">
        <f>AND(IF(EM165="",TRUE,IF(input_faculty_expertise="",FALSE,SUMPRODUCT(--ISNUMBER(SEARCH(","&amp;TRIM(TEXTSPLIT(EM165,","))&amp;",",","&amp;SUBSTITUTE(input_faculty_expertise," ","")&amp;",")))&gt;0)),IF(EO165="",TRUE,IF(input_faculty_expertise="",FALSE,SUMPRODUCT(--ISNUMBER(SEARCH(","&amp;TRIM(TEXTSPLIT(EO165,","))&amp;",",","&amp;SUBSTITUTE(input_faculty_expertise," ","")&amp;",")))=COUNTA(TEXTSPLIT(EO165,",")))),IF(EQ165="",TRUE,IF(input_faculty_expertise="",TRUE,SUMPRODUCT(--ISNUMBER(SEARCH(","&amp;TRIM(TEXTSPLIT(EQ165,","))&amp;",",","&amp;SUBSTITUTE(input_faculty_expertise," ","")&amp;",")))=0)),IF(ES165="",TRUE,IF(input_faculty_expertise="",FALSE,SUMPRODUCT(--ISNUMBER(SEARCH(","&amp;TRIM(TEXTSPLIT(ES165,","))&amp;",",","&amp;SUBSTITUTE(input_faculty_expertise," ","")&amp;",")))&gt;0)),IF(EU165="",TRUE,IF(input_faculty_expertise="",FALSE,SUMPRODUCT(--ISNUMBER(SEARCH(","&amp;TRIM(TEXTSPLIT(EU165,","))&amp;",",","&amp;SUBSTITUTE(input_faculty_expertise," ","")&amp;",")))=COUNTA(TEXTSPLIT(EU165,",")))))</f>
        <v/>
      </c>
      <c r="JH165">
        <f>AND(IF(EW165="",TRUE,IF(input_global_network_school="",FALSE,SUMPRODUCT(--ISNUMBER(SEARCH(","&amp;TRIM(TEXTSPLIT(EW165,","))&amp;",",","&amp;SUBSTITUTE(input_global_network_school," ","")&amp;",")))&gt;0)),IF(EY165="",TRUE,IF(input_global_network_school="",FALSE,SUMPRODUCT(--ISNUMBER(SEARCH(","&amp;TRIM(TEXTSPLIT(EY165,","))&amp;",",","&amp;SUBSTITUTE(input_global_network_school," ","")&amp;",")))=COUNTA(TEXTSPLIT(EY165,",")))),IF(FA165="",TRUE,IF(input_global_network_school="",TRUE,SUMPRODUCT(--ISNUMBER(SEARCH(","&amp;TRIM(TEXTSPLIT(FA165,","))&amp;",",","&amp;SUBSTITUTE(input_global_network_school," ","")&amp;",")))=0)),IF(FC165="",TRUE,IF(input_global_network_school="",FALSE,SUMPRODUCT(--ISNUMBER(SEARCH(","&amp;TRIM(TEXTSPLIT(FC165,","))&amp;",",","&amp;SUBSTITUTE(input_global_network_school," ","")&amp;",")))&gt;0)),IF(FE165="",TRUE,IF(input_global_network_school="",FALSE,SUMPRODUCT(--ISNUMBER(SEARCH(","&amp;TRIM(TEXTSPLIT(FE165,","))&amp;",",","&amp;SUBSTITUTE(input_global_network_school," ","")&amp;",")))=COUNTA(TEXTSPLIT(FE165,",")))))</f>
        <v/>
      </c>
      <c r="JI165">
        <f>AND(IF(FG165="",TRUE,IF(input_industry="",FALSE,SUMPRODUCT(--ISNUMBER(SEARCH(","&amp;TRIM(TEXTSPLIT(FG165,","))&amp;",",","&amp;SUBSTITUTE(input_industry," ","")&amp;",")))&gt;0)),IF(FI165="",TRUE,IF(input_industry="",FALSE,SUMPRODUCT(--ISNUMBER(SEARCH(","&amp;TRIM(TEXTSPLIT(FI165,","))&amp;",",","&amp;SUBSTITUTE(input_industry," ","")&amp;",")))=COUNTA(TEXTSPLIT(FI165,",")))),IF(FK165="",TRUE,IF(input_industry="",TRUE,SUMPRODUCT(--ISNUMBER(SEARCH(","&amp;TRIM(TEXTSPLIT(FK165,","))&amp;",",","&amp;SUBSTITUTE(input_industry," ","")&amp;",")))=0)),IF(FM165="",TRUE,IF(input_industry="",FALSE,SUMPRODUCT(--ISNUMBER(SEARCH(","&amp;TRIM(TEXTSPLIT(FM165,","))&amp;",",","&amp;SUBSTITUTE(input_industry," ","")&amp;",")))&gt;0)),IF(FO165="",TRUE,IF(input_industry="",FALSE,SUMPRODUCT(--ISNUMBER(SEARCH(","&amp;TRIM(TEXTSPLIT(FO165,","))&amp;",",","&amp;SUBSTITUTE(input_industry," ","")&amp;",")))=COUNTA(TEXTSPLIT(FO165,",")))))</f>
        <v/>
      </c>
      <c r="JJ165">
        <f>AND(IF(FQ165="",TRUE,IF(input_location="",FALSE,SUMPRODUCT(--ISNUMBER(SEARCH(","&amp;TRIM(TEXTSPLIT(FQ165,","))&amp;",",","&amp;SUBSTITUTE(input_location," ","")&amp;",")))&gt;0)),IF(FS165="",TRUE,IF(input_location="",FALSE,SUMPRODUCT(--ISNUMBER(SEARCH(","&amp;TRIM(TEXTSPLIT(FS165,","))&amp;",",","&amp;SUBSTITUTE(input_location," ","")&amp;",")))=COUNTA(TEXTSPLIT(FS165,",")))),IF(FU165="",TRUE,IF(input_location="",TRUE,SUMPRODUCT(--ISNUMBER(SEARCH(","&amp;TRIM(TEXTSPLIT(FU165,","))&amp;",",","&amp;SUBSTITUTE(input_location," ","")&amp;",")))=0)),IF(FW165="",TRUE,IF(input_location="",FALSE,SUMPRODUCT(--ISNUMBER(SEARCH(","&amp;TRIM(TEXTSPLIT(FW165,","))&amp;",",","&amp;SUBSTITUTE(input_location," ","")&amp;",")))&gt;0)),IF(FY165="",TRUE,IF(input_location="",FALSE,SUMPRODUCT(--ISNUMBER(SEARCH(","&amp;TRIM(TEXTSPLIT(FY165,","))&amp;",",","&amp;SUBSTITUTE(input_location," ","")&amp;",")))=COUNTA(TEXTSPLIT(FY165,",")))))</f>
        <v/>
      </c>
      <c r="JK165">
        <f>AND(IF(GA165="",TRUE,IF(input_modality="",FALSE,SUMPRODUCT(--ISNUMBER(SEARCH(","&amp;TRIM(TEXTSPLIT(GA165,","))&amp;",",","&amp;SUBSTITUTE(input_modality," ","")&amp;",")))&gt;0)),IF(GC165="",TRUE,IF(input_modality="",FALSE,SUMPRODUCT(--ISNUMBER(SEARCH(","&amp;TRIM(TEXTSPLIT(GC165,","))&amp;",",","&amp;SUBSTITUTE(input_modality," ","")&amp;",")))=COUNTA(TEXTSPLIT(GC165,",")))),IF(GE165="",TRUE,IF(input_modality="",TRUE,SUMPRODUCT(--ISNUMBER(SEARCH(","&amp;TRIM(TEXTSPLIT(GE165,","))&amp;",",","&amp;SUBSTITUTE(input_modality," ","")&amp;",")))=0)),IF(GG165="",TRUE,IF(input_modality="",FALSE,SUMPRODUCT(--ISNUMBER(SEARCH(","&amp;TRIM(TEXTSPLIT(GG165,","))&amp;",",","&amp;SUBSTITUTE(input_modality," ","")&amp;",")))&gt;0)),IF(GI165="",TRUE,IF(input_modality="",FALSE,SUMPRODUCT(--ISNUMBER(SEARCH(","&amp;TRIM(TEXTSPLIT(GI165,","))&amp;",",","&amp;SUBSTITUTE(input_modality," ","")&amp;",")))=COUNTA(TEXTSPLIT(GI165,",")))))</f>
        <v/>
      </c>
      <c r="JL165">
        <f>AND(IF(GK165="",TRUE,IF(input_organizer="",FALSE,SUMPRODUCT(--ISNUMBER(SEARCH(","&amp;TRIM(TEXTSPLIT(GK165,","))&amp;",",","&amp;SUBSTITUTE(input_organizer," ","")&amp;",")))&gt;0)),IF(GM165="",TRUE,IF(input_organizer="",FALSE,SUMPRODUCT(--ISNUMBER(SEARCH(","&amp;TRIM(TEXTSPLIT(GM165,","))&amp;",",","&amp;SUBSTITUTE(input_organizer," ","")&amp;",")))=COUNTA(TEXTSPLIT(GM165,",")))),IF(GO165="",TRUE,IF(input_organizer="",TRUE,SUMPRODUCT(--ISNUMBER(SEARCH(","&amp;TRIM(TEXTSPLIT(GO165,","))&amp;",",","&amp;SUBSTITUTE(input_organizer," ","")&amp;",")))=0)),IF(GQ165="",TRUE,IF(input_organizer="",FALSE,SUMPRODUCT(--ISNUMBER(SEARCH(","&amp;TRIM(TEXTSPLIT(GQ165,","))&amp;",",","&amp;SUBSTITUTE(input_organizer," ","")&amp;",")))&gt;0)),IF(GS165="",TRUE,IF(input_organizer="",FALSE,SUMPRODUCT(--ISNUMBER(SEARCH(","&amp;TRIM(TEXTSPLIT(GS165,","))&amp;",",","&amp;SUBSTITUTE(input_organizer," ","")&amp;",")))=COUNTA(TEXTSPLIT(GS165,",")))))</f>
        <v/>
      </c>
      <c r="JM165">
        <f>AND(IF(GU165="",TRUE,IF(input_profile_type="",FALSE,SUMPRODUCT(--ISNUMBER(SEARCH(","&amp;TRIM(TEXTSPLIT(GU165,","))&amp;",",","&amp;SUBSTITUTE(input_profile_type," ","")&amp;",")))&gt;0)),IF(GW165="",TRUE,IF(input_profile_type="",FALSE,SUMPRODUCT(--ISNUMBER(SEARCH(","&amp;TRIM(TEXTSPLIT(GW165,","))&amp;",",","&amp;SUBSTITUTE(input_profile_type," ","")&amp;",")))=COUNTA(TEXTSPLIT(GW165,",")))),IF(GY165="",TRUE,IF(input_profile_type="",TRUE,SUMPRODUCT(--ISNUMBER(SEARCH(","&amp;TRIM(TEXTSPLIT(GY165,","))&amp;",",","&amp;SUBSTITUTE(input_profile_type," ","")&amp;",")))=0)),IF(HA165="",TRUE,IF(input_profile_type="",FALSE,SUMPRODUCT(--ISNUMBER(SEARCH(","&amp;TRIM(TEXTSPLIT(HA165,","))&amp;",",","&amp;SUBSTITUTE(input_profile_type," ","")&amp;",")))&gt;0)),IF(HC165="",TRUE,IF(input_profile_type="",FALSE,SUMPRODUCT(--ISNUMBER(SEARCH(","&amp;TRIM(TEXTSPLIT(HC165,","))&amp;",",","&amp;SUBSTITUTE(input_profile_type," ","")&amp;",")))=COUNTA(TEXTSPLIT(HC165,",")))))</f>
        <v/>
      </c>
      <c r="JN165">
        <f>AND(IF(HE165="",TRUE,IF(input_program="",FALSE,SUMPRODUCT(--ISNUMBER(SEARCH(","&amp;TRIM(TEXTSPLIT(HE165,","))&amp;",",","&amp;SUBSTITUTE(input_program," ","")&amp;",")))&gt;0)),IF(HG165="",TRUE,IF(input_program="",FALSE,SUMPRODUCT(--ISNUMBER(SEARCH(","&amp;TRIM(TEXTSPLIT(HG165,","))&amp;",",","&amp;SUBSTITUTE(input_program," ","")&amp;",")))=COUNTA(TEXTSPLIT(HG165,",")))),IF(HI165="",TRUE,IF(input_program="",TRUE,SUMPRODUCT(--ISNUMBER(SEARCH(","&amp;TRIM(TEXTSPLIT(HI165,","))&amp;",",","&amp;SUBSTITUTE(input_program," ","")&amp;",")))=0)),IF(HK165="",TRUE,IF(input_program="",FALSE,SUMPRODUCT(--ISNUMBER(SEARCH(","&amp;TRIM(TEXTSPLIT(HK165,","))&amp;",",","&amp;SUBSTITUTE(input_program," ","")&amp;",")))&gt;0)),IF(HM165="",TRUE,IF(input_program="",FALSE,SUMPRODUCT(--ISNUMBER(SEARCH(","&amp;TRIM(TEXTSPLIT(HM165,","))&amp;",",","&amp;SUBSTITUTE(input_program," ","")&amp;",")))=COUNTA(TEXTSPLIT(HM165,",")))))</f>
        <v/>
      </c>
      <c r="JO165">
        <f>AND(IF(HO165="",TRUE,IF(input_story_categories="",FALSE,SUMPRODUCT(--ISNUMBER(SEARCH(","&amp;TRIM(TEXTSPLIT(HO165,","))&amp;",",","&amp;SUBSTITUTE(input_story_categories," ","")&amp;",")))&gt;0)),IF(HQ165="",TRUE,IF(input_story_categories="",FALSE,SUMPRODUCT(--ISNUMBER(SEARCH(","&amp;TRIM(TEXTSPLIT(HQ165,","))&amp;",",","&amp;SUBSTITUTE(input_story_categories," ","")&amp;",")))=COUNTA(TEXTSPLIT(HQ165,",")))),IF(HS165="",TRUE,IF(input_story_categories="",TRUE,SUMPRODUCT(--ISNUMBER(SEARCH(","&amp;TRIM(TEXTSPLIT(HS165,","))&amp;",",","&amp;SUBSTITUTE(input_story_categories," ","")&amp;",")))=0)),IF(HU165="",TRUE,IF(input_story_categories="",FALSE,SUMPRODUCT(--ISNUMBER(SEARCH(","&amp;TRIM(TEXTSPLIT(HU165,","))&amp;",",","&amp;SUBSTITUTE(input_story_categories," ","")&amp;",")))&gt;0)),IF(HW165="",TRUE,IF(input_story_categories="",FALSE,SUMPRODUCT(--ISNUMBER(SEARCH(","&amp;TRIM(TEXTSPLIT(HW165,","))&amp;",",","&amp;SUBSTITUTE(input_story_categories," ","")&amp;",")))=COUNTA(TEXTSPLIT(HW165,",")))))</f>
        <v/>
      </c>
      <c r="JP165">
        <f>AND(IF(HY165="",TRUE,IF(input_story_type="",FALSE,SUMPRODUCT(--ISNUMBER(SEARCH(","&amp;TRIM(TEXTSPLIT(HY165,","))&amp;",",","&amp;SUBSTITUTE(input_story_type," ","")&amp;",")))&gt;0)),IF(IA165="",TRUE,IF(input_story_type="",FALSE,SUMPRODUCT(--ISNUMBER(SEARCH(","&amp;TRIM(TEXTSPLIT(IA165,","))&amp;",",","&amp;SUBSTITUTE(input_story_type," ","")&amp;",")))=COUNTA(TEXTSPLIT(IA165,",")))),IF(IC165="",TRUE,IF(input_story_type="",TRUE,SUMPRODUCT(--ISNUMBER(SEARCH(","&amp;TRIM(TEXTSPLIT(IC165,","))&amp;",",","&amp;SUBSTITUTE(input_story_type," ","")&amp;",")))=0)),IF(IE165="",TRUE,IF(input_story_type="",FALSE,SUMPRODUCT(--ISNUMBER(SEARCH(","&amp;TRIM(TEXTSPLIT(IE165,","))&amp;",",","&amp;SUBSTITUTE(input_story_type," ","")&amp;",")))&gt;0)),IF(IG165="",TRUE,IF(input_story_type="",FALSE,SUMPRODUCT(--ISNUMBER(SEARCH(","&amp;TRIM(TEXTSPLIT(IG165,","))&amp;",",","&amp;SUBSTITUTE(input_story_type," ","")&amp;",")))=COUNTA(TEXTSPLIT(IG165,",")))))</f>
        <v/>
      </c>
      <c r="JQ165">
        <f>AND(IF(II165="",TRUE,IF(input_topics="",FALSE,SUMPRODUCT(--ISNUMBER(SEARCH(","&amp;TRIM(TEXTSPLIT(II165,","))&amp;",",","&amp;SUBSTITUTE(input_topics," ","")&amp;",")))&gt;0)),IF(IK165="",TRUE,IF(input_topics="",FALSE,SUMPRODUCT(--ISNUMBER(SEARCH(","&amp;TRIM(TEXTSPLIT(IK165,","))&amp;",",","&amp;SUBSTITUTE(input_topics," ","")&amp;",")))=COUNTA(TEXTSPLIT(IK165,",")))),IF(IM165="",TRUE,IF(input_topics="",TRUE,SUMPRODUCT(--ISNUMBER(SEARCH(","&amp;TRIM(TEXTSPLIT(IM165,","))&amp;",",","&amp;SUBSTITUTE(input_topics," ","")&amp;",")))=0)),IF(IO165="",TRUE,IF(input_topics="",FALSE,SUMPRODUCT(--ISNUMBER(SEARCH(","&amp;TRIM(TEXTSPLIT(IO165,","))&amp;",",","&amp;SUBSTITUTE(input_topics," ","")&amp;",")))&gt;0)),IF(IQ165="",TRUE,IF(input_topics="",FALSE,SUMPRODUCT(--ISNUMBER(SEARCH(","&amp;TRIM(TEXTSPLIT(IQ165,","))&amp;",",","&amp;SUBSTITUTE(input_topics," ","")&amp;",")))=COUNTA(TEXTSPLIT(IQ165,",")))))</f>
        <v/>
      </c>
    </row>
    <row r="166">
      <c r="A166" s="4">
        <f>IF(NOT(IS166),"Excluded",IF(AND(IT166,IU166,IV166,IW166,IX166,IY166,IZ166,JA166,JB166,JC166,JD166,JE166,JF166,JG166,JH166,JI166,JJ166,JK166,JL166,JM166,JN166,JO166,JP166,JQ166),IF(I166&gt;0,"Eligible but limited","Will appear"),"Excluded"))</f>
        <v/>
      </c>
      <c r="B166" s="4" t="inlineStr">
        <is>
          <t>Related profiles on profile pages</t>
        </is>
      </c>
      <c r="C166" s="4" t="inlineStr">
        <is>
          <t>/profile/faculty/k-sudhir</t>
        </is>
      </c>
      <c r="D166" s="4" t="inlineStr">
        <is>
          <t>/profile/faculty/k-sudhir
/profile/faculty/vahideh-manshadi
/profile/professor-barry-nalebuff</t>
        </is>
      </c>
      <c r="E166" s="4" t="n">
        <v>11</v>
      </c>
      <c r="F166" s="4" t="inlineStr">
        <is>
          <t>profile</t>
        </is>
      </c>
      <c r="G166" s="4" t="inlineStr">
        <is>
          <t>profiles_grid</t>
        </is>
      </c>
      <c r="H166" s="4" t="inlineStr">
        <is>
          <t>related</t>
        </is>
      </c>
      <c r="I166" s="4" t="n">
        <v>3</v>
      </c>
      <c r="J166" s="4" t="inlineStr">
        <is>
          <t>Explicit args</t>
        </is>
      </c>
      <c r="K166" s="4" t="inlineStr">
        <is>
          <t>Grouped surface</t>
        </is>
      </c>
      <c r="L166" s="4" t="inlineStr">
        <is>
          <t>Content type: profile; Context uses Profile Type: Faculty (1550); Context uses Program: all; Limited to 3 item(s); Source: Explicit args</t>
        </is>
      </c>
      <c r="M166" t="inlineStr"/>
      <c r="N166" t="inlineStr"/>
      <c r="O166" t="inlineStr"/>
      <c r="P166" t="inlineStr"/>
      <c r="Q166" t="inlineStr"/>
      <c r="R166" t="inlineStr"/>
      <c r="S166" t="inlineStr"/>
      <c r="T166" t="inlineStr"/>
      <c r="U166" t="inlineStr"/>
      <c r="V166" t="inlineStr"/>
      <c r="W166" t="inlineStr"/>
      <c r="X166" t="inlineStr"/>
      <c r="Y166" t="inlineStr"/>
      <c r="Z166" t="inlineStr"/>
      <c r="AA166" t="inlineStr"/>
      <c r="AB166" t="inlineStr"/>
      <c r="AC166" t="inlineStr"/>
      <c r="AD166" t="inlineStr"/>
      <c r="AE166" t="inlineStr"/>
      <c r="AF166" t="inlineStr"/>
      <c r="AG166" t="inlineStr"/>
      <c r="AH166" t="inlineStr"/>
      <c r="AI166" t="inlineStr"/>
      <c r="AJ166" t="inlineStr"/>
      <c r="AK166" t="inlineStr"/>
      <c r="AL166" t="inlineStr"/>
      <c r="AM166" t="inlineStr"/>
      <c r="AN166" t="inlineStr"/>
      <c r="AO166" t="inlineStr"/>
      <c r="AP166" t="inlineStr"/>
      <c r="AQ166" t="inlineStr"/>
      <c r="AR166" t="inlineStr"/>
      <c r="AS166" t="inlineStr"/>
      <c r="AT166" t="inlineStr"/>
      <c r="AU166" t="inlineStr"/>
      <c r="AV166" t="inlineStr"/>
      <c r="AW166" t="inlineStr"/>
      <c r="AX166" t="inlineStr"/>
      <c r="AY166" t="inlineStr"/>
      <c r="AZ166" t="inlineStr"/>
      <c r="BA166" t="inlineStr"/>
      <c r="BB166" t="inlineStr"/>
      <c r="BC166" t="inlineStr"/>
      <c r="BD166" t="inlineStr"/>
      <c r="BE166" t="inlineStr"/>
      <c r="BF166" t="inlineStr"/>
      <c r="BG166" t="inlineStr"/>
      <c r="BH166" t="inlineStr"/>
      <c r="BI166" t="inlineStr"/>
      <c r="BJ166" t="inlineStr"/>
      <c r="BK166" t="inlineStr"/>
      <c r="BL166" t="inlineStr"/>
      <c r="BM166" t="inlineStr"/>
      <c r="BN166" t="inlineStr"/>
      <c r="BO166" t="inlineStr"/>
      <c r="BP166" t="inlineStr"/>
      <c r="BQ166" t="inlineStr"/>
      <c r="BR166" t="inlineStr"/>
      <c r="BS166" t="inlineStr"/>
      <c r="BT166" t="inlineStr"/>
      <c r="BU166" t="inlineStr"/>
      <c r="BV166" t="inlineStr"/>
      <c r="BW166" t="inlineStr"/>
      <c r="BX166" t="inlineStr"/>
      <c r="BY166" t="inlineStr"/>
      <c r="BZ166" t="inlineStr"/>
      <c r="CA166" t="inlineStr"/>
      <c r="CB166" t="inlineStr"/>
      <c r="CC166" t="inlineStr"/>
      <c r="CD166" t="inlineStr"/>
      <c r="CE166" t="inlineStr"/>
      <c r="CF166" t="inlineStr"/>
      <c r="CG166" t="inlineStr"/>
      <c r="CH166" t="inlineStr"/>
      <c r="CI166" t="inlineStr"/>
      <c r="CJ166" t="inlineStr"/>
      <c r="CK166" t="inlineStr"/>
      <c r="CL166" t="inlineStr"/>
      <c r="CM166" t="inlineStr"/>
      <c r="CN166" t="inlineStr"/>
      <c r="CO166" t="inlineStr"/>
      <c r="CP166" t="inlineStr"/>
      <c r="CQ166" t="inlineStr"/>
      <c r="CR166" t="inlineStr"/>
      <c r="CS166" t="inlineStr"/>
      <c r="CT166" t="inlineStr"/>
      <c r="CU166" t="inlineStr"/>
      <c r="CV166" t="inlineStr"/>
      <c r="CW166" t="inlineStr"/>
      <c r="CX166" t="inlineStr"/>
      <c r="CY166" t="inlineStr"/>
      <c r="CZ166" t="inlineStr"/>
      <c r="DA166" t="inlineStr"/>
      <c r="DB166" t="inlineStr"/>
      <c r="DC166" t="inlineStr"/>
      <c r="DD166" t="inlineStr"/>
      <c r="DE166" t="inlineStr"/>
      <c r="DF166" t="inlineStr"/>
      <c r="DG166" t="inlineStr"/>
      <c r="DH166" t="inlineStr"/>
      <c r="DI166" t="inlineStr"/>
      <c r="DJ166" t="inlineStr"/>
      <c r="DK166" t="inlineStr"/>
      <c r="DL166" t="inlineStr"/>
      <c r="DM166" t="inlineStr"/>
      <c r="DN166" t="inlineStr"/>
      <c r="DO166" t="inlineStr"/>
      <c r="DP166" t="inlineStr"/>
      <c r="DQ166" t="inlineStr"/>
      <c r="DR166" t="inlineStr"/>
      <c r="DS166" t="inlineStr"/>
      <c r="DT166" t="inlineStr"/>
      <c r="DU166" t="inlineStr"/>
      <c r="DV166" t="inlineStr"/>
      <c r="DW166" t="inlineStr"/>
      <c r="DX166" t="inlineStr"/>
      <c r="DY166" t="inlineStr"/>
      <c r="DZ166" t="inlineStr"/>
      <c r="EA166" t="inlineStr"/>
      <c r="EB166" t="inlineStr"/>
      <c r="EC166" t="inlineStr"/>
      <c r="ED166" t="inlineStr"/>
      <c r="EE166" t="inlineStr"/>
      <c r="EF166" t="inlineStr"/>
      <c r="EG166" t="inlineStr"/>
      <c r="EH166" t="inlineStr"/>
      <c r="EI166" t="inlineStr"/>
      <c r="EJ166" t="inlineStr"/>
      <c r="EK166" t="inlineStr"/>
      <c r="EL166" t="inlineStr"/>
      <c r="EM166" t="inlineStr"/>
      <c r="EN166" t="inlineStr"/>
      <c r="EO166" t="inlineStr"/>
      <c r="EP166" t="inlineStr"/>
      <c r="EQ166" t="inlineStr"/>
      <c r="ER166" t="inlineStr"/>
      <c r="ES166" t="inlineStr"/>
      <c r="ET166" t="inlineStr"/>
      <c r="EU166" t="inlineStr"/>
      <c r="EV166" t="inlineStr"/>
      <c r="EW166" t="inlineStr"/>
      <c r="EX166" t="inlineStr"/>
      <c r="EY166" t="inlineStr"/>
      <c r="EZ166" t="inlineStr"/>
      <c r="FA166" t="inlineStr"/>
      <c r="FB166" t="inlineStr"/>
      <c r="FC166" t="inlineStr"/>
      <c r="FD166" t="inlineStr"/>
      <c r="FE166" t="inlineStr"/>
      <c r="FF166" t="inlineStr"/>
      <c r="FG166" t="inlineStr"/>
      <c r="FH166" t="inlineStr"/>
      <c r="FI166" t="inlineStr"/>
      <c r="FJ166" t="inlineStr"/>
      <c r="FK166" t="inlineStr"/>
      <c r="FL166" t="inlineStr"/>
      <c r="FM166" t="inlineStr"/>
      <c r="FN166" t="inlineStr"/>
      <c r="FO166" t="inlineStr"/>
      <c r="FP166" t="inlineStr"/>
      <c r="FQ166" t="inlineStr"/>
      <c r="FR166" t="inlineStr"/>
      <c r="FS166" t="inlineStr"/>
      <c r="FT166" t="inlineStr"/>
      <c r="FU166" t="inlineStr"/>
      <c r="FV166" t="inlineStr"/>
      <c r="FW166" t="inlineStr"/>
      <c r="FX166" t="inlineStr"/>
      <c r="FY166" t="inlineStr"/>
      <c r="FZ166" t="inlineStr"/>
      <c r="GA166" t="inlineStr"/>
      <c r="GB166" t="inlineStr"/>
      <c r="GC166" t="inlineStr"/>
      <c r="GD166" t="inlineStr"/>
      <c r="GE166" t="inlineStr"/>
      <c r="GF166" t="inlineStr"/>
      <c r="GG166" t="inlineStr"/>
      <c r="GH166" t="inlineStr"/>
      <c r="GI166" t="inlineStr"/>
      <c r="GJ166" t="inlineStr"/>
      <c r="GK166" t="inlineStr"/>
      <c r="GL166" t="inlineStr"/>
      <c r="GM166" t="inlineStr"/>
      <c r="GN166" t="inlineStr"/>
      <c r="GO166" t="inlineStr"/>
      <c r="GP166" t="inlineStr"/>
      <c r="GQ166" t="inlineStr"/>
      <c r="GR166" t="inlineStr"/>
      <c r="GS166" t="inlineStr"/>
      <c r="GT166" t="inlineStr"/>
      <c r="GU166" t="inlineStr"/>
      <c r="GV166" t="inlineStr"/>
      <c r="GW166" t="inlineStr"/>
      <c r="GX166" t="inlineStr"/>
      <c r="GY166" t="inlineStr"/>
      <c r="GZ166" t="inlineStr"/>
      <c r="HA166" t="inlineStr">
        <is>
          <t>1550</t>
        </is>
      </c>
      <c r="HB166" t="inlineStr">
        <is>
          <t>Faculty (1550)</t>
        </is>
      </c>
      <c r="HC166" t="inlineStr"/>
      <c r="HD166" t="inlineStr"/>
      <c r="HE166" t="inlineStr"/>
      <c r="HF166" t="inlineStr"/>
      <c r="HG166" t="inlineStr"/>
      <c r="HH166" t="inlineStr"/>
      <c r="HI166" t="inlineStr"/>
      <c r="HJ166" t="inlineStr"/>
      <c r="HK166" t="inlineStr">
        <is>
          <t>all</t>
        </is>
      </c>
      <c r="HL166" t="inlineStr">
        <is>
          <t>all</t>
        </is>
      </c>
      <c r="HM166" t="inlineStr"/>
      <c r="HN166" t="inlineStr"/>
      <c r="HO166" t="inlineStr"/>
      <c r="HP166" t="inlineStr"/>
      <c r="HQ166" t="inlineStr"/>
      <c r="HR166" t="inlineStr"/>
      <c r="HS166" t="inlineStr"/>
      <c r="HT166" t="inlineStr"/>
      <c r="HU166" t="inlineStr"/>
      <c r="HV166" t="inlineStr"/>
      <c r="HW166" t="inlineStr"/>
      <c r="HX166" t="inlineStr"/>
      <c r="HY166" t="inlineStr"/>
      <c r="HZ166" t="inlineStr"/>
      <c r="IA166" t="inlineStr"/>
      <c r="IB166" t="inlineStr"/>
      <c r="IC166" t="inlineStr"/>
      <c r="ID166" t="inlineStr"/>
      <c r="IE166" t="inlineStr"/>
      <c r="IF166" t="inlineStr"/>
      <c r="IG166" t="inlineStr"/>
      <c r="IH166" t="inlineStr"/>
      <c r="II166" t="inlineStr"/>
      <c r="IJ166" t="inlineStr"/>
      <c r="IK166" t="inlineStr"/>
      <c r="IL166" t="inlineStr"/>
      <c r="IM166" t="inlineStr"/>
      <c r="IN166" t="inlineStr"/>
      <c r="IO166" t="inlineStr"/>
      <c r="IP166" t="inlineStr"/>
      <c r="IQ166" t="inlineStr"/>
      <c r="IR166" t="inlineStr"/>
      <c r="IS166">
        <f>IF(input_content_type="",FALSE,ISNUMBER(SEARCH(","&amp;LOWER(input_content_type)&amp;",",","&amp;LOWER(F166)&amp;",")))</f>
        <v/>
      </c>
      <c r="IT166">
        <f>AND(IF(M166="",TRUE,IF(input_affiliations="",FALSE,SUMPRODUCT(--ISNUMBER(SEARCH(","&amp;TRIM(TEXTSPLIT(M166,","))&amp;",",","&amp;SUBSTITUTE(input_affiliations," ","")&amp;",")))&gt;0)),IF(O166="",TRUE,IF(input_affiliations="",FALSE,SUMPRODUCT(--ISNUMBER(SEARCH(","&amp;TRIM(TEXTSPLIT(O166,","))&amp;",",","&amp;SUBSTITUTE(input_affiliations," ","")&amp;",")))=COUNTA(TEXTSPLIT(O166,",")))),IF(Q166="",TRUE,IF(input_affiliations="",TRUE,SUMPRODUCT(--ISNUMBER(SEARCH(","&amp;TRIM(TEXTSPLIT(Q166,","))&amp;",",","&amp;SUBSTITUTE(input_affiliations," ","")&amp;",")))=0)),IF(S166="",TRUE,IF(input_affiliations="",FALSE,SUMPRODUCT(--ISNUMBER(SEARCH(","&amp;TRIM(TEXTSPLIT(S166,","))&amp;",",","&amp;SUBSTITUTE(input_affiliations," ","")&amp;",")))&gt;0)),IF(U166="",TRUE,IF(input_affiliations="",FALSE,SUMPRODUCT(--ISNUMBER(SEARCH(","&amp;TRIM(TEXTSPLIT(U166,","))&amp;",",","&amp;SUBSTITUTE(input_affiliations," ","")&amp;",")))=COUNTA(TEXTSPLIT(U166,",")))))</f>
        <v/>
      </c>
      <c r="IU166">
        <f>AND(IF(W166="",TRUE,IF(input_announcement_category="",FALSE,SUMPRODUCT(--ISNUMBER(SEARCH(","&amp;TRIM(TEXTSPLIT(W166,","))&amp;",",","&amp;SUBSTITUTE(input_announcement_category," ","")&amp;",")))&gt;0)),IF(Y166="",TRUE,IF(input_announcement_category="",FALSE,SUMPRODUCT(--ISNUMBER(SEARCH(","&amp;TRIM(TEXTSPLIT(Y166,","))&amp;",",","&amp;SUBSTITUTE(input_announcement_category," ","")&amp;",")))=COUNTA(TEXTSPLIT(Y166,",")))),IF(AA166="",TRUE,IF(input_announcement_category="",TRUE,SUMPRODUCT(--ISNUMBER(SEARCH(","&amp;TRIM(TEXTSPLIT(AA166,","))&amp;",",","&amp;SUBSTITUTE(input_announcement_category," ","")&amp;",")))=0)),IF(AC166="",TRUE,IF(input_announcement_category="",FALSE,SUMPRODUCT(--ISNUMBER(SEARCH(","&amp;TRIM(TEXTSPLIT(AC166,","))&amp;",",","&amp;SUBSTITUTE(input_announcement_category," ","")&amp;",")))&gt;0)),IF(AE166="",TRUE,IF(input_announcement_category="",FALSE,SUMPRODUCT(--ISNUMBER(SEARCH(","&amp;TRIM(TEXTSPLIT(AE166,","))&amp;",",","&amp;SUBSTITUTE(input_announcement_category," ","")&amp;",")))=COUNTA(TEXTSPLIT(AE166,",")))))</f>
        <v/>
      </c>
      <c r="IV166">
        <f>AND(IF(AG166="",TRUE,IF(input_area_of_focus="",FALSE,SUMPRODUCT(--ISNUMBER(SEARCH(","&amp;TRIM(TEXTSPLIT(AG166,","))&amp;",",","&amp;SUBSTITUTE(input_area_of_focus," ","")&amp;",")))&gt;0)),IF(AI166="",TRUE,IF(input_area_of_focus="",FALSE,SUMPRODUCT(--ISNUMBER(SEARCH(","&amp;TRIM(TEXTSPLIT(AI166,","))&amp;",",","&amp;SUBSTITUTE(input_area_of_focus," ","")&amp;",")))=COUNTA(TEXTSPLIT(AI166,",")))),IF(AK166="",TRUE,IF(input_area_of_focus="",TRUE,SUMPRODUCT(--ISNUMBER(SEARCH(","&amp;TRIM(TEXTSPLIT(AK166,","))&amp;",",","&amp;SUBSTITUTE(input_area_of_focus," ","")&amp;",")))=0)),IF(AM166="",TRUE,IF(input_area_of_focus="",FALSE,SUMPRODUCT(--ISNUMBER(SEARCH(","&amp;TRIM(TEXTSPLIT(AM166,","))&amp;",",","&amp;SUBSTITUTE(input_area_of_focus," ","")&amp;",")))&gt;0)),IF(AO166="",TRUE,IF(input_area_of_focus="",FALSE,SUMPRODUCT(--ISNUMBER(SEARCH(","&amp;TRIM(TEXTSPLIT(AO166,","))&amp;",",","&amp;SUBSTITUTE(input_area_of_focus," ","")&amp;",")))=COUNTA(TEXTSPLIT(AO166,",")))))</f>
        <v/>
      </c>
      <c r="IW166">
        <f>AND(IF(AQ166="",TRUE,IF(input_audience="",FALSE,SUMPRODUCT(--ISNUMBER(SEARCH(","&amp;TRIM(TEXTSPLIT(AQ166,","))&amp;",",","&amp;SUBSTITUTE(input_audience," ","")&amp;",")))&gt;0)),IF(AS166="",TRUE,IF(input_audience="",FALSE,SUMPRODUCT(--ISNUMBER(SEARCH(","&amp;TRIM(TEXTSPLIT(AS166,","))&amp;",",","&amp;SUBSTITUTE(input_audience," ","")&amp;",")))=COUNTA(TEXTSPLIT(AS166,",")))),IF(AU166="",TRUE,IF(input_audience="",TRUE,SUMPRODUCT(--ISNUMBER(SEARCH(","&amp;TRIM(TEXTSPLIT(AU166,","))&amp;",",","&amp;SUBSTITUTE(input_audience," ","")&amp;",")))=0)),IF(AW166="",TRUE,IF(input_audience="",FALSE,SUMPRODUCT(--ISNUMBER(SEARCH(","&amp;TRIM(TEXTSPLIT(AW166,","))&amp;",",","&amp;SUBSTITUTE(input_audience," ","")&amp;",")))&gt;0)),IF(AY166="",TRUE,IF(input_audience="",FALSE,SUMPRODUCT(--ISNUMBER(SEARCH(","&amp;TRIM(TEXTSPLIT(AY166,","))&amp;",",","&amp;SUBSTITUTE(input_audience," ","")&amp;",")))=COUNTA(TEXTSPLIT(AY166,",")))))</f>
        <v/>
      </c>
      <c r="IX166">
        <f>AND(IF(BA166="",TRUE,IF(input_challenge_opportunities="",FALSE,SUMPRODUCT(--ISNUMBER(SEARCH(","&amp;TRIM(TEXTSPLIT(BA166,","))&amp;",",","&amp;SUBSTITUTE(input_challenge_opportunities," ","")&amp;",")))&gt;0)),IF(BC166="",TRUE,IF(input_challenge_opportunities="",FALSE,SUMPRODUCT(--ISNUMBER(SEARCH(","&amp;TRIM(TEXTSPLIT(BC166,","))&amp;",",","&amp;SUBSTITUTE(input_challenge_opportunities," ","")&amp;",")))=COUNTA(TEXTSPLIT(BC166,",")))),IF(BE166="",TRUE,IF(input_challenge_opportunities="",TRUE,SUMPRODUCT(--ISNUMBER(SEARCH(","&amp;TRIM(TEXTSPLIT(BE166,","))&amp;",",","&amp;SUBSTITUTE(input_challenge_opportunities," ","")&amp;",")))=0)),IF(BG166="",TRUE,IF(input_challenge_opportunities="",FALSE,SUMPRODUCT(--ISNUMBER(SEARCH(","&amp;TRIM(TEXTSPLIT(BG166,","))&amp;",",","&amp;SUBSTITUTE(input_challenge_opportunities," ","")&amp;",")))&gt;0)),IF(BI166="",TRUE,IF(input_challenge_opportunities="",FALSE,SUMPRODUCT(--ISNUMBER(SEARCH(","&amp;TRIM(TEXTSPLIT(BI166,","))&amp;",",","&amp;SUBSTITUTE(input_challenge_opportunities," ","")&amp;",")))=COUNTA(TEXTSPLIT(BI166,",")))))</f>
        <v/>
      </c>
      <c r="IY166">
        <f>AND(IF(BK166="",TRUE,IF(input_context="",FALSE,SUMPRODUCT(--ISNUMBER(SEARCH(","&amp;TRIM(TEXTSPLIT(BK166,","))&amp;",",","&amp;SUBSTITUTE(input_context," ","")&amp;",")))&gt;0)),IF(BM166="",TRUE,IF(input_context="",FALSE,SUMPRODUCT(--ISNUMBER(SEARCH(","&amp;TRIM(TEXTSPLIT(BM166,","))&amp;",",","&amp;SUBSTITUTE(input_context," ","")&amp;",")))=COUNTA(TEXTSPLIT(BM166,",")))),IF(BO166="",TRUE,IF(input_context="",TRUE,SUMPRODUCT(--ISNUMBER(SEARCH(","&amp;TRIM(TEXTSPLIT(BO166,","))&amp;",",","&amp;SUBSTITUTE(input_context," ","")&amp;",")))=0)),IF(BQ166="",TRUE,IF(input_context="",FALSE,SUMPRODUCT(--ISNUMBER(SEARCH(","&amp;TRIM(TEXTSPLIT(BQ166,","))&amp;",",","&amp;SUBSTITUTE(input_context," ","")&amp;",")))&gt;0)),IF(BS166="",TRUE,IF(input_context="",FALSE,SUMPRODUCT(--ISNUMBER(SEARCH(","&amp;TRIM(TEXTSPLIT(BS166,","))&amp;",",","&amp;SUBSTITUTE(input_context," ","")&amp;",")))=COUNTA(TEXTSPLIT(BS166,",")))))</f>
        <v/>
      </c>
      <c r="IZ166">
        <f>AND(IF(BU166="",TRUE,IF(input_enews_announcement_type="",FALSE,SUMPRODUCT(--ISNUMBER(SEARCH(","&amp;TRIM(TEXTSPLIT(BU166,","))&amp;",",","&amp;SUBSTITUTE(input_enews_announcement_type," ","")&amp;",")))&gt;0)),IF(BW166="",TRUE,IF(input_enews_announcement_type="",FALSE,SUMPRODUCT(--ISNUMBER(SEARCH(","&amp;TRIM(TEXTSPLIT(BW166,","))&amp;",",","&amp;SUBSTITUTE(input_enews_announcement_type," ","")&amp;",")))=COUNTA(TEXTSPLIT(BW166,",")))),IF(BY166="",TRUE,IF(input_enews_announcement_type="",TRUE,SUMPRODUCT(--ISNUMBER(SEARCH(","&amp;TRIM(TEXTSPLIT(BY166,","))&amp;",",","&amp;SUBSTITUTE(input_enews_announcement_type," ","")&amp;",")))=0)),IF(CA166="",TRUE,IF(input_enews_announcement_type="",FALSE,SUMPRODUCT(--ISNUMBER(SEARCH(","&amp;TRIM(TEXTSPLIT(CA166,","))&amp;",",","&amp;SUBSTITUTE(input_enews_announcement_type," ","")&amp;",")))&gt;0)),IF(CC166="",TRUE,IF(input_enews_announcement_type="",FALSE,SUMPRODUCT(--ISNUMBER(SEARCH(","&amp;TRIM(TEXTSPLIT(CC166,","))&amp;",",","&amp;SUBSTITUTE(input_enews_announcement_type," ","")&amp;",")))=COUNTA(TEXTSPLIT(CC166,",")))))</f>
        <v/>
      </c>
      <c r="JA166">
        <f>AND(IF(CE166="",TRUE,IF(input_enews_audience="",FALSE,SUMPRODUCT(--ISNUMBER(SEARCH(","&amp;TRIM(TEXTSPLIT(CE166,","))&amp;",",","&amp;SUBSTITUTE(input_enews_audience," ","")&amp;",")))&gt;0)),IF(CG166="",TRUE,IF(input_enews_audience="",FALSE,SUMPRODUCT(--ISNUMBER(SEARCH(","&amp;TRIM(TEXTSPLIT(CG166,","))&amp;",",","&amp;SUBSTITUTE(input_enews_audience," ","")&amp;",")))=COUNTA(TEXTSPLIT(CG166,",")))),IF(CI166="",TRUE,IF(input_enews_audience="",TRUE,SUMPRODUCT(--ISNUMBER(SEARCH(","&amp;TRIM(TEXTSPLIT(CI166,","))&amp;",",","&amp;SUBSTITUTE(input_enews_audience," ","")&amp;",")))=0)),IF(CK166="",TRUE,IF(input_enews_audience="",FALSE,SUMPRODUCT(--ISNUMBER(SEARCH(","&amp;TRIM(TEXTSPLIT(CK166,","))&amp;",",","&amp;SUBSTITUTE(input_enews_audience," ","")&amp;",")))&gt;0)),IF(CM166="",TRUE,IF(input_enews_audience="",FALSE,SUMPRODUCT(--ISNUMBER(SEARCH(","&amp;TRIM(TEXTSPLIT(CM166,","))&amp;",",","&amp;SUBSTITUTE(input_enews_audience," ","")&amp;",")))=COUNTA(TEXTSPLIT(CM166,",")))))</f>
        <v/>
      </c>
      <c r="JB166">
        <f>AND(IF(CO166="",TRUE,IF(input_event_location="",FALSE,SUMPRODUCT(--ISNUMBER(SEARCH(","&amp;TRIM(TEXTSPLIT(CO166,","))&amp;",",","&amp;SUBSTITUTE(input_event_location," ","")&amp;",")))&gt;0)),IF(CQ166="",TRUE,IF(input_event_location="",FALSE,SUMPRODUCT(--ISNUMBER(SEARCH(","&amp;TRIM(TEXTSPLIT(CQ166,","))&amp;",",","&amp;SUBSTITUTE(input_event_location," ","")&amp;",")))=COUNTA(TEXTSPLIT(CQ166,",")))),IF(CS166="",TRUE,IF(input_event_location="",TRUE,SUMPRODUCT(--ISNUMBER(SEARCH(","&amp;TRIM(TEXTSPLIT(CS166,","))&amp;",",","&amp;SUBSTITUTE(input_event_location," ","")&amp;",")))=0)),IF(CU166="",TRUE,IF(input_event_location="",FALSE,SUMPRODUCT(--ISNUMBER(SEARCH(","&amp;TRIM(TEXTSPLIT(CU166,","))&amp;",",","&amp;SUBSTITUTE(input_event_location," ","")&amp;",")))&gt;0)),IF(CW166="",TRUE,IF(input_event_location="",FALSE,SUMPRODUCT(--ISNUMBER(SEARCH(","&amp;TRIM(TEXTSPLIT(CW166,","))&amp;",",","&amp;SUBSTITUTE(input_event_location," ","")&amp;",")))=COUNTA(TEXTSPLIT(CW166,",")))))</f>
        <v/>
      </c>
      <c r="JC166">
        <f>AND(IF(CY166="",TRUE,IF(input_event_type="",FALSE,SUMPRODUCT(--ISNUMBER(SEARCH(","&amp;TRIM(TEXTSPLIT(CY166,","))&amp;",",","&amp;SUBSTITUTE(input_event_type," ","")&amp;",")))&gt;0)),IF(DA166="",TRUE,IF(input_event_type="",FALSE,SUMPRODUCT(--ISNUMBER(SEARCH(","&amp;TRIM(TEXTSPLIT(DA166,","))&amp;",",","&amp;SUBSTITUTE(input_event_type," ","")&amp;",")))=COUNTA(TEXTSPLIT(DA166,",")))),IF(DC166="",TRUE,IF(input_event_type="",TRUE,SUMPRODUCT(--ISNUMBER(SEARCH(","&amp;TRIM(TEXTSPLIT(DC166,","))&amp;",",","&amp;SUBSTITUTE(input_event_type," ","")&amp;",")))=0)),IF(DE166="",TRUE,IF(input_event_type="",FALSE,SUMPRODUCT(--ISNUMBER(SEARCH(","&amp;TRIM(TEXTSPLIT(DE166,","))&amp;",",","&amp;SUBSTITUTE(input_event_type," ","")&amp;",")))&gt;0)),IF(DG166="",TRUE,IF(input_event_type="",FALSE,SUMPRODUCT(--ISNUMBER(SEARCH(","&amp;TRIM(TEXTSPLIT(DG166,","))&amp;",",","&amp;SUBSTITUTE(input_event_type," ","")&amp;",")))=COUNTA(TEXTSPLIT(DG166,",")))))</f>
        <v/>
      </c>
      <c r="JD166">
        <f>AND(IF(DI166="",TRUE,IF(input_executive_education_focus="",FALSE,SUMPRODUCT(--ISNUMBER(SEARCH(","&amp;TRIM(TEXTSPLIT(DI166,","))&amp;",",","&amp;SUBSTITUTE(input_executive_education_focus," ","")&amp;",")))&gt;0)),IF(DK166="",TRUE,IF(input_executive_education_focus="",FALSE,SUMPRODUCT(--ISNUMBER(SEARCH(","&amp;TRIM(TEXTSPLIT(DK166,","))&amp;",",","&amp;SUBSTITUTE(input_executive_education_focus," ","")&amp;",")))=COUNTA(TEXTSPLIT(DK166,",")))),IF(DM166="",TRUE,IF(input_executive_education_focus="",TRUE,SUMPRODUCT(--ISNUMBER(SEARCH(","&amp;TRIM(TEXTSPLIT(DM166,","))&amp;",",","&amp;SUBSTITUTE(input_executive_education_focus," ","")&amp;",")))=0)),IF(DO166="",TRUE,IF(input_executive_education_focus="",FALSE,SUMPRODUCT(--ISNUMBER(SEARCH(","&amp;TRIM(TEXTSPLIT(DO166,","))&amp;",",","&amp;SUBSTITUTE(input_executive_education_focus," ","")&amp;",")))&gt;0)),IF(DQ166="",TRUE,IF(input_executive_education_focus="",FALSE,SUMPRODUCT(--ISNUMBER(SEARCH(","&amp;TRIM(TEXTSPLIT(DQ166,","))&amp;",",","&amp;SUBSTITUTE(input_executive_education_focus," ","")&amp;",")))=COUNTA(TEXTSPLIT(DQ166,",")))))</f>
        <v/>
      </c>
      <c r="JE166">
        <f>AND(IF(DS166="",TRUE,IF(input_faculty_category="",FALSE,SUMPRODUCT(--ISNUMBER(SEARCH(","&amp;TRIM(TEXTSPLIT(DS166,","))&amp;",",","&amp;SUBSTITUTE(input_faculty_category," ","")&amp;",")))&gt;0)),IF(DU166="",TRUE,IF(input_faculty_category="",FALSE,SUMPRODUCT(--ISNUMBER(SEARCH(","&amp;TRIM(TEXTSPLIT(DU166,","))&amp;",",","&amp;SUBSTITUTE(input_faculty_category," ","")&amp;",")))=COUNTA(TEXTSPLIT(DU166,",")))),IF(DW166="",TRUE,IF(input_faculty_category="",TRUE,SUMPRODUCT(--ISNUMBER(SEARCH(","&amp;TRIM(TEXTSPLIT(DW166,","))&amp;",",","&amp;SUBSTITUTE(input_faculty_category," ","")&amp;",")))=0)),IF(DY166="",TRUE,IF(input_faculty_category="",FALSE,SUMPRODUCT(--ISNUMBER(SEARCH(","&amp;TRIM(TEXTSPLIT(DY166,","))&amp;",",","&amp;SUBSTITUTE(input_faculty_category," ","")&amp;",")))&gt;0)),IF(EA166="",TRUE,IF(input_faculty_category="",FALSE,SUMPRODUCT(--ISNUMBER(SEARCH(","&amp;TRIM(TEXTSPLIT(EA166,","))&amp;",",","&amp;SUBSTITUTE(input_faculty_category," ","")&amp;",")))=COUNTA(TEXTSPLIT(EA166,",")))))</f>
        <v/>
      </c>
      <c r="JF166">
        <f>AND(IF(EC166="",TRUE,IF(input_faculty_discipline="",FALSE,SUMPRODUCT(--ISNUMBER(SEARCH(","&amp;TRIM(TEXTSPLIT(EC166,","))&amp;",",","&amp;SUBSTITUTE(input_faculty_discipline," ","")&amp;",")))&gt;0)),IF(EE166="",TRUE,IF(input_faculty_discipline="",FALSE,SUMPRODUCT(--ISNUMBER(SEARCH(","&amp;TRIM(TEXTSPLIT(EE166,","))&amp;",",","&amp;SUBSTITUTE(input_faculty_discipline," ","")&amp;",")))=COUNTA(TEXTSPLIT(EE166,",")))),IF(EG166="",TRUE,IF(input_faculty_discipline="",TRUE,SUMPRODUCT(--ISNUMBER(SEARCH(","&amp;TRIM(TEXTSPLIT(EG166,","))&amp;",",","&amp;SUBSTITUTE(input_faculty_discipline," ","")&amp;",")))=0)),IF(EI166="",TRUE,IF(input_faculty_discipline="",FALSE,SUMPRODUCT(--ISNUMBER(SEARCH(","&amp;TRIM(TEXTSPLIT(EI166,","))&amp;",",","&amp;SUBSTITUTE(input_faculty_discipline," ","")&amp;",")))&gt;0)),IF(EK166="",TRUE,IF(input_faculty_discipline="",FALSE,SUMPRODUCT(--ISNUMBER(SEARCH(","&amp;TRIM(TEXTSPLIT(EK166,","))&amp;",",","&amp;SUBSTITUTE(input_faculty_discipline," ","")&amp;",")))=COUNTA(TEXTSPLIT(EK166,",")))))</f>
        <v/>
      </c>
      <c r="JG166">
        <f>AND(IF(EM166="",TRUE,IF(input_faculty_expertise="",FALSE,SUMPRODUCT(--ISNUMBER(SEARCH(","&amp;TRIM(TEXTSPLIT(EM166,","))&amp;",",","&amp;SUBSTITUTE(input_faculty_expertise," ","")&amp;",")))&gt;0)),IF(EO166="",TRUE,IF(input_faculty_expertise="",FALSE,SUMPRODUCT(--ISNUMBER(SEARCH(","&amp;TRIM(TEXTSPLIT(EO166,","))&amp;",",","&amp;SUBSTITUTE(input_faculty_expertise," ","")&amp;",")))=COUNTA(TEXTSPLIT(EO166,",")))),IF(EQ166="",TRUE,IF(input_faculty_expertise="",TRUE,SUMPRODUCT(--ISNUMBER(SEARCH(","&amp;TRIM(TEXTSPLIT(EQ166,","))&amp;",",","&amp;SUBSTITUTE(input_faculty_expertise," ","")&amp;",")))=0)),IF(ES166="",TRUE,IF(input_faculty_expertise="",FALSE,SUMPRODUCT(--ISNUMBER(SEARCH(","&amp;TRIM(TEXTSPLIT(ES166,","))&amp;",",","&amp;SUBSTITUTE(input_faculty_expertise," ","")&amp;",")))&gt;0)),IF(EU166="",TRUE,IF(input_faculty_expertise="",FALSE,SUMPRODUCT(--ISNUMBER(SEARCH(","&amp;TRIM(TEXTSPLIT(EU166,","))&amp;",",","&amp;SUBSTITUTE(input_faculty_expertise," ","")&amp;",")))=COUNTA(TEXTSPLIT(EU166,",")))))</f>
        <v/>
      </c>
      <c r="JH166">
        <f>AND(IF(EW166="",TRUE,IF(input_global_network_school="",FALSE,SUMPRODUCT(--ISNUMBER(SEARCH(","&amp;TRIM(TEXTSPLIT(EW166,","))&amp;",",","&amp;SUBSTITUTE(input_global_network_school," ","")&amp;",")))&gt;0)),IF(EY166="",TRUE,IF(input_global_network_school="",FALSE,SUMPRODUCT(--ISNUMBER(SEARCH(","&amp;TRIM(TEXTSPLIT(EY166,","))&amp;",",","&amp;SUBSTITUTE(input_global_network_school," ","")&amp;",")))=COUNTA(TEXTSPLIT(EY166,",")))),IF(FA166="",TRUE,IF(input_global_network_school="",TRUE,SUMPRODUCT(--ISNUMBER(SEARCH(","&amp;TRIM(TEXTSPLIT(FA166,","))&amp;",",","&amp;SUBSTITUTE(input_global_network_school," ","")&amp;",")))=0)),IF(FC166="",TRUE,IF(input_global_network_school="",FALSE,SUMPRODUCT(--ISNUMBER(SEARCH(","&amp;TRIM(TEXTSPLIT(FC166,","))&amp;",",","&amp;SUBSTITUTE(input_global_network_school," ","")&amp;",")))&gt;0)),IF(FE166="",TRUE,IF(input_global_network_school="",FALSE,SUMPRODUCT(--ISNUMBER(SEARCH(","&amp;TRIM(TEXTSPLIT(FE166,","))&amp;",",","&amp;SUBSTITUTE(input_global_network_school," ","")&amp;",")))=COUNTA(TEXTSPLIT(FE166,",")))))</f>
        <v/>
      </c>
      <c r="JI166">
        <f>AND(IF(FG166="",TRUE,IF(input_industry="",FALSE,SUMPRODUCT(--ISNUMBER(SEARCH(","&amp;TRIM(TEXTSPLIT(FG166,","))&amp;",",","&amp;SUBSTITUTE(input_industry," ","")&amp;",")))&gt;0)),IF(FI166="",TRUE,IF(input_industry="",FALSE,SUMPRODUCT(--ISNUMBER(SEARCH(","&amp;TRIM(TEXTSPLIT(FI166,","))&amp;",",","&amp;SUBSTITUTE(input_industry," ","")&amp;",")))=COUNTA(TEXTSPLIT(FI166,",")))),IF(FK166="",TRUE,IF(input_industry="",TRUE,SUMPRODUCT(--ISNUMBER(SEARCH(","&amp;TRIM(TEXTSPLIT(FK166,","))&amp;",",","&amp;SUBSTITUTE(input_industry," ","")&amp;",")))=0)),IF(FM166="",TRUE,IF(input_industry="",FALSE,SUMPRODUCT(--ISNUMBER(SEARCH(","&amp;TRIM(TEXTSPLIT(FM166,","))&amp;",",","&amp;SUBSTITUTE(input_industry," ","")&amp;",")))&gt;0)),IF(FO166="",TRUE,IF(input_industry="",FALSE,SUMPRODUCT(--ISNUMBER(SEARCH(","&amp;TRIM(TEXTSPLIT(FO166,","))&amp;",",","&amp;SUBSTITUTE(input_industry," ","")&amp;",")))=COUNTA(TEXTSPLIT(FO166,",")))))</f>
        <v/>
      </c>
      <c r="JJ166">
        <f>AND(IF(FQ166="",TRUE,IF(input_location="",FALSE,SUMPRODUCT(--ISNUMBER(SEARCH(","&amp;TRIM(TEXTSPLIT(FQ166,","))&amp;",",","&amp;SUBSTITUTE(input_location," ","")&amp;",")))&gt;0)),IF(FS166="",TRUE,IF(input_location="",FALSE,SUMPRODUCT(--ISNUMBER(SEARCH(","&amp;TRIM(TEXTSPLIT(FS166,","))&amp;",",","&amp;SUBSTITUTE(input_location," ","")&amp;",")))=COUNTA(TEXTSPLIT(FS166,",")))),IF(FU166="",TRUE,IF(input_location="",TRUE,SUMPRODUCT(--ISNUMBER(SEARCH(","&amp;TRIM(TEXTSPLIT(FU166,","))&amp;",",","&amp;SUBSTITUTE(input_location," ","")&amp;",")))=0)),IF(FW166="",TRUE,IF(input_location="",FALSE,SUMPRODUCT(--ISNUMBER(SEARCH(","&amp;TRIM(TEXTSPLIT(FW166,","))&amp;",",","&amp;SUBSTITUTE(input_location," ","")&amp;",")))&gt;0)),IF(FY166="",TRUE,IF(input_location="",FALSE,SUMPRODUCT(--ISNUMBER(SEARCH(","&amp;TRIM(TEXTSPLIT(FY166,","))&amp;",",","&amp;SUBSTITUTE(input_location," ","")&amp;",")))=COUNTA(TEXTSPLIT(FY166,",")))))</f>
        <v/>
      </c>
      <c r="JK166">
        <f>AND(IF(GA166="",TRUE,IF(input_modality="",FALSE,SUMPRODUCT(--ISNUMBER(SEARCH(","&amp;TRIM(TEXTSPLIT(GA166,","))&amp;",",","&amp;SUBSTITUTE(input_modality," ","")&amp;",")))&gt;0)),IF(GC166="",TRUE,IF(input_modality="",FALSE,SUMPRODUCT(--ISNUMBER(SEARCH(","&amp;TRIM(TEXTSPLIT(GC166,","))&amp;",",","&amp;SUBSTITUTE(input_modality," ","")&amp;",")))=COUNTA(TEXTSPLIT(GC166,",")))),IF(GE166="",TRUE,IF(input_modality="",TRUE,SUMPRODUCT(--ISNUMBER(SEARCH(","&amp;TRIM(TEXTSPLIT(GE166,","))&amp;",",","&amp;SUBSTITUTE(input_modality," ","")&amp;",")))=0)),IF(GG166="",TRUE,IF(input_modality="",FALSE,SUMPRODUCT(--ISNUMBER(SEARCH(","&amp;TRIM(TEXTSPLIT(GG166,","))&amp;",",","&amp;SUBSTITUTE(input_modality," ","")&amp;",")))&gt;0)),IF(GI166="",TRUE,IF(input_modality="",FALSE,SUMPRODUCT(--ISNUMBER(SEARCH(","&amp;TRIM(TEXTSPLIT(GI166,","))&amp;",",","&amp;SUBSTITUTE(input_modality," ","")&amp;",")))=COUNTA(TEXTSPLIT(GI166,",")))))</f>
        <v/>
      </c>
      <c r="JL166">
        <f>AND(IF(GK166="",TRUE,IF(input_organizer="",FALSE,SUMPRODUCT(--ISNUMBER(SEARCH(","&amp;TRIM(TEXTSPLIT(GK166,","))&amp;",",","&amp;SUBSTITUTE(input_organizer," ","")&amp;",")))&gt;0)),IF(GM166="",TRUE,IF(input_organizer="",FALSE,SUMPRODUCT(--ISNUMBER(SEARCH(","&amp;TRIM(TEXTSPLIT(GM166,","))&amp;",",","&amp;SUBSTITUTE(input_organizer," ","")&amp;",")))=COUNTA(TEXTSPLIT(GM166,",")))),IF(GO166="",TRUE,IF(input_organizer="",TRUE,SUMPRODUCT(--ISNUMBER(SEARCH(","&amp;TRIM(TEXTSPLIT(GO166,","))&amp;",",","&amp;SUBSTITUTE(input_organizer," ","")&amp;",")))=0)),IF(GQ166="",TRUE,IF(input_organizer="",FALSE,SUMPRODUCT(--ISNUMBER(SEARCH(","&amp;TRIM(TEXTSPLIT(GQ166,","))&amp;",",","&amp;SUBSTITUTE(input_organizer," ","")&amp;",")))&gt;0)),IF(GS166="",TRUE,IF(input_organizer="",FALSE,SUMPRODUCT(--ISNUMBER(SEARCH(","&amp;TRIM(TEXTSPLIT(GS166,","))&amp;",",","&amp;SUBSTITUTE(input_organizer," ","")&amp;",")))=COUNTA(TEXTSPLIT(GS166,",")))))</f>
        <v/>
      </c>
      <c r="JM166">
        <f>AND(IF(GU166="",TRUE,IF(input_profile_type="",FALSE,SUMPRODUCT(--ISNUMBER(SEARCH(","&amp;TRIM(TEXTSPLIT(GU166,","))&amp;",",","&amp;SUBSTITUTE(input_profile_type," ","")&amp;",")))&gt;0)),IF(GW166="",TRUE,IF(input_profile_type="",FALSE,SUMPRODUCT(--ISNUMBER(SEARCH(","&amp;TRIM(TEXTSPLIT(GW166,","))&amp;",",","&amp;SUBSTITUTE(input_profile_type," ","")&amp;",")))=COUNTA(TEXTSPLIT(GW166,",")))),IF(GY166="",TRUE,IF(input_profile_type="",TRUE,SUMPRODUCT(--ISNUMBER(SEARCH(","&amp;TRIM(TEXTSPLIT(GY166,","))&amp;",",","&amp;SUBSTITUTE(input_profile_type," ","")&amp;",")))=0)),IF(HA166="",TRUE,IF(input_profile_type="",FALSE,SUMPRODUCT(--ISNUMBER(SEARCH(","&amp;TRIM(TEXTSPLIT(HA166,","))&amp;",",","&amp;SUBSTITUTE(input_profile_type," ","")&amp;",")))&gt;0)),IF(HC166="",TRUE,IF(input_profile_type="",FALSE,SUMPRODUCT(--ISNUMBER(SEARCH(","&amp;TRIM(TEXTSPLIT(HC166,","))&amp;",",","&amp;SUBSTITUTE(input_profile_type," ","")&amp;",")))=COUNTA(TEXTSPLIT(HC166,",")))))</f>
        <v/>
      </c>
      <c r="JN166">
        <f>AND(IF(HE166="",TRUE,IF(input_program="",FALSE,SUMPRODUCT(--ISNUMBER(SEARCH(","&amp;TRIM(TEXTSPLIT(HE166,","))&amp;",",","&amp;SUBSTITUTE(input_program," ","")&amp;",")))&gt;0)),IF(HG166="",TRUE,IF(input_program="",FALSE,SUMPRODUCT(--ISNUMBER(SEARCH(","&amp;TRIM(TEXTSPLIT(HG166,","))&amp;",",","&amp;SUBSTITUTE(input_program," ","")&amp;",")))=COUNTA(TEXTSPLIT(HG166,",")))),IF(HI166="",TRUE,IF(input_program="",TRUE,SUMPRODUCT(--ISNUMBER(SEARCH(","&amp;TRIM(TEXTSPLIT(HI166,","))&amp;",",","&amp;SUBSTITUTE(input_program," ","")&amp;",")))=0)),IF(HK166="",TRUE,IF(input_program="",FALSE,SUMPRODUCT(--ISNUMBER(SEARCH(","&amp;TRIM(TEXTSPLIT(HK166,","))&amp;",",","&amp;SUBSTITUTE(input_program," ","")&amp;",")))&gt;0)),IF(HM166="",TRUE,IF(input_program="",FALSE,SUMPRODUCT(--ISNUMBER(SEARCH(","&amp;TRIM(TEXTSPLIT(HM166,","))&amp;",",","&amp;SUBSTITUTE(input_program," ","")&amp;",")))=COUNTA(TEXTSPLIT(HM166,",")))))</f>
        <v/>
      </c>
      <c r="JO166">
        <f>AND(IF(HO166="",TRUE,IF(input_story_categories="",FALSE,SUMPRODUCT(--ISNUMBER(SEARCH(","&amp;TRIM(TEXTSPLIT(HO166,","))&amp;",",","&amp;SUBSTITUTE(input_story_categories," ","")&amp;",")))&gt;0)),IF(HQ166="",TRUE,IF(input_story_categories="",FALSE,SUMPRODUCT(--ISNUMBER(SEARCH(","&amp;TRIM(TEXTSPLIT(HQ166,","))&amp;",",","&amp;SUBSTITUTE(input_story_categories," ","")&amp;",")))=COUNTA(TEXTSPLIT(HQ166,",")))),IF(HS166="",TRUE,IF(input_story_categories="",TRUE,SUMPRODUCT(--ISNUMBER(SEARCH(","&amp;TRIM(TEXTSPLIT(HS166,","))&amp;",",","&amp;SUBSTITUTE(input_story_categories," ","")&amp;",")))=0)),IF(HU166="",TRUE,IF(input_story_categories="",FALSE,SUMPRODUCT(--ISNUMBER(SEARCH(","&amp;TRIM(TEXTSPLIT(HU166,","))&amp;",",","&amp;SUBSTITUTE(input_story_categories," ","")&amp;",")))&gt;0)),IF(HW166="",TRUE,IF(input_story_categories="",FALSE,SUMPRODUCT(--ISNUMBER(SEARCH(","&amp;TRIM(TEXTSPLIT(HW166,","))&amp;",",","&amp;SUBSTITUTE(input_story_categories," ","")&amp;",")))=COUNTA(TEXTSPLIT(HW166,",")))))</f>
        <v/>
      </c>
      <c r="JP166">
        <f>AND(IF(HY166="",TRUE,IF(input_story_type="",FALSE,SUMPRODUCT(--ISNUMBER(SEARCH(","&amp;TRIM(TEXTSPLIT(HY166,","))&amp;",",","&amp;SUBSTITUTE(input_story_type," ","")&amp;",")))&gt;0)),IF(IA166="",TRUE,IF(input_story_type="",FALSE,SUMPRODUCT(--ISNUMBER(SEARCH(","&amp;TRIM(TEXTSPLIT(IA166,","))&amp;",",","&amp;SUBSTITUTE(input_story_type," ","")&amp;",")))=COUNTA(TEXTSPLIT(IA166,",")))),IF(IC166="",TRUE,IF(input_story_type="",TRUE,SUMPRODUCT(--ISNUMBER(SEARCH(","&amp;TRIM(TEXTSPLIT(IC166,","))&amp;",",","&amp;SUBSTITUTE(input_story_type," ","")&amp;",")))=0)),IF(IE166="",TRUE,IF(input_story_type="",FALSE,SUMPRODUCT(--ISNUMBER(SEARCH(","&amp;TRIM(TEXTSPLIT(IE166,","))&amp;",",","&amp;SUBSTITUTE(input_story_type," ","")&amp;",")))&gt;0)),IF(IG166="",TRUE,IF(input_story_type="",FALSE,SUMPRODUCT(--ISNUMBER(SEARCH(","&amp;TRIM(TEXTSPLIT(IG166,","))&amp;",",","&amp;SUBSTITUTE(input_story_type," ","")&amp;",")))=COUNTA(TEXTSPLIT(IG166,",")))))</f>
        <v/>
      </c>
      <c r="JQ166">
        <f>AND(IF(II166="",TRUE,IF(input_topics="",FALSE,SUMPRODUCT(--ISNUMBER(SEARCH(","&amp;TRIM(TEXTSPLIT(II166,","))&amp;",",","&amp;SUBSTITUTE(input_topics," ","")&amp;",")))&gt;0)),IF(IK166="",TRUE,IF(input_topics="",FALSE,SUMPRODUCT(--ISNUMBER(SEARCH(","&amp;TRIM(TEXTSPLIT(IK166,","))&amp;",",","&amp;SUBSTITUTE(input_topics," ","")&amp;",")))=COUNTA(TEXTSPLIT(IK166,",")))),IF(IM166="",TRUE,IF(input_topics="",TRUE,SUMPRODUCT(--ISNUMBER(SEARCH(","&amp;TRIM(TEXTSPLIT(IM166,","))&amp;",",","&amp;SUBSTITUTE(input_topics," ","")&amp;",")))=0)),IF(IO166="",TRUE,IF(input_topics="",FALSE,SUMPRODUCT(--ISNUMBER(SEARCH(","&amp;TRIM(TEXTSPLIT(IO166,","))&amp;",",","&amp;SUBSTITUTE(input_topics," ","")&amp;",")))&gt;0)),IF(IQ166="",TRUE,IF(input_topics="",FALSE,SUMPRODUCT(--ISNUMBER(SEARCH(","&amp;TRIM(TEXTSPLIT(IQ166,","))&amp;",",","&amp;SUBSTITUTE(input_topics," ","")&amp;",")))=COUNTA(TEXTSPLIT(IQ166,",")))))</f>
        <v/>
      </c>
    </row>
    <row r="167">
      <c r="A167" s="4">
        <f>IF(NOT(IS167),"Excluded",IF(AND(IT167,IU167,IV167,IW167,IX167,IY167,IZ167,JA167,JB167,JC167,JD167,JE167,JF167,JG167,JH167,JI167,JJ167,JK167,JL167,JM167,JN167,JO167,JP167,JQ167),IF(I167&gt;0,"Eligible but limited","Will appear"),"Excluded"))</f>
        <v/>
      </c>
      <c r="B167" s="4" t="inlineStr">
        <is>
          <t>Related profiles on profile pages</t>
        </is>
      </c>
      <c r="C167" s="4" t="inlineStr">
        <is>
          <t>/profile/inshard-naizer-23</t>
        </is>
      </c>
      <c r="D167" s="4" t="inlineStr">
        <is>
          <t>/profile/inshard-naizer-23
/profile/mauricio-chiong-24-0
/profile/nicky-ou-23-0</t>
        </is>
      </c>
      <c r="E167" s="4" t="n">
        <v>8</v>
      </c>
      <c r="F167" s="4" t="inlineStr">
        <is>
          <t>profile</t>
        </is>
      </c>
      <c r="G167" s="4" t="inlineStr">
        <is>
          <t>profiles_grid</t>
        </is>
      </c>
      <c r="H167" s="4" t="inlineStr">
        <is>
          <t>related</t>
        </is>
      </c>
      <c r="I167" s="4" t="n">
        <v>3</v>
      </c>
      <c r="J167" s="4" t="inlineStr">
        <is>
          <t>Explicit args</t>
        </is>
      </c>
      <c r="K167" s="4" t="inlineStr">
        <is>
          <t>Grouped surface</t>
        </is>
      </c>
      <c r="L167" s="4" t="inlineStr">
        <is>
          <t>Content type: profile; Context uses Profile Type: Student (1551); Context uses Program: Master of Advanced Management (81); Limited to 3 item(s); Source: Explicit args</t>
        </is>
      </c>
      <c r="M167" t="inlineStr"/>
      <c r="N167" t="inlineStr"/>
      <c r="O167" t="inlineStr"/>
      <c r="P167" t="inlineStr"/>
      <c r="Q167" t="inlineStr"/>
      <c r="R167" t="inlineStr"/>
      <c r="S167" t="inlineStr"/>
      <c r="T167" t="inlineStr"/>
      <c r="U167" t="inlineStr"/>
      <c r="V167" t="inlineStr"/>
      <c r="W167" t="inlineStr"/>
      <c r="X167" t="inlineStr"/>
      <c r="Y167" t="inlineStr"/>
      <c r="Z167" t="inlineStr"/>
      <c r="AA167" t="inlineStr"/>
      <c r="AB167" t="inlineStr"/>
      <c r="AC167" t="inlineStr"/>
      <c r="AD167" t="inlineStr"/>
      <c r="AE167" t="inlineStr"/>
      <c r="AF167" t="inlineStr"/>
      <c r="AG167" t="inlineStr"/>
      <c r="AH167" t="inlineStr"/>
      <c r="AI167" t="inlineStr"/>
      <c r="AJ167" t="inlineStr"/>
      <c r="AK167" t="inlineStr"/>
      <c r="AL167" t="inlineStr"/>
      <c r="AM167" t="inlineStr"/>
      <c r="AN167" t="inlineStr"/>
      <c r="AO167" t="inlineStr"/>
      <c r="AP167" t="inlineStr"/>
      <c r="AQ167" t="inlineStr"/>
      <c r="AR167" t="inlineStr"/>
      <c r="AS167" t="inlineStr"/>
      <c r="AT167" t="inlineStr"/>
      <c r="AU167" t="inlineStr"/>
      <c r="AV167" t="inlineStr"/>
      <c r="AW167" t="inlineStr"/>
      <c r="AX167" t="inlineStr"/>
      <c r="AY167" t="inlineStr"/>
      <c r="AZ167" t="inlineStr"/>
      <c r="BA167" t="inlineStr"/>
      <c r="BB167" t="inlineStr"/>
      <c r="BC167" t="inlineStr"/>
      <c r="BD167" t="inlineStr"/>
      <c r="BE167" t="inlineStr"/>
      <c r="BF167" t="inlineStr"/>
      <c r="BG167" t="inlineStr"/>
      <c r="BH167" t="inlineStr"/>
      <c r="BI167" t="inlineStr"/>
      <c r="BJ167" t="inlineStr"/>
      <c r="BK167" t="inlineStr"/>
      <c r="BL167" t="inlineStr"/>
      <c r="BM167" t="inlineStr"/>
      <c r="BN167" t="inlineStr"/>
      <c r="BO167" t="inlineStr"/>
      <c r="BP167" t="inlineStr"/>
      <c r="BQ167" t="inlineStr"/>
      <c r="BR167" t="inlineStr"/>
      <c r="BS167" t="inlineStr"/>
      <c r="BT167" t="inlineStr"/>
      <c r="BU167" t="inlineStr"/>
      <c r="BV167" t="inlineStr"/>
      <c r="BW167" t="inlineStr"/>
      <c r="BX167" t="inlineStr"/>
      <c r="BY167" t="inlineStr"/>
      <c r="BZ167" t="inlineStr"/>
      <c r="CA167" t="inlineStr"/>
      <c r="CB167" t="inlineStr"/>
      <c r="CC167" t="inlineStr"/>
      <c r="CD167" t="inlineStr"/>
      <c r="CE167" t="inlineStr"/>
      <c r="CF167" t="inlineStr"/>
      <c r="CG167" t="inlineStr"/>
      <c r="CH167" t="inlineStr"/>
      <c r="CI167" t="inlineStr"/>
      <c r="CJ167" t="inlineStr"/>
      <c r="CK167" t="inlineStr"/>
      <c r="CL167" t="inlineStr"/>
      <c r="CM167" t="inlineStr"/>
      <c r="CN167" t="inlineStr"/>
      <c r="CO167" t="inlineStr"/>
      <c r="CP167" t="inlineStr"/>
      <c r="CQ167" t="inlineStr"/>
      <c r="CR167" t="inlineStr"/>
      <c r="CS167" t="inlineStr"/>
      <c r="CT167" t="inlineStr"/>
      <c r="CU167" t="inlineStr"/>
      <c r="CV167" t="inlineStr"/>
      <c r="CW167" t="inlineStr"/>
      <c r="CX167" t="inlineStr"/>
      <c r="CY167" t="inlineStr"/>
      <c r="CZ167" t="inlineStr"/>
      <c r="DA167" t="inlineStr"/>
      <c r="DB167" t="inlineStr"/>
      <c r="DC167" t="inlineStr"/>
      <c r="DD167" t="inlineStr"/>
      <c r="DE167" t="inlineStr"/>
      <c r="DF167" t="inlineStr"/>
      <c r="DG167" t="inlineStr"/>
      <c r="DH167" t="inlineStr"/>
      <c r="DI167" t="inlineStr"/>
      <c r="DJ167" t="inlineStr"/>
      <c r="DK167" t="inlineStr"/>
      <c r="DL167" t="inlineStr"/>
      <c r="DM167" t="inlineStr"/>
      <c r="DN167" t="inlineStr"/>
      <c r="DO167" t="inlineStr"/>
      <c r="DP167" t="inlineStr"/>
      <c r="DQ167" t="inlineStr"/>
      <c r="DR167" t="inlineStr"/>
      <c r="DS167" t="inlineStr"/>
      <c r="DT167" t="inlineStr"/>
      <c r="DU167" t="inlineStr"/>
      <c r="DV167" t="inlineStr"/>
      <c r="DW167" t="inlineStr"/>
      <c r="DX167" t="inlineStr"/>
      <c r="DY167" t="inlineStr"/>
      <c r="DZ167" t="inlineStr"/>
      <c r="EA167" t="inlineStr"/>
      <c r="EB167" t="inlineStr"/>
      <c r="EC167" t="inlineStr"/>
      <c r="ED167" t="inlineStr"/>
      <c r="EE167" t="inlineStr"/>
      <c r="EF167" t="inlineStr"/>
      <c r="EG167" t="inlineStr"/>
      <c r="EH167" t="inlineStr"/>
      <c r="EI167" t="inlineStr"/>
      <c r="EJ167" t="inlineStr"/>
      <c r="EK167" t="inlineStr"/>
      <c r="EL167" t="inlineStr"/>
      <c r="EM167" t="inlineStr"/>
      <c r="EN167" t="inlineStr"/>
      <c r="EO167" t="inlineStr"/>
      <c r="EP167" t="inlineStr"/>
      <c r="EQ167" t="inlineStr"/>
      <c r="ER167" t="inlineStr"/>
      <c r="ES167" t="inlineStr"/>
      <c r="ET167" t="inlineStr"/>
      <c r="EU167" t="inlineStr"/>
      <c r="EV167" t="inlineStr"/>
      <c r="EW167" t="inlineStr"/>
      <c r="EX167" t="inlineStr"/>
      <c r="EY167" t="inlineStr"/>
      <c r="EZ167" t="inlineStr"/>
      <c r="FA167" t="inlineStr"/>
      <c r="FB167" t="inlineStr"/>
      <c r="FC167" t="inlineStr"/>
      <c r="FD167" t="inlineStr"/>
      <c r="FE167" t="inlineStr"/>
      <c r="FF167" t="inlineStr"/>
      <c r="FG167" t="inlineStr"/>
      <c r="FH167" t="inlineStr"/>
      <c r="FI167" t="inlineStr"/>
      <c r="FJ167" t="inlineStr"/>
      <c r="FK167" t="inlineStr"/>
      <c r="FL167" t="inlineStr"/>
      <c r="FM167" t="inlineStr"/>
      <c r="FN167" t="inlineStr"/>
      <c r="FO167" t="inlineStr"/>
      <c r="FP167" t="inlineStr"/>
      <c r="FQ167" t="inlineStr"/>
      <c r="FR167" t="inlineStr"/>
      <c r="FS167" t="inlineStr"/>
      <c r="FT167" t="inlineStr"/>
      <c r="FU167" t="inlineStr"/>
      <c r="FV167" t="inlineStr"/>
      <c r="FW167" t="inlineStr"/>
      <c r="FX167" t="inlineStr"/>
      <c r="FY167" t="inlineStr"/>
      <c r="FZ167" t="inlineStr"/>
      <c r="GA167" t="inlineStr"/>
      <c r="GB167" t="inlineStr"/>
      <c r="GC167" t="inlineStr"/>
      <c r="GD167" t="inlineStr"/>
      <c r="GE167" t="inlineStr"/>
      <c r="GF167" t="inlineStr"/>
      <c r="GG167" t="inlineStr"/>
      <c r="GH167" t="inlineStr"/>
      <c r="GI167" t="inlineStr"/>
      <c r="GJ167" t="inlineStr"/>
      <c r="GK167" t="inlineStr"/>
      <c r="GL167" t="inlineStr"/>
      <c r="GM167" t="inlineStr"/>
      <c r="GN167" t="inlineStr"/>
      <c r="GO167" t="inlineStr"/>
      <c r="GP167" t="inlineStr"/>
      <c r="GQ167" t="inlineStr"/>
      <c r="GR167" t="inlineStr"/>
      <c r="GS167" t="inlineStr"/>
      <c r="GT167" t="inlineStr"/>
      <c r="GU167" t="inlineStr"/>
      <c r="GV167" t="inlineStr"/>
      <c r="GW167" t="inlineStr"/>
      <c r="GX167" t="inlineStr"/>
      <c r="GY167" t="inlineStr"/>
      <c r="GZ167" t="inlineStr"/>
      <c r="HA167" t="inlineStr">
        <is>
          <t>1551</t>
        </is>
      </c>
      <c r="HB167" t="inlineStr">
        <is>
          <t>Student (1551)</t>
        </is>
      </c>
      <c r="HC167" t="inlineStr"/>
      <c r="HD167" t="inlineStr"/>
      <c r="HE167" t="inlineStr"/>
      <c r="HF167" t="inlineStr"/>
      <c r="HG167" t="inlineStr"/>
      <c r="HH167" t="inlineStr"/>
      <c r="HI167" t="inlineStr"/>
      <c r="HJ167" t="inlineStr"/>
      <c r="HK167" t="inlineStr">
        <is>
          <t>81</t>
        </is>
      </c>
      <c r="HL167" t="inlineStr">
        <is>
          <t>Master of Advanced Management (81)</t>
        </is>
      </c>
      <c r="HM167" t="inlineStr"/>
      <c r="HN167" t="inlineStr"/>
      <c r="HO167" t="inlineStr"/>
      <c r="HP167" t="inlineStr"/>
      <c r="HQ167" t="inlineStr"/>
      <c r="HR167" t="inlineStr"/>
      <c r="HS167" t="inlineStr"/>
      <c r="HT167" t="inlineStr"/>
      <c r="HU167" t="inlineStr"/>
      <c r="HV167" t="inlineStr"/>
      <c r="HW167" t="inlineStr"/>
      <c r="HX167" t="inlineStr"/>
      <c r="HY167" t="inlineStr"/>
      <c r="HZ167" t="inlineStr"/>
      <c r="IA167" t="inlineStr"/>
      <c r="IB167" t="inlineStr"/>
      <c r="IC167" t="inlineStr"/>
      <c r="ID167" t="inlineStr"/>
      <c r="IE167" t="inlineStr"/>
      <c r="IF167" t="inlineStr"/>
      <c r="IG167" t="inlineStr"/>
      <c r="IH167" t="inlineStr"/>
      <c r="II167" t="inlineStr"/>
      <c r="IJ167" t="inlineStr"/>
      <c r="IK167" t="inlineStr"/>
      <c r="IL167" t="inlineStr"/>
      <c r="IM167" t="inlineStr"/>
      <c r="IN167" t="inlineStr"/>
      <c r="IO167" t="inlineStr"/>
      <c r="IP167" t="inlineStr"/>
      <c r="IQ167" t="inlineStr"/>
      <c r="IR167" t="inlineStr"/>
      <c r="IS167">
        <f>IF(input_content_type="",FALSE,ISNUMBER(SEARCH(","&amp;LOWER(input_content_type)&amp;",",","&amp;LOWER(F167)&amp;",")))</f>
        <v/>
      </c>
      <c r="IT167">
        <f>AND(IF(M167="",TRUE,IF(input_affiliations="",FALSE,SUMPRODUCT(--ISNUMBER(SEARCH(","&amp;TRIM(TEXTSPLIT(M167,","))&amp;",",","&amp;SUBSTITUTE(input_affiliations," ","")&amp;",")))&gt;0)),IF(O167="",TRUE,IF(input_affiliations="",FALSE,SUMPRODUCT(--ISNUMBER(SEARCH(","&amp;TRIM(TEXTSPLIT(O167,","))&amp;",",","&amp;SUBSTITUTE(input_affiliations," ","")&amp;",")))=COUNTA(TEXTSPLIT(O167,",")))),IF(Q167="",TRUE,IF(input_affiliations="",TRUE,SUMPRODUCT(--ISNUMBER(SEARCH(","&amp;TRIM(TEXTSPLIT(Q167,","))&amp;",",","&amp;SUBSTITUTE(input_affiliations," ","")&amp;",")))=0)),IF(S167="",TRUE,IF(input_affiliations="",FALSE,SUMPRODUCT(--ISNUMBER(SEARCH(","&amp;TRIM(TEXTSPLIT(S167,","))&amp;",",","&amp;SUBSTITUTE(input_affiliations," ","")&amp;",")))&gt;0)),IF(U167="",TRUE,IF(input_affiliations="",FALSE,SUMPRODUCT(--ISNUMBER(SEARCH(","&amp;TRIM(TEXTSPLIT(U167,","))&amp;",",","&amp;SUBSTITUTE(input_affiliations," ","")&amp;",")))=COUNTA(TEXTSPLIT(U167,",")))))</f>
        <v/>
      </c>
      <c r="IU167">
        <f>AND(IF(W167="",TRUE,IF(input_announcement_category="",FALSE,SUMPRODUCT(--ISNUMBER(SEARCH(","&amp;TRIM(TEXTSPLIT(W167,","))&amp;",",","&amp;SUBSTITUTE(input_announcement_category," ","")&amp;",")))&gt;0)),IF(Y167="",TRUE,IF(input_announcement_category="",FALSE,SUMPRODUCT(--ISNUMBER(SEARCH(","&amp;TRIM(TEXTSPLIT(Y167,","))&amp;",",","&amp;SUBSTITUTE(input_announcement_category," ","")&amp;",")))=COUNTA(TEXTSPLIT(Y167,",")))),IF(AA167="",TRUE,IF(input_announcement_category="",TRUE,SUMPRODUCT(--ISNUMBER(SEARCH(","&amp;TRIM(TEXTSPLIT(AA167,","))&amp;",",","&amp;SUBSTITUTE(input_announcement_category," ","")&amp;",")))=0)),IF(AC167="",TRUE,IF(input_announcement_category="",FALSE,SUMPRODUCT(--ISNUMBER(SEARCH(","&amp;TRIM(TEXTSPLIT(AC167,","))&amp;",",","&amp;SUBSTITUTE(input_announcement_category," ","")&amp;",")))&gt;0)),IF(AE167="",TRUE,IF(input_announcement_category="",FALSE,SUMPRODUCT(--ISNUMBER(SEARCH(","&amp;TRIM(TEXTSPLIT(AE167,","))&amp;",",","&amp;SUBSTITUTE(input_announcement_category," ","")&amp;",")))=COUNTA(TEXTSPLIT(AE167,",")))))</f>
        <v/>
      </c>
      <c r="IV167">
        <f>AND(IF(AG167="",TRUE,IF(input_area_of_focus="",FALSE,SUMPRODUCT(--ISNUMBER(SEARCH(","&amp;TRIM(TEXTSPLIT(AG167,","))&amp;",",","&amp;SUBSTITUTE(input_area_of_focus," ","")&amp;",")))&gt;0)),IF(AI167="",TRUE,IF(input_area_of_focus="",FALSE,SUMPRODUCT(--ISNUMBER(SEARCH(","&amp;TRIM(TEXTSPLIT(AI167,","))&amp;",",","&amp;SUBSTITUTE(input_area_of_focus," ","")&amp;",")))=COUNTA(TEXTSPLIT(AI167,",")))),IF(AK167="",TRUE,IF(input_area_of_focus="",TRUE,SUMPRODUCT(--ISNUMBER(SEARCH(","&amp;TRIM(TEXTSPLIT(AK167,","))&amp;",",","&amp;SUBSTITUTE(input_area_of_focus," ","")&amp;",")))=0)),IF(AM167="",TRUE,IF(input_area_of_focus="",FALSE,SUMPRODUCT(--ISNUMBER(SEARCH(","&amp;TRIM(TEXTSPLIT(AM167,","))&amp;",",","&amp;SUBSTITUTE(input_area_of_focus," ","")&amp;",")))&gt;0)),IF(AO167="",TRUE,IF(input_area_of_focus="",FALSE,SUMPRODUCT(--ISNUMBER(SEARCH(","&amp;TRIM(TEXTSPLIT(AO167,","))&amp;",",","&amp;SUBSTITUTE(input_area_of_focus," ","")&amp;",")))=COUNTA(TEXTSPLIT(AO167,",")))))</f>
        <v/>
      </c>
      <c r="IW167">
        <f>AND(IF(AQ167="",TRUE,IF(input_audience="",FALSE,SUMPRODUCT(--ISNUMBER(SEARCH(","&amp;TRIM(TEXTSPLIT(AQ167,","))&amp;",",","&amp;SUBSTITUTE(input_audience," ","")&amp;",")))&gt;0)),IF(AS167="",TRUE,IF(input_audience="",FALSE,SUMPRODUCT(--ISNUMBER(SEARCH(","&amp;TRIM(TEXTSPLIT(AS167,","))&amp;",",","&amp;SUBSTITUTE(input_audience," ","")&amp;",")))=COUNTA(TEXTSPLIT(AS167,",")))),IF(AU167="",TRUE,IF(input_audience="",TRUE,SUMPRODUCT(--ISNUMBER(SEARCH(","&amp;TRIM(TEXTSPLIT(AU167,","))&amp;",",","&amp;SUBSTITUTE(input_audience," ","")&amp;",")))=0)),IF(AW167="",TRUE,IF(input_audience="",FALSE,SUMPRODUCT(--ISNUMBER(SEARCH(","&amp;TRIM(TEXTSPLIT(AW167,","))&amp;",",","&amp;SUBSTITUTE(input_audience," ","")&amp;",")))&gt;0)),IF(AY167="",TRUE,IF(input_audience="",FALSE,SUMPRODUCT(--ISNUMBER(SEARCH(","&amp;TRIM(TEXTSPLIT(AY167,","))&amp;",",","&amp;SUBSTITUTE(input_audience," ","")&amp;",")))=COUNTA(TEXTSPLIT(AY167,",")))))</f>
        <v/>
      </c>
      <c r="IX167">
        <f>AND(IF(BA167="",TRUE,IF(input_challenge_opportunities="",FALSE,SUMPRODUCT(--ISNUMBER(SEARCH(","&amp;TRIM(TEXTSPLIT(BA167,","))&amp;",",","&amp;SUBSTITUTE(input_challenge_opportunities," ","")&amp;",")))&gt;0)),IF(BC167="",TRUE,IF(input_challenge_opportunities="",FALSE,SUMPRODUCT(--ISNUMBER(SEARCH(","&amp;TRIM(TEXTSPLIT(BC167,","))&amp;",",","&amp;SUBSTITUTE(input_challenge_opportunities," ","")&amp;",")))=COUNTA(TEXTSPLIT(BC167,",")))),IF(BE167="",TRUE,IF(input_challenge_opportunities="",TRUE,SUMPRODUCT(--ISNUMBER(SEARCH(","&amp;TRIM(TEXTSPLIT(BE167,","))&amp;",",","&amp;SUBSTITUTE(input_challenge_opportunities," ","")&amp;",")))=0)),IF(BG167="",TRUE,IF(input_challenge_opportunities="",FALSE,SUMPRODUCT(--ISNUMBER(SEARCH(","&amp;TRIM(TEXTSPLIT(BG167,","))&amp;",",","&amp;SUBSTITUTE(input_challenge_opportunities," ","")&amp;",")))&gt;0)),IF(BI167="",TRUE,IF(input_challenge_opportunities="",FALSE,SUMPRODUCT(--ISNUMBER(SEARCH(","&amp;TRIM(TEXTSPLIT(BI167,","))&amp;",",","&amp;SUBSTITUTE(input_challenge_opportunities," ","")&amp;",")))=COUNTA(TEXTSPLIT(BI167,",")))))</f>
        <v/>
      </c>
      <c r="IY167">
        <f>AND(IF(BK167="",TRUE,IF(input_context="",FALSE,SUMPRODUCT(--ISNUMBER(SEARCH(","&amp;TRIM(TEXTSPLIT(BK167,","))&amp;",",","&amp;SUBSTITUTE(input_context," ","")&amp;",")))&gt;0)),IF(BM167="",TRUE,IF(input_context="",FALSE,SUMPRODUCT(--ISNUMBER(SEARCH(","&amp;TRIM(TEXTSPLIT(BM167,","))&amp;",",","&amp;SUBSTITUTE(input_context," ","")&amp;",")))=COUNTA(TEXTSPLIT(BM167,",")))),IF(BO167="",TRUE,IF(input_context="",TRUE,SUMPRODUCT(--ISNUMBER(SEARCH(","&amp;TRIM(TEXTSPLIT(BO167,","))&amp;",",","&amp;SUBSTITUTE(input_context," ","")&amp;",")))=0)),IF(BQ167="",TRUE,IF(input_context="",FALSE,SUMPRODUCT(--ISNUMBER(SEARCH(","&amp;TRIM(TEXTSPLIT(BQ167,","))&amp;",",","&amp;SUBSTITUTE(input_context," ","")&amp;",")))&gt;0)),IF(BS167="",TRUE,IF(input_context="",FALSE,SUMPRODUCT(--ISNUMBER(SEARCH(","&amp;TRIM(TEXTSPLIT(BS167,","))&amp;",",","&amp;SUBSTITUTE(input_context," ","")&amp;",")))=COUNTA(TEXTSPLIT(BS167,",")))))</f>
        <v/>
      </c>
      <c r="IZ167">
        <f>AND(IF(BU167="",TRUE,IF(input_enews_announcement_type="",FALSE,SUMPRODUCT(--ISNUMBER(SEARCH(","&amp;TRIM(TEXTSPLIT(BU167,","))&amp;",",","&amp;SUBSTITUTE(input_enews_announcement_type," ","")&amp;",")))&gt;0)),IF(BW167="",TRUE,IF(input_enews_announcement_type="",FALSE,SUMPRODUCT(--ISNUMBER(SEARCH(","&amp;TRIM(TEXTSPLIT(BW167,","))&amp;",",","&amp;SUBSTITUTE(input_enews_announcement_type," ","")&amp;",")))=COUNTA(TEXTSPLIT(BW167,",")))),IF(BY167="",TRUE,IF(input_enews_announcement_type="",TRUE,SUMPRODUCT(--ISNUMBER(SEARCH(","&amp;TRIM(TEXTSPLIT(BY167,","))&amp;",",","&amp;SUBSTITUTE(input_enews_announcement_type," ","")&amp;",")))=0)),IF(CA167="",TRUE,IF(input_enews_announcement_type="",FALSE,SUMPRODUCT(--ISNUMBER(SEARCH(","&amp;TRIM(TEXTSPLIT(CA167,","))&amp;",",","&amp;SUBSTITUTE(input_enews_announcement_type," ","")&amp;",")))&gt;0)),IF(CC167="",TRUE,IF(input_enews_announcement_type="",FALSE,SUMPRODUCT(--ISNUMBER(SEARCH(","&amp;TRIM(TEXTSPLIT(CC167,","))&amp;",",","&amp;SUBSTITUTE(input_enews_announcement_type," ","")&amp;",")))=COUNTA(TEXTSPLIT(CC167,",")))))</f>
        <v/>
      </c>
      <c r="JA167">
        <f>AND(IF(CE167="",TRUE,IF(input_enews_audience="",FALSE,SUMPRODUCT(--ISNUMBER(SEARCH(","&amp;TRIM(TEXTSPLIT(CE167,","))&amp;",",","&amp;SUBSTITUTE(input_enews_audience," ","")&amp;",")))&gt;0)),IF(CG167="",TRUE,IF(input_enews_audience="",FALSE,SUMPRODUCT(--ISNUMBER(SEARCH(","&amp;TRIM(TEXTSPLIT(CG167,","))&amp;",",","&amp;SUBSTITUTE(input_enews_audience," ","")&amp;",")))=COUNTA(TEXTSPLIT(CG167,",")))),IF(CI167="",TRUE,IF(input_enews_audience="",TRUE,SUMPRODUCT(--ISNUMBER(SEARCH(","&amp;TRIM(TEXTSPLIT(CI167,","))&amp;",",","&amp;SUBSTITUTE(input_enews_audience," ","")&amp;",")))=0)),IF(CK167="",TRUE,IF(input_enews_audience="",FALSE,SUMPRODUCT(--ISNUMBER(SEARCH(","&amp;TRIM(TEXTSPLIT(CK167,","))&amp;",",","&amp;SUBSTITUTE(input_enews_audience," ","")&amp;",")))&gt;0)),IF(CM167="",TRUE,IF(input_enews_audience="",FALSE,SUMPRODUCT(--ISNUMBER(SEARCH(","&amp;TRIM(TEXTSPLIT(CM167,","))&amp;",",","&amp;SUBSTITUTE(input_enews_audience," ","")&amp;",")))=COUNTA(TEXTSPLIT(CM167,",")))))</f>
        <v/>
      </c>
      <c r="JB167">
        <f>AND(IF(CO167="",TRUE,IF(input_event_location="",FALSE,SUMPRODUCT(--ISNUMBER(SEARCH(","&amp;TRIM(TEXTSPLIT(CO167,","))&amp;",",","&amp;SUBSTITUTE(input_event_location," ","")&amp;",")))&gt;0)),IF(CQ167="",TRUE,IF(input_event_location="",FALSE,SUMPRODUCT(--ISNUMBER(SEARCH(","&amp;TRIM(TEXTSPLIT(CQ167,","))&amp;",",","&amp;SUBSTITUTE(input_event_location," ","")&amp;",")))=COUNTA(TEXTSPLIT(CQ167,",")))),IF(CS167="",TRUE,IF(input_event_location="",TRUE,SUMPRODUCT(--ISNUMBER(SEARCH(","&amp;TRIM(TEXTSPLIT(CS167,","))&amp;",",","&amp;SUBSTITUTE(input_event_location," ","")&amp;",")))=0)),IF(CU167="",TRUE,IF(input_event_location="",FALSE,SUMPRODUCT(--ISNUMBER(SEARCH(","&amp;TRIM(TEXTSPLIT(CU167,","))&amp;",",","&amp;SUBSTITUTE(input_event_location," ","")&amp;",")))&gt;0)),IF(CW167="",TRUE,IF(input_event_location="",FALSE,SUMPRODUCT(--ISNUMBER(SEARCH(","&amp;TRIM(TEXTSPLIT(CW167,","))&amp;",",","&amp;SUBSTITUTE(input_event_location," ","")&amp;",")))=COUNTA(TEXTSPLIT(CW167,",")))))</f>
        <v/>
      </c>
      <c r="JC167">
        <f>AND(IF(CY167="",TRUE,IF(input_event_type="",FALSE,SUMPRODUCT(--ISNUMBER(SEARCH(","&amp;TRIM(TEXTSPLIT(CY167,","))&amp;",",","&amp;SUBSTITUTE(input_event_type," ","")&amp;",")))&gt;0)),IF(DA167="",TRUE,IF(input_event_type="",FALSE,SUMPRODUCT(--ISNUMBER(SEARCH(","&amp;TRIM(TEXTSPLIT(DA167,","))&amp;",",","&amp;SUBSTITUTE(input_event_type," ","")&amp;",")))=COUNTA(TEXTSPLIT(DA167,",")))),IF(DC167="",TRUE,IF(input_event_type="",TRUE,SUMPRODUCT(--ISNUMBER(SEARCH(","&amp;TRIM(TEXTSPLIT(DC167,","))&amp;",",","&amp;SUBSTITUTE(input_event_type," ","")&amp;",")))=0)),IF(DE167="",TRUE,IF(input_event_type="",FALSE,SUMPRODUCT(--ISNUMBER(SEARCH(","&amp;TRIM(TEXTSPLIT(DE167,","))&amp;",",","&amp;SUBSTITUTE(input_event_type," ","")&amp;",")))&gt;0)),IF(DG167="",TRUE,IF(input_event_type="",FALSE,SUMPRODUCT(--ISNUMBER(SEARCH(","&amp;TRIM(TEXTSPLIT(DG167,","))&amp;",",","&amp;SUBSTITUTE(input_event_type," ","")&amp;",")))=COUNTA(TEXTSPLIT(DG167,",")))))</f>
        <v/>
      </c>
      <c r="JD167">
        <f>AND(IF(DI167="",TRUE,IF(input_executive_education_focus="",FALSE,SUMPRODUCT(--ISNUMBER(SEARCH(","&amp;TRIM(TEXTSPLIT(DI167,","))&amp;",",","&amp;SUBSTITUTE(input_executive_education_focus," ","")&amp;",")))&gt;0)),IF(DK167="",TRUE,IF(input_executive_education_focus="",FALSE,SUMPRODUCT(--ISNUMBER(SEARCH(","&amp;TRIM(TEXTSPLIT(DK167,","))&amp;",",","&amp;SUBSTITUTE(input_executive_education_focus," ","")&amp;",")))=COUNTA(TEXTSPLIT(DK167,",")))),IF(DM167="",TRUE,IF(input_executive_education_focus="",TRUE,SUMPRODUCT(--ISNUMBER(SEARCH(","&amp;TRIM(TEXTSPLIT(DM167,","))&amp;",",","&amp;SUBSTITUTE(input_executive_education_focus," ","")&amp;",")))=0)),IF(DO167="",TRUE,IF(input_executive_education_focus="",FALSE,SUMPRODUCT(--ISNUMBER(SEARCH(","&amp;TRIM(TEXTSPLIT(DO167,","))&amp;",",","&amp;SUBSTITUTE(input_executive_education_focus," ","")&amp;",")))&gt;0)),IF(DQ167="",TRUE,IF(input_executive_education_focus="",FALSE,SUMPRODUCT(--ISNUMBER(SEARCH(","&amp;TRIM(TEXTSPLIT(DQ167,","))&amp;",",","&amp;SUBSTITUTE(input_executive_education_focus," ","")&amp;",")))=COUNTA(TEXTSPLIT(DQ167,",")))))</f>
        <v/>
      </c>
      <c r="JE167">
        <f>AND(IF(DS167="",TRUE,IF(input_faculty_category="",FALSE,SUMPRODUCT(--ISNUMBER(SEARCH(","&amp;TRIM(TEXTSPLIT(DS167,","))&amp;",",","&amp;SUBSTITUTE(input_faculty_category," ","")&amp;",")))&gt;0)),IF(DU167="",TRUE,IF(input_faculty_category="",FALSE,SUMPRODUCT(--ISNUMBER(SEARCH(","&amp;TRIM(TEXTSPLIT(DU167,","))&amp;",",","&amp;SUBSTITUTE(input_faculty_category," ","")&amp;",")))=COUNTA(TEXTSPLIT(DU167,",")))),IF(DW167="",TRUE,IF(input_faculty_category="",TRUE,SUMPRODUCT(--ISNUMBER(SEARCH(","&amp;TRIM(TEXTSPLIT(DW167,","))&amp;",",","&amp;SUBSTITUTE(input_faculty_category," ","")&amp;",")))=0)),IF(DY167="",TRUE,IF(input_faculty_category="",FALSE,SUMPRODUCT(--ISNUMBER(SEARCH(","&amp;TRIM(TEXTSPLIT(DY167,","))&amp;",",","&amp;SUBSTITUTE(input_faculty_category," ","")&amp;",")))&gt;0)),IF(EA167="",TRUE,IF(input_faculty_category="",FALSE,SUMPRODUCT(--ISNUMBER(SEARCH(","&amp;TRIM(TEXTSPLIT(EA167,","))&amp;",",","&amp;SUBSTITUTE(input_faculty_category," ","")&amp;",")))=COUNTA(TEXTSPLIT(EA167,",")))))</f>
        <v/>
      </c>
      <c r="JF167">
        <f>AND(IF(EC167="",TRUE,IF(input_faculty_discipline="",FALSE,SUMPRODUCT(--ISNUMBER(SEARCH(","&amp;TRIM(TEXTSPLIT(EC167,","))&amp;",",","&amp;SUBSTITUTE(input_faculty_discipline," ","")&amp;",")))&gt;0)),IF(EE167="",TRUE,IF(input_faculty_discipline="",FALSE,SUMPRODUCT(--ISNUMBER(SEARCH(","&amp;TRIM(TEXTSPLIT(EE167,","))&amp;",",","&amp;SUBSTITUTE(input_faculty_discipline," ","")&amp;",")))=COUNTA(TEXTSPLIT(EE167,",")))),IF(EG167="",TRUE,IF(input_faculty_discipline="",TRUE,SUMPRODUCT(--ISNUMBER(SEARCH(","&amp;TRIM(TEXTSPLIT(EG167,","))&amp;",",","&amp;SUBSTITUTE(input_faculty_discipline," ","")&amp;",")))=0)),IF(EI167="",TRUE,IF(input_faculty_discipline="",FALSE,SUMPRODUCT(--ISNUMBER(SEARCH(","&amp;TRIM(TEXTSPLIT(EI167,","))&amp;",",","&amp;SUBSTITUTE(input_faculty_discipline," ","")&amp;",")))&gt;0)),IF(EK167="",TRUE,IF(input_faculty_discipline="",FALSE,SUMPRODUCT(--ISNUMBER(SEARCH(","&amp;TRIM(TEXTSPLIT(EK167,","))&amp;",",","&amp;SUBSTITUTE(input_faculty_discipline," ","")&amp;",")))=COUNTA(TEXTSPLIT(EK167,",")))))</f>
        <v/>
      </c>
      <c r="JG167">
        <f>AND(IF(EM167="",TRUE,IF(input_faculty_expertise="",FALSE,SUMPRODUCT(--ISNUMBER(SEARCH(","&amp;TRIM(TEXTSPLIT(EM167,","))&amp;",",","&amp;SUBSTITUTE(input_faculty_expertise," ","")&amp;",")))&gt;0)),IF(EO167="",TRUE,IF(input_faculty_expertise="",FALSE,SUMPRODUCT(--ISNUMBER(SEARCH(","&amp;TRIM(TEXTSPLIT(EO167,","))&amp;",",","&amp;SUBSTITUTE(input_faculty_expertise," ","")&amp;",")))=COUNTA(TEXTSPLIT(EO167,",")))),IF(EQ167="",TRUE,IF(input_faculty_expertise="",TRUE,SUMPRODUCT(--ISNUMBER(SEARCH(","&amp;TRIM(TEXTSPLIT(EQ167,","))&amp;",",","&amp;SUBSTITUTE(input_faculty_expertise," ","")&amp;",")))=0)),IF(ES167="",TRUE,IF(input_faculty_expertise="",FALSE,SUMPRODUCT(--ISNUMBER(SEARCH(","&amp;TRIM(TEXTSPLIT(ES167,","))&amp;",",","&amp;SUBSTITUTE(input_faculty_expertise," ","")&amp;",")))&gt;0)),IF(EU167="",TRUE,IF(input_faculty_expertise="",FALSE,SUMPRODUCT(--ISNUMBER(SEARCH(","&amp;TRIM(TEXTSPLIT(EU167,","))&amp;",",","&amp;SUBSTITUTE(input_faculty_expertise," ","")&amp;",")))=COUNTA(TEXTSPLIT(EU167,",")))))</f>
        <v/>
      </c>
      <c r="JH167">
        <f>AND(IF(EW167="",TRUE,IF(input_global_network_school="",FALSE,SUMPRODUCT(--ISNUMBER(SEARCH(","&amp;TRIM(TEXTSPLIT(EW167,","))&amp;",",","&amp;SUBSTITUTE(input_global_network_school," ","")&amp;",")))&gt;0)),IF(EY167="",TRUE,IF(input_global_network_school="",FALSE,SUMPRODUCT(--ISNUMBER(SEARCH(","&amp;TRIM(TEXTSPLIT(EY167,","))&amp;",",","&amp;SUBSTITUTE(input_global_network_school," ","")&amp;",")))=COUNTA(TEXTSPLIT(EY167,",")))),IF(FA167="",TRUE,IF(input_global_network_school="",TRUE,SUMPRODUCT(--ISNUMBER(SEARCH(","&amp;TRIM(TEXTSPLIT(FA167,","))&amp;",",","&amp;SUBSTITUTE(input_global_network_school," ","")&amp;",")))=0)),IF(FC167="",TRUE,IF(input_global_network_school="",FALSE,SUMPRODUCT(--ISNUMBER(SEARCH(","&amp;TRIM(TEXTSPLIT(FC167,","))&amp;",",","&amp;SUBSTITUTE(input_global_network_school," ","")&amp;",")))&gt;0)),IF(FE167="",TRUE,IF(input_global_network_school="",FALSE,SUMPRODUCT(--ISNUMBER(SEARCH(","&amp;TRIM(TEXTSPLIT(FE167,","))&amp;",",","&amp;SUBSTITUTE(input_global_network_school," ","")&amp;",")))=COUNTA(TEXTSPLIT(FE167,",")))))</f>
        <v/>
      </c>
      <c r="JI167">
        <f>AND(IF(FG167="",TRUE,IF(input_industry="",FALSE,SUMPRODUCT(--ISNUMBER(SEARCH(","&amp;TRIM(TEXTSPLIT(FG167,","))&amp;",",","&amp;SUBSTITUTE(input_industry," ","")&amp;",")))&gt;0)),IF(FI167="",TRUE,IF(input_industry="",FALSE,SUMPRODUCT(--ISNUMBER(SEARCH(","&amp;TRIM(TEXTSPLIT(FI167,","))&amp;",",","&amp;SUBSTITUTE(input_industry," ","")&amp;",")))=COUNTA(TEXTSPLIT(FI167,",")))),IF(FK167="",TRUE,IF(input_industry="",TRUE,SUMPRODUCT(--ISNUMBER(SEARCH(","&amp;TRIM(TEXTSPLIT(FK167,","))&amp;",",","&amp;SUBSTITUTE(input_industry," ","")&amp;",")))=0)),IF(FM167="",TRUE,IF(input_industry="",FALSE,SUMPRODUCT(--ISNUMBER(SEARCH(","&amp;TRIM(TEXTSPLIT(FM167,","))&amp;",",","&amp;SUBSTITUTE(input_industry," ","")&amp;",")))&gt;0)),IF(FO167="",TRUE,IF(input_industry="",FALSE,SUMPRODUCT(--ISNUMBER(SEARCH(","&amp;TRIM(TEXTSPLIT(FO167,","))&amp;",",","&amp;SUBSTITUTE(input_industry," ","")&amp;",")))=COUNTA(TEXTSPLIT(FO167,",")))))</f>
        <v/>
      </c>
      <c r="JJ167">
        <f>AND(IF(FQ167="",TRUE,IF(input_location="",FALSE,SUMPRODUCT(--ISNUMBER(SEARCH(","&amp;TRIM(TEXTSPLIT(FQ167,","))&amp;",",","&amp;SUBSTITUTE(input_location," ","")&amp;",")))&gt;0)),IF(FS167="",TRUE,IF(input_location="",FALSE,SUMPRODUCT(--ISNUMBER(SEARCH(","&amp;TRIM(TEXTSPLIT(FS167,","))&amp;",",","&amp;SUBSTITUTE(input_location," ","")&amp;",")))=COUNTA(TEXTSPLIT(FS167,",")))),IF(FU167="",TRUE,IF(input_location="",TRUE,SUMPRODUCT(--ISNUMBER(SEARCH(","&amp;TRIM(TEXTSPLIT(FU167,","))&amp;",",","&amp;SUBSTITUTE(input_location," ","")&amp;",")))=0)),IF(FW167="",TRUE,IF(input_location="",FALSE,SUMPRODUCT(--ISNUMBER(SEARCH(","&amp;TRIM(TEXTSPLIT(FW167,","))&amp;",",","&amp;SUBSTITUTE(input_location," ","")&amp;",")))&gt;0)),IF(FY167="",TRUE,IF(input_location="",FALSE,SUMPRODUCT(--ISNUMBER(SEARCH(","&amp;TRIM(TEXTSPLIT(FY167,","))&amp;",",","&amp;SUBSTITUTE(input_location," ","")&amp;",")))=COUNTA(TEXTSPLIT(FY167,",")))))</f>
        <v/>
      </c>
      <c r="JK167">
        <f>AND(IF(GA167="",TRUE,IF(input_modality="",FALSE,SUMPRODUCT(--ISNUMBER(SEARCH(","&amp;TRIM(TEXTSPLIT(GA167,","))&amp;",",","&amp;SUBSTITUTE(input_modality," ","")&amp;",")))&gt;0)),IF(GC167="",TRUE,IF(input_modality="",FALSE,SUMPRODUCT(--ISNUMBER(SEARCH(","&amp;TRIM(TEXTSPLIT(GC167,","))&amp;",",","&amp;SUBSTITUTE(input_modality," ","")&amp;",")))=COUNTA(TEXTSPLIT(GC167,",")))),IF(GE167="",TRUE,IF(input_modality="",TRUE,SUMPRODUCT(--ISNUMBER(SEARCH(","&amp;TRIM(TEXTSPLIT(GE167,","))&amp;",",","&amp;SUBSTITUTE(input_modality," ","")&amp;",")))=0)),IF(GG167="",TRUE,IF(input_modality="",FALSE,SUMPRODUCT(--ISNUMBER(SEARCH(","&amp;TRIM(TEXTSPLIT(GG167,","))&amp;",",","&amp;SUBSTITUTE(input_modality," ","")&amp;",")))&gt;0)),IF(GI167="",TRUE,IF(input_modality="",FALSE,SUMPRODUCT(--ISNUMBER(SEARCH(","&amp;TRIM(TEXTSPLIT(GI167,","))&amp;",",","&amp;SUBSTITUTE(input_modality," ","")&amp;",")))=COUNTA(TEXTSPLIT(GI167,",")))))</f>
        <v/>
      </c>
      <c r="JL167">
        <f>AND(IF(GK167="",TRUE,IF(input_organizer="",FALSE,SUMPRODUCT(--ISNUMBER(SEARCH(","&amp;TRIM(TEXTSPLIT(GK167,","))&amp;",",","&amp;SUBSTITUTE(input_organizer," ","")&amp;",")))&gt;0)),IF(GM167="",TRUE,IF(input_organizer="",FALSE,SUMPRODUCT(--ISNUMBER(SEARCH(","&amp;TRIM(TEXTSPLIT(GM167,","))&amp;",",","&amp;SUBSTITUTE(input_organizer," ","")&amp;",")))=COUNTA(TEXTSPLIT(GM167,",")))),IF(GO167="",TRUE,IF(input_organizer="",TRUE,SUMPRODUCT(--ISNUMBER(SEARCH(","&amp;TRIM(TEXTSPLIT(GO167,","))&amp;",",","&amp;SUBSTITUTE(input_organizer," ","")&amp;",")))=0)),IF(GQ167="",TRUE,IF(input_organizer="",FALSE,SUMPRODUCT(--ISNUMBER(SEARCH(","&amp;TRIM(TEXTSPLIT(GQ167,","))&amp;",",","&amp;SUBSTITUTE(input_organizer," ","")&amp;",")))&gt;0)),IF(GS167="",TRUE,IF(input_organizer="",FALSE,SUMPRODUCT(--ISNUMBER(SEARCH(","&amp;TRIM(TEXTSPLIT(GS167,","))&amp;",",","&amp;SUBSTITUTE(input_organizer," ","")&amp;",")))=COUNTA(TEXTSPLIT(GS167,",")))))</f>
        <v/>
      </c>
      <c r="JM167">
        <f>AND(IF(GU167="",TRUE,IF(input_profile_type="",FALSE,SUMPRODUCT(--ISNUMBER(SEARCH(","&amp;TRIM(TEXTSPLIT(GU167,","))&amp;",",","&amp;SUBSTITUTE(input_profile_type," ","")&amp;",")))&gt;0)),IF(GW167="",TRUE,IF(input_profile_type="",FALSE,SUMPRODUCT(--ISNUMBER(SEARCH(","&amp;TRIM(TEXTSPLIT(GW167,","))&amp;",",","&amp;SUBSTITUTE(input_profile_type," ","")&amp;",")))=COUNTA(TEXTSPLIT(GW167,",")))),IF(GY167="",TRUE,IF(input_profile_type="",TRUE,SUMPRODUCT(--ISNUMBER(SEARCH(","&amp;TRIM(TEXTSPLIT(GY167,","))&amp;",",","&amp;SUBSTITUTE(input_profile_type," ","")&amp;",")))=0)),IF(HA167="",TRUE,IF(input_profile_type="",FALSE,SUMPRODUCT(--ISNUMBER(SEARCH(","&amp;TRIM(TEXTSPLIT(HA167,","))&amp;",",","&amp;SUBSTITUTE(input_profile_type," ","")&amp;",")))&gt;0)),IF(HC167="",TRUE,IF(input_profile_type="",FALSE,SUMPRODUCT(--ISNUMBER(SEARCH(","&amp;TRIM(TEXTSPLIT(HC167,","))&amp;",",","&amp;SUBSTITUTE(input_profile_type," ","")&amp;",")))=COUNTA(TEXTSPLIT(HC167,",")))))</f>
        <v/>
      </c>
      <c r="JN167">
        <f>AND(IF(HE167="",TRUE,IF(input_program="",FALSE,SUMPRODUCT(--ISNUMBER(SEARCH(","&amp;TRIM(TEXTSPLIT(HE167,","))&amp;",",","&amp;SUBSTITUTE(input_program," ","")&amp;",")))&gt;0)),IF(HG167="",TRUE,IF(input_program="",FALSE,SUMPRODUCT(--ISNUMBER(SEARCH(","&amp;TRIM(TEXTSPLIT(HG167,","))&amp;",",","&amp;SUBSTITUTE(input_program," ","")&amp;",")))=COUNTA(TEXTSPLIT(HG167,",")))),IF(HI167="",TRUE,IF(input_program="",TRUE,SUMPRODUCT(--ISNUMBER(SEARCH(","&amp;TRIM(TEXTSPLIT(HI167,","))&amp;",",","&amp;SUBSTITUTE(input_program," ","")&amp;",")))=0)),IF(HK167="",TRUE,IF(input_program="",FALSE,SUMPRODUCT(--ISNUMBER(SEARCH(","&amp;TRIM(TEXTSPLIT(HK167,","))&amp;",",","&amp;SUBSTITUTE(input_program," ","")&amp;",")))&gt;0)),IF(HM167="",TRUE,IF(input_program="",FALSE,SUMPRODUCT(--ISNUMBER(SEARCH(","&amp;TRIM(TEXTSPLIT(HM167,","))&amp;",",","&amp;SUBSTITUTE(input_program," ","")&amp;",")))=COUNTA(TEXTSPLIT(HM167,",")))))</f>
        <v/>
      </c>
      <c r="JO167">
        <f>AND(IF(HO167="",TRUE,IF(input_story_categories="",FALSE,SUMPRODUCT(--ISNUMBER(SEARCH(","&amp;TRIM(TEXTSPLIT(HO167,","))&amp;",",","&amp;SUBSTITUTE(input_story_categories," ","")&amp;",")))&gt;0)),IF(HQ167="",TRUE,IF(input_story_categories="",FALSE,SUMPRODUCT(--ISNUMBER(SEARCH(","&amp;TRIM(TEXTSPLIT(HQ167,","))&amp;",",","&amp;SUBSTITUTE(input_story_categories," ","")&amp;",")))=COUNTA(TEXTSPLIT(HQ167,",")))),IF(HS167="",TRUE,IF(input_story_categories="",TRUE,SUMPRODUCT(--ISNUMBER(SEARCH(","&amp;TRIM(TEXTSPLIT(HS167,","))&amp;",",","&amp;SUBSTITUTE(input_story_categories," ","")&amp;",")))=0)),IF(HU167="",TRUE,IF(input_story_categories="",FALSE,SUMPRODUCT(--ISNUMBER(SEARCH(","&amp;TRIM(TEXTSPLIT(HU167,","))&amp;",",","&amp;SUBSTITUTE(input_story_categories," ","")&amp;",")))&gt;0)),IF(HW167="",TRUE,IF(input_story_categories="",FALSE,SUMPRODUCT(--ISNUMBER(SEARCH(","&amp;TRIM(TEXTSPLIT(HW167,","))&amp;",",","&amp;SUBSTITUTE(input_story_categories," ","")&amp;",")))=COUNTA(TEXTSPLIT(HW167,",")))))</f>
        <v/>
      </c>
      <c r="JP167">
        <f>AND(IF(HY167="",TRUE,IF(input_story_type="",FALSE,SUMPRODUCT(--ISNUMBER(SEARCH(","&amp;TRIM(TEXTSPLIT(HY167,","))&amp;",",","&amp;SUBSTITUTE(input_story_type," ","")&amp;",")))&gt;0)),IF(IA167="",TRUE,IF(input_story_type="",FALSE,SUMPRODUCT(--ISNUMBER(SEARCH(","&amp;TRIM(TEXTSPLIT(IA167,","))&amp;",",","&amp;SUBSTITUTE(input_story_type," ","")&amp;",")))=COUNTA(TEXTSPLIT(IA167,",")))),IF(IC167="",TRUE,IF(input_story_type="",TRUE,SUMPRODUCT(--ISNUMBER(SEARCH(","&amp;TRIM(TEXTSPLIT(IC167,","))&amp;",",","&amp;SUBSTITUTE(input_story_type," ","")&amp;",")))=0)),IF(IE167="",TRUE,IF(input_story_type="",FALSE,SUMPRODUCT(--ISNUMBER(SEARCH(","&amp;TRIM(TEXTSPLIT(IE167,","))&amp;",",","&amp;SUBSTITUTE(input_story_type," ","")&amp;",")))&gt;0)),IF(IG167="",TRUE,IF(input_story_type="",FALSE,SUMPRODUCT(--ISNUMBER(SEARCH(","&amp;TRIM(TEXTSPLIT(IG167,","))&amp;",",","&amp;SUBSTITUTE(input_story_type," ","")&amp;",")))=COUNTA(TEXTSPLIT(IG167,",")))))</f>
        <v/>
      </c>
      <c r="JQ167">
        <f>AND(IF(II167="",TRUE,IF(input_topics="",FALSE,SUMPRODUCT(--ISNUMBER(SEARCH(","&amp;TRIM(TEXTSPLIT(II167,","))&amp;",",","&amp;SUBSTITUTE(input_topics," ","")&amp;",")))&gt;0)),IF(IK167="",TRUE,IF(input_topics="",FALSE,SUMPRODUCT(--ISNUMBER(SEARCH(","&amp;TRIM(TEXTSPLIT(IK167,","))&amp;",",","&amp;SUBSTITUTE(input_topics," ","")&amp;",")))=COUNTA(TEXTSPLIT(IK167,",")))),IF(IM167="",TRUE,IF(input_topics="",TRUE,SUMPRODUCT(--ISNUMBER(SEARCH(","&amp;TRIM(TEXTSPLIT(IM167,","))&amp;",",","&amp;SUBSTITUTE(input_topics," ","")&amp;",")))=0)),IF(IO167="",TRUE,IF(input_topics="",FALSE,SUMPRODUCT(--ISNUMBER(SEARCH(","&amp;TRIM(TEXTSPLIT(IO167,","))&amp;",",","&amp;SUBSTITUTE(input_topics," ","")&amp;",")))&gt;0)),IF(IQ167="",TRUE,IF(input_topics="",FALSE,SUMPRODUCT(--ISNUMBER(SEARCH(","&amp;TRIM(TEXTSPLIT(IQ167,","))&amp;",",","&amp;SUBSTITUTE(input_topics," ","")&amp;",")))=COUNTA(TEXTSPLIT(IQ167,",")))))</f>
        <v/>
      </c>
    </row>
    <row r="168">
      <c r="A168" s="4">
        <f>IF(NOT(IS168),"Excluded",IF(AND(IT168,IU168,IV168,IW168,IX168,IY168,IZ168,JA168,JB168,JC168,JD168,JE168,JF168,JG168,JH168,JI168,JJ168,JK168,JL168,JM168,JN168,JO168,JP168,JQ168),IF(I168&gt;0,"Eligible but limited","Will appear"),"Excluded"))</f>
        <v/>
      </c>
      <c r="B168" s="4" t="inlineStr">
        <is>
          <t>Related profiles on profile pages</t>
        </is>
      </c>
      <c r="C168" s="4" t="inlineStr">
        <is>
          <t>/profile/peter-akinwande-25</t>
        </is>
      </c>
      <c r="D168" s="4" t="inlineStr">
        <is>
          <t>/profile/peter-akinwande-25</t>
        </is>
      </c>
      <c r="E168" s="4" t="n">
        <v>1</v>
      </c>
      <c r="F168" s="4" t="inlineStr">
        <is>
          <t>profile</t>
        </is>
      </c>
      <c r="G168" s="4" t="inlineStr">
        <is>
          <t>profiles_grid</t>
        </is>
      </c>
      <c r="H168" s="4" t="inlineStr">
        <is>
          <t>related</t>
        </is>
      </c>
      <c r="I168" s="4" t="n">
        <v>3</v>
      </c>
      <c r="J168" s="4" t="inlineStr">
        <is>
          <t>Explicit args</t>
        </is>
      </c>
      <c r="K168" s="4" t="inlineStr">
        <is>
          <t>Grouped surface</t>
        </is>
      </c>
      <c r="L168" s="4" t="inlineStr">
        <is>
          <t>Content type: profile; Context uses Profile Type: all; Context uses Program: Master’s in Asset Management (82); Limited to 3 item(s); Source: Explicit args</t>
        </is>
      </c>
      <c r="M168" t="inlineStr"/>
      <c r="N168" t="inlineStr"/>
      <c r="O168" t="inlineStr"/>
      <c r="P168" t="inlineStr"/>
      <c r="Q168" t="inlineStr"/>
      <c r="R168" t="inlineStr"/>
      <c r="S168" t="inlineStr"/>
      <c r="T168" t="inlineStr"/>
      <c r="U168" t="inlineStr"/>
      <c r="V168" t="inlineStr"/>
      <c r="W168" t="inlineStr"/>
      <c r="X168" t="inlineStr"/>
      <c r="Y168" t="inlineStr"/>
      <c r="Z168" t="inlineStr"/>
      <c r="AA168" t="inlineStr"/>
      <c r="AB168" t="inlineStr"/>
      <c r="AC168" t="inlineStr"/>
      <c r="AD168" t="inlineStr"/>
      <c r="AE168" t="inlineStr"/>
      <c r="AF168" t="inlineStr"/>
      <c r="AG168" t="inlineStr"/>
      <c r="AH168" t="inlineStr"/>
      <c r="AI168" t="inlineStr"/>
      <c r="AJ168" t="inlineStr"/>
      <c r="AK168" t="inlineStr"/>
      <c r="AL168" t="inlineStr"/>
      <c r="AM168" t="inlineStr"/>
      <c r="AN168" t="inlineStr"/>
      <c r="AO168" t="inlineStr"/>
      <c r="AP168" t="inlineStr"/>
      <c r="AQ168" t="inlineStr"/>
      <c r="AR168" t="inlineStr"/>
      <c r="AS168" t="inlineStr"/>
      <c r="AT168" t="inlineStr"/>
      <c r="AU168" t="inlineStr"/>
      <c r="AV168" t="inlineStr"/>
      <c r="AW168" t="inlineStr"/>
      <c r="AX168" t="inlineStr"/>
      <c r="AY168" t="inlineStr"/>
      <c r="AZ168" t="inlineStr"/>
      <c r="BA168" t="inlineStr"/>
      <c r="BB168" t="inlineStr"/>
      <c r="BC168" t="inlineStr"/>
      <c r="BD168" t="inlineStr"/>
      <c r="BE168" t="inlineStr"/>
      <c r="BF168" t="inlineStr"/>
      <c r="BG168" t="inlineStr"/>
      <c r="BH168" t="inlineStr"/>
      <c r="BI168" t="inlineStr"/>
      <c r="BJ168" t="inlineStr"/>
      <c r="BK168" t="inlineStr"/>
      <c r="BL168" t="inlineStr"/>
      <c r="BM168" t="inlineStr"/>
      <c r="BN168" t="inlineStr"/>
      <c r="BO168" t="inlineStr"/>
      <c r="BP168" t="inlineStr"/>
      <c r="BQ168" t="inlineStr"/>
      <c r="BR168" t="inlineStr"/>
      <c r="BS168" t="inlineStr"/>
      <c r="BT168" t="inlineStr"/>
      <c r="BU168" t="inlineStr"/>
      <c r="BV168" t="inlineStr"/>
      <c r="BW168" t="inlineStr"/>
      <c r="BX168" t="inlineStr"/>
      <c r="BY168" t="inlineStr"/>
      <c r="BZ168" t="inlineStr"/>
      <c r="CA168" t="inlineStr"/>
      <c r="CB168" t="inlineStr"/>
      <c r="CC168" t="inlineStr"/>
      <c r="CD168" t="inlineStr"/>
      <c r="CE168" t="inlineStr"/>
      <c r="CF168" t="inlineStr"/>
      <c r="CG168" t="inlineStr"/>
      <c r="CH168" t="inlineStr"/>
      <c r="CI168" t="inlineStr"/>
      <c r="CJ168" t="inlineStr"/>
      <c r="CK168" t="inlineStr"/>
      <c r="CL168" t="inlineStr"/>
      <c r="CM168" t="inlineStr"/>
      <c r="CN168" t="inlineStr"/>
      <c r="CO168" t="inlineStr"/>
      <c r="CP168" t="inlineStr"/>
      <c r="CQ168" t="inlineStr"/>
      <c r="CR168" t="inlineStr"/>
      <c r="CS168" t="inlineStr"/>
      <c r="CT168" t="inlineStr"/>
      <c r="CU168" t="inlineStr"/>
      <c r="CV168" t="inlineStr"/>
      <c r="CW168" t="inlineStr"/>
      <c r="CX168" t="inlineStr"/>
      <c r="CY168" t="inlineStr"/>
      <c r="CZ168" t="inlineStr"/>
      <c r="DA168" t="inlineStr"/>
      <c r="DB168" t="inlineStr"/>
      <c r="DC168" t="inlineStr"/>
      <c r="DD168" t="inlineStr"/>
      <c r="DE168" t="inlineStr"/>
      <c r="DF168" t="inlineStr"/>
      <c r="DG168" t="inlineStr"/>
      <c r="DH168" t="inlineStr"/>
      <c r="DI168" t="inlineStr"/>
      <c r="DJ168" t="inlineStr"/>
      <c r="DK168" t="inlineStr"/>
      <c r="DL168" t="inlineStr"/>
      <c r="DM168" t="inlineStr"/>
      <c r="DN168" t="inlineStr"/>
      <c r="DO168" t="inlineStr"/>
      <c r="DP168" t="inlineStr"/>
      <c r="DQ168" t="inlineStr"/>
      <c r="DR168" t="inlineStr"/>
      <c r="DS168" t="inlineStr"/>
      <c r="DT168" t="inlineStr"/>
      <c r="DU168" t="inlineStr"/>
      <c r="DV168" t="inlineStr"/>
      <c r="DW168" t="inlineStr"/>
      <c r="DX168" t="inlineStr"/>
      <c r="DY168" t="inlineStr"/>
      <c r="DZ168" t="inlineStr"/>
      <c r="EA168" t="inlineStr"/>
      <c r="EB168" t="inlineStr"/>
      <c r="EC168" t="inlineStr"/>
      <c r="ED168" t="inlineStr"/>
      <c r="EE168" t="inlineStr"/>
      <c r="EF168" t="inlineStr"/>
      <c r="EG168" t="inlineStr"/>
      <c r="EH168" t="inlineStr"/>
      <c r="EI168" t="inlineStr"/>
      <c r="EJ168" t="inlineStr"/>
      <c r="EK168" t="inlineStr"/>
      <c r="EL168" t="inlineStr"/>
      <c r="EM168" t="inlineStr"/>
      <c r="EN168" t="inlineStr"/>
      <c r="EO168" t="inlineStr"/>
      <c r="EP168" t="inlineStr"/>
      <c r="EQ168" t="inlineStr"/>
      <c r="ER168" t="inlineStr"/>
      <c r="ES168" t="inlineStr"/>
      <c r="ET168" t="inlineStr"/>
      <c r="EU168" t="inlineStr"/>
      <c r="EV168" t="inlineStr"/>
      <c r="EW168" t="inlineStr"/>
      <c r="EX168" t="inlineStr"/>
      <c r="EY168" t="inlineStr"/>
      <c r="EZ168" t="inlineStr"/>
      <c r="FA168" t="inlineStr"/>
      <c r="FB168" t="inlineStr"/>
      <c r="FC168" t="inlineStr"/>
      <c r="FD168" t="inlineStr"/>
      <c r="FE168" t="inlineStr"/>
      <c r="FF168" t="inlineStr"/>
      <c r="FG168" t="inlineStr"/>
      <c r="FH168" t="inlineStr"/>
      <c r="FI168" t="inlineStr"/>
      <c r="FJ168" t="inlineStr"/>
      <c r="FK168" t="inlineStr"/>
      <c r="FL168" t="inlineStr"/>
      <c r="FM168" t="inlineStr"/>
      <c r="FN168" t="inlineStr"/>
      <c r="FO168" t="inlineStr"/>
      <c r="FP168" t="inlineStr"/>
      <c r="FQ168" t="inlineStr"/>
      <c r="FR168" t="inlineStr"/>
      <c r="FS168" t="inlineStr"/>
      <c r="FT168" t="inlineStr"/>
      <c r="FU168" t="inlineStr"/>
      <c r="FV168" t="inlineStr"/>
      <c r="FW168" t="inlineStr"/>
      <c r="FX168" t="inlineStr"/>
      <c r="FY168" t="inlineStr"/>
      <c r="FZ168" t="inlineStr"/>
      <c r="GA168" t="inlineStr"/>
      <c r="GB168" t="inlineStr"/>
      <c r="GC168" t="inlineStr"/>
      <c r="GD168" t="inlineStr"/>
      <c r="GE168" t="inlineStr"/>
      <c r="GF168" t="inlineStr"/>
      <c r="GG168" t="inlineStr"/>
      <c r="GH168" t="inlineStr"/>
      <c r="GI168" t="inlineStr"/>
      <c r="GJ168" t="inlineStr"/>
      <c r="GK168" t="inlineStr"/>
      <c r="GL168" t="inlineStr"/>
      <c r="GM168" t="inlineStr"/>
      <c r="GN168" t="inlineStr"/>
      <c r="GO168" t="inlineStr"/>
      <c r="GP168" t="inlineStr"/>
      <c r="GQ168" t="inlineStr"/>
      <c r="GR168" t="inlineStr"/>
      <c r="GS168" t="inlineStr"/>
      <c r="GT168" t="inlineStr"/>
      <c r="GU168" t="inlineStr"/>
      <c r="GV168" t="inlineStr"/>
      <c r="GW168" t="inlineStr"/>
      <c r="GX168" t="inlineStr"/>
      <c r="GY168" t="inlineStr"/>
      <c r="GZ168" t="inlineStr"/>
      <c r="HA168" t="inlineStr">
        <is>
          <t>all</t>
        </is>
      </c>
      <c r="HB168" t="inlineStr">
        <is>
          <t>all</t>
        </is>
      </c>
      <c r="HC168" t="inlineStr"/>
      <c r="HD168" t="inlineStr"/>
      <c r="HE168" t="inlineStr"/>
      <c r="HF168" t="inlineStr"/>
      <c r="HG168" t="inlineStr"/>
      <c r="HH168" t="inlineStr"/>
      <c r="HI168" t="inlineStr"/>
      <c r="HJ168" t="inlineStr"/>
      <c r="HK168" t="inlineStr">
        <is>
          <t>82</t>
        </is>
      </c>
      <c r="HL168" t="inlineStr">
        <is>
          <t>Master’s in Asset Management (82)</t>
        </is>
      </c>
      <c r="HM168" t="inlineStr"/>
      <c r="HN168" t="inlineStr"/>
      <c r="HO168" t="inlineStr"/>
      <c r="HP168" t="inlineStr"/>
      <c r="HQ168" t="inlineStr"/>
      <c r="HR168" t="inlineStr"/>
      <c r="HS168" t="inlineStr"/>
      <c r="HT168" t="inlineStr"/>
      <c r="HU168" t="inlineStr"/>
      <c r="HV168" t="inlineStr"/>
      <c r="HW168" t="inlineStr"/>
      <c r="HX168" t="inlineStr"/>
      <c r="HY168" t="inlineStr"/>
      <c r="HZ168" t="inlineStr"/>
      <c r="IA168" t="inlineStr"/>
      <c r="IB168" t="inlineStr"/>
      <c r="IC168" t="inlineStr"/>
      <c r="ID168" t="inlineStr"/>
      <c r="IE168" t="inlineStr"/>
      <c r="IF168" t="inlineStr"/>
      <c r="IG168" t="inlineStr"/>
      <c r="IH168" t="inlineStr"/>
      <c r="II168" t="inlineStr"/>
      <c r="IJ168" t="inlineStr"/>
      <c r="IK168" t="inlineStr"/>
      <c r="IL168" t="inlineStr"/>
      <c r="IM168" t="inlineStr"/>
      <c r="IN168" t="inlineStr"/>
      <c r="IO168" t="inlineStr"/>
      <c r="IP168" t="inlineStr"/>
      <c r="IQ168" t="inlineStr"/>
      <c r="IR168" t="inlineStr"/>
      <c r="IS168">
        <f>IF(input_content_type="",FALSE,ISNUMBER(SEARCH(","&amp;LOWER(input_content_type)&amp;",",","&amp;LOWER(F168)&amp;",")))</f>
        <v/>
      </c>
      <c r="IT168">
        <f>AND(IF(M168="",TRUE,IF(input_affiliations="",FALSE,SUMPRODUCT(--ISNUMBER(SEARCH(","&amp;TRIM(TEXTSPLIT(M168,","))&amp;",",","&amp;SUBSTITUTE(input_affiliations," ","")&amp;",")))&gt;0)),IF(O168="",TRUE,IF(input_affiliations="",FALSE,SUMPRODUCT(--ISNUMBER(SEARCH(","&amp;TRIM(TEXTSPLIT(O168,","))&amp;",",","&amp;SUBSTITUTE(input_affiliations," ","")&amp;",")))=COUNTA(TEXTSPLIT(O168,",")))),IF(Q168="",TRUE,IF(input_affiliations="",TRUE,SUMPRODUCT(--ISNUMBER(SEARCH(","&amp;TRIM(TEXTSPLIT(Q168,","))&amp;",",","&amp;SUBSTITUTE(input_affiliations," ","")&amp;",")))=0)),IF(S168="",TRUE,IF(input_affiliations="",FALSE,SUMPRODUCT(--ISNUMBER(SEARCH(","&amp;TRIM(TEXTSPLIT(S168,","))&amp;",",","&amp;SUBSTITUTE(input_affiliations," ","")&amp;",")))&gt;0)),IF(U168="",TRUE,IF(input_affiliations="",FALSE,SUMPRODUCT(--ISNUMBER(SEARCH(","&amp;TRIM(TEXTSPLIT(U168,","))&amp;",",","&amp;SUBSTITUTE(input_affiliations," ","")&amp;",")))=COUNTA(TEXTSPLIT(U168,",")))))</f>
        <v/>
      </c>
      <c r="IU168">
        <f>AND(IF(W168="",TRUE,IF(input_announcement_category="",FALSE,SUMPRODUCT(--ISNUMBER(SEARCH(","&amp;TRIM(TEXTSPLIT(W168,","))&amp;",",","&amp;SUBSTITUTE(input_announcement_category," ","")&amp;",")))&gt;0)),IF(Y168="",TRUE,IF(input_announcement_category="",FALSE,SUMPRODUCT(--ISNUMBER(SEARCH(","&amp;TRIM(TEXTSPLIT(Y168,","))&amp;",",","&amp;SUBSTITUTE(input_announcement_category," ","")&amp;",")))=COUNTA(TEXTSPLIT(Y168,",")))),IF(AA168="",TRUE,IF(input_announcement_category="",TRUE,SUMPRODUCT(--ISNUMBER(SEARCH(","&amp;TRIM(TEXTSPLIT(AA168,","))&amp;",",","&amp;SUBSTITUTE(input_announcement_category," ","")&amp;",")))=0)),IF(AC168="",TRUE,IF(input_announcement_category="",FALSE,SUMPRODUCT(--ISNUMBER(SEARCH(","&amp;TRIM(TEXTSPLIT(AC168,","))&amp;",",","&amp;SUBSTITUTE(input_announcement_category," ","")&amp;",")))&gt;0)),IF(AE168="",TRUE,IF(input_announcement_category="",FALSE,SUMPRODUCT(--ISNUMBER(SEARCH(","&amp;TRIM(TEXTSPLIT(AE168,","))&amp;",",","&amp;SUBSTITUTE(input_announcement_category," ","")&amp;",")))=COUNTA(TEXTSPLIT(AE168,",")))))</f>
        <v/>
      </c>
      <c r="IV168">
        <f>AND(IF(AG168="",TRUE,IF(input_area_of_focus="",FALSE,SUMPRODUCT(--ISNUMBER(SEARCH(","&amp;TRIM(TEXTSPLIT(AG168,","))&amp;",",","&amp;SUBSTITUTE(input_area_of_focus," ","")&amp;",")))&gt;0)),IF(AI168="",TRUE,IF(input_area_of_focus="",FALSE,SUMPRODUCT(--ISNUMBER(SEARCH(","&amp;TRIM(TEXTSPLIT(AI168,","))&amp;",",","&amp;SUBSTITUTE(input_area_of_focus," ","")&amp;",")))=COUNTA(TEXTSPLIT(AI168,",")))),IF(AK168="",TRUE,IF(input_area_of_focus="",TRUE,SUMPRODUCT(--ISNUMBER(SEARCH(","&amp;TRIM(TEXTSPLIT(AK168,","))&amp;",",","&amp;SUBSTITUTE(input_area_of_focus," ","")&amp;",")))=0)),IF(AM168="",TRUE,IF(input_area_of_focus="",FALSE,SUMPRODUCT(--ISNUMBER(SEARCH(","&amp;TRIM(TEXTSPLIT(AM168,","))&amp;",",","&amp;SUBSTITUTE(input_area_of_focus," ","")&amp;",")))&gt;0)),IF(AO168="",TRUE,IF(input_area_of_focus="",FALSE,SUMPRODUCT(--ISNUMBER(SEARCH(","&amp;TRIM(TEXTSPLIT(AO168,","))&amp;",",","&amp;SUBSTITUTE(input_area_of_focus," ","")&amp;",")))=COUNTA(TEXTSPLIT(AO168,",")))))</f>
        <v/>
      </c>
      <c r="IW168">
        <f>AND(IF(AQ168="",TRUE,IF(input_audience="",FALSE,SUMPRODUCT(--ISNUMBER(SEARCH(","&amp;TRIM(TEXTSPLIT(AQ168,","))&amp;",",","&amp;SUBSTITUTE(input_audience," ","")&amp;",")))&gt;0)),IF(AS168="",TRUE,IF(input_audience="",FALSE,SUMPRODUCT(--ISNUMBER(SEARCH(","&amp;TRIM(TEXTSPLIT(AS168,","))&amp;",",","&amp;SUBSTITUTE(input_audience," ","")&amp;",")))=COUNTA(TEXTSPLIT(AS168,",")))),IF(AU168="",TRUE,IF(input_audience="",TRUE,SUMPRODUCT(--ISNUMBER(SEARCH(","&amp;TRIM(TEXTSPLIT(AU168,","))&amp;",",","&amp;SUBSTITUTE(input_audience," ","")&amp;",")))=0)),IF(AW168="",TRUE,IF(input_audience="",FALSE,SUMPRODUCT(--ISNUMBER(SEARCH(","&amp;TRIM(TEXTSPLIT(AW168,","))&amp;",",","&amp;SUBSTITUTE(input_audience," ","")&amp;",")))&gt;0)),IF(AY168="",TRUE,IF(input_audience="",FALSE,SUMPRODUCT(--ISNUMBER(SEARCH(","&amp;TRIM(TEXTSPLIT(AY168,","))&amp;",",","&amp;SUBSTITUTE(input_audience," ","")&amp;",")))=COUNTA(TEXTSPLIT(AY168,",")))))</f>
        <v/>
      </c>
      <c r="IX168">
        <f>AND(IF(BA168="",TRUE,IF(input_challenge_opportunities="",FALSE,SUMPRODUCT(--ISNUMBER(SEARCH(","&amp;TRIM(TEXTSPLIT(BA168,","))&amp;",",","&amp;SUBSTITUTE(input_challenge_opportunities," ","")&amp;",")))&gt;0)),IF(BC168="",TRUE,IF(input_challenge_opportunities="",FALSE,SUMPRODUCT(--ISNUMBER(SEARCH(","&amp;TRIM(TEXTSPLIT(BC168,","))&amp;",",","&amp;SUBSTITUTE(input_challenge_opportunities," ","")&amp;",")))=COUNTA(TEXTSPLIT(BC168,",")))),IF(BE168="",TRUE,IF(input_challenge_opportunities="",TRUE,SUMPRODUCT(--ISNUMBER(SEARCH(","&amp;TRIM(TEXTSPLIT(BE168,","))&amp;",",","&amp;SUBSTITUTE(input_challenge_opportunities," ","")&amp;",")))=0)),IF(BG168="",TRUE,IF(input_challenge_opportunities="",FALSE,SUMPRODUCT(--ISNUMBER(SEARCH(","&amp;TRIM(TEXTSPLIT(BG168,","))&amp;",",","&amp;SUBSTITUTE(input_challenge_opportunities," ","")&amp;",")))&gt;0)),IF(BI168="",TRUE,IF(input_challenge_opportunities="",FALSE,SUMPRODUCT(--ISNUMBER(SEARCH(","&amp;TRIM(TEXTSPLIT(BI168,","))&amp;",",","&amp;SUBSTITUTE(input_challenge_opportunities," ","")&amp;",")))=COUNTA(TEXTSPLIT(BI168,",")))))</f>
        <v/>
      </c>
      <c r="IY168">
        <f>AND(IF(BK168="",TRUE,IF(input_context="",FALSE,SUMPRODUCT(--ISNUMBER(SEARCH(","&amp;TRIM(TEXTSPLIT(BK168,","))&amp;",",","&amp;SUBSTITUTE(input_context," ","")&amp;",")))&gt;0)),IF(BM168="",TRUE,IF(input_context="",FALSE,SUMPRODUCT(--ISNUMBER(SEARCH(","&amp;TRIM(TEXTSPLIT(BM168,","))&amp;",",","&amp;SUBSTITUTE(input_context," ","")&amp;",")))=COUNTA(TEXTSPLIT(BM168,",")))),IF(BO168="",TRUE,IF(input_context="",TRUE,SUMPRODUCT(--ISNUMBER(SEARCH(","&amp;TRIM(TEXTSPLIT(BO168,","))&amp;",",","&amp;SUBSTITUTE(input_context," ","")&amp;",")))=0)),IF(BQ168="",TRUE,IF(input_context="",FALSE,SUMPRODUCT(--ISNUMBER(SEARCH(","&amp;TRIM(TEXTSPLIT(BQ168,","))&amp;",",","&amp;SUBSTITUTE(input_context," ","")&amp;",")))&gt;0)),IF(BS168="",TRUE,IF(input_context="",FALSE,SUMPRODUCT(--ISNUMBER(SEARCH(","&amp;TRIM(TEXTSPLIT(BS168,","))&amp;",",","&amp;SUBSTITUTE(input_context," ","")&amp;",")))=COUNTA(TEXTSPLIT(BS168,",")))))</f>
        <v/>
      </c>
      <c r="IZ168">
        <f>AND(IF(BU168="",TRUE,IF(input_enews_announcement_type="",FALSE,SUMPRODUCT(--ISNUMBER(SEARCH(","&amp;TRIM(TEXTSPLIT(BU168,","))&amp;",",","&amp;SUBSTITUTE(input_enews_announcement_type," ","")&amp;",")))&gt;0)),IF(BW168="",TRUE,IF(input_enews_announcement_type="",FALSE,SUMPRODUCT(--ISNUMBER(SEARCH(","&amp;TRIM(TEXTSPLIT(BW168,","))&amp;",",","&amp;SUBSTITUTE(input_enews_announcement_type," ","")&amp;",")))=COUNTA(TEXTSPLIT(BW168,",")))),IF(BY168="",TRUE,IF(input_enews_announcement_type="",TRUE,SUMPRODUCT(--ISNUMBER(SEARCH(","&amp;TRIM(TEXTSPLIT(BY168,","))&amp;",",","&amp;SUBSTITUTE(input_enews_announcement_type," ","")&amp;",")))=0)),IF(CA168="",TRUE,IF(input_enews_announcement_type="",FALSE,SUMPRODUCT(--ISNUMBER(SEARCH(","&amp;TRIM(TEXTSPLIT(CA168,","))&amp;",",","&amp;SUBSTITUTE(input_enews_announcement_type," ","")&amp;",")))&gt;0)),IF(CC168="",TRUE,IF(input_enews_announcement_type="",FALSE,SUMPRODUCT(--ISNUMBER(SEARCH(","&amp;TRIM(TEXTSPLIT(CC168,","))&amp;",",","&amp;SUBSTITUTE(input_enews_announcement_type," ","")&amp;",")))=COUNTA(TEXTSPLIT(CC168,",")))))</f>
        <v/>
      </c>
      <c r="JA168">
        <f>AND(IF(CE168="",TRUE,IF(input_enews_audience="",FALSE,SUMPRODUCT(--ISNUMBER(SEARCH(","&amp;TRIM(TEXTSPLIT(CE168,","))&amp;",",","&amp;SUBSTITUTE(input_enews_audience," ","")&amp;",")))&gt;0)),IF(CG168="",TRUE,IF(input_enews_audience="",FALSE,SUMPRODUCT(--ISNUMBER(SEARCH(","&amp;TRIM(TEXTSPLIT(CG168,","))&amp;",",","&amp;SUBSTITUTE(input_enews_audience," ","")&amp;",")))=COUNTA(TEXTSPLIT(CG168,",")))),IF(CI168="",TRUE,IF(input_enews_audience="",TRUE,SUMPRODUCT(--ISNUMBER(SEARCH(","&amp;TRIM(TEXTSPLIT(CI168,","))&amp;",",","&amp;SUBSTITUTE(input_enews_audience," ","")&amp;",")))=0)),IF(CK168="",TRUE,IF(input_enews_audience="",FALSE,SUMPRODUCT(--ISNUMBER(SEARCH(","&amp;TRIM(TEXTSPLIT(CK168,","))&amp;",",","&amp;SUBSTITUTE(input_enews_audience," ","")&amp;",")))&gt;0)),IF(CM168="",TRUE,IF(input_enews_audience="",FALSE,SUMPRODUCT(--ISNUMBER(SEARCH(","&amp;TRIM(TEXTSPLIT(CM168,","))&amp;",",","&amp;SUBSTITUTE(input_enews_audience," ","")&amp;",")))=COUNTA(TEXTSPLIT(CM168,",")))))</f>
        <v/>
      </c>
      <c r="JB168">
        <f>AND(IF(CO168="",TRUE,IF(input_event_location="",FALSE,SUMPRODUCT(--ISNUMBER(SEARCH(","&amp;TRIM(TEXTSPLIT(CO168,","))&amp;",",","&amp;SUBSTITUTE(input_event_location," ","")&amp;",")))&gt;0)),IF(CQ168="",TRUE,IF(input_event_location="",FALSE,SUMPRODUCT(--ISNUMBER(SEARCH(","&amp;TRIM(TEXTSPLIT(CQ168,","))&amp;",",","&amp;SUBSTITUTE(input_event_location," ","")&amp;",")))=COUNTA(TEXTSPLIT(CQ168,",")))),IF(CS168="",TRUE,IF(input_event_location="",TRUE,SUMPRODUCT(--ISNUMBER(SEARCH(","&amp;TRIM(TEXTSPLIT(CS168,","))&amp;",",","&amp;SUBSTITUTE(input_event_location," ","")&amp;",")))=0)),IF(CU168="",TRUE,IF(input_event_location="",FALSE,SUMPRODUCT(--ISNUMBER(SEARCH(","&amp;TRIM(TEXTSPLIT(CU168,","))&amp;",",","&amp;SUBSTITUTE(input_event_location," ","")&amp;",")))&gt;0)),IF(CW168="",TRUE,IF(input_event_location="",FALSE,SUMPRODUCT(--ISNUMBER(SEARCH(","&amp;TRIM(TEXTSPLIT(CW168,","))&amp;",",","&amp;SUBSTITUTE(input_event_location," ","")&amp;",")))=COUNTA(TEXTSPLIT(CW168,",")))))</f>
        <v/>
      </c>
      <c r="JC168">
        <f>AND(IF(CY168="",TRUE,IF(input_event_type="",FALSE,SUMPRODUCT(--ISNUMBER(SEARCH(","&amp;TRIM(TEXTSPLIT(CY168,","))&amp;",",","&amp;SUBSTITUTE(input_event_type," ","")&amp;",")))&gt;0)),IF(DA168="",TRUE,IF(input_event_type="",FALSE,SUMPRODUCT(--ISNUMBER(SEARCH(","&amp;TRIM(TEXTSPLIT(DA168,","))&amp;",",","&amp;SUBSTITUTE(input_event_type," ","")&amp;",")))=COUNTA(TEXTSPLIT(DA168,",")))),IF(DC168="",TRUE,IF(input_event_type="",TRUE,SUMPRODUCT(--ISNUMBER(SEARCH(","&amp;TRIM(TEXTSPLIT(DC168,","))&amp;",",","&amp;SUBSTITUTE(input_event_type," ","")&amp;",")))=0)),IF(DE168="",TRUE,IF(input_event_type="",FALSE,SUMPRODUCT(--ISNUMBER(SEARCH(","&amp;TRIM(TEXTSPLIT(DE168,","))&amp;",",","&amp;SUBSTITUTE(input_event_type," ","")&amp;",")))&gt;0)),IF(DG168="",TRUE,IF(input_event_type="",FALSE,SUMPRODUCT(--ISNUMBER(SEARCH(","&amp;TRIM(TEXTSPLIT(DG168,","))&amp;",",","&amp;SUBSTITUTE(input_event_type," ","")&amp;",")))=COUNTA(TEXTSPLIT(DG168,",")))))</f>
        <v/>
      </c>
      <c r="JD168">
        <f>AND(IF(DI168="",TRUE,IF(input_executive_education_focus="",FALSE,SUMPRODUCT(--ISNUMBER(SEARCH(","&amp;TRIM(TEXTSPLIT(DI168,","))&amp;",",","&amp;SUBSTITUTE(input_executive_education_focus," ","")&amp;",")))&gt;0)),IF(DK168="",TRUE,IF(input_executive_education_focus="",FALSE,SUMPRODUCT(--ISNUMBER(SEARCH(","&amp;TRIM(TEXTSPLIT(DK168,","))&amp;",",","&amp;SUBSTITUTE(input_executive_education_focus," ","")&amp;",")))=COUNTA(TEXTSPLIT(DK168,",")))),IF(DM168="",TRUE,IF(input_executive_education_focus="",TRUE,SUMPRODUCT(--ISNUMBER(SEARCH(","&amp;TRIM(TEXTSPLIT(DM168,","))&amp;",",","&amp;SUBSTITUTE(input_executive_education_focus," ","")&amp;",")))=0)),IF(DO168="",TRUE,IF(input_executive_education_focus="",FALSE,SUMPRODUCT(--ISNUMBER(SEARCH(","&amp;TRIM(TEXTSPLIT(DO168,","))&amp;",",","&amp;SUBSTITUTE(input_executive_education_focus," ","")&amp;",")))&gt;0)),IF(DQ168="",TRUE,IF(input_executive_education_focus="",FALSE,SUMPRODUCT(--ISNUMBER(SEARCH(","&amp;TRIM(TEXTSPLIT(DQ168,","))&amp;",",","&amp;SUBSTITUTE(input_executive_education_focus," ","")&amp;",")))=COUNTA(TEXTSPLIT(DQ168,",")))))</f>
        <v/>
      </c>
      <c r="JE168">
        <f>AND(IF(DS168="",TRUE,IF(input_faculty_category="",FALSE,SUMPRODUCT(--ISNUMBER(SEARCH(","&amp;TRIM(TEXTSPLIT(DS168,","))&amp;",",","&amp;SUBSTITUTE(input_faculty_category," ","")&amp;",")))&gt;0)),IF(DU168="",TRUE,IF(input_faculty_category="",FALSE,SUMPRODUCT(--ISNUMBER(SEARCH(","&amp;TRIM(TEXTSPLIT(DU168,","))&amp;",",","&amp;SUBSTITUTE(input_faculty_category," ","")&amp;",")))=COUNTA(TEXTSPLIT(DU168,",")))),IF(DW168="",TRUE,IF(input_faculty_category="",TRUE,SUMPRODUCT(--ISNUMBER(SEARCH(","&amp;TRIM(TEXTSPLIT(DW168,","))&amp;",",","&amp;SUBSTITUTE(input_faculty_category," ","")&amp;",")))=0)),IF(DY168="",TRUE,IF(input_faculty_category="",FALSE,SUMPRODUCT(--ISNUMBER(SEARCH(","&amp;TRIM(TEXTSPLIT(DY168,","))&amp;",",","&amp;SUBSTITUTE(input_faculty_category," ","")&amp;",")))&gt;0)),IF(EA168="",TRUE,IF(input_faculty_category="",FALSE,SUMPRODUCT(--ISNUMBER(SEARCH(","&amp;TRIM(TEXTSPLIT(EA168,","))&amp;",",","&amp;SUBSTITUTE(input_faculty_category," ","")&amp;",")))=COUNTA(TEXTSPLIT(EA168,",")))))</f>
        <v/>
      </c>
      <c r="JF168">
        <f>AND(IF(EC168="",TRUE,IF(input_faculty_discipline="",FALSE,SUMPRODUCT(--ISNUMBER(SEARCH(","&amp;TRIM(TEXTSPLIT(EC168,","))&amp;",",","&amp;SUBSTITUTE(input_faculty_discipline," ","")&amp;",")))&gt;0)),IF(EE168="",TRUE,IF(input_faculty_discipline="",FALSE,SUMPRODUCT(--ISNUMBER(SEARCH(","&amp;TRIM(TEXTSPLIT(EE168,","))&amp;",",","&amp;SUBSTITUTE(input_faculty_discipline," ","")&amp;",")))=COUNTA(TEXTSPLIT(EE168,",")))),IF(EG168="",TRUE,IF(input_faculty_discipline="",TRUE,SUMPRODUCT(--ISNUMBER(SEARCH(","&amp;TRIM(TEXTSPLIT(EG168,","))&amp;",",","&amp;SUBSTITUTE(input_faculty_discipline," ","")&amp;",")))=0)),IF(EI168="",TRUE,IF(input_faculty_discipline="",FALSE,SUMPRODUCT(--ISNUMBER(SEARCH(","&amp;TRIM(TEXTSPLIT(EI168,","))&amp;",",","&amp;SUBSTITUTE(input_faculty_discipline," ","")&amp;",")))&gt;0)),IF(EK168="",TRUE,IF(input_faculty_discipline="",FALSE,SUMPRODUCT(--ISNUMBER(SEARCH(","&amp;TRIM(TEXTSPLIT(EK168,","))&amp;",",","&amp;SUBSTITUTE(input_faculty_discipline," ","")&amp;",")))=COUNTA(TEXTSPLIT(EK168,",")))))</f>
        <v/>
      </c>
      <c r="JG168">
        <f>AND(IF(EM168="",TRUE,IF(input_faculty_expertise="",FALSE,SUMPRODUCT(--ISNUMBER(SEARCH(","&amp;TRIM(TEXTSPLIT(EM168,","))&amp;",",","&amp;SUBSTITUTE(input_faculty_expertise," ","")&amp;",")))&gt;0)),IF(EO168="",TRUE,IF(input_faculty_expertise="",FALSE,SUMPRODUCT(--ISNUMBER(SEARCH(","&amp;TRIM(TEXTSPLIT(EO168,","))&amp;",",","&amp;SUBSTITUTE(input_faculty_expertise," ","")&amp;",")))=COUNTA(TEXTSPLIT(EO168,",")))),IF(EQ168="",TRUE,IF(input_faculty_expertise="",TRUE,SUMPRODUCT(--ISNUMBER(SEARCH(","&amp;TRIM(TEXTSPLIT(EQ168,","))&amp;",",","&amp;SUBSTITUTE(input_faculty_expertise," ","")&amp;",")))=0)),IF(ES168="",TRUE,IF(input_faculty_expertise="",FALSE,SUMPRODUCT(--ISNUMBER(SEARCH(","&amp;TRIM(TEXTSPLIT(ES168,","))&amp;",",","&amp;SUBSTITUTE(input_faculty_expertise," ","")&amp;",")))&gt;0)),IF(EU168="",TRUE,IF(input_faculty_expertise="",FALSE,SUMPRODUCT(--ISNUMBER(SEARCH(","&amp;TRIM(TEXTSPLIT(EU168,","))&amp;",",","&amp;SUBSTITUTE(input_faculty_expertise," ","")&amp;",")))=COUNTA(TEXTSPLIT(EU168,",")))))</f>
        <v/>
      </c>
      <c r="JH168">
        <f>AND(IF(EW168="",TRUE,IF(input_global_network_school="",FALSE,SUMPRODUCT(--ISNUMBER(SEARCH(","&amp;TRIM(TEXTSPLIT(EW168,","))&amp;",",","&amp;SUBSTITUTE(input_global_network_school," ","")&amp;",")))&gt;0)),IF(EY168="",TRUE,IF(input_global_network_school="",FALSE,SUMPRODUCT(--ISNUMBER(SEARCH(","&amp;TRIM(TEXTSPLIT(EY168,","))&amp;",",","&amp;SUBSTITUTE(input_global_network_school," ","")&amp;",")))=COUNTA(TEXTSPLIT(EY168,",")))),IF(FA168="",TRUE,IF(input_global_network_school="",TRUE,SUMPRODUCT(--ISNUMBER(SEARCH(","&amp;TRIM(TEXTSPLIT(FA168,","))&amp;",",","&amp;SUBSTITUTE(input_global_network_school," ","")&amp;",")))=0)),IF(FC168="",TRUE,IF(input_global_network_school="",FALSE,SUMPRODUCT(--ISNUMBER(SEARCH(","&amp;TRIM(TEXTSPLIT(FC168,","))&amp;",",","&amp;SUBSTITUTE(input_global_network_school," ","")&amp;",")))&gt;0)),IF(FE168="",TRUE,IF(input_global_network_school="",FALSE,SUMPRODUCT(--ISNUMBER(SEARCH(","&amp;TRIM(TEXTSPLIT(FE168,","))&amp;",",","&amp;SUBSTITUTE(input_global_network_school," ","")&amp;",")))=COUNTA(TEXTSPLIT(FE168,",")))))</f>
        <v/>
      </c>
      <c r="JI168">
        <f>AND(IF(FG168="",TRUE,IF(input_industry="",FALSE,SUMPRODUCT(--ISNUMBER(SEARCH(","&amp;TRIM(TEXTSPLIT(FG168,","))&amp;",",","&amp;SUBSTITUTE(input_industry," ","")&amp;",")))&gt;0)),IF(FI168="",TRUE,IF(input_industry="",FALSE,SUMPRODUCT(--ISNUMBER(SEARCH(","&amp;TRIM(TEXTSPLIT(FI168,","))&amp;",",","&amp;SUBSTITUTE(input_industry," ","")&amp;",")))=COUNTA(TEXTSPLIT(FI168,",")))),IF(FK168="",TRUE,IF(input_industry="",TRUE,SUMPRODUCT(--ISNUMBER(SEARCH(","&amp;TRIM(TEXTSPLIT(FK168,","))&amp;",",","&amp;SUBSTITUTE(input_industry," ","")&amp;",")))=0)),IF(FM168="",TRUE,IF(input_industry="",FALSE,SUMPRODUCT(--ISNUMBER(SEARCH(","&amp;TRIM(TEXTSPLIT(FM168,","))&amp;",",","&amp;SUBSTITUTE(input_industry," ","")&amp;",")))&gt;0)),IF(FO168="",TRUE,IF(input_industry="",FALSE,SUMPRODUCT(--ISNUMBER(SEARCH(","&amp;TRIM(TEXTSPLIT(FO168,","))&amp;",",","&amp;SUBSTITUTE(input_industry," ","")&amp;",")))=COUNTA(TEXTSPLIT(FO168,",")))))</f>
        <v/>
      </c>
      <c r="JJ168">
        <f>AND(IF(FQ168="",TRUE,IF(input_location="",FALSE,SUMPRODUCT(--ISNUMBER(SEARCH(","&amp;TRIM(TEXTSPLIT(FQ168,","))&amp;",",","&amp;SUBSTITUTE(input_location," ","")&amp;",")))&gt;0)),IF(FS168="",TRUE,IF(input_location="",FALSE,SUMPRODUCT(--ISNUMBER(SEARCH(","&amp;TRIM(TEXTSPLIT(FS168,","))&amp;",",","&amp;SUBSTITUTE(input_location," ","")&amp;",")))=COUNTA(TEXTSPLIT(FS168,",")))),IF(FU168="",TRUE,IF(input_location="",TRUE,SUMPRODUCT(--ISNUMBER(SEARCH(","&amp;TRIM(TEXTSPLIT(FU168,","))&amp;",",","&amp;SUBSTITUTE(input_location," ","")&amp;",")))=0)),IF(FW168="",TRUE,IF(input_location="",FALSE,SUMPRODUCT(--ISNUMBER(SEARCH(","&amp;TRIM(TEXTSPLIT(FW168,","))&amp;",",","&amp;SUBSTITUTE(input_location," ","")&amp;",")))&gt;0)),IF(FY168="",TRUE,IF(input_location="",FALSE,SUMPRODUCT(--ISNUMBER(SEARCH(","&amp;TRIM(TEXTSPLIT(FY168,","))&amp;",",","&amp;SUBSTITUTE(input_location," ","")&amp;",")))=COUNTA(TEXTSPLIT(FY168,",")))))</f>
        <v/>
      </c>
      <c r="JK168">
        <f>AND(IF(GA168="",TRUE,IF(input_modality="",FALSE,SUMPRODUCT(--ISNUMBER(SEARCH(","&amp;TRIM(TEXTSPLIT(GA168,","))&amp;",",","&amp;SUBSTITUTE(input_modality," ","")&amp;",")))&gt;0)),IF(GC168="",TRUE,IF(input_modality="",FALSE,SUMPRODUCT(--ISNUMBER(SEARCH(","&amp;TRIM(TEXTSPLIT(GC168,","))&amp;",",","&amp;SUBSTITUTE(input_modality," ","")&amp;",")))=COUNTA(TEXTSPLIT(GC168,",")))),IF(GE168="",TRUE,IF(input_modality="",TRUE,SUMPRODUCT(--ISNUMBER(SEARCH(","&amp;TRIM(TEXTSPLIT(GE168,","))&amp;",",","&amp;SUBSTITUTE(input_modality," ","")&amp;",")))=0)),IF(GG168="",TRUE,IF(input_modality="",FALSE,SUMPRODUCT(--ISNUMBER(SEARCH(","&amp;TRIM(TEXTSPLIT(GG168,","))&amp;",",","&amp;SUBSTITUTE(input_modality," ","")&amp;",")))&gt;0)),IF(GI168="",TRUE,IF(input_modality="",FALSE,SUMPRODUCT(--ISNUMBER(SEARCH(","&amp;TRIM(TEXTSPLIT(GI168,","))&amp;",",","&amp;SUBSTITUTE(input_modality," ","")&amp;",")))=COUNTA(TEXTSPLIT(GI168,",")))))</f>
        <v/>
      </c>
      <c r="JL168">
        <f>AND(IF(GK168="",TRUE,IF(input_organizer="",FALSE,SUMPRODUCT(--ISNUMBER(SEARCH(","&amp;TRIM(TEXTSPLIT(GK168,","))&amp;",",","&amp;SUBSTITUTE(input_organizer," ","")&amp;",")))&gt;0)),IF(GM168="",TRUE,IF(input_organizer="",FALSE,SUMPRODUCT(--ISNUMBER(SEARCH(","&amp;TRIM(TEXTSPLIT(GM168,","))&amp;",",","&amp;SUBSTITUTE(input_organizer," ","")&amp;",")))=COUNTA(TEXTSPLIT(GM168,",")))),IF(GO168="",TRUE,IF(input_organizer="",TRUE,SUMPRODUCT(--ISNUMBER(SEARCH(","&amp;TRIM(TEXTSPLIT(GO168,","))&amp;",",","&amp;SUBSTITUTE(input_organizer," ","")&amp;",")))=0)),IF(GQ168="",TRUE,IF(input_organizer="",FALSE,SUMPRODUCT(--ISNUMBER(SEARCH(","&amp;TRIM(TEXTSPLIT(GQ168,","))&amp;",",","&amp;SUBSTITUTE(input_organizer," ","")&amp;",")))&gt;0)),IF(GS168="",TRUE,IF(input_organizer="",FALSE,SUMPRODUCT(--ISNUMBER(SEARCH(","&amp;TRIM(TEXTSPLIT(GS168,","))&amp;",",","&amp;SUBSTITUTE(input_organizer," ","")&amp;",")))=COUNTA(TEXTSPLIT(GS168,",")))))</f>
        <v/>
      </c>
      <c r="JM168">
        <f>AND(IF(GU168="",TRUE,IF(input_profile_type="",FALSE,SUMPRODUCT(--ISNUMBER(SEARCH(","&amp;TRIM(TEXTSPLIT(GU168,","))&amp;",",","&amp;SUBSTITUTE(input_profile_type," ","")&amp;",")))&gt;0)),IF(GW168="",TRUE,IF(input_profile_type="",FALSE,SUMPRODUCT(--ISNUMBER(SEARCH(","&amp;TRIM(TEXTSPLIT(GW168,","))&amp;",",","&amp;SUBSTITUTE(input_profile_type," ","")&amp;",")))=COUNTA(TEXTSPLIT(GW168,",")))),IF(GY168="",TRUE,IF(input_profile_type="",TRUE,SUMPRODUCT(--ISNUMBER(SEARCH(","&amp;TRIM(TEXTSPLIT(GY168,","))&amp;",",","&amp;SUBSTITUTE(input_profile_type," ","")&amp;",")))=0)),IF(HA168="",TRUE,IF(input_profile_type="",FALSE,SUMPRODUCT(--ISNUMBER(SEARCH(","&amp;TRIM(TEXTSPLIT(HA168,","))&amp;",",","&amp;SUBSTITUTE(input_profile_type," ","")&amp;",")))&gt;0)),IF(HC168="",TRUE,IF(input_profile_type="",FALSE,SUMPRODUCT(--ISNUMBER(SEARCH(","&amp;TRIM(TEXTSPLIT(HC168,","))&amp;",",","&amp;SUBSTITUTE(input_profile_type," ","")&amp;",")))=COUNTA(TEXTSPLIT(HC168,",")))))</f>
        <v/>
      </c>
      <c r="JN168">
        <f>AND(IF(HE168="",TRUE,IF(input_program="",FALSE,SUMPRODUCT(--ISNUMBER(SEARCH(","&amp;TRIM(TEXTSPLIT(HE168,","))&amp;",",","&amp;SUBSTITUTE(input_program," ","")&amp;",")))&gt;0)),IF(HG168="",TRUE,IF(input_program="",FALSE,SUMPRODUCT(--ISNUMBER(SEARCH(","&amp;TRIM(TEXTSPLIT(HG168,","))&amp;",",","&amp;SUBSTITUTE(input_program," ","")&amp;",")))=COUNTA(TEXTSPLIT(HG168,",")))),IF(HI168="",TRUE,IF(input_program="",TRUE,SUMPRODUCT(--ISNUMBER(SEARCH(","&amp;TRIM(TEXTSPLIT(HI168,","))&amp;",",","&amp;SUBSTITUTE(input_program," ","")&amp;",")))=0)),IF(HK168="",TRUE,IF(input_program="",FALSE,SUMPRODUCT(--ISNUMBER(SEARCH(","&amp;TRIM(TEXTSPLIT(HK168,","))&amp;",",","&amp;SUBSTITUTE(input_program," ","")&amp;",")))&gt;0)),IF(HM168="",TRUE,IF(input_program="",FALSE,SUMPRODUCT(--ISNUMBER(SEARCH(","&amp;TRIM(TEXTSPLIT(HM168,","))&amp;",",","&amp;SUBSTITUTE(input_program," ","")&amp;",")))=COUNTA(TEXTSPLIT(HM168,",")))))</f>
        <v/>
      </c>
      <c r="JO168">
        <f>AND(IF(HO168="",TRUE,IF(input_story_categories="",FALSE,SUMPRODUCT(--ISNUMBER(SEARCH(","&amp;TRIM(TEXTSPLIT(HO168,","))&amp;",",","&amp;SUBSTITUTE(input_story_categories," ","")&amp;",")))&gt;0)),IF(HQ168="",TRUE,IF(input_story_categories="",FALSE,SUMPRODUCT(--ISNUMBER(SEARCH(","&amp;TRIM(TEXTSPLIT(HQ168,","))&amp;",",","&amp;SUBSTITUTE(input_story_categories," ","")&amp;",")))=COUNTA(TEXTSPLIT(HQ168,",")))),IF(HS168="",TRUE,IF(input_story_categories="",TRUE,SUMPRODUCT(--ISNUMBER(SEARCH(","&amp;TRIM(TEXTSPLIT(HS168,","))&amp;",",","&amp;SUBSTITUTE(input_story_categories," ","")&amp;",")))=0)),IF(HU168="",TRUE,IF(input_story_categories="",FALSE,SUMPRODUCT(--ISNUMBER(SEARCH(","&amp;TRIM(TEXTSPLIT(HU168,","))&amp;",",","&amp;SUBSTITUTE(input_story_categories," ","")&amp;",")))&gt;0)),IF(HW168="",TRUE,IF(input_story_categories="",FALSE,SUMPRODUCT(--ISNUMBER(SEARCH(","&amp;TRIM(TEXTSPLIT(HW168,","))&amp;",",","&amp;SUBSTITUTE(input_story_categories," ","")&amp;",")))=COUNTA(TEXTSPLIT(HW168,",")))))</f>
        <v/>
      </c>
      <c r="JP168">
        <f>AND(IF(HY168="",TRUE,IF(input_story_type="",FALSE,SUMPRODUCT(--ISNUMBER(SEARCH(","&amp;TRIM(TEXTSPLIT(HY168,","))&amp;",",","&amp;SUBSTITUTE(input_story_type," ","")&amp;",")))&gt;0)),IF(IA168="",TRUE,IF(input_story_type="",FALSE,SUMPRODUCT(--ISNUMBER(SEARCH(","&amp;TRIM(TEXTSPLIT(IA168,","))&amp;",",","&amp;SUBSTITUTE(input_story_type," ","")&amp;",")))=COUNTA(TEXTSPLIT(IA168,",")))),IF(IC168="",TRUE,IF(input_story_type="",TRUE,SUMPRODUCT(--ISNUMBER(SEARCH(","&amp;TRIM(TEXTSPLIT(IC168,","))&amp;",",","&amp;SUBSTITUTE(input_story_type," ","")&amp;",")))=0)),IF(IE168="",TRUE,IF(input_story_type="",FALSE,SUMPRODUCT(--ISNUMBER(SEARCH(","&amp;TRIM(TEXTSPLIT(IE168,","))&amp;",",","&amp;SUBSTITUTE(input_story_type," ","")&amp;",")))&gt;0)),IF(IG168="",TRUE,IF(input_story_type="",FALSE,SUMPRODUCT(--ISNUMBER(SEARCH(","&amp;TRIM(TEXTSPLIT(IG168,","))&amp;",",","&amp;SUBSTITUTE(input_story_type," ","")&amp;",")))=COUNTA(TEXTSPLIT(IG168,",")))))</f>
        <v/>
      </c>
      <c r="JQ168">
        <f>AND(IF(II168="",TRUE,IF(input_topics="",FALSE,SUMPRODUCT(--ISNUMBER(SEARCH(","&amp;TRIM(TEXTSPLIT(II168,","))&amp;",",","&amp;SUBSTITUTE(input_topics," ","")&amp;",")))&gt;0)),IF(IK168="",TRUE,IF(input_topics="",FALSE,SUMPRODUCT(--ISNUMBER(SEARCH(","&amp;TRIM(TEXTSPLIT(IK168,","))&amp;",",","&amp;SUBSTITUTE(input_topics," ","")&amp;",")))=COUNTA(TEXTSPLIT(IK168,",")))),IF(IM168="",TRUE,IF(input_topics="",TRUE,SUMPRODUCT(--ISNUMBER(SEARCH(","&amp;TRIM(TEXTSPLIT(IM168,","))&amp;",",","&amp;SUBSTITUTE(input_topics," ","")&amp;",")))=0)),IF(IO168="",TRUE,IF(input_topics="",FALSE,SUMPRODUCT(--ISNUMBER(SEARCH(","&amp;TRIM(TEXTSPLIT(IO168,","))&amp;",",","&amp;SUBSTITUTE(input_topics," ","")&amp;",")))&gt;0)),IF(IQ168="",TRUE,IF(input_topics="",FALSE,SUMPRODUCT(--ISNUMBER(SEARCH(","&amp;TRIM(TEXTSPLIT(IQ168,","))&amp;",",","&amp;SUBSTITUTE(input_topics," ","")&amp;",")))=COUNTA(TEXTSPLIT(IQ168,",")))))</f>
        <v/>
      </c>
    </row>
    <row r="169">
      <c r="A169" s="4">
        <f>IF(NOT(IS169),"Excluded",IF(AND(IT169,IU169,IV169,IW169,IX169,IY169,IZ169,JA169,JB169,JC169,JD169,JE169,JF169,JG169,JH169,JI169,JJ169,JK169,JL169,JM169,JN169,JO169,JP169,JQ169),IF(I169&gt;0,"Eligible but limited","Will appear"),"Excluded"))</f>
        <v/>
      </c>
      <c r="B169" s="4" t="inlineStr">
        <is>
          <t>Related profiles on profile pages</t>
        </is>
      </c>
      <c r="C169" s="4" t="inlineStr">
        <is>
          <t>/profile/student/bobby-trevino-24</t>
        </is>
      </c>
      <c r="D169" s="4" t="inlineStr">
        <is>
          <t>/profile/student/bobby-trevino-24
/profile/student/chris-moore-25
/profile/student/christy-brown-25</t>
        </is>
      </c>
      <c r="E169" s="4" t="n">
        <v>6</v>
      </c>
      <c r="F169" s="4" t="inlineStr">
        <is>
          <t>profile</t>
        </is>
      </c>
      <c r="G169" s="4" t="inlineStr">
        <is>
          <t>profiles_grid</t>
        </is>
      </c>
      <c r="H169" s="4" t="inlineStr">
        <is>
          <t>related</t>
        </is>
      </c>
      <c r="I169" s="4" t="n">
        <v>3</v>
      </c>
      <c r="J169" s="4" t="inlineStr">
        <is>
          <t>Explicit args</t>
        </is>
      </c>
      <c r="K169" s="4" t="inlineStr">
        <is>
          <t>Grouped surface</t>
        </is>
      </c>
      <c r="L169" s="4" t="inlineStr">
        <is>
          <t>Content type: profile; Context uses Profile Type: Student (1551); Context uses Program: Master’s Degree in Public Education Management (85); Limited to 3 item(s); Source: Explicit args</t>
        </is>
      </c>
      <c r="M169" t="inlineStr"/>
      <c r="N169" t="inlineStr"/>
      <c r="O169" t="inlineStr"/>
      <c r="P169" t="inlineStr"/>
      <c r="Q169" t="inlineStr"/>
      <c r="R169" t="inlineStr"/>
      <c r="S169" t="inlineStr"/>
      <c r="T169" t="inlineStr"/>
      <c r="U169" t="inlineStr"/>
      <c r="V169" t="inlineStr"/>
      <c r="W169" t="inlineStr"/>
      <c r="X169" t="inlineStr"/>
      <c r="Y169" t="inlineStr"/>
      <c r="Z169" t="inlineStr"/>
      <c r="AA169" t="inlineStr"/>
      <c r="AB169" t="inlineStr"/>
      <c r="AC169" t="inlineStr"/>
      <c r="AD169" t="inlineStr"/>
      <c r="AE169" t="inlineStr"/>
      <c r="AF169" t="inlineStr"/>
      <c r="AG169" t="inlineStr"/>
      <c r="AH169" t="inlineStr"/>
      <c r="AI169" t="inlineStr"/>
      <c r="AJ169" t="inlineStr"/>
      <c r="AK169" t="inlineStr"/>
      <c r="AL169" t="inlineStr"/>
      <c r="AM169" t="inlineStr"/>
      <c r="AN169" t="inlineStr"/>
      <c r="AO169" t="inlineStr"/>
      <c r="AP169" t="inlineStr"/>
      <c r="AQ169" t="inlineStr"/>
      <c r="AR169" t="inlineStr"/>
      <c r="AS169" t="inlineStr"/>
      <c r="AT169" t="inlineStr"/>
      <c r="AU169" t="inlineStr"/>
      <c r="AV169" t="inlineStr"/>
      <c r="AW169" t="inlineStr"/>
      <c r="AX169" t="inlineStr"/>
      <c r="AY169" t="inlineStr"/>
      <c r="AZ169" t="inlineStr"/>
      <c r="BA169" t="inlineStr"/>
      <c r="BB169" t="inlineStr"/>
      <c r="BC169" t="inlineStr"/>
      <c r="BD169" t="inlineStr"/>
      <c r="BE169" t="inlineStr"/>
      <c r="BF169" t="inlineStr"/>
      <c r="BG169" t="inlineStr"/>
      <c r="BH169" t="inlineStr"/>
      <c r="BI169" t="inlineStr"/>
      <c r="BJ169" t="inlineStr"/>
      <c r="BK169" t="inlineStr"/>
      <c r="BL169" t="inlineStr"/>
      <c r="BM169" t="inlineStr"/>
      <c r="BN169" t="inlineStr"/>
      <c r="BO169" t="inlineStr"/>
      <c r="BP169" t="inlineStr"/>
      <c r="BQ169" t="inlineStr"/>
      <c r="BR169" t="inlineStr"/>
      <c r="BS169" t="inlineStr"/>
      <c r="BT169" t="inlineStr"/>
      <c r="BU169" t="inlineStr"/>
      <c r="BV169" t="inlineStr"/>
      <c r="BW169" t="inlineStr"/>
      <c r="BX169" t="inlineStr"/>
      <c r="BY169" t="inlineStr"/>
      <c r="BZ169" t="inlineStr"/>
      <c r="CA169" t="inlineStr"/>
      <c r="CB169" t="inlineStr"/>
      <c r="CC169" t="inlineStr"/>
      <c r="CD169" t="inlineStr"/>
      <c r="CE169" t="inlineStr"/>
      <c r="CF169" t="inlineStr"/>
      <c r="CG169" t="inlineStr"/>
      <c r="CH169" t="inlineStr"/>
      <c r="CI169" t="inlineStr"/>
      <c r="CJ169" t="inlineStr"/>
      <c r="CK169" t="inlineStr"/>
      <c r="CL169" t="inlineStr"/>
      <c r="CM169" t="inlineStr"/>
      <c r="CN169" t="inlineStr"/>
      <c r="CO169" t="inlineStr"/>
      <c r="CP169" t="inlineStr"/>
      <c r="CQ169" t="inlineStr"/>
      <c r="CR169" t="inlineStr"/>
      <c r="CS169" t="inlineStr"/>
      <c r="CT169" t="inlineStr"/>
      <c r="CU169" t="inlineStr"/>
      <c r="CV169" t="inlineStr"/>
      <c r="CW169" t="inlineStr"/>
      <c r="CX169" t="inlineStr"/>
      <c r="CY169" t="inlineStr"/>
      <c r="CZ169" t="inlineStr"/>
      <c r="DA169" t="inlineStr"/>
      <c r="DB169" t="inlineStr"/>
      <c r="DC169" t="inlineStr"/>
      <c r="DD169" t="inlineStr"/>
      <c r="DE169" t="inlineStr"/>
      <c r="DF169" t="inlineStr"/>
      <c r="DG169" t="inlineStr"/>
      <c r="DH169" t="inlineStr"/>
      <c r="DI169" t="inlineStr"/>
      <c r="DJ169" t="inlineStr"/>
      <c r="DK169" t="inlineStr"/>
      <c r="DL169" t="inlineStr"/>
      <c r="DM169" t="inlineStr"/>
      <c r="DN169" t="inlineStr"/>
      <c r="DO169" t="inlineStr"/>
      <c r="DP169" t="inlineStr"/>
      <c r="DQ169" t="inlineStr"/>
      <c r="DR169" t="inlineStr"/>
      <c r="DS169" t="inlineStr"/>
      <c r="DT169" t="inlineStr"/>
      <c r="DU169" t="inlineStr"/>
      <c r="DV169" t="inlineStr"/>
      <c r="DW169" t="inlineStr"/>
      <c r="DX169" t="inlineStr"/>
      <c r="DY169" t="inlineStr"/>
      <c r="DZ169" t="inlineStr"/>
      <c r="EA169" t="inlineStr"/>
      <c r="EB169" t="inlineStr"/>
      <c r="EC169" t="inlineStr"/>
      <c r="ED169" t="inlineStr"/>
      <c r="EE169" t="inlineStr"/>
      <c r="EF169" t="inlineStr"/>
      <c r="EG169" t="inlineStr"/>
      <c r="EH169" t="inlineStr"/>
      <c r="EI169" t="inlineStr"/>
      <c r="EJ169" t="inlineStr"/>
      <c r="EK169" t="inlineStr"/>
      <c r="EL169" t="inlineStr"/>
      <c r="EM169" t="inlineStr"/>
      <c r="EN169" t="inlineStr"/>
      <c r="EO169" t="inlineStr"/>
      <c r="EP169" t="inlineStr"/>
      <c r="EQ169" t="inlineStr"/>
      <c r="ER169" t="inlineStr"/>
      <c r="ES169" t="inlineStr"/>
      <c r="ET169" t="inlineStr"/>
      <c r="EU169" t="inlineStr"/>
      <c r="EV169" t="inlineStr"/>
      <c r="EW169" t="inlineStr"/>
      <c r="EX169" t="inlineStr"/>
      <c r="EY169" t="inlineStr"/>
      <c r="EZ169" t="inlineStr"/>
      <c r="FA169" t="inlineStr"/>
      <c r="FB169" t="inlineStr"/>
      <c r="FC169" t="inlineStr"/>
      <c r="FD169" t="inlineStr"/>
      <c r="FE169" t="inlineStr"/>
      <c r="FF169" t="inlineStr"/>
      <c r="FG169" t="inlineStr"/>
      <c r="FH169" t="inlineStr"/>
      <c r="FI169" t="inlineStr"/>
      <c r="FJ169" t="inlineStr"/>
      <c r="FK169" t="inlineStr"/>
      <c r="FL169" t="inlineStr"/>
      <c r="FM169" t="inlineStr"/>
      <c r="FN169" t="inlineStr"/>
      <c r="FO169" t="inlineStr"/>
      <c r="FP169" t="inlineStr"/>
      <c r="FQ169" t="inlineStr"/>
      <c r="FR169" t="inlineStr"/>
      <c r="FS169" t="inlineStr"/>
      <c r="FT169" t="inlineStr"/>
      <c r="FU169" t="inlineStr"/>
      <c r="FV169" t="inlineStr"/>
      <c r="FW169" t="inlineStr"/>
      <c r="FX169" t="inlineStr"/>
      <c r="FY169" t="inlineStr"/>
      <c r="FZ169" t="inlineStr"/>
      <c r="GA169" t="inlineStr"/>
      <c r="GB169" t="inlineStr"/>
      <c r="GC169" t="inlineStr"/>
      <c r="GD169" t="inlineStr"/>
      <c r="GE169" t="inlineStr"/>
      <c r="GF169" t="inlineStr"/>
      <c r="GG169" t="inlineStr"/>
      <c r="GH169" t="inlineStr"/>
      <c r="GI169" t="inlineStr"/>
      <c r="GJ169" t="inlineStr"/>
      <c r="GK169" t="inlineStr"/>
      <c r="GL169" t="inlineStr"/>
      <c r="GM169" t="inlineStr"/>
      <c r="GN169" t="inlineStr"/>
      <c r="GO169" t="inlineStr"/>
      <c r="GP169" t="inlineStr"/>
      <c r="GQ169" t="inlineStr"/>
      <c r="GR169" t="inlineStr"/>
      <c r="GS169" t="inlineStr"/>
      <c r="GT169" t="inlineStr"/>
      <c r="GU169" t="inlineStr"/>
      <c r="GV169" t="inlineStr"/>
      <c r="GW169" t="inlineStr"/>
      <c r="GX169" t="inlineStr"/>
      <c r="GY169" t="inlineStr"/>
      <c r="GZ169" t="inlineStr"/>
      <c r="HA169" t="inlineStr">
        <is>
          <t>1551</t>
        </is>
      </c>
      <c r="HB169" t="inlineStr">
        <is>
          <t>Student (1551)</t>
        </is>
      </c>
      <c r="HC169" t="inlineStr"/>
      <c r="HD169" t="inlineStr"/>
      <c r="HE169" t="inlineStr"/>
      <c r="HF169" t="inlineStr"/>
      <c r="HG169" t="inlineStr"/>
      <c r="HH169" t="inlineStr"/>
      <c r="HI169" t="inlineStr"/>
      <c r="HJ169" t="inlineStr"/>
      <c r="HK169" t="inlineStr">
        <is>
          <t>85</t>
        </is>
      </c>
      <c r="HL169" t="inlineStr">
        <is>
          <t>Master’s Degree in Public Education Management (85)</t>
        </is>
      </c>
      <c r="HM169" t="inlineStr"/>
      <c r="HN169" t="inlineStr"/>
      <c r="HO169" t="inlineStr"/>
      <c r="HP169" t="inlineStr"/>
      <c r="HQ169" t="inlineStr"/>
      <c r="HR169" t="inlineStr"/>
      <c r="HS169" t="inlineStr"/>
      <c r="HT169" t="inlineStr"/>
      <c r="HU169" t="inlineStr"/>
      <c r="HV169" t="inlineStr"/>
      <c r="HW169" t="inlineStr"/>
      <c r="HX169" t="inlineStr"/>
      <c r="HY169" t="inlineStr"/>
      <c r="HZ169" t="inlineStr"/>
      <c r="IA169" t="inlineStr"/>
      <c r="IB169" t="inlineStr"/>
      <c r="IC169" t="inlineStr"/>
      <c r="ID169" t="inlineStr"/>
      <c r="IE169" t="inlineStr"/>
      <c r="IF169" t="inlineStr"/>
      <c r="IG169" t="inlineStr"/>
      <c r="IH169" t="inlineStr"/>
      <c r="II169" t="inlineStr"/>
      <c r="IJ169" t="inlineStr"/>
      <c r="IK169" t="inlineStr"/>
      <c r="IL169" t="inlineStr"/>
      <c r="IM169" t="inlineStr"/>
      <c r="IN169" t="inlineStr"/>
      <c r="IO169" t="inlineStr"/>
      <c r="IP169" t="inlineStr"/>
      <c r="IQ169" t="inlineStr"/>
      <c r="IR169" t="inlineStr"/>
      <c r="IS169">
        <f>IF(input_content_type="",FALSE,ISNUMBER(SEARCH(","&amp;LOWER(input_content_type)&amp;",",","&amp;LOWER(F169)&amp;",")))</f>
        <v/>
      </c>
      <c r="IT169">
        <f>AND(IF(M169="",TRUE,IF(input_affiliations="",FALSE,SUMPRODUCT(--ISNUMBER(SEARCH(","&amp;TRIM(TEXTSPLIT(M169,","))&amp;",",","&amp;SUBSTITUTE(input_affiliations," ","")&amp;",")))&gt;0)),IF(O169="",TRUE,IF(input_affiliations="",FALSE,SUMPRODUCT(--ISNUMBER(SEARCH(","&amp;TRIM(TEXTSPLIT(O169,","))&amp;",",","&amp;SUBSTITUTE(input_affiliations," ","")&amp;",")))=COUNTA(TEXTSPLIT(O169,",")))),IF(Q169="",TRUE,IF(input_affiliations="",TRUE,SUMPRODUCT(--ISNUMBER(SEARCH(","&amp;TRIM(TEXTSPLIT(Q169,","))&amp;",",","&amp;SUBSTITUTE(input_affiliations," ","")&amp;",")))=0)),IF(S169="",TRUE,IF(input_affiliations="",FALSE,SUMPRODUCT(--ISNUMBER(SEARCH(","&amp;TRIM(TEXTSPLIT(S169,","))&amp;",",","&amp;SUBSTITUTE(input_affiliations," ","")&amp;",")))&gt;0)),IF(U169="",TRUE,IF(input_affiliations="",FALSE,SUMPRODUCT(--ISNUMBER(SEARCH(","&amp;TRIM(TEXTSPLIT(U169,","))&amp;",",","&amp;SUBSTITUTE(input_affiliations," ","")&amp;",")))=COUNTA(TEXTSPLIT(U169,",")))))</f>
        <v/>
      </c>
      <c r="IU169">
        <f>AND(IF(W169="",TRUE,IF(input_announcement_category="",FALSE,SUMPRODUCT(--ISNUMBER(SEARCH(","&amp;TRIM(TEXTSPLIT(W169,","))&amp;",",","&amp;SUBSTITUTE(input_announcement_category," ","")&amp;",")))&gt;0)),IF(Y169="",TRUE,IF(input_announcement_category="",FALSE,SUMPRODUCT(--ISNUMBER(SEARCH(","&amp;TRIM(TEXTSPLIT(Y169,","))&amp;",",","&amp;SUBSTITUTE(input_announcement_category," ","")&amp;",")))=COUNTA(TEXTSPLIT(Y169,",")))),IF(AA169="",TRUE,IF(input_announcement_category="",TRUE,SUMPRODUCT(--ISNUMBER(SEARCH(","&amp;TRIM(TEXTSPLIT(AA169,","))&amp;",",","&amp;SUBSTITUTE(input_announcement_category," ","")&amp;",")))=0)),IF(AC169="",TRUE,IF(input_announcement_category="",FALSE,SUMPRODUCT(--ISNUMBER(SEARCH(","&amp;TRIM(TEXTSPLIT(AC169,","))&amp;",",","&amp;SUBSTITUTE(input_announcement_category," ","")&amp;",")))&gt;0)),IF(AE169="",TRUE,IF(input_announcement_category="",FALSE,SUMPRODUCT(--ISNUMBER(SEARCH(","&amp;TRIM(TEXTSPLIT(AE169,","))&amp;",",","&amp;SUBSTITUTE(input_announcement_category," ","")&amp;",")))=COUNTA(TEXTSPLIT(AE169,",")))))</f>
        <v/>
      </c>
      <c r="IV169">
        <f>AND(IF(AG169="",TRUE,IF(input_area_of_focus="",FALSE,SUMPRODUCT(--ISNUMBER(SEARCH(","&amp;TRIM(TEXTSPLIT(AG169,","))&amp;",",","&amp;SUBSTITUTE(input_area_of_focus," ","")&amp;",")))&gt;0)),IF(AI169="",TRUE,IF(input_area_of_focus="",FALSE,SUMPRODUCT(--ISNUMBER(SEARCH(","&amp;TRIM(TEXTSPLIT(AI169,","))&amp;",",","&amp;SUBSTITUTE(input_area_of_focus," ","")&amp;",")))=COUNTA(TEXTSPLIT(AI169,",")))),IF(AK169="",TRUE,IF(input_area_of_focus="",TRUE,SUMPRODUCT(--ISNUMBER(SEARCH(","&amp;TRIM(TEXTSPLIT(AK169,","))&amp;",",","&amp;SUBSTITUTE(input_area_of_focus," ","")&amp;",")))=0)),IF(AM169="",TRUE,IF(input_area_of_focus="",FALSE,SUMPRODUCT(--ISNUMBER(SEARCH(","&amp;TRIM(TEXTSPLIT(AM169,","))&amp;",",","&amp;SUBSTITUTE(input_area_of_focus," ","")&amp;",")))&gt;0)),IF(AO169="",TRUE,IF(input_area_of_focus="",FALSE,SUMPRODUCT(--ISNUMBER(SEARCH(","&amp;TRIM(TEXTSPLIT(AO169,","))&amp;",",","&amp;SUBSTITUTE(input_area_of_focus," ","")&amp;",")))=COUNTA(TEXTSPLIT(AO169,",")))))</f>
        <v/>
      </c>
      <c r="IW169">
        <f>AND(IF(AQ169="",TRUE,IF(input_audience="",FALSE,SUMPRODUCT(--ISNUMBER(SEARCH(","&amp;TRIM(TEXTSPLIT(AQ169,","))&amp;",",","&amp;SUBSTITUTE(input_audience," ","")&amp;",")))&gt;0)),IF(AS169="",TRUE,IF(input_audience="",FALSE,SUMPRODUCT(--ISNUMBER(SEARCH(","&amp;TRIM(TEXTSPLIT(AS169,","))&amp;",",","&amp;SUBSTITUTE(input_audience," ","")&amp;",")))=COUNTA(TEXTSPLIT(AS169,",")))),IF(AU169="",TRUE,IF(input_audience="",TRUE,SUMPRODUCT(--ISNUMBER(SEARCH(","&amp;TRIM(TEXTSPLIT(AU169,","))&amp;",",","&amp;SUBSTITUTE(input_audience," ","")&amp;",")))=0)),IF(AW169="",TRUE,IF(input_audience="",FALSE,SUMPRODUCT(--ISNUMBER(SEARCH(","&amp;TRIM(TEXTSPLIT(AW169,","))&amp;",",","&amp;SUBSTITUTE(input_audience," ","")&amp;",")))&gt;0)),IF(AY169="",TRUE,IF(input_audience="",FALSE,SUMPRODUCT(--ISNUMBER(SEARCH(","&amp;TRIM(TEXTSPLIT(AY169,","))&amp;",",","&amp;SUBSTITUTE(input_audience," ","")&amp;",")))=COUNTA(TEXTSPLIT(AY169,",")))))</f>
        <v/>
      </c>
      <c r="IX169">
        <f>AND(IF(BA169="",TRUE,IF(input_challenge_opportunities="",FALSE,SUMPRODUCT(--ISNUMBER(SEARCH(","&amp;TRIM(TEXTSPLIT(BA169,","))&amp;",",","&amp;SUBSTITUTE(input_challenge_opportunities," ","")&amp;",")))&gt;0)),IF(BC169="",TRUE,IF(input_challenge_opportunities="",FALSE,SUMPRODUCT(--ISNUMBER(SEARCH(","&amp;TRIM(TEXTSPLIT(BC169,","))&amp;",",","&amp;SUBSTITUTE(input_challenge_opportunities," ","")&amp;",")))=COUNTA(TEXTSPLIT(BC169,",")))),IF(BE169="",TRUE,IF(input_challenge_opportunities="",TRUE,SUMPRODUCT(--ISNUMBER(SEARCH(","&amp;TRIM(TEXTSPLIT(BE169,","))&amp;",",","&amp;SUBSTITUTE(input_challenge_opportunities," ","")&amp;",")))=0)),IF(BG169="",TRUE,IF(input_challenge_opportunities="",FALSE,SUMPRODUCT(--ISNUMBER(SEARCH(","&amp;TRIM(TEXTSPLIT(BG169,","))&amp;",",","&amp;SUBSTITUTE(input_challenge_opportunities," ","")&amp;",")))&gt;0)),IF(BI169="",TRUE,IF(input_challenge_opportunities="",FALSE,SUMPRODUCT(--ISNUMBER(SEARCH(","&amp;TRIM(TEXTSPLIT(BI169,","))&amp;",",","&amp;SUBSTITUTE(input_challenge_opportunities," ","")&amp;",")))=COUNTA(TEXTSPLIT(BI169,",")))))</f>
        <v/>
      </c>
      <c r="IY169">
        <f>AND(IF(BK169="",TRUE,IF(input_context="",FALSE,SUMPRODUCT(--ISNUMBER(SEARCH(","&amp;TRIM(TEXTSPLIT(BK169,","))&amp;",",","&amp;SUBSTITUTE(input_context," ","")&amp;",")))&gt;0)),IF(BM169="",TRUE,IF(input_context="",FALSE,SUMPRODUCT(--ISNUMBER(SEARCH(","&amp;TRIM(TEXTSPLIT(BM169,","))&amp;",",","&amp;SUBSTITUTE(input_context," ","")&amp;",")))=COUNTA(TEXTSPLIT(BM169,",")))),IF(BO169="",TRUE,IF(input_context="",TRUE,SUMPRODUCT(--ISNUMBER(SEARCH(","&amp;TRIM(TEXTSPLIT(BO169,","))&amp;",",","&amp;SUBSTITUTE(input_context," ","")&amp;",")))=0)),IF(BQ169="",TRUE,IF(input_context="",FALSE,SUMPRODUCT(--ISNUMBER(SEARCH(","&amp;TRIM(TEXTSPLIT(BQ169,","))&amp;",",","&amp;SUBSTITUTE(input_context," ","")&amp;",")))&gt;0)),IF(BS169="",TRUE,IF(input_context="",FALSE,SUMPRODUCT(--ISNUMBER(SEARCH(","&amp;TRIM(TEXTSPLIT(BS169,","))&amp;",",","&amp;SUBSTITUTE(input_context," ","")&amp;",")))=COUNTA(TEXTSPLIT(BS169,",")))))</f>
        <v/>
      </c>
      <c r="IZ169">
        <f>AND(IF(BU169="",TRUE,IF(input_enews_announcement_type="",FALSE,SUMPRODUCT(--ISNUMBER(SEARCH(","&amp;TRIM(TEXTSPLIT(BU169,","))&amp;",",","&amp;SUBSTITUTE(input_enews_announcement_type," ","")&amp;",")))&gt;0)),IF(BW169="",TRUE,IF(input_enews_announcement_type="",FALSE,SUMPRODUCT(--ISNUMBER(SEARCH(","&amp;TRIM(TEXTSPLIT(BW169,","))&amp;",",","&amp;SUBSTITUTE(input_enews_announcement_type," ","")&amp;",")))=COUNTA(TEXTSPLIT(BW169,",")))),IF(BY169="",TRUE,IF(input_enews_announcement_type="",TRUE,SUMPRODUCT(--ISNUMBER(SEARCH(","&amp;TRIM(TEXTSPLIT(BY169,","))&amp;",",","&amp;SUBSTITUTE(input_enews_announcement_type," ","")&amp;",")))=0)),IF(CA169="",TRUE,IF(input_enews_announcement_type="",FALSE,SUMPRODUCT(--ISNUMBER(SEARCH(","&amp;TRIM(TEXTSPLIT(CA169,","))&amp;",",","&amp;SUBSTITUTE(input_enews_announcement_type," ","")&amp;",")))&gt;0)),IF(CC169="",TRUE,IF(input_enews_announcement_type="",FALSE,SUMPRODUCT(--ISNUMBER(SEARCH(","&amp;TRIM(TEXTSPLIT(CC169,","))&amp;",",","&amp;SUBSTITUTE(input_enews_announcement_type," ","")&amp;",")))=COUNTA(TEXTSPLIT(CC169,",")))))</f>
        <v/>
      </c>
      <c r="JA169">
        <f>AND(IF(CE169="",TRUE,IF(input_enews_audience="",FALSE,SUMPRODUCT(--ISNUMBER(SEARCH(","&amp;TRIM(TEXTSPLIT(CE169,","))&amp;",",","&amp;SUBSTITUTE(input_enews_audience," ","")&amp;",")))&gt;0)),IF(CG169="",TRUE,IF(input_enews_audience="",FALSE,SUMPRODUCT(--ISNUMBER(SEARCH(","&amp;TRIM(TEXTSPLIT(CG169,","))&amp;",",","&amp;SUBSTITUTE(input_enews_audience," ","")&amp;",")))=COUNTA(TEXTSPLIT(CG169,",")))),IF(CI169="",TRUE,IF(input_enews_audience="",TRUE,SUMPRODUCT(--ISNUMBER(SEARCH(","&amp;TRIM(TEXTSPLIT(CI169,","))&amp;",",","&amp;SUBSTITUTE(input_enews_audience," ","")&amp;",")))=0)),IF(CK169="",TRUE,IF(input_enews_audience="",FALSE,SUMPRODUCT(--ISNUMBER(SEARCH(","&amp;TRIM(TEXTSPLIT(CK169,","))&amp;",",","&amp;SUBSTITUTE(input_enews_audience," ","")&amp;",")))&gt;0)),IF(CM169="",TRUE,IF(input_enews_audience="",FALSE,SUMPRODUCT(--ISNUMBER(SEARCH(","&amp;TRIM(TEXTSPLIT(CM169,","))&amp;",",","&amp;SUBSTITUTE(input_enews_audience," ","")&amp;",")))=COUNTA(TEXTSPLIT(CM169,",")))))</f>
        <v/>
      </c>
      <c r="JB169">
        <f>AND(IF(CO169="",TRUE,IF(input_event_location="",FALSE,SUMPRODUCT(--ISNUMBER(SEARCH(","&amp;TRIM(TEXTSPLIT(CO169,","))&amp;",",","&amp;SUBSTITUTE(input_event_location," ","")&amp;",")))&gt;0)),IF(CQ169="",TRUE,IF(input_event_location="",FALSE,SUMPRODUCT(--ISNUMBER(SEARCH(","&amp;TRIM(TEXTSPLIT(CQ169,","))&amp;",",","&amp;SUBSTITUTE(input_event_location," ","")&amp;",")))=COUNTA(TEXTSPLIT(CQ169,",")))),IF(CS169="",TRUE,IF(input_event_location="",TRUE,SUMPRODUCT(--ISNUMBER(SEARCH(","&amp;TRIM(TEXTSPLIT(CS169,","))&amp;",",","&amp;SUBSTITUTE(input_event_location," ","")&amp;",")))=0)),IF(CU169="",TRUE,IF(input_event_location="",FALSE,SUMPRODUCT(--ISNUMBER(SEARCH(","&amp;TRIM(TEXTSPLIT(CU169,","))&amp;",",","&amp;SUBSTITUTE(input_event_location," ","")&amp;",")))&gt;0)),IF(CW169="",TRUE,IF(input_event_location="",FALSE,SUMPRODUCT(--ISNUMBER(SEARCH(","&amp;TRIM(TEXTSPLIT(CW169,","))&amp;",",","&amp;SUBSTITUTE(input_event_location," ","")&amp;",")))=COUNTA(TEXTSPLIT(CW169,",")))))</f>
        <v/>
      </c>
      <c r="JC169">
        <f>AND(IF(CY169="",TRUE,IF(input_event_type="",FALSE,SUMPRODUCT(--ISNUMBER(SEARCH(","&amp;TRIM(TEXTSPLIT(CY169,","))&amp;",",","&amp;SUBSTITUTE(input_event_type," ","")&amp;",")))&gt;0)),IF(DA169="",TRUE,IF(input_event_type="",FALSE,SUMPRODUCT(--ISNUMBER(SEARCH(","&amp;TRIM(TEXTSPLIT(DA169,","))&amp;",",","&amp;SUBSTITUTE(input_event_type," ","")&amp;",")))=COUNTA(TEXTSPLIT(DA169,",")))),IF(DC169="",TRUE,IF(input_event_type="",TRUE,SUMPRODUCT(--ISNUMBER(SEARCH(","&amp;TRIM(TEXTSPLIT(DC169,","))&amp;",",","&amp;SUBSTITUTE(input_event_type," ","")&amp;",")))=0)),IF(DE169="",TRUE,IF(input_event_type="",FALSE,SUMPRODUCT(--ISNUMBER(SEARCH(","&amp;TRIM(TEXTSPLIT(DE169,","))&amp;",",","&amp;SUBSTITUTE(input_event_type," ","")&amp;",")))&gt;0)),IF(DG169="",TRUE,IF(input_event_type="",FALSE,SUMPRODUCT(--ISNUMBER(SEARCH(","&amp;TRIM(TEXTSPLIT(DG169,","))&amp;",",","&amp;SUBSTITUTE(input_event_type," ","")&amp;",")))=COUNTA(TEXTSPLIT(DG169,",")))))</f>
        <v/>
      </c>
      <c r="JD169">
        <f>AND(IF(DI169="",TRUE,IF(input_executive_education_focus="",FALSE,SUMPRODUCT(--ISNUMBER(SEARCH(","&amp;TRIM(TEXTSPLIT(DI169,","))&amp;",",","&amp;SUBSTITUTE(input_executive_education_focus," ","")&amp;",")))&gt;0)),IF(DK169="",TRUE,IF(input_executive_education_focus="",FALSE,SUMPRODUCT(--ISNUMBER(SEARCH(","&amp;TRIM(TEXTSPLIT(DK169,","))&amp;",",","&amp;SUBSTITUTE(input_executive_education_focus," ","")&amp;",")))=COUNTA(TEXTSPLIT(DK169,",")))),IF(DM169="",TRUE,IF(input_executive_education_focus="",TRUE,SUMPRODUCT(--ISNUMBER(SEARCH(","&amp;TRIM(TEXTSPLIT(DM169,","))&amp;",",","&amp;SUBSTITUTE(input_executive_education_focus," ","")&amp;",")))=0)),IF(DO169="",TRUE,IF(input_executive_education_focus="",FALSE,SUMPRODUCT(--ISNUMBER(SEARCH(","&amp;TRIM(TEXTSPLIT(DO169,","))&amp;",",","&amp;SUBSTITUTE(input_executive_education_focus," ","")&amp;",")))&gt;0)),IF(DQ169="",TRUE,IF(input_executive_education_focus="",FALSE,SUMPRODUCT(--ISNUMBER(SEARCH(","&amp;TRIM(TEXTSPLIT(DQ169,","))&amp;",",","&amp;SUBSTITUTE(input_executive_education_focus," ","")&amp;",")))=COUNTA(TEXTSPLIT(DQ169,",")))))</f>
        <v/>
      </c>
      <c r="JE169">
        <f>AND(IF(DS169="",TRUE,IF(input_faculty_category="",FALSE,SUMPRODUCT(--ISNUMBER(SEARCH(","&amp;TRIM(TEXTSPLIT(DS169,","))&amp;",",","&amp;SUBSTITUTE(input_faculty_category," ","")&amp;",")))&gt;0)),IF(DU169="",TRUE,IF(input_faculty_category="",FALSE,SUMPRODUCT(--ISNUMBER(SEARCH(","&amp;TRIM(TEXTSPLIT(DU169,","))&amp;",",","&amp;SUBSTITUTE(input_faculty_category," ","")&amp;",")))=COUNTA(TEXTSPLIT(DU169,",")))),IF(DW169="",TRUE,IF(input_faculty_category="",TRUE,SUMPRODUCT(--ISNUMBER(SEARCH(","&amp;TRIM(TEXTSPLIT(DW169,","))&amp;",",","&amp;SUBSTITUTE(input_faculty_category," ","")&amp;",")))=0)),IF(DY169="",TRUE,IF(input_faculty_category="",FALSE,SUMPRODUCT(--ISNUMBER(SEARCH(","&amp;TRIM(TEXTSPLIT(DY169,","))&amp;",",","&amp;SUBSTITUTE(input_faculty_category," ","")&amp;",")))&gt;0)),IF(EA169="",TRUE,IF(input_faculty_category="",FALSE,SUMPRODUCT(--ISNUMBER(SEARCH(","&amp;TRIM(TEXTSPLIT(EA169,","))&amp;",",","&amp;SUBSTITUTE(input_faculty_category," ","")&amp;",")))=COUNTA(TEXTSPLIT(EA169,",")))))</f>
        <v/>
      </c>
      <c r="JF169">
        <f>AND(IF(EC169="",TRUE,IF(input_faculty_discipline="",FALSE,SUMPRODUCT(--ISNUMBER(SEARCH(","&amp;TRIM(TEXTSPLIT(EC169,","))&amp;",",","&amp;SUBSTITUTE(input_faculty_discipline," ","")&amp;",")))&gt;0)),IF(EE169="",TRUE,IF(input_faculty_discipline="",FALSE,SUMPRODUCT(--ISNUMBER(SEARCH(","&amp;TRIM(TEXTSPLIT(EE169,","))&amp;",",","&amp;SUBSTITUTE(input_faculty_discipline," ","")&amp;",")))=COUNTA(TEXTSPLIT(EE169,",")))),IF(EG169="",TRUE,IF(input_faculty_discipline="",TRUE,SUMPRODUCT(--ISNUMBER(SEARCH(","&amp;TRIM(TEXTSPLIT(EG169,","))&amp;",",","&amp;SUBSTITUTE(input_faculty_discipline," ","")&amp;",")))=0)),IF(EI169="",TRUE,IF(input_faculty_discipline="",FALSE,SUMPRODUCT(--ISNUMBER(SEARCH(","&amp;TRIM(TEXTSPLIT(EI169,","))&amp;",",","&amp;SUBSTITUTE(input_faculty_discipline," ","")&amp;",")))&gt;0)),IF(EK169="",TRUE,IF(input_faculty_discipline="",FALSE,SUMPRODUCT(--ISNUMBER(SEARCH(","&amp;TRIM(TEXTSPLIT(EK169,","))&amp;",",","&amp;SUBSTITUTE(input_faculty_discipline," ","")&amp;",")))=COUNTA(TEXTSPLIT(EK169,",")))))</f>
        <v/>
      </c>
      <c r="JG169">
        <f>AND(IF(EM169="",TRUE,IF(input_faculty_expertise="",FALSE,SUMPRODUCT(--ISNUMBER(SEARCH(","&amp;TRIM(TEXTSPLIT(EM169,","))&amp;",",","&amp;SUBSTITUTE(input_faculty_expertise," ","")&amp;",")))&gt;0)),IF(EO169="",TRUE,IF(input_faculty_expertise="",FALSE,SUMPRODUCT(--ISNUMBER(SEARCH(","&amp;TRIM(TEXTSPLIT(EO169,","))&amp;",",","&amp;SUBSTITUTE(input_faculty_expertise," ","")&amp;",")))=COUNTA(TEXTSPLIT(EO169,",")))),IF(EQ169="",TRUE,IF(input_faculty_expertise="",TRUE,SUMPRODUCT(--ISNUMBER(SEARCH(","&amp;TRIM(TEXTSPLIT(EQ169,","))&amp;",",","&amp;SUBSTITUTE(input_faculty_expertise," ","")&amp;",")))=0)),IF(ES169="",TRUE,IF(input_faculty_expertise="",FALSE,SUMPRODUCT(--ISNUMBER(SEARCH(","&amp;TRIM(TEXTSPLIT(ES169,","))&amp;",",","&amp;SUBSTITUTE(input_faculty_expertise," ","")&amp;",")))&gt;0)),IF(EU169="",TRUE,IF(input_faculty_expertise="",FALSE,SUMPRODUCT(--ISNUMBER(SEARCH(","&amp;TRIM(TEXTSPLIT(EU169,","))&amp;",",","&amp;SUBSTITUTE(input_faculty_expertise," ","")&amp;",")))=COUNTA(TEXTSPLIT(EU169,",")))))</f>
        <v/>
      </c>
      <c r="JH169">
        <f>AND(IF(EW169="",TRUE,IF(input_global_network_school="",FALSE,SUMPRODUCT(--ISNUMBER(SEARCH(","&amp;TRIM(TEXTSPLIT(EW169,","))&amp;",",","&amp;SUBSTITUTE(input_global_network_school," ","")&amp;",")))&gt;0)),IF(EY169="",TRUE,IF(input_global_network_school="",FALSE,SUMPRODUCT(--ISNUMBER(SEARCH(","&amp;TRIM(TEXTSPLIT(EY169,","))&amp;",",","&amp;SUBSTITUTE(input_global_network_school," ","")&amp;",")))=COUNTA(TEXTSPLIT(EY169,",")))),IF(FA169="",TRUE,IF(input_global_network_school="",TRUE,SUMPRODUCT(--ISNUMBER(SEARCH(","&amp;TRIM(TEXTSPLIT(FA169,","))&amp;",",","&amp;SUBSTITUTE(input_global_network_school," ","")&amp;",")))=0)),IF(FC169="",TRUE,IF(input_global_network_school="",FALSE,SUMPRODUCT(--ISNUMBER(SEARCH(","&amp;TRIM(TEXTSPLIT(FC169,","))&amp;",",","&amp;SUBSTITUTE(input_global_network_school," ","")&amp;",")))&gt;0)),IF(FE169="",TRUE,IF(input_global_network_school="",FALSE,SUMPRODUCT(--ISNUMBER(SEARCH(","&amp;TRIM(TEXTSPLIT(FE169,","))&amp;",",","&amp;SUBSTITUTE(input_global_network_school," ","")&amp;",")))=COUNTA(TEXTSPLIT(FE169,",")))))</f>
        <v/>
      </c>
      <c r="JI169">
        <f>AND(IF(FG169="",TRUE,IF(input_industry="",FALSE,SUMPRODUCT(--ISNUMBER(SEARCH(","&amp;TRIM(TEXTSPLIT(FG169,","))&amp;",",","&amp;SUBSTITUTE(input_industry," ","")&amp;",")))&gt;0)),IF(FI169="",TRUE,IF(input_industry="",FALSE,SUMPRODUCT(--ISNUMBER(SEARCH(","&amp;TRIM(TEXTSPLIT(FI169,","))&amp;",",","&amp;SUBSTITUTE(input_industry," ","")&amp;",")))=COUNTA(TEXTSPLIT(FI169,",")))),IF(FK169="",TRUE,IF(input_industry="",TRUE,SUMPRODUCT(--ISNUMBER(SEARCH(","&amp;TRIM(TEXTSPLIT(FK169,","))&amp;",",","&amp;SUBSTITUTE(input_industry," ","")&amp;",")))=0)),IF(FM169="",TRUE,IF(input_industry="",FALSE,SUMPRODUCT(--ISNUMBER(SEARCH(","&amp;TRIM(TEXTSPLIT(FM169,","))&amp;",",","&amp;SUBSTITUTE(input_industry," ","")&amp;",")))&gt;0)),IF(FO169="",TRUE,IF(input_industry="",FALSE,SUMPRODUCT(--ISNUMBER(SEARCH(","&amp;TRIM(TEXTSPLIT(FO169,","))&amp;",",","&amp;SUBSTITUTE(input_industry," ","")&amp;",")))=COUNTA(TEXTSPLIT(FO169,",")))))</f>
        <v/>
      </c>
      <c r="JJ169">
        <f>AND(IF(FQ169="",TRUE,IF(input_location="",FALSE,SUMPRODUCT(--ISNUMBER(SEARCH(","&amp;TRIM(TEXTSPLIT(FQ169,","))&amp;",",","&amp;SUBSTITUTE(input_location," ","")&amp;",")))&gt;0)),IF(FS169="",TRUE,IF(input_location="",FALSE,SUMPRODUCT(--ISNUMBER(SEARCH(","&amp;TRIM(TEXTSPLIT(FS169,","))&amp;",",","&amp;SUBSTITUTE(input_location," ","")&amp;",")))=COUNTA(TEXTSPLIT(FS169,",")))),IF(FU169="",TRUE,IF(input_location="",TRUE,SUMPRODUCT(--ISNUMBER(SEARCH(","&amp;TRIM(TEXTSPLIT(FU169,","))&amp;",",","&amp;SUBSTITUTE(input_location," ","")&amp;",")))=0)),IF(FW169="",TRUE,IF(input_location="",FALSE,SUMPRODUCT(--ISNUMBER(SEARCH(","&amp;TRIM(TEXTSPLIT(FW169,","))&amp;",",","&amp;SUBSTITUTE(input_location," ","")&amp;",")))&gt;0)),IF(FY169="",TRUE,IF(input_location="",FALSE,SUMPRODUCT(--ISNUMBER(SEARCH(","&amp;TRIM(TEXTSPLIT(FY169,","))&amp;",",","&amp;SUBSTITUTE(input_location," ","")&amp;",")))=COUNTA(TEXTSPLIT(FY169,",")))))</f>
        <v/>
      </c>
      <c r="JK169">
        <f>AND(IF(GA169="",TRUE,IF(input_modality="",FALSE,SUMPRODUCT(--ISNUMBER(SEARCH(","&amp;TRIM(TEXTSPLIT(GA169,","))&amp;",",","&amp;SUBSTITUTE(input_modality," ","")&amp;",")))&gt;0)),IF(GC169="",TRUE,IF(input_modality="",FALSE,SUMPRODUCT(--ISNUMBER(SEARCH(","&amp;TRIM(TEXTSPLIT(GC169,","))&amp;",",","&amp;SUBSTITUTE(input_modality," ","")&amp;",")))=COUNTA(TEXTSPLIT(GC169,",")))),IF(GE169="",TRUE,IF(input_modality="",TRUE,SUMPRODUCT(--ISNUMBER(SEARCH(","&amp;TRIM(TEXTSPLIT(GE169,","))&amp;",",","&amp;SUBSTITUTE(input_modality," ","")&amp;",")))=0)),IF(GG169="",TRUE,IF(input_modality="",FALSE,SUMPRODUCT(--ISNUMBER(SEARCH(","&amp;TRIM(TEXTSPLIT(GG169,","))&amp;",",","&amp;SUBSTITUTE(input_modality," ","")&amp;",")))&gt;0)),IF(GI169="",TRUE,IF(input_modality="",FALSE,SUMPRODUCT(--ISNUMBER(SEARCH(","&amp;TRIM(TEXTSPLIT(GI169,","))&amp;",",","&amp;SUBSTITUTE(input_modality," ","")&amp;",")))=COUNTA(TEXTSPLIT(GI169,",")))))</f>
        <v/>
      </c>
      <c r="JL169">
        <f>AND(IF(GK169="",TRUE,IF(input_organizer="",FALSE,SUMPRODUCT(--ISNUMBER(SEARCH(","&amp;TRIM(TEXTSPLIT(GK169,","))&amp;",",","&amp;SUBSTITUTE(input_organizer," ","")&amp;",")))&gt;0)),IF(GM169="",TRUE,IF(input_organizer="",FALSE,SUMPRODUCT(--ISNUMBER(SEARCH(","&amp;TRIM(TEXTSPLIT(GM169,","))&amp;",",","&amp;SUBSTITUTE(input_organizer," ","")&amp;",")))=COUNTA(TEXTSPLIT(GM169,",")))),IF(GO169="",TRUE,IF(input_organizer="",TRUE,SUMPRODUCT(--ISNUMBER(SEARCH(","&amp;TRIM(TEXTSPLIT(GO169,","))&amp;",",","&amp;SUBSTITUTE(input_organizer," ","")&amp;",")))=0)),IF(GQ169="",TRUE,IF(input_organizer="",FALSE,SUMPRODUCT(--ISNUMBER(SEARCH(","&amp;TRIM(TEXTSPLIT(GQ169,","))&amp;",",","&amp;SUBSTITUTE(input_organizer," ","")&amp;",")))&gt;0)),IF(GS169="",TRUE,IF(input_organizer="",FALSE,SUMPRODUCT(--ISNUMBER(SEARCH(","&amp;TRIM(TEXTSPLIT(GS169,","))&amp;",",","&amp;SUBSTITUTE(input_organizer," ","")&amp;",")))=COUNTA(TEXTSPLIT(GS169,",")))))</f>
        <v/>
      </c>
      <c r="JM169">
        <f>AND(IF(GU169="",TRUE,IF(input_profile_type="",FALSE,SUMPRODUCT(--ISNUMBER(SEARCH(","&amp;TRIM(TEXTSPLIT(GU169,","))&amp;",",","&amp;SUBSTITUTE(input_profile_type," ","")&amp;",")))&gt;0)),IF(GW169="",TRUE,IF(input_profile_type="",FALSE,SUMPRODUCT(--ISNUMBER(SEARCH(","&amp;TRIM(TEXTSPLIT(GW169,","))&amp;",",","&amp;SUBSTITUTE(input_profile_type," ","")&amp;",")))=COUNTA(TEXTSPLIT(GW169,",")))),IF(GY169="",TRUE,IF(input_profile_type="",TRUE,SUMPRODUCT(--ISNUMBER(SEARCH(","&amp;TRIM(TEXTSPLIT(GY169,","))&amp;",",","&amp;SUBSTITUTE(input_profile_type," ","")&amp;",")))=0)),IF(HA169="",TRUE,IF(input_profile_type="",FALSE,SUMPRODUCT(--ISNUMBER(SEARCH(","&amp;TRIM(TEXTSPLIT(HA169,","))&amp;",",","&amp;SUBSTITUTE(input_profile_type," ","")&amp;",")))&gt;0)),IF(HC169="",TRUE,IF(input_profile_type="",FALSE,SUMPRODUCT(--ISNUMBER(SEARCH(","&amp;TRIM(TEXTSPLIT(HC169,","))&amp;",",","&amp;SUBSTITUTE(input_profile_type," ","")&amp;",")))=COUNTA(TEXTSPLIT(HC169,",")))))</f>
        <v/>
      </c>
      <c r="JN169">
        <f>AND(IF(HE169="",TRUE,IF(input_program="",FALSE,SUMPRODUCT(--ISNUMBER(SEARCH(","&amp;TRIM(TEXTSPLIT(HE169,","))&amp;",",","&amp;SUBSTITUTE(input_program," ","")&amp;",")))&gt;0)),IF(HG169="",TRUE,IF(input_program="",FALSE,SUMPRODUCT(--ISNUMBER(SEARCH(","&amp;TRIM(TEXTSPLIT(HG169,","))&amp;",",","&amp;SUBSTITUTE(input_program," ","")&amp;",")))=COUNTA(TEXTSPLIT(HG169,",")))),IF(HI169="",TRUE,IF(input_program="",TRUE,SUMPRODUCT(--ISNUMBER(SEARCH(","&amp;TRIM(TEXTSPLIT(HI169,","))&amp;",",","&amp;SUBSTITUTE(input_program," ","")&amp;",")))=0)),IF(HK169="",TRUE,IF(input_program="",FALSE,SUMPRODUCT(--ISNUMBER(SEARCH(","&amp;TRIM(TEXTSPLIT(HK169,","))&amp;",",","&amp;SUBSTITUTE(input_program," ","")&amp;",")))&gt;0)),IF(HM169="",TRUE,IF(input_program="",FALSE,SUMPRODUCT(--ISNUMBER(SEARCH(","&amp;TRIM(TEXTSPLIT(HM169,","))&amp;",",","&amp;SUBSTITUTE(input_program," ","")&amp;",")))=COUNTA(TEXTSPLIT(HM169,",")))))</f>
        <v/>
      </c>
      <c r="JO169">
        <f>AND(IF(HO169="",TRUE,IF(input_story_categories="",FALSE,SUMPRODUCT(--ISNUMBER(SEARCH(","&amp;TRIM(TEXTSPLIT(HO169,","))&amp;",",","&amp;SUBSTITUTE(input_story_categories," ","")&amp;",")))&gt;0)),IF(HQ169="",TRUE,IF(input_story_categories="",FALSE,SUMPRODUCT(--ISNUMBER(SEARCH(","&amp;TRIM(TEXTSPLIT(HQ169,","))&amp;",",","&amp;SUBSTITUTE(input_story_categories," ","")&amp;",")))=COUNTA(TEXTSPLIT(HQ169,",")))),IF(HS169="",TRUE,IF(input_story_categories="",TRUE,SUMPRODUCT(--ISNUMBER(SEARCH(","&amp;TRIM(TEXTSPLIT(HS169,","))&amp;",",","&amp;SUBSTITUTE(input_story_categories," ","")&amp;",")))=0)),IF(HU169="",TRUE,IF(input_story_categories="",FALSE,SUMPRODUCT(--ISNUMBER(SEARCH(","&amp;TRIM(TEXTSPLIT(HU169,","))&amp;",",","&amp;SUBSTITUTE(input_story_categories," ","")&amp;",")))&gt;0)),IF(HW169="",TRUE,IF(input_story_categories="",FALSE,SUMPRODUCT(--ISNUMBER(SEARCH(","&amp;TRIM(TEXTSPLIT(HW169,","))&amp;",",","&amp;SUBSTITUTE(input_story_categories," ","")&amp;",")))=COUNTA(TEXTSPLIT(HW169,",")))))</f>
        <v/>
      </c>
      <c r="JP169">
        <f>AND(IF(HY169="",TRUE,IF(input_story_type="",FALSE,SUMPRODUCT(--ISNUMBER(SEARCH(","&amp;TRIM(TEXTSPLIT(HY169,","))&amp;",",","&amp;SUBSTITUTE(input_story_type," ","")&amp;",")))&gt;0)),IF(IA169="",TRUE,IF(input_story_type="",FALSE,SUMPRODUCT(--ISNUMBER(SEARCH(","&amp;TRIM(TEXTSPLIT(IA169,","))&amp;",",","&amp;SUBSTITUTE(input_story_type," ","")&amp;",")))=COUNTA(TEXTSPLIT(IA169,",")))),IF(IC169="",TRUE,IF(input_story_type="",TRUE,SUMPRODUCT(--ISNUMBER(SEARCH(","&amp;TRIM(TEXTSPLIT(IC169,","))&amp;",",","&amp;SUBSTITUTE(input_story_type," ","")&amp;",")))=0)),IF(IE169="",TRUE,IF(input_story_type="",FALSE,SUMPRODUCT(--ISNUMBER(SEARCH(","&amp;TRIM(TEXTSPLIT(IE169,","))&amp;",",","&amp;SUBSTITUTE(input_story_type," ","")&amp;",")))&gt;0)),IF(IG169="",TRUE,IF(input_story_type="",FALSE,SUMPRODUCT(--ISNUMBER(SEARCH(","&amp;TRIM(TEXTSPLIT(IG169,","))&amp;",",","&amp;SUBSTITUTE(input_story_type," ","")&amp;",")))=COUNTA(TEXTSPLIT(IG169,",")))))</f>
        <v/>
      </c>
      <c r="JQ169">
        <f>AND(IF(II169="",TRUE,IF(input_topics="",FALSE,SUMPRODUCT(--ISNUMBER(SEARCH(","&amp;TRIM(TEXTSPLIT(II169,","))&amp;",",","&amp;SUBSTITUTE(input_topics," ","")&amp;",")))&gt;0)),IF(IK169="",TRUE,IF(input_topics="",FALSE,SUMPRODUCT(--ISNUMBER(SEARCH(","&amp;TRIM(TEXTSPLIT(IK169,","))&amp;",",","&amp;SUBSTITUTE(input_topics," ","")&amp;",")))=COUNTA(TEXTSPLIT(IK169,",")))),IF(IM169="",TRUE,IF(input_topics="",TRUE,SUMPRODUCT(--ISNUMBER(SEARCH(","&amp;TRIM(TEXTSPLIT(IM169,","))&amp;",",","&amp;SUBSTITUTE(input_topics," ","")&amp;",")))=0)),IF(IO169="",TRUE,IF(input_topics="",FALSE,SUMPRODUCT(--ISNUMBER(SEARCH(","&amp;TRIM(TEXTSPLIT(IO169,","))&amp;",",","&amp;SUBSTITUTE(input_topics," ","")&amp;",")))&gt;0)),IF(IQ169="",TRUE,IF(input_topics="",FALSE,SUMPRODUCT(--ISNUMBER(SEARCH(","&amp;TRIM(TEXTSPLIT(IQ169,","))&amp;",",","&amp;SUBSTITUTE(input_topics," ","")&amp;",")))=COUNTA(TEXTSPLIT(IQ169,",")))))</f>
        <v/>
      </c>
    </row>
    <row r="170">
      <c r="A170" s="4">
        <f>IF(NOT(IS170),"Excluded",IF(AND(IT170,IU170,IV170,IW170,IX170,IY170,IZ170,JA170,JB170,JC170,JD170,JE170,JF170,JG170,JH170,JI170,JJ170,JK170,JL170,JM170,JN170,JO170,JP170,JQ170),IF(I170&gt;0,"Eligible but limited","Will appear"),"Excluded"))</f>
        <v/>
      </c>
      <c r="B170" s="4" t="inlineStr">
        <is>
          <t>Related stories</t>
        </is>
      </c>
      <c r="C170" s="4" t="inlineStr">
        <is>
          <t>/about/history</t>
        </is>
      </c>
      <c r="D170" s="4" t="inlineStr">
        <is>
          <t>/about/history</t>
        </is>
      </c>
      <c r="E170" s="4" t="n">
        <v>1</v>
      </c>
      <c r="F170" s="4" t="inlineStr">
        <is>
          <t>story</t>
        </is>
      </c>
      <c r="G170" s="4" t="inlineStr">
        <is>
          <t>stories_teaser_cards</t>
        </is>
      </c>
      <c r="H170" s="4" t="inlineStr">
        <is>
          <t>embed_blog</t>
        </is>
      </c>
      <c r="I170" s="4" t="n">
        <v>3</v>
      </c>
      <c r="J170" s="4" t="inlineStr">
        <is>
          <t>View/config rules</t>
        </is>
      </c>
      <c r="K170" s="4" t="inlineStr">
        <is>
          <t>Page placement</t>
        </is>
      </c>
      <c r="L170" s="4" t="inlineStr">
        <is>
          <t>Content type: story; Needs any Story Type: Blog (974); Limited to 3 item(s); Source: View/config rules</t>
        </is>
      </c>
      <c r="M170" t="inlineStr"/>
      <c r="N170" t="inlineStr"/>
      <c r="O170" t="inlineStr"/>
      <c r="P170" t="inlineStr"/>
      <c r="Q170" t="inlineStr"/>
      <c r="R170" t="inlineStr"/>
      <c r="S170" t="inlineStr"/>
      <c r="T170" t="inlineStr"/>
      <c r="U170" t="inlineStr"/>
      <c r="V170" t="inlineStr"/>
      <c r="W170" t="inlineStr"/>
      <c r="X170" t="inlineStr"/>
      <c r="Y170" t="inlineStr"/>
      <c r="Z170" t="inlineStr"/>
      <c r="AA170" t="inlineStr"/>
      <c r="AB170" t="inlineStr"/>
      <c r="AC170" t="inlineStr"/>
      <c r="AD170" t="inlineStr"/>
      <c r="AE170" t="inlineStr"/>
      <c r="AF170" t="inlineStr"/>
      <c r="AG170" t="inlineStr"/>
      <c r="AH170" t="inlineStr"/>
      <c r="AI170" t="inlineStr"/>
      <c r="AJ170" t="inlineStr"/>
      <c r="AK170" t="inlineStr"/>
      <c r="AL170" t="inlineStr"/>
      <c r="AM170" t="inlineStr"/>
      <c r="AN170" t="inlineStr"/>
      <c r="AO170" t="inlineStr"/>
      <c r="AP170" t="inlineStr"/>
      <c r="AQ170" t="inlineStr"/>
      <c r="AR170" t="inlineStr"/>
      <c r="AS170" t="inlineStr"/>
      <c r="AT170" t="inlineStr"/>
      <c r="AU170" t="inlineStr"/>
      <c r="AV170" t="inlineStr"/>
      <c r="AW170" t="inlineStr"/>
      <c r="AX170" t="inlineStr"/>
      <c r="AY170" t="inlineStr"/>
      <c r="AZ170" t="inlineStr"/>
      <c r="BA170" t="inlineStr"/>
      <c r="BB170" t="inlineStr"/>
      <c r="BC170" t="inlineStr"/>
      <c r="BD170" t="inlineStr"/>
      <c r="BE170" t="inlineStr"/>
      <c r="BF170" t="inlineStr"/>
      <c r="BG170" t="inlineStr"/>
      <c r="BH170" t="inlineStr"/>
      <c r="BI170" t="inlineStr"/>
      <c r="BJ170" t="inlineStr"/>
      <c r="BK170" t="inlineStr"/>
      <c r="BL170" t="inlineStr"/>
      <c r="BM170" t="inlineStr"/>
      <c r="BN170" t="inlineStr"/>
      <c r="BO170" t="inlineStr"/>
      <c r="BP170" t="inlineStr"/>
      <c r="BQ170" t="inlineStr"/>
      <c r="BR170" t="inlineStr"/>
      <c r="BS170" t="inlineStr"/>
      <c r="BT170" t="inlineStr"/>
      <c r="BU170" t="inlineStr"/>
      <c r="BV170" t="inlineStr"/>
      <c r="BW170" t="inlineStr"/>
      <c r="BX170" t="inlineStr"/>
      <c r="BY170" t="inlineStr"/>
      <c r="BZ170" t="inlineStr"/>
      <c r="CA170" t="inlineStr"/>
      <c r="CB170" t="inlineStr"/>
      <c r="CC170" t="inlineStr"/>
      <c r="CD170" t="inlineStr"/>
      <c r="CE170" t="inlineStr"/>
      <c r="CF170" t="inlineStr"/>
      <c r="CG170" t="inlineStr"/>
      <c r="CH170" t="inlineStr"/>
      <c r="CI170" t="inlineStr"/>
      <c r="CJ170" t="inlineStr"/>
      <c r="CK170" t="inlineStr"/>
      <c r="CL170" t="inlineStr"/>
      <c r="CM170" t="inlineStr"/>
      <c r="CN170" t="inlineStr"/>
      <c r="CO170" t="inlineStr"/>
      <c r="CP170" t="inlineStr"/>
      <c r="CQ170" t="inlineStr"/>
      <c r="CR170" t="inlineStr"/>
      <c r="CS170" t="inlineStr"/>
      <c r="CT170" t="inlineStr"/>
      <c r="CU170" t="inlineStr"/>
      <c r="CV170" t="inlineStr"/>
      <c r="CW170" t="inlineStr"/>
      <c r="CX170" t="inlineStr"/>
      <c r="CY170" t="inlineStr"/>
      <c r="CZ170" t="inlineStr"/>
      <c r="DA170" t="inlineStr"/>
      <c r="DB170" t="inlineStr"/>
      <c r="DC170" t="inlineStr"/>
      <c r="DD170" t="inlineStr"/>
      <c r="DE170" t="inlineStr"/>
      <c r="DF170" t="inlineStr"/>
      <c r="DG170" t="inlineStr"/>
      <c r="DH170" t="inlineStr"/>
      <c r="DI170" t="inlineStr"/>
      <c r="DJ170" t="inlineStr"/>
      <c r="DK170" t="inlineStr"/>
      <c r="DL170" t="inlineStr"/>
      <c r="DM170" t="inlineStr"/>
      <c r="DN170" t="inlineStr"/>
      <c r="DO170" t="inlineStr"/>
      <c r="DP170" t="inlineStr"/>
      <c r="DQ170" t="inlineStr"/>
      <c r="DR170" t="inlineStr"/>
      <c r="DS170" t="inlineStr"/>
      <c r="DT170" t="inlineStr"/>
      <c r="DU170" t="inlineStr"/>
      <c r="DV170" t="inlineStr"/>
      <c r="DW170" t="inlineStr"/>
      <c r="DX170" t="inlineStr"/>
      <c r="DY170" t="inlineStr"/>
      <c r="DZ170" t="inlineStr"/>
      <c r="EA170" t="inlineStr"/>
      <c r="EB170" t="inlineStr"/>
      <c r="EC170" t="inlineStr"/>
      <c r="ED170" t="inlineStr"/>
      <c r="EE170" t="inlineStr"/>
      <c r="EF170" t="inlineStr"/>
      <c r="EG170" t="inlineStr"/>
      <c r="EH170" t="inlineStr"/>
      <c r="EI170" t="inlineStr"/>
      <c r="EJ170" t="inlineStr"/>
      <c r="EK170" t="inlineStr"/>
      <c r="EL170" t="inlineStr"/>
      <c r="EM170" t="inlineStr"/>
      <c r="EN170" t="inlineStr"/>
      <c r="EO170" t="inlineStr"/>
      <c r="EP170" t="inlineStr"/>
      <c r="EQ170" t="inlineStr"/>
      <c r="ER170" t="inlineStr"/>
      <c r="ES170" t="inlineStr"/>
      <c r="ET170" t="inlineStr"/>
      <c r="EU170" t="inlineStr"/>
      <c r="EV170" t="inlineStr"/>
      <c r="EW170" t="inlineStr"/>
      <c r="EX170" t="inlineStr"/>
      <c r="EY170" t="inlineStr"/>
      <c r="EZ170" t="inlineStr"/>
      <c r="FA170" t="inlineStr"/>
      <c r="FB170" t="inlineStr"/>
      <c r="FC170" t="inlineStr"/>
      <c r="FD170" t="inlineStr"/>
      <c r="FE170" t="inlineStr"/>
      <c r="FF170" t="inlineStr"/>
      <c r="FG170" t="inlineStr"/>
      <c r="FH170" t="inlineStr"/>
      <c r="FI170" t="inlineStr"/>
      <c r="FJ170" t="inlineStr"/>
      <c r="FK170" t="inlineStr"/>
      <c r="FL170" t="inlineStr"/>
      <c r="FM170" t="inlineStr"/>
      <c r="FN170" t="inlineStr"/>
      <c r="FO170" t="inlineStr"/>
      <c r="FP170" t="inlineStr"/>
      <c r="FQ170" t="inlineStr"/>
      <c r="FR170" t="inlineStr"/>
      <c r="FS170" t="inlineStr"/>
      <c r="FT170" t="inlineStr"/>
      <c r="FU170" t="inlineStr"/>
      <c r="FV170" t="inlineStr"/>
      <c r="FW170" t="inlineStr"/>
      <c r="FX170" t="inlineStr"/>
      <c r="FY170" t="inlineStr"/>
      <c r="FZ170" t="inlineStr"/>
      <c r="GA170" t="inlineStr"/>
      <c r="GB170" t="inlineStr"/>
      <c r="GC170" t="inlineStr"/>
      <c r="GD170" t="inlineStr"/>
      <c r="GE170" t="inlineStr"/>
      <c r="GF170" t="inlineStr"/>
      <c r="GG170" t="inlineStr"/>
      <c r="GH170" t="inlineStr"/>
      <c r="GI170" t="inlineStr"/>
      <c r="GJ170" t="inlineStr"/>
      <c r="GK170" t="inlineStr"/>
      <c r="GL170" t="inlineStr"/>
      <c r="GM170" t="inlineStr"/>
      <c r="GN170" t="inlineStr"/>
      <c r="GO170" t="inlineStr"/>
      <c r="GP170" t="inlineStr"/>
      <c r="GQ170" t="inlineStr"/>
      <c r="GR170" t="inlineStr"/>
      <c r="GS170" t="inlineStr"/>
      <c r="GT170" t="inlineStr"/>
      <c r="GU170" t="inlineStr"/>
      <c r="GV170" t="inlineStr"/>
      <c r="GW170" t="inlineStr"/>
      <c r="GX170" t="inlineStr"/>
      <c r="GY170" t="inlineStr"/>
      <c r="GZ170" t="inlineStr"/>
      <c r="HA170" t="inlineStr"/>
      <c r="HB170" t="inlineStr"/>
      <c r="HC170" t="inlineStr"/>
      <c r="HD170" t="inlineStr"/>
      <c r="HE170" t="inlineStr"/>
      <c r="HF170" t="inlineStr"/>
      <c r="HG170" t="inlineStr"/>
      <c r="HH170" t="inlineStr"/>
      <c r="HI170" t="inlineStr"/>
      <c r="HJ170" t="inlineStr"/>
      <c r="HK170" t="inlineStr"/>
      <c r="HL170" t="inlineStr"/>
      <c r="HM170" t="inlineStr"/>
      <c r="HN170" t="inlineStr"/>
      <c r="HO170" t="inlineStr"/>
      <c r="HP170" t="inlineStr"/>
      <c r="HQ170" t="inlineStr"/>
      <c r="HR170" t="inlineStr"/>
      <c r="HS170" t="inlineStr"/>
      <c r="HT170" t="inlineStr"/>
      <c r="HU170" t="inlineStr"/>
      <c r="HV170" t="inlineStr"/>
      <c r="HW170" t="inlineStr"/>
      <c r="HX170" t="inlineStr"/>
      <c r="HY170" t="inlineStr">
        <is>
          <t>974</t>
        </is>
      </c>
      <c r="HZ170" t="inlineStr">
        <is>
          <t>Blog (974)</t>
        </is>
      </c>
      <c r="IA170" t="inlineStr"/>
      <c r="IB170" t="inlineStr"/>
      <c r="IC170" t="inlineStr"/>
      <c r="ID170" t="inlineStr"/>
      <c r="IE170" t="inlineStr"/>
      <c r="IF170" t="inlineStr"/>
      <c r="IG170" t="inlineStr"/>
      <c r="IH170" t="inlineStr"/>
      <c r="II170" t="inlineStr"/>
      <c r="IJ170" t="inlineStr"/>
      <c r="IK170" t="inlineStr"/>
      <c r="IL170" t="inlineStr"/>
      <c r="IM170" t="inlineStr"/>
      <c r="IN170" t="inlineStr"/>
      <c r="IO170" t="inlineStr"/>
      <c r="IP170" t="inlineStr"/>
      <c r="IQ170" t="inlineStr"/>
      <c r="IR170" t="inlineStr"/>
      <c r="IS170">
        <f>IF(input_content_type="",FALSE,ISNUMBER(SEARCH(","&amp;LOWER(input_content_type)&amp;",",","&amp;LOWER(F170)&amp;",")))</f>
        <v/>
      </c>
      <c r="IT170">
        <f>AND(IF(M170="",TRUE,IF(input_affiliations="",FALSE,SUMPRODUCT(--ISNUMBER(SEARCH(","&amp;TRIM(TEXTSPLIT(M170,","))&amp;",",","&amp;SUBSTITUTE(input_affiliations," ","")&amp;",")))&gt;0)),IF(O170="",TRUE,IF(input_affiliations="",FALSE,SUMPRODUCT(--ISNUMBER(SEARCH(","&amp;TRIM(TEXTSPLIT(O170,","))&amp;",",","&amp;SUBSTITUTE(input_affiliations," ","")&amp;",")))=COUNTA(TEXTSPLIT(O170,",")))),IF(Q170="",TRUE,IF(input_affiliations="",TRUE,SUMPRODUCT(--ISNUMBER(SEARCH(","&amp;TRIM(TEXTSPLIT(Q170,","))&amp;",",","&amp;SUBSTITUTE(input_affiliations," ","")&amp;",")))=0)),IF(S170="",TRUE,IF(input_affiliations="",FALSE,SUMPRODUCT(--ISNUMBER(SEARCH(","&amp;TRIM(TEXTSPLIT(S170,","))&amp;",",","&amp;SUBSTITUTE(input_affiliations," ","")&amp;",")))&gt;0)),IF(U170="",TRUE,IF(input_affiliations="",FALSE,SUMPRODUCT(--ISNUMBER(SEARCH(","&amp;TRIM(TEXTSPLIT(U170,","))&amp;",",","&amp;SUBSTITUTE(input_affiliations," ","")&amp;",")))=COUNTA(TEXTSPLIT(U170,",")))))</f>
        <v/>
      </c>
      <c r="IU170">
        <f>AND(IF(W170="",TRUE,IF(input_announcement_category="",FALSE,SUMPRODUCT(--ISNUMBER(SEARCH(","&amp;TRIM(TEXTSPLIT(W170,","))&amp;",",","&amp;SUBSTITUTE(input_announcement_category," ","")&amp;",")))&gt;0)),IF(Y170="",TRUE,IF(input_announcement_category="",FALSE,SUMPRODUCT(--ISNUMBER(SEARCH(","&amp;TRIM(TEXTSPLIT(Y170,","))&amp;",",","&amp;SUBSTITUTE(input_announcement_category," ","")&amp;",")))=COUNTA(TEXTSPLIT(Y170,",")))),IF(AA170="",TRUE,IF(input_announcement_category="",TRUE,SUMPRODUCT(--ISNUMBER(SEARCH(","&amp;TRIM(TEXTSPLIT(AA170,","))&amp;",",","&amp;SUBSTITUTE(input_announcement_category," ","")&amp;",")))=0)),IF(AC170="",TRUE,IF(input_announcement_category="",FALSE,SUMPRODUCT(--ISNUMBER(SEARCH(","&amp;TRIM(TEXTSPLIT(AC170,","))&amp;",",","&amp;SUBSTITUTE(input_announcement_category," ","")&amp;",")))&gt;0)),IF(AE170="",TRUE,IF(input_announcement_category="",FALSE,SUMPRODUCT(--ISNUMBER(SEARCH(","&amp;TRIM(TEXTSPLIT(AE170,","))&amp;",",","&amp;SUBSTITUTE(input_announcement_category," ","")&amp;",")))=COUNTA(TEXTSPLIT(AE170,",")))))</f>
        <v/>
      </c>
      <c r="IV170">
        <f>AND(IF(AG170="",TRUE,IF(input_area_of_focus="",FALSE,SUMPRODUCT(--ISNUMBER(SEARCH(","&amp;TRIM(TEXTSPLIT(AG170,","))&amp;",",","&amp;SUBSTITUTE(input_area_of_focus," ","")&amp;",")))&gt;0)),IF(AI170="",TRUE,IF(input_area_of_focus="",FALSE,SUMPRODUCT(--ISNUMBER(SEARCH(","&amp;TRIM(TEXTSPLIT(AI170,","))&amp;",",","&amp;SUBSTITUTE(input_area_of_focus," ","")&amp;",")))=COUNTA(TEXTSPLIT(AI170,",")))),IF(AK170="",TRUE,IF(input_area_of_focus="",TRUE,SUMPRODUCT(--ISNUMBER(SEARCH(","&amp;TRIM(TEXTSPLIT(AK170,","))&amp;",",","&amp;SUBSTITUTE(input_area_of_focus," ","")&amp;",")))=0)),IF(AM170="",TRUE,IF(input_area_of_focus="",FALSE,SUMPRODUCT(--ISNUMBER(SEARCH(","&amp;TRIM(TEXTSPLIT(AM170,","))&amp;",",","&amp;SUBSTITUTE(input_area_of_focus," ","")&amp;",")))&gt;0)),IF(AO170="",TRUE,IF(input_area_of_focus="",FALSE,SUMPRODUCT(--ISNUMBER(SEARCH(","&amp;TRIM(TEXTSPLIT(AO170,","))&amp;",",","&amp;SUBSTITUTE(input_area_of_focus," ","")&amp;",")))=COUNTA(TEXTSPLIT(AO170,",")))))</f>
        <v/>
      </c>
      <c r="IW170">
        <f>AND(IF(AQ170="",TRUE,IF(input_audience="",FALSE,SUMPRODUCT(--ISNUMBER(SEARCH(","&amp;TRIM(TEXTSPLIT(AQ170,","))&amp;",",","&amp;SUBSTITUTE(input_audience," ","")&amp;",")))&gt;0)),IF(AS170="",TRUE,IF(input_audience="",FALSE,SUMPRODUCT(--ISNUMBER(SEARCH(","&amp;TRIM(TEXTSPLIT(AS170,","))&amp;",",","&amp;SUBSTITUTE(input_audience," ","")&amp;",")))=COUNTA(TEXTSPLIT(AS170,",")))),IF(AU170="",TRUE,IF(input_audience="",TRUE,SUMPRODUCT(--ISNUMBER(SEARCH(","&amp;TRIM(TEXTSPLIT(AU170,","))&amp;",",","&amp;SUBSTITUTE(input_audience," ","")&amp;",")))=0)),IF(AW170="",TRUE,IF(input_audience="",FALSE,SUMPRODUCT(--ISNUMBER(SEARCH(","&amp;TRIM(TEXTSPLIT(AW170,","))&amp;",",","&amp;SUBSTITUTE(input_audience," ","")&amp;",")))&gt;0)),IF(AY170="",TRUE,IF(input_audience="",FALSE,SUMPRODUCT(--ISNUMBER(SEARCH(","&amp;TRIM(TEXTSPLIT(AY170,","))&amp;",",","&amp;SUBSTITUTE(input_audience," ","")&amp;",")))=COUNTA(TEXTSPLIT(AY170,",")))))</f>
        <v/>
      </c>
      <c r="IX170">
        <f>AND(IF(BA170="",TRUE,IF(input_challenge_opportunities="",FALSE,SUMPRODUCT(--ISNUMBER(SEARCH(","&amp;TRIM(TEXTSPLIT(BA170,","))&amp;",",","&amp;SUBSTITUTE(input_challenge_opportunities," ","")&amp;",")))&gt;0)),IF(BC170="",TRUE,IF(input_challenge_opportunities="",FALSE,SUMPRODUCT(--ISNUMBER(SEARCH(","&amp;TRIM(TEXTSPLIT(BC170,","))&amp;",",","&amp;SUBSTITUTE(input_challenge_opportunities," ","")&amp;",")))=COUNTA(TEXTSPLIT(BC170,",")))),IF(BE170="",TRUE,IF(input_challenge_opportunities="",TRUE,SUMPRODUCT(--ISNUMBER(SEARCH(","&amp;TRIM(TEXTSPLIT(BE170,","))&amp;",",","&amp;SUBSTITUTE(input_challenge_opportunities," ","")&amp;",")))=0)),IF(BG170="",TRUE,IF(input_challenge_opportunities="",FALSE,SUMPRODUCT(--ISNUMBER(SEARCH(","&amp;TRIM(TEXTSPLIT(BG170,","))&amp;",",","&amp;SUBSTITUTE(input_challenge_opportunities," ","")&amp;",")))&gt;0)),IF(BI170="",TRUE,IF(input_challenge_opportunities="",FALSE,SUMPRODUCT(--ISNUMBER(SEARCH(","&amp;TRIM(TEXTSPLIT(BI170,","))&amp;",",","&amp;SUBSTITUTE(input_challenge_opportunities," ","")&amp;",")))=COUNTA(TEXTSPLIT(BI170,",")))))</f>
        <v/>
      </c>
      <c r="IY170">
        <f>AND(IF(BK170="",TRUE,IF(input_context="",FALSE,SUMPRODUCT(--ISNUMBER(SEARCH(","&amp;TRIM(TEXTSPLIT(BK170,","))&amp;",",","&amp;SUBSTITUTE(input_context," ","")&amp;",")))&gt;0)),IF(BM170="",TRUE,IF(input_context="",FALSE,SUMPRODUCT(--ISNUMBER(SEARCH(","&amp;TRIM(TEXTSPLIT(BM170,","))&amp;",",","&amp;SUBSTITUTE(input_context," ","")&amp;",")))=COUNTA(TEXTSPLIT(BM170,",")))),IF(BO170="",TRUE,IF(input_context="",TRUE,SUMPRODUCT(--ISNUMBER(SEARCH(","&amp;TRIM(TEXTSPLIT(BO170,","))&amp;",",","&amp;SUBSTITUTE(input_context," ","")&amp;",")))=0)),IF(BQ170="",TRUE,IF(input_context="",FALSE,SUMPRODUCT(--ISNUMBER(SEARCH(","&amp;TRIM(TEXTSPLIT(BQ170,","))&amp;",",","&amp;SUBSTITUTE(input_context," ","")&amp;",")))&gt;0)),IF(BS170="",TRUE,IF(input_context="",FALSE,SUMPRODUCT(--ISNUMBER(SEARCH(","&amp;TRIM(TEXTSPLIT(BS170,","))&amp;",",","&amp;SUBSTITUTE(input_context," ","")&amp;",")))=COUNTA(TEXTSPLIT(BS170,",")))))</f>
        <v/>
      </c>
      <c r="IZ170">
        <f>AND(IF(BU170="",TRUE,IF(input_enews_announcement_type="",FALSE,SUMPRODUCT(--ISNUMBER(SEARCH(","&amp;TRIM(TEXTSPLIT(BU170,","))&amp;",",","&amp;SUBSTITUTE(input_enews_announcement_type," ","")&amp;",")))&gt;0)),IF(BW170="",TRUE,IF(input_enews_announcement_type="",FALSE,SUMPRODUCT(--ISNUMBER(SEARCH(","&amp;TRIM(TEXTSPLIT(BW170,","))&amp;",",","&amp;SUBSTITUTE(input_enews_announcement_type," ","")&amp;",")))=COUNTA(TEXTSPLIT(BW170,",")))),IF(BY170="",TRUE,IF(input_enews_announcement_type="",TRUE,SUMPRODUCT(--ISNUMBER(SEARCH(","&amp;TRIM(TEXTSPLIT(BY170,","))&amp;",",","&amp;SUBSTITUTE(input_enews_announcement_type," ","")&amp;",")))=0)),IF(CA170="",TRUE,IF(input_enews_announcement_type="",FALSE,SUMPRODUCT(--ISNUMBER(SEARCH(","&amp;TRIM(TEXTSPLIT(CA170,","))&amp;",",","&amp;SUBSTITUTE(input_enews_announcement_type," ","")&amp;",")))&gt;0)),IF(CC170="",TRUE,IF(input_enews_announcement_type="",FALSE,SUMPRODUCT(--ISNUMBER(SEARCH(","&amp;TRIM(TEXTSPLIT(CC170,","))&amp;",",","&amp;SUBSTITUTE(input_enews_announcement_type," ","")&amp;",")))=COUNTA(TEXTSPLIT(CC170,",")))))</f>
        <v/>
      </c>
      <c r="JA170">
        <f>AND(IF(CE170="",TRUE,IF(input_enews_audience="",FALSE,SUMPRODUCT(--ISNUMBER(SEARCH(","&amp;TRIM(TEXTSPLIT(CE170,","))&amp;",",","&amp;SUBSTITUTE(input_enews_audience," ","")&amp;",")))&gt;0)),IF(CG170="",TRUE,IF(input_enews_audience="",FALSE,SUMPRODUCT(--ISNUMBER(SEARCH(","&amp;TRIM(TEXTSPLIT(CG170,","))&amp;",",","&amp;SUBSTITUTE(input_enews_audience," ","")&amp;",")))=COUNTA(TEXTSPLIT(CG170,",")))),IF(CI170="",TRUE,IF(input_enews_audience="",TRUE,SUMPRODUCT(--ISNUMBER(SEARCH(","&amp;TRIM(TEXTSPLIT(CI170,","))&amp;",",","&amp;SUBSTITUTE(input_enews_audience," ","")&amp;",")))=0)),IF(CK170="",TRUE,IF(input_enews_audience="",FALSE,SUMPRODUCT(--ISNUMBER(SEARCH(","&amp;TRIM(TEXTSPLIT(CK170,","))&amp;",",","&amp;SUBSTITUTE(input_enews_audience," ","")&amp;",")))&gt;0)),IF(CM170="",TRUE,IF(input_enews_audience="",FALSE,SUMPRODUCT(--ISNUMBER(SEARCH(","&amp;TRIM(TEXTSPLIT(CM170,","))&amp;",",","&amp;SUBSTITUTE(input_enews_audience," ","")&amp;",")))=COUNTA(TEXTSPLIT(CM170,",")))))</f>
        <v/>
      </c>
      <c r="JB170">
        <f>AND(IF(CO170="",TRUE,IF(input_event_location="",FALSE,SUMPRODUCT(--ISNUMBER(SEARCH(","&amp;TRIM(TEXTSPLIT(CO170,","))&amp;",",","&amp;SUBSTITUTE(input_event_location," ","")&amp;",")))&gt;0)),IF(CQ170="",TRUE,IF(input_event_location="",FALSE,SUMPRODUCT(--ISNUMBER(SEARCH(","&amp;TRIM(TEXTSPLIT(CQ170,","))&amp;",",","&amp;SUBSTITUTE(input_event_location," ","")&amp;",")))=COUNTA(TEXTSPLIT(CQ170,",")))),IF(CS170="",TRUE,IF(input_event_location="",TRUE,SUMPRODUCT(--ISNUMBER(SEARCH(","&amp;TRIM(TEXTSPLIT(CS170,","))&amp;",",","&amp;SUBSTITUTE(input_event_location," ","")&amp;",")))=0)),IF(CU170="",TRUE,IF(input_event_location="",FALSE,SUMPRODUCT(--ISNUMBER(SEARCH(","&amp;TRIM(TEXTSPLIT(CU170,","))&amp;",",","&amp;SUBSTITUTE(input_event_location," ","")&amp;",")))&gt;0)),IF(CW170="",TRUE,IF(input_event_location="",FALSE,SUMPRODUCT(--ISNUMBER(SEARCH(","&amp;TRIM(TEXTSPLIT(CW170,","))&amp;",",","&amp;SUBSTITUTE(input_event_location," ","")&amp;",")))=COUNTA(TEXTSPLIT(CW170,",")))))</f>
        <v/>
      </c>
      <c r="JC170">
        <f>AND(IF(CY170="",TRUE,IF(input_event_type="",FALSE,SUMPRODUCT(--ISNUMBER(SEARCH(","&amp;TRIM(TEXTSPLIT(CY170,","))&amp;",",","&amp;SUBSTITUTE(input_event_type," ","")&amp;",")))&gt;0)),IF(DA170="",TRUE,IF(input_event_type="",FALSE,SUMPRODUCT(--ISNUMBER(SEARCH(","&amp;TRIM(TEXTSPLIT(DA170,","))&amp;",",","&amp;SUBSTITUTE(input_event_type," ","")&amp;",")))=COUNTA(TEXTSPLIT(DA170,",")))),IF(DC170="",TRUE,IF(input_event_type="",TRUE,SUMPRODUCT(--ISNUMBER(SEARCH(","&amp;TRIM(TEXTSPLIT(DC170,","))&amp;",",","&amp;SUBSTITUTE(input_event_type," ","")&amp;",")))=0)),IF(DE170="",TRUE,IF(input_event_type="",FALSE,SUMPRODUCT(--ISNUMBER(SEARCH(","&amp;TRIM(TEXTSPLIT(DE170,","))&amp;",",","&amp;SUBSTITUTE(input_event_type," ","")&amp;",")))&gt;0)),IF(DG170="",TRUE,IF(input_event_type="",FALSE,SUMPRODUCT(--ISNUMBER(SEARCH(","&amp;TRIM(TEXTSPLIT(DG170,","))&amp;",",","&amp;SUBSTITUTE(input_event_type," ","")&amp;",")))=COUNTA(TEXTSPLIT(DG170,",")))))</f>
        <v/>
      </c>
      <c r="JD170">
        <f>AND(IF(DI170="",TRUE,IF(input_executive_education_focus="",FALSE,SUMPRODUCT(--ISNUMBER(SEARCH(","&amp;TRIM(TEXTSPLIT(DI170,","))&amp;",",","&amp;SUBSTITUTE(input_executive_education_focus," ","")&amp;",")))&gt;0)),IF(DK170="",TRUE,IF(input_executive_education_focus="",FALSE,SUMPRODUCT(--ISNUMBER(SEARCH(","&amp;TRIM(TEXTSPLIT(DK170,","))&amp;",",","&amp;SUBSTITUTE(input_executive_education_focus," ","")&amp;",")))=COUNTA(TEXTSPLIT(DK170,",")))),IF(DM170="",TRUE,IF(input_executive_education_focus="",TRUE,SUMPRODUCT(--ISNUMBER(SEARCH(","&amp;TRIM(TEXTSPLIT(DM170,","))&amp;",",","&amp;SUBSTITUTE(input_executive_education_focus," ","")&amp;",")))=0)),IF(DO170="",TRUE,IF(input_executive_education_focus="",FALSE,SUMPRODUCT(--ISNUMBER(SEARCH(","&amp;TRIM(TEXTSPLIT(DO170,","))&amp;",",","&amp;SUBSTITUTE(input_executive_education_focus," ","")&amp;",")))&gt;0)),IF(DQ170="",TRUE,IF(input_executive_education_focus="",FALSE,SUMPRODUCT(--ISNUMBER(SEARCH(","&amp;TRIM(TEXTSPLIT(DQ170,","))&amp;",",","&amp;SUBSTITUTE(input_executive_education_focus," ","")&amp;",")))=COUNTA(TEXTSPLIT(DQ170,",")))))</f>
        <v/>
      </c>
      <c r="JE170">
        <f>AND(IF(DS170="",TRUE,IF(input_faculty_category="",FALSE,SUMPRODUCT(--ISNUMBER(SEARCH(","&amp;TRIM(TEXTSPLIT(DS170,","))&amp;",",","&amp;SUBSTITUTE(input_faculty_category," ","")&amp;",")))&gt;0)),IF(DU170="",TRUE,IF(input_faculty_category="",FALSE,SUMPRODUCT(--ISNUMBER(SEARCH(","&amp;TRIM(TEXTSPLIT(DU170,","))&amp;",",","&amp;SUBSTITUTE(input_faculty_category," ","")&amp;",")))=COUNTA(TEXTSPLIT(DU170,",")))),IF(DW170="",TRUE,IF(input_faculty_category="",TRUE,SUMPRODUCT(--ISNUMBER(SEARCH(","&amp;TRIM(TEXTSPLIT(DW170,","))&amp;",",","&amp;SUBSTITUTE(input_faculty_category," ","")&amp;",")))=0)),IF(DY170="",TRUE,IF(input_faculty_category="",FALSE,SUMPRODUCT(--ISNUMBER(SEARCH(","&amp;TRIM(TEXTSPLIT(DY170,","))&amp;",",","&amp;SUBSTITUTE(input_faculty_category," ","")&amp;",")))&gt;0)),IF(EA170="",TRUE,IF(input_faculty_category="",FALSE,SUMPRODUCT(--ISNUMBER(SEARCH(","&amp;TRIM(TEXTSPLIT(EA170,","))&amp;",",","&amp;SUBSTITUTE(input_faculty_category," ","")&amp;",")))=COUNTA(TEXTSPLIT(EA170,",")))))</f>
        <v/>
      </c>
      <c r="JF170">
        <f>AND(IF(EC170="",TRUE,IF(input_faculty_discipline="",FALSE,SUMPRODUCT(--ISNUMBER(SEARCH(","&amp;TRIM(TEXTSPLIT(EC170,","))&amp;",",","&amp;SUBSTITUTE(input_faculty_discipline," ","")&amp;",")))&gt;0)),IF(EE170="",TRUE,IF(input_faculty_discipline="",FALSE,SUMPRODUCT(--ISNUMBER(SEARCH(","&amp;TRIM(TEXTSPLIT(EE170,","))&amp;",",","&amp;SUBSTITUTE(input_faculty_discipline," ","")&amp;",")))=COUNTA(TEXTSPLIT(EE170,",")))),IF(EG170="",TRUE,IF(input_faculty_discipline="",TRUE,SUMPRODUCT(--ISNUMBER(SEARCH(","&amp;TRIM(TEXTSPLIT(EG170,","))&amp;",",","&amp;SUBSTITUTE(input_faculty_discipline," ","")&amp;",")))=0)),IF(EI170="",TRUE,IF(input_faculty_discipline="",FALSE,SUMPRODUCT(--ISNUMBER(SEARCH(","&amp;TRIM(TEXTSPLIT(EI170,","))&amp;",",","&amp;SUBSTITUTE(input_faculty_discipline," ","")&amp;",")))&gt;0)),IF(EK170="",TRUE,IF(input_faculty_discipline="",FALSE,SUMPRODUCT(--ISNUMBER(SEARCH(","&amp;TRIM(TEXTSPLIT(EK170,","))&amp;",",","&amp;SUBSTITUTE(input_faculty_discipline," ","")&amp;",")))=COUNTA(TEXTSPLIT(EK170,",")))))</f>
        <v/>
      </c>
      <c r="JG170">
        <f>AND(IF(EM170="",TRUE,IF(input_faculty_expertise="",FALSE,SUMPRODUCT(--ISNUMBER(SEARCH(","&amp;TRIM(TEXTSPLIT(EM170,","))&amp;",",","&amp;SUBSTITUTE(input_faculty_expertise," ","")&amp;",")))&gt;0)),IF(EO170="",TRUE,IF(input_faculty_expertise="",FALSE,SUMPRODUCT(--ISNUMBER(SEARCH(","&amp;TRIM(TEXTSPLIT(EO170,","))&amp;",",","&amp;SUBSTITUTE(input_faculty_expertise," ","")&amp;",")))=COUNTA(TEXTSPLIT(EO170,",")))),IF(EQ170="",TRUE,IF(input_faculty_expertise="",TRUE,SUMPRODUCT(--ISNUMBER(SEARCH(","&amp;TRIM(TEXTSPLIT(EQ170,","))&amp;",",","&amp;SUBSTITUTE(input_faculty_expertise," ","")&amp;",")))=0)),IF(ES170="",TRUE,IF(input_faculty_expertise="",FALSE,SUMPRODUCT(--ISNUMBER(SEARCH(","&amp;TRIM(TEXTSPLIT(ES170,","))&amp;",",","&amp;SUBSTITUTE(input_faculty_expertise," ","")&amp;",")))&gt;0)),IF(EU170="",TRUE,IF(input_faculty_expertise="",FALSE,SUMPRODUCT(--ISNUMBER(SEARCH(","&amp;TRIM(TEXTSPLIT(EU170,","))&amp;",",","&amp;SUBSTITUTE(input_faculty_expertise," ","")&amp;",")))=COUNTA(TEXTSPLIT(EU170,",")))))</f>
        <v/>
      </c>
      <c r="JH170">
        <f>AND(IF(EW170="",TRUE,IF(input_global_network_school="",FALSE,SUMPRODUCT(--ISNUMBER(SEARCH(","&amp;TRIM(TEXTSPLIT(EW170,","))&amp;",",","&amp;SUBSTITUTE(input_global_network_school," ","")&amp;",")))&gt;0)),IF(EY170="",TRUE,IF(input_global_network_school="",FALSE,SUMPRODUCT(--ISNUMBER(SEARCH(","&amp;TRIM(TEXTSPLIT(EY170,","))&amp;",",","&amp;SUBSTITUTE(input_global_network_school," ","")&amp;",")))=COUNTA(TEXTSPLIT(EY170,",")))),IF(FA170="",TRUE,IF(input_global_network_school="",TRUE,SUMPRODUCT(--ISNUMBER(SEARCH(","&amp;TRIM(TEXTSPLIT(FA170,","))&amp;",",","&amp;SUBSTITUTE(input_global_network_school," ","")&amp;",")))=0)),IF(FC170="",TRUE,IF(input_global_network_school="",FALSE,SUMPRODUCT(--ISNUMBER(SEARCH(","&amp;TRIM(TEXTSPLIT(FC170,","))&amp;",",","&amp;SUBSTITUTE(input_global_network_school," ","")&amp;",")))&gt;0)),IF(FE170="",TRUE,IF(input_global_network_school="",FALSE,SUMPRODUCT(--ISNUMBER(SEARCH(","&amp;TRIM(TEXTSPLIT(FE170,","))&amp;",",","&amp;SUBSTITUTE(input_global_network_school," ","")&amp;",")))=COUNTA(TEXTSPLIT(FE170,",")))))</f>
        <v/>
      </c>
      <c r="JI170">
        <f>AND(IF(FG170="",TRUE,IF(input_industry="",FALSE,SUMPRODUCT(--ISNUMBER(SEARCH(","&amp;TRIM(TEXTSPLIT(FG170,","))&amp;",",","&amp;SUBSTITUTE(input_industry," ","")&amp;",")))&gt;0)),IF(FI170="",TRUE,IF(input_industry="",FALSE,SUMPRODUCT(--ISNUMBER(SEARCH(","&amp;TRIM(TEXTSPLIT(FI170,","))&amp;",",","&amp;SUBSTITUTE(input_industry," ","")&amp;",")))=COUNTA(TEXTSPLIT(FI170,",")))),IF(FK170="",TRUE,IF(input_industry="",TRUE,SUMPRODUCT(--ISNUMBER(SEARCH(","&amp;TRIM(TEXTSPLIT(FK170,","))&amp;",",","&amp;SUBSTITUTE(input_industry," ","")&amp;",")))=0)),IF(FM170="",TRUE,IF(input_industry="",FALSE,SUMPRODUCT(--ISNUMBER(SEARCH(","&amp;TRIM(TEXTSPLIT(FM170,","))&amp;",",","&amp;SUBSTITUTE(input_industry," ","")&amp;",")))&gt;0)),IF(FO170="",TRUE,IF(input_industry="",FALSE,SUMPRODUCT(--ISNUMBER(SEARCH(","&amp;TRIM(TEXTSPLIT(FO170,","))&amp;",",","&amp;SUBSTITUTE(input_industry," ","")&amp;",")))=COUNTA(TEXTSPLIT(FO170,",")))))</f>
        <v/>
      </c>
      <c r="JJ170">
        <f>AND(IF(FQ170="",TRUE,IF(input_location="",FALSE,SUMPRODUCT(--ISNUMBER(SEARCH(","&amp;TRIM(TEXTSPLIT(FQ170,","))&amp;",",","&amp;SUBSTITUTE(input_location," ","")&amp;",")))&gt;0)),IF(FS170="",TRUE,IF(input_location="",FALSE,SUMPRODUCT(--ISNUMBER(SEARCH(","&amp;TRIM(TEXTSPLIT(FS170,","))&amp;",",","&amp;SUBSTITUTE(input_location," ","")&amp;",")))=COUNTA(TEXTSPLIT(FS170,",")))),IF(FU170="",TRUE,IF(input_location="",TRUE,SUMPRODUCT(--ISNUMBER(SEARCH(","&amp;TRIM(TEXTSPLIT(FU170,","))&amp;",",","&amp;SUBSTITUTE(input_location," ","")&amp;",")))=0)),IF(FW170="",TRUE,IF(input_location="",FALSE,SUMPRODUCT(--ISNUMBER(SEARCH(","&amp;TRIM(TEXTSPLIT(FW170,","))&amp;",",","&amp;SUBSTITUTE(input_location," ","")&amp;",")))&gt;0)),IF(FY170="",TRUE,IF(input_location="",FALSE,SUMPRODUCT(--ISNUMBER(SEARCH(","&amp;TRIM(TEXTSPLIT(FY170,","))&amp;",",","&amp;SUBSTITUTE(input_location," ","")&amp;",")))=COUNTA(TEXTSPLIT(FY170,",")))))</f>
        <v/>
      </c>
      <c r="JK170">
        <f>AND(IF(GA170="",TRUE,IF(input_modality="",FALSE,SUMPRODUCT(--ISNUMBER(SEARCH(","&amp;TRIM(TEXTSPLIT(GA170,","))&amp;",",","&amp;SUBSTITUTE(input_modality," ","")&amp;",")))&gt;0)),IF(GC170="",TRUE,IF(input_modality="",FALSE,SUMPRODUCT(--ISNUMBER(SEARCH(","&amp;TRIM(TEXTSPLIT(GC170,","))&amp;",",","&amp;SUBSTITUTE(input_modality," ","")&amp;",")))=COUNTA(TEXTSPLIT(GC170,",")))),IF(GE170="",TRUE,IF(input_modality="",TRUE,SUMPRODUCT(--ISNUMBER(SEARCH(","&amp;TRIM(TEXTSPLIT(GE170,","))&amp;",",","&amp;SUBSTITUTE(input_modality," ","")&amp;",")))=0)),IF(GG170="",TRUE,IF(input_modality="",FALSE,SUMPRODUCT(--ISNUMBER(SEARCH(","&amp;TRIM(TEXTSPLIT(GG170,","))&amp;",",","&amp;SUBSTITUTE(input_modality," ","")&amp;",")))&gt;0)),IF(GI170="",TRUE,IF(input_modality="",FALSE,SUMPRODUCT(--ISNUMBER(SEARCH(","&amp;TRIM(TEXTSPLIT(GI170,","))&amp;",",","&amp;SUBSTITUTE(input_modality," ","")&amp;",")))=COUNTA(TEXTSPLIT(GI170,",")))))</f>
        <v/>
      </c>
      <c r="JL170">
        <f>AND(IF(GK170="",TRUE,IF(input_organizer="",FALSE,SUMPRODUCT(--ISNUMBER(SEARCH(","&amp;TRIM(TEXTSPLIT(GK170,","))&amp;",",","&amp;SUBSTITUTE(input_organizer," ","")&amp;",")))&gt;0)),IF(GM170="",TRUE,IF(input_organizer="",FALSE,SUMPRODUCT(--ISNUMBER(SEARCH(","&amp;TRIM(TEXTSPLIT(GM170,","))&amp;",",","&amp;SUBSTITUTE(input_organizer," ","")&amp;",")))=COUNTA(TEXTSPLIT(GM170,",")))),IF(GO170="",TRUE,IF(input_organizer="",TRUE,SUMPRODUCT(--ISNUMBER(SEARCH(","&amp;TRIM(TEXTSPLIT(GO170,","))&amp;",",","&amp;SUBSTITUTE(input_organizer," ","")&amp;",")))=0)),IF(GQ170="",TRUE,IF(input_organizer="",FALSE,SUMPRODUCT(--ISNUMBER(SEARCH(","&amp;TRIM(TEXTSPLIT(GQ170,","))&amp;",",","&amp;SUBSTITUTE(input_organizer," ","")&amp;",")))&gt;0)),IF(GS170="",TRUE,IF(input_organizer="",FALSE,SUMPRODUCT(--ISNUMBER(SEARCH(","&amp;TRIM(TEXTSPLIT(GS170,","))&amp;",",","&amp;SUBSTITUTE(input_organizer," ","")&amp;",")))=COUNTA(TEXTSPLIT(GS170,",")))))</f>
        <v/>
      </c>
      <c r="JM170">
        <f>AND(IF(GU170="",TRUE,IF(input_profile_type="",FALSE,SUMPRODUCT(--ISNUMBER(SEARCH(","&amp;TRIM(TEXTSPLIT(GU170,","))&amp;",",","&amp;SUBSTITUTE(input_profile_type," ","")&amp;",")))&gt;0)),IF(GW170="",TRUE,IF(input_profile_type="",FALSE,SUMPRODUCT(--ISNUMBER(SEARCH(","&amp;TRIM(TEXTSPLIT(GW170,","))&amp;",",","&amp;SUBSTITUTE(input_profile_type," ","")&amp;",")))=COUNTA(TEXTSPLIT(GW170,",")))),IF(GY170="",TRUE,IF(input_profile_type="",TRUE,SUMPRODUCT(--ISNUMBER(SEARCH(","&amp;TRIM(TEXTSPLIT(GY170,","))&amp;",",","&amp;SUBSTITUTE(input_profile_type," ","")&amp;",")))=0)),IF(HA170="",TRUE,IF(input_profile_type="",FALSE,SUMPRODUCT(--ISNUMBER(SEARCH(","&amp;TRIM(TEXTSPLIT(HA170,","))&amp;",",","&amp;SUBSTITUTE(input_profile_type," ","")&amp;",")))&gt;0)),IF(HC170="",TRUE,IF(input_profile_type="",FALSE,SUMPRODUCT(--ISNUMBER(SEARCH(","&amp;TRIM(TEXTSPLIT(HC170,","))&amp;",",","&amp;SUBSTITUTE(input_profile_type," ","")&amp;",")))=COUNTA(TEXTSPLIT(HC170,",")))))</f>
        <v/>
      </c>
      <c r="JN170">
        <f>AND(IF(HE170="",TRUE,IF(input_program="",FALSE,SUMPRODUCT(--ISNUMBER(SEARCH(","&amp;TRIM(TEXTSPLIT(HE170,","))&amp;",",","&amp;SUBSTITUTE(input_program," ","")&amp;",")))&gt;0)),IF(HG170="",TRUE,IF(input_program="",FALSE,SUMPRODUCT(--ISNUMBER(SEARCH(","&amp;TRIM(TEXTSPLIT(HG170,","))&amp;",",","&amp;SUBSTITUTE(input_program," ","")&amp;",")))=COUNTA(TEXTSPLIT(HG170,",")))),IF(HI170="",TRUE,IF(input_program="",TRUE,SUMPRODUCT(--ISNUMBER(SEARCH(","&amp;TRIM(TEXTSPLIT(HI170,","))&amp;",",","&amp;SUBSTITUTE(input_program," ","")&amp;",")))=0)),IF(HK170="",TRUE,IF(input_program="",FALSE,SUMPRODUCT(--ISNUMBER(SEARCH(","&amp;TRIM(TEXTSPLIT(HK170,","))&amp;",",","&amp;SUBSTITUTE(input_program," ","")&amp;",")))&gt;0)),IF(HM170="",TRUE,IF(input_program="",FALSE,SUMPRODUCT(--ISNUMBER(SEARCH(","&amp;TRIM(TEXTSPLIT(HM170,","))&amp;",",","&amp;SUBSTITUTE(input_program," ","")&amp;",")))=COUNTA(TEXTSPLIT(HM170,",")))))</f>
        <v/>
      </c>
      <c r="JO170">
        <f>AND(IF(HO170="",TRUE,IF(input_story_categories="",FALSE,SUMPRODUCT(--ISNUMBER(SEARCH(","&amp;TRIM(TEXTSPLIT(HO170,","))&amp;",",","&amp;SUBSTITUTE(input_story_categories," ","")&amp;",")))&gt;0)),IF(HQ170="",TRUE,IF(input_story_categories="",FALSE,SUMPRODUCT(--ISNUMBER(SEARCH(","&amp;TRIM(TEXTSPLIT(HQ170,","))&amp;",",","&amp;SUBSTITUTE(input_story_categories," ","")&amp;",")))=COUNTA(TEXTSPLIT(HQ170,",")))),IF(HS170="",TRUE,IF(input_story_categories="",TRUE,SUMPRODUCT(--ISNUMBER(SEARCH(","&amp;TRIM(TEXTSPLIT(HS170,","))&amp;",",","&amp;SUBSTITUTE(input_story_categories," ","")&amp;",")))=0)),IF(HU170="",TRUE,IF(input_story_categories="",FALSE,SUMPRODUCT(--ISNUMBER(SEARCH(","&amp;TRIM(TEXTSPLIT(HU170,","))&amp;",",","&amp;SUBSTITUTE(input_story_categories," ","")&amp;",")))&gt;0)),IF(HW170="",TRUE,IF(input_story_categories="",FALSE,SUMPRODUCT(--ISNUMBER(SEARCH(","&amp;TRIM(TEXTSPLIT(HW170,","))&amp;",",","&amp;SUBSTITUTE(input_story_categories," ","")&amp;",")))=COUNTA(TEXTSPLIT(HW170,",")))))</f>
        <v/>
      </c>
      <c r="JP170">
        <f>AND(IF(HY170="",TRUE,IF(input_story_type="",FALSE,SUMPRODUCT(--ISNUMBER(SEARCH(","&amp;TRIM(TEXTSPLIT(HY170,","))&amp;",",","&amp;SUBSTITUTE(input_story_type," ","")&amp;",")))&gt;0)),IF(IA170="",TRUE,IF(input_story_type="",FALSE,SUMPRODUCT(--ISNUMBER(SEARCH(","&amp;TRIM(TEXTSPLIT(IA170,","))&amp;",",","&amp;SUBSTITUTE(input_story_type," ","")&amp;",")))=COUNTA(TEXTSPLIT(IA170,",")))),IF(IC170="",TRUE,IF(input_story_type="",TRUE,SUMPRODUCT(--ISNUMBER(SEARCH(","&amp;TRIM(TEXTSPLIT(IC170,","))&amp;",",","&amp;SUBSTITUTE(input_story_type," ","")&amp;",")))=0)),IF(IE170="",TRUE,IF(input_story_type="",FALSE,SUMPRODUCT(--ISNUMBER(SEARCH(","&amp;TRIM(TEXTSPLIT(IE170,","))&amp;",",","&amp;SUBSTITUTE(input_story_type," ","")&amp;",")))&gt;0)),IF(IG170="",TRUE,IF(input_story_type="",FALSE,SUMPRODUCT(--ISNUMBER(SEARCH(","&amp;TRIM(TEXTSPLIT(IG170,","))&amp;",",","&amp;SUBSTITUTE(input_story_type," ","")&amp;",")))=COUNTA(TEXTSPLIT(IG170,",")))))</f>
        <v/>
      </c>
      <c r="JQ170">
        <f>AND(IF(II170="",TRUE,IF(input_topics="",FALSE,SUMPRODUCT(--ISNUMBER(SEARCH(","&amp;TRIM(TEXTSPLIT(II170,","))&amp;",",","&amp;SUBSTITUTE(input_topics," ","")&amp;",")))&gt;0)),IF(IK170="",TRUE,IF(input_topics="",FALSE,SUMPRODUCT(--ISNUMBER(SEARCH(","&amp;TRIM(TEXTSPLIT(IK170,","))&amp;",",","&amp;SUBSTITUTE(input_topics," ","")&amp;",")))=COUNTA(TEXTSPLIT(IK170,",")))),IF(IM170="",TRUE,IF(input_topics="",TRUE,SUMPRODUCT(--ISNUMBER(SEARCH(","&amp;TRIM(TEXTSPLIT(IM170,","))&amp;",",","&amp;SUBSTITUTE(input_topics," ","")&amp;",")))=0)),IF(IO170="",TRUE,IF(input_topics="",FALSE,SUMPRODUCT(--ISNUMBER(SEARCH(","&amp;TRIM(TEXTSPLIT(IO170,","))&amp;",",","&amp;SUBSTITUTE(input_topics," ","")&amp;",")))&gt;0)),IF(IQ170="",TRUE,IF(input_topics="",FALSE,SUMPRODUCT(--ISNUMBER(SEARCH(","&amp;TRIM(TEXTSPLIT(IQ170,","))&amp;",",","&amp;SUBSTITUTE(input_topics," ","")&amp;",")))=COUNTA(TEXTSPLIT(IQ170,",")))))</f>
        <v/>
      </c>
    </row>
    <row r="171">
      <c r="A171" s="4">
        <f>IF(NOT(IS171),"Excluded",IF(AND(IT171,IU171,IV171,IW171,IX171,IY171,IZ171,JA171,JB171,JC171,JD171,JE171,JF171,JG171,JH171,JI171,JJ171,JK171,JL171,JM171,JN171,JO171,JP171,JQ171),IF(I171&gt;0,"Eligible but limited","Will appear"),"Excluded"))</f>
        <v/>
      </c>
      <c r="B171" s="4" t="inlineStr">
        <is>
          <t>Related stories</t>
        </is>
      </c>
      <c r="C171" s="4" t="inlineStr">
        <is>
          <t>/centers/the-broad-center/masters-degree-in-public-education-management</t>
        </is>
      </c>
      <c r="D171" s="4" t="inlineStr">
        <is>
          <t>/centers/the-broad-center/masters-degree-in-public-education-management</t>
        </is>
      </c>
      <c r="E171" s="4" t="n">
        <v>1</v>
      </c>
      <c r="F171" s="4" t="inlineStr">
        <is>
          <t>story</t>
        </is>
      </c>
      <c r="G171" s="4" t="inlineStr">
        <is>
          <t>stories_teaser_cards</t>
        </is>
      </c>
      <c r="H171" s="4" t="inlineStr">
        <is>
          <t>embed_news</t>
        </is>
      </c>
      <c r="I171" s="4" t="n">
        <v>3</v>
      </c>
      <c r="J171" s="4" t="inlineStr">
        <is>
          <t>Section inferred</t>
        </is>
      </c>
      <c r="K171" s="4" t="inlineStr">
        <is>
          <t>Page placement</t>
        </is>
      </c>
      <c r="L171" s="4" t="inlineStr">
        <is>
          <t>Content type: story; Context uses Courses Context: The Broad Center (926); Needs any Story Type: News (924); Limited to 3 item(s); Source: Section inferred</t>
        </is>
      </c>
      <c r="M171" t="inlineStr"/>
      <c r="N171" t="inlineStr"/>
      <c r="O171" t="inlineStr"/>
      <c r="P171" t="inlineStr"/>
      <c r="Q171" t="inlineStr"/>
      <c r="R171" t="inlineStr"/>
      <c r="S171" t="inlineStr"/>
      <c r="T171" t="inlineStr"/>
      <c r="U171" t="inlineStr"/>
      <c r="V171" t="inlineStr"/>
      <c r="W171" t="inlineStr"/>
      <c r="X171" t="inlineStr"/>
      <c r="Y171" t="inlineStr"/>
      <c r="Z171" t="inlineStr"/>
      <c r="AA171" t="inlineStr"/>
      <c r="AB171" t="inlineStr"/>
      <c r="AC171" t="inlineStr"/>
      <c r="AD171" t="inlineStr"/>
      <c r="AE171" t="inlineStr"/>
      <c r="AF171" t="inlineStr"/>
      <c r="AG171" t="inlineStr"/>
      <c r="AH171" t="inlineStr"/>
      <c r="AI171" t="inlineStr"/>
      <c r="AJ171" t="inlineStr"/>
      <c r="AK171" t="inlineStr"/>
      <c r="AL171" t="inlineStr"/>
      <c r="AM171" t="inlineStr"/>
      <c r="AN171" t="inlineStr"/>
      <c r="AO171" t="inlineStr"/>
      <c r="AP171" t="inlineStr"/>
      <c r="AQ171" t="inlineStr"/>
      <c r="AR171" t="inlineStr"/>
      <c r="AS171" t="inlineStr"/>
      <c r="AT171" t="inlineStr"/>
      <c r="AU171" t="inlineStr"/>
      <c r="AV171" t="inlineStr"/>
      <c r="AW171" t="inlineStr"/>
      <c r="AX171" t="inlineStr"/>
      <c r="AY171" t="inlineStr"/>
      <c r="AZ171" t="inlineStr"/>
      <c r="BA171" t="inlineStr"/>
      <c r="BB171" t="inlineStr"/>
      <c r="BC171" t="inlineStr"/>
      <c r="BD171" t="inlineStr"/>
      <c r="BE171" t="inlineStr"/>
      <c r="BF171" t="inlineStr"/>
      <c r="BG171" t="inlineStr"/>
      <c r="BH171" t="inlineStr"/>
      <c r="BI171" t="inlineStr"/>
      <c r="BJ171" t="inlineStr"/>
      <c r="BK171" t="inlineStr"/>
      <c r="BL171" t="inlineStr"/>
      <c r="BM171" t="inlineStr"/>
      <c r="BN171" t="inlineStr"/>
      <c r="BO171" t="inlineStr"/>
      <c r="BP171" t="inlineStr"/>
      <c r="BQ171" t="inlineStr">
        <is>
          <t>926</t>
        </is>
      </c>
      <c r="BR171" t="inlineStr">
        <is>
          <t>The Broad Center (926)</t>
        </is>
      </c>
      <c r="BS171" t="inlineStr"/>
      <c r="BT171" t="inlineStr"/>
      <c r="BU171" t="inlineStr"/>
      <c r="BV171" t="inlineStr"/>
      <c r="BW171" t="inlineStr"/>
      <c r="BX171" t="inlineStr"/>
      <c r="BY171" t="inlineStr"/>
      <c r="BZ171" t="inlineStr"/>
      <c r="CA171" t="inlineStr"/>
      <c r="CB171" t="inlineStr"/>
      <c r="CC171" t="inlineStr"/>
      <c r="CD171" t="inlineStr"/>
      <c r="CE171" t="inlineStr"/>
      <c r="CF171" t="inlineStr"/>
      <c r="CG171" t="inlineStr"/>
      <c r="CH171" t="inlineStr"/>
      <c r="CI171" t="inlineStr"/>
      <c r="CJ171" t="inlineStr"/>
      <c r="CK171" t="inlineStr"/>
      <c r="CL171" t="inlineStr"/>
      <c r="CM171" t="inlineStr"/>
      <c r="CN171" t="inlineStr"/>
      <c r="CO171" t="inlineStr"/>
      <c r="CP171" t="inlineStr"/>
      <c r="CQ171" t="inlineStr"/>
      <c r="CR171" t="inlineStr"/>
      <c r="CS171" t="inlineStr"/>
      <c r="CT171" t="inlineStr"/>
      <c r="CU171" t="inlineStr"/>
      <c r="CV171" t="inlineStr"/>
      <c r="CW171" t="inlineStr"/>
      <c r="CX171" t="inlineStr"/>
      <c r="CY171" t="inlineStr"/>
      <c r="CZ171" t="inlineStr"/>
      <c r="DA171" t="inlineStr"/>
      <c r="DB171" t="inlineStr"/>
      <c r="DC171" t="inlineStr"/>
      <c r="DD171" t="inlineStr"/>
      <c r="DE171" t="inlineStr"/>
      <c r="DF171" t="inlineStr"/>
      <c r="DG171" t="inlineStr"/>
      <c r="DH171" t="inlineStr"/>
      <c r="DI171" t="inlineStr"/>
      <c r="DJ171" t="inlineStr"/>
      <c r="DK171" t="inlineStr"/>
      <c r="DL171" t="inlineStr"/>
      <c r="DM171" t="inlineStr"/>
      <c r="DN171" t="inlineStr"/>
      <c r="DO171" t="inlineStr"/>
      <c r="DP171" t="inlineStr"/>
      <c r="DQ171" t="inlineStr"/>
      <c r="DR171" t="inlineStr"/>
      <c r="DS171" t="inlineStr"/>
      <c r="DT171" t="inlineStr"/>
      <c r="DU171" t="inlineStr"/>
      <c r="DV171" t="inlineStr"/>
      <c r="DW171" t="inlineStr"/>
      <c r="DX171" t="inlineStr"/>
      <c r="DY171" t="inlineStr"/>
      <c r="DZ171" t="inlineStr"/>
      <c r="EA171" t="inlineStr"/>
      <c r="EB171" t="inlineStr"/>
      <c r="EC171" t="inlineStr"/>
      <c r="ED171" t="inlineStr"/>
      <c r="EE171" t="inlineStr"/>
      <c r="EF171" t="inlineStr"/>
      <c r="EG171" t="inlineStr"/>
      <c r="EH171" t="inlineStr"/>
      <c r="EI171" t="inlineStr"/>
      <c r="EJ171" t="inlineStr"/>
      <c r="EK171" t="inlineStr"/>
      <c r="EL171" t="inlineStr"/>
      <c r="EM171" t="inlineStr"/>
      <c r="EN171" t="inlineStr"/>
      <c r="EO171" t="inlineStr"/>
      <c r="EP171" t="inlineStr"/>
      <c r="EQ171" t="inlineStr"/>
      <c r="ER171" t="inlineStr"/>
      <c r="ES171" t="inlineStr"/>
      <c r="ET171" t="inlineStr"/>
      <c r="EU171" t="inlineStr"/>
      <c r="EV171" t="inlineStr"/>
      <c r="EW171" t="inlineStr"/>
      <c r="EX171" t="inlineStr"/>
      <c r="EY171" t="inlineStr"/>
      <c r="EZ171" t="inlineStr"/>
      <c r="FA171" t="inlineStr"/>
      <c r="FB171" t="inlineStr"/>
      <c r="FC171" t="inlineStr"/>
      <c r="FD171" t="inlineStr"/>
      <c r="FE171" t="inlineStr"/>
      <c r="FF171" t="inlineStr"/>
      <c r="FG171" t="inlineStr"/>
      <c r="FH171" t="inlineStr"/>
      <c r="FI171" t="inlineStr"/>
      <c r="FJ171" t="inlineStr"/>
      <c r="FK171" t="inlineStr"/>
      <c r="FL171" t="inlineStr"/>
      <c r="FM171" t="inlineStr"/>
      <c r="FN171" t="inlineStr"/>
      <c r="FO171" t="inlineStr"/>
      <c r="FP171" t="inlineStr"/>
      <c r="FQ171" t="inlineStr"/>
      <c r="FR171" t="inlineStr"/>
      <c r="FS171" t="inlineStr"/>
      <c r="FT171" t="inlineStr"/>
      <c r="FU171" t="inlineStr"/>
      <c r="FV171" t="inlineStr"/>
      <c r="FW171" t="inlineStr"/>
      <c r="FX171" t="inlineStr"/>
      <c r="FY171" t="inlineStr"/>
      <c r="FZ171" t="inlineStr"/>
      <c r="GA171" t="inlineStr"/>
      <c r="GB171" t="inlineStr"/>
      <c r="GC171" t="inlineStr"/>
      <c r="GD171" t="inlineStr"/>
      <c r="GE171" t="inlineStr"/>
      <c r="GF171" t="inlineStr"/>
      <c r="GG171" t="inlineStr"/>
      <c r="GH171" t="inlineStr"/>
      <c r="GI171" t="inlineStr"/>
      <c r="GJ171" t="inlineStr"/>
      <c r="GK171" t="inlineStr"/>
      <c r="GL171" t="inlineStr"/>
      <c r="GM171" t="inlineStr"/>
      <c r="GN171" t="inlineStr"/>
      <c r="GO171" t="inlineStr"/>
      <c r="GP171" t="inlineStr"/>
      <c r="GQ171" t="inlineStr"/>
      <c r="GR171" t="inlineStr"/>
      <c r="GS171" t="inlineStr"/>
      <c r="GT171" t="inlineStr"/>
      <c r="GU171" t="inlineStr"/>
      <c r="GV171" t="inlineStr"/>
      <c r="GW171" t="inlineStr"/>
      <c r="GX171" t="inlineStr"/>
      <c r="GY171" t="inlineStr"/>
      <c r="GZ171" t="inlineStr"/>
      <c r="HA171" t="inlineStr"/>
      <c r="HB171" t="inlineStr"/>
      <c r="HC171" t="inlineStr"/>
      <c r="HD171" t="inlineStr"/>
      <c r="HE171" t="inlineStr"/>
      <c r="HF171" t="inlineStr"/>
      <c r="HG171" t="inlineStr"/>
      <c r="HH171" t="inlineStr"/>
      <c r="HI171" t="inlineStr"/>
      <c r="HJ171" t="inlineStr"/>
      <c r="HK171" t="inlineStr"/>
      <c r="HL171" t="inlineStr"/>
      <c r="HM171" t="inlineStr"/>
      <c r="HN171" t="inlineStr"/>
      <c r="HO171" t="inlineStr"/>
      <c r="HP171" t="inlineStr"/>
      <c r="HQ171" t="inlineStr"/>
      <c r="HR171" t="inlineStr"/>
      <c r="HS171" t="inlineStr"/>
      <c r="HT171" t="inlineStr"/>
      <c r="HU171" t="inlineStr"/>
      <c r="HV171" t="inlineStr"/>
      <c r="HW171" t="inlineStr"/>
      <c r="HX171" t="inlineStr"/>
      <c r="HY171" t="inlineStr">
        <is>
          <t>924</t>
        </is>
      </c>
      <c r="HZ171" t="inlineStr">
        <is>
          <t>News (924)</t>
        </is>
      </c>
      <c r="IA171" t="inlineStr"/>
      <c r="IB171" t="inlineStr"/>
      <c r="IC171" t="inlineStr"/>
      <c r="ID171" t="inlineStr"/>
      <c r="IE171" t="inlineStr"/>
      <c r="IF171" t="inlineStr"/>
      <c r="IG171" t="inlineStr"/>
      <c r="IH171" t="inlineStr"/>
      <c r="II171" t="inlineStr"/>
      <c r="IJ171" t="inlineStr"/>
      <c r="IK171" t="inlineStr"/>
      <c r="IL171" t="inlineStr"/>
      <c r="IM171" t="inlineStr"/>
      <c r="IN171" t="inlineStr"/>
      <c r="IO171" t="inlineStr"/>
      <c r="IP171" t="inlineStr"/>
      <c r="IQ171" t="inlineStr"/>
      <c r="IR171" t="inlineStr"/>
      <c r="IS171">
        <f>IF(input_content_type="",FALSE,ISNUMBER(SEARCH(","&amp;LOWER(input_content_type)&amp;",",","&amp;LOWER(F171)&amp;",")))</f>
        <v/>
      </c>
      <c r="IT171">
        <f>AND(IF(M171="",TRUE,IF(input_affiliations="",FALSE,SUMPRODUCT(--ISNUMBER(SEARCH(","&amp;TRIM(TEXTSPLIT(M171,","))&amp;",",","&amp;SUBSTITUTE(input_affiliations," ","")&amp;",")))&gt;0)),IF(O171="",TRUE,IF(input_affiliations="",FALSE,SUMPRODUCT(--ISNUMBER(SEARCH(","&amp;TRIM(TEXTSPLIT(O171,","))&amp;",",","&amp;SUBSTITUTE(input_affiliations," ","")&amp;",")))=COUNTA(TEXTSPLIT(O171,",")))),IF(Q171="",TRUE,IF(input_affiliations="",TRUE,SUMPRODUCT(--ISNUMBER(SEARCH(","&amp;TRIM(TEXTSPLIT(Q171,","))&amp;",",","&amp;SUBSTITUTE(input_affiliations," ","")&amp;",")))=0)),IF(S171="",TRUE,IF(input_affiliations="",FALSE,SUMPRODUCT(--ISNUMBER(SEARCH(","&amp;TRIM(TEXTSPLIT(S171,","))&amp;",",","&amp;SUBSTITUTE(input_affiliations," ","")&amp;",")))&gt;0)),IF(U171="",TRUE,IF(input_affiliations="",FALSE,SUMPRODUCT(--ISNUMBER(SEARCH(","&amp;TRIM(TEXTSPLIT(U171,","))&amp;",",","&amp;SUBSTITUTE(input_affiliations," ","")&amp;",")))=COUNTA(TEXTSPLIT(U171,",")))))</f>
        <v/>
      </c>
      <c r="IU171">
        <f>AND(IF(W171="",TRUE,IF(input_announcement_category="",FALSE,SUMPRODUCT(--ISNUMBER(SEARCH(","&amp;TRIM(TEXTSPLIT(W171,","))&amp;",",","&amp;SUBSTITUTE(input_announcement_category," ","")&amp;",")))&gt;0)),IF(Y171="",TRUE,IF(input_announcement_category="",FALSE,SUMPRODUCT(--ISNUMBER(SEARCH(","&amp;TRIM(TEXTSPLIT(Y171,","))&amp;",",","&amp;SUBSTITUTE(input_announcement_category," ","")&amp;",")))=COUNTA(TEXTSPLIT(Y171,",")))),IF(AA171="",TRUE,IF(input_announcement_category="",TRUE,SUMPRODUCT(--ISNUMBER(SEARCH(","&amp;TRIM(TEXTSPLIT(AA171,","))&amp;",",","&amp;SUBSTITUTE(input_announcement_category," ","")&amp;",")))=0)),IF(AC171="",TRUE,IF(input_announcement_category="",FALSE,SUMPRODUCT(--ISNUMBER(SEARCH(","&amp;TRIM(TEXTSPLIT(AC171,","))&amp;",",","&amp;SUBSTITUTE(input_announcement_category," ","")&amp;",")))&gt;0)),IF(AE171="",TRUE,IF(input_announcement_category="",FALSE,SUMPRODUCT(--ISNUMBER(SEARCH(","&amp;TRIM(TEXTSPLIT(AE171,","))&amp;",",","&amp;SUBSTITUTE(input_announcement_category," ","")&amp;",")))=COUNTA(TEXTSPLIT(AE171,",")))))</f>
        <v/>
      </c>
      <c r="IV171">
        <f>AND(IF(AG171="",TRUE,IF(input_area_of_focus="",FALSE,SUMPRODUCT(--ISNUMBER(SEARCH(","&amp;TRIM(TEXTSPLIT(AG171,","))&amp;",",","&amp;SUBSTITUTE(input_area_of_focus," ","")&amp;",")))&gt;0)),IF(AI171="",TRUE,IF(input_area_of_focus="",FALSE,SUMPRODUCT(--ISNUMBER(SEARCH(","&amp;TRIM(TEXTSPLIT(AI171,","))&amp;",",","&amp;SUBSTITUTE(input_area_of_focus," ","")&amp;",")))=COUNTA(TEXTSPLIT(AI171,",")))),IF(AK171="",TRUE,IF(input_area_of_focus="",TRUE,SUMPRODUCT(--ISNUMBER(SEARCH(","&amp;TRIM(TEXTSPLIT(AK171,","))&amp;",",","&amp;SUBSTITUTE(input_area_of_focus," ","")&amp;",")))=0)),IF(AM171="",TRUE,IF(input_area_of_focus="",FALSE,SUMPRODUCT(--ISNUMBER(SEARCH(","&amp;TRIM(TEXTSPLIT(AM171,","))&amp;",",","&amp;SUBSTITUTE(input_area_of_focus," ","")&amp;",")))&gt;0)),IF(AO171="",TRUE,IF(input_area_of_focus="",FALSE,SUMPRODUCT(--ISNUMBER(SEARCH(","&amp;TRIM(TEXTSPLIT(AO171,","))&amp;",",","&amp;SUBSTITUTE(input_area_of_focus," ","")&amp;",")))=COUNTA(TEXTSPLIT(AO171,",")))))</f>
        <v/>
      </c>
      <c r="IW171">
        <f>AND(IF(AQ171="",TRUE,IF(input_audience="",FALSE,SUMPRODUCT(--ISNUMBER(SEARCH(","&amp;TRIM(TEXTSPLIT(AQ171,","))&amp;",",","&amp;SUBSTITUTE(input_audience," ","")&amp;",")))&gt;0)),IF(AS171="",TRUE,IF(input_audience="",FALSE,SUMPRODUCT(--ISNUMBER(SEARCH(","&amp;TRIM(TEXTSPLIT(AS171,","))&amp;",",","&amp;SUBSTITUTE(input_audience," ","")&amp;",")))=COUNTA(TEXTSPLIT(AS171,",")))),IF(AU171="",TRUE,IF(input_audience="",TRUE,SUMPRODUCT(--ISNUMBER(SEARCH(","&amp;TRIM(TEXTSPLIT(AU171,","))&amp;",",","&amp;SUBSTITUTE(input_audience," ","")&amp;",")))=0)),IF(AW171="",TRUE,IF(input_audience="",FALSE,SUMPRODUCT(--ISNUMBER(SEARCH(","&amp;TRIM(TEXTSPLIT(AW171,","))&amp;",",","&amp;SUBSTITUTE(input_audience," ","")&amp;",")))&gt;0)),IF(AY171="",TRUE,IF(input_audience="",FALSE,SUMPRODUCT(--ISNUMBER(SEARCH(","&amp;TRIM(TEXTSPLIT(AY171,","))&amp;",",","&amp;SUBSTITUTE(input_audience," ","")&amp;",")))=COUNTA(TEXTSPLIT(AY171,",")))))</f>
        <v/>
      </c>
      <c r="IX171">
        <f>AND(IF(BA171="",TRUE,IF(input_challenge_opportunities="",FALSE,SUMPRODUCT(--ISNUMBER(SEARCH(","&amp;TRIM(TEXTSPLIT(BA171,","))&amp;",",","&amp;SUBSTITUTE(input_challenge_opportunities," ","")&amp;",")))&gt;0)),IF(BC171="",TRUE,IF(input_challenge_opportunities="",FALSE,SUMPRODUCT(--ISNUMBER(SEARCH(","&amp;TRIM(TEXTSPLIT(BC171,","))&amp;",",","&amp;SUBSTITUTE(input_challenge_opportunities," ","")&amp;",")))=COUNTA(TEXTSPLIT(BC171,",")))),IF(BE171="",TRUE,IF(input_challenge_opportunities="",TRUE,SUMPRODUCT(--ISNUMBER(SEARCH(","&amp;TRIM(TEXTSPLIT(BE171,","))&amp;",",","&amp;SUBSTITUTE(input_challenge_opportunities," ","")&amp;",")))=0)),IF(BG171="",TRUE,IF(input_challenge_opportunities="",FALSE,SUMPRODUCT(--ISNUMBER(SEARCH(","&amp;TRIM(TEXTSPLIT(BG171,","))&amp;",",","&amp;SUBSTITUTE(input_challenge_opportunities," ","")&amp;",")))&gt;0)),IF(BI171="",TRUE,IF(input_challenge_opportunities="",FALSE,SUMPRODUCT(--ISNUMBER(SEARCH(","&amp;TRIM(TEXTSPLIT(BI171,","))&amp;",",","&amp;SUBSTITUTE(input_challenge_opportunities," ","")&amp;",")))=COUNTA(TEXTSPLIT(BI171,",")))))</f>
        <v/>
      </c>
      <c r="IY171">
        <f>AND(IF(BK171="",TRUE,IF(input_context="",FALSE,SUMPRODUCT(--ISNUMBER(SEARCH(","&amp;TRIM(TEXTSPLIT(BK171,","))&amp;",",","&amp;SUBSTITUTE(input_context," ","")&amp;",")))&gt;0)),IF(BM171="",TRUE,IF(input_context="",FALSE,SUMPRODUCT(--ISNUMBER(SEARCH(","&amp;TRIM(TEXTSPLIT(BM171,","))&amp;",",","&amp;SUBSTITUTE(input_context," ","")&amp;",")))=COUNTA(TEXTSPLIT(BM171,",")))),IF(BO171="",TRUE,IF(input_context="",TRUE,SUMPRODUCT(--ISNUMBER(SEARCH(","&amp;TRIM(TEXTSPLIT(BO171,","))&amp;",",","&amp;SUBSTITUTE(input_context," ","")&amp;",")))=0)),IF(BQ171="",TRUE,IF(input_context="",FALSE,SUMPRODUCT(--ISNUMBER(SEARCH(","&amp;TRIM(TEXTSPLIT(BQ171,","))&amp;",",","&amp;SUBSTITUTE(input_context," ","")&amp;",")))&gt;0)),IF(BS171="",TRUE,IF(input_context="",FALSE,SUMPRODUCT(--ISNUMBER(SEARCH(","&amp;TRIM(TEXTSPLIT(BS171,","))&amp;",",","&amp;SUBSTITUTE(input_context," ","")&amp;",")))=COUNTA(TEXTSPLIT(BS171,",")))))</f>
        <v/>
      </c>
      <c r="IZ171">
        <f>AND(IF(BU171="",TRUE,IF(input_enews_announcement_type="",FALSE,SUMPRODUCT(--ISNUMBER(SEARCH(","&amp;TRIM(TEXTSPLIT(BU171,","))&amp;",",","&amp;SUBSTITUTE(input_enews_announcement_type," ","")&amp;",")))&gt;0)),IF(BW171="",TRUE,IF(input_enews_announcement_type="",FALSE,SUMPRODUCT(--ISNUMBER(SEARCH(","&amp;TRIM(TEXTSPLIT(BW171,","))&amp;",",","&amp;SUBSTITUTE(input_enews_announcement_type," ","")&amp;",")))=COUNTA(TEXTSPLIT(BW171,",")))),IF(BY171="",TRUE,IF(input_enews_announcement_type="",TRUE,SUMPRODUCT(--ISNUMBER(SEARCH(","&amp;TRIM(TEXTSPLIT(BY171,","))&amp;",",","&amp;SUBSTITUTE(input_enews_announcement_type," ","")&amp;",")))=0)),IF(CA171="",TRUE,IF(input_enews_announcement_type="",FALSE,SUMPRODUCT(--ISNUMBER(SEARCH(","&amp;TRIM(TEXTSPLIT(CA171,","))&amp;",",","&amp;SUBSTITUTE(input_enews_announcement_type," ","")&amp;",")))&gt;0)),IF(CC171="",TRUE,IF(input_enews_announcement_type="",FALSE,SUMPRODUCT(--ISNUMBER(SEARCH(","&amp;TRIM(TEXTSPLIT(CC171,","))&amp;",",","&amp;SUBSTITUTE(input_enews_announcement_type," ","")&amp;",")))=COUNTA(TEXTSPLIT(CC171,",")))))</f>
        <v/>
      </c>
      <c r="JA171">
        <f>AND(IF(CE171="",TRUE,IF(input_enews_audience="",FALSE,SUMPRODUCT(--ISNUMBER(SEARCH(","&amp;TRIM(TEXTSPLIT(CE171,","))&amp;",",","&amp;SUBSTITUTE(input_enews_audience," ","")&amp;",")))&gt;0)),IF(CG171="",TRUE,IF(input_enews_audience="",FALSE,SUMPRODUCT(--ISNUMBER(SEARCH(","&amp;TRIM(TEXTSPLIT(CG171,","))&amp;",",","&amp;SUBSTITUTE(input_enews_audience," ","")&amp;",")))=COUNTA(TEXTSPLIT(CG171,",")))),IF(CI171="",TRUE,IF(input_enews_audience="",TRUE,SUMPRODUCT(--ISNUMBER(SEARCH(","&amp;TRIM(TEXTSPLIT(CI171,","))&amp;",",","&amp;SUBSTITUTE(input_enews_audience," ","")&amp;",")))=0)),IF(CK171="",TRUE,IF(input_enews_audience="",FALSE,SUMPRODUCT(--ISNUMBER(SEARCH(","&amp;TRIM(TEXTSPLIT(CK171,","))&amp;",",","&amp;SUBSTITUTE(input_enews_audience," ","")&amp;",")))&gt;0)),IF(CM171="",TRUE,IF(input_enews_audience="",FALSE,SUMPRODUCT(--ISNUMBER(SEARCH(","&amp;TRIM(TEXTSPLIT(CM171,","))&amp;",",","&amp;SUBSTITUTE(input_enews_audience," ","")&amp;",")))=COUNTA(TEXTSPLIT(CM171,",")))))</f>
        <v/>
      </c>
      <c r="JB171">
        <f>AND(IF(CO171="",TRUE,IF(input_event_location="",FALSE,SUMPRODUCT(--ISNUMBER(SEARCH(","&amp;TRIM(TEXTSPLIT(CO171,","))&amp;",",","&amp;SUBSTITUTE(input_event_location," ","")&amp;",")))&gt;0)),IF(CQ171="",TRUE,IF(input_event_location="",FALSE,SUMPRODUCT(--ISNUMBER(SEARCH(","&amp;TRIM(TEXTSPLIT(CQ171,","))&amp;",",","&amp;SUBSTITUTE(input_event_location," ","")&amp;",")))=COUNTA(TEXTSPLIT(CQ171,",")))),IF(CS171="",TRUE,IF(input_event_location="",TRUE,SUMPRODUCT(--ISNUMBER(SEARCH(","&amp;TRIM(TEXTSPLIT(CS171,","))&amp;",",","&amp;SUBSTITUTE(input_event_location," ","")&amp;",")))=0)),IF(CU171="",TRUE,IF(input_event_location="",FALSE,SUMPRODUCT(--ISNUMBER(SEARCH(","&amp;TRIM(TEXTSPLIT(CU171,","))&amp;",",","&amp;SUBSTITUTE(input_event_location," ","")&amp;",")))&gt;0)),IF(CW171="",TRUE,IF(input_event_location="",FALSE,SUMPRODUCT(--ISNUMBER(SEARCH(","&amp;TRIM(TEXTSPLIT(CW171,","))&amp;",",","&amp;SUBSTITUTE(input_event_location," ","")&amp;",")))=COUNTA(TEXTSPLIT(CW171,",")))))</f>
        <v/>
      </c>
      <c r="JC171">
        <f>AND(IF(CY171="",TRUE,IF(input_event_type="",FALSE,SUMPRODUCT(--ISNUMBER(SEARCH(","&amp;TRIM(TEXTSPLIT(CY171,","))&amp;",",","&amp;SUBSTITUTE(input_event_type," ","")&amp;",")))&gt;0)),IF(DA171="",TRUE,IF(input_event_type="",FALSE,SUMPRODUCT(--ISNUMBER(SEARCH(","&amp;TRIM(TEXTSPLIT(DA171,","))&amp;",",","&amp;SUBSTITUTE(input_event_type," ","")&amp;",")))=COUNTA(TEXTSPLIT(DA171,",")))),IF(DC171="",TRUE,IF(input_event_type="",TRUE,SUMPRODUCT(--ISNUMBER(SEARCH(","&amp;TRIM(TEXTSPLIT(DC171,","))&amp;",",","&amp;SUBSTITUTE(input_event_type," ","")&amp;",")))=0)),IF(DE171="",TRUE,IF(input_event_type="",FALSE,SUMPRODUCT(--ISNUMBER(SEARCH(","&amp;TRIM(TEXTSPLIT(DE171,","))&amp;",",","&amp;SUBSTITUTE(input_event_type," ","")&amp;",")))&gt;0)),IF(DG171="",TRUE,IF(input_event_type="",FALSE,SUMPRODUCT(--ISNUMBER(SEARCH(","&amp;TRIM(TEXTSPLIT(DG171,","))&amp;",",","&amp;SUBSTITUTE(input_event_type," ","")&amp;",")))=COUNTA(TEXTSPLIT(DG171,",")))))</f>
        <v/>
      </c>
      <c r="JD171">
        <f>AND(IF(DI171="",TRUE,IF(input_executive_education_focus="",FALSE,SUMPRODUCT(--ISNUMBER(SEARCH(","&amp;TRIM(TEXTSPLIT(DI171,","))&amp;",",","&amp;SUBSTITUTE(input_executive_education_focus," ","")&amp;",")))&gt;0)),IF(DK171="",TRUE,IF(input_executive_education_focus="",FALSE,SUMPRODUCT(--ISNUMBER(SEARCH(","&amp;TRIM(TEXTSPLIT(DK171,","))&amp;",",","&amp;SUBSTITUTE(input_executive_education_focus," ","")&amp;",")))=COUNTA(TEXTSPLIT(DK171,",")))),IF(DM171="",TRUE,IF(input_executive_education_focus="",TRUE,SUMPRODUCT(--ISNUMBER(SEARCH(","&amp;TRIM(TEXTSPLIT(DM171,","))&amp;",",","&amp;SUBSTITUTE(input_executive_education_focus," ","")&amp;",")))=0)),IF(DO171="",TRUE,IF(input_executive_education_focus="",FALSE,SUMPRODUCT(--ISNUMBER(SEARCH(","&amp;TRIM(TEXTSPLIT(DO171,","))&amp;",",","&amp;SUBSTITUTE(input_executive_education_focus," ","")&amp;",")))&gt;0)),IF(DQ171="",TRUE,IF(input_executive_education_focus="",FALSE,SUMPRODUCT(--ISNUMBER(SEARCH(","&amp;TRIM(TEXTSPLIT(DQ171,","))&amp;",",","&amp;SUBSTITUTE(input_executive_education_focus," ","")&amp;",")))=COUNTA(TEXTSPLIT(DQ171,",")))))</f>
        <v/>
      </c>
      <c r="JE171">
        <f>AND(IF(DS171="",TRUE,IF(input_faculty_category="",FALSE,SUMPRODUCT(--ISNUMBER(SEARCH(","&amp;TRIM(TEXTSPLIT(DS171,","))&amp;",",","&amp;SUBSTITUTE(input_faculty_category," ","")&amp;",")))&gt;0)),IF(DU171="",TRUE,IF(input_faculty_category="",FALSE,SUMPRODUCT(--ISNUMBER(SEARCH(","&amp;TRIM(TEXTSPLIT(DU171,","))&amp;",",","&amp;SUBSTITUTE(input_faculty_category," ","")&amp;",")))=COUNTA(TEXTSPLIT(DU171,",")))),IF(DW171="",TRUE,IF(input_faculty_category="",TRUE,SUMPRODUCT(--ISNUMBER(SEARCH(","&amp;TRIM(TEXTSPLIT(DW171,","))&amp;",",","&amp;SUBSTITUTE(input_faculty_category," ","")&amp;",")))=0)),IF(DY171="",TRUE,IF(input_faculty_category="",FALSE,SUMPRODUCT(--ISNUMBER(SEARCH(","&amp;TRIM(TEXTSPLIT(DY171,","))&amp;",",","&amp;SUBSTITUTE(input_faculty_category," ","")&amp;",")))&gt;0)),IF(EA171="",TRUE,IF(input_faculty_category="",FALSE,SUMPRODUCT(--ISNUMBER(SEARCH(","&amp;TRIM(TEXTSPLIT(EA171,","))&amp;",",","&amp;SUBSTITUTE(input_faculty_category," ","")&amp;",")))=COUNTA(TEXTSPLIT(EA171,",")))))</f>
        <v/>
      </c>
      <c r="JF171">
        <f>AND(IF(EC171="",TRUE,IF(input_faculty_discipline="",FALSE,SUMPRODUCT(--ISNUMBER(SEARCH(","&amp;TRIM(TEXTSPLIT(EC171,","))&amp;",",","&amp;SUBSTITUTE(input_faculty_discipline," ","")&amp;",")))&gt;0)),IF(EE171="",TRUE,IF(input_faculty_discipline="",FALSE,SUMPRODUCT(--ISNUMBER(SEARCH(","&amp;TRIM(TEXTSPLIT(EE171,","))&amp;",",","&amp;SUBSTITUTE(input_faculty_discipline," ","")&amp;",")))=COUNTA(TEXTSPLIT(EE171,",")))),IF(EG171="",TRUE,IF(input_faculty_discipline="",TRUE,SUMPRODUCT(--ISNUMBER(SEARCH(","&amp;TRIM(TEXTSPLIT(EG171,","))&amp;",",","&amp;SUBSTITUTE(input_faculty_discipline," ","")&amp;",")))=0)),IF(EI171="",TRUE,IF(input_faculty_discipline="",FALSE,SUMPRODUCT(--ISNUMBER(SEARCH(","&amp;TRIM(TEXTSPLIT(EI171,","))&amp;",",","&amp;SUBSTITUTE(input_faculty_discipline," ","")&amp;",")))&gt;0)),IF(EK171="",TRUE,IF(input_faculty_discipline="",FALSE,SUMPRODUCT(--ISNUMBER(SEARCH(","&amp;TRIM(TEXTSPLIT(EK171,","))&amp;",",","&amp;SUBSTITUTE(input_faculty_discipline," ","")&amp;",")))=COUNTA(TEXTSPLIT(EK171,",")))))</f>
        <v/>
      </c>
      <c r="JG171">
        <f>AND(IF(EM171="",TRUE,IF(input_faculty_expertise="",FALSE,SUMPRODUCT(--ISNUMBER(SEARCH(","&amp;TRIM(TEXTSPLIT(EM171,","))&amp;",",","&amp;SUBSTITUTE(input_faculty_expertise," ","")&amp;",")))&gt;0)),IF(EO171="",TRUE,IF(input_faculty_expertise="",FALSE,SUMPRODUCT(--ISNUMBER(SEARCH(","&amp;TRIM(TEXTSPLIT(EO171,","))&amp;",",","&amp;SUBSTITUTE(input_faculty_expertise," ","")&amp;",")))=COUNTA(TEXTSPLIT(EO171,",")))),IF(EQ171="",TRUE,IF(input_faculty_expertise="",TRUE,SUMPRODUCT(--ISNUMBER(SEARCH(","&amp;TRIM(TEXTSPLIT(EQ171,","))&amp;",",","&amp;SUBSTITUTE(input_faculty_expertise," ","")&amp;",")))=0)),IF(ES171="",TRUE,IF(input_faculty_expertise="",FALSE,SUMPRODUCT(--ISNUMBER(SEARCH(","&amp;TRIM(TEXTSPLIT(ES171,","))&amp;",",","&amp;SUBSTITUTE(input_faculty_expertise," ","")&amp;",")))&gt;0)),IF(EU171="",TRUE,IF(input_faculty_expertise="",FALSE,SUMPRODUCT(--ISNUMBER(SEARCH(","&amp;TRIM(TEXTSPLIT(EU171,","))&amp;",",","&amp;SUBSTITUTE(input_faculty_expertise," ","")&amp;",")))=COUNTA(TEXTSPLIT(EU171,",")))))</f>
        <v/>
      </c>
      <c r="JH171">
        <f>AND(IF(EW171="",TRUE,IF(input_global_network_school="",FALSE,SUMPRODUCT(--ISNUMBER(SEARCH(","&amp;TRIM(TEXTSPLIT(EW171,","))&amp;",",","&amp;SUBSTITUTE(input_global_network_school," ","")&amp;",")))&gt;0)),IF(EY171="",TRUE,IF(input_global_network_school="",FALSE,SUMPRODUCT(--ISNUMBER(SEARCH(","&amp;TRIM(TEXTSPLIT(EY171,","))&amp;",",","&amp;SUBSTITUTE(input_global_network_school," ","")&amp;",")))=COUNTA(TEXTSPLIT(EY171,",")))),IF(FA171="",TRUE,IF(input_global_network_school="",TRUE,SUMPRODUCT(--ISNUMBER(SEARCH(","&amp;TRIM(TEXTSPLIT(FA171,","))&amp;",",","&amp;SUBSTITUTE(input_global_network_school," ","")&amp;",")))=0)),IF(FC171="",TRUE,IF(input_global_network_school="",FALSE,SUMPRODUCT(--ISNUMBER(SEARCH(","&amp;TRIM(TEXTSPLIT(FC171,","))&amp;",",","&amp;SUBSTITUTE(input_global_network_school," ","")&amp;",")))&gt;0)),IF(FE171="",TRUE,IF(input_global_network_school="",FALSE,SUMPRODUCT(--ISNUMBER(SEARCH(","&amp;TRIM(TEXTSPLIT(FE171,","))&amp;",",","&amp;SUBSTITUTE(input_global_network_school," ","")&amp;",")))=COUNTA(TEXTSPLIT(FE171,",")))))</f>
        <v/>
      </c>
      <c r="JI171">
        <f>AND(IF(FG171="",TRUE,IF(input_industry="",FALSE,SUMPRODUCT(--ISNUMBER(SEARCH(","&amp;TRIM(TEXTSPLIT(FG171,","))&amp;",",","&amp;SUBSTITUTE(input_industry," ","")&amp;",")))&gt;0)),IF(FI171="",TRUE,IF(input_industry="",FALSE,SUMPRODUCT(--ISNUMBER(SEARCH(","&amp;TRIM(TEXTSPLIT(FI171,","))&amp;",",","&amp;SUBSTITUTE(input_industry," ","")&amp;",")))=COUNTA(TEXTSPLIT(FI171,",")))),IF(FK171="",TRUE,IF(input_industry="",TRUE,SUMPRODUCT(--ISNUMBER(SEARCH(","&amp;TRIM(TEXTSPLIT(FK171,","))&amp;",",","&amp;SUBSTITUTE(input_industry," ","")&amp;",")))=0)),IF(FM171="",TRUE,IF(input_industry="",FALSE,SUMPRODUCT(--ISNUMBER(SEARCH(","&amp;TRIM(TEXTSPLIT(FM171,","))&amp;",",","&amp;SUBSTITUTE(input_industry," ","")&amp;",")))&gt;0)),IF(FO171="",TRUE,IF(input_industry="",FALSE,SUMPRODUCT(--ISNUMBER(SEARCH(","&amp;TRIM(TEXTSPLIT(FO171,","))&amp;",",","&amp;SUBSTITUTE(input_industry," ","")&amp;",")))=COUNTA(TEXTSPLIT(FO171,",")))))</f>
        <v/>
      </c>
      <c r="JJ171">
        <f>AND(IF(FQ171="",TRUE,IF(input_location="",FALSE,SUMPRODUCT(--ISNUMBER(SEARCH(","&amp;TRIM(TEXTSPLIT(FQ171,","))&amp;",",","&amp;SUBSTITUTE(input_location," ","")&amp;",")))&gt;0)),IF(FS171="",TRUE,IF(input_location="",FALSE,SUMPRODUCT(--ISNUMBER(SEARCH(","&amp;TRIM(TEXTSPLIT(FS171,","))&amp;",",","&amp;SUBSTITUTE(input_location," ","")&amp;",")))=COUNTA(TEXTSPLIT(FS171,",")))),IF(FU171="",TRUE,IF(input_location="",TRUE,SUMPRODUCT(--ISNUMBER(SEARCH(","&amp;TRIM(TEXTSPLIT(FU171,","))&amp;",",","&amp;SUBSTITUTE(input_location," ","")&amp;",")))=0)),IF(FW171="",TRUE,IF(input_location="",FALSE,SUMPRODUCT(--ISNUMBER(SEARCH(","&amp;TRIM(TEXTSPLIT(FW171,","))&amp;",",","&amp;SUBSTITUTE(input_location," ","")&amp;",")))&gt;0)),IF(FY171="",TRUE,IF(input_location="",FALSE,SUMPRODUCT(--ISNUMBER(SEARCH(","&amp;TRIM(TEXTSPLIT(FY171,","))&amp;",",","&amp;SUBSTITUTE(input_location," ","")&amp;",")))=COUNTA(TEXTSPLIT(FY171,",")))))</f>
        <v/>
      </c>
      <c r="JK171">
        <f>AND(IF(GA171="",TRUE,IF(input_modality="",FALSE,SUMPRODUCT(--ISNUMBER(SEARCH(","&amp;TRIM(TEXTSPLIT(GA171,","))&amp;",",","&amp;SUBSTITUTE(input_modality," ","")&amp;",")))&gt;0)),IF(GC171="",TRUE,IF(input_modality="",FALSE,SUMPRODUCT(--ISNUMBER(SEARCH(","&amp;TRIM(TEXTSPLIT(GC171,","))&amp;",",","&amp;SUBSTITUTE(input_modality," ","")&amp;",")))=COUNTA(TEXTSPLIT(GC171,",")))),IF(GE171="",TRUE,IF(input_modality="",TRUE,SUMPRODUCT(--ISNUMBER(SEARCH(","&amp;TRIM(TEXTSPLIT(GE171,","))&amp;",",","&amp;SUBSTITUTE(input_modality," ","")&amp;",")))=0)),IF(GG171="",TRUE,IF(input_modality="",FALSE,SUMPRODUCT(--ISNUMBER(SEARCH(","&amp;TRIM(TEXTSPLIT(GG171,","))&amp;",",","&amp;SUBSTITUTE(input_modality," ","")&amp;",")))&gt;0)),IF(GI171="",TRUE,IF(input_modality="",FALSE,SUMPRODUCT(--ISNUMBER(SEARCH(","&amp;TRIM(TEXTSPLIT(GI171,","))&amp;",",","&amp;SUBSTITUTE(input_modality," ","")&amp;",")))=COUNTA(TEXTSPLIT(GI171,",")))))</f>
        <v/>
      </c>
      <c r="JL171">
        <f>AND(IF(GK171="",TRUE,IF(input_organizer="",FALSE,SUMPRODUCT(--ISNUMBER(SEARCH(","&amp;TRIM(TEXTSPLIT(GK171,","))&amp;",",","&amp;SUBSTITUTE(input_organizer," ","")&amp;",")))&gt;0)),IF(GM171="",TRUE,IF(input_organizer="",FALSE,SUMPRODUCT(--ISNUMBER(SEARCH(","&amp;TRIM(TEXTSPLIT(GM171,","))&amp;",",","&amp;SUBSTITUTE(input_organizer," ","")&amp;",")))=COUNTA(TEXTSPLIT(GM171,",")))),IF(GO171="",TRUE,IF(input_organizer="",TRUE,SUMPRODUCT(--ISNUMBER(SEARCH(","&amp;TRIM(TEXTSPLIT(GO171,","))&amp;",",","&amp;SUBSTITUTE(input_organizer," ","")&amp;",")))=0)),IF(GQ171="",TRUE,IF(input_organizer="",FALSE,SUMPRODUCT(--ISNUMBER(SEARCH(","&amp;TRIM(TEXTSPLIT(GQ171,","))&amp;",",","&amp;SUBSTITUTE(input_organizer," ","")&amp;",")))&gt;0)),IF(GS171="",TRUE,IF(input_organizer="",FALSE,SUMPRODUCT(--ISNUMBER(SEARCH(","&amp;TRIM(TEXTSPLIT(GS171,","))&amp;",",","&amp;SUBSTITUTE(input_organizer," ","")&amp;",")))=COUNTA(TEXTSPLIT(GS171,",")))))</f>
        <v/>
      </c>
      <c r="JM171">
        <f>AND(IF(GU171="",TRUE,IF(input_profile_type="",FALSE,SUMPRODUCT(--ISNUMBER(SEARCH(","&amp;TRIM(TEXTSPLIT(GU171,","))&amp;",",","&amp;SUBSTITUTE(input_profile_type," ","")&amp;",")))&gt;0)),IF(GW171="",TRUE,IF(input_profile_type="",FALSE,SUMPRODUCT(--ISNUMBER(SEARCH(","&amp;TRIM(TEXTSPLIT(GW171,","))&amp;",",","&amp;SUBSTITUTE(input_profile_type," ","")&amp;",")))=COUNTA(TEXTSPLIT(GW171,",")))),IF(GY171="",TRUE,IF(input_profile_type="",TRUE,SUMPRODUCT(--ISNUMBER(SEARCH(","&amp;TRIM(TEXTSPLIT(GY171,","))&amp;",",","&amp;SUBSTITUTE(input_profile_type," ","")&amp;",")))=0)),IF(HA171="",TRUE,IF(input_profile_type="",FALSE,SUMPRODUCT(--ISNUMBER(SEARCH(","&amp;TRIM(TEXTSPLIT(HA171,","))&amp;",",","&amp;SUBSTITUTE(input_profile_type," ","")&amp;",")))&gt;0)),IF(HC171="",TRUE,IF(input_profile_type="",FALSE,SUMPRODUCT(--ISNUMBER(SEARCH(","&amp;TRIM(TEXTSPLIT(HC171,","))&amp;",",","&amp;SUBSTITUTE(input_profile_type," ","")&amp;",")))=COUNTA(TEXTSPLIT(HC171,",")))))</f>
        <v/>
      </c>
      <c r="JN171">
        <f>AND(IF(HE171="",TRUE,IF(input_program="",FALSE,SUMPRODUCT(--ISNUMBER(SEARCH(","&amp;TRIM(TEXTSPLIT(HE171,","))&amp;",",","&amp;SUBSTITUTE(input_program," ","")&amp;",")))&gt;0)),IF(HG171="",TRUE,IF(input_program="",FALSE,SUMPRODUCT(--ISNUMBER(SEARCH(","&amp;TRIM(TEXTSPLIT(HG171,","))&amp;",",","&amp;SUBSTITUTE(input_program," ","")&amp;",")))=COUNTA(TEXTSPLIT(HG171,",")))),IF(HI171="",TRUE,IF(input_program="",TRUE,SUMPRODUCT(--ISNUMBER(SEARCH(","&amp;TRIM(TEXTSPLIT(HI171,","))&amp;",",","&amp;SUBSTITUTE(input_program," ","")&amp;",")))=0)),IF(HK171="",TRUE,IF(input_program="",FALSE,SUMPRODUCT(--ISNUMBER(SEARCH(","&amp;TRIM(TEXTSPLIT(HK171,","))&amp;",",","&amp;SUBSTITUTE(input_program," ","")&amp;",")))&gt;0)),IF(HM171="",TRUE,IF(input_program="",FALSE,SUMPRODUCT(--ISNUMBER(SEARCH(","&amp;TRIM(TEXTSPLIT(HM171,","))&amp;",",","&amp;SUBSTITUTE(input_program," ","")&amp;",")))=COUNTA(TEXTSPLIT(HM171,",")))))</f>
        <v/>
      </c>
      <c r="JO171">
        <f>AND(IF(HO171="",TRUE,IF(input_story_categories="",FALSE,SUMPRODUCT(--ISNUMBER(SEARCH(","&amp;TRIM(TEXTSPLIT(HO171,","))&amp;",",","&amp;SUBSTITUTE(input_story_categories," ","")&amp;",")))&gt;0)),IF(HQ171="",TRUE,IF(input_story_categories="",FALSE,SUMPRODUCT(--ISNUMBER(SEARCH(","&amp;TRIM(TEXTSPLIT(HQ171,","))&amp;",",","&amp;SUBSTITUTE(input_story_categories," ","")&amp;",")))=COUNTA(TEXTSPLIT(HQ171,",")))),IF(HS171="",TRUE,IF(input_story_categories="",TRUE,SUMPRODUCT(--ISNUMBER(SEARCH(","&amp;TRIM(TEXTSPLIT(HS171,","))&amp;",",","&amp;SUBSTITUTE(input_story_categories," ","")&amp;",")))=0)),IF(HU171="",TRUE,IF(input_story_categories="",FALSE,SUMPRODUCT(--ISNUMBER(SEARCH(","&amp;TRIM(TEXTSPLIT(HU171,","))&amp;",",","&amp;SUBSTITUTE(input_story_categories," ","")&amp;",")))&gt;0)),IF(HW171="",TRUE,IF(input_story_categories="",FALSE,SUMPRODUCT(--ISNUMBER(SEARCH(","&amp;TRIM(TEXTSPLIT(HW171,","))&amp;",",","&amp;SUBSTITUTE(input_story_categories," ","")&amp;",")))=COUNTA(TEXTSPLIT(HW171,",")))))</f>
        <v/>
      </c>
      <c r="JP171">
        <f>AND(IF(HY171="",TRUE,IF(input_story_type="",FALSE,SUMPRODUCT(--ISNUMBER(SEARCH(","&amp;TRIM(TEXTSPLIT(HY171,","))&amp;",",","&amp;SUBSTITUTE(input_story_type," ","")&amp;",")))&gt;0)),IF(IA171="",TRUE,IF(input_story_type="",FALSE,SUMPRODUCT(--ISNUMBER(SEARCH(","&amp;TRIM(TEXTSPLIT(IA171,","))&amp;",",","&amp;SUBSTITUTE(input_story_type," ","")&amp;",")))=COUNTA(TEXTSPLIT(IA171,",")))),IF(IC171="",TRUE,IF(input_story_type="",TRUE,SUMPRODUCT(--ISNUMBER(SEARCH(","&amp;TRIM(TEXTSPLIT(IC171,","))&amp;",",","&amp;SUBSTITUTE(input_story_type," ","")&amp;",")))=0)),IF(IE171="",TRUE,IF(input_story_type="",FALSE,SUMPRODUCT(--ISNUMBER(SEARCH(","&amp;TRIM(TEXTSPLIT(IE171,","))&amp;",",","&amp;SUBSTITUTE(input_story_type," ","")&amp;",")))&gt;0)),IF(IG171="",TRUE,IF(input_story_type="",FALSE,SUMPRODUCT(--ISNUMBER(SEARCH(","&amp;TRIM(TEXTSPLIT(IG171,","))&amp;",",","&amp;SUBSTITUTE(input_story_type," ","")&amp;",")))=COUNTA(TEXTSPLIT(IG171,",")))))</f>
        <v/>
      </c>
      <c r="JQ171">
        <f>AND(IF(II171="",TRUE,IF(input_topics="",FALSE,SUMPRODUCT(--ISNUMBER(SEARCH(","&amp;TRIM(TEXTSPLIT(II171,","))&amp;",",","&amp;SUBSTITUTE(input_topics," ","")&amp;",")))&gt;0)),IF(IK171="",TRUE,IF(input_topics="",FALSE,SUMPRODUCT(--ISNUMBER(SEARCH(","&amp;TRIM(TEXTSPLIT(IK171,","))&amp;",",","&amp;SUBSTITUTE(input_topics," ","")&amp;",")))=COUNTA(TEXTSPLIT(IK171,",")))),IF(IM171="",TRUE,IF(input_topics="",TRUE,SUMPRODUCT(--ISNUMBER(SEARCH(","&amp;TRIM(TEXTSPLIT(IM171,","))&amp;",",","&amp;SUBSTITUTE(input_topics," ","")&amp;",")))=0)),IF(IO171="",TRUE,IF(input_topics="",FALSE,SUMPRODUCT(--ISNUMBER(SEARCH(","&amp;TRIM(TEXTSPLIT(IO171,","))&amp;",",","&amp;SUBSTITUTE(input_topics," ","")&amp;",")))&gt;0)),IF(IQ171="",TRUE,IF(input_topics="",FALSE,SUMPRODUCT(--ISNUMBER(SEARCH(","&amp;TRIM(TEXTSPLIT(IQ171,","))&amp;",",","&amp;SUBSTITUTE(input_topics," ","")&amp;",")))=COUNTA(TEXTSPLIT(IQ171,",")))))</f>
        <v/>
      </c>
    </row>
    <row r="172">
      <c r="A172" s="4">
        <f>IF(NOT(IS172),"Excluded",IF(AND(IT172,IU172,IV172,IW172,IX172,IY172,IZ172,JA172,JB172,JC172,JD172,JE172,JF172,JG172,JH172,JI172,JJ172,JK172,JL172,JM172,JN172,JO172,JP172,JQ172),IF(I172&gt;0,"Eligible but limited","Will appear"),"Excluded"))</f>
        <v/>
      </c>
      <c r="B172" s="4" t="inlineStr">
        <is>
          <t>Related stories</t>
        </is>
      </c>
      <c r="C172" s="4" t="inlineStr">
        <is>
          <t>/programs/emba</t>
        </is>
      </c>
      <c r="D172" s="4" t="inlineStr">
        <is>
          <t>/programs/emba</t>
        </is>
      </c>
      <c r="E172" s="4" t="n">
        <v>1</v>
      </c>
      <c r="F172" s="4" t="inlineStr">
        <is>
          <t>story</t>
        </is>
      </c>
      <c r="G172" s="4" t="inlineStr">
        <is>
          <t>stories_teaser_cards</t>
        </is>
      </c>
      <c r="H172" s="4" t="inlineStr">
        <is>
          <t>embed_blog</t>
        </is>
      </c>
      <c r="I172" s="4" t="n">
        <v>3</v>
      </c>
      <c r="J172" s="4" t="inlineStr">
        <is>
          <t>Section inferred</t>
        </is>
      </c>
      <c r="K172" s="4" t="inlineStr">
        <is>
          <t>Page placement</t>
        </is>
      </c>
      <c r="L172" s="4" t="inlineStr">
        <is>
          <t>Content type: story; Context uses Courses Context: MBA For Executives (928); Needs any Story Type: Blog (974); Limited to 3 item(s); Source: Section inferred</t>
        </is>
      </c>
      <c r="M172" t="inlineStr"/>
      <c r="N172" t="inlineStr"/>
      <c r="O172" t="inlineStr"/>
      <c r="P172" t="inlineStr"/>
      <c r="Q172" t="inlineStr"/>
      <c r="R172" t="inlineStr"/>
      <c r="S172" t="inlineStr"/>
      <c r="T172" t="inlineStr"/>
      <c r="U172" t="inlineStr"/>
      <c r="V172" t="inlineStr"/>
      <c r="W172" t="inlineStr"/>
      <c r="X172" t="inlineStr"/>
      <c r="Y172" t="inlineStr"/>
      <c r="Z172" t="inlineStr"/>
      <c r="AA172" t="inlineStr"/>
      <c r="AB172" t="inlineStr"/>
      <c r="AC172" t="inlineStr"/>
      <c r="AD172" t="inlineStr"/>
      <c r="AE172" t="inlineStr"/>
      <c r="AF172" t="inlineStr"/>
      <c r="AG172" t="inlineStr"/>
      <c r="AH172" t="inlineStr"/>
      <c r="AI172" t="inlineStr"/>
      <c r="AJ172" t="inlineStr"/>
      <c r="AK172" t="inlineStr"/>
      <c r="AL172" t="inlineStr"/>
      <c r="AM172" t="inlineStr"/>
      <c r="AN172" t="inlineStr"/>
      <c r="AO172" t="inlineStr"/>
      <c r="AP172" t="inlineStr"/>
      <c r="AQ172" t="inlineStr"/>
      <c r="AR172" t="inlineStr"/>
      <c r="AS172" t="inlineStr"/>
      <c r="AT172" t="inlineStr"/>
      <c r="AU172" t="inlineStr"/>
      <c r="AV172" t="inlineStr"/>
      <c r="AW172" t="inlineStr"/>
      <c r="AX172" t="inlineStr"/>
      <c r="AY172" t="inlineStr"/>
      <c r="AZ172" t="inlineStr"/>
      <c r="BA172" t="inlineStr"/>
      <c r="BB172" t="inlineStr"/>
      <c r="BC172" t="inlineStr"/>
      <c r="BD172" t="inlineStr"/>
      <c r="BE172" t="inlineStr"/>
      <c r="BF172" t="inlineStr"/>
      <c r="BG172" t="inlineStr"/>
      <c r="BH172" t="inlineStr"/>
      <c r="BI172" t="inlineStr"/>
      <c r="BJ172" t="inlineStr"/>
      <c r="BK172" t="inlineStr"/>
      <c r="BL172" t="inlineStr"/>
      <c r="BM172" t="inlineStr"/>
      <c r="BN172" t="inlineStr"/>
      <c r="BO172" t="inlineStr"/>
      <c r="BP172" t="inlineStr"/>
      <c r="BQ172" t="inlineStr">
        <is>
          <t>928</t>
        </is>
      </c>
      <c r="BR172" t="inlineStr">
        <is>
          <t>MBA For Executives (928)</t>
        </is>
      </c>
      <c r="BS172" t="inlineStr"/>
      <c r="BT172" t="inlineStr"/>
      <c r="BU172" t="inlineStr"/>
      <c r="BV172" t="inlineStr"/>
      <c r="BW172" t="inlineStr"/>
      <c r="BX172" t="inlineStr"/>
      <c r="BY172" t="inlineStr"/>
      <c r="BZ172" t="inlineStr"/>
      <c r="CA172" t="inlineStr"/>
      <c r="CB172" t="inlineStr"/>
      <c r="CC172" t="inlineStr"/>
      <c r="CD172" t="inlineStr"/>
      <c r="CE172" t="inlineStr"/>
      <c r="CF172" t="inlineStr"/>
      <c r="CG172" t="inlineStr"/>
      <c r="CH172" t="inlineStr"/>
      <c r="CI172" t="inlineStr"/>
      <c r="CJ172" t="inlineStr"/>
      <c r="CK172" t="inlineStr"/>
      <c r="CL172" t="inlineStr"/>
      <c r="CM172" t="inlineStr"/>
      <c r="CN172" t="inlineStr"/>
      <c r="CO172" t="inlineStr"/>
      <c r="CP172" t="inlineStr"/>
      <c r="CQ172" t="inlineStr"/>
      <c r="CR172" t="inlineStr"/>
      <c r="CS172" t="inlineStr"/>
      <c r="CT172" t="inlineStr"/>
      <c r="CU172" t="inlineStr"/>
      <c r="CV172" t="inlineStr"/>
      <c r="CW172" t="inlineStr"/>
      <c r="CX172" t="inlineStr"/>
      <c r="CY172" t="inlineStr"/>
      <c r="CZ172" t="inlineStr"/>
      <c r="DA172" t="inlineStr"/>
      <c r="DB172" t="inlineStr"/>
      <c r="DC172" t="inlineStr"/>
      <c r="DD172" t="inlineStr"/>
      <c r="DE172" t="inlineStr"/>
      <c r="DF172" t="inlineStr"/>
      <c r="DG172" t="inlineStr"/>
      <c r="DH172" t="inlineStr"/>
      <c r="DI172" t="inlineStr"/>
      <c r="DJ172" t="inlineStr"/>
      <c r="DK172" t="inlineStr"/>
      <c r="DL172" t="inlineStr"/>
      <c r="DM172" t="inlineStr"/>
      <c r="DN172" t="inlineStr"/>
      <c r="DO172" t="inlineStr"/>
      <c r="DP172" t="inlineStr"/>
      <c r="DQ172" t="inlineStr"/>
      <c r="DR172" t="inlineStr"/>
      <c r="DS172" t="inlineStr"/>
      <c r="DT172" t="inlineStr"/>
      <c r="DU172" t="inlineStr"/>
      <c r="DV172" t="inlineStr"/>
      <c r="DW172" t="inlineStr"/>
      <c r="DX172" t="inlineStr"/>
      <c r="DY172" t="inlineStr"/>
      <c r="DZ172" t="inlineStr"/>
      <c r="EA172" t="inlineStr"/>
      <c r="EB172" t="inlineStr"/>
      <c r="EC172" t="inlineStr"/>
      <c r="ED172" t="inlineStr"/>
      <c r="EE172" t="inlineStr"/>
      <c r="EF172" t="inlineStr"/>
      <c r="EG172" t="inlineStr"/>
      <c r="EH172" t="inlineStr"/>
      <c r="EI172" t="inlineStr"/>
      <c r="EJ172" t="inlineStr"/>
      <c r="EK172" t="inlineStr"/>
      <c r="EL172" t="inlineStr"/>
      <c r="EM172" t="inlineStr"/>
      <c r="EN172" t="inlineStr"/>
      <c r="EO172" t="inlineStr"/>
      <c r="EP172" t="inlineStr"/>
      <c r="EQ172" t="inlineStr"/>
      <c r="ER172" t="inlineStr"/>
      <c r="ES172" t="inlineStr"/>
      <c r="ET172" t="inlineStr"/>
      <c r="EU172" t="inlineStr"/>
      <c r="EV172" t="inlineStr"/>
      <c r="EW172" t="inlineStr"/>
      <c r="EX172" t="inlineStr"/>
      <c r="EY172" t="inlineStr"/>
      <c r="EZ172" t="inlineStr"/>
      <c r="FA172" t="inlineStr"/>
      <c r="FB172" t="inlineStr"/>
      <c r="FC172" t="inlineStr"/>
      <c r="FD172" t="inlineStr"/>
      <c r="FE172" t="inlineStr"/>
      <c r="FF172" t="inlineStr"/>
      <c r="FG172" t="inlineStr"/>
      <c r="FH172" t="inlineStr"/>
      <c r="FI172" t="inlineStr"/>
      <c r="FJ172" t="inlineStr"/>
      <c r="FK172" t="inlineStr"/>
      <c r="FL172" t="inlineStr"/>
      <c r="FM172" t="inlineStr"/>
      <c r="FN172" t="inlineStr"/>
      <c r="FO172" t="inlineStr"/>
      <c r="FP172" t="inlineStr"/>
      <c r="FQ172" t="inlineStr"/>
      <c r="FR172" t="inlineStr"/>
      <c r="FS172" t="inlineStr"/>
      <c r="FT172" t="inlineStr"/>
      <c r="FU172" t="inlineStr"/>
      <c r="FV172" t="inlineStr"/>
      <c r="FW172" t="inlineStr"/>
      <c r="FX172" t="inlineStr"/>
      <c r="FY172" t="inlineStr"/>
      <c r="FZ172" t="inlineStr"/>
      <c r="GA172" t="inlineStr"/>
      <c r="GB172" t="inlineStr"/>
      <c r="GC172" t="inlineStr"/>
      <c r="GD172" t="inlineStr"/>
      <c r="GE172" t="inlineStr"/>
      <c r="GF172" t="inlineStr"/>
      <c r="GG172" t="inlineStr"/>
      <c r="GH172" t="inlineStr"/>
      <c r="GI172" t="inlineStr"/>
      <c r="GJ172" t="inlineStr"/>
      <c r="GK172" t="inlineStr"/>
      <c r="GL172" t="inlineStr"/>
      <c r="GM172" t="inlineStr"/>
      <c r="GN172" t="inlineStr"/>
      <c r="GO172" t="inlineStr"/>
      <c r="GP172" t="inlineStr"/>
      <c r="GQ172" t="inlineStr"/>
      <c r="GR172" t="inlineStr"/>
      <c r="GS172" t="inlineStr"/>
      <c r="GT172" t="inlineStr"/>
      <c r="GU172" t="inlineStr"/>
      <c r="GV172" t="inlineStr"/>
      <c r="GW172" t="inlineStr"/>
      <c r="GX172" t="inlineStr"/>
      <c r="GY172" t="inlineStr"/>
      <c r="GZ172" t="inlineStr"/>
      <c r="HA172" t="inlineStr"/>
      <c r="HB172" t="inlineStr"/>
      <c r="HC172" t="inlineStr"/>
      <c r="HD172" t="inlineStr"/>
      <c r="HE172" t="inlineStr"/>
      <c r="HF172" t="inlineStr"/>
      <c r="HG172" t="inlineStr"/>
      <c r="HH172" t="inlineStr"/>
      <c r="HI172" t="inlineStr"/>
      <c r="HJ172" t="inlineStr"/>
      <c r="HK172" t="inlineStr"/>
      <c r="HL172" t="inlineStr"/>
      <c r="HM172" t="inlineStr"/>
      <c r="HN172" t="inlineStr"/>
      <c r="HO172" t="inlineStr"/>
      <c r="HP172" t="inlineStr"/>
      <c r="HQ172" t="inlineStr"/>
      <c r="HR172" t="inlineStr"/>
      <c r="HS172" t="inlineStr"/>
      <c r="HT172" t="inlineStr"/>
      <c r="HU172" t="inlineStr"/>
      <c r="HV172" t="inlineStr"/>
      <c r="HW172" t="inlineStr"/>
      <c r="HX172" t="inlineStr"/>
      <c r="HY172" t="inlineStr">
        <is>
          <t>974</t>
        </is>
      </c>
      <c r="HZ172" t="inlineStr">
        <is>
          <t>Blog (974)</t>
        </is>
      </c>
      <c r="IA172" t="inlineStr"/>
      <c r="IB172" t="inlineStr"/>
      <c r="IC172" t="inlineStr"/>
      <c r="ID172" t="inlineStr"/>
      <c r="IE172" t="inlineStr"/>
      <c r="IF172" t="inlineStr"/>
      <c r="IG172" t="inlineStr"/>
      <c r="IH172" t="inlineStr"/>
      <c r="II172" t="inlineStr"/>
      <c r="IJ172" t="inlineStr"/>
      <c r="IK172" t="inlineStr"/>
      <c r="IL172" t="inlineStr"/>
      <c r="IM172" t="inlineStr"/>
      <c r="IN172" t="inlineStr"/>
      <c r="IO172" t="inlineStr"/>
      <c r="IP172" t="inlineStr"/>
      <c r="IQ172" t="inlineStr"/>
      <c r="IR172" t="inlineStr"/>
      <c r="IS172">
        <f>IF(input_content_type="",FALSE,ISNUMBER(SEARCH(","&amp;LOWER(input_content_type)&amp;",",","&amp;LOWER(F172)&amp;",")))</f>
        <v/>
      </c>
      <c r="IT172">
        <f>AND(IF(M172="",TRUE,IF(input_affiliations="",FALSE,SUMPRODUCT(--ISNUMBER(SEARCH(","&amp;TRIM(TEXTSPLIT(M172,","))&amp;",",","&amp;SUBSTITUTE(input_affiliations," ","")&amp;",")))&gt;0)),IF(O172="",TRUE,IF(input_affiliations="",FALSE,SUMPRODUCT(--ISNUMBER(SEARCH(","&amp;TRIM(TEXTSPLIT(O172,","))&amp;",",","&amp;SUBSTITUTE(input_affiliations," ","")&amp;",")))=COUNTA(TEXTSPLIT(O172,",")))),IF(Q172="",TRUE,IF(input_affiliations="",TRUE,SUMPRODUCT(--ISNUMBER(SEARCH(","&amp;TRIM(TEXTSPLIT(Q172,","))&amp;",",","&amp;SUBSTITUTE(input_affiliations," ","")&amp;",")))=0)),IF(S172="",TRUE,IF(input_affiliations="",FALSE,SUMPRODUCT(--ISNUMBER(SEARCH(","&amp;TRIM(TEXTSPLIT(S172,","))&amp;",",","&amp;SUBSTITUTE(input_affiliations," ","")&amp;",")))&gt;0)),IF(U172="",TRUE,IF(input_affiliations="",FALSE,SUMPRODUCT(--ISNUMBER(SEARCH(","&amp;TRIM(TEXTSPLIT(U172,","))&amp;",",","&amp;SUBSTITUTE(input_affiliations," ","")&amp;",")))=COUNTA(TEXTSPLIT(U172,",")))))</f>
        <v/>
      </c>
      <c r="IU172">
        <f>AND(IF(W172="",TRUE,IF(input_announcement_category="",FALSE,SUMPRODUCT(--ISNUMBER(SEARCH(","&amp;TRIM(TEXTSPLIT(W172,","))&amp;",",","&amp;SUBSTITUTE(input_announcement_category," ","")&amp;",")))&gt;0)),IF(Y172="",TRUE,IF(input_announcement_category="",FALSE,SUMPRODUCT(--ISNUMBER(SEARCH(","&amp;TRIM(TEXTSPLIT(Y172,","))&amp;",",","&amp;SUBSTITUTE(input_announcement_category," ","")&amp;",")))=COUNTA(TEXTSPLIT(Y172,",")))),IF(AA172="",TRUE,IF(input_announcement_category="",TRUE,SUMPRODUCT(--ISNUMBER(SEARCH(","&amp;TRIM(TEXTSPLIT(AA172,","))&amp;",",","&amp;SUBSTITUTE(input_announcement_category," ","")&amp;",")))=0)),IF(AC172="",TRUE,IF(input_announcement_category="",FALSE,SUMPRODUCT(--ISNUMBER(SEARCH(","&amp;TRIM(TEXTSPLIT(AC172,","))&amp;",",","&amp;SUBSTITUTE(input_announcement_category," ","")&amp;",")))&gt;0)),IF(AE172="",TRUE,IF(input_announcement_category="",FALSE,SUMPRODUCT(--ISNUMBER(SEARCH(","&amp;TRIM(TEXTSPLIT(AE172,","))&amp;",",","&amp;SUBSTITUTE(input_announcement_category," ","")&amp;",")))=COUNTA(TEXTSPLIT(AE172,",")))))</f>
        <v/>
      </c>
      <c r="IV172">
        <f>AND(IF(AG172="",TRUE,IF(input_area_of_focus="",FALSE,SUMPRODUCT(--ISNUMBER(SEARCH(","&amp;TRIM(TEXTSPLIT(AG172,","))&amp;",",","&amp;SUBSTITUTE(input_area_of_focus," ","")&amp;",")))&gt;0)),IF(AI172="",TRUE,IF(input_area_of_focus="",FALSE,SUMPRODUCT(--ISNUMBER(SEARCH(","&amp;TRIM(TEXTSPLIT(AI172,","))&amp;",",","&amp;SUBSTITUTE(input_area_of_focus," ","")&amp;",")))=COUNTA(TEXTSPLIT(AI172,",")))),IF(AK172="",TRUE,IF(input_area_of_focus="",TRUE,SUMPRODUCT(--ISNUMBER(SEARCH(","&amp;TRIM(TEXTSPLIT(AK172,","))&amp;",",","&amp;SUBSTITUTE(input_area_of_focus," ","")&amp;",")))=0)),IF(AM172="",TRUE,IF(input_area_of_focus="",FALSE,SUMPRODUCT(--ISNUMBER(SEARCH(","&amp;TRIM(TEXTSPLIT(AM172,","))&amp;",",","&amp;SUBSTITUTE(input_area_of_focus," ","")&amp;",")))&gt;0)),IF(AO172="",TRUE,IF(input_area_of_focus="",FALSE,SUMPRODUCT(--ISNUMBER(SEARCH(","&amp;TRIM(TEXTSPLIT(AO172,","))&amp;",",","&amp;SUBSTITUTE(input_area_of_focus," ","")&amp;",")))=COUNTA(TEXTSPLIT(AO172,",")))))</f>
        <v/>
      </c>
      <c r="IW172">
        <f>AND(IF(AQ172="",TRUE,IF(input_audience="",FALSE,SUMPRODUCT(--ISNUMBER(SEARCH(","&amp;TRIM(TEXTSPLIT(AQ172,","))&amp;",",","&amp;SUBSTITUTE(input_audience," ","")&amp;",")))&gt;0)),IF(AS172="",TRUE,IF(input_audience="",FALSE,SUMPRODUCT(--ISNUMBER(SEARCH(","&amp;TRIM(TEXTSPLIT(AS172,","))&amp;",",","&amp;SUBSTITUTE(input_audience," ","")&amp;",")))=COUNTA(TEXTSPLIT(AS172,",")))),IF(AU172="",TRUE,IF(input_audience="",TRUE,SUMPRODUCT(--ISNUMBER(SEARCH(","&amp;TRIM(TEXTSPLIT(AU172,","))&amp;",",","&amp;SUBSTITUTE(input_audience," ","")&amp;",")))=0)),IF(AW172="",TRUE,IF(input_audience="",FALSE,SUMPRODUCT(--ISNUMBER(SEARCH(","&amp;TRIM(TEXTSPLIT(AW172,","))&amp;",",","&amp;SUBSTITUTE(input_audience," ","")&amp;",")))&gt;0)),IF(AY172="",TRUE,IF(input_audience="",FALSE,SUMPRODUCT(--ISNUMBER(SEARCH(","&amp;TRIM(TEXTSPLIT(AY172,","))&amp;",",","&amp;SUBSTITUTE(input_audience," ","")&amp;",")))=COUNTA(TEXTSPLIT(AY172,",")))))</f>
        <v/>
      </c>
      <c r="IX172">
        <f>AND(IF(BA172="",TRUE,IF(input_challenge_opportunities="",FALSE,SUMPRODUCT(--ISNUMBER(SEARCH(","&amp;TRIM(TEXTSPLIT(BA172,","))&amp;",",","&amp;SUBSTITUTE(input_challenge_opportunities," ","")&amp;",")))&gt;0)),IF(BC172="",TRUE,IF(input_challenge_opportunities="",FALSE,SUMPRODUCT(--ISNUMBER(SEARCH(","&amp;TRIM(TEXTSPLIT(BC172,","))&amp;",",","&amp;SUBSTITUTE(input_challenge_opportunities," ","")&amp;",")))=COUNTA(TEXTSPLIT(BC172,",")))),IF(BE172="",TRUE,IF(input_challenge_opportunities="",TRUE,SUMPRODUCT(--ISNUMBER(SEARCH(","&amp;TRIM(TEXTSPLIT(BE172,","))&amp;",",","&amp;SUBSTITUTE(input_challenge_opportunities," ","")&amp;",")))=0)),IF(BG172="",TRUE,IF(input_challenge_opportunities="",FALSE,SUMPRODUCT(--ISNUMBER(SEARCH(","&amp;TRIM(TEXTSPLIT(BG172,","))&amp;",",","&amp;SUBSTITUTE(input_challenge_opportunities," ","")&amp;",")))&gt;0)),IF(BI172="",TRUE,IF(input_challenge_opportunities="",FALSE,SUMPRODUCT(--ISNUMBER(SEARCH(","&amp;TRIM(TEXTSPLIT(BI172,","))&amp;",",","&amp;SUBSTITUTE(input_challenge_opportunities," ","")&amp;",")))=COUNTA(TEXTSPLIT(BI172,",")))))</f>
        <v/>
      </c>
      <c r="IY172">
        <f>AND(IF(BK172="",TRUE,IF(input_context="",FALSE,SUMPRODUCT(--ISNUMBER(SEARCH(","&amp;TRIM(TEXTSPLIT(BK172,","))&amp;",",","&amp;SUBSTITUTE(input_context," ","")&amp;",")))&gt;0)),IF(BM172="",TRUE,IF(input_context="",FALSE,SUMPRODUCT(--ISNUMBER(SEARCH(","&amp;TRIM(TEXTSPLIT(BM172,","))&amp;",",","&amp;SUBSTITUTE(input_context," ","")&amp;",")))=COUNTA(TEXTSPLIT(BM172,",")))),IF(BO172="",TRUE,IF(input_context="",TRUE,SUMPRODUCT(--ISNUMBER(SEARCH(","&amp;TRIM(TEXTSPLIT(BO172,","))&amp;",",","&amp;SUBSTITUTE(input_context," ","")&amp;",")))=0)),IF(BQ172="",TRUE,IF(input_context="",FALSE,SUMPRODUCT(--ISNUMBER(SEARCH(","&amp;TRIM(TEXTSPLIT(BQ172,","))&amp;",",","&amp;SUBSTITUTE(input_context," ","")&amp;",")))&gt;0)),IF(BS172="",TRUE,IF(input_context="",FALSE,SUMPRODUCT(--ISNUMBER(SEARCH(","&amp;TRIM(TEXTSPLIT(BS172,","))&amp;",",","&amp;SUBSTITUTE(input_context," ","")&amp;",")))=COUNTA(TEXTSPLIT(BS172,",")))))</f>
        <v/>
      </c>
      <c r="IZ172">
        <f>AND(IF(BU172="",TRUE,IF(input_enews_announcement_type="",FALSE,SUMPRODUCT(--ISNUMBER(SEARCH(","&amp;TRIM(TEXTSPLIT(BU172,","))&amp;",",","&amp;SUBSTITUTE(input_enews_announcement_type," ","")&amp;",")))&gt;0)),IF(BW172="",TRUE,IF(input_enews_announcement_type="",FALSE,SUMPRODUCT(--ISNUMBER(SEARCH(","&amp;TRIM(TEXTSPLIT(BW172,","))&amp;",",","&amp;SUBSTITUTE(input_enews_announcement_type," ","")&amp;",")))=COUNTA(TEXTSPLIT(BW172,",")))),IF(BY172="",TRUE,IF(input_enews_announcement_type="",TRUE,SUMPRODUCT(--ISNUMBER(SEARCH(","&amp;TRIM(TEXTSPLIT(BY172,","))&amp;",",","&amp;SUBSTITUTE(input_enews_announcement_type," ","")&amp;",")))=0)),IF(CA172="",TRUE,IF(input_enews_announcement_type="",FALSE,SUMPRODUCT(--ISNUMBER(SEARCH(","&amp;TRIM(TEXTSPLIT(CA172,","))&amp;",",","&amp;SUBSTITUTE(input_enews_announcement_type," ","")&amp;",")))&gt;0)),IF(CC172="",TRUE,IF(input_enews_announcement_type="",FALSE,SUMPRODUCT(--ISNUMBER(SEARCH(","&amp;TRIM(TEXTSPLIT(CC172,","))&amp;",",","&amp;SUBSTITUTE(input_enews_announcement_type," ","")&amp;",")))=COUNTA(TEXTSPLIT(CC172,",")))))</f>
        <v/>
      </c>
      <c r="JA172">
        <f>AND(IF(CE172="",TRUE,IF(input_enews_audience="",FALSE,SUMPRODUCT(--ISNUMBER(SEARCH(","&amp;TRIM(TEXTSPLIT(CE172,","))&amp;",",","&amp;SUBSTITUTE(input_enews_audience," ","")&amp;",")))&gt;0)),IF(CG172="",TRUE,IF(input_enews_audience="",FALSE,SUMPRODUCT(--ISNUMBER(SEARCH(","&amp;TRIM(TEXTSPLIT(CG172,","))&amp;",",","&amp;SUBSTITUTE(input_enews_audience," ","")&amp;",")))=COUNTA(TEXTSPLIT(CG172,",")))),IF(CI172="",TRUE,IF(input_enews_audience="",TRUE,SUMPRODUCT(--ISNUMBER(SEARCH(","&amp;TRIM(TEXTSPLIT(CI172,","))&amp;",",","&amp;SUBSTITUTE(input_enews_audience," ","")&amp;",")))=0)),IF(CK172="",TRUE,IF(input_enews_audience="",FALSE,SUMPRODUCT(--ISNUMBER(SEARCH(","&amp;TRIM(TEXTSPLIT(CK172,","))&amp;",",","&amp;SUBSTITUTE(input_enews_audience," ","")&amp;",")))&gt;0)),IF(CM172="",TRUE,IF(input_enews_audience="",FALSE,SUMPRODUCT(--ISNUMBER(SEARCH(","&amp;TRIM(TEXTSPLIT(CM172,","))&amp;",",","&amp;SUBSTITUTE(input_enews_audience," ","")&amp;",")))=COUNTA(TEXTSPLIT(CM172,",")))))</f>
        <v/>
      </c>
      <c r="JB172">
        <f>AND(IF(CO172="",TRUE,IF(input_event_location="",FALSE,SUMPRODUCT(--ISNUMBER(SEARCH(","&amp;TRIM(TEXTSPLIT(CO172,","))&amp;",",","&amp;SUBSTITUTE(input_event_location," ","")&amp;",")))&gt;0)),IF(CQ172="",TRUE,IF(input_event_location="",FALSE,SUMPRODUCT(--ISNUMBER(SEARCH(","&amp;TRIM(TEXTSPLIT(CQ172,","))&amp;",",","&amp;SUBSTITUTE(input_event_location," ","")&amp;",")))=COUNTA(TEXTSPLIT(CQ172,",")))),IF(CS172="",TRUE,IF(input_event_location="",TRUE,SUMPRODUCT(--ISNUMBER(SEARCH(","&amp;TRIM(TEXTSPLIT(CS172,","))&amp;",",","&amp;SUBSTITUTE(input_event_location," ","")&amp;",")))=0)),IF(CU172="",TRUE,IF(input_event_location="",FALSE,SUMPRODUCT(--ISNUMBER(SEARCH(","&amp;TRIM(TEXTSPLIT(CU172,","))&amp;",",","&amp;SUBSTITUTE(input_event_location," ","")&amp;",")))&gt;0)),IF(CW172="",TRUE,IF(input_event_location="",FALSE,SUMPRODUCT(--ISNUMBER(SEARCH(","&amp;TRIM(TEXTSPLIT(CW172,","))&amp;",",","&amp;SUBSTITUTE(input_event_location," ","")&amp;",")))=COUNTA(TEXTSPLIT(CW172,",")))))</f>
        <v/>
      </c>
      <c r="JC172">
        <f>AND(IF(CY172="",TRUE,IF(input_event_type="",FALSE,SUMPRODUCT(--ISNUMBER(SEARCH(","&amp;TRIM(TEXTSPLIT(CY172,","))&amp;",",","&amp;SUBSTITUTE(input_event_type," ","")&amp;",")))&gt;0)),IF(DA172="",TRUE,IF(input_event_type="",FALSE,SUMPRODUCT(--ISNUMBER(SEARCH(","&amp;TRIM(TEXTSPLIT(DA172,","))&amp;",",","&amp;SUBSTITUTE(input_event_type," ","")&amp;",")))=COUNTA(TEXTSPLIT(DA172,",")))),IF(DC172="",TRUE,IF(input_event_type="",TRUE,SUMPRODUCT(--ISNUMBER(SEARCH(","&amp;TRIM(TEXTSPLIT(DC172,","))&amp;",",","&amp;SUBSTITUTE(input_event_type," ","")&amp;",")))=0)),IF(DE172="",TRUE,IF(input_event_type="",FALSE,SUMPRODUCT(--ISNUMBER(SEARCH(","&amp;TRIM(TEXTSPLIT(DE172,","))&amp;",",","&amp;SUBSTITUTE(input_event_type," ","")&amp;",")))&gt;0)),IF(DG172="",TRUE,IF(input_event_type="",FALSE,SUMPRODUCT(--ISNUMBER(SEARCH(","&amp;TRIM(TEXTSPLIT(DG172,","))&amp;",",","&amp;SUBSTITUTE(input_event_type," ","")&amp;",")))=COUNTA(TEXTSPLIT(DG172,",")))))</f>
        <v/>
      </c>
      <c r="JD172">
        <f>AND(IF(DI172="",TRUE,IF(input_executive_education_focus="",FALSE,SUMPRODUCT(--ISNUMBER(SEARCH(","&amp;TRIM(TEXTSPLIT(DI172,","))&amp;",",","&amp;SUBSTITUTE(input_executive_education_focus," ","")&amp;",")))&gt;0)),IF(DK172="",TRUE,IF(input_executive_education_focus="",FALSE,SUMPRODUCT(--ISNUMBER(SEARCH(","&amp;TRIM(TEXTSPLIT(DK172,","))&amp;",",","&amp;SUBSTITUTE(input_executive_education_focus," ","")&amp;",")))=COUNTA(TEXTSPLIT(DK172,",")))),IF(DM172="",TRUE,IF(input_executive_education_focus="",TRUE,SUMPRODUCT(--ISNUMBER(SEARCH(","&amp;TRIM(TEXTSPLIT(DM172,","))&amp;",",","&amp;SUBSTITUTE(input_executive_education_focus," ","")&amp;",")))=0)),IF(DO172="",TRUE,IF(input_executive_education_focus="",FALSE,SUMPRODUCT(--ISNUMBER(SEARCH(","&amp;TRIM(TEXTSPLIT(DO172,","))&amp;",",","&amp;SUBSTITUTE(input_executive_education_focus," ","")&amp;",")))&gt;0)),IF(DQ172="",TRUE,IF(input_executive_education_focus="",FALSE,SUMPRODUCT(--ISNUMBER(SEARCH(","&amp;TRIM(TEXTSPLIT(DQ172,","))&amp;",",","&amp;SUBSTITUTE(input_executive_education_focus," ","")&amp;",")))=COUNTA(TEXTSPLIT(DQ172,",")))))</f>
        <v/>
      </c>
      <c r="JE172">
        <f>AND(IF(DS172="",TRUE,IF(input_faculty_category="",FALSE,SUMPRODUCT(--ISNUMBER(SEARCH(","&amp;TRIM(TEXTSPLIT(DS172,","))&amp;",",","&amp;SUBSTITUTE(input_faculty_category," ","")&amp;",")))&gt;0)),IF(DU172="",TRUE,IF(input_faculty_category="",FALSE,SUMPRODUCT(--ISNUMBER(SEARCH(","&amp;TRIM(TEXTSPLIT(DU172,","))&amp;",",","&amp;SUBSTITUTE(input_faculty_category," ","")&amp;",")))=COUNTA(TEXTSPLIT(DU172,",")))),IF(DW172="",TRUE,IF(input_faculty_category="",TRUE,SUMPRODUCT(--ISNUMBER(SEARCH(","&amp;TRIM(TEXTSPLIT(DW172,","))&amp;",",","&amp;SUBSTITUTE(input_faculty_category," ","")&amp;",")))=0)),IF(DY172="",TRUE,IF(input_faculty_category="",FALSE,SUMPRODUCT(--ISNUMBER(SEARCH(","&amp;TRIM(TEXTSPLIT(DY172,","))&amp;",",","&amp;SUBSTITUTE(input_faculty_category," ","")&amp;",")))&gt;0)),IF(EA172="",TRUE,IF(input_faculty_category="",FALSE,SUMPRODUCT(--ISNUMBER(SEARCH(","&amp;TRIM(TEXTSPLIT(EA172,","))&amp;",",","&amp;SUBSTITUTE(input_faculty_category," ","")&amp;",")))=COUNTA(TEXTSPLIT(EA172,",")))))</f>
        <v/>
      </c>
      <c r="JF172">
        <f>AND(IF(EC172="",TRUE,IF(input_faculty_discipline="",FALSE,SUMPRODUCT(--ISNUMBER(SEARCH(","&amp;TRIM(TEXTSPLIT(EC172,","))&amp;",",","&amp;SUBSTITUTE(input_faculty_discipline," ","")&amp;",")))&gt;0)),IF(EE172="",TRUE,IF(input_faculty_discipline="",FALSE,SUMPRODUCT(--ISNUMBER(SEARCH(","&amp;TRIM(TEXTSPLIT(EE172,","))&amp;",",","&amp;SUBSTITUTE(input_faculty_discipline," ","")&amp;",")))=COUNTA(TEXTSPLIT(EE172,",")))),IF(EG172="",TRUE,IF(input_faculty_discipline="",TRUE,SUMPRODUCT(--ISNUMBER(SEARCH(","&amp;TRIM(TEXTSPLIT(EG172,","))&amp;",",","&amp;SUBSTITUTE(input_faculty_discipline," ","")&amp;",")))=0)),IF(EI172="",TRUE,IF(input_faculty_discipline="",FALSE,SUMPRODUCT(--ISNUMBER(SEARCH(","&amp;TRIM(TEXTSPLIT(EI172,","))&amp;",",","&amp;SUBSTITUTE(input_faculty_discipline," ","")&amp;",")))&gt;0)),IF(EK172="",TRUE,IF(input_faculty_discipline="",FALSE,SUMPRODUCT(--ISNUMBER(SEARCH(","&amp;TRIM(TEXTSPLIT(EK172,","))&amp;",",","&amp;SUBSTITUTE(input_faculty_discipline," ","")&amp;",")))=COUNTA(TEXTSPLIT(EK172,",")))))</f>
        <v/>
      </c>
      <c r="JG172">
        <f>AND(IF(EM172="",TRUE,IF(input_faculty_expertise="",FALSE,SUMPRODUCT(--ISNUMBER(SEARCH(","&amp;TRIM(TEXTSPLIT(EM172,","))&amp;",",","&amp;SUBSTITUTE(input_faculty_expertise," ","")&amp;",")))&gt;0)),IF(EO172="",TRUE,IF(input_faculty_expertise="",FALSE,SUMPRODUCT(--ISNUMBER(SEARCH(","&amp;TRIM(TEXTSPLIT(EO172,","))&amp;",",","&amp;SUBSTITUTE(input_faculty_expertise," ","")&amp;",")))=COUNTA(TEXTSPLIT(EO172,",")))),IF(EQ172="",TRUE,IF(input_faculty_expertise="",TRUE,SUMPRODUCT(--ISNUMBER(SEARCH(","&amp;TRIM(TEXTSPLIT(EQ172,","))&amp;",",","&amp;SUBSTITUTE(input_faculty_expertise," ","")&amp;",")))=0)),IF(ES172="",TRUE,IF(input_faculty_expertise="",FALSE,SUMPRODUCT(--ISNUMBER(SEARCH(","&amp;TRIM(TEXTSPLIT(ES172,","))&amp;",",","&amp;SUBSTITUTE(input_faculty_expertise," ","")&amp;",")))&gt;0)),IF(EU172="",TRUE,IF(input_faculty_expertise="",FALSE,SUMPRODUCT(--ISNUMBER(SEARCH(","&amp;TRIM(TEXTSPLIT(EU172,","))&amp;",",","&amp;SUBSTITUTE(input_faculty_expertise," ","")&amp;",")))=COUNTA(TEXTSPLIT(EU172,",")))))</f>
        <v/>
      </c>
      <c r="JH172">
        <f>AND(IF(EW172="",TRUE,IF(input_global_network_school="",FALSE,SUMPRODUCT(--ISNUMBER(SEARCH(","&amp;TRIM(TEXTSPLIT(EW172,","))&amp;",",","&amp;SUBSTITUTE(input_global_network_school," ","")&amp;",")))&gt;0)),IF(EY172="",TRUE,IF(input_global_network_school="",FALSE,SUMPRODUCT(--ISNUMBER(SEARCH(","&amp;TRIM(TEXTSPLIT(EY172,","))&amp;",",","&amp;SUBSTITUTE(input_global_network_school," ","")&amp;",")))=COUNTA(TEXTSPLIT(EY172,",")))),IF(FA172="",TRUE,IF(input_global_network_school="",TRUE,SUMPRODUCT(--ISNUMBER(SEARCH(","&amp;TRIM(TEXTSPLIT(FA172,","))&amp;",",","&amp;SUBSTITUTE(input_global_network_school," ","")&amp;",")))=0)),IF(FC172="",TRUE,IF(input_global_network_school="",FALSE,SUMPRODUCT(--ISNUMBER(SEARCH(","&amp;TRIM(TEXTSPLIT(FC172,","))&amp;",",","&amp;SUBSTITUTE(input_global_network_school," ","")&amp;",")))&gt;0)),IF(FE172="",TRUE,IF(input_global_network_school="",FALSE,SUMPRODUCT(--ISNUMBER(SEARCH(","&amp;TRIM(TEXTSPLIT(FE172,","))&amp;",",","&amp;SUBSTITUTE(input_global_network_school," ","")&amp;",")))=COUNTA(TEXTSPLIT(FE172,",")))))</f>
        <v/>
      </c>
      <c r="JI172">
        <f>AND(IF(FG172="",TRUE,IF(input_industry="",FALSE,SUMPRODUCT(--ISNUMBER(SEARCH(","&amp;TRIM(TEXTSPLIT(FG172,","))&amp;",",","&amp;SUBSTITUTE(input_industry," ","")&amp;",")))&gt;0)),IF(FI172="",TRUE,IF(input_industry="",FALSE,SUMPRODUCT(--ISNUMBER(SEARCH(","&amp;TRIM(TEXTSPLIT(FI172,","))&amp;",",","&amp;SUBSTITUTE(input_industry," ","")&amp;",")))=COUNTA(TEXTSPLIT(FI172,",")))),IF(FK172="",TRUE,IF(input_industry="",TRUE,SUMPRODUCT(--ISNUMBER(SEARCH(","&amp;TRIM(TEXTSPLIT(FK172,","))&amp;",",","&amp;SUBSTITUTE(input_industry," ","")&amp;",")))=0)),IF(FM172="",TRUE,IF(input_industry="",FALSE,SUMPRODUCT(--ISNUMBER(SEARCH(","&amp;TRIM(TEXTSPLIT(FM172,","))&amp;",",","&amp;SUBSTITUTE(input_industry," ","")&amp;",")))&gt;0)),IF(FO172="",TRUE,IF(input_industry="",FALSE,SUMPRODUCT(--ISNUMBER(SEARCH(","&amp;TRIM(TEXTSPLIT(FO172,","))&amp;",",","&amp;SUBSTITUTE(input_industry," ","")&amp;",")))=COUNTA(TEXTSPLIT(FO172,",")))))</f>
        <v/>
      </c>
      <c r="JJ172">
        <f>AND(IF(FQ172="",TRUE,IF(input_location="",FALSE,SUMPRODUCT(--ISNUMBER(SEARCH(","&amp;TRIM(TEXTSPLIT(FQ172,","))&amp;",",","&amp;SUBSTITUTE(input_location," ","")&amp;",")))&gt;0)),IF(FS172="",TRUE,IF(input_location="",FALSE,SUMPRODUCT(--ISNUMBER(SEARCH(","&amp;TRIM(TEXTSPLIT(FS172,","))&amp;",",","&amp;SUBSTITUTE(input_location," ","")&amp;",")))=COUNTA(TEXTSPLIT(FS172,",")))),IF(FU172="",TRUE,IF(input_location="",TRUE,SUMPRODUCT(--ISNUMBER(SEARCH(","&amp;TRIM(TEXTSPLIT(FU172,","))&amp;",",","&amp;SUBSTITUTE(input_location," ","")&amp;",")))=0)),IF(FW172="",TRUE,IF(input_location="",FALSE,SUMPRODUCT(--ISNUMBER(SEARCH(","&amp;TRIM(TEXTSPLIT(FW172,","))&amp;",",","&amp;SUBSTITUTE(input_location," ","")&amp;",")))&gt;0)),IF(FY172="",TRUE,IF(input_location="",FALSE,SUMPRODUCT(--ISNUMBER(SEARCH(","&amp;TRIM(TEXTSPLIT(FY172,","))&amp;",",","&amp;SUBSTITUTE(input_location," ","")&amp;",")))=COUNTA(TEXTSPLIT(FY172,",")))))</f>
        <v/>
      </c>
      <c r="JK172">
        <f>AND(IF(GA172="",TRUE,IF(input_modality="",FALSE,SUMPRODUCT(--ISNUMBER(SEARCH(","&amp;TRIM(TEXTSPLIT(GA172,","))&amp;",",","&amp;SUBSTITUTE(input_modality," ","")&amp;",")))&gt;0)),IF(GC172="",TRUE,IF(input_modality="",FALSE,SUMPRODUCT(--ISNUMBER(SEARCH(","&amp;TRIM(TEXTSPLIT(GC172,","))&amp;",",","&amp;SUBSTITUTE(input_modality," ","")&amp;",")))=COUNTA(TEXTSPLIT(GC172,",")))),IF(GE172="",TRUE,IF(input_modality="",TRUE,SUMPRODUCT(--ISNUMBER(SEARCH(","&amp;TRIM(TEXTSPLIT(GE172,","))&amp;",",","&amp;SUBSTITUTE(input_modality," ","")&amp;",")))=0)),IF(GG172="",TRUE,IF(input_modality="",FALSE,SUMPRODUCT(--ISNUMBER(SEARCH(","&amp;TRIM(TEXTSPLIT(GG172,","))&amp;",",","&amp;SUBSTITUTE(input_modality," ","")&amp;",")))&gt;0)),IF(GI172="",TRUE,IF(input_modality="",FALSE,SUMPRODUCT(--ISNUMBER(SEARCH(","&amp;TRIM(TEXTSPLIT(GI172,","))&amp;",",","&amp;SUBSTITUTE(input_modality," ","")&amp;",")))=COUNTA(TEXTSPLIT(GI172,",")))))</f>
        <v/>
      </c>
      <c r="JL172">
        <f>AND(IF(GK172="",TRUE,IF(input_organizer="",FALSE,SUMPRODUCT(--ISNUMBER(SEARCH(","&amp;TRIM(TEXTSPLIT(GK172,","))&amp;",",","&amp;SUBSTITUTE(input_organizer," ","")&amp;",")))&gt;0)),IF(GM172="",TRUE,IF(input_organizer="",FALSE,SUMPRODUCT(--ISNUMBER(SEARCH(","&amp;TRIM(TEXTSPLIT(GM172,","))&amp;",",","&amp;SUBSTITUTE(input_organizer," ","")&amp;",")))=COUNTA(TEXTSPLIT(GM172,",")))),IF(GO172="",TRUE,IF(input_organizer="",TRUE,SUMPRODUCT(--ISNUMBER(SEARCH(","&amp;TRIM(TEXTSPLIT(GO172,","))&amp;",",","&amp;SUBSTITUTE(input_organizer," ","")&amp;",")))=0)),IF(GQ172="",TRUE,IF(input_organizer="",FALSE,SUMPRODUCT(--ISNUMBER(SEARCH(","&amp;TRIM(TEXTSPLIT(GQ172,","))&amp;",",","&amp;SUBSTITUTE(input_organizer," ","")&amp;",")))&gt;0)),IF(GS172="",TRUE,IF(input_organizer="",FALSE,SUMPRODUCT(--ISNUMBER(SEARCH(","&amp;TRIM(TEXTSPLIT(GS172,","))&amp;",",","&amp;SUBSTITUTE(input_organizer," ","")&amp;",")))=COUNTA(TEXTSPLIT(GS172,",")))))</f>
        <v/>
      </c>
      <c r="JM172">
        <f>AND(IF(GU172="",TRUE,IF(input_profile_type="",FALSE,SUMPRODUCT(--ISNUMBER(SEARCH(","&amp;TRIM(TEXTSPLIT(GU172,","))&amp;",",","&amp;SUBSTITUTE(input_profile_type," ","")&amp;",")))&gt;0)),IF(GW172="",TRUE,IF(input_profile_type="",FALSE,SUMPRODUCT(--ISNUMBER(SEARCH(","&amp;TRIM(TEXTSPLIT(GW172,","))&amp;",",","&amp;SUBSTITUTE(input_profile_type," ","")&amp;",")))=COUNTA(TEXTSPLIT(GW172,",")))),IF(GY172="",TRUE,IF(input_profile_type="",TRUE,SUMPRODUCT(--ISNUMBER(SEARCH(","&amp;TRIM(TEXTSPLIT(GY172,","))&amp;",",","&amp;SUBSTITUTE(input_profile_type," ","")&amp;",")))=0)),IF(HA172="",TRUE,IF(input_profile_type="",FALSE,SUMPRODUCT(--ISNUMBER(SEARCH(","&amp;TRIM(TEXTSPLIT(HA172,","))&amp;",",","&amp;SUBSTITUTE(input_profile_type," ","")&amp;",")))&gt;0)),IF(HC172="",TRUE,IF(input_profile_type="",FALSE,SUMPRODUCT(--ISNUMBER(SEARCH(","&amp;TRIM(TEXTSPLIT(HC172,","))&amp;",",","&amp;SUBSTITUTE(input_profile_type," ","")&amp;",")))=COUNTA(TEXTSPLIT(HC172,",")))))</f>
        <v/>
      </c>
      <c r="JN172">
        <f>AND(IF(HE172="",TRUE,IF(input_program="",FALSE,SUMPRODUCT(--ISNUMBER(SEARCH(","&amp;TRIM(TEXTSPLIT(HE172,","))&amp;",",","&amp;SUBSTITUTE(input_program," ","")&amp;",")))&gt;0)),IF(HG172="",TRUE,IF(input_program="",FALSE,SUMPRODUCT(--ISNUMBER(SEARCH(","&amp;TRIM(TEXTSPLIT(HG172,","))&amp;",",","&amp;SUBSTITUTE(input_program," ","")&amp;",")))=COUNTA(TEXTSPLIT(HG172,",")))),IF(HI172="",TRUE,IF(input_program="",TRUE,SUMPRODUCT(--ISNUMBER(SEARCH(","&amp;TRIM(TEXTSPLIT(HI172,","))&amp;",",","&amp;SUBSTITUTE(input_program," ","")&amp;",")))=0)),IF(HK172="",TRUE,IF(input_program="",FALSE,SUMPRODUCT(--ISNUMBER(SEARCH(","&amp;TRIM(TEXTSPLIT(HK172,","))&amp;",",","&amp;SUBSTITUTE(input_program," ","")&amp;",")))&gt;0)),IF(HM172="",TRUE,IF(input_program="",FALSE,SUMPRODUCT(--ISNUMBER(SEARCH(","&amp;TRIM(TEXTSPLIT(HM172,","))&amp;",",","&amp;SUBSTITUTE(input_program," ","")&amp;",")))=COUNTA(TEXTSPLIT(HM172,",")))))</f>
        <v/>
      </c>
      <c r="JO172">
        <f>AND(IF(HO172="",TRUE,IF(input_story_categories="",FALSE,SUMPRODUCT(--ISNUMBER(SEARCH(","&amp;TRIM(TEXTSPLIT(HO172,","))&amp;",",","&amp;SUBSTITUTE(input_story_categories," ","")&amp;",")))&gt;0)),IF(HQ172="",TRUE,IF(input_story_categories="",FALSE,SUMPRODUCT(--ISNUMBER(SEARCH(","&amp;TRIM(TEXTSPLIT(HQ172,","))&amp;",",","&amp;SUBSTITUTE(input_story_categories," ","")&amp;",")))=COUNTA(TEXTSPLIT(HQ172,",")))),IF(HS172="",TRUE,IF(input_story_categories="",TRUE,SUMPRODUCT(--ISNUMBER(SEARCH(","&amp;TRIM(TEXTSPLIT(HS172,","))&amp;",",","&amp;SUBSTITUTE(input_story_categories," ","")&amp;",")))=0)),IF(HU172="",TRUE,IF(input_story_categories="",FALSE,SUMPRODUCT(--ISNUMBER(SEARCH(","&amp;TRIM(TEXTSPLIT(HU172,","))&amp;",",","&amp;SUBSTITUTE(input_story_categories," ","")&amp;",")))&gt;0)),IF(HW172="",TRUE,IF(input_story_categories="",FALSE,SUMPRODUCT(--ISNUMBER(SEARCH(","&amp;TRIM(TEXTSPLIT(HW172,","))&amp;",",","&amp;SUBSTITUTE(input_story_categories," ","")&amp;",")))=COUNTA(TEXTSPLIT(HW172,",")))))</f>
        <v/>
      </c>
      <c r="JP172">
        <f>AND(IF(HY172="",TRUE,IF(input_story_type="",FALSE,SUMPRODUCT(--ISNUMBER(SEARCH(","&amp;TRIM(TEXTSPLIT(HY172,","))&amp;",",","&amp;SUBSTITUTE(input_story_type," ","")&amp;",")))&gt;0)),IF(IA172="",TRUE,IF(input_story_type="",FALSE,SUMPRODUCT(--ISNUMBER(SEARCH(","&amp;TRIM(TEXTSPLIT(IA172,","))&amp;",",","&amp;SUBSTITUTE(input_story_type," ","")&amp;",")))=COUNTA(TEXTSPLIT(IA172,",")))),IF(IC172="",TRUE,IF(input_story_type="",TRUE,SUMPRODUCT(--ISNUMBER(SEARCH(","&amp;TRIM(TEXTSPLIT(IC172,","))&amp;",",","&amp;SUBSTITUTE(input_story_type," ","")&amp;",")))=0)),IF(IE172="",TRUE,IF(input_story_type="",FALSE,SUMPRODUCT(--ISNUMBER(SEARCH(","&amp;TRIM(TEXTSPLIT(IE172,","))&amp;",",","&amp;SUBSTITUTE(input_story_type," ","")&amp;",")))&gt;0)),IF(IG172="",TRUE,IF(input_story_type="",FALSE,SUMPRODUCT(--ISNUMBER(SEARCH(","&amp;TRIM(TEXTSPLIT(IG172,","))&amp;",",","&amp;SUBSTITUTE(input_story_type," ","")&amp;",")))=COUNTA(TEXTSPLIT(IG172,",")))))</f>
        <v/>
      </c>
      <c r="JQ172">
        <f>AND(IF(II172="",TRUE,IF(input_topics="",FALSE,SUMPRODUCT(--ISNUMBER(SEARCH(","&amp;TRIM(TEXTSPLIT(II172,","))&amp;",",","&amp;SUBSTITUTE(input_topics," ","")&amp;",")))&gt;0)),IF(IK172="",TRUE,IF(input_topics="",FALSE,SUMPRODUCT(--ISNUMBER(SEARCH(","&amp;TRIM(TEXTSPLIT(IK172,","))&amp;",",","&amp;SUBSTITUTE(input_topics," ","")&amp;",")))=COUNTA(TEXTSPLIT(IK172,",")))),IF(IM172="",TRUE,IF(input_topics="",TRUE,SUMPRODUCT(--ISNUMBER(SEARCH(","&amp;TRIM(TEXTSPLIT(IM172,","))&amp;",",","&amp;SUBSTITUTE(input_topics," ","")&amp;",")))=0)),IF(IO172="",TRUE,IF(input_topics="",FALSE,SUMPRODUCT(--ISNUMBER(SEARCH(","&amp;TRIM(TEXTSPLIT(IO172,","))&amp;",",","&amp;SUBSTITUTE(input_topics," ","")&amp;",")))&gt;0)),IF(IQ172="",TRUE,IF(input_topics="",FALSE,SUMPRODUCT(--ISNUMBER(SEARCH(","&amp;TRIM(TEXTSPLIT(IQ172,","))&amp;",",","&amp;SUBSTITUTE(input_topics," ","")&amp;",")))=COUNTA(TEXTSPLIT(IQ172,",")))))</f>
        <v/>
      </c>
    </row>
    <row r="173">
      <c r="A173" s="4">
        <f>IF(NOT(IS173),"Excluded",IF(AND(IT173,IU173,IV173,IW173,IX173,IY173,IZ173,JA173,JB173,JC173,JD173,JE173,JF173,JG173,JH173,JI173,JJ173,JK173,JL173,JM173,JN173,JO173,JP173,JQ173),IF(I173&gt;0,"Eligible but limited","Will appear"),"Excluded"))</f>
        <v/>
      </c>
      <c r="B173" s="4" t="inlineStr">
        <is>
          <t>Related stories</t>
        </is>
      </c>
      <c r="C173" s="4" t="inlineStr">
        <is>
          <t>/programs/emba/admissions</t>
        </is>
      </c>
      <c r="D173" s="4" t="inlineStr">
        <is>
          <t>/programs/emba/admissions</t>
        </is>
      </c>
      <c r="E173" s="4" t="n">
        <v>1</v>
      </c>
      <c r="F173" s="4" t="inlineStr">
        <is>
          <t>story</t>
        </is>
      </c>
      <c r="G173" s="4" t="inlineStr">
        <is>
          <t>stories_teaser_cards</t>
        </is>
      </c>
      <c r="H173" s="4" t="inlineStr">
        <is>
          <t>embed_blog</t>
        </is>
      </c>
      <c r="I173" s="4" t="n">
        <v>3</v>
      </c>
      <c r="J173" s="4" t="inlineStr">
        <is>
          <t>Section inferred</t>
        </is>
      </c>
      <c r="K173" s="4" t="inlineStr">
        <is>
          <t>Page placement</t>
        </is>
      </c>
      <c r="L173" s="4" t="inlineStr">
        <is>
          <t>Content type: story; Context uses Courses Context: MBA For Executives (928); Needs any Story Type: Blog (974); Limited to 3 item(s); Source: Section inferred</t>
        </is>
      </c>
      <c r="M173" t="inlineStr"/>
      <c r="N173" t="inlineStr"/>
      <c r="O173" t="inlineStr"/>
      <c r="P173" t="inlineStr"/>
      <c r="Q173" t="inlineStr"/>
      <c r="R173" t="inlineStr"/>
      <c r="S173" t="inlineStr"/>
      <c r="T173" t="inlineStr"/>
      <c r="U173" t="inlineStr"/>
      <c r="V173" t="inlineStr"/>
      <c r="W173" t="inlineStr"/>
      <c r="X173" t="inlineStr"/>
      <c r="Y173" t="inlineStr"/>
      <c r="Z173" t="inlineStr"/>
      <c r="AA173" t="inlineStr"/>
      <c r="AB173" t="inlineStr"/>
      <c r="AC173" t="inlineStr"/>
      <c r="AD173" t="inlineStr"/>
      <c r="AE173" t="inlineStr"/>
      <c r="AF173" t="inlineStr"/>
      <c r="AG173" t="inlineStr"/>
      <c r="AH173" t="inlineStr"/>
      <c r="AI173" t="inlineStr"/>
      <c r="AJ173" t="inlineStr"/>
      <c r="AK173" t="inlineStr"/>
      <c r="AL173" t="inlineStr"/>
      <c r="AM173" t="inlineStr"/>
      <c r="AN173" t="inlineStr"/>
      <c r="AO173" t="inlineStr"/>
      <c r="AP173" t="inlineStr"/>
      <c r="AQ173" t="inlineStr"/>
      <c r="AR173" t="inlineStr"/>
      <c r="AS173" t="inlineStr"/>
      <c r="AT173" t="inlineStr"/>
      <c r="AU173" t="inlineStr"/>
      <c r="AV173" t="inlineStr"/>
      <c r="AW173" t="inlineStr"/>
      <c r="AX173" t="inlineStr"/>
      <c r="AY173" t="inlineStr"/>
      <c r="AZ173" t="inlineStr"/>
      <c r="BA173" t="inlineStr"/>
      <c r="BB173" t="inlineStr"/>
      <c r="BC173" t="inlineStr"/>
      <c r="BD173" t="inlineStr"/>
      <c r="BE173" t="inlineStr"/>
      <c r="BF173" t="inlineStr"/>
      <c r="BG173" t="inlineStr"/>
      <c r="BH173" t="inlineStr"/>
      <c r="BI173" t="inlineStr"/>
      <c r="BJ173" t="inlineStr"/>
      <c r="BK173" t="inlineStr"/>
      <c r="BL173" t="inlineStr"/>
      <c r="BM173" t="inlineStr"/>
      <c r="BN173" t="inlineStr"/>
      <c r="BO173" t="inlineStr"/>
      <c r="BP173" t="inlineStr"/>
      <c r="BQ173" t="inlineStr">
        <is>
          <t>928</t>
        </is>
      </c>
      <c r="BR173" t="inlineStr">
        <is>
          <t>MBA For Executives (928)</t>
        </is>
      </c>
      <c r="BS173" t="inlineStr"/>
      <c r="BT173" t="inlineStr"/>
      <c r="BU173" t="inlineStr"/>
      <c r="BV173" t="inlineStr"/>
      <c r="BW173" t="inlineStr"/>
      <c r="BX173" t="inlineStr"/>
      <c r="BY173" t="inlineStr"/>
      <c r="BZ173" t="inlineStr"/>
      <c r="CA173" t="inlineStr"/>
      <c r="CB173" t="inlineStr"/>
      <c r="CC173" t="inlineStr"/>
      <c r="CD173" t="inlineStr"/>
      <c r="CE173" t="inlineStr"/>
      <c r="CF173" t="inlineStr"/>
      <c r="CG173" t="inlineStr"/>
      <c r="CH173" t="inlineStr"/>
      <c r="CI173" t="inlineStr"/>
      <c r="CJ173" t="inlineStr"/>
      <c r="CK173" t="inlineStr"/>
      <c r="CL173" t="inlineStr"/>
      <c r="CM173" t="inlineStr"/>
      <c r="CN173" t="inlineStr"/>
      <c r="CO173" t="inlineStr"/>
      <c r="CP173" t="inlineStr"/>
      <c r="CQ173" t="inlineStr"/>
      <c r="CR173" t="inlineStr"/>
      <c r="CS173" t="inlineStr"/>
      <c r="CT173" t="inlineStr"/>
      <c r="CU173" t="inlineStr"/>
      <c r="CV173" t="inlineStr"/>
      <c r="CW173" t="inlineStr"/>
      <c r="CX173" t="inlineStr"/>
      <c r="CY173" t="inlineStr"/>
      <c r="CZ173" t="inlineStr"/>
      <c r="DA173" t="inlineStr"/>
      <c r="DB173" t="inlineStr"/>
      <c r="DC173" t="inlineStr"/>
      <c r="DD173" t="inlineStr"/>
      <c r="DE173" t="inlineStr"/>
      <c r="DF173" t="inlineStr"/>
      <c r="DG173" t="inlineStr"/>
      <c r="DH173" t="inlineStr"/>
      <c r="DI173" t="inlineStr"/>
      <c r="DJ173" t="inlineStr"/>
      <c r="DK173" t="inlineStr"/>
      <c r="DL173" t="inlineStr"/>
      <c r="DM173" t="inlineStr"/>
      <c r="DN173" t="inlineStr"/>
      <c r="DO173" t="inlineStr"/>
      <c r="DP173" t="inlineStr"/>
      <c r="DQ173" t="inlineStr"/>
      <c r="DR173" t="inlineStr"/>
      <c r="DS173" t="inlineStr"/>
      <c r="DT173" t="inlineStr"/>
      <c r="DU173" t="inlineStr"/>
      <c r="DV173" t="inlineStr"/>
      <c r="DW173" t="inlineStr"/>
      <c r="DX173" t="inlineStr"/>
      <c r="DY173" t="inlineStr"/>
      <c r="DZ173" t="inlineStr"/>
      <c r="EA173" t="inlineStr"/>
      <c r="EB173" t="inlineStr"/>
      <c r="EC173" t="inlineStr"/>
      <c r="ED173" t="inlineStr"/>
      <c r="EE173" t="inlineStr"/>
      <c r="EF173" t="inlineStr"/>
      <c r="EG173" t="inlineStr"/>
      <c r="EH173" t="inlineStr"/>
      <c r="EI173" t="inlineStr"/>
      <c r="EJ173" t="inlineStr"/>
      <c r="EK173" t="inlineStr"/>
      <c r="EL173" t="inlineStr"/>
      <c r="EM173" t="inlineStr"/>
      <c r="EN173" t="inlineStr"/>
      <c r="EO173" t="inlineStr"/>
      <c r="EP173" t="inlineStr"/>
      <c r="EQ173" t="inlineStr"/>
      <c r="ER173" t="inlineStr"/>
      <c r="ES173" t="inlineStr"/>
      <c r="ET173" t="inlineStr"/>
      <c r="EU173" t="inlineStr"/>
      <c r="EV173" t="inlineStr"/>
      <c r="EW173" t="inlineStr"/>
      <c r="EX173" t="inlineStr"/>
      <c r="EY173" t="inlineStr"/>
      <c r="EZ173" t="inlineStr"/>
      <c r="FA173" t="inlineStr"/>
      <c r="FB173" t="inlineStr"/>
      <c r="FC173" t="inlineStr"/>
      <c r="FD173" t="inlineStr"/>
      <c r="FE173" t="inlineStr"/>
      <c r="FF173" t="inlineStr"/>
      <c r="FG173" t="inlineStr"/>
      <c r="FH173" t="inlineStr"/>
      <c r="FI173" t="inlineStr"/>
      <c r="FJ173" t="inlineStr"/>
      <c r="FK173" t="inlineStr"/>
      <c r="FL173" t="inlineStr"/>
      <c r="FM173" t="inlineStr"/>
      <c r="FN173" t="inlineStr"/>
      <c r="FO173" t="inlineStr"/>
      <c r="FP173" t="inlineStr"/>
      <c r="FQ173" t="inlineStr"/>
      <c r="FR173" t="inlineStr"/>
      <c r="FS173" t="inlineStr"/>
      <c r="FT173" t="inlineStr"/>
      <c r="FU173" t="inlineStr"/>
      <c r="FV173" t="inlineStr"/>
      <c r="FW173" t="inlineStr"/>
      <c r="FX173" t="inlineStr"/>
      <c r="FY173" t="inlineStr"/>
      <c r="FZ173" t="inlineStr"/>
      <c r="GA173" t="inlineStr"/>
      <c r="GB173" t="inlineStr"/>
      <c r="GC173" t="inlineStr"/>
      <c r="GD173" t="inlineStr"/>
      <c r="GE173" t="inlineStr"/>
      <c r="GF173" t="inlineStr"/>
      <c r="GG173" t="inlineStr"/>
      <c r="GH173" t="inlineStr"/>
      <c r="GI173" t="inlineStr"/>
      <c r="GJ173" t="inlineStr"/>
      <c r="GK173" t="inlineStr"/>
      <c r="GL173" t="inlineStr"/>
      <c r="GM173" t="inlineStr"/>
      <c r="GN173" t="inlineStr"/>
      <c r="GO173" t="inlineStr"/>
      <c r="GP173" t="inlineStr"/>
      <c r="GQ173" t="inlineStr"/>
      <c r="GR173" t="inlineStr"/>
      <c r="GS173" t="inlineStr"/>
      <c r="GT173" t="inlineStr"/>
      <c r="GU173" t="inlineStr"/>
      <c r="GV173" t="inlineStr"/>
      <c r="GW173" t="inlineStr"/>
      <c r="GX173" t="inlineStr"/>
      <c r="GY173" t="inlineStr"/>
      <c r="GZ173" t="inlineStr"/>
      <c r="HA173" t="inlineStr"/>
      <c r="HB173" t="inlineStr"/>
      <c r="HC173" t="inlineStr"/>
      <c r="HD173" t="inlineStr"/>
      <c r="HE173" t="inlineStr"/>
      <c r="HF173" t="inlineStr"/>
      <c r="HG173" t="inlineStr"/>
      <c r="HH173" t="inlineStr"/>
      <c r="HI173" t="inlineStr"/>
      <c r="HJ173" t="inlineStr"/>
      <c r="HK173" t="inlineStr"/>
      <c r="HL173" t="inlineStr"/>
      <c r="HM173" t="inlineStr"/>
      <c r="HN173" t="inlineStr"/>
      <c r="HO173" t="inlineStr"/>
      <c r="HP173" t="inlineStr"/>
      <c r="HQ173" t="inlineStr"/>
      <c r="HR173" t="inlineStr"/>
      <c r="HS173" t="inlineStr"/>
      <c r="HT173" t="inlineStr"/>
      <c r="HU173" t="inlineStr"/>
      <c r="HV173" t="inlineStr"/>
      <c r="HW173" t="inlineStr"/>
      <c r="HX173" t="inlineStr"/>
      <c r="HY173" t="inlineStr">
        <is>
          <t>974</t>
        </is>
      </c>
      <c r="HZ173" t="inlineStr">
        <is>
          <t>Blog (974)</t>
        </is>
      </c>
      <c r="IA173" t="inlineStr"/>
      <c r="IB173" t="inlineStr"/>
      <c r="IC173" t="inlineStr"/>
      <c r="ID173" t="inlineStr"/>
      <c r="IE173" t="inlineStr"/>
      <c r="IF173" t="inlineStr"/>
      <c r="IG173" t="inlineStr"/>
      <c r="IH173" t="inlineStr"/>
      <c r="II173" t="inlineStr"/>
      <c r="IJ173" t="inlineStr"/>
      <c r="IK173" t="inlineStr"/>
      <c r="IL173" t="inlineStr"/>
      <c r="IM173" t="inlineStr"/>
      <c r="IN173" t="inlineStr"/>
      <c r="IO173" t="inlineStr"/>
      <c r="IP173" t="inlineStr"/>
      <c r="IQ173" t="inlineStr"/>
      <c r="IR173" t="inlineStr"/>
      <c r="IS173">
        <f>IF(input_content_type="",FALSE,ISNUMBER(SEARCH(","&amp;LOWER(input_content_type)&amp;",",","&amp;LOWER(F173)&amp;",")))</f>
        <v/>
      </c>
      <c r="IT173">
        <f>AND(IF(M173="",TRUE,IF(input_affiliations="",FALSE,SUMPRODUCT(--ISNUMBER(SEARCH(","&amp;TRIM(TEXTSPLIT(M173,","))&amp;",",","&amp;SUBSTITUTE(input_affiliations," ","")&amp;",")))&gt;0)),IF(O173="",TRUE,IF(input_affiliations="",FALSE,SUMPRODUCT(--ISNUMBER(SEARCH(","&amp;TRIM(TEXTSPLIT(O173,","))&amp;",",","&amp;SUBSTITUTE(input_affiliations," ","")&amp;",")))=COUNTA(TEXTSPLIT(O173,",")))),IF(Q173="",TRUE,IF(input_affiliations="",TRUE,SUMPRODUCT(--ISNUMBER(SEARCH(","&amp;TRIM(TEXTSPLIT(Q173,","))&amp;",",","&amp;SUBSTITUTE(input_affiliations," ","")&amp;",")))=0)),IF(S173="",TRUE,IF(input_affiliations="",FALSE,SUMPRODUCT(--ISNUMBER(SEARCH(","&amp;TRIM(TEXTSPLIT(S173,","))&amp;",",","&amp;SUBSTITUTE(input_affiliations," ","")&amp;",")))&gt;0)),IF(U173="",TRUE,IF(input_affiliations="",FALSE,SUMPRODUCT(--ISNUMBER(SEARCH(","&amp;TRIM(TEXTSPLIT(U173,","))&amp;",",","&amp;SUBSTITUTE(input_affiliations," ","")&amp;",")))=COUNTA(TEXTSPLIT(U173,",")))))</f>
        <v/>
      </c>
      <c r="IU173">
        <f>AND(IF(W173="",TRUE,IF(input_announcement_category="",FALSE,SUMPRODUCT(--ISNUMBER(SEARCH(","&amp;TRIM(TEXTSPLIT(W173,","))&amp;",",","&amp;SUBSTITUTE(input_announcement_category," ","")&amp;",")))&gt;0)),IF(Y173="",TRUE,IF(input_announcement_category="",FALSE,SUMPRODUCT(--ISNUMBER(SEARCH(","&amp;TRIM(TEXTSPLIT(Y173,","))&amp;",",","&amp;SUBSTITUTE(input_announcement_category," ","")&amp;",")))=COUNTA(TEXTSPLIT(Y173,",")))),IF(AA173="",TRUE,IF(input_announcement_category="",TRUE,SUMPRODUCT(--ISNUMBER(SEARCH(","&amp;TRIM(TEXTSPLIT(AA173,","))&amp;",",","&amp;SUBSTITUTE(input_announcement_category," ","")&amp;",")))=0)),IF(AC173="",TRUE,IF(input_announcement_category="",FALSE,SUMPRODUCT(--ISNUMBER(SEARCH(","&amp;TRIM(TEXTSPLIT(AC173,","))&amp;",",","&amp;SUBSTITUTE(input_announcement_category," ","")&amp;",")))&gt;0)),IF(AE173="",TRUE,IF(input_announcement_category="",FALSE,SUMPRODUCT(--ISNUMBER(SEARCH(","&amp;TRIM(TEXTSPLIT(AE173,","))&amp;",",","&amp;SUBSTITUTE(input_announcement_category," ","")&amp;",")))=COUNTA(TEXTSPLIT(AE173,",")))))</f>
        <v/>
      </c>
      <c r="IV173">
        <f>AND(IF(AG173="",TRUE,IF(input_area_of_focus="",FALSE,SUMPRODUCT(--ISNUMBER(SEARCH(","&amp;TRIM(TEXTSPLIT(AG173,","))&amp;",",","&amp;SUBSTITUTE(input_area_of_focus," ","")&amp;",")))&gt;0)),IF(AI173="",TRUE,IF(input_area_of_focus="",FALSE,SUMPRODUCT(--ISNUMBER(SEARCH(","&amp;TRIM(TEXTSPLIT(AI173,","))&amp;",",","&amp;SUBSTITUTE(input_area_of_focus," ","")&amp;",")))=COUNTA(TEXTSPLIT(AI173,",")))),IF(AK173="",TRUE,IF(input_area_of_focus="",TRUE,SUMPRODUCT(--ISNUMBER(SEARCH(","&amp;TRIM(TEXTSPLIT(AK173,","))&amp;",",","&amp;SUBSTITUTE(input_area_of_focus," ","")&amp;",")))=0)),IF(AM173="",TRUE,IF(input_area_of_focus="",FALSE,SUMPRODUCT(--ISNUMBER(SEARCH(","&amp;TRIM(TEXTSPLIT(AM173,","))&amp;",",","&amp;SUBSTITUTE(input_area_of_focus," ","")&amp;",")))&gt;0)),IF(AO173="",TRUE,IF(input_area_of_focus="",FALSE,SUMPRODUCT(--ISNUMBER(SEARCH(","&amp;TRIM(TEXTSPLIT(AO173,","))&amp;",",","&amp;SUBSTITUTE(input_area_of_focus," ","")&amp;",")))=COUNTA(TEXTSPLIT(AO173,",")))))</f>
        <v/>
      </c>
      <c r="IW173">
        <f>AND(IF(AQ173="",TRUE,IF(input_audience="",FALSE,SUMPRODUCT(--ISNUMBER(SEARCH(","&amp;TRIM(TEXTSPLIT(AQ173,","))&amp;",",","&amp;SUBSTITUTE(input_audience," ","")&amp;",")))&gt;0)),IF(AS173="",TRUE,IF(input_audience="",FALSE,SUMPRODUCT(--ISNUMBER(SEARCH(","&amp;TRIM(TEXTSPLIT(AS173,","))&amp;",",","&amp;SUBSTITUTE(input_audience," ","")&amp;",")))=COUNTA(TEXTSPLIT(AS173,",")))),IF(AU173="",TRUE,IF(input_audience="",TRUE,SUMPRODUCT(--ISNUMBER(SEARCH(","&amp;TRIM(TEXTSPLIT(AU173,","))&amp;",",","&amp;SUBSTITUTE(input_audience," ","")&amp;",")))=0)),IF(AW173="",TRUE,IF(input_audience="",FALSE,SUMPRODUCT(--ISNUMBER(SEARCH(","&amp;TRIM(TEXTSPLIT(AW173,","))&amp;",",","&amp;SUBSTITUTE(input_audience," ","")&amp;",")))&gt;0)),IF(AY173="",TRUE,IF(input_audience="",FALSE,SUMPRODUCT(--ISNUMBER(SEARCH(","&amp;TRIM(TEXTSPLIT(AY173,","))&amp;",",","&amp;SUBSTITUTE(input_audience," ","")&amp;",")))=COUNTA(TEXTSPLIT(AY173,",")))))</f>
        <v/>
      </c>
      <c r="IX173">
        <f>AND(IF(BA173="",TRUE,IF(input_challenge_opportunities="",FALSE,SUMPRODUCT(--ISNUMBER(SEARCH(","&amp;TRIM(TEXTSPLIT(BA173,","))&amp;",",","&amp;SUBSTITUTE(input_challenge_opportunities," ","")&amp;",")))&gt;0)),IF(BC173="",TRUE,IF(input_challenge_opportunities="",FALSE,SUMPRODUCT(--ISNUMBER(SEARCH(","&amp;TRIM(TEXTSPLIT(BC173,","))&amp;",",","&amp;SUBSTITUTE(input_challenge_opportunities," ","")&amp;",")))=COUNTA(TEXTSPLIT(BC173,",")))),IF(BE173="",TRUE,IF(input_challenge_opportunities="",TRUE,SUMPRODUCT(--ISNUMBER(SEARCH(","&amp;TRIM(TEXTSPLIT(BE173,","))&amp;",",","&amp;SUBSTITUTE(input_challenge_opportunities," ","")&amp;",")))=0)),IF(BG173="",TRUE,IF(input_challenge_opportunities="",FALSE,SUMPRODUCT(--ISNUMBER(SEARCH(","&amp;TRIM(TEXTSPLIT(BG173,","))&amp;",",","&amp;SUBSTITUTE(input_challenge_opportunities," ","")&amp;",")))&gt;0)),IF(BI173="",TRUE,IF(input_challenge_opportunities="",FALSE,SUMPRODUCT(--ISNUMBER(SEARCH(","&amp;TRIM(TEXTSPLIT(BI173,","))&amp;",",","&amp;SUBSTITUTE(input_challenge_opportunities," ","")&amp;",")))=COUNTA(TEXTSPLIT(BI173,",")))))</f>
        <v/>
      </c>
      <c r="IY173">
        <f>AND(IF(BK173="",TRUE,IF(input_context="",FALSE,SUMPRODUCT(--ISNUMBER(SEARCH(","&amp;TRIM(TEXTSPLIT(BK173,","))&amp;",",","&amp;SUBSTITUTE(input_context," ","")&amp;",")))&gt;0)),IF(BM173="",TRUE,IF(input_context="",FALSE,SUMPRODUCT(--ISNUMBER(SEARCH(","&amp;TRIM(TEXTSPLIT(BM173,","))&amp;",",","&amp;SUBSTITUTE(input_context," ","")&amp;",")))=COUNTA(TEXTSPLIT(BM173,",")))),IF(BO173="",TRUE,IF(input_context="",TRUE,SUMPRODUCT(--ISNUMBER(SEARCH(","&amp;TRIM(TEXTSPLIT(BO173,","))&amp;",",","&amp;SUBSTITUTE(input_context," ","")&amp;",")))=0)),IF(BQ173="",TRUE,IF(input_context="",FALSE,SUMPRODUCT(--ISNUMBER(SEARCH(","&amp;TRIM(TEXTSPLIT(BQ173,","))&amp;",",","&amp;SUBSTITUTE(input_context," ","")&amp;",")))&gt;0)),IF(BS173="",TRUE,IF(input_context="",FALSE,SUMPRODUCT(--ISNUMBER(SEARCH(","&amp;TRIM(TEXTSPLIT(BS173,","))&amp;",",","&amp;SUBSTITUTE(input_context," ","")&amp;",")))=COUNTA(TEXTSPLIT(BS173,",")))))</f>
        <v/>
      </c>
      <c r="IZ173">
        <f>AND(IF(BU173="",TRUE,IF(input_enews_announcement_type="",FALSE,SUMPRODUCT(--ISNUMBER(SEARCH(","&amp;TRIM(TEXTSPLIT(BU173,","))&amp;",",","&amp;SUBSTITUTE(input_enews_announcement_type," ","")&amp;",")))&gt;0)),IF(BW173="",TRUE,IF(input_enews_announcement_type="",FALSE,SUMPRODUCT(--ISNUMBER(SEARCH(","&amp;TRIM(TEXTSPLIT(BW173,","))&amp;",",","&amp;SUBSTITUTE(input_enews_announcement_type," ","")&amp;",")))=COUNTA(TEXTSPLIT(BW173,",")))),IF(BY173="",TRUE,IF(input_enews_announcement_type="",TRUE,SUMPRODUCT(--ISNUMBER(SEARCH(","&amp;TRIM(TEXTSPLIT(BY173,","))&amp;",",","&amp;SUBSTITUTE(input_enews_announcement_type," ","")&amp;",")))=0)),IF(CA173="",TRUE,IF(input_enews_announcement_type="",FALSE,SUMPRODUCT(--ISNUMBER(SEARCH(","&amp;TRIM(TEXTSPLIT(CA173,","))&amp;",",","&amp;SUBSTITUTE(input_enews_announcement_type," ","")&amp;",")))&gt;0)),IF(CC173="",TRUE,IF(input_enews_announcement_type="",FALSE,SUMPRODUCT(--ISNUMBER(SEARCH(","&amp;TRIM(TEXTSPLIT(CC173,","))&amp;",",","&amp;SUBSTITUTE(input_enews_announcement_type," ","")&amp;",")))=COUNTA(TEXTSPLIT(CC173,",")))))</f>
        <v/>
      </c>
      <c r="JA173">
        <f>AND(IF(CE173="",TRUE,IF(input_enews_audience="",FALSE,SUMPRODUCT(--ISNUMBER(SEARCH(","&amp;TRIM(TEXTSPLIT(CE173,","))&amp;",",","&amp;SUBSTITUTE(input_enews_audience," ","")&amp;",")))&gt;0)),IF(CG173="",TRUE,IF(input_enews_audience="",FALSE,SUMPRODUCT(--ISNUMBER(SEARCH(","&amp;TRIM(TEXTSPLIT(CG173,","))&amp;",",","&amp;SUBSTITUTE(input_enews_audience," ","")&amp;",")))=COUNTA(TEXTSPLIT(CG173,",")))),IF(CI173="",TRUE,IF(input_enews_audience="",TRUE,SUMPRODUCT(--ISNUMBER(SEARCH(","&amp;TRIM(TEXTSPLIT(CI173,","))&amp;",",","&amp;SUBSTITUTE(input_enews_audience," ","")&amp;",")))=0)),IF(CK173="",TRUE,IF(input_enews_audience="",FALSE,SUMPRODUCT(--ISNUMBER(SEARCH(","&amp;TRIM(TEXTSPLIT(CK173,","))&amp;",",","&amp;SUBSTITUTE(input_enews_audience," ","")&amp;",")))&gt;0)),IF(CM173="",TRUE,IF(input_enews_audience="",FALSE,SUMPRODUCT(--ISNUMBER(SEARCH(","&amp;TRIM(TEXTSPLIT(CM173,","))&amp;",",","&amp;SUBSTITUTE(input_enews_audience," ","")&amp;",")))=COUNTA(TEXTSPLIT(CM173,",")))))</f>
        <v/>
      </c>
      <c r="JB173">
        <f>AND(IF(CO173="",TRUE,IF(input_event_location="",FALSE,SUMPRODUCT(--ISNUMBER(SEARCH(","&amp;TRIM(TEXTSPLIT(CO173,","))&amp;",",","&amp;SUBSTITUTE(input_event_location," ","")&amp;",")))&gt;0)),IF(CQ173="",TRUE,IF(input_event_location="",FALSE,SUMPRODUCT(--ISNUMBER(SEARCH(","&amp;TRIM(TEXTSPLIT(CQ173,","))&amp;",",","&amp;SUBSTITUTE(input_event_location," ","")&amp;",")))=COUNTA(TEXTSPLIT(CQ173,",")))),IF(CS173="",TRUE,IF(input_event_location="",TRUE,SUMPRODUCT(--ISNUMBER(SEARCH(","&amp;TRIM(TEXTSPLIT(CS173,","))&amp;",",","&amp;SUBSTITUTE(input_event_location," ","")&amp;",")))=0)),IF(CU173="",TRUE,IF(input_event_location="",FALSE,SUMPRODUCT(--ISNUMBER(SEARCH(","&amp;TRIM(TEXTSPLIT(CU173,","))&amp;",",","&amp;SUBSTITUTE(input_event_location," ","")&amp;",")))&gt;0)),IF(CW173="",TRUE,IF(input_event_location="",FALSE,SUMPRODUCT(--ISNUMBER(SEARCH(","&amp;TRIM(TEXTSPLIT(CW173,","))&amp;",",","&amp;SUBSTITUTE(input_event_location," ","")&amp;",")))=COUNTA(TEXTSPLIT(CW173,",")))))</f>
        <v/>
      </c>
      <c r="JC173">
        <f>AND(IF(CY173="",TRUE,IF(input_event_type="",FALSE,SUMPRODUCT(--ISNUMBER(SEARCH(","&amp;TRIM(TEXTSPLIT(CY173,","))&amp;",",","&amp;SUBSTITUTE(input_event_type," ","")&amp;",")))&gt;0)),IF(DA173="",TRUE,IF(input_event_type="",FALSE,SUMPRODUCT(--ISNUMBER(SEARCH(","&amp;TRIM(TEXTSPLIT(DA173,","))&amp;",",","&amp;SUBSTITUTE(input_event_type," ","")&amp;",")))=COUNTA(TEXTSPLIT(DA173,",")))),IF(DC173="",TRUE,IF(input_event_type="",TRUE,SUMPRODUCT(--ISNUMBER(SEARCH(","&amp;TRIM(TEXTSPLIT(DC173,","))&amp;",",","&amp;SUBSTITUTE(input_event_type," ","")&amp;",")))=0)),IF(DE173="",TRUE,IF(input_event_type="",FALSE,SUMPRODUCT(--ISNUMBER(SEARCH(","&amp;TRIM(TEXTSPLIT(DE173,","))&amp;",",","&amp;SUBSTITUTE(input_event_type," ","")&amp;",")))&gt;0)),IF(DG173="",TRUE,IF(input_event_type="",FALSE,SUMPRODUCT(--ISNUMBER(SEARCH(","&amp;TRIM(TEXTSPLIT(DG173,","))&amp;",",","&amp;SUBSTITUTE(input_event_type," ","")&amp;",")))=COUNTA(TEXTSPLIT(DG173,",")))))</f>
        <v/>
      </c>
      <c r="JD173">
        <f>AND(IF(DI173="",TRUE,IF(input_executive_education_focus="",FALSE,SUMPRODUCT(--ISNUMBER(SEARCH(","&amp;TRIM(TEXTSPLIT(DI173,","))&amp;",",","&amp;SUBSTITUTE(input_executive_education_focus," ","")&amp;",")))&gt;0)),IF(DK173="",TRUE,IF(input_executive_education_focus="",FALSE,SUMPRODUCT(--ISNUMBER(SEARCH(","&amp;TRIM(TEXTSPLIT(DK173,","))&amp;",",","&amp;SUBSTITUTE(input_executive_education_focus," ","")&amp;",")))=COUNTA(TEXTSPLIT(DK173,",")))),IF(DM173="",TRUE,IF(input_executive_education_focus="",TRUE,SUMPRODUCT(--ISNUMBER(SEARCH(","&amp;TRIM(TEXTSPLIT(DM173,","))&amp;",",","&amp;SUBSTITUTE(input_executive_education_focus," ","")&amp;",")))=0)),IF(DO173="",TRUE,IF(input_executive_education_focus="",FALSE,SUMPRODUCT(--ISNUMBER(SEARCH(","&amp;TRIM(TEXTSPLIT(DO173,","))&amp;",",","&amp;SUBSTITUTE(input_executive_education_focus," ","")&amp;",")))&gt;0)),IF(DQ173="",TRUE,IF(input_executive_education_focus="",FALSE,SUMPRODUCT(--ISNUMBER(SEARCH(","&amp;TRIM(TEXTSPLIT(DQ173,","))&amp;",",","&amp;SUBSTITUTE(input_executive_education_focus," ","")&amp;",")))=COUNTA(TEXTSPLIT(DQ173,",")))))</f>
        <v/>
      </c>
      <c r="JE173">
        <f>AND(IF(DS173="",TRUE,IF(input_faculty_category="",FALSE,SUMPRODUCT(--ISNUMBER(SEARCH(","&amp;TRIM(TEXTSPLIT(DS173,","))&amp;",",","&amp;SUBSTITUTE(input_faculty_category," ","")&amp;",")))&gt;0)),IF(DU173="",TRUE,IF(input_faculty_category="",FALSE,SUMPRODUCT(--ISNUMBER(SEARCH(","&amp;TRIM(TEXTSPLIT(DU173,","))&amp;",",","&amp;SUBSTITUTE(input_faculty_category," ","")&amp;",")))=COUNTA(TEXTSPLIT(DU173,",")))),IF(DW173="",TRUE,IF(input_faculty_category="",TRUE,SUMPRODUCT(--ISNUMBER(SEARCH(","&amp;TRIM(TEXTSPLIT(DW173,","))&amp;",",","&amp;SUBSTITUTE(input_faculty_category," ","")&amp;",")))=0)),IF(DY173="",TRUE,IF(input_faculty_category="",FALSE,SUMPRODUCT(--ISNUMBER(SEARCH(","&amp;TRIM(TEXTSPLIT(DY173,","))&amp;",",","&amp;SUBSTITUTE(input_faculty_category," ","")&amp;",")))&gt;0)),IF(EA173="",TRUE,IF(input_faculty_category="",FALSE,SUMPRODUCT(--ISNUMBER(SEARCH(","&amp;TRIM(TEXTSPLIT(EA173,","))&amp;",",","&amp;SUBSTITUTE(input_faculty_category," ","")&amp;",")))=COUNTA(TEXTSPLIT(EA173,",")))))</f>
        <v/>
      </c>
      <c r="JF173">
        <f>AND(IF(EC173="",TRUE,IF(input_faculty_discipline="",FALSE,SUMPRODUCT(--ISNUMBER(SEARCH(","&amp;TRIM(TEXTSPLIT(EC173,","))&amp;",",","&amp;SUBSTITUTE(input_faculty_discipline," ","")&amp;",")))&gt;0)),IF(EE173="",TRUE,IF(input_faculty_discipline="",FALSE,SUMPRODUCT(--ISNUMBER(SEARCH(","&amp;TRIM(TEXTSPLIT(EE173,","))&amp;",",","&amp;SUBSTITUTE(input_faculty_discipline," ","")&amp;",")))=COUNTA(TEXTSPLIT(EE173,",")))),IF(EG173="",TRUE,IF(input_faculty_discipline="",TRUE,SUMPRODUCT(--ISNUMBER(SEARCH(","&amp;TRIM(TEXTSPLIT(EG173,","))&amp;",",","&amp;SUBSTITUTE(input_faculty_discipline," ","")&amp;",")))=0)),IF(EI173="",TRUE,IF(input_faculty_discipline="",FALSE,SUMPRODUCT(--ISNUMBER(SEARCH(","&amp;TRIM(TEXTSPLIT(EI173,","))&amp;",",","&amp;SUBSTITUTE(input_faculty_discipline," ","")&amp;",")))&gt;0)),IF(EK173="",TRUE,IF(input_faculty_discipline="",FALSE,SUMPRODUCT(--ISNUMBER(SEARCH(","&amp;TRIM(TEXTSPLIT(EK173,","))&amp;",",","&amp;SUBSTITUTE(input_faculty_discipline," ","")&amp;",")))=COUNTA(TEXTSPLIT(EK173,",")))))</f>
        <v/>
      </c>
      <c r="JG173">
        <f>AND(IF(EM173="",TRUE,IF(input_faculty_expertise="",FALSE,SUMPRODUCT(--ISNUMBER(SEARCH(","&amp;TRIM(TEXTSPLIT(EM173,","))&amp;",",","&amp;SUBSTITUTE(input_faculty_expertise," ","")&amp;",")))&gt;0)),IF(EO173="",TRUE,IF(input_faculty_expertise="",FALSE,SUMPRODUCT(--ISNUMBER(SEARCH(","&amp;TRIM(TEXTSPLIT(EO173,","))&amp;",",","&amp;SUBSTITUTE(input_faculty_expertise," ","")&amp;",")))=COUNTA(TEXTSPLIT(EO173,",")))),IF(EQ173="",TRUE,IF(input_faculty_expertise="",TRUE,SUMPRODUCT(--ISNUMBER(SEARCH(","&amp;TRIM(TEXTSPLIT(EQ173,","))&amp;",",","&amp;SUBSTITUTE(input_faculty_expertise," ","")&amp;",")))=0)),IF(ES173="",TRUE,IF(input_faculty_expertise="",FALSE,SUMPRODUCT(--ISNUMBER(SEARCH(","&amp;TRIM(TEXTSPLIT(ES173,","))&amp;",",","&amp;SUBSTITUTE(input_faculty_expertise," ","")&amp;",")))&gt;0)),IF(EU173="",TRUE,IF(input_faculty_expertise="",FALSE,SUMPRODUCT(--ISNUMBER(SEARCH(","&amp;TRIM(TEXTSPLIT(EU173,","))&amp;",",","&amp;SUBSTITUTE(input_faculty_expertise," ","")&amp;",")))=COUNTA(TEXTSPLIT(EU173,",")))))</f>
        <v/>
      </c>
      <c r="JH173">
        <f>AND(IF(EW173="",TRUE,IF(input_global_network_school="",FALSE,SUMPRODUCT(--ISNUMBER(SEARCH(","&amp;TRIM(TEXTSPLIT(EW173,","))&amp;",",","&amp;SUBSTITUTE(input_global_network_school," ","")&amp;",")))&gt;0)),IF(EY173="",TRUE,IF(input_global_network_school="",FALSE,SUMPRODUCT(--ISNUMBER(SEARCH(","&amp;TRIM(TEXTSPLIT(EY173,","))&amp;",",","&amp;SUBSTITUTE(input_global_network_school," ","")&amp;",")))=COUNTA(TEXTSPLIT(EY173,",")))),IF(FA173="",TRUE,IF(input_global_network_school="",TRUE,SUMPRODUCT(--ISNUMBER(SEARCH(","&amp;TRIM(TEXTSPLIT(FA173,","))&amp;",",","&amp;SUBSTITUTE(input_global_network_school," ","")&amp;",")))=0)),IF(FC173="",TRUE,IF(input_global_network_school="",FALSE,SUMPRODUCT(--ISNUMBER(SEARCH(","&amp;TRIM(TEXTSPLIT(FC173,","))&amp;",",","&amp;SUBSTITUTE(input_global_network_school," ","")&amp;",")))&gt;0)),IF(FE173="",TRUE,IF(input_global_network_school="",FALSE,SUMPRODUCT(--ISNUMBER(SEARCH(","&amp;TRIM(TEXTSPLIT(FE173,","))&amp;",",","&amp;SUBSTITUTE(input_global_network_school," ","")&amp;",")))=COUNTA(TEXTSPLIT(FE173,",")))))</f>
        <v/>
      </c>
      <c r="JI173">
        <f>AND(IF(FG173="",TRUE,IF(input_industry="",FALSE,SUMPRODUCT(--ISNUMBER(SEARCH(","&amp;TRIM(TEXTSPLIT(FG173,","))&amp;",",","&amp;SUBSTITUTE(input_industry," ","")&amp;",")))&gt;0)),IF(FI173="",TRUE,IF(input_industry="",FALSE,SUMPRODUCT(--ISNUMBER(SEARCH(","&amp;TRIM(TEXTSPLIT(FI173,","))&amp;",",","&amp;SUBSTITUTE(input_industry," ","")&amp;",")))=COUNTA(TEXTSPLIT(FI173,",")))),IF(FK173="",TRUE,IF(input_industry="",TRUE,SUMPRODUCT(--ISNUMBER(SEARCH(","&amp;TRIM(TEXTSPLIT(FK173,","))&amp;",",","&amp;SUBSTITUTE(input_industry," ","")&amp;",")))=0)),IF(FM173="",TRUE,IF(input_industry="",FALSE,SUMPRODUCT(--ISNUMBER(SEARCH(","&amp;TRIM(TEXTSPLIT(FM173,","))&amp;",",","&amp;SUBSTITUTE(input_industry," ","")&amp;",")))&gt;0)),IF(FO173="",TRUE,IF(input_industry="",FALSE,SUMPRODUCT(--ISNUMBER(SEARCH(","&amp;TRIM(TEXTSPLIT(FO173,","))&amp;",",","&amp;SUBSTITUTE(input_industry," ","")&amp;",")))=COUNTA(TEXTSPLIT(FO173,",")))))</f>
        <v/>
      </c>
      <c r="JJ173">
        <f>AND(IF(FQ173="",TRUE,IF(input_location="",FALSE,SUMPRODUCT(--ISNUMBER(SEARCH(","&amp;TRIM(TEXTSPLIT(FQ173,","))&amp;",",","&amp;SUBSTITUTE(input_location," ","")&amp;",")))&gt;0)),IF(FS173="",TRUE,IF(input_location="",FALSE,SUMPRODUCT(--ISNUMBER(SEARCH(","&amp;TRIM(TEXTSPLIT(FS173,","))&amp;",",","&amp;SUBSTITUTE(input_location," ","")&amp;",")))=COUNTA(TEXTSPLIT(FS173,",")))),IF(FU173="",TRUE,IF(input_location="",TRUE,SUMPRODUCT(--ISNUMBER(SEARCH(","&amp;TRIM(TEXTSPLIT(FU173,","))&amp;",",","&amp;SUBSTITUTE(input_location," ","")&amp;",")))=0)),IF(FW173="",TRUE,IF(input_location="",FALSE,SUMPRODUCT(--ISNUMBER(SEARCH(","&amp;TRIM(TEXTSPLIT(FW173,","))&amp;",",","&amp;SUBSTITUTE(input_location," ","")&amp;",")))&gt;0)),IF(FY173="",TRUE,IF(input_location="",FALSE,SUMPRODUCT(--ISNUMBER(SEARCH(","&amp;TRIM(TEXTSPLIT(FY173,","))&amp;",",","&amp;SUBSTITUTE(input_location," ","")&amp;",")))=COUNTA(TEXTSPLIT(FY173,",")))))</f>
        <v/>
      </c>
      <c r="JK173">
        <f>AND(IF(GA173="",TRUE,IF(input_modality="",FALSE,SUMPRODUCT(--ISNUMBER(SEARCH(","&amp;TRIM(TEXTSPLIT(GA173,","))&amp;",",","&amp;SUBSTITUTE(input_modality," ","")&amp;",")))&gt;0)),IF(GC173="",TRUE,IF(input_modality="",FALSE,SUMPRODUCT(--ISNUMBER(SEARCH(","&amp;TRIM(TEXTSPLIT(GC173,","))&amp;",",","&amp;SUBSTITUTE(input_modality," ","")&amp;",")))=COUNTA(TEXTSPLIT(GC173,",")))),IF(GE173="",TRUE,IF(input_modality="",TRUE,SUMPRODUCT(--ISNUMBER(SEARCH(","&amp;TRIM(TEXTSPLIT(GE173,","))&amp;",",","&amp;SUBSTITUTE(input_modality," ","")&amp;",")))=0)),IF(GG173="",TRUE,IF(input_modality="",FALSE,SUMPRODUCT(--ISNUMBER(SEARCH(","&amp;TRIM(TEXTSPLIT(GG173,","))&amp;",",","&amp;SUBSTITUTE(input_modality," ","")&amp;",")))&gt;0)),IF(GI173="",TRUE,IF(input_modality="",FALSE,SUMPRODUCT(--ISNUMBER(SEARCH(","&amp;TRIM(TEXTSPLIT(GI173,","))&amp;",",","&amp;SUBSTITUTE(input_modality," ","")&amp;",")))=COUNTA(TEXTSPLIT(GI173,",")))))</f>
        <v/>
      </c>
      <c r="JL173">
        <f>AND(IF(GK173="",TRUE,IF(input_organizer="",FALSE,SUMPRODUCT(--ISNUMBER(SEARCH(","&amp;TRIM(TEXTSPLIT(GK173,","))&amp;",",","&amp;SUBSTITUTE(input_organizer," ","")&amp;",")))&gt;0)),IF(GM173="",TRUE,IF(input_organizer="",FALSE,SUMPRODUCT(--ISNUMBER(SEARCH(","&amp;TRIM(TEXTSPLIT(GM173,","))&amp;",",","&amp;SUBSTITUTE(input_organizer," ","")&amp;",")))=COUNTA(TEXTSPLIT(GM173,",")))),IF(GO173="",TRUE,IF(input_organizer="",TRUE,SUMPRODUCT(--ISNUMBER(SEARCH(","&amp;TRIM(TEXTSPLIT(GO173,","))&amp;",",","&amp;SUBSTITUTE(input_organizer," ","")&amp;",")))=0)),IF(GQ173="",TRUE,IF(input_organizer="",FALSE,SUMPRODUCT(--ISNUMBER(SEARCH(","&amp;TRIM(TEXTSPLIT(GQ173,","))&amp;",",","&amp;SUBSTITUTE(input_organizer," ","")&amp;",")))&gt;0)),IF(GS173="",TRUE,IF(input_organizer="",FALSE,SUMPRODUCT(--ISNUMBER(SEARCH(","&amp;TRIM(TEXTSPLIT(GS173,","))&amp;",",","&amp;SUBSTITUTE(input_organizer," ","")&amp;",")))=COUNTA(TEXTSPLIT(GS173,",")))))</f>
        <v/>
      </c>
      <c r="JM173">
        <f>AND(IF(GU173="",TRUE,IF(input_profile_type="",FALSE,SUMPRODUCT(--ISNUMBER(SEARCH(","&amp;TRIM(TEXTSPLIT(GU173,","))&amp;",",","&amp;SUBSTITUTE(input_profile_type," ","")&amp;",")))&gt;0)),IF(GW173="",TRUE,IF(input_profile_type="",FALSE,SUMPRODUCT(--ISNUMBER(SEARCH(","&amp;TRIM(TEXTSPLIT(GW173,","))&amp;",",","&amp;SUBSTITUTE(input_profile_type," ","")&amp;",")))=COUNTA(TEXTSPLIT(GW173,",")))),IF(GY173="",TRUE,IF(input_profile_type="",TRUE,SUMPRODUCT(--ISNUMBER(SEARCH(","&amp;TRIM(TEXTSPLIT(GY173,","))&amp;",",","&amp;SUBSTITUTE(input_profile_type," ","")&amp;",")))=0)),IF(HA173="",TRUE,IF(input_profile_type="",FALSE,SUMPRODUCT(--ISNUMBER(SEARCH(","&amp;TRIM(TEXTSPLIT(HA173,","))&amp;",",","&amp;SUBSTITUTE(input_profile_type," ","")&amp;",")))&gt;0)),IF(HC173="",TRUE,IF(input_profile_type="",FALSE,SUMPRODUCT(--ISNUMBER(SEARCH(","&amp;TRIM(TEXTSPLIT(HC173,","))&amp;",",","&amp;SUBSTITUTE(input_profile_type," ","")&amp;",")))=COUNTA(TEXTSPLIT(HC173,",")))))</f>
        <v/>
      </c>
      <c r="JN173">
        <f>AND(IF(HE173="",TRUE,IF(input_program="",FALSE,SUMPRODUCT(--ISNUMBER(SEARCH(","&amp;TRIM(TEXTSPLIT(HE173,","))&amp;",",","&amp;SUBSTITUTE(input_program," ","")&amp;",")))&gt;0)),IF(HG173="",TRUE,IF(input_program="",FALSE,SUMPRODUCT(--ISNUMBER(SEARCH(","&amp;TRIM(TEXTSPLIT(HG173,","))&amp;",",","&amp;SUBSTITUTE(input_program," ","")&amp;",")))=COUNTA(TEXTSPLIT(HG173,",")))),IF(HI173="",TRUE,IF(input_program="",TRUE,SUMPRODUCT(--ISNUMBER(SEARCH(","&amp;TRIM(TEXTSPLIT(HI173,","))&amp;",",","&amp;SUBSTITUTE(input_program," ","")&amp;",")))=0)),IF(HK173="",TRUE,IF(input_program="",FALSE,SUMPRODUCT(--ISNUMBER(SEARCH(","&amp;TRIM(TEXTSPLIT(HK173,","))&amp;",",","&amp;SUBSTITUTE(input_program," ","")&amp;",")))&gt;0)),IF(HM173="",TRUE,IF(input_program="",FALSE,SUMPRODUCT(--ISNUMBER(SEARCH(","&amp;TRIM(TEXTSPLIT(HM173,","))&amp;",",","&amp;SUBSTITUTE(input_program," ","")&amp;",")))=COUNTA(TEXTSPLIT(HM173,",")))))</f>
        <v/>
      </c>
      <c r="JO173">
        <f>AND(IF(HO173="",TRUE,IF(input_story_categories="",FALSE,SUMPRODUCT(--ISNUMBER(SEARCH(","&amp;TRIM(TEXTSPLIT(HO173,","))&amp;",",","&amp;SUBSTITUTE(input_story_categories," ","")&amp;",")))&gt;0)),IF(HQ173="",TRUE,IF(input_story_categories="",FALSE,SUMPRODUCT(--ISNUMBER(SEARCH(","&amp;TRIM(TEXTSPLIT(HQ173,","))&amp;",",","&amp;SUBSTITUTE(input_story_categories," ","")&amp;",")))=COUNTA(TEXTSPLIT(HQ173,",")))),IF(HS173="",TRUE,IF(input_story_categories="",TRUE,SUMPRODUCT(--ISNUMBER(SEARCH(","&amp;TRIM(TEXTSPLIT(HS173,","))&amp;",",","&amp;SUBSTITUTE(input_story_categories," ","")&amp;",")))=0)),IF(HU173="",TRUE,IF(input_story_categories="",FALSE,SUMPRODUCT(--ISNUMBER(SEARCH(","&amp;TRIM(TEXTSPLIT(HU173,","))&amp;",",","&amp;SUBSTITUTE(input_story_categories," ","")&amp;",")))&gt;0)),IF(HW173="",TRUE,IF(input_story_categories="",FALSE,SUMPRODUCT(--ISNUMBER(SEARCH(","&amp;TRIM(TEXTSPLIT(HW173,","))&amp;",",","&amp;SUBSTITUTE(input_story_categories," ","")&amp;",")))=COUNTA(TEXTSPLIT(HW173,",")))))</f>
        <v/>
      </c>
      <c r="JP173">
        <f>AND(IF(HY173="",TRUE,IF(input_story_type="",FALSE,SUMPRODUCT(--ISNUMBER(SEARCH(","&amp;TRIM(TEXTSPLIT(HY173,","))&amp;",",","&amp;SUBSTITUTE(input_story_type," ","")&amp;",")))&gt;0)),IF(IA173="",TRUE,IF(input_story_type="",FALSE,SUMPRODUCT(--ISNUMBER(SEARCH(","&amp;TRIM(TEXTSPLIT(IA173,","))&amp;",",","&amp;SUBSTITUTE(input_story_type," ","")&amp;",")))=COUNTA(TEXTSPLIT(IA173,",")))),IF(IC173="",TRUE,IF(input_story_type="",TRUE,SUMPRODUCT(--ISNUMBER(SEARCH(","&amp;TRIM(TEXTSPLIT(IC173,","))&amp;",",","&amp;SUBSTITUTE(input_story_type," ","")&amp;",")))=0)),IF(IE173="",TRUE,IF(input_story_type="",FALSE,SUMPRODUCT(--ISNUMBER(SEARCH(","&amp;TRIM(TEXTSPLIT(IE173,","))&amp;",",","&amp;SUBSTITUTE(input_story_type," ","")&amp;",")))&gt;0)),IF(IG173="",TRUE,IF(input_story_type="",FALSE,SUMPRODUCT(--ISNUMBER(SEARCH(","&amp;TRIM(TEXTSPLIT(IG173,","))&amp;",",","&amp;SUBSTITUTE(input_story_type," ","")&amp;",")))=COUNTA(TEXTSPLIT(IG173,",")))))</f>
        <v/>
      </c>
      <c r="JQ173">
        <f>AND(IF(II173="",TRUE,IF(input_topics="",FALSE,SUMPRODUCT(--ISNUMBER(SEARCH(","&amp;TRIM(TEXTSPLIT(II173,","))&amp;",",","&amp;SUBSTITUTE(input_topics," ","")&amp;",")))&gt;0)),IF(IK173="",TRUE,IF(input_topics="",FALSE,SUMPRODUCT(--ISNUMBER(SEARCH(","&amp;TRIM(TEXTSPLIT(IK173,","))&amp;",",","&amp;SUBSTITUTE(input_topics," ","")&amp;",")))=COUNTA(TEXTSPLIT(IK173,",")))),IF(IM173="",TRUE,IF(input_topics="",TRUE,SUMPRODUCT(--ISNUMBER(SEARCH(","&amp;TRIM(TEXTSPLIT(IM173,","))&amp;",",","&amp;SUBSTITUTE(input_topics," ","")&amp;",")))=0)),IF(IO173="",TRUE,IF(input_topics="",FALSE,SUMPRODUCT(--ISNUMBER(SEARCH(","&amp;TRIM(TEXTSPLIT(IO173,","))&amp;",",","&amp;SUBSTITUTE(input_topics," ","")&amp;",")))&gt;0)),IF(IQ173="",TRUE,IF(input_topics="",FALSE,SUMPRODUCT(--ISNUMBER(SEARCH(","&amp;TRIM(TEXTSPLIT(IQ173,","))&amp;",",","&amp;SUBSTITUTE(input_topics," ","")&amp;",")))=COUNTA(TEXTSPLIT(IQ173,",")))))</f>
        <v/>
      </c>
    </row>
    <row r="174">
      <c r="A174" s="4">
        <f>IF(NOT(IS174),"Excluded",IF(AND(IT174,IU174,IV174,IW174,IX174,IY174,IZ174,JA174,JB174,JC174,JD174,JE174,JF174,JG174,JH174,JI174,JJ174,JK174,JL174,JM174,JN174,JO174,JP174,JQ174),IF(I174&gt;0,"Eligible but limited","Will appear"),"Excluded"))</f>
        <v/>
      </c>
      <c r="B174" s="4" t="inlineStr">
        <is>
          <t>Related stories</t>
        </is>
      </c>
      <c r="C174" s="4" t="inlineStr">
        <is>
          <t>/programs/emba/curriculum/global-offerings</t>
        </is>
      </c>
      <c r="D174" s="4" t="inlineStr">
        <is>
          <t>/programs/emba/curriculum/global-offerings</t>
        </is>
      </c>
      <c r="E174" s="4" t="n">
        <v>1</v>
      </c>
      <c r="F174" s="4" t="inlineStr">
        <is>
          <t>story</t>
        </is>
      </c>
      <c r="G174" s="4" t="inlineStr">
        <is>
          <t>stories_teaser_cards</t>
        </is>
      </c>
      <c r="H174" s="4" t="inlineStr">
        <is>
          <t>embed_blog</t>
        </is>
      </c>
      <c r="I174" s="4" t="n">
        <v>3</v>
      </c>
      <c r="J174" s="4" t="inlineStr">
        <is>
          <t>Section inferred</t>
        </is>
      </c>
      <c r="K174" s="4" t="inlineStr">
        <is>
          <t>Page placement</t>
        </is>
      </c>
      <c r="L174" s="4" t="inlineStr">
        <is>
          <t>Content type: story; Context uses Courses Context: MBA For Executives (928); Needs any Story Type: Blog (974); Limited to 3 item(s); Source: Section inferred</t>
        </is>
      </c>
      <c r="M174" t="inlineStr"/>
      <c r="N174" t="inlineStr"/>
      <c r="O174" t="inlineStr"/>
      <c r="P174" t="inlineStr"/>
      <c r="Q174" t="inlineStr"/>
      <c r="R174" t="inlineStr"/>
      <c r="S174" t="inlineStr"/>
      <c r="T174" t="inlineStr"/>
      <c r="U174" t="inlineStr"/>
      <c r="V174" t="inlineStr"/>
      <c r="W174" t="inlineStr"/>
      <c r="X174" t="inlineStr"/>
      <c r="Y174" t="inlineStr"/>
      <c r="Z174" t="inlineStr"/>
      <c r="AA174" t="inlineStr"/>
      <c r="AB174" t="inlineStr"/>
      <c r="AC174" t="inlineStr"/>
      <c r="AD174" t="inlineStr"/>
      <c r="AE174" t="inlineStr"/>
      <c r="AF174" t="inlineStr"/>
      <c r="AG174" t="inlineStr"/>
      <c r="AH174" t="inlineStr"/>
      <c r="AI174" t="inlineStr"/>
      <c r="AJ174" t="inlineStr"/>
      <c r="AK174" t="inlineStr"/>
      <c r="AL174" t="inlineStr"/>
      <c r="AM174" t="inlineStr"/>
      <c r="AN174" t="inlineStr"/>
      <c r="AO174" t="inlineStr"/>
      <c r="AP174" t="inlineStr"/>
      <c r="AQ174" t="inlineStr"/>
      <c r="AR174" t="inlineStr"/>
      <c r="AS174" t="inlineStr"/>
      <c r="AT174" t="inlineStr"/>
      <c r="AU174" t="inlineStr"/>
      <c r="AV174" t="inlineStr"/>
      <c r="AW174" t="inlineStr"/>
      <c r="AX174" t="inlineStr"/>
      <c r="AY174" t="inlineStr"/>
      <c r="AZ174" t="inlineStr"/>
      <c r="BA174" t="inlineStr"/>
      <c r="BB174" t="inlineStr"/>
      <c r="BC174" t="inlineStr"/>
      <c r="BD174" t="inlineStr"/>
      <c r="BE174" t="inlineStr"/>
      <c r="BF174" t="inlineStr"/>
      <c r="BG174" t="inlineStr"/>
      <c r="BH174" t="inlineStr"/>
      <c r="BI174" t="inlineStr"/>
      <c r="BJ174" t="inlineStr"/>
      <c r="BK174" t="inlineStr"/>
      <c r="BL174" t="inlineStr"/>
      <c r="BM174" t="inlineStr"/>
      <c r="BN174" t="inlineStr"/>
      <c r="BO174" t="inlineStr"/>
      <c r="BP174" t="inlineStr"/>
      <c r="BQ174" t="inlineStr">
        <is>
          <t>928</t>
        </is>
      </c>
      <c r="BR174" t="inlineStr">
        <is>
          <t>MBA For Executives (928)</t>
        </is>
      </c>
      <c r="BS174" t="inlineStr"/>
      <c r="BT174" t="inlineStr"/>
      <c r="BU174" t="inlineStr"/>
      <c r="BV174" t="inlineStr"/>
      <c r="BW174" t="inlineStr"/>
      <c r="BX174" t="inlineStr"/>
      <c r="BY174" t="inlineStr"/>
      <c r="BZ174" t="inlineStr"/>
      <c r="CA174" t="inlineStr"/>
      <c r="CB174" t="inlineStr"/>
      <c r="CC174" t="inlineStr"/>
      <c r="CD174" t="inlineStr"/>
      <c r="CE174" t="inlineStr"/>
      <c r="CF174" t="inlineStr"/>
      <c r="CG174" t="inlineStr"/>
      <c r="CH174" t="inlineStr"/>
      <c r="CI174" t="inlineStr"/>
      <c r="CJ174" t="inlineStr"/>
      <c r="CK174" t="inlineStr"/>
      <c r="CL174" t="inlineStr"/>
      <c r="CM174" t="inlineStr"/>
      <c r="CN174" t="inlineStr"/>
      <c r="CO174" t="inlineStr"/>
      <c r="CP174" t="inlineStr"/>
      <c r="CQ174" t="inlineStr"/>
      <c r="CR174" t="inlineStr"/>
      <c r="CS174" t="inlineStr"/>
      <c r="CT174" t="inlineStr"/>
      <c r="CU174" t="inlineStr"/>
      <c r="CV174" t="inlineStr"/>
      <c r="CW174" t="inlineStr"/>
      <c r="CX174" t="inlineStr"/>
      <c r="CY174" t="inlineStr"/>
      <c r="CZ174" t="inlineStr"/>
      <c r="DA174" t="inlineStr"/>
      <c r="DB174" t="inlineStr"/>
      <c r="DC174" t="inlineStr"/>
      <c r="DD174" t="inlineStr"/>
      <c r="DE174" t="inlineStr"/>
      <c r="DF174" t="inlineStr"/>
      <c r="DG174" t="inlineStr"/>
      <c r="DH174" t="inlineStr"/>
      <c r="DI174" t="inlineStr"/>
      <c r="DJ174" t="inlineStr"/>
      <c r="DK174" t="inlineStr"/>
      <c r="DL174" t="inlineStr"/>
      <c r="DM174" t="inlineStr"/>
      <c r="DN174" t="inlineStr"/>
      <c r="DO174" t="inlineStr"/>
      <c r="DP174" t="inlineStr"/>
      <c r="DQ174" t="inlineStr"/>
      <c r="DR174" t="inlineStr"/>
      <c r="DS174" t="inlineStr"/>
      <c r="DT174" t="inlineStr"/>
      <c r="DU174" t="inlineStr"/>
      <c r="DV174" t="inlineStr"/>
      <c r="DW174" t="inlineStr"/>
      <c r="DX174" t="inlineStr"/>
      <c r="DY174" t="inlineStr"/>
      <c r="DZ174" t="inlineStr"/>
      <c r="EA174" t="inlineStr"/>
      <c r="EB174" t="inlineStr"/>
      <c r="EC174" t="inlineStr"/>
      <c r="ED174" t="inlineStr"/>
      <c r="EE174" t="inlineStr"/>
      <c r="EF174" t="inlineStr"/>
      <c r="EG174" t="inlineStr"/>
      <c r="EH174" t="inlineStr"/>
      <c r="EI174" t="inlineStr"/>
      <c r="EJ174" t="inlineStr"/>
      <c r="EK174" t="inlineStr"/>
      <c r="EL174" t="inlineStr"/>
      <c r="EM174" t="inlineStr"/>
      <c r="EN174" t="inlineStr"/>
      <c r="EO174" t="inlineStr"/>
      <c r="EP174" t="inlineStr"/>
      <c r="EQ174" t="inlineStr"/>
      <c r="ER174" t="inlineStr"/>
      <c r="ES174" t="inlineStr"/>
      <c r="ET174" t="inlineStr"/>
      <c r="EU174" t="inlineStr"/>
      <c r="EV174" t="inlineStr"/>
      <c r="EW174" t="inlineStr"/>
      <c r="EX174" t="inlineStr"/>
      <c r="EY174" t="inlineStr"/>
      <c r="EZ174" t="inlineStr"/>
      <c r="FA174" t="inlineStr"/>
      <c r="FB174" t="inlineStr"/>
      <c r="FC174" t="inlineStr"/>
      <c r="FD174" t="inlineStr"/>
      <c r="FE174" t="inlineStr"/>
      <c r="FF174" t="inlineStr"/>
      <c r="FG174" t="inlineStr"/>
      <c r="FH174" t="inlineStr"/>
      <c r="FI174" t="inlineStr"/>
      <c r="FJ174" t="inlineStr"/>
      <c r="FK174" t="inlineStr"/>
      <c r="FL174" t="inlineStr"/>
      <c r="FM174" t="inlineStr"/>
      <c r="FN174" t="inlineStr"/>
      <c r="FO174" t="inlineStr"/>
      <c r="FP174" t="inlineStr"/>
      <c r="FQ174" t="inlineStr"/>
      <c r="FR174" t="inlineStr"/>
      <c r="FS174" t="inlineStr"/>
      <c r="FT174" t="inlineStr"/>
      <c r="FU174" t="inlineStr"/>
      <c r="FV174" t="inlineStr"/>
      <c r="FW174" t="inlineStr"/>
      <c r="FX174" t="inlineStr"/>
      <c r="FY174" t="inlineStr"/>
      <c r="FZ174" t="inlineStr"/>
      <c r="GA174" t="inlineStr"/>
      <c r="GB174" t="inlineStr"/>
      <c r="GC174" t="inlineStr"/>
      <c r="GD174" t="inlineStr"/>
      <c r="GE174" t="inlineStr"/>
      <c r="GF174" t="inlineStr"/>
      <c r="GG174" t="inlineStr"/>
      <c r="GH174" t="inlineStr"/>
      <c r="GI174" t="inlineStr"/>
      <c r="GJ174" t="inlineStr"/>
      <c r="GK174" t="inlineStr"/>
      <c r="GL174" t="inlineStr"/>
      <c r="GM174" t="inlineStr"/>
      <c r="GN174" t="inlineStr"/>
      <c r="GO174" t="inlineStr"/>
      <c r="GP174" t="inlineStr"/>
      <c r="GQ174" t="inlineStr"/>
      <c r="GR174" t="inlineStr"/>
      <c r="GS174" t="inlineStr"/>
      <c r="GT174" t="inlineStr"/>
      <c r="GU174" t="inlineStr"/>
      <c r="GV174" t="inlineStr"/>
      <c r="GW174" t="inlineStr"/>
      <c r="GX174" t="inlineStr"/>
      <c r="GY174" t="inlineStr"/>
      <c r="GZ174" t="inlineStr"/>
      <c r="HA174" t="inlineStr"/>
      <c r="HB174" t="inlineStr"/>
      <c r="HC174" t="inlineStr"/>
      <c r="HD174" t="inlineStr"/>
      <c r="HE174" t="inlineStr"/>
      <c r="HF174" t="inlineStr"/>
      <c r="HG174" t="inlineStr"/>
      <c r="HH174" t="inlineStr"/>
      <c r="HI174" t="inlineStr"/>
      <c r="HJ174" t="inlineStr"/>
      <c r="HK174" t="inlineStr"/>
      <c r="HL174" t="inlineStr"/>
      <c r="HM174" t="inlineStr"/>
      <c r="HN174" t="inlineStr"/>
      <c r="HO174" t="inlineStr"/>
      <c r="HP174" t="inlineStr"/>
      <c r="HQ174" t="inlineStr"/>
      <c r="HR174" t="inlineStr"/>
      <c r="HS174" t="inlineStr"/>
      <c r="HT174" t="inlineStr"/>
      <c r="HU174" t="inlineStr"/>
      <c r="HV174" t="inlineStr"/>
      <c r="HW174" t="inlineStr"/>
      <c r="HX174" t="inlineStr"/>
      <c r="HY174" t="inlineStr">
        <is>
          <t>974</t>
        </is>
      </c>
      <c r="HZ174" t="inlineStr">
        <is>
          <t>Blog (974)</t>
        </is>
      </c>
      <c r="IA174" t="inlineStr"/>
      <c r="IB174" t="inlineStr"/>
      <c r="IC174" t="inlineStr"/>
      <c r="ID174" t="inlineStr"/>
      <c r="IE174" t="inlineStr"/>
      <c r="IF174" t="inlineStr"/>
      <c r="IG174" t="inlineStr"/>
      <c r="IH174" t="inlineStr"/>
      <c r="II174" t="inlineStr"/>
      <c r="IJ174" t="inlineStr"/>
      <c r="IK174" t="inlineStr"/>
      <c r="IL174" t="inlineStr"/>
      <c r="IM174" t="inlineStr"/>
      <c r="IN174" t="inlineStr"/>
      <c r="IO174" t="inlineStr"/>
      <c r="IP174" t="inlineStr"/>
      <c r="IQ174" t="inlineStr"/>
      <c r="IR174" t="inlineStr"/>
      <c r="IS174">
        <f>IF(input_content_type="",FALSE,ISNUMBER(SEARCH(","&amp;LOWER(input_content_type)&amp;",",","&amp;LOWER(F174)&amp;",")))</f>
        <v/>
      </c>
      <c r="IT174">
        <f>AND(IF(M174="",TRUE,IF(input_affiliations="",FALSE,SUMPRODUCT(--ISNUMBER(SEARCH(","&amp;TRIM(TEXTSPLIT(M174,","))&amp;",",","&amp;SUBSTITUTE(input_affiliations," ","")&amp;",")))&gt;0)),IF(O174="",TRUE,IF(input_affiliations="",FALSE,SUMPRODUCT(--ISNUMBER(SEARCH(","&amp;TRIM(TEXTSPLIT(O174,","))&amp;",",","&amp;SUBSTITUTE(input_affiliations," ","")&amp;",")))=COUNTA(TEXTSPLIT(O174,",")))),IF(Q174="",TRUE,IF(input_affiliations="",TRUE,SUMPRODUCT(--ISNUMBER(SEARCH(","&amp;TRIM(TEXTSPLIT(Q174,","))&amp;",",","&amp;SUBSTITUTE(input_affiliations," ","")&amp;",")))=0)),IF(S174="",TRUE,IF(input_affiliations="",FALSE,SUMPRODUCT(--ISNUMBER(SEARCH(","&amp;TRIM(TEXTSPLIT(S174,","))&amp;",",","&amp;SUBSTITUTE(input_affiliations," ","")&amp;",")))&gt;0)),IF(U174="",TRUE,IF(input_affiliations="",FALSE,SUMPRODUCT(--ISNUMBER(SEARCH(","&amp;TRIM(TEXTSPLIT(U174,","))&amp;",",","&amp;SUBSTITUTE(input_affiliations," ","")&amp;",")))=COUNTA(TEXTSPLIT(U174,",")))))</f>
        <v/>
      </c>
      <c r="IU174">
        <f>AND(IF(W174="",TRUE,IF(input_announcement_category="",FALSE,SUMPRODUCT(--ISNUMBER(SEARCH(","&amp;TRIM(TEXTSPLIT(W174,","))&amp;",",","&amp;SUBSTITUTE(input_announcement_category," ","")&amp;",")))&gt;0)),IF(Y174="",TRUE,IF(input_announcement_category="",FALSE,SUMPRODUCT(--ISNUMBER(SEARCH(","&amp;TRIM(TEXTSPLIT(Y174,","))&amp;",",","&amp;SUBSTITUTE(input_announcement_category," ","")&amp;",")))=COUNTA(TEXTSPLIT(Y174,",")))),IF(AA174="",TRUE,IF(input_announcement_category="",TRUE,SUMPRODUCT(--ISNUMBER(SEARCH(","&amp;TRIM(TEXTSPLIT(AA174,","))&amp;",",","&amp;SUBSTITUTE(input_announcement_category," ","")&amp;",")))=0)),IF(AC174="",TRUE,IF(input_announcement_category="",FALSE,SUMPRODUCT(--ISNUMBER(SEARCH(","&amp;TRIM(TEXTSPLIT(AC174,","))&amp;",",","&amp;SUBSTITUTE(input_announcement_category," ","")&amp;",")))&gt;0)),IF(AE174="",TRUE,IF(input_announcement_category="",FALSE,SUMPRODUCT(--ISNUMBER(SEARCH(","&amp;TRIM(TEXTSPLIT(AE174,","))&amp;",",","&amp;SUBSTITUTE(input_announcement_category," ","")&amp;",")))=COUNTA(TEXTSPLIT(AE174,",")))))</f>
        <v/>
      </c>
      <c r="IV174">
        <f>AND(IF(AG174="",TRUE,IF(input_area_of_focus="",FALSE,SUMPRODUCT(--ISNUMBER(SEARCH(","&amp;TRIM(TEXTSPLIT(AG174,","))&amp;",",","&amp;SUBSTITUTE(input_area_of_focus," ","")&amp;",")))&gt;0)),IF(AI174="",TRUE,IF(input_area_of_focus="",FALSE,SUMPRODUCT(--ISNUMBER(SEARCH(","&amp;TRIM(TEXTSPLIT(AI174,","))&amp;",",","&amp;SUBSTITUTE(input_area_of_focus," ","")&amp;",")))=COUNTA(TEXTSPLIT(AI174,",")))),IF(AK174="",TRUE,IF(input_area_of_focus="",TRUE,SUMPRODUCT(--ISNUMBER(SEARCH(","&amp;TRIM(TEXTSPLIT(AK174,","))&amp;",",","&amp;SUBSTITUTE(input_area_of_focus," ","")&amp;",")))=0)),IF(AM174="",TRUE,IF(input_area_of_focus="",FALSE,SUMPRODUCT(--ISNUMBER(SEARCH(","&amp;TRIM(TEXTSPLIT(AM174,","))&amp;",",","&amp;SUBSTITUTE(input_area_of_focus," ","")&amp;",")))&gt;0)),IF(AO174="",TRUE,IF(input_area_of_focus="",FALSE,SUMPRODUCT(--ISNUMBER(SEARCH(","&amp;TRIM(TEXTSPLIT(AO174,","))&amp;",",","&amp;SUBSTITUTE(input_area_of_focus," ","")&amp;",")))=COUNTA(TEXTSPLIT(AO174,",")))))</f>
        <v/>
      </c>
      <c r="IW174">
        <f>AND(IF(AQ174="",TRUE,IF(input_audience="",FALSE,SUMPRODUCT(--ISNUMBER(SEARCH(","&amp;TRIM(TEXTSPLIT(AQ174,","))&amp;",",","&amp;SUBSTITUTE(input_audience," ","")&amp;",")))&gt;0)),IF(AS174="",TRUE,IF(input_audience="",FALSE,SUMPRODUCT(--ISNUMBER(SEARCH(","&amp;TRIM(TEXTSPLIT(AS174,","))&amp;",",","&amp;SUBSTITUTE(input_audience," ","")&amp;",")))=COUNTA(TEXTSPLIT(AS174,",")))),IF(AU174="",TRUE,IF(input_audience="",TRUE,SUMPRODUCT(--ISNUMBER(SEARCH(","&amp;TRIM(TEXTSPLIT(AU174,","))&amp;",",","&amp;SUBSTITUTE(input_audience," ","")&amp;",")))=0)),IF(AW174="",TRUE,IF(input_audience="",FALSE,SUMPRODUCT(--ISNUMBER(SEARCH(","&amp;TRIM(TEXTSPLIT(AW174,","))&amp;",",","&amp;SUBSTITUTE(input_audience," ","")&amp;",")))&gt;0)),IF(AY174="",TRUE,IF(input_audience="",FALSE,SUMPRODUCT(--ISNUMBER(SEARCH(","&amp;TRIM(TEXTSPLIT(AY174,","))&amp;",",","&amp;SUBSTITUTE(input_audience," ","")&amp;",")))=COUNTA(TEXTSPLIT(AY174,",")))))</f>
        <v/>
      </c>
      <c r="IX174">
        <f>AND(IF(BA174="",TRUE,IF(input_challenge_opportunities="",FALSE,SUMPRODUCT(--ISNUMBER(SEARCH(","&amp;TRIM(TEXTSPLIT(BA174,","))&amp;",",","&amp;SUBSTITUTE(input_challenge_opportunities," ","")&amp;",")))&gt;0)),IF(BC174="",TRUE,IF(input_challenge_opportunities="",FALSE,SUMPRODUCT(--ISNUMBER(SEARCH(","&amp;TRIM(TEXTSPLIT(BC174,","))&amp;",",","&amp;SUBSTITUTE(input_challenge_opportunities," ","")&amp;",")))=COUNTA(TEXTSPLIT(BC174,",")))),IF(BE174="",TRUE,IF(input_challenge_opportunities="",TRUE,SUMPRODUCT(--ISNUMBER(SEARCH(","&amp;TRIM(TEXTSPLIT(BE174,","))&amp;",",","&amp;SUBSTITUTE(input_challenge_opportunities," ","")&amp;",")))=0)),IF(BG174="",TRUE,IF(input_challenge_opportunities="",FALSE,SUMPRODUCT(--ISNUMBER(SEARCH(","&amp;TRIM(TEXTSPLIT(BG174,","))&amp;",",","&amp;SUBSTITUTE(input_challenge_opportunities," ","")&amp;",")))&gt;0)),IF(BI174="",TRUE,IF(input_challenge_opportunities="",FALSE,SUMPRODUCT(--ISNUMBER(SEARCH(","&amp;TRIM(TEXTSPLIT(BI174,","))&amp;",",","&amp;SUBSTITUTE(input_challenge_opportunities," ","")&amp;",")))=COUNTA(TEXTSPLIT(BI174,",")))))</f>
        <v/>
      </c>
      <c r="IY174">
        <f>AND(IF(BK174="",TRUE,IF(input_context="",FALSE,SUMPRODUCT(--ISNUMBER(SEARCH(","&amp;TRIM(TEXTSPLIT(BK174,","))&amp;",",","&amp;SUBSTITUTE(input_context," ","")&amp;",")))&gt;0)),IF(BM174="",TRUE,IF(input_context="",FALSE,SUMPRODUCT(--ISNUMBER(SEARCH(","&amp;TRIM(TEXTSPLIT(BM174,","))&amp;",",","&amp;SUBSTITUTE(input_context," ","")&amp;",")))=COUNTA(TEXTSPLIT(BM174,",")))),IF(BO174="",TRUE,IF(input_context="",TRUE,SUMPRODUCT(--ISNUMBER(SEARCH(","&amp;TRIM(TEXTSPLIT(BO174,","))&amp;",",","&amp;SUBSTITUTE(input_context," ","")&amp;",")))=0)),IF(BQ174="",TRUE,IF(input_context="",FALSE,SUMPRODUCT(--ISNUMBER(SEARCH(","&amp;TRIM(TEXTSPLIT(BQ174,","))&amp;",",","&amp;SUBSTITUTE(input_context," ","")&amp;",")))&gt;0)),IF(BS174="",TRUE,IF(input_context="",FALSE,SUMPRODUCT(--ISNUMBER(SEARCH(","&amp;TRIM(TEXTSPLIT(BS174,","))&amp;",",","&amp;SUBSTITUTE(input_context," ","")&amp;",")))=COUNTA(TEXTSPLIT(BS174,",")))))</f>
        <v/>
      </c>
      <c r="IZ174">
        <f>AND(IF(BU174="",TRUE,IF(input_enews_announcement_type="",FALSE,SUMPRODUCT(--ISNUMBER(SEARCH(","&amp;TRIM(TEXTSPLIT(BU174,","))&amp;",",","&amp;SUBSTITUTE(input_enews_announcement_type," ","")&amp;",")))&gt;0)),IF(BW174="",TRUE,IF(input_enews_announcement_type="",FALSE,SUMPRODUCT(--ISNUMBER(SEARCH(","&amp;TRIM(TEXTSPLIT(BW174,","))&amp;",",","&amp;SUBSTITUTE(input_enews_announcement_type," ","")&amp;",")))=COUNTA(TEXTSPLIT(BW174,",")))),IF(BY174="",TRUE,IF(input_enews_announcement_type="",TRUE,SUMPRODUCT(--ISNUMBER(SEARCH(","&amp;TRIM(TEXTSPLIT(BY174,","))&amp;",",","&amp;SUBSTITUTE(input_enews_announcement_type," ","")&amp;",")))=0)),IF(CA174="",TRUE,IF(input_enews_announcement_type="",FALSE,SUMPRODUCT(--ISNUMBER(SEARCH(","&amp;TRIM(TEXTSPLIT(CA174,","))&amp;",",","&amp;SUBSTITUTE(input_enews_announcement_type," ","")&amp;",")))&gt;0)),IF(CC174="",TRUE,IF(input_enews_announcement_type="",FALSE,SUMPRODUCT(--ISNUMBER(SEARCH(","&amp;TRIM(TEXTSPLIT(CC174,","))&amp;",",","&amp;SUBSTITUTE(input_enews_announcement_type," ","")&amp;",")))=COUNTA(TEXTSPLIT(CC174,",")))))</f>
        <v/>
      </c>
      <c r="JA174">
        <f>AND(IF(CE174="",TRUE,IF(input_enews_audience="",FALSE,SUMPRODUCT(--ISNUMBER(SEARCH(","&amp;TRIM(TEXTSPLIT(CE174,","))&amp;",",","&amp;SUBSTITUTE(input_enews_audience," ","")&amp;",")))&gt;0)),IF(CG174="",TRUE,IF(input_enews_audience="",FALSE,SUMPRODUCT(--ISNUMBER(SEARCH(","&amp;TRIM(TEXTSPLIT(CG174,","))&amp;",",","&amp;SUBSTITUTE(input_enews_audience," ","")&amp;",")))=COUNTA(TEXTSPLIT(CG174,",")))),IF(CI174="",TRUE,IF(input_enews_audience="",TRUE,SUMPRODUCT(--ISNUMBER(SEARCH(","&amp;TRIM(TEXTSPLIT(CI174,","))&amp;",",","&amp;SUBSTITUTE(input_enews_audience," ","")&amp;",")))=0)),IF(CK174="",TRUE,IF(input_enews_audience="",FALSE,SUMPRODUCT(--ISNUMBER(SEARCH(","&amp;TRIM(TEXTSPLIT(CK174,","))&amp;",",","&amp;SUBSTITUTE(input_enews_audience," ","")&amp;",")))&gt;0)),IF(CM174="",TRUE,IF(input_enews_audience="",FALSE,SUMPRODUCT(--ISNUMBER(SEARCH(","&amp;TRIM(TEXTSPLIT(CM174,","))&amp;",",","&amp;SUBSTITUTE(input_enews_audience," ","")&amp;",")))=COUNTA(TEXTSPLIT(CM174,",")))))</f>
        <v/>
      </c>
      <c r="JB174">
        <f>AND(IF(CO174="",TRUE,IF(input_event_location="",FALSE,SUMPRODUCT(--ISNUMBER(SEARCH(","&amp;TRIM(TEXTSPLIT(CO174,","))&amp;",",","&amp;SUBSTITUTE(input_event_location," ","")&amp;",")))&gt;0)),IF(CQ174="",TRUE,IF(input_event_location="",FALSE,SUMPRODUCT(--ISNUMBER(SEARCH(","&amp;TRIM(TEXTSPLIT(CQ174,","))&amp;",",","&amp;SUBSTITUTE(input_event_location," ","")&amp;",")))=COUNTA(TEXTSPLIT(CQ174,",")))),IF(CS174="",TRUE,IF(input_event_location="",TRUE,SUMPRODUCT(--ISNUMBER(SEARCH(","&amp;TRIM(TEXTSPLIT(CS174,","))&amp;",",","&amp;SUBSTITUTE(input_event_location," ","")&amp;",")))=0)),IF(CU174="",TRUE,IF(input_event_location="",FALSE,SUMPRODUCT(--ISNUMBER(SEARCH(","&amp;TRIM(TEXTSPLIT(CU174,","))&amp;",",","&amp;SUBSTITUTE(input_event_location," ","")&amp;",")))&gt;0)),IF(CW174="",TRUE,IF(input_event_location="",FALSE,SUMPRODUCT(--ISNUMBER(SEARCH(","&amp;TRIM(TEXTSPLIT(CW174,","))&amp;",",","&amp;SUBSTITUTE(input_event_location," ","")&amp;",")))=COUNTA(TEXTSPLIT(CW174,",")))))</f>
        <v/>
      </c>
      <c r="JC174">
        <f>AND(IF(CY174="",TRUE,IF(input_event_type="",FALSE,SUMPRODUCT(--ISNUMBER(SEARCH(","&amp;TRIM(TEXTSPLIT(CY174,","))&amp;",",","&amp;SUBSTITUTE(input_event_type," ","")&amp;",")))&gt;0)),IF(DA174="",TRUE,IF(input_event_type="",FALSE,SUMPRODUCT(--ISNUMBER(SEARCH(","&amp;TRIM(TEXTSPLIT(DA174,","))&amp;",",","&amp;SUBSTITUTE(input_event_type," ","")&amp;",")))=COUNTA(TEXTSPLIT(DA174,",")))),IF(DC174="",TRUE,IF(input_event_type="",TRUE,SUMPRODUCT(--ISNUMBER(SEARCH(","&amp;TRIM(TEXTSPLIT(DC174,","))&amp;",",","&amp;SUBSTITUTE(input_event_type," ","")&amp;",")))=0)),IF(DE174="",TRUE,IF(input_event_type="",FALSE,SUMPRODUCT(--ISNUMBER(SEARCH(","&amp;TRIM(TEXTSPLIT(DE174,","))&amp;",",","&amp;SUBSTITUTE(input_event_type," ","")&amp;",")))&gt;0)),IF(DG174="",TRUE,IF(input_event_type="",FALSE,SUMPRODUCT(--ISNUMBER(SEARCH(","&amp;TRIM(TEXTSPLIT(DG174,","))&amp;",",","&amp;SUBSTITUTE(input_event_type," ","")&amp;",")))=COUNTA(TEXTSPLIT(DG174,",")))))</f>
        <v/>
      </c>
      <c r="JD174">
        <f>AND(IF(DI174="",TRUE,IF(input_executive_education_focus="",FALSE,SUMPRODUCT(--ISNUMBER(SEARCH(","&amp;TRIM(TEXTSPLIT(DI174,","))&amp;",",","&amp;SUBSTITUTE(input_executive_education_focus," ","")&amp;",")))&gt;0)),IF(DK174="",TRUE,IF(input_executive_education_focus="",FALSE,SUMPRODUCT(--ISNUMBER(SEARCH(","&amp;TRIM(TEXTSPLIT(DK174,","))&amp;",",","&amp;SUBSTITUTE(input_executive_education_focus," ","")&amp;",")))=COUNTA(TEXTSPLIT(DK174,",")))),IF(DM174="",TRUE,IF(input_executive_education_focus="",TRUE,SUMPRODUCT(--ISNUMBER(SEARCH(","&amp;TRIM(TEXTSPLIT(DM174,","))&amp;",",","&amp;SUBSTITUTE(input_executive_education_focus," ","")&amp;",")))=0)),IF(DO174="",TRUE,IF(input_executive_education_focus="",FALSE,SUMPRODUCT(--ISNUMBER(SEARCH(","&amp;TRIM(TEXTSPLIT(DO174,","))&amp;",",","&amp;SUBSTITUTE(input_executive_education_focus," ","")&amp;",")))&gt;0)),IF(DQ174="",TRUE,IF(input_executive_education_focus="",FALSE,SUMPRODUCT(--ISNUMBER(SEARCH(","&amp;TRIM(TEXTSPLIT(DQ174,","))&amp;",",","&amp;SUBSTITUTE(input_executive_education_focus," ","")&amp;",")))=COUNTA(TEXTSPLIT(DQ174,",")))))</f>
        <v/>
      </c>
      <c r="JE174">
        <f>AND(IF(DS174="",TRUE,IF(input_faculty_category="",FALSE,SUMPRODUCT(--ISNUMBER(SEARCH(","&amp;TRIM(TEXTSPLIT(DS174,","))&amp;",",","&amp;SUBSTITUTE(input_faculty_category," ","")&amp;",")))&gt;0)),IF(DU174="",TRUE,IF(input_faculty_category="",FALSE,SUMPRODUCT(--ISNUMBER(SEARCH(","&amp;TRIM(TEXTSPLIT(DU174,","))&amp;",",","&amp;SUBSTITUTE(input_faculty_category," ","")&amp;",")))=COUNTA(TEXTSPLIT(DU174,",")))),IF(DW174="",TRUE,IF(input_faculty_category="",TRUE,SUMPRODUCT(--ISNUMBER(SEARCH(","&amp;TRIM(TEXTSPLIT(DW174,","))&amp;",",","&amp;SUBSTITUTE(input_faculty_category," ","")&amp;",")))=0)),IF(DY174="",TRUE,IF(input_faculty_category="",FALSE,SUMPRODUCT(--ISNUMBER(SEARCH(","&amp;TRIM(TEXTSPLIT(DY174,","))&amp;",",","&amp;SUBSTITUTE(input_faculty_category," ","")&amp;",")))&gt;0)),IF(EA174="",TRUE,IF(input_faculty_category="",FALSE,SUMPRODUCT(--ISNUMBER(SEARCH(","&amp;TRIM(TEXTSPLIT(EA174,","))&amp;",",","&amp;SUBSTITUTE(input_faculty_category," ","")&amp;",")))=COUNTA(TEXTSPLIT(EA174,",")))))</f>
        <v/>
      </c>
      <c r="JF174">
        <f>AND(IF(EC174="",TRUE,IF(input_faculty_discipline="",FALSE,SUMPRODUCT(--ISNUMBER(SEARCH(","&amp;TRIM(TEXTSPLIT(EC174,","))&amp;",",","&amp;SUBSTITUTE(input_faculty_discipline," ","")&amp;",")))&gt;0)),IF(EE174="",TRUE,IF(input_faculty_discipline="",FALSE,SUMPRODUCT(--ISNUMBER(SEARCH(","&amp;TRIM(TEXTSPLIT(EE174,","))&amp;",",","&amp;SUBSTITUTE(input_faculty_discipline," ","")&amp;",")))=COUNTA(TEXTSPLIT(EE174,",")))),IF(EG174="",TRUE,IF(input_faculty_discipline="",TRUE,SUMPRODUCT(--ISNUMBER(SEARCH(","&amp;TRIM(TEXTSPLIT(EG174,","))&amp;",",","&amp;SUBSTITUTE(input_faculty_discipline," ","")&amp;",")))=0)),IF(EI174="",TRUE,IF(input_faculty_discipline="",FALSE,SUMPRODUCT(--ISNUMBER(SEARCH(","&amp;TRIM(TEXTSPLIT(EI174,","))&amp;",",","&amp;SUBSTITUTE(input_faculty_discipline," ","")&amp;",")))&gt;0)),IF(EK174="",TRUE,IF(input_faculty_discipline="",FALSE,SUMPRODUCT(--ISNUMBER(SEARCH(","&amp;TRIM(TEXTSPLIT(EK174,","))&amp;",",","&amp;SUBSTITUTE(input_faculty_discipline," ","")&amp;",")))=COUNTA(TEXTSPLIT(EK174,",")))))</f>
        <v/>
      </c>
      <c r="JG174">
        <f>AND(IF(EM174="",TRUE,IF(input_faculty_expertise="",FALSE,SUMPRODUCT(--ISNUMBER(SEARCH(","&amp;TRIM(TEXTSPLIT(EM174,","))&amp;",",","&amp;SUBSTITUTE(input_faculty_expertise," ","")&amp;",")))&gt;0)),IF(EO174="",TRUE,IF(input_faculty_expertise="",FALSE,SUMPRODUCT(--ISNUMBER(SEARCH(","&amp;TRIM(TEXTSPLIT(EO174,","))&amp;",",","&amp;SUBSTITUTE(input_faculty_expertise," ","")&amp;",")))=COUNTA(TEXTSPLIT(EO174,",")))),IF(EQ174="",TRUE,IF(input_faculty_expertise="",TRUE,SUMPRODUCT(--ISNUMBER(SEARCH(","&amp;TRIM(TEXTSPLIT(EQ174,","))&amp;",",","&amp;SUBSTITUTE(input_faculty_expertise," ","")&amp;",")))=0)),IF(ES174="",TRUE,IF(input_faculty_expertise="",FALSE,SUMPRODUCT(--ISNUMBER(SEARCH(","&amp;TRIM(TEXTSPLIT(ES174,","))&amp;",",","&amp;SUBSTITUTE(input_faculty_expertise," ","")&amp;",")))&gt;0)),IF(EU174="",TRUE,IF(input_faculty_expertise="",FALSE,SUMPRODUCT(--ISNUMBER(SEARCH(","&amp;TRIM(TEXTSPLIT(EU174,","))&amp;",",","&amp;SUBSTITUTE(input_faculty_expertise," ","")&amp;",")))=COUNTA(TEXTSPLIT(EU174,",")))))</f>
        <v/>
      </c>
      <c r="JH174">
        <f>AND(IF(EW174="",TRUE,IF(input_global_network_school="",FALSE,SUMPRODUCT(--ISNUMBER(SEARCH(","&amp;TRIM(TEXTSPLIT(EW174,","))&amp;",",","&amp;SUBSTITUTE(input_global_network_school," ","")&amp;",")))&gt;0)),IF(EY174="",TRUE,IF(input_global_network_school="",FALSE,SUMPRODUCT(--ISNUMBER(SEARCH(","&amp;TRIM(TEXTSPLIT(EY174,","))&amp;",",","&amp;SUBSTITUTE(input_global_network_school," ","")&amp;",")))=COUNTA(TEXTSPLIT(EY174,",")))),IF(FA174="",TRUE,IF(input_global_network_school="",TRUE,SUMPRODUCT(--ISNUMBER(SEARCH(","&amp;TRIM(TEXTSPLIT(FA174,","))&amp;",",","&amp;SUBSTITUTE(input_global_network_school," ","")&amp;",")))=0)),IF(FC174="",TRUE,IF(input_global_network_school="",FALSE,SUMPRODUCT(--ISNUMBER(SEARCH(","&amp;TRIM(TEXTSPLIT(FC174,","))&amp;",",","&amp;SUBSTITUTE(input_global_network_school," ","")&amp;",")))&gt;0)),IF(FE174="",TRUE,IF(input_global_network_school="",FALSE,SUMPRODUCT(--ISNUMBER(SEARCH(","&amp;TRIM(TEXTSPLIT(FE174,","))&amp;",",","&amp;SUBSTITUTE(input_global_network_school," ","")&amp;",")))=COUNTA(TEXTSPLIT(FE174,",")))))</f>
        <v/>
      </c>
      <c r="JI174">
        <f>AND(IF(FG174="",TRUE,IF(input_industry="",FALSE,SUMPRODUCT(--ISNUMBER(SEARCH(","&amp;TRIM(TEXTSPLIT(FG174,","))&amp;",",","&amp;SUBSTITUTE(input_industry," ","")&amp;",")))&gt;0)),IF(FI174="",TRUE,IF(input_industry="",FALSE,SUMPRODUCT(--ISNUMBER(SEARCH(","&amp;TRIM(TEXTSPLIT(FI174,","))&amp;",",","&amp;SUBSTITUTE(input_industry," ","")&amp;",")))=COUNTA(TEXTSPLIT(FI174,",")))),IF(FK174="",TRUE,IF(input_industry="",TRUE,SUMPRODUCT(--ISNUMBER(SEARCH(","&amp;TRIM(TEXTSPLIT(FK174,","))&amp;",",","&amp;SUBSTITUTE(input_industry," ","")&amp;",")))=0)),IF(FM174="",TRUE,IF(input_industry="",FALSE,SUMPRODUCT(--ISNUMBER(SEARCH(","&amp;TRIM(TEXTSPLIT(FM174,","))&amp;",",","&amp;SUBSTITUTE(input_industry," ","")&amp;",")))&gt;0)),IF(FO174="",TRUE,IF(input_industry="",FALSE,SUMPRODUCT(--ISNUMBER(SEARCH(","&amp;TRIM(TEXTSPLIT(FO174,","))&amp;",",","&amp;SUBSTITUTE(input_industry," ","")&amp;",")))=COUNTA(TEXTSPLIT(FO174,",")))))</f>
        <v/>
      </c>
      <c r="JJ174">
        <f>AND(IF(FQ174="",TRUE,IF(input_location="",FALSE,SUMPRODUCT(--ISNUMBER(SEARCH(","&amp;TRIM(TEXTSPLIT(FQ174,","))&amp;",",","&amp;SUBSTITUTE(input_location," ","")&amp;",")))&gt;0)),IF(FS174="",TRUE,IF(input_location="",FALSE,SUMPRODUCT(--ISNUMBER(SEARCH(","&amp;TRIM(TEXTSPLIT(FS174,","))&amp;",",","&amp;SUBSTITUTE(input_location," ","")&amp;",")))=COUNTA(TEXTSPLIT(FS174,",")))),IF(FU174="",TRUE,IF(input_location="",TRUE,SUMPRODUCT(--ISNUMBER(SEARCH(","&amp;TRIM(TEXTSPLIT(FU174,","))&amp;",",","&amp;SUBSTITUTE(input_location," ","")&amp;",")))=0)),IF(FW174="",TRUE,IF(input_location="",FALSE,SUMPRODUCT(--ISNUMBER(SEARCH(","&amp;TRIM(TEXTSPLIT(FW174,","))&amp;",",","&amp;SUBSTITUTE(input_location," ","")&amp;",")))&gt;0)),IF(FY174="",TRUE,IF(input_location="",FALSE,SUMPRODUCT(--ISNUMBER(SEARCH(","&amp;TRIM(TEXTSPLIT(FY174,","))&amp;",",","&amp;SUBSTITUTE(input_location," ","")&amp;",")))=COUNTA(TEXTSPLIT(FY174,",")))))</f>
        <v/>
      </c>
      <c r="JK174">
        <f>AND(IF(GA174="",TRUE,IF(input_modality="",FALSE,SUMPRODUCT(--ISNUMBER(SEARCH(","&amp;TRIM(TEXTSPLIT(GA174,","))&amp;",",","&amp;SUBSTITUTE(input_modality," ","")&amp;",")))&gt;0)),IF(GC174="",TRUE,IF(input_modality="",FALSE,SUMPRODUCT(--ISNUMBER(SEARCH(","&amp;TRIM(TEXTSPLIT(GC174,","))&amp;",",","&amp;SUBSTITUTE(input_modality," ","")&amp;",")))=COUNTA(TEXTSPLIT(GC174,",")))),IF(GE174="",TRUE,IF(input_modality="",TRUE,SUMPRODUCT(--ISNUMBER(SEARCH(","&amp;TRIM(TEXTSPLIT(GE174,","))&amp;",",","&amp;SUBSTITUTE(input_modality," ","")&amp;",")))=0)),IF(GG174="",TRUE,IF(input_modality="",FALSE,SUMPRODUCT(--ISNUMBER(SEARCH(","&amp;TRIM(TEXTSPLIT(GG174,","))&amp;",",","&amp;SUBSTITUTE(input_modality," ","")&amp;",")))&gt;0)),IF(GI174="",TRUE,IF(input_modality="",FALSE,SUMPRODUCT(--ISNUMBER(SEARCH(","&amp;TRIM(TEXTSPLIT(GI174,","))&amp;",",","&amp;SUBSTITUTE(input_modality," ","")&amp;",")))=COUNTA(TEXTSPLIT(GI174,",")))))</f>
        <v/>
      </c>
      <c r="JL174">
        <f>AND(IF(GK174="",TRUE,IF(input_organizer="",FALSE,SUMPRODUCT(--ISNUMBER(SEARCH(","&amp;TRIM(TEXTSPLIT(GK174,","))&amp;",",","&amp;SUBSTITUTE(input_organizer," ","")&amp;",")))&gt;0)),IF(GM174="",TRUE,IF(input_organizer="",FALSE,SUMPRODUCT(--ISNUMBER(SEARCH(","&amp;TRIM(TEXTSPLIT(GM174,","))&amp;",",","&amp;SUBSTITUTE(input_organizer," ","")&amp;",")))=COUNTA(TEXTSPLIT(GM174,",")))),IF(GO174="",TRUE,IF(input_organizer="",TRUE,SUMPRODUCT(--ISNUMBER(SEARCH(","&amp;TRIM(TEXTSPLIT(GO174,","))&amp;",",","&amp;SUBSTITUTE(input_organizer," ","")&amp;",")))=0)),IF(GQ174="",TRUE,IF(input_organizer="",FALSE,SUMPRODUCT(--ISNUMBER(SEARCH(","&amp;TRIM(TEXTSPLIT(GQ174,","))&amp;",",","&amp;SUBSTITUTE(input_organizer," ","")&amp;",")))&gt;0)),IF(GS174="",TRUE,IF(input_organizer="",FALSE,SUMPRODUCT(--ISNUMBER(SEARCH(","&amp;TRIM(TEXTSPLIT(GS174,","))&amp;",",","&amp;SUBSTITUTE(input_organizer," ","")&amp;",")))=COUNTA(TEXTSPLIT(GS174,",")))))</f>
        <v/>
      </c>
      <c r="JM174">
        <f>AND(IF(GU174="",TRUE,IF(input_profile_type="",FALSE,SUMPRODUCT(--ISNUMBER(SEARCH(","&amp;TRIM(TEXTSPLIT(GU174,","))&amp;",",","&amp;SUBSTITUTE(input_profile_type," ","")&amp;",")))&gt;0)),IF(GW174="",TRUE,IF(input_profile_type="",FALSE,SUMPRODUCT(--ISNUMBER(SEARCH(","&amp;TRIM(TEXTSPLIT(GW174,","))&amp;",",","&amp;SUBSTITUTE(input_profile_type," ","")&amp;",")))=COUNTA(TEXTSPLIT(GW174,",")))),IF(GY174="",TRUE,IF(input_profile_type="",TRUE,SUMPRODUCT(--ISNUMBER(SEARCH(","&amp;TRIM(TEXTSPLIT(GY174,","))&amp;",",","&amp;SUBSTITUTE(input_profile_type," ","")&amp;",")))=0)),IF(HA174="",TRUE,IF(input_profile_type="",FALSE,SUMPRODUCT(--ISNUMBER(SEARCH(","&amp;TRIM(TEXTSPLIT(HA174,","))&amp;",",","&amp;SUBSTITUTE(input_profile_type," ","")&amp;",")))&gt;0)),IF(HC174="",TRUE,IF(input_profile_type="",FALSE,SUMPRODUCT(--ISNUMBER(SEARCH(","&amp;TRIM(TEXTSPLIT(HC174,","))&amp;",",","&amp;SUBSTITUTE(input_profile_type," ","")&amp;",")))=COUNTA(TEXTSPLIT(HC174,",")))))</f>
        <v/>
      </c>
      <c r="JN174">
        <f>AND(IF(HE174="",TRUE,IF(input_program="",FALSE,SUMPRODUCT(--ISNUMBER(SEARCH(","&amp;TRIM(TEXTSPLIT(HE174,","))&amp;",",","&amp;SUBSTITUTE(input_program," ","")&amp;",")))&gt;0)),IF(HG174="",TRUE,IF(input_program="",FALSE,SUMPRODUCT(--ISNUMBER(SEARCH(","&amp;TRIM(TEXTSPLIT(HG174,","))&amp;",",","&amp;SUBSTITUTE(input_program," ","")&amp;",")))=COUNTA(TEXTSPLIT(HG174,",")))),IF(HI174="",TRUE,IF(input_program="",TRUE,SUMPRODUCT(--ISNUMBER(SEARCH(","&amp;TRIM(TEXTSPLIT(HI174,","))&amp;",",","&amp;SUBSTITUTE(input_program," ","")&amp;",")))=0)),IF(HK174="",TRUE,IF(input_program="",FALSE,SUMPRODUCT(--ISNUMBER(SEARCH(","&amp;TRIM(TEXTSPLIT(HK174,","))&amp;",",","&amp;SUBSTITUTE(input_program," ","")&amp;",")))&gt;0)),IF(HM174="",TRUE,IF(input_program="",FALSE,SUMPRODUCT(--ISNUMBER(SEARCH(","&amp;TRIM(TEXTSPLIT(HM174,","))&amp;",",","&amp;SUBSTITUTE(input_program," ","")&amp;",")))=COUNTA(TEXTSPLIT(HM174,",")))))</f>
        <v/>
      </c>
      <c r="JO174">
        <f>AND(IF(HO174="",TRUE,IF(input_story_categories="",FALSE,SUMPRODUCT(--ISNUMBER(SEARCH(","&amp;TRIM(TEXTSPLIT(HO174,","))&amp;",",","&amp;SUBSTITUTE(input_story_categories," ","")&amp;",")))&gt;0)),IF(HQ174="",TRUE,IF(input_story_categories="",FALSE,SUMPRODUCT(--ISNUMBER(SEARCH(","&amp;TRIM(TEXTSPLIT(HQ174,","))&amp;",",","&amp;SUBSTITUTE(input_story_categories," ","")&amp;",")))=COUNTA(TEXTSPLIT(HQ174,",")))),IF(HS174="",TRUE,IF(input_story_categories="",TRUE,SUMPRODUCT(--ISNUMBER(SEARCH(","&amp;TRIM(TEXTSPLIT(HS174,","))&amp;",",","&amp;SUBSTITUTE(input_story_categories," ","")&amp;",")))=0)),IF(HU174="",TRUE,IF(input_story_categories="",FALSE,SUMPRODUCT(--ISNUMBER(SEARCH(","&amp;TRIM(TEXTSPLIT(HU174,","))&amp;",",","&amp;SUBSTITUTE(input_story_categories," ","")&amp;",")))&gt;0)),IF(HW174="",TRUE,IF(input_story_categories="",FALSE,SUMPRODUCT(--ISNUMBER(SEARCH(","&amp;TRIM(TEXTSPLIT(HW174,","))&amp;",",","&amp;SUBSTITUTE(input_story_categories," ","")&amp;",")))=COUNTA(TEXTSPLIT(HW174,",")))))</f>
        <v/>
      </c>
      <c r="JP174">
        <f>AND(IF(HY174="",TRUE,IF(input_story_type="",FALSE,SUMPRODUCT(--ISNUMBER(SEARCH(","&amp;TRIM(TEXTSPLIT(HY174,","))&amp;",",","&amp;SUBSTITUTE(input_story_type," ","")&amp;",")))&gt;0)),IF(IA174="",TRUE,IF(input_story_type="",FALSE,SUMPRODUCT(--ISNUMBER(SEARCH(","&amp;TRIM(TEXTSPLIT(IA174,","))&amp;",",","&amp;SUBSTITUTE(input_story_type," ","")&amp;",")))=COUNTA(TEXTSPLIT(IA174,",")))),IF(IC174="",TRUE,IF(input_story_type="",TRUE,SUMPRODUCT(--ISNUMBER(SEARCH(","&amp;TRIM(TEXTSPLIT(IC174,","))&amp;",",","&amp;SUBSTITUTE(input_story_type," ","")&amp;",")))=0)),IF(IE174="",TRUE,IF(input_story_type="",FALSE,SUMPRODUCT(--ISNUMBER(SEARCH(","&amp;TRIM(TEXTSPLIT(IE174,","))&amp;",",","&amp;SUBSTITUTE(input_story_type," ","")&amp;",")))&gt;0)),IF(IG174="",TRUE,IF(input_story_type="",FALSE,SUMPRODUCT(--ISNUMBER(SEARCH(","&amp;TRIM(TEXTSPLIT(IG174,","))&amp;",",","&amp;SUBSTITUTE(input_story_type," ","")&amp;",")))=COUNTA(TEXTSPLIT(IG174,",")))))</f>
        <v/>
      </c>
      <c r="JQ174">
        <f>AND(IF(II174="",TRUE,IF(input_topics="",FALSE,SUMPRODUCT(--ISNUMBER(SEARCH(","&amp;TRIM(TEXTSPLIT(II174,","))&amp;",",","&amp;SUBSTITUTE(input_topics," ","")&amp;",")))&gt;0)),IF(IK174="",TRUE,IF(input_topics="",FALSE,SUMPRODUCT(--ISNUMBER(SEARCH(","&amp;TRIM(TEXTSPLIT(IK174,","))&amp;",",","&amp;SUBSTITUTE(input_topics," ","")&amp;",")))=COUNTA(TEXTSPLIT(IK174,",")))),IF(IM174="",TRUE,IF(input_topics="",TRUE,SUMPRODUCT(--ISNUMBER(SEARCH(","&amp;TRIM(TEXTSPLIT(IM174,","))&amp;",",","&amp;SUBSTITUTE(input_topics," ","")&amp;",")))=0)),IF(IO174="",TRUE,IF(input_topics="",FALSE,SUMPRODUCT(--ISNUMBER(SEARCH(","&amp;TRIM(TEXTSPLIT(IO174,","))&amp;",",","&amp;SUBSTITUTE(input_topics," ","")&amp;",")))&gt;0)),IF(IQ174="",TRUE,IF(input_topics="",FALSE,SUMPRODUCT(--ISNUMBER(SEARCH(","&amp;TRIM(TEXTSPLIT(IQ174,","))&amp;",",","&amp;SUBSTITUTE(input_topics," ","")&amp;",")))=COUNTA(TEXTSPLIT(IQ174,",")))))</f>
        <v/>
      </c>
    </row>
    <row r="175">
      <c r="A175" s="4">
        <f>IF(NOT(IS175),"Excluded",IF(AND(IT175,IU175,IV175,IW175,IX175,IY175,IZ175,JA175,JB175,JC175,JD175,JE175,JF175,JG175,JH175,JI175,JJ175,JK175,JL175,JM175,JN175,JO175,JP175,JQ175),IF(I175&gt;0,"Eligible but limited","Will appear"),"Excluded"))</f>
        <v/>
      </c>
      <c r="B175" s="4" t="inlineStr">
        <is>
          <t>Related stories</t>
        </is>
      </c>
      <c r="C175" s="4" t="inlineStr">
        <is>
          <t>/programs/mam</t>
        </is>
      </c>
      <c r="D175" s="4" t="inlineStr">
        <is>
          <t>/programs/mam</t>
        </is>
      </c>
      <c r="E175" s="4" t="n">
        <v>1</v>
      </c>
      <c r="F175" s="4" t="inlineStr">
        <is>
          <t>story</t>
        </is>
      </c>
      <c r="G175" s="4" t="inlineStr">
        <is>
          <t>stories_teaser_cards</t>
        </is>
      </c>
      <c r="H175" s="4" t="inlineStr">
        <is>
          <t>embed_blog</t>
        </is>
      </c>
      <c r="I175" s="4" t="n">
        <v>3</v>
      </c>
      <c r="J175" s="4" t="inlineStr">
        <is>
          <t>Section inferred</t>
        </is>
      </c>
      <c r="K175" s="4" t="inlineStr">
        <is>
          <t>Page placement</t>
        </is>
      </c>
      <c r="L175" s="4" t="inlineStr">
        <is>
          <t>Content type: story; Context uses Courses Context: Master of Advanced Management (932); Needs any Story Type: Blog (974); Limited to 3 item(s); Source: Section inferred</t>
        </is>
      </c>
      <c r="M175" t="inlineStr"/>
      <c r="N175" t="inlineStr"/>
      <c r="O175" t="inlineStr"/>
      <c r="P175" t="inlineStr"/>
      <c r="Q175" t="inlineStr"/>
      <c r="R175" t="inlineStr"/>
      <c r="S175" t="inlineStr"/>
      <c r="T175" t="inlineStr"/>
      <c r="U175" t="inlineStr"/>
      <c r="V175" t="inlineStr"/>
      <c r="W175" t="inlineStr"/>
      <c r="X175" t="inlineStr"/>
      <c r="Y175" t="inlineStr"/>
      <c r="Z175" t="inlineStr"/>
      <c r="AA175" t="inlineStr"/>
      <c r="AB175" t="inlineStr"/>
      <c r="AC175" t="inlineStr"/>
      <c r="AD175" t="inlineStr"/>
      <c r="AE175" t="inlineStr"/>
      <c r="AF175" t="inlineStr"/>
      <c r="AG175" t="inlineStr"/>
      <c r="AH175" t="inlineStr"/>
      <c r="AI175" t="inlineStr"/>
      <c r="AJ175" t="inlineStr"/>
      <c r="AK175" t="inlineStr"/>
      <c r="AL175" t="inlineStr"/>
      <c r="AM175" t="inlineStr"/>
      <c r="AN175" t="inlineStr"/>
      <c r="AO175" t="inlineStr"/>
      <c r="AP175" t="inlineStr"/>
      <c r="AQ175" t="inlineStr"/>
      <c r="AR175" t="inlineStr"/>
      <c r="AS175" t="inlineStr"/>
      <c r="AT175" t="inlineStr"/>
      <c r="AU175" t="inlineStr"/>
      <c r="AV175" t="inlineStr"/>
      <c r="AW175" t="inlineStr"/>
      <c r="AX175" t="inlineStr"/>
      <c r="AY175" t="inlineStr"/>
      <c r="AZ175" t="inlineStr"/>
      <c r="BA175" t="inlineStr"/>
      <c r="BB175" t="inlineStr"/>
      <c r="BC175" t="inlineStr"/>
      <c r="BD175" t="inlineStr"/>
      <c r="BE175" t="inlineStr"/>
      <c r="BF175" t="inlineStr"/>
      <c r="BG175" t="inlineStr"/>
      <c r="BH175" t="inlineStr"/>
      <c r="BI175" t="inlineStr"/>
      <c r="BJ175" t="inlineStr"/>
      <c r="BK175" t="inlineStr"/>
      <c r="BL175" t="inlineStr"/>
      <c r="BM175" t="inlineStr"/>
      <c r="BN175" t="inlineStr"/>
      <c r="BO175" t="inlineStr"/>
      <c r="BP175" t="inlineStr"/>
      <c r="BQ175" t="inlineStr">
        <is>
          <t>932</t>
        </is>
      </c>
      <c r="BR175" t="inlineStr">
        <is>
          <t>Master of Advanced Management (932)</t>
        </is>
      </c>
      <c r="BS175" t="inlineStr"/>
      <c r="BT175" t="inlineStr"/>
      <c r="BU175" t="inlineStr"/>
      <c r="BV175" t="inlineStr"/>
      <c r="BW175" t="inlineStr"/>
      <c r="BX175" t="inlineStr"/>
      <c r="BY175" t="inlineStr"/>
      <c r="BZ175" t="inlineStr"/>
      <c r="CA175" t="inlineStr"/>
      <c r="CB175" t="inlineStr"/>
      <c r="CC175" t="inlineStr"/>
      <c r="CD175" t="inlineStr"/>
      <c r="CE175" t="inlineStr"/>
      <c r="CF175" t="inlineStr"/>
      <c r="CG175" t="inlineStr"/>
      <c r="CH175" t="inlineStr"/>
      <c r="CI175" t="inlineStr"/>
      <c r="CJ175" t="inlineStr"/>
      <c r="CK175" t="inlineStr"/>
      <c r="CL175" t="inlineStr"/>
      <c r="CM175" t="inlineStr"/>
      <c r="CN175" t="inlineStr"/>
      <c r="CO175" t="inlineStr"/>
      <c r="CP175" t="inlineStr"/>
      <c r="CQ175" t="inlineStr"/>
      <c r="CR175" t="inlineStr"/>
      <c r="CS175" t="inlineStr"/>
      <c r="CT175" t="inlineStr"/>
      <c r="CU175" t="inlineStr"/>
      <c r="CV175" t="inlineStr"/>
      <c r="CW175" t="inlineStr"/>
      <c r="CX175" t="inlineStr"/>
      <c r="CY175" t="inlineStr"/>
      <c r="CZ175" t="inlineStr"/>
      <c r="DA175" t="inlineStr"/>
      <c r="DB175" t="inlineStr"/>
      <c r="DC175" t="inlineStr"/>
      <c r="DD175" t="inlineStr"/>
      <c r="DE175" t="inlineStr"/>
      <c r="DF175" t="inlineStr"/>
      <c r="DG175" t="inlineStr"/>
      <c r="DH175" t="inlineStr"/>
      <c r="DI175" t="inlineStr"/>
      <c r="DJ175" t="inlineStr"/>
      <c r="DK175" t="inlineStr"/>
      <c r="DL175" t="inlineStr"/>
      <c r="DM175" t="inlineStr"/>
      <c r="DN175" t="inlineStr"/>
      <c r="DO175" t="inlineStr"/>
      <c r="DP175" t="inlineStr"/>
      <c r="DQ175" t="inlineStr"/>
      <c r="DR175" t="inlineStr"/>
      <c r="DS175" t="inlineStr"/>
      <c r="DT175" t="inlineStr"/>
      <c r="DU175" t="inlineStr"/>
      <c r="DV175" t="inlineStr"/>
      <c r="DW175" t="inlineStr"/>
      <c r="DX175" t="inlineStr"/>
      <c r="DY175" t="inlineStr"/>
      <c r="DZ175" t="inlineStr"/>
      <c r="EA175" t="inlineStr"/>
      <c r="EB175" t="inlineStr"/>
      <c r="EC175" t="inlineStr"/>
      <c r="ED175" t="inlineStr"/>
      <c r="EE175" t="inlineStr"/>
      <c r="EF175" t="inlineStr"/>
      <c r="EG175" t="inlineStr"/>
      <c r="EH175" t="inlineStr"/>
      <c r="EI175" t="inlineStr"/>
      <c r="EJ175" t="inlineStr"/>
      <c r="EK175" t="inlineStr"/>
      <c r="EL175" t="inlineStr"/>
      <c r="EM175" t="inlineStr"/>
      <c r="EN175" t="inlineStr"/>
      <c r="EO175" t="inlineStr"/>
      <c r="EP175" t="inlineStr"/>
      <c r="EQ175" t="inlineStr"/>
      <c r="ER175" t="inlineStr"/>
      <c r="ES175" t="inlineStr"/>
      <c r="ET175" t="inlineStr"/>
      <c r="EU175" t="inlineStr"/>
      <c r="EV175" t="inlineStr"/>
      <c r="EW175" t="inlineStr"/>
      <c r="EX175" t="inlineStr"/>
      <c r="EY175" t="inlineStr"/>
      <c r="EZ175" t="inlineStr"/>
      <c r="FA175" t="inlineStr"/>
      <c r="FB175" t="inlineStr"/>
      <c r="FC175" t="inlineStr"/>
      <c r="FD175" t="inlineStr"/>
      <c r="FE175" t="inlineStr"/>
      <c r="FF175" t="inlineStr"/>
      <c r="FG175" t="inlineStr"/>
      <c r="FH175" t="inlineStr"/>
      <c r="FI175" t="inlineStr"/>
      <c r="FJ175" t="inlineStr"/>
      <c r="FK175" t="inlineStr"/>
      <c r="FL175" t="inlineStr"/>
      <c r="FM175" t="inlineStr"/>
      <c r="FN175" t="inlineStr"/>
      <c r="FO175" t="inlineStr"/>
      <c r="FP175" t="inlineStr"/>
      <c r="FQ175" t="inlineStr"/>
      <c r="FR175" t="inlineStr"/>
      <c r="FS175" t="inlineStr"/>
      <c r="FT175" t="inlineStr"/>
      <c r="FU175" t="inlineStr"/>
      <c r="FV175" t="inlineStr"/>
      <c r="FW175" t="inlineStr"/>
      <c r="FX175" t="inlineStr"/>
      <c r="FY175" t="inlineStr"/>
      <c r="FZ175" t="inlineStr"/>
      <c r="GA175" t="inlineStr"/>
      <c r="GB175" t="inlineStr"/>
      <c r="GC175" t="inlineStr"/>
      <c r="GD175" t="inlineStr"/>
      <c r="GE175" t="inlineStr"/>
      <c r="GF175" t="inlineStr"/>
      <c r="GG175" t="inlineStr"/>
      <c r="GH175" t="inlineStr"/>
      <c r="GI175" t="inlineStr"/>
      <c r="GJ175" t="inlineStr"/>
      <c r="GK175" t="inlineStr"/>
      <c r="GL175" t="inlineStr"/>
      <c r="GM175" t="inlineStr"/>
      <c r="GN175" t="inlineStr"/>
      <c r="GO175" t="inlineStr"/>
      <c r="GP175" t="inlineStr"/>
      <c r="GQ175" t="inlineStr"/>
      <c r="GR175" t="inlineStr"/>
      <c r="GS175" t="inlineStr"/>
      <c r="GT175" t="inlineStr"/>
      <c r="GU175" t="inlineStr"/>
      <c r="GV175" t="inlineStr"/>
      <c r="GW175" t="inlineStr"/>
      <c r="GX175" t="inlineStr"/>
      <c r="GY175" t="inlineStr"/>
      <c r="GZ175" t="inlineStr"/>
      <c r="HA175" t="inlineStr"/>
      <c r="HB175" t="inlineStr"/>
      <c r="HC175" t="inlineStr"/>
      <c r="HD175" t="inlineStr"/>
      <c r="HE175" t="inlineStr"/>
      <c r="HF175" t="inlineStr"/>
      <c r="HG175" t="inlineStr"/>
      <c r="HH175" t="inlineStr"/>
      <c r="HI175" t="inlineStr"/>
      <c r="HJ175" t="inlineStr"/>
      <c r="HK175" t="inlineStr"/>
      <c r="HL175" t="inlineStr"/>
      <c r="HM175" t="inlineStr"/>
      <c r="HN175" t="inlineStr"/>
      <c r="HO175" t="inlineStr"/>
      <c r="HP175" t="inlineStr"/>
      <c r="HQ175" t="inlineStr"/>
      <c r="HR175" t="inlineStr"/>
      <c r="HS175" t="inlineStr"/>
      <c r="HT175" t="inlineStr"/>
      <c r="HU175" t="inlineStr"/>
      <c r="HV175" t="inlineStr"/>
      <c r="HW175" t="inlineStr"/>
      <c r="HX175" t="inlineStr"/>
      <c r="HY175" t="inlineStr">
        <is>
          <t>974</t>
        </is>
      </c>
      <c r="HZ175" t="inlineStr">
        <is>
          <t>Blog (974)</t>
        </is>
      </c>
      <c r="IA175" t="inlineStr"/>
      <c r="IB175" t="inlineStr"/>
      <c r="IC175" t="inlineStr"/>
      <c r="ID175" t="inlineStr"/>
      <c r="IE175" t="inlineStr"/>
      <c r="IF175" t="inlineStr"/>
      <c r="IG175" t="inlineStr"/>
      <c r="IH175" t="inlineStr"/>
      <c r="II175" t="inlineStr"/>
      <c r="IJ175" t="inlineStr"/>
      <c r="IK175" t="inlineStr"/>
      <c r="IL175" t="inlineStr"/>
      <c r="IM175" t="inlineStr"/>
      <c r="IN175" t="inlineStr"/>
      <c r="IO175" t="inlineStr"/>
      <c r="IP175" t="inlineStr"/>
      <c r="IQ175" t="inlineStr"/>
      <c r="IR175" t="inlineStr"/>
      <c r="IS175">
        <f>IF(input_content_type="",FALSE,ISNUMBER(SEARCH(","&amp;LOWER(input_content_type)&amp;",",","&amp;LOWER(F175)&amp;",")))</f>
        <v/>
      </c>
      <c r="IT175">
        <f>AND(IF(M175="",TRUE,IF(input_affiliations="",FALSE,SUMPRODUCT(--ISNUMBER(SEARCH(","&amp;TRIM(TEXTSPLIT(M175,","))&amp;",",","&amp;SUBSTITUTE(input_affiliations," ","")&amp;",")))&gt;0)),IF(O175="",TRUE,IF(input_affiliations="",FALSE,SUMPRODUCT(--ISNUMBER(SEARCH(","&amp;TRIM(TEXTSPLIT(O175,","))&amp;",",","&amp;SUBSTITUTE(input_affiliations," ","")&amp;",")))=COUNTA(TEXTSPLIT(O175,",")))),IF(Q175="",TRUE,IF(input_affiliations="",TRUE,SUMPRODUCT(--ISNUMBER(SEARCH(","&amp;TRIM(TEXTSPLIT(Q175,","))&amp;",",","&amp;SUBSTITUTE(input_affiliations," ","")&amp;",")))=0)),IF(S175="",TRUE,IF(input_affiliations="",FALSE,SUMPRODUCT(--ISNUMBER(SEARCH(","&amp;TRIM(TEXTSPLIT(S175,","))&amp;",",","&amp;SUBSTITUTE(input_affiliations," ","")&amp;",")))&gt;0)),IF(U175="",TRUE,IF(input_affiliations="",FALSE,SUMPRODUCT(--ISNUMBER(SEARCH(","&amp;TRIM(TEXTSPLIT(U175,","))&amp;",",","&amp;SUBSTITUTE(input_affiliations," ","")&amp;",")))=COUNTA(TEXTSPLIT(U175,",")))))</f>
        <v/>
      </c>
      <c r="IU175">
        <f>AND(IF(W175="",TRUE,IF(input_announcement_category="",FALSE,SUMPRODUCT(--ISNUMBER(SEARCH(","&amp;TRIM(TEXTSPLIT(W175,","))&amp;",",","&amp;SUBSTITUTE(input_announcement_category," ","")&amp;",")))&gt;0)),IF(Y175="",TRUE,IF(input_announcement_category="",FALSE,SUMPRODUCT(--ISNUMBER(SEARCH(","&amp;TRIM(TEXTSPLIT(Y175,","))&amp;",",","&amp;SUBSTITUTE(input_announcement_category," ","")&amp;",")))=COUNTA(TEXTSPLIT(Y175,",")))),IF(AA175="",TRUE,IF(input_announcement_category="",TRUE,SUMPRODUCT(--ISNUMBER(SEARCH(","&amp;TRIM(TEXTSPLIT(AA175,","))&amp;",",","&amp;SUBSTITUTE(input_announcement_category," ","")&amp;",")))=0)),IF(AC175="",TRUE,IF(input_announcement_category="",FALSE,SUMPRODUCT(--ISNUMBER(SEARCH(","&amp;TRIM(TEXTSPLIT(AC175,","))&amp;",",","&amp;SUBSTITUTE(input_announcement_category," ","")&amp;",")))&gt;0)),IF(AE175="",TRUE,IF(input_announcement_category="",FALSE,SUMPRODUCT(--ISNUMBER(SEARCH(","&amp;TRIM(TEXTSPLIT(AE175,","))&amp;",",","&amp;SUBSTITUTE(input_announcement_category," ","")&amp;",")))=COUNTA(TEXTSPLIT(AE175,",")))))</f>
        <v/>
      </c>
      <c r="IV175">
        <f>AND(IF(AG175="",TRUE,IF(input_area_of_focus="",FALSE,SUMPRODUCT(--ISNUMBER(SEARCH(","&amp;TRIM(TEXTSPLIT(AG175,","))&amp;",",","&amp;SUBSTITUTE(input_area_of_focus," ","")&amp;",")))&gt;0)),IF(AI175="",TRUE,IF(input_area_of_focus="",FALSE,SUMPRODUCT(--ISNUMBER(SEARCH(","&amp;TRIM(TEXTSPLIT(AI175,","))&amp;",",","&amp;SUBSTITUTE(input_area_of_focus," ","")&amp;",")))=COUNTA(TEXTSPLIT(AI175,",")))),IF(AK175="",TRUE,IF(input_area_of_focus="",TRUE,SUMPRODUCT(--ISNUMBER(SEARCH(","&amp;TRIM(TEXTSPLIT(AK175,","))&amp;",",","&amp;SUBSTITUTE(input_area_of_focus," ","")&amp;",")))=0)),IF(AM175="",TRUE,IF(input_area_of_focus="",FALSE,SUMPRODUCT(--ISNUMBER(SEARCH(","&amp;TRIM(TEXTSPLIT(AM175,","))&amp;",",","&amp;SUBSTITUTE(input_area_of_focus," ","")&amp;",")))&gt;0)),IF(AO175="",TRUE,IF(input_area_of_focus="",FALSE,SUMPRODUCT(--ISNUMBER(SEARCH(","&amp;TRIM(TEXTSPLIT(AO175,","))&amp;",",","&amp;SUBSTITUTE(input_area_of_focus," ","")&amp;",")))=COUNTA(TEXTSPLIT(AO175,",")))))</f>
        <v/>
      </c>
      <c r="IW175">
        <f>AND(IF(AQ175="",TRUE,IF(input_audience="",FALSE,SUMPRODUCT(--ISNUMBER(SEARCH(","&amp;TRIM(TEXTSPLIT(AQ175,","))&amp;",",","&amp;SUBSTITUTE(input_audience," ","")&amp;",")))&gt;0)),IF(AS175="",TRUE,IF(input_audience="",FALSE,SUMPRODUCT(--ISNUMBER(SEARCH(","&amp;TRIM(TEXTSPLIT(AS175,","))&amp;",",","&amp;SUBSTITUTE(input_audience," ","")&amp;",")))=COUNTA(TEXTSPLIT(AS175,",")))),IF(AU175="",TRUE,IF(input_audience="",TRUE,SUMPRODUCT(--ISNUMBER(SEARCH(","&amp;TRIM(TEXTSPLIT(AU175,","))&amp;",",","&amp;SUBSTITUTE(input_audience," ","")&amp;",")))=0)),IF(AW175="",TRUE,IF(input_audience="",FALSE,SUMPRODUCT(--ISNUMBER(SEARCH(","&amp;TRIM(TEXTSPLIT(AW175,","))&amp;",",","&amp;SUBSTITUTE(input_audience," ","")&amp;",")))&gt;0)),IF(AY175="",TRUE,IF(input_audience="",FALSE,SUMPRODUCT(--ISNUMBER(SEARCH(","&amp;TRIM(TEXTSPLIT(AY175,","))&amp;",",","&amp;SUBSTITUTE(input_audience," ","")&amp;",")))=COUNTA(TEXTSPLIT(AY175,",")))))</f>
        <v/>
      </c>
      <c r="IX175">
        <f>AND(IF(BA175="",TRUE,IF(input_challenge_opportunities="",FALSE,SUMPRODUCT(--ISNUMBER(SEARCH(","&amp;TRIM(TEXTSPLIT(BA175,","))&amp;",",","&amp;SUBSTITUTE(input_challenge_opportunities," ","")&amp;",")))&gt;0)),IF(BC175="",TRUE,IF(input_challenge_opportunities="",FALSE,SUMPRODUCT(--ISNUMBER(SEARCH(","&amp;TRIM(TEXTSPLIT(BC175,","))&amp;",",","&amp;SUBSTITUTE(input_challenge_opportunities," ","")&amp;",")))=COUNTA(TEXTSPLIT(BC175,",")))),IF(BE175="",TRUE,IF(input_challenge_opportunities="",TRUE,SUMPRODUCT(--ISNUMBER(SEARCH(","&amp;TRIM(TEXTSPLIT(BE175,","))&amp;",",","&amp;SUBSTITUTE(input_challenge_opportunities," ","")&amp;",")))=0)),IF(BG175="",TRUE,IF(input_challenge_opportunities="",FALSE,SUMPRODUCT(--ISNUMBER(SEARCH(","&amp;TRIM(TEXTSPLIT(BG175,","))&amp;",",","&amp;SUBSTITUTE(input_challenge_opportunities," ","")&amp;",")))&gt;0)),IF(BI175="",TRUE,IF(input_challenge_opportunities="",FALSE,SUMPRODUCT(--ISNUMBER(SEARCH(","&amp;TRIM(TEXTSPLIT(BI175,","))&amp;",",","&amp;SUBSTITUTE(input_challenge_opportunities," ","")&amp;",")))=COUNTA(TEXTSPLIT(BI175,",")))))</f>
        <v/>
      </c>
      <c r="IY175">
        <f>AND(IF(BK175="",TRUE,IF(input_context="",FALSE,SUMPRODUCT(--ISNUMBER(SEARCH(","&amp;TRIM(TEXTSPLIT(BK175,","))&amp;",",","&amp;SUBSTITUTE(input_context," ","")&amp;",")))&gt;0)),IF(BM175="",TRUE,IF(input_context="",FALSE,SUMPRODUCT(--ISNUMBER(SEARCH(","&amp;TRIM(TEXTSPLIT(BM175,","))&amp;",",","&amp;SUBSTITUTE(input_context," ","")&amp;",")))=COUNTA(TEXTSPLIT(BM175,",")))),IF(BO175="",TRUE,IF(input_context="",TRUE,SUMPRODUCT(--ISNUMBER(SEARCH(","&amp;TRIM(TEXTSPLIT(BO175,","))&amp;",",","&amp;SUBSTITUTE(input_context," ","")&amp;",")))=0)),IF(BQ175="",TRUE,IF(input_context="",FALSE,SUMPRODUCT(--ISNUMBER(SEARCH(","&amp;TRIM(TEXTSPLIT(BQ175,","))&amp;",",","&amp;SUBSTITUTE(input_context," ","")&amp;",")))&gt;0)),IF(BS175="",TRUE,IF(input_context="",FALSE,SUMPRODUCT(--ISNUMBER(SEARCH(","&amp;TRIM(TEXTSPLIT(BS175,","))&amp;",",","&amp;SUBSTITUTE(input_context," ","")&amp;",")))=COUNTA(TEXTSPLIT(BS175,",")))))</f>
        <v/>
      </c>
      <c r="IZ175">
        <f>AND(IF(BU175="",TRUE,IF(input_enews_announcement_type="",FALSE,SUMPRODUCT(--ISNUMBER(SEARCH(","&amp;TRIM(TEXTSPLIT(BU175,","))&amp;",",","&amp;SUBSTITUTE(input_enews_announcement_type," ","")&amp;",")))&gt;0)),IF(BW175="",TRUE,IF(input_enews_announcement_type="",FALSE,SUMPRODUCT(--ISNUMBER(SEARCH(","&amp;TRIM(TEXTSPLIT(BW175,","))&amp;",",","&amp;SUBSTITUTE(input_enews_announcement_type," ","")&amp;",")))=COUNTA(TEXTSPLIT(BW175,",")))),IF(BY175="",TRUE,IF(input_enews_announcement_type="",TRUE,SUMPRODUCT(--ISNUMBER(SEARCH(","&amp;TRIM(TEXTSPLIT(BY175,","))&amp;",",","&amp;SUBSTITUTE(input_enews_announcement_type," ","")&amp;",")))=0)),IF(CA175="",TRUE,IF(input_enews_announcement_type="",FALSE,SUMPRODUCT(--ISNUMBER(SEARCH(","&amp;TRIM(TEXTSPLIT(CA175,","))&amp;",",","&amp;SUBSTITUTE(input_enews_announcement_type," ","")&amp;",")))&gt;0)),IF(CC175="",TRUE,IF(input_enews_announcement_type="",FALSE,SUMPRODUCT(--ISNUMBER(SEARCH(","&amp;TRIM(TEXTSPLIT(CC175,","))&amp;",",","&amp;SUBSTITUTE(input_enews_announcement_type," ","")&amp;",")))=COUNTA(TEXTSPLIT(CC175,",")))))</f>
        <v/>
      </c>
      <c r="JA175">
        <f>AND(IF(CE175="",TRUE,IF(input_enews_audience="",FALSE,SUMPRODUCT(--ISNUMBER(SEARCH(","&amp;TRIM(TEXTSPLIT(CE175,","))&amp;",",","&amp;SUBSTITUTE(input_enews_audience," ","")&amp;",")))&gt;0)),IF(CG175="",TRUE,IF(input_enews_audience="",FALSE,SUMPRODUCT(--ISNUMBER(SEARCH(","&amp;TRIM(TEXTSPLIT(CG175,","))&amp;",",","&amp;SUBSTITUTE(input_enews_audience," ","")&amp;",")))=COUNTA(TEXTSPLIT(CG175,",")))),IF(CI175="",TRUE,IF(input_enews_audience="",TRUE,SUMPRODUCT(--ISNUMBER(SEARCH(","&amp;TRIM(TEXTSPLIT(CI175,","))&amp;",",","&amp;SUBSTITUTE(input_enews_audience," ","")&amp;",")))=0)),IF(CK175="",TRUE,IF(input_enews_audience="",FALSE,SUMPRODUCT(--ISNUMBER(SEARCH(","&amp;TRIM(TEXTSPLIT(CK175,","))&amp;",",","&amp;SUBSTITUTE(input_enews_audience," ","")&amp;",")))&gt;0)),IF(CM175="",TRUE,IF(input_enews_audience="",FALSE,SUMPRODUCT(--ISNUMBER(SEARCH(","&amp;TRIM(TEXTSPLIT(CM175,","))&amp;",",","&amp;SUBSTITUTE(input_enews_audience," ","")&amp;",")))=COUNTA(TEXTSPLIT(CM175,",")))))</f>
        <v/>
      </c>
      <c r="JB175">
        <f>AND(IF(CO175="",TRUE,IF(input_event_location="",FALSE,SUMPRODUCT(--ISNUMBER(SEARCH(","&amp;TRIM(TEXTSPLIT(CO175,","))&amp;",",","&amp;SUBSTITUTE(input_event_location," ","")&amp;",")))&gt;0)),IF(CQ175="",TRUE,IF(input_event_location="",FALSE,SUMPRODUCT(--ISNUMBER(SEARCH(","&amp;TRIM(TEXTSPLIT(CQ175,","))&amp;",",","&amp;SUBSTITUTE(input_event_location," ","")&amp;",")))=COUNTA(TEXTSPLIT(CQ175,",")))),IF(CS175="",TRUE,IF(input_event_location="",TRUE,SUMPRODUCT(--ISNUMBER(SEARCH(","&amp;TRIM(TEXTSPLIT(CS175,","))&amp;",",","&amp;SUBSTITUTE(input_event_location," ","")&amp;",")))=0)),IF(CU175="",TRUE,IF(input_event_location="",FALSE,SUMPRODUCT(--ISNUMBER(SEARCH(","&amp;TRIM(TEXTSPLIT(CU175,","))&amp;",",","&amp;SUBSTITUTE(input_event_location," ","")&amp;",")))&gt;0)),IF(CW175="",TRUE,IF(input_event_location="",FALSE,SUMPRODUCT(--ISNUMBER(SEARCH(","&amp;TRIM(TEXTSPLIT(CW175,","))&amp;",",","&amp;SUBSTITUTE(input_event_location," ","")&amp;",")))=COUNTA(TEXTSPLIT(CW175,",")))))</f>
        <v/>
      </c>
      <c r="JC175">
        <f>AND(IF(CY175="",TRUE,IF(input_event_type="",FALSE,SUMPRODUCT(--ISNUMBER(SEARCH(","&amp;TRIM(TEXTSPLIT(CY175,","))&amp;",",","&amp;SUBSTITUTE(input_event_type," ","")&amp;",")))&gt;0)),IF(DA175="",TRUE,IF(input_event_type="",FALSE,SUMPRODUCT(--ISNUMBER(SEARCH(","&amp;TRIM(TEXTSPLIT(DA175,","))&amp;",",","&amp;SUBSTITUTE(input_event_type," ","")&amp;",")))=COUNTA(TEXTSPLIT(DA175,",")))),IF(DC175="",TRUE,IF(input_event_type="",TRUE,SUMPRODUCT(--ISNUMBER(SEARCH(","&amp;TRIM(TEXTSPLIT(DC175,","))&amp;",",","&amp;SUBSTITUTE(input_event_type," ","")&amp;",")))=0)),IF(DE175="",TRUE,IF(input_event_type="",FALSE,SUMPRODUCT(--ISNUMBER(SEARCH(","&amp;TRIM(TEXTSPLIT(DE175,","))&amp;",",","&amp;SUBSTITUTE(input_event_type," ","")&amp;",")))&gt;0)),IF(DG175="",TRUE,IF(input_event_type="",FALSE,SUMPRODUCT(--ISNUMBER(SEARCH(","&amp;TRIM(TEXTSPLIT(DG175,","))&amp;",",","&amp;SUBSTITUTE(input_event_type," ","")&amp;",")))=COUNTA(TEXTSPLIT(DG175,",")))))</f>
        <v/>
      </c>
      <c r="JD175">
        <f>AND(IF(DI175="",TRUE,IF(input_executive_education_focus="",FALSE,SUMPRODUCT(--ISNUMBER(SEARCH(","&amp;TRIM(TEXTSPLIT(DI175,","))&amp;",",","&amp;SUBSTITUTE(input_executive_education_focus," ","")&amp;",")))&gt;0)),IF(DK175="",TRUE,IF(input_executive_education_focus="",FALSE,SUMPRODUCT(--ISNUMBER(SEARCH(","&amp;TRIM(TEXTSPLIT(DK175,","))&amp;",",","&amp;SUBSTITUTE(input_executive_education_focus," ","")&amp;",")))=COUNTA(TEXTSPLIT(DK175,",")))),IF(DM175="",TRUE,IF(input_executive_education_focus="",TRUE,SUMPRODUCT(--ISNUMBER(SEARCH(","&amp;TRIM(TEXTSPLIT(DM175,","))&amp;",",","&amp;SUBSTITUTE(input_executive_education_focus," ","")&amp;",")))=0)),IF(DO175="",TRUE,IF(input_executive_education_focus="",FALSE,SUMPRODUCT(--ISNUMBER(SEARCH(","&amp;TRIM(TEXTSPLIT(DO175,","))&amp;",",","&amp;SUBSTITUTE(input_executive_education_focus," ","")&amp;",")))&gt;0)),IF(DQ175="",TRUE,IF(input_executive_education_focus="",FALSE,SUMPRODUCT(--ISNUMBER(SEARCH(","&amp;TRIM(TEXTSPLIT(DQ175,","))&amp;",",","&amp;SUBSTITUTE(input_executive_education_focus," ","")&amp;",")))=COUNTA(TEXTSPLIT(DQ175,",")))))</f>
        <v/>
      </c>
      <c r="JE175">
        <f>AND(IF(DS175="",TRUE,IF(input_faculty_category="",FALSE,SUMPRODUCT(--ISNUMBER(SEARCH(","&amp;TRIM(TEXTSPLIT(DS175,","))&amp;",",","&amp;SUBSTITUTE(input_faculty_category," ","")&amp;",")))&gt;0)),IF(DU175="",TRUE,IF(input_faculty_category="",FALSE,SUMPRODUCT(--ISNUMBER(SEARCH(","&amp;TRIM(TEXTSPLIT(DU175,","))&amp;",",","&amp;SUBSTITUTE(input_faculty_category," ","")&amp;",")))=COUNTA(TEXTSPLIT(DU175,",")))),IF(DW175="",TRUE,IF(input_faculty_category="",TRUE,SUMPRODUCT(--ISNUMBER(SEARCH(","&amp;TRIM(TEXTSPLIT(DW175,","))&amp;",",","&amp;SUBSTITUTE(input_faculty_category," ","")&amp;",")))=0)),IF(DY175="",TRUE,IF(input_faculty_category="",FALSE,SUMPRODUCT(--ISNUMBER(SEARCH(","&amp;TRIM(TEXTSPLIT(DY175,","))&amp;",",","&amp;SUBSTITUTE(input_faculty_category," ","")&amp;",")))&gt;0)),IF(EA175="",TRUE,IF(input_faculty_category="",FALSE,SUMPRODUCT(--ISNUMBER(SEARCH(","&amp;TRIM(TEXTSPLIT(EA175,","))&amp;",",","&amp;SUBSTITUTE(input_faculty_category," ","")&amp;",")))=COUNTA(TEXTSPLIT(EA175,",")))))</f>
        <v/>
      </c>
      <c r="JF175">
        <f>AND(IF(EC175="",TRUE,IF(input_faculty_discipline="",FALSE,SUMPRODUCT(--ISNUMBER(SEARCH(","&amp;TRIM(TEXTSPLIT(EC175,","))&amp;",",","&amp;SUBSTITUTE(input_faculty_discipline," ","")&amp;",")))&gt;0)),IF(EE175="",TRUE,IF(input_faculty_discipline="",FALSE,SUMPRODUCT(--ISNUMBER(SEARCH(","&amp;TRIM(TEXTSPLIT(EE175,","))&amp;",",","&amp;SUBSTITUTE(input_faculty_discipline," ","")&amp;",")))=COUNTA(TEXTSPLIT(EE175,",")))),IF(EG175="",TRUE,IF(input_faculty_discipline="",TRUE,SUMPRODUCT(--ISNUMBER(SEARCH(","&amp;TRIM(TEXTSPLIT(EG175,","))&amp;",",","&amp;SUBSTITUTE(input_faculty_discipline," ","")&amp;",")))=0)),IF(EI175="",TRUE,IF(input_faculty_discipline="",FALSE,SUMPRODUCT(--ISNUMBER(SEARCH(","&amp;TRIM(TEXTSPLIT(EI175,","))&amp;",",","&amp;SUBSTITUTE(input_faculty_discipline," ","")&amp;",")))&gt;0)),IF(EK175="",TRUE,IF(input_faculty_discipline="",FALSE,SUMPRODUCT(--ISNUMBER(SEARCH(","&amp;TRIM(TEXTSPLIT(EK175,","))&amp;",",","&amp;SUBSTITUTE(input_faculty_discipline," ","")&amp;",")))=COUNTA(TEXTSPLIT(EK175,",")))))</f>
        <v/>
      </c>
      <c r="JG175">
        <f>AND(IF(EM175="",TRUE,IF(input_faculty_expertise="",FALSE,SUMPRODUCT(--ISNUMBER(SEARCH(","&amp;TRIM(TEXTSPLIT(EM175,","))&amp;",",","&amp;SUBSTITUTE(input_faculty_expertise," ","")&amp;",")))&gt;0)),IF(EO175="",TRUE,IF(input_faculty_expertise="",FALSE,SUMPRODUCT(--ISNUMBER(SEARCH(","&amp;TRIM(TEXTSPLIT(EO175,","))&amp;",",","&amp;SUBSTITUTE(input_faculty_expertise," ","")&amp;",")))=COUNTA(TEXTSPLIT(EO175,",")))),IF(EQ175="",TRUE,IF(input_faculty_expertise="",TRUE,SUMPRODUCT(--ISNUMBER(SEARCH(","&amp;TRIM(TEXTSPLIT(EQ175,","))&amp;",",","&amp;SUBSTITUTE(input_faculty_expertise," ","")&amp;",")))=0)),IF(ES175="",TRUE,IF(input_faculty_expertise="",FALSE,SUMPRODUCT(--ISNUMBER(SEARCH(","&amp;TRIM(TEXTSPLIT(ES175,","))&amp;",",","&amp;SUBSTITUTE(input_faculty_expertise," ","")&amp;",")))&gt;0)),IF(EU175="",TRUE,IF(input_faculty_expertise="",FALSE,SUMPRODUCT(--ISNUMBER(SEARCH(","&amp;TRIM(TEXTSPLIT(EU175,","))&amp;",",","&amp;SUBSTITUTE(input_faculty_expertise," ","")&amp;",")))=COUNTA(TEXTSPLIT(EU175,",")))))</f>
        <v/>
      </c>
      <c r="JH175">
        <f>AND(IF(EW175="",TRUE,IF(input_global_network_school="",FALSE,SUMPRODUCT(--ISNUMBER(SEARCH(","&amp;TRIM(TEXTSPLIT(EW175,","))&amp;",",","&amp;SUBSTITUTE(input_global_network_school," ","")&amp;",")))&gt;0)),IF(EY175="",TRUE,IF(input_global_network_school="",FALSE,SUMPRODUCT(--ISNUMBER(SEARCH(","&amp;TRIM(TEXTSPLIT(EY175,","))&amp;",",","&amp;SUBSTITUTE(input_global_network_school," ","")&amp;",")))=COUNTA(TEXTSPLIT(EY175,",")))),IF(FA175="",TRUE,IF(input_global_network_school="",TRUE,SUMPRODUCT(--ISNUMBER(SEARCH(","&amp;TRIM(TEXTSPLIT(FA175,","))&amp;",",","&amp;SUBSTITUTE(input_global_network_school," ","")&amp;",")))=0)),IF(FC175="",TRUE,IF(input_global_network_school="",FALSE,SUMPRODUCT(--ISNUMBER(SEARCH(","&amp;TRIM(TEXTSPLIT(FC175,","))&amp;",",","&amp;SUBSTITUTE(input_global_network_school," ","")&amp;",")))&gt;0)),IF(FE175="",TRUE,IF(input_global_network_school="",FALSE,SUMPRODUCT(--ISNUMBER(SEARCH(","&amp;TRIM(TEXTSPLIT(FE175,","))&amp;",",","&amp;SUBSTITUTE(input_global_network_school," ","")&amp;",")))=COUNTA(TEXTSPLIT(FE175,",")))))</f>
        <v/>
      </c>
      <c r="JI175">
        <f>AND(IF(FG175="",TRUE,IF(input_industry="",FALSE,SUMPRODUCT(--ISNUMBER(SEARCH(","&amp;TRIM(TEXTSPLIT(FG175,","))&amp;",",","&amp;SUBSTITUTE(input_industry," ","")&amp;",")))&gt;0)),IF(FI175="",TRUE,IF(input_industry="",FALSE,SUMPRODUCT(--ISNUMBER(SEARCH(","&amp;TRIM(TEXTSPLIT(FI175,","))&amp;",",","&amp;SUBSTITUTE(input_industry," ","")&amp;",")))=COUNTA(TEXTSPLIT(FI175,",")))),IF(FK175="",TRUE,IF(input_industry="",TRUE,SUMPRODUCT(--ISNUMBER(SEARCH(","&amp;TRIM(TEXTSPLIT(FK175,","))&amp;",",","&amp;SUBSTITUTE(input_industry," ","")&amp;",")))=0)),IF(FM175="",TRUE,IF(input_industry="",FALSE,SUMPRODUCT(--ISNUMBER(SEARCH(","&amp;TRIM(TEXTSPLIT(FM175,","))&amp;",",","&amp;SUBSTITUTE(input_industry," ","")&amp;",")))&gt;0)),IF(FO175="",TRUE,IF(input_industry="",FALSE,SUMPRODUCT(--ISNUMBER(SEARCH(","&amp;TRIM(TEXTSPLIT(FO175,","))&amp;",",","&amp;SUBSTITUTE(input_industry," ","")&amp;",")))=COUNTA(TEXTSPLIT(FO175,",")))))</f>
        <v/>
      </c>
      <c r="JJ175">
        <f>AND(IF(FQ175="",TRUE,IF(input_location="",FALSE,SUMPRODUCT(--ISNUMBER(SEARCH(","&amp;TRIM(TEXTSPLIT(FQ175,","))&amp;",",","&amp;SUBSTITUTE(input_location," ","")&amp;",")))&gt;0)),IF(FS175="",TRUE,IF(input_location="",FALSE,SUMPRODUCT(--ISNUMBER(SEARCH(","&amp;TRIM(TEXTSPLIT(FS175,","))&amp;",",","&amp;SUBSTITUTE(input_location," ","")&amp;",")))=COUNTA(TEXTSPLIT(FS175,",")))),IF(FU175="",TRUE,IF(input_location="",TRUE,SUMPRODUCT(--ISNUMBER(SEARCH(","&amp;TRIM(TEXTSPLIT(FU175,","))&amp;",",","&amp;SUBSTITUTE(input_location," ","")&amp;",")))=0)),IF(FW175="",TRUE,IF(input_location="",FALSE,SUMPRODUCT(--ISNUMBER(SEARCH(","&amp;TRIM(TEXTSPLIT(FW175,","))&amp;",",","&amp;SUBSTITUTE(input_location," ","")&amp;",")))&gt;0)),IF(FY175="",TRUE,IF(input_location="",FALSE,SUMPRODUCT(--ISNUMBER(SEARCH(","&amp;TRIM(TEXTSPLIT(FY175,","))&amp;",",","&amp;SUBSTITUTE(input_location," ","")&amp;",")))=COUNTA(TEXTSPLIT(FY175,",")))))</f>
        <v/>
      </c>
      <c r="JK175">
        <f>AND(IF(GA175="",TRUE,IF(input_modality="",FALSE,SUMPRODUCT(--ISNUMBER(SEARCH(","&amp;TRIM(TEXTSPLIT(GA175,","))&amp;",",","&amp;SUBSTITUTE(input_modality," ","")&amp;",")))&gt;0)),IF(GC175="",TRUE,IF(input_modality="",FALSE,SUMPRODUCT(--ISNUMBER(SEARCH(","&amp;TRIM(TEXTSPLIT(GC175,","))&amp;",",","&amp;SUBSTITUTE(input_modality," ","")&amp;",")))=COUNTA(TEXTSPLIT(GC175,",")))),IF(GE175="",TRUE,IF(input_modality="",TRUE,SUMPRODUCT(--ISNUMBER(SEARCH(","&amp;TRIM(TEXTSPLIT(GE175,","))&amp;",",","&amp;SUBSTITUTE(input_modality," ","")&amp;",")))=0)),IF(GG175="",TRUE,IF(input_modality="",FALSE,SUMPRODUCT(--ISNUMBER(SEARCH(","&amp;TRIM(TEXTSPLIT(GG175,","))&amp;",",","&amp;SUBSTITUTE(input_modality," ","")&amp;",")))&gt;0)),IF(GI175="",TRUE,IF(input_modality="",FALSE,SUMPRODUCT(--ISNUMBER(SEARCH(","&amp;TRIM(TEXTSPLIT(GI175,","))&amp;",",","&amp;SUBSTITUTE(input_modality," ","")&amp;",")))=COUNTA(TEXTSPLIT(GI175,",")))))</f>
        <v/>
      </c>
      <c r="JL175">
        <f>AND(IF(GK175="",TRUE,IF(input_organizer="",FALSE,SUMPRODUCT(--ISNUMBER(SEARCH(","&amp;TRIM(TEXTSPLIT(GK175,","))&amp;",",","&amp;SUBSTITUTE(input_organizer," ","")&amp;",")))&gt;0)),IF(GM175="",TRUE,IF(input_organizer="",FALSE,SUMPRODUCT(--ISNUMBER(SEARCH(","&amp;TRIM(TEXTSPLIT(GM175,","))&amp;",",","&amp;SUBSTITUTE(input_organizer," ","")&amp;",")))=COUNTA(TEXTSPLIT(GM175,",")))),IF(GO175="",TRUE,IF(input_organizer="",TRUE,SUMPRODUCT(--ISNUMBER(SEARCH(","&amp;TRIM(TEXTSPLIT(GO175,","))&amp;",",","&amp;SUBSTITUTE(input_organizer," ","")&amp;",")))=0)),IF(GQ175="",TRUE,IF(input_organizer="",FALSE,SUMPRODUCT(--ISNUMBER(SEARCH(","&amp;TRIM(TEXTSPLIT(GQ175,","))&amp;",",","&amp;SUBSTITUTE(input_organizer," ","")&amp;",")))&gt;0)),IF(GS175="",TRUE,IF(input_organizer="",FALSE,SUMPRODUCT(--ISNUMBER(SEARCH(","&amp;TRIM(TEXTSPLIT(GS175,","))&amp;",",","&amp;SUBSTITUTE(input_organizer," ","")&amp;",")))=COUNTA(TEXTSPLIT(GS175,",")))))</f>
        <v/>
      </c>
      <c r="JM175">
        <f>AND(IF(GU175="",TRUE,IF(input_profile_type="",FALSE,SUMPRODUCT(--ISNUMBER(SEARCH(","&amp;TRIM(TEXTSPLIT(GU175,","))&amp;",",","&amp;SUBSTITUTE(input_profile_type," ","")&amp;",")))&gt;0)),IF(GW175="",TRUE,IF(input_profile_type="",FALSE,SUMPRODUCT(--ISNUMBER(SEARCH(","&amp;TRIM(TEXTSPLIT(GW175,","))&amp;",",","&amp;SUBSTITUTE(input_profile_type," ","")&amp;",")))=COUNTA(TEXTSPLIT(GW175,",")))),IF(GY175="",TRUE,IF(input_profile_type="",TRUE,SUMPRODUCT(--ISNUMBER(SEARCH(","&amp;TRIM(TEXTSPLIT(GY175,","))&amp;",",","&amp;SUBSTITUTE(input_profile_type," ","")&amp;",")))=0)),IF(HA175="",TRUE,IF(input_profile_type="",FALSE,SUMPRODUCT(--ISNUMBER(SEARCH(","&amp;TRIM(TEXTSPLIT(HA175,","))&amp;",",","&amp;SUBSTITUTE(input_profile_type," ","")&amp;",")))&gt;0)),IF(HC175="",TRUE,IF(input_profile_type="",FALSE,SUMPRODUCT(--ISNUMBER(SEARCH(","&amp;TRIM(TEXTSPLIT(HC175,","))&amp;",",","&amp;SUBSTITUTE(input_profile_type," ","")&amp;",")))=COUNTA(TEXTSPLIT(HC175,",")))))</f>
        <v/>
      </c>
      <c r="JN175">
        <f>AND(IF(HE175="",TRUE,IF(input_program="",FALSE,SUMPRODUCT(--ISNUMBER(SEARCH(","&amp;TRIM(TEXTSPLIT(HE175,","))&amp;",",","&amp;SUBSTITUTE(input_program," ","")&amp;",")))&gt;0)),IF(HG175="",TRUE,IF(input_program="",FALSE,SUMPRODUCT(--ISNUMBER(SEARCH(","&amp;TRIM(TEXTSPLIT(HG175,","))&amp;",",","&amp;SUBSTITUTE(input_program," ","")&amp;",")))=COUNTA(TEXTSPLIT(HG175,",")))),IF(HI175="",TRUE,IF(input_program="",TRUE,SUMPRODUCT(--ISNUMBER(SEARCH(","&amp;TRIM(TEXTSPLIT(HI175,","))&amp;",",","&amp;SUBSTITUTE(input_program," ","")&amp;",")))=0)),IF(HK175="",TRUE,IF(input_program="",FALSE,SUMPRODUCT(--ISNUMBER(SEARCH(","&amp;TRIM(TEXTSPLIT(HK175,","))&amp;",",","&amp;SUBSTITUTE(input_program," ","")&amp;",")))&gt;0)),IF(HM175="",TRUE,IF(input_program="",FALSE,SUMPRODUCT(--ISNUMBER(SEARCH(","&amp;TRIM(TEXTSPLIT(HM175,","))&amp;",",","&amp;SUBSTITUTE(input_program," ","")&amp;",")))=COUNTA(TEXTSPLIT(HM175,",")))))</f>
        <v/>
      </c>
      <c r="JO175">
        <f>AND(IF(HO175="",TRUE,IF(input_story_categories="",FALSE,SUMPRODUCT(--ISNUMBER(SEARCH(","&amp;TRIM(TEXTSPLIT(HO175,","))&amp;",",","&amp;SUBSTITUTE(input_story_categories," ","")&amp;",")))&gt;0)),IF(HQ175="",TRUE,IF(input_story_categories="",FALSE,SUMPRODUCT(--ISNUMBER(SEARCH(","&amp;TRIM(TEXTSPLIT(HQ175,","))&amp;",",","&amp;SUBSTITUTE(input_story_categories," ","")&amp;",")))=COUNTA(TEXTSPLIT(HQ175,",")))),IF(HS175="",TRUE,IF(input_story_categories="",TRUE,SUMPRODUCT(--ISNUMBER(SEARCH(","&amp;TRIM(TEXTSPLIT(HS175,","))&amp;",",","&amp;SUBSTITUTE(input_story_categories," ","")&amp;",")))=0)),IF(HU175="",TRUE,IF(input_story_categories="",FALSE,SUMPRODUCT(--ISNUMBER(SEARCH(","&amp;TRIM(TEXTSPLIT(HU175,","))&amp;",",","&amp;SUBSTITUTE(input_story_categories," ","")&amp;",")))&gt;0)),IF(HW175="",TRUE,IF(input_story_categories="",FALSE,SUMPRODUCT(--ISNUMBER(SEARCH(","&amp;TRIM(TEXTSPLIT(HW175,","))&amp;",",","&amp;SUBSTITUTE(input_story_categories," ","")&amp;",")))=COUNTA(TEXTSPLIT(HW175,",")))))</f>
        <v/>
      </c>
      <c r="JP175">
        <f>AND(IF(HY175="",TRUE,IF(input_story_type="",FALSE,SUMPRODUCT(--ISNUMBER(SEARCH(","&amp;TRIM(TEXTSPLIT(HY175,","))&amp;",",","&amp;SUBSTITUTE(input_story_type," ","")&amp;",")))&gt;0)),IF(IA175="",TRUE,IF(input_story_type="",FALSE,SUMPRODUCT(--ISNUMBER(SEARCH(","&amp;TRIM(TEXTSPLIT(IA175,","))&amp;",",","&amp;SUBSTITUTE(input_story_type," ","")&amp;",")))=COUNTA(TEXTSPLIT(IA175,",")))),IF(IC175="",TRUE,IF(input_story_type="",TRUE,SUMPRODUCT(--ISNUMBER(SEARCH(","&amp;TRIM(TEXTSPLIT(IC175,","))&amp;",",","&amp;SUBSTITUTE(input_story_type," ","")&amp;",")))=0)),IF(IE175="",TRUE,IF(input_story_type="",FALSE,SUMPRODUCT(--ISNUMBER(SEARCH(","&amp;TRIM(TEXTSPLIT(IE175,","))&amp;",",","&amp;SUBSTITUTE(input_story_type," ","")&amp;",")))&gt;0)),IF(IG175="",TRUE,IF(input_story_type="",FALSE,SUMPRODUCT(--ISNUMBER(SEARCH(","&amp;TRIM(TEXTSPLIT(IG175,","))&amp;",",","&amp;SUBSTITUTE(input_story_type," ","")&amp;",")))=COUNTA(TEXTSPLIT(IG175,",")))))</f>
        <v/>
      </c>
      <c r="JQ175">
        <f>AND(IF(II175="",TRUE,IF(input_topics="",FALSE,SUMPRODUCT(--ISNUMBER(SEARCH(","&amp;TRIM(TEXTSPLIT(II175,","))&amp;",",","&amp;SUBSTITUTE(input_topics," ","")&amp;",")))&gt;0)),IF(IK175="",TRUE,IF(input_topics="",FALSE,SUMPRODUCT(--ISNUMBER(SEARCH(","&amp;TRIM(TEXTSPLIT(IK175,","))&amp;",",","&amp;SUBSTITUTE(input_topics," ","")&amp;",")))=COUNTA(TEXTSPLIT(IK175,",")))),IF(IM175="",TRUE,IF(input_topics="",TRUE,SUMPRODUCT(--ISNUMBER(SEARCH(","&amp;TRIM(TEXTSPLIT(IM175,","))&amp;",",","&amp;SUBSTITUTE(input_topics," ","")&amp;",")))=0)),IF(IO175="",TRUE,IF(input_topics="",FALSE,SUMPRODUCT(--ISNUMBER(SEARCH(","&amp;TRIM(TEXTSPLIT(IO175,","))&amp;",",","&amp;SUBSTITUTE(input_topics," ","")&amp;",")))&gt;0)),IF(IQ175="",TRUE,IF(input_topics="",FALSE,SUMPRODUCT(--ISNUMBER(SEARCH(","&amp;TRIM(TEXTSPLIT(IQ175,","))&amp;",",","&amp;SUBSTITUTE(input_topics," ","")&amp;",")))=COUNTA(TEXTSPLIT(IQ175,",")))))</f>
        <v/>
      </c>
    </row>
    <row r="176">
      <c r="A176" s="4">
        <f>IF(NOT(IS176),"Excluded",IF(AND(IT176,IU176,IV176,IW176,IX176,IY176,IZ176,JA176,JB176,JC176,JD176,JE176,JF176,JG176,JH176,JI176,JJ176,JK176,JL176,JM176,JN176,JO176,JP176,JQ176),IF(I176&gt;0,"Eligible but limited","Will appear"),"Excluded"))</f>
        <v/>
      </c>
      <c r="B176" s="4" t="inlineStr">
        <is>
          <t>Related stories</t>
        </is>
      </c>
      <c r="C176" s="4" t="inlineStr">
        <is>
          <t>/programs/mba</t>
        </is>
      </c>
      <c r="D176" s="4" t="inlineStr">
        <is>
          <t>/programs/mba</t>
        </is>
      </c>
      <c r="E176" s="4" t="n">
        <v>1</v>
      </c>
      <c r="F176" s="4" t="inlineStr">
        <is>
          <t>story</t>
        </is>
      </c>
      <c r="G176" s="4" t="inlineStr">
        <is>
          <t>stories_teaser_cards</t>
        </is>
      </c>
      <c r="H176" s="4" t="inlineStr">
        <is>
          <t>embed_blog</t>
        </is>
      </c>
      <c r="I176" s="4" t="n">
        <v>3</v>
      </c>
      <c r="J176" s="4" t="inlineStr">
        <is>
          <t>Section inferred</t>
        </is>
      </c>
      <c r="K176" s="4" t="inlineStr">
        <is>
          <t>Page placement</t>
        </is>
      </c>
      <c r="L176" s="4" t="inlineStr">
        <is>
          <t>Content type: story; Context uses Courses Context: MBA (92); Needs any Story Type: Blog (974); Limited to 3 item(s); Source: Section inferred</t>
        </is>
      </c>
      <c r="M176" t="inlineStr"/>
      <c r="N176" t="inlineStr"/>
      <c r="O176" t="inlineStr"/>
      <c r="P176" t="inlineStr"/>
      <c r="Q176" t="inlineStr"/>
      <c r="R176" t="inlineStr"/>
      <c r="S176" t="inlineStr"/>
      <c r="T176" t="inlineStr"/>
      <c r="U176" t="inlineStr"/>
      <c r="V176" t="inlineStr"/>
      <c r="W176" t="inlineStr"/>
      <c r="X176" t="inlineStr"/>
      <c r="Y176" t="inlineStr"/>
      <c r="Z176" t="inlineStr"/>
      <c r="AA176" t="inlineStr"/>
      <c r="AB176" t="inlineStr"/>
      <c r="AC176" t="inlineStr"/>
      <c r="AD176" t="inlineStr"/>
      <c r="AE176" t="inlineStr"/>
      <c r="AF176" t="inlineStr"/>
      <c r="AG176" t="inlineStr"/>
      <c r="AH176" t="inlineStr"/>
      <c r="AI176" t="inlineStr"/>
      <c r="AJ176" t="inlineStr"/>
      <c r="AK176" t="inlineStr"/>
      <c r="AL176" t="inlineStr"/>
      <c r="AM176" t="inlineStr"/>
      <c r="AN176" t="inlineStr"/>
      <c r="AO176" t="inlineStr"/>
      <c r="AP176" t="inlineStr"/>
      <c r="AQ176" t="inlineStr"/>
      <c r="AR176" t="inlineStr"/>
      <c r="AS176" t="inlineStr"/>
      <c r="AT176" t="inlineStr"/>
      <c r="AU176" t="inlineStr"/>
      <c r="AV176" t="inlineStr"/>
      <c r="AW176" t="inlineStr"/>
      <c r="AX176" t="inlineStr"/>
      <c r="AY176" t="inlineStr"/>
      <c r="AZ176" t="inlineStr"/>
      <c r="BA176" t="inlineStr"/>
      <c r="BB176" t="inlineStr"/>
      <c r="BC176" t="inlineStr"/>
      <c r="BD176" t="inlineStr"/>
      <c r="BE176" t="inlineStr"/>
      <c r="BF176" t="inlineStr"/>
      <c r="BG176" t="inlineStr"/>
      <c r="BH176" t="inlineStr"/>
      <c r="BI176" t="inlineStr"/>
      <c r="BJ176" t="inlineStr"/>
      <c r="BK176" t="inlineStr"/>
      <c r="BL176" t="inlineStr"/>
      <c r="BM176" t="inlineStr"/>
      <c r="BN176" t="inlineStr"/>
      <c r="BO176" t="inlineStr"/>
      <c r="BP176" t="inlineStr"/>
      <c r="BQ176" t="inlineStr">
        <is>
          <t>92</t>
        </is>
      </c>
      <c r="BR176" t="inlineStr">
        <is>
          <t>MBA (92)</t>
        </is>
      </c>
      <c r="BS176" t="inlineStr"/>
      <c r="BT176" t="inlineStr"/>
      <c r="BU176" t="inlineStr"/>
      <c r="BV176" t="inlineStr"/>
      <c r="BW176" t="inlineStr"/>
      <c r="BX176" t="inlineStr"/>
      <c r="BY176" t="inlineStr"/>
      <c r="BZ176" t="inlineStr"/>
      <c r="CA176" t="inlineStr"/>
      <c r="CB176" t="inlineStr"/>
      <c r="CC176" t="inlineStr"/>
      <c r="CD176" t="inlineStr"/>
      <c r="CE176" t="inlineStr"/>
      <c r="CF176" t="inlineStr"/>
      <c r="CG176" t="inlineStr"/>
      <c r="CH176" t="inlineStr"/>
      <c r="CI176" t="inlineStr"/>
      <c r="CJ176" t="inlineStr"/>
      <c r="CK176" t="inlineStr"/>
      <c r="CL176" t="inlineStr"/>
      <c r="CM176" t="inlineStr"/>
      <c r="CN176" t="inlineStr"/>
      <c r="CO176" t="inlineStr"/>
      <c r="CP176" t="inlineStr"/>
      <c r="CQ176" t="inlineStr"/>
      <c r="CR176" t="inlineStr"/>
      <c r="CS176" t="inlineStr"/>
      <c r="CT176" t="inlineStr"/>
      <c r="CU176" t="inlineStr"/>
      <c r="CV176" t="inlineStr"/>
      <c r="CW176" t="inlineStr"/>
      <c r="CX176" t="inlineStr"/>
      <c r="CY176" t="inlineStr"/>
      <c r="CZ176" t="inlineStr"/>
      <c r="DA176" t="inlineStr"/>
      <c r="DB176" t="inlineStr"/>
      <c r="DC176" t="inlineStr"/>
      <c r="DD176" t="inlineStr"/>
      <c r="DE176" t="inlineStr"/>
      <c r="DF176" t="inlineStr"/>
      <c r="DG176" t="inlineStr"/>
      <c r="DH176" t="inlineStr"/>
      <c r="DI176" t="inlineStr"/>
      <c r="DJ176" t="inlineStr"/>
      <c r="DK176" t="inlineStr"/>
      <c r="DL176" t="inlineStr"/>
      <c r="DM176" t="inlineStr"/>
      <c r="DN176" t="inlineStr"/>
      <c r="DO176" t="inlineStr"/>
      <c r="DP176" t="inlineStr"/>
      <c r="DQ176" t="inlineStr"/>
      <c r="DR176" t="inlineStr"/>
      <c r="DS176" t="inlineStr"/>
      <c r="DT176" t="inlineStr"/>
      <c r="DU176" t="inlineStr"/>
      <c r="DV176" t="inlineStr"/>
      <c r="DW176" t="inlineStr"/>
      <c r="DX176" t="inlineStr"/>
      <c r="DY176" t="inlineStr"/>
      <c r="DZ176" t="inlineStr"/>
      <c r="EA176" t="inlineStr"/>
      <c r="EB176" t="inlineStr"/>
      <c r="EC176" t="inlineStr"/>
      <c r="ED176" t="inlineStr"/>
      <c r="EE176" t="inlineStr"/>
      <c r="EF176" t="inlineStr"/>
      <c r="EG176" t="inlineStr"/>
      <c r="EH176" t="inlineStr"/>
      <c r="EI176" t="inlineStr"/>
      <c r="EJ176" t="inlineStr"/>
      <c r="EK176" t="inlineStr"/>
      <c r="EL176" t="inlineStr"/>
      <c r="EM176" t="inlineStr"/>
      <c r="EN176" t="inlineStr"/>
      <c r="EO176" t="inlineStr"/>
      <c r="EP176" t="inlineStr"/>
      <c r="EQ176" t="inlineStr"/>
      <c r="ER176" t="inlineStr"/>
      <c r="ES176" t="inlineStr"/>
      <c r="ET176" t="inlineStr"/>
      <c r="EU176" t="inlineStr"/>
      <c r="EV176" t="inlineStr"/>
      <c r="EW176" t="inlineStr"/>
      <c r="EX176" t="inlineStr"/>
      <c r="EY176" t="inlineStr"/>
      <c r="EZ176" t="inlineStr"/>
      <c r="FA176" t="inlineStr"/>
      <c r="FB176" t="inlineStr"/>
      <c r="FC176" t="inlineStr"/>
      <c r="FD176" t="inlineStr"/>
      <c r="FE176" t="inlineStr"/>
      <c r="FF176" t="inlineStr"/>
      <c r="FG176" t="inlineStr"/>
      <c r="FH176" t="inlineStr"/>
      <c r="FI176" t="inlineStr"/>
      <c r="FJ176" t="inlineStr"/>
      <c r="FK176" t="inlineStr"/>
      <c r="FL176" t="inlineStr"/>
      <c r="FM176" t="inlineStr"/>
      <c r="FN176" t="inlineStr"/>
      <c r="FO176" t="inlineStr"/>
      <c r="FP176" t="inlineStr"/>
      <c r="FQ176" t="inlineStr"/>
      <c r="FR176" t="inlineStr"/>
      <c r="FS176" t="inlineStr"/>
      <c r="FT176" t="inlineStr"/>
      <c r="FU176" t="inlineStr"/>
      <c r="FV176" t="inlineStr"/>
      <c r="FW176" t="inlineStr"/>
      <c r="FX176" t="inlineStr"/>
      <c r="FY176" t="inlineStr"/>
      <c r="FZ176" t="inlineStr"/>
      <c r="GA176" t="inlineStr"/>
      <c r="GB176" t="inlineStr"/>
      <c r="GC176" t="inlineStr"/>
      <c r="GD176" t="inlineStr"/>
      <c r="GE176" t="inlineStr"/>
      <c r="GF176" t="inlineStr"/>
      <c r="GG176" t="inlineStr"/>
      <c r="GH176" t="inlineStr"/>
      <c r="GI176" t="inlineStr"/>
      <c r="GJ176" t="inlineStr"/>
      <c r="GK176" t="inlineStr"/>
      <c r="GL176" t="inlineStr"/>
      <c r="GM176" t="inlineStr"/>
      <c r="GN176" t="inlineStr"/>
      <c r="GO176" t="inlineStr"/>
      <c r="GP176" t="inlineStr"/>
      <c r="GQ176" t="inlineStr"/>
      <c r="GR176" t="inlineStr"/>
      <c r="GS176" t="inlineStr"/>
      <c r="GT176" t="inlineStr"/>
      <c r="GU176" t="inlineStr"/>
      <c r="GV176" t="inlineStr"/>
      <c r="GW176" t="inlineStr"/>
      <c r="GX176" t="inlineStr"/>
      <c r="GY176" t="inlineStr"/>
      <c r="GZ176" t="inlineStr"/>
      <c r="HA176" t="inlineStr"/>
      <c r="HB176" t="inlineStr"/>
      <c r="HC176" t="inlineStr"/>
      <c r="HD176" t="inlineStr"/>
      <c r="HE176" t="inlineStr"/>
      <c r="HF176" t="inlineStr"/>
      <c r="HG176" t="inlineStr"/>
      <c r="HH176" t="inlineStr"/>
      <c r="HI176" t="inlineStr"/>
      <c r="HJ176" t="inlineStr"/>
      <c r="HK176" t="inlineStr"/>
      <c r="HL176" t="inlineStr"/>
      <c r="HM176" t="inlineStr"/>
      <c r="HN176" t="inlineStr"/>
      <c r="HO176" t="inlineStr"/>
      <c r="HP176" t="inlineStr"/>
      <c r="HQ176" t="inlineStr"/>
      <c r="HR176" t="inlineStr"/>
      <c r="HS176" t="inlineStr"/>
      <c r="HT176" t="inlineStr"/>
      <c r="HU176" t="inlineStr"/>
      <c r="HV176" t="inlineStr"/>
      <c r="HW176" t="inlineStr"/>
      <c r="HX176" t="inlineStr"/>
      <c r="HY176" t="inlineStr">
        <is>
          <t>974</t>
        </is>
      </c>
      <c r="HZ176" t="inlineStr">
        <is>
          <t>Blog (974)</t>
        </is>
      </c>
      <c r="IA176" t="inlineStr"/>
      <c r="IB176" t="inlineStr"/>
      <c r="IC176" t="inlineStr"/>
      <c r="ID176" t="inlineStr"/>
      <c r="IE176" t="inlineStr"/>
      <c r="IF176" t="inlineStr"/>
      <c r="IG176" t="inlineStr"/>
      <c r="IH176" t="inlineStr"/>
      <c r="II176" t="inlineStr"/>
      <c r="IJ176" t="inlineStr"/>
      <c r="IK176" t="inlineStr"/>
      <c r="IL176" t="inlineStr"/>
      <c r="IM176" t="inlineStr"/>
      <c r="IN176" t="inlineStr"/>
      <c r="IO176" t="inlineStr"/>
      <c r="IP176" t="inlineStr"/>
      <c r="IQ176" t="inlineStr"/>
      <c r="IR176" t="inlineStr"/>
      <c r="IS176">
        <f>IF(input_content_type="",FALSE,ISNUMBER(SEARCH(","&amp;LOWER(input_content_type)&amp;",",","&amp;LOWER(F176)&amp;",")))</f>
        <v/>
      </c>
      <c r="IT176">
        <f>AND(IF(M176="",TRUE,IF(input_affiliations="",FALSE,SUMPRODUCT(--ISNUMBER(SEARCH(","&amp;TRIM(TEXTSPLIT(M176,","))&amp;",",","&amp;SUBSTITUTE(input_affiliations," ","")&amp;",")))&gt;0)),IF(O176="",TRUE,IF(input_affiliations="",FALSE,SUMPRODUCT(--ISNUMBER(SEARCH(","&amp;TRIM(TEXTSPLIT(O176,","))&amp;",",","&amp;SUBSTITUTE(input_affiliations," ","")&amp;",")))=COUNTA(TEXTSPLIT(O176,",")))),IF(Q176="",TRUE,IF(input_affiliations="",TRUE,SUMPRODUCT(--ISNUMBER(SEARCH(","&amp;TRIM(TEXTSPLIT(Q176,","))&amp;",",","&amp;SUBSTITUTE(input_affiliations," ","")&amp;",")))=0)),IF(S176="",TRUE,IF(input_affiliations="",FALSE,SUMPRODUCT(--ISNUMBER(SEARCH(","&amp;TRIM(TEXTSPLIT(S176,","))&amp;",",","&amp;SUBSTITUTE(input_affiliations," ","")&amp;",")))&gt;0)),IF(U176="",TRUE,IF(input_affiliations="",FALSE,SUMPRODUCT(--ISNUMBER(SEARCH(","&amp;TRIM(TEXTSPLIT(U176,","))&amp;",",","&amp;SUBSTITUTE(input_affiliations," ","")&amp;",")))=COUNTA(TEXTSPLIT(U176,",")))))</f>
        <v/>
      </c>
      <c r="IU176">
        <f>AND(IF(W176="",TRUE,IF(input_announcement_category="",FALSE,SUMPRODUCT(--ISNUMBER(SEARCH(","&amp;TRIM(TEXTSPLIT(W176,","))&amp;",",","&amp;SUBSTITUTE(input_announcement_category," ","")&amp;",")))&gt;0)),IF(Y176="",TRUE,IF(input_announcement_category="",FALSE,SUMPRODUCT(--ISNUMBER(SEARCH(","&amp;TRIM(TEXTSPLIT(Y176,","))&amp;",",","&amp;SUBSTITUTE(input_announcement_category," ","")&amp;",")))=COUNTA(TEXTSPLIT(Y176,",")))),IF(AA176="",TRUE,IF(input_announcement_category="",TRUE,SUMPRODUCT(--ISNUMBER(SEARCH(","&amp;TRIM(TEXTSPLIT(AA176,","))&amp;",",","&amp;SUBSTITUTE(input_announcement_category," ","")&amp;",")))=0)),IF(AC176="",TRUE,IF(input_announcement_category="",FALSE,SUMPRODUCT(--ISNUMBER(SEARCH(","&amp;TRIM(TEXTSPLIT(AC176,","))&amp;",",","&amp;SUBSTITUTE(input_announcement_category," ","")&amp;",")))&gt;0)),IF(AE176="",TRUE,IF(input_announcement_category="",FALSE,SUMPRODUCT(--ISNUMBER(SEARCH(","&amp;TRIM(TEXTSPLIT(AE176,","))&amp;",",","&amp;SUBSTITUTE(input_announcement_category," ","")&amp;",")))=COUNTA(TEXTSPLIT(AE176,",")))))</f>
        <v/>
      </c>
      <c r="IV176">
        <f>AND(IF(AG176="",TRUE,IF(input_area_of_focus="",FALSE,SUMPRODUCT(--ISNUMBER(SEARCH(","&amp;TRIM(TEXTSPLIT(AG176,","))&amp;",",","&amp;SUBSTITUTE(input_area_of_focus," ","")&amp;",")))&gt;0)),IF(AI176="",TRUE,IF(input_area_of_focus="",FALSE,SUMPRODUCT(--ISNUMBER(SEARCH(","&amp;TRIM(TEXTSPLIT(AI176,","))&amp;",",","&amp;SUBSTITUTE(input_area_of_focus," ","")&amp;",")))=COUNTA(TEXTSPLIT(AI176,",")))),IF(AK176="",TRUE,IF(input_area_of_focus="",TRUE,SUMPRODUCT(--ISNUMBER(SEARCH(","&amp;TRIM(TEXTSPLIT(AK176,","))&amp;",",","&amp;SUBSTITUTE(input_area_of_focus," ","")&amp;",")))=0)),IF(AM176="",TRUE,IF(input_area_of_focus="",FALSE,SUMPRODUCT(--ISNUMBER(SEARCH(","&amp;TRIM(TEXTSPLIT(AM176,","))&amp;",",","&amp;SUBSTITUTE(input_area_of_focus," ","")&amp;",")))&gt;0)),IF(AO176="",TRUE,IF(input_area_of_focus="",FALSE,SUMPRODUCT(--ISNUMBER(SEARCH(","&amp;TRIM(TEXTSPLIT(AO176,","))&amp;",",","&amp;SUBSTITUTE(input_area_of_focus," ","")&amp;",")))=COUNTA(TEXTSPLIT(AO176,",")))))</f>
        <v/>
      </c>
      <c r="IW176">
        <f>AND(IF(AQ176="",TRUE,IF(input_audience="",FALSE,SUMPRODUCT(--ISNUMBER(SEARCH(","&amp;TRIM(TEXTSPLIT(AQ176,","))&amp;",",","&amp;SUBSTITUTE(input_audience," ","")&amp;",")))&gt;0)),IF(AS176="",TRUE,IF(input_audience="",FALSE,SUMPRODUCT(--ISNUMBER(SEARCH(","&amp;TRIM(TEXTSPLIT(AS176,","))&amp;",",","&amp;SUBSTITUTE(input_audience," ","")&amp;",")))=COUNTA(TEXTSPLIT(AS176,",")))),IF(AU176="",TRUE,IF(input_audience="",TRUE,SUMPRODUCT(--ISNUMBER(SEARCH(","&amp;TRIM(TEXTSPLIT(AU176,","))&amp;",",","&amp;SUBSTITUTE(input_audience," ","")&amp;",")))=0)),IF(AW176="",TRUE,IF(input_audience="",FALSE,SUMPRODUCT(--ISNUMBER(SEARCH(","&amp;TRIM(TEXTSPLIT(AW176,","))&amp;",",","&amp;SUBSTITUTE(input_audience," ","")&amp;",")))&gt;0)),IF(AY176="",TRUE,IF(input_audience="",FALSE,SUMPRODUCT(--ISNUMBER(SEARCH(","&amp;TRIM(TEXTSPLIT(AY176,","))&amp;",",","&amp;SUBSTITUTE(input_audience," ","")&amp;",")))=COUNTA(TEXTSPLIT(AY176,",")))))</f>
        <v/>
      </c>
      <c r="IX176">
        <f>AND(IF(BA176="",TRUE,IF(input_challenge_opportunities="",FALSE,SUMPRODUCT(--ISNUMBER(SEARCH(","&amp;TRIM(TEXTSPLIT(BA176,","))&amp;",",","&amp;SUBSTITUTE(input_challenge_opportunities," ","")&amp;",")))&gt;0)),IF(BC176="",TRUE,IF(input_challenge_opportunities="",FALSE,SUMPRODUCT(--ISNUMBER(SEARCH(","&amp;TRIM(TEXTSPLIT(BC176,","))&amp;",",","&amp;SUBSTITUTE(input_challenge_opportunities," ","")&amp;",")))=COUNTA(TEXTSPLIT(BC176,",")))),IF(BE176="",TRUE,IF(input_challenge_opportunities="",TRUE,SUMPRODUCT(--ISNUMBER(SEARCH(","&amp;TRIM(TEXTSPLIT(BE176,","))&amp;",",","&amp;SUBSTITUTE(input_challenge_opportunities," ","")&amp;",")))=0)),IF(BG176="",TRUE,IF(input_challenge_opportunities="",FALSE,SUMPRODUCT(--ISNUMBER(SEARCH(","&amp;TRIM(TEXTSPLIT(BG176,","))&amp;",",","&amp;SUBSTITUTE(input_challenge_opportunities," ","")&amp;",")))&gt;0)),IF(BI176="",TRUE,IF(input_challenge_opportunities="",FALSE,SUMPRODUCT(--ISNUMBER(SEARCH(","&amp;TRIM(TEXTSPLIT(BI176,","))&amp;",",","&amp;SUBSTITUTE(input_challenge_opportunities," ","")&amp;",")))=COUNTA(TEXTSPLIT(BI176,",")))))</f>
        <v/>
      </c>
      <c r="IY176">
        <f>AND(IF(BK176="",TRUE,IF(input_context="",FALSE,SUMPRODUCT(--ISNUMBER(SEARCH(","&amp;TRIM(TEXTSPLIT(BK176,","))&amp;",",","&amp;SUBSTITUTE(input_context," ","")&amp;",")))&gt;0)),IF(BM176="",TRUE,IF(input_context="",FALSE,SUMPRODUCT(--ISNUMBER(SEARCH(","&amp;TRIM(TEXTSPLIT(BM176,","))&amp;",",","&amp;SUBSTITUTE(input_context," ","")&amp;",")))=COUNTA(TEXTSPLIT(BM176,",")))),IF(BO176="",TRUE,IF(input_context="",TRUE,SUMPRODUCT(--ISNUMBER(SEARCH(","&amp;TRIM(TEXTSPLIT(BO176,","))&amp;",",","&amp;SUBSTITUTE(input_context," ","")&amp;",")))=0)),IF(BQ176="",TRUE,IF(input_context="",FALSE,SUMPRODUCT(--ISNUMBER(SEARCH(","&amp;TRIM(TEXTSPLIT(BQ176,","))&amp;",",","&amp;SUBSTITUTE(input_context," ","")&amp;",")))&gt;0)),IF(BS176="",TRUE,IF(input_context="",FALSE,SUMPRODUCT(--ISNUMBER(SEARCH(","&amp;TRIM(TEXTSPLIT(BS176,","))&amp;",",","&amp;SUBSTITUTE(input_context," ","")&amp;",")))=COUNTA(TEXTSPLIT(BS176,",")))))</f>
        <v/>
      </c>
      <c r="IZ176">
        <f>AND(IF(BU176="",TRUE,IF(input_enews_announcement_type="",FALSE,SUMPRODUCT(--ISNUMBER(SEARCH(","&amp;TRIM(TEXTSPLIT(BU176,","))&amp;",",","&amp;SUBSTITUTE(input_enews_announcement_type," ","")&amp;",")))&gt;0)),IF(BW176="",TRUE,IF(input_enews_announcement_type="",FALSE,SUMPRODUCT(--ISNUMBER(SEARCH(","&amp;TRIM(TEXTSPLIT(BW176,","))&amp;",",","&amp;SUBSTITUTE(input_enews_announcement_type," ","")&amp;",")))=COUNTA(TEXTSPLIT(BW176,",")))),IF(BY176="",TRUE,IF(input_enews_announcement_type="",TRUE,SUMPRODUCT(--ISNUMBER(SEARCH(","&amp;TRIM(TEXTSPLIT(BY176,","))&amp;",",","&amp;SUBSTITUTE(input_enews_announcement_type," ","")&amp;",")))=0)),IF(CA176="",TRUE,IF(input_enews_announcement_type="",FALSE,SUMPRODUCT(--ISNUMBER(SEARCH(","&amp;TRIM(TEXTSPLIT(CA176,","))&amp;",",","&amp;SUBSTITUTE(input_enews_announcement_type," ","")&amp;",")))&gt;0)),IF(CC176="",TRUE,IF(input_enews_announcement_type="",FALSE,SUMPRODUCT(--ISNUMBER(SEARCH(","&amp;TRIM(TEXTSPLIT(CC176,","))&amp;",",","&amp;SUBSTITUTE(input_enews_announcement_type," ","")&amp;",")))=COUNTA(TEXTSPLIT(CC176,",")))))</f>
        <v/>
      </c>
      <c r="JA176">
        <f>AND(IF(CE176="",TRUE,IF(input_enews_audience="",FALSE,SUMPRODUCT(--ISNUMBER(SEARCH(","&amp;TRIM(TEXTSPLIT(CE176,","))&amp;",",","&amp;SUBSTITUTE(input_enews_audience," ","")&amp;",")))&gt;0)),IF(CG176="",TRUE,IF(input_enews_audience="",FALSE,SUMPRODUCT(--ISNUMBER(SEARCH(","&amp;TRIM(TEXTSPLIT(CG176,","))&amp;",",","&amp;SUBSTITUTE(input_enews_audience," ","")&amp;",")))=COUNTA(TEXTSPLIT(CG176,",")))),IF(CI176="",TRUE,IF(input_enews_audience="",TRUE,SUMPRODUCT(--ISNUMBER(SEARCH(","&amp;TRIM(TEXTSPLIT(CI176,","))&amp;",",","&amp;SUBSTITUTE(input_enews_audience," ","")&amp;",")))=0)),IF(CK176="",TRUE,IF(input_enews_audience="",FALSE,SUMPRODUCT(--ISNUMBER(SEARCH(","&amp;TRIM(TEXTSPLIT(CK176,","))&amp;",",","&amp;SUBSTITUTE(input_enews_audience," ","")&amp;",")))&gt;0)),IF(CM176="",TRUE,IF(input_enews_audience="",FALSE,SUMPRODUCT(--ISNUMBER(SEARCH(","&amp;TRIM(TEXTSPLIT(CM176,","))&amp;",",","&amp;SUBSTITUTE(input_enews_audience," ","")&amp;",")))=COUNTA(TEXTSPLIT(CM176,",")))))</f>
        <v/>
      </c>
      <c r="JB176">
        <f>AND(IF(CO176="",TRUE,IF(input_event_location="",FALSE,SUMPRODUCT(--ISNUMBER(SEARCH(","&amp;TRIM(TEXTSPLIT(CO176,","))&amp;",",","&amp;SUBSTITUTE(input_event_location," ","")&amp;",")))&gt;0)),IF(CQ176="",TRUE,IF(input_event_location="",FALSE,SUMPRODUCT(--ISNUMBER(SEARCH(","&amp;TRIM(TEXTSPLIT(CQ176,","))&amp;",",","&amp;SUBSTITUTE(input_event_location," ","")&amp;",")))=COUNTA(TEXTSPLIT(CQ176,",")))),IF(CS176="",TRUE,IF(input_event_location="",TRUE,SUMPRODUCT(--ISNUMBER(SEARCH(","&amp;TRIM(TEXTSPLIT(CS176,","))&amp;",",","&amp;SUBSTITUTE(input_event_location," ","")&amp;",")))=0)),IF(CU176="",TRUE,IF(input_event_location="",FALSE,SUMPRODUCT(--ISNUMBER(SEARCH(","&amp;TRIM(TEXTSPLIT(CU176,","))&amp;",",","&amp;SUBSTITUTE(input_event_location," ","")&amp;",")))&gt;0)),IF(CW176="",TRUE,IF(input_event_location="",FALSE,SUMPRODUCT(--ISNUMBER(SEARCH(","&amp;TRIM(TEXTSPLIT(CW176,","))&amp;",",","&amp;SUBSTITUTE(input_event_location," ","")&amp;",")))=COUNTA(TEXTSPLIT(CW176,",")))))</f>
        <v/>
      </c>
      <c r="JC176">
        <f>AND(IF(CY176="",TRUE,IF(input_event_type="",FALSE,SUMPRODUCT(--ISNUMBER(SEARCH(","&amp;TRIM(TEXTSPLIT(CY176,","))&amp;",",","&amp;SUBSTITUTE(input_event_type," ","")&amp;",")))&gt;0)),IF(DA176="",TRUE,IF(input_event_type="",FALSE,SUMPRODUCT(--ISNUMBER(SEARCH(","&amp;TRIM(TEXTSPLIT(DA176,","))&amp;",",","&amp;SUBSTITUTE(input_event_type," ","")&amp;",")))=COUNTA(TEXTSPLIT(DA176,",")))),IF(DC176="",TRUE,IF(input_event_type="",TRUE,SUMPRODUCT(--ISNUMBER(SEARCH(","&amp;TRIM(TEXTSPLIT(DC176,","))&amp;",",","&amp;SUBSTITUTE(input_event_type," ","")&amp;",")))=0)),IF(DE176="",TRUE,IF(input_event_type="",FALSE,SUMPRODUCT(--ISNUMBER(SEARCH(","&amp;TRIM(TEXTSPLIT(DE176,","))&amp;",",","&amp;SUBSTITUTE(input_event_type," ","")&amp;",")))&gt;0)),IF(DG176="",TRUE,IF(input_event_type="",FALSE,SUMPRODUCT(--ISNUMBER(SEARCH(","&amp;TRIM(TEXTSPLIT(DG176,","))&amp;",",","&amp;SUBSTITUTE(input_event_type," ","")&amp;",")))=COUNTA(TEXTSPLIT(DG176,",")))))</f>
        <v/>
      </c>
      <c r="JD176">
        <f>AND(IF(DI176="",TRUE,IF(input_executive_education_focus="",FALSE,SUMPRODUCT(--ISNUMBER(SEARCH(","&amp;TRIM(TEXTSPLIT(DI176,","))&amp;",",","&amp;SUBSTITUTE(input_executive_education_focus," ","")&amp;",")))&gt;0)),IF(DK176="",TRUE,IF(input_executive_education_focus="",FALSE,SUMPRODUCT(--ISNUMBER(SEARCH(","&amp;TRIM(TEXTSPLIT(DK176,","))&amp;",",","&amp;SUBSTITUTE(input_executive_education_focus," ","")&amp;",")))=COUNTA(TEXTSPLIT(DK176,",")))),IF(DM176="",TRUE,IF(input_executive_education_focus="",TRUE,SUMPRODUCT(--ISNUMBER(SEARCH(","&amp;TRIM(TEXTSPLIT(DM176,","))&amp;",",","&amp;SUBSTITUTE(input_executive_education_focus," ","")&amp;",")))=0)),IF(DO176="",TRUE,IF(input_executive_education_focus="",FALSE,SUMPRODUCT(--ISNUMBER(SEARCH(","&amp;TRIM(TEXTSPLIT(DO176,","))&amp;",",","&amp;SUBSTITUTE(input_executive_education_focus," ","")&amp;",")))&gt;0)),IF(DQ176="",TRUE,IF(input_executive_education_focus="",FALSE,SUMPRODUCT(--ISNUMBER(SEARCH(","&amp;TRIM(TEXTSPLIT(DQ176,","))&amp;",",","&amp;SUBSTITUTE(input_executive_education_focus," ","")&amp;",")))=COUNTA(TEXTSPLIT(DQ176,",")))))</f>
        <v/>
      </c>
      <c r="JE176">
        <f>AND(IF(DS176="",TRUE,IF(input_faculty_category="",FALSE,SUMPRODUCT(--ISNUMBER(SEARCH(","&amp;TRIM(TEXTSPLIT(DS176,","))&amp;",",","&amp;SUBSTITUTE(input_faculty_category," ","")&amp;",")))&gt;0)),IF(DU176="",TRUE,IF(input_faculty_category="",FALSE,SUMPRODUCT(--ISNUMBER(SEARCH(","&amp;TRIM(TEXTSPLIT(DU176,","))&amp;",",","&amp;SUBSTITUTE(input_faculty_category," ","")&amp;",")))=COUNTA(TEXTSPLIT(DU176,",")))),IF(DW176="",TRUE,IF(input_faculty_category="",TRUE,SUMPRODUCT(--ISNUMBER(SEARCH(","&amp;TRIM(TEXTSPLIT(DW176,","))&amp;",",","&amp;SUBSTITUTE(input_faculty_category," ","")&amp;",")))=0)),IF(DY176="",TRUE,IF(input_faculty_category="",FALSE,SUMPRODUCT(--ISNUMBER(SEARCH(","&amp;TRIM(TEXTSPLIT(DY176,","))&amp;",",","&amp;SUBSTITUTE(input_faculty_category," ","")&amp;",")))&gt;0)),IF(EA176="",TRUE,IF(input_faculty_category="",FALSE,SUMPRODUCT(--ISNUMBER(SEARCH(","&amp;TRIM(TEXTSPLIT(EA176,","))&amp;",",","&amp;SUBSTITUTE(input_faculty_category," ","")&amp;",")))=COUNTA(TEXTSPLIT(EA176,",")))))</f>
        <v/>
      </c>
      <c r="JF176">
        <f>AND(IF(EC176="",TRUE,IF(input_faculty_discipline="",FALSE,SUMPRODUCT(--ISNUMBER(SEARCH(","&amp;TRIM(TEXTSPLIT(EC176,","))&amp;",",","&amp;SUBSTITUTE(input_faculty_discipline," ","")&amp;",")))&gt;0)),IF(EE176="",TRUE,IF(input_faculty_discipline="",FALSE,SUMPRODUCT(--ISNUMBER(SEARCH(","&amp;TRIM(TEXTSPLIT(EE176,","))&amp;",",","&amp;SUBSTITUTE(input_faculty_discipline," ","")&amp;",")))=COUNTA(TEXTSPLIT(EE176,",")))),IF(EG176="",TRUE,IF(input_faculty_discipline="",TRUE,SUMPRODUCT(--ISNUMBER(SEARCH(","&amp;TRIM(TEXTSPLIT(EG176,","))&amp;",",","&amp;SUBSTITUTE(input_faculty_discipline," ","")&amp;",")))=0)),IF(EI176="",TRUE,IF(input_faculty_discipline="",FALSE,SUMPRODUCT(--ISNUMBER(SEARCH(","&amp;TRIM(TEXTSPLIT(EI176,","))&amp;",",","&amp;SUBSTITUTE(input_faculty_discipline," ","")&amp;",")))&gt;0)),IF(EK176="",TRUE,IF(input_faculty_discipline="",FALSE,SUMPRODUCT(--ISNUMBER(SEARCH(","&amp;TRIM(TEXTSPLIT(EK176,","))&amp;",",","&amp;SUBSTITUTE(input_faculty_discipline," ","")&amp;",")))=COUNTA(TEXTSPLIT(EK176,",")))))</f>
        <v/>
      </c>
      <c r="JG176">
        <f>AND(IF(EM176="",TRUE,IF(input_faculty_expertise="",FALSE,SUMPRODUCT(--ISNUMBER(SEARCH(","&amp;TRIM(TEXTSPLIT(EM176,","))&amp;",",","&amp;SUBSTITUTE(input_faculty_expertise," ","")&amp;",")))&gt;0)),IF(EO176="",TRUE,IF(input_faculty_expertise="",FALSE,SUMPRODUCT(--ISNUMBER(SEARCH(","&amp;TRIM(TEXTSPLIT(EO176,","))&amp;",",","&amp;SUBSTITUTE(input_faculty_expertise," ","")&amp;",")))=COUNTA(TEXTSPLIT(EO176,",")))),IF(EQ176="",TRUE,IF(input_faculty_expertise="",TRUE,SUMPRODUCT(--ISNUMBER(SEARCH(","&amp;TRIM(TEXTSPLIT(EQ176,","))&amp;",",","&amp;SUBSTITUTE(input_faculty_expertise," ","")&amp;",")))=0)),IF(ES176="",TRUE,IF(input_faculty_expertise="",FALSE,SUMPRODUCT(--ISNUMBER(SEARCH(","&amp;TRIM(TEXTSPLIT(ES176,","))&amp;",",","&amp;SUBSTITUTE(input_faculty_expertise," ","")&amp;",")))&gt;0)),IF(EU176="",TRUE,IF(input_faculty_expertise="",FALSE,SUMPRODUCT(--ISNUMBER(SEARCH(","&amp;TRIM(TEXTSPLIT(EU176,","))&amp;",",","&amp;SUBSTITUTE(input_faculty_expertise," ","")&amp;",")))=COUNTA(TEXTSPLIT(EU176,",")))))</f>
        <v/>
      </c>
      <c r="JH176">
        <f>AND(IF(EW176="",TRUE,IF(input_global_network_school="",FALSE,SUMPRODUCT(--ISNUMBER(SEARCH(","&amp;TRIM(TEXTSPLIT(EW176,","))&amp;",",","&amp;SUBSTITUTE(input_global_network_school," ","")&amp;",")))&gt;0)),IF(EY176="",TRUE,IF(input_global_network_school="",FALSE,SUMPRODUCT(--ISNUMBER(SEARCH(","&amp;TRIM(TEXTSPLIT(EY176,","))&amp;",",","&amp;SUBSTITUTE(input_global_network_school," ","")&amp;",")))=COUNTA(TEXTSPLIT(EY176,",")))),IF(FA176="",TRUE,IF(input_global_network_school="",TRUE,SUMPRODUCT(--ISNUMBER(SEARCH(","&amp;TRIM(TEXTSPLIT(FA176,","))&amp;",",","&amp;SUBSTITUTE(input_global_network_school," ","")&amp;",")))=0)),IF(FC176="",TRUE,IF(input_global_network_school="",FALSE,SUMPRODUCT(--ISNUMBER(SEARCH(","&amp;TRIM(TEXTSPLIT(FC176,","))&amp;",",","&amp;SUBSTITUTE(input_global_network_school," ","")&amp;",")))&gt;0)),IF(FE176="",TRUE,IF(input_global_network_school="",FALSE,SUMPRODUCT(--ISNUMBER(SEARCH(","&amp;TRIM(TEXTSPLIT(FE176,","))&amp;",",","&amp;SUBSTITUTE(input_global_network_school," ","")&amp;",")))=COUNTA(TEXTSPLIT(FE176,",")))))</f>
        <v/>
      </c>
      <c r="JI176">
        <f>AND(IF(FG176="",TRUE,IF(input_industry="",FALSE,SUMPRODUCT(--ISNUMBER(SEARCH(","&amp;TRIM(TEXTSPLIT(FG176,","))&amp;",",","&amp;SUBSTITUTE(input_industry," ","")&amp;",")))&gt;0)),IF(FI176="",TRUE,IF(input_industry="",FALSE,SUMPRODUCT(--ISNUMBER(SEARCH(","&amp;TRIM(TEXTSPLIT(FI176,","))&amp;",",","&amp;SUBSTITUTE(input_industry," ","")&amp;",")))=COUNTA(TEXTSPLIT(FI176,",")))),IF(FK176="",TRUE,IF(input_industry="",TRUE,SUMPRODUCT(--ISNUMBER(SEARCH(","&amp;TRIM(TEXTSPLIT(FK176,","))&amp;",",","&amp;SUBSTITUTE(input_industry," ","")&amp;",")))=0)),IF(FM176="",TRUE,IF(input_industry="",FALSE,SUMPRODUCT(--ISNUMBER(SEARCH(","&amp;TRIM(TEXTSPLIT(FM176,","))&amp;",",","&amp;SUBSTITUTE(input_industry," ","")&amp;",")))&gt;0)),IF(FO176="",TRUE,IF(input_industry="",FALSE,SUMPRODUCT(--ISNUMBER(SEARCH(","&amp;TRIM(TEXTSPLIT(FO176,","))&amp;",",","&amp;SUBSTITUTE(input_industry," ","")&amp;",")))=COUNTA(TEXTSPLIT(FO176,",")))))</f>
        <v/>
      </c>
      <c r="JJ176">
        <f>AND(IF(FQ176="",TRUE,IF(input_location="",FALSE,SUMPRODUCT(--ISNUMBER(SEARCH(","&amp;TRIM(TEXTSPLIT(FQ176,","))&amp;",",","&amp;SUBSTITUTE(input_location," ","")&amp;",")))&gt;0)),IF(FS176="",TRUE,IF(input_location="",FALSE,SUMPRODUCT(--ISNUMBER(SEARCH(","&amp;TRIM(TEXTSPLIT(FS176,","))&amp;",",","&amp;SUBSTITUTE(input_location," ","")&amp;",")))=COUNTA(TEXTSPLIT(FS176,",")))),IF(FU176="",TRUE,IF(input_location="",TRUE,SUMPRODUCT(--ISNUMBER(SEARCH(","&amp;TRIM(TEXTSPLIT(FU176,","))&amp;",",","&amp;SUBSTITUTE(input_location," ","")&amp;",")))=0)),IF(FW176="",TRUE,IF(input_location="",FALSE,SUMPRODUCT(--ISNUMBER(SEARCH(","&amp;TRIM(TEXTSPLIT(FW176,","))&amp;",",","&amp;SUBSTITUTE(input_location," ","")&amp;",")))&gt;0)),IF(FY176="",TRUE,IF(input_location="",FALSE,SUMPRODUCT(--ISNUMBER(SEARCH(","&amp;TRIM(TEXTSPLIT(FY176,","))&amp;",",","&amp;SUBSTITUTE(input_location," ","")&amp;",")))=COUNTA(TEXTSPLIT(FY176,",")))))</f>
        <v/>
      </c>
      <c r="JK176">
        <f>AND(IF(GA176="",TRUE,IF(input_modality="",FALSE,SUMPRODUCT(--ISNUMBER(SEARCH(","&amp;TRIM(TEXTSPLIT(GA176,","))&amp;",",","&amp;SUBSTITUTE(input_modality," ","")&amp;",")))&gt;0)),IF(GC176="",TRUE,IF(input_modality="",FALSE,SUMPRODUCT(--ISNUMBER(SEARCH(","&amp;TRIM(TEXTSPLIT(GC176,","))&amp;",",","&amp;SUBSTITUTE(input_modality," ","")&amp;",")))=COUNTA(TEXTSPLIT(GC176,",")))),IF(GE176="",TRUE,IF(input_modality="",TRUE,SUMPRODUCT(--ISNUMBER(SEARCH(","&amp;TRIM(TEXTSPLIT(GE176,","))&amp;",",","&amp;SUBSTITUTE(input_modality," ","")&amp;",")))=0)),IF(GG176="",TRUE,IF(input_modality="",FALSE,SUMPRODUCT(--ISNUMBER(SEARCH(","&amp;TRIM(TEXTSPLIT(GG176,","))&amp;",",","&amp;SUBSTITUTE(input_modality," ","")&amp;",")))&gt;0)),IF(GI176="",TRUE,IF(input_modality="",FALSE,SUMPRODUCT(--ISNUMBER(SEARCH(","&amp;TRIM(TEXTSPLIT(GI176,","))&amp;",",","&amp;SUBSTITUTE(input_modality," ","")&amp;",")))=COUNTA(TEXTSPLIT(GI176,",")))))</f>
        <v/>
      </c>
      <c r="JL176">
        <f>AND(IF(GK176="",TRUE,IF(input_organizer="",FALSE,SUMPRODUCT(--ISNUMBER(SEARCH(","&amp;TRIM(TEXTSPLIT(GK176,","))&amp;",",","&amp;SUBSTITUTE(input_organizer," ","")&amp;",")))&gt;0)),IF(GM176="",TRUE,IF(input_organizer="",FALSE,SUMPRODUCT(--ISNUMBER(SEARCH(","&amp;TRIM(TEXTSPLIT(GM176,","))&amp;",",","&amp;SUBSTITUTE(input_organizer," ","")&amp;",")))=COUNTA(TEXTSPLIT(GM176,",")))),IF(GO176="",TRUE,IF(input_organizer="",TRUE,SUMPRODUCT(--ISNUMBER(SEARCH(","&amp;TRIM(TEXTSPLIT(GO176,","))&amp;",",","&amp;SUBSTITUTE(input_organizer," ","")&amp;",")))=0)),IF(GQ176="",TRUE,IF(input_organizer="",FALSE,SUMPRODUCT(--ISNUMBER(SEARCH(","&amp;TRIM(TEXTSPLIT(GQ176,","))&amp;",",","&amp;SUBSTITUTE(input_organizer," ","")&amp;",")))&gt;0)),IF(GS176="",TRUE,IF(input_organizer="",FALSE,SUMPRODUCT(--ISNUMBER(SEARCH(","&amp;TRIM(TEXTSPLIT(GS176,","))&amp;",",","&amp;SUBSTITUTE(input_organizer," ","")&amp;",")))=COUNTA(TEXTSPLIT(GS176,",")))))</f>
        <v/>
      </c>
      <c r="JM176">
        <f>AND(IF(GU176="",TRUE,IF(input_profile_type="",FALSE,SUMPRODUCT(--ISNUMBER(SEARCH(","&amp;TRIM(TEXTSPLIT(GU176,","))&amp;",",","&amp;SUBSTITUTE(input_profile_type," ","")&amp;",")))&gt;0)),IF(GW176="",TRUE,IF(input_profile_type="",FALSE,SUMPRODUCT(--ISNUMBER(SEARCH(","&amp;TRIM(TEXTSPLIT(GW176,","))&amp;",",","&amp;SUBSTITUTE(input_profile_type," ","")&amp;",")))=COUNTA(TEXTSPLIT(GW176,",")))),IF(GY176="",TRUE,IF(input_profile_type="",TRUE,SUMPRODUCT(--ISNUMBER(SEARCH(","&amp;TRIM(TEXTSPLIT(GY176,","))&amp;",",","&amp;SUBSTITUTE(input_profile_type," ","")&amp;",")))=0)),IF(HA176="",TRUE,IF(input_profile_type="",FALSE,SUMPRODUCT(--ISNUMBER(SEARCH(","&amp;TRIM(TEXTSPLIT(HA176,","))&amp;",",","&amp;SUBSTITUTE(input_profile_type," ","")&amp;",")))&gt;0)),IF(HC176="",TRUE,IF(input_profile_type="",FALSE,SUMPRODUCT(--ISNUMBER(SEARCH(","&amp;TRIM(TEXTSPLIT(HC176,","))&amp;",",","&amp;SUBSTITUTE(input_profile_type," ","")&amp;",")))=COUNTA(TEXTSPLIT(HC176,",")))))</f>
        <v/>
      </c>
      <c r="JN176">
        <f>AND(IF(HE176="",TRUE,IF(input_program="",FALSE,SUMPRODUCT(--ISNUMBER(SEARCH(","&amp;TRIM(TEXTSPLIT(HE176,","))&amp;",",","&amp;SUBSTITUTE(input_program," ","")&amp;",")))&gt;0)),IF(HG176="",TRUE,IF(input_program="",FALSE,SUMPRODUCT(--ISNUMBER(SEARCH(","&amp;TRIM(TEXTSPLIT(HG176,","))&amp;",",","&amp;SUBSTITUTE(input_program," ","")&amp;",")))=COUNTA(TEXTSPLIT(HG176,",")))),IF(HI176="",TRUE,IF(input_program="",TRUE,SUMPRODUCT(--ISNUMBER(SEARCH(","&amp;TRIM(TEXTSPLIT(HI176,","))&amp;",",","&amp;SUBSTITUTE(input_program," ","")&amp;",")))=0)),IF(HK176="",TRUE,IF(input_program="",FALSE,SUMPRODUCT(--ISNUMBER(SEARCH(","&amp;TRIM(TEXTSPLIT(HK176,","))&amp;",",","&amp;SUBSTITUTE(input_program," ","")&amp;",")))&gt;0)),IF(HM176="",TRUE,IF(input_program="",FALSE,SUMPRODUCT(--ISNUMBER(SEARCH(","&amp;TRIM(TEXTSPLIT(HM176,","))&amp;",",","&amp;SUBSTITUTE(input_program," ","")&amp;",")))=COUNTA(TEXTSPLIT(HM176,",")))))</f>
        <v/>
      </c>
      <c r="JO176">
        <f>AND(IF(HO176="",TRUE,IF(input_story_categories="",FALSE,SUMPRODUCT(--ISNUMBER(SEARCH(","&amp;TRIM(TEXTSPLIT(HO176,","))&amp;",",","&amp;SUBSTITUTE(input_story_categories," ","")&amp;",")))&gt;0)),IF(HQ176="",TRUE,IF(input_story_categories="",FALSE,SUMPRODUCT(--ISNUMBER(SEARCH(","&amp;TRIM(TEXTSPLIT(HQ176,","))&amp;",",","&amp;SUBSTITUTE(input_story_categories," ","")&amp;",")))=COUNTA(TEXTSPLIT(HQ176,",")))),IF(HS176="",TRUE,IF(input_story_categories="",TRUE,SUMPRODUCT(--ISNUMBER(SEARCH(","&amp;TRIM(TEXTSPLIT(HS176,","))&amp;",",","&amp;SUBSTITUTE(input_story_categories," ","")&amp;",")))=0)),IF(HU176="",TRUE,IF(input_story_categories="",FALSE,SUMPRODUCT(--ISNUMBER(SEARCH(","&amp;TRIM(TEXTSPLIT(HU176,","))&amp;",",","&amp;SUBSTITUTE(input_story_categories," ","")&amp;",")))&gt;0)),IF(HW176="",TRUE,IF(input_story_categories="",FALSE,SUMPRODUCT(--ISNUMBER(SEARCH(","&amp;TRIM(TEXTSPLIT(HW176,","))&amp;",",","&amp;SUBSTITUTE(input_story_categories," ","")&amp;",")))=COUNTA(TEXTSPLIT(HW176,",")))))</f>
        <v/>
      </c>
      <c r="JP176">
        <f>AND(IF(HY176="",TRUE,IF(input_story_type="",FALSE,SUMPRODUCT(--ISNUMBER(SEARCH(","&amp;TRIM(TEXTSPLIT(HY176,","))&amp;",",","&amp;SUBSTITUTE(input_story_type," ","")&amp;",")))&gt;0)),IF(IA176="",TRUE,IF(input_story_type="",FALSE,SUMPRODUCT(--ISNUMBER(SEARCH(","&amp;TRIM(TEXTSPLIT(IA176,","))&amp;",",","&amp;SUBSTITUTE(input_story_type," ","")&amp;",")))=COUNTA(TEXTSPLIT(IA176,",")))),IF(IC176="",TRUE,IF(input_story_type="",TRUE,SUMPRODUCT(--ISNUMBER(SEARCH(","&amp;TRIM(TEXTSPLIT(IC176,","))&amp;",",","&amp;SUBSTITUTE(input_story_type," ","")&amp;",")))=0)),IF(IE176="",TRUE,IF(input_story_type="",FALSE,SUMPRODUCT(--ISNUMBER(SEARCH(","&amp;TRIM(TEXTSPLIT(IE176,","))&amp;",",","&amp;SUBSTITUTE(input_story_type," ","")&amp;",")))&gt;0)),IF(IG176="",TRUE,IF(input_story_type="",FALSE,SUMPRODUCT(--ISNUMBER(SEARCH(","&amp;TRIM(TEXTSPLIT(IG176,","))&amp;",",","&amp;SUBSTITUTE(input_story_type," ","")&amp;",")))=COUNTA(TEXTSPLIT(IG176,",")))))</f>
        <v/>
      </c>
      <c r="JQ176">
        <f>AND(IF(II176="",TRUE,IF(input_topics="",FALSE,SUMPRODUCT(--ISNUMBER(SEARCH(","&amp;TRIM(TEXTSPLIT(II176,","))&amp;",",","&amp;SUBSTITUTE(input_topics," ","")&amp;",")))&gt;0)),IF(IK176="",TRUE,IF(input_topics="",FALSE,SUMPRODUCT(--ISNUMBER(SEARCH(","&amp;TRIM(TEXTSPLIT(IK176,","))&amp;",",","&amp;SUBSTITUTE(input_topics," ","")&amp;",")))=COUNTA(TEXTSPLIT(IK176,",")))),IF(IM176="",TRUE,IF(input_topics="",TRUE,SUMPRODUCT(--ISNUMBER(SEARCH(","&amp;TRIM(TEXTSPLIT(IM176,","))&amp;",",","&amp;SUBSTITUTE(input_topics," ","")&amp;",")))=0)),IF(IO176="",TRUE,IF(input_topics="",FALSE,SUMPRODUCT(--ISNUMBER(SEARCH(","&amp;TRIM(TEXTSPLIT(IO176,","))&amp;",",","&amp;SUBSTITUTE(input_topics," ","")&amp;",")))&gt;0)),IF(IQ176="",TRUE,IF(input_topics="",FALSE,SUMPRODUCT(--ISNUMBER(SEARCH(","&amp;TRIM(TEXTSPLIT(IQ176,","))&amp;",",","&amp;SUBSTITUTE(input_topics," ","")&amp;",")))=COUNTA(TEXTSPLIT(IQ176,",")))))</f>
        <v/>
      </c>
    </row>
    <row r="177">
      <c r="A177" s="4">
        <f>IF(NOT(IS177),"Excluded",IF(AND(IT177,IU177,IV177,IW177,IX177,IY177,IZ177,JA177,JB177,JC177,JD177,JE177,JF177,JG177,JH177,JI177,JJ177,JK177,JL177,JM177,JN177,JO177,JP177,JQ177),IF(I177&gt;0,"Eligible but limited","Will appear"),"Excluded"))</f>
        <v/>
      </c>
      <c r="B177" s="4" t="inlineStr">
        <is>
          <t>Related stories</t>
        </is>
      </c>
      <c r="C177" s="4" t="inlineStr">
        <is>
          <t>/programs/mba/integrated-curriculum/global-study</t>
        </is>
      </c>
      <c r="D177" s="4" t="inlineStr">
        <is>
          <t>/programs/mba/integrated-curriculum/global-study</t>
        </is>
      </c>
      <c r="E177" s="4" t="n">
        <v>1</v>
      </c>
      <c r="F177" s="4" t="inlineStr">
        <is>
          <t>story</t>
        </is>
      </c>
      <c r="G177" s="4" t="inlineStr">
        <is>
          <t>stories_teaser_cards</t>
        </is>
      </c>
      <c r="H177" s="4" t="inlineStr">
        <is>
          <t>embed_blog</t>
        </is>
      </c>
      <c r="I177" s="4" t="n">
        <v>3</v>
      </c>
      <c r="J177" s="4" t="inlineStr">
        <is>
          <t>Section inferred</t>
        </is>
      </c>
      <c r="K177" s="4" t="inlineStr">
        <is>
          <t>Page placement</t>
        </is>
      </c>
      <c r="L177" s="4" t="inlineStr">
        <is>
          <t>Content type: story; Context uses Courses Context: MBA (92); Needs any Story Type: Blog (974); Limited to 3 item(s); Source: Section inferred</t>
        </is>
      </c>
      <c r="M177" t="inlineStr"/>
      <c r="N177" t="inlineStr"/>
      <c r="O177" t="inlineStr"/>
      <c r="P177" t="inlineStr"/>
      <c r="Q177" t="inlineStr"/>
      <c r="R177" t="inlineStr"/>
      <c r="S177" t="inlineStr"/>
      <c r="T177" t="inlineStr"/>
      <c r="U177" t="inlineStr"/>
      <c r="V177" t="inlineStr"/>
      <c r="W177" t="inlineStr"/>
      <c r="X177" t="inlineStr"/>
      <c r="Y177" t="inlineStr"/>
      <c r="Z177" t="inlineStr"/>
      <c r="AA177" t="inlineStr"/>
      <c r="AB177" t="inlineStr"/>
      <c r="AC177" t="inlineStr"/>
      <c r="AD177" t="inlineStr"/>
      <c r="AE177" t="inlineStr"/>
      <c r="AF177" t="inlineStr"/>
      <c r="AG177" t="inlineStr"/>
      <c r="AH177" t="inlineStr"/>
      <c r="AI177" t="inlineStr"/>
      <c r="AJ177" t="inlineStr"/>
      <c r="AK177" t="inlineStr"/>
      <c r="AL177" t="inlineStr"/>
      <c r="AM177" t="inlineStr"/>
      <c r="AN177" t="inlineStr"/>
      <c r="AO177" t="inlineStr"/>
      <c r="AP177" t="inlineStr"/>
      <c r="AQ177" t="inlineStr"/>
      <c r="AR177" t="inlineStr"/>
      <c r="AS177" t="inlineStr"/>
      <c r="AT177" t="inlineStr"/>
      <c r="AU177" t="inlineStr"/>
      <c r="AV177" t="inlineStr"/>
      <c r="AW177" t="inlineStr"/>
      <c r="AX177" t="inlineStr"/>
      <c r="AY177" t="inlineStr"/>
      <c r="AZ177" t="inlineStr"/>
      <c r="BA177" t="inlineStr"/>
      <c r="BB177" t="inlineStr"/>
      <c r="BC177" t="inlineStr"/>
      <c r="BD177" t="inlineStr"/>
      <c r="BE177" t="inlineStr"/>
      <c r="BF177" t="inlineStr"/>
      <c r="BG177" t="inlineStr"/>
      <c r="BH177" t="inlineStr"/>
      <c r="BI177" t="inlineStr"/>
      <c r="BJ177" t="inlineStr"/>
      <c r="BK177" t="inlineStr"/>
      <c r="BL177" t="inlineStr"/>
      <c r="BM177" t="inlineStr"/>
      <c r="BN177" t="inlineStr"/>
      <c r="BO177" t="inlineStr"/>
      <c r="BP177" t="inlineStr"/>
      <c r="BQ177" t="inlineStr">
        <is>
          <t>92</t>
        </is>
      </c>
      <c r="BR177" t="inlineStr">
        <is>
          <t>MBA (92)</t>
        </is>
      </c>
      <c r="BS177" t="inlineStr"/>
      <c r="BT177" t="inlineStr"/>
      <c r="BU177" t="inlineStr"/>
      <c r="BV177" t="inlineStr"/>
      <c r="BW177" t="inlineStr"/>
      <c r="BX177" t="inlineStr"/>
      <c r="BY177" t="inlineStr"/>
      <c r="BZ177" t="inlineStr"/>
      <c r="CA177" t="inlineStr"/>
      <c r="CB177" t="inlineStr"/>
      <c r="CC177" t="inlineStr"/>
      <c r="CD177" t="inlineStr"/>
      <c r="CE177" t="inlineStr"/>
      <c r="CF177" t="inlineStr"/>
      <c r="CG177" t="inlineStr"/>
      <c r="CH177" t="inlineStr"/>
      <c r="CI177" t="inlineStr"/>
      <c r="CJ177" t="inlineStr"/>
      <c r="CK177" t="inlineStr"/>
      <c r="CL177" t="inlineStr"/>
      <c r="CM177" t="inlineStr"/>
      <c r="CN177" t="inlineStr"/>
      <c r="CO177" t="inlineStr"/>
      <c r="CP177" t="inlineStr"/>
      <c r="CQ177" t="inlineStr"/>
      <c r="CR177" t="inlineStr"/>
      <c r="CS177" t="inlineStr"/>
      <c r="CT177" t="inlineStr"/>
      <c r="CU177" t="inlineStr"/>
      <c r="CV177" t="inlineStr"/>
      <c r="CW177" t="inlineStr"/>
      <c r="CX177" t="inlineStr"/>
      <c r="CY177" t="inlineStr"/>
      <c r="CZ177" t="inlineStr"/>
      <c r="DA177" t="inlineStr"/>
      <c r="DB177" t="inlineStr"/>
      <c r="DC177" t="inlineStr"/>
      <c r="DD177" t="inlineStr"/>
      <c r="DE177" t="inlineStr"/>
      <c r="DF177" t="inlineStr"/>
      <c r="DG177" t="inlineStr"/>
      <c r="DH177" t="inlineStr"/>
      <c r="DI177" t="inlineStr"/>
      <c r="DJ177" t="inlineStr"/>
      <c r="DK177" t="inlineStr"/>
      <c r="DL177" t="inlineStr"/>
      <c r="DM177" t="inlineStr"/>
      <c r="DN177" t="inlineStr"/>
      <c r="DO177" t="inlineStr"/>
      <c r="DP177" t="inlineStr"/>
      <c r="DQ177" t="inlineStr"/>
      <c r="DR177" t="inlineStr"/>
      <c r="DS177" t="inlineStr"/>
      <c r="DT177" t="inlineStr"/>
      <c r="DU177" t="inlineStr"/>
      <c r="DV177" t="inlineStr"/>
      <c r="DW177" t="inlineStr"/>
      <c r="DX177" t="inlineStr"/>
      <c r="DY177" t="inlineStr"/>
      <c r="DZ177" t="inlineStr"/>
      <c r="EA177" t="inlineStr"/>
      <c r="EB177" t="inlineStr"/>
      <c r="EC177" t="inlineStr"/>
      <c r="ED177" t="inlineStr"/>
      <c r="EE177" t="inlineStr"/>
      <c r="EF177" t="inlineStr"/>
      <c r="EG177" t="inlineStr"/>
      <c r="EH177" t="inlineStr"/>
      <c r="EI177" t="inlineStr"/>
      <c r="EJ177" t="inlineStr"/>
      <c r="EK177" t="inlineStr"/>
      <c r="EL177" t="inlineStr"/>
      <c r="EM177" t="inlineStr"/>
      <c r="EN177" t="inlineStr"/>
      <c r="EO177" t="inlineStr"/>
      <c r="EP177" t="inlineStr"/>
      <c r="EQ177" t="inlineStr"/>
      <c r="ER177" t="inlineStr"/>
      <c r="ES177" t="inlineStr"/>
      <c r="ET177" t="inlineStr"/>
      <c r="EU177" t="inlineStr"/>
      <c r="EV177" t="inlineStr"/>
      <c r="EW177" t="inlineStr"/>
      <c r="EX177" t="inlineStr"/>
      <c r="EY177" t="inlineStr"/>
      <c r="EZ177" t="inlineStr"/>
      <c r="FA177" t="inlineStr"/>
      <c r="FB177" t="inlineStr"/>
      <c r="FC177" t="inlineStr"/>
      <c r="FD177" t="inlineStr"/>
      <c r="FE177" t="inlineStr"/>
      <c r="FF177" t="inlineStr"/>
      <c r="FG177" t="inlineStr"/>
      <c r="FH177" t="inlineStr"/>
      <c r="FI177" t="inlineStr"/>
      <c r="FJ177" t="inlineStr"/>
      <c r="FK177" t="inlineStr"/>
      <c r="FL177" t="inlineStr"/>
      <c r="FM177" t="inlineStr"/>
      <c r="FN177" t="inlineStr"/>
      <c r="FO177" t="inlineStr"/>
      <c r="FP177" t="inlineStr"/>
      <c r="FQ177" t="inlineStr"/>
      <c r="FR177" t="inlineStr"/>
      <c r="FS177" t="inlineStr"/>
      <c r="FT177" t="inlineStr"/>
      <c r="FU177" t="inlineStr"/>
      <c r="FV177" t="inlineStr"/>
      <c r="FW177" t="inlineStr"/>
      <c r="FX177" t="inlineStr"/>
      <c r="FY177" t="inlineStr"/>
      <c r="FZ177" t="inlineStr"/>
      <c r="GA177" t="inlineStr"/>
      <c r="GB177" t="inlineStr"/>
      <c r="GC177" t="inlineStr"/>
      <c r="GD177" t="inlineStr"/>
      <c r="GE177" t="inlineStr"/>
      <c r="GF177" t="inlineStr"/>
      <c r="GG177" t="inlineStr"/>
      <c r="GH177" t="inlineStr"/>
      <c r="GI177" t="inlineStr"/>
      <c r="GJ177" t="inlineStr"/>
      <c r="GK177" t="inlineStr"/>
      <c r="GL177" t="inlineStr"/>
      <c r="GM177" t="inlineStr"/>
      <c r="GN177" t="inlineStr"/>
      <c r="GO177" t="inlineStr"/>
      <c r="GP177" t="inlineStr"/>
      <c r="GQ177" t="inlineStr"/>
      <c r="GR177" t="inlineStr"/>
      <c r="GS177" t="inlineStr"/>
      <c r="GT177" t="inlineStr"/>
      <c r="GU177" t="inlineStr"/>
      <c r="GV177" t="inlineStr"/>
      <c r="GW177" t="inlineStr"/>
      <c r="GX177" t="inlineStr"/>
      <c r="GY177" t="inlineStr"/>
      <c r="GZ177" t="inlineStr"/>
      <c r="HA177" t="inlineStr"/>
      <c r="HB177" t="inlineStr"/>
      <c r="HC177" t="inlineStr"/>
      <c r="HD177" t="inlineStr"/>
      <c r="HE177" t="inlineStr"/>
      <c r="HF177" t="inlineStr"/>
      <c r="HG177" t="inlineStr"/>
      <c r="HH177" t="inlineStr"/>
      <c r="HI177" t="inlineStr"/>
      <c r="HJ177" t="inlineStr"/>
      <c r="HK177" t="inlineStr"/>
      <c r="HL177" t="inlineStr"/>
      <c r="HM177" t="inlineStr"/>
      <c r="HN177" t="inlineStr"/>
      <c r="HO177" t="inlineStr"/>
      <c r="HP177" t="inlineStr"/>
      <c r="HQ177" t="inlineStr"/>
      <c r="HR177" t="inlineStr"/>
      <c r="HS177" t="inlineStr"/>
      <c r="HT177" t="inlineStr"/>
      <c r="HU177" t="inlineStr"/>
      <c r="HV177" t="inlineStr"/>
      <c r="HW177" t="inlineStr"/>
      <c r="HX177" t="inlineStr"/>
      <c r="HY177" t="inlineStr">
        <is>
          <t>974</t>
        </is>
      </c>
      <c r="HZ177" t="inlineStr">
        <is>
          <t>Blog (974)</t>
        </is>
      </c>
      <c r="IA177" t="inlineStr"/>
      <c r="IB177" t="inlineStr"/>
      <c r="IC177" t="inlineStr"/>
      <c r="ID177" t="inlineStr"/>
      <c r="IE177" t="inlineStr"/>
      <c r="IF177" t="inlineStr"/>
      <c r="IG177" t="inlineStr"/>
      <c r="IH177" t="inlineStr"/>
      <c r="II177" t="inlineStr"/>
      <c r="IJ177" t="inlineStr"/>
      <c r="IK177" t="inlineStr"/>
      <c r="IL177" t="inlineStr"/>
      <c r="IM177" t="inlineStr"/>
      <c r="IN177" t="inlineStr"/>
      <c r="IO177" t="inlineStr"/>
      <c r="IP177" t="inlineStr"/>
      <c r="IQ177" t="inlineStr"/>
      <c r="IR177" t="inlineStr"/>
      <c r="IS177">
        <f>IF(input_content_type="",FALSE,ISNUMBER(SEARCH(","&amp;LOWER(input_content_type)&amp;",",","&amp;LOWER(F177)&amp;",")))</f>
        <v/>
      </c>
      <c r="IT177">
        <f>AND(IF(M177="",TRUE,IF(input_affiliations="",FALSE,SUMPRODUCT(--ISNUMBER(SEARCH(","&amp;TRIM(TEXTSPLIT(M177,","))&amp;",",","&amp;SUBSTITUTE(input_affiliations," ","")&amp;",")))&gt;0)),IF(O177="",TRUE,IF(input_affiliations="",FALSE,SUMPRODUCT(--ISNUMBER(SEARCH(","&amp;TRIM(TEXTSPLIT(O177,","))&amp;",",","&amp;SUBSTITUTE(input_affiliations," ","")&amp;",")))=COUNTA(TEXTSPLIT(O177,",")))),IF(Q177="",TRUE,IF(input_affiliations="",TRUE,SUMPRODUCT(--ISNUMBER(SEARCH(","&amp;TRIM(TEXTSPLIT(Q177,","))&amp;",",","&amp;SUBSTITUTE(input_affiliations," ","")&amp;",")))=0)),IF(S177="",TRUE,IF(input_affiliations="",FALSE,SUMPRODUCT(--ISNUMBER(SEARCH(","&amp;TRIM(TEXTSPLIT(S177,","))&amp;",",","&amp;SUBSTITUTE(input_affiliations," ","")&amp;",")))&gt;0)),IF(U177="",TRUE,IF(input_affiliations="",FALSE,SUMPRODUCT(--ISNUMBER(SEARCH(","&amp;TRIM(TEXTSPLIT(U177,","))&amp;",",","&amp;SUBSTITUTE(input_affiliations," ","")&amp;",")))=COUNTA(TEXTSPLIT(U177,",")))))</f>
        <v/>
      </c>
      <c r="IU177">
        <f>AND(IF(W177="",TRUE,IF(input_announcement_category="",FALSE,SUMPRODUCT(--ISNUMBER(SEARCH(","&amp;TRIM(TEXTSPLIT(W177,","))&amp;",",","&amp;SUBSTITUTE(input_announcement_category," ","")&amp;",")))&gt;0)),IF(Y177="",TRUE,IF(input_announcement_category="",FALSE,SUMPRODUCT(--ISNUMBER(SEARCH(","&amp;TRIM(TEXTSPLIT(Y177,","))&amp;",",","&amp;SUBSTITUTE(input_announcement_category," ","")&amp;",")))=COUNTA(TEXTSPLIT(Y177,",")))),IF(AA177="",TRUE,IF(input_announcement_category="",TRUE,SUMPRODUCT(--ISNUMBER(SEARCH(","&amp;TRIM(TEXTSPLIT(AA177,","))&amp;",",","&amp;SUBSTITUTE(input_announcement_category," ","")&amp;",")))=0)),IF(AC177="",TRUE,IF(input_announcement_category="",FALSE,SUMPRODUCT(--ISNUMBER(SEARCH(","&amp;TRIM(TEXTSPLIT(AC177,","))&amp;",",","&amp;SUBSTITUTE(input_announcement_category," ","")&amp;",")))&gt;0)),IF(AE177="",TRUE,IF(input_announcement_category="",FALSE,SUMPRODUCT(--ISNUMBER(SEARCH(","&amp;TRIM(TEXTSPLIT(AE177,","))&amp;",",","&amp;SUBSTITUTE(input_announcement_category," ","")&amp;",")))=COUNTA(TEXTSPLIT(AE177,",")))))</f>
        <v/>
      </c>
      <c r="IV177">
        <f>AND(IF(AG177="",TRUE,IF(input_area_of_focus="",FALSE,SUMPRODUCT(--ISNUMBER(SEARCH(","&amp;TRIM(TEXTSPLIT(AG177,","))&amp;",",","&amp;SUBSTITUTE(input_area_of_focus," ","")&amp;",")))&gt;0)),IF(AI177="",TRUE,IF(input_area_of_focus="",FALSE,SUMPRODUCT(--ISNUMBER(SEARCH(","&amp;TRIM(TEXTSPLIT(AI177,","))&amp;",",","&amp;SUBSTITUTE(input_area_of_focus," ","")&amp;",")))=COUNTA(TEXTSPLIT(AI177,",")))),IF(AK177="",TRUE,IF(input_area_of_focus="",TRUE,SUMPRODUCT(--ISNUMBER(SEARCH(","&amp;TRIM(TEXTSPLIT(AK177,","))&amp;",",","&amp;SUBSTITUTE(input_area_of_focus," ","")&amp;",")))=0)),IF(AM177="",TRUE,IF(input_area_of_focus="",FALSE,SUMPRODUCT(--ISNUMBER(SEARCH(","&amp;TRIM(TEXTSPLIT(AM177,","))&amp;",",","&amp;SUBSTITUTE(input_area_of_focus," ","")&amp;",")))&gt;0)),IF(AO177="",TRUE,IF(input_area_of_focus="",FALSE,SUMPRODUCT(--ISNUMBER(SEARCH(","&amp;TRIM(TEXTSPLIT(AO177,","))&amp;",",","&amp;SUBSTITUTE(input_area_of_focus," ","")&amp;",")))=COUNTA(TEXTSPLIT(AO177,",")))))</f>
        <v/>
      </c>
      <c r="IW177">
        <f>AND(IF(AQ177="",TRUE,IF(input_audience="",FALSE,SUMPRODUCT(--ISNUMBER(SEARCH(","&amp;TRIM(TEXTSPLIT(AQ177,","))&amp;",",","&amp;SUBSTITUTE(input_audience," ","")&amp;",")))&gt;0)),IF(AS177="",TRUE,IF(input_audience="",FALSE,SUMPRODUCT(--ISNUMBER(SEARCH(","&amp;TRIM(TEXTSPLIT(AS177,","))&amp;",",","&amp;SUBSTITUTE(input_audience," ","")&amp;",")))=COUNTA(TEXTSPLIT(AS177,",")))),IF(AU177="",TRUE,IF(input_audience="",TRUE,SUMPRODUCT(--ISNUMBER(SEARCH(","&amp;TRIM(TEXTSPLIT(AU177,","))&amp;",",","&amp;SUBSTITUTE(input_audience," ","")&amp;",")))=0)),IF(AW177="",TRUE,IF(input_audience="",FALSE,SUMPRODUCT(--ISNUMBER(SEARCH(","&amp;TRIM(TEXTSPLIT(AW177,","))&amp;",",","&amp;SUBSTITUTE(input_audience," ","")&amp;",")))&gt;0)),IF(AY177="",TRUE,IF(input_audience="",FALSE,SUMPRODUCT(--ISNUMBER(SEARCH(","&amp;TRIM(TEXTSPLIT(AY177,","))&amp;",",","&amp;SUBSTITUTE(input_audience," ","")&amp;",")))=COUNTA(TEXTSPLIT(AY177,",")))))</f>
        <v/>
      </c>
      <c r="IX177">
        <f>AND(IF(BA177="",TRUE,IF(input_challenge_opportunities="",FALSE,SUMPRODUCT(--ISNUMBER(SEARCH(","&amp;TRIM(TEXTSPLIT(BA177,","))&amp;",",","&amp;SUBSTITUTE(input_challenge_opportunities," ","")&amp;",")))&gt;0)),IF(BC177="",TRUE,IF(input_challenge_opportunities="",FALSE,SUMPRODUCT(--ISNUMBER(SEARCH(","&amp;TRIM(TEXTSPLIT(BC177,","))&amp;",",","&amp;SUBSTITUTE(input_challenge_opportunities," ","")&amp;",")))=COUNTA(TEXTSPLIT(BC177,",")))),IF(BE177="",TRUE,IF(input_challenge_opportunities="",TRUE,SUMPRODUCT(--ISNUMBER(SEARCH(","&amp;TRIM(TEXTSPLIT(BE177,","))&amp;",",","&amp;SUBSTITUTE(input_challenge_opportunities," ","")&amp;",")))=0)),IF(BG177="",TRUE,IF(input_challenge_opportunities="",FALSE,SUMPRODUCT(--ISNUMBER(SEARCH(","&amp;TRIM(TEXTSPLIT(BG177,","))&amp;",",","&amp;SUBSTITUTE(input_challenge_opportunities," ","")&amp;",")))&gt;0)),IF(BI177="",TRUE,IF(input_challenge_opportunities="",FALSE,SUMPRODUCT(--ISNUMBER(SEARCH(","&amp;TRIM(TEXTSPLIT(BI177,","))&amp;",",","&amp;SUBSTITUTE(input_challenge_opportunities," ","")&amp;",")))=COUNTA(TEXTSPLIT(BI177,",")))))</f>
        <v/>
      </c>
      <c r="IY177">
        <f>AND(IF(BK177="",TRUE,IF(input_context="",FALSE,SUMPRODUCT(--ISNUMBER(SEARCH(","&amp;TRIM(TEXTSPLIT(BK177,","))&amp;",",","&amp;SUBSTITUTE(input_context," ","")&amp;",")))&gt;0)),IF(BM177="",TRUE,IF(input_context="",FALSE,SUMPRODUCT(--ISNUMBER(SEARCH(","&amp;TRIM(TEXTSPLIT(BM177,","))&amp;",",","&amp;SUBSTITUTE(input_context," ","")&amp;",")))=COUNTA(TEXTSPLIT(BM177,",")))),IF(BO177="",TRUE,IF(input_context="",TRUE,SUMPRODUCT(--ISNUMBER(SEARCH(","&amp;TRIM(TEXTSPLIT(BO177,","))&amp;",",","&amp;SUBSTITUTE(input_context," ","")&amp;",")))=0)),IF(BQ177="",TRUE,IF(input_context="",FALSE,SUMPRODUCT(--ISNUMBER(SEARCH(","&amp;TRIM(TEXTSPLIT(BQ177,","))&amp;",",","&amp;SUBSTITUTE(input_context," ","")&amp;",")))&gt;0)),IF(BS177="",TRUE,IF(input_context="",FALSE,SUMPRODUCT(--ISNUMBER(SEARCH(","&amp;TRIM(TEXTSPLIT(BS177,","))&amp;",",","&amp;SUBSTITUTE(input_context," ","")&amp;",")))=COUNTA(TEXTSPLIT(BS177,",")))))</f>
        <v/>
      </c>
      <c r="IZ177">
        <f>AND(IF(BU177="",TRUE,IF(input_enews_announcement_type="",FALSE,SUMPRODUCT(--ISNUMBER(SEARCH(","&amp;TRIM(TEXTSPLIT(BU177,","))&amp;",",","&amp;SUBSTITUTE(input_enews_announcement_type," ","")&amp;",")))&gt;0)),IF(BW177="",TRUE,IF(input_enews_announcement_type="",FALSE,SUMPRODUCT(--ISNUMBER(SEARCH(","&amp;TRIM(TEXTSPLIT(BW177,","))&amp;",",","&amp;SUBSTITUTE(input_enews_announcement_type," ","")&amp;",")))=COUNTA(TEXTSPLIT(BW177,",")))),IF(BY177="",TRUE,IF(input_enews_announcement_type="",TRUE,SUMPRODUCT(--ISNUMBER(SEARCH(","&amp;TRIM(TEXTSPLIT(BY177,","))&amp;",",","&amp;SUBSTITUTE(input_enews_announcement_type," ","")&amp;",")))=0)),IF(CA177="",TRUE,IF(input_enews_announcement_type="",FALSE,SUMPRODUCT(--ISNUMBER(SEARCH(","&amp;TRIM(TEXTSPLIT(CA177,","))&amp;",",","&amp;SUBSTITUTE(input_enews_announcement_type," ","")&amp;",")))&gt;0)),IF(CC177="",TRUE,IF(input_enews_announcement_type="",FALSE,SUMPRODUCT(--ISNUMBER(SEARCH(","&amp;TRIM(TEXTSPLIT(CC177,","))&amp;",",","&amp;SUBSTITUTE(input_enews_announcement_type," ","")&amp;",")))=COUNTA(TEXTSPLIT(CC177,",")))))</f>
        <v/>
      </c>
      <c r="JA177">
        <f>AND(IF(CE177="",TRUE,IF(input_enews_audience="",FALSE,SUMPRODUCT(--ISNUMBER(SEARCH(","&amp;TRIM(TEXTSPLIT(CE177,","))&amp;",",","&amp;SUBSTITUTE(input_enews_audience," ","")&amp;",")))&gt;0)),IF(CG177="",TRUE,IF(input_enews_audience="",FALSE,SUMPRODUCT(--ISNUMBER(SEARCH(","&amp;TRIM(TEXTSPLIT(CG177,","))&amp;",",","&amp;SUBSTITUTE(input_enews_audience," ","")&amp;",")))=COUNTA(TEXTSPLIT(CG177,",")))),IF(CI177="",TRUE,IF(input_enews_audience="",TRUE,SUMPRODUCT(--ISNUMBER(SEARCH(","&amp;TRIM(TEXTSPLIT(CI177,","))&amp;",",","&amp;SUBSTITUTE(input_enews_audience," ","")&amp;",")))=0)),IF(CK177="",TRUE,IF(input_enews_audience="",FALSE,SUMPRODUCT(--ISNUMBER(SEARCH(","&amp;TRIM(TEXTSPLIT(CK177,","))&amp;",",","&amp;SUBSTITUTE(input_enews_audience," ","")&amp;",")))&gt;0)),IF(CM177="",TRUE,IF(input_enews_audience="",FALSE,SUMPRODUCT(--ISNUMBER(SEARCH(","&amp;TRIM(TEXTSPLIT(CM177,","))&amp;",",","&amp;SUBSTITUTE(input_enews_audience," ","")&amp;",")))=COUNTA(TEXTSPLIT(CM177,",")))))</f>
        <v/>
      </c>
      <c r="JB177">
        <f>AND(IF(CO177="",TRUE,IF(input_event_location="",FALSE,SUMPRODUCT(--ISNUMBER(SEARCH(","&amp;TRIM(TEXTSPLIT(CO177,","))&amp;",",","&amp;SUBSTITUTE(input_event_location," ","")&amp;",")))&gt;0)),IF(CQ177="",TRUE,IF(input_event_location="",FALSE,SUMPRODUCT(--ISNUMBER(SEARCH(","&amp;TRIM(TEXTSPLIT(CQ177,","))&amp;",",","&amp;SUBSTITUTE(input_event_location," ","")&amp;",")))=COUNTA(TEXTSPLIT(CQ177,",")))),IF(CS177="",TRUE,IF(input_event_location="",TRUE,SUMPRODUCT(--ISNUMBER(SEARCH(","&amp;TRIM(TEXTSPLIT(CS177,","))&amp;",",","&amp;SUBSTITUTE(input_event_location," ","")&amp;",")))=0)),IF(CU177="",TRUE,IF(input_event_location="",FALSE,SUMPRODUCT(--ISNUMBER(SEARCH(","&amp;TRIM(TEXTSPLIT(CU177,","))&amp;",",","&amp;SUBSTITUTE(input_event_location," ","")&amp;",")))&gt;0)),IF(CW177="",TRUE,IF(input_event_location="",FALSE,SUMPRODUCT(--ISNUMBER(SEARCH(","&amp;TRIM(TEXTSPLIT(CW177,","))&amp;",",","&amp;SUBSTITUTE(input_event_location," ","")&amp;",")))=COUNTA(TEXTSPLIT(CW177,",")))))</f>
        <v/>
      </c>
      <c r="JC177">
        <f>AND(IF(CY177="",TRUE,IF(input_event_type="",FALSE,SUMPRODUCT(--ISNUMBER(SEARCH(","&amp;TRIM(TEXTSPLIT(CY177,","))&amp;",",","&amp;SUBSTITUTE(input_event_type," ","")&amp;",")))&gt;0)),IF(DA177="",TRUE,IF(input_event_type="",FALSE,SUMPRODUCT(--ISNUMBER(SEARCH(","&amp;TRIM(TEXTSPLIT(DA177,","))&amp;",",","&amp;SUBSTITUTE(input_event_type," ","")&amp;",")))=COUNTA(TEXTSPLIT(DA177,",")))),IF(DC177="",TRUE,IF(input_event_type="",TRUE,SUMPRODUCT(--ISNUMBER(SEARCH(","&amp;TRIM(TEXTSPLIT(DC177,","))&amp;",",","&amp;SUBSTITUTE(input_event_type," ","")&amp;",")))=0)),IF(DE177="",TRUE,IF(input_event_type="",FALSE,SUMPRODUCT(--ISNUMBER(SEARCH(","&amp;TRIM(TEXTSPLIT(DE177,","))&amp;",",","&amp;SUBSTITUTE(input_event_type," ","")&amp;",")))&gt;0)),IF(DG177="",TRUE,IF(input_event_type="",FALSE,SUMPRODUCT(--ISNUMBER(SEARCH(","&amp;TRIM(TEXTSPLIT(DG177,","))&amp;",",","&amp;SUBSTITUTE(input_event_type," ","")&amp;",")))=COUNTA(TEXTSPLIT(DG177,",")))))</f>
        <v/>
      </c>
      <c r="JD177">
        <f>AND(IF(DI177="",TRUE,IF(input_executive_education_focus="",FALSE,SUMPRODUCT(--ISNUMBER(SEARCH(","&amp;TRIM(TEXTSPLIT(DI177,","))&amp;",",","&amp;SUBSTITUTE(input_executive_education_focus," ","")&amp;",")))&gt;0)),IF(DK177="",TRUE,IF(input_executive_education_focus="",FALSE,SUMPRODUCT(--ISNUMBER(SEARCH(","&amp;TRIM(TEXTSPLIT(DK177,","))&amp;",",","&amp;SUBSTITUTE(input_executive_education_focus," ","")&amp;",")))=COUNTA(TEXTSPLIT(DK177,",")))),IF(DM177="",TRUE,IF(input_executive_education_focus="",TRUE,SUMPRODUCT(--ISNUMBER(SEARCH(","&amp;TRIM(TEXTSPLIT(DM177,","))&amp;",",","&amp;SUBSTITUTE(input_executive_education_focus," ","")&amp;",")))=0)),IF(DO177="",TRUE,IF(input_executive_education_focus="",FALSE,SUMPRODUCT(--ISNUMBER(SEARCH(","&amp;TRIM(TEXTSPLIT(DO177,","))&amp;",",","&amp;SUBSTITUTE(input_executive_education_focus," ","")&amp;",")))&gt;0)),IF(DQ177="",TRUE,IF(input_executive_education_focus="",FALSE,SUMPRODUCT(--ISNUMBER(SEARCH(","&amp;TRIM(TEXTSPLIT(DQ177,","))&amp;",",","&amp;SUBSTITUTE(input_executive_education_focus," ","")&amp;",")))=COUNTA(TEXTSPLIT(DQ177,",")))))</f>
        <v/>
      </c>
      <c r="JE177">
        <f>AND(IF(DS177="",TRUE,IF(input_faculty_category="",FALSE,SUMPRODUCT(--ISNUMBER(SEARCH(","&amp;TRIM(TEXTSPLIT(DS177,","))&amp;",",","&amp;SUBSTITUTE(input_faculty_category," ","")&amp;",")))&gt;0)),IF(DU177="",TRUE,IF(input_faculty_category="",FALSE,SUMPRODUCT(--ISNUMBER(SEARCH(","&amp;TRIM(TEXTSPLIT(DU177,","))&amp;",",","&amp;SUBSTITUTE(input_faculty_category," ","")&amp;",")))=COUNTA(TEXTSPLIT(DU177,",")))),IF(DW177="",TRUE,IF(input_faculty_category="",TRUE,SUMPRODUCT(--ISNUMBER(SEARCH(","&amp;TRIM(TEXTSPLIT(DW177,","))&amp;",",","&amp;SUBSTITUTE(input_faculty_category," ","")&amp;",")))=0)),IF(DY177="",TRUE,IF(input_faculty_category="",FALSE,SUMPRODUCT(--ISNUMBER(SEARCH(","&amp;TRIM(TEXTSPLIT(DY177,","))&amp;",",","&amp;SUBSTITUTE(input_faculty_category," ","")&amp;",")))&gt;0)),IF(EA177="",TRUE,IF(input_faculty_category="",FALSE,SUMPRODUCT(--ISNUMBER(SEARCH(","&amp;TRIM(TEXTSPLIT(EA177,","))&amp;",",","&amp;SUBSTITUTE(input_faculty_category," ","")&amp;",")))=COUNTA(TEXTSPLIT(EA177,",")))))</f>
        <v/>
      </c>
      <c r="JF177">
        <f>AND(IF(EC177="",TRUE,IF(input_faculty_discipline="",FALSE,SUMPRODUCT(--ISNUMBER(SEARCH(","&amp;TRIM(TEXTSPLIT(EC177,","))&amp;",",","&amp;SUBSTITUTE(input_faculty_discipline," ","")&amp;",")))&gt;0)),IF(EE177="",TRUE,IF(input_faculty_discipline="",FALSE,SUMPRODUCT(--ISNUMBER(SEARCH(","&amp;TRIM(TEXTSPLIT(EE177,","))&amp;",",","&amp;SUBSTITUTE(input_faculty_discipline," ","")&amp;",")))=COUNTA(TEXTSPLIT(EE177,",")))),IF(EG177="",TRUE,IF(input_faculty_discipline="",TRUE,SUMPRODUCT(--ISNUMBER(SEARCH(","&amp;TRIM(TEXTSPLIT(EG177,","))&amp;",",","&amp;SUBSTITUTE(input_faculty_discipline," ","")&amp;",")))=0)),IF(EI177="",TRUE,IF(input_faculty_discipline="",FALSE,SUMPRODUCT(--ISNUMBER(SEARCH(","&amp;TRIM(TEXTSPLIT(EI177,","))&amp;",",","&amp;SUBSTITUTE(input_faculty_discipline," ","")&amp;",")))&gt;0)),IF(EK177="",TRUE,IF(input_faculty_discipline="",FALSE,SUMPRODUCT(--ISNUMBER(SEARCH(","&amp;TRIM(TEXTSPLIT(EK177,","))&amp;",",","&amp;SUBSTITUTE(input_faculty_discipline," ","")&amp;",")))=COUNTA(TEXTSPLIT(EK177,",")))))</f>
        <v/>
      </c>
      <c r="JG177">
        <f>AND(IF(EM177="",TRUE,IF(input_faculty_expertise="",FALSE,SUMPRODUCT(--ISNUMBER(SEARCH(","&amp;TRIM(TEXTSPLIT(EM177,","))&amp;",",","&amp;SUBSTITUTE(input_faculty_expertise," ","")&amp;",")))&gt;0)),IF(EO177="",TRUE,IF(input_faculty_expertise="",FALSE,SUMPRODUCT(--ISNUMBER(SEARCH(","&amp;TRIM(TEXTSPLIT(EO177,","))&amp;",",","&amp;SUBSTITUTE(input_faculty_expertise," ","")&amp;",")))=COUNTA(TEXTSPLIT(EO177,",")))),IF(EQ177="",TRUE,IF(input_faculty_expertise="",TRUE,SUMPRODUCT(--ISNUMBER(SEARCH(","&amp;TRIM(TEXTSPLIT(EQ177,","))&amp;",",","&amp;SUBSTITUTE(input_faculty_expertise," ","")&amp;",")))=0)),IF(ES177="",TRUE,IF(input_faculty_expertise="",FALSE,SUMPRODUCT(--ISNUMBER(SEARCH(","&amp;TRIM(TEXTSPLIT(ES177,","))&amp;",",","&amp;SUBSTITUTE(input_faculty_expertise," ","")&amp;",")))&gt;0)),IF(EU177="",TRUE,IF(input_faculty_expertise="",FALSE,SUMPRODUCT(--ISNUMBER(SEARCH(","&amp;TRIM(TEXTSPLIT(EU177,","))&amp;",",","&amp;SUBSTITUTE(input_faculty_expertise," ","")&amp;",")))=COUNTA(TEXTSPLIT(EU177,",")))))</f>
        <v/>
      </c>
      <c r="JH177">
        <f>AND(IF(EW177="",TRUE,IF(input_global_network_school="",FALSE,SUMPRODUCT(--ISNUMBER(SEARCH(","&amp;TRIM(TEXTSPLIT(EW177,","))&amp;",",","&amp;SUBSTITUTE(input_global_network_school," ","")&amp;",")))&gt;0)),IF(EY177="",TRUE,IF(input_global_network_school="",FALSE,SUMPRODUCT(--ISNUMBER(SEARCH(","&amp;TRIM(TEXTSPLIT(EY177,","))&amp;",",","&amp;SUBSTITUTE(input_global_network_school," ","")&amp;",")))=COUNTA(TEXTSPLIT(EY177,",")))),IF(FA177="",TRUE,IF(input_global_network_school="",TRUE,SUMPRODUCT(--ISNUMBER(SEARCH(","&amp;TRIM(TEXTSPLIT(FA177,","))&amp;",",","&amp;SUBSTITUTE(input_global_network_school," ","")&amp;",")))=0)),IF(FC177="",TRUE,IF(input_global_network_school="",FALSE,SUMPRODUCT(--ISNUMBER(SEARCH(","&amp;TRIM(TEXTSPLIT(FC177,","))&amp;",",","&amp;SUBSTITUTE(input_global_network_school," ","")&amp;",")))&gt;0)),IF(FE177="",TRUE,IF(input_global_network_school="",FALSE,SUMPRODUCT(--ISNUMBER(SEARCH(","&amp;TRIM(TEXTSPLIT(FE177,","))&amp;",",","&amp;SUBSTITUTE(input_global_network_school," ","")&amp;",")))=COUNTA(TEXTSPLIT(FE177,",")))))</f>
        <v/>
      </c>
      <c r="JI177">
        <f>AND(IF(FG177="",TRUE,IF(input_industry="",FALSE,SUMPRODUCT(--ISNUMBER(SEARCH(","&amp;TRIM(TEXTSPLIT(FG177,","))&amp;",",","&amp;SUBSTITUTE(input_industry," ","")&amp;",")))&gt;0)),IF(FI177="",TRUE,IF(input_industry="",FALSE,SUMPRODUCT(--ISNUMBER(SEARCH(","&amp;TRIM(TEXTSPLIT(FI177,","))&amp;",",","&amp;SUBSTITUTE(input_industry," ","")&amp;",")))=COUNTA(TEXTSPLIT(FI177,",")))),IF(FK177="",TRUE,IF(input_industry="",TRUE,SUMPRODUCT(--ISNUMBER(SEARCH(","&amp;TRIM(TEXTSPLIT(FK177,","))&amp;",",","&amp;SUBSTITUTE(input_industry," ","")&amp;",")))=0)),IF(FM177="",TRUE,IF(input_industry="",FALSE,SUMPRODUCT(--ISNUMBER(SEARCH(","&amp;TRIM(TEXTSPLIT(FM177,","))&amp;",",","&amp;SUBSTITUTE(input_industry," ","")&amp;",")))&gt;0)),IF(FO177="",TRUE,IF(input_industry="",FALSE,SUMPRODUCT(--ISNUMBER(SEARCH(","&amp;TRIM(TEXTSPLIT(FO177,","))&amp;",",","&amp;SUBSTITUTE(input_industry," ","")&amp;",")))=COUNTA(TEXTSPLIT(FO177,",")))))</f>
        <v/>
      </c>
      <c r="JJ177">
        <f>AND(IF(FQ177="",TRUE,IF(input_location="",FALSE,SUMPRODUCT(--ISNUMBER(SEARCH(","&amp;TRIM(TEXTSPLIT(FQ177,","))&amp;",",","&amp;SUBSTITUTE(input_location," ","")&amp;",")))&gt;0)),IF(FS177="",TRUE,IF(input_location="",FALSE,SUMPRODUCT(--ISNUMBER(SEARCH(","&amp;TRIM(TEXTSPLIT(FS177,","))&amp;",",","&amp;SUBSTITUTE(input_location," ","")&amp;",")))=COUNTA(TEXTSPLIT(FS177,",")))),IF(FU177="",TRUE,IF(input_location="",TRUE,SUMPRODUCT(--ISNUMBER(SEARCH(","&amp;TRIM(TEXTSPLIT(FU177,","))&amp;",",","&amp;SUBSTITUTE(input_location," ","")&amp;",")))=0)),IF(FW177="",TRUE,IF(input_location="",FALSE,SUMPRODUCT(--ISNUMBER(SEARCH(","&amp;TRIM(TEXTSPLIT(FW177,","))&amp;",",","&amp;SUBSTITUTE(input_location," ","")&amp;",")))&gt;0)),IF(FY177="",TRUE,IF(input_location="",FALSE,SUMPRODUCT(--ISNUMBER(SEARCH(","&amp;TRIM(TEXTSPLIT(FY177,","))&amp;",",","&amp;SUBSTITUTE(input_location," ","")&amp;",")))=COUNTA(TEXTSPLIT(FY177,",")))))</f>
        <v/>
      </c>
      <c r="JK177">
        <f>AND(IF(GA177="",TRUE,IF(input_modality="",FALSE,SUMPRODUCT(--ISNUMBER(SEARCH(","&amp;TRIM(TEXTSPLIT(GA177,","))&amp;",",","&amp;SUBSTITUTE(input_modality," ","")&amp;",")))&gt;0)),IF(GC177="",TRUE,IF(input_modality="",FALSE,SUMPRODUCT(--ISNUMBER(SEARCH(","&amp;TRIM(TEXTSPLIT(GC177,","))&amp;",",","&amp;SUBSTITUTE(input_modality," ","")&amp;",")))=COUNTA(TEXTSPLIT(GC177,",")))),IF(GE177="",TRUE,IF(input_modality="",TRUE,SUMPRODUCT(--ISNUMBER(SEARCH(","&amp;TRIM(TEXTSPLIT(GE177,","))&amp;",",","&amp;SUBSTITUTE(input_modality," ","")&amp;",")))=0)),IF(GG177="",TRUE,IF(input_modality="",FALSE,SUMPRODUCT(--ISNUMBER(SEARCH(","&amp;TRIM(TEXTSPLIT(GG177,","))&amp;",",","&amp;SUBSTITUTE(input_modality," ","")&amp;",")))&gt;0)),IF(GI177="",TRUE,IF(input_modality="",FALSE,SUMPRODUCT(--ISNUMBER(SEARCH(","&amp;TRIM(TEXTSPLIT(GI177,","))&amp;",",","&amp;SUBSTITUTE(input_modality," ","")&amp;",")))=COUNTA(TEXTSPLIT(GI177,",")))))</f>
        <v/>
      </c>
      <c r="JL177">
        <f>AND(IF(GK177="",TRUE,IF(input_organizer="",FALSE,SUMPRODUCT(--ISNUMBER(SEARCH(","&amp;TRIM(TEXTSPLIT(GK177,","))&amp;",",","&amp;SUBSTITUTE(input_organizer," ","")&amp;",")))&gt;0)),IF(GM177="",TRUE,IF(input_organizer="",FALSE,SUMPRODUCT(--ISNUMBER(SEARCH(","&amp;TRIM(TEXTSPLIT(GM177,","))&amp;",",","&amp;SUBSTITUTE(input_organizer," ","")&amp;",")))=COUNTA(TEXTSPLIT(GM177,",")))),IF(GO177="",TRUE,IF(input_organizer="",TRUE,SUMPRODUCT(--ISNUMBER(SEARCH(","&amp;TRIM(TEXTSPLIT(GO177,","))&amp;",",","&amp;SUBSTITUTE(input_organizer," ","")&amp;",")))=0)),IF(GQ177="",TRUE,IF(input_organizer="",FALSE,SUMPRODUCT(--ISNUMBER(SEARCH(","&amp;TRIM(TEXTSPLIT(GQ177,","))&amp;",",","&amp;SUBSTITUTE(input_organizer," ","")&amp;",")))&gt;0)),IF(GS177="",TRUE,IF(input_organizer="",FALSE,SUMPRODUCT(--ISNUMBER(SEARCH(","&amp;TRIM(TEXTSPLIT(GS177,","))&amp;",",","&amp;SUBSTITUTE(input_organizer," ","")&amp;",")))=COUNTA(TEXTSPLIT(GS177,",")))))</f>
        <v/>
      </c>
      <c r="JM177">
        <f>AND(IF(GU177="",TRUE,IF(input_profile_type="",FALSE,SUMPRODUCT(--ISNUMBER(SEARCH(","&amp;TRIM(TEXTSPLIT(GU177,","))&amp;",",","&amp;SUBSTITUTE(input_profile_type," ","")&amp;",")))&gt;0)),IF(GW177="",TRUE,IF(input_profile_type="",FALSE,SUMPRODUCT(--ISNUMBER(SEARCH(","&amp;TRIM(TEXTSPLIT(GW177,","))&amp;",",","&amp;SUBSTITUTE(input_profile_type," ","")&amp;",")))=COUNTA(TEXTSPLIT(GW177,",")))),IF(GY177="",TRUE,IF(input_profile_type="",TRUE,SUMPRODUCT(--ISNUMBER(SEARCH(","&amp;TRIM(TEXTSPLIT(GY177,","))&amp;",",","&amp;SUBSTITUTE(input_profile_type," ","")&amp;",")))=0)),IF(HA177="",TRUE,IF(input_profile_type="",FALSE,SUMPRODUCT(--ISNUMBER(SEARCH(","&amp;TRIM(TEXTSPLIT(HA177,","))&amp;",",","&amp;SUBSTITUTE(input_profile_type," ","")&amp;",")))&gt;0)),IF(HC177="",TRUE,IF(input_profile_type="",FALSE,SUMPRODUCT(--ISNUMBER(SEARCH(","&amp;TRIM(TEXTSPLIT(HC177,","))&amp;",",","&amp;SUBSTITUTE(input_profile_type," ","")&amp;",")))=COUNTA(TEXTSPLIT(HC177,",")))))</f>
        <v/>
      </c>
      <c r="JN177">
        <f>AND(IF(HE177="",TRUE,IF(input_program="",FALSE,SUMPRODUCT(--ISNUMBER(SEARCH(","&amp;TRIM(TEXTSPLIT(HE177,","))&amp;",",","&amp;SUBSTITUTE(input_program," ","")&amp;",")))&gt;0)),IF(HG177="",TRUE,IF(input_program="",FALSE,SUMPRODUCT(--ISNUMBER(SEARCH(","&amp;TRIM(TEXTSPLIT(HG177,","))&amp;",",","&amp;SUBSTITUTE(input_program," ","")&amp;",")))=COUNTA(TEXTSPLIT(HG177,",")))),IF(HI177="",TRUE,IF(input_program="",TRUE,SUMPRODUCT(--ISNUMBER(SEARCH(","&amp;TRIM(TEXTSPLIT(HI177,","))&amp;",",","&amp;SUBSTITUTE(input_program," ","")&amp;",")))=0)),IF(HK177="",TRUE,IF(input_program="",FALSE,SUMPRODUCT(--ISNUMBER(SEARCH(","&amp;TRIM(TEXTSPLIT(HK177,","))&amp;",",","&amp;SUBSTITUTE(input_program," ","")&amp;",")))&gt;0)),IF(HM177="",TRUE,IF(input_program="",FALSE,SUMPRODUCT(--ISNUMBER(SEARCH(","&amp;TRIM(TEXTSPLIT(HM177,","))&amp;",",","&amp;SUBSTITUTE(input_program," ","")&amp;",")))=COUNTA(TEXTSPLIT(HM177,",")))))</f>
        <v/>
      </c>
      <c r="JO177">
        <f>AND(IF(HO177="",TRUE,IF(input_story_categories="",FALSE,SUMPRODUCT(--ISNUMBER(SEARCH(","&amp;TRIM(TEXTSPLIT(HO177,","))&amp;",",","&amp;SUBSTITUTE(input_story_categories," ","")&amp;",")))&gt;0)),IF(HQ177="",TRUE,IF(input_story_categories="",FALSE,SUMPRODUCT(--ISNUMBER(SEARCH(","&amp;TRIM(TEXTSPLIT(HQ177,","))&amp;",",","&amp;SUBSTITUTE(input_story_categories," ","")&amp;",")))=COUNTA(TEXTSPLIT(HQ177,",")))),IF(HS177="",TRUE,IF(input_story_categories="",TRUE,SUMPRODUCT(--ISNUMBER(SEARCH(","&amp;TRIM(TEXTSPLIT(HS177,","))&amp;",",","&amp;SUBSTITUTE(input_story_categories," ","")&amp;",")))=0)),IF(HU177="",TRUE,IF(input_story_categories="",FALSE,SUMPRODUCT(--ISNUMBER(SEARCH(","&amp;TRIM(TEXTSPLIT(HU177,","))&amp;",",","&amp;SUBSTITUTE(input_story_categories," ","")&amp;",")))&gt;0)),IF(HW177="",TRUE,IF(input_story_categories="",FALSE,SUMPRODUCT(--ISNUMBER(SEARCH(","&amp;TRIM(TEXTSPLIT(HW177,","))&amp;",",","&amp;SUBSTITUTE(input_story_categories," ","")&amp;",")))=COUNTA(TEXTSPLIT(HW177,",")))))</f>
        <v/>
      </c>
      <c r="JP177">
        <f>AND(IF(HY177="",TRUE,IF(input_story_type="",FALSE,SUMPRODUCT(--ISNUMBER(SEARCH(","&amp;TRIM(TEXTSPLIT(HY177,","))&amp;",",","&amp;SUBSTITUTE(input_story_type," ","")&amp;",")))&gt;0)),IF(IA177="",TRUE,IF(input_story_type="",FALSE,SUMPRODUCT(--ISNUMBER(SEARCH(","&amp;TRIM(TEXTSPLIT(IA177,","))&amp;",",","&amp;SUBSTITUTE(input_story_type," ","")&amp;",")))=COUNTA(TEXTSPLIT(IA177,",")))),IF(IC177="",TRUE,IF(input_story_type="",TRUE,SUMPRODUCT(--ISNUMBER(SEARCH(","&amp;TRIM(TEXTSPLIT(IC177,","))&amp;",",","&amp;SUBSTITUTE(input_story_type," ","")&amp;",")))=0)),IF(IE177="",TRUE,IF(input_story_type="",FALSE,SUMPRODUCT(--ISNUMBER(SEARCH(","&amp;TRIM(TEXTSPLIT(IE177,","))&amp;",",","&amp;SUBSTITUTE(input_story_type," ","")&amp;",")))&gt;0)),IF(IG177="",TRUE,IF(input_story_type="",FALSE,SUMPRODUCT(--ISNUMBER(SEARCH(","&amp;TRIM(TEXTSPLIT(IG177,","))&amp;",",","&amp;SUBSTITUTE(input_story_type," ","")&amp;",")))=COUNTA(TEXTSPLIT(IG177,",")))))</f>
        <v/>
      </c>
      <c r="JQ177">
        <f>AND(IF(II177="",TRUE,IF(input_topics="",FALSE,SUMPRODUCT(--ISNUMBER(SEARCH(","&amp;TRIM(TEXTSPLIT(II177,","))&amp;",",","&amp;SUBSTITUTE(input_topics," ","")&amp;",")))&gt;0)),IF(IK177="",TRUE,IF(input_topics="",FALSE,SUMPRODUCT(--ISNUMBER(SEARCH(","&amp;TRIM(TEXTSPLIT(IK177,","))&amp;",",","&amp;SUBSTITUTE(input_topics," ","")&amp;",")))=COUNTA(TEXTSPLIT(IK177,",")))),IF(IM177="",TRUE,IF(input_topics="",TRUE,SUMPRODUCT(--ISNUMBER(SEARCH(","&amp;TRIM(TEXTSPLIT(IM177,","))&amp;",",","&amp;SUBSTITUTE(input_topics," ","")&amp;",")))=0)),IF(IO177="",TRUE,IF(input_topics="",FALSE,SUMPRODUCT(--ISNUMBER(SEARCH(","&amp;TRIM(TEXTSPLIT(IO177,","))&amp;",",","&amp;SUBSTITUTE(input_topics," ","")&amp;",")))&gt;0)),IF(IQ177="",TRUE,IF(input_topics="",FALSE,SUMPRODUCT(--ISNUMBER(SEARCH(","&amp;TRIM(TEXTSPLIT(IQ177,","))&amp;",",","&amp;SUBSTITUTE(input_topics," ","")&amp;",")))=COUNTA(TEXTSPLIT(IQ177,",")))))</f>
        <v/>
      </c>
    </row>
    <row r="178">
      <c r="A178" s="4">
        <f>IF(NOT(IS178),"Excluded",IF(AND(IT178,IU178,IV178,IW178,IX178,IY178,IZ178,JA178,JB178,JC178,JD178,JE178,JF178,JG178,JH178,JI178,JJ178,JK178,JL178,JM178,JN178,JO178,JP178,JQ178),IF(I178&gt;0,"Eligible but limited","Will appear"),"Excluded"))</f>
        <v/>
      </c>
      <c r="B178" s="4" t="inlineStr">
        <is>
          <t>Related stories</t>
        </is>
      </c>
      <c r="C178" s="4" t="inlineStr">
        <is>
          <t>/programs/mms-asset-management</t>
        </is>
      </c>
      <c r="D178" s="4" t="inlineStr">
        <is>
          <t>/programs/mms-asset-management</t>
        </is>
      </c>
      <c r="E178" s="4" t="n">
        <v>1</v>
      </c>
      <c r="F178" s="4" t="inlineStr">
        <is>
          <t>story</t>
        </is>
      </c>
      <c r="G178" s="4" t="inlineStr">
        <is>
          <t>stories_teaser_cards</t>
        </is>
      </c>
      <c r="H178" s="4" t="inlineStr">
        <is>
          <t>embed_blog</t>
        </is>
      </c>
      <c r="I178" s="4" t="n">
        <v>3</v>
      </c>
      <c r="J178" s="4" t="inlineStr">
        <is>
          <t>Section inferred</t>
        </is>
      </c>
      <c r="K178" s="4" t="inlineStr">
        <is>
          <t>Page placement</t>
        </is>
      </c>
      <c r="L178" s="4" t="inlineStr">
        <is>
          <t>Content type: story; Context uses Courses Context: Master's Degree in Asset Management (930); Needs any Story Type: Blog (974); Limited to 3 item(s); Source: Section inferred</t>
        </is>
      </c>
      <c r="M178" t="inlineStr"/>
      <c r="N178" t="inlineStr"/>
      <c r="O178" t="inlineStr"/>
      <c r="P178" t="inlineStr"/>
      <c r="Q178" t="inlineStr"/>
      <c r="R178" t="inlineStr"/>
      <c r="S178" t="inlineStr"/>
      <c r="T178" t="inlineStr"/>
      <c r="U178" t="inlineStr"/>
      <c r="V178" t="inlineStr"/>
      <c r="W178" t="inlineStr"/>
      <c r="X178" t="inlineStr"/>
      <c r="Y178" t="inlineStr"/>
      <c r="Z178" t="inlineStr"/>
      <c r="AA178" t="inlineStr"/>
      <c r="AB178" t="inlineStr"/>
      <c r="AC178" t="inlineStr"/>
      <c r="AD178" t="inlineStr"/>
      <c r="AE178" t="inlineStr"/>
      <c r="AF178" t="inlineStr"/>
      <c r="AG178" t="inlineStr"/>
      <c r="AH178" t="inlineStr"/>
      <c r="AI178" t="inlineStr"/>
      <c r="AJ178" t="inlineStr"/>
      <c r="AK178" t="inlineStr"/>
      <c r="AL178" t="inlineStr"/>
      <c r="AM178" t="inlineStr"/>
      <c r="AN178" t="inlineStr"/>
      <c r="AO178" t="inlineStr"/>
      <c r="AP178" t="inlineStr"/>
      <c r="AQ178" t="inlineStr"/>
      <c r="AR178" t="inlineStr"/>
      <c r="AS178" t="inlineStr"/>
      <c r="AT178" t="inlineStr"/>
      <c r="AU178" t="inlineStr"/>
      <c r="AV178" t="inlineStr"/>
      <c r="AW178" t="inlineStr"/>
      <c r="AX178" t="inlineStr"/>
      <c r="AY178" t="inlineStr"/>
      <c r="AZ178" t="inlineStr"/>
      <c r="BA178" t="inlineStr"/>
      <c r="BB178" t="inlineStr"/>
      <c r="BC178" t="inlineStr"/>
      <c r="BD178" t="inlineStr"/>
      <c r="BE178" t="inlineStr"/>
      <c r="BF178" t="inlineStr"/>
      <c r="BG178" t="inlineStr"/>
      <c r="BH178" t="inlineStr"/>
      <c r="BI178" t="inlineStr"/>
      <c r="BJ178" t="inlineStr"/>
      <c r="BK178" t="inlineStr"/>
      <c r="BL178" t="inlineStr"/>
      <c r="BM178" t="inlineStr"/>
      <c r="BN178" t="inlineStr"/>
      <c r="BO178" t="inlineStr"/>
      <c r="BP178" t="inlineStr"/>
      <c r="BQ178" t="inlineStr">
        <is>
          <t>930</t>
        </is>
      </c>
      <c r="BR178" t="inlineStr">
        <is>
          <t>Master's Degree in Asset Management (930)</t>
        </is>
      </c>
      <c r="BS178" t="inlineStr"/>
      <c r="BT178" t="inlineStr"/>
      <c r="BU178" t="inlineStr"/>
      <c r="BV178" t="inlineStr"/>
      <c r="BW178" t="inlineStr"/>
      <c r="BX178" t="inlineStr"/>
      <c r="BY178" t="inlineStr"/>
      <c r="BZ178" t="inlineStr"/>
      <c r="CA178" t="inlineStr"/>
      <c r="CB178" t="inlineStr"/>
      <c r="CC178" t="inlineStr"/>
      <c r="CD178" t="inlineStr"/>
      <c r="CE178" t="inlineStr"/>
      <c r="CF178" t="inlineStr"/>
      <c r="CG178" t="inlineStr"/>
      <c r="CH178" t="inlineStr"/>
      <c r="CI178" t="inlineStr"/>
      <c r="CJ178" t="inlineStr"/>
      <c r="CK178" t="inlineStr"/>
      <c r="CL178" t="inlineStr"/>
      <c r="CM178" t="inlineStr"/>
      <c r="CN178" t="inlineStr"/>
      <c r="CO178" t="inlineStr"/>
      <c r="CP178" t="inlineStr"/>
      <c r="CQ178" t="inlineStr"/>
      <c r="CR178" t="inlineStr"/>
      <c r="CS178" t="inlineStr"/>
      <c r="CT178" t="inlineStr"/>
      <c r="CU178" t="inlineStr"/>
      <c r="CV178" t="inlineStr"/>
      <c r="CW178" t="inlineStr"/>
      <c r="CX178" t="inlineStr"/>
      <c r="CY178" t="inlineStr"/>
      <c r="CZ178" t="inlineStr"/>
      <c r="DA178" t="inlineStr"/>
      <c r="DB178" t="inlineStr"/>
      <c r="DC178" t="inlineStr"/>
      <c r="DD178" t="inlineStr"/>
      <c r="DE178" t="inlineStr"/>
      <c r="DF178" t="inlineStr"/>
      <c r="DG178" t="inlineStr"/>
      <c r="DH178" t="inlineStr"/>
      <c r="DI178" t="inlineStr"/>
      <c r="DJ178" t="inlineStr"/>
      <c r="DK178" t="inlineStr"/>
      <c r="DL178" t="inlineStr"/>
      <c r="DM178" t="inlineStr"/>
      <c r="DN178" t="inlineStr"/>
      <c r="DO178" t="inlineStr"/>
      <c r="DP178" t="inlineStr"/>
      <c r="DQ178" t="inlineStr"/>
      <c r="DR178" t="inlineStr"/>
      <c r="DS178" t="inlineStr"/>
      <c r="DT178" t="inlineStr"/>
      <c r="DU178" t="inlineStr"/>
      <c r="DV178" t="inlineStr"/>
      <c r="DW178" t="inlineStr"/>
      <c r="DX178" t="inlineStr"/>
      <c r="DY178" t="inlineStr"/>
      <c r="DZ178" t="inlineStr"/>
      <c r="EA178" t="inlineStr"/>
      <c r="EB178" t="inlineStr"/>
      <c r="EC178" t="inlineStr"/>
      <c r="ED178" t="inlineStr"/>
      <c r="EE178" t="inlineStr"/>
      <c r="EF178" t="inlineStr"/>
      <c r="EG178" t="inlineStr"/>
      <c r="EH178" t="inlineStr"/>
      <c r="EI178" t="inlineStr"/>
      <c r="EJ178" t="inlineStr"/>
      <c r="EK178" t="inlineStr"/>
      <c r="EL178" t="inlineStr"/>
      <c r="EM178" t="inlineStr"/>
      <c r="EN178" t="inlineStr"/>
      <c r="EO178" t="inlineStr"/>
      <c r="EP178" t="inlineStr"/>
      <c r="EQ178" t="inlineStr"/>
      <c r="ER178" t="inlineStr"/>
      <c r="ES178" t="inlineStr"/>
      <c r="ET178" t="inlineStr"/>
      <c r="EU178" t="inlineStr"/>
      <c r="EV178" t="inlineStr"/>
      <c r="EW178" t="inlineStr"/>
      <c r="EX178" t="inlineStr"/>
      <c r="EY178" t="inlineStr"/>
      <c r="EZ178" t="inlineStr"/>
      <c r="FA178" t="inlineStr"/>
      <c r="FB178" t="inlineStr"/>
      <c r="FC178" t="inlineStr"/>
      <c r="FD178" t="inlineStr"/>
      <c r="FE178" t="inlineStr"/>
      <c r="FF178" t="inlineStr"/>
      <c r="FG178" t="inlineStr"/>
      <c r="FH178" t="inlineStr"/>
      <c r="FI178" t="inlineStr"/>
      <c r="FJ178" t="inlineStr"/>
      <c r="FK178" t="inlineStr"/>
      <c r="FL178" t="inlineStr"/>
      <c r="FM178" t="inlineStr"/>
      <c r="FN178" t="inlineStr"/>
      <c r="FO178" t="inlineStr"/>
      <c r="FP178" t="inlineStr"/>
      <c r="FQ178" t="inlineStr"/>
      <c r="FR178" t="inlineStr"/>
      <c r="FS178" t="inlineStr"/>
      <c r="FT178" t="inlineStr"/>
      <c r="FU178" t="inlineStr"/>
      <c r="FV178" t="inlineStr"/>
      <c r="FW178" t="inlineStr"/>
      <c r="FX178" t="inlineStr"/>
      <c r="FY178" t="inlineStr"/>
      <c r="FZ178" t="inlineStr"/>
      <c r="GA178" t="inlineStr"/>
      <c r="GB178" t="inlineStr"/>
      <c r="GC178" t="inlineStr"/>
      <c r="GD178" t="inlineStr"/>
      <c r="GE178" t="inlineStr"/>
      <c r="GF178" t="inlineStr"/>
      <c r="GG178" t="inlineStr"/>
      <c r="GH178" t="inlineStr"/>
      <c r="GI178" t="inlineStr"/>
      <c r="GJ178" t="inlineStr"/>
      <c r="GK178" t="inlineStr"/>
      <c r="GL178" t="inlineStr"/>
      <c r="GM178" t="inlineStr"/>
      <c r="GN178" t="inlineStr"/>
      <c r="GO178" t="inlineStr"/>
      <c r="GP178" t="inlineStr"/>
      <c r="GQ178" t="inlineStr"/>
      <c r="GR178" t="inlineStr"/>
      <c r="GS178" t="inlineStr"/>
      <c r="GT178" t="inlineStr"/>
      <c r="GU178" t="inlineStr"/>
      <c r="GV178" t="inlineStr"/>
      <c r="GW178" t="inlineStr"/>
      <c r="GX178" t="inlineStr"/>
      <c r="GY178" t="inlineStr"/>
      <c r="GZ178" t="inlineStr"/>
      <c r="HA178" t="inlineStr"/>
      <c r="HB178" t="inlineStr"/>
      <c r="HC178" t="inlineStr"/>
      <c r="HD178" t="inlineStr"/>
      <c r="HE178" t="inlineStr"/>
      <c r="HF178" t="inlineStr"/>
      <c r="HG178" t="inlineStr"/>
      <c r="HH178" t="inlineStr"/>
      <c r="HI178" t="inlineStr"/>
      <c r="HJ178" t="inlineStr"/>
      <c r="HK178" t="inlineStr"/>
      <c r="HL178" t="inlineStr"/>
      <c r="HM178" t="inlineStr"/>
      <c r="HN178" t="inlineStr"/>
      <c r="HO178" t="inlineStr"/>
      <c r="HP178" t="inlineStr"/>
      <c r="HQ178" t="inlineStr"/>
      <c r="HR178" t="inlineStr"/>
      <c r="HS178" t="inlineStr"/>
      <c r="HT178" t="inlineStr"/>
      <c r="HU178" t="inlineStr"/>
      <c r="HV178" t="inlineStr"/>
      <c r="HW178" t="inlineStr"/>
      <c r="HX178" t="inlineStr"/>
      <c r="HY178" t="inlineStr">
        <is>
          <t>974</t>
        </is>
      </c>
      <c r="HZ178" t="inlineStr">
        <is>
          <t>Blog (974)</t>
        </is>
      </c>
      <c r="IA178" t="inlineStr"/>
      <c r="IB178" t="inlineStr"/>
      <c r="IC178" t="inlineStr"/>
      <c r="ID178" t="inlineStr"/>
      <c r="IE178" t="inlineStr"/>
      <c r="IF178" t="inlineStr"/>
      <c r="IG178" t="inlineStr"/>
      <c r="IH178" t="inlineStr"/>
      <c r="II178" t="inlineStr"/>
      <c r="IJ178" t="inlineStr"/>
      <c r="IK178" t="inlineStr"/>
      <c r="IL178" t="inlineStr"/>
      <c r="IM178" t="inlineStr"/>
      <c r="IN178" t="inlineStr"/>
      <c r="IO178" t="inlineStr"/>
      <c r="IP178" t="inlineStr"/>
      <c r="IQ178" t="inlineStr"/>
      <c r="IR178" t="inlineStr"/>
      <c r="IS178">
        <f>IF(input_content_type="",FALSE,ISNUMBER(SEARCH(","&amp;LOWER(input_content_type)&amp;",",","&amp;LOWER(F178)&amp;",")))</f>
        <v/>
      </c>
      <c r="IT178">
        <f>AND(IF(M178="",TRUE,IF(input_affiliations="",FALSE,SUMPRODUCT(--ISNUMBER(SEARCH(","&amp;TRIM(TEXTSPLIT(M178,","))&amp;",",","&amp;SUBSTITUTE(input_affiliations," ","")&amp;",")))&gt;0)),IF(O178="",TRUE,IF(input_affiliations="",FALSE,SUMPRODUCT(--ISNUMBER(SEARCH(","&amp;TRIM(TEXTSPLIT(O178,","))&amp;",",","&amp;SUBSTITUTE(input_affiliations," ","")&amp;",")))=COUNTA(TEXTSPLIT(O178,",")))),IF(Q178="",TRUE,IF(input_affiliations="",TRUE,SUMPRODUCT(--ISNUMBER(SEARCH(","&amp;TRIM(TEXTSPLIT(Q178,","))&amp;",",","&amp;SUBSTITUTE(input_affiliations," ","")&amp;",")))=0)),IF(S178="",TRUE,IF(input_affiliations="",FALSE,SUMPRODUCT(--ISNUMBER(SEARCH(","&amp;TRIM(TEXTSPLIT(S178,","))&amp;",",","&amp;SUBSTITUTE(input_affiliations," ","")&amp;",")))&gt;0)),IF(U178="",TRUE,IF(input_affiliations="",FALSE,SUMPRODUCT(--ISNUMBER(SEARCH(","&amp;TRIM(TEXTSPLIT(U178,","))&amp;",",","&amp;SUBSTITUTE(input_affiliations," ","")&amp;",")))=COUNTA(TEXTSPLIT(U178,",")))))</f>
        <v/>
      </c>
      <c r="IU178">
        <f>AND(IF(W178="",TRUE,IF(input_announcement_category="",FALSE,SUMPRODUCT(--ISNUMBER(SEARCH(","&amp;TRIM(TEXTSPLIT(W178,","))&amp;",",","&amp;SUBSTITUTE(input_announcement_category," ","")&amp;",")))&gt;0)),IF(Y178="",TRUE,IF(input_announcement_category="",FALSE,SUMPRODUCT(--ISNUMBER(SEARCH(","&amp;TRIM(TEXTSPLIT(Y178,","))&amp;",",","&amp;SUBSTITUTE(input_announcement_category," ","")&amp;",")))=COUNTA(TEXTSPLIT(Y178,",")))),IF(AA178="",TRUE,IF(input_announcement_category="",TRUE,SUMPRODUCT(--ISNUMBER(SEARCH(","&amp;TRIM(TEXTSPLIT(AA178,","))&amp;",",","&amp;SUBSTITUTE(input_announcement_category," ","")&amp;",")))=0)),IF(AC178="",TRUE,IF(input_announcement_category="",FALSE,SUMPRODUCT(--ISNUMBER(SEARCH(","&amp;TRIM(TEXTSPLIT(AC178,","))&amp;",",","&amp;SUBSTITUTE(input_announcement_category," ","")&amp;",")))&gt;0)),IF(AE178="",TRUE,IF(input_announcement_category="",FALSE,SUMPRODUCT(--ISNUMBER(SEARCH(","&amp;TRIM(TEXTSPLIT(AE178,","))&amp;",",","&amp;SUBSTITUTE(input_announcement_category," ","")&amp;",")))=COUNTA(TEXTSPLIT(AE178,",")))))</f>
        <v/>
      </c>
      <c r="IV178">
        <f>AND(IF(AG178="",TRUE,IF(input_area_of_focus="",FALSE,SUMPRODUCT(--ISNUMBER(SEARCH(","&amp;TRIM(TEXTSPLIT(AG178,","))&amp;",",","&amp;SUBSTITUTE(input_area_of_focus," ","")&amp;",")))&gt;0)),IF(AI178="",TRUE,IF(input_area_of_focus="",FALSE,SUMPRODUCT(--ISNUMBER(SEARCH(","&amp;TRIM(TEXTSPLIT(AI178,","))&amp;",",","&amp;SUBSTITUTE(input_area_of_focus," ","")&amp;",")))=COUNTA(TEXTSPLIT(AI178,",")))),IF(AK178="",TRUE,IF(input_area_of_focus="",TRUE,SUMPRODUCT(--ISNUMBER(SEARCH(","&amp;TRIM(TEXTSPLIT(AK178,","))&amp;",",","&amp;SUBSTITUTE(input_area_of_focus," ","")&amp;",")))=0)),IF(AM178="",TRUE,IF(input_area_of_focus="",FALSE,SUMPRODUCT(--ISNUMBER(SEARCH(","&amp;TRIM(TEXTSPLIT(AM178,","))&amp;",",","&amp;SUBSTITUTE(input_area_of_focus," ","")&amp;",")))&gt;0)),IF(AO178="",TRUE,IF(input_area_of_focus="",FALSE,SUMPRODUCT(--ISNUMBER(SEARCH(","&amp;TRIM(TEXTSPLIT(AO178,","))&amp;",",","&amp;SUBSTITUTE(input_area_of_focus," ","")&amp;",")))=COUNTA(TEXTSPLIT(AO178,",")))))</f>
        <v/>
      </c>
      <c r="IW178">
        <f>AND(IF(AQ178="",TRUE,IF(input_audience="",FALSE,SUMPRODUCT(--ISNUMBER(SEARCH(","&amp;TRIM(TEXTSPLIT(AQ178,","))&amp;",",","&amp;SUBSTITUTE(input_audience," ","")&amp;",")))&gt;0)),IF(AS178="",TRUE,IF(input_audience="",FALSE,SUMPRODUCT(--ISNUMBER(SEARCH(","&amp;TRIM(TEXTSPLIT(AS178,","))&amp;",",","&amp;SUBSTITUTE(input_audience," ","")&amp;",")))=COUNTA(TEXTSPLIT(AS178,",")))),IF(AU178="",TRUE,IF(input_audience="",TRUE,SUMPRODUCT(--ISNUMBER(SEARCH(","&amp;TRIM(TEXTSPLIT(AU178,","))&amp;",",","&amp;SUBSTITUTE(input_audience," ","")&amp;",")))=0)),IF(AW178="",TRUE,IF(input_audience="",FALSE,SUMPRODUCT(--ISNUMBER(SEARCH(","&amp;TRIM(TEXTSPLIT(AW178,","))&amp;",",","&amp;SUBSTITUTE(input_audience," ","")&amp;",")))&gt;0)),IF(AY178="",TRUE,IF(input_audience="",FALSE,SUMPRODUCT(--ISNUMBER(SEARCH(","&amp;TRIM(TEXTSPLIT(AY178,","))&amp;",",","&amp;SUBSTITUTE(input_audience," ","")&amp;",")))=COUNTA(TEXTSPLIT(AY178,",")))))</f>
        <v/>
      </c>
      <c r="IX178">
        <f>AND(IF(BA178="",TRUE,IF(input_challenge_opportunities="",FALSE,SUMPRODUCT(--ISNUMBER(SEARCH(","&amp;TRIM(TEXTSPLIT(BA178,","))&amp;",",","&amp;SUBSTITUTE(input_challenge_opportunities," ","")&amp;",")))&gt;0)),IF(BC178="",TRUE,IF(input_challenge_opportunities="",FALSE,SUMPRODUCT(--ISNUMBER(SEARCH(","&amp;TRIM(TEXTSPLIT(BC178,","))&amp;",",","&amp;SUBSTITUTE(input_challenge_opportunities," ","")&amp;",")))=COUNTA(TEXTSPLIT(BC178,",")))),IF(BE178="",TRUE,IF(input_challenge_opportunities="",TRUE,SUMPRODUCT(--ISNUMBER(SEARCH(","&amp;TRIM(TEXTSPLIT(BE178,","))&amp;",",","&amp;SUBSTITUTE(input_challenge_opportunities," ","")&amp;",")))=0)),IF(BG178="",TRUE,IF(input_challenge_opportunities="",FALSE,SUMPRODUCT(--ISNUMBER(SEARCH(","&amp;TRIM(TEXTSPLIT(BG178,","))&amp;",",","&amp;SUBSTITUTE(input_challenge_opportunities," ","")&amp;",")))&gt;0)),IF(BI178="",TRUE,IF(input_challenge_opportunities="",FALSE,SUMPRODUCT(--ISNUMBER(SEARCH(","&amp;TRIM(TEXTSPLIT(BI178,","))&amp;",",","&amp;SUBSTITUTE(input_challenge_opportunities," ","")&amp;",")))=COUNTA(TEXTSPLIT(BI178,",")))))</f>
        <v/>
      </c>
      <c r="IY178">
        <f>AND(IF(BK178="",TRUE,IF(input_context="",FALSE,SUMPRODUCT(--ISNUMBER(SEARCH(","&amp;TRIM(TEXTSPLIT(BK178,","))&amp;",",","&amp;SUBSTITUTE(input_context," ","")&amp;",")))&gt;0)),IF(BM178="",TRUE,IF(input_context="",FALSE,SUMPRODUCT(--ISNUMBER(SEARCH(","&amp;TRIM(TEXTSPLIT(BM178,","))&amp;",",","&amp;SUBSTITUTE(input_context," ","")&amp;",")))=COUNTA(TEXTSPLIT(BM178,",")))),IF(BO178="",TRUE,IF(input_context="",TRUE,SUMPRODUCT(--ISNUMBER(SEARCH(","&amp;TRIM(TEXTSPLIT(BO178,","))&amp;",",","&amp;SUBSTITUTE(input_context," ","")&amp;",")))=0)),IF(BQ178="",TRUE,IF(input_context="",FALSE,SUMPRODUCT(--ISNUMBER(SEARCH(","&amp;TRIM(TEXTSPLIT(BQ178,","))&amp;",",","&amp;SUBSTITUTE(input_context," ","")&amp;",")))&gt;0)),IF(BS178="",TRUE,IF(input_context="",FALSE,SUMPRODUCT(--ISNUMBER(SEARCH(","&amp;TRIM(TEXTSPLIT(BS178,","))&amp;",",","&amp;SUBSTITUTE(input_context," ","")&amp;",")))=COUNTA(TEXTSPLIT(BS178,",")))))</f>
        <v/>
      </c>
      <c r="IZ178">
        <f>AND(IF(BU178="",TRUE,IF(input_enews_announcement_type="",FALSE,SUMPRODUCT(--ISNUMBER(SEARCH(","&amp;TRIM(TEXTSPLIT(BU178,","))&amp;",",","&amp;SUBSTITUTE(input_enews_announcement_type," ","")&amp;",")))&gt;0)),IF(BW178="",TRUE,IF(input_enews_announcement_type="",FALSE,SUMPRODUCT(--ISNUMBER(SEARCH(","&amp;TRIM(TEXTSPLIT(BW178,","))&amp;",",","&amp;SUBSTITUTE(input_enews_announcement_type," ","")&amp;",")))=COUNTA(TEXTSPLIT(BW178,",")))),IF(BY178="",TRUE,IF(input_enews_announcement_type="",TRUE,SUMPRODUCT(--ISNUMBER(SEARCH(","&amp;TRIM(TEXTSPLIT(BY178,","))&amp;",",","&amp;SUBSTITUTE(input_enews_announcement_type," ","")&amp;",")))=0)),IF(CA178="",TRUE,IF(input_enews_announcement_type="",FALSE,SUMPRODUCT(--ISNUMBER(SEARCH(","&amp;TRIM(TEXTSPLIT(CA178,","))&amp;",",","&amp;SUBSTITUTE(input_enews_announcement_type," ","")&amp;",")))&gt;0)),IF(CC178="",TRUE,IF(input_enews_announcement_type="",FALSE,SUMPRODUCT(--ISNUMBER(SEARCH(","&amp;TRIM(TEXTSPLIT(CC178,","))&amp;",",","&amp;SUBSTITUTE(input_enews_announcement_type," ","")&amp;",")))=COUNTA(TEXTSPLIT(CC178,",")))))</f>
        <v/>
      </c>
      <c r="JA178">
        <f>AND(IF(CE178="",TRUE,IF(input_enews_audience="",FALSE,SUMPRODUCT(--ISNUMBER(SEARCH(","&amp;TRIM(TEXTSPLIT(CE178,","))&amp;",",","&amp;SUBSTITUTE(input_enews_audience," ","")&amp;",")))&gt;0)),IF(CG178="",TRUE,IF(input_enews_audience="",FALSE,SUMPRODUCT(--ISNUMBER(SEARCH(","&amp;TRIM(TEXTSPLIT(CG178,","))&amp;",",","&amp;SUBSTITUTE(input_enews_audience," ","")&amp;",")))=COUNTA(TEXTSPLIT(CG178,",")))),IF(CI178="",TRUE,IF(input_enews_audience="",TRUE,SUMPRODUCT(--ISNUMBER(SEARCH(","&amp;TRIM(TEXTSPLIT(CI178,","))&amp;",",","&amp;SUBSTITUTE(input_enews_audience," ","")&amp;",")))=0)),IF(CK178="",TRUE,IF(input_enews_audience="",FALSE,SUMPRODUCT(--ISNUMBER(SEARCH(","&amp;TRIM(TEXTSPLIT(CK178,","))&amp;",",","&amp;SUBSTITUTE(input_enews_audience," ","")&amp;",")))&gt;0)),IF(CM178="",TRUE,IF(input_enews_audience="",FALSE,SUMPRODUCT(--ISNUMBER(SEARCH(","&amp;TRIM(TEXTSPLIT(CM178,","))&amp;",",","&amp;SUBSTITUTE(input_enews_audience," ","")&amp;",")))=COUNTA(TEXTSPLIT(CM178,",")))))</f>
        <v/>
      </c>
      <c r="JB178">
        <f>AND(IF(CO178="",TRUE,IF(input_event_location="",FALSE,SUMPRODUCT(--ISNUMBER(SEARCH(","&amp;TRIM(TEXTSPLIT(CO178,","))&amp;",",","&amp;SUBSTITUTE(input_event_location," ","")&amp;",")))&gt;0)),IF(CQ178="",TRUE,IF(input_event_location="",FALSE,SUMPRODUCT(--ISNUMBER(SEARCH(","&amp;TRIM(TEXTSPLIT(CQ178,","))&amp;",",","&amp;SUBSTITUTE(input_event_location," ","")&amp;",")))=COUNTA(TEXTSPLIT(CQ178,",")))),IF(CS178="",TRUE,IF(input_event_location="",TRUE,SUMPRODUCT(--ISNUMBER(SEARCH(","&amp;TRIM(TEXTSPLIT(CS178,","))&amp;",",","&amp;SUBSTITUTE(input_event_location," ","")&amp;",")))=0)),IF(CU178="",TRUE,IF(input_event_location="",FALSE,SUMPRODUCT(--ISNUMBER(SEARCH(","&amp;TRIM(TEXTSPLIT(CU178,","))&amp;",",","&amp;SUBSTITUTE(input_event_location," ","")&amp;",")))&gt;0)),IF(CW178="",TRUE,IF(input_event_location="",FALSE,SUMPRODUCT(--ISNUMBER(SEARCH(","&amp;TRIM(TEXTSPLIT(CW178,","))&amp;",",","&amp;SUBSTITUTE(input_event_location," ","")&amp;",")))=COUNTA(TEXTSPLIT(CW178,",")))))</f>
        <v/>
      </c>
      <c r="JC178">
        <f>AND(IF(CY178="",TRUE,IF(input_event_type="",FALSE,SUMPRODUCT(--ISNUMBER(SEARCH(","&amp;TRIM(TEXTSPLIT(CY178,","))&amp;",",","&amp;SUBSTITUTE(input_event_type," ","")&amp;",")))&gt;0)),IF(DA178="",TRUE,IF(input_event_type="",FALSE,SUMPRODUCT(--ISNUMBER(SEARCH(","&amp;TRIM(TEXTSPLIT(DA178,","))&amp;",",","&amp;SUBSTITUTE(input_event_type," ","")&amp;",")))=COUNTA(TEXTSPLIT(DA178,",")))),IF(DC178="",TRUE,IF(input_event_type="",TRUE,SUMPRODUCT(--ISNUMBER(SEARCH(","&amp;TRIM(TEXTSPLIT(DC178,","))&amp;",",","&amp;SUBSTITUTE(input_event_type," ","")&amp;",")))=0)),IF(DE178="",TRUE,IF(input_event_type="",FALSE,SUMPRODUCT(--ISNUMBER(SEARCH(","&amp;TRIM(TEXTSPLIT(DE178,","))&amp;",",","&amp;SUBSTITUTE(input_event_type," ","")&amp;",")))&gt;0)),IF(DG178="",TRUE,IF(input_event_type="",FALSE,SUMPRODUCT(--ISNUMBER(SEARCH(","&amp;TRIM(TEXTSPLIT(DG178,","))&amp;",",","&amp;SUBSTITUTE(input_event_type," ","")&amp;",")))=COUNTA(TEXTSPLIT(DG178,",")))))</f>
        <v/>
      </c>
      <c r="JD178">
        <f>AND(IF(DI178="",TRUE,IF(input_executive_education_focus="",FALSE,SUMPRODUCT(--ISNUMBER(SEARCH(","&amp;TRIM(TEXTSPLIT(DI178,","))&amp;",",","&amp;SUBSTITUTE(input_executive_education_focus," ","")&amp;",")))&gt;0)),IF(DK178="",TRUE,IF(input_executive_education_focus="",FALSE,SUMPRODUCT(--ISNUMBER(SEARCH(","&amp;TRIM(TEXTSPLIT(DK178,","))&amp;",",","&amp;SUBSTITUTE(input_executive_education_focus," ","")&amp;",")))=COUNTA(TEXTSPLIT(DK178,",")))),IF(DM178="",TRUE,IF(input_executive_education_focus="",TRUE,SUMPRODUCT(--ISNUMBER(SEARCH(","&amp;TRIM(TEXTSPLIT(DM178,","))&amp;",",","&amp;SUBSTITUTE(input_executive_education_focus," ","")&amp;",")))=0)),IF(DO178="",TRUE,IF(input_executive_education_focus="",FALSE,SUMPRODUCT(--ISNUMBER(SEARCH(","&amp;TRIM(TEXTSPLIT(DO178,","))&amp;",",","&amp;SUBSTITUTE(input_executive_education_focus," ","")&amp;",")))&gt;0)),IF(DQ178="",TRUE,IF(input_executive_education_focus="",FALSE,SUMPRODUCT(--ISNUMBER(SEARCH(","&amp;TRIM(TEXTSPLIT(DQ178,","))&amp;",",","&amp;SUBSTITUTE(input_executive_education_focus," ","")&amp;",")))=COUNTA(TEXTSPLIT(DQ178,",")))))</f>
        <v/>
      </c>
      <c r="JE178">
        <f>AND(IF(DS178="",TRUE,IF(input_faculty_category="",FALSE,SUMPRODUCT(--ISNUMBER(SEARCH(","&amp;TRIM(TEXTSPLIT(DS178,","))&amp;",",","&amp;SUBSTITUTE(input_faculty_category," ","")&amp;",")))&gt;0)),IF(DU178="",TRUE,IF(input_faculty_category="",FALSE,SUMPRODUCT(--ISNUMBER(SEARCH(","&amp;TRIM(TEXTSPLIT(DU178,","))&amp;",",","&amp;SUBSTITUTE(input_faculty_category," ","")&amp;",")))=COUNTA(TEXTSPLIT(DU178,",")))),IF(DW178="",TRUE,IF(input_faculty_category="",TRUE,SUMPRODUCT(--ISNUMBER(SEARCH(","&amp;TRIM(TEXTSPLIT(DW178,","))&amp;",",","&amp;SUBSTITUTE(input_faculty_category," ","")&amp;",")))=0)),IF(DY178="",TRUE,IF(input_faculty_category="",FALSE,SUMPRODUCT(--ISNUMBER(SEARCH(","&amp;TRIM(TEXTSPLIT(DY178,","))&amp;",",","&amp;SUBSTITUTE(input_faculty_category," ","")&amp;",")))&gt;0)),IF(EA178="",TRUE,IF(input_faculty_category="",FALSE,SUMPRODUCT(--ISNUMBER(SEARCH(","&amp;TRIM(TEXTSPLIT(EA178,","))&amp;",",","&amp;SUBSTITUTE(input_faculty_category," ","")&amp;",")))=COUNTA(TEXTSPLIT(EA178,",")))))</f>
        <v/>
      </c>
      <c r="JF178">
        <f>AND(IF(EC178="",TRUE,IF(input_faculty_discipline="",FALSE,SUMPRODUCT(--ISNUMBER(SEARCH(","&amp;TRIM(TEXTSPLIT(EC178,","))&amp;",",","&amp;SUBSTITUTE(input_faculty_discipline," ","")&amp;",")))&gt;0)),IF(EE178="",TRUE,IF(input_faculty_discipline="",FALSE,SUMPRODUCT(--ISNUMBER(SEARCH(","&amp;TRIM(TEXTSPLIT(EE178,","))&amp;",",","&amp;SUBSTITUTE(input_faculty_discipline," ","")&amp;",")))=COUNTA(TEXTSPLIT(EE178,",")))),IF(EG178="",TRUE,IF(input_faculty_discipline="",TRUE,SUMPRODUCT(--ISNUMBER(SEARCH(","&amp;TRIM(TEXTSPLIT(EG178,","))&amp;",",","&amp;SUBSTITUTE(input_faculty_discipline," ","")&amp;",")))=0)),IF(EI178="",TRUE,IF(input_faculty_discipline="",FALSE,SUMPRODUCT(--ISNUMBER(SEARCH(","&amp;TRIM(TEXTSPLIT(EI178,","))&amp;",",","&amp;SUBSTITUTE(input_faculty_discipline," ","")&amp;",")))&gt;0)),IF(EK178="",TRUE,IF(input_faculty_discipline="",FALSE,SUMPRODUCT(--ISNUMBER(SEARCH(","&amp;TRIM(TEXTSPLIT(EK178,","))&amp;",",","&amp;SUBSTITUTE(input_faculty_discipline," ","")&amp;",")))=COUNTA(TEXTSPLIT(EK178,",")))))</f>
        <v/>
      </c>
      <c r="JG178">
        <f>AND(IF(EM178="",TRUE,IF(input_faculty_expertise="",FALSE,SUMPRODUCT(--ISNUMBER(SEARCH(","&amp;TRIM(TEXTSPLIT(EM178,","))&amp;",",","&amp;SUBSTITUTE(input_faculty_expertise," ","")&amp;",")))&gt;0)),IF(EO178="",TRUE,IF(input_faculty_expertise="",FALSE,SUMPRODUCT(--ISNUMBER(SEARCH(","&amp;TRIM(TEXTSPLIT(EO178,","))&amp;",",","&amp;SUBSTITUTE(input_faculty_expertise," ","")&amp;",")))=COUNTA(TEXTSPLIT(EO178,",")))),IF(EQ178="",TRUE,IF(input_faculty_expertise="",TRUE,SUMPRODUCT(--ISNUMBER(SEARCH(","&amp;TRIM(TEXTSPLIT(EQ178,","))&amp;",",","&amp;SUBSTITUTE(input_faculty_expertise," ","")&amp;",")))=0)),IF(ES178="",TRUE,IF(input_faculty_expertise="",FALSE,SUMPRODUCT(--ISNUMBER(SEARCH(","&amp;TRIM(TEXTSPLIT(ES178,","))&amp;",",","&amp;SUBSTITUTE(input_faculty_expertise," ","")&amp;",")))&gt;0)),IF(EU178="",TRUE,IF(input_faculty_expertise="",FALSE,SUMPRODUCT(--ISNUMBER(SEARCH(","&amp;TRIM(TEXTSPLIT(EU178,","))&amp;",",","&amp;SUBSTITUTE(input_faculty_expertise," ","")&amp;",")))=COUNTA(TEXTSPLIT(EU178,",")))))</f>
        <v/>
      </c>
      <c r="JH178">
        <f>AND(IF(EW178="",TRUE,IF(input_global_network_school="",FALSE,SUMPRODUCT(--ISNUMBER(SEARCH(","&amp;TRIM(TEXTSPLIT(EW178,","))&amp;",",","&amp;SUBSTITUTE(input_global_network_school," ","")&amp;",")))&gt;0)),IF(EY178="",TRUE,IF(input_global_network_school="",FALSE,SUMPRODUCT(--ISNUMBER(SEARCH(","&amp;TRIM(TEXTSPLIT(EY178,","))&amp;",",","&amp;SUBSTITUTE(input_global_network_school," ","")&amp;",")))=COUNTA(TEXTSPLIT(EY178,",")))),IF(FA178="",TRUE,IF(input_global_network_school="",TRUE,SUMPRODUCT(--ISNUMBER(SEARCH(","&amp;TRIM(TEXTSPLIT(FA178,","))&amp;",",","&amp;SUBSTITUTE(input_global_network_school," ","")&amp;",")))=0)),IF(FC178="",TRUE,IF(input_global_network_school="",FALSE,SUMPRODUCT(--ISNUMBER(SEARCH(","&amp;TRIM(TEXTSPLIT(FC178,","))&amp;",",","&amp;SUBSTITUTE(input_global_network_school," ","")&amp;",")))&gt;0)),IF(FE178="",TRUE,IF(input_global_network_school="",FALSE,SUMPRODUCT(--ISNUMBER(SEARCH(","&amp;TRIM(TEXTSPLIT(FE178,","))&amp;",",","&amp;SUBSTITUTE(input_global_network_school," ","")&amp;",")))=COUNTA(TEXTSPLIT(FE178,",")))))</f>
        <v/>
      </c>
      <c r="JI178">
        <f>AND(IF(FG178="",TRUE,IF(input_industry="",FALSE,SUMPRODUCT(--ISNUMBER(SEARCH(","&amp;TRIM(TEXTSPLIT(FG178,","))&amp;",",","&amp;SUBSTITUTE(input_industry," ","")&amp;",")))&gt;0)),IF(FI178="",TRUE,IF(input_industry="",FALSE,SUMPRODUCT(--ISNUMBER(SEARCH(","&amp;TRIM(TEXTSPLIT(FI178,","))&amp;",",","&amp;SUBSTITUTE(input_industry," ","")&amp;",")))=COUNTA(TEXTSPLIT(FI178,",")))),IF(FK178="",TRUE,IF(input_industry="",TRUE,SUMPRODUCT(--ISNUMBER(SEARCH(","&amp;TRIM(TEXTSPLIT(FK178,","))&amp;",",","&amp;SUBSTITUTE(input_industry," ","")&amp;",")))=0)),IF(FM178="",TRUE,IF(input_industry="",FALSE,SUMPRODUCT(--ISNUMBER(SEARCH(","&amp;TRIM(TEXTSPLIT(FM178,","))&amp;",",","&amp;SUBSTITUTE(input_industry," ","")&amp;",")))&gt;0)),IF(FO178="",TRUE,IF(input_industry="",FALSE,SUMPRODUCT(--ISNUMBER(SEARCH(","&amp;TRIM(TEXTSPLIT(FO178,","))&amp;",",","&amp;SUBSTITUTE(input_industry," ","")&amp;",")))=COUNTA(TEXTSPLIT(FO178,",")))))</f>
        <v/>
      </c>
      <c r="JJ178">
        <f>AND(IF(FQ178="",TRUE,IF(input_location="",FALSE,SUMPRODUCT(--ISNUMBER(SEARCH(","&amp;TRIM(TEXTSPLIT(FQ178,","))&amp;",",","&amp;SUBSTITUTE(input_location," ","")&amp;",")))&gt;0)),IF(FS178="",TRUE,IF(input_location="",FALSE,SUMPRODUCT(--ISNUMBER(SEARCH(","&amp;TRIM(TEXTSPLIT(FS178,","))&amp;",",","&amp;SUBSTITUTE(input_location," ","")&amp;",")))=COUNTA(TEXTSPLIT(FS178,",")))),IF(FU178="",TRUE,IF(input_location="",TRUE,SUMPRODUCT(--ISNUMBER(SEARCH(","&amp;TRIM(TEXTSPLIT(FU178,","))&amp;",",","&amp;SUBSTITUTE(input_location," ","")&amp;",")))=0)),IF(FW178="",TRUE,IF(input_location="",FALSE,SUMPRODUCT(--ISNUMBER(SEARCH(","&amp;TRIM(TEXTSPLIT(FW178,","))&amp;",",","&amp;SUBSTITUTE(input_location," ","")&amp;",")))&gt;0)),IF(FY178="",TRUE,IF(input_location="",FALSE,SUMPRODUCT(--ISNUMBER(SEARCH(","&amp;TRIM(TEXTSPLIT(FY178,","))&amp;",",","&amp;SUBSTITUTE(input_location," ","")&amp;",")))=COUNTA(TEXTSPLIT(FY178,",")))))</f>
        <v/>
      </c>
      <c r="JK178">
        <f>AND(IF(GA178="",TRUE,IF(input_modality="",FALSE,SUMPRODUCT(--ISNUMBER(SEARCH(","&amp;TRIM(TEXTSPLIT(GA178,","))&amp;",",","&amp;SUBSTITUTE(input_modality," ","")&amp;",")))&gt;0)),IF(GC178="",TRUE,IF(input_modality="",FALSE,SUMPRODUCT(--ISNUMBER(SEARCH(","&amp;TRIM(TEXTSPLIT(GC178,","))&amp;",",","&amp;SUBSTITUTE(input_modality," ","")&amp;",")))=COUNTA(TEXTSPLIT(GC178,",")))),IF(GE178="",TRUE,IF(input_modality="",TRUE,SUMPRODUCT(--ISNUMBER(SEARCH(","&amp;TRIM(TEXTSPLIT(GE178,","))&amp;",",","&amp;SUBSTITUTE(input_modality," ","")&amp;",")))=0)),IF(GG178="",TRUE,IF(input_modality="",FALSE,SUMPRODUCT(--ISNUMBER(SEARCH(","&amp;TRIM(TEXTSPLIT(GG178,","))&amp;",",","&amp;SUBSTITUTE(input_modality," ","")&amp;",")))&gt;0)),IF(GI178="",TRUE,IF(input_modality="",FALSE,SUMPRODUCT(--ISNUMBER(SEARCH(","&amp;TRIM(TEXTSPLIT(GI178,","))&amp;",",","&amp;SUBSTITUTE(input_modality," ","")&amp;",")))=COUNTA(TEXTSPLIT(GI178,",")))))</f>
        <v/>
      </c>
      <c r="JL178">
        <f>AND(IF(GK178="",TRUE,IF(input_organizer="",FALSE,SUMPRODUCT(--ISNUMBER(SEARCH(","&amp;TRIM(TEXTSPLIT(GK178,","))&amp;",",","&amp;SUBSTITUTE(input_organizer," ","")&amp;",")))&gt;0)),IF(GM178="",TRUE,IF(input_organizer="",FALSE,SUMPRODUCT(--ISNUMBER(SEARCH(","&amp;TRIM(TEXTSPLIT(GM178,","))&amp;",",","&amp;SUBSTITUTE(input_organizer," ","")&amp;",")))=COUNTA(TEXTSPLIT(GM178,",")))),IF(GO178="",TRUE,IF(input_organizer="",TRUE,SUMPRODUCT(--ISNUMBER(SEARCH(","&amp;TRIM(TEXTSPLIT(GO178,","))&amp;",",","&amp;SUBSTITUTE(input_organizer," ","")&amp;",")))=0)),IF(GQ178="",TRUE,IF(input_organizer="",FALSE,SUMPRODUCT(--ISNUMBER(SEARCH(","&amp;TRIM(TEXTSPLIT(GQ178,","))&amp;",",","&amp;SUBSTITUTE(input_organizer," ","")&amp;",")))&gt;0)),IF(GS178="",TRUE,IF(input_organizer="",FALSE,SUMPRODUCT(--ISNUMBER(SEARCH(","&amp;TRIM(TEXTSPLIT(GS178,","))&amp;",",","&amp;SUBSTITUTE(input_organizer," ","")&amp;",")))=COUNTA(TEXTSPLIT(GS178,",")))))</f>
        <v/>
      </c>
      <c r="JM178">
        <f>AND(IF(GU178="",TRUE,IF(input_profile_type="",FALSE,SUMPRODUCT(--ISNUMBER(SEARCH(","&amp;TRIM(TEXTSPLIT(GU178,","))&amp;",",","&amp;SUBSTITUTE(input_profile_type," ","")&amp;",")))&gt;0)),IF(GW178="",TRUE,IF(input_profile_type="",FALSE,SUMPRODUCT(--ISNUMBER(SEARCH(","&amp;TRIM(TEXTSPLIT(GW178,","))&amp;",",","&amp;SUBSTITUTE(input_profile_type," ","")&amp;",")))=COUNTA(TEXTSPLIT(GW178,",")))),IF(GY178="",TRUE,IF(input_profile_type="",TRUE,SUMPRODUCT(--ISNUMBER(SEARCH(","&amp;TRIM(TEXTSPLIT(GY178,","))&amp;",",","&amp;SUBSTITUTE(input_profile_type," ","")&amp;",")))=0)),IF(HA178="",TRUE,IF(input_profile_type="",FALSE,SUMPRODUCT(--ISNUMBER(SEARCH(","&amp;TRIM(TEXTSPLIT(HA178,","))&amp;",",","&amp;SUBSTITUTE(input_profile_type," ","")&amp;",")))&gt;0)),IF(HC178="",TRUE,IF(input_profile_type="",FALSE,SUMPRODUCT(--ISNUMBER(SEARCH(","&amp;TRIM(TEXTSPLIT(HC178,","))&amp;",",","&amp;SUBSTITUTE(input_profile_type," ","")&amp;",")))=COUNTA(TEXTSPLIT(HC178,",")))))</f>
        <v/>
      </c>
      <c r="JN178">
        <f>AND(IF(HE178="",TRUE,IF(input_program="",FALSE,SUMPRODUCT(--ISNUMBER(SEARCH(","&amp;TRIM(TEXTSPLIT(HE178,","))&amp;",",","&amp;SUBSTITUTE(input_program," ","")&amp;",")))&gt;0)),IF(HG178="",TRUE,IF(input_program="",FALSE,SUMPRODUCT(--ISNUMBER(SEARCH(","&amp;TRIM(TEXTSPLIT(HG178,","))&amp;",",","&amp;SUBSTITUTE(input_program," ","")&amp;",")))=COUNTA(TEXTSPLIT(HG178,",")))),IF(HI178="",TRUE,IF(input_program="",TRUE,SUMPRODUCT(--ISNUMBER(SEARCH(","&amp;TRIM(TEXTSPLIT(HI178,","))&amp;",",","&amp;SUBSTITUTE(input_program," ","")&amp;",")))=0)),IF(HK178="",TRUE,IF(input_program="",FALSE,SUMPRODUCT(--ISNUMBER(SEARCH(","&amp;TRIM(TEXTSPLIT(HK178,","))&amp;",",","&amp;SUBSTITUTE(input_program," ","")&amp;",")))&gt;0)),IF(HM178="",TRUE,IF(input_program="",FALSE,SUMPRODUCT(--ISNUMBER(SEARCH(","&amp;TRIM(TEXTSPLIT(HM178,","))&amp;",",","&amp;SUBSTITUTE(input_program," ","")&amp;",")))=COUNTA(TEXTSPLIT(HM178,",")))))</f>
        <v/>
      </c>
      <c r="JO178">
        <f>AND(IF(HO178="",TRUE,IF(input_story_categories="",FALSE,SUMPRODUCT(--ISNUMBER(SEARCH(","&amp;TRIM(TEXTSPLIT(HO178,","))&amp;",",","&amp;SUBSTITUTE(input_story_categories," ","")&amp;",")))&gt;0)),IF(HQ178="",TRUE,IF(input_story_categories="",FALSE,SUMPRODUCT(--ISNUMBER(SEARCH(","&amp;TRIM(TEXTSPLIT(HQ178,","))&amp;",",","&amp;SUBSTITUTE(input_story_categories," ","")&amp;",")))=COUNTA(TEXTSPLIT(HQ178,",")))),IF(HS178="",TRUE,IF(input_story_categories="",TRUE,SUMPRODUCT(--ISNUMBER(SEARCH(","&amp;TRIM(TEXTSPLIT(HS178,","))&amp;",",","&amp;SUBSTITUTE(input_story_categories," ","")&amp;",")))=0)),IF(HU178="",TRUE,IF(input_story_categories="",FALSE,SUMPRODUCT(--ISNUMBER(SEARCH(","&amp;TRIM(TEXTSPLIT(HU178,","))&amp;",",","&amp;SUBSTITUTE(input_story_categories," ","")&amp;",")))&gt;0)),IF(HW178="",TRUE,IF(input_story_categories="",FALSE,SUMPRODUCT(--ISNUMBER(SEARCH(","&amp;TRIM(TEXTSPLIT(HW178,","))&amp;",",","&amp;SUBSTITUTE(input_story_categories," ","")&amp;",")))=COUNTA(TEXTSPLIT(HW178,",")))))</f>
        <v/>
      </c>
      <c r="JP178">
        <f>AND(IF(HY178="",TRUE,IF(input_story_type="",FALSE,SUMPRODUCT(--ISNUMBER(SEARCH(","&amp;TRIM(TEXTSPLIT(HY178,","))&amp;",",","&amp;SUBSTITUTE(input_story_type," ","")&amp;",")))&gt;0)),IF(IA178="",TRUE,IF(input_story_type="",FALSE,SUMPRODUCT(--ISNUMBER(SEARCH(","&amp;TRIM(TEXTSPLIT(IA178,","))&amp;",",","&amp;SUBSTITUTE(input_story_type," ","")&amp;",")))=COUNTA(TEXTSPLIT(IA178,",")))),IF(IC178="",TRUE,IF(input_story_type="",TRUE,SUMPRODUCT(--ISNUMBER(SEARCH(","&amp;TRIM(TEXTSPLIT(IC178,","))&amp;",",","&amp;SUBSTITUTE(input_story_type," ","")&amp;",")))=0)),IF(IE178="",TRUE,IF(input_story_type="",FALSE,SUMPRODUCT(--ISNUMBER(SEARCH(","&amp;TRIM(TEXTSPLIT(IE178,","))&amp;",",","&amp;SUBSTITUTE(input_story_type," ","")&amp;",")))&gt;0)),IF(IG178="",TRUE,IF(input_story_type="",FALSE,SUMPRODUCT(--ISNUMBER(SEARCH(","&amp;TRIM(TEXTSPLIT(IG178,","))&amp;",",","&amp;SUBSTITUTE(input_story_type," ","")&amp;",")))=COUNTA(TEXTSPLIT(IG178,",")))))</f>
        <v/>
      </c>
      <c r="JQ178">
        <f>AND(IF(II178="",TRUE,IF(input_topics="",FALSE,SUMPRODUCT(--ISNUMBER(SEARCH(","&amp;TRIM(TEXTSPLIT(II178,","))&amp;",",","&amp;SUBSTITUTE(input_topics," ","")&amp;",")))&gt;0)),IF(IK178="",TRUE,IF(input_topics="",FALSE,SUMPRODUCT(--ISNUMBER(SEARCH(","&amp;TRIM(TEXTSPLIT(IK178,","))&amp;",",","&amp;SUBSTITUTE(input_topics," ","")&amp;",")))=COUNTA(TEXTSPLIT(IK178,",")))),IF(IM178="",TRUE,IF(input_topics="",TRUE,SUMPRODUCT(--ISNUMBER(SEARCH(","&amp;TRIM(TEXTSPLIT(IM178,","))&amp;",",","&amp;SUBSTITUTE(input_topics," ","")&amp;",")))=0)),IF(IO178="",TRUE,IF(input_topics="",FALSE,SUMPRODUCT(--ISNUMBER(SEARCH(","&amp;TRIM(TEXTSPLIT(IO178,","))&amp;",",","&amp;SUBSTITUTE(input_topics," ","")&amp;",")))&gt;0)),IF(IQ178="",TRUE,IF(input_topics="",FALSE,SUMPRODUCT(--ISNUMBER(SEARCH(","&amp;TRIM(TEXTSPLIT(IQ178,","))&amp;",",","&amp;SUBSTITUTE(input_topics," ","")&amp;",")))=COUNTA(TEXTSPLIT(IQ178,",")))))</f>
        <v/>
      </c>
    </row>
    <row r="179">
      <c r="A179" s="4">
        <f>IF(NOT(IS179),"Excluded",IF(AND(IT179,IU179,IV179,IW179,IX179,IY179,IZ179,JA179,JB179,JC179,JD179,JE179,JF179,JG179,JH179,JI179,JJ179,JK179,JL179,JM179,JN179,JO179,JP179,JQ179),IF(I179&gt;0,"Eligible but limited","Will appear"),"Excluded"))</f>
        <v/>
      </c>
      <c r="B179" s="4" t="inlineStr">
        <is>
          <t>Related stories</t>
        </is>
      </c>
      <c r="C179" s="4" t="inlineStr">
        <is>
          <t>/programs/mms-global-business-and-society</t>
        </is>
      </c>
      <c r="D179" s="4" t="inlineStr">
        <is>
          <t>/programs/mms-global-business-and-society</t>
        </is>
      </c>
      <c r="E179" s="4" t="n">
        <v>1</v>
      </c>
      <c r="F179" s="4" t="inlineStr">
        <is>
          <t>story</t>
        </is>
      </c>
      <c r="G179" s="4" t="inlineStr">
        <is>
          <t>stories_teaser_cards</t>
        </is>
      </c>
      <c r="H179" s="4" t="inlineStr">
        <is>
          <t>embed_blog</t>
        </is>
      </c>
      <c r="I179" s="4" t="n">
        <v>3</v>
      </c>
      <c r="J179" s="4" t="inlineStr">
        <is>
          <t>Section inferred</t>
        </is>
      </c>
      <c r="K179" s="4" t="inlineStr">
        <is>
          <t>Page placement</t>
        </is>
      </c>
      <c r="L179" s="4" t="inlineStr">
        <is>
          <t>Content type: story; Context uses Courses Context: Master's Degree in Global Business and Society (950); Needs any Story Type: Blog (974); Limited to 3 item(s); Source: Section inferred</t>
        </is>
      </c>
      <c r="M179" t="inlineStr"/>
      <c r="N179" t="inlineStr"/>
      <c r="O179" t="inlineStr"/>
      <c r="P179" t="inlineStr"/>
      <c r="Q179" t="inlineStr"/>
      <c r="R179" t="inlineStr"/>
      <c r="S179" t="inlineStr"/>
      <c r="T179" t="inlineStr"/>
      <c r="U179" t="inlineStr"/>
      <c r="V179" t="inlineStr"/>
      <c r="W179" t="inlineStr"/>
      <c r="X179" t="inlineStr"/>
      <c r="Y179" t="inlineStr"/>
      <c r="Z179" t="inlineStr"/>
      <c r="AA179" t="inlineStr"/>
      <c r="AB179" t="inlineStr"/>
      <c r="AC179" t="inlineStr"/>
      <c r="AD179" t="inlineStr"/>
      <c r="AE179" t="inlineStr"/>
      <c r="AF179" t="inlineStr"/>
      <c r="AG179" t="inlineStr"/>
      <c r="AH179" t="inlineStr"/>
      <c r="AI179" t="inlineStr"/>
      <c r="AJ179" t="inlineStr"/>
      <c r="AK179" t="inlineStr"/>
      <c r="AL179" t="inlineStr"/>
      <c r="AM179" t="inlineStr"/>
      <c r="AN179" t="inlineStr"/>
      <c r="AO179" t="inlineStr"/>
      <c r="AP179" t="inlineStr"/>
      <c r="AQ179" t="inlineStr"/>
      <c r="AR179" t="inlineStr"/>
      <c r="AS179" t="inlineStr"/>
      <c r="AT179" t="inlineStr"/>
      <c r="AU179" t="inlineStr"/>
      <c r="AV179" t="inlineStr"/>
      <c r="AW179" t="inlineStr"/>
      <c r="AX179" t="inlineStr"/>
      <c r="AY179" t="inlineStr"/>
      <c r="AZ179" t="inlineStr"/>
      <c r="BA179" t="inlineStr"/>
      <c r="BB179" t="inlineStr"/>
      <c r="BC179" t="inlineStr"/>
      <c r="BD179" t="inlineStr"/>
      <c r="BE179" t="inlineStr"/>
      <c r="BF179" t="inlineStr"/>
      <c r="BG179" t="inlineStr"/>
      <c r="BH179" t="inlineStr"/>
      <c r="BI179" t="inlineStr"/>
      <c r="BJ179" t="inlineStr"/>
      <c r="BK179" t="inlineStr"/>
      <c r="BL179" t="inlineStr"/>
      <c r="BM179" t="inlineStr"/>
      <c r="BN179" t="inlineStr"/>
      <c r="BO179" t="inlineStr"/>
      <c r="BP179" t="inlineStr"/>
      <c r="BQ179" t="inlineStr">
        <is>
          <t>950</t>
        </is>
      </c>
      <c r="BR179" t="inlineStr">
        <is>
          <t>Master's Degree in Global Business and Society (950)</t>
        </is>
      </c>
      <c r="BS179" t="inlineStr"/>
      <c r="BT179" t="inlineStr"/>
      <c r="BU179" t="inlineStr"/>
      <c r="BV179" t="inlineStr"/>
      <c r="BW179" t="inlineStr"/>
      <c r="BX179" t="inlineStr"/>
      <c r="BY179" t="inlineStr"/>
      <c r="BZ179" t="inlineStr"/>
      <c r="CA179" t="inlineStr"/>
      <c r="CB179" t="inlineStr"/>
      <c r="CC179" t="inlineStr"/>
      <c r="CD179" t="inlineStr"/>
      <c r="CE179" t="inlineStr"/>
      <c r="CF179" t="inlineStr"/>
      <c r="CG179" t="inlineStr"/>
      <c r="CH179" t="inlineStr"/>
      <c r="CI179" t="inlineStr"/>
      <c r="CJ179" t="inlineStr"/>
      <c r="CK179" t="inlineStr"/>
      <c r="CL179" t="inlineStr"/>
      <c r="CM179" t="inlineStr"/>
      <c r="CN179" t="inlineStr"/>
      <c r="CO179" t="inlineStr"/>
      <c r="CP179" t="inlineStr"/>
      <c r="CQ179" t="inlineStr"/>
      <c r="CR179" t="inlineStr"/>
      <c r="CS179" t="inlineStr"/>
      <c r="CT179" t="inlineStr"/>
      <c r="CU179" t="inlineStr"/>
      <c r="CV179" t="inlineStr"/>
      <c r="CW179" t="inlineStr"/>
      <c r="CX179" t="inlineStr"/>
      <c r="CY179" t="inlineStr"/>
      <c r="CZ179" t="inlineStr"/>
      <c r="DA179" t="inlineStr"/>
      <c r="DB179" t="inlineStr"/>
      <c r="DC179" t="inlineStr"/>
      <c r="DD179" t="inlineStr"/>
      <c r="DE179" t="inlineStr"/>
      <c r="DF179" t="inlineStr"/>
      <c r="DG179" t="inlineStr"/>
      <c r="DH179" t="inlineStr"/>
      <c r="DI179" t="inlineStr"/>
      <c r="DJ179" t="inlineStr"/>
      <c r="DK179" t="inlineStr"/>
      <c r="DL179" t="inlineStr"/>
      <c r="DM179" t="inlineStr"/>
      <c r="DN179" t="inlineStr"/>
      <c r="DO179" t="inlineStr"/>
      <c r="DP179" t="inlineStr"/>
      <c r="DQ179" t="inlineStr"/>
      <c r="DR179" t="inlineStr"/>
      <c r="DS179" t="inlineStr"/>
      <c r="DT179" t="inlineStr"/>
      <c r="DU179" t="inlineStr"/>
      <c r="DV179" t="inlineStr"/>
      <c r="DW179" t="inlineStr"/>
      <c r="DX179" t="inlineStr"/>
      <c r="DY179" t="inlineStr"/>
      <c r="DZ179" t="inlineStr"/>
      <c r="EA179" t="inlineStr"/>
      <c r="EB179" t="inlineStr"/>
      <c r="EC179" t="inlineStr"/>
      <c r="ED179" t="inlineStr"/>
      <c r="EE179" t="inlineStr"/>
      <c r="EF179" t="inlineStr"/>
      <c r="EG179" t="inlineStr"/>
      <c r="EH179" t="inlineStr"/>
      <c r="EI179" t="inlineStr"/>
      <c r="EJ179" t="inlineStr"/>
      <c r="EK179" t="inlineStr"/>
      <c r="EL179" t="inlineStr"/>
      <c r="EM179" t="inlineStr"/>
      <c r="EN179" t="inlineStr"/>
      <c r="EO179" t="inlineStr"/>
      <c r="EP179" t="inlineStr"/>
      <c r="EQ179" t="inlineStr"/>
      <c r="ER179" t="inlineStr"/>
      <c r="ES179" t="inlineStr"/>
      <c r="ET179" t="inlineStr"/>
      <c r="EU179" t="inlineStr"/>
      <c r="EV179" t="inlineStr"/>
      <c r="EW179" t="inlineStr"/>
      <c r="EX179" t="inlineStr"/>
      <c r="EY179" t="inlineStr"/>
      <c r="EZ179" t="inlineStr"/>
      <c r="FA179" t="inlineStr"/>
      <c r="FB179" t="inlineStr"/>
      <c r="FC179" t="inlineStr"/>
      <c r="FD179" t="inlineStr"/>
      <c r="FE179" t="inlineStr"/>
      <c r="FF179" t="inlineStr"/>
      <c r="FG179" t="inlineStr"/>
      <c r="FH179" t="inlineStr"/>
      <c r="FI179" t="inlineStr"/>
      <c r="FJ179" t="inlineStr"/>
      <c r="FK179" t="inlineStr"/>
      <c r="FL179" t="inlineStr"/>
      <c r="FM179" t="inlineStr"/>
      <c r="FN179" t="inlineStr"/>
      <c r="FO179" t="inlineStr"/>
      <c r="FP179" t="inlineStr"/>
      <c r="FQ179" t="inlineStr"/>
      <c r="FR179" t="inlineStr"/>
      <c r="FS179" t="inlineStr"/>
      <c r="FT179" t="inlineStr"/>
      <c r="FU179" t="inlineStr"/>
      <c r="FV179" t="inlineStr"/>
      <c r="FW179" t="inlineStr"/>
      <c r="FX179" t="inlineStr"/>
      <c r="FY179" t="inlineStr"/>
      <c r="FZ179" t="inlineStr"/>
      <c r="GA179" t="inlineStr"/>
      <c r="GB179" t="inlineStr"/>
      <c r="GC179" t="inlineStr"/>
      <c r="GD179" t="inlineStr"/>
      <c r="GE179" t="inlineStr"/>
      <c r="GF179" t="inlineStr"/>
      <c r="GG179" t="inlineStr"/>
      <c r="GH179" t="inlineStr"/>
      <c r="GI179" t="inlineStr"/>
      <c r="GJ179" t="inlineStr"/>
      <c r="GK179" t="inlineStr"/>
      <c r="GL179" t="inlineStr"/>
      <c r="GM179" t="inlineStr"/>
      <c r="GN179" t="inlineStr"/>
      <c r="GO179" t="inlineStr"/>
      <c r="GP179" t="inlineStr"/>
      <c r="GQ179" t="inlineStr"/>
      <c r="GR179" t="inlineStr"/>
      <c r="GS179" t="inlineStr"/>
      <c r="GT179" t="inlineStr"/>
      <c r="GU179" t="inlineStr"/>
      <c r="GV179" t="inlineStr"/>
      <c r="GW179" t="inlineStr"/>
      <c r="GX179" t="inlineStr"/>
      <c r="GY179" t="inlineStr"/>
      <c r="GZ179" t="inlineStr"/>
      <c r="HA179" t="inlineStr"/>
      <c r="HB179" t="inlineStr"/>
      <c r="HC179" t="inlineStr"/>
      <c r="HD179" t="inlineStr"/>
      <c r="HE179" t="inlineStr"/>
      <c r="HF179" t="inlineStr"/>
      <c r="HG179" t="inlineStr"/>
      <c r="HH179" t="inlineStr"/>
      <c r="HI179" t="inlineStr"/>
      <c r="HJ179" t="inlineStr"/>
      <c r="HK179" t="inlineStr"/>
      <c r="HL179" t="inlineStr"/>
      <c r="HM179" t="inlineStr"/>
      <c r="HN179" t="inlineStr"/>
      <c r="HO179" t="inlineStr"/>
      <c r="HP179" t="inlineStr"/>
      <c r="HQ179" t="inlineStr"/>
      <c r="HR179" t="inlineStr"/>
      <c r="HS179" t="inlineStr"/>
      <c r="HT179" t="inlineStr"/>
      <c r="HU179" t="inlineStr"/>
      <c r="HV179" t="inlineStr"/>
      <c r="HW179" t="inlineStr"/>
      <c r="HX179" t="inlineStr"/>
      <c r="HY179" t="inlineStr">
        <is>
          <t>974</t>
        </is>
      </c>
      <c r="HZ179" t="inlineStr">
        <is>
          <t>Blog (974)</t>
        </is>
      </c>
      <c r="IA179" t="inlineStr"/>
      <c r="IB179" t="inlineStr"/>
      <c r="IC179" t="inlineStr"/>
      <c r="ID179" t="inlineStr"/>
      <c r="IE179" t="inlineStr"/>
      <c r="IF179" t="inlineStr"/>
      <c r="IG179" t="inlineStr"/>
      <c r="IH179" t="inlineStr"/>
      <c r="II179" t="inlineStr"/>
      <c r="IJ179" t="inlineStr"/>
      <c r="IK179" t="inlineStr"/>
      <c r="IL179" t="inlineStr"/>
      <c r="IM179" t="inlineStr"/>
      <c r="IN179" t="inlineStr"/>
      <c r="IO179" t="inlineStr"/>
      <c r="IP179" t="inlineStr"/>
      <c r="IQ179" t="inlineStr"/>
      <c r="IR179" t="inlineStr"/>
      <c r="IS179">
        <f>IF(input_content_type="",FALSE,ISNUMBER(SEARCH(","&amp;LOWER(input_content_type)&amp;",",","&amp;LOWER(F179)&amp;",")))</f>
        <v/>
      </c>
      <c r="IT179">
        <f>AND(IF(M179="",TRUE,IF(input_affiliations="",FALSE,SUMPRODUCT(--ISNUMBER(SEARCH(","&amp;TRIM(TEXTSPLIT(M179,","))&amp;",",","&amp;SUBSTITUTE(input_affiliations," ","")&amp;",")))&gt;0)),IF(O179="",TRUE,IF(input_affiliations="",FALSE,SUMPRODUCT(--ISNUMBER(SEARCH(","&amp;TRIM(TEXTSPLIT(O179,","))&amp;",",","&amp;SUBSTITUTE(input_affiliations," ","")&amp;",")))=COUNTA(TEXTSPLIT(O179,",")))),IF(Q179="",TRUE,IF(input_affiliations="",TRUE,SUMPRODUCT(--ISNUMBER(SEARCH(","&amp;TRIM(TEXTSPLIT(Q179,","))&amp;",",","&amp;SUBSTITUTE(input_affiliations," ","")&amp;",")))=0)),IF(S179="",TRUE,IF(input_affiliations="",FALSE,SUMPRODUCT(--ISNUMBER(SEARCH(","&amp;TRIM(TEXTSPLIT(S179,","))&amp;",",","&amp;SUBSTITUTE(input_affiliations," ","")&amp;",")))&gt;0)),IF(U179="",TRUE,IF(input_affiliations="",FALSE,SUMPRODUCT(--ISNUMBER(SEARCH(","&amp;TRIM(TEXTSPLIT(U179,","))&amp;",",","&amp;SUBSTITUTE(input_affiliations," ","")&amp;",")))=COUNTA(TEXTSPLIT(U179,",")))))</f>
        <v/>
      </c>
      <c r="IU179">
        <f>AND(IF(W179="",TRUE,IF(input_announcement_category="",FALSE,SUMPRODUCT(--ISNUMBER(SEARCH(","&amp;TRIM(TEXTSPLIT(W179,","))&amp;",",","&amp;SUBSTITUTE(input_announcement_category," ","")&amp;",")))&gt;0)),IF(Y179="",TRUE,IF(input_announcement_category="",FALSE,SUMPRODUCT(--ISNUMBER(SEARCH(","&amp;TRIM(TEXTSPLIT(Y179,","))&amp;",",","&amp;SUBSTITUTE(input_announcement_category," ","")&amp;",")))=COUNTA(TEXTSPLIT(Y179,",")))),IF(AA179="",TRUE,IF(input_announcement_category="",TRUE,SUMPRODUCT(--ISNUMBER(SEARCH(","&amp;TRIM(TEXTSPLIT(AA179,","))&amp;",",","&amp;SUBSTITUTE(input_announcement_category," ","")&amp;",")))=0)),IF(AC179="",TRUE,IF(input_announcement_category="",FALSE,SUMPRODUCT(--ISNUMBER(SEARCH(","&amp;TRIM(TEXTSPLIT(AC179,","))&amp;",",","&amp;SUBSTITUTE(input_announcement_category," ","")&amp;",")))&gt;0)),IF(AE179="",TRUE,IF(input_announcement_category="",FALSE,SUMPRODUCT(--ISNUMBER(SEARCH(","&amp;TRIM(TEXTSPLIT(AE179,","))&amp;",",","&amp;SUBSTITUTE(input_announcement_category," ","")&amp;",")))=COUNTA(TEXTSPLIT(AE179,",")))))</f>
        <v/>
      </c>
      <c r="IV179">
        <f>AND(IF(AG179="",TRUE,IF(input_area_of_focus="",FALSE,SUMPRODUCT(--ISNUMBER(SEARCH(","&amp;TRIM(TEXTSPLIT(AG179,","))&amp;",",","&amp;SUBSTITUTE(input_area_of_focus," ","")&amp;",")))&gt;0)),IF(AI179="",TRUE,IF(input_area_of_focus="",FALSE,SUMPRODUCT(--ISNUMBER(SEARCH(","&amp;TRIM(TEXTSPLIT(AI179,","))&amp;",",","&amp;SUBSTITUTE(input_area_of_focus," ","")&amp;",")))=COUNTA(TEXTSPLIT(AI179,",")))),IF(AK179="",TRUE,IF(input_area_of_focus="",TRUE,SUMPRODUCT(--ISNUMBER(SEARCH(","&amp;TRIM(TEXTSPLIT(AK179,","))&amp;",",","&amp;SUBSTITUTE(input_area_of_focus," ","")&amp;",")))=0)),IF(AM179="",TRUE,IF(input_area_of_focus="",FALSE,SUMPRODUCT(--ISNUMBER(SEARCH(","&amp;TRIM(TEXTSPLIT(AM179,","))&amp;",",","&amp;SUBSTITUTE(input_area_of_focus," ","")&amp;",")))&gt;0)),IF(AO179="",TRUE,IF(input_area_of_focus="",FALSE,SUMPRODUCT(--ISNUMBER(SEARCH(","&amp;TRIM(TEXTSPLIT(AO179,","))&amp;",",","&amp;SUBSTITUTE(input_area_of_focus," ","")&amp;",")))=COUNTA(TEXTSPLIT(AO179,",")))))</f>
        <v/>
      </c>
      <c r="IW179">
        <f>AND(IF(AQ179="",TRUE,IF(input_audience="",FALSE,SUMPRODUCT(--ISNUMBER(SEARCH(","&amp;TRIM(TEXTSPLIT(AQ179,","))&amp;",",","&amp;SUBSTITUTE(input_audience," ","")&amp;",")))&gt;0)),IF(AS179="",TRUE,IF(input_audience="",FALSE,SUMPRODUCT(--ISNUMBER(SEARCH(","&amp;TRIM(TEXTSPLIT(AS179,","))&amp;",",","&amp;SUBSTITUTE(input_audience," ","")&amp;",")))=COUNTA(TEXTSPLIT(AS179,",")))),IF(AU179="",TRUE,IF(input_audience="",TRUE,SUMPRODUCT(--ISNUMBER(SEARCH(","&amp;TRIM(TEXTSPLIT(AU179,","))&amp;",",","&amp;SUBSTITUTE(input_audience," ","")&amp;",")))=0)),IF(AW179="",TRUE,IF(input_audience="",FALSE,SUMPRODUCT(--ISNUMBER(SEARCH(","&amp;TRIM(TEXTSPLIT(AW179,","))&amp;",",","&amp;SUBSTITUTE(input_audience," ","")&amp;",")))&gt;0)),IF(AY179="",TRUE,IF(input_audience="",FALSE,SUMPRODUCT(--ISNUMBER(SEARCH(","&amp;TRIM(TEXTSPLIT(AY179,","))&amp;",",","&amp;SUBSTITUTE(input_audience," ","")&amp;",")))=COUNTA(TEXTSPLIT(AY179,",")))))</f>
        <v/>
      </c>
      <c r="IX179">
        <f>AND(IF(BA179="",TRUE,IF(input_challenge_opportunities="",FALSE,SUMPRODUCT(--ISNUMBER(SEARCH(","&amp;TRIM(TEXTSPLIT(BA179,","))&amp;",",","&amp;SUBSTITUTE(input_challenge_opportunities," ","")&amp;",")))&gt;0)),IF(BC179="",TRUE,IF(input_challenge_opportunities="",FALSE,SUMPRODUCT(--ISNUMBER(SEARCH(","&amp;TRIM(TEXTSPLIT(BC179,","))&amp;",",","&amp;SUBSTITUTE(input_challenge_opportunities," ","")&amp;",")))=COUNTA(TEXTSPLIT(BC179,",")))),IF(BE179="",TRUE,IF(input_challenge_opportunities="",TRUE,SUMPRODUCT(--ISNUMBER(SEARCH(","&amp;TRIM(TEXTSPLIT(BE179,","))&amp;",",","&amp;SUBSTITUTE(input_challenge_opportunities," ","")&amp;",")))=0)),IF(BG179="",TRUE,IF(input_challenge_opportunities="",FALSE,SUMPRODUCT(--ISNUMBER(SEARCH(","&amp;TRIM(TEXTSPLIT(BG179,","))&amp;",",","&amp;SUBSTITUTE(input_challenge_opportunities," ","")&amp;",")))&gt;0)),IF(BI179="",TRUE,IF(input_challenge_opportunities="",FALSE,SUMPRODUCT(--ISNUMBER(SEARCH(","&amp;TRIM(TEXTSPLIT(BI179,","))&amp;",",","&amp;SUBSTITUTE(input_challenge_opportunities," ","")&amp;",")))=COUNTA(TEXTSPLIT(BI179,",")))))</f>
        <v/>
      </c>
      <c r="IY179">
        <f>AND(IF(BK179="",TRUE,IF(input_context="",FALSE,SUMPRODUCT(--ISNUMBER(SEARCH(","&amp;TRIM(TEXTSPLIT(BK179,","))&amp;",",","&amp;SUBSTITUTE(input_context," ","")&amp;",")))&gt;0)),IF(BM179="",TRUE,IF(input_context="",FALSE,SUMPRODUCT(--ISNUMBER(SEARCH(","&amp;TRIM(TEXTSPLIT(BM179,","))&amp;",",","&amp;SUBSTITUTE(input_context," ","")&amp;",")))=COUNTA(TEXTSPLIT(BM179,",")))),IF(BO179="",TRUE,IF(input_context="",TRUE,SUMPRODUCT(--ISNUMBER(SEARCH(","&amp;TRIM(TEXTSPLIT(BO179,","))&amp;",",","&amp;SUBSTITUTE(input_context," ","")&amp;",")))=0)),IF(BQ179="",TRUE,IF(input_context="",FALSE,SUMPRODUCT(--ISNUMBER(SEARCH(","&amp;TRIM(TEXTSPLIT(BQ179,","))&amp;",",","&amp;SUBSTITUTE(input_context," ","")&amp;",")))&gt;0)),IF(BS179="",TRUE,IF(input_context="",FALSE,SUMPRODUCT(--ISNUMBER(SEARCH(","&amp;TRIM(TEXTSPLIT(BS179,","))&amp;",",","&amp;SUBSTITUTE(input_context," ","")&amp;",")))=COUNTA(TEXTSPLIT(BS179,",")))))</f>
        <v/>
      </c>
      <c r="IZ179">
        <f>AND(IF(BU179="",TRUE,IF(input_enews_announcement_type="",FALSE,SUMPRODUCT(--ISNUMBER(SEARCH(","&amp;TRIM(TEXTSPLIT(BU179,","))&amp;",",","&amp;SUBSTITUTE(input_enews_announcement_type," ","")&amp;",")))&gt;0)),IF(BW179="",TRUE,IF(input_enews_announcement_type="",FALSE,SUMPRODUCT(--ISNUMBER(SEARCH(","&amp;TRIM(TEXTSPLIT(BW179,","))&amp;",",","&amp;SUBSTITUTE(input_enews_announcement_type," ","")&amp;",")))=COUNTA(TEXTSPLIT(BW179,",")))),IF(BY179="",TRUE,IF(input_enews_announcement_type="",TRUE,SUMPRODUCT(--ISNUMBER(SEARCH(","&amp;TRIM(TEXTSPLIT(BY179,","))&amp;",",","&amp;SUBSTITUTE(input_enews_announcement_type," ","")&amp;",")))=0)),IF(CA179="",TRUE,IF(input_enews_announcement_type="",FALSE,SUMPRODUCT(--ISNUMBER(SEARCH(","&amp;TRIM(TEXTSPLIT(CA179,","))&amp;",",","&amp;SUBSTITUTE(input_enews_announcement_type," ","")&amp;",")))&gt;0)),IF(CC179="",TRUE,IF(input_enews_announcement_type="",FALSE,SUMPRODUCT(--ISNUMBER(SEARCH(","&amp;TRIM(TEXTSPLIT(CC179,","))&amp;",",","&amp;SUBSTITUTE(input_enews_announcement_type," ","")&amp;",")))=COUNTA(TEXTSPLIT(CC179,",")))))</f>
        <v/>
      </c>
      <c r="JA179">
        <f>AND(IF(CE179="",TRUE,IF(input_enews_audience="",FALSE,SUMPRODUCT(--ISNUMBER(SEARCH(","&amp;TRIM(TEXTSPLIT(CE179,","))&amp;",",","&amp;SUBSTITUTE(input_enews_audience," ","")&amp;",")))&gt;0)),IF(CG179="",TRUE,IF(input_enews_audience="",FALSE,SUMPRODUCT(--ISNUMBER(SEARCH(","&amp;TRIM(TEXTSPLIT(CG179,","))&amp;",",","&amp;SUBSTITUTE(input_enews_audience," ","")&amp;",")))=COUNTA(TEXTSPLIT(CG179,",")))),IF(CI179="",TRUE,IF(input_enews_audience="",TRUE,SUMPRODUCT(--ISNUMBER(SEARCH(","&amp;TRIM(TEXTSPLIT(CI179,","))&amp;",",","&amp;SUBSTITUTE(input_enews_audience," ","")&amp;",")))=0)),IF(CK179="",TRUE,IF(input_enews_audience="",FALSE,SUMPRODUCT(--ISNUMBER(SEARCH(","&amp;TRIM(TEXTSPLIT(CK179,","))&amp;",",","&amp;SUBSTITUTE(input_enews_audience," ","")&amp;",")))&gt;0)),IF(CM179="",TRUE,IF(input_enews_audience="",FALSE,SUMPRODUCT(--ISNUMBER(SEARCH(","&amp;TRIM(TEXTSPLIT(CM179,","))&amp;",",","&amp;SUBSTITUTE(input_enews_audience," ","")&amp;",")))=COUNTA(TEXTSPLIT(CM179,",")))))</f>
        <v/>
      </c>
      <c r="JB179">
        <f>AND(IF(CO179="",TRUE,IF(input_event_location="",FALSE,SUMPRODUCT(--ISNUMBER(SEARCH(","&amp;TRIM(TEXTSPLIT(CO179,","))&amp;",",","&amp;SUBSTITUTE(input_event_location," ","")&amp;",")))&gt;0)),IF(CQ179="",TRUE,IF(input_event_location="",FALSE,SUMPRODUCT(--ISNUMBER(SEARCH(","&amp;TRIM(TEXTSPLIT(CQ179,","))&amp;",",","&amp;SUBSTITUTE(input_event_location," ","")&amp;",")))=COUNTA(TEXTSPLIT(CQ179,",")))),IF(CS179="",TRUE,IF(input_event_location="",TRUE,SUMPRODUCT(--ISNUMBER(SEARCH(","&amp;TRIM(TEXTSPLIT(CS179,","))&amp;",",","&amp;SUBSTITUTE(input_event_location," ","")&amp;",")))=0)),IF(CU179="",TRUE,IF(input_event_location="",FALSE,SUMPRODUCT(--ISNUMBER(SEARCH(","&amp;TRIM(TEXTSPLIT(CU179,","))&amp;",",","&amp;SUBSTITUTE(input_event_location," ","")&amp;",")))&gt;0)),IF(CW179="",TRUE,IF(input_event_location="",FALSE,SUMPRODUCT(--ISNUMBER(SEARCH(","&amp;TRIM(TEXTSPLIT(CW179,","))&amp;",",","&amp;SUBSTITUTE(input_event_location," ","")&amp;",")))=COUNTA(TEXTSPLIT(CW179,",")))))</f>
        <v/>
      </c>
      <c r="JC179">
        <f>AND(IF(CY179="",TRUE,IF(input_event_type="",FALSE,SUMPRODUCT(--ISNUMBER(SEARCH(","&amp;TRIM(TEXTSPLIT(CY179,","))&amp;",",","&amp;SUBSTITUTE(input_event_type," ","")&amp;",")))&gt;0)),IF(DA179="",TRUE,IF(input_event_type="",FALSE,SUMPRODUCT(--ISNUMBER(SEARCH(","&amp;TRIM(TEXTSPLIT(DA179,","))&amp;",",","&amp;SUBSTITUTE(input_event_type," ","")&amp;",")))=COUNTA(TEXTSPLIT(DA179,",")))),IF(DC179="",TRUE,IF(input_event_type="",TRUE,SUMPRODUCT(--ISNUMBER(SEARCH(","&amp;TRIM(TEXTSPLIT(DC179,","))&amp;",",","&amp;SUBSTITUTE(input_event_type," ","")&amp;",")))=0)),IF(DE179="",TRUE,IF(input_event_type="",FALSE,SUMPRODUCT(--ISNUMBER(SEARCH(","&amp;TRIM(TEXTSPLIT(DE179,","))&amp;",",","&amp;SUBSTITUTE(input_event_type," ","")&amp;",")))&gt;0)),IF(DG179="",TRUE,IF(input_event_type="",FALSE,SUMPRODUCT(--ISNUMBER(SEARCH(","&amp;TRIM(TEXTSPLIT(DG179,","))&amp;",",","&amp;SUBSTITUTE(input_event_type," ","")&amp;",")))=COUNTA(TEXTSPLIT(DG179,",")))))</f>
        <v/>
      </c>
      <c r="JD179">
        <f>AND(IF(DI179="",TRUE,IF(input_executive_education_focus="",FALSE,SUMPRODUCT(--ISNUMBER(SEARCH(","&amp;TRIM(TEXTSPLIT(DI179,","))&amp;",",","&amp;SUBSTITUTE(input_executive_education_focus," ","")&amp;",")))&gt;0)),IF(DK179="",TRUE,IF(input_executive_education_focus="",FALSE,SUMPRODUCT(--ISNUMBER(SEARCH(","&amp;TRIM(TEXTSPLIT(DK179,","))&amp;",",","&amp;SUBSTITUTE(input_executive_education_focus," ","")&amp;",")))=COUNTA(TEXTSPLIT(DK179,",")))),IF(DM179="",TRUE,IF(input_executive_education_focus="",TRUE,SUMPRODUCT(--ISNUMBER(SEARCH(","&amp;TRIM(TEXTSPLIT(DM179,","))&amp;",",","&amp;SUBSTITUTE(input_executive_education_focus," ","")&amp;",")))=0)),IF(DO179="",TRUE,IF(input_executive_education_focus="",FALSE,SUMPRODUCT(--ISNUMBER(SEARCH(","&amp;TRIM(TEXTSPLIT(DO179,","))&amp;",",","&amp;SUBSTITUTE(input_executive_education_focus," ","")&amp;",")))&gt;0)),IF(DQ179="",TRUE,IF(input_executive_education_focus="",FALSE,SUMPRODUCT(--ISNUMBER(SEARCH(","&amp;TRIM(TEXTSPLIT(DQ179,","))&amp;",",","&amp;SUBSTITUTE(input_executive_education_focus," ","")&amp;",")))=COUNTA(TEXTSPLIT(DQ179,",")))))</f>
        <v/>
      </c>
      <c r="JE179">
        <f>AND(IF(DS179="",TRUE,IF(input_faculty_category="",FALSE,SUMPRODUCT(--ISNUMBER(SEARCH(","&amp;TRIM(TEXTSPLIT(DS179,","))&amp;",",","&amp;SUBSTITUTE(input_faculty_category," ","")&amp;",")))&gt;0)),IF(DU179="",TRUE,IF(input_faculty_category="",FALSE,SUMPRODUCT(--ISNUMBER(SEARCH(","&amp;TRIM(TEXTSPLIT(DU179,","))&amp;",",","&amp;SUBSTITUTE(input_faculty_category," ","")&amp;",")))=COUNTA(TEXTSPLIT(DU179,",")))),IF(DW179="",TRUE,IF(input_faculty_category="",TRUE,SUMPRODUCT(--ISNUMBER(SEARCH(","&amp;TRIM(TEXTSPLIT(DW179,","))&amp;",",","&amp;SUBSTITUTE(input_faculty_category," ","")&amp;",")))=0)),IF(DY179="",TRUE,IF(input_faculty_category="",FALSE,SUMPRODUCT(--ISNUMBER(SEARCH(","&amp;TRIM(TEXTSPLIT(DY179,","))&amp;",",","&amp;SUBSTITUTE(input_faculty_category," ","")&amp;",")))&gt;0)),IF(EA179="",TRUE,IF(input_faculty_category="",FALSE,SUMPRODUCT(--ISNUMBER(SEARCH(","&amp;TRIM(TEXTSPLIT(EA179,","))&amp;",",","&amp;SUBSTITUTE(input_faculty_category," ","")&amp;",")))=COUNTA(TEXTSPLIT(EA179,",")))))</f>
        <v/>
      </c>
      <c r="JF179">
        <f>AND(IF(EC179="",TRUE,IF(input_faculty_discipline="",FALSE,SUMPRODUCT(--ISNUMBER(SEARCH(","&amp;TRIM(TEXTSPLIT(EC179,","))&amp;",",","&amp;SUBSTITUTE(input_faculty_discipline," ","")&amp;",")))&gt;0)),IF(EE179="",TRUE,IF(input_faculty_discipline="",FALSE,SUMPRODUCT(--ISNUMBER(SEARCH(","&amp;TRIM(TEXTSPLIT(EE179,","))&amp;",",","&amp;SUBSTITUTE(input_faculty_discipline," ","")&amp;",")))=COUNTA(TEXTSPLIT(EE179,",")))),IF(EG179="",TRUE,IF(input_faculty_discipline="",TRUE,SUMPRODUCT(--ISNUMBER(SEARCH(","&amp;TRIM(TEXTSPLIT(EG179,","))&amp;",",","&amp;SUBSTITUTE(input_faculty_discipline," ","")&amp;",")))=0)),IF(EI179="",TRUE,IF(input_faculty_discipline="",FALSE,SUMPRODUCT(--ISNUMBER(SEARCH(","&amp;TRIM(TEXTSPLIT(EI179,","))&amp;",",","&amp;SUBSTITUTE(input_faculty_discipline," ","")&amp;",")))&gt;0)),IF(EK179="",TRUE,IF(input_faculty_discipline="",FALSE,SUMPRODUCT(--ISNUMBER(SEARCH(","&amp;TRIM(TEXTSPLIT(EK179,","))&amp;",",","&amp;SUBSTITUTE(input_faculty_discipline," ","")&amp;",")))=COUNTA(TEXTSPLIT(EK179,",")))))</f>
        <v/>
      </c>
      <c r="JG179">
        <f>AND(IF(EM179="",TRUE,IF(input_faculty_expertise="",FALSE,SUMPRODUCT(--ISNUMBER(SEARCH(","&amp;TRIM(TEXTSPLIT(EM179,","))&amp;",",","&amp;SUBSTITUTE(input_faculty_expertise," ","")&amp;",")))&gt;0)),IF(EO179="",TRUE,IF(input_faculty_expertise="",FALSE,SUMPRODUCT(--ISNUMBER(SEARCH(","&amp;TRIM(TEXTSPLIT(EO179,","))&amp;",",","&amp;SUBSTITUTE(input_faculty_expertise," ","")&amp;",")))=COUNTA(TEXTSPLIT(EO179,",")))),IF(EQ179="",TRUE,IF(input_faculty_expertise="",TRUE,SUMPRODUCT(--ISNUMBER(SEARCH(","&amp;TRIM(TEXTSPLIT(EQ179,","))&amp;",",","&amp;SUBSTITUTE(input_faculty_expertise," ","")&amp;",")))=0)),IF(ES179="",TRUE,IF(input_faculty_expertise="",FALSE,SUMPRODUCT(--ISNUMBER(SEARCH(","&amp;TRIM(TEXTSPLIT(ES179,","))&amp;",",","&amp;SUBSTITUTE(input_faculty_expertise," ","")&amp;",")))&gt;0)),IF(EU179="",TRUE,IF(input_faculty_expertise="",FALSE,SUMPRODUCT(--ISNUMBER(SEARCH(","&amp;TRIM(TEXTSPLIT(EU179,","))&amp;",",","&amp;SUBSTITUTE(input_faculty_expertise," ","")&amp;",")))=COUNTA(TEXTSPLIT(EU179,",")))))</f>
        <v/>
      </c>
      <c r="JH179">
        <f>AND(IF(EW179="",TRUE,IF(input_global_network_school="",FALSE,SUMPRODUCT(--ISNUMBER(SEARCH(","&amp;TRIM(TEXTSPLIT(EW179,","))&amp;",",","&amp;SUBSTITUTE(input_global_network_school," ","")&amp;",")))&gt;0)),IF(EY179="",TRUE,IF(input_global_network_school="",FALSE,SUMPRODUCT(--ISNUMBER(SEARCH(","&amp;TRIM(TEXTSPLIT(EY179,","))&amp;",",","&amp;SUBSTITUTE(input_global_network_school," ","")&amp;",")))=COUNTA(TEXTSPLIT(EY179,",")))),IF(FA179="",TRUE,IF(input_global_network_school="",TRUE,SUMPRODUCT(--ISNUMBER(SEARCH(","&amp;TRIM(TEXTSPLIT(FA179,","))&amp;",",","&amp;SUBSTITUTE(input_global_network_school," ","")&amp;",")))=0)),IF(FC179="",TRUE,IF(input_global_network_school="",FALSE,SUMPRODUCT(--ISNUMBER(SEARCH(","&amp;TRIM(TEXTSPLIT(FC179,","))&amp;",",","&amp;SUBSTITUTE(input_global_network_school," ","")&amp;",")))&gt;0)),IF(FE179="",TRUE,IF(input_global_network_school="",FALSE,SUMPRODUCT(--ISNUMBER(SEARCH(","&amp;TRIM(TEXTSPLIT(FE179,","))&amp;",",","&amp;SUBSTITUTE(input_global_network_school," ","")&amp;",")))=COUNTA(TEXTSPLIT(FE179,",")))))</f>
        <v/>
      </c>
      <c r="JI179">
        <f>AND(IF(FG179="",TRUE,IF(input_industry="",FALSE,SUMPRODUCT(--ISNUMBER(SEARCH(","&amp;TRIM(TEXTSPLIT(FG179,","))&amp;",",","&amp;SUBSTITUTE(input_industry," ","")&amp;",")))&gt;0)),IF(FI179="",TRUE,IF(input_industry="",FALSE,SUMPRODUCT(--ISNUMBER(SEARCH(","&amp;TRIM(TEXTSPLIT(FI179,","))&amp;",",","&amp;SUBSTITUTE(input_industry," ","")&amp;",")))=COUNTA(TEXTSPLIT(FI179,",")))),IF(FK179="",TRUE,IF(input_industry="",TRUE,SUMPRODUCT(--ISNUMBER(SEARCH(","&amp;TRIM(TEXTSPLIT(FK179,","))&amp;",",","&amp;SUBSTITUTE(input_industry," ","")&amp;",")))=0)),IF(FM179="",TRUE,IF(input_industry="",FALSE,SUMPRODUCT(--ISNUMBER(SEARCH(","&amp;TRIM(TEXTSPLIT(FM179,","))&amp;",",","&amp;SUBSTITUTE(input_industry," ","")&amp;",")))&gt;0)),IF(FO179="",TRUE,IF(input_industry="",FALSE,SUMPRODUCT(--ISNUMBER(SEARCH(","&amp;TRIM(TEXTSPLIT(FO179,","))&amp;",",","&amp;SUBSTITUTE(input_industry," ","")&amp;",")))=COUNTA(TEXTSPLIT(FO179,",")))))</f>
        <v/>
      </c>
      <c r="JJ179">
        <f>AND(IF(FQ179="",TRUE,IF(input_location="",FALSE,SUMPRODUCT(--ISNUMBER(SEARCH(","&amp;TRIM(TEXTSPLIT(FQ179,","))&amp;",",","&amp;SUBSTITUTE(input_location," ","")&amp;",")))&gt;0)),IF(FS179="",TRUE,IF(input_location="",FALSE,SUMPRODUCT(--ISNUMBER(SEARCH(","&amp;TRIM(TEXTSPLIT(FS179,","))&amp;",",","&amp;SUBSTITUTE(input_location," ","")&amp;",")))=COUNTA(TEXTSPLIT(FS179,",")))),IF(FU179="",TRUE,IF(input_location="",TRUE,SUMPRODUCT(--ISNUMBER(SEARCH(","&amp;TRIM(TEXTSPLIT(FU179,","))&amp;",",","&amp;SUBSTITUTE(input_location," ","")&amp;",")))=0)),IF(FW179="",TRUE,IF(input_location="",FALSE,SUMPRODUCT(--ISNUMBER(SEARCH(","&amp;TRIM(TEXTSPLIT(FW179,","))&amp;",",","&amp;SUBSTITUTE(input_location," ","")&amp;",")))&gt;0)),IF(FY179="",TRUE,IF(input_location="",FALSE,SUMPRODUCT(--ISNUMBER(SEARCH(","&amp;TRIM(TEXTSPLIT(FY179,","))&amp;",",","&amp;SUBSTITUTE(input_location," ","")&amp;",")))=COUNTA(TEXTSPLIT(FY179,",")))))</f>
        <v/>
      </c>
      <c r="JK179">
        <f>AND(IF(GA179="",TRUE,IF(input_modality="",FALSE,SUMPRODUCT(--ISNUMBER(SEARCH(","&amp;TRIM(TEXTSPLIT(GA179,","))&amp;",",","&amp;SUBSTITUTE(input_modality," ","")&amp;",")))&gt;0)),IF(GC179="",TRUE,IF(input_modality="",FALSE,SUMPRODUCT(--ISNUMBER(SEARCH(","&amp;TRIM(TEXTSPLIT(GC179,","))&amp;",",","&amp;SUBSTITUTE(input_modality," ","")&amp;",")))=COUNTA(TEXTSPLIT(GC179,",")))),IF(GE179="",TRUE,IF(input_modality="",TRUE,SUMPRODUCT(--ISNUMBER(SEARCH(","&amp;TRIM(TEXTSPLIT(GE179,","))&amp;",",","&amp;SUBSTITUTE(input_modality," ","")&amp;",")))=0)),IF(GG179="",TRUE,IF(input_modality="",FALSE,SUMPRODUCT(--ISNUMBER(SEARCH(","&amp;TRIM(TEXTSPLIT(GG179,","))&amp;",",","&amp;SUBSTITUTE(input_modality," ","")&amp;",")))&gt;0)),IF(GI179="",TRUE,IF(input_modality="",FALSE,SUMPRODUCT(--ISNUMBER(SEARCH(","&amp;TRIM(TEXTSPLIT(GI179,","))&amp;",",","&amp;SUBSTITUTE(input_modality," ","")&amp;",")))=COUNTA(TEXTSPLIT(GI179,",")))))</f>
        <v/>
      </c>
      <c r="JL179">
        <f>AND(IF(GK179="",TRUE,IF(input_organizer="",FALSE,SUMPRODUCT(--ISNUMBER(SEARCH(","&amp;TRIM(TEXTSPLIT(GK179,","))&amp;",",","&amp;SUBSTITUTE(input_organizer," ","")&amp;",")))&gt;0)),IF(GM179="",TRUE,IF(input_organizer="",FALSE,SUMPRODUCT(--ISNUMBER(SEARCH(","&amp;TRIM(TEXTSPLIT(GM179,","))&amp;",",","&amp;SUBSTITUTE(input_organizer," ","")&amp;",")))=COUNTA(TEXTSPLIT(GM179,",")))),IF(GO179="",TRUE,IF(input_organizer="",TRUE,SUMPRODUCT(--ISNUMBER(SEARCH(","&amp;TRIM(TEXTSPLIT(GO179,","))&amp;",",","&amp;SUBSTITUTE(input_organizer," ","")&amp;",")))=0)),IF(GQ179="",TRUE,IF(input_organizer="",FALSE,SUMPRODUCT(--ISNUMBER(SEARCH(","&amp;TRIM(TEXTSPLIT(GQ179,","))&amp;",",","&amp;SUBSTITUTE(input_organizer," ","")&amp;",")))&gt;0)),IF(GS179="",TRUE,IF(input_organizer="",FALSE,SUMPRODUCT(--ISNUMBER(SEARCH(","&amp;TRIM(TEXTSPLIT(GS179,","))&amp;",",","&amp;SUBSTITUTE(input_organizer," ","")&amp;",")))=COUNTA(TEXTSPLIT(GS179,",")))))</f>
        <v/>
      </c>
      <c r="JM179">
        <f>AND(IF(GU179="",TRUE,IF(input_profile_type="",FALSE,SUMPRODUCT(--ISNUMBER(SEARCH(","&amp;TRIM(TEXTSPLIT(GU179,","))&amp;",",","&amp;SUBSTITUTE(input_profile_type," ","")&amp;",")))&gt;0)),IF(GW179="",TRUE,IF(input_profile_type="",FALSE,SUMPRODUCT(--ISNUMBER(SEARCH(","&amp;TRIM(TEXTSPLIT(GW179,","))&amp;",",","&amp;SUBSTITUTE(input_profile_type," ","")&amp;",")))=COUNTA(TEXTSPLIT(GW179,",")))),IF(GY179="",TRUE,IF(input_profile_type="",TRUE,SUMPRODUCT(--ISNUMBER(SEARCH(","&amp;TRIM(TEXTSPLIT(GY179,","))&amp;",",","&amp;SUBSTITUTE(input_profile_type," ","")&amp;",")))=0)),IF(HA179="",TRUE,IF(input_profile_type="",FALSE,SUMPRODUCT(--ISNUMBER(SEARCH(","&amp;TRIM(TEXTSPLIT(HA179,","))&amp;",",","&amp;SUBSTITUTE(input_profile_type," ","")&amp;",")))&gt;0)),IF(HC179="",TRUE,IF(input_profile_type="",FALSE,SUMPRODUCT(--ISNUMBER(SEARCH(","&amp;TRIM(TEXTSPLIT(HC179,","))&amp;",",","&amp;SUBSTITUTE(input_profile_type," ","")&amp;",")))=COUNTA(TEXTSPLIT(HC179,",")))))</f>
        <v/>
      </c>
      <c r="JN179">
        <f>AND(IF(HE179="",TRUE,IF(input_program="",FALSE,SUMPRODUCT(--ISNUMBER(SEARCH(","&amp;TRIM(TEXTSPLIT(HE179,","))&amp;",",","&amp;SUBSTITUTE(input_program," ","")&amp;",")))&gt;0)),IF(HG179="",TRUE,IF(input_program="",FALSE,SUMPRODUCT(--ISNUMBER(SEARCH(","&amp;TRIM(TEXTSPLIT(HG179,","))&amp;",",","&amp;SUBSTITUTE(input_program," ","")&amp;",")))=COUNTA(TEXTSPLIT(HG179,",")))),IF(HI179="",TRUE,IF(input_program="",TRUE,SUMPRODUCT(--ISNUMBER(SEARCH(","&amp;TRIM(TEXTSPLIT(HI179,","))&amp;",",","&amp;SUBSTITUTE(input_program," ","")&amp;",")))=0)),IF(HK179="",TRUE,IF(input_program="",FALSE,SUMPRODUCT(--ISNUMBER(SEARCH(","&amp;TRIM(TEXTSPLIT(HK179,","))&amp;",",","&amp;SUBSTITUTE(input_program," ","")&amp;",")))&gt;0)),IF(HM179="",TRUE,IF(input_program="",FALSE,SUMPRODUCT(--ISNUMBER(SEARCH(","&amp;TRIM(TEXTSPLIT(HM179,","))&amp;",",","&amp;SUBSTITUTE(input_program," ","")&amp;",")))=COUNTA(TEXTSPLIT(HM179,",")))))</f>
        <v/>
      </c>
      <c r="JO179">
        <f>AND(IF(HO179="",TRUE,IF(input_story_categories="",FALSE,SUMPRODUCT(--ISNUMBER(SEARCH(","&amp;TRIM(TEXTSPLIT(HO179,","))&amp;",",","&amp;SUBSTITUTE(input_story_categories," ","")&amp;",")))&gt;0)),IF(HQ179="",TRUE,IF(input_story_categories="",FALSE,SUMPRODUCT(--ISNUMBER(SEARCH(","&amp;TRIM(TEXTSPLIT(HQ179,","))&amp;",",","&amp;SUBSTITUTE(input_story_categories," ","")&amp;",")))=COUNTA(TEXTSPLIT(HQ179,",")))),IF(HS179="",TRUE,IF(input_story_categories="",TRUE,SUMPRODUCT(--ISNUMBER(SEARCH(","&amp;TRIM(TEXTSPLIT(HS179,","))&amp;",",","&amp;SUBSTITUTE(input_story_categories," ","")&amp;",")))=0)),IF(HU179="",TRUE,IF(input_story_categories="",FALSE,SUMPRODUCT(--ISNUMBER(SEARCH(","&amp;TRIM(TEXTSPLIT(HU179,","))&amp;",",","&amp;SUBSTITUTE(input_story_categories," ","")&amp;",")))&gt;0)),IF(HW179="",TRUE,IF(input_story_categories="",FALSE,SUMPRODUCT(--ISNUMBER(SEARCH(","&amp;TRIM(TEXTSPLIT(HW179,","))&amp;",",","&amp;SUBSTITUTE(input_story_categories," ","")&amp;",")))=COUNTA(TEXTSPLIT(HW179,",")))))</f>
        <v/>
      </c>
      <c r="JP179">
        <f>AND(IF(HY179="",TRUE,IF(input_story_type="",FALSE,SUMPRODUCT(--ISNUMBER(SEARCH(","&amp;TRIM(TEXTSPLIT(HY179,","))&amp;",",","&amp;SUBSTITUTE(input_story_type," ","")&amp;",")))&gt;0)),IF(IA179="",TRUE,IF(input_story_type="",FALSE,SUMPRODUCT(--ISNUMBER(SEARCH(","&amp;TRIM(TEXTSPLIT(IA179,","))&amp;",",","&amp;SUBSTITUTE(input_story_type," ","")&amp;",")))=COUNTA(TEXTSPLIT(IA179,",")))),IF(IC179="",TRUE,IF(input_story_type="",TRUE,SUMPRODUCT(--ISNUMBER(SEARCH(","&amp;TRIM(TEXTSPLIT(IC179,","))&amp;",",","&amp;SUBSTITUTE(input_story_type," ","")&amp;",")))=0)),IF(IE179="",TRUE,IF(input_story_type="",FALSE,SUMPRODUCT(--ISNUMBER(SEARCH(","&amp;TRIM(TEXTSPLIT(IE179,","))&amp;",",","&amp;SUBSTITUTE(input_story_type," ","")&amp;",")))&gt;0)),IF(IG179="",TRUE,IF(input_story_type="",FALSE,SUMPRODUCT(--ISNUMBER(SEARCH(","&amp;TRIM(TEXTSPLIT(IG179,","))&amp;",",","&amp;SUBSTITUTE(input_story_type," ","")&amp;",")))=COUNTA(TEXTSPLIT(IG179,",")))))</f>
        <v/>
      </c>
      <c r="JQ179">
        <f>AND(IF(II179="",TRUE,IF(input_topics="",FALSE,SUMPRODUCT(--ISNUMBER(SEARCH(","&amp;TRIM(TEXTSPLIT(II179,","))&amp;",",","&amp;SUBSTITUTE(input_topics," ","")&amp;",")))&gt;0)),IF(IK179="",TRUE,IF(input_topics="",FALSE,SUMPRODUCT(--ISNUMBER(SEARCH(","&amp;TRIM(TEXTSPLIT(IK179,","))&amp;",",","&amp;SUBSTITUTE(input_topics," ","")&amp;",")))=COUNTA(TEXTSPLIT(IK179,",")))),IF(IM179="",TRUE,IF(input_topics="",TRUE,SUMPRODUCT(--ISNUMBER(SEARCH(","&amp;TRIM(TEXTSPLIT(IM179,","))&amp;",",","&amp;SUBSTITUTE(input_topics," ","")&amp;",")))=0)),IF(IO179="",TRUE,IF(input_topics="",FALSE,SUMPRODUCT(--ISNUMBER(SEARCH(","&amp;TRIM(TEXTSPLIT(IO179,","))&amp;",",","&amp;SUBSTITUTE(input_topics," ","")&amp;",")))&gt;0)),IF(IQ179="",TRUE,IF(input_topics="",FALSE,SUMPRODUCT(--ISNUMBER(SEARCH(","&amp;TRIM(TEXTSPLIT(IQ179,","))&amp;",",","&amp;SUBSTITUTE(input_topics," ","")&amp;",")))=COUNTA(TEXTSPLIT(IQ179,",")))))</f>
        <v/>
      </c>
    </row>
    <row r="180">
      <c r="A180" s="4">
        <f>IF(NOT(IS180),"Excluded",IF(AND(IT180,IU180,IV180,IW180,IX180,IY180,IZ180,JA180,JB180,JC180,JD180,JE180,JF180,JG180,JH180,JI180,JJ180,JK180,JL180,JM180,JN180,JO180,JP180,JQ180),IF(I180&gt;0,"Eligible but limited","Will appear"),"Excluded"))</f>
        <v/>
      </c>
      <c r="B180" s="4" t="inlineStr">
        <is>
          <t>Related stories</t>
        </is>
      </c>
      <c r="C180" s="4" t="inlineStr">
        <is>
          <t>/programs/mms-global-business-and-society/admissions</t>
        </is>
      </c>
      <c r="D180" s="4" t="inlineStr">
        <is>
          <t>/programs/mms-global-business-and-society/admissions</t>
        </is>
      </c>
      <c r="E180" s="4" t="n">
        <v>1</v>
      </c>
      <c r="F180" s="4" t="inlineStr">
        <is>
          <t>story</t>
        </is>
      </c>
      <c r="G180" s="4" t="inlineStr">
        <is>
          <t>stories_teaser_cards</t>
        </is>
      </c>
      <c r="H180" s="4" t="inlineStr">
        <is>
          <t>embed_blog</t>
        </is>
      </c>
      <c r="I180" s="4" t="n">
        <v>3</v>
      </c>
      <c r="J180" s="4" t="inlineStr">
        <is>
          <t>Section inferred</t>
        </is>
      </c>
      <c r="K180" s="4" t="inlineStr">
        <is>
          <t>Page placement</t>
        </is>
      </c>
      <c r="L180" s="4" t="inlineStr">
        <is>
          <t>Content type: story; Context uses Courses Context: Master's Degree in Global Business and Society (950); Needs any Story Type: Blog (974); Limited to 3 item(s); Source: Section inferred</t>
        </is>
      </c>
      <c r="M180" t="inlineStr"/>
      <c r="N180" t="inlineStr"/>
      <c r="O180" t="inlineStr"/>
      <c r="P180" t="inlineStr"/>
      <c r="Q180" t="inlineStr"/>
      <c r="R180" t="inlineStr"/>
      <c r="S180" t="inlineStr"/>
      <c r="T180" t="inlineStr"/>
      <c r="U180" t="inlineStr"/>
      <c r="V180" t="inlineStr"/>
      <c r="W180" t="inlineStr"/>
      <c r="X180" t="inlineStr"/>
      <c r="Y180" t="inlineStr"/>
      <c r="Z180" t="inlineStr"/>
      <c r="AA180" t="inlineStr"/>
      <c r="AB180" t="inlineStr"/>
      <c r="AC180" t="inlineStr"/>
      <c r="AD180" t="inlineStr"/>
      <c r="AE180" t="inlineStr"/>
      <c r="AF180" t="inlineStr"/>
      <c r="AG180" t="inlineStr"/>
      <c r="AH180" t="inlineStr"/>
      <c r="AI180" t="inlineStr"/>
      <c r="AJ180" t="inlineStr"/>
      <c r="AK180" t="inlineStr"/>
      <c r="AL180" t="inlineStr"/>
      <c r="AM180" t="inlineStr"/>
      <c r="AN180" t="inlineStr"/>
      <c r="AO180" t="inlineStr"/>
      <c r="AP180" t="inlineStr"/>
      <c r="AQ180" t="inlineStr"/>
      <c r="AR180" t="inlineStr"/>
      <c r="AS180" t="inlineStr"/>
      <c r="AT180" t="inlineStr"/>
      <c r="AU180" t="inlineStr"/>
      <c r="AV180" t="inlineStr"/>
      <c r="AW180" t="inlineStr"/>
      <c r="AX180" t="inlineStr"/>
      <c r="AY180" t="inlineStr"/>
      <c r="AZ180" t="inlineStr"/>
      <c r="BA180" t="inlineStr"/>
      <c r="BB180" t="inlineStr"/>
      <c r="BC180" t="inlineStr"/>
      <c r="BD180" t="inlineStr"/>
      <c r="BE180" t="inlineStr"/>
      <c r="BF180" t="inlineStr"/>
      <c r="BG180" t="inlineStr"/>
      <c r="BH180" t="inlineStr"/>
      <c r="BI180" t="inlineStr"/>
      <c r="BJ180" t="inlineStr"/>
      <c r="BK180" t="inlineStr"/>
      <c r="BL180" t="inlineStr"/>
      <c r="BM180" t="inlineStr"/>
      <c r="BN180" t="inlineStr"/>
      <c r="BO180" t="inlineStr"/>
      <c r="BP180" t="inlineStr"/>
      <c r="BQ180" t="inlineStr">
        <is>
          <t>950</t>
        </is>
      </c>
      <c r="BR180" t="inlineStr">
        <is>
          <t>Master's Degree in Global Business and Society (950)</t>
        </is>
      </c>
      <c r="BS180" t="inlineStr"/>
      <c r="BT180" t="inlineStr"/>
      <c r="BU180" t="inlineStr"/>
      <c r="BV180" t="inlineStr"/>
      <c r="BW180" t="inlineStr"/>
      <c r="BX180" t="inlineStr"/>
      <c r="BY180" t="inlineStr"/>
      <c r="BZ180" t="inlineStr"/>
      <c r="CA180" t="inlineStr"/>
      <c r="CB180" t="inlineStr"/>
      <c r="CC180" t="inlineStr"/>
      <c r="CD180" t="inlineStr"/>
      <c r="CE180" t="inlineStr"/>
      <c r="CF180" t="inlineStr"/>
      <c r="CG180" t="inlineStr"/>
      <c r="CH180" t="inlineStr"/>
      <c r="CI180" t="inlineStr"/>
      <c r="CJ180" t="inlineStr"/>
      <c r="CK180" t="inlineStr"/>
      <c r="CL180" t="inlineStr"/>
      <c r="CM180" t="inlineStr"/>
      <c r="CN180" t="inlineStr"/>
      <c r="CO180" t="inlineStr"/>
      <c r="CP180" t="inlineStr"/>
      <c r="CQ180" t="inlineStr"/>
      <c r="CR180" t="inlineStr"/>
      <c r="CS180" t="inlineStr"/>
      <c r="CT180" t="inlineStr"/>
      <c r="CU180" t="inlineStr"/>
      <c r="CV180" t="inlineStr"/>
      <c r="CW180" t="inlineStr"/>
      <c r="CX180" t="inlineStr"/>
      <c r="CY180" t="inlineStr"/>
      <c r="CZ180" t="inlineStr"/>
      <c r="DA180" t="inlineStr"/>
      <c r="DB180" t="inlineStr"/>
      <c r="DC180" t="inlineStr"/>
      <c r="DD180" t="inlineStr"/>
      <c r="DE180" t="inlineStr"/>
      <c r="DF180" t="inlineStr"/>
      <c r="DG180" t="inlineStr"/>
      <c r="DH180" t="inlineStr"/>
      <c r="DI180" t="inlineStr"/>
      <c r="DJ180" t="inlineStr"/>
      <c r="DK180" t="inlineStr"/>
      <c r="DL180" t="inlineStr"/>
      <c r="DM180" t="inlineStr"/>
      <c r="DN180" t="inlineStr"/>
      <c r="DO180" t="inlineStr"/>
      <c r="DP180" t="inlineStr"/>
      <c r="DQ180" t="inlineStr"/>
      <c r="DR180" t="inlineStr"/>
      <c r="DS180" t="inlineStr"/>
      <c r="DT180" t="inlineStr"/>
      <c r="DU180" t="inlineStr"/>
      <c r="DV180" t="inlineStr"/>
      <c r="DW180" t="inlineStr"/>
      <c r="DX180" t="inlineStr"/>
      <c r="DY180" t="inlineStr"/>
      <c r="DZ180" t="inlineStr"/>
      <c r="EA180" t="inlineStr"/>
      <c r="EB180" t="inlineStr"/>
      <c r="EC180" t="inlineStr"/>
      <c r="ED180" t="inlineStr"/>
      <c r="EE180" t="inlineStr"/>
      <c r="EF180" t="inlineStr"/>
      <c r="EG180" t="inlineStr"/>
      <c r="EH180" t="inlineStr"/>
      <c r="EI180" t="inlineStr"/>
      <c r="EJ180" t="inlineStr"/>
      <c r="EK180" t="inlineStr"/>
      <c r="EL180" t="inlineStr"/>
      <c r="EM180" t="inlineStr"/>
      <c r="EN180" t="inlineStr"/>
      <c r="EO180" t="inlineStr"/>
      <c r="EP180" t="inlineStr"/>
      <c r="EQ180" t="inlineStr"/>
      <c r="ER180" t="inlineStr"/>
      <c r="ES180" t="inlineStr"/>
      <c r="ET180" t="inlineStr"/>
      <c r="EU180" t="inlineStr"/>
      <c r="EV180" t="inlineStr"/>
      <c r="EW180" t="inlineStr"/>
      <c r="EX180" t="inlineStr"/>
      <c r="EY180" t="inlineStr"/>
      <c r="EZ180" t="inlineStr"/>
      <c r="FA180" t="inlineStr"/>
      <c r="FB180" t="inlineStr"/>
      <c r="FC180" t="inlineStr"/>
      <c r="FD180" t="inlineStr"/>
      <c r="FE180" t="inlineStr"/>
      <c r="FF180" t="inlineStr"/>
      <c r="FG180" t="inlineStr"/>
      <c r="FH180" t="inlineStr"/>
      <c r="FI180" t="inlineStr"/>
      <c r="FJ180" t="inlineStr"/>
      <c r="FK180" t="inlineStr"/>
      <c r="FL180" t="inlineStr"/>
      <c r="FM180" t="inlineStr"/>
      <c r="FN180" t="inlineStr"/>
      <c r="FO180" t="inlineStr"/>
      <c r="FP180" t="inlineStr"/>
      <c r="FQ180" t="inlineStr"/>
      <c r="FR180" t="inlineStr"/>
      <c r="FS180" t="inlineStr"/>
      <c r="FT180" t="inlineStr"/>
      <c r="FU180" t="inlineStr"/>
      <c r="FV180" t="inlineStr"/>
      <c r="FW180" t="inlineStr"/>
      <c r="FX180" t="inlineStr"/>
      <c r="FY180" t="inlineStr"/>
      <c r="FZ180" t="inlineStr"/>
      <c r="GA180" t="inlineStr"/>
      <c r="GB180" t="inlineStr"/>
      <c r="GC180" t="inlineStr"/>
      <c r="GD180" t="inlineStr"/>
      <c r="GE180" t="inlineStr"/>
      <c r="GF180" t="inlineStr"/>
      <c r="GG180" t="inlineStr"/>
      <c r="GH180" t="inlineStr"/>
      <c r="GI180" t="inlineStr"/>
      <c r="GJ180" t="inlineStr"/>
      <c r="GK180" t="inlineStr"/>
      <c r="GL180" t="inlineStr"/>
      <c r="GM180" t="inlineStr"/>
      <c r="GN180" t="inlineStr"/>
      <c r="GO180" t="inlineStr"/>
      <c r="GP180" t="inlineStr"/>
      <c r="GQ180" t="inlineStr"/>
      <c r="GR180" t="inlineStr"/>
      <c r="GS180" t="inlineStr"/>
      <c r="GT180" t="inlineStr"/>
      <c r="GU180" t="inlineStr"/>
      <c r="GV180" t="inlineStr"/>
      <c r="GW180" t="inlineStr"/>
      <c r="GX180" t="inlineStr"/>
      <c r="GY180" t="inlineStr"/>
      <c r="GZ180" t="inlineStr"/>
      <c r="HA180" t="inlineStr"/>
      <c r="HB180" t="inlineStr"/>
      <c r="HC180" t="inlineStr"/>
      <c r="HD180" t="inlineStr"/>
      <c r="HE180" t="inlineStr"/>
      <c r="HF180" t="inlineStr"/>
      <c r="HG180" t="inlineStr"/>
      <c r="HH180" t="inlineStr"/>
      <c r="HI180" t="inlineStr"/>
      <c r="HJ180" t="inlineStr"/>
      <c r="HK180" t="inlineStr"/>
      <c r="HL180" t="inlineStr"/>
      <c r="HM180" t="inlineStr"/>
      <c r="HN180" t="inlineStr"/>
      <c r="HO180" t="inlineStr"/>
      <c r="HP180" t="inlineStr"/>
      <c r="HQ180" t="inlineStr"/>
      <c r="HR180" t="inlineStr"/>
      <c r="HS180" t="inlineStr"/>
      <c r="HT180" t="inlineStr"/>
      <c r="HU180" t="inlineStr"/>
      <c r="HV180" t="inlineStr"/>
      <c r="HW180" t="inlineStr"/>
      <c r="HX180" t="inlineStr"/>
      <c r="HY180" t="inlineStr">
        <is>
          <t>974</t>
        </is>
      </c>
      <c r="HZ180" t="inlineStr">
        <is>
          <t>Blog (974)</t>
        </is>
      </c>
      <c r="IA180" t="inlineStr"/>
      <c r="IB180" t="inlineStr"/>
      <c r="IC180" t="inlineStr"/>
      <c r="ID180" t="inlineStr"/>
      <c r="IE180" t="inlineStr"/>
      <c r="IF180" t="inlineStr"/>
      <c r="IG180" t="inlineStr"/>
      <c r="IH180" t="inlineStr"/>
      <c r="II180" t="inlineStr"/>
      <c r="IJ180" t="inlineStr"/>
      <c r="IK180" t="inlineStr"/>
      <c r="IL180" t="inlineStr"/>
      <c r="IM180" t="inlineStr"/>
      <c r="IN180" t="inlineStr"/>
      <c r="IO180" t="inlineStr"/>
      <c r="IP180" t="inlineStr"/>
      <c r="IQ180" t="inlineStr"/>
      <c r="IR180" t="inlineStr"/>
      <c r="IS180">
        <f>IF(input_content_type="",FALSE,ISNUMBER(SEARCH(","&amp;LOWER(input_content_type)&amp;",",","&amp;LOWER(F180)&amp;",")))</f>
        <v/>
      </c>
      <c r="IT180">
        <f>AND(IF(M180="",TRUE,IF(input_affiliations="",FALSE,SUMPRODUCT(--ISNUMBER(SEARCH(","&amp;TRIM(TEXTSPLIT(M180,","))&amp;",",","&amp;SUBSTITUTE(input_affiliations," ","")&amp;",")))&gt;0)),IF(O180="",TRUE,IF(input_affiliations="",FALSE,SUMPRODUCT(--ISNUMBER(SEARCH(","&amp;TRIM(TEXTSPLIT(O180,","))&amp;",",","&amp;SUBSTITUTE(input_affiliations," ","")&amp;",")))=COUNTA(TEXTSPLIT(O180,",")))),IF(Q180="",TRUE,IF(input_affiliations="",TRUE,SUMPRODUCT(--ISNUMBER(SEARCH(","&amp;TRIM(TEXTSPLIT(Q180,","))&amp;",",","&amp;SUBSTITUTE(input_affiliations," ","")&amp;",")))=0)),IF(S180="",TRUE,IF(input_affiliations="",FALSE,SUMPRODUCT(--ISNUMBER(SEARCH(","&amp;TRIM(TEXTSPLIT(S180,","))&amp;",",","&amp;SUBSTITUTE(input_affiliations," ","")&amp;",")))&gt;0)),IF(U180="",TRUE,IF(input_affiliations="",FALSE,SUMPRODUCT(--ISNUMBER(SEARCH(","&amp;TRIM(TEXTSPLIT(U180,","))&amp;",",","&amp;SUBSTITUTE(input_affiliations," ","")&amp;",")))=COUNTA(TEXTSPLIT(U180,",")))))</f>
        <v/>
      </c>
      <c r="IU180">
        <f>AND(IF(W180="",TRUE,IF(input_announcement_category="",FALSE,SUMPRODUCT(--ISNUMBER(SEARCH(","&amp;TRIM(TEXTSPLIT(W180,","))&amp;",",","&amp;SUBSTITUTE(input_announcement_category," ","")&amp;",")))&gt;0)),IF(Y180="",TRUE,IF(input_announcement_category="",FALSE,SUMPRODUCT(--ISNUMBER(SEARCH(","&amp;TRIM(TEXTSPLIT(Y180,","))&amp;",",","&amp;SUBSTITUTE(input_announcement_category," ","")&amp;",")))=COUNTA(TEXTSPLIT(Y180,",")))),IF(AA180="",TRUE,IF(input_announcement_category="",TRUE,SUMPRODUCT(--ISNUMBER(SEARCH(","&amp;TRIM(TEXTSPLIT(AA180,","))&amp;",",","&amp;SUBSTITUTE(input_announcement_category," ","")&amp;",")))=0)),IF(AC180="",TRUE,IF(input_announcement_category="",FALSE,SUMPRODUCT(--ISNUMBER(SEARCH(","&amp;TRIM(TEXTSPLIT(AC180,","))&amp;",",","&amp;SUBSTITUTE(input_announcement_category," ","")&amp;",")))&gt;0)),IF(AE180="",TRUE,IF(input_announcement_category="",FALSE,SUMPRODUCT(--ISNUMBER(SEARCH(","&amp;TRIM(TEXTSPLIT(AE180,","))&amp;",",","&amp;SUBSTITUTE(input_announcement_category," ","")&amp;",")))=COUNTA(TEXTSPLIT(AE180,",")))))</f>
        <v/>
      </c>
      <c r="IV180">
        <f>AND(IF(AG180="",TRUE,IF(input_area_of_focus="",FALSE,SUMPRODUCT(--ISNUMBER(SEARCH(","&amp;TRIM(TEXTSPLIT(AG180,","))&amp;",",","&amp;SUBSTITUTE(input_area_of_focus," ","")&amp;",")))&gt;0)),IF(AI180="",TRUE,IF(input_area_of_focus="",FALSE,SUMPRODUCT(--ISNUMBER(SEARCH(","&amp;TRIM(TEXTSPLIT(AI180,","))&amp;",",","&amp;SUBSTITUTE(input_area_of_focus," ","")&amp;",")))=COUNTA(TEXTSPLIT(AI180,",")))),IF(AK180="",TRUE,IF(input_area_of_focus="",TRUE,SUMPRODUCT(--ISNUMBER(SEARCH(","&amp;TRIM(TEXTSPLIT(AK180,","))&amp;",",","&amp;SUBSTITUTE(input_area_of_focus," ","")&amp;",")))=0)),IF(AM180="",TRUE,IF(input_area_of_focus="",FALSE,SUMPRODUCT(--ISNUMBER(SEARCH(","&amp;TRIM(TEXTSPLIT(AM180,","))&amp;",",","&amp;SUBSTITUTE(input_area_of_focus," ","")&amp;",")))&gt;0)),IF(AO180="",TRUE,IF(input_area_of_focus="",FALSE,SUMPRODUCT(--ISNUMBER(SEARCH(","&amp;TRIM(TEXTSPLIT(AO180,","))&amp;",",","&amp;SUBSTITUTE(input_area_of_focus," ","")&amp;",")))=COUNTA(TEXTSPLIT(AO180,",")))))</f>
        <v/>
      </c>
      <c r="IW180">
        <f>AND(IF(AQ180="",TRUE,IF(input_audience="",FALSE,SUMPRODUCT(--ISNUMBER(SEARCH(","&amp;TRIM(TEXTSPLIT(AQ180,","))&amp;",",","&amp;SUBSTITUTE(input_audience," ","")&amp;",")))&gt;0)),IF(AS180="",TRUE,IF(input_audience="",FALSE,SUMPRODUCT(--ISNUMBER(SEARCH(","&amp;TRIM(TEXTSPLIT(AS180,","))&amp;",",","&amp;SUBSTITUTE(input_audience," ","")&amp;",")))=COUNTA(TEXTSPLIT(AS180,",")))),IF(AU180="",TRUE,IF(input_audience="",TRUE,SUMPRODUCT(--ISNUMBER(SEARCH(","&amp;TRIM(TEXTSPLIT(AU180,","))&amp;",",","&amp;SUBSTITUTE(input_audience," ","")&amp;",")))=0)),IF(AW180="",TRUE,IF(input_audience="",FALSE,SUMPRODUCT(--ISNUMBER(SEARCH(","&amp;TRIM(TEXTSPLIT(AW180,","))&amp;",",","&amp;SUBSTITUTE(input_audience," ","")&amp;",")))&gt;0)),IF(AY180="",TRUE,IF(input_audience="",FALSE,SUMPRODUCT(--ISNUMBER(SEARCH(","&amp;TRIM(TEXTSPLIT(AY180,","))&amp;",",","&amp;SUBSTITUTE(input_audience," ","")&amp;",")))=COUNTA(TEXTSPLIT(AY180,",")))))</f>
        <v/>
      </c>
      <c r="IX180">
        <f>AND(IF(BA180="",TRUE,IF(input_challenge_opportunities="",FALSE,SUMPRODUCT(--ISNUMBER(SEARCH(","&amp;TRIM(TEXTSPLIT(BA180,","))&amp;",",","&amp;SUBSTITUTE(input_challenge_opportunities," ","")&amp;",")))&gt;0)),IF(BC180="",TRUE,IF(input_challenge_opportunities="",FALSE,SUMPRODUCT(--ISNUMBER(SEARCH(","&amp;TRIM(TEXTSPLIT(BC180,","))&amp;",",","&amp;SUBSTITUTE(input_challenge_opportunities," ","")&amp;",")))=COUNTA(TEXTSPLIT(BC180,",")))),IF(BE180="",TRUE,IF(input_challenge_opportunities="",TRUE,SUMPRODUCT(--ISNUMBER(SEARCH(","&amp;TRIM(TEXTSPLIT(BE180,","))&amp;",",","&amp;SUBSTITUTE(input_challenge_opportunities," ","")&amp;",")))=0)),IF(BG180="",TRUE,IF(input_challenge_opportunities="",FALSE,SUMPRODUCT(--ISNUMBER(SEARCH(","&amp;TRIM(TEXTSPLIT(BG180,","))&amp;",",","&amp;SUBSTITUTE(input_challenge_opportunities," ","")&amp;",")))&gt;0)),IF(BI180="",TRUE,IF(input_challenge_opportunities="",FALSE,SUMPRODUCT(--ISNUMBER(SEARCH(","&amp;TRIM(TEXTSPLIT(BI180,","))&amp;",",","&amp;SUBSTITUTE(input_challenge_opportunities," ","")&amp;",")))=COUNTA(TEXTSPLIT(BI180,",")))))</f>
        <v/>
      </c>
      <c r="IY180">
        <f>AND(IF(BK180="",TRUE,IF(input_context="",FALSE,SUMPRODUCT(--ISNUMBER(SEARCH(","&amp;TRIM(TEXTSPLIT(BK180,","))&amp;",",","&amp;SUBSTITUTE(input_context," ","")&amp;",")))&gt;0)),IF(BM180="",TRUE,IF(input_context="",FALSE,SUMPRODUCT(--ISNUMBER(SEARCH(","&amp;TRIM(TEXTSPLIT(BM180,","))&amp;",",","&amp;SUBSTITUTE(input_context," ","")&amp;",")))=COUNTA(TEXTSPLIT(BM180,",")))),IF(BO180="",TRUE,IF(input_context="",TRUE,SUMPRODUCT(--ISNUMBER(SEARCH(","&amp;TRIM(TEXTSPLIT(BO180,","))&amp;",",","&amp;SUBSTITUTE(input_context," ","")&amp;",")))=0)),IF(BQ180="",TRUE,IF(input_context="",FALSE,SUMPRODUCT(--ISNUMBER(SEARCH(","&amp;TRIM(TEXTSPLIT(BQ180,","))&amp;",",","&amp;SUBSTITUTE(input_context," ","")&amp;",")))&gt;0)),IF(BS180="",TRUE,IF(input_context="",FALSE,SUMPRODUCT(--ISNUMBER(SEARCH(","&amp;TRIM(TEXTSPLIT(BS180,","))&amp;",",","&amp;SUBSTITUTE(input_context," ","")&amp;",")))=COUNTA(TEXTSPLIT(BS180,",")))))</f>
        <v/>
      </c>
      <c r="IZ180">
        <f>AND(IF(BU180="",TRUE,IF(input_enews_announcement_type="",FALSE,SUMPRODUCT(--ISNUMBER(SEARCH(","&amp;TRIM(TEXTSPLIT(BU180,","))&amp;",",","&amp;SUBSTITUTE(input_enews_announcement_type," ","")&amp;",")))&gt;0)),IF(BW180="",TRUE,IF(input_enews_announcement_type="",FALSE,SUMPRODUCT(--ISNUMBER(SEARCH(","&amp;TRIM(TEXTSPLIT(BW180,","))&amp;",",","&amp;SUBSTITUTE(input_enews_announcement_type," ","")&amp;",")))=COUNTA(TEXTSPLIT(BW180,",")))),IF(BY180="",TRUE,IF(input_enews_announcement_type="",TRUE,SUMPRODUCT(--ISNUMBER(SEARCH(","&amp;TRIM(TEXTSPLIT(BY180,","))&amp;",",","&amp;SUBSTITUTE(input_enews_announcement_type," ","")&amp;",")))=0)),IF(CA180="",TRUE,IF(input_enews_announcement_type="",FALSE,SUMPRODUCT(--ISNUMBER(SEARCH(","&amp;TRIM(TEXTSPLIT(CA180,","))&amp;",",","&amp;SUBSTITUTE(input_enews_announcement_type," ","")&amp;",")))&gt;0)),IF(CC180="",TRUE,IF(input_enews_announcement_type="",FALSE,SUMPRODUCT(--ISNUMBER(SEARCH(","&amp;TRIM(TEXTSPLIT(CC180,","))&amp;",",","&amp;SUBSTITUTE(input_enews_announcement_type," ","")&amp;",")))=COUNTA(TEXTSPLIT(CC180,",")))))</f>
        <v/>
      </c>
      <c r="JA180">
        <f>AND(IF(CE180="",TRUE,IF(input_enews_audience="",FALSE,SUMPRODUCT(--ISNUMBER(SEARCH(","&amp;TRIM(TEXTSPLIT(CE180,","))&amp;",",","&amp;SUBSTITUTE(input_enews_audience," ","")&amp;",")))&gt;0)),IF(CG180="",TRUE,IF(input_enews_audience="",FALSE,SUMPRODUCT(--ISNUMBER(SEARCH(","&amp;TRIM(TEXTSPLIT(CG180,","))&amp;",",","&amp;SUBSTITUTE(input_enews_audience," ","")&amp;",")))=COUNTA(TEXTSPLIT(CG180,",")))),IF(CI180="",TRUE,IF(input_enews_audience="",TRUE,SUMPRODUCT(--ISNUMBER(SEARCH(","&amp;TRIM(TEXTSPLIT(CI180,","))&amp;",",","&amp;SUBSTITUTE(input_enews_audience," ","")&amp;",")))=0)),IF(CK180="",TRUE,IF(input_enews_audience="",FALSE,SUMPRODUCT(--ISNUMBER(SEARCH(","&amp;TRIM(TEXTSPLIT(CK180,","))&amp;",",","&amp;SUBSTITUTE(input_enews_audience," ","")&amp;",")))&gt;0)),IF(CM180="",TRUE,IF(input_enews_audience="",FALSE,SUMPRODUCT(--ISNUMBER(SEARCH(","&amp;TRIM(TEXTSPLIT(CM180,","))&amp;",",","&amp;SUBSTITUTE(input_enews_audience," ","")&amp;",")))=COUNTA(TEXTSPLIT(CM180,",")))))</f>
        <v/>
      </c>
      <c r="JB180">
        <f>AND(IF(CO180="",TRUE,IF(input_event_location="",FALSE,SUMPRODUCT(--ISNUMBER(SEARCH(","&amp;TRIM(TEXTSPLIT(CO180,","))&amp;",",","&amp;SUBSTITUTE(input_event_location," ","")&amp;",")))&gt;0)),IF(CQ180="",TRUE,IF(input_event_location="",FALSE,SUMPRODUCT(--ISNUMBER(SEARCH(","&amp;TRIM(TEXTSPLIT(CQ180,","))&amp;",",","&amp;SUBSTITUTE(input_event_location," ","")&amp;",")))=COUNTA(TEXTSPLIT(CQ180,",")))),IF(CS180="",TRUE,IF(input_event_location="",TRUE,SUMPRODUCT(--ISNUMBER(SEARCH(","&amp;TRIM(TEXTSPLIT(CS180,","))&amp;",",","&amp;SUBSTITUTE(input_event_location," ","")&amp;",")))=0)),IF(CU180="",TRUE,IF(input_event_location="",FALSE,SUMPRODUCT(--ISNUMBER(SEARCH(","&amp;TRIM(TEXTSPLIT(CU180,","))&amp;",",","&amp;SUBSTITUTE(input_event_location," ","")&amp;",")))&gt;0)),IF(CW180="",TRUE,IF(input_event_location="",FALSE,SUMPRODUCT(--ISNUMBER(SEARCH(","&amp;TRIM(TEXTSPLIT(CW180,","))&amp;",",","&amp;SUBSTITUTE(input_event_location," ","")&amp;",")))=COUNTA(TEXTSPLIT(CW180,",")))))</f>
        <v/>
      </c>
      <c r="JC180">
        <f>AND(IF(CY180="",TRUE,IF(input_event_type="",FALSE,SUMPRODUCT(--ISNUMBER(SEARCH(","&amp;TRIM(TEXTSPLIT(CY180,","))&amp;",",","&amp;SUBSTITUTE(input_event_type," ","")&amp;",")))&gt;0)),IF(DA180="",TRUE,IF(input_event_type="",FALSE,SUMPRODUCT(--ISNUMBER(SEARCH(","&amp;TRIM(TEXTSPLIT(DA180,","))&amp;",",","&amp;SUBSTITUTE(input_event_type," ","")&amp;",")))=COUNTA(TEXTSPLIT(DA180,",")))),IF(DC180="",TRUE,IF(input_event_type="",TRUE,SUMPRODUCT(--ISNUMBER(SEARCH(","&amp;TRIM(TEXTSPLIT(DC180,","))&amp;",",","&amp;SUBSTITUTE(input_event_type," ","")&amp;",")))=0)),IF(DE180="",TRUE,IF(input_event_type="",FALSE,SUMPRODUCT(--ISNUMBER(SEARCH(","&amp;TRIM(TEXTSPLIT(DE180,","))&amp;",",","&amp;SUBSTITUTE(input_event_type," ","")&amp;",")))&gt;0)),IF(DG180="",TRUE,IF(input_event_type="",FALSE,SUMPRODUCT(--ISNUMBER(SEARCH(","&amp;TRIM(TEXTSPLIT(DG180,","))&amp;",",","&amp;SUBSTITUTE(input_event_type," ","")&amp;",")))=COUNTA(TEXTSPLIT(DG180,",")))))</f>
        <v/>
      </c>
      <c r="JD180">
        <f>AND(IF(DI180="",TRUE,IF(input_executive_education_focus="",FALSE,SUMPRODUCT(--ISNUMBER(SEARCH(","&amp;TRIM(TEXTSPLIT(DI180,","))&amp;",",","&amp;SUBSTITUTE(input_executive_education_focus," ","")&amp;",")))&gt;0)),IF(DK180="",TRUE,IF(input_executive_education_focus="",FALSE,SUMPRODUCT(--ISNUMBER(SEARCH(","&amp;TRIM(TEXTSPLIT(DK180,","))&amp;",",","&amp;SUBSTITUTE(input_executive_education_focus," ","")&amp;",")))=COUNTA(TEXTSPLIT(DK180,",")))),IF(DM180="",TRUE,IF(input_executive_education_focus="",TRUE,SUMPRODUCT(--ISNUMBER(SEARCH(","&amp;TRIM(TEXTSPLIT(DM180,","))&amp;",",","&amp;SUBSTITUTE(input_executive_education_focus," ","")&amp;",")))=0)),IF(DO180="",TRUE,IF(input_executive_education_focus="",FALSE,SUMPRODUCT(--ISNUMBER(SEARCH(","&amp;TRIM(TEXTSPLIT(DO180,","))&amp;",",","&amp;SUBSTITUTE(input_executive_education_focus," ","")&amp;",")))&gt;0)),IF(DQ180="",TRUE,IF(input_executive_education_focus="",FALSE,SUMPRODUCT(--ISNUMBER(SEARCH(","&amp;TRIM(TEXTSPLIT(DQ180,","))&amp;",",","&amp;SUBSTITUTE(input_executive_education_focus," ","")&amp;",")))=COUNTA(TEXTSPLIT(DQ180,",")))))</f>
        <v/>
      </c>
      <c r="JE180">
        <f>AND(IF(DS180="",TRUE,IF(input_faculty_category="",FALSE,SUMPRODUCT(--ISNUMBER(SEARCH(","&amp;TRIM(TEXTSPLIT(DS180,","))&amp;",",","&amp;SUBSTITUTE(input_faculty_category," ","")&amp;",")))&gt;0)),IF(DU180="",TRUE,IF(input_faculty_category="",FALSE,SUMPRODUCT(--ISNUMBER(SEARCH(","&amp;TRIM(TEXTSPLIT(DU180,","))&amp;",",","&amp;SUBSTITUTE(input_faculty_category," ","")&amp;",")))=COUNTA(TEXTSPLIT(DU180,",")))),IF(DW180="",TRUE,IF(input_faculty_category="",TRUE,SUMPRODUCT(--ISNUMBER(SEARCH(","&amp;TRIM(TEXTSPLIT(DW180,","))&amp;",",","&amp;SUBSTITUTE(input_faculty_category," ","")&amp;",")))=0)),IF(DY180="",TRUE,IF(input_faculty_category="",FALSE,SUMPRODUCT(--ISNUMBER(SEARCH(","&amp;TRIM(TEXTSPLIT(DY180,","))&amp;",",","&amp;SUBSTITUTE(input_faculty_category," ","")&amp;",")))&gt;0)),IF(EA180="",TRUE,IF(input_faculty_category="",FALSE,SUMPRODUCT(--ISNUMBER(SEARCH(","&amp;TRIM(TEXTSPLIT(EA180,","))&amp;",",","&amp;SUBSTITUTE(input_faculty_category," ","")&amp;",")))=COUNTA(TEXTSPLIT(EA180,",")))))</f>
        <v/>
      </c>
      <c r="JF180">
        <f>AND(IF(EC180="",TRUE,IF(input_faculty_discipline="",FALSE,SUMPRODUCT(--ISNUMBER(SEARCH(","&amp;TRIM(TEXTSPLIT(EC180,","))&amp;",",","&amp;SUBSTITUTE(input_faculty_discipline," ","")&amp;",")))&gt;0)),IF(EE180="",TRUE,IF(input_faculty_discipline="",FALSE,SUMPRODUCT(--ISNUMBER(SEARCH(","&amp;TRIM(TEXTSPLIT(EE180,","))&amp;",",","&amp;SUBSTITUTE(input_faculty_discipline," ","")&amp;",")))=COUNTA(TEXTSPLIT(EE180,",")))),IF(EG180="",TRUE,IF(input_faculty_discipline="",TRUE,SUMPRODUCT(--ISNUMBER(SEARCH(","&amp;TRIM(TEXTSPLIT(EG180,","))&amp;",",","&amp;SUBSTITUTE(input_faculty_discipline," ","")&amp;",")))=0)),IF(EI180="",TRUE,IF(input_faculty_discipline="",FALSE,SUMPRODUCT(--ISNUMBER(SEARCH(","&amp;TRIM(TEXTSPLIT(EI180,","))&amp;",",","&amp;SUBSTITUTE(input_faculty_discipline," ","")&amp;",")))&gt;0)),IF(EK180="",TRUE,IF(input_faculty_discipline="",FALSE,SUMPRODUCT(--ISNUMBER(SEARCH(","&amp;TRIM(TEXTSPLIT(EK180,","))&amp;",",","&amp;SUBSTITUTE(input_faculty_discipline," ","")&amp;",")))=COUNTA(TEXTSPLIT(EK180,",")))))</f>
        <v/>
      </c>
      <c r="JG180">
        <f>AND(IF(EM180="",TRUE,IF(input_faculty_expertise="",FALSE,SUMPRODUCT(--ISNUMBER(SEARCH(","&amp;TRIM(TEXTSPLIT(EM180,","))&amp;",",","&amp;SUBSTITUTE(input_faculty_expertise," ","")&amp;",")))&gt;0)),IF(EO180="",TRUE,IF(input_faculty_expertise="",FALSE,SUMPRODUCT(--ISNUMBER(SEARCH(","&amp;TRIM(TEXTSPLIT(EO180,","))&amp;",",","&amp;SUBSTITUTE(input_faculty_expertise," ","")&amp;",")))=COUNTA(TEXTSPLIT(EO180,",")))),IF(EQ180="",TRUE,IF(input_faculty_expertise="",TRUE,SUMPRODUCT(--ISNUMBER(SEARCH(","&amp;TRIM(TEXTSPLIT(EQ180,","))&amp;",",","&amp;SUBSTITUTE(input_faculty_expertise," ","")&amp;",")))=0)),IF(ES180="",TRUE,IF(input_faculty_expertise="",FALSE,SUMPRODUCT(--ISNUMBER(SEARCH(","&amp;TRIM(TEXTSPLIT(ES180,","))&amp;",",","&amp;SUBSTITUTE(input_faculty_expertise," ","")&amp;",")))&gt;0)),IF(EU180="",TRUE,IF(input_faculty_expertise="",FALSE,SUMPRODUCT(--ISNUMBER(SEARCH(","&amp;TRIM(TEXTSPLIT(EU180,","))&amp;",",","&amp;SUBSTITUTE(input_faculty_expertise," ","")&amp;",")))=COUNTA(TEXTSPLIT(EU180,",")))))</f>
        <v/>
      </c>
      <c r="JH180">
        <f>AND(IF(EW180="",TRUE,IF(input_global_network_school="",FALSE,SUMPRODUCT(--ISNUMBER(SEARCH(","&amp;TRIM(TEXTSPLIT(EW180,","))&amp;",",","&amp;SUBSTITUTE(input_global_network_school," ","")&amp;",")))&gt;0)),IF(EY180="",TRUE,IF(input_global_network_school="",FALSE,SUMPRODUCT(--ISNUMBER(SEARCH(","&amp;TRIM(TEXTSPLIT(EY180,","))&amp;",",","&amp;SUBSTITUTE(input_global_network_school," ","")&amp;",")))=COUNTA(TEXTSPLIT(EY180,",")))),IF(FA180="",TRUE,IF(input_global_network_school="",TRUE,SUMPRODUCT(--ISNUMBER(SEARCH(","&amp;TRIM(TEXTSPLIT(FA180,","))&amp;",",","&amp;SUBSTITUTE(input_global_network_school," ","")&amp;",")))=0)),IF(FC180="",TRUE,IF(input_global_network_school="",FALSE,SUMPRODUCT(--ISNUMBER(SEARCH(","&amp;TRIM(TEXTSPLIT(FC180,","))&amp;",",","&amp;SUBSTITUTE(input_global_network_school," ","")&amp;",")))&gt;0)),IF(FE180="",TRUE,IF(input_global_network_school="",FALSE,SUMPRODUCT(--ISNUMBER(SEARCH(","&amp;TRIM(TEXTSPLIT(FE180,","))&amp;",",","&amp;SUBSTITUTE(input_global_network_school," ","")&amp;",")))=COUNTA(TEXTSPLIT(FE180,",")))))</f>
        <v/>
      </c>
      <c r="JI180">
        <f>AND(IF(FG180="",TRUE,IF(input_industry="",FALSE,SUMPRODUCT(--ISNUMBER(SEARCH(","&amp;TRIM(TEXTSPLIT(FG180,","))&amp;",",","&amp;SUBSTITUTE(input_industry," ","")&amp;",")))&gt;0)),IF(FI180="",TRUE,IF(input_industry="",FALSE,SUMPRODUCT(--ISNUMBER(SEARCH(","&amp;TRIM(TEXTSPLIT(FI180,","))&amp;",",","&amp;SUBSTITUTE(input_industry," ","")&amp;",")))=COUNTA(TEXTSPLIT(FI180,",")))),IF(FK180="",TRUE,IF(input_industry="",TRUE,SUMPRODUCT(--ISNUMBER(SEARCH(","&amp;TRIM(TEXTSPLIT(FK180,","))&amp;",",","&amp;SUBSTITUTE(input_industry," ","")&amp;",")))=0)),IF(FM180="",TRUE,IF(input_industry="",FALSE,SUMPRODUCT(--ISNUMBER(SEARCH(","&amp;TRIM(TEXTSPLIT(FM180,","))&amp;",",","&amp;SUBSTITUTE(input_industry," ","")&amp;",")))&gt;0)),IF(FO180="",TRUE,IF(input_industry="",FALSE,SUMPRODUCT(--ISNUMBER(SEARCH(","&amp;TRIM(TEXTSPLIT(FO180,","))&amp;",",","&amp;SUBSTITUTE(input_industry," ","")&amp;",")))=COUNTA(TEXTSPLIT(FO180,",")))))</f>
        <v/>
      </c>
      <c r="JJ180">
        <f>AND(IF(FQ180="",TRUE,IF(input_location="",FALSE,SUMPRODUCT(--ISNUMBER(SEARCH(","&amp;TRIM(TEXTSPLIT(FQ180,","))&amp;",",","&amp;SUBSTITUTE(input_location," ","")&amp;",")))&gt;0)),IF(FS180="",TRUE,IF(input_location="",FALSE,SUMPRODUCT(--ISNUMBER(SEARCH(","&amp;TRIM(TEXTSPLIT(FS180,","))&amp;",",","&amp;SUBSTITUTE(input_location," ","")&amp;",")))=COUNTA(TEXTSPLIT(FS180,",")))),IF(FU180="",TRUE,IF(input_location="",TRUE,SUMPRODUCT(--ISNUMBER(SEARCH(","&amp;TRIM(TEXTSPLIT(FU180,","))&amp;",",","&amp;SUBSTITUTE(input_location," ","")&amp;",")))=0)),IF(FW180="",TRUE,IF(input_location="",FALSE,SUMPRODUCT(--ISNUMBER(SEARCH(","&amp;TRIM(TEXTSPLIT(FW180,","))&amp;",",","&amp;SUBSTITUTE(input_location," ","")&amp;",")))&gt;0)),IF(FY180="",TRUE,IF(input_location="",FALSE,SUMPRODUCT(--ISNUMBER(SEARCH(","&amp;TRIM(TEXTSPLIT(FY180,","))&amp;",",","&amp;SUBSTITUTE(input_location," ","")&amp;",")))=COUNTA(TEXTSPLIT(FY180,",")))))</f>
        <v/>
      </c>
      <c r="JK180">
        <f>AND(IF(GA180="",TRUE,IF(input_modality="",FALSE,SUMPRODUCT(--ISNUMBER(SEARCH(","&amp;TRIM(TEXTSPLIT(GA180,","))&amp;",",","&amp;SUBSTITUTE(input_modality," ","")&amp;",")))&gt;0)),IF(GC180="",TRUE,IF(input_modality="",FALSE,SUMPRODUCT(--ISNUMBER(SEARCH(","&amp;TRIM(TEXTSPLIT(GC180,","))&amp;",",","&amp;SUBSTITUTE(input_modality," ","")&amp;",")))=COUNTA(TEXTSPLIT(GC180,",")))),IF(GE180="",TRUE,IF(input_modality="",TRUE,SUMPRODUCT(--ISNUMBER(SEARCH(","&amp;TRIM(TEXTSPLIT(GE180,","))&amp;",",","&amp;SUBSTITUTE(input_modality," ","")&amp;",")))=0)),IF(GG180="",TRUE,IF(input_modality="",FALSE,SUMPRODUCT(--ISNUMBER(SEARCH(","&amp;TRIM(TEXTSPLIT(GG180,","))&amp;",",","&amp;SUBSTITUTE(input_modality," ","")&amp;",")))&gt;0)),IF(GI180="",TRUE,IF(input_modality="",FALSE,SUMPRODUCT(--ISNUMBER(SEARCH(","&amp;TRIM(TEXTSPLIT(GI180,","))&amp;",",","&amp;SUBSTITUTE(input_modality," ","")&amp;",")))=COUNTA(TEXTSPLIT(GI180,",")))))</f>
        <v/>
      </c>
      <c r="JL180">
        <f>AND(IF(GK180="",TRUE,IF(input_organizer="",FALSE,SUMPRODUCT(--ISNUMBER(SEARCH(","&amp;TRIM(TEXTSPLIT(GK180,","))&amp;",",","&amp;SUBSTITUTE(input_organizer," ","")&amp;",")))&gt;0)),IF(GM180="",TRUE,IF(input_organizer="",FALSE,SUMPRODUCT(--ISNUMBER(SEARCH(","&amp;TRIM(TEXTSPLIT(GM180,","))&amp;",",","&amp;SUBSTITUTE(input_organizer," ","")&amp;",")))=COUNTA(TEXTSPLIT(GM180,",")))),IF(GO180="",TRUE,IF(input_organizer="",TRUE,SUMPRODUCT(--ISNUMBER(SEARCH(","&amp;TRIM(TEXTSPLIT(GO180,","))&amp;",",","&amp;SUBSTITUTE(input_organizer," ","")&amp;",")))=0)),IF(GQ180="",TRUE,IF(input_organizer="",FALSE,SUMPRODUCT(--ISNUMBER(SEARCH(","&amp;TRIM(TEXTSPLIT(GQ180,","))&amp;",",","&amp;SUBSTITUTE(input_organizer," ","")&amp;",")))&gt;0)),IF(GS180="",TRUE,IF(input_organizer="",FALSE,SUMPRODUCT(--ISNUMBER(SEARCH(","&amp;TRIM(TEXTSPLIT(GS180,","))&amp;",",","&amp;SUBSTITUTE(input_organizer," ","")&amp;",")))=COUNTA(TEXTSPLIT(GS180,",")))))</f>
        <v/>
      </c>
      <c r="JM180">
        <f>AND(IF(GU180="",TRUE,IF(input_profile_type="",FALSE,SUMPRODUCT(--ISNUMBER(SEARCH(","&amp;TRIM(TEXTSPLIT(GU180,","))&amp;",",","&amp;SUBSTITUTE(input_profile_type," ","")&amp;",")))&gt;0)),IF(GW180="",TRUE,IF(input_profile_type="",FALSE,SUMPRODUCT(--ISNUMBER(SEARCH(","&amp;TRIM(TEXTSPLIT(GW180,","))&amp;",",","&amp;SUBSTITUTE(input_profile_type," ","")&amp;",")))=COUNTA(TEXTSPLIT(GW180,",")))),IF(GY180="",TRUE,IF(input_profile_type="",TRUE,SUMPRODUCT(--ISNUMBER(SEARCH(","&amp;TRIM(TEXTSPLIT(GY180,","))&amp;",",","&amp;SUBSTITUTE(input_profile_type," ","")&amp;",")))=0)),IF(HA180="",TRUE,IF(input_profile_type="",FALSE,SUMPRODUCT(--ISNUMBER(SEARCH(","&amp;TRIM(TEXTSPLIT(HA180,","))&amp;",",","&amp;SUBSTITUTE(input_profile_type," ","")&amp;",")))&gt;0)),IF(HC180="",TRUE,IF(input_profile_type="",FALSE,SUMPRODUCT(--ISNUMBER(SEARCH(","&amp;TRIM(TEXTSPLIT(HC180,","))&amp;",",","&amp;SUBSTITUTE(input_profile_type," ","")&amp;",")))=COUNTA(TEXTSPLIT(HC180,",")))))</f>
        <v/>
      </c>
      <c r="JN180">
        <f>AND(IF(HE180="",TRUE,IF(input_program="",FALSE,SUMPRODUCT(--ISNUMBER(SEARCH(","&amp;TRIM(TEXTSPLIT(HE180,","))&amp;",",","&amp;SUBSTITUTE(input_program," ","")&amp;",")))&gt;0)),IF(HG180="",TRUE,IF(input_program="",FALSE,SUMPRODUCT(--ISNUMBER(SEARCH(","&amp;TRIM(TEXTSPLIT(HG180,","))&amp;",",","&amp;SUBSTITUTE(input_program," ","")&amp;",")))=COUNTA(TEXTSPLIT(HG180,",")))),IF(HI180="",TRUE,IF(input_program="",TRUE,SUMPRODUCT(--ISNUMBER(SEARCH(","&amp;TRIM(TEXTSPLIT(HI180,","))&amp;",",","&amp;SUBSTITUTE(input_program," ","")&amp;",")))=0)),IF(HK180="",TRUE,IF(input_program="",FALSE,SUMPRODUCT(--ISNUMBER(SEARCH(","&amp;TRIM(TEXTSPLIT(HK180,","))&amp;",",","&amp;SUBSTITUTE(input_program," ","")&amp;",")))&gt;0)),IF(HM180="",TRUE,IF(input_program="",FALSE,SUMPRODUCT(--ISNUMBER(SEARCH(","&amp;TRIM(TEXTSPLIT(HM180,","))&amp;",",","&amp;SUBSTITUTE(input_program," ","")&amp;",")))=COUNTA(TEXTSPLIT(HM180,",")))))</f>
        <v/>
      </c>
      <c r="JO180">
        <f>AND(IF(HO180="",TRUE,IF(input_story_categories="",FALSE,SUMPRODUCT(--ISNUMBER(SEARCH(","&amp;TRIM(TEXTSPLIT(HO180,","))&amp;",",","&amp;SUBSTITUTE(input_story_categories," ","")&amp;",")))&gt;0)),IF(HQ180="",TRUE,IF(input_story_categories="",FALSE,SUMPRODUCT(--ISNUMBER(SEARCH(","&amp;TRIM(TEXTSPLIT(HQ180,","))&amp;",",","&amp;SUBSTITUTE(input_story_categories," ","")&amp;",")))=COUNTA(TEXTSPLIT(HQ180,",")))),IF(HS180="",TRUE,IF(input_story_categories="",TRUE,SUMPRODUCT(--ISNUMBER(SEARCH(","&amp;TRIM(TEXTSPLIT(HS180,","))&amp;",",","&amp;SUBSTITUTE(input_story_categories," ","")&amp;",")))=0)),IF(HU180="",TRUE,IF(input_story_categories="",FALSE,SUMPRODUCT(--ISNUMBER(SEARCH(","&amp;TRIM(TEXTSPLIT(HU180,","))&amp;",",","&amp;SUBSTITUTE(input_story_categories," ","")&amp;",")))&gt;0)),IF(HW180="",TRUE,IF(input_story_categories="",FALSE,SUMPRODUCT(--ISNUMBER(SEARCH(","&amp;TRIM(TEXTSPLIT(HW180,","))&amp;",",","&amp;SUBSTITUTE(input_story_categories," ","")&amp;",")))=COUNTA(TEXTSPLIT(HW180,",")))))</f>
        <v/>
      </c>
      <c r="JP180">
        <f>AND(IF(HY180="",TRUE,IF(input_story_type="",FALSE,SUMPRODUCT(--ISNUMBER(SEARCH(","&amp;TRIM(TEXTSPLIT(HY180,","))&amp;",",","&amp;SUBSTITUTE(input_story_type," ","")&amp;",")))&gt;0)),IF(IA180="",TRUE,IF(input_story_type="",FALSE,SUMPRODUCT(--ISNUMBER(SEARCH(","&amp;TRIM(TEXTSPLIT(IA180,","))&amp;",",","&amp;SUBSTITUTE(input_story_type," ","")&amp;",")))=COUNTA(TEXTSPLIT(IA180,",")))),IF(IC180="",TRUE,IF(input_story_type="",TRUE,SUMPRODUCT(--ISNUMBER(SEARCH(","&amp;TRIM(TEXTSPLIT(IC180,","))&amp;",",","&amp;SUBSTITUTE(input_story_type," ","")&amp;",")))=0)),IF(IE180="",TRUE,IF(input_story_type="",FALSE,SUMPRODUCT(--ISNUMBER(SEARCH(","&amp;TRIM(TEXTSPLIT(IE180,","))&amp;",",","&amp;SUBSTITUTE(input_story_type," ","")&amp;",")))&gt;0)),IF(IG180="",TRUE,IF(input_story_type="",FALSE,SUMPRODUCT(--ISNUMBER(SEARCH(","&amp;TRIM(TEXTSPLIT(IG180,","))&amp;",",","&amp;SUBSTITUTE(input_story_type," ","")&amp;",")))=COUNTA(TEXTSPLIT(IG180,",")))))</f>
        <v/>
      </c>
      <c r="JQ180">
        <f>AND(IF(II180="",TRUE,IF(input_topics="",FALSE,SUMPRODUCT(--ISNUMBER(SEARCH(","&amp;TRIM(TEXTSPLIT(II180,","))&amp;",",","&amp;SUBSTITUTE(input_topics," ","")&amp;",")))&gt;0)),IF(IK180="",TRUE,IF(input_topics="",FALSE,SUMPRODUCT(--ISNUMBER(SEARCH(","&amp;TRIM(TEXTSPLIT(IK180,","))&amp;",",","&amp;SUBSTITUTE(input_topics," ","")&amp;",")))=COUNTA(TEXTSPLIT(IK180,",")))),IF(IM180="",TRUE,IF(input_topics="",TRUE,SUMPRODUCT(--ISNUMBER(SEARCH(","&amp;TRIM(TEXTSPLIT(IM180,","))&amp;",",","&amp;SUBSTITUTE(input_topics," ","")&amp;",")))=0)),IF(IO180="",TRUE,IF(input_topics="",FALSE,SUMPRODUCT(--ISNUMBER(SEARCH(","&amp;TRIM(TEXTSPLIT(IO180,","))&amp;",",","&amp;SUBSTITUTE(input_topics," ","")&amp;",")))&gt;0)),IF(IQ180="",TRUE,IF(input_topics="",FALSE,SUMPRODUCT(--ISNUMBER(SEARCH(","&amp;TRIM(TEXTSPLIT(IQ180,","))&amp;",",","&amp;SUBSTITUTE(input_topics," ","")&amp;",")))=COUNTA(TEXTSPLIT(IQ180,",")))))</f>
        <v/>
      </c>
    </row>
    <row r="181">
      <c r="A181" s="4">
        <f>IF(NOT(IS181),"Excluded",IF(AND(IT181,IU181,IV181,IW181,IX181,IY181,IZ181,JA181,JB181,JC181,JD181,JE181,JF181,JG181,JH181,JI181,JJ181,JK181,JL181,JM181,JN181,JO181,JP181,JQ181),IF(I181&gt;0,"Eligible but limited","Will appear"),"Excluded"))</f>
        <v/>
      </c>
      <c r="B181" s="4" t="inlineStr">
        <is>
          <t>Related stories on story pages</t>
        </is>
      </c>
      <c r="C181" s="4" t="inlineStr">
        <is>
          <t>/blog/business-schools-must-do-better</t>
        </is>
      </c>
      <c r="D181" s="4" t="inlineStr">
        <is>
          <t>/blog/business-schools-must-do-better
/blog/edward-p-evans-hall-libraries-and-study-spaces
/blog/friendsgiving-offers-opportunity-for-students-to-connect-on-deeper-level</t>
        </is>
      </c>
      <c r="E181" s="4" t="n">
        <v>53</v>
      </c>
      <c r="F181" s="4" t="inlineStr">
        <is>
          <t>story</t>
        </is>
      </c>
      <c r="G181" s="4" t="inlineStr">
        <is>
          <t>stories_teaser_cards</t>
        </is>
      </c>
      <c r="H181" s="4" t="inlineStr">
        <is>
          <t>embed_all</t>
        </is>
      </c>
      <c r="I181" s="4" t="n">
        <v>3</v>
      </c>
      <c r="J181" s="4" t="inlineStr">
        <is>
          <t>Template logic</t>
        </is>
      </c>
      <c r="K181" s="4" t="inlineStr">
        <is>
          <t>Grouped surface</t>
        </is>
      </c>
      <c r="L181" s="4" t="inlineStr">
        <is>
          <t>Content type: story; Context uses Courses Context: MBA (92); Context uses Story Type: Blog (974); Limited to 3 item(s); Source: Template logic</t>
        </is>
      </c>
      <c r="M181" t="inlineStr"/>
      <c r="N181" t="inlineStr"/>
      <c r="O181" t="inlineStr"/>
      <c r="P181" t="inlineStr"/>
      <c r="Q181" t="inlineStr"/>
      <c r="R181" t="inlineStr"/>
      <c r="S181" t="inlineStr"/>
      <c r="T181" t="inlineStr"/>
      <c r="U181" t="inlineStr"/>
      <c r="V181" t="inlineStr"/>
      <c r="W181" t="inlineStr"/>
      <c r="X181" t="inlineStr"/>
      <c r="Y181" t="inlineStr"/>
      <c r="Z181" t="inlineStr"/>
      <c r="AA181" t="inlineStr"/>
      <c r="AB181" t="inlineStr"/>
      <c r="AC181" t="inlineStr"/>
      <c r="AD181" t="inlineStr"/>
      <c r="AE181" t="inlineStr"/>
      <c r="AF181" t="inlineStr"/>
      <c r="AG181" t="inlineStr"/>
      <c r="AH181" t="inlineStr"/>
      <c r="AI181" t="inlineStr"/>
      <c r="AJ181" t="inlineStr"/>
      <c r="AK181" t="inlineStr"/>
      <c r="AL181" t="inlineStr"/>
      <c r="AM181" t="inlineStr"/>
      <c r="AN181" t="inlineStr"/>
      <c r="AO181" t="inlineStr"/>
      <c r="AP181" t="inlineStr"/>
      <c r="AQ181" t="inlineStr"/>
      <c r="AR181" t="inlineStr"/>
      <c r="AS181" t="inlineStr"/>
      <c r="AT181" t="inlineStr"/>
      <c r="AU181" t="inlineStr"/>
      <c r="AV181" t="inlineStr"/>
      <c r="AW181" t="inlineStr"/>
      <c r="AX181" t="inlineStr"/>
      <c r="AY181" t="inlineStr"/>
      <c r="AZ181" t="inlineStr"/>
      <c r="BA181" t="inlineStr"/>
      <c r="BB181" t="inlineStr"/>
      <c r="BC181" t="inlineStr"/>
      <c r="BD181" t="inlineStr"/>
      <c r="BE181" t="inlineStr"/>
      <c r="BF181" t="inlineStr"/>
      <c r="BG181" t="inlineStr"/>
      <c r="BH181" t="inlineStr"/>
      <c r="BI181" t="inlineStr"/>
      <c r="BJ181" t="inlineStr"/>
      <c r="BK181" t="inlineStr"/>
      <c r="BL181" t="inlineStr"/>
      <c r="BM181" t="inlineStr"/>
      <c r="BN181" t="inlineStr"/>
      <c r="BO181" t="inlineStr"/>
      <c r="BP181" t="inlineStr"/>
      <c r="BQ181" t="inlineStr">
        <is>
          <t>92</t>
        </is>
      </c>
      <c r="BR181" t="inlineStr">
        <is>
          <t>MBA (92)</t>
        </is>
      </c>
      <c r="BS181" t="inlineStr"/>
      <c r="BT181" t="inlineStr"/>
      <c r="BU181" t="inlineStr"/>
      <c r="BV181" t="inlineStr"/>
      <c r="BW181" t="inlineStr"/>
      <c r="BX181" t="inlineStr"/>
      <c r="BY181" t="inlineStr"/>
      <c r="BZ181" t="inlineStr"/>
      <c r="CA181" t="inlineStr"/>
      <c r="CB181" t="inlineStr"/>
      <c r="CC181" t="inlineStr"/>
      <c r="CD181" t="inlineStr"/>
      <c r="CE181" t="inlineStr"/>
      <c r="CF181" t="inlineStr"/>
      <c r="CG181" t="inlineStr"/>
      <c r="CH181" t="inlineStr"/>
      <c r="CI181" t="inlineStr"/>
      <c r="CJ181" t="inlineStr"/>
      <c r="CK181" t="inlineStr"/>
      <c r="CL181" t="inlineStr"/>
      <c r="CM181" t="inlineStr"/>
      <c r="CN181" t="inlineStr"/>
      <c r="CO181" t="inlineStr"/>
      <c r="CP181" t="inlineStr"/>
      <c r="CQ181" t="inlineStr"/>
      <c r="CR181" t="inlineStr"/>
      <c r="CS181" t="inlineStr"/>
      <c r="CT181" t="inlineStr"/>
      <c r="CU181" t="inlineStr"/>
      <c r="CV181" t="inlineStr"/>
      <c r="CW181" t="inlineStr"/>
      <c r="CX181" t="inlineStr"/>
      <c r="CY181" t="inlineStr"/>
      <c r="CZ181" t="inlineStr"/>
      <c r="DA181" t="inlineStr"/>
      <c r="DB181" t="inlineStr"/>
      <c r="DC181" t="inlineStr"/>
      <c r="DD181" t="inlineStr"/>
      <c r="DE181" t="inlineStr"/>
      <c r="DF181" t="inlineStr"/>
      <c r="DG181" t="inlineStr"/>
      <c r="DH181" t="inlineStr"/>
      <c r="DI181" t="inlineStr"/>
      <c r="DJ181" t="inlineStr"/>
      <c r="DK181" t="inlineStr"/>
      <c r="DL181" t="inlineStr"/>
      <c r="DM181" t="inlineStr"/>
      <c r="DN181" t="inlineStr"/>
      <c r="DO181" t="inlineStr"/>
      <c r="DP181" t="inlineStr"/>
      <c r="DQ181" t="inlineStr"/>
      <c r="DR181" t="inlineStr"/>
      <c r="DS181" t="inlineStr"/>
      <c r="DT181" t="inlineStr"/>
      <c r="DU181" t="inlineStr"/>
      <c r="DV181" t="inlineStr"/>
      <c r="DW181" t="inlineStr"/>
      <c r="DX181" t="inlineStr"/>
      <c r="DY181" t="inlineStr"/>
      <c r="DZ181" t="inlineStr"/>
      <c r="EA181" t="inlineStr"/>
      <c r="EB181" t="inlineStr"/>
      <c r="EC181" t="inlineStr"/>
      <c r="ED181" t="inlineStr"/>
      <c r="EE181" t="inlineStr"/>
      <c r="EF181" t="inlineStr"/>
      <c r="EG181" t="inlineStr"/>
      <c r="EH181" t="inlineStr"/>
      <c r="EI181" t="inlineStr"/>
      <c r="EJ181" t="inlineStr"/>
      <c r="EK181" t="inlineStr"/>
      <c r="EL181" t="inlineStr"/>
      <c r="EM181" t="inlineStr"/>
      <c r="EN181" t="inlineStr"/>
      <c r="EO181" t="inlineStr"/>
      <c r="EP181" t="inlineStr"/>
      <c r="EQ181" t="inlineStr"/>
      <c r="ER181" t="inlineStr"/>
      <c r="ES181" t="inlineStr"/>
      <c r="ET181" t="inlineStr"/>
      <c r="EU181" t="inlineStr"/>
      <c r="EV181" t="inlineStr"/>
      <c r="EW181" t="inlineStr"/>
      <c r="EX181" t="inlineStr"/>
      <c r="EY181" t="inlineStr"/>
      <c r="EZ181" t="inlineStr"/>
      <c r="FA181" t="inlineStr"/>
      <c r="FB181" t="inlineStr"/>
      <c r="FC181" t="inlineStr"/>
      <c r="FD181" t="inlineStr"/>
      <c r="FE181" t="inlineStr"/>
      <c r="FF181" t="inlineStr"/>
      <c r="FG181" t="inlineStr"/>
      <c r="FH181" t="inlineStr"/>
      <c r="FI181" t="inlineStr"/>
      <c r="FJ181" t="inlineStr"/>
      <c r="FK181" t="inlineStr"/>
      <c r="FL181" t="inlineStr"/>
      <c r="FM181" t="inlineStr"/>
      <c r="FN181" t="inlineStr"/>
      <c r="FO181" t="inlineStr"/>
      <c r="FP181" t="inlineStr"/>
      <c r="FQ181" t="inlineStr"/>
      <c r="FR181" t="inlineStr"/>
      <c r="FS181" t="inlineStr"/>
      <c r="FT181" t="inlineStr"/>
      <c r="FU181" t="inlineStr"/>
      <c r="FV181" t="inlineStr"/>
      <c r="FW181" t="inlineStr"/>
      <c r="FX181" t="inlineStr"/>
      <c r="FY181" t="inlineStr"/>
      <c r="FZ181" t="inlineStr"/>
      <c r="GA181" t="inlineStr"/>
      <c r="GB181" t="inlineStr"/>
      <c r="GC181" t="inlineStr"/>
      <c r="GD181" t="inlineStr"/>
      <c r="GE181" t="inlineStr"/>
      <c r="GF181" t="inlineStr"/>
      <c r="GG181" t="inlineStr"/>
      <c r="GH181" t="inlineStr"/>
      <c r="GI181" t="inlineStr"/>
      <c r="GJ181" t="inlineStr"/>
      <c r="GK181" t="inlineStr"/>
      <c r="GL181" t="inlineStr"/>
      <c r="GM181" t="inlineStr"/>
      <c r="GN181" t="inlineStr"/>
      <c r="GO181" t="inlineStr"/>
      <c r="GP181" t="inlineStr"/>
      <c r="GQ181" t="inlineStr"/>
      <c r="GR181" t="inlineStr"/>
      <c r="GS181" t="inlineStr"/>
      <c r="GT181" t="inlineStr"/>
      <c r="GU181" t="inlineStr"/>
      <c r="GV181" t="inlineStr"/>
      <c r="GW181" t="inlineStr"/>
      <c r="GX181" t="inlineStr"/>
      <c r="GY181" t="inlineStr"/>
      <c r="GZ181" t="inlineStr"/>
      <c r="HA181" t="inlineStr"/>
      <c r="HB181" t="inlineStr"/>
      <c r="HC181" t="inlineStr"/>
      <c r="HD181" t="inlineStr"/>
      <c r="HE181" t="inlineStr"/>
      <c r="HF181" t="inlineStr"/>
      <c r="HG181" t="inlineStr"/>
      <c r="HH181" t="inlineStr"/>
      <c r="HI181" t="inlineStr"/>
      <c r="HJ181" t="inlineStr"/>
      <c r="HK181" t="inlineStr"/>
      <c r="HL181" t="inlineStr"/>
      <c r="HM181" t="inlineStr"/>
      <c r="HN181" t="inlineStr"/>
      <c r="HO181" t="inlineStr"/>
      <c r="HP181" t="inlineStr"/>
      <c r="HQ181" t="inlineStr"/>
      <c r="HR181" t="inlineStr"/>
      <c r="HS181" t="inlineStr"/>
      <c r="HT181" t="inlineStr"/>
      <c r="HU181" t="inlineStr"/>
      <c r="HV181" t="inlineStr"/>
      <c r="HW181" t="inlineStr"/>
      <c r="HX181" t="inlineStr"/>
      <c r="HY181" t="inlineStr"/>
      <c r="HZ181" t="inlineStr"/>
      <c r="IA181" t="inlineStr"/>
      <c r="IB181" t="inlineStr"/>
      <c r="IC181" t="inlineStr"/>
      <c r="ID181" t="inlineStr"/>
      <c r="IE181" t="inlineStr">
        <is>
          <t>974</t>
        </is>
      </c>
      <c r="IF181" t="inlineStr">
        <is>
          <t>Blog (974)</t>
        </is>
      </c>
      <c r="IG181" t="inlineStr"/>
      <c r="IH181" t="inlineStr"/>
      <c r="II181" t="inlineStr"/>
      <c r="IJ181" t="inlineStr"/>
      <c r="IK181" t="inlineStr"/>
      <c r="IL181" t="inlineStr"/>
      <c r="IM181" t="inlineStr"/>
      <c r="IN181" t="inlineStr"/>
      <c r="IO181" t="inlineStr"/>
      <c r="IP181" t="inlineStr"/>
      <c r="IQ181" t="inlineStr"/>
      <c r="IR181" t="inlineStr"/>
      <c r="IS181">
        <f>IF(input_content_type="",FALSE,ISNUMBER(SEARCH(","&amp;LOWER(input_content_type)&amp;",",","&amp;LOWER(F181)&amp;",")))</f>
        <v/>
      </c>
      <c r="IT181">
        <f>AND(IF(M181="",TRUE,IF(input_affiliations="",FALSE,SUMPRODUCT(--ISNUMBER(SEARCH(","&amp;TRIM(TEXTSPLIT(M181,","))&amp;",",","&amp;SUBSTITUTE(input_affiliations," ","")&amp;",")))&gt;0)),IF(O181="",TRUE,IF(input_affiliations="",FALSE,SUMPRODUCT(--ISNUMBER(SEARCH(","&amp;TRIM(TEXTSPLIT(O181,","))&amp;",",","&amp;SUBSTITUTE(input_affiliations," ","")&amp;",")))=COUNTA(TEXTSPLIT(O181,",")))),IF(Q181="",TRUE,IF(input_affiliations="",TRUE,SUMPRODUCT(--ISNUMBER(SEARCH(","&amp;TRIM(TEXTSPLIT(Q181,","))&amp;",",","&amp;SUBSTITUTE(input_affiliations," ","")&amp;",")))=0)),IF(S181="",TRUE,IF(input_affiliations="",FALSE,SUMPRODUCT(--ISNUMBER(SEARCH(","&amp;TRIM(TEXTSPLIT(S181,","))&amp;",",","&amp;SUBSTITUTE(input_affiliations," ","")&amp;",")))&gt;0)),IF(U181="",TRUE,IF(input_affiliations="",FALSE,SUMPRODUCT(--ISNUMBER(SEARCH(","&amp;TRIM(TEXTSPLIT(U181,","))&amp;",",","&amp;SUBSTITUTE(input_affiliations," ","")&amp;",")))=COUNTA(TEXTSPLIT(U181,",")))))</f>
        <v/>
      </c>
      <c r="IU181">
        <f>AND(IF(W181="",TRUE,IF(input_announcement_category="",FALSE,SUMPRODUCT(--ISNUMBER(SEARCH(","&amp;TRIM(TEXTSPLIT(W181,","))&amp;",",","&amp;SUBSTITUTE(input_announcement_category," ","")&amp;",")))&gt;0)),IF(Y181="",TRUE,IF(input_announcement_category="",FALSE,SUMPRODUCT(--ISNUMBER(SEARCH(","&amp;TRIM(TEXTSPLIT(Y181,","))&amp;",",","&amp;SUBSTITUTE(input_announcement_category," ","")&amp;",")))=COUNTA(TEXTSPLIT(Y181,",")))),IF(AA181="",TRUE,IF(input_announcement_category="",TRUE,SUMPRODUCT(--ISNUMBER(SEARCH(","&amp;TRIM(TEXTSPLIT(AA181,","))&amp;",",","&amp;SUBSTITUTE(input_announcement_category," ","")&amp;",")))=0)),IF(AC181="",TRUE,IF(input_announcement_category="",FALSE,SUMPRODUCT(--ISNUMBER(SEARCH(","&amp;TRIM(TEXTSPLIT(AC181,","))&amp;",",","&amp;SUBSTITUTE(input_announcement_category," ","")&amp;",")))&gt;0)),IF(AE181="",TRUE,IF(input_announcement_category="",FALSE,SUMPRODUCT(--ISNUMBER(SEARCH(","&amp;TRIM(TEXTSPLIT(AE181,","))&amp;",",","&amp;SUBSTITUTE(input_announcement_category," ","")&amp;",")))=COUNTA(TEXTSPLIT(AE181,",")))))</f>
        <v/>
      </c>
      <c r="IV181">
        <f>AND(IF(AG181="",TRUE,IF(input_area_of_focus="",FALSE,SUMPRODUCT(--ISNUMBER(SEARCH(","&amp;TRIM(TEXTSPLIT(AG181,","))&amp;",",","&amp;SUBSTITUTE(input_area_of_focus," ","")&amp;",")))&gt;0)),IF(AI181="",TRUE,IF(input_area_of_focus="",FALSE,SUMPRODUCT(--ISNUMBER(SEARCH(","&amp;TRIM(TEXTSPLIT(AI181,","))&amp;",",","&amp;SUBSTITUTE(input_area_of_focus," ","")&amp;",")))=COUNTA(TEXTSPLIT(AI181,",")))),IF(AK181="",TRUE,IF(input_area_of_focus="",TRUE,SUMPRODUCT(--ISNUMBER(SEARCH(","&amp;TRIM(TEXTSPLIT(AK181,","))&amp;",",","&amp;SUBSTITUTE(input_area_of_focus," ","")&amp;",")))=0)),IF(AM181="",TRUE,IF(input_area_of_focus="",FALSE,SUMPRODUCT(--ISNUMBER(SEARCH(","&amp;TRIM(TEXTSPLIT(AM181,","))&amp;",",","&amp;SUBSTITUTE(input_area_of_focus," ","")&amp;",")))&gt;0)),IF(AO181="",TRUE,IF(input_area_of_focus="",FALSE,SUMPRODUCT(--ISNUMBER(SEARCH(","&amp;TRIM(TEXTSPLIT(AO181,","))&amp;",",","&amp;SUBSTITUTE(input_area_of_focus," ","")&amp;",")))=COUNTA(TEXTSPLIT(AO181,",")))))</f>
        <v/>
      </c>
      <c r="IW181">
        <f>AND(IF(AQ181="",TRUE,IF(input_audience="",FALSE,SUMPRODUCT(--ISNUMBER(SEARCH(","&amp;TRIM(TEXTSPLIT(AQ181,","))&amp;",",","&amp;SUBSTITUTE(input_audience," ","")&amp;",")))&gt;0)),IF(AS181="",TRUE,IF(input_audience="",FALSE,SUMPRODUCT(--ISNUMBER(SEARCH(","&amp;TRIM(TEXTSPLIT(AS181,","))&amp;",",","&amp;SUBSTITUTE(input_audience," ","")&amp;",")))=COUNTA(TEXTSPLIT(AS181,",")))),IF(AU181="",TRUE,IF(input_audience="",TRUE,SUMPRODUCT(--ISNUMBER(SEARCH(","&amp;TRIM(TEXTSPLIT(AU181,","))&amp;",",","&amp;SUBSTITUTE(input_audience," ","")&amp;",")))=0)),IF(AW181="",TRUE,IF(input_audience="",FALSE,SUMPRODUCT(--ISNUMBER(SEARCH(","&amp;TRIM(TEXTSPLIT(AW181,","))&amp;",",","&amp;SUBSTITUTE(input_audience," ","")&amp;",")))&gt;0)),IF(AY181="",TRUE,IF(input_audience="",FALSE,SUMPRODUCT(--ISNUMBER(SEARCH(","&amp;TRIM(TEXTSPLIT(AY181,","))&amp;",",","&amp;SUBSTITUTE(input_audience," ","")&amp;",")))=COUNTA(TEXTSPLIT(AY181,",")))))</f>
        <v/>
      </c>
      <c r="IX181">
        <f>AND(IF(BA181="",TRUE,IF(input_challenge_opportunities="",FALSE,SUMPRODUCT(--ISNUMBER(SEARCH(","&amp;TRIM(TEXTSPLIT(BA181,","))&amp;",",","&amp;SUBSTITUTE(input_challenge_opportunities," ","")&amp;",")))&gt;0)),IF(BC181="",TRUE,IF(input_challenge_opportunities="",FALSE,SUMPRODUCT(--ISNUMBER(SEARCH(","&amp;TRIM(TEXTSPLIT(BC181,","))&amp;",",","&amp;SUBSTITUTE(input_challenge_opportunities," ","")&amp;",")))=COUNTA(TEXTSPLIT(BC181,",")))),IF(BE181="",TRUE,IF(input_challenge_opportunities="",TRUE,SUMPRODUCT(--ISNUMBER(SEARCH(","&amp;TRIM(TEXTSPLIT(BE181,","))&amp;",",","&amp;SUBSTITUTE(input_challenge_opportunities," ","")&amp;",")))=0)),IF(BG181="",TRUE,IF(input_challenge_opportunities="",FALSE,SUMPRODUCT(--ISNUMBER(SEARCH(","&amp;TRIM(TEXTSPLIT(BG181,","))&amp;",",","&amp;SUBSTITUTE(input_challenge_opportunities," ","")&amp;",")))&gt;0)),IF(BI181="",TRUE,IF(input_challenge_opportunities="",FALSE,SUMPRODUCT(--ISNUMBER(SEARCH(","&amp;TRIM(TEXTSPLIT(BI181,","))&amp;",",","&amp;SUBSTITUTE(input_challenge_opportunities," ","")&amp;",")))=COUNTA(TEXTSPLIT(BI181,",")))))</f>
        <v/>
      </c>
      <c r="IY181">
        <f>AND(IF(BK181="",TRUE,IF(input_context="",FALSE,SUMPRODUCT(--ISNUMBER(SEARCH(","&amp;TRIM(TEXTSPLIT(BK181,","))&amp;",",","&amp;SUBSTITUTE(input_context," ","")&amp;",")))&gt;0)),IF(BM181="",TRUE,IF(input_context="",FALSE,SUMPRODUCT(--ISNUMBER(SEARCH(","&amp;TRIM(TEXTSPLIT(BM181,","))&amp;",",","&amp;SUBSTITUTE(input_context," ","")&amp;",")))=COUNTA(TEXTSPLIT(BM181,",")))),IF(BO181="",TRUE,IF(input_context="",TRUE,SUMPRODUCT(--ISNUMBER(SEARCH(","&amp;TRIM(TEXTSPLIT(BO181,","))&amp;",",","&amp;SUBSTITUTE(input_context," ","")&amp;",")))=0)),IF(BQ181="",TRUE,IF(input_context="",FALSE,SUMPRODUCT(--ISNUMBER(SEARCH(","&amp;TRIM(TEXTSPLIT(BQ181,","))&amp;",",","&amp;SUBSTITUTE(input_context," ","")&amp;",")))&gt;0)),IF(BS181="",TRUE,IF(input_context="",FALSE,SUMPRODUCT(--ISNUMBER(SEARCH(","&amp;TRIM(TEXTSPLIT(BS181,","))&amp;",",","&amp;SUBSTITUTE(input_context," ","")&amp;",")))=COUNTA(TEXTSPLIT(BS181,",")))))</f>
        <v/>
      </c>
      <c r="IZ181">
        <f>AND(IF(BU181="",TRUE,IF(input_enews_announcement_type="",FALSE,SUMPRODUCT(--ISNUMBER(SEARCH(","&amp;TRIM(TEXTSPLIT(BU181,","))&amp;",",","&amp;SUBSTITUTE(input_enews_announcement_type," ","")&amp;",")))&gt;0)),IF(BW181="",TRUE,IF(input_enews_announcement_type="",FALSE,SUMPRODUCT(--ISNUMBER(SEARCH(","&amp;TRIM(TEXTSPLIT(BW181,","))&amp;",",","&amp;SUBSTITUTE(input_enews_announcement_type," ","")&amp;",")))=COUNTA(TEXTSPLIT(BW181,",")))),IF(BY181="",TRUE,IF(input_enews_announcement_type="",TRUE,SUMPRODUCT(--ISNUMBER(SEARCH(","&amp;TRIM(TEXTSPLIT(BY181,","))&amp;",",","&amp;SUBSTITUTE(input_enews_announcement_type," ","")&amp;",")))=0)),IF(CA181="",TRUE,IF(input_enews_announcement_type="",FALSE,SUMPRODUCT(--ISNUMBER(SEARCH(","&amp;TRIM(TEXTSPLIT(CA181,","))&amp;",",","&amp;SUBSTITUTE(input_enews_announcement_type," ","")&amp;",")))&gt;0)),IF(CC181="",TRUE,IF(input_enews_announcement_type="",FALSE,SUMPRODUCT(--ISNUMBER(SEARCH(","&amp;TRIM(TEXTSPLIT(CC181,","))&amp;",",","&amp;SUBSTITUTE(input_enews_announcement_type," ","")&amp;",")))=COUNTA(TEXTSPLIT(CC181,",")))))</f>
        <v/>
      </c>
      <c r="JA181">
        <f>AND(IF(CE181="",TRUE,IF(input_enews_audience="",FALSE,SUMPRODUCT(--ISNUMBER(SEARCH(","&amp;TRIM(TEXTSPLIT(CE181,","))&amp;",",","&amp;SUBSTITUTE(input_enews_audience," ","")&amp;",")))&gt;0)),IF(CG181="",TRUE,IF(input_enews_audience="",FALSE,SUMPRODUCT(--ISNUMBER(SEARCH(","&amp;TRIM(TEXTSPLIT(CG181,","))&amp;",",","&amp;SUBSTITUTE(input_enews_audience," ","")&amp;",")))=COUNTA(TEXTSPLIT(CG181,",")))),IF(CI181="",TRUE,IF(input_enews_audience="",TRUE,SUMPRODUCT(--ISNUMBER(SEARCH(","&amp;TRIM(TEXTSPLIT(CI181,","))&amp;",",","&amp;SUBSTITUTE(input_enews_audience," ","")&amp;",")))=0)),IF(CK181="",TRUE,IF(input_enews_audience="",FALSE,SUMPRODUCT(--ISNUMBER(SEARCH(","&amp;TRIM(TEXTSPLIT(CK181,","))&amp;",",","&amp;SUBSTITUTE(input_enews_audience," ","")&amp;",")))&gt;0)),IF(CM181="",TRUE,IF(input_enews_audience="",FALSE,SUMPRODUCT(--ISNUMBER(SEARCH(","&amp;TRIM(TEXTSPLIT(CM181,","))&amp;",",","&amp;SUBSTITUTE(input_enews_audience," ","")&amp;",")))=COUNTA(TEXTSPLIT(CM181,",")))))</f>
        <v/>
      </c>
      <c r="JB181">
        <f>AND(IF(CO181="",TRUE,IF(input_event_location="",FALSE,SUMPRODUCT(--ISNUMBER(SEARCH(","&amp;TRIM(TEXTSPLIT(CO181,","))&amp;",",","&amp;SUBSTITUTE(input_event_location," ","")&amp;",")))&gt;0)),IF(CQ181="",TRUE,IF(input_event_location="",FALSE,SUMPRODUCT(--ISNUMBER(SEARCH(","&amp;TRIM(TEXTSPLIT(CQ181,","))&amp;",",","&amp;SUBSTITUTE(input_event_location," ","")&amp;",")))=COUNTA(TEXTSPLIT(CQ181,",")))),IF(CS181="",TRUE,IF(input_event_location="",TRUE,SUMPRODUCT(--ISNUMBER(SEARCH(","&amp;TRIM(TEXTSPLIT(CS181,","))&amp;",",","&amp;SUBSTITUTE(input_event_location," ","")&amp;",")))=0)),IF(CU181="",TRUE,IF(input_event_location="",FALSE,SUMPRODUCT(--ISNUMBER(SEARCH(","&amp;TRIM(TEXTSPLIT(CU181,","))&amp;",",","&amp;SUBSTITUTE(input_event_location," ","")&amp;",")))&gt;0)),IF(CW181="",TRUE,IF(input_event_location="",FALSE,SUMPRODUCT(--ISNUMBER(SEARCH(","&amp;TRIM(TEXTSPLIT(CW181,","))&amp;",",","&amp;SUBSTITUTE(input_event_location," ","")&amp;",")))=COUNTA(TEXTSPLIT(CW181,",")))))</f>
        <v/>
      </c>
      <c r="JC181">
        <f>AND(IF(CY181="",TRUE,IF(input_event_type="",FALSE,SUMPRODUCT(--ISNUMBER(SEARCH(","&amp;TRIM(TEXTSPLIT(CY181,","))&amp;",",","&amp;SUBSTITUTE(input_event_type," ","")&amp;",")))&gt;0)),IF(DA181="",TRUE,IF(input_event_type="",FALSE,SUMPRODUCT(--ISNUMBER(SEARCH(","&amp;TRIM(TEXTSPLIT(DA181,","))&amp;",",","&amp;SUBSTITUTE(input_event_type," ","")&amp;",")))=COUNTA(TEXTSPLIT(DA181,",")))),IF(DC181="",TRUE,IF(input_event_type="",TRUE,SUMPRODUCT(--ISNUMBER(SEARCH(","&amp;TRIM(TEXTSPLIT(DC181,","))&amp;",",","&amp;SUBSTITUTE(input_event_type," ","")&amp;",")))=0)),IF(DE181="",TRUE,IF(input_event_type="",FALSE,SUMPRODUCT(--ISNUMBER(SEARCH(","&amp;TRIM(TEXTSPLIT(DE181,","))&amp;",",","&amp;SUBSTITUTE(input_event_type," ","")&amp;",")))&gt;0)),IF(DG181="",TRUE,IF(input_event_type="",FALSE,SUMPRODUCT(--ISNUMBER(SEARCH(","&amp;TRIM(TEXTSPLIT(DG181,","))&amp;",",","&amp;SUBSTITUTE(input_event_type," ","")&amp;",")))=COUNTA(TEXTSPLIT(DG181,",")))))</f>
        <v/>
      </c>
      <c r="JD181">
        <f>AND(IF(DI181="",TRUE,IF(input_executive_education_focus="",FALSE,SUMPRODUCT(--ISNUMBER(SEARCH(","&amp;TRIM(TEXTSPLIT(DI181,","))&amp;",",","&amp;SUBSTITUTE(input_executive_education_focus," ","")&amp;",")))&gt;0)),IF(DK181="",TRUE,IF(input_executive_education_focus="",FALSE,SUMPRODUCT(--ISNUMBER(SEARCH(","&amp;TRIM(TEXTSPLIT(DK181,","))&amp;",",","&amp;SUBSTITUTE(input_executive_education_focus," ","")&amp;",")))=COUNTA(TEXTSPLIT(DK181,",")))),IF(DM181="",TRUE,IF(input_executive_education_focus="",TRUE,SUMPRODUCT(--ISNUMBER(SEARCH(","&amp;TRIM(TEXTSPLIT(DM181,","))&amp;",",","&amp;SUBSTITUTE(input_executive_education_focus," ","")&amp;",")))=0)),IF(DO181="",TRUE,IF(input_executive_education_focus="",FALSE,SUMPRODUCT(--ISNUMBER(SEARCH(","&amp;TRIM(TEXTSPLIT(DO181,","))&amp;",",","&amp;SUBSTITUTE(input_executive_education_focus," ","")&amp;",")))&gt;0)),IF(DQ181="",TRUE,IF(input_executive_education_focus="",FALSE,SUMPRODUCT(--ISNUMBER(SEARCH(","&amp;TRIM(TEXTSPLIT(DQ181,","))&amp;",",","&amp;SUBSTITUTE(input_executive_education_focus," ","")&amp;",")))=COUNTA(TEXTSPLIT(DQ181,",")))))</f>
        <v/>
      </c>
      <c r="JE181">
        <f>AND(IF(DS181="",TRUE,IF(input_faculty_category="",FALSE,SUMPRODUCT(--ISNUMBER(SEARCH(","&amp;TRIM(TEXTSPLIT(DS181,","))&amp;",",","&amp;SUBSTITUTE(input_faculty_category," ","")&amp;",")))&gt;0)),IF(DU181="",TRUE,IF(input_faculty_category="",FALSE,SUMPRODUCT(--ISNUMBER(SEARCH(","&amp;TRIM(TEXTSPLIT(DU181,","))&amp;",",","&amp;SUBSTITUTE(input_faculty_category," ","")&amp;",")))=COUNTA(TEXTSPLIT(DU181,",")))),IF(DW181="",TRUE,IF(input_faculty_category="",TRUE,SUMPRODUCT(--ISNUMBER(SEARCH(","&amp;TRIM(TEXTSPLIT(DW181,","))&amp;",",","&amp;SUBSTITUTE(input_faculty_category," ","")&amp;",")))=0)),IF(DY181="",TRUE,IF(input_faculty_category="",FALSE,SUMPRODUCT(--ISNUMBER(SEARCH(","&amp;TRIM(TEXTSPLIT(DY181,","))&amp;",",","&amp;SUBSTITUTE(input_faculty_category," ","")&amp;",")))&gt;0)),IF(EA181="",TRUE,IF(input_faculty_category="",FALSE,SUMPRODUCT(--ISNUMBER(SEARCH(","&amp;TRIM(TEXTSPLIT(EA181,","))&amp;",",","&amp;SUBSTITUTE(input_faculty_category," ","")&amp;",")))=COUNTA(TEXTSPLIT(EA181,",")))))</f>
        <v/>
      </c>
      <c r="JF181">
        <f>AND(IF(EC181="",TRUE,IF(input_faculty_discipline="",FALSE,SUMPRODUCT(--ISNUMBER(SEARCH(","&amp;TRIM(TEXTSPLIT(EC181,","))&amp;",",","&amp;SUBSTITUTE(input_faculty_discipline," ","")&amp;",")))&gt;0)),IF(EE181="",TRUE,IF(input_faculty_discipline="",FALSE,SUMPRODUCT(--ISNUMBER(SEARCH(","&amp;TRIM(TEXTSPLIT(EE181,","))&amp;",",","&amp;SUBSTITUTE(input_faculty_discipline," ","")&amp;",")))=COUNTA(TEXTSPLIT(EE181,",")))),IF(EG181="",TRUE,IF(input_faculty_discipline="",TRUE,SUMPRODUCT(--ISNUMBER(SEARCH(","&amp;TRIM(TEXTSPLIT(EG181,","))&amp;",",","&amp;SUBSTITUTE(input_faculty_discipline," ","")&amp;",")))=0)),IF(EI181="",TRUE,IF(input_faculty_discipline="",FALSE,SUMPRODUCT(--ISNUMBER(SEARCH(","&amp;TRIM(TEXTSPLIT(EI181,","))&amp;",",","&amp;SUBSTITUTE(input_faculty_discipline," ","")&amp;",")))&gt;0)),IF(EK181="",TRUE,IF(input_faculty_discipline="",FALSE,SUMPRODUCT(--ISNUMBER(SEARCH(","&amp;TRIM(TEXTSPLIT(EK181,","))&amp;",",","&amp;SUBSTITUTE(input_faculty_discipline," ","")&amp;",")))=COUNTA(TEXTSPLIT(EK181,",")))))</f>
        <v/>
      </c>
      <c r="JG181">
        <f>AND(IF(EM181="",TRUE,IF(input_faculty_expertise="",FALSE,SUMPRODUCT(--ISNUMBER(SEARCH(","&amp;TRIM(TEXTSPLIT(EM181,","))&amp;",",","&amp;SUBSTITUTE(input_faculty_expertise," ","")&amp;",")))&gt;0)),IF(EO181="",TRUE,IF(input_faculty_expertise="",FALSE,SUMPRODUCT(--ISNUMBER(SEARCH(","&amp;TRIM(TEXTSPLIT(EO181,","))&amp;",",","&amp;SUBSTITUTE(input_faculty_expertise," ","")&amp;",")))=COUNTA(TEXTSPLIT(EO181,",")))),IF(EQ181="",TRUE,IF(input_faculty_expertise="",TRUE,SUMPRODUCT(--ISNUMBER(SEARCH(","&amp;TRIM(TEXTSPLIT(EQ181,","))&amp;",",","&amp;SUBSTITUTE(input_faculty_expertise," ","")&amp;",")))=0)),IF(ES181="",TRUE,IF(input_faculty_expertise="",FALSE,SUMPRODUCT(--ISNUMBER(SEARCH(","&amp;TRIM(TEXTSPLIT(ES181,","))&amp;",",","&amp;SUBSTITUTE(input_faculty_expertise," ","")&amp;",")))&gt;0)),IF(EU181="",TRUE,IF(input_faculty_expertise="",FALSE,SUMPRODUCT(--ISNUMBER(SEARCH(","&amp;TRIM(TEXTSPLIT(EU181,","))&amp;",",","&amp;SUBSTITUTE(input_faculty_expertise," ","")&amp;",")))=COUNTA(TEXTSPLIT(EU181,",")))))</f>
        <v/>
      </c>
      <c r="JH181">
        <f>AND(IF(EW181="",TRUE,IF(input_global_network_school="",FALSE,SUMPRODUCT(--ISNUMBER(SEARCH(","&amp;TRIM(TEXTSPLIT(EW181,","))&amp;",",","&amp;SUBSTITUTE(input_global_network_school," ","")&amp;",")))&gt;0)),IF(EY181="",TRUE,IF(input_global_network_school="",FALSE,SUMPRODUCT(--ISNUMBER(SEARCH(","&amp;TRIM(TEXTSPLIT(EY181,","))&amp;",",","&amp;SUBSTITUTE(input_global_network_school," ","")&amp;",")))=COUNTA(TEXTSPLIT(EY181,",")))),IF(FA181="",TRUE,IF(input_global_network_school="",TRUE,SUMPRODUCT(--ISNUMBER(SEARCH(","&amp;TRIM(TEXTSPLIT(FA181,","))&amp;",",","&amp;SUBSTITUTE(input_global_network_school," ","")&amp;",")))=0)),IF(FC181="",TRUE,IF(input_global_network_school="",FALSE,SUMPRODUCT(--ISNUMBER(SEARCH(","&amp;TRIM(TEXTSPLIT(FC181,","))&amp;",",","&amp;SUBSTITUTE(input_global_network_school," ","")&amp;",")))&gt;0)),IF(FE181="",TRUE,IF(input_global_network_school="",FALSE,SUMPRODUCT(--ISNUMBER(SEARCH(","&amp;TRIM(TEXTSPLIT(FE181,","))&amp;",",","&amp;SUBSTITUTE(input_global_network_school," ","")&amp;",")))=COUNTA(TEXTSPLIT(FE181,",")))))</f>
        <v/>
      </c>
      <c r="JI181">
        <f>AND(IF(FG181="",TRUE,IF(input_industry="",FALSE,SUMPRODUCT(--ISNUMBER(SEARCH(","&amp;TRIM(TEXTSPLIT(FG181,","))&amp;",",","&amp;SUBSTITUTE(input_industry," ","")&amp;",")))&gt;0)),IF(FI181="",TRUE,IF(input_industry="",FALSE,SUMPRODUCT(--ISNUMBER(SEARCH(","&amp;TRIM(TEXTSPLIT(FI181,","))&amp;",",","&amp;SUBSTITUTE(input_industry," ","")&amp;",")))=COUNTA(TEXTSPLIT(FI181,",")))),IF(FK181="",TRUE,IF(input_industry="",TRUE,SUMPRODUCT(--ISNUMBER(SEARCH(","&amp;TRIM(TEXTSPLIT(FK181,","))&amp;",",","&amp;SUBSTITUTE(input_industry," ","")&amp;",")))=0)),IF(FM181="",TRUE,IF(input_industry="",FALSE,SUMPRODUCT(--ISNUMBER(SEARCH(","&amp;TRIM(TEXTSPLIT(FM181,","))&amp;",",","&amp;SUBSTITUTE(input_industry," ","")&amp;",")))&gt;0)),IF(FO181="",TRUE,IF(input_industry="",FALSE,SUMPRODUCT(--ISNUMBER(SEARCH(","&amp;TRIM(TEXTSPLIT(FO181,","))&amp;",",","&amp;SUBSTITUTE(input_industry," ","")&amp;",")))=COUNTA(TEXTSPLIT(FO181,",")))))</f>
        <v/>
      </c>
      <c r="JJ181">
        <f>AND(IF(FQ181="",TRUE,IF(input_location="",FALSE,SUMPRODUCT(--ISNUMBER(SEARCH(","&amp;TRIM(TEXTSPLIT(FQ181,","))&amp;",",","&amp;SUBSTITUTE(input_location," ","")&amp;",")))&gt;0)),IF(FS181="",TRUE,IF(input_location="",FALSE,SUMPRODUCT(--ISNUMBER(SEARCH(","&amp;TRIM(TEXTSPLIT(FS181,","))&amp;",",","&amp;SUBSTITUTE(input_location," ","")&amp;",")))=COUNTA(TEXTSPLIT(FS181,",")))),IF(FU181="",TRUE,IF(input_location="",TRUE,SUMPRODUCT(--ISNUMBER(SEARCH(","&amp;TRIM(TEXTSPLIT(FU181,","))&amp;",",","&amp;SUBSTITUTE(input_location," ","")&amp;",")))=0)),IF(FW181="",TRUE,IF(input_location="",FALSE,SUMPRODUCT(--ISNUMBER(SEARCH(","&amp;TRIM(TEXTSPLIT(FW181,","))&amp;",",","&amp;SUBSTITUTE(input_location," ","")&amp;",")))&gt;0)),IF(FY181="",TRUE,IF(input_location="",FALSE,SUMPRODUCT(--ISNUMBER(SEARCH(","&amp;TRIM(TEXTSPLIT(FY181,","))&amp;",",","&amp;SUBSTITUTE(input_location," ","")&amp;",")))=COUNTA(TEXTSPLIT(FY181,",")))))</f>
        <v/>
      </c>
      <c r="JK181">
        <f>AND(IF(GA181="",TRUE,IF(input_modality="",FALSE,SUMPRODUCT(--ISNUMBER(SEARCH(","&amp;TRIM(TEXTSPLIT(GA181,","))&amp;",",","&amp;SUBSTITUTE(input_modality," ","")&amp;",")))&gt;0)),IF(GC181="",TRUE,IF(input_modality="",FALSE,SUMPRODUCT(--ISNUMBER(SEARCH(","&amp;TRIM(TEXTSPLIT(GC181,","))&amp;",",","&amp;SUBSTITUTE(input_modality," ","")&amp;",")))=COUNTA(TEXTSPLIT(GC181,",")))),IF(GE181="",TRUE,IF(input_modality="",TRUE,SUMPRODUCT(--ISNUMBER(SEARCH(","&amp;TRIM(TEXTSPLIT(GE181,","))&amp;",",","&amp;SUBSTITUTE(input_modality," ","")&amp;",")))=0)),IF(GG181="",TRUE,IF(input_modality="",FALSE,SUMPRODUCT(--ISNUMBER(SEARCH(","&amp;TRIM(TEXTSPLIT(GG181,","))&amp;",",","&amp;SUBSTITUTE(input_modality," ","")&amp;",")))&gt;0)),IF(GI181="",TRUE,IF(input_modality="",FALSE,SUMPRODUCT(--ISNUMBER(SEARCH(","&amp;TRIM(TEXTSPLIT(GI181,","))&amp;",",","&amp;SUBSTITUTE(input_modality," ","")&amp;",")))=COUNTA(TEXTSPLIT(GI181,",")))))</f>
        <v/>
      </c>
      <c r="JL181">
        <f>AND(IF(GK181="",TRUE,IF(input_organizer="",FALSE,SUMPRODUCT(--ISNUMBER(SEARCH(","&amp;TRIM(TEXTSPLIT(GK181,","))&amp;",",","&amp;SUBSTITUTE(input_organizer," ","")&amp;",")))&gt;0)),IF(GM181="",TRUE,IF(input_organizer="",FALSE,SUMPRODUCT(--ISNUMBER(SEARCH(","&amp;TRIM(TEXTSPLIT(GM181,","))&amp;",",","&amp;SUBSTITUTE(input_organizer," ","")&amp;",")))=COUNTA(TEXTSPLIT(GM181,",")))),IF(GO181="",TRUE,IF(input_organizer="",TRUE,SUMPRODUCT(--ISNUMBER(SEARCH(","&amp;TRIM(TEXTSPLIT(GO181,","))&amp;",",","&amp;SUBSTITUTE(input_organizer," ","")&amp;",")))=0)),IF(GQ181="",TRUE,IF(input_organizer="",FALSE,SUMPRODUCT(--ISNUMBER(SEARCH(","&amp;TRIM(TEXTSPLIT(GQ181,","))&amp;",",","&amp;SUBSTITUTE(input_organizer," ","")&amp;",")))&gt;0)),IF(GS181="",TRUE,IF(input_organizer="",FALSE,SUMPRODUCT(--ISNUMBER(SEARCH(","&amp;TRIM(TEXTSPLIT(GS181,","))&amp;",",","&amp;SUBSTITUTE(input_organizer," ","")&amp;",")))=COUNTA(TEXTSPLIT(GS181,",")))))</f>
        <v/>
      </c>
      <c r="JM181">
        <f>AND(IF(GU181="",TRUE,IF(input_profile_type="",FALSE,SUMPRODUCT(--ISNUMBER(SEARCH(","&amp;TRIM(TEXTSPLIT(GU181,","))&amp;",",","&amp;SUBSTITUTE(input_profile_type," ","")&amp;",")))&gt;0)),IF(GW181="",TRUE,IF(input_profile_type="",FALSE,SUMPRODUCT(--ISNUMBER(SEARCH(","&amp;TRIM(TEXTSPLIT(GW181,","))&amp;",",","&amp;SUBSTITUTE(input_profile_type," ","")&amp;",")))=COUNTA(TEXTSPLIT(GW181,",")))),IF(GY181="",TRUE,IF(input_profile_type="",TRUE,SUMPRODUCT(--ISNUMBER(SEARCH(","&amp;TRIM(TEXTSPLIT(GY181,","))&amp;",",","&amp;SUBSTITUTE(input_profile_type," ","")&amp;",")))=0)),IF(HA181="",TRUE,IF(input_profile_type="",FALSE,SUMPRODUCT(--ISNUMBER(SEARCH(","&amp;TRIM(TEXTSPLIT(HA181,","))&amp;",",","&amp;SUBSTITUTE(input_profile_type," ","")&amp;",")))&gt;0)),IF(HC181="",TRUE,IF(input_profile_type="",FALSE,SUMPRODUCT(--ISNUMBER(SEARCH(","&amp;TRIM(TEXTSPLIT(HC181,","))&amp;",",","&amp;SUBSTITUTE(input_profile_type," ","")&amp;",")))=COUNTA(TEXTSPLIT(HC181,",")))))</f>
        <v/>
      </c>
      <c r="JN181">
        <f>AND(IF(HE181="",TRUE,IF(input_program="",FALSE,SUMPRODUCT(--ISNUMBER(SEARCH(","&amp;TRIM(TEXTSPLIT(HE181,","))&amp;",",","&amp;SUBSTITUTE(input_program," ","")&amp;",")))&gt;0)),IF(HG181="",TRUE,IF(input_program="",FALSE,SUMPRODUCT(--ISNUMBER(SEARCH(","&amp;TRIM(TEXTSPLIT(HG181,","))&amp;",",","&amp;SUBSTITUTE(input_program," ","")&amp;",")))=COUNTA(TEXTSPLIT(HG181,",")))),IF(HI181="",TRUE,IF(input_program="",TRUE,SUMPRODUCT(--ISNUMBER(SEARCH(","&amp;TRIM(TEXTSPLIT(HI181,","))&amp;",",","&amp;SUBSTITUTE(input_program," ","")&amp;",")))=0)),IF(HK181="",TRUE,IF(input_program="",FALSE,SUMPRODUCT(--ISNUMBER(SEARCH(","&amp;TRIM(TEXTSPLIT(HK181,","))&amp;",",","&amp;SUBSTITUTE(input_program," ","")&amp;",")))&gt;0)),IF(HM181="",TRUE,IF(input_program="",FALSE,SUMPRODUCT(--ISNUMBER(SEARCH(","&amp;TRIM(TEXTSPLIT(HM181,","))&amp;",",","&amp;SUBSTITUTE(input_program," ","")&amp;",")))=COUNTA(TEXTSPLIT(HM181,",")))))</f>
        <v/>
      </c>
      <c r="JO181">
        <f>AND(IF(HO181="",TRUE,IF(input_story_categories="",FALSE,SUMPRODUCT(--ISNUMBER(SEARCH(","&amp;TRIM(TEXTSPLIT(HO181,","))&amp;",",","&amp;SUBSTITUTE(input_story_categories," ","")&amp;",")))&gt;0)),IF(HQ181="",TRUE,IF(input_story_categories="",FALSE,SUMPRODUCT(--ISNUMBER(SEARCH(","&amp;TRIM(TEXTSPLIT(HQ181,","))&amp;",",","&amp;SUBSTITUTE(input_story_categories," ","")&amp;",")))=COUNTA(TEXTSPLIT(HQ181,",")))),IF(HS181="",TRUE,IF(input_story_categories="",TRUE,SUMPRODUCT(--ISNUMBER(SEARCH(","&amp;TRIM(TEXTSPLIT(HS181,","))&amp;",",","&amp;SUBSTITUTE(input_story_categories," ","")&amp;",")))=0)),IF(HU181="",TRUE,IF(input_story_categories="",FALSE,SUMPRODUCT(--ISNUMBER(SEARCH(","&amp;TRIM(TEXTSPLIT(HU181,","))&amp;",",","&amp;SUBSTITUTE(input_story_categories," ","")&amp;",")))&gt;0)),IF(HW181="",TRUE,IF(input_story_categories="",FALSE,SUMPRODUCT(--ISNUMBER(SEARCH(","&amp;TRIM(TEXTSPLIT(HW181,","))&amp;",",","&amp;SUBSTITUTE(input_story_categories," ","")&amp;",")))=COUNTA(TEXTSPLIT(HW181,",")))))</f>
        <v/>
      </c>
      <c r="JP181">
        <f>AND(IF(HY181="",TRUE,IF(input_story_type="",FALSE,SUMPRODUCT(--ISNUMBER(SEARCH(","&amp;TRIM(TEXTSPLIT(HY181,","))&amp;",",","&amp;SUBSTITUTE(input_story_type," ","")&amp;",")))&gt;0)),IF(IA181="",TRUE,IF(input_story_type="",FALSE,SUMPRODUCT(--ISNUMBER(SEARCH(","&amp;TRIM(TEXTSPLIT(IA181,","))&amp;",",","&amp;SUBSTITUTE(input_story_type," ","")&amp;",")))=COUNTA(TEXTSPLIT(IA181,",")))),IF(IC181="",TRUE,IF(input_story_type="",TRUE,SUMPRODUCT(--ISNUMBER(SEARCH(","&amp;TRIM(TEXTSPLIT(IC181,","))&amp;",",","&amp;SUBSTITUTE(input_story_type," ","")&amp;",")))=0)),IF(IE181="",TRUE,IF(input_story_type="",FALSE,SUMPRODUCT(--ISNUMBER(SEARCH(","&amp;TRIM(TEXTSPLIT(IE181,","))&amp;",",","&amp;SUBSTITUTE(input_story_type," ","")&amp;",")))&gt;0)),IF(IG181="",TRUE,IF(input_story_type="",FALSE,SUMPRODUCT(--ISNUMBER(SEARCH(","&amp;TRIM(TEXTSPLIT(IG181,","))&amp;",",","&amp;SUBSTITUTE(input_story_type," ","")&amp;",")))=COUNTA(TEXTSPLIT(IG181,",")))))</f>
        <v/>
      </c>
      <c r="JQ181">
        <f>AND(IF(II181="",TRUE,IF(input_topics="",FALSE,SUMPRODUCT(--ISNUMBER(SEARCH(","&amp;TRIM(TEXTSPLIT(II181,","))&amp;",",","&amp;SUBSTITUTE(input_topics," ","")&amp;",")))&gt;0)),IF(IK181="",TRUE,IF(input_topics="",FALSE,SUMPRODUCT(--ISNUMBER(SEARCH(","&amp;TRIM(TEXTSPLIT(IK181,","))&amp;",",","&amp;SUBSTITUTE(input_topics," ","")&amp;",")))=COUNTA(TEXTSPLIT(IK181,",")))),IF(IM181="",TRUE,IF(input_topics="",TRUE,SUMPRODUCT(--ISNUMBER(SEARCH(","&amp;TRIM(TEXTSPLIT(IM181,","))&amp;",",","&amp;SUBSTITUTE(input_topics," ","")&amp;",")))=0)),IF(IO181="",TRUE,IF(input_topics="",FALSE,SUMPRODUCT(--ISNUMBER(SEARCH(","&amp;TRIM(TEXTSPLIT(IO181,","))&amp;",",","&amp;SUBSTITUTE(input_topics," ","")&amp;",")))&gt;0)),IF(IQ181="",TRUE,IF(input_topics="",FALSE,SUMPRODUCT(--ISNUMBER(SEARCH(","&amp;TRIM(TEXTSPLIT(IQ181,","))&amp;",",","&amp;SUBSTITUTE(input_topics," ","")&amp;",")))=COUNTA(TEXTSPLIT(IQ181,",")))))</f>
        <v/>
      </c>
    </row>
    <row r="182">
      <c r="A182" s="4">
        <f>IF(NOT(IS182),"Excluded",IF(AND(IT182,IU182,IV182,IW182,IX182,IY182,IZ182,JA182,JB182,JC182,JD182,JE182,JF182,JG182,JH182,JI182,JJ182,JK182,JL182,JM182,JN182,JO182,JP182,JQ182),IF(I182&gt;0,"Eligible but limited","Will appear"),"Excluded"))</f>
        <v/>
      </c>
      <c r="B182" s="4" t="inlineStr">
        <is>
          <t>Related stories on story pages</t>
        </is>
      </c>
      <c r="C182" s="4" t="inlineStr">
        <is>
          <t>/blog/emba-students-team-up-to-bring-masks-to-the-most-vulnerable</t>
        </is>
      </c>
      <c r="D182" s="4" t="inlineStr">
        <is>
          <t>/blog/emba-students-team-up-to-bring-masks-to-the-most-vulnerable
/story/2023/making-difference-serving-local-refugee-community
/story/2025/going-beyond-buzzwords-yale-blockchain-conference</t>
        </is>
      </c>
      <c r="E182" s="4" t="n">
        <v>7</v>
      </c>
      <c r="F182" s="4" t="inlineStr">
        <is>
          <t>story</t>
        </is>
      </c>
      <c r="G182" s="4" t="inlineStr">
        <is>
          <t>stories_teaser_cards</t>
        </is>
      </c>
      <c r="H182" s="4" t="inlineStr">
        <is>
          <t>embed_all</t>
        </is>
      </c>
      <c r="I182" s="4" t="n">
        <v>3</v>
      </c>
      <c r="J182" s="4" t="inlineStr">
        <is>
          <t>Template logic</t>
        </is>
      </c>
      <c r="K182" s="4" t="inlineStr">
        <is>
          <t>Grouped surface</t>
        </is>
      </c>
      <c r="L182" s="4" t="inlineStr">
        <is>
          <t>Content type: story; Context uses Courses Context: MBA For Executives (928); Context uses Story Type: Blog (974); Limited to 3 item(s); Source: Template logic</t>
        </is>
      </c>
      <c r="M182" t="inlineStr"/>
      <c r="N182" t="inlineStr"/>
      <c r="O182" t="inlineStr"/>
      <c r="P182" t="inlineStr"/>
      <c r="Q182" t="inlineStr"/>
      <c r="R182" t="inlineStr"/>
      <c r="S182" t="inlineStr"/>
      <c r="T182" t="inlineStr"/>
      <c r="U182" t="inlineStr"/>
      <c r="V182" t="inlineStr"/>
      <c r="W182" t="inlineStr"/>
      <c r="X182" t="inlineStr"/>
      <c r="Y182" t="inlineStr"/>
      <c r="Z182" t="inlineStr"/>
      <c r="AA182" t="inlineStr"/>
      <c r="AB182" t="inlineStr"/>
      <c r="AC182" t="inlineStr"/>
      <c r="AD182" t="inlineStr"/>
      <c r="AE182" t="inlineStr"/>
      <c r="AF182" t="inlineStr"/>
      <c r="AG182" t="inlineStr"/>
      <c r="AH182" t="inlineStr"/>
      <c r="AI182" t="inlineStr"/>
      <c r="AJ182" t="inlineStr"/>
      <c r="AK182" t="inlineStr"/>
      <c r="AL182" t="inlineStr"/>
      <c r="AM182" t="inlineStr"/>
      <c r="AN182" t="inlineStr"/>
      <c r="AO182" t="inlineStr"/>
      <c r="AP182" t="inlineStr"/>
      <c r="AQ182" t="inlineStr"/>
      <c r="AR182" t="inlineStr"/>
      <c r="AS182" t="inlineStr"/>
      <c r="AT182" t="inlineStr"/>
      <c r="AU182" t="inlineStr"/>
      <c r="AV182" t="inlineStr"/>
      <c r="AW182" t="inlineStr"/>
      <c r="AX182" t="inlineStr"/>
      <c r="AY182" t="inlineStr"/>
      <c r="AZ182" t="inlineStr"/>
      <c r="BA182" t="inlineStr"/>
      <c r="BB182" t="inlineStr"/>
      <c r="BC182" t="inlineStr"/>
      <c r="BD182" t="inlineStr"/>
      <c r="BE182" t="inlineStr"/>
      <c r="BF182" t="inlineStr"/>
      <c r="BG182" t="inlineStr"/>
      <c r="BH182" t="inlineStr"/>
      <c r="BI182" t="inlineStr"/>
      <c r="BJ182" t="inlineStr"/>
      <c r="BK182" t="inlineStr"/>
      <c r="BL182" t="inlineStr"/>
      <c r="BM182" t="inlineStr"/>
      <c r="BN182" t="inlineStr"/>
      <c r="BO182" t="inlineStr"/>
      <c r="BP182" t="inlineStr"/>
      <c r="BQ182" t="inlineStr">
        <is>
          <t>928</t>
        </is>
      </c>
      <c r="BR182" t="inlineStr">
        <is>
          <t>MBA For Executives (928)</t>
        </is>
      </c>
      <c r="BS182" t="inlineStr"/>
      <c r="BT182" t="inlineStr"/>
      <c r="BU182" t="inlineStr"/>
      <c r="BV182" t="inlineStr"/>
      <c r="BW182" t="inlineStr"/>
      <c r="BX182" t="inlineStr"/>
      <c r="BY182" t="inlineStr"/>
      <c r="BZ182" t="inlineStr"/>
      <c r="CA182" t="inlineStr"/>
      <c r="CB182" t="inlineStr"/>
      <c r="CC182" t="inlineStr"/>
      <c r="CD182" t="inlineStr"/>
      <c r="CE182" t="inlineStr"/>
      <c r="CF182" t="inlineStr"/>
      <c r="CG182" t="inlineStr"/>
      <c r="CH182" t="inlineStr"/>
      <c r="CI182" t="inlineStr"/>
      <c r="CJ182" t="inlineStr"/>
      <c r="CK182" t="inlineStr"/>
      <c r="CL182" t="inlineStr"/>
      <c r="CM182" t="inlineStr"/>
      <c r="CN182" t="inlineStr"/>
      <c r="CO182" t="inlineStr"/>
      <c r="CP182" t="inlineStr"/>
      <c r="CQ182" t="inlineStr"/>
      <c r="CR182" t="inlineStr"/>
      <c r="CS182" t="inlineStr"/>
      <c r="CT182" t="inlineStr"/>
      <c r="CU182" t="inlineStr"/>
      <c r="CV182" t="inlineStr"/>
      <c r="CW182" t="inlineStr"/>
      <c r="CX182" t="inlineStr"/>
      <c r="CY182" t="inlineStr"/>
      <c r="CZ182" t="inlineStr"/>
      <c r="DA182" t="inlineStr"/>
      <c r="DB182" t="inlineStr"/>
      <c r="DC182" t="inlineStr"/>
      <c r="DD182" t="inlineStr"/>
      <c r="DE182" t="inlineStr"/>
      <c r="DF182" t="inlineStr"/>
      <c r="DG182" t="inlineStr"/>
      <c r="DH182" t="inlineStr"/>
      <c r="DI182" t="inlineStr"/>
      <c r="DJ182" t="inlineStr"/>
      <c r="DK182" t="inlineStr"/>
      <c r="DL182" t="inlineStr"/>
      <c r="DM182" t="inlineStr"/>
      <c r="DN182" t="inlineStr"/>
      <c r="DO182" t="inlineStr"/>
      <c r="DP182" t="inlineStr"/>
      <c r="DQ182" t="inlineStr"/>
      <c r="DR182" t="inlineStr"/>
      <c r="DS182" t="inlineStr"/>
      <c r="DT182" t="inlineStr"/>
      <c r="DU182" t="inlineStr"/>
      <c r="DV182" t="inlineStr"/>
      <c r="DW182" t="inlineStr"/>
      <c r="DX182" t="inlineStr"/>
      <c r="DY182" t="inlineStr"/>
      <c r="DZ182" t="inlineStr"/>
      <c r="EA182" t="inlineStr"/>
      <c r="EB182" t="inlineStr"/>
      <c r="EC182" t="inlineStr"/>
      <c r="ED182" t="inlineStr"/>
      <c r="EE182" t="inlineStr"/>
      <c r="EF182" t="inlineStr"/>
      <c r="EG182" t="inlineStr"/>
      <c r="EH182" t="inlineStr"/>
      <c r="EI182" t="inlineStr"/>
      <c r="EJ182" t="inlineStr"/>
      <c r="EK182" t="inlineStr"/>
      <c r="EL182" t="inlineStr"/>
      <c r="EM182" t="inlineStr"/>
      <c r="EN182" t="inlineStr"/>
      <c r="EO182" t="inlineStr"/>
      <c r="EP182" t="inlineStr"/>
      <c r="EQ182" t="inlineStr"/>
      <c r="ER182" t="inlineStr"/>
      <c r="ES182" t="inlineStr"/>
      <c r="ET182" t="inlineStr"/>
      <c r="EU182" t="inlineStr"/>
      <c r="EV182" t="inlineStr"/>
      <c r="EW182" t="inlineStr"/>
      <c r="EX182" t="inlineStr"/>
      <c r="EY182" t="inlineStr"/>
      <c r="EZ182" t="inlineStr"/>
      <c r="FA182" t="inlineStr"/>
      <c r="FB182" t="inlineStr"/>
      <c r="FC182" t="inlineStr"/>
      <c r="FD182" t="inlineStr"/>
      <c r="FE182" t="inlineStr"/>
      <c r="FF182" t="inlineStr"/>
      <c r="FG182" t="inlineStr"/>
      <c r="FH182" t="inlineStr"/>
      <c r="FI182" t="inlineStr"/>
      <c r="FJ182" t="inlineStr"/>
      <c r="FK182" t="inlineStr"/>
      <c r="FL182" t="inlineStr"/>
      <c r="FM182" t="inlineStr"/>
      <c r="FN182" t="inlineStr"/>
      <c r="FO182" t="inlineStr"/>
      <c r="FP182" t="inlineStr"/>
      <c r="FQ182" t="inlineStr"/>
      <c r="FR182" t="inlineStr"/>
      <c r="FS182" t="inlineStr"/>
      <c r="FT182" t="inlineStr"/>
      <c r="FU182" t="inlineStr"/>
      <c r="FV182" t="inlineStr"/>
      <c r="FW182" t="inlineStr"/>
      <c r="FX182" t="inlineStr"/>
      <c r="FY182" t="inlineStr"/>
      <c r="FZ182" t="inlineStr"/>
      <c r="GA182" t="inlineStr"/>
      <c r="GB182" t="inlineStr"/>
      <c r="GC182" t="inlineStr"/>
      <c r="GD182" t="inlineStr"/>
      <c r="GE182" t="inlineStr"/>
      <c r="GF182" t="inlineStr"/>
      <c r="GG182" t="inlineStr"/>
      <c r="GH182" t="inlineStr"/>
      <c r="GI182" t="inlineStr"/>
      <c r="GJ182" t="inlineStr"/>
      <c r="GK182" t="inlineStr"/>
      <c r="GL182" t="inlineStr"/>
      <c r="GM182" t="inlineStr"/>
      <c r="GN182" t="inlineStr"/>
      <c r="GO182" t="inlineStr"/>
      <c r="GP182" t="inlineStr"/>
      <c r="GQ182" t="inlineStr"/>
      <c r="GR182" t="inlineStr"/>
      <c r="GS182" t="inlineStr"/>
      <c r="GT182" t="inlineStr"/>
      <c r="GU182" t="inlineStr"/>
      <c r="GV182" t="inlineStr"/>
      <c r="GW182" t="inlineStr"/>
      <c r="GX182" t="inlineStr"/>
      <c r="GY182" t="inlineStr"/>
      <c r="GZ182" t="inlineStr"/>
      <c r="HA182" t="inlineStr"/>
      <c r="HB182" t="inlineStr"/>
      <c r="HC182" t="inlineStr"/>
      <c r="HD182" t="inlineStr"/>
      <c r="HE182" t="inlineStr"/>
      <c r="HF182" t="inlineStr"/>
      <c r="HG182" t="inlineStr"/>
      <c r="HH182" t="inlineStr"/>
      <c r="HI182" t="inlineStr"/>
      <c r="HJ182" t="inlineStr"/>
      <c r="HK182" t="inlineStr"/>
      <c r="HL182" t="inlineStr"/>
      <c r="HM182" t="inlineStr"/>
      <c r="HN182" t="inlineStr"/>
      <c r="HO182" t="inlineStr"/>
      <c r="HP182" t="inlineStr"/>
      <c r="HQ182" t="inlineStr"/>
      <c r="HR182" t="inlineStr"/>
      <c r="HS182" t="inlineStr"/>
      <c r="HT182" t="inlineStr"/>
      <c r="HU182" t="inlineStr"/>
      <c r="HV182" t="inlineStr"/>
      <c r="HW182" t="inlineStr"/>
      <c r="HX182" t="inlineStr"/>
      <c r="HY182" t="inlineStr"/>
      <c r="HZ182" t="inlineStr"/>
      <c r="IA182" t="inlineStr"/>
      <c r="IB182" t="inlineStr"/>
      <c r="IC182" t="inlineStr"/>
      <c r="ID182" t="inlineStr"/>
      <c r="IE182" t="inlineStr">
        <is>
          <t>974</t>
        </is>
      </c>
      <c r="IF182" t="inlineStr">
        <is>
          <t>Blog (974)</t>
        </is>
      </c>
      <c r="IG182" t="inlineStr"/>
      <c r="IH182" t="inlineStr"/>
      <c r="II182" t="inlineStr"/>
      <c r="IJ182" t="inlineStr"/>
      <c r="IK182" t="inlineStr"/>
      <c r="IL182" t="inlineStr"/>
      <c r="IM182" t="inlineStr"/>
      <c r="IN182" t="inlineStr"/>
      <c r="IO182" t="inlineStr"/>
      <c r="IP182" t="inlineStr"/>
      <c r="IQ182" t="inlineStr"/>
      <c r="IR182" t="inlineStr"/>
      <c r="IS182">
        <f>IF(input_content_type="",FALSE,ISNUMBER(SEARCH(","&amp;LOWER(input_content_type)&amp;",",","&amp;LOWER(F182)&amp;",")))</f>
        <v/>
      </c>
      <c r="IT182">
        <f>AND(IF(M182="",TRUE,IF(input_affiliations="",FALSE,SUMPRODUCT(--ISNUMBER(SEARCH(","&amp;TRIM(TEXTSPLIT(M182,","))&amp;",",","&amp;SUBSTITUTE(input_affiliations," ","")&amp;",")))&gt;0)),IF(O182="",TRUE,IF(input_affiliations="",FALSE,SUMPRODUCT(--ISNUMBER(SEARCH(","&amp;TRIM(TEXTSPLIT(O182,","))&amp;",",","&amp;SUBSTITUTE(input_affiliations," ","")&amp;",")))=COUNTA(TEXTSPLIT(O182,",")))),IF(Q182="",TRUE,IF(input_affiliations="",TRUE,SUMPRODUCT(--ISNUMBER(SEARCH(","&amp;TRIM(TEXTSPLIT(Q182,","))&amp;",",","&amp;SUBSTITUTE(input_affiliations," ","")&amp;",")))=0)),IF(S182="",TRUE,IF(input_affiliations="",FALSE,SUMPRODUCT(--ISNUMBER(SEARCH(","&amp;TRIM(TEXTSPLIT(S182,","))&amp;",",","&amp;SUBSTITUTE(input_affiliations," ","")&amp;",")))&gt;0)),IF(U182="",TRUE,IF(input_affiliations="",FALSE,SUMPRODUCT(--ISNUMBER(SEARCH(","&amp;TRIM(TEXTSPLIT(U182,","))&amp;",",","&amp;SUBSTITUTE(input_affiliations," ","")&amp;",")))=COUNTA(TEXTSPLIT(U182,",")))))</f>
        <v/>
      </c>
      <c r="IU182">
        <f>AND(IF(W182="",TRUE,IF(input_announcement_category="",FALSE,SUMPRODUCT(--ISNUMBER(SEARCH(","&amp;TRIM(TEXTSPLIT(W182,","))&amp;",",","&amp;SUBSTITUTE(input_announcement_category," ","")&amp;",")))&gt;0)),IF(Y182="",TRUE,IF(input_announcement_category="",FALSE,SUMPRODUCT(--ISNUMBER(SEARCH(","&amp;TRIM(TEXTSPLIT(Y182,","))&amp;",",","&amp;SUBSTITUTE(input_announcement_category," ","")&amp;",")))=COUNTA(TEXTSPLIT(Y182,",")))),IF(AA182="",TRUE,IF(input_announcement_category="",TRUE,SUMPRODUCT(--ISNUMBER(SEARCH(","&amp;TRIM(TEXTSPLIT(AA182,","))&amp;",",","&amp;SUBSTITUTE(input_announcement_category," ","")&amp;",")))=0)),IF(AC182="",TRUE,IF(input_announcement_category="",FALSE,SUMPRODUCT(--ISNUMBER(SEARCH(","&amp;TRIM(TEXTSPLIT(AC182,","))&amp;",",","&amp;SUBSTITUTE(input_announcement_category," ","")&amp;",")))&gt;0)),IF(AE182="",TRUE,IF(input_announcement_category="",FALSE,SUMPRODUCT(--ISNUMBER(SEARCH(","&amp;TRIM(TEXTSPLIT(AE182,","))&amp;",",","&amp;SUBSTITUTE(input_announcement_category," ","")&amp;",")))=COUNTA(TEXTSPLIT(AE182,",")))))</f>
        <v/>
      </c>
      <c r="IV182">
        <f>AND(IF(AG182="",TRUE,IF(input_area_of_focus="",FALSE,SUMPRODUCT(--ISNUMBER(SEARCH(","&amp;TRIM(TEXTSPLIT(AG182,","))&amp;",",","&amp;SUBSTITUTE(input_area_of_focus," ","")&amp;",")))&gt;0)),IF(AI182="",TRUE,IF(input_area_of_focus="",FALSE,SUMPRODUCT(--ISNUMBER(SEARCH(","&amp;TRIM(TEXTSPLIT(AI182,","))&amp;",",","&amp;SUBSTITUTE(input_area_of_focus," ","")&amp;",")))=COUNTA(TEXTSPLIT(AI182,",")))),IF(AK182="",TRUE,IF(input_area_of_focus="",TRUE,SUMPRODUCT(--ISNUMBER(SEARCH(","&amp;TRIM(TEXTSPLIT(AK182,","))&amp;",",","&amp;SUBSTITUTE(input_area_of_focus," ","")&amp;",")))=0)),IF(AM182="",TRUE,IF(input_area_of_focus="",FALSE,SUMPRODUCT(--ISNUMBER(SEARCH(","&amp;TRIM(TEXTSPLIT(AM182,","))&amp;",",","&amp;SUBSTITUTE(input_area_of_focus," ","")&amp;",")))&gt;0)),IF(AO182="",TRUE,IF(input_area_of_focus="",FALSE,SUMPRODUCT(--ISNUMBER(SEARCH(","&amp;TRIM(TEXTSPLIT(AO182,","))&amp;",",","&amp;SUBSTITUTE(input_area_of_focus," ","")&amp;",")))=COUNTA(TEXTSPLIT(AO182,",")))))</f>
        <v/>
      </c>
      <c r="IW182">
        <f>AND(IF(AQ182="",TRUE,IF(input_audience="",FALSE,SUMPRODUCT(--ISNUMBER(SEARCH(","&amp;TRIM(TEXTSPLIT(AQ182,","))&amp;",",","&amp;SUBSTITUTE(input_audience," ","")&amp;",")))&gt;0)),IF(AS182="",TRUE,IF(input_audience="",FALSE,SUMPRODUCT(--ISNUMBER(SEARCH(","&amp;TRIM(TEXTSPLIT(AS182,","))&amp;",",","&amp;SUBSTITUTE(input_audience," ","")&amp;",")))=COUNTA(TEXTSPLIT(AS182,",")))),IF(AU182="",TRUE,IF(input_audience="",TRUE,SUMPRODUCT(--ISNUMBER(SEARCH(","&amp;TRIM(TEXTSPLIT(AU182,","))&amp;",",","&amp;SUBSTITUTE(input_audience," ","")&amp;",")))=0)),IF(AW182="",TRUE,IF(input_audience="",FALSE,SUMPRODUCT(--ISNUMBER(SEARCH(","&amp;TRIM(TEXTSPLIT(AW182,","))&amp;",",","&amp;SUBSTITUTE(input_audience," ","")&amp;",")))&gt;0)),IF(AY182="",TRUE,IF(input_audience="",FALSE,SUMPRODUCT(--ISNUMBER(SEARCH(","&amp;TRIM(TEXTSPLIT(AY182,","))&amp;",",","&amp;SUBSTITUTE(input_audience," ","")&amp;",")))=COUNTA(TEXTSPLIT(AY182,",")))))</f>
        <v/>
      </c>
      <c r="IX182">
        <f>AND(IF(BA182="",TRUE,IF(input_challenge_opportunities="",FALSE,SUMPRODUCT(--ISNUMBER(SEARCH(","&amp;TRIM(TEXTSPLIT(BA182,","))&amp;",",","&amp;SUBSTITUTE(input_challenge_opportunities," ","")&amp;",")))&gt;0)),IF(BC182="",TRUE,IF(input_challenge_opportunities="",FALSE,SUMPRODUCT(--ISNUMBER(SEARCH(","&amp;TRIM(TEXTSPLIT(BC182,","))&amp;",",","&amp;SUBSTITUTE(input_challenge_opportunities," ","")&amp;",")))=COUNTA(TEXTSPLIT(BC182,",")))),IF(BE182="",TRUE,IF(input_challenge_opportunities="",TRUE,SUMPRODUCT(--ISNUMBER(SEARCH(","&amp;TRIM(TEXTSPLIT(BE182,","))&amp;",",","&amp;SUBSTITUTE(input_challenge_opportunities," ","")&amp;",")))=0)),IF(BG182="",TRUE,IF(input_challenge_opportunities="",FALSE,SUMPRODUCT(--ISNUMBER(SEARCH(","&amp;TRIM(TEXTSPLIT(BG182,","))&amp;",",","&amp;SUBSTITUTE(input_challenge_opportunities," ","")&amp;",")))&gt;0)),IF(BI182="",TRUE,IF(input_challenge_opportunities="",FALSE,SUMPRODUCT(--ISNUMBER(SEARCH(","&amp;TRIM(TEXTSPLIT(BI182,","))&amp;",",","&amp;SUBSTITUTE(input_challenge_opportunities," ","")&amp;",")))=COUNTA(TEXTSPLIT(BI182,",")))))</f>
        <v/>
      </c>
      <c r="IY182">
        <f>AND(IF(BK182="",TRUE,IF(input_context="",FALSE,SUMPRODUCT(--ISNUMBER(SEARCH(","&amp;TRIM(TEXTSPLIT(BK182,","))&amp;",",","&amp;SUBSTITUTE(input_context," ","")&amp;",")))&gt;0)),IF(BM182="",TRUE,IF(input_context="",FALSE,SUMPRODUCT(--ISNUMBER(SEARCH(","&amp;TRIM(TEXTSPLIT(BM182,","))&amp;",",","&amp;SUBSTITUTE(input_context," ","")&amp;",")))=COUNTA(TEXTSPLIT(BM182,",")))),IF(BO182="",TRUE,IF(input_context="",TRUE,SUMPRODUCT(--ISNUMBER(SEARCH(","&amp;TRIM(TEXTSPLIT(BO182,","))&amp;",",","&amp;SUBSTITUTE(input_context," ","")&amp;",")))=0)),IF(BQ182="",TRUE,IF(input_context="",FALSE,SUMPRODUCT(--ISNUMBER(SEARCH(","&amp;TRIM(TEXTSPLIT(BQ182,","))&amp;",",","&amp;SUBSTITUTE(input_context," ","")&amp;",")))&gt;0)),IF(BS182="",TRUE,IF(input_context="",FALSE,SUMPRODUCT(--ISNUMBER(SEARCH(","&amp;TRIM(TEXTSPLIT(BS182,","))&amp;",",","&amp;SUBSTITUTE(input_context," ","")&amp;",")))=COUNTA(TEXTSPLIT(BS182,",")))))</f>
        <v/>
      </c>
      <c r="IZ182">
        <f>AND(IF(BU182="",TRUE,IF(input_enews_announcement_type="",FALSE,SUMPRODUCT(--ISNUMBER(SEARCH(","&amp;TRIM(TEXTSPLIT(BU182,","))&amp;",",","&amp;SUBSTITUTE(input_enews_announcement_type," ","")&amp;",")))&gt;0)),IF(BW182="",TRUE,IF(input_enews_announcement_type="",FALSE,SUMPRODUCT(--ISNUMBER(SEARCH(","&amp;TRIM(TEXTSPLIT(BW182,","))&amp;",",","&amp;SUBSTITUTE(input_enews_announcement_type," ","")&amp;",")))=COUNTA(TEXTSPLIT(BW182,",")))),IF(BY182="",TRUE,IF(input_enews_announcement_type="",TRUE,SUMPRODUCT(--ISNUMBER(SEARCH(","&amp;TRIM(TEXTSPLIT(BY182,","))&amp;",",","&amp;SUBSTITUTE(input_enews_announcement_type," ","")&amp;",")))=0)),IF(CA182="",TRUE,IF(input_enews_announcement_type="",FALSE,SUMPRODUCT(--ISNUMBER(SEARCH(","&amp;TRIM(TEXTSPLIT(CA182,","))&amp;",",","&amp;SUBSTITUTE(input_enews_announcement_type," ","")&amp;",")))&gt;0)),IF(CC182="",TRUE,IF(input_enews_announcement_type="",FALSE,SUMPRODUCT(--ISNUMBER(SEARCH(","&amp;TRIM(TEXTSPLIT(CC182,","))&amp;",",","&amp;SUBSTITUTE(input_enews_announcement_type," ","")&amp;",")))=COUNTA(TEXTSPLIT(CC182,",")))))</f>
        <v/>
      </c>
      <c r="JA182">
        <f>AND(IF(CE182="",TRUE,IF(input_enews_audience="",FALSE,SUMPRODUCT(--ISNUMBER(SEARCH(","&amp;TRIM(TEXTSPLIT(CE182,","))&amp;",",","&amp;SUBSTITUTE(input_enews_audience," ","")&amp;",")))&gt;0)),IF(CG182="",TRUE,IF(input_enews_audience="",FALSE,SUMPRODUCT(--ISNUMBER(SEARCH(","&amp;TRIM(TEXTSPLIT(CG182,","))&amp;",",","&amp;SUBSTITUTE(input_enews_audience," ","")&amp;",")))=COUNTA(TEXTSPLIT(CG182,",")))),IF(CI182="",TRUE,IF(input_enews_audience="",TRUE,SUMPRODUCT(--ISNUMBER(SEARCH(","&amp;TRIM(TEXTSPLIT(CI182,","))&amp;",",","&amp;SUBSTITUTE(input_enews_audience," ","")&amp;",")))=0)),IF(CK182="",TRUE,IF(input_enews_audience="",FALSE,SUMPRODUCT(--ISNUMBER(SEARCH(","&amp;TRIM(TEXTSPLIT(CK182,","))&amp;",",","&amp;SUBSTITUTE(input_enews_audience," ","")&amp;",")))&gt;0)),IF(CM182="",TRUE,IF(input_enews_audience="",FALSE,SUMPRODUCT(--ISNUMBER(SEARCH(","&amp;TRIM(TEXTSPLIT(CM182,","))&amp;",",","&amp;SUBSTITUTE(input_enews_audience," ","")&amp;",")))=COUNTA(TEXTSPLIT(CM182,",")))))</f>
        <v/>
      </c>
      <c r="JB182">
        <f>AND(IF(CO182="",TRUE,IF(input_event_location="",FALSE,SUMPRODUCT(--ISNUMBER(SEARCH(","&amp;TRIM(TEXTSPLIT(CO182,","))&amp;",",","&amp;SUBSTITUTE(input_event_location," ","")&amp;",")))&gt;0)),IF(CQ182="",TRUE,IF(input_event_location="",FALSE,SUMPRODUCT(--ISNUMBER(SEARCH(","&amp;TRIM(TEXTSPLIT(CQ182,","))&amp;",",","&amp;SUBSTITUTE(input_event_location," ","")&amp;",")))=COUNTA(TEXTSPLIT(CQ182,",")))),IF(CS182="",TRUE,IF(input_event_location="",TRUE,SUMPRODUCT(--ISNUMBER(SEARCH(","&amp;TRIM(TEXTSPLIT(CS182,","))&amp;",",","&amp;SUBSTITUTE(input_event_location," ","")&amp;",")))=0)),IF(CU182="",TRUE,IF(input_event_location="",FALSE,SUMPRODUCT(--ISNUMBER(SEARCH(","&amp;TRIM(TEXTSPLIT(CU182,","))&amp;",",","&amp;SUBSTITUTE(input_event_location," ","")&amp;",")))&gt;0)),IF(CW182="",TRUE,IF(input_event_location="",FALSE,SUMPRODUCT(--ISNUMBER(SEARCH(","&amp;TRIM(TEXTSPLIT(CW182,","))&amp;",",","&amp;SUBSTITUTE(input_event_location," ","")&amp;",")))=COUNTA(TEXTSPLIT(CW182,",")))))</f>
        <v/>
      </c>
      <c r="JC182">
        <f>AND(IF(CY182="",TRUE,IF(input_event_type="",FALSE,SUMPRODUCT(--ISNUMBER(SEARCH(","&amp;TRIM(TEXTSPLIT(CY182,","))&amp;",",","&amp;SUBSTITUTE(input_event_type," ","")&amp;",")))&gt;0)),IF(DA182="",TRUE,IF(input_event_type="",FALSE,SUMPRODUCT(--ISNUMBER(SEARCH(","&amp;TRIM(TEXTSPLIT(DA182,","))&amp;",",","&amp;SUBSTITUTE(input_event_type," ","")&amp;",")))=COUNTA(TEXTSPLIT(DA182,",")))),IF(DC182="",TRUE,IF(input_event_type="",TRUE,SUMPRODUCT(--ISNUMBER(SEARCH(","&amp;TRIM(TEXTSPLIT(DC182,","))&amp;",",","&amp;SUBSTITUTE(input_event_type," ","")&amp;",")))=0)),IF(DE182="",TRUE,IF(input_event_type="",FALSE,SUMPRODUCT(--ISNUMBER(SEARCH(","&amp;TRIM(TEXTSPLIT(DE182,","))&amp;",",","&amp;SUBSTITUTE(input_event_type," ","")&amp;",")))&gt;0)),IF(DG182="",TRUE,IF(input_event_type="",FALSE,SUMPRODUCT(--ISNUMBER(SEARCH(","&amp;TRIM(TEXTSPLIT(DG182,","))&amp;",",","&amp;SUBSTITUTE(input_event_type," ","")&amp;",")))=COUNTA(TEXTSPLIT(DG182,",")))))</f>
        <v/>
      </c>
      <c r="JD182">
        <f>AND(IF(DI182="",TRUE,IF(input_executive_education_focus="",FALSE,SUMPRODUCT(--ISNUMBER(SEARCH(","&amp;TRIM(TEXTSPLIT(DI182,","))&amp;",",","&amp;SUBSTITUTE(input_executive_education_focus," ","")&amp;",")))&gt;0)),IF(DK182="",TRUE,IF(input_executive_education_focus="",FALSE,SUMPRODUCT(--ISNUMBER(SEARCH(","&amp;TRIM(TEXTSPLIT(DK182,","))&amp;",",","&amp;SUBSTITUTE(input_executive_education_focus," ","")&amp;",")))=COUNTA(TEXTSPLIT(DK182,",")))),IF(DM182="",TRUE,IF(input_executive_education_focus="",TRUE,SUMPRODUCT(--ISNUMBER(SEARCH(","&amp;TRIM(TEXTSPLIT(DM182,","))&amp;",",","&amp;SUBSTITUTE(input_executive_education_focus," ","")&amp;",")))=0)),IF(DO182="",TRUE,IF(input_executive_education_focus="",FALSE,SUMPRODUCT(--ISNUMBER(SEARCH(","&amp;TRIM(TEXTSPLIT(DO182,","))&amp;",",","&amp;SUBSTITUTE(input_executive_education_focus," ","")&amp;",")))&gt;0)),IF(DQ182="",TRUE,IF(input_executive_education_focus="",FALSE,SUMPRODUCT(--ISNUMBER(SEARCH(","&amp;TRIM(TEXTSPLIT(DQ182,","))&amp;",",","&amp;SUBSTITUTE(input_executive_education_focus," ","")&amp;",")))=COUNTA(TEXTSPLIT(DQ182,",")))))</f>
        <v/>
      </c>
      <c r="JE182">
        <f>AND(IF(DS182="",TRUE,IF(input_faculty_category="",FALSE,SUMPRODUCT(--ISNUMBER(SEARCH(","&amp;TRIM(TEXTSPLIT(DS182,","))&amp;",",","&amp;SUBSTITUTE(input_faculty_category," ","")&amp;",")))&gt;0)),IF(DU182="",TRUE,IF(input_faculty_category="",FALSE,SUMPRODUCT(--ISNUMBER(SEARCH(","&amp;TRIM(TEXTSPLIT(DU182,","))&amp;",",","&amp;SUBSTITUTE(input_faculty_category," ","")&amp;",")))=COUNTA(TEXTSPLIT(DU182,",")))),IF(DW182="",TRUE,IF(input_faculty_category="",TRUE,SUMPRODUCT(--ISNUMBER(SEARCH(","&amp;TRIM(TEXTSPLIT(DW182,","))&amp;",",","&amp;SUBSTITUTE(input_faculty_category," ","")&amp;",")))=0)),IF(DY182="",TRUE,IF(input_faculty_category="",FALSE,SUMPRODUCT(--ISNUMBER(SEARCH(","&amp;TRIM(TEXTSPLIT(DY182,","))&amp;",",","&amp;SUBSTITUTE(input_faculty_category," ","")&amp;",")))&gt;0)),IF(EA182="",TRUE,IF(input_faculty_category="",FALSE,SUMPRODUCT(--ISNUMBER(SEARCH(","&amp;TRIM(TEXTSPLIT(EA182,","))&amp;",",","&amp;SUBSTITUTE(input_faculty_category," ","")&amp;",")))=COUNTA(TEXTSPLIT(EA182,",")))))</f>
        <v/>
      </c>
      <c r="JF182">
        <f>AND(IF(EC182="",TRUE,IF(input_faculty_discipline="",FALSE,SUMPRODUCT(--ISNUMBER(SEARCH(","&amp;TRIM(TEXTSPLIT(EC182,","))&amp;",",","&amp;SUBSTITUTE(input_faculty_discipline," ","")&amp;",")))&gt;0)),IF(EE182="",TRUE,IF(input_faculty_discipline="",FALSE,SUMPRODUCT(--ISNUMBER(SEARCH(","&amp;TRIM(TEXTSPLIT(EE182,","))&amp;",",","&amp;SUBSTITUTE(input_faculty_discipline," ","")&amp;",")))=COUNTA(TEXTSPLIT(EE182,",")))),IF(EG182="",TRUE,IF(input_faculty_discipline="",TRUE,SUMPRODUCT(--ISNUMBER(SEARCH(","&amp;TRIM(TEXTSPLIT(EG182,","))&amp;",",","&amp;SUBSTITUTE(input_faculty_discipline," ","")&amp;",")))=0)),IF(EI182="",TRUE,IF(input_faculty_discipline="",FALSE,SUMPRODUCT(--ISNUMBER(SEARCH(","&amp;TRIM(TEXTSPLIT(EI182,","))&amp;",",","&amp;SUBSTITUTE(input_faculty_discipline," ","")&amp;",")))&gt;0)),IF(EK182="",TRUE,IF(input_faculty_discipline="",FALSE,SUMPRODUCT(--ISNUMBER(SEARCH(","&amp;TRIM(TEXTSPLIT(EK182,","))&amp;",",","&amp;SUBSTITUTE(input_faculty_discipline," ","")&amp;",")))=COUNTA(TEXTSPLIT(EK182,",")))))</f>
        <v/>
      </c>
      <c r="JG182">
        <f>AND(IF(EM182="",TRUE,IF(input_faculty_expertise="",FALSE,SUMPRODUCT(--ISNUMBER(SEARCH(","&amp;TRIM(TEXTSPLIT(EM182,","))&amp;",",","&amp;SUBSTITUTE(input_faculty_expertise," ","")&amp;",")))&gt;0)),IF(EO182="",TRUE,IF(input_faculty_expertise="",FALSE,SUMPRODUCT(--ISNUMBER(SEARCH(","&amp;TRIM(TEXTSPLIT(EO182,","))&amp;",",","&amp;SUBSTITUTE(input_faculty_expertise," ","")&amp;",")))=COUNTA(TEXTSPLIT(EO182,",")))),IF(EQ182="",TRUE,IF(input_faculty_expertise="",TRUE,SUMPRODUCT(--ISNUMBER(SEARCH(","&amp;TRIM(TEXTSPLIT(EQ182,","))&amp;",",","&amp;SUBSTITUTE(input_faculty_expertise," ","")&amp;",")))=0)),IF(ES182="",TRUE,IF(input_faculty_expertise="",FALSE,SUMPRODUCT(--ISNUMBER(SEARCH(","&amp;TRIM(TEXTSPLIT(ES182,","))&amp;",",","&amp;SUBSTITUTE(input_faculty_expertise," ","")&amp;",")))&gt;0)),IF(EU182="",TRUE,IF(input_faculty_expertise="",FALSE,SUMPRODUCT(--ISNUMBER(SEARCH(","&amp;TRIM(TEXTSPLIT(EU182,","))&amp;",",","&amp;SUBSTITUTE(input_faculty_expertise," ","")&amp;",")))=COUNTA(TEXTSPLIT(EU182,",")))))</f>
        <v/>
      </c>
      <c r="JH182">
        <f>AND(IF(EW182="",TRUE,IF(input_global_network_school="",FALSE,SUMPRODUCT(--ISNUMBER(SEARCH(","&amp;TRIM(TEXTSPLIT(EW182,","))&amp;",",","&amp;SUBSTITUTE(input_global_network_school," ","")&amp;",")))&gt;0)),IF(EY182="",TRUE,IF(input_global_network_school="",FALSE,SUMPRODUCT(--ISNUMBER(SEARCH(","&amp;TRIM(TEXTSPLIT(EY182,","))&amp;",",","&amp;SUBSTITUTE(input_global_network_school," ","")&amp;",")))=COUNTA(TEXTSPLIT(EY182,",")))),IF(FA182="",TRUE,IF(input_global_network_school="",TRUE,SUMPRODUCT(--ISNUMBER(SEARCH(","&amp;TRIM(TEXTSPLIT(FA182,","))&amp;",",","&amp;SUBSTITUTE(input_global_network_school," ","")&amp;",")))=0)),IF(FC182="",TRUE,IF(input_global_network_school="",FALSE,SUMPRODUCT(--ISNUMBER(SEARCH(","&amp;TRIM(TEXTSPLIT(FC182,","))&amp;",",","&amp;SUBSTITUTE(input_global_network_school," ","")&amp;",")))&gt;0)),IF(FE182="",TRUE,IF(input_global_network_school="",FALSE,SUMPRODUCT(--ISNUMBER(SEARCH(","&amp;TRIM(TEXTSPLIT(FE182,","))&amp;",",","&amp;SUBSTITUTE(input_global_network_school," ","")&amp;",")))=COUNTA(TEXTSPLIT(FE182,",")))))</f>
        <v/>
      </c>
      <c r="JI182">
        <f>AND(IF(FG182="",TRUE,IF(input_industry="",FALSE,SUMPRODUCT(--ISNUMBER(SEARCH(","&amp;TRIM(TEXTSPLIT(FG182,","))&amp;",",","&amp;SUBSTITUTE(input_industry," ","")&amp;",")))&gt;0)),IF(FI182="",TRUE,IF(input_industry="",FALSE,SUMPRODUCT(--ISNUMBER(SEARCH(","&amp;TRIM(TEXTSPLIT(FI182,","))&amp;",",","&amp;SUBSTITUTE(input_industry," ","")&amp;",")))=COUNTA(TEXTSPLIT(FI182,",")))),IF(FK182="",TRUE,IF(input_industry="",TRUE,SUMPRODUCT(--ISNUMBER(SEARCH(","&amp;TRIM(TEXTSPLIT(FK182,","))&amp;",",","&amp;SUBSTITUTE(input_industry," ","")&amp;",")))=0)),IF(FM182="",TRUE,IF(input_industry="",FALSE,SUMPRODUCT(--ISNUMBER(SEARCH(","&amp;TRIM(TEXTSPLIT(FM182,","))&amp;",",","&amp;SUBSTITUTE(input_industry," ","")&amp;",")))&gt;0)),IF(FO182="",TRUE,IF(input_industry="",FALSE,SUMPRODUCT(--ISNUMBER(SEARCH(","&amp;TRIM(TEXTSPLIT(FO182,","))&amp;",",","&amp;SUBSTITUTE(input_industry," ","")&amp;",")))=COUNTA(TEXTSPLIT(FO182,",")))))</f>
        <v/>
      </c>
      <c r="JJ182">
        <f>AND(IF(FQ182="",TRUE,IF(input_location="",FALSE,SUMPRODUCT(--ISNUMBER(SEARCH(","&amp;TRIM(TEXTSPLIT(FQ182,","))&amp;",",","&amp;SUBSTITUTE(input_location," ","")&amp;",")))&gt;0)),IF(FS182="",TRUE,IF(input_location="",FALSE,SUMPRODUCT(--ISNUMBER(SEARCH(","&amp;TRIM(TEXTSPLIT(FS182,","))&amp;",",","&amp;SUBSTITUTE(input_location," ","")&amp;",")))=COUNTA(TEXTSPLIT(FS182,",")))),IF(FU182="",TRUE,IF(input_location="",TRUE,SUMPRODUCT(--ISNUMBER(SEARCH(","&amp;TRIM(TEXTSPLIT(FU182,","))&amp;",",","&amp;SUBSTITUTE(input_location," ","")&amp;",")))=0)),IF(FW182="",TRUE,IF(input_location="",FALSE,SUMPRODUCT(--ISNUMBER(SEARCH(","&amp;TRIM(TEXTSPLIT(FW182,","))&amp;",",","&amp;SUBSTITUTE(input_location," ","")&amp;",")))&gt;0)),IF(FY182="",TRUE,IF(input_location="",FALSE,SUMPRODUCT(--ISNUMBER(SEARCH(","&amp;TRIM(TEXTSPLIT(FY182,","))&amp;",",","&amp;SUBSTITUTE(input_location," ","")&amp;",")))=COUNTA(TEXTSPLIT(FY182,",")))))</f>
        <v/>
      </c>
      <c r="JK182">
        <f>AND(IF(GA182="",TRUE,IF(input_modality="",FALSE,SUMPRODUCT(--ISNUMBER(SEARCH(","&amp;TRIM(TEXTSPLIT(GA182,","))&amp;",",","&amp;SUBSTITUTE(input_modality," ","")&amp;",")))&gt;0)),IF(GC182="",TRUE,IF(input_modality="",FALSE,SUMPRODUCT(--ISNUMBER(SEARCH(","&amp;TRIM(TEXTSPLIT(GC182,","))&amp;",",","&amp;SUBSTITUTE(input_modality," ","")&amp;",")))=COUNTA(TEXTSPLIT(GC182,",")))),IF(GE182="",TRUE,IF(input_modality="",TRUE,SUMPRODUCT(--ISNUMBER(SEARCH(","&amp;TRIM(TEXTSPLIT(GE182,","))&amp;",",","&amp;SUBSTITUTE(input_modality," ","")&amp;",")))=0)),IF(GG182="",TRUE,IF(input_modality="",FALSE,SUMPRODUCT(--ISNUMBER(SEARCH(","&amp;TRIM(TEXTSPLIT(GG182,","))&amp;",",","&amp;SUBSTITUTE(input_modality," ","")&amp;",")))&gt;0)),IF(GI182="",TRUE,IF(input_modality="",FALSE,SUMPRODUCT(--ISNUMBER(SEARCH(","&amp;TRIM(TEXTSPLIT(GI182,","))&amp;",",","&amp;SUBSTITUTE(input_modality," ","")&amp;",")))=COUNTA(TEXTSPLIT(GI182,",")))))</f>
        <v/>
      </c>
      <c r="JL182">
        <f>AND(IF(GK182="",TRUE,IF(input_organizer="",FALSE,SUMPRODUCT(--ISNUMBER(SEARCH(","&amp;TRIM(TEXTSPLIT(GK182,","))&amp;",",","&amp;SUBSTITUTE(input_organizer," ","")&amp;",")))&gt;0)),IF(GM182="",TRUE,IF(input_organizer="",FALSE,SUMPRODUCT(--ISNUMBER(SEARCH(","&amp;TRIM(TEXTSPLIT(GM182,","))&amp;",",","&amp;SUBSTITUTE(input_organizer," ","")&amp;",")))=COUNTA(TEXTSPLIT(GM182,",")))),IF(GO182="",TRUE,IF(input_organizer="",TRUE,SUMPRODUCT(--ISNUMBER(SEARCH(","&amp;TRIM(TEXTSPLIT(GO182,","))&amp;",",","&amp;SUBSTITUTE(input_organizer," ","")&amp;",")))=0)),IF(GQ182="",TRUE,IF(input_organizer="",FALSE,SUMPRODUCT(--ISNUMBER(SEARCH(","&amp;TRIM(TEXTSPLIT(GQ182,","))&amp;",",","&amp;SUBSTITUTE(input_organizer," ","")&amp;",")))&gt;0)),IF(GS182="",TRUE,IF(input_organizer="",FALSE,SUMPRODUCT(--ISNUMBER(SEARCH(","&amp;TRIM(TEXTSPLIT(GS182,","))&amp;",",","&amp;SUBSTITUTE(input_organizer," ","")&amp;",")))=COUNTA(TEXTSPLIT(GS182,",")))))</f>
        <v/>
      </c>
      <c r="JM182">
        <f>AND(IF(GU182="",TRUE,IF(input_profile_type="",FALSE,SUMPRODUCT(--ISNUMBER(SEARCH(","&amp;TRIM(TEXTSPLIT(GU182,","))&amp;",",","&amp;SUBSTITUTE(input_profile_type," ","")&amp;",")))&gt;0)),IF(GW182="",TRUE,IF(input_profile_type="",FALSE,SUMPRODUCT(--ISNUMBER(SEARCH(","&amp;TRIM(TEXTSPLIT(GW182,","))&amp;",",","&amp;SUBSTITUTE(input_profile_type," ","")&amp;",")))=COUNTA(TEXTSPLIT(GW182,",")))),IF(GY182="",TRUE,IF(input_profile_type="",TRUE,SUMPRODUCT(--ISNUMBER(SEARCH(","&amp;TRIM(TEXTSPLIT(GY182,","))&amp;",",","&amp;SUBSTITUTE(input_profile_type," ","")&amp;",")))=0)),IF(HA182="",TRUE,IF(input_profile_type="",FALSE,SUMPRODUCT(--ISNUMBER(SEARCH(","&amp;TRIM(TEXTSPLIT(HA182,","))&amp;",",","&amp;SUBSTITUTE(input_profile_type," ","")&amp;",")))&gt;0)),IF(HC182="",TRUE,IF(input_profile_type="",FALSE,SUMPRODUCT(--ISNUMBER(SEARCH(","&amp;TRIM(TEXTSPLIT(HC182,","))&amp;",",","&amp;SUBSTITUTE(input_profile_type," ","")&amp;",")))=COUNTA(TEXTSPLIT(HC182,",")))))</f>
        <v/>
      </c>
      <c r="JN182">
        <f>AND(IF(HE182="",TRUE,IF(input_program="",FALSE,SUMPRODUCT(--ISNUMBER(SEARCH(","&amp;TRIM(TEXTSPLIT(HE182,","))&amp;",",","&amp;SUBSTITUTE(input_program," ","")&amp;",")))&gt;0)),IF(HG182="",TRUE,IF(input_program="",FALSE,SUMPRODUCT(--ISNUMBER(SEARCH(","&amp;TRIM(TEXTSPLIT(HG182,","))&amp;",",","&amp;SUBSTITUTE(input_program," ","")&amp;",")))=COUNTA(TEXTSPLIT(HG182,",")))),IF(HI182="",TRUE,IF(input_program="",TRUE,SUMPRODUCT(--ISNUMBER(SEARCH(","&amp;TRIM(TEXTSPLIT(HI182,","))&amp;",",","&amp;SUBSTITUTE(input_program," ","")&amp;",")))=0)),IF(HK182="",TRUE,IF(input_program="",FALSE,SUMPRODUCT(--ISNUMBER(SEARCH(","&amp;TRIM(TEXTSPLIT(HK182,","))&amp;",",","&amp;SUBSTITUTE(input_program," ","")&amp;",")))&gt;0)),IF(HM182="",TRUE,IF(input_program="",FALSE,SUMPRODUCT(--ISNUMBER(SEARCH(","&amp;TRIM(TEXTSPLIT(HM182,","))&amp;",",","&amp;SUBSTITUTE(input_program," ","")&amp;",")))=COUNTA(TEXTSPLIT(HM182,",")))))</f>
        <v/>
      </c>
      <c r="JO182">
        <f>AND(IF(HO182="",TRUE,IF(input_story_categories="",FALSE,SUMPRODUCT(--ISNUMBER(SEARCH(","&amp;TRIM(TEXTSPLIT(HO182,","))&amp;",",","&amp;SUBSTITUTE(input_story_categories," ","")&amp;",")))&gt;0)),IF(HQ182="",TRUE,IF(input_story_categories="",FALSE,SUMPRODUCT(--ISNUMBER(SEARCH(","&amp;TRIM(TEXTSPLIT(HQ182,","))&amp;",",","&amp;SUBSTITUTE(input_story_categories," ","")&amp;",")))=COUNTA(TEXTSPLIT(HQ182,",")))),IF(HS182="",TRUE,IF(input_story_categories="",TRUE,SUMPRODUCT(--ISNUMBER(SEARCH(","&amp;TRIM(TEXTSPLIT(HS182,","))&amp;",",","&amp;SUBSTITUTE(input_story_categories," ","")&amp;",")))=0)),IF(HU182="",TRUE,IF(input_story_categories="",FALSE,SUMPRODUCT(--ISNUMBER(SEARCH(","&amp;TRIM(TEXTSPLIT(HU182,","))&amp;",",","&amp;SUBSTITUTE(input_story_categories," ","")&amp;",")))&gt;0)),IF(HW182="",TRUE,IF(input_story_categories="",FALSE,SUMPRODUCT(--ISNUMBER(SEARCH(","&amp;TRIM(TEXTSPLIT(HW182,","))&amp;",",","&amp;SUBSTITUTE(input_story_categories," ","")&amp;",")))=COUNTA(TEXTSPLIT(HW182,",")))))</f>
        <v/>
      </c>
      <c r="JP182">
        <f>AND(IF(HY182="",TRUE,IF(input_story_type="",FALSE,SUMPRODUCT(--ISNUMBER(SEARCH(","&amp;TRIM(TEXTSPLIT(HY182,","))&amp;",",","&amp;SUBSTITUTE(input_story_type," ","")&amp;",")))&gt;0)),IF(IA182="",TRUE,IF(input_story_type="",FALSE,SUMPRODUCT(--ISNUMBER(SEARCH(","&amp;TRIM(TEXTSPLIT(IA182,","))&amp;",",","&amp;SUBSTITUTE(input_story_type," ","")&amp;",")))=COUNTA(TEXTSPLIT(IA182,",")))),IF(IC182="",TRUE,IF(input_story_type="",TRUE,SUMPRODUCT(--ISNUMBER(SEARCH(","&amp;TRIM(TEXTSPLIT(IC182,","))&amp;",",","&amp;SUBSTITUTE(input_story_type," ","")&amp;",")))=0)),IF(IE182="",TRUE,IF(input_story_type="",FALSE,SUMPRODUCT(--ISNUMBER(SEARCH(","&amp;TRIM(TEXTSPLIT(IE182,","))&amp;",",","&amp;SUBSTITUTE(input_story_type," ","")&amp;",")))&gt;0)),IF(IG182="",TRUE,IF(input_story_type="",FALSE,SUMPRODUCT(--ISNUMBER(SEARCH(","&amp;TRIM(TEXTSPLIT(IG182,","))&amp;",",","&amp;SUBSTITUTE(input_story_type," ","")&amp;",")))=COUNTA(TEXTSPLIT(IG182,",")))))</f>
        <v/>
      </c>
      <c r="JQ182">
        <f>AND(IF(II182="",TRUE,IF(input_topics="",FALSE,SUMPRODUCT(--ISNUMBER(SEARCH(","&amp;TRIM(TEXTSPLIT(II182,","))&amp;",",","&amp;SUBSTITUTE(input_topics," ","")&amp;",")))&gt;0)),IF(IK182="",TRUE,IF(input_topics="",FALSE,SUMPRODUCT(--ISNUMBER(SEARCH(","&amp;TRIM(TEXTSPLIT(IK182,","))&amp;",",","&amp;SUBSTITUTE(input_topics," ","")&amp;",")))=COUNTA(TEXTSPLIT(IK182,",")))),IF(IM182="",TRUE,IF(input_topics="",TRUE,SUMPRODUCT(--ISNUMBER(SEARCH(","&amp;TRIM(TEXTSPLIT(IM182,","))&amp;",",","&amp;SUBSTITUTE(input_topics," ","")&amp;",")))=0)),IF(IO182="",TRUE,IF(input_topics="",FALSE,SUMPRODUCT(--ISNUMBER(SEARCH(","&amp;TRIM(TEXTSPLIT(IO182,","))&amp;",",","&amp;SUBSTITUTE(input_topics," ","")&amp;",")))&gt;0)),IF(IQ182="",TRUE,IF(input_topics="",FALSE,SUMPRODUCT(--ISNUMBER(SEARCH(","&amp;TRIM(TEXTSPLIT(IQ182,","))&amp;",",","&amp;SUBSTITUTE(input_topics," ","")&amp;",")))=COUNTA(TEXTSPLIT(IQ182,",")))))</f>
        <v/>
      </c>
    </row>
    <row r="183">
      <c r="A183" s="4">
        <f>IF(NOT(IS183),"Excluded",IF(AND(IT183,IU183,IV183,IW183,IX183,IY183,IZ183,JA183,JB183,JC183,JD183,JE183,JF183,JG183,JH183,JI183,JJ183,JK183,JL183,JM183,JN183,JO183,JP183,JQ183),IF(I183&gt;0,"Eligible but limited","Will appear"),"Excluded"))</f>
        <v/>
      </c>
      <c r="B183" s="4" t="inlineStr">
        <is>
          <t>Related stories on story pages</t>
        </is>
      </c>
      <c r="C183" s="4" t="inlineStr">
        <is>
          <t>/news/2010/06/yale-chief-executive-leadership-institute-to-honor-ford-motor-company-ceo-with-leadership-award</t>
        </is>
      </c>
      <c r="D183" s="4" t="inlineStr">
        <is>
          <t>/news/2010/06/yale-chief-executive-leadership-institute-to-honor-ford-motor-company-ceo-with-leadership-award
/news/2010/06/yale-chief-executive-leadership-institute-to-honor-former-goldman-sachs-co-chairman-with-lifetime-of-leadership-award
/news/2010/10/yale-chief-executive-leadership-institute-to-honor-tata-sons-chairman-ratan-tata-with-legend-in-leadership-award</t>
        </is>
      </c>
      <c r="E183" s="4" t="n">
        <v>344</v>
      </c>
      <c r="F183" s="4" t="inlineStr">
        <is>
          <t>story</t>
        </is>
      </c>
      <c r="G183" s="4" t="inlineStr">
        <is>
          <t>stories_teaser_cards</t>
        </is>
      </c>
      <c r="H183" s="4" t="inlineStr">
        <is>
          <t>embed_all</t>
        </is>
      </c>
      <c r="I183" s="4" t="n">
        <v>3</v>
      </c>
      <c r="J183" s="4" t="inlineStr">
        <is>
          <t>Template logic</t>
        </is>
      </c>
      <c r="K183" s="4" t="inlineStr">
        <is>
          <t>Grouped surface</t>
        </is>
      </c>
      <c r="L183" s="4" t="inlineStr">
        <is>
          <t>Content type: story; Context uses Courses Context: Chief Executive Leadership Institute (925); Context uses Story Type: News (924); Limited to 3 item(s); Source: Template logic</t>
        </is>
      </c>
      <c r="M183" t="inlineStr"/>
      <c r="N183" t="inlineStr"/>
      <c r="O183" t="inlineStr"/>
      <c r="P183" t="inlineStr"/>
      <c r="Q183" t="inlineStr"/>
      <c r="R183" t="inlineStr"/>
      <c r="S183" t="inlineStr"/>
      <c r="T183" t="inlineStr"/>
      <c r="U183" t="inlineStr"/>
      <c r="V183" t="inlineStr"/>
      <c r="W183" t="inlineStr"/>
      <c r="X183" t="inlineStr"/>
      <c r="Y183" t="inlineStr"/>
      <c r="Z183" t="inlineStr"/>
      <c r="AA183" t="inlineStr"/>
      <c r="AB183" t="inlineStr"/>
      <c r="AC183" t="inlineStr"/>
      <c r="AD183" t="inlineStr"/>
      <c r="AE183" t="inlineStr"/>
      <c r="AF183" t="inlineStr"/>
      <c r="AG183" t="inlineStr"/>
      <c r="AH183" t="inlineStr"/>
      <c r="AI183" t="inlineStr"/>
      <c r="AJ183" t="inlineStr"/>
      <c r="AK183" t="inlineStr"/>
      <c r="AL183" t="inlineStr"/>
      <c r="AM183" t="inlineStr"/>
      <c r="AN183" t="inlineStr"/>
      <c r="AO183" t="inlineStr"/>
      <c r="AP183" t="inlineStr"/>
      <c r="AQ183" t="inlineStr"/>
      <c r="AR183" t="inlineStr"/>
      <c r="AS183" t="inlineStr"/>
      <c r="AT183" t="inlineStr"/>
      <c r="AU183" t="inlineStr"/>
      <c r="AV183" t="inlineStr"/>
      <c r="AW183" t="inlineStr"/>
      <c r="AX183" t="inlineStr"/>
      <c r="AY183" t="inlineStr"/>
      <c r="AZ183" t="inlineStr"/>
      <c r="BA183" t="inlineStr"/>
      <c r="BB183" t="inlineStr"/>
      <c r="BC183" t="inlineStr"/>
      <c r="BD183" t="inlineStr"/>
      <c r="BE183" t="inlineStr"/>
      <c r="BF183" t="inlineStr"/>
      <c r="BG183" t="inlineStr"/>
      <c r="BH183" t="inlineStr"/>
      <c r="BI183" t="inlineStr"/>
      <c r="BJ183" t="inlineStr"/>
      <c r="BK183" t="inlineStr"/>
      <c r="BL183" t="inlineStr"/>
      <c r="BM183" t="inlineStr"/>
      <c r="BN183" t="inlineStr"/>
      <c r="BO183" t="inlineStr"/>
      <c r="BP183" t="inlineStr"/>
      <c r="BQ183" t="inlineStr">
        <is>
          <t>925</t>
        </is>
      </c>
      <c r="BR183" t="inlineStr">
        <is>
          <t>Chief Executive Leadership Institute (925)</t>
        </is>
      </c>
      <c r="BS183" t="inlineStr"/>
      <c r="BT183" t="inlineStr"/>
      <c r="BU183" t="inlineStr"/>
      <c r="BV183" t="inlineStr"/>
      <c r="BW183" t="inlineStr"/>
      <c r="BX183" t="inlineStr"/>
      <c r="BY183" t="inlineStr"/>
      <c r="BZ183" t="inlineStr"/>
      <c r="CA183" t="inlineStr"/>
      <c r="CB183" t="inlineStr"/>
      <c r="CC183" t="inlineStr"/>
      <c r="CD183" t="inlineStr"/>
      <c r="CE183" t="inlineStr"/>
      <c r="CF183" t="inlineStr"/>
      <c r="CG183" t="inlineStr"/>
      <c r="CH183" t="inlineStr"/>
      <c r="CI183" t="inlineStr"/>
      <c r="CJ183" t="inlineStr"/>
      <c r="CK183" t="inlineStr"/>
      <c r="CL183" t="inlineStr"/>
      <c r="CM183" t="inlineStr"/>
      <c r="CN183" t="inlineStr"/>
      <c r="CO183" t="inlineStr"/>
      <c r="CP183" t="inlineStr"/>
      <c r="CQ183" t="inlineStr"/>
      <c r="CR183" t="inlineStr"/>
      <c r="CS183" t="inlineStr"/>
      <c r="CT183" t="inlineStr"/>
      <c r="CU183" t="inlineStr"/>
      <c r="CV183" t="inlineStr"/>
      <c r="CW183" t="inlineStr"/>
      <c r="CX183" t="inlineStr"/>
      <c r="CY183" t="inlineStr"/>
      <c r="CZ183" t="inlineStr"/>
      <c r="DA183" t="inlineStr"/>
      <c r="DB183" t="inlineStr"/>
      <c r="DC183" t="inlineStr"/>
      <c r="DD183" t="inlineStr"/>
      <c r="DE183" t="inlineStr"/>
      <c r="DF183" t="inlineStr"/>
      <c r="DG183" t="inlineStr"/>
      <c r="DH183" t="inlineStr"/>
      <c r="DI183" t="inlineStr"/>
      <c r="DJ183" t="inlineStr"/>
      <c r="DK183" t="inlineStr"/>
      <c r="DL183" t="inlineStr"/>
      <c r="DM183" t="inlineStr"/>
      <c r="DN183" t="inlineStr"/>
      <c r="DO183" t="inlineStr"/>
      <c r="DP183" t="inlineStr"/>
      <c r="DQ183" t="inlineStr"/>
      <c r="DR183" t="inlineStr"/>
      <c r="DS183" t="inlineStr"/>
      <c r="DT183" t="inlineStr"/>
      <c r="DU183" t="inlineStr"/>
      <c r="DV183" t="inlineStr"/>
      <c r="DW183" t="inlineStr"/>
      <c r="DX183" t="inlineStr"/>
      <c r="DY183" t="inlineStr"/>
      <c r="DZ183" t="inlineStr"/>
      <c r="EA183" t="inlineStr"/>
      <c r="EB183" t="inlineStr"/>
      <c r="EC183" t="inlineStr"/>
      <c r="ED183" t="inlineStr"/>
      <c r="EE183" t="inlineStr"/>
      <c r="EF183" t="inlineStr"/>
      <c r="EG183" t="inlineStr"/>
      <c r="EH183" t="inlineStr"/>
      <c r="EI183" t="inlineStr"/>
      <c r="EJ183" t="inlineStr"/>
      <c r="EK183" t="inlineStr"/>
      <c r="EL183" t="inlineStr"/>
      <c r="EM183" t="inlineStr"/>
      <c r="EN183" t="inlineStr"/>
      <c r="EO183" t="inlineStr"/>
      <c r="EP183" t="inlineStr"/>
      <c r="EQ183" t="inlineStr"/>
      <c r="ER183" t="inlineStr"/>
      <c r="ES183" t="inlineStr"/>
      <c r="ET183" t="inlineStr"/>
      <c r="EU183" t="inlineStr"/>
      <c r="EV183" t="inlineStr"/>
      <c r="EW183" t="inlineStr"/>
      <c r="EX183" t="inlineStr"/>
      <c r="EY183" t="inlineStr"/>
      <c r="EZ183" t="inlineStr"/>
      <c r="FA183" t="inlineStr"/>
      <c r="FB183" t="inlineStr"/>
      <c r="FC183" t="inlineStr"/>
      <c r="FD183" t="inlineStr"/>
      <c r="FE183" t="inlineStr"/>
      <c r="FF183" t="inlineStr"/>
      <c r="FG183" t="inlineStr"/>
      <c r="FH183" t="inlineStr"/>
      <c r="FI183" t="inlineStr"/>
      <c r="FJ183" t="inlineStr"/>
      <c r="FK183" t="inlineStr"/>
      <c r="FL183" t="inlineStr"/>
      <c r="FM183" t="inlineStr"/>
      <c r="FN183" t="inlineStr"/>
      <c r="FO183" t="inlineStr"/>
      <c r="FP183" t="inlineStr"/>
      <c r="FQ183" t="inlineStr"/>
      <c r="FR183" t="inlineStr"/>
      <c r="FS183" t="inlineStr"/>
      <c r="FT183" t="inlineStr"/>
      <c r="FU183" t="inlineStr"/>
      <c r="FV183" t="inlineStr"/>
      <c r="FW183" t="inlineStr"/>
      <c r="FX183" t="inlineStr"/>
      <c r="FY183" t="inlineStr"/>
      <c r="FZ183" t="inlineStr"/>
      <c r="GA183" t="inlineStr"/>
      <c r="GB183" t="inlineStr"/>
      <c r="GC183" t="inlineStr"/>
      <c r="GD183" t="inlineStr"/>
      <c r="GE183" t="inlineStr"/>
      <c r="GF183" t="inlineStr"/>
      <c r="GG183" t="inlineStr"/>
      <c r="GH183" t="inlineStr"/>
      <c r="GI183" t="inlineStr"/>
      <c r="GJ183" t="inlineStr"/>
      <c r="GK183" t="inlineStr"/>
      <c r="GL183" t="inlineStr"/>
      <c r="GM183" t="inlineStr"/>
      <c r="GN183" t="inlineStr"/>
      <c r="GO183" t="inlineStr"/>
      <c r="GP183" t="inlineStr"/>
      <c r="GQ183" t="inlineStr"/>
      <c r="GR183" t="inlineStr"/>
      <c r="GS183" t="inlineStr"/>
      <c r="GT183" t="inlineStr"/>
      <c r="GU183" t="inlineStr"/>
      <c r="GV183" t="inlineStr"/>
      <c r="GW183" t="inlineStr"/>
      <c r="GX183" t="inlineStr"/>
      <c r="GY183" t="inlineStr"/>
      <c r="GZ183" t="inlineStr"/>
      <c r="HA183" t="inlineStr"/>
      <c r="HB183" t="inlineStr"/>
      <c r="HC183" t="inlineStr"/>
      <c r="HD183" t="inlineStr"/>
      <c r="HE183" t="inlineStr"/>
      <c r="HF183" t="inlineStr"/>
      <c r="HG183" t="inlineStr"/>
      <c r="HH183" t="inlineStr"/>
      <c r="HI183" t="inlineStr"/>
      <c r="HJ183" t="inlineStr"/>
      <c r="HK183" t="inlineStr"/>
      <c r="HL183" t="inlineStr"/>
      <c r="HM183" t="inlineStr"/>
      <c r="HN183" t="inlineStr"/>
      <c r="HO183" t="inlineStr"/>
      <c r="HP183" t="inlineStr"/>
      <c r="HQ183" t="inlineStr"/>
      <c r="HR183" t="inlineStr"/>
      <c r="HS183" t="inlineStr"/>
      <c r="HT183" t="inlineStr"/>
      <c r="HU183" t="inlineStr"/>
      <c r="HV183" t="inlineStr"/>
      <c r="HW183" t="inlineStr"/>
      <c r="HX183" t="inlineStr"/>
      <c r="HY183" t="inlineStr"/>
      <c r="HZ183" t="inlineStr"/>
      <c r="IA183" t="inlineStr"/>
      <c r="IB183" t="inlineStr"/>
      <c r="IC183" t="inlineStr"/>
      <c r="ID183" t="inlineStr"/>
      <c r="IE183" t="inlineStr">
        <is>
          <t>924</t>
        </is>
      </c>
      <c r="IF183" t="inlineStr">
        <is>
          <t>News (924)</t>
        </is>
      </c>
      <c r="IG183" t="inlineStr"/>
      <c r="IH183" t="inlineStr"/>
      <c r="II183" t="inlineStr"/>
      <c r="IJ183" t="inlineStr"/>
      <c r="IK183" t="inlineStr"/>
      <c r="IL183" t="inlineStr"/>
      <c r="IM183" t="inlineStr"/>
      <c r="IN183" t="inlineStr"/>
      <c r="IO183" t="inlineStr"/>
      <c r="IP183" t="inlineStr"/>
      <c r="IQ183" t="inlineStr"/>
      <c r="IR183" t="inlineStr"/>
      <c r="IS183">
        <f>IF(input_content_type="",FALSE,ISNUMBER(SEARCH(","&amp;LOWER(input_content_type)&amp;",",","&amp;LOWER(F183)&amp;",")))</f>
        <v/>
      </c>
      <c r="IT183">
        <f>AND(IF(M183="",TRUE,IF(input_affiliations="",FALSE,SUMPRODUCT(--ISNUMBER(SEARCH(","&amp;TRIM(TEXTSPLIT(M183,","))&amp;",",","&amp;SUBSTITUTE(input_affiliations," ","")&amp;",")))&gt;0)),IF(O183="",TRUE,IF(input_affiliations="",FALSE,SUMPRODUCT(--ISNUMBER(SEARCH(","&amp;TRIM(TEXTSPLIT(O183,","))&amp;",",","&amp;SUBSTITUTE(input_affiliations," ","")&amp;",")))=COUNTA(TEXTSPLIT(O183,",")))),IF(Q183="",TRUE,IF(input_affiliations="",TRUE,SUMPRODUCT(--ISNUMBER(SEARCH(","&amp;TRIM(TEXTSPLIT(Q183,","))&amp;",",","&amp;SUBSTITUTE(input_affiliations," ","")&amp;",")))=0)),IF(S183="",TRUE,IF(input_affiliations="",FALSE,SUMPRODUCT(--ISNUMBER(SEARCH(","&amp;TRIM(TEXTSPLIT(S183,","))&amp;",",","&amp;SUBSTITUTE(input_affiliations," ","")&amp;",")))&gt;0)),IF(U183="",TRUE,IF(input_affiliations="",FALSE,SUMPRODUCT(--ISNUMBER(SEARCH(","&amp;TRIM(TEXTSPLIT(U183,","))&amp;",",","&amp;SUBSTITUTE(input_affiliations," ","")&amp;",")))=COUNTA(TEXTSPLIT(U183,",")))))</f>
        <v/>
      </c>
      <c r="IU183">
        <f>AND(IF(W183="",TRUE,IF(input_announcement_category="",FALSE,SUMPRODUCT(--ISNUMBER(SEARCH(","&amp;TRIM(TEXTSPLIT(W183,","))&amp;",",","&amp;SUBSTITUTE(input_announcement_category," ","")&amp;",")))&gt;0)),IF(Y183="",TRUE,IF(input_announcement_category="",FALSE,SUMPRODUCT(--ISNUMBER(SEARCH(","&amp;TRIM(TEXTSPLIT(Y183,","))&amp;",",","&amp;SUBSTITUTE(input_announcement_category," ","")&amp;",")))=COUNTA(TEXTSPLIT(Y183,",")))),IF(AA183="",TRUE,IF(input_announcement_category="",TRUE,SUMPRODUCT(--ISNUMBER(SEARCH(","&amp;TRIM(TEXTSPLIT(AA183,","))&amp;",",","&amp;SUBSTITUTE(input_announcement_category," ","")&amp;",")))=0)),IF(AC183="",TRUE,IF(input_announcement_category="",FALSE,SUMPRODUCT(--ISNUMBER(SEARCH(","&amp;TRIM(TEXTSPLIT(AC183,","))&amp;",",","&amp;SUBSTITUTE(input_announcement_category," ","")&amp;",")))&gt;0)),IF(AE183="",TRUE,IF(input_announcement_category="",FALSE,SUMPRODUCT(--ISNUMBER(SEARCH(","&amp;TRIM(TEXTSPLIT(AE183,","))&amp;",",","&amp;SUBSTITUTE(input_announcement_category," ","")&amp;",")))=COUNTA(TEXTSPLIT(AE183,",")))))</f>
        <v/>
      </c>
      <c r="IV183">
        <f>AND(IF(AG183="",TRUE,IF(input_area_of_focus="",FALSE,SUMPRODUCT(--ISNUMBER(SEARCH(","&amp;TRIM(TEXTSPLIT(AG183,","))&amp;",",","&amp;SUBSTITUTE(input_area_of_focus," ","")&amp;",")))&gt;0)),IF(AI183="",TRUE,IF(input_area_of_focus="",FALSE,SUMPRODUCT(--ISNUMBER(SEARCH(","&amp;TRIM(TEXTSPLIT(AI183,","))&amp;",",","&amp;SUBSTITUTE(input_area_of_focus," ","")&amp;",")))=COUNTA(TEXTSPLIT(AI183,",")))),IF(AK183="",TRUE,IF(input_area_of_focus="",TRUE,SUMPRODUCT(--ISNUMBER(SEARCH(","&amp;TRIM(TEXTSPLIT(AK183,","))&amp;",",","&amp;SUBSTITUTE(input_area_of_focus," ","")&amp;",")))=0)),IF(AM183="",TRUE,IF(input_area_of_focus="",FALSE,SUMPRODUCT(--ISNUMBER(SEARCH(","&amp;TRIM(TEXTSPLIT(AM183,","))&amp;",",","&amp;SUBSTITUTE(input_area_of_focus," ","")&amp;",")))&gt;0)),IF(AO183="",TRUE,IF(input_area_of_focus="",FALSE,SUMPRODUCT(--ISNUMBER(SEARCH(","&amp;TRIM(TEXTSPLIT(AO183,","))&amp;",",","&amp;SUBSTITUTE(input_area_of_focus," ","")&amp;",")))=COUNTA(TEXTSPLIT(AO183,",")))))</f>
        <v/>
      </c>
      <c r="IW183">
        <f>AND(IF(AQ183="",TRUE,IF(input_audience="",FALSE,SUMPRODUCT(--ISNUMBER(SEARCH(","&amp;TRIM(TEXTSPLIT(AQ183,","))&amp;",",","&amp;SUBSTITUTE(input_audience," ","")&amp;",")))&gt;0)),IF(AS183="",TRUE,IF(input_audience="",FALSE,SUMPRODUCT(--ISNUMBER(SEARCH(","&amp;TRIM(TEXTSPLIT(AS183,","))&amp;",",","&amp;SUBSTITUTE(input_audience," ","")&amp;",")))=COUNTA(TEXTSPLIT(AS183,",")))),IF(AU183="",TRUE,IF(input_audience="",TRUE,SUMPRODUCT(--ISNUMBER(SEARCH(","&amp;TRIM(TEXTSPLIT(AU183,","))&amp;",",","&amp;SUBSTITUTE(input_audience," ","")&amp;",")))=0)),IF(AW183="",TRUE,IF(input_audience="",FALSE,SUMPRODUCT(--ISNUMBER(SEARCH(","&amp;TRIM(TEXTSPLIT(AW183,","))&amp;",",","&amp;SUBSTITUTE(input_audience," ","")&amp;",")))&gt;0)),IF(AY183="",TRUE,IF(input_audience="",FALSE,SUMPRODUCT(--ISNUMBER(SEARCH(","&amp;TRIM(TEXTSPLIT(AY183,","))&amp;",",","&amp;SUBSTITUTE(input_audience," ","")&amp;",")))=COUNTA(TEXTSPLIT(AY183,",")))))</f>
        <v/>
      </c>
      <c r="IX183">
        <f>AND(IF(BA183="",TRUE,IF(input_challenge_opportunities="",FALSE,SUMPRODUCT(--ISNUMBER(SEARCH(","&amp;TRIM(TEXTSPLIT(BA183,","))&amp;",",","&amp;SUBSTITUTE(input_challenge_opportunities," ","")&amp;",")))&gt;0)),IF(BC183="",TRUE,IF(input_challenge_opportunities="",FALSE,SUMPRODUCT(--ISNUMBER(SEARCH(","&amp;TRIM(TEXTSPLIT(BC183,","))&amp;",",","&amp;SUBSTITUTE(input_challenge_opportunities," ","")&amp;",")))=COUNTA(TEXTSPLIT(BC183,",")))),IF(BE183="",TRUE,IF(input_challenge_opportunities="",TRUE,SUMPRODUCT(--ISNUMBER(SEARCH(","&amp;TRIM(TEXTSPLIT(BE183,","))&amp;",",","&amp;SUBSTITUTE(input_challenge_opportunities," ","")&amp;",")))=0)),IF(BG183="",TRUE,IF(input_challenge_opportunities="",FALSE,SUMPRODUCT(--ISNUMBER(SEARCH(","&amp;TRIM(TEXTSPLIT(BG183,","))&amp;",",","&amp;SUBSTITUTE(input_challenge_opportunities," ","")&amp;",")))&gt;0)),IF(BI183="",TRUE,IF(input_challenge_opportunities="",FALSE,SUMPRODUCT(--ISNUMBER(SEARCH(","&amp;TRIM(TEXTSPLIT(BI183,","))&amp;",",","&amp;SUBSTITUTE(input_challenge_opportunities," ","")&amp;",")))=COUNTA(TEXTSPLIT(BI183,",")))))</f>
        <v/>
      </c>
      <c r="IY183">
        <f>AND(IF(BK183="",TRUE,IF(input_context="",FALSE,SUMPRODUCT(--ISNUMBER(SEARCH(","&amp;TRIM(TEXTSPLIT(BK183,","))&amp;",",","&amp;SUBSTITUTE(input_context," ","")&amp;",")))&gt;0)),IF(BM183="",TRUE,IF(input_context="",FALSE,SUMPRODUCT(--ISNUMBER(SEARCH(","&amp;TRIM(TEXTSPLIT(BM183,","))&amp;",",","&amp;SUBSTITUTE(input_context," ","")&amp;",")))=COUNTA(TEXTSPLIT(BM183,",")))),IF(BO183="",TRUE,IF(input_context="",TRUE,SUMPRODUCT(--ISNUMBER(SEARCH(","&amp;TRIM(TEXTSPLIT(BO183,","))&amp;",",","&amp;SUBSTITUTE(input_context," ","")&amp;",")))=0)),IF(BQ183="",TRUE,IF(input_context="",FALSE,SUMPRODUCT(--ISNUMBER(SEARCH(","&amp;TRIM(TEXTSPLIT(BQ183,","))&amp;",",","&amp;SUBSTITUTE(input_context," ","")&amp;",")))&gt;0)),IF(BS183="",TRUE,IF(input_context="",FALSE,SUMPRODUCT(--ISNUMBER(SEARCH(","&amp;TRIM(TEXTSPLIT(BS183,","))&amp;",",","&amp;SUBSTITUTE(input_context," ","")&amp;",")))=COUNTA(TEXTSPLIT(BS183,",")))))</f>
        <v/>
      </c>
      <c r="IZ183">
        <f>AND(IF(BU183="",TRUE,IF(input_enews_announcement_type="",FALSE,SUMPRODUCT(--ISNUMBER(SEARCH(","&amp;TRIM(TEXTSPLIT(BU183,","))&amp;",",","&amp;SUBSTITUTE(input_enews_announcement_type," ","")&amp;",")))&gt;0)),IF(BW183="",TRUE,IF(input_enews_announcement_type="",FALSE,SUMPRODUCT(--ISNUMBER(SEARCH(","&amp;TRIM(TEXTSPLIT(BW183,","))&amp;",",","&amp;SUBSTITUTE(input_enews_announcement_type," ","")&amp;",")))=COUNTA(TEXTSPLIT(BW183,",")))),IF(BY183="",TRUE,IF(input_enews_announcement_type="",TRUE,SUMPRODUCT(--ISNUMBER(SEARCH(","&amp;TRIM(TEXTSPLIT(BY183,","))&amp;",",","&amp;SUBSTITUTE(input_enews_announcement_type," ","")&amp;",")))=0)),IF(CA183="",TRUE,IF(input_enews_announcement_type="",FALSE,SUMPRODUCT(--ISNUMBER(SEARCH(","&amp;TRIM(TEXTSPLIT(CA183,","))&amp;",",","&amp;SUBSTITUTE(input_enews_announcement_type," ","")&amp;",")))&gt;0)),IF(CC183="",TRUE,IF(input_enews_announcement_type="",FALSE,SUMPRODUCT(--ISNUMBER(SEARCH(","&amp;TRIM(TEXTSPLIT(CC183,","))&amp;",",","&amp;SUBSTITUTE(input_enews_announcement_type," ","")&amp;",")))=COUNTA(TEXTSPLIT(CC183,",")))))</f>
        <v/>
      </c>
      <c r="JA183">
        <f>AND(IF(CE183="",TRUE,IF(input_enews_audience="",FALSE,SUMPRODUCT(--ISNUMBER(SEARCH(","&amp;TRIM(TEXTSPLIT(CE183,","))&amp;",",","&amp;SUBSTITUTE(input_enews_audience," ","")&amp;",")))&gt;0)),IF(CG183="",TRUE,IF(input_enews_audience="",FALSE,SUMPRODUCT(--ISNUMBER(SEARCH(","&amp;TRIM(TEXTSPLIT(CG183,","))&amp;",",","&amp;SUBSTITUTE(input_enews_audience," ","")&amp;",")))=COUNTA(TEXTSPLIT(CG183,",")))),IF(CI183="",TRUE,IF(input_enews_audience="",TRUE,SUMPRODUCT(--ISNUMBER(SEARCH(","&amp;TRIM(TEXTSPLIT(CI183,","))&amp;",",","&amp;SUBSTITUTE(input_enews_audience," ","")&amp;",")))=0)),IF(CK183="",TRUE,IF(input_enews_audience="",FALSE,SUMPRODUCT(--ISNUMBER(SEARCH(","&amp;TRIM(TEXTSPLIT(CK183,","))&amp;",",","&amp;SUBSTITUTE(input_enews_audience," ","")&amp;",")))&gt;0)),IF(CM183="",TRUE,IF(input_enews_audience="",FALSE,SUMPRODUCT(--ISNUMBER(SEARCH(","&amp;TRIM(TEXTSPLIT(CM183,","))&amp;",",","&amp;SUBSTITUTE(input_enews_audience," ","")&amp;",")))=COUNTA(TEXTSPLIT(CM183,",")))))</f>
        <v/>
      </c>
      <c r="JB183">
        <f>AND(IF(CO183="",TRUE,IF(input_event_location="",FALSE,SUMPRODUCT(--ISNUMBER(SEARCH(","&amp;TRIM(TEXTSPLIT(CO183,","))&amp;",",","&amp;SUBSTITUTE(input_event_location," ","")&amp;",")))&gt;0)),IF(CQ183="",TRUE,IF(input_event_location="",FALSE,SUMPRODUCT(--ISNUMBER(SEARCH(","&amp;TRIM(TEXTSPLIT(CQ183,","))&amp;",",","&amp;SUBSTITUTE(input_event_location," ","")&amp;",")))=COUNTA(TEXTSPLIT(CQ183,",")))),IF(CS183="",TRUE,IF(input_event_location="",TRUE,SUMPRODUCT(--ISNUMBER(SEARCH(","&amp;TRIM(TEXTSPLIT(CS183,","))&amp;",",","&amp;SUBSTITUTE(input_event_location," ","")&amp;",")))=0)),IF(CU183="",TRUE,IF(input_event_location="",FALSE,SUMPRODUCT(--ISNUMBER(SEARCH(","&amp;TRIM(TEXTSPLIT(CU183,","))&amp;",",","&amp;SUBSTITUTE(input_event_location," ","")&amp;",")))&gt;0)),IF(CW183="",TRUE,IF(input_event_location="",FALSE,SUMPRODUCT(--ISNUMBER(SEARCH(","&amp;TRIM(TEXTSPLIT(CW183,","))&amp;",",","&amp;SUBSTITUTE(input_event_location," ","")&amp;",")))=COUNTA(TEXTSPLIT(CW183,",")))))</f>
        <v/>
      </c>
      <c r="JC183">
        <f>AND(IF(CY183="",TRUE,IF(input_event_type="",FALSE,SUMPRODUCT(--ISNUMBER(SEARCH(","&amp;TRIM(TEXTSPLIT(CY183,","))&amp;",",","&amp;SUBSTITUTE(input_event_type," ","")&amp;",")))&gt;0)),IF(DA183="",TRUE,IF(input_event_type="",FALSE,SUMPRODUCT(--ISNUMBER(SEARCH(","&amp;TRIM(TEXTSPLIT(DA183,","))&amp;",",","&amp;SUBSTITUTE(input_event_type," ","")&amp;",")))=COUNTA(TEXTSPLIT(DA183,",")))),IF(DC183="",TRUE,IF(input_event_type="",TRUE,SUMPRODUCT(--ISNUMBER(SEARCH(","&amp;TRIM(TEXTSPLIT(DC183,","))&amp;",",","&amp;SUBSTITUTE(input_event_type," ","")&amp;",")))=0)),IF(DE183="",TRUE,IF(input_event_type="",FALSE,SUMPRODUCT(--ISNUMBER(SEARCH(","&amp;TRIM(TEXTSPLIT(DE183,","))&amp;",",","&amp;SUBSTITUTE(input_event_type," ","")&amp;",")))&gt;0)),IF(DG183="",TRUE,IF(input_event_type="",FALSE,SUMPRODUCT(--ISNUMBER(SEARCH(","&amp;TRIM(TEXTSPLIT(DG183,","))&amp;",",","&amp;SUBSTITUTE(input_event_type," ","")&amp;",")))=COUNTA(TEXTSPLIT(DG183,",")))))</f>
        <v/>
      </c>
      <c r="JD183">
        <f>AND(IF(DI183="",TRUE,IF(input_executive_education_focus="",FALSE,SUMPRODUCT(--ISNUMBER(SEARCH(","&amp;TRIM(TEXTSPLIT(DI183,","))&amp;",",","&amp;SUBSTITUTE(input_executive_education_focus," ","")&amp;",")))&gt;0)),IF(DK183="",TRUE,IF(input_executive_education_focus="",FALSE,SUMPRODUCT(--ISNUMBER(SEARCH(","&amp;TRIM(TEXTSPLIT(DK183,","))&amp;",",","&amp;SUBSTITUTE(input_executive_education_focus," ","")&amp;",")))=COUNTA(TEXTSPLIT(DK183,",")))),IF(DM183="",TRUE,IF(input_executive_education_focus="",TRUE,SUMPRODUCT(--ISNUMBER(SEARCH(","&amp;TRIM(TEXTSPLIT(DM183,","))&amp;",",","&amp;SUBSTITUTE(input_executive_education_focus," ","")&amp;",")))=0)),IF(DO183="",TRUE,IF(input_executive_education_focus="",FALSE,SUMPRODUCT(--ISNUMBER(SEARCH(","&amp;TRIM(TEXTSPLIT(DO183,","))&amp;",",","&amp;SUBSTITUTE(input_executive_education_focus," ","")&amp;",")))&gt;0)),IF(DQ183="",TRUE,IF(input_executive_education_focus="",FALSE,SUMPRODUCT(--ISNUMBER(SEARCH(","&amp;TRIM(TEXTSPLIT(DQ183,","))&amp;",",","&amp;SUBSTITUTE(input_executive_education_focus," ","")&amp;",")))=COUNTA(TEXTSPLIT(DQ183,",")))))</f>
        <v/>
      </c>
      <c r="JE183">
        <f>AND(IF(DS183="",TRUE,IF(input_faculty_category="",FALSE,SUMPRODUCT(--ISNUMBER(SEARCH(","&amp;TRIM(TEXTSPLIT(DS183,","))&amp;",",","&amp;SUBSTITUTE(input_faculty_category," ","")&amp;",")))&gt;0)),IF(DU183="",TRUE,IF(input_faculty_category="",FALSE,SUMPRODUCT(--ISNUMBER(SEARCH(","&amp;TRIM(TEXTSPLIT(DU183,","))&amp;",",","&amp;SUBSTITUTE(input_faculty_category," ","")&amp;",")))=COUNTA(TEXTSPLIT(DU183,",")))),IF(DW183="",TRUE,IF(input_faculty_category="",TRUE,SUMPRODUCT(--ISNUMBER(SEARCH(","&amp;TRIM(TEXTSPLIT(DW183,","))&amp;",",","&amp;SUBSTITUTE(input_faculty_category," ","")&amp;",")))=0)),IF(DY183="",TRUE,IF(input_faculty_category="",FALSE,SUMPRODUCT(--ISNUMBER(SEARCH(","&amp;TRIM(TEXTSPLIT(DY183,","))&amp;",",","&amp;SUBSTITUTE(input_faculty_category," ","")&amp;",")))&gt;0)),IF(EA183="",TRUE,IF(input_faculty_category="",FALSE,SUMPRODUCT(--ISNUMBER(SEARCH(","&amp;TRIM(TEXTSPLIT(EA183,","))&amp;",",","&amp;SUBSTITUTE(input_faculty_category," ","")&amp;",")))=COUNTA(TEXTSPLIT(EA183,",")))))</f>
        <v/>
      </c>
      <c r="JF183">
        <f>AND(IF(EC183="",TRUE,IF(input_faculty_discipline="",FALSE,SUMPRODUCT(--ISNUMBER(SEARCH(","&amp;TRIM(TEXTSPLIT(EC183,","))&amp;",",","&amp;SUBSTITUTE(input_faculty_discipline," ","")&amp;",")))&gt;0)),IF(EE183="",TRUE,IF(input_faculty_discipline="",FALSE,SUMPRODUCT(--ISNUMBER(SEARCH(","&amp;TRIM(TEXTSPLIT(EE183,","))&amp;",",","&amp;SUBSTITUTE(input_faculty_discipline," ","")&amp;",")))=COUNTA(TEXTSPLIT(EE183,",")))),IF(EG183="",TRUE,IF(input_faculty_discipline="",TRUE,SUMPRODUCT(--ISNUMBER(SEARCH(","&amp;TRIM(TEXTSPLIT(EG183,","))&amp;",",","&amp;SUBSTITUTE(input_faculty_discipline," ","")&amp;",")))=0)),IF(EI183="",TRUE,IF(input_faculty_discipline="",FALSE,SUMPRODUCT(--ISNUMBER(SEARCH(","&amp;TRIM(TEXTSPLIT(EI183,","))&amp;",",","&amp;SUBSTITUTE(input_faculty_discipline," ","")&amp;",")))&gt;0)),IF(EK183="",TRUE,IF(input_faculty_discipline="",FALSE,SUMPRODUCT(--ISNUMBER(SEARCH(","&amp;TRIM(TEXTSPLIT(EK183,","))&amp;",",","&amp;SUBSTITUTE(input_faculty_discipline," ","")&amp;",")))=COUNTA(TEXTSPLIT(EK183,",")))))</f>
        <v/>
      </c>
      <c r="JG183">
        <f>AND(IF(EM183="",TRUE,IF(input_faculty_expertise="",FALSE,SUMPRODUCT(--ISNUMBER(SEARCH(","&amp;TRIM(TEXTSPLIT(EM183,","))&amp;",",","&amp;SUBSTITUTE(input_faculty_expertise," ","")&amp;",")))&gt;0)),IF(EO183="",TRUE,IF(input_faculty_expertise="",FALSE,SUMPRODUCT(--ISNUMBER(SEARCH(","&amp;TRIM(TEXTSPLIT(EO183,","))&amp;",",","&amp;SUBSTITUTE(input_faculty_expertise," ","")&amp;",")))=COUNTA(TEXTSPLIT(EO183,",")))),IF(EQ183="",TRUE,IF(input_faculty_expertise="",TRUE,SUMPRODUCT(--ISNUMBER(SEARCH(","&amp;TRIM(TEXTSPLIT(EQ183,","))&amp;",",","&amp;SUBSTITUTE(input_faculty_expertise," ","")&amp;",")))=0)),IF(ES183="",TRUE,IF(input_faculty_expertise="",FALSE,SUMPRODUCT(--ISNUMBER(SEARCH(","&amp;TRIM(TEXTSPLIT(ES183,","))&amp;",",","&amp;SUBSTITUTE(input_faculty_expertise," ","")&amp;",")))&gt;0)),IF(EU183="",TRUE,IF(input_faculty_expertise="",FALSE,SUMPRODUCT(--ISNUMBER(SEARCH(","&amp;TRIM(TEXTSPLIT(EU183,","))&amp;",",","&amp;SUBSTITUTE(input_faculty_expertise," ","")&amp;",")))=COUNTA(TEXTSPLIT(EU183,",")))))</f>
        <v/>
      </c>
      <c r="JH183">
        <f>AND(IF(EW183="",TRUE,IF(input_global_network_school="",FALSE,SUMPRODUCT(--ISNUMBER(SEARCH(","&amp;TRIM(TEXTSPLIT(EW183,","))&amp;",",","&amp;SUBSTITUTE(input_global_network_school," ","")&amp;",")))&gt;0)),IF(EY183="",TRUE,IF(input_global_network_school="",FALSE,SUMPRODUCT(--ISNUMBER(SEARCH(","&amp;TRIM(TEXTSPLIT(EY183,","))&amp;",",","&amp;SUBSTITUTE(input_global_network_school," ","")&amp;",")))=COUNTA(TEXTSPLIT(EY183,",")))),IF(FA183="",TRUE,IF(input_global_network_school="",TRUE,SUMPRODUCT(--ISNUMBER(SEARCH(","&amp;TRIM(TEXTSPLIT(FA183,","))&amp;",",","&amp;SUBSTITUTE(input_global_network_school," ","")&amp;",")))=0)),IF(FC183="",TRUE,IF(input_global_network_school="",FALSE,SUMPRODUCT(--ISNUMBER(SEARCH(","&amp;TRIM(TEXTSPLIT(FC183,","))&amp;",",","&amp;SUBSTITUTE(input_global_network_school," ","")&amp;",")))&gt;0)),IF(FE183="",TRUE,IF(input_global_network_school="",FALSE,SUMPRODUCT(--ISNUMBER(SEARCH(","&amp;TRIM(TEXTSPLIT(FE183,","))&amp;",",","&amp;SUBSTITUTE(input_global_network_school," ","")&amp;",")))=COUNTA(TEXTSPLIT(FE183,",")))))</f>
        <v/>
      </c>
      <c r="JI183">
        <f>AND(IF(FG183="",TRUE,IF(input_industry="",FALSE,SUMPRODUCT(--ISNUMBER(SEARCH(","&amp;TRIM(TEXTSPLIT(FG183,","))&amp;",",","&amp;SUBSTITUTE(input_industry," ","")&amp;",")))&gt;0)),IF(FI183="",TRUE,IF(input_industry="",FALSE,SUMPRODUCT(--ISNUMBER(SEARCH(","&amp;TRIM(TEXTSPLIT(FI183,","))&amp;",",","&amp;SUBSTITUTE(input_industry," ","")&amp;",")))=COUNTA(TEXTSPLIT(FI183,",")))),IF(FK183="",TRUE,IF(input_industry="",TRUE,SUMPRODUCT(--ISNUMBER(SEARCH(","&amp;TRIM(TEXTSPLIT(FK183,","))&amp;",",","&amp;SUBSTITUTE(input_industry," ","")&amp;",")))=0)),IF(FM183="",TRUE,IF(input_industry="",FALSE,SUMPRODUCT(--ISNUMBER(SEARCH(","&amp;TRIM(TEXTSPLIT(FM183,","))&amp;",",","&amp;SUBSTITUTE(input_industry," ","")&amp;",")))&gt;0)),IF(FO183="",TRUE,IF(input_industry="",FALSE,SUMPRODUCT(--ISNUMBER(SEARCH(","&amp;TRIM(TEXTSPLIT(FO183,","))&amp;",",","&amp;SUBSTITUTE(input_industry," ","")&amp;",")))=COUNTA(TEXTSPLIT(FO183,",")))))</f>
        <v/>
      </c>
      <c r="JJ183">
        <f>AND(IF(FQ183="",TRUE,IF(input_location="",FALSE,SUMPRODUCT(--ISNUMBER(SEARCH(","&amp;TRIM(TEXTSPLIT(FQ183,","))&amp;",",","&amp;SUBSTITUTE(input_location," ","")&amp;",")))&gt;0)),IF(FS183="",TRUE,IF(input_location="",FALSE,SUMPRODUCT(--ISNUMBER(SEARCH(","&amp;TRIM(TEXTSPLIT(FS183,","))&amp;",",","&amp;SUBSTITUTE(input_location," ","")&amp;",")))=COUNTA(TEXTSPLIT(FS183,",")))),IF(FU183="",TRUE,IF(input_location="",TRUE,SUMPRODUCT(--ISNUMBER(SEARCH(","&amp;TRIM(TEXTSPLIT(FU183,","))&amp;",",","&amp;SUBSTITUTE(input_location," ","")&amp;",")))=0)),IF(FW183="",TRUE,IF(input_location="",FALSE,SUMPRODUCT(--ISNUMBER(SEARCH(","&amp;TRIM(TEXTSPLIT(FW183,","))&amp;",",","&amp;SUBSTITUTE(input_location," ","")&amp;",")))&gt;0)),IF(FY183="",TRUE,IF(input_location="",FALSE,SUMPRODUCT(--ISNUMBER(SEARCH(","&amp;TRIM(TEXTSPLIT(FY183,","))&amp;",",","&amp;SUBSTITUTE(input_location," ","")&amp;",")))=COUNTA(TEXTSPLIT(FY183,",")))))</f>
        <v/>
      </c>
      <c r="JK183">
        <f>AND(IF(GA183="",TRUE,IF(input_modality="",FALSE,SUMPRODUCT(--ISNUMBER(SEARCH(","&amp;TRIM(TEXTSPLIT(GA183,","))&amp;",",","&amp;SUBSTITUTE(input_modality," ","")&amp;",")))&gt;0)),IF(GC183="",TRUE,IF(input_modality="",FALSE,SUMPRODUCT(--ISNUMBER(SEARCH(","&amp;TRIM(TEXTSPLIT(GC183,","))&amp;",",","&amp;SUBSTITUTE(input_modality," ","")&amp;",")))=COUNTA(TEXTSPLIT(GC183,",")))),IF(GE183="",TRUE,IF(input_modality="",TRUE,SUMPRODUCT(--ISNUMBER(SEARCH(","&amp;TRIM(TEXTSPLIT(GE183,","))&amp;",",","&amp;SUBSTITUTE(input_modality," ","")&amp;",")))=0)),IF(GG183="",TRUE,IF(input_modality="",FALSE,SUMPRODUCT(--ISNUMBER(SEARCH(","&amp;TRIM(TEXTSPLIT(GG183,","))&amp;",",","&amp;SUBSTITUTE(input_modality," ","")&amp;",")))&gt;0)),IF(GI183="",TRUE,IF(input_modality="",FALSE,SUMPRODUCT(--ISNUMBER(SEARCH(","&amp;TRIM(TEXTSPLIT(GI183,","))&amp;",",","&amp;SUBSTITUTE(input_modality," ","")&amp;",")))=COUNTA(TEXTSPLIT(GI183,",")))))</f>
        <v/>
      </c>
      <c r="JL183">
        <f>AND(IF(GK183="",TRUE,IF(input_organizer="",FALSE,SUMPRODUCT(--ISNUMBER(SEARCH(","&amp;TRIM(TEXTSPLIT(GK183,","))&amp;",",","&amp;SUBSTITUTE(input_organizer," ","")&amp;",")))&gt;0)),IF(GM183="",TRUE,IF(input_organizer="",FALSE,SUMPRODUCT(--ISNUMBER(SEARCH(","&amp;TRIM(TEXTSPLIT(GM183,","))&amp;",",","&amp;SUBSTITUTE(input_organizer," ","")&amp;",")))=COUNTA(TEXTSPLIT(GM183,",")))),IF(GO183="",TRUE,IF(input_organizer="",TRUE,SUMPRODUCT(--ISNUMBER(SEARCH(","&amp;TRIM(TEXTSPLIT(GO183,","))&amp;",",","&amp;SUBSTITUTE(input_organizer," ","")&amp;",")))=0)),IF(GQ183="",TRUE,IF(input_organizer="",FALSE,SUMPRODUCT(--ISNUMBER(SEARCH(","&amp;TRIM(TEXTSPLIT(GQ183,","))&amp;",",","&amp;SUBSTITUTE(input_organizer," ","")&amp;",")))&gt;0)),IF(GS183="",TRUE,IF(input_organizer="",FALSE,SUMPRODUCT(--ISNUMBER(SEARCH(","&amp;TRIM(TEXTSPLIT(GS183,","))&amp;",",","&amp;SUBSTITUTE(input_organizer," ","")&amp;",")))=COUNTA(TEXTSPLIT(GS183,",")))))</f>
        <v/>
      </c>
      <c r="JM183">
        <f>AND(IF(GU183="",TRUE,IF(input_profile_type="",FALSE,SUMPRODUCT(--ISNUMBER(SEARCH(","&amp;TRIM(TEXTSPLIT(GU183,","))&amp;",",","&amp;SUBSTITUTE(input_profile_type," ","")&amp;",")))&gt;0)),IF(GW183="",TRUE,IF(input_profile_type="",FALSE,SUMPRODUCT(--ISNUMBER(SEARCH(","&amp;TRIM(TEXTSPLIT(GW183,","))&amp;",",","&amp;SUBSTITUTE(input_profile_type," ","")&amp;",")))=COUNTA(TEXTSPLIT(GW183,",")))),IF(GY183="",TRUE,IF(input_profile_type="",TRUE,SUMPRODUCT(--ISNUMBER(SEARCH(","&amp;TRIM(TEXTSPLIT(GY183,","))&amp;",",","&amp;SUBSTITUTE(input_profile_type," ","")&amp;",")))=0)),IF(HA183="",TRUE,IF(input_profile_type="",FALSE,SUMPRODUCT(--ISNUMBER(SEARCH(","&amp;TRIM(TEXTSPLIT(HA183,","))&amp;",",","&amp;SUBSTITUTE(input_profile_type," ","")&amp;",")))&gt;0)),IF(HC183="",TRUE,IF(input_profile_type="",FALSE,SUMPRODUCT(--ISNUMBER(SEARCH(","&amp;TRIM(TEXTSPLIT(HC183,","))&amp;",",","&amp;SUBSTITUTE(input_profile_type," ","")&amp;",")))=COUNTA(TEXTSPLIT(HC183,",")))))</f>
        <v/>
      </c>
      <c r="JN183">
        <f>AND(IF(HE183="",TRUE,IF(input_program="",FALSE,SUMPRODUCT(--ISNUMBER(SEARCH(","&amp;TRIM(TEXTSPLIT(HE183,","))&amp;",",","&amp;SUBSTITUTE(input_program," ","")&amp;",")))&gt;0)),IF(HG183="",TRUE,IF(input_program="",FALSE,SUMPRODUCT(--ISNUMBER(SEARCH(","&amp;TRIM(TEXTSPLIT(HG183,","))&amp;",",","&amp;SUBSTITUTE(input_program," ","")&amp;",")))=COUNTA(TEXTSPLIT(HG183,",")))),IF(HI183="",TRUE,IF(input_program="",TRUE,SUMPRODUCT(--ISNUMBER(SEARCH(","&amp;TRIM(TEXTSPLIT(HI183,","))&amp;",",","&amp;SUBSTITUTE(input_program," ","")&amp;",")))=0)),IF(HK183="",TRUE,IF(input_program="",FALSE,SUMPRODUCT(--ISNUMBER(SEARCH(","&amp;TRIM(TEXTSPLIT(HK183,","))&amp;",",","&amp;SUBSTITUTE(input_program," ","")&amp;",")))&gt;0)),IF(HM183="",TRUE,IF(input_program="",FALSE,SUMPRODUCT(--ISNUMBER(SEARCH(","&amp;TRIM(TEXTSPLIT(HM183,","))&amp;",",","&amp;SUBSTITUTE(input_program," ","")&amp;",")))=COUNTA(TEXTSPLIT(HM183,",")))))</f>
        <v/>
      </c>
      <c r="JO183">
        <f>AND(IF(HO183="",TRUE,IF(input_story_categories="",FALSE,SUMPRODUCT(--ISNUMBER(SEARCH(","&amp;TRIM(TEXTSPLIT(HO183,","))&amp;",",","&amp;SUBSTITUTE(input_story_categories," ","")&amp;",")))&gt;0)),IF(HQ183="",TRUE,IF(input_story_categories="",FALSE,SUMPRODUCT(--ISNUMBER(SEARCH(","&amp;TRIM(TEXTSPLIT(HQ183,","))&amp;",",","&amp;SUBSTITUTE(input_story_categories," ","")&amp;",")))=COUNTA(TEXTSPLIT(HQ183,",")))),IF(HS183="",TRUE,IF(input_story_categories="",TRUE,SUMPRODUCT(--ISNUMBER(SEARCH(","&amp;TRIM(TEXTSPLIT(HS183,","))&amp;",",","&amp;SUBSTITUTE(input_story_categories," ","")&amp;",")))=0)),IF(HU183="",TRUE,IF(input_story_categories="",FALSE,SUMPRODUCT(--ISNUMBER(SEARCH(","&amp;TRIM(TEXTSPLIT(HU183,","))&amp;",",","&amp;SUBSTITUTE(input_story_categories," ","")&amp;",")))&gt;0)),IF(HW183="",TRUE,IF(input_story_categories="",FALSE,SUMPRODUCT(--ISNUMBER(SEARCH(","&amp;TRIM(TEXTSPLIT(HW183,","))&amp;",",","&amp;SUBSTITUTE(input_story_categories," ","")&amp;",")))=COUNTA(TEXTSPLIT(HW183,",")))))</f>
        <v/>
      </c>
      <c r="JP183">
        <f>AND(IF(HY183="",TRUE,IF(input_story_type="",FALSE,SUMPRODUCT(--ISNUMBER(SEARCH(","&amp;TRIM(TEXTSPLIT(HY183,","))&amp;",",","&amp;SUBSTITUTE(input_story_type," ","")&amp;",")))&gt;0)),IF(IA183="",TRUE,IF(input_story_type="",FALSE,SUMPRODUCT(--ISNUMBER(SEARCH(","&amp;TRIM(TEXTSPLIT(IA183,","))&amp;",",","&amp;SUBSTITUTE(input_story_type," ","")&amp;",")))=COUNTA(TEXTSPLIT(IA183,",")))),IF(IC183="",TRUE,IF(input_story_type="",TRUE,SUMPRODUCT(--ISNUMBER(SEARCH(","&amp;TRIM(TEXTSPLIT(IC183,","))&amp;",",","&amp;SUBSTITUTE(input_story_type," ","")&amp;",")))=0)),IF(IE183="",TRUE,IF(input_story_type="",FALSE,SUMPRODUCT(--ISNUMBER(SEARCH(","&amp;TRIM(TEXTSPLIT(IE183,","))&amp;",",","&amp;SUBSTITUTE(input_story_type," ","")&amp;",")))&gt;0)),IF(IG183="",TRUE,IF(input_story_type="",FALSE,SUMPRODUCT(--ISNUMBER(SEARCH(","&amp;TRIM(TEXTSPLIT(IG183,","))&amp;",",","&amp;SUBSTITUTE(input_story_type," ","")&amp;",")))=COUNTA(TEXTSPLIT(IG183,",")))))</f>
        <v/>
      </c>
      <c r="JQ183">
        <f>AND(IF(II183="",TRUE,IF(input_topics="",FALSE,SUMPRODUCT(--ISNUMBER(SEARCH(","&amp;TRIM(TEXTSPLIT(II183,","))&amp;",",","&amp;SUBSTITUTE(input_topics," ","")&amp;",")))&gt;0)),IF(IK183="",TRUE,IF(input_topics="",FALSE,SUMPRODUCT(--ISNUMBER(SEARCH(","&amp;TRIM(TEXTSPLIT(IK183,","))&amp;",",","&amp;SUBSTITUTE(input_topics," ","")&amp;",")))=COUNTA(TEXTSPLIT(IK183,",")))),IF(IM183="",TRUE,IF(input_topics="",TRUE,SUMPRODUCT(--ISNUMBER(SEARCH(","&amp;TRIM(TEXTSPLIT(IM183,","))&amp;",",","&amp;SUBSTITUTE(input_topics," ","")&amp;",")))=0)),IF(IO183="",TRUE,IF(input_topics="",FALSE,SUMPRODUCT(--ISNUMBER(SEARCH(","&amp;TRIM(TEXTSPLIT(IO183,","))&amp;",",","&amp;SUBSTITUTE(input_topics," ","")&amp;",")))&gt;0)),IF(IQ183="",TRUE,IF(input_topics="",FALSE,SUMPRODUCT(--ISNUMBER(SEARCH(","&amp;TRIM(TEXTSPLIT(IQ183,","))&amp;",",","&amp;SUBSTITUTE(input_topics," ","")&amp;",")))=COUNTA(TEXTSPLIT(IQ183,",")))))</f>
        <v/>
      </c>
    </row>
    <row r="184">
      <c r="A184" s="4">
        <f>IF(NOT(IS184),"Excluded",IF(AND(IT184,IU184,IV184,IW184,IX184,IY184,IZ184,JA184,JB184,JC184,JD184,JE184,JF184,JG184,JH184,JI184,JJ184,JK184,JL184,JM184,JN184,JO184,JP184,JQ184),IF(I184&gt;0,"Eligible but limited","Will appear"),"Excluded"))</f>
        <v/>
      </c>
      <c r="B184" s="4" t="inlineStr">
        <is>
          <t>Related stories on story pages</t>
        </is>
      </c>
      <c r="C184" s="4" t="inlineStr">
        <is>
          <t>/news/2016/01/pepsico-chairman-ceo-indra-k-nooyi-80-endows-deanship-yale-school-management</t>
        </is>
      </c>
      <c r="D184" s="4" t="inlineStr">
        <is>
          <t>/news/2016/01/pepsico-chairman-ceo-indra-k-nooyi-80-endows-deanship-yale-school-management
/news/2021/04/video-chef-dave-takes-students-on-virtual-cooking-tour-of-the-world
/news/2021/04/video-holistic-approach-to-decision-making</t>
        </is>
      </c>
      <c r="E184" s="4" t="n">
        <v>4</v>
      </c>
      <c r="F184" s="4" t="inlineStr">
        <is>
          <t>story</t>
        </is>
      </c>
      <c r="G184" s="4" t="inlineStr">
        <is>
          <t>stories_teaser_cards</t>
        </is>
      </c>
      <c r="H184" s="4" t="inlineStr">
        <is>
          <t>embed_all</t>
        </is>
      </c>
      <c r="I184" s="4" t="n">
        <v>3</v>
      </c>
      <c r="J184" s="4" t="inlineStr">
        <is>
          <t>View/config rules</t>
        </is>
      </c>
      <c r="K184" s="4" t="inlineStr">
        <is>
          <t>Grouped surface</t>
        </is>
      </c>
      <c r="L184" s="4" t="inlineStr">
        <is>
          <t>Content type: story; Limited to 3 item(s); Source: View/config rules</t>
        </is>
      </c>
      <c r="M184" t="inlineStr"/>
      <c r="N184" t="inlineStr"/>
      <c r="O184" t="inlineStr"/>
      <c r="P184" t="inlineStr"/>
      <c r="Q184" t="inlineStr"/>
      <c r="R184" t="inlineStr"/>
      <c r="S184" t="inlineStr"/>
      <c r="T184" t="inlineStr"/>
      <c r="U184" t="inlineStr"/>
      <c r="V184" t="inlineStr"/>
      <c r="W184" t="inlineStr"/>
      <c r="X184" t="inlineStr"/>
      <c r="Y184" t="inlineStr"/>
      <c r="Z184" t="inlineStr"/>
      <c r="AA184" t="inlineStr"/>
      <c r="AB184" t="inlineStr"/>
      <c r="AC184" t="inlineStr"/>
      <c r="AD184" t="inlineStr"/>
      <c r="AE184" t="inlineStr"/>
      <c r="AF184" t="inlineStr"/>
      <c r="AG184" t="inlineStr"/>
      <c r="AH184" t="inlineStr"/>
      <c r="AI184" t="inlineStr"/>
      <c r="AJ184" t="inlineStr"/>
      <c r="AK184" t="inlineStr"/>
      <c r="AL184" t="inlineStr"/>
      <c r="AM184" t="inlineStr"/>
      <c r="AN184" t="inlineStr"/>
      <c r="AO184" t="inlineStr"/>
      <c r="AP184" t="inlineStr"/>
      <c r="AQ184" t="inlineStr"/>
      <c r="AR184" t="inlineStr"/>
      <c r="AS184" t="inlineStr"/>
      <c r="AT184" t="inlineStr"/>
      <c r="AU184" t="inlineStr"/>
      <c r="AV184" t="inlineStr"/>
      <c r="AW184" t="inlineStr"/>
      <c r="AX184" t="inlineStr"/>
      <c r="AY184" t="inlineStr"/>
      <c r="AZ184" t="inlineStr"/>
      <c r="BA184" t="inlineStr"/>
      <c r="BB184" t="inlineStr"/>
      <c r="BC184" t="inlineStr"/>
      <c r="BD184" t="inlineStr"/>
      <c r="BE184" t="inlineStr"/>
      <c r="BF184" t="inlineStr"/>
      <c r="BG184" t="inlineStr"/>
      <c r="BH184" t="inlineStr"/>
      <c r="BI184" t="inlineStr"/>
      <c r="BJ184" t="inlineStr"/>
      <c r="BK184" t="inlineStr"/>
      <c r="BL184" t="inlineStr"/>
      <c r="BM184" t="inlineStr"/>
      <c r="BN184" t="inlineStr"/>
      <c r="BO184" t="inlineStr"/>
      <c r="BP184" t="inlineStr"/>
      <c r="BQ184" t="inlineStr"/>
      <c r="BR184" t="inlineStr"/>
      <c r="BS184" t="inlineStr"/>
      <c r="BT184" t="inlineStr"/>
      <c r="BU184" t="inlineStr"/>
      <c r="BV184" t="inlineStr"/>
      <c r="BW184" t="inlineStr"/>
      <c r="BX184" t="inlineStr"/>
      <c r="BY184" t="inlineStr"/>
      <c r="BZ184" t="inlineStr"/>
      <c r="CA184" t="inlineStr"/>
      <c r="CB184" t="inlineStr"/>
      <c r="CC184" t="inlineStr"/>
      <c r="CD184" t="inlineStr"/>
      <c r="CE184" t="inlineStr"/>
      <c r="CF184" t="inlineStr"/>
      <c r="CG184" t="inlineStr"/>
      <c r="CH184" t="inlineStr"/>
      <c r="CI184" t="inlineStr"/>
      <c r="CJ184" t="inlineStr"/>
      <c r="CK184" t="inlineStr"/>
      <c r="CL184" t="inlineStr"/>
      <c r="CM184" t="inlineStr"/>
      <c r="CN184" t="inlineStr"/>
      <c r="CO184" t="inlineStr"/>
      <c r="CP184" t="inlineStr"/>
      <c r="CQ184" t="inlineStr"/>
      <c r="CR184" t="inlineStr"/>
      <c r="CS184" t="inlineStr"/>
      <c r="CT184" t="inlineStr"/>
      <c r="CU184" t="inlineStr"/>
      <c r="CV184" t="inlineStr"/>
      <c r="CW184" t="inlineStr"/>
      <c r="CX184" t="inlineStr"/>
      <c r="CY184" t="inlineStr"/>
      <c r="CZ184" t="inlineStr"/>
      <c r="DA184" t="inlineStr"/>
      <c r="DB184" t="inlineStr"/>
      <c r="DC184" t="inlineStr"/>
      <c r="DD184" t="inlineStr"/>
      <c r="DE184" t="inlineStr"/>
      <c r="DF184" t="inlineStr"/>
      <c r="DG184" t="inlineStr"/>
      <c r="DH184" t="inlineStr"/>
      <c r="DI184" t="inlineStr"/>
      <c r="DJ184" t="inlineStr"/>
      <c r="DK184" t="inlineStr"/>
      <c r="DL184" t="inlineStr"/>
      <c r="DM184" t="inlineStr"/>
      <c r="DN184" t="inlineStr"/>
      <c r="DO184" t="inlineStr"/>
      <c r="DP184" t="inlineStr"/>
      <c r="DQ184" t="inlineStr"/>
      <c r="DR184" t="inlineStr"/>
      <c r="DS184" t="inlineStr"/>
      <c r="DT184" t="inlineStr"/>
      <c r="DU184" t="inlineStr"/>
      <c r="DV184" t="inlineStr"/>
      <c r="DW184" t="inlineStr"/>
      <c r="DX184" t="inlineStr"/>
      <c r="DY184" t="inlineStr"/>
      <c r="DZ184" t="inlineStr"/>
      <c r="EA184" t="inlineStr"/>
      <c r="EB184" t="inlineStr"/>
      <c r="EC184" t="inlineStr"/>
      <c r="ED184" t="inlineStr"/>
      <c r="EE184" t="inlineStr"/>
      <c r="EF184" t="inlineStr"/>
      <c r="EG184" t="inlineStr"/>
      <c r="EH184" t="inlineStr"/>
      <c r="EI184" t="inlineStr"/>
      <c r="EJ184" t="inlineStr"/>
      <c r="EK184" t="inlineStr"/>
      <c r="EL184" t="inlineStr"/>
      <c r="EM184" t="inlineStr"/>
      <c r="EN184" t="inlineStr"/>
      <c r="EO184" t="inlineStr"/>
      <c r="EP184" t="inlineStr"/>
      <c r="EQ184" t="inlineStr"/>
      <c r="ER184" t="inlineStr"/>
      <c r="ES184" t="inlineStr"/>
      <c r="ET184" t="inlineStr"/>
      <c r="EU184" t="inlineStr"/>
      <c r="EV184" t="inlineStr"/>
      <c r="EW184" t="inlineStr"/>
      <c r="EX184" t="inlineStr"/>
      <c r="EY184" t="inlineStr"/>
      <c r="EZ184" t="inlineStr"/>
      <c r="FA184" t="inlineStr"/>
      <c r="FB184" t="inlineStr"/>
      <c r="FC184" t="inlineStr"/>
      <c r="FD184" t="inlineStr"/>
      <c r="FE184" t="inlineStr"/>
      <c r="FF184" t="inlineStr"/>
      <c r="FG184" t="inlineStr"/>
      <c r="FH184" t="inlineStr"/>
      <c r="FI184" t="inlineStr"/>
      <c r="FJ184" t="inlineStr"/>
      <c r="FK184" t="inlineStr"/>
      <c r="FL184" t="inlineStr"/>
      <c r="FM184" t="inlineStr"/>
      <c r="FN184" t="inlineStr"/>
      <c r="FO184" t="inlineStr"/>
      <c r="FP184" t="inlineStr"/>
      <c r="FQ184" t="inlineStr"/>
      <c r="FR184" t="inlineStr"/>
      <c r="FS184" t="inlineStr"/>
      <c r="FT184" t="inlineStr"/>
      <c r="FU184" t="inlineStr"/>
      <c r="FV184" t="inlineStr"/>
      <c r="FW184" t="inlineStr"/>
      <c r="FX184" t="inlineStr"/>
      <c r="FY184" t="inlineStr"/>
      <c r="FZ184" t="inlineStr"/>
      <c r="GA184" t="inlineStr"/>
      <c r="GB184" t="inlineStr"/>
      <c r="GC184" t="inlineStr"/>
      <c r="GD184" t="inlineStr"/>
      <c r="GE184" t="inlineStr"/>
      <c r="GF184" t="inlineStr"/>
      <c r="GG184" t="inlineStr"/>
      <c r="GH184" t="inlineStr"/>
      <c r="GI184" t="inlineStr"/>
      <c r="GJ184" t="inlineStr"/>
      <c r="GK184" t="inlineStr"/>
      <c r="GL184" t="inlineStr"/>
      <c r="GM184" t="inlineStr"/>
      <c r="GN184" t="inlineStr"/>
      <c r="GO184" t="inlineStr"/>
      <c r="GP184" t="inlineStr"/>
      <c r="GQ184" t="inlineStr"/>
      <c r="GR184" t="inlineStr"/>
      <c r="GS184" t="inlineStr"/>
      <c r="GT184" t="inlineStr"/>
      <c r="GU184" t="inlineStr"/>
      <c r="GV184" t="inlineStr"/>
      <c r="GW184" t="inlineStr"/>
      <c r="GX184" t="inlineStr"/>
      <c r="GY184" t="inlineStr"/>
      <c r="GZ184" t="inlineStr"/>
      <c r="HA184" t="inlineStr"/>
      <c r="HB184" t="inlineStr"/>
      <c r="HC184" t="inlineStr"/>
      <c r="HD184" t="inlineStr"/>
      <c r="HE184" t="inlineStr"/>
      <c r="HF184" t="inlineStr"/>
      <c r="HG184" t="inlineStr"/>
      <c r="HH184" t="inlineStr"/>
      <c r="HI184" t="inlineStr"/>
      <c r="HJ184" t="inlineStr"/>
      <c r="HK184" t="inlineStr"/>
      <c r="HL184" t="inlineStr"/>
      <c r="HM184" t="inlineStr"/>
      <c r="HN184" t="inlineStr"/>
      <c r="HO184" t="inlineStr"/>
      <c r="HP184" t="inlineStr"/>
      <c r="HQ184" t="inlineStr"/>
      <c r="HR184" t="inlineStr"/>
      <c r="HS184" t="inlineStr"/>
      <c r="HT184" t="inlineStr"/>
      <c r="HU184" t="inlineStr"/>
      <c r="HV184" t="inlineStr"/>
      <c r="HW184" t="inlineStr"/>
      <c r="HX184" t="inlineStr"/>
      <c r="HY184" t="inlineStr"/>
      <c r="HZ184" t="inlineStr"/>
      <c r="IA184" t="inlineStr"/>
      <c r="IB184" t="inlineStr"/>
      <c r="IC184" t="inlineStr"/>
      <c r="ID184" t="inlineStr"/>
      <c r="IE184" t="inlineStr"/>
      <c r="IF184" t="inlineStr"/>
      <c r="IG184" t="inlineStr"/>
      <c r="IH184" t="inlineStr"/>
      <c r="II184" t="inlineStr"/>
      <c r="IJ184" t="inlineStr"/>
      <c r="IK184" t="inlineStr"/>
      <c r="IL184" t="inlineStr"/>
      <c r="IM184" t="inlineStr"/>
      <c r="IN184" t="inlineStr"/>
      <c r="IO184" t="inlineStr"/>
      <c r="IP184" t="inlineStr"/>
      <c r="IQ184" t="inlineStr"/>
      <c r="IR184" t="inlineStr"/>
      <c r="IS184">
        <f>IF(input_content_type="",FALSE,ISNUMBER(SEARCH(","&amp;LOWER(input_content_type)&amp;",",","&amp;LOWER(F184)&amp;",")))</f>
        <v/>
      </c>
      <c r="IT184">
        <f>AND(IF(M184="",TRUE,IF(input_affiliations="",FALSE,SUMPRODUCT(--ISNUMBER(SEARCH(","&amp;TRIM(TEXTSPLIT(M184,","))&amp;",",","&amp;SUBSTITUTE(input_affiliations," ","")&amp;",")))&gt;0)),IF(O184="",TRUE,IF(input_affiliations="",FALSE,SUMPRODUCT(--ISNUMBER(SEARCH(","&amp;TRIM(TEXTSPLIT(O184,","))&amp;",",","&amp;SUBSTITUTE(input_affiliations," ","")&amp;",")))=COUNTA(TEXTSPLIT(O184,",")))),IF(Q184="",TRUE,IF(input_affiliations="",TRUE,SUMPRODUCT(--ISNUMBER(SEARCH(","&amp;TRIM(TEXTSPLIT(Q184,","))&amp;",",","&amp;SUBSTITUTE(input_affiliations," ","")&amp;",")))=0)),IF(S184="",TRUE,IF(input_affiliations="",FALSE,SUMPRODUCT(--ISNUMBER(SEARCH(","&amp;TRIM(TEXTSPLIT(S184,","))&amp;",",","&amp;SUBSTITUTE(input_affiliations," ","")&amp;",")))&gt;0)),IF(U184="",TRUE,IF(input_affiliations="",FALSE,SUMPRODUCT(--ISNUMBER(SEARCH(","&amp;TRIM(TEXTSPLIT(U184,","))&amp;",",","&amp;SUBSTITUTE(input_affiliations," ","")&amp;",")))=COUNTA(TEXTSPLIT(U184,",")))))</f>
        <v/>
      </c>
      <c r="IU184">
        <f>AND(IF(W184="",TRUE,IF(input_announcement_category="",FALSE,SUMPRODUCT(--ISNUMBER(SEARCH(","&amp;TRIM(TEXTSPLIT(W184,","))&amp;",",","&amp;SUBSTITUTE(input_announcement_category," ","")&amp;",")))&gt;0)),IF(Y184="",TRUE,IF(input_announcement_category="",FALSE,SUMPRODUCT(--ISNUMBER(SEARCH(","&amp;TRIM(TEXTSPLIT(Y184,","))&amp;",",","&amp;SUBSTITUTE(input_announcement_category," ","")&amp;",")))=COUNTA(TEXTSPLIT(Y184,",")))),IF(AA184="",TRUE,IF(input_announcement_category="",TRUE,SUMPRODUCT(--ISNUMBER(SEARCH(","&amp;TRIM(TEXTSPLIT(AA184,","))&amp;",",","&amp;SUBSTITUTE(input_announcement_category," ","")&amp;",")))=0)),IF(AC184="",TRUE,IF(input_announcement_category="",FALSE,SUMPRODUCT(--ISNUMBER(SEARCH(","&amp;TRIM(TEXTSPLIT(AC184,","))&amp;",",","&amp;SUBSTITUTE(input_announcement_category," ","")&amp;",")))&gt;0)),IF(AE184="",TRUE,IF(input_announcement_category="",FALSE,SUMPRODUCT(--ISNUMBER(SEARCH(","&amp;TRIM(TEXTSPLIT(AE184,","))&amp;",",","&amp;SUBSTITUTE(input_announcement_category," ","")&amp;",")))=COUNTA(TEXTSPLIT(AE184,",")))))</f>
        <v/>
      </c>
      <c r="IV184">
        <f>AND(IF(AG184="",TRUE,IF(input_area_of_focus="",FALSE,SUMPRODUCT(--ISNUMBER(SEARCH(","&amp;TRIM(TEXTSPLIT(AG184,","))&amp;",",","&amp;SUBSTITUTE(input_area_of_focus," ","")&amp;",")))&gt;0)),IF(AI184="",TRUE,IF(input_area_of_focus="",FALSE,SUMPRODUCT(--ISNUMBER(SEARCH(","&amp;TRIM(TEXTSPLIT(AI184,","))&amp;",",","&amp;SUBSTITUTE(input_area_of_focus," ","")&amp;",")))=COUNTA(TEXTSPLIT(AI184,",")))),IF(AK184="",TRUE,IF(input_area_of_focus="",TRUE,SUMPRODUCT(--ISNUMBER(SEARCH(","&amp;TRIM(TEXTSPLIT(AK184,","))&amp;",",","&amp;SUBSTITUTE(input_area_of_focus," ","")&amp;",")))=0)),IF(AM184="",TRUE,IF(input_area_of_focus="",FALSE,SUMPRODUCT(--ISNUMBER(SEARCH(","&amp;TRIM(TEXTSPLIT(AM184,","))&amp;",",","&amp;SUBSTITUTE(input_area_of_focus," ","")&amp;",")))&gt;0)),IF(AO184="",TRUE,IF(input_area_of_focus="",FALSE,SUMPRODUCT(--ISNUMBER(SEARCH(","&amp;TRIM(TEXTSPLIT(AO184,","))&amp;",",","&amp;SUBSTITUTE(input_area_of_focus," ","")&amp;",")))=COUNTA(TEXTSPLIT(AO184,",")))))</f>
        <v/>
      </c>
      <c r="IW184">
        <f>AND(IF(AQ184="",TRUE,IF(input_audience="",FALSE,SUMPRODUCT(--ISNUMBER(SEARCH(","&amp;TRIM(TEXTSPLIT(AQ184,","))&amp;",",","&amp;SUBSTITUTE(input_audience," ","")&amp;",")))&gt;0)),IF(AS184="",TRUE,IF(input_audience="",FALSE,SUMPRODUCT(--ISNUMBER(SEARCH(","&amp;TRIM(TEXTSPLIT(AS184,","))&amp;",",","&amp;SUBSTITUTE(input_audience," ","")&amp;",")))=COUNTA(TEXTSPLIT(AS184,",")))),IF(AU184="",TRUE,IF(input_audience="",TRUE,SUMPRODUCT(--ISNUMBER(SEARCH(","&amp;TRIM(TEXTSPLIT(AU184,","))&amp;",",","&amp;SUBSTITUTE(input_audience," ","")&amp;",")))=0)),IF(AW184="",TRUE,IF(input_audience="",FALSE,SUMPRODUCT(--ISNUMBER(SEARCH(","&amp;TRIM(TEXTSPLIT(AW184,","))&amp;",",","&amp;SUBSTITUTE(input_audience," ","")&amp;",")))&gt;0)),IF(AY184="",TRUE,IF(input_audience="",FALSE,SUMPRODUCT(--ISNUMBER(SEARCH(","&amp;TRIM(TEXTSPLIT(AY184,","))&amp;",",","&amp;SUBSTITUTE(input_audience," ","")&amp;",")))=COUNTA(TEXTSPLIT(AY184,",")))))</f>
        <v/>
      </c>
      <c r="IX184">
        <f>AND(IF(BA184="",TRUE,IF(input_challenge_opportunities="",FALSE,SUMPRODUCT(--ISNUMBER(SEARCH(","&amp;TRIM(TEXTSPLIT(BA184,","))&amp;",",","&amp;SUBSTITUTE(input_challenge_opportunities," ","")&amp;",")))&gt;0)),IF(BC184="",TRUE,IF(input_challenge_opportunities="",FALSE,SUMPRODUCT(--ISNUMBER(SEARCH(","&amp;TRIM(TEXTSPLIT(BC184,","))&amp;",",","&amp;SUBSTITUTE(input_challenge_opportunities," ","")&amp;",")))=COUNTA(TEXTSPLIT(BC184,",")))),IF(BE184="",TRUE,IF(input_challenge_opportunities="",TRUE,SUMPRODUCT(--ISNUMBER(SEARCH(","&amp;TRIM(TEXTSPLIT(BE184,","))&amp;",",","&amp;SUBSTITUTE(input_challenge_opportunities," ","")&amp;",")))=0)),IF(BG184="",TRUE,IF(input_challenge_opportunities="",FALSE,SUMPRODUCT(--ISNUMBER(SEARCH(","&amp;TRIM(TEXTSPLIT(BG184,","))&amp;",",","&amp;SUBSTITUTE(input_challenge_opportunities," ","")&amp;",")))&gt;0)),IF(BI184="",TRUE,IF(input_challenge_opportunities="",FALSE,SUMPRODUCT(--ISNUMBER(SEARCH(","&amp;TRIM(TEXTSPLIT(BI184,","))&amp;",",","&amp;SUBSTITUTE(input_challenge_opportunities," ","")&amp;",")))=COUNTA(TEXTSPLIT(BI184,",")))))</f>
        <v/>
      </c>
      <c r="IY184">
        <f>AND(IF(BK184="",TRUE,IF(input_context="",FALSE,SUMPRODUCT(--ISNUMBER(SEARCH(","&amp;TRIM(TEXTSPLIT(BK184,","))&amp;",",","&amp;SUBSTITUTE(input_context," ","")&amp;",")))&gt;0)),IF(BM184="",TRUE,IF(input_context="",FALSE,SUMPRODUCT(--ISNUMBER(SEARCH(","&amp;TRIM(TEXTSPLIT(BM184,","))&amp;",",","&amp;SUBSTITUTE(input_context," ","")&amp;",")))=COUNTA(TEXTSPLIT(BM184,",")))),IF(BO184="",TRUE,IF(input_context="",TRUE,SUMPRODUCT(--ISNUMBER(SEARCH(","&amp;TRIM(TEXTSPLIT(BO184,","))&amp;",",","&amp;SUBSTITUTE(input_context," ","")&amp;",")))=0)),IF(BQ184="",TRUE,IF(input_context="",FALSE,SUMPRODUCT(--ISNUMBER(SEARCH(","&amp;TRIM(TEXTSPLIT(BQ184,","))&amp;",",","&amp;SUBSTITUTE(input_context," ","")&amp;",")))&gt;0)),IF(BS184="",TRUE,IF(input_context="",FALSE,SUMPRODUCT(--ISNUMBER(SEARCH(","&amp;TRIM(TEXTSPLIT(BS184,","))&amp;",",","&amp;SUBSTITUTE(input_context," ","")&amp;",")))=COUNTA(TEXTSPLIT(BS184,",")))))</f>
        <v/>
      </c>
      <c r="IZ184">
        <f>AND(IF(BU184="",TRUE,IF(input_enews_announcement_type="",FALSE,SUMPRODUCT(--ISNUMBER(SEARCH(","&amp;TRIM(TEXTSPLIT(BU184,","))&amp;",",","&amp;SUBSTITUTE(input_enews_announcement_type," ","")&amp;",")))&gt;0)),IF(BW184="",TRUE,IF(input_enews_announcement_type="",FALSE,SUMPRODUCT(--ISNUMBER(SEARCH(","&amp;TRIM(TEXTSPLIT(BW184,","))&amp;",",","&amp;SUBSTITUTE(input_enews_announcement_type," ","")&amp;",")))=COUNTA(TEXTSPLIT(BW184,",")))),IF(BY184="",TRUE,IF(input_enews_announcement_type="",TRUE,SUMPRODUCT(--ISNUMBER(SEARCH(","&amp;TRIM(TEXTSPLIT(BY184,","))&amp;",",","&amp;SUBSTITUTE(input_enews_announcement_type," ","")&amp;",")))=0)),IF(CA184="",TRUE,IF(input_enews_announcement_type="",FALSE,SUMPRODUCT(--ISNUMBER(SEARCH(","&amp;TRIM(TEXTSPLIT(CA184,","))&amp;",",","&amp;SUBSTITUTE(input_enews_announcement_type," ","")&amp;",")))&gt;0)),IF(CC184="",TRUE,IF(input_enews_announcement_type="",FALSE,SUMPRODUCT(--ISNUMBER(SEARCH(","&amp;TRIM(TEXTSPLIT(CC184,","))&amp;",",","&amp;SUBSTITUTE(input_enews_announcement_type," ","")&amp;",")))=COUNTA(TEXTSPLIT(CC184,",")))))</f>
        <v/>
      </c>
      <c r="JA184">
        <f>AND(IF(CE184="",TRUE,IF(input_enews_audience="",FALSE,SUMPRODUCT(--ISNUMBER(SEARCH(","&amp;TRIM(TEXTSPLIT(CE184,","))&amp;",",","&amp;SUBSTITUTE(input_enews_audience," ","")&amp;",")))&gt;0)),IF(CG184="",TRUE,IF(input_enews_audience="",FALSE,SUMPRODUCT(--ISNUMBER(SEARCH(","&amp;TRIM(TEXTSPLIT(CG184,","))&amp;",",","&amp;SUBSTITUTE(input_enews_audience," ","")&amp;",")))=COUNTA(TEXTSPLIT(CG184,",")))),IF(CI184="",TRUE,IF(input_enews_audience="",TRUE,SUMPRODUCT(--ISNUMBER(SEARCH(","&amp;TRIM(TEXTSPLIT(CI184,","))&amp;",",","&amp;SUBSTITUTE(input_enews_audience," ","")&amp;",")))=0)),IF(CK184="",TRUE,IF(input_enews_audience="",FALSE,SUMPRODUCT(--ISNUMBER(SEARCH(","&amp;TRIM(TEXTSPLIT(CK184,","))&amp;",",","&amp;SUBSTITUTE(input_enews_audience," ","")&amp;",")))&gt;0)),IF(CM184="",TRUE,IF(input_enews_audience="",FALSE,SUMPRODUCT(--ISNUMBER(SEARCH(","&amp;TRIM(TEXTSPLIT(CM184,","))&amp;",",","&amp;SUBSTITUTE(input_enews_audience," ","")&amp;",")))=COUNTA(TEXTSPLIT(CM184,",")))))</f>
        <v/>
      </c>
      <c r="JB184">
        <f>AND(IF(CO184="",TRUE,IF(input_event_location="",FALSE,SUMPRODUCT(--ISNUMBER(SEARCH(","&amp;TRIM(TEXTSPLIT(CO184,","))&amp;",",","&amp;SUBSTITUTE(input_event_location," ","")&amp;",")))&gt;0)),IF(CQ184="",TRUE,IF(input_event_location="",FALSE,SUMPRODUCT(--ISNUMBER(SEARCH(","&amp;TRIM(TEXTSPLIT(CQ184,","))&amp;",",","&amp;SUBSTITUTE(input_event_location," ","")&amp;",")))=COUNTA(TEXTSPLIT(CQ184,",")))),IF(CS184="",TRUE,IF(input_event_location="",TRUE,SUMPRODUCT(--ISNUMBER(SEARCH(","&amp;TRIM(TEXTSPLIT(CS184,","))&amp;",",","&amp;SUBSTITUTE(input_event_location," ","")&amp;",")))=0)),IF(CU184="",TRUE,IF(input_event_location="",FALSE,SUMPRODUCT(--ISNUMBER(SEARCH(","&amp;TRIM(TEXTSPLIT(CU184,","))&amp;",",","&amp;SUBSTITUTE(input_event_location," ","")&amp;",")))&gt;0)),IF(CW184="",TRUE,IF(input_event_location="",FALSE,SUMPRODUCT(--ISNUMBER(SEARCH(","&amp;TRIM(TEXTSPLIT(CW184,","))&amp;",",","&amp;SUBSTITUTE(input_event_location," ","")&amp;",")))=COUNTA(TEXTSPLIT(CW184,",")))))</f>
        <v/>
      </c>
      <c r="JC184">
        <f>AND(IF(CY184="",TRUE,IF(input_event_type="",FALSE,SUMPRODUCT(--ISNUMBER(SEARCH(","&amp;TRIM(TEXTSPLIT(CY184,","))&amp;",",","&amp;SUBSTITUTE(input_event_type," ","")&amp;",")))&gt;0)),IF(DA184="",TRUE,IF(input_event_type="",FALSE,SUMPRODUCT(--ISNUMBER(SEARCH(","&amp;TRIM(TEXTSPLIT(DA184,","))&amp;",",","&amp;SUBSTITUTE(input_event_type," ","")&amp;",")))=COUNTA(TEXTSPLIT(DA184,",")))),IF(DC184="",TRUE,IF(input_event_type="",TRUE,SUMPRODUCT(--ISNUMBER(SEARCH(","&amp;TRIM(TEXTSPLIT(DC184,","))&amp;",",","&amp;SUBSTITUTE(input_event_type," ","")&amp;",")))=0)),IF(DE184="",TRUE,IF(input_event_type="",FALSE,SUMPRODUCT(--ISNUMBER(SEARCH(","&amp;TRIM(TEXTSPLIT(DE184,","))&amp;",",","&amp;SUBSTITUTE(input_event_type," ","")&amp;",")))&gt;0)),IF(DG184="",TRUE,IF(input_event_type="",FALSE,SUMPRODUCT(--ISNUMBER(SEARCH(","&amp;TRIM(TEXTSPLIT(DG184,","))&amp;",",","&amp;SUBSTITUTE(input_event_type," ","")&amp;",")))=COUNTA(TEXTSPLIT(DG184,",")))))</f>
        <v/>
      </c>
      <c r="JD184">
        <f>AND(IF(DI184="",TRUE,IF(input_executive_education_focus="",FALSE,SUMPRODUCT(--ISNUMBER(SEARCH(","&amp;TRIM(TEXTSPLIT(DI184,","))&amp;",",","&amp;SUBSTITUTE(input_executive_education_focus," ","")&amp;",")))&gt;0)),IF(DK184="",TRUE,IF(input_executive_education_focus="",FALSE,SUMPRODUCT(--ISNUMBER(SEARCH(","&amp;TRIM(TEXTSPLIT(DK184,","))&amp;",",","&amp;SUBSTITUTE(input_executive_education_focus," ","")&amp;",")))=COUNTA(TEXTSPLIT(DK184,",")))),IF(DM184="",TRUE,IF(input_executive_education_focus="",TRUE,SUMPRODUCT(--ISNUMBER(SEARCH(","&amp;TRIM(TEXTSPLIT(DM184,","))&amp;",",","&amp;SUBSTITUTE(input_executive_education_focus," ","")&amp;",")))=0)),IF(DO184="",TRUE,IF(input_executive_education_focus="",FALSE,SUMPRODUCT(--ISNUMBER(SEARCH(","&amp;TRIM(TEXTSPLIT(DO184,","))&amp;",",","&amp;SUBSTITUTE(input_executive_education_focus," ","")&amp;",")))&gt;0)),IF(DQ184="",TRUE,IF(input_executive_education_focus="",FALSE,SUMPRODUCT(--ISNUMBER(SEARCH(","&amp;TRIM(TEXTSPLIT(DQ184,","))&amp;",",","&amp;SUBSTITUTE(input_executive_education_focus," ","")&amp;",")))=COUNTA(TEXTSPLIT(DQ184,",")))))</f>
        <v/>
      </c>
      <c r="JE184">
        <f>AND(IF(DS184="",TRUE,IF(input_faculty_category="",FALSE,SUMPRODUCT(--ISNUMBER(SEARCH(","&amp;TRIM(TEXTSPLIT(DS184,","))&amp;",",","&amp;SUBSTITUTE(input_faculty_category," ","")&amp;",")))&gt;0)),IF(DU184="",TRUE,IF(input_faculty_category="",FALSE,SUMPRODUCT(--ISNUMBER(SEARCH(","&amp;TRIM(TEXTSPLIT(DU184,","))&amp;",",","&amp;SUBSTITUTE(input_faculty_category," ","")&amp;",")))=COUNTA(TEXTSPLIT(DU184,",")))),IF(DW184="",TRUE,IF(input_faculty_category="",TRUE,SUMPRODUCT(--ISNUMBER(SEARCH(","&amp;TRIM(TEXTSPLIT(DW184,","))&amp;",",","&amp;SUBSTITUTE(input_faculty_category," ","")&amp;",")))=0)),IF(DY184="",TRUE,IF(input_faculty_category="",FALSE,SUMPRODUCT(--ISNUMBER(SEARCH(","&amp;TRIM(TEXTSPLIT(DY184,","))&amp;",",","&amp;SUBSTITUTE(input_faculty_category," ","")&amp;",")))&gt;0)),IF(EA184="",TRUE,IF(input_faculty_category="",FALSE,SUMPRODUCT(--ISNUMBER(SEARCH(","&amp;TRIM(TEXTSPLIT(EA184,","))&amp;",",","&amp;SUBSTITUTE(input_faculty_category," ","")&amp;",")))=COUNTA(TEXTSPLIT(EA184,",")))))</f>
        <v/>
      </c>
      <c r="JF184">
        <f>AND(IF(EC184="",TRUE,IF(input_faculty_discipline="",FALSE,SUMPRODUCT(--ISNUMBER(SEARCH(","&amp;TRIM(TEXTSPLIT(EC184,","))&amp;",",","&amp;SUBSTITUTE(input_faculty_discipline," ","")&amp;",")))&gt;0)),IF(EE184="",TRUE,IF(input_faculty_discipline="",FALSE,SUMPRODUCT(--ISNUMBER(SEARCH(","&amp;TRIM(TEXTSPLIT(EE184,","))&amp;",",","&amp;SUBSTITUTE(input_faculty_discipline," ","")&amp;",")))=COUNTA(TEXTSPLIT(EE184,",")))),IF(EG184="",TRUE,IF(input_faculty_discipline="",TRUE,SUMPRODUCT(--ISNUMBER(SEARCH(","&amp;TRIM(TEXTSPLIT(EG184,","))&amp;",",","&amp;SUBSTITUTE(input_faculty_discipline," ","")&amp;",")))=0)),IF(EI184="",TRUE,IF(input_faculty_discipline="",FALSE,SUMPRODUCT(--ISNUMBER(SEARCH(","&amp;TRIM(TEXTSPLIT(EI184,","))&amp;",",","&amp;SUBSTITUTE(input_faculty_discipline," ","")&amp;",")))&gt;0)),IF(EK184="",TRUE,IF(input_faculty_discipline="",FALSE,SUMPRODUCT(--ISNUMBER(SEARCH(","&amp;TRIM(TEXTSPLIT(EK184,","))&amp;",",","&amp;SUBSTITUTE(input_faculty_discipline," ","")&amp;",")))=COUNTA(TEXTSPLIT(EK184,",")))))</f>
        <v/>
      </c>
      <c r="JG184">
        <f>AND(IF(EM184="",TRUE,IF(input_faculty_expertise="",FALSE,SUMPRODUCT(--ISNUMBER(SEARCH(","&amp;TRIM(TEXTSPLIT(EM184,","))&amp;",",","&amp;SUBSTITUTE(input_faculty_expertise," ","")&amp;",")))&gt;0)),IF(EO184="",TRUE,IF(input_faculty_expertise="",FALSE,SUMPRODUCT(--ISNUMBER(SEARCH(","&amp;TRIM(TEXTSPLIT(EO184,","))&amp;",",","&amp;SUBSTITUTE(input_faculty_expertise," ","")&amp;",")))=COUNTA(TEXTSPLIT(EO184,",")))),IF(EQ184="",TRUE,IF(input_faculty_expertise="",TRUE,SUMPRODUCT(--ISNUMBER(SEARCH(","&amp;TRIM(TEXTSPLIT(EQ184,","))&amp;",",","&amp;SUBSTITUTE(input_faculty_expertise," ","")&amp;",")))=0)),IF(ES184="",TRUE,IF(input_faculty_expertise="",FALSE,SUMPRODUCT(--ISNUMBER(SEARCH(","&amp;TRIM(TEXTSPLIT(ES184,","))&amp;",",","&amp;SUBSTITUTE(input_faculty_expertise," ","")&amp;",")))&gt;0)),IF(EU184="",TRUE,IF(input_faculty_expertise="",FALSE,SUMPRODUCT(--ISNUMBER(SEARCH(","&amp;TRIM(TEXTSPLIT(EU184,","))&amp;",",","&amp;SUBSTITUTE(input_faculty_expertise," ","")&amp;",")))=COUNTA(TEXTSPLIT(EU184,",")))))</f>
        <v/>
      </c>
      <c r="JH184">
        <f>AND(IF(EW184="",TRUE,IF(input_global_network_school="",FALSE,SUMPRODUCT(--ISNUMBER(SEARCH(","&amp;TRIM(TEXTSPLIT(EW184,","))&amp;",",","&amp;SUBSTITUTE(input_global_network_school," ","")&amp;",")))&gt;0)),IF(EY184="",TRUE,IF(input_global_network_school="",FALSE,SUMPRODUCT(--ISNUMBER(SEARCH(","&amp;TRIM(TEXTSPLIT(EY184,","))&amp;",",","&amp;SUBSTITUTE(input_global_network_school," ","")&amp;",")))=COUNTA(TEXTSPLIT(EY184,",")))),IF(FA184="",TRUE,IF(input_global_network_school="",TRUE,SUMPRODUCT(--ISNUMBER(SEARCH(","&amp;TRIM(TEXTSPLIT(FA184,","))&amp;",",","&amp;SUBSTITUTE(input_global_network_school," ","")&amp;",")))=0)),IF(FC184="",TRUE,IF(input_global_network_school="",FALSE,SUMPRODUCT(--ISNUMBER(SEARCH(","&amp;TRIM(TEXTSPLIT(FC184,","))&amp;",",","&amp;SUBSTITUTE(input_global_network_school," ","")&amp;",")))&gt;0)),IF(FE184="",TRUE,IF(input_global_network_school="",FALSE,SUMPRODUCT(--ISNUMBER(SEARCH(","&amp;TRIM(TEXTSPLIT(FE184,","))&amp;",",","&amp;SUBSTITUTE(input_global_network_school," ","")&amp;",")))=COUNTA(TEXTSPLIT(FE184,",")))))</f>
        <v/>
      </c>
      <c r="JI184">
        <f>AND(IF(FG184="",TRUE,IF(input_industry="",FALSE,SUMPRODUCT(--ISNUMBER(SEARCH(","&amp;TRIM(TEXTSPLIT(FG184,","))&amp;",",","&amp;SUBSTITUTE(input_industry," ","")&amp;",")))&gt;0)),IF(FI184="",TRUE,IF(input_industry="",FALSE,SUMPRODUCT(--ISNUMBER(SEARCH(","&amp;TRIM(TEXTSPLIT(FI184,","))&amp;",",","&amp;SUBSTITUTE(input_industry," ","")&amp;",")))=COUNTA(TEXTSPLIT(FI184,",")))),IF(FK184="",TRUE,IF(input_industry="",TRUE,SUMPRODUCT(--ISNUMBER(SEARCH(","&amp;TRIM(TEXTSPLIT(FK184,","))&amp;",",","&amp;SUBSTITUTE(input_industry," ","")&amp;",")))=0)),IF(FM184="",TRUE,IF(input_industry="",FALSE,SUMPRODUCT(--ISNUMBER(SEARCH(","&amp;TRIM(TEXTSPLIT(FM184,","))&amp;",",","&amp;SUBSTITUTE(input_industry," ","")&amp;",")))&gt;0)),IF(FO184="",TRUE,IF(input_industry="",FALSE,SUMPRODUCT(--ISNUMBER(SEARCH(","&amp;TRIM(TEXTSPLIT(FO184,","))&amp;",",","&amp;SUBSTITUTE(input_industry," ","")&amp;",")))=COUNTA(TEXTSPLIT(FO184,",")))))</f>
        <v/>
      </c>
      <c r="JJ184">
        <f>AND(IF(FQ184="",TRUE,IF(input_location="",FALSE,SUMPRODUCT(--ISNUMBER(SEARCH(","&amp;TRIM(TEXTSPLIT(FQ184,","))&amp;",",","&amp;SUBSTITUTE(input_location," ","")&amp;",")))&gt;0)),IF(FS184="",TRUE,IF(input_location="",FALSE,SUMPRODUCT(--ISNUMBER(SEARCH(","&amp;TRIM(TEXTSPLIT(FS184,","))&amp;",",","&amp;SUBSTITUTE(input_location," ","")&amp;",")))=COUNTA(TEXTSPLIT(FS184,",")))),IF(FU184="",TRUE,IF(input_location="",TRUE,SUMPRODUCT(--ISNUMBER(SEARCH(","&amp;TRIM(TEXTSPLIT(FU184,","))&amp;",",","&amp;SUBSTITUTE(input_location," ","")&amp;",")))=0)),IF(FW184="",TRUE,IF(input_location="",FALSE,SUMPRODUCT(--ISNUMBER(SEARCH(","&amp;TRIM(TEXTSPLIT(FW184,","))&amp;",",","&amp;SUBSTITUTE(input_location," ","")&amp;",")))&gt;0)),IF(FY184="",TRUE,IF(input_location="",FALSE,SUMPRODUCT(--ISNUMBER(SEARCH(","&amp;TRIM(TEXTSPLIT(FY184,","))&amp;",",","&amp;SUBSTITUTE(input_location," ","")&amp;",")))=COUNTA(TEXTSPLIT(FY184,",")))))</f>
        <v/>
      </c>
      <c r="JK184">
        <f>AND(IF(GA184="",TRUE,IF(input_modality="",FALSE,SUMPRODUCT(--ISNUMBER(SEARCH(","&amp;TRIM(TEXTSPLIT(GA184,","))&amp;",",","&amp;SUBSTITUTE(input_modality," ","")&amp;",")))&gt;0)),IF(GC184="",TRUE,IF(input_modality="",FALSE,SUMPRODUCT(--ISNUMBER(SEARCH(","&amp;TRIM(TEXTSPLIT(GC184,","))&amp;",",","&amp;SUBSTITUTE(input_modality," ","")&amp;",")))=COUNTA(TEXTSPLIT(GC184,",")))),IF(GE184="",TRUE,IF(input_modality="",TRUE,SUMPRODUCT(--ISNUMBER(SEARCH(","&amp;TRIM(TEXTSPLIT(GE184,","))&amp;",",","&amp;SUBSTITUTE(input_modality," ","")&amp;",")))=0)),IF(GG184="",TRUE,IF(input_modality="",FALSE,SUMPRODUCT(--ISNUMBER(SEARCH(","&amp;TRIM(TEXTSPLIT(GG184,","))&amp;",",","&amp;SUBSTITUTE(input_modality," ","")&amp;",")))&gt;0)),IF(GI184="",TRUE,IF(input_modality="",FALSE,SUMPRODUCT(--ISNUMBER(SEARCH(","&amp;TRIM(TEXTSPLIT(GI184,","))&amp;",",","&amp;SUBSTITUTE(input_modality," ","")&amp;",")))=COUNTA(TEXTSPLIT(GI184,",")))))</f>
        <v/>
      </c>
      <c r="JL184">
        <f>AND(IF(GK184="",TRUE,IF(input_organizer="",FALSE,SUMPRODUCT(--ISNUMBER(SEARCH(","&amp;TRIM(TEXTSPLIT(GK184,","))&amp;",",","&amp;SUBSTITUTE(input_organizer," ","")&amp;",")))&gt;0)),IF(GM184="",TRUE,IF(input_organizer="",FALSE,SUMPRODUCT(--ISNUMBER(SEARCH(","&amp;TRIM(TEXTSPLIT(GM184,","))&amp;",",","&amp;SUBSTITUTE(input_organizer," ","")&amp;",")))=COUNTA(TEXTSPLIT(GM184,",")))),IF(GO184="",TRUE,IF(input_organizer="",TRUE,SUMPRODUCT(--ISNUMBER(SEARCH(","&amp;TRIM(TEXTSPLIT(GO184,","))&amp;",",","&amp;SUBSTITUTE(input_organizer," ","")&amp;",")))=0)),IF(GQ184="",TRUE,IF(input_organizer="",FALSE,SUMPRODUCT(--ISNUMBER(SEARCH(","&amp;TRIM(TEXTSPLIT(GQ184,","))&amp;",",","&amp;SUBSTITUTE(input_organizer," ","")&amp;",")))&gt;0)),IF(GS184="",TRUE,IF(input_organizer="",FALSE,SUMPRODUCT(--ISNUMBER(SEARCH(","&amp;TRIM(TEXTSPLIT(GS184,","))&amp;",",","&amp;SUBSTITUTE(input_organizer," ","")&amp;",")))=COUNTA(TEXTSPLIT(GS184,",")))))</f>
        <v/>
      </c>
      <c r="JM184">
        <f>AND(IF(GU184="",TRUE,IF(input_profile_type="",FALSE,SUMPRODUCT(--ISNUMBER(SEARCH(","&amp;TRIM(TEXTSPLIT(GU184,","))&amp;",",","&amp;SUBSTITUTE(input_profile_type," ","")&amp;",")))&gt;0)),IF(GW184="",TRUE,IF(input_profile_type="",FALSE,SUMPRODUCT(--ISNUMBER(SEARCH(","&amp;TRIM(TEXTSPLIT(GW184,","))&amp;",",","&amp;SUBSTITUTE(input_profile_type," ","")&amp;",")))=COUNTA(TEXTSPLIT(GW184,",")))),IF(GY184="",TRUE,IF(input_profile_type="",TRUE,SUMPRODUCT(--ISNUMBER(SEARCH(","&amp;TRIM(TEXTSPLIT(GY184,","))&amp;",",","&amp;SUBSTITUTE(input_profile_type," ","")&amp;",")))=0)),IF(HA184="",TRUE,IF(input_profile_type="",FALSE,SUMPRODUCT(--ISNUMBER(SEARCH(","&amp;TRIM(TEXTSPLIT(HA184,","))&amp;",",","&amp;SUBSTITUTE(input_profile_type," ","")&amp;",")))&gt;0)),IF(HC184="",TRUE,IF(input_profile_type="",FALSE,SUMPRODUCT(--ISNUMBER(SEARCH(","&amp;TRIM(TEXTSPLIT(HC184,","))&amp;",",","&amp;SUBSTITUTE(input_profile_type," ","")&amp;",")))=COUNTA(TEXTSPLIT(HC184,",")))))</f>
        <v/>
      </c>
      <c r="JN184">
        <f>AND(IF(HE184="",TRUE,IF(input_program="",FALSE,SUMPRODUCT(--ISNUMBER(SEARCH(","&amp;TRIM(TEXTSPLIT(HE184,","))&amp;",",","&amp;SUBSTITUTE(input_program," ","")&amp;",")))&gt;0)),IF(HG184="",TRUE,IF(input_program="",FALSE,SUMPRODUCT(--ISNUMBER(SEARCH(","&amp;TRIM(TEXTSPLIT(HG184,","))&amp;",",","&amp;SUBSTITUTE(input_program," ","")&amp;",")))=COUNTA(TEXTSPLIT(HG184,",")))),IF(HI184="",TRUE,IF(input_program="",TRUE,SUMPRODUCT(--ISNUMBER(SEARCH(","&amp;TRIM(TEXTSPLIT(HI184,","))&amp;",",","&amp;SUBSTITUTE(input_program," ","")&amp;",")))=0)),IF(HK184="",TRUE,IF(input_program="",FALSE,SUMPRODUCT(--ISNUMBER(SEARCH(","&amp;TRIM(TEXTSPLIT(HK184,","))&amp;",",","&amp;SUBSTITUTE(input_program," ","")&amp;",")))&gt;0)),IF(HM184="",TRUE,IF(input_program="",FALSE,SUMPRODUCT(--ISNUMBER(SEARCH(","&amp;TRIM(TEXTSPLIT(HM184,","))&amp;",",","&amp;SUBSTITUTE(input_program," ","")&amp;",")))=COUNTA(TEXTSPLIT(HM184,",")))))</f>
        <v/>
      </c>
      <c r="JO184">
        <f>AND(IF(HO184="",TRUE,IF(input_story_categories="",FALSE,SUMPRODUCT(--ISNUMBER(SEARCH(","&amp;TRIM(TEXTSPLIT(HO184,","))&amp;",",","&amp;SUBSTITUTE(input_story_categories," ","")&amp;",")))&gt;0)),IF(HQ184="",TRUE,IF(input_story_categories="",FALSE,SUMPRODUCT(--ISNUMBER(SEARCH(","&amp;TRIM(TEXTSPLIT(HQ184,","))&amp;",",","&amp;SUBSTITUTE(input_story_categories," ","")&amp;",")))=COUNTA(TEXTSPLIT(HQ184,",")))),IF(HS184="",TRUE,IF(input_story_categories="",TRUE,SUMPRODUCT(--ISNUMBER(SEARCH(","&amp;TRIM(TEXTSPLIT(HS184,","))&amp;",",","&amp;SUBSTITUTE(input_story_categories," ","")&amp;",")))=0)),IF(HU184="",TRUE,IF(input_story_categories="",FALSE,SUMPRODUCT(--ISNUMBER(SEARCH(","&amp;TRIM(TEXTSPLIT(HU184,","))&amp;",",","&amp;SUBSTITUTE(input_story_categories," ","")&amp;",")))&gt;0)),IF(HW184="",TRUE,IF(input_story_categories="",FALSE,SUMPRODUCT(--ISNUMBER(SEARCH(","&amp;TRIM(TEXTSPLIT(HW184,","))&amp;",",","&amp;SUBSTITUTE(input_story_categories," ","")&amp;",")))=COUNTA(TEXTSPLIT(HW184,",")))))</f>
        <v/>
      </c>
      <c r="JP184">
        <f>AND(IF(HY184="",TRUE,IF(input_story_type="",FALSE,SUMPRODUCT(--ISNUMBER(SEARCH(","&amp;TRIM(TEXTSPLIT(HY184,","))&amp;",",","&amp;SUBSTITUTE(input_story_type," ","")&amp;",")))&gt;0)),IF(IA184="",TRUE,IF(input_story_type="",FALSE,SUMPRODUCT(--ISNUMBER(SEARCH(","&amp;TRIM(TEXTSPLIT(IA184,","))&amp;",",","&amp;SUBSTITUTE(input_story_type," ","")&amp;",")))=COUNTA(TEXTSPLIT(IA184,",")))),IF(IC184="",TRUE,IF(input_story_type="",TRUE,SUMPRODUCT(--ISNUMBER(SEARCH(","&amp;TRIM(TEXTSPLIT(IC184,","))&amp;",",","&amp;SUBSTITUTE(input_story_type," ","")&amp;",")))=0)),IF(IE184="",TRUE,IF(input_story_type="",FALSE,SUMPRODUCT(--ISNUMBER(SEARCH(","&amp;TRIM(TEXTSPLIT(IE184,","))&amp;",",","&amp;SUBSTITUTE(input_story_type," ","")&amp;",")))&gt;0)),IF(IG184="",TRUE,IF(input_story_type="",FALSE,SUMPRODUCT(--ISNUMBER(SEARCH(","&amp;TRIM(TEXTSPLIT(IG184,","))&amp;",",","&amp;SUBSTITUTE(input_story_type," ","")&amp;",")))=COUNTA(TEXTSPLIT(IG184,",")))))</f>
        <v/>
      </c>
      <c r="JQ184">
        <f>AND(IF(II184="",TRUE,IF(input_topics="",FALSE,SUMPRODUCT(--ISNUMBER(SEARCH(","&amp;TRIM(TEXTSPLIT(II184,","))&amp;",",","&amp;SUBSTITUTE(input_topics," ","")&amp;",")))&gt;0)),IF(IK184="",TRUE,IF(input_topics="",FALSE,SUMPRODUCT(--ISNUMBER(SEARCH(","&amp;TRIM(TEXTSPLIT(IK184,","))&amp;",",","&amp;SUBSTITUTE(input_topics," ","")&amp;",")))=COUNTA(TEXTSPLIT(IK184,",")))),IF(IM184="",TRUE,IF(input_topics="",TRUE,SUMPRODUCT(--ISNUMBER(SEARCH(","&amp;TRIM(TEXTSPLIT(IM184,","))&amp;",",","&amp;SUBSTITUTE(input_topics," ","")&amp;",")))=0)),IF(IO184="",TRUE,IF(input_topics="",FALSE,SUMPRODUCT(--ISNUMBER(SEARCH(","&amp;TRIM(TEXTSPLIT(IO184,","))&amp;",",","&amp;SUBSTITUTE(input_topics," ","")&amp;",")))&gt;0)),IF(IQ184="",TRUE,IF(input_topics="",FALSE,SUMPRODUCT(--ISNUMBER(SEARCH(","&amp;TRIM(TEXTSPLIT(IQ184,","))&amp;",",","&amp;SUBSTITUTE(input_topics," ","")&amp;",")))=COUNTA(TEXTSPLIT(IQ184,",")))))</f>
        <v/>
      </c>
    </row>
    <row r="185">
      <c r="A185" s="4">
        <f>IF(NOT(IS185),"Excluded",IF(AND(IT185,IU185,IV185,IW185,IX185,IY185,IZ185,JA185,JB185,JC185,JD185,JE185,JF185,JG185,JH185,JI185,JJ185,JK185,JL185,JM185,JN185,JO185,JP185,JQ185),IF(I185&gt;0,"Eligible but limited","Will appear"),"Excluded"))</f>
        <v/>
      </c>
      <c r="B185" s="4" t="inlineStr">
        <is>
          <t>Related stories on story pages</t>
        </is>
      </c>
      <c r="C185" s="4" t="inlineStr">
        <is>
          <t>/news/2016/10/improving-lives-through-innovative-government</t>
        </is>
      </c>
      <c r="D185" s="4" t="inlineStr">
        <is>
          <t>/news/2016/10/improving-lives-through-innovative-government
/news/2018/01/andrew-kassoy-visits-soms-social-impact-lab
/news/2018/01/harvey-koh-on-shaping-inclusive-markets</t>
        </is>
      </c>
      <c r="E185" s="4" t="n">
        <v>89</v>
      </c>
      <c r="F185" s="4" t="inlineStr">
        <is>
          <t>story</t>
        </is>
      </c>
      <c r="G185" s="4" t="inlineStr">
        <is>
          <t>stories_teaser_cards</t>
        </is>
      </c>
      <c r="H185" s="4" t="inlineStr">
        <is>
          <t>embed_all</t>
        </is>
      </c>
      <c r="I185" s="4" t="n">
        <v>3</v>
      </c>
      <c r="J185" s="4" t="inlineStr">
        <is>
          <t>Template logic</t>
        </is>
      </c>
      <c r="K185" s="4" t="inlineStr">
        <is>
          <t>Grouped surface</t>
        </is>
      </c>
      <c r="L185" s="4" t="inlineStr">
        <is>
          <t>Content type: story; Context uses Courses Context: Program on Social Enterprise, Innovation, and Impact (933); Context uses Story Type: News (924); Limited to 3 item(s); Source: Template logic</t>
        </is>
      </c>
      <c r="M185" t="inlineStr"/>
      <c r="N185" t="inlineStr"/>
      <c r="O185" t="inlineStr"/>
      <c r="P185" t="inlineStr"/>
      <c r="Q185" t="inlineStr"/>
      <c r="R185" t="inlineStr"/>
      <c r="S185" t="inlineStr"/>
      <c r="T185" t="inlineStr"/>
      <c r="U185" t="inlineStr"/>
      <c r="V185" t="inlineStr"/>
      <c r="W185" t="inlineStr"/>
      <c r="X185" t="inlineStr"/>
      <c r="Y185" t="inlineStr"/>
      <c r="Z185" t="inlineStr"/>
      <c r="AA185" t="inlineStr"/>
      <c r="AB185" t="inlineStr"/>
      <c r="AC185" t="inlineStr"/>
      <c r="AD185" t="inlineStr"/>
      <c r="AE185" t="inlineStr"/>
      <c r="AF185" t="inlineStr"/>
      <c r="AG185" t="inlineStr"/>
      <c r="AH185" t="inlineStr"/>
      <c r="AI185" t="inlineStr"/>
      <c r="AJ185" t="inlineStr"/>
      <c r="AK185" t="inlineStr"/>
      <c r="AL185" t="inlineStr"/>
      <c r="AM185" t="inlineStr"/>
      <c r="AN185" t="inlineStr"/>
      <c r="AO185" t="inlineStr"/>
      <c r="AP185" t="inlineStr"/>
      <c r="AQ185" t="inlineStr"/>
      <c r="AR185" t="inlineStr"/>
      <c r="AS185" t="inlineStr"/>
      <c r="AT185" t="inlineStr"/>
      <c r="AU185" t="inlineStr"/>
      <c r="AV185" t="inlineStr"/>
      <c r="AW185" t="inlineStr"/>
      <c r="AX185" t="inlineStr"/>
      <c r="AY185" t="inlineStr"/>
      <c r="AZ185" t="inlineStr"/>
      <c r="BA185" t="inlineStr"/>
      <c r="BB185" t="inlineStr"/>
      <c r="BC185" t="inlineStr"/>
      <c r="BD185" t="inlineStr"/>
      <c r="BE185" t="inlineStr"/>
      <c r="BF185" t="inlineStr"/>
      <c r="BG185" t="inlineStr"/>
      <c r="BH185" t="inlineStr"/>
      <c r="BI185" t="inlineStr"/>
      <c r="BJ185" t="inlineStr"/>
      <c r="BK185" t="inlineStr"/>
      <c r="BL185" t="inlineStr"/>
      <c r="BM185" t="inlineStr"/>
      <c r="BN185" t="inlineStr"/>
      <c r="BO185" t="inlineStr"/>
      <c r="BP185" t="inlineStr"/>
      <c r="BQ185" t="inlineStr">
        <is>
          <t>933</t>
        </is>
      </c>
      <c r="BR185" t="inlineStr">
        <is>
          <t>Program on Social Enterprise, Innovation, and Impact (933)</t>
        </is>
      </c>
      <c r="BS185" t="inlineStr"/>
      <c r="BT185" t="inlineStr"/>
      <c r="BU185" t="inlineStr"/>
      <c r="BV185" t="inlineStr"/>
      <c r="BW185" t="inlineStr"/>
      <c r="BX185" t="inlineStr"/>
      <c r="BY185" t="inlineStr"/>
      <c r="BZ185" t="inlineStr"/>
      <c r="CA185" t="inlineStr"/>
      <c r="CB185" t="inlineStr"/>
      <c r="CC185" t="inlineStr"/>
      <c r="CD185" t="inlineStr"/>
      <c r="CE185" t="inlineStr"/>
      <c r="CF185" t="inlineStr"/>
      <c r="CG185" t="inlineStr"/>
      <c r="CH185" t="inlineStr"/>
      <c r="CI185" t="inlineStr"/>
      <c r="CJ185" t="inlineStr"/>
      <c r="CK185" t="inlineStr"/>
      <c r="CL185" t="inlineStr"/>
      <c r="CM185" t="inlineStr"/>
      <c r="CN185" t="inlineStr"/>
      <c r="CO185" t="inlineStr"/>
      <c r="CP185" t="inlineStr"/>
      <c r="CQ185" t="inlineStr"/>
      <c r="CR185" t="inlineStr"/>
      <c r="CS185" t="inlineStr"/>
      <c r="CT185" t="inlineStr"/>
      <c r="CU185" t="inlineStr"/>
      <c r="CV185" t="inlineStr"/>
      <c r="CW185" t="inlineStr"/>
      <c r="CX185" t="inlineStr"/>
      <c r="CY185" t="inlineStr"/>
      <c r="CZ185" t="inlineStr"/>
      <c r="DA185" t="inlineStr"/>
      <c r="DB185" t="inlineStr"/>
      <c r="DC185" t="inlineStr"/>
      <c r="DD185" t="inlineStr"/>
      <c r="DE185" t="inlineStr"/>
      <c r="DF185" t="inlineStr"/>
      <c r="DG185" t="inlineStr"/>
      <c r="DH185" t="inlineStr"/>
      <c r="DI185" t="inlineStr"/>
      <c r="DJ185" t="inlineStr"/>
      <c r="DK185" t="inlineStr"/>
      <c r="DL185" t="inlineStr"/>
      <c r="DM185" t="inlineStr"/>
      <c r="DN185" t="inlineStr"/>
      <c r="DO185" t="inlineStr"/>
      <c r="DP185" t="inlineStr"/>
      <c r="DQ185" t="inlineStr"/>
      <c r="DR185" t="inlineStr"/>
      <c r="DS185" t="inlineStr"/>
      <c r="DT185" t="inlineStr"/>
      <c r="DU185" t="inlineStr"/>
      <c r="DV185" t="inlineStr"/>
      <c r="DW185" t="inlineStr"/>
      <c r="DX185" t="inlineStr"/>
      <c r="DY185" t="inlineStr"/>
      <c r="DZ185" t="inlineStr"/>
      <c r="EA185" t="inlineStr"/>
      <c r="EB185" t="inlineStr"/>
      <c r="EC185" t="inlineStr"/>
      <c r="ED185" t="inlineStr"/>
      <c r="EE185" t="inlineStr"/>
      <c r="EF185" t="inlineStr"/>
      <c r="EG185" t="inlineStr"/>
      <c r="EH185" t="inlineStr"/>
      <c r="EI185" t="inlineStr"/>
      <c r="EJ185" t="inlineStr"/>
      <c r="EK185" t="inlineStr"/>
      <c r="EL185" t="inlineStr"/>
      <c r="EM185" t="inlineStr"/>
      <c r="EN185" t="inlineStr"/>
      <c r="EO185" t="inlineStr"/>
      <c r="EP185" t="inlineStr"/>
      <c r="EQ185" t="inlineStr"/>
      <c r="ER185" t="inlineStr"/>
      <c r="ES185" t="inlineStr"/>
      <c r="ET185" t="inlineStr"/>
      <c r="EU185" t="inlineStr"/>
      <c r="EV185" t="inlineStr"/>
      <c r="EW185" t="inlineStr"/>
      <c r="EX185" t="inlineStr"/>
      <c r="EY185" t="inlineStr"/>
      <c r="EZ185" t="inlineStr"/>
      <c r="FA185" t="inlineStr"/>
      <c r="FB185" t="inlineStr"/>
      <c r="FC185" t="inlineStr"/>
      <c r="FD185" t="inlineStr"/>
      <c r="FE185" t="inlineStr"/>
      <c r="FF185" t="inlineStr"/>
      <c r="FG185" t="inlineStr"/>
      <c r="FH185" t="inlineStr"/>
      <c r="FI185" t="inlineStr"/>
      <c r="FJ185" t="inlineStr"/>
      <c r="FK185" t="inlineStr"/>
      <c r="FL185" t="inlineStr"/>
      <c r="FM185" t="inlineStr"/>
      <c r="FN185" t="inlineStr"/>
      <c r="FO185" t="inlineStr"/>
      <c r="FP185" t="inlineStr"/>
      <c r="FQ185" t="inlineStr"/>
      <c r="FR185" t="inlineStr"/>
      <c r="FS185" t="inlineStr"/>
      <c r="FT185" t="inlineStr"/>
      <c r="FU185" t="inlineStr"/>
      <c r="FV185" t="inlineStr"/>
      <c r="FW185" t="inlineStr"/>
      <c r="FX185" t="inlineStr"/>
      <c r="FY185" t="inlineStr"/>
      <c r="FZ185" t="inlineStr"/>
      <c r="GA185" t="inlineStr"/>
      <c r="GB185" t="inlineStr"/>
      <c r="GC185" t="inlineStr"/>
      <c r="GD185" t="inlineStr"/>
      <c r="GE185" t="inlineStr"/>
      <c r="GF185" t="inlineStr"/>
      <c r="GG185" t="inlineStr"/>
      <c r="GH185" t="inlineStr"/>
      <c r="GI185" t="inlineStr"/>
      <c r="GJ185" t="inlineStr"/>
      <c r="GK185" t="inlineStr"/>
      <c r="GL185" t="inlineStr"/>
      <c r="GM185" t="inlineStr"/>
      <c r="GN185" t="inlineStr"/>
      <c r="GO185" t="inlineStr"/>
      <c r="GP185" t="inlineStr"/>
      <c r="GQ185" t="inlineStr"/>
      <c r="GR185" t="inlineStr"/>
      <c r="GS185" t="inlineStr"/>
      <c r="GT185" t="inlineStr"/>
      <c r="GU185" t="inlineStr"/>
      <c r="GV185" t="inlineStr"/>
      <c r="GW185" t="inlineStr"/>
      <c r="GX185" t="inlineStr"/>
      <c r="GY185" t="inlineStr"/>
      <c r="GZ185" t="inlineStr"/>
      <c r="HA185" t="inlineStr"/>
      <c r="HB185" t="inlineStr"/>
      <c r="HC185" t="inlineStr"/>
      <c r="HD185" t="inlineStr"/>
      <c r="HE185" t="inlineStr"/>
      <c r="HF185" t="inlineStr"/>
      <c r="HG185" t="inlineStr"/>
      <c r="HH185" t="inlineStr"/>
      <c r="HI185" t="inlineStr"/>
      <c r="HJ185" t="inlineStr"/>
      <c r="HK185" t="inlineStr"/>
      <c r="HL185" t="inlineStr"/>
      <c r="HM185" t="inlineStr"/>
      <c r="HN185" t="inlineStr"/>
      <c r="HO185" t="inlineStr"/>
      <c r="HP185" t="inlineStr"/>
      <c r="HQ185" t="inlineStr"/>
      <c r="HR185" t="inlineStr"/>
      <c r="HS185" t="inlineStr"/>
      <c r="HT185" t="inlineStr"/>
      <c r="HU185" t="inlineStr"/>
      <c r="HV185" t="inlineStr"/>
      <c r="HW185" t="inlineStr"/>
      <c r="HX185" t="inlineStr"/>
      <c r="HY185" t="inlineStr"/>
      <c r="HZ185" t="inlineStr"/>
      <c r="IA185" t="inlineStr"/>
      <c r="IB185" t="inlineStr"/>
      <c r="IC185" t="inlineStr"/>
      <c r="ID185" t="inlineStr"/>
      <c r="IE185" t="inlineStr">
        <is>
          <t>924</t>
        </is>
      </c>
      <c r="IF185" t="inlineStr">
        <is>
          <t>News (924)</t>
        </is>
      </c>
      <c r="IG185" t="inlineStr"/>
      <c r="IH185" t="inlineStr"/>
      <c r="II185" t="inlineStr"/>
      <c r="IJ185" t="inlineStr"/>
      <c r="IK185" t="inlineStr"/>
      <c r="IL185" t="inlineStr"/>
      <c r="IM185" t="inlineStr"/>
      <c r="IN185" t="inlineStr"/>
      <c r="IO185" t="inlineStr"/>
      <c r="IP185" t="inlineStr"/>
      <c r="IQ185" t="inlineStr"/>
      <c r="IR185" t="inlineStr"/>
      <c r="IS185">
        <f>IF(input_content_type="",FALSE,ISNUMBER(SEARCH(","&amp;LOWER(input_content_type)&amp;",",","&amp;LOWER(F185)&amp;",")))</f>
        <v/>
      </c>
      <c r="IT185">
        <f>AND(IF(M185="",TRUE,IF(input_affiliations="",FALSE,SUMPRODUCT(--ISNUMBER(SEARCH(","&amp;TRIM(TEXTSPLIT(M185,","))&amp;",",","&amp;SUBSTITUTE(input_affiliations," ","")&amp;",")))&gt;0)),IF(O185="",TRUE,IF(input_affiliations="",FALSE,SUMPRODUCT(--ISNUMBER(SEARCH(","&amp;TRIM(TEXTSPLIT(O185,","))&amp;",",","&amp;SUBSTITUTE(input_affiliations," ","")&amp;",")))=COUNTA(TEXTSPLIT(O185,",")))),IF(Q185="",TRUE,IF(input_affiliations="",TRUE,SUMPRODUCT(--ISNUMBER(SEARCH(","&amp;TRIM(TEXTSPLIT(Q185,","))&amp;",",","&amp;SUBSTITUTE(input_affiliations," ","")&amp;",")))=0)),IF(S185="",TRUE,IF(input_affiliations="",FALSE,SUMPRODUCT(--ISNUMBER(SEARCH(","&amp;TRIM(TEXTSPLIT(S185,","))&amp;",",","&amp;SUBSTITUTE(input_affiliations," ","")&amp;",")))&gt;0)),IF(U185="",TRUE,IF(input_affiliations="",FALSE,SUMPRODUCT(--ISNUMBER(SEARCH(","&amp;TRIM(TEXTSPLIT(U185,","))&amp;",",","&amp;SUBSTITUTE(input_affiliations," ","")&amp;",")))=COUNTA(TEXTSPLIT(U185,",")))))</f>
        <v/>
      </c>
      <c r="IU185">
        <f>AND(IF(W185="",TRUE,IF(input_announcement_category="",FALSE,SUMPRODUCT(--ISNUMBER(SEARCH(","&amp;TRIM(TEXTSPLIT(W185,","))&amp;",",","&amp;SUBSTITUTE(input_announcement_category," ","")&amp;",")))&gt;0)),IF(Y185="",TRUE,IF(input_announcement_category="",FALSE,SUMPRODUCT(--ISNUMBER(SEARCH(","&amp;TRIM(TEXTSPLIT(Y185,","))&amp;",",","&amp;SUBSTITUTE(input_announcement_category," ","")&amp;",")))=COUNTA(TEXTSPLIT(Y185,",")))),IF(AA185="",TRUE,IF(input_announcement_category="",TRUE,SUMPRODUCT(--ISNUMBER(SEARCH(","&amp;TRIM(TEXTSPLIT(AA185,","))&amp;",",","&amp;SUBSTITUTE(input_announcement_category," ","")&amp;",")))=0)),IF(AC185="",TRUE,IF(input_announcement_category="",FALSE,SUMPRODUCT(--ISNUMBER(SEARCH(","&amp;TRIM(TEXTSPLIT(AC185,","))&amp;",",","&amp;SUBSTITUTE(input_announcement_category," ","")&amp;",")))&gt;0)),IF(AE185="",TRUE,IF(input_announcement_category="",FALSE,SUMPRODUCT(--ISNUMBER(SEARCH(","&amp;TRIM(TEXTSPLIT(AE185,","))&amp;",",","&amp;SUBSTITUTE(input_announcement_category," ","")&amp;",")))=COUNTA(TEXTSPLIT(AE185,",")))))</f>
        <v/>
      </c>
      <c r="IV185">
        <f>AND(IF(AG185="",TRUE,IF(input_area_of_focus="",FALSE,SUMPRODUCT(--ISNUMBER(SEARCH(","&amp;TRIM(TEXTSPLIT(AG185,","))&amp;",",","&amp;SUBSTITUTE(input_area_of_focus," ","")&amp;",")))&gt;0)),IF(AI185="",TRUE,IF(input_area_of_focus="",FALSE,SUMPRODUCT(--ISNUMBER(SEARCH(","&amp;TRIM(TEXTSPLIT(AI185,","))&amp;",",","&amp;SUBSTITUTE(input_area_of_focus," ","")&amp;",")))=COUNTA(TEXTSPLIT(AI185,",")))),IF(AK185="",TRUE,IF(input_area_of_focus="",TRUE,SUMPRODUCT(--ISNUMBER(SEARCH(","&amp;TRIM(TEXTSPLIT(AK185,","))&amp;",",","&amp;SUBSTITUTE(input_area_of_focus," ","")&amp;",")))=0)),IF(AM185="",TRUE,IF(input_area_of_focus="",FALSE,SUMPRODUCT(--ISNUMBER(SEARCH(","&amp;TRIM(TEXTSPLIT(AM185,","))&amp;",",","&amp;SUBSTITUTE(input_area_of_focus," ","")&amp;",")))&gt;0)),IF(AO185="",TRUE,IF(input_area_of_focus="",FALSE,SUMPRODUCT(--ISNUMBER(SEARCH(","&amp;TRIM(TEXTSPLIT(AO185,","))&amp;",",","&amp;SUBSTITUTE(input_area_of_focus," ","")&amp;",")))=COUNTA(TEXTSPLIT(AO185,",")))))</f>
        <v/>
      </c>
      <c r="IW185">
        <f>AND(IF(AQ185="",TRUE,IF(input_audience="",FALSE,SUMPRODUCT(--ISNUMBER(SEARCH(","&amp;TRIM(TEXTSPLIT(AQ185,","))&amp;",",","&amp;SUBSTITUTE(input_audience," ","")&amp;",")))&gt;0)),IF(AS185="",TRUE,IF(input_audience="",FALSE,SUMPRODUCT(--ISNUMBER(SEARCH(","&amp;TRIM(TEXTSPLIT(AS185,","))&amp;",",","&amp;SUBSTITUTE(input_audience," ","")&amp;",")))=COUNTA(TEXTSPLIT(AS185,",")))),IF(AU185="",TRUE,IF(input_audience="",TRUE,SUMPRODUCT(--ISNUMBER(SEARCH(","&amp;TRIM(TEXTSPLIT(AU185,","))&amp;",",","&amp;SUBSTITUTE(input_audience," ","")&amp;",")))=0)),IF(AW185="",TRUE,IF(input_audience="",FALSE,SUMPRODUCT(--ISNUMBER(SEARCH(","&amp;TRIM(TEXTSPLIT(AW185,","))&amp;",",","&amp;SUBSTITUTE(input_audience," ","")&amp;",")))&gt;0)),IF(AY185="",TRUE,IF(input_audience="",FALSE,SUMPRODUCT(--ISNUMBER(SEARCH(","&amp;TRIM(TEXTSPLIT(AY185,","))&amp;",",","&amp;SUBSTITUTE(input_audience," ","")&amp;",")))=COUNTA(TEXTSPLIT(AY185,",")))))</f>
        <v/>
      </c>
      <c r="IX185">
        <f>AND(IF(BA185="",TRUE,IF(input_challenge_opportunities="",FALSE,SUMPRODUCT(--ISNUMBER(SEARCH(","&amp;TRIM(TEXTSPLIT(BA185,","))&amp;",",","&amp;SUBSTITUTE(input_challenge_opportunities," ","")&amp;",")))&gt;0)),IF(BC185="",TRUE,IF(input_challenge_opportunities="",FALSE,SUMPRODUCT(--ISNUMBER(SEARCH(","&amp;TRIM(TEXTSPLIT(BC185,","))&amp;",",","&amp;SUBSTITUTE(input_challenge_opportunities," ","")&amp;",")))=COUNTA(TEXTSPLIT(BC185,",")))),IF(BE185="",TRUE,IF(input_challenge_opportunities="",TRUE,SUMPRODUCT(--ISNUMBER(SEARCH(","&amp;TRIM(TEXTSPLIT(BE185,","))&amp;",",","&amp;SUBSTITUTE(input_challenge_opportunities," ","")&amp;",")))=0)),IF(BG185="",TRUE,IF(input_challenge_opportunities="",FALSE,SUMPRODUCT(--ISNUMBER(SEARCH(","&amp;TRIM(TEXTSPLIT(BG185,","))&amp;",",","&amp;SUBSTITUTE(input_challenge_opportunities," ","")&amp;",")))&gt;0)),IF(BI185="",TRUE,IF(input_challenge_opportunities="",FALSE,SUMPRODUCT(--ISNUMBER(SEARCH(","&amp;TRIM(TEXTSPLIT(BI185,","))&amp;",",","&amp;SUBSTITUTE(input_challenge_opportunities," ","")&amp;",")))=COUNTA(TEXTSPLIT(BI185,",")))))</f>
        <v/>
      </c>
      <c r="IY185">
        <f>AND(IF(BK185="",TRUE,IF(input_context="",FALSE,SUMPRODUCT(--ISNUMBER(SEARCH(","&amp;TRIM(TEXTSPLIT(BK185,","))&amp;",",","&amp;SUBSTITUTE(input_context," ","")&amp;",")))&gt;0)),IF(BM185="",TRUE,IF(input_context="",FALSE,SUMPRODUCT(--ISNUMBER(SEARCH(","&amp;TRIM(TEXTSPLIT(BM185,","))&amp;",",","&amp;SUBSTITUTE(input_context," ","")&amp;",")))=COUNTA(TEXTSPLIT(BM185,",")))),IF(BO185="",TRUE,IF(input_context="",TRUE,SUMPRODUCT(--ISNUMBER(SEARCH(","&amp;TRIM(TEXTSPLIT(BO185,","))&amp;",",","&amp;SUBSTITUTE(input_context," ","")&amp;",")))=0)),IF(BQ185="",TRUE,IF(input_context="",FALSE,SUMPRODUCT(--ISNUMBER(SEARCH(","&amp;TRIM(TEXTSPLIT(BQ185,","))&amp;",",","&amp;SUBSTITUTE(input_context," ","")&amp;",")))&gt;0)),IF(BS185="",TRUE,IF(input_context="",FALSE,SUMPRODUCT(--ISNUMBER(SEARCH(","&amp;TRIM(TEXTSPLIT(BS185,","))&amp;",",","&amp;SUBSTITUTE(input_context," ","")&amp;",")))=COUNTA(TEXTSPLIT(BS185,",")))))</f>
        <v/>
      </c>
      <c r="IZ185">
        <f>AND(IF(BU185="",TRUE,IF(input_enews_announcement_type="",FALSE,SUMPRODUCT(--ISNUMBER(SEARCH(","&amp;TRIM(TEXTSPLIT(BU185,","))&amp;",",","&amp;SUBSTITUTE(input_enews_announcement_type," ","")&amp;",")))&gt;0)),IF(BW185="",TRUE,IF(input_enews_announcement_type="",FALSE,SUMPRODUCT(--ISNUMBER(SEARCH(","&amp;TRIM(TEXTSPLIT(BW185,","))&amp;",",","&amp;SUBSTITUTE(input_enews_announcement_type," ","")&amp;",")))=COUNTA(TEXTSPLIT(BW185,",")))),IF(BY185="",TRUE,IF(input_enews_announcement_type="",TRUE,SUMPRODUCT(--ISNUMBER(SEARCH(","&amp;TRIM(TEXTSPLIT(BY185,","))&amp;",",","&amp;SUBSTITUTE(input_enews_announcement_type," ","")&amp;",")))=0)),IF(CA185="",TRUE,IF(input_enews_announcement_type="",FALSE,SUMPRODUCT(--ISNUMBER(SEARCH(","&amp;TRIM(TEXTSPLIT(CA185,","))&amp;",",","&amp;SUBSTITUTE(input_enews_announcement_type," ","")&amp;",")))&gt;0)),IF(CC185="",TRUE,IF(input_enews_announcement_type="",FALSE,SUMPRODUCT(--ISNUMBER(SEARCH(","&amp;TRIM(TEXTSPLIT(CC185,","))&amp;",",","&amp;SUBSTITUTE(input_enews_announcement_type," ","")&amp;",")))=COUNTA(TEXTSPLIT(CC185,",")))))</f>
        <v/>
      </c>
      <c r="JA185">
        <f>AND(IF(CE185="",TRUE,IF(input_enews_audience="",FALSE,SUMPRODUCT(--ISNUMBER(SEARCH(","&amp;TRIM(TEXTSPLIT(CE185,","))&amp;",",","&amp;SUBSTITUTE(input_enews_audience," ","")&amp;",")))&gt;0)),IF(CG185="",TRUE,IF(input_enews_audience="",FALSE,SUMPRODUCT(--ISNUMBER(SEARCH(","&amp;TRIM(TEXTSPLIT(CG185,","))&amp;",",","&amp;SUBSTITUTE(input_enews_audience," ","")&amp;",")))=COUNTA(TEXTSPLIT(CG185,",")))),IF(CI185="",TRUE,IF(input_enews_audience="",TRUE,SUMPRODUCT(--ISNUMBER(SEARCH(","&amp;TRIM(TEXTSPLIT(CI185,","))&amp;",",","&amp;SUBSTITUTE(input_enews_audience," ","")&amp;",")))=0)),IF(CK185="",TRUE,IF(input_enews_audience="",FALSE,SUMPRODUCT(--ISNUMBER(SEARCH(","&amp;TRIM(TEXTSPLIT(CK185,","))&amp;",",","&amp;SUBSTITUTE(input_enews_audience," ","")&amp;",")))&gt;0)),IF(CM185="",TRUE,IF(input_enews_audience="",FALSE,SUMPRODUCT(--ISNUMBER(SEARCH(","&amp;TRIM(TEXTSPLIT(CM185,","))&amp;",",","&amp;SUBSTITUTE(input_enews_audience," ","")&amp;",")))=COUNTA(TEXTSPLIT(CM185,",")))))</f>
        <v/>
      </c>
      <c r="JB185">
        <f>AND(IF(CO185="",TRUE,IF(input_event_location="",FALSE,SUMPRODUCT(--ISNUMBER(SEARCH(","&amp;TRIM(TEXTSPLIT(CO185,","))&amp;",",","&amp;SUBSTITUTE(input_event_location," ","")&amp;",")))&gt;0)),IF(CQ185="",TRUE,IF(input_event_location="",FALSE,SUMPRODUCT(--ISNUMBER(SEARCH(","&amp;TRIM(TEXTSPLIT(CQ185,","))&amp;",",","&amp;SUBSTITUTE(input_event_location," ","")&amp;",")))=COUNTA(TEXTSPLIT(CQ185,",")))),IF(CS185="",TRUE,IF(input_event_location="",TRUE,SUMPRODUCT(--ISNUMBER(SEARCH(","&amp;TRIM(TEXTSPLIT(CS185,","))&amp;",",","&amp;SUBSTITUTE(input_event_location," ","")&amp;",")))=0)),IF(CU185="",TRUE,IF(input_event_location="",FALSE,SUMPRODUCT(--ISNUMBER(SEARCH(","&amp;TRIM(TEXTSPLIT(CU185,","))&amp;",",","&amp;SUBSTITUTE(input_event_location," ","")&amp;",")))&gt;0)),IF(CW185="",TRUE,IF(input_event_location="",FALSE,SUMPRODUCT(--ISNUMBER(SEARCH(","&amp;TRIM(TEXTSPLIT(CW185,","))&amp;",",","&amp;SUBSTITUTE(input_event_location," ","")&amp;",")))=COUNTA(TEXTSPLIT(CW185,",")))))</f>
        <v/>
      </c>
      <c r="JC185">
        <f>AND(IF(CY185="",TRUE,IF(input_event_type="",FALSE,SUMPRODUCT(--ISNUMBER(SEARCH(","&amp;TRIM(TEXTSPLIT(CY185,","))&amp;",",","&amp;SUBSTITUTE(input_event_type," ","")&amp;",")))&gt;0)),IF(DA185="",TRUE,IF(input_event_type="",FALSE,SUMPRODUCT(--ISNUMBER(SEARCH(","&amp;TRIM(TEXTSPLIT(DA185,","))&amp;",",","&amp;SUBSTITUTE(input_event_type," ","")&amp;",")))=COUNTA(TEXTSPLIT(DA185,",")))),IF(DC185="",TRUE,IF(input_event_type="",TRUE,SUMPRODUCT(--ISNUMBER(SEARCH(","&amp;TRIM(TEXTSPLIT(DC185,","))&amp;",",","&amp;SUBSTITUTE(input_event_type," ","")&amp;",")))=0)),IF(DE185="",TRUE,IF(input_event_type="",FALSE,SUMPRODUCT(--ISNUMBER(SEARCH(","&amp;TRIM(TEXTSPLIT(DE185,","))&amp;",",","&amp;SUBSTITUTE(input_event_type," ","")&amp;",")))&gt;0)),IF(DG185="",TRUE,IF(input_event_type="",FALSE,SUMPRODUCT(--ISNUMBER(SEARCH(","&amp;TRIM(TEXTSPLIT(DG185,","))&amp;",",","&amp;SUBSTITUTE(input_event_type," ","")&amp;",")))=COUNTA(TEXTSPLIT(DG185,",")))))</f>
        <v/>
      </c>
      <c r="JD185">
        <f>AND(IF(DI185="",TRUE,IF(input_executive_education_focus="",FALSE,SUMPRODUCT(--ISNUMBER(SEARCH(","&amp;TRIM(TEXTSPLIT(DI185,","))&amp;",",","&amp;SUBSTITUTE(input_executive_education_focus," ","")&amp;",")))&gt;0)),IF(DK185="",TRUE,IF(input_executive_education_focus="",FALSE,SUMPRODUCT(--ISNUMBER(SEARCH(","&amp;TRIM(TEXTSPLIT(DK185,","))&amp;",",","&amp;SUBSTITUTE(input_executive_education_focus," ","")&amp;",")))=COUNTA(TEXTSPLIT(DK185,",")))),IF(DM185="",TRUE,IF(input_executive_education_focus="",TRUE,SUMPRODUCT(--ISNUMBER(SEARCH(","&amp;TRIM(TEXTSPLIT(DM185,","))&amp;",",","&amp;SUBSTITUTE(input_executive_education_focus," ","")&amp;",")))=0)),IF(DO185="",TRUE,IF(input_executive_education_focus="",FALSE,SUMPRODUCT(--ISNUMBER(SEARCH(","&amp;TRIM(TEXTSPLIT(DO185,","))&amp;",",","&amp;SUBSTITUTE(input_executive_education_focus," ","")&amp;",")))&gt;0)),IF(DQ185="",TRUE,IF(input_executive_education_focus="",FALSE,SUMPRODUCT(--ISNUMBER(SEARCH(","&amp;TRIM(TEXTSPLIT(DQ185,","))&amp;",",","&amp;SUBSTITUTE(input_executive_education_focus," ","")&amp;",")))=COUNTA(TEXTSPLIT(DQ185,",")))))</f>
        <v/>
      </c>
      <c r="JE185">
        <f>AND(IF(DS185="",TRUE,IF(input_faculty_category="",FALSE,SUMPRODUCT(--ISNUMBER(SEARCH(","&amp;TRIM(TEXTSPLIT(DS185,","))&amp;",",","&amp;SUBSTITUTE(input_faculty_category," ","")&amp;",")))&gt;0)),IF(DU185="",TRUE,IF(input_faculty_category="",FALSE,SUMPRODUCT(--ISNUMBER(SEARCH(","&amp;TRIM(TEXTSPLIT(DU185,","))&amp;",",","&amp;SUBSTITUTE(input_faculty_category," ","")&amp;",")))=COUNTA(TEXTSPLIT(DU185,",")))),IF(DW185="",TRUE,IF(input_faculty_category="",TRUE,SUMPRODUCT(--ISNUMBER(SEARCH(","&amp;TRIM(TEXTSPLIT(DW185,","))&amp;",",","&amp;SUBSTITUTE(input_faculty_category," ","")&amp;",")))=0)),IF(DY185="",TRUE,IF(input_faculty_category="",FALSE,SUMPRODUCT(--ISNUMBER(SEARCH(","&amp;TRIM(TEXTSPLIT(DY185,","))&amp;",",","&amp;SUBSTITUTE(input_faculty_category," ","")&amp;",")))&gt;0)),IF(EA185="",TRUE,IF(input_faculty_category="",FALSE,SUMPRODUCT(--ISNUMBER(SEARCH(","&amp;TRIM(TEXTSPLIT(EA185,","))&amp;",",","&amp;SUBSTITUTE(input_faculty_category," ","")&amp;",")))=COUNTA(TEXTSPLIT(EA185,",")))))</f>
        <v/>
      </c>
      <c r="JF185">
        <f>AND(IF(EC185="",TRUE,IF(input_faculty_discipline="",FALSE,SUMPRODUCT(--ISNUMBER(SEARCH(","&amp;TRIM(TEXTSPLIT(EC185,","))&amp;",",","&amp;SUBSTITUTE(input_faculty_discipline," ","")&amp;",")))&gt;0)),IF(EE185="",TRUE,IF(input_faculty_discipline="",FALSE,SUMPRODUCT(--ISNUMBER(SEARCH(","&amp;TRIM(TEXTSPLIT(EE185,","))&amp;",",","&amp;SUBSTITUTE(input_faculty_discipline," ","")&amp;",")))=COUNTA(TEXTSPLIT(EE185,",")))),IF(EG185="",TRUE,IF(input_faculty_discipline="",TRUE,SUMPRODUCT(--ISNUMBER(SEARCH(","&amp;TRIM(TEXTSPLIT(EG185,","))&amp;",",","&amp;SUBSTITUTE(input_faculty_discipline," ","")&amp;",")))=0)),IF(EI185="",TRUE,IF(input_faculty_discipline="",FALSE,SUMPRODUCT(--ISNUMBER(SEARCH(","&amp;TRIM(TEXTSPLIT(EI185,","))&amp;",",","&amp;SUBSTITUTE(input_faculty_discipline," ","")&amp;",")))&gt;0)),IF(EK185="",TRUE,IF(input_faculty_discipline="",FALSE,SUMPRODUCT(--ISNUMBER(SEARCH(","&amp;TRIM(TEXTSPLIT(EK185,","))&amp;",",","&amp;SUBSTITUTE(input_faculty_discipline," ","")&amp;",")))=COUNTA(TEXTSPLIT(EK185,",")))))</f>
        <v/>
      </c>
      <c r="JG185">
        <f>AND(IF(EM185="",TRUE,IF(input_faculty_expertise="",FALSE,SUMPRODUCT(--ISNUMBER(SEARCH(","&amp;TRIM(TEXTSPLIT(EM185,","))&amp;",",","&amp;SUBSTITUTE(input_faculty_expertise," ","")&amp;",")))&gt;0)),IF(EO185="",TRUE,IF(input_faculty_expertise="",FALSE,SUMPRODUCT(--ISNUMBER(SEARCH(","&amp;TRIM(TEXTSPLIT(EO185,","))&amp;",",","&amp;SUBSTITUTE(input_faculty_expertise," ","")&amp;",")))=COUNTA(TEXTSPLIT(EO185,",")))),IF(EQ185="",TRUE,IF(input_faculty_expertise="",TRUE,SUMPRODUCT(--ISNUMBER(SEARCH(","&amp;TRIM(TEXTSPLIT(EQ185,","))&amp;",",","&amp;SUBSTITUTE(input_faculty_expertise," ","")&amp;",")))=0)),IF(ES185="",TRUE,IF(input_faculty_expertise="",FALSE,SUMPRODUCT(--ISNUMBER(SEARCH(","&amp;TRIM(TEXTSPLIT(ES185,","))&amp;",",","&amp;SUBSTITUTE(input_faculty_expertise," ","")&amp;",")))&gt;0)),IF(EU185="",TRUE,IF(input_faculty_expertise="",FALSE,SUMPRODUCT(--ISNUMBER(SEARCH(","&amp;TRIM(TEXTSPLIT(EU185,","))&amp;",",","&amp;SUBSTITUTE(input_faculty_expertise," ","")&amp;",")))=COUNTA(TEXTSPLIT(EU185,",")))))</f>
        <v/>
      </c>
      <c r="JH185">
        <f>AND(IF(EW185="",TRUE,IF(input_global_network_school="",FALSE,SUMPRODUCT(--ISNUMBER(SEARCH(","&amp;TRIM(TEXTSPLIT(EW185,","))&amp;",",","&amp;SUBSTITUTE(input_global_network_school," ","")&amp;",")))&gt;0)),IF(EY185="",TRUE,IF(input_global_network_school="",FALSE,SUMPRODUCT(--ISNUMBER(SEARCH(","&amp;TRIM(TEXTSPLIT(EY185,","))&amp;",",","&amp;SUBSTITUTE(input_global_network_school," ","")&amp;",")))=COUNTA(TEXTSPLIT(EY185,",")))),IF(FA185="",TRUE,IF(input_global_network_school="",TRUE,SUMPRODUCT(--ISNUMBER(SEARCH(","&amp;TRIM(TEXTSPLIT(FA185,","))&amp;",",","&amp;SUBSTITUTE(input_global_network_school," ","")&amp;",")))=0)),IF(FC185="",TRUE,IF(input_global_network_school="",FALSE,SUMPRODUCT(--ISNUMBER(SEARCH(","&amp;TRIM(TEXTSPLIT(FC185,","))&amp;",",","&amp;SUBSTITUTE(input_global_network_school," ","")&amp;",")))&gt;0)),IF(FE185="",TRUE,IF(input_global_network_school="",FALSE,SUMPRODUCT(--ISNUMBER(SEARCH(","&amp;TRIM(TEXTSPLIT(FE185,","))&amp;",",","&amp;SUBSTITUTE(input_global_network_school," ","")&amp;",")))=COUNTA(TEXTSPLIT(FE185,",")))))</f>
        <v/>
      </c>
      <c r="JI185">
        <f>AND(IF(FG185="",TRUE,IF(input_industry="",FALSE,SUMPRODUCT(--ISNUMBER(SEARCH(","&amp;TRIM(TEXTSPLIT(FG185,","))&amp;",",","&amp;SUBSTITUTE(input_industry," ","")&amp;",")))&gt;0)),IF(FI185="",TRUE,IF(input_industry="",FALSE,SUMPRODUCT(--ISNUMBER(SEARCH(","&amp;TRIM(TEXTSPLIT(FI185,","))&amp;",",","&amp;SUBSTITUTE(input_industry," ","")&amp;",")))=COUNTA(TEXTSPLIT(FI185,",")))),IF(FK185="",TRUE,IF(input_industry="",TRUE,SUMPRODUCT(--ISNUMBER(SEARCH(","&amp;TRIM(TEXTSPLIT(FK185,","))&amp;",",","&amp;SUBSTITUTE(input_industry," ","")&amp;",")))=0)),IF(FM185="",TRUE,IF(input_industry="",FALSE,SUMPRODUCT(--ISNUMBER(SEARCH(","&amp;TRIM(TEXTSPLIT(FM185,","))&amp;",",","&amp;SUBSTITUTE(input_industry," ","")&amp;",")))&gt;0)),IF(FO185="",TRUE,IF(input_industry="",FALSE,SUMPRODUCT(--ISNUMBER(SEARCH(","&amp;TRIM(TEXTSPLIT(FO185,","))&amp;",",","&amp;SUBSTITUTE(input_industry," ","")&amp;",")))=COUNTA(TEXTSPLIT(FO185,",")))))</f>
        <v/>
      </c>
      <c r="JJ185">
        <f>AND(IF(FQ185="",TRUE,IF(input_location="",FALSE,SUMPRODUCT(--ISNUMBER(SEARCH(","&amp;TRIM(TEXTSPLIT(FQ185,","))&amp;",",","&amp;SUBSTITUTE(input_location," ","")&amp;",")))&gt;0)),IF(FS185="",TRUE,IF(input_location="",FALSE,SUMPRODUCT(--ISNUMBER(SEARCH(","&amp;TRIM(TEXTSPLIT(FS185,","))&amp;",",","&amp;SUBSTITUTE(input_location," ","")&amp;",")))=COUNTA(TEXTSPLIT(FS185,",")))),IF(FU185="",TRUE,IF(input_location="",TRUE,SUMPRODUCT(--ISNUMBER(SEARCH(","&amp;TRIM(TEXTSPLIT(FU185,","))&amp;",",","&amp;SUBSTITUTE(input_location," ","")&amp;",")))=0)),IF(FW185="",TRUE,IF(input_location="",FALSE,SUMPRODUCT(--ISNUMBER(SEARCH(","&amp;TRIM(TEXTSPLIT(FW185,","))&amp;",",","&amp;SUBSTITUTE(input_location," ","")&amp;",")))&gt;0)),IF(FY185="",TRUE,IF(input_location="",FALSE,SUMPRODUCT(--ISNUMBER(SEARCH(","&amp;TRIM(TEXTSPLIT(FY185,","))&amp;",",","&amp;SUBSTITUTE(input_location," ","")&amp;",")))=COUNTA(TEXTSPLIT(FY185,",")))))</f>
        <v/>
      </c>
      <c r="JK185">
        <f>AND(IF(GA185="",TRUE,IF(input_modality="",FALSE,SUMPRODUCT(--ISNUMBER(SEARCH(","&amp;TRIM(TEXTSPLIT(GA185,","))&amp;",",","&amp;SUBSTITUTE(input_modality," ","")&amp;",")))&gt;0)),IF(GC185="",TRUE,IF(input_modality="",FALSE,SUMPRODUCT(--ISNUMBER(SEARCH(","&amp;TRIM(TEXTSPLIT(GC185,","))&amp;",",","&amp;SUBSTITUTE(input_modality," ","")&amp;",")))=COUNTA(TEXTSPLIT(GC185,",")))),IF(GE185="",TRUE,IF(input_modality="",TRUE,SUMPRODUCT(--ISNUMBER(SEARCH(","&amp;TRIM(TEXTSPLIT(GE185,","))&amp;",",","&amp;SUBSTITUTE(input_modality," ","")&amp;",")))=0)),IF(GG185="",TRUE,IF(input_modality="",FALSE,SUMPRODUCT(--ISNUMBER(SEARCH(","&amp;TRIM(TEXTSPLIT(GG185,","))&amp;",",","&amp;SUBSTITUTE(input_modality," ","")&amp;",")))&gt;0)),IF(GI185="",TRUE,IF(input_modality="",FALSE,SUMPRODUCT(--ISNUMBER(SEARCH(","&amp;TRIM(TEXTSPLIT(GI185,","))&amp;",",","&amp;SUBSTITUTE(input_modality," ","")&amp;",")))=COUNTA(TEXTSPLIT(GI185,",")))))</f>
        <v/>
      </c>
      <c r="JL185">
        <f>AND(IF(GK185="",TRUE,IF(input_organizer="",FALSE,SUMPRODUCT(--ISNUMBER(SEARCH(","&amp;TRIM(TEXTSPLIT(GK185,","))&amp;",",","&amp;SUBSTITUTE(input_organizer," ","")&amp;",")))&gt;0)),IF(GM185="",TRUE,IF(input_organizer="",FALSE,SUMPRODUCT(--ISNUMBER(SEARCH(","&amp;TRIM(TEXTSPLIT(GM185,","))&amp;",",","&amp;SUBSTITUTE(input_organizer," ","")&amp;",")))=COUNTA(TEXTSPLIT(GM185,",")))),IF(GO185="",TRUE,IF(input_organizer="",TRUE,SUMPRODUCT(--ISNUMBER(SEARCH(","&amp;TRIM(TEXTSPLIT(GO185,","))&amp;",",","&amp;SUBSTITUTE(input_organizer," ","")&amp;",")))=0)),IF(GQ185="",TRUE,IF(input_organizer="",FALSE,SUMPRODUCT(--ISNUMBER(SEARCH(","&amp;TRIM(TEXTSPLIT(GQ185,","))&amp;",",","&amp;SUBSTITUTE(input_organizer," ","")&amp;",")))&gt;0)),IF(GS185="",TRUE,IF(input_organizer="",FALSE,SUMPRODUCT(--ISNUMBER(SEARCH(","&amp;TRIM(TEXTSPLIT(GS185,","))&amp;",",","&amp;SUBSTITUTE(input_organizer," ","")&amp;",")))=COUNTA(TEXTSPLIT(GS185,",")))))</f>
        <v/>
      </c>
      <c r="JM185">
        <f>AND(IF(GU185="",TRUE,IF(input_profile_type="",FALSE,SUMPRODUCT(--ISNUMBER(SEARCH(","&amp;TRIM(TEXTSPLIT(GU185,","))&amp;",",","&amp;SUBSTITUTE(input_profile_type," ","")&amp;",")))&gt;0)),IF(GW185="",TRUE,IF(input_profile_type="",FALSE,SUMPRODUCT(--ISNUMBER(SEARCH(","&amp;TRIM(TEXTSPLIT(GW185,","))&amp;",",","&amp;SUBSTITUTE(input_profile_type," ","")&amp;",")))=COUNTA(TEXTSPLIT(GW185,",")))),IF(GY185="",TRUE,IF(input_profile_type="",TRUE,SUMPRODUCT(--ISNUMBER(SEARCH(","&amp;TRIM(TEXTSPLIT(GY185,","))&amp;",",","&amp;SUBSTITUTE(input_profile_type," ","")&amp;",")))=0)),IF(HA185="",TRUE,IF(input_profile_type="",FALSE,SUMPRODUCT(--ISNUMBER(SEARCH(","&amp;TRIM(TEXTSPLIT(HA185,","))&amp;",",","&amp;SUBSTITUTE(input_profile_type," ","")&amp;",")))&gt;0)),IF(HC185="",TRUE,IF(input_profile_type="",FALSE,SUMPRODUCT(--ISNUMBER(SEARCH(","&amp;TRIM(TEXTSPLIT(HC185,","))&amp;",",","&amp;SUBSTITUTE(input_profile_type," ","")&amp;",")))=COUNTA(TEXTSPLIT(HC185,",")))))</f>
        <v/>
      </c>
      <c r="JN185">
        <f>AND(IF(HE185="",TRUE,IF(input_program="",FALSE,SUMPRODUCT(--ISNUMBER(SEARCH(","&amp;TRIM(TEXTSPLIT(HE185,","))&amp;",",","&amp;SUBSTITUTE(input_program," ","")&amp;",")))&gt;0)),IF(HG185="",TRUE,IF(input_program="",FALSE,SUMPRODUCT(--ISNUMBER(SEARCH(","&amp;TRIM(TEXTSPLIT(HG185,","))&amp;",",","&amp;SUBSTITUTE(input_program," ","")&amp;",")))=COUNTA(TEXTSPLIT(HG185,",")))),IF(HI185="",TRUE,IF(input_program="",TRUE,SUMPRODUCT(--ISNUMBER(SEARCH(","&amp;TRIM(TEXTSPLIT(HI185,","))&amp;",",","&amp;SUBSTITUTE(input_program," ","")&amp;",")))=0)),IF(HK185="",TRUE,IF(input_program="",FALSE,SUMPRODUCT(--ISNUMBER(SEARCH(","&amp;TRIM(TEXTSPLIT(HK185,","))&amp;",",","&amp;SUBSTITUTE(input_program," ","")&amp;",")))&gt;0)),IF(HM185="",TRUE,IF(input_program="",FALSE,SUMPRODUCT(--ISNUMBER(SEARCH(","&amp;TRIM(TEXTSPLIT(HM185,","))&amp;",",","&amp;SUBSTITUTE(input_program," ","")&amp;",")))=COUNTA(TEXTSPLIT(HM185,",")))))</f>
        <v/>
      </c>
      <c r="JO185">
        <f>AND(IF(HO185="",TRUE,IF(input_story_categories="",FALSE,SUMPRODUCT(--ISNUMBER(SEARCH(","&amp;TRIM(TEXTSPLIT(HO185,","))&amp;",",","&amp;SUBSTITUTE(input_story_categories," ","")&amp;",")))&gt;0)),IF(HQ185="",TRUE,IF(input_story_categories="",FALSE,SUMPRODUCT(--ISNUMBER(SEARCH(","&amp;TRIM(TEXTSPLIT(HQ185,","))&amp;",",","&amp;SUBSTITUTE(input_story_categories," ","")&amp;",")))=COUNTA(TEXTSPLIT(HQ185,",")))),IF(HS185="",TRUE,IF(input_story_categories="",TRUE,SUMPRODUCT(--ISNUMBER(SEARCH(","&amp;TRIM(TEXTSPLIT(HS185,","))&amp;",",","&amp;SUBSTITUTE(input_story_categories," ","")&amp;",")))=0)),IF(HU185="",TRUE,IF(input_story_categories="",FALSE,SUMPRODUCT(--ISNUMBER(SEARCH(","&amp;TRIM(TEXTSPLIT(HU185,","))&amp;",",","&amp;SUBSTITUTE(input_story_categories," ","")&amp;",")))&gt;0)),IF(HW185="",TRUE,IF(input_story_categories="",FALSE,SUMPRODUCT(--ISNUMBER(SEARCH(","&amp;TRIM(TEXTSPLIT(HW185,","))&amp;",",","&amp;SUBSTITUTE(input_story_categories," ","")&amp;",")))=COUNTA(TEXTSPLIT(HW185,",")))))</f>
        <v/>
      </c>
      <c r="JP185">
        <f>AND(IF(HY185="",TRUE,IF(input_story_type="",FALSE,SUMPRODUCT(--ISNUMBER(SEARCH(","&amp;TRIM(TEXTSPLIT(HY185,","))&amp;",",","&amp;SUBSTITUTE(input_story_type," ","")&amp;",")))&gt;0)),IF(IA185="",TRUE,IF(input_story_type="",FALSE,SUMPRODUCT(--ISNUMBER(SEARCH(","&amp;TRIM(TEXTSPLIT(IA185,","))&amp;",",","&amp;SUBSTITUTE(input_story_type," ","")&amp;",")))=COUNTA(TEXTSPLIT(IA185,",")))),IF(IC185="",TRUE,IF(input_story_type="",TRUE,SUMPRODUCT(--ISNUMBER(SEARCH(","&amp;TRIM(TEXTSPLIT(IC185,","))&amp;",",","&amp;SUBSTITUTE(input_story_type," ","")&amp;",")))=0)),IF(IE185="",TRUE,IF(input_story_type="",FALSE,SUMPRODUCT(--ISNUMBER(SEARCH(","&amp;TRIM(TEXTSPLIT(IE185,","))&amp;",",","&amp;SUBSTITUTE(input_story_type," ","")&amp;",")))&gt;0)),IF(IG185="",TRUE,IF(input_story_type="",FALSE,SUMPRODUCT(--ISNUMBER(SEARCH(","&amp;TRIM(TEXTSPLIT(IG185,","))&amp;",",","&amp;SUBSTITUTE(input_story_type," ","")&amp;",")))=COUNTA(TEXTSPLIT(IG185,",")))))</f>
        <v/>
      </c>
      <c r="JQ185">
        <f>AND(IF(II185="",TRUE,IF(input_topics="",FALSE,SUMPRODUCT(--ISNUMBER(SEARCH(","&amp;TRIM(TEXTSPLIT(II185,","))&amp;",",","&amp;SUBSTITUTE(input_topics," ","")&amp;",")))&gt;0)),IF(IK185="",TRUE,IF(input_topics="",FALSE,SUMPRODUCT(--ISNUMBER(SEARCH(","&amp;TRIM(TEXTSPLIT(IK185,","))&amp;",",","&amp;SUBSTITUTE(input_topics," ","")&amp;",")))=COUNTA(TEXTSPLIT(IK185,",")))),IF(IM185="",TRUE,IF(input_topics="",TRUE,SUMPRODUCT(--ISNUMBER(SEARCH(","&amp;TRIM(TEXTSPLIT(IM185,","))&amp;",",","&amp;SUBSTITUTE(input_topics," ","")&amp;",")))=0)),IF(IO185="",TRUE,IF(input_topics="",FALSE,SUMPRODUCT(--ISNUMBER(SEARCH(","&amp;TRIM(TEXTSPLIT(IO185,","))&amp;",",","&amp;SUBSTITUTE(input_topics," ","")&amp;",")))&gt;0)),IF(IQ185="",TRUE,IF(input_topics="",FALSE,SUMPRODUCT(--ISNUMBER(SEARCH(","&amp;TRIM(TEXTSPLIT(IQ185,","))&amp;",",","&amp;SUBSTITUTE(input_topics," ","")&amp;",")))=COUNTA(TEXTSPLIT(IQ185,",")))))</f>
        <v/>
      </c>
    </row>
    <row r="186">
      <c r="A186" s="4">
        <f>IF(NOT(IS186),"Excluded",IF(AND(IT186,IU186,IV186,IW186,IX186,IY186,IZ186,JA186,JB186,JC186,JD186,JE186,JF186,JG186,JH186,JI186,JJ186,JK186,JL186,JM186,JN186,JO186,JP186,JQ186),IF(I186&gt;0,"Eligible but limited","Will appear"),"Excluded"))</f>
        <v/>
      </c>
      <c r="B186" s="4" t="inlineStr">
        <is>
          <t>Related stories on story pages</t>
        </is>
      </c>
      <c r="C186" s="4" t="inlineStr">
        <is>
          <t>/news/2018/08/global-social-entrepreneurship-in-action-two-stories-of-partnering-with-social-enterprises-in-india</t>
        </is>
      </c>
      <c r="D186" s="4" t="inlineStr">
        <is>
          <t>/news/2018/08/global-social-entrepreneurship-in-action-two-stories-of-partnering-with-social-enterprises-in-india
/news/2018/09/ranji-nagaswami-86-use-your-time-here-to-tell-your-story
/news/2019/03/internship-fund-celebrates-40th-anniversary</t>
        </is>
      </c>
      <c r="E186" s="4" t="n">
        <v>20</v>
      </c>
      <c r="F186" s="4" t="inlineStr">
        <is>
          <t>story</t>
        </is>
      </c>
      <c r="G186" s="4" t="inlineStr">
        <is>
          <t>stories_teaser_cards</t>
        </is>
      </c>
      <c r="H186" s="4" t="inlineStr">
        <is>
          <t>embed_all</t>
        </is>
      </c>
      <c r="I186" s="4" t="n">
        <v>3</v>
      </c>
      <c r="J186" s="4" t="inlineStr">
        <is>
          <t>Template logic</t>
        </is>
      </c>
      <c r="K186" s="4" t="inlineStr">
        <is>
          <t>Grouped surface</t>
        </is>
      </c>
      <c r="L186" s="4" t="inlineStr">
        <is>
          <t>Content type: story; Context uses Courses Context: MBA (92); Context uses Story Type: News (924); Limited to 3 item(s); Source: Template logic</t>
        </is>
      </c>
      <c r="M186" t="inlineStr"/>
      <c r="N186" t="inlineStr"/>
      <c r="O186" t="inlineStr"/>
      <c r="P186" t="inlineStr"/>
      <c r="Q186" t="inlineStr"/>
      <c r="R186" t="inlineStr"/>
      <c r="S186" t="inlineStr"/>
      <c r="T186" t="inlineStr"/>
      <c r="U186" t="inlineStr"/>
      <c r="V186" t="inlineStr"/>
      <c r="W186" t="inlineStr"/>
      <c r="X186" t="inlineStr"/>
      <c r="Y186" t="inlineStr"/>
      <c r="Z186" t="inlineStr"/>
      <c r="AA186" t="inlineStr"/>
      <c r="AB186" t="inlineStr"/>
      <c r="AC186" t="inlineStr"/>
      <c r="AD186" t="inlineStr"/>
      <c r="AE186" t="inlineStr"/>
      <c r="AF186" t="inlineStr"/>
      <c r="AG186" t="inlineStr"/>
      <c r="AH186" t="inlineStr"/>
      <c r="AI186" t="inlineStr"/>
      <c r="AJ186" t="inlineStr"/>
      <c r="AK186" t="inlineStr"/>
      <c r="AL186" t="inlineStr"/>
      <c r="AM186" t="inlineStr"/>
      <c r="AN186" t="inlineStr"/>
      <c r="AO186" t="inlineStr"/>
      <c r="AP186" t="inlineStr"/>
      <c r="AQ186" t="inlineStr"/>
      <c r="AR186" t="inlineStr"/>
      <c r="AS186" t="inlineStr"/>
      <c r="AT186" t="inlineStr"/>
      <c r="AU186" t="inlineStr"/>
      <c r="AV186" t="inlineStr"/>
      <c r="AW186" t="inlineStr"/>
      <c r="AX186" t="inlineStr"/>
      <c r="AY186" t="inlineStr"/>
      <c r="AZ186" t="inlineStr"/>
      <c r="BA186" t="inlineStr"/>
      <c r="BB186" t="inlineStr"/>
      <c r="BC186" t="inlineStr"/>
      <c r="BD186" t="inlineStr"/>
      <c r="BE186" t="inlineStr"/>
      <c r="BF186" t="inlineStr"/>
      <c r="BG186" t="inlineStr"/>
      <c r="BH186" t="inlineStr"/>
      <c r="BI186" t="inlineStr"/>
      <c r="BJ186" t="inlineStr"/>
      <c r="BK186" t="inlineStr"/>
      <c r="BL186" t="inlineStr"/>
      <c r="BM186" t="inlineStr"/>
      <c r="BN186" t="inlineStr"/>
      <c r="BO186" t="inlineStr"/>
      <c r="BP186" t="inlineStr"/>
      <c r="BQ186" t="inlineStr">
        <is>
          <t>92</t>
        </is>
      </c>
      <c r="BR186" t="inlineStr">
        <is>
          <t>MBA (92)</t>
        </is>
      </c>
      <c r="BS186" t="inlineStr"/>
      <c r="BT186" t="inlineStr"/>
      <c r="BU186" t="inlineStr"/>
      <c r="BV186" t="inlineStr"/>
      <c r="BW186" t="inlineStr"/>
      <c r="BX186" t="inlineStr"/>
      <c r="BY186" t="inlineStr"/>
      <c r="BZ186" t="inlineStr"/>
      <c r="CA186" t="inlineStr"/>
      <c r="CB186" t="inlineStr"/>
      <c r="CC186" t="inlineStr"/>
      <c r="CD186" t="inlineStr"/>
      <c r="CE186" t="inlineStr"/>
      <c r="CF186" t="inlineStr"/>
      <c r="CG186" t="inlineStr"/>
      <c r="CH186" t="inlineStr"/>
      <c r="CI186" t="inlineStr"/>
      <c r="CJ186" t="inlineStr"/>
      <c r="CK186" t="inlineStr"/>
      <c r="CL186" t="inlineStr"/>
      <c r="CM186" t="inlineStr"/>
      <c r="CN186" t="inlineStr"/>
      <c r="CO186" t="inlineStr"/>
      <c r="CP186" t="inlineStr"/>
      <c r="CQ186" t="inlineStr"/>
      <c r="CR186" t="inlineStr"/>
      <c r="CS186" t="inlineStr"/>
      <c r="CT186" t="inlineStr"/>
      <c r="CU186" t="inlineStr"/>
      <c r="CV186" t="inlineStr"/>
      <c r="CW186" t="inlineStr"/>
      <c r="CX186" t="inlineStr"/>
      <c r="CY186" t="inlineStr"/>
      <c r="CZ186" t="inlineStr"/>
      <c r="DA186" t="inlineStr"/>
      <c r="DB186" t="inlineStr"/>
      <c r="DC186" t="inlineStr"/>
      <c r="DD186" t="inlineStr"/>
      <c r="DE186" t="inlineStr"/>
      <c r="DF186" t="inlineStr"/>
      <c r="DG186" t="inlineStr"/>
      <c r="DH186" t="inlineStr"/>
      <c r="DI186" t="inlineStr"/>
      <c r="DJ186" t="inlineStr"/>
      <c r="DK186" t="inlineStr"/>
      <c r="DL186" t="inlineStr"/>
      <c r="DM186" t="inlineStr"/>
      <c r="DN186" t="inlineStr"/>
      <c r="DO186" t="inlineStr"/>
      <c r="DP186" t="inlineStr"/>
      <c r="DQ186" t="inlineStr"/>
      <c r="DR186" t="inlineStr"/>
      <c r="DS186" t="inlineStr"/>
      <c r="DT186" t="inlineStr"/>
      <c r="DU186" t="inlineStr"/>
      <c r="DV186" t="inlineStr"/>
      <c r="DW186" t="inlineStr"/>
      <c r="DX186" t="inlineStr"/>
      <c r="DY186" t="inlineStr"/>
      <c r="DZ186" t="inlineStr"/>
      <c r="EA186" t="inlineStr"/>
      <c r="EB186" t="inlineStr"/>
      <c r="EC186" t="inlineStr"/>
      <c r="ED186" t="inlineStr"/>
      <c r="EE186" t="inlineStr"/>
      <c r="EF186" t="inlineStr"/>
      <c r="EG186" t="inlineStr"/>
      <c r="EH186" t="inlineStr"/>
      <c r="EI186" t="inlineStr"/>
      <c r="EJ186" t="inlineStr"/>
      <c r="EK186" t="inlineStr"/>
      <c r="EL186" t="inlineStr"/>
      <c r="EM186" t="inlineStr"/>
      <c r="EN186" t="inlineStr"/>
      <c r="EO186" t="inlineStr"/>
      <c r="EP186" t="inlineStr"/>
      <c r="EQ186" t="inlineStr"/>
      <c r="ER186" t="inlineStr"/>
      <c r="ES186" t="inlineStr"/>
      <c r="ET186" t="inlineStr"/>
      <c r="EU186" t="inlineStr"/>
      <c r="EV186" t="inlineStr"/>
      <c r="EW186" t="inlineStr"/>
      <c r="EX186" t="inlineStr"/>
      <c r="EY186" t="inlineStr"/>
      <c r="EZ186" t="inlineStr"/>
      <c r="FA186" t="inlineStr"/>
      <c r="FB186" t="inlineStr"/>
      <c r="FC186" t="inlineStr"/>
      <c r="FD186" t="inlineStr"/>
      <c r="FE186" t="inlineStr"/>
      <c r="FF186" t="inlineStr"/>
      <c r="FG186" t="inlineStr"/>
      <c r="FH186" t="inlineStr"/>
      <c r="FI186" t="inlineStr"/>
      <c r="FJ186" t="inlineStr"/>
      <c r="FK186" t="inlineStr"/>
      <c r="FL186" t="inlineStr"/>
      <c r="FM186" t="inlineStr"/>
      <c r="FN186" t="inlineStr"/>
      <c r="FO186" t="inlineStr"/>
      <c r="FP186" t="inlineStr"/>
      <c r="FQ186" t="inlineStr"/>
      <c r="FR186" t="inlineStr"/>
      <c r="FS186" t="inlineStr"/>
      <c r="FT186" t="inlineStr"/>
      <c r="FU186" t="inlineStr"/>
      <c r="FV186" t="inlineStr"/>
      <c r="FW186" t="inlineStr"/>
      <c r="FX186" t="inlineStr"/>
      <c r="FY186" t="inlineStr"/>
      <c r="FZ186" t="inlineStr"/>
      <c r="GA186" t="inlineStr"/>
      <c r="GB186" t="inlineStr"/>
      <c r="GC186" t="inlineStr"/>
      <c r="GD186" t="inlineStr"/>
      <c r="GE186" t="inlineStr"/>
      <c r="GF186" t="inlineStr"/>
      <c r="GG186" t="inlineStr"/>
      <c r="GH186" t="inlineStr"/>
      <c r="GI186" t="inlineStr"/>
      <c r="GJ186" t="inlineStr"/>
      <c r="GK186" t="inlineStr"/>
      <c r="GL186" t="inlineStr"/>
      <c r="GM186" t="inlineStr"/>
      <c r="GN186" t="inlineStr"/>
      <c r="GO186" t="inlineStr"/>
      <c r="GP186" t="inlineStr"/>
      <c r="GQ186" t="inlineStr"/>
      <c r="GR186" t="inlineStr"/>
      <c r="GS186" t="inlineStr"/>
      <c r="GT186" t="inlineStr"/>
      <c r="GU186" t="inlineStr"/>
      <c r="GV186" t="inlineStr"/>
      <c r="GW186" t="inlineStr"/>
      <c r="GX186" t="inlineStr"/>
      <c r="GY186" t="inlineStr"/>
      <c r="GZ186" t="inlineStr"/>
      <c r="HA186" t="inlineStr"/>
      <c r="HB186" t="inlineStr"/>
      <c r="HC186" t="inlineStr"/>
      <c r="HD186" t="inlineStr"/>
      <c r="HE186" t="inlineStr"/>
      <c r="HF186" t="inlineStr"/>
      <c r="HG186" t="inlineStr"/>
      <c r="HH186" t="inlineStr"/>
      <c r="HI186" t="inlineStr"/>
      <c r="HJ186" t="inlineStr"/>
      <c r="HK186" t="inlineStr"/>
      <c r="HL186" t="inlineStr"/>
      <c r="HM186" t="inlineStr"/>
      <c r="HN186" t="inlineStr"/>
      <c r="HO186" t="inlineStr"/>
      <c r="HP186" t="inlineStr"/>
      <c r="HQ186" t="inlineStr"/>
      <c r="HR186" t="inlineStr"/>
      <c r="HS186" t="inlineStr"/>
      <c r="HT186" t="inlineStr"/>
      <c r="HU186" t="inlineStr"/>
      <c r="HV186" t="inlineStr"/>
      <c r="HW186" t="inlineStr"/>
      <c r="HX186" t="inlineStr"/>
      <c r="HY186" t="inlineStr"/>
      <c r="HZ186" t="inlineStr"/>
      <c r="IA186" t="inlineStr"/>
      <c r="IB186" t="inlineStr"/>
      <c r="IC186" t="inlineStr"/>
      <c r="ID186" t="inlineStr"/>
      <c r="IE186" t="inlineStr">
        <is>
          <t>924</t>
        </is>
      </c>
      <c r="IF186" t="inlineStr">
        <is>
          <t>News (924)</t>
        </is>
      </c>
      <c r="IG186" t="inlineStr"/>
      <c r="IH186" t="inlineStr"/>
      <c r="II186" t="inlineStr"/>
      <c r="IJ186" t="inlineStr"/>
      <c r="IK186" t="inlineStr"/>
      <c r="IL186" t="inlineStr"/>
      <c r="IM186" t="inlineStr"/>
      <c r="IN186" t="inlineStr"/>
      <c r="IO186" t="inlineStr"/>
      <c r="IP186" t="inlineStr"/>
      <c r="IQ186" t="inlineStr"/>
      <c r="IR186" t="inlineStr"/>
      <c r="IS186">
        <f>IF(input_content_type="",FALSE,ISNUMBER(SEARCH(","&amp;LOWER(input_content_type)&amp;",",","&amp;LOWER(F186)&amp;",")))</f>
        <v/>
      </c>
      <c r="IT186">
        <f>AND(IF(M186="",TRUE,IF(input_affiliations="",FALSE,SUMPRODUCT(--ISNUMBER(SEARCH(","&amp;TRIM(TEXTSPLIT(M186,","))&amp;",",","&amp;SUBSTITUTE(input_affiliations," ","")&amp;",")))&gt;0)),IF(O186="",TRUE,IF(input_affiliations="",FALSE,SUMPRODUCT(--ISNUMBER(SEARCH(","&amp;TRIM(TEXTSPLIT(O186,","))&amp;",",","&amp;SUBSTITUTE(input_affiliations," ","")&amp;",")))=COUNTA(TEXTSPLIT(O186,",")))),IF(Q186="",TRUE,IF(input_affiliations="",TRUE,SUMPRODUCT(--ISNUMBER(SEARCH(","&amp;TRIM(TEXTSPLIT(Q186,","))&amp;",",","&amp;SUBSTITUTE(input_affiliations," ","")&amp;",")))=0)),IF(S186="",TRUE,IF(input_affiliations="",FALSE,SUMPRODUCT(--ISNUMBER(SEARCH(","&amp;TRIM(TEXTSPLIT(S186,","))&amp;",",","&amp;SUBSTITUTE(input_affiliations," ","")&amp;",")))&gt;0)),IF(U186="",TRUE,IF(input_affiliations="",FALSE,SUMPRODUCT(--ISNUMBER(SEARCH(","&amp;TRIM(TEXTSPLIT(U186,","))&amp;",",","&amp;SUBSTITUTE(input_affiliations," ","")&amp;",")))=COUNTA(TEXTSPLIT(U186,",")))))</f>
        <v/>
      </c>
      <c r="IU186">
        <f>AND(IF(W186="",TRUE,IF(input_announcement_category="",FALSE,SUMPRODUCT(--ISNUMBER(SEARCH(","&amp;TRIM(TEXTSPLIT(W186,","))&amp;",",","&amp;SUBSTITUTE(input_announcement_category," ","")&amp;",")))&gt;0)),IF(Y186="",TRUE,IF(input_announcement_category="",FALSE,SUMPRODUCT(--ISNUMBER(SEARCH(","&amp;TRIM(TEXTSPLIT(Y186,","))&amp;",",","&amp;SUBSTITUTE(input_announcement_category," ","")&amp;",")))=COUNTA(TEXTSPLIT(Y186,",")))),IF(AA186="",TRUE,IF(input_announcement_category="",TRUE,SUMPRODUCT(--ISNUMBER(SEARCH(","&amp;TRIM(TEXTSPLIT(AA186,","))&amp;",",","&amp;SUBSTITUTE(input_announcement_category," ","")&amp;",")))=0)),IF(AC186="",TRUE,IF(input_announcement_category="",FALSE,SUMPRODUCT(--ISNUMBER(SEARCH(","&amp;TRIM(TEXTSPLIT(AC186,","))&amp;",",","&amp;SUBSTITUTE(input_announcement_category," ","")&amp;",")))&gt;0)),IF(AE186="",TRUE,IF(input_announcement_category="",FALSE,SUMPRODUCT(--ISNUMBER(SEARCH(","&amp;TRIM(TEXTSPLIT(AE186,","))&amp;",",","&amp;SUBSTITUTE(input_announcement_category," ","")&amp;",")))=COUNTA(TEXTSPLIT(AE186,",")))))</f>
        <v/>
      </c>
      <c r="IV186">
        <f>AND(IF(AG186="",TRUE,IF(input_area_of_focus="",FALSE,SUMPRODUCT(--ISNUMBER(SEARCH(","&amp;TRIM(TEXTSPLIT(AG186,","))&amp;",",","&amp;SUBSTITUTE(input_area_of_focus," ","")&amp;",")))&gt;0)),IF(AI186="",TRUE,IF(input_area_of_focus="",FALSE,SUMPRODUCT(--ISNUMBER(SEARCH(","&amp;TRIM(TEXTSPLIT(AI186,","))&amp;",",","&amp;SUBSTITUTE(input_area_of_focus," ","")&amp;",")))=COUNTA(TEXTSPLIT(AI186,",")))),IF(AK186="",TRUE,IF(input_area_of_focus="",TRUE,SUMPRODUCT(--ISNUMBER(SEARCH(","&amp;TRIM(TEXTSPLIT(AK186,","))&amp;",",","&amp;SUBSTITUTE(input_area_of_focus," ","")&amp;",")))=0)),IF(AM186="",TRUE,IF(input_area_of_focus="",FALSE,SUMPRODUCT(--ISNUMBER(SEARCH(","&amp;TRIM(TEXTSPLIT(AM186,","))&amp;",",","&amp;SUBSTITUTE(input_area_of_focus," ","")&amp;",")))&gt;0)),IF(AO186="",TRUE,IF(input_area_of_focus="",FALSE,SUMPRODUCT(--ISNUMBER(SEARCH(","&amp;TRIM(TEXTSPLIT(AO186,","))&amp;",",","&amp;SUBSTITUTE(input_area_of_focus," ","")&amp;",")))=COUNTA(TEXTSPLIT(AO186,",")))))</f>
        <v/>
      </c>
      <c r="IW186">
        <f>AND(IF(AQ186="",TRUE,IF(input_audience="",FALSE,SUMPRODUCT(--ISNUMBER(SEARCH(","&amp;TRIM(TEXTSPLIT(AQ186,","))&amp;",",","&amp;SUBSTITUTE(input_audience," ","")&amp;",")))&gt;0)),IF(AS186="",TRUE,IF(input_audience="",FALSE,SUMPRODUCT(--ISNUMBER(SEARCH(","&amp;TRIM(TEXTSPLIT(AS186,","))&amp;",",","&amp;SUBSTITUTE(input_audience," ","")&amp;",")))=COUNTA(TEXTSPLIT(AS186,",")))),IF(AU186="",TRUE,IF(input_audience="",TRUE,SUMPRODUCT(--ISNUMBER(SEARCH(","&amp;TRIM(TEXTSPLIT(AU186,","))&amp;",",","&amp;SUBSTITUTE(input_audience," ","")&amp;",")))=0)),IF(AW186="",TRUE,IF(input_audience="",FALSE,SUMPRODUCT(--ISNUMBER(SEARCH(","&amp;TRIM(TEXTSPLIT(AW186,","))&amp;",",","&amp;SUBSTITUTE(input_audience," ","")&amp;",")))&gt;0)),IF(AY186="",TRUE,IF(input_audience="",FALSE,SUMPRODUCT(--ISNUMBER(SEARCH(","&amp;TRIM(TEXTSPLIT(AY186,","))&amp;",",","&amp;SUBSTITUTE(input_audience," ","")&amp;",")))=COUNTA(TEXTSPLIT(AY186,",")))))</f>
        <v/>
      </c>
      <c r="IX186">
        <f>AND(IF(BA186="",TRUE,IF(input_challenge_opportunities="",FALSE,SUMPRODUCT(--ISNUMBER(SEARCH(","&amp;TRIM(TEXTSPLIT(BA186,","))&amp;",",","&amp;SUBSTITUTE(input_challenge_opportunities," ","")&amp;",")))&gt;0)),IF(BC186="",TRUE,IF(input_challenge_opportunities="",FALSE,SUMPRODUCT(--ISNUMBER(SEARCH(","&amp;TRIM(TEXTSPLIT(BC186,","))&amp;",",","&amp;SUBSTITUTE(input_challenge_opportunities," ","")&amp;",")))=COUNTA(TEXTSPLIT(BC186,",")))),IF(BE186="",TRUE,IF(input_challenge_opportunities="",TRUE,SUMPRODUCT(--ISNUMBER(SEARCH(","&amp;TRIM(TEXTSPLIT(BE186,","))&amp;",",","&amp;SUBSTITUTE(input_challenge_opportunities," ","")&amp;",")))=0)),IF(BG186="",TRUE,IF(input_challenge_opportunities="",FALSE,SUMPRODUCT(--ISNUMBER(SEARCH(","&amp;TRIM(TEXTSPLIT(BG186,","))&amp;",",","&amp;SUBSTITUTE(input_challenge_opportunities," ","")&amp;",")))&gt;0)),IF(BI186="",TRUE,IF(input_challenge_opportunities="",FALSE,SUMPRODUCT(--ISNUMBER(SEARCH(","&amp;TRIM(TEXTSPLIT(BI186,","))&amp;",",","&amp;SUBSTITUTE(input_challenge_opportunities," ","")&amp;",")))=COUNTA(TEXTSPLIT(BI186,",")))))</f>
        <v/>
      </c>
      <c r="IY186">
        <f>AND(IF(BK186="",TRUE,IF(input_context="",FALSE,SUMPRODUCT(--ISNUMBER(SEARCH(","&amp;TRIM(TEXTSPLIT(BK186,","))&amp;",",","&amp;SUBSTITUTE(input_context," ","")&amp;",")))&gt;0)),IF(BM186="",TRUE,IF(input_context="",FALSE,SUMPRODUCT(--ISNUMBER(SEARCH(","&amp;TRIM(TEXTSPLIT(BM186,","))&amp;",",","&amp;SUBSTITUTE(input_context," ","")&amp;",")))=COUNTA(TEXTSPLIT(BM186,",")))),IF(BO186="",TRUE,IF(input_context="",TRUE,SUMPRODUCT(--ISNUMBER(SEARCH(","&amp;TRIM(TEXTSPLIT(BO186,","))&amp;",",","&amp;SUBSTITUTE(input_context," ","")&amp;",")))=0)),IF(BQ186="",TRUE,IF(input_context="",FALSE,SUMPRODUCT(--ISNUMBER(SEARCH(","&amp;TRIM(TEXTSPLIT(BQ186,","))&amp;",",","&amp;SUBSTITUTE(input_context," ","")&amp;",")))&gt;0)),IF(BS186="",TRUE,IF(input_context="",FALSE,SUMPRODUCT(--ISNUMBER(SEARCH(","&amp;TRIM(TEXTSPLIT(BS186,","))&amp;",",","&amp;SUBSTITUTE(input_context," ","")&amp;",")))=COUNTA(TEXTSPLIT(BS186,",")))))</f>
        <v/>
      </c>
      <c r="IZ186">
        <f>AND(IF(BU186="",TRUE,IF(input_enews_announcement_type="",FALSE,SUMPRODUCT(--ISNUMBER(SEARCH(","&amp;TRIM(TEXTSPLIT(BU186,","))&amp;",",","&amp;SUBSTITUTE(input_enews_announcement_type," ","")&amp;",")))&gt;0)),IF(BW186="",TRUE,IF(input_enews_announcement_type="",FALSE,SUMPRODUCT(--ISNUMBER(SEARCH(","&amp;TRIM(TEXTSPLIT(BW186,","))&amp;",",","&amp;SUBSTITUTE(input_enews_announcement_type," ","")&amp;",")))=COUNTA(TEXTSPLIT(BW186,",")))),IF(BY186="",TRUE,IF(input_enews_announcement_type="",TRUE,SUMPRODUCT(--ISNUMBER(SEARCH(","&amp;TRIM(TEXTSPLIT(BY186,","))&amp;",",","&amp;SUBSTITUTE(input_enews_announcement_type," ","")&amp;",")))=0)),IF(CA186="",TRUE,IF(input_enews_announcement_type="",FALSE,SUMPRODUCT(--ISNUMBER(SEARCH(","&amp;TRIM(TEXTSPLIT(CA186,","))&amp;",",","&amp;SUBSTITUTE(input_enews_announcement_type," ","")&amp;",")))&gt;0)),IF(CC186="",TRUE,IF(input_enews_announcement_type="",FALSE,SUMPRODUCT(--ISNUMBER(SEARCH(","&amp;TRIM(TEXTSPLIT(CC186,","))&amp;",",","&amp;SUBSTITUTE(input_enews_announcement_type," ","")&amp;",")))=COUNTA(TEXTSPLIT(CC186,",")))))</f>
        <v/>
      </c>
      <c r="JA186">
        <f>AND(IF(CE186="",TRUE,IF(input_enews_audience="",FALSE,SUMPRODUCT(--ISNUMBER(SEARCH(","&amp;TRIM(TEXTSPLIT(CE186,","))&amp;",",","&amp;SUBSTITUTE(input_enews_audience," ","")&amp;",")))&gt;0)),IF(CG186="",TRUE,IF(input_enews_audience="",FALSE,SUMPRODUCT(--ISNUMBER(SEARCH(","&amp;TRIM(TEXTSPLIT(CG186,","))&amp;",",","&amp;SUBSTITUTE(input_enews_audience," ","")&amp;",")))=COUNTA(TEXTSPLIT(CG186,",")))),IF(CI186="",TRUE,IF(input_enews_audience="",TRUE,SUMPRODUCT(--ISNUMBER(SEARCH(","&amp;TRIM(TEXTSPLIT(CI186,","))&amp;",",","&amp;SUBSTITUTE(input_enews_audience," ","")&amp;",")))=0)),IF(CK186="",TRUE,IF(input_enews_audience="",FALSE,SUMPRODUCT(--ISNUMBER(SEARCH(","&amp;TRIM(TEXTSPLIT(CK186,","))&amp;",",","&amp;SUBSTITUTE(input_enews_audience," ","")&amp;",")))&gt;0)),IF(CM186="",TRUE,IF(input_enews_audience="",FALSE,SUMPRODUCT(--ISNUMBER(SEARCH(","&amp;TRIM(TEXTSPLIT(CM186,","))&amp;",",","&amp;SUBSTITUTE(input_enews_audience," ","")&amp;",")))=COUNTA(TEXTSPLIT(CM186,",")))))</f>
        <v/>
      </c>
      <c r="JB186">
        <f>AND(IF(CO186="",TRUE,IF(input_event_location="",FALSE,SUMPRODUCT(--ISNUMBER(SEARCH(","&amp;TRIM(TEXTSPLIT(CO186,","))&amp;",",","&amp;SUBSTITUTE(input_event_location," ","")&amp;",")))&gt;0)),IF(CQ186="",TRUE,IF(input_event_location="",FALSE,SUMPRODUCT(--ISNUMBER(SEARCH(","&amp;TRIM(TEXTSPLIT(CQ186,","))&amp;",",","&amp;SUBSTITUTE(input_event_location," ","")&amp;",")))=COUNTA(TEXTSPLIT(CQ186,",")))),IF(CS186="",TRUE,IF(input_event_location="",TRUE,SUMPRODUCT(--ISNUMBER(SEARCH(","&amp;TRIM(TEXTSPLIT(CS186,","))&amp;",",","&amp;SUBSTITUTE(input_event_location," ","")&amp;",")))=0)),IF(CU186="",TRUE,IF(input_event_location="",FALSE,SUMPRODUCT(--ISNUMBER(SEARCH(","&amp;TRIM(TEXTSPLIT(CU186,","))&amp;",",","&amp;SUBSTITUTE(input_event_location," ","")&amp;",")))&gt;0)),IF(CW186="",TRUE,IF(input_event_location="",FALSE,SUMPRODUCT(--ISNUMBER(SEARCH(","&amp;TRIM(TEXTSPLIT(CW186,","))&amp;",",","&amp;SUBSTITUTE(input_event_location," ","")&amp;",")))=COUNTA(TEXTSPLIT(CW186,",")))))</f>
        <v/>
      </c>
      <c r="JC186">
        <f>AND(IF(CY186="",TRUE,IF(input_event_type="",FALSE,SUMPRODUCT(--ISNUMBER(SEARCH(","&amp;TRIM(TEXTSPLIT(CY186,","))&amp;",",","&amp;SUBSTITUTE(input_event_type," ","")&amp;",")))&gt;0)),IF(DA186="",TRUE,IF(input_event_type="",FALSE,SUMPRODUCT(--ISNUMBER(SEARCH(","&amp;TRIM(TEXTSPLIT(DA186,","))&amp;",",","&amp;SUBSTITUTE(input_event_type," ","")&amp;",")))=COUNTA(TEXTSPLIT(DA186,",")))),IF(DC186="",TRUE,IF(input_event_type="",TRUE,SUMPRODUCT(--ISNUMBER(SEARCH(","&amp;TRIM(TEXTSPLIT(DC186,","))&amp;",",","&amp;SUBSTITUTE(input_event_type," ","")&amp;",")))=0)),IF(DE186="",TRUE,IF(input_event_type="",FALSE,SUMPRODUCT(--ISNUMBER(SEARCH(","&amp;TRIM(TEXTSPLIT(DE186,","))&amp;",",","&amp;SUBSTITUTE(input_event_type," ","")&amp;",")))&gt;0)),IF(DG186="",TRUE,IF(input_event_type="",FALSE,SUMPRODUCT(--ISNUMBER(SEARCH(","&amp;TRIM(TEXTSPLIT(DG186,","))&amp;",",","&amp;SUBSTITUTE(input_event_type," ","")&amp;",")))=COUNTA(TEXTSPLIT(DG186,",")))))</f>
        <v/>
      </c>
      <c r="JD186">
        <f>AND(IF(DI186="",TRUE,IF(input_executive_education_focus="",FALSE,SUMPRODUCT(--ISNUMBER(SEARCH(","&amp;TRIM(TEXTSPLIT(DI186,","))&amp;",",","&amp;SUBSTITUTE(input_executive_education_focus," ","")&amp;",")))&gt;0)),IF(DK186="",TRUE,IF(input_executive_education_focus="",FALSE,SUMPRODUCT(--ISNUMBER(SEARCH(","&amp;TRIM(TEXTSPLIT(DK186,","))&amp;",",","&amp;SUBSTITUTE(input_executive_education_focus," ","")&amp;",")))=COUNTA(TEXTSPLIT(DK186,",")))),IF(DM186="",TRUE,IF(input_executive_education_focus="",TRUE,SUMPRODUCT(--ISNUMBER(SEARCH(","&amp;TRIM(TEXTSPLIT(DM186,","))&amp;",",","&amp;SUBSTITUTE(input_executive_education_focus," ","")&amp;",")))=0)),IF(DO186="",TRUE,IF(input_executive_education_focus="",FALSE,SUMPRODUCT(--ISNUMBER(SEARCH(","&amp;TRIM(TEXTSPLIT(DO186,","))&amp;",",","&amp;SUBSTITUTE(input_executive_education_focus," ","")&amp;",")))&gt;0)),IF(DQ186="",TRUE,IF(input_executive_education_focus="",FALSE,SUMPRODUCT(--ISNUMBER(SEARCH(","&amp;TRIM(TEXTSPLIT(DQ186,","))&amp;",",","&amp;SUBSTITUTE(input_executive_education_focus," ","")&amp;",")))=COUNTA(TEXTSPLIT(DQ186,",")))))</f>
        <v/>
      </c>
      <c r="JE186">
        <f>AND(IF(DS186="",TRUE,IF(input_faculty_category="",FALSE,SUMPRODUCT(--ISNUMBER(SEARCH(","&amp;TRIM(TEXTSPLIT(DS186,","))&amp;",",","&amp;SUBSTITUTE(input_faculty_category," ","")&amp;",")))&gt;0)),IF(DU186="",TRUE,IF(input_faculty_category="",FALSE,SUMPRODUCT(--ISNUMBER(SEARCH(","&amp;TRIM(TEXTSPLIT(DU186,","))&amp;",",","&amp;SUBSTITUTE(input_faculty_category," ","")&amp;",")))=COUNTA(TEXTSPLIT(DU186,",")))),IF(DW186="",TRUE,IF(input_faculty_category="",TRUE,SUMPRODUCT(--ISNUMBER(SEARCH(","&amp;TRIM(TEXTSPLIT(DW186,","))&amp;",",","&amp;SUBSTITUTE(input_faculty_category," ","")&amp;",")))=0)),IF(DY186="",TRUE,IF(input_faculty_category="",FALSE,SUMPRODUCT(--ISNUMBER(SEARCH(","&amp;TRIM(TEXTSPLIT(DY186,","))&amp;",",","&amp;SUBSTITUTE(input_faculty_category," ","")&amp;",")))&gt;0)),IF(EA186="",TRUE,IF(input_faculty_category="",FALSE,SUMPRODUCT(--ISNUMBER(SEARCH(","&amp;TRIM(TEXTSPLIT(EA186,","))&amp;",",","&amp;SUBSTITUTE(input_faculty_category," ","")&amp;",")))=COUNTA(TEXTSPLIT(EA186,",")))))</f>
        <v/>
      </c>
      <c r="JF186">
        <f>AND(IF(EC186="",TRUE,IF(input_faculty_discipline="",FALSE,SUMPRODUCT(--ISNUMBER(SEARCH(","&amp;TRIM(TEXTSPLIT(EC186,","))&amp;",",","&amp;SUBSTITUTE(input_faculty_discipline," ","")&amp;",")))&gt;0)),IF(EE186="",TRUE,IF(input_faculty_discipline="",FALSE,SUMPRODUCT(--ISNUMBER(SEARCH(","&amp;TRIM(TEXTSPLIT(EE186,","))&amp;",",","&amp;SUBSTITUTE(input_faculty_discipline," ","")&amp;",")))=COUNTA(TEXTSPLIT(EE186,",")))),IF(EG186="",TRUE,IF(input_faculty_discipline="",TRUE,SUMPRODUCT(--ISNUMBER(SEARCH(","&amp;TRIM(TEXTSPLIT(EG186,","))&amp;",",","&amp;SUBSTITUTE(input_faculty_discipline," ","")&amp;",")))=0)),IF(EI186="",TRUE,IF(input_faculty_discipline="",FALSE,SUMPRODUCT(--ISNUMBER(SEARCH(","&amp;TRIM(TEXTSPLIT(EI186,","))&amp;",",","&amp;SUBSTITUTE(input_faculty_discipline," ","")&amp;",")))&gt;0)),IF(EK186="",TRUE,IF(input_faculty_discipline="",FALSE,SUMPRODUCT(--ISNUMBER(SEARCH(","&amp;TRIM(TEXTSPLIT(EK186,","))&amp;",",","&amp;SUBSTITUTE(input_faculty_discipline," ","")&amp;",")))=COUNTA(TEXTSPLIT(EK186,",")))))</f>
        <v/>
      </c>
      <c r="JG186">
        <f>AND(IF(EM186="",TRUE,IF(input_faculty_expertise="",FALSE,SUMPRODUCT(--ISNUMBER(SEARCH(","&amp;TRIM(TEXTSPLIT(EM186,","))&amp;",",","&amp;SUBSTITUTE(input_faculty_expertise," ","")&amp;",")))&gt;0)),IF(EO186="",TRUE,IF(input_faculty_expertise="",FALSE,SUMPRODUCT(--ISNUMBER(SEARCH(","&amp;TRIM(TEXTSPLIT(EO186,","))&amp;",",","&amp;SUBSTITUTE(input_faculty_expertise," ","")&amp;",")))=COUNTA(TEXTSPLIT(EO186,",")))),IF(EQ186="",TRUE,IF(input_faculty_expertise="",TRUE,SUMPRODUCT(--ISNUMBER(SEARCH(","&amp;TRIM(TEXTSPLIT(EQ186,","))&amp;",",","&amp;SUBSTITUTE(input_faculty_expertise," ","")&amp;",")))=0)),IF(ES186="",TRUE,IF(input_faculty_expertise="",FALSE,SUMPRODUCT(--ISNUMBER(SEARCH(","&amp;TRIM(TEXTSPLIT(ES186,","))&amp;",",","&amp;SUBSTITUTE(input_faculty_expertise," ","")&amp;",")))&gt;0)),IF(EU186="",TRUE,IF(input_faculty_expertise="",FALSE,SUMPRODUCT(--ISNUMBER(SEARCH(","&amp;TRIM(TEXTSPLIT(EU186,","))&amp;",",","&amp;SUBSTITUTE(input_faculty_expertise," ","")&amp;",")))=COUNTA(TEXTSPLIT(EU186,",")))))</f>
        <v/>
      </c>
      <c r="JH186">
        <f>AND(IF(EW186="",TRUE,IF(input_global_network_school="",FALSE,SUMPRODUCT(--ISNUMBER(SEARCH(","&amp;TRIM(TEXTSPLIT(EW186,","))&amp;",",","&amp;SUBSTITUTE(input_global_network_school," ","")&amp;",")))&gt;0)),IF(EY186="",TRUE,IF(input_global_network_school="",FALSE,SUMPRODUCT(--ISNUMBER(SEARCH(","&amp;TRIM(TEXTSPLIT(EY186,","))&amp;",",","&amp;SUBSTITUTE(input_global_network_school," ","")&amp;",")))=COUNTA(TEXTSPLIT(EY186,",")))),IF(FA186="",TRUE,IF(input_global_network_school="",TRUE,SUMPRODUCT(--ISNUMBER(SEARCH(","&amp;TRIM(TEXTSPLIT(FA186,","))&amp;",",","&amp;SUBSTITUTE(input_global_network_school," ","")&amp;",")))=0)),IF(FC186="",TRUE,IF(input_global_network_school="",FALSE,SUMPRODUCT(--ISNUMBER(SEARCH(","&amp;TRIM(TEXTSPLIT(FC186,","))&amp;",",","&amp;SUBSTITUTE(input_global_network_school," ","")&amp;",")))&gt;0)),IF(FE186="",TRUE,IF(input_global_network_school="",FALSE,SUMPRODUCT(--ISNUMBER(SEARCH(","&amp;TRIM(TEXTSPLIT(FE186,","))&amp;",",","&amp;SUBSTITUTE(input_global_network_school," ","")&amp;",")))=COUNTA(TEXTSPLIT(FE186,",")))))</f>
        <v/>
      </c>
      <c r="JI186">
        <f>AND(IF(FG186="",TRUE,IF(input_industry="",FALSE,SUMPRODUCT(--ISNUMBER(SEARCH(","&amp;TRIM(TEXTSPLIT(FG186,","))&amp;",",","&amp;SUBSTITUTE(input_industry," ","")&amp;",")))&gt;0)),IF(FI186="",TRUE,IF(input_industry="",FALSE,SUMPRODUCT(--ISNUMBER(SEARCH(","&amp;TRIM(TEXTSPLIT(FI186,","))&amp;",",","&amp;SUBSTITUTE(input_industry," ","")&amp;",")))=COUNTA(TEXTSPLIT(FI186,",")))),IF(FK186="",TRUE,IF(input_industry="",TRUE,SUMPRODUCT(--ISNUMBER(SEARCH(","&amp;TRIM(TEXTSPLIT(FK186,","))&amp;",",","&amp;SUBSTITUTE(input_industry," ","")&amp;",")))=0)),IF(FM186="",TRUE,IF(input_industry="",FALSE,SUMPRODUCT(--ISNUMBER(SEARCH(","&amp;TRIM(TEXTSPLIT(FM186,","))&amp;",",","&amp;SUBSTITUTE(input_industry," ","")&amp;",")))&gt;0)),IF(FO186="",TRUE,IF(input_industry="",FALSE,SUMPRODUCT(--ISNUMBER(SEARCH(","&amp;TRIM(TEXTSPLIT(FO186,","))&amp;",",","&amp;SUBSTITUTE(input_industry," ","")&amp;",")))=COUNTA(TEXTSPLIT(FO186,",")))))</f>
        <v/>
      </c>
      <c r="JJ186">
        <f>AND(IF(FQ186="",TRUE,IF(input_location="",FALSE,SUMPRODUCT(--ISNUMBER(SEARCH(","&amp;TRIM(TEXTSPLIT(FQ186,","))&amp;",",","&amp;SUBSTITUTE(input_location," ","")&amp;",")))&gt;0)),IF(FS186="",TRUE,IF(input_location="",FALSE,SUMPRODUCT(--ISNUMBER(SEARCH(","&amp;TRIM(TEXTSPLIT(FS186,","))&amp;",",","&amp;SUBSTITUTE(input_location," ","")&amp;",")))=COUNTA(TEXTSPLIT(FS186,",")))),IF(FU186="",TRUE,IF(input_location="",TRUE,SUMPRODUCT(--ISNUMBER(SEARCH(","&amp;TRIM(TEXTSPLIT(FU186,","))&amp;",",","&amp;SUBSTITUTE(input_location," ","")&amp;",")))=0)),IF(FW186="",TRUE,IF(input_location="",FALSE,SUMPRODUCT(--ISNUMBER(SEARCH(","&amp;TRIM(TEXTSPLIT(FW186,","))&amp;",",","&amp;SUBSTITUTE(input_location," ","")&amp;",")))&gt;0)),IF(FY186="",TRUE,IF(input_location="",FALSE,SUMPRODUCT(--ISNUMBER(SEARCH(","&amp;TRIM(TEXTSPLIT(FY186,","))&amp;",",","&amp;SUBSTITUTE(input_location," ","")&amp;",")))=COUNTA(TEXTSPLIT(FY186,",")))))</f>
        <v/>
      </c>
      <c r="JK186">
        <f>AND(IF(GA186="",TRUE,IF(input_modality="",FALSE,SUMPRODUCT(--ISNUMBER(SEARCH(","&amp;TRIM(TEXTSPLIT(GA186,","))&amp;",",","&amp;SUBSTITUTE(input_modality," ","")&amp;",")))&gt;0)),IF(GC186="",TRUE,IF(input_modality="",FALSE,SUMPRODUCT(--ISNUMBER(SEARCH(","&amp;TRIM(TEXTSPLIT(GC186,","))&amp;",",","&amp;SUBSTITUTE(input_modality," ","")&amp;",")))=COUNTA(TEXTSPLIT(GC186,",")))),IF(GE186="",TRUE,IF(input_modality="",TRUE,SUMPRODUCT(--ISNUMBER(SEARCH(","&amp;TRIM(TEXTSPLIT(GE186,","))&amp;",",","&amp;SUBSTITUTE(input_modality," ","")&amp;",")))=0)),IF(GG186="",TRUE,IF(input_modality="",FALSE,SUMPRODUCT(--ISNUMBER(SEARCH(","&amp;TRIM(TEXTSPLIT(GG186,","))&amp;",",","&amp;SUBSTITUTE(input_modality," ","")&amp;",")))&gt;0)),IF(GI186="",TRUE,IF(input_modality="",FALSE,SUMPRODUCT(--ISNUMBER(SEARCH(","&amp;TRIM(TEXTSPLIT(GI186,","))&amp;",",","&amp;SUBSTITUTE(input_modality," ","")&amp;",")))=COUNTA(TEXTSPLIT(GI186,",")))))</f>
        <v/>
      </c>
      <c r="JL186">
        <f>AND(IF(GK186="",TRUE,IF(input_organizer="",FALSE,SUMPRODUCT(--ISNUMBER(SEARCH(","&amp;TRIM(TEXTSPLIT(GK186,","))&amp;",",","&amp;SUBSTITUTE(input_organizer," ","")&amp;",")))&gt;0)),IF(GM186="",TRUE,IF(input_organizer="",FALSE,SUMPRODUCT(--ISNUMBER(SEARCH(","&amp;TRIM(TEXTSPLIT(GM186,","))&amp;",",","&amp;SUBSTITUTE(input_organizer," ","")&amp;",")))=COUNTA(TEXTSPLIT(GM186,",")))),IF(GO186="",TRUE,IF(input_organizer="",TRUE,SUMPRODUCT(--ISNUMBER(SEARCH(","&amp;TRIM(TEXTSPLIT(GO186,","))&amp;",",","&amp;SUBSTITUTE(input_organizer," ","")&amp;",")))=0)),IF(GQ186="",TRUE,IF(input_organizer="",FALSE,SUMPRODUCT(--ISNUMBER(SEARCH(","&amp;TRIM(TEXTSPLIT(GQ186,","))&amp;",",","&amp;SUBSTITUTE(input_organizer," ","")&amp;",")))&gt;0)),IF(GS186="",TRUE,IF(input_organizer="",FALSE,SUMPRODUCT(--ISNUMBER(SEARCH(","&amp;TRIM(TEXTSPLIT(GS186,","))&amp;",",","&amp;SUBSTITUTE(input_organizer," ","")&amp;",")))=COUNTA(TEXTSPLIT(GS186,",")))))</f>
        <v/>
      </c>
      <c r="JM186">
        <f>AND(IF(GU186="",TRUE,IF(input_profile_type="",FALSE,SUMPRODUCT(--ISNUMBER(SEARCH(","&amp;TRIM(TEXTSPLIT(GU186,","))&amp;",",","&amp;SUBSTITUTE(input_profile_type," ","")&amp;",")))&gt;0)),IF(GW186="",TRUE,IF(input_profile_type="",FALSE,SUMPRODUCT(--ISNUMBER(SEARCH(","&amp;TRIM(TEXTSPLIT(GW186,","))&amp;",",","&amp;SUBSTITUTE(input_profile_type," ","")&amp;",")))=COUNTA(TEXTSPLIT(GW186,",")))),IF(GY186="",TRUE,IF(input_profile_type="",TRUE,SUMPRODUCT(--ISNUMBER(SEARCH(","&amp;TRIM(TEXTSPLIT(GY186,","))&amp;",",","&amp;SUBSTITUTE(input_profile_type," ","")&amp;",")))=0)),IF(HA186="",TRUE,IF(input_profile_type="",FALSE,SUMPRODUCT(--ISNUMBER(SEARCH(","&amp;TRIM(TEXTSPLIT(HA186,","))&amp;",",","&amp;SUBSTITUTE(input_profile_type," ","")&amp;",")))&gt;0)),IF(HC186="",TRUE,IF(input_profile_type="",FALSE,SUMPRODUCT(--ISNUMBER(SEARCH(","&amp;TRIM(TEXTSPLIT(HC186,","))&amp;",",","&amp;SUBSTITUTE(input_profile_type," ","")&amp;",")))=COUNTA(TEXTSPLIT(HC186,",")))))</f>
        <v/>
      </c>
      <c r="JN186">
        <f>AND(IF(HE186="",TRUE,IF(input_program="",FALSE,SUMPRODUCT(--ISNUMBER(SEARCH(","&amp;TRIM(TEXTSPLIT(HE186,","))&amp;",",","&amp;SUBSTITUTE(input_program," ","")&amp;",")))&gt;0)),IF(HG186="",TRUE,IF(input_program="",FALSE,SUMPRODUCT(--ISNUMBER(SEARCH(","&amp;TRIM(TEXTSPLIT(HG186,","))&amp;",",","&amp;SUBSTITUTE(input_program," ","")&amp;",")))=COUNTA(TEXTSPLIT(HG186,",")))),IF(HI186="",TRUE,IF(input_program="",TRUE,SUMPRODUCT(--ISNUMBER(SEARCH(","&amp;TRIM(TEXTSPLIT(HI186,","))&amp;",",","&amp;SUBSTITUTE(input_program," ","")&amp;",")))=0)),IF(HK186="",TRUE,IF(input_program="",FALSE,SUMPRODUCT(--ISNUMBER(SEARCH(","&amp;TRIM(TEXTSPLIT(HK186,","))&amp;",",","&amp;SUBSTITUTE(input_program," ","")&amp;",")))&gt;0)),IF(HM186="",TRUE,IF(input_program="",FALSE,SUMPRODUCT(--ISNUMBER(SEARCH(","&amp;TRIM(TEXTSPLIT(HM186,","))&amp;",",","&amp;SUBSTITUTE(input_program," ","")&amp;",")))=COUNTA(TEXTSPLIT(HM186,",")))))</f>
        <v/>
      </c>
      <c r="JO186">
        <f>AND(IF(HO186="",TRUE,IF(input_story_categories="",FALSE,SUMPRODUCT(--ISNUMBER(SEARCH(","&amp;TRIM(TEXTSPLIT(HO186,","))&amp;",",","&amp;SUBSTITUTE(input_story_categories," ","")&amp;",")))&gt;0)),IF(HQ186="",TRUE,IF(input_story_categories="",FALSE,SUMPRODUCT(--ISNUMBER(SEARCH(","&amp;TRIM(TEXTSPLIT(HQ186,","))&amp;",",","&amp;SUBSTITUTE(input_story_categories," ","")&amp;",")))=COUNTA(TEXTSPLIT(HQ186,",")))),IF(HS186="",TRUE,IF(input_story_categories="",TRUE,SUMPRODUCT(--ISNUMBER(SEARCH(","&amp;TRIM(TEXTSPLIT(HS186,","))&amp;",",","&amp;SUBSTITUTE(input_story_categories," ","")&amp;",")))=0)),IF(HU186="",TRUE,IF(input_story_categories="",FALSE,SUMPRODUCT(--ISNUMBER(SEARCH(","&amp;TRIM(TEXTSPLIT(HU186,","))&amp;",",","&amp;SUBSTITUTE(input_story_categories," ","")&amp;",")))&gt;0)),IF(HW186="",TRUE,IF(input_story_categories="",FALSE,SUMPRODUCT(--ISNUMBER(SEARCH(","&amp;TRIM(TEXTSPLIT(HW186,","))&amp;",",","&amp;SUBSTITUTE(input_story_categories," ","")&amp;",")))=COUNTA(TEXTSPLIT(HW186,",")))))</f>
        <v/>
      </c>
      <c r="JP186">
        <f>AND(IF(HY186="",TRUE,IF(input_story_type="",FALSE,SUMPRODUCT(--ISNUMBER(SEARCH(","&amp;TRIM(TEXTSPLIT(HY186,","))&amp;",",","&amp;SUBSTITUTE(input_story_type," ","")&amp;",")))&gt;0)),IF(IA186="",TRUE,IF(input_story_type="",FALSE,SUMPRODUCT(--ISNUMBER(SEARCH(","&amp;TRIM(TEXTSPLIT(IA186,","))&amp;",",","&amp;SUBSTITUTE(input_story_type," ","")&amp;",")))=COUNTA(TEXTSPLIT(IA186,",")))),IF(IC186="",TRUE,IF(input_story_type="",TRUE,SUMPRODUCT(--ISNUMBER(SEARCH(","&amp;TRIM(TEXTSPLIT(IC186,","))&amp;",",","&amp;SUBSTITUTE(input_story_type," ","")&amp;",")))=0)),IF(IE186="",TRUE,IF(input_story_type="",FALSE,SUMPRODUCT(--ISNUMBER(SEARCH(","&amp;TRIM(TEXTSPLIT(IE186,","))&amp;",",","&amp;SUBSTITUTE(input_story_type," ","")&amp;",")))&gt;0)),IF(IG186="",TRUE,IF(input_story_type="",FALSE,SUMPRODUCT(--ISNUMBER(SEARCH(","&amp;TRIM(TEXTSPLIT(IG186,","))&amp;",",","&amp;SUBSTITUTE(input_story_type," ","")&amp;",")))=COUNTA(TEXTSPLIT(IG186,",")))))</f>
        <v/>
      </c>
      <c r="JQ186">
        <f>AND(IF(II186="",TRUE,IF(input_topics="",FALSE,SUMPRODUCT(--ISNUMBER(SEARCH(","&amp;TRIM(TEXTSPLIT(II186,","))&amp;",",","&amp;SUBSTITUTE(input_topics," ","")&amp;",")))&gt;0)),IF(IK186="",TRUE,IF(input_topics="",FALSE,SUMPRODUCT(--ISNUMBER(SEARCH(","&amp;TRIM(TEXTSPLIT(IK186,","))&amp;",",","&amp;SUBSTITUTE(input_topics," ","")&amp;",")))=COUNTA(TEXTSPLIT(IK186,",")))),IF(IM186="",TRUE,IF(input_topics="",TRUE,SUMPRODUCT(--ISNUMBER(SEARCH(","&amp;TRIM(TEXTSPLIT(IM186,","))&amp;",",","&amp;SUBSTITUTE(input_topics," ","")&amp;",")))=0)),IF(IO186="",TRUE,IF(input_topics="",FALSE,SUMPRODUCT(--ISNUMBER(SEARCH(","&amp;TRIM(TEXTSPLIT(IO186,","))&amp;",",","&amp;SUBSTITUTE(input_topics," ","")&amp;",")))&gt;0)),IF(IQ186="",TRUE,IF(input_topics="",FALSE,SUMPRODUCT(--ISNUMBER(SEARCH(","&amp;TRIM(TEXTSPLIT(IQ186,","))&amp;",",","&amp;SUBSTITUTE(input_topics," ","")&amp;",")))=COUNTA(TEXTSPLIT(IQ186,",")))))</f>
        <v/>
      </c>
    </row>
    <row r="187">
      <c r="A187" s="4">
        <f>IF(NOT(IS187),"Excluded",IF(AND(IT187,IU187,IV187,IW187,IX187,IY187,IZ187,JA187,JB187,JC187,JD187,JE187,JF187,JG187,JH187,JI187,JJ187,JK187,JL187,JM187,JN187,JO187,JP187,JQ187),IF(I187&gt;0,"Eligible but limited","Will appear"),"Excluded"))</f>
        <v/>
      </c>
      <c r="B187" s="4" t="inlineStr">
        <is>
          <t>Related stories on story pages</t>
        </is>
      </c>
      <c r="C187" s="4" t="inlineStr">
        <is>
          <t>/news/2018/09/micro-organizational-behavior-internship-introduces-college-students-to-graduate-school-research</t>
        </is>
      </c>
      <c r="D187" s="4" t="inlineStr">
        <is>
          <t>/news/2018/09/micro-organizational-behavior-internship-introduces-college-students-to-graduate-school-research
/news/2019/07/finance-summer-school-draws-global-cohort-of-doctoral-students
/story/2022/yale-summer-school-behavioral-finance-draws-students-across-us-and-europe</t>
        </is>
      </c>
      <c r="E187" s="4" t="n">
        <v>7</v>
      </c>
      <c r="F187" s="4" t="inlineStr">
        <is>
          <t>story</t>
        </is>
      </c>
      <c r="G187" s="4" t="inlineStr">
        <is>
          <t>stories_teaser_cards</t>
        </is>
      </c>
      <c r="H187" s="4" t="inlineStr">
        <is>
          <t>embed_all</t>
        </is>
      </c>
      <c r="I187" s="4" t="n">
        <v>3</v>
      </c>
      <c r="J187" s="4" t="inlineStr">
        <is>
          <t>Template logic</t>
        </is>
      </c>
      <c r="K187" s="4" t="inlineStr">
        <is>
          <t>Grouped surface</t>
        </is>
      </c>
      <c r="L187" s="4" t="inlineStr">
        <is>
          <t>Content type: story; Context uses Courses Context: Doctoral Programs (962); Context uses Story Type: News (924); Limited to 3 item(s); Source: Template logic</t>
        </is>
      </c>
      <c r="M187" t="inlineStr"/>
      <c r="N187" t="inlineStr"/>
      <c r="O187" t="inlineStr"/>
      <c r="P187" t="inlineStr"/>
      <c r="Q187" t="inlineStr"/>
      <c r="R187" t="inlineStr"/>
      <c r="S187" t="inlineStr"/>
      <c r="T187" t="inlineStr"/>
      <c r="U187" t="inlineStr"/>
      <c r="V187" t="inlineStr"/>
      <c r="W187" t="inlineStr"/>
      <c r="X187" t="inlineStr"/>
      <c r="Y187" t="inlineStr"/>
      <c r="Z187" t="inlineStr"/>
      <c r="AA187" t="inlineStr"/>
      <c r="AB187" t="inlineStr"/>
      <c r="AC187" t="inlineStr"/>
      <c r="AD187" t="inlineStr"/>
      <c r="AE187" t="inlineStr"/>
      <c r="AF187" t="inlineStr"/>
      <c r="AG187" t="inlineStr"/>
      <c r="AH187" t="inlineStr"/>
      <c r="AI187" t="inlineStr"/>
      <c r="AJ187" t="inlineStr"/>
      <c r="AK187" t="inlineStr"/>
      <c r="AL187" t="inlineStr"/>
      <c r="AM187" t="inlineStr"/>
      <c r="AN187" t="inlineStr"/>
      <c r="AO187" t="inlineStr"/>
      <c r="AP187" t="inlineStr"/>
      <c r="AQ187" t="inlineStr"/>
      <c r="AR187" t="inlineStr"/>
      <c r="AS187" t="inlineStr"/>
      <c r="AT187" t="inlineStr"/>
      <c r="AU187" t="inlineStr"/>
      <c r="AV187" t="inlineStr"/>
      <c r="AW187" t="inlineStr"/>
      <c r="AX187" t="inlineStr"/>
      <c r="AY187" t="inlineStr"/>
      <c r="AZ187" t="inlineStr"/>
      <c r="BA187" t="inlineStr"/>
      <c r="BB187" t="inlineStr"/>
      <c r="BC187" t="inlineStr"/>
      <c r="BD187" t="inlineStr"/>
      <c r="BE187" t="inlineStr"/>
      <c r="BF187" t="inlineStr"/>
      <c r="BG187" t="inlineStr"/>
      <c r="BH187" t="inlineStr"/>
      <c r="BI187" t="inlineStr"/>
      <c r="BJ187" t="inlineStr"/>
      <c r="BK187" t="inlineStr"/>
      <c r="BL187" t="inlineStr"/>
      <c r="BM187" t="inlineStr"/>
      <c r="BN187" t="inlineStr"/>
      <c r="BO187" t="inlineStr"/>
      <c r="BP187" t="inlineStr"/>
      <c r="BQ187" t="inlineStr">
        <is>
          <t>962</t>
        </is>
      </c>
      <c r="BR187" t="inlineStr">
        <is>
          <t>Doctoral Programs (962)</t>
        </is>
      </c>
      <c r="BS187" t="inlineStr"/>
      <c r="BT187" t="inlineStr"/>
      <c r="BU187" t="inlineStr"/>
      <c r="BV187" t="inlineStr"/>
      <c r="BW187" t="inlineStr"/>
      <c r="BX187" t="inlineStr"/>
      <c r="BY187" t="inlineStr"/>
      <c r="BZ187" t="inlineStr"/>
      <c r="CA187" t="inlineStr"/>
      <c r="CB187" t="inlineStr"/>
      <c r="CC187" t="inlineStr"/>
      <c r="CD187" t="inlineStr"/>
      <c r="CE187" t="inlineStr"/>
      <c r="CF187" t="inlineStr"/>
      <c r="CG187" t="inlineStr"/>
      <c r="CH187" t="inlineStr"/>
      <c r="CI187" t="inlineStr"/>
      <c r="CJ187" t="inlineStr"/>
      <c r="CK187" t="inlineStr"/>
      <c r="CL187" t="inlineStr"/>
      <c r="CM187" t="inlineStr"/>
      <c r="CN187" t="inlineStr"/>
      <c r="CO187" t="inlineStr"/>
      <c r="CP187" t="inlineStr"/>
      <c r="CQ187" t="inlineStr"/>
      <c r="CR187" t="inlineStr"/>
      <c r="CS187" t="inlineStr"/>
      <c r="CT187" t="inlineStr"/>
      <c r="CU187" t="inlineStr"/>
      <c r="CV187" t="inlineStr"/>
      <c r="CW187" t="inlineStr"/>
      <c r="CX187" t="inlineStr"/>
      <c r="CY187" t="inlineStr"/>
      <c r="CZ187" t="inlineStr"/>
      <c r="DA187" t="inlineStr"/>
      <c r="DB187" t="inlineStr"/>
      <c r="DC187" t="inlineStr"/>
      <c r="DD187" t="inlineStr"/>
      <c r="DE187" t="inlineStr"/>
      <c r="DF187" t="inlineStr"/>
      <c r="DG187" t="inlineStr"/>
      <c r="DH187" t="inlineStr"/>
      <c r="DI187" t="inlineStr"/>
      <c r="DJ187" t="inlineStr"/>
      <c r="DK187" t="inlineStr"/>
      <c r="DL187" t="inlineStr"/>
      <c r="DM187" t="inlineStr"/>
      <c r="DN187" t="inlineStr"/>
      <c r="DO187" t="inlineStr"/>
      <c r="DP187" t="inlineStr"/>
      <c r="DQ187" t="inlineStr"/>
      <c r="DR187" t="inlineStr"/>
      <c r="DS187" t="inlineStr"/>
      <c r="DT187" t="inlineStr"/>
      <c r="DU187" t="inlineStr"/>
      <c r="DV187" t="inlineStr"/>
      <c r="DW187" t="inlineStr"/>
      <c r="DX187" t="inlineStr"/>
      <c r="DY187" t="inlineStr"/>
      <c r="DZ187" t="inlineStr"/>
      <c r="EA187" t="inlineStr"/>
      <c r="EB187" t="inlineStr"/>
      <c r="EC187" t="inlineStr"/>
      <c r="ED187" t="inlineStr"/>
      <c r="EE187" t="inlineStr"/>
      <c r="EF187" t="inlineStr"/>
      <c r="EG187" t="inlineStr"/>
      <c r="EH187" t="inlineStr"/>
      <c r="EI187" t="inlineStr"/>
      <c r="EJ187" t="inlineStr"/>
      <c r="EK187" t="inlineStr"/>
      <c r="EL187" t="inlineStr"/>
      <c r="EM187" t="inlineStr"/>
      <c r="EN187" t="inlineStr"/>
      <c r="EO187" t="inlineStr"/>
      <c r="EP187" t="inlineStr"/>
      <c r="EQ187" t="inlineStr"/>
      <c r="ER187" t="inlineStr"/>
      <c r="ES187" t="inlineStr"/>
      <c r="ET187" t="inlineStr"/>
      <c r="EU187" t="inlineStr"/>
      <c r="EV187" t="inlineStr"/>
      <c r="EW187" t="inlineStr"/>
      <c r="EX187" t="inlineStr"/>
      <c r="EY187" t="inlineStr"/>
      <c r="EZ187" t="inlineStr"/>
      <c r="FA187" t="inlineStr"/>
      <c r="FB187" t="inlineStr"/>
      <c r="FC187" t="inlineStr"/>
      <c r="FD187" t="inlineStr"/>
      <c r="FE187" t="inlineStr"/>
      <c r="FF187" t="inlineStr"/>
      <c r="FG187" t="inlineStr"/>
      <c r="FH187" t="inlineStr"/>
      <c r="FI187" t="inlineStr"/>
      <c r="FJ187" t="inlineStr"/>
      <c r="FK187" t="inlineStr"/>
      <c r="FL187" t="inlineStr"/>
      <c r="FM187" t="inlineStr"/>
      <c r="FN187" t="inlineStr"/>
      <c r="FO187" t="inlineStr"/>
      <c r="FP187" t="inlineStr"/>
      <c r="FQ187" t="inlineStr"/>
      <c r="FR187" t="inlineStr"/>
      <c r="FS187" t="inlineStr"/>
      <c r="FT187" t="inlineStr"/>
      <c r="FU187" t="inlineStr"/>
      <c r="FV187" t="inlineStr"/>
      <c r="FW187" t="inlineStr"/>
      <c r="FX187" t="inlineStr"/>
      <c r="FY187" t="inlineStr"/>
      <c r="FZ187" t="inlineStr"/>
      <c r="GA187" t="inlineStr"/>
      <c r="GB187" t="inlineStr"/>
      <c r="GC187" t="inlineStr"/>
      <c r="GD187" t="inlineStr"/>
      <c r="GE187" t="inlineStr"/>
      <c r="GF187" t="inlineStr"/>
      <c r="GG187" t="inlineStr"/>
      <c r="GH187" t="inlineStr"/>
      <c r="GI187" t="inlineStr"/>
      <c r="GJ187" t="inlineStr"/>
      <c r="GK187" t="inlineStr"/>
      <c r="GL187" t="inlineStr"/>
      <c r="GM187" t="inlineStr"/>
      <c r="GN187" t="inlineStr"/>
      <c r="GO187" t="inlineStr"/>
      <c r="GP187" t="inlineStr"/>
      <c r="GQ187" t="inlineStr"/>
      <c r="GR187" t="inlineStr"/>
      <c r="GS187" t="inlineStr"/>
      <c r="GT187" t="inlineStr"/>
      <c r="GU187" t="inlineStr"/>
      <c r="GV187" t="inlineStr"/>
      <c r="GW187" t="inlineStr"/>
      <c r="GX187" t="inlineStr"/>
      <c r="GY187" t="inlineStr"/>
      <c r="GZ187" t="inlineStr"/>
      <c r="HA187" t="inlineStr"/>
      <c r="HB187" t="inlineStr"/>
      <c r="HC187" t="inlineStr"/>
      <c r="HD187" t="inlineStr"/>
      <c r="HE187" t="inlineStr"/>
      <c r="HF187" t="inlineStr"/>
      <c r="HG187" t="inlineStr"/>
      <c r="HH187" t="inlineStr"/>
      <c r="HI187" t="inlineStr"/>
      <c r="HJ187" t="inlineStr"/>
      <c r="HK187" t="inlineStr"/>
      <c r="HL187" t="inlineStr"/>
      <c r="HM187" t="inlineStr"/>
      <c r="HN187" t="inlineStr"/>
      <c r="HO187" t="inlineStr"/>
      <c r="HP187" t="inlineStr"/>
      <c r="HQ187" t="inlineStr"/>
      <c r="HR187" t="inlineStr"/>
      <c r="HS187" t="inlineStr"/>
      <c r="HT187" t="inlineStr"/>
      <c r="HU187" t="inlineStr"/>
      <c r="HV187" t="inlineStr"/>
      <c r="HW187" t="inlineStr"/>
      <c r="HX187" t="inlineStr"/>
      <c r="HY187" t="inlineStr"/>
      <c r="HZ187" t="inlineStr"/>
      <c r="IA187" t="inlineStr"/>
      <c r="IB187" t="inlineStr"/>
      <c r="IC187" t="inlineStr"/>
      <c r="ID187" t="inlineStr"/>
      <c r="IE187" t="inlineStr">
        <is>
          <t>924</t>
        </is>
      </c>
      <c r="IF187" t="inlineStr">
        <is>
          <t>News (924)</t>
        </is>
      </c>
      <c r="IG187" t="inlineStr"/>
      <c r="IH187" t="inlineStr"/>
      <c r="II187" t="inlineStr"/>
      <c r="IJ187" t="inlineStr"/>
      <c r="IK187" t="inlineStr"/>
      <c r="IL187" t="inlineStr"/>
      <c r="IM187" t="inlineStr"/>
      <c r="IN187" t="inlineStr"/>
      <c r="IO187" t="inlineStr"/>
      <c r="IP187" t="inlineStr"/>
      <c r="IQ187" t="inlineStr"/>
      <c r="IR187" t="inlineStr"/>
      <c r="IS187">
        <f>IF(input_content_type="",FALSE,ISNUMBER(SEARCH(","&amp;LOWER(input_content_type)&amp;",",","&amp;LOWER(F187)&amp;",")))</f>
        <v/>
      </c>
      <c r="IT187">
        <f>AND(IF(M187="",TRUE,IF(input_affiliations="",FALSE,SUMPRODUCT(--ISNUMBER(SEARCH(","&amp;TRIM(TEXTSPLIT(M187,","))&amp;",",","&amp;SUBSTITUTE(input_affiliations," ","")&amp;",")))&gt;0)),IF(O187="",TRUE,IF(input_affiliations="",FALSE,SUMPRODUCT(--ISNUMBER(SEARCH(","&amp;TRIM(TEXTSPLIT(O187,","))&amp;",",","&amp;SUBSTITUTE(input_affiliations," ","")&amp;",")))=COUNTA(TEXTSPLIT(O187,",")))),IF(Q187="",TRUE,IF(input_affiliations="",TRUE,SUMPRODUCT(--ISNUMBER(SEARCH(","&amp;TRIM(TEXTSPLIT(Q187,","))&amp;",",","&amp;SUBSTITUTE(input_affiliations," ","")&amp;",")))=0)),IF(S187="",TRUE,IF(input_affiliations="",FALSE,SUMPRODUCT(--ISNUMBER(SEARCH(","&amp;TRIM(TEXTSPLIT(S187,","))&amp;",",","&amp;SUBSTITUTE(input_affiliations," ","")&amp;",")))&gt;0)),IF(U187="",TRUE,IF(input_affiliations="",FALSE,SUMPRODUCT(--ISNUMBER(SEARCH(","&amp;TRIM(TEXTSPLIT(U187,","))&amp;",",","&amp;SUBSTITUTE(input_affiliations," ","")&amp;",")))=COUNTA(TEXTSPLIT(U187,",")))))</f>
        <v/>
      </c>
      <c r="IU187">
        <f>AND(IF(W187="",TRUE,IF(input_announcement_category="",FALSE,SUMPRODUCT(--ISNUMBER(SEARCH(","&amp;TRIM(TEXTSPLIT(W187,","))&amp;",",","&amp;SUBSTITUTE(input_announcement_category," ","")&amp;",")))&gt;0)),IF(Y187="",TRUE,IF(input_announcement_category="",FALSE,SUMPRODUCT(--ISNUMBER(SEARCH(","&amp;TRIM(TEXTSPLIT(Y187,","))&amp;",",","&amp;SUBSTITUTE(input_announcement_category," ","")&amp;",")))=COUNTA(TEXTSPLIT(Y187,",")))),IF(AA187="",TRUE,IF(input_announcement_category="",TRUE,SUMPRODUCT(--ISNUMBER(SEARCH(","&amp;TRIM(TEXTSPLIT(AA187,","))&amp;",",","&amp;SUBSTITUTE(input_announcement_category," ","")&amp;",")))=0)),IF(AC187="",TRUE,IF(input_announcement_category="",FALSE,SUMPRODUCT(--ISNUMBER(SEARCH(","&amp;TRIM(TEXTSPLIT(AC187,","))&amp;",",","&amp;SUBSTITUTE(input_announcement_category," ","")&amp;",")))&gt;0)),IF(AE187="",TRUE,IF(input_announcement_category="",FALSE,SUMPRODUCT(--ISNUMBER(SEARCH(","&amp;TRIM(TEXTSPLIT(AE187,","))&amp;",",","&amp;SUBSTITUTE(input_announcement_category," ","")&amp;",")))=COUNTA(TEXTSPLIT(AE187,",")))))</f>
        <v/>
      </c>
      <c r="IV187">
        <f>AND(IF(AG187="",TRUE,IF(input_area_of_focus="",FALSE,SUMPRODUCT(--ISNUMBER(SEARCH(","&amp;TRIM(TEXTSPLIT(AG187,","))&amp;",",","&amp;SUBSTITUTE(input_area_of_focus," ","")&amp;",")))&gt;0)),IF(AI187="",TRUE,IF(input_area_of_focus="",FALSE,SUMPRODUCT(--ISNUMBER(SEARCH(","&amp;TRIM(TEXTSPLIT(AI187,","))&amp;",",","&amp;SUBSTITUTE(input_area_of_focus," ","")&amp;",")))=COUNTA(TEXTSPLIT(AI187,",")))),IF(AK187="",TRUE,IF(input_area_of_focus="",TRUE,SUMPRODUCT(--ISNUMBER(SEARCH(","&amp;TRIM(TEXTSPLIT(AK187,","))&amp;",",","&amp;SUBSTITUTE(input_area_of_focus," ","")&amp;",")))=0)),IF(AM187="",TRUE,IF(input_area_of_focus="",FALSE,SUMPRODUCT(--ISNUMBER(SEARCH(","&amp;TRIM(TEXTSPLIT(AM187,","))&amp;",",","&amp;SUBSTITUTE(input_area_of_focus," ","")&amp;",")))&gt;0)),IF(AO187="",TRUE,IF(input_area_of_focus="",FALSE,SUMPRODUCT(--ISNUMBER(SEARCH(","&amp;TRIM(TEXTSPLIT(AO187,","))&amp;",",","&amp;SUBSTITUTE(input_area_of_focus," ","")&amp;",")))=COUNTA(TEXTSPLIT(AO187,",")))))</f>
        <v/>
      </c>
      <c r="IW187">
        <f>AND(IF(AQ187="",TRUE,IF(input_audience="",FALSE,SUMPRODUCT(--ISNUMBER(SEARCH(","&amp;TRIM(TEXTSPLIT(AQ187,","))&amp;",",","&amp;SUBSTITUTE(input_audience," ","")&amp;",")))&gt;0)),IF(AS187="",TRUE,IF(input_audience="",FALSE,SUMPRODUCT(--ISNUMBER(SEARCH(","&amp;TRIM(TEXTSPLIT(AS187,","))&amp;",",","&amp;SUBSTITUTE(input_audience," ","")&amp;",")))=COUNTA(TEXTSPLIT(AS187,",")))),IF(AU187="",TRUE,IF(input_audience="",TRUE,SUMPRODUCT(--ISNUMBER(SEARCH(","&amp;TRIM(TEXTSPLIT(AU187,","))&amp;",",","&amp;SUBSTITUTE(input_audience," ","")&amp;",")))=0)),IF(AW187="",TRUE,IF(input_audience="",FALSE,SUMPRODUCT(--ISNUMBER(SEARCH(","&amp;TRIM(TEXTSPLIT(AW187,","))&amp;",",","&amp;SUBSTITUTE(input_audience," ","")&amp;",")))&gt;0)),IF(AY187="",TRUE,IF(input_audience="",FALSE,SUMPRODUCT(--ISNUMBER(SEARCH(","&amp;TRIM(TEXTSPLIT(AY187,","))&amp;",",","&amp;SUBSTITUTE(input_audience," ","")&amp;",")))=COUNTA(TEXTSPLIT(AY187,",")))))</f>
        <v/>
      </c>
      <c r="IX187">
        <f>AND(IF(BA187="",TRUE,IF(input_challenge_opportunities="",FALSE,SUMPRODUCT(--ISNUMBER(SEARCH(","&amp;TRIM(TEXTSPLIT(BA187,","))&amp;",",","&amp;SUBSTITUTE(input_challenge_opportunities," ","")&amp;",")))&gt;0)),IF(BC187="",TRUE,IF(input_challenge_opportunities="",FALSE,SUMPRODUCT(--ISNUMBER(SEARCH(","&amp;TRIM(TEXTSPLIT(BC187,","))&amp;",",","&amp;SUBSTITUTE(input_challenge_opportunities," ","")&amp;",")))=COUNTA(TEXTSPLIT(BC187,",")))),IF(BE187="",TRUE,IF(input_challenge_opportunities="",TRUE,SUMPRODUCT(--ISNUMBER(SEARCH(","&amp;TRIM(TEXTSPLIT(BE187,","))&amp;",",","&amp;SUBSTITUTE(input_challenge_opportunities," ","")&amp;",")))=0)),IF(BG187="",TRUE,IF(input_challenge_opportunities="",FALSE,SUMPRODUCT(--ISNUMBER(SEARCH(","&amp;TRIM(TEXTSPLIT(BG187,","))&amp;",",","&amp;SUBSTITUTE(input_challenge_opportunities," ","")&amp;",")))&gt;0)),IF(BI187="",TRUE,IF(input_challenge_opportunities="",FALSE,SUMPRODUCT(--ISNUMBER(SEARCH(","&amp;TRIM(TEXTSPLIT(BI187,","))&amp;",",","&amp;SUBSTITUTE(input_challenge_opportunities," ","")&amp;",")))=COUNTA(TEXTSPLIT(BI187,",")))))</f>
        <v/>
      </c>
      <c r="IY187">
        <f>AND(IF(BK187="",TRUE,IF(input_context="",FALSE,SUMPRODUCT(--ISNUMBER(SEARCH(","&amp;TRIM(TEXTSPLIT(BK187,","))&amp;",",","&amp;SUBSTITUTE(input_context," ","")&amp;",")))&gt;0)),IF(BM187="",TRUE,IF(input_context="",FALSE,SUMPRODUCT(--ISNUMBER(SEARCH(","&amp;TRIM(TEXTSPLIT(BM187,","))&amp;",",","&amp;SUBSTITUTE(input_context," ","")&amp;",")))=COUNTA(TEXTSPLIT(BM187,",")))),IF(BO187="",TRUE,IF(input_context="",TRUE,SUMPRODUCT(--ISNUMBER(SEARCH(","&amp;TRIM(TEXTSPLIT(BO187,","))&amp;",",","&amp;SUBSTITUTE(input_context," ","")&amp;",")))=0)),IF(BQ187="",TRUE,IF(input_context="",FALSE,SUMPRODUCT(--ISNUMBER(SEARCH(","&amp;TRIM(TEXTSPLIT(BQ187,","))&amp;",",","&amp;SUBSTITUTE(input_context," ","")&amp;",")))&gt;0)),IF(BS187="",TRUE,IF(input_context="",FALSE,SUMPRODUCT(--ISNUMBER(SEARCH(","&amp;TRIM(TEXTSPLIT(BS187,","))&amp;",",","&amp;SUBSTITUTE(input_context," ","")&amp;",")))=COUNTA(TEXTSPLIT(BS187,",")))))</f>
        <v/>
      </c>
      <c r="IZ187">
        <f>AND(IF(BU187="",TRUE,IF(input_enews_announcement_type="",FALSE,SUMPRODUCT(--ISNUMBER(SEARCH(","&amp;TRIM(TEXTSPLIT(BU187,","))&amp;",",","&amp;SUBSTITUTE(input_enews_announcement_type," ","")&amp;",")))&gt;0)),IF(BW187="",TRUE,IF(input_enews_announcement_type="",FALSE,SUMPRODUCT(--ISNUMBER(SEARCH(","&amp;TRIM(TEXTSPLIT(BW187,","))&amp;",",","&amp;SUBSTITUTE(input_enews_announcement_type," ","")&amp;",")))=COUNTA(TEXTSPLIT(BW187,",")))),IF(BY187="",TRUE,IF(input_enews_announcement_type="",TRUE,SUMPRODUCT(--ISNUMBER(SEARCH(","&amp;TRIM(TEXTSPLIT(BY187,","))&amp;",",","&amp;SUBSTITUTE(input_enews_announcement_type," ","")&amp;",")))=0)),IF(CA187="",TRUE,IF(input_enews_announcement_type="",FALSE,SUMPRODUCT(--ISNUMBER(SEARCH(","&amp;TRIM(TEXTSPLIT(CA187,","))&amp;",",","&amp;SUBSTITUTE(input_enews_announcement_type," ","")&amp;",")))&gt;0)),IF(CC187="",TRUE,IF(input_enews_announcement_type="",FALSE,SUMPRODUCT(--ISNUMBER(SEARCH(","&amp;TRIM(TEXTSPLIT(CC187,","))&amp;",",","&amp;SUBSTITUTE(input_enews_announcement_type," ","")&amp;",")))=COUNTA(TEXTSPLIT(CC187,",")))))</f>
        <v/>
      </c>
      <c r="JA187">
        <f>AND(IF(CE187="",TRUE,IF(input_enews_audience="",FALSE,SUMPRODUCT(--ISNUMBER(SEARCH(","&amp;TRIM(TEXTSPLIT(CE187,","))&amp;",",","&amp;SUBSTITUTE(input_enews_audience," ","")&amp;",")))&gt;0)),IF(CG187="",TRUE,IF(input_enews_audience="",FALSE,SUMPRODUCT(--ISNUMBER(SEARCH(","&amp;TRIM(TEXTSPLIT(CG187,","))&amp;",",","&amp;SUBSTITUTE(input_enews_audience," ","")&amp;",")))=COUNTA(TEXTSPLIT(CG187,",")))),IF(CI187="",TRUE,IF(input_enews_audience="",TRUE,SUMPRODUCT(--ISNUMBER(SEARCH(","&amp;TRIM(TEXTSPLIT(CI187,","))&amp;",",","&amp;SUBSTITUTE(input_enews_audience," ","")&amp;",")))=0)),IF(CK187="",TRUE,IF(input_enews_audience="",FALSE,SUMPRODUCT(--ISNUMBER(SEARCH(","&amp;TRIM(TEXTSPLIT(CK187,","))&amp;",",","&amp;SUBSTITUTE(input_enews_audience," ","")&amp;",")))&gt;0)),IF(CM187="",TRUE,IF(input_enews_audience="",FALSE,SUMPRODUCT(--ISNUMBER(SEARCH(","&amp;TRIM(TEXTSPLIT(CM187,","))&amp;",",","&amp;SUBSTITUTE(input_enews_audience," ","")&amp;",")))=COUNTA(TEXTSPLIT(CM187,",")))))</f>
        <v/>
      </c>
      <c r="JB187">
        <f>AND(IF(CO187="",TRUE,IF(input_event_location="",FALSE,SUMPRODUCT(--ISNUMBER(SEARCH(","&amp;TRIM(TEXTSPLIT(CO187,","))&amp;",",","&amp;SUBSTITUTE(input_event_location," ","")&amp;",")))&gt;0)),IF(CQ187="",TRUE,IF(input_event_location="",FALSE,SUMPRODUCT(--ISNUMBER(SEARCH(","&amp;TRIM(TEXTSPLIT(CQ187,","))&amp;",",","&amp;SUBSTITUTE(input_event_location," ","")&amp;",")))=COUNTA(TEXTSPLIT(CQ187,",")))),IF(CS187="",TRUE,IF(input_event_location="",TRUE,SUMPRODUCT(--ISNUMBER(SEARCH(","&amp;TRIM(TEXTSPLIT(CS187,","))&amp;",",","&amp;SUBSTITUTE(input_event_location," ","")&amp;",")))=0)),IF(CU187="",TRUE,IF(input_event_location="",FALSE,SUMPRODUCT(--ISNUMBER(SEARCH(","&amp;TRIM(TEXTSPLIT(CU187,","))&amp;",",","&amp;SUBSTITUTE(input_event_location," ","")&amp;",")))&gt;0)),IF(CW187="",TRUE,IF(input_event_location="",FALSE,SUMPRODUCT(--ISNUMBER(SEARCH(","&amp;TRIM(TEXTSPLIT(CW187,","))&amp;",",","&amp;SUBSTITUTE(input_event_location," ","")&amp;",")))=COUNTA(TEXTSPLIT(CW187,",")))))</f>
        <v/>
      </c>
      <c r="JC187">
        <f>AND(IF(CY187="",TRUE,IF(input_event_type="",FALSE,SUMPRODUCT(--ISNUMBER(SEARCH(","&amp;TRIM(TEXTSPLIT(CY187,","))&amp;",",","&amp;SUBSTITUTE(input_event_type," ","")&amp;",")))&gt;0)),IF(DA187="",TRUE,IF(input_event_type="",FALSE,SUMPRODUCT(--ISNUMBER(SEARCH(","&amp;TRIM(TEXTSPLIT(DA187,","))&amp;",",","&amp;SUBSTITUTE(input_event_type," ","")&amp;",")))=COUNTA(TEXTSPLIT(DA187,",")))),IF(DC187="",TRUE,IF(input_event_type="",TRUE,SUMPRODUCT(--ISNUMBER(SEARCH(","&amp;TRIM(TEXTSPLIT(DC187,","))&amp;",",","&amp;SUBSTITUTE(input_event_type," ","")&amp;",")))=0)),IF(DE187="",TRUE,IF(input_event_type="",FALSE,SUMPRODUCT(--ISNUMBER(SEARCH(","&amp;TRIM(TEXTSPLIT(DE187,","))&amp;",",","&amp;SUBSTITUTE(input_event_type," ","")&amp;",")))&gt;0)),IF(DG187="",TRUE,IF(input_event_type="",FALSE,SUMPRODUCT(--ISNUMBER(SEARCH(","&amp;TRIM(TEXTSPLIT(DG187,","))&amp;",",","&amp;SUBSTITUTE(input_event_type," ","")&amp;",")))=COUNTA(TEXTSPLIT(DG187,",")))))</f>
        <v/>
      </c>
      <c r="JD187">
        <f>AND(IF(DI187="",TRUE,IF(input_executive_education_focus="",FALSE,SUMPRODUCT(--ISNUMBER(SEARCH(","&amp;TRIM(TEXTSPLIT(DI187,","))&amp;",",","&amp;SUBSTITUTE(input_executive_education_focus," ","")&amp;",")))&gt;0)),IF(DK187="",TRUE,IF(input_executive_education_focus="",FALSE,SUMPRODUCT(--ISNUMBER(SEARCH(","&amp;TRIM(TEXTSPLIT(DK187,","))&amp;",",","&amp;SUBSTITUTE(input_executive_education_focus," ","")&amp;",")))=COUNTA(TEXTSPLIT(DK187,",")))),IF(DM187="",TRUE,IF(input_executive_education_focus="",TRUE,SUMPRODUCT(--ISNUMBER(SEARCH(","&amp;TRIM(TEXTSPLIT(DM187,","))&amp;",",","&amp;SUBSTITUTE(input_executive_education_focus," ","")&amp;",")))=0)),IF(DO187="",TRUE,IF(input_executive_education_focus="",FALSE,SUMPRODUCT(--ISNUMBER(SEARCH(","&amp;TRIM(TEXTSPLIT(DO187,","))&amp;",",","&amp;SUBSTITUTE(input_executive_education_focus," ","")&amp;",")))&gt;0)),IF(DQ187="",TRUE,IF(input_executive_education_focus="",FALSE,SUMPRODUCT(--ISNUMBER(SEARCH(","&amp;TRIM(TEXTSPLIT(DQ187,","))&amp;",",","&amp;SUBSTITUTE(input_executive_education_focus," ","")&amp;",")))=COUNTA(TEXTSPLIT(DQ187,",")))))</f>
        <v/>
      </c>
      <c r="JE187">
        <f>AND(IF(DS187="",TRUE,IF(input_faculty_category="",FALSE,SUMPRODUCT(--ISNUMBER(SEARCH(","&amp;TRIM(TEXTSPLIT(DS187,","))&amp;",",","&amp;SUBSTITUTE(input_faculty_category," ","")&amp;",")))&gt;0)),IF(DU187="",TRUE,IF(input_faculty_category="",FALSE,SUMPRODUCT(--ISNUMBER(SEARCH(","&amp;TRIM(TEXTSPLIT(DU187,","))&amp;",",","&amp;SUBSTITUTE(input_faculty_category," ","")&amp;",")))=COUNTA(TEXTSPLIT(DU187,",")))),IF(DW187="",TRUE,IF(input_faculty_category="",TRUE,SUMPRODUCT(--ISNUMBER(SEARCH(","&amp;TRIM(TEXTSPLIT(DW187,","))&amp;",",","&amp;SUBSTITUTE(input_faculty_category," ","")&amp;",")))=0)),IF(DY187="",TRUE,IF(input_faculty_category="",FALSE,SUMPRODUCT(--ISNUMBER(SEARCH(","&amp;TRIM(TEXTSPLIT(DY187,","))&amp;",",","&amp;SUBSTITUTE(input_faculty_category," ","")&amp;",")))&gt;0)),IF(EA187="",TRUE,IF(input_faculty_category="",FALSE,SUMPRODUCT(--ISNUMBER(SEARCH(","&amp;TRIM(TEXTSPLIT(EA187,","))&amp;",",","&amp;SUBSTITUTE(input_faculty_category," ","")&amp;",")))=COUNTA(TEXTSPLIT(EA187,",")))))</f>
        <v/>
      </c>
      <c r="JF187">
        <f>AND(IF(EC187="",TRUE,IF(input_faculty_discipline="",FALSE,SUMPRODUCT(--ISNUMBER(SEARCH(","&amp;TRIM(TEXTSPLIT(EC187,","))&amp;",",","&amp;SUBSTITUTE(input_faculty_discipline," ","")&amp;",")))&gt;0)),IF(EE187="",TRUE,IF(input_faculty_discipline="",FALSE,SUMPRODUCT(--ISNUMBER(SEARCH(","&amp;TRIM(TEXTSPLIT(EE187,","))&amp;",",","&amp;SUBSTITUTE(input_faculty_discipline," ","")&amp;",")))=COUNTA(TEXTSPLIT(EE187,",")))),IF(EG187="",TRUE,IF(input_faculty_discipline="",TRUE,SUMPRODUCT(--ISNUMBER(SEARCH(","&amp;TRIM(TEXTSPLIT(EG187,","))&amp;",",","&amp;SUBSTITUTE(input_faculty_discipline," ","")&amp;",")))=0)),IF(EI187="",TRUE,IF(input_faculty_discipline="",FALSE,SUMPRODUCT(--ISNUMBER(SEARCH(","&amp;TRIM(TEXTSPLIT(EI187,","))&amp;",",","&amp;SUBSTITUTE(input_faculty_discipline," ","")&amp;",")))&gt;0)),IF(EK187="",TRUE,IF(input_faculty_discipline="",FALSE,SUMPRODUCT(--ISNUMBER(SEARCH(","&amp;TRIM(TEXTSPLIT(EK187,","))&amp;",",","&amp;SUBSTITUTE(input_faculty_discipline," ","")&amp;",")))=COUNTA(TEXTSPLIT(EK187,",")))))</f>
        <v/>
      </c>
      <c r="JG187">
        <f>AND(IF(EM187="",TRUE,IF(input_faculty_expertise="",FALSE,SUMPRODUCT(--ISNUMBER(SEARCH(","&amp;TRIM(TEXTSPLIT(EM187,","))&amp;",",","&amp;SUBSTITUTE(input_faculty_expertise," ","")&amp;",")))&gt;0)),IF(EO187="",TRUE,IF(input_faculty_expertise="",FALSE,SUMPRODUCT(--ISNUMBER(SEARCH(","&amp;TRIM(TEXTSPLIT(EO187,","))&amp;",",","&amp;SUBSTITUTE(input_faculty_expertise," ","")&amp;",")))=COUNTA(TEXTSPLIT(EO187,",")))),IF(EQ187="",TRUE,IF(input_faculty_expertise="",TRUE,SUMPRODUCT(--ISNUMBER(SEARCH(","&amp;TRIM(TEXTSPLIT(EQ187,","))&amp;",",","&amp;SUBSTITUTE(input_faculty_expertise," ","")&amp;",")))=0)),IF(ES187="",TRUE,IF(input_faculty_expertise="",FALSE,SUMPRODUCT(--ISNUMBER(SEARCH(","&amp;TRIM(TEXTSPLIT(ES187,","))&amp;",",","&amp;SUBSTITUTE(input_faculty_expertise," ","")&amp;",")))&gt;0)),IF(EU187="",TRUE,IF(input_faculty_expertise="",FALSE,SUMPRODUCT(--ISNUMBER(SEARCH(","&amp;TRIM(TEXTSPLIT(EU187,","))&amp;",",","&amp;SUBSTITUTE(input_faculty_expertise," ","")&amp;",")))=COUNTA(TEXTSPLIT(EU187,",")))))</f>
        <v/>
      </c>
      <c r="JH187">
        <f>AND(IF(EW187="",TRUE,IF(input_global_network_school="",FALSE,SUMPRODUCT(--ISNUMBER(SEARCH(","&amp;TRIM(TEXTSPLIT(EW187,","))&amp;",",","&amp;SUBSTITUTE(input_global_network_school," ","")&amp;",")))&gt;0)),IF(EY187="",TRUE,IF(input_global_network_school="",FALSE,SUMPRODUCT(--ISNUMBER(SEARCH(","&amp;TRIM(TEXTSPLIT(EY187,","))&amp;",",","&amp;SUBSTITUTE(input_global_network_school," ","")&amp;",")))=COUNTA(TEXTSPLIT(EY187,",")))),IF(FA187="",TRUE,IF(input_global_network_school="",TRUE,SUMPRODUCT(--ISNUMBER(SEARCH(","&amp;TRIM(TEXTSPLIT(FA187,","))&amp;",",","&amp;SUBSTITUTE(input_global_network_school," ","")&amp;",")))=0)),IF(FC187="",TRUE,IF(input_global_network_school="",FALSE,SUMPRODUCT(--ISNUMBER(SEARCH(","&amp;TRIM(TEXTSPLIT(FC187,","))&amp;",",","&amp;SUBSTITUTE(input_global_network_school," ","")&amp;",")))&gt;0)),IF(FE187="",TRUE,IF(input_global_network_school="",FALSE,SUMPRODUCT(--ISNUMBER(SEARCH(","&amp;TRIM(TEXTSPLIT(FE187,","))&amp;",",","&amp;SUBSTITUTE(input_global_network_school," ","")&amp;",")))=COUNTA(TEXTSPLIT(FE187,",")))))</f>
        <v/>
      </c>
      <c r="JI187">
        <f>AND(IF(FG187="",TRUE,IF(input_industry="",FALSE,SUMPRODUCT(--ISNUMBER(SEARCH(","&amp;TRIM(TEXTSPLIT(FG187,","))&amp;",",","&amp;SUBSTITUTE(input_industry," ","")&amp;",")))&gt;0)),IF(FI187="",TRUE,IF(input_industry="",FALSE,SUMPRODUCT(--ISNUMBER(SEARCH(","&amp;TRIM(TEXTSPLIT(FI187,","))&amp;",",","&amp;SUBSTITUTE(input_industry," ","")&amp;",")))=COUNTA(TEXTSPLIT(FI187,",")))),IF(FK187="",TRUE,IF(input_industry="",TRUE,SUMPRODUCT(--ISNUMBER(SEARCH(","&amp;TRIM(TEXTSPLIT(FK187,","))&amp;",",","&amp;SUBSTITUTE(input_industry," ","")&amp;",")))=0)),IF(FM187="",TRUE,IF(input_industry="",FALSE,SUMPRODUCT(--ISNUMBER(SEARCH(","&amp;TRIM(TEXTSPLIT(FM187,","))&amp;",",","&amp;SUBSTITUTE(input_industry," ","")&amp;",")))&gt;0)),IF(FO187="",TRUE,IF(input_industry="",FALSE,SUMPRODUCT(--ISNUMBER(SEARCH(","&amp;TRIM(TEXTSPLIT(FO187,","))&amp;",",","&amp;SUBSTITUTE(input_industry," ","")&amp;",")))=COUNTA(TEXTSPLIT(FO187,",")))))</f>
        <v/>
      </c>
      <c r="JJ187">
        <f>AND(IF(FQ187="",TRUE,IF(input_location="",FALSE,SUMPRODUCT(--ISNUMBER(SEARCH(","&amp;TRIM(TEXTSPLIT(FQ187,","))&amp;",",","&amp;SUBSTITUTE(input_location," ","")&amp;",")))&gt;0)),IF(FS187="",TRUE,IF(input_location="",FALSE,SUMPRODUCT(--ISNUMBER(SEARCH(","&amp;TRIM(TEXTSPLIT(FS187,","))&amp;",",","&amp;SUBSTITUTE(input_location," ","")&amp;",")))=COUNTA(TEXTSPLIT(FS187,",")))),IF(FU187="",TRUE,IF(input_location="",TRUE,SUMPRODUCT(--ISNUMBER(SEARCH(","&amp;TRIM(TEXTSPLIT(FU187,","))&amp;",",","&amp;SUBSTITUTE(input_location," ","")&amp;",")))=0)),IF(FW187="",TRUE,IF(input_location="",FALSE,SUMPRODUCT(--ISNUMBER(SEARCH(","&amp;TRIM(TEXTSPLIT(FW187,","))&amp;",",","&amp;SUBSTITUTE(input_location," ","")&amp;",")))&gt;0)),IF(FY187="",TRUE,IF(input_location="",FALSE,SUMPRODUCT(--ISNUMBER(SEARCH(","&amp;TRIM(TEXTSPLIT(FY187,","))&amp;",",","&amp;SUBSTITUTE(input_location," ","")&amp;",")))=COUNTA(TEXTSPLIT(FY187,",")))))</f>
        <v/>
      </c>
      <c r="JK187">
        <f>AND(IF(GA187="",TRUE,IF(input_modality="",FALSE,SUMPRODUCT(--ISNUMBER(SEARCH(","&amp;TRIM(TEXTSPLIT(GA187,","))&amp;",",","&amp;SUBSTITUTE(input_modality," ","")&amp;",")))&gt;0)),IF(GC187="",TRUE,IF(input_modality="",FALSE,SUMPRODUCT(--ISNUMBER(SEARCH(","&amp;TRIM(TEXTSPLIT(GC187,","))&amp;",",","&amp;SUBSTITUTE(input_modality," ","")&amp;",")))=COUNTA(TEXTSPLIT(GC187,",")))),IF(GE187="",TRUE,IF(input_modality="",TRUE,SUMPRODUCT(--ISNUMBER(SEARCH(","&amp;TRIM(TEXTSPLIT(GE187,","))&amp;",",","&amp;SUBSTITUTE(input_modality," ","")&amp;",")))=0)),IF(GG187="",TRUE,IF(input_modality="",FALSE,SUMPRODUCT(--ISNUMBER(SEARCH(","&amp;TRIM(TEXTSPLIT(GG187,","))&amp;",",","&amp;SUBSTITUTE(input_modality," ","")&amp;",")))&gt;0)),IF(GI187="",TRUE,IF(input_modality="",FALSE,SUMPRODUCT(--ISNUMBER(SEARCH(","&amp;TRIM(TEXTSPLIT(GI187,","))&amp;",",","&amp;SUBSTITUTE(input_modality," ","")&amp;",")))=COUNTA(TEXTSPLIT(GI187,",")))))</f>
        <v/>
      </c>
      <c r="JL187">
        <f>AND(IF(GK187="",TRUE,IF(input_organizer="",FALSE,SUMPRODUCT(--ISNUMBER(SEARCH(","&amp;TRIM(TEXTSPLIT(GK187,","))&amp;",",","&amp;SUBSTITUTE(input_organizer," ","")&amp;",")))&gt;0)),IF(GM187="",TRUE,IF(input_organizer="",FALSE,SUMPRODUCT(--ISNUMBER(SEARCH(","&amp;TRIM(TEXTSPLIT(GM187,","))&amp;",",","&amp;SUBSTITUTE(input_organizer," ","")&amp;",")))=COUNTA(TEXTSPLIT(GM187,",")))),IF(GO187="",TRUE,IF(input_organizer="",TRUE,SUMPRODUCT(--ISNUMBER(SEARCH(","&amp;TRIM(TEXTSPLIT(GO187,","))&amp;",",","&amp;SUBSTITUTE(input_organizer," ","")&amp;",")))=0)),IF(GQ187="",TRUE,IF(input_organizer="",FALSE,SUMPRODUCT(--ISNUMBER(SEARCH(","&amp;TRIM(TEXTSPLIT(GQ187,","))&amp;",",","&amp;SUBSTITUTE(input_organizer," ","")&amp;",")))&gt;0)),IF(GS187="",TRUE,IF(input_organizer="",FALSE,SUMPRODUCT(--ISNUMBER(SEARCH(","&amp;TRIM(TEXTSPLIT(GS187,","))&amp;",",","&amp;SUBSTITUTE(input_organizer," ","")&amp;",")))=COUNTA(TEXTSPLIT(GS187,",")))))</f>
        <v/>
      </c>
      <c r="JM187">
        <f>AND(IF(GU187="",TRUE,IF(input_profile_type="",FALSE,SUMPRODUCT(--ISNUMBER(SEARCH(","&amp;TRIM(TEXTSPLIT(GU187,","))&amp;",",","&amp;SUBSTITUTE(input_profile_type," ","")&amp;",")))&gt;0)),IF(GW187="",TRUE,IF(input_profile_type="",FALSE,SUMPRODUCT(--ISNUMBER(SEARCH(","&amp;TRIM(TEXTSPLIT(GW187,","))&amp;",",","&amp;SUBSTITUTE(input_profile_type," ","")&amp;",")))=COUNTA(TEXTSPLIT(GW187,",")))),IF(GY187="",TRUE,IF(input_profile_type="",TRUE,SUMPRODUCT(--ISNUMBER(SEARCH(","&amp;TRIM(TEXTSPLIT(GY187,","))&amp;",",","&amp;SUBSTITUTE(input_profile_type," ","")&amp;",")))=0)),IF(HA187="",TRUE,IF(input_profile_type="",FALSE,SUMPRODUCT(--ISNUMBER(SEARCH(","&amp;TRIM(TEXTSPLIT(HA187,","))&amp;",",","&amp;SUBSTITUTE(input_profile_type," ","")&amp;",")))&gt;0)),IF(HC187="",TRUE,IF(input_profile_type="",FALSE,SUMPRODUCT(--ISNUMBER(SEARCH(","&amp;TRIM(TEXTSPLIT(HC187,","))&amp;",",","&amp;SUBSTITUTE(input_profile_type," ","")&amp;",")))=COUNTA(TEXTSPLIT(HC187,",")))))</f>
        <v/>
      </c>
      <c r="JN187">
        <f>AND(IF(HE187="",TRUE,IF(input_program="",FALSE,SUMPRODUCT(--ISNUMBER(SEARCH(","&amp;TRIM(TEXTSPLIT(HE187,","))&amp;",",","&amp;SUBSTITUTE(input_program," ","")&amp;",")))&gt;0)),IF(HG187="",TRUE,IF(input_program="",FALSE,SUMPRODUCT(--ISNUMBER(SEARCH(","&amp;TRIM(TEXTSPLIT(HG187,","))&amp;",",","&amp;SUBSTITUTE(input_program," ","")&amp;",")))=COUNTA(TEXTSPLIT(HG187,",")))),IF(HI187="",TRUE,IF(input_program="",TRUE,SUMPRODUCT(--ISNUMBER(SEARCH(","&amp;TRIM(TEXTSPLIT(HI187,","))&amp;",",","&amp;SUBSTITUTE(input_program," ","")&amp;",")))=0)),IF(HK187="",TRUE,IF(input_program="",FALSE,SUMPRODUCT(--ISNUMBER(SEARCH(","&amp;TRIM(TEXTSPLIT(HK187,","))&amp;",",","&amp;SUBSTITUTE(input_program," ","")&amp;",")))&gt;0)),IF(HM187="",TRUE,IF(input_program="",FALSE,SUMPRODUCT(--ISNUMBER(SEARCH(","&amp;TRIM(TEXTSPLIT(HM187,","))&amp;",",","&amp;SUBSTITUTE(input_program," ","")&amp;",")))=COUNTA(TEXTSPLIT(HM187,",")))))</f>
        <v/>
      </c>
      <c r="JO187">
        <f>AND(IF(HO187="",TRUE,IF(input_story_categories="",FALSE,SUMPRODUCT(--ISNUMBER(SEARCH(","&amp;TRIM(TEXTSPLIT(HO187,","))&amp;",",","&amp;SUBSTITUTE(input_story_categories," ","")&amp;",")))&gt;0)),IF(HQ187="",TRUE,IF(input_story_categories="",FALSE,SUMPRODUCT(--ISNUMBER(SEARCH(","&amp;TRIM(TEXTSPLIT(HQ187,","))&amp;",",","&amp;SUBSTITUTE(input_story_categories," ","")&amp;",")))=COUNTA(TEXTSPLIT(HQ187,",")))),IF(HS187="",TRUE,IF(input_story_categories="",TRUE,SUMPRODUCT(--ISNUMBER(SEARCH(","&amp;TRIM(TEXTSPLIT(HS187,","))&amp;",",","&amp;SUBSTITUTE(input_story_categories," ","")&amp;",")))=0)),IF(HU187="",TRUE,IF(input_story_categories="",FALSE,SUMPRODUCT(--ISNUMBER(SEARCH(","&amp;TRIM(TEXTSPLIT(HU187,","))&amp;",",","&amp;SUBSTITUTE(input_story_categories," ","")&amp;",")))&gt;0)),IF(HW187="",TRUE,IF(input_story_categories="",FALSE,SUMPRODUCT(--ISNUMBER(SEARCH(","&amp;TRIM(TEXTSPLIT(HW187,","))&amp;",",","&amp;SUBSTITUTE(input_story_categories," ","")&amp;",")))=COUNTA(TEXTSPLIT(HW187,",")))))</f>
        <v/>
      </c>
      <c r="JP187">
        <f>AND(IF(HY187="",TRUE,IF(input_story_type="",FALSE,SUMPRODUCT(--ISNUMBER(SEARCH(","&amp;TRIM(TEXTSPLIT(HY187,","))&amp;",",","&amp;SUBSTITUTE(input_story_type," ","")&amp;",")))&gt;0)),IF(IA187="",TRUE,IF(input_story_type="",FALSE,SUMPRODUCT(--ISNUMBER(SEARCH(","&amp;TRIM(TEXTSPLIT(IA187,","))&amp;",",","&amp;SUBSTITUTE(input_story_type," ","")&amp;",")))=COUNTA(TEXTSPLIT(IA187,",")))),IF(IC187="",TRUE,IF(input_story_type="",TRUE,SUMPRODUCT(--ISNUMBER(SEARCH(","&amp;TRIM(TEXTSPLIT(IC187,","))&amp;",",","&amp;SUBSTITUTE(input_story_type," ","")&amp;",")))=0)),IF(IE187="",TRUE,IF(input_story_type="",FALSE,SUMPRODUCT(--ISNUMBER(SEARCH(","&amp;TRIM(TEXTSPLIT(IE187,","))&amp;",",","&amp;SUBSTITUTE(input_story_type," ","")&amp;",")))&gt;0)),IF(IG187="",TRUE,IF(input_story_type="",FALSE,SUMPRODUCT(--ISNUMBER(SEARCH(","&amp;TRIM(TEXTSPLIT(IG187,","))&amp;",",","&amp;SUBSTITUTE(input_story_type," ","")&amp;",")))=COUNTA(TEXTSPLIT(IG187,",")))))</f>
        <v/>
      </c>
      <c r="JQ187">
        <f>AND(IF(II187="",TRUE,IF(input_topics="",FALSE,SUMPRODUCT(--ISNUMBER(SEARCH(","&amp;TRIM(TEXTSPLIT(II187,","))&amp;",",","&amp;SUBSTITUTE(input_topics," ","")&amp;",")))&gt;0)),IF(IK187="",TRUE,IF(input_topics="",FALSE,SUMPRODUCT(--ISNUMBER(SEARCH(","&amp;TRIM(TEXTSPLIT(IK187,","))&amp;",",","&amp;SUBSTITUTE(input_topics," ","")&amp;",")))=COUNTA(TEXTSPLIT(IK187,",")))),IF(IM187="",TRUE,IF(input_topics="",TRUE,SUMPRODUCT(--ISNUMBER(SEARCH(","&amp;TRIM(TEXTSPLIT(IM187,","))&amp;",",","&amp;SUBSTITUTE(input_topics," ","")&amp;",")))=0)),IF(IO187="",TRUE,IF(input_topics="",FALSE,SUMPRODUCT(--ISNUMBER(SEARCH(","&amp;TRIM(TEXTSPLIT(IO187,","))&amp;",",","&amp;SUBSTITUTE(input_topics," ","")&amp;",")))&gt;0)),IF(IQ187="",TRUE,IF(input_topics="",FALSE,SUMPRODUCT(--ISNUMBER(SEARCH(","&amp;TRIM(TEXTSPLIT(IQ187,","))&amp;",",","&amp;SUBSTITUTE(input_topics," ","")&amp;",")))=COUNTA(TEXTSPLIT(IQ187,",")))))</f>
        <v/>
      </c>
    </row>
    <row r="188">
      <c r="A188" s="4">
        <f>IF(NOT(IS188),"Excluded",IF(AND(IT188,IU188,IV188,IW188,IX188,IY188,IZ188,JA188,JB188,JC188,JD188,JE188,JF188,JG188,JH188,JI188,JJ188,JK188,JL188,JM188,JN188,JO188,JP188,JQ188),IF(I188&gt;0,"Eligible but limited","Will appear"),"Excluded"))</f>
        <v/>
      </c>
      <c r="B188" s="4" t="inlineStr">
        <is>
          <t>Related stories on story pages</t>
        </is>
      </c>
      <c r="C188" s="4" t="inlineStr">
        <is>
          <t>/news/2019/11/for-an-alumnus-committed-to-making-difference-jacobs-fellowship-expands-on-yale-som-s-impact</t>
        </is>
      </c>
      <c r="D188" s="4" t="inlineStr">
        <is>
          <t>/news/2019/11/for-an-alumnus-committed-to-making-difference-jacobs-fellowship-expands-on-yale-som-s-impact</t>
        </is>
      </c>
      <c r="E188" s="4" t="n">
        <v>1</v>
      </c>
      <c r="F188" s="4" t="inlineStr">
        <is>
          <t>story</t>
        </is>
      </c>
      <c r="G188" s="4" t="inlineStr">
        <is>
          <t>stories_teaser_cards</t>
        </is>
      </c>
      <c r="H188" s="4" t="inlineStr">
        <is>
          <t>embed_all</t>
        </is>
      </c>
      <c r="I188" s="4" t="n">
        <v>3</v>
      </c>
      <c r="J188" s="4" t="inlineStr">
        <is>
          <t>Template logic</t>
        </is>
      </c>
      <c r="K188" s="4" t="inlineStr">
        <is>
          <t>Grouped surface</t>
        </is>
      </c>
      <c r="L188" s="4" t="inlineStr">
        <is>
          <t>Content type: story; Context uses Courses Context: Master of Advanced Management (932); Context uses Story Type: News (924); Limited to 3 item(s); Source: Template logic</t>
        </is>
      </c>
      <c r="M188" t="inlineStr"/>
      <c r="N188" t="inlineStr"/>
      <c r="O188" t="inlineStr"/>
      <c r="P188" t="inlineStr"/>
      <c r="Q188" t="inlineStr"/>
      <c r="R188" t="inlineStr"/>
      <c r="S188" t="inlineStr"/>
      <c r="T188" t="inlineStr"/>
      <c r="U188" t="inlineStr"/>
      <c r="V188" t="inlineStr"/>
      <c r="W188" t="inlineStr"/>
      <c r="X188" t="inlineStr"/>
      <c r="Y188" t="inlineStr"/>
      <c r="Z188" t="inlineStr"/>
      <c r="AA188" t="inlineStr"/>
      <c r="AB188" t="inlineStr"/>
      <c r="AC188" t="inlineStr"/>
      <c r="AD188" t="inlineStr"/>
      <c r="AE188" t="inlineStr"/>
      <c r="AF188" t="inlineStr"/>
      <c r="AG188" t="inlineStr"/>
      <c r="AH188" t="inlineStr"/>
      <c r="AI188" t="inlineStr"/>
      <c r="AJ188" t="inlineStr"/>
      <c r="AK188" t="inlineStr"/>
      <c r="AL188" t="inlineStr"/>
      <c r="AM188" t="inlineStr"/>
      <c r="AN188" t="inlineStr"/>
      <c r="AO188" t="inlineStr"/>
      <c r="AP188" t="inlineStr"/>
      <c r="AQ188" t="inlineStr"/>
      <c r="AR188" t="inlineStr"/>
      <c r="AS188" t="inlineStr"/>
      <c r="AT188" t="inlineStr"/>
      <c r="AU188" t="inlineStr"/>
      <c r="AV188" t="inlineStr"/>
      <c r="AW188" t="inlineStr"/>
      <c r="AX188" t="inlineStr"/>
      <c r="AY188" t="inlineStr"/>
      <c r="AZ188" t="inlineStr"/>
      <c r="BA188" t="inlineStr"/>
      <c r="BB188" t="inlineStr"/>
      <c r="BC188" t="inlineStr"/>
      <c r="BD188" t="inlineStr"/>
      <c r="BE188" t="inlineStr"/>
      <c r="BF188" t="inlineStr"/>
      <c r="BG188" t="inlineStr"/>
      <c r="BH188" t="inlineStr"/>
      <c r="BI188" t="inlineStr"/>
      <c r="BJ188" t="inlineStr"/>
      <c r="BK188" t="inlineStr"/>
      <c r="BL188" t="inlineStr"/>
      <c r="BM188" t="inlineStr"/>
      <c r="BN188" t="inlineStr"/>
      <c r="BO188" t="inlineStr"/>
      <c r="BP188" t="inlineStr"/>
      <c r="BQ188" t="inlineStr">
        <is>
          <t>932</t>
        </is>
      </c>
      <c r="BR188" t="inlineStr">
        <is>
          <t>Master of Advanced Management (932)</t>
        </is>
      </c>
      <c r="BS188" t="inlineStr"/>
      <c r="BT188" t="inlineStr"/>
      <c r="BU188" t="inlineStr"/>
      <c r="BV188" t="inlineStr"/>
      <c r="BW188" t="inlineStr"/>
      <c r="BX188" t="inlineStr"/>
      <c r="BY188" t="inlineStr"/>
      <c r="BZ188" t="inlineStr"/>
      <c r="CA188" t="inlineStr"/>
      <c r="CB188" t="inlineStr"/>
      <c r="CC188" t="inlineStr"/>
      <c r="CD188" t="inlineStr"/>
      <c r="CE188" t="inlineStr"/>
      <c r="CF188" t="inlineStr"/>
      <c r="CG188" t="inlineStr"/>
      <c r="CH188" t="inlineStr"/>
      <c r="CI188" t="inlineStr"/>
      <c r="CJ188" t="inlineStr"/>
      <c r="CK188" t="inlineStr"/>
      <c r="CL188" t="inlineStr"/>
      <c r="CM188" t="inlineStr"/>
      <c r="CN188" t="inlineStr"/>
      <c r="CO188" t="inlineStr"/>
      <c r="CP188" t="inlineStr"/>
      <c r="CQ188" t="inlineStr"/>
      <c r="CR188" t="inlineStr"/>
      <c r="CS188" t="inlineStr"/>
      <c r="CT188" t="inlineStr"/>
      <c r="CU188" t="inlineStr"/>
      <c r="CV188" t="inlineStr"/>
      <c r="CW188" t="inlineStr"/>
      <c r="CX188" t="inlineStr"/>
      <c r="CY188" t="inlineStr"/>
      <c r="CZ188" t="inlineStr"/>
      <c r="DA188" t="inlineStr"/>
      <c r="DB188" t="inlineStr"/>
      <c r="DC188" t="inlineStr"/>
      <c r="DD188" t="inlineStr"/>
      <c r="DE188" t="inlineStr"/>
      <c r="DF188" t="inlineStr"/>
      <c r="DG188" t="inlineStr"/>
      <c r="DH188" t="inlineStr"/>
      <c r="DI188" t="inlineStr"/>
      <c r="DJ188" t="inlineStr"/>
      <c r="DK188" t="inlineStr"/>
      <c r="DL188" t="inlineStr"/>
      <c r="DM188" t="inlineStr"/>
      <c r="DN188" t="inlineStr"/>
      <c r="DO188" t="inlineStr"/>
      <c r="DP188" t="inlineStr"/>
      <c r="DQ188" t="inlineStr"/>
      <c r="DR188" t="inlineStr"/>
      <c r="DS188" t="inlineStr"/>
      <c r="DT188" t="inlineStr"/>
      <c r="DU188" t="inlineStr"/>
      <c r="DV188" t="inlineStr"/>
      <c r="DW188" t="inlineStr"/>
      <c r="DX188" t="inlineStr"/>
      <c r="DY188" t="inlineStr"/>
      <c r="DZ188" t="inlineStr"/>
      <c r="EA188" t="inlineStr"/>
      <c r="EB188" t="inlineStr"/>
      <c r="EC188" t="inlineStr"/>
      <c r="ED188" t="inlineStr"/>
      <c r="EE188" t="inlineStr"/>
      <c r="EF188" t="inlineStr"/>
      <c r="EG188" t="inlineStr"/>
      <c r="EH188" t="inlineStr"/>
      <c r="EI188" t="inlineStr"/>
      <c r="EJ188" t="inlineStr"/>
      <c r="EK188" t="inlineStr"/>
      <c r="EL188" t="inlineStr"/>
      <c r="EM188" t="inlineStr"/>
      <c r="EN188" t="inlineStr"/>
      <c r="EO188" t="inlineStr"/>
      <c r="EP188" t="inlineStr"/>
      <c r="EQ188" t="inlineStr"/>
      <c r="ER188" t="inlineStr"/>
      <c r="ES188" t="inlineStr"/>
      <c r="ET188" t="inlineStr"/>
      <c r="EU188" t="inlineStr"/>
      <c r="EV188" t="inlineStr"/>
      <c r="EW188" t="inlineStr"/>
      <c r="EX188" t="inlineStr"/>
      <c r="EY188" t="inlineStr"/>
      <c r="EZ188" t="inlineStr"/>
      <c r="FA188" t="inlineStr"/>
      <c r="FB188" t="inlineStr"/>
      <c r="FC188" t="inlineStr"/>
      <c r="FD188" t="inlineStr"/>
      <c r="FE188" t="inlineStr"/>
      <c r="FF188" t="inlineStr"/>
      <c r="FG188" t="inlineStr"/>
      <c r="FH188" t="inlineStr"/>
      <c r="FI188" t="inlineStr"/>
      <c r="FJ188" t="inlineStr"/>
      <c r="FK188" t="inlineStr"/>
      <c r="FL188" t="inlineStr"/>
      <c r="FM188" t="inlineStr"/>
      <c r="FN188" t="inlineStr"/>
      <c r="FO188" t="inlineStr"/>
      <c r="FP188" t="inlineStr"/>
      <c r="FQ188" t="inlineStr"/>
      <c r="FR188" t="inlineStr"/>
      <c r="FS188" t="inlineStr"/>
      <c r="FT188" t="inlineStr"/>
      <c r="FU188" t="inlineStr"/>
      <c r="FV188" t="inlineStr"/>
      <c r="FW188" t="inlineStr"/>
      <c r="FX188" t="inlineStr"/>
      <c r="FY188" t="inlineStr"/>
      <c r="FZ188" t="inlineStr"/>
      <c r="GA188" t="inlineStr"/>
      <c r="GB188" t="inlineStr"/>
      <c r="GC188" t="inlineStr"/>
      <c r="GD188" t="inlineStr"/>
      <c r="GE188" t="inlineStr"/>
      <c r="GF188" t="inlineStr"/>
      <c r="GG188" t="inlineStr"/>
      <c r="GH188" t="inlineStr"/>
      <c r="GI188" t="inlineStr"/>
      <c r="GJ188" t="inlineStr"/>
      <c r="GK188" t="inlineStr"/>
      <c r="GL188" t="inlineStr"/>
      <c r="GM188" t="inlineStr"/>
      <c r="GN188" t="inlineStr"/>
      <c r="GO188" t="inlineStr"/>
      <c r="GP188" t="inlineStr"/>
      <c r="GQ188" t="inlineStr"/>
      <c r="GR188" t="inlineStr"/>
      <c r="GS188" t="inlineStr"/>
      <c r="GT188" t="inlineStr"/>
      <c r="GU188" t="inlineStr"/>
      <c r="GV188" t="inlineStr"/>
      <c r="GW188" t="inlineStr"/>
      <c r="GX188" t="inlineStr"/>
      <c r="GY188" t="inlineStr"/>
      <c r="GZ188" t="inlineStr"/>
      <c r="HA188" t="inlineStr"/>
      <c r="HB188" t="inlineStr"/>
      <c r="HC188" t="inlineStr"/>
      <c r="HD188" t="inlineStr"/>
      <c r="HE188" t="inlineStr"/>
      <c r="HF188" t="inlineStr"/>
      <c r="HG188" t="inlineStr"/>
      <c r="HH188" t="inlineStr"/>
      <c r="HI188" t="inlineStr"/>
      <c r="HJ188" t="inlineStr"/>
      <c r="HK188" t="inlineStr"/>
      <c r="HL188" t="inlineStr"/>
      <c r="HM188" t="inlineStr"/>
      <c r="HN188" t="inlineStr"/>
      <c r="HO188" t="inlineStr"/>
      <c r="HP188" t="inlineStr"/>
      <c r="HQ188" t="inlineStr"/>
      <c r="HR188" t="inlineStr"/>
      <c r="HS188" t="inlineStr"/>
      <c r="HT188" t="inlineStr"/>
      <c r="HU188" t="inlineStr"/>
      <c r="HV188" t="inlineStr"/>
      <c r="HW188" t="inlineStr"/>
      <c r="HX188" t="inlineStr"/>
      <c r="HY188" t="inlineStr"/>
      <c r="HZ188" t="inlineStr"/>
      <c r="IA188" t="inlineStr"/>
      <c r="IB188" t="inlineStr"/>
      <c r="IC188" t="inlineStr"/>
      <c r="ID188" t="inlineStr"/>
      <c r="IE188" t="inlineStr">
        <is>
          <t>924</t>
        </is>
      </c>
      <c r="IF188" t="inlineStr">
        <is>
          <t>News (924)</t>
        </is>
      </c>
      <c r="IG188" t="inlineStr"/>
      <c r="IH188" t="inlineStr"/>
      <c r="II188" t="inlineStr"/>
      <c r="IJ188" t="inlineStr"/>
      <c r="IK188" t="inlineStr"/>
      <c r="IL188" t="inlineStr"/>
      <c r="IM188" t="inlineStr"/>
      <c r="IN188" t="inlineStr"/>
      <c r="IO188" t="inlineStr"/>
      <c r="IP188" t="inlineStr"/>
      <c r="IQ188" t="inlineStr"/>
      <c r="IR188" t="inlineStr"/>
      <c r="IS188">
        <f>IF(input_content_type="",FALSE,ISNUMBER(SEARCH(","&amp;LOWER(input_content_type)&amp;",",","&amp;LOWER(F188)&amp;",")))</f>
        <v/>
      </c>
      <c r="IT188">
        <f>AND(IF(M188="",TRUE,IF(input_affiliations="",FALSE,SUMPRODUCT(--ISNUMBER(SEARCH(","&amp;TRIM(TEXTSPLIT(M188,","))&amp;",",","&amp;SUBSTITUTE(input_affiliations," ","")&amp;",")))&gt;0)),IF(O188="",TRUE,IF(input_affiliations="",FALSE,SUMPRODUCT(--ISNUMBER(SEARCH(","&amp;TRIM(TEXTSPLIT(O188,","))&amp;",",","&amp;SUBSTITUTE(input_affiliations," ","")&amp;",")))=COUNTA(TEXTSPLIT(O188,",")))),IF(Q188="",TRUE,IF(input_affiliations="",TRUE,SUMPRODUCT(--ISNUMBER(SEARCH(","&amp;TRIM(TEXTSPLIT(Q188,","))&amp;",",","&amp;SUBSTITUTE(input_affiliations," ","")&amp;",")))=0)),IF(S188="",TRUE,IF(input_affiliations="",FALSE,SUMPRODUCT(--ISNUMBER(SEARCH(","&amp;TRIM(TEXTSPLIT(S188,","))&amp;",",","&amp;SUBSTITUTE(input_affiliations," ","")&amp;",")))&gt;0)),IF(U188="",TRUE,IF(input_affiliations="",FALSE,SUMPRODUCT(--ISNUMBER(SEARCH(","&amp;TRIM(TEXTSPLIT(U188,","))&amp;",",","&amp;SUBSTITUTE(input_affiliations," ","")&amp;",")))=COUNTA(TEXTSPLIT(U188,",")))))</f>
        <v/>
      </c>
      <c r="IU188">
        <f>AND(IF(W188="",TRUE,IF(input_announcement_category="",FALSE,SUMPRODUCT(--ISNUMBER(SEARCH(","&amp;TRIM(TEXTSPLIT(W188,","))&amp;",",","&amp;SUBSTITUTE(input_announcement_category," ","")&amp;",")))&gt;0)),IF(Y188="",TRUE,IF(input_announcement_category="",FALSE,SUMPRODUCT(--ISNUMBER(SEARCH(","&amp;TRIM(TEXTSPLIT(Y188,","))&amp;",",","&amp;SUBSTITUTE(input_announcement_category," ","")&amp;",")))=COUNTA(TEXTSPLIT(Y188,",")))),IF(AA188="",TRUE,IF(input_announcement_category="",TRUE,SUMPRODUCT(--ISNUMBER(SEARCH(","&amp;TRIM(TEXTSPLIT(AA188,","))&amp;",",","&amp;SUBSTITUTE(input_announcement_category," ","")&amp;",")))=0)),IF(AC188="",TRUE,IF(input_announcement_category="",FALSE,SUMPRODUCT(--ISNUMBER(SEARCH(","&amp;TRIM(TEXTSPLIT(AC188,","))&amp;",",","&amp;SUBSTITUTE(input_announcement_category," ","")&amp;",")))&gt;0)),IF(AE188="",TRUE,IF(input_announcement_category="",FALSE,SUMPRODUCT(--ISNUMBER(SEARCH(","&amp;TRIM(TEXTSPLIT(AE188,","))&amp;",",","&amp;SUBSTITUTE(input_announcement_category," ","")&amp;",")))=COUNTA(TEXTSPLIT(AE188,",")))))</f>
        <v/>
      </c>
      <c r="IV188">
        <f>AND(IF(AG188="",TRUE,IF(input_area_of_focus="",FALSE,SUMPRODUCT(--ISNUMBER(SEARCH(","&amp;TRIM(TEXTSPLIT(AG188,","))&amp;",",","&amp;SUBSTITUTE(input_area_of_focus," ","")&amp;",")))&gt;0)),IF(AI188="",TRUE,IF(input_area_of_focus="",FALSE,SUMPRODUCT(--ISNUMBER(SEARCH(","&amp;TRIM(TEXTSPLIT(AI188,","))&amp;",",","&amp;SUBSTITUTE(input_area_of_focus," ","")&amp;",")))=COUNTA(TEXTSPLIT(AI188,",")))),IF(AK188="",TRUE,IF(input_area_of_focus="",TRUE,SUMPRODUCT(--ISNUMBER(SEARCH(","&amp;TRIM(TEXTSPLIT(AK188,","))&amp;",",","&amp;SUBSTITUTE(input_area_of_focus," ","")&amp;",")))=0)),IF(AM188="",TRUE,IF(input_area_of_focus="",FALSE,SUMPRODUCT(--ISNUMBER(SEARCH(","&amp;TRIM(TEXTSPLIT(AM188,","))&amp;",",","&amp;SUBSTITUTE(input_area_of_focus," ","")&amp;",")))&gt;0)),IF(AO188="",TRUE,IF(input_area_of_focus="",FALSE,SUMPRODUCT(--ISNUMBER(SEARCH(","&amp;TRIM(TEXTSPLIT(AO188,","))&amp;",",","&amp;SUBSTITUTE(input_area_of_focus," ","")&amp;",")))=COUNTA(TEXTSPLIT(AO188,",")))))</f>
        <v/>
      </c>
      <c r="IW188">
        <f>AND(IF(AQ188="",TRUE,IF(input_audience="",FALSE,SUMPRODUCT(--ISNUMBER(SEARCH(","&amp;TRIM(TEXTSPLIT(AQ188,","))&amp;",",","&amp;SUBSTITUTE(input_audience," ","")&amp;",")))&gt;0)),IF(AS188="",TRUE,IF(input_audience="",FALSE,SUMPRODUCT(--ISNUMBER(SEARCH(","&amp;TRIM(TEXTSPLIT(AS188,","))&amp;",",","&amp;SUBSTITUTE(input_audience," ","")&amp;",")))=COUNTA(TEXTSPLIT(AS188,",")))),IF(AU188="",TRUE,IF(input_audience="",TRUE,SUMPRODUCT(--ISNUMBER(SEARCH(","&amp;TRIM(TEXTSPLIT(AU188,","))&amp;",",","&amp;SUBSTITUTE(input_audience," ","")&amp;",")))=0)),IF(AW188="",TRUE,IF(input_audience="",FALSE,SUMPRODUCT(--ISNUMBER(SEARCH(","&amp;TRIM(TEXTSPLIT(AW188,","))&amp;",",","&amp;SUBSTITUTE(input_audience," ","")&amp;",")))&gt;0)),IF(AY188="",TRUE,IF(input_audience="",FALSE,SUMPRODUCT(--ISNUMBER(SEARCH(","&amp;TRIM(TEXTSPLIT(AY188,","))&amp;",",","&amp;SUBSTITUTE(input_audience," ","")&amp;",")))=COUNTA(TEXTSPLIT(AY188,",")))))</f>
        <v/>
      </c>
      <c r="IX188">
        <f>AND(IF(BA188="",TRUE,IF(input_challenge_opportunities="",FALSE,SUMPRODUCT(--ISNUMBER(SEARCH(","&amp;TRIM(TEXTSPLIT(BA188,","))&amp;",",","&amp;SUBSTITUTE(input_challenge_opportunities," ","")&amp;",")))&gt;0)),IF(BC188="",TRUE,IF(input_challenge_opportunities="",FALSE,SUMPRODUCT(--ISNUMBER(SEARCH(","&amp;TRIM(TEXTSPLIT(BC188,","))&amp;",",","&amp;SUBSTITUTE(input_challenge_opportunities," ","")&amp;",")))=COUNTA(TEXTSPLIT(BC188,",")))),IF(BE188="",TRUE,IF(input_challenge_opportunities="",TRUE,SUMPRODUCT(--ISNUMBER(SEARCH(","&amp;TRIM(TEXTSPLIT(BE188,","))&amp;",",","&amp;SUBSTITUTE(input_challenge_opportunities," ","")&amp;",")))=0)),IF(BG188="",TRUE,IF(input_challenge_opportunities="",FALSE,SUMPRODUCT(--ISNUMBER(SEARCH(","&amp;TRIM(TEXTSPLIT(BG188,","))&amp;",",","&amp;SUBSTITUTE(input_challenge_opportunities," ","")&amp;",")))&gt;0)),IF(BI188="",TRUE,IF(input_challenge_opportunities="",FALSE,SUMPRODUCT(--ISNUMBER(SEARCH(","&amp;TRIM(TEXTSPLIT(BI188,","))&amp;",",","&amp;SUBSTITUTE(input_challenge_opportunities," ","")&amp;",")))=COUNTA(TEXTSPLIT(BI188,",")))))</f>
        <v/>
      </c>
      <c r="IY188">
        <f>AND(IF(BK188="",TRUE,IF(input_context="",FALSE,SUMPRODUCT(--ISNUMBER(SEARCH(","&amp;TRIM(TEXTSPLIT(BK188,","))&amp;",",","&amp;SUBSTITUTE(input_context," ","")&amp;",")))&gt;0)),IF(BM188="",TRUE,IF(input_context="",FALSE,SUMPRODUCT(--ISNUMBER(SEARCH(","&amp;TRIM(TEXTSPLIT(BM188,","))&amp;",",","&amp;SUBSTITUTE(input_context," ","")&amp;",")))=COUNTA(TEXTSPLIT(BM188,",")))),IF(BO188="",TRUE,IF(input_context="",TRUE,SUMPRODUCT(--ISNUMBER(SEARCH(","&amp;TRIM(TEXTSPLIT(BO188,","))&amp;",",","&amp;SUBSTITUTE(input_context," ","")&amp;",")))=0)),IF(BQ188="",TRUE,IF(input_context="",FALSE,SUMPRODUCT(--ISNUMBER(SEARCH(","&amp;TRIM(TEXTSPLIT(BQ188,","))&amp;",",","&amp;SUBSTITUTE(input_context," ","")&amp;",")))&gt;0)),IF(BS188="",TRUE,IF(input_context="",FALSE,SUMPRODUCT(--ISNUMBER(SEARCH(","&amp;TRIM(TEXTSPLIT(BS188,","))&amp;",",","&amp;SUBSTITUTE(input_context," ","")&amp;",")))=COUNTA(TEXTSPLIT(BS188,",")))))</f>
        <v/>
      </c>
      <c r="IZ188">
        <f>AND(IF(BU188="",TRUE,IF(input_enews_announcement_type="",FALSE,SUMPRODUCT(--ISNUMBER(SEARCH(","&amp;TRIM(TEXTSPLIT(BU188,","))&amp;",",","&amp;SUBSTITUTE(input_enews_announcement_type," ","")&amp;",")))&gt;0)),IF(BW188="",TRUE,IF(input_enews_announcement_type="",FALSE,SUMPRODUCT(--ISNUMBER(SEARCH(","&amp;TRIM(TEXTSPLIT(BW188,","))&amp;",",","&amp;SUBSTITUTE(input_enews_announcement_type," ","")&amp;",")))=COUNTA(TEXTSPLIT(BW188,",")))),IF(BY188="",TRUE,IF(input_enews_announcement_type="",TRUE,SUMPRODUCT(--ISNUMBER(SEARCH(","&amp;TRIM(TEXTSPLIT(BY188,","))&amp;",",","&amp;SUBSTITUTE(input_enews_announcement_type," ","")&amp;",")))=0)),IF(CA188="",TRUE,IF(input_enews_announcement_type="",FALSE,SUMPRODUCT(--ISNUMBER(SEARCH(","&amp;TRIM(TEXTSPLIT(CA188,","))&amp;",",","&amp;SUBSTITUTE(input_enews_announcement_type," ","")&amp;",")))&gt;0)),IF(CC188="",TRUE,IF(input_enews_announcement_type="",FALSE,SUMPRODUCT(--ISNUMBER(SEARCH(","&amp;TRIM(TEXTSPLIT(CC188,","))&amp;",",","&amp;SUBSTITUTE(input_enews_announcement_type," ","")&amp;",")))=COUNTA(TEXTSPLIT(CC188,",")))))</f>
        <v/>
      </c>
      <c r="JA188">
        <f>AND(IF(CE188="",TRUE,IF(input_enews_audience="",FALSE,SUMPRODUCT(--ISNUMBER(SEARCH(","&amp;TRIM(TEXTSPLIT(CE188,","))&amp;",",","&amp;SUBSTITUTE(input_enews_audience," ","")&amp;",")))&gt;0)),IF(CG188="",TRUE,IF(input_enews_audience="",FALSE,SUMPRODUCT(--ISNUMBER(SEARCH(","&amp;TRIM(TEXTSPLIT(CG188,","))&amp;",",","&amp;SUBSTITUTE(input_enews_audience," ","")&amp;",")))=COUNTA(TEXTSPLIT(CG188,",")))),IF(CI188="",TRUE,IF(input_enews_audience="",TRUE,SUMPRODUCT(--ISNUMBER(SEARCH(","&amp;TRIM(TEXTSPLIT(CI188,","))&amp;",",","&amp;SUBSTITUTE(input_enews_audience," ","")&amp;",")))=0)),IF(CK188="",TRUE,IF(input_enews_audience="",FALSE,SUMPRODUCT(--ISNUMBER(SEARCH(","&amp;TRIM(TEXTSPLIT(CK188,","))&amp;",",","&amp;SUBSTITUTE(input_enews_audience," ","")&amp;",")))&gt;0)),IF(CM188="",TRUE,IF(input_enews_audience="",FALSE,SUMPRODUCT(--ISNUMBER(SEARCH(","&amp;TRIM(TEXTSPLIT(CM188,","))&amp;",",","&amp;SUBSTITUTE(input_enews_audience," ","")&amp;",")))=COUNTA(TEXTSPLIT(CM188,",")))))</f>
        <v/>
      </c>
      <c r="JB188">
        <f>AND(IF(CO188="",TRUE,IF(input_event_location="",FALSE,SUMPRODUCT(--ISNUMBER(SEARCH(","&amp;TRIM(TEXTSPLIT(CO188,","))&amp;",",","&amp;SUBSTITUTE(input_event_location," ","")&amp;",")))&gt;0)),IF(CQ188="",TRUE,IF(input_event_location="",FALSE,SUMPRODUCT(--ISNUMBER(SEARCH(","&amp;TRIM(TEXTSPLIT(CQ188,","))&amp;",",","&amp;SUBSTITUTE(input_event_location," ","")&amp;",")))=COUNTA(TEXTSPLIT(CQ188,",")))),IF(CS188="",TRUE,IF(input_event_location="",TRUE,SUMPRODUCT(--ISNUMBER(SEARCH(","&amp;TRIM(TEXTSPLIT(CS188,","))&amp;",",","&amp;SUBSTITUTE(input_event_location," ","")&amp;",")))=0)),IF(CU188="",TRUE,IF(input_event_location="",FALSE,SUMPRODUCT(--ISNUMBER(SEARCH(","&amp;TRIM(TEXTSPLIT(CU188,","))&amp;",",","&amp;SUBSTITUTE(input_event_location," ","")&amp;",")))&gt;0)),IF(CW188="",TRUE,IF(input_event_location="",FALSE,SUMPRODUCT(--ISNUMBER(SEARCH(","&amp;TRIM(TEXTSPLIT(CW188,","))&amp;",",","&amp;SUBSTITUTE(input_event_location," ","")&amp;",")))=COUNTA(TEXTSPLIT(CW188,",")))))</f>
        <v/>
      </c>
      <c r="JC188">
        <f>AND(IF(CY188="",TRUE,IF(input_event_type="",FALSE,SUMPRODUCT(--ISNUMBER(SEARCH(","&amp;TRIM(TEXTSPLIT(CY188,","))&amp;",",","&amp;SUBSTITUTE(input_event_type," ","")&amp;",")))&gt;0)),IF(DA188="",TRUE,IF(input_event_type="",FALSE,SUMPRODUCT(--ISNUMBER(SEARCH(","&amp;TRIM(TEXTSPLIT(DA188,","))&amp;",",","&amp;SUBSTITUTE(input_event_type," ","")&amp;",")))=COUNTA(TEXTSPLIT(DA188,",")))),IF(DC188="",TRUE,IF(input_event_type="",TRUE,SUMPRODUCT(--ISNUMBER(SEARCH(","&amp;TRIM(TEXTSPLIT(DC188,","))&amp;",",","&amp;SUBSTITUTE(input_event_type," ","")&amp;",")))=0)),IF(DE188="",TRUE,IF(input_event_type="",FALSE,SUMPRODUCT(--ISNUMBER(SEARCH(","&amp;TRIM(TEXTSPLIT(DE188,","))&amp;",",","&amp;SUBSTITUTE(input_event_type," ","")&amp;",")))&gt;0)),IF(DG188="",TRUE,IF(input_event_type="",FALSE,SUMPRODUCT(--ISNUMBER(SEARCH(","&amp;TRIM(TEXTSPLIT(DG188,","))&amp;",",","&amp;SUBSTITUTE(input_event_type," ","")&amp;",")))=COUNTA(TEXTSPLIT(DG188,",")))))</f>
        <v/>
      </c>
      <c r="JD188">
        <f>AND(IF(DI188="",TRUE,IF(input_executive_education_focus="",FALSE,SUMPRODUCT(--ISNUMBER(SEARCH(","&amp;TRIM(TEXTSPLIT(DI188,","))&amp;",",","&amp;SUBSTITUTE(input_executive_education_focus," ","")&amp;",")))&gt;0)),IF(DK188="",TRUE,IF(input_executive_education_focus="",FALSE,SUMPRODUCT(--ISNUMBER(SEARCH(","&amp;TRIM(TEXTSPLIT(DK188,","))&amp;",",","&amp;SUBSTITUTE(input_executive_education_focus," ","")&amp;",")))=COUNTA(TEXTSPLIT(DK188,",")))),IF(DM188="",TRUE,IF(input_executive_education_focus="",TRUE,SUMPRODUCT(--ISNUMBER(SEARCH(","&amp;TRIM(TEXTSPLIT(DM188,","))&amp;",",","&amp;SUBSTITUTE(input_executive_education_focus," ","")&amp;",")))=0)),IF(DO188="",TRUE,IF(input_executive_education_focus="",FALSE,SUMPRODUCT(--ISNUMBER(SEARCH(","&amp;TRIM(TEXTSPLIT(DO188,","))&amp;",",","&amp;SUBSTITUTE(input_executive_education_focus," ","")&amp;",")))&gt;0)),IF(DQ188="",TRUE,IF(input_executive_education_focus="",FALSE,SUMPRODUCT(--ISNUMBER(SEARCH(","&amp;TRIM(TEXTSPLIT(DQ188,","))&amp;",",","&amp;SUBSTITUTE(input_executive_education_focus," ","")&amp;",")))=COUNTA(TEXTSPLIT(DQ188,",")))))</f>
        <v/>
      </c>
      <c r="JE188">
        <f>AND(IF(DS188="",TRUE,IF(input_faculty_category="",FALSE,SUMPRODUCT(--ISNUMBER(SEARCH(","&amp;TRIM(TEXTSPLIT(DS188,","))&amp;",",","&amp;SUBSTITUTE(input_faculty_category," ","")&amp;",")))&gt;0)),IF(DU188="",TRUE,IF(input_faculty_category="",FALSE,SUMPRODUCT(--ISNUMBER(SEARCH(","&amp;TRIM(TEXTSPLIT(DU188,","))&amp;",",","&amp;SUBSTITUTE(input_faculty_category," ","")&amp;",")))=COUNTA(TEXTSPLIT(DU188,",")))),IF(DW188="",TRUE,IF(input_faculty_category="",TRUE,SUMPRODUCT(--ISNUMBER(SEARCH(","&amp;TRIM(TEXTSPLIT(DW188,","))&amp;",",","&amp;SUBSTITUTE(input_faculty_category," ","")&amp;",")))=0)),IF(DY188="",TRUE,IF(input_faculty_category="",FALSE,SUMPRODUCT(--ISNUMBER(SEARCH(","&amp;TRIM(TEXTSPLIT(DY188,","))&amp;",",","&amp;SUBSTITUTE(input_faculty_category," ","")&amp;",")))&gt;0)),IF(EA188="",TRUE,IF(input_faculty_category="",FALSE,SUMPRODUCT(--ISNUMBER(SEARCH(","&amp;TRIM(TEXTSPLIT(EA188,","))&amp;",",","&amp;SUBSTITUTE(input_faculty_category," ","")&amp;",")))=COUNTA(TEXTSPLIT(EA188,",")))))</f>
        <v/>
      </c>
      <c r="JF188">
        <f>AND(IF(EC188="",TRUE,IF(input_faculty_discipline="",FALSE,SUMPRODUCT(--ISNUMBER(SEARCH(","&amp;TRIM(TEXTSPLIT(EC188,","))&amp;",",","&amp;SUBSTITUTE(input_faculty_discipline," ","")&amp;",")))&gt;0)),IF(EE188="",TRUE,IF(input_faculty_discipline="",FALSE,SUMPRODUCT(--ISNUMBER(SEARCH(","&amp;TRIM(TEXTSPLIT(EE188,","))&amp;",",","&amp;SUBSTITUTE(input_faculty_discipline," ","")&amp;",")))=COUNTA(TEXTSPLIT(EE188,",")))),IF(EG188="",TRUE,IF(input_faculty_discipline="",TRUE,SUMPRODUCT(--ISNUMBER(SEARCH(","&amp;TRIM(TEXTSPLIT(EG188,","))&amp;",",","&amp;SUBSTITUTE(input_faculty_discipline," ","")&amp;",")))=0)),IF(EI188="",TRUE,IF(input_faculty_discipline="",FALSE,SUMPRODUCT(--ISNUMBER(SEARCH(","&amp;TRIM(TEXTSPLIT(EI188,","))&amp;",",","&amp;SUBSTITUTE(input_faculty_discipline," ","")&amp;",")))&gt;0)),IF(EK188="",TRUE,IF(input_faculty_discipline="",FALSE,SUMPRODUCT(--ISNUMBER(SEARCH(","&amp;TRIM(TEXTSPLIT(EK188,","))&amp;",",","&amp;SUBSTITUTE(input_faculty_discipline," ","")&amp;",")))=COUNTA(TEXTSPLIT(EK188,",")))))</f>
        <v/>
      </c>
      <c r="JG188">
        <f>AND(IF(EM188="",TRUE,IF(input_faculty_expertise="",FALSE,SUMPRODUCT(--ISNUMBER(SEARCH(","&amp;TRIM(TEXTSPLIT(EM188,","))&amp;",",","&amp;SUBSTITUTE(input_faculty_expertise," ","")&amp;",")))&gt;0)),IF(EO188="",TRUE,IF(input_faculty_expertise="",FALSE,SUMPRODUCT(--ISNUMBER(SEARCH(","&amp;TRIM(TEXTSPLIT(EO188,","))&amp;",",","&amp;SUBSTITUTE(input_faculty_expertise," ","")&amp;",")))=COUNTA(TEXTSPLIT(EO188,",")))),IF(EQ188="",TRUE,IF(input_faculty_expertise="",TRUE,SUMPRODUCT(--ISNUMBER(SEARCH(","&amp;TRIM(TEXTSPLIT(EQ188,","))&amp;",",","&amp;SUBSTITUTE(input_faculty_expertise," ","")&amp;",")))=0)),IF(ES188="",TRUE,IF(input_faculty_expertise="",FALSE,SUMPRODUCT(--ISNUMBER(SEARCH(","&amp;TRIM(TEXTSPLIT(ES188,","))&amp;",",","&amp;SUBSTITUTE(input_faculty_expertise," ","")&amp;",")))&gt;0)),IF(EU188="",TRUE,IF(input_faculty_expertise="",FALSE,SUMPRODUCT(--ISNUMBER(SEARCH(","&amp;TRIM(TEXTSPLIT(EU188,","))&amp;",",","&amp;SUBSTITUTE(input_faculty_expertise," ","")&amp;",")))=COUNTA(TEXTSPLIT(EU188,",")))))</f>
        <v/>
      </c>
      <c r="JH188">
        <f>AND(IF(EW188="",TRUE,IF(input_global_network_school="",FALSE,SUMPRODUCT(--ISNUMBER(SEARCH(","&amp;TRIM(TEXTSPLIT(EW188,","))&amp;",",","&amp;SUBSTITUTE(input_global_network_school," ","")&amp;",")))&gt;0)),IF(EY188="",TRUE,IF(input_global_network_school="",FALSE,SUMPRODUCT(--ISNUMBER(SEARCH(","&amp;TRIM(TEXTSPLIT(EY188,","))&amp;",",","&amp;SUBSTITUTE(input_global_network_school," ","")&amp;",")))=COUNTA(TEXTSPLIT(EY188,",")))),IF(FA188="",TRUE,IF(input_global_network_school="",TRUE,SUMPRODUCT(--ISNUMBER(SEARCH(","&amp;TRIM(TEXTSPLIT(FA188,","))&amp;",",","&amp;SUBSTITUTE(input_global_network_school," ","")&amp;",")))=0)),IF(FC188="",TRUE,IF(input_global_network_school="",FALSE,SUMPRODUCT(--ISNUMBER(SEARCH(","&amp;TRIM(TEXTSPLIT(FC188,","))&amp;",",","&amp;SUBSTITUTE(input_global_network_school," ","")&amp;",")))&gt;0)),IF(FE188="",TRUE,IF(input_global_network_school="",FALSE,SUMPRODUCT(--ISNUMBER(SEARCH(","&amp;TRIM(TEXTSPLIT(FE188,","))&amp;",",","&amp;SUBSTITUTE(input_global_network_school," ","")&amp;",")))=COUNTA(TEXTSPLIT(FE188,",")))))</f>
        <v/>
      </c>
      <c r="JI188">
        <f>AND(IF(FG188="",TRUE,IF(input_industry="",FALSE,SUMPRODUCT(--ISNUMBER(SEARCH(","&amp;TRIM(TEXTSPLIT(FG188,","))&amp;",",","&amp;SUBSTITUTE(input_industry," ","")&amp;",")))&gt;0)),IF(FI188="",TRUE,IF(input_industry="",FALSE,SUMPRODUCT(--ISNUMBER(SEARCH(","&amp;TRIM(TEXTSPLIT(FI188,","))&amp;",",","&amp;SUBSTITUTE(input_industry," ","")&amp;",")))=COUNTA(TEXTSPLIT(FI188,",")))),IF(FK188="",TRUE,IF(input_industry="",TRUE,SUMPRODUCT(--ISNUMBER(SEARCH(","&amp;TRIM(TEXTSPLIT(FK188,","))&amp;",",","&amp;SUBSTITUTE(input_industry," ","")&amp;",")))=0)),IF(FM188="",TRUE,IF(input_industry="",FALSE,SUMPRODUCT(--ISNUMBER(SEARCH(","&amp;TRIM(TEXTSPLIT(FM188,","))&amp;",",","&amp;SUBSTITUTE(input_industry," ","")&amp;",")))&gt;0)),IF(FO188="",TRUE,IF(input_industry="",FALSE,SUMPRODUCT(--ISNUMBER(SEARCH(","&amp;TRIM(TEXTSPLIT(FO188,","))&amp;",",","&amp;SUBSTITUTE(input_industry," ","")&amp;",")))=COUNTA(TEXTSPLIT(FO188,",")))))</f>
        <v/>
      </c>
      <c r="JJ188">
        <f>AND(IF(FQ188="",TRUE,IF(input_location="",FALSE,SUMPRODUCT(--ISNUMBER(SEARCH(","&amp;TRIM(TEXTSPLIT(FQ188,","))&amp;",",","&amp;SUBSTITUTE(input_location," ","")&amp;",")))&gt;0)),IF(FS188="",TRUE,IF(input_location="",FALSE,SUMPRODUCT(--ISNUMBER(SEARCH(","&amp;TRIM(TEXTSPLIT(FS188,","))&amp;",",","&amp;SUBSTITUTE(input_location," ","")&amp;",")))=COUNTA(TEXTSPLIT(FS188,",")))),IF(FU188="",TRUE,IF(input_location="",TRUE,SUMPRODUCT(--ISNUMBER(SEARCH(","&amp;TRIM(TEXTSPLIT(FU188,","))&amp;",",","&amp;SUBSTITUTE(input_location," ","")&amp;",")))=0)),IF(FW188="",TRUE,IF(input_location="",FALSE,SUMPRODUCT(--ISNUMBER(SEARCH(","&amp;TRIM(TEXTSPLIT(FW188,","))&amp;",",","&amp;SUBSTITUTE(input_location," ","")&amp;",")))&gt;0)),IF(FY188="",TRUE,IF(input_location="",FALSE,SUMPRODUCT(--ISNUMBER(SEARCH(","&amp;TRIM(TEXTSPLIT(FY188,","))&amp;",",","&amp;SUBSTITUTE(input_location," ","")&amp;",")))=COUNTA(TEXTSPLIT(FY188,",")))))</f>
        <v/>
      </c>
      <c r="JK188">
        <f>AND(IF(GA188="",TRUE,IF(input_modality="",FALSE,SUMPRODUCT(--ISNUMBER(SEARCH(","&amp;TRIM(TEXTSPLIT(GA188,","))&amp;",",","&amp;SUBSTITUTE(input_modality," ","")&amp;",")))&gt;0)),IF(GC188="",TRUE,IF(input_modality="",FALSE,SUMPRODUCT(--ISNUMBER(SEARCH(","&amp;TRIM(TEXTSPLIT(GC188,","))&amp;",",","&amp;SUBSTITUTE(input_modality," ","")&amp;",")))=COUNTA(TEXTSPLIT(GC188,",")))),IF(GE188="",TRUE,IF(input_modality="",TRUE,SUMPRODUCT(--ISNUMBER(SEARCH(","&amp;TRIM(TEXTSPLIT(GE188,","))&amp;",",","&amp;SUBSTITUTE(input_modality," ","")&amp;",")))=0)),IF(GG188="",TRUE,IF(input_modality="",FALSE,SUMPRODUCT(--ISNUMBER(SEARCH(","&amp;TRIM(TEXTSPLIT(GG188,","))&amp;",",","&amp;SUBSTITUTE(input_modality," ","")&amp;",")))&gt;0)),IF(GI188="",TRUE,IF(input_modality="",FALSE,SUMPRODUCT(--ISNUMBER(SEARCH(","&amp;TRIM(TEXTSPLIT(GI188,","))&amp;",",","&amp;SUBSTITUTE(input_modality," ","")&amp;",")))=COUNTA(TEXTSPLIT(GI188,",")))))</f>
        <v/>
      </c>
      <c r="JL188">
        <f>AND(IF(GK188="",TRUE,IF(input_organizer="",FALSE,SUMPRODUCT(--ISNUMBER(SEARCH(","&amp;TRIM(TEXTSPLIT(GK188,","))&amp;",",","&amp;SUBSTITUTE(input_organizer," ","")&amp;",")))&gt;0)),IF(GM188="",TRUE,IF(input_organizer="",FALSE,SUMPRODUCT(--ISNUMBER(SEARCH(","&amp;TRIM(TEXTSPLIT(GM188,","))&amp;",",","&amp;SUBSTITUTE(input_organizer," ","")&amp;",")))=COUNTA(TEXTSPLIT(GM188,",")))),IF(GO188="",TRUE,IF(input_organizer="",TRUE,SUMPRODUCT(--ISNUMBER(SEARCH(","&amp;TRIM(TEXTSPLIT(GO188,","))&amp;",",","&amp;SUBSTITUTE(input_organizer," ","")&amp;",")))=0)),IF(GQ188="",TRUE,IF(input_organizer="",FALSE,SUMPRODUCT(--ISNUMBER(SEARCH(","&amp;TRIM(TEXTSPLIT(GQ188,","))&amp;",",","&amp;SUBSTITUTE(input_organizer," ","")&amp;",")))&gt;0)),IF(GS188="",TRUE,IF(input_organizer="",FALSE,SUMPRODUCT(--ISNUMBER(SEARCH(","&amp;TRIM(TEXTSPLIT(GS188,","))&amp;",",","&amp;SUBSTITUTE(input_organizer," ","")&amp;",")))=COUNTA(TEXTSPLIT(GS188,",")))))</f>
        <v/>
      </c>
      <c r="JM188">
        <f>AND(IF(GU188="",TRUE,IF(input_profile_type="",FALSE,SUMPRODUCT(--ISNUMBER(SEARCH(","&amp;TRIM(TEXTSPLIT(GU188,","))&amp;",",","&amp;SUBSTITUTE(input_profile_type," ","")&amp;",")))&gt;0)),IF(GW188="",TRUE,IF(input_profile_type="",FALSE,SUMPRODUCT(--ISNUMBER(SEARCH(","&amp;TRIM(TEXTSPLIT(GW188,","))&amp;",",","&amp;SUBSTITUTE(input_profile_type," ","")&amp;",")))=COUNTA(TEXTSPLIT(GW188,",")))),IF(GY188="",TRUE,IF(input_profile_type="",TRUE,SUMPRODUCT(--ISNUMBER(SEARCH(","&amp;TRIM(TEXTSPLIT(GY188,","))&amp;",",","&amp;SUBSTITUTE(input_profile_type," ","")&amp;",")))=0)),IF(HA188="",TRUE,IF(input_profile_type="",FALSE,SUMPRODUCT(--ISNUMBER(SEARCH(","&amp;TRIM(TEXTSPLIT(HA188,","))&amp;",",","&amp;SUBSTITUTE(input_profile_type," ","")&amp;",")))&gt;0)),IF(HC188="",TRUE,IF(input_profile_type="",FALSE,SUMPRODUCT(--ISNUMBER(SEARCH(","&amp;TRIM(TEXTSPLIT(HC188,","))&amp;",",","&amp;SUBSTITUTE(input_profile_type," ","")&amp;",")))=COUNTA(TEXTSPLIT(HC188,",")))))</f>
        <v/>
      </c>
      <c r="JN188">
        <f>AND(IF(HE188="",TRUE,IF(input_program="",FALSE,SUMPRODUCT(--ISNUMBER(SEARCH(","&amp;TRIM(TEXTSPLIT(HE188,","))&amp;",",","&amp;SUBSTITUTE(input_program," ","")&amp;",")))&gt;0)),IF(HG188="",TRUE,IF(input_program="",FALSE,SUMPRODUCT(--ISNUMBER(SEARCH(","&amp;TRIM(TEXTSPLIT(HG188,","))&amp;",",","&amp;SUBSTITUTE(input_program," ","")&amp;",")))=COUNTA(TEXTSPLIT(HG188,",")))),IF(HI188="",TRUE,IF(input_program="",TRUE,SUMPRODUCT(--ISNUMBER(SEARCH(","&amp;TRIM(TEXTSPLIT(HI188,","))&amp;",",","&amp;SUBSTITUTE(input_program," ","")&amp;",")))=0)),IF(HK188="",TRUE,IF(input_program="",FALSE,SUMPRODUCT(--ISNUMBER(SEARCH(","&amp;TRIM(TEXTSPLIT(HK188,","))&amp;",",","&amp;SUBSTITUTE(input_program," ","")&amp;",")))&gt;0)),IF(HM188="",TRUE,IF(input_program="",FALSE,SUMPRODUCT(--ISNUMBER(SEARCH(","&amp;TRIM(TEXTSPLIT(HM188,","))&amp;",",","&amp;SUBSTITUTE(input_program," ","")&amp;",")))=COUNTA(TEXTSPLIT(HM188,",")))))</f>
        <v/>
      </c>
      <c r="JO188">
        <f>AND(IF(HO188="",TRUE,IF(input_story_categories="",FALSE,SUMPRODUCT(--ISNUMBER(SEARCH(","&amp;TRIM(TEXTSPLIT(HO188,","))&amp;",",","&amp;SUBSTITUTE(input_story_categories," ","")&amp;",")))&gt;0)),IF(HQ188="",TRUE,IF(input_story_categories="",FALSE,SUMPRODUCT(--ISNUMBER(SEARCH(","&amp;TRIM(TEXTSPLIT(HQ188,","))&amp;",",","&amp;SUBSTITUTE(input_story_categories," ","")&amp;",")))=COUNTA(TEXTSPLIT(HQ188,",")))),IF(HS188="",TRUE,IF(input_story_categories="",TRUE,SUMPRODUCT(--ISNUMBER(SEARCH(","&amp;TRIM(TEXTSPLIT(HS188,","))&amp;",",","&amp;SUBSTITUTE(input_story_categories," ","")&amp;",")))=0)),IF(HU188="",TRUE,IF(input_story_categories="",FALSE,SUMPRODUCT(--ISNUMBER(SEARCH(","&amp;TRIM(TEXTSPLIT(HU188,","))&amp;",",","&amp;SUBSTITUTE(input_story_categories," ","")&amp;",")))&gt;0)),IF(HW188="",TRUE,IF(input_story_categories="",FALSE,SUMPRODUCT(--ISNUMBER(SEARCH(","&amp;TRIM(TEXTSPLIT(HW188,","))&amp;",",","&amp;SUBSTITUTE(input_story_categories," ","")&amp;",")))=COUNTA(TEXTSPLIT(HW188,",")))))</f>
        <v/>
      </c>
      <c r="JP188">
        <f>AND(IF(HY188="",TRUE,IF(input_story_type="",FALSE,SUMPRODUCT(--ISNUMBER(SEARCH(","&amp;TRIM(TEXTSPLIT(HY188,","))&amp;",",","&amp;SUBSTITUTE(input_story_type," ","")&amp;",")))&gt;0)),IF(IA188="",TRUE,IF(input_story_type="",FALSE,SUMPRODUCT(--ISNUMBER(SEARCH(","&amp;TRIM(TEXTSPLIT(IA188,","))&amp;",",","&amp;SUBSTITUTE(input_story_type," ","")&amp;",")))=COUNTA(TEXTSPLIT(IA188,",")))),IF(IC188="",TRUE,IF(input_story_type="",TRUE,SUMPRODUCT(--ISNUMBER(SEARCH(","&amp;TRIM(TEXTSPLIT(IC188,","))&amp;",",","&amp;SUBSTITUTE(input_story_type," ","")&amp;",")))=0)),IF(IE188="",TRUE,IF(input_story_type="",FALSE,SUMPRODUCT(--ISNUMBER(SEARCH(","&amp;TRIM(TEXTSPLIT(IE188,","))&amp;",",","&amp;SUBSTITUTE(input_story_type," ","")&amp;",")))&gt;0)),IF(IG188="",TRUE,IF(input_story_type="",FALSE,SUMPRODUCT(--ISNUMBER(SEARCH(","&amp;TRIM(TEXTSPLIT(IG188,","))&amp;",",","&amp;SUBSTITUTE(input_story_type," ","")&amp;",")))=COUNTA(TEXTSPLIT(IG188,",")))))</f>
        <v/>
      </c>
      <c r="JQ188">
        <f>AND(IF(II188="",TRUE,IF(input_topics="",FALSE,SUMPRODUCT(--ISNUMBER(SEARCH(","&amp;TRIM(TEXTSPLIT(II188,","))&amp;",",","&amp;SUBSTITUTE(input_topics," ","")&amp;",")))&gt;0)),IF(IK188="",TRUE,IF(input_topics="",FALSE,SUMPRODUCT(--ISNUMBER(SEARCH(","&amp;TRIM(TEXTSPLIT(IK188,","))&amp;",",","&amp;SUBSTITUTE(input_topics," ","")&amp;",")))=COUNTA(TEXTSPLIT(IK188,",")))),IF(IM188="",TRUE,IF(input_topics="",TRUE,SUMPRODUCT(--ISNUMBER(SEARCH(","&amp;TRIM(TEXTSPLIT(IM188,","))&amp;",",","&amp;SUBSTITUTE(input_topics," ","")&amp;",")))=0)),IF(IO188="",TRUE,IF(input_topics="",FALSE,SUMPRODUCT(--ISNUMBER(SEARCH(","&amp;TRIM(TEXTSPLIT(IO188,","))&amp;",",","&amp;SUBSTITUTE(input_topics," ","")&amp;",")))&gt;0)),IF(IQ188="",TRUE,IF(input_topics="",FALSE,SUMPRODUCT(--ISNUMBER(SEARCH(","&amp;TRIM(TEXTSPLIT(IQ188,","))&amp;",",","&amp;SUBSTITUTE(input_topics," ","")&amp;",")))=COUNTA(TEXTSPLIT(IQ188,",")))))</f>
        <v/>
      </c>
    </row>
    <row r="189">
      <c r="A189" s="4">
        <f>IF(NOT(IS189),"Excluded",IF(AND(IT189,IU189,IV189,IW189,IX189,IY189,IZ189,JA189,JB189,JC189,JD189,JE189,JF189,JG189,JH189,JI189,JJ189,JK189,JL189,JM189,JN189,JO189,JP189,JQ189),IF(I189&gt;0,"Eligible but limited","Will appear"),"Excluded"))</f>
        <v/>
      </c>
      <c r="B189" s="4" t="inlineStr">
        <is>
          <t>Related stories on story pages</t>
        </is>
      </c>
      <c r="C189" s="4" t="inlineStr">
        <is>
          <t>/news/2019/12/career-conversations-podcast-aj-wasserstein-with-max-dworin-20</t>
        </is>
      </c>
      <c r="D189" s="4" t="inlineStr">
        <is>
          <t>/news/2019/12/career-conversations-podcast-aj-wasserstein-with-max-dworin-20</t>
        </is>
      </c>
      <c r="E189" s="4" t="n">
        <v>1</v>
      </c>
      <c r="F189" s="4" t="inlineStr">
        <is>
          <t>story</t>
        </is>
      </c>
      <c r="G189" s="4" t="inlineStr">
        <is>
          <t>stories_teaser_cards</t>
        </is>
      </c>
      <c r="H189" s="4" t="inlineStr">
        <is>
          <t>embed_all</t>
        </is>
      </c>
      <c r="I189" s="4" t="n">
        <v>3</v>
      </c>
      <c r="J189" s="4" t="inlineStr">
        <is>
          <t>Template logic</t>
        </is>
      </c>
      <c r="K189" s="4" t="inlineStr">
        <is>
          <t>Grouped surface</t>
        </is>
      </c>
      <c r="L189" s="4" t="inlineStr">
        <is>
          <t>Content type: story; Context uses Courses Context: Careers (110); Context uses Story Type: News (924); Limited to 3 item(s); Source: Template logic</t>
        </is>
      </c>
      <c r="M189" t="inlineStr"/>
      <c r="N189" t="inlineStr"/>
      <c r="O189" t="inlineStr"/>
      <c r="P189" t="inlineStr"/>
      <c r="Q189" t="inlineStr"/>
      <c r="R189" t="inlineStr"/>
      <c r="S189" t="inlineStr"/>
      <c r="T189" t="inlineStr"/>
      <c r="U189" t="inlineStr"/>
      <c r="V189" t="inlineStr"/>
      <c r="W189" t="inlineStr"/>
      <c r="X189" t="inlineStr"/>
      <c r="Y189" t="inlineStr"/>
      <c r="Z189" t="inlineStr"/>
      <c r="AA189" t="inlineStr"/>
      <c r="AB189" t="inlineStr"/>
      <c r="AC189" t="inlineStr"/>
      <c r="AD189" t="inlineStr"/>
      <c r="AE189" t="inlineStr"/>
      <c r="AF189" t="inlineStr"/>
      <c r="AG189" t="inlineStr"/>
      <c r="AH189" t="inlineStr"/>
      <c r="AI189" t="inlineStr"/>
      <c r="AJ189" t="inlineStr"/>
      <c r="AK189" t="inlineStr"/>
      <c r="AL189" t="inlineStr"/>
      <c r="AM189" t="inlineStr"/>
      <c r="AN189" t="inlineStr"/>
      <c r="AO189" t="inlineStr"/>
      <c r="AP189" t="inlineStr"/>
      <c r="AQ189" t="inlineStr"/>
      <c r="AR189" t="inlineStr"/>
      <c r="AS189" t="inlineStr"/>
      <c r="AT189" t="inlineStr"/>
      <c r="AU189" t="inlineStr"/>
      <c r="AV189" t="inlineStr"/>
      <c r="AW189" t="inlineStr"/>
      <c r="AX189" t="inlineStr"/>
      <c r="AY189" t="inlineStr"/>
      <c r="AZ189" t="inlineStr"/>
      <c r="BA189" t="inlineStr"/>
      <c r="BB189" t="inlineStr"/>
      <c r="BC189" t="inlineStr"/>
      <c r="BD189" t="inlineStr"/>
      <c r="BE189" t="inlineStr"/>
      <c r="BF189" t="inlineStr"/>
      <c r="BG189" t="inlineStr"/>
      <c r="BH189" t="inlineStr"/>
      <c r="BI189" t="inlineStr"/>
      <c r="BJ189" t="inlineStr"/>
      <c r="BK189" t="inlineStr"/>
      <c r="BL189" t="inlineStr"/>
      <c r="BM189" t="inlineStr"/>
      <c r="BN189" t="inlineStr"/>
      <c r="BO189" t="inlineStr"/>
      <c r="BP189" t="inlineStr"/>
      <c r="BQ189" t="inlineStr">
        <is>
          <t>110</t>
        </is>
      </c>
      <c r="BR189" t="inlineStr">
        <is>
          <t>Careers (110)</t>
        </is>
      </c>
      <c r="BS189" t="inlineStr"/>
      <c r="BT189" t="inlineStr"/>
      <c r="BU189" t="inlineStr"/>
      <c r="BV189" t="inlineStr"/>
      <c r="BW189" t="inlineStr"/>
      <c r="BX189" t="inlineStr"/>
      <c r="BY189" t="inlineStr"/>
      <c r="BZ189" t="inlineStr"/>
      <c r="CA189" t="inlineStr"/>
      <c r="CB189" t="inlineStr"/>
      <c r="CC189" t="inlineStr"/>
      <c r="CD189" t="inlineStr"/>
      <c r="CE189" t="inlineStr"/>
      <c r="CF189" t="inlineStr"/>
      <c r="CG189" t="inlineStr"/>
      <c r="CH189" t="inlineStr"/>
      <c r="CI189" t="inlineStr"/>
      <c r="CJ189" t="inlineStr"/>
      <c r="CK189" t="inlineStr"/>
      <c r="CL189" t="inlineStr"/>
      <c r="CM189" t="inlineStr"/>
      <c r="CN189" t="inlineStr"/>
      <c r="CO189" t="inlineStr"/>
      <c r="CP189" t="inlineStr"/>
      <c r="CQ189" t="inlineStr"/>
      <c r="CR189" t="inlineStr"/>
      <c r="CS189" t="inlineStr"/>
      <c r="CT189" t="inlineStr"/>
      <c r="CU189" t="inlineStr"/>
      <c r="CV189" t="inlineStr"/>
      <c r="CW189" t="inlineStr"/>
      <c r="CX189" t="inlineStr"/>
      <c r="CY189" t="inlineStr"/>
      <c r="CZ189" t="inlineStr"/>
      <c r="DA189" t="inlineStr"/>
      <c r="DB189" t="inlineStr"/>
      <c r="DC189" t="inlineStr"/>
      <c r="DD189" t="inlineStr"/>
      <c r="DE189" t="inlineStr"/>
      <c r="DF189" t="inlineStr"/>
      <c r="DG189" t="inlineStr"/>
      <c r="DH189" t="inlineStr"/>
      <c r="DI189" t="inlineStr"/>
      <c r="DJ189" t="inlineStr"/>
      <c r="DK189" t="inlineStr"/>
      <c r="DL189" t="inlineStr"/>
      <c r="DM189" t="inlineStr"/>
      <c r="DN189" t="inlineStr"/>
      <c r="DO189" t="inlineStr"/>
      <c r="DP189" t="inlineStr"/>
      <c r="DQ189" t="inlineStr"/>
      <c r="DR189" t="inlineStr"/>
      <c r="DS189" t="inlineStr"/>
      <c r="DT189" t="inlineStr"/>
      <c r="DU189" t="inlineStr"/>
      <c r="DV189" t="inlineStr"/>
      <c r="DW189" t="inlineStr"/>
      <c r="DX189" t="inlineStr"/>
      <c r="DY189" t="inlineStr"/>
      <c r="DZ189" t="inlineStr"/>
      <c r="EA189" t="inlineStr"/>
      <c r="EB189" t="inlineStr"/>
      <c r="EC189" t="inlineStr"/>
      <c r="ED189" t="inlineStr"/>
      <c r="EE189" t="inlineStr"/>
      <c r="EF189" t="inlineStr"/>
      <c r="EG189" t="inlineStr"/>
      <c r="EH189" t="inlineStr"/>
      <c r="EI189" t="inlineStr"/>
      <c r="EJ189" t="inlineStr"/>
      <c r="EK189" t="inlineStr"/>
      <c r="EL189" t="inlineStr"/>
      <c r="EM189" t="inlineStr"/>
      <c r="EN189" t="inlineStr"/>
      <c r="EO189" t="inlineStr"/>
      <c r="EP189" t="inlineStr"/>
      <c r="EQ189" t="inlineStr"/>
      <c r="ER189" t="inlineStr"/>
      <c r="ES189" t="inlineStr"/>
      <c r="ET189" t="inlineStr"/>
      <c r="EU189" t="inlineStr"/>
      <c r="EV189" t="inlineStr"/>
      <c r="EW189" t="inlineStr"/>
      <c r="EX189" t="inlineStr"/>
      <c r="EY189" t="inlineStr"/>
      <c r="EZ189" t="inlineStr"/>
      <c r="FA189" t="inlineStr"/>
      <c r="FB189" t="inlineStr"/>
      <c r="FC189" t="inlineStr"/>
      <c r="FD189" t="inlineStr"/>
      <c r="FE189" t="inlineStr"/>
      <c r="FF189" t="inlineStr"/>
      <c r="FG189" t="inlineStr"/>
      <c r="FH189" t="inlineStr"/>
      <c r="FI189" t="inlineStr"/>
      <c r="FJ189" t="inlineStr"/>
      <c r="FK189" t="inlineStr"/>
      <c r="FL189" t="inlineStr"/>
      <c r="FM189" t="inlineStr"/>
      <c r="FN189" t="inlineStr"/>
      <c r="FO189" t="inlineStr"/>
      <c r="FP189" t="inlineStr"/>
      <c r="FQ189" t="inlineStr"/>
      <c r="FR189" t="inlineStr"/>
      <c r="FS189" t="inlineStr"/>
      <c r="FT189" t="inlineStr"/>
      <c r="FU189" t="inlineStr"/>
      <c r="FV189" t="inlineStr"/>
      <c r="FW189" t="inlineStr"/>
      <c r="FX189" t="inlineStr"/>
      <c r="FY189" t="inlineStr"/>
      <c r="FZ189" t="inlineStr"/>
      <c r="GA189" t="inlineStr"/>
      <c r="GB189" t="inlineStr"/>
      <c r="GC189" t="inlineStr"/>
      <c r="GD189" t="inlineStr"/>
      <c r="GE189" t="inlineStr"/>
      <c r="GF189" t="inlineStr"/>
      <c r="GG189" t="inlineStr"/>
      <c r="GH189" t="inlineStr"/>
      <c r="GI189" t="inlineStr"/>
      <c r="GJ189" t="inlineStr"/>
      <c r="GK189" t="inlineStr"/>
      <c r="GL189" t="inlineStr"/>
      <c r="GM189" t="inlineStr"/>
      <c r="GN189" t="inlineStr"/>
      <c r="GO189" t="inlineStr"/>
      <c r="GP189" t="inlineStr"/>
      <c r="GQ189" t="inlineStr"/>
      <c r="GR189" t="inlineStr"/>
      <c r="GS189" t="inlineStr"/>
      <c r="GT189" t="inlineStr"/>
      <c r="GU189" t="inlineStr"/>
      <c r="GV189" t="inlineStr"/>
      <c r="GW189" t="inlineStr"/>
      <c r="GX189" t="inlineStr"/>
      <c r="GY189" t="inlineStr"/>
      <c r="GZ189" t="inlineStr"/>
      <c r="HA189" t="inlineStr"/>
      <c r="HB189" t="inlineStr"/>
      <c r="HC189" t="inlineStr"/>
      <c r="HD189" t="inlineStr"/>
      <c r="HE189" t="inlineStr"/>
      <c r="HF189" t="inlineStr"/>
      <c r="HG189" t="inlineStr"/>
      <c r="HH189" t="inlineStr"/>
      <c r="HI189" t="inlineStr"/>
      <c r="HJ189" t="inlineStr"/>
      <c r="HK189" t="inlineStr"/>
      <c r="HL189" t="inlineStr"/>
      <c r="HM189" t="inlineStr"/>
      <c r="HN189" t="inlineStr"/>
      <c r="HO189" t="inlineStr"/>
      <c r="HP189" t="inlineStr"/>
      <c r="HQ189" t="inlineStr"/>
      <c r="HR189" t="inlineStr"/>
      <c r="HS189" t="inlineStr"/>
      <c r="HT189" t="inlineStr"/>
      <c r="HU189" t="inlineStr"/>
      <c r="HV189" t="inlineStr"/>
      <c r="HW189" t="inlineStr"/>
      <c r="HX189" t="inlineStr"/>
      <c r="HY189" t="inlineStr"/>
      <c r="HZ189" t="inlineStr"/>
      <c r="IA189" t="inlineStr"/>
      <c r="IB189" t="inlineStr"/>
      <c r="IC189" t="inlineStr"/>
      <c r="ID189" t="inlineStr"/>
      <c r="IE189" t="inlineStr">
        <is>
          <t>924</t>
        </is>
      </c>
      <c r="IF189" t="inlineStr">
        <is>
          <t>News (924)</t>
        </is>
      </c>
      <c r="IG189" t="inlineStr"/>
      <c r="IH189" t="inlineStr"/>
      <c r="II189" t="inlineStr"/>
      <c r="IJ189" t="inlineStr"/>
      <c r="IK189" t="inlineStr"/>
      <c r="IL189" t="inlineStr"/>
      <c r="IM189" t="inlineStr"/>
      <c r="IN189" t="inlineStr"/>
      <c r="IO189" t="inlineStr"/>
      <c r="IP189" t="inlineStr"/>
      <c r="IQ189" t="inlineStr"/>
      <c r="IR189" t="inlineStr"/>
      <c r="IS189">
        <f>IF(input_content_type="",FALSE,ISNUMBER(SEARCH(","&amp;LOWER(input_content_type)&amp;",",","&amp;LOWER(F189)&amp;",")))</f>
        <v/>
      </c>
      <c r="IT189">
        <f>AND(IF(M189="",TRUE,IF(input_affiliations="",FALSE,SUMPRODUCT(--ISNUMBER(SEARCH(","&amp;TRIM(TEXTSPLIT(M189,","))&amp;",",","&amp;SUBSTITUTE(input_affiliations," ","")&amp;",")))&gt;0)),IF(O189="",TRUE,IF(input_affiliations="",FALSE,SUMPRODUCT(--ISNUMBER(SEARCH(","&amp;TRIM(TEXTSPLIT(O189,","))&amp;",",","&amp;SUBSTITUTE(input_affiliations," ","")&amp;",")))=COUNTA(TEXTSPLIT(O189,",")))),IF(Q189="",TRUE,IF(input_affiliations="",TRUE,SUMPRODUCT(--ISNUMBER(SEARCH(","&amp;TRIM(TEXTSPLIT(Q189,","))&amp;",",","&amp;SUBSTITUTE(input_affiliations," ","")&amp;",")))=0)),IF(S189="",TRUE,IF(input_affiliations="",FALSE,SUMPRODUCT(--ISNUMBER(SEARCH(","&amp;TRIM(TEXTSPLIT(S189,","))&amp;",",","&amp;SUBSTITUTE(input_affiliations," ","")&amp;",")))&gt;0)),IF(U189="",TRUE,IF(input_affiliations="",FALSE,SUMPRODUCT(--ISNUMBER(SEARCH(","&amp;TRIM(TEXTSPLIT(U189,","))&amp;",",","&amp;SUBSTITUTE(input_affiliations," ","")&amp;",")))=COUNTA(TEXTSPLIT(U189,",")))))</f>
        <v/>
      </c>
      <c r="IU189">
        <f>AND(IF(W189="",TRUE,IF(input_announcement_category="",FALSE,SUMPRODUCT(--ISNUMBER(SEARCH(","&amp;TRIM(TEXTSPLIT(W189,","))&amp;",",","&amp;SUBSTITUTE(input_announcement_category," ","")&amp;",")))&gt;0)),IF(Y189="",TRUE,IF(input_announcement_category="",FALSE,SUMPRODUCT(--ISNUMBER(SEARCH(","&amp;TRIM(TEXTSPLIT(Y189,","))&amp;",",","&amp;SUBSTITUTE(input_announcement_category," ","")&amp;",")))=COUNTA(TEXTSPLIT(Y189,",")))),IF(AA189="",TRUE,IF(input_announcement_category="",TRUE,SUMPRODUCT(--ISNUMBER(SEARCH(","&amp;TRIM(TEXTSPLIT(AA189,","))&amp;",",","&amp;SUBSTITUTE(input_announcement_category," ","")&amp;",")))=0)),IF(AC189="",TRUE,IF(input_announcement_category="",FALSE,SUMPRODUCT(--ISNUMBER(SEARCH(","&amp;TRIM(TEXTSPLIT(AC189,","))&amp;",",","&amp;SUBSTITUTE(input_announcement_category," ","")&amp;",")))&gt;0)),IF(AE189="",TRUE,IF(input_announcement_category="",FALSE,SUMPRODUCT(--ISNUMBER(SEARCH(","&amp;TRIM(TEXTSPLIT(AE189,","))&amp;",",","&amp;SUBSTITUTE(input_announcement_category," ","")&amp;",")))=COUNTA(TEXTSPLIT(AE189,",")))))</f>
        <v/>
      </c>
      <c r="IV189">
        <f>AND(IF(AG189="",TRUE,IF(input_area_of_focus="",FALSE,SUMPRODUCT(--ISNUMBER(SEARCH(","&amp;TRIM(TEXTSPLIT(AG189,","))&amp;",",","&amp;SUBSTITUTE(input_area_of_focus," ","")&amp;",")))&gt;0)),IF(AI189="",TRUE,IF(input_area_of_focus="",FALSE,SUMPRODUCT(--ISNUMBER(SEARCH(","&amp;TRIM(TEXTSPLIT(AI189,","))&amp;",",","&amp;SUBSTITUTE(input_area_of_focus," ","")&amp;",")))=COUNTA(TEXTSPLIT(AI189,",")))),IF(AK189="",TRUE,IF(input_area_of_focus="",TRUE,SUMPRODUCT(--ISNUMBER(SEARCH(","&amp;TRIM(TEXTSPLIT(AK189,","))&amp;",",","&amp;SUBSTITUTE(input_area_of_focus," ","")&amp;",")))=0)),IF(AM189="",TRUE,IF(input_area_of_focus="",FALSE,SUMPRODUCT(--ISNUMBER(SEARCH(","&amp;TRIM(TEXTSPLIT(AM189,","))&amp;",",","&amp;SUBSTITUTE(input_area_of_focus," ","")&amp;",")))&gt;0)),IF(AO189="",TRUE,IF(input_area_of_focus="",FALSE,SUMPRODUCT(--ISNUMBER(SEARCH(","&amp;TRIM(TEXTSPLIT(AO189,","))&amp;",",","&amp;SUBSTITUTE(input_area_of_focus," ","")&amp;",")))=COUNTA(TEXTSPLIT(AO189,",")))))</f>
        <v/>
      </c>
      <c r="IW189">
        <f>AND(IF(AQ189="",TRUE,IF(input_audience="",FALSE,SUMPRODUCT(--ISNUMBER(SEARCH(","&amp;TRIM(TEXTSPLIT(AQ189,","))&amp;",",","&amp;SUBSTITUTE(input_audience," ","")&amp;",")))&gt;0)),IF(AS189="",TRUE,IF(input_audience="",FALSE,SUMPRODUCT(--ISNUMBER(SEARCH(","&amp;TRIM(TEXTSPLIT(AS189,","))&amp;",",","&amp;SUBSTITUTE(input_audience," ","")&amp;",")))=COUNTA(TEXTSPLIT(AS189,",")))),IF(AU189="",TRUE,IF(input_audience="",TRUE,SUMPRODUCT(--ISNUMBER(SEARCH(","&amp;TRIM(TEXTSPLIT(AU189,","))&amp;",",","&amp;SUBSTITUTE(input_audience," ","")&amp;",")))=0)),IF(AW189="",TRUE,IF(input_audience="",FALSE,SUMPRODUCT(--ISNUMBER(SEARCH(","&amp;TRIM(TEXTSPLIT(AW189,","))&amp;",",","&amp;SUBSTITUTE(input_audience," ","")&amp;",")))&gt;0)),IF(AY189="",TRUE,IF(input_audience="",FALSE,SUMPRODUCT(--ISNUMBER(SEARCH(","&amp;TRIM(TEXTSPLIT(AY189,","))&amp;",",","&amp;SUBSTITUTE(input_audience," ","")&amp;",")))=COUNTA(TEXTSPLIT(AY189,",")))))</f>
        <v/>
      </c>
      <c r="IX189">
        <f>AND(IF(BA189="",TRUE,IF(input_challenge_opportunities="",FALSE,SUMPRODUCT(--ISNUMBER(SEARCH(","&amp;TRIM(TEXTSPLIT(BA189,","))&amp;",",","&amp;SUBSTITUTE(input_challenge_opportunities," ","")&amp;",")))&gt;0)),IF(BC189="",TRUE,IF(input_challenge_opportunities="",FALSE,SUMPRODUCT(--ISNUMBER(SEARCH(","&amp;TRIM(TEXTSPLIT(BC189,","))&amp;",",","&amp;SUBSTITUTE(input_challenge_opportunities," ","")&amp;",")))=COUNTA(TEXTSPLIT(BC189,",")))),IF(BE189="",TRUE,IF(input_challenge_opportunities="",TRUE,SUMPRODUCT(--ISNUMBER(SEARCH(","&amp;TRIM(TEXTSPLIT(BE189,","))&amp;",",","&amp;SUBSTITUTE(input_challenge_opportunities," ","")&amp;",")))=0)),IF(BG189="",TRUE,IF(input_challenge_opportunities="",FALSE,SUMPRODUCT(--ISNUMBER(SEARCH(","&amp;TRIM(TEXTSPLIT(BG189,","))&amp;",",","&amp;SUBSTITUTE(input_challenge_opportunities," ","")&amp;",")))&gt;0)),IF(BI189="",TRUE,IF(input_challenge_opportunities="",FALSE,SUMPRODUCT(--ISNUMBER(SEARCH(","&amp;TRIM(TEXTSPLIT(BI189,","))&amp;",",","&amp;SUBSTITUTE(input_challenge_opportunities," ","")&amp;",")))=COUNTA(TEXTSPLIT(BI189,",")))))</f>
        <v/>
      </c>
      <c r="IY189">
        <f>AND(IF(BK189="",TRUE,IF(input_context="",FALSE,SUMPRODUCT(--ISNUMBER(SEARCH(","&amp;TRIM(TEXTSPLIT(BK189,","))&amp;",",","&amp;SUBSTITUTE(input_context," ","")&amp;",")))&gt;0)),IF(BM189="",TRUE,IF(input_context="",FALSE,SUMPRODUCT(--ISNUMBER(SEARCH(","&amp;TRIM(TEXTSPLIT(BM189,","))&amp;",",","&amp;SUBSTITUTE(input_context," ","")&amp;",")))=COUNTA(TEXTSPLIT(BM189,",")))),IF(BO189="",TRUE,IF(input_context="",TRUE,SUMPRODUCT(--ISNUMBER(SEARCH(","&amp;TRIM(TEXTSPLIT(BO189,","))&amp;",",","&amp;SUBSTITUTE(input_context," ","")&amp;",")))=0)),IF(BQ189="",TRUE,IF(input_context="",FALSE,SUMPRODUCT(--ISNUMBER(SEARCH(","&amp;TRIM(TEXTSPLIT(BQ189,","))&amp;",",","&amp;SUBSTITUTE(input_context," ","")&amp;",")))&gt;0)),IF(BS189="",TRUE,IF(input_context="",FALSE,SUMPRODUCT(--ISNUMBER(SEARCH(","&amp;TRIM(TEXTSPLIT(BS189,","))&amp;",",","&amp;SUBSTITUTE(input_context," ","")&amp;",")))=COUNTA(TEXTSPLIT(BS189,",")))))</f>
        <v/>
      </c>
      <c r="IZ189">
        <f>AND(IF(BU189="",TRUE,IF(input_enews_announcement_type="",FALSE,SUMPRODUCT(--ISNUMBER(SEARCH(","&amp;TRIM(TEXTSPLIT(BU189,","))&amp;",",","&amp;SUBSTITUTE(input_enews_announcement_type," ","")&amp;",")))&gt;0)),IF(BW189="",TRUE,IF(input_enews_announcement_type="",FALSE,SUMPRODUCT(--ISNUMBER(SEARCH(","&amp;TRIM(TEXTSPLIT(BW189,","))&amp;",",","&amp;SUBSTITUTE(input_enews_announcement_type," ","")&amp;",")))=COUNTA(TEXTSPLIT(BW189,",")))),IF(BY189="",TRUE,IF(input_enews_announcement_type="",TRUE,SUMPRODUCT(--ISNUMBER(SEARCH(","&amp;TRIM(TEXTSPLIT(BY189,","))&amp;",",","&amp;SUBSTITUTE(input_enews_announcement_type," ","")&amp;",")))=0)),IF(CA189="",TRUE,IF(input_enews_announcement_type="",FALSE,SUMPRODUCT(--ISNUMBER(SEARCH(","&amp;TRIM(TEXTSPLIT(CA189,","))&amp;",",","&amp;SUBSTITUTE(input_enews_announcement_type," ","")&amp;",")))&gt;0)),IF(CC189="",TRUE,IF(input_enews_announcement_type="",FALSE,SUMPRODUCT(--ISNUMBER(SEARCH(","&amp;TRIM(TEXTSPLIT(CC189,","))&amp;",",","&amp;SUBSTITUTE(input_enews_announcement_type," ","")&amp;",")))=COUNTA(TEXTSPLIT(CC189,",")))))</f>
        <v/>
      </c>
      <c r="JA189">
        <f>AND(IF(CE189="",TRUE,IF(input_enews_audience="",FALSE,SUMPRODUCT(--ISNUMBER(SEARCH(","&amp;TRIM(TEXTSPLIT(CE189,","))&amp;",",","&amp;SUBSTITUTE(input_enews_audience," ","")&amp;",")))&gt;0)),IF(CG189="",TRUE,IF(input_enews_audience="",FALSE,SUMPRODUCT(--ISNUMBER(SEARCH(","&amp;TRIM(TEXTSPLIT(CG189,","))&amp;",",","&amp;SUBSTITUTE(input_enews_audience," ","")&amp;",")))=COUNTA(TEXTSPLIT(CG189,",")))),IF(CI189="",TRUE,IF(input_enews_audience="",TRUE,SUMPRODUCT(--ISNUMBER(SEARCH(","&amp;TRIM(TEXTSPLIT(CI189,","))&amp;",",","&amp;SUBSTITUTE(input_enews_audience," ","")&amp;",")))=0)),IF(CK189="",TRUE,IF(input_enews_audience="",FALSE,SUMPRODUCT(--ISNUMBER(SEARCH(","&amp;TRIM(TEXTSPLIT(CK189,","))&amp;",",","&amp;SUBSTITUTE(input_enews_audience," ","")&amp;",")))&gt;0)),IF(CM189="",TRUE,IF(input_enews_audience="",FALSE,SUMPRODUCT(--ISNUMBER(SEARCH(","&amp;TRIM(TEXTSPLIT(CM189,","))&amp;",",","&amp;SUBSTITUTE(input_enews_audience," ","")&amp;",")))=COUNTA(TEXTSPLIT(CM189,",")))))</f>
        <v/>
      </c>
      <c r="JB189">
        <f>AND(IF(CO189="",TRUE,IF(input_event_location="",FALSE,SUMPRODUCT(--ISNUMBER(SEARCH(","&amp;TRIM(TEXTSPLIT(CO189,","))&amp;",",","&amp;SUBSTITUTE(input_event_location," ","")&amp;",")))&gt;0)),IF(CQ189="",TRUE,IF(input_event_location="",FALSE,SUMPRODUCT(--ISNUMBER(SEARCH(","&amp;TRIM(TEXTSPLIT(CQ189,","))&amp;",",","&amp;SUBSTITUTE(input_event_location," ","")&amp;",")))=COUNTA(TEXTSPLIT(CQ189,",")))),IF(CS189="",TRUE,IF(input_event_location="",TRUE,SUMPRODUCT(--ISNUMBER(SEARCH(","&amp;TRIM(TEXTSPLIT(CS189,","))&amp;",",","&amp;SUBSTITUTE(input_event_location," ","")&amp;",")))=0)),IF(CU189="",TRUE,IF(input_event_location="",FALSE,SUMPRODUCT(--ISNUMBER(SEARCH(","&amp;TRIM(TEXTSPLIT(CU189,","))&amp;",",","&amp;SUBSTITUTE(input_event_location," ","")&amp;",")))&gt;0)),IF(CW189="",TRUE,IF(input_event_location="",FALSE,SUMPRODUCT(--ISNUMBER(SEARCH(","&amp;TRIM(TEXTSPLIT(CW189,","))&amp;",",","&amp;SUBSTITUTE(input_event_location," ","")&amp;",")))=COUNTA(TEXTSPLIT(CW189,",")))))</f>
        <v/>
      </c>
      <c r="JC189">
        <f>AND(IF(CY189="",TRUE,IF(input_event_type="",FALSE,SUMPRODUCT(--ISNUMBER(SEARCH(","&amp;TRIM(TEXTSPLIT(CY189,","))&amp;",",","&amp;SUBSTITUTE(input_event_type," ","")&amp;",")))&gt;0)),IF(DA189="",TRUE,IF(input_event_type="",FALSE,SUMPRODUCT(--ISNUMBER(SEARCH(","&amp;TRIM(TEXTSPLIT(DA189,","))&amp;",",","&amp;SUBSTITUTE(input_event_type," ","")&amp;",")))=COUNTA(TEXTSPLIT(DA189,",")))),IF(DC189="",TRUE,IF(input_event_type="",TRUE,SUMPRODUCT(--ISNUMBER(SEARCH(","&amp;TRIM(TEXTSPLIT(DC189,","))&amp;",",","&amp;SUBSTITUTE(input_event_type," ","")&amp;",")))=0)),IF(DE189="",TRUE,IF(input_event_type="",FALSE,SUMPRODUCT(--ISNUMBER(SEARCH(","&amp;TRIM(TEXTSPLIT(DE189,","))&amp;",",","&amp;SUBSTITUTE(input_event_type," ","")&amp;",")))&gt;0)),IF(DG189="",TRUE,IF(input_event_type="",FALSE,SUMPRODUCT(--ISNUMBER(SEARCH(","&amp;TRIM(TEXTSPLIT(DG189,","))&amp;",",","&amp;SUBSTITUTE(input_event_type," ","")&amp;",")))=COUNTA(TEXTSPLIT(DG189,",")))))</f>
        <v/>
      </c>
      <c r="JD189">
        <f>AND(IF(DI189="",TRUE,IF(input_executive_education_focus="",FALSE,SUMPRODUCT(--ISNUMBER(SEARCH(","&amp;TRIM(TEXTSPLIT(DI189,","))&amp;",",","&amp;SUBSTITUTE(input_executive_education_focus," ","")&amp;",")))&gt;0)),IF(DK189="",TRUE,IF(input_executive_education_focus="",FALSE,SUMPRODUCT(--ISNUMBER(SEARCH(","&amp;TRIM(TEXTSPLIT(DK189,","))&amp;",",","&amp;SUBSTITUTE(input_executive_education_focus," ","")&amp;",")))=COUNTA(TEXTSPLIT(DK189,",")))),IF(DM189="",TRUE,IF(input_executive_education_focus="",TRUE,SUMPRODUCT(--ISNUMBER(SEARCH(","&amp;TRIM(TEXTSPLIT(DM189,","))&amp;",",","&amp;SUBSTITUTE(input_executive_education_focus," ","")&amp;",")))=0)),IF(DO189="",TRUE,IF(input_executive_education_focus="",FALSE,SUMPRODUCT(--ISNUMBER(SEARCH(","&amp;TRIM(TEXTSPLIT(DO189,","))&amp;",",","&amp;SUBSTITUTE(input_executive_education_focus," ","")&amp;",")))&gt;0)),IF(DQ189="",TRUE,IF(input_executive_education_focus="",FALSE,SUMPRODUCT(--ISNUMBER(SEARCH(","&amp;TRIM(TEXTSPLIT(DQ189,","))&amp;",",","&amp;SUBSTITUTE(input_executive_education_focus," ","")&amp;",")))=COUNTA(TEXTSPLIT(DQ189,",")))))</f>
        <v/>
      </c>
      <c r="JE189">
        <f>AND(IF(DS189="",TRUE,IF(input_faculty_category="",FALSE,SUMPRODUCT(--ISNUMBER(SEARCH(","&amp;TRIM(TEXTSPLIT(DS189,","))&amp;",",","&amp;SUBSTITUTE(input_faculty_category," ","")&amp;",")))&gt;0)),IF(DU189="",TRUE,IF(input_faculty_category="",FALSE,SUMPRODUCT(--ISNUMBER(SEARCH(","&amp;TRIM(TEXTSPLIT(DU189,","))&amp;",",","&amp;SUBSTITUTE(input_faculty_category," ","")&amp;",")))=COUNTA(TEXTSPLIT(DU189,",")))),IF(DW189="",TRUE,IF(input_faculty_category="",TRUE,SUMPRODUCT(--ISNUMBER(SEARCH(","&amp;TRIM(TEXTSPLIT(DW189,","))&amp;",",","&amp;SUBSTITUTE(input_faculty_category," ","")&amp;",")))=0)),IF(DY189="",TRUE,IF(input_faculty_category="",FALSE,SUMPRODUCT(--ISNUMBER(SEARCH(","&amp;TRIM(TEXTSPLIT(DY189,","))&amp;",",","&amp;SUBSTITUTE(input_faculty_category," ","")&amp;",")))&gt;0)),IF(EA189="",TRUE,IF(input_faculty_category="",FALSE,SUMPRODUCT(--ISNUMBER(SEARCH(","&amp;TRIM(TEXTSPLIT(EA189,","))&amp;",",","&amp;SUBSTITUTE(input_faculty_category," ","")&amp;",")))=COUNTA(TEXTSPLIT(EA189,",")))))</f>
        <v/>
      </c>
      <c r="JF189">
        <f>AND(IF(EC189="",TRUE,IF(input_faculty_discipline="",FALSE,SUMPRODUCT(--ISNUMBER(SEARCH(","&amp;TRIM(TEXTSPLIT(EC189,","))&amp;",",","&amp;SUBSTITUTE(input_faculty_discipline," ","")&amp;",")))&gt;0)),IF(EE189="",TRUE,IF(input_faculty_discipline="",FALSE,SUMPRODUCT(--ISNUMBER(SEARCH(","&amp;TRIM(TEXTSPLIT(EE189,","))&amp;",",","&amp;SUBSTITUTE(input_faculty_discipline," ","")&amp;",")))=COUNTA(TEXTSPLIT(EE189,",")))),IF(EG189="",TRUE,IF(input_faculty_discipline="",TRUE,SUMPRODUCT(--ISNUMBER(SEARCH(","&amp;TRIM(TEXTSPLIT(EG189,","))&amp;",",","&amp;SUBSTITUTE(input_faculty_discipline," ","")&amp;",")))=0)),IF(EI189="",TRUE,IF(input_faculty_discipline="",FALSE,SUMPRODUCT(--ISNUMBER(SEARCH(","&amp;TRIM(TEXTSPLIT(EI189,","))&amp;",",","&amp;SUBSTITUTE(input_faculty_discipline," ","")&amp;",")))&gt;0)),IF(EK189="",TRUE,IF(input_faculty_discipline="",FALSE,SUMPRODUCT(--ISNUMBER(SEARCH(","&amp;TRIM(TEXTSPLIT(EK189,","))&amp;",",","&amp;SUBSTITUTE(input_faculty_discipline," ","")&amp;",")))=COUNTA(TEXTSPLIT(EK189,",")))))</f>
        <v/>
      </c>
      <c r="JG189">
        <f>AND(IF(EM189="",TRUE,IF(input_faculty_expertise="",FALSE,SUMPRODUCT(--ISNUMBER(SEARCH(","&amp;TRIM(TEXTSPLIT(EM189,","))&amp;",",","&amp;SUBSTITUTE(input_faculty_expertise," ","")&amp;",")))&gt;0)),IF(EO189="",TRUE,IF(input_faculty_expertise="",FALSE,SUMPRODUCT(--ISNUMBER(SEARCH(","&amp;TRIM(TEXTSPLIT(EO189,","))&amp;",",","&amp;SUBSTITUTE(input_faculty_expertise," ","")&amp;",")))=COUNTA(TEXTSPLIT(EO189,",")))),IF(EQ189="",TRUE,IF(input_faculty_expertise="",TRUE,SUMPRODUCT(--ISNUMBER(SEARCH(","&amp;TRIM(TEXTSPLIT(EQ189,","))&amp;",",","&amp;SUBSTITUTE(input_faculty_expertise," ","")&amp;",")))=0)),IF(ES189="",TRUE,IF(input_faculty_expertise="",FALSE,SUMPRODUCT(--ISNUMBER(SEARCH(","&amp;TRIM(TEXTSPLIT(ES189,","))&amp;",",","&amp;SUBSTITUTE(input_faculty_expertise," ","")&amp;",")))&gt;0)),IF(EU189="",TRUE,IF(input_faculty_expertise="",FALSE,SUMPRODUCT(--ISNUMBER(SEARCH(","&amp;TRIM(TEXTSPLIT(EU189,","))&amp;",",","&amp;SUBSTITUTE(input_faculty_expertise," ","")&amp;",")))=COUNTA(TEXTSPLIT(EU189,",")))))</f>
        <v/>
      </c>
      <c r="JH189">
        <f>AND(IF(EW189="",TRUE,IF(input_global_network_school="",FALSE,SUMPRODUCT(--ISNUMBER(SEARCH(","&amp;TRIM(TEXTSPLIT(EW189,","))&amp;",",","&amp;SUBSTITUTE(input_global_network_school," ","")&amp;",")))&gt;0)),IF(EY189="",TRUE,IF(input_global_network_school="",FALSE,SUMPRODUCT(--ISNUMBER(SEARCH(","&amp;TRIM(TEXTSPLIT(EY189,","))&amp;",",","&amp;SUBSTITUTE(input_global_network_school," ","")&amp;",")))=COUNTA(TEXTSPLIT(EY189,",")))),IF(FA189="",TRUE,IF(input_global_network_school="",TRUE,SUMPRODUCT(--ISNUMBER(SEARCH(","&amp;TRIM(TEXTSPLIT(FA189,","))&amp;",",","&amp;SUBSTITUTE(input_global_network_school," ","")&amp;",")))=0)),IF(FC189="",TRUE,IF(input_global_network_school="",FALSE,SUMPRODUCT(--ISNUMBER(SEARCH(","&amp;TRIM(TEXTSPLIT(FC189,","))&amp;",",","&amp;SUBSTITUTE(input_global_network_school," ","")&amp;",")))&gt;0)),IF(FE189="",TRUE,IF(input_global_network_school="",FALSE,SUMPRODUCT(--ISNUMBER(SEARCH(","&amp;TRIM(TEXTSPLIT(FE189,","))&amp;",",","&amp;SUBSTITUTE(input_global_network_school," ","")&amp;",")))=COUNTA(TEXTSPLIT(FE189,",")))))</f>
        <v/>
      </c>
      <c r="JI189">
        <f>AND(IF(FG189="",TRUE,IF(input_industry="",FALSE,SUMPRODUCT(--ISNUMBER(SEARCH(","&amp;TRIM(TEXTSPLIT(FG189,","))&amp;",",","&amp;SUBSTITUTE(input_industry," ","")&amp;",")))&gt;0)),IF(FI189="",TRUE,IF(input_industry="",FALSE,SUMPRODUCT(--ISNUMBER(SEARCH(","&amp;TRIM(TEXTSPLIT(FI189,","))&amp;",",","&amp;SUBSTITUTE(input_industry," ","")&amp;",")))=COUNTA(TEXTSPLIT(FI189,",")))),IF(FK189="",TRUE,IF(input_industry="",TRUE,SUMPRODUCT(--ISNUMBER(SEARCH(","&amp;TRIM(TEXTSPLIT(FK189,","))&amp;",",","&amp;SUBSTITUTE(input_industry," ","")&amp;",")))=0)),IF(FM189="",TRUE,IF(input_industry="",FALSE,SUMPRODUCT(--ISNUMBER(SEARCH(","&amp;TRIM(TEXTSPLIT(FM189,","))&amp;",",","&amp;SUBSTITUTE(input_industry," ","")&amp;",")))&gt;0)),IF(FO189="",TRUE,IF(input_industry="",FALSE,SUMPRODUCT(--ISNUMBER(SEARCH(","&amp;TRIM(TEXTSPLIT(FO189,","))&amp;",",","&amp;SUBSTITUTE(input_industry," ","")&amp;",")))=COUNTA(TEXTSPLIT(FO189,",")))))</f>
        <v/>
      </c>
      <c r="JJ189">
        <f>AND(IF(FQ189="",TRUE,IF(input_location="",FALSE,SUMPRODUCT(--ISNUMBER(SEARCH(","&amp;TRIM(TEXTSPLIT(FQ189,","))&amp;",",","&amp;SUBSTITUTE(input_location," ","")&amp;",")))&gt;0)),IF(FS189="",TRUE,IF(input_location="",FALSE,SUMPRODUCT(--ISNUMBER(SEARCH(","&amp;TRIM(TEXTSPLIT(FS189,","))&amp;",",","&amp;SUBSTITUTE(input_location," ","")&amp;",")))=COUNTA(TEXTSPLIT(FS189,",")))),IF(FU189="",TRUE,IF(input_location="",TRUE,SUMPRODUCT(--ISNUMBER(SEARCH(","&amp;TRIM(TEXTSPLIT(FU189,","))&amp;",",","&amp;SUBSTITUTE(input_location," ","")&amp;",")))=0)),IF(FW189="",TRUE,IF(input_location="",FALSE,SUMPRODUCT(--ISNUMBER(SEARCH(","&amp;TRIM(TEXTSPLIT(FW189,","))&amp;",",","&amp;SUBSTITUTE(input_location," ","")&amp;",")))&gt;0)),IF(FY189="",TRUE,IF(input_location="",FALSE,SUMPRODUCT(--ISNUMBER(SEARCH(","&amp;TRIM(TEXTSPLIT(FY189,","))&amp;",",","&amp;SUBSTITUTE(input_location," ","")&amp;",")))=COUNTA(TEXTSPLIT(FY189,",")))))</f>
        <v/>
      </c>
      <c r="JK189">
        <f>AND(IF(GA189="",TRUE,IF(input_modality="",FALSE,SUMPRODUCT(--ISNUMBER(SEARCH(","&amp;TRIM(TEXTSPLIT(GA189,","))&amp;",",","&amp;SUBSTITUTE(input_modality," ","")&amp;",")))&gt;0)),IF(GC189="",TRUE,IF(input_modality="",FALSE,SUMPRODUCT(--ISNUMBER(SEARCH(","&amp;TRIM(TEXTSPLIT(GC189,","))&amp;",",","&amp;SUBSTITUTE(input_modality," ","")&amp;",")))=COUNTA(TEXTSPLIT(GC189,",")))),IF(GE189="",TRUE,IF(input_modality="",TRUE,SUMPRODUCT(--ISNUMBER(SEARCH(","&amp;TRIM(TEXTSPLIT(GE189,","))&amp;",",","&amp;SUBSTITUTE(input_modality," ","")&amp;",")))=0)),IF(GG189="",TRUE,IF(input_modality="",FALSE,SUMPRODUCT(--ISNUMBER(SEARCH(","&amp;TRIM(TEXTSPLIT(GG189,","))&amp;",",","&amp;SUBSTITUTE(input_modality," ","")&amp;",")))&gt;0)),IF(GI189="",TRUE,IF(input_modality="",FALSE,SUMPRODUCT(--ISNUMBER(SEARCH(","&amp;TRIM(TEXTSPLIT(GI189,","))&amp;",",","&amp;SUBSTITUTE(input_modality," ","")&amp;",")))=COUNTA(TEXTSPLIT(GI189,",")))))</f>
        <v/>
      </c>
      <c r="JL189">
        <f>AND(IF(GK189="",TRUE,IF(input_organizer="",FALSE,SUMPRODUCT(--ISNUMBER(SEARCH(","&amp;TRIM(TEXTSPLIT(GK189,","))&amp;",",","&amp;SUBSTITUTE(input_organizer," ","")&amp;",")))&gt;0)),IF(GM189="",TRUE,IF(input_organizer="",FALSE,SUMPRODUCT(--ISNUMBER(SEARCH(","&amp;TRIM(TEXTSPLIT(GM189,","))&amp;",",","&amp;SUBSTITUTE(input_organizer," ","")&amp;",")))=COUNTA(TEXTSPLIT(GM189,",")))),IF(GO189="",TRUE,IF(input_organizer="",TRUE,SUMPRODUCT(--ISNUMBER(SEARCH(","&amp;TRIM(TEXTSPLIT(GO189,","))&amp;",",","&amp;SUBSTITUTE(input_organizer," ","")&amp;",")))=0)),IF(GQ189="",TRUE,IF(input_organizer="",FALSE,SUMPRODUCT(--ISNUMBER(SEARCH(","&amp;TRIM(TEXTSPLIT(GQ189,","))&amp;",",","&amp;SUBSTITUTE(input_organizer," ","")&amp;",")))&gt;0)),IF(GS189="",TRUE,IF(input_organizer="",FALSE,SUMPRODUCT(--ISNUMBER(SEARCH(","&amp;TRIM(TEXTSPLIT(GS189,","))&amp;",",","&amp;SUBSTITUTE(input_organizer," ","")&amp;",")))=COUNTA(TEXTSPLIT(GS189,",")))))</f>
        <v/>
      </c>
      <c r="JM189">
        <f>AND(IF(GU189="",TRUE,IF(input_profile_type="",FALSE,SUMPRODUCT(--ISNUMBER(SEARCH(","&amp;TRIM(TEXTSPLIT(GU189,","))&amp;",",","&amp;SUBSTITUTE(input_profile_type," ","")&amp;",")))&gt;0)),IF(GW189="",TRUE,IF(input_profile_type="",FALSE,SUMPRODUCT(--ISNUMBER(SEARCH(","&amp;TRIM(TEXTSPLIT(GW189,","))&amp;",",","&amp;SUBSTITUTE(input_profile_type," ","")&amp;",")))=COUNTA(TEXTSPLIT(GW189,",")))),IF(GY189="",TRUE,IF(input_profile_type="",TRUE,SUMPRODUCT(--ISNUMBER(SEARCH(","&amp;TRIM(TEXTSPLIT(GY189,","))&amp;",",","&amp;SUBSTITUTE(input_profile_type," ","")&amp;",")))=0)),IF(HA189="",TRUE,IF(input_profile_type="",FALSE,SUMPRODUCT(--ISNUMBER(SEARCH(","&amp;TRIM(TEXTSPLIT(HA189,","))&amp;",",","&amp;SUBSTITUTE(input_profile_type," ","")&amp;",")))&gt;0)),IF(HC189="",TRUE,IF(input_profile_type="",FALSE,SUMPRODUCT(--ISNUMBER(SEARCH(","&amp;TRIM(TEXTSPLIT(HC189,","))&amp;",",","&amp;SUBSTITUTE(input_profile_type," ","")&amp;",")))=COUNTA(TEXTSPLIT(HC189,",")))))</f>
        <v/>
      </c>
      <c r="JN189">
        <f>AND(IF(HE189="",TRUE,IF(input_program="",FALSE,SUMPRODUCT(--ISNUMBER(SEARCH(","&amp;TRIM(TEXTSPLIT(HE189,","))&amp;",",","&amp;SUBSTITUTE(input_program," ","")&amp;",")))&gt;0)),IF(HG189="",TRUE,IF(input_program="",FALSE,SUMPRODUCT(--ISNUMBER(SEARCH(","&amp;TRIM(TEXTSPLIT(HG189,","))&amp;",",","&amp;SUBSTITUTE(input_program," ","")&amp;",")))=COUNTA(TEXTSPLIT(HG189,",")))),IF(HI189="",TRUE,IF(input_program="",TRUE,SUMPRODUCT(--ISNUMBER(SEARCH(","&amp;TRIM(TEXTSPLIT(HI189,","))&amp;",",","&amp;SUBSTITUTE(input_program," ","")&amp;",")))=0)),IF(HK189="",TRUE,IF(input_program="",FALSE,SUMPRODUCT(--ISNUMBER(SEARCH(","&amp;TRIM(TEXTSPLIT(HK189,","))&amp;",",","&amp;SUBSTITUTE(input_program," ","")&amp;",")))&gt;0)),IF(HM189="",TRUE,IF(input_program="",FALSE,SUMPRODUCT(--ISNUMBER(SEARCH(","&amp;TRIM(TEXTSPLIT(HM189,","))&amp;",",","&amp;SUBSTITUTE(input_program," ","")&amp;",")))=COUNTA(TEXTSPLIT(HM189,",")))))</f>
        <v/>
      </c>
      <c r="JO189">
        <f>AND(IF(HO189="",TRUE,IF(input_story_categories="",FALSE,SUMPRODUCT(--ISNUMBER(SEARCH(","&amp;TRIM(TEXTSPLIT(HO189,","))&amp;",",","&amp;SUBSTITUTE(input_story_categories," ","")&amp;",")))&gt;0)),IF(HQ189="",TRUE,IF(input_story_categories="",FALSE,SUMPRODUCT(--ISNUMBER(SEARCH(","&amp;TRIM(TEXTSPLIT(HQ189,","))&amp;",",","&amp;SUBSTITUTE(input_story_categories," ","")&amp;",")))=COUNTA(TEXTSPLIT(HQ189,",")))),IF(HS189="",TRUE,IF(input_story_categories="",TRUE,SUMPRODUCT(--ISNUMBER(SEARCH(","&amp;TRIM(TEXTSPLIT(HS189,","))&amp;",",","&amp;SUBSTITUTE(input_story_categories," ","")&amp;",")))=0)),IF(HU189="",TRUE,IF(input_story_categories="",FALSE,SUMPRODUCT(--ISNUMBER(SEARCH(","&amp;TRIM(TEXTSPLIT(HU189,","))&amp;",",","&amp;SUBSTITUTE(input_story_categories," ","")&amp;",")))&gt;0)),IF(HW189="",TRUE,IF(input_story_categories="",FALSE,SUMPRODUCT(--ISNUMBER(SEARCH(","&amp;TRIM(TEXTSPLIT(HW189,","))&amp;",",","&amp;SUBSTITUTE(input_story_categories," ","")&amp;",")))=COUNTA(TEXTSPLIT(HW189,",")))))</f>
        <v/>
      </c>
      <c r="JP189">
        <f>AND(IF(HY189="",TRUE,IF(input_story_type="",FALSE,SUMPRODUCT(--ISNUMBER(SEARCH(","&amp;TRIM(TEXTSPLIT(HY189,","))&amp;",",","&amp;SUBSTITUTE(input_story_type," ","")&amp;",")))&gt;0)),IF(IA189="",TRUE,IF(input_story_type="",FALSE,SUMPRODUCT(--ISNUMBER(SEARCH(","&amp;TRIM(TEXTSPLIT(IA189,","))&amp;",",","&amp;SUBSTITUTE(input_story_type," ","")&amp;",")))=COUNTA(TEXTSPLIT(IA189,",")))),IF(IC189="",TRUE,IF(input_story_type="",TRUE,SUMPRODUCT(--ISNUMBER(SEARCH(","&amp;TRIM(TEXTSPLIT(IC189,","))&amp;",",","&amp;SUBSTITUTE(input_story_type," ","")&amp;",")))=0)),IF(IE189="",TRUE,IF(input_story_type="",FALSE,SUMPRODUCT(--ISNUMBER(SEARCH(","&amp;TRIM(TEXTSPLIT(IE189,","))&amp;",",","&amp;SUBSTITUTE(input_story_type," ","")&amp;",")))&gt;0)),IF(IG189="",TRUE,IF(input_story_type="",FALSE,SUMPRODUCT(--ISNUMBER(SEARCH(","&amp;TRIM(TEXTSPLIT(IG189,","))&amp;",",","&amp;SUBSTITUTE(input_story_type," ","")&amp;",")))=COUNTA(TEXTSPLIT(IG189,",")))))</f>
        <v/>
      </c>
      <c r="JQ189">
        <f>AND(IF(II189="",TRUE,IF(input_topics="",FALSE,SUMPRODUCT(--ISNUMBER(SEARCH(","&amp;TRIM(TEXTSPLIT(II189,","))&amp;",",","&amp;SUBSTITUTE(input_topics," ","")&amp;",")))&gt;0)),IF(IK189="",TRUE,IF(input_topics="",FALSE,SUMPRODUCT(--ISNUMBER(SEARCH(","&amp;TRIM(TEXTSPLIT(IK189,","))&amp;",",","&amp;SUBSTITUTE(input_topics," ","")&amp;",")))=COUNTA(TEXTSPLIT(IK189,",")))),IF(IM189="",TRUE,IF(input_topics="",TRUE,SUMPRODUCT(--ISNUMBER(SEARCH(","&amp;TRIM(TEXTSPLIT(IM189,","))&amp;",",","&amp;SUBSTITUTE(input_topics," ","")&amp;",")))=0)),IF(IO189="",TRUE,IF(input_topics="",FALSE,SUMPRODUCT(--ISNUMBER(SEARCH(","&amp;TRIM(TEXTSPLIT(IO189,","))&amp;",",","&amp;SUBSTITUTE(input_topics," ","")&amp;",")))&gt;0)),IF(IQ189="",TRUE,IF(input_topics="",FALSE,SUMPRODUCT(--ISNUMBER(SEARCH(","&amp;TRIM(TEXTSPLIT(IQ189,","))&amp;",",","&amp;SUBSTITUTE(input_topics," ","")&amp;",")))=COUNTA(TEXTSPLIT(IQ189,",")))))</f>
        <v/>
      </c>
    </row>
    <row r="190">
      <c r="A190" s="4">
        <f>IF(NOT(IS190),"Excluded",IF(AND(IT190,IU190,IV190,IW190,IX190,IY190,IZ190,JA190,JB190,JC190,JD190,JE190,JF190,JG190,JH190,JI190,JJ190,JK190,JL190,JM190,JN190,JO190,JP190,JQ190),IF(I190&gt;0,"Eligible but limited","Will appear"),"Excluded"))</f>
        <v/>
      </c>
      <c r="B190" s="4" t="inlineStr">
        <is>
          <t>Related stories on story pages</t>
        </is>
      </c>
      <c r="C190" s="4" t="inlineStr">
        <is>
          <t>/news/2020/02/video-dancing-for-good-cause-at-star-search</t>
        </is>
      </c>
      <c r="D190" s="4" t="inlineStr">
        <is>
          <t>/news/2020/02/video-dancing-for-good-cause-at-star-search
/news/2021/07/social-impact-consulting-club-helps-new-haven-organizations-navigate-hard-times
/story/2023/four-graduating-students-honored-deans-mission-impact-award</t>
        </is>
      </c>
      <c r="E190" s="4" t="n">
        <v>4</v>
      </c>
      <c r="F190" s="4" t="inlineStr">
        <is>
          <t>story</t>
        </is>
      </c>
      <c r="G190" s="4" t="inlineStr">
        <is>
          <t>stories_teaser_cards</t>
        </is>
      </c>
      <c r="H190" s="4" t="inlineStr">
        <is>
          <t>embed_all</t>
        </is>
      </c>
      <c r="I190" s="4" t="n">
        <v>3</v>
      </c>
      <c r="J190" s="4" t="inlineStr">
        <is>
          <t>Template logic</t>
        </is>
      </c>
      <c r="K190" s="4" t="inlineStr">
        <is>
          <t>Grouped surface</t>
        </is>
      </c>
      <c r="L190" s="4" t="inlineStr">
        <is>
          <t>Content type: story; Context uses Courses Context: Student Life (125); Context uses Story Type: News (924); Limited to 3 item(s); Source: Template logic</t>
        </is>
      </c>
      <c r="M190" t="inlineStr"/>
      <c r="N190" t="inlineStr"/>
      <c r="O190" t="inlineStr"/>
      <c r="P190" t="inlineStr"/>
      <c r="Q190" t="inlineStr"/>
      <c r="R190" t="inlineStr"/>
      <c r="S190" t="inlineStr"/>
      <c r="T190" t="inlineStr"/>
      <c r="U190" t="inlineStr"/>
      <c r="V190" t="inlineStr"/>
      <c r="W190" t="inlineStr"/>
      <c r="X190" t="inlineStr"/>
      <c r="Y190" t="inlineStr"/>
      <c r="Z190" t="inlineStr"/>
      <c r="AA190" t="inlineStr"/>
      <c r="AB190" t="inlineStr"/>
      <c r="AC190" t="inlineStr"/>
      <c r="AD190" t="inlineStr"/>
      <c r="AE190" t="inlineStr"/>
      <c r="AF190" t="inlineStr"/>
      <c r="AG190" t="inlineStr"/>
      <c r="AH190" t="inlineStr"/>
      <c r="AI190" t="inlineStr"/>
      <c r="AJ190" t="inlineStr"/>
      <c r="AK190" t="inlineStr"/>
      <c r="AL190" t="inlineStr"/>
      <c r="AM190" t="inlineStr"/>
      <c r="AN190" t="inlineStr"/>
      <c r="AO190" t="inlineStr"/>
      <c r="AP190" t="inlineStr"/>
      <c r="AQ190" t="inlineStr"/>
      <c r="AR190" t="inlineStr"/>
      <c r="AS190" t="inlineStr"/>
      <c r="AT190" t="inlineStr"/>
      <c r="AU190" t="inlineStr"/>
      <c r="AV190" t="inlineStr"/>
      <c r="AW190" t="inlineStr"/>
      <c r="AX190" t="inlineStr"/>
      <c r="AY190" t="inlineStr"/>
      <c r="AZ190" t="inlineStr"/>
      <c r="BA190" t="inlineStr"/>
      <c r="BB190" t="inlineStr"/>
      <c r="BC190" t="inlineStr"/>
      <c r="BD190" t="inlineStr"/>
      <c r="BE190" t="inlineStr"/>
      <c r="BF190" t="inlineStr"/>
      <c r="BG190" t="inlineStr"/>
      <c r="BH190" t="inlineStr"/>
      <c r="BI190" t="inlineStr"/>
      <c r="BJ190" t="inlineStr"/>
      <c r="BK190" t="inlineStr"/>
      <c r="BL190" t="inlineStr"/>
      <c r="BM190" t="inlineStr"/>
      <c r="BN190" t="inlineStr"/>
      <c r="BO190" t="inlineStr"/>
      <c r="BP190" t="inlineStr"/>
      <c r="BQ190" t="inlineStr">
        <is>
          <t>125</t>
        </is>
      </c>
      <c r="BR190" t="inlineStr">
        <is>
          <t>Student Life (125)</t>
        </is>
      </c>
      <c r="BS190" t="inlineStr"/>
      <c r="BT190" t="inlineStr"/>
      <c r="BU190" t="inlineStr"/>
      <c r="BV190" t="inlineStr"/>
      <c r="BW190" t="inlineStr"/>
      <c r="BX190" t="inlineStr"/>
      <c r="BY190" t="inlineStr"/>
      <c r="BZ190" t="inlineStr"/>
      <c r="CA190" t="inlineStr"/>
      <c r="CB190" t="inlineStr"/>
      <c r="CC190" t="inlineStr"/>
      <c r="CD190" t="inlineStr"/>
      <c r="CE190" t="inlineStr"/>
      <c r="CF190" t="inlineStr"/>
      <c r="CG190" t="inlineStr"/>
      <c r="CH190" t="inlineStr"/>
      <c r="CI190" t="inlineStr"/>
      <c r="CJ190" t="inlineStr"/>
      <c r="CK190" t="inlineStr"/>
      <c r="CL190" t="inlineStr"/>
      <c r="CM190" t="inlineStr"/>
      <c r="CN190" t="inlineStr"/>
      <c r="CO190" t="inlineStr"/>
      <c r="CP190" t="inlineStr"/>
      <c r="CQ190" t="inlineStr"/>
      <c r="CR190" t="inlineStr"/>
      <c r="CS190" t="inlineStr"/>
      <c r="CT190" t="inlineStr"/>
      <c r="CU190" t="inlineStr"/>
      <c r="CV190" t="inlineStr"/>
      <c r="CW190" t="inlineStr"/>
      <c r="CX190" t="inlineStr"/>
      <c r="CY190" t="inlineStr"/>
      <c r="CZ190" t="inlineStr"/>
      <c r="DA190" t="inlineStr"/>
      <c r="DB190" t="inlineStr"/>
      <c r="DC190" t="inlineStr"/>
      <c r="DD190" t="inlineStr"/>
      <c r="DE190" t="inlineStr"/>
      <c r="DF190" t="inlineStr"/>
      <c r="DG190" t="inlineStr"/>
      <c r="DH190" t="inlineStr"/>
      <c r="DI190" t="inlineStr"/>
      <c r="DJ190" t="inlineStr"/>
      <c r="DK190" t="inlineStr"/>
      <c r="DL190" t="inlineStr"/>
      <c r="DM190" t="inlineStr"/>
      <c r="DN190" t="inlineStr"/>
      <c r="DO190" t="inlineStr"/>
      <c r="DP190" t="inlineStr"/>
      <c r="DQ190" t="inlineStr"/>
      <c r="DR190" t="inlineStr"/>
      <c r="DS190" t="inlineStr"/>
      <c r="DT190" t="inlineStr"/>
      <c r="DU190" t="inlineStr"/>
      <c r="DV190" t="inlineStr"/>
      <c r="DW190" t="inlineStr"/>
      <c r="DX190" t="inlineStr"/>
      <c r="DY190" t="inlineStr"/>
      <c r="DZ190" t="inlineStr"/>
      <c r="EA190" t="inlineStr"/>
      <c r="EB190" t="inlineStr"/>
      <c r="EC190" t="inlineStr"/>
      <c r="ED190" t="inlineStr"/>
      <c r="EE190" t="inlineStr"/>
      <c r="EF190" t="inlineStr"/>
      <c r="EG190" t="inlineStr"/>
      <c r="EH190" t="inlineStr"/>
      <c r="EI190" t="inlineStr"/>
      <c r="EJ190" t="inlineStr"/>
      <c r="EK190" t="inlineStr"/>
      <c r="EL190" t="inlineStr"/>
      <c r="EM190" t="inlineStr"/>
      <c r="EN190" t="inlineStr"/>
      <c r="EO190" t="inlineStr"/>
      <c r="EP190" t="inlineStr"/>
      <c r="EQ190" t="inlineStr"/>
      <c r="ER190" t="inlineStr"/>
      <c r="ES190" t="inlineStr"/>
      <c r="ET190" t="inlineStr"/>
      <c r="EU190" t="inlineStr"/>
      <c r="EV190" t="inlineStr"/>
      <c r="EW190" t="inlineStr"/>
      <c r="EX190" t="inlineStr"/>
      <c r="EY190" t="inlineStr"/>
      <c r="EZ190" t="inlineStr"/>
      <c r="FA190" t="inlineStr"/>
      <c r="FB190" t="inlineStr"/>
      <c r="FC190" t="inlineStr"/>
      <c r="FD190" t="inlineStr"/>
      <c r="FE190" t="inlineStr"/>
      <c r="FF190" t="inlineStr"/>
      <c r="FG190" t="inlineStr"/>
      <c r="FH190" t="inlineStr"/>
      <c r="FI190" t="inlineStr"/>
      <c r="FJ190" t="inlineStr"/>
      <c r="FK190" t="inlineStr"/>
      <c r="FL190" t="inlineStr"/>
      <c r="FM190" t="inlineStr"/>
      <c r="FN190" t="inlineStr"/>
      <c r="FO190" t="inlineStr"/>
      <c r="FP190" t="inlineStr"/>
      <c r="FQ190" t="inlineStr"/>
      <c r="FR190" t="inlineStr"/>
      <c r="FS190" t="inlineStr"/>
      <c r="FT190" t="inlineStr"/>
      <c r="FU190" t="inlineStr"/>
      <c r="FV190" t="inlineStr"/>
      <c r="FW190" t="inlineStr"/>
      <c r="FX190" t="inlineStr"/>
      <c r="FY190" t="inlineStr"/>
      <c r="FZ190" t="inlineStr"/>
      <c r="GA190" t="inlineStr"/>
      <c r="GB190" t="inlineStr"/>
      <c r="GC190" t="inlineStr"/>
      <c r="GD190" t="inlineStr"/>
      <c r="GE190" t="inlineStr"/>
      <c r="GF190" t="inlineStr"/>
      <c r="GG190" t="inlineStr"/>
      <c r="GH190" t="inlineStr"/>
      <c r="GI190" t="inlineStr"/>
      <c r="GJ190" t="inlineStr"/>
      <c r="GK190" t="inlineStr"/>
      <c r="GL190" t="inlineStr"/>
      <c r="GM190" t="inlineStr"/>
      <c r="GN190" t="inlineStr"/>
      <c r="GO190" t="inlineStr"/>
      <c r="GP190" t="inlineStr"/>
      <c r="GQ190" t="inlineStr"/>
      <c r="GR190" t="inlineStr"/>
      <c r="GS190" t="inlineStr"/>
      <c r="GT190" t="inlineStr"/>
      <c r="GU190" t="inlineStr"/>
      <c r="GV190" t="inlineStr"/>
      <c r="GW190" t="inlineStr"/>
      <c r="GX190" t="inlineStr"/>
      <c r="GY190" t="inlineStr"/>
      <c r="GZ190" t="inlineStr"/>
      <c r="HA190" t="inlineStr"/>
      <c r="HB190" t="inlineStr"/>
      <c r="HC190" t="inlineStr"/>
      <c r="HD190" t="inlineStr"/>
      <c r="HE190" t="inlineStr"/>
      <c r="HF190" t="inlineStr"/>
      <c r="HG190" t="inlineStr"/>
      <c r="HH190" t="inlineStr"/>
      <c r="HI190" t="inlineStr"/>
      <c r="HJ190" t="inlineStr"/>
      <c r="HK190" t="inlineStr"/>
      <c r="HL190" t="inlineStr"/>
      <c r="HM190" t="inlineStr"/>
      <c r="HN190" t="inlineStr"/>
      <c r="HO190" t="inlineStr"/>
      <c r="HP190" t="inlineStr"/>
      <c r="HQ190" t="inlineStr"/>
      <c r="HR190" t="inlineStr"/>
      <c r="HS190" t="inlineStr"/>
      <c r="HT190" t="inlineStr"/>
      <c r="HU190" t="inlineStr"/>
      <c r="HV190" t="inlineStr"/>
      <c r="HW190" t="inlineStr"/>
      <c r="HX190" t="inlineStr"/>
      <c r="HY190" t="inlineStr"/>
      <c r="HZ190" t="inlineStr"/>
      <c r="IA190" t="inlineStr"/>
      <c r="IB190" t="inlineStr"/>
      <c r="IC190" t="inlineStr"/>
      <c r="ID190" t="inlineStr"/>
      <c r="IE190" t="inlineStr">
        <is>
          <t>924</t>
        </is>
      </c>
      <c r="IF190" t="inlineStr">
        <is>
          <t>News (924)</t>
        </is>
      </c>
      <c r="IG190" t="inlineStr"/>
      <c r="IH190" t="inlineStr"/>
      <c r="II190" t="inlineStr"/>
      <c r="IJ190" t="inlineStr"/>
      <c r="IK190" t="inlineStr"/>
      <c r="IL190" t="inlineStr"/>
      <c r="IM190" t="inlineStr"/>
      <c r="IN190" t="inlineStr"/>
      <c r="IO190" t="inlineStr"/>
      <c r="IP190" t="inlineStr"/>
      <c r="IQ190" t="inlineStr"/>
      <c r="IR190" t="inlineStr"/>
      <c r="IS190">
        <f>IF(input_content_type="",FALSE,ISNUMBER(SEARCH(","&amp;LOWER(input_content_type)&amp;",",","&amp;LOWER(F190)&amp;",")))</f>
        <v/>
      </c>
      <c r="IT190">
        <f>AND(IF(M190="",TRUE,IF(input_affiliations="",FALSE,SUMPRODUCT(--ISNUMBER(SEARCH(","&amp;TRIM(TEXTSPLIT(M190,","))&amp;",",","&amp;SUBSTITUTE(input_affiliations," ","")&amp;",")))&gt;0)),IF(O190="",TRUE,IF(input_affiliations="",FALSE,SUMPRODUCT(--ISNUMBER(SEARCH(","&amp;TRIM(TEXTSPLIT(O190,","))&amp;",",","&amp;SUBSTITUTE(input_affiliations," ","")&amp;",")))=COUNTA(TEXTSPLIT(O190,",")))),IF(Q190="",TRUE,IF(input_affiliations="",TRUE,SUMPRODUCT(--ISNUMBER(SEARCH(","&amp;TRIM(TEXTSPLIT(Q190,","))&amp;",",","&amp;SUBSTITUTE(input_affiliations," ","")&amp;",")))=0)),IF(S190="",TRUE,IF(input_affiliations="",FALSE,SUMPRODUCT(--ISNUMBER(SEARCH(","&amp;TRIM(TEXTSPLIT(S190,","))&amp;",",","&amp;SUBSTITUTE(input_affiliations," ","")&amp;",")))&gt;0)),IF(U190="",TRUE,IF(input_affiliations="",FALSE,SUMPRODUCT(--ISNUMBER(SEARCH(","&amp;TRIM(TEXTSPLIT(U190,","))&amp;",",","&amp;SUBSTITUTE(input_affiliations," ","")&amp;",")))=COUNTA(TEXTSPLIT(U190,",")))))</f>
        <v/>
      </c>
      <c r="IU190">
        <f>AND(IF(W190="",TRUE,IF(input_announcement_category="",FALSE,SUMPRODUCT(--ISNUMBER(SEARCH(","&amp;TRIM(TEXTSPLIT(W190,","))&amp;",",","&amp;SUBSTITUTE(input_announcement_category," ","")&amp;",")))&gt;0)),IF(Y190="",TRUE,IF(input_announcement_category="",FALSE,SUMPRODUCT(--ISNUMBER(SEARCH(","&amp;TRIM(TEXTSPLIT(Y190,","))&amp;",",","&amp;SUBSTITUTE(input_announcement_category," ","")&amp;",")))=COUNTA(TEXTSPLIT(Y190,",")))),IF(AA190="",TRUE,IF(input_announcement_category="",TRUE,SUMPRODUCT(--ISNUMBER(SEARCH(","&amp;TRIM(TEXTSPLIT(AA190,","))&amp;",",","&amp;SUBSTITUTE(input_announcement_category," ","")&amp;",")))=0)),IF(AC190="",TRUE,IF(input_announcement_category="",FALSE,SUMPRODUCT(--ISNUMBER(SEARCH(","&amp;TRIM(TEXTSPLIT(AC190,","))&amp;",",","&amp;SUBSTITUTE(input_announcement_category," ","")&amp;",")))&gt;0)),IF(AE190="",TRUE,IF(input_announcement_category="",FALSE,SUMPRODUCT(--ISNUMBER(SEARCH(","&amp;TRIM(TEXTSPLIT(AE190,","))&amp;",",","&amp;SUBSTITUTE(input_announcement_category," ","")&amp;",")))=COUNTA(TEXTSPLIT(AE190,",")))))</f>
        <v/>
      </c>
      <c r="IV190">
        <f>AND(IF(AG190="",TRUE,IF(input_area_of_focus="",FALSE,SUMPRODUCT(--ISNUMBER(SEARCH(","&amp;TRIM(TEXTSPLIT(AG190,","))&amp;",",","&amp;SUBSTITUTE(input_area_of_focus," ","")&amp;",")))&gt;0)),IF(AI190="",TRUE,IF(input_area_of_focus="",FALSE,SUMPRODUCT(--ISNUMBER(SEARCH(","&amp;TRIM(TEXTSPLIT(AI190,","))&amp;",",","&amp;SUBSTITUTE(input_area_of_focus," ","")&amp;",")))=COUNTA(TEXTSPLIT(AI190,",")))),IF(AK190="",TRUE,IF(input_area_of_focus="",TRUE,SUMPRODUCT(--ISNUMBER(SEARCH(","&amp;TRIM(TEXTSPLIT(AK190,","))&amp;",",","&amp;SUBSTITUTE(input_area_of_focus," ","")&amp;",")))=0)),IF(AM190="",TRUE,IF(input_area_of_focus="",FALSE,SUMPRODUCT(--ISNUMBER(SEARCH(","&amp;TRIM(TEXTSPLIT(AM190,","))&amp;",",","&amp;SUBSTITUTE(input_area_of_focus," ","")&amp;",")))&gt;0)),IF(AO190="",TRUE,IF(input_area_of_focus="",FALSE,SUMPRODUCT(--ISNUMBER(SEARCH(","&amp;TRIM(TEXTSPLIT(AO190,","))&amp;",",","&amp;SUBSTITUTE(input_area_of_focus," ","")&amp;",")))=COUNTA(TEXTSPLIT(AO190,",")))))</f>
        <v/>
      </c>
      <c r="IW190">
        <f>AND(IF(AQ190="",TRUE,IF(input_audience="",FALSE,SUMPRODUCT(--ISNUMBER(SEARCH(","&amp;TRIM(TEXTSPLIT(AQ190,","))&amp;",",","&amp;SUBSTITUTE(input_audience," ","")&amp;",")))&gt;0)),IF(AS190="",TRUE,IF(input_audience="",FALSE,SUMPRODUCT(--ISNUMBER(SEARCH(","&amp;TRIM(TEXTSPLIT(AS190,","))&amp;",",","&amp;SUBSTITUTE(input_audience," ","")&amp;",")))=COUNTA(TEXTSPLIT(AS190,",")))),IF(AU190="",TRUE,IF(input_audience="",TRUE,SUMPRODUCT(--ISNUMBER(SEARCH(","&amp;TRIM(TEXTSPLIT(AU190,","))&amp;",",","&amp;SUBSTITUTE(input_audience," ","")&amp;",")))=0)),IF(AW190="",TRUE,IF(input_audience="",FALSE,SUMPRODUCT(--ISNUMBER(SEARCH(","&amp;TRIM(TEXTSPLIT(AW190,","))&amp;",",","&amp;SUBSTITUTE(input_audience," ","")&amp;",")))&gt;0)),IF(AY190="",TRUE,IF(input_audience="",FALSE,SUMPRODUCT(--ISNUMBER(SEARCH(","&amp;TRIM(TEXTSPLIT(AY190,","))&amp;",",","&amp;SUBSTITUTE(input_audience," ","")&amp;",")))=COUNTA(TEXTSPLIT(AY190,",")))))</f>
        <v/>
      </c>
      <c r="IX190">
        <f>AND(IF(BA190="",TRUE,IF(input_challenge_opportunities="",FALSE,SUMPRODUCT(--ISNUMBER(SEARCH(","&amp;TRIM(TEXTSPLIT(BA190,","))&amp;",",","&amp;SUBSTITUTE(input_challenge_opportunities," ","")&amp;",")))&gt;0)),IF(BC190="",TRUE,IF(input_challenge_opportunities="",FALSE,SUMPRODUCT(--ISNUMBER(SEARCH(","&amp;TRIM(TEXTSPLIT(BC190,","))&amp;",",","&amp;SUBSTITUTE(input_challenge_opportunities," ","")&amp;",")))=COUNTA(TEXTSPLIT(BC190,",")))),IF(BE190="",TRUE,IF(input_challenge_opportunities="",TRUE,SUMPRODUCT(--ISNUMBER(SEARCH(","&amp;TRIM(TEXTSPLIT(BE190,","))&amp;",",","&amp;SUBSTITUTE(input_challenge_opportunities," ","")&amp;",")))=0)),IF(BG190="",TRUE,IF(input_challenge_opportunities="",FALSE,SUMPRODUCT(--ISNUMBER(SEARCH(","&amp;TRIM(TEXTSPLIT(BG190,","))&amp;",",","&amp;SUBSTITUTE(input_challenge_opportunities," ","")&amp;",")))&gt;0)),IF(BI190="",TRUE,IF(input_challenge_opportunities="",FALSE,SUMPRODUCT(--ISNUMBER(SEARCH(","&amp;TRIM(TEXTSPLIT(BI190,","))&amp;",",","&amp;SUBSTITUTE(input_challenge_opportunities," ","")&amp;",")))=COUNTA(TEXTSPLIT(BI190,",")))))</f>
        <v/>
      </c>
      <c r="IY190">
        <f>AND(IF(BK190="",TRUE,IF(input_context="",FALSE,SUMPRODUCT(--ISNUMBER(SEARCH(","&amp;TRIM(TEXTSPLIT(BK190,","))&amp;",",","&amp;SUBSTITUTE(input_context," ","")&amp;",")))&gt;0)),IF(BM190="",TRUE,IF(input_context="",FALSE,SUMPRODUCT(--ISNUMBER(SEARCH(","&amp;TRIM(TEXTSPLIT(BM190,","))&amp;",",","&amp;SUBSTITUTE(input_context," ","")&amp;",")))=COUNTA(TEXTSPLIT(BM190,",")))),IF(BO190="",TRUE,IF(input_context="",TRUE,SUMPRODUCT(--ISNUMBER(SEARCH(","&amp;TRIM(TEXTSPLIT(BO190,","))&amp;",",","&amp;SUBSTITUTE(input_context," ","")&amp;",")))=0)),IF(BQ190="",TRUE,IF(input_context="",FALSE,SUMPRODUCT(--ISNUMBER(SEARCH(","&amp;TRIM(TEXTSPLIT(BQ190,","))&amp;",",","&amp;SUBSTITUTE(input_context," ","")&amp;",")))&gt;0)),IF(BS190="",TRUE,IF(input_context="",FALSE,SUMPRODUCT(--ISNUMBER(SEARCH(","&amp;TRIM(TEXTSPLIT(BS190,","))&amp;",",","&amp;SUBSTITUTE(input_context," ","")&amp;",")))=COUNTA(TEXTSPLIT(BS190,",")))))</f>
        <v/>
      </c>
      <c r="IZ190">
        <f>AND(IF(BU190="",TRUE,IF(input_enews_announcement_type="",FALSE,SUMPRODUCT(--ISNUMBER(SEARCH(","&amp;TRIM(TEXTSPLIT(BU190,","))&amp;",",","&amp;SUBSTITUTE(input_enews_announcement_type," ","")&amp;",")))&gt;0)),IF(BW190="",TRUE,IF(input_enews_announcement_type="",FALSE,SUMPRODUCT(--ISNUMBER(SEARCH(","&amp;TRIM(TEXTSPLIT(BW190,","))&amp;",",","&amp;SUBSTITUTE(input_enews_announcement_type," ","")&amp;",")))=COUNTA(TEXTSPLIT(BW190,",")))),IF(BY190="",TRUE,IF(input_enews_announcement_type="",TRUE,SUMPRODUCT(--ISNUMBER(SEARCH(","&amp;TRIM(TEXTSPLIT(BY190,","))&amp;",",","&amp;SUBSTITUTE(input_enews_announcement_type," ","")&amp;",")))=0)),IF(CA190="",TRUE,IF(input_enews_announcement_type="",FALSE,SUMPRODUCT(--ISNUMBER(SEARCH(","&amp;TRIM(TEXTSPLIT(CA190,","))&amp;",",","&amp;SUBSTITUTE(input_enews_announcement_type," ","")&amp;",")))&gt;0)),IF(CC190="",TRUE,IF(input_enews_announcement_type="",FALSE,SUMPRODUCT(--ISNUMBER(SEARCH(","&amp;TRIM(TEXTSPLIT(CC190,","))&amp;",",","&amp;SUBSTITUTE(input_enews_announcement_type," ","")&amp;",")))=COUNTA(TEXTSPLIT(CC190,",")))))</f>
        <v/>
      </c>
      <c r="JA190">
        <f>AND(IF(CE190="",TRUE,IF(input_enews_audience="",FALSE,SUMPRODUCT(--ISNUMBER(SEARCH(","&amp;TRIM(TEXTSPLIT(CE190,","))&amp;",",","&amp;SUBSTITUTE(input_enews_audience," ","")&amp;",")))&gt;0)),IF(CG190="",TRUE,IF(input_enews_audience="",FALSE,SUMPRODUCT(--ISNUMBER(SEARCH(","&amp;TRIM(TEXTSPLIT(CG190,","))&amp;",",","&amp;SUBSTITUTE(input_enews_audience," ","")&amp;",")))=COUNTA(TEXTSPLIT(CG190,",")))),IF(CI190="",TRUE,IF(input_enews_audience="",TRUE,SUMPRODUCT(--ISNUMBER(SEARCH(","&amp;TRIM(TEXTSPLIT(CI190,","))&amp;",",","&amp;SUBSTITUTE(input_enews_audience," ","")&amp;",")))=0)),IF(CK190="",TRUE,IF(input_enews_audience="",FALSE,SUMPRODUCT(--ISNUMBER(SEARCH(","&amp;TRIM(TEXTSPLIT(CK190,","))&amp;",",","&amp;SUBSTITUTE(input_enews_audience," ","")&amp;",")))&gt;0)),IF(CM190="",TRUE,IF(input_enews_audience="",FALSE,SUMPRODUCT(--ISNUMBER(SEARCH(","&amp;TRIM(TEXTSPLIT(CM190,","))&amp;",",","&amp;SUBSTITUTE(input_enews_audience," ","")&amp;",")))=COUNTA(TEXTSPLIT(CM190,",")))))</f>
        <v/>
      </c>
      <c r="JB190">
        <f>AND(IF(CO190="",TRUE,IF(input_event_location="",FALSE,SUMPRODUCT(--ISNUMBER(SEARCH(","&amp;TRIM(TEXTSPLIT(CO190,","))&amp;",",","&amp;SUBSTITUTE(input_event_location," ","")&amp;",")))&gt;0)),IF(CQ190="",TRUE,IF(input_event_location="",FALSE,SUMPRODUCT(--ISNUMBER(SEARCH(","&amp;TRIM(TEXTSPLIT(CQ190,","))&amp;",",","&amp;SUBSTITUTE(input_event_location," ","")&amp;",")))=COUNTA(TEXTSPLIT(CQ190,",")))),IF(CS190="",TRUE,IF(input_event_location="",TRUE,SUMPRODUCT(--ISNUMBER(SEARCH(","&amp;TRIM(TEXTSPLIT(CS190,","))&amp;",",","&amp;SUBSTITUTE(input_event_location," ","")&amp;",")))=0)),IF(CU190="",TRUE,IF(input_event_location="",FALSE,SUMPRODUCT(--ISNUMBER(SEARCH(","&amp;TRIM(TEXTSPLIT(CU190,","))&amp;",",","&amp;SUBSTITUTE(input_event_location," ","")&amp;",")))&gt;0)),IF(CW190="",TRUE,IF(input_event_location="",FALSE,SUMPRODUCT(--ISNUMBER(SEARCH(","&amp;TRIM(TEXTSPLIT(CW190,","))&amp;",",","&amp;SUBSTITUTE(input_event_location," ","")&amp;",")))=COUNTA(TEXTSPLIT(CW190,",")))))</f>
        <v/>
      </c>
      <c r="JC190">
        <f>AND(IF(CY190="",TRUE,IF(input_event_type="",FALSE,SUMPRODUCT(--ISNUMBER(SEARCH(","&amp;TRIM(TEXTSPLIT(CY190,","))&amp;",",","&amp;SUBSTITUTE(input_event_type," ","")&amp;",")))&gt;0)),IF(DA190="",TRUE,IF(input_event_type="",FALSE,SUMPRODUCT(--ISNUMBER(SEARCH(","&amp;TRIM(TEXTSPLIT(DA190,","))&amp;",",","&amp;SUBSTITUTE(input_event_type," ","")&amp;",")))=COUNTA(TEXTSPLIT(DA190,",")))),IF(DC190="",TRUE,IF(input_event_type="",TRUE,SUMPRODUCT(--ISNUMBER(SEARCH(","&amp;TRIM(TEXTSPLIT(DC190,","))&amp;",",","&amp;SUBSTITUTE(input_event_type," ","")&amp;",")))=0)),IF(DE190="",TRUE,IF(input_event_type="",FALSE,SUMPRODUCT(--ISNUMBER(SEARCH(","&amp;TRIM(TEXTSPLIT(DE190,","))&amp;",",","&amp;SUBSTITUTE(input_event_type," ","")&amp;",")))&gt;0)),IF(DG190="",TRUE,IF(input_event_type="",FALSE,SUMPRODUCT(--ISNUMBER(SEARCH(","&amp;TRIM(TEXTSPLIT(DG190,","))&amp;",",","&amp;SUBSTITUTE(input_event_type," ","")&amp;",")))=COUNTA(TEXTSPLIT(DG190,",")))))</f>
        <v/>
      </c>
      <c r="JD190">
        <f>AND(IF(DI190="",TRUE,IF(input_executive_education_focus="",FALSE,SUMPRODUCT(--ISNUMBER(SEARCH(","&amp;TRIM(TEXTSPLIT(DI190,","))&amp;",",","&amp;SUBSTITUTE(input_executive_education_focus," ","")&amp;",")))&gt;0)),IF(DK190="",TRUE,IF(input_executive_education_focus="",FALSE,SUMPRODUCT(--ISNUMBER(SEARCH(","&amp;TRIM(TEXTSPLIT(DK190,","))&amp;",",","&amp;SUBSTITUTE(input_executive_education_focus," ","")&amp;",")))=COUNTA(TEXTSPLIT(DK190,",")))),IF(DM190="",TRUE,IF(input_executive_education_focus="",TRUE,SUMPRODUCT(--ISNUMBER(SEARCH(","&amp;TRIM(TEXTSPLIT(DM190,","))&amp;",",","&amp;SUBSTITUTE(input_executive_education_focus," ","")&amp;",")))=0)),IF(DO190="",TRUE,IF(input_executive_education_focus="",FALSE,SUMPRODUCT(--ISNUMBER(SEARCH(","&amp;TRIM(TEXTSPLIT(DO190,","))&amp;",",","&amp;SUBSTITUTE(input_executive_education_focus," ","")&amp;",")))&gt;0)),IF(DQ190="",TRUE,IF(input_executive_education_focus="",FALSE,SUMPRODUCT(--ISNUMBER(SEARCH(","&amp;TRIM(TEXTSPLIT(DQ190,","))&amp;",",","&amp;SUBSTITUTE(input_executive_education_focus," ","")&amp;",")))=COUNTA(TEXTSPLIT(DQ190,",")))))</f>
        <v/>
      </c>
      <c r="JE190">
        <f>AND(IF(DS190="",TRUE,IF(input_faculty_category="",FALSE,SUMPRODUCT(--ISNUMBER(SEARCH(","&amp;TRIM(TEXTSPLIT(DS190,","))&amp;",",","&amp;SUBSTITUTE(input_faculty_category," ","")&amp;",")))&gt;0)),IF(DU190="",TRUE,IF(input_faculty_category="",FALSE,SUMPRODUCT(--ISNUMBER(SEARCH(","&amp;TRIM(TEXTSPLIT(DU190,","))&amp;",",","&amp;SUBSTITUTE(input_faculty_category," ","")&amp;",")))=COUNTA(TEXTSPLIT(DU190,",")))),IF(DW190="",TRUE,IF(input_faculty_category="",TRUE,SUMPRODUCT(--ISNUMBER(SEARCH(","&amp;TRIM(TEXTSPLIT(DW190,","))&amp;",",","&amp;SUBSTITUTE(input_faculty_category," ","")&amp;",")))=0)),IF(DY190="",TRUE,IF(input_faculty_category="",FALSE,SUMPRODUCT(--ISNUMBER(SEARCH(","&amp;TRIM(TEXTSPLIT(DY190,","))&amp;",",","&amp;SUBSTITUTE(input_faculty_category," ","")&amp;",")))&gt;0)),IF(EA190="",TRUE,IF(input_faculty_category="",FALSE,SUMPRODUCT(--ISNUMBER(SEARCH(","&amp;TRIM(TEXTSPLIT(EA190,","))&amp;",",","&amp;SUBSTITUTE(input_faculty_category," ","")&amp;",")))=COUNTA(TEXTSPLIT(EA190,",")))))</f>
        <v/>
      </c>
      <c r="JF190">
        <f>AND(IF(EC190="",TRUE,IF(input_faculty_discipline="",FALSE,SUMPRODUCT(--ISNUMBER(SEARCH(","&amp;TRIM(TEXTSPLIT(EC190,","))&amp;",",","&amp;SUBSTITUTE(input_faculty_discipline," ","")&amp;",")))&gt;0)),IF(EE190="",TRUE,IF(input_faculty_discipline="",FALSE,SUMPRODUCT(--ISNUMBER(SEARCH(","&amp;TRIM(TEXTSPLIT(EE190,","))&amp;",",","&amp;SUBSTITUTE(input_faculty_discipline," ","")&amp;",")))=COUNTA(TEXTSPLIT(EE190,",")))),IF(EG190="",TRUE,IF(input_faculty_discipline="",TRUE,SUMPRODUCT(--ISNUMBER(SEARCH(","&amp;TRIM(TEXTSPLIT(EG190,","))&amp;",",","&amp;SUBSTITUTE(input_faculty_discipline," ","")&amp;",")))=0)),IF(EI190="",TRUE,IF(input_faculty_discipline="",FALSE,SUMPRODUCT(--ISNUMBER(SEARCH(","&amp;TRIM(TEXTSPLIT(EI190,","))&amp;",",","&amp;SUBSTITUTE(input_faculty_discipline," ","")&amp;",")))&gt;0)),IF(EK190="",TRUE,IF(input_faculty_discipline="",FALSE,SUMPRODUCT(--ISNUMBER(SEARCH(","&amp;TRIM(TEXTSPLIT(EK190,","))&amp;",",","&amp;SUBSTITUTE(input_faculty_discipline," ","")&amp;",")))=COUNTA(TEXTSPLIT(EK190,",")))))</f>
        <v/>
      </c>
      <c r="JG190">
        <f>AND(IF(EM190="",TRUE,IF(input_faculty_expertise="",FALSE,SUMPRODUCT(--ISNUMBER(SEARCH(","&amp;TRIM(TEXTSPLIT(EM190,","))&amp;",",","&amp;SUBSTITUTE(input_faculty_expertise," ","")&amp;",")))&gt;0)),IF(EO190="",TRUE,IF(input_faculty_expertise="",FALSE,SUMPRODUCT(--ISNUMBER(SEARCH(","&amp;TRIM(TEXTSPLIT(EO190,","))&amp;",",","&amp;SUBSTITUTE(input_faculty_expertise," ","")&amp;",")))=COUNTA(TEXTSPLIT(EO190,",")))),IF(EQ190="",TRUE,IF(input_faculty_expertise="",TRUE,SUMPRODUCT(--ISNUMBER(SEARCH(","&amp;TRIM(TEXTSPLIT(EQ190,","))&amp;",",","&amp;SUBSTITUTE(input_faculty_expertise," ","")&amp;",")))=0)),IF(ES190="",TRUE,IF(input_faculty_expertise="",FALSE,SUMPRODUCT(--ISNUMBER(SEARCH(","&amp;TRIM(TEXTSPLIT(ES190,","))&amp;",",","&amp;SUBSTITUTE(input_faculty_expertise," ","")&amp;",")))&gt;0)),IF(EU190="",TRUE,IF(input_faculty_expertise="",FALSE,SUMPRODUCT(--ISNUMBER(SEARCH(","&amp;TRIM(TEXTSPLIT(EU190,","))&amp;",",","&amp;SUBSTITUTE(input_faculty_expertise," ","")&amp;",")))=COUNTA(TEXTSPLIT(EU190,",")))))</f>
        <v/>
      </c>
      <c r="JH190">
        <f>AND(IF(EW190="",TRUE,IF(input_global_network_school="",FALSE,SUMPRODUCT(--ISNUMBER(SEARCH(","&amp;TRIM(TEXTSPLIT(EW190,","))&amp;",",","&amp;SUBSTITUTE(input_global_network_school," ","")&amp;",")))&gt;0)),IF(EY190="",TRUE,IF(input_global_network_school="",FALSE,SUMPRODUCT(--ISNUMBER(SEARCH(","&amp;TRIM(TEXTSPLIT(EY190,","))&amp;",",","&amp;SUBSTITUTE(input_global_network_school," ","")&amp;",")))=COUNTA(TEXTSPLIT(EY190,",")))),IF(FA190="",TRUE,IF(input_global_network_school="",TRUE,SUMPRODUCT(--ISNUMBER(SEARCH(","&amp;TRIM(TEXTSPLIT(FA190,","))&amp;",",","&amp;SUBSTITUTE(input_global_network_school," ","")&amp;",")))=0)),IF(FC190="",TRUE,IF(input_global_network_school="",FALSE,SUMPRODUCT(--ISNUMBER(SEARCH(","&amp;TRIM(TEXTSPLIT(FC190,","))&amp;",",","&amp;SUBSTITUTE(input_global_network_school," ","")&amp;",")))&gt;0)),IF(FE190="",TRUE,IF(input_global_network_school="",FALSE,SUMPRODUCT(--ISNUMBER(SEARCH(","&amp;TRIM(TEXTSPLIT(FE190,","))&amp;",",","&amp;SUBSTITUTE(input_global_network_school," ","")&amp;",")))=COUNTA(TEXTSPLIT(FE190,",")))))</f>
        <v/>
      </c>
      <c r="JI190">
        <f>AND(IF(FG190="",TRUE,IF(input_industry="",FALSE,SUMPRODUCT(--ISNUMBER(SEARCH(","&amp;TRIM(TEXTSPLIT(FG190,","))&amp;",",","&amp;SUBSTITUTE(input_industry," ","")&amp;",")))&gt;0)),IF(FI190="",TRUE,IF(input_industry="",FALSE,SUMPRODUCT(--ISNUMBER(SEARCH(","&amp;TRIM(TEXTSPLIT(FI190,","))&amp;",",","&amp;SUBSTITUTE(input_industry," ","")&amp;",")))=COUNTA(TEXTSPLIT(FI190,",")))),IF(FK190="",TRUE,IF(input_industry="",TRUE,SUMPRODUCT(--ISNUMBER(SEARCH(","&amp;TRIM(TEXTSPLIT(FK190,","))&amp;",",","&amp;SUBSTITUTE(input_industry," ","")&amp;",")))=0)),IF(FM190="",TRUE,IF(input_industry="",FALSE,SUMPRODUCT(--ISNUMBER(SEARCH(","&amp;TRIM(TEXTSPLIT(FM190,","))&amp;",",","&amp;SUBSTITUTE(input_industry," ","")&amp;",")))&gt;0)),IF(FO190="",TRUE,IF(input_industry="",FALSE,SUMPRODUCT(--ISNUMBER(SEARCH(","&amp;TRIM(TEXTSPLIT(FO190,","))&amp;",",","&amp;SUBSTITUTE(input_industry," ","")&amp;",")))=COUNTA(TEXTSPLIT(FO190,",")))))</f>
        <v/>
      </c>
      <c r="JJ190">
        <f>AND(IF(FQ190="",TRUE,IF(input_location="",FALSE,SUMPRODUCT(--ISNUMBER(SEARCH(","&amp;TRIM(TEXTSPLIT(FQ190,","))&amp;",",","&amp;SUBSTITUTE(input_location," ","")&amp;",")))&gt;0)),IF(FS190="",TRUE,IF(input_location="",FALSE,SUMPRODUCT(--ISNUMBER(SEARCH(","&amp;TRIM(TEXTSPLIT(FS190,","))&amp;",",","&amp;SUBSTITUTE(input_location," ","")&amp;",")))=COUNTA(TEXTSPLIT(FS190,",")))),IF(FU190="",TRUE,IF(input_location="",TRUE,SUMPRODUCT(--ISNUMBER(SEARCH(","&amp;TRIM(TEXTSPLIT(FU190,","))&amp;",",","&amp;SUBSTITUTE(input_location," ","")&amp;",")))=0)),IF(FW190="",TRUE,IF(input_location="",FALSE,SUMPRODUCT(--ISNUMBER(SEARCH(","&amp;TRIM(TEXTSPLIT(FW190,","))&amp;",",","&amp;SUBSTITUTE(input_location," ","")&amp;",")))&gt;0)),IF(FY190="",TRUE,IF(input_location="",FALSE,SUMPRODUCT(--ISNUMBER(SEARCH(","&amp;TRIM(TEXTSPLIT(FY190,","))&amp;",",","&amp;SUBSTITUTE(input_location," ","")&amp;",")))=COUNTA(TEXTSPLIT(FY190,",")))))</f>
        <v/>
      </c>
      <c r="JK190">
        <f>AND(IF(GA190="",TRUE,IF(input_modality="",FALSE,SUMPRODUCT(--ISNUMBER(SEARCH(","&amp;TRIM(TEXTSPLIT(GA190,","))&amp;",",","&amp;SUBSTITUTE(input_modality," ","")&amp;",")))&gt;0)),IF(GC190="",TRUE,IF(input_modality="",FALSE,SUMPRODUCT(--ISNUMBER(SEARCH(","&amp;TRIM(TEXTSPLIT(GC190,","))&amp;",",","&amp;SUBSTITUTE(input_modality," ","")&amp;",")))=COUNTA(TEXTSPLIT(GC190,",")))),IF(GE190="",TRUE,IF(input_modality="",TRUE,SUMPRODUCT(--ISNUMBER(SEARCH(","&amp;TRIM(TEXTSPLIT(GE190,","))&amp;",",","&amp;SUBSTITUTE(input_modality," ","")&amp;",")))=0)),IF(GG190="",TRUE,IF(input_modality="",FALSE,SUMPRODUCT(--ISNUMBER(SEARCH(","&amp;TRIM(TEXTSPLIT(GG190,","))&amp;",",","&amp;SUBSTITUTE(input_modality," ","")&amp;",")))&gt;0)),IF(GI190="",TRUE,IF(input_modality="",FALSE,SUMPRODUCT(--ISNUMBER(SEARCH(","&amp;TRIM(TEXTSPLIT(GI190,","))&amp;",",","&amp;SUBSTITUTE(input_modality," ","")&amp;",")))=COUNTA(TEXTSPLIT(GI190,",")))))</f>
        <v/>
      </c>
      <c r="JL190">
        <f>AND(IF(GK190="",TRUE,IF(input_organizer="",FALSE,SUMPRODUCT(--ISNUMBER(SEARCH(","&amp;TRIM(TEXTSPLIT(GK190,","))&amp;",",","&amp;SUBSTITUTE(input_organizer," ","")&amp;",")))&gt;0)),IF(GM190="",TRUE,IF(input_organizer="",FALSE,SUMPRODUCT(--ISNUMBER(SEARCH(","&amp;TRIM(TEXTSPLIT(GM190,","))&amp;",",","&amp;SUBSTITUTE(input_organizer," ","")&amp;",")))=COUNTA(TEXTSPLIT(GM190,",")))),IF(GO190="",TRUE,IF(input_organizer="",TRUE,SUMPRODUCT(--ISNUMBER(SEARCH(","&amp;TRIM(TEXTSPLIT(GO190,","))&amp;",",","&amp;SUBSTITUTE(input_organizer," ","")&amp;",")))=0)),IF(GQ190="",TRUE,IF(input_organizer="",FALSE,SUMPRODUCT(--ISNUMBER(SEARCH(","&amp;TRIM(TEXTSPLIT(GQ190,","))&amp;",",","&amp;SUBSTITUTE(input_organizer," ","")&amp;",")))&gt;0)),IF(GS190="",TRUE,IF(input_organizer="",FALSE,SUMPRODUCT(--ISNUMBER(SEARCH(","&amp;TRIM(TEXTSPLIT(GS190,","))&amp;",",","&amp;SUBSTITUTE(input_organizer," ","")&amp;",")))=COUNTA(TEXTSPLIT(GS190,",")))))</f>
        <v/>
      </c>
      <c r="JM190">
        <f>AND(IF(GU190="",TRUE,IF(input_profile_type="",FALSE,SUMPRODUCT(--ISNUMBER(SEARCH(","&amp;TRIM(TEXTSPLIT(GU190,","))&amp;",",","&amp;SUBSTITUTE(input_profile_type," ","")&amp;",")))&gt;0)),IF(GW190="",TRUE,IF(input_profile_type="",FALSE,SUMPRODUCT(--ISNUMBER(SEARCH(","&amp;TRIM(TEXTSPLIT(GW190,","))&amp;",",","&amp;SUBSTITUTE(input_profile_type," ","")&amp;",")))=COUNTA(TEXTSPLIT(GW190,",")))),IF(GY190="",TRUE,IF(input_profile_type="",TRUE,SUMPRODUCT(--ISNUMBER(SEARCH(","&amp;TRIM(TEXTSPLIT(GY190,","))&amp;",",","&amp;SUBSTITUTE(input_profile_type," ","")&amp;",")))=0)),IF(HA190="",TRUE,IF(input_profile_type="",FALSE,SUMPRODUCT(--ISNUMBER(SEARCH(","&amp;TRIM(TEXTSPLIT(HA190,","))&amp;",",","&amp;SUBSTITUTE(input_profile_type," ","")&amp;",")))&gt;0)),IF(HC190="",TRUE,IF(input_profile_type="",FALSE,SUMPRODUCT(--ISNUMBER(SEARCH(","&amp;TRIM(TEXTSPLIT(HC190,","))&amp;",",","&amp;SUBSTITUTE(input_profile_type," ","")&amp;",")))=COUNTA(TEXTSPLIT(HC190,",")))))</f>
        <v/>
      </c>
      <c r="JN190">
        <f>AND(IF(HE190="",TRUE,IF(input_program="",FALSE,SUMPRODUCT(--ISNUMBER(SEARCH(","&amp;TRIM(TEXTSPLIT(HE190,","))&amp;",",","&amp;SUBSTITUTE(input_program," ","")&amp;",")))&gt;0)),IF(HG190="",TRUE,IF(input_program="",FALSE,SUMPRODUCT(--ISNUMBER(SEARCH(","&amp;TRIM(TEXTSPLIT(HG190,","))&amp;",",","&amp;SUBSTITUTE(input_program," ","")&amp;",")))=COUNTA(TEXTSPLIT(HG190,",")))),IF(HI190="",TRUE,IF(input_program="",TRUE,SUMPRODUCT(--ISNUMBER(SEARCH(","&amp;TRIM(TEXTSPLIT(HI190,","))&amp;",",","&amp;SUBSTITUTE(input_program," ","")&amp;",")))=0)),IF(HK190="",TRUE,IF(input_program="",FALSE,SUMPRODUCT(--ISNUMBER(SEARCH(","&amp;TRIM(TEXTSPLIT(HK190,","))&amp;",",","&amp;SUBSTITUTE(input_program," ","")&amp;",")))&gt;0)),IF(HM190="",TRUE,IF(input_program="",FALSE,SUMPRODUCT(--ISNUMBER(SEARCH(","&amp;TRIM(TEXTSPLIT(HM190,","))&amp;",",","&amp;SUBSTITUTE(input_program," ","")&amp;",")))=COUNTA(TEXTSPLIT(HM190,",")))))</f>
        <v/>
      </c>
      <c r="JO190">
        <f>AND(IF(HO190="",TRUE,IF(input_story_categories="",FALSE,SUMPRODUCT(--ISNUMBER(SEARCH(","&amp;TRIM(TEXTSPLIT(HO190,","))&amp;",",","&amp;SUBSTITUTE(input_story_categories," ","")&amp;",")))&gt;0)),IF(HQ190="",TRUE,IF(input_story_categories="",FALSE,SUMPRODUCT(--ISNUMBER(SEARCH(","&amp;TRIM(TEXTSPLIT(HQ190,","))&amp;",",","&amp;SUBSTITUTE(input_story_categories," ","")&amp;",")))=COUNTA(TEXTSPLIT(HQ190,",")))),IF(HS190="",TRUE,IF(input_story_categories="",TRUE,SUMPRODUCT(--ISNUMBER(SEARCH(","&amp;TRIM(TEXTSPLIT(HS190,","))&amp;",",","&amp;SUBSTITUTE(input_story_categories," ","")&amp;",")))=0)),IF(HU190="",TRUE,IF(input_story_categories="",FALSE,SUMPRODUCT(--ISNUMBER(SEARCH(","&amp;TRIM(TEXTSPLIT(HU190,","))&amp;",",","&amp;SUBSTITUTE(input_story_categories," ","")&amp;",")))&gt;0)),IF(HW190="",TRUE,IF(input_story_categories="",FALSE,SUMPRODUCT(--ISNUMBER(SEARCH(","&amp;TRIM(TEXTSPLIT(HW190,","))&amp;",",","&amp;SUBSTITUTE(input_story_categories," ","")&amp;",")))=COUNTA(TEXTSPLIT(HW190,",")))))</f>
        <v/>
      </c>
      <c r="JP190">
        <f>AND(IF(HY190="",TRUE,IF(input_story_type="",FALSE,SUMPRODUCT(--ISNUMBER(SEARCH(","&amp;TRIM(TEXTSPLIT(HY190,","))&amp;",",","&amp;SUBSTITUTE(input_story_type," ","")&amp;",")))&gt;0)),IF(IA190="",TRUE,IF(input_story_type="",FALSE,SUMPRODUCT(--ISNUMBER(SEARCH(","&amp;TRIM(TEXTSPLIT(IA190,","))&amp;",",","&amp;SUBSTITUTE(input_story_type," ","")&amp;",")))=COUNTA(TEXTSPLIT(IA190,",")))),IF(IC190="",TRUE,IF(input_story_type="",TRUE,SUMPRODUCT(--ISNUMBER(SEARCH(","&amp;TRIM(TEXTSPLIT(IC190,","))&amp;",",","&amp;SUBSTITUTE(input_story_type," ","")&amp;",")))=0)),IF(IE190="",TRUE,IF(input_story_type="",FALSE,SUMPRODUCT(--ISNUMBER(SEARCH(","&amp;TRIM(TEXTSPLIT(IE190,","))&amp;",",","&amp;SUBSTITUTE(input_story_type," ","")&amp;",")))&gt;0)),IF(IG190="",TRUE,IF(input_story_type="",FALSE,SUMPRODUCT(--ISNUMBER(SEARCH(","&amp;TRIM(TEXTSPLIT(IG190,","))&amp;",",","&amp;SUBSTITUTE(input_story_type," ","")&amp;",")))=COUNTA(TEXTSPLIT(IG190,",")))))</f>
        <v/>
      </c>
      <c r="JQ190">
        <f>AND(IF(II190="",TRUE,IF(input_topics="",FALSE,SUMPRODUCT(--ISNUMBER(SEARCH(","&amp;TRIM(TEXTSPLIT(II190,","))&amp;",",","&amp;SUBSTITUTE(input_topics," ","")&amp;",")))&gt;0)),IF(IK190="",TRUE,IF(input_topics="",FALSE,SUMPRODUCT(--ISNUMBER(SEARCH(","&amp;TRIM(TEXTSPLIT(IK190,","))&amp;",",","&amp;SUBSTITUTE(input_topics," ","")&amp;",")))=COUNTA(TEXTSPLIT(IK190,",")))),IF(IM190="",TRUE,IF(input_topics="",TRUE,SUMPRODUCT(--ISNUMBER(SEARCH(","&amp;TRIM(TEXTSPLIT(IM190,","))&amp;",",","&amp;SUBSTITUTE(input_topics," ","")&amp;",")))=0)),IF(IO190="",TRUE,IF(input_topics="",FALSE,SUMPRODUCT(--ISNUMBER(SEARCH(","&amp;TRIM(TEXTSPLIT(IO190,","))&amp;",",","&amp;SUBSTITUTE(input_topics," ","")&amp;",")))&gt;0)),IF(IQ190="",TRUE,IF(input_topics="",FALSE,SUMPRODUCT(--ISNUMBER(SEARCH(","&amp;TRIM(TEXTSPLIT(IQ190,","))&amp;",",","&amp;SUBSTITUTE(input_topics," ","")&amp;",")))=COUNTA(TEXTSPLIT(IQ190,",")))))</f>
        <v/>
      </c>
    </row>
    <row r="191">
      <c r="A191" s="4">
        <f>IF(NOT(IS191),"Excluded",IF(AND(IT191,IU191,IV191,IW191,IX191,IY191,IZ191,JA191,JB191,JC191,JD191,JE191,JF191,JG191,JH191,JI191,JJ191,JK191,JL191,JM191,JN191,JO191,JP191,JQ191),IF(I191&gt;0,"Eligible but limited","Will appear"),"Excluded"))</f>
        <v/>
      </c>
      <c r="B191" s="4" t="inlineStr">
        <is>
          <t>Related stories on story pages</t>
        </is>
      </c>
      <c r="C191" s="4" t="inlineStr">
        <is>
          <t>/news/2020/05/ypfs-describes-four-phase-model-of-the-economic-consequences-of-pandemic</t>
        </is>
      </c>
      <c r="D191" s="4" t="inlineStr">
        <is>
          <t>/news/2020/05/ypfs-describes-four-phase-model-of-the-economic-consequences-of-pandemic
/story/2022/special-project-inside-cdo-machine</t>
        </is>
      </c>
      <c r="E191" s="4" t="n">
        <v>2</v>
      </c>
      <c r="F191" s="4" t="inlineStr">
        <is>
          <t>story</t>
        </is>
      </c>
      <c r="G191" s="4" t="inlineStr">
        <is>
          <t>stories_teaser_cards</t>
        </is>
      </c>
      <c r="H191" s="4" t="inlineStr">
        <is>
          <t>embed_all</t>
        </is>
      </c>
      <c r="I191" s="4" t="n">
        <v>3</v>
      </c>
      <c r="J191" s="4" t="inlineStr">
        <is>
          <t>Template logic</t>
        </is>
      </c>
      <c r="K191" s="4" t="inlineStr">
        <is>
          <t>Grouped surface</t>
        </is>
      </c>
      <c r="L191" s="4" t="inlineStr">
        <is>
          <t>Content type: story; Context uses Courses Context: Program on Financial Stability (955); Context uses Story Type: News (924); Limited to 3 item(s); Source: Template logic</t>
        </is>
      </c>
      <c r="M191" t="inlineStr"/>
      <c r="N191" t="inlineStr"/>
      <c r="O191" t="inlineStr"/>
      <c r="P191" t="inlineStr"/>
      <c r="Q191" t="inlineStr"/>
      <c r="R191" t="inlineStr"/>
      <c r="S191" t="inlineStr"/>
      <c r="T191" t="inlineStr"/>
      <c r="U191" t="inlineStr"/>
      <c r="V191" t="inlineStr"/>
      <c r="W191" t="inlineStr"/>
      <c r="X191" t="inlineStr"/>
      <c r="Y191" t="inlineStr"/>
      <c r="Z191" t="inlineStr"/>
      <c r="AA191" t="inlineStr"/>
      <c r="AB191" t="inlineStr"/>
      <c r="AC191" t="inlineStr"/>
      <c r="AD191" t="inlineStr"/>
      <c r="AE191" t="inlineStr"/>
      <c r="AF191" t="inlineStr"/>
      <c r="AG191" t="inlineStr"/>
      <c r="AH191" t="inlineStr"/>
      <c r="AI191" t="inlineStr"/>
      <c r="AJ191" t="inlineStr"/>
      <c r="AK191" t="inlineStr"/>
      <c r="AL191" t="inlineStr"/>
      <c r="AM191" t="inlineStr"/>
      <c r="AN191" t="inlineStr"/>
      <c r="AO191" t="inlineStr"/>
      <c r="AP191" t="inlineStr"/>
      <c r="AQ191" t="inlineStr"/>
      <c r="AR191" t="inlineStr"/>
      <c r="AS191" t="inlineStr"/>
      <c r="AT191" t="inlineStr"/>
      <c r="AU191" t="inlineStr"/>
      <c r="AV191" t="inlineStr"/>
      <c r="AW191" t="inlineStr"/>
      <c r="AX191" t="inlineStr"/>
      <c r="AY191" t="inlineStr"/>
      <c r="AZ191" t="inlineStr"/>
      <c r="BA191" t="inlineStr"/>
      <c r="BB191" t="inlineStr"/>
      <c r="BC191" t="inlineStr"/>
      <c r="BD191" t="inlineStr"/>
      <c r="BE191" t="inlineStr"/>
      <c r="BF191" t="inlineStr"/>
      <c r="BG191" t="inlineStr"/>
      <c r="BH191" t="inlineStr"/>
      <c r="BI191" t="inlineStr"/>
      <c r="BJ191" t="inlineStr"/>
      <c r="BK191" t="inlineStr"/>
      <c r="BL191" t="inlineStr"/>
      <c r="BM191" t="inlineStr"/>
      <c r="BN191" t="inlineStr"/>
      <c r="BO191" t="inlineStr"/>
      <c r="BP191" t="inlineStr"/>
      <c r="BQ191" t="inlineStr">
        <is>
          <t>955</t>
        </is>
      </c>
      <c r="BR191" t="inlineStr">
        <is>
          <t>Program on Financial Stability (955)</t>
        </is>
      </c>
      <c r="BS191" t="inlineStr"/>
      <c r="BT191" t="inlineStr"/>
      <c r="BU191" t="inlineStr"/>
      <c r="BV191" t="inlineStr"/>
      <c r="BW191" t="inlineStr"/>
      <c r="BX191" t="inlineStr"/>
      <c r="BY191" t="inlineStr"/>
      <c r="BZ191" t="inlineStr"/>
      <c r="CA191" t="inlineStr"/>
      <c r="CB191" t="inlineStr"/>
      <c r="CC191" t="inlineStr"/>
      <c r="CD191" t="inlineStr"/>
      <c r="CE191" t="inlineStr"/>
      <c r="CF191" t="inlineStr"/>
      <c r="CG191" t="inlineStr"/>
      <c r="CH191" t="inlineStr"/>
      <c r="CI191" t="inlineStr"/>
      <c r="CJ191" t="inlineStr"/>
      <c r="CK191" t="inlineStr"/>
      <c r="CL191" t="inlineStr"/>
      <c r="CM191" t="inlineStr"/>
      <c r="CN191" t="inlineStr"/>
      <c r="CO191" t="inlineStr"/>
      <c r="CP191" t="inlineStr"/>
      <c r="CQ191" t="inlineStr"/>
      <c r="CR191" t="inlineStr"/>
      <c r="CS191" t="inlineStr"/>
      <c r="CT191" t="inlineStr"/>
      <c r="CU191" t="inlineStr"/>
      <c r="CV191" t="inlineStr"/>
      <c r="CW191" t="inlineStr"/>
      <c r="CX191" t="inlineStr"/>
      <c r="CY191" t="inlineStr"/>
      <c r="CZ191" t="inlineStr"/>
      <c r="DA191" t="inlineStr"/>
      <c r="DB191" t="inlineStr"/>
      <c r="DC191" t="inlineStr"/>
      <c r="DD191" t="inlineStr"/>
      <c r="DE191" t="inlineStr"/>
      <c r="DF191" t="inlineStr"/>
      <c r="DG191" t="inlineStr"/>
      <c r="DH191" t="inlineStr"/>
      <c r="DI191" t="inlineStr"/>
      <c r="DJ191" t="inlineStr"/>
      <c r="DK191" t="inlineStr"/>
      <c r="DL191" t="inlineStr"/>
      <c r="DM191" t="inlineStr"/>
      <c r="DN191" t="inlineStr"/>
      <c r="DO191" t="inlineStr"/>
      <c r="DP191" t="inlineStr"/>
      <c r="DQ191" t="inlineStr"/>
      <c r="DR191" t="inlineStr"/>
      <c r="DS191" t="inlineStr"/>
      <c r="DT191" t="inlineStr"/>
      <c r="DU191" t="inlineStr"/>
      <c r="DV191" t="inlineStr"/>
      <c r="DW191" t="inlineStr"/>
      <c r="DX191" t="inlineStr"/>
      <c r="DY191" t="inlineStr"/>
      <c r="DZ191" t="inlineStr"/>
      <c r="EA191" t="inlineStr"/>
      <c r="EB191" t="inlineStr"/>
      <c r="EC191" t="inlineStr"/>
      <c r="ED191" t="inlineStr"/>
      <c r="EE191" t="inlineStr"/>
      <c r="EF191" t="inlineStr"/>
      <c r="EG191" t="inlineStr"/>
      <c r="EH191" t="inlineStr"/>
      <c r="EI191" t="inlineStr"/>
      <c r="EJ191" t="inlineStr"/>
      <c r="EK191" t="inlineStr"/>
      <c r="EL191" t="inlineStr"/>
      <c r="EM191" t="inlineStr"/>
      <c r="EN191" t="inlineStr"/>
      <c r="EO191" t="inlineStr"/>
      <c r="EP191" t="inlineStr"/>
      <c r="EQ191" t="inlineStr"/>
      <c r="ER191" t="inlineStr"/>
      <c r="ES191" t="inlineStr"/>
      <c r="ET191" t="inlineStr"/>
      <c r="EU191" t="inlineStr"/>
      <c r="EV191" t="inlineStr"/>
      <c r="EW191" t="inlineStr"/>
      <c r="EX191" t="inlineStr"/>
      <c r="EY191" t="inlineStr"/>
      <c r="EZ191" t="inlineStr"/>
      <c r="FA191" t="inlineStr"/>
      <c r="FB191" t="inlineStr"/>
      <c r="FC191" t="inlineStr"/>
      <c r="FD191" t="inlineStr"/>
      <c r="FE191" t="inlineStr"/>
      <c r="FF191" t="inlineStr"/>
      <c r="FG191" t="inlineStr"/>
      <c r="FH191" t="inlineStr"/>
      <c r="FI191" t="inlineStr"/>
      <c r="FJ191" t="inlineStr"/>
      <c r="FK191" t="inlineStr"/>
      <c r="FL191" t="inlineStr"/>
      <c r="FM191" t="inlineStr"/>
      <c r="FN191" t="inlineStr"/>
      <c r="FO191" t="inlineStr"/>
      <c r="FP191" t="inlineStr"/>
      <c r="FQ191" t="inlineStr"/>
      <c r="FR191" t="inlineStr"/>
      <c r="FS191" t="inlineStr"/>
      <c r="FT191" t="inlineStr"/>
      <c r="FU191" t="inlineStr"/>
      <c r="FV191" t="inlineStr"/>
      <c r="FW191" t="inlineStr"/>
      <c r="FX191" t="inlineStr"/>
      <c r="FY191" t="inlineStr"/>
      <c r="FZ191" t="inlineStr"/>
      <c r="GA191" t="inlineStr"/>
      <c r="GB191" t="inlineStr"/>
      <c r="GC191" t="inlineStr"/>
      <c r="GD191" t="inlineStr"/>
      <c r="GE191" t="inlineStr"/>
      <c r="GF191" t="inlineStr"/>
      <c r="GG191" t="inlineStr"/>
      <c r="GH191" t="inlineStr"/>
      <c r="GI191" t="inlineStr"/>
      <c r="GJ191" t="inlineStr"/>
      <c r="GK191" t="inlineStr"/>
      <c r="GL191" t="inlineStr"/>
      <c r="GM191" t="inlineStr"/>
      <c r="GN191" t="inlineStr"/>
      <c r="GO191" t="inlineStr"/>
      <c r="GP191" t="inlineStr"/>
      <c r="GQ191" t="inlineStr"/>
      <c r="GR191" t="inlineStr"/>
      <c r="GS191" t="inlineStr"/>
      <c r="GT191" t="inlineStr"/>
      <c r="GU191" t="inlineStr"/>
      <c r="GV191" t="inlineStr"/>
      <c r="GW191" t="inlineStr"/>
      <c r="GX191" t="inlineStr"/>
      <c r="GY191" t="inlineStr"/>
      <c r="GZ191" t="inlineStr"/>
      <c r="HA191" t="inlineStr"/>
      <c r="HB191" t="inlineStr"/>
      <c r="HC191" t="inlineStr"/>
      <c r="HD191" t="inlineStr"/>
      <c r="HE191" t="inlineStr"/>
      <c r="HF191" t="inlineStr"/>
      <c r="HG191" t="inlineStr"/>
      <c r="HH191" t="inlineStr"/>
      <c r="HI191" t="inlineStr"/>
      <c r="HJ191" t="inlineStr"/>
      <c r="HK191" t="inlineStr"/>
      <c r="HL191" t="inlineStr"/>
      <c r="HM191" t="inlineStr"/>
      <c r="HN191" t="inlineStr"/>
      <c r="HO191" t="inlineStr"/>
      <c r="HP191" t="inlineStr"/>
      <c r="HQ191" t="inlineStr"/>
      <c r="HR191" t="inlineStr"/>
      <c r="HS191" t="inlineStr"/>
      <c r="HT191" t="inlineStr"/>
      <c r="HU191" t="inlineStr"/>
      <c r="HV191" t="inlineStr"/>
      <c r="HW191" t="inlineStr"/>
      <c r="HX191" t="inlineStr"/>
      <c r="HY191" t="inlineStr"/>
      <c r="HZ191" t="inlineStr"/>
      <c r="IA191" t="inlineStr"/>
      <c r="IB191" t="inlineStr"/>
      <c r="IC191" t="inlineStr"/>
      <c r="ID191" t="inlineStr"/>
      <c r="IE191" t="inlineStr">
        <is>
          <t>924</t>
        </is>
      </c>
      <c r="IF191" t="inlineStr">
        <is>
          <t>News (924)</t>
        </is>
      </c>
      <c r="IG191" t="inlineStr"/>
      <c r="IH191" t="inlineStr"/>
      <c r="II191" t="inlineStr"/>
      <c r="IJ191" t="inlineStr"/>
      <c r="IK191" t="inlineStr"/>
      <c r="IL191" t="inlineStr"/>
      <c r="IM191" t="inlineStr"/>
      <c r="IN191" t="inlineStr"/>
      <c r="IO191" t="inlineStr"/>
      <c r="IP191" t="inlineStr"/>
      <c r="IQ191" t="inlineStr"/>
      <c r="IR191" t="inlineStr"/>
      <c r="IS191">
        <f>IF(input_content_type="",FALSE,ISNUMBER(SEARCH(","&amp;LOWER(input_content_type)&amp;",",","&amp;LOWER(F191)&amp;",")))</f>
        <v/>
      </c>
      <c r="IT191">
        <f>AND(IF(M191="",TRUE,IF(input_affiliations="",FALSE,SUMPRODUCT(--ISNUMBER(SEARCH(","&amp;TRIM(TEXTSPLIT(M191,","))&amp;",",","&amp;SUBSTITUTE(input_affiliations," ","")&amp;",")))&gt;0)),IF(O191="",TRUE,IF(input_affiliations="",FALSE,SUMPRODUCT(--ISNUMBER(SEARCH(","&amp;TRIM(TEXTSPLIT(O191,","))&amp;",",","&amp;SUBSTITUTE(input_affiliations," ","")&amp;",")))=COUNTA(TEXTSPLIT(O191,",")))),IF(Q191="",TRUE,IF(input_affiliations="",TRUE,SUMPRODUCT(--ISNUMBER(SEARCH(","&amp;TRIM(TEXTSPLIT(Q191,","))&amp;",",","&amp;SUBSTITUTE(input_affiliations," ","")&amp;",")))=0)),IF(S191="",TRUE,IF(input_affiliations="",FALSE,SUMPRODUCT(--ISNUMBER(SEARCH(","&amp;TRIM(TEXTSPLIT(S191,","))&amp;",",","&amp;SUBSTITUTE(input_affiliations," ","")&amp;",")))&gt;0)),IF(U191="",TRUE,IF(input_affiliations="",FALSE,SUMPRODUCT(--ISNUMBER(SEARCH(","&amp;TRIM(TEXTSPLIT(U191,","))&amp;",",","&amp;SUBSTITUTE(input_affiliations," ","")&amp;",")))=COUNTA(TEXTSPLIT(U191,",")))))</f>
        <v/>
      </c>
      <c r="IU191">
        <f>AND(IF(W191="",TRUE,IF(input_announcement_category="",FALSE,SUMPRODUCT(--ISNUMBER(SEARCH(","&amp;TRIM(TEXTSPLIT(W191,","))&amp;",",","&amp;SUBSTITUTE(input_announcement_category," ","")&amp;",")))&gt;0)),IF(Y191="",TRUE,IF(input_announcement_category="",FALSE,SUMPRODUCT(--ISNUMBER(SEARCH(","&amp;TRIM(TEXTSPLIT(Y191,","))&amp;",",","&amp;SUBSTITUTE(input_announcement_category," ","")&amp;",")))=COUNTA(TEXTSPLIT(Y191,",")))),IF(AA191="",TRUE,IF(input_announcement_category="",TRUE,SUMPRODUCT(--ISNUMBER(SEARCH(","&amp;TRIM(TEXTSPLIT(AA191,","))&amp;",",","&amp;SUBSTITUTE(input_announcement_category," ","")&amp;",")))=0)),IF(AC191="",TRUE,IF(input_announcement_category="",FALSE,SUMPRODUCT(--ISNUMBER(SEARCH(","&amp;TRIM(TEXTSPLIT(AC191,","))&amp;",",","&amp;SUBSTITUTE(input_announcement_category," ","")&amp;",")))&gt;0)),IF(AE191="",TRUE,IF(input_announcement_category="",FALSE,SUMPRODUCT(--ISNUMBER(SEARCH(","&amp;TRIM(TEXTSPLIT(AE191,","))&amp;",",","&amp;SUBSTITUTE(input_announcement_category," ","")&amp;",")))=COUNTA(TEXTSPLIT(AE191,",")))))</f>
        <v/>
      </c>
      <c r="IV191">
        <f>AND(IF(AG191="",TRUE,IF(input_area_of_focus="",FALSE,SUMPRODUCT(--ISNUMBER(SEARCH(","&amp;TRIM(TEXTSPLIT(AG191,","))&amp;",",","&amp;SUBSTITUTE(input_area_of_focus," ","")&amp;",")))&gt;0)),IF(AI191="",TRUE,IF(input_area_of_focus="",FALSE,SUMPRODUCT(--ISNUMBER(SEARCH(","&amp;TRIM(TEXTSPLIT(AI191,","))&amp;",",","&amp;SUBSTITUTE(input_area_of_focus," ","")&amp;",")))=COUNTA(TEXTSPLIT(AI191,",")))),IF(AK191="",TRUE,IF(input_area_of_focus="",TRUE,SUMPRODUCT(--ISNUMBER(SEARCH(","&amp;TRIM(TEXTSPLIT(AK191,","))&amp;",",","&amp;SUBSTITUTE(input_area_of_focus," ","")&amp;",")))=0)),IF(AM191="",TRUE,IF(input_area_of_focus="",FALSE,SUMPRODUCT(--ISNUMBER(SEARCH(","&amp;TRIM(TEXTSPLIT(AM191,","))&amp;",",","&amp;SUBSTITUTE(input_area_of_focus," ","")&amp;",")))&gt;0)),IF(AO191="",TRUE,IF(input_area_of_focus="",FALSE,SUMPRODUCT(--ISNUMBER(SEARCH(","&amp;TRIM(TEXTSPLIT(AO191,","))&amp;",",","&amp;SUBSTITUTE(input_area_of_focus," ","")&amp;",")))=COUNTA(TEXTSPLIT(AO191,",")))))</f>
        <v/>
      </c>
      <c r="IW191">
        <f>AND(IF(AQ191="",TRUE,IF(input_audience="",FALSE,SUMPRODUCT(--ISNUMBER(SEARCH(","&amp;TRIM(TEXTSPLIT(AQ191,","))&amp;",",","&amp;SUBSTITUTE(input_audience," ","")&amp;",")))&gt;0)),IF(AS191="",TRUE,IF(input_audience="",FALSE,SUMPRODUCT(--ISNUMBER(SEARCH(","&amp;TRIM(TEXTSPLIT(AS191,","))&amp;",",","&amp;SUBSTITUTE(input_audience," ","")&amp;",")))=COUNTA(TEXTSPLIT(AS191,",")))),IF(AU191="",TRUE,IF(input_audience="",TRUE,SUMPRODUCT(--ISNUMBER(SEARCH(","&amp;TRIM(TEXTSPLIT(AU191,","))&amp;",",","&amp;SUBSTITUTE(input_audience," ","")&amp;",")))=0)),IF(AW191="",TRUE,IF(input_audience="",FALSE,SUMPRODUCT(--ISNUMBER(SEARCH(","&amp;TRIM(TEXTSPLIT(AW191,","))&amp;",",","&amp;SUBSTITUTE(input_audience," ","")&amp;",")))&gt;0)),IF(AY191="",TRUE,IF(input_audience="",FALSE,SUMPRODUCT(--ISNUMBER(SEARCH(","&amp;TRIM(TEXTSPLIT(AY191,","))&amp;",",","&amp;SUBSTITUTE(input_audience," ","")&amp;",")))=COUNTA(TEXTSPLIT(AY191,",")))))</f>
        <v/>
      </c>
      <c r="IX191">
        <f>AND(IF(BA191="",TRUE,IF(input_challenge_opportunities="",FALSE,SUMPRODUCT(--ISNUMBER(SEARCH(","&amp;TRIM(TEXTSPLIT(BA191,","))&amp;",",","&amp;SUBSTITUTE(input_challenge_opportunities," ","")&amp;",")))&gt;0)),IF(BC191="",TRUE,IF(input_challenge_opportunities="",FALSE,SUMPRODUCT(--ISNUMBER(SEARCH(","&amp;TRIM(TEXTSPLIT(BC191,","))&amp;",",","&amp;SUBSTITUTE(input_challenge_opportunities," ","")&amp;",")))=COUNTA(TEXTSPLIT(BC191,",")))),IF(BE191="",TRUE,IF(input_challenge_opportunities="",TRUE,SUMPRODUCT(--ISNUMBER(SEARCH(","&amp;TRIM(TEXTSPLIT(BE191,","))&amp;",",","&amp;SUBSTITUTE(input_challenge_opportunities," ","")&amp;",")))=0)),IF(BG191="",TRUE,IF(input_challenge_opportunities="",FALSE,SUMPRODUCT(--ISNUMBER(SEARCH(","&amp;TRIM(TEXTSPLIT(BG191,","))&amp;",",","&amp;SUBSTITUTE(input_challenge_opportunities," ","")&amp;",")))&gt;0)),IF(BI191="",TRUE,IF(input_challenge_opportunities="",FALSE,SUMPRODUCT(--ISNUMBER(SEARCH(","&amp;TRIM(TEXTSPLIT(BI191,","))&amp;",",","&amp;SUBSTITUTE(input_challenge_opportunities," ","")&amp;",")))=COUNTA(TEXTSPLIT(BI191,",")))))</f>
        <v/>
      </c>
      <c r="IY191">
        <f>AND(IF(BK191="",TRUE,IF(input_context="",FALSE,SUMPRODUCT(--ISNUMBER(SEARCH(","&amp;TRIM(TEXTSPLIT(BK191,","))&amp;",",","&amp;SUBSTITUTE(input_context," ","")&amp;",")))&gt;0)),IF(BM191="",TRUE,IF(input_context="",FALSE,SUMPRODUCT(--ISNUMBER(SEARCH(","&amp;TRIM(TEXTSPLIT(BM191,","))&amp;",",","&amp;SUBSTITUTE(input_context," ","")&amp;",")))=COUNTA(TEXTSPLIT(BM191,",")))),IF(BO191="",TRUE,IF(input_context="",TRUE,SUMPRODUCT(--ISNUMBER(SEARCH(","&amp;TRIM(TEXTSPLIT(BO191,","))&amp;",",","&amp;SUBSTITUTE(input_context," ","")&amp;",")))=0)),IF(BQ191="",TRUE,IF(input_context="",FALSE,SUMPRODUCT(--ISNUMBER(SEARCH(","&amp;TRIM(TEXTSPLIT(BQ191,","))&amp;",",","&amp;SUBSTITUTE(input_context," ","")&amp;",")))&gt;0)),IF(BS191="",TRUE,IF(input_context="",FALSE,SUMPRODUCT(--ISNUMBER(SEARCH(","&amp;TRIM(TEXTSPLIT(BS191,","))&amp;",",","&amp;SUBSTITUTE(input_context," ","")&amp;",")))=COUNTA(TEXTSPLIT(BS191,",")))))</f>
        <v/>
      </c>
      <c r="IZ191">
        <f>AND(IF(BU191="",TRUE,IF(input_enews_announcement_type="",FALSE,SUMPRODUCT(--ISNUMBER(SEARCH(","&amp;TRIM(TEXTSPLIT(BU191,","))&amp;",",","&amp;SUBSTITUTE(input_enews_announcement_type," ","")&amp;",")))&gt;0)),IF(BW191="",TRUE,IF(input_enews_announcement_type="",FALSE,SUMPRODUCT(--ISNUMBER(SEARCH(","&amp;TRIM(TEXTSPLIT(BW191,","))&amp;",",","&amp;SUBSTITUTE(input_enews_announcement_type," ","")&amp;",")))=COUNTA(TEXTSPLIT(BW191,",")))),IF(BY191="",TRUE,IF(input_enews_announcement_type="",TRUE,SUMPRODUCT(--ISNUMBER(SEARCH(","&amp;TRIM(TEXTSPLIT(BY191,","))&amp;",",","&amp;SUBSTITUTE(input_enews_announcement_type," ","")&amp;",")))=0)),IF(CA191="",TRUE,IF(input_enews_announcement_type="",FALSE,SUMPRODUCT(--ISNUMBER(SEARCH(","&amp;TRIM(TEXTSPLIT(CA191,","))&amp;",",","&amp;SUBSTITUTE(input_enews_announcement_type," ","")&amp;",")))&gt;0)),IF(CC191="",TRUE,IF(input_enews_announcement_type="",FALSE,SUMPRODUCT(--ISNUMBER(SEARCH(","&amp;TRIM(TEXTSPLIT(CC191,","))&amp;",",","&amp;SUBSTITUTE(input_enews_announcement_type," ","")&amp;",")))=COUNTA(TEXTSPLIT(CC191,",")))))</f>
        <v/>
      </c>
      <c r="JA191">
        <f>AND(IF(CE191="",TRUE,IF(input_enews_audience="",FALSE,SUMPRODUCT(--ISNUMBER(SEARCH(","&amp;TRIM(TEXTSPLIT(CE191,","))&amp;",",","&amp;SUBSTITUTE(input_enews_audience," ","")&amp;",")))&gt;0)),IF(CG191="",TRUE,IF(input_enews_audience="",FALSE,SUMPRODUCT(--ISNUMBER(SEARCH(","&amp;TRIM(TEXTSPLIT(CG191,","))&amp;",",","&amp;SUBSTITUTE(input_enews_audience," ","")&amp;",")))=COUNTA(TEXTSPLIT(CG191,",")))),IF(CI191="",TRUE,IF(input_enews_audience="",TRUE,SUMPRODUCT(--ISNUMBER(SEARCH(","&amp;TRIM(TEXTSPLIT(CI191,","))&amp;",",","&amp;SUBSTITUTE(input_enews_audience," ","")&amp;",")))=0)),IF(CK191="",TRUE,IF(input_enews_audience="",FALSE,SUMPRODUCT(--ISNUMBER(SEARCH(","&amp;TRIM(TEXTSPLIT(CK191,","))&amp;",",","&amp;SUBSTITUTE(input_enews_audience," ","")&amp;",")))&gt;0)),IF(CM191="",TRUE,IF(input_enews_audience="",FALSE,SUMPRODUCT(--ISNUMBER(SEARCH(","&amp;TRIM(TEXTSPLIT(CM191,","))&amp;",",","&amp;SUBSTITUTE(input_enews_audience," ","")&amp;",")))=COUNTA(TEXTSPLIT(CM191,",")))))</f>
        <v/>
      </c>
      <c r="JB191">
        <f>AND(IF(CO191="",TRUE,IF(input_event_location="",FALSE,SUMPRODUCT(--ISNUMBER(SEARCH(","&amp;TRIM(TEXTSPLIT(CO191,","))&amp;",",","&amp;SUBSTITUTE(input_event_location," ","")&amp;",")))&gt;0)),IF(CQ191="",TRUE,IF(input_event_location="",FALSE,SUMPRODUCT(--ISNUMBER(SEARCH(","&amp;TRIM(TEXTSPLIT(CQ191,","))&amp;",",","&amp;SUBSTITUTE(input_event_location," ","")&amp;",")))=COUNTA(TEXTSPLIT(CQ191,",")))),IF(CS191="",TRUE,IF(input_event_location="",TRUE,SUMPRODUCT(--ISNUMBER(SEARCH(","&amp;TRIM(TEXTSPLIT(CS191,","))&amp;",",","&amp;SUBSTITUTE(input_event_location," ","")&amp;",")))=0)),IF(CU191="",TRUE,IF(input_event_location="",FALSE,SUMPRODUCT(--ISNUMBER(SEARCH(","&amp;TRIM(TEXTSPLIT(CU191,","))&amp;",",","&amp;SUBSTITUTE(input_event_location," ","")&amp;",")))&gt;0)),IF(CW191="",TRUE,IF(input_event_location="",FALSE,SUMPRODUCT(--ISNUMBER(SEARCH(","&amp;TRIM(TEXTSPLIT(CW191,","))&amp;",",","&amp;SUBSTITUTE(input_event_location," ","")&amp;",")))=COUNTA(TEXTSPLIT(CW191,",")))))</f>
        <v/>
      </c>
      <c r="JC191">
        <f>AND(IF(CY191="",TRUE,IF(input_event_type="",FALSE,SUMPRODUCT(--ISNUMBER(SEARCH(","&amp;TRIM(TEXTSPLIT(CY191,","))&amp;",",","&amp;SUBSTITUTE(input_event_type," ","")&amp;",")))&gt;0)),IF(DA191="",TRUE,IF(input_event_type="",FALSE,SUMPRODUCT(--ISNUMBER(SEARCH(","&amp;TRIM(TEXTSPLIT(DA191,","))&amp;",",","&amp;SUBSTITUTE(input_event_type," ","")&amp;",")))=COUNTA(TEXTSPLIT(DA191,",")))),IF(DC191="",TRUE,IF(input_event_type="",TRUE,SUMPRODUCT(--ISNUMBER(SEARCH(","&amp;TRIM(TEXTSPLIT(DC191,","))&amp;",",","&amp;SUBSTITUTE(input_event_type," ","")&amp;",")))=0)),IF(DE191="",TRUE,IF(input_event_type="",FALSE,SUMPRODUCT(--ISNUMBER(SEARCH(","&amp;TRIM(TEXTSPLIT(DE191,","))&amp;",",","&amp;SUBSTITUTE(input_event_type," ","")&amp;",")))&gt;0)),IF(DG191="",TRUE,IF(input_event_type="",FALSE,SUMPRODUCT(--ISNUMBER(SEARCH(","&amp;TRIM(TEXTSPLIT(DG191,","))&amp;",",","&amp;SUBSTITUTE(input_event_type," ","")&amp;",")))=COUNTA(TEXTSPLIT(DG191,",")))))</f>
        <v/>
      </c>
      <c r="JD191">
        <f>AND(IF(DI191="",TRUE,IF(input_executive_education_focus="",FALSE,SUMPRODUCT(--ISNUMBER(SEARCH(","&amp;TRIM(TEXTSPLIT(DI191,","))&amp;",",","&amp;SUBSTITUTE(input_executive_education_focus," ","")&amp;",")))&gt;0)),IF(DK191="",TRUE,IF(input_executive_education_focus="",FALSE,SUMPRODUCT(--ISNUMBER(SEARCH(","&amp;TRIM(TEXTSPLIT(DK191,","))&amp;",",","&amp;SUBSTITUTE(input_executive_education_focus," ","")&amp;",")))=COUNTA(TEXTSPLIT(DK191,",")))),IF(DM191="",TRUE,IF(input_executive_education_focus="",TRUE,SUMPRODUCT(--ISNUMBER(SEARCH(","&amp;TRIM(TEXTSPLIT(DM191,","))&amp;",",","&amp;SUBSTITUTE(input_executive_education_focus," ","")&amp;",")))=0)),IF(DO191="",TRUE,IF(input_executive_education_focus="",FALSE,SUMPRODUCT(--ISNUMBER(SEARCH(","&amp;TRIM(TEXTSPLIT(DO191,","))&amp;",",","&amp;SUBSTITUTE(input_executive_education_focus," ","")&amp;",")))&gt;0)),IF(DQ191="",TRUE,IF(input_executive_education_focus="",FALSE,SUMPRODUCT(--ISNUMBER(SEARCH(","&amp;TRIM(TEXTSPLIT(DQ191,","))&amp;",",","&amp;SUBSTITUTE(input_executive_education_focus," ","")&amp;",")))=COUNTA(TEXTSPLIT(DQ191,",")))))</f>
        <v/>
      </c>
      <c r="JE191">
        <f>AND(IF(DS191="",TRUE,IF(input_faculty_category="",FALSE,SUMPRODUCT(--ISNUMBER(SEARCH(","&amp;TRIM(TEXTSPLIT(DS191,","))&amp;",",","&amp;SUBSTITUTE(input_faculty_category," ","")&amp;",")))&gt;0)),IF(DU191="",TRUE,IF(input_faculty_category="",FALSE,SUMPRODUCT(--ISNUMBER(SEARCH(","&amp;TRIM(TEXTSPLIT(DU191,","))&amp;",",","&amp;SUBSTITUTE(input_faculty_category," ","")&amp;",")))=COUNTA(TEXTSPLIT(DU191,",")))),IF(DW191="",TRUE,IF(input_faculty_category="",TRUE,SUMPRODUCT(--ISNUMBER(SEARCH(","&amp;TRIM(TEXTSPLIT(DW191,","))&amp;",",","&amp;SUBSTITUTE(input_faculty_category," ","")&amp;",")))=0)),IF(DY191="",TRUE,IF(input_faculty_category="",FALSE,SUMPRODUCT(--ISNUMBER(SEARCH(","&amp;TRIM(TEXTSPLIT(DY191,","))&amp;",",","&amp;SUBSTITUTE(input_faculty_category," ","")&amp;",")))&gt;0)),IF(EA191="",TRUE,IF(input_faculty_category="",FALSE,SUMPRODUCT(--ISNUMBER(SEARCH(","&amp;TRIM(TEXTSPLIT(EA191,","))&amp;",",","&amp;SUBSTITUTE(input_faculty_category," ","")&amp;",")))=COUNTA(TEXTSPLIT(EA191,",")))))</f>
        <v/>
      </c>
      <c r="JF191">
        <f>AND(IF(EC191="",TRUE,IF(input_faculty_discipline="",FALSE,SUMPRODUCT(--ISNUMBER(SEARCH(","&amp;TRIM(TEXTSPLIT(EC191,","))&amp;",",","&amp;SUBSTITUTE(input_faculty_discipline," ","")&amp;",")))&gt;0)),IF(EE191="",TRUE,IF(input_faculty_discipline="",FALSE,SUMPRODUCT(--ISNUMBER(SEARCH(","&amp;TRIM(TEXTSPLIT(EE191,","))&amp;",",","&amp;SUBSTITUTE(input_faculty_discipline," ","")&amp;",")))=COUNTA(TEXTSPLIT(EE191,",")))),IF(EG191="",TRUE,IF(input_faculty_discipline="",TRUE,SUMPRODUCT(--ISNUMBER(SEARCH(","&amp;TRIM(TEXTSPLIT(EG191,","))&amp;",",","&amp;SUBSTITUTE(input_faculty_discipline," ","")&amp;",")))=0)),IF(EI191="",TRUE,IF(input_faculty_discipline="",FALSE,SUMPRODUCT(--ISNUMBER(SEARCH(","&amp;TRIM(TEXTSPLIT(EI191,","))&amp;",",","&amp;SUBSTITUTE(input_faculty_discipline," ","")&amp;",")))&gt;0)),IF(EK191="",TRUE,IF(input_faculty_discipline="",FALSE,SUMPRODUCT(--ISNUMBER(SEARCH(","&amp;TRIM(TEXTSPLIT(EK191,","))&amp;",",","&amp;SUBSTITUTE(input_faculty_discipline," ","")&amp;",")))=COUNTA(TEXTSPLIT(EK191,",")))))</f>
        <v/>
      </c>
      <c r="JG191">
        <f>AND(IF(EM191="",TRUE,IF(input_faculty_expertise="",FALSE,SUMPRODUCT(--ISNUMBER(SEARCH(","&amp;TRIM(TEXTSPLIT(EM191,","))&amp;",",","&amp;SUBSTITUTE(input_faculty_expertise," ","")&amp;",")))&gt;0)),IF(EO191="",TRUE,IF(input_faculty_expertise="",FALSE,SUMPRODUCT(--ISNUMBER(SEARCH(","&amp;TRIM(TEXTSPLIT(EO191,","))&amp;",",","&amp;SUBSTITUTE(input_faculty_expertise," ","")&amp;",")))=COUNTA(TEXTSPLIT(EO191,",")))),IF(EQ191="",TRUE,IF(input_faculty_expertise="",TRUE,SUMPRODUCT(--ISNUMBER(SEARCH(","&amp;TRIM(TEXTSPLIT(EQ191,","))&amp;",",","&amp;SUBSTITUTE(input_faculty_expertise," ","")&amp;",")))=0)),IF(ES191="",TRUE,IF(input_faculty_expertise="",FALSE,SUMPRODUCT(--ISNUMBER(SEARCH(","&amp;TRIM(TEXTSPLIT(ES191,","))&amp;",",","&amp;SUBSTITUTE(input_faculty_expertise," ","")&amp;",")))&gt;0)),IF(EU191="",TRUE,IF(input_faculty_expertise="",FALSE,SUMPRODUCT(--ISNUMBER(SEARCH(","&amp;TRIM(TEXTSPLIT(EU191,","))&amp;",",","&amp;SUBSTITUTE(input_faculty_expertise," ","")&amp;",")))=COUNTA(TEXTSPLIT(EU191,",")))))</f>
        <v/>
      </c>
      <c r="JH191">
        <f>AND(IF(EW191="",TRUE,IF(input_global_network_school="",FALSE,SUMPRODUCT(--ISNUMBER(SEARCH(","&amp;TRIM(TEXTSPLIT(EW191,","))&amp;",",","&amp;SUBSTITUTE(input_global_network_school," ","")&amp;",")))&gt;0)),IF(EY191="",TRUE,IF(input_global_network_school="",FALSE,SUMPRODUCT(--ISNUMBER(SEARCH(","&amp;TRIM(TEXTSPLIT(EY191,","))&amp;",",","&amp;SUBSTITUTE(input_global_network_school," ","")&amp;",")))=COUNTA(TEXTSPLIT(EY191,",")))),IF(FA191="",TRUE,IF(input_global_network_school="",TRUE,SUMPRODUCT(--ISNUMBER(SEARCH(","&amp;TRIM(TEXTSPLIT(FA191,","))&amp;",",","&amp;SUBSTITUTE(input_global_network_school," ","")&amp;",")))=0)),IF(FC191="",TRUE,IF(input_global_network_school="",FALSE,SUMPRODUCT(--ISNUMBER(SEARCH(","&amp;TRIM(TEXTSPLIT(FC191,","))&amp;",",","&amp;SUBSTITUTE(input_global_network_school," ","")&amp;",")))&gt;0)),IF(FE191="",TRUE,IF(input_global_network_school="",FALSE,SUMPRODUCT(--ISNUMBER(SEARCH(","&amp;TRIM(TEXTSPLIT(FE191,","))&amp;",",","&amp;SUBSTITUTE(input_global_network_school," ","")&amp;",")))=COUNTA(TEXTSPLIT(FE191,",")))))</f>
        <v/>
      </c>
      <c r="JI191">
        <f>AND(IF(FG191="",TRUE,IF(input_industry="",FALSE,SUMPRODUCT(--ISNUMBER(SEARCH(","&amp;TRIM(TEXTSPLIT(FG191,","))&amp;",",","&amp;SUBSTITUTE(input_industry," ","")&amp;",")))&gt;0)),IF(FI191="",TRUE,IF(input_industry="",FALSE,SUMPRODUCT(--ISNUMBER(SEARCH(","&amp;TRIM(TEXTSPLIT(FI191,","))&amp;",",","&amp;SUBSTITUTE(input_industry," ","")&amp;",")))=COUNTA(TEXTSPLIT(FI191,",")))),IF(FK191="",TRUE,IF(input_industry="",TRUE,SUMPRODUCT(--ISNUMBER(SEARCH(","&amp;TRIM(TEXTSPLIT(FK191,","))&amp;",",","&amp;SUBSTITUTE(input_industry," ","")&amp;",")))=0)),IF(FM191="",TRUE,IF(input_industry="",FALSE,SUMPRODUCT(--ISNUMBER(SEARCH(","&amp;TRIM(TEXTSPLIT(FM191,","))&amp;",",","&amp;SUBSTITUTE(input_industry," ","")&amp;",")))&gt;0)),IF(FO191="",TRUE,IF(input_industry="",FALSE,SUMPRODUCT(--ISNUMBER(SEARCH(","&amp;TRIM(TEXTSPLIT(FO191,","))&amp;",",","&amp;SUBSTITUTE(input_industry," ","")&amp;",")))=COUNTA(TEXTSPLIT(FO191,",")))))</f>
        <v/>
      </c>
      <c r="JJ191">
        <f>AND(IF(FQ191="",TRUE,IF(input_location="",FALSE,SUMPRODUCT(--ISNUMBER(SEARCH(","&amp;TRIM(TEXTSPLIT(FQ191,","))&amp;",",","&amp;SUBSTITUTE(input_location," ","")&amp;",")))&gt;0)),IF(FS191="",TRUE,IF(input_location="",FALSE,SUMPRODUCT(--ISNUMBER(SEARCH(","&amp;TRIM(TEXTSPLIT(FS191,","))&amp;",",","&amp;SUBSTITUTE(input_location," ","")&amp;",")))=COUNTA(TEXTSPLIT(FS191,",")))),IF(FU191="",TRUE,IF(input_location="",TRUE,SUMPRODUCT(--ISNUMBER(SEARCH(","&amp;TRIM(TEXTSPLIT(FU191,","))&amp;",",","&amp;SUBSTITUTE(input_location," ","")&amp;",")))=0)),IF(FW191="",TRUE,IF(input_location="",FALSE,SUMPRODUCT(--ISNUMBER(SEARCH(","&amp;TRIM(TEXTSPLIT(FW191,","))&amp;",",","&amp;SUBSTITUTE(input_location," ","")&amp;",")))&gt;0)),IF(FY191="",TRUE,IF(input_location="",FALSE,SUMPRODUCT(--ISNUMBER(SEARCH(","&amp;TRIM(TEXTSPLIT(FY191,","))&amp;",",","&amp;SUBSTITUTE(input_location," ","")&amp;",")))=COUNTA(TEXTSPLIT(FY191,",")))))</f>
        <v/>
      </c>
      <c r="JK191">
        <f>AND(IF(GA191="",TRUE,IF(input_modality="",FALSE,SUMPRODUCT(--ISNUMBER(SEARCH(","&amp;TRIM(TEXTSPLIT(GA191,","))&amp;",",","&amp;SUBSTITUTE(input_modality," ","")&amp;",")))&gt;0)),IF(GC191="",TRUE,IF(input_modality="",FALSE,SUMPRODUCT(--ISNUMBER(SEARCH(","&amp;TRIM(TEXTSPLIT(GC191,","))&amp;",",","&amp;SUBSTITUTE(input_modality," ","")&amp;",")))=COUNTA(TEXTSPLIT(GC191,",")))),IF(GE191="",TRUE,IF(input_modality="",TRUE,SUMPRODUCT(--ISNUMBER(SEARCH(","&amp;TRIM(TEXTSPLIT(GE191,","))&amp;",",","&amp;SUBSTITUTE(input_modality," ","")&amp;",")))=0)),IF(GG191="",TRUE,IF(input_modality="",FALSE,SUMPRODUCT(--ISNUMBER(SEARCH(","&amp;TRIM(TEXTSPLIT(GG191,","))&amp;",",","&amp;SUBSTITUTE(input_modality," ","")&amp;",")))&gt;0)),IF(GI191="",TRUE,IF(input_modality="",FALSE,SUMPRODUCT(--ISNUMBER(SEARCH(","&amp;TRIM(TEXTSPLIT(GI191,","))&amp;",",","&amp;SUBSTITUTE(input_modality," ","")&amp;",")))=COUNTA(TEXTSPLIT(GI191,",")))))</f>
        <v/>
      </c>
      <c r="JL191">
        <f>AND(IF(GK191="",TRUE,IF(input_organizer="",FALSE,SUMPRODUCT(--ISNUMBER(SEARCH(","&amp;TRIM(TEXTSPLIT(GK191,","))&amp;",",","&amp;SUBSTITUTE(input_organizer," ","")&amp;",")))&gt;0)),IF(GM191="",TRUE,IF(input_organizer="",FALSE,SUMPRODUCT(--ISNUMBER(SEARCH(","&amp;TRIM(TEXTSPLIT(GM191,","))&amp;",",","&amp;SUBSTITUTE(input_organizer," ","")&amp;",")))=COUNTA(TEXTSPLIT(GM191,",")))),IF(GO191="",TRUE,IF(input_organizer="",TRUE,SUMPRODUCT(--ISNUMBER(SEARCH(","&amp;TRIM(TEXTSPLIT(GO191,","))&amp;",",","&amp;SUBSTITUTE(input_organizer," ","")&amp;",")))=0)),IF(GQ191="",TRUE,IF(input_organizer="",FALSE,SUMPRODUCT(--ISNUMBER(SEARCH(","&amp;TRIM(TEXTSPLIT(GQ191,","))&amp;",",","&amp;SUBSTITUTE(input_organizer," ","")&amp;",")))&gt;0)),IF(GS191="",TRUE,IF(input_organizer="",FALSE,SUMPRODUCT(--ISNUMBER(SEARCH(","&amp;TRIM(TEXTSPLIT(GS191,","))&amp;",",","&amp;SUBSTITUTE(input_organizer," ","")&amp;",")))=COUNTA(TEXTSPLIT(GS191,",")))))</f>
        <v/>
      </c>
      <c r="JM191">
        <f>AND(IF(GU191="",TRUE,IF(input_profile_type="",FALSE,SUMPRODUCT(--ISNUMBER(SEARCH(","&amp;TRIM(TEXTSPLIT(GU191,","))&amp;",",","&amp;SUBSTITUTE(input_profile_type," ","")&amp;",")))&gt;0)),IF(GW191="",TRUE,IF(input_profile_type="",FALSE,SUMPRODUCT(--ISNUMBER(SEARCH(","&amp;TRIM(TEXTSPLIT(GW191,","))&amp;",",","&amp;SUBSTITUTE(input_profile_type," ","")&amp;",")))=COUNTA(TEXTSPLIT(GW191,",")))),IF(GY191="",TRUE,IF(input_profile_type="",TRUE,SUMPRODUCT(--ISNUMBER(SEARCH(","&amp;TRIM(TEXTSPLIT(GY191,","))&amp;",",","&amp;SUBSTITUTE(input_profile_type," ","")&amp;",")))=0)),IF(HA191="",TRUE,IF(input_profile_type="",FALSE,SUMPRODUCT(--ISNUMBER(SEARCH(","&amp;TRIM(TEXTSPLIT(HA191,","))&amp;",",","&amp;SUBSTITUTE(input_profile_type," ","")&amp;",")))&gt;0)),IF(HC191="",TRUE,IF(input_profile_type="",FALSE,SUMPRODUCT(--ISNUMBER(SEARCH(","&amp;TRIM(TEXTSPLIT(HC191,","))&amp;",",","&amp;SUBSTITUTE(input_profile_type," ","")&amp;",")))=COUNTA(TEXTSPLIT(HC191,",")))))</f>
        <v/>
      </c>
      <c r="JN191">
        <f>AND(IF(HE191="",TRUE,IF(input_program="",FALSE,SUMPRODUCT(--ISNUMBER(SEARCH(","&amp;TRIM(TEXTSPLIT(HE191,","))&amp;",",","&amp;SUBSTITUTE(input_program," ","")&amp;",")))&gt;0)),IF(HG191="",TRUE,IF(input_program="",FALSE,SUMPRODUCT(--ISNUMBER(SEARCH(","&amp;TRIM(TEXTSPLIT(HG191,","))&amp;",",","&amp;SUBSTITUTE(input_program," ","")&amp;",")))=COUNTA(TEXTSPLIT(HG191,",")))),IF(HI191="",TRUE,IF(input_program="",TRUE,SUMPRODUCT(--ISNUMBER(SEARCH(","&amp;TRIM(TEXTSPLIT(HI191,","))&amp;",",","&amp;SUBSTITUTE(input_program," ","")&amp;",")))=0)),IF(HK191="",TRUE,IF(input_program="",FALSE,SUMPRODUCT(--ISNUMBER(SEARCH(","&amp;TRIM(TEXTSPLIT(HK191,","))&amp;",",","&amp;SUBSTITUTE(input_program," ","")&amp;",")))&gt;0)),IF(HM191="",TRUE,IF(input_program="",FALSE,SUMPRODUCT(--ISNUMBER(SEARCH(","&amp;TRIM(TEXTSPLIT(HM191,","))&amp;",",","&amp;SUBSTITUTE(input_program," ","")&amp;",")))=COUNTA(TEXTSPLIT(HM191,",")))))</f>
        <v/>
      </c>
      <c r="JO191">
        <f>AND(IF(HO191="",TRUE,IF(input_story_categories="",FALSE,SUMPRODUCT(--ISNUMBER(SEARCH(","&amp;TRIM(TEXTSPLIT(HO191,","))&amp;",",","&amp;SUBSTITUTE(input_story_categories," ","")&amp;",")))&gt;0)),IF(HQ191="",TRUE,IF(input_story_categories="",FALSE,SUMPRODUCT(--ISNUMBER(SEARCH(","&amp;TRIM(TEXTSPLIT(HQ191,","))&amp;",",","&amp;SUBSTITUTE(input_story_categories," ","")&amp;",")))=COUNTA(TEXTSPLIT(HQ191,",")))),IF(HS191="",TRUE,IF(input_story_categories="",TRUE,SUMPRODUCT(--ISNUMBER(SEARCH(","&amp;TRIM(TEXTSPLIT(HS191,","))&amp;",",","&amp;SUBSTITUTE(input_story_categories," ","")&amp;",")))=0)),IF(HU191="",TRUE,IF(input_story_categories="",FALSE,SUMPRODUCT(--ISNUMBER(SEARCH(","&amp;TRIM(TEXTSPLIT(HU191,","))&amp;",",","&amp;SUBSTITUTE(input_story_categories," ","")&amp;",")))&gt;0)),IF(HW191="",TRUE,IF(input_story_categories="",FALSE,SUMPRODUCT(--ISNUMBER(SEARCH(","&amp;TRIM(TEXTSPLIT(HW191,","))&amp;",",","&amp;SUBSTITUTE(input_story_categories," ","")&amp;",")))=COUNTA(TEXTSPLIT(HW191,",")))))</f>
        <v/>
      </c>
      <c r="JP191">
        <f>AND(IF(HY191="",TRUE,IF(input_story_type="",FALSE,SUMPRODUCT(--ISNUMBER(SEARCH(","&amp;TRIM(TEXTSPLIT(HY191,","))&amp;",",","&amp;SUBSTITUTE(input_story_type," ","")&amp;",")))&gt;0)),IF(IA191="",TRUE,IF(input_story_type="",FALSE,SUMPRODUCT(--ISNUMBER(SEARCH(","&amp;TRIM(TEXTSPLIT(IA191,","))&amp;",",","&amp;SUBSTITUTE(input_story_type," ","")&amp;",")))=COUNTA(TEXTSPLIT(IA191,",")))),IF(IC191="",TRUE,IF(input_story_type="",TRUE,SUMPRODUCT(--ISNUMBER(SEARCH(","&amp;TRIM(TEXTSPLIT(IC191,","))&amp;",",","&amp;SUBSTITUTE(input_story_type," ","")&amp;",")))=0)),IF(IE191="",TRUE,IF(input_story_type="",FALSE,SUMPRODUCT(--ISNUMBER(SEARCH(","&amp;TRIM(TEXTSPLIT(IE191,","))&amp;",",","&amp;SUBSTITUTE(input_story_type," ","")&amp;",")))&gt;0)),IF(IG191="",TRUE,IF(input_story_type="",FALSE,SUMPRODUCT(--ISNUMBER(SEARCH(","&amp;TRIM(TEXTSPLIT(IG191,","))&amp;",",","&amp;SUBSTITUTE(input_story_type," ","")&amp;",")))=COUNTA(TEXTSPLIT(IG191,",")))))</f>
        <v/>
      </c>
      <c r="JQ191">
        <f>AND(IF(II191="",TRUE,IF(input_topics="",FALSE,SUMPRODUCT(--ISNUMBER(SEARCH(","&amp;TRIM(TEXTSPLIT(II191,","))&amp;",",","&amp;SUBSTITUTE(input_topics," ","")&amp;",")))&gt;0)),IF(IK191="",TRUE,IF(input_topics="",FALSE,SUMPRODUCT(--ISNUMBER(SEARCH(","&amp;TRIM(TEXTSPLIT(IK191,","))&amp;",",","&amp;SUBSTITUTE(input_topics," ","")&amp;",")))=COUNTA(TEXTSPLIT(IK191,",")))),IF(IM191="",TRUE,IF(input_topics="",TRUE,SUMPRODUCT(--ISNUMBER(SEARCH(","&amp;TRIM(TEXTSPLIT(IM191,","))&amp;",",","&amp;SUBSTITUTE(input_topics," ","")&amp;",")))=0)),IF(IO191="",TRUE,IF(input_topics="",FALSE,SUMPRODUCT(--ISNUMBER(SEARCH(","&amp;TRIM(TEXTSPLIT(IO191,","))&amp;",",","&amp;SUBSTITUTE(input_topics," ","")&amp;",")))&gt;0)),IF(IQ191="",TRUE,IF(input_topics="",FALSE,SUMPRODUCT(--ISNUMBER(SEARCH(","&amp;TRIM(TEXTSPLIT(IQ191,","))&amp;",",","&amp;SUBSTITUTE(input_topics," ","")&amp;",")))=COUNTA(TEXTSPLIT(IQ191,",")))))</f>
        <v/>
      </c>
    </row>
    <row r="192">
      <c r="A192" s="4">
        <f>IF(NOT(IS192),"Excluded",IF(AND(IT192,IU192,IV192,IW192,IX192,IY192,IZ192,JA192,JB192,JC192,JD192,JE192,JF192,JG192,JH192,JI192,JJ192,JK192,JL192,JM192,JN192,JO192,JP192,JQ192),IF(I192&gt;0,"Eligible but limited","Will appear"),"Excluded"))</f>
        <v/>
      </c>
      <c r="B192" s="4" t="inlineStr">
        <is>
          <t>Related stories on story pages</t>
        </is>
      </c>
      <c r="C192" s="4" t="inlineStr">
        <is>
          <t>/news/2021/05/david-swensen-renowned-endowment-manager-and-teacher-has-died</t>
        </is>
      </c>
      <c r="D192" s="4" t="inlineStr">
        <is>
          <t>/news/2021/05/david-swensen-renowned-endowment-manager-and-teacher-has-died
/story/2022/beloved-course-examines-role-business-leaders-society-help-visiting-ceos
/story/2022/four-graduating-students-honored-deans-mission-impact-award</t>
        </is>
      </c>
      <c r="E192" s="4" t="n">
        <v>4</v>
      </c>
      <c r="F192" s="4" t="inlineStr">
        <is>
          <t>story</t>
        </is>
      </c>
      <c r="G192" s="4" t="inlineStr">
        <is>
          <t>stories_teaser_cards</t>
        </is>
      </c>
      <c r="H192" s="4" t="inlineStr">
        <is>
          <t>embed_all</t>
        </is>
      </c>
      <c r="I192" s="4" t="n">
        <v>3</v>
      </c>
      <c r="J192" s="4" t="inlineStr">
        <is>
          <t>Template logic</t>
        </is>
      </c>
      <c r="K192" s="4" t="inlineStr">
        <is>
          <t>Grouped surface</t>
        </is>
      </c>
      <c r="L192" s="4" t="inlineStr">
        <is>
          <t>Content type: story; Context uses Courses Context: All SOM (77); Context uses Story Type: News (924); Limited to 3 item(s); Source: Template logic</t>
        </is>
      </c>
      <c r="M192" t="inlineStr"/>
      <c r="N192" t="inlineStr"/>
      <c r="O192" t="inlineStr"/>
      <c r="P192" t="inlineStr"/>
      <c r="Q192" t="inlineStr"/>
      <c r="R192" t="inlineStr"/>
      <c r="S192" t="inlineStr"/>
      <c r="T192" t="inlineStr"/>
      <c r="U192" t="inlineStr"/>
      <c r="V192" t="inlineStr"/>
      <c r="W192" t="inlineStr"/>
      <c r="X192" t="inlineStr"/>
      <c r="Y192" t="inlineStr"/>
      <c r="Z192" t="inlineStr"/>
      <c r="AA192" t="inlineStr"/>
      <c r="AB192" t="inlineStr"/>
      <c r="AC192" t="inlineStr"/>
      <c r="AD192" t="inlineStr"/>
      <c r="AE192" t="inlineStr"/>
      <c r="AF192" t="inlineStr"/>
      <c r="AG192" t="inlineStr"/>
      <c r="AH192" t="inlineStr"/>
      <c r="AI192" t="inlineStr"/>
      <c r="AJ192" t="inlineStr"/>
      <c r="AK192" t="inlineStr"/>
      <c r="AL192" t="inlineStr"/>
      <c r="AM192" t="inlineStr"/>
      <c r="AN192" t="inlineStr"/>
      <c r="AO192" t="inlineStr"/>
      <c r="AP192" t="inlineStr"/>
      <c r="AQ192" t="inlineStr"/>
      <c r="AR192" t="inlineStr"/>
      <c r="AS192" t="inlineStr"/>
      <c r="AT192" t="inlineStr"/>
      <c r="AU192" t="inlineStr"/>
      <c r="AV192" t="inlineStr"/>
      <c r="AW192" t="inlineStr"/>
      <c r="AX192" t="inlineStr"/>
      <c r="AY192" t="inlineStr"/>
      <c r="AZ192" t="inlineStr"/>
      <c r="BA192" t="inlineStr"/>
      <c r="BB192" t="inlineStr"/>
      <c r="BC192" t="inlineStr"/>
      <c r="BD192" t="inlineStr"/>
      <c r="BE192" t="inlineStr"/>
      <c r="BF192" t="inlineStr"/>
      <c r="BG192" t="inlineStr"/>
      <c r="BH192" t="inlineStr"/>
      <c r="BI192" t="inlineStr"/>
      <c r="BJ192" t="inlineStr"/>
      <c r="BK192" t="inlineStr"/>
      <c r="BL192" t="inlineStr"/>
      <c r="BM192" t="inlineStr"/>
      <c r="BN192" t="inlineStr"/>
      <c r="BO192" t="inlineStr"/>
      <c r="BP192" t="inlineStr"/>
      <c r="BQ192" t="inlineStr">
        <is>
          <t>77</t>
        </is>
      </c>
      <c r="BR192" t="inlineStr">
        <is>
          <t>All SOM (77)</t>
        </is>
      </c>
      <c r="BS192" t="inlineStr"/>
      <c r="BT192" t="inlineStr"/>
      <c r="BU192" t="inlineStr"/>
      <c r="BV192" t="inlineStr"/>
      <c r="BW192" t="inlineStr"/>
      <c r="BX192" t="inlineStr"/>
      <c r="BY192" t="inlineStr"/>
      <c r="BZ192" t="inlineStr"/>
      <c r="CA192" t="inlineStr"/>
      <c r="CB192" t="inlineStr"/>
      <c r="CC192" t="inlineStr"/>
      <c r="CD192" t="inlineStr"/>
      <c r="CE192" t="inlineStr"/>
      <c r="CF192" t="inlineStr"/>
      <c r="CG192" t="inlineStr"/>
      <c r="CH192" t="inlineStr"/>
      <c r="CI192" t="inlineStr"/>
      <c r="CJ192" t="inlineStr"/>
      <c r="CK192" t="inlineStr"/>
      <c r="CL192" t="inlineStr"/>
      <c r="CM192" t="inlineStr"/>
      <c r="CN192" t="inlineStr"/>
      <c r="CO192" t="inlineStr"/>
      <c r="CP192" t="inlineStr"/>
      <c r="CQ192" t="inlineStr"/>
      <c r="CR192" t="inlineStr"/>
      <c r="CS192" t="inlineStr"/>
      <c r="CT192" t="inlineStr"/>
      <c r="CU192" t="inlineStr"/>
      <c r="CV192" t="inlineStr"/>
      <c r="CW192" t="inlineStr"/>
      <c r="CX192" t="inlineStr"/>
      <c r="CY192" t="inlineStr"/>
      <c r="CZ192" t="inlineStr"/>
      <c r="DA192" t="inlineStr"/>
      <c r="DB192" t="inlineStr"/>
      <c r="DC192" t="inlineStr"/>
      <c r="DD192" t="inlineStr"/>
      <c r="DE192" t="inlineStr"/>
      <c r="DF192" t="inlineStr"/>
      <c r="DG192" t="inlineStr"/>
      <c r="DH192" t="inlineStr"/>
      <c r="DI192" t="inlineStr"/>
      <c r="DJ192" t="inlineStr"/>
      <c r="DK192" t="inlineStr"/>
      <c r="DL192" t="inlineStr"/>
      <c r="DM192" t="inlineStr"/>
      <c r="DN192" t="inlineStr"/>
      <c r="DO192" t="inlineStr"/>
      <c r="DP192" t="inlineStr"/>
      <c r="DQ192" t="inlineStr"/>
      <c r="DR192" t="inlineStr"/>
      <c r="DS192" t="inlineStr"/>
      <c r="DT192" t="inlineStr"/>
      <c r="DU192" t="inlineStr"/>
      <c r="DV192" t="inlineStr"/>
      <c r="DW192" t="inlineStr"/>
      <c r="DX192" t="inlineStr"/>
      <c r="DY192" t="inlineStr"/>
      <c r="DZ192" t="inlineStr"/>
      <c r="EA192" t="inlineStr"/>
      <c r="EB192" t="inlineStr"/>
      <c r="EC192" t="inlineStr"/>
      <c r="ED192" t="inlineStr"/>
      <c r="EE192" t="inlineStr"/>
      <c r="EF192" t="inlineStr"/>
      <c r="EG192" t="inlineStr"/>
      <c r="EH192" t="inlineStr"/>
      <c r="EI192" t="inlineStr"/>
      <c r="EJ192" t="inlineStr"/>
      <c r="EK192" t="inlineStr"/>
      <c r="EL192" t="inlineStr"/>
      <c r="EM192" t="inlineStr"/>
      <c r="EN192" t="inlineStr"/>
      <c r="EO192" t="inlineStr"/>
      <c r="EP192" t="inlineStr"/>
      <c r="EQ192" t="inlineStr"/>
      <c r="ER192" t="inlineStr"/>
      <c r="ES192" t="inlineStr"/>
      <c r="ET192" t="inlineStr"/>
      <c r="EU192" t="inlineStr"/>
      <c r="EV192" t="inlineStr"/>
      <c r="EW192" t="inlineStr"/>
      <c r="EX192" t="inlineStr"/>
      <c r="EY192" t="inlineStr"/>
      <c r="EZ192" t="inlineStr"/>
      <c r="FA192" t="inlineStr"/>
      <c r="FB192" t="inlineStr"/>
      <c r="FC192" t="inlineStr"/>
      <c r="FD192" t="inlineStr"/>
      <c r="FE192" t="inlineStr"/>
      <c r="FF192" t="inlineStr"/>
      <c r="FG192" t="inlineStr"/>
      <c r="FH192" t="inlineStr"/>
      <c r="FI192" t="inlineStr"/>
      <c r="FJ192" t="inlineStr"/>
      <c r="FK192" t="inlineStr"/>
      <c r="FL192" t="inlineStr"/>
      <c r="FM192" t="inlineStr"/>
      <c r="FN192" t="inlineStr"/>
      <c r="FO192" t="inlineStr"/>
      <c r="FP192" t="inlineStr"/>
      <c r="FQ192" t="inlineStr"/>
      <c r="FR192" t="inlineStr"/>
      <c r="FS192" t="inlineStr"/>
      <c r="FT192" t="inlineStr"/>
      <c r="FU192" t="inlineStr"/>
      <c r="FV192" t="inlineStr"/>
      <c r="FW192" t="inlineStr"/>
      <c r="FX192" t="inlineStr"/>
      <c r="FY192" t="inlineStr"/>
      <c r="FZ192" t="inlineStr"/>
      <c r="GA192" t="inlineStr"/>
      <c r="GB192" t="inlineStr"/>
      <c r="GC192" t="inlineStr"/>
      <c r="GD192" t="inlineStr"/>
      <c r="GE192" t="inlineStr"/>
      <c r="GF192" t="inlineStr"/>
      <c r="GG192" t="inlineStr"/>
      <c r="GH192" t="inlineStr"/>
      <c r="GI192" t="inlineStr"/>
      <c r="GJ192" t="inlineStr"/>
      <c r="GK192" t="inlineStr"/>
      <c r="GL192" t="inlineStr"/>
      <c r="GM192" t="inlineStr"/>
      <c r="GN192" t="inlineStr"/>
      <c r="GO192" t="inlineStr"/>
      <c r="GP192" t="inlineStr"/>
      <c r="GQ192" t="inlineStr"/>
      <c r="GR192" t="inlineStr"/>
      <c r="GS192" t="inlineStr"/>
      <c r="GT192" t="inlineStr"/>
      <c r="GU192" t="inlineStr"/>
      <c r="GV192" t="inlineStr"/>
      <c r="GW192" t="inlineStr"/>
      <c r="GX192" t="inlineStr"/>
      <c r="GY192" t="inlineStr"/>
      <c r="GZ192" t="inlineStr"/>
      <c r="HA192" t="inlineStr"/>
      <c r="HB192" t="inlineStr"/>
      <c r="HC192" t="inlineStr"/>
      <c r="HD192" t="inlineStr"/>
      <c r="HE192" t="inlineStr"/>
      <c r="HF192" t="inlineStr"/>
      <c r="HG192" t="inlineStr"/>
      <c r="HH192" t="inlineStr"/>
      <c r="HI192" t="inlineStr"/>
      <c r="HJ192" t="inlineStr"/>
      <c r="HK192" t="inlineStr"/>
      <c r="HL192" t="inlineStr"/>
      <c r="HM192" t="inlineStr"/>
      <c r="HN192" t="inlineStr"/>
      <c r="HO192" t="inlineStr"/>
      <c r="HP192" t="inlineStr"/>
      <c r="HQ192" t="inlineStr"/>
      <c r="HR192" t="inlineStr"/>
      <c r="HS192" t="inlineStr"/>
      <c r="HT192" t="inlineStr"/>
      <c r="HU192" t="inlineStr"/>
      <c r="HV192" t="inlineStr"/>
      <c r="HW192" t="inlineStr"/>
      <c r="HX192" t="inlineStr"/>
      <c r="HY192" t="inlineStr"/>
      <c r="HZ192" t="inlineStr"/>
      <c r="IA192" t="inlineStr"/>
      <c r="IB192" t="inlineStr"/>
      <c r="IC192" t="inlineStr"/>
      <c r="ID192" t="inlineStr"/>
      <c r="IE192" t="inlineStr">
        <is>
          <t>924</t>
        </is>
      </c>
      <c r="IF192" t="inlineStr">
        <is>
          <t>News (924)</t>
        </is>
      </c>
      <c r="IG192" t="inlineStr"/>
      <c r="IH192" t="inlineStr"/>
      <c r="II192" t="inlineStr"/>
      <c r="IJ192" t="inlineStr"/>
      <c r="IK192" t="inlineStr"/>
      <c r="IL192" t="inlineStr"/>
      <c r="IM192" t="inlineStr"/>
      <c r="IN192" t="inlineStr"/>
      <c r="IO192" t="inlineStr"/>
      <c r="IP192" t="inlineStr"/>
      <c r="IQ192" t="inlineStr"/>
      <c r="IR192" t="inlineStr"/>
      <c r="IS192">
        <f>IF(input_content_type="",FALSE,ISNUMBER(SEARCH(","&amp;LOWER(input_content_type)&amp;",",","&amp;LOWER(F192)&amp;",")))</f>
        <v/>
      </c>
      <c r="IT192">
        <f>AND(IF(M192="",TRUE,IF(input_affiliations="",FALSE,SUMPRODUCT(--ISNUMBER(SEARCH(","&amp;TRIM(TEXTSPLIT(M192,","))&amp;",",","&amp;SUBSTITUTE(input_affiliations," ","")&amp;",")))&gt;0)),IF(O192="",TRUE,IF(input_affiliations="",FALSE,SUMPRODUCT(--ISNUMBER(SEARCH(","&amp;TRIM(TEXTSPLIT(O192,","))&amp;",",","&amp;SUBSTITUTE(input_affiliations," ","")&amp;",")))=COUNTA(TEXTSPLIT(O192,",")))),IF(Q192="",TRUE,IF(input_affiliations="",TRUE,SUMPRODUCT(--ISNUMBER(SEARCH(","&amp;TRIM(TEXTSPLIT(Q192,","))&amp;",",","&amp;SUBSTITUTE(input_affiliations," ","")&amp;",")))=0)),IF(S192="",TRUE,IF(input_affiliations="",FALSE,SUMPRODUCT(--ISNUMBER(SEARCH(","&amp;TRIM(TEXTSPLIT(S192,","))&amp;",",","&amp;SUBSTITUTE(input_affiliations," ","")&amp;",")))&gt;0)),IF(U192="",TRUE,IF(input_affiliations="",FALSE,SUMPRODUCT(--ISNUMBER(SEARCH(","&amp;TRIM(TEXTSPLIT(U192,","))&amp;",",","&amp;SUBSTITUTE(input_affiliations," ","")&amp;",")))=COUNTA(TEXTSPLIT(U192,",")))))</f>
        <v/>
      </c>
      <c r="IU192">
        <f>AND(IF(W192="",TRUE,IF(input_announcement_category="",FALSE,SUMPRODUCT(--ISNUMBER(SEARCH(","&amp;TRIM(TEXTSPLIT(W192,","))&amp;",",","&amp;SUBSTITUTE(input_announcement_category," ","")&amp;",")))&gt;0)),IF(Y192="",TRUE,IF(input_announcement_category="",FALSE,SUMPRODUCT(--ISNUMBER(SEARCH(","&amp;TRIM(TEXTSPLIT(Y192,","))&amp;",",","&amp;SUBSTITUTE(input_announcement_category," ","")&amp;",")))=COUNTA(TEXTSPLIT(Y192,",")))),IF(AA192="",TRUE,IF(input_announcement_category="",TRUE,SUMPRODUCT(--ISNUMBER(SEARCH(","&amp;TRIM(TEXTSPLIT(AA192,","))&amp;",",","&amp;SUBSTITUTE(input_announcement_category," ","")&amp;",")))=0)),IF(AC192="",TRUE,IF(input_announcement_category="",FALSE,SUMPRODUCT(--ISNUMBER(SEARCH(","&amp;TRIM(TEXTSPLIT(AC192,","))&amp;",",","&amp;SUBSTITUTE(input_announcement_category," ","")&amp;",")))&gt;0)),IF(AE192="",TRUE,IF(input_announcement_category="",FALSE,SUMPRODUCT(--ISNUMBER(SEARCH(","&amp;TRIM(TEXTSPLIT(AE192,","))&amp;",",","&amp;SUBSTITUTE(input_announcement_category," ","")&amp;",")))=COUNTA(TEXTSPLIT(AE192,",")))))</f>
        <v/>
      </c>
      <c r="IV192">
        <f>AND(IF(AG192="",TRUE,IF(input_area_of_focus="",FALSE,SUMPRODUCT(--ISNUMBER(SEARCH(","&amp;TRIM(TEXTSPLIT(AG192,","))&amp;",",","&amp;SUBSTITUTE(input_area_of_focus," ","")&amp;",")))&gt;0)),IF(AI192="",TRUE,IF(input_area_of_focus="",FALSE,SUMPRODUCT(--ISNUMBER(SEARCH(","&amp;TRIM(TEXTSPLIT(AI192,","))&amp;",",","&amp;SUBSTITUTE(input_area_of_focus," ","")&amp;",")))=COUNTA(TEXTSPLIT(AI192,",")))),IF(AK192="",TRUE,IF(input_area_of_focus="",TRUE,SUMPRODUCT(--ISNUMBER(SEARCH(","&amp;TRIM(TEXTSPLIT(AK192,","))&amp;",",","&amp;SUBSTITUTE(input_area_of_focus," ","")&amp;",")))=0)),IF(AM192="",TRUE,IF(input_area_of_focus="",FALSE,SUMPRODUCT(--ISNUMBER(SEARCH(","&amp;TRIM(TEXTSPLIT(AM192,","))&amp;",",","&amp;SUBSTITUTE(input_area_of_focus," ","")&amp;",")))&gt;0)),IF(AO192="",TRUE,IF(input_area_of_focus="",FALSE,SUMPRODUCT(--ISNUMBER(SEARCH(","&amp;TRIM(TEXTSPLIT(AO192,","))&amp;",",","&amp;SUBSTITUTE(input_area_of_focus," ","")&amp;",")))=COUNTA(TEXTSPLIT(AO192,",")))))</f>
        <v/>
      </c>
      <c r="IW192">
        <f>AND(IF(AQ192="",TRUE,IF(input_audience="",FALSE,SUMPRODUCT(--ISNUMBER(SEARCH(","&amp;TRIM(TEXTSPLIT(AQ192,","))&amp;",",","&amp;SUBSTITUTE(input_audience," ","")&amp;",")))&gt;0)),IF(AS192="",TRUE,IF(input_audience="",FALSE,SUMPRODUCT(--ISNUMBER(SEARCH(","&amp;TRIM(TEXTSPLIT(AS192,","))&amp;",",","&amp;SUBSTITUTE(input_audience," ","")&amp;",")))=COUNTA(TEXTSPLIT(AS192,",")))),IF(AU192="",TRUE,IF(input_audience="",TRUE,SUMPRODUCT(--ISNUMBER(SEARCH(","&amp;TRIM(TEXTSPLIT(AU192,","))&amp;",",","&amp;SUBSTITUTE(input_audience," ","")&amp;",")))=0)),IF(AW192="",TRUE,IF(input_audience="",FALSE,SUMPRODUCT(--ISNUMBER(SEARCH(","&amp;TRIM(TEXTSPLIT(AW192,","))&amp;",",","&amp;SUBSTITUTE(input_audience," ","")&amp;",")))&gt;0)),IF(AY192="",TRUE,IF(input_audience="",FALSE,SUMPRODUCT(--ISNUMBER(SEARCH(","&amp;TRIM(TEXTSPLIT(AY192,","))&amp;",",","&amp;SUBSTITUTE(input_audience," ","")&amp;",")))=COUNTA(TEXTSPLIT(AY192,",")))))</f>
        <v/>
      </c>
      <c r="IX192">
        <f>AND(IF(BA192="",TRUE,IF(input_challenge_opportunities="",FALSE,SUMPRODUCT(--ISNUMBER(SEARCH(","&amp;TRIM(TEXTSPLIT(BA192,","))&amp;",",","&amp;SUBSTITUTE(input_challenge_opportunities," ","")&amp;",")))&gt;0)),IF(BC192="",TRUE,IF(input_challenge_opportunities="",FALSE,SUMPRODUCT(--ISNUMBER(SEARCH(","&amp;TRIM(TEXTSPLIT(BC192,","))&amp;",",","&amp;SUBSTITUTE(input_challenge_opportunities," ","")&amp;",")))=COUNTA(TEXTSPLIT(BC192,",")))),IF(BE192="",TRUE,IF(input_challenge_opportunities="",TRUE,SUMPRODUCT(--ISNUMBER(SEARCH(","&amp;TRIM(TEXTSPLIT(BE192,","))&amp;",",","&amp;SUBSTITUTE(input_challenge_opportunities," ","")&amp;",")))=0)),IF(BG192="",TRUE,IF(input_challenge_opportunities="",FALSE,SUMPRODUCT(--ISNUMBER(SEARCH(","&amp;TRIM(TEXTSPLIT(BG192,","))&amp;",",","&amp;SUBSTITUTE(input_challenge_opportunities," ","")&amp;",")))&gt;0)),IF(BI192="",TRUE,IF(input_challenge_opportunities="",FALSE,SUMPRODUCT(--ISNUMBER(SEARCH(","&amp;TRIM(TEXTSPLIT(BI192,","))&amp;",",","&amp;SUBSTITUTE(input_challenge_opportunities," ","")&amp;",")))=COUNTA(TEXTSPLIT(BI192,",")))))</f>
        <v/>
      </c>
      <c r="IY192">
        <f>AND(IF(BK192="",TRUE,IF(input_context="",FALSE,SUMPRODUCT(--ISNUMBER(SEARCH(","&amp;TRIM(TEXTSPLIT(BK192,","))&amp;",",","&amp;SUBSTITUTE(input_context," ","")&amp;",")))&gt;0)),IF(BM192="",TRUE,IF(input_context="",FALSE,SUMPRODUCT(--ISNUMBER(SEARCH(","&amp;TRIM(TEXTSPLIT(BM192,","))&amp;",",","&amp;SUBSTITUTE(input_context," ","")&amp;",")))=COUNTA(TEXTSPLIT(BM192,",")))),IF(BO192="",TRUE,IF(input_context="",TRUE,SUMPRODUCT(--ISNUMBER(SEARCH(","&amp;TRIM(TEXTSPLIT(BO192,","))&amp;",",","&amp;SUBSTITUTE(input_context," ","")&amp;",")))=0)),IF(BQ192="",TRUE,IF(input_context="",FALSE,SUMPRODUCT(--ISNUMBER(SEARCH(","&amp;TRIM(TEXTSPLIT(BQ192,","))&amp;",",","&amp;SUBSTITUTE(input_context," ","")&amp;",")))&gt;0)),IF(BS192="",TRUE,IF(input_context="",FALSE,SUMPRODUCT(--ISNUMBER(SEARCH(","&amp;TRIM(TEXTSPLIT(BS192,","))&amp;",",","&amp;SUBSTITUTE(input_context," ","")&amp;",")))=COUNTA(TEXTSPLIT(BS192,",")))))</f>
        <v/>
      </c>
      <c r="IZ192">
        <f>AND(IF(BU192="",TRUE,IF(input_enews_announcement_type="",FALSE,SUMPRODUCT(--ISNUMBER(SEARCH(","&amp;TRIM(TEXTSPLIT(BU192,","))&amp;",",","&amp;SUBSTITUTE(input_enews_announcement_type," ","")&amp;",")))&gt;0)),IF(BW192="",TRUE,IF(input_enews_announcement_type="",FALSE,SUMPRODUCT(--ISNUMBER(SEARCH(","&amp;TRIM(TEXTSPLIT(BW192,","))&amp;",",","&amp;SUBSTITUTE(input_enews_announcement_type," ","")&amp;",")))=COUNTA(TEXTSPLIT(BW192,",")))),IF(BY192="",TRUE,IF(input_enews_announcement_type="",TRUE,SUMPRODUCT(--ISNUMBER(SEARCH(","&amp;TRIM(TEXTSPLIT(BY192,","))&amp;",",","&amp;SUBSTITUTE(input_enews_announcement_type," ","")&amp;",")))=0)),IF(CA192="",TRUE,IF(input_enews_announcement_type="",FALSE,SUMPRODUCT(--ISNUMBER(SEARCH(","&amp;TRIM(TEXTSPLIT(CA192,","))&amp;",",","&amp;SUBSTITUTE(input_enews_announcement_type," ","")&amp;",")))&gt;0)),IF(CC192="",TRUE,IF(input_enews_announcement_type="",FALSE,SUMPRODUCT(--ISNUMBER(SEARCH(","&amp;TRIM(TEXTSPLIT(CC192,","))&amp;",",","&amp;SUBSTITUTE(input_enews_announcement_type," ","")&amp;",")))=COUNTA(TEXTSPLIT(CC192,",")))))</f>
        <v/>
      </c>
      <c r="JA192">
        <f>AND(IF(CE192="",TRUE,IF(input_enews_audience="",FALSE,SUMPRODUCT(--ISNUMBER(SEARCH(","&amp;TRIM(TEXTSPLIT(CE192,","))&amp;",",","&amp;SUBSTITUTE(input_enews_audience," ","")&amp;",")))&gt;0)),IF(CG192="",TRUE,IF(input_enews_audience="",FALSE,SUMPRODUCT(--ISNUMBER(SEARCH(","&amp;TRIM(TEXTSPLIT(CG192,","))&amp;",",","&amp;SUBSTITUTE(input_enews_audience," ","")&amp;",")))=COUNTA(TEXTSPLIT(CG192,",")))),IF(CI192="",TRUE,IF(input_enews_audience="",TRUE,SUMPRODUCT(--ISNUMBER(SEARCH(","&amp;TRIM(TEXTSPLIT(CI192,","))&amp;",",","&amp;SUBSTITUTE(input_enews_audience," ","")&amp;",")))=0)),IF(CK192="",TRUE,IF(input_enews_audience="",FALSE,SUMPRODUCT(--ISNUMBER(SEARCH(","&amp;TRIM(TEXTSPLIT(CK192,","))&amp;",",","&amp;SUBSTITUTE(input_enews_audience," ","")&amp;",")))&gt;0)),IF(CM192="",TRUE,IF(input_enews_audience="",FALSE,SUMPRODUCT(--ISNUMBER(SEARCH(","&amp;TRIM(TEXTSPLIT(CM192,","))&amp;",",","&amp;SUBSTITUTE(input_enews_audience," ","")&amp;",")))=COUNTA(TEXTSPLIT(CM192,",")))))</f>
        <v/>
      </c>
      <c r="JB192">
        <f>AND(IF(CO192="",TRUE,IF(input_event_location="",FALSE,SUMPRODUCT(--ISNUMBER(SEARCH(","&amp;TRIM(TEXTSPLIT(CO192,","))&amp;",",","&amp;SUBSTITUTE(input_event_location," ","")&amp;",")))&gt;0)),IF(CQ192="",TRUE,IF(input_event_location="",FALSE,SUMPRODUCT(--ISNUMBER(SEARCH(","&amp;TRIM(TEXTSPLIT(CQ192,","))&amp;",",","&amp;SUBSTITUTE(input_event_location," ","")&amp;",")))=COUNTA(TEXTSPLIT(CQ192,",")))),IF(CS192="",TRUE,IF(input_event_location="",TRUE,SUMPRODUCT(--ISNUMBER(SEARCH(","&amp;TRIM(TEXTSPLIT(CS192,","))&amp;",",","&amp;SUBSTITUTE(input_event_location," ","")&amp;",")))=0)),IF(CU192="",TRUE,IF(input_event_location="",FALSE,SUMPRODUCT(--ISNUMBER(SEARCH(","&amp;TRIM(TEXTSPLIT(CU192,","))&amp;",",","&amp;SUBSTITUTE(input_event_location," ","")&amp;",")))&gt;0)),IF(CW192="",TRUE,IF(input_event_location="",FALSE,SUMPRODUCT(--ISNUMBER(SEARCH(","&amp;TRIM(TEXTSPLIT(CW192,","))&amp;",",","&amp;SUBSTITUTE(input_event_location," ","")&amp;",")))=COUNTA(TEXTSPLIT(CW192,",")))))</f>
        <v/>
      </c>
      <c r="JC192">
        <f>AND(IF(CY192="",TRUE,IF(input_event_type="",FALSE,SUMPRODUCT(--ISNUMBER(SEARCH(","&amp;TRIM(TEXTSPLIT(CY192,","))&amp;",",","&amp;SUBSTITUTE(input_event_type," ","")&amp;",")))&gt;0)),IF(DA192="",TRUE,IF(input_event_type="",FALSE,SUMPRODUCT(--ISNUMBER(SEARCH(","&amp;TRIM(TEXTSPLIT(DA192,","))&amp;",",","&amp;SUBSTITUTE(input_event_type," ","")&amp;",")))=COUNTA(TEXTSPLIT(DA192,",")))),IF(DC192="",TRUE,IF(input_event_type="",TRUE,SUMPRODUCT(--ISNUMBER(SEARCH(","&amp;TRIM(TEXTSPLIT(DC192,","))&amp;",",","&amp;SUBSTITUTE(input_event_type," ","")&amp;",")))=0)),IF(DE192="",TRUE,IF(input_event_type="",FALSE,SUMPRODUCT(--ISNUMBER(SEARCH(","&amp;TRIM(TEXTSPLIT(DE192,","))&amp;",",","&amp;SUBSTITUTE(input_event_type," ","")&amp;",")))&gt;0)),IF(DG192="",TRUE,IF(input_event_type="",FALSE,SUMPRODUCT(--ISNUMBER(SEARCH(","&amp;TRIM(TEXTSPLIT(DG192,","))&amp;",",","&amp;SUBSTITUTE(input_event_type," ","")&amp;",")))=COUNTA(TEXTSPLIT(DG192,",")))))</f>
        <v/>
      </c>
      <c r="JD192">
        <f>AND(IF(DI192="",TRUE,IF(input_executive_education_focus="",FALSE,SUMPRODUCT(--ISNUMBER(SEARCH(","&amp;TRIM(TEXTSPLIT(DI192,","))&amp;",",","&amp;SUBSTITUTE(input_executive_education_focus," ","")&amp;",")))&gt;0)),IF(DK192="",TRUE,IF(input_executive_education_focus="",FALSE,SUMPRODUCT(--ISNUMBER(SEARCH(","&amp;TRIM(TEXTSPLIT(DK192,","))&amp;",",","&amp;SUBSTITUTE(input_executive_education_focus," ","")&amp;",")))=COUNTA(TEXTSPLIT(DK192,",")))),IF(DM192="",TRUE,IF(input_executive_education_focus="",TRUE,SUMPRODUCT(--ISNUMBER(SEARCH(","&amp;TRIM(TEXTSPLIT(DM192,","))&amp;",",","&amp;SUBSTITUTE(input_executive_education_focus," ","")&amp;",")))=0)),IF(DO192="",TRUE,IF(input_executive_education_focus="",FALSE,SUMPRODUCT(--ISNUMBER(SEARCH(","&amp;TRIM(TEXTSPLIT(DO192,","))&amp;",",","&amp;SUBSTITUTE(input_executive_education_focus," ","")&amp;",")))&gt;0)),IF(DQ192="",TRUE,IF(input_executive_education_focus="",FALSE,SUMPRODUCT(--ISNUMBER(SEARCH(","&amp;TRIM(TEXTSPLIT(DQ192,","))&amp;",",","&amp;SUBSTITUTE(input_executive_education_focus," ","")&amp;",")))=COUNTA(TEXTSPLIT(DQ192,",")))))</f>
        <v/>
      </c>
      <c r="JE192">
        <f>AND(IF(DS192="",TRUE,IF(input_faculty_category="",FALSE,SUMPRODUCT(--ISNUMBER(SEARCH(","&amp;TRIM(TEXTSPLIT(DS192,","))&amp;",",","&amp;SUBSTITUTE(input_faculty_category," ","")&amp;",")))&gt;0)),IF(DU192="",TRUE,IF(input_faculty_category="",FALSE,SUMPRODUCT(--ISNUMBER(SEARCH(","&amp;TRIM(TEXTSPLIT(DU192,","))&amp;",",","&amp;SUBSTITUTE(input_faculty_category," ","")&amp;",")))=COUNTA(TEXTSPLIT(DU192,",")))),IF(DW192="",TRUE,IF(input_faculty_category="",TRUE,SUMPRODUCT(--ISNUMBER(SEARCH(","&amp;TRIM(TEXTSPLIT(DW192,","))&amp;",",","&amp;SUBSTITUTE(input_faculty_category," ","")&amp;",")))=0)),IF(DY192="",TRUE,IF(input_faculty_category="",FALSE,SUMPRODUCT(--ISNUMBER(SEARCH(","&amp;TRIM(TEXTSPLIT(DY192,","))&amp;",",","&amp;SUBSTITUTE(input_faculty_category," ","")&amp;",")))&gt;0)),IF(EA192="",TRUE,IF(input_faculty_category="",FALSE,SUMPRODUCT(--ISNUMBER(SEARCH(","&amp;TRIM(TEXTSPLIT(EA192,","))&amp;",",","&amp;SUBSTITUTE(input_faculty_category," ","")&amp;",")))=COUNTA(TEXTSPLIT(EA192,",")))))</f>
        <v/>
      </c>
      <c r="JF192">
        <f>AND(IF(EC192="",TRUE,IF(input_faculty_discipline="",FALSE,SUMPRODUCT(--ISNUMBER(SEARCH(","&amp;TRIM(TEXTSPLIT(EC192,","))&amp;",",","&amp;SUBSTITUTE(input_faculty_discipline," ","")&amp;",")))&gt;0)),IF(EE192="",TRUE,IF(input_faculty_discipline="",FALSE,SUMPRODUCT(--ISNUMBER(SEARCH(","&amp;TRIM(TEXTSPLIT(EE192,","))&amp;",",","&amp;SUBSTITUTE(input_faculty_discipline," ","")&amp;",")))=COUNTA(TEXTSPLIT(EE192,",")))),IF(EG192="",TRUE,IF(input_faculty_discipline="",TRUE,SUMPRODUCT(--ISNUMBER(SEARCH(","&amp;TRIM(TEXTSPLIT(EG192,","))&amp;",",","&amp;SUBSTITUTE(input_faculty_discipline," ","")&amp;",")))=0)),IF(EI192="",TRUE,IF(input_faculty_discipline="",FALSE,SUMPRODUCT(--ISNUMBER(SEARCH(","&amp;TRIM(TEXTSPLIT(EI192,","))&amp;",",","&amp;SUBSTITUTE(input_faculty_discipline," ","")&amp;",")))&gt;0)),IF(EK192="",TRUE,IF(input_faculty_discipline="",FALSE,SUMPRODUCT(--ISNUMBER(SEARCH(","&amp;TRIM(TEXTSPLIT(EK192,","))&amp;",",","&amp;SUBSTITUTE(input_faculty_discipline," ","")&amp;",")))=COUNTA(TEXTSPLIT(EK192,",")))))</f>
        <v/>
      </c>
      <c r="JG192">
        <f>AND(IF(EM192="",TRUE,IF(input_faculty_expertise="",FALSE,SUMPRODUCT(--ISNUMBER(SEARCH(","&amp;TRIM(TEXTSPLIT(EM192,","))&amp;",",","&amp;SUBSTITUTE(input_faculty_expertise," ","")&amp;",")))&gt;0)),IF(EO192="",TRUE,IF(input_faculty_expertise="",FALSE,SUMPRODUCT(--ISNUMBER(SEARCH(","&amp;TRIM(TEXTSPLIT(EO192,","))&amp;",",","&amp;SUBSTITUTE(input_faculty_expertise," ","")&amp;",")))=COUNTA(TEXTSPLIT(EO192,",")))),IF(EQ192="",TRUE,IF(input_faculty_expertise="",TRUE,SUMPRODUCT(--ISNUMBER(SEARCH(","&amp;TRIM(TEXTSPLIT(EQ192,","))&amp;",",","&amp;SUBSTITUTE(input_faculty_expertise," ","")&amp;",")))=0)),IF(ES192="",TRUE,IF(input_faculty_expertise="",FALSE,SUMPRODUCT(--ISNUMBER(SEARCH(","&amp;TRIM(TEXTSPLIT(ES192,","))&amp;",",","&amp;SUBSTITUTE(input_faculty_expertise," ","")&amp;",")))&gt;0)),IF(EU192="",TRUE,IF(input_faculty_expertise="",FALSE,SUMPRODUCT(--ISNUMBER(SEARCH(","&amp;TRIM(TEXTSPLIT(EU192,","))&amp;",",","&amp;SUBSTITUTE(input_faculty_expertise," ","")&amp;",")))=COUNTA(TEXTSPLIT(EU192,",")))))</f>
        <v/>
      </c>
      <c r="JH192">
        <f>AND(IF(EW192="",TRUE,IF(input_global_network_school="",FALSE,SUMPRODUCT(--ISNUMBER(SEARCH(","&amp;TRIM(TEXTSPLIT(EW192,","))&amp;",",","&amp;SUBSTITUTE(input_global_network_school," ","")&amp;",")))&gt;0)),IF(EY192="",TRUE,IF(input_global_network_school="",FALSE,SUMPRODUCT(--ISNUMBER(SEARCH(","&amp;TRIM(TEXTSPLIT(EY192,","))&amp;",",","&amp;SUBSTITUTE(input_global_network_school," ","")&amp;",")))=COUNTA(TEXTSPLIT(EY192,",")))),IF(FA192="",TRUE,IF(input_global_network_school="",TRUE,SUMPRODUCT(--ISNUMBER(SEARCH(","&amp;TRIM(TEXTSPLIT(FA192,","))&amp;",",","&amp;SUBSTITUTE(input_global_network_school," ","")&amp;",")))=0)),IF(FC192="",TRUE,IF(input_global_network_school="",FALSE,SUMPRODUCT(--ISNUMBER(SEARCH(","&amp;TRIM(TEXTSPLIT(FC192,","))&amp;",",","&amp;SUBSTITUTE(input_global_network_school," ","")&amp;",")))&gt;0)),IF(FE192="",TRUE,IF(input_global_network_school="",FALSE,SUMPRODUCT(--ISNUMBER(SEARCH(","&amp;TRIM(TEXTSPLIT(FE192,","))&amp;",",","&amp;SUBSTITUTE(input_global_network_school," ","")&amp;",")))=COUNTA(TEXTSPLIT(FE192,",")))))</f>
        <v/>
      </c>
      <c r="JI192">
        <f>AND(IF(FG192="",TRUE,IF(input_industry="",FALSE,SUMPRODUCT(--ISNUMBER(SEARCH(","&amp;TRIM(TEXTSPLIT(FG192,","))&amp;",",","&amp;SUBSTITUTE(input_industry," ","")&amp;",")))&gt;0)),IF(FI192="",TRUE,IF(input_industry="",FALSE,SUMPRODUCT(--ISNUMBER(SEARCH(","&amp;TRIM(TEXTSPLIT(FI192,","))&amp;",",","&amp;SUBSTITUTE(input_industry," ","")&amp;",")))=COUNTA(TEXTSPLIT(FI192,",")))),IF(FK192="",TRUE,IF(input_industry="",TRUE,SUMPRODUCT(--ISNUMBER(SEARCH(","&amp;TRIM(TEXTSPLIT(FK192,","))&amp;",",","&amp;SUBSTITUTE(input_industry," ","")&amp;",")))=0)),IF(FM192="",TRUE,IF(input_industry="",FALSE,SUMPRODUCT(--ISNUMBER(SEARCH(","&amp;TRIM(TEXTSPLIT(FM192,","))&amp;",",","&amp;SUBSTITUTE(input_industry," ","")&amp;",")))&gt;0)),IF(FO192="",TRUE,IF(input_industry="",FALSE,SUMPRODUCT(--ISNUMBER(SEARCH(","&amp;TRIM(TEXTSPLIT(FO192,","))&amp;",",","&amp;SUBSTITUTE(input_industry," ","")&amp;",")))=COUNTA(TEXTSPLIT(FO192,",")))))</f>
        <v/>
      </c>
      <c r="JJ192">
        <f>AND(IF(FQ192="",TRUE,IF(input_location="",FALSE,SUMPRODUCT(--ISNUMBER(SEARCH(","&amp;TRIM(TEXTSPLIT(FQ192,","))&amp;",",","&amp;SUBSTITUTE(input_location," ","")&amp;",")))&gt;0)),IF(FS192="",TRUE,IF(input_location="",FALSE,SUMPRODUCT(--ISNUMBER(SEARCH(","&amp;TRIM(TEXTSPLIT(FS192,","))&amp;",",","&amp;SUBSTITUTE(input_location," ","")&amp;",")))=COUNTA(TEXTSPLIT(FS192,",")))),IF(FU192="",TRUE,IF(input_location="",TRUE,SUMPRODUCT(--ISNUMBER(SEARCH(","&amp;TRIM(TEXTSPLIT(FU192,","))&amp;",",","&amp;SUBSTITUTE(input_location," ","")&amp;",")))=0)),IF(FW192="",TRUE,IF(input_location="",FALSE,SUMPRODUCT(--ISNUMBER(SEARCH(","&amp;TRIM(TEXTSPLIT(FW192,","))&amp;",",","&amp;SUBSTITUTE(input_location," ","")&amp;",")))&gt;0)),IF(FY192="",TRUE,IF(input_location="",FALSE,SUMPRODUCT(--ISNUMBER(SEARCH(","&amp;TRIM(TEXTSPLIT(FY192,","))&amp;",",","&amp;SUBSTITUTE(input_location," ","")&amp;",")))=COUNTA(TEXTSPLIT(FY192,",")))))</f>
        <v/>
      </c>
      <c r="JK192">
        <f>AND(IF(GA192="",TRUE,IF(input_modality="",FALSE,SUMPRODUCT(--ISNUMBER(SEARCH(","&amp;TRIM(TEXTSPLIT(GA192,","))&amp;",",","&amp;SUBSTITUTE(input_modality," ","")&amp;",")))&gt;0)),IF(GC192="",TRUE,IF(input_modality="",FALSE,SUMPRODUCT(--ISNUMBER(SEARCH(","&amp;TRIM(TEXTSPLIT(GC192,","))&amp;",",","&amp;SUBSTITUTE(input_modality," ","")&amp;",")))=COUNTA(TEXTSPLIT(GC192,",")))),IF(GE192="",TRUE,IF(input_modality="",TRUE,SUMPRODUCT(--ISNUMBER(SEARCH(","&amp;TRIM(TEXTSPLIT(GE192,","))&amp;",",","&amp;SUBSTITUTE(input_modality," ","")&amp;",")))=0)),IF(GG192="",TRUE,IF(input_modality="",FALSE,SUMPRODUCT(--ISNUMBER(SEARCH(","&amp;TRIM(TEXTSPLIT(GG192,","))&amp;",",","&amp;SUBSTITUTE(input_modality," ","")&amp;",")))&gt;0)),IF(GI192="",TRUE,IF(input_modality="",FALSE,SUMPRODUCT(--ISNUMBER(SEARCH(","&amp;TRIM(TEXTSPLIT(GI192,","))&amp;",",","&amp;SUBSTITUTE(input_modality," ","")&amp;",")))=COUNTA(TEXTSPLIT(GI192,",")))))</f>
        <v/>
      </c>
      <c r="JL192">
        <f>AND(IF(GK192="",TRUE,IF(input_organizer="",FALSE,SUMPRODUCT(--ISNUMBER(SEARCH(","&amp;TRIM(TEXTSPLIT(GK192,","))&amp;",",","&amp;SUBSTITUTE(input_organizer," ","")&amp;",")))&gt;0)),IF(GM192="",TRUE,IF(input_organizer="",FALSE,SUMPRODUCT(--ISNUMBER(SEARCH(","&amp;TRIM(TEXTSPLIT(GM192,","))&amp;",",","&amp;SUBSTITUTE(input_organizer," ","")&amp;",")))=COUNTA(TEXTSPLIT(GM192,",")))),IF(GO192="",TRUE,IF(input_organizer="",TRUE,SUMPRODUCT(--ISNUMBER(SEARCH(","&amp;TRIM(TEXTSPLIT(GO192,","))&amp;",",","&amp;SUBSTITUTE(input_organizer," ","")&amp;",")))=0)),IF(GQ192="",TRUE,IF(input_organizer="",FALSE,SUMPRODUCT(--ISNUMBER(SEARCH(","&amp;TRIM(TEXTSPLIT(GQ192,","))&amp;",",","&amp;SUBSTITUTE(input_organizer," ","")&amp;",")))&gt;0)),IF(GS192="",TRUE,IF(input_organizer="",FALSE,SUMPRODUCT(--ISNUMBER(SEARCH(","&amp;TRIM(TEXTSPLIT(GS192,","))&amp;",",","&amp;SUBSTITUTE(input_organizer," ","")&amp;",")))=COUNTA(TEXTSPLIT(GS192,",")))))</f>
        <v/>
      </c>
      <c r="JM192">
        <f>AND(IF(GU192="",TRUE,IF(input_profile_type="",FALSE,SUMPRODUCT(--ISNUMBER(SEARCH(","&amp;TRIM(TEXTSPLIT(GU192,","))&amp;",",","&amp;SUBSTITUTE(input_profile_type," ","")&amp;",")))&gt;0)),IF(GW192="",TRUE,IF(input_profile_type="",FALSE,SUMPRODUCT(--ISNUMBER(SEARCH(","&amp;TRIM(TEXTSPLIT(GW192,","))&amp;",",","&amp;SUBSTITUTE(input_profile_type," ","")&amp;",")))=COUNTA(TEXTSPLIT(GW192,",")))),IF(GY192="",TRUE,IF(input_profile_type="",TRUE,SUMPRODUCT(--ISNUMBER(SEARCH(","&amp;TRIM(TEXTSPLIT(GY192,","))&amp;",",","&amp;SUBSTITUTE(input_profile_type," ","")&amp;",")))=0)),IF(HA192="",TRUE,IF(input_profile_type="",FALSE,SUMPRODUCT(--ISNUMBER(SEARCH(","&amp;TRIM(TEXTSPLIT(HA192,","))&amp;",",","&amp;SUBSTITUTE(input_profile_type," ","")&amp;",")))&gt;0)),IF(HC192="",TRUE,IF(input_profile_type="",FALSE,SUMPRODUCT(--ISNUMBER(SEARCH(","&amp;TRIM(TEXTSPLIT(HC192,","))&amp;",",","&amp;SUBSTITUTE(input_profile_type," ","")&amp;",")))=COUNTA(TEXTSPLIT(HC192,",")))))</f>
        <v/>
      </c>
      <c r="JN192">
        <f>AND(IF(HE192="",TRUE,IF(input_program="",FALSE,SUMPRODUCT(--ISNUMBER(SEARCH(","&amp;TRIM(TEXTSPLIT(HE192,","))&amp;",",","&amp;SUBSTITUTE(input_program," ","")&amp;",")))&gt;0)),IF(HG192="",TRUE,IF(input_program="",FALSE,SUMPRODUCT(--ISNUMBER(SEARCH(","&amp;TRIM(TEXTSPLIT(HG192,","))&amp;",",","&amp;SUBSTITUTE(input_program," ","")&amp;",")))=COUNTA(TEXTSPLIT(HG192,",")))),IF(HI192="",TRUE,IF(input_program="",TRUE,SUMPRODUCT(--ISNUMBER(SEARCH(","&amp;TRIM(TEXTSPLIT(HI192,","))&amp;",",","&amp;SUBSTITUTE(input_program," ","")&amp;",")))=0)),IF(HK192="",TRUE,IF(input_program="",FALSE,SUMPRODUCT(--ISNUMBER(SEARCH(","&amp;TRIM(TEXTSPLIT(HK192,","))&amp;",",","&amp;SUBSTITUTE(input_program," ","")&amp;",")))&gt;0)),IF(HM192="",TRUE,IF(input_program="",FALSE,SUMPRODUCT(--ISNUMBER(SEARCH(","&amp;TRIM(TEXTSPLIT(HM192,","))&amp;",",","&amp;SUBSTITUTE(input_program," ","")&amp;",")))=COUNTA(TEXTSPLIT(HM192,",")))))</f>
        <v/>
      </c>
      <c r="JO192">
        <f>AND(IF(HO192="",TRUE,IF(input_story_categories="",FALSE,SUMPRODUCT(--ISNUMBER(SEARCH(","&amp;TRIM(TEXTSPLIT(HO192,","))&amp;",",","&amp;SUBSTITUTE(input_story_categories," ","")&amp;",")))&gt;0)),IF(HQ192="",TRUE,IF(input_story_categories="",FALSE,SUMPRODUCT(--ISNUMBER(SEARCH(","&amp;TRIM(TEXTSPLIT(HQ192,","))&amp;",",","&amp;SUBSTITUTE(input_story_categories," ","")&amp;",")))=COUNTA(TEXTSPLIT(HQ192,",")))),IF(HS192="",TRUE,IF(input_story_categories="",TRUE,SUMPRODUCT(--ISNUMBER(SEARCH(","&amp;TRIM(TEXTSPLIT(HS192,","))&amp;",",","&amp;SUBSTITUTE(input_story_categories," ","")&amp;",")))=0)),IF(HU192="",TRUE,IF(input_story_categories="",FALSE,SUMPRODUCT(--ISNUMBER(SEARCH(","&amp;TRIM(TEXTSPLIT(HU192,","))&amp;",",","&amp;SUBSTITUTE(input_story_categories," ","")&amp;",")))&gt;0)),IF(HW192="",TRUE,IF(input_story_categories="",FALSE,SUMPRODUCT(--ISNUMBER(SEARCH(","&amp;TRIM(TEXTSPLIT(HW192,","))&amp;",",","&amp;SUBSTITUTE(input_story_categories," ","")&amp;",")))=COUNTA(TEXTSPLIT(HW192,",")))))</f>
        <v/>
      </c>
      <c r="JP192">
        <f>AND(IF(HY192="",TRUE,IF(input_story_type="",FALSE,SUMPRODUCT(--ISNUMBER(SEARCH(","&amp;TRIM(TEXTSPLIT(HY192,","))&amp;",",","&amp;SUBSTITUTE(input_story_type," ","")&amp;",")))&gt;0)),IF(IA192="",TRUE,IF(input_story_type="",FALSE,SUMPRODUCT(--ISNUMBER(SEARCH(","&amp;TRIM(TEXTSPLIT(IA192,","))&amp;",",","&amp;SUBSTITUTE(input_story_type," ","")&amp;",")))=COUNTA(TEXTSPLIT(IA192,",")))),IF(IC192="",TRUE,IF(input_story_type="",TRUE,SUMPRODUCT(--ISNUMBER(SEARCH(","&amp;TRIM(TEXTSPLIT(IC192,","))&amp;",",","&amp;SUBSTITUTE(input_story_type," ","")&amp;",")))=0)),IF(IE192="",TRUE,IF(input_story_type="",FALSE,SUMPRODUCT(--ISNUMBER(SEARCH(","&amp;TRIM(TEXTSPLIT(IE192,","))&amp;",",","&amp;SUBSTITUTE(input_story_type," ","")&amp;",")))&gt;0)),IF(IG192="",TRUE,IF(input_story_type="",FALSE,SUMPRODUCT(--ISNUMBER(SEARCH(","&amp;TRIM(TEXTSPLIT(IG192,","))&amp;",",","&amp;SUBSTITUTE(input_story_type," ","")&amp;",")))=COUNTA(TEXTSPLIT(IG192,",")))))</f>
        <v/>
      </c>
      <c r="JQ192">
        <f>AND(IF(II192="",TRUE,IF(input_topics="",FALSE,SUMPRODUCT(--ISNUMBER(SEARCH(","&amp;TRIM(TEXTSPLIT(II192,","))&amp;",",","&amp;SUBSTITUTE(input_topics," ","")&amp;",")))&gt;0)),IF(IK192="",TRUE,IF(input_topics="",FALSE,SUMPRODUCT(--ISNUMBER(SEARCH(","&amp;TRIM(TEXTSPLIT(IK192,","))&amp;",",","&amp;SUBSTITUTE(input_topics," ","")&amp;",")))=COUNTA(TEXTSPLIT(IK192,",")))),IF(IM192="",TRUE,IF(input_topics="",TRUE,SUMPRODUCT(--ISNUMBER(SEARCH(","&amp;TRIM(TEXTSPLIT(IM192,","))&amp;",",","&amp;SUBSTITUTE(input_topics," ","")&amp;",")))=0)),IF(IO192="",TRUE,IF(input_topics="",FALSE,SUMPRODUCT(--ISNUMBER(SEARCH(","&amp;TRIM(TEXTSPLIT(IO192,","))&amp;",",","&amp;SUBSTITUTE(input_topics," ","")&amp;",")))&gt;0)),IF(IQ192="",TRUE,IF(input_topics="",FALSE,SUMPRODUCT(--ISNUMBER(SEARCH(","&amp;TRIM(TEXTSPLIT(IQ192,","))&amp;",",","&amp;SUBSTITUTE(input_topics," ","")&amp;",")))=COUNTA(TEXTSPLIT(IQ192,",")))))</f>
        <v/>
      </c>
    </row>
    <row r="193">
      <c r="A193" s="4">
        <f>IF(NOT(IS193),"Excluded",IF(AND(IT193,IU193,IV193,IW193,IX193,IY193,IZ193,JA193,JB193,JC193,JD193,JE193,JF193,JG193,JH193,JI193,JJ193,JK193,JL193,JM193,JN193,JO193,JP193,JQ193),IF(I193&gt;0,"Eligible but limited","Will appear"),"Excluded"))</f>
        <v/>
      </c>
      <c r="B193" s="4" t="inlineStr">
        <is>
          <t>Related stories on story pages</t>
        </is>
      </c>
      <c r="C193" s="4" t="inlineStr">
        <is>
          <t>/news/2021/05/executive-mba-student-joins-advocates-of-reducing-gun-violence-at-white-house-event</t>
        </is>
      </c>
      <c r="D193" s="4" t="inlineStr">
        <is>
          <t>/news/2021/05/executive-mba-student-joins-advocates-of-reducing-gun-violence-at-white-house-event
/news/2021/11/former-pepsico-ceo-indra-nooyi-80-discusses-career-and-life</t>
        </is>
      </c>
      <c r="E193" s="4" t="n">
        <v>2</v>
      </c>
      <c r="F193" s="4" t="inlineStr">
        <is>
          <t>story</t>
        </is>
      </c>
      <c r="G193" s="4" t="inlineStr">
        <is>
          <t>stories_teaser_cards</t>
        </is>
      </c>
      <c r="H193" s="4" t="inlineStr">
        <is>
          <t>embed_all</t>
        </is>
      </c>
      <c r="I193" s="4" t="n">
        <v>3</v>
      </c>
      <c r="J193" s="4" t="inlineStr">
        <is>
          <t>Template logic</t>
        </is>
      </c>
      <c r="K193" s="4" t="inlineStr">
        <is>
          <t>Grouped surface</t>
        </is>
      </c>
      <c r="L193" s="4" t="inlineStr">
        <is>
          <t>Content type: story; Context uses Courses Context: Yale Women (927); Context uses Story Type: News (924); Limited to 3 item(s); Source: Template logic</t>
        </is>
      </c>
      <c r="M193" t="inlineStr"/>
      <c r="N193" t="inlineStr"/>
      <c r="O193" t="inlineStr"/>
      <c r="P193" t="inlineStr"/>
      <c r="Q193" t="inlineStr"/>
      <c r="R193" t="inlineStr"/>
      <c r="S193" t="inlineStr"/>
      <c r="T193" t="inlineStr"/>
      <c r="U193" t="inlineStr"/>
      <c r="V193" t="inlineStr"/>
      <c r="W193" t="inlineStr"/>
      <c r="X193" t="inlineStr"/>
      <c r="Y193" t="inlineStr"/>
      <c r="Z193" t="inlineStr"/>
      <c r="AA193" t="inlineStr"/>
      <c r="AB193" t="inlineStr"/>
      <c r="AC193" t="inlineStr"/>
      <c r="AD193" t="inlineStr"/>
      <c r="AE193" t="inlineStr"/>
      <c r="AF193" t="inlineStr"/>
      <c r="AG193" t="inlineStr"/>
      <c r="AH193" t="inlineStr"/>
      <c r="AI193" t="inlineStr"/>
      <c r="AJ193" t="inlineStr"/>
      <c r="AK193" t="inlineStr"/>
      <c r="AL193" t="inlineStr"/>
      <c r="AM193" t="inlineStr"/>
      <c r="AN193" t="inlineStr"/>
      <c r="AO193" t="inlineStr"/>
      <c r="AP193" t="inlineStr"/>
      <c r="AQ193" t="inlineStr"/>
      <c r="AR193" t="inlineStr"/>
      <c r="AS193" t="inlineStr"/>
      <c r="AT193" t="inlineStr"/>
      <c r="AU193" t="inlineStr"/>
      <c r="AV193" t="inlineStr"/>
      <c r="AW193" t="inlineStr"/>
      <c r="AX193" t="inlineStr"/>
      <c r="AY193" t="inlineStr"/>
      <c r="AZ193" t="inlineStr"/>
      <c r="BA193" t="inlineStr"/>
      <c r="BB193" t="inlineStr"/>
      <c r="BC193" t="inlineStr"/>
      <c r="BD193" t="inlineStr"/>
      <c r="BE193" t="inlineStr"/>
      <c r="BF193" t="inlineStr"/>
      <c r="BG193" t="inlineStr"/>
      <c r="BH193" t="inlineStr"/>
      <c r="BI193" t="inlineStr"/>
      <c r="BJ193" t="inlineStr"/>
      <c r="BK193" t="inlineStr"/>
      <c r="BL193" t="inlineStr"/>
      <c r="BM193" t="inlineStr"/>
      <c r="BN193" t="inlineStr"/>
      <c r="BO193" t="inlineStr"/>
      <c r="BP193" t="inlineStr"/>
      <c r="BQ193" t="inlineStr">
        <is>
          <t>927</t>
        </is>
      </c>
      <c r="BR193" t="inlineStr">
        <is>
          <t>Yale Women (927)</t>
        </is>
      </c>
      <c r="BS193" t="inlineStr"/>
      <c r="BT193" t="inlineStr"/>
      <c r="BU193" t="inlineStr"/>
      <c r="BV193" t="inlineStr"/>
      <c r="BW193" t="inlineStr"/>
      <c r="BX193" t="inlineStr"/>
      <c r="BY193" t="inlineStr"/>
      <c r="BZ193" t="inlineStr"/>
      <c r="CA193" t="inlineStr"/>
      <c r="CB193" t="inlineStr"/>
      <c r="CC193" t="inlineStr"/>
      <c r="CD193" t="inlineStr"/>
      <c r="CE193" t="inlineStr"/>
      <c r="CF193" t="inlineStr"/>
      <c r="CG193" t="inlineStr"/>
      <c r="CH193" t="inlineStr"/>
      <c r="CI193" t="inlineStr"/>
      <c r="CJ193" t="inlineStr"/>
      <c r="CK193" t="inlineStr"/>
      <c r="CL193" t="inlineStr"/>
      <c r="CM193" t="inlineStr"/>
      <c r="CN193" t="inlineStr"/>
      <c r="CO193" t="inlineStr"/>
      <c r="CP193" t="inlineStr"/>
      <c r="CQ193" t="inlineStr"/>
      <c r="CR193" t="inlineStr"/>
      <c r="CS193" t="inlineStr"/>
      <c r="CT193" t="inlineStr"/>
      <c r="CU193" t="inlineStr"/>
      <c r="CV193" t="inlineStr"/>
      <c r="CW193" t="inlineStr"/>
      <c r="CX193" t="inlineStr"/>
      <c r="CY193" t="inlineStr"/>
      <c r="CZ193" t="inlineStr"/>
      <c r="DA193" t="inlineStr"/>
      <c r="DB193" t="inlineStr"/>
      <c r="DC193" t="inlineStr"/>
      <c r="DD193" t="inlineStr"/>
      <c r="DE193" t="inlineStr"/>
      <c r="DF193" t="inlineStr"/>
      <c r="DG193" t="inlineStr"/>
      <c r="DH193" t="inlineStr"/>
      <c r="DI193" t="inlineStr"/>
      <c r="DJ193" t="inlineStr"/>
      <c r="DK193" t="inlineStr"/>
      <c r="DL193" t="inlineStr"/>
      <c r="DM193" t="inlineStr"/>
      <c r="DN193" t="inlineStr"/>
      <c r="DO193" t="inlineStr"/>
      <c r="DP193" t="inlineStr"/>
      <c r="DQ193" t="inlineStr"/>
      <c r="DR193" t="inlineStr"/>
      <c r="DS193" t="inlineStr"/>
      <c r="DT193" t="inlineStr"/>
      <c r="DU193" t="inlineStr"/>
      <c r="DV193" t="inlineStr"/>
      <c r="DW193" t="inlineStr"/>
      <c r="DX193" t="inlineStr"/>
      <c r="DY193" t="inlineStr"/>
      <c r="DZ193" t="inlineStr"/>
      <c r="EA193" t="inlineStr"/>
      <c r="EB193" t="inlineStr"/>
      <c r="EC193" t="inlineStr"/>
      <c r="ED193" t="inlineStr"/>
      <c r="EE193" t="inlineStr"/>
      <c r="EF193" t="inlineStr"/>
      <c r="EG193" t="inlineStr"/>
      <c r="EH193" t="inlineStr"/>
      <c r="EI193" t="inlineStr"/>
      <c r="EJ193" t="inlineStr"/>
      <c r="EK193" t="inlineStr"/>
      <c r="EL193" t="inlineStr"/>
      <c r="EM193" t="inlineStr"/>
      <c r="EN193" t="inlineStr"/>
      <c r="EO193" t="inlineStr"/>
      <c r="EP193" t="inlineStr"/>
      <c r="EQ193" t="inlineStr"/>
      <c r="ER193" t="inlineStr"/>
      <c r="ES193" t="inlineStr"/>
      <c r="ET193" t="inlineStr"/>
      <c r="EU193" t="inlineStr"/>
      <c r="EV193" t="inlineStr"/>
      <c r="EW193" t="inlineStr"/>
      <c r="EX193" t="inlineStr"/>
      <c r="EY193" t="inlineStr"/>
      <c r="EZ193" t="inlineStr"/>
      <c r="FA193" t="inlineStr"/>
      <c r="FB193" t="inlineStr"/>
      <c r="FC193" t="inlineStr"/>
      <c r="FD193" t="inlineStr"/>
      <c r="FE193" t="inlineStr"/>
      <c r="FF193" t="inlineStr"/>
      <c r="FG193" t="inlineStr"/>
      <c r="FH193" t="inlineStr"/>
      <c r="FI193" t="inlineStr"/>
      <c r="FJ193" t="inlineStr"/>
      <c r="FK193" t="inlineStr"/>
      <c r="FL193" t="inlineStr"/>
      <c r="FM193" t="inlineStr"/>
      <c r="FN193" t="inlineStr"/>
      <c r="FO193" t="inlineStr"/>
      <c r="FP193" t="inlineStr"/>
      <c r="FQ193" t="inlineStr"/>
      <c r="FR193" t="inlineStr"/>
      <c r="FS193" t="inlineStr"/>
      <c r="FT193" t="inlineStr"/>
      <c r="FU193" t="inlineStr"/>
      <c r="FV193" t="inlineStr"/>
      <c r="FW193" t="inlineStr"/>
      <c r="FX193" t="inlineStr"/>
      <c r="FY193" t="inlineStr"/>
      <c r="FZ193" t="inlineStr"/>
      <c r="GA193" t="inlineStr"/>
      <c r="GB193" t="inlineStr"/>
      <c r="GC193" t="inlineStr"/>
      <c r="GD193" t="inlineStr"/>
      <c r="GE193" t="inlineStr"/>
      <c r="GF193" t="inlineStr"/>
      <c r="GG193" t="inlineStr"/>
      <c r="GH193" t="inlineStr"/>
      <c r="GI193" t="inlineStr"/>
      <c r="GJ193" t="inlineStr"/>
      <c r="GK193" t="inlineStr"/>
      <c r="GL193" t="inlineStr"/>
      <c r="GM193" t="inlineStr"/>
      <c r="GN193" t="inlineStr"/>
      <c r="GO193" t="inlineStr"/>
      <c r="GP193" t="inlineStr"/>
      <c r="GQ193" t="inlineStr"/>
      <c r="GR193" t="inlineStr"/>
      <c r="GS193" t="inlineStr"/>
      <c r="GT193" t="inlineStr"/>
      <c r="GU193" t="inlineStr"/>
      <c r="GV193" t="inlineStr"/>
      <c r="GW193" t="inlineStr"/>
      <c r="GX193" t="inlineStr"/>
      <c r="GY193" t="inlineStr"/>
      <c r="GZ193" t="inlineStr"/>
      <c r="HA193" t="inlineStr"/>
      <c r="HB193" t="inlineStr"/>
      <c r="HC193" t="inlineStr"/>
      <c r="HD193" t="inlineStr"/>
      <c r="HE193" t="inlineStr"/>
      <c r="HF193" t="inlineStr"/>
      <c r="HG193" t="inlineStr"/>
      <c r="HH193" t="inlineStr"/>
      <c r="HI193" t="inlineStr"/>
      <c r="HJ193" t="inlineStr"/>
      <c r="HK193" t="inlineStr"/>
      <c r="HL193" t="inlineStr"/>
      <c r="HM193" t="inlineStr"/>
      <c r="HN193" t="inlineStr"/>
      <c r="HO193" t="inlineStr"/>
      <c r="HP193" t="inlineStr"/>
      <c r="HQ193" t="inlineStr"/>
      <c r="HR193" t="inlineStr"/>
      <c r="HS193" t="inlineStr"/>
      <c r="HT193" t="inlineStr"/>
      <c r="HU193" t="inlineStr"/>
      <c r="HV193" t="inlineStr"/>
      <c r="HW193" t="inlineStr"/>
      <c r="HX193" t="inlineStr"/>
      <c r="HY193" t="inlineStr"/>
      <c r="HZ193" t="inlineStr"/>
      <c r="IA193" t="inlineStr"/>
      <c r="IB193" t="inlineStr"/>
      <c r="IC193" t="inlineStr"/>
      <c r="ID193" t="inlineStr"/>
      <c r="IE193" t="inlineStr">
        <is>
          <t>924</t>
        </is>
      </c>
      <c r="IF193" t="inlineStr">
        <is>
          <t>News (924)</t>
        </is>
      </c>
      <c r="IG193" t="inlineStr"/>
      <c r="IH193" t="inlineStr"/>
      <c r="II193" t="inlineStr"/>
      <c r="IJ193" t="inlineStr"/>
      <c r="IK193" t="inlineStr"/>
      <c r="IL193" t="inlineStr"/>
      <c r="IM193" t="inlineStr"/>
      <c r="IN193" t="inlineStr"/>
      <c r="IO193" t="inlineStr"/>
      <c r="IP193" t="inlineStr"/>
      <c r="IQ193" t="inlineStr"/>
      <c r="IR193" t="inlineStr"/>
      <c r="IS193">
        <f>IF(input_content_type="",FALSE,ISNUMBER(SEARCH(","&amp;LOWER(input_content_type)&amp;",",","&amp;LOWER(F193)&amp;",")))</f>
        <v/>
      </c>
      <c r="IT193">
        <f>AND(IF(M193="",TRUE,IF(input_affiliations="",FALSE,SUMPRODUCT(--ISNUMBER(SEARCH(","&amp;TRIM(TEXTSPLIT(M193,","))&amp;",",","&amp;SUBSTITUTE(input_affiliations," ","")&amp;",")))&gt;0)),IF(O193="",TRUE,IF(input_affiliations="",FALSE,SUMPRODUCT(--ISNUMBER(SEARCH(","&amp;TRIM(TEXTSPLIT(O193,","))&amp;",",","&amp;SUBSTITUTE(input_affiliations," ","")&amp;",")))=COUNTA(TEXTSPLIT(O193,",")))),IF(Q193="",TRUE,IF(input_affiliations="",TRUE,SUMPRODUCT(--ISNUMBER(SEARCH(","&amp;TRIM(TEXTSPLIT(Q193,","))&amp;",",","&amp;SUBSTITUTE(input_affiliations," ","")&amp;",")))=0)),IF(S193="",TRUE,IF(input_affiliations="",FALSE,SUMPRODUCT(--ISNUMBER(SEARCH(","&amp;TRIM(TEXTSPLIT(S193,","))&amp;",",","&amp;SUBSTITUTE(input_affiliations," ","")&amp;",")))&gt;0)),IF(U193="",TRUE,IF(input_affiliations="",FALSE,SUMPRODUCT(--ISNUMBER(SEARCH(","&amp;TRIM(TEXTSPLIT(U193,","))&amp;",",","&amp;SUBSTITUTE(input_affiliations," ","")&amp;",")))=COUNTA(TEXTSPLIT(U193,",")))))</f>
        <v/>
      </c>
      <c r="IU193">
        <f>AND(IF(W193="",TRUE,IF(input_announcement_category="",FALSE,SUMPRODUCT(--ISNUMBER(SEARCH(","&amp;TRIM(TEXTSPLIT(W193,","))&amp;",",","&amp;SUBSTITUTE(input_announcement_category," ","")&amp;",")))&gt;0)),IF(Y193="",TRUE,IF(input_announcement_category="",FALSE,SUMPRODUCT(--ISNUMBER(SEARCH(","&amp;TRIM(TEXTSPLIT(Y193,","))&amp;",",","&amp;SUBSTITUTE(input_announcement_category," ","")&amp;",")))=COUNTA(TEXTSPLIT(Y193,",")))),IF(AA193="",TRUE,IF(input_announcement_category="",TRUE,SUMPRODUCT(--ISNUMBER(SEARCH(","&amp;TRIM(TEXTSPLIT(AA193,","))&amp;",",","&amp;SUBSTITUTE(input_announcement_category," ","")&amp;",")))=0)),IF(AC193="",TRUE,IF(input_announcement_category="",FALSE,SUMPRODUCT(--ISNUMBER(SEARCH(","&amp;TRIM(TEXTSPLIT(AC193,","))&amp;",",","&amp;SUBSTITUTE(input_announcement_category," ","")&amp;",")))&gt;0)),IF(AE193="",TRUE,IF(input_announcement_category="",FALSE,SUMPRODUCT(--ISNUMBER(SEARCH(","&amp;TRIM(TEXTSPLIT(AE193,","))&amp;",",","&amp;SUBSTITUTE(input_announcement_category," ","")&amp;",")))=COUNTA(TEXTSPLIT(AE193,",")))))</f>
        <v/>
      </c>
      <c r="IV193">
        <f>AND(IF(AG193="",TRUE,IF(input_area_of_focus="",FALSE,SUMPRODUCT(--ISNUMBER(SEARCH(","&amp;TRIM(TEXTSPLIT(AG193,","))&amp;",",","&amp;SUBSTITUTE(input_area_of_focus," ","")&amp;",")))&gt;0)),IF(AI193="",TRUE,IF(input_area_of_focus="",FALSE,SUMPRODUCT(--ISNUMBER(SEARCH(","&amp;TRIM(TEXTSPLIT(AI193,","))&amp;",",","&amp;SUBSTITUTE(input_area_of_focus," ","")&amp;",")))=COUNTA(TEXTSPLIT(AI193,",")))),IF(AK193="",TRUE,IF(input_area_of_focus="",TRUE,SUMPRODUCT(--ISNUMBER(SEARCH(","&amp;TRIM(TEXTSPLIT(AK193,","))&amp;",",","&amp;SUBSTITUTE(input_area_of_focus," ","")&amp;",")))=0)),IF(AM193="",TRUE,IF(input_area_of_focus="",FALSE,SUMPRODUCT(--ISNUMBER(SEARCH(","&amp;TRIM(TEXTSPLIT(AM193,","))&amp;",",","&amp;SUBSTITUTE(input_area_of_focus," ","")&amp;",")))&gt;0)),IF(AO193="",TRUE,IF(input_area_of_focus="",FALSE,SUMPRODUCT(--ISNUMBER(SEARCH(","&amp;TRIM(TEXTSPLIT(AO193,","))&amp;",",","&amp;SUBSTITUTE(input_area_of_focus," ","")&amp;",")))=COUNTA(TEXTSPLIT(AO193,",")))))</f>
        <v/>
      </c>
      <c r="IW193">
        <f>AND(IF(AQ193="",TRUE,IF(input_audience="",FALSE,SUMPRODUCT(--ISNUMBER(SEARCH(","&amp;TRIM(TEXTSPLIT(AQ193,","))&amp;",",","&amp;SUBSTITUTE(input_audience," ","")&amp;",")))&gt;0)),IF(AS193="",TRUE,IF(input_audience="",FALSE,SUMPRODUCT(--ISNUMBER(SEARCH(","&amp;TRIM(TEXTSPLIT(AS193,","))&amp;",",","&amp;SUBSTITUTE(input_audience," ","")&amp;",")))=COUNTA(TEXTSPLIT(AS193,",")))),IF(AU193="",TRUE,IF(input_audience="",TRUE,SUMPRODUCT(--ISNUMBER(SEARCH(","&amp;TRIM(TEXTSPLIT(AU193,","))&amp;",",","&amp;SUBSTITUTE(input_audience," ","")&amp;",")))=0)),IF(AW193="",TRUE,IF(input_audience="",FALSE,SUMPRODUCT(--ISNUMBER(SEARCH(","&amp;TRIM(TEXTSPLIT(AW193,","))&amp;",",","&amp;SUBSTITUTE(input_audience," ","")&amp;",")))&gt;0)),IF(AY193="",TRUE,IF(input_audience="",FALSE,SUMPRODUCT(--ISNUMBER(SEARCH(","&amp;TRIM(TEXTSPLIT(AY193,","))&amp;",",","&amp;SUBSTITUTE(input_audience," ","")&amp;",")))=COUNTA(TEXTSPLIT(AY193,",")))))</f>
        <v/>
      </c>
      <c r="IX193">
        <f>AND(IF(BA193="",TRUE,IF(input_challenge_opportunities="",FALSE,SUMPRODUCT(--ISNUMBER(SEARCH(","&amp;TRIM(TEXTSPLIT(BA193,","))&amp;",",","&amp;SUBSTITUTE(input_challenge_opportunities," ","")&amp;",")))&gt;0)),IF(BC193="",TRUE,IF(input_challenge_opportunities="",FALSE,SUMPRODUCT(--ISNUMBER(SEARCH(","&amp;TRIM(TEXTSPLIT(BC193,","))&amp;",",","&amp;SUBSTITUTE(input_challenge_opportunities," ","")&amp;",")))=COUNTA(TEXTSPLIT(BC193,",")))),IF(BE193="",TRUE,IF(input_challenge_opportunities="",TRUE,SUMPRODUCT(--ISNUMBER(SEARCH(","&amp;TRIM(TEXTSPLIT(BE193,","))&amp;",",","&amp;SUBSTITUTE(input_challenge_opportunities," ","")&amp;",")))=0)),IF(BG193="",TRUE,IF(input_challenge_opportunities="",FALSE,SUMPRODUCT(--ISNUMBER(SEARCH(","&amp;TRIM(TEXTSPLIT(BG193,","))&amp;",",","&amp;SUBSTITUTE(input_challenge_opportunities," ","")&amp;",")))&gt;0)),IF(BI193="",TRUE,IF(input_challenge_opportunities="",FALSE,SUMPRODUCT(--ISNUMBER(SEARCH(","&amp;TRIM(TEXTSPLIT(BI193,","))&amp;",",","&amp;SUBSTITUTE(input_challenge_opportunities," ","")&amp;",")))=COUNTA(TEXTSPLIT(BI193,",")))))</f>
        <v/>
      </c>
      <c r="IY193">
        <f>AND(IF(BK193="",TRUE,IF(input_context="",FALSE,SUMPRODUCT(--ISNUMBER(SEARCH(","&amp;TRIM(TEXTSPLIT(BK193,","))&amp;",",","&amp;SUBSTITUTE(input_context," ","")&amp;",")))&gt;0)),IF(BM193="",TRUE,IF(input_context="",FALSE,SUMPRODUCT(--ISNUMBER(SEARCH(","&amp;TRIM(TEXTSPLIT(BM193,","))&amp;",",","&amp;SUBSTITUTE(input_context," ","")&amp;",")))=COUNTA(TEXTSPLIT(BM193,",")))),IF(BO193="",TRUE,IF(input_context="",TRUE,SUMPRODUCT(--ISNUMBER(SEARCH(","&amp;TRIM(TEXTSPLIT(BO193,","))&amp;",",","&amp;SUBSTITUTE(input_context," ","")&amp;",")))=0)),IF(BQ193="",TRUE,IF(input_context="",FALSE,SUMPRODUCT(--ISNUMBER(SEARCH(","&amp;TRIM(TEXTSPLIT(BQ193,","))&amp;",",","&amp;SUBSTITUTE(input_context," ","")&amp;",")))&gt;0)),IF(BS193="",TRUE,IF(input_context="",FALSE,SUMPRODUCT(--ISNUMBER(SEARCH(","&amp;TRIM(TEXTSPLIT(BS193,","))&amp;",",","&amp;SUBSTITUTE(input_context," ","")&amp;",")))=COUNTA(TEXTSPLIT(BS193,",")))))</f>
        <v/>
      </c>
      <c r="IZ193">
        <f>AND(IF(BU193="",TRUE,IF(input_enews_announcement_type="",FALSE,SUMPRODUCT(--ISNUMBER(SEARCH(","&amp;TRIM(TEXTSPLIT(BU193,","))&amp;",",","&amp;SUBSTITUTE(input_enews_announcement_type," ","")&amp;",")))&gt;0)),IF(BW193="",TRUE,IF(input_enews_announcement_type="",FALSE,SUMPRODUCT(--ISNUMBER(SEARCH(","&amp;TRIM(TEXTSPLIT(BW193,","))&amp;",",","&amp;SUBSTITUTE(input_enews_announcement_type," ","")&amp;",")))=COUNTA(TEXTSPLIT(BW193,",")))),IF(BY193="",TRUE,IF(input_enews_announcement_type="",TRUE,SUMPRODUCT(--ISNUMBER(SEARCH(","&amp;TRIM(TEXTSPLIT(BY193,","))&amp;",",","&amp;SUBSTITUTE(input_enews_announcement_type," ","")&amp;",")))=0)),IF(CA193="",TRUE,IF(input_enews_announcement_type="",FALSE,SUMPRODUCT(--ISNUMBER(SEARCH(","&amp;TRIM(TEXTSPLIT(CA193,","))&amp;",",","&amp;SUBSTITUTE(input_enews_announcement_type," ","")&amp;",")))&gt;0)),IF(CC193="",TRUE,IF(input_enews_announcement_type="",FALSE,SUMPRODUCT(--ISNUMBER(SEARCH(","&amp;TRIM(TEXTSPLIT(CC193,","))&amp;",",","&amp;SUBSTITUTE(input_enews_announcement_type," ","")&amp;",")))=COUNTA(TEXTSPLIT(CC193,",")))))</f>
        <v/>
      </c>
      <c r="JA193">
        <f>AND(IF(CE193="",TRUE,IF(input_enews_audience="",FALSE,SUMPRODUCT(--ISNUMBER(SEARCH(","&amp;TRIM(TEXTSPLIT(CE193,","))&amp;",",","&amp;SUBSTITUTE(input_enews_audience," ","")&amp;",")))&gt;0)),IF(CG193="",TRUE,IF(input_enews_audience="",FALSE,SUMPRODUCT(--ISNUMBER(SEARCH(","&amp;TRIM(TEXTSPLIT(CG193,","))&amp;",",","&amp;SUBSTITUTE(input_enews_audience," ","")&amp;",")))=COUNTA(TEXTSPLIT(CG193,",")))),IF(CI193="",TRUE,IF(input_enews_audience="",TRUE,SUMPRODUCT(--ISNUMBER(SEARCH(","&amp;TRIM(TEXTSPLIT(CI193,","))&amp;",",","&amp;SUBSTITUTE(input_enews_audience," ","")&amp;",")))=0)),IF(CK193="",TRUE,IF(input_enews_audience="",FALSE,SUMPRODUCT(--ISNUMBER(SEARCH(","&amp;TRIM(TEXTSPLIT(CK193,","))&amp;",",","&amp;SUBSTITUTE(input_enews_audience," ","")&amp;",")))&gt;0)),IF(CM193="",TRUE,IF(input_enews_audience="",FALSE,SUMPRODUCT(--ISNUMBER(SEARCH(","&amp;TRIM(TEXTSPLIT(CM193,","))&amp;",",","&amp;SUBSTITUTE(input_enews_audience," ","")&amp;",")))=COUNTA(TEXTSPLIT(CM193,",")))))</f>
        <v/>
      </c>
      <c r="JB193">
        <f>AND(IF(CO193="",TRUE,IF(input_event_location="",FALSE,SUMPRODUCT(--ISNUMBER(SEARCH(","&amp;TRIM(TEXTSPLIT(CO193,","))&amp;",",","&amp;SUBSTITUTE(input_event_location," ","")&amp;",")))&gt;0)),IF(CQ193="",TRUE,IF(input_event_location="",FALSE,SUMPRODUCT(--ISNUMBER(SEARCH(","&amp;TRIM(TEXTSPLIT(CQ193,","))&amp;",",","&amp;SUBSTITUTE(input_event_location," ","")&amp;",")))=COUNTA(TEXTSPLIT(CQ193,",")))),IF(CS193="",TRUE,IF(input_event_location="",TRUE,SUMPRODUCT(--ISNUMBER(SEARCH(","&amp;TRIM(TEXTSPLIT(CS193,","))&amp;",",","&amp;SUBSTITUTE(input_event_location," ","")&amp;",")))=0)),IF(CU193="",TRUE,IF(input_event_location="",FALSE,SUMPRODUCT(--ISNUMBER(SEARCH(","&amp;TRIM(TEXTSPLIT(CU193,","))&amp;",",","&amp;SUBSTITUTE(input_event_location," ","")&amp;",")))&gt;0)),IF(CW193="",TRUE,IF(input_event_location="",FALSE,SUMPRODUCT(--ISNUMBER(SEARCH(","&amp;TRIM(TEXTSPLIT(CW193,","))&amp;",",","&amp;SUBSTITUTE(input_event_location," ","")&amp;",")))=COUNTA(TEXTSPLIT(CW193,",")))))</f>
        <v/>
      </c>
      <c r="JC193">
        <f>AND(IF(CY193="",TRUE,IF(input_event_type="",FALSE,SUMPRODUCT(--ISNUMBER(SEARCH(","&amp;TRIM(TEXTSPLIT(CY193,","))&amp;",",","&amp;SUBSTITUTE(input_event_type," ","")&amp;",")))&gt;0)),IF(DA193="",TRUE,IF(input_event_type="",FALSE,SUMPRODUCT(--ISNUMBER(SEARCH(","&amp;TRIM(TEXTSPLIT(DA193,","))&amp;",",","&amp;SUBSTITUTE(input_event_type," ","")&amp;",")))=COUNTA(TEXTSPLIT(DA193,",")))),IF(DC193="",TRUE,IF(input_event_type="",TRUE,SUMPRODUCT(--ISNUMBER(SEARCH(","&amp;TRIM(TEXTSPLIT(DC193,","))&amp;",",","&amp;SUBSTITUTE(input_event_type," ","")&amp;",")))=0)),IF(DE193="",TRUE,IF(input_event_type="",FALSE,SUMPRODUCT(--ISNUMBER(SEARCH(","&amp;TRIM(TEXTSPLIT(DE193,","))&amp;",",","&amp;SUBSTITUTE(input_event_type," ","")&amp;",")))&gt;0)),IF(DG193="",TRUE,IF(input_event_type="",FALSE,SUMPRODUCT(--ISNUMBER(SEARCH(","&amp;TRIM(TEXTSPLIT(DG193,","))&amp;",",","&amp;SUBSTITUTE(input_event_type," ","")&amp;",")))=COUNTA(TEXTSPLIT(DG193,",")))))</f>
        <v/>
      </c>
      <c r="JD193">
        <f>AND(IF(DI193="",TRUE,IF(input_executive_education_focus="",FALSE,SUMPRODUCT(--ISNUMBER(SEARCH(","&amp;TRIM(TEXTSPLIT(DI193,","))&amp;",",","&amp;SUBSTITUTE(input_executive_education_focus," ","")&amp;",")))&gt;0)),IF(DK193="",TRUE,IF(input_executive_education_focus="",FALSE,SUMPRODUCT(--ISNUMBER(SEARCH(","&amp;TRIM(TEXTSPLIT(DK193,","))&amp;",",","&amp;SUBSTITUTE(input_executive_education_focus," ","")&amp;",")))=COUNTA(TEXTSPLIT(DK193,",")))),IF(DM193="",TRUE,IF(input_executive_education_focus="",TRUE,SUMPRODUCT(--ISNUMBER(SEARCH(","&amp;TRIM(TEXTSPLIT(DM193,","))&amp;",",","&amp;SUBSTITUTE(input_executive_education_focus," ","")&amp;",")))=0)),IF(DO193="",TRUE,IF(input_executive_education_focus="",FALSE,SUMPRODUCT(--ISNUMBER(SEARCH(","&amp;TRIM(TEXTSPLIT(DO193,","))&amp;",",","&amp;SUBSTITUTE(input_executive_education_focus," ","")&amp;",")))&gt;0)),IF(DQ193="",TRUE,IF(input_executive_education_focus="",FALSE,SUMPRODUCT(--ISNUMBER(SEARCH(","&amp;TRIM(TEXTSPLIT(DQ193,","))&amp;",",","&amp;SUBSTITUTE(input_executive_education_focus," ","")&amp;",")))=COUNTA(TEXTSPLIT(DQ193,",")))))</f>
        <v/>
      </c>
      <c r="JE193">
        <f>AND(IF(DS193="",TRUE,IF(input_faculty_category="",FALSE,SUMPRODUCT(--ISNUMBER(SEARCH(","&amp;TRIM(TEXTSPLIT(DS193,","))&amp;",",","&amp;SUBSTITUTE(input_faculty_category," ","")&amp;",")))&gt;0)),IF(DU193="",TRUE,IF(input_faculty_category="",FALSE,SUMPRODUCT(--ISNUMBER(SEARCH(","&amp;TRIM(TEXTSPLIT(DU193,","))&amp;",",","&amp;SUBSTITUTE(input_faculty_category," ","")&amp;",")))=COUNTA(TEXTSPLIT(DU193,",")))),IF(DW193="",TRUE,IF(input_faculty_category="",TRUE,SUMPRODUCT(--ISNUMBER(SEARCH(","&amp;TRIM(TEXTSPLIT(DW193,","))&amp;",",","&amp;SUBSTITUTE(input_faculty_category," ","")&amp;",")))=0)),IF(DY193="",TRUE,IF(input_faculty_category="",FALSE,SUMPRODUCT(--ISNUMBER(SEARCH(","&amp;TRIM(TEXTSPLIT(DY193,","))&amp;",",","&amp;SUBSTITUTE(input_faculty_category," ","")&amp;",")))&gt;0)),IF(EA193="",TRUE,IF(input_faculty_category="",FALSE,SUMPRODUCT(--ISNUMBER(SEARCH(","&amp;TRIM(TEXTSPLIT(EA193,","))&amp;",",","&amp;SUBSTITUTE(input_faculty_category," ","")&amp;",")))=COUNTA(TEXTSPLIT(EA193,",")))))</f>
        <v/>
      </c>
      <c r="JF193">
        <f>AND(IF(EC193="",TRUE,IF(input_faculty_discipline="",FALSE,SUMPRODUCT(--ISNUMBER(SEARCH(","&amp;TRIM(TEXTSPLIT(EC193,","))&amp;",",","&amp;SUBSTITUTE(input_faculty_discipline," ","")&amp;",")))&gt;0)),IF(EE193="",TRUE,IF(input_faculty_discipline="",FALSE,SUMPRODUCT(--ISNUMBER(SEARCH(","&amp;TRIM(TEXTSPLIT(EE193,","))&amp;",",","&amp;SUBSTITUTE(input_faculty_discipline," ","")&amp;",")))=COUNTA(TEXTSPLIT(EE193,",")))),IF(EG193="",TRUE,IF(input_faculty_discipline="",TRUE,SUMPRODUCT(--ISNUMBER(SEARCH(","&amp;TRIM(TEXTSPLIT(EG193,","))&amp;",",","&amp;SUBSTITUTE(input_faculty_discipline," ","")&amp;",")))=0)),IF(EI193="",TRUE,IF(input_faculty_discipline="",FALSE,SUMPRODUCT(--ISNUMBER(SEARCH(","&amp;TRIM(TEXTSPLIT(EI193,","))&amp;",",","&amp;SUBSTITUTE(input_faculty_discipline," ","")&amp;",")))&gt;0)),IF(EK193="",TRUE,IF(input_faculty_discipline="",FALSE,SUMPRODUCT(--ISNUMBER(SEARCH(","&amp;TRIM(TEXTSPLIT(EK193,","))&amp;",",","&amp;SUBSTITUTE(input_faculty_discipline," ","")&amp;",")))=COUNTA(TEXTSPLIT(EK193,",")))))</f>
        <v/>
      </c>
      <c r="JG193">
        <f>AND(IF(EM193="",TRUE,IF(input_faculty_expertise="",FALSE,SUMPRODUCT(--ISNUMBER(SEARCH(","&amp;TRIM(TEXTSPLIT(EM193,","))&amp;",",","&amp;SUBSTITUTE(input_faculty_expertise," ","")&amp;",")))&gt;0)),IF(EO193="",TRUE,IF(input_faculty_expertise="",FALSE,SUMPRODUCT(--ISNUMBER(SEARCH(","&amp;TRIM(TEXTSPLIT(EO193,","))&amp;",",","&amp;SUBSTITUTE(input_faculty_expertise," ","")&amp;",")))=COUNTA(TEXTSPLIT(EO193,",")))),IF(EQ193="",TRUE,IF(input_faculty_expertise="",TRUE,SUMPRODUCT(--ISNUMBER(SEARCH(","&amp;TRIM(TEXTSPLIT(EQ193,","))&amp;",",","&amp;SUBSTITUTE(input_faculty_expertise," ","")&amp;",")))=0)),IF(ES193="",TRUE,IF(input_faculty_expertise="",FALSE,SUMPRODUCT(--ISNUMBER(SEARCH(","&amp;TRIM(TEXTSPLIT(ES193,","))&amp;",",","&amp;SUBSTITUTE(input_faculty_expertise," ","")&amp;",")))&gt;0)),IF(EU193="",TRUE,IF(input_faculty_expertise="",FALSE,SUMPRODUCT(--ISNUMBER(SEARCH(","&amp;TRIM(TEXTSPLIT(EU193,","))&amp;",",","&amp;SUBSTITUTE(input_faculty_expertise," ","")&amp;",")))=COUNTA(TEXTSPLIT(EU193,",")))))</f>
        <v/>
      </c>
      <c r="JH193">
        <f>AND(IF(EW193="",TRUE,IF(input_global_network_school="",FALSE,SUMPRODUCT(--ISNUMBER(SEARCH(","&amp;TRIM(TEXTSPLIT(EW193,","))&amp;",",","&amp;SUBSTITUTE(input_global_network_school," ","")&amp;",")))&gt;0)),IF(EY193="",TRUE,IF(input_global_network_school="",FALSE,SUMPRODUCT(--ISNUMBER(SEARCH(","&amp;TRIM(TEXTSPLIT(EY193,","))&amp;",",","&amp;SUBSTITUTE(input_global_network_school," ","")&amp;",")))=COUNTA(TEXTSPLIT(EY193,",")))),IF(FA193="",TRUE,IF(input_global_network_school="",TRUE,SUMPRODUCT(--ISNUMBER(SEARCH(","&amp;TRIM(TEXTSPLIT(FA193,","))&amp;",",","&amp;SUBSTITUTE(input_global_network_school," ","")&amp;",")))=0)),IF(FC193="",TRUE,IF(input_global_network_school="",FALSE,SUMPRODUCT(--ISNUMBER(SEARCH(","&amp;TRIM(TEXTSPLIT(FC193,","))&amp;",",","&amp;SUBSTITUTE(input_global_network_school," ","")&amp;",")))&gt;0)),IF(FE193="",TRUE,IF(input_global_network_school="",FALSE,SUMPRODUCT(--ISNUMBER(SEARCH(","&amp;TRIM(TEXTSPLIT(FE193,","))&amp;",",","&amp;SUBSTITUTE(input_global_network_school," ","")&amp;",")))=COUNTA(TEXTSPLIT(FE193,",")))))</f>
        <v/>
      </c>
      <c r="JI193">
        <f>AND(IF(FG193="",TRUE,IF(input_industry="",FALSE,SUMPRODUCT(--ISNUMBER(SEARCH(","&amp;TRIM(TEXTSPLIT(FG193,","))&amp;",",","&amp;SUBSTITUTE(input_industry," ","")&amp;",")))&gt;0)),IF(FI193="",TRUE,IF(input_industry="",FALSE,SUMPRODUCT(--ISNUMBER(SEARCH(","&amp;TRIM(TEXTSPLIT(FI193,","))&amp;",",","&amp;SUBSTITUTE(input_industry," ","")&amp;",")))=COUNTA(TEXTSPLIT(FI193,",")))),IF(FK193="",TRUE,IF(input_industry="",TRUE,SUMPRODUCT(--ISNUMBER(SEARCH(","&amp;TRIM(TEXTSPLIT(FK193,","))&amp;",",","&amp;SUBSTITUTE(input_industry," ","")&amp;",")))=0)),IF(FM193="",TRUE,IF(input_industry="",FALSE,SUMPRODUCT(--ISNUMBER(SEARCH(","&amp;TRIM(TEXTSPLIT(FM193,","))&amp;",",","&amp;SUBSTITUTE(input_industry," ","")&amp;",")))&gt;0)),IF(FO193="",TRUE,IF(input_industry="",FALSE,SUMPRODUCT(--ISNUMBER(SEARCH(","&amp;TRIM(TEXTSPLIT(FO193,","))&amp;",",","&amp;SUBSTITUTE(input_industry," ","")&amp;",")))=COUNTA(TEXTSPLIT(FO193,",")))))</f>
        <v/>
      </c>
      <c r="JJ193">
        <f>AND(IF(FQ193="",TRUE,IF(input_location="",FALSE,SUMPRODUCT(--ISNUMBER(SEARCH(","&amp;TRIM(TEXTSPLIT(FQ193,","))&amp;",",","&amp;SUBSTITUTE(input_location," ","")&amp;",")))&gt;0)),IF(FS193="",TRUE,IF(input_location="",FALSE,SUMPRODUCT(--ISNUMBER(SEARCH(","&amp;TRIM(TEXTSPLIT(FS193,","))&amp;",",","&amp;SUBSTITUTE(input_location," ","")&amp;",")))=COUNTA(TEXTSPLIT(FS193,",")))),IF(FU193="",TRUE,IF(input_location="",TRUE,SUMPRODUCT(--ISNUMBER(SEARCH(","&amp;TRIM(TEXTSPLIT(FU193,","))&amp;",",","&amp;SUBSTITUTE(input_location," ","")&amp;",")))=0)),IF(FW193="",TRUE,IF(input_location="",FALSE,SUMPRODUCT(--ISNUMBER(SEARCH(","&amp;TRIM(TEXTSPLIT(FW193,","))&amp;",",","&amp;SUBSTITUTE(input_location," ","")&amp;",")))&gt;0)),IF(FY193="",TRUE,IF(input_location="",FALSE,SUMPRODUCT(--ISNUMBER(SEARCH(","&amp;TRIM(TEXTSPLIT(FY193,","))&amp;",",","&amp;SUBSTITUTE(input_location," ","")&amp;",")))=COUNTA(TEXTSPLIT(FY193,",")))))</f>
        <v/>
      </c>
      <c r="JK193">
        <f>AND(IF(GA193="",TRUE,IF(input_modality="",FALSE,SUMPRODUCT(--ISNUMBER(SEARCH(","&amp;TRIM(TEXTSPLIT(GA193,","))&amp;",",","&amp;SUBSTITUTE(input_modality," ","")&amp;",")))&gt;0)),IF(GC193="",TRUE,IF(input_modality="",FALSE,SUMPRODUCT(--ISNUMBER(SEARCH(","&amp;TRIM(TEXTSPLIT(GC193,","))&amp;",",","&amp;SUBSTITUTE(input_modality," ","")&amp;",")))=COUNTA(TEXTSPLIT(GC193,",")))),IF(GE193="",TRUE,IF(input_modality="",TRUE,SUMPRODUCT(--ISNUMBER(SEARCH(","&amp;TRIM(TEXTSPLIT(GE193,","))&amp;",",","&amp;SUBSTITUTE(input_modality," ","")&amp;",")))=0)),IF(GG193="",TRUE,IF(input_modality="",FALSE,SUMPRODUCT(--ISNUMBER(SEARCH(","&amp;TRIM(TEXTSPLIT(GG193,","))&amp;",",","&amp;SUBSTITUTE(input_modality," ","")&amp;",")))&gt;0)),IF(GI193="",TRUE,IF(input_modality="",FALSE,SUMPRODUCT(--ISNUMBER(SEARCH(","&amp;TRIM(TEXTSPLIT(GI193,","))&amp;",",","&amp;SUBSTITUTE(input_modality," ","")&amp;",")))=COUNTA(TEXTSPLIT(GI193,",")))))</f>
        <v/>
      </c>
      <c r="JL193">
        <f>AND(IF(GK193="",TRUE,IF(input_organizer="",FALSE,SUMPRODUCT(--ISNUMBER(SEARCH(","&amp;TRIM(TEXTSPLIT(GK193,","))&amp;",",","&amp;SUBSTITUTE(input_organizer," ","")&amp;",")))&gt;0)),IF(GM193="",TRUE,IF(input_organizer="",FALSE,SUMPRODUCT(--ISNUMBER(SEARCH(","&amp;TRIM(TEXTSPLIT(GM193,","))&amp;",",","&amp;SUBSTITUTE(input_organizer," ","")&amp;",")))=COUNTA(TEXTSPLIT(GM193,",")))),IF(GO193="",TRUE,IF(input_organizer="",TRUE,SUMPRODUCT(--ISNUMBER(SEARCH(","&amp;TRIM(TEXTSPLIT(GO193,","))&amp;",",","&amp;SUBSTITUTE(input_organizer," ","")&amp;",")))=0)),IF(GQ193="",TRUE,IF(input_organizer="",FALSE,SUMPRODUCT(--ISNUMBER(SEARCH(","&amp;TRIM(TEXTSPLIT(GQ193,","))&amp;",",","&amp;SUBSTITUTE(input_organizer," ","")&amp;",")))&gt;0)),IF(GS193="",TRUE,IF(input_organizer="",FALSE,SUMPRODUCT(--ISNUMBER(SEARCH(","&amp;TRIM(TEXTSPLIT(GS193,","))&amp;",",","&amp;SUBSTITUTE(input_organizer," ","")&amp;",")))=COUNTA(TEXTSPLIT(GS193,",")))))</f>
        <v/>
      </c>
      <c r="JM193">
        <f>AND(IF(GU193="",TRUE,IF(input_profile_type="",FALSE,SUMPRODUCT(--ISNUMBER(SEARCH(","&amp;TRIM(TEXTSPLIT(GU193,","))&amp;",",","&amp;SUBSTITUTE(input_profile_type," ","")&amp;",")))&gt;0)),IF(GW193="",TRUE,IF(input_profile_type="",FALSE,SUMPRODUCT(--ISNUMBER(SEARCH(","&amp;TRIM(TEXTSPLIT(GW193,","))&amp;",",","&amp;SUBSTITUTE(input_profile_type," ","")&amp;",")))=COUNTA(TEXTSPLIT(GW193,",")))),IF(GY193="",TRUE,IF(input_profile_type="",TRUE,SUMPRODUCT(--ISNUMBER(SEARCH(","&amp;TRIM(TEXTSPLIT(GY193,","))&amp;",",","&amp;SUBSTITUTE(input_profile_type," ","")&amp;",")))=0)),IF(HA193="",TRUE,IF(input_profile_type="",FALSE,SUMPRODUCT(--ISNUMBER(SEARCH(","&amp;TRIM(TEXTSPLIT(HA193,","))&amp;",",","&amp;SUBSTITUTE(input_profile_type," ","")&amp;",")))&gt;0)),IF(HC193="",TRUE,IF(input_profile_type="",FALSE,SUMPRODUCT(--ISNUMBER(SEARCH(","&amp;TRIM(TEXTSPLIT(HC193,","))&amp;",",","&amp;SUBSTITUTE(input_profile_type," ","")&amp;",")))=COUNTA(TEXTSPLIT(HC193,",")))))</f>
        <v/>
      </c>
      <c r="JN193">
        <f>AND(IF(HE193="",TRUE,IF(input_program="",FALSE,SUMPRODUCT(--ISNUMBER(SEARCH(","&amp;TRIM(TEXTSPLIT(HE193,","))&amp;",",","&amp;SUBSTITUTE(input_program," ","")&amp;",")))&gt;0)),IF(HG193="",TRUE,IF(input_program="",FALSE,SUMPRODUCT(--ISNUMBER(SEARCH(","&amp;TRIM(TEXTSPLIT(HG193,","))&amp;",",","&amp;SUBSTITUTE(input_program," ","")&amp;",")))=COUNTA(TEXTSPLIT(HG193,",")))),IF(HI193="",TRUE,IF(input_program="",TRUE,SUMPRODUCT(--ISNUMBER(SEARCH(","&amp;TRIM(TEXTSPLIT(HI193,","))&amp;",",","&amp;SUBSTITUTE(input_program," ","")&amp;",")))=0)),IF(HK193="",TRUE,IF(input_program="",FALSE,SUMPRODUCT(--ISNUMBER(SEARCH(","&amp;TRIM(TEXTSPLIT(HK193,","))&amp;",",","&amp;SUBSTITUTE(input_program," ","")&amp;",")))&gt;0)),IF(HM193="",TRUE,IF(input_program="",FALSE,SUMPRODUCT(--ISNUMBER(SEARCH(","&amp;TRIM(TEXTSPLIT(HM193,","))&amp;",",","&amp;SUBSTITUTE(input_program," ","")&amp;",")))=COUNTA(TEXTSPLIT(HM193,",")))))</f>
        <v/>
      </c>
      <c r="JO193">
        <f>AND(IF(HO193="",TRUE,IF(input_story_categories="",FALSE,SUMPRODUCT(--ISNUMBER(SEARCH(","&amp;TRIM(TEXTSPLIT(HO193,","))&amp;",",","&amp;SUBSTITUTE(input_story_categories," ","")&amp;",")))&gt;0)),IF(HQ193="",TRUE,IF(input_story_categories="",FALSE,SUMPRODUCT(--ISNUMBER(SEARCH(","&amp;TRIM(TEXTSPLIT(HQ193,","))&amp;",",","&amp;SUBSTITUTE(input_story_categories," ","")&amp;",")))=COUNTA(TEXTSPLIT(HQ193,",")))),IF(HS193="",TRUE,IF(input_story_categories="",TRUE,SUMPRODUCT(--ISNUMBER(SEARCH(","&amp;TRIM(TEXTSPLIT(HS193,","))&amp;",",","&amp;SUBSTITUTE(input_story_categories," ","")&amp;",")))=0)),IF(HU193="",TRUE,IF(input_story_categories="",FALSE,SUMPRODUCT(--ISNUMBER(SEARCH(","&amp;TRIM(TEXTSPLIT(HU193,","))&amp;",",","&amp;SUBSTITUTE(input_story_categories," ","")&amp;",")))&gt;0)),IF(HW193="",TRUE,IF(input_story_categories="",FALSE,SUMPRODUCT(--ISNUMBER(SEARCH(","&amp;TRIM(TEXTSPLIT(HW193,","))&amp;",",","&amp;SUBSTITUTE(input_story_categories," ","")&amp;",")))=COUNTA(TEXTSPLIT(HW193,",")))))</f>
        <v/>
      </c>
      <c r="JP193">
        <f>AND(IF(HY193="",TRUE,IF(input_story_type="",FALSE,SUMPRODUCT(--ISNUMBER(SEARCH(","&amp;TRIM(TEXTSPLIT(HY193,","))&amp;",",","&amp;SUBSTITUTE(input_story_type," ","")&amp;",")))&gt;0)),IF(IA193="",TRUE,IF(input_story_type="",FALSE,SUMPRODUCT(--ISNUMBER(SEARCH(","&amp;TRIM(TEXTSPLIT(IA193,","))&amp;",",","&amp;SUBSTITUTE(input_story_type," ","")&amp;",")))=COUNTA(TEXTSPLIT(IA193,",")))),IF(IC193="",TRUE,IF(input_story_type="",TRUE,SUMPRODUCT(--ISNUMBER(SEARCH(","&amp;TRIM(TEXTSPLIT(IC193,","))&amp;",",","&amp;SUBSTITUTE(input_story_type," ","")&amp;",")))=0)),IF(IE193="",TRUE,IF(input_story_type="",FALSE,SUMPRODUCT(--ISNUMBER(SEARCH(","&amp;TRIM(TEXTSPLIT(IE193,","))&amp;",",","&amp;SUBSTITUTE(input_story_type," ","")&amp;",")))&gt;0)),IF(IG193="",TRUE,IF(input_story_type="",FALSE,SUMPRODUCT(--ISNUMBER(SEARCH(","&amp;TRIM(TEXTSPLIT(IG193,","))&amp;",",","&amp;SUBSTITUTE(input_story_type," ","")&amp;",")))=COUNTA(TEXTSPLIT(IG193,",")))))</f>
        <v/>
      </c>
      <c r="JQ193">
        <f>AND(IF(II193="",TRUE,IF(input_topics="",FALSE,SUMPRODUCT(--ISNUMBER(SEARCH(","&amp;TRIM(TEXTSPLIT(II193,","))&amp;",",","&amp;SUBSTITUTE(input_topics," ","")&amp;",")))&gt;0)),IF(IK193="",TRUE,IF(input_topics="",FALSE,SUMPRODUCT(--ISNUMBER(SEARCH(","&amp;TRIM(TEXTSPLIT(IK193,","))&amp;",",","&amp;SUBSTITUTE(input_topics," ","")&amp;",")))=COUNTA(TEXTSPLIT(IK193,",")))),IF(IM193="",TRUE,IF(input_topics="",TRUE,SUMPRODUCT(--ISNUMBER(SEARCH(","&amp;TRIM(TEXTSPLIT(IM193,","))&amp;",",","&amp;SUBSTITUTE(input_topics," ","")&amp;",")))=0)),IF(IO193="",TRUE,IF(input_topics="",FALSE,SUMPRODUCT(--ISNUMBER(SEARCH(","&amp;TRIM(TEXTSPLIT(IO193,","))&amp;",",","&amp;SUBSTITUTE(input_topics," ","")&amp;",")))&gt;0)),IF(IQ193="",TRUE,IF(input_topics="",FALSE,SUMPRODUCT(--ISNUMBER(SEARCH(","&amp;TRIM(TEXTSPLIT(IQ193,","))&amp;",",","&amp;SUBSTITUTE(input_topics," ","")&amp;",")))=COUNTA(TEXTSPLIT(IQ193,",")))))</f>
        <v/>
      </c>
    </row>
    <row r="194">
      <c r="A194" s="4">
        <f>IF(NOT(IS194),"Excluded",IF(AND(IT194,IU194,IV194,IW194,IX194,IY194,IZ194,JA194,JB194,JC194,JD194,JE194,JF194,JG194,JH194,JI194,JJ194,JK194,JL194,JM194,JN194,JO194,JP194,JQ194),IF(I194&gt;0,"Eligible but limited","Will appear"),"Excluded"))</f>
        <v/>
      </c>
      <c r="B194" s="4" t="inlineStr">
        <is>
          <t>Related stories on story pages</t>
        </is>
      </c>
      <c r="C194" s="4" t="inlineStr">
        <is>
          <t>/story/2022/can-companies-be-net-positive-society-paul-polman-former-unilever-ceo-thinks-so</t>
        </is>
      </c>
      <c r="D194" s="4" t="inlineStr">
        <is>
          <t>/story/2022/can-companies-be-net-positive-society-paul-polman-former-unilever-ceo-thinks-so
/story/2022/net-impact-case-competition
/story/2022/role-arts-organizations-anchoring-community-economic-development</t>
        </is>
      </c>
      <c r="E194" s="4" t="n">
        <v>6</v>
      </c>
      <c r="F194" s="4" t="inlineStr">
        <is>
          <t>story</t>
        </is>
      </c>
      <c r="G194" s="4" t="inlineStr">
        <is>
          <t>stories_teaser_cards</t>
        </is>
      </c>
      <c r="H194" s="4" t="inlineStr">
        <is>
          <t>embed_all</t>
        </is>
      </c>
      <c r="I194" s="4" t="n">
        <v>3</v>
      </c>
      <c r="J194" s="4" t="inlineStr">
        <is>
          <t>Template logic</t>
        </is>
      </c>
      <c r="K194" s="4" t="inlineStr">
        <is>
          <t>Grouped surface</t>
        </is>
      </c>
      <c r="L194" s="4" t="inlineStr">
        <is>
          <t>Content type: story; Context uses Courses Context: Program on Social Enterprise, Innovation, and Impact (933); Context uses Story Type: Blog (974); Limited to 3 item(s); Source: Template logic</t>
        </is>
      </c>
      <c r="M194" t="inlineStr"/>
      <c r="N194" t="inlineStr"/>
      <c r="O194" t="inlineStr"/>
      <c r="P194" t="inlineStr"/>
      <c r="Q194" t="inlineStr"/>
      <c r="R194" t="inlineStr"/>
      <c r="S194" t="inlineStr"/>
      <c r="T194" t="inlineStr"/>
      <c r="U194" t="inlineStr"/>
      <c r="V194" t="inlineStr"/>
      <c r="W194" t="inlineStr"/>
      <c r="X194" t="inlineStr"/>
      <c r="Y194" t="inlineStr"/>
      <c r="Z194" t="inlineStr"/>
      <c r="AA194" t="inlineStr"/>
      <c r="AB194" t="inlineStr"/>
      <c r="AC194" t="inlineStr"/>
      <c r="AD194" t="inlineStr"/>
      <c r="AE194" t="inlineStr"/>
      <c r="AF194" t="inlineStr"/>
      <c r="AG194" t="inlineStr"/>
      <c r="AH194" t="inlineStr"/>
      <c r="AI194" t="inlineStr"/>
      <c r="AJ194" t="inlineStr"/>
      <c r="AK194" t="inlineStr"/>
      <c r="AL194" t="inlineStr"/>
      <c r="AM194" t="inlineStr"/>
      <c r="AN194" t="inlineStr"/>
      <c r="AO194" t="inlineStr"/>
      <c r="AP194" t="inlineStr"/>
      <c r="AQ194" t="inlineStr"/>
      <c r="AR194" t="inlineStr"/>
      <c r="AS194" t="inlineStr"/>
      <c r="AT194" t="inlineStr"/>
      <c r="AU194" t="inlineStr"/>
      <c r="AV194" t="inlineStr"/>
      <c r="AW194" t="inlineStr"/>
      <c r="AX194" t="inlineStr"/>
      <c r="AY194" t="inlineStr"/>
      <c r="AZ194" t="inlineStr"/>
      <c r="BA194" t="inlineStr"/>
      <c r="BB194" t="inlineStr"/>
      <c r="BC194" t="inlineStr"/>
      <c r="BD194" t="inlineStr"/>
      <c r="BE194" t="inlineStr"/>
      <c r="BF194" t="inlineStr"/>
      <c r="BG194" t="inlineStr"/>
      <c r="BH194" t="inlineStr"/>
      <c r="BI194" t="inlineStr"/>
      <c r="BJ194" t="inlineStr"/>
      <c r="BK194" t="inlineStr"/>
      <c r="BL194" t="inlineStr"/>
      <c r="BM194" t="inlineStr"/>
      <c r="BN194" t="inlineStr"/>
      <c r="BO194" t="inlineStr"/>
      <c r="BP194" t="inlineStr"/>
      <c r="BQ194" t="inlineStr">
        <is>
          <t>933</t>
        </is>
      </c>
      <c r="BR194" t="inlineStr">
        <is>
          <t>Program on Social Enterprise, Innovation, and Impact (933)</t>
        </is>
      </c>
      <c r="BS194" t="inlineStr"/>
      <c r="BT194" t="inlineStr"/>
      <c r="BU194" t="inlineStr"/>
      <c r="BV194" t="inlineStr"/>
      <c r="BW194" t="inlineStr"/>
      <c r="BX194" t="inlineStr"/>
      <c r="BY194" t="inlineStr"/>
      <c r="BZ194" t="inlineStr"/>
      <c r="CA194" t="inlineStr"/>
      <c r="CB194" t="inlineStr"/>
      <c r="CC194" t="inlineStr"/>
      <c r="CD194" t="inlineStr"/>
      <c r="CE194" t="inlineStr"/>
      <c r="CF194" t="inlineStr"/>
      <c r="CG194" t="inlineStr"/>
      <c r="CH194" t="inlineStr"/>
      <c r="CI194" t="inlineStr"/>
      <c r="CJ194" t="inlineStr"/>
      <c r="CK194" t="inlineStr"/>
      <c r="CL194" t="inlineStr"/>
      <c r="CM194" t="inlineStr"/>
      <c r="CN194" t="inlineStr"/>
      <c r="CO194" t="inlineStr"/>
      <c r="CP194" t="inlineStr"/>
      <c r="CQ194" t="inlineStr"/>
      <c r="CR194" t="inlineStr"/>
      <c r="CS194" t="inlineStr"/>
      <c r="CT194" t="inlineStr"/>
      <c r="CU194" t="inlineStr"/>
      <c r="CV194" t="inlineStr"/>
      <c r="CW194" t="inlineStr"/>
      <c r="CX194" t="inlineStr"/>
      <c r="CY194" t="inlineStr"/>
      <c r="CZ194" t="inlineStr"/>
      <c r="DA194" t="inlineStr"/>
      <c r="DB194" t="inlineStr"/>
      <c r="DC194" t="inlineStr"/>
      <c r="DD194" t="inlineStr"/>
      <c r="DE194" t="inlineStr"/>
      <c r="DF194" t="inlineStr"/>
      <c r="DG194" t="inlineStr"/>
      <c r="DH194" t="inlineStr"/>
      <c r="DI194" t="inlineStr"/>
      <c r="DJ194" t="inlineStr"/>
      <c r="DK194" t="inlineStr"/>
      <c r="DL194" t="inlineStr"/>
      <c r="DM194" t="inlineStr"/>
      <c r="DN194" t="inlineStr"/>
      <c r="DO194" t="inlineStr"/>
      <c r="DP194" t="inlineStr"/>
      <c r="DQ194" t="inlineStr"/>
      <c r="DR194" t="inlineStr"/>
      <c r="DS194" t="inlineStr"/>
      <c r="DT194" t="inlineStr"/>
      <c r="DU194" t="inlineStr"/>
      <c r="DV194" t="inlineStr"/>
      <c r="DW194" t="inlineStr"/>
      <c r="DX194" t="inlineStr"/>
      <c r="DY194" t="inlineStr"/>
      <c r="DZ194" t="inlineStr"/>
      <c r="EA194" t="inlineStr"/>
      <c r="EB194" t="inlineStr"/>
      <c r="EC194" t="inlineStr"/>
      <c r="ED194" t="inlineStr"/>
      <c r="EE194" t="inlineStr"/>
      <c r="EF194" t="inlineStr"/>
      <c r="EG194" t="inlineStr"/>
      <c r="EH194" t="inlineStr"/>
      <c r="EI194" t="inlineStr"/>
      <c r="EJ194" t="inlineStr"/>
      <c r="EK194" t="inlineStr"/>
      <c r="EL194" t="inlineStr"/>
      <c r="EM194" t="inlineStr"/>
      <c r="EN194" t="inlineStr"/>
      <c r="EO194" t="inlineStr"/>
      <c r="EP194" t="inlineStr"/>
      <c r="EQ194" t="inlineStr"/>
      <c r="ER194" t="inlineStr"/>
      <c r="ES194" t="inlineStr"/>
      <c r="ET194" t="inlineStr"/>
      <c r="EU194" t="inlineStr"/>
      <c r="EV194" t="inlineStr"/>
      <c r="EW194" t="inlineStr"/>
      <c r="EX194" t="inlineStr"/>
      <c r="EY194" t="inlineStr"/>
      <c r="EZ194" t="inlineStr"/>
      <c r="FA194" t="inlineStr"/>
      <c r="FB194" t="inlineStr"/>
      <c r="FC194" t="inlineStr"/>
      <c r="FD194" t="inlineStr"/>
      <c r="FE194" t="inlineStr"/>
      <c r="FF194" t="inlineStr"/>
      <c r="FG194" t="inlineStr"/>
      <c r="FH194" t="inlineStr"/>
      <c r="FI194" t="inlineStr"/>
      <c r="FJ194" t="inlineStr"/>
      <c r="FK194" t="inlineStr"/>
      <c r="FL194" t="inlineStr"/>
      <c r="FM194" t="inlineStr"/>
      <c r="FN194" t="inlineStr"/>
      <c r="FO194" t="inlineStr"/>
      <c r="FP194" t="inlineStr"/>
      <c r="FQ194" t="inlineStr"/>
      <c r="FR194" t="inlineStr"/>
      <c r="FS194" t="inlineStr"/>
      <c r="FT194" t="inlineStr"/>
      <c r="FU194" t="inlineStr"/>
      <c r="FV194" t="inlineStr"/>
      <c r="FW194" t="inlineStr"/>
      <c r="FX194" t="inlineStr"/>
      <c r="FY194" t="inlineStr"/>
      <c r="FZ194" t="inlineStr"/>
      <c r="GA194" t="inlineStr"/>
      <c r="GB194" t="inlineStr"/>
      <c r="GC194" t="inlineStr"/>
      <c r="GD194" t="inlineStr"/>
      <c r="GE194" t="inlineStr"/>
      <c r="GF194" t="inlineStr"/>
      <c r="GG194" t="inlineStr"/>
      <c r="GH194" t="inlineStr"/>
      <c r="GI194" t="inlineStr"/>
      <c r="GJ194" t="inlineStr"/>
      <c r="GK194" t="inlineStr"/>
      <c r="GL194" t="inlineStr"/>
      <c r="GM194" t="inlineStr"/>
      <c r="GN194" t="inlineStr"/>
      <c r="GO194" t="inlineStr"/>
      <c r="GP194" t="inlineStr"/>
      <c r="GQ194" t="inlineStr"/>
      <c r="GR194" t="inlineStr"/>
      <c r="GS194" t="inlineStr"/>
      <c r="GT194" t="inlineStr"/>
      <c r="GU194" t="inlineStr"/>
      <c r="GV194" t="inlineStr"/>
      <c r="GW194" t="inlineStr"/>
      <c r="GX194" t="inlineStr"/>
      <c r="GY194" t="inlineStr"/>
      <c r="GZ194" t="inlineStr"/>
      <c r="HA194" t="inlineStr"/>
      <c r="HB194" t="inlineStr"/>
      <c r="HC194" t="inlineStr"/>
      <c r="HD194" t="inlineStr"/>
      <c r="HE194" t="inlineStr"/>
      <c r="HF194" t="inlineStr"/>
      <c r="HG194" t="inlineStr"/>
      <c r="HH194" t="inlineStr"/>
      <c r="HI194" t="inlineStr"/>
      <c r="HJ194" t="inlineStr"/>
      <c r="HK194" t="inlineStr"/>
      <c r="HL194" t="inlineStr"/>
      <c r="HM194" t="inlineStr"/>
      <c r="HN194" t="inlineStr"/>
      <c r="HO194" t="inlineStr"/>
      <c r="HP194" t="inlineStr"/>
      <c r="HQ194" t="inlineStr"/>
      <c r="HR194" t="inlineStr"/>
      <c r="HS194" t="inlineStr"/>
      <c r="HT194" t="inlineStr"/>
      <c r="HU194" t="inlineStr"/>
      <c r="HV194" t="inlineStr"/>
      <c r="HW194" t="inlineStr"/>
      <c r="HX194" t="inlineStr"/>
      <c r="HY194" t="inlineStr"/>
      <c r="HZ194" t="inlineStr"/>
      <c r="IA194" t="inlineStr"/>
      <c r="IB194" t="inlineStr"/>
      <c r="IC194" t="inlineStr"/>
      <c r="ID194" t="inlineStr"/>
      <c r="IE194" t="inlineStr">
        <is>
          <t>974</t>
        </is>
      </c>
      <c r="IF194" t="inlineStr">
        <is>
          <t>Blog (974)</t>
        </is>
      </c>
      <c r="IG194" t="inlineStr"/>
      <c r="IH194" t="inlineStr"/>
      <c r="II194" t="inlineStr"/>
      <c r="IJ194" t="inlineStr"/>
      <c r="IK194" t="inlineStr"/>
      <c r="IL194" t="inlineStr"/>
      <c r="IM194" t="inlineStr"/>
      <c r="IN194" t="inlineStr"/>
      <c r="IO194" t="inlineStr"/>
      <c r="IP194" t="inlineStr"/>
      <c r="IQ194" t="inlineStr"/>
      <c r="IR194" t="inlineStr"/>
      <c r="IS194">
        <f>IF(input_content_type="",FALSE,ISNUMBER(SEARCH(","&amp;LOWER(input_content_type)&amp;",",","&amp;LOWER(F194)&amp;",")))</f>
        <v/>
      </c>
      <c r="IT194">
        <f>AND(IF(M194="",TRUE,IF(input_affiliations="",FALSE,SUMPRODUCT(--ISNUMBER(SEARCH(","&amp;TRIM(TEXTSPLIT(M194,","))&amp;",",","&amp;SUBSTITUTE(input_affiliations," ","")&amp;",")))&gt;0)),IF(O194="",TRUE,IF(input_affiliations="",FALSE,SUMPRODUCT(--ISNUMBER(SEARCH(","&amp;TRIM(TEXTSPLIT(O194,","))&amp;",",","&amp;SUBSTITUTE(input_affiliations," ","")&amp;",")))=COUNTA(TEXTSPLIT(O194,",")))),IF(Q194="",TRUE,IF(input_affiliations="",TRUE,SUMPRODUCT(--ISNUMBER(SEARCH(","&amp;TRIM(TEXTSPLIT(Q194,","))&amp;",",","&amp;SUBSTITUTE(input_affiliations," ","")&amp;",")))=0)),IF(S194="",TRUE,IF(input_affiliations="",FALSE,SUMPRODUCT(--ISNUMBER(SEARCH(","&amp;TRIM(TEXTSPLIT(S194,","))&amp;",",","&amp;SUBSTITUTE(input_affiliations," ","")&amp;",")))&gt;0)),IF(U194="",TRUE,IF(input_affiliations="",FALSE,SUMPRODUCT(--ISNUMBER(SEARCH(","&amp;TRIM(TEXTSPLIT(U194,","))&amp;",",","&amp;SUBSTITUTE(input_affiliations," ","")&amp;",")))=COUNTA(TEXTSPLIT(U194,",")))))</f>
        <v/>
      </c>
      <c r="IU194">
        <f>AND(IF(W194="",TRUE,IF(input_announcement_category="",FALSE,SUMPRODUCT(--ISNUMBER(SEARCH(","&amp;TRIM(TEXTSPLIT(W194,","))&amp;",",","&amp;SUBSTITUTE(input_announcement_category," ","")&amp;",")))&gt;0)),IF(Y194="",TRUE,IF(input_announcement_category="",FALSE,SUMPRODUCT(--ISNUMBER(SEARCH(","&amp;TRIM(TEXTSPLIT(Y194,","))&amp;",",","&amp;SUBSTITUTE(input_announcement_category," ","")&amp;",")))=COUNTA(TEXTSPLIT(Y194,",")))),IF(AA194="",TRUE,IF(input_announcement_category="",TRUE,SUMPRODUCT(--ISNUMBER(SEARCH(","&amp;TRIM(TEXTSPLIT(AA194,","))&amp;",",","&amp;SUBSTITUTE(input_announcement_category," ","")&amp;",")))=0)),IF(AC194="",TRUE,IF(input_announcement_category="",FALSE,SUMPRODUCT(--ISNUMBER(SEARCH(","&amp;TRIM(TEXTSPLIT(AC194,","))&amp;",",","&amp;SUBSTITUTE(input_announcement_category," ","")&amp;",")))&gt;0)),IF(AE194="",TRUE,IF(input_announcement_category="",FALSE,SUMPRODUCT(--ISNUMBER(SEARCH(","&amp;TRIM(TEXTSPLIT(AE194,","))&amp;",",","&amp;SUBSTITUTE(input_announcement_category," ","")&amp;",")))=COUNTA(TEXTSPLIT(AE194,",")))))</f>
        <v/>
      </c>
      <c r="IV194">
        <f>AND(IF(AG194="",TRUE,IF(input_area_of_focus="",FALSE,SUMPRODUCT(--ISNUMBER(SEARCH(","&amp;TRIM(TEXTSPLIT(AG194,","))&amp;",",","&amp;SUBSTITUTE(input_area_of_focus," ","")&amp;",")))&gt;0)),IF(AI194="",TRUE,IF(input_area_of_focus="",FALSE,SUMPRODUCT(--ISNUMBER(SEARCH(","&amp;TRIM(TEXTSPLIT(AI194,","))&amp;",",","&amp;SUBSTITUTE(input_area_of_focus," ","")&amp;",")))=COUNTA(TEXTSPLIT(AI194,",")))),IF(AK194="",TRUE,IF(input_area_of_focus="",TRUE,SUMPRODUCT(--ISNUMBER(SEARCH(","&amp;TRIM(TEXTSPLIT(AK194,","))&amp;",",","&amp;SUBSTITUTE(input_area_of_focus," ","")&amp;",")))=0)),IF(AM194="",TRUE,IF(input_area_of_focus="",FALSE,SUMPRODUCT(--ISNUMBER(SEARCH(","&amp;TRIM(TEXTSPLIT(AM194,","))&amp;",",","&amp;SUBSTITUTE(input_area_of_focus," ","")&amp;",")))&gt;0)),IF(AO194="",TRUE,IF(input_area_of_focus="",FALSE,SUMPRODUCT(--ISNUMBER(SEARCH(","&amp;TRIM(TEXTSPLIT(AO194,","))&amp;",",","&amp;SUBSTITUTE(input_area_of_focus," ","")&amp;",")))=COUNTA(TEXTSPLIT(AO194,",")))))</f>
        <v/>
      </c>
      <c r="IW194">
        <f>AND(IF(AQ194="",TRUE,IF(input_audience="",FALSE,SUMPRODUCT(--ISNUMBER(SEARCH(","&amp;TRIM(TEXTSPLIT(AQ194,","))&amp;",",","&amp;SUBSTITUTE(input_audience," ","")&amp;",")))&gt;0)),IF(AS194="",TRUE,IF(input_audience="",FALSE,SUMPRODUCT(--ISNUMBER(SEARCH(","&amp;TRIM(TEXTSPLIT(AS194,","))&amp;",",","&amp;SUBSTITUTE(input_audience," ","")&amp;",")))=COUNTA(TEXTSPLIT(AS194,",")))),IF(AU194="",TRUE,IF(input_audience="",TRUE,SUMPRODUCT(--ISNUMBER(SEARCH(","&amp;TRIM(TEXTSPLIT(AU194,","))&amp;",",","&amp;SUBSTITUTE(input_audience," ","")&amp;",")))=0)),IF(AW194="",TRUE,IF(input_audience="",FALSE,SUMPRODUCT(--ISNUMBER(SEARCH(","&amp;TRIM(TEXTSPLIT(AW194,","))&amp;",",","&amp;SUBSTITUTE(input_audience," ","")&amp;",")))&gt;0)),IF(AY194="",TRUE,IF(input_audience="",FALSE,SUMPRODUCT(--ISNUMBER(SEARCH(","&amp;TRIM(TEXTSPLIT(AY194,","))&amp;",",","&amp;SUBSTITUTE(input_audience," ","")&amp;",")))=COUNTA(TEXTSPLIT(AY194,",")))))</f>
        <v/>
      </c>
      <c r="IX194">
        <f>AND(IF(BA194="",TRUE,IF(input_challenge_opportunities="",FALSE,SUMPRODUCT(--ISNUMBER(SEARCH(","&amp;TRIM(TEXTSPLIT(BA194,","))&amp;",",","&amp;SUBSTITUTE(input_challenge_opportunities," ","")&amp;",")))&gt;0)),IF(BC194="",TRUE,IF(input_challenge_opportunities="",FALSE,SUMPRODUCT(--ISNUMBER(SEARCH(","&amp;TRIM(TEXTSPLIT(BC194,","))&amp;",",","&amp;SUBSTITUTE(input_challenge_opportunities," ","")&amp;",")))=COUNTA(TEXTSPLIT(BC194,",")))),IF(BE194="",TRUE,IF(input_challenge_opportunities="",TRUE,SUMPRODUCT(--ISNUMBER(SEARCH(","&amp;TRIM(TEXTSPLIT(BE194,","))&amp;",",","&amp;SUBSTITUTE(input_challenge_opportunities," ","")&amp;",")))=0)),IF(BG194="",TRUE,IF(input_challenge_opportunities="",FALSE,SUMPRODUCT(--ISNUMBER(SEARCH(","&amp;TRIM(TEXTSPLIT(BG194,","))&amp;",",","&amp;SUBSTITUTE(input_challenge_opportunities," ","")&amp;",")))&gt;0)),IF(BI194="",TRUE,IF(input_challenge_opportunities="",FALSE,SUMPRODUCT(--ISNUMBER(SEARCH(","&amp;TRIM(TEXTSPLIT(BI194,","))&amp;",",","&amp;SUBSTITUTE(input_challenge_opportunities," ","")&amp;",")))=COUNTA(TEXTSPLIT(BI194,",")))))</f>
        <v/>
      </c>
      <c r="IY194">
        <f>AND(IF(BK194="",TRUE,IF(input_context="",FALSE,SUMPRODUCT(--ISNUMBER(SEARCH(","&amp;TRIM(TEXTSPLIT(BK194,","))&amp;",",","&amp;SUBSTITUTE(input_context," ","")&amp;",")))&gt;0)),IF(BM194="",TRUE,IF(input_context="",FALSE,SUMPRODUCT(--ISNUMBER(SEARCH(","&amp;TRIM(TEXTSPLIT(BM194,","))&amp;",",","&amp;SUBSTITUTE(input_context," ","")&amp;",")))=COUNTA(TEXTSPLIT(BM194,",")))),IF(BO194="",TRUE,IF(input_context="",TRUE,SUMPRODUCT(--ISNUMBER(SEARCH(","&amp;TRIM(TEXTSPLIT(BO194,","))&amp;",",","&amp;SUBSTITUTE(input_context," ","")&amp;",")))=0)),IF(BQ194="",TRUE,IF(input_context="",FALSE,SUMPRODUCT(--ISNUMBER(SEARCH(","&amp;TRIM(TEXTSPLIT(BQ194,","))&amp;",",","&amp;SUBSTITUTE(input_context," ","")&amp;",")))&gt;0)),IF(BS194="",TRUE,IF(input_context="",FALSE,SUMPRODUCT(--ISNUMBER(SEARCH(","&amp;TRIM(TEXTSPLIT(BS194,","))&amp;",",","&amp;SUBSTITUTE(input_context," ","")&amp;",")))=COUNTA(TEXTSPLIT(BS194,",")))))</f>
        <v/>
      </c>
      <c r="IZ194">
        <f>AND(IF(BU194="",TRUE,IF(input_enews_announcement_type="",FALSE,SUMPRODUCT(--ISNUMBER(SEARCH(","&amp;TRIM(TEXTSPLIT(BU194,","))&amp;",",","&amp;SUBSTITUTE(input_enews_announcement_type," ","")&amp;",")))&gt;0)),IF(BW194="",TRUE,IF(input_enews_announcement_type="",FALSE,SUMPRODUCT(--ISNUMBER(SEARCH(","&amp;TRIM(TEXTSPLIT(BW194,","))&amp;",",","&amp;SUBSTITUTE(input_enews_announcement_type," ","")&amp;",")))=COUNTA(TEXTSPLIT(BW194,",")))),IF(BY194="",TRUE,IF(input_enews_announcement_type="",TRUE,SUMPRODUCT(--ISNUMBER(SEARCH(","&amp;TRIM(TEXTSPLIT(BY194,","))&amp;",",","&amp;SUBSTITUTE(input_enews_announcement_type," ","")&amp;",")))=0)),IF(CA194="",TRUE,IF(input_enews_announcement_type="",FALSE,SUMPRODUCT(--ISNUMBER(SEARCH(","&amp;TRIM(TEXTSPLIT(CA194,","))&amp;",",","&amp;SUBSTITUTE(input_enews_announcement_type," ","")&amp;",")))&gt;0)),IF(CC194="",TRUE,IF(input_enews_announcement_type="",FALSE,SUMPRODUCT(--ISNUMBER(SEARCH(","&amp;TRIM(TEXTSPLIT(CC194,","))&amp;",",","&amp;SUBSTITUTE(input_enews_announcement_type," ","")&amp;",")))=COUNTA(TEXTSPLIT(CC194,",")))))</f>
        <v/>
      </c>
      <c r="JA194">
        <f>AND(IF(CE194="",TRUE,IF(input_enews_audience="",FALSE,SUMPRODUCT(--ISNUMBER(SEARCH(","&amp;TRIM(TEXTSPLIT(CE194,","))&amp;",",","&amp;SUBSTITUTE(input_enews_audience," ","")&amp;",")))&gt;0)),IF(CG194="",TRUE,IF(input_enews_audience="",FALSE,SUMPRODUCT(--ISNUMBER(SEARCH(","&amp;TRIM(TEXTSPLIT(CG194,","))&amp;",",","&amp;SUBSTITUTE(input_enews_audience," ","")&amp;",")))=COUNTA(TEXTSPLIT(CG194,",")))),IF(CI194="",TRUE,IF(input_enews_audience="",TRUE,SUMPRODUCT(--ISNUMBER(SEARCH(","&amp;TRIM(TEXTSPLIT(CI194,","))&amp;",",","&amp;SUBSTITUTE(input_enews_audience," ","")&amp;",")))=0)),IF(CK194="",TRUE,IF(input_enews_audience="",FALSE,SUMPRODUCT(--ISNUMBER(SEARCH(","&amp;TRIM(TEXTSPLIT(CK194,","))&amp;",",","&amp;SUBSTITUTE(input_enews_audience," ","")&amp;",")))&gt;0)),IF(CM194="",TRUE,IF(input_enews_audience="",FALSE,SUMPRODUCT(--ISNUMBER(SEARCH(","&amp;TRIM(TEXTSPLIT(CM194,","))&amp;",",","&amp;SUBSTITUTE(input_enews_audience," ","")&amp;",")))=COUNTA(TEXTSPLIT(CM194,",")))))</f>
        <v/>
      </c>
      <c r="JB194">
        <f>AND(IF(CO194="",TRUE,IF(input_event_location="",FALSE,SUMPRODUCT(--ISNUMBER(SEARCH(","&amp;TRIM(TEXTSPLIT(CO194,","))&amp;",",","&amp;SUBSTITUTE(input_event_location," ","")&amp;",")))&gt;0)),IF(CQ194="",TRUE,IF(input_event_location="",FALSE,SUMPRODUCT(--ISNUMBER(SEARCH(","&amp;TRIM(TEXTSPLIT(CQ194,","))&amp;",",","&amp;SUBSTITUTE(input_event_location," ","")&amp;",")))=COUNTA(TEXTSPLIT(CQ194,",")))),IF(CS194="",TRUE,IF(input_event_location="",TRUE,SUMPRODUCT(--ISNUMBER(SEARCH(","&amp;TRIM(TEXTSPLIT(CS194,","))&amp;",",","&amp;SUBSTITUTE(input_event_location," ","")&amp;",")))=0)),IF(CU194="",TRUE,IF(input_event_location="",FALSE,SUMPRODUCT(--ISNUMBER(SEARCH(","&amp;TRIM(TEXTSPLIT(CU194,","))&amp;",",","&amp;SUBSTITUTE(input_event_location," ","")&amp;",")))&gt;0)),IF(CW194="",TRUE,IF(input_event_location="",FALSE,SUMPRODUCT(--ISNUMBER(SEARCH(","&amp;TRIM(TEXTSPLIT(CW194,","))&amp;",",","&amp;SUBSTITUTE(input_event_location," ","")&amp;",")))=COUNTA(TEXTSPLIT(CW194,",")))))</f>
        <v/>
      </c>
      <c r="JC194">
        <f>AND(IF(CY194="",TRUE,IF(input_event_type="",FALSE,SUMPRODUCT(--ISNUMBER(SEARCH(","&amp;TRIM(TEXTSPLIT(CY194,","))&amp;",",","&amp;SUBSTITUTE(input_event_type," ","")&amp;",")))&gt;0)),IF(DA194="",TRUE,IF(input_event_type="",FALSE,SUMPRODUCT(--ISNUMBER(SEARCH(","&amp;TRIM(TEXTSPLIT(DA194,","))&amp;",",","&amp;SUBSTITUTE(input_event_type," ","")&amp;",")))=COUNTA(TEXTSPLIT(DA194,",")))),IF(DC194="",TRUE,IF(input_event_type="",TRUE,SUMPRODUCT(--ISNUMBER(SEARCH(","&amp;TRIM(TEXTSPLIT(DC194,","))&amp;",",","&amp;SUBSTITUTE(input_event_type," ","")&amp;",")))=0)),IF(DE194="",TRUE,IF(input_event_type="",FALSE,SUMPRODUCT(--ISNUMBER(SEARCH(","&amp;TRIM(TEXTSPLIT(DE194,","))&amp;",",","&amp;SUBSTITUTE(input_event_type," ","")&amp;",")))&gt;0)),IF(DG194="",TRUE,IF(input_event_type="",FALSE,SUMPRODUCT(--ISNUMBER(SEARCH(","&amp;TRIM(TEXTSPLIT(DG194,","))&amp;",",","&amp;SUBSTITUTE(input_event_type," ","")&amp;",")))=COUNTA(TEXTSPLIT(DG194,",")))))</f>
        <v/>
      </c>
      <c r="JD194">
        <f>AND(IF(DI194="",TRUE,IF(input_executive_education_focus="",FALSE,SUMPRODUCT(--ISNUMBER(SEARCH(","&amp;TRIM(TEXTSPLIT(DI194,","))&amp;",",","&amp;SUBSTITUTE(input_executive_education_focus," ","")&amp;",")))&gt;0)),IF(DK194="",TRUE,IF(input_executive_education_focus="",FALSE,SUMPRODUCT(--ISNUMBER(SEARCH(","&amp;TRIM(TEXTSPLIT(DK194,","))&amp;",",","&amp;SUBSTITUTE(input_executive_education_focus," ","")&amp;",")))=COUNTA(TEXTSPLIT(DK194,",")))),IF(DM194="",TRUE,IF(input_executive_education_focus="",TRUE,SUMPRODUCT(--ISNUMBER(SEARCH(","&amp;TRIM(TEXTSPLIT(DM194,","))&amp;",",","&amp;SUBSTITUTE(input_executive_education_focus," ","")&amp;",")))=0)),IF(DO194="",TRUE,IF(input_executive_education_focus="",FALSE,SUMPRODUCT(--ISNUMBER(SEARCH(","&amp;TRIM(TEXTSPLIT(DO194,","))&amp;",",","&amp;SUBSTITUTE(input_executive_education_focus," ","")&amp;",")))&gt;0)),IF(DQ194="",TRUE,IF(input_executive_education_focus="",FALSE,SUMPRODUCT(--ISNUMBER(SEARCH(","&amp;TRIM(TEXTSPLIT(DQ194,","))&amp;",",","&amp;SUBSTITUTE(input_executive_education_focus," ","")&amp;",")))=COUNTA(TEXTSPLIT(DQ194,",")))))</f>
        <v/>
      </c>
      <c r="JE194">
        <f>AND(IF(DS194="",TRUE,IF(input_faculty_category="",FALSE,SUMPRODUCT(--ISNUMBER(SEARCH(","&amp;TRIM(TEXTSPLIT(DS194,","))&amp;",",","&amp;SUBSTITUTE(input_faculty_category," ","")&amp;",")))&gt;0)),IF(DU194="",TRUE,IF(input_faculty_category="",FALSE,SUMPRODUCT(--ISNUMBER(SEARCH(","&amp;TRIM(TEXTSPLIT(DU194,","))&amp;",",","&amp;SUBSTITUTE(input_faculty_category," ","")&amp;",")))=COUNTA(TEXTSPLIT(DU194,",")))),IF(DW194="",TRUE,IF(input_faculty_category="",TRUE,SUMPRODUCT(--ISNUMBER(SEARCH(","&amp;TRIM(TEXTSPLIT(DW194,","))&amp;",",","&amp;SUBSTITUTE(input_faculty_category," ","")&amp;",")))=0)),IF(DY194="",TRUE,IF(input_faculty_category="",FALSE,SUMPRODUCT(--ISNUMBER(SEARCH(","&amp;TRIM(TEXTSPLIT(DY194,","))&amp;",",","&amp;SUBSTITUTE(input_faculty_category," ","")&amp;",")))&gt;0)),IF(EA194="",TRUE,IF(input_faculty_category="",FALSE,SUMPRODUCT(--ISNUMBER(SEARCH(","&amp;TRIM(TEXTSPLIT(EA194,","))&amp;",",","&amp;SUBSTITUTE(input_faculty_category," ","")&amp;",")))=COUNTA(TEXTSPLIT(EA194,",")))))</f>
        <v/>
      </c>
      <c r="JF194">
        <f>AND(IF(EC194="",TRUE,IF(input_faculty_discipline="",FALSE,SUMPRODUCT(--ISNUMBER(SEARCH(","&amp;TRIM(TEXTSPLIT(EC194,","))&amp;",",","&amp;SUBSTITUTE(input_faculty_discipline," ","")&amp;",")))&gt;0)),IF(EE194="",TRUE,IF(input_faculty_discipline="",FALSE,SUMPRODUCT(--ISNUMBER(SEARCH(","&amp;TRIM(TEXTSPLIT(EE194,","))&amp;",",","&amp;SUBSTITUTE(input_faculty_discipline," ","")&amp;",")))=COUNTA(TEXTSPLIT(EE194,",")))),IF(EG194="",TRUE,IF(input_faculty_discipline="",TRUE,SUMPRODUCT(--ISNUMBER(SEARCH(","&amp;TRIM(TEXTSPLIT(EG194,","))&amp;",",","&amp;SUBSTITUTE(input_faculty_discipline," ","")&amp;",")))=0)),IF(EI194="",TRUE,IF(input_faculty_discipline="",FALSE,SUMPRODUCT(--ISNUMBER(SEARCH(","&amp;TRIM(TEXTSPLIT(EI194,","))&amp;",",","&amp;SUBSTITUTE(input_faculty_discipline," ","")&amp;",")))&gt;0)),IF(EK194="",TRUE,IF(input_faculty_discipline="",FALSE,SUMPRODUCT(--ISNUMBER(SEARCH(","&amp;TRIM(TEXTSPLIT(EK194,","))&amp;",",","&amp;SUBSTITUTE(input_faculty_discipline," ","")&amp;",")))=COUNTA(TEXTSPLIT(EK194,",")))))</f>
        <v/>
      </c>
      <c r="JG194">
        <f>AND(IF(EM194="",TRUE,IF(input_faculty_expertise="",FALSE,SUMPRODUCT(--ISNUMBER(SEARCH(","&amp;TRIM(TEXTSPLIT(EM194,","))&amp;",",","&amp;SUBSTITUTE(input_faculty_expertise," ","")&amp;",")))&gt;0)),IF(EO194="",TRUE,IF(input_faculty_expertise="",FALSE,SUMPRODUCT(--ISNUMBER(SEARCH(","&amp;TRIM(TEXTSPLIT(EO194,","))&amp;",",","&amp;SUBSTITUTE(input_faculty_expertise," ","")&amp;",")))=COUNTA(TEXTSPLIT(EO194,",")))),IF(EQ194="",TRUE,IF(input_faculty_expertise="",TRUE,SUMPRODUCT(--ISNUMBER(SEARCH(","&amp;TRIM(TEXTSPLIT(EQ194,","))&amp;",",","&amp;SUBSTITUTE(input_faculty_expertise," ","")&amp;",")))=0)),IF(ES194="",TRUE,IF(input_faculty_expertise="",FALSE,SUMPRODUCT(--ISNUMBER(SEARCH(","&amp;TRIM(TEXTSPLIT(ES194,","))&amp;",",","&amp;SUBSTITUTE(input_faculty_expertise," ","")&amp;",")))&gt;0)),IF(EU194="",TRUE,IF(input_faculty_expertise="",FALSE,SUMPRODUCT(--ISNUMBER(SEARCH(","&amp;TRIM(TEXTSPLIT(EU194,","))&amp;",",","&amp;SUBSTITUTE(input_faculty_expertise," ","")&amp;",")))=COUNTA(TEXTSPLIT(EU194,",")))))</f>
        <v/>
      </c>
      <c r="JH194">
        <f>AND(IF(EW194="",TRUE,IF(input_global_network_school="",FALSE,SUMPRODUCT(--ISNUMBER(SEARCH(","&amp;TRIM(TEXTSPLIT(EW194,","))&amp;",",","&amp;SUBSTITUTE(input_global_network_school," ","")&amp;",")))&gt;0)),IF(EY194="",TRUE,IF(input_global_network_school="",FALSE,SUMPRODUCT(--ISNUMBER(SEARCH(","&amp;TRIM(TEXTSPLIT(EY194,","))&amp;",",","&amp;SUBSTITUTE(input_global_network_school," ","")&amp;",")))=COUNTA(TEXTSPLIT(EY194,",")))),IF(FA194="",TRUE,IF(input_global_network_school="",TRUE,SUMPRODUCT(--ISNUMBER(SEARCH(","&amp;TRIM(TEXTSPLIT(FA194,","))&amp;",",","&amp;SUBSTITUTE(input_global_network_school," ","")&amp;",")))=0)),IF(FC194="",TRUE,IF(input_global_network_school="",FALSE,SUMPRODUCT(--ISNUMBER(SEARCH(","&amp;TRIM(TEXTSPLIT(FC194,","))&amp;",",","&amp;SUBSTITUTE(input_global_network_school," ","")&amp;",")))&gt;0)),IF(FE194="",TRUE,IF(input_global_network_school="",FALSE,SUMPRODUCT(--ISNUMBER(SEARCH(","&amp;TRIM(TEXTSPLIT(FE194,","))&amp;",",","&amp;SUBSTITUTE(input_global_network_school," ","")&amp;",")))=COUNTA(TEXTSPLIT(FE194,",")))))</f>
        <v/>
      </c>
      <c r="JI194">
        <f>AND(IF(FG194="",TRUE,IF(input_industry="",FALSE,SUMPRODUCT(--ISNUMBER(SEARCH(","&amp;TRIM(TEXTSPLIT(FG194,","))&amp;",",","&amp;SUBSTITUTE(input_industry," ","")&amp;",")))&gt;0)),IF(FI194="",TRUE,IF(input_industry="",FALSE,SUMPRODUCT(--ISNUMBER(SEARCH(","&amp;TRIM(TEXTSPLIT(FI194,","))&amp;",",","&amp;SUBSTITUTE(input_industry," ","")&amp;",")))=COUNTA(TEXTSPLIT(FI194,",")))),IF(FK194="",TRUE,IF(input_industry="",TRUE,SUMPRODUCT(--ISNUMBER(SEARCH(","&amp;TRIM(TEXTSPLIT(FK194,","))&amp;",",","&amp;SUBSTITUTE(input_industry," ","")&amp;",")))=0)),IF(FM194="",TRUE,IF(input_industry="",FALSE,SUMPRODUCT(--ISNUMBER(SEARCH(","&amp;TRIM(TEXTSPLIT(FM194,","))&amp;",",","&amp;SUBSTITUTE(input_industry," ","")&amp;",")))&gt;0)),IF(FO194="",TRUE,IF(input_industry="",FALSE,SUMPRODUCT(--ISNUMBER(SEARCH(","&amp;TRIM(TEXTSPLIT(FO194,","))&amp;",",","&amp;SUBSTITUTE(input_industry," ","")&amp;",")))=COUNTA(TEXTSPLIT(FO194,",")))))</f>
        <v/>
      </c>
      <c r="JJ194">
        <f>AND(IF(FQ194="",TRUE,IF(input_location="",FALSE,SUMPRODUCT(--ISNUMBER(SEARCH(","&amp;TRIM(TEXTSPLIT(FQ194,","))&amp;",",","&amp;SUBSTITUTE(input_location," ","")&amp;",")))&gt;0)),IF(FS194="",TRUE,IF(input_location="",FALSE,SUMPRODUCT(--ISNUMBER(SEARCH(","&amp;TRIM(TEXTSPLIT(FS194,","))&amp;",",","&amp;SUBSTITUTE(input_location," ","")&amp;",")))=COUNTA(TEXTSPLIT(FS194,",")))),IF(FU194="",TRUE,IF(input_location="",TRUE,SUMPRODUCT(--ISNUMBER(SEARCH(","&amp;TRIM(TEXTSPLIT(FU194,","))&amp;",",","&amp;SUBSTITUTE(input_location," ","")&amp;",")))=0)),IF(FW194="",TRUE,IF(input_location="",FALSE,SUMPRODUCT(--ISNUMBER(SEARCH(","&amp;TRIM(TEXTSPLIT(FW194,","))&amp;",",","&amp;SUBSTITUTE(input_location," ","")&amp;",")))&gt;0)),IF(FY194="",TRUE,IF(input_location="",FALSE,SUMPRODUCT(--ISNUMBER(SEARCH(","&amp;TRIM(TEXTSPLIT(FY194,","))&amp;",",","&amp;SUBSTITUTE(input_location," ","")&amp;",")))=COUNTA(TEXTSPLIT(FY194,",")))))</f>
        <v/>
      </c>
      <c r="JK194">
        <f>AND(IF(GA194="",TRUE,IF(input_modality="",FALSE,SUMPRODUCT(--ISNUMBER(SEARCH(","&amp;TRIM(TEXTSPLIT(GA194,","))&amp;",",","&amp;SUBSTITUTE(input_modality," ","")&amp;",")))&gt;0)),IF(GC194="",TRUE,IF(input_modality="",FALSE,SUMPRODUCT(--ISNUMBER(SEARCH(","&amp;TRIM(TEXTSPLIT(GC194,","))&amp;",",","&amp;SUBSTITUTE(input_modality," ","")&amp;",")))=COUNTA(TEXTSPLIT(GC194,",")))),IF(GE194="",TRUE,IF(input_modality="",TRUE,SUMPRODUCT(--ISNUMBER(SEARCH(","&amp;TRIM(TEXTSPLIT(GE194,","))&amp;",",","&amp;SUBSTITUTE(input_modality," ","")&amp;",")))=0)),IF(GG194="",TRUE,IF(input_modality="",FALSE,SUMPRODUCT(--ISNUMBER(SEARCH(","&amp;TRIM(TEXTSPLIT(GG194,","))&amp;",",","&amp;SUBSTITUTE(input_modality," ","")&amp;",")))&gt;0)),IF(GI194="",TRUE,IF(input_modality="",FALSE,SUMPRODUCT(--ISNUMBER(SEARCH(","&amp;TRIM(TEXTSPLIT(GI194,","))&amp;",",","&amp;SUBSTITUTE(input_modality," ","")&amp;",")))=COUNTA(TEXTSPLIT(GI194,",")))))</f>
        <v/>
      </c>
      <c r="JL194">
        <f>AND(IF(GK194="",TRUE,IF(input_organizer="",FALSE,SUMPRODUCT(--ISNUMBER(SEARCH(","&amp;TRIM(TEXTSPLIT(GK194,","))&amp;",",","&amp;SUBSTITUTE(input_organizer," ","")&amp;",")))&gt;0)),IF(GM194="",TRUE,IF(input_organizer="",FALSE,SUMPRODUCT(--ISNUMBER(SEARCH(","&amp;TRIM(TEXTSPLIT(GM194,","))&amp;",",","&amp;SUBSTITUTE(input_organizer," ","")&amp;",")))=COUNTA(TEXTSPLIT(GM194,",")))),IF(GO194="",TRUE,IF(input_organizer="",TRUE,SUMPRODUCT(--ISNUMBER(SEARCH(","&amp;TRIM(TEXTSPLIT(GO194,","))&amp;",",","&amp;SUBSTITUTE(input_organizer," ","")&amp;",")))=0)),IF(GQ194="",TRUE,IF(input_organizer="",FALSE,SUMPRODUCT(--ISNUMBER(SEARCH(","&amp;TRIM(TEXTSPLIT(GQ194,","))&amp;",",","&amp;SUBSTITUTE(input_organizer," ","")&amp;",")))&gt;0)),IF(GS194="",TRUE,IF(input_organizer="",FALSE,SUMPRODUCT(--ISNUMBER(SEARCH(","&amp;TRIM(TEXTSPLIT(GS194,","))&amp;",",","&amp;SUBSTITUTE(input_organizer," ","")&amp;",")))=COUNTA(TEXTSPLIT(GS194,",")))))</f>
        <v/>
      </c>
      <c r="JM194">
        <f>AND(IF(GU194="",TRUE,IF(input_profile_type="",FALSE,SUMPRODUCT(--ISNUMBER(SEARCH(","&amp;TRIM(TEXTSPLIT(GU194,","))&amp;",",","&amp;SUBSTITUTE(input_profile_type," ","")&amp;",")))&gt;0)),IF(GW194="",TRUE,IF(input_profile_type="",FALSE,SUMPRODUCT(--ISNUMBER(SEARCH(","&amp;TRIM(TEXTSPLIT(GW194,","))&amp;",",","&amp;SUBSTITUTE(input_profile_type," ","")&amp;",")))=COUNTA(TEXTSPLIT(GW194,",")))),IF(GY194="",TRUE,IF(input_profile_type="",TRUE,SUMPRODUCT(--ISNUMBER(SEARCH(","&amp;TRIM(TEXTSPLIT(GY194,","))&amp;",",","&amp;SUBSTITUTE(input_profile_type," ","")&amp;",")))=0)),IF(HA194="",TRUE,IF(input_profile_type="",FALSE,SUMPRODUCT(--ISNUMBER(SEARCH(","&amp;TRIM(TEXTSPLIT(HA194,","))&amp;",",","&amp;SUBSTITUTE(input_profile_type," ","")&amp;",")))&gt;0)),IF(HC194="",TRUE,IF(input_profile_type="",FALSE,SUMPRODUCT(--ISNUMBER(SEARCH(","&amp;TRIM(TEXTSPLIT(HC194,","))&amp;",",","&amp;SUBSTITUTE(input_profile_type," ","")&amp;",")))=COUNTA(TEXTSPLIT(HC194,",")))))</f>
        <v/>
      </c>
      <c r="JN194">
        <f>AND(IF(HE194="",TRUE,IF(input_program="",FALSE,SUMPRODUCT(--ISNUMBER(SEARCH(","&amp;TRIM(TEXTSPLIT(HE194,","))&amp;",",","&amp;SUBSTITUTE(input_program," ","")&amp;",")))&gt;0)),IF(HG194="",TRUE,IF(input_program="",FALSE,SUMPRODUCT(--ISNUMBER(SEARCH(","&amp;TRIM(TEXTSPLIT(HG194,","))&amp;",",","&amp;SUBSTITUTE(input_program," ","")&amp;",")))=COUNTA(TEXTSPLIT(HG194,",")))),IF(HI194="",TRUE,IF(input_program="",TRUE,SUMPRODUCT(--ISNUMBER(SEARCH(","&amp;TRIM(TEXTSPLIT(HI194,","))&amp;",",","&amp;SUBSTITUTE(input_program," ","")&amp;",")))=0)),IF(HK194="",TRUE,IF(input_program="",FALSE,SUMPRODUCT(--ISNUMBER(SEARCH(","&amp;TRIM(TEXTSPLIT(HK194,","))&amp;",",","&amp;SUBSTITUTE(input_program," ","")&amp;",")))&gt;0)),IF(HM194="",TRUE,IF(input_program="",FALSE,SUMPRODUCT(--ISNUMBER(SEARCH(","&amp;TRIM(TEXTSPLIT(HM194,","))&amp;",",","&amp;SUBSTITUTE(input_program," ","")&amp;",")))=COUNTA(TEXTSPLIT(HM194,",")))))</f>
        <v/>
      </c>
      <c r="JO194">
        <f>AND(IF(HO194="",TRUE,IF(input_story_categories="",FALSE,SUMPRODUCT(--ISNUMBER(SEARCH(","&amp;TRIM(TEXTSPLIT(HO194,","))&amp;",",","&amp;SUBSTITUTE(input_story_categories," ","")&amp;",")))&gt;0)),IF(HQ194="",TRUE,IF(input_story_categories="",FALSE,SUMPRODUCT(--ISNUMBER(SEARCH(","&amp;TRIM(TEXTSPLIT(HQ194,","))&amp;",",","&amp;SUBSTITUTE(input_story_categories," ","")&amp;",")))=COUNTA(TEXTSPLIT(HQ194,",")))),IF(HS194="",TRUE,IF(input_story_categories="",TRUE,SUMPRODUCT(--ISNUMBER(SEARCH(","&amp;TRIM(TEXTSPLIT(HS194,","))&amp;",",","&amp;SUBSTITUTE(input_story_categories," ","")&amp;",")))=0)),IF(HU194="",TRUE,IF(input_story_categories="",FALSE,SUMPRODUCT(--ISNUMBER(SEARCH(","&amp;TRIM(TEXTSPLIT(HU194,","))&amp;",",","&amp;SUBSTITUTE(input_story_categories," ","")&amp;",")))&gt;0)),IF(HW194="",TRUE,IF(input_story_categories="",FALSE,SUMPRODUCT(--ISNUMBER(SEARCH(","&amp;TRIM(TEXTSPLIT(HW194,","))&amp;",",","&amp;SUBSTITUTE(input_story_categories," ","")&amp;",")))=COUNTA(TEXTSPLIT(HW194,",")))))</f>
        <v/>
      </c>
      <c r="JP194">
        <f>AND(IF(HY194="",TRUE,IF(input_story_type="",FALSE,SUMPRODUCT(--ISNUMBER(SEARCH(","&amp;TRIM(TEXTSPLIT(HY194,","))&amp;",",","&amp;SUBSTITUTE(input_story_type," ","")&amp;",")))&gt;0)),IF(IA194="",TRUE,IF(input_story_type="",FALSE,SUMPRODUCT(--ISNUMBER(SEARCH(","&amp;TRIM(TEXTSPLIT(IA194,","))&amp;",",","&amp;SUBSTITUTE(input_story_type," ","")&amp;",")))=COUNTA(TEXTSPLIT(IA194,",")))),IF(IC194="",TRUE,IF(input_story_type="",TRUE,SUMPRODUCT(--ISNUMBER(SEARCH(","&amp;TRIM(TEXTSPLIT(IC194,","))&amp;",",","&amp;SUBSTITUTE(input_story_type," ","")&amp;",")))=0)),IF(IE194="",TRUE,IF(input_story_type="",FALSE,SUMPRODUCT(--ISNUMBER(SEARCH(","&amp;TRIM(TEXTSPLIT(IE194,","))&amp;",",","&amp;SUBSTITUTE(input_story_type," ","")&amp;",")))&gt;0)),IF(IG194="",TRUE,IF(input_story_type="",FALSE,SUMPRODUCT(--ISNUMBER(SEARCH(","&amp;TRIM(TEXTSPLIT(IG194,","))&amp;",",","&amp;SUBSTITUTE(input_story_type," ","")&amp;",")))=COUNTA(TEXTSPLIT(IG194,",")))))</f>
        <v/>
      </c>
      <c r="JQ194">
        <f>AND(IF(II194="",TRUE,IF(input_topics="",FALSE,SUMPRODUCT(--ISNUMBER(SEARCH(","&amp;TRIM(TEXTSPLIT(II194,","))&amp;",",","&amp;SUBSTITUTE(input_topics," ","")&amp;",")))&gt;0)),IF(IK194="",TRUE,IF(input_topics="",FALSE,SUMPRODUCT(--ISNUMBER(SEARCH(","&amp;TRIM(TEXTSPLIT(IK194,","))&amp;",",","&amp;SUBSTITUTE(input_topics," ","")&amp;",")))=COUNTA(TEXTSPLIT(IK194,",")))),IF(IM194="",TRUE,IF(input_topics="",TRUE,SUMPRODUCT(--ISNUMBER(SEARCH(","&amp;TRIM(TEXTSPLIT(IM194,","))&amp;",",","&amp;SUBSTITUTE(input_topics," ","")&amp;",")))=0)),IF(IO194="",TRUE,IF(input_topics="",FALSE,SUMPRODUCT(--ISNUMBER(SEARCH(","&amp;TRIM(TEXTSPLIT(IO194,","))&amp;",",","&amp;SUBSTITUTE(input_topics," ","")&amp;",")))&gt;0)),IF(IQ194="",TRUE,IF(input_topics="",FALSE,SUMPRODUCT(--ISNUMBER(SEARCH(","&amp;TRIM(TEXTSPLIT(IQ194,","))&amp;",",","&amp;SUBSTITUTE(input_topics," ","")&amp;",")))=COUNTA(TEXTSPLIT(IQ194,",")))))</f>
        <v/>
      </c>
    </row>
    <row r="195">
      <c r="A195" s="4">
        <f>IF(NOT(IS195),"Excluded",IF(AND(IT195,IU195,IV195,IW195,IX195,IY195,IZ195,JA195,JB195,JC195,JD195,JE195,JF195,JG195,JH195,JI195,JJ195,JK195,JL195,JM195,JN195,JO195,JP195,JQ195),IF(I195&gt;0,"Eligible but limited","Will appear"),"Excluded"))</f>
        <v/>
      </c>
      <c r="B195" s="4" t="inlineStr">
        <is>
          <t>Related stories on story pages</t>
        </is>
      </c>
      <c r="C195" s="4" t="inlineStr">
        <is>
          <t>/story/2022/developing-entrepreneurial-mindset-through-mam-program</t>
        </is>
      </c>
      <c r="D195" s="4" t="inlineStr">
        <is>
          <t>/story/2022/developing-entrepreneurial-mindset-through-mam-program
/story/2025/crafting-curriculum-gina-aikins-26
/story/2025/crafting-curriculum-jinwoo-cho-26</t>
        </is>
      </c>
      <c r="E195" s="4" t="n">
        <v>9</v>
      </c>
      <c r="F195" s="4" t="inlineStr">
        <is>
          <t>story</t>
        </is>
      </c>
      <c r="G195" s="4" t="inlineStr">
        <is>
          <t>stories_teaser_cards</t>
        </is>
      </c>
      <c r="H195" s="4" t="inlineStr">
        <is>
          <t>embed_all</t>
        </is>
      </c>
      <c r="I195" s="4" t="n">
        <v>3</v>
      </c>
      <c r="J195" s="4" t="inlineStr">
        <is>
          <t>Template logic</t>
        </is>
      </c>
      <c r="K195" s="4" t="inlineStr">
        <is>
          <t>Grouped surface</t>
        </is>
      </c>
      <c r="L195" s="4" t="inlineStr">
        <is>
          <t>Content type: story; Context uses Courses Context: Master of Advanced Management (932); Context uses Story Type: Blog (974); Limited to 3 item(s); Source: Template logic</t>
        </is>
      </c>
      <c r="M195" t="inlineStr"/>
      <c r="N195" t="inlineStr"/>
      <c r="O195" t="inlineStr"/>
      <c r="P195" t="inlineStr"/>
      <c r="Q195" t="inlineStr"/>
      <c r="R195" t="inlineStr"/>
      <c r="S195" t="inlineStr"/>
      <c r="T195" t="inlineStr"/>
      <c r="U195" t="inlineStr"/>
      <c r="V195" t="inlineStr"/>
      <c r="W195" t="inlineStr"/>
      <c r="X195" t="inlineStr"/>
      <c r="Y195" t="inlineStr"/>
      <c r="Z195" t="inlineStr"/>
      <c r="AA195" t="inlineStr"/>
      <c r="AB195" t="inlineStr"/>
      <c r="AC195" t="inlineStr"/>
      <c r="AD195" t="inlineStr"/>
      <c r="AE195" t="inlineStr"/>
      <c r="AF195" t="inlineStr"/>
      <c r="AG195" t="inlineStr"/>
      <c r="AH195" t="inlineStr"/>
      <c r="AI195" t="inlineStr"/>
      <c r="AJ195" t="inlineStr"/>
      <c r="AK195" t="inlineStr"/>
      <c r="AL195" t="inlineStr"/>
      <c r="AM195" t="inlineStr"/>
      <c r="AN195" t="inlineStr"/>
      <c r="AO195" t="inlineStr"/>
      <c r="AP195" t="inlineStr"/>
      <c r="AQ195" t="inlineStr"/>
      <c r="AR195" t="inlineStr"/>
      <c r="AS195" t="inlineStr"/>
      <c r="AT195" t="inlineStr"/>
      <c r="AU195" t="inlineStr"/>
      <c r="AV195" t="inlineStr"/>
      <c r="AW195" t="inlineStr"/>
      <c r="AX195" t="inlineStr"/>
      <c r="AY195" t="inlineStr"/>
      <c r="AZ195" t="inlineStr"/>
      <c r="BA195" t="inlineStr"/>
      <c r="BB195" t="inlineStr"/>
      <c r="BC195" t="inlineStr"/>
      <c r="BD195" t="inlineStr"/>
      <c r="BE195" t="inlineStr"/>
      <c r="BF195" t="inlineStr"/>
      <c r="BG195" t="inlineStr"/>
      <c r="BH195" t="inlineStr"/>
      <c r="BI195" t="inlineStr"/>
      <c r="BJ195" t="inlineStr"/>
      <c r="BK195" t="inlineStr"/>
      <c r="BL195" t="inlineStr"/>
      <c r="BM195" t="inlineStr"/>
      <c r="BN195" t="inlineStr"/>
      <c r="BO195" t="inlineStr"/>
      <c r="BP195" t="inlineStr"/>
      <c r="BQ195" t="inlineStr">
        <is>
          <t>932</t>
        </is>
      </c>
      <c r="BR195" t="inlineStr">
        <is>
          <t>Master of Advanced Management (932)</t>
        </is>
      </c>
      <c r="BS195" t="inlineStr"/>
      <c r="BT195" t="inlineStr"/>
      <c r="BU195" t="inlineStr"/>
      <c r="BV195" t="inlineStr"/>
      <c r="BW195" t="inlineStr"/>
      <c r="BX195" t="inlineStr"/>
      <c r="BY195" t="inlineStr"/>
      <c r="BZ195" t="inlineStr"/>
      <c r="CA195" t="inlineStr"/>
      <c r="CB195" t="inlineStr"/>
      <c r="CC195" t="inlineStr"/>
      <c r="CD195" t="inlineStr"/>
      <c r="CE195" t="inlineStr"/>
      <c r="CF195" t="inlineStr"/>
      <c r="CG195" t="inlineStr"/>
      <c r="CH195" t="inlineStr"/>
      <c r="CI195" t="inlineStr"/>
      <c r="CJ195" t="inlineStr"/>
      <c r="CK195" t="inlineStr"/>
      <c r="CL195" t="inlineStr"/>
      <c r="CM195" t="inlineStr"/>
      <c r="CN195" t="inlineStr"/>
      <c r="CO195" t="inlineStr"/>
      <c r="CP195" t="inlineStr"/>
      <c r="CQ195" t="inlineStr"/>
      <c r="CR195" t="inlineStr"/>
      <c r="CS195" t="inlineStr"/>
      <c r="CT195" t="inlineStr"/>
      <c r="CU195" t="inlineStr"/>
      <c r="CV195" t="inlineStr"/>
      <c r="CW195" t="inlineStr"/>
      <c r="CX195" t="inlineStr"/>
      <c r="CY195" t="inlineStr"/>
      <c r="CZ195" t="inlineStr"/>
      <c r="DA195" t="inlineStr"/>
      <c r="DB195" t="inlineStr"/>
      <c r="DC195" t="inlineStr"/>
      <c r="DD195" t="inlineStr"/>
      <c r="DE195" t="inlineStr"/>
      <c r="DF195" t="inlineStr"/>
      <c r="DG195" t="inlineStr"/>
      <c r="DH195" t="inlineStr"/>
      <c r="DI195" t="inlineStr"/>
      <c r="DJ195" t="inlineStr"/>
      <c r="DK195" t="inlineStr"/>
      <c r="DL195" t="inlineStr"/>
      <c r="DM195" t="inlineStr"/>
      <c r="DN195" t="inlineStr"/>
      <c r="DO195" t="inlineStr"/>
      <c r="DP195" t="inlineStr"/>
      <c r="DQ195" t="inlineStr"/>
      <c r="DR195" t="inlineStr"/>
      <c r="DS195" t="inlineStr"/>
      <c r="DT195" t="inlineStr"/>
      <c r="DU195" t="inlineStr"/>
      <c r="DV195" t="inlineStr"/>
      <c r="DW195" t="inlineStr"/>
      <c r="DX195" t="inlineStr"/>
      <c r="DY195" t="inlineStr"/>
      <c r="DZ195" t="inlineStr"/>
      <c r="EA195" t="inlineStr"/>
      <c r="EB195" t="inlineStr"/>
      <c r="EC195" t="inlineStr"/>
      <c r="ED195" t="inlineStr"/>
      <c r="EE195" t="inlineStr"/>
      <c r="EF195" t="inlineStr"/>
      <c r="EG195" t="inlineStr"/>
      <c r="EH195" t="inlineStr"/>
      <c r="EI195" t="inlineStr"/>
      <c r="EJ195" t="inlineStr"/>
      <c r="EK195" t="inlineStr"/>
      <c r="EL195" t="inlineStr"/>
      <c r="EM195" t="inlineStr"/>
      <c r="EN195" t="inlineStr"/>
      <c r="EO195" t="inlineStr"/>
      <c r="EP195" t="inlineStr"/>
      <c r="EQ195" t="inlineStr"/>
      <c r="ER195" t="inlineStr"/>
      <c r="ES195" t="inlineStr"/>
      <c r="ET195" t="inlineStr"/>
      <c r="EU195" t="inlineStr"/>
      <c r="EV195" t="inlineStr"/>
      <c r="EW195" t="inlineStr"/>
      <c r="EX195" t="inlineStr"/>
      <c r="EY195" t="inlineStr"/>
      <c r="EZ195" t="inlineStr"/>
      <c r="FA195" t="inlineStr"/>
      <c r="FB195" t="inlineStr"/>
      <c r="FC195" t="inlineStr"/>
      <c r="FD195" t="inlineStr"/>
      <c r="FE195" t="inlineStr"/>
      <c r="FF195" t="inlineStr"/>
      <c r="FG195" t="inlineStr"/>
      <c r="FH195" t="inlineStr"/>
      <c r="FI195" t="inlineStr"/>
      <c r="FJ195" t="inlineStr"/>
      <c r="FK195" t="inlineStr"/>
      <c r="FL195" t="inlineStr"/>
      <c r="FM195" t="inlineStr"/>
      <c r="FN195" t="inlineStr"/>
      <c r="FO195" t="inlineStr"/>
      <c r="FP195" t="inlineStr"/>
      <c r="FQ195" t="inlineStr"/>
      <c r="FR195" t="inlineStr"/>
      <c r="FS195" t="inlineStr"/>
      <c r="FT195" t="inlineStr"/>
      <c r="FU195" t="inlineStr"/>
      <c r="FV195" t="inlineStr"/>
      <c r="FW195" t="inlineStr"/>
      <c r="FX195" t="inlineStr"/>
      <c r="FY195" t="inlineStr"/>
      <c r="FZ195" t="inlineStr"/>
      <c r="GA195" t="inlineStr"/>
      <c r="GB195" t="inlineStr"/>
      <c r="GC195" t="inlineStr"/>
      <c r="GD195" t="inlineStr"/>
      <c r="GE195" t="inlineStr"/>
      <c r="GF195" t="inlineStr"/>
      <c r="GG195" t="inlineStr"/>
      <c r="GH195" t="inlineStr"/>
      <c r="GI195" t="inlineStr"/>
      <c r="GJ195" t="inlineStr"/>
      <c r="GK195" t="inlineStr"/>
      <c r="GL195" t="inlineStr"/>
      <c r="GM195" t="inlineStr"/>
      <c r="GN195" t="inlineStr"/>
      <c r="GO195" t="inlineStr"/>
      <c r="GP195" t="inlineStr"/>
      <c r="GQ195" t="inlineStr"/>
      <c r="GR195" t="inlineStr"/>
      <c r="GS195" t="inlineStr"/>
      <c r="GT195" t="inlineStr"/>
      <c r="GU195" t="inlineStr"/>
      <c r="GV195" t="inlineStr"/>
      <c r="GW195" t="inlineStr"/>
      <c r="GX195" t="inlineStr"/>
      <c r="GY195" t="inlineStr"/>
      <c r="GZ195" t="inlineStr"/>
      <c r="HA195" t="inlineStr"/>
      <c r="HB195" t="inlineStr"/>
      <c r="HC195" t="inlineStr"/>
      <c r="HD195" t="inlineStr"/>
      <c r="HE195" t="inlineStr"/>
      <c r="HF195" t="inlineStr"/>
      <c r="HG195" t="inlineStr"/>
      <c r="HH195" t="inlineStr"/>
      <c r="HI195" t="inlineStr"/>
      <c r="HJ195" t="inlineStr"/>
      <c r="HK195" t="inlineStr"/>
      <c r="HL195" t="inlineStr"/>
      <c r="HM195" t="inlineStr"/>
      <c r="HN195" t="inlineStr"/>
      <c r="HO195" t="inlineStr"/>
      <c r="HP195" t="inlineStr"/>
      <c r="HQ195" t="inlineStr"/>
      <c r="HR195" t="inlineStr"/>
      <c r="HS195" t="inlineStr"/>
      <c r="HT195" t="inlineStr"/>
      <c r="HU195" t="inlineStr"/>
      <c r="HV195" t="inlineStr"/>
      <c r="HW195" t="inlineStr"/>
      <c r="HX195" t="inlineStr"/>
      <c r="HY195" t="inlineStr"/>
      <c r="HZ195" t="inlineStr"/>
      <c r="IA195" t="inlineStr"/>
      <c r="IB195" t="inlineStr"/>
      <c r="IC195" t="inlineStr"/>
      <c r="ID195" t="inlineStr"/>
      <c r="IE195" t="inlineStr">
        <is>
          <t>974</t>
        </is>
      </c>
      <c r="IF195" t="inlineStr">
        <is>
          <t>Blog (974)</t>
        </is>
      </c>
      <c r="IG195" t="inlineStr"/>
      <c r="IH195" t="inlineStr"/>
      <c r="II195" t="inlineStr"/>
      <c r="IJ195" t="inlineStr"/>
      <c r="IK195" t="inlineStr"/>
      <c r="IL195" t="inlineStr"/>
      <c r="IM195" t="inlineStr"/>
      <c r="IN195" t="inlineStr"/>
      <c r="IO195" t="inlineStr"/>
      <c r="IP195" t="inlineStr"/>
      <c r="IQ195" t="inlineStr"/>
      <c r="IR195" t="inlineStr"/>
      <c r="IS195">
        <f>IF(input_content_type="",FALSE,ISNUMBER(SEARCH(","&amp;LOWER(input_content_type)&amp;",",","&amp;LOWER(F195)&amp;",")))</f>
        <v/>
      </c>
      <c r="IT195">
        <f>AND(IF(M195="",TRUE,IF(input_affiliations="",FALSE,SUMPRODUCT(--ISNUMBER(SEARCH(","&amp;TRIM(TEXTSPLIT(M195,","))&amp;",",","&amp;SUBSTITUTE(input_affiliations," ","")&amp;",")))&gt;0)),IF(O195="",TRUE,IF(input_affiliations="",FALSE,SUMPRODUCT(--ISNUMBER(SEARCH(","&amp;TRIM(TEXTSPLIT(O195,","))&amp;",",","&amp;SUBSTITUTE(input_affiliations," ","")&amp;",")))=COUNTA(TEXTSPLIT(O195,",")))),IF(Q195="",TRUE,IF(input_affiliations="",TRUE,SUMPRODUCT(--ISNUMBER(SEARCH(","&amp;TRIM(TEXTSPLIT(Q195,","))&amp;",",","&amp;SUBSTITUTE(input_affiliations," ","")&amp;",")))=0)),IF(S195="",TRUE,IF(input_affiliations="",FALSE,SUMPRODUCT(--ISNUMBER(SEARCH(","&amp;TRIM(TEXTSPLIT(S195,","))&amp;",",","&amp;SUBSTITUTE(input_affiliations," ","")&amp;",")))&gt;0)),IF(U195="",TRUE,IF(input_affiliations="",FALSE,SUMPRODUCT(--ISNUMBER(SEARCH(","&amp;TRIM(TEXTSPLIT(U195,","))&amp;",",","&amp;SUBSTITUTE(input_affiliations," ","")&amp;",")))=COUNTA(TEXTSPLIT(U195,",")))))</f>
        <v/>
      </c>
      <c r="IU195">
        <f>AND(IF(W195="",TRUE,IF(input_announcement_category="",FALSE,SUMPRODUCT(--ISNUMBER(SEARCH(","&amp;TRIM(TEXTSPLIT(W195,","))&amp;",",","&amp;SUBSTITUTE(input_announcement_category," ","")&amp;",")))&gt;0)),IF(Y195="",TRUE,IF(input_announcement_category="",FALSE,SUMPRODUCT(--ISNUMBER(SEARCH(","&amp;TRIM(TEXTSPLIT(Y195,","))&amp;",",","&amp;SUBSTITUTE(input_announcement_category," ","")&amp;",")))=COUNTA(TEXTSPLIT(Y195,",")))),IF(AA195="",TRUE,IF(input_announcement_category="",TRUE,SUMPRODUCT(--ISNUMBER(SEARCH(","&amp;TRIM(TEXTSPLIT(AA195,","))&amp;",",","&amp;SUBSTITUTE(input_announcement_category," ","")&amp;",")))=0)),IF(AC195="",TRUE,IF(input_announcement_category="",FALSE,SUMPRODUCT(--ISNUMBER(SEARCH(","&amp;TRIM(TEXTSPLIT(AC195,","))&amp;",",","&amp;SUBSTITUTE(input_announcement_category," ","")&amp;",")))&gt;0)),IF(AE195="",TRUE,IF(input_announcement_category="",FALSE,SUMPRODUCT(--ISNUMBER(SEARCH(","&amp;TRIM(TEXTSPLIT(AE195,","))&amp;",",","&amp;SUBSTITUTE(input_announcement_category," ","")&amp;",")))=COUNTA(TEXTSPLIT(AE195,",")))))</f>
        <v/>
      </c>
      <c r="IV195">
        <f>AND(IF(AG195="",TRUE,IF(input_area_of_focus="",FALSE,SUMPRODUCT(--ISNUMBER(SEARCH(","&amp;TRIM(TEXTSPLIT(AG195,","))&amp;",",","&amp;SUBSTITUTE(input_area_of_focus," ","")&amp;",")))&gt;0)),IF(AI195="",TRUE,IF(input_area_of_focus="",FALSE,SUMPRODUCT(--ISNUMBER(SEARCH(","&amp;TRIM(TEXTSPLIT(AI195,","))&amp;",",","&amp;SUBSTITUTE(input_area_of_focus," ","")&amp;",")))=COUNTA(TEXTSPLIT(AI195,",")))),IF(AK195="",TRUE,IF(input_area_of_focus="",TRUE,SUMPRODUCT(--ISNUMBER(SEARCH(","&amp;TRIM(TEXTSPLIT(AK195,","))&amp;",",","&amp;SUBSTITUTE(input_area_of_focus," ","")&amp;",")))=0)),IF(AM195="",TRUE,IF(input_area_of_focus="",FALSE,SUMPRODUCT(--ISNUMBER(SEARCH(","&amp;TRIM(TEXTSPLIT(AM195,","))&amp;",",","&amp;SUBSTITUTE(input_area_of_focus," ","")&amp;",")))&gt;0)),IF(AO195="",TRUE,IF(input_area_of_focus="",FALSE,SUMPRODUCT(--ISNUMBER(SEARCH(","&amp;TRIM(TEXTSPLIT(AO195,","))&amp;",",","&amp;SUBSTITUTE(input_area_of_focus," ","")&amp;",")))=COUNTA(TEXTSPLIT(AO195,",")))))</f>
        <v/>
      </c>
      <c r="IW195">
        <f>AND(IF(AQ195="",TRUE,IF(input_audience="",FALSE,SUMPRODUCT(--ISNUMBER(SEARCH(","&amp;TRIM(TEXTSPLIT(AQ195,","))&amp;",",","&amp;SUBSTITUTE(input_audience," ","")&amp;",")))&gt;0)),IF(AS195="",TRUE,IF(input_audience="",FALSE,SUMPRODUCT(--ISNUMBER(SEARCH(","&amp;TRIM(TEXTSPLIT(AS195,","))&amp;",",","&amp;SUBSTITUTE(input_audience," ","")&amp;",")))=COUNTA(TEXTSPLIT(AS195,",")))),IF(AU195="",TRUE,IF(input_audience="",TRUE,SUMPRODUCT(--ISNUMBER(SEARCH(","&amp;TRIM(TEXTSPLIT(AU195,","))&amp;",",","&amp;SUBSTITUTE(input_audience," ","")&amp;",")))=0)),IF(AW195="",TRUE,IF(input_audience="",FALSE,SUMPRODUCT(--ISNUMBER(SEARCH(","&amp;TRIM(TEXTSPLIT(AW195,","))&amp;",",","&amp;SUBSTITUTE(input_audience," ","")&amp;",")))&gt;0)),IF(AY195="",TRUE,IF(input_audience="",FALSE,SUMPRODUCT(--ISNUMBER(SEARCH(","&amp;TRIM(TEXTSPLIT(AY195,","))&amp;",",","&amp;SUBSTITUTE(input_audience," ","")&amp;",")))=COUNTA(TEXTSPLIT(AY195,",")))))</f>
        <v/>
      </c>
      <c r="IX195">
        <f>AND(IF(BA195="",TRUE,IF(input_challenge_opportunities="",FALSE,SUMPRODUCT(--ISNUMBER(SEARCH(","&amp;TRIM(TEXTSPLIT(BA195,","))&amp;",",","&amp;SUBSTITUTE(input_challenge_opportunities," ","")&amp;",")))&gt;0)),IF(BC195="",TRUE,IF(input_challenge_opportunities="",FALSE,SUMPRODUCT(--ISNUMBER(SEARCH(","&amp;TRIM(TEXTSPLIT(BC195,","))&amp;",",","&amp;SUBSTITUTE(input_challenge_opportunities," ","")&amp;",")))=COUNTA(TEXTSPLIT(BC195,",")))),IF(BE195="",TRUE,IF(input_challenge_opportunities="",TRUE,SUMPRODUCT(--ISNUMBER(SEARCH(","&amp;TRIM(TEXTSPLIT(BE195,","))&amp;",",","&amp;SUBSTITUTE(input_challenge_opportunities," ","")&amp;",")))=0)),IF(BG195="",TRUE,IF(input_challenge_opportunities="",FALSE,SUMPRODUCT(--ISNUMBER(SEARCH(","&amp;TRIM(TEXTSPLIT(BG195,","))&amp;",",","&amp;SUBSTITUTE(input_challenge_opportunities," ","")&amp;",")))&gt;0)),IF(BI195="",TRUE,IF(input_challenge_opportunities="",FALSE,SUMPRODUCT(--ISNUMBER(SEARCH(","&amp;TRIM(TEXTSPLIT(BI195,","))&amp;",",","&amp;SUBSTITUTE(input_challenge_opportunities," ","")&amp;",")))=COUNTA(TEXTSPLIT(BI195,",")))))</f>
        <v/>
      </c>
      <c r="IY195">
        <f>AND(IF(BK195="",TRUE,IF(input_context="",FALSE,SUMPRODUCT(--ISNUMBER(SEARCH(","&amp;TRIM(TEXTSPLIT(BK195,","))&amp;",",","&amp;SUBSTITUTE(input_context," ","")&amp;",")))&gt;0)),IF(BM195="",TRUE,IF(input_context="",FALSE,SUMPRODUCT(--ISNUMBER(SEARCH(","&amp;TRIM(TEXTSPLIT(BM195,","))&amp;",",","&amp;SUBSTITUTE(input_context," ","")&amp;",")))=COUNTA(TEXTSPLIT(BM195,",")))),IF(BO195="",TRUE,IF(input_context="",TRUE,SUMPRODUCT(--ISNUMBER(SEARCH(","&amp;TRIM(TEXTSPLIT(BO195,","))&amp;",",","&amp;SUBSTITUTE(input_context," ","")&amp;",")))=0)),IF(BQ195="",TRUE,IF(input_context="",FALSE,SUMPRODUCT(--ISNUMBER(SEARCH(","&amp;TRIM(TEXTSPLIT(BQ195,","))&amp;",",","&amp;SUBSTITUTE(input_context," ","")&amp;",")))&gt;0)),IF(BS195="",TRUE,IF(input_context="",FALSE,SUMPRODUCT(--ISNUMBER(SEARCH(","&amp;TRIM(TEXTSPLIT(BS195,","))&amp;",",","&amp;SUBSTITUTE(input_context," ","")&amp;",")))=COUNTA(TEXTSPLIT(BS195,",")))))</f>
        <v/>
      </c>
      <c r="IZ195">
        <f>AND(IF(BU195="",TRUE,IF(input_enews_announcement_type="",FALSE,SUMPRODUCT(--ISNUMBER(SEARCH(","&amp;TRIM(TEXTSPLIT(BU195,","))&amp;",",","&amp;SUBSTITUTE(input_enews_announcement_type," ","")&amp;",")))&gt;0)),IF(BW195="",TRUE,IF(input_enews_announcement_type="",FALSE,SUMPRODUCT(--ISNUMBER(SEARCH(","&amp;TRIM(TEXTSPLIT(BW195,","))&amp;",",","&amp;SUBSTITUTE(input_enews_announcement_type," ","")&amp;",")))=COUNTA(TEXTSPLIT(BW195,",")))),IF(BY195="",TRUE,IF(input_enews_announcement_type="",TRUE,SUMPRODUCT(--ISNUMBER(SEARCH(","&amp;TRIM(TEXTSPLIT(BY195,","))&amp;",",","&amp;SUBSTITUTE(input_enews_announcement_type," ","")&amp;",")))=0)),IF(CA195="",TRUE,IF(input_enews_announcement_type="",FALSE,SUMPRODUCT(--ISNUMBER(SEARCH(","&amp;TRIM(TEXTSPLIT(CA195,","))&amp;",",","&amp;SUBSTITUTE(input_enews_announcement_type," ","")&amp;",")))&gt;0)),IF(CC195="",TRUE,IF(input_enews_announcement_type="",FALSE,SUMPRODUCT(--ISNUMBER(SEARCH(","&amp;TRIM(TEXTSPLIT(CC195,","))&amp;",",","&amp;SUBSTITUTE(input_enews_announcement_type," ","")&amp;",")))=COUNTA(TEXTSPLIT(CC195,",")))))</f>
        <v/>
      </c>
      <c r="JA195">
        <f>AND(IF(CE195="",TRUE,IF(input_enews_audience="",FALSE,SUMPRODUCT(--ISNUMBER(SEARCH(","&amp;TRIM(TEXTSPLIT(CE195,","))&amp;",",","&amp;SUBSTITUTE(input_enews_audience," ","")&amp;",")))&gt;0)),IF(CG195="",TRUE,IF(input_enews_audience="",FALSE,SUMPRODUCT(--ISNUMBER(SEARCH(","&amp;TRIM(TEXTSPLIT(CG195,","))&amp;",",","&amp;SUBSTITUTE(input_enews_audience," ","")&amp;",")))=COUNTA(TEXTSPLIT(CG195,",")))),IF(CI195="",TRUE,IF(input_enews_audience="",TRUE,SUMPRODUCT(--ISNUMBER(SEARCH(","&amp;TRIM(TEXTSPLIT(CI195,","))&amp;",",","&amp;SUBSTITUTE(input_enews_audience," ","")&amp;",")))=0)),IF(CK195="",TRUE,IF(input_enews_audience="",FALSE,SUMPRODUCT(--ISNUMBER(SEARCH(","&amp;TRIM(TEXTSPLIT(CK195,","))&amp;",",","&amp;SUBSTITUTE(input_enews_audience," ","")&amp;",")))&gt;0)),IF(CM195="",TRUE,IF(input_enews_audience="",FALSE,SUMPRODUCT(--ISNUMBER(SEARCH(","&amp;TRIM(TEXTSPLIT(CM195,","))&amp;",",","&amp;SUBSTITUTE(input_enews_audience," ","")&amp;",")))=COUNTA(TEXTSPLIT(CM195,",")))))</f>
        <v/>
      </c>
      <c r="JB195">
        <f>AND(IF(CO195="",TRUE,IF(input_event_location="",FALSE,SUMPRODUCT(--ISNUMBER(SEARCH(","&amp;TRIM(TEXTSPLIT(CO195,","))&amp;",",","&amp;SUBSTITUTE(input_event_location," ","")&amp;",")))&gt;0)),IF(CQ195="",TRUE,IF(input_event_location="",FALSE,SUMPRODUCT(--ISNUMBER(SEARCH(","&amp;TRIM(TEXTSPLIT(CQ195,","))&amp;",",","&amp;SUBSTITUTE(input_event_location," ","")&amp;",")))=COUNTA(TEXTSPLIT(CQ195,",")))),IF(CS195="",TRUE,IF(input_event_location="",TRUE,SUMPRODUCT(--ISNUMBER(SEARCH(","&amp;TRIM(TEXTSPLIT(CS195,","))&amp;",",","&amp;SUBSTITUTE(input_event_location," ","")&amp;",")))=0)),IF(CU195="",TRUE,IF(input_event_location="",FALSE,SUMPRODUCT(--ISNUMBER(SEARCH(","&amp;TRIM(TEXTSPLIT(CU195,","))&amp;",",","&amp;SUBSTITUTE(input_event_location," ","")&amp;",")))&gt;0)),IF(CW195="",TRUE,IF(input_event_location="",FALSE,SUMPRODUCT(--ISNUMBER(SEARCH(","&amp;TRIM(TEXTSPLIT(CW195,","))&amp;",",","&amp;SUBSTITUTE(input_event_location," ","")&amp;",")))=COUNTA(TEXTSPLIT(CW195,",")))))</f>
        <v/>
      </c>
      <c r="JC195">
        <f>AND(IF(CY195="",TRUE,IF(input_event_type="",FALSE,SUMPRODUCT(--ISNUMBER(SEARCH(","&amp;TRIM(TEXTSPLIT(CY195,","))&amp;",",","&amp;SUBSTITUTE(input_event_type," ","")&amp;",")))&gt;0)),IF(DA195="",TRUE,IF(input_event_type="",FALSE,SUMPRODUCT(--ISNUMBER(SEARCH(","&amp;TRIM(TEXTSPLIT(DA195,","))&amp;",",","&amp;SUBSTITUTE(input_event_type," ","")&amp;",")))=COUNTA(TEXTSPLIT(DA195,",")))),IF(DC195="",TRUE,IF(input_event_type="",TRUE,SUMPRODUCT(--ISNUMBER(SEARCH(","&amp;TRIM(TEXTSPLIT(DC195,","))&amp;",",","&amp;SUBSTITUTE(input_event_type," ","")&amp;",")))=0)),IF(DE195="",TRUE,IF(input_event_type="",FALSE,SUMPRODUCT(--ISNUMBER(SEARCH(","&amp;TRIM(TEXTSPLIT(DE195,","))&amp;",",","&amp;SUBSTITUTE(input_event_type," ","")&amp;",")))&gt;0)),IF(DG195="",TRUE,IF(input_event_type="",FALSE,SUMPRODUCT(--ISNUMBER(SEARCH(","&amp;TRIM(TEXTSPLIT(DG195,","))&amp;",",","&amp;SUBSTITUTE(input_event_type," ","")&amp;",")))=COUNTA(TEXTSPLIT(DG195,",")))))</f>
        <v/>
      </c>
      <c r="JD195">
        <f>AND(IF(DI195="",TRUE,IF(input_executive_education_focus="",FALSE,SUMPRODUCT(--ISNUMBER(SEARCH(","&amp;TRIM(TEXTSPLIT(DI195,","))&amp;",",","&amp;SUBSTITUTE(input_executive_education_focus," ","")&amp;",")))&gt;0)),IF(DK195="",TRUE,IF(input_executive_education_focus="",FALSE,SUMPRODUCT(--ISNUMBER(SEARCH(","&amp;TRIM(TEXTSPLIT(DK195,","))&amp;",",","&amp;SUBSTITUTE(input_executive_education_focus," ","")&amp;",")))=COUNTA(TEXTSPLIT(DK195,",")))),IF(DM195="",TRUE,IF(input_executive_education_focus="",TRUE,SUMPRODUCT(--ISNUMBER(SEARCH(","&amp;TRIM(TEXTSPLIT(DM195,","))&amp;",",","&amp;SUBSTITUTE(input_executive_education_focus," ","")&amp;",")))=0)),IF(DO195="",TRUE,IF(input_executive_education_focus="",FALSE,SUMPRODUCT(--ISNUMBER(SEARCH(","&amp;TRIM(TEXTSPLIT(DO195,","))&amp;",",","&amp;SUBSTITUTE(input_executive_education_focus," ","")&amp;",")))&gt;0)),IF(DQ195="",TRUE,IF(input_executive_education_focus="",FALSE,SUMPRODUCT(--ISNUMBER(SEARCH(","&amp;TRIM(TEXTSPLIT(DQ195,","))&amp;",",","&amp;SUBSTITUTE(input_executive_education_focus," ","")&amp;",")))=COUNTA(TEXTSPLIT(DQ195,",")))))</f>
        <v/>
      </c>
      <c r="JE195">
        <f>AND(IF(DS195="",TRUE,IF(input_faculty_category="",FALSE,SUMPRODUCT(--ISNUMBER(SEARCH(","&amp;TRIM(TEXTSPLIT(DS195,","))&amp;",",","&amp;SUBSTITUTE(input_faculty_category," ","")&amp;",")))&gt;0)),IF(DU195="",TRUE,IF(input_faculty_category="",FALSE,SUMPRODUCT(--ISNUMBER(SEARCH(","&amp;TRIM(TEXTSPLIT(DU195,","))&amp;",",","&amp;SUBSTITUTE(input_faculty_category," ","")&amp;",")))=COUNTA(TEXTSPLIT(DU195,",")))),IF(DW195="",TRUE,IF(input_faculty_category="",TRUE,SUMPRODUCT(--ISNUMBER(SEARCH(","&amp;TRIM(TEXTSPLIT(DW195,","))&amp;",",","&amp;SUBSTITUTE(input_faculty_category," ","")&amp;",")))=0)),IF(DY195="",TRUE,IF(input_faculty_category="",FALSE,SUMPRODUCT(--ISNUMBER(SEARCH(","&amp;TRIM(TEXTSPLIT(DY195,","))&amp;",",","&amp;SUBSTITUTE(input_faculty_category," ","")&amp;",")))&gt;0)),IF(EA195="",TRUE,IF(input_faculty_category="",FALSE,SUMPRODUCT(--ISNUMBER(SEARCH(","&amp;TRIM(TEXTSPLIT(EA195,","))&amp;",",","&amp;SUBSTITUTE(input_faculty_category," ","")&amp;",")))=COUNTA(TEXTSPLIT(EA195,",")))))</f>
        <v/>
      </c>
      <c r="JF195">
        <f>AND(IF(EC195="",TRUE,IF(input_faculty_discipline="",FALSE,SUMPRODUCT(--ISNUMBER(SEARCH(","&amp;TRIM(TEXTSPLIT(EC195,","))&amp;",",","&amp;SUBSTITUTE(input_faculty_discipline," ","")&amp;",")))&gt;0)),IF(EE195="",TRUE,IF(input_faculty_discipline="",FALSE,SUMPRODUCT(--ISNUMBER(SEARCH(","&amp;TRIM(TEXTSPLIT(EE195,","))&amp;",",","&amp;SUBSTITUTE(input_faculty_discipline," ","")&amp;",")))=COUNTA(TEXTSPLIT(EE195,",")))),IF(EG195="",TRUE,IF(input_faculty_discipline="",TRUE,SUMPRODUCT(--ISNUMBER(SEARCH(","&amp;TRIM(TEXTSPLIT(EG195,","))&amp;",",","&amp;SUBSTITUTE(input_faculty_discipline," ","")&amp;",")))=0)),IF(EI195="",TRUE,IF(input_faculty_discipline="",FALSE,SUMPRODUCT(--ISNUMBER(SEARCH(","&amp;TRIM(TEXTSPLIT(EI195,","))&amp;",",","&amp;SUBSTITUTE(input_faculty_discipline," ","")&amp;",")))&gt;0)),IF(EK195="",TRUE,IF(input_faculty_discipline="",FALSE,SUMPRODUCT(--ISNUMBER(SEARCH(","&amp;TRIM(TEXTSPLIT(EK195,","))&amp;",",","&amp;SUBSTITUTE(input_faculty_discipline," ","")&amp;",")))=COUNTA(TEXTSPLIT(EK195,",")))))</f>
        <v/>
      </c>
      <c r="JG195">
        <f>AND(IF(EM195="",TRUE,IF(input_faculty_expertise="",FALSE,SUMPRODUCT(--ISNUMBER(SEARCH(","&amp;TRIM(TEXTSPLIT(EM195,","))&amp;",",","&amp;SUBSTITUTE(input_faculty_expertise," ","")&amp;",")))&gt;0)),IF(EO195="",TRUE,IF(input_faculty_expertise="",FALSE,SUMPRODUCT(--ISNUMBER(SEARCH(","&amp;TRIM(TEXTSPLIT(EO195,","))&amp;",",","&amp;SUBSTITUTE(input_faculty_expertise," ","")&amp;",")))=COUNTA(TEXTSPLIT(EO195,",")))),IF(EQ195="",TRUE,IF(input_faculty_expertise="",TRUE,SUMPRODUCT(--ISNUMBER(SEARCH(","&amp;TRIM(TEXTSPLIT(EQ195,","))&amp;",",","&amp;SUBSTITUTE(input_faculty_expertise," ","")&amp;",")))=0)),IF(ES195="",TRUE,IF(input_faculty_expertise="",FALSE,SUMPRODUCT(--ISNUMBER(SEARCH(","&amp;TRIM(TEXTSPLIT(ES195,","))&amp;",",","&amp;SUBSTITUTE(input_faculty_expertise," ","")&amp;",")))&gt;0)),IF(EU195="",TRUE,IF(input_faculty_expertise="",FALSE,SUMPRODUCT(--ISNUMBER(SEARCH(","&amp;TRIM(TEXTSPLIT(EU195,","))&amp;",",","&amp;SUBSTITUTE(input_faculty_expertise," ","")&amp;",")))=COUNTA(TEXTSPLIT(EU195,",")))))</f>
        <v/>
      </c>
      <c r="JH195">
        <f>AND(IF(EW195="",TRUE,IF(input_global_network_school="",FALSE,SUMPRODUCT(--ISNUMBER(SEARCH(","&amp;TRIM(TEXTSPLIT(EW195,","))&amp;",",","&amp;SUBSTITUTE(input_global_network_school," ","")&amp;",")))&gt;0)),IF(EY195="",TRUE,IF(input_global_network_school="",FALSE,SUMPRODUCT(--ISNUMBER(SEARCH(","&amp;TRIM(TEXTSPLIT(EY195,","))&amp;",",","&amp;SUBSTITUTE(input_global_network_school," ","")&amp;",")))=COUNTA(TEXTSPLIT(EY195,",")))),IF(FA195="",TRUE,IF(input_global_network_school="",TRUE,SUMPRODUCT(--ISNUMBER(SEARCH(","&amp;TRIM(TEXTSPLIT(FA195,","))&amp;",",","&amp;SUBSTITUTE(input_global_network_school," ","")&amp;",")))=0)),IF(FC195="",TRUE,IF(input_global_network_school="",FALSE,SUMPRODUCT(--ISNUMBER(SEARCH(","&amp;TRIM(TEXTSPLIT(FC195,","))&amp;",",","&amp;SUBSTITUTE(input_global_network_school," ","")&amp;",")))&gt;0)),IF(FE195="",TRUE,IF(input_global_network_school="",FALSE,SUMPRODUCT(--ISNUMBER(SEARCH(","&amp;TRIM(TEXTSPLIT(FE195,","))&amp;",",","&amp;SUBSTITUTE(input_global_network_school," ","")&amp;",")))=COUNTA(TEXTSPLIT(FE195,",")))))</f>
        <v/>
      </c>
      <c r="JI195">
        <f>AND(IF(FG195="",TRUE,IF(input_industry="",FALSE,SUMPRODUCT(--ISNUMBER(SEARCH(","&amp;TRIM(TEXTSPLIT(FG195,","))&amp;",",","&amp;SUBSTITUTE(input_industry," ","")&amp;",")))&gt;0)),IF(FI195="",TRUE,IF(input_industry="",FALSE,SUMPRODUCT(--ISNUMBER(SEARCH(","&amp;TRIM(TEXTSPLIT(FI195,","))&amp;",",","&amp;SUBSTITUTE(input_industry," ","")&amp;",")))=COUNTA(TEXTSPLIT(FI195,",")))),IF(FK195="",TRUE,IF(input_industry="",TRUE,SUMPRODUCT(--ISNUMBER(SEARCH(","&amp;TRIM(TEXTSPLIT(FK195,","))&amp;",",","&amp;SUBSTITUTE(input_industry," ","")&amp;",")))=0)),IF(FM195="",TRUE,IF(input_industry="",FALSE,SUMPRODUCT(--ISNUMBER(SEARCH(","&amp;TRIM(TEXTSPLIT(FM195,","))&amp;",",","&amp;SUBSTITUTE(input_industry," ","")&amp;",")))&gt;0)),IF(FO195="",TRUE,IF(input_industry="",FALSE,SUMPRODUCT(--ISNUMBER(SEARCH(","&amp;TRIM(TEXTSPLIT(FO195,","))&amp;",",","&amp;SUBSTITUTE(input_industry," ","")&amp;",")))=COUNTA(TEXTSPLIT(FO195,",")))))</f>
        <v/>
      </c>
      <c r="JJ195">
        <f>AND(IF(FQ195="",TRUE,IF(input_location="",FALSE,SUMPRODUCT(--ISNUMBER(SEARCH(","&amp;TRIM(TEXTSPLIT(FQ195,","))&amp;",",","&amp;SUBSTITUTE(input_location," ","")&amp;",")))&gt;0)),IF(FS195="",TRUE,IF(input_location="",FALSE,SUMPRODUCT(--ISNUMBER(SEARCH(","&amp;TRIM(TEXTSPLIT(FS195,","))&amp;",",","&amp;SUBSTITUTE(input_location," ","")&amp;",")))=COUNTA(TEXTSPLIT(FS195,",")))),IF(FU195="",TRUE,IF(input_location="",TRUE,SUMPRODUCT(--ISNUMBER(SEARCH(","&amp;TRIM(TEXTSPLIT(FU195,","))&amp;",",","&amp;SUBSTITUTE(input_location," ","")&amp;",")))=0)),IF(FW195="",TRUE,IF(input_location="",FALSE,SUMPRODUCT(--ISNUMBER(SEARCH(","&amp;TRIM(TEXTSPLIT(FW195,","))&amp;",",","&amp;SUBSTITUTE(input_location," ","")&amp;",")))&gt;0)),IF(FY195="",TRUE,IF(input_location="",FALSE,SUMPRODUCT(--ISNUMBER(SEARCH(","&amp;TRIM(TEXTSPLIT(FY195,","))&amp;",",","&amp;SUBSTITUTE(input_location," ","")&amp;",")))=COUNTA(TEXTSPLIT(FY195,",")))))</f>
        <v/>
      </c>
      <c r="JK195">
        <f>AND(IF(GA195="",TRUE,IF(input_modality="",FALSE,SUMPRODUCT(--ISNUMBER(SEARCH(","&amp;TRIM(TEXTSPLIT(GA195,","))&amp;",",","&amp;SUBSTITUTE(input_modality," ","")&amp;",")))&gt;0)),IF(GC195="",TRUE,IF(input_modality="",FALSE,SUMPRODUCT(--ISNUMBER(SEARCH(","&amp;TRIM(TEXTSPLIT(GC195,","))&amp;",",","&amp;SUBSTITUTE(input_modality," ","")&amp;",")))=COUNTA(TEXTSPLIT(GC195,",")))),IF(GE195="",TRUE,IF(input_modality="",TRUE,SUMPRODUCT(--ISNUMBER(SEARCH(","&amp;TRIM(TEXTSPLIT(GE195,","))&amp;",",","&amp;SUBSTITUTE(input_modality," ","")&amp;",")))=0)),IF(GG195="",TRUE,IF(input_modality="",FALSE,SUMPRODUCT(--ISNUMBER(SEARCH(","&amp;TRIM(TEXTSPLIT(GG195,","))&amp;",",","&amp;SUBSTITUTE(input_modality," ","")&amp;",")))&gt;0)),IF(GI195="",TRUE,IF(input_modality="",FALSE,SUMPRODUCT(--ISNUMBER(SEARCH(","&amp;TRIM(TEXTSPLIT(GI195,","))&amp;",",","&amp;SUBSTITUTE(input_modality," ","")&amp;",")))=COUNTA(TEXTSPLIT(GI195,",")))))</f>
        <v/>
      </c>
      <c r="JL195">
        <f>AND(IF(GK195="",TRUE,IF(input_organizer="",FALSE,SUMPRODUCT(--ISNUMBER(SEARCH(","&amp;TRIM(TEXTSPLIT(GK195,","))&amp;",",","&amp;SUBSTITUTE(input_organizer," ","")&amp;",")))&gt;0)),IF(GM195="",TRUE,IF(input_organizer="",FALSE,SUMPRODUCT(--ISNUMBER(SEARCH(","&amp;TRIM(TEXTSPLIT(GM195,","))&amp;",",","&amp;SUBSTITUTE(input_organizer," ","")&amp;",")))=COUNTA(TEXTSPLIT(GM195,",")))),IF(GO195="",TRUE,IF(input_organizer="",TRUE,SUMPRODUCT(--ISNUMBER(SEARCH(","&amp;TRIM(TEXTSPLIT(GO195,","))&amp;",",","&amp;SUBSTITUTE(input_organizer," ","")&amp;",")))=0)),IF(GQ195="",TRUE,IF(input_organizer="",FALSE,SUMPRODUCT(--ISNUMBER(SEARCH(","&amp;TRIM(TEXTSPLIT(GQ195,","))&amp;",",","&amp;SUBSTITUTE(input_organizer," ","")&amp;",")))&gt;0)),IF(GS195="",TRUE,IF(input_organizer="",FALSE,SUMPRODUCT(--ISNUMBER(SEARCH(","&amp;TRIM(TEXTSPLIT(GS195,","))&amp;",",","&amp;SUBSTITUTE(input_organizer," ","")&amp;",")))=COUNTA(TEXTSPLIT(GS195,",")))))</f>
        <v/>
      </c>
      <c r="JM195">
        <f>AND(IF(GU195="",TRUE,IF(input_profile_type="",FALSE,SUMPRODUCT(--ISNUMBER(SEARCH(","&amp;TRIM(TEXTSPLIT(GU195,","))&amp;",",","&amp;SUBSTITUTE(input_profile_type," ","")&amp;",")))&gt;0)),IF(GW195="",TRUE,IF(input_profile_type="",FALSE,SUMPRODUCT(--ISNUMBER(SEARCH(","&amp;TRIM(TEXTSPLIT(GW195,","))&amp;",",","&amp;SUBSTITUTE(input_profile_type," ","")&amp;",")))=COUNTA(TEXTSPLIT(GW195,",")))),IF(GY195="",TRUE,IF(input_profile_type="",TRUE,SUMPRODUCT(--ISNUMBER(SEARCH(","&amp;TRIM(TEXTSPLIT(GY195,","))&amp;",",","&amp;SUBSTITUTE(input_profile_type," ","")&amp;",")))=0)),IF(HA195="",TRUE,IF(input_profile_type="",FALSE,SUMPRODUCT(--ISNUMBER(SEARCH(","&amp;TRIM(TEXTSPLIT(HA195,","))&amp;",",","&amp;SUBSTITUTE(input_profile_type," ","")&amp;",")))&gt;0)),IF(HC195="",TRUE,IF(input_profile_type="",FALSE,SUMPRODUCT(--ISNUMBER(SEARCH(","&amp;TRIM(TEXTSPLIT(HC195,","))&amp;",",","&amp;SUBSTITUTE(input_profile_type," ","")&amp;",")))=COUNTA(TEXTSPLIT(HC195,",")))))</f>
        <v/>
      </c>
      <c r="JN195">
        <f>AND(IF(HE195="",TRUE,IF(input_program="",FALSE,SUMPRODUCT(--ISNUMBER(SEARCH(","&amp;TRIM(TEXTSPLIT(HE195,","))&amp;",",","&amp;SUBSTITUTE(input_program," ","")&amp;",")))&gt;0)),IF(HG195="",TRUE,IF(input_program="",FALSE,SUMPRODUCT(--ISNUMBER(SEARCH(","&amp;TRIM(TEXTSPLIT(HG195,","))&amp;",",","&amp;SUBSTITUTE(input_program," ","")&amp;",")))=COUNTA(TEXTSPLIT(HG195,",")))),IF(HI195="",TRUE,IF(input_program="",TRUE,SUMPRODUCT(--ISNUMBER(SEARCH(","&amp;TRIM(TEXTSPLIT(HI195,","))&amp;",",","&amp;SUBSTITUTE(input_program," ","")&amp;",")))=0)),IF(HK195="",TRUE,IF(input_program="",FALSE,SUMPRODUCT(--ISNUMBER(SEARCH(","&amp;TRIM(TEXTSPLIT(HK195,","))&amp;",",","&amp;SUBSTITUTE(input_program," ","")&amp;",")))&gt;0)),IF(HM195="",TRUE,IF(input_program="",FALSE,SUMPRODUCT(--ISNUMBER(SEARCH(","&amp;TRIM(TEXTSPLIT(HM195,","))&amp;",",","&amp;SUBSTITUTE(input_program," ","")&amp;",")))=COUNTA(TEXTSPLIT(HM195,",")))))</f>
        <v/>
      </c>
      <c r="JO195">
        <f>AND(IF(HO195="",TRUE,IF(input_story_categories="",FALSE,SUMPRODUCT(--ISNUMBER(SEARCH(","&amp;TRIM(TEXTSPLIT(HO195,","))&amp;",",","&amp;SUBSTITUTE(input_story_categories," ","")&amp;",")))&gt;0)),IF(HQ195="",TRUE,IF(input_story_categories="",FALSE,SUMPRODUCT(--ISNUMBER(SEARCH(","&amp;TRIM(TEXTSPLIT(HQ195,","))&amp;",",","&amp;SUBSTITUTE(input_story_categories," ","")&amp;",")))=COUNTA(TEXTSPLIT(HQ195,",")))),IF(HS195="",TRUE,IF(input_story_categories="",TRUE,SUMPRODUCT(--ISNUMBER(SEARCH(","&amp;TRIM(TEXTSPLIT(HS195,","))&amp;",",","&amp;SUBSTITUTE(input_story_categories," ","")&amp;",")))=0)),IF(HU195="",TRUE,IF(input_story_categories="",FALSE,SUMPRODUCT(--ISNUMBER(SEARCH(","&amp;TRIM(TEXTSPLIT(HU195,","))&amp;",",","&amp;SUBSTITUTE(input_story_categories," ","")&amp;",")))&gt;0)),IF(HW195="",TRUE,IF(input_story_categories="",FALSE,SUMPRODUCT(--ISNUMBER(SEARCH(","&amp;TRIM(TEXTSPLIT(HW195,","))&amp;",",","&amp;SUBSTITUTE(input_story_categories," ","")&amp;",")))=COUNTA(TEXTSPLIT(HW195,",")))))</f>
        <v/>
      </c>
      <c r="JP195">
        <f>AND(IF(HY195="",TRUE,IF(input_story_type="",FALSE,SUMPRODUCT(--ISNUMBER(SEARCH(","&amp;TRIM(TEXTSPLIT(HY195,","))&amp;",",","&amp;SUBSTITUTE(input_story_type," ","")&amp;",")))&gt;0)),IF(IA195="",TRUE,IF(input_story_type="",FALSE,SUMPRODUCT(--ISNUMBER(SEARCH(","&amp;TRIM(TEXTSPLIT(IA195,","))&amp;",",","&amp;SUBSTITUTE(input_story_type," ","")&amp;",")))=COUNTA(TEXTSPLIT(IA195,",")))),IF(IC195="",TRUE,IF(input_story_type="",TRUE,SUMPRODUCT(--ISNUMBER(SEARCH(","&amp;TRIM(TEXTSPLIT(IC195,","))&amp;",",","&amp;SUBSTITUTE(input_story_type," ","")&amp;",")))=0)),IF(IE195="",TRUE,IF(input_story_type="",FALSE,SUMPRODUCT(--ISNUMBER(SEARCH(","&amp;TRIM(TEXTSPLIT(IE195,","))&amp;",",","&amp;SUBSTITUTE(input_story_type," ","")&amp;",")))&gt;0)),IF(IG195="",TRUE,IF(input_story_type="",FALSE,SUMPRODUCT(--ISNUMBER(SEARCH(","&amp;TRIM(TEXTSPLIT(IG195,","))&amp;",",","&amp;SUBSTITUTE(input_story_type," ","")&amp;",")))=COUNTA(TEXTSPLIT(IG195,",")))))</f>
        <v/>
      </c>
      <c r="JQ195">
        <f>AND(IF(II195="",TRUE,IF(input_topics="",FALSE,SUMPRODUCT(--ISNUMBER(SEARCH(","&amp;TRIM(TEXTSPLIT(II195,","))&amp;",",","&amp;SUBSTITUTE(input_topics," ","")&amp;",")))&gt;0)),IF(IK195="",TRUE,IF(input_topics="",FALSE,SUMPRODUCT(--ISNUMBER(SEARCH(","&amp;TRIM(TEXTSPLIT(IK195,","))&amp;",",","&amp;SUBSTITUTE(input_topics," ","")&amp;",")))=COUNTA(TEXTSPLIT(IK195,",")))),IF(IM195="",TRUE,IF(input_topics="",TRUE,SUMPRODUCT(--ISNUMBER(SEARCH(","&amp;TRIM(TEXTSPLIT(IM195,","))&amp;",",","&amp;SUBSTITUTE(input_topics," ","")&amp;",")))=0)),IF(IO195="",TRUE,IF(input_topics="",FALSE,SUMPRODUCT(--ISNUMBER(SEARCH(","&amp;TRIM(TEXTSPLIT(IO195,","))&amp;",",","&amp;SUBSTITUTE(input_topics," ","")&amp;",")))&gt;0)),IF(IQ195="",TRUE,IF(input_topics="",FALSE,SUMPRODUCT(--ISNUMBER(SEARCH(","&amp;TRIM(TEXTSPLIT(IQ195,","))&amp;",",","&amp;SUBSTITUTE(input_topics," ","")&amp;",")))=COUNTA(TEXTSPLIT(IQ195,",")))))</f>
        <v/>
      </c>
    </row>
    <row r="196">
      <c r="A196" s="4">
        <f>IF(NOT(IS196),"Excluded",IF(AND(IT196,IU196,IV196,IW196,IX196,IY196,IZ196,JA196,JB196,JC196,JD196,JE196,JF196,JG196,JH196,JI196,JJ196,JK196,JL196,JM196,JN196,JO196,JP196,JQ196),IF(I196&gt;0,"Eligible but limited","Will appear"),"Excluded"))</f>
        <v/>
      </c>
      <c r="B196" s="4" t="inlineStr">
        <is>
          <t>Related stories on story pages</t>
        </is>
      </c>
      <c r="C196" s="4" t="inlineStr">
        <is>
          <t>/story/2022/nonprofit-board-service-gives-students-chance-impact-new-haven-community</t>
        </is>
      </c>
      <c r="D196" s="4" t="inlineStr">
        <is>
          <t>/story/2022/nonprofit-board-service-gives-students-chance-impact-new-haven-community
/story/2024/yale-som-launches-inclusive-growth-fellowship-program
/story/2025/first-connecticut-business-deans-summit-draws-leaders-across-state</t>
        </is>
      </c>
      <c r="E196" s="4" t="n">
        <v>4</v>
      </c>
      <c r="F196" s="4" t="inlineStr">
        <is>
          <t>story</t>
        </is>
      </c>
      <c r="G196" s="4" t="inlineStr">
        <is>
          <t>stories_teaser_cards</t>
        </is>
      </c>
      <c r="H196" s="4" t="inlineStr">
        <is>
          <t>embed_all</t>
        </is>
      </c>
      <c r="I196" s="4" t="n">
        <v>3</v>
      </c>
      <c r="J196" s="4" t="inlineStr">
        <is>
          <t>Template logic</t>
        </is>
      </c>
      <c r="K196" s="4" t="inlineStr">
        <is>
          <t>Grouped surface</t>
        </is>
      </c>
      <c r="L196" s="4" t="inlineStr">
        <is>
          <t>Content type: story; Context uses Courses Context: New Haven (1146); Context uses Story Type: News (924); Limited to 3 item(s); Source: Template logic</t>
        </is>
      </c>
      <c r="M196" t="inlineStr"/>
      <c r="N196" t="inlineStr"/>
      <c r="O196" t="inlineStr"/>
      <c r="P196" t="inlineStr"/>
      <c r="Q196" t="inlineStr"/>
      <c r="R196" t="inlineStr"/>
      <c r="S196" t="inlineStr"/>
      <c r="T196" t="inlineStr"/>
      <c r="U196" t="inlineStr"/>
      <c r="V196" t="inlineStr"/>
      <c r="W196" t="inlineStr"/>
      <c r="X196" t="inlineStr"/>
      <c r="Y196" t="inlineStr"/>
      <c r="Z196" t="inlineStr"/>
      <c r="AA196" t="inlineStr"/>
      <c r="AB196" t="inlineStr"/>
      <c r="AC196" t="inlineStr"/>
      <c r="AD196" t="inlineStr"/>
      <c r="AE196" t="inlineStr"/>
      <c r="AF196" t="inlineStr"/>
      <c r="AG196" t="inlineStr"/>
      <c r="AH196" t="inlineStr"/>
      <c r="AI196" t="inlineStr"/>
      <c r="AJ196" t="inlineStr"/>
      <c r="AK196" t="inlineStr"/>
      <c r="AL196" t="inlineStr"/>
      <c r="AM196" t="inlineStr"/>
      <c r="AN196" t="inlineStr"/>
      <c r="AO196" t="inlineStr"/>
      <c r="AP196" t="inlineStr"/>
      <c r="AQ196" t="inlineStr"/>
      <c r="AR196" t="inlineStr"/>
      <c r="AS196" t="inlineStr"/>
      <c r="AT196" t="inlineStr"/>
      <c r="AU196" t="inlineStr"/>
      <c r="AV196" t="inlineStr"/>
      <c r="AW196" t="inlineStr"/>
      <c r="AX196" t="inlineStr"/>
      <c r="AY196" t="inlineStr"/>
      <c r="AZ196" t="inlineStr"/>
      <c r="BA196" t="inlineStr"/>
      <c r="BB196" t="inlineStr"/>
      <c r="BC196" t="inlineStr"/>
      <c r="BD196" t="inlineStr"/>
      <c r="BE196" t="inlineStr"/>
      <c r="BF196" t="inlineStr"/>
      <c r="BG196" t="inlineStr"/>
      <c r="BH196" t="inlineStr"/>
      <c r="BI196" t="inlineStr"/>
      <c r="BJ196" t="inlineStr"/>
      <c r="BK196" t="inlineStr"/>
      <c r="BL196" t="inlineStr"/>
      <c r="BM196" t="inlineStr"/>
      <c r="BN196" t="inlineStr"/>
      <c r="BO196" t="inlineStr"/>
      <c r="BP196" t="inlineStr"/>
      <c r="BQ196" t="inlineStr">
        <is>
          <t>1146</t>
        </is>
      </c>
      <c r="BR196" t="inlineStr">
        <is>
          <t>New Haven (1146)</t>
        </is>
      </c>
      <c r="BS196" t="inlineStr"/>
      <c r="BT196" t="inlineStr"/>
      <c r="BU196" t="inlineStr"/>
      <c r="BV196" t="inlineStr"/>
      <c r="BW196" t="inlineStr"/>
      <c r="BX196" t="inlineStr"/>
      <c r="BY196" t="inlineStr"/>
      <c r="BZ196" t="inlineStr"/>
      <c r="CA196" t="inlineStr"/>
      <c r="CB196" t="inlineStr"/>
      <c r="CC196" t="inlineStr"/>
      <c r="CD196" t="inlineStr"/>
      <c r="CE196" t="inlineStr"/>
      <c r="CF196" t="inlineStr"/>
      <c r="CG196" t="inlineStr"/>
      <c r="CH196" t="inlineStr"/>
      <c r="CI196" t="inlineStr"/>
      <c r="CJ196" t="inlineStr"/>
      <c r="CK196" t="inlineStr"/>
      <c r="CL196" t="inlineStr"/>
      <c r="CM196" t="inlineStr"/>
      <c r="CN196" t="inlineStr"/>
      <c r="CO196" t="inlineStr"/>
      <c r="CP196" t="inlineStr"/>
      <c r="CQ196" t="inlineStr"/>
      <c r="CR196" t="inlineStr"/>
      <c r="CS196" t="inlineStr"/>
      <c r="CT196" t="inlineStr"/>
      <c r="CU196" t="inlineStr"/>
      <c r="CV196" t="inlineStr"/>
      <c r="CW196" t="inlineStr"/>
      <c r="CX196" t="inlineStr"/>
      <c r="CY196" t="inlineStr"/>
      <c r="CZ196" t="inlineStr"/>
      <c r="DA196" t="inlineStr"/>
      <c r="DB196" t="inlineStr"/>
      <c r="DC196" t="inlineStr"/>
      <c r="DD196" t="inlineStr"/>
      <c r="DE196" t="inlineStr"/>
      <c r="DF196" t="inlineStr"/>
      <c r="DG196" t="inlineStr"/>
      <c r="DH196" t="inlineStr"/>
      <c r="DI196" t="inlineStr"/>
      <c r="DJ196" t="inlineStr"/>
      <c r="DK196" t="inlineStr"/>
      <c r="DL196" t="inlineStr"/>
      <c r="DM196" t="inlineStr"/>
      <c r="DN196" t="inlineStr"/>
      <c r="DO196" t="inlineStr"/>
      <c r="DP196" t="inlineStr"/>
      <c r="DQ196" t="inlineStr"/>
      <c r="DR196" t="inlineStr"/>
      <c r="DS196" t="inlineStr"/>
      <c r="DT196" t="inlineStr"/>
      <c r="DU196" t="inlineStr"/>
      <c r="DV196" t="inlineStr"/>
      <c r="DW196" t="inlineStr"/>
      <c r="DX196" t="inlineStr"/>
      <c r="DY196" t="inlineStr"/>
      <c r="DZ196" t="inlineStr"/>
      <c r="EA196" t="inlineStr"/>
      <c r="EB196" t="inlineStr"/>
      <c r="EC196" t="inlineStr"/>
      <c r="ED196" t="inlineStr"/>
      <c r="EE196" t="inlineStr"/>
      <c r="EF196" t="inlineStr"/>
      <c r="EG196" t="inlineStr"/>
      <c r="EH196" t="inlineStr"/>
      <c r="EI196" t="inlineStr"/>
      <c r="EJ196" t="inlineStr"/>
      <c r="EK196" t="inlineStr"/>
      <c r="EL196" t="inlineStr"/>
      <c r="EM196" t="inlineStr"/>
      <c r="EN196" t="inlineStr"/>
      <c r="EO196" t="inlineStr"/>
      <c r="EP196" t="inlineStr"/>
      <c r="EQ196" t="inlineStr"/>
      <c r="ER196" t="inlineStr"/>
      <c r="ES196" t="inlineStr"/>
      <c r="ET196" t="inlineStr"/>
      <c r="EU196" t="inlineStr"/>
      <c r="EV196" t="inlineStr"/>
      <c r="EW196" t="inlineStr"/>
      <c r="EX196" t="inlineStr"/>
      <c r="EY196" t="inlineStr"/>
      <c r="EZ196" t="inlineStr"/>
      <c r="FA196" t="inlineStr"/>
      <c r="FB196" t="inlineStr"/>
      <c r="FC196" t="inlineStr"/>
      <c r="FD196" t="inlineStr"/>
      <c r="FE196" t="inlineStr"/>
      <c r="FF196" t="inlineStr"/>
      <c r="FG196" t="inlineStr"/>
      <c r="FH196" t="inlineStr"/>
      <c r="FI196" t="inlineStr"/>
      <c r="FJ196" t="inlineStr"/>
      <c r="FK196" t="inlineStr"/>
      <c r="FL196" t="inlineStr"/>
      <c r="FM196" t="inlineStr"/>
      <c r="FN196" t="inlineStr"/>
      <c r="FO196" t="inlineStr"/>
      <c r="FP196" t="inlineStr"/>
      <c r="FQ196" t="inlineStr"/>
      <c r="FR196" t="inlineStr"/>
      <c r="FS196" t="inlineStr"/>
      <c r="FT196" t="inlineStr"/>
      <c r="FU196" t="inlineStr"/>
      <c r="FV196" t="inlineStr"/>
      <c r="FW196" t="inlineStr"/>
      <c r="FX196" t="inlineStr"/>
      <c r="FY196" t="inlineStr"/>
      <c r="FZ196" t="inlineStr"/>
      <c r="GA196" t="inlineStr"/>
      <c r="GB196" t="inlineStr"/>
      <c r="GC196" t="inlineStr"/>
      <c r="GD196" t="inlineStr"/>
      <c r="GE196" t="inlineStr"/>
      <c r="GF196" t="inlineStr"/>
      <c r="GG196" t="inlineStr"/>
      <c r="GH196" t="inlineStr"/>
      <c r="GI196" t="inlineStr"/>
      <c r="GJ196" t="inlineStr"/>
      <c r="GK196" t="inlineStr"/>
      <c r="GL196" t="inlineStr"/>
      <c r="GM196" t="inlineStr"/>
      <c r="GN196" t="inlineStr"/>
      <c r="GO196" t="inlineStr"/>
      <c r="GP196" t="inlineStr"/>
      <c r="GQ196" t="inlineStr"/>
      <c r="GR196" t="inlineStr"/>
      <c r="GS196" t="inlineStr"/>
      <c r="GT196" t="inlineStr"/>
      <c r="GU196" t="inlineStr"/>
      <c r="GV196" t="inlineStr"/>
      <c r="GW196" t="inlineStr"/>
      <c r="GX196" t="inlineStr"/>
      <c r="GY196" t="inlineStr"/>
      <c r="GZ196" t="inlineStr"/>
      <c r="HA196" t="inlineStr"/>
      <c r="HB196" t="inlineStr"/>
      <c r="HC196" t="inlineStr"/>
      <c r="HD196" t="inlineStr"/>
      <c r="HE196" t="inlineStr"/>
      <c r="HF196" t="inlineStr"/>
      <c r="HG196" t="inlineStr"/>
      <c r="HH196" t="inlineStr"/>
      <c r="HI196" t="inlineStr"/>
      <c r="HJ196" t="inlineStr"/>
      <c r="HK196" t="inlineStr"/>
      <c r="HL196" t="inlineStr"/>
      <c r="HM196" t="inlineStr"/>
      <c r="HN196" t="inlineStr"/>
      <c r="HO196" t="inlineStr"/>
      <c r="HP196" t="inlineStr"/>
      <c r="HQ196" t="inlineStr"/>
      <c r="HR196" t="inlineStr"/>
      <c r="HS196" t="inlineStr"/>
      <c r="HT196" t="inlineStr"/>
      <c r="HU196" t="inlineStr"/>
      <c r="HV196" t="inlineStr"/>
      <c r="HW196" t="inlineStr"/>
      <c r="HX196" t="inlineStr"/>
      <c r="HY196" t="inlineStr"/>
      <c r="HZ196" t="inlineStr"/>
      <c r="IA196" t="inlineStr"/>
      <c r="IB196" t="inlineStr"/>
      <c r="IC196" t="inlineStr"/>
      <c r="ID196" t="inlineStr"/>
      <c r="IE196" t="inlineStr">
        <is>
          <t>924</t>
        </is>
      </c>
      <c r="IF196" t="inlineStr">
        <is>
          <t>News (924)</t>
        </is>
      </c>
      <c r="IG196" t="inlineStr"/>
      <c r="IH196" t="inlineStr"/>
      <c r="II196" t="inlineStr"/>
      <c r="IJ196" t="inlineStr"/>
      <c r="IK196" t="inlineStr"/>
      <c r="IL196" t="inlineStr"/>
      <c r="IM196" t="inlineStr"/>
      <c r="IN196" t="inlineStr"/>
      <c r="IO196" t="inlineStr"/>
      <c r="IP196" t="inlineStr"/>
      <c r="IQ196" t="inlineStr"/>
      <c r="IR196" t="inlineStr"/>
      <c r="IS196">
        <f>IF(input_content_type="",FALSE,ISNUMBER(SEARCH(","&amp;LOWER(input_content_type)&amp;",",","&amp;LOWER(F196)&amp;",")))</f>
        <v/>
      </c>
      <c r="IT196">
        <f>AND(IF(M196="",TRUE,IF(input_affiliations="",FALSE,SUMPRODUCT(--ISNUMBER(SEARCH(","&amp;TRIM(TEXTSPLIT(M196,","))&amp;",",","&amp;SUBSTITUTE(input_affiliations," ","")&amp;",")))&gt;0)),IF(O196="",TRUE,IF(input_affiliations="",FALSE,SUMPRODUCT(--ISNUMBER(SEARCH(","&amp;TRIM(TEXTSPLIT(O196,","))&amp;",",","&amp;SUBSTITUTE(input_affiliations," ","")&amp;",")))=COUNTA(TEXTSPLIT(O196,",")))),IF(Q196="",TRUE,IF(input_affiliations="",TRUE,SUMPRODUCT(--ISNUMBER(SEARCH(","&amp;TRIM(TEXTSPLIT(Q196,","))&amp;",",","&amp;SUBSTITUTE(input_affiliations," ","")&amp;",")))=0)),IF(S196="",TRUE,IF(input_affiliations="",FALSE,SUMPRODUCT(--ISNUMBER(SEARCH(","&amp;TRIM(TEXTSPLIT(S196,","))&amp;",",","&amp;SUBSTITUTE(input_affiliations," ","")&amp;",")))&gt;0)),IF(U196="",TRUE,IF(input_affiliations="",FALSE,SUMPRODUCT(--ISNUMBER(SEARCH(","&amp;TRIM(TEXTSPLIT(U196,","))&amp;",",","&amp;SUBSTITUTE(input_affiliations," ","")&amp;",")))=COUNTA(TEXTSPLIT(U196,",")))))</f>
        <v/>
      </c>
      <c r="IU196">
        <f>AND(IF(W196="",TRUE,IF(input_announcement_category="",FALSE,SUMPRODUCT(--ISNUMBER(SEARCH(","&amp;TRIM(TEXTSPLIT(W196,","))&amp;",",","&amp;SUBSTITUTE(input_announcement_category," ","")&amp;",")))&gt;0)),IF(Y196="",TRUE,IF(input_announcement_category="",FALSE,SUMPRODUCT(--ISNUMBER(SEARCH(","&amp;TRIM(TEXTSPLIT(Y196,","))&amp;",",","&amp;SUBSTITUTE(input_announcement_category," ","")&amp;",")))=COUNTA(TEXTSPLIT(Y196,",")))),IF(AA196="",TRUE,IF(input_announcement_category="",TRUE,SUMPRODUCT(--ISNUMBER(SEARCH(","&amp;TRIM(TEXTSPLIT(AA196,","))&amp;",",","&amp;SUBSTITUTE(input_announcement_category," ","")&amp;",")))=0)),IF(AC196="",TRUE,IF(input_announcement_category="",FALSE,SUMPRODUCT(--ISNUMBER(SEARCH(","&amp;TRIM(TEXTSPLIT(AC196,","))&amp;",",","&amp;SUBSTITUTE(input_announcement_category," ","")&amp;",")))&gt;0)),IF(AE196="",TRUE,IF(input_announcement_category="",FALSE,SUMPRODUCT(--ISNUMBER(SEARCH(","&amp;TRIM(TEXTSPLIT(AE196,","))&amp;",",","&amp;SUBSTITUTE(input_announcement_category," ","")&amp;",")))=COUNTA(TEXTSPLIT(AE196,",")))))</f>
        <v/>
      </c>
      <c r="IV196">
        <f>AND(IF(AG196="",TRUE,IF(input_area_of_focus="",FALSE,SUMPRODUCT(--ISNUMBER(SEARCH(","&amp;TRIM(TEXTSPLIT(AG196,","))&amp;",",","&amp;SUBSTITUTE(input_area_of_focus," ","")&amp;",")))&gt;0)),IF(AI196="",TRUE,IF(input_area_of_focus="",FALSE,SUMPRODUCT(--ISNUMBER(SEARCH(","&amp;TRIM(TEXTSPLIT(AI196,","))&amp;",",","&amp;SUBSTITUTE(input_area_of_focus," ","")&amp;",")))=COUNTA(TEXTSPLIT(AI196,",")))),IF(AK196="",TRUE,IF(input_area_of_focus="",TRUE,SUMPRODUCT(--ISNUMBER(SEARCH(","&amp;TRIM(TEXTSPLIT(AK196,","))&amp;",",","&amp;SUBSTITUTE(input_area_of_focus," ","")&amp;",")))=0)),IF(AM196="",TRUE,IF(input_area_of_focus="",FALSE,SUMPRODUCT(--ISNUMBER(SEARCH(","&amp;TRIM(TEXTSPLIT(AM196,","))&amp;",",","&amp;SUBSTITUTE(input_area_of_focus," ","")&amp;",")))&gt;0)),IF(AO196="",TRUE,IF(input_area_of_focus="",FALSE,SUMPRODUCT(--ISNUMBER(SEARCH(","&amp;TRIM(TEXTSPLIT(AO196,","))&amp;",",","&amp;SUBSTITUTE(input_area_of_focus," ","")&amp;",")))=COUNTA(TEXTSPLIT(AO196,",")))))</f>
        <v/>
      </c>
      <c r="IW196">
        <f>AND(IF(AQ196="",TRUE,IF(input_audience="",FALSE,SUMPRODUCT(--ISNUMBER(SEARCH(","&amp;TRIM(TEXTSPLIT(AQ196,","))&amp;",",","&amp;SUBSTITUTE(input_audience," ","")&amp;",")))&gt;0)),IF(AS196="",TRUE,IF(input_audience="",FALSE,SUMPRODUCT(--ISNUMBER(SEARCH(","&amp;TRIM(TEXTSPLIT(AS196,","))&amp;",",","&amp;SUBSTITUTE(input_audience," ","")&amp;",")))=COUNTA(TEXTSPLIT(AS196,",")))),IF(AU196="",TRUE,IF(input_audience="",TRUE,SUMPRODUCT(--ISNUMBER(SEARCH(","&amp;TRIM(TEXTSPLIT(AU196,","))&amp;",",","&amp;SUBSTITUTE(input_audience," ","")&amp;",")))=0)),IF(AW196="",TRUE,IF(input_audience="",FALSE,SUMPRODUCT(--ISNUMBER(SEARCH(","&amp;TRIM(TEXTSPLIT(AW196,","))&amp;",",","&amp;SUBSTITUTE(input_audience," ","")&amp;",")))&gt;0)),IF(AY196="",TRUE,IF(input_audience="",FALSE,SUMPRODUCT(--ISNUMBER(SEARCH(","&amp;TRIM(TEXTSPLIT(AY196,","))&amp;",",","&amp;SUBSTITUTE(input_audience," ","")&amp;",")))=COUNTA(TEXTSPLIT(AY196,",")))))</f>
        <v/>
      </c>
      <c r="IX196">
        <f>AND(IF(BA196="",TRUE,IF(input_challenge_opportunities="",FALSE,SUMPRODUCT(--ISNUMBER(SEARCH(","&amp;TRIM(TEXTSPLIT(BA196,","))&amp;",",","&amp;SUBSTITUTE(input_challenge_opportunities," ","")&amp;",")))&gt;0)),IF(BC196="",TRUE,IF(input_challenge_opportunities="",FALSE,SUMPRODUCT(--ISNUMBER(SEARCH(","&amp;TRIM(TEXTSPLIT(BC196,","))&amp;",",","&amp;SUBSTITUTE(input_challenge_opportunities," ","")&amp;",")))=COUNTA(TEXTSPLIT(BC196,",")))),IF(BE196="",TRUE,IF(input_challenge_opportunities="",TRUE,SUMPRODUCT(--ISNUMBER(SEARCH(","&amp;TRIM(TEXTSPLIT(BE196,","))&amp;",",","&amp;SUBSTITUTE(input_challenge_opportunities," ","")&amp;",")))=0)),IF(BG196="",TRUE,IF(input_challenge_opportunities="",FALSE,SUMPRODUCT(--ISNUMBER(SEARCH(","&amp;TRIM(TEXTSPLIT(BG196,","))&amp;",",","&amp;SUBSTITUTE(input_challenge_opportunities," ","")&amp;",")))&gt;0)),IF(BI196="",TRUE,IF(input_challenge_opportunities="",FALSE,SUMPRODUCT(--ISNUMBER(SEARCH(","&amp;TRIM(TEXTSPLIT(BI196,","))&amp;",",","&amp;SUBSTITUTE(input_challenge_opportunities," ","")&amp;",")))=COUNTA(TEXTSPLIT(BI196,",")))))</f>
        <v/>
      </c>
      <c r="IY196">
        <f>AND(IF(BK196="",TRUE,IF(input_context="",FALSE,SUMPRODUCT(--ISNUMBER(SEARCH(","&amp;TRIM(TEXTSPLIT(BK196,","))&amp;",",","&amp;SUBSTITUTE(input_context," ","")&amp;",")))&gt;0)),IF(BM196="",TRUE,IF(input_context="",FALSE,SUMPRODUCT(--ISNUMBER(SEARCH(","&amp;TRIM(TEXTSPLIT(BM196,","))&amp;",",","&amp;SUBSTITUTE(input_context," ","")&amp;",")))=COUNTA(TEXTSPLIT(BM196,",")))),IF(BO196="",TRUE,IF(input_context="",TRUE,SUMPRODUCT(--ISNUMBER(SEARCH(","&amp;TRIM(TEXTSPLIT(BO196,","))&amp;",",","&amp;SUBSTITUTE(input_context," ","")&amp;",")))=0)),IF(BQ196="",TRUE,IF(input_context="",FALSE,SUMPRODUCT(--ISNUMBER(SEARCH(","&amp;TRIM(TEXTSPLIT(BQ196,","))&amp;",",","&amp;SUBSTITUTE(input_context," ","")&amp;",")))&gt;0)),IF(BS196="",TRUE,IF(input_context="",FALSE,SUMPRODUCT(--ISNUMBER(SEARCH(","&amp;TRIM(TEXTSPLIT(BS196,","))&amp;",",","&amp;SUBSTITUTE(input_context," ","")&amp;",")))=COUNTA(TEXTSPLIT(BS196,",")))))</f>
        <v/>
      </c>
      <c r="IZ196">
        <f>AND(IF(BU196="",TRUE,IF(input_enews_announcement_type="",FALSE,SUMPRODUCT(--ISNUMBER(SEARCH(","&amp;TRIM(TEXTSPLIT(BU196,","))&amp;",",","&amp;SUBSTITUTE(input_enews_announcement_type," ","")&amp;",")))&gt;0)),IF(BW196="",TRUE,IF(input_enews_announcement_type="",FALSE,SUMPRODUCT(--ISNUMBER(SEARCH(","&amp;TRIM(TEXTSPLIT(BW196,","))&amp;",",","&amp;SUBSTITUTE(input_enews_announcement_type," ","")&amp;",")))=COUNTA(TEXTSPLIT(BW196,",")))),IF(BY196="",TRUE,IF(input_enews_announcement_type="",TRUE,SUMPRODUCT(--ISNUMBER(SEARCH(","&amp;TRIM(TEXTSPLIT(BY196,","))&amp;",",","&amp;SUBSTITUTE(input_enews_announcement_type," ","")&amp;",")))=0)),IF(CA196="",TRUE,IF(input_enews_announcement_type="",FALSE,SUMPRODUCT(--ISNUMBER(SEARCH(","&amp;TRIM(TEXTSPLIT(CA196,","))&amp;",",","&amp;SUBSTITUTE(input_enews_announcement_type," ","")&amp;",")))&gt;0)),IF(CC196="",TRUE,IF(input_enews_announcement_type="",FALSE,SUMPRODUCT(--ISNUMBER(SEARCH(","&amp;TRIM(TEXTSPLIT(CC196,","))&amp;",",","&amp;SUBSTITUTE(input_enews_announcement_type," ","")&amp;",")))=COUNTA(TEXTSPLIT(CC196,",")))))</f>
        <v/>
      </c>
      <c r="JA196">
        <f>AND(IF(CE196="",TRUE,IF(input_enews_audience="",FALSE,SUMPRODUCT(--ISNUMBER(SEARCH(","&amp;TRIM(TEXTSPLIT(CE196,","))&amp;",",","&amp;SUBSTITUTE(input_enews_audience," ","")&amp;",")))&gt;0)),IF(CG196="",TRUE,IF(input_enews_audience="",FALSE,SUMPRODUCT(--ISNUMBER(SEARCH(","&amp;TRIM(TEXTSPLIT(CG196,","))&amp;",",","&amp;SUBSTITUTE(input_enews_audience," ","")&amp;",")))=COUNTA(TEXTSPLIT(CG196,",")))),IF(CI196="",TRUE,IF(input_enews_audience="",TRUE,SUMPRODUCT(--ISNUMBER(SEARCH(","&amp;TRIM(TEXTSPLIT(CI196,","))&amp;",",","&amp;SUBSTITUTE(input_enews_audience," ","")&amp;",")))=0)),IF(CK196="",TRUE,IF(input_enews_audience="",FALSE,SUMPRODUCT(--ISNUMBER(SEARCH(","&amp;TRIM(TEXTSPLIT(CK196,","))&amp;",",","&amp;SUBSTITUTE(input_enews_audience," ","")&amp;",")))&gt;0)),IF(CM196="",TRUE,IF(input_enews_audience="",FALSE,SUMPRODUCT(--ISNUMBER(SEARCH(","&amp;TRIM(TEXTSPLIT(CM196,","))&amp;",",","&amp;SUBSTITUTE(input_enews_audience," ","")&amp;",")))=COUNTA(TEXTSPLIT(CM196,",")))))</f>
        <v/>
      </c>
      <c r="JB196">
        <f>AND(IF(CO196="",TRUE,IF(input_event_location="",FALSE,SUMPRODUCT(--ISNUMBER(SEARCH(","&amp;TRIM(TEXTSPLIT(CO196,","))&amp;",",","&amp;SUBSTITUTE(input_event_location," ","")&amp;",")))&gt;0)),IF(CQ196="",TRUE,IF(input_event_location="",FALSE,SUMPRODUCT(--ISNUMBER(SEARCH(","&amp;TRIM(TEXTSPLIT(CQ196,","))&amp;",",","&amp;SUBSTITUTE(input_event_location," ","")&amp;",")))=COUNTA(TEXTSPLIT(CQ196,",")))),IF(CS196="",TRUE,IF(input_event_location="",TRUE,SUMPRODUCT(--ISNUMBER(SEARCH(","&amp;TRIM(TEXTSPLIT(CS196,","))&amp;",",","&amp;SUBSTITUTE(input_event_location," ","")&amp;",")))=0)),IF(CU196="",TRUE,IF(input_event_location="",FALSE,SUMPRODUCT(--ISNUMBER(SEARCH(","&amp;TRIM(TEXTSPLIT(CU196,","))&amp;",",","&amp;SUBSTITUTE(input_event_location," ","")&amp;",")))&gt;0)),IF(CW196="",TRUE,IF(input_event_location="",FALSE,SUMPRODUCT(--ISNUMBER(SEARCH(","&amp;TRIM(TEXTSPLIT(CW196,","))&amp;",",","&amp;SUBSTITUTE(input_event_location," ","")&amp;",")))=COUNTA(TEXTSPLIT(CW196,",")))))</f>
        <v/>
      </c>
      <c r="JC196">
        <f>AND(IF(CY196="",TRUE,IF(input_event_type="",FALSE,SUMPRODUCT(--ISNUMBER(SEARCH(","&amp;TRIM(TEXTSPLIT(CY196,","))&amp;",",","&amp;SUBSTITUTE(input_event_type," ","")&amp;",")))&gt;0)),IF(DA196="",TRUE,IF(input_event_type="",FALSE,SUMPRODUCT(--ISNUMBER(SEARCH(","&amp;TRIM(TEXTSPLIT(DA196,","))&amp;",",","&amp;SUBSTITUTE(input_event_type," ","")&amp;",")))=COUNTA(TEXTSPLIT(DA196,",")))),IF(DC196="",TRUE,IF(input_event_type="",TRUE,SUMPRODUCT(--ISNUMBER(SEARCH(","&amp;TRIM(TEXTSPLIT(DC196,","))&amp;",",","&amp;SUBSTITUTE(input_event_type," ","")&amp;",")))=0)),IF(DE196="",TRUE,IF(input_event_type="",FALSE,SUMPRODUCT(--ISNUMBER(SEARCH(","&amp;TRIM(TEXTSPLIT(DE196,","))&amp;",",","&amp;SUBSTITUTE(input_event_type," ","")&amp;",")))&gt;0)),IF(DG196="",TRUE,IF(input_event_type="",FALSE,SUMPRODUCT(--ISNUMBER(SEARCH(","&amp;TRIM(TEXTSPLIT(DG196,","))&amp;",",","&amp;SUBSTITUTE(input_event_type," ","")&amp;",")))=COUNTA(TEXTSPLIT(DG196,",")))))</f>
        <v/>
      </c>
      <c r="JD196">
        <f>AND(IF(DI196="",TRUE,IF(input_executive_education_focus="",FALSE,SUMPRODUCT(--ISNUMBER(SEARCH(","&amp;TRIM(TEXTSPLIT(DI196,","))&amp;",",","&amp;SUBSTITUTE(input_executive_education_focus," ","")&amp;",")))&gt;0)),IF(DK196="",TRUE,IF(input_executive_education_focus="",FALSE,SUMPRODUCT(--ISNUMBER(SEARCH(","&amp;TRIM(TEXTSPLIT(DK196,","))&amp;",",","&amp;SUBSTITUTE(input_executive_education_focus," ","")&amp;",")))=COUNTA(TEXTSPLIT(DK196,",")))),IF(DM196="",TRUE,IF(input_executive_education_focus="",TRUE,SUMPRODUCT(--ISNUMBER(SEARCH(","&amp;TRIM(TEXTSPLIT(DM196,","))&amp;",",","&amp;SUBSTITUTE(input_executive_education_focus," ","")&amp;",")))=0)),IF(DO196="",TRUE,IF(input_executive_education_focus="",FALSE,SUMPRODUCT(--ISNUMBER(SEARCH(","&amp;TRIM(TEXTSPLIT(DO196,","))&amp;",",","&amp;SUBSTITUTE(input_executive_education_focus," ","")&amp;",")))&gt;0)),IF(DQ196="",TRUE,IF(input_executive_education_focus="",FALSE,SUMPRODUCT(--ISNUMBER(SEARCH(","&amp;TRIM(TEXTSPLIT(DQ196,","))&amp;",",","&amp;SUBSTITUTE(input_executive_education_focus," ","")&amp;",")))=COUNTA(TEXTSPLIT(DQ196,",")))))</f>
        <v/>
      </c>
      <c r="JE196">
        <f>AND(IF(DS196="",TRUE,IF(input_faculty_category="",FALSE,SUMPRODUCT(--ISNUMBER(SEARCH(","&amp;TRIM(TEXTSPLIT(DS196,","))&amp;",",","&amp;SUBSTITUTE(input_faculty_category," ","")&amp;",")))&gt;0)),IF(DU196="",TRUE,IF(input_faculty_category="",FALSE,SUMPRODUCT(--ISNUMBER(SEARCH(","&amp;TRIM(TEXTSPLIT(DU196,","))&amp;",",","&amp;SUBSTITUTE(input_faculty_category," ","")&amp;",")))=COUNTA(TEXTSPLIT(DU196,",")))),IF(DW196="",TRUE,IF(input_faculty_category="",TRUE,SUMPRODUCT(--ISNUMBER(SEARCH(","&amp;TRIM(TEXTSPLIT(DW196,","))&amp;",",","&amp;SUBSTITUTE(input_faculty_category," ","")&amp;",")))=0)),IF(DY196="",TRUE,IF(input_faculty_category="",FALSE,SUMPRODUCT(--ISNUMBER(SEARCH(","&amp;TRIM(TEXTSPLIT(DY196,","))&amp;",",","&amp;SUBSTITUTE(input_faculty_category," ","")&amp;",")))&gt;0)),IF(EA196="",TRUE,IF(input_faculty_category="",FALSE,SUMPRODUCT(--ISNUMBER(SEARCH(","&amp;TRIM(TEXTSPLIT(EA196,","))&amp;",",","&amp;SUBSTITUTE(input_faculty_category," ","")&amp;",")))=COUNTA(TEXTSPLIT(EA196,",")))))</f>
        <v/>
      </c>
      <c r="JF196">
        <f>AND(IF(EC196="",TRUE,IF(input_faculty_discipline="",FALSE,SUMPRODUCT(--ISNUMBER(SEARCH(","&amp;TRIM(TEXTSPLIT(EC196,","))&amp;",",","&amp;SUBSTITUTE(input_faculty_discipline," ","")&amp;",")))&gt;0)),IF(EE196="",TRUE,IF(input_faculty_discipline="",FALSE,SUMPRODUCT(--ISNUMBER(SEARCH(","&amp;TRIM(TEXTSPLIT(EE196,","))&amp;",",","&amp;SUBSTITUTE(input_faculty_discipline," ","")&amp;",")))=COUNTA(TEXTSPLIT(EE196,",")))),IF(EG196="",TRUE,IF(input_faculty_discipline="",TRUE,SUMPRODUCT(--ISNUMBER(SEARCH(","&amp;TRIM(TEXTSPLIT(EG196,","))&amp;",",","&amp;SUBSTITUTE(input_faculty_discipline," ","")&amp;",")))=0)),IF(EI196="",TRUE,IF(input_faculty_discipline="",FALSE,SUMPRODUCT(--ISNUMBER(SEARCH(","&amp;TRIM(TEXTSPLIT(EI196,","))&amp;",",","&amp;SUBSTITUTE(input_faculty_discipline," ","")&amp;",")))&gt;0)),IF(EK196="",TRUE,IF(input_faculty_discipline="",FALSE,SUMPRODUCT(--ISNUMBER(SEARCH(","&amp;TRIM(TEXTSPLIT(EK196,","))&amp;",",","&amp;SUBSTITUTE(input_faculty_discipline," ","")&amp;",")))=COUNTA(TEXTSPLIT(EK196,",")))))</f>
        <v/>
      </c>
      <c r="JG196">
        <f>AND(IF(EM196="",TRUE,IF(input_faculty_expertise="",FALSE,SUMPRODUCT(--ISNUMBER(SEARCH(","&amp;TRIM(TEXTSPLIT(EM196,","))&amp;",",","&amp;SUBSTITUTE(input_faculty_expertise," ","")&amp;",")))&gt;0)),IF(EO196="",TRUE,IF(input_faculty_expertise="",FALSE,SUMPRODUCT(--ISNUMBER(SEARCH(","&amp;TRIM(TEXTSPLIT(EO196,","))&amp;",",","&amp;SUBSTITUTE(input_faculty_expertise," ","")&amp;",")))=COUNTA(TEXTSPLIT(EO196,",")))),IF(EQ196="",TRUE,IF(input_faculty_expertise="",TRUE,SUMPRODUCT(--ISNUMBER(SEARCH(","&amp;TRIM(TEXTSPLIT(EQ196,","))&amp;",",","&amp;SUBSTITUTE(input_faculty_expertise," ","")&amp;",")))=0)),IF(ES196="",TRUE,IF(input_faculty_expertise="",FALSE,SUMPRODUCT(--ISNUMBER(SEARCH(","&amp;TRIM(TEXTSPLIT(ES196,","))&amp;",",","&amp;SUBSTITUTE(input_faculty_expertise," ","")&amp;",")))&gt;0)),IF(EU196="",TRUE,IF(input_faculty_expertise="",FALSE,SUMPRODUCT(--ISNUMBER(SEARCH(","&amp;TRIM(TEXTSPLIT(EU196,","))&amp;",",","&amp;SUBSTITUTE(input_faculty_expertise," ","")&amp;",")))=COUNTA(TEXTSPLIT(EU196,",")))))</f>
        <v/>
      </c>
      <c r="JH196">
        <f>AND(IF(EW196="",TRUE,IF(input_global_network_school="",FALSE,SUMPRODUCT(--ISNUMBER(SEARCH(","&amp;TRIM(TEXTSPLIT(EW196,","))&amp;",",","&amp;SUBSTITUTE(input_global_network_school," ","")&amp;",")))&gt;0)),IF(EY196="",TRUE,IF(input_global_network_school="",FALSE,SUMPRODUCT(--ISNUMBER(SEARCH(","&amp;TRIM(TEXTSPLIT(EY196,","))&amp;",",","&amp;SUBSTITUTE(input_global_network_school," ","")&amp;",")))=COUNTA(TEXTSPLIT(EY196,",")))),IF(FA196="",TRUE,IF(input_global_network_school="",TRUE,SUMPRODUCT(--ISNUMBER(SEARCH(","&amp;TRIM(TEXTSPLIT(FA196,","))&amp;",",","&amp;SUBSTITUTE(input_global_network_school," ","")&amp;",")))=0)),IF(FC196="",TRUE,IF(input_global_network_school="",FALSE,SUMPRODUCT(--ISNUMBER(SEARCH(","&amp;TRIM(TEXTSPLIT(FC196,","))&amp;",",","&amp;SUBSTITUTE(input_global_network_school," ","")&amp;",")))&gt;0)),IF(FE196="",TRUE,IF(input_global_network_school="",FALSE,SUMPRODUCT(--ISNUMBER(SEARCH(","&amp;TRIM(TEXTSPLIT(FE196,","))&amp;",",","&amp;SUBSTITUTE(input_global_network_school," ","")&amp;",")))=COUNTA(TEXTSPLIT(FE196,",")))))</f>
        <v/>
      </c>
      <c r="JI196">
        <f>AND(IF(FG196="",TRUE,IF(input_industry="",FALSE,SUMPRODUCT(--ISNUMBER(SEARCH(","&amp;TRIM(TEXTSPLIT(FG196,","))&amp;",",","&amp;SUBSTITUTE(input_industry," ","")&amp;",")))&gt;0)),IF(FI196="",TRUE,IF(input_industry="",FALSE,SUMPRODUCT(--ISNUMBER(SEARCH(","&amp;TRIM(TEXTSPLIT(FI196,","))&amp;",",","&amp;SUBSTITUTE(input_industry," ","")&amp;",")))=COUNTA(TEXTSPLIT(FI196,",")))),IF(FK196="",TRUE,IF(input_industry="",TRUE,SUMPRODUCT(--ISNUMBER(SEARCH(","&amp;TRIM(TEXTSPLIT(FK196,","))&amp;",",","&amp;SUBSTITUTE(input_industry," ","")&amp;",")))=0)),IF(FM196="",TRUE,IF(input_industry="",FALSE,SUMPRODUCT(--ISNUMBER(SEARCH(","&amp;TRIM(TEXTSPLIT(FM196,","))&amp;",",","&amp;SUBSTITUTE(input_industry," ","")&amp;",")))&gt;0)),IF(FO196="",TRUE,IF(input_industry="",FALSE,SUMPRODUCT(--ISNUMBER(SEARCH(","&amp;TRIM(TEXTSPLIT(FO196,","))&amp;",",","&amp;SUBSTITUTE(input_industry," ","")&amp;",")))=COUNTA(TEXTSPLIT(FO196,",")))))</f>
        <v/>
      </c>
      <c r="JJ196">
        <f>AND(IF(FQ196="",TRUE,IF(input_location="",FALSE,SUMPRODUCT(--ISNUMBER(SEARCH(","&amp;TRIM(TEXTSPLIT(FQ196,","))&amp;",",","&amp;SUBSTITUTE(input_location," ","")&amp;",")))&gt;0)),IF(FS196="",TRUE,IF(input_location="",FALSE,SUMPRODUCT(--ISNUMBER(SEARCH(","&amp;TRIM(TEXTSPLIT(FS196,","))&amp;",",","&amp;SUBSTITUTE(input_location," ","")&amp;",")))=COUNTA(TEXTSPLIT(FS196,",")))),IF(FU196="",TRUE,IF(input_location="",TRUE,SUMPRODUCT(--ISNUMBER(SEARCH(","&amp;TRIM(TEXTSPLIT(FU196,","))&amp;",",","&amp;SUBSTITUTE(input_location," ","")&amp;",")))=0)),IF(FW196="",TRUE,IF(input_location="",FALSE,SUMPRODUCT(--ISNUMBER(SEARCH(","&amp;TRIM(TEXTSPLIT(FW196,","))&amp;",",","&amp;SUBSTITUTE(input_location," ","")&amp;",")))&gt;0)),IF(FY196="",TRUE,IF(input_location="",FALSE,SUMPRODUCT(--ISNUMBER(SEARCH(","&amp;TRIM(TEXTSPLIT(FY196,","))&amp;",",","&amp;SUBSTITUTE(input_location," ","")&amp;",")))=COUNTA(TEXTSPLIT(FY196,",")))))</f>
        <v/>
      </c>
      <c r="JK196">
        <f>AND(IF(GA196="",TRUE,IF(input_modality="",FALSE,SUMPRODUCT(--ISNUMBER(SEARCH(","&amp;TRIM(TEXTSPLIT(GA196,","))&amp;",",","&amp;SUBSTITUTE(input_modality," ","")&amp;",")))&gt;0)),IF(GC196="",TRUE,IF(input_modality="",FALSE,SUMPRODUCT(--ISNUMBER(SEARCH(","&amp;TRIM(TEXTSPLIT(GC196,","))&amp;",",","&amp;SUBSTITUTE(input_modality," ","")&amp;",")))=COUNTA(TEXTSPLIT(GC196,",")))),IF(GE196="",TRUE,IF(input_modality="",TRUE,SUMPRODUCT(--ISNUMBER(SEARCH(","&amp;TRIM(TEXTSPLIT(GE196,","))&amp;",",","&amp;SUBSTITUTE(input_modality," ","")&amp;",")))=0)),IF(GG196="",TRUE,IF(input_modality="",FALSE,SUMPRODUCT(--ISNUMBER(SEARCH(","&amp;TRIM(TEXTSPLIT(GG196,","))&amp;",",","&amp;SUBSTITUTE(input_modality," ","")&amp;",")))&gt;0)),IF(GI196="",TRUE,IF(input_modality="",FALSE,SUMPRODUCT(--ISNUMBER(SEARCH(","&amp;TRIM(TEXTSPLIT(GI196,","))&amp;",",","&amp;SUBSTITUTE(input_modality," ","")&amp;",")))=COUNTA(TEXTSPLIT(GI196,",")))))</f>
        <v/>
      </c>
      <c r="JL196">
        <f>AND(IF(GK196="",TRUE,IF(input_organizer="",FALSE,SUMPRODUCT(--ISNUMBER(SEARCH(","&amp;TRIM(TEXTSPLIT(GK196,","))&amp;",",","&amp;SUBSTITUTE(input_organizer," ","")&amp;",")))&gt;0)),IF(GM196="",TRUE,IF(input_organizer="",FALSE,SUMPRODUCT(--ISNUMBER(SEARCH(","&amp;TRIM(TEXTSPLIT(GM196,","))&amp;",",","&amp;SUBSTITUTE(input_organizer," ","")&amp;",")))=COUNTA(TEXTSPLIT(GM196,",")))),IF(GO196="",TRUE,IF(input_organizer="",TRUE,SUMPRODUCT(--ISNUMBER(SEARCH(","&amp;TRIM(TEXTSPLIT(GO196,","))&amp;",",","&amp;SUBSTITUTE(input_organizer," ","")&amp;",")))=0)),IF(GQ196="",TRUE,IF(input_organizer="",FALSE,SUMPRODUCT(--ISNUMBER(SEARCH(","&amp;TRIM(TEXTSPLIT(GQ196,","))&amp;",",","&amp;SUBSTITUTE(input_organizer," ","")&amp;",")))&gt;0)),IF(GS196="",TRUE,IF(input_organizer="",FALSE,SUMPRODUCT(--ISNUMBER(SEARCH(","&amp;TRIM(TEXTSPLIT(GS196,","))&amp;",",","&amp;SUBSTITUTE(input_organizer," ","")&amp;",")))=COUNTA(TEXTSPLIT(GS196,",")))))</f>
        <v/>
      </c>
      <c r="JM196">
        <f>AND(IF(GU196="",TRUE,IF(input_profile_type="",FALSE,SUMPRODUCT(--ISNUMBER(SEARCH(","&amp;TRIM(TEXTSPLIT(GU196,","))&amp;",",","&amp;SUBSTITUTE(input_profile_type," ","")&amp;",")))&gt;0)),IF(GW196="",TRUE,IF(input_profile_type="",FALSE,SUMPRODUCT(--ISNUMBER(SEARCH(","&amp;TRIM(TEXTSPLIT(GW196,","))&amp;",",","&amp;SUBSTITUTE(input_profile_type," ","")&amp;",")))=COUNTA(TEXTSPLIT(GW196,",")))),IF(GY196="",TRUE,IF(input_profile_type="",TRUE,SUMPRODUCT(--ISNUMBER(SEARCH(","&amp;TRIM(TEXTSPLIT(GY196,","))&amp;",",","&amp;SUBSTITUTE(input_profile_type," ","")&amp;",")))=0)),IF(HA196="",TRUE,IF(input_profile_type="",FALSE,SUMPRODUCT(--ISNUMBER(SEARCH(","&amp;TRIM(TEXTSPLIT(HA196,","))&amp;",",","&amp;SUBSTITUTE(input_profile_type," ","")&amp;",")))&gt;0)),IF(HC196="",TRUE,IF(input_profile_type="",FALSE,SUMPRODUCT(--ISNUMBER(SEARCH(","&amp;TRIM(TEXTSPLIT(HC196,","))&amp;",",","&amp;SUBSTITUTE(input_profile_type," ","")&amp;",")))=COUNTA(TEXTSPLIT(HC196,",")))))</f>
        <v/>
      </c>
      <c r="JN196">
        <f>AND(IF(HE196="",TRUE,IF(input_program="",FALSE,SUMPRODUCT(--ISNUMBER(SEARCH(","&amp;TRIM(TEXTSPLIT(HE196,","))&amp;",",","&amp;SUBSTITUTE(input_program," ","")&amp;",")))&gt;0)),IF(HG196="",TRUE,IF(input_program="",FALSE,SUMPRODUCT(--ISNUMBER(SEARCH(","&amp;TRIM(TEXTSPLIT(HG196,","))&amp;",",","&amp;SUBSTITUTE(input_program," ","")&amp;",")))=COUNTA(TEXTSPLIT(HG196,",")))),IF(HI196="",TRUE,IF(input_program="",TRUE,SUMPRODUCT(--ISNUMBER(SEARCH(","&amp;TRIM(TEXTSPLIT(HI196,","))&amp;",",","&amp;SUBSTITUTE(input_program," ","")&amp;",")))=0)),IF(HK196="",TRUE,IF(input_program="",FALSE,SUMPRODUCT(--ISNUMBER(SEARCH(","&amp;TRIM(TEXTSPLIT(HK196,","))&amp;",",","&amp;SUBSTITUTE(input_program," ","")&amp;",")))&gt;0)),IF(HM196="",TRUE,IF(input_program="",FALSE,SUMPRODUCT(--ISNUMBER(SEARCH(","&amp;TRIM(TEXTSPLIT(HM196,","))&amp;",",","&amp;SUBSTITUTE(input_program," ","")&amp;",")))=COUNTA(TEXTSPLIT(HM196,",")))))</f>
        <v/>
      </c>
      <c r="JO196">
        <f>AND(IF(HO196="",TRUE,IF(input_story_categories="",FALSE,SUMPRODUCT(--ISNUMBER(SEARCH(","&amp;TRIM(TEXTSPLIT(HO196,","))&amp;",",","&amp;SUBSTITUTE(input_story_categories," ","")&amp;",")))&gt;0)),IF(HQ196="",TRUE,IF(input_story_categories="",FALSE,SUMPRODUCT(--ISNUMBER(SEARCH(","&amp;TRIM(TEXTSPLIT(HQ196,","))&amp;",",","&amp;SUBSTITUTE(input_story_categories," ","")&amp;",")))=COUNTA(TEXTSPLIT(HQ196,",")))),IF(HS196="",TRUE,IF(input_story_categories="",TRUE,SUMPRODUCT(--ISNUMBER(SEARCH(","&amp;TRIM(TEXTSPLIT(HS196,","))&amp;",",","&amp;SUBSTITUTE(input_story_categories," ","")&amp;",")))=0)),IF(HU196="",TRUE,IF(input_story_categories="",FALSE,SUMPRODUCT(--ISNUMBER(SEARCH(","&amp;TRIM(TEXTSPLIT(HU196,","))&amp;",",","&amp;SUBSTITUTE(input_story_categories," ","")&amp;",")))&gt;0)),IF(HW196="",TRUE,IF(input_story_categories="",FALSE,SUMPRODUCT(--ISNUMBER(SEARCH(","&amp;TRIM(TEXTSPLIT(HW196,","))&amp;",",","&amp;SUBSTITUTE(input_story_categories," ","")&amp;",")))=COUNTA(TEXTSPLIT(HW196,",")))))</f>
        <v/>
      </c>
      <c r="JP196">
        <f>AND(IF(HY196="",TRUE,IF(input_story_type="",FALSE,SUMPRODUCT(--ISNUMBER(SEARCH(","&amp;TRIM(TEXTSPLIT(HY196,","))&amp;",",","&amp;SUBSTITUTE(input_story_type," ","")&amp;",")))&gt;0)),IF(IA196="",TRUE,IF(input_story_type="",FALSE,SUMPRODUCT(--ISNUMBER(SEARCH(","&amp;TRIM(TEXTSPLIT(IA196,","))&amp;",",","&amp;SUBSTITUTE(input_story_type," ","")&amp;",")))=COUNTA(TEXTSPLIT(IA196,",")))),IF(IC196="",TRUE,IF(input_story_type="",TRUE,SUMPRODUCT(--ISNUMBER(SEARCH(","&amp;TRIM(TEXTSPLIT(IC196,","))&amp;",",","&amp;SUBSTITUTE(input_story_type," ","")&amp;",")))=0)),IF(IE196="",TRUE,IF(input_story_type="",FALSE,SUMPRODUCT(--ISNUMBER(SEARCH(","&amp;TRIM(TEXTSPLIT(IE196,","))&amp;",",","&amp;SUBSTITUTE(input_story_type," ","")&amp;",")))&gt;0)),IF(IG196="",TRUE,IF(input_story_type="",FALSE,SUMPRODUCT(--ISNUMBER(SEARCH(","&amp;TRIM(TEXTSPLIT(IG196,","))&amp;",",","&amp;SUBSTITUTE(input_story_type," ","")&amp;",")))=COUNTA(TEXTSPLIT(IG196,",")))))</f>
        <v/>
      </c>
      <c r="JQ196">
        <f>AND(IF(II196="",TRUE,IF(input_topics="",FALSE,SUMPRODUCT(--ISNUMBER(SEARCH(","&amp;TRIM(TEXTSPLIT(II196,","))&amp;",",","&amp;SUBSTITUTE(input_topics," ","")&amp;",")))&gt;0)),IF(IK196="",TRUE,IF(input_topics="",FALSE,SUMPRODUCT(--ISNUMBER(SEARCH(","&amp;TRIM(TEXTSPLIT(IK196,","))&amp;",",","&amp;SUBSTITUTE(input_topics," ","")&amp;",")))=COUNTA(TEXTSPLIT(IK196,",")))),IF(IM196="",TRUE,IF(input_topics="",TRUE,SUMPRODUCT(--ISNUMBER(SEARCH(","&amp;TRIM(TEXTSPLIT(IM196,","))&amp;",",","&amp;SUBSTITUTE(input_topics," ","")&amp;",")))=0)),IF(IO196="",TRUE,IF(input_topics="",FALSE,SUMPRODUCT(--ISNUMBER(SEARCH(","&amp;TRIM(TEXTSPLIT(IO196,","))&amp;",",","&amp;SUBSTITUTE(input_topics," ","")&amp;",")))&gt;0)),IF(IQ196="",TRUE,IF(input_topics="",FALSE,SUMPRODUCT(--ISNUMBER(SEARCH(","&amp;TRIM(TEXTSPLIT(IQ196,","))&amp;",",","&amp;SUBSTITUTE(input_topics," ","")&amp;",")))=COUNTA(TEXTSPLIT(IQ196,",")))))</f>
        <v/>
      </c>
    </row>
    <row r="197">
      <c r="A197" s="4">
        <f>IF(NOT(IS197),"Excluded",IF(AND(IT197,IU197,IV197,IW197,IX197,IY197,IZ197,JA197,JB197,JC197,JD197,JE197,JF197,JG197,JH197,JI197,JJ197,JK197,JL197,JM197,JN197,JO197,JP197,JQ197),IF(I197&gt;0,"Eligible but limited","Will appear"),"Excluded"))</f>
        <v/>
      </c>
      <c r="B197" s="4" t="inlineStr">
        <is>
          <t>Related stories on story pages</t>
        </is>
      </c>
      <c r="C197" s="4" t="inlineStr">
        <is>
          <t>/story/2023/charting-path-forward-leadership</t>
        </is>
      </c>
      <c r="D197" s="4" t="inlineStr">
        <is>
          <t>/story/2023/charting-path-forward-leadership
/story/2023/driving-positive-change-through-purposeful-leadership
/story/2023/executive-education-emba</t>
        </is>
      </c>
      <c r="E197" s="4" t="n">
        <v>13</v>
      </c>
      <c r="F197" s="4" t="inlineStr">
        <is>
          <t>story</t>
        </is>
      </c>
      <c r="G197" s="4" t="inlineStr">
        <is>
          <t>stories_teaser_cards</t>
        </is>
      </c>
      <c r="H197" s="4" t="inlineStr">
        <is>
          <t>embed_all</t>
        </is>
      </c>
      <c r="I197" s="4" t="n">
        <v>3</v>
      </c>
      <c r="J197" s="4" t="inlineStr">
        <is>
          <t>Template logic</t>
        </is>
      </c>
      <c r="K197" s="4" t="inlineStr">
        <is>
          <t>Grouped surface</t>
        </is>
      </c>
      <c r="L197" s="4" t="inlineStr">
        <is>
          <t>Content type: story; Context uses Courses Context: Executive Education (967); Context uses Story Type: Blog (974); Limited to 3 item(s); Source: Template logic</t>
        </is>
      </c>
      <c r="M197" t="inlineStr"/>
      <c r="N197" t="inlineStr"/>
      <c r="O197" t="inlineStr"/>
      <c r="P197" t="inlineStr"/>
      <c r="Q197" t="inlineStr"/>
      <c r="R197" t="inlineStr"/>
      <c r="S197" t="inlineStr"/>
      <c r="T197" t="inlineStr"/>
      <c r="U197" t="inlineStr"/>
      <c r="V197" t="inlineStr"/>
      <c r="W197" t="inlineStr"/>
      <c r="X197" t="inlineStr"/>
      <c r="Y197" t="inlineStr"/>
      <c r="Z197" t="inlineStr"/>
      <c r="AA197" t="inlineStr"/>
      <c r="AB197" t="inlineStr"/>
      <c r="AC197" t="inlineStr"/>
      <c r="AD197" t="inlineStr"/>
      <c r="AE197" t="inlineStr"/>
      <c r="AF197" t="inlineStr"/>
      <c r="AG197" t="inlineStr"/>
      <c r="AH197" t="inlineStr"/>
      <c r="AI197" t="inlineStr"/>
      <c r="AJ197" t="inlineStr"/>
      <c r="AK197" t="inlineStr"/>
      <c r="AL197" t="inlineStr"/>
      <c r="AM197" t="inlineStr"/>
      <c r="AN197" t="inlineStr"/>
      <c r="AO197" t="inlineStr"/>
      <c r="AP197" t="inlineStr"/>
      <c r="AQ197" t="inlineStr"/>
      <c r="AR197" t="inlineStr"/>
      <c r="AS197" t="inlineStr"/>
      <c r="AT197" t="inlineStr"/>
      <c r="AU197" t="inlineStr"/>
      <c r="AV197" t="inlineStr"/>
      <c r="AW197" t="inlineStr"/>
      <c r="AX197" t="inlineStr"/>
      <c r="AY197" t="inlineStr"/>
      <c r="AZ197" t="inlineStr"/>
      <c r="BA197" t="inlineStr"/>
      <c r="BB197" t="inlineStr"/>
      <c r="BC197" t="inlineStr"/>
      <c r="BD197" t="inlineStr"/>
      <c r="BE197" t="inlineStr"/>
      <c r="BF197" t="inlineStr"/>
      <c r="BG197" t="inlineStr"/>
      <c r="BH197" t="inlineStr"/>
      <c r="BI197" t="inlineStr"/>
      <c r="BJ197" t="inlineStr"/>
      <c r="BK197" t="inlineStr"/>
      <c r="BL197" t="inlineStr"/>
      <c r="BM197" t="inlineStr"/>
      <c r="BN197" t="inlineStr"/>
      <c r="BO197" t="inlineStr"/>
      <c r="BP197" t="inlineStr"/>
      <c r="BQ197" t="inlineStr">
        <is>
          <t>967</t>
        </is>
      </c>
      <c r="BR197" t="inlineStr">
        <is>
          <t>Executive Education (967)</t>
        </is>
      </c>
      <c r="BS197" t="inlineStr"/>
      <c r="BT197" t="inlineStr"/>
      <c r="BU197" t="inlineStr"/>
      <c r="BV197" t="inlineStr"/>
      <c r="BW197" t="inlineStr"/>
      <c r="BX197" t="inlineStr"/>
      <c r="BY197" t="inlineStr"/>
      <c r="BZ197" t="inlineStr"/>
      <c r="CA197" t="inlineStr"/>
      <c r="CB197" t="inlineStr"/>
      <c r="CC197" t="inlineStr"/>
      <c r="CD197" t="inlineStr"/>
      <c r="CE197" t="inlineStr"/>
      <c r="CF197" t="inlineStr"/>
      <c r="CG197" t="inlineStr"/>
      <c r="CH197" t="inlineStr"/>
      <c r="CI197" t="inlineStr"/>
      <c r="CJ197" t="inlineStr"/>
      <c r="CK197" t="inlineStr"/>
      <c r="CL197" t="inlineStr"/>
      <c r="CM197" t="inlineStr"/>
      <c r="CN197" t="inlineStr"/>
      <c r="CO197" t="inlineStr"/>
      <c r="CP197" t="inlineStr"/>
      <c r="CQ197" t="inlineStr"/>
      <c r="CR197" t="inlineStr"/>
      <c r="CS197" t="inlineStr"/>
      <c r="CT197" t="inlineStr"/>
      <c r="CU197" t="inlineStr"/>
      <c r="CV197" t="inlineStr"/>
      <c r="CW197" t="inlineStr"/>
      <c r="CX197" t="inlineStr"/>
      <c r="CY197" t="inlineStr"/>
      <c r="CZ197" t="inlineStr"/>
      <c r="DA197" t="inlineStr"/>
      <c r="DB197" t="inlineStr"/>
      <c r="DC197" t="inlineStr"/>
      <c r="DD197" t="inlineStr"/>
      <c r="DE197" t="inlineStr"/>
      <c r="DF197" t="inlineStr"/>
      <c r="DG197" t="inlineStr"/>
      <c r="DH197" t="inlineStr"/>
      <c r="DI197" t="inlineStr"/>
      <c r="DJ197" t="inlineStr"/>
      <c r="DK197" t="inlineStr"/>
      <c r="DL197" t="inlineStr"/>
      <c r="DM197" t="inlineStr"/>
      <c r="DN197" t="inlineStr"/>
      <c r="DO197" t="inlineStr"/>
      <c r="DP197" t="inlineStr"/>
      <c r="DQ197" t="inlineStr"/>
      <c r="DR197" t="inlineStr"/>
      <c r="DS197" t="inlineStr"/>
      <c r="DT197" t="inlineStr"/>
      <c r="DU197" t="inlineStr"/>
      <c r="DV197" t="inlineStr"/>
      <c r="DW197" t="inlineStr"/>
      <c r="DX197" t="inlineStr"/>
      <c r="DY197" t="inlineStr"/>
      <c r="DZ197" t="inlineStr"/>
      <c r="EA197" t="inlineStr"/>
      <c r="EB197" t="inlineStr"/>
      <c r="EC197" t="inlineStr"/>
      <c r="ED197" t="inlineStr"/>
      <c r="EE197" t="inlineStr"/>
      <c r="EF197" t="inlineStr"/>
      <c r="EG197" t="inlineStr"/>
      <c r="EH197" t="inlineStr"/>
      <c r="EI197" t="inlineStr"/>
      <c r="EJ197" t="inlineStr"/>
      <c r="EK197" t="inlineStr"/>
      <c r="EL197" t="inlineStr"/>
      <c r="EM197" t="inlineStr"/>
      <c r="EN197" t="inlineStr"/>
      <c r="EO197" t="inlineStr"/>
      <c r="EP197" t="inlineStr"/>
      <c r="EQ197" t="inlineStr"/>
      <c r="ER197" t="inlineStr"/>
      <c r="ES197" t="inlineStr"/>
      <c r="ET197" t="inlineStr"/>
      <c r="EU197" t="inlineStr"/>
      <c r="EV197" t="inlineStr"/>
      <c r="EW197" t="inlineStr"/>
      <c r="EX197" t="inlineStr"/>
      <c r="EY197" t="inlineStr"/>
      <c r="EZ197" t="inlineStr"/>
      <c r="FA197" t="inlineStr"/>
      <c r="FB197" t="inlineStr"/>
      <c r="FC197" t="inlineStr"/>
      <c r="FD197" t="inlineStr"/>
      <c r="FE197" t="inlineStr"/>
      <c r="FF197" t="inlineStr"/>
      <c r="FG197" t="inlineStr"/>
      <c r="FH197" t="inlineStr"/>
      <c r="FI197" t="inlineStr"/>
      <c r="FJ197" t="inlineStr"/>
      <c r="FK197" t="inlineStr"/>
      <c r="FL197" t="inlineStr"/>
      <c r="FM197" t="inlineStr"/>
      <c r="FN197" t="inlineStr"/>
      <c r="FO197" t="inlineStr"/>
      <c r="FP197" t="inlineStr"/>
      <c r="FQ197" t="inlineStr"/>
      <c r="FR197" t="inlineStr"/>
      <c r="FS197" t="inlineStr"/>
      <c r="FT197" t="inlineStr"/>
      <c r="FU197" t="inlineStr"/>
      <c r="FV197" t="inlineStr"/>
      <c r="FW197" t="inlineStr"/>
      <c r="FX197" t="inlineStr"/>
      <c r="FY197" t="inlineStr"/>
      <c r="FZ197" t="inlineStr"/>
      <c r="GA197" t="inlineStr"/>
      <c r="GB197" t="inlineStr"/>
      <c r="GC197" t="inlineStr"/>
      <c r="GD197" t="inlineStr"/>
      <c r="GE197" t="inlineStr"/>
      <c r="GF197" t="inlineStr"/>
      <c r="GG197" t="inlineStr"/>
      <c r="GH197" t="inlineStr"/>
      <c r="GI197" t="inlineStr"/>
      <c r="GJ197" t="inlineStr"/>
      <c r="GK197" t="inlineStr"/>
      <c r="GL197" t="inlineStr"/>
      <c r="GM197" t="inlineStr"/>
      <c r="GN197" t="inlineStr"/>
      <c r="GO197" t="inlineStr"/>
      <c r="GP197" t="inlineStr"/>
      <c r="GQ197" t="inlineStr"/>
      <c r="GR197" t="inlineStr"/>
      <c r="GS197" t="inlineStr"/>
      <c r="GT197" t="inlineStr"/>
      <c r="GU197" t="inlineStr"/>
      <c r="GV197" t="inlineStr"/>
      <c r="GW197" t="inlineStr"/>
      <c r="GX197" t="inlineStr"/>
      <c r="GY197" t="inlineStr"/>
      <c r="GZ197" t="inlineStr"/>
      <c r="HA197" t="inlineStr"/>
      <c r="HB197" t="inlineStr"/>
      <c r="HC197" t="inlineStr"/>
      <c r="HD197" t="inlineStr"/>
      <c r="HE197" t="inlineStr"/>
      <c r="HF197" t="inlineStr"/>
      <c r="HG197" t="inlineStr"/>
      <c r="HH197" t="inlineStr"/>
      <c r="HI197" t="inlineStr"/>
      <c r="HJ197" t="inlineStr"/>
      <c r="HK197" t="inlineStr"/>
      <c r="HL197" t="inlineStr"/>
      <c r="HM197" t="inlineStr"/>
      <c r="HN197" t="inlineStr"/>
      <c r="HO197" t="inlineStr"/>
      <c r="HP197" t="inlineStr"/>
      <c r="HQ197" t="inlineStr"/>
      <c r="HR197" t="inlineStr"/>
      <c r="HS197" t="inlineStr"/>
      <c r="HT197" t="inlineStr"/>
      <c r="HU197" t="inlineStr"/>
      <c r="HV197" t="inlineStr"/>
      <c r="HW197" t="inlineStr"/>
      <c r="HX197" t="inlineStr"/>
      <c r="HY197" t="inlineStr"/>
      <c r="HZ197" t="inlineStr"/>
      <c r="IA197" t="inlineStr"/>
      <c r="IB197" t="inlineStr"/>
      <c r="IC197" t="inlineStr"/>
      <c r="ID197" t="inlineStr"/>
      <c r="IE197" t="inlineStr">
        <is>
          <t>974</t>
        </is>
      </c>
      <c r="IF197" t="inlineStr">
        <is>
          <t>Blog (974)</t>
        </is>
      </c>
      <c r="IG197" t="inlineStr"/>
      <c r="IH197" t="inlineStr"/>
      <c r="II197" t="inlineStr"/>
      <c r="IJ197" t="inlineStr"/>
      <c r="IK197" t="inlineStr"/>
      <c r="IL197" t="inlineStr"/>
      <c r="IM197" t="inlineStr"/>
      <c r="IN197" t="inlineStr"/>
      <c r="IO197" t="inlineStr"/>
      <c r="IP197" t="inlineStr"/>
      <c r="IQ197" t="inlineStr"/>
      <c r="IR197" t="inlineStr"/>
      <c r="IS197">
        <f>IF(input_content_type="",FALSE,ISNUMBER(SEARCH(","&amp;LOWER(input_content_type)&amp;",",","&amp;LOWER(F197)&amp;",")))</f>
        <v/>
      </c>
      <c r="IT197">
        <f>AND(IF(M197="",TRUE,IF(input_affiliations="",FALSE,SUMPRODUCT(--ISNUMBER(SEARCH(","&amp;TRIM(TEXTSPLIT(M197,","))&amp;",",","&amp;SUBSTITUTE(input_affiliations," ","")&amp;",")))&gt;0)),IF(O197="",TRUE,IF(input_affiliations="",FALSE,SUMPRODUCT(--ISNUMBER(SEARCH(","&amp;TRIM(TEXTSPLIT(O197,","))&amp;",",","&amp;SUBSTITUTE(input_affiliations," ","")&amp;",")))=COUNTA(TEXTSPLIT(O197,",")))),IF(Q197="",TRUE,IF(input_affiliations="",TRUE,SUMPRODUCT(--ISNUMBER(SEARCH(","&amp;TRIM(TEXTSPLIT(Q197,","))&amp;",",","&amp;SUBSTITUTE(input_affiliations," ","")&amp;",")))=0)),IF(S197="",TRUE,IF(input_affiliations="",FALSE,SUMPRODUCT(--ISNUMBER(SEARCH(","&amp;TRIM(TEXTSPLIT(S197,","))&amp;",",","&amp;SUBSTITUTE(input_affiliations," ","")&amp;",")))&gt;0)),IF(U197="",TRUE,IF(input_affiliations="",FALSE,SUMPRODUCT(--ISNUMBER(SEARCH(","&amp;TRIM(TEXTSPLIT(U197,","))&amp;",",","&amp;SUBSTITUTE(input_affiliations," ","")&amp;",")))=COUNTA(TEXTSPLIT(U197,",")))))</f>
        <v/>
      </c>
      <c r="IU197">
        <f>AND(IF(W197="",TRUE,IF(input_announcement_category="",FALSE,SUMPRODUCT(--ISNUMBER(SEARCH(","&amp;TRIM(TEXTSPLIT(W197,","))&amp;",",","&amp;SUBSTITUTE(input_announcement_category," ","")&amp;",")))&gt;0)),IF(Y197="",TRUE,IF(input_announcement_category="",FALSE,SUMPRODUCT(--ISNUMBER(SEARCH(","&amp;TRIM(TEXTSPLIT(Y197,","))&amp;",",","&amp;SUBSTITUTE(input_announcement_category," ","")&amp;",")))=COUNTA(TEXTSPLIT(Y197,",")))),IF(AA197="",TRUE,IF(input_announcement_category="",TRUE,SUMPRODUCT(--ISNUMBER(SEARCH(","&amp;TRIM(TEXTSPLIT(AA197,","))&amp;",",","&amp;SUBSTITUTE(input_announcement_category," ","")&amp;",")))=0)),IF(AC197="",TRUE,IF(input_announcement_category="",FALSE,SUMPRODUCT(--ISNUMBER(SEARCH(","&amp;TRIM(TEXTSPLIT(AC197,","))&amp;",",","&amp;SUBSTITUTE(input_announcement_category," ","")&amp;",")))&gt;0)),IF(AE197="",TRUE,IF(input_announcement_category="",FALSE,SUMPRODUCT(--ISNUMBER(SEARCH(","&amp;TRIM(TEXTSPLIT(AE197,","))&amp;",",","&amp;SUBSTITUTE(input_announcement_category," ","")&amp;",")))=COUNTA(TEXTSPLIT(AE197,",")))))</f>
        <v/>
      </c>
      <c r="IV197">
        <f>AND(IF(AG197="",TRUE,IF(input_area_of_focus="",FALSE,SUMPRODUCT(--ISNUMBER(SEARCH(","&amp;TRIM(TEXTSPLIT(AG197,","))&amp;",",","&amp;SUBSTITUTE(input_area_of_focus," ","")&amp;",")))&gt;0)),IF(AI197="",TRUE,IF(input_area_of_focus="",FALSE,SUMPRODUCT(--ISNUMBER(SEARCH(","&amp;TRIM(TEXTSPLIT(AI197,","))&amp;",",","&amp;SUBSTITUTE(input_area_of_focus," ","")&amp;",")))=COUNTA(TEXTSPLIT(AI197,",")))),IF(AK197="",TRUE,IF(input_area_of_focus="",TRUE,SUMPRODUCT(--ISNUMBER(SEARCH(","&amp;TRIM(TEXTSPLIT(AK197,","))&amp;",",","&amp;SUBSTITUTE(input_area_of_focus," ","")&amp;",")))=0)),IF(AM197="",TRUE,IF(input_area_of_focus="",FALSE,SUMPRODUCT(--ISNUMBER(SEARCH(","&amp;TRIM(TEXTSPLIT(AM197,","))&amp;",",","&amp;SUBSTITUTE(input_area_of_focus," ","")&amp;",")))&gt;0)),IF(AO197="",TRUE,IF(input_area_of_focus="",FALSE,SUMPRODUCT(--ISNUMBER(SEARCH(","&amp;TRIM(TEXTSPLIT(AO197,","))&amp;",",","&amp;SUBSTITUTE(input_area_of_focus," ","")&amp;",")))=COUNTA(TEXTSPLIT(AO197,",")))))</f>
        <v/>
      </c>
      <c r="IW197">
        <f>AND(IF(AQ197="",TRUE,IF(input_audience="",FALSE,SUMPRODUCT(--ISNUMBER(SEARCH(","&amp;TRIM(TEXTSPLIT(AQ197,","))&amp;",",","&amp;SUBSTITUTE(input_audience," ","")&amp;",")))&gt;0)),IF(AS197="",TRUE,IF(input_audience="",FALSE,SUMPRODUCT(--ISNUMBER(SEARCH(","&amp;TRIM(TEXTSPLIT(AS197,","))&amp;",",","&amp;SUBSTITUTE(input_audience," ","")&amp;",")))=COUNTA(TEXTSPLIT(AS197,",")))),IF(AU197="",TRUE,IF(input_audience="",TRUE,SUMPRODUCT(--ISNUMBER(SEARCH(","&amp;TRIM(TEXTSPLIT(AU197,","))&amp;",",","&amp;SUBSTITUTE(input_audience," ","")&amp;",")))=0)),IF(AW197="",TRUE,IF(input_audience="",FALSE,SUMPRODUCT(--ISNUMBER(SEARCH(","&amp;TRIM(TEXTSPLIT(AW197,","))&amp;",",","&amp;SUBSTITUTE(input_audience," ","")&amp;",")))&gt;0)),IF(AY197="",TRUE,IF(input_audience="",FALSE,SUMPRODUCT(--ISNUMBER(SEARCH(","&amp;TRIM(TEXTSPLIT(AY197,","))&amp;",",","&amp;SUBSTITUTE(input_audience," ","")&amp;",")))=COUNTA(TEXTSPLIT(AY197,",")))))</f>
        <v/>
      </c>
      <c r="IX197">
        <f>AND(IF(BA197="",TRUE,IF(input_challenge_opportunities="",FALSE,SUMPRODUCT(--ISNUMBER(SEARCH(","&amp;TRIM(TEXTSPLIT(BA197,","))&amp;",",","&amp;SUBSTITUTE(input_challenge_opportunities," ","")&amp;",")))&gt;0)),IF(BC197="",TRUE,IF(input_challenge_opportunities="",FALSE,SUMPRODUCT(--ISNUMBER(SEARCH(","&amp;TRIM(TEXTSPLIT(BC197,","))&amp;",",","&amp;SUBSTITUTE(input_challenge_opportunities," ","")&amp;",")))=COUNTA(TEXTSPLIT(BC197,",")))),IF(BE197="",TRUE,IF(input_challenge_opportunities="",TRUE,SUMPRODUCT(--ISNUMBER(SEARCH(","&amp;TRIM(TEXTSPLIT(BE197,","))&amp;",",","&amp;SUBSTITUTE(input_challenge_opportunities," ","")&amp;",")))=0)),IF(BG197="",TRUE,IF(input_challenge_opportunities="",FALSE,SUMPRODUCT(--ISNUMBER(SEARCH(","&amp;TRIM(TEXTSPLIT(BG197,","))&amp;",",","&amp;SUBSTITUTE(input_challenge_opportunities," ","")&amp;",")))&gt;0)),IF(BI197="",TRUE,IF(input_challenge_opportunities="",FALSE,SUMPRODUCT(--ISNUMBER(SEARCH(","&amp;TRIM(TEXTSPLIT(BI197,","))&amp;",",","&amp;SUBSTITUTE(input_challenge_opportunities," ","")&amp;",")))=COUNTA(TEXTSPLIT(BI197,",")))))</f>
        <v/>
      </c>
      <c r="IY197">
        <f>AND(IF(BK197="",TRUE,IF(input_context="",FALSE,SUMPRODUCT(--ISNUMBER(SEARCH(","&amp;TRIM(TEXTSPLIT(BK197,","))&amp;",",","&amp;SUBSTITUTE(input_context," ","")&amp;",")))&gt;0)),IF(BM197="",TRUE,IF(input_context="",FALSE,SUMPRODUCT(--ISNUMBER(SEARCH(","&amp;TRIM(TEXTSPLIT(BM197,","))&amp;",",","&amp;SUBSTITUTE(input_context," ","")&amp;",")))=COUNTA(TEXTSPLIT(BM197,",")))),IF(BO197="",TRUE,IF(input_context="",TRUE,SUMPRODUCT(--ISNUMBER(SEARCH(","&amp;TRIM(TEXTSPLIT(BO197,","))&amp;",",","&amp;SUBSTITUTE(input_context," ","")&amp;",")))=0)),IF(BQ197="",TRUE,IF(input_context="",FALSE,SUMPRODUCT(--ISNUMBER(SEARCH(","&amp;TRIM(TEXTSPLIT(BQ197,","))&amp;",",","&amp;SUBSTITUTE(input_context," ","")&amp;",")))&gt;0)),IF(BS197="",TRUE,IF(input_context="",FALSE,SUMPRODUCT(--ISNUMBER(SEARCH(","&amp;TRIM(TEXTSPLIT(BS197,","))&amp;",",","&amp;SUBSTITUTE(input_context," ","")&amp;",")))=COUNTA(TEXTSPLIT(BS197,",")))))</f>
        <v/>
      </c>
      <c r="IZ197">
        <f>AND(IF(BU197="",TRUE,IF(input_enews_announcement_type="",FALSE,SUMPRODUCT(--ISNUMBER(SEARCH(","&amp;TRIM(TEXTSPLIT(BU197,","))&amp;",",","&amp;SUBSTITUTE(input_enews_announcement_type," ","")&amp;",")))&gt;0)),IF(BW197="",TRUE,IF(input_enews_announcement_type="",FALSE,SUMPRODUCT(--ISNUMBER(SEARCH(","&amp;TRIM(TEXTSPLIT(BW197,","))&amp;",",","&amp;SUBSTITUTE(input_enews_announcement_type," ","")&amp;",")))=COUNTA(TEXTSPLIT(BW197,",")))),IF(BY197="",TRUE,IF(input_enews_announcement_type="",TRUE,SUMPRODUCT(--ISNUMBER(SEARCH(","&amp;TRIM(TEXTSPLIT(BY197,","))&amp;",",","&amp;SUBSTITUTE(input_enews_announcement_type," ","")&amp;",")))=0)),IF(CA197="",TRUE,IF(input_enews_announcement_type="",FALSE,SUMPRODUCT(--ISNUMBER(SEARCH(","&amp;TRIM(TEXTSPLIT(CA197,","))&amp;",",","&amp;SUBSTITUTE(input_enews_announcement_type," ","")&amp;",")))&gt;0)),IF(CC197="",TRUE,IF(input_enews_announcement_type="",FALSE,SUMPRODUCT(--ISNUMBER(SEARCH(","&amp;TRIM(TEXTSPLIT(CC197,","))&amp;",",","&amp;SUBSTITUTE(input_enews_announcement_type," ","")&amp;",")))=COUNTA(TEXTSPLIT(CC197,",")))))</f>
        <v/>
      </c>
      <c r="JA197">
        <f>AND(IF(CE197="",TRUE,IF(input_enews_audience="",FALSE,SUMPRODUCT(--ISNUMBER(SEARCH(","&amp;TRIM(TEXTSPLIT(CE197,","))&amp;",",","&amp;SUBSTITUTE(input_enews_audience," ","")&amp;",")))&gt;0)),IF(CG197="",TRUE,IF(input_enews_audience="",FALSE,SUMPRODUCT(--ISNUMBER(SEARCH(","&amp;TRIM(TEXTSPLIT(CG197,","))&amp;",",","&amp;SUBSTITUTE(input_enews_audience," ","")&amp;",")))=COUNTA(TEXTSPLIT(CG197,",")))),IF(CI197="",TRUE,IF(input_enews_audience="",TRUE,SUMPRODUCT(--ISNUMBER(SEARCH(","&amp;TRIM(TEXTSPLIT(CI197,","))&amp;",",","&amp;SUBSTITUTE(input_enews_audience," ","")&amp;",")))=0)),IF(CK197="",TRUE,IF(input_enews_audience="",FALSE,SUMPRODUCT(--ISNUMBER(SEARCH(","&amp;TRIM(TEXTSPLIT(CK197,","))&amp;",",","&amp;SUBSTITUTE(input_enews_audience," ","")&amp;",")))&gt;0)),IF(CM197="",TRUE,IF(input_enews_audience="",FALSE,SUMPRODUCT(--ISNUMBER(SEARCH(","&amp;TRIM(TEXTSPLIT(CM197,","))&amp;",",","&amp;SUBSTITUTE(input_enews_audience," ","")&amp;",")))=COUNTA(TEXTSPLIT(CM197,",")))))</f>
        <v/>
      </c>
      <c r="JB197">
        <f>AND(IF(CO197="",TRUE,IF(input_event_location="",FALSE,SUMPRODUCT(--ISNUMBER(SEARCH(","&amp;TRIM(TEXTSPLIT(CO197,","))&amp;",",","&amp;SUBSTITUTE(input_event_location," ","")&amp;",")))&gt;0)),IF(CQ197="",TRUE,IF(input_event_location="",FALSE,SUMPRODUCT(--ISNUMBER(SEARCH(","&amp;TRIM(TEXTSPLIT(CQ197,","))&amp;",",","&amp;SUBSTITUTE(input_event_location," ","")&amp;",")))=COUNTA(TEXTSPLIT(CQ197,",")))),IF(CS197="",TRUE,IF(input_event_location="",TRUE,SUMPRODUCT(--ISNUMBER(SEARCH(","&amp;TRIM(TEXTSPLIT(CS197,","))&amp;",",","&amp;SUBSTITUTE(input_event_location," ","")&amp;",")))=0)),IF(CU197="",TRUE,IF(input_event_location="",FALSE,SUMPRODUCT(--ISNUMBER(SEARCH(","&amp;TRIM(TEXTSPLIT(CU197,","))&amp;",",","&amp;SUBSTITUTE(input_event_location," ","")&amp;",")))&gt;0)),IF(CW197="",TRUE,IF(input_event_location="",FALSE,SUMPRODUCT(--ISNUMBER(SEARCH(","&amp;TRIM(TEXTSPLIT(CW197,","))&amp;",",","&amp;SUBSTITUTE(input_event_location," ","")&amp;",")))=COUNTA(TEXTSPLIT(CW197,",")))))</f>
        <v/>
      </c>
      <c r="JC197">
        <f>AND(IF(CY197="",TRUE,IF(input_event_type="",FALSE,SUMPRODUCT(--ISNUMBER(SEARCH(","&amp;TRIM(TEXTSPLIT(CY197,","))&amp;",",","&amp;SUBSTITUTE(input_event_type," ","")&amp;",")))&gt;0)),IF(DA197="",TRUE,IF(input_event_type="",FALSE,SUMPRODUCT(--ISNUMBER(SEARCH(","&amp;TRIM(TEXTSPLIT(DA197,","))&amp;",",","&amp;SUBSTITUTE(input_event_type," ","")&amp;",")))=COUNTA(TEXTSPLIT(DA197,",")))),IF(DC197="",TRUE,IF(input_event_type="",TRUE,SUMPRODUCT(--ISNUMBER(SEARCH(","&amp;TRIM(TEXTSPLIT(DC197,","))&amp;",",","&amp;SUBSTITUTE(input_event_type," ","")&amp;",")))=0)),IF(DE197="",TRUE,IF(input_event_type="",FALSE,SUMPRODUCT(--ISNUMBER(SEARCH(","&amp;TRIM(TEXTSPLIT(DE197,","))&amp;",",","&amp;SUBSTITUTE(input_event_type," ","")&amp;",")))&gt;0)),IF(DG197="",TRUE,IF(input_event_type="",FALSE,SUMPRODUCT(--ISNUMBER(SEARCH(","&amp;TRIM(TEXTSPLIT(DG197,","))&amp;",",","&amp;SUBSTITUTE(input_event_type," ","")&amp;",")))=COUNTA(TEXTSPLIT(DG197,",")))))</f>
        <v/>
      </c>
      <c r="JD197">
        <f>AND(IF(DI197="",TRUE,IF(input_executive_education_focus="",FALSE,SUMPRODUCT(--ISNUMBER(SEARCH(","&amp;TRIM(TEXTSPLIT(DI197,","))&amp;",",","&amp;SUBSTITUTE(input_executive_education_focus," ","")&amp;",")))&gt;0)),IF(DK197="",TRUE,IF(input_executive_education_focus="",FALSE,SUMPRODUCT(--ISNUMBER(SEARCH(","&amp;TRIM(TEXTSPLIT(DK197,","))&amp;",",","&amp;SUBSTITUTE(input_executive_education_focus," ","")&amp;",")))=COUNTA(TEXTSPLIT(DK197,",")))),IF(DM197="",TRUE,IF(input_executive_education_focus="",TRUE,SUMPRODUCT(--ISNUMBER(SEARCH(","&amp;TRIM(TEXTSPLIT(DM197,","))&amp;",",","&amp;SUBSTITUTE(input_executive_education_focus," ","")&amp;",")))=0)),IF(DO197="",TRUE,IF(input_executive_education_focus="",FALSE,SUMPRODUCT(--ISNUMBER(SEARCH(","&amp;TRIM(TEXTSPLIT(DO197,","))&amp;",",","&amp;SUBSTITUTE(input_executive_education_focus," ","")&amp;",")))&gt;0)),IF(DQ197="",TRUE,IF(input_executive_education_focus="",FALSE,SUMPRODUCT(--ISNUMBER(SEARCH(","&amp;TRIM(TEXTSPLIT(DQ197,","))&amp;",",","&amp;SUBSTITUTE(input_executive_education_focus," ","")&amp;",")))=COUNTA(TEXTSPLIT(DQ197,",")))))</f>
        <v/>
      </c>
      <c r="JE197">
        <f>AND(IF(DS197="",TRUE,IF(input_faculty_category="",FALSE,SUMPRODUCT(--ISNUMBER(SEARCH(","&amp;TRIM(TEXTSPLIT(DS197,","))&amp;",",","&amp;SUBSTITUTE(input_faculty_category," ","")&amp;",")))&gt;0)),IF(DU197="",TRUE,IF(input_faculty_category="",FALSE,SUMPRODUCT(--ISNUMBER(SEARCH(","&amp;TRIM(TEXTSPLIT(DU197,","))&amp;",",","&amp;SUBSTITUTE(input_faculty_category," ","")&amp;",")))=COUNTA(TEXTSPLIT(DU197,",")))),IF(DW197="",TRUE,IF(input_faculty_category="",TRUE,SUMPRODUCT(--ISNUMBER(SEARCH(","&amp;TRIM(TEXTSPLIT(DW197,","))&amp;",",","&amp;SUBSTITUTE(input_faculty_category," ","")&amp;",")))=0)),IF(DY197="",TRUE,IF(input_faculty_category="",FALSE,SUMPRODUCT(--ISNUMBER(SEARCH(","&amp;TRIM(TEXTSPLIT(DY197,","))&amp;",",","&amp;SUBSTITUTE(input_faculty_category," ","")&amp;",")))&gt;0)),IF(EA197="",TRUE,IF(input_faculty_category="",FALSE,SUMPRODUCT(--ISNUMBER(SEARCH(","&amp;TRIM(TEXTSPLIT(EA197,","))&amp;",",","&amp;SUBSTITUTE(input_faculty_category," ","")&amp;",")))=COUNTA(TEXTSPLIT(EA197,",")))))</f>
        <v/>
      </c>
      <c r="JF197">
        <f>AND(IF(EC197="",TRUE,IF(input_faculty_discipline="",FALSE,SUMPRODUCT(--ISNUMBER(SEARCH(","&amp;TRIM(TEXTSPLIT(EC197,","))&amp;",",","&amp;SUBSTITUTE(input_faculty_discipline," ","")&amp;",")))&gt;0)),IF(EE197="",TRUE,IF(input_faculty_discipline="",FALSE,SUMPRODUCT(--ISNUMBER(SEARCH(","&amp;TRIM(TEXTSPLIT(EE197,","))&amp;",",","&amp;SUBSTITUTE(input_faculty_discipline," ","")&amp;",")))=COUNTA(TEXTSPLIT(EE197,",")))),IF(EG197="",TRUE,IF(input_faculty_discipline="",TRUE,SUMPRODUCT(--ISNUMBER(SEARCH(","&amp;TRIM(TEXTSPLIT(EG197,","))&amp;",",","&amp;SUBSTITUTE(input_faculty_discipline," ","")&amp;",")))=0)),IF(EI197="",TRUE,IF(input_faculty_discipline="",FALSE,SUMPRODUCT(--ISNUMBER(SEARCH(","&amp;TRIM(TEXTSPLIT(EI197,","))&amp;",",","&amp;SUBSTITUTE(input_faculty_discipline," ","")&amp;",")))&gt;0)),IF(EK197="",TRUE,IF(input_faculty_discipline="",FALSE,SUMPRODUCT(--ISNUMBER(SEARCH(","&amp;TRIM(TEXTSPLIT(EK197,","))&amp;",",","&amp;SUBSTITUTE(input_faculty_discipline," ","")&amp;",")))=COUNTA(TEXTSPLIT(EK197,",")))))</f>
        <v/>
      </c>
      <c r="JG197">
        <f>AND(IF(EM197="",TRUE,IF(input_faculty_expertise="",FALSE,SUMPRODUCT(--ISNUMBER(SEARCH(","&amp;TRIM(TEXTSPLIT(EM197,","))&amp;",",","&amp;SUBSTITUTE(input_faculty_expertise," ","")&amp;",")))&gt;0)),IF(EO197="",TRUE,IF(input_faculty_expertise="",FALSE,SUMPRODUCT(--ISNUMBER(SEARCH(","&amp;TRIM(TEXTSPLIT(EO197,","))&amp;",",","&amp;SUBSTITUTE(input_faculty_expertise," ","")&amp;",")))=COUNTA(TEXTSPLIT(EO197,",")))),IF(EQ197="",TRUE,IF(input_faculty_expertise="",TRUE,SUMPRODUCT(--ISNUMBER(SEARCH(","&amp;TRIM(TEXTSPLIT(EQ197,","))&amp;",",","&amp;SUBSTITUTE(input_faculty_expertise," ","")&amp;",")))=0)),IF(ES197="",TRUE,IF(input_faculty_expertise="",FALSE,SUMPRODUCT(--ISNUMBER(SEARCH(","&amp;TRIM(TEXTSPLIT(ES197,","))&amp;",",","&amp;SUBSTITUTE(input_faculty_expertise," ","")&amp;",")))&gt;0)),IF(EU197="",TRUE,IF(input_faculty_expertise="",FALSE,SUMPRODUCT(--ISNUMBER(SEARCH(","&amp;TRIM(TEXTSPLIT(EU197,","))&amp;",",","&amp;SUBSTITUTE(input_faculty_expertise," ","")&amp;",")))=COUNTA(TEXTSPLIT(EU197,",")))))</f>
        <v/>
      </c>
      <c r="JH197">
        <f>AND(IF(EW197="",TRUE,IF(input_global_network_school="",FALSE,SUMPRODUCT(--ISNUMBER(SEARCH(","&amp;TRIM(TEXTSPLIT(EW197,","))&amp;",",","&amp;SUBSTITUTE(input_global_network_school," ","")&amp;",")))&gt;0)),IF(EY197="",TRUE,IF(input_global_network_school="",FALSE,SUMPRODUCT(--ISNUMBER(SEARCH(","&amp;TRIM(TEXTSPLIT(EY197,","))&amp;",",","&amp;SUBSTITUTE(input_global_network_school," ","")&amp;",")))=COUNTA(TEXTSPLIT(EY197,",")))),IF(FA197="",TRUE,IF(input_global_network_school="",TRUE,SUMPRODUCT(--ISNUMBER(SEARCH(","&amp;TRIM(TEXTSPLIT(FA197,","))&amp;",",","&amp;SUBSTITUTE(input_global_network_school," ","")&amp;",")))=0)),IF(FC197="",TRUE,IF(input_global_network_school="",FALSE,SUMPRODUCT(--ISNUMBER(SEARCH(","&amp;TRIM(TEXTSPLIT(FC197,","))&amp;",",","&amp;SUBSTITUTE(input_global_network_school," ","")&amp;",")))&gt;0)),IF(FE197="",TRUE,IF(input_global_network_school="",FALSE,SUMPRODUCT(--ISNUMBER(SEARCH(","&amp;TRIM(TEXTSPLIT(FE197,","))&amp;",",","&amp;SUBSTITUTE(input_global_network_school," ","")&amp;",")))=COUNTA(TEXTSPLIT(FE197,",")))))</f>
        <v/>
      </c>
      <c r="JI197">
        <f>AND(IF(FG197="",TRUE,IF(input_industry="",FALSE,SUMPRODUCT(--ISNUMBER(SEARCH(","&amp;TRIM(TEXTSPLIT(FG197,","))&amp;",",","&amp;SUBSTITUTE(input_industry," ","")&amp;",")))&gt;0)),IF(FI197="",TRUE,IF(input_industry="",FALSE,SUMPRODUCT(--ISNUMBER(SEARCH(","&amp;TRIM(TEXTSPLIT(FI197,","))&amp;",",","&amp;SUBSTITUTE(input_industry," ","")&amp;",")))=COUNTA(TEXTSPLIT(FI197,",")))),IF(FK197="",TRUE,IF(input_industry="",TRUE,SUMPRODUCT(--ISNUMBER(SEARCH(","&amp;TRIM(TEXTSPLIT(FK197,","))&amp;",",","&amp;SUBSTITUTE(input_industry," ","")&amp;",")))=0)),IF(FM197="",TRUE,IF(input_industry="",FALSE,SUMPRODUCT(--ISNUMBER(SEARCH(","&amp;TRIM(TEXTSPLIT(FM197,","))&amp;",",","&amp;SUBSTITUTE(input_industry," ","")&amp;",")))&gt;0)),IF(FO197="",TRUE,IF(input_industry="",FALSE,SUMPRODUCT(--ISNUMBER(SEARCH(","&amp;TRIM(TEXTSPLIT(FO197,","))&amp;",",","&amp;SUBSTITUTE(input_industry," ","")&amp;",")))=COUNTA(TEXTSPLIT(FO197,",")))))</f>
        <v/>
      </c>
      <c r="JJ197">
        <f>AND(IF(FQ197="",TRUE,IF(input_location="",FALSE,SUMPRODUCT(--ISNUMBER(SEARCH(","&amp;TRIM(TEXTSPLIT(FQ197,","))&amp;",",","&amp;SUBSTITUTE(input_location," ","")&amp;",")))&gt;0)),IF(FS197="",TRUE,IF(input_location="",FALSE,SUMPRODUCT(--ISNUMBER(SEARCH(","&amp;TRIM(TEXTSPLIT(FS197,","))&amp;",",","&amp;SUBSTITUTE(input_location," ","")&amp;",")))=COUNTA(TEXTSPLIT(FS197,",")))),IF(FU197="",TRUE,IF(input_location="",TRUE,SUMPRODUCT(--ISNUMBER(SEARCH(","&amp;TRIM(TEXTSPLIT(FU197,","))&amp;",",","&amp;SUBSTITUTE(input_location," ","")&amp;",")))=0)),IF(FW197="",TRUE,IF(input_location="",FALSE,SUMPRODUCT(--ISNUMBER(SEARCH(","&amp;TRIM(TEXTSPLIT(FW197,","))&amp;",",","&amp;SUBSTITUTE(input_location," ","")&amp;",")))&gt;0)),IF(FY197="",TRUE,IF(input_location="",FALSE,SUMPRODUCT(--ISNUMBER(SEARCH(","&amp;TRIM(TEXTSPLIT(FY197,","))&amp;",",","&amp;SUBSTITUTE(input_location," ","")&amp;",")))=COUNTA(TEXTSPLIT(FY197,",")))))</f>
        <v/>
      </c>
      <c r="JK197">
        <f>AND(IF(GA197="",TRUE,IF(input_modality="",FALSE,SUMPRODUCT(--ISNUMBER(SEARCH(","&amp;TRIM(TEXTSPLIT(GA197,","))&amp;",",","&amp;SUBSTITUTE(input_modality," ","")&amp;",")))&gt;0)),IF(GC197="",TRUE,IF(input_modality="",FALSE,SUMPRODUCT(--ISNUMBER(SEARCH(","&amp;TRIM(TEXTSPLIT(GC197,","))&amp;",",","&amp;SUBSTITUTE(input_modality," ","")&amp;",")))=COUNTA(TEXTSPLIT(GC197,",")))),IF(GE197="",TRUE,IF(input_modality="",TRUE,SUMPRODUCT(--ISNUMBER(SEARCH(","&amp;TRIM(TEXTSPLIT(GE197,","))&amp;",",","&amp;SUBSTITUTE(input_modality," ","")&amp;",")))=0)),IF(GG197="",TRUE,IF(input_modality="",FALSE,SUMPRODUCT(--ISNUMBER(SEARCH(","&amp;TRIM(TEXTSPLIT(GG197,","))&amp;",",","&amp;SUBSTITUTE(input_modality," ","")&amp;",")))&gt;0)),IF(GI197="",TRUE,IF(input_modality="",FALSE,SUMPRODUCT(--ISNUMBER(SEARCH(","&amp;TRIM(TEXTSPLIT(GI197,","))&amp;",",","&amp;SUBSTITUTE(input_modality," ","")&amp;",")))=COUNTA(TEXTSPLIT(GI197,",")))))</f>
        <v/>
      </c>
      <c r="JL197">
        <f>AND(IF(GK197="",TRUE,IF(input_organizer="",FALSE,SUMPRODUCT(--ISNUMBER(SEARCH(","&amp;TRIM(TEXTSPLIT(GK197,","))&amp;",",","&amp;SUBSTITUTE(input_organizer," ","")&amp;",")))&gt;0)),IF(GM197="",TRUE,IF(input_organizer="",FALSE,SUMPRODUCT(--ISNUMBER(SEARCH(","&amp;TRIM(TEXTSPLIT(GM197,","))&amp;",",","&amp;SUBSTITUTE(input_organizer," ","")&amp;",")))=COUNTA(TEXTSPLIT(GM197,",")))),IF(GO197="",TRUE,IF(input_organizer="",TRUE,SUMPRODUCT(--ISNUMBER(SEARCH(","&amp;TRIM(TEXTSPLIT(GO197,","))&amp;",",","&amp;SUBSTITUTE(input_organizer," ","")&amp;",")))=0)),IF(GQ197="",TRUE,IF(input_organizer="",FALSE,SUMPRODUCT(--ISNUMBER(SEARCH(","&amp;TRIM(TEXTSPLIT(GQ197,","))&amp;",",","&amp;SUBSTITUTE(input_organizer," ","")&amp;",")))&gt;0)),IF(GS197="",TRUE,IF(input_organizer="",FALSE,SUMPRODUCT(--ISNUMBER(SEARCH(","&amp;TRIM(TEXTSPLIT(GS197,","))&amp;",",","&amp;SUBSTITUTE(input_organizer," ","")&amp;",")))=COUNTA(TEXTSPLIT(GS197,",")))))</f>
        <v/>
      </c>
      <c r="JM197">
        <f>AND(IF(GU197="",TRUE,IF(input_profile_type="",FALSE,SUMPRODUCT(--ISNUMBER(SEARCH(","&amp;TRIM(TEXTSPLIT(GU197,","))&amp;",",","&amp;SUBSTITUTE(input_profile_type," ","")&amp;",")))&gt;0)),IF(GW197="",TRUE,IF(input_profile_type="",FALSE,SUMPRODUCT(--ISNUMBER(SEARCH(","&amp;TRIM(TEXTSPLIT(GW197,","))&amp;",",","&amp;SUBSTITUTE(input_profile_type," ","")&amp;",")))=COUNTA(TEXTSPLIT(GW197,",")))),IF(GY197="",TRUE,IF(input_profile_type="",TRUE,SUMPRODUCT(--ISNUMBER(SEARCH(","&amp;TRIM(TEXTSPLIT(GY197,","))&amp;",",","&amp;SUBSTITUTE(input_profile_type," ","")&amp;",")))=0)),IF(HA197="",TRUE,IF(input_profile_type="",FALSE,SUMPRODUCT(--ISNUMBER(SEARCH(","&amp;TRIM(TEXTSPLIT(HA197,","))&amp;",",","&amp;SUBSTITUTE(input_profile_type," ","")&amp;",")))&gt;0)),IF(HC197="",TRUE,IF(input_profile_type="",FALSE,SUMPRODUCT(--ISNUMBER(SEARCH(","&amp;TRIM(TEXTSPLIT(HC197,","))&amp;",",","&amp;SUBSTITUTE(input_profile_type," ","")&amp;",")))=COUNTA(TEXTSPLIT(HC197,",")))))</f>
        <v/>
      </c>
      <c r="JN197">
        <f>AND(IF(HE197="",TRUE,IF(input_program="",FALSE,SUMPRODUCT(--ISNUMBER(SEARCH(","&amp;TRIM(TEXTSPLIT(HE197,","))&amp;",",","&amp;SUBSTITUTE(input_program," ","")&amp;",")))&gt;0)),IF(HG197="",TRUE,IF(input_program="",FALSE,SUMPRODUCT(--ISNUMBER(SEARCH(","&amp;TRIM(TEXTSPLIT(HG197,","))&amp;",",","&amp;SUBSTITUTE(input_program," ","")&amp;",")))=COUNTA(TEXTSPLIT(HG197,",")))),IF(HI197="",TRUE,IF(input_program="",TRUE,SUMPRODUCT(--ISNUMBER(SEARCH(","&amp;TRIM(TEXTSPLIT(HI197,","))&amp;",",","&amp;SUBSTITUTE(input_program," ","")&amp;",")))=0)),IF(HK197="",TRUE,IF(input_program="",FALSE,SUMPRODUCT(--ISNUMBER(SEARCH(","&amp;TRIM(TEXTSPLIT(HK197,","))&amp;",",","&amp;SUBSTITUTE(input_program," ","")&amp;",")))&gt;0)),IF(HM197="",TRUE,IF(input_program="",FALSE,SUMPRODUCT(--ISNUMBER(SEARCH(","&amp;TRIM(TEXTSPLIT(HM197,","))&amp;",",","&amp;SUBSTITUTE(input_program," ","")&amp;",")))=COUNTA(TEXTSPLIT(HM197,",")))))</f>
        <v/>
      </c>
      <c r="JO197">
        <f>AND(IF(HO197="",TRUE,IF(input_story_categories="",FALSE,SUMPRODUCT(--ISNUMBER(SEARCH(","&amp;TRIM(TEXTSPLIT(HO197,","))&amp;",",","&amp;SUBSTITUTE(input_story_categories," ","")&amp;",")))&gt;0)),IF(HQ197="",TRUE,IF(input_story_categories="",FALSE,SUMPRODUCT(--ISNUMBER(SEARCH(","&amp;TRIM(TEXTSPLIT(HQ197,","))&amp;",",","&amp;SUBSTITUTE(input_story_categories," ","")&amp;",")))=COUNTA(TEXTSPLIT(HQ197,",")))),IF(HS197="",TRUE,IF(input_story_categories="",TRUE,SUMPRODUCT(--ISNUMBER(SEARCH(","&amp;TRIM(TEXTSPLIT(HS197,","))&amp;",",","&amp;SUBSTITUTE(input_story_categories," ","")&amp;",")))=0)),IF(HU197="",TRUE,IF(input_story_categories="",FALSE,SUMPRODUCT(--ISNUMBER(SEARCH(","&amp;TRIM(TEXTSPLIT(HU197,","))&amp;",",","&amp;SUBSTITUTE(input_story_categories," ","")&amp;",")))&gt;0)),IF(HW197="",TRUE,IF(input_story_categories="",FALSE,SUMPRODUCT(--ISNUMBER(SEARCH(","&amp;TRIM(TEXTSPLIT(HW197,","))&amp;",",","&amp;SUBSTITUTE(input_story_categories," ","")&amp;",")))=COUNTA(TEXTSPLIT(HW197,",")))))</f>
        <v/>
      </c>
      <c r="JP197">
        <f>AND(IF(HY197="",TRUE,IF(input_story_type="",FALSE,SUMPRODUCT(--ISNUMBER(SEARCH(","&amp;TRIM(TEXTSPLIT(HY197,","))&amp;",",","&amp;SUBSTITUTE(input_story_type," ","")&amp;",")))&gt;0)),IF(IA197="",TRUE,IF(input_story_type="",FALSE,SUMPRODUCT(--ISNUMBER(SEARCH(","&amp;TRIM(TEXTSPLIT(IA197,","))&amp;",",","&amp;SUBSTITUTE(input_story_type," ","")&amp;",")))=COUNTA(TEXTSPLIT(IA197,",")))),IF(IC197="",TRUE,IF(input_story_type="",TRUE,SUMPRODUCT(--ISNUMBER(SEARCH(","&amp;TRIM(TEXTSPLIT(IC197,","))&amp;",",","&amp;SUBSTITUTE(input_story_type," ","")&amp;",")))=0)),IF(IE197="",TRUE,IF(input_story_type="",FALSE,SUMPRODUCT(--ISNUMBER(SEARCH(","&amp;TRIM(TEXTSPLIT(IE197,","))&amp;",",","&amp;SUBSTITUTE(input_story_type," ","")&amp;",")))&gt;0)),IF(IG197="",TRUE,IF(input_story_type="",FALSE,SUMPRODUCT(--ISNUMBER(SEARCH(","&amp;TRIM(TEXTSPLIT(IG197,","))&amp;",",","&amp;SUBSTITUTE(input_story_type," ","")&amp;",")))=COUNTA(TEXTSPLIT(IG197,",")))))</f>
        <v/>
      </c>
      <c r="JQ197">
        <f>AND(IF(II197="",TRUE,IF(input_topics="",FALSE,SUMPRODUCT(--ISNUMBER(SEARCH(","&amp;TRIM(TEXTSPLIT(II197,","))&amp;",",","&amp;SUBSTITUTE(input_topics," ","")&amp;",")))&gt;0)),IF(IK197="",TRUE,IF(input_topics="",FALSE,SUMPRODUCT(--ISNUMBER(SEARCH(","&amp;TRIM(TEXTSPLIT(IK197,","))&amp;",",","&amp;SUBSTITUTE(input_topics," ","")&amp;",")))=COUNTA(TEXTSPLIT(IK197,",")))),IF(IM197="",TRUE,IF(input_topics="",TRUE,SUMPRODUCT(--ISNUMBER(SEARCH(","&amp;TRIM(TEXTSPLIT(IM197,","))&amp;",",","&amp;SUBSTITUTE(input_topics," ","")&amp;",")))=0)),IF(IO197="",TRUE,IF(input_topics="",FALSE,SUMPRODUCT(--ISNUMBER(SEARCH(","&amp;TRIM(TEXTSPLIT(IO197,","))&amp;",",","&amp;SUBSTITUTE(input_topics," ","")&amp;",")))&gt;0)),IF(IQ197="",TRUE,IF(input_topics="",FALSE,SUMPRODUCT(--ISNUMBER(SEARCH(","&amp;TRIM(TEXTSPLIT(IQ197,","))&amp;",",","&amp;SUBSTITUTE(input_topics," ","")&amp;",")))=COUNTA(TEXTSPLIT(IQ197,",")))))</f>
        <v/>
      </c>
    </row>
    <row r="198">
      <c r="A198" s="4">
        <f>IF(NOT(IS198),"Excluded",IF(AND(IT198,IU198,IV198,IW198,IX198,IY198,IZ198,JA198,JB198,JC198,JD198,JE198,JF198,JG198,JH198,JI198,JJ198,JK198,JL198,JM198,JN198,JO198,JP198,JQ198),IF(I198&gt;0,"Eligible but limited","Will appear"),"Excluded"))</f>
        <v/>
      </c>
      <c r="B198" s="4" t="inlineStr">
        <is>
          <t>Related stories on story pages</t>
        </is>
      </c>
      <c r="C198" s="4" t="inlineStr">
        <is>
          <t>/story/2023/james-robertson-99-discusses-leadership-and-social-change</t>
        </is>
      </c>
      <c r="D198" s="4" t="inlineStr">
        <is>
          <t>/story/2023/james-robertson-99-discusses-leadership-and-social-change</t>
        </is>
      </c>
      <c r="E198" s="4" t="n">
        <v>1</v>
      </c>
      <c r="F198" s="4" t="inlineStr">
        <is>
          <t>story</t>
        </is>
      </c>
      <c r="G198" s="4" t="inlineStr">
        <is>
          <t>stories_teaser_cards</t>
        </is>
      </c>
      <c r="H198" s="4" t="inlineStr">
        <is>
          <t>embed_all</t>
        </is>
      </c>
      <c r="I198" s="4" t="n">
        <v>3</v>
      </c>
      <c r="J198" s="4" t="inlineStr">
        <is>
          <t>Template logic</t>
        </is>
      </c>
      <c r="K198" s="4" t="inlineStr">
        <is>
          <t>Grouped surface</t>
        </is>
      </c>
      <c r="L198" s="4" t="inlineStr">
        <is>
          <t>Content type: story; Context uses Courses Context: Headlines (1390); Context uses Story Type: News (924); Limited to 3 item(s); Source: Template logic</t>
        </is>
      </c>
      <c r="M198" t="inlineStr"/>
      <c r="N198" t="inlineStr"/>
      <c r="O198" t="inlineStr"/>
      <c r="P198" t="inlineStr"/>
      <c r="Q198" t="inlineStr"/>
      <c r="R198" t="inlineStr"/>
      <c r="S198" t="inlineStr"/>
      <c r="T198" t="inlineStr"/>
      <c r="U198" t="inlineStr"/>
      <c r="V198" t="inlineStr"/>
      <c r="W198" t="inlineStr"/>
      <c r="X198" t="inlineStr"/>
      <c r="Y198" t="inlineStr"/>
      <c r="Z198" t="inlineStr"/>
      <c r="AA198" t="inlineStr"/>
      <c r="AB198" t="inlineStr"/>
      <c r="AC198" t="inlineStr"/>
      <c r="AD198" t="inlineStr"/>
      <c r="AE198" t="inlineStr"/>
      <c r="AF198" t="inlineStr"/>
      <c r="AG198" t="inlineStr"/>
      <c r="AH198" t="inlineStr"/>
      <c r="AI198" t="inlineStr"/>
      <c r="AJ198" t="inlineStr"/>
      <c r="AK198" t="inlineStr"/>
      <c r="AL198" t="inlineStr"/>
      <c r="AM198" t="inlineStr"/>
      <c r="AN198" t="inlineStr"/>
      <c r="AO198" t="inlineStr"/>
      <c r="AP198" t="inlineStr"/>
      <c r="AQ198" t="inlineStr"/>
      <c r="AR198" t="inlineStr"/>
      <c r="AS198" t="inlineStr"/>
      <c r="AT198" t="inlineStr"/>
      <c r="AU198" t="inlineStr"/>
      <c r="AV198" t="inlineStr"/>
      <c r="AW198" t="inlineStr"/>
      <c r="AX198" t="inlineStr"/>
      <c r="AY198" t="inlineStr"/>
      <c r="AZ198" t="inlineStr"/>
      <c r="BA198" t="inlineStr"/>
      <c r="BB198" t="inlineStr"/>
      <c r="BC198" t="inlineStr"/>
      <c r="BD198" t="inlineStr"/>
      <c r="BE198" t="inlineStr"/>
      <c r="BF198" t="inlineStr"/>
      <c r="BG198" t="inlineStr"/>
      <c r="BH198" t="inlineStr"/>
      <c r="BI198" t="inlineStr"/>
      <c r="BJ198" t="inlineStr"/>
      <c r="BK198" t="inlineStr"/>
      <c r="BL198" t="inlineStr"/>
      <c r="BM198" t="inlineStr"/>
      <c r="BN198" t="inlineStr"/>
      <c r="BO198" t="inlineStr"/>
      <c r="BP198" t="inlineStr"/>
      <c r="BQ198" t="inlineStr">
        <is>
          <t>1390</t>
        </is>
      </c>
      <c r="BR198" t="inlineStr">
        <is>
          <t>Headlines (1390)</t>
        </is>
      </c>
      <c r="BS198" t="inlineStr"/>
      <c r="BT198" t="inlineStr"/>
      <c r="BU198" t="inlineStr"/>
      <c r="BV198" t="inlineStr"/>
      <c r="BW198" t="inlineStr"/>
      <c r="BX198" t="inlineStr"/>
      <c r="BY198" t="inlineStr"/>
      <c r="BZ198" t="inlineStr"/>
      <c r="CA198" t="inlineStr"/>
      <c r="CB198" t="inlineStr"/>
      <c r="CC198" t="inlineStr"/>
      <c r="CD198" t="inlineStr"/>
      <c r="CE198" t="inlineStr"/>
      <c r="CF198" t="inlineStr"/>
      <c r="CG198" t="inlineStr"/>
      <c r="CH198" t="inlineStr"/>
      <c r="CI198" t="inlineStr"/>
      <c r="CJ198" t="inlineStr"/>
      <c r="CK198" t="inlineStr"/>
      <c r="CL198" t="inlineStr"/>
      <c r="CM198" t="inlineStr"/>
      <c r="CN198" t="inlineStr"/>
      <c r="CO198" t="inlineStr"/>
      <c r="CP198" t="inlineStr"/>
      <c r="CQ198" t="inlineStr"/>
      <c r="CR198" t="inlineStr"/>
      <c r="CS198" t="inlineStr"/>
      <c r="CT198" t="inlineStr"/>
      <c r="CU198" t="inlineStr"/>
      <c r="CV198" t="inlineStr"/>
      <c r="CW198" t="inlineStr"/>
      <c r="CX198" t="inlineStr"/>
      <c r="CY198" t="inlineStr"/>
      <c r="CZ198" t="inlineStr"/>
      <c r="DA198" t="inlineStr"/>
      <c r="DB198" t="inlineStr"/>
      <c r="DC198" t="inlineStr"/>
      <c r="DD198" t="inlineStr"/>
      <c r="DE198" t="inlineStr"/>
      <c r="DF198" t="inlineStr"/>
      <c r="DG198" t="inlineStr"/>
      <c r="DH198" t="inlineStr"/>
      <c r="DI198" t="inlineStr"/>
      <c r="DJ198" t="inlineStr"/>
      <c r="DK198" t="inlineStr"/>
      <c r="DL198" t="inlineStr"/>
      <c r="DM198" t="inlineStr"/>
      <c r="DN198" t="inlineStr"/>
      <c r="DO198" t="inlineStr"/>
      <c r="DP198" t="inlineStr"/>
      <c r="DQ198" t="inlineStr"/>
      <c r="DR198" t="inlineStr"/>
      <c r="DS198" t="inlineStr"/>
      <c r="DT198" t="inlineStr"/>
      <c r="DU198" t="inlineStr"/>
      <c r="DV198" t="inlineStr"/>
      <c r="DW198" t="inlineStr"/>
      <c r="DX198" t="inlineStr"/>
      <c r="DY198" t="inlineStr"/>
      <c r="DZ198" t="inlineStr"/>
      <c r="EA198" t="inlineStr"/>
      <c r="EB198" t="inlineStr"/>
      <c r="EC198" t="inlineStr"/>
      <c r="ED198" t="inlineStr"/>
      <c r="EE198" t="inlineStr"/>
      <c r="EF198" t="inlineStr"/>
      <c r="EG198" t="inlineStr"/>
      <c r="EH198" t="inlineStr"/>
      <c r="EI198" t="inlineStr"/>
      <c r="EJ198" t="inlineStr"/>
      <c r="EK198" t="inlineStr"/>
      <c r="EL198" t="inlineStr"/>
      <c r="EM198" t="inlineStr"/>
      <c r="EN198" t="inlineStr"/>
      <c r="EO198" t="inlineStr"/>
      <c r="EP198" t="inlineStr"/>
      <c r="EQ198" t="inlineStr"/>
      <c r="ER198" t="inlineStr"/>
      <c r="ES198" t="inlineStr"/>
      <c r="ET198" t="inlineStr"/>
      <c r="EU198" t="inlineStr"/>
      <c r="EV198" t="inlineStr"/>
      <c r="EW198" t="inlineStr"/>
      <c r="EX198" t="inlineStr"/>
      <c r="EY198" t="inlineStr"/>
      <c r="EZ198" t="inlineStr"/>
      <c r="FA198" t="inlineStr"/>
      <c r="FB198" t="inlineStr"/>
      <c r="FC198" t="inlineStr"/>
      <c r="FD198" t="inlineStr"/>
      <c r="FE198" t="inlineStr"/>
      <c r="FF198" t="inlineStr"/>
      <c r="FG198" t="inlineStr"/>
      <c r="FH198" t="inlineStr"/>
      <c r="FI198" t="inlineStr"/>
      <c r="FJ198" t="inlineStr"/>
      <c r="FK198" t="inlineStr"/>
      <c r="FL198" t="inlineStr"/>
      <c r="FM198" t="inlineStr"/>
      <c r="FN198" t="inlineStr"/>
      <c r="FO198" t="inlineStr"/>
      <c r="FP198" t="inlineStr"/>
      <c r="FQ198" t="inlineStr"/>
      <c r="FR198" t="inlineStr"/>
      <c r="FS198" t="inlineStr"/>
      <c r="FT198" t="inlineStr"/>
      <c r="FU198" t="inlineStr"/>
      <c r="FV198" t="inlineStr"/>
      <c r="FW198" t="inlineStr"/>
      <c r="FX198" t="inlineStr"/>
      <c r="FY198" t="inlineStr"/>
      <c r="FZ198" t="inlineStr"/>
      <c r="GA198" t="inlineStr"/>
      <c r="GB198" t="inlineStr"/>
      <c r="GC198" t="inlineStr"/>
      <c r="GD198" t="inlineStr"/>
      <c r="GE198" t="inlineStr"/>
      <c r="GF198" t="inlineStr"/>
      <c r="GG198" t="inlineStr"/>
      <c r="GH198" t="inlineStr"/>
      <c r="GI198" t="inlineStr"/>
      <c r="GJ198" t="inlineStr"/>
      <c r="GK198" t="inlineStr"/>
      <c r="GL198" t="inlineStr"/>
      <c r="GM198" t="inlineStr"/>
      <c r="GN198" t="inlineStr"/>
      <c r="GO198" t="inlineStr"/>
      <c r="GP198" t="inlineStr"/>
      <c r="GQ198" t="inlineStr"/>
      <c r="GR198" t="inlineStr"/>
      <c r="GS198" t="inlineStr"/>
      <c r="GT198" t="inlineStr"/>
      <c r="GU198" t="inlineStr"/>
      <c r="GV198" t="inlineStr"/>
      <c r="GW198" t="inlineStr"/>
      <c r="GX198" t="inlineStr"/>
      <c r="GY198" t="inlineStr"/>
      <c r="GZ198" t="inlineStr"/>
      <c r="HA198" t="inlineStr"/>
      <c r="HB198" t="inlineStr"/>
      <c r="HC198" t="inlineStr"/>
      <c r="HD198" t="inlineStr"/>
      <c r="HE198" t="inlineStr"/>
      <c r="HF198" t="inlineStr"/>
      <c r="HG198" t="inlineStr"/>
      <c r="HH198" t="inlineStr"/>
      <c r="HI198" t="inlineStr"/>
      <c r="HJ198" t="inlineStr"/>
      <c r="HK198" t="inlineStr"/>
      <c r="HL198" t="inlineStr"/>
      <c r="HM198" t="inlineStr"/>
      <c r="HN198" t="inlineStr"/>
      <c r="HO198" t="inlineStr"/>
      <c r="HP198" t="inlineStr"/>
      <c r="HQ198" t="inlineStr"/>
      <c r="HR198" t="inlineStr"/>
      <c r="HS198" t="inlineStr"/>
      <c r="HT198" t="inlineStr"/>
      <c r="HU198" t="inlineStr"/>
      <c r="HV198" t="inlineStr"/>
      <c r="HW198" t="inlineStr"/>
      <c r="HX198" t="inlineStr"/>
      <c r="HY198" t="inlineStr"/>
      <c r="HZ198" t="inlineStr"/>
      <c r="IA198" t="inlineStr"/>
      <c r="IB198" t="inlineStr"/>
      <c r="IC198" t="inlineStr"/>
      <c r="ID198" t="inlineStr"/>
      <c r="IE198" t="inlineStr">
        <is>
          <t>924</t>
        </is>
      </c>
      <c r="IF198" t="inlineStr">
        <is>
          <t>News (924)</t>
        </is>
      </c>
      <c r="IG198" t="inlineStr"/>
      <c r="IH198" t="inlineStr"/>
      <c r="II198" t="inlineStr"/>
      <c r="IJ198" t="inlineStr"/>
      <c r="IK198" t="inlineStr"/>
      <c r="IL198" t="inlineStr"/>
      <c r="IM198" t="inlineStr"/>
      <c r="IN198" t="inlineStr"/>
      <c r="IO198" t="inlineStr"/>
      <c r="IP198" t="inlineStr"/>
      <c r="IQ198" t="inlineStr"/>
      <c r="IR198" t="inlineStr"/>
      <c r="IS198">
        <f>IF(input_content_type="",FALSE,ISNUMBER(SEARCH(","&amp;LOWER(input_content_type)&amp;",",","&amp;LOWER(F198)&amp;",")))</f>
        <v/>
      </c>
      <c r="IT198">
        <f>AND(IF(M198="",TRUE,IF(input_affiliations="",FALSE,SUMPRODUCT(--ISNUMBER(SEARCH(","&amp;TRIM(TEXTSPLIT(M198,","))&amp;",",","&amp;SUBSTITUTE(input_affiliations," ","")&amp;",")))&gt;0)),IF(O198="",TRUE,IF(input_affiliations="",FALSE,SUMPRODUCT(--ISNUMBER(SEARCH(","&amp;TRIM(TEXTSPLIT(O198,","))&amp;",",","&amp;SUBSTITUTE(input_affiliations," ","")&amp;",")))=COUNTA(TEXTSPLIT(O198,",")))),IF(Q198="",TRUE,IF(input_affiliations="",TRUE,SUMPRODUCT(--ISNUMBER(SEARCH(","&amp;TRIM(TEXTSPLIT(Q198,","))&amp;",",","&amp;SUBSTITUTE(input_affiliations," ","")&amp;",")))=0)),IF(S198="",TRUE,IF(input_affiliations="",FALSE,SUMPRODUCT(--ISNUMBER(SEARCH(","&amp;TRIM(TEXTSPLIT(S198,","))&amp;",",","&amp;SUBSTITUTE(input_affiliations," ","")&amp;",")))&gt;0)),IF(U198="",TRUE,IF(input_affiliations="",FALSE,SUMPRODUCT(--ISNUMBER(SEARCH(","&amp;TRIM(TEXTSPLIT(U198,","))&amp;",",","&amp;SUBSTITUTE(input_affiliations," ","")&amp;",")))=COUNTA(TEXTSPLIT(U198,",")))))</f>
        <v/>
      </c>
      <c r="IU198">
        <f>AND(IF(W198="",TRUE,IF(input_announcement_category="",FALSE,SUMPRODUCT(--ISNUMBER(SEARCH(","&amp;TRIM(TEXTSPLIT(W198,","))&amp;",",","&amp;SUBSTITUTE(input_announcement_category," ","")&amp;",")))&gt;0)),IF(Y198="",TRUE,IF(input_announcement_category="",FALSE,SUMPRODUCT(--ISNUMBER(SEARCH(","&amp;TRIM(TEXTSPLIT(Y198,","))&amp;",",","&amp;SUBSTITUTE(input_announcement_category," ","")&amp;",")))=COUNTA(TEXTSPLIT(Y198,",")))),IF(AA198="",TRUE,IF(input_announcement_category="",TRUE,SUMPRODUCT(--ISNUMBER(SEARCH(","&amp;TRIM(TEXTSPLIT(AA198,","))&amp;",",","&amp;SUBSTITUTE(input_announcement_category," ","")&amp;",")))=0)),IF(AC198="",TRUE,IF(input_announcement_category="",FALSE,SUMPRODUCT(--ISNUMBER(SEARCH(","&amp;TRIM(TEXTSPLIT(AC198,","))&amp;",",","&amp;SUBSTITUTE(input_announcement_category," ","")&amp;",")))&gt;0)),IF(AE198="",TRUE,IF(input_announcement_category="",FALSE,SUMPRODUCT(--ISNUMBER(SEARCH(","&amp;TRIM(TEXTSPLIT(AE198,","))&amp;",",","&amp;SUBSTITUTE(input_announcement_category," ","")&amp;",")))=COUNTA(TEXTSPLIT(AE198,",")))))</f>
        <v/>
      </c>
      <c r="IV198">
        <f>AND(IF(AG198="",TRUE,IF(input_area_of_focus="",FALSE,SUMPRODUCT(--ISNUMBER(SEARCH(","&amp;TRIM(TEXTSPLIT(AG198,","))&amp;",",","&amp;SUBSTITUTE(input_area_of_focus," ","")&amp;",")))&gt;0)),IF(AI198="",TRUE,IF(input_area_of_focus="",FALSE,SUMPRODUCT(--ISNUMBER(SEARCH(","&amp;TRIM(TEXTSPLIT(AI198,","))&amp;",",","&amp;SUBSTITUTE(input_area_of_focus," ","")&amp;",")))=COUNTA(TEXTSPLIT(AI198,",")))),IF(AK198="",TRUE,IF(input_area_of_focus="",TRUE,SUMPRODUCT(--ISNUMBER(SEARCH(","&amp;TRIM(TEXTSPLIT(AK198,","))&amp;",",","&amp;SUBSTITUTE(input_area_of_focus," ","")&amp;",")))=0)),IF(AM198="",TRUE,IF(input_area_of_focus="",FALSE,SUMPRODUCT(--ISNUMBER(SEARCH(","&amp;TRIM(TEXTSPLIT(AM198,","))&amp;",",","&amp;SUBSTITUTE(input_area_of_focus," ","")&amp;",")))&gt;0)),IF(AO198="",TRUE,IF(input_area_of_focus="",FALSE,SUMPRODUCT(--ISNUMBER(SEARCH(","&amp;TRIM(TEXTSPLIT(AO198,","))&amp;",",","&amp;SUBSTITUTE(input_area_of_focus," ","")&amp;",")))=COUNTA(TEXTSPLIT(AO198,",")))))</f>
        <v/>
      </c>
      <c r="IW198">
        <f>AND(IF(AQ198="",TRUE,IF(input_audience="",FALSE,SUMPRODUCT(--ISNUMBER(SEARCH(","&amp;TRIM(TEXTSPLIT(AQ198,","))&amp;",",","&amp;SUBSTITUTE(input_audience," ","")&amp;",")))&gt;0)),IF(AS198="",TRUE,IF(input_audience="",FALSE,SUMPRODUCT(--ISNUMBER(SEARCH(","&amp;TRIM(TEXTSPLIT(AS198,","))&amp;",",","&amp;SUBSTITUTE(input_audience," ","")&amp;",")))=COUNTA(TEXTSPLIT(AS198,",")))),IF(AU198="",TRUE,IF(input_audience="",TRUE,SUMPRODUCT(--ISNUMBER(SEARCH(","&amp;TRIM(TEXTSPLIT(AU198,","))&amp;",",","&amp;SUBSTITUTE(input_audience," ","")&amp;",")))=0)),IF(AW198="",TRUE,IF(input_audience="",FALSE,SUMPRODUCT(--ISNUMBER(SEARCH(","&amp;TRIM(TEXTSPLIT(AW198,","))&amp;",",","&amp;SUBSTITUTE(input_audience," ","")&amp;",")))&gt;0)),IF(AY198="",TRUE,IF(input_audience="",FALSE,SUMPRODUCT(--ISNUMBER(SEARCH(","&amp;TRIM(TEXTSPLIT(AY198,","))&amp;",",","&amp;SUBSTITUTE(input_audience," ","")&amp;",")))=COUNTA(TEXTSPLIT(AY198,",")))))</f>
        <v/>
      </c>
      <c r="IX198">
        <f>AND(IF(BA198="",TRUE,IF(input_challenge_opportunities="",FALSE,SUMPRODUCT(--ISNUMBER(SEARCH(","&amp;TRIM(TEXTSPLIT(BA198,","))&amp;",",","&amp;SUBSTITUTE(input_challenge_opportunities," ","")&amp;",")))&gt;0)),IF(BC198="",TRUE,IF(input_challenge_opportunities="",FALSE,SUMPRODUCT(--ISNUMBER(SEARCH(","&amp;TRIM(TEXTSPLIT(BC198,","))&amp;",",","&amp;SUBSTITUTE(input_challenge_opportunities," ","")&amp;",")))=COUNTA(TEXTSPLIT(BC198,",")))),IF(BE198="",TRUE,IF(input_challenge_opportunities="",TRUE,SUMPRODUCT(--ISNUMBER(SEARCH(","&amp;TRIM(TEXTSPLIT(BE198,","))&amp;",",","&amp;SUBSTITUTE(input_challenge_opportunities," ","")&amp;",")))=0)),IF(BG198="",TRUE,IF(input_challenge_opportunities="",FALSE,SUMPRODUCT(--ISNUMBER(SEARCH(","&amp;TRIM(TEXTSPLIT(BG198,","))&amp;",",","&amp;SUBSTITUTE(input_challenge_opportunities," ","")&amp;",")))&gt;0)),IF(BI198="",TRUE,IF(input_challenge_opportunities="",FALSE,SUMPRODUCT(--ISNUMBER(SEARCH(","&amp;TRIM(TEXTSPLIT(BI198,","))&amp;",",","&amp;SUBSTITUTE(input_challenge_opportunities," ","")&amp;",")))=COUNTA(TEXTSPLIT(BI198,",")))))</f>
        <v/>
      </c>
      <c r="IY198">
        <f>AND(IF(BK198="",TRUE,IF(input_context="",FALSE,SUMPRODUCT(--ISNUMBER(SEARCH(","&amp;TRIM(TEXTSPLIT(BK198,","))&amp;",",","&amp;SUBSTITUTE(input_context," ","")&amp;",")))&gt;0)),IF(BM198="",TRUE,IF(input_context="",FALSE,SUMPRODUCT(--ISNUMBER(SEARCH(","&amp;TRIM(TEXTSPLIT(BM198,","))&amp;",",","&amp;SUBSTITUTE(input_context," ","")&amp;",")))=COUNTA(TEXTSPLIT(BM198,",")))),IF(BO198="",TRUE,IF(input_context="",TRUE,SUMPRODUCT(--ISNUMBER(SEARCH(","&amp;TRIM(TEXTSPLIT(BO198,","))&amp;",",","&amp;SUBSTITUTE(input_context," ","")&amp;",")))=0)),IF(BQ198="",TRUE,IF(input_context="",FALSE,SUMPRODUCT(--ISNUMBER(SEARCH(","&amp;TRIM(TEXTSPLIT(BQ198,","))&amp;",",","&amp;SUBSTITUTE(input_context," ","")&amp;",")))&gt;0)),IF(BS198="",TRUE,IF(input_context="",FALSE,SUMPRODUCT(--ISNUMBER(SEARCH(","&amp;TRIM(TEXTSPLIT(BS198,","))&amp;",",","&amp;SUBSTITUTE(input_context," ","")&amp;",")))=COUNTA(TEXTSPLIT(BS198,",")))))</f>
        <v/>
      </c>
      <c r="IZ198">
        <f>AND(IF(BU198="",TRUE,IF(input_enews_announcement_type="",FALSE,SUMPRODUCT(--ISNUMBER(SEARCH(","&amp;TRIM(TEXTSPLIT(BU198,","))&amp;",",","&amp;SUBSTITUTE(input_enews_announcement_type," ","")&amp;",")))&gt;0)),IF(BW198="",TRUE,IF(input_enews_announcement_type="",FALSE,SUMPRODUCT(--ISNUMBER(SEARCH(","&amp;TRIM(TEXTSPLIT(BW198,","))&amp;",",","&amp;SUBSTITUTE(input_enews_announcement_type," ","")&amp;",")))=COUNTA(TEXTSPLIT(BW198,",")))),IF(BY198="",TRUE,IF(input_enews_announcement_type="",TRUE,SUMPRODUCT(--ISNUMBER(SEARCH(","&amp;TRIM(TEXTSPLIT(BY198,","))&amp;",",","&amp;SUBSTITUTE(input_enews_announcement_type," ","")&amp;",")))=0)),IF(CA198="",TRUE,IF(input_enews_announcement_type="",FALSE,SUMPRODUCT(--ISNUMBER(SEARCH(","&amp;TRIM(TEXTSPLIT(CA198,","))&amp;",",","&amp;SUBSTITUTE(input_enews_announcement_type," ","")&amp;",")))&gt;0)),IF(CC198="",TRUE,IF(input_enews_announcement_type="",FALSE,SUMPRODUCT(--ISNUMBER(SEARCH(","&amp;TRIM(TEXTSPLIT(CC198,","))&amp;",",","&amp;SUBSTITUTE(input_enews_announcement_type," ","")&amp;",")))=COUNTA(TEXTSPLIT(CC198,",")))))</f>
        <v/>
      </c>
      <c r="JA198">
        <f>AND(IF(CE198="",TRUE,IF(input_enews_audience="",FALSE,SUMPRODUCT(--ISNUMBER(SEARCH(","&amp;TRIM(TEXTSPLIT(CE198,","))&amp;",",","&amp;SUBSTITUTE(input_enews_audience," ","")&amp;",")))&gt;0)),IF(CG198="",TRUE,IF(input_enews_audience="",FALSE,SUMPRODUCT(--ISNUMBER(SEARCH(","&amp;TRIM(TEXTSPLIT(CG198,","))&amp;",",","&amp;SUBSTITUTE(input_enews_audience," ","")&amp;",")))=COUNTA(TEXTSPLIT(CG198,",")))),IF(CI198="",TRUE,IF(input_enews_audience="",TRUE,SUMPRODUCT(--ISNUMBER(SEARCH(","&amp;TRIM(TEXTSPLIT(CI198,","))&amp;",",","&amp;SUBSTITUTE(input_enews_audience," ","")&amp;",")))=0)),IF(CK198="",TRUE,IF(input_enews_audience="",FALSE,SUMPRODUCT(--ISNUMBER(SEARCH(","&amp;TRIM(TEXTSPLIT(CK198,","))&amp;",",","&amp;SUBSTITUTE(input_enews_audience," ","")&amp;",")))&gt;0)),IF(CM198="",TRUE,IF(input_enews_audience="",FALSE,SUMPRODUCT(--ISNUMBER(SEARCH(","&amp;TRIM(TEXTSPLIT(CM198,","))&amp;",",","&amp;SUBSTITUTE(input_enews_audience," ","")&amp;",")))=COUNTA(TEXTSPLIT(CM198,",")))))</f>
        <v/>
      </c>
      <c r="JB198">
        <f>AND(IF(CO198="",TRUE,IF(input_event_location="",FALSE,SUMPRODUCT(--ISNUMBER(SEARCH(","&amp;TRIM(TEXTSPLIT(CO198,","))&amp;",",","&amp;SUBSTITUTE(input_event_location," ","")&amp;",")))&gt;0)),IF(CQ198="",TRUE,IF(input_event_location="",FALSE,SUMPRODUCT(--ISNUMBER(SEARCH(","&amp;TRIM(TEXTSPLIT(CQ198,","))&amp;",",","&amp;SUBSTITUTE(input_event_location," ","")&amp;",")))=COUNTA(TEXTSPLIT(CQ198,",")))),IF(CS198="",TRUE,IF(input_event_location="",TRUE,SUMPRODUCT(--ISNUMBER(SEARCH(","&amp;TRIM(TEXTSPLIT(CS198,","))&amp;",",","&amp;SUBSTITUTE(input_event_location," ","")&amp;",")))=0)),IF(CU198="",TRUE,IF(input_event_location="",FALSE,SUMPRODUCT(--ISNUMBER(SEARCH(","&amp;TRIM(TEXTSPLIT(CU198,","))&amp;",",","&amp;SUBSTITUTE(input_event_location," ","")&amp;",")))&gt;0)),IF(CW198="",TRUE,IF(input_event_location="",FALSE,SUMPRODUCT(--ISNUMBER(SEARCH(","&amp;TRIM(TEXTSPLIT(CW198,","))&amp;",",","&amp;SUBSTITUTE(input_event_location," ","")&amp;",")))=COUNTA(TEXTSPLIT(CW198,",")))))</f>
        <v/>
      </c>
      <c r="JC198">
        <f>AND(IF(CY198="",TRUE,IF(input_event_type="",FALSE,SUMPRODUCT(--ISNUMBER(SEARCH(","&amp;TRIM(TEXTSPLIT(CY198,","))&amp;",",","&amp;SUBSTITUTE(input_event_type," ","")&amp;",")))&gt;0)),IF(DA198="",TRUE,IF(input_event_type="",FALSE,SUMPRODUCT(--ISNUMBER(SEARCH(","&amp;TRIM(TEXTSPLIT(DA198,","))&amp;",",","&amp;SUBSTITUTE(input_event_type," ","")&amp;",")))=COUNTA(TEXTSPLIT(DA198,",")))),IF(DC198="",TRUE,IF(input_event_type="",TRUE,SUMPRODUCT(--ISNUMBER(SEARCH(","&amp;TRIM(TEXTSPLIT(DC198,","))&amp;",",","&amp;SUBSTITUTE(input_event_type," ","")&amp;",")))=0)),IF(DE198="",TRUE,IF(input_event_type="",FALSE,SUMPRODUCT(--ISNUMBER(SEARCH(","&amp;TRIM(TEXTSPLIT(DE198,","))&amp;",",","&amp;SUBSTITUTE(input_event_type," ","")&amp;",")))&gt;0)),IF(DG198="",TRUE,IF(input_event_type="",FALSE,SUMPRODUCT(--ISNUMBER(SEARCH(","&amp;TRIM(TEXTSPLIT(DG198,","))&amp;",",","&amp;SUBSTITUTE(input_event_type," ","")&amp;",")))=COUNTA(TEXTSPLIT(DG198,",")))))</f>
        <v/>
      </c>
      <c r="JD198">
        <f>AND(IF(DI198="",TRUE,IF(input_executive_education_focus="",FALSE,SUMPRODUCT(--ISNUMBER(SEARCH(","&amp;TRIM(TEXTSPLIT(DI198,","))&amp;",",","&amp;SUBSTITUTE(input_executive_education_focus," ","")&amp;",")))&gt;0)),IF(DK198="",TRUE,IF(input_executive_education_focus="",FALSE,SUMPRODUCT(--ISNUMBER(SEARCH(","&amp;TRIM(TEXTSPLIT(DK198,","))&amp;",",","&amp;SUBSTITUTE(input_executive_education_focus," ","")&amp;",")))=COUNTA(TEXTSPLIT(DK198,",")))),IF(DM198="",TRUE,IF(input_executive_education_focus="",TRUE,SUMPRODUCT(--ISNUMBER(SEARCH(","&amp;TRIM(TEXTSPLIT(DM198,","))&amp;",",","&amp;SUBSTITUTE(input_executive_education_focus," ","")&amp;",")))=0)),IF(DO198="",TRUE,IF(input_executive_education_focus="",FALSE,SUMPRODUCT(--ISNUMBER(SEARCH(","&amp;TRIM(TEXTSPLIT(DO198,","))&amp;",",","&amp;SUBSTITUTE(input_executive_education_focus," ","")&amp;",")))&gt;0)),IF(DQ198="",TRUE,IF(input_executive_education_focus="",FALSE,SUMPRODUCT(--ISNUMBER(SEARCH(","&amp;TRIM(TEXTSPLIT(DQ198,","))&amp;",",","&amp;SUBSTITUTE(input_executive_education_focus," ","")&amp;",")))=COUNTA(TEXTSPLIT(DQ198,",")))))</f>
        <v/>
      </c>
      <c r="JE198">
        <f>AND(IF(DS198="",TRUE,IF(input_faculty_category="",FALSE,SUMPRODUCT(--ISNUMBER(SEARCH(","&amp;TRIM(TEXTSPLIT(DS198,","))&amp;",",","&amp;SUBSTITUTE(input_faculty_category," ","")&amp;",")))&gt;0)),IF(DU198="",TRUE,IF(input_faculty_category="",FALSE,SUMPRODUCT(--ISNUMBER(SEARCH(","&amp;TRIM(TEXTSPLIT(DU198,","))&amp;",",","&amp;SUBSTITUTE(input_faculty_category," ","")&amp;",")))=COUNTA(TEXTSPLIT(DU198,",")))),IF(DW198="",TRUE,IF(input_faculty_category="",TRUE,SUMPRODUCT(--ISNUMBER(SEARCH(","&amp;TRIM(TEXTSPLIT(DW198,","))&amp;",",","&amp;SUBSTITUTE(input_faculty_category," ","")&amp;",")))=0)),IF(DY198="",TRUE,IF(input_faculty_category="",FALSE,SUMPRODUCT(--ISNUMBER(SEARCH(","&amp;TRIM(TEXTSPLIT(DY198,","))&amp;",",","&amp;SUBSTITUTE(input_faculty_category," ","")&amp;",")))&gt;0)),IF(EA198="",TRUE,IF(input_faculty_category="",FALSE,SUMPRODUCT(--ISNUMBER(SEARCH(","&amp;TRIM(TEXTSPLIT(EA198,","))&amp;",",","&amp;SUBSTITUTE(input_faculty_category," ","")&amp;",")))=COUNTA(TEXTSPLIT(EA198,",")))))</f>
        <v/>
      </c>
      <c r="JF198">
        <f>AND(IF(EC198="",TRUE,IF(input_faculty_discipline="",FALSE,SUMPRODUCT(--ISNUMBER(SEARCH(","&amp;TRIM(TEXTSPLIT(EC198,","))&amp;",",","&amp;SUBSTITUTE(input_faculty_discipline," ","")&amp;",")))&gt;0)),IF(EE198="",TRUE,IF(input_faculty_discipline="",FALSE,SUMPRODUCT(--ISNUMBER(SEARCH(","&amp;TRIM(TEXTSPLIT(EE198,","))&amp;",",","&amp;SUBSTITUTE(input_faculty_discipline," ","")&amp;",")))=COUNTA(TEXTSPLIT(EE198,",")))),IF(EG198="",TRUE,IF(input_faculty_discipline="",TRUE,SUMPRODUCT(--ISNUMBER(SEARCH(","&amp;TRIM(TEXTSPLIT(EG198,","))&amp;",",","&amp;SUBSTITUTE(input_faculty_discipline," ","")&amp;",")))=0)),IF(EI198="",TRUE,IF(input_faculty_discipline="",FALSE,SUMPRODUCT(--ISNUMBER(SEARCH(","&amp;TRIM(TEXTSPLIT(EI198,","))&amp;",",","&amp;SUBSTITUTE(input_faculty_discipline," ","")&amp;",")))&gt;0)),IF(EK198="",TRUE,IF(input_faculty_discipline="",FALSE,SUMPRODUCT(--ISNUMBER(SEARCH(","&amp;TRIM(TEXTSPLIT(EK198,","))&amp;",",","&amp;SUBSTITUTE(input_faculty_discipline," ","")&amp;",")))=COUNTA(TEXTSPLIT(EK198,",")))))</f>
        <v/>
      </c>
      <c r="JG198">
        <f>AND(IF(EM198="",TRUE,IF(input_faculty_expertise="",FALSE,SUMPRODUCT(--ISNUMBER(SEARCH(","&amp;TRIM(TEXTSPLIT(EM198,","))&amp;",",","&amp;SUBSTITUTE(input_faculty_expertise," ","")&amp;",")))&gt;0)),IF(EO198="",TRUE,IF(input_faculty_expertise="",FALSE,SUMPRODUCT(--ISNUMBER(SEARCH(","&amp;TRIM(TEXTSPLIT(EO198,","))&amp;",",","&amp;SUBSTITUTE(input_faculty_expertise," ","")&amp;",")))=COUNTA(TEXTSPLIT(EO198,",")))),IF(EQ198="",TRUE,IF(input_faculty_expertise="",TRUE,SUMPRODUCT(--ISNUMBER(SEARCH(","&amp;TRIM(TEXTSPLIT(EQ198,","))&amp;",",","&amp;SUBSTITUTE(input_faculty_expertise," ","")&amp;",")))=0)),IF(ES198="",TRUE,IF(input_faculty_expertise="",FALSE,SUMPRODUCT(--ISNUMBER(SEARCH(","&amp;TRIM(TEXTSPLIT(ES198,","))&amp;",",","&amp;SUBSTITUTE(input_faculty_expertise," ","")&amp;",")))&gt;0)),IF(EU198="",TRUE,IF(input_faculty_expertise="",FALSE,SUMPRODUCT(--ISNUMBER(SEARCH(","&amp;TRIM(TEXTSPLIT(EU198,","))&amp;",",","&amp;SUBSTITUTE(input_faculty_expertise," ","")&amp;",")))=COUNTA(TEXTSPLIT(EU198,",")))))</f>
        <v/>
      </c>
      <c r="JH198">
        <f>AND(IF(EW198="",TRUE,IF(input_global_network_school="",FALSE,SUMPRODUCT(--ISNUMBER(SEARCH(","&amp;TRIM(TEXTSPLIT(EW198,","))&amp;",",","&amp;SUBSTITUTE(input_global_network_school," ","")&amp;",")))&gt;0)),IF(EY198="",TRUE,IF(input_global_network_school="",FALSE,SUMPRODUCT(--ISNUMBER(SEARCH(","&amp;TRIM(TEXTSPLIT(EY198,","))&amp;",",","&amp;SUBSTITUTE(input_global_network_school," ","")&amp;",")))=COUNTA(TEXTSPLIT(EY198,",")))),IF(FA198="",TRUE,IF(input_global_network_school="",TRUE,SUMPRODUCT(--ISNUMBER(SEARCH(","&amp;TRIM(TEXTSPLIT(FA198,","))&amp;",",","&amp;SUBSTITUTE(input_global_network_school," ","")&amp;",")))=0)),IF(FC198="",TRUE,IF(input_global_network_school="",FALSE,SUMPRODUCT(--ISNUMBER(SEARCH(","&amp;TRIM(TEXTSPLIT(FC198,","))&amp;",",","&amp;SUBSTITUTE(input_global_network_school," ","")&amp;",")))&gt;0)),IF(FE198="",TRUE,IF(input_global_network_school="",FALSE,SUMPRODUCT(--ISNUMBER(SEARCH(","&amp;TRIM(TEXTSPLIT(FE198,","))&amp;",",","&amp;SUBSTITUTE(input_global_network_school," ","")&amp;",")))=COUNTA(TEXTSPLIT(FE198,",")))))</f>
        <v/>
      </c>
      <c r="JI198">
        <f>AND(IF(FG198="",TRUE,IF(input_industry="",FALSE,SUMPRODUCT(--ISNUMBER(SEARCH(","&amp;TRIM(TEXTSPLIT(FG198,","))&amp;",",","&amp;SUBSTITUTE(input_industry," ","")&amp;",")))&gt;0)),IF(FI198="",TRUE,IF(input_industry="",FALSE,SUMPRODUCT(--ISNUMBER(SEARCH(","&amp;TRIM(TEXTSPLIT(FI198,","))&amp;",",","&amp;SUBSTITUTE(input_industry," ","")&amp;",")))=COUNTA(TEXTSPLIT(FI198,",")))),IF(FK198="",TRUE,IF(input_industry="",TRUE,SUMPRODUCT(--ISNUMBER(SEARCH(","&amp;TRIM(TEXTSPLIT(FK198,","))&amp;",",","&amp;SUBSTITUTE(input_industry," ","")&amp;",")))=0)),IF(FM198="",TRUE,IF(input_industry="",FALSE,SUMPRODUCT(--ISNUMBER(SEARCH(","&amp;TRIM(TEXTSPLIT(FM198,","))&amp;",",","&amp;SUBSTITUTE(input_industry," ","")&amp;",")))&gt;0)),IF(FO198="",TRUE,IF(input_industry="",FALSE,SUMPRODUCT(--ISNUMBER(SEARCH(","&amp;TRIM(TEXTSPLIT(FO198,","))&amp;",",","&amp;SUBSTITUTE(input_industry," ","")&amp;",")))=COUNTA(TEXTSPLIT(FO198,",")))))</f>
        <v/>
      </c>
      <c r="JJ198">
        <f>AND(IF(FQ198="",TRUE,IF(input_location="",FALSE,SUMPRODUCT(--ISNUMBER(SEARCH(","&amp;TRIM(TEXTSPLIT(FQ198,","))&amp;",",","&amp;SUBSTITUTE(input_location," ","")&amp;",")))&gt;0)),IF(FS198="",TRUE,IF(input_location="",FALSE,SUMPRODUCT(--ISNUMBER(SEARCH(","&amp;TRIM(TEXTSPLIT(FS198,","))&amp;",",","&amp;SUBSTITUTE(input_location," ","")&amp;",")))=COUNTA(TEXTSPLIT(FS198,",")))),IF(FU198="",TRUE,IF(input_location="",TRUE,SUMPRODUCT(--ISNUMBER(SEARCH(","&amp;TRIM(TEXTSPLIT(FU198,","))&amp;",",","&amp;SUBSTITUTE(input_location," ","")&amp;",")))=0)),IF(FW198="",TRUE,IF(input_location="",FALSE,SUMPRODUCT(--ISNUMBER(SEARCH(","&amp;TRIM(TEXTSPLIT(FW198,","))&amp;",",","&amp;SUBSTITUTE(input_location," ","")&amp;",")))&gt;0)),IF(FY198="",TRUE,IF(input_location="",FALSE,SUMPRODUCT(--ISNUMBER(SEARCH(","&amp;TRIM(TEXTSPLIT(FY198,","))&amp;",",","&amp;SUBSTITUTE(input_location," ","")&amp;",")))=COUNTA(TEXTSPLIT(FY198,",")))))</f>
        <v/>
      </c>
      <c r="JK198">
        <f>AND(IF(GA198="",TRUE,IF(input_modality="",FALSE,SUMPRODUCT(--ISNUMBER(SEARCH(","&amp;TRIM(TEXTSPLIT(GA198,","))&amp;",",","&amp;SUBSTITUTE(input_modality," ","")&amp;",")))&gt;0)),IF(GC198="",TRUE,IF(input_modality="",FALSE,SUMPRODUCT(--ISNUMBER(SEARCH(","&amp;TRIM(TEXTSPLIT(GC198,","))&amp;",",","&amp;SUBSTITUTE(input_modality," ","")&amp;",")))=COUNTA(TEXTSPLIT(GC198,",")))),IF(GE198="",TRUE,IF(input_modality="",TRUE,SUMPRODUCT(--ISNUMBER(SEARCH(","&amp;TRIM(TEXTSPLIT(GE198,","))&amp;",",","&amp;SUBSTITUTE(input_modality," ","")&amp;",")))=0)),IF(GG198="",TRUE,IF(input_modality="",FALSE,SUMPRODUCT(--ISNUMBER(SEARCH(","&amp;TRIM(TEXTSPLIT(GG198,","))&amp;",",","&amp;SUBSTITUTE(input_modality," ","")&amp;",")))&gt;0)),IF(GI198="",TRUE,IF(input_modality="",FALSE,SUMPRODUCT(--ISNUMBER(SEARCH(","&amp;TRIM(TEXTSPLIT(GI198,","))&amp;",",","&amp;SUBSTITUTE(input_modality," ","")&amp;",")))=COUNTA(TEXTSPLIT(GI198,",")))))</f>
        <v/>
      </c>
      <c r="JL198">
        <f>AND(IF(GK198="",TRUE,IF(input_organizer="",FALSE,SUMPRODUCT(--ISNUMBER(SEARCH(","&amp;TRIM(TEXTSPLIT(GK198,","))&amp;",",","&amp;SUBSTITUTE(input_organizer," ","")&amp;",")))&gt;0)),IF(GM198="",TRUE,IF(input_organizer="",FALSE,SUMPRODUCT(--ISNUMBER(SEARCH(","&amp;TRIM(TEXTSPLIT(GM198,","))&amp;",",","&amp;SUBSTITUTE(input_organizer," ","")&amp;",")))=COUNTA(TEXTSPLIT(GM198,",")))),IF(GO198="",TRUE,IF(input_organizer="",TRUE,SUMPRODUCT(--ISNUMBER(SEARCH(","&amp;TRIM(TEXTSPLIT(GO198,","))&amp;",",","&amp;SUBSTITUTE(input_organizer," ","")&amp;",")))=0)),IF(GQ198="",TRUE,IF(input_organizer="",FALSE,SUMPRODUCT(--ISNUMBER(SEARCH(","&amp;TRIM(TEXTSPLIT(GQ198,","))&amp;",",","&amp;SUBSTITUTE(input_organizer," ","")&amp;",")))&gt;0)),IF(GS198="",TRUE,IF(input_organizer="",FALSE,SUMPRODUCT(--ISNUMBER(SEARCH(","&amp;TRIM(TEXTSPLIT(GS198,","))&amp;",",","&amp;SUBSTITUTE(input_organizer," ","")&amp;",")))=COUNTA(TEXTSPLIT(GS198,",")))))</f>
        <v/>
      </c>
      <c r="JM198">
        <f>AND(IF(GU198="",TRUE,IF(input_profile_type="",FALSE,SUMPRODUCT(--ISNUMBER(SEARCH(","&amp;TRIM(TEXTSPLIT(GU198,","))&amp;",",","&amp;SUBSTITUTE(input_profile_type," ","")&amp;",")))&gt;0)),IF(GW198="",TRUE,IF(input_profile_type="",FALSE,SUMPRODUCT(--ISNUMBER(SEARCH(","&amp;TRIM(TEXTSPLIT(GW198,","))&amp;",",","&amp;SUBSTITUTE(input_profile_type," ","")&amp;",")))=COUNTA(TEXTSPLIT(GW198,",")))),IF(GY198="",TRUE,IF(input_profile_type="",TRUE,SUMPRODUCT(--ISNUMBER(SEARCH(","&amp;TRIM(TEXTSPLIT(GY198,","))&amp;",",","&amp;SUBSTITUTE(input_profile_type," ","")&amp;",")))=0)),IF(HA198="",TRUE,IF(input_profile_type="",FALSE,SUMPRODUCT(--ISNUMBER(SEARCH(","&amp;TRIM(TEXTSPLIT(HA198,","))&amp;",",","&amp;SUBSTITUTE(input_profile_type," ","")&amp;",")))&gt;0)),IF(HC198="",TRUE,IF(input_profile_type="",FALSE,SUMPRODUCT(--ISNUMBER(SEARCH(","&amp;TRIM(TEXTSPLIT(HC198,","))&amp;",",","&amp;SUBSTITUTE(input_profile_type," ","")&amp;",")))=COUNTA(TEXTSPLIT(HC198,",")))))</f>
        <v/>
      </c>
      <c r="JN198">
        <f>AND(IF(HE198="",TRUE,IF(input_program="",FALSE,SUMPRODUCT(--ISNUMBER(SEARCH(","&amp;TRIM(TEXTSPLIT(HE198,","))&amp;",",","&amp;SUBSTITUTE(input_program," ","")&amp;",")))&gt;0)),IF(HG198="",TRUE,IF(input_program="",FALSE,SUMPRODUCT(--ISNUMBER(SEARCH(","&amp;TRIM(TEXTSPLIT(HG198,","))&amp;",",","&amp;SUBSTITUTE(input_program," ","")&amp;",")))=COUNTA(TEXTSPLIT(HG198,",")))),IF(HI198="",TRUE,IF(input_program="",TRUE,SUMPRODUCT(--ISNUMBER(SEARCH(","&amp;TRIM(TEXTSPLIT(HI198,","))&amp;",",","&amp;SUBSTITUTE(input_program," ","")&amp;",")))=0)),IF(HK198="",TRUE,IF(input_program="",FALSE,SUMPRODUCT(--ISNUMBER(SEARCH(","&amp;TRIM(TEXTSPLIT(HK198,","))&amp;",",","&amp;SUBSTITUTE(input_program," ","")&amp;",")))&gt;0)),IF(HM198="",TRUE,IF(input_program="",FALSE,SUMPRODUCT(--ISNUMBER(SEARCH(","&amp;TRIM(TEXTSPLIT(HM198,","))&amp;",",","&amp;SUBSTITUTE(input_program," ","")&amp;",")))=COUNTA(TEXTSPLIT(HM198,",")))))</f>
        <v/>
      </c>
      <c r="JO198">
        <f>AND(IF(HO198="",TRUE,IF(input_story_categories="",FALSE,SUMPRODUCT(--ISNUMBER(SEARCH(","&amp;TRIM(TEXTSPLIT(HO198,","))&amp;",",","&amp;SUBSTITUTE(input_story_categories," ","")&amp;",")))&gt;0)),IF(HQ198="",TRUE,IF(input_story_categories="",FALSE,SUMPRODUCT(--ISNUMBER(SEARCH(","&amp;TRIM(TEXTSPLIT(HQ198,","))&amp;",",","&amp;SUBSTITUTE(input_story_categories," ","")&amp;",")))=COUNTA(TEXTSPLIT(HQ198,",")))),IF(HS198="",TRUE,IF(input_story_categories="",TRUE,SUMPRODUCT(--ISNUMBER(SEARCH(","&amp;TRIM(TEXTSPLIT(HS198,","))&amp;",",","&amp;SUBSTITUTE(input_story_categories," ","")&amp;",")))=0)),IF(HU198="",TRUE,IF(input_story_categories="",FALSE,SUMPRODUCT(--ISNUMBER(SEARCH(","&amp;TRIM(TEXTSPLIT(HU198,","))&amp;",",","&amp;SUBSTITUTE(input_story_categories," ","")&amp;",")))&gt;0)),IF(HW198="",TRUE,IF(input_story_categories="",FALSE,SUMPRODUCT(--ISNUMBER(SEARCH(","&amp;TRIM(TEXTSPLIT(HW198,","))&amp;",",","&amp;SUBSTITUTE(input_story_categories," ","")&amp;",")))=COUNTA(TEXTSPLIT(HW198,",")))))</f>
        <v/>
      </c>
      <c r="JP198">
        <f>AND(IF(HY198="",TRUE,IF(input_story_type="",FALSE,SUMPRODUCT(--ISNUMBER(SEARCH(","&amp;TRIM(TEXTSPLIT(HY198,","))&amp;",",","&amp;SUBSTITUTE(input_story_type," ","")&amp;",")))&gt;0)),IF(IA198="",TRUE,IF(input_story_type="",FALSE,SUMPRODUCT(--ISNUMBER(SEARCH(","&amp;TRIM(TEXTSPLIT(IA198,","))&amp;",",","&amp;SUBSTITUTE(input_story_type," ","")&amp;",")))=COUNTA(TEXTSPLIT(IA198,",")))),IF(IC198="",TRUE,IF(input_story_type="",TRUE,SUMPRODUCT(--ISNUMBER(SEARCH(","&amp;TRIM(TEXTSPLIT(IC198,","))&amp;",",","&amp;SUBSTITUTE(input_story_type," ","")&amp;",")))=0)),IF(IE198="",TRUE,IF(input_story_type="",FALSE,SUMPRODUCT(--ISNUMBER(SEARCH(","&amp;TRIM(TEXTSPLIT(IE198,","))&amp;",",","&amp;SUBSTITUTE(input_story_type," ","")&amp;",")))&gt;0)),IF(IG198="",TRUE,IF(input_story_type="",FALSE,SUMPRODUCT(--ISNUMBER(SEARCH(","&amp;TRIM(TEXTSPLIT(IG198,","))&amp;",",","&amp;SUBSTITUTE(input_story_type," ","")&amp;",")))=COUNTA(TEXTSPLIT(IG198,",")))))</f>
        <v/>
      </c>
      <c r="JQ198">
        <f>AND(IF(II198="",TRUE,IF(input_topics="",FALSE,SUMPRODUCT(--ISNUMBER(SEARCH(","&amp;TRIM(TEXTSPLIT(II198,","))&amp;",",","&amp;SUBSTITUTE(input_topics," ","")&amp;",")))&gt;0)),IF(IK198="",TRUE,IF(input_topics="",FALSE,SUMPRODUCT(--ISNUMBER(SEARCH(","&amp;TRIM(TEXTSPLIT(IK198,","))&amp;",",","&amp;SUBSTITUTE(input_topics," ","")&amp;",")))=COUNTA(TEXTSPLIT(IK198,",")))),IF(IM198="",TRUE,IF(input_topics="",TRUE,SUMPRODUCT(--ISNUMBER(SEARCH(","&amp;TRIM(TEXTSPLIT(IM198,","))&amp;",",","&amp;SUBSTITUTE(input_topics," ","")&amp;",")))=0)),IF(IO198="",TRUE,IF(input_topics="",FALSE,SUMPRODUCT(--ISNUMBER(SEARCH(","&amp;TRIM(TEXTSPLIT(IO198,","))&amp;",",","&amp;SUBSTITUTE(input_topics," ","")&amp;",")))&gt;0)),IF(IQ198="",TRUE,IF(input_topics="",FALSE,SUMPRODUCT(--ISNUMBER(SEARCH(","&amp;TRIM(TEXTSPLIT(IQ198,","))&amp;",",","&amp;SUBSTITUTE(input_topics," ","")&amp;",")))=COUNTA(TEXTSPLIT(IQ198,",")))))</f>
        <v/>
      </c>
    </row>
    <row r="199">
      <c r="A199" s="4">
        <f>IF(NOT(IS199),"Excluded",IF(AND(IT199,IU199,IV199,IW199,IX199,IY199,IZ199,JA199,JB199,JC199,JD199,JE199,JF199,JG199,JH199,JI199,JJ199,JK199,JL199,JM199,JN199,JO199,JP199,JQ199),IF(I199&gt;0,"Eligible but limited","Will appear"),"Excluded"))</f>
        <v/>
      </c>
      <c r="B199" s="4" t="inlineStr">
        <is>
          <t>Related stories on story pages</t>
        </is>
      </c>
      <c r="C199" s="4" t="inlineStr">
        <is>
          <t>/story/2023/what-social-impact-means-yale-som</t>
        </is>
      </c>
      <c r="D199" s="4" t="inlineStr">
        <is>
          <t>/story/2023/what-social-impact-means-yale-som</t>
        </is>
      </c>
      <c r="E199" s="4" t="n">
        <v>1</v>
      </c>
      <c r="F199" s="4" t="inlineStr">
        <is>
          <t>story</t>
        </is>
      </c>
      <c r="G199" s="4" t="inlineStr">
        <is>
          <t>stories_teaser_cards</t>
        </is>
      </c>
      <c r="H199" s="4" t="inlineStr">
        <is>
          <t>embed_all</t>
        </is>
      </c>
      <c r="I199" s="4" t="n">
        <v>3</v>
      </c>
      <c r="J199" s="4" t="inlineStr">
        <is>
          <t>Template logic</t>
        </is>
      </c>
      <c r="K199" s="4" t="inlineStr">
        <is>
          <t>Grouped surface</t>
        </is>
      </c>
      <c r="L199" s="4" t="inlineStr">
        <is>
          <t>Content type: story; Context uses Courses Context: All SOM (77); Context uses Story Type: Blog (974); Limited to 3 item(s); Source: Template logic</t>
        </is>
      </c>
      <c r="M199" t="inlineStr"/>
      <c r="N199" t="inlineStr"/>
      <c r="O199" t="inlineStr"/>
      <c r="P199" t="inlineStr"/>
      <c r="Q199" t="inlineStr"/>
      <c r="R199" t="inlineStr"/>
      <c r="S199" t="inlineStr"/>
      <c r="T199" t="inlineStr"/>
      <c r="U199" t="inlineStr"/>
      <c r="V199" t="inlineStr"/>
      <c r="W199" t="inlineStr"/>
      <c r="X199" t="inlineStr"/>
      <c r="Y199" t="inlineStr"/>
      <c r="Z199" t="inlineStr"/>
      <c r="AA199" t="inlineStr"/>
      <c r="AB199" t="inlineStr"/>
      <c r="AC199" t="inlineStr"/>
      <c r="AD199" t="inlineStr"/>
      <c r="AE199" t="inlineStr"/>
      <c r="AF199" t="inlineStr"/>
      <c r="AG199" t="inlineStr"/>
      <c r="AH199" t="inlineStr"/>
      <c r="AI199" t="inlineStr"/>
      <c r="AJ199" t="inlineStr"/>
      <c r="AK199" t="inlineStr"/>
      <c r="AL199" t="inlineStr"/>
      <c r="AM199" t="inlineStr"/>
      <c r="AN199" t="inlineStr"/>
      <c r="AO199" t="inlineStr"/>
      <c r="AP199" t="inlineStr"/>
      <c r="AQ199" t="inlineStr"/>
      <c r="AR199" t="inlineStr"/>
      <c r="AS199" t="inlineStr"/>
      <c r="AT199" t="inlineStr"/>
      <c r="AU199" t="inlineStr"/>
      <c r="AV199" t="inlineStr"/>
      <c r="AW199" t="inlineStr"/>
      <c r="AX199" t="inlineStr"/>
      <c r="AY199" t="inlineStr"/>
      <c r="AZ199" t="inlineStr"/>
      <c r="BA199" t="inlineStr"/>
      <c r="BB199" t="inlineStr"/>
      <c r="BC199" t="inlineStr"/>
      <c r="BD199" t="inlineStr"/>
      <c r="BE199" t="inlineStr"/>
      <c r="BF199" t="inlineStr"/>
      <c r="BG199" t="inlineStr"/>
      <c r="BH199" t="inlineStr"/>
      <c r="BI199" t="inlineStr"/>
      <c r="BJ199" t="inlineStr"/>
      <c r="BK199" t="inlineStr"/>
      <c r="BL199" t="inlineStr"/>
      <c r="BM199" t="inlineStr"/>
      <c r="BN199" t="inlineStr"/>
      <c r="BO199" t="inlineStr"/>
      <c r="BP199" t="inlineStr"/>
      <c r="BQ199" t="inlineStr">
        <is>
          <t>77</t>
        </is>
      </c>
      <c r="BR199" t="inlineStr">
        <is>
          <t>All SOM (77)</t>
        </is>
      </c>
      <c r="BS199" t="inlineStr"/>
      <c r="BT199" t="inlineStr"/>
      <c r="BU199" t="inlineStr"/>
      <c r="BV199" t="inlineStr"/>
      <c r="BW199" t="inlineStr"/>
      <c r="BX199" t="inlineStr"/>
      <c r="BY199" t="inlineStr"/>
      <c r="BZ199" t="inlineStr"/>
      <c r="CA199" t="inlineStr"/>
      <c r="CB199" t="inlineStr"/>
      <c r="CC199" t="inlineStr"/>
      <c r="CD199" t="inlineStr"/>
      <c r="CE199" t="inlineStr"/>
      <c r="CF199" t="inlineStr"/>
      <c r="CG199" t="inlineStr"/>
      <c r="CH199" t="inlineStr"/>
      <c r="CI199" t="inlineStr"/>
      <c r="CJ199" t="inlineStr"/>
      <c r="CK199" t="inlineStr"/>
      <c r="CL199" t="inlineStr"/>
      <c r="CM199" t="inlineStr"/>
      <c r="CN199" t="inlineStr"/>
      <c r="CO199" t="inlineStr"/>
      <c r="CP199" t="inlineStr"/>
      <c r="CQ199" t="inlineStr"/>
      <c r="CR199" t="inlineStr"/>
      <c r="CS199" t="inlineStr"/>
      <c r="CT199" t="inlineStr"/>
      <c r="CU199" t="inlineStr"/>
      <c r="CV199" t="inlineStr"/>
      <c r="CW199" t="inlineStr"/>
      <c r="CX199" t="inlineStr"/>
      <c r="CY199" t="inlineStr"/>
      <c r="CZ199" t="inlineStr"/>
      <c r="DA199" t="inlineStr"/>
      <c r="DB199" t="inlineStr"/>
      <c r="DC199" t="inlineStr"/>
      <c r="DD199" t="inlineStr"/>
      <c r="DE199" t="inlineStr"/>
      <c r="DF199" t="inlineStr"/>
      <c r="DG199" t="inlineStr"/>
      <c r="DH199" t="inlineStr"/>
      <c r="DI199" t="inlineStr"/>
      <c r="DJ199" t="inlineStr"/>
      <c r="DK199" t="inlineStr"/>
      <c r="DL199" t="inlineStr"/>
      <c r="DM199" t="inlineStr"/>
      <c r="DN199" t="inlineStr"/>
      <c r="DO199" t="inlineStr"/>
      <c r="DP199" t="inlineStr"/>
      <c r="DQ199" t="inlineStr"/>
      <c r="DR199" t="inlineStr"/>
      <c r="DS199" t="inlineStr"/>
      <c r="DT199" t="inlineStr"/>
      <c r="DU199" t="inlineStr"/>
      <c r="DV199" t="inlineStr"/>
      <c r="DW199" t="inlineStr"/>
      <c r="DX199" t="inlineStr"/>
      <c r="DY199" t="inlineStr"/>
      <c r="DZ199" t="inlineStr"/>
      <c r="EA199" t="inlineStr"/>
      <c r="EB199" t="inlineStr"/>
      <c r="EC199" t="inlineStr"/>
      <c r="ED199" t="inlineStr"/>
      <c r="EE199" t="inlineStr"/>
      <c r="EF199" t="inlineStr"/>
      <c r="EG199" t="inlineStr"/>
      <c r="EH199" t="inlineStr"/>
      <c r="EI199" t="inlineStr"/>
      <c r="EJ199" t="inlineStr"/>
      <c r="EK199" t="inlineStr"/>
      <c r="EL199" t="inlineStr"/>
      <c r="EM199" t="inlineStr"/>
      <c r="EN199" t="inlineStr"/>
      <c r="EO199" t="inlineStr"/>
      <c r="EP199" t="inlineStr"/>
      <c r="EQ199" t="inlineStr"/>
      <c r="ER199" t="inlineStr"/>
      <c r="ES199" t="inlineStr"/>
      <c r="ET199" t="inlineStr"/>
      <c r="EU199" t="inlineStr"/>
      <c r="EV199" t="inlineStr"/>
      <c r="EW199" t="inlineStr"/>
      <c r="EX199" t="inlineStr"/>
      <c r="EY199" t="inlineStr"/>
      <c r="EZ199" t="inlineStr"/>
      <c r="FA199" t="inlineStr"/>
      <c r="FB199" t="inlineStr"/>
      <c r="FC199" t="inlineStr"/>
      <c r="FD199" t="inlineStr"/>
      <c r="FE199" t="inlineStr"/>
      <c r="FF199" t="inlineStr"/>
      <c r="FG199" t="inlineStr"/>
      <c r="FH199" t="inlineStr"/>
      <c r="FI199" t="inlineStr"/>
      <c r="FJ199" t="inlineStr"/>
      <c r="FK199" t="inlineStr"/>
      <c r="FL199" t="inlineStr"/>
      <c r="FM199" t="inlineStr"/>
      <c r="FN199" t="inlineStr"/>
      <c r="FO199" t="inlineStr"/>
      <c r="FP199" t="inlineStr"/>
      <c r="FQ199" t="inlineStr"/>
      <c r="FR199" t="inlineStr"/>
      <c r="FS199" t="inlineStr"/>
      <c r="FT199" t="inlineStr"/>
      <c r="FU199" t="inlineStr"/>
      <c r="FV199" t="inlineStr"/>
      <c r="FW199" t="inlineStr"/>
      <c r="FX199" t="inlineStr"/>
      <c r="FY199" t="inlineStr"/>
      <c r="FZ199" t="inlineStr"/>
      <c r="GA199" t="inlineStr"/>
      <c r="GB199" t="inlineStr"/>
      <c r="GC199" t="inlineStr"/>
      <c r="GD199" t="inlineStr"/>
      <c r="GE199" t="inlineStr"/>
      <c r="GF199" t="inlineStr"/>
      <c r="GG199" t="inlineStr"/>
      <c r="GH199" t="inlineStr"/>
      <c r="GI199" t="inlineStr"/>
      <c r="GJ199" t="inlineStr"/>
      <c r="GK199" t="inlineStr"/>
      <c r="GL199" t="inlineStr"/>
      <c r="GM199" t="inlineStr"/>
      <c r="GN199" t="inlineStr"/>
      <c r="GO199" t="inlineStr"/>
      <c r="GP199" t="inlineStr"/>
      <c r="GQ199" t="inlineStr"/>
      <c r="GR199" t="inlineStr"/>
      <c r="GS199" t="inlineStr"/>
      <c r="GT199" t="inlineStr"/>
      <c r="GU199" t="inlineStr"/>
      <c r="GV199" t="inlineStr"/>
      <c r="GW199" t="inlineStr"/>
      <c r="GX199" t="inlineStr"/>
      <c r="GY199" t="inlineStr"/>
      <c r="GZ199" t="inlineStr"/>
      <c r="HA199" t="inlineStr"/>
      <c r="HB199" t="inlineStr"/>
      <c r="HC199" t="inlineStr"/>
      <c r="HD199" t="inlineStr"/>
      <c r="HE199" t="inlineStr"/>
      <c r="HF199" t="inlineStr"/>
      <c r="HG199" t="inlineStr"/>
      <c r="HH199" t="inlineStr"/>
      <c r="HI199" t="inlineStr"/>
      <c r="HJ199" t="inlineStr"/>
      <c r="HK199" t="inlineStr"/>
      <c r="HL199" t="inlineStr"/>
      <c r="HM199" t="inlineStr"/>
      <c r="HN199" t="inlineStr"/>
      <c r="HO199" t="inlineStr"/>
      <c r="HP199" t="inlineStr"/>
      <c r="HQ199" t="inlineStr"/>
      <c r="HR199" t="inlineStr"/>
      <c r="HS199" t="inlineStr"/>
      <c r="HT199" t="inlineStr"/>
      <c r="HU199" t="inlineStr"/>
      <c r="HV199" t="inlineStr"/>
      <c r="HW199" t="inlineStr"/>
      <c r="HX199" t="inlineStr"/>
      <c r="HY199" t="inlineStr"/>
      <c r="HZ199" t="inlineStr"/>
      <c r="IA199" t="inlineStr"/>
      <c r="IB199" t="inlineStr"/>
      <c r="IC199" t="inlineStr"/>
      <c r="ID199" t="inlineStr"/>
      <c r="IE199" t="inlineStr">
        <is>
          <t>974</t>
        </is>
      </c>
      <c r="IF199" t="inlineStr">
        <is>
          <t>Blog (974)</t>
        </is>
      </c>
      <c r="IG199" t="inlineStr"/>
      <c r="IH199" t="inlineStr"/>
      <c r="II199" t="inlineStr"/>
      <c r="IJ199" t="inlineStr"/>
      <c r="IK199" t="inlineStr"/>
      <c r="IL199" t="inlineStr"/>
      <c r="IM199" t="inlineStr"/>
      <c r="IN199" t="inlineStr"/>
      <c r="IO199" t="inlineStr"/>
      <c r="IP199" t="inlineStr"/>
      <c r="IQ199" t="inlineStr"/>
      <c r="IR199" t="inlineStr"/>
      <c r="IS199">
        <f>IF(input_content_type="",FALSE,ISNUMBER(SEARCH(","&amp;LOWER(input_content_type)&amp;",",","&amp;LOWER(F199)&amp;",")))</f>
        <v/>
      </c>
      <c r="IT199">
        <f>AND(IF(M199="",TRUE,IF(input_affiliations="",FALSE,SUMPRODUCT(--ISNUMBER(SEARCH(","&amp;TRIM(TEXTSPLIT(M199,","))&amp;",",","&amp;SUBSTITUTE(input_affiliations," ","")&amp;",")))&gt;0)),IF(O199="",TRUE,IF(input_affiliations="",FALSE,SUMPRODUCT(--ISNUMBER(SEARCH(","&amp;TRIM(TEXTSPLIT(O199,","))&amp;",",","&amp;SUBSTITUTE(input_affiliations," ","")&amp;",")))=COUNTA(TEXTSPLIT(O199,",")))),IF(Q199="",TRUE,IF(input_affiliations="",TRUE,SUMPRODUCT(--ISNUMBER(SEARCH(","&amp;TRIM(TEXTSPLIT(Q199,","))&amp;",",","&amp;SUBSTITUTE(input_affiliations," ","")&amp;",")))=0)),IF(S199="",TRUE,IF(input_affiliations="",FALSE,SUMPRODUCT(--ISNUMBER(SEARCH(","&amp;TRIM(TEXTSPLIT(S199,","))&amp;",",","&amp;SUBSTITUTE(input_affiliations," ","")&amp;",")))&gt;0)),IF(U199="",TRUE,IF(input_affiliations="",FALSE,SUMPRODUCT(--ISNUMBER(SEARCH(","&amp;TRIM(TEXTSPLIT(U199,","))&amp;",",","&amp;SUBSTITUTE(input_affiliations," ","")&amp;",")))=COUNTA(TEXTSPLIT(U199,",")))))</f>
        <v/>
      </c>
      <c r="IU199">
        <f>AND(IF(W199="",TRUE,IF(input_announcement_category="",FALSE,SUMPRODUCT(--ISNUMBER(SEARCH(","&amp;TRIM(TEXTSPLIT(W199,","))&amp;",",","&amp;SUBSTITUTE(input_announcement_category," ","")&amp;",")))&gt;0)),IF(Y199="",TRUE,IF(input_announcement_category="",FALSE,SUMPRODUCT(--ISNUMBER(SEARCH(","&amp;TRIM(TEXTSPLIT(Y199,","))&amp;",",","&amp;SUBSTITUTE(input_announcement_category," ","")&amp;",")))=COUNTA(TEXTSPLIT(Y199,",")))),IF(AA199="",TRUE,IF(input_announcement_category="",TRUE,SUMPRODUCT(--ISNUMBER(SEARCH(","&amp;TRIM(TEXTSPLIT(AA199,","))&amp;",",","&amp;SUBSTITUTE(input_announcement_category," ","")&amp;",")))=0)),IF(AC199="",TRUE,IF(input_announcement_category="",FALSE,SUMPRODUCT(--ISNUMBER(SEARCH(","&amp;TRIM(TEXTSPLIT(AC199,","))&amp;",",","&amp;SUBSTITUTE(input_announcement_category," ","")&amp;",")))&gt;0)),IF(AE199="",TRUE,IF(input_announcement_category="",FALSE,SUMPRODUCT(--ISNUMBER(SEARCH(","&amp;TRIM(TEXTSPLIT(AE199,","))&amp;",",","&amp;SUBSTITUTE(input_announcement_category," ","")&amp;",")))=COUNTA(TEXTSPLIT(AE199,",")))))</f>
        <v/>
      </c>
      <c r="IV199">
        <f>AND(IF(AG199="",TRUE,IF(input_area_of_focus="",FALSE,SUMPRODUCT(--ISNUMBER(SEARCH(","&amp;TRIM(TEXTSPLIT(AG199,","))&amp;",",","&amp;SUBSTITUTE(input_area_of_focus," ","")&amp;",")))&gt;0)),IF(AI199="",TRUE,IF(input_area_of_focus="",FALSE,SUMPRODUCT(--ISNUMBER(SEARCH(","&amp;TRIM(TEXTSPLIT(AI199,","))&amp;",",","&amp;SUBSTITUTE(input_area_of_focus," ","")&amp;",")))=COUNTA(TEXTSPLIT(AI199,",")))),IF(AK199="",TRUE,IF(input_area_of_focus="",TRUE,SUMPRODUCT(--ISNUMBER(SEARCH(","&amp;TRIM(TEXTSPLIT(AK199,","))&amp;",",","&amp;SUBSTITUTE(input_area_of_focus," ","")&amp;",")))=0)),IF(AM199="",TRUE,IF(input_area_of_focus="",FALSE,SUMPRODUCT(--ISNUMBER(SEARCH(","&amp;TRIM(TEXTSPLIT(AM199,","))&amp;",",","&amp;SUBSTITUTE(input_area_of_focus," ","")&amp;",")))&gt;0)),IF(AO199="",TRUE,IF(input_area_of_focus="",FALSE,SUMPRODUCT(--ISNUMBER(SEARCH(","&amp;TRIM(TEXTSPLIT(AO199,","))&amp;",",","&amp;SUBSTITUTE(input_area_of_focus," ","")&amp;",")))=COUNTA(TEXTSPLIT(AO199,",")))))</f>
        <v/>
      </c>
      <c r="IW199">
        <f>AND(IF(AQ199="",TRUE,IF(input_audience="",FALSE,SUMPRODUCT(--ISNUMBER(SEARCH(","&amp;TRIM(TEXTSPLIT(AQ199,","))&amp;",",","&amp;SUBSTITUTE(input_audience," ","")&amp;",")))&gt;0)),IF(AS199="",TRUE,IF(input_audience="",FALSE,SUMPRODUCT(--ISNUMBER(SEARCH(","&amp;TRIM(TEXTSPLIT(AS199,","))&amp;",",","&amp;SUBSTITUTE(input_audience," ","")&amp;",")))=COUNTA(TEXTSPLIT(AS199,",")))),IF(AU199="",TRUE,IF(input_audience="",TRUE,SUMPRODUCT(--ISNUMBER(SEARCH(","&amp;TRIM(TEXTSPLIT(AU199,","))&amp;",",","&amp;SUBSTITUTE(input_audience," ","")&amp;",")))=0)),IF(AW199="",TRUE,IF(input_audience="",FALSE,SUMPRODUCT(--ISNUMBER(SEARCH(","&amp;TRIM(TEXTSPLIT(AW199,","))&amp;",",","&amp;SUBSTITUTE(input_audience," ","")&amp;",")))&gt;0)),IF(AY199="",TRUE,IF(input_audience="",FALSE,SUMPRODUCT(--ISNUMBER(SEARCH(","&amp;TRIM(TEXTSPLIT(AY199,","))&amp;",",","&amp;SUBSTITUTE(input_audience," ","")&amp;",")))=COUNTA(TEXTSPLIT(AY199,",")))))</f>
        <v/>
      </c>
      <c r="IX199">
        <f>AND(IF(BA199="",TRUE,IF(input_challenge_opportunities="",FALSE,SUMPRODUCT(--ISNUMBER(SEARCH(","&amp;TRIM(TEXTSPLIT(BA199,","))&amp;",",","&amp;SUBSTITUTE(input_challenge_opportunities," ","")&amp;",")))&gt;0)),IF(BC199="",TRUE,IF(input_challenge_opportunities="",FALSE,SUMPRODUCT(--ISNUMBER(SEARCH(","&amp;TRIM(TEXTSPLIT(BC199,","))&amp;",",","&amp;SUBSTITUTE(input_challenge_opportunities," ","")&amp;",")))=COUNTA(TEXTSPLIT(BC199,",")))),IF(BE199="",TRUE,IF(input_challenge_opportunities="",TRUE,SUMPRODUCT(--ISNUMBER(SEARCH(","&amp;TRIM(TEXTSPLIT(BE199,","))&amp;",",","&amp;SUBSTITUTE(input_challenge_opportunities," ","")&amp;",")))=0)),IF(BG199="",TRUE,IF(input_challenge_opportunities="",FALSE,SUMPRODUCT(--ISNUMBER(SEARCH(","&amp;TRIM(TEXTSPLIT(BG199,","))&amp;",",","&amp;SUBSTITUTE(input_challenge_opportunities," ","")&amp;",")))&gt;0)),IF(BI199="",TRUE,IF(input_challenge_opportunities="",FALSE,SUMPRODUCT(--ISNUMBER(SEARCH(","&amp;TRIM(TEXTSPLIT(BI199,","))&amp;",",","&amp;SUBSTITUTE(input_challenge_opportunities," ","")&amp;",")))=COUNTA(TEXTSPLIT(BI199,",")))))</f>
        <v/>
      </c>
      <c r="IY199">
        <f>AND(IF(BK199="",TRUE,IF(input_context="",FALSE,SUMPRODUCT(--ISNUMBER(SEARCH(","&amp;TRIM(TEXTSPLIT(BK199,","))&amp;",",","&amp;SUBSTITUTE(input_context," ","")&amp;",")))&gt;0)),IF(BM199="",TRUE,IF(input_context="",FALSE,SUMPRODUCT(--ISNUMBER(SEARCH(","&amp;TRIM(TEXTSPLIT(BM199,","))&amp;",",","&amp;SUBSTITUTE(input_context," ","")&amp;",")))=COUNTA(TEXTSPLIT(BM199,",")))),IF(BO199="",TRUE,IF(input_context="",TRUE,SUMPRODUCT(--ISNUMBER(SEARCH(","&amp;TRIM(TEXTSPLIT(BO199,","))&amp;",",","&amp;SUBSTITUTE(input_context," ","")&amp;",")))=0)),IF(BQ199="",TRUE,IF(input_context="",FALSE,SUMPRODUCT(--ISNUMBER(SEARCH(","&amp;TRIM(TEXTSPLIT(BQ199,","))&amp;",",","&amp;SUBSTITUTE(input_context," ","")&amp;",")))&gt;0)),IF(BS199="",TRUE,IF(input_context="",FALSE,SUMPRODUCT(--ISNUMBER(SEARCH(","&amp;TRIM(TEXTSPLIT(BS199,","))&amp;",",","&amp;SUBSTITUTE(input_context," ","")&amp;",")))=COUNTA(TEXTSPLIT(BS199,",")))))</f>
        <v/>
      </c>
      <c r="IZ199">
        <f>AND(IF(BU199="",TRUE,IF(input_enews_announcement_type="",FALSE,SUMPRODUCT(--ISNUMBER(SEARCH(","&amp;TRIM(TEXTSPLIT(BU199,","))&amp;",",","&amp;SUBSTITUTE(input_enews_announcement_type," ","")&amp;",")))&gt;0)),IF(BW199="",TRUE,IF(input_enews_announcement_type="",FALSE,SUMPRODUCT(--ISNUMBER(SEARCH(","&amp;TRIM(TEXTSPLIT(BW199,","))&amp;",",","&amp;SUBSTITUTE(input_enews_announcement_type," ","")&amp;",")))=COUNTA(TEXTSPLIT(BW199,",")))),IF(BY199="",TRUE,IF(input_enews_announcement_type="",TRUE,SUMPRODUCT(--ISNUMBER(SEARCH(","&amp;TRIM(TEXTSPLIT(BY199,","))&amp;",",","&amp;SUBSTITUTE(input_enews_announcement_type," ","")&amp;",")))=0)),IF(CA199="",TRUE,IF(input_enews_announcement_type="",FALSE,SUMPRODUCT(--ISNUMBER(SEARCH(","&amp;TRIM(TEXTSPLIT(CA199,","))&amp;",",","&amp;SUBSTITUTE(input_enews_announcement_type," ","")&amp;",")))&gt;0)),IF(CC199="",TRUE,IF(input_enews_announcement_type="",FALSE,SUMPRODUCT(--ISNUMBER(SEARCH(","&amp;TRIM(TEXTSPLIT(CC199,","))&amp;",",","&amp;SUBSTITUTE(input_enews_announcement_type," ","")&amp;",")))=COUNTA(TEXTSPLIT(CC199,",")))))</f>
        <v/>
      </c>
      <c r="JA199">
        <f>AND(IF(CE199="",TRUE,IF(input_enews_audience="",FALSE,SUMPRODUCT(--ISNUMBER(SEARCH(","&amp;TRIM(TEXTSPLIT(CE199,","))&amp;",",","&amp;SUBSTITUTE(input_enews_audience," ","")&amp;",")))&gt;0)),IF(CG199="",TRUE,IF(input_enews_audience="",FALSE,SUMPRODUCT(--ISNUMBER(SEARCH(","&amp;TRIM(TEXTSPLIT(CG199,","))&amp;",",","&amp;SUBSTITUTE(input_enews_audience," ","")&amp;",")))=COUNTA(TEXTSPLIT(CG199,",")))),IF(CI199="",TRUE,IF(input_enews_audience="",TRUE,SUMPRODUCT(--ISNUMBER(SEARCH(","&amp;TRIM(TEXTSPLIT(CI199,","))&amp;",",","&amp;SUBSTITUTE(input_enews_audience," ","")&amp;",")))=0)),IF(CK199="",TRUE,IF(input_enews_audience="",FALSE,SUMPRODUCT(--ISNUMBER(SEARCH(","&amp;TRIM(TEXTSPLIT(CK199,","))&amp;",",","&amp;SUBSTITUTE(input_enews_audience," ","")&amp;",")))&gt;0)),IF(CM199="",TRUE,IF(input_enews_audience="",FALSE,SUMPRODUCT(--ISNUMBER(SEARCH(","&amp;TRIM(TEXTSPLIT(CM199,","))&amp;",",","&amp;SUBSTITUTE(input_enews_audience," ","")&amp;",")))=COUNTA(TEXTSPLIT(CM199,",")))))</f>
        <v/>
      </c>
      <c r="JB199">
        <f>AND(IF(CO199="",TRUE,IF(input_event_location="",FALSE,SUMPRODUCT(--ISNUMBER(SEARCH(","&amp;TRIM(TEXTSPLIT(CO199,","))&amp;",",","&amp;SUBSTITUTE(input_event_location," ","")&amp;",")))&gt;0)),IF(CQ199="",TRUE,IF(input_event_location="",FALSE,SUMPRODUCT(--ISNUMBER(SEARCH(","&amp;TRIM(TEXTSPLIT(CQ199,","))&amp;",",","&amp;SUBSTITUTE(input_event_location," ","")&amp;",")))=COUNTA(TEXTSPLIT(CQ199,",")))),IF(CS199="",TRUE,IF(input_event_location="",TRUE,SUMPRODUCT(--ISNUMBER(SEARCH(","&amp;TRIM(TEXTSPLIT(CS199,","))&amp;",",","&amp;SUBSTITUTE(input_event_location," ","")&amp;",")))=0)),IF(CU199="",TRUE,IF(input_event_location="",FALSE,SUMPRODUCT(--ISNUMBER(SEARCH(","&amp;TRIM(TEXTSPLIT(CU199,","))&amp;",",","&amp;SUBSTITUTE(input_event_location," ","")&amp;",")))&gt;0)),IF(CW199="",TRUE,IF(input_event_location="",FALSE,SUMPRODUCT(--ISNUMBER(SEARCH(","&amp;TRIM(TEXTSPLIT(CW199,","))&amp;",",","&amp;SUBSTITUTE(input_event_location," ","")&amp;",")))=COUNTA(TEXTSPLIT(CW199,",")))))</f>
        <v/>
      </c>
      <c r="JC199">
        <f>AND(IF(CY199="",TRUE,IF(input_event_type="",FALSE,SUMPRODUCT(--ISNUMBER(SEARCH(","&amp;TRIM(TEXTSPLIT(CY199,","))&amp;",",","&amp;SUBSTITUTE(input_event_type," ","")&amp;",")))&gt;0)),IF(DA199="",TRUE,IF(input_event_type="",FALSE,SUMPRODUCT(--ISNUMBER(SEARCH(","&amp;TRIM(TEXTSPLIT(DA199,","))&amp;",",","&amp;SUBSTITUTE(input_event_type," ","")&amp;",")))=COUNTA(TEXTSPLIT(DA199,",")))),IF(DC199="",TRUE,IF(input_event_type="",TRUE,SUMPRODUCT(--ISNUMBER(SEARCH(","&amp;TRIM(TEXTSPLIT(DC199,","))&amp;",",","&amp;SUBSTITUTE(input_event_type," ","")&amp;",")))=0)),IF(DE199="",TRUE,IF(input_event_type="",FALSE,SUMPRODUCT(--ISNUMBER(SEARCH(","&amp;TRIM(TEXTSPLIT(DE199,","))&amp;",",","&amp;SUBSTITUTE(input_event_type," ","")&amp;",")))&gt;0)),IF(DG199="",TRUE,IF(input_event_type="",FALSE,SUMPRODUCT(--ISNUMBER(SEARCH(","&amp;TRIM(TEXTSPLIT(DG199,","))&amp;",",","&amp;SUBSTITUTE(input_event_type," ","")&amp;",")))=COUNTA(TEXTSPLIT(DG199,",")))))</f>
        <v/>
      </c>
      <c r="JD199">
        <f>AND(IF(DI199="",TRUE,IF(input_executive_education_focus="",FALSE,SUMPRODUCT(--ISNUMBER(SEARCH(","&amp;TRIM(TEXTSPLIT(DI199,","))&amp;",",","&amp;SUBSTITUTE(input_executive_education_focus," ","")&amp;",")))&gt;0)),IF(DK199="",TRUE,IF(input_executive_education_focus="",FALSE,SUMPRODUCT(--ISNUMBER(SEARCH(","&amp;TRIM(TEXTSPLIT(DK199,","))&amp;",",","&amp;SUBSTITUTE(input_executive_education_focus," ","")&amp;",")))=COUNTA(TEXTSPLIT(DK199,",")))),IF(DM199="",TRUE,IF(input_executive_education_focus="",TRUE,SUMPRODUCT(--ISNUMBER(SEARCH(","&amp;TRIM(TEXTSPLIT(DM199,","))&amp;",",","&amp;SUBSTITUTE(input_executive_education_focus," ","")&amp;",")))=0)),IF(DO199="",TRUE,IF(input_executive_education_focus="",FALSE,SUMPRODUCT(--ISNUMBER(SEARCH(","&amp;TRIM(TEXTSPLIT(DO199,","))&amp;",",","&amp;SUBSTITUTE(input_executive_education_focus," ","")&amp;",")))&gt;0)),IF(DQ199="",TRUE,IF(input_executive_education_focus="",FALSE,SUMPRODUCT(--ISNUMBER(SEARCH(","&amp;TRIM(TEXTSPLIT(DQ199,","))&amp;",",","&amp;SUBSTITUTE(input_executive_education_focus," ","")&amp;",")))=COUNTA(TEXTSPLIT(DQ199,",")))))</f>
        <v/>
      </c>
      <c r="JE199">
        <f>AND(IF(DS199="",TRUE,IF(input_faculty_category="",FALSE,SUMPRODUCT(--ISNUMBER(SEARCH(","&amp;TRIM(TEXTSPLIT(DS199,","))&amp;",",","&amp;SUBSTITUTE(input_faculty_category," ","")&amp;",")))&gt;0)),IF(DU199="",TRUE,IF(input_faculty_category="",FALSE,SUMPRODUCT(--ISNUMBER(SEARCH(","&amp;TRIM(TEXTSPLIT(DU199,","))&amp;",",","&amp;SUBSTITUTE(input_faculty_category," ","")&amp;",")))=COUNTA(TEXTSPLIT(DU199,",")))),IF(DW199="",TRUE,IF(input_faculty_category="",TRUE,SUMPRODUCT(--ISNUMBER(SEARCH(","&amp;TRIM(TEXTSPLIT(DW199,","))&amp;",",","&amp;SUBSTITUTE(input_faculty_category," ","")&amp;",")))=0)),IF(DY199="",TRUE,IF(input_faculty_category="",FALSE,SUMPRODUCT(--ISNUMBER(SEARCH(","&amp;TRIM(TEXTSPLIT(DY199,","))&amp;",",","&amp;SUBSTITUTE(input_faculty_category," ","")&amp;",")))&gt;0)),IF(EA199="",TRUE,IF(input_faculty_category="",FALSE,SUMPRODUCT(--ISNUMBER(SEARCH(","&amp;TRIM(TEXTSPLIT(EA199,","))&amp;",",","&amp;SUBSTITUTE(input_faculty_category," ","")&amp;",")))=COUNTA(TEXTSPLIT(EA199,",")))))</f>
        <v/>
      </c>
      <c r="JF199">
        <f>AND(IF(EC199="",TRUE,IF(input_faculty_discipline="",FALSE,SUMPRODUCT(--ISNUMBER(SEARCH(","&amp;TRIM(TEXTSPLIT(EC199,","))&amp;",",","&amp;SUBSTITUTE(input_faculty_discipline," ","")&amp;",")))&gt;0)),IF(EE199="",TRUE,IF(input_faculty_discipline="",FALSE,SUMPRODUCT(--ISNUMBER(SEARCH(","&amp;TRIM(TEXTSPLIT(EE199,","))&amp;",",","&amp;SUBSTITUTE(input_faculty_discipline," ","")&amp;",")))=COUNTA(TEXTSPLIT(EE199,",")))),IF(EG199="",TRUE,IF(input_faculty_discipline="",TRUE,SUMPRODUCT(--ISNUMBER(SEARCH(","&amp;TRIM(TEXTSPLIT(EG199,","))&amp;",",","&amp;SUBSTITUTE(input_faculty_discipline," ","")&amp;",")))=0)),IF(EI199="",TRUE,IF(input_faculty_discipline="",FALSE,SUMPRODUCT(--ISNUMBER(SEARCH(","&amp;TRIM(TEXTSPLIT(EI199,","))&amp;",",","&amp;SUBSTITUTE(input_faculty_discipline," ","")&amp;",")))&gt;0)),IF(EK199="",TRUE,IF(input_faculty_discipline="",FALSE,SUMPRODUCT(--ISNUMBER(SEARCH(","&amp;TRIM(TEXTSPLIT(EK199,","))&amp;",",","&amp;SUBSTITUTE(input_faculty_discipline," ","")&amp;",")))=COUNTA(TEXTSPLIT(EK199,",")))))</f>
        <v/>
      </c>
      <c r="JG199">
        <f>AND(IF(EM199="",TRUE,IF(input_faculty_expertise="",FALSE,SUMPRODUCT(--ISNUMBER(SEARCH(","&amp;TRIM(TEXTSPLIT(EM199,","))&amp;",",","&amp;SUBSTITUTE(input_faculty_expertise," ","")&amp;",")))&gt;0)),IF(EO199="",TRUE,IF(input_faculty_expertise="",FALSE,SUMPRODUCT(--ISNUMBER(SEARCH(","&amp;TRIM(TEXTSPLIT(EO199,","))&amp;",",","&amp;SUBSTITUTE(input_faculty_expertise," ","")&amp;",")))=COUNTA(TEXTSPLIT(EO199,",")))),IF(EQ199="",TRUE,IF(input_faculty_expertise="",TRUE,SUMPRODUCT(--ISNUMBER(SEARCH(","&amp;TRIM(TEXTSPLIT(EQ199,","))&amp;",",","&amp;SUBSTITUTE(input_faculty_expertise," ","")&amp;",")))=0)),IF(ES199="",TRUE,IF(input_faculty_expertise="",FALSE,SUMPRODUCT(--ISNUMBER(SEARCH(","&amp;TRIM(TEXTSPLIT(ES199,","))&amp;",",","&amp;SUBSTITUTE(input_faculty_expertise," ","")&amp;",")))&gt;0)),IF(EU199="",TRUE,IF(input_faculty_expertise="",FALSE,SUMPRODUCT(--ISNUMBER(SEARCH(","&amp;TRIM(TEXTSPLIT(EU199,","))&amp;",",","&amp;SUBSTITUTE(input_faculty_expertise," ","")&amp;",")))=COUNTA(TEXTSPLIT(EU199,",")))))</f>
        <v/>
      </c>
      <c r="JH199">
        <f>AND(IF(EW199="",TRUE,IF(input_global_network_school="",FALSE,SUMPRODUCT(--ISNUMBER(SEARCH(","&amp;TRIM(TEXTSPLIT(EW199,","))&amp;",",","&amp;SUBSTITUTE(input_global_network_school," ","")&amp;",")))&gt;0)),IF(EY199="",TRUE,IF(input_global_network_school="",FALSE,SUMPRODUCT(--ISNUMBER(SEARCH(","&amp;TRIM(TEXTSPLIT(EY199,","))&amp;",",","&amp;SUBSTITUTE(input_global_network_school," ","")&amp;",")))=COUNTA(TEXTSPLIT(EY199,",")))),IF(FA199="",TRUE,IF(input_global_network_school="",TRUE,SUMPRODUCT(--ISNUMBER(SEARCH(","&amp;TRIM(TEXTSPLIT(FA199,","))&amp;",",","&amp;SUBSTITUTE(input_global_network_school," ","")&amp;",")))=0)),IF(FC199="",TRUE,IF(input_global_network_school="",FALSE,SUMPRODUCT(--ISNUMBER(SEARCH(","&amp;TRIM(TEXTSPLIT(FC199,","))&amp;",",","&amp;SUBSTITUTE(input_global_network_school," ","")&amp;",")))&gt;0)),IF(FE199="",TRUE,IF(input_global_network_school="",FALSE,SUMPRODUCT(--ISNUMBER(SEARCH(","&amp;TRIM(TEXTSPLIT(FE199,","))&amp;",",","&amp;SUBSTITUTE(input_global_network_school," ","")&amp;",")))=COUNTA(TEXTSPLIT(FE199,",")))))</f>
        <v/>
      </c>
      <c r="JI199">
        <f>AND(IF(FG199="",TRUE,IF(input_industry="",FALSE,SUMPRODUCT(--ISNUMBER(SEARCH(","&amp;TRIM(TEXTSPLIT(FG199,","))&amp;",",","&amp;SUBSTITUTE(input_industry," ","")&amp;",")))&gt;0)),IF(FI199="",TRUE,IF(input_industry="",FALSE,SUMPRODUCT(--ISNUMBER(SEARCH(","&amp;TRIM(TEXTSPLIT(FI199,","))&amp;",",","&amp;SUBSTITUTE(input_industry," ","")&amp;",")))=COUNTA(TEXTSPLIT(FI199,",")))),IF(FK199="",TRUE,IF(input_industry="",TRUE,SUMPRODUCT(--ISNUMBER(SEARCH(","&amp;TRIM(TEXTSPLIT(FK199,","))&amp;",",","&amp;SUBSTITUTE(input_industry," ","")&amp;",")))=0)),IF(FM199="",TRUE,IF(input_industry="",FALSE,SUMPRODUCT(--ISNUMBER(SEARCH(","&amp;TRIM(TEXTSPLIT(FM199,","))&amp;",",","&amp;SUBSTITUTE(input_industry," ","")&amp;",")))&gt;0)),IF(FO199="",TRUE,IF(input_industry="",FALSE,SUMPRODUCT(--ISNUMBER(SEARCH(","&amp;TRIM(TEXTSPLIT(FO199,","))&amp;",",","&amp;SUBSTITUTE(input_industry," ","")&amp;",")))=COUNTA(TEXTSPLIT(FO199,",")))))</f>
        <v/>
      </c>
      <c r="JJ199">
        <f>AND(IF(FQ199="",TRUE,IF(input_location="",FALSE,SUMPRODUCT(--ISNUMBER(SEARCH(","&amp;TRIM(TEXTSPLIT(FQ199,","))&amp;",",","&amp;SUBSTITUTE(input_location," ","")&amp;",")))&gt;0)),IF(FS199="",TRUE,IF(input_location="",FALSE,SUMPRODUCT(--ISNUMBER(SEARCH(","&amp;TRIM(TEXTSPLIT(FS199,","))&amp;",",","&amp;SUBSTITUTE(input_location," ","")&amp;",")))=COUNTA(TEXTSPLIT(FS199,",")))),IF(FU199="",TRUE,IF(input_location="",TRUE,SUMPRODUCT(--ISNUMBER(SEARCH(","&amp;TRIM(TEXTSPLIT(FU199,","))&amp;",",","&amp;SUBSTITUTE(input_location," ","")&amp;",")))=0)),IF(FW199="",TRUE,IF(input_location="",FALSE,SUMPRODUCT(--ISNUMBER(SEARCH(","&amp;TRIM(TEXTSPLIT(FW199,","))&amp;",",","&amp;SUBSTITUTE(input_location," ","")&amp;",")))&gt;0)),IF(FY199="",TRUE,IF(input_location="",FALSE,SUMPRODUCT(--ISNUMBER(SEARCH(","&amp;TRIM(TEXTSPLIT(FY199,","))&amp;",",","&amp;SUBSTITUTE(input_location," ","")&amp;",")))=COUNTA(TEXTSPLIT(FY199,",")))))</f>
        <v/>
      </c>
      <c r="JK199">
        <f>AND(IF(GA199="",TRUE,IF(input_modality="",FALSE,SUMPRODUCT(--ISNUMBER(SEARCH(","&amp;TRIM(TEXTSPLIT(GA199,","))&amp;",",","&amp;SUBSTITUTE(input_modality," ","")&amp;",")))&gt;0)),IF(GC199="",TRUE,IF(input_modality="",FALSE,SUMPRODUCT(--ISNUMBER(SEARCH(","&amp;TRIM(TEXTSPLIT(GC199,","))&amp;",",","&amp;SUBSTITUTE(input_modality," ","")&amp;",")))=COUNTA(TEXTSPLIT(GC199,",")))),IF(GE199="",TRUE,IF(input_modality="",TRUE,SUMPRODUCT(--ISNUMBER(SEARCH(","&amp;TRIM(TEXTSPLIT(GE199,","))&amp;",",","&amp;SUBSTITUTE(input_modality," ","")&amp;",")))=0)),IF(GG199="",TRUE,IF(input_modality="",FALSE,SUMPRODUCT(--ISNUMBER(SEARCH(","&amp;TRIM(TEXTSPLIT(GG199,","))&amp;",",","&amp;SUBSTITUTE(input_modality," ","")&amp;",")))&gt;0)),IF(GI199="",TRUE,IF(input_modality="",FALSE,SUMPRODUCT(--ISNUMBER(SEARCH(","&amp;TRIM(TEXTSPLIT(GI199,","))&amp;",",","&amp;SUBSTITUTE(input_modality," ","")&amp;",")))=COUNTA(TEXTSPLIT(GI199,",")))))</f>
        <v/>
      </c>
      <c r="JL199">
        <f>AND(IF(GK199="",TRUE,IF(input_organizer="",FALSE,SUMPRODUCT(--ISNUMBER(SEARCH(","&amp;TRIM(TEXTSPLIT(GK199,","))&amp;",",","&amp;SUBSTITUTE(input_organizer," ","")&amp;",")))&gt;0)),IF(GM199="",TRUE,IF(input_organizer="",FALSE,SUMPRODUCT(--ISNUMBER(SEARCH(","&amp;TRIM(TEXTSPLIT(GM199,","))&amp;",",","&amp;SUBSTITUTE(input_organizer," ","")&amp;",")))=COUNTA(TEXTSPLIT(GM199,",")))),IF(GO199="",TRUE,IF(input_organizer="",TRUE,SUMPRODUCT(--ISNUMBER(SEARCH(","&amp;TRIM(TEXTSPLIT(GO199,","))&amp;",",","&amp;SUBSTITUTE(input_organizer," ","")&amp;",")))=0)),IF(GQ199="",TRUE,IF(input_organizer="",FALSE,SUMPRODUCT(--ISNUMBER(SEARCH(","&amp;TRIM(TEXTSPLIT(GQ199,","))&amp;",",","&amp;SUBSTITUTE(input_organizer," ","")&amp;",")))&gt;0)),IF(GS199="",TRUE,IF(input_organizer="",FALSE,SUMPRODUCT(--ISNUMBER(SEARCH(","&amp;TRIM(TEXTSPLIT(GS199,","))&amp;",",","&amp;SUBSTITUTE(input_organizer," ","")&amp;",")))=COUNTA(TEXTSPLIT(GS199,",")))))</f>
        <v/>
      </c>
      <c r="JM199">
        <f>AND(IF(GU199="",TRUE,IF(input_profile_type="",FALSE,SUMPRODUCT(--ISNUMBER(SEARCH(","&amp;TRIM(TEXTSPLIT(GU199,","))&amp;",",","&amp;SUBSTITUTE(input_profile_type," ","")&amp;",")))&gt;0)),IF(GW199="",TRUE,IF(input_profile_type="",FALSE,SUMPRODUCT(--ISNUMBER(SEARCH(","&amp;TRIM(TEXTSPLIT(GW199,","))&amp;",",","&amp;SUBSTITUTE(input_profile_type," ","")&amp;",")))=COUNTA(TEXTSPLIT(GW199,",")))),IF(GY199="",TRUE,IF(input_profile_type="",TRUE,SUMPRODUCT(--ISNUMBER(SEARCH(","&amp;TRIM(TEXTSPLIT(GY199,","))&amp;",",","&amp;SUBSTITUTE(input_profile_type," ","")&amp;",")))=0)),IF(HA199="",TRUE,IF(input_profile_type="",FALSE,SUMPRODUCT(--ISNUMBER(SEARCH(","&amp;TRIM(TEXTSPLIT(HA199,","))&amp;",",","&amp;SUBSTITUTE(input_profile_type," ","")&amp;",")))&gt;0)),IF(HC199="",TRUE,IF(input_profile_type="",FALSE,SUMPRODUCT(--ISNUMBER(SEARCH(","&amp;TRIM(TEXTSPLIT(HC199,","))&amp;",",","&amp;SUBSTITUTE(input_profile_type," ","")&amp;",")))=COUNTA(TEXTSPLIT(HC199,",")))))</f>
        <v/>
      </c>
      <c r="JN199">
        <f>AND(IF(HE199="",TRUE,IF(input_program="",FALSE,SUMPRODUCT(--ISNUMBER(SEARCH(","&amp;TRIM(TEXTSPLIT(HE199,","))&amp;",",","&amp;SUBSTITUTE(input_program," ","")&amp;",")))&gt;0)),IF(HG199="",TRUE,IF(input_program="",FALSE,SUMPRODUCT(--ISNUMBER(SEARCH(","&amp;TRIM(TEXTSPLIT(HG199,","))&amp;",",","&amp;SUBSTITUTE(input_program," ","")&amp;",")))=COUNTA(TEXTSPLIT(HG199,",")))),IF(HI199="",TRUE,IF(input_program="",TRUE,SUMPRODUCT(--ISNUMBER(SEARCH(","&amp;TRIM(TEXTSPLIT(HI199,","))&amp;",",","&amp;SUBSTITUTE(input_program," ","")&amp;",")))=0)),IF(HK199="",TRUE,IF(input_program="",FALSE,SUMPRODUCT(--ISNUMBER(SEARCH(","&amp;TRIM(TEXTSPLIT(HK199,","))&amp;",",","&amp;SUBSTITUTE(input_program," ","")&amp;",")))&gt;0)),IF(HM199="",TRUE,IF(input_program="",FALSE,SUMPRODUCT(--ISNUMBER(SEARCH(","&amp;TRIM(TEXTSPLIT(HM199,","))&amp;",",","&amp;SUBSTITUTE(input_program," ","")&amp;",")))=COUNTA(TEXTSPLIT(HM199,",")))))</f>
        <v/>
      </c>
      <c r="JO199">
        <f>AND(IF(HO199="",TRUE,IF(input_story_categories="",FALSE,SUMPRODUCT(--ISNUMBER(SEARCH(","&amp;TRIM(TEXTSPLIT(HO199,","))&amp;",",","&amp;SUBSTITUTE(input_story_categories," ","")&amp;",")))&gt;0)),IF(HQ199="",TRUE,IF(input_story_categories="",FALSE,SUMPRODUCT(--ISNUMBER(SEARCH(","&amp;TRIM(TEXTSPLIT(HQ199,","))&amp;",",","&amp;SUBSTITUTE(input_story_categories," ","")&amp;",")))=COUNTA(TEXTSPLIT(HQ199,",")))),IF(HS199="",TRUE,IF(input_story_categories="",TRUE,SUMPRODUCT(--ISNUMBER(SEARCH(","&amp;TRIM(TEXTSPLIT(HS199,","))&amp;",",","&amp;SUBSTITUTE(input_story_categories," ","")&amp;",")))=0)),IF(HU199="",TRUE,IF(input_story_categories="",FALSE,SUMPRODUCT(--ISNUMBER(SEARCH(","&amp;TRIM(TEXTSPLIT(HU199,","))&amp;",",","&amp;SUBSTITUTE(input_story_categories," ","")&amp;",")))&gt;0)),IF(HW199="",TRUE,IF(input_story_categories="",FALSE,SUMPRODUCT(--ISNUMBER(SEARCH(","&amp;TRIM(TEXTSPLIT(HW199,","))&amp;",",","&amp;SUBSTITUTE(input_story_categories," ","")&amp;",")))=COUNTA(TEXTSPLIT(HW199,",")))))</f>
        <v/>
      </c>
      <c r="JP199">
        <f>AND(IF(HY199="",TRUE,IF(input_story_type="",FALSE,SUMPRODUCT(--ISNUMBER(SEARCH(","&amp;TRIM(TEXTSPLIT(HY199,","))&amp;",",","&amp;SUBSTITUTE(input_story_type," ","")&amp;",")))&gt;0)),IF(IA199="",TRUE,IF(input_story_type="",FALSE,SUMPRODUCT(--ISNUMBER(SEARCH(","&amp;TRIM(TEXTSPLIT(IA199,","))&amp;",",","&amp;SUBSTITUTE(input_story_type," ","")&amp;",")))=COUNTA(TEXTSPLIT(IA199,",")))),IF(IC199="",TRUE,IF(input_story_type="",TRUE,SUMPRODUCT(--ISNUMBER(SEARCH(","&amp;TRIM(TEXTSPLIT(IC199,","))&amp;",",","&amp;SUBSTITUTE(input_story_type," ","")&amp;",")))=0)),IF(IE199="",TRUE,IF(input_story_type="",FALSE,SUMPRODUCT(--ISNUMBER(SEARCH(","&amp;TRIM(TEXTSPLIT(IE199,","))&amp;",",","&amp;SUBSTITUTE(input_story_type," ","")&amp;",")))&gt;0)),IF(IG199="",TRUE,IF(input_story_type="",FALSE,SUMPRODUCT(--ISNUMBER(SEARCH(","&amp;TRIM(TEXTSPLIT(IG199,","))&amp;",",","&amp;SUBSTITUTE(input_story_type," ","")&amp;",")))=COUNTA(TEXTSPLIT(IG199,",")))))</f>
        <v/>
      </c>
      <c r="JQ199">
        <f>AND(IF(II199="",TRUE,IF(input_topics="",FALSE,SUMPRODUCT(--ISNUMBER(SEARCH(","&amp;TRIM(TEXTSPLIT(II199,","))&amp;",",","&amp;SUBSTITUTE(input_topics," ","")&amp;",")))&gt;0)),IF(IK199="",TRUE,IF(input_topics="",FALSE,SUMPRODUCT(--ISNUMBER(SEARCH(","&amp;TRIM(TEXTSPLIT(IK199,","))&amp;",",","&amp;SUBSTITUTE(input_topics," ","")&amp;",")))=COUNTA(TEXTSPLIT(IK199,",")))),IF(IM199="",TRUE,IF(input_topics="",TRUE,SUMPRODUCT(--ISNUMBER(SEARCH(","&amp;TRIM(TEXTSPLIT(IM199,","))&amp;",",","&amp;SUBSTITUTE(input_topics," ","")&amp;",")))=0)),IF(IO199="",TRUE,IF(input_topics="",FALSE,SUMPRODUCT(--ISNUMBER(SEARCH(","&amp;TRIM(TEXTSPLIT(IO199,","))&amp;",",","&amp;SUBSTITUTE(input_topics," ","")&amp;",")))&gt;0)),IF(IQ199="",TRUE,IF(input_topics="",FALSE,SUMPRODUCT(--ISNUMBER(SEARCH(","&amp;TRIM(TEXTSPLIT(IQ199,","))&amp;",",","&amp;SUBSTITUTE(input_topics," ","")&amp;",")))=COUNTA(TEXTSPLIT(IQ199,",")))))</f>
        <v/>
      </c>
    </row>
    <row r="200">
      <c r="A200" s="4">
        <f>IF(NOT(IS200),"Excluded",IF(AND(IT200,IU200,IV200,IW200,IX200,IY200,IZ200,JA200,JB200,JC200,JD200,JE200,JF200,JG200,JH200,JI200,JJ200,JK200,JL200,JM200,JN200,JO200,JP200,JQ200),IF(I200&gt;0,"Eligible but limited","Will appear"),"Excluded"))</f>
        <v/>
      </c>
      <c r="B200" s="4" t="inlineStr">
        <is>
          <t>Related stories on story pages</t>
        </is>
      </c>
      <c r="C200" s="4" t="inlineStr">
        <is>
          <t>/story/2024/building-community-and-soccer-pitch</t>
        </is>
      </c>
      <c r="D200" s="4" t="inlineStr">
        <is>
          <t>/story/2024/building-community-and-soccer-pitch
/story/2025/shucking-good-time-soms-oyster-society
/story/2025/winter-stroll-photos</t>
        </is>
      </c>
      <c r="E200" s="4" t="n">
        <v>3</v>
      </c>
      <c r="F200" s="4" t="inlineStr">
        <is>
          <t>story</t>
        </is>
      </c>
      <c r="G200" s="4" t="inlineStr">
        <is>
          <t>stories_teaser_cards</t>
        </is>
      </c>
      <c r="H200" s="4" t="inlineStr">
        <is>
          <t>embed_all</t>
        </is>
      </c>
      <c r="I200" s="4" t="n">
        <v>3</v>
      </c>
      <c r="J200" s="4" t="inlineStr">
        <is>
          <t>Template logic</t>
        </is>
      </c>
      <c r="K200" s="4" t="inlineStr">
        <is>
          <t>Grouped surface</t>
        </is>
      </c>
      <c r="L200" s="4" t="inlineStr">
        <is>
          <t>Content type: story; Context uses Courses Context: Student Life (125); Context uses Story Type: Blog (974); Limited to 3 item(s); Source: Template logic</t>
        </is>
      </c>
      <c r="M200" t="inlineStr"/>
      <c r="N200" t="inlineStr"/>
      <c r="O200" t="inlineStr"/>
      <c r="P200" t="inlineStr"/>
      <c r="Q200" t="inlineStr"/>
      <c r="R200" t="inlineStr"/>
      <c r="S200" t="inlineStr"/>
      <c r="T200" t="inlineStr"/>
      <c r="U200" t="inlineStr"/>
      <c r="V200" t="inlineStr"/>
      <c r="W200" t="inlineStr"/>
      <c r="X200" t="inlineStr"/>
      <c r="Y200" t="inlineStr"/>
      <c r="Z200" t="inlineStr"/>
      <c r="AA200" t="inlineStr"/>
      <c r="AB200" t="inlineStr"/>
      <c r="AC200" t="inlineStr"/>
      <c r="AD200" t="inlineStr"/>
      <c r="AE200" t="inlineStr"/>
      <c r="AF200" t="inlineStr"/>
      <c r="AG200" t="inlineStr"/>
      <c r="AH200" t="inlineStr"/>
      <c r="AI200" t="inlineStr"/>
      <c r="AJ200" t="inlineStr"/>
      <c r="AK200" t="inlineStr"/>
      <c r="AL200" t="inlineStr"/>
      <c r="AM200" t="inlineStr"/>
      <c r="AN200" t="inlineStr"/>
      <c r="AO200" t="inlineStr"/>
      <c r="AP200" t="inlineStr"/>
      <c r="AQ200" t="inlineStr"/>
      <c r="AR200" t="inlineStr"/>
      <c r="AS200" t="inlineStr"/>
      <c r="AT200" t="inlineStr"/>
      <c r="AU200" t="inlineStr"/>
      <c r="AV200" t="inlineStr"/>
      <c r="AW200" t="inlineStr"/>
      <c r="AX200" t="inlineStr"/>
      <c r="AY200" t="inlineStr"/>
      <c r="AZ200" t="inlineStr"/>
      <c r="BA200" t="inlineStr"/>
      <c r="BB200" t="inlineStr"/>
      <c r="BC200" t="inlineStr"/>
      <c r="BD200" t="inlineStr"/>
      <c r="BE200" t="inlineStr"/>
      <c r="BF200" t="inlineStr"/>
      <c r="BG200" t="inlineStr"/>
      <c r="BH200" t="inlineStr"/>
      <c r="BI200" t="inlineStr"/>
      <c r="BJ200" t="inlineStr"/>
      <c r="BK200" t="inlineStr"/>
      <c r="BL200" t="inlineStr"/>
      <c r="BM200" t="inlineStr"/>
      <c r="BN200" t="inlineStr"/>
      <c r="BO200" t="inlineStr"/>
      <c r="BP200" t="inlineStr"/>
      <c r="BQ200" t="inlineStr">
        <is>
          <t>125</t>
        </is>
      </c>
      <c r="BR200" t="inlineStr">
        <is>
          <t>Student Life (125)</t>
        </is>
      </c>
      <c r="BS200" t="inlineStr"/>
      <c r="BT200" t="inlineStr"/>
      <c r="BU200" t="inlineStr"/>
      <c r="BV200" t="inlineStr"/>
      <c r="BW200" t="inlineStr"/>
      <c r="BX200" t="inlineStr"/>
      <c r="BY200" t="inlineStr"/>
      <c r="BZ200" t="inlineStr"/>
      <c r="CA200" t="inlineStr"/>
      <c r="CB200" t="inlineStr"/>
      <c r="CC200" t="inlineStr"/>
      <c r="CD200" t="inlineStr"/>
      <c r="CE200" t="inlineStr"/>
      <c r="CF200" t="inlineStr"/>
      <c r="CG200" t="inlineStr"/>
      <c r="CH200" t="inlineStr"/>
      <c r="CI200" t="inlineStr"/>
      <c r="CJ200" t="inlineStr"/>
      <c r="CK200" t="inlineStr"/>
      <c r="CL200" t="inlineStr"/>
      <c r="CM200" t="inlineStr"/>
      <c r="CN200" t="inlineStr"/>
      <c r="CO200" t="inlineStr"/>
      <c r="CP200" t="inlineStr"/>
      <c r="CQ200" t="inlineStr"/>
      <c r="CR200" t="inlineStr"/>
      <c r="CS200" t="inlineStr"/>
      <c r="CT200" t="inlineStr"/>
      <c r="CU200" t="inlineStr"/>
      <c r="CV200" t="inlineStr"/>
      <c r="CW200" t="inlineStr"/>
      <c r="CX200" t="inlineStr"/>
      <c r="CY200" t="inlineStr"/>
      <c r="CZ200" t="inlineStr"/>
      <c r="DA200" t="inlineStr"/>
      <c r="DB200" t="inlineStr"/>
      <c r="DC200" t="inlineStr"/>
      <c r="DD200" t="inlineStr"/>
      <c r="DE200" t="inlineStr"/>
      <c r="DF200" t="inlineStr"/>
      <c r="DG200" t="inlineStr"/>
      <c r="DH200" t="inlineStr"/>
      <c r="DI200" t="inlineStr"/>
      <c r="DJ200" t="inlineStr"/>
      <c r="DK200" t="inlineStr"/>
      <c r="DL200" t="inlineStr"/>
      <c r="DM200" t="inlineStr"/>
      <c r="DN200" t="inlineStr"/>
      <c r="DO200" t="inlineStr"/>
      <c r="DP200" t="inlineStr"/>
      <c r="DQ200" t="inlineStr"/>
      <c r="DR200" t="inlineStr"/>
      <c r="DS200" t="inlineStr"/>
      <c r="DT200" t="inlineStr"/>
      <c r="DU200" t="inlineStr"/>
      <c r="DV200" t="inlineStr"/>
      <c r="DW200" t="inlineStr"/>
      <c r="DX200" t="inlineStr"/>
      <c r="DY200" t="inlineStr"/>
      <c r="DZ200" t="inlineStr"/>
      <c r="EA200" t="inlineStr"/>
      <c r="EB200" t="inlineStr"/>
      <c r="EC200" t="inlineStr"/>
      <c r="ED200" t="inlineStr"/>
      <c r="EE200" t="inlineStr"/>
      <c r="EF200" t="inlineStr"/>
      <c r="EG200" t="inlineStr"/>
      <c r="EH200" t="inlineStr"/>
      <c r="EI200" t="inlineStr"/>
      <c r="EJ200" t="inlineStr"/>
      <c r="EK200" t="inlineStr"/>
      <c r="EL200" t="inlineStr"/>
      <c r="EM200" t="inlineStr"/>
      <c r="EN200" t="inlineStr"/>
      <c r="EO200" t="inlineStr"/>
      <c r="EP200" t="inlineStr"/>
      <c r="EQ200" t="inlineStr"/>
      <c r="ER200" t="inlineStr"/>
      <c r="ES200" t="inlineStr"/>
      <c r="ET200" t="inlineStr"/>
      <c r="EU200" t="inlineStr"/>
      <c r="EV200" t="inlineStr"/>
      <c r="EW200" t="inlineStr"/>
      <c r="EX200" t="inlineStr"/>
      <c r="EY200" t="inlineStr"/>
      <c r="EZ200" t="inlineStr"/>
      <c r="FA200" t="inlineStr"/>
      <c r="FB200" t="inlineStr"/>
      <c r="FC200" t="inlineStr"/>
      <c r="FD200" t="inlineStr"/>
      <c r="FE200" t="inlineStr"/>
      <c r="FF200" t="inlineStr"/>
      <c r="FG200" t="inlineStr"/>
      <c r="FH200" t="inlineStr"/>
      <c r="FI200" t="inlineStr"/>
      <c r="FJ200" t="inlineStr"/>
      <c r="FK200" t="inlineStr"/>
      <c r="FL200" t="inlineStr"/>
      <c r="FM200" t="inlineStr"/>
      <c r="FN200" t="inlineStr"/>
      <c r="FO200" t="inlineStr"/>
      <c r="FP200" t="inlineStr"/>
      <c r="FQ200" t="inlineStr"/>
      <c r="FR200" t="inlineStr"/>
      <c r="FS200" t="inlineStr"/>
      <c r="FT200" t="inlineStr"/>
      <c r="FU200" t="inlineStr"/>
      <c r="FV200" t="inlineStr"/>
      <c r="FW200" t="inlineStr"/>
      <c r="FX200" t="inlineStr"/>
      <c r="FY200" t="inlineStr"/>
      <c r="FZ200" t="inlineStr"/>
      <c r="GA200" t="inlineStr"/>
      <c r="GB200" t="inlineStr"/>
      <c r="GC200" t="inlineStr"/>
      <c r="GD200" t="inlineStr"/>
      <c r="GE200" t="inlineStr"/>
      <c r="GF200" t="inlineStr"/>
      <c r="GG200" t="inlineStr"/>
      <c r="GH200" t="inlineStr"/>
      <c r="GI200" t="inlineStr"/>
      <c r="GJ200" t="inlineStr"/>
      <c r="GK200" t="inlineStr"/>
      <c r="GL200" t="inlineStr"/>
      <c r="GM200" t="inlineStr"/>
      <c r="GN200" t="inlineStr"/>
      <c r="GO200" t="inlineStr"/>
      <c r="GP200" t="inlineStr"/>
      <c r="GQ200" t="inlineStr"/>
      <c r="GR200" t="inlineStr"/>
      <c r="GS200" t="inlineStr"/>
      <c r="GT200" t="inlineStr"/>
      <c r="GU200" t="inlineStr"/>
      <c r="GV200" t="inlineStr"/>
      <c r="GW200" t="inlineStr"/>
      <c r="GX200" t="inlineStr"/>
      <c r="GY200" t="inlineStr"/>
      <c r="GZ200" t="inlineStr"/>
      <c r="HA200" t="inlineStr"/>
      <c r="HB200" t="inlineStr"/>
      <c r="HC200" t="inlineStr"/>
      <c r="HD200" t="inlineStr"/>
      <c r="HE200" t="inlineStr"/>
      <c r="HF200" t="inlineStr"/>
      <c r="HG200" t="inlineStr"/>
      <c r="HH200" t="inlineStr"/>
      <c r="HI200" t="inlineStr"/>
      <c r="HJ200" t="inlineStr"/>
      <c r="HK200" t="inlineStr"/>
      <c r="HL200" t="inlineStr"/>
      <c r="HM200" t="inlineStr"/>
      <c r="HN200" t="inlineStr"/>
      <c r="HO200" t="inlineStr"/>
      <c r="HP200" t="inlineStr"/>
      <c r="HQ200" t="inlineStr"/>
      <c r="HR200" t="inlineStr"/>
      <c r="HS200" t="inlineStr"/>
      <c r="HT200" t="inlineStr"/>
      <c r="HU200" t="inlineStr"/>
      <c r="HV200" t="inlineStr"/>
      <c r="HW200" t="inlineStr"/>
      <c r="HX200" t="inlineStr"/>
      <c r="HY200" t="inlineStr"/>
      <c r="HZ200" t="inlineStr"/>
      <c r="IA200" t="inlineStr"/>
      <c r="IB200" t="inlineStr"/>
      <c r="IC200" t="inlineStr"/>
      <c r="ID200" t="inlineStr"/>
      <c r="IE200" t="inlineStr">
        <is>
          <t>974</t>
        </is>
      </c>
      <c r="IF200" t="inlineStr">
        <is>
          <t>Blog (974)</t>
        </is>
      </c>
      <c r="IG200" t="inlineStr"/>
      <c r="IH200" t="inlineStr"/>
      <c r="II200" t="inlineStr"/>
      <c r="IJ200" t="inlineStr"/>
      <c r="IK200" t="inlineStr"/>
      <c r="IL200" t="inlineStr"/>
      <c r="IM200" t="inlineStr"/>
      <c r="IN200" t="inlineStr"/>
      <c r="IO200" t="inlineStr"/>
      <c r="IP200" t="inlineStr"/>
      <c r="IQ200" t="inlineStr"/>
      <c r="IR200" t="inlineStr"/>
      <c r="IS200">
        <f>IF(input_content_type="",FALSE,ISNUMBER(SEARCH(","&amp;LOWER(input_content_type)&amp;",",","&amp;LOWER(F200)&amp;",")))</f>
        <v/>
      </c>
      <c r="IT200">
        <f>AND(IF(M200="",TRUE,IF(input_affiliations="",FALSE,SUMPRODUCT(--ISNUMBER(SEARCH(","&amp;TRIM(TEXTSPLIT(M200,","))&amp;",",","&amp;SUBSTITUTE(input_affiliations," ","")&amp;",")))&gt;0)),IF(O200="",TRUE,IF(input_affiliations="",FALSE,SUMPRODUCT(--ISNUMBER(SEARCH(","&amp;TRIM(TEXTSPLIT(O200,","))&amp;",",","&amp;SUBSTITUTE(input_affiliations," ","")&amp;",")))=COUNTA(TEXTSPLIT(O200,",")))),IF(Q200="",TRUE,IF(input_affiliations="",TRUE,SUMPRODUCT(--ISNUMBER(SEARCH(","&amp;TRIM(TEXTSPLIT(Q200,","))&amp;",",","&amp;SUBSTITUTE(input_affiliations," ","")&amp;",")))=0)),IF(S200="",TRUE,IF(input_affiliations="",FALSE,SUMPRODUCT(--ISNUMBER(SEARCH(","&amp;TRIM(TEXTSPLIT(S200,","))&amp;",",","&amp;SUBSTITUTE(input_affiliations," ","")&amp;",")))&gt;0)),IF(U200="",TRUE,IF(input_affiliations="",FALSE,SUMPRODUCT(--ISNUMBER(SEARCH(","&amp;TRIM(TEXTSPLIT(U200,","))&amp;",",","&amp;SUBSTITUTE(input_affiliations," ","")&amp;",")))=COUNTA(TEXTSPLIT(U200,",")))))</f>
        <v/>
      </c>
      <c r="IU200">
        <f>AND(IF(W200="",TRUE,IF(input_announcement_category="",FALSE,SUMPRODUCT(--ISNUMBER(SEARCH(","&amp;TRIM(TEXTSPLIT(W200,","))&amp;",",","&amp;SUBSTITUTE(input_announcement_category," ","")&amp;",")))&gt;0)),IF(Y200="",TRUE,IF(input_announcement_category="",FALSE,SUMPRODUCT(--ISNUMBER(SEARCH(","&amp;TRIM(TEXTSPLIT(Y200,","))&amp;",",","&amp;SUBSTITUTE(input_announcement_category," ","")&amp;",")))=COUNTA(TEXTSPLIT(Y200,",")))),IF(AA200="",TRUE,IF(input_announcement_category="",TRUE,SUMPRODUCT(--ISNUMBER(SEARCH(","&amp;TRIM(TEXTSPLIT(AA200,","))&amp;",",","&amp;SUBSTITUTE(input_announcement_category," ","")&amp;",")))=0)),IF(AC200="",TRUE,IF(input_announcement_category="",FALSE,SUMPRODUCT(--ISNUMBER(SEARCH(","&amp;TRIM(TEXTSPLIT(AC200,","))&amp;",",","&amp;SUBSTITUTE(input_announcement_category," ","")&amp;",")))&gt;0)),IF(AE200="",TRUE,IF(input_announcement_category="",FALSE,SUMPRODUCT(--ISNUMBER(SEARCH(","&amp;TRIM(TEXTSPLIT(AE200,","))&amp;",",","&amp;SUBSTITUTE(input_announcement_category," ","")&amp;",")))=COUNTA(TEXTSPLIT(AE200,",")))))</f>
        <v/>
      </c>
      <c r="IV200">
        <f>AND(IF(AG200="",TRUE,IF(input_area_of_focus="",FALSE,SUMPRODUCT(--ISNUMBER(SEARCH(","&amp;TRIM(TEXTSPLIT(AG200,","))&amp;",",","&amp;SUBSTITUTE(input_area_of_focus," ","")&amp;",")))&gt;0)),IF(AI200="",TRUE,IF(input_area_of_focus="",FALSE,SUMPRODUCT(--ISNUMBER(SEARCH(","&amp;TRIM(TEXTSPLIT(AI200,","))&amp;",",","&amp;SUBSTITUTE(input_area_of_focus," ","")&amp;",")))=COUNTA(TEXTSPLIT(AI200,",")))),IF(AK200="",TRUE,IF(input_area_of_focus="",TRUE,SUMPRODUCT(--ISNUMBER(SEARCH(","&amp;TRIM(TEXTSPLIT(AK200,","))&amp;",",","&amp;SUBSTITUTE(input_area_of_focus," ","")&amp;",")))=0)),IF(AM200="",TRUE,IF(input_area_of_focus="",FALSE,SUMPRODUCT(--ISNUMBER(SEARCH(","&amp;TRIM(TEXTSPLIT(AM200,","))&amp;",",","&amp;SUBSTITUTE(input_area_of_focus," ","")&amp;",")))&gt;0)),IF(AO200="",TRUE,IF(input_area_of_focus="",FALSE,SUMPRODUCT(--ISNUMBER(SEARCH(","&amp;TRIM(TEXTSPLIT(AO200,","))&amp;",",","&amp;SUBSTITUTE(input_area_of_focus," ","")&amp;",")))=COUNTA(TEXTSPLIT(AO200,",")))))</f>
        <v/>
      </c>
      <c r="IW200">
        <f>AND(IF(AQ200="",TRUE,IF(input_audience="",FALSE,SUMPRODUCT(--ISNUMBER(SEARCH(","&amp;TRIM(TEXTSPLIT(AQ200,","))&amp;",",","&amp;SUBSTITUTE(input_audience," ","")&amp;",")))&gt;0)),IF(AS200="",TRUE,IF(input_audience="",FALSE,SUMPRODUCT(--ISNUMBER(SEARCH(","&amp;TRIM(TEXTSPLIT(AS200,","))&amp;",",","&amp;SUBSTITUTE(input_audience," ","")&amp;",")))=COUNTA(TEXTSPLIT(AS200,",")))),IF(AU200="",TRUE,IF(input_audience="",TRUE,SUMPRODUCT(--ISNUMBER(SEARCH(","&amp;TRIM(TEXTSPLIT(AU200,","))&amp;",",","&amp;SUBSTITUTE(input_audience," ","")&amp;",")))=0)),IF(AW200="",TRUE,IF(input_audience="",FALSE,SUMPRODUCT(--ISNUMBER(SEARCH(","&amp;TRIM(TEXTSPLIT(AW200,","))&amp;",",","&amp;SUBSTITUTE(input_audience," ","")&amp;",")))&gt;0)),IF(AY200="",TRUE,IF(input_audience="",FALSE,SUMPRODUCT(--ISNUMBER(SEARCH(","&amp;TRIM(TEXTSPLIT(AY200,","))&amp;",",","&amp;SUBSTITUTE(input_audience," ","")&amp;",")))=COUNTA(TEXTSPLIT(AY200,",")))))</f>
        <v/>
      </c>
      <c r="IX200">
        <f>AND(IF(BA200="",TRUE,IF(input_challenge_opportunities="",FALSE,SUMPRODUCT(--ISNUMBER(SEARCH(","&amp;TRIM(TEXTSPLIT(BA200,","))&amp;",",","&amp;SUBSTITUTE(input_challenge_opportunities," ","")&amp;",")))&gt;0)),IF(BC200="",TRUE,IF(input_challenge_opportunities="",FALSE,SUMPRODUCT(--ISNUMBER(SEARCH(","&amp;TRIM(TEXTSPLIT(BC200,","))&amp;",",","&amp;SUBSTITUTE(input_challenge_opportunities," ","")&amp;",")))=COUNTA(TEXTSPLIT(BC200,",")))),IF(BE200="",TRUE,IF(input_challenge_opportunities="",TRUE,SUMPRODUCT(--ISNUMBER(SEARCH(","&amp;TRIM(TEXTSPLIT(BE200,","))&amp;",",","&amp;SUBSTITUTE(input_challenge_opportunities," ","")&amp;",")))=0)),IF(BG200="",TRUE,IF(input_challenge_opportunities="",FALSE,SUMPRODUCT(--ISNUMBER(SEARCH(","&amp;TRIM(TEXTSPLIT(BG200,","))&amp;",",","&amp;SUBSTITUTE(input_challenge_opportunities," ","")&amp;",")))&gt;0)),IF(BI200="",TRUE,IF(input_challenge_opportunities="",FALSE,SUMPRODUCT(--ISNUMBER(SEARCH(","&amp;TRIM(TEXTSPLIT(BI200,","))&amp;",",","&amp;SUBSTITUTE(input_challenge_opportunities," ","")&amp;",")))=COUNTA(TEXTSPLIT(BI200,",")))))</f>
        <v/>
      </c>
      <c r="IY200">
        <f>AND(IF(BK200="",TRUE,IF(input_context="",FALSE,SUMPRODUCT(--ISNUMBER(SEARCH(","&amp;TRIM(TEXTSPLIT(BK200,","))&amp;",",","&amp;SUBSTITUTE(input_context," ","")&amp;",")))&gt;0)),IF(BM200="",TRUE,IF(input_context="",FALSE,SUMPRODUCT(--ISNUMBER(SEARCH(","&amp;TRIM(TEXTSPLIT(BM200,","))&amp;",",","&amp;SUBSTITUTE(input_context," ","")&amp;",")))=COUNTA(TEXTSPLIT(BM200,",")))),IF(BO200="",TRUE,IF(input_context="",TRUE,SUMPRODUCT(--ISNUMBER(SEARCH(","&amp;TRIM(TEXTSPLIT(BO200,","))&amp;",",","&amp;SUBSTITUTE(input_context," ","")&amp;",")))=0)),IF(BQ200="",TRUE,IF(input_context="",FALSE,SUMPRODUCT(--ISNUMBER(SEARCH(","&amp;TRIM(TEXTSPLIT(BQ200,","))&amp;",",","&amp;SUBSTITUTE(input_context," ","")&amp;",")))&gt;0)),IF(BS200="",TRUE,IF(input_context="",FALSE,SUMPRODUCT(--ISNUMBER(SEARCH(","&amp;TRIM(TEXTSPLIT(BS200,","))&amp;",",","&amp;SUBSTITUTE(input_context," ","")&amp;",")))=COUNTA(TEXTSPLIT(BS200,",")))))</f>
        <v/>
      </c>
      <c r="IZ200">
        <f>AND(IF(BU200="",TRUE,IF(input_enews_announcement_type="",FALSE,SUMPRODUCT(--ISNUMBER(SEARCH(","&amp;TRIM(TEXTSPLIT(BU200,","))&amp;",",","&amp;SUBSTITUTE(input_enews_announcement_type," ","")&amp;",")))&gt;0)),IF(BW200="",TRUE,IF(input_enews_announcement_type="",FALSE,SUMPRODUCT(--ISNUMBER(SEARCH(","&amp;TRIM(TEXTSPLIT(BW200,","))&amp;",",","&amp;SUBSTITUTE(input_enews_announcement_type," ","")&amp;",")))=COUNTA(TEXTSPLIT(BW200,",")))),IF(BY200="",TRUE,IF(input_enews_announcement_type="",TRUE,SUMPRODUCT(--ISNUMBER(SEARCH(","&amp;TRIM(TEXTSPLIT(BY200,","))&amp;",",","&amp;SUBSTITUTE(input_enews_announcement_type," ","")&amp;",")))=0)),IF(CA200="",TRUE,IF(input_enews_announcement_type="",FALSE,SUMPRODUCT(--ISNUMBER(SEARCH(","&amp;TRIM(TEXTSPLIT(CA200,","))&amp;",",","&amp;SUBSTITUTE(input_enews_announcement_type," ","")&amp;",")))&gt;0)),IF(CC200="",TRUE,IF(input_enews_announcement_type="",FALSE,SUMPRODUCT(--ISNUMBER(SEARCH(","&amp;TRIM(TEXTSPLIT(CC200,","))&amp;",",","&amp;SUBSTITUTE(input_enews_announcement_type," ","")&amp;",")))=COUNTA(TEXTSPLIT(CC200,",")))))</f>
        <v/>
      </c>
      <c r="JA200">
        <f>AND(IF(CE200="",TRUE,IF(input_enews_audience="",FALSE,SUMPRODUCT(--ISNUMBER(SEARCH(","&amp;TRIM(TEXTSPLIT(CE200,","))&amp;",",","&amp;SUBSTITUTE(input_enews_audience," ","")&amp;",")))&gt;0)),IF(CG200="",TRUE,IF(input_enews_audience="",FALSE,SUMPRODUCT(--ISNUMBER(SEARCH(","&amp;TRIM(TEXTSPLIT(CG200,","))&amp;",",","&amp;SUBSTITUTE(input_enews_audience," ","")&amp;",")))=COUNTA(TEXTSPLIT(CG200,",")))),IF(CI200="",TRUE,IF(input_enews_audience="",TRUE,SUMPRODUCT(--ISNUMBER(SEARCH(","&amp;TRIM(TEXTSPLIT(CI200,","))&amp;",",","&amp;SUBSTITUTE(input_enews_audience," ","")&amp;",")))=0)),IF(CK200="",TRUE,IF(input_enews_audience="",FALSE,SUMPRODUCT(--ISNUMBER(SEARCH(","&amp;TRIM(TEXTSPLIT(CK200,","))&amp;",",","&amp;SUBSTITUTE(input_enews_audience," ","")&amp;",")))&gt;0)),IF(CM200="",TRUE,IF(input_enews_audience="",FALSE,SUMPRODUCT(--ISNUMBER(SEARCH(","&amp;TRIM(TEXTSPLIT(CM200,","))&amp;",",","&amp;SUBSTITUTE(input_enews_audience," ","")&amp;",")))=COUNTA(TEXTSPLIT(CM200,",")))))</f>
        <v/>
      </c>
      <c r="JB200">
        <f>AND(IF(CO200="",TRUE,IF(input_event_location="",FALSE,SUMPRODUCT(--ISNUMBER(SEARCH(","&amp;TRIM(TEXTSPLIT(CO200,","))&amp;",",","&amp;SUBSTITUTE(input_event_location," ","")&amp;",")))&gt;0)),IF(CQ200="",TRUE,IF(input_event_location="",FALSE,SUMPRODUCT(--ISNUMBER(SEARCH(","&amp;TRIM(TEXTSPLIT(CQ200,","))&amp;",",","&amp;SUBSTITUTE(input_event_location," ","")&amp;",")))=COUNTA(TEXTSPLIT(CQ200,",")))),IF(CS200="",TRUE,IF(input_event_location="",TRUE,SUMPRODUCT(--ISNUMBER(SEARCH(","&amp;TRIM(TEXTSPLIT(CS200,","))&amp;",",","&amp;SUBSTITUTE(input_event_location," ","")&amp;",")))=0)),IF(CU200="",TRUE,IF(input_event_location="",FALSE,SUMPRODUCT(--ISNUMBER(SEARCH(","&amp;TRIM(TEXTSPLIT(CU200,","))&amp;",",","&amp;SUBSTITUTE(input_event_location," ","")&amp;",")))&gt;0)),IF(CW200="",TRUE,IF(input_event_location="",FALSE,SUMPRODUCT(--ISNUMBER(SEARCH(","&amp;TRIM(TEXTSPLIT(CW200,","))&amp;",",","&amp;SUBSTITUTE(input_event_location," ","")&amp;",")))=COUNTA(TEXTSPLIT(CW200,",")))))</f>
        <v/>
      </c>
      <c r="JC200">
        <f>AND(IF(CY200="",TRUE,IF(input_event_type="",FALSE,SUMPRODUCT(--ISNUMBER(SEARCH(","&amp;TRIM(TEXTSPLIT(CY200,","))&amp;",",","&amp;SUBSTITUTE(input_event_type," ","")&amp;",")))&gt;0)),IF(DA200="",TRUE,IF(input_event_type="",FALSE,SUMPRODUCT(--ISNUMBER(SEARCH(","&amp;TRIM(TEXTSPLIT(DA200,","))&amp;",",","&amp;SUBSTITUTE(input_event_type," ","")&amp;",")))=COUNTA(TEXTSPLIT(DA200,",")))),IF(DC200="",TRUE,IF(input_event_type="",TRUE,SUMPRODUCT(--ISNUMBER(SEARCH(","&amp;TRIM(TEXTSPLIT(DC200,","))&amp;",",","&amp;SUBSTITUTE(input_event_type," ","")&amp;",")))=0)),IF(DE200="",TRUE,IF(input_event_type="",FALSE,SUMPRODUCT(--ISNUMBER(SEARCH(","&amp;TRIM(TEXTSPLIT(DE200,","))&amp;",",","&amp;SUBSTITUTE(input_event_type," ","")&amp;",")))&gt;0)),IF(DG200="",TRUE,IF(input_event_type="",FALSE,SUMPRODUCT(--ISNUMBER(SEARCH(","&amp;TRIM(TEXTSPLIT(DG200,","))&amp;",",","&amp;SUBSTITUTE(input_event_type," ","")&amp;",")))=COUNTA(TEXTSPLIT(DG200,",")))))</f>
        <v/>
      </c>
      <c r="JD200">
        <f>AND(IF(DI200="",TRUE,IF(input_executive_education_focus="",FALSE,SUMPRODUCT(--ISNUMBER(SEARCH(","&amp;TRIM(TEXTSPLIT(DI200,","))&amp;",",","&amp;SUBSTITUTE(input_executive_education_focus," ","")&amp;",")))&gt;0)),IF(DK200="",TRUE,IF(input_executive_education_focus="",FALSE,SUMPRODUCT(--ISNUMBER(SEARCH(","&amp;TRIM(TEXTSPLIT(DK200,","))&amp;",",","&amp;SUBSTITUTE(input_executive_education_focus," ","")&amp;",")))=COUNTA(TEXTSPLIT(DK200,",")))),IF(DM200="",TRUE,IF(input_executive_education_focus="",TRUE,SUMPRODUCT(--ISNUMBER(SEARCH(","&amp;TRIM(TEXTSPLIT(DM200,","))&amp;",",","&amp;SUBSTITUTE(input_executive_education_focus," ","")&amp;",")))=0)),IF(DO200="",TRUE,IF(input_executive_education_focus="",FALSE,SUMPRODUCT(--ISNUMBER(SEARCH(","&amp;TRIM(TEXTSPLIT(DO200,","))&amp;",",","&amp;SUBSTITUTE(input_executive_education_focus," ","")&amp;",")))&gt;0)),IF(DQ200="",TRUE,IF(input_executive_education_focus="",FALSE,SUMPRODUCT(--ISNUMBER(SEARCH(","&amp;TRIM(TEXTSPLIT(DQ200,","))&amp;",",","&amp;SUBSTITUTE(input_executive_education_focus," ","")&amp;",")))=COUNTA(TEXTSPLIT(DQ200,",")))))</f>
        <v/>
      </c>
      <c r="JE200">
        <f>AND(IF(DS200="",TRUE,IF(input_faculty_category="",FALSE,SUMPRODUCT(--ISNUMBER(SEARCH(","&amp;TRIM(TEXTSPLIT(DS200,","))&amp;",",","&amp;SUBSTITUTE(input_faculty_category," ","")&amp;",")))&gt;0)),IF(DU200="",TRUE,IF(input_faculty_category="",FALSE,SUMPRODUCT(--ISNUMBER(SEARCH(","&amp;TRIM(TEXTSPLIT(DU200,","))&amp;",",","&amp;SUBSTITUTE(input_faculty_category," ","")&amp;",")))=COUNTA(TEXTSPLIT(DU200,",")))),IF(DW200="",TRUE,IF(input_faculty_category="",TRUE,SUMPRODUCT(--ISNUMBER(SEARCH(","&amp;TRIM(TEXTSPLIT(DW200,","))&amp;",",","&amp;SUBSTITUTE(input_faculty_category," ","")&amp;",")))=0)),IF(DY200="",TRUE,IF(input_faculty_category="",FALSE,SUMPRODUCT(--ISNUMBER(SEARCH(","&amp;TRIM(TEXTSPLIT(DY200,","))&amp;",",","&amp;SUBSTITUTE(input_faculty_category," ","")&amp;",")))&gt;0)),IF(EA200="",TRUE,IF(input_faculty_category="",FALSE,SUMPRODUCT(--ISNUMBER(SEARCH(","&amp;TRIM(TEXTSPLIT(EA200,","))&amp;",",","&amp;SUBSTITUTE(input_faculty_category," ","")&amp;",")))=COUNTA(TEXTSPLIT(EA200,",")))))</f>
        <v/>
      </c>
      <c r="JF200">
        <f>AND(IF(EC200="",TRUE,IF(input_faculty_discipline="",FALSE,SUMPRODUCT(--ISNUMBER(SEARCH(","&amp;TRIM(TEXTSPLIT(EC200,","))&amp;",",","&amp;SUBSTITUTE(input_faculty_discipline," ","")&amp;",")))&gt;0)),IF(EE200="",TRUE,IF(input_faculty_discipline="",FALSE,SUMPRODUCT(--ISNUMBER(SEARCH(","&amp;TRIM(TEXTSPLIT(EE200,","))&amp;",",","&amp;SUBSTITUTE(input_faculty_discipline," ","")&amp;",")))=COUNTA(TEXTSPLIT(EE200,",")))),IF(EG200="",TRUE,IF(input_faculty_discipline="",TRUE,SUMPRODUCT(--ISNUMBER(SEARCH(","&amp;TRIM(TEXTSPLIT(EG200,","))&amp;",",","&amp;SUBSTITUTE(input_faculty_discipline," ","")&amp;",")))=0)),IF(EI200="",TRUE,IF(input_faculty_discipline="",FALSE,SUMPRODUCT(--ISNUMBER(SEARCH(","&amp;TRIM(TEXTSPLIT(EI200,","))&amp;",",","&amp;SUBSTITUTE(input_faculty_discipline," ","")&amp;",")))&gt;0)),IF(EK200="",TRUE,IF(input_faculty_discipline="",FALSE,SUMPRODUCT(--ISNUMBER(SEARCH(","&amp;TRIM(TEXTSPLIT(EK200,","))&amp;",",","&amp;SUBSTITUTE(input_faculty_discipline," ","")&amp;",")))=COUNTA(TEXTSPLIT(EK200,",")))))</f>
        <v/>
      </c>
      <c r="JG200">
        <f>AND(IF(EM200="",TRUE,IF(input_faculty_expertise="",FALSE,SUMPRODUCT(--ISNUMBER(SEARCH(","&amp;TRIM(TEXTSPLIT(EM200,","))&amp;",",","&amp;SUBSTITUTE(input_faculty_expertise," ","")&amp;",")))&gt;0)),IF(EO200="",TRUE,IF(input_faculty_expertise="",FALSE,SUMPRODUCT(--ISNUMBER(SEARCH(","&amp;TRIM(TEXTSPLIT(EO200,","))&amp;",",","&amp;SUBSTITUTE(input_faculty_expertise," ","")&amp;",")))=COUNTA(TEXTSPLIT(EO200,",")))),IF(EQ200="",TRUE,IF(input_faculty_expertise="",TRUE,SUMPRODUCT(--ISNUMBER(SEARCH(","&amp;TRIM(TEXTSPLIT(EQ200,","))&amp;",",","&amp;SUBSTITUTE(input_faculty_expertise," ","")&amp;",")))=0)),IF(ES200="",TRUE,IF(input_faculty_expertise="",FALSE,SUMPRODUCT(--ISNUMBER(SEARCH(","&amp;TRIM(TEXTSPLIT(ES200,","))&amp;",",","&amp;SUBSTITUTE(input_faculty_expertise," ","")&amp;",")))&gt;0)),IF(EU200="",TRUE,IF(input_faculty_expertise="",FALSE,SUMPRODUCT(--ISNUMBER(SEARCH(","&amp;TRIM(TEXTSPLIT(EU200,","))&amp;",",","&amp;SUBSTITUTE(input_faculty_expertise," ","")&amp;",")))=COUNTA(TEXTSPLIT(EU200,",")))))</f>
        <v/>
      </c>
      <c r="JH200">
        <f>AND(IF(EW200="",TRUE,IF(input_global_network_school="",FALSE,SUMPRODUCT(--ISNUMBER(SEARCH(","&amp;TRIM(TEXTSPLIT(EW200,","))&amp;",",","&amp;SUBSTITUTE(input_global_network_school," ","")&amp;",")))&gt;0)),IF(EY200="",TRUE,IF(input_global_network_school="",FALSE,SUMPRODUCT(--ISNUMBER(SEARCH(","&amp;TRIM(TEXTSPLIT(EY200,","))&amp;",",","&amp;SUBSTITUTE(input_global_network_school," ","")&amp;",")))=COUNTA(TEXTSPLIT(EY200,",")))),IF(FA200="",TRUE,IF(input_global_network_school="",TRUE,SUMPRODUCT(--ISNUMBER(SEARCH(","&amp;TRIM(TEXTSPLIT(FA200,","))&amp;",",","&amp;SUBSTITUTE(input_global_network_school," ","")&amp;",")))=0)),IF(FC200="",TRUE,IF(input_global_network_school="",FALSE,SUMPRODUCT(--ISNUMBER(SEARCH(","&amp;TRIM(TEXTSPLIT(FC200,","))&amp;",",","&amp;SUBSTITUTE(input_global_network_school," ","")&amp;",")))&gt;0)),IF(FE200="",TRUE,IF(input_global_network_school="",FALSE,SUMPRODUCT(--ISNUMBER(SEARCH(","&amp;TRIM(TEXTSPLIT(FE200,","))&amp;",",","&amp;SUBSTITUTE(input_global_network_school," ","")&amp;",")))=COUNTA(TEXTSPLIT(FE200,",")))))</f>
        <v/>
      </c>
      <c r="JI200">
        <f>AND(IF(FG200="",TRUE,IF(input_industry="",FALSE,SUMPRODUCT(--ISNUMBER(SEARCH(","&amp;TRIM(TEXTSPLIT(FG200,","))&amp;",",","&amp;SUBSTITUTE(input_industry," ","")&amp;",")))&gt;0)),IF(FI200="",TRUE,IF(input_industry="",FALSE,SUMPRODUCT(--ISNUMBER(SEARCH(","&amp;TRIM(TEXTSPLIT(FI200,","))&amp;",",","&amp;SUBSTITUTE(input_industry," ","")&amp;",")))=COUNTA(TEXTSPLIT(FI200,",")))),IF(FK200="",TRUE,IF(input_industry="",TRUE,SUMPRODUCT(--ISNUMBER(SEARCH(","&amp;TRIM(TEXTSPLIT(FK200,","))&amp;",",","&amp;SUBSTITUTE(input_industry," ","")&amp;",")))=0)),IF(FM200="",TRUE,IF(input_industry="",FALSE,SUMPRODUCT(--ISNUMBER(SEARCH(","&amp;TRIM(TEXTSPLIT(FM200,","))&amp;",",","&amp;SUBSTITUTE(input_industry," ","")&amp;",")))&gt;0)),IF(FO200="",TRUE,IF(input_industry="",FALSE,SUMPRODUCT(--ISNUMBER(SEARCH(","&amp;TRIM(TEXTSPLIT(FO200,","))&amp;",",","&amp;SUBSTITUTE(input_industry," ","")&amp;",")))=COUNTA(TEXTSPLIT(FO200,",")))))</f>
        <v/>
      </c>
      <c r="JJ200">
        <f>AND(IF(FQ200="",TRUE,IF(input_location="",FALSE,SUMPRODUCT(--ISNUMBER(SEARCH(","&amp;TRIM(TEXTSPLIT(FQ200,","))&amp;",",","&amp;SUBSTITUTE(input_location," ","")&amp;",")))&gt;0)),IF(FS200="",TRUE,IF(input_location="",FALSE,SUMPRODUCT(--ISNUMBER(SEARCH(","&amp;TRIM(TEXTSPLIT(FS200,","))&amp;",",","&amp;SUBSTITUTE(input_location," ","")&amp;",")))=COUNTA(TEXTSPLIT(FS200,",")))),IF(FU200="",TRUE,IF(input_location="",TRUE,SUMPRODUCT(--ISNUMBER(SEARCH(","&amp;TRIM(TEXTSPLIT(FU200,","))&amp;",",","&amp;SUBSTITUTE(input_location," ","")&amp;",")))=0)),IF(FW200="",TRUE,IF(input_location="",FALSE,SUMPRODUCT(--ISNUMBER(SEARCH(","&amp;TRIM(TEXTSPLIT(FW200,","))&amp;",",","&amp;SUBSTITUTE(input_location," ","")&amp;",")))&gt;0)),IF(FY200="",TRUE,IF(input_location="",FALSE,SUMPRODUCT(--ISNUMBER(SEARCH(","&amp;TRIM(TEXTSPLIT(FY200,","))&amp;",",","&amp;SUBSTITUTE(input_location," ","")&amp;",")))=COUNTA(TEXTSPLIT(FY200,",")))))</f>
        <v/>
      </c>
      <c r="JK200">
        <f>AND(IF(GA200="",TRUE,IF(input_modality="",FALSE,SUMPRODUCT(--ISNUMBER(SEARCH(","&amp;TRIM(TEXTSPLIT(GA200,","))&amp;",",","&amp;SUBSTITUTE(input_modality," ","")&amp;",")))&gt;0)),IF(GC200="",TRUE,IF(input_modality="",FALSE,SUMPRODUCT(--ISNUMBER(SEARCH(","&amp;TRIM(TEXTSPLIT(GC200,","))&amp;",",","&amp;SUBSTITUTE(input_modality," ","")&amp;",")))=COUNTA(TEXTSPLIT(GC200,",")))),IF(GE200="",TRUE,IF(input_modality="",TRUE,SUMPRODUCT(--ISNUMBER(SEARCH(","&amp;TRIM(TEXTSPLIT(GE200,","))&amp;",",","&amp;SUBSTITUTE(input_modality," ","")&amp;",")))=0)),IF(GG200="",TRUE,IF(input_modality="",FALSE,SUMPRODUCT(--ISNUMBER(SEARCH(","&amp;TRIM(TEXTSPLIT(GG200,","))&amp;",",","&amp;SUBSTITUTE(input_modality," ","")&amp;",")))&gt;0)),IF(GI200="",TRUE,IF(input_modality="",FALSE,SUMPRODUCT(--ISNUMBER(SEARCH(","&amp;TRIM(TEXTSPLIT(GI200,","))&amp;",",","&amp;SUBSTITUTE(input_modality," ","")&amp;",")))=COUNTA(TEXTSPLIT(GI200,",")))))</f>
        <v/>
      </c>
      <c r="JL200">
        <f>AND(IF(GK200="",TRUE,IF(input_organizer="",FALSE,SUMPRODUCT(--ISNUMBER(SEARCH(","&amp;TRIM(TEXTSPLIT(GK200,","))&amp;",",","&amp;SUBSTITUTE(input_organizer," ","")&amp;",")))&gt;0)),IF(GM200="",TRUE,IF(input_organizer="",FALSE,SUMPRODUCT(--ISNUMBER(SEARCH(","&amp;TRIM(TEXTSPLIT(GM200,","))&amp;",",","&amp;SUBSTITUTE(input_organizer," ","")&amp;",")))=COUNTA(TEXTSPLIT(GM200,",")))),IF(GO200="",TRUE,IF(input_organizer="",TRUE,SUMPRODUCT(--ISNUMBER(SEARCH(","&amp;TRIM(TEXTSPLIT(GO200,","))&amp;",",","&amp;SUBSTITUTE(input_organizer," ","")&amp;",")))=0)),IF(GQ200="",TRUE,IF(input_organizer="",FALSE,SUMPRODUCT(--ISNUMBER(SEARCH(","&amp;TRIM(TEXTSPLIT(GQ200,","))&amp;",",","&amp;SUBSTITUTE(input_organizer," ","")&amp;",")))&gt;0)),IF(GS200="",TRUE,IF(input_organizer="",FALSE,SUMPRODUCT(--ISNUMBER(SEARCH(","&amp;TRIM(TEXTSPLIT(GS200,","))&amp;",",","&amp;SUBSTITUTE(input_organizer," ","")&amp;",")))=COUNTA(TEXTSPLIT(GS200,",")))))</f>
        <v/>
      </c>
      <c r="JM200">
        <f>AND(IF(GU200="",TRUE,IF(input_profile_type="",FALSE,SUMPRODUCT(--ISNUMBER(SEARCH(","&amp;TRIM(TEXTSPLIT(GU200,","))&amp;",",","&amp;SUBSTITUTE(input_profile_type," ","")&amp;",")))&gt;0)),IF(GW200="",TRUE,IF(input_profile_type="",FALSE,SUMPRODUCT(--ISNUMBER(SEARCH(","&amp;TRIM(TEXTSPLIT(GW200,","))&amp;",",","&amp;SUBSTITUTE(input_profile_type," ","")&amp;",")))=COUNTA(TEXTSPLIT(GW200,",")))),IF(GY200="",TRUE,IF(input_profile_type="",TRUE,SUMPRODUCT(--ISNUMBER(SEARCH(","&amp;TRIM(TEXTSPLIT(GY200,","))&amp;",",","&amp;SUBSTITUTE(input_profile_type," ","")&amp;",")))=0)),IF(HA200="",TRUE,IF(input_profile_type="",FALSE,SUMPRODUCT(--ISNUMBER(SEARCH(","&amp;TRIM(TEXTSPLIT(HA200,","))&amp;",",","&amp;SUBSTITUTE(input_profile_type," ","")&amp;",")))&gt;0)),IF(HC200="",TRUE,IF(input_profile_type="",FALSE,SUMPRODUCT(--ISNUMBER(SEARCH(","&amp;TRIM(TEXTSPLIT(HC200,","))&amp;",",","&amp;SUBSTITUTE(input_profile_type," ","")&amp;",")))=COUNTA(TEXTSPLIT(HC200,",")))))</f>
        <v/>
      </c>
      <c r="JN200">
        <f>AND(IF(HE200="",TRUE,IF(input_program="",FALSE,SUMPRODUCT(--ISNUMBER(SEARCH(","&amp;TRIM(TEXTSPLIT(HE200,","))&amp;",",","&amp;SUBSTITUTE(input_program," ","")&amp;",")))&gt;0)),IF(HG200="",TRUE,IF(input_program="",FALSE,SUMPRODUCT(--ISNUMBER(SEARCH(","&amp;TRIM(TEXTSPLIT(HG200,","))&amp;",",","&amp;SUBSTITUTE(input_program," ","")&amp;",")))=COUNTA(TEXTSPLIT(HG200,",")))),IF(HI200="",TRUE,IF(input_program="",TRUE,SUMPRODUCT(--ISNUMBER(SEARCH(","&amp;TRIM(TEXTSPLIT(HI200,","))&amp;",",","&amp;SUBSTITUTE(input_program," ","")&amp;",")))=0)),IF(HK200="",TRUE,IF(input_program="",FALSE,SUMPRODUCT(--ISNUMBER(SEARCH(","&amp;TRIM(TEXTSPLIT(HK200,","))&amp;",",","&amp;SUBSTITUTE(input_program," ","")&amp;",")))&gt;0)),IF(HM200="",TRUE,IF(input_program="",FALSE,SUMPRODUCT(--ISNUMBER(SEARCH(","&amp;TRIM(TEXTSPLIT(HM200,","))&amp;",",","&amp;SUBSTITUTE(input_program," ","")&amp;",")))=COUNTA(TEXTSPLIT(HM200,",")))))</f>
        <v/>
      </c>
      <c r="JO200">
        <f>AND(IF(HO200="",TRUE,IF(input_story_categories="",FALSE,SUMPRODUCT(--ISNUMBER(SEARCH(","&amp;TRIM(TEXTSPLIT(HO200,","))&amp;",",","&amp;SUBSTITUTE(input_story_categories," ","")&amp;",")))&gt;0)),IF(HQ200="",TRUE,IF(input_story_categories="",FALSE,SUMPRODUCT(--ISNUMBER(SEARCH(","&amp;TRIM(TEXTSPLIT(HQ200,","))&amp;",",","&amp;SUBSTITUTE(input_story_categories," ","")&amp;",")))=COUNTA(TEXTSPLIT(HQ200,",")))),IF(HS200="",TRUE,IF(input_story_categories="",TRUE,SUMPRODUCT(--ISNUMBER(SEARCH(","&amp;TRIM(TEXTSPLIT(HS200,","))&amp;",",","&amp;SUBSTITUTE(input_story_categories," ","")&amp;",")))=0)),IF(HU200="",TRUE,IF(input_story_categories="",FALSE,SUMPRODUCT(--ISNUMBER(SEARCH(","&amp;TRIM(TEXTSPLIT(HU200,","))&amp;",",","&amp;SUBSTITUTE(input_story_categories," ","")&amp;",")))&gt;0)),IF(HW200="",TRUE,IF(input_story_categories="",FALSE,SUMPRODUCT(--ISNUMBER(SEARCH(","&amp;TRIM(TEXTSPLIT(HW200,","))&amp;",",","&amp;SUBSTITUTE(input_story_categories," ","")&amp;",")))=COUNTA(TEXTSPLIT(HW200,",")))))</f>
        <v/>
      </c>
      <c r="JP200">
        <f>AND(IF(HY200="",TRUE,IF(input_story_type="",FALSE,SUMPRODUCT(--ISNUMBER(SEARCH(","&amp;TRIM(TEXTSPLIT(HY200,","))&amp;",",","&amp;SUBSTITUTE(input_story_type," ","")&amp;",")))&gt;0)),IF(IA200="",TRUE,IF(input_story_type="",FALSE,SUMPRODUCT(--ISNUMBER(SEARCH(","&amp;TRIM(TEXTSPLIT(IA200,","))&amp;",",","&amp;SUBSTITUTE(input_story_type," ","")&amp;",")))=COUNTA(TEXTSPLIT(IA200,",")))),IF(IC200="",TRUE,IF(input_story_type="",TRUE,SUMPRODUCT(--ISNUMBER(SEARCH(","&amp;TRIM(TEXTSPLIT(IC200,","))&amp;",",","&amp;SUBSTITUTE(input_story_type," ","")&amp;",")))=0)),IF(IE200="",TRUE,IF(input_story_type="",FALSE,SUMPRODUCT(--ISNUMBER(SEARCH(","&amp;TRIM(TEXTSPLIT(IE200,","))&amp;",",","&amp;SUBSTITUTE(input_story_type," ","")&amp;",")))&gt;0)),IF(IG200="",TRUE,IF(input_story_type="",FALSE,SUMPRODUCT(--ISNUMBER(SEARCH(","&amp;TRIM(TEXTSPLIT(IG200,","))&amp;",",","&amp;SUBSTITUTE(input_story_type," ","")&amp;",")))=COUNTA(TEXTSPLIT(IG200,",")))))</f>
        <v/>
      </c>
      <c r="JQ200">
        <f>AND(IF(II200="",TRUE,IF(input_topics="",FALSE,SUMPRODUCT(--ISNUMBER(SEARCH(","&amp;TRIM(TEXTSPLIT(II200,","))&amp;",",","&amp;SUBSTITUTE(input_topics," ","")&amp;",")))&gt;0)),IF(IK200="",TRUE,IF(input_topics="",FALSE,SUMPRODUCT(--ISNUMBER(SEARCH(","&amp;TRIM(TEXTSPLIT(IK200,","))&amp;",",","&amp;SUBSTITUTE(input_topics," ","")&amp;",")))=COUNTA(TEXTSPLIT(IK200,",")))),IF(IM200="",TRUE,IF(input_topics="",TRUE,SUMPRODUCT(--ISNUMBER(SEARCH(","&amp;TRIM(TEXTSPLIT(IM200,","))&amp;",",","&amp;SUBSTITUTE(input_topics," ","")&amp;",")))=0)),IF(IO200="",TRUE,IF(input_topics="",FALSE,SUMPRODUCT(--ISNUMBER(SEARCH(","&amp;TRIM(TEXTSPLIT(IO200,","))&amp;",",","&amp;SUBSTITUTE(input_topics," ","")&amp;",")))&gt;0)),IF(IQ200="",TRUE,IF(input_topics="",FALSE,SUMPRODUCT(--ISNUMBER(SEARCH(","&amp;TRIM(TEXTSPLIT(IQ200,","))&amp;",",","&amp;SUBSTITUTE(input_topics," ","")&amp;",")))=COUNTA(TEXTSPLIT(IQ200,",")))))</f>
        <v/>
      </c>
    </row>
    <row r="201">
      <c r="A201" s="4">
        <f>IF(NOT(IS201),"Excluded",IF(AND(IT201,IU201,IV201,IW201,IX201,IY201,IZ201,JA201,JB201,JC201,JD201,JE201,JF201,JG201,JH201,JI201,JJ201,JK201,JL201,JM201,JN201,JO201,JP201,JQ201),IF(I201&gt;0,"Eligible but limited","Will appear"),"Excluded"))</f>
        <v/>
      </c>
      <c r="B201" s="4" t="inlineStr">
        <is>
          <t>Related stories on story pages</t>
        </is>
      </c>
      <c r="C201" s="4" t="inlineStr">
        <is>
          <t>/story/2024/friendsgiving-photos</t>
        </is>
      </c>
      <c r="D201" s="4" t="inlineStr">
        <is>
          <t>/story/2024/friendsgiving-photos
/story/2024/photos-yale-soms-annual-winter-stroll
/story/2025/friendsgiving-photos</t>
        </is>
      </c>
      <c r="E201" s="4" t="n">
        <v>5</v>
      </c>
      <c r="F201" s="4" t="inlineStr">
        <is>
          <t>story</t>
        </is>
      </c>
      <c r="G201" s="4" t="inlineStr">
        <is>
          <t>stories_teaser_cards</t>
        </is>
      </c>
      <c r="H201" s="4" t="inlineStr">
        <is>
          <t>embed_all</t>
        </is>
      </c>
      <c r="I201" s="4" t="n">
        <v>3</v>
      </c>
      <c r="J201" s="4" t="inlineStr">
        <is>
          <t>Template logic</t>
        </is>
      </c>
      <c r="K201" s="4" t="inlineStr">
        <is>
          <t>Grouped surface</t>
        </is>
      </c>
      <c r="L201" s="4" t="inlineStr">
        <is>
          <t>Content type: story; Context uses Courses Context: Residential master's programs (1571); Context uses Story Type: Blog (974); Limited to 3 item(s); Source: Template logic</t>
        </is>
      </c>
      <c r="M201" t="inlineStr"/>
      <c r="N201" t="inlineStr"/>
      <c r="O201" t="inlineStr"/>
      <c r="P201" t="inlineStr"/>
      <c r="Q201" t="inlineStr"/>
      <c r="R201" t="inlineStr"/>
      <c r="S201" t="inlineStr"/>
      <c r="T201" t="inlineStr"/>
      <c r="U201" t="inlineStr"/>
      <c r="V201" t="inlineStr"/>
      <c r="W201" t="inlineStr"/>
      <c r="X201" t="inlineStr"/>
      <c r="Y201" t="inlineStr"/>
      <c r="Z201" t="inlineStr"/>
      <c r="AA201" t="inlineStr"/>
      <c r="AB201" t="inlineStr"/>
      <c r="AC201" t="inlineStr"/>
      <c r="AD201" t="inlineStr"/>
      <c r="AE201" t="inlineStr"/>
      <c r="AF201" t="inlineStr"/>
      <c r="AG201" t="inlineStr"/>
      <c r="AH201" t="inlineStr"/>
      <c r="AI201" t="inlineStr"/>
      <c r="AJ201" t="inlineStr"/>
      <c r="AK201" t="inlineStr"/>
      <c r="AL201" t="inlineStr"/>
      <c r="AM201" t="inlineStr"/>
      <c r="AN201" t="inlineStr"/>
      <c r="AO201" t="inlineStr"/>
      <c r="AP201" t="inlineStr"/>
      <c r="AQ201" t="inlineStr"/>
      <c r="AR201" t="inlineStr"/>
      <c r="AS201" t="inlineStr"/>
      <c r="AT201" t="inlineStr"/>
      <c r="AU201" t="inlineStr"/>
      <c r="AV201" t="inlineStr"/>
      <c r="AW201" t="inlineStr"/>
      <c r="AX201" t="inlineStr"/>
      <c r="AY201" t="inlineStr"/>
      <c r="AZ201" t="inlineStr"/>
      <c r="BA201" t="inlineStr"/>
      <c r="BB201" t="inlineStr"/>
      <c r="BC201" t="inlineStr"/>
      <c r="BD201" t="inlineStr"/>
      <c r="BE201" t="inlineStr"/>
      <c r="BF201" t="inlineStr"/>
      <c r="BG201" t="inlineStr"/>
      <c r="BH201" t="inlineStr"/>
      <c r="BI201" t="inlineStr"/>
      <c r="BJ201" t="inlineStr"/>
      <c r="BK201" t="inlineStr"/>
      <c r="BL201" t="inlineStr"/>
      <c r="BM201" t="inlineStr"/>
      <c r="BN201" t="inlineStr"/>
      <c r="BO201" t="inlineStr"/>
      <c r="BP201" t="inlineStr"/>
      <c r="BQ201" t="inlineStr">
        <is>
          <t>1571</t>
        </is>
      </c>
      <c r="BR201" t="inlineStr">
        <is>
          <t>Residential master's programs (1571)</t>
        </is>
      </c>
      <c r="BS201" t="inlineStr"/>
      <c r="BT201" t="inlineStr"/>
      <c r="BU201" t="inlineStr"/>
      <c r="BV201" t="inlineStr"/>
      <c r="BW201" t="inlineStr"/>
      <c r="BX201" t="inlineStr"/>
      <c r="BY201" t="inlineStr"/>
      <c r="BZ201" t="inlineStr"/>
      <c r="CA201" t="inlineStr"/>
      <c r="CB201" t="inlineStr"/>
      <c r="CC201" t="inlineStr"/>
      <c r="CD201" t="inlineStr"/>
      <c r="CE201" t="inlineStr"/>
      <c r="CF201" t="inlineStr"/>
      <c r="CG201" t="inlineStr"/>
      <c r="CH201" t="inlineStr"/>
      <c r="CI201" t="inlineStr"/>
      <c r="CJ201" t="inlineStr"/>
      <c r="CK201" t="inlineStr"/>
      <c r="CL201" t="inlineStr"/>
      <c r="CM201" t="inlineStr"/>
      <c r="CN201" t="inlineStr"/>
      <c r="CO201" t="inlineStr"/>
      <c r="CP201" t="inlineStr"/>
      <c r="CQ201" t="inlineStr"/>
      <c r="CR201" t="inlineStr"/>
      <c r="CS201" t="inlineStr"/>
      <c r="CT201" t="inlineStr"/>
      <c r="CU201" t="inlineStr"/>
      <c r="CV201" t="inlineStr"/>
      <c r="CW201" t="inlineStr"/>
      <c r="CX201" t="inlineStr"/>
      <c r="CY201" t="inlineStr"/>
      <c r="CZ201" t="inlineStr"/>
      <c r="DA201" t="inlineStr"/>
      <c r="DB201" t="inlineStr"/>
      <c r="DC201" t="inlineStr"/>
      <c r="DD201" t="inlineStr"/>
      <c r="DE201" t="inlineStr"/>
      <c r="DF201" t="inlineStr"/>
      <c r="DG201" t="inlineStr"/>
      <c r="DH201" t="inlineStr"/>
      <c r="DI201" t="inlineStr"/>
      <c r="DJ201" t="inlineStr"/>
      <c r="DK201" t="inlineStr"/>
      <c r="DL201" t="inlineStr"/>
      <c r="DM201" t="inlineStr"/>
      <c r="DN201" t="inlineStr"/>
      <c r="DO201" t="inlineStr"/>
      <c r="DP201" t="inlineStr"/>
      <c r="DQ201" t="inlineStr"/>
      <c r="DR201" t="inlineStr"/>
      <c r="DS201" t="inlineStr"/>
      <c r="DT201" t="inlineStr"/>
      <c r="DU201" t="inlineStr"/>
      <c r="DV201" t="inlineStr"/>
      <c r="DW201" t="inlineStr"/>
      <c r="DX201" t="inlineStr"/>
      <c r="DY201" t="inlineStr"/>
      <c r="DZ201" t="inlineStr"/>
      <c r="EA201" t="inlineStr"/>
      <c r="EB201" t="inlineStr"/>
      <c r="EC201" t="inlineStr"/>
      <c r="ED201" t="inlineStr"/>
      <c r="EE201" t="inlineStr"/>
      <c r="EF201" t="inlineStr"/>
      <c r="EG201" t="inlineStr"/>
      <c r="EH201" t="inlineStr"/>
      <c r="EI201" t="inlineStr"/>
      <c r="EJ201" t="inlineStr"/>
      <c r="EK201" t="inlineStr"/>
      <c r="EL201" t="inlineStr"/>
      <c r="EM201" t="inlineStr"/>
      <c r="EN201" t="inlineStr"/>
      <c r="EO201" t="inlineStr"/>
      <c r="EP201" t="inlineStr"/>
      <c r="EQ201" t="inlineStr"/>
      <c r="ER201" t="inlineStr"/>
      <c r="ES201" t="inlineStr"/>
      <c r="ET201" t="inlineStr"/>
      <c r="EU201" t="inlineStr"/>
      <c r="EV201" t="inlineStr"/>
      <c r="EW201" t="inlineStr"/>
      <c r="EX201" t="inlineStr"/>
      <c r="EY201" t="inlineStr"/>
      <c r="EZ201" t="inlineStr"/>
      <c r="FA201" t="inlineStr"/>
      <c r="FB201" t="inlineStr"/>
      <c r="FC201" t="inlineStr"/>
      <c r="FD201" t="inlineStr"/>
      <c r="FE201" t="inlineStr"/>
      <c r="FF201" t="inlineStr"/>
      <c r="FG201" t="inlineStr"/>
      <c r="FH201" t="inlineStr"/>
      <c r="FI201" t="inlineStr"/>
      <c r="FJ201" t="inlineStr"/>
      <c r="FK201" t="inlineStr"/>
      <c r="FL201" t="inlineStr"/>
      <c r="FM201" t="inlineStr"/>
      <c r="FN201" t="inlineStr"/>
      <c r="FO201" t="inlineStr"/>
      <c r="FP201" t="inlineStr"/>
      <c r="FQ201" t="inlineStr"/>
      <c r="FR201" t="inlineStr"/>
      <c r="FS201" t="inlineStr"/>
      <c r="FT201" t="inlineStr"/>
      <c r="FU201" t="inlineStr"/>
      <c r="FV201" t="inlineStr"/>
      <c r="FW201" t="inlineStr"/>
      <c r="FX201" t="inlineStr"/>
      <c r="FY201" t="inlineStr"/>
      <c r="FZ201" t="inlineStr"/>
      <c r="GA201" t="inlineStr"/>
      <c r="GB201" t="inlineStr"/>
      <c r="GC201" t="inlineStr"/>
      <c r="GD201" t="inlineStr"/>
      <c r="GE201" t="inlineStr"/>
      <c r="GF201" t="inlineStr"/>
      <c r="GG201" t="inlineStr"/>
      <c r="GH201" t="inlineStr"/>
      <c r="GI201" t="inlineStr"/>
      <c r="GJ201" t="inlineStr"/>
      <c r="GK201" t="inlineStr"/>
      <c r="GL201" t="inlineStr"/>
      <c r="GM201" t="inlineStr"/>
      <c r="GN201" t="inlineStr"/>
      <c r="GO201" t="inlineStr"/>
      <c r="GP201" t="inlineStr"/>
      <c r="GQ201" t="inlineStr"/>
      <c r="GR201" t="inlineStr"/>
      <c r="GS201" t="inlineStr"/>
      <c r="GT201" t="inlineStr"/>
      <c r="GU201" t="inlineStr"/>
      <c r="GV201" t="inlineStr"/>
      <c r="GW201" t="inlineStr"/>
      <c r="GX201" t="inlineStr"/>
      <c r="GY201" t="inlineStr"/>
      <c r="GZ201" t="inlineStr"/>
      <c r="HA201" t="inlineStr"/>
      <c r="HB201" t="inlineStr"/>
      <c r="HC201" t="inlineStr"/>
      <c r="HD201" t="inlineStr"/>
      <c r="HE201" t="inlineStr"/>
      <c r="HF201" t="inlineStr"/>
      <c r="HG201" t="inlineStr"/>
      <c r="HH201" t="inlineStr"/>
      <c r="HI201" t="inlineStr"/>
      <c r="HJ201" t="inlineStr"/>
      <c r="HK201" t="inlineStr"/>
      <c r="HL201" t="inlineStr"/>
      <c r="HM201" t="inlineStr"/>
      <c r="HN201" t="inlineStr"/>
      <c r="HO201" t="inlineStr"/>
      <c r="HP201" t="inlineStr"/>
      <c r="HQ201" t="inlineStr"/>
      <c r="HR201" t="inlineStr"/>
      <c r="HS201" t="inlineStr"/>
      <c r="HT201" t="inlineStr"/>
      <c r="HU201" t="inlineStr"/>
      <c r="HV201" t="inlineStr"/>
      <c r="HW201" t="inlineStr"/>
      <c r="HX201" t="inlineStr"/>
      <c r="HY201" t="inlineStr"/>
      <c r="HZ201" t="inlineStr"/>
      <c r="IA201" t="inlineStr"/>
      <c r="IB201" t="inlineStr"/>
      <c r="IC201" t="inlineStr"/>
      <c r="ID201" t="inlineStr"/>
      <c r="IE201" t="inlineStr">
        <is>
          <t>974</t>
        </is>
      </c>
      <c r="IF201" t="inlineStr">
        <is>
          <t>Blog (974)</t>
        </is>
      </c>
      <c r="IG201" t="inlineStr"/>
      <c r="IH201" t="inlineStr"/>
      <c r="II201" t="inlineStr"/>
      <c r="IJ201" t="inlineStr"/>
      <c r="IK201" t="inlineStr"/>
      <c r="IL201" t="inlineStr"/>
      <c r="IM201" t="inlineStr"/>
      <c r="IN201" t="inlineStr"/>
      <c r="IO201" t="inlineStr"/>
      <c r="IP201" t="inlineStr"/>
      <c r="IQ201" t="inlineStr"/>
      <c r="IR201" t="inlineStr"/>
      <c r="IS201">
        <f>IF(input_content_type="",FALSE,ISNUMBER(SEARCH(","&amp;LOWER(input_content_type)&amp;",",","&amp;LOWER(F201)&amp;",")))</f>
        <v/>
      </c>
      <c r="IT201">
        <f>AND(IF(M201="",TRUE,IF(input_affiliations="",FALSE,SUMPRODUCT(--ISNUMBER(SEARCH(","&amp;TRIM(TEXTSPLIT(M201,","))&amp;",",","&amp;SUBSTITUTE(input_affiliations," ","")&amp;",")))&gt;0)),IF(O201="",TRUE,IF(input_affiliations="",FALSE,SUMPRODUCT(--ISNUMBER(SEARCH(","&amp;TRIM(TEXTSPLIT(O201,","))&amp;",",","&amp;SUBSTITUTE(input_affiliations," ","")&amp;",")))=COUNTA(TEXTSPLIT(O201,",")))),IF(Q201="",TRUE,IF(input_affiliations="",TRUE,SUMPRODUCT(--ISNUMBER(SEARCH(","&amp;TRIM(TEXTSPLIT(Q201,","))&amp;",",","&amp;SUBSTITUTE(input_affiliations," ","")&amp;",")))=0)),IF(S201="",TRUE,IF(input_affiliations="",FALSE,SUMPRODUCT(--ISNUMBER(SEARCH(","&amp;TRIM(TEXTSPLIT(S201,","))&amp;",",","&amp;SUBSTITUTE(input_affiliations," ","")&amp;",")))&gt;0)),IF(U201="",TRUE,IF(input_affiliations="",FALSE,SUMPRODUCT(--ISNUMBER(SEARCH(","&amp;TRIM(TEXTSPLIT(U201,","))&amp;",",","&amp;SUBSTITUTE(input_affiliations," ","")&amp;",")))=COUNTA(TEXTSPLIT(U201,",")))))</f>
        <v/>
      </c>
      <c r="IU201">
        <f>AND(IF(W201="",TRUE,IF(input_announcement_category="",FALSE,SUMPRODUCT(--ISNUMBER(SEARCH(","&amp;TRIM(TEXTSPLIT(W201,","))&amp;",",","&amp;SUBSTITUTE(input_announcement_category," ","")&amp;",")))&gt;0)),IF(Y201="",TRUE,IF(input_announcement_category="",FALSE,SUMPRODUCT(--ISNUMBER(SEARCH(","&amp;TRIM(TEXTSPLIT(Y201,","))&amp;",",","&amp;SUBSTITUTE(input_announcement_category," ","")&amp;",")))=COUNTA(TEXTSPLIT(Y201,",")))),IF(AA201="",TRUE,IF(input_announcement_category="",TRUE,SUMPRODUCT(--ISNUMBER(SEARCH(","&amp;TRIM(TEXTSPLIT(AA201,","))&amp;",",","&amp;SUBSTITUTE(input_announcement_category," ","")&amp;",")))=0)),IF(AC201="",TRUE,IF(input_announcement_category="",FALSE,SUMPRODUCT(--ISNUMBER(SEARCH(","&amp;TRIM(TEXTSPLIT(AC201,","))&amp;",",","&amp;SUBSTITUTE(input_announcement_category," ","")&amp;",")))&gt;0)),IF(AE201="",TRUE,IF(input_announcement_category="",FALSE,SUMPRODUCT(--ISNUMBER(SEARCH(","&amp;TRIM(TEXTSPLIT(AE201,","))&amp;",",","&amp;SUBSTITUTE(input_announcement_category," ","")&amp;",")))=COUNTA(TEXTSPLIT(AE201,",")))))</f>
        <v/>
      </c>
      <c r="IV201">
        <f>AND(IF(AG201="",TRUE,IF(input_area_of_focus="",FALSE,SUMPRODUCT(--ISNUMBER(SEARCH(","&amp;TRIM(TEXTSPLIT(AG201,","))&amp;",",","&amp;SUBSTITUTE(input_area_of_focus," ","")&amp;",")))&gt;0)),IF(AI201="",TRUE,IF(input_area_of_focus="",FALSE,SUMPRODUCT(--ISNUMBER(SEARCH(","&amp;TRIM(TEXTSPLIT(AI201,","))&amp;",",","&amp;SUBSTITUTE(input_area_of_focus," ","")&amp;",")))=COUNTA(TEXTSPLIT(AI201,",")))),IF(AK201="",TRUE,IF(input_area_of_focus="",TRUE,SUMPRODUCT(--ISNUMBER(SEARCH(","&amp;TRIM(TEXTSPLIT(AK201,","))&amp;",",","&amp;SUBSTITUTE(input_area_of_focus," ","")&amp;",")))=0)),IF(AM201="",TRUE,IF(input_area_of_focus="",FALSE,SUMPRODUCT(--ISNUMBER(SEARCH(","&amp;TRIM(TEXTSPLIT(AM201,","))&amp;",",","&amp;SUBSTITUTE(input_area_of_focus," ","")&amp;",")))&gt;0)),IF(AO201="",TRUE,IF(input_area_of_focus="",FALSE,SUMPRODUCT(--ISNUMBER(SEARCH(","&amp;TRIM(TEXTSPLIT(AO201,","))&amp;",",","&amp;SUBSTITUTE(input_area_of_focus," ","")&amp;",")))=COUNTA(TEXTSPLIT(AO201,",")))))</f>
        <v/>
      </c>
      <c r="IW201">
        <f>AND(IF(AQ201="",TRUE,IF(input_audience="",FALSE,SUMPRODUCT(--ISNUMBER(SEARCH(","&amp;TRIM(TEXTSPLIT(AQ201,","))&amp;",",","&amp;SUBSTITUTE(input_audience," ","")&amp;",")))&gt;0)),IF(AS201="",TRUE,IF(input_audience="",FALSE,SUMPRODUCT(--ISNUMBER(SEARCH(","&amp;TRIM(TEXTSPLIT(AS201,","))&amp;",",","&amp;SUBSTITUTE(input_audience," ","")&amp;",")))=COUNTA(TEXTSPLIT(AS201,",")))),IF(AU201="",TRUE,IF(input_audience="",TRUE,SUMPRODUCT(--ISNUMBER(SEARCH(","&amp;TRIM(TEXTSPLIT(AU201,","))&amp;",",","&amp;SUBSTITUTE(input_audience," ","")&amp;",")))=0)),IF(AW201="",TRUE,IF(input_audience="",FALSE,SUMPRODUCT(--ISNUMBER(SEARCH(","&amp;TRIM(TEXTSPLIT(AW201,","))&amp;",",","&amp;SUBSTITUTE(input_audience," ","")&amp;",")))&gt;0)),IF(AY201="",TRUE,IF(input_audience="",FALSE,SUMPRODUCT(--ISNUMBER(SEARCH(","&amp;TRIM(TEXTSPLIT(AY201,","))&amp;",",","&amp;SUBSTITUTE(input_audience," ","")&amp;",")))=COUNTA(TEXTSPLIT(AY201,",")))))</f>
        <v/>
      </c>
      <c r="IX201">
        <f>AND(IF(BA201="",TRUE,IF(input_challenge_opportunities="",FALSE,SUMPRODUCT(--ISNUMBER(SEARCH(","&amp;TRIM(TEXTSPLIT(BA201,","))&amp;",",","&amp;SUBSTITUTE(input_challenge_opportunities," ","")&amp;",")))&gt;0)),IF(BC201="",TRUE,IF(input_challenge_opportunities="",FALSE,SUMPRODUCT(--ISNUMBER(SEARCH(","&amp;TRIM(TEXTSPLIT(BC201,","))&amp;",",","&amp;SUBSTITUTE(input_challenge_opportunities," ","")&amp;",")))=COUNTA(TEXTSPLIT(BC201,",")))),IF(BE201="",TRUE,IF(input_challenge_opportunities="",TRUE,SUMPRODUCT(--ISNUMBER(SEARCH(","&amp;TRIM(TEXTSPLIT(BE201,","))&amp;",",","&amp;SUBSTITUTE(input_challenge_opportunities," ","")&amp;",")))=0)),IF(BG201="",TRUE,IF(input_challenge_opportunities="",FALSE,SUMPRODUCT(--ISNUMBER(SEARCH(","&amp;TRIM(TEXTSPLIT(BG201,","))&amp;",",","&amp;SUBSTITUTE(input_challenge_opportunities," ","")&amp;",")))&gt;0)),IF(BI201="",TRUE,IF(input_challenge_opportunities="",FALSE,SUMPRODUCT(--ISNUMBER(SEARCH(","&amp;TRIM(TEXTSPLIT(BI201,","))&amp;",",","&amp;SUBSTITUTE(input_challenge_opportunities," ","")&amp;",")))=COUNTA(TEXTSPLIT(BI201,",")))))</f>
        <v/>
      </c>
      <c r="IY201">
        <f>AND(IF(BK201="",TRUE,IF(input_context="",FALSE,SUMPRODUCT(--ISNUMBER(SEARCH(","&amp;TRIM(TEXTSPLIT(BK201,","))&amp;",",","&amp;SUBSTITUTE(input_context," ","")&amp;",")))&gt;0)),IF(BM201="",TRUE,IF(input_context="",FALSE,SUMPRODUCT(--ISNUMBER(SEARCH(","&amp;TRIM(TEXTSPLIT(BM201,","))&amp;",",","&amp;SUBSTITUTE(input_context," ","")&amp;",")))=COUNTA(TEXTSPLIT(BM201,",")))),IF(BO201="",TRUE,IF(input_context="",TRUE,SUMPRODUCT(--ISNUMBER(SEARCH(","&amp;TRIM(TEXTSPLIT(BO201,","))&amp;",",","&amp;SUBSTITUTE(input_context," ","")&amp;",")))=0)),IF(BQ201="",TRUE,IF(input_context="",FALSE,SUMPRODUCT(--ISNUMBER(SEARCH(","&amp;TRIM(TEXTSPLIT(BQ201,","))&amp;",",","&amp;SUBSTITUTE(input_context," ","")&amp;",")))&gt;0)),IF(BS201="",TRUE,IF(input_context="",FALSE,SUMPRODUCT(--ISNUMBER(SEARCH(","&amp;TRIM(TEXTSPLIT(BS201,","))&amp;",",","&amp;SUBSTITUTE(input_context," ","")&amp;",")))=COUNTA(TEXTSPLIT(BS201,",")))))</f>
        <v/>
      </c>
      <c r="IZ201">
        <f>AND(IF(BU201="",TRUE,IF(input_enews_announcement_type="",FALSE,SUMPRODUCT(--ISNUMBER(SEARCH(","&amp;TRIM(TEXTSPLIT(BU201,","))&amp;",",","&amp;SUBSTITUTE(input_enews_announcement_type," ","")&amp;",")))&gt;0)),IF(BW201="",TRUE,IF(input_enews_announcement_type="",FALSE,SUMPRODUCT(--ISNUMBER(SEARCH(","&amp;TRIM(TEXTSPLIT(BW201,","))&amp;",",","&amp;SUBSTITUTE(input_enews_announcement_type," ","")&amp;",")))=COUNTA(TEXTSPLIT(BW201,",")))),IF(BY201="",TRUE,IF(input_enews_announcement_type="",TRUE,SUMPRODUCT(--ISNUMBER(SEARCH(","&amp;TRIM(TEXTSPLIT(BY201,","))&amp;",",","&amp;SUBSTITUTE(input_enews_announcement_type," ","")&amp;",")))=0)),IF(CA201="",TRUE,IF(input_enews_announcement_type="",FALSE,SUMPRODUCT(--ISNUMBER(SEARCH(","&amp;TRIM(TEXTSPLIT(CA201,","))&amp;",",","&amp;SUBSTITUTE(input_enews_announcement_type," ","")&amp;",")))&gt;0)),IF(CC201="",TRUE,IF(input_enews_announcement_type="",FALSE,SUMPRODUCT(--ISNUMBER(SEARCH(","&amp;TRIM(TEXTSPLIT(CC201,","))&amp;",",","&amp;SUBSTITUTE(input_enews_announcement_type," ","")&amp;",")))=COUNTA(TEXTSPLIT(CC201,",")))))</f>
        <v/>
      </c>
      <c r="JA201">
        <f>AND(IF(CE201="",TRUE,IF(input_enews_audience="",FALSE,SUMPRODUCT(--ISNUMBER(SEARCH(","&amp;TRIM(TEXTSPLIT(CE201,","))&amp;",",","&amp;SUBSTITUTE(input_enews_audience," ","")&amp;",")))&gt;0)),IF(CG201="",TRUE,IF(input_enews_audience="",FALSE,SUMPRODUCT(--ISNUMBER(SEARCH(","&amp;TRIM(TEXTSPLIT(CG201,","))&amp;",",","&amp;SUBSTITUTE(input_enews_audience," ","")&amp;",")))=COUNTA(TEXTSPLIT(CG201,",")))),IF(CI201="",TRUE,IF(input_enews_audience="",TRUE,SUMPRODUCT(--ISNUMBER(SEARCH(","&amp;TRIM(TEXTSPLIT(CI201,","))&amp;",",","&amp;SUBSTITUTE(input_enews_audience," ","")&amp;",")))=0)),IF(CK201="",TRUE,IF(input_enews_audience="",FALSE,SUMPRODUCT(--ISNUMBER(SEARCH(","&amp;TRIM(TEXTSPLIT(CK201,","))&amp;",",","&amp;SUBSTITUTE(input_enews_audience," ","")&amp;",")))&gt;0)),IF(CM201="",TRUE,IF(input_enews_audience="",FALSE,SUMPRODUCT(--ISNUMBER(SEARCH(","&amp;TRIM(TEXTSPLIT(CM201,","))&amp;",",","&amp;SUBSTITUTE(input_enews_audience," ","")&amp;",")))=COUNTA(TEXTSPLIT(CM201,",")))))</f>
        <v/>
      </c>
      <c r="JB201">
        <f>AND(IF(CO201="",TRUE,IF(input_event_location="",FALSE,SUMPRODUCT(--ISNUMBER(SEARCH(","&amp;TRIM(TEXTSPLIT(CO201,","))&amp;",",","&amp;SUBSTITUTE(input_event_location," ","")&amp;",")))&gt;0)),IF(CQ201="",TRUE,IF(input_event_location="",FALSE,SUMPRODUCT(--ISNUMBER(SEARCH(","&amp;TRIM(TEXTSPLIT(CQ201,","))&amp;",",","&amp;SUBSTITUTE(input_event_location," ","")&amp;",")))=COUNTA(TEXTSPLIT(CQ201,",")))),IF(CS201="",TRUE,IF(input_event_location="",TRUE,SUMPRODUCT(--ISNUMBER(SEARCH(","&amp;TRIM(TEXTSPLIT(CS201,","))&amp;",",","&amp;SUBSTITUTE(input_event_location," ","")&amp;",")))=0)),IF(CU201="",TRUE,IF(input_event_location="",FALSE,SUMPRODUCT(--ISNUMBER(SEARCH(","&amp;TRIM(TEXTSPLIT(CU201,","))&amp;",",","&amp;SUBSTITUTE(input_event_location," ","")&amp;",")))&gt;0)),IF(CW201="",TRUE,IF(input_event_location="",FALSE,SUMPRODUCT(--ISNUMBER(SEARCH(","&amp;TRIM(TEXTSPLIT(CW201,","))&amp;",",","&amp;SUBSTITUTE(input_event_location," ","")&amp;",")))=COUNTA(TEXTSPLIT(CW201,",")))))</f>
        <v/>
      </c>
      <c r="JC201">
        <f>AND(IF(CY201="",TRUE,IF(input_event_type="",FALSE,SUMPRODUCT(--ISNUMBER(SEARCH(","&amp;TRIM(TEXTSPLIT(CY201,","))&amp;",",","&amp;SUBSTITUTE(input_event_type," ","")&amp;",")))&gt;0)),IF(DA201="",TRUE,IF(input_event_type="",FALSE,SUMPRODUCT(--ISNUMBER(SEARCH(","&amp;TRIM(TEXTSPLIT(DA201,","))&amp;",",","&amp;SUBSTITUTE(input_event_type," ","")&amp;",")))=COUNTA(TEXTSPLIT(DA201,",")))),IF(DC201="",TRUE,IF(input_event_type="",TRUE,SUMPRODUCT(--ISNUMBER(SEARCH(","&amp;TRIM(TEXTSPLIT(DC201,","))&amp;",",","&amp;SUBSTITUTE(input_event_type," ","")&amp;",")))=0)),IF(DE201="",TRUE,IF(input_event_type="",FALSE,SUMPRODUCT(--ISNUMBER(SEARCH(","&amp;TRIM(TEXTSPLIT(DE201,","))&amp;",",","&amp;SUBSTITUTE(input_event_type," ","")&amp;",")))&gt;0)),IF(DG201="",TRUE,IF(input_event_type="",FALSE,SUMPRODUCT(--ISNUMBER(SEARCH(","&amp;TRIM(TEXTSPLIT(DG201,","))&amp;",",","&amp;SUBSTITUTE(input_event_type," ","")&amp;",")))=COUNTA(TEXTSPLIT(DG201,",")))))</f>
        <v/>
      </c>
      <c r="JD201">
        <f>AND(IF(DI201="",TRUE,IF(input_executive_education_focus="",FALSE,SUMPRODUCT(--ISNUMBER(SEARCH(","&amp;TRIM(TEXTSPLIT(DI201,","))&amp;",",","&amp;SUBSTITUTE(input_executive_education_focus," ","")&amp;",")))&gt;0)),IF(DK201="",TRUE,IF(input_executive_education_focus="",FALSE,SUMPRODUCT(--ISNUMBER(SEARCH(","&amp;TRIM(TEXTSPLIT(DK201,","))&amp;",",","&amp;SUBSTITUTE(input_executive_education_focus," ","")&amp;",")))=COUNTA(TEXTSPLIT(DK201,",")))),IF(DM201="",TRUE,IF(input_executive_education_focus="",TRUE,SUMPRODUCT(--ISNUMBER(SEARCH(","&amp;TRIM(TEXTSPLIT(DM201,","))&amp;",",","&amp;SUBSTITUTE(input_executive_education_focus," ","")&amp;",")))=0)),IF(DO201="",TRUE,IF(input_executive_education_focus="",FALSE,SUMPRODUCT(--ISNUMBER(SEARCH(","&amp;TRIM(TEXTSPLIT(DO201,","))&amp;",",","&amp;SUBSTITUTE(input_executive_education_focus," ","")&amp;",")))&gt;0)),IF(DQ201="",TRUE,IF(input_executive_education_focus="",FALSE,SUMPRODUCT(--ISNUMBER(SEARCH(","&amp;TRIM(TEXTSPLIT(DQ201,","))&amp;",",","&amp;SUBSTITUTE(input_executive_education_focus," ","")&amp;",")))=COUNTA(TEXTSPLIT(DQ201,",")))))</f>
        <v/>
      </c>
      <c r="JE201">
        <f>AND(IF(DS201="",TRUE,IF(input_faculty_category="",FALSE,SUMPRODUCT(--ISNUMBER(SEARCH(","&amp;TRIM(TEXTSPLIT(DS201,","))&amp;",",","&amp;SUBSTITUTE(input_faculty_category," ","")&amp;",")))&gt;0)),IF(DU201="",TRUE,IF(input_faculty_category="",FALSE,SUMPRODUCT(--ISNUMBER(SEARCH(","&amp;TRIM(TEXTSPLIT(DU201,","))&amp;",",","&amp;SUBSTITUTE(input_faculty_category," ","")&amp;",")))=COUNTA(TEXTSPLIT(DU201,",")))),IF(DW201="",TRUE,IF(input_faculty_category="",TRUE,SUMPRODUCT(--ISNUMBER(SEARCH(","&amp;TRIM(TEXTSPLIT(DW201,","))&amp;",",","&amp;SUBSTITUTE(input_faculty_category," ","")&amp;",")))=0)),IF(DY201="",TRUE,IF(input_faculty_category="",FALSE,SUMPRODUCT(--ISNUMBER(SEARCH(","&amp;TRIM(TEXTSPLIT(DY201,","))&amp;",",","&amp;SUBSTITUTE(input_faculty_category," ","")&amp;",")))&gt;0)),IF(EA201="",TRUE,IF(input_faculty_category="",FALSE,SUMPRODUCT(--ISNUMBER(SEARCH(","&amp;TRIM(TEXTSPLIT(EA201,","))&amp;",",","&amp;SUBSTITUTE(input_faculty_category," ","")&amp;",")))=COUNTA(TEXTSPLIT(EA201,",")))))</f>
        <v/>
      </c>
      <c r="JF201">
        <f>AND(IF(EC201="",TRUE,IF(input_faculty_discipline="",FALSE,SUMPRODUCT(--ISNUMBER(SEARCH(","&amp;TRIM(TEXTSPLIT(EC201,","))&amp;",",","&amp;SUBSTITUTE(input_faculty_discipline," ","")&amp;",")))&gt;0)),IF(EE201="",TRUE,IF(input_faculty_discipline="",FALSE,SUMPRODUCT(--ISNUMBER(SEARCH(","&amp;TRIM(TEXTSPLIT(EE201,","))&amp;",",","&amp;SUBSTITUTE(input_faculty_discipline," ","")&amp;",")))=COUNTA(TEXTSPLIT(EE201,",")))),IF(EG201="",TRUE,IF(input_faculty_discipline="",TRUE,SUMPRODUCT(--ISNUMBER(SEARCH(","&amp;TRIM(TEXTSPLIT(EG201,","))&amp;",",","&amp;SUBSTITUTE(input_faculty_discipline," ","")&amp;",")))=0)),IF(EI201="",TRUE,IF(input_faculty_discipline="",FALSE,SUMPRODUCT(--ISNUMBER(SEARCH(","&amp;TRIM(TEXTSPLIT(EI201,","))&amp;",",","&amp;SUBSTITUTE(input_faculty_discipline," ","")&amp;",")))&gt;0)),IF(EK201="",TRUE,IF(input_faculty_discipline="",FALSE,SUMPRODUCT(--ISNUMBER(SEARCH(","&amp;TRIM(TEXTSPLIT(EK201,","))&amp;",",","&amp;SUBSTITUTE(input_faculty_discipline," ","")&amp;",")))=COUNTA(TEXTSPLIT(EK201,",")))))</f>
        <v/>
      </c>
      <c r="JG201">
        <f>AND(IF(EM201="",TRUE,IF(input_faculty_expertise="",FALSE,SUMPRODUCT(--ISNUMBER(SEARCH(","&amp;TRIM(TEXTSPLIT(EM201,","))&amp;",",","&amp;SUBSTITUTE(input_faculty_expertise," ","")&amp;",")))&gt;0)),IF(EO201="",TRUE,IF(input_faculty_expertise="",FALSE,SUMPRODUCT(--ISNUMBER(SEARCH(","&amp;TRIM(TEXTSPLIT(EO201,","))&amp;",",","&amp;SUBSTITUTE(input_faculty_expertise," ","")&amp;",")))=COUNTA(TEXTSPLIT(EO201,",")))),IF(EQ201="",TRUE,IF(input_faculty_expertise="",TRUE,SUMPRODUCT(--ISNUMBER(SEARCH(","&amp;TRIM(TEXTSPLIT(EQ201,","))&amp;",",","&amp;SUBSTITUTE(input_faculty_expertise," ","")&amp;",")))=0)),IF(ES201="",TRUE,IF(input_faculty_expertise="",FALSE,SUMPRODUCT(--ISNUMBER(SEARCH(","&amp;TRIM(TEXTSPLIT(ES201,","))&amp;",",","&amp;SUBSTITUTE(input_faculty_expertise," ","")&amp;",")))&gt;0)),IF(EU201="",TRUE,IF(input_faculty_expertise="",FALSE,SUMPRODUCT(--ISNUMBER(SEARCH(","&amp;TRIM(TEXTSPLIT(EU201,","))&amp;",",","&amp;SUBSTITUTE(input_faculty_expertise," ","")&amp;",")))=COUNTA(TEXTSPLIT(EU201,",")))))</f>
        <v/>
      </c>
      <c r="JH201">
        <f>AND(IF(EW201="",TRUE,IF(input_global_network_school="",FALSE,SUMPRODUCT(--ISNUMBER(SEARCH(","&amp;TRIM(TEXTSPLIT(EW201,","))&amp;",",","&amp;SUBSTITUTE(input_global_network_school," ","")&amp;",")))&gt;0)),IF(EY201="",TRUE,IF(input_global_network_school="",FALSE,SUMPRODUCT(--ISNUMBER(SEARCH(","&amp;TRIM(TEXTSPLIT(EY201,","))&amp;",",","&amp;SUBSTITUTE(input_global_network_school," ","")&amp;",")))=COUNTA(TEXTSPLIT(EY201,",")))),IF(FA201="",TRUE,IF(input_global_network_school="",TRUE,SUMPRODUCT(--ISNUMBER(SEARCH(","&amp;TRIM(TEXTSPLIT(FA201,","))&amp;",",","&amp;SUBSTITUTE(input_global_network_school," ","")&amp;",")))=0)),IF(FC201="",TRUE,IF(input_global_network_school="",FALSE,SUMPRODUCT(--ISNUMBER(SEARCH(","&amp;TRIM(TEXTSPLIT(FC201,","))&amp;",",","&amp;SUBSTITUTE(input_global_network_school," ","")&amp;",")))&gt;0)),IF(FE201="",TRUE,IF(input_global_network_school="",FALSE,SUMPRODUCT(--ISNUMBER(SEARCH(","&amp;TRIM(TEXTSPLIT(FE201,","))&amp;",",","&amp;SUBSTITUTE(input_global_network_school," ","")&amp;",")))=COUNTA(TEXTSPLIT(FE201,",")))))</f>
        <v/>
      </c>
      <c r="JI201">
        <f>AND(IF(FG201="",TRUE,IF(input_industry="",FALSE,SUMPRODUCT(--ISNUMBER(SEARCH(","&amp;TRIM(TEXTSPLIT(FG201,","))&amp;",",","&amp;SUBSTITUTE(input_industry," ","")&amp;",")))&gt;0)),IF(FI201="",TRUE,IF(input_industry="",FALSE,SUMPRODUCT(--ISNUMBER(SEARCH(","&amp;TRIM(TEXTSPLIT(FI201,","))&amp;",",","&amp;SUBSTITUTE(input_industry," ","")&amp;",")))=COUNTA(TEXTSPLIT(FI201,",")))),IF(FK201="",TRUE,IF(input_industry="",TRUE,SUMPRODUCT(--ISNUMBER(SEARCH(","&amp;TRIM(TEXTSPLIT(FK201,","))&amp;",",","&amp;SUBSTITUTE(input_industry," ","")&amp;",")))=0)),IF(FM201="",TRUE,IF(input_industry="",FALSE,SUMPRODUCT(--ISNUMBER(SEARCH(","&amp;TRIM(TEXTSPLIT(FM201,","))&amp;",",","&amp;SUBSTITUTE(input_industry," ","")&amp;",")))&gt;0)),IF(FO201="",TRUE,IF(input_industry="",FALSE,SUMPRODUCT(--ISNUMBER(SEARCH(","&amp;TRIM(TEXTSPLIT(FO201,","))&amp;",",","&amp;SUBSTITUTE(input_industry," ","")&amp;",")))=COUNTA(TEXTSPLIT(FO201,",")))))</f>
        <v/>
      </c>
      <c r="JJ201">
        <f>AND(IF(FQ201="",TRUE,IF(input_location="",FALSE,SUMPRODUCT(--ISNUMBER(SEARCH(","&amp;TRIM(TEXTSPLIT(FQ201,","))&amp;",",","&amp;SUBSTITUTE(input_location," ","")&amp;",")))&gt;0)),IF(FS201="",TRUE,IF(input_location="",FALSE,SUMPRODUCT(--ISNUMBER(SEARCH(","&amp;TRIM(TEXTSPLIT(FS201,","))&amp;",",","&amp;SUBSTITUTE(input_location," ","")&amp;",")))=COUNTA(TEXTSPLIT(FS201,",")))),IF(FU201="",TRUE,IF(input_location="",TRUE,SUMPRODUCT(--ISNUMBER(SEARCH(","&amp;TRIM(TEXTSPLIT(FU201,","))&amp;",",","&amp;SUBSTITUTE(input_location," ","")&amp;",")))=0)),IF(FW201="",TRUE,IF(input_location="",FALSE,SUMPRODUCT(--ISNUMBER(SEARCH(","&amp;TRIM(TEXTSPLIT(FW201,","))&amp;",",","&amp;SUBSTITUTE(input_location," ","")&amp;",")))&gt;0)),IF(FY201="",TRUE,IF(input_location="",FALSE,SUMPRODUCT(--ISNUMBER(SEARCH(","&amp;TRIM(TEXTSPLIT(FY201,","))&amp;",",","&amp;SUBSTITUTE(input_location," ","")&amp;",")))=COUNTA(TEXTSPLIT(FY201,",")))))</f>
        <v/>
      </c>
      <c r="JK201">
        <f>AND(IF(GA201="",TRUE,IF(input_modality="",FALSE,SUMPRODUCT(--ISNUMBER(SEARCH(","&amp;TRIM(TEXTSPLIT(GA201,","))&amp;",",","&amp;SUBSTITUTE(input_modality," ","")&amp;",")))&gt;0)),IF(GC201="",TRUE,IF(input_modality="",FALSE,SUMPRODUCT(--ISNUMBER(SEARCH(","&amp;TRIM(TEXTSPLIT(GC201,","))&amp;",",","&amp;SUBSTITUTE(input_modality," ","")&amp;",")))=COUNTA(TEXTSPLIT(GC201,",")))),IF(GE201="",TRUE,IF(input_modality="",TRUE,SUMPRODUCT(--ISNUMBER(SEARCH(","&amp;TRIM(TEXTSPLIT(GE201,","))&amp;",",","&amp;SUBSTITUTE(input_modality," ","")&amp;",")))=0)),IF(GG201="",TRUE,IF(input_modality="",FALSE,SUMPRODUCT(--ISNUMBER(SEARCH(","&amp;TRIM(TEXTSPLIT(GG201,","))&amp;",",","&amp;SUBSTITUTE(input_modality," ","")&amp;",")))&gt;0)),IF(GI201="",TRUE,IF(input_modality="",FALSE,SUMPRODUCT(--ISNUMBER(SEARCH(","&amp;TRIM(TEXTSPLIT(GI201,","))&amp;",",","&amp;SUBSTITUTE(input_modality," ","")&amp;",")))=COUNTA(TEXTSPLIT(GI201,",")))))</f>
        <v/>
      </c>
      <c r="JL201">
        <f>AND(IF(GK201="",TRUE,IF(input_organizer="",FALSE,SUMPRODUCT(--ISNUMBER(SEARCH(","&amp;TRIM(TEXTSPLIT(GK201,","))&amp;",",","&amp;SUBSTITUTE(input_organizer," ","")&amp;",")))&gt;0)),IF(GM201="",TRUE,IF(input_organizer="",FALSE,SUMPRODUCT(--ISNUMBER(SEARCH(","&amp;TRIM(TEXTSPLIT(GM201,","))&amp;",",","&amp;SUBSTITUTE(input_organizer," ","")&amp;",")))=COUNTA(TEXTSPLIT(GM201,",")))),IF(GO201="",TRUE,IF(input_organizer="",TRUE,SUMPRODUCT(--ISNUMBER(SEARCH(","&amp;TRIM(TEXTSPLIT(GO201,","))&amp;",",","&amp;SUBSTITUTE(input_organizer," ","")&amp;",")))=0)),IF(GQ201="",TRUE,IF(input_organizer="",FALSE,SUMPRODUCT(--ISNUMBER(SEARCH(","&amp;TRIM(TEXTSPLIT(GQ201,","))&amp;",",","&amp;SUBSTITUTE(input_organizer," ","")&amp;",")))&gt;0)),IF(GS201="",TRUE,IF(input_organizer="",FALSE,SUMPRODUCT(--ISNUMBER(SEARCH(","&amp;TRIM(TEXTSPLIT(GS201,","))&amp;",",","&amp;SUBSTITUTE(input_organizer," ","")&amp;",")))=COUNTA(TEXTSPLIT(GS201,",")))))</f>
        <v/>
      </c>
      <c r="JM201">
        <f>AND(IF(GU201="",TRUE,IF(input_profile_type="",FALSE,SUMPRODUCT(--ISNUMBER(SEARCH(","&amp;TRIM(TEXTSPLIT(GU201,","))&amp;",",","&amp;SUBSTITUTE(input_profile_type," ","")&amp;",")))&gt;0)),IF(GW201="",TRUE,IF(input_profile_type="",FALSE,SUMPRODUCT(--ISNUMBER(SEARCH(","&amp;TRIM(TEXTSPLIT(GW201,","))&amp;",",","&amp;SUBSTITUTE(input_profile_type," ","")&amp;",")))=COUNTA(TEXTSPLIT(GW201,",")))),IF(GY201="",TRUE,IF(input_profile_type="",TRUE,SUMPRODUCT(--ISNUMBER(SEARCH(","&amp;TRIM(TEXTSPLIT(GY201,","))&amp;",",","&amp;SUBSTITUTE(input_profile_type," ","")&amp;",")))=0)),IF(HA201="",TRUE,IF(input_profile_type="",FALSE,SUMPRODUCT(--ISNUMBER(SEARCH(","&amp;TRIM(TEXTSPLIT(HA201,","))&amp;",",","&amp;SUBSTITUTE(input_profile_type," ","")&amp;",")))&gt;0)),IF(HC201="",TRUE,IF(input_profile_type="",FALSE,SUMPRODUCT(--ISNUMBER(SEARCH(","&amp;TRIM(TEXTSPLIT(HC201,","))&amp;",",","&amp;SUBSTITUTE(input_profile_type," ","")&amp;",")))=COUNTA(TEXTSPLIT(HC201,",")))))</f>
        <v/>
      </c>
      <c r="JN201">
        <f>AND(IF(HE201="",TRUE,IF(input_program="",FALSE,SUMPRODUCT(--ISNUMBER(SEARCH(","&amp;TRIM(TEXTSPLIT(HE201,","))&amp;",",","&amp;SUBSTITUTE(input_program," ","")&amp;",")))&gt;0)),IF(HG201="",TRUE,IF(input_program="",FALSE,SUMPRODUCT(--ISNUMBER(SEARCH(","&amp;TRIM(TEXTSPLIT(HG201,","))&amp;",",","&amp;SUBSTITUTE(input_program," ","")&amp;",")))=COUNTA(TEXTSPLIT(HG201,",")))),IF(HI201="",TRUE,IF(input_program="",TRUE,SUMPRODUCT(--ISNUMBER(SEARCH(","&amp;TRIM(TEXTSPLIT(HI201,","))&amp;",",","&amp;SUBSTITUTE(input_program," ","")&amp;",")))=0)),IF(HK201="",TRUE,IF(input_program="",FALSE,SUMPRODUCT(--ISNUMBER(SEARCH(","&amp;TRIM(TEXTSPLIT(HK201,","))&amp;",",","&amp;SUBSTITUTE(input_program," ","")&amp;",")))&gt;0)),IF(HM201="",TRUE,IF(input_program="",FALSE,SUMPRODUCT(--ISNUMBER(SEARCH(","&amp;TRIM(TEXTSPLIT(HM201,","))&amp;",",","&amp;SUBSTITUTE(input_program," ","")&amp;",")))=COUNTA(TEXTSPLIT(HM201,",")))))</f>
        <v/>
      </c>
      <c r="JO201">
        <f>AND(IF(HO201="",TRUE,IF(input_story_categories="",FALSE,SUMPRODUCT(--ISNUMBER(SEARCH(","&amp;TRIM(TEXTSPLIT(HO201,","))&amp;",",","&amp;SUBSTITUTE(input_story_categories," ","")&amp;",")))&gt;0)),IF(HQ201="",TRUE,IF(input_story_categories="",FALSE,SUMPRODUCT(--ISNUMBER(SEARCH(","&amp;TRIM(TEXTSPLIT(HQ201,","))&amp;",",","&amp;SUBSTITUTE(input_story_categories," ","")&amp;",")))=COUNTA(TEXTSPLIT(HQ201,",")))),IF(HS201="",TRUE,IF(input_story_categories="",TRUE,SUMPRODUCT(--ISNUMBER(SEARCH(","&amp;TRIM(TEXTSPLIT(HS201,","))&amp;",",","&amp;SUBSTITUTE(input_story_categories," ","")&amp;",")))=0)),IF(HU201="",TRUE,IF(input_story_categories="",FALSE,SUMPRODUCT(--ISNUMBER(SEARCH(","&amp;TRIM(TEXTSPLIT(HU201,","))&amp;",",","&amp;SUBSTITUTE(input_story_categories," ","")&amp;",")))&gt;0)),IF(HW201="",TRUE,IF(input_story_categories="",FALSE,SUMPRODUCT(--ISNUMBER(SEARCH(","&amp;TRIM(TEXTSPLIT(HW201,","))&amp;",",","&amp;SUBSTITUTE(input_story_categories," ","")&amp;",")))=COUNTA(TEXTSPLIT(HW201,",")))))</f>
        <v/>
      </c>
      <c r="JP201">
        <f>AND(IF(HY201="",TRUE,IF(input_story_type="",FALSE,SUMPRODUCT(--ISNUMBER(SEARCH(","&amp;TRIM(TEXTSPLIT(HY201,","))&amp;",",","&amp;SUBSTITUTE(input_story_type," ","")&amp;",")))&gt;0)),IF(IA201="",TRUE,IF(input_story_type="",FALSE,SUMPRODUCT(--ISNUMBER(SEARCH(","&amp;TRIM(TEXTSPLIT(IA201,","))&amp;",",","&amp;SUBSTITUTE(input_story_type," ","")&amp;",")))=COUNTA(TEXTSPLIT(IA201,",")))),IF(IC201="",TRUE,IF(input_story_type="",TRUE,SUMPRODUCT(--ISNUMBER(SEARCH(","&amp;TRIM(TEXTSPLIT(IC201,","))&amp;",",","&amp;SUBSTITUTE(input_story_type," ","")&amp;",")))=0)),IF(IE201="",TRUE,IF(input_story_type="",FALSE,SUMPRODUCT(--ISNUMBER(SEARCH(","&amp;TRIM(TEXTSPLIT(IE201,","))&amp;",",","&amp;SUBSTITUTE(input_story_type," ","")&amp;",")))&gt;0)),IF(IG201="",TRUE,IF(input_story_type="",FALSE,SUMPRODUCT(--ISNUMBER(SEARCH(","&amp;TRIM(TEXTSPLIT(IG201,","))&amp;",",","&amp;SUBSTITUTE(input_story_type," ","")&amp;",")))=COUNTA(TEXTSPLIT(IG201,",")))))</f>
        <v/>
      </c>
      <c r="JQ201">
        <f>AND(IF(II201="",TRUE,IF(input_topics="",FALSE,SUMPRODUCT(--ISNUMBER(SEARCH(","&amp;TRIM(TEXTSPLIT(II201,","))&amp;",",","&amp;SUBSTITUTE(input_topics," ","")&amp;",")))&gt;0)),IF(IK201="",TRUE,IF(input_topics="",FALSE,SUMPRODUCT(--ISNUMBER(SEARCH(","&amp;TRIM(TEXTSPLIT(IK201,","))&amp;",",","&amp;SUBSTITUTE(input_topics," ","")&amp;",")))=COUNTA(TEXTSPLIT(IK201,",")))),IF(IM201="",TRUE,IF(input_topics="",TRUE,SUMPRODUCT(--ISNUMBER(SEARCH(","&amp;TRIM(TEXTSPLIT(IM201,","))&amp;",",","&amp;SUBSTITUTE(input_topics," ","")&amp;",")))=0)),IF(IO201="",TRUE,IF(input_topics="",FALSE,SUMPRODUCT(--ISNUMBER(SEARCH(","&amp;TRIM(TEXTSPLIT(IO201,","))&amp;",",","&amp;SUBSTITUTE(input_topics," ","")&amp;",")))&gt;0)),IF(IQ201="",TRUE,IF(input_topics="",FALSE,SUMPRODUCT(--ISNUMBER(SEARCH(","&amp;TRIM(TEXTSPLIT(IQ201,","))&amp;",",","&amp;SUBSTITUTE(input_topics," ","")&amp;",")))=COUNTA(TEXTSPLIT(IQ201,",")))))</f>
        <v/>
      </c>
    </row>
    <row r="202">
      <c r="A202" s="4">
        <f>IF(NOT(IS202),"Excluded",IF(AND(IT202,IU202,IV202,IW202,IX202,IY202,IZ202,JA202,JB202,JC202,JD202,JE202,JF202,JG202,JH202,JI202,JJ202,JK202,JL202,JM202,JN202,JO202,JP202,JQ202),IF(I202&gt;0,"Eligible but limited","Will appear"),"Excluded"))</f>
        <v/>
      </c>
      <c r="B202" s="4" t="inlineStr">
        <is>
          <t>Related stories on story pages</t>
        </is>
      </c>
      <c r="C202" s="4" t="inlineStr">
        <is>
          <t>/story/2025/admissions-committees-top-tips-masters-asset-management-applicants</t>
        </is>
      </c>
      <c r="D202" s="4" t="inlineStr">
        <is>
          <t>/story/2025/admissions-committees-top-tips-masters-asset-management-applicants
/story/2025/exploring-asset-management-and-global-leadership-greater-china
/story/2025/meet-masters-asset-management-class-2026</t>
        </is>
      </c>
      <c r="E202" s="4" t="n">
        <v>4</v>
      </c>
      <c r="F202" s="4" t="inlineStr">
        <is>
          <t>story</t>
        </is>
      </c>
      <c r="G202" s="4" t="inlineStr">
        <is>
          <t>stories_teaser_cards</t>
        </is>
      </c>
      <c r="H202" s="4" t="inlineStr">
        <is>
          <t>embed_all</t>
        </is>
      </c>
      <c r="I202" s="4" t="n">
        <v>3</v>
      </c>
      <c r="J202" s="4" t="inlineStr">
        <is>
          <t>Template logic</t>
        </is>
      </c>
      <c r="K202" s="4" t="inlineStr">
        <is>
          <t>Grouped surface</t>
        </is>
      </c>
      <c r="L202" s="4" t="inlineStr">
        <is>
          <t>Content type: story; Context uses Courses Context: Master's Degree in Asset Management (930); Context uses Story Type: Blog (974); Limited to 3 item(s); Source: Template logic</t>
        </is>
      </c>
      <c r="M202" t="inlineStr"/>
      <c r="N202" t="inlineStr"/>
      <c r="O202" t="inlineStr"/>
      <c r="P202" t="inlineStr"/>
      <c r="Q202" t="inlineStr"/>
      <c r="R202" t="inlineStr"/>
      <c r="S202" t="inlineStr"/>
      <c r="T202" t="inlineStr"/>
      <c r="U202" t="inlineStr"/>
      <c r="V202" t="inlineStr"/>
      <c r="W202" t="inlineStr"/>
      <c r="X202" t="inlineStr"/>
      <c r="Y202" t="inlineStr"/>
      <c r="Z202" t="inlineStr"/>
      <c r="AA202" t="inlineStr"/>
      <c r="AB202" t="inlineStr"/>
      <c r="AC202" t="inlineStr"/>
      <c r="AD202" t="inlineStr"/>
      <c r="AE202" t="inlineStr"/>
      <c r="AF202" t="inlineStr"/>
      <c r="AG202" t="inlineStr"/>
      <c r="AH202" t="inlineStr"/>
      <c r="AI202" t="inlineStr"/>
      <c r="AJ202" t="inlineStr"/>
      <c r="AK202" t="inlineStr"/>
      <c r="AL202" t="inlineStr"/>
      <c r="AM202" t="inlineStr"/>
      <c r="AN202" t="inlineStr"/>
      <c r="AO202" t="inlineStr"/>
      <c r="AP202" t="inlineStr"/>
      <c r="AQ202" t="inlineStr"/>
      <c r="AR202" t="inlineStr"/>
      <c r="AS202" t="inlineStr"/>
      <c r="AT202" t="inlineStr"/>
      <c r="AU202" t="inlineStr"/>
      <c r="AV202" t="inlineStr"/>
      <c r="AW202" t="inlineStr"/>
      <c r="AX202" t="inlineStr"/>
      <c r="AY202" t="inlineStr"/>
      <c r="AZ202" t="inlineStr"/>
      <c r="BA202" t="inlineStr"/>
      <c r="BB202" t="inlineStr"/>
      <c r="BC202" t="inlineStr"/>
      <c r="BD202" t="inlineStr"/>
      <c r="BE202" t="inlineStr"/>
      <c r="BF202" t="inlineStr"/>
      <c r="BG202" t="inlineStr"/>
      <c r="BH202" t="inlineStr"/>
      <c r="BI202" t="inlineStr"/>
      <c r="BJ202" t="inlineStr"/>
      <c r="BK202" t="inlineStr"/>
      <c r="BL202" t="inlineStr"/>
      <c r="BM202" t="inlineStr"/>
      <c r="BN202" t="inlineStr"/>
      <c r="BO202" t="inlineStr"/>
      <c r="BP202" t="inlineStr"/>
      <c r="BQ202" t="inlineStr">
        <is>
          <t>930</t>
        </is>
      </c>
      <c r="BR202" t="inlineStr">
        <is>
          <t>Master's Degree in Asset Management (930)</t>
        </is>
      </c>
      <c r="BS202" t="inlineStr"/>
      <c r="BT202" t="inlineStr"/>
      <c r="BU202" t="inlineStr"/>
      <c r="BV202" t="inlineStr"/>
      <c r="BW202" t="inlineStr"/>
      <c r="BX202" t="inlineStr"/>
      <c r="BY202" t="inlineStr"/>
      <c r="BZ202" t="inlineStr"/>
      <c r="CA202" t="inlineStr"/>
      <c r="CB202" t="inlineStr"/>
      <c r="CC202" t="inlineStr"/>
      <c r="CD202" t="inlineStr"/>
      <c r="CE202" t="inlineStr"/>
      <c r="CF202" t="inlineStr"/>
      <c r="CG202" t="inlineStr"/>
      <c r="CH202" t="inlineStr"/>
      <c r="CI202" t="inlineStr"/>
      <c r="CJ202" t="inlineStr"/>
      <c r="CK202" t="inlineStr"/>
      <c r="CL202" t="inlineStr"/>
      <c r="CM202" t="inlineStr"/>
      <c r="CN202" t="inlineStr"/>
      <c r="CO202" t="inlineStr"/>
      <c r="CP202" t="inlineStr"/>
      <c r="CQ202" t="inlineStr"/>
      <c r="CR202" t="inlineStr"/>
      <c r="CS202" t="inlineStr"/>
      <c r="CT202" t="inlineStr"/>
      <c r="CU202" t="inlineStr"/>
      <c r="CV202" t="inlineStr"/>
      <c r="CW202" t="inlineStr"/>
      <c r="CX202" t="inlineStr"/>
      <c r="CY202" t="inlineStr"/>
      <c r="CZ202" t="inlineStr"/>
      <c r="DA202" t="inlineStr"/>
      <c r="DB202" t="inlineStr"/>
      <c r="DC202" t="inlineStr"/>
      <c r="DD202" t="inlineStr"/>
      <c r="DE202" t="inlineStr"/>
      <c r="DF202" t="inlineStr"/>
      <c r="DG202" t="inlineStr"/>
      <c r="DH202" t="inlineStr"/>
      <c r="DI202" t="inlineStr"/>
      <c r="DJ202" t="inlineStr"/>
      <c r="DK202" t="inlineStr"/>
      <c r="DL202" t="inlineStr"/>
      <c r="DM202" t="inlineStr"/>
      <c r="DN202" t="inlineStr"/>
      <c r="DO202" t="inlineStr"/>
      <c r="DP202" t="inlineStr"/>
      <c r="DQ202" t="inlineStr"/>
      <c r="DR202" t="inlineStr"/>
      <c r="DS202" t="inlineStr"/>
      <c r="DT202" t="inlineStr"/>
      <c r="DU202" t="inlineStr"/>
      <c r="DV202" t="inlineStr"/>
      <c r="DW202" t="inlineStr"/>
      <c r="DX202" t="inlineStr"/>
      <c r="DY202" t="inlineStr"/>
      <c r="DZ202" t="inlineStr"/>
      <c r="EA202" t="inlineStr"/>
      <c r="EB202" t="inlineStr"/>
      <c r="EC202" t="inlineStr"/>
      <c r="ED202" t="inlineStr"/>
      <c r="EE202" t="inlineStr"/>
      <c r="EF202" t="inlineStr"/>
      <c r="EG202" t="inlineStr"/>
      <c r="EH202" t="inlineStr"/>
      <c r="EI202" t="inlineStr"/>
      <c r="EJ202" t="inlineStr"/>
      <c r="EK202" t="inlineStr"/>
      <c r="EL202" t="inlineStr"/>
      <c r="EM202" t="inlineStr"/>
      <c r="EN202" t="inlineStr"/>
      <c r="EO202" t="inlineStr"/>
      <c r="EP202" t="inlineStr"/>
      <c r="EQ202" t="inlineStr"/>
      <c r="ER202" t="inlineStr"/>
      <c r="ES202" t="inlineStr"/>
      <c r="ET202" t="inlineStr"/>
      <c r="EU202" t="inlineStr"/>
      <c r="EV202" t="inlineStr"/>
      <c r="EW202" t="inlineStr"/>
      <c r="EX202" t="inlineStr"/>
      <c r="EY202" t="inlineStr"/>
      <c r="EZ202" t="inlineStr"/>
      <c r="FA202" t="inlineStr"/>
      <c r="FB202" t="inlineStr"/>
      <c r="FC202" t="inlineStr"/>
      <c r="FD202" t="inlineStr"/>
      <c r="FE202" t="inlineStr"/>
      <c r="FF202" t="inlineStr"/>
      <c r="FG202" t="inlineStr"/>
      <c r="FH202" t="inlineStr"/>
      <c r="FI202" t="inlineStr"/>
      <c r="FJ202" t="inlineStr"/>
      <c r="FK202" t="inlineStr"/>
      <c r="FL202" t="inlineStr"/>
      <c r="FM202" t="inlineStr"/>
      <c r="FN202" t="inlineStr"/>
      <c r="FO202" t="inlineStr"/>
      <c r="FP202" t="inlineStr"/>
      <c r="FQ202" t="inlineStr"/>
      <c r="FR202" t="inlineStr"/>
      <c r="FS202" t="inlineStr"/>
      <c r="FT202" t="inlineStr"/>
      <c r="FU202" t="inlineStr"/>
      <c r="FV202" t="inlineStr"/>
      <c r="FW202" t="inlineStr"/>
      <c r="FX202" t="inlineStr"/>
      <c r="FY202" t="inlineStr"/>
      <c r="FZ202" t="inlineStr"/>
      <c r="GA202" t="inlineStr"/>
      <c r="GB202" t="inlineStr"/>
      <c r="GC202" t="inlineStr"/>
      <c r="GD202" t="inlineStr"/>
      <c r="GE202" t="inlineStr"/>
      <c r="GF202" t="inlineStr"/>
      <c r="GG202" t="inlineStr"/>
      <c r="GH202" t="inlineStr"/>
      <c r="GI202" t="inlineStr"/>
      <c r="GJ202" t="inlineStr"/>
      <c r="GK202" t="inlineStr"/>
      <c r="GL202" t="inlineStr"/>
      <c r="GM202" t="inlineStr"/>
      <c r="GN202" t="inlineStr"/>
      <c r="GO202" t="inlineStr"/>
      <c r="GP202" t="inlineStr"/>
      <c r="GQ202" t="inlineStr"/>
      <c r="GR202" t="inlineStr"/>
      <c r="GS202" t="inlineStr"/>
      <c r="GT202" t="inlineStr"/>
      <c r="GU202" t="inlineStr"/>
      <c r="GV202" t="inlineStr"/>
      <c r="GW202" t="inlineStr"/>
      <c r="GX202" t="inlineStr"/>
      <c r="GY202" t="inlineStr"/>
      <c r="GZ202" t="inlineStr"/>
      <c r="HA202" t="inlineStr"/>
      <c r="HB202" t="inlineStr"/>
      <c r="HC202" t="inlineStr"/>
      <c r="HD202" t="inlineStr"/>
      <c r="HE202" t="inlineStr"/>
      <c r="HF202" t="inlineStr"/>
      <c r="HG202" t="inlineStr"/>
      <c r="HH202" t="inlineStr"/>
      <c r="HI202" t="inlineStr"/>
      <c r="HJ202" t="inlineStr"/>
      <c r="HK202" t="inlineStr"/>
      <c r="HL202" t="inlineStr"/>
      <c r="HM202" t="inlineStr"/>
      <c r="HN202" t="inlineStr"/>
      <c r="HO202" t="inlineStr"/>
      <c r="HP202" t="inlineStr"/>
      <c r="HQ202" t="inlineStr"/>
      <c r="HR202" t="inlineStr"/>
      <c r="HS202" t="inlineStr"/>
      <c r="HT202" t="inlineStr"/>
      <c r="HU202" t="inlineStr"/>
      <c r="HV202" t="inlineStr"/>
      <c r="HW202" t="inlineStr"/>
      <c r="HX202" t="inlineStr"/>
      <c r="HY202" t="inlineStr"/>
      <c r="HZ202" t="inlineStr"/>
      <c r="IA202" t="inlineStr"/>
      <c r="IB202" t="inlineStr"/>
      <c r="IC202" t="inlineStr"/>
      <c r="ID202" t="inlineStr"/>
      <c r="IE202" t="inlineStr">
        <is>
          <t>974</t>
        </is>
      </c>
      <c r="IF202" t="inlineStr">
        <is>
          <t>Blog (974)</t>
        </is>
      </c>
      <c r="IG202" t="inlineStr"/>
      <c r="IH202" t="inlineStr"/>
      <c r="II202" t="inlineStr"/>
      <c r="IJ202" t="inlineStr"/>
      <c r="IK202" t="inlineStr"/>
      <c r="IL202" t="inlineStr"/>
      <c r="IM202" t="inlineStr"/>
      <c r="IN202" t="inlineStr"/>
      <c r="IO202" t="inlineStr"/>
      <c r="IP202" t="inlineStr"/>
      <c r="IQ202" t="inlineStr"/>
      <c r="IR202" t="inlineStr"/>
      <c r="IS202">
        <f>IF(input_content_type="",FALSE,ISNUMBER(SEARCH(","&amp;LOWER(input_content_type)&amp;",",","&amp;LOWER(F202)&amp;",")))</f>
        <v/>
      </c>
      <c r="IT202">
        <f>AND(IF(M202="",TRUE,IF(input_affiliations="",FALSE,SUMPRODUCT(--ISNUMBER(SEARCH(","&amp;TRIM(TEXTSPLIT(M202,","))&amp;",",","&amp;SUBSTITUTE(input_affiliations," ","")&amp;",")))&gt;0)),IF(O202="",TRUE,IF(input_affiliations="",FALSE,SUMPRODUCT(--ISNUMBER(SEARCH(","&amp;TRIM(TEXTSPLIT(O202,","))&amp;",",","&amp;SUBSTITUTE(input_affiliations," ","")&amp;",")))=COUNTA(TEXTSPLIT(O202,",")))),IF(Q202="",TRUE,IF(input_affiliations="",TRUE,SUMPRODUCT(--ISNUMBER(SEARCH(","&amp;TRIM(TEXTSPLIT(Q202,","))&amp;",",","&amp;SUBSTITUTE(input_affiliations," ","")&amp;",")))=0)),IF(S202="",TRUE,IF(input_affiliations="",FALSE,SUMPRODUCT(--ISNUMBER(SEARCH(","&amp;TRIM(TEXTSPLIT(S202,","))&amp;",",","&amp;SUBSTITUTE(input_affiliations," ","")&amp;",")))&gt;0)),IF(U202="",TRUE,IF(input_affiliations="",FALSE,SUMPRODUCT(--ISNUMBER(SEARCH(","&amp;TRIM(TEXTSPLIT(U202,","))&amp;",",","&amp;SUBSTITUTE(input_affiliations," ","")&amp;",")))=COUNTA(TEXTSPLIT(U202,",")))))</f>
        <v/>
      </c>
      <c r="IU202">
        <f>AND(IF(W202="",TRUE,IF(input_announcement_category="",FALSE,SUMPRODUCT(--ISNUMBER(SEARCH(","&amp;TRIM(TEXTSPLIT(W202,","))&amp;",",","&amp;SUBSTITUTE(input_announcement_category," ","")&amp;",")))&gt;0)),IF(Y202="",TRUE,IF(input_announcement_category="",FALSE,SUMPRODUCT(--ISNUMBER(SEARCH(","&amp;TRIM(TEXTSPLIT(Y202,","))&amp;",",","&amp;SUBSTITUTE(input_announcement_category," ","")&amp;",")))=COUNTA(TEXTSPLIT(Y202,",")))),IF(AA202="",TRUE,IF(input_announcement_category="",TRUE,SUMPRODUCT(--ISNUMBER(SEARCH(","&amp;TRIM(TEXTSPLIT(AA202,","))&amp;",",","&amp;SUBSTITUTE(input_announcement_category," ","")&amp;",")))=0)),IF(AC202="",TRUE,IF(input_announcement_category="",FALSE,SUMPRODUCT(--ISNUMBER(SEARCH(","&amp;TRIM(TEXTSPLIT(AC202,","))&amp;",",","&amp;SUBSTITUTE(input_announcement_category," ","")&amp;",")))&gt;0)),IF(AE202="",TRUE,IF(input_announcement_category="",FALSE,SUMPRODUCT(--ISNUMBER(SEARCH(","&amp;TRIM(TEXTSPLIT(AE202,","))&amp;",",","&amp;SUBSTITUTE(input_announcement_category," ","")&amp;",")))=COUNTA(TEXTSPLIT(AE202,",")))))</f>
        <v/>
      </c>
      <c r="IV202">
        <f>AND(IF(AG202="",TRUE,IF(input_area_of_focus="",FALSE,SUMPRODUCT(--ISNUMBER(SEARCH(","&amp;TRIM(TEXTSPLIT(AG202,","))&amp;",",","&amp;SUBSTITUTE(input_area_of_focus," ","")&amp;",")))&gt;0)),IF(AI202="",TRUE,IF(input_area_of_focus="",FALSE,SUMPRODUCT(--ISNUMBER(SEARCH(","&amp;TRIM(TEXTSPLIT(AI202,","))&amp;",",","&amp;SUBSTITUTE(input_area_of_focus," ","")&amp;",")))=COUNTA(TEXTSPLIT(AI202,",")))),IF(AK202="",TRUE,IF(input_area_of_focus="",TRUE,SUMPRODUCT(--ISNUMBER(SEARCH(","&amp;TRIM(TEXTSPLIT(AK202,","))&amp;",",","&amp;SUBSTITUTE(input_area_of_focus," ","")&amp;",")))=0)),IF(AM202="",TRUE,IF(input_area_of_focus="",FALSE,SUMPRODUCT(--ISNUMBER(SEARCH(","&amp;TRIM(TEXTSPLIT(AM202,","))&amp;",",","&amp;SUBSTITUTE(input_area_of_focus," ","")&amp;",")))&gt;0)),IF(AO202="",TRUE,IF(input_area_of_focus="",FALSE,SUMPRODUCT(--ISNUMBER(SEARCH(","&amp;TRIM(TEXTSPLIT(AO202,","))&amp;",",","&amp;SUBSTITUTE(input_area_of_focus," ","")&amp;",")))=COUNTA(TEXTSPLIT(AO202,",")))))</f>
        <v/>
      </c>
      <c r="IW202">
        <f>AND(IF(AQ202="",TRUE,IF(input_audience="",FALSE,SUMPRODUCT(--ISNUMBER(SEARCH(","&amp;TRIM(TEXTSPLIT(AQ202,","))&amp;",",","&amp;SUBSTITUTE(input_audience," ","")&amp;",")))&gt;0)),IF(AS202="",TRUE,IF(input_audience="",FALSE,SUMPRODUCT(--ISNUMBER(SEARCH(","&amp;TRIM(TEXTSPLIT(AS202,","))&amp;",",","&amp;SUBSTITUTE(input_audience," ","")&amp;",")))=COUNTA(TEXTSPLIT(AS202,",")))),IF(AU202="",TRUE,IF(input_audience="",TRUE,SUMPRODUCT(--ISNUMBER(SEARCH(","&amp;TRIM(TEXTSPLIT(AU202,","))&amp;",",","&amp;SUBSTITUTE(input_audience," ","")&amp;",")))=0)),IF(AW202="",TRUE,IF(input_audience="",FALSE,SUMPRODUCT(--ISNUMBER(SEARCH(","&amp;TRIM(TEXTSPLIT(AW202,","))&amp;",",","&amp;SUBSTITUTE(input_audience," ","")&amp;",")))&gt;0)),IF(AY202="",TRUE,IF(input_audience="",FALSE,SUMPRODUCT(--ISNUMBER(SEARCH(","&amp;TRIM(TEXTSPLIT(AY202,","))&amp;",",","&amp;SUBSTITUTE(input_audience," ","")&amp;",")))=COUNTA(TEXTSPLIT(AY202,",")))))</f>
        <v/>
      </c>
      <c r="IX202">
        <f>AND(IF(BA202="",TRUE,IF(input_challenge_opportunities="",FALSE,SUMPRODUCT(--ISNUMBER(SEARCH(","&amp;TRIM(TEXTSPLIT(BA202,","))&amp;",",","&amp;SUBSTITUTE(input_challenge_opportunities," ","")&amp;",")))&gt;0)),IF(BC202="",TRUE,IF(input_challenge_opportunities="",FALSE,SUMPRODUCT(--ISNUMBER(SEARCH(","&amp;TRIM(TEXTSPLIT(BC202,","))&amp;",",","&amp;SUBSTITUTE(input_challenge_opportunities," ","")&amp;",")))=COUNTA(TEXTSPLIT(BC202,",")))),IF(BE202="",TRUE,IF(input_challenge_opportunities="",TRUE,SUMPRODUCT(--ISNUMBER(SEARCH(","&amp;TRIM(TEXTSPLIT(BE202,","))&amp;",",","&amp;SUBSTITUTE(input_challenge_opportunities," ","")&amp;",")))=0)),IF(BG202="",TRUE,IF(input_challenge_opportunities="",FALSE,SUMPRODUCT(--ISNUMBER(SEARCH(","&amp;TRIM(TEXTSPLIT(BG202,","))&amp;",",","&amp;SUBSTITUTE(input_challenge_opportunities," ","")&amp;",")))&gt;0)),IF(BI202="",TRUE,IF(input_challenge_opportunities="",FALSE,SUMPRODUCT(--ISNUMBER(SEARCH(","&amp;TRIM(TEXTSPLIT(BI202,","))&amp;",",","&amp;SUBSTITUTE(input_challenge_opportunities," ","")&amp;",")))=COUNTA(TEXTSPLIT(BI202,",")))))</f>
        <v/>
      </c>
      <c r="IY202">
        <f>AND(IF(BK202="",TRUE,IF(input_context="",FALSE,SUMPRODUCT(--ISNUMBER(SEARCH(","&amp;TRIM(TEXTSPLIT(BK202,","))&amp;",",","&amp;SUBSTITUTE(input_context," ","")&amp;",")))&gt;0)),IF(BM202="",TRUE,IF(input_context="",FALSE,SUMPRODUCT(--ISNUMBER(SEARCH(","&amp;TRIM(TEXTSPLIT(BM202,","))&amp;",",","&amp;SUBSTITUTE(input_context," ","")&amp;",")))=COUNTA(TEXTSPLIT(BM202,",")))),IF(BO202="",TRUE,IF(input_context="",TRUE,SUMPRODUCT(--ISNUMBER(SEARCH(","&amp;TRIM(TEXTSPLIT(BO202,","))&amp;",",","&amp;SUBSTITUTE(input_context," ","")&amp;",")))=0)),IF(BQ202="",TRUE,IF(input_context="",FALSE,SUMPRODUCT(--ISNUMBER(SEARCH(","&amp;TRIM(TEXTSPLIT(BQ202,","))&amp;",",","&amp;SUBSTITUTE(input_context," ","")&amp;",")))&gt;0)),IF(BS202="",TRUE,IF(input_context="",FALSE,SUMPRODUCT(--ISNUMBER(SEARCH(","&amp;TRIM(TEXTSPLIT(BS202,","))&amp;",",","&amp;SUBSTITUTE(input_context," ","")&amp;",")))=COUNTA(TEXTSPLIT(BS202,",")))))</f>
        <v/>
      </c>
      <c r="IZ202">
        <f>AND(IF(BU202="",TRUE,IF(input_enews_announcement_type="",FALSE,SUMPRODUCT(--ISNUMBER(SEARCH(","&amp;TRIM(TEXTSPLIT(BU202,","))&amp;",",","&amp;SUBSTITUTE(input_enews_announcement_type," ","")&amp;",")))&gt;0)),IF(BW202="",TRUE,IF(input_enews_announcement_type="",FALSE,SUMPRODUCT(--ISNUMBER(SEARCH(","&amp;TRIM(TEXTSPLIT(BW202,","))&amp;",",","&amp;SUBSTITUTE(input_enews_announcement_type," ","")&amp;",")))=COUNTA(TEXTSPLIT(BW202,",")))),IF(BY202="",TRUE,IF(input_enews_announcement_type="",TRUE,SUMPRODUCT(--ISNUMBER(SEARCH(","&amp;TRIM(TEXTSPLIT(BY202,","))&amp;",",","&amp;SUBSTITUTE(input_enews_announcement_type," ","")&amp;",")))=0)),IF(CA202="",TRUE,IF(input_enews_announcement_type="",FALSE,SUMPRODUCT(--ISNUMBER(SEARCH(","&amp;TRIM(TEXTSPLIT(CA202,","))&amp;",",","&amp;SUBSTITUTE(input_enews_announcement_type," ","")&amp;",")))&gt;0)),IF(CC202="",TRUE,IF(input_enews_announcement_type="",FALSE,SUMPRODUCT(--ISNUMBER(SEARCH(","&amp;TRIM(TEXTSPLIT(CC202,","))&amp;",",","&amp;SUBSTITUTE(input_enews_announcement_type," ","")&amp;",")))=COUNTA(TEXTSPLIT(CC202,",")))))</f>
        <v/>
      </c>
      <c r="JA202">
        <f>AND(IF(CE202="",TRUE,IF(input_enews_audience="",FALSE,SUMPRODUCT(--ISNUMBER(SEARCH(","&amp;TRIM(TEXTSPLIT(CE202,","))&amp;",",","&amp;SUBSTITUTE(input_enews_audience," ","")&amp;",")))&gt;0)),IF(CG202="",TRUE,IF(input_enews_audience="",FALSE,SUMPRODUCT(--ISNUMBER(SEARCH(","&amp;TRIM(TEXTSPLIT(CG202,","))&amp;",",","&amp;SUBSTITUTE(input_enews_audience," ","")&amp;",")))=COUNTA(TEXTSPLIT(CG202,",")))),IF(CI202="",TRUE,IF(input_enews_audience="",TRUE,SUMPRODUCT(--ISNUMBER(SEARCH(","&amp;TRIM(TEXTSPLIT(CI202,","))&amp;",",","&amp;SUBSTITUTE(input_enews_audience," ","")&amp;",")))=0)),IF(CK202="",TRUE,IF(input_enews_audience="",FALSE,SUMPRODUCT(--ISNUMBER(SEARCH(","&amp;TRIM(TEXTSPLIT(CK202,","))&amp;",",","&amp;SUBSTITUTE(input_enews_audience," ","")&amp;",")))&gt;0)),IF(CM202="",TRUE,IF(input_enews_audience="",FALSE,SUMPRODUCT(--ISNUMBER(SEARCH(","&amp;TRIM(TEXTSPLIT(CM202,","))&amp;",",","&amp;SUBSTITUTE(input_enews_audience," ","")&amp;",")))=COUNTA(TEXTSPLIT(CM202,",")))))</f>
        <v/>
      </c>
      <c r="JB202">
        <f>AND(IF(CO202="",TRUE,IF(input_event_location="",FALSE,SUMPRODUCT(--ISNUMBER(SEARCH(","&amp;TRIM(TEXTSPLIT(CO202,","))&amp;",",","&amp;SUBSTITUTE(input_event_location," ","")&amp;",")))&gt;0)),IF(CQ202="",TRUE,IF(input_event_location="",FALSE,SUMPRODUCT(--ISNUMBER(SEARCH(","&amp;TRIM(TEXTSPLIT(CQ202,","))&amp;",",","&amp;SUBSTITUTE(input_event_location," ","")&amp;",")))=COUNTA(TEXTSPLIT(CQ202,",")))),IF(CS202="",TRUE,IF(input_event_location="",TRUE,SUMPRODUCT(--ISNUMBER(SEARCH(","&amp;TRIM(TEXTSPLIT(CS202,","))&amp;",",","&amp;SUBSTITUTE(input_event_location," ","")&amp;",")))=0)),IF(CU202="",TRUE,IF(input_event_location="",FALSE,SUMPRODUCT(--ISNUMBER(SEARCH(","&amp;TRIM(TEXTSPLIT(CU202,","))&amp;",",","&amp;SUBSTITUTE(input_event_location," ","")&amp;",")))&gt;0)),IF(CW202="",TRUE,IF(input_event_location="",FALSE,SUMPRODUCT(--ISNUMBER(SEARCH(","&amp;TRIM(TEXTSPLIT(CW202,","))&amp;",",","&amp;SUBSTITUTE(input_event_location," ","")&amp;",")))=COUNTA(TEXTSPLIT(CW202,",")))))</f>
        <v/>
      </c>
      <c r="JC202">
        <f>AND(IF(CY202="",TRUE,IF(input_event_type="",FALSE,SUMPRODUCT(--ISNUMBER(SEARCH(","&amp;TRIM(TEXTSPLIT(CY202,","))&amp;",",","&amp;SUBSTITUTE(input_event_type," ","")&amp;",")))&gt;0)),IF(DA202="",TRUE,IF(input_event_type="",FALSE,SUMPRODUCT(--ISNUMBER(SEARCH(","&amp;TRIM(TEXTSPLIT(DA202,","))&amp;",",","&amp;SUBSTITUTE(input_event_type," ","")&amp;",")))=COUNTA(TEXTSPLIT(DA202,",")))),IF(DC202="",TRUE,IF(input_event_type="",TRUE,SUMPRODUCT(--ISNUMBER(SEARCH(","&amp;TRIM(TEXTSPLIT(DC202,","))&amp;",",","&amp;SUBSTITUTE(input_event_type," ","")&amp;",")))=0)),IF(DE202="",TRUE,IF(input_event_type="",FALSE,SUMPRODUCT(--ISNUMBER(SEARCH(","&amp;TRIM(TEXTSPLIT(DE202,","))&amp;",",","&amp;SUBSTITUTE(input_event_type," ","")&amp;",")))&gt;0)),IF(DG202="",TRUE,IF(input_event_type="",FALSE,SUMPRODUCT(--ISNUMBER(SEARCH(","&amp;TRIM(TEXTSPLIT(DG202,","))&amp;",",","&amp;SUBSTITUTE(input_event_type," ","")&amp;",")))=COUNTA(TEXTSPLIT(DG202,",")))))</f>
        <v/>
      </c>
      <c r="JD202">
        <f>AND(IF(DI202="",TRUE,IF(input_executive_education_focus="",FALSE,SUMPRODUCT(--ISNUMBER(SEARCH(","&amp;TRIM(TEXTSPLIT(DI202,","))&amp;",",","&amp;SUBSTITUTE(input_executive_education_focus," ","")&amp;",")))&gt;0)),IF(DK202="",TRUE,IF(input_executive_education_focus="",FALSE,SUMPRODUCT(--ISNUMBER(SEARCH(","&amp;TRIM(TEXTSPLIT(DK202,","))&amp;",",","&amp;SUBSTITUTE(input_executive_education_focus," ","")&amp;",")))=COUNTA(TEXTSPLIT(DK202,",")))),IF(DM202="",TRUE,IF(input_executive_education_focus="",TRUE,SUMPRODUCT(--ISNUMBER(SEARCH(","&amp;TRIM(TEXTSPLIT(DM202,","))&amp;",",","&amp;SUBSTITUTE(input_executive_education_focus," ","")&amp;",")))=0)),IF(DO202="",TRUE,IF(input_executive_education_focus="",FALSE,SUMPRODUCT(--ISNUMBER(SEARCH(","&amp;TRIM(TEXTSPLIT(DO202,","))&amp;",",","&amp;SUBSTITUTE(input_executive_education_focus," ","")&amp;",")))&gt;0)),IF(DQ202="",TRUE,IF(input_executive_education_focus="",FALSE,SUMPRODUCT(--ISNUMBER(SEARCH(","&amp;TRIM(TEXTSPLIT(DQ202,","))&amp;",",","&amp;SUBSTITUTE(input_executive_education_focus," ","")&amp;",")))=COUNTA(TEXTSPLIT(DQ202,",")))))</f>
        <v/>
      </c>
      <c r="JE202">
        <f>AND(IF(DS202="",TRUE,IF(input_faculty_category="",FALSE,SUMPRODUCT(--ISNUMBER(SEARCH(","&amp;TRIM(TEXTSPLIT(DS202,","))&amp;",",","&amp;SUBSTITUTE(input_faculty_category," ","")&amp;",")))&gt;0)),IF(DU202="",TRUE,IF(input_faculty_category="",FALSE,SUMPRODUCT(--ISNUMBER(SEARCH(","&amp;TRIM(TEXTSPLIT(DU202,","))&amp;",",","&amp;SUBSTITUTE(input_faculty_category," ","")&amp;",")))=COUNTA(TEXTSPLIT(DU202,",")))),IF(DW202="",TRUE,IF(input_faculty_category="",TRUE,SUMPRODUCT(--ISNUMBER(SEARCH(","&amp;TRIM(TEXTSPLIT(DW202,","))&amp;",",","&amp;SUBSTITUTE(input_faculty_category," ","")&amp;",")))=0)),IF(DY202="",TRUE,IF(input_faculty_category="",FALSE,SUMPRODUCT(--ISNUMBER(SEARCH(","&amp;TRIM(TEXTSPLIT(DY202,","))&amp;",",","&amp;SUBSTITUTE(input_faculty_category," ","")&amp;",")))&gt;0)),IF(EA202="",TRUE,IF(input_faculty_category="",FALSE,SUMPRODUCT(--ISNUMBER(SEARCH(","&amp;TRIM(TEXTSPLIT(EA202,","))&amp;",",","&amp;SUBSTITUTE(input_faculty_category," ","")&amp;",")))=COUNTA(TEXTSPLIT(EA202,",")))))</f>
        <v/>
      </c>
      <c r="JF202">
        <f>AND(IF(EC202="",TRUE,IF(input_faculty_discipline="",FALSE,SUMPRODUCT(--ISNUMBER(SEARCH(","&amp;TRIM(TEXTSPLIT(EC202,","))&amp;",",","&amp;SUBSTITUTE(input_faculty_discipline," ","")&amp;",")))&gt;0)),IF(EE202="",TRUE,IF(input_faculty_discipline="",FALSE,SUMPRODUCT(--ISNUMBER(SEARCH(","&amp;TRIM(TEXTSPLIT(EE202,","))&amp;",",","&amp;SUBSTITUTE(input_faculty_discipline," ","")&amp;",")))=COUNTA(TEXTSPLIT(EE202,",")))),IF(EG202="",TRUE,IF(input_faculty_discipline="",TRUE,SUMPRODUCT(--ISNUMBER(SEARCH(","&amp;TRIM(TEXTSPLIT(EG202,","))&amp;",",","&amp;SUBSTITUTE(input_faculty_discipline," ","")&amp;",")))=0)),IF(EI202="",TRUE,IF(input_faculty_discipline="",FALSE,SUMPRODUCT(--ISNUMBER(SEARCH(","&amp;TRIM(TEXTSPLIT(EI202,","))&amp;",",","&amp;SUBSTITUTE(input_faculty_discipline," ","")&amp;",")))&gt;0)),IF(EK202="",TRUE,IF(input_faculty_discipline="",FALSE,SUMPRODUCT(--ISNUMBER(SEARCH(","&amp;TRIM(TEXTSPLIT(EK202,","))&amp;",",","&amp;SUBSTITUTE(input_faculty_discipline," ","")&amp;",")))=COUNTA(TEXTSPLIT(EK202,",")))))</f>
        <v/>
      </c>
      <c r="JG202">
        <f>AND(IF(EM202="",TRUE,IF(input_faculty_expertise="",FALSE,SUMPRODUCT(--ISNUMBER(SEARCH(","&amp;TRIM(TEXTSPLIT(EM202,","))&amp;",",","&amp;SUBSTITUTE(input_faculty_expertise," ","")&amp;",")))&gt;0)),IF(EO202="",TRUE,IF(input_faculty_expertise="",FALSE,SUMPRODUCT(--ISNUMBER(SEARCH(","&amp;TRIM(TEXTSPLIT(EO202,","))&amp;",",","&amp;SUBSTITUTE(input_faculty_expertise," ","")&amp;",")))=COUNTA(TEXTSPLIT(EO202,",")))),IF(EQ202="",TRUE,IF(input_faculty_expertise="",TRUE,SUMPRODUCT(--ISNUMBER(SEARCH(","&amp;TRIM(TEXTSPLIT(EQ202,","))&amp;",",","&amp;SUBSTITUTE(input_faculty_expertise," ","")&amp;",")))=0)),IF(ES202="",TRUE,IF(input_faculty_expertise="",FALSE,SUMPRODUCT(--ISNUMBER(SEARCH(","&amp;TRIM(TEXTSPLIT(ES202,","))&amp;",",","&amp;SUBSTITUTE(input_faculty_expertise," ","")&amp;",")))&gt;0)),IF(EU202="",TRUE,IF(input_faculty_expertise="",FALSE,SUMPRODUCT(--ISNUMBER(SEARCH(","&amp;TRIM(TEXTSPLIT(EU202,","))&amp;",",","&amp;SUBSTITUTE(input_faculty_expertise," ","")&amp;",")))=COUNTA(TEXTSPLIT(EU202,",")))))</f>
        <v/>
      </c>
      <c r="JH202">
        <f>AND(IF(EW202="",TRUE,IF(input_global_network_school="",FALSE,SUMPRODUCT(--ISNUMBER(SEARCH(","&amp;TRIM(TEXTSPLIT(EW202,","))&amp;",",","&amp;SUBSTITUTE(input_global_network_school," ","")&amp;",")))&gt;0)),IF(EY202="",TRUE,IF(input_global_network_school="",FALSE,SUMPRODUCT(--ISNUMBER(SEARCH(","&amp;TRIM(TEXTSPLIT(EY202,","))&amp;",",","&amp;SUBSTITUTE(input_global_network_school," ","")&amp;",")))=COUNTA(TEXTSPLIT(EY202,",")))),IF(FA202="",TRUE,IF(input_global_network_school="",TRUE,SUMPRODUCT(--ISNUMBER(SEARCH(","&amp;TRIM(TEXTSPLIT(FA202,","))&amp;",",","&amp;SUBSTITUTE(input_global_network_school," ","")&amp;",")))=0)),IF(FC202="",TRUE,IF(input_global_network_school="",FALSE,SUMPRODUCT(--ISNUMBER(SEARCH(","&amp;TRIM(TEXTSPLIT(FC202,","))&amp;",",","&amp;SUBSTITUTE(input_global_network_school," ","")&amp;",")))&gt;0)),IF(FE202="",TRUE,IF(input_global_network_school="",FALSE,SUMPRODUCT(--ISNUMBER(SEARCH(","&amp;TRIM(TEXTSPLIT(FE202,","))&amp;",",","&amp;SUBSTITUTE(input_global_network_school," ","")&amp;",")))=COUNTA(TEXTSPLIT(FE202,",")))))</f>
        <v/>
      </c>
      <c r="JI202">
        <f>AND(IF(FG202="",TRUE,IF(input_industry="",FALSE,SUMPRODUCT(--ISNUMBER(SEARCH(","&amp;TRIM(TEXTSPLIT(FG202,","))&amp;",",","&amp;SUBSTITUTE(input_industry," ","")&amp;",")))&gt;0)),IF(FI202="",TRUE,IF(input_industry="",FALSE,SUMPRODUCT(--ISNUMBER(SEARCH(","&amp;TRIM(TEXTSPLIT(FI202,","))&amp;",",","&amp;SUBSTITUTE(input_industry," ","")&amp;",")))=COUNTA(TEXTSPLIT(FI202,",")))),IF(FK202="",TRUE,IF(input_industry="",TRUE,SUMPRODUCT(--ISNUMBER(SEARCH(","&amp;TRIM(TEXTSPLIT(FK202,","))&amp;",",","&amp;SUBSTITUTE(input_industry," ","")&amp;",")))=0)),IF(FM202="",TRUE,IF(input_industry="",FALSE,SUMPRODUCT(--ISNUMBER(SEARCH(","&amp;TRIM(TEXTSPLIT(FM202,","))&amp;",",","&amp;SUBSTITUTE(input_industry," ","")&amp;",")))&gt;0)),IF(FO202="",TRUE,IF(input_industry="",FALSE,SUMPRODUCT(--ISNUMBER(SEARCH(","&amp;TRIM(TEXTSPLIT(FO202,","))&amp;",",","&amp;SUBSTITUTE(input_industry," ","")&amp;",")))=COUNTA(TEXTSPLIT(FO202,",")))))</f>
        <v/>
      </c>
      <c r="JJ202">
        <f>AND(IF(FQ202="",TRUE,IF(input_location="",FALSE,SUMPRODUCT(--ISNUMBER(SEARCH(","&amp;TRIM(TEXTSPLIT(FQ202,","))&amp;",",","&amp;SUBSTITUTE(input_location," ","")&amp;",")))&gt;0)),IF(FS202="",TRUE,IF(input_location="",FALSE,SUMPRODUCT(--ISNUMBER(SEARCH(","&amp;TRIM(TEXTSPLIT(FS202,","))&amp;",",","&amp;SUBSTITUTE(input_location," ","")&amp;",")))=COUNTA(TEXTSPLIT(FS202,",")))),IF(FU202="",TRUE,IF(input_location="",TRUE,SUMPRODUCT(--ISNUMBER(SEARCH(","&amp;TRIM(TEXTSPLIT(FU202,","))&amp;",",","&amp;SUBSTITUTE(input_location," ","")&amp;",")))=0)),IF(FW202="",TRUE,IF(input_location="",FALSE,SUMPRODUCT(--ISNUMBER(SEARCH(","&amp;TRIM(TEXTSPLIT(FW202,","))&amp;",",","&amp;SUBSTITUTE(input_location," ","")&amp;",")))&gt;0)),IF(FY202="",TRUE,IF(input_location="",FALSE,SUMPRODUCT(--ISNUMBER(SEARCH(","&amp;TRIM(TEXTSPLIT(FY202,","))&amp;",",","&amp;SUBSTITUTE(input_location," ","")&amp;",")))=COUNTA(TEXTSPLIT(FY202,",")))))</f>
        <v/>
      </c>
      <c r="JK202">
        <f>AND(IF(GA202="",TRUE,IF(input_modality="",FALSE,SUMPRODUCT(--ISNUMBER(SEARCH(","&amp;TRIM(TEXTSPLIT(GA202,","))&amp;",",","&amp;SUBSTITUTE(input_modality," ","")&amp;",")))&gt;0)),IF(GC202="",TRUE,IF(input_modality="",FALSE,SUMPRODUCT(--ISNUMBER(SEARCH(","&amp;TRIM(TEXTSPLIT(GC202,","))&amp;",",","&amp;SUBSTITUTE(input_modality," ","")&amp;",")))=COUNTA(TEXTSPLIT(GC202,",")))),IF(GE202="",TRUE,IF(input_modality="",TRUE,SUMPRODUCT(--ISNUMBER(SEARCH(","&amp;TRIM(TEXTSPLIT(GE202,","))&amp;",",","&amp;SUBSTITUTE(input_modality," ","")&amp;",")))=0)),IF(GG202="",TRUE,IF(input_modality="",FALSE,SUMPRODUCT(--ISNUMBER(SEARCH(","&amp;TRIM(TEXTSPLIT(GG202,","))&amp;",",","&amp;SUBSTITUTE(input_modality," ","")&amp;",")))&gt;0)),IF(GI202="",TRUE,IF(input_modality="",FALSE,SUMPRODUCT(--ISNUMBER(SEARCH(","&amp;TRIM(TEXTSPLIT(GI202,","))&amp;",",","&amp;SUBSTITUTE(input_modality," ","")&amp;",")))=COUNTA(TEXTSPLIT(GI202,",")))))</f>
        <v/>
      </c>
      <c r="JL202">
        <f>AND(IF(GK202="",TRUE,IF(input_organizer="",FALSE,SUMPRODUCT(--ISNUMBER(SEARCH(","&amp;TRIM(TEXTSPLIT(GK202,","))&amp;",",","&amp;SUBSTITUTE(input_organizer," ","")&amp;",")))&gt;0)),IF(GM202="",TRUE,IF(input_organizer="",FALSE,SUMPRODUCT(--ISNUMBER(SEARCH(","&amp;TRIM(TEXTSPLIT(GM202,","))&amp;",",","&amp;SUBSTITUTE(input_organizer," ","")&amp;",")))=COUNTA(TEXTSPLIT(GM202,",")))),IF(GO202="",TRUE,IF(input_organizer="",TRUE,SUMPRODUCT(--ISNUMBER(SEARCH(","&amp;TRIM(TEXTSPLIT(GO202,","))&amp;",",","&amp;SUBSTITUTE(input_organizer," ","")&amp;",")))=0)),IF(GQ202="",TRUE,IF(input_organizer="",FALSE,SUMPRODUCT(--ISNUMBER(SEARCH(","&amp;TRIM(TEXTSPLIT(GQ202,","))&amp;",",","&amp;SUBSTITUTE(input_organizer," ","")&amp;",")))&gt;0)),IF(GS202="",TRUE,IF(input_organizer="",FALSE,SUMPRODUCT(--ISNUMBER(SEARCH(","&amp;TRIM(TEXTSPLIT(GS202,","))&amp;",",","&amp;SUBSTITUTE(input_organizer," ","")&amp;",")))=COUNTA(TEXTSPLIT(GS202,",")))))</f>
        <v/>
      </c>
      <c r="JM202">
        <f>AND(IF(GU202="",TRUE,IF(input_profile_type="",FALSE,SUMPRODUCT(--ISNUMBER(SEARCH(","&amp;TRIM(TEXTSPLIT(GU202,","))&amp;",",","&amp;SUBSTITUTE(input_profile_type," ","")&amp;",")))&gt;0)),IF(GW202="",TRUE,IF(input_profile_type="",FALSE,SUMPRODUCT(--ISNUMBER(SEARCH(","&amp;TRIM(TEXTSPLIT(GW202,","))&amp;",",","&amp;SUBSTITUTE(input_profile_type," ","")&amp;",")))=COUNTA(TEXTSPLIT(GW202,",")))),IF(GY202="",TRUE,IF(input_profile_type="",TRUE,SUMPRODUCT(--ISNUMBER(SEARCH(","&amp;TRIM(TEXTSPLIT(GY202,","))&amp;",",","&amp;SUBSTITUTE(input_profile_type," ","")&amp;",")))=0)),IF(HA202="",TRUE,IF(input_profile_type="",FALSE,SUMPRODUCT(--ISNUMBER(SEARCH(","&amp;TRIM(TEXTSPLIT(HA202,","))&amp;",",","&amp;SUBSTITUTE(input_profile_type," ","")&amp;",")))&gt;0)),IF(HC202="",TRUE,IF(input_profile_type="",FALSE,SUMPRODUCT(--ISNUMBER(SEARCH(","&amp;TRIM(TEXTSPLIT(HC202,","))&amp;",",","&amp;SUBSTITUTE(input_profile_type," ","")&amp;",")))=COUNTA(TEXTSPLIT(HC202,",")))))</f>
        <v/>
      </c>
      <c r="JN202">
        <f>AND(IF(HE202="",TRUE,IF(input_program="",FALSE,SUMPRODUCT(--ISNUMBER(SEARCH(","&amp;TRIM(TEXTSPLIT(HE202,","))&amp;",",","&amp;SUBSTITUTE(input_program," ","")&amp;",")))&gt;0)),IF(HG202="",TRUE,IF(input_program="",FALSE,SUMPRODUCT(--ISNUMBER(SEARCH(","&amp;TRIM(TEXTSPLIT(HG202,","))&amp;",",","&amp;SUBSTITUTE(input_program," ","")&amp;",")))=COUNTA(TEXTSPLIT(HG202,",")))),IF(HI202="",TRUE,IF(input_program="",TRUE,SUMPRODUCT(--ISNUMBER(SEARCH(","&amp;TRIM(TEXTSPLIT(HI202,","))&amp;",",","&amp;SUBSTITUTE(input_program," ","")&amp;",")))=0)),IF(HK202="",TRUE,IF(input_program="",FALSE,SUMPRODUCT(--ISNUMBER(SEARCH(","&amp;TRIM(TEXTSPLIT(HK202,","))&amp;",",","&amp;SUBSTITUTE(input_program," ","")&amp;",")))&gt;0)),IF(HM202="",TRUE,IF(input_program="",FALSE,SUMPRODUCT(--ISNUMBER(SEARCH(","&amp;TRIM(TEXTSPLIT(HM202,","))&amp;",",","&amp;SUBSTITUTE(input_program," ","")&amp;",")))=COUNTA(TEXTSPLIT(HM202,",")))))</f>
        <v/>
      </c>
      <c r="JO202">
        <f>AND(IF(HO202="",TRUE,IF(input_story_categories="",FALSE,SUMPRODUCT(--ISNUMBER(SEARCH(","&amp;TRIM(TEXTSPLIT(HO202,","))&amp;",",","&amp;SUBSTITUTE(input_story_categories," ","")&amp;",")))&gt;0)),IF(HQ202="",TRUE,IF(input_story_categories="",FALSE,SUMPRODUCT(--ISNUMBER(SEARCH(","&amp;TRIM(TEXTSPLIT(HQ202,","))&amp;",",","&amp;SUBSTITUTE(input_story_categories," ","")&amp;",")))=COUNTA(TEXTSPLIT(HQ202,",")))),IF(HS202="",TRUE,IF(input_story_categories="",TRUE,SUMPRODUCT(--ISNUMBER(SEARCH(","&amp;TRIM(TEXTSPLIT(HS202,","))&amp;",",","&amp;SUBSTITUTE(input_story_categories," ","")&amp;",")))=0)),IF(HU202="",TRUE,IF(input_story_categories="",FALSE,SUMPRODUCT(--ISNUMBER(SEARCH(","&amp;TRIM(TEXTSPLIT(HU202,","))&amp;",",","&amp;SUBSTITUTE(input_story_categories," ","")&amp;",")))&gt;0)),IF(HW202="",TRUE,IF(input_story_categories="",FALSE,SUMPRODUCT(--ISNUMBER(SEARCH(","&amp;TRIM(TEXTSPLIT(HW202,","))&amp;",",","&amp;SUBSTITUTE(input_story_categories," ","")&amp;",")))=COUNTA(TEXTSPLIT(HW202,",")))))</f>
        <v/>
      </c>
      <c r="JP202">
        <f>AND(IF(HY202="",TRUE,IF(input_story_type="",FALSE,SUMPRODUCT(--ISNUMBER(SEARCH(","&amp;TRIM(TEXTSPLIT(HY202,","))&amp;",",","&amp;SUBSTITUTE(input_story_type," ","")&amp;",")))&gt;0)),IF(IA202="",TRUE,IF(input_story_type="",FALSE,SUMPRODUCT(--ISNUMBER(SEARCH(","&amp;TRIM(TEXTSPLIT(IA202,","))&amp;",",","&amp;SUBSTITUTE(input_story_type," ","")&amp;",")))=COUNTA(TEXTSPLIT(IA202,",")))),IF(IC202="",TRUE,IF(input_story_type="",TRUE,SUMPRODUCT(--ISNUMBER(SEARCH(","&amp;TRIM(TEXTSPLIT(IC202,","))&amp;",",","&amp;SUBSTITUTE(input_story_type," ","")&amp;",")))=0)),IF(IE202="",TRUE,IF(input_story_type="",FALSE,SUMPRODUCT(--ISNUMBER(SEARCH(","&amp;TRIM(TEXTSPLIT(IE202,","))&amp;",",","&amp;SUBSTITUTE(input_story_type," ","")&amp;",")))&gt;0)),IF(IG202="",TRUE,IF(input_story_type="",FALSE,SUMPRODUCT(--ISNUMBER(SEARCH(","&amp;TRIM(TEXTSPLIT(IG202,","))&amp;",",","&amp;SUBSTITUTE(input_story_type," ","")&amp;",")))=COUNTA(TEXTSPLIT(IG202,",")))))</f>
        <v/>
      </c>
      <c r="JQ202">
        <f>AND(IF(II202="",TRUE,IF(input_topics="",FALSE,SUMPRODUCT(--ISNUMBER(SEARCH(","&amp;TRIM(TEXTSPLIT(II202,","))&amp;",",","&amp;SUBSTITUTE(input_topics," ","")&amp;",")))&gt;0)),IF(IK202="",TRUE,IF(input_topics="",FALSE,SUMPRODUCT(--ISNUMBER(SEARCH(","&amp;TRIM(TEXTSPLIT(IK202,","))&amp;",",","&amp;SUBSTITUTE(input_topics," ","")&amp;",")))=COUNTA(TEXTSPLIT(IK202,",")))),IF(IM202="",TRUE,IF(input_topics="",TRUE,SUMPRODUCT(--ISNUMBER(SEARCH(","&amp;TRIM(TEXTSPLIT(IM202,","))&amp;",",","&amp;SUBSTITUTE(input_topics," ","")&amp;",")))=0)),IF(IO202="",TRUE,IF(input_topics="",FALSE,SUMPRODUCT(--ISNUMBER(SEARCH(","&amp;TRIM(TEXTSPLIT(IO202,","))&amp;",",","&amp;SUBSTITUTE(input_topics," ","")&amp;",")))&gt;0)),IF(IQ202="",TRUE,IF(input_topics="",FALSE,SUMPRODUCT(--ISNUMBER(SEARCH(","&amp;TRIM(TEXTSPLIT(IQ202,","))&amp;",",","&amp;SUBSTITUTE(input_topics," ","")&amp;",")))=COUNTA(TEXTSPLIT(IQ202,",")))))</f>
        <v/>
      </c>
    </row>
    <row r="203">
      <c r="A203" s="4">
        <f>IF(NOT(IS203),"Excluded",IF(AND(IT203,IU203,IV203,IW203,IX203,IY203,IZ203,JA203,JB203,JC203,JD203,JE203,JF203,JG203,JH203,JI203,JJ203,JK203,JL203,JM203,JN203,JO203,JP203,JQ203),IF(I203&gt;0,"Eligible but limited","Will appear"),"Excluded"))</f>
        <v/>
      </c>
      <c r="B203" s="4" t="inlineStr">
        <is>
          <t>Related stories on story pages</t>
        </is>
      </c>
      <c r="C203" s="4" t="inlineStr">
        <is>
          <t>/story/2025/baltimore-city-public-schools-ceo-sonja-santelises-named-superintendent-residence-broad</t>
        </is>
      </c>
      <c r="D203" s="4" t="inlineStr">
        <is>
          <t>/story/2025/baltimore-city-public-schools-ceo-sonja-santelises-named-superintendent-residence-broad
/story/2025/broad-center-announces-2025-26-cohort-fellowship-public-education-leadership
/story/2025/capstone-projects-masters-students-broad-center-put-yale-education-work</t>
        </is>
      </c>
      <c r="E203" s="4" t="n">
        <v>6</v>
      </c>
      <c r="F203" s="4" t="inlineStr">
        <is>
          <t>story</t>
        </is>
      </c>
      <c r="G203" s="4" t="inlineStr">
        <is>
          <t>stories_teaser_cards</t>
        </is>
      </c>
      <c r="H203" s="4" t="inlineStr">
        <is>
          <t>embed_all</t>
        </is>
      </c>
      <c r="I203" s="4" t="n">
        <v>3</v>
      </c>
      <c r="J203" s="4" t="inlineStr">
        <is>
          <t>Template logic</t>
        </is>
      </c>
      <c r="K203" s="4" t="inlineStr">
        <is>
          <t>Grouped surface</t>
        </is>
      </c>
      <c r="L203" s="4" t="inlineStr">
        <is>
          <t>Content type: story; Context uses Courses Context: The Broad Center (926); Context uses Story Type: News (924); Limited to 3 item(s); Source: Template logic</t>
        </is>
      </c>
      <c r="M203" t="inlineStr"/>
      <c r="N203" t="inlineStr"/>
      <c r="O203" t="inlineStr"/>
      <c r="P203" t="inlineStr"/>
      <c r="Q203" t="inlineStr"/>
      <c r="R203" t="inlineStr"/>
      <c r="S203" t="inlineStr"/>
      <c r="T203" t="inlineStr"/>
      <c r="U203" t="inlineStr"/>
      <c r="V203" t="inlineStr"/>
      <c r="W203" t="inlineStr"/>
      <c r="X203" t="inlineStr"/>
      <c r="Y203" t="inlineStr"/>
      <c r="Z203" t="inlineStr"/>
      <c r="AA203" t="inlineStr"/>
      <c r="AB203" t="inlineStr"/>
      <c r="AC203" t="inlineStr"/>
      <c r="AD203" t="inlineStr"/>
      <c r="AE203" t="inlineStr"/>
      <c r="AF203" t="inlineStr"/>
      <c r="AG203" t="inlineStr"/>
      <c r="AH203" t="inlineStr"/>
      <c r="AI203" t="inlineStr"/>
      <c r="AJ203" t="inlineStr"/>
      <c r="AK203" t="inlineStr"/>
      <c r="AL203" t="inlineStr"/>
      <c r="AM203" t="inlineStr"/>
      <c r="AN203" t="inlineStr"/>
      <c r="AO203" t="inlineStr"/>
      <c r="AP203" t="inlineStr"/>
      <c r="AQ203" t="inlineStr"/>
      <c r="AR203" t="inlineStr"/>
      <c r="AS203" t="inlineStr"/>
      <c r="AT203" t="inlineStr"/>
      <c r="AU203" t="inlineStr"/>
      <c r="AV203" t="inlineStr"/>
      <c r="AW203" t="inlineStr"/>
      <c r="AX203" t="inlineStr"/>
      <c r="AY203" t="inlineStr"/>
      <c r="AZ203" t="inlineStr"/>
      <c r="BA203" t="inlineStr"/>
      <c r="BB203" t="inlineStr"/>
      <c r="BC203" t="inlineStr"/>
      <c r="BD203" t="inlineStr"/>
      <c r="BE203" t="inlineStr"/>
      <c r="BF203" t="inlineStr"/>
      <c r="BG203" t="inlineStr"/>
      <c r="BH203" t="inlineStr"/>
      <c r="BI203" t="inlineStr"/>
      <c r="BJ203" t="inlineStr"/>
      <c r="BK203" t="inlineStr"/>
      <c r="BL203" t="inlineStr"/>
      <c r="BM203" t="inlineStr"/>
      <c r="BN203" t="inlineStr"/>
      <c r="BO203" t="inlineStr"/>
      <c r="BP203" t="inlineStr"/>
      <c r="BQ203" t="inlineStr">
        <is>
          <t>926</t>
        </is>
      </c>
      <c r="BR203" t="inlineStr">
        <is>
          <t>The Broad Center (926)</t>
        </is>
      </c>
      <c r="BS203" t="inlineStr"/>
      <c r="BT203" t="inlineStr"/>
      <c r="BU203" t="inlineStr"/>
      <c r="BV203" t="inlineStr"/>
      <c r="BW203" t="inlineStr"/>
      <c r="BX203" t="inlineStr"/>
      <c r="BY203" t="inlineStr"/>
      <c r="BZ203" t="inlineStr"/>
      <c r="CA203" t="inlineStr"/>
      <c r="CB203" t="inlineStr"/>
      <c r="CC203" t="inlineStr"/>
      <c r="CD203" t="inlineStr"/>
      <c r="CE203" t="inlineStr"/>
      <c r="CF203" t="inlineStr"/>
      <c r="CG203" t="inlineStr"/>
      <c r="CH203" t="inlineStr"/>
      <c r="CI203" t="inlineStr"/>
      <c r="CJ203" t="inlineStr"/>
      <c r="CK203" t="inlineStr"/>
      <c r="CL203" t="inlineStr"/>
      <c r="CM203" t="inlineStr"/>
      <c r="CN203" t="inlineStr"/>
      <c r="CO203" t="inlineStr"/>
      <c r="CP203" t="inlineStr"/>
      <c r="CQ203" t="inlineStr"/>
      <c r="CR203" t="inlineStr"/>
      <c r="CS203" t="inlineStr"/>
      <c r="CT203" t="inlineStr"/>
      <c r="CU203" t="inlineStr"/>
      <c r="CV203" t="inlineStr"/>
      <c r="CW203" t="inlineStr"/>
      <c r="CX203" t="inlineStr"/>
      <c r="CY203" t="inlineStr"/>
      <c r="CZ203" t="inlineStr"/>
      <c r="DA203" t="inlineStr"/>
      <c r="DB203" t="inlineStr"/>
      <c r="DC203" t="inlineStr"/>
      <c r="DD203" t="inlineStr"/>
      <c r="DE203" t="inlineStr"/>
      <c r="DF203" t="inlineStr"/>
      <c r="DG203" t="inlineStr"/>
      <c r="DH203" t="inlineStr"/>
      <c r="DI203" t="inlineStr"/>
      <c r="DJ203" t="inlineStr"/>
      <c r="DK203" t="inlineStr"/>
      <c r="DL203" t="inlineStr"/>
      <c r="DM203" t="inlineStr"/>
      <c r="DN203" t="inlineStr"/>
      <c r="DO203" t="inlineStr"/>
      <c r="DP203" t="inlineStr"/>
      <c r="DQ203" t="inlineStr"/>
      <c r="DR203" t="inlineStr"/>
      <c r="DS203" t="inlineStr"/>
      <c r="DT203" t="inlineStr"/>
      <c r="DU203" t="inlineStr"/>
      <c r="DV203" t="inlineStr"/>
      <c r="DW203" t="inlineStr"/>
      <c r="DX203" t="inlineStr"/>
      <c r="DY203" t="inlineStr"/>
      <c r="DZ203" t="inlineStr"/>
      <c r="EA203" t="inlineStr"/>
      <c r="EB203" t="inlineStr"/>
      <c r="EC203" t="inlineStr"/>
      <c r="ED203" t="inlineStr"/>
      <c r="EE203" t="inlineStr"/>
      <c r="EF203" t="inlineStr"/>
      <c r="EG203" t="inlineStr"/>
      <c r="EH203" t="inlineStr"/>
      <c r="EI203" t="inlineStr"/>
      <c r="EJ203" t="inlineStr"/>
      <c r="EK203" t="inlineStr"/>
      <c r="EL203" t="inlineStr"/>
      <c r="EM203" t="inlineStr"/>
      <c r="EN203" t="inlineStr"/>
      <c r="EO203" t="inlineStr"/>
      <c r="EP203" t="inlineStr"/>
      <c r="EQ203" t="inlineStr"/>
      <c r="ER203" t="inlineStr"/>
      <c r="ES203" t="inlineStr"/>
      <c r="ET203" t="inlineStr"/>
      <c r="EU203" t="inlineStr"/>
      <c r="EV203" t="inlineStr"/>
      <c r="EW203" t="inlineStr"/>
      <c r="EX203" t="inlineStr"/>
      <c r="EY203" t="inlineStr"/>
      <c r="EZ203" t="inlineStr"/>
      <c r="FA203" t="inlineStr"/>
      <c r="FB203" t="inlineStr"/>
      <c r="FC203" t="inlineStr"/>
      <c r="FD203" t="inlineStr"/>
      <c r="FE203" t="inlineStr"/>
      <c r="FF203" t="inlineStr"/>
      <c r="FG203" t="inlineStr"/>
      <c r="FH203" t="inlineStr"/>
      <c r="FI203" t="inlineStr"/>
      <c r="FJ203" t="inlineStr"/>
      <c r="FK203" t="inlineStr"/>
      <c r="FL203" t="inlineStr"/>
      <c r="FM203" t="inlineStr"/>
      <c r="FN203" t="inlineStr"/>
      <c r="FO203" t="inlineStr"/>
      <c r="FP203" t="inlineStr"/>
      <c r="FQ203" t="inlineStr"/>
      <c r="FR203" t="inlineStr"/>
      <c r="FS203" t="inlineStr"/>
      <c r="FT203" t="inlineStr"/>
      <c r="FU203" t="inlineStr"/>
      <c r="FV203" t="inlineStr"/>
      <c r="FW203" t="inlineStr"/>
      <c r="FX203" t="inlineStr"/>
      <c r="FY203" t="inlineStr"/>
      <c r="FZ203" t="inlineStr"/>
      <c r="GA203" t="inlineStr"/>
      <c r="GB203" t="inlineStr"/>
      <c r="GC203" t="inlineStr"/>
      <c r="GD203" t="inlineStr"/>
      <c r="GE203" t="inlineStr"/>
      <c r="GF203" t="inlineStr"/>
      <c r="GG203" t="inlineStr"/>
      <c r="GH203" t="inlineStr"/>
      <c r="GI203" t="inlineStr"/>
      <c r="GJ203" t="inlineStr"/>
      <c r="GK203" t="inlineStr"/>
      <c r="GL203" t="inlineStr"/>
      <c r="GM203" t="inlineStr"/>
      <c r="GN203" t="inlineStr"/>
      <c r="GO203" t="inlineStr"/>
      <c r="GP203" t="inlineStr"/>
      <c r="GQ203" t="inlineStr"/>
      <c r="GR203" t="inlineStr"/>
      <c r="GS203" t="inlineStr"/>
      <c r="GT203" t="inlineStr"/>
      <c r="GU203" t="inlineStr"/>
      <c r="GV203" t="inlineStr"/>
      <c r="GW203" t="inlineStr"/>
      <c r="GX203" t="inlineStr"/>
      <c r="GY203" t="inlineStr"/>
      <c r="GZ203" t="inlineStr"/>
      <c r="HA203" t="inlineStr"/>
      <c r="HB203" t="inlineStr"/>
      <c r="HC203" t="inlineStr"/>
      <c r="HD203" t="inlineStr"/>
      <c r="HE203" t="inlineStr"/>
      <c r="HF203" t="inlineStr"/>
      <c r="HG203" t="inlineStr"/>
      <c r="HH203" t="inlineStr"/>
      <c r="HI203" t="inlineStr"/>
      <c r="HJ203" t="inlineStr"/>
      <c r="HK203" t="inlineStr"/>
      <c r="HL203" t="inlineStr"/>
      <c r="HM203" t="inlineStr"/>
      <c r="HN203" t="inlineStr"/>
      <c r="HO203" t="inlineStr"/>
      <c r="HP203" t="inlineStr"/>
      <c r="HQ203" t="inlineStr"/>
      <c r="HR203" t="inlineStr"/>
      <c r="HS203" t="inlineStr"/>
      <c r="HT203" t="inlineStr"/>
      <c r="HU203" t="inlineStr"/>
      <c r="HV203" t="inlineStr"/>
      <c r="HW203" t="inlineStr"/>
      <c r="HX203" t="inlineStr"/>
      <c r="HY203" t="inlineStr"/>
      <c r="HZ203" t="inlineStr"/>
      <c r="IA203" t="inlineStr"/>
      <c r="IB203" t="inlineStr"/>
      <c r="IC203" t="inlineStr"/>
      <c r="ID203" t="inlineStr"/>
      <c r="IE203" t="inlineStr">
        <is>
          <t>924</t>
        </is>
      </c>
      <c r="IF203" t="inlineStr">
        <is>
          <t>News (924)</t>
        </is>
      </c>
      <c r="IG203" t="inlineStr"/>
      <c r="IH203" t="inlineStr"/>
      <c r="II203" t="inlineStr"/>
      <c r="IJ203" t="inlineStr"/>
      <c r="IK203" t="inlineStr"/>
      <c r="IL203" t="inlineStr"/>
      <c r="IM203" t="inlineStr"/>
      <c r="IN203" t="inlineStr"/>
      <c r="IO203" t="inlineStr"/>
      <c r="IP203" t="inlineStr"/>
      <c r="IQ203" t="inlineStr"/>
      <c r="IR203" t="inlineStr"/>
      <c r="IS203">
        <f>IF(input_content_type="",FALSE,ISNUMBER(SEARCH(","&amp;LOWER(input_content_type)&amp;",",","&amp;LOWER(F203)&amp;",")))</f>
        <v/>
      </c>
      <c r="IT203">
        <f>AND(IF(M203="",TRUE,IF(input_affiliations="",FALSE,SUMPRODUCT(--ISNUMBER(SEARCH(","&amp;TRIM(TEXTSPLIT(M203,","))&amp;",",","&amp;SUBSTITUTE(input_affiliations," ","")&amp;",")))&gt;0)),IF(O203="",TRUE,IF(input_affiliations="",FALSE,SUMPRODUCT(--ISNUMBER(SEARCH(","&amp;TRIM(TEXTSPLIT(O203,","))&amp;",",","&amp;SUBSTITUTE(input_affiliations," ","")&amp;",")))=COUNTA(TEXTSPLIT(O203,",")))),IF(Q203="",TRUE,IF(input_affiliations="",TRUE,SUMPRODUCT(--ISNUMBER(SEARCH(","&amp;TRIM(TEXTSPLIT(Q203,","))&amp;",",","&amp;SUBSTITUTE(input_affiliations," ","")&amp;",")))=0)),IF(S203="",TRUE,IF(input_affiliations="",FALSE,SUMPRODUCT(--ISNUMBER(SEARCH(","&amp;TRIM(TEXTSPLIT(S203,","))&amp;",",","&amp;SUBSTITUTE(input_affiliations," ","")&amp;",")))&gt;0)),IF(U203="",TRUE,IF(input_affiliations="",FALSE,SUMPRODUCT(--ISNUMBER(SEARCH(","&amp;TRIM(TEXTSPLIT(U203,","))&amp;",",","&amp;SUBSTITUTE(input_affiliations," ","")&amp;",")))=COUNTA(TEXTSPLIT(U203,",")))))</f>
        <v/>
      </c>
      <c r="IU203">
        <f>AND(IF(W203="",TRUE,IF(input_announcement_category="",FALSE,SUMPRODUCT(--ISNUMBER(SEARCH(","&amp;TRIM(TEXTSPLIT(W203,","))&amp;",",","&amp;SUBSTITUTE(input_announcement_category," ","")&amp;",")))&gt;0)),IF(Y203="",TRUE,IF(input_announcement_category="",FALSE,SUMPRODUCT(--ISNUMBER(SEARCH(","&amp;TRIM(TEXTSPLIT(Y203,","))&amp;",",","&amp;SUBSTITUTE(input_announcement_category," ","")&amp;",")))=COUNTA(TEXTSPLIT(Y203,",")))),IF(AA203="",TRUE,IF(input_announcement_category="",TRUE,SUMPRODUCT(--ISNUMBER(SEARCH(","&amp;TRIM(TEXTSPLIT(AA203,","))&amp;",",","&amp;SUBSTITUTE(input_announcement_category," ","")&amp;",")))=0)),IF(AC203="",TRUE,IF(input_announcement_category="",FALSE,SUMPRODUCT(--ISNUMBER(SEARCH(","&amp;TRIM(TEXTSPLIT(AC203,","))&amp;",",","&amp;SUBSTITUTE(input_announcement_category," ","")&amp;",")))&gt;0)),IF(AE203="",TRUE,IF(input_announcement_category="",FALSE,SUMPRODUCT(--ISNUMBER(SEARCH(","&amp;TRIM(TEXTSPLIT(AE203,","))&amp;",",","&amp;SUBSTITUTE(input_announcement_category," ","")&amp;",")))=COUNTA(TEXTSPLIT(AE203,",")))))</f>
        <v/>
      </c>
      <c r="IV203">
        <f>AND(IF(AG203="",TRUE,IF(input_area_of_focus="",FALSE,SUMPRODUCT(--ISNUMBER(SEARCH(","&amp;TRIM(TEXTSPLIT(AG203,","))&amp;",",","&amp;SUBSTITUTE(input_area_of_focus," ","")&amp;",")))&gt;0)),IF(AI203="",TRUE,IF(input_area_of_focus="",FALSE,SUMPRODUCT(--ISNUMBER(SEARCH(","&amp;TRIM(TEXTSPLIT(AI203,","))&amp;",",","&amp;SUBSTITUTE(input_area_of_focus," ","")&amp;",")))=COUNTA(TEXTSPLIT(AI203,",")))),IF(AK203="",TRUE,IF(input_area_of_focus="",TRUE,SUMPRODUCT(--ISNUMBER(SEARCH(","&amp;TRIM(TEXTSPLIT(AK203,","))&amp;",",","&amp;SUBSTITUTE(input_area_of_focus," ","")&amp;",")))=0)),IF(AM203="",TRUE,IF(input_area_of_focus="",FALSE,SUMPRODUCT(--ISNUMBER(SEARCH(","&amp;TRIM(TEXTSPLIT(AM203,","))&amp;",",","&amp;SUBSTITUTE(input_area_of_focus," ","")&amp;",")))&gt;0)),IF(AO203="",TRUE,IF(input_area_of_focus="",FALSE,SUMPRODUCT(--ISNUMBER(SEARCH(","&amp;TRIM(TEXTSPLIT(AO203,","))&amp;",",","&amp;SUBSTITUTE(input_area_of_focus," ","")&amp;",")))=COUNTA(TEXTSPLIT(AO203,",")))))</f>
        <v/>
      </c>
      <c r="IW203">
        <f>AND(IF(AQ203="",TRUE,IF(input_audience="",FALSE,SUMPRODUCT(--ISNUMBER(SEARCH(","&amp;TRIM(TEXTSPLIT(AQ203,","))&amp;",",","&amp;SUBSTITUTE(input_audience," ","")&amp;",")))&gt;0)),IF(AS203="",TRUE,IF(input_audience="",FALSE,SUMPRODUCT(--ISNUMBER(SEARCH(","&amp;TRIM(TEXTSPLIT(AS203,","))&amp;",",","&amp;SUBSTITUTE(input_audience," ","")&amp;",")))=COUNTA(TEXTSPLIT(AS203,",")))),IF(AU203="",TRUE,IF(input_audience="",TRUE,SUMPRODUCT(--ISNUMBER(SEARCH(","&amp;TRIM(TEXTSPLIT(AU203,","))&amp;",",","&amp;SUBSTITUTE(input_audience," ","")&amp;",")))=0)),IF(AW203="",TRUE,IF(input_audience="",FALSE,SUMPRODUCT(--ISNUMBER(SEARCH(","&amp;TRIM(TEXTSPLIT(AW203,","))&amp;",",","&amp;SUBSTITUTE(input_audience," ","")&amp;",")))&gt;0)),IF(AY203="",TRUE,IF(input_audience="",FALSE,SUMPRODUCT(--ISNUMBER(SEARCH(","&amp;TRIM(TEXTSPLIT(AY203,","))&amp;",",","&amp;SUBSTITUTE(input_audience," ","")&amp;",")))=COUNTA(TEXTSPLIT(AY203,",")))))</f>
        <v/>
      </c>
      <c r="IX203">
        <f>AND(IF(BA203="",TRUE,IF(input_challenge_opportunities="",FALSE,SUMPRODUCT(--ISNUMBER(SEARCH(","&amp;TRIM(TEXTSPLIT(BA203,","))&amp;",",","&amp;SUBSTITUTE(input_challenge_opportunities," ","")&amp;",")))&gt;0)),IF(BC203="",TRUE,IF(input_challenge_opportunities="",FALSE,SUMPRODUCT(--ISNUMBER(SEARCH(","&amp;TRIM(TEXTSPLIT(BC203,","))&amp;",",","&amp;SUBSTITUTE(input_challenge_opportunities," ","")&amp;",")))=COUNTA(TEXTSPLIT(BC203,",")))),IF(BE203="",TRUE,IF(input_challenge_opportunities="",TRUE,SUMPRODUCT(--ISNUMBER(SEARCH(","&amp;TRIM(TEXTSPLIT(BE203,","))&amp;",",","&amp;SUBSTITUTE(input_challenge_opportunities," ","")&amp;",")))=0)),IF(BG203="",TRUE,IF(input_challenge_opportunities="",FALSE,SUMPRODUCT(--ISNUMBER(SEARCH(","&amp;TRIM(TEXTSPLIT(BG203,","))&amp;",",","&amp;SUBSTITUTE(input_challenge_opportunities," ","")&amp;",")))&gt;0)),IF(BI203="",TRUE,IF(input_challenge_opportunities="",FALSE,SUMPRODUCT(--ISNUMBER(SEARCH(","&amp;TRIM(TEXTSPLIT(BI203,","))&amp;",",","&amp;SUBSTITUTE(input_challenge_opportunities," ","")&amp;",")))=COUNTA(TEXTSPLIT(BI203,",")))))</f>
        <v/>
      </c>
      <c r="IY203">
        <f>AND(IF(BK203="",TRUE,IF(input_context="",FALSE,SUMPRODUCT(--ISNUMBER(SEARCH(","&amp;TRIM(TEXTSPLIT(BK203,","))&amp;",",","&amp;SUBSTITUTE(input_context," ","")&amp;",")))&gt;0)),IF(BM203="",TRUE,IF(input_context="",FALSE,SUMPRODUCT(--ISNUMBER(SEARCH(","&amp;TRIM(TEXTSPLIT(BM203,","))&amp;",",","&amp;SUBSTITUTE(input_context," ","")&amp;",")))=COUNTA(TEXTSPLIT(BM203,",")))),IF(BO203="",TRUE,IF(input_context="",TRUE,SUMPRODUCT(--ISNUMBER(SEARCH(","&amp;TRIM(TEXTSPLIT(BO203,","))&amp;",",","&amp;SUBSTITUTE(input_context," ","")&amp;",")))=0)),IF(BQ203="",TRUE,IF(input_context="",FALSE,SUMPRODUCT(--ISNUMBER(SEARCH(","&amp;TRIM(TEXTSPLIT(BQ203,","))&amp;",",","&amp;SUBSTITUTE(input_context," ","")&amp;",")))&gt;0)),IF(BS203="",TRUE,IF(input_context="",FALSE,SUMPRODUCT(--ISNUMBER(SEARCH(","&amp;TRIM(TEXTSPLIT(BS203,","))&amp;",",","&amp;SUBSTITUTE(input_context," ","")&amp;",")))=COUNTA(TEXTSPLIT(BS203,",")))))</f>
        <v/>
      </c>
      <c r="IZ203">
        <f>AND(IF(BU203="",TRUE,IF(input_enews_announcement_type="",FALSE,SUMPRODUCT(--ISNUMBER(SEARCH(","&amp;TRIM(TEXTSPLIT(BU203,","))&amp;",",","&amp;SUBSTITUTE(input_enews_announcement_type," ","")&amp;",")))&gt;0)),IF(BW203="",TRUE,IF(input_enews_announcement_type="",FALSE,SUMPRODUCT(--ISNUMBER(SEARCH(","&amp;TRIM(TEXTSPLIT(BW203,","))&amp;",",","&amp;SUBSTITUTE(input_enews_announcement_type," ","")&amp;",")))=COUNTA(TEXTSPLIT(BW203,",")))),IF(BY203="",TRUE,IF(input_enews_announcement_type="",TRUE,SUMPRODUCT(--ISNUMBER(SEARCH(","&amp;TRIM(TEXTSPLIT(BY203,","))&amp;",",","&amp;SUBSTITUTE(input_enews_announcement_type," ","")&amp;",")))=0)),IF(CA203="",TRUE,IF(input_enews_announcement_type="",FALSE,SUMPRODUCT(--ISNUMBER(SEARCH(","&amp;TRIM(TEXTSPLIT(CA203,","))&amp;",",","&amp;SUBSTITUTE(input_enews_announcement_type," ","")&amp;",")))&gt;0)),IF(CC203="",TRUE,IF(input_enews_announcement_type="",FALSE,SUMPRODUCT(--ISNUMBER(SEARCH(","&amp;TRIM(TEXTSPLIT(CC203,","))&amp;",",","&amp;SUBSTITUTE(input_enews_announcement_type," ","")&amp;",")))=COUNTA(TEXTSPLIT(CC203,",")))))</f>
        <v/>
      </c>
      <c r="JA203">
        <f>AND(IF(CE203="",TRUE,IF(input_enews_audience="",FALSE,SUMPRODUCT(--ISNUMBER(SEARCH(","&amp;TRIM(TEXTSPLIT(CE203,","))&amp;",",","&amp;SUBSTITUTE(input_enews_audience," ","")&amp;",")))&gt;0)),IF(CG203="",TRUE,IF(input_enews_audience="",FALSE,SUMPRODUCT(--ISNUMBER(SEARCH(","&amp;TRIM(TEXTSPLIT(CG203,","))&amp;",",","&amp;SUBSTITUTE(input_enews_audience," ","")&amp;",")))=COUNTA(TEXTSPLIT(CG203,",")))),IF(CI203="",TRUE,IF(input_enews_audience="",TRUE,SUMPRODUCT(--ISNUMBER(SEARCH(","&amp;TRIM(TEXTSPLIT(CI203,","))&amp;",",","&amp;SUBSTITUTE(input_enews_audience," ","")&amp;",")))=0)),IF(CK203="",TRUE,IF(input_enews_audience="",FALSE,SUMPRODUCT(--ISNUMBER(SEARCH(","&amp;TRIM(TEXTSPLIT(CK203,","))&amp;",",","&amp;SUBSTITUTE(input_enews_audience," ","")&amp;",")))&gt;0)),IF(CM203="",TRUE,IF(input_enews_audience="",FALSE,SUMPRODUCT(--ISNUMBER(SEARCH(","&amp;TRIM(TEXTSPLIT(CM203,","))&amp;",",","&amp;SUBSTITUTE(input_enews_audience," ","")&amp;",")))=COUNTA(TEXTSPLIT(CM203,",")))))</f>
        <v/>
      </c>
      <c r="JB203">
        <f>AND(IF(CO203="",TRUE,IF(input_event_location="",FALSE,SUMPRODUCT(--ISNUMBER(SEARCH(","&amp;TRIM(TEXTSPLIT(CO203,","))&amp;",",","&amp;SUBSTITUTE(input_event_location," ","")&amp;",")))&gt;0)),IF(CQ203="",TRUE,IF(input_event_location="",FALSE,SUMPRODUCT(--ISNUMBER(SEARCH(","&amp;TRIM(TEXTSPLIT(CQ203,","))&amp;",",","&amp;SUBSTITUTE(input_event_location," ","")&amp;",")))=COUNTA(TEXTSPLIT(CQ203,",")))),IF(CS203="",TRUE,IF(input_event_location="",TRUE,SUMPRODUCT(--ISNUMBER(SEARCH(","&amp;TRIM(TEXTSPLIT(CS203,","))&amp;",",","&amp;SUBSTITUTE(input_event_location," ","")&amp;",")))=0)),IF(CU203="",TRUE,IF(input_event_location="",FALSE,SUMPRODUCT(--ISNUMBER(SEARCH(","&amp;TRIM(TEXTSPLIT(CU203,","))&amp;",",","&amp;SUBSTITUTE(input_event_location," ","")&amp;",")))&gt;0)),IF(CW203="",TRUE,IF(input_event_location="",FALSE,SUMPRODUCT(--ISNUMBER(SEARCH(","&amp;TRIM(TEXTSPLIT(CW203,","))&amp;",",","&amp;SUBSTITUTE(input_event_location," ","")&amp;",")))=COUNTA(TEXTSPLIT(CW203,",")))))</f>
        <v/>
      </c>
      <c r="JC203">
        <f>AND(IF(CY203="",TRUE,IF(input_event_type="",FALSE,SUMPRODUCT(--ISNUMBER(SEARCH(","&amp;TRIM(TEXTSPLIT(CY203,","))&amp;",",","&amp;SUBSTITUTE(input_event_type," ","")&amp;",")))&gt;0)),IF(DA203="",TRUE,IF(input_event_type="",FALSE,SUMPRODUCT(--ISNUMBER(SEARCH(","&amp;TRIM(TEXTSPLIT(DA203,","))&amp;",",","&amp;SUBSTITUTE(input_event_type," ","")&amp;",")))=COUNTA(TEXTSPLIT(DA203,",")))),IF(DC203="",TRUE,IF(input_event_type="",TRUE,SUMPRODUCT(--ISNUMBER(SEARCH(","&amp;TRIM(TEXTSPLIT(DC203,","))&amp;",",","&amp;SUBSTITUTE(input_event_type," ","")&amp;",")))=0)),IF(DE203="",TRUE,IF(input_event_type="",FALSE,SUMPRODUCT(--ISNUMBER(SEARCH(","&amp;TRIM(TEXTSPLIT(DE203,","))&amp;",",","&amp;SUBSTITUTE(input_event_type," ","")&amp;",")))&gt;0)),IF(DG203="",TRUE,IF(input_event_type="",FALSE,SUMPRODUCT(--ISNUMBER(SEARCH(","&amp;TRIM(TEXTSPLIT(DG203,","))&amp;",",","&amp;SUBSTITUTE(input_event_type," ","")&amp;",")))=COUNTA(TEXTSPLIT(DG203,",")))))</f>
        <v/>
      </c>
      <c r="JD203">
        <f>AND(IF(DI203="",TRUE,IF(input_executive_education_focus="",FALSE,SUMPRODUCT(--ISNUMBER(SEARCH(","&amp;TRIM(TEXTSPLIT(DI203,","))&amp;",",","&amp;SUBSTITUTE(input_executive_education_focus," ","")&amp;",")))&gt;0)),IF(DK203="",TRUE,IF(input_executive_education_focus="",FALSE,SUMPRODUCT(--ISNUMBER(SEARCH(","&amp;TRIM(TEXTSPLIT(DK203,","))&amp;",",","&amp;SUBSTITUTE(input_executive_education_focus," ","")&amp;",")))=COUNTA(TEXTSPLIT(DK203,",")))),IF(DM203="",TRUE,IF(input_executive_education_focus="",TRUE,SUMPRODUCT(--ISNUMBER(SEARCH(","&amp;TRIM(TEXTSPLIT(DM203,","))&amp;",",","&amp;SUBSTITUTE(input_executive_education_focus," ","")&amp;",")))=0)),IF(DO203="",TRUE,IF(input_executive_education_focus="",FALSE,SUMPRODUCT(--ISNUMBER(SEARCH(","&amp;TRIM(TEXTSPLIT(DO203,","))&amp;",",","&amp;SUBSTITUTE(input_executive_education_focus," ","")&amp;",")))&gt;0)),IF(DQ203="",TRUE,IF(input_executive_education_focus="",FALSE,SUMPRODUCT(--ISNUMBER(SEARCH(","&amp;TRIM(TEXTSPLIT(DQ203,","))&amp;",",","&amp;SUBSTITUTE(input_executive_education_focus," ","")&amp;",")))=COUNTA(TEXTSPLIT(DQ203,",")))))</f>
        <v/>
      </c>
      <c r="JE203">
        <f>AND(IF(DS203="",TRUE,IF(input_faculty_category="",FALSE,SUMPRODUCT(--ISNUMBER(SEARCH(","&amp;TRIM(TEXTSPLIT(DS203,","))&amp;",",","&amp;SUBSTITUTE(input_faculty_category," ","")&amp;",")))&gt;0)),IF(DU203="",TRUE,IF(input_faculty_category="",FALSE,SUMPRODUCT(--ISNUMBER(SEARCH(","&amp;TRIM(TEXTSPLIT(DU203,","))&amp;",",","&amp;SUBSTITUTE(input_faculty_category," ","")&amp;",")))=COUNTA(TEXTSPLIT(DU203,",")))),IF(DW203="",TRUE,IF(input_faculty_category="",TRUE,SUMPRODUCT(--ISNUMBER(SEARCH(","&amp;TRIM(TEXTSPLIT(DW203,","))&amp;",",","&amp;SUBSTITUTE(input_faculty_category," ","")&amp;",")))=0)),IF(DY203="",TRUE,IF(input_faculty_category="",FALSE,SUMPRODUCT(--ISNUMBER(SEARCH(","&amp;TRIM(TEXTSPLIT(DY203,","))&amp;",",","&amp;SUBSTITUTE(input_faculty_category," ","")&amp;",")))&gt;0)),IF(EA203="",TRUE,IF(input_faculty_category="",FALSE,SUMPRODUCT(--ISNUMBER(SEARCH(","&amp;TRIM(TEXTSPLIT(EA203,","))&amp;",",","&amp;SUBSTITUTE(input_faculty_category," ","")&amp;",")))=COUNTA(TEXTSPLIT(EA203,",")))))</f>
        <v/>
      </c>
      <c r="JF203">
        <f>AND(IF(EC203="",TRUE,IF(input_faculty_discipline="",FALSE,SUMPRODUCT(--ISNUMBER(SEARCH(","&amp;TRIM(TEXTSPLIT(EC203,","))&amp;",",","&amp;SUBSTITUTE(input_faculty_discipline," ","")&amp;",")))&gt;0)),IF(EE203="",TRUE,IF(input_faculty_discipline="",FALSE,SUMPRODUCT(--ISNUMBER(SEARCH(","&amp;TRIM(TEXTSPLIT(EE203,","))&amp;",",","&amp;SUBSTITUTE(input_faculty_discipline," ","")&amp;",")))=COUNTA(TEXTSPLIT(EE203,",")))),IF(EG203="",TRUE,IF(input_faculty_discipline="",TRUE,SUMPRODUCT(--ISNUMBER(SEARCH(","&amp;TRIM(TEXTSPLIT(EG203,","))&amp;",",","&amp;SUBSTITUTE(input_faculty_discipline," ","")&amp;",")))=0)),IF(EI203="",TRUE,IF(input_faculty_discipline="",FALSE,SUMPRODUCT(--ISNUMBER(SEARCH(","&amp;TRIM(TEXTSPLIT(EI203,","))&amp;",",","&amp;SUBSTITUTE(input_faculty_discipline," ","")&amp;",")))&gt;0)),IF(EK203="",TRUE,IF(input_faculty_discipline="",FALSE,SUMPRODUCT(--ISNUMBER(SEARCH(","&amp;TRIM(TEXTSPLIT(EK203,","))&amp;",",","&amp;SUBSTITUTE(input_faculty_discipline," ","")&amp;",")))=COUNTA(TEXTSPLIT(EK203,",")))))</f>
        <v/>
      </c>
      <c r="JG203">
        <f>AND(IF(EM203="",TRUE,IF(input_faculty_expertise="",FALSE,SUMPRODUCT(--ISNUMBER(SEARCH(","&amp;TRIM(TEXTSPLIT(EM203,","))&amp;",",","&amp;SUBSTITUTE(input_faculty_expertise," ","")&amp;",")))&gt;0)),IF(EO203="",TRUE,IF(input_faculty_expertise="",FALSE,SUMPRODUCT(--ISNUMBER(SEARCH(","&amp;TRIM(TEXTSPLIT(EO203,","))&amp;",",","&amp;SUBSTITUTE(input_faculty_expertise," ","")&amp;",")))=COUNTA(TEXTSPLIT(EO203,",")))),IF(EQ203="",TRUE,IF(input_faculty_expertise="",TRUE,SUMPRODUCT(--ISNUMBER(SEARCH(","&amp;TRIM(TEXTSPLIT(EQ203,","))&amp;",",","&amp;SUBSTITUTE(input_faculty_expertise," ","")&amp;",")))=0)),IF(ES203="",TRUE,IF(input_faculty_expertise="",FALSE,SUMPRODUCT(--ISNUMBER(SEARCH(","&amp;TRIM(TEXTSPLIT(ES203,","))&amp;",",","&amp;SUBSTITUTE(input_faculty_expertise," ","")&amp;",")))&gt;0)),IF(EU203="",TRUE,IF(input_faculty_expertise="",FALSE,SUMPRODUCT(--ISNUMBER(SEARCH(","&amp;TRIM(TEXTSPLIT(EU203,","))&amp;",",","&amp;SUBSTITUTE(input_faculty_expertise," ","")&amp;",")))=COUNTA(TEXTSPLIT(EU203,",")))))</f>
        <v/>
      </c>
      <c r="JH203">
        <f>AND(IF(EW203="",TRUE,IF(input_global_network_school="",FALSE,SUMPRODUCT(--ISNUMBER(SEARCH(","&amp;TRIM(TEXTSPLIT(EW203,","))&amp;",",","&amp;SUBSTITUTE(input_global_network_school," ","")&amp;",")))&gt;0)),IF(EY203="",TRUE,IF(input_global_network_school="",FALSE,SUMPRODUCT(--ISNUMBER(SEARCH(","&amp;TRIM(TEXTSPLIT(EY203,","))&amp;",",","&amp;SUBSTITUTE(input_global_network_school," ","")&amp;",")))=COUNTA(TEXTSPLIT(EY203,",")))),IF(FA203="",TRUE,IF(input_global_network_school="",TRUE,SUMPRODUCT(--ISNUMBER(SEARCH(","&amp;TRIM(TEXTSPLIT(FA203,","))&amp;",",","&amp;SUBSTITUTE(input_global_network_school," ","")&amp;",")))=0)),IF(FC203="",TRUE,IF(input_global_network_school="",FALSE,SUMPRODUCT(--ISNUMBER(SEARCH(","&amp;TRIM(TEXTSPLIT(FC203,","))&amp;",",","&amp;SUBSTITUTE(input_global_network_school," ","")&amp;",")))&gt;0)),IF(FE203="",TRUE,IF(input_global_network_school="",FALSE,SUMPRODUCT(--ISNUMBER(SEARCH(","&amp;TRIM(TEXTSPLIT(FE203,","))&amp;",",","&amp;SUBSTITUTE(input_global_network_school," ","")&amp;",")))=COUNTA(TEXTSPLIT(FE203,",")))))</f>
        <v/>
      </c>
      <c r="JI203">
        <f>AND(IF(FG203="",TRUE,IF(input_industry="",FALSE,SUMPRODUCT(--ISNUMBER(SEARCH(","&amp;TRIM(TEXTSPLIT(FG203,","))&amp;",",","&amp;SUBSTITUTE(input_industry," ","")&amp;",")))&gt;0)),IF(FI203="",TRUE,IF(input_industry="",FALSE,SUMPRODUCT(--ISNUMBER(SEARCH(","&amp;TRIM(TEXTSPLIT(FI203,","))&amp;",",","&amp;SUBSTITUTE(input_industry," ","")&amp;",")))=COUNTA(TEXTSPLIT(FI203,",")))),IF(FK203="",TRUE,IF(input_industry="",TRUE,SUMPRODUCT(--ISNUMBER(SEARCH(","&amp;TRIM(TEXTSPLIT(FK203,","))&amp;",",","&amp;SUBSTITUTE(input_industry," ","")&amp;",")))=0)),IF(FM203="",TRUE,IF(input_industry="",FALSE,SUMPRODUCT(--ISNUMBER(SEARCH(","&amp;TRIM(TEXTSPLIT(FM203,","))&amp;",",","&amp;SUBSTITUTE(input_industry," ","")&amp;",")))&gt;0)),IF(FO203="",TRUE,IF(input_industry="",FALSE,SUMPRODUCT(--ISNUMBER(SEARCH(","&amp;TRIM(TEXTSPLIT(FO203,","))&amp;",",","&amp;SUBSTITUTE(input_industry," ","")&amp;",")))=COUNTA(TEXTSPLIT(FO203,",")))))</f>
        <v/>
      </c>
      <c r="JJ203">
        <f>AND(IF(FQ203="",TRUE,IF(input_location="",FALSE,SUMPRODUCT(--ISNUMBER(SEARCH(","&amp;TRIM(TEXTSPLIT(FQ203,","))&amp;",",","&amp;SUBSTITUTE(input_location," ","")&amp;",")))&gt;0)),IF(FS203="",TRUE,IF(input_location="",FALSE,SUMPRODUCT(--ISNUMBER(SEARCH(","&amp;TRIM(TEXTSPLIT(FS203,","))&amp;",",","&amp;SUBSTITUTE(input_location," ","")&amp;",")))=COUNTA(TEXTSPLIT(FS203,",")))),IF(FU203="",TRUE,IF(input_location="",TRUE,SUMPRODUCT(--ISNUMBER(SEARCH(","&amp;TRIM(TEXTSPLIT(FU203,","))&amp;",",","&amp;SUBSTITUTE(input_location," ","")&amp;",")))=0)),IF(FW203="",TRUE,IF(input_location="",FALSE,SUMPRODUCT(--ISNUMBER(SEARCH(","&amp;TRIM(TEXTSPLIT(FW203,","))&amp;",",","&amp;SUBSTITUTE(input_location," ","")&amp;",")))&gt;0)),IF(FY203="",TRUE,IF(input_location="",FALSE,SUMPRODUCT(--ISNUMBER(SEARCH(","&amp;TRIM(TEXTSPLIT(FY203,","))&amp;",",","&amp;SUBSTITUTE(input_location," ","")&amp;",")))=COUNTA(TEXTSPLIT(FY203,",")))))</f>
        <v/>
      </c>
      <c r="JK203">
        <f>AND(IF(GA203="",TRUE,IF(input_modality="",FALSE,SUMPRODUCT(--ISNUMBER(SEARCH(","&amp;TRIM(TEXTSPLIT(GA203,","))&amp;",",","&amp;SUBSTITUTE(input_modality," ","")&amp;",")))&gt;0)),IF(GC203="",TRUE,IF(input_modality="",FALSE,SUMPRODUCT(--ISNUMBER(SEARCH(","&amp;TRIM(TEXTSPLIT(GC203,","))&amp;",",","&amp;SUBSTITUTE(input_modality," ","")&amp;",")))=COUNTA(TEXTSPLIT(GC203,",")))),IF(GE203="",TRUE,IF(input_modality="",TRUE,SUMPRODUCT(--ISNUMBER(SEARCH(","&amp;TRIM(TEXTSPLIT(GE203,","))&amp;",",","&amp;SUBSTITUTE(input_modality," ","")&amp;",")))=0)),IF(GG203="",TRUE,IF(input_modality="",FALSE,SUMPRODUCT(--ISNUMBER(SEARCH(","&amp;TRIM(TEXTSPLIT(GG203,","))&amp;",",","&amp;SUBSTITUTE(input_modality," ","")&amp;",")))&gt;0)),IF(GI203="",TRUE,IF(input_modality="",FALSE,SUMPRODUCT(--ISNUMBER(SEARCH(","&amp;TRIM(TEXTSPLIT(GI203,","))&amp;",",","&amp;SUBSTITUTE(input_modality," ","")&amp;",")))=COUNTA(TEXTSPLIT(GI203,",")))))</f>
        <v/>
      </c>
      <c r="JL203">
        <f>AND(IF(GK203="",TRUE,IF(input_organizer="",FALSE,SUMPRODUCT(--ISNUMBER(SEARCH(","&amp;TRIM(TEXTSPLIT(GK203,","))&amp;",",","&amp;SUBSTITUTE(input_organizer," ","")&amp;",")))&gt;0)),IF(GM203="",TRUE,IF(input_organizer="",FALSE,SUMPRODUCT(--ISNUMBER(SEARCH(","&amp;TRIM(TEXTSPLIT(GM203,","))&amp;",",","&amp;SUBSTITUTE(input_organizer," ","")&amp;",")))=COUNTA(TEXTSPLIT(GM203,",")))),IF(GO203="",TRUE,IF(input_organizer="",TRUE,SUMPRODUCT(--ISNUMBER(SEARCH(","&amp;TRIM(TEXTSPLIT(GO203,","))&amp;",",","&amp;SUBSTITUTE(input_organizer," ","")&amp;",")))=0)),IF(GQ203="",TRUE,IF(input_organizer="",FALSE,SUMPRODUCT(--ISNUMBER(SEARCH(","&amp;TRIM(TEXTSPLIT(GQ203,","))&amp;",",","&amp;SUBSTITUTE(input_organizer," ","")&amp;",")))&gt;0)),IF(GS203="",TRUE,IF(input_organizer="",FALSE,SUMPRODUCT(--ISNUMBER(SEARCH(","&amp;TRIM(TEXTSPLIT(GS203,","))&amp;",",","&amp;SUBSTITUTE(input_organizer," ","")&amp;",")))=COUNTA(TEXTSPLIT(GS203,",")))))</f>
        <v/>
      </c>
      <c r="JM203">
        <f>AND(IF(GU203="",TRUE,IF(input_profile_type="",FALSE,SUMPRODUCT(--ISNUMBER(SEARCH(","&amp;TRIM(TEXTSPLIT(GU203,","))&amp;",",","&amp;SUBSTITUTE(input_profile_type," ","")&amp;",")))&gt;0)),IF(GW203="",TRUE,IF(input_profile_type="",FALSE,SUMPRODUCT(--ISNUMBER(SEARCH(","&amp;TRIM(TEXTSPLIT(GW203,","))&amp;",",","&amp;SUBSTITUTE(input_profile_type," ","")&amp;",")))=COUNTA(TEXTSPLIT(GW203,",")))),IF(GY203="",TRUE,IF(input_profile_type="",TRUE,SUMPRODUCT(--ISNUMBER(SEARCH(","&amp;TRIM(TEXTSPLIT(GY203,","))&amp;",",","&amp;SUBSTITUTE(input_profile_type," ","")&amp;",")))=0)),IF(HA203="",TRUE,IF(input_profile_type="",FALSE,SUMPRODUCT(--ISNUMBER(SEARCH(","&amp;TRIM(TEXTSPLIT(HA203,","))&amp;",",","&amp;SUBSTITUTE(input_profile_type," ","")&amp;",")))&gt;0)),IF(HC203="",TRUE,IF(input_profile_type="",FALSE,SUMPRODUCT(--ISNUMBER(SEARCH(","&amp;TRIM(TEXTSPLIT(HC203,","))&amp;",",","&amp;SUBSTITUTE(input_profile_type," ","")&amp;",")))=COUNTA(TEXTSPLIT(HC203,",")))))</f>
        <v/>
      </c>
      <c r="JN203">
        <f>AND(IF(HE203="",TRUE,IF(input_program="",FALSE,SUMPRODUCT(--ISNUMBER(SEARCH(","&amp;TRIM(TEXTSPLIT(HE203,","))&amp;",",","&amp;SUBSTITUTE(input_program," ","")&amp;",")))&gt;0)),IF(HG203="",TRUE,IF(input_program="",FALSE,SUMPRODUCT(--ISNUMBER(SEARCH(","&amp;TRIM(TEXTSPLIT(HG203,","))&amp;",",","&amp;SUBSTITUTE(input_program," ","")&amp;",")))=COUNTA(TEXTSPLIT(HG203,",")))),IF(HI203="",TRUE,IF(input_program="",TRUE,SUMPRODUCT(--ISNUMBER(SEARCH(","&amp;TRIM(TEXTSPLIT(HI203,","))&amp;",",","&amp;SUBSTITUTE(input_program," ","")&amp;",")))=0)),IF(HK203="",TRUE,IF(input_program="",FALSE,SUMPRODUCT(--ISNUMBER(SEARCH(","&amp;TRIM(TEXTSPLIT(HK203,","))&amp;",",","&amp;SUBSTITUTE(input_program," ","")&amp;",")))&gt;0)),IF(HM203="",TRUE,IF(input_program="",FALSE,SUMPRODUCT(--ISNUMBER(SEARCH(","&amp;TRIM(TEXTSPLIT(HM203,","))&amp;",",","&amp;SUBSTITUTE(input_program," ","")&amp;",")))=COUNTA(TEXTSPLIT(HM203,",")))))</f>
        <v/>
      </c>
      <c r="JO203">
        <f>AND(IF(HO203="",TRUE,IF(input_story_categories="",FALSE,SUMPRODUCT(--ISNUMBER(SEARCH(","&amp;TRIM(TEXTSPLIT(HO203,","))&amp;",",","&amp;SUBSTITUTE(input_story_categories," ","")&amp;",")))&gt;0)),IF(HQ203="",TRUE,IF(input_story_categories="",FALSE,SUMPRODUCT(--ISNUMBER(SEARCH(","&amp;TRIM(TEXTSPLIT(HQ203,","))&amp;",",","&amp;SUBSTITUTE(input_story_categories," ","")&amp;",")))=COUNTA(TEXTSPLIT(HQ203,",")))),IF(HS203="",TRUE,IF(input_story_categories="",TRUE,SUMPRODUCT(--ISNUMBER(SEARCH(","&amp;TRIM(TEXTSPLIT(HS203,","))&amp;",",","&amp;SUBSTITUTE(input_story_categories," ","")&amp;",")))=0)),IF(HU203="",TRUE,IF(input_story_categories="",FALSE,SUMPRODUCT(--ISNUMBER(SEARCH(","&amp;TRIM(TEXTSPLIT(HU203,","))&amp;",",","&amp;SUBSTITUTE(input_story_categories," ","")&amp;",")))&gt;0)),IF(HW203="",TRUE,IF(input_story_categories="",FALSE,SUMPRODUCT(--ISNUMBER(SEARCH(","&amp;TRIM(TEXTSPLIT(HW203,","))&amp;",",","&amp;SUBSTITUTE(input_story_categories," ","")&amp;",")))=COUNTA(TEXTSPLIT(HW203,",")))))</f>
        <v/>
      </c>
      <c r="JP203">
        <f>AND(IF(HY203="",TRUE,IF(input_story_type="",FALSE,SUMPRODUCT(--ISNUMBER(SEARCH(","&amp;TRIM(TEXTSPLIT(HY203,","))&amp;",",","&amp;SUBSTITUTE(input_story_type," ","")&amp;",")))&gt;0)),IF(IA203="",TRUE,IF(input_story_type="",FALSE,SUMPRODUCT(--ISNUMBER(SEARCH(","&amp;TRIM(TEXTSPLIT(IA203,","))&amp;",",","&amp;SUBSTITUTE(input_story_type," ","")&amp;",")))=COUNTA(TEXTSPLIT(IA203,",")))),IF(IC203="",TRUE,IF(input_story_type="",TRUE,SUMPRODUCT(--ISNUMBER(SEARCH(","&amp;TRIM(TEXTSPLIT(IC203,","))&amp;",",","&amp;SUBSTITUTE(input_story_type," ","")&amp;",")))=0)),IF(IE203="",TRUE,IF(input_story_type="",FALSE,SUMPRODUCT(--ISNUMBER(SEARCH(","&amp;TRIM(TEXTSPLIT(IE203,","))&amp;",",","&amp;SUBSTITUTE(input_story_type," ","")&amp;",")))&gt;0)),IF(IG203="",TRUE,IF(input_story_type="",FALSE,SUMPRODUCT(--ISNUMBER(SEARCH(","&amp;TRIM(TEXTSPLIT(IG203,","))&amp;",",","&amp;SUBSTITUTE(input_story_type," ","")&amp;",")))=COUNTA(TEXTSPLIT(IG203,",")))))</f>
        <v/>
      </c>
      <c r="JQ203">
        <f>AND(IF(II203="",TRUE,IF(input_topics="",FALSE,SUMPRODUCT(--ISNUMBER(SEARCH(","&amp;TRIM(TEXTSPLIT(II203,","))&amp;",",","&amp;SUBSTITUTE(input_topics," ","")&amp;",")))&gt;0)),IF(IK203="",TRUE,IF(input_topics="",FALSE,SUMPRODUCT(--ISNUMBER(SEARCH(","&amp;TRIM(TEXTSPLIT(IK203,","))&amp;",",","&amp;SUBSTITUTE(input_topics," ","")&amp;",")))=COUNTA(TEXTSPLIT(IK203,",")))),IF(IM203="",TRUE,IF(input_topics="",TRUE,SUMPRODUCT(--ISNUMBER(SEARCH(","&amp;TRIM(TEXTSPLIT(IM203,","))&amp;",",","&amp;SUBSTITUTE(input_topics," ","")&amp;",")))=0)),IF(IO203="",TRUE,IF(input_topics="",FALSE,SUMPRODUCT(--ISNUMBER(SEARCH(","&amp;TRIM(TEXTSPLIT(IO203,","))&amp;",",","&amp;SUBSTITUTE(input_topics," ","")&amp;",")))&gt;0)),IF(IQ203="",TRUE,IF(input_topics="",FALSE,SUMPRODUCT(--ISNUMBER(SEARCH(","&amp;TRIM(TEXTSPLIT(IQ203,","))&amp;",",","&amp;SUBSTITUTE(input_topics," ","")&amp;",")))=COUNTA(TEXTSPLIT(IQ203,",")))))</f>
        <v/>
      </c>
    </row>
    <row r="204">
      <c r="A204" s="4">
        <f>IF(NOT(IS204),"Excluded",IF(AND(IT204,IU204,IV204,IW204,IX204,IY204,IZ204,JA204,JB204,JC204,JD204,JE204,JF204,JG204,JH204,JI204,JJ204,JK204,JL204,JM204,JN204,JO204,JP204,JQ204),IF(I204&gt;0,"Eligible but limited","Will appear"),"Excluded"))</f>
        <v/>
      </c>
      <c r="B204" s="4" t="inlineStr">
        <is>
          <t>Related stories on story pages</t>
        </is>
      </c>
      <c r="C204" s="4" t="inlineStr">
        <is>
          <t>/story/2025/building-brands-dot-dot-todd-kaplan-som-06-art-marketing</t>
        </is>
      </c>
      <c r="D204" s="4" t="inlineStr">
        <is>
          <t>/story/2025/building-brands-dot-dot-todd-kaplan-som-06-art-marketing
/story/2025/claire-burns-som-96-colloquium-marketing-leadership
/story/2026/beyond-big-game-why-some-ads-stick</t>
        </is>
      </c>
      <c r="E204" s="4" t="n">
        <v>3</v>
      </c>
      <c r="F204" s="4" t="inlineStr">
        <is>
          <t>story</t>
        </is>
      </c>
      <c r="G204" s="4" t="inlineStr">
        <is>
          <t>stories_teaser_cards</t>
        </is>
      </c>
      <c r="H204" s="4" t="inlineStr">
        <is>
          <t>embed_all</t>
        </is>
      </c>
      <c r="I204" s="4" t="n">
        <v>3</v>
      </c>
      <c r="J204" s="4" t="inlineStr">
        <is>
          <t>Template logic</t>
        </is>
      </c>
      <c r="K204" s="4" t="inlineStr">
        <is>
          <t>Grouped surface</t>
        </is>
      </c>
      <c r="L204" s="4" t="inlineStr">
        <is>
          <t>Content type: story; Context uses Courses Context: Center for Customer Insights (944); Context uses Story Type: Blog (974); Limited to 3 item(s); Source: Template logic</t>
        </is>
      </c>
      <c r="M204" t="inlineStr"/>
      <c r="N204" t="inlineStr"/>
      <c r="O204" t="inlineStr"/>
      <c r="P204" t="inlineStr"/>
      <c r="Q204" t="inlineStr"/>
      <c r="R204" t="inlineStr"/>
      <c r="S204" t="inlineStr"/>
      <c r="T204" t="inlineStr"/>
      <c r="U204" t="inlineStr"/>
      <c r="V204" t="inlineStr"/>
      <c r="W204" t="inlineStr"/>
      <c r="X204" t="inlineStr"/>
      <c r="Y204" t="inlineStr"/>
      <c r="Z204" t="inlineStr"/>
      <c r="AA204" t="inlineStr"/>
      <c r="AB204" t="inlineStr"/>
      <c r="AC204" t="inlineStr"/>
      <c r="AD204" t="inlineStr"/>
      <c r="AE204" t="inlineStr"/>
      <c r="AF204" t="inlineStr"/>
      <c r="AG204" t="inlineStr"/>
      <c r="AH204" t="inlineStr"/>
      <c r="AI204" t="inlineStr"/>
      <c r="AJ204" t="inlineStr"/>
      <c r="AK204" t="inlineStr"/>
      <c r="AL204" t="inlineStr"/>
      <c r="AM204" t="inlineStr"/>
      <c r="AN204" t="inlineStr"/>
      <c r="AO204" t="inlineStr"/>
      <c r="AP204" t="inlineStr"/>
      <c r="AQ204" t="inlineStr"/>
      <c r="AR204" t="inlineStr"/>
      <c r="AS204" t="inlineStr"/>
      <c r="AT204" t="inlineStr"/>
      <c r="AU204" t="inlineStr"/>
      <c r="AV204" t="inlineStr"/>
      <c r="AW204" t="inlineStr"/>
      <c r="AX204" t="inlineStr"/>
      <c r="AY204" t="inlineStr"/>
      <c r="AZ204" t="inlineStr"/>
      <c r="BA204" t="inlineStr"/>
      <c r="BB204" t="inlineStr"/>
      <c r="BC204" t="inlineStr"/>
      <c r="BD204" t="inlineStr"/>
      <c r="BE204" t="inlineStr"/>
      <c r="BF204" t="inlineStr"/>
      <c r="BG204" t="inlineStr"/>
      <c r="BH204" t="inlineStr"/>
      <c r="BI204" t="inlineStr"/>
      <c r="BJ204" t="inlineStr"/>
      <c r="BK204" t="inlineStr"/>
      <c r="BL204" t="inlineStr"/>
      <c r="BM204" t="inlineStr"/>
      <c r="BN204" t="inlineStr"/>
      <c r="BO204" t="inlineStr"/>
      <c r="BP204" t="inlineStr"/>
      <c r="BQ204" t="inlineStr">
        <is>
          <t>944</t>
        </is>
      </c>
      <c r="BR204" t="inlineStr">
        <is>
          <t>Center for Customer Insights (944)</t>
        </is>
      </c>
      <c r="BS204" t="inlineStr"/>
      <c r="BT204" t="inlineStr"/>
      <c r="BU204" t="inlineStr"/>
      <c r="BV204" t="inlineStr"/>
      <c r="BW204" t="inlineStr"/>
      <c r="BX204" t="inlineStr"/>
      <c r="BY204" t="inlineStr"/>
      <c r="BZ204" t="inlineStr"/>
      <c r="CA204" t="inlineStr"/>
      <c r="CB204" t="inlineStr"/>
      <c r="CC204" t="inlineStr"/>
      <c r="CD204" t="inlineStr"/>
      <c r="CE204" t="inlineStr"/>
      <c r="CF204" t="inlineStr"/>
      <c r="CG204" t="inlineStr"/>
      <c r="CH204" t="inlineStr"/>
      <c r="CI204" t="inlineStr"/>
      <c r="CJ204" t="inlineStr"/>
      <c r="CK204" t="inlineStr"/>
      <c r="CL204" t="inlineStr"/>
      <c r="CM204" t="inlineStr"/>
      <c r="CN204" t="inlineStr"/>
      <c r="CO204" t="inlineStr"/>
      <c r="CP204" t="inlineStr"/>
      <c r="CQ204" t="inlineStr"/>
      <c r="CR204" t="inlineStr"/>
      <c r="CS204" t="inlineStr"/>
      <c r="CT204" t="inlineStr"/>
      <c r="CU204" t="inlineStr"/>
      <c r="CV204" t="inlineStr"/>
      <c r="CW204" t="inlineStr"/>
      <c r="CX204" t="inlineStr"/>
      <c r="CY204" t="inlineStr"/>
      <c r="CZ204" t="inlineStr"/>
      <c r="DA204" t="inlineStr"/>
      <c r="DB204" t="inlineStr"/>
      <c r="DC204" t="inlineStr"/>
      <c r="DD204" t="inlineStr"/>
      <c r="DE204" t="inlineStr"/>
      <c r="DF204" t="inlineStr"/>
      <c r="DG204" t="inlineStr"/>
      <c r="DH204" t="inlineStr"/>
      <c r="DI204" t="inlineStr"/>
      <c r="DJ204" t="inlineStr"/>
      <c r="DK204" t="inlineStr"/>
      <c r="DL204" t="inlineStr"/>
      <c r="DM204" t="inlineStr"/>
      <c r="DN204" t="inlineStr"/>
      <c r="DO204" t="inlineStr"/>
      <c r="DP204" t="inlineStr"/>
      <c r="DQ204" t="inlineStr"/>
      <c r="DR204" t="inlineStr"/>
      <c r="DS204" t="inlineStr"/>
      <c r="DT204" t="inlineStr"/>
      <c r="DU204" t="inlineStr"/>
      <c r="DV204" t="inlineStr"/>
      <c r="DW204" t="inlineStr"/>
      <c r="DX204" t="inlineStr"/>
      <c r="DY204" t="inlineStr"/>
      <c r="DZ204" t="inlineStr"/>
      <c r="EA204" t="inlineStr"/>
      <c r="EB204" t="inlineStr"/>
      <c r="EC204" t="inlineStr"/>
      <c r="ED204" t="inlineStr"/>
      <c r="EE204" t="inlineStr"/>
      <c r="EF204" t="inlineStr"/>
      <c r="EG204" t="inlineStr"/>
      <c r="EH204" t="inlineStr"/>
      <c r="EI204" t="inlineStr"/>
      <c r="EJ204" t="inlineStr"/>
      <c r="EK204" t="inlineStr"/>
      <c r="EL204" t="inlineStr"/>
      <c r="EM204" t="inlineStr"/>
      <c r="EN204" t="inlineStr"/>
      <c r="EO204" t="inlineStr"/>
      <c r="EP204" t="inlineStr"/>
      <c r="EQ204" t="inlineStr"/>
      <c r="ER204" t="inlineStr"/>
      <c r="ES204" t="inlineStr"/>
      <c r="ET204" t="inlineStr"/>
      <c r="EU204" t="inlineStr"/>
      <c r="EV204" t="inlineStr"/>
      <c r="EW204" t="inlineStr"/>
      <c r="EX204" t="inlineStr"/>
      <c r="EY204" t="inlineStr"/>
      <c r="EZ204" t="inlineStr"/>
      <c r="FA204" t="inlineStr"/>
      <c r="FB204" t="inlineStr"/>
      <c r="FC204" t="inlineStr"/>
      <c r="FD204" t="inlineStr"/>
      <c r="FE204" t="inlineStr"/>
      <c r="FF204" t="inlineStr"/>
      <c r="FG204" t="inlineStr"/>
      <c r="FH204" t="inlineStr"/>
      <c r="FI204" t="inlineStr"/>
      <c r="FJ204" t="inlineStr"/>
      <c r="FK204" t="inlineStr"/>
      <c r="FL204" t="inlineStr"/>
      <c r="FM204" t="inlineStr"/>
      <c r="FN204" t="inlineStr"/>
      <c r="FO204" t="inlineStr"/>
      <c r="FP204" t="inlineStr"/>
      <c r="FQ204" t="inlineStr"/>
      <c r="FR204" t="inlineStr"/>
      <c r="FS204" t="inlineStr"/>
      <c r="FT204" t="inlineStr"/>
      <c r="FU204" t="inlineStr"/>
      <c r="FV204" t="inlineStr"/>
      <c r="FW204" t="inlineStr"/>
      <c r="FX204" t="inlineStr"/>
      <c r="FY204" t="inlineStr"/>
      <c r="FZ204" t="inlineStr"/>
      <c r="GA204" t="inlineStr"/>
      <c r="GB204" t="inlineStr"/>
      <c r="GC204" t="inlineStr"/>
      <c r="GD204" t="inlineStr"/>
      <c r="GE204" t="inlineStr"/>
      <c r="GF204" t="inlineStr"/>
      <c r="GG204" t="inlineStr"/>
      <c r="GH204" t="inlineStr"/>
      <c r="GI204" t="inlineStr"/>
      <c r="GJ204" t="inlineStr"/>
      <c r="GK204" t="inlineStr"/>
      <c r="GL204" t="inlineStr"/>
      <c r="GM204" t="inlineStr"/>
      <c r="GN204" t="inlineStr"/>
      <c r="GO204" t="inlineStr"/>
      <c r="GP204" t="inlineStr"/>
      <c r="GQ204" t="inlineStr"/>
      <c r="GR204" t="inlineStr"/>
      <c r="GS204" t="inlineStr"/>
      <c r="GT204" t="inlineStr"/>
      <c r="GU204" t="inlineStr"/>
      <c r="GV204" t="inlineStr"/>
      <c r="GW204" t="inlineStr"/>
      <c r="GX204" t="inlineStr"/>
      <c r="GY204" t="inlineStr"/>
      <c r="GZ204" t="inlineStr"/>
      <c r="HA204" t="inlineStr"/>
      <c r="HB204" t="inlineStr"/>
      <c r="HC204" t="inlineStr"/>
      <c r="HD204" t="inlineStr"/>
      <c r="HE204" t="inlineStr"/>
      <c r="HF204" t="inlineStr"/>
      <c r="HG204" t="inlineStr"/>
      <c r="HH204" t="inlineStr"/>
      <c r="HI204" t="inlineStr"/>
      <c r="HJ204" t="inlineStr"/>
      <c r="HK204" t="inlineStr"/>
      <c r="HL204" t="inlineStr"/>
      <c r="HM204" t="inlineStr"/>
      <c r="HN204" t="inlineStr"/>
      <c r="HO204" t="inlineStr"/>
      <c r="HP204" t="inlineStr"/>
      <c r="HQ204" t="inlineStr"/>
      <c r="HR204" t="inlineStr"/>
      <c r="HS204" t="inlineStr"/>
      <c r="HT204" t="inlineStr"/>
      <c r="HU204" t="inlineStr"/>
      <c r="HV204" t="inlineStr"/>
      <c r="HW204" t="inlineStr"/>
      <c r="HX204" t="inlineStr"/>
      <c r="HY204" t="inlineStr"/>
      <c r="HZ204" t="inlineStr"/>
      <c r="IA204" t="inlineStr"/>
      <c r="IB204" t="inlineStr"/>
      <c r="IC204" t="inlineStr"/>
      <c r="ID204" t="inlineStr"/>
      <c r="IE204" t="inlineStr">
        <is>
          <t>974</t>
        </is>
      </c>
      <c r="IF204" t="inlineStr">
        <is>
          <t>Blog (974)</t>
        </is>
      </c>
      <c r="IG204" t="inlineStr"/>
      <c r="IH204" t="inlineStr"/>
      <c r="II204" t="inlineStr"/>
      <c r="IJ204" t="inlineStr"/>
      <c r="IK204" t="inlineStr"/>
      <c r="IL204" t="inlineStr"/>
      <c r="IM204" t="inlineStr"/>
      <c r="IN204" t="inlineStr"/>
      <c r="IO204" t="inlineStr"/>
      <c r="IP204" t="inlineStr"/>
      <c r="IQ204" t="inlineStr"/>
      <c r="IR204" t="inlineStr"/>
      <c r="IS204">
        <f>IF(input_content_type="",FALSE,ISNUMBER(SEARCH(","&amp;LOWER(input_content_type)&amp;",",","&amp;LOWER(F204)&amp;",")))</f>
        <v/>
      </c>
      <c r="IT204">
        <f>AND(IF(M204="",TRUE,IF(input_affiliations="",FALSE,SUMPRODUCT(--ISNUMBER(SEARCH(","&amp;TRIM(TEXTSPLIT(M204,","))&amp;",",","&amp;SUBSTITUTE(input_affiliations," ","")&amp;",")))&gt;0)),IF(O204="",TRUE,IF(input_affiliations="",FALSE,SUMPRODUCT(--ISNUMBER(SEARCH(","&amp;TRIM(TEXTSPLIT(O204,","))&amp;",",","&amp;SUBSTITUTE(input_affiliations," ","")&amp;",")))=COUNTA(TEXTSPLIT(O204,",")))),IF(Q204="",TRUE,IF(input_affiliations="",TRUE,SUMPRODUCT(--ISNUMBER(SEARCH(","&amp;TRIM(TEXTSPLIT(Q204,","))&amp;",",","&amp;SUBSTITUTE(input_affiliations," ","")&amp;",")))=0)),IF(S204="",TRUE,IF(input_affiliations="",FALSE,SUMPRODUCT(--ISNUMBER(SEARCH(","&amp;TRIM(TEXTSPLIT(S204,","))&amp;",",","&amp;SUBSTITUTE(input_affiliations," ","")&amp;",")))&gt;0)),IF(U204="",TRUE,IF(input_affiliations="",FALSE,SUMPRODUCT(--ISNUMBER(SEARCH(","&amp;TRIM(TEXTSPLIT(U204,","))&amp;",",","&amp;SUBSTITUTE(input_affiliations," ","")&amp;",")))=COUNTA(TEXTSPLIT(U204,",")))))</f>
        <v/>
      </c>
      <c r="IU204">
        <f>AND(IF(W204="",TRUE,IF(input_announcement_category="",FALSE,SUMPRODUCT(--ISNUMBER(SEARCH(","&amp;TRIM(TEXTSPLIT(W204,","))&amp;",",","&amp;SUBSTITUTE(input_announcement_category," ","")&amp;",")))&gt;0)),IF(Y204="",TRUE,IF(input_announcement_category="",FALSE,SUMPRODUCT(--ISNUMBER(SEARCH(","&amp;TRIM(TEXTSPLIT(Y204,","))&amp;",",","&amp;SUBSTITUTE(input_announcement_category," ","")&amp;",")))=COUNTA(TEXTSPLIT(Y204,",")))),IF(AA204="",TRUE,IF(input_announcement_category="",TRUE,SUMPRODUCT(--ISNUMBER(SEARCH(","&amp;TRIM(TEXTSPLIT(AA204,","))&amp;",",","&amp;SUBSTITUTE(input_announcement_category," ","")&amp;",")))=0)),IF(AC204="",TRUE,IF(input_announcement_category="",FALSE,SUMPRODUCT(--ISNUMBER(SEARCH(","&amp;TRIM(TEXTSPLIT(AC204,","))&amp;",",","&amp;SUBSTITUTE(input_announcement_category," ","")&amp;",")))&gt;0)),IF(AE204="",TRUE,IF(input_announcement_category="",FALSE,SUMPRODUCT(--ISNUMBER(SEARCH(","&amp;TRIM(TEXTSPLIT(AE204,","))&amp;",",","&amp;SUBSTITUTE(input_announcement_category," ","")&amp;",")))=COUNTA(TEXTSPLIT(AE204,",")))))</f>
        <v/>
      </c>
      <c r="IV204">
        <f>AND(IF(AG204="",TRUE,IF(input_area_of_focus="",FALSE,SUMPRODUCT(--ISNUMBER(SEARCH(","&amp;TRIM(TEXTSPLIT(AG204,","))&amp;",",","&amp;SUBSTITUTE(input_area_of_focus," ","")&amp;",")))&gt;0)),IF(AI204="",TRUE,IF(input_area_of_focus="",FALSE,SUMPRODUCT(--ISNUMBER(SEARCH(","&amp;TRIM(TEXTSPLIT(AI204,","))&amp;",",","&amp;SUBSTITUTE(input_area_of_focus," ","")&amp;",")))=COUNTA(TEXTSPLIT(AI204,",")))),IF(AK204="",TRUE,IF(input_area_of_focus="",TRUE,SUMPRODUCT(--ISNUMBER(SEARCH(","&amp;TRIM(TEXTSPLIT(AK204,","))&amp;",",","&amp;SUBSTITUTE(input_area_of_focus," ","")&amp;",")))=0)),IF(AM204="",TRUE,IF(input_area_of_focus="",FALSE,SUMPRODUCT(--ISNUMBER(SEARCH(","&amp;TRIM(TEXTSPLIT(AM204,","))&amp;",",","&amp;SUBSTITUTE(input_area_of_focus," ","")&amp;",")))&gt;0)),IF(AO204="",TRUE,IF(input_area_of_focus="",FALSE,SUMPRODUCT(--ISNUMBER(SEARCH(","&amp;TRIM(TEXTSPLIT(AO204,","))&amp;",",","&amp;SUBSTITUTE(input_area_of_focus," ","")&amp;",")))=COUNTA(TEXTSPLIT(AO204,",")))))</f>
        <v/>
      </c>
      <c r="IW204">
        <f>AND(IF(AQ204="",TRUE,IF(input_audience="",FALSE,SUMPRODUCT(--ISNUMBER(SEARCH(","&amp;TRIM(TEXTSPLIT(AQ204,","))&amp;",",","&amp;SUBSTITUTE(input_audience," ","")&amp;",")))&gt;0)),IF(AS204="",TRUE,IF(input_audience="",FALSE,SUMPRODUCT(--ISNUMBER(SEARCH(","&amp;TRIM(TEXTSPLIT(AS204,","))&amp;",",","&amp;SUBSTITUTE(input_audience," ","")&amp;",")))=COUNTA(TEXTSPLIT(AS204,",")))),IF(AU204="",TRUE,IF(input_audience="",TRUE,SUMPRODUCT(--ISNUMBER(SEARCH(","&amp;TRIM(TEXTSPLIT(AU204,","))&amp;",",","&amp;SUBSTITUTE(input_audience," ","")&amp;",")))=0)),IF(AW204="",TRUE,IF(input_audience="",FALSE,SUMPRODUCT(--ISNUMBER(SEARCH(","&amp;TRIM(TEXTSPLIT(AW204,","))&amp;",",","&amp;SUBSTITUTE(input_audience," ","")&amp;",")))&gt;0)),IF(AY204="",TRUE,IF(input_audience="",FALSE,SUMPRODUCT(--ISNUMBER(SEARCH(","&amp;TRIM(TEXTSPLIT(AY204,","))&amp;",",","&amp;SUBSTITUTE(input_audience," ","")&amp;",")))=COUNTA(TEXTSPLIT(AY204,",")))))</f>
        <v/>
      </c>
      <c r="IX204">
        <f>AND(IF(BA204="",TRUE,IF(input_challenge_opportunities="",FALSE,SUMPRODUCT(--ISNUMBER(SEARCH(","&amp;TRIM(TEXTSPLIT(BA204,","))&amp;",",","&amp;SUBSTITUTE(input_challenge_opportunities," ","")&amp;",")))&gt;0)),IF(BC204="",TRUE,IF(input_challenge_opportunities="",FALSE,SUMPRODUCT(--ISNUMBER(SEARCH(","&amp;TRIM(TEXTSPLIT(BC204,","))&amp;",",","&amp;SUBSTITUTE(input_challenge_opportunities," ","")&amp;",")))=COUNTA(TEXTSPLIT(BC204,",")))),IF(BE204="",TRUE,IF(input_challenge_opportunities="",TRUE,SUMPRODUCT(--ISNUMBER(SEARCH(","&amp;TRIM(TEXTSPLIT(BE204,","))&amp;",",","&amp;SUBSTITUTE(input_challenge_opportunities," ","")&amp;",")))=0)),IF(BG204="",TRUE,IF(input_challenge_opportunities="",FALSE,SUMPRODUCT(--ISNUMBER(SEARCH(","&amp;TRIM(TEXTSPLIT(BG204,","))&amp;",",","&amp;SUBSTITUTE(input_challenge_opportunities," ","")&amp;",")))&gt;0)),IF(BI204="",TRUE,IF(input_challenge_opportunities="",FALSE,SUMPRODUCT(--ISNUMBER(SEARCH(","&amp;TRIM(TEXTSPLIT(BI204,","))&amp;",",","&amp;SUBSTITUTE(input_challenge_opportunities," ","")&amp;",")))=COUNTA(TEXTSPLIT(BI204,",")))))</f>
        <v/>
      </c>
      <c r="IY204">
        <f>AND(IF(BK204="",TRUE,IF(input_context="",FALSE,SUMPRODUCT(--ISNUMBER(SEARCH(","&amp;TRIM(TEXTSPLIT(BK204,","))&amp;",",","&amp;SUBSTITUTE(input_context," ","")&amp;",")))&gt;0)),IF(BM204="",TRUE,IF(input_context="",FALSE,SUMPRODUCT(--ISNUMBER(SEARCH(","&amp;TRIM(TEXTSPLIT(BM204,","))&amp;",",","&amp;SUBSTITUTE(input_context," ","")&amp;",")))=COUNTA(TEXTSPLIT(BM204,",")))),IF(BO204="",TRUE,IF(input_context="",TRUE,SUMPRODUCT(--ISNUMBER(SEARCH(","&amp;TRIM(TEXTSPLIT(BO204,","))&amp;",",","&amp;SUBSTITUTE(input_context," ","")&amp;",")))=0)),IF(BQ204="",TRUE,IF(input_context="",FALSE,SUMPRODUCT(--ISNUMBER(SEARCH(","&amp;TRIM(TEXTSPLIT(BQ204,","))&amp;",",","&amp;SUBSTITUTE(input_context," ","")&amp;",")))&gt;0)),IF(BS204="",TRUE,IF(input_context="",FALSE,SUMPRODUCT(--ISNUMBER(SEARCH(","&amp;TRIM(TEXTSPLIT(BS204,","))&amp;",",","&amp;SUBSTITUTE(input_context," ","")&amp;",")))=COUNTA(TEXTSPLIT(BS204,",")))))</f>
        <v/>
      </c>
      <c r="IZ204">
        <f>AND(IF(BU204="",TRUE,IF(input_enews_announcement_type="",FALSE,SUMPRODUCT(--ISNUMBER(SEARCH(","&amp;TRIM(TEXTSPLIT(BU204,","))&amp;",",","&amp;SUBSTITUTE(input_enews_announcement_type," ","")&amp;",")))&gt;0)),IF(BW204="",TRUE,IF(input_enews_announcement_type="",FALSE,SUMPRODUCT(--ISNUMBER(SEARCH(","&amp;TRIM(TEXTSPLIT(BW204,","))&amp;",",","&amp;SUBSTITUTE(input_enews_announcement_type," ","")&amp;",")))=COUNTA(TEXTSPLIT(BW204,",")))),IF(BY204="",TRUE,IF(input_enews_announcement_type="",TRUE,SUMPRODUCT(--ISNUMBER(SEARCH(","&amp;TRIM(TEXTSPLIT(BY204,","))&amp;",",","&amp;SUBSTITUTE(input_enews_announcement_type," ","")&amp;",")))=0)),IF(CA204="",TRUE,IF(input_enews_announcement_type="",FALSE,SUMPRODUCT(--ISNUMBER(SEARCH(","&amp;TRIM(TEXTSPLIT(CA204,","))&amp;",",","&amp;SUBSTITUTE(input_enews_announcement_type," ","")&amp;",")))&gt;0)),IF(CC204="",TRUE,IF(input_enews_announcement_type="",FALSE,SUMPRODUCT(--ISNUMBER(SEARCH(","&amp;TRIM(TEXTSPLIT(CC204,","))&amp;",",","&amp;SUBSTITUTE(input_enews_announcement_type," ","")&amp;",")))=COUNTA(TEXTSPLIT(CC204,",")))))</f>
        <v/>
      </c>
      <c r="JA204">
        <f>AND(IF(CE204="",TRUE,IF(input_enews_audience="",FALSE,SUMPRODUCT(--ISNUMBER(SEARCH(","&amp;TRIM(TEXTSPLIT(CE204,","))&amp;",",","&amp;SUBSTITUTE(input_enews_audience," ","")&amp;",")))&gt;0)),IF(CG204="",TRUE,IF(input_enews_audience="",FALSE,SUMPRODUCT(--ISNUMBER(SEARCH(","&amp;TRIM(TEXTSPLIT(CG204,","))&amp;",",","&amp;SUBSTITUTE(input_enews_audience," ","")&amp;",")))=COUNTA(TEXTSPLIT(CG204,",")))),IF(CI204="",TRUE,IF(input_enews_audience="",TRUE,SUMPRODUCT(--ISNUMBER(SEARCH(","&amp;TRIM(TEXTSPLIT(CI204,","))&amp;",",","&amp;SUBSTITUTE(input_enews_audience," ","")&amp;",")))=0)),IF(CK204="",TRUE,IF(input_enews_audience="",FALSE,SUMPRODUCT(--ISNUMBER(SEARCH(","&amp;TRIM(TEXTSPLIT(CK204,","))&amp;",",","&amp;SUBSTITUTE(input_enews_audience," ","")&amp;",")))&gt;0)),IF(CM204="",TRUE,IF(input_enews_audience="",FALSE,SUMPRODUCT(--ISNUMBER(SEARCH(","&amp;TRIM(TEXTSPLIT(CM204,","))&amp;",",","&amp;SUBSTITUTE(input_enews_audience," ","")&amp;",")))=COUNTA(TEXTSPLIT(CM204,",")))))</f>
        <v/>
      </c>
      <c r="JB204">
        <f>AND(IF(CO204="",TRUE,IF(input_event_location="",FALSE,SUMPRODUCT(--ISNUMBER(SEARCH(","&amp;TRIM(TEXTSPLIT(CO204,","))&amp;",",","&amp;SUBSTITUTE(input_event_location," ","")&amp;",")))&gt;0)),IF(CQ204="",TRUE,IF(input_event_location="",FALSE,SUMPRODUCT(--ISNUMBER(SEARCH(","&amp;TRIM(TEXTSPLIT(CQ204,","))&amp;",",","&amp;SUBSTITUTE(input_event_location," ","")&amp;",")))=COUNTA(TEXTSPLIT(CQ204,",")))),IF(CS204="",TRUE,IF(input_event_location="",TRUE,SUMPRODUCT(--ISNUMBER(SEARCH(","&amp;TRIM(TEXTSPLIT(CS204,","))&amp;",",","&amp;SUBSTITUTE(input_event_location," ","")&amp;",")))=0)),IF(CU204="",TRUE,IF(input_event_location="",FALSE,SUMPRODUCT(--ISNUMBER(SEARCH(","&amp;TRIM(TEXTSPLIT(CU204,","))&amp;",",","&amp;SUBSTITUTE(input_event_location," ","")&amp;",")))&gt;0)),IF(CW204="",TRUE,IF(input_event_location="",FALSE,SUMPRODUCT(--ISNUMBER(SEARCH(","&amp;TRIM(TEXTSPLIT(CW204,","))&amp;",",","&amp;SUBSTITUTE(input_event_location," ","")&amp;",")))=COUNTA(TEXTSPLIT(CW204,",")))))</f>
        <v/>
      </c>
      <c r="JC204">
        <f>AND(IF(CY204="",TRUE,IF(input_event_type="",FALSE,SUMPRODUCT(--ISNUMBER(SEARCH(","&amp;TRIM(TEXTSPLIT(CY204,","))&amp;",",","&amp;SUBSTITUTE(input_event_type," ","")&amp;",")))&gt;0)),IF(DA204="",TRUE,IF(input_event_type="",FALSE,SUMPRODUCT(--ISNUMBER(SEARCH(","&amp;TRIM(TEXTSPLIT(DA204,","))&amp;",",","&amp;SUBSTITUTE(input_event_type," ","")&amp;",")))=COUNTA(TEXTSPLIT(DA204,",")))),IF(DC204="",TRUE,IF(input_event_type="",TRUE,SUMPRODUCT(--ISNUMBER(SEARCH(","&amp;TRIM(TEXTSPLIT(DC204,","))&amp;",",","&amp;SUBSTITUTE(input_event_type," ","")&amp;",")))=0)),IF(DE204="",TRUE,IF(input_event_type="",FALSE,SUMPRODUCT(--ISNUMBER(SEARCH(","&amp;TRIM(TEXTSPLIT(DE204,","))&amp;",",","&amp;SUBSTITUTE(input_event_type," ","")&amp;",")))&gt;0)),IF(DG204="",TRUE,IF(input_event_type="",FALSE,SUMPRODUCT(--ISNUMBER(SEARCH(","&amp;TRIM(TEXTSPLIT(DG204,","))&amp;",",","&amp;SUBSTITUTE(input_event_type," ","")&amp;",")))=COUNTA(TEXTSPLIT(DG204,",")))))</f>
        <v/>
      </c>
      <c r="JD204">
        <f>AND(IF(DI204="",TRUE,IF(input_executive_education_focus="",FALSE,SUMPRODUCT(--ISNUMBER(SEARCH(","&amp;TRIM(TEXTSPLIT(DI204,","))&amp;",",","&amp;SUBSTITUTE(input_executive_education_focus," ","")&amp;",")))&gt;0)),IF(DK204="",TRUE,IF(input_executive_education_focus="",FALSE,SUMPRODUCT(--ISNUMBER(SEARCH(","&amp;TRIM(TEXTSPLIT(DK204,","))&amp;",",","&amp;SUBSTITUTE(input_executive_education_focus," ","")&amp;",")))=COUNTA(TEXTSPLIT(DK204,",")))),IF(DM204="",TRUE,IF(input_executive_education_focus="",TRUE,SUMPRODUCT(--ISNUMBER(SEARCH(","&amp;TRIM(TEXTSPLIT(DM204,","))&amp;",",","&amp;SUBSTITUTE(input_executive_education_focus," ","")&amp;",")))=0)),IF(DO204="",TRUE,IF(input_executive_education_focus="",FALSE,SUMPRODUCT(--ISNUMBER(SEARCH(","&amp;TRIM(TEXTSPLIT(DO204,","))&amp;",",","&amp;SUBSTITUTE(input_executive_education_focus," ","")&amp;",")))&gt;0)),IF(DQ204="",TRUE,IF(input_executive_education_focus="",FALSE,SUMPRODUCT(--ISNUMBER(SEARCH(","&amp;TRIM(TEXTSPLIT(DQ204,","))&amp;",",","&amp;SUBSTITUTE(input_executive_education_focus," ","")&amp;",")))=COUNTA(TEXTSPLIT(DQ204,",")))))</f>
        <v/>
      </c>
      <c r="JE204">
        <f>AND(IF(DS204="",TRUE,IF(input_faculty_category="",FALSE,SUMPRODUCT(--ISNUMBER(SEARCH(","&amp;TRIM(TEXTSPLIT(DS204,","))&amp;",",","&amp;SUBSTITUTE(input_faculty_category," ","")&amp;",")))&gt;0)),IF(DU204="",TRUE,IF(input_faculty_category="",FALSE,SUMPRODUCT(--ISNUMBER(SEARCH(","&amp;TRIM(TEXTSPLIT(DU204,","))&amp;",",","&amp;SUBSTITUTE(input_faculty_category," ","")&amp;",")))=COUNTA(TEXTSPLIT(DU204,",")))),IF(DW204="",TRUE,IF(input_faculty_category="",TRUE,SUMPRODUCT(--ISNUMBER(SEARCH(","&amp;TRIM(TEXTSPLIT(DW204,","))&amp;",",","&amp;SUBSTITUTE(input_faculty_category," ","")&amp;",")))=0)),IF(DY204="",TRUE,IF(input_faculty_category="",FALSE,SUMPRODUCT(--ISNUMBER(SEARCH(","&amp;TRIM(TEXTSPLIT(DY204,","))&amp;",",","&amp;SUBSTITUTE(input_faculty_category," ","")&amp;",")))&gt;0)),IF(EA204="",TRUE,IF(input_faculty_category="",FALSE,SUMPRODUCT(--ISNUMBER(SEARCH(","&amp;TRIM(TEXTSPLIT(EA204,","))&amp;",",","&amp;SUBSTITUTE(input_faculty_category," ","")&amp;",")))=COUNTA(TEXTSPLIT(EA204,",")))))</f>
        <v/>
      </c>
      <c r="JF204">
        <f>AND(IF(EC204="",TRUE,IF(input_faculty_discipline="",FALSE,SUMPRODUCT(--ISNUMBER(SEARCH(","&amp;TRIM(TEXTSPLIT(EC204,","))&amp;",",","&amp;SUBSTITUTE(input_faculty_discipline," ","")&amp;",")))&gt;0)),IF(EE204="",TRUE,IF(input_faculty_discipline="",FALSE,SUMPRODUCT(--ISNUMBER(SEARCH(","&amp;TRIM(TEXTSPLIT(EE204,","))&amp;",",","&amp;SUBSTITUTE(input_faculty_discipline," ","")&amp;",")))=COUNTA(TEXTSPLIT(EE204,",")))),IF(EG204="",TRUE,IF(input_faculty_discipline="",TRUE,SUMPRODUCT(--ISNUMBER(SEARCH(","&amp;TRIM(TEXTSPLIT(EG204,","))&amp;",",","&amp;SUBSTITUTE(input_faculty_discipline," ","")&amp;",")))=0)),IF(EI204="",TRUE,IF(input_faculty_discipline="",FALSE,SUMPRODUCT(--ISNUMBER(SEARCH(","&amp;TRIM(TEXTSPLIT(EI204,","))&amp;",",","&amp;SUBSTITUTE(input_faculty_discipline," ","")&amp;",")))&gt;0)),IF(EK204="",TRUE,IF(input_faculty_discipline="",FALSE,SUMPRODUCT(--ISNUMBER(SEARCH(","&amp;TRIM(TEXTSPLIT(EK204,","))&amp;",",","&amp;SUBSTITUTE(input_faculty_discipline," ","")&amp;",")))=COUNTA(TEXTSPLIT(EK204,",")))))</f>
        <v/>
      </c>
      <c r="JG204">
        <f>AND(IF(EM204="",TRUE,IF(input_faculty_expertise="",FALSE,SUMPRODUCT(--ISNUMBER(SEARCH(","&amp;TRIM(TEXTSPLIT(EM204,","))&amp;",",","&amp;SUBSTITUTE(input_faculty_expertise," ","")&amp;",")))&gt;0)),IF(EO204="",TRUE,IF(input_faculty_expertise="",FALSE,SUMPRODUCT(--ISNUMBER(SEARCH(","&amp;TRIM(TEXTSPLIT(EO204,","))&amp;",",","&amp;SUBSTITUTE(input_faculty_expertise," ","")&amp;",")))=COUNTA(TEXTSPLIT(EO204,",")))),IF(EQ204="",TRUE,IF(input_faculty_expertise="",TRUE,SUMPRODUCT(--ISNUMBER(SEARCH(","&amp;TRIM(TEXTSPLIT(EQ204,","))&amp;",",","&amp;SUBSTITUTE(input_faculty_expertise," ","")&amp;",")))=0)),IF(ES204="",TRUE,IF(input_faculty_expertise="",FALSE,SUMPRODUCT(--ISNUMBER(SEARCH(","&amp;TRIM(TEXTSPLIT(ES204,","))&amp;",",","&amp;SUBSTITUTE(input_faculty_expertise," ","")&amp;",")))&gt;0)),IF(EU204="",TRUE,IF(input_faculty_expertise="",FALSE,SUMPRODUCT(--ISNUMBER(SEARCH(","&amp;TRIM(TEXTSPLIT(EU204,","))&amp;",",","&amp;SUBSTITUTE(input_faculty_expertise," ","")&amp;",")))=COUNTA(TEXTSPLIT(EU204,",")))))</f>
        <v/>
      </c>
      <c r="JH204">
        <f>AND(IF(EW204="",TRUE,IF(input_global_network_school="",FALSE,SUMPRODUCT(--ISNUMBER(SEARCH(","&amp;TRIM(TEXTSPLIT(EW204,","))&amp;",",","&amp;SUBSTITUTE(input_global_network_school," ","")&amp;",")))&gt;0)),IF(EY204="",TRUE,IF(input_global_network_school="",FALSE,SUMPRODUCT(--ISNUMBER(SEARCH(","&amp;TRIM(TEXTSPLIT(EY204,","))&amp;",",","&amp;SUBSTITUTE(input_global_network_school," ","")&amp;",")))=COUNTA(TEXTSPLIT(EY204,",")))),IF(FA204="",TRUE,IF(input_global_network_school="",TRUE,SUMPRODUCT(--ISNUMBER(SEARCH(","&amp;TRIM(TEXTSPLIT(FA204,","))&amp;",",","&amp;SUBSTITUTE(input_global_network_school," ","")&amp;",")))=0)),IF(FC204="",TRUE,IF(input_global_network_school="",FALSE,SUMPRODUCT(--ISNUMBER(SEARCH(","&amp;TRIM(TEXTSPLIT(FC204,","))&amp;",",","&amp;SUBSTITUTE(input_global_network_school," ","")&amp;",")))&gt;0)),IF(FE204="",TRUE,IF(input_global_network_school="",FALSE,SUMPRODUCT(--ISNUMBER(SEARCH(","&amp;TRIM(TEXTSPLIT(FE204,","))&amp;",",","&amp;SUBSTITUTE(input_global_network_school," ","")&amp;",")))=COUNTA(TEXTSPLIT(FE204,",")))))</f>
        <v/>
      </c>
      <c r="JI204">
        <f>AND(IF(FG204="",TRUE,IF(input_industry="",FALSE,SUMPRODUCT(--ISNUMBER(SEARCH(","&amp;TRIM(TEXTSPLIT(FG204,","))&amp;",",","&amp;SUBSTITUTE(input_industry," ","")&amp;",")))&gt;0)),IF(FI204="",TRUE,IF(input_industry="",FALSE,SUMPRODUCT(--ISNUMBER(SEARCH(","&amp;TRIM(TEXTSPLIT(FI204,","))&amp;",",","&amp;SUBSTITUTE(input_industry," ","")&amp;",")))=COUNTA(TEXTSPLIT(FI204,",")))),IF(FK204="",TRUE,IF(input_industry="",TRUE,SUMPRODUCT(--ISNUMBER(SEARCH(","&amp;TRIM(TEXTSPLIT(FK204,","))&amp;",",","&amp;SUBSTITUTE(input_industry," ","")&amp;",")))=0)),IF(FM204="",TRUE,IF(input_industry="",FALSE,SUMPRODUCT(--ISNUMBER(SEARCH(","&amp;TRIM(TEXTSPLIT(FM204,","))&amp;",",","&amp;SUBSTITUTE(input_industry," ","")&amp;",")))&gt;0)),IF(FO204="",TRUE,IF(input_industry="",FALSE,SUMPRODUCT(--ISNUMBER(SEARCH(","&amp;TRIM(TEXTSPLIT(FO204,","))&amp;",",","&amp;SUBSTITUTE(input_industry," ","")&amp;",")))=COUNTA(TEXTSPLIT(FO204,",")))))</f>
        <v/>
      </c>
      <c r="JJ204">
        <f>AND(IF(FQ204="",TRUE,IF(input_location="",FALSE,SUMPRODUCT(--ISNUMBER(SEARCH(","&amp;TRIM(TEXTSPLIT(FQ204,","))&amp;",",","&amp;SUBSTITUTE(input_location," ","")&amp;",")))&gt;0)),IF(FS204="",TRUE,IF(input_location="",FALSE,SUMPRODUCT(--ISNUMBER(SEARCH(","&amp;TRIM(TEXTSPLIT(FS204,","))&amp;",",","&amp;SUBSTITUTE(input_location," ","")&amp;",")))=COUNTA(TEXTSPLIT(FS204,",")))),IF(FU204="",TRUE,IF(input_location="",TRUE,SUMPRODUCT(--ISNUMBER(SEARCH(","&amp;TRIM(TEXTSPLIT(FU204,","))&amp;",",","&amp;SUBSTITUTE(input_location," ","")&amp;",")))=0)),IF(FW204="",TRUE,IF(input_location="",FALSE,SUMPRODUCT(--ISNUMBER(SEARCH(","&amp;TRIM(TEXTSPLIT(FW204,","))&amp;",",","&amp;SUBSTITUTE(input_location," ","")&amp;",")))&gt;0)),IF(FY204="",TRUE,IF(input_location="",FALSE,SUMPRODUCT(--ISNUMBER(SEARCH(","&amp;TRIM(TEXTSPLIT(FY204,","))&amp;",",","&amp;SUBSTITUTE(input_location," ","")&amp;",")))=COUNTA(TEXTSPLIT(FY204,",")))))</f>
        <v/>
      </c>
      <c r="JK204">
        <f>AND(IF(GA204="",TRUE,IF(input_modality="",FALSE,SUMPRODUCT(--ISNUMBER(SEARCH(","&amp;TRIM(TEXTSPLIT(GA204,","))&amp;",",","&amp;SUBSTITUTE(input_modality," ","")&amp;",")))&gt;0)),IF(GC204="",TRUE,IF(input_modality="",FALSE,SUMPRODUCT(--ISNUMBER(SEARCH(","&amp;TRIM(TEXTSPLIT(GC204,","))&amp;",",","&amp;SUBSTITUTE(input_modality," ","")&amp;",")))=COUNTA(TEXTSPLIT(GC204,",")))),IF(GE204="",TRUE,IF(input_modality="",TRUE,SUMPRODUCT(--ISNUMBER(SEARCH(","&amp;TRIM(TEXTSPLIT(GE204,","))&amp;",",","&amp;SUBSTITUTE(input_modality," ","")&amp;",")))=0)),IF(GG204="",TRUE,IF(input_modality="",FALSE,SUMPRODUCT(--ISNUMBER(SEARCH(","&amp;TRIM(TEXTSPLIT(GG204,","))&amp;",",","&amp;SUBSTITUTE(input_modality," ","")&amp;",")))&gt;0)),IF(GI204="",TRUE,IF(input_modality="",FALSE,SUMPRODUCT(--ISNUMBER(SEARCH(","&amp;TRIM(TEXTSPLIT(GI204,","))&amp;",",","&amp;SUBSTITUTE(input_modality," ","")&amp;",")))=COUNTA(TEXTSPLIT(GI204,",")))))</f>
        <v/>
      </c>
      <c r="JL204">
        <f>AND(IF(GK204="",TRUE,IF(input_organizer="",FALSE,SUMPRODUCT(--ISNUMBER(SEARCH(","&amp;TRIM(TEXTSPLIT(GK204,","))&amp;",",","&amp;SUBSTITUTE(input_organizer," ","")&amp;",")))&gt;0)),IF(GM204="",TRUE,IF(input_organizer="",FALSE,SUMPRODUCT(--ISNUMBER(SEARCH(","&amp;TRIM(TEXTSPLIT(GM204,","))&amp;",",","&amp;SUBSTITUTE(input_organizer," ","")&amp;",")))=COUNTA(TEXTSPLIT(GM204,",")))),IF(GO204="",TRUE,IF(input_organizer="",TRUE,SUMPRODUCT(--ISNUMBER(SEARCH(","&amp;TRIM(TEXTSPLIT(GO204,","))&amp;",",","&amp;SUBSTITUTE(input_organizer," ","")&amp;",")))=0)),IF(GQ204="",TRUE,IF(input_organizer="",FALSE,SUMPRODUCT(--ISNUMBER(SEARCH(","&amp;TRIM(TEXTSPLIT(GQ204,","))&amp;",",","&amp;SUBSTITUTE(input_organizer," ","")&amp;",")))&gt;0)),IF(GS204="",TRUE,IF(input_organizer="",FALSE,SUMPRODUCT(--ISNUMBER(SEARCH(","&amp;TRIM(TEXTSPLIT(GS204,","))&amp;",",","&amp;SUBSTITUTE(input_organizer," ","")&amp;",")))=COUNTA(TEXTSPLIT(GS204,",")))))</f>
        <v/>
      </c>
      <c r="JM204">
        <f>AND(IF(GU204="",TRUE,IF(input_profile_type="",FALSE,SUMPRODUCT(--ISNUMBER(SEARCH(","&amp;TRIM(TEXTSPLIT(GU204,","))&amp;",",","&amp;SUBSTITUTE(input_profile_type," ","")&amp;",")))&gt;0)),IF(GW204="",TRUE,IF(input_profile_type="",FALSE,SUMPRODUCT(--ISNUMBER(SEARCH(","&amp;TRIM(TEXTSPLIT(GW204,","))&amp;",",","&amp;SUBSTITUTE(input_profile_type," ","")&amp;",")))=COUNTA(TEXTSPLIT(GW204,",")))),IF(GY204="",TRUE,IF(input_profile_type="",TRUE,SUMPRODUCT(--ISNUMBER(SEARCH(","&amp;TRIM(TEXTSPLIT(GY204,","))&amp;",",","&amp;SUBSTITUTE(input_profile_type," ","")&amp;",")))=0)),IF(HA204="",TRUE,IF(input_profile_type="",FALSE,SUMPRODUCT(--ISNUMBER(SEARCH(","&amp;TRIM(TEXTSPLIT(HA204,","))&amp;",",","&amp;SUBSTITUTE(input_profile_type," ","")&amp;",")))&gt;0)),IF(HC204="",TRUE,IF(input_profile_type="",FALSE,SUMPRODUCT(--ISNUMBER(SEARCH(","&amp;TRIM(TEXTSPLIT(HC204,","))&amp;",",","&amp;SUBSTITUTE(input_profile_type," ","")&amp;",")))=COUNTA(TEXTSPLIT(HC204,",")))))</f>
        <v/>
      </c>
      <c r="JN204">
        <f>AND(IF(HE204="",TRUE,IF(input_program="",FALSE,SUMPRODUCT(--ISNUMBER(SEARCH(","&amp;TRIM(TEXTSPLIT(HE204,","))&amp;",",","&amp;SUBSTITUTE(input_program," ","")&amp;",")))&gt;0)),IF(HG204="",TRUE,IF(input_program="",FALSE,SUMPRODUCT(--ISNUMBER(SEARCH(","&amp;TRIM(TEXTSPLIT(HG204,","))&amp;",",","&amp;SUBSTITUTE(input_program," ","")&amp;",")))=COUNTA(TEXTSPLIT(HG204,",")))),IF(HI204="",TRUE,IF(input_program="",TRUE,SUMPRODUCT(--ISNUMBER(SEARCH(","&amp;TRIM(TEXTSPLIT(HI204,","))&amp;",",","&amp;SUBSTITUTE(input_program," ","")&amp;",")))=0)),IF(HK204="",TRUE,IF(input_program="",FALSE,SUMPRODUCT(--ISNUMBER(SEARCH(","&amp;TRIM(TEXTSPLIT(HK204,","))&amp;",",","&amp;SUBSTITUTE(input_program," ","")&amp;",")))&gt;0)),IF(HM204="",TRUE,IF(input_program="",FALSE,SUMPRODUCT(--ISNUMBER(SEARCH(","&amp;TRIM(TEXTSPLIT(HM204,","))&amp;",",","&amp;SUBSTITUTE(input_program," ","")&amp;",")))=COUNTA(TEXTSPLIT(HM204,",")))))</f>
        <v/>
      </c>
      <c r="JO204">
        <f>AND(IF(HO204="",TRUE,IF(input_story_categories="",FALSE,SUMPRODUCT(--ISNUMBER(SEARCH(","&amp;TRIM(TEXTSPLIT(HO204,","))&amp;",",","&amp;SUBSTITUTE(input_story_categories," ","")&amp;",")))&gt;0)),IF(HQ204="",TRUE,IF(input_story_categories="",FALSE,SUMPRODUCT(--ISNUMBER(SEARCH(","&amp;TRIM(TEXTSPLIT(HQ204,","))&amp;",",","&amp;SUBSTITUTE(input_story_categories," ","")&amp;",")))=COUNTA(TEXTSPLIT(HQ204,",")))),IF(HS204="",TRUE,IF(input_story_categories="",TRUE,SUMPRODUCT(--ISNUMBER(SEARCH(","&amp;TRIM(TEXTSPLIT(HS204,","))&amp;",",","&amp;SUBSTITUTE(input_story_categories," ","")&amp;",")))=0)),IF(HU204="",TRUE,IF(input_story_categories="",FALSE,SUMPRODUCT(--ISNUMBER(SEARCH(","&amp;TRIM(TEXTSPLIT(HU204,","))&amp;",",","&amp;SUBSTITUTE(input_story_categories," ","")&amp;",")))&gt;0)),IF(HW204="",TRUE,IF(input_story_categories="",FALSE,SUMPRODUCT(--ISNUMBER(SEARCH(","&amp;TRIM(TEXTSPLIT(HW204,","))&amp;",",","&amp;SUBSTITUTE(input_story_categories," ","")&amp;",")))=COUNTA(TEXTSPLIT(HW204,",")))))</f>
        <v/>
      </c>
      <c r="JP204">
        <f>AND(IF(HY204="",TRUE,IF(input_story_type="",FALSE,SUMPRODUCT(--ISNUMBER(SEARCH(","&amp;TRIM(TEXTSPLIT(HY204,","))&amp;",",","&amp;SUBSTITUTE(input_story_type," ","")&amp;",")))&gt;0)),IF(IA204="",TRUE,IF(input_story_type="",FALSE,SUMPRODUCT(--ISNUMBER(SEARCH(","&amp;TRIM(TEXTSPLIT(IA204,","))&amp;",",","&amp;SUBSTITUTE(input_story_type," ","")&amp;",")))=COUNTA(TEXTSPLIT(IA204,",")))),IF(IC204="",TRUE,IF(input_story_type="",TRUE,SUMPRODUCT(--ISNUMBER(SEARCH(","&amp;TRIM(TEXTSPLIT(IC204,","))&amp;",",","&amp;SUBSTITUTE(input_story_type," ","")&amp;",")))=0)),IF(IE204="",TRUE,IF(input_story_type="",FALSE,SUMPRODUCT(--ISNUMBER(SEARCH(","&amp;TRIM(TEXTSPLIT(IE204,","))&amp;",",","&amp;SUBSTITUTE(input_story_type," ","")&amp;",")))&gt;0)),IF(IG204="",TRUE,IF(input_story_type="",FALSE,SUMPRODUCT(--ISNUMBER(SEARCH(","&amp;TRIM(TEXTSPLIT(IG204,","))&amp;",",","&amp;SUBSTITUTE(input_story_type," ","")&amp;",")))=COUNTA(TEXTSPLIT(IG204,",")))))</f>
        <v/>
      </c>
      <c r="JQ204">
        <f>AND(IF(II204="",TRUE,IF(input_topics="",FALSE,SUMPRODUCT(--ISNUMBER(SEARCH(","&amp;TRIM(TEXTSPLIT(II204,","))&amp;",",","&amp;SUBSTITUTE(input_topics," ","")&amp;",")))&gt;0)),IF(IK204="",TRUE,IF(input_topics="",FALSE,SUMPRODUCT(--ISNUMBER(SEARCH(","&amp;TRIM(TEXTSPLIT(IK204,","))&amp;",",","&amp;SUBSTITUTE(input_topics," ","")&amp;",")))=COUNTA(TEXTSPLIT(IK204,",")))),IF(IM204="",TRUE,IF(input_topics="",TRUE,SUMPRODUCT(--ISNUMBER(SEARCH(","&amp;TRIM(TEXTSPLIT(IM204,","))&amp;",",","&amp;SUBSTITUTE(input_topics," ","")&amp;",")))=0)),IF(IO204="",TRUE,IF(input_topics="",FALSE,SUMPRODUCT(--ISNUMBER(SEARCH(","&amp;TRIM(TEXTSPLIT(IO204,","))&amp;",",","&amp;SUBSTITUTE(input_topics," ","")&amp;",")))&gt;0)),IF(IQ204="",TRUE,IF(input_topics="",FALSE,SUMPRODUCT(--ISNUMBER(SEARCH(","&amp;TRIM(TEXTSPLIT(IQ204,","))&amp;",",","&amp;SUBSTITUTE(input_topics," ","")&amp;",")))=COUNTA(TEXTSPLIT(IQ204,",")))))</f>
        <v/>
      </c>
    </row>
    <row r="205">
      <c r="A205" s="4">
        <f>IF(NOT(IS205),"Excluded",IF(AND(IT205,IU205,IV205,IW205,IX205,IY205,IZ205,JA205,JB205,JC205,JD205,JE205,JF205,JG205,JH205,JI205,JJ205,JK205,JL205,JM205,JN205,JO205,JP205,JQ205),IF(I205&gt;0,"Eligible but limited","Will appear"),"Excluded"))</f>
        <v/>
      </c>
      <c r="B205" s="4" t="inlineStr">
        <is>
          <t>Related stories on story pages</t>
        </is>
      </c>
      <c r="C205" s="4" t="inlineStr">
        <is>
          <t>/story/2025/crafting-curriculum-jon-golde-26</t>
        </is>
      </c>
      <c r="D205" s="4" t="inlineStr">
        <is>
          <t>/story/2025/crafting-curriculum-jon-golde-26
/story/2025/meet-gbs-class-2026
/story/2026/bridging-worlds-2025-german-american-conference</t>
        </is>
      </c>
      <c r="E205" s="4" t="n">
        <v>6</v>
      </c>
      <c r="F205" s="4" t="inlineStr">
        <is>
          <t>story</t>
        </is>
      </c>
      <c r="G205" s="4" t="inlineStr">
        <is>
          <t>stories_teaser_cards</t>
        </is>
      </c>
      <c r="H205" s="4" t="inlineStr">
        <is>
          <t>embed_all</t>
        </is>
      </c>
      <c r="I205" s="4" t="n">
        <v>3</v>
      </c>
      <c r="J205" s="4" t="inlineStr">
        <is>
          <t>Template logic</t>
        </is>
      </c>
      <c r="K205" s="4" t="inlineStr">
        <is>
          <t>Grouped surface</t>
        </is>
      </c>
      <c r="L205" s="4" t="inlineStr">
        <is>
          <t>Content type: story; Context uses Courses Context: Master's Degree in Global Business and Society (950); Context uses Story Type: Blog (974); Limited to 3 item(s); Source: Template logic</t>
        </is>
      </c>
      <c r="M205" t="inlineStr"/>
      <c r="N205" t="inlineStr"/>
      <c r="O205" t="inlineStr"/>
      <c r="P205" t="inlineStr"/>
      <c r="Q205" t="inlineStr"/>
      <c r="R205" t="inlineStr"/>
      <c r="S205" t="inlineStr"/>
      <c r="T205" t="inlineStr"/>
      <c r="U205" t="inlineStr"/>
      <c r="V205" t="inlineStr"/>
      <c r="W205" t="inlineStr"/>
      <c r="X205" t="inlineStr"/>
      <c r="Y205" t="inlineStr"/>
      <c r="Z205" t="inlineStr"/>
      <c r="AA205" t="inlineStr"/>
      <c r="AB205" t="inlineStr"/>
      <c r="AC205" t="inlineStr"/>
      <c r="AD205" t="inlineStr"/>
      <c r="AE205" t="inlineStr"/>
      <c r="AF205" t="inlineStr"/>
      <c r="AG205" t="inlineStr"/>
      <c r="AH205" t="inlineStr"/>
      <c r="AI205" t="inlineStr"/>
      <c r="AJ205" t="inlineStr"/>
      <c r="AK205" t="inlineStr"/>
      <c r="AL205" t="inlineStr"/>
      <c r="AM205" t="inlineStr"/>
      <c r="AN205" t="inlineStr"/>
      <c r="AO205" t="inlineStr"/>
      <c r="AP205" t="inlineStr"/>
      <c r="AQ205" t="inlineStr"/>
      <c r="AR205" t="inlineStr"/>
      <c r="AS205" t="inlineStr"/>
      <c r="AT205" t="inlineStr"/>
      <c r="AU205" t="inlineStr"/>
      <c r="AV205" t="inlineStr"/>
      <c r="AW205" t="inlineStr"/>
      <c r="AX205" t="inlineStr"/>
      <c r="AY205" t="inlineStr"/>
      <c r="AZ205" t="inlineStr"/>
      <c r="BA205" t="inlineStr"/>
      <c r="BB205" t="inlineStr"/>
      <c r="BC205" t="inlineStr"/>
      <c r="BD205" t="inlineStr"/>
      <c r="BE205" t="inlineStr"/>
      <c r="BF205" t="inlineStr"/>
      <c r="BG205" t="inlineStr"/>
      <c r="BH205" t="inlineStr"/>
      <c r="BI205" t="inlineStr"/>
      <c r="BJ205" t="inlineStr"/>
      <c r="BK205" t="inlineStr"/>
      <c r="BL205" t="inlineStr"/>
      <c r="BM205" t="inlineStr"/>
      <c r="BN205" t="inlineStr"/>
      <c r="BO205" t="inlineStr"/>
      <c r="BP205" t="inlineStr"/>
      <c r="BQ205" t="inlineStr">
        <is>
          <t>950</t>
        </is>
      </c>
      <c r="BR205" t="inlineStr">
        <is>
          <t>Master's Degree in Global Business and Society (950)</t>
        </is>
      </c>
      <c r="BS205" t="inlineStr"/>
      <c r="BT205" t="inlineStr"/>
      <c r="BU205" t="inlineStr"/>
      <c r="BV205" t="inlineStr"/>
      <c r="BW205" t="inlineStr"/>
      <c r="BX205" t="inlineStr"/>
      <c r="BY205" t="inlineStr"/>
      <c r="BZ205" t="inlineStr"/>
      <c r="CA205" t="inlineStr"/>
      <c r="CB205" t="inlineStr"/>
      <c r="CC205" t="inlineStr"/>
      <c r="CD205" t="inlineStr"/>
      <c r="CE205" t="inlineStr"/>
      <c r="CF205" t="inlineStr"/>
      <c r="CG205" t="inlineStr"/>
      <c r="CH205" t="inlineStr"/>
      <c r="CI205" t="inlineStr"/>
      <c r="CJ205" t="inlineStr"/>
      <c r="CK205" t="inlineStr"/>
      <c r="CL205" t="inlineStr"/>
      <c r="CM205" t="inlineStr"/>
      <c r="CN205" t="inlineStr"/>
      <c r="CO205" t="inlineStr"/>
      <c r="CP205" t="inlineStr"/>
      <c r="CQ205" t="inlineStr"/>
      <c r="CR205" t="inlineStr"/>
      <c r="CS205" t="inlineStr"/>
      <c r="CT205" t="inlineStr"/>
      <c r="CU205" t="inlineStr"/>
      <c r="CV205" t="inlineStr"/>
      <c r="CW205" t="inlineStr"/>
      <c r="CX205" t="inlineStr"/>
      <c r="CY205" t="inlineStr"/>
      <c r="CZ205" t="inlineStr"/>
      <c r="DA205" t="inlineStr"/>
      <c r="DB205" t="inlineStr"/>
      <c r="DC205" t="inlineStr"/>
      <c r="DD205" t="inlineStr"/>
      <c r="DE205" t="inlineStr"/>
      <c r="DF205" t="inlineStr"/>
      <c r="DG205" t="inlineStr"/>
      <c r="DH205" t="inlineStr"/>
      <c r="DI205" t="inlineStr"/>
      <c r="DJ205" t="inlineStr"/>
      <c r="DK205" t="inlineStr"/>
      <c r="DL205" t="inlineStr"/>
      <c r="DM205" t="inlineStr"/>
      <c r="DN205" t="inlineStr"/>
      <c r="DO205" t="inlineStr"/>
      <c r="DP205" t="inlineStr"/>
      <c r="DQ205" t="inlineStr"/>
      <c r="DR205" t="inlineStr"/>
      <c r="DS205" t="inlineStr"/>
      <c r="DT205" t="inlineStr"/>
      <c r="DU205" t="inlineStr"/>
      <c r="DV205" t="inlineStr"/>
      <c r="DW205" t="inlineStr"/>
      <c r="DX205" t="inlineStr"/>
      <c r="DY205" t="inlineStr"/>
      <c r="DZ205" t="inlineStr"/>
      <c r="EA205" t="inlineStr"/>
      <c r="EB205" t="inlineStr"/>
      <c r="EC205" t="inlineStr"/>
      <c r="ED205" t="inlineStr"/>
      <c r="EE205" t="inlineStr"/>
      <c r="EF205" t="inlineStr"/>
      <c r="EG205" t="inlineStr"/>
      <c r="EH205" t="inlineStr"/>
      <c r="EI205" t="inlineStr"/>
      <c r="EJ205" t="inlineStr"/>
      <c r="EK205" t="inlineStr"/>
      <c r="EL205" t="inlineStr"/>
      <c r="EM205" t="inlineStr"/>
      <c r="EN205" t="inlineStr"/>
      <c r="EO205" t="inlineStr"/>
      <c r="EP205" t="inlineStr"/>
      <c r="EQ205" t="inlineStr"/>
      <c r="ER205" t="inlineStr"/>
      <c r="ES205" t="inlineStr"/>
      <c r="ET205" t="inlineStr"/>
      <c r="EU205" t="inlineStr"/>
      <c r="EV205" t="inlineStr"/>
      <c r="EW205" t="inlineStr"/>
      <c r="EX205" t="inlineStr"/>
      <c r="EY205" t="inlineStr"/>
      <c r="EZ205" t="inlineStr"/>
      <c r="FA205" t="inlineStr"/>
      <c r="FB205" t="inlineStr"/>
      <c r="FC205" t="inlineStr"/>
      <c r="FD205" t="inlineStr"/>
      <c r="FE205" t="inlineStr"/>
      <c r="FF205" t="inlineStr"/>
      <c r="FG205" t="inlineStr"/>
      <c r="FH205" t="inlineStr"/>
      <c r="FI205" t="inlineStr"/>
      <c r="FJ205" t="inlineStr"/>
      <c r="FK205" t="inlineStr"/>
      <c r="FL205" t="inlineStr"/>
      <c r="FM205" t="inlineStr"/>
      <c r="FN205" t="inlineStr"/>
      <c r="FO205" t="inlineStr"/>
      <c r="FP205" t="inlineStr"/>
      <c r="FQ205" t="inlineStr"/>
      <c r="FR205" t="inlineStr"/>
      <c r="FS205" t="inlineStr"/>
      <c r="FT205" t="inlineStr"/>
      <c r="FU205" t="inlineStr"/>
      <c r="FV205" t="inlineStr"/>
      <c r="FW205" t="inlineStr"/>
      <c r="FX205" t="inlineStr"/>
      <c r="FY205" t="inlineStr"/>
      <c r="FZ205" t="inlineStr"/>
      <c r="GA205" t="inlineStr"/>
      <c r="GB205" t="inlineStr"/>
      <c r="GC205" t="inlineStr"/>
      <c r="GD205" t="inlineStr"/>
      <c r="GE205" t="inlineStr"/>
      <c r="GF205" t="inlineStr"/>
      <c r="GG205" t="inlineStr"/>
      <c r="GH205" t="inlineStr"/>
      <c r="GI205" t="inlineStr"/>
      <c r="GJ205" t="inlineStr"/>
      <c r="GK205" t="inlineStr"/>
      <c r="GL205" t="inlineStr"/>
      <c r="GM205" t="inlineStr"/>
      <c r="GN205" t="inlineStr"/>
      <c r="GO205" t="inlineStr"/>
      <c r="GP205" t="inlineStr"/>
      <c r="GQ205" t="inlineStr"/>
      <c r="GR205" t="inlineStr"/>
      <c r="GS205" t="inlineStr"/>
      <c r="GT205" t="inlineStr"/>
      <c r="GU205" t="inlineStr"/>
      <c r="GV205" t="inlineStr"/>
      <c r="GW205" t="inlineStr"/>
      <c r="GX205" t="inlineStr"/>
      <c r="GY205" t="inlineStr"/>
      <c r="GZ205" t="inlineStr"/>
      <c r="HA205" t="inlineStr"/>
      <c r="HB205" t="inlineStr"/>
      <c r="HC205" t="inlineStr"/>
      <c r="HD205" t="inlineStr"/>
      <c r="HE205" t="inlineStr"/>
      <c r="HF205" t="inlineStr"/>
      <c r="HG205" t="inlineStr"/>
      <c r="HH205" t="inlineStr"/>
      <c r="HI205" t="inlineStr"/>
      <c r="HJ205" t="inlineStr"/>
      <c r="HK205" t="inlineStr"/>
      <c r="HL205" t="inlineStr"/>
      <c r="HM205" t="inlineStr"/>
      <c r="HN205" t="inlineStr"/>
      <c r="HO205" t="inlineStr"/>
      <c r="HP205" t="inlineStr"/>
      <c r="HQ205" t="inlineStr"/>
      <c r="HR205" t="inlineStr"/>
      <c r="HS205" t="inlineStr"/>
      <c r="HT205" t="inlineStr"/>
      <c r="HU205" t="inlineStr"/>
      <c r="HV205" t="inlineStr"/>
      <c r="HW205" t="inlineStr"/>
      <c r="HX205" t="inlineStr"/>
      <c r="HY205" t="inlineStr"/>
      <c r="HZ205" t="inlineStr"/>
      <c r="IA205" t="inlineStr"/>
      <c r="IB205" t="inlineStr"/>
      <c r="IC205" t="inlineStr"/>
      <c r="ID205" t="inlineStr"/>
      <c r="IE205" t="inlineStr">
        <is>
          <t>974</t>
        </is>
      </c>
      <c r="IF205" t="inlineStr">
        <is>
          <t>Blog (974)</t>
        </is>
      </c>
      <c r="IG205" t="inlineStr"/>
      <c r="IH205" t="inlineStr"/>
      <c r="II205" t="inlineStr"/>
      <c r="IJ205" t="inlineStr"/>
      <c r="IK205" t="inlineStr"/>
      <c r="IL205" t="inlineStr"/>
      <c r="IM205" t="inlineStr"/>
      <c r="IN205" t="inlineStr"/>
      <c r="IO205" t="inlineStr"/>
      <c r="IP205" t="inlineStr"/>
      <c r="IQ205" t="inlineStr"/>
      <c r="IR205" t="inlineStr"/>
      <c r="IS205">
        <f>IF(input_content_type="",FALSE,ISNUMBER(SEARCH(","&amp;LOWER(input_content_type)&amp;",",","&amp;LOWER(F205)&amp;",")))</f>
        <v/>
      </c>
      <c r="IT205">
        <f>AND(IF(M205="",TRUE,IF(input_affiliations="",FALSE,SUMPRODUCT(--ISNUMBER(SEARCH(","&amp;TRIM(TEXTSPLIT(M205,","))&amp;",",","&amp;SUBSTITUTE(input_affiliations," ","")&amp;",")))&gt;0)),IF(O205="",TRUE,IF(input_affiliations="",FALSE,SUMPRODUCT(--ISNUMBER(SEARCH(","&amp;TRIM(TEXTSPLIT(O205,","))&amp;",",","&amp;SUBSTITUTE(input_affiliations," ","")&amp;",")))=COUNTA(TEXTSPLIT(O205,",")))),IF(Q205="",TRUE,IF(input_affiliations="",TRUE,SUMPRODUCT(--ISNUMBER(SEARCH(","&amp;TRIM(TEXTSPLIT(Q205,","))&amp;",",","&amp;SUBSTITUTE(input_affiliations," ","")&amp;",")))=0)),IF(S205="",TRUE,IF(input_affiliations="",FALSE,SUMPRODUCT(--ISNUMBER(SEARCH(","&amp;TRIM(TEXTSPLIT(S205,","))&amp;",",","&amp;SUBSTITUTE(input_affiliations," ","")&amp;",")))&gt;0)),IF(U205="",TRUE,IF(input_affiliations="",FALSE,SUMPRODUCT(--ISNUMBER(SEARCH(","&amp;TRIM(TEXTSPLIT(U205,","))&amp;",",","&amp;SUBSTITUTE(input_affiliations," ","")&amp;",")))=COUNTA(TEXTSPLIT(U205,",")))))</f>
        <v/>
      </c>
      <c r="IU205">
        <f>AND(IF(W205="",TRUE,IF(input_announcement_category="",FALSE,SUMPRODUCT(--ISNUMBER(SEARCH(","&amp;TRIM(TEXTSPLIT(W205,","))&amp;",",","&amp;SUBSTITUTE(input_announcement_category," ","")&amp;",")))&gt;0)),IF(Y205="",TRUE,IF(input_announcement_category="",FALSE,SUMPRODUCT(--ISNUMBER(SEARCH(","&amp;TRIM(TEXTSPLIT(Y205,","))&amp;",",","&amp;SUBSTITUTE(input_announcement_category," ","")&amp;",")))=COUNTA(TEXTSPLIT(Y205,",")))),IF(AA205="",TRUE,IF(input_announcement_category="",TRUE,SUMPRODUCT(--ISNUMBER(SEARCH(","&amp;TRIM(TEXTSPLIT(AA205,","))&amp;",",","&amp;SUBSTITUTE(input_announcement_category," ","")&amp;",")))=0)),IF(AC205="",TRUE,IF(input_announcement_category="",FALSE,SUMPRODUCT(--ISNUMBER(SEARCH(","&amp;TRIM(TEXTSPLIT(AC205,","))&amp;",",","&amp;SUBSTITUTE(input_announcement_category," ","")&amp;",")))&gt;0)),IF(AE205="",TRUE,IF(input_announcement_category="",FALSE,SUMPRODUCT(--ISNUMBER(SEARCH(","&amp;TRIM(TEXTSPLIT(AE205,","))&amp;",",","&amp;SUBSTITUTE(input_announcement_category," ","")&amp;",")))=COUNTA(TEXTSPLIT(AE205,",")))))</f>
        <v/>
      </c>
      <c r="IV205">
        <f>AND(IF(AG205="",TRUE,IF(input_area_of_focus="",FALSE,SUMPRODUCT(--ISNUMBER(SEARCH(","&amp;TRIM(TEXTSPLIT(AG205,","))&amp;",",","&amp;SUBSTITUTE(input_area_of_focus," ","")&amp;",")))&gt;0)),IF(AI205="",TRUE,IF(input_area_of_focus="",FALSE,SUMPRODUCT(--ISNUMBER(SEARCH(","&amp;TRIM(TEXTSPLIT(AI205,","))&amp;",",","&amp;SUBSTITUTE(input_area_of_focus," ","")&amp;",")))=COUNTA(TEXTSPLIT(AI205,",")))),IF(AK205="",TRUE,IF(input_area_of_focus="",TRUE,SUMPRODUCT(--ISNUMBER(SEARCH(","&amp;TRIM(TEXTSPLIT(AK205,","))&amp;",",","&amp;SUBSTITUTE(input_area_of_focus," ","")&amp;",")))=0)),IF(AM205="",TRUE,IF(input_area_of_focus="",FALSE,SUMPRODUCT(--ISNUMBER(SEARCH(","&amp;TRIM(TEXTSPLIT(AM205,","))&amp;",",","&amp;SUBSTITUTE(input_area_of_focus," ","")&amp;",")))&gt;0)),IF(AO205="",TRUE,IF(input_area_of_focus="",FALSE,SUMPRODUCT(--ISNUMBER(SEARCH(","&amp;TRIM(TEXTSPLIT(AO205,","))&amp;",",","&amp;SUBSTITUTE(input_area_of_focus," ","")&amp;",")))=COUNTA(TEXTSPLIT(AO205,",")))))</f>
        <v/>
      </c>
      <c r="IW205">
        <f>AND(IF(AQ205="",TRUE,IF(input_audience="",FALSE,SUMPRODUCT(--ISNUMBER(SEARCH(","&amp;TRIM(TEXTSPLIT(AQ205,","))&amp;",",","&amp;SUBSTITUTE(input_audience," ","")&amp;",")))&gt;0)),IF(AS205="",TRUE,IF(input_audience="",FALSE,SUMPRODUCT(--ISNUMBER(SEARCH(","&amp;TRIM(TEXTSPLIT(AS205,","))&amp;",",","&amp;SUBSTITUTE(input_audience," ","")&amp;",")))=COUNTA(TEXTSPLIT(AS205,",")))),IF(AU205="",TRUE,IF(input_audience="",TRUE,SUMPRODUCT(--ISNUMBER(SEARCH(","&amp;TRIM(TEXTSPLIT(AU205,","))&amp;",",","&amp;SUBSTITUTE(input_audience," ","")&amp;",")))=0)),IF(AW205="",TRUE,IF(input_audience="",FALSE,SUMPRODUCT(--ISNUMBER(SEARCH(","&amp;TRIM(TEXTSPLIT(AW205,","))&amp;",",","&amp;SUBSTITUTE(input_audience," ","")&amp;",")))&gt;0)),IF(AY205="",TRUE,IF(input_audience="",FALSE,SUMPRODUCT(--ISNUMBER(SEARCH(","&amp;TRIM(TEXTSPLIT(AY205,","))&amp;",",","&amp;SUBSTITUTE(input_audience," ","")&amp;",")))=COUNTA(TEXTSPLIT(AY205,",")))))</f>
        <v/>
      </c>
      <c r="IX205">
        <f>AND(IF(BA205="",TRUE,IF(input_challenge_opportunities="",FALSE,SUMPRODUCT(--ISNUMBER(SEARCH(","&amp;TRIM(TEXTSPLIT(BA205,","))&amp;",",","&amp;SUBSTITUTE(input_challenge_opportunities," ","")&amp;",")))&gt;0)),IF(BC205="",TRUE,IF(input_challenge_opportunities="",FALSE,SUMPRODUCT(--ISNUMBER(SEARCH(","&amp;TRIM(TEXTSPLIT(BC205,","))&amp;",",","&amp;SUBSTITUTE(input_challenge_opportunities," ","")&amp;",")))=COUNTA(TEXTSPLIT(BC205,",")))),IF(BE205="",TRUE,IF(input_challenge_opportunities="",TRUE,SUMPRODUCT(--ISNUMBER(SEARCH(","&amp;TRIM(TEXTSPLIT(BE205,","))&amp;",",","&amp;SUBSTITUTE(input_challenge_opportunities," ","")&amp;",")))=0)),IF(BG205="",TRUE,IF(input_challenge_opportunities="",FALSE,SUMPRODUCT(--ISNUMBER(SEARCH(","&amp;TRIM(TEXTSPLIT(BG205,","))&amp;",",","&amp;SUBSTITUTE(input_challenge_opportunities," ","")&amp;",")))&gt;0)),IF(BI205="",TRUE,IF(input_challenge_opportunities="",FALSE,SUMPRODUCT(--ISNUMBER(SEARCH(","&amp;TRIM(TEXTSPLIT(BI205,","))&amp;",",","&amp;SUBSTITUTE(input_challenge_opportunities," ","")&amp;",")))=COUNTA(TEXTSPLIT(BI205,",")))))</f>
        <v/>
      </c>
      <c r="IY205">
        <f>AND(IF(BK205="",TRUE,IF(input_context="",FALSE,SUMPRODUCT(--ISNUMBER(SEARCH(","&amp;TRIM(TEXTSPLIT(BK205,","))&amp;",",","&amp;SUBSTITUTE(input_context," ","")&amp;",")))&gt;0)),IF(BM205="",TRUE,IF(input_context="",FALSE,SUMPRODUCT(--ISNUMBER(SEARCH(","&amp;TRIM(TEXTSPLIT(BM205,","))&amp;",",","&amp;SUBSTITUTE(input_context," ","")&amp;",")))=COUNTA(TEXTSPLIT(BM205,",")))),IF(BO205="",TRUE,IF(input_context="",TRUE,SUMPRODUCT(--ISNUMBER(SEARCH(","&amp;TRIM(TEXTSPLIT(BO205,","))&amp;",",","&amp;SUBSTITUTE(input_context," ","")&amp;",")))=0)),IF(BQ205="",TRUE,IF(input_context="",FALSE,SUMPRODUCT(--ISNUMBER(SEARCH(","&amp;TRIM(TEXTSPLIT(BQ205,","))&amp;",",","&amp;SUBSTITUTE(input_context," ","")&amp;",")))&gt;0)),IF(BS205="",TRUE,IF(input_context="",FALSE,SUMPRODUCT(--ISNUMBER(SEARCH(","&amp;TRIM(TEXTSPLIT(BS205,","))&amp;",",","&amp;SUBSTITUTE(input_context," ","")&amp;",")))=COUNTA(TEXTSPLIT(BS205,",")))))</f>
        <v/>
      </c>
      <c r="IZ205">
        <f>AND(IF(BU205="",TRUE,IF(input_enews_announcement_type="",FALSE,SUMPRODUCT(--ISNUMBER(SEARCH(","&amp;TRIM(TEXTSPLIT(BU205,","))&amp;",",","&amp;SUBSTITUTE(input_enews_announcement_type," ","")&amp;",")))&gt;0)),IF(BW205="",TRUE,IF(input_enews_announcement_type="",FALSE,SUMPRODUCT(--ISNUMBER(SEARCH(","&amp;TRIM(TEXTSPLIT(BW205,","))&amp;",",","&amp;SUBSTITUTE(input_enews_announcement_type," ","")&amp;",")))=COUNTA(TEXTSPLIT(BW205,",")))),IF(BY205="",TRUE,IF(input_enews_announcement_type="",TRUE,SUMPRODUCT(--ISNUMBER(SEARCH(","&amp;TRIM(TEXTSPLIT(BY205,","))&amp;",",","&amp;SUBSTITUTE(input_enews_announcement_type," ","")&amp;",")))=0)),IF(CA205="",TRUE,IF(input_enews_announcement_type="",FALSE,SUMPRODUCT(--ISNUMBER(SEARCH(","&amp;TRIM(TEXTSPLIT(CA205,","))&amp;",",","&amp;SUBSTITUTE(input_enews_announcement_type," ","")&amp;",")))&gt;0)),IF(CC205="",TRUE,IF(input_enews_announcement_type="",FALSE,SUMPRODUCT(--ISNUMBER(SEARCH(","&amp;TRIM(TEXTSPLIT(CC205,","))&amp;",",","&amp;SUBSTITUTE(input_enews_announcement_type," ","")&amp;",")))=COUNTA(TEXTSPLIT(CC205,",")))))</f>
        <v/>
      </c>
      <c r="JA205">
        <f>AND(IF(CE205="",TRUE,IF(input_enews_audience="",FALSE,SUMPRODUCT(--ISNUMBER(SEARCH(","&amp;TRIM(TEXTSPLIT(CE205,","))&amp;",",","&amp;SUBSTITUTE(input_enews_audience," ","")&amp;",")))&gt;0)),IF(CG205="",TRUE,IF(input_enews_audience="",FALSE,SUMPRODUCT(--ISNUMBER(SEARCH(","&amp;TRIM(TEXTSPLIT(CG205,","))&amp;",",","&amp;SUBSTITUTE(input_enews_audience," ","")&amp;",")))=COUNTA(TEXTSPLIT(CG205,",")))),IF(CI205="",TRUE,IF(input_enews_audience="",TRUE,SUMPRODUCT(--ISNUMBER(SEARCH(","&amp;TRIM(TEXTSPLIT(CI205,","))&amp;",",","&amp;SUBSTITUTE(input_enews_audience," ","")&amp;",")))=0)),IF(CK205="",TRUE,IF(input_enews_audience="",FALSE,SUMPRODUCT(--ISNUMBER(SEARCH(","&amp;TRIM(TEXTSPLIT(CK205,","))&amp;",",","&amp;SUBSTITUTE(input_enews_audience," ","")&amp;",")))&gt;0)),IF(CM205="",TRUE,IF(input_enews_audience="",FALSE,SUMPRODUCT(--ISNUMBER(SEARCH(","&amp;TRIM(TEXTSPLIT(CM205,","))&amp;",",","&amp;SUBSTITUTE(input_enews_audience," ","")&amp;",")))=COUNTA(TEXTSPLIT(CM205,",")))))</f>
        <v/>
      </c>
      <c r="JB205">
        <f>AND(IF(CO205="",TRUE,IF(input_event_location="",FALSE,SUMPRODUCT(--ISNUMBER(SEARCH(","&amp;TRIM(TEXTSPLIT(CO205,","))&amp;",",","&amp;SUBSTITUTE(input_event_location," ","")&amp;",")))&gt;0)),IF(CQ205="",TRUE,IF(input_event_location="",FALSE,SUMPRODUCT(--ISNUMBER(SEARCH(","&amp;TRIM(TEXTSPLIT(CQ205,","))&amp;",",","&amp;SUBSTITUTE(input_event_location," ","")&amp;",")))=COUNTA(TEXTSPLIT(CQ205,",")))),IF(CS205="",TRUE,IF(input_event_location="",TRUE,SUMPRODUCT(--ISNUMBER(SEARCH(","&amp;TRIM(TEXTSPLIT(CS205,","))&amp;",",","&amp;SUBSTITUTE(input_event_location," ","")&amp;",")))=0)),IF(CU205="",TRUE,IF(input_event_location="",FALSE,SUMPRODUCT(--ISNUMBER(SEARCH(","&amp;TRIM(TEXTSPLIT(CU205,","))&amp;",",","&amp;SUBSTITUTE(input_event_location," ","")&amp;",")))&gt;0)),IF(CW205="",TRUE,IF(input_event_location="",FALSE,SUMPRODUCT(--ISNUMBER(SEARCH(","&amp;TRIM(TEXTSPLIT(CW205,","))&amp;",",","&amp;SUBSTITUTE(input_event_location," ","")&amp;",")))=COUNTA(TEXTSPLIT(CW205,",")))))</f>
        <v/>
      </c>
      <c r="JC205">
        <f>AND(IF(CY205="",TRUE,IF(input_event_type="",FALSE,SUMPRODUCT(--ISNUMBER(SEARCH(","&amp;TRIM(TEXTSPLIT(CY205,","))&amp;",",","&amp;SUBSTITUTE(input_event_type," ","")&amp;",")))&gt;0)),IF(DA205="",TRUE,IF(input_event_type="",FALSE,SUMPRODUCT(--ISNUMBER(SEARCH(","&amp;TRIM(TEXTSPLIT(DA205,","))&amp;",",","&amp;SUBSTITUTE(input_event_type," ","")&amp;",")))=COUNTA(TEXTSPLIT(DA205,",")))),IF(DC205="",TRUE,IF(input_event_type="",TRUE,SUMPRODUCT(--ISNUMBER(SEARCH(","&amp;TRIM(TEXTSPLIT(DC205,","))&amp;",",","&amp;SUBSTITUTE(input_event_type," ","")&amp;",")))=0)),IF(DE205="",TRUE,IF(input_event_type="",FALSE,SUMPRODUCT(--ISNUMBER(SEARCH(","&amp;TRIM(TEXTSPLIT(DE205,","))&amp;",",","&amp;SUBSTITUTE(input_event_type," ","")&amp;",")))&gt;0)),IF(DG205="",TRUE,IF(input_event_type="",FALSE,SUMPRODUCT(--ISNUMBER(SEARCH(","&amp;TRIM(TEXTSPLIT(DG205,","))&amp;",",","&amp;SUBSTITUTE(input_event_type," ","")&amp;",")))=COUNTA(TEXTSPLIT(DG205,",")))))</f>
        <v/>
      </c>
      <c r="JD205">
        <f>AND(IF(DI205="",TRUE,IF(input_executive_education_focus="",FALSE,SUMPRODUCT(--ISNUMBER(SEARCH(","&amp;TRIM(TEXTSPLIT(DI205,","))&amp;",",","&amp;SUBSTITUTE(input_executive_education_focus," ","")&amp;",")))&gt;0)),IF(DK205="",TRUE,IF(input_executive_education_focus="",FALSE,SUMPRODUCT(--ISNUMBER(SEARCH(","&amp;TRIM(TEXTSPLIT(DK205,","))&amp;",",","&amp;SUBSTITUTE(input_executive_education_focus," ","")&amp;",")))=COUNTA(TEXTSPLIT(DK205,",")))),IF(DM205="",TRUE,IF(input_executive_education_focus="",TRUE,SUMPRODUCT(--ISNUMBER(SEARCH(","&amp;TRIM(TEXTSPLIT(DM205,","))&amp;",",","&amp;SUBSTITUTE(input_executive_education_focus," ","")&amp;",")))=0)),IF(DO205="",TRUE,IF(input_executive_education_focus="",FALSE,SUMPRODUCT(--ISNUMBER(SEARCH(","&amp;TRIM(TEXTSPLIT(DO205,","))&amp;",",","&amp;SUBSTITUTE(input_executive_education_focus," ","")&amp;",")))&gt;0)),IF(DQ205="",TRUE,IF(input_executive_education_focus="",FALSE,SUMPRODUCT(--ISNUMBER(SEARCH(","&amp;TRIM(TEXTSPLIT(DQ205,","))&amp;",",","&amp;SUBSTITUTE(input_executive_education_focus," ","")&amp;",")))=COUNTA(TEXTSPLIT(DQ205,",")))))</f>
        <v/>
      </c>
      <c r="JE205">
        <f>AND(IF(DS205="",TRUE,IF(input_faculty_category="",FALSE,SUMPRODUCT(--ISNUMBER(SEARCH(","&amp;TRIM(TEXTSPLIT(DS205,","))&amp;",",","&amp;SUBSTITUTE(input_faculty_category," ","")&amp;",")))&gt;0)),IF(DU205="",TRUE,IF(input_faculty_category="",FALSE,SUMPRODUCT(--ISNUMBER(SEARCH(","&amp;TRIM(TEXTSPLIT(DU205,","))&amp;",",","&amp;SUBSTITUTE(input_faculty_category," ","")&amp;",")))=COUNTA(TEXTSPLIT(DU205,",")))),IF(DW205="",TRUE,IF(input_faculty_category="",TRUE,SUMPRODUCT(--ISNUMBER(SEARCH(","&amp;TRIM(TEXTSPLIT(DW205,","))&amp;",",","&amp;SUBSTITUTE(input_faculty_category," ","")&amp;",")))=0)),IF(DY205="",TRUE,IF(input_faculty_category="",FALSE,SUMPRODUCT(--ISNUMBER(SEARCH(","&amp;TRIM(TEXTSPLIT(DY205,","))&amp;",",","&amp;SUBSTITUTE(input_faculty_category," ","")&amp;",")))&gt;0)),IF(EA205="",TRUE,IF(input_faculty_category="",FALSE,SUMPRODUCT(--ISNUMBER(SEARCH(","&amp;TRIM(TEXTSPLIT(EA205,","))&amp;",",","&amp;SUBSTITUTE(input_faculty_category," ","")&amp;",")))=COUNTA(TEXTSPLIT(EA205,",")))))</f>
        <v/>
      </c>
      <c r="JF205">
        <f>AND(IF(EC205="",TRUE,IF(input_faculty_discipline="",FALSE,SUMPRODUCT(--ISNUMBER(SEARCH(","&amp;TRIM(TEXTSPLIT(EC205,","))&amp;",",","&amp;SUBSTITUTE(input_faculty_discipline," ","")&amp;",")))&gt;0)),IF(EE205="",TRUE,IF(input_faculty_discipline="",FALSE,SUMPRODUCT(--ISNUMBER(SEARCH(","&amp;TRIM(TEXTSPLIT(EE205,","))&amp;",",","&amp;SUBSTITUTE(input_faculty_discipline," ","")&amp;",")))=COUNTA(TEXTSPLIT(EE205,",")))),IF(EG205="",TRUE,IF(input_faculty_discipline="",TRUE,SUMPRODUCT(--ISNUMBER(SEARCH(","&amp;TRIM(TEXTSPLIT(EG205,","))&amp;",",","&amp;SUBSTITUTE(input_faculty_discipline," ","")&amp;",")))=0)),IF(EI205="",TRUE,IF(input_faculty_discipline="",FALSE,SUMPRODUCT(--ISNUMBER(SEARCH(","&amp;TRIM(TEXTSPLIT(EI205,","))&amp;",",","&amp;SUBSTITUTE(input_faculty_discipline," ","")&amp;",")))&gt;0)),IF(EK205="",TRUE,IF(input_faculty_discipline="",FALSE,SUMPRODUCT(--ISNUMBER(SEARCH(","&amp;TRIM(TEXTSPLIT(EK205,","))&amp;",",","&amp;SUBSTITUTE(input_faculty_discipline," ","")&amp;",")))=COUNTA(TEXTSPLIT(EK205,",")))))</f>
        <v/>
      </c>
      <c r="JG205">
        <f>AND(IF(EM205="",TRUE,IF(input_faculty_expertise="",FALSE,SUMPRODUCT(--ISNUMBER(SEARCH(","&amp;TRIM(TEXTSPLIT(EM205,","))&amp;",",","&amp;SUBSTITUTE(input_faculty_expertise," ","")&amp;",")))&gt;0)),IF(EO205="",TRUE,IF(input_faculty_expertise="",FALSE,SUMPRODUCT(--ISNUMBER(SEARCH(","&amp;TRIM(TEXTSPLIT(EO205,","))&amp;",",","&amp;SUBSTITUTE(input_faculty_expertise," ","")&amp;",")))=COUNTA(TEXTSPLIT(EO205,",")))),IF(EQ205="",TRUE,IF(input_faculty_expertise="",TRUE,SUMPRODUCT(--ISNUMBER(SEARCH(","&amp;TRIM(TEXTSPLIT(EQ205,","))&amp;",",","&amp;SUBSTITUTE(input_faculty_expertise," ","")&amp;",")))=0)),IF(ES205="",TRUE,IF(input_faculty_expertise="",FALSE,SUMPRODUCT(--ISNUMBER(SEARCH(","&amp;TRIM(TEXTSPLIT(ES205,","))&amp;",",","&amp;SUBSTITUTE(input_faculty_expertise," ","")&amp;",")))&gt;0)),IF(EU205="",TRUE,IF(input_faculty_expertise="",FALSE,SUMPRODUCT(--ISNUMBER(SEARCH(","&amp;TRIM(TEXTSPLIT(EU205,","))&amp;",",","&amp;SUBSTITUTE(input_faculty_expertise," ","")&amp;",")))=COUNTA(TEXTSPLIT(EU205,",")))))</f>
        <v/>
      </c>
      <c r="JH205">
        <f>AND(IF(EW205="",TRUE,IF(input_global_network_school="",FALSE,SUMPRODUCT(--ISNUMBER(SEARCH(","&amp;TRIM(TEXTSPLIT(EW205,","))&amp;",",","&amp;SUBSTITUTE(input_global_network_school," ","")&amp;",")))&gt;0)),IF(EY205="",TRUE,IF(input_global_network_school="",FALSE,SUMPRODUCT(--ISNUMBER(SEARCH(","&amp;TRIM(TEXTSPLIT(EY205,","))&amp;",",","&amp;SUBSTITUTE(input_global_network_school," ","")&amp;",")))=COUNTA(TEXTSPLIT(EY205,",")))),IF(FA205="",TRUE,IF(input_global_network_school="",TRUE,SUMPRODUCT(--ISNUMBER(SEARCH(","&amp;TRIM(TEXTSPLIT(FA205,","))&amp;",",","&amp;SUBSTITUTE(input_global_network_school," ","")&amp;",")))=0)),IF(FC205="",TRUE,IF(input_global_network_school="",FALSE,SUMPRODUCT(--ISNUMBER(SEARCH(","&amp;TRIM(TEXTSPLIT(FC205,","))&amp;",",","&amp;SUBSTITUTE(input_global_network_school," ","")&amp;",")))&gt;0)),IF(FE205="",TRUE,IF(input_global_network_school="",FALSE,SUMPRODUCT(--ISNUMBER(SEARCH(","&amp;TRIM(TEXTSPLIT(FE205,","))&amp;",",","&amp;SUBSTITUTE(input_global_network_school," ","")&amp;",")))=COUNTA(TEXTSPLIT(FE205,",")))))</f>
        <v/>
      </c>
      <c r="JI205">
        <f>AND(IF(FG205="",TRUE,IF(input_industry="",FALSE,SUMPRODUCT(--ISNUMBER(SEARCH(","&amp;TRIM(TEXTSPLIT(FG205,","))&amp;",",","&amp;SUBSTITUTE(input_industry," ","")&amp;",")))&gt;0)),IF(FI205="",TRUE,IF(input_industry="",FALSE,SUMPRODUCT(--ISNUMBER(SEARCH(","&amp;TRIM(TEXTSPLIT(FI205,","))&amp;",",","&amp;SUBSTITUTE(input_industry," ","")&amp;",")))=COUNTA(TEXTSPLIT(FI205,",")))),IF(FK205="",TRUE,IF(input_industry="",TRUE,SUMPRODUCT(--ISNUMBER(SEARCH(","&amp;TRIM(TEXTSPLIT(FK205,","))&amp;",",","&amp;SUBSTITUTE(input_industry," ","")&amp;",")))=0)),IF(FM205="",TRUE,IF(input_industry="",FALSE,SUMPRODUCT(--ISNUMBER(SEARCH(","&amp;TRIM(TEXTSPLIT(FM205,","))&amp;",",","&amp;SUBSTITUTE(input_industry," ","")&amp;",")))&gt;0)),IF(FO205="",TRUE,IF(input_industry="",FALSE,SUMPRODUCT(--ISNUMBER(SEARCH(","&amp;TRIM(TEXTSPLIT(FO205,","))&amp;",",","&amp;SUBSTITUTE(input_industry," ","")&amp;",")))=COUNTA(TEXTSPLIT(FO205,",")))))</f>
        <v/>
      </c>
      <c r="JJ205">
        <f>AND(IF(FQ205="",TRUE,IF(input_location="",FALSE,SUMPRODUCT(--ISNUMBER(SEARCH(","&amp;TRIM(TEXTSPLIT(FQ205,","))&amp;",",","&amp;SUBSTITUTE(input_location," ","")&amp;",")))&gt;0)),IF(FS205="",TRUE,IF(input_location="",FALSE,SUMPRODUCT(--ISNUMBER(SEARCH(","&amp;TRIM(TEXTSPLIT(FS205,","))&amp;",",","&amp;SUBSTITUTE(input_location," ","")&amp;",")))=COUNTA(TEXTSPLIT(FS205,",")))),IF(FU205="",TRUE,IF(input_location="",TRUE,SUMPRODUCT(--ISNUMBER(SEARCH(","&amp;TRIM(TEXTSPLIT(FU205,","))&amp;",",","&amp;SUBSTITUTE(input_location," ","")&amp;",")))=0)),IF(FW205="",TRUE,IF(input_location="",FALSE,SUMPRODUCT(--ISNUMBER(SEARCH(","&amp;TRIM(TEXTSPLIT(FW205,","))&amp;",",","&amp;SUBSTITUTE(input_location," ","")&amp;",")))&gt;0)),IF(FY205="",TRUE,IF(input_location="",FALSE,SUMPRODUCT(--ISNUMBER(SEARCH(","&amp;TRIM(TEXTSPLIT(FY205,","))&amp;",",","&amp;SUBSTITUTE(input_location," ","")&amp;",")))=COUNTA(TEXTSPLIT(FY205,",")))))</f>
        <v/>
      </c>
      <c r="JK205">
        <f>AND(IF(GA205="",TRUE,IF(input_modality="",FALSE,SUMPRODUCT(--ISNUMBER(SEARCH(","&amp;TRIM(TEXTSPLIT(GA205,","))&amp;",",","&amp;SUBSTITUTE(input_modality," ","")&amp;",")))&gt;0)),IF(GC205="",TRUE,IF(input_modality="",FALSE,SUMPRODUCT(--ISNUMBER(SEARCH(","&amp;TRIM(TEXTSPLIT(GC205,","))&amp;",",","&amp;SUBSTITUTE(input_modality," ","")&amp;",")))=COUNTA(TEXTSPLIT(GC205,",")))),IF(GE205="",TRUE,IF(input_modality="",TRUE,SUMPRODUCT(--ISNUMBER(SEARCH(","&amp;TRIM(TEXTSPLIT(GE205,","))&amp;",",","&amp;SUBSTITUTE(input_modality," ","")&amp;",")))=0)),IF(GG205="",TRUE,IF(input_modality="",FALSE,SUMPRODUCT(--ISNUMBER(SEARCH(","&amp;TRIM(TEXTSPLIT(GG205,","))&amp;",",","&amp;SUBSTITUTE(input_modality," ","")&amp;",")))&gt;0)),IF(GI205="",TRUE,IF(input_modality="",FALSE,SUMPRODUCT(--ISNUMBER(SEARCH(","&amp;TRIM(TEXTSPLIT(GI205,","))&amp;",",","&amp;SUBSTITUTE(input_modality," ","")&amp;",")))=COUNTA(TEXTSPLIT(GI205,",")))))</f>
        <v/>
      </c>
      <c r="JL205">
        <f>AND(IF(GK205="",TRUE,IF(input_organizer="",FALSE,SUMPRODUCT(--ISNUMBER(SEARCH(","&amp;TRIM(TEXTSPLIT(GK205,","))&amp;",",","&amp;SUBSTITUTE(input_organizer," ","")&amp;",")))&gt;0)),IF(GM205="",TRUE,IF(input_organizer="",FALSE,SUMPRODUCT(--ISNUMBER(SEARCH(","&amp;TRIM(TEXTSPLIT(GM205,","))&amp;",",","&amp;SUBSTITUTE(input_organizer," ","")&amp;",")))=COUNTA(TEXTSPLIT(GM205,",")))),IF(GO205="",TRUE,IF(input_organizer="",TRUE,SUMPRODUCT(--ISNUMBER(SEARCH(","&amp;TRIM(TEXTSPLIT(GO205,","))&amp;",",","&amp;SUBSTITUTE(input_organizer," ","")&amp;",")))=0)),IF(GQ205="",TRUE,IF(input_organizer="",FALSE,SUMPRODUCT(--ISNUMBER(SEARCH(","&amp;TRIM(TEXTSPLIT(GQ205,","))&amp;",",","&amp;SUBSTITUTE(input_organizer," ","")&amp;",")))&gt;0)),IF(GS205="",TRUE,IF(input_organizer="",FALSE,SUMPRODUCT(--ISNUMBER(SEARCH(","&amp;TRIM(TEXTSPLIT(GS205,","))&amp;",",","&amp;SUBSTITUTE(input_organizer," ","")&amp;",")))=COUNTA(TEXTSPLIT(GS205,",")))))</f>
        <v/>
      </c>
      <c r="JM205">
        <f>AND(IF(GU205="",TRUE,IF(input_profile_type="",FALSE,SUMPRODUCT(--ISNUMBER(SEARCH(","&amp;TRIM(TEXTSPLIT(GU205,","))&amp;",",","&amp;SUBSTITUTE(input_profile_type," ","")&amp;",")))&gt;0)),IF(GW205="",TRUE,IF(input_profile_type="",FALSE,SUMPRODUCT(--ISNUMBER(SEARCH(","&amp;TRIM(TEXTSPLIT(GW205,","))&amp;",",","&amp;SUBSTITUTE(input_profile_type," ","")&amp;",")))=COUNTA(TEXTSPLIT(GW205,",")))),IF(GY205="",TRUE,IF(input_profile_type="",TRUE,SUMPRODUCT(--ISNUMBER(SEARCH(","&amp;TRIM(TEXTSPLIT(GY205,","))&amp;",",","&amp;SUBSTITUTE(input_profile_type," ","")&amp;",")))=0)),IF(HA205="",TRUE,IF(input_profile_type="",FALSE,SUMPRODUCT(--ISNUMBER(SEARCH(","&amp;TRIM(TEXTSPLIT(HA205,","))&amp;",",","&amp;SUBSTITUTE(input_profile_type," ","")&amp;",")))&gt;0)),IF(HC205="",TRUE,IF(input_profile_type="",FALSE,SUMPRODUCT(--ISNUMBER(SEARCH(","&amp;TRIM(TEXTSPLIT(HC205,","))&amp;",",","&amp;SUBSTITUTE(input_profile_type," ","")&amp;",")))=COUNTA(TEXTSPLIT(HC205,",")))))</f>
        <v/>
      </c>
      <c r="JN205">
        <f>AND(IF(HE205="",TRUE,IF(input_program="",FALSE,SUMPRODUCT(--ISNUMBER(SEARCH(","&amp;TRIM(TEXTSPLIT(HE205,","))&amp;",",","&amp;SUBSTITUTE(input_program," ","")&amp;",")))&gt;0)),IF(HG205="",TRUE,IF(input_program="",FALSE,SUMPRODUCT(--ISNUMBER(SEARCH(","&amp;TRIM(TEXTSPLIT(HG205,","))&amp;",",","&amp;SUBSTITUTE(input_program," ","")&amp;",")))=COUNTA(TEXTSPLIT(HG205,",")))),IF(HI205="",TRUE,IF(input_program="",TRUE,SUMPRODUCT(--ISNUMBER(SEARCH(","&amp;TRIM(TEXTSPLIT(HI205,","))&amp;",",","&amp;SUBSTITUTE(input_program," ","")&amp;",")))=0)),IF(HK205="",TRUE,IF(input_program="",FALSE,SUMPRODUCT(--ISNUMBER(SEARCH(","&amp;TRIM(TEXTSPLIT(HK205,","))&amp;",",","&amp;SUBSTITUTE(input_program," ","")&amp;",")))&gt;0)),IF(HM205="",TRUE,IF(input_program="",FALSE,SUMPRODUCT(--ISNUMBER(SEARCH(","&amp;TRIM(TEXTSPLIT(HM205,","))&amp;",",","&amp;SUBSTITUTE(input_program," ","")&amp;",")))=COUNTA(TEXTSPLIT(HM205,",")))))</f>
        <v/>
      </c>
      <c r="JO205">
        <f>AND(IF(HO205="",TRUE,IF(input_story_categories="",FALSE,SUMPRODUCT(--ISNUMBER(SEARCH(","&amp;TRIM(TEXTSPLIT(HO205,","))&amp;",",","&amp;SUBSTITUTE(input_story_categories," ","")&amp;",")))&gt;0)),IF(HQ205="",TRUE,IF(input_story_categories="",FALSE,SUMPRODUCT(--ISNUMBER(SEARCH(","&amp;TRIM(TEXTSPLIT(HQ205,","))&amp;",",","&amp;SUBSTITUTE(input_story_categories," ","")&amp;",")))=COUNTA(TEXTSPLIT(HQ205,",")))),IF(HS205="",TRUE,IF(input_story_categories="",TRUE,SUMPRODUCT(--ISNUMBER(SEARCH(","&amp;TRIM(TEXTSPLIT(HS205,","))&amp;",",","&amp;SUBSTITUTE(input_story_categories," ","")&amp;",")))=0)),IF(HU205="",TRUE,IF(input_story_categories="",FALSE,SUMPRODUCT(--ISNUMBER(SEARCH(","&amp;TRIM(TEXTSPLIT(HU205,","))&amp;",",","&amp;SUBSTITUTE(input_story_categories," ","")&amp;",")))&gt;0)),IF(HW205="",TRUE,IF(input_story_categories="",FALSE,SUMPRODUCT(--ISNUMBER(SEARCH(","&amp;TRIM(TEXTSPLIT(HW205,","))&amp;",",","&amp;SUBSTITUTE(input_story_categories," ","")&amp;",")))=COUNTA(TEXTSPLIT(HW205,",")))))</f>
        <v/>
      </c>
      <c r="JP205">
        <f>AND(IF(HY205="",TRUE,IF(input_story_type="",FALSE,SUMPRODUCT(--ISNUMBER(SEARCH(","&amp;TRIM(TEXTSPLIT(HY205,","))&amp;",",","&amp;SUBSTITUTE(input_story_type," ","")&amp;",")))&gt;0)),IF(IA205="",TRUE,IF(input_story_type="",FALSE,SUMPRODUCT(--ISNUMBER(SEARCH(","&amp;TRIM(TEXTSPLIT(IA205,","))&amp;",",","&amp;SUBSTITUTE(input_story_type," ","")&amp;",")))=COUNTA(TEXTSPLIT(IA205,",")))),IF(IC205="",TRUE,IF(input_story_type="",TRUE,SUMPRODUCT(--ISNUMBER(SEARCH(","&amp;TRIM(TEXTSPLIT(IC205,","))&amp;",",","&amp;SUBSTITUTE(input_story_type," ","")&amp;",")))=0)),IF(IE205="",TRUE,IF(input_story_type="",FALSE,SUMPRODUCT(--ISNUMBER(SEARCH(","&amp;TRIM(TEXTSPLIT(IE205,","))&amp;",",","&amp;SUBSTITUTE(input_story_type," ","")&amp;",")))&gt;0)),IF(IG205="",TRUE,IF(input_story_type="",FALSE,SUMPRODUCT(--ISNUMBER(SEARCH(","&amp;TRIM(TEXTSPLIT(IG205,","))&amp;",",","&amp;SUBSTITUTE(input_story_type," ","")&amp;",")))=COUNTA(TEXTSPLIT(IG205,",")))))</f>
        <v/>
      </c>
      <c r="JQ205">
        <f>AND(IF(II205="",TRUE,IF(input_topics="",FALSE,SUMPRODUCT(--ISNUMBER(SEARCH(","&amp;TRIM(TEXTSPLIT(II205,","))&amp;",",","&amp;SUBSTITUTE(input_topics," ","")&amp;",")))&gt;0)),IF(IK205="",TRUE,IF(input_topics="",FALSE,SUMPRODUCT(--ISNUMBER(SEARCH(","&amp;TRIM(TEXTSPLIT(IK205,","))&amp;",",","&amp;SUBSTITUTE(input_topics," ","")&amp;",")))=COUNTA(TEXTSPLIT(IK205,",")))),IF(IM205="",TRUE,IF(input_topics="",TRUE,SUMPRODUCT(--ISNUMBER(SEARCH(","&amp;TRIM(TEXTSPLIT(IM205,","))&amp;",",","&amp;SUBSTITUTE(input_topics," ","")&amp;",")))=0)),IF(IO205="",TRUE,IF(input_topics="",FALSE,SUMPRODUCT(--ISNUMBER(SEARCH(","&amp;TRIM(TEXTSPLIT(IO205,","))&amp;",",","&amp;SUBSTITUTE(input_topics," ","")&amp;",")))&gt;0)),IF(IQ205="",TRUE,IF(input_topics="",FALSE,SUMPRODUCT(--ISNUMBER(SEARCH(","&amp;TRIM(TEXTSPLIT(IQ205,","))&amp;",",","&amp;SUBSTITUTE(input_topics," ","")&amp;",")))=COUNTA(TEXTSPLIT(IQ205,",")))))</f>
        <v/>
      </c>
    </row>
    <row r="206">
      <c r="A206" s="4">
        <f>IF(NOT(IS206),"Excluded",IF(AND(IT206,IU206,IV206,IW206,IX206,IY206,IZ206,JA206,JB206,JC206,JD206,JE206,JF206,JG206,JH206,JI206,JJ206,JK206,JL206,JM206,JN206,JO206,JP206,JQ206),IF(I206&gt;0,"Eligible but limited","Will appear"),"Excluded"))</f>
        <v/>
      </c>
      <c r="B206" s="4" t="inlineStr">
        <is>
          <t>Related stories on story pages</t>
        </is>
      </c>
      <c r="C206" s="4" t="inlineStr">
        <is>
          <t>/story/2025/curriculum-focus-generative-ai-entrepreneurship</t>
        </is>
      </c>
      <c r="D206" s="4" t="inlineStr">
        <is>
          <t>/story/2025/curriculum-focus-generative-ai-entrepreneurship
/story/2025/nick-callegari-25-named-forbes-30-under-30
/story/2025/startup-stories-turning-esg-maze-simple-compliance</t>
        </is>
      </c>
      <c r="E206" s="4" t="n">
        <v>7</v>
      </c>
      <c r="F206" s="4" t="inlineStr">
        <is>
          <t>story</t>
        </is>
      </c>
      <c r="G206" s="4" t="inlineStr">
        <is>
          <t>stories_teaser_cards</t>
        </is>
      </c>
      <c r="H206" s="4" t="inlineStr">
        <is>
          <t>embed_all</t>
        </is>
      </c>
      <c r="I206" s="4" t="n">
        <v>3</v>
      </c>
      <c r="J206" s="4" t="inlineStr">
        <is>
          <t>Template logic</t>
        </is>
      </c>
      <c r="K206" s="4" t="inlineStr">
        <is>
          <t>Grouped surface</t>
        </is>
      </c>
      <c r="L206" s="4" t="inlineStr">
        <is>
          <t>Content type: story; Context uses Courses Context: Program on Entrepreneurship (934); Context uses Story Type: Blog (974); Limited to 3 item(s); Source: Template logic</t>
        </is>
      </c>
      <c r="M206" t="inlineStr"/>
      <c r="N206" t="inlineStr"/>
      <c r="O206" t="inlineStr"/>
      <c r="P206" t="inlineStr"/>
      <c r="Q206" t="inlineStr"/>
      <c r="R206" t="inlineStr"/>
      <c r="S206" t="inlineStr"/>
      <c r="T206" t="inlineStr"/>
      <c r="U206" t="inlineStr"/>
      <c r="V206" t="inlineStr"/>
      <c r="W206" t="inlineStr"/>
      <c r="X206" t="inlineStr"/>
      <c r="Y206" t="inlineStr"/>
      <c r="Z206" t="inlineStr"/>
      <c r="AA206" t="inlineStr"/>
      <c r="AB206" t="inlineStr"/>
      <c r="AC206" t="inlineStr"/>
      <c r="AD206" t="inlineStr"/>
      <c r="AE206" t="inlineStr"/>
      <c r="AF206" t="inlineStr"/>
      <c r="AG206" t="inlineStr"/>
      <c r="AH206" t="inlineStr"/>
      <c r="AI206" t="inlineStr"/>
      <c r="AJ206" t="inlineStr"/>
      <c r="AK206" t="inlineStr"/>
      <c r="AL206" t="inlineStr"/>
      <c r="AM206" t="inlineStr"/>
      <c r="AN206" t="inlineStr"/>
      <c r="AO206" t="inlineStr"/>
      <c r="AP206" t="inlineStr"/>
      <c r="AQ206" t="inlineStr"/>
      <c r="AR206" t="inlineStr"/>
      <c r="AS206" t="inlineStr"/>
      <c r="AT206" t="inlineStr"/>
      <c r="AU206" t="inlineStr"/>
      <c r="AV206" t="inlineStr"/>
      <c r="AW206" t="inlineStr"/>
      <c r="AX206" t="inlineStr"/>
      <c r="AY206" t="inlineStr"/>
      <c r="AZ206" t="inlineStr"/>
      <c r="BA206" t="inlineStr"/>
      <c r="BB206" t="inlineStr"/>
      <c r="BC206" t="inlineStr"/>
      <c r="BD206" t="inlineStr"/>
      <c r="BE206" t="inlineStr"/>
      <c r="BF206" t="inlineStr"/>
      <c r="BG206" t="inlineStr"/>
      <c r="BH206" t="inlineStr"/>
      <c r="BI206" t="inlineStr"/>
      <c r="BJ206" t="inlineStr"/>
      <c r="BK206" t="inlineStr"/>
      <c r="BL206" t="inlineStr"/>
      <c r="BM206" t="inlineStr"/>
      <c r="BN206" t="inlineStr"/>
      <c r="BO206" t="inlineStr"/>
      <c r="BP206" t="inlineStr"/>
      <c r="BQ206" t="inlineStr">
        <is>
          <t>934</t>
        </is>
      </c>
      <c r="BR206" t="inlineStr">
        <is>
          <t>Program on Entrepreneurship (934)</t>
        </is>
      </c>
      <c r="BS206" t="inlineStr"/>
      <c r="BT206" t="inlineStr"/>
      <c r="BU206" t="inlineStr"/>
      <c r="BV206" t="inlineStr"/>
      <c r="BW206" t="inlineStr"/>
      <c r="BX206" t="inlineStr"/>
      <c r="BY206" t="inlineStr"/>
      <c r="BZ206" t="inlineStr"/>
      <c r="CA206" t="inlineStr"/>
      <c r="CB206" t="inlineStr"/>
      <c r="CC206" t="inlineStr"/>
      <c r="CD206" t="inlineStr"/>
      <c r="CE206" t="inlineStr"/>
      <c r="CF206" t="inlineStr"/>
      <c r="CG206" t="inlineStr"/>
      <c r="CH206" t="inlineStr"/>
      <c r="CI206" t="inlineStr"/>
      <c r="CJ206" t="inlineStr"/>
      <c r="CK206" t="inlineStr"/>
      <c r="CL206" t="inlineStr"/>
      <c r="CM206" t="inlineStr"/>
      <c r="CN206" t="inlineStr"/>
      <c r="CO206" t="inlineStr"/>
      <c r="CP206" t="inlineStr"/>
      <c r="CQ206" t="inlineStr"/>
      <c r="CR206" t="inlineStr"/>
      <c r="CS206" t="inlineStr"/>
      <c r="CT206" t="inlineStr"/>
      <c r="CU206" t="inlineStr"/>
      <c r="CV206" t="inlineStr"/>
      <c r="CW206" t="inlineStr"/>
      <c r="CX206" t="inlineStr"/>
      <c r="CY206" t="inlineStr"/>
      <c r="CZ206" t="inlineStr"/>
      <c r="DA206" t="inlineStr"/>
      <c r="DB206" t="inlineStr"/>
      <c r="DC206" t="inlineStr"/>
      <c r="DD206" t="inlineStr"/>
      <c r="DE206" t="inlineStr"/>
      <c r="DF206" t="inlineStr"/>
      <c r="DG206" t="inlineStr"/>
      <c r="DH206" t="inlineStr"/>
      <c r="DI206" t="inlineStr"/>
      <c r="DJ206" t="inlineStr"/>
      <c r="DK206" t="inlineStr"/>
      <c r="DL206" t="inlineStr"/>
      <c r="DM206" t="inlineStr"/>
      <c r="DN206" t="inlineStr"/>
      <c r="DO206" t="inlineStr"/>
      <c r="DP206" t="inlineStr"/>
      <c r="DQ206" t="inlineStr"/>
      <c r="DR206" t="inlineStr"/>
      <c r="DS206" t="inlineStr"/>
      <c r="DT206" t="inlineStr"/>
      <c r="DU206" t="inlineStr"/>
      <c r="DV206" t="inlineStr"/>
      <c r="DW206" t="inlineStr"/>
      <c r="DX206" t="inlineStr"/>
      <c r="DY206" t="inlineStr"/>
      <c r="DZ206" t="inlineStr"/>
      <c r="EA206" t="inlineStr"/>
      <c r="EB206" t="inlineStr"/>
      <c r="EC206" t="inlineStr"/>
      <c r="ED206" t="inlineStr"/>
      <c r="EE206" t="inlineStr"/>
      <c r="EF206" t="inlineStr"/>
      <c r="EG206" t="inlineStr"/>
      <c r="EH206" t="inlineStr"/>
      <c r="EI206" t="inlineStr"/>
      <c r="EJ206" t="inlineStr"/>
      <c r="EK206" t="inlineStr"/>
      <c r="EL206" t="inlineStr"/>
      <c r="EM206" t="inlineStr"/>
      <c r="EN206" t="inlineStr"/>
      <c r="EO206" t="inlineStr"/>
      <c r="EP206" t="inlineStr"/>
      <c r="EQ206" t="inlineStr"/>
      <c r="ER206" t="inlineStr"/>
      <c r="ES206" t="inlineStr"/>
      <c r="ET206" t="inlineStr"/>
      <c r="EU206" t="inlineStr"/>
      <c r="EV206" t="inlineStr"/>
      <c r="EW206" t="inlineStr"/>
      <c r="EX206" t="inlineStr"/>
      <c r="EY206" t="inlineStr"/>
      <c r="EZ206" t="inlineStr"/>
      <c r="FA206" t="inlineStr"/>
      <c r="FB206" t="inlineStr"/>
      <c r="FC206" t="inlineStr"/>
      <c r="FD206" t="inlineStr"/>
      <c r="FE206" t="inlineStr"/>
      <c r="FF206" t="inlineStr"/>
      <c r="FG206" t="inlineStr"/>
      <c r="FH206" t="inlineStr"/>
      <c r="FI206" t="inlineStr"/>
      <c r="FJ206" t="inlineStr"/>
      <c r="FK206" t="inlineStr"/>
      <c r="FL206" t="inlineStr"/>
      <c r="FM206" t="inlineStr"/>
      <c r="FN206" t="inlineStr"/>
      <c r="FO206" t="inlineStr"/>
      <c r="FP206" t="inlineStr"/>
      <c r="FQ206" t="inlineStr"/>
      <c r="FR206" t="inlineStr"/>
      <c r="FS206" t="inlineStr"/>
      <c r="FT206" t="inlineStr"/>
      <c r="FU206" t="inlineStr"/>
      <c r="FV206" t="inlineStr"/>
      <c r="FW206" t="inlineStr"/>
      <c r="FX206" t="inlineStr"/>
      <c r="FY206" t="inlineStr"/>
      <c r="FZ206" t="inlineStr"/>
      <c r="GA206" t="inlineStr"/>
      <c r="GB206" t="inlineStr"/>
      <c r="GC206" t="inlineStr"/>
      <c r="GD206" t="inlineStr"/>
      <c r="GE206" t="inlineStr"/>
      <c r="GF206" t="inlineStr"/>
      <c r="GG206" t="inlineStr"/>
      <c r="GH206" t="inlineStr"/>
      <c r="GI206" t="inlineStr"/>
      <c r="GJ206" t="inlineStr"/>
      <c r="GK206" t="inlineStr"/>
      <c r="GL206" t="inlineStr"/>
      <c r="GM206" t="inlineStr"/>
      <c r="GN206" t="inlineStr"/>
      <c r="GO206" t="inlineStr"/>
      <c r="GP206" t="inlineStr"/>
      <c r="GQ206" t="inlineStr"/>
      <c r="GR206" t="inlineStr"/>
      <c r="GS206" t="inlineStr"/>
      <c r="GT206" t="inlineStr"/>
      <c r="GU206" t="inlineStr"/>
      <c r="GV206" t="inlineStr"/>
      <c r="GW206" t="inlineStr"/>
      <c r="GX206" t="inlineStr"/>
      <c r="GY206" t="inlineStr"/>
      <c r="GZ206" t="inlineStr"/>
      <c r="HA206" t="inlineStr"/>
      <c r="HB206" t="inlineStr"/>
      <c r="HC206" t="inlineStr"/>
      <c r="HD206" t="inlineStr"/>
      <c r="HE206" t="inlineStr"/>
      <c r="HF206" t="inlineStr"/>
      <c r="HG206" t="inlineStr"/>
      <c r="HH206" t="inlineStr"/>
      <c r="HI206" t="inlineStr"/>
      <c r="HJ206" t="inlineStr"/>
      <c r="HK206" t="inlineStr"/>
      <c r="HL206" t="inlineStr"/>
      <c r="HM206" t="inlineStr"/>
      <c r="HN206" t="inlineStr"/>
      <c r="HO206" t="inlineStr"/>
      <c r="HP206" t="inlineStr"/>
      <c r="HQ206" t="inlineStr"/>
      <c r="HR206" t="inlineStr"/>
      <c r="HS206" t="inlineStr"/>
      <c r="HT206" t="inlineStr"/>
      <c r="HU206" t="inlineStr"/>
      <c r="HV206" t="inlineStr"/>
      <c r="HW206" t="inlineStr"/>
      <c r="HX206" t="inlineStr"/>
      <c r="HY206" t="inlineStr"/>
      <c r="HZ206" t="inlineStr"/>
      <c r="IA206" t="inlineStr"/>
      <c r="IB206" t="inlineStr"/>
      <c r="IC206" t="inlineStr"/>
      <c r="ID206" t="inlineStr"/>
      <c r="IE206" t="inlineStr">
        <is>
          <t>974</t>
        </is>
      </c>
      <c r="IF206" t="inlineStr">
        <is>
          <t>Blog (974)</t>
        </is>
      </c>
      <c r="IG206" t="inlineStr"/>
      <c r="IH206" t="inlineStr"/>
      <c r="II206" t="inlineStr"/>
      <c r="IJ206" t="inlineStr"/>
      <c r="IK206" t="inlineStr"/>
      <c r="IL206" t="inlineStr"/>
      <c r="IM206" t="inlineStr"/>
      <c r="IN206" t="inlineStr"/>
      <c r="IO206" t="inlineStr"/>
      <c r="IP206" t="inlineStr"/>
      <c r="IQ206" t="inlineStr"/>
      <c r="IR206" t="inlineStr"/>
      <c r="IS206">
        <f>IF(input_content_type="",FALSE,ISNUMBER(SEARCH(","&amp;LOWER(input_content_type)&amp;",",","&amp;LOWER(F206)&amp;",")))</f>
        <v/>
      </c>
      <c r="IT206">
        <f>AND(IF(M206="",TRUE,IF(input_affiliations="",FALSE,SUMPRODUCT(--ISNUMBER(SEARCH(","&amp;TRIM(TEXTSPLIT(M206,","))&amp;",",","&amp;SUBSTITUTE(input_affiliations," ","")&amp;",")))&gt;0)),IF(O206="",TRUE,IF(input_affiliations="",FALSE,SUMPRODUCT(--ISNUMBER(SEARCH(","&amp;TRIM(TEXTSPLIT(O206,","))&amp;",",","&amp;SUBSTITUTE(input_affiliations," ","")&amp;",")))=COUNTA(TEXTSPLIT(O206,",")))),IF(Q206="",TRUE,IF(input_affiliations="",TRUE,SUMPRODUCT(--ISNUMBER(SEARCH(","&amp;TRIM(TEXTSPLIT(Q206,","))&amp;",",","&amp;SUBSTITUTE(input_affiliations," ","")&amp;",")))=0)),IF(S206="",TRUE,IF(input_affiliations="",FALSE,SUMPRODUCT(--ISNUMBER(SEARCH(","&amp;TRIM(TEXTSPLIT(S206,","))&amp;",",","&amp;SUBSTITUTE(input_affiliations," ","")&amp;",")))&gt;0)),IF(U206="",TRUE,IF(input_affiliations="",FALSE,SUMPRODUCT(--ISNUMBER(SEARCH(","&amp;TRIM(TEXTSPLIT(U206,","))&amp;",",","&amp;SUBSTITUTE(input_affiliations," ","")&amp;",")))=COUNTA(TEXTSPLIT(U206,",")))))</f>
        <v/>
      </c>
      <c r="IU206">
        <f>AND(IF(W206="",TRUE,IF(input_announcement_category="",FALSE,SUMPRODUCT(--ISNUMBER(SEARCH(","&amp;TRIM(TEXTSPLIT(W206,","))&amp;",",","&amp;SUBSTITUTE(input_announcement_category," ","")&amp;",")))&gt;0)),IF(Y206="",TRUE,IF(input_announcement_category="",FALSE,SUMPRODUCT(--ISNUMBER(SEARCH(","&amp;TRIM(TEXTSPLIT(Y206,","))&amp;",",","&amp;SUBSTITUTE(input_announcement_category," ","")&amp;",")))=COUNTA(TEXTSPLIT(Y206,",")))),IF(AA206="",TRUE,IF(input_announcement_category="",TRUE,SUMPRODUCT(--ISNUMBER(SEARCH(","&amp;TRIM(TEXTSPLIT(AA206,","))&amp;",",","&amp;SUBSTITUTE(input_announcement_category," ","")&amp;",")))=0)),IF(AC206="",TRUE,IF(input_announcement_category="",FALSE,SUMPRODUCT(--ISNUMBER(SEARCH(","&amp;TRIM(TEXTSPLIT(AC206,","))&amp;",",","&amp;SUBSTITUTE(input_announcement_category," ","")&amp;",")))&gt;0)),IF(AE206="",TRUE,IF(input_announcement_category="",FALSE,SUMPRODUCT(--ISNUMBER(SEARCH(","&amp;TRIM(TEXTSPLIT(AE206,","))&amp;",",","&amp;SUBSTITUTE(input_announcement_category," ","")&amp;",")))=COUNTA(TEXTSPLIT(AE206,",")))))</f>
        <v/>
      </c>
      <c r="IV206">
        <f>AND(IF(AG206="",TRUE,IF(input_area_of_focus="",FALSE,SUMPRODUCT(--ISNUMBER(SEARCH(","&amp;TRIM(TEXTSPLIT(AG206,","))&amp;",",","&amp;SUBSTITUTE(input_area_of_focus," ","")&amp;",")))&gt;0)),IF(AI206="",TRUE,IF(input_area_of_focus="",FALSE,SUMPRODUCT(--ISNUMBER(SEARCH(","&amp;TRIM(TEXTSPLIT(AI206,","))&amp;",",","&amp;SUBSTITUTE(input_area_of_focus," ","")&amp;",")))=COUNTA(TEXTSPLIT(AI206,",")))),IF(AK206="",TRUE,IF(input_area_of_focus="",TRUE,SUMPRODUCT(--ISNUMBER(SEARCH(","&amp;TRIM(TEXTSPLIT(AK206,","))&amp;",",","&amp;SUBSTITUTE(input_area_of_focus," ","")&amp;",")))=0)),IF(AM206="",TRUE,IF(input_area_of_focus="",FALSE,SUMPRODUCT(--ISNUMBER(SEARCH(","&amp;TRIM(TEXTSPLIT(AM206,","))&amp;",",","&amp;SUBSTITUTE(input_area_of_focus," ","")&amp;",")))&gt;0)),IF(AO206="",TRUE,IF(input_area_of_focus="",FALSE,SUMPRODUCT(--ISNUMBER(SEARCH(","&amp;TRIM(TEXTSPLIT(AO206,","))&amp;",",","&amp;SUBSTITUTE(input_area_of_focus," ","")&amp;",")))=COUNTA(TEXTSPLIT(AO206,",")))))</f>
        <v/>
      </c>
      <c r="IW206">
        <f>AND(IF(AQ206="",TRUE,IF(input_audience="",FALSE,SUMPRODUCT(--ISNUMBER(SEARCH(","&amp;TRIM(TEXTSPLIT(AQ206,","))&amp;",",","&amp;SUBSTITUTE(input_audience," ","")&amp;",")))&gt;0)),IF(AS206="",TRUE,IF(input_audience="",FALSE,SUMPRODUCT(--ISNUMBER(SEARCH(","&amp;TRIM(TEXTSPLIT(AS206,","))&amp;",",","&amp;SUBSTITUTE(input_audience," ","")&amp;",")))=COUNTA(TEXTSPLIT(AS206,",")))),IF(AU206="",TRUE,IF(input_audience="",TRUE,SUMPRODUCT(--ISNUMBER(SEARCH(","&amp;TRIM(TEXTSPLIT(AU206,","))&amp;",",","&amp;SUBSTITUTE(input_audience," ","")&amp;",")))=0)),IF(AW206="",TRUE,IF(input_audience="",FALSE,SUMPRODUCT(--ISNUMBER(SEARCH(","&amp;TRIM(TEXTSPLIT(AW206,","))&amp;",",","&amp;SUBSTITUTE(input_audience," ","")&amp;",")))&gt;0)),IF(AY206="",TRUE,IF(input_audience="",FALSE,SUMPRODUCT(--ISNUMBER(SEARCH(","&amp;TRIM(TEXTSPLIT(AY206,","))&amp;",",","&amp;SUBSTITUTE(input_audience," ","")&amp;",")))=COUNTA(TEXTSPLIT(AY206,",")))))</f>
        <v/>
      </c>
      <c r="IX206">
        <f>AND(IF(BA206="",TRUE,IF(input_challenge_opportunities="",FALSE,SUMPRODUCT(--ISNUMBER(SEARCH(","&amp;TRIM(TEXTSPLIT(BA206,","))&amp;",",","&amp;SUBSTITUTE(input_challenge_opportunities," ","")&amp;",")))&gt;0)),IF(BC206="",TRUE,IF(input_challenge_opportunities="",FALSE,SUMPRODUCT(--ISNUMBER(SEARCH(","&amp;TRIM(TEXTSPLIT(BC206,","))&amp;",",","&amp;SUBSTITUTE(input_challenge_opportunities," ","")&amp;",")))=COUNTA(TEXTSPLIT(BC206,",")))),IF(BE206="",TRUE,IF(input_challenge_opportunities="",TRUE,SUMPRODUCT(--ISNUMBER(SEARCH(","&amp;TRIM(TEXTSPLIT(BE206,","))&amp;",",","&amp;SUBSTITUTE(input_challenge_opportunities," ","")&amp;",")))=0)),IF(BG206="",TRUE,IF(input_challenge_opportunities="",FALSE,SUMPRODUCT(--ISNUMBER(SEARCH(","&amp;TRIM(TEXTSPLIT(BG206,","))&amp;",",","&amp;SUBSTITUTE(input_challenge_opportunities," ","")&amp;",")))&gt;0)),IF(BI206="",TRUE,IF(input_challenge_opportunities="",FALSE,SUMPRODUCT(--ISNUMBER(SEARCH(","&amp;TRIM(TEXTSPLIT(BI206,","))&amp;",",","&amp;SUBSTITUTE(input_challenge_opportunities," ","")&amp;",")))=COUNTA(TEXTSPLIT(BI206,",")))))</f>
        <v/>
      </c>
      <c r="IY206">
        <f>AND(IF(BK206="",TRUE,IF(input_context="",FALSE,SUMPRODUCT(--ISNUMBER(SEARCH(","&amp;TRIM(TEXTSPLIT(BK206,","))&amp;",",","&amp;SUBSTITUTE(input_context," ","")&amp;",")))&gt;0)),IF(BM206="",TRUE,IF(input_context="",FALSE,SUMPRODUCT(--ISNUMBER(SEARCH(","&amp;TRIM(TEXTSPLIT(BM206,","))&amp;",",","&amp;SUBSTITUTE(input_context," ","")&amp;",")))=COUNTA(TEXTSPLIT(BM206,",")))),IF(BO206="",TRUE,IF(input_context="",TRUE,SUMPRODUCT(--ISNUMBER(SEARCH(","&amp;TRIM(TEXTSPLIT(BO206,","))&amp;",",","&amp;SUBSTITUTE(input_context," ","")&amp;",")))=0)),IF(BQ206="",TRUE,IF(input_context="",FALSE,SUMPRODUCT(--ISNUMBER(SEARCH(","&amp;TRIM(TEXTSPLIT(BQ206,","))&amp;",",","&amp;SUBSTITUTE(input_context," ","")&amp;",")))&gt;0)),IF(BS206="",TRUE,IF(input_context="",FALSE,SUMPRODUCT(--ISNUMBER(SEARCH(","&amp;TRIM(TEXTSPLIT(BS206,","))&amp;",",","&amp;SUBSTITUTE(input_context," ","")&amp;",")))=COUNTA(TEXTSPLIT(BS206,",")))))</f>
        <v/>
      </c>
      <c r="IZ206">
        <f>AND(IF(BU206="",TRUE,IF(input_enews_announcement_type="",FALSE,SUMPRODUCT(--ISNUMBER(SEARCH(","&amp;TRIM(TEXTSPLIT(BU206,","))&amp;",",","&amp;SUBSTITUTE(input_enews_announcement_type," ","")&amp;",")))&gt;0)),IF(BW206="",TRUE,IF(input_enews_announcement_type="",FALSE,SUMPRODUCT(--ISNUMBER(SEARCH(","&amp;TRIM(TEXTSPLIT(BW206,","))&amp;",",","&amp;SUBSTITUTE(input_enews_announcement_type," ","")&amp;",")))=COUNTA(TEXTSPLIT(BW206,",")))),IF(BY206="",TRUE,IF(input_enews_announcement_type="",TRUE,SUMPRODUCT(--ISNUMBER(SEARCH(","&amp;TRIM(TEXTSPLIT(BY206,","))&amp;",",","&amp;SUBSTITUTE(input_enews_announcement_type," ","")&amp;",")))=0)),IF(CA206="",TRUE,IF(input_enews_announcement_type="",FALSE,SUMPRODUCT(--ISNUMBER(SEARCH(","&amp;TRIM(TEXTSPLIT(CA206,","))&amp;",",","&amp;SUBSTITUTE(input_enews_announcement_type," ","")&amp;",")))&gt;0)),IF(CC206="",TRUE,IF(input_enews_announcement_type="",FALSE,SUMPRODUCT(--ISNUMBER(SEARCH(","&amp;TRIM(TEXTSPLIT(CC206,","))&amp;",",","&amp;SUBSTITUTE(input_enews_announcement_type," ","")&amp;",")))=COUNTA(TEXTSPLIT(CC206,",")))))</f>
        <v/>
      </c>
      <c r="JA206">
        <f>AND(IF(CE206="",TRUE,IF(input_enews_audience="",FALSE,SUMPRODUCT(--ISNUMBER(SEARCH(","&amp;TRIM(TEXTSPLIT(CE206,","))&amp;",",","&amp;SUBSTITUTE(input_enews_audience," ","")&amp;",")))&gt;0)),IF(CG206="",TRUE,IF(input_enews_audience="",FALSE,SUMPRODUCT(--ISNUMBER(SEARCH(","&amp;TRIM(TEXTSPLIT(CG206,","))&amp;",",","&amp;SUBSTITUTE(input_enews_audience," ","")&amp;",")))=COUNTA(TEXTSPLIT(CG206,",")))),IF(CI206="",TRUE,IF(input_enews_audience="",TRUE,SUMPRODUCT(--ISNUMBER(SEARCH(","&amp;TRIM(TEXTSPLIT(CI206,","))&amp;",",","&amp;SUBSTITUTE(input_enews_audience," ","")&amp;",")))=0)),IF(CK206="",TRUE,IF(input_enews_audience="",FALSE,SUMPRODUCT(--ISNUMBER(SEARCH(","&amp;TRIM(TEXTSPLIT(CK206,","))&amp;",",","&amp;SUBSTITUTE(input_enews_audience," ","")&amp;",")))&gt;0)),IF(CM206="",TRUE,IF(input_enews_audience="",FALSE,SUMPRODUCT(--ISNUMBER(SEARCH(","&amp;TRIM(TEXTSPLIT(CM206,","))&amp;",",","&amp;SUBSTITUTE(input_enews_audience," ","")&amp;",")))=COUNTA(TEXTSPLIT(CM206,",")))))</f>
        <v/>
      </c>
      <c r="JB206">
        <f>AND(IF(CO206="",TRUE,IF(input_event_location="",FALSE,SUMPRODUCT(--ISNUMBER(SEARCH(","&amp;TRIM(TEXTSPLIT(CO206,","))&amp;",",","&amp;SUBSTITUTE(input_event_location," ","")&amp;",")))&gt;0)),IF(CQ206="",TRUE,IF(input_event_location="",FALSE,SUMPRODUCT(--ISNUMBER(SEARCH(","&amp;TRIM(TEXTSPLIT(CQ206,","))&amp;",",","&amp;SUBSTITUTE(input_event_location," ","")&amp;",")))=COUNTA(TEXTSPLIT(CQ206,",")))),IF(CS206="",TRUE,IF(input_event_location="",TRUE,SUMPRODUCT(--ISNUMBER(SEARCH(","&amp;TRIM(TEXTSPLIT(CS206,","))&amp;",",","&amp;SUBSTITUTE(input_event_location," ","")&amp;",")))=0)),IF(CU206="",TRUE,IF(input_event_location="",FALSE,SUMPRODUCT(--ISNUMBER(SEARCH(","&amp;TRIM(TEXTSPLIT(CU206,","))&amp;",",","&amp;SUBSTITUTE(input_event_location," ","")&amp;",")))&gt;0)),IF(CW206="",TRUE,IF(input_event_location="",FALSE,SUMPRODUCT(--ISNUMBER(SEARCH(","&amp;TRIM(TEXTSPLIT(CW206,","))&amp;",",","&amp;SUBSTITUTE(input_event_location," ","")&amp;",")))=COUNTA(TEXTSPLIT(CW206,",")))))</f>
        <v/>
      </c>
      <c r="JC206">
        <f>AND(IF(CY206="",TRUE,IF(input_event_type="",FALSE,SUMPRODUCT(--ISNUMBER(SEARCH(","&amp;TRIM(TEXTSPLIT(CY206,","))&amp;",",","&amp;SUBSTITUTE(input_event_type," ","")&amp;",")))&gt;0)),IF(DA206="",TRUE,IF(input_event_type="",FALSE,SUMPRODUCT(--ISNUMBER(SEARCH(","&amp;TRIM(TEXTSPLIT(DA206,","))&amp;",",","&amp;SUBSTITUTE(input_event_type," ","")&amp;",")))=COUNTA(TEXTSPLIT(DA206,",")))),IF(DC206="",TRUE,IF(input_event_type="",TRUE,SUMPRODUCT(--ISNUMBER(SEARCH(","&amp;TRIM(TEXTSPLIT(DC206,","))&amp;",",","&amp;SUBSTITUTE(input_event_type," ","")&amp;",")))=0)),IF(DE206="",TRUE,IF(input_event_type="",FALSE,SUMPRODUCT(--ISNUMBER(SEARCH(","&amp;TRIM(TEXTSPLIT(DE206,","))&amp;",",","&amp;SUBSTITUTE(input_event_type," ","")&amp;",")))&gt;0)),IF(DG206="",TRUE,IF(input_event_type="",FALSE,SUMPRODUCT(--ISNUMBER(SEARCH(","&amp;TRIM(TEXTSPLIT(DG206,","))&amp;",",","&amp;SUBSTITUTE(input_event_type," ","")&amp;",")))=COUNTA(TEXTSPLIT(DG206,",")))))</f>
        <v/>
      </c>
      <c r="JD206">
        <f>AND(IF(DI206="",TRUE,IF(input_executive_education_focus="",FALSE,SUMPRODUCT(--ISNUMBER(SEARCH(","&amp;TRIM(TEXTSPLIT(DI206,","))&amp;",",","&amp;SUBSTITUTE(input_executive_education_focus," ","")&amp;",")))&gt;0)),IF(DK206="",TRUE,IF(input_executive_education_focus="",FALSE,SUMPRODUCT(--ISNUMBER(SEARCH(","&amp;TRIM(TEXTSPLIT(DK206,","))&amp;",",","&amp;SUBSTITUTE(input_executive_education_focus," ","")&amp;",")))=COUNTA(TEXTSPLIT(DK206,",")))),IF(DM206="",TRUE,IF(input_executive_education_focus="",TRUE,SUMPRODUCT(--ISNUMBER(SEARCH(","&amp;TRIM(TEXTSPLIT(DM206,","))&amp;",",","&amp;SUBSTITUTE(input_executive_education_focus," ","")&amp;",")))=0)),IF(DO206="",TRUE,IF(input_executive_education_focus="",FALSE,SUMPRODUCT(--ISNUMBER(SEARCH(","&amp;TRIM(TEXTSPLIT(DO206,","))&amp;",",","&amp;SUBSTITUTE(input_executive_education_focus," ","")&amp;",")))&gt;0)),IF(DQ206="",TRUE,IF(input_executive_education_focus="",FALSE,SUMPRODUCT(--ISNUMBER(SEARCH(","&amp;TRIM(TEXTSPLIT(DQ206,","))&amp;",",","&amp;SUBSTITUTE(input_executive_education_focus," ","")&amp;",")))=COUNTA(TEXTSPLIT(DQ206,",")))))</f>
        <v/>
      </c>
      <c r="JE206">
        <f>AND(IF(DS206="",TRUE,IF(input_faculty_category="",FALSE,SUMPRODUCT(--ISNUMBER(SEARCH(","&amp;TRIM(TEXTSPLIT(DS206,","))&amp;",",","&amp;SUBSTITUTE(input_faculty_category," ","")&amp;",")))&gt;0)),IF(DU206="",TRUE,IF(input_faculty_category="",FALSE,SUMPRODUCT(--ISNUMBER(SEARCH(","&amp;TRIM(TEXTSPLIT(DU206,","))&amp;",",","&amp;SUBSTITUTE(input_faculty_category," ","")&amp;",")))=COUNTA(TEXTSPLIT(DU206,",")))),IF(DW206="",TRUE,IF(input_faculty_category="",TRUE,SUMPRODUCT(--ISNUMBER(SEARCH(","&amp;TRIM(TEXTSPLIT(DW206,","))&amp;",",","&amp;SUBSTITUTE(input_faculty_category," ","")&amp;",")))=0)),IF(DY206="",TRUE,IF(input_faculty_category="",FALSE,SUMPRODUCT(--ISNUMBER(SEARCH(","&amp;TRIM(TEXTSPLIT(DY206,","))&amp;",",","&amp;SUBSTITUTE(input_faculty_category," ","")&amp;",")))&gt;0)),IF(EA206="",TRUE,IF(input_faculty_category="",FALSE,SUMPRODUCT(--ISNUMBER(SEARCH(","&amp;TRIM(TEXTSPLIT(EA206,","))&amp;",",","&amp;SUBSTITUTE(input_faculty_category," ","")&amp;",")))=COUNTA(TEXTSPLIT(EA206,",")))))</f>
        <v/>
      </c>
      <c r="JF206">
        <f>AND(IF(EC206="",TRUE,IF(input_faculty_discipline="",FALSE,SUMPRODUCT(--ISNUMBER(SEARCH(","&amp;TRIM(TEXTSPLIT(EC206,","))&amp;",",","&amp;SUBSTITUTE(input_faculty_discipline," ","")&amp;",")))&gt;0)),IF(EE206="",TRUE,IF(input_faculty_discipline="",FALSE,SUMPRODUCT(--ISNUMBER(SEARCH(","&amp;TRIM(TEXTSPLIT(EE206,","))&amp;",",","&amp;SUBSTITUTE(input_faculty_discipline," ","")&amp;",")))=COUNTA(TEXTSPLIT(EE206,",")))),IF(EG206="",TRUE,IF(input_faculty_discipline="",TRUE,SUMPRODUCT(--ISNUMBER(SEARCH(","&amp;TRIM(TEXTSPLIT(EG206,","))&amp;",",","&amp;SUBSTITUTE(input_faculty_discipline," ","")&amp;",")))=0)),IF(EI206="",TRUE,IF(input_faculty_discipline="",FALSE,SUMPRODUCT(--ISNUMBER(SEARCH(","&amp;TRIM(TEXTSPLIT(EI206,","))&amp;",",","&amp;SUBSTITUTE(input_faculty_discipline," ","")&amp;",")))&gt;0)),IF(EK206="",TRUE,IF(input_faculty_discipline="",FALSE,SUMPRODUCT(--ISNUMBER(SEARCH(","&amp;TRIM(TEXTSPLIT(EK206,","))&amp;",",","&amp;SUBSTITUTE(input_faculty_discipline," ","")&amp;",")))=COUNTA(TEXTSPLIT(EK206,",")))))</f>
        <v/>
      </c>
      <c r="JG206">
        <f>AND(IF(EM206="",TRUE,IF(input_faculty_expertise="",FALSE,SUMPRODUCT(--ISNUMBER(SEARCH(","&amp;TRIM(TEXTSPLIT(EM206,","))&amp;",",","&amp;SUBSTITUTE(input_faculty_expertise," ","")&amp;",")))&gt;0)),IF(EO206="",TRUE,IF(input_faculty_expertise="",FALSE,SUMPRODUCT(--ISNUMBER(SEARCH(","&amp;TRIM(TEXTSPLIT(EO206,","))&amp;",",","&amp;SUBSTITUTE(input_faculty_expertise," ","")&amp;",")))=COUNTA(TEXTSPLIT(EO206,",")))),IF(EQ206="",TRUE,IF(input_faculty_expertise="",TRUE,SUMPRODUCT(--ISNUMBER(SEARCH(","&amp;TRIM(TEXTSPLIT(EQ206,","))&amp;",",","&amp;SUBSTITUTE(input_faculty_expertise," ","")&amp;",")))=0)),IF(ES206="",TRUE,IF(input_faculty_expertise="",FALSE,SUMPRODUCT(--ISNUMBER(SEARCH(","&amp;TRIM(TEXTSPLIT(ES206,","))&amp;",",","&amp;SUBSTITUTE(input_faculty_expertise," ","")&amp;",")))&gt;0)),IF(EU206="",TRUE,IF(input_faculty_expertise="",FALSE,SUMPRODUCT(--ISNUMBER(SEARCH(","&amp;TRIM(TEXTSPLIT(EU206,","))&amp;",",","&amp;SUBSTITUTE(input_faculty_expertise," ","")&amp;",")))=COUNTA(TEXTSPLIT(EU206,",")))))</f>
        <v/>
      </c>
      <c r="JH206">
        <f>AND(IF(EW206="",TRUE,IF(input_global_network_school="",FALSE,SUMPRODUCT(--ISNUMBER(SEARCH(","&amp;TRIM(TEXTSPLIT(EW206,","))&amp;",",","&amp;SUBSTITUTE(input_global_network_school," ","")&amp;",")))&gt;0)),IF(EY206="",TRUE,IF(input_global_network_school="",FALSE,SUMPRODUCT(--ISNUMBER(SEARCH(","&amp;TRIM(TEXTSPLIT(EY206,","))&amp;",",","&amp;SUBSTITUTE(input_global_network_school," ","")&amp;",")))=COUNTA(TEXTSPLIT(EY206,",")))),IF(FA206="",TRUE,IF(input_global_network_school="",TRUE,SUMPRODUCT(--ISNUMBER(SEARCH(","&amp;TRIM(TEXTSPLIT(FA206,","))&amp;",",","&amp;SUBSTITUTE(input_global_network_school," ","")&amp;",")))=0)),IF(FC206="",TRUE,IF(input_global_network_school="",FALSE,SUMPRODUCT(--ISNUMBER(SEARCH(","&amp;TRIM(TEXTSPLIT(FC206,","))&amp;",",","&amp;SUBSTITUTE(input_global_network_school," ","")&amp;",")))&gt;0)),IF(FE206="",TRUE,IF(input_global_network_school="",FALSE,SUMPRODUCT(--ISNUMBER(SEARCH(","&amp;TRIM(TEXTSPLIT(FE206,","))&amp;",",","&amp;SUBSTITUTE(input_global_network_school," ","")&amp;",")))=COUNTA(TEXTSPLIT(FE206,",")))))</f>
        <v/>
      </c>
      <c r="JI206">
        <f>AND(IF(FG206="",TRUE,IF(input_industry="",FALSE,SUMPRODUCT(--ISNUMBER(SEARCH(","&amp;TRIM(TEXTSPLIT(FG206,","))&amp;",",","&amp;SUBSTITUTE(input_industry," ","")&amp;",")))&gt;0)),IF(FI206="",TRUE,IF(input_industry="",FALSE,SUMPRODUCT(--ISNUMBER(SEARCH(","&amp;TRIM(TEXTSPLIT(FI206,","))&amp;",",","&amp;SUBSTITUTE(input_industry," ","")&amp;",")))=COUNTA(TEXTSPLIT(FI206,",")))),IF(FK206="",TRUE,IF(input_industry="",TRUE,SUMPRODUCT(--ISNUMBER(SEARCH(","&amp;TRIM(TEXTSPLIT(FK206,","))&amp;",",","&amp;SUBSTITUTE(input_industry," ","")&amp;",")))=0)),IF(FM206="",TRUE,IF(input_industry="",FALSE,SUMPRODUCT(--ISNUMBER(SEARCH(","&amp;TRIM(TEXTSPLIT(FM206,","))&amp;",",","&amp;SUBSTITUTE(input_industry," ","")&amp;",")))&gt;0)),IF(FO206="",TRUE,IF(input_industry="",FALSE,SUMPRODUCT(--ISNUMBER(SEARCH(","&amp;TRIM(TEXTSPLIT(FO206,","))&amp;",",","&amp;SUBSTITUTE(input_industry," ","")&amp;",")))=COUNTA(TEXTSPLIT(FO206,",")))))</f>
        <v/>
      </c>
      <c r="JJ206">
        <f>AND(IF(FQ206="",TRUE,IF(input_location="",FALSE,SUMPRODUCT(--ISNUMBER(SEARCH(","&amp;TRIM(TEXTSPLIT(FQ206,","))&amp;",",","&amp;SUBSTITUTE(input_location," ","")&amp;",")))&gt;0)),IF(FS206="",TRUE,IF(input_location="",FALSE,SUMPRODUCT(--ISNUMBER(SEARCH(","&amp;TRIM(TEXTSPLIT(FS206,","))&amp;",",","&amp;SUBSTITUTE(input_location," ","")&amp;",")))=COUNTA(TEXTSPLIT(FS206,",")))),IF(FU206="",TRUE,IF(input_location="",TRUE,SUMPRODUCT(--ISNUMBER(SEARCH(","&amp;TRIM(TEXTSPLIT(FU206,","))&amp;",",","&amp;SUBSTITUTE(input_location," ","")&amp;",")))=0)),IF(FW206="",TRUE,IF(input_location="",FALSE,SUMPRODUCT(--ISNUMBER(SEARCH(","&amp;TRIM(TEXTSPLIT(FW206,","))&amp;",",","&amp;SUBSTITUTE(input_location," ","")&amp;",")))&gt;0)),IF(FY206="",TRUE,IF(input_location="",FALSE,SUMPRODUCT(--ISNUMBER(SEARCH(","&amp;TRIM(TEXTSPLIT(FY206,","))&amp;",",","&amp;SUBSTITUTE(input_location," ","")&amp;",")))=COUNTA(TEXTSPLIT(FY206,",")))))</f>
        <v/>
      </c>
      <c r="JK206">
        <f>AND(IF(GA206="",TRUE,IF(input_modality="",FALSE,SUMPRODUCT(--ISNUMBER(SEARCH(","&amp;TRIM(TEXTSPLIT(GA206,","))&amp;",",","&amp;SUBSTITUTE(input_modality," ","")&amp;",")))&gt;0)),IF(GC206="",TRUE,IF(input_modality="",FALSE,SUMPRODUCT(--ISNUMBER(SEARCH(","&amp;TRIM(TEXTSPLIT(GC206,","))&amp;",",","&amp;SUBSTITUTE(input_modality," ","")&amp;",")))=COUNTA(TEXTSPLIT(GC206,",")))),IF(GE206="",TRUE,IF(input_modality="",TRUE,SUMPRODUCT(--ISNUMBER(SEARCH(","&amp;TRIM(TEXTSPLIT(GE206,","))&amp;",",","&amp;SUBSTITUTE(input_modality," ","")&amp;",")))=0)),IF(GG206="",TRUE,IF(input_modality="",FALSE,SUMPRODUCT(--ISNUMBER(SEARCH(","&amp;TRIM(TEXTSPLIT(GG206,","))&amp;",",","&amp;SUBSTITUTE(input_modality," ","")&amp;",")))&gt;0)),IF(GI206="",TRUE,IF(input_modality="",FALSE,SUMPRODUCT(--ISNUMBER(SEARCH(","&amp;TRIM(TEXTSPLIT(GI206,","))&amp;",",","&amp;SUBSTITUTE(input_modality," ","")&amp;",")))=COUNTA(TEXTSPLIT(GI206,",")))))</f>
        <v/>
      </c>
      <c r="JL206">
        <f>AND(IF(GK206="",TRUE,IF(input_organizer="",FALSE,SUMPRODUCT(--ISNUMBER(SEARCH(","&amp;TRIM(TEXTSPLIT(GK206,","))&amp;",",","&amp;SUBSTITUTE(input_organizer," ","")&amp;",")))&gt;0)),IF(GM206="",TRUE,IF(input_organizer="",FALSE,SUMPRODUCT(--ISNUMBER(SEARCH(","&amp;TRIM(TEXTSPLIT(GM206,","))&amp;",",","&amp;SUBSTITUTE(input_organizer," ","")&amp;",")))=COUNTA(TEXTSPLIT(GM206,",")))),IF(GO206="",TRUE,IF(input_organizer="",TRUE,SUMPRODUCT(--ISNUMBER(SEARCH(","&amp;TRIM(TEXTSPLIT(GO206,","))&amp;",",","&amp;SUBSTITUTE(input_organizer," ","")&amp;",")))=0)),IF(GQ206="",TRUE,IF(input_organizer="",FALSE,SUMPRODUCT(--ISNUMBER(SEARCH(","&amp;TRIM(TEXTSPLIT(GQ206,","))&amp;",",","&amp;SUBSTITUTE(input_organizer," ","")&amp;",")))&gt;0)),IF(GS206="",TRUE,IF(input_organizer="",FALSE,SUMPRODUCT(--ISNUMBER(SEARCH(","&amp;TRIM(TEXTSPLIT(GS206,","))&amp;",",","&amp;SUBSTITUTE(input_organizer," ","")&amp;",")))=COUNTA(TEXTSPLIT(GS206,",")))))</f>
        <v/>
      </c>
      <c r="JM206">
        <f>AND(IF(GU206="",TRUE,IF(input_profile_type="",FALSE,SUMPRODUCT(--ISNUMBER(SEARCH(","&amp;TRIM(TEXTSPLIT(GU206,","))&amp;",",","&amp;SUBSTITUTE(input_profile_type," ","")&amp;",")))&gt;0)),IF(GW206="",TRUE,IF(input_profile_type="",FALSE,SUMPRODUCT(--ISNUMBER(SEARCH(","&amp;TRIM(TEXTSPLIT(GW206,","))&amp;",",","&amp;SUBSTITUTE(input_profile_type," ","")&amp;",")))=COUNTA(TEXTSPLIT(GW206,",")))),IF(GY206="",TRUE,IF(input_profile_type="",TRUE,SUMPRODUCT(--ISNUMBER(SEARCH(","&amp;TRIM(TEXTSPLIT(GY206,","))&amp;",",","&amp;SUBSTITUTE(input_profile_type," ","")&amp;",")))=0)),IF(HA206="",TRUE,IF(input_profile_type="",FALSE,SUMPRODUCT(--ISNUMBER(SEARCH(","&amp;TRIM(TEXTSPLIT(HA206,","))&amp;",",","&amp;SUBSTITUTE(input_profile_type," ","")&amp;",")))&gt;0)),IF(HC206="",TRUE,IF(input_profile_type="",FALSE,SUMPRODUCT(--ISNUMBER(SEARCH(","&amp;TRIM(TEXTSPLIT(HC206,","))&amp;",",","&amp;SUBSTITUTE(input_profile_type," ","")&amp;",")))=COUNTA(TEXTSPLIT(HC206,",")))))</f>
        <v/>
      </c>
      <c r="JN206">
        <f>AND(IF(HE206="",TRUE,IF(input_program="",FALSE,SUMPRODUCT(--ISNUMBER(SEARCH(","&amp;TRIM(TEXTSPLIT(HE206,","))&amp;",",","&amp;SUBSTITUTE(input_program," ","")&amp;",")))&gt;0)),IF(HG206="",TRUE,IF(input_program="",FALSE,SUMPRODUCT(--ISNUMBER(SEARCH(","&amp;TRIM(TEXTSPLIT(HG206,","))&amp;",",","&amp;SUBSTITUTE(input_program," ","")&amp;",")))=COUNTA(TEXTSPLIT(HG206,",")))),IF(HI206="",TRUE,IF(input_program="",TRUE,SUMPRODUCT(--ISNUMBER(SEARCH(","&amp;TRIM(TEXTSPLIT(HI206,","))&amp;",",","&amp;SUBSTITUTE(input_program," ","")&amp;",")))=0)),IF(HK206="",TRUE,IF(input_program="",FALSE,SUMPRODUCT(--ISNUMBER(SEARCH(","&amp;TRIM(TEXTSPLIT(HK206,","))&amp;",",","&amp;SUBSTITUTE(input_program," ","")&amp;",")))&gt;0)),IF(HM206="",TRUE,IF(input_program="",FALSE,SUMPRODUCT(--ISNUMBER(SEARCH(","&amp;TRIM(TEXTSPLIT(HM206,","))&amp;",",","&amp;SUBSTITUTE(input_program," ","")&amp;",")))=COUNTA(TEXTSPLIT(HM206,",")))))</f>
        <v/>
      </c>
      <c r="JO206">
        <f>AND(IF(HO206="",TRUE,IF(input_story_categories="",FALSE,SUMPRODUCT(--ISNUMBER(SEARCH(","&amp;TRIM(TEXTSPLIT(HO206,","))&amp;",",","&amp;SUBSTITUTE(input_story_categories," ","")&amp;",")))&gt;0)),IF(HQ206="",TRUE,IF(input_story_categories="",FALSE,SUMPRODUCT(--ISNUMBER(SEARCH(","&amp;TRIM(TEXTSPLIT(HQ206,","))&amp;",",","&amp;SUBSTITUTE(input_story_categories," ","")&amp;",")))=COUNTA(TEXTSPLIT(HQ206,",")))),IF(HS206="",TRUE,IF(input_story_categories="",TRUE,SUMPRODUCT(--ISNUMBER(SEARCH(","&amp;TRIM(TEXTSPLIT(HS206,","))&amp;",",","&amp;SUBSTITUTE(input_story_categories," ","")&amp;",")))=0)),IF(HU206="",TRUE,IF(input_story_categories="",FALSE,SUMPRODUCT(--ISNUMBER(SEARCH(","&amp;TRIM(TEXTSPLIT(HU206,","))&amp;",",","&amp;SUBSTITUTE(input_story_categories," ","")&amp;",")))&gt;0)),IF(HW206="",TRUE,IF(input_story_categories="",FALSE,SUMPRODUCT(--ISNUMBER(SEARCH(","&amp;TRIM(TEXTSPLIT(HW206,","))&amp;",",","&amp;SUBSTITUTE(input_story_categories," ","")&amp;",")))=COUNTA(TEXTSPLIT(HW206,",")))))</f>
        <v/>
      </c>
      <c r="JP206">
        <f>AND(IF(HY206="",TRUE,IF(input_story_type="",FALSE,SUMPRODUCT(--ISNUMBER(SEARCH(","&amp;TRIM(TEXTSPLIT(HY206,","))&amp;",",","&amp;SUBSTITUTE(input_story_type," ","")&amp;",")))&gt;0)),IF(IA206="",TRUE,IF(input_story_type="",FALSE,SUMPRODUCT(--ISNUMBER(SEARCH(","&amp;TRIM(TEXTSPLIT(IA206,","))&amp;",",","&amp;SUBSTITUTE(input_story_type," ","")&amp;",")))=COUNTA(TEXTSPLIT(IA206,",")))),IF(IC206="",TRUE,IF(input_story_type="",TRUE,SUMPRODUCT(--ISNUMBER(SEARCH(","&amp;TRIM(TEXTSPLIT(IC206,","))&amp;",",","&amp;SUBSTITUTE(input_story_type," ","")&amp;",")))=0)),IF(IE206="",TRUE,IF(input_story_type="",FALSE,SUMPRODUCT(--ISNUMBER(SEARCH(","&amp;TRIM(TEXTSPLIT(IE206,","))&amp;",",","&amp;SUBSTITUTE(input_story_type," ","")&amp;",")))&gt;0)),IF(IG206="",TRUE,IF(input_story_type="",FALSE,SUMPRODUCT(--ISNUMBER(SEARCH(","&amp;TRIM(TEXTSPLIT(IG206,","))&amp;",",","&amp;SUBSTITUTE(input_story_type," ","")&amp;",")))=COUNTA(TEXTSPLIT(IG206,",")))))</f>
        <v/>
      </c>
      <c r="JQ206">
        <f>AND(IF(II206="",TRUE,IF(input_topics="",FALSE,SUMPRODUCT(--ISNUMBER(SEARCH(","&amp;TRIM(TEXTSPLIT(II206,","))&amp;",",","&amp;SUBSTITUTE(input_topics," ","")&amp;",")))&gt;0)),IF(IK206="",TRUE,IF(input_topics="",FALSE,SUMPRODUCT(--ISNUMBER(SEARCH(","&amp;TRIM(TEXTSPLIT(IK206,","))&amp;",",","&amp;SUBSTITUTE(input_topics," ","")&amp;",")))=COUNTA(TEXTSPLIT(IK206,",")))),IF(IM206="",TRUE,IF(input_topics="",TRUE,SUMPRODUCT(--ISNUMBER(SEARCH(","&amp;TRIM(TEXTSPLIT(IM206,","))&amp;",",","&amp;SUBSTITUTE(input_topics," ","")&amp;",")))=0)),IF(IO206="",TRUE,IF(input_topics="",FALSE,SUMPRODUCT(--ISNUMBER(SEARCH(","&amp;TRIM(TEXTSPLIT(IO206,","))&amp;",",","&amp;SUBSTITUTE(input_topics," ","")&amp;",")))&gt;0)),IF(IQ206="",TRUE,IF(input_topics="",FALSE,SUMPRODUCT(--ISNUMBER(SEARCH(","&amp;TRIM(TEXTSPLIT(IQ206,","))&amp;",",","&amp;SUBSTITUTE(input_topics," ","")&amp;",")))=COUNTA(TEXTSPLIT(IQ206,",")))))</f>
        <v/>
      </c>
    </row>
    <row r="207">
      <c r="A207" s="4">
        <f>IF(NOT(IS207),"Excluded",IF(AND(IT207,IU207,IV207,IW207,IX207,IY207,IZ207,JA207,JB207,JC207,JD207,JE207,JF207,JG207,JH207,JI207,JJ207,JK207,JL207,JM207,JN207,JO207,JP207,JQ207),IF(I207&gt;0,"Eligible but limited","Will appear"),"Excluded"))</f>
        <v/>
      </c>
      <c r="B207" s="4" t="inlineStr">
        <is>
          <t>Related stories on story pages</t>
        </is>
      </c>
      <c r="C207" s="4" t="inlineStr">
        <is>
          <t>/story/2025/faculty-research-and-honors-2024</t>
        </is>
      </c>
      <c r="D207" s="4" t="inlineStr">
        <is>
          <t>/story/2025/faculty-research-and-honors-2024
/story/2025/prof-fiona-scott-morton-publishes-collection-digital-market-regulation
/story/2025/prof-john-barrios-honored-research-impacting-societal-challenges</t>
        </is>
      </c>
      <c r="E207" s="4" t="n">
        <v>12</v>
      </c>
      <c r="F207" s="4" t="inlineStr">
        <is>
          <t>story</t>
        </is>
      </c>
      <c r="G207" s="4" t="inlineStr">
        <is>
          <t>stories_teaser_cards</t>
        </is>
      </c>
      <c r="H207" s="4" t="inlineStr">
        <is>
          <t>embed_all</t>
        </is>
      </c>
      <c r="I207" s="4" t="n">
        <v>3</v>
      </c>
      <c r="J207" s="4" t="inlineStr">
        <is>
          <t>Template logic</t>
        </is>
      </c>
      <c r="K207" s="4" t="inlineStr">
        <is>
          <t>Grouped surface</t>
        </is>
      </c>
      <c r="L207" s="4" t="inlineStr">
        <is>
          <t>Content type: story; Context uses Courses Context: Faculty (1592); Context uses Story Type: News (924); Limited to 3 item(s); Source: Template logic</t>
        </is>
      </c>
      <c r="M207" t="inlineStr"/>
      <c r="N207" t="inlineStr"/>
      <c r="O207" t="inlineStr"/>
      <c r="P207" t="inlineStr"/>
      <c r="Q207" t="inlineStr"/>
      <c r="R207" t="inlineStr"/>
      <c r="S207" t="inlineStr"/>
      <c r="T207" t="inlineStr"/>
      <c r="U207" t="inlineStr"/>
      <c r="V207" t="inlineStr"/>
      <c r="W207" t="inlineStr"/>
      <c r="X207" t="inlineStr"/>
      <c r="Y207" t="inlineStr"/>
      <c r="Z207" t="inlineStr"/>
      <c r="AA207" t="inlineStr"/>
      <c r="AB207" t="inlineStr"/>
      <c r="AC207" t="inlineStr"/>
      <c r="AD207" t="inlineStr"/>
      <c r="AE207" t="inlineStr"/>
      <c r="AF207" t="inlineStr"/>
      <c r="AG207" t="inlineStr"/>
      <c r="AH207" t="inlineStr"/>
      <c r="AI207" t="inlineStr"/>
      <c r="AJ207" t="inlineStr"/>
      <c r="AK207" t="inlineStr"/>
      <c r="AL207" t="inlineStr"/>
      <c r="AM207" t="inlineStr"/>
      <c r="AN207" t="inlineStr"/>
      <c r="AO207" t="inlineStr"/>
      <c r="AP207" t="inlineStr"/>
      <c r="AQ207" t="inlineStr"/>
      <c r="AR207" t="inlineStr"/>
      <c r="AS207" t="inlineStr"/>
      <c r="AT207" t="inlineStr"/>
      <c r="AU207" t="inlineStr"/>
      <c r="AV207" t="inlineStr"/>
      <c r="AW207" t="inlineStr"/>
      <c r="AX207" t="inlineStr"/>
      <c r="AY207" t="inlineStr"/>
      <c r="AZ207" t="inlineStr"/>
      <c r="BA207" t="inlineStr"/>
      <c r="BB207" t="inlineStr"/>
      <c r="BC207" t="inlineStr"/>
      <c r="BD207" t="inlineStr"/>
      <c r="BE207" t="inlineStr"/>
      <c r="BF207" t="inlineStr"/>
      <c r="BG207" t="inlineStr"/>
      <c r="BH207" t="inlineStr"/>
      <c r="BI207" t="inlineStr"/>
      <c r="BJ207" t="inlineStr"/>
      <c r="BK207" t="inlineStr"/>
      <c r="BL207" t="inlineStr"/>
      <c r="BM207" t="inlineStr"/>
      <c r="BN207" t="inlineStr"/>
      <c r="BO207" t="inlineStr"/>
      <c r="BP207" t="inlineStr"/>
      <c r="BQ207" t="inlineStr">
        <is>
          <t>1592</t>
        </is>
      </c>
      <c r="BR207" t="inlineStr">
        <is>
          <t>Faculty (1592)</t>
        </is>
      </c>
      <c r="BS207" t="inlineStr"/>
      <c r="BT207" t="inlineStr"/>
      <c r="BU207" t="inlineStr"/>
      <c r="BV207" t="inlineStr"/>
      <c r="BW207" t="inlineStr"/>
      <c r="BX207" t="inlineStr"/>
      <c r="BY207" t="inlineStr"/>
      <c r="BZ207" t="inlineStr"/>
      <c r="CA207" t="inlineStr"/>
      <c r="CB207" t="inlineStr"/>
      <c r="CC207" t="inlineStr"/>
      <c r="CD207" t="inlineStr"/>
      <c r="CE207" t="inlineStr"/>
      <c r="CF207" t="inlineStr"/>
      <c r="CG207" t="inlineStr"/>
      <c r="CH207" t="inlineStr"/>
      <c r="CI207" t="inlineStr"/>
      <c r="CJ207" t="inlineStr"/>
      <c r="CK207" t="inlineStr"/>
      <c r="CL207" t="inlineStr"/>
      <c r="CM207" t="inlineStr"/>
      <c r="CN207" t="inlineStr"/>
      <c r="CO207" t="inlineStr"/>
      <c r="CP207" t="inlineStr"/>
      <c r="CQ207" t="inlineStr"/>
      <c r="CR207" t="inlineStr"/>
      <c r="CS207" t="inlineStr"/>
      <c r="CT207" t="inlineStr"/>
      <c r="CU207" t="inlineStr"/>
      <c r="CV207" t="inlineStr"/>
      <c r="CW207" t="inlineStr"/>
      <c r="CX207" t="inlineStr"/>
      <c r="CY207" t="inlineStr"/>
      <c r="CZ207" t="inlineStr"/>
      <c r="DA207" t="inlineStr"/>
      <c r="DB207" t="inlineStr"/>
      <c r="DC207" t="inlineStr"/>
      <c r="DD207" t="inlineStr"/>
      <c r="DE207" t="inlineStr"/>
      <c r="DF207" t="inlineStr"/>
      <c r="DG207" t="inlineStr"/>
      <c r="DH207" t="inlineStr"/>
      <c r="DI207" t="inlineStr"/>
      <c r="DJ207" t="inlineStr"/>
      <c r="DK207" t="inlineStr"/>
      <c r="DL207" t="inlineStr"/>
      <c r="DM207" t="inlineStr"/>
      <c r="DN207" t="inlineStr"/>
      <c r="DO207" t="inlineStr"/>
      <c r="DP207" t="inlineStr"/>
      <c r="DQ207" t="inlineStr"/>
      <c r="DR207" t="inlineStr"/>
      <c r="DS207" t="inlineStr"/>
      <c r="DT207" t="inlineStr"/>
      <c r="DU207" t="inlineStr"/>
      <c r="DV207" t="inlineStr"/>
      <c r="DW207" t="inlineStr"/>
      <c r="DX207" t="inlineStr"/>
      <c r="DY207" t="inlineStr"/>
      <c r="DZ207" t="inlineStr"/>
      <c r="EA207" t="inlineStr"/>
      <c r="EB207" t="inlineStr"/>
      <c r="EC207" t="inlineStr"/>
      <c r="ED207" t="inlineStr"/>
      <c r="EE207" t="inlineStr"/>
      <c r="EF207" t="inlineStr"/>
      <c r="EG207" t="inlineStr"/>
      <c r="EH207" t="inlineStr"/>
      <c r="EI207" t="inlineStr"/>
      <c r="EJ207" t="inlineStr"/>
      <c r="EK207" t="inlineStr"/>
      <c r="EL207" t="inlineStr"/>
      <c r="EM207" t="inlineStr"/>
      <c r="EN207" t="inlineStr"/>
      <c r="EO207" t="inlineStr"/>
      <c r="EP207" t="inlineStr"/>
      <c r="EQ207" t="inlineStr"/>
      <c r="ER207" t="inlineStr"/>
      <c r="ES207" t="inlineStr"/>
      <c r="ET207" t="inlineStr"/>
      <c r="EU207" t="inlineStr"/>
      <c r="EV207" t="inlineStr"/>
      <c r="EW207" t="inlineStr"/>
      <c r="EX207" t="inlineStr"/>
      <c r="EY207" t="inlineStr"/>
      <c r="EZ207" t="inlineStr"/>
      <c r="FA207" t="inlineStr"/>
      <c r="FB207" t="inlineStr"/>
      <c r="FC207" t="inlineStr"/>
      <c r="FD207" t="inlineStr"/>
      <c r="FE207" t="inlineStr"/>
      <c r="FF207" t="inlineStr"/>
      <c r="FG207" t="inlineStr"/>
      <c r="FH207" t="inlineStr"/>
      <c r="FI207" t="inlineStr"/>
      <c r="FJ207" t="inlineStr"/>
      <c r="FK207" t="inlineStr"/>
      <c r="FL207" t="inlineStr"/>
      <c r="FM207" t="inlineStr"/>
      <c r="FN207" t="inlineStr"/>
      <c r="FO207" t="inlineStr"/>
      <c r="FP207" t="inlineStr"/>
      <c r="FQ207" t="inlineStr"/>
      <c r="FR207" t="inlineStr"/>
      <c r="FS207" t="inlineStr"/>
      <c r="FT207" t="inlineStr"/>
      <c r="FU207" t="inlineStr"/>
      <c r="FV207" t="inlineStr"/>
      <c r="FW207" t="inlineStr"/>
      <c r="FX207" t="inlineStr"/>
      <c r="FY207" t="inlineStr"/>
      <c r="FZ207" t="inlineStr"/>
      <c r="GA207" t="inlineStr"/>
      <c r="GB207" t="inlineStr"/>
      <c r="GC207" t="inlineStr"/>
      <c r="GD207" t="inlineStr"/>
      <c r="GE207" t="inlineStr"/>
      <c r="GF207" t="inlineStr"/>
      <c r="GG207" t="inlineStr"/>
      <c r="GH207" t="inlineStr"/>
      <c r="GI207" t="inlineStr"/>
      <c r="GJ207" t="inlineStr"/>
      <c r="GK207" t="inlineStr"/>
      <c r="GL207" t="inlineStr"/>
      <c r="GM207" t="inlineStr"/>
      <c r="GN207" t="inlineStr"/>
      <c r="GO207" t="inlineStr"/>
      <c r="GP207" t="inlineStr"/>
      <c r="GQ207" t="inlineStr"/>
      <c r="GR207" t="inlineStr"/>
      <c r="GS207" t="inlineStr"/>
      <c r="GT207" t="inlineStr"/>
      <c r="GU207" t="inlineStr"/>
      <c r="GV207" t="inlineStr"/>
      <c r="GW207" t="inlineStr"/>
      <c r="GX207" t="inlineStr"/>
      <c r="GY207" t="inlineStr"/>
      <c r="GZ207" t="inlineStr"/>
      <c r="HA207" t="inlineStr"/>
      <c r="HB207" t="inlineStr"/>
      <c r="HC207" t="inlineStr"/>
      <c r="HD207" t="inlineStr"/>
      <c r="HE207" t="inlineStr"/>
      <c r="HF207" t="inlineStr"/>
      <c r="HG207" t="inlineStr"/>
      <c r="HH207" t="inlineStr"/>
      <c r="HI207" t="inlineStr"/>
      <c r="HJ207" t="inlineStr"/>
      <c r="HK207" t="inlineStr"/>
      <c r="HL207" t="inlineStr"/>
      <c r="HM207" t="inlineStr"/>
      <c r="HN207" t="inlineStr"/>
      <c r="HO207" t="inlineStr"/>
      <c r="HP207" t="inlineStr"/>
      <c r="HQ207" t="inlineStr"/>
      <c r="HR207" t="inlineStr"/>
      <c r="HS207" t="inlineStr"/>
      <c r="HT207" t="inlineStr"/>
      <c r="HU207" t="inlineStr"/>
      <c r="HV207" t="inlineStr"/>
      <c r="HW207" t="inlineStr"/>
      <c r="HX207" t="inlineStr"/>
      <c r="HY207" t="inlineStr"/>
      <c r="HZ207" t="inlineStr"/>
      <c r="IA207" t="inlineStr"/>
      <c r="IB207" t="inlineStr"/>
      <c r="IC207" t="inlineStr"/>
      <c r="ID207" t="inlineStr"/>
      <c r="IE207" t="inlineStr">
        <is>
          <t>924</t>
        </is>
      </c>
      <c r="IF207" t="inlineStr">
        <is>
          <t>News (924)</t>
        </is>
      </c>
      <c r="IG207" t="inlineStr"/>
      <c r="IH207" t="inlineStr"/>
      <c r="II207" t="inlineStr"/>
      <c r="IJ207" t="inlineStr"/>
      <c r="IK207" t="inlineStr"/>
      <c r="IL207" t="inlineStr"/>
      <c r="IM207" t="inlineStr"/>
      <c r="IN207" t="inlineStr"/>
      <c r="IO207" t="inlineStr"/>
      <c r="IP207" t="inlineStr"/>
      <c r="IQ207" t="inlineStr"/>
      <c r="IR207" t="inlineStr"/>
      <c r="IS207">
        <f>IF(input_content_type="",FALSE,ISNUMBER(SEARCH(","&amp;LOWER(input_content_type)&amp;",",","&amp;LOWER(F207)&amp;",")))</f>
        <v/>
      </c>
      <c r="IT207">
        <f>AND(IF(M207="",TRUE,IF(input_affiliations="",FALSE,SUMPRODUCT(--ISNUMBER(SEARCH(","&amp;TRIM(TEXTSPLIT(M207,","))&amp;",",","&amp;SUBSTITUTE(input_affiliations," ","")&amp;",")))&gt;0)),IF(O207="",TRUE,IF(input_affiliations="",FALSE,SUMPRODUCT(--ISNUMBER(SEARCH(","&amp;TRIM(TEXTSPLIT(O207,","))&amp;",",","&amp;SUBSTITUTE(input_affiliations," ","")&amp;",")))=COUNTA(TEXTSPLIT(O207,",")))),IF(Q207="",TRUE,IF(input_affiliations="",TRUE,SUMPRODUCT(--ISNUMBER(SEARCH(","&amp;TRIM(TEXTSPLIT(Q207,","))&amp;",",","&amp;SUBSTITUTE(input_affiliations," ","")&amp;",")))=0)),IF(S207="",TRUE,IF(input_affiliations="",FALSE,SUMPRODUCT(--ISNUMBER(SEARCH(","&amp;TRIM(TEXTSPLIT(S207,","))&amp;",",","&amp;SUBSTITUTE(input_affiliations," ","")&amp;",")))&gt;0)),IF(U207="",TRUE,IF(input_affiliations="",FALSE,SUMPRODUCT(--ISNUMBER(SEARCH(","&amp;TRIM(TEXTSPLIT(U207,","))&amp;",",","&amp;SUBSTITUTE(input_affiliations," ","")&amp;",")))=COUNTA(TEXTSPLIT(U207,",")))))</f>
        <v/>
      </c>
      <c r="IU207">
        <f>AND(IF(W207="",TRUE,IF(input_announcement_category="",FALSE,SUMPRODUCT(--ISNUMBER(SEARCH(","&amp;TRIM(TEXTSPLIT(W207,","))&amp;",",","&amp;SUBSTITUTE(input_announcement_category," ","")&amp;",")))&gt;0)),IF(Y207="",TRUE,IF(input_announcement_category="",FALSE,SUMPRODUCT(--ISNUMBER(SEARCH(","&amp;TRIM(TEXTSPLIT(Y207,","))&amp;",",","&amp;SUBSTITUTE(input_announcement_category," ","")&amp;",")))=COUNTA(TEXTSPLIT(Y207,",")))),IF(AA207="",TRUE,IF(input_announcement_category="",TRUE,SUMPRODUCT(--ISNUMBER(SEARCH(","&amp;TRIM(TEXTSPLIT(AA207,","))&amp;",",","&amp;SUBSTITUTE(input_announcement_category," ","")&amp;",")))=0)),IF(AC207="",TRUE,IF(input_announcement_category="",FALSE,SUMPRODUCT(--ISNUMBER(SEARCH(","&amp;TRIM(TEXTSPLIT(AC207,","))&amp;",",","&amp;SUBSTITUTE(input_announcement_category," ","")&amp;",")))&gt;0)),IF(AE207="",TRUE,IF(input_announcement_category="",FALSE,SUMPRODUCT(--ISNUMBER(SEARCH(","&amp;TRIM(TEXTSPLIT(AE207,","))&amp;",",","&amp;SUBSTITUTE(input_announcement_category," ","")&amp;",")))=COUNTA(TEXTSPLIT(AE207,",")))))</f>
        <v/>
      </c>
      <c r="IV207">
        <f>AND(IF(AG207="",TRUE,IF(input_area_of_focus="",FALSE,SUMPRODUCT(--ISNUMBER(SEARCH(","&amp;TRIM(TEXTSPLIT(AG207,","))&amp;",",","&amp;SUBSTITUTE(input_area_of_focus," ","")&amp;",")))&gt;0)),IF(AI207="",TRUE,IF(input_area_of_focus="",FALSE,SUMPRODUCT(--ISNUMBER(SEARCH(","&amp;TRIM(TEXTSPLIT(AI207,","))&amp;",",","&amp;SUBSTITUTE(input_area_of_focus," ","")&amp;",")))=COUNTA(TEXTSPLIT(AI207,",")))),IF(AK207="",TRUE,IF(input_area_of_focus="",TRUE,SUMPRODUCT(--ISNUMBER(SEARCH(","&amp;TRIM(TEXTSPLIT(AK207,","))&amp;",",","&amp;SUBSTITUTE(input_area_of_focus," ","")&amp;",")))=0)),IF(AM207="",TRUE,IF(input_area_of_focus="",FALSE,SUMPRODUCT(--ISNUMBER(SEARCH(","&amp;TRIM(TEXTSPLIT(AM207,","))&amp;",",","&amp;SUBSTITUTE(input_area_of_focus," ","")&amp;",")))&gt;0)),IF(AO207="",TRUE,IF(input_area_of_focus="",FALSE,SUMPRODUCT(--ISNUMBER(SEARCH(","&amp;TRIM(TEXTSPLIT(AO207,","))&amp;",",","&amp;SUBSTITUTE(input_area_of_focus," ","")&amp;",")))=COUNTA(TEXTSPLIT(AO207,",")))))</f>
        <v/>
      </c>
      <c r="IW207">
        <f>AND(IF(AQ207="",TRUE,IF(input_audience="",FALSE,SUMPRODUCT(--ISNUMBER(SEARCH(","&amp;TRIM(TEXTSPLIT(AQ207,","))&amp;",",","&amp;SUBSTITUTE(input_audience," ","")&amp;",")))&gt;0)),IF(AS207="",TRUE,IF(input_audience="",FALSE,SUMPRODUCT(--ISNUMBER(SEARCH(","&amp;TRIM(TEXTSPLIT(AS207,","))&amp;",",","&amp;SUBSTITUTE(input_audience," ","")&amp;",")))=COUNTA(TEXTSPLIT(AS207,",")))),IF(AU207="",TRUE,IF(input_audience="",TRUE,SUMPRODUCT(--ISNUMBER(SEARCH(","&amp;TRIM(TEXTSPLIT(AU207,","))&amp;",",","&amp;SUBSTITUTE(input_audience," ","")&amp;",")))=0)),IF(AW207="",TRUE,IF(input_audience="",FALSE,SUMPRODUCT(--ISNUMBER(SEARCH(","&amp;TRIM(TEXTSPLIT(AW207,","))&amp;",",","&amp;SUBSTITUTE(input_audience," ","")&amp;",")))&gt;0)),IF(AY207="",TRUE,IF(input_audience="",FALSE,SUMPRODUCT(--ISNUMBER(SEARCH(","&amp;TRIM(TEXTSPLIT(AY207,","))&amp;",",","&amp;SUBSTITUTE(input_audience," ","")&amp;",")))=COUNTA(TEXTSPLIT(AY207,",")))))</f>
        <v/>
      </c>
      <c r="IX207">
        <f>AND(IF(BA207="",TRUE,IF(input_challenge_opportunities="",FALSE,SUMPRODUCT(--ISNUMBER(SEARCH(","&amp;TRIM(TEXTSPLIT(BA207,","))&amp;",",","&amp;SUBSTITUTE(input_challenge_opportunities," ","")&amp;",")))&gt;0)),IF(BC207="",TRUE,IF(input_challenge_opportunities="",FALSE,SUMPRODUCT(--ISNUMBER(SEARCH(","&amp;TRIM(TEXTSPLIT(BC207,","))&amp;",",","&amp;SUBSTITUTE(input_challenge_opportunities," ","")&amp;",")))=COUNTA(TEXTSPLIT(BC207,",")))),IF(BE207="",TRUE,IF(input_challenge_opportunities="",TRUE,SUMPRODUCT(--ISNUMBER(SEARCH(","&amp;TRIM(TEXTSPLIT(BE207,","))&amp;",",","&amp;SUBSTITUTE(input_challenge_opportunities," ","")&amp;",")))=0)),IF(BG207="",TRUE,IF(input_challenge_opportunities="",FALSE,SUMPRODUCT(--ISNUMBER(SEARCH(","&amp;TRIM(TEXTSPLIT(BG207,","))&amp;",",","&amp;SUBSTITUTE(input_challenge_opportunities," ","")&amp;",")))&gt;0)),IF(BI207="",TRUE,IF(input_challenge_opportunities="",FALSE,SUMPRODUCT(--ISNUMBER(SEARCH(","&amp;TRIM(TEXTSPLIT(BI207,","))&amp;",",","&amp;SUBSTITUTE(input_challenge_opportunities," ","")&amp;",")))=COUNTA(TEXTSPLIT(BI207,",")))))</f>
        <v/>
      </c>
      <c r="IY207">
        <f>AND(IF(BK207="",TRUE,IF(input_context="",FALSE,SUMPRODUCT(--ISNUMBER(SEARCH(","&amp;TRIM(TEXTSPLIT(BK207,","))&amp;",",","&amp;SUBSTITUTE(input_context," ","")&amp;",")))&gt;0)),IF(BM207="",TRUE,IF(input_context="",FALSE,SUMPRODUCT(--ISNUMBER(SEARCH(","&amp;TRIM(TEXTSPLIT(BM207,","))&amp;",",","&amp;SUBSTITUTE(input_context," ","")&amp;",")))=COUNTA(TEXTSPLIT(BM207,",")))),IF(BO207="",TRUE,IF(input_context="",TRUE,SUMPRODUCT(--ISNUMBER(SEARCH(","&amp;TRIM(TEXTSPLIT(BO207,","))&amp;",",","&amp;SUBSTITUTE(input_context," ","")&amp;",")))=0)),IF(BQ207="",TRUE,IF(input_context="",FALSE,SUMPRODUCT(--ISNUMBER(SEARCH(","&amp;TRIM(TEXTSPLIT(BQ207,","))&amp;",",","&amp;SUBSTITUTE(input_context," ","")&amp;",")))&gt;0)),IF(BS207="",TRUE,IF(input_context="",FALSE,SUMPRODUCT(--ISNUMBER(SEARCH(","&amp;TRIM(TEXTSPLIT(BS207,","))&amp;",",","&amp;SUBSTITUTE(input_context," ","")&amp;",")))=COUNTA(TEXTSPLIT(BS207,",")))))</f>
        <v/>
      </c>
      <c r="IZ207">
        <f>AND(IF(BU207="",TRUE,IF(input_enews_announcement_type="",FALSE,SUMPRODUCT(--ISNUMBER(SEARCH(","&amp;TRIM(TEXTSPLIT(BU207,","))&amp;",",","&amp;SUBSTITUTE(input_enews_announcement_type," ","")&amp;",")))&gt;0)),IF(BW207="",TRUE,IF(input_enews_announcement_type="",FALSE,SUMPRODUCT(--ISNUMBER(SEARCH(","&amp;TRIM(TEXTSPLIT(BW207,","))&amp;",",","&amp;SUBSTITUTE(input_enews_announcement_type," ","")&amp;",")))=COUNTA(TEXTSPLIT(BW207,",")))),IF(BY207="",TRUE,IF(input_enews_announcement_type="",TRUE,SUMPRODUCT(--ISNUMBER(SEARCH(","&amp;TRIM(TEXTSPLIT(BY207,","))&amp;",",","&amp;SUBSTITUTE(input_enews_announcement_type," ","")&amp;",")))=0)),IF(CA207="",TRUE,IF(input_enews_announcement_type="",FALSE,SUMPRODUCT(--ISNUMBER(SEARCH(","&amp;TRIM(TEXTSPLIT(CA207,","))&amp;",",","&amp;SUBSTITUTE(input_enews_announcement_type," ","")&amp;",")))&gt;0)),IF(CC207="",TRUE,IF(input_enews_announcement_type="",FALSE,SUMPRODUCT(--ISNUMBER(SEARCH(","&amp;TRIM(TEXTSPLIT(CC207,","))&amp;",",","&amp;SUBSTITUTE(input_enews_announcement_type," ","")&amp;",")))=COUNTA(TEXTSPLIT(CC207,",")))))</f>
        <v/>
      </c>
      <c r="JA207">
        <f>AND(IF(CE207="",TRUE,IF(input_enews_audience="",FALSE,SUMPRODUCT(--ISNUMBER(SEARCH(","&amp;TRIM(TEXTSPLIT(CE207,","))&amp;",",","&amp;SUBSTITUTE(input_enews_audience," ","")&amp;",")))&gt;0)),IF(CG207="",TRUE,IF(input_enews_audience="",FALSE,SUMPRODUCT(--ISNUMBER(SEARCH(","&amp;TRIM(TEXTSPLIT(CG207,","))&amp;",",","&amp;SUBSTITUTE(input_enews_audience," ","")&amp;",")))=COUNTA(TEXTSPLIT(CG207,",")))),IF(CI207="",TRUE,IF(input_enews_audience="",TRUE,SUMPRODUCT(--ISNUMBER(SEARCH(","&amp;TRIM(TEXTSPLIT(CI207,","))&amp;",",","&amp;SUBSTITUTE(input_enews_audience," ","")&amp;",")))=0)),IF(CK207="",TRUE,IF(input_enews_audience="",FALSE,SUMPRODUCT(--ISNUMBER(SEARCH(","&amp;TRIM(TEXTSPLIT(CK207,","))&amp;",",","&amp;SUBSTITUTE(input_enews_audience," ","")&amp;",")))&gt;0)),IF(CM207="",TRUE,IF(input_enews_audience="",FALSE,SUMPRODUCT(--ISNUMBER(SEARCH(","&amp;TRIM(TEXTSPLIT(CM207,","))&amp;",",","&amp;SUBSTITUTE(input_enews_audience," ","")&amp;",")))=COUNTA(TEXTSPLIT(CM207,",")))))</f>
        <v/>
      </c>
      <c r="JB207">
        <f>AND(IF(CO207="",TRUE,IF(input_event_location="",FALSE,SUMPRODUCT(--ISNUMBER(SEARCH(","&amp;TRIM(TEXTSPLIT(CO207,","))&amp;",",","&amp;SUBSTITUTE(input_event_location," ","")&amp;",")))&gt;0)),IF(CQ207="",TRUE,IF(input_event_location="",FALSE,SUMPRODUCT(--ISNUMBER(SEARCH(","&amp;TRIM(TEXTSPLIT(CQ207,","))&amp;",",","&amp;SUBSTITUTE(input_event_location," ","")&amp;",")))=COUNTA(TEXTSPLIT(CQ207,",")))),IF(CS207="",TRUE,IF(input_event_location="",TRUE,SUMPRODUCT(--ISNUMBER(SEARCH(","&amp;TRIM(TEXTSPLIT(CS207,","))&amp;",",","&amp;SUBSTITUTE(input_event_location," ","")&amp;",")))=0)),IF(CU207="",TRUE,IF(input_event_location="",FALSE,SUMPRODUCT(--ISNUMBER(SEARCH(","&amp;TRIM(TEXTSPLIT(CU207,","))&amp;",",","&amp;SUBSTITUTE(input_event_location," ","")&amp;",")))&gt;0)),IF(CW207="",TRUE,IF(input_event_location="",FALSE,SUMPRODUCT(--ISNUMBER(SEARCH(","&amp;TRIM(TEXTSPLIT(CW207,","))&amp;",",","&amp;SUBSTITUTE(input_event_location," ","")&amp;",")))=COUNTA(TEXTSPLIT(CW207,",")))))</f>
        <v/>
      </c>
      <c r="JC207">
        <f>AND(IF(CY207="",TRUE,IF(input_event_type="",FALSE,SUMPRODUCT(--ISNUMBER(SEARCH(","&amp;TRIM(TEXTSPLIT(CY207,","))&amp;",",","&amp;SUBSTITUTE(input_event_type," ","")&amp;",")))&gt;0)),IF(DA207="",TRUE,IF(input_event_type="",FALSE,SUMPRODUCT(--ISNUMBER(SEARCH(","&amp;TRIM(TEXTSPLIT(DA207,","))&amp;",",","&amp;SUBSTITUTE(input_event_type," ","")&amp;",")))=COUNTA(TEXTSPLIT(DA207,",")))),IF(DC207="",TRUE,IF(input_event_type="",TRUE,SUMPRODUCT(--ISNUMBER(SEARCH(","&amp;TRIM(TEXTSPLIT(DC207,","))&amp;",",","&amp;SUBSTITUTE(input_event_type," ","")&amp;",")))=0)),IF(DE207="",TRUE,IF(input_event_type="",FALSE,SUMPRODUCT(--ISNUMBER(SEARCH(","&amp;TRIM(TEXTSPLIT(DE207,","))&amp;",",","&amp;SUBSTITUTE(input_event_type," ","")&amp;",")))&gt;0)),IF(DG207="",TRUE,IF(input_event_type="",FALSE,SUMPRODUCT(--ISNUMBER(SEARCH(","&amp;TRIM(TEXTSPLIT(DG207,","))&amp;",",","&amp;SUBSTITUTE(input_event_type," ","")&amp;",")))=COUNTA(TEXTSPLIT(DG207,",")))))</f>
        <v/>
      </c>
      <c r="JD207">
        <f>AND(IF(DI207="",TRUE,IF(input_executive_education_focus="",FALSE,SUMPRODUCT(--ISNUMBER(SEARCH(","&amp;TRIM(TEXTSPLIT(DI207,","))&amp;",",","&amp;SUBSTITUTE(input_executive_education_focus," ","")&amp;",")))&gt;0)),IF(DK207="",TRUE,IF(input_executive_education_focus="",FALSE,SUMPRODUCT(--ISNUMBER(SEARCH(","&amp;TRIM(TEXTSPLIT(DK207,","))&amp;",",","&amp;SUBSTITUTE(input_executive_education_focus," ","")&amp;",")))=COUNTA(TEXTSPLIT(DK207,",")))),IF(DM207="",TRUE,IF(input_executive_education_focus="",TRUE,SUMPRODUCT(--ISNUMBER(SEARCH(","&amp;TRIM(TEXTSPLIT(DM207,","))&amp;",",","&amp;SUBSTITUTE(input_executive_education_focus," ","")&amp;",")))=0)),IF(DO207="",TRUE,IF(input_executive_education_focus="",FALSE,SUMPRODUCT(--ISNUMBER(SEARCH(","&amp;TRIM(TEXTSPLIT(DO207,","))&amp;",",","&amp;SUBSTITUTE(input_executive_education_focus," ","")&amp;",")))&gt;0)),IF(DQ207="",TRUE,IF(input_executive_education_focus="",FALSE,SUMPRODUCT(--ISNUMBER(SEARCH(","&amp;TRIM(TEXTSPLIT(DQ207,","))&amp;",",","&amp;SUBSTITUTE(input_executive_education_focus," ","")&amp;",")))=COUNTA(TEXTSPLIT(DQ207,",")))))</f>
        <v/>
      </c>
      <c r="JE207">
        <f>AND(IF(DS207="",TRUE,IF(input_faculty_category="",FALSE,SUMPRODUCT(--ISNUMBER(SEARCH(","&amp;TRIM(TEXTSPLIT(DS207,","))&amp;",",","&amp;SUBSTITUTE(input_faculty_category," ","")&amp;",")))&gt;0)),IF(DU207="",TRUE,IF(input_faculty_category="",FALSE,SUMPRODUCT(--ISNUMBER(SEARCH(","&amp;TRIM(TEXTSPLIT(DU207,","))&amp;",",","&amp;SUBSTITUTE(input_faculty_category," ","")&amp;",")))=COUNTA(TEXTSPLIT(DU207,",")))),IF(DW207="",TRUE,IF(input_faculty_category="",TRUE,SUMPRODUCT(--ISNUMBER(SEARCH(","&amp;TRIM(TEXTSPLIT(DW207,","))&amp;",",","&amp;SUBSTITUTE(input_faculty_category," ","")&amp;",")))=0)),IF(DY207="",TRUE,IF(input_faculty_category="",FALSE,SUMPRODUCT(--ISNUMBER(SEARCH(","&amp;TRIM(TEXTSPLIT(DY207,","))&amp;",",","&amp;SUBSTITUTE(input_faculty_category," ","")&amp;",")))&gt;0)),IF(EA207="",TRUE,IF(input_faculty_category="",FALSE,SUMPRODUCT(--ISNUMBER(SEARCH(","&amp;TRIM(TEXTSPLIT(EA207,","))&amp;",",","&amp;SUBSTITUTE(input_faculty_category," ","")&amp;",")))=COUNTA(TEXTSPLIT(EA207,",")))))</f>
        <v/>
      </c>
      <c r="JF207">
        <f>AND(IF(EC207="",TRUE,IF(input_faculty_discipline="",FALSE,SUMPRODUCT(--ISNUMBER(SEARCH(","&amp;TRIM(TEXTSPLIT(EC207,","))&amp;",",","&amp;SUBSTITUTE(input_faculty_discipline," ","")&amp;",")))&gt;0)),IF(EE207="",TRUE,IF(input_faculty_discipline="",FALSE,SUMPRODUCT(--ISNUMBER(SEARCH(","&amp;TRIM(TEXTSPLIT(EE207,","))&amp;",",","&amp;SUBSTITUTE(input_faculty_discipline," ","")&amp;",")))=COUNTA(TEXTSPLIT(EE207,",")))),IF(EG207="",TRUE,IF(input_faculty_discipline="",TRUE,SUMPRODUCT(--ISNUMBER(SEARCH(","&amp;TRIM(TEXTSPLIT(EG207,","))&amp;",",","&amp;SUBSTITUTE(input_faculty_discipline," ","")&amp;",")))=0)),IF(EI207="",TRUE,IF(input_faculty_discipline="",FALSE,SUMPRODUCT(--ISNUMBER(SEARCH(","&amp;TRIM(TEXTSPLIT(EI207,","))&amp;",",","&amp;SUBSTITUTE(input_faculty_discipline," ","")&amp;",")))&gt;0)),IF(EK207="",TRUE,IF(input_faculty_discipline="",FALSE,SUMPRODUCT(--ISNUMBER(SEARCH(","&amp;TRIM(TEXTSPLIT(EK207,","))&amp;",",","&amp;SUBSTITUTE(input_faculty_discipline," ","")&amp;",")))=COUNTA(TEXTSPLIT(EK207,",")))))</f>
        <v/>
      </c>
      <c r="JG207">
        <f>AND(IF(EM207="",TRUE,IF(input_faculty_expertise="",FALSE,SUMPRODUCT(--ISNUMBER(SEARCH(","&amp;TRIM(TEXTSPLIT(EM207,","))&amp;",",","&amp;SUBSTITUTE(input_faculty_expertise," ","")&amp;",")))&gt;0)),IF(EO207="",TRUE,IF(input_faculty_expertise="",FALSE,SUMPRODUCT(--ISNUMBER(SEARCH(","&amp;TRIM(TEXTSPLIT(EO207,","))&amp;",",","&amp;SUBSTITUTE(input_faculty_expertise," ","")&amp;",")))=COUNTA(TEXTSPLIT(EO207,",")))),IF(EQ207="",TRUE,IF(input_faculty_expertise="",TRUE,SUMPRODUCT(--ISNUMBER(SEARCH(","&amp;TRIM(TEXTSPLIT(EQ207,","))&amp;",",","&amp;SUBSTITUTE(input_faculty_expertise," ","")&amp;",")))=0)),IF(ES207="",TRUE,IF(input_faculty_expertise="",FALSE,SUMPRODUCT(--ISNUMBER(SEARCH(","&amp;TRIM(TEXTSPLIT(ES207,","))&amp;",",","&amp;SUBSTITUTE(input_faculty_expertise," ","")&amp;",")))&gt;0)),IF(EU207="",TRUE,IF(input_faculty_expertise="",FALSE,SUMPRODUCT(--ISNUMBER(SEARCH(","&amp;TRIM(TEXTSPLIT(EU207,","))&amp;",",","&amp;SUBSTITUTE(input_faculty_expertise," ","")&amp;",")))=COUNTA(TEXTSPLIT(EU207,",")))))</f>
        <v/>
      </c>
      <c r="JH207">
        <f>AND(IF(EW207="",TRUE,IF(input_global_network_school="",FALSE,SUMPRODUCT(--ISNUMBER(SEARCH(","&amp;TRIM(TEXTSPLIT(EW207,","))&amp;",",","&amp;SUBSTITUTE(input_global_network_school," ","")&amp;",")))&gt;0)),IF(EY207="",TRUE,IF(input_global_network_school="",FALSE,SUMPRODUCT(--ISNUMBER(SEARCH(","&amp;TRIM(TEXTSPLIT(EY207,","))&amp;",",","&amp;SUBSTITUTE(input_global_network_school," ","")&amp;",")))=COUNTA(TEXTSPLIT(EY207,",")))),IF(FA207="",TRUE,IF(input_global_network_school="",TRUE,SUMPRODUCT(--ISNUMBER(SEARCH(","&amp;TRIM(TEXTSPLIT(FA207,","))&amp;",",","&amp;SUBSTITUTE(input_global_network_school," ","")&amp;",")))=0)),IF(FC207="",TRUE,IF(input_global_network_school="",FALSE,SUMPRODUCT(--ISNUMBER(SEARCH(","&amp;TRIM(TEXTSPLIT(FC207,","))&amp;",",","&amp;SUBSTITUTE(input_global_network_school," ","")&amp;",")))&gt;0)),IF(FE207="",TRUE,IF(input_global_network_school="",FALSE,SUMPRODUCT(--ISNUMBER(SEARCH(","&amp;TRIM(TEXTSPLIT(FE207,","))&amp;",",","&amp;SUBSTITUTE(input_global_network_school," ","")&amp;",")))=COUNTA(TEXTSPLIT(FE207,",")))))</f>
        <v/>
      </c>
      <c r="JI207">
        <f>AND(IF(FG207="",TRUE,IF(input_industry="",FALSE,SUMPRODUCT(--ISNUMBER(SEARCH(","&amp;TRIM(TEXTSPLIT(FG207,","))&amp;",",","&amp;SUBSTITUTE(input_industry," ","")&amp;",")))&gt;0)),IF(FI207="",TRUE,IF(input_industry="",FALSE,SUMPRODUCT(--ISNUMBER(SEARCH(","&amp;TRIM(TEXTSPLIT(FI207,","))&amp;",",","&amp;SUBSTITUTE(input_industry," ","")&amp;",")))=COUNTA(TEXTSPLIT(FI207,",")))),IF(FK207="",TRUE,IF(input_industry="",TRUE,SUMPRODUCT(--ISNUMBER(SEARCH(","&amp;TRIM(TEXTSPLIT(FK207,","))&amp;",",","&amp;SUBSTITUTE(input_industry," ","")&amp;",")))=0)),IF(FM207="",TRUE,IF(input_industry="",FALSE,SUMPRODUCT(--ISNUMBER(SEARCH(","&amp;TRIM(TEXTSPLIT(FM207,","))&amp;",",","&amp;SUBSTITUTE(input_industry," ","")&amp;",")))&gt;0)),IF(FO207="",TRUE,IF(input_industry="",FALSE,SUMPRODUCT(--ISNUMBER(SEARCH(","&amp;TRIM(TEXTSPLIT(FO207,","))&amp;",",","&amp;SUBSTITUTE(input_industry," ","")&amp;",")))=COUNTA(TEXTSPLIT(FO207,",")))))</f>
        <v/>
      </c>
      <c r="JJ207">
        <f>AND(IF(FQ207="",TRUE,IF(input_location="",FALSE,SUMPRODUCT(--ISNUMBER(SEARCH(","&amp;TRIM(TEXTSPLIT(FQ207,","))&amp;",",","&amp;SUBSTITUTE(input_location," ","")&amp;",")))&gt;0)),IF(FS207="",TRUE,IF(input_location="",FALSE,SUMPRODUCT(--ISNUMBER(SEARCH(","&amp;TRIM(TEXTSPLIT(FS207,","))&amp;",",","&amp;SUBSTITUTE(input_location," ","")&amp;",")))=COUNTA(TEXTSPLIT(FS207,",")))),IF(FU207="",TRUE,IF(input_location="",TRUE,SUMPRODUCT(--ISNUMBER(SEARCH(","&amp;TRIM(TEXTSPLIT(FU207,","))&amp;",",","&amp;SUBSTITUTE(input_location," ","")&amp;",")))=0)),IF(FW207="",TRUE,IF(input_location="",FALSE,SUMPRODUCT(--ISNUMBER(SEARCH(","&amp;TRIM(TEXTSPLIT(FW207,","))&amp;",",","&amp;SUBSTITUTE(input_location," ","")&amp;",")))&gt;0)),IF(FY207="",TRUE,IF(input_location="",FALSE,SUMPRODUCT(--ISNUMBER(SEARCH(","&amp;TRIM(TEXTSPLIT(FY207,","))&amp;",",","&amp;SUBSTITUTE(input_location," ","")&amp;",")))=COUNTA(TEXTSPLIT(FY207,",")))))</f>
        <v/>
      </c>
      <c r="JK207">
        <f>AND(IF(GA207="",TRUE,IF(input_modality="",FALSE,SUMPRODUCT(--ISNUMBER(SEARCH(","&amp;TRIM(TEXTSPLIT(GA207,","))&amp;",",","&amp;SUBSTITUTE(input_modality," ","")&amp;",")))&gt;0)),IF(GC207="",TRUE,IF(input_modality="",FALSE,SUMPRODUCT(--ISNUMBER(SEARCH(","&amp;TRIM(TEXTSPLIT(GC207,","))&amp;",",","&amp;SUBSTITUTE(input_modality," ","")&amp;",")))=COUNTA(TEXTSPLIT(GC207,",")))),IF(GE207="",TRUE,IF(input_modality="",TRUE,SUMPRODUCT(--ISNUMBER(SEARCH(","&amp;TRIM(TEXTSPLIT(GE207,","))&amp;",",","&amp;SUBSTITUTE(input_modality," ","")&amp;",")))=0)),IF(GG207="",TRUE,IF(input_modality="",FALSE,SUMPRODUCT(--ISNUMBER(SEARCH(","&amp;TRIM(TEXTSPLIT(GG207,","))&amp;",",","&amp;SUBSTITUTE(input_modality," ","")&amp;",")))&gt;0)),IF(GI207="",TRUE,IF(input_modality="",FALSE,SUMPRODUCT(--ISNUMBER(SEARCH(","&amp;TRIM(TEXTSPLIT(GI207,","))&amp;",",","&amp;SUBSTITUTE(input_modality," ","")&amp;",")))=COUNTA(TEXTSPLIT(GI207,",")))))</f>
        <v/>
      </c>
      <c r="JL207">
        <f>AND(IF(GK207="",TRUE,IF(input_organizer="",FALSE,SUMPRODUCT(--ISNUMBER(SEARCH(","&amp;TRIM(TEXTSPLIT(GK207,","))&amp;",",","&amp;SUBSTITUTE(input_organizer," ","")&amp;",")))&gt;0)),IF(GM207="",TRUE,IF(input_organizer="",FALSE,SUMPRODUCT(--ISNUMBER(SEARCH(","&amp;TRIM(TEXTSPLIT(GM207,","))&amp;",",","&amp;SUBSTITUTE(input_organizer," ","")&amp;",")))=COUNTA(TEXTSPLIT(GM207,",")))),IF(GO207="",TRUE,IF(input_organizer="",TRUE,SUMPRODUCT(--ISNUMBER(SEARCH(","&amp;TRIM(TEXTSPLIT(GO207,","))&amp;",",","&amp;SUBSTITUTE(input_organizer," ","")&amp;",")))=0)),IF(GQ207="",TRUE,IF(input_organizer="",FALSE,SUMPRODUCT(--ISNUMBER(SEARCH(","&amp;TRIM(TEXTSPLIT(GQ207,","))&amp;",",","&amp;SUBSTITUTE(input_organizer," ","")&amp;",")))&gt;0)),IF(GS207="",TRUE,IF(input_organizer="",FALSE,SUMPRODUCT(--ISNUMBER(SEARCH(","&amp;TRIM(TEXTSPLIT(GS207,","))&amp;",",","&amp;SUBSTITUTE(input_organizer," ","")&amp;",")))=COUNTA(TEXTSPLIT(GS207,",")))))</f>
        <v/>
      </c>
      <c r="JM207">
        <f>AND(IF(GU207="",TRUE,IF(input_profile_type="",FALSE,SUMPRODUCT(--ISNUMBER(SEARCH(","&amp;TRIM(TEXTSPLIT(GU207,","))&amp;",",","&amp;SUBSTITUTE(input_profile_type," ","")&amp;",")))&gt;0)),IF(GW207="",TRUE,IF(input_profile_type="",FALSE,SUMPRODUCT(--ISNUMBER(SEARCH(","&amp;TRIM(TEXTSPLIT(GW207,","))&amp;",",","&amp;SUBSTITUTE(input_profile_type," ","")&amp;",")))=COUNTA(TEXTSPLIT(GW207,",")))),IF(GY207="",TRUE,IF(input_profile_type="",TRUE,SUMPRODUCT(--ISNUMBER(SEARCH(","&amp;TRIM(TEXTSPLIT(GY207,","))&amp;",",","&amp;SUBSTITUTE(input_profile_type," ","")&amp;",")))=0)),IF(HA207="",TRUE,IF(input_profile_type="",FALSE,SUMPRODUCT(--ISNUMBER(SEARCH(","&amp;TRIM(TEXTSPLIT(HA207,","))&amp;",",","&amp;SUBSTITUTE(input_profile_type," ","")&amp;",")))&gt;0)),IF(HC207="",TRUE,IF(input_profile_type="",FALSE,SUMPRODUCT(--ISNUMBER(SEARCH(","&amp;TRIM(TEXTSPLIT(HC207,","))&amp;",",","&amp;SUBSTITUTE(input_profile_type," ","")&amp;",")))=COUNTA(TEXTSPLIT(HC207,",")))))</f>
        <v/>
      </c>
      <c r="JN207">
        <f>AND(IF(HE207="",TRUE,IF(input_program="",FALSE,SUMPRODUCT(--ISNUMBER(SEARCH(","&amp;TRIM(TEXTSPLIT(HE207,","))&amp;",",","&amp;SUBSTITUTE(input_program," ","")&amp;",")))&gt;0)),IF(HG207="",TRUE,IF(input_program="",FALSE,SUMPRODUCT(--ISNUMBER(SEARCH(","&amp;TRIM(TEXTSPLIT(HG207,","))&amp;",",","&amp;SUBSTITUTE(input_program," ","")&amp;",")))=COUNTA(TEXTSPLIT(HG207,",")))),IF(HI207="",TRUE,IF(input_program="",TRUE,SUMPRODUCT(--ISNUMBER(SEARCH(","&amp;TRIM(TEXTSPLIT(HI207,","))&amp;",",","&amp;SUBSTITUTE(input_program," ","")&amp;",")))=0)),IF(HK207="",TRUE,IF(input_program="",FALSE,SUMPRODUCT(--ISNUMBER(SEARCH(","&amp;TRIM(TEXTSPLIT(HK207,","))&amp;",",","&amp;SUBSTITUTE(input_program," ","")&amp;",")))&gt;0)),IF(HM207="",TRUE,IF(input_program="",FALSE,SUMPRODUCT(--ISNUMBER(SEARCH(","&amp;TRIM(TEXTSPLIT(HM207,","))&amp;",",","&amp;SUBSTITUTE(input_program," ","")&amp;",")))=COUNTA(TEXTSPLIT(HM207,",")))))</f>
        <v/>
      </c>
      <c r="JO207">
        <f>AND(IF(HO207="",TRUE,IF(input_story_categories="",FALSE,SUMPRODUCT(--ISNUMBER(SEARCH(","&amp;TRIM(TEXTSPLIT(HO207,","))&amp;",",","&amp;SUBSTITUTE(input_story_categories," ","")&amp;",")))&gt;0)),IF(HQ207="",TRUE,IF(input_story_categories="",FALSE,SUMPRODUCT(--ISNUMBER(SEARCH(","&amp;TRIM(TEXTSPLIT(HQ207,","))&amp;",",","&amp;SUBSTITUTE(input_story_categories," ","")&amp;",")))=COUNTA(TEXTSPLIT(HQ207,",")))),IF(HS207="",TRUE,IF(input_story_categories="",TRUE,SUMPRODUCT(--ISNUMBER(SEARCH(","&amp;TRIM(TEXTSPLIT(HS207,","))&amp;",",","&amp;SUBSTITUTE(input_story_categories," ","")&amp;",")))=0)),IF(HU207="",TRUE,IF(input_story_categories="",FALSE,SUMPRODUCT(--ISNUMBER(SEARCH(","&amp;TRIM(TEXTSPLIT(HU207,","))&amp;",",","&amp;SUBSTITUTE(input_story_categories," ","")&amp;",")))&gt;0)),IF(HW207="",TRUE,IF(input_story_categories="",FALSE,SUMPRODUCT(--ISNUMBER(SEARCH(","&amp;TRIM(TEXTSPLIT(HW207,","))&amp;",",","&amp;SUBSTITUTE(input_story_categories," ","")&amp;",")))=COUNTA(TEXTSPLIT(HW207,",")))))</f>
        <v/>
      </c>
      <c r="JP207">
        <f>AND(IF(HY207="",TRUE,IF(input_story_type="",FALSE,SUMPRODUCT(--ISNUMBER(SEARCH(","&amp;TRIM(TEXTSPLIT(HY207,","))&amp;",",","&amp;SUBSTITUTE(input_story_type," ","")&amp;",")))&gt;0)),IF(IA207="",TRUE,IF(input_story_type="",FALSE,SUMPRODUCT(--ISNUMBER(SEARCH(","&amp;TRIM(TEXTSPLIT(IA207,","))&amp;",",","&amp;SUBSTITUTE(input_story_type," ","")&amp;",")))=COUNTA(TEXTSPLIT(IA207,",")))),IF(IC207="",TRUE,IF(input_story_type="",TRUE,SUMPRODUCT(--ISNUMBER(SEARCH(","&amp;TRIM(TEXTSPLIT(IC207,","))&amp;",",","&amp;SUBSTITUTE(input_story_type," ","")&amp;",")))=0)),IF(IE207="",TRUE,IF(input_story_type="",FALSE,SUMPRODUCT(--ISNUMBER(SEARCH(","&amp;TRIM(TEXTSPLIT(IE207,","))&amp;",",","&amp;SUBSTITUTE(input_story_type," ","")&amp;",")))&gt;0)),IF(IG207="",TRUE,IF(input_story_type="",FALSE,SUMPRODUCT(--ISNUMBER(SEARCH(","&amp;TRIM(TEXTSPLIT(IG207,","))&amp;",",","&amp;SUBSTITUTE(input_story_type," ","")&amp;",")))=COUNTA(TEXTSPLIT(IG207,",")))))</f>
        <v/>
      </c>
      <c r="JQ207">
        <f>AND(IF(II207="",TRUE,IF(input_topics="",FALSE,SUMPRODUCT(--ISNUMBER(SEARCH(","&amp;TRIM(TEXTSPLIT(II207,","))&amp;",",","&amp;SUBSTITUTE(input_topics," ","")&amp;",")))&gt;0)),IF(IK207="",TRUE,IF(input_topics="",FALSE,SUMPRODUCT(--ISNUMBER(SEARCH(","&amp;TRIM(TEXTSPLIT(IK207,","))&amp;",",","&amp;SUBSTITUTE(input_topics," ","")&amp;",")))=COUNTA(TEXTSPLIT(IK207,",")))),IF(IM207="",TRUE,IF(input_topics="",TRUE,SUMPRODUCT(--ISNUMBER(SEARCH(","&amp;TRIM(TEXTSPLIT(IM207,","))&amp;",",","&amp;SUBSTITUTE(input_topics," ","")&amp;",")))=0)),IF(IO207="",TRUE,IF(input_topics="",FALSE,SUMPRODUCT(--ISNUMBER(SEARCH(","&amp;TRIM(TEXTSPLIT(IO207,","))&amp;",",","&amp;SUBSTITUTE(input_topics," ","")&amp;",")))&gt;0)),IF(IQ207="",TRUE,IF(input_topics="",FALSE,SUMPRODUCT(--ISNUMBER(SEARCH(","&amp;TRIM(TEXTSPLIT(IQ207,","))&amp;",",","&amp;SUBSTITUTE(input_topics," ","")&amp;",")))=COUNTA(TEXTSPLIT(IQ207,",")))))</f>
        <v/>
      </c>
    </row>
    <row r="208">
      <c r="A208" s="4">
        <f>IF(NOT(IS208),"Excluded",IF(AND(IT208,IU208,IV208,IW208,IX208,IY208,IZ208,JA208,JB208,JC208,JD208,JE208,JF208,JG208,JH208,JI208,JJ208,JK208,JL208,JM208,JN208,JO208,JP208,JQ208),IF(I208&gt;0,"Eligible but limited","Will appear"),"Excluded"))</f>
        <v/>
      </c>
      <c r="B208" s="4" t="inlineStr">
        <is>
          <t>Related stories on story pages</t>
        </is>
      </c>
      <c r="C208" s="4" t="inlineStr">
        <is>
          <t>/story/2025/health-veritas-podcast-marks-200-episodes</t>
        </is>
      </c>
      <c r="D208" s="4" t="inlineStr">
        <is>
          <t>/story/2025/health-veritas-podcast-marks-200-episodes
/story/2025/ogilvie-colloquium-panelists-discuss-purpose-and-prosperity-new-haven</t>
        </is>
      </c>
      <c r="E208" s="4" t="n">
        <v>2</v>
      </c>
      <c r="F208" s="4" t="inlineStr">
        <is>
          <t>story</t>
        </is>
      </c>
      <c r="G208" s="4" t="inlineStr">
        <is>
          <t>stories_teaser_cards</t>
        </is>
      </c>
      <c r="H208" s="4" t="inlineStr">
        <is>
          <t>embed_all</t>
        </is>
      </c>
      <c r="I208" s="4" t="n">
        <v>3</v>
      </c>
      <c r="J208" s="4" t="inlineStr">
        <is>
          <t>Template logic</t>
        </is>
      </c>
      <c r="K208" s="4" t="inlineStr">
        <is>
          <t>Grouped surface</t>
        </is>
      </c>
      <c r="L208" s="4" t="inlineStr">
        <is>
          <t>Content type: story; Context uses Courses Context: Programs (94); Context uses Story Type: News (924); Limited to 3 item(s); Source: Template logic</t>
        </is>
      </c>
      <c r="M208" t="inlineStr"/>
      <c r="N208" t="inlineStr"/>
      <c r="O208" t="inlineStr"/>
      <c r="P208" t="inlineStr"/>
      <c r="Q208" t="inlineStr"/>
      <c r="R208" t="inlineStr"/>
      <c r="S208" t="inlineStr"/>
      <c r="T208" t="inlineStr"/>
      <c r="U208" t="inlineStr"/>
      <c r="V208" t="inlineStr"/>
      <c r="W208" t="inlineStr"/>
      <c r="X208" t="inlineStr"/>
      <c r="Y208" t="inlineStr"/>
      <c r="Z208" t="inlineStr"/>
      <c r="AA208" t="inlineStr"/>
      <c r="AB208" t="inlineStr"/>
      <c r="AC208" t="inlineStr"/>
      <c r="AD208" t="inlineStr"/>
      <c r="AE208" t="inlineStr"/>
      <c r="AF208" t="inlineStr"/>
      <c r="AG208" t="inlineStr"/>
      <c r="AH208" t="inlineStr"/>
      <c r="AI208" t="inlineStr"/>
      <c r="AJ208" t="inlineStr"/>
      <c r="AK208" t="inlineStr"/>
      <c r="AL208" t="inlineStr"/>
      <c r="AM208" t="inlineStr"/>
      <c r="AN208" t="inlineStr"/>
      <c r="AO208" t="inlineStr"/>
      <c r="AP208" t="inlineStr"/>
      <c r="AQ208" t="inlineStr"/>
      <c r="AR208" t="inlineStr"/>
      <c r="AS208" t="inlineStr"/>
      <c r="AT208" t="inlineStr"/>
      <c r="AU208" t="inlineStr"/>
      <c r="AV208" t="inlineStr"/>
      <c r="AW208" t="inlineStr"/>
      <c r="AX208" t="inlineStr"/>
      <c r="AY208" t="inlineStr"/>
      <c r="AZ208" t="inlineStr"/>
      <c r="BA208" t="inlineStr"/>
      <c r="BB208" t="inlineStr"/>
      <c r="BC208" t="inlineStr"/>
      <c r="BD208" t="inlineStr"/>
      <c r="BE208" t="inlineStr"/>
      <c r="BF208" t="inlineStr"/>
      <c r="BG208" t="inlineStr"/>
      <c r="BH208" t="inlineStr"/>
      <c r="BI208" t="inlineStr"/>
      <c r="BJ208" t="inlineStr"/>
      <c r="BK208" t="inlineStr"/>
      <c r="BL208" t="inlineStr"/>
      <c r="BM208" t="inlineStr"/>
      <c r="BN208" t="inlineStr"/>
      <c r="BO208" t="inlineStr"/>
      <c r="BP208" t="inlineStr"/>
      <c r="BQ208" t="inlineStr">
        <is>
          <t>94</t>
        </is>
      </c>
      <c r="BR208" t="inlineStr">
        <is>
          <t>Programs (94)</t>
        </is>
      </c>
      <c r="BS208" t="inlineStr"/>
      <c r="BT208" t="inlineStr"/>
      <c r="BU208" t="inlineStr"/>
      <c r="BV208" t="inlineStr"/>
      <c r="BW208" t="inlineStr"/>
      <c r="BX208" t="inlineStr"/>
      <c r="BY208" t="inlineStr"/>
      <c r="BZ208" t="inlineStr"/>
      <c r="CA208" t="inlineStr"/>
      <c r="CB208" t="inlineStr"/>
      <c r="CC208" t="inlineStr"/>
      <c r="CD208" t="inlineStr"/>
      <c r="CE208" t="inlineStr"/>
      <c r="CF208" t="inlineStr"/>
      <c r="CG208" t="inlineStr"/>
      <c r="CH208" t="inlineStr"/>
      <c r="CI208" t="inlineStr"/>
      <c r="CJ208" t="inlineStr"/>
      <c r="CK208" t="inlineStr"/>
      <c r="CL208" t="inlineStr"/>
      <c r="CM208" t="inlineStr"/>
      <c r="CN208" t="inlineStr"/>
      <c r="CO208" t="inlineStr"/>
      <c r="CP208" t="inlineStr"/>
      <c r="CQ208" t="inlineStr"/>
      <c r="CR208" t="inlineStr"/>
      <c r="CS208" t="inlineStr"/>
      <c r="CT208" t="inlineStr"/>
      <c r="CU208" t="inlineStr"/>
      <c r="CV208" t="inlineStr"/>
      <c r="CW208" t="inlineStr"/>
      <c r="CX208" t="inlineStr"/>
      <c r="CY208" t="inlineStr"/>
      <c r="CZ208" t="inlineStr"/>
      <c r="DA208" t="inlineStr"/>
      <c r="DB208" t="inlineStr"/>
      <c r="DC208" t="inlineStr"/>
      <c r="DD208" t="inlineStr"/>
      <c r="DE208" t="inlineStr"/>
      <c r="DF208" t="inlineStr"/>
      <c r="DG208" t="inlineStr"/>
      <c r="DH208" t="inlineStr"/>
      <c r="DI208" t="inlineStr"/>
      <c r="DJ208" t="inlineStr"/>
      <c r="DK208" t="inlineStr"/>
      <c r="DL208" t="inlineStr"/>
      <c r="DM208" t="inlineStr"/>
      <c r="DN208" t="inlineStr"/>
      <c r="DO208" t="inlineStr"/>
      <c r="DP208" t="inlineStr"/>
      <c r="DQ208" t="inlineStr"/>
      <c r="DR208" t="inlineStr"/>
      <c r="DS208" t="inlineStr"/>
      <c r="DT208" t="inlineStr"/>
      <c r="DU208" t="inlineStr"/>
      <c r="DV208" t="inlineStr"/>
      <c r="DW208" t="inlineStr"/>
      <c r="DX208" t="inlineStr"/>
      <c r="DY208" t="inlineStr"/>
      <c r="DZ208" t="inlineStr"/>
      <c r="EA208" t="inlineStr"/>
      <c r="EB208" t="inlineStr"/>
      <c r="EC208" t="inlineStr"/>
      <c r="ED208" t="inlineStr"/>
      <c r="EE208" t="inlineStr"/>
      <c r="EF208" t="inlineStr"/>
      <c r="EG208" t="inlineStr"/>
      <c r="EH208" t="inlineStr"/>
      <c r="EI208" t="inlineStr"/>
      <c r="EJ208" t="inlineStr"/>
      <c r="EK208" t="inlineStr"/>
      <c r="EL208" t="inlineStr"/>
      <c r="EM208" t="inlineStr"/>
      <c r="EN208" t="inlineStr"/>
      <c r="EO208" t="inlineStr"/>
      <c r="EP208" t="inlineStr"/>
      <c r="EQ208" t="inlineStr"/>
      <c r="ER208" t="inlineStr"/>
      <c r="ES208" t="inlineStr"/>
      <c r="ET208" t="inlineStr"/>
      <c r="EU208" t="inlineStr"/>
      <c r="EV208" t="inlineStr"/>
      <c r="EW208" t="inlineStr"/>
      <c r="EX208" t="inlineStr"/>
      <c r="EY208" t="inlineStr"/>
      <c r="EZ208" t="inlineStr"/>
      <c r="FA208" t="inlineStr"/>
      <c r="FB208" t="inlineStr"/>
      <c r="FC208" t="inlineStr"/>
      <c r="FD208" t="inlineStr"/>
      <c r="FE208" t="inlineStr"/>
      <c r="FF208" t="inlineStr"/>
      <c r="FG208" t="inlineStr"/>
      <c r="FH208" t="inlineStr"/>
      <c r="FI208" t="inlineStr"/>
      <c r="FJ208" t="inlineStr"/>
      <c r="FK208" t="inlineStr"/>
      <c r="FL208" t="inlineStr"/>
      <c r="FM208" t="inlineStr"/>
      <c r="FN208" t="inlineStr"/>
      <c r="FO208" t="inlineStr"/>
      <c r="FP208" t="inlineStr"/>
      <c r="FQ208" t="inlineStr"/>
      <c r="FR208" t="inlineStr"/>
      <c r="FS208" t="inlineStr"/>
      <c r="FT208" t="inlineStr"/>
      <c r="FU208" t="inlineStr"/>
      <c r="FV208" t="inlineStr"/>
      <c r="FW208" t="inlineStr"/>
      <c r="FX208" t="inlineStr"/>
      <c r="FY208" t="inlineStr"/>
      <c r="FZ208" t="inlineStr"/>
      <c r="GA208" t="inlineStr"/>
      <c r="GB208" t="inlineStr"/>
      <c r="GC208" t="inlineStr"/>
      <c r="GD208" t="inlineStr"/>
      <c r="GE208" t="inlineStr"/>
      <c r="GF208" t="inlineStr"/>
      <c r="GG208" t="inlineStr"/>
      <c r="GH208" t="inlineStr"/>
      <c r="GI208" t="inlineStr"/>
      <c r="GJ208" t="inlineStr"/>
      <c r="GK208" t="inlineStr"/>
      <c r="GL208" t="inlineStr"/>
      <c r="GM208" t="inlineStr"/>
      <c r="GN208" t="inlineStr"/>
      <c r="GO208" t="inlineStr"/>
      <c r="GP208" t="inlineStr"/>
      <c r="GQ208" t="inlineStr"/>
      <c r="GR208" t="inlineStr"/>
      <c r="GS208" t="inlineStr"/>
      <c r="GT208" t="inlineStr"/>
      <c r="GU208" t="inlineStr"/>
      <c r="GV208" t="inlineStr"/>
      <c r="GW208" t="inlineStr"/>
      <c r="GX208" t="inlineStr"/>
      <c r="GY208" t="inlineStr"/>
      <c r="GZ208" t="inlineStr"/>
      <c r="HA208" t="inlineStr"/>
      <c r="HB208" t="inlineStr"/>
      <c r="HC208" t="inlineStr"/>
      <c r="HD208" t="inlineStr"/>
      <c r="HE208" t="inlineStr"/>
      <c r="HF208" t="inlineStr"/>
      <c r="HG208" t="inlineStr"/>
      <c r="HH208" t="inlineStr"/>
      <c r="HI208" t="inlineStr"/>
      <c r="HJ208" t="inlineStr"/>
      <c r="HK208" t="inlineStr"/>
      <c r="HL208" t="inlineStr"/>
      <c r="HM208" t="inlineStr"/>
      <c r="HN208" t="inlineStr"/>
      <c r="HO208" t="inlineStr"/>
      <c r="HP208" t="inlineStr"/>
      <c r="HQ208" t="inlineStr"/>
      <c r="HR208" t="inlineStr"/>
      <c r="HS208" t="inlineStr"/>
      <c r="HT208" t="inlineStr"/>
      <c r="HU208" t="inlineStr"/>
      <c r="HV208" t="inlineStr"/>
      <c r="HW208" t="inlineStr"/>
      <c r="HX208" t="inlineStr"/>
      <c r="HY208" t="inlineStr"/>
      <c r="HZ208" t="inlineStr"/>
      <c r="IA208" t="inlineStr"/>
      <c r="IB208" t="inlineStr"/>
      <c r="IC208" t="inlineStr"/>
      <c r="ID208" t="inlineStr"/>
      <c r="IE208" t="inlineStr">
        <is>
          <t>924</t>
        </is>
      </c>
      <c r="IF208" t="inlineStr">
        <is>
          <t>News (924)</t>
        </is>
      </c>
      <c r="IG208" t="inlineStr"/>
      <c r="IH208" t="inlineStr"/>
      <c r="II208" t="inlineStr"/>
      <c r="IJ208" t="inlineStr"/>
      <c r="IK208" t="inlineStr"/>
      <c r="IL208" t="inlineStr"/>
      <c r="IM208" t="inlineStr"/>
      <c r="IN208" t="inlineStr"/>
      <c r="IO208" t="inlineStr"/>
      <c r="IP208" t="inlineStr"/>
      <c r="IQ208" t="inlineStr"/>
      <c r="IR208" t="inlineStr"/>
      <c r="IS208">
        <f>IF(input_content_type="",FALSE,ISNUMBER(SEARCH(","&amp;LOWER(input_content_type)&amp;",",","&amp;LOWER(F208)&amp;",")))</f>
        <v/>
      </c>
      <c r="IT208">
        <f>AND(IF(M208="",TRUE,IF(input_affiliations="",FALSE,SUMPRODUCT(--ISNUMBER(SEARCH(","&amp;TRIM(TEXTSPLIT(M208,","))&amp;",",","&amp;SUBSTITUTE(input_affiliations," ","")&amp;",")))&gt;0)),IF(O208="",TRUE,IF(input_affiliations="",FALSE,SUMPRODUCT(--ISNUMBER(SEARCH(","&amp;TRIM(TEXTSPLIT(O208,","))&amp;",",","&amp;SUBSTITUTE(input_affiliations," ","")&amp;",")))=COUNTA(TEXTSPLIT(O208,",")))),IF(Q208="",TRUE,IF(input_affiliations="",TRUE,SUMPRODUCT(--ISNUMBER(SEARCH(","&amp;TRIM(TEXTSPLIT(Q208,","))&amp;",",","&amp;SUBSTITUTE(input_affiliations," ","")&amp;",")))=0)),IF(S208="",TRUE,IF(input_affiliations="",FALSE,SUMPRODUCT(--ISNUMBER(SEARCH(","&amp;TRIM(TEXTSPLIT(S208,","))&amp;",",","&amp;SUBSTITUTE(input_affiliations," ","")&amp;",")))&gt;0)),IF(U208="",TRUE,IF(input_affiliations="",FALSE,SUMPRODUCT(--ISNUMBER(SEARCH(","&amp;TRIM(TEXTSPLIT(U208,","))&amp;",",","&amp;SUBSTITUTE(input_affiliations," ","")&amp;",")))=COUNTA(TEXTSPLIT(U208,",")))))</f>
        <v/>
      </c>
      <c r="IU208">
        <f>AND(IF(W208="",TRUE,IF(input_announcement_category="",FALSE,SUMPRODUCT(--ISNUMBER(SEARCH(","&amp;TRIM(TEXTSPLIT(W208,","))&amp;",",","&amp;SUBSTITUTE(input_announcement_category," ","")&amp;",")))&gt;0)),IF(Y208="",TRUE,IF(input_announcement_category="",FALSE,SUMPRODUCT(--ISNUMBER(SEARCH(","&amp;TRIM(TEXTSPLIT(Y208,","))&amp;",",","&amp;SUBSTITUTE(input_announcement_category," ","")&amp;",")))=COUNTA(TEXTSPLIT(Y208,",")))),IF(AA208="",TRUE,IF(input_announcement_category="",TRUE,SUMPRODUCT(--ISNUMBER(SEARCH(","&amp;TRIM(TEXTSPLIT(AA208,","))&amp;",",","&amp;SUBSTITUTE(input_announcement_category," ","")&amp;",")))=0)),IF(AC208="",TRUE,IF(input_announcement_category="",FALSE,SUMPRODUCT(--ISNUMBER(SEARCH(","&amp;TRIM(TEXTSPLIT(AC208,","))&amp;",",","&amp;SUBSTITUTE(input_announcement_category," ","")&amp;",")))&gt;0)),IF(AE208="",TRUE,IF(input_announcement_category="",FALSE,SUMPRODUCT(--ISNUMBER(SEARCH(","&amp;TRIM(TEXTSPLIT(AE208,","))&amp;",",","&amp;SUBSTITUTE(input_announcement_category," ","")&amp;",")))=COUNTA(TEXTSPLIT(AE208,",")))))</f>
        <v/>
      </c>
      <c r="IV208">
        <f>AND(IF(AG208="",TRUE,IF(input_area_of_focus="",FALSE,SUMPRODUCT(--ISNUMBER(SEARCH(","&amp;TRIM(TEXTSPLIT(AG208,","))&amp;",",","&amp;SUBSTITUTE(input_area_of_focus," ","")&amp;",")))&gt;0)),IF(AI208="",TRUE,IF(input_area_of_focus="",FALSE,SUMPRODUCT(--ISNUMBER(SEARCH(","&amp;TRIM(TEXTSPLIT(AI208,","))&amp;",",","&amp;SUBSTITUTE(input_area_of_focus," ","")&amp;",")))=COUNTA(TEXTSPLIT(AI208,",")))),IF(AK208="",TRUE,IF(input_area_of_focus="",TRUE,SUMPRODUCT(--ISNUMBER(SEARCH(","&amp;TRIM(TEXTSPLIT(AK208,","))&amp;",",","&amp;SUBSTITUTE(input_area_of_focus," ","")&amp;",")))=0)),IF(AM208="",TRUE,IF(input_area_of_focus="",FALSE,SUMPRODUCT(--ISNUMBER(SEARCH(","&amp;TRIM(TEXTSPLIT(AM208,","))&amp;",",","&amp;SUBSTITUTE(input_area_of_focus," ","")&amp;",")))&gt;0)),IF(AO208="",TRUE,IF(input_area_of_focus="",FALSE,SUMPRODUCT(--ISNUMBER(SEARCH(","&amp;TRIM(TEXTSPLIT(AO208,","))&amp;",",","&amp;SUBSTITUTE(input_area_of_focus," ","")&amp;",")))=COUNTA(TEXTSPLIT(AO208,",")))))</f>
        <v/>
      </c>
      <c r="IW208">
        <f>AND(IF(AQ208="",TRUE,IF(input_audience="",FALSE,SUMPRODUCT(--ISNUMBER(SEARCH(","&amp;TRIM(TEXTSPLIT(AQ208,","))&amp;",",","&amp;SUBSTITUTE(input_audience," ","")&amp;",")))&gt;0)),IF(AS208="",TRUE,IF(input_audience="",FALSE,SUMPRODUCT(--ISNUMBER(SEARCH(","&amp;TRIM(TEXTSPLIT(AS208,","))&amp;",",","&amp;SUBSTITUTE(input_audience," ","")&amp;",")))=COUNTA(TEXTSPLIT(AS208,",")))),IF(AU208="",TRUE,IF(input_audience="",TRUE,SUMPRODUCT(--ISNUMBER(SEARCH(","&amp;TRIM(TEXTSPLIT(AU208,","))&amp;",",","&amp;SUBSTITUTE(input_audience," ","")&amp;",")))=0)),IF(AW208="",TRUE,IF(input_audience="",FALSE,SUMPRODUCT(--ISNUMBER(SEARCH(","&amp;TRIM(TEXTSPLIT(AW208,","))&amp;",",","&amp;SUBSTITUTE(input_audience," ","")&amp;",")))&gt;0)),IF(AY208="",TRUE,IF(input_audience="",FALSE,SUMPRODUCT(--ISNUMBER(SEARCH(","&amp;TRIM(TEXTSPLIT(AY208,","))&amp;",",","&amp;SUBSTITUTE(input_audience," ","")&amp;",")))=COUNTA(TEXTSPLIT(AY208,",")))))</f>
        <v/>
      </c>
      <c r="IX208">
        <f>AND(IF(BA208="",TRUE,IF(input_challenge_opportunities="",FALSE,SUMPRODUCT(--ISNUMBER(SEARCH(","&amp;TRIM(TEXTSPLIT(BA208,","))&amp;",",","&amp;SUBSTITUTE(input_challenge_opportunities," ","")&amp;",")))&gt;0)),IF(BC208="",TRUE,IF(input_challenge_opportunities="",FALSE,SUMPRODUCT(--ISNUMBER(SEARCH(","&amp;TRIM(TEXTSPLIT(BC208,","))&amp;",",","&amp;SUBSTITUTE(input_challenge_opportunities," ","")&amp;",")))=COUNTA(TEXTSPLIT(BC208,",")))),IF(BE208="",TRUE,IF(input_challenge_opportunities="",TRUE,SUMPRODUCT(--ISNUMBER(SEARCH(","&amp;TRIM(TEXTSPLIT(BE208,","))&amp;",",","&amp;SUBSTITUTE(input_challenge_opportunities," ","")&amp;",")))=0)),IF(BG208="",TRUE,IF(input_challenge_opportunities="",FALSE,SUMPRODUCT(--ISNUMBER(SEARCH(","&amp;TRIM(TEXTSPLIT(BG208,","))&amp;",",","&amp;SUBSTITUTE(input_challenge_opportunities," ","")&amp;",")))&gt;0)),IF(BI208="",TRUE,IF(input_challenge_opportunities="",FALSE,SUMPRODUCT(--ISNUMBER(SEARCH(","&amp;TRIM(TEXTSPLIT(BI208,","))&amp;",",","&amp;SUBSTITUTE(input_challenge_opportunities," ","")&amp;",")))=COUNTA(TEXTSPLIT(BI208,",")))))</f>
        <v/>
      </c>
      <c r="IY208">
        <f>AND(IF(BK208="",TRUE,IF(input_context="",FALSE,SUMPRODUCT(--ISNUMBER(SEARCH(","&amp;TRIM(TEXTSPLIT(BK208,","))&amp;",",","&amp;SUBSTITUTE(input_context," ","")&amp;",")))&gt;0)),IF(BM208="",TRUE,IF(input_context="",FALSE,SUMPRODUCT(--ISNUMBER(SEARCH(","&amp;TRIM(TEXTSPLIT(BM208,","))&amp;",",","&amp;SUBSTITUTE(input_context," ","")&amp;",")))=COUNTA(TEXTSPLIT(BM208,",")))),IF(BO208="",TRUE,IF(input_context="",TRUE,SUMPRODUCT(--ISNUMBER(SEARCH(","&amp;TRIM(TEXTSPLIT(BO208,","))&amp;",",","&amp;SUBSTITUTE(input_context," ","")&amp;",")))=0)),IF(BQ208="",TRUE,IF(input_context="",FALSE,SUMPRODUCT(--ISNUMBER(SEARCH(","&amp;TRIM(TEXTSPLIT(BQ208,","))&amp;",",","&amp;SUBSTITUTE(input_context," ","")&amp;",")))&gt;0)),IF(BS208="",TRUE,IF(input_context="",FALSE,SUMPRODUCT(--ISNUMBER(SEARCH(","&amp;TRIM(TEXTSPLIT(BS208,","))&amp;",",","&amp;SUBSTITUTE(input_context," ","")&amp;",")))=COUNTA(TEXTSPLIT(BS208,",")))))</f>
        <v/>
      </c>
      <c r="IZ208">
        <f>AND(IF(BU208="",TRUE,IF(input_enews_announcement_type="",FALSE,SUMPRODUCT(--ISNUMBER(SEARCH(","&amp;TRIM(TEXTSPLIT(BU208,","))&amp;",",","&amp;SUBSTITUTE(input_enews_announcement_type," ","")&amp;",")))&gt;0)),IF(BW208="",TRUE,IF(input_enews_announcement_type="",FALSE,SUMPRODUCT(--ISNUMBER(SEARCH(","&amp;TRIM(TEXTSPLIT(BW208,","))&amp;",",","&amp;SUBSTITUTE(input_enews_announcement_type," ","")&amp;",")))=COUNTA(TEXTSPLIT(BW208,",")))),IF(BY208="",TRUE,IF(input_enews_announcement_type="",TRUE,SUMPRODUCT(--ISNUMBER(SEARCH(","&amp;TRIM(TEXTSPLIT(BY208,","))&amp;",",","&amp;SUBSTITUTE(input_enews_announcement_type," ","")&amp;",")))=0)),IF(CA208="",TRUE,IF(input_enews_announcement_type="",FALSE,SUMPRODUCT(--ISNUMBER(SEARCH(","&amp;TRIM(TEXTSPLIT(CA208,","))&amp;",",","&amp;SUBSTITUTE(input_enews_announcement_type," ","")&amp;",")))&gt;0)),IF(CC208="",TRUE,IF(input_enews_announcement_type="",FALSE,SUMPRODUCT(--ISNUMBER(SEARCH(","&amp;TRIM(TEXTSPLIT(CC208,","))&amp;",",","&amp;SUBSTITUTE(input_enews_announcement_type," ","")&amp;",")))=COUNTA(TEXTSPLIT(CC208,",")))))</f>
        <v/>
      </c>
      <c r="JA208">
        <f>AND(IF(CE208="",TRUE,IF(input_enews_audience="",FALSE,SUMPRODUCT(--ISNUMBER(SEARCH(","&amp;TRIM(TEXTSPLIT(CE208,","))&amp;",",","&amp;SUBSTITUTE(input_enews_audience," ","")&amp;",")))&gt;0)),IF(CG208="",TRUE,IF(input_enews_audience="",FALSE,SUMPRODUCT(--ISNUMBER(SEARCH(","&amp;TRIM(TEXTSPLIT(CG208,","))&amp;",",","&amp;SUBSTITUTE(input_enews_audience," ","")&amp;",")))=COUNTA(TEXTSPLIT(CG208,",")))),IF(CI208="",TRUE,IF(input_enews_audience="",TRUE,SUMPRODUCT(--ISNUMBER(SEARCH(","&amp;TRIM(TEXTSPLIT(CI208,","))&amp;",",","&amp;SUBSTITUTE(input_enews_audience," ","")&amp;",")))=0)),IF(CK208="",TRUE,IF(input_enews_audience="",FALSE,SUMPRODUCT(--ISNUMBER(SEARCH(","&amp;TRIM(TEXTSPLIT(CK208,","))&amp;",",","&amp;SUBSTITUTE(input_enews_audience," ","")&amp;",")))&gt;0)),IF(CM208="",TRUE,IF(input_enews_audience="",FALSE,SUMPRODUCT(--ISNUMBER(SEARCH(","&amp;TRIM(TEXTSPLIT(CM208,","))&amp;",",","&amp;SUBSTITUTE(input_enews_audience," ","")&amp;",")))=COUNTA(TEXTSPLIT(CM208,",")))))</f>
        <v/>
      </c>
      <c r="JB208">
        <f>AND(IF(CO208="",TRUE,IF(input_event_location="",FALSE,SUMPRODUCT(--ISNUMBER(SEARCH(","&amp;TRIM(TEXTSPLIT(CO208,","))&amp;",",","&amp;SUBSTITUTE(input_event_location," ","")&amp;",")))&gt;0)),IF(CQ208="",TRUE,IF(input_event_location="",FALSE,SUMPRODUCT(--ISNUMBER(SEARCH(","&amp;TRIM(TEXTSPLIT(CQ208,","))&amp;",",","&amp;SUBSTITUTE(input_event_location," ","")&amp;",")))=COUNTA(TEXTSPLIT(CQ208,",")))),IF(CS208="",TRUE,IF(input_event_location="",TRUE,SUMPRODUCT(--ISNUMBER(SEARCH(","&amp;TRIM(TEXTSPLIT(CS208,","))&amp;",",","&amp;SUBSTITUTE(input_event_location," ","")&amp;",")))=0)),IF(CU208="",TRUE,IF(input_event_location="",FALSE,SUMPRODUCT(--ISNUMBER(SEARCH(","&amp;TRIM(TEXTSPLIT(CU208,","))&amp;",",","&amp;SUBSTITUTE(input_event_location," ","")&amp;",")))&gt;0)),IF(CW208="",TRUE,IF(input_event_location="",FALSE,SUMPRODUCT(--ISNUMBER(SEARCH(","&amp;TRIM(TEXTSPLIT(CW208,","))&amp;",",","&amp;SUBSTITUTE(input_event_location," ","")&amp;",")))=COUNTA(TEXTSPLIT(CW208,",")))))</f>
        <v/>
      </c>
      <c r="JC208">
        <f>AND(IF(CY208="",TRUE,IF(input_event_type="",FALSE,SUMPRODUCT(--ISNUMBER(SEARCH(","&amp;TRIM(TEXTSPLIT(CY208,","))&amp;",",","&amp;SUBSTITUTE(input_event_type," ","")&amp;",")))&gt;0)),IF(DA208="",TRUE,IF(input_event_type="",FALSE,SUMPRODUCT(--ISNUMBER(SEARCH(","&amp;TRIM(TEXTSPLIT(DA208,","))&amp;",",","&amp;SUBSTITUTE(input_event_type," ","")&amp;",")))=COUNTA(TEXTSPLIT(DA208,",")))),IF(DC208="",TRUE,IF(input_event_type="",TRUE,SUMPRODUCT(--ISNUMBER(SEARCH(","&amp;TRIM(TEXTSPLIT(DC208,","))&amp;",",","&amp;SUBSTITUTE(input_event_type," ","")&amp;",")))=0)),IF(DE208="",TRUE,IF(input_event_type="",FALSE,SUMPRODUCT(--ISNUMBER(SEARCH(","&amp;TRIM(TEXTSPLIT(DE208,","))&amp;",",","&amp;SUBSTITUTE(input_event_type," ","")&amp;",")))&gt;0)),IF(DG208="",TRUE,IF(input_event_type="",FALSE,SUMPRODUCT(--ISNUMBER(SEARCH(","&amp;TRIM(TEXTSPLIT(DG208,","))&amp;",",","&amp;SUBSTITUTE(input_event_type," ","")&amp;",")))=COUNTA(TEXTSPLIT(DG208,",")))))</f>
        <v/>
      </c>
      <c r="JD208">
        <f>AND(IF(DI208="",TRUE,IF(input_executive_education_focus="",FALSE,SUMPRODUCT(--ISNUMBER(SEARCH(","&amp;TRIM(TEXTSPLIT(DI208,","))&amp;",",","&amp;SUBSTITUTE(input_executive_education_focus," ","")&amp;",")))&gt;0)),IF(DK208="",TRUE,IF(input_executive_education_focus="",FALSE,SUMPRODUCT(--ISNUMBER(SEARCH(","&amp;TRIM(TEXTSPLIT(DK208,","))&amp;",",","&amp;SUBSTITUTE(input_executive_education_focus," ","")&amp;",")))=COUNTA(TEXTSPLIT(DK208,",")))),IF(DM208="",TRUE,IF(input_executive_education_focus="",TRUE,SUMPRODUCT(--ISNUMBER(SEARCH(","&amp;TRIM(TEXTSPLIT(DM208,","))&amp;",",","&amp;SUBSTITUTE(input_executive_education_focus," ","")&amp;",")))=0)),IF(DO208="",TRUE,IF(input_executive_education_focus="",FALSE,SUMPRODUCT(--ISNUMBER(SEARCH(","&amp;TRIM(TEXTSPLIT(DO208,","))&amp;",",","&amp;SUBSTITUTE(input_executive_education_focus," ","")&amp;",")))&gt;0)),IF(DQ208="",TRUE,IF(input_executive_education_focus="",FALSE,SUMPRODUCT(--ISNUMBER(SEARCH(","&amp;TRIM(TEXTSPLIT(DQ208,","))&amp;",",","&amp;SUBSTITUTE(input_executive_education_focus," ","")&amp;",")))=COUNTA(TEXTSPLIT(DQ208,",")))))</f>
        <v/>
      </c>
      <c r="JE208">
        <f>AND(IF(DS208="",TRUE,IF(input_faculty_category="",FALSE,SUMPRODUCT(--ISNUMBER(SEARCH(","&amp;TRIM(TEXTSPLIT(DS208,","))&amp;",",","&amp;SUBSTITUTE(input_faculty_category," ","")&amp;",")))&gt;0)),IF(DU208="",TRUE,IF(input_faculty_category="",FALSE,SUMPRODUCT(--ISNUMBER(SEARCH(","&amp;TRIM(TEXTSPLIT(DU208,","))&amp;",",","&amp;SUBSTITUTE(input_faculty_category," ","")&amp;",")))=COUNTA(TEXTSPLIT(DU208,",")))),IF(DW208="",TRUE,IF(input_faculty_category="",TRUE,SUMPRODUCT(--ISNUMBER(SEARCH(","&amp;TRIM(TEXTSPLIT(DW208,","))&amp;",",","&amp;SUBSTITUTE(input_faculty_category," ","")&amp;",")))=0)),IF(DY208="",TRUE,IF(input_faculty_category="",FALSE,SUMPRODUCT(--ISNUMBER(SEARCH(","&amp;TRIM(TEXTSPLIT(DY208,","))&amp;",",","&amp;SUBSTITUTE(input_faculty_category," ","")&amp;",")))&gt;0)),IF(EA208="",TRUE,IF(input_faculty_category="",FALSE,SUMPRODUCT(--ISNUMBER(SEARCH(","&amp;TRIM(TEXTSPLIT(EA208,","))&amp;",",","&amp;SUBSTITUTE(input_faculty_category," ","")&amp;",")))=COUNTA(TEXTSPLIT(EA208,",")))))</f>
        <v/>
      </c>
      <c r="JF208">
        <f>AND(IF(EC208="",TRUE,IF(input_faculty_discipline="",FALSE,SUMPRODUCT(--ISNUMBER(SEARCH(","&amp;TRIM(TEXTSPLIT(EC208,","))&amp;",",","&amp;SUBSTITUTE(input_faculty_discipline," ","")&amp;",")))&gt;0)),IF(EE208="",TRUE,IF(input_faculty_discipline="",FALSE,SUMPRODUCT(--ISNUMBER(SEARCH(","&amp;TRIM(TEXTSPLIT(EE208,","))&amp;",",","&amp;SUBSTITUTE(input_faculty_discipline," ","")&amp;",")))=COUNTA(TEXTSPLIT(EE208,",")))),IF(EG208="",TRUE,IF(input_faculty_discipline="",TRUE,SUMPRODUCT(--ISNUMBER(SEARCH(","&amp;TRIM(TEXTSPLIT(EG208,","))&amp;",",","&amp;SUBSTITUTE(input_faculty_discipline," ","")&amp;",")))=0)),IF(EI208="",TRUE,IF(input_faculty_discipline="",FALSE,SUMPRODUCT(--ISNUMBER(SEARCH(","&amp;TRIM(TEXTSPLIT(EI208,","))&amp;",",","&amp;SUBSTITUTE(input_faculty_discipline," ","")&amp;",")))&gt;0)),IF(EK208="",TRUE,IF(input_faculty_discipline="",FALSE,SUMPRODUCT(--ISNUMBER(SEARCH(","&amp;TRIM(TEXTSPLIT(EK208,","))&amp;",",","&amp;SUBSTITUTE(input_faculty_discipline," ","")&amp;",")))=COUNTA(TEXTSPLIT(EK208,",")))))</f>
        <v/>
      </c>
      <c r="JG208">
        <f>AND(IF(EM208="",TRUE,IF(input_faculty_expertise="",FALSE,SUMPRODUCT(--ISNUMBER(SEARCH(","&amp;TRIM(TEXTSPLIT(EM208,","))&amp;",",","&amp;SUBSTITUTE(input_faculty_expertise," ","")&amp;",")))&gt;0)),IF(EO208="",TRUE,IF(input_faculty_expertise="",FALSE,SUMPRODUCT(--ISNUMBER(SEARCH(","&amp;TRIM(TEXTSPLIT(EO208,","))&amp;",",","&amp;SUBSTITUTE(input_faculty_expertise," ","")&amp;",")))=COUNTA(TEXTSPLIT(EO208,",")))),IF(EQ208="",TRUE,IF(input_faculty_expertise="",TRUE,SUMPRODUCT(--ISNUMBER(SEARCH(","&amp;TRIM(TEXTSPLIT(EQ208,","))&amp;",",","&amp;SUBSTITUTE(input_faculty_expertise," ","")&amp;",")))=0)),IF(ES208="",TRUE,IF(input_faculty_expertise="",FALSE,SUMPRODUCT(--ISNUMBER(SEARCH(","&amp;TRIM(TEXTSPLIT(ES208,","))&amp;",",","&amp;SUBSTITUTE(input_faculty_expertise," ","")&amp;",")))&gt;0)),IF(EU208="",TRUE,IF(input_faculty_expertise="",FALSE,SUMPRODUCT(--ISNUMBER(SEARCH(","&amp;TRIM(TEXTSPLIT(EU208,","))&amp;",",","&amp;SUBSTITUTE(input_faculty_expertise," ","")&amp;",")))=COUNTA(TEXTSPLIT(EU208,",")))))</f>
        <v/>
      </c>
      <c r="JH208">
        <f>AND(IF(EW208="",TRUE,IF(input_global_network_school="",FALSE,SUMPRODUCT(--ISNUMBER(SEARCH(","&amp;TRIM(TEXTSPLIT(EW208,","))&amp;",",","&amp;SUBSTITUTE(input_global_network_school," ","")&amp;",")))&gt;0)),IF(EY208="",TRUE,IF(input_global_network_school="",FALSE,SUMPRODUCT(--ISNUMBER(SEARCH(","&amp;TRIM(TEXTSPLIT(EY208,","))&amp;",",","&amp;SUBSTITUTE(input_global_network_school," ","")&amp;",")))=COUNTA(TEXTSPLIT(EY208,",")))),IF(FA208="",TRUE,IF(input_global_network_school="",TRUE,SUMPRODUCT(--ISNUMBER(SEARCH(","&amp;TRIM(TEXTSPLIT(FA208,","))&amp;",",","&amp;SUBSTITUTE(input_global_network_school," ","")&amp;",")))=0)),IF(FC208="",TRUE,IF(input_global_network_school="",FALSE,SUMPRODUCT(--ISNUMBER(SEARCH(","&amp;TRIM(TEXTSPLIT(FC208,","))&amp;",",","&amp;SUBSTITUTE(input_global_network_school," ","")&amp;",")))&gt;0)),IF(FE208="",TRUE,IF(input_global_network_school="",FALSE,SUMPRODUCT(--ISNUMBER(SEARCH(","&amp;TRIM(TEXTSPLIT(FE208,","))&amp;",",","&amp;SUBSTITUTE(input_global_network_school," ","")&amp;",")))=COUNTA(TEXTSPLIT(FE208,",")))))</f>
        <v/>
      </c>
      <c r="JI208">
        <f>AND(IF(FG208="",TRUE,IF(input_industry="",FALSE,SUMPRODUCT(--ISNUMBER(SEARCH(","&amp;TRIM(TEXTSPLIT(FG208,","))&amp;",",","&amp;SUBSTITUTE(input_industry," ","")&amp;",")))&gt;0)),IF(FI208="",TRUE,IF(input_industry="",FALSE,SUMPRODUCT(--ISNUMBER(SEARCH(","&amp;TRIM(TEXTSPLIT(FI208,","))&amp;",",","&amp;SUBSTITUTE(input_industry," ","")&amp;",")))=COUNTA(TEXTSPLIT(FI208,",")))),IF(FK208="",TRUE,IF(input_industry="",TRUE,SUMPRODUCT(--ISNUMBER(SEARCH(","&amp;TRIM(TEXTSPLIT(FK208,","))&amp;",",","&amp;SUBSTITUTE(input_industry," ","")&amp;",")))=0)),IF(FM208="",TRUE,IF(input_industry="",FALSE,SUMPRODUCT(--ISNUMBER(SEARCH(","&amp;TRIM(TEXTSPLIT(FM208,","))&amp;",",","&amp;SUBSTITUTE(input_industry," ","")&amp;",")))&gt;0)),IF(FO208="",TRUE,IF(input_industry="",FALSE,SUMPRODUCT(--ISNUMBER(SEARCH(","&amp;TRIM(TEXTSPLIT(FO208,","))&amp;",",","&amp;SUBSTITUTE(input_industry," ","")&amp;",")))=COUNTA(TEXTSPLIT(FO208,",")))))</f>
        <v/>
      </c>
      <c r="JJ208">
        <f>AND(IF(FQ208="",TRUE,IF(input_location="",FALSE,SUMPRODUCT(--ISNUMBER(SEARCH(","&amp;TRIM(TEXTSPLIT(FQ208,","))&amp;",",","&amp;SUBSTITUTE(input_location," ","")&amp;",")))&gt;0)),IF(FS208="",TRUE,IF(input_location="",FALSE,SUMPRODUCT(--ISNUMBER(SEARCH(","&amp;TRIM(TEXTSPLIT(FS208,","))&amp;",",","&amp;SUBSTITUTE(input_location," ","")&amp;",")))=COUNTA(TEXTSPLIT(FS208,",")))),IF(FU208="",TRUE,IF(input_location="",TRUE,SUMPRODUCT(--ISNUMBER(SEARCH(","&amp;TRIM(TEXTSPLIT(FU208,","))&amp;",",","&amp;SUBSTITUTE(input_location," ","")&amp;",")))=0)),IF(FW208="",TRUE,IF(input_location="",FALSE,SUMPRODUCT(--ISNUMBER(SEARCH(","&amp;TRIM(TEXTSPLIT(FW208,","))&amp;",",","&amp;SUBSTITUTE(input_location," ","")&amp;",")))&gt;0)),IF(FY208="",TRUE,IF(input_location="",FALSE,SUMPRODUCT(--ISNUMBER(SEARCH(","&amp;TRIM(TEXTSPLIT(FY208,","))&amp;",",","&amp;SUBSTITUTE(input_location," ","")&amp;",")))=COUNTA(TEXTSPLIT(FY208,",")))))</f>
        <v/>
      </c>
      <c r="JK208">
        <f>AND(IF(GA208="",TRUE,IF(input_modality="",FALSE,SUMPRODUCT(--ISNUMBER(SEARCH(","&amp;TRIM(TEXTSPLIT(GA208,","))&amp;",",","&amp;SUBSTITUTE(input_modality," ","")&amp;",")))&gt;0)),IF(GC208="",TRUE,IF(input_modality="",FALSE,SUMPRODUCT(--ISNUMBER(SEARCH(","&amp;TRIM(TEXTSPLIT(GC208,","))&amp;",",","&amp;SUBSTITUTE(input_modality," ","")&amp;",")))=COUNTA(TEXTSPLIT(GC208,",")))),IF(GE208="",TRUE,IF(input_modality="",TRUE,SUMPRODUCT(--ISNUMBER(SEARCH(","&amp;TRIM(TEXTSPLIT(GE208,","))&amp;",",","&amp;SUBSTITUTE(input_modality," ","")&amp;",")))=0)),IF(GG208="",TRUE,IF(input_modality="",FALSE,SUMPRODUCT(--ISNUMBER(SEARCH(","&amp;TRIM(TEXTSPLIT(GG208,","))&amp;",",","&amp;SUBSTITUTE(input_modality," ","")&amp;",")))&gt;0)),IF(GI208="",TRUE,IF(input_modality="",FALSE,SUMPRODUCT(--ISNUMBER(SEARCH(","&amp;TRIM(TEXTSPLIT(GI208,","))&amp;",",","&amp;SUBSTITUTE(input_modality," ","")&amp;",")))=COUNTA(TEXTSPLIT(GI208,",")))))</f>
        <v/>
      </c>
      <c r="JL208">
        <f>AND(IF(GK208="",TRUE,IF(input_organizer="",FALSE,SUMPRODUCT(--ISNUMBER(SEARCH(","&amp;TRIM(TEXTSPLIT(GK208,","))&amp;",",","&amp;SUBSTITUTE(input_organizer," ","")&amp;",")))&gt;0)),IF(GM208="",TRUE,IF(input_organizer="",FALSE,SUMPRODUCT(--ISNUMBER(SEARCH(","&amp;TRIM(TEXTSPLIT(GM208,","))&amp;",",","&amp;SUBSTITUTE(input_organizer," ","")&amp;",")))=COUNTA(TEXTSPLIT(GM208,",")))),IF(GO208="",TRUE,IF(input_organizer="",TRUE,SUMPRODUCT(--ISNUMBER(SEARCH(","&amp;TRIM(TEXTSPLIT(GO208,","))&amp;",",","&amp;SUBSTITUTE(input_organizer," ","")&amp;",")))=0)),IF(GQ208="",TRUE,IF(input_organizer="",FALSE,SUMPRODUCT(--ISNUMBER(SEARCH(","&amp;TRIM(TEXTSPLIT(GQ208,","))&amp;",",","&amp;SUBSTITUTE(input_organizer," ","")&amp;",")))&gt;0)),IF(GS208="",TRUE,IF(input_organizer="",FALSE,SUMPRODUCT(--ISNUMBER(SEARCH(","&amp;TRIM(TEXTSPLIT(GS208,","))&amp;",",","&amp;SUBSTITUTE(input_organizer," ","")&amp;",")))=COUNTA(TEXTSPLIT(GS208,",")))))</f>
        <v/>
      </c>
      <c r="JM208">
        <f>AND(IF(GU208="",TRUE,IF(input_profile_type="",FALSE,SUMPRODUCT(--ISNUMBER(SEARCH(","&amp;TRIM(TEXTSPLIT(GU208,","))&amp;",",","&amp;SUBSTITUTE(input_profile_type," ","")&amp;",")))&gt;0)),IF(GW208="",TRUE,IF(input_profile_type="",FALSE,SUMPRODUCT(--ISNUMBER(SEARCH(","&amp;TRIM(TEXTSPLIT(GW208,","))&amp;",",","&amp;SUBSTITUTE(input_profile_type," ","")&amp;",")))=COUNTA(TEXTSPLIT(GW208,",")))),IF(GY208="",TRUE,IF(input_profile_type="",TRUE,SUMPRODUCT(--ISNUMBER(SEARCH(","&amp;TRIM(TEXTSPLIT(GY208,","))&amp;",",","&amp;SUBSTITUTE(input_profile_type," ","")&amp;",")))=0)),IF(HA208="",TRUE,IF(input_profile_type="",FALSE,SUMPRODUCT(--ISNUMBER(SEARCH(","&amp;TRIM(TEXTSPLIT(HA208,","))&amp;",",","&amp;SUBSTITUTE(input_profile_type," ","")&amp;",")))&gt;0)),IF(HC208="",TRUE,IF(input_profile_type="",FALSE,SUMPRODUCT(--ISNUMBER(SEARCH(","&amp;TRIM(TEXTSPLIT(HC208,","))&amp;",",","&amp;SUBSTITUTE(input_profile_type," ","")&amp;",")))=COUNTA(TEXTSPLIT(HC208,",")))))</f>
        <v/>
      </c>
      <c r="JN208">
        <f>AND(IF(HE208="",TRUE,IF(input_program="",FALSE,SUMPRODUCT(--ISNUMBER(SEARCH(","&amp;TRIM(TEXTSPLIT(HE208,","))&amp;",",","&amp;SUBSTITUTE(input_program," ","")&amp;",")))&gt;0)),IF(HG208="",TRUE,IF(input_program="",FALSE,SUMPRODUCT(--ISNUMBER(SEARCH(","&amp;TRIM(TEXTSPLIT(HG208,","))&amp;",",","&amp;SUBSTITUTE(input_program," ","")&amp;",")))=COUNTA(TEXTSPLIT(HG208,",")))),IF(HI208="",TRUE,IF(input_program="",TRUE,SUMPRODUCT(--ISNUMBER(SEARCH(","&amp;TRIM(TEXTSPLIT(HI208,","))&amp;",",","&amp;SUBSTITUTE(input_program," ","")&amp;",")))=0)),IF(HK208="",TRUE,IF(input_program="",FALSE,SUMPRODUCT(--ISNUMBER(SEARCH(","&amp;TRIM(TEXTSPLIT(HK208,","))&amp;",",","&amp;SUBSTITUTE(input_program," ","")&amp;",")))&gt;0)),IF(HM208="",TRUE,IF(input_program="",FALSE,SUMPRODUCT(--ISNUMBER(SEARCH(","&amp;TRIM(TEXTSPLIT(HM208,","))&amp;",",","&amp;SUBSTITUTE(input_program," ","")&amp;",")))=COUNTA(TEXTSPLIT(HM208,",")))))</f>
        <v/>
      </c>
      <c r="JO208">
        <f>AND(IF(HO208="",TRUE,IF(input_story_categories="",FALSE,SUMPRODUCT(--ISNUMBER(SEARCH(","&amp;TRIM(TEXTSPLIT(HO208,","))&amp;",",","&amp;SUBSTITUTE(input_story_categories," ","")&amp;",")))&gt;0)),IF(HQ208="",TRUE,IF(input_story_categories="",FALSE,SUMPRODUCT(--ISNUMBER(SEARCH(","&amp;TRIM(TEXTSPLIT(HQ208,","))&amp;",",","&amp;SUBSTITUTE(input_story_categories," ","")&amp;",")))=COUNTA(TEXTSPLIT(HQ208,",")))),IF(HS208="",TRUE,IF(input_story_categories="",TRUE,SUMPRODUCT(--ISNUMBER(SEARCH(","&amp;TRIM(TEXTSPLIT(HS208,","))&amp;",",","&amp;SUBSTITUTE(input_story_categories," ","")&amp;",")))=0)),IF(HU208="",TRUE,IF(input_story_categories="",FALSE,SUMPRODUCT(--ISNUMBER(SEARCH(","&amp;TRIM(TEXTSPLIT(HU208,","))&amp;",",","&amp;SUBSTITUTE(input_story_categories," ","")&amp;",")))&gt;0)),IF(HW208="",TRUE,IF(input_story_categories="",FALSE,SUMPRODUCT(--ISNUMBER(SEARCH(","&amp;TRIM(TEXTSPLIT(HW208,","))&amp;",",","&amp;SUBSTITUTE(input_story_categories," ","")&amp;",")))=COUNTA(TEXTSPLIT(HW208,",")))))</f>
        <v/>
      </c>
      <c r="JP208">
        <f>AND(IF(HY208="",TRUE,IF(input_story_type="",FALSE,SUMPRODUCT(--ISNUMBER(SEARCH(","&amp;TRIM(TEXTSPLIT(HY208,","))&amp;",",","&amp;SUBSTITUTE(input_story_type," ","")&amp;",")))&gt;0)),IF(IA208="",TRUE,IF(input_story_type="",FALSE,SUMPRODUCT(--ISNUMBER(SEARCH(","&amp;TRIM(TEXTSPLIT(IA208,","))&amp;",",","&amp;SUBSTITUTE(input_story_type," ","")&amp;",")))=COUNTA(TEXTSPLIT(IA208,",")))),IF(IC208="",TRUE,IF(input_story_type="",TRUE,SUMPRODUCT(--ISNUMBER(SEARCH(","&amp;TRIM(TEXTSPLIT(IC208,","))&amp;",",","&amp;SUBSTITUTE(input_story_type," ","")&amp;",")))=0)),IF(IE208="",TRUE,IF(input_story_type="",FALSE,SUMPRODUCT(--ISNUMBER(SEARCH(","&amp;TRIM(TEXTSPLIT(IE208,","))&amp;",",","&amp;SUBSTITUTE(input_story_type," ","")&amp;",")))&gt;0)),IF(IG208="",TRUE,IF(input_story_type="",FALSE,SUMPRODUCT(--ISNUMBER(SEARCH(","&amp;TRIM(TEXTSPLIT(IG208,","))&amp;",",","&amp;SUBSTITUTE(input_story_type," ","")&amp;",")))=COUNTA(TEXTSPLIT(IG208,",")))))</f>
        <v/>
      </c>
      <c r="JQ208">
        <f>AND(IF(II208="",TRUE,IF(input_topics="",FALSE,SUMPRODUCT(--ISNUMBER(SEARCH(","&amp;TRIM(TEXTSPLIT(II208,","))&amp;",",","&amp;SUBSTITUTE(input_topics," ","")&amp;",")))&gt;0)),IF(IK208="",TRUE,IF(input_topics="",FALSE,SUMPRODUCT(--ISNUMBER(SEARCH(","&amp;TRIM(TEXTSPLIT(IK208,","))&amp;",",","&amp;SUBSTITUTE(input_topics," ","")&amp;",")))=COUNTA(TEXTSPLIT(IK208,",")))),IF(IM208="",TRUE,IF(input_topics="",TRUE,SUMPRODUCT(--ISNUMBER(SEARCH(","&amp;TRIM(TEXTSPLIT(IM208,","))&amp;",",","&amp;SUBSTITUTE(input_topics," ","")&amp;",")))=0)),IF(IO208="",TRUE,IF(input_topics="",FALSE,SUMPRODUCT(--ISNUMBER(SEARCH(","&amp;TRIM(TEXTSPLIT(IO208,","))&amp;",",","&amp;SUBSTITUTE(input_topics," ","")&amp;",")))&gt;0)),IF(IQ208="",TRUE,IF(input_topics="",FALSE,SUMPRODUCT(--ISNUMBER(SEARCH(","&amp;TRIM(TEXTSPLIT(IQ208,","))&amp;",",","&amp;SUBSTITUTE(input_topics," ","")&amp;",")))=COUNTA(TEXTSPLIT(IQ208,",")))))</f>
        <v/>
      </c>
    </row>
    <row r="209">
      <c r="A209" s="4">
        <f>IF(NOT(IS209),"Excluded",IF(AND(IT209,IU209,IV209,IW209,IX209,IY209,IZ209,JA209,JB209,JC209,JD209,JE209,JF209,JG209,JH209,JI209,JJ209,JK209,JL209,JM209,JN209,JO209,JP209,JQ209),IF(I209&gt;0,"Eligible but limited","Will appear"),"Excluded"))</f>
        <v/>
      </c>
      <c r="B209" s="4" t="inlineStr">
        <is>
          <t>Related stories on story pages</t>
        </is>
      </c>
      <c r="C209" s="4" t="inlineStr">
        <is>
          <t>/story/2025/heritage-awareness-celebrating-latine-hispanic-roots</t>
        </is>
      </c>
      <c r="D209" s="4" t="inlineStr">
        <is>
          <t>/story/2025/heritage-awareness-celebrating-latine-hispanic-roots
/story/2025/heritage-awareness-coming-out-satoshi-suga-26
/story/2025/heritage-awareness-honoring-veterans-day</t>
        </is>
      </c>
      <c r="E209" s="4" t="n">
        <v>6</v>
      </c>
      <c r="F209" s="4" t="inlineStr">
        <is>
          <t>story</t>
        </is>
      </c>
      <c r="G209" s="4" t="inlineStr">
        <is>
          <t>stories_teaser_cards</t>
        </is>
      </c>
      <c r="H209" s="4" t="inlineStr">
        <is>
          <t>embed_all</t>
        </is>
      </c>
      <c r="I209" s="4" t="n">
        <v>3</v>
      </c>
      <c r="J209" s="4" t="inlineStr">
        <is>
          <t>Template logic</t>
        </is>
      </c>
      <c r="K209" s="4" t="inlineStr">
        <is>
          <t>Grouped surface</t>
        </is>
      </c>
      <c r="L209" s="4" t="inlineStr">
        <is>
          <t>Content type: story; Context uses Courses Context: Programs (94); Context uses Story Type: Blog (974); Limited to 3 item(s); Source: Template logic</t>
        </is>
      </c>
      <c r="M209" t="inlineStr"/>
      <c r="N209" t="inlineStr"/>
      <c r="O209" t="inlineStr"/>
      <c r="P209" t="inlineStr"/>
      <c r="Q209" t="inlineStr"/>
      <c r="R209" t="inlineStr"/>
      <c r="S209" t="inlineStr"/>
      <c r="T209" t="inlineStr"/>
      <c r="U209" t="inlineStr"/>
      <c r="V209" t="inlineStr"/>
      <c r="W209" t="inlineStr"/>
      <c r="X209" t="inlineStr"/>
      <c r="Y209" t="inlineStr"/>
      <c r="Z209" t="inlineStr"/>
      <c r="AA209" t="inlineStr"/>
      <c r="AB209" t="inlineStr"/>
      <c r="AC209" t="inlineStr"/>
      <c r="AD209" t="inlineStr"/>
      <c r="AE209" t="inlineStr"/>
      <c r="AF209" t="inlineStr"/>
      <c r="AG209" t="inlineStr"/>
      <c r="AH209" t="inlineStr"/>
      <c r="AI209" t="inlineStr"/>
      <c r="AJ209" t="inlineStr"/>
      <c r="AK209" t="inlineStr"/>
      <c r="AL209" t="inlineStr"/>
      <c r="AM209" t="inlineStr"/>
      <c r="AN209" t="inlineStr"/>
      <c r="AO209" t="inlineStr"/>
      <c r="AP209" t="inlineStr"/>
      <c r="AQ209" t="inlineStr"/>
      <c r="AR209" t="inlineStr"/>
      <c r="AS209" t="inlineStr"/>
      <c r="AT209" t="inlineStr"/>
      <c r="AU209" t="inlineStr"/>
      <c r="AV209" t="inlineStr"/>
      <c r="AW209" t="inlineStr"/>
      <c r="AX209" t="inlineStr"/>
      <c r="AY209" t="inlineStr"/>
      <c r="AZ209" t="inlineStr"/>
      <c r="BA209" t="inlineStr"/>
      <c r="BB209" t="inlineStr"/>
      <c r="BC209" t="inlineStr"/>
      <c r="BD209" t="inlineStr"/>
      <c r="BE209" t="inlineStr"/>
      <c r="BF209" t="inlineStr"/>
      <c r="BG209" t="inlineStr"/>
      <c r="BH209" t="inlineStr"/>
      <c r="BI209" t="inlineStr"/>
      <c r="BJ209" t="inlineStr"/>
      <c r="BK209" t="inlineStr"/>
      <c r="BL209" t="inlineStr"/>
      <c r="BM209" t="inlineStr"/>
      <c r="BN209" t="inlineStr"/>
      <c r="BO209" t="inlineStr"/>
      <c r="BP209" t="inlineStr"/>
      <c r="BQ209" t="inlineStr">
        <is>
          <t>94</t>
        </is>
      </c>
      <c r="BR209" t="inlineStr">
        <is>
          <t>Programs (94)</t>
        </is>
      </c>
      <c r="BS209" t="inlineStr"/>
      <c r="BT209" t="inlineStr"/>
      <c r="BU209" t="inlineStr"/>
      <c r="BV209" t="inlineStr"/>
      <c r="BW209" t="inlineStr"/>
      <c r="BX209" t="inlineStr"/>
      <c r="BY209" t="inlineStr"/>
      <c r="BZ209" t="inlineStr"/>
      <c r="CA209" t="inlineStr"/>
      <c r="CB209" t="inlineStr"/>
      <c r="CC209" t="inlineStr"/>
      <c r="CD209" t="inlineStr"/>
      <c r="CE209" t="inlineStr"/>
      <c r="CF209" t="inlineStr"/>
      <c r="CG209" t="inlineStr"/>
      <c r="CH209" t="inlineStr"/>
      <c r="CI209" t="inlineStr"/>
      <c r="CJ209" t="inlineStr"/>
      <c r="CK209" t="inlineStr"/>
      <c r="CL209" t="inlineStr"/>
      <c r="CM209" t="inlineStr"/>
      <c r="CN209" t="inlineStr"/>
      <c r="CO209" t="inlineStr"/>
      <c r="CP209" t="inlineStr"/>
      <c r="CQ209" t="inlineStr"/>
      <c r="CR209" t="inlineStr"/>
      <c r="CS209" t="inlineStr"/>
      <c r="CT209" t="inlineStr"/>
      <c r="CU209" t="inlineStr"/>
      <c r="CV209" t="inlineStr"/>
      <c r="CW209" t="inlineStr"/>
      <c r="CX209" t="inlineStr"/>
      <c r="CY209" t="inlineStr"/>
      <c r="CZ209" t="inlineStr"/>
      <c r="DA209" t="inlineStr"/>
      <c r="DB209" t="inlineStr"/>
      <c r="DC209" t="inlineStr"/>
      <c r="DD209" t="inlineStr"/>
      <c r="DE209" t="inlineStr"/>
      <c r="DF209" t="inlineStr"/>
      <c r="DG209" t="inlineStr"/>
      <c r="DH209" t="inlineStr"/>
      <c r="DI209" t="inlineStr"/>
      <c r="DJ209" t="inlineStr"/>
      <c r="DK209" t="inlineStr"/>
      <c r="DL209" t="inlineStr"/>
      <c r="DM209" t="inlineStr"/>
      <c r="DN209" t="inlineStr"/>
      <c r="DO209" t="inlineStr"/>
      <c r="DP209" t="inlineStr"/>
      <c r="DQ209" t="inlineStr"/>
      <c r="DR209" t="inlineStr"/>
      <c r="DS209" t="inlineStr"/>
      <c r="DT209" t="inlineStr"/>
      <c r="DU209" t="inlineStr"/>
      <c r="DV209" t="inlineStr"/>
      <c r="DW209" t="inlineStr"/>
      <c r="DX209" t="inlineStr"/>
      <c r="DY209" t="inlineStr"/>
      <c r="DZ209" t="inlineStr"/>
      <c r="EA209" t="inlineStr"/>
      <c r="EB209" t="inlineStr"/>
      <c r="EC209" t="inlineStr"/>
      <c r="ED209" t="inlineStr"/>
      <c r="EE209" t="inlineStr"/>
      <c r="EF209" t="inlineStr"/>
      <c r="EG209" t="inlineStr"/>
      <c r="EH209" t="inlineStr"/>
      <c r="EI209" t="inlineStr"/>
      <c r="EJ209" t="inlineStr"/>
      <c r="EK209" t="inlineStr"/>
      <c r="EL209" t="inlineStr"/>
      <c r="EM209" t="inlineStr"/>
      <c r="EN209" t="inlineStr"/>
      <c r="EO209" t="inlineStr"/>
      <c r="EP209" t="inlineStr"/>
      <c r="EQ209" t="inlineStr"/>
      <c r="ER209" t="inlineStr"/>
      <c r="ES209" t="inlineStr"/>
      <c r="ET209" t="inlineStr"/>
      <c r="EU209" t="inlineStr"/>
      <c r="EV209" t="inlineStr"/>
      <c r="EW209" t="inlineStr"/>
      <c r="EX209" t="inlineStr"/>
      <c r="EY209" t="inlineStr"/>
      <c r="EZ209" t="inlineStr"/>
      <c r="FA209" t="inlineStr"/>
      <c r="FB209" t="inlineStr"/>
      <c r="FC209" t="inlineStr"/>
      <c r="FD209" t="inlineStr"/>
      <c r="FE209" t="inlineStr"/>
      <c r="FF209" t="inlineStr"/>
      <c r="FG209" t="inlineStr"/>
      <c r="FH209" t="inlineStr"/>
      <c r="FI209" t="inlineStr"/>
      <c r="FJ209" t="inlineStr"/>
      <c r="FK209" t="inlineStr"/>
      <c r="FL209" t="inlineStr"/>
      <c r="FM209" t="inlineStr"/>
      <c r="FN209" t="inlineStr"/>
      <c r="FO209" t="inlineStr"/>
      <c r="FP209" t="inlineStr"/>
      <c r="FQ209" t="inlineStr"/>
      <c r="FR209" t="inlineStr"/>
      <c r="FS209" t="inlineStr"/>
      <c r="FT209" t="inlineStr"/>
      <c r="FU209" t="inlineStr"/>
      <c r="FV209" t="inlineStr"/>
      <c r="FW209" t="inlineStr"/>
      <c r="FX209" t="inlineStr"/>
      <c r="FY209" t="inlineStr"/>
      <c r="FZ209" t="inlineStr"/>
      <c r="GA209" t="inlineStr"/>
      <c r="GB209" t="inlineStr"/>
      <c r="GC209" t="inlineStr"/>
      <c r="GD209" t="inlineStr"/>
      <c r="GE209" t="inlineStr"/>
      <c r="GF209" t="inlineStr"/>
      <c r="GG209" t="inlineStr"/>
      <c r="GH209" t="inlineStr"/>
      <c r="GI209" t="inlineStr"/>
      <c r="GJ209" t="inlineStr"/>
      <c r="GK209" t="inlineStr"/>
      <c r="GL209" t="inlineStr"/>
      <c r="GM209" t="inlineStr"/>
      <c r="GN209" t="inlineStr"/>
      <c r="GO209" t="inlineStr"/>
      <c r="GP209" t="inlineStr"/>
      <c r="GQ209" t="inlineStr"/>
      <c r="GR209" t="inlineStr"/>
      <c r="GS209" t="inlineStr"/>
      <c r="GT209" t="inlineStr"/>
      <c r="GU209" t="inlineStr"/>
      <c r="GV209" t="inlineStr"/>
      <c r="GW209" t="inlineStr"/>
      <c r="GX209" t="inlineStr"/>
      <c r="GY209" t="inlineStr"/>
      <c r="GZ209" t="inlineStr"/>
      <c r="HA209" t="inlineStr"/>
      <c r="HB209" t="inlineStr"/>
      <c r="HC209" t="inlineStr"/>
      <c r="HD209" t="inlineStr"/>
      <c r="HE209" t="inlineStr"/>
      <c r="HF209" t="inlineStr"/>
      <c r="HG209" t="inlineStr"/>
      <c r="HH209" t="inlineStr"/>
      <c r="HI209" t="inlineStr"/>
      <c r="HJ209" t="inlineStr"/>
      <c r="HK209" t="inlineStr"/>
      <c r="HL209" t="inlineStr"/>
      <c r="HM209" t="inlineStr"/>
      <c r="HN209" t="inlineStr"/>
      <c r="HO209" t="inlineStr"/>
      <c r="HP209" t="inlineStr"/>
      <c r="HQ209" t="inlineStr"/>
      <c r="HR209" t="inlineStr"/>
      <c r="HS209" t="inlineStr"/>
      <c r="HT209" t="inlineStr"/>
      <c r="HU209" t="inlineStr"/>
      <c r="HV209" t="inlineStr"/>
      <c r="HW209" t="inlineStr"/>
      <c r="HX209" t="inlineStr"/>
      <c r="HY209" t="inlineStr"/>
      <c r="HZ209" t="inlineStr"/>
      <c r="IA209" t="inlineStr"/>
      <c r="IB209" t="inlineStr"/>
      <c r="IC209" t="inlineStr"/>
      <c r="ID209" t="inlineStr"/>
      <c r="IE209" t="inlineStr">
        <is>
          <t>974</t>
        </is>
      </c>
      <c r="IF209" t="inlineStr">
        <is>
          <t>Blog (974)</t>
        </is>
      </c>
      <c r="IG209" t="inlineStr"/>
      <c r="IH209" t="inlineStr"/>
      <c r="II209" t="inlineStr"/>
      <c r="IJ209" t="inlineStr"/>
      <c r="IK209" t="inlineStr"/>
      <c r="IL209" t="inlineStr"/>
      <c r="IM209" t="inlineStr"/>
      <c r="IN209" t="inlineStr"/>
      <c r="IO209" t="inlineStr"/>
      <c r="IP209" t="inlineStr"/>
      <c r="IQ209" t="inlineStr"/>
      <c r="IR209" t="inlineStr"/>
      <c r="IS209">
        <f>IF(input_content_type="",FALSE,ISNUMBER(SEARCH(","&amp;LOWER(input_content_type)&amp;",",","&amp;LOWER(F209)&amp;",")))</f>
        <v/>
      </c>
      <c r="IT209">
        <f>AND(IF(M209="",TRUE,IF(input_affiliations="",FALSE,SUMPRODUCT(--ISNUMBER(SEARCH(","&amp;TRIM(TEXTSPLIT(M209,","))&amp;",",","&amp;SUBSTITUTE(input_affiliations," ","")&amp;",")))&gt;0)),IF(O209="",TRUE,IF(input_affiliations="",FALSE,SUMPRODUCT(--ISNUMBER(SEARCH(","&amp;TRIM(TEXTSPLIT(O209,","))&amp;",",","&amp;SUBSTITUTE(input_affiliations," ","")&amp;",")))=COUNTA(TEXTSPLIT(O209,",")))),IF(Q209="",TRUE,IF(input_affiliations="",TRUE,SUMPRODUCT(--ISNUMBER(SEARCH(","&amp;TRIM(TEXTSPLIT(Q209,","))&amp;",",","&amp;SUBSTITUTE(input_affiliations," ","")&amp;",")))=0)),IF(S209="",TRUE,IF(input_affiliations="",FALSE,SUMPRODUCT(--ISNUMBER(SEARCH(","&amp;TRIM(TEXTSPLIT(S209,","))&amp;",",","&amp;SUBSTITUTE(input_affiliations," ","")&amp;",")))&gt;0)),IF(U209="",TRUE,IF(input_affiliations="",FALSE,SUMPRODUCT(--ISNUMBER(SEARCH(","&amp;TRIM(TEXTSPLIT(U209,","))&amp;",",","&amp;SUBSTITUTE(input_affiliations," ","")&amp;",")))=COUNTA(TEXTSPLIT(U209,",")))))</f>
        <v/>
      </c>
      <c r="IU209">
        <f>AND(IF(W209="",TRUE,IF(input_announcement_category="",FALSE,SUMPRODUCT(--ISNUMBER(SEARCH(","&amp;TRIM(TEXTSPLIT(W209,","))&amp;",",","&amp;SUBSTITUTE(input_announcement_category," ","")&amp;",")))&gt;0)),IF(Y209="",TRUE,IF(input_announcement_category="",FALSE,SUMPRODUCT(--ISNUMBER(SEARCH(","&amp;TRIM(TEXTSPLIT(Y209,","))&amp;",",","&amp;SUBSTITUTE(input_announcement_category," ","")&amp;",")))=COUNTA(TEXTSPLIT(Y209,",")))),IF(AA209="",TRUE,IF(input_announcement_category="",TRUE,SUMPRODUCT(--ISNUMBER(SEARCH(","&amp;TRIM(TEXTSPLIT(AA209,","))&amp;",",","&amp;SUBSTITUTE(input_announcement_category," ","")&amp;",")))=0)),IF(AC209="",TRUE,IF(input_announcement_category="",FALSE,SUMPRODUCT(--ISNUMBER(SEARCH(","&amp;TRIM(TEXTSPLIT(AC209,","))&amp;",",","&amp;SUBSTITUTE(input_announcement_category," ","")&amp;",")))&gt;0)),IF(AE209="",TRUE,IF(input_announcement_category="",FALSE,SUMPRODUCT(--ISNUMBER(SEARCH(","&amp;TRIM(TEXTSPLIT(AE209,","))&amp;",",","&amp;SUBSTITUTE(input_announcement_category," ","")&amp;",")))=COUNTA(TEXTSPLIT(AE209,",")))))</f>
        <v/>
      </c>
      <c r="IV209">
        <f>AND(IF(AG209="",TRUE,IF(input_area_of_focus="",FALSE,SUMPRODUCT(--ISNUMBER(SEARCH(","&amp;TRIM(TEXTSPLIT(AG209,","))&amp;",",","&amp;SUBSTITUTE(input_area_of_focus," ","")&amp;",")))&gt;0)),IF(AI209="",TRUE,IF(input_area_of_focus="",FALSE,SUMPRODUCT(--ISNUMBER(SEARCH(","&amp;TRIM(TEXTSPLIT(AI209,","))&amp;",",","&amp;SUBSTITUTE(input_area_of_focus," ","")&amp;",")))=COUNTA(TEXTSPLIT(AI209,",")))),IF(AK209="",TRUE,IF(input_area_of_focus="",TRUE,SUMPRODUCT(--ISNUMBER(SEARCH(","&amp;TRIM(TEXTSPLIT(AK209,","))&amp;",",","&amp;SUBSTITUTE(input_area_of_focus," ","")&amp;",")))=0)),IF(AM209="",TRUE,IF(input_area_of_focus="",FALSE,SUMPRODUCT(--ISNUMBER(SEARCH(","&amp;TRIM(TEXTSPLIT(AM209,","))&amp;",",","&amp;SUBSTITUTE(input_area_of_focus," ","")&amp;",")))&gt;0)),IF(AO209="",TRUE,IF(input_area_of_focus="",FALSE,SUMPRODUCT(--ISNUMBER(SEARCH(","&amp;TRIM(TEXTSPLIT(AO209,","))&amp;",",","&amp;SUBSTITUTE(input_area_of_focus," ","")&amp;",")))=COUNTA(TEXTSPLIT(AO209,",")))))</f>
        <v/>
      </c>
      <c r="IW209">
        <f>AND(IF(AQ209="",TRUE,IF(input_audience="",FALSE,SUMPRODUCT(--ISNUMBER(SEARCH(","&amp;TRIM(TEXTSPLIT(AQ209,","))&amp;",",","&amp;SUBSTITUTE(input_audience," ","")&amp;",")))&gt;0)),IF(AS209="",TRUE,IF(input_audience="",FALSE,SUMPRODUCT(--ISNUMBER(SEARCH(","&amp;TRIM(TEXTSPLIT(AS209,","))&amp;",",","&amp;SUBSTITUTE(input_audience," ","")&amp;",")))=COUNTA(TEXTSPLIT(AS209,",")))),IF(AU209="",TRUE,IF(input_audience="",TRUE,SUMPRODUCT(--ISNUMBER(SEARCH(","&amp;TRIM(TEXTSPLIT(AU209,","))&amp;",",","&amp;SUBSTITUTE(input_audience," ","")&amp;",")))=0)),IF(AW209="",TRUE,IF(input_audience="",FALSE,SUMPRODUCT(--ISNUMBER(SEARCH(","&amp;TRIM(TEXTSPLIT(AW209,","))&amp;",",","&amp;SUBSTITUTE(input_audience," ","")&amp;",")))&gt;0)),IF(AY209="",TRUE,IF(input_audience="",FALSE,SUMPRODUCT(--ISNUMBER(SEARCH(","&amp;TRIM(TEXTSPLIT(AY209,","))&amp;",",","&amp;SUBSTITUTE(input_audience," ","")&amp;",")))=COUNTA(TEXTSPLIT(AY209,",")))))</f>
        <v/>
      </c>
      <c r="IX209">
        <f>AND(IF(BA209="",TRUE,IF(input_challenge_opportunities="",FALSE,SUMPRODUCT(--ISNUMBER(SEARCH(","&amp;TRIM(TEXTSPLIT(BA209,","))&amp;",",","&amp;SUBSTITUTE(input_challenge_opportunities," ","")&amp;",")))&gt;0)),IF(BC209="",TRUE,IF(input_challenge_opportunities="",FALSE,SUMPRODUCT(--ISNUMBER(SEARCH(","&amp;TRIM(TEXTSPLIT(BC209,","))&amp;",",","&amp;SUBSTITUTE(input_challenge_opportunities," ","")&amp;",")))=COUNTA(TEXTSPLIT(BC209,",")))),IF(BE209="",TRUE,IF(input_challenge_opportunities="",TRUE,SUMPRODUCT(--ISNUMBER(SEARCH(","&amp;TRIM(TEXTSPLIT(BE209,","))&amp;",",","&amp;SUBSTITUTE(input_challenge_opportunities," ","")&amp;",")))=0)),IF(BG209="",TRUE,IF(input_challenge_opportunities="",FALSE,SUMPRODUCT(--ISNUMBER(SEARCH(","&amp;TRIM(TEXTSPLIT(BG209,","))&amp;",",","&amp;SUBSTITUTE(input_challenge_opportunities," ","")&amp;",")))&gt;0)),IF(BI209="",TRUE,IF(input_challenge_opportunities="",FALSE,SUMPRODUCT(--ISNUMBER(SEARCH(","&amp;TRIM(TEXTSPLIT(BI209,","))&amp;",",","&amp;SUBSTITUTE(input_challenge_opportunities," ","")&amp;",")))=COUNTA(TEXTSPLIT(BI209,",")))))</f>
        <v/>
      </c>
      <c r="IY209">
        <f>AND(IF(BK209="",TRUE,IF(input_context="",FALSE,SUMPRODUCT(--ISNUMBER(SEARCH(","&amp;TRIM(TEXTSPLIT(BK209,","))&amp;",",","&amp;SUBSTITUTE(input_context," ","")&amp;",")))&gt;0)),IF(BM209="",TRUE,IF(input_context="",FALSE,SUMPRODUCT(--ISNUMBER(SEARCH(","&amp;TRIM(TEXTSPLIT(BM209,","))&amp;",",","&amp;SUBSTITUTE(input_context," ","")&amp;",")))=COUNTA(TEXTSPLIT(BM209,",")))),IF(BO209="",TRUE,IF(input_context="",TRUE,SUMPRODUCT(--ISNUMBER(SEARCH(","&amp;TRIM(TEXTSPLIT(BO209,","))&amp;",",","&amp;SUBSTITUTE(input_context," ","")&amp;",")))=0)),IF(BQ209="",TRUE,IF(input_context="",FALSE,SUMPRODUCT(--ISNUMBER(SEARCH(","&amp;TRIM(TEXTSPLIT(BQ209,","))&amp;",",","&amp;SUBSTITUTE(input_context," ","")&amp;",")))&gt;0)),IF(BS209="",TRUE,IF(input_context="",FALSE,SUMPRODUCT(--ISNUMBER(SEARCH(","&amp;TRIM(TEXTSPLIT(BS209,","))&amp;",",","&amp;SUBSTITUTE(input_context," ","")&amp;",")))=COUNTA(TEXTSPLIT(BS209,",")))))</f>
        <v/>
      </c>
      <c r="IZ209">
        <f>AND(IF(BU209="",TRUE,IF(input_enews_announcement_type="",FALSE,SUMPRODUCT(--ISNUMBER(SEARCH(","&amp;TRIM(TEXTSPLIT(BU209,","))&amp;",",","&amp;SUBSTITUTE(input_enews_announcement_type," ","")&amp;",")))&gt;0)),IF(BW209="",TRUE,IF(input_enews_announcement_type="",FALSE,SUMPRODUCT(--ISNUMBER(SEARCH(","&amp;TRIM(TEXTSPLIT(BW209,","))&amp;",",","&amp;SUBSTITUTE(input_enews_announcement_type," ","")&amp;",")))=COUNTA(TEXTSPLIT(BW209,",")))),IF(BY209="",TRUE,IF(input_enews_announcement_type="",TRUE,SUMPRODUCT(--ISNUMBER(SEARCH(","&amp;TRIM(TEXTSPLIT(BY209,","))&amp;",",","&amp;SUBSTITUTE(input_enews_announcement_type," ","")&amp;",")))=0)),IF(CA209="",TRUE,IF(input_enews_announcement_type="",FALSE,SUMPRODUCT(--ISNUMBER(SEARCH(","&amp;TRIM(TEXTSPLIT(CA209,","))&amp;",",","&amp;SUBSTITUTE(input_enews_announcement_type," ","")&amp;",")))&gt;0)),IF(CC209="",TRUE,IF(input_enews_announcement_type="",FALSE,SUMPRODUCT(--ISNUMBER(SEARCH(","&amp;TRIM(TEXTSPLIT(CC209,","))&amp;",",","&amp;SUBSTITUTE(input_enews_announcement_type," ","")&amp;",")))=COUNTA(TEXTSPLIT(CC209,",")))))</f>
        <v/>
      </c>
      <c r="JA209">
        <f>AND(IF(CE209="",TRUE,IF(input_enews_audience="",FALSE,SUMPRODUCT(--ISNUMBER(SEARCH(","&amp;TRIM(TEXTSPLIT(CE209,","))&amp;",",","&amp;SUBSTITUTE(input_enews_audience," ","")&amp;",")))&gt;0)),IF(CG209="",TRUE,IF(input_enews_audience="",FALSE,SUMPRODUCT(--ISNUMBER(SEARCH(","&amp;TRIM(TEXTSPLIT(CG209,","))&amp;",",","&amp;SUBSTITUTE(input_enews_audience," ","")&amp;",")))=COUNTA(TEXTSPLIT(CG209,",")))),IF(CI209="",TRUE,IF(input_enews_audience="",TRUE,SUMPRODUCT(--ISNUMBER(SEARCH(","&amp;TRIM(TEXTSPLIT(CI209,","))&amp;",",","&amp;SUBSTITUTE(input_enews_audience," ","")&amp;",")))=0)),IF(CK209="",TRUE,IF(input_enews_audience="",FALSE,SUMPRODUCT(--ISNUMBER(SEARCH(","&amp;TRIM(TEXTSPLIT(CK209,","))&amp;",",","&amp;SUBSTITUTE(input_enews_audience," ","")&amp;",")))&gt;0)),IF(CM209="",TRUE,IF(input_enews_audience="",FALSE,SUMPRODUCT(--ISNUMBER(SEARCH(","&amp;TRIM(TEXTSPLIT(CM209,","))&amp;",",","&amp;SUBSTITUTE(input_enews_audience," ","")&amp;",")))=COUNTA(TEXTSPLIT(CM209,",")))))</f>
        <v/>
      </c>
      <c r="JB209">
        <f>AND(IF(CO209="",TRUE,IF(input_event_location="",FALSE,SUMPRODUCT(--ISNUMBER(SEARCH(","&amp;TRIM(TEXTSPLIT(CO209,","))&amp;",",","&amp;SUBSTITUTE(input_event_location," ","")&amp;",")))&gt;0)),IF(CQ209="",TRUE,IF(input_event_location="",FALSE,SUMPRODUCT(--ISNUMBER(SEARCH(","&amp;TRIM(TEXTSPLIT(CQ209,","))&amp;",",","&amp;SUBSTITUTE(input_event_location," ","")&amp;",")))=COUNTA(TEXTSPLIT(CQ209,",")))),IF(CS209="",TRUE,IF(input_event_location="",TRUE,SUMPRODUCT(--ISNUMBER(SEARCH(","&amp;TRIM(TEXTSPLIT(CS209,","))&amp;",",","&amp;SUBSTITUTE(input_event_location," ","")&amp;",")))=0)),IF(CU209="",TRUE,IF(input_event_location="",FALSE,SUMPRODUCT(--ISNUMBER(SEARCH(","&amp;TRIM(TEXTSPLIT(CU209,","))&amp;",",","&amp;SUBSTITUTE(input_event_location," ","")&amp;",")))&gt;0)),IF(CW209="",TRUE,IF(input_event_location="",FALSE,SUMPRODUCT(--ISNUMBER(SEARCH(","&amp;TRIM(TEXTSPLIT(CW209,","))&amp;",",","&amp;SUBSTITUTE(input_event_location," ","")&amp;",")))=COUNTA(TEXTSPLIT(CW209,",")))))</f>
        <v/>
      </c>
      <c r="JC209">
        <f>AND(IF(CY209="",TRUE,IF(input_event_type="",FALSE,SUMPRODUCT(--ISNUMBER(SEARCH(","&amp;TRIM(TEXTSPLIT(CY209,","))&amp;",",","&amp;SUBSTITUTE(input_event_type," ","")&amp;",")))&gt;0)),IF(DA209="",TRUE,IF(input_event_type="",FALSE,SUMPRODUCT(--ISNUMBER(SEARCH(","&amp;TRIM(TEXTSPLIT(DA209,","))&amp;",",","&amp;SUBSTITUTE(input_event_type," ","")&amp;",")))=COUNTA(TEXTSPLIT(DA209,",")))),IF(DC209="",TRUE,IF(input_event_type="",TRUE,SUMPRODUCT(--ISNUMBER(SEARCH(","&amp;TRIM(TEXTSPLIT(DC209,","))&amp;",",","&amp;SUBSTITUTE(input_event_type," ","")&amp;",")))=0)),IF(DE209="",TRUE,IF(input_event_type="",FALSE,SUMPRODUCT(--ISNUMBER(SEARCH(","&amp;TRIM(TEXTSPLIT(DE209,","))&amp;",",","&amp;SUBSTITUTE(input_event_type," ","")&amp;",")))&gt;0)),IF(DG209="",TRUE,IF(input_event_type="",FALSE,SUMPRODUCT(--ISNUMBER(SEARCH(","&amp;TRIM(TEXTSPLIT(DG209,","))&amp;",",","&amp;SUBSTITUTE(input_event_type," ","")&amp;",")))=COUNTA(TEXTSPLIT(DG209,",")))))</f>
        <v/>
      </c>
      <c r="JD209">
        <f>AND(IF(DI209="",TRUE,IF(input_executive_education_focus="",FALSE,SUMPRODUCT(--ISNUMBER(SEARCH(","&amp;TRIM(TEXTSPLIT(DI209,","))&amp;",",","&amp;SUBSTITUTE(input_executive_education_focus," ","")&amp;",")))&gt;0)),IF(DK209="",TRUE,IF(input_executive_education_focus="",FALSE,SUMPRODUCT(--ISNUMBER(SEARCH(","&amp;TRIM(TEXTSPLIT(DK209,","))&amp;",",","&amp;SUBSTITUTE(input_executive_education_focus," ","")&amp;",")))=COUNTA(TEXTSPLIT(DK209,",")))),IF(DM209="",TRUE,IF(input_executive_education_focus="",TRUE,SUMPRODUCT(--ISNUMBER(SEARCH(","&amp;TRIM(TEXTSPLIT(DM209,","))&amp;",",","&amp;SUBSTITUTE(input_executive_education_focus," ","")&amp;",")))=0)),IF(DO209="",TRUE,IF(input_executive_education_focus="",FALSE,SUMPRODUCT(--ISNUMBER(SEARCH(","&amp;TRIM(TEXTSPLIT(DO209,","))&amp;",",","&amp;SUBSTITUTE(input_executive_education_focus," ","")&amp;",")))&gt;0)),IF(DQ209="",TRUE,IF(input_executive_education_focus="",FALSE,SUMPRODUCT(--ISNUMBER(SEARCH(","&amp;TRIM(TEXTSPLIT(DQ209,","))&amp;",",","&amp;SUBSTITUTE(input_executive_education_focus," ","")&amp;",")))=COUNTA(TEXTSPLIT(DQ209,",")))))</f>
        <v/>
      </c>
      <c r="JE209">
        <f>AND(IF(DS209="",TRUE,IF(input_faculty_category="",FALSE,SUMPRODUCT(--ISNUMBER(SEARCH(","&amp;TRIM(TEXTSPLIT(DS209,","))&amp;",",","&amp;SUBSTITUTE(input_faculty_category," ","")&amp;",")))&gt;0)),IF(DU209="",TRUE,IF(input_faculty_category="",FALSE,SUMPRODUCT(--ISNUMBER(SEARCH(","&amp;TRIM(TEXTSPLIT(DU209,","))&amp;",",","&amp;SUBSTITUTE(input_faculty_category," ","")&amp;",")))=COUNTA(TEXTSPLIT(DU209,",")))),IF(DW209="",TRUE,IF(input_faculty_category="",TRUE,SUMPRODUCT(--ISNUMBER(SEARCH(","&amp;TRIM(TEXTSPLIT(DW209,","))&amp;",",","&amp;SUBSTITUTE(input_faculty_category," ","")&amp;",")))=0)),IF(DY209="",TRUE,IF(input_faculty_category="",FALSE,SUMPRODUCT(--ISNUMBER(SEARCH(","&amp;TRIM(TEXTSPLIT(DY209,","))&amp;",",","&amp;SUBSTITUTE(input_faculty_category," ","")&amp;",")))&gt;0)),IF(EA209="",TRUE,IF(input_faculty_category="",FALSE,SUMPRODUCT(--ISNUMBER(SEARCH(","&amp;TRIM(TEXTSPLIT(EA209,","))&amp;",",","&amp;SUBSTITUTE(input_faculty_category," ","")&amp;",")))=COUNTA(TEXTSPLIT(EA209,",")))))</f>
        <v/>
      </c>
      <c r="JF209">
        <f>AND(IF(EC209="",TRUE,IF(input_faculty_discipline="",FALSE,SUMPRODUCT(--ISNUMBER(SEARCH(","&amp;TRIM(TEXTSPLIT(EC209,","))&amp;",",","&amp;SUBSTITUTE(input_faculty_discipline," ","")&amp;",")))&gt;0)),IF(EE209="",TRUE,IF(input_faculty_discipline="",FALSE,SUMPRODUCT(--ISNUMBER(SEARCH(","&amp;TRIM(TEXTSPLIT(EE209,","))&amp;",",","&amp;SUBSTITUTE(input_faculty_discipline," ","")&amp;",")))=COUNTA(TEXTSPLIT(EE209,",")))),IF(EG209="",TRUE,IF(input_faculty_discipline="",TRUE,SUMPRODUCT(--ISNUMBER(SEARCH(","&amp;TRIM(TEXTSPLIT(EG209,","))&amp;",",","&amp;SUBSTITUTE(input_faculty_discipline," ","")&amp;",")))=0)),IF(EI209="",TRUE,IF(input_faculty_discipline="",FALSE,SUMPRODUCT(--ISNUMBER(SEARCH(","&amp;TRIM(TEXTSPLIT(EI209,","))&amp;",",","&amp;SUBSTITUTE(input_faculty_discipline," ","")&amp;",")))&gt;0)),IF(EK209="",TRUE,IF(input_faculty_discipline="",FALSE,SUMPRODUCT(--ISNUMBER(SEARCH(","&amp;TRIM(TEXTSPLIT(EK209,","))&amp;",",","&amp;SUBSTITUTE(input_faculty_discipline," ","")&amp;",")))=COUNTA(TEXTSPLIT(EK209,",")))))</f>
        <v/>
      </c>
      <c r="JG209">
        <f>AND(IF(EM209="",TRUE,IF(input_faculty_expertise="",FALSE,SUMPRODUCT(--ISNUMBER(SEARCH(","&amp;TRIM(TEXTSPLIT(EM209,","))&amp;",",","&amp;SUBSTITUTE(input_faculty_expertise," ","")&amp;",")))&gt;0)),IF(EO209="",TRUE,IF(input_faculty_expertise="",FALSE,SUMPRODUCT(--ISNUMBER(SEARCH(","&amp;TRIM(TEXTSPLIT(EO209,","))&amp;",",","&amp;SUBSTITUTE(input_faculty_expertise," ","")&amp;",")))=COUNTA(TEXTSPLIT(EO209,",")))),IF(EQ209="",TRUE,IF(input_faculty_expertise="",TRUE,SUMPRODUCT(--ISNUMBER(SEARCH(","&amp;TRIM(TEXTSPLIT(EQ209,","))&amp;",",","&amp;SUBSTITUTE(input_faculty_expertise," ","")&amp;",")))=0)),IF(ES209="",TRUE,IF(input_faculty_expertise="",FALSE,SUMPRODUCT(--ISNUMBER(SEARCH(","&amp;TRIM(TEXTSPLIT(ES209,","))&amp;",",","&amp;SUBSTITUTE(input_faculty_expertise," ","")&amp;",")))&gt;0)),IF(EU209="",TRUE,IF(input_faculty_expertise="",FALSE,SUMPRODUCT(--ISNUMBER(SEARCH(","&amp;TRIM(TEXTSPLIT(EU209,","))&amp;",",","&amp;SUBSTITUTE(input_faculty_expertise," ","")&amp;",")))=COUNTA(TEXTSPLIT(EU209,",")))))</f>
        <v/>
      </c>
      <c r="JH209">
        <f>AND(IF(EW209="",TRUE,IF(input_global_network_school="",FALSE,SUMPRODUCT(--ISNUMBER(SEARCH(","&amp;TRIM(TEXTSPLIT(EW209,","))&amp;",",","&amp;SUBSTITUTE(input_global_network_school," ","")&amp;",")))&gt;0)),IF(EY209="",TRUE,IF(input_global_network_school="",FALSE,SUMPRODUCT(--ISNUMBER(SEARCH(","&amp;TRIM(TEXTSPLIT(EY209,","))&amp;",",","&amp;SUBSTITUTE(input_global_network_school," ","")&amp;",")))=COUNTA(TEXTSPLIT(EY209,",")))),IF(FA209="",TRUE,IF(input_global_network_school="",TRUE,SUMPRODUCT(--ISNUMBER(SEARCH(","&amp;TRIM(TEXTSPLIT(FA209,","))&amp;",",","&amp;SUBSTITUTE(input_global_network_school," ","")&amp;",")))=0)),IF(FC209="",TRUE,IF(input_global_network_school="",FALSE,SUMPRODUCT(--ISNUMBER(SEARCH(","&amp;TRIM(TEXTSPLIT(FC209,","))&amp;",",","&amp;SUBSTITUTE(input_global_network_school," ","")&amp;",")))&gt;0)),IF(FE209="",TRUE,IF(input_global_network_school="",FALSE,SUMPRODUCT(--ISNUMBER(SEARCH(","&amp;TRIM(TEXTSPLIT(FE209,","))&amp;",",","&amp;SUBSTITUTE(input_global_network_school," ","")&amp;",")))=COUNTA(TEXTSPLIT(FE209,",")))))</f>
        <v/>
      </c>
      <c r="JI209">
        <f>AND(IF(FG209="",TRUE,IF(input_industry="",FALSE,SUMPRODUCT(--ISNUMBER(SEARCH(","&amp;TRIM(TEXTSPLIT(FG209,","))&amp;",",","&amp;SUBSTITUTE(input_industry," ","")&amp;",")))&gt;0)),IF(FI209="",TRUE,IF(input_industry="",FALSE,SUMPRODUCT(--ISNUMBER(SEARCH(","&amp;TRIM(TEXTSPLIT(FI209,","))&amp;",",","&amp;SUBSTITUTE(input_industry," ","")&amp;",")))=COUNTA(TEXTSPLIT(FI209,",")))),IF(FK209="",TRUE,IF(input_industry="",TRUE,SUMPRODUCT(--ISNUMBER(SEARCH(","&amp;TRIM(TEXTSPLIT(FK209,","))&amp;",",","&amp;SUBSTITUTE(input_industry," ","")&amp;",")))=0)),IF(FM209="",TRUE,IF(input_industry="",FALSE,SUMPRODUCT(--ISNUMBER(SEARCH(","&amp;TRIM(TEXTSPLIT(FM209,","))&amp;",",","&amp;SUBSTITUTE(input_industry," ","")&amp;",")))&gt;0)),IF(FO209="",TRUE,IF(input_industry="",FALSE,SUMPRODUCT(--ISNUMBER(SEARCH(","&amp;TRIM(TEXTSPLIT(FO209,","))&amp;",",","&amp;SUBSTITUTE(input_industry," ","")&amp;",")))=COUNTA(TEXTSPLIT(FO209,",")))))</f>
        <v/>
      </c>
      <c r="JJ209">
        <f>AND(IF(FQ209="",TRUE,IF(input_location="",FALSE,SUMPRODUCT(--ISNUMBER(SEARCH(","&amp;TRIM(TEXTSPLIT(FQ209,","))&amp;",",","&amp;SUBSTITUTE(input_location," ","")&amp;",")))&gt;0)),IF(FS209="",TRUE,IF(input_location="",FALSE,SUMPRODUCT(--ISNUMBER(SEARCH(","&amp;TRIM(TEXTSPLIT(FS209,","))&amp;",",","&amp;SUBSTITUTE(input_location," ","")&amp;",")))=COUNTA(TEXTSPLIT(FS209,",")))),IF(FU209="",TRUE,IF(input_location="",TRUE,SUMPRODUCT(--ISNUMBER(SEARCH(","&amp;TRIM(TEXTSPLIT(FU209,","))&amp;",",","&amp;SUBSTITUTE(input_location," ","")&amp;",")))=0)),IF(FW209="",TRUE,IF(input_location="",FALSE,SUMPRODUCT(--ISNUMBER(SEARCH(","&amp;TRIM(TEXTSPLIT(FW209,","))&amp;",",","&amp;SUBSTITUTE(input_location," ","")&amp;",")))&gt;0)),IF(FY209="",TRUE,IF(input_location="",FALSE,SUMPRODUCT(--ISNUMBER(SEARCH(","&amp;TRIM(TEXTSPLIT(FY209,","))&amp;",",","&amp;SUBSTITUTE(input_location," ","")&amp;",")))=COUNTA(TEXTSPLIT(FY209,",")))))</f>
        <v/>
      </c>
      <c r="JK209">
        <f>AND(IF(GA209="",TRUE,IF(input_modality="",FALSE,SUMPRODUCT(--ISNUMBER(SEARCH(","&amp;TRIM(TEXTSPLIT(GA209,","))&amp;",",","&amp;SUBSTITUTE(input_modality," ","")&amp;",")))&gt;0)),IF(GC209="",TRUE,IF(input_modality="",FALSE,SUMPRODUCT(--ISNUMBER(SEARCH(","&amp;TRIM(TEXTSPLIT(GC209,","))&amp;",",","&amp;SUBSTITUTE(input_modality," ","")&amp;",")))=COUNTA(TEXTSPLIT(GC209,",")))),IF(GE209="",TRUE,IF(input_modality="",TRUE,SUMPRODUCT(--ISNUMBER(SEARCH(","&amp;TRIM(TEXTSPLIT(GE209,","))&amp;",",","&amp;SUBSTITUTE(input_modality," ","")&amp;",")))=0)),IF(GG209="",TRUE,IF(input_modality="",FALSE,SUMPRODUCT(--ISNUMBER(SEARCH(","&amp;TRIM(TEXTSPLIT(GG209,","))&amp;",",","&amp;SUBSTITUTE(input_modality," ","")&amp;",")))&gt;0)),IF(GI209="",TRUE,IF(input_modality="",FALSE,SUMPRODUCT(--ISNUMBER(SEARCH(","&amp;TRIM(TEXTSPLIT(GI209,","))&amp;",",","&amp;SUBSTITUTE(input_modality," ","")&amp;",")))=COUNTA(TEXTSPLIT(GI209,",")))))</f>
        <v/>
      </c>
      <c r="JL209">
        <f>AND(IF(GK209="",TRUE,IF(input_organizer="",FALSE,SUMPRODUCT(--ISNUMBER(SEARCH(","&amp;TRIM(TEXTSPLIT(GK209,","))&amp;",",","&amp;SUBSTITUTE(input_organizer," ","")&amp;",")))&gt;0)),IF(GM209="",TRUE,IF(input_organizer="",FALSE,SUMPRODUCT(--ISNUMBER(SEARCH(","&amp;TRIM(TEXTSPLIT(GM209,","))&amp;",",","&amp;SUBSTITUTE(input_organizer," ","")&amp;",")))=COUNTA(TEXTSPLIT(GM209,",")))),IF(GO209="",TRUE,IF(input_organizer="",TRUE,SUMPRODUCT(--ISNUMBER(SEARCH(","&amp;TRIM(TEXTSPLIT(GO209,","))&amp;",",","&amp;SUBSTITUTE(input_organizer," ","")&amp;",")))=0)),IF(GQ209="",TRUE,IF(input_organizer="",FALSE,SUMPRODUCT(--ISNUMBER(SEARCH(","&amp;TRIM(TEXTSPLIT(GQ209,","))&amp;",",","&amp;SUBSTITUTE(input_organizer," ","")&amp;",")))&gt;0)),IF(GS209="",TRUE,IF(input_organizer="",FALSE,SUMPRODUCT(--ISNUMBER(SEARCH(","&amp;TRIM(TEXTSPLIT(GS209,","))&amp;",",","&amp;SUBSTITUTE(input_organizer," ","")&amp;",")))=COUNTA(TEXTSPLIT(GS209,",")))))</f>
        <v/>
      </c>
      <c r="JM209">
        <f>AND(IF(GU209="",TRUE,IF(input_profile_type="",FALSE,SUMPRODUCT(--ISNUMBER(SEARCH(","&amp;TRIM(TEXTSPLIT(GU209,","))&amp;",",","&amp;SUBSTITUTE(input_profile_type," ","")&amp;",")))&gt;0)),IF(GW209="",TRUE,IF(input_profile_type="",FALSE,SUMPRODUCT(--ISNUMBER(SEARCH(","&amp;TRIM(TEXTSPLIT(GW209,","))&amp;",",","&amp;SUBSTITUTE(input_profile_type," ","")&amp;",")))=COUNTA(TEXTSPLIT(GW209,",")))),IF(GY209="",TRUE,IF(input_profile_type="",TRUE,SUMPRODUCT(--ISNUMBER(SEARCH(","&amp;TRIM(TEXTSPLIT(GY209,","))&amp;",",","&amp;SUBSTITUTE(input_profile_type," ","")&amp;",")))=0)),IF(HA209="",TRUE,IF(input_profile_type="",FALSE,SUMPRODUCT(--ISNUMBER(SEARCH(","&amp;TRIM(TEXTSPLIT(HA209,","))&amp;",",","&amp;SUBSTITUTE(input_profile_type," ","")&amp;",")))&gt;0)),IF(HC209="",TRUE,IF(input_profile_type="",FALSE,SUMPRODUCT(--ISNUMBER(SEARCH(","&amp;TRIM(TEXTSPLIT(HC209,","))&amp;",",","&amp;SUBSTITUTE(input_profile_type," ","")&amp;",")))=COUNTA(TEXTSPLIT(HC209,",")))))</f>
        <v/>
      </c>
      <c r="JN209">
        <f>AND(IF(HE209="",TRUE,IF(input_program="",FALSE,SUMPRODUCT(--ISNUMBER(SEARCH(","&amp;TRIM(TEXTSPLIT(HE209,","))&amp;",",","&amp;SUBSTITUTE(input_program," ","")&amp;",")))&gt;0)),IF(HG209="",TRUE,IF(input_program="",FALSE,SUMPRODUCT(--ISNUMBER(SEARCH(","&amp;TRIM(TEXTSPLIT(HG209,","))&amp;",",","&amp;SUBSTITUTE(input_program," ","")&amp;",")))=COUNTA(TEXTSPLIT(HG209,",")))),IF(HI209="",TRUE,IF(input_program="",TRUE,SUMPRODUCT(--ISNUMBER(SEARCH(","&amp;TRIM(TEXTSPLIT(HI209,","))&amp;",",","&amp;SUBSTITUTE(input_program," ","")&amp;",")))=0)),IF(HK209="",TRUE,IF(input_program="",FALSE,SUMPRODUCT(--ISNUMBER(SEARCH(","&amp;TRIM(TEXTSPLIT(HK209,","))&amp;",",","&amp;SUBSTITUTE(input_program," ","")&amp;",")))&gt;0)),IF(HM209="",TRUE,IF(input_program="",FALSE,SUMPRODUCT(--ISNUMBER(SEARCH(","&amp;TRIM(TEXTSPLIT(HM209,","))&amp;",",","&amp;SUBSTITUTE(input_program," ","")&amp;",")))=COUNTA(TEXTSPLIT(HM209,",")))))</f>
        <v/>
      </c>
      <c r="JO209">
        <f>AND(IF(HO209="",TRUE,IF(input_story_categories="",FALSE,SUMPRODUCT(--ISNUMBER(SEARCH(","&amp;TRIM(TEXTSPLIT(HO209,","))&amp;",",","&amp;SUBSTITUTE(input_story_categories," ","")&amp;",")))&gt;0)),IF(HQ209="",TRUE,IF(input_story_categories="",FALSE,SUMPRODUCT(--ISNUMBER(SEARCH(","&amp;TRIM(TEXTSPLIT(HQ209,","))&amp;",",","&amp;SUBSTITUTE(input_story_categories," ","")&amp;",")))=COUNTA(TEXTSPLIT(HQ209,",")))),IF(HS209="",TRUE,IF(input_story_categories="",TRUE,SUMPRODUCT(--ISNUMBER(SEARCH(","&amp;TRIM(TEXTSPLIT(HS209,","))&amp;",",","&amp;SUBSTITUTE(input_story_categories," ","")&amp;",")))=0)),IF(HU209="",TRUE,IF(input_story_categories="",FALSE,SUMPRODUCT(--ISNUMBER(SEARCH(","&amp;TRIM(TEXTSPLIT(HU209,","))&amp;",",","&amp;SUBSTITUTE(input_story_categories," ","")&amp;",")))&gt;0)),IF(HW209="",TRUE,IF(input_story_categories="",FALSE,SUMPRODUCT(--ISNUMBER(SEARCH(","&amp;TRIM(TEXTSPLIT(HW209,","))&amp;",",","&amp;SUBSTITUTE(input_story_categories," ","")&amp;",")))=COUNTA(TEXTSPLIT(HW209,",")))))</f>
        <v/>
      </c>
      <c r="JP209">
        <f>AND(IF(HY209="",TRUE,IF(input_story_type="",FALSE,SUMPRODUCT(--ISNUMBER(SEARCH(","&amp;TRIM(TEXTSPLIT(HY209,","))&amp;",",","&amp;SUBSTITUTE(input_story_type," ","")&amp;",")))&gt;0)),IF(IA209="",TRUE,IF(input_story_type="",FALSE,SUMPRODUCT(--ISNUMBER(SEARCH(","&amp;TRIM(TEXTSPLIT(IA209,","))&amp;",",","&amp;SUBSTITUTE(input_story_type," ","")&amp;",")))=COUNTA(TEXTSPLIT(IA209,",")))),IF(IC209="",TRUE,IF(input_story_type="",TRUE,SUMPRODUCT(--ISNUMBER(SEARCH(","&amp;TRIM(TEXTSPLIT(IC209,","))&amp;",",","&amp;SUBSTITUTE(input_story_type," ","")&amp;",")))=0)),IF(IE209="",TRUE,IF(input_story_type="",FALSE,SUMPRODUCT(--ISNUMBER(SEARCH(","&amp;TRIM(TEXTSPLIT(IE209,","))&amp;",",","&amp;SUBSTITUTE(input_story_type," ","")&amp;",")))&gt;0)),IF(IG209="",TRUE,IF(input_story_type="",FALSE,SUMPRODUCT(--ISNUMBER(SEARCH(","&amp;TRIM(TEXTSPLIT(IG209,","))&amp;",",","&amp;SUBSTITUTE(input_story_type," ","")&amp;",")))=COUNTA(TEXTSPLIT(IG209,",")))))</f>
        <v/>
      </c>
      <c r="JQ209">
        <f>AND(IF(II209="",TRUE,IF(input_topics="",FALSE,SUMPRODUCT(--ISNUMBER(SEARCH(","&amp;TRIM(TEXTSPLIT(II209,","))&amp;",",","&amp;SUBSTITUTE(input_topics," ","")&amp;",")))&gt;0)),IF(IK209="",TRUE,IF(input_topics="",FALSE,SUMPRODUCT(--ISNUMBER(SEARCH(","&amp;TRIM(TEXTSPLIT(IK209,","))&amp;",",","&amp;SUBSTITUTE(input_topics," ","")&amp;",")))=COUNTA(TEXTSPLIT(IK209,",")))),IF(IM209="",TRUE,IF(input_topics="",TRUE,SUMPRODUCT(--ISNUMBER(SEARCH(","&amp;TRIM(TEXTSPLIT(IM209,","))&amp;",",","&amp;SUBSTITUTE(input_topics," ","")&amp;",")))=0)),IF(IO209="",TRUE,IF(input_topics="",FALSE,SUMPRODUCT(--ISNUMBER(SEARCH(","&amp;TRIM(TEXTSPLIT(IO209,","))&amp;",",","&amp;SUBSTITUTE(input_topics," ","")&amp;",")))&gt;0)),IF(IQ209="",TRUE,IF(input_topics="",FALSE,SUMPRODUCT(--ISNUMBER(SEARCH(","&amp;TRIM(TEXTSPLIT(IQ209,","))&amp;",",","&amp;SUBSTITUTE(input_topics," ","")&amp;",")))=COUNTA(TEXTSPLIT(IQ209,",")))))</f>
        <v/>
      </c>
    </row>
    <row r="210">
      <c r="A210" s="4">
        <f>IF(NOT(IS210),"Excluded",IF(AND(IT210,IU210,IV210,IW210,IX210,IY210,IZ210,JA210,JB210,JC210,JD210,JE210,JF210,JG210,JH210,JI210,JJ210,JK210,JL210,JM210,JN210,JO210,JP210,JQ210),IF(I210&gt;0,"Eligible but limited","Will appear"),"Excluded"))</f>
        <v/>
      </c>
      <c r="B210" s="4" t="inlineStr">
        <is>
          <t>Related stories on story pages</t>
        </is>
      </c>
      <c r="C210" s="4" t="inlineStr">
        <is>
          <t>/story/2025/highlights-2025-yale-impact-investing-conference</t>
        </is>
      </c>
      <c r="D210" s="4" t="inlineStr">
        <is>
          <t>/story/2025/highlights-2025-yale-impact-investing-conference
/story/2025/prof-william-goetzmann-receives-inaugural-seiler-behavioral-research-commendation
/story/2025/profs-cameron-lapoint-and-vahideh-manshadi-receive-research-grants-yale-planetary</t>
        </is>
      </c>
      <c r="E210" s="4" t="n">
        <v>4</v>
      </c>
      <c r="F210" s="4" t="inlineStr">
        <is>
          <t>story</t>
        </is>
      </c>
      <c r="G210" s="4" t="inlineStr">
        <is>
          <t>stories_teaser_cards</t>
        </is>
      </c>
      <c r="H210" s="4" t="inlineStr">
        <is>
          <t>embed_all</t>
        </is>
      </c>
      <c r="I210" s="4" t="n">
        <v>3</v>
      </c>
      <c r="J210" s="4" t="inlineStr">
        <is>
          <t>Template logic</t>
        </is>
      </c>
      <c r="K210" s="4" t="inlineStr">
        <is>
          <t>Grouped surface</t>
        </is>
      </c>
      <c r="L210" s="4" t="inlineStr">
        <is>
          <t>Content type: story; Context uses Courses Context: International Center for Finance (931); Context uses Story Type: News (924); Limited to 3 item(s); Source: Template logic</t>
        </is>
      </c>
      <c r="M210" t="inlineStr"/>
      <c r="N210" t="inlineStr"/>
      <c r="O210" t="inlineStr"/>
      <c r="P210" t="inlineStr"/>
      <c r="Q210" t="inlineStr"/>
      <c r="R210" t="inlineStr"/>
      <c r="S210" t="inlineStr"/>
      <c r="T210" t="inlineStr"/>
      <c r="U210" t="inlineStr"/>
      <c r="V210" t="inlineStr"/>
      <c r="W210" t="inlineStr"/>
      <c r="X210" t="inlineStr"/>
      <c r="Y210" t="inlineStr"/>
      <c r="Z210" t="inlineStr"/>
      <c r="AA210" t="inlineStr"/>
      <c r="AB210" t="inlineStr"/>
      <c r="AC210" t="inlineStr"/>
      <c r="AD210" t="inlineStr"/>
      <c r="AE210" t="inlineStr"/>
      <c r="AF210" t="inlineStr"/>
      <c r="AG210" t="inlineStr"/>
      <c r="AH210" t="inlineStr"/>
      <c r="AI210" t="inlineStr"/>
      <c r="AJ210" t="inlineStr"/>
      <c r="AK210" t="inlineStr"/>
      <c r="AL210" t="inlineStr"/>
      <c r="AM210" t="inlineStr"/>
      <c r="AN210" t="inlineStr"/>
      <c r="AO210" t="inlineStr"/>
      <c r="AP210" t="inlineStr"/>
      <c r="AQ210" t="inlineStr"/>
      <c r="AR210" t="inlineStr"/>
      <c r="AS210" t="inlineStr"/>
      <c r="AT210" t="inlineStr"/>
      <c r="AU210" t="inlineStr"/>
      <c r="AV210" t="inlineStr"/>
      <c r="AW210" t="inlineStr"/>
      <c r="AX210" t="inlineStr"/>
      <c r="AY210" t="inlineStr"/>
      <c r="AZ210" t="inlineStr"/>
      <c r="BA210" t="inlineStr"/>
      <c r="BB210" t="inlineStr"/>
      <c r="BC210" t="inlineStr"/>
      <c r="BD210" t="inlineStr"/>
      <c r="BE210" t="inlineStr"/>
      <c r="BF210" t="inlineStr"/>
      <c r="BG210" t="inlineStr"/>
      <c r="BH210" t="inlineStr"/>
      <c r="BI210" t="inlineStr"/>
      <c r="BJ210" t="inlineStr"/>
      <c r="BK210" t="inlineStr"/>
      <c r="BL210" t="inlineStr"/>
      <c r="BM210" t="inlineStr"/>
      <c r="BN210" t="inlineStr"/>
      <c r="BO210" t="inlineStr"/>
      <c r="BP210" t="inlineStr"/>
      <c r="BQ210" t="inlineStr">
        <is>
          <t>931</t>
        </is>
      </c>
      <c r="BR210" t="inlineStr">
        <is>
          <t>International Center for Finance (931)</t>
        </is>
      </c>
      <c r="BS210" t="inlineStr"/>
      <c r="BT210" t="inlineStr"/>
      <c r="BU210" t="inlineStr"/>
      <c r="BV210" t="inlineStr"/>
      <c r="BW210" t="inlineStr"/>
      <c r="BX210" t="inlineStr"/>
      <c r="BY210" t="inlineStr"/>
      <c r="BZ210" t="inlineStr"/>
      <c r="CA210" t="inlineStr"/>
      <c r="CB210" t="inlineStr"/>
      <c r="CC210" t="inlineStr"/>
      <c r="CD210" t="inlineStr"/>
      <c r="CE210" t="inlineStr"/>
      <c r="CF210" t="inlineStr"/>
      <c r="CG210" t="inlineStr"/>
      <c r="CH210" t="inlineStr"/>
      <c r="CI210" t="inlineStr"/>
      <c r="CJ210" t="inlineStr"/>
      <c r="CK210" t="inlineStr"/>
      <c r="CL210" t="inlineStr"/>
      <c r="CM210" t="inlineStr"/>
      <c r="CN210" t="inlineStr"/>
      <c r="CO210" t="inlineStr"/>
      <c r="CP210" t="inlineStr"/>
      <c r="CQ210" t="inlineStr"/>
      <c r="CR210" t="inlineStr"/>
      <c r="CS210" t="inlineStr"/>
      <c r="CT210" t="inlineStr"/>
      <c r="CU210" t="inlineStr"/>
      <c r="CV210" t="inlineStr"/>
      <c r="CW210" t="inlineStr"/>
      <c r="CX210" t="inlineStr"/>
      <c r="CY210" t="inlineStr"/>
      <c r="CZ210" t="inlineStr"/>
      <c r="DA210" t="inlineStr"/>
      <c r="DB210" t="inlineStr"/>
      <c r="DC210" t="inlineStr"/>
      <c r="DD210" t="inlineStr"/>
      <c r="DE210" t="inlineStr"/>
      <c r="DF210" t="inlineStr"/>
      <c r="DG210" t="inlineStr"/>
      <c r="DH210" t="inlineStr"/>
      <c r="DI210" t="inlineStr"/>
      <c r="DJ210" t="inlineStr"/>
      <c r="DK210" t="inlineStr"/>
      <c r="DL210" t="inlineStr"/>
      <c r="DM210" t="inlineStr"/>
      <c r="DN210" t="inlineStr"/>
      <c r="DO210" t="inlineStr"/>
      <c r="DP210" t="inlineStr"/>
      <c r="DQ210" t="inlineStr"/>
      <c r="DR210" t="inlineStr"/>
      <c r="DS210" t="inlineStr"/>
      <c r="DT210" t="inlineStr"/>
      <c r="DU210" t="inlineStr"/>
      <c r="DV210" t="inlineStr"/>
      <c r="DW210" t="inlineStr"/>
      <c r="DX210" t="inlineStr"/>
      <c r="DY210" t="inlineStr"/>
      <c r="DZ210" t="inlineStr"/>
      <c r="EA210" t="inlineStr"/>
      <c r="EB210" t="inlineStr"/>
      <c r="EC210" t="inlineStr"/>
      <c r="ED210" t="inlineStr"/>
      <c r="EE210" t="inlineStr"/>
      <c r="EF210" t="inlineStr"/>
      <c r="EG210" t="inlineStr"/>
      <c r="EH210" t="inlineStr"/>
      <c r="EI210" t="inlineStr"/>
      <c r="EJ210" t="inlineStr"/>
      <c r="EK210" t="inlineStr"/>
      <c r="EL210" t="inlineStr"/>
      <c r="EM210" t="inlineStr"/>
      <c r="EN210" t="inlineStr"/>
      <c r="EO210" t="inlineStr"/>
      <c r="EP210" t="inlineStr"/>
      <c r="EQ210" t="inlineStr"/>
      <c r="ER210" t="inlineStr"/>
      <c r="ES210" t="inlineStr"/>
      <c r="ET210" t="inlineStr"/>
      <c r="EU210" t="inlineStr"/>
      <c r="EV210" t="inlineStr"/>
      <c r="EW210" t="inlineStr"/>
      <c r="EX210" t="inlineStr"/>
      <c r="EY210" t="inlineStr"/>
      <c r="EZ210" t="inlineStr"/>
      <c r="FA210" t="inlineStr"/>
      <c r="FB210" t="inlineStr"/>
      <c r="FC210" t="inlineStr"/>
      <c r="FD210" t="inlineStr"/>
      <c r="FE210" t="inlineStr"/>
      <c r="FF210" t="inlineStr"/>
      <c r="FG210" t="inlineStr"/>
      <c r="FH210" t="inlineStr"/>
      <c r="FI210" t="inlineStr"/>
      <c r="FJ210" t="inlineStr"/>
      <c r="FK210" t="inlineStr"/>
      <c r="FL210" t="inlineStr"/>
      <c r="FM210" t="inlineStr"/>
      <c r="FN210" t="inlineStr"/>
      <c r="FO210" t="inlineStr"/>
      <c r="FP210" t="inlineStr"/>
      <c r="FQ210" t="inlineStr"/>
      <c r="FR210" t="inlineStr"/>
      <c r="FS210" t="inlineStr"/>
      <c r="FT210" t="inlineStr"/>
      <c r="FU210" t="inlineStr"/>
      <c r="FV210" t="inlineStr"/>
      <c r="FW210" t="inlineStr"/>
      <c r="FX210" t="inlineStr"/>
      <c r="FY210" t="inlineStr"/>
      <c r="FZ210" t="inlineStr"/>
      <c r="GA210" t="inlineStr"/>
      <c r="GB210" t="inlineStr"/>
      <c r="GC210" t="inlineStr"/>
      <c r="GD210" t="inlineStr"/>
      <c r="GE210" t="inlineStr"/>
      <c r="GF210" t="inlineStr"/>
      <c r="GG210" t="inlineStr"/>
      <c r="GH210" t="inlineStr"/>
      <c r="GI210" t="inlineStr"/>
      <c r="GJ210" t="inlineStr"/>
      <c r="GK210" t="inlineStr"/>
      <c r="GL210" t="inlineStr"/>
      <c r="GM210" t="inlineStr"/>
      <c r="GN210" t="inlineStr"/>
      <c r="GO210" t="inlineStr"/>
      <c r="GP210" t="inlineStr"/>
      <c r="GQ210" t="inlineStr"/>
      <c r="GR210" t="inlineStr"/>
      <c r="GS210" t="inlineStr"/>
      <c r="GT210" t="inlineStr"/>
      <c r="GU210" t="inlineStr"/>
      <c r="GV210" t="inlineStr"/>
      <c r="GW210" t="inlineStr"/>
      <c r="GX210" t="inlineStr"/>
      <c r="GY210" t="inlineStr"/>
      <c r="GZ210" t="inlineStr"/>
      <c r="HA210" t="inlineStr"/>
      <c r="HB210" t="inlineStr"/>
      <c r="HC210" t="inlineStr"/>
      <c r="HD210" t="inlineStr"/>
      <c r="HE210" t="inlineStr"/>
      <c r="HF210" t="inlineStr"/>
      <c r="HG210" t="inlineStr"/>
      <c r="HH210" t="inlineStr"/>
      <c r="HI210" t="inlineStr"/>
      <c r="HJ210" t="inlineStr"/>
      <c r="HK210" t="inlineStr"/>
      <c r="HL210" t="inlineStr"/>
      <c r="HM210" t="inlineStr"/>
      <c r="HN210" t="inlineStr"/>
      <c r="HO210" t="inlineStr"/>
      <c r="HP210" t="inlineStr"/>
      <c r="HQ210" t="inlineStr"/>
      <c r="HR210" t="inlineStr"/>
      <c r="HS210" t="inlineStr"/>
      <c r="HT210" t="inlineStr"/>
      <c r="HU210" t="inlineStr"/>
      <c r="HV210" t="inlineStr"/>
      <c r="HW210" t="inlineStr"/>
      <c r="HX210" t="inlineStr"/>
      <c r="HY210" t="inlineStr"/>
      <c r="HZ210" t="inlineStr"/>
      <c r="IA210" t="inlineStr"/>
      <c r="IB210" t="inlineStr"/>
      <c r="IC210" t="inlineStr"/>
      <c r="ID210" t="inlineStr"/>
      <c r="IE210" t="inlineStr">
        <is>
          <t>924</t>
        </is>
      </c>
      <c r="IF210" t="inlineStr">
        <is>
          <t>News (924)</t>
        </is>
      </c>
      <c r="IG210" t="inlineStr"/>
      <c r="IH210" t="inlineStr"/>
      <c r="II210" t="inlineStr"/>
      <c r="IJ210" t="inlineStr"/>
      <c r="IK210" t="inlineStr"/>
      <c r="IL210" t="inlineStr"/>
      <c r="IM210" t="inlineStr"/>
      <c r="IN210" t="inlineStr"/>
      <c r="IO210" t="inlineStr"/>
      <c r="IP210" t="inlineStr"/>
      <c r="IQ210" t="inlineStr"/>
      <c r="IR210" t="inlineStr"/>
      <c r="IS210">
        <f>IF(input_content_type="",FALSE,ISNUMBER(SEARCH(","&amp;LOWER(input_content_type)&amp;",",","&amp;LOWER(F210)&amp;",")))</f>
        <v/>
      </c>
      <c r="IT210">
        <f>AND(IF(M210="",TRUE,IF(input_affiliations="",FALSE,SUMPRODUCT(--ISNUMBER(SEARCH(","&amp;TRIM(TEXTSPLIT(M210,","))&amp;",",","&amp;SUBSTITUTE(input_affiliations," ","")&amp;",")))&gt;0)),IF(O210="",TRUE,IF(input_affiliations="",FALSE,SUMPRODUCT(--ISNUMBER(SEARCH(","&amp;TRIM(TEXTSPLIT(O210,","))&amp;",",","&amp;SUBSTITUTE(input_affiliations," ","")&amp;",")))=COUNTA(TEXTSPLIT(O210,",")))),IF(Q210="",TRUE,IF(input_affiliations="",TRUE,SUMPRODUCT(--ISNUMBER(SEARCH(","&amp;TRIM(TEXTSPLIT(Q210,","))&amp;",",","&amp;SUBSTITUTE(input_affiliations," ","")&amp;",")))=0)),IF(S210="",TRUE,IF(input_affiliations="",FALSE,SUMPRODUCT(--ISNUMBER(SEARCH(","&amp;TRIM(TEXTSPLIT(S210,","))&amp;",",","&amp;SUBSTITUTE(input_affiliations," ","")&amp;",")))&gt;0)),IF(U210="",TRUE,IF(input_affiliations="",FALSE,SUMPRODUCT(--ISNUMBER(SEARCH(","&amp;TRIM(TEXTSPLIT(U210,","))&amp;",",","&amp;SUBSTITUTE(input_affiliations," ","")&amp;",")))=COUNTA(TEXTSPLIT(U210,",")))))</f>
        <v/>
      </c>
      <c r="IU210">
        <f>AND(IF(W210="",TRUE,IF(input_announcement_category="",FALSE,SUMPRODUCT(--ISNUMBER(SEARCH(","&amp;TRIM(TEXTSPLIT(W210,","))&amp;",",","&amp;SUBSTITUTE(input_announcement_category," ","")&amp;",")))&gt;0)),IF(Y210="",TRUE,IF(input_announcement_category="",FALSE,SUMPRODUCT(--ISNUMBER(SEARCH(","&amp;TRIM(TEXTSPLIT(Y210,","))&amp;",",","&amp;SUBSTITUTE(input_announcement_category," ","")&amp;",")))=COUNTA(TEXTSPLIT(Y210,",")))),IF(AA210="",TRUE,IF(input_announcement_category="",TRUE,SUMPRODUCT(--ISNUMBER(SEARCH(","&amp;TRIM(TEXTSPLIT(AA210,","))&amp;",",","&amp;SUBSTITUTE(input_announcement_category," ","")&amp;",")))=0)),IF(AC210="",TRUE,IF(input_announcement_category="",FALSE,SUMPRODUCT(--ISNUMBER(SEARCH(","&amp;TRIM(TEXTSPLIT(AC210,","))&amp;",",","&amp;SUBSTITUTE(input_announcement_category," ","")&amp;",")))&gt;0)),IF(AE210="",TRUE,IF(input_announcement_category="",FALSE,SUMPRODUCT(--ISNUMBER(SEARCH(","&amp;TRIM(TEXTSPLIT(AE210,","))&amp;",",","&amp;SUBSTITUTE(input_announcement_category," ","")&amp;",")))=COUNTA(TEXTSPLIT(AE210,",")))))</f>
        <v/>
      </c>
      <c r="IV210">
        <f>AND(IF(AG210="",TRUE,IF(input_area_of_focus="",FALSE,SUMPRODUCT(--ISNUMBER(SEARCH(","&amp;TRIM(TEXTSPLIT(AG210,","))&amp;",",","&amp;SUBSTITUTE(input_area_of_focus," ","")&amp;",")))&gt;0)),IF(AI210="",TRUE,IF(input_area_of_focus="",FALSE,SUMPRODUCT(--ISNUMBER(SEARCH(","&amp;TRIM(TEXTSPLIT(AI210,","))&amp;",",","&amp;SUBSTITUTE(input_area_of_focus," ","")&amp;",")))=COUNTA(TEXTSPLIT(AI210,",")))),IF(AK210="",TRUE,IF(input_area_of_focus="",TRUE,SUMPRODUCT(--ISNUMBER(SEARCH(","&amp;TRIM(TEXTSPLIT(AK210,","))&amp;",",","&amp;SUBSTITUTE(input_area_of_focus," ","")&amp;",")))=0)),IF(AM210="",TRUE,IF(input_area_of_focus="",FALSE,SUMPRODUCT(--ISNUMBER(SEARCH(","&amp;TRIM(TEXTSPLIT(AM210,","))&amp;",",","&amp;SUBSTITUTE(input_area_of_focus," ","")&amp;",")))&gt;0)),IF(AO210="",TRUE,IF(input_area_of_focus="",FALSE,SUMPRODUCT(--ISNUMBER(SEARCH(","&amp;TRIM(TEXTSPLIT(AO210,","))&amp;",",","&amp;SUBSTITUTE(input_area_of_focus," ","")&amp;",")))=COUNTA(TEXTSPLIT(AO210,",")))))</f>
        <v/>
      </c>
      <c r="IW210">
        <f>AND(IF(AQ210="",TRUE,IF(input_audience="",FALSE,SUMPRODUCT(--ISNUMBER(SEARCH(","&amp;TRIM(TEXTSPLIT(AQ210,","))&amp;",",","&amp;SUBSTITUTE(input_audience," ","")&amp;",")))&gt;0)),IF(AS210="",TRUE,IF(input_audience="",FALSE,SUMPRODUCT(--ISNUMBER(SEARCH(","&amp;TRIM(TEXTSPLIT(AS210,","))&amp;",",","&amp;SUBSTITUTE(input_audience," ","")&amp;",")))=COUNTA(TEXTSPLIT(AS210,",")))),IF(AU210="",TRUE,IF(input_audience="",TRUE,SUMPRODUCT(--ISNUMBER(SEARCH(","&amp;TRIM(TEXTSPLIT(AU210,","))&amp;",",","&amp;SUBSTITUTE(input_audience," ","")&amp;",")))=0)),IF(AW210="",TRUE,IF(input_audience="",FALSE,SUMPRODUCT(--ISNUMBER(SEARCH(","&amp;TRIM(TEXTSPLIT(AW210,","))&amp;",",","&amp;SUBSTITUTE(input_audience," ","")&amp;",")))&gt;0)),IF(AY210="",TRUE,IF(input_audience="",FALSE,SUMPRODUCT(--ISNUMBER(SEARCH(","&amp;TRIM(TEXTSPLIT(AY210,","))&amp;",",","&amp;SUBSTITUTE(input_audience," ","")&amp;",")))=COUNTA(TEXTSPLIT(AY210,",")))))</f>
        <v/>
      </c>
      <c r="IX210">
        <f>AND(IF(BA210="",TRUE,IF(input_challenge_opportunities="",FALSE,SUMPRODUCT(--ISNUMBER(SEARCH(","&amp;TRIM(TEXTSPLIT(BA210,","))&amp;",",","&amp;SUBSTITUTE(input_challenge_opportunities," ","")&amp;",")))&gt;0)),IF(BC210="",TRUE,IF(input_challenge_opportunities="",FALSE,SUMPRODUCT(--ISNUMBER(SEARCH(","&amp;TRIM(TEXTSPLIT(BC210,","))&amp;",",","&amp;SUBSTITUTE(input_challenge_opportunities," ","")&amp;",")))=COUNTA(TEXTSPLIT(BC210,",")))),IF(BE210="",TRUE,IF(input_challenge_opportunities="",TRUE,SUMPRODUCT(--ISNUMBER(SEARCH(","&amp;TRIM(TEXTSPLIT(BE210,","))&amp;",",","&amp;SUBSTITUTE(input_challenge_opportunities," ","")&amp;",")))=0)),IF(BG210="",TRUE,IF(input_challenge_opportunities="",FALSE,SUMPRODUCT(--ISNUMBER(SEARCH(","&amp;TRIM(TEXTSPLIT(BG210,","))&amp;",",","&amp;SUBSTITUTE(input_challenge_opportunities," ","")&amp;",")))&gt;0)),IF(BI210="",TRUE,IF(input_challenge_opportunities="",FALSE,SUMPRODUCT(--ISNUMBER(SEARCH(","&amp;TRIM(TEXTSPLIT(BI210,","))&amp;",",","&amp;SUBSTITUTE(input_challenge_opportunities," ","")&amp;",")))=COUNTA(TEXTSPLIT(BI210,",")))))</f>
        <v/>
      </c>
      <c r="IY210">
        <f>AND(IF(BK210="",TRUE,IF(input_context="",FALSE,SUMPRODUCT(--ISNUMBER(SEARCH(","&amp;TRIM(TEXTSPLIT(BK210,","))&amp;",",","&amp;SUBSTITUTE(input_context," ","")&amp;",")))&gt;0)),IF(BM210="",TRUE,IF(input_context="",FALSE,SUMPRODUCT(--ISNUMBER(SEARCH(","&amp;TRIM(TEXTSPLIT(BM210,","))&amp;",",","&amp;SUBSTITUTE(input_context," ","")&amp;",")))=COUNTA(TEXTSPLIT(BM210,",")))),IF(BO210="",TRUE,IF(input_context="",TRUE,SUMPRODUCT(--ISNUMBER(SEARCH(","&amp;TRIM(TEXTSPLIT(BO210,","))&amp;",",","&amp;SUBSTITUTE(input_context," ","")&amp;",")))=0)),IF(BQ210="",TRUE,IF(input_context="",FALSE,SUMPRODUCT(--ISNUMBER(SEARCH(","&amp;TRIM(TEXTSPLIT(BQ210,","))&amp;",",","&amp;SUBSTITUTE(input_context," ","")&amp;",")))&gt;0)),IF(BS210="",TRUE,IF(input_context="",FALSE,SUMPRODUCT(--ISNUMBER(SEARCH(","&amp;TRIM(TEXTSPLIT(BS210,","))&amp;",",","&amp;SUBSTITUTE(input_context," ","")&amp;",")))=COUNTA(TEXTSPLIT(BS210,",")))))</f>
        <v/>
      </c>
      <c r="IZ210">
        <f>AND(IF(BU210="",TRUE,IF(input_enews_announcement_type="",FALSE,SUMPRODUCT(--ISNUMBER(SEARCH(","&amp;TRIM(TEXTSPLIT(BU210,","))&amp;",",","&amp;SUBSTITUTE(input_enews_announcement_type," ","")&amp;",")))&gt;0)),IF(BW210="",TRUE,IF(input_enews_announcement_type="",FALSE,SUMPRODUCT(--ISNUMBER(SEARCH(","&amp;TRIM(TEXTSPLIT(BW210,","))&amp;",",","&amp;SUBSTITUTE(input_enews_announcement_type," ","")&amp;",")))=COUNTA(TEXTSPLIT(BW210,",")))),IF(BY210="",TRUE,IF(input_enews_announcement_type="",TRUE,SUMPRODUCT(--ISNUMBER(SEARCH(","&amp;TRIM(TEXTSPLIT(BY210,","))&amp;",",","&amp;SUBSTITUTE(input_enews_announcement_type," ","")&amp;",")))=0)),IF(CA210="",TRUE,IF(input_enews_announcement_type="",FALSE,SUMPRODUCT(--ISNUMBER(SEARCH(","&amp;TRIM(TEXTSPLIT(CA210,","))&amp;",",","&amp;SUBSTITUTE(input_enews_announcement_type," ","")&amp;",")))&gt;0)),IF(CC210="",TRUE,IF(input_enews_announcement_type="",FALSE,SUMPRODUCT(--ISNUMBER(SEARCH(","&amp;TRIM(TEXTSPLIT(CC210,","))&amp;",",","&amp;SUBSTITUTE(input_enews_announcement_type," ","")&amp;",")))=COUNTA(TEXTSPLIT(CC210,",")))))</f>
        <v/>
      </c>
      <c r="JA210">
        <f>AND(IF(CE210="",TRUE,IF(input_enews_audience="",FALSE,SUMPRODUCT(--ISNUMBER(SEARCH(","&amp;TRIM(TEXTSPLIT(CE210,","))&amp;",",","&amp;SUBSTITUTE(input_enews_audience," ","")&amp;",")))&gt;0)),IF(CG210="",TRUE,IF(input_enews_audience="",FALSE,SUMPRODUCT(--ISNUMBER(SEARCH(","&amp;TRIM(TEXTSPLIT(CG210,","))&amp;",",","&amp;SUBSTITUTE(input_enews_audience," ","")&amp;",")))=COUNTA(TEXTSPLIT(CG210,",")))),IF(CI210="",TRUE,IF(input_enews_audience="",TRUE,SUMPRODUCT(--ISNUMBER(SEARCH(","&amp;TRIM(TEXTSPLIT(CI210,","))&amp;",",","&amp;SUBSTITUTE(input_enews_audience," ","")&amp;",")))=0)),IF(CK210="",TRUE,IF(input_enews_audience="",FALSE,SUMPRODUCT(--ISNUMBER(SEARCH(","&amp;TRIM(TEXTSPLIT(CK210,","))&amp;",",","&amp;SUBSTITUTE(input_enews_audience," ","")&amp;",")))&gt;0)),IF(CM210="",TRUE,IF(input_enews_audience="",FALSE,SUMPRODUCT(--ISNUMBER(SEARCH(","&amp;TRIM(TEXTSPLIT(CM210,","))&amp;",",","&amp;SUBSTITUTE(input_enews_audience," ","")&amp;",")))=COUNTA(TEXTSPLIT(CM210,",")))))</f>
        <v/>
      </c>
      <c r="JB210">
        <f>AND(IF(CO210="",TRUE,IF(input_event_location="",FALSE,SUMPRODUCT(--ISNUMBER(SEARCH(","&amp;TRIM(TEXTSPLIT(CO210,","))&amp;",",","&amp;SUBSTITUTE(input_event_location," ","")&amp;",")))&gt;0)),IF(CQ210="",TRUE,IF(input_event_location="",FALSE,SUMPRODUCT(--ISNUMBER(SEARCH(","&amp;TRIM(TEXTSPLIT(CQ210,","))&amp;",",","&amp;SUBSTITUTE(input_event_location," ","")&amp;",")))=COUNTA(TEXTSPLIT(CQ210,",")))),IF(CS210="",TRUE,IF(input_event_location="",TRUE,SUMPRODUCT(--ISNUMBER(SEARCH(","&amp;TRIM(TEXTSPLIT(CS210,","))&amp;",",","&amp;SUBSTITUTE(input_event_location," ","")&amp;",")))=0)),IF(CU210="",TRUE,IF(input_event_location="",FALSE,SUMPRODUCT(--ISNUMBER(SEARCH(","&amp;TRIM(TEXTSPLIT(CU210,","))&amp;",",","&amp;SUBSTITUTE(input_event_location," ","")&amp;",")))&gt;0)),IF(CW210="",TRUE,IF(input_event_location="",FALSE,SUMPRODUCT(--ISNUMBER(SEARCH(","&amp;TRIM(TEXTSPLIT(CW210,","))&amp;",",","&amp;SUBSTITUTE(input_event_location," ","")&amp;",")))=COUNTA(TEXTSPLIT(CW210,",")))))</f>
        <v/>
      </c>
      <c r="JC210">
        <f>AND(IF(CY210="",TRUE,IF(input_event_type="",FALSE,SUMPRODUCT(--ISNUMBER(SEARCH(","&amp;TRIM(TEXTSPLIT(CY210,","))&amp;",",","&amp;SUBSTITUTE(input_event_type," ","")&amp;",")))&gt;0)),IF(DA210="",TRUE,IF(input_event_type="",FALSE,SUMPRODUCT(--ISNUMBER(SEARCH(","&amp;TRIM(TEXTSPLIT(DA210,","))&amp;",",","&amp;SUBSTITUTE(input_event_type," ","")&amp;",")))=COUNTA(TEXTSPLIT(DA210,",")))),IF(DC210="",TRUE,IF(input_event_type="",TRUE,SUMPRODUCT(--ISNUMBER(SEARCH(","&amp;TRIM(TEXTSPLIT(DC210,","))&amp;",",","&amp;SUBSTITUTE(input_event_type," ","")&amp;",")))=0)),IF(DE210="",TRUE,IF(input_event_type="",FALSE,SUMPRODUCT(--ISNUMBER(SEARCH(","&amp;TRIM(TEXTSPLIT(DE210,","))&amp;",",","&amp;SUBSTITUTE(input_event_type," ","")&amp;",")))&gt;0)),IF(DG210="",TRUE,IF(input_event_type="",FALSE,SUMPRODUCT(--ISNUMBER(SEARCH(","&amp;TRIM(TEXTSPLIT(DG210,","))&amp;",",","&amp;SUBSTITUTE(input_event_type," ","")&amp;",")))=COUNTA(TEXTSPLIT(DG210,",")))))</f>
        <v/>
      </c>
      <c r="JD210">
        <f>AND(IF(DI210="",TRUE,IF(input_executive_education_focus="",FALSE,SUMPRODUCT(--ISNUMBER(SEARCH(","&amp;TRIM(TEXTSPLIT(DI210,","))&amp;",",","&amp;SUBSTITUTE(input_executive_education_focus," ","")&amp;",")))&gt;0)),IF(DK210="",TRUE,IF(input_executive_education_focus="",FALSE,SUMPRODUCT(--ISNUMBER(SEARCH(","&amp;TRIM(TEXTSPLIT(DK210,","))&amp;",",","&amp;SUBSTITUTE(input_executive_education_focus," ","")&amp;",")))=COUNTA(TEXTSPLIT(DK210,",")))),IF(DM210="",TRUE,IF(input_executive_education_focus="",TRUE,SUMPRODUCT(--ISNUMBER(SEARCH(","&amp;TRIM(TEXTSPLIT(DM210,","))&amp;",",","&amp;SUBSTITUTE(input_executive_education_focus," ","")&amp;",")))=0)),IF(DO210="",TRUE,IF(input_executive_education_focus="",FALSE,SUMPRODUCT(--ISNUMBER(SEARCH(","&amp;TRIM(TEXTSPLIT(DO210,","))&amp;",",","&amp;SUBSTITUTE(input_executive_education_focus," ","")&amp;",")))&gt;0)),IF(DQ210="",TRUE,IF(input_executive_education_focus="",FALSE,SUMPRODUCT(--ISNUMBER(SEARCH(","&amp;TRIM(TEXTSPLIT(DQ210,","))&amp;",",","&amp;SUBSTITUTE(input_executive_education_focus," ","")&amp;",")))=COUNTA(TEXTSPLIT(DQ210,",")))))</f>
        <v/>
      </c>
      <c r="JE210">
        <f>AND(IF(DS210="",TRUE,IF(input_faculty_category="",FALSE,SUMPRODUCT(--ISNUMBER(SEARCH(","&amp;TRIM(TEXTSPLIT(DS210,","))&amp;",",","&amp;SUBSTITUTE(input_faculty_category," ","")&amp;",")))&gt;0)),IF(DU210="",TRUE,IF(input_faculty_category="",FALSE,SUMPRODUCT(--ISNUMBER(SEARCH(","&amp;TRIM(TEXTSPLIT(DU210,","))&amp;",",","&amp;SUBSTITUTE(input_faculty_category," ","")&amp;",")))=COUNTA(TEXTSPLIT(DU210,",")))),IF(DW210="",TRUE,IF(input_faculty_category="",TRUE,SUMPRODUCT(--ISNUMBER(SEARCH(","&amp;TRIM(TEXTSPLIT(DW210,","))&amp;",",","&amp;SUBSTITUTE(input_faculty_category," ","")&amp;",")))=0)),IF(DY210="",TRUE,IF(input_faculty_category="",FALSE,SUMPRODUCT(--ISNUMBER(SEARCH(","&amp;TRIM(TEXTSPLIT(DY210,","))&amp;",",","&amp;SUBSTITUTE(input_faculty_category," ","")&amp;",")))&gt;0)),IF(EA210="",TRUE,IF(input_faculty_category="",FALSE,SUMPRODUCT(--ISNUMBER(SEARCH(","&amp;TRIM(TEXTSPLIT(EA210,","))&amp;",",","&amp;SUBSTITUTE(input_faculty_category," ","")&amp;",")))=COUNTA(TEXTSPLIT(EA210,",")))))</f>
        <v/>
      </c>
      <c r="JF210">
        <f>AND(IF(EC210="",TRUE,IF(input_faculty_discipline="",FALSE,SUMPRODUCT(--ISNUMBER(SEARCH(","&amp;TRIM(TEXTSPLIT(EC210,","))&amp;",",","&amp;SUBSTITUTE(input_faculty_discipline," ","")&amp;",")))&gt;0)),IF(EE210="",TRUE,IF(input_faculty_discipline="",FALSE,SUMPRODUCT(--ISNUMBER(SEARCH(","&amp;TRIM(TEXTSPLIT(EE210,","))&amp;",",","&amp;SUBSTITUTE(input_faculty_discipline," ","")&amp;",")))=COUNTA(TEXTSPLIT(EE210,",")))),IF(EG210="",TRUE,IF(input_faculty_discipline="",TRUE,SUMPRODUCT(--ISNUMBER(SEARCH(","&amp;TRIM(TEXTSPLIT(EG210,","))&amp;",",","&amp;SUBSTITUTE(input_faculty_discipline," ","")&amp;",")))=0)),IF(EI210="",TRUE,IF(input_faculty_discipline="",FALSE,SUMPRODUCT(--ISNUMBER(SEARCH(","&amp;TRIM(TEXTSPLIT(EI210,","))&amp;",",","&amp;SUBSTITUTE(input_faculty_discipline," ","")&amp;",")))&gt;0)),IF(EK210="",TRUE,IF(input_faculty_discipline="",FALSE,SUMPRODUCT(--ISNUMBER(SEARCH(","&amp;TRIM(TEXTSPLIT(EK210,","))&amp;",",","&amp;SUBSTITUTE(input_faculty_discipline," ","")&amp;",")))=COUNTA(TEXTSPLIT(EK210,",")))))</f>
        <v/>
      </c>
      <c r="JG210">
        <f>AND(IF(EM210="",TRUE,IF(input_faculty_expertise="",FALSE,SUMPRODUCT(--ISNUMBER(SEARCH(","&amp;TRIM(TEXTSPLIT(EM210,","))&amp;",",","&amp;SUBSTITUTE(input_faculty_expertise," ","")&amp;",")))&gt;0)),IF(EO210="",TRUE,IF(input_faculty_expertise="",FALSE,SUMPRODUCT(--ISNUMBER(SEARCH(","&amp;TRIM(TEXTSPLIT(EO210,","))&amp;",",","&amp;SUBSTITUTE(input_faculty_expertise," ","")&amp;",")))=COUNTA(TEXTSPLIT(EO210,",")))),IF(EQ210="",TRUE,IF(input_faculty_expertise="",TRUE,SUMPRODUCT(--ISNUMBER(SEARCH(","&amp;TRIM(TEXTSPLIT(EQ210,","))&amp;",",","&amp;SUBSTITUTE(input_faculty_expertise," ","")&amp;",")))=0)),IF(ES210="",TRUE,IF(input_faculty_expertise="",FALSE,SUMPRODUCT(--ISNUMBER(SEARCH(","&amp;TRIM(TEXTSPLIT(ES210,","))&amp;",",","&amp;SUBSTITUTE(input_faculty_expertise," ","")&amp;",")))&gt;0)),IF(EU210="",TRUE,IF(input_faculty_expertise="",FALSE,SUMPRODUCT(--ISNUMBER(SEARCH(","&amp;TRIM(TEXTSPLIT(EU210,","))&amp;",",","&amp;SUBSTITUTE(input_faculty_expertise," ","")&amp;",")))=COUNTA(TEXTSPLIT(EU210,",")))))</f>
        <v/>
      </c>
      <c r="JH210">
        <f>AND(IF(EW210="",TRUE,IF(input_global_network_school="",FALSE,SUMPRODUCT(--ISNUMBER(SEARCH(","&amp;TRIM(TEXTSPLIT(EW210,","))&amp;",",","&amp;SUBSTITUTE(input_global_network_school," ","")&amp;",")))&gt;0)),IF(EY210="",TRUE,IF(input_global_network_school="",FALSE,SUMPRODUCT(--ISNUMBER(SEARCH(","&amp;TRIM(TEXTSPLIT(EY210,","))&amp;",",","&amp;SUBSTITUTE(input_global_network_school," ","")&amp;",")))=COUNTA(TEXTSPLIT(EY210,",")))),IF(FA210="",TRUE,IF(input_global_network_school="",TRUE,SUMPRODUCT(--ISNUMBER(SEARCH(","&amp;TRIM(TEXTSPLIT(FA210,","))&amp;",",","&amp;SUBSTITUTE(input_global_network_school," ","")&amp;",")))=0)),IF(FC210="",TRUE,IF(input_global_network_school="",FALSE,SUMPRODUCT(--ISNUMBER(SEARCH(","&amp;TRIM(TEXTSPLIT(FC210,","))&amp;",",","&amp;SUBSTITUTE(input_global_network_school," ","")&amp;",")))&gt;0)),IF(FE210="",TRUE,IF(input_global_network_school="",FALSE,SUMPRODUCT(--ISNUMBER(SEARCH(","&amp;TRIM(TEXTSPLIT(FE210,","))&amp;",",","&amp;SUBSTITUTE(input_global_network_school," ","")&amp;",")))=COUNTA(TEXTSPLIT(FE210,",")))))</f>
        <v/>
      </c>
      <c r="JI210">
        <f>AND(IF(FG210="",TRUE,IF(input_industry="",FALSE,SUMPRODUCT(--ISNUMBER(SEARCH(","&amp;TRIM(TEXTSPLIT(FG210,","))&amp;",",","&amp;SUBSTITUTE(input_industry," ","")&amp;",")))&gt;0)),IF(FI210="",TRUE,IF(input_industry="",FALSE,SUMPRODUCT(--ISNUMBER(SEARCH(","&amp;TRIM(TEXTSPLIT(FI210,","))&amp;",",","&amp;SUBSTITUTE(input_industry," ","")&amp;",")))=COUNTA(TEXTSPLIT(FI210,",")))),IF(FK210="",TRUE,IF(input_industry="",TRUE,SUMPRODUCT(--ISNUMBER(SEARCH(","&amp;TRIM(TEXTSPLIT(FK210,","))&amp;",",","&amp;SUBSTITUTE(input_industry," ","")&amp;",")))=0)),IF(FM210="",TRUE,IF(input_industry="",FALSE,SUMPRODUCT(--ISNUMBER(SEARCH(","&amp;TRIM(TEXTSPLIT(FM210,","))&amp;",",","&amp;SUBSTITUTE(input_industry," ","")&amp;",")))&gt;0)),IF(FO210="",TRUE,IF(input_industry="",FALSE,SUMPRODUCT(--ISNUMBER(SEARCH(","&amp;TRIM(TEXTSPLIT(FO210,","))&amp;",",","&amp;SUBSTITUTE(input_industry," ","")&amp;",")))=COUNTA(TEXTSPLIT(FO210,",")))))</f>
        <v/>
      </c>
      <c r="JJ210">
        <f>AND(IF(FQ210="",TRUE,IF(input_location="",FALSE,SUMPRODUCT(--ISNUMBER(SEARCH(","&amp;TRIM(TEXTSPLIT(FQ210,","))&amp;",",","&amp;SUBSTITUTE(input_location," ","")&amp;",")))&gt;0)),IF(FS210="",TRUE,IF(input_location="",FALSE,SUMPRODUCT(--ISNUMBER(SEARCH(","&amp;TRIM(TEXTSPLIT(FS210,","))&amp;",",","&amp;SUBSTITUTE(input_location," ","")&amp;",")))=COUNTA(TEXTSPLIT(FS210,",")))),IF(FU210="",TRUE,IF(input_location="",TRUE,SUMPRODUCT(--ISNUMBER(SEARCH(","&amp;TRIM(TEXTSPLIT(FU210,","))&amp;",",","&amp;SUBSTITUTE(input_location," ","")&amp;",")))=0)),IF(FW210="",TRUE,IF(input_location="",FALSE,SUMPRODUCT(--ISNUMBER(SEARCH(","&amp;TRIM(TEXTSPLIT(FW210,","))&amp;",",","&amp;SUBSTITUTE(input_location," ","")&amp;",")))&gt;0)),IF(FY210="",TRUE,IF(input_location="",FALSE,SUMPRODUCT(--ISNUMBER(SEARCH(","&amp;TRIM(TEXTSPLIT(FY210,","))&amp;",",","&amp;SUBSTITUTE(input_location," ","")&amp;",")))=COUNTA(TEXTSPLIT(FY210,",")))))</f>
        <v/>
      </c>
      <c r="JK210">
        <f>AND(IF(GA210="",TRUE,IF(input_modality="",FALSE,SUMPRODUCT(--ISNUMBER(SEARCH(","&amp;TRIM(TEXTSPLIT(GA210,","))&amp;",",","&amp;SUBSTITUTE(input_modality," ","")&amp;",")))&gt;0)),IF(GC210="",TRUE,IF(input_modality="",FALSE,SUMPRODUCT(--ISNUMBER(SEARCH(","&amp;TRIM(TEXTSPLIT(GC210,","))&amp;",",","&amp;SUBSTITUTE(input_modality," ","")&amp;",")))=COUNTA(TEXTSPLIT(GC210,",")))),IF(GE210="",TRUE,IF(input_modality="",TRUE,SUMPRODUCT(--ISNUMBER(SEARCH(","&amp;TRIM(TEXTSPLIT(GE210,","))&amp;",",","&amp;SUBSTITUTE(input_modality," ","")&amp;",")))=0)),IF(GG210="",TRUE,IF(input_modality="",FALSE,SUMPRODUCT(--ISNUMBER(SEARCH(","&amp;TRIM(TEXTSPLIT(GG210,","))&amp;",",","&amp;SUBSTITUTE(input_modality," ","")&amp;",")))&gt;0)),IF(GI210="",TRUE,IF(input_modality="",FALSE,SUMPRODUCT(--ISNUMBER(SEARCH(","&amp;TRIM(TEXTSPLIT(GI210,","))&amp;",",","&amp;SUBSTITUTE(input_modality," ","")&amp;",")))=COUNTA(TEXTSPLIT(GI210,",")))))</f>
        <v/>
      </c>
      <c r="JL210">
        <f>AND(IF(GK210="",TRUE,IF(input_organizer="",FALSE,SUMPRODUCT(--ISNUMBER(SEARCH(","&amp;TRIM(TEXTSPLIT(GK210,","))&amp;",",","&amp;SUBSTITUTE(input_organizer," ","")&amp;",")))&gt;0)),IF(GM210="",TRUE,IF(input_organizer="",FALSE,SUMPRODUCT(--ISNUMBER(SEARCH(","&amp;TRIM(TEXTSPLIT(GM210,","))&amp;",",","&amp;SUBSTITUTE(input_organizer," ","")&amp;",")))=COUNTA(TEXTSPLIT(GM210,",")))),IF(GO210="",TRUE,IF(input_organizer="",TRUE,SUMPRODUCT(--ISNUMBER(SEARCH(","&amp;TRIM(TEXTSPLIT(GO210,","))&amp;",",","&amp;SUBSTITUTE(input_organizer," ","")&amp;",")))=0)),IF(GQ210="",TRUE,IF(input_organizer="",FALSE,SUMPRODUCT(--ISNUMBER(SEARCH(","&amp;TRIM(TEXTSPLIT(GQ210,","))&amp;",",","&amp;SUBSTITUTE(input_organizer," ","")&amp;",")))&gt;0)),IF(GS210="",TRUE,IF(input_organizer="",FALSE,SUMPRODUCT(--ISNUMBER(SEARCH(","&amp;TRIM(TEXTSPLIT(GS210,","))&amp;",",","&amp;SUBSTITUTE(input_organizer," ","")&amp;",")))=COUNTA(TEXTSPLIT(GS210,",")))))</f>
        <v/>
      </c>
      <c r="JM210">
        <f>AND(IF(GU210="",TRUE,IF(input_profile_type="",FALSE,SUMPRODUCT(--ISNUMBER(SEARCH(","&amp;TRIM(TEXTSPLIT(GU210,","))&amp;",",","&amp;SUBSTITUTE(input_profile_type," ","")&amp;",")))&gt;0)),IF(GW210="",TRUE,IF(input_profile_type="",FALSE,SUMPRODUCT(--ISNUMBER(SEARCH(","&amp;TRIM(TEXTSPLIT(GW210,","))&amp;",",","&amp;SUBSTITUTE(input_profile_type," ","")&amp;",")))=COUNTA(TEXTSPLIT(GW210,",")))),IF(GY210="",TRUE,IF(input_profile_type="",TRUE,SUMPRODUCT(--ISNUMBER(SEARCH(","&amp;TRIM(TEXTSPLIT(GY210,","))&amp;",",","&amp;SUBSTITUTE(input_profile_type," ","")&amp;",")))=0)),IF(HA210="",TRUE,IF(input_profile_type="",FALSE,SUMPRODUCT(--ISNUMBER(SEARCH(","&amp;TRIM(TEXTSPLIT(HA210,","))&amp;",",","&amp;SUBSTITUTE(input_profile_type," ","")&amp;",")))&gt;0)),IF(HC210="",TRUE,IF(input_profile_type="",FALSE,SUMPRODUCT(--ISNUMBER(SEARCH(","&amp;TRIM(TEXTSPLIT(HC210,","))&amp;",",","&amp;SUBSTITUTE(input_profile_type," ","")&amp;",")))=COUNTA(TEXTSPLIT(HC210,",")))))</f>
        <v/>
      </c>
      <c r="JN210">
        <f>AND(IF(HE210="",TRUE,IF(input_program="",FALSE,SUMPRODUCT(--ISNUMBER(SEARCH(","&amp;TRIM(TEXTSPLIT(HE210,","))&amp;",",","&amp;SUBSTITUTE(input_program," ","")&amp;",")))&gt;0)),IF(HG210="",TRUE,IF(input_program="",FALSE,SUMPRODUCT(--ISNUMBER(SEARCH(","&amp;TRIM(TEXTSPLIT(HG210,","))&amp;",",","&amp;SUBSTITUTE(input_program," ","")&amp;",")))=COUNTA(TEXTSPLIT(HG210,",")))),IF(HI210="",TRUE,IF(input_program="",TRUE,SUMPRODUCT(--ISNUMBER(SEARCH(","&amp;TRIM(TEXTSPLIT(HI210,","))&amp;",",","&amp;SUBSTITUTE(input_program," ","")&amp;",")))=0)),IF(HK210="",TRUE,IF(input_program="",FALSE,SUMPRODUCT(--ISNUMBER(SEARCH(","&amp;TRIM(TEXTSPLIT(HK210,","))&amp;",",","&amp;SUBSTITUTE(input_program," ","")&amp;",")))&gt;0)),IF(HM210="",TRUE,IF(input_program="",FALSE,SUMPRODUCT(--ISNUMBER(SEARCH(","&amp;TRIM(TEXTSPLIT(HM210,","))&amp;",",","&amp;SUBSTITUTE(input_program," ","")&amp;",")))=COUNTA(TEXTSPLIT(HM210,",")))))</f>
        <v/>
      </c>
      <c r="JO210">
        <f>AND(IF(HO210="",TRUE,IF(input_story_categories="",FALSE,SUMPRODUCT(--ISNUMBER(SEARCH(","&amp;TRIM(TEXTSPLIT(HO210,","))&amp;",",","&amp;SUBSTITUTE(input_story_categories," ","")&amp;",")))&gt;0)),IF(HQ210="",TRUE,IF(input_story_categories="",FALSE,SUMPRODUCT(--ISNUMBER(SEARCH(","&amp;TRIM(TEXTSPLIT(HQ210,","))&amp;",",","&amp;SUBSTITUTE(input_story_categories," ","")&amp;",")))=COUNTA(TEXTSPLIT(HQ210,",")))),IF(HS210="",TRUE,IF(input_story_categories="",TRUE,SUMPRODUCT(--ISNUMBER(SEARCH(","&amp;TRIM(TEXTSPLIT(HS210,","))&amp;",",","&amp;SUBSTITUTE(input_story_categories," ","")&amp;",")))=0)),IF(HU210="",TRUE,IF(input_story_categories="",FALSE,SUMPRODUCT(--ISNUMBER(SEARCH(","&amp;TRIM(TEXTSPLIT(HU210,","))&amp;",",","&amp;SUBSTITUTE(input_story_categories," ","")&amp;",")))&gt;0)),IF(HW210="",TRUE,IF(input_story_categories="",FALSE,SUMPRODUCT(--ISNUMBER(SEARCH(","&amp;TRIM(TEXTSPLIT(HW210,","))&amp;",",","&amp;SUBSTITUTE(input_story_categories," ","")&amp;",")))=COUNTA(TEXTSPLIT(HW210,",")))))</f>
        <v/>
      </c>
      <c r="JP210">
        <f>AND(IF(HY210="",TRUE,IF(input_story_type="",FALSE,SUMPRODUCT(--ISNUMBER(SEARCH(","&amp;TRIM(TEXTSPLIT(HY210,","))&amp;",",","&amp;SUBSTITUTE(input_story_type," ","")&amp;",")))&gt;0)),IF(IA210="",TRUE,IF(input_story_type="",FALSE,SUMPRODUCT(--ISNUMBER(SEARCH(","&amp;TRIM(TEXTSPLIT(IA210,","))&amp;",",","&amp;SUBSTITUTE(input_story_type," ","")&amp;",")))=COUNTA(TEXTSPLIT(IA210,",")))),IF(IC210="",TRUE,IF(input_story_type="",TRUE,SUMPRODUCT(--ISNUMBER(SEARCH(","&amp;TRIM(TEXTSPLIT(IC210,","))&amp;",",","&amp;SUBSTITUTE(input_story_type," ","")&amp;",")))=0)),IF(IE210="",TRUE,IF(input_story_type="",FALSE,SUMPRODUCT(--ISNUMBER(SEARCH(","&amp;TRIM(TEXTSPLIT(IE210,","))&amp;",",","&amp;SUBSTITUTE(input_story_type," ","")&amp;",")))&gt;0)),IF(IG210="",TRUE,IF(input_story_type="",FALSE,SUMPRODUCT(--ISNUMBER(SEARCH(","&amp;TRIM(TEXTSPLIT(IG210,","))&amp;",",","&amp;SUBSTITUTE(input_story_type," ","")&amp;",")))=COUNTA(TEXTSPLIT(IG210,",")))))</f>
        <v/>
      </c>
      <c r="JQ210">
        <f>AND(IF(II210="",TRUE,IF(input_topics="",FALSE,SUMPRODUCT(--ISNUMBER(SEARCH(","&amp;TRIM(TEXTSPLIT(II210,","))&amp;",",","&amp;SUBSTITUTE(input_topics," ","")&amp;",")))&gt;0)),IF(IK210="",TRUE,IF(input_topics="",FALSE,SUMPRODUCT(--ISNUMBER(SEARCH(","&amp;TRIM(TEXTSPLIT(IK210,","))&amp;",",","&amp;SUBSTITUTE(input_topics," ","")&amp;",")))=COUNTA(TEXTSPLIT(IK210,",")))),IF(IM210="",TRUE,IF(input_topics="",TRUE,SUMPRODUCT(--ISNUMBER(SEARCH(","&amp;TRIM(TEXTSPLIT(IM210,","))&amp;",",","&amp;SUBSTITUTE(input_topics," ","")&amp;",")))=0)),IF(IO210="",TRUE,IF(input_topics="",FALSE,SUMPRODUCT(--ISNUMBER(SEARCH(","&amp;TRIM(TEXTSPLIT(IO210,","))&amp;",",","&amp;SUBSTITUTE(input_topics," ","")&amp;",")))&gt;0)),IF(IQ210="",TRUE,IF(input_topics="",FALSE,SUMPRODUCT(--ISNUMBER(SEARCH(","&amp;TRIM(TEXTSPLIT(IQ210,","))&amp;",",","&amp;SUBSTITUTE(input_topics," ","")&amp;",")))=COUNTA(TEXTSPLIT(IQ210,",")))))</f>
        <v/>
      </c>
    </row>
    <row r="211">
      <c r="A211" s="4">
        <f>IF(NOT(IS211),"Excluded",IF(AND(IT211,IU211,IV211,IW211,IX211,IY211,IZ211,JA211,JB211,JC211,JD211,JE211,JF211,JG211,JH211,JI211,JJ211,JK211,JL211,JM211,JN211,JO211,JP211,JQ211),IF(I211&gt;0,"Eligible but limited","Will appear"),"Excluded"))</f>
        <v/>
      </c>
      <c r="B211" s="4" t="inlineStr">
        <is>
          <t>Related stories on story pages</t>
        </is>
      </c>
      <c r="C211" s="4" t="inlineStr">
        <is>
          <t>/story/2025/inclusive-growth-fellows-share-recommendations-economic-development-new-haven</t>
        </is>
      </c>
      <c r="D211" s="4" t="inlineStr">
        <is>
          <t>/story/2025/inclusive-growth-fellows-share-recommendations-economic-development-new-haven</t>
        </is>
      </c>
      <c r="E211" s="4" t="n">
        <v>1</v>
      </c>
      <c r="F211" s="4" t="inlineStr">
        <is>
          <t>story</t>
        </is>
      </c>
      <c r="G211" s="4" t="inlineStr">
        <is>
          <t>stories_teaser_cards</t>
        </is>
      </c>
      <c r="H211" s="4" t="inlineStr">
        <is>
          <t>embed_all</t>
        </is>
      </c>
      <c r="I211" s="4" t="n">
        <v>3</v>
      </c>
      <c r="J211" s="4" t="inlineStr">
        <is>
          <t>Template logic</t>
        </is>
      </c>
      <c r="K211" s="4" t="inlineStr">
        <is>
          <t>Grouped surface</t>
        </is>
      </c>
      <c r="L211" s="4" t="inlineStr">
        <is>
          <t>Content type: story; Context uses Courses Context: Inclusive Growth Fellowship (1518); Context uses Story Type: News (924); Limited to 3 item(s); Source: Template logic</t>
        </is>
      </c>
      <c r="M211" t="inlineStr"/>
      <c r="N211" t="inlineStr"/>
      <c r="O211" t="inlineStr"/>
      <c r="P211" t="inlineStr"/>
      <c r="Q211" t="inlineStr"/>
      <c r="R211" t="inlineStr"/>
      <c r="S211" t="inlineStr"/>
      <c r="T211" t="inlineStr"/>
      <c r="U211" t="inlineStr"/>
      <c r="V211" t="inlineStr"/>
      <c r="W211" t="inlineStr"/>
      <c r="X211" t="inlineStr"/>
      <c r="Y211" t="inlineStr"/>
      <c r="Z211" t="inlineStr"/>
      <c r="AA211" t="inlineStr"/>
      <c r="AB211" t="inlineStr"/>
      <c r="AC211" t="inlineStr"/>
      <c r="AD211" t="inlineStr"/>
      <c r="AE211" t="inlineStr"/>
      <c r="AF211" t="inlineStr"/>
      <c r="AG211" t="inlineStr"/>
      <c r="AH211" t="inlineStr"/>
      <c r="AI211" t="inlineStr"/>
      <c r="AJ211" t="inlineStr"/>
      <c r="AK211" t="inlineStr"/>
      <c r="AL211" t="inlineStr"/>
      <c r="AM211" t="inlineStr"/>
      <c r="AN211" t="inlineStr"/>
      <c r="AO211" t="inlineStr"/>
      <c r="AP211" t="inlineStr"/>
      <c r="AQ211" t="inlineStr"/>
      <c r="AR211" t="inlineStr"/>
      <c r="AS211" t="inlineStr"/>
      <c r="AT211" t="inlineStr"/>
      <c r="AU211" t="inlineStr"/>
      <c r="AV211" t="inlineStr"/>
      <c r="AW211" t="inlineStr"/>
      <c r="AX211" t="inlineStr"/>
      <c r="AY211" t="inlineStr"/>
      <c r="AZ211" t="inlineStr"/>
      <c r="BA211" t="inlineStr"/>
      <c r="BB211" t="inlineStr"/>
      <c r="BC211" t="inlineStr"/>
      <c r="BD211" t="inlineStr"/>
      <c r="BE211" t="inlineStr"/>
      <c r="BF211" t="inlineStr"/>
      <c r="BG211" t="inlineStr"/>
      <c r="BH211" t="inlineStr"/>
      <c r="BI211" t="inlineStr"/>
      <c r="BJ211" t="inlineStr"/>
      <c r="BK211" t="inlineStr"/>
      <c r="BL211" t="inlineStr"/>
      <c r="BM211" t="inlineStr"/>
      <c r="BN211" t="inlineStr"/>
      <c r="BO211" t="inlineStr"/>
      <c r="BP211" t="inlineStr"/>
      <c r="BQ211" t="inlineStr">
        <is>
          <t>1518</t>
        </is>
      </c>
      <c r="BR211" t="inlineStr">
        <is>
          <t>Inclusive Growth Fellowship (1518)</t>
        </is>
      </c>
      <c r="BS211" t="inlineStr"/>
      <c r="BT211" t="inlineStr"/>
      <c r="BU211" t="inlineStr"/>
      <c r="BV211" t="inlineStr"/>
      <c r="BW211" t="inlineStr"/>
      <c r="BX211" t="inlineStr"/>
      <c r="BY211" t="inlineStr"/>
      <c r="BZ211" t="inlineStr"/>
      <c r="CA211" t="inlineStr"/>
      <c r="CB211" t="inlineStr"/>
      <c r="CC211" t="inlineStr"/>
      <c r="CD211" t="inlineStr"/>
      <c r="CE211" t="inlineStr"/>
      <c r="CF211" t="inlineStr"/>
      <c r="CG211" t="inlineStr"/>
      <c r="CH211" t="inlineStr"/>
      <c r="CI211" t="inlineStr"/>
      <c r="CJ211" t="inlineStr"/>
      <c r="CK211" t="inlineStr"/>
      <c r="CL211" t="inlineStr"/>
      <c r="CM211" t="inlineStr"/>
      <c r="CN211" t="inlineStr"/>
      <c r="CO211" t="inlineStr"/>
      <c r="CP211" t="inlineStr"/>
      <c r="CQ211" t="inlineStr"/>
      <c r="CR211" t="inlineStr"/>
      <c r="CS211" t="inlineStr"/>
      <c r="CT211" t="inlineStr"/>
      <c r="CU211" t="inlineStr"/>
      <c r="CV211" t="inlineStr"/>
      <c r="CW211" t="inlineStr"/>
      <c r="CX211" t="inlineStr"/>
      <c r="CY211" t="inlineStr"/>
      <c r="CZ211" t="inlineStr"/>
      <c r="DA211" t="inlineStr"/>
      <c r="DB211" t="inlineStr"/>
      <c r="DC211" t="inlineStr"/>
      <c r="DD211" t="inlineStr"/>
      <c r="DE211" t="inlineStr"/>
      <c r="DF211" t="inlineStr"/>
      <c r="DG211" t="inlineStr"/>
      <c r="DH211" t="inlineStr"/>
      <c r="DI211" t="inlineStr"/>
      <c r="DJ211" t="inlineStr"/>
      <c r="DK211" t="inlineStr"/>
      <c r="DL211" t="inlineStr"/>
      <c r="DM211" t="inlineStr"/>
      <c r="DN211" t="inlineStr"/>
      <c r="DO211" t="inlineStr"/>
      <c r="DP211" t="inlineStr"/>
      <c r="DQ211" t="inlineStr"/>
      <c r="DR211" t="inlineStr"/>
      <c r="DS211" t="inlineStr"/>
      <c r="DT211" t="inlineStr"/>
      <c r="DU211" t="inlineStr"/>
      <c r="DV211" t="inlineStr"/>
      <c r="DW211" t="inlineStr"/>
      <c r="DX211" t="inlineStr"/>
      <c r="DY211" t="inlineStr"/>
      <c r="DZ211" t="inlineStr"/>
      <c r="EA211" t="inlineStr"/>
      <c r="EB211" t="inlineStr"/>
      <c r="EC211" t="inlineStr"/>
      <c r="ED211" t="inlineStr"/>
      <c r="EE211" t="inlineStr"/>
      <c r="EF211" t="inlineStr"/>
      <c r="EG211" t="inlineStr"/>
      <c r="EH211" t="inlineStr"/>
      <c r="EI211" t="inlineStr"/>
      <c r="EJ211" t="inlineStr"/>
      <c r="EK211" t="inlineStr"/>
      <c r="EL211" t="inlineStr"/>
      <c r="EM211" t="inlineStr"/>
      <c r="EN211" t="inlineStr"/>
      <c r="EO211" t="inlineStr"/>
      <c r="EP211" t="inlineStr"/>
      <c r="EQ211" t="inlineStr"/>
      <c r="ER211" t="inlineStr"/>
      <c r="ES211" t="inlineStr"/>
      <c r="ET211" t="inlineStr"/>
      <c r="EU211" t="inlineStr"/>
      <c r="EV211" t="inlineStr"/>
      <c r="EW211" t="inlineStr"/>
      <c r="EX211" t="inlineStr"/>
      <c r="EY211" t="inlineStr"/>
      <c r="EZ211" t="inlineStr"/>
      <c r="FA211" t="inlineStr"/>
      <c r="FB211" t="inlineStr"/>
      <c r="FC211" t="inlineStr"/>
      <c r="FD211" t="inlineStr"/>
      <c r="FE211" t="inlineStr"/>
      <c r="FF211" t="inlineStr"/>
      <c r="FG211" t="inlineStr"/>
      <c r="FH211" t="inlineStr"/>
      <c r="FI211" t="inlineStr"/>
      <c r="FJ211" t="inlineStr"/>
      <c r="FK211" t="inlineStr"/>
      <c r="FL211" t="inlineStr"/>
      <c r="FM211" t="inlineStr"/>
      <c r="FN211" t="inlineStr"/>
      <c r="FO211" t="inlineStr"/>
      <c r="FP211" t="inlineStr"/>
      <c r="FQ211" t="inlineStr"/>
      <c r="FR211" t="inlineStr"/>
      <c r="FS211" t="inlineStr"/>
      <c r="FT211" t="inlineStr"/>
      <c r="FU211" t="inlineStr"/>
      <c r="FV211" t="inlineStr"/>
      <c r="FW211" t="inlineStr"/>
      <c r="FX211" t="inlineStr"/>
      <c r="FY211" t="inlineStr"/>
      <c r="FZ211" t="inlineStr"/>
      <c r="GA211" t="inlineStr"/>
      <c r="GB211" t="inlineStr"/>
      <c r="GC211" t="inlineStr"/>
      <c r="GD211" t="inlineStr"/>
      <c r="GE211" t="inlineStr"/>
      <c r="GF211" t="inlineStr"/>
      <c r="GG211" t="inlineStr"/>
      <c r="GH211" t="inlineStr"/>
      <c r="GI211" t="inlineStr"/>
      <c r="GJ211" t="inlineStr"/>
      <c r="GK211" t="inlineStr"/>
      <c r="GL211" t="inlineStr"/>
      <c r="GM211" t="inlineStr"/>
      <c r="GN211" t="inlineStr"/>
      <c r="GO211" t="inlineStr"/>
      <c r="GP211" t="inlineStr"/>
      <c r="GQ211" t="inlineStr"/>
      <c r="GR211" t="inlineStr"/>
      <c r="GS211" t="inlineStr"/>
      <c r="GT211" t="inlineStr"/>
      <c r="GU211" t="inlineStr"/>
      <c r="GV211" t="inlineStr"/>
      <c r="GW211" t="inlineStr"/>
      <c r="GX211" t="inlineStr"/>
      <c r="GY211" t="inlineStr"/>
      <c r="GZ211" t="inlineStr"/>
      <c r="HA211" t="inlineStr"/>
      <c r="HB211" t="inlineStr"/>
      <c r="HC211" t="inlineStr"/>
      <c r="HD211" t="inlineStr"/>
      <c r="HE211" t="inlineStr"/>
      <c r="HF211" t="inlineStr"/>
      <c r="HG211" t="inlineStr"/>
      <c r="HH211" t="inlineStr"/>
      <c r="HI211" t="inlineStr"/>
      <c r="HJ211" t="inlineStr"/>
      <c r="HK211" t="inlineStr"/>
      <c r="HL211" t="inlineStr"/>
      <c r="HM211" t="inlineStr"/>
      <c r="HN211" t="inlineStr"/>
      <c r="HO211" t="inlineStr"/>
      <c r="HP211" t="inlineStr"/>
      <c r="HQ211" t="inlineStr"/>
      <c r="HR211" t="inlineStr"/>
      <c r="HS211" t="inlineStr"/>
      <c r="HT211" t="inlineStr"/>
      <c r="HU211" t="inlineStr"/>
      <c r="HV211" t="inlineStr"/>
      <c r="HW211" t="inlineStr"/>
      <c r="HX211" t="inlineStr"/>
      <c r="HY211" t="inlineStr"/>
      <c r="HZ211" t="inlineStr"/>
      <c r="IA211" t="inlineStr"/>
      <c r="IB211" t="inlineStr"/>
      <c r="IC211" t="inlineStr"/>
      <c r="ID211" t="inlineStr"/>
      <c r="IE211" t="inlineStr">
        <is>
          <t>924</t>
        </is>
      </c>
      <c r="IF211" t="inlineStr">
        <is>
          <t>News (924)</t>
        </is>
      </c>
      <c r="IG211" t="inlineStr"/>
      <c r="IH211" t="inlineStr"/>
      <c r="II211" t="inlineStr"/>
      <c r="IJ211" t="inlineStr"/>
      <c r="IK211" t="inlineStr"/>
      <c r="IL211" t="inlineStr"/>
      <c r="IM211" t="inlineStr"/>
      <c r="IN211" t="inlineStr"/>
      <c r="IO211" t="inlineStr"/>
      <c r="IP211" t="inlineStr"/>
      <c r="IQ211" t="inlineStr"/>
      <c r="IR211" t="inlineStr"/>
      <c r="IS211">
        <f>IF(input_content_type="",FALSE,ISNUMBER(SEARCH(","&amp;LOWER(input_content_type)&amp;",",","&amp;LOWER(F211)&amp;",")))</f>
        <v/>
      </c>
      <c r="IT211">
        <f>AND(IF(M211="",TRUE,IF(input_affiliations="",FALSE,SUMPRODUCT(--ISNUMBER(SEARCH(","&amp;TRIM(TEXTSPLIT(M211,","))&amp;",",","&amp;SUBSTITUTE(input_affiliations," ","")&amp;",")))&gt;0)),IF(O211="",TRUE,IF(input_affiliations="",FALSE,SUMPRODUCT(--ISNUMBER(SEARCH(","&amp;TRIM(TEXTSPLIT(O211,","))&amp;",",","&amp;SUBSTITUTE(input_affiliations," ","")&amp;",")))=COUNTA(TEXTSPLIT(O211,",")))),IF(Q211="",TRUE,IF(input_affiliations="",TRUE,SUMPRODUCT(--ISNUMBER(SEARCH(","&amp;TRIM(TEXTSPLIT(Q211,","))&amp;",",","&amp;SUBSTITUTE(input_affiliations," ","")&amp;",")))=0)),IF(S211="",TRUE,IF(input_affiliations="",FALSE,SUMPRODUCT(--ISNUMBER(SEARCH(","&amp;TRIM(TEXTSPLIT(S211,","))&amp;",",","&amp;SUBSTITUTE(input_affiliations," ","")&amp;",")))&gt;0)),IF(U211="",TRUE,IF(input_affiliations="",FALSE,SUMPRODUCT(--ISNUMBER(SEARCH(","&amp;TRIM(TEXTSPLIT(U211,","))&amp;",",","&amp;SUBSTITUTE(input_affiliations," ","")&amp;",")))=COUNTA(TEXTSPLIT(U211,",")))))</f>
        <v/>
      </c>
      <c r="IU211">
        <f>AND(IF(W211="",TRUE,IF(input_announcement_category="",FALSE,SUMPRODUCT(--ISNUMBER(SEARCH(","&amp;TRIM(TEXTSPLIT(W211,","))&amp;",",","&amp;SUBSTITUTE(input_announcement_category," ","")&amp;",")))&gt;0)),IF(Y211="",TRUE,IF(input_announcement_category="",FALSE,SUMPRODUCT(--ISNUMBER(SEARCH(","&amp;TRIM(TEXTSPLIT(Y211,","))&amp;",",","&amp;SUBSTITUTE(input_announcement_category," ","")&amp;",")))=COUNTA(TEXTSPLIT(Y211,",")))),IF(AA211="",TRUE,IF(input_announcement_category="",TRUE,SUMPRODUCT(--ISNUMBER(SEARCH(","&amp;TRIM(TEXTSPLIT(AA211,","))&amp;",",","&amp;SUBSTITUTE(input_announcement_category," ","")&amp;",")))=0)),IF(AC211="",TRUE,IF(input_announcement_category="",FALSE,SUMPRODUCT(--ISNUMBER(SEARCH(","&amp;TRIM(TEXTSPLIT(AC211,","))&amp;",",","&amp;SUBSTITUTE(input_announcement_category," ","")&amp;",")))&gt;0)),IF(AE211="",TRUE,IF(input_announcement_category="",FALSE,SUMPRODUCT(--ISNUMBER(SEARCH(","&amp;TRIM(TEXTSPLIT(AE211,","))&amp;",",","&amp;SUBSTITUTE(input_announcement_category," ","")&amp;",")))=COUNTA(TEXTSPLIT(AE211,",")))))</f>
        <v/>
      </c>
      <c r="IV211">
        <f>AND(IF(AG211="",TRUE,IF(input_area_of_focus="",FALSE,SUMPRODUCT(--ISNUMBER(SEARCH(","&amp;TRIM(TEXTSPLIT(AG211,","))&amp;",",","&amp;SUBSTITUTE(input_area_of_focus," ","")&amp;",")))&gt;0)),IF(AI211="",TRUE,IF(input_area_of_focus="",FALSE,SUMPRODUCT(--ISNUMBER(SEARCH(","&amp;TRIM(TEXTSPLIT(AI211,","))&amp;",",","&amp;SUBSTITUTE(input_area_of_focus," ","")&amp;",")))=COUNTA(TEXTSPLIT(AI211,",")))),IF(AK211="",TRUE,IF(input_area_of_focus="",TRUE,SUMPRODUCT(--ISNUMBER(SEARCH(","&amp;TRIM(TEXTSPLIT(AK211,","))&amp;",",","&amp;SUBSTITUTE(input_area_of_focus," ","")&amp;",")))=0)),IF(AM211="",TRUE,IF(input_area_of_focus="",FALSE,SUMPRODUCT(--ISNUMBER(SEARCH(","&amp;TRIM(TEXTSPLIT(AM211,","))&amp;",",","&amp;SUBSTITUTE(input_area_of_focus," ","")&amp;",")))&gt;0)),IF(AO211="",TRUE,IF(input_area_of_focus="",FALSE,SUMPRODUCT(--ISNUMBER(SEARCH(","&amp;TRIM(TEXTSPLIT(AO211,","))&amp;",",","&amp;SUBSTITUTE(input_area_of_focus," ","")&amp;",")))=COUNTA(TEXTSPLIT(AO211,",")))))</f>
        <v/>
      </c>
      <c r="IW211">
        <f>AND(IF(AQ211="",TRUE,IF(input_audience="",FALSE,SUMPRODUCT(--ISNUMBER(SEARCH(","&amp;TRIM(TEXTSPLIT(AQ211,","))&amp;",",","&amp;SUBSTITUTE(input_audience," ","")&amp;",")))&gt;0)),IF(AS211="",TRUE,IF(input_audience="",FALSE,SUMPRODUCT(--ISNUMBER(SEARCH(","&amp;TRIM(TEXTSPLIT(AS211,","))&amp;",",","&amp;SUBSTITUTE(input_audience," ","")&amp;",")))=COUNTA(TEXTSPLIT(AS211,",")))),IF(AU211="",TRUE,IF(input_audience="",TRUE,SUMPRODUCT(--ISNUMBER(SEARCH(","&amp;TRIM(TEXTSPLIT(AU211,","))&amp;",",","&amp;SUBSTITUTE(input_audience," ","")&amp;",")))=0)),IF(AW211="",TRUE,IF(input_audience="",FALSE,SUMPRODUCT(--ISNUMBER(SEARCH(","&amp;TRIM(TEXTSPLIT(AW211,","))&amp;",",","&amp;SUBSTITUTE(input_audience," ","")&amp;",")))&gt;0)),IF(AY211="",TRUE,IF(input_audience="",FALSE,SUMPRODUCT(--ISNUMBER(SEARCH(","&amp;TRIM(TEXTSPLIT(AY211,","))&amp;",",","&amp;SUBSTITUTE(input_audience," ","")&amp;",")))=COUNTA(TEXTSPLIT(AY211,",")))))</f>
        <v/>
      </c>
      <c r="IX211">
        <f>AND(IF(BA211="",TRUE,IF(input_challenge_opportunities="",FALSE,SUMPRODUCT(--ISNUMBER(SEARCH(","&amp;TRIM(TEXTSPLIT(BA211,","))&amp;",",","&amp;SUBSTITUTE(input_challenge_opportunities," ","")&amp;",")))&gt;0)),IF(BC211="",TRUE,IF(input_challenge_opportunities="",FALSE,SUMPRODUCT(--ISNUMBER(SEARCH(","&amp;TRIM(TEXTSPLIT(BC211,","))&amp;",",","&amp;SUBSTITUTE(input_challenge_opportunities," ","")&amp;",")))=COUNTA(TEXTSPLIT(BC211,",")))),IF(BE211="",TRUE,IF(input_challenge_opportunities="",TRUE,SUMPRODUCT(--ISNUMBER(SEARCH(","&amp;TRIM(TEXTSPLIT(BE211,","))&amp;",",","&amp;SUBSTITUTE(input_challenge_opportunities," ","")&amp;",")))=0)),IF(BG211="",TRUE,IF(input_challenge_opportunities="",FALSE,SUMPRODUCT(--ISNUMBER(SEARCH(","&amp;TRIM(TEXTSPLIT(BG211,","))&amp;",",","&amp;SUBSTITUTE(input_challenge_opportunities," ","")&amp;",")))&gt;0)),IF(BI211="",TRUE,IF(input_challenge_opportunities="",FALSE,SUMPRODUCT(--ISNUMBER(SEARCH(","&amp;TRIM(TEXTSPLIT(BI211,","))&amp;",",","&amp;SUBSTITUTE(input_challenge_opportunities," ","")&amp;",")))=COUNTA(TEXTSPLIT(BI211,",")))))</f>
        <v/>
      </c>
      <c r="IY211">
        <f>AND(IF(BK211="",TRUE,IF(input_context="",FALSE,SUMPRODUCT(--ISNUMBER(SEARCH(","&amp;TRIM(TEXTSPLIT(BK211,","))&amp;",",","&amp;SUBSTITUTE(input_context," ","")&amp;",")))&gt;0)),IF(BM211="",TRUE,IF(input_context="",FALSE,SUMPRODUCT(--ISNUMBER(SEARCH(","&amp;TRIM(TEXTSPLIT(BM211,","))&amp;",",","&amp;SUBSTITUTE(input_context," ","")&amp;",")))=COUNTA(TEXTSPLIT(BM211,",")))),IF(BO211="",TRUE,IF(input_context="",TRUE,SUMPRODUCT(--ISNUMBER(SEARCH(","&amp;TRIM(TEXTSPLIT(BO211,","))&amp;",",","&amp;SUBSTITUTE(input_context," ","")&amp;",")))=0)),IF(BQ211="",TRUE,IF(input_context="",FALSE,SUMPRODUCT(--ISNUMBER(SEARCH(","&amp;TRIM(TEXTSPLIT(BQ211,","))&amp;",",","&amp;SUBSTITUTE(input_context," ","")&amp;",")))&gt;0)),IF(BS211="",TRUE,IF(input_context="",FALSE,SUMPRODUCT(--ISNUMBER(SEARCH(","&amp;TRIM(TEXTSPLIT(BS211,","))&amp;",",","&amp;SUBSTITUTE(input_context," ","")&amp;",")))=COUNTA(TEXTSPLIT(BS211,",")))))</f>
        <v/>
      </c>
      <c r="IZ211">
        <f>AND(IF(BU211="",TRUE,IF(input_enews_announcement_type="",FALSE,SUMPRODUCT(--ISNUMBER(SEARCH(","&amp;TRIM(TEXTSPLIT(BU211,","))&amp;",",","&amp;SUBSTITUTE(input_enews_announcement_type," ","")&amp;",")))&gt;0)),IF(BW211="",TRUE,IF(input_enews_announcement_type="",FALSE,SUMPRODUCT(--ISNUMBER(SEARCH(","&amp;TRIM(TEXTSPLIT(BW211,","))&amp;",",","&amp;SUBSTITUTE(input_enews_announcement_type," ","")&amp;",")))=COUNTA(TEXTSPLIT(BW211,",")))),IF(BY211="",TRUE,IF(input_enews_announcement_type="",TRUE,SUMPRODUCT(--ISNUMBER(SEARCH(","&amp;TRIM(TEXTSPLIT(BY211,","))&amp;",",","&amp;SUBSTITUTE(input_enews_announcement_type," ","")&amp;",")))=0)),IF(CA211="",TRUE,IF(input_enews_announcement_type="",FALSE,SUMPRODUCT(--ISNUMBER(SEARCH(","&amp;TRIM(TEXTSPLIT(CA211,","))&amp;",",","&amp;SUBSTITUTE(input_enews_announcement_type," ","")&amp;",")))&gt;0)),IF(CC211="",TRUE,IF(input_enews_announcement_type="",FALSE,SUMPRODUCT(--ISNUMBER(SEARCH(","&amp;TRIM(TEXTSPLIT(CC211,","))&amp;",",","&amp;SUBSTITUTE(input_enews_announcement_type," ","")&amp;",")))=COUNTA(TEXTSPLIT(CC211,",")))))</f>
        <v/>
      </c>
      <c r="JA211">
        <f>AND(IF(CE211="",TRUE,IF(input_enews_audience="",FALSE,SUMPRODUCT(--ISNUMBER(SEARCH(","&amp;TRIM(TEXTSPLIT(CE211,","))&amp;",",","&amp;SUBSTITUTE(input_enews_audience," ","")&amp;",")))&gt;0)),IF(CG211="",TRUE,IF(input_enews_audience="",FALSE,SUMPRODUCT(--ISNUMBER(SEARCH(","&amp;TRIM(TEXTSPLIT(CG211,","))&amp;",",","&amp;SUBSTITUTE(input_enews_audience," ","")&amp;",")))=COUNTA(TEXTSPLIT(CG211,",")))),IF(CI211="",TRUE,IF(input_enews_audience="",TRUE,SUMPRODUCT(--ISNUMBER(SEARCH(","&amp;TRIM(TEXTSPLIT(CI211,","))&amp;",",","&amp;SUBSTITUTE(input_enews_audience," ","")&amp;",")))=0)),IF(CK211="",TRUE,IF(input_enews_audience="",FALSE,SUMPRODUCT(--ISNUMBER(SEARCH(","&amp;TRIM(TEXTSPLIT(CK211,","))&amp;",",","&amp;SUBSTITUTE(input_enews_audience," ","")&amp;",")))&gt;0)),IF(CM211="",TRUE,IF(input_enews_audience="",FALSE,SUMPRODUCT(--ISNUMBER(SEARCH(","&amp;TRIM(TEXTSPLIT(CM211,","))&amp;",",","&amp;SUBSTITUTE(input_enews_audience," ","")&amp;",")))=COUNTA(TEXTSPLIT(CM211,",")))))</f>
        <v/>
      </c>
      <c r="JB211">
        <f>AND(IF(CO211="",TRUE,IF(input_event_location="",FALSE,SUMPRODUCT(--ISNUMBER(SEARCH(","&amp;TRIM(TEXTSPLIT(CO211,","))&amp;",",","&amp;SUBSTITUTE(input_event_location," ","")&amp;",")))&gt;0)),IF(CQ211="",TRUE,IF(input_event_location="",FALSE,SUMPRODUCT(--ISNUMBER(SEARCH(","&amp;TRIM(TEXTSPLIT(CQ211,","))&amp;",",","&amp;SUBSTITUTE(input_event_location," ","")&amp;",")))=COUNTA(TEXTSPLIT(CQ211,",")))),IF(CS211="",TRUE,IF(input_event_location="",TRUE,SUMPRODUCT(--ISNUMBER(SEARCH(","&amp;TRIM(TEXTSPLIT(CS211,","))&amp;",",","&amp;SUBSTITUTE(input_event_location," ","")&amp;",")))=0)),IF(CU211="",TRUE,IF(input_event_location="",FALSE,SUMPRODUCT(--ISNUMBER(SEARCH(","&amp;TRIM(TEXTSPLIT(CU211,","))&amp;",",","&amp;SUBSTITUTE(input_event_location," ","")&amp;",")))&gt;0)),IF(CW211="",TRUE,IF(input_event_location="",FALSE,SUMPRODUCT(--ISNUMBER(SEARCH(","&amp;TRIM(TEXTSPLIT(CW211,","))&amp;",",","&amp;SUBSTITUTE(input_event_location," ","")&amp;",")))=COUNTA(TEXTSPLIT(CW211,",")))))</f>
        <v/>
      </c>
      <c r="JC211">
        <f>AND(IF(CY211="",TRUE,IF(input_event_type="",FALSE,SUMPRODUCT(--ISNUMBER(SEARCH(","&amp;TRIM(TEXTSPLIT(CY211,","))&amp;",",","&amp;SUBSTITUTE(input_event_type," ","")&amp;",")))&gt;0)),IF(DA211="",TRUE,IF(input_event_type="",FALSE,SUMPRODUCT(--ISNUMBER(SEARCH(","&amp;TRIM(TEXTSPLIT(DA211,","))&amp;",",","&amp;SUBSTITUTE(input_event_type," ","")&amp;",")))=COUNTA(TEXTSPLIT(DA211,",")))),IF(DC211="",TRUE,IF(input_event_type="",TRUE,SUMPRODUCT(--ISNUMBER(SEARCH(","&amp;TRIM(TEXTSPLIT(DC211,","))&amp;",",","&amp;SUBSTITUTE(input_event_type," ","")&amp;",")))=0)),IF(DE211="",TRUE,IF(input_event_type="",FALSE,SUMPRODUCT(--ISNUMBER(SEARCH(","&amp;TRIM(TEXTSPLIT(DE211,","))&amp;",",","&amp;SUBSTITUTE(input_event_type," ","")&amp;",")))&gt;0)),IF(DG211="",TRUE,IF(input_event_type="",FALSE,SUMPRODUCT(--ISNUMBER(SEARCH(","&amp;TRIM(TEXTSPLIT(DG211,","))&amp;",",","&amp;SUBSTITUTE(input_event_type," ","")&amp;",")))=COUNTA(TEXTSPLIT(DG211,",")))))</f>
        <v/>
      </c>
      <c r="JD211">
        <f>AND(IF(DI211="",TRUE,IF(input_executive_education_focus="",FALSE,SUMPRODUCT(--ISNUMBER(SEARCH(","&amp;TRIM(TEXTSPLIT(DI211,","))&amp;",",","&amp;SUBSTITUTE(input_executive_education_focus," ","")&amp;",")))&gt;0)),IF(DK211="",TRUE,IF(input_executive_education_focus="",FALSE,SUMPRODUCT(--ISNUMBER(SEARCH(","&amp;TRIM(TEXTSPLIT(DK211,","))&amp;",",","&amp;SUBSTITUTE(input_executive_education_focus," ","")&amp;",")))=COUNTA(TEXTSPLIT(DK211,",")))),IF(DM211="",TRUE,IF(input_executive_education_focus="",TRUE,SUMPRODUCT(--ISNUMBER(SEARCH(","&amp;TRIM(TEXTSPLIT(DM211,","))&amp;",",","&amp;SUBSTITUTE(input_executive_education_focus," ","")&amp;",")))=0)),IF(DO211="",TRUE,IF(input_executive_education_focus="",FALSE,SUMPRODUCT(--ISNUMBER(SEARCH(","&amp;TRIM(TEXTSPLIT(DO211,","))&amp;",",","&amp;SUBSTITUTE(input_executive_education_focus," ","")&amp;",")))&gt;0)),IF(DQ211="",TRUE,IF(input_executive_education_focus="",FALSE,SUMPRODUCT(--ISNUMBER(SEARCH(","&amp;TRIM(TEXTSPLIT(DQ211,","))&amp;",",","&amp;SUBSTITUTE(input_executive_education_focus," ","")&amp;",")))=COUNTA(TEXTSPLIT(DQ211,",")))))</f>
        <v/>
      </c>
      <c r="JE211">
        <f>AND(IF(DS211="",TRUE,IF(input_faculty_category="",FALSE,SUMPRODUCT(--ISNUMBER(SEARCH(","&amp;TRIM(TEXTSPLIT(DS211,","))&amp;",",","&amp;SUBSTITUTE(input_faculty_category," ","")&amp;",")))&gt;0)),IF(DU211="",TRUE,IF(input_faculty_category="",FALSE,SUMPRODUCT(--ISNUMBER(SEARCH(","&amp;TRIM(TEXTSPLIT(DU211,","))&amp;",",","&amp;SUBSTITUTE(input_faculty_category," ","")&amp;",")))=COUNTA(TEXTSPLIT(DU211,",")))),IF(DW211="",TRUE,IF(input_faculty_category="",TRUE,SUMPRODUCT(--ISNUMBER(SEARCH(","&amp;TRIM(TEXTSPLIT(DW211,","))&amp;",",","&amp;SUBSTITUTE(input_faculty_category," ","")&amp;",")))=0)),IF(DY211="",TRUE,IF(input_faculty_category="",FALSE,SUMPRODUCT(--ISNUMBER(SEARCH(","&amp;TRIM(TEXTSPLIT(DY211,","))&amp;",",","&amp;SUBSTITUTE(input_faculty_category," ","")&amp;",")))&gt;0)),IF(EA211="",TRUE,IF(input_faculty_category="",FALSE,SUMPRODUCT(--ISNUMBER(SEARCH(","&amp;TRIM(TEXTSPLIT(EA211,","))&amp;",",","&amp;SUBSTITUTE(input_faculty_category," ","")&amp;",")))=COUNTA(TEXTSPLIT(EA211,",")))))</f>
        <v/>
      </c>
      <c r="JF211">
        <f>AND(IF(EC211="",TRUE,IF(input_faculty_discipline="",FALSE,SUMPRODUCT(--ISNUMBER(SEARCH(","&amp;TRIM(TEXTSPLIT(EC211,","))&amp;",",","&amp;SUBSTITUTE(input_faculty_discipline," ","")&amp;",")))&gt;0)),IF(EE211="",TRUE,IF(input_faculty_discipline="",FALSE,SUMPRODUCT(--ISNUMBER(SEARCH(","&amp;TRIM(TEXTSPLIT(EE211,","))&amp;",",","&amp;SUBSTITUTE(input_faculty_discipline," ","")&amp;",")))=COUNTA(TEXTSPLIT(EE211,",")))),IF(EG211="",TRUE,IF(input_faculty_discipline="",TRUE,SUMPRODUCT(--ISNUMBER(SEARCH(","&amp;TRIM(TEXTSPLIT(EG211,","))&amp;",",","&amp;SUBSTITUTE(input_faculty_discipline," ","")&amp;",")))=0)),IF(EI211="",TRUE,IF(input_faculty_discipline="",FALSE,SUMPRODUCT(--ISNUMBER(SEARCH(","&amp;TRIM(TEXTSPLIT(EI211,","))&amp;",",","&amp;SUBSTITUTE(input_faculty_discipline," ","")&amp;",")))&gt;0)),IF(EK211="",TRUE,IF(input_faculty_discipline="",FALSE,SUMPRODUCT(--ISNUMBER(SEARCH(","&amp;TRIM(TEXTSPLIT(EK211,","))&amp;",",","&amp;SUBSTITUTE(input_faculty_discipline," ","")&amp;",")))=COUNTA(TEXTSPLIT(EK211,",")))))</f>
        <v/>
      </c>
      <c r="JG211">
        <f>AND(IF(EM211="",TRUE,IF(input_faculty_expertise="",FALSE,SUMPRODUCT(--ISNUMBER(SEARCH(","&amp;TRIM(TEXTSPLIT(EM211,","))&amp;",",","&amp;SUBSTITUTE(input_faculty_expertise," ","")&amp;",")))&gt;0)),IF(EO211="",TRUE,IF(input_faculty_expertise="",FALSE,SUMPRODUCT(--ISNUMBER(SEARCH(","&amp;TRIM(TEXTSPLIT(EO211,","))&amp;",",","&amp;SUBSTITUTE(input_faculty_expertise," ","")&amp;",")))=COUNTA(TEXTSPLIT(EO211,",")))),IF(EQ211="",TRUE,IF(input_faculty_expertise="",TRUE,SUMPRODUCT(--ISNUMBER(SEARCH(","&amp;TRIM(TEXTSPLIT(EQ211,","))&amp;",",","&amp;SUBSTITUTE(input_faculty_expertise," ","")&amp;",")))=0)),IF(ES211="",TRUE,IF(input_faculty_expertise="",FALSE,SUMPRODUCT(--ISNUMBER(SEARCH(","&amp;TRIM(TEXTSPLIT(ES211,","))&amp;",",","&amp;SUBSTITUTE(input_faculty_expertise," ","")&amp;",")))&gt;0)),IF(EU211="",TRUE,IF(input_faculty_expertise="",FALSE,SUMPRODUCT(--ISNUMBER(SEARCH(","&amp;TRIM(TEXTSPLIT(EU211,","))&amp;",",","&amp;SUBSTITUTE(input_faculty_expertise," ","")&amp;",")))=COUNTA(TEXTSPLIT(EU211,",")))))</f>
        <v/>
      </c>
      <c r="JH211">
        <f>AND(IF(EW211="",TRUE,IF(input_global_network_school="",FALSE,SUMPRODUCT(--ISNUMBER(SEARCH(","&amp;TRIM(TEXTSPLIT(EW211,","))&amp;",",","&amp;SUBSTITUTE(input_global_network_school," ","")&amp;",")))&gt;0)),IF(EY211="",TRUE,IF(input_global_network_school="",FALSE,SUMPRODUCT(--ISNUMBER(SEARCH(","&amp;TRIM(TEXTSPLIT(EY211,","))&amp;",",","&amp;SUBSTITUTE(input_global_network_school," ","")&amp;",")))=COUNTA(TEXTSPLIT(EY211,",")))),IF(FA211="",TRUE,IF(input_global_network_school="",TRUE,SUMPRODUCT(--ISNUMBER(SEARCH(","&amp;TRIM(TEXTSPLIT(FA211,","))&amp;",",","&amp;SUBSTITUTE(input_global_network_school," ","")&amp;",")))=0)),IF(FC211="",TRUE,IF(input_global_network_school="",FALSE,SUMPRODUCT(--ISNUMBER(SEARCH(","&amp;TRIM(TEXTSPLIT(FC211,","))&amp;",",","&amp;SUBSTITUTE(input_global_network_school," ","")&amp;",")))&gt;0)),IF(FE211="",TRUE,IF(input_global_network_school="",FALSE,SUMPRODUCT(--ISNUMBER(SEARCH(","&amp;TRIM(TEXTSPLIT(FE211,","))&amp;",",","&amp;SUBSTITUTE(input_global_network_school," ","")&amp;",")))=COUNTA(TEXTSPLIT(FE211,",")))))</f>
        <v/>
      </c>
      <c r="JI211">
        <f>AND(IF(FG211="",TRUE,IF(input_industry="",FALSE,SUMPRODUCT(--ISNUMBER(SEARCH(","&amp;TRIM(TEXTSPLIT(FG211,","))&amp;",",","&amp;SUBSTITUTE(input_industry," ","")&amp;",")))&gt;0)),IF(FI211="",TRUE,IF(input_industry="",FALSE,SUMPRODUCT(--ISNUMBER(SEARCH(","&amp;TRIM(TEXTSPLIT(FI211,","))&amp;",",","&amp;SUBSTITUTE(input_industry," ","")&amp;",")))=COUNTA(TEXTSPLIT(FI211,",")))),IF(FK211="",TRUE,IF(input_industry="",TRUE,SUMPRODUCT(--ISNUMBER(SEARCH(","&amp;TRIM(TEXTSPLIT(FK211,","))&amp;",",","&amp;SUBSTITUTE(input_industry," ","")&amp;",")))=0)),IF(FM211="",TRUE,IF(input_industry="",FALSE,SUMPRODUCT(--ISNUMBER(SEARCH(","&amp;TRIM(TEXTSPLIT(FM211,","))&amp;",",","&amp;SUBSTITUTE(input_industry," ","")&amp;",")))&gt;0)),IF(FO211="",TRUE,IF(input_industry="",FALSE,SUMPRODUCT(--ISNUMBER(SEARCH(","&amp;TRIM(TEXTSPLIT(FO211,","))&amp;",",","&amp;SUBSTITUTE(input_industry," ","")&amp;",")))=COUNTA(TEXTSPLIT(FO211,",")))))</f>
        <v/>
      </c>
      <c r="JJ211">
        <f>AND(IF(FQ211="",TRUE,IF(input_location="",FALSE,SUMPRODUCT(--ISNUMBER(SEARCH(","&amp;TRIM(TEXTSPLIT(FQ211,","))&amp;",",","&amp;SUBSTITUTE(input_location," ","")&amp;",")))&gt;0)),IF(FS211="",TRUE,IF(input_location="",FALSE,SUMPRODUCT(--ISNUMBER(SEARCH(","&amp;TRIM(TEXTSPLIT(FS211,","))&amp;",",","&amp;SUBSTITUTE(input_location," ","")&amp;",")))=COUNTA(TEXTSPLIT(FS211,",")))),IF(FU211="",TRUE,IF(input_location="",TRUE,SUMPRODUCT(--ISNUMBER(SEARCH(","&amp;TRIM(TEXTSPLIT(FU211,","))&amp;",",","&amp;SUBSTITUTE(input_location," ","")&amp;",")))=0)),IF(FW211="",TRUE,IF(input_location="",FALSE,SUMPRODUCT(--ISNUMBER(SEARCH(","&amp;TRIM(TEXTSPLIT(FW211,","))&amp;",",","&amp;SUBSTITUTE(input_location," ","")&amp;",")))&gt;0)),IF(FY211="",TRUE,IF(input_location="",FALSE,SUMPRODUCT(--ISNUMBER(SEARCH(","&amp;TRIM(TEXTSPLIT(FY211,","))&amp;",",","&amp;SUBSTITUTE(input_location," ","")&amp;",")))=COUNTA(TEXTSPLIT(FY211,",")))))</f>
        <v/>
      </c>
      <c r="JK211">
        <f>AND(IF(GA211="",TRUE,IF(input_modality="",FALSE,SUMPRODUCT(--ISNUMBER(SEARCH(","&amp;TRIM(TEXTSPLIT(GA211,","))&amp;",",","&amp;SUBSTITUTE(input_modality," ","")&amp;",")))&gt;0)),IF(GC211="",TRUE,IF(input_modality="",FALSE,SUMPRODUCT(--ISNUMBER(SEARCH(","&amp;TRIM(TEXTSPLIT(GC211,","))&amp;",",","&amp;SUBSTITUTE(input_modality," ","")&amp;",")))=COUNTA(TEXTSPLIT(GC211,",")))),IF(GE211="",TRUE,IF(input_modality="",TRUE,SUMPRODUCT(--ISNUMBER(SEARCH(","&amp;TRIM(TEXTSPLIT(GE211,","))&amp;",",","&amp;SUBSTITUTE(input_modality," ","")&amp;",")))=0)),IF(GG211="",TRUE,IF(input_modality="",FALSE,SUMPRODUCT(--ISNUMBER(SEARCH(","&amp;TRIM(TEXTSPLIT(GG211,","))&amp;",",","&amp;SUBSTITUTE(input_modality," ","")&amp;",")))&gt;0)),IF(GI211="",TRUE,IF(input_modality="",FALSE,SUMPRODUCT(--ISNUMBER(SEARCH(","&amp;TRIM(TEXTSPLIT(GI211,","))&amp;",",","&amp;SUBSTITUTE(input_modality," ","")&amp;",")))=COUNTA(TEXTSPLIT(GI211,",")))))</f>
        <v/>
      </c>
      <c r="JL211">
        <f>AND(IF(GK211="",TRUE,IF(input_organizer="",FALSE,SUMPRODUCT(--ISNUMBER(SEARCH(","&amp;TRIM(TEXTSPLIT(GK211,","))&amp;",",","&amp;SUBSTITUTE(input_organizer," ","")&amp;",")))&gt;0)),IF(GM211="",TRUE,IF(input_organizer="",FALSE,SUMPRODUCT(--ISNUMBER(SEARCH(","&amp;TRIM(TEXTSPLIT(GM211,","))&amp;",",","&amp;SUBSTITUTE(input_organizer," ","")&amp;",")))=COUNTA(TEXTSPLIT(GM211,",")))),IF(GO211="",TRUE,IF(input_organizer="",TRUE,SUMPRODUCT(--ISNUMBER(SEARCH(","&amp;TRIM(TEXTSPLIT(GO211,","))&amp;",",","&amp;SUBSTITUTE(input_organizer," ","")&amp;",")))=0)),IF(GQ211="",TRUE,IF(input_organizer="",FALSE,SUMPRODUCT(--ISNUMBER(SEARCH(","&amp;TRIM(TEXTSPLIT(GQ211,","))&amp;",",","&amp;SUBSTITUTE(input_organizer," ","")&amp;",")))&gt;0)),IF(GS211="",TRUE,IF(input_organizer="",FALSE,SUMPRODUCT(--ISNUMBER(SEARCH(","&amp;TRIM(TEXTSPLIT(GS211,","))&amp;",",","&amp;SUBSTITUTE(input_organizer," ","")&amp;",")))=COUNTA(TEXTSPLIT(GS211,",")))))</f>
        <v/>
      </c>
      <c r="JM211">
        <f>AND(IF(GU211="",TRUE,IF(input_profile_type="",FALSE,SUMPRODUCT(--ISNUMBER(SEARCH(","&amp;TRIM(TEXTSPLIT(GU211,","))&amp;",",","&amp;SUBSTITUTE(input_profile_type," ","")&amp;",")))&gt;0)),IF(GW211="",TRUE,IF(input_profile_type="",FALSE,SUMPRODUCT(--ISNUMBER(SEARCH(","&amp;TRIM(TEXTSPLIT(GW211,","))&amp;",",","&amp;SUBSTITUTE(input_profile_type," ","")&amp;",")))=COUNTA(TEXTSPLIT(GW211,",")))),IF(GY211="",TRUE,IF(input_profile_type="",TRUE,SUMPRODUCT(--ISNUMBER(SEARCH(","&amp;TRIM(TEXTSPLIT(GY211,","))&amp;",",","&amp;SUBSTITUTE(input_profile_type," ","")&amp;",")))=0)),IF(HA211="",TRUE,IF(input_profile_type="",FALSE,SUMPRODUCT(--ISNUMBER(SEARCH(","&amp;TRIM(TEXTSPLIT(HA211,","))&amp;",",","&amp;SUBSTITUTE(input_profile_type," ","")&amp;",")))&gt;0)),IF(HC211="",TRUE,IF(input_profile_type="",FALSE,SUMPRODUCT(--ISNUMBER(SEARCH(","&amp;TRIM(TEXTSPLIT(HC211,","))&amp;",",","&amp;SUBSTITUTE(input_profile_type," ","")&amp;",")))=COUNTA(TEXTSPLIT(HC211,",")))))</f>
        <v/>
      </c>
      <c r="JN211">
        <f>AND(IF(HE211="",TRUE,IF(input_program="",FALSE,SUMPRODUCT(--ISNUMBER(SEARCH(","&amp;TRIM(TEXTSPLIT(HE211,","))&amp;",",","&amp;SUBSTITUTE(input_program," ","")&amp;",")))&gt;0)),IF(HG211="",TRUE,IF(input_program="",FALSE,SUMPRODUCT(--ISNUMBER(SEARCH(","&amp;TRIM(TEXTSPLIT(HG211,","))&amp;",",","&amp;SUBSTITUTE(input_program," ","")&amp;",")))=COUNTA(TEXTSPLIT(HG211,",")))),IF(HI211="",TRUE,IF(input_program="",TRUE,SUMPRODUCT(--ISNUMBER(SEARCH(","&amp;TRIM(TEXTSPLIT(HI211,","))&amp;",",","&amp;SUBSTITUTE(input_program," ","")&amp;",")))=0)),IF(HK211="",TRUE,IF(input_program="",FALSE,SUMPRODUCT(--ISNUMBER(SEARCH(","&amp;TRIM(TEXTSPLIT(HK211,","))&amp;",",","&amp;SUBSTITUTE(input_program," ","")&amp;",")))&gt;0)),IF(HM211="",TRUE,IF(input_program="",FALSE,SUMPRODUCT(--ISNUMBER(SEARCH(","&amp;TRIM(TEXTSPLIT(HM211,","))&amp;",",","&amp;SUBSTITUTE(input_program," ","")&amp;",")))=COUNTA(TEXTSPLIT(HM211,",")))))</f>
        <v/>
      </c>
      <c r="JO211">
        <f>AND(IF(HO211="",TRUE,IF(input_story_categories="",FALSE,SUMPRODUCT(--ISNUMBER(SEARCH(","&amp;TRIM(TEXTSPLIT(HO211,","))&amp;",",","&amp;SUBSTITUTE(input_story_categories," ","")&amp;",")))&gt;0)),IF(HQ211="",TRUE,IF(input_story_categories="",FALSE,SUMPRODUCT(--ISNUMBER(SEARCH(","&amp;TRIM(TEXTSPLIT(HQ211,","))&amp;",",","&amp;SUBSTITUTE(input_story_categories," ","")&amp;",")))=COUNTA(TEXTSPLIT(HQ211,",")))),IF(HS211="",TRUE,IF(input_story_categories="",TRUE,SUMPRODUCT(--ISNUMBER(SEARCH(","&amp;TRIM(TEXTSPLIT(HS211,","))&amp;",",","&amp;SUBSTITUTE(input_story_categories," ","")&amp;",")))=0)),IF(HU211="",TRUE,IF(input_story_categories="",FALSE,SUMPRODUCT(--ISNUMBER(SEARCH(","&amp;TRIM(TEXTSPLIT(HU211,","))&amp;",",","&amp;SUBSTITUTE(input_story_categories," ","")&amp;",")))&gt;0)),IF(HW211="",TRUE,IF(input_story_categories="",FALSE,SUMPRODUCT(--ISNUMBER(SEARCH(","&amp;TRIM(TEXTSPLIT(HW211,","))&amp;",",","&amp;SUBSTITUTE(input_story_categories," ","")&amp;",")))=COUNTA(TEXTSPLIT(HW211,",")))))</f>
        <v/>
      </c>
      <c r="JP211">
        <f>AND(IF(HY211="",TRUE,IF(input_story_type="",FALSE,SUMPRODUCT(--ISNUMBER(SEARCH(","&amp;TRIM(TEXTSPLIT(HY211,","))&amp;",",","&amp;SUBSTITUTE(input_story_type," ","")&amp;",")))&gt;0)),IF(IA211="",TRUE,IF(input_story_type="",FALSE,SUMPRODUCT(--ISNUMBER(SEARCH(","&amp;TRIM(TEXTSPLIT(IA211,","))&amp;",",","&amp;SUBSTITUTE(input_story_type," ","")&amp;",")))=COUNTA(TEXTSPLIT(IA211,",")))),IF(IC211="",TRUE,IF(input_story_type="",TRUE,SUMPRODUCT(--ISNUMBER(SEARCH(","&amp;TRIM(TEXTSPLIT(IC211,","))&amp;",",","&amp;SUBSTITUTE(input_story_type," ","")&amp;",")))=0)),IF(IE211="",TRUE,IF(input_story_type="",FALSE,SUMPRODUCT(--ISNUMBER(SEARCH(","&amp;TRIM(TEXTSPLIT(IE211,","))&amp;",",","&amp;SUBSTITUTE(input_story_type," ","")&amp;",")))&gt;0)),IF(IG211="",TRUE,IF(input_story_type="",FALSE,SUMPRODUCT(--ISNUMBER(SEARCH(","&amp;TRIM(TEXTSPLIT(IG211,","))&amp;",",","&amp;SUBSTITUTE(input_story_type," ","")&amp;",")))=COUNTA(TEXTSPLIT(IG211,",")))))</f>
        <v/>
      </c>
      <c r="JQ211">
        <f>AND(IF(II211="",TRUE,IF(input_topics="",FALSE,SUMPRODUCT(--ISNUMBER(SEARCH(","&amp;TRIM(TEXTSPLIT(II211,","))&amp;",",","&amp;SUBSTITUTE(input_topics," ","")&amp;",")))&gt;0)),IF(IK211="",TRUE,IF(input_topics="",FALSE,SUMPRODUCT(--ISNUMBER(SEARCH(","&amp;TRIM(TEXTSPLIT(IK211,","))&amp;",",","&amp;SUBSTITUTE(input_topics," ","")&amp;",")))=COUNTA(TEXTSPLIT(IK211,",")))),IF(IM211="",TRUE,IF(input_topics="",TRUE,SUMPRODUCT(--ISNUMBER(SEARCH(","&amp;TRIM(TEXTSPLIT(IM211,","))&amp;",",","&amp;SUBSTITUTE(input_topics," ","")&amp;",")))=0)),IF(IO211="",TRUE,IF(input_topics="",FALSE,SUMPRODUCT(--ISNUMBER(SEARCH(","&amp;TRIM(TEXTSPLIT(IO211,","))&amp;",",","&amp;SUBSTITUTE(input_topics," ","")&amp;",")))&gt;0)),IF(IQ211="",TRUE,IF(input_topics="",FALSE,SUMPRODUCT(--ISNUMBER(SEARCH(","&amp;TRIM(TEXTSPLIT(IQ211,","))&amp;",",","&amp;SUBSTITUTE(input_topics," ","")&amp;",")))=COUNTA(TEXTSPLIT(IQ211,",")))))</f>
        <v/>
      </c>
    </row>
    <row r="212">
      <c r="A212" s="4">
        <f>IF(NOT(IS212),"Excluded",IF(AND(IT212,IU212,IV212,IW212,IX212,IY212,IZ212,JA212,JB212,JC212,JD212,JE212,JF212,JG212,JH212,JI212,JJ212,JK212,JL212,JM212,JN212,JO212,JP212,JQ212),IF(I212&gt;0,"Eligible but limited","Will appear"),"Excluded"))</f>
        <v/>
      </c>
      <c r="B212" s="4" t="inlineStr">
        <is>
          <t>Related stories on story pages</t>
        </is>
      </c>
      <c r="C212" s="4" t="inlineStr">
        <is>
          <t>/story/2025/inclusive-growth-fellowship-spotlight-hannah-hua-26</t>
        </is>
      </c>
      <c r="D212" s="4" t="inlineStr">
        <is>
          <t>/story/2025/inclusive-growth-fellowship-spotlight-hannah-hua-26</t>
        </is>
      </c>
      <c r="E212" s="4" t="n">
        <v>1</v>
      </c>
      <c r="F212" s="4" t="inlineStr">
        <is>
          <t>story</t>
        </is>
      </c>
      <c r="G212" s="4" t="inlineStr">
        <is>
          <t>stories_teaser_cards</t>
        </is>
      </c>
      <c r="H212" s="4" t="inlineStr">
        <is>
          <t>embed_all</t>
        </is>
      </c>
      <c r="I212" s="4" t="n">
        <v>3</v>
      </c>
      <c r="J212" s="4" t="inlineStr">
        <is>
          <t>Template logic</t>
        </is>
      </c>
      <c r="K212" s="4" t="inlineStr">
        <is>
          <t>Grouped surface</t>
        </is>
      </c>
      <c r="L212" s="4" t="inlineStr">
        <is>
          <t>Content type: story; Context uses Courses Context: Inclusive Growth Fellowship (1518); Context uses Story Type: Blog (974); Limited to 3 item(s); Source: Template logic</t>
        </is>
      </c>
      <c r="M212" t="inlineStr"/>
      <c r="N212" t="inlineStr"/>
      <c r="O212" t="inlineStr"/>
      <c r="P212" t="inlineStr"/>
      <c r="Q212" t="inlineStr"/>
      <c r="R212" t="inlineStr"/>
      <c r="S212" t="inlineStr"/>
      <c r="T212" t="inlineStr"/>
      <c r="U212" t="inlineStr"/>
      <c r="V212" t="inlineStr"/>
      <c r="W212" t="inlineStr"/>
      <c r="X212" t="inlineStr"/>
      <c r="Y212" t="inlineStr"/>
      <c r="Z212" t="inlineStr"/>
      <c r="AA212" t="inlineStr"/>
      <c r="AB212" t="inlineStr"/>
      <c r="AC212" t="inlineStr"/>
      <c r="AD212" t="inlineStr"/>
      <c r="AE212" t="inlineStr"/>
      <c r="AF212" t="inlineStr"/>
      <c r="AG212" t="inlineStr"/>
      <c r="AH212" t="inlineStr"/>
      <c r="AI212" t="inlineStr"/>
      <c r="AJ212" t="inlineStr"/>
      <c r="AK212" t="inlineStr"/>
      <c r="AL212" t="inlineStr"/>
      <c r="AM212" t="inlineStr"/>
      <c r="AN212" t="inlineStr"/>
      <c r="AO212" t="inlineStr"/>
      <c r="AP212" t="inlineStr"/>
      <c r="AQ212" t="inlineStr"/>
      <c r="AR212" t="inlineStr"/>
      <c r="AS212" t="inlineStr"/>
      <c r="AT212" t="inlineStr"/>
      <c r="AU212" t="inlineStr"/>
      <c r="AV212" t="inlineStr"/>
      <c r="AW212" t="inlineStr"/>
      <c r="AX212" t="inlineStr"/>
      <c r="AY212" t="inlineStr"/>
      <c r="AZ212" t="inlineStr"/>
      <c r="BA212" t="inlineStr"/>
      <c r="BB212" t="inlineStr"/>
      <c r="BC212" t="inlineStr"/>
      <c r="BD212" t="inlineStr"/>
      <c r="BE212" t="inlineStr"/>
      <c r="BF212" t="inlineStr"/>
      <c r="BG212" t="inlineStr"/>
      <c r="BH212" t="inlineStr"/>
      <c r="BI212" t="inlineStr"/>
      <c r="BJ212" t="inlineStr"/>
      <c r="BK212" t="inlineStr"/>
      <c r="BL212" t="inlineStr"/>
      <c r="BM212" t="inlineStr"/>
      <c r="BN212" t="inlineStr"/>
      <c r="BO212" t="inlineStr"/>
      <c r="BP212" t="inlineStr"/>
      <c r="BQ212" t="inlineStr">
        <is>
          <t>1518</t>
        </is>
      </c>
      <c r="BR212" t="inlineStr">
        <is>
          <t>Inclusive Growth Fellowship (1518)</t>
        </is>
      </c>
      <c r="BS212" t="inlineStr"/>
      <c r="BT212" t="inlineStr"/>
      <c r="BU212" t="inlineStr"/>
      <c r="BV212" t="inlineStr"/>
      <c r="BW212" t="inlineStr"/>
      <c r="BX212" t="inlineStr"/>
      <c r="BY212" t="inlineStr"/>
      <c r="BZ212" t="inlineStr"/>
      <c r="CA212" t="inlineStr"/>
      <c r="CB212" t="inlineStr"/>
      <c r="CC212" t="inlineStr"/>
      <c r="CD212" t="inlineStr"/>
      <c r="CE212" t="inlineStr"/>
      <c r="CF212" t="inlineStr"/>
      <c r="CG212" t="inlineStr"/>
      <c r="CH212" t="inlineStr"/>
      <c r="CI212" t="inlineStr"/>
      <c r="CJ212" t="inlineStr"/>
      <c r="CK212" t="inlineStr"/>
      <c r="CL212" t="inlineStr"/>
      <c r="CM212" t="inlineStr"/>
      <c r="CN212" t="inlineStr"/>
      <c r="CO212" t="inlineStr"/>
      <c r="CP212" t="inlineStr"/>
      <c r="CQ212" t="inlineStr"/>
      <c r="CR212" t="inlineStr"/>
      <c r="CS212" t="inlineStr"/>
      <c r="CT212" t="inlineStr"/>
      <c r="CU212" t="inlineStr"/>
      <c r="CV212" t="inlineStr"/>
      <c r="CW212" t="inlineStr"/>
      <c r="CX212" t="inlineStr"/>
      <c r="CY212" t="inlineStr"/>
      <c r="CZ212" t="inlineStr"/>
      <c r="DA212" t="inlineStr"/>
      <c r="DB212" t="inlineStr"/>
      <c r="DC212" t="inlineStr"/>
      <c r="DD212" t="inlineStr"/>
      <c r="DE212" t="inlineStr"/>
      <c r="DF212" t="inlineStr"/>
      <c r="DG212" t="inlineStr"/>
      <c r="DH212" t="inlineStr"/>
      <c r="DI212" t="inlineStr"/>
      <c r="DJ212" t="inlineStr"/>
      <c r="DK212" t="inlineStr"/>
      <c r="DL212" t="inlineStr"/>
      <c r="DM212" t="inlineStr"/>
      <c r="DN212" t="inlineStr"/>
      <c r="DO212" t="inlineStr"/>
      <c r="DP212" t="inlineStr"/>
      <c r="DQ212" t="inlineStr"/>
      <c r="DR212" t="inlineStr"/>
      <c r="DS212" t="inlineStr"/>
      <c r="DT212" t="inlineStr"/>
      <c r="DU212" t="inlineStr"/>
      <c r="DV212" t="inlineStr"/>
      <c r="DW212" t="inlineStr"/>
      <c r="DX212" t="inlineStr"/>
      <c r="DY212" t="inlineStr"/>
      <c r="DZ212" t="inlineStr"/>
      <c r="EA212" t="inlineStr"/>
      <c r="EB212" t="inlineStr"/>
      <c r="EC212" t="inlineStr"/>
      <c r="ED212" t="inlineStr"/>
      <c r="EE212" t="inlineStr"/>
      <c r="EF212" t="inlineStr"/>
      <c r="EG212" t="inlineStr"/>
      <c r="EH212" t="inlineStr"/>
      <c r="EI212" t="inlineStr"/>
      <c r="EJ212" t="inlineStr"/>
      <c r="EK212" t="inlineStr"/>
      <c r="EL212" t="inlineStr"/>
      <c r="EM212" t="inlineStr"/>
      <c r="EN212" t="inlineStr"/>
      <c r="EO212" t="inlineStr"/>
      <c r="EP212" t="inlineStr"/>
      <c r="EQ212" t="inlineStr"/>
      <c r="ER212" t="inlineStr"/>
      <c r="ES212" t="inlineStr"/>
      <c r="ET212" t="inlineStr"/>
      <c r="EU212" t="inlineStr"/>
      <c r="EV212" t="inlineStr"/>
      <c r="EW212" t="inlineStr"/>
      <c r="EX212" t="inlineStr"/>
      <c r="EY212" t="inlineStr"/>
      <c r="EZ212" t="inlineStr"/>
      <c r="FA212" t="inlineStr"/>
      <c r="FB212" t="inlineStr"/>
      <c r="FC212" t="inlineStr"/>
      <c r="FD212" t="inlineStr"/>
      <c r="FE212" t="inlineStr"/>
      <c r="FF212" t="inlineStr"/>
      <c r="FG212" t="inlineStr"/>
      <c r="FH212" t="inlineStr"/>
      <c r="FI212" t="inlineStr"/>
      <c r="FJ212" t="inlineStr"/>
      <c r="FK212" t="inlineStr"/>
      <c r="FL212" t="inlineStr"/>
      <c r="FM212" t="inlineStr"/>
      <c r="FN212" t="inlineStr"/>
      <c r="FO212" t="inlineStr"/>
      <c r="FP212" t="inlineStr"/>
      <c r="FQ212" t="inlineStr"/>
      <c r="FR212" t="inlineStr"/>
      <c r="FS212" t="inlineStr"/>
      <c r="FT212" t="inlineStr"/>
      <c r="FU212" t="inlineStr"/>
      <c r="FV212" t="inlineStr"/>
      <c r="FW212" t="inlineStr"/>
      <c r="FX212" t="inlineStr"/>
      <c r="FY212" t="inlineStr"/>
      <c r="FZ212" t="inlineStr"/>
      <c r="GA212" t="inlineStr"/>
      <c r="GB212" t="inlineStr"/>
      <c r="GC212" t="inlineStr"/>
      <c r="GD212" t="inlineStr"/>
      <c r="GE212" t="inlineStr"/>
      <c r="GF212" t="inlineStr"/>
      <c r="GG212" t="inlineStr"/>
      <c r="GH212" t="inlineStr"/>
      <c r="GI212" t="inlineStr"/>
      <c r="GJ212" t="inlineStr"/>
      <c r="GK212" t="inlineStr"/>
      <c r="GL212" t="inlineStr"/>
      <c r="GM212" t="inlineStr"/>
      <c r="GN212" t="inlineStr"/>
      <c r="GO212" t="inlineStr"/>
      <c r="GP212" t="inlineStr"/>
      <c r="GQ212" t="inlineStr"/>
      <c r="GR212" t="inlineStr"/>
      <c r="GS212" t="inlineStr"/>
      <c r="GT212" t="inlineStr"/>
      <c r="GU212" t="inlineStr"/>
      <c r="GV212" t="inlineStr"/>
      <c r="GW212" t="inlineStr"/>
      <c r="GX212" t="inlineStr"/>
      <c r="GY212" t="inlineStr"/>
      <c r="GZ212" t="inlineStr"/>
      <c r="HA212" t="inlineStr"/>
      <c r="HB212" t="inlineStr"/>
      <c r="HC212" t="inlineStr"/>
      <c r="HD212" t="inlineStr"/>
      <c r="HE212" t="inlineStr"/>
      <c r="HF212" t="inlineStr"/>
      <c r="HG212" t="inlineStr"/>
      <c r="HH212" t="inlineStr"/>
      <c r="HI212" t="inlineStr"/>
      <c r="HJ212" t="inlineStr"/>
      <c r="HK212" t="inlineStr"/>
      <c r="HL212" t="inlineStr"/>
      <c r="HM212" t="inlineStr"/>
      <c r="HN212" t="inlineStr"/>
      <c r="HO212" t="inlineStr"/>
      <c r="HP212" t="inlineStr"/>
      <c r="HQ212" t="inlineStr"/>
      <c r="HR212" t="inlineStr"/>
      <c r="HS212" t="inlineStr"/>
      <c r="HT212" t="inlineStr"/>
      <c r="HU212" t="inlineStr"/>
      <c r="HV212" t="inlineStr"/>
      <c r="HW212" t="inlineStr"/>
      <c r="HX212" t="inlineStr"/>
      <c r="HY212" t="inlineStr"/>
      <c r="HZ212" t="inlineStr"/>
      <c r="IA212" t="inlineStr"/>
      <c r="IB212" t="inlineStr"/>
      <c r="IC212" t="inlineStr"/>
      <c r="ID212" t="inlineStr"/>
      <c r="IE212" t="inlineStr">
        <is>
          <t>974</t>
        </is>
      </c>
      <c r="IF212" t="inlineStr">
        <is>
          <t>Blog (974)</t>
        </is>
      </c>
      <c r="IG212" t="inlineStr"/>
      <c r="IH212" t="inlineStr"/>
      <c r="II212" t="inlineStr"/>
      <c r="IJ212" t="inlineStr"/>
      <c r="IK212" t="inlineStr"/>
      <c r="IL212" t="inlineStr"/>
      <c r="IM212" t="inlineStr"/>
      <c r="IN212" t="inlineStr"/>
      <c r="IO212" t="inlineStr"/>
      <c r="IP212" t="inlineStr"/>
      <c r="IQ212" t="inlineStr"/>
      <c r="IR212" t="inlineStr"/>
      <c r="IS212">
        <f>IF(input_content_type="",FALSE,ISNUMBER(SEARCH(","&amp;LOWER(input_content_type)&amp;",",","&amp;LOWER(F212)&amp;",")))</f>
        <v/>
      </c>
      <c r="IT212">
        <f>AND(IF(M212="",TRUE,IF(input_affiliations="",FALSE,SUMPRODUCT(--ISNUMBER(SEARCH(","&amp;TRIM(TEXTSPLIT(M212,","))&amp;",",","&amp;SUBSTITUTE(input_affiliations," ","")&amp;",")))&gt;0)),IF(O212="",TRUE,IF(input_affiliations="",FALSE,SUMPRODUCT(--ISNUMBER(SEARCH(","&amp;TRIM(TEXTSPLIT(O212,","))&amp;",",","&amp;SUBSTITUTE(input_affiliations," ","")&amp;",")))=COUNTA(TEXTSPLIT(O212,",")))),IF(Q212="",TRUE,IF(input_affiliations="",TRUE,SUMPRODUCT(--ISNUMBER(SEARCH(","&amp;TRIM(TEXTSPLIT(Q212,","))&amp;",",","&amp;SUBSTITUTE(input_affiliations," ","")&amp;",")))=0)),IF(S212="",TRUE,IF(input_affiliations="",FALSE,SUMPRODUCT(--ISNUMBER(SEARCH(","&amp;TRIM(TEXTSPLIT(S212,","))&amp;",",","&amp;SUBSTITUTE(input_affiliations," ","")&amp;",")))&gt;0)),IF(U212="",TRUE,IF(input_affiliations="",FALSE,SUMPRODUCT(--ISNUMBER(SEARCH(","&amp;TRIM(TEXTSPLIT(U212,","))&amp;",",","&amp;SUBSTITUTE(input_affiliations," ","")&amp;",")))=COUNTA(TEXTSPLIT(U212,",")))))</f>
        <v/>
      </c>
      <c r="IU212">
        <f>AND(IF(W212="",TRUE,IF(input_announcement_category="",FALSE,SUMPRODUCT(--ISNUMBER(SEARCH(","&amp;TRIM(TEXTSPLIT(W212,","))&amp;",",","&amp;SUBSTITUTE(input_announcement_category," ","")&amp;",")))&gt;0)),IF(Y212="",TRUE,IF(input_announcement_category="",FALSE,SUMPRODUCT(--ISNUMBER(SEARCH(","&amp;TRIM(TEXTSPLIT(Y212,","))&amp;",",","&amp;SUBSTITUTE(input_announcement_category," ","")&amp;",")))=COUNTA(TEXTSPLIT(Y212,",")))),IF(AA212="",TRUE,IF(input_announcement_category="",TRUE,SUMPRODUCT(--ISNUMBER(SEARCH(","&amp;TRIM(TEXTSPLIT(AA212,","))&amp;",",","&amp;SUBSTITUTE(input_announcement_category," ","")&amp;",")))=0)),IF(AC212="",TRUE,IF(input_announcement_category="",FALSE,SUMPRODUCT(--ISNUMBER(SEARCH(","&amp;TRIM(TEXTSPLIT(AC212,","))&amp;",",","&amp;SUBSTITUTE(input_announcement_category," ","")&amp;",")))&gt;0)),IF(AE212="",TRUE,IF(input_announcement_category="",FALSE,SUMPRODUCT(--ISNUMBER(SEARCH(","&amp;TRIM(TEXTSPLIT(AE212,","))&amp;",",","&amp;SUBSTITUTE(input_announcement_category," ","")&amp;",")))=COUNTA(TEXTSPLIT(AE212,",")))))</f>
        <v/>
      </c>
      <c r="IV212">
        <f>AND(IF(AG212="",TRUE,IF(input_area_of_focus="",FALSE,SUMPRODUCT(--ISNUMBER(SEARCH(","&amp;TRIM(TEXTSPLIT(AG212,","))&amp;",",","&amp;SUBSTITUTE(input_area_of_focus," ","")&amp;",")))&gt;0)),IF(AI212="",TRUE,IF(input_area_of_focus="",FALSE,SUMPRODUCT(--ISNUMBER(SEARCH(","&amp;TRIM(TEXTSPLIT(AI212,","))&amp;",",","&amp;SUBSTITUTE(input_area_of_focus," ","")&amp;",")))=COUNTA(TEXTSPLIT(AI212,",")))),IF(AK212="",TRUE,IF(input_area_of_focus="",TRUE,SUMPRODUCT(--ISNUMBER(SEARCH(","&amp;TRIM(TEXTSPLIT(AK212,","))&amp;",",","&amp;SUBSTITUTE(input_area_of_focus," ","")&amp;",")))=0)),IF(AM212="",TRUE,IF(input_area_of_focus="",FALSE,SUMPRODUCT(--ISNUMBER(SEARCH(","&amp;TRIM(TEXTSPLIT(AM212,","))&amp;",",","&amp;SUBSTITUTE(input_area_of_focus," ","")&amp;",")))&gt;0)),IF(AO212="",TRUE,IF(input_area_of_focus="",FALSE,SUMPRODUCT(--ISNUMBER(SEARCH(","&amp;TRIM(TEXTSPLIT(AO212,","))&amp;",",","&amp;SUBSTITUTE(input_area_of_focus," ","")&amp;",")))=COUNTA(TEXTSPLIT(AO212,",")))))</f>
        <v/>
      </c>
      <c r="IW212">
        <f>AND(IF(AQ212="",TRUE,IF(input_audience="",FALSE,SUMPRODUCT(--ISNUMBER(SEARCH(","&amp;TRIM(TEXTSPLIT(AQ212,","))&amp;",",","&amp;SUBSTITUTE(input_audience," ","")&amp;",")))&gt;0)),IF(AS212="",TRUE,IF(input_audience="",FALSE,SUMPRODUCT(--ISNUMBER(SEARCH(","&amp;TRIM(TEXTSPLIT(AS212,","))&amp;",",","&amp;SUBSTITUTE(input_audience," ","")&amp;",")))=COUNTA(TEXTSPLIT(AS212,",")))),IF(AU212="",TRUE,IF(input_audience="",TRUE,SUMPRODUCT(--ISNUMBER(SEARCH(","&amp;TRIM(TEXTSPLIT(AU212,","))&amp;",",","&amp;SUBSTITUTE(input_audience," ","")&amp;",")))=0)),IF(AW212="",TRUE,IF(input_audience="",FALSE,SUMPRODUCT(--ISNUMBER(SEARCH(","&amp;TRIM(TEXTSPLIT(AW212,","))&amp;",",","&amp;SUBSTITUTE(input_audience," ","")&amp;",")))&gt;0)),IF(AY212="",TRUE,IF(input_audience="",FALSE,SUMPRODUCT(--ISNUMBER(SEARCH(","&amp;TRIM(TEXTSPLIT(AY212,","))&amp;",",","&amp;SUBSTITUTE(input_audience," ","")&amp;",")))=COUNTA(TEXTSPLIT(AY212,",")))))</f>
        <v/>
      </c>
      <c r="IX212">
        <f>AND(IF(BA212="",TRUE,IF(input_challenge_opportunities="",FALSE,SUMPRODUCT(--ISNUMBER(SEARCH(","&amp;TRIM(TEXTSPLIT(BA212,","))&amp;",",","&amp;SUBSTITUTE(input_challenge_opportunities," ","")&amp;",")))&gt;0)),IF(BC212="",TRUE,IF(input_challenge_opportunities="",FALSE,SUMPRODUCT(--ISNUMBER(SEARCH(","&amp;TRIM(TEXTSPLIT(BC212,","))&amp;",",","&amp;SUBSTITUTE(input_challenge_opportunities," ","")&amp;",")))=COUNTA(TEXTSPLIT(BC212,",")))),IF(BE212="",TRUE,IF(input_challenge_opportunities="",TRUE,SUMPRODUCT(--ISNUMBER(SEARCH(","&amp;TRIM(TEXTSPLIT(BE212,","))&amp;",",","&amp;SUBSTITUTE(input_challenge_opportunities," ","")&amp;",")))=0)),IF(BG212="",TRUE,IF(input_challenge_opportunities="",FALSE,SUMPRODUCT(--ISNUMBER(SEARCH(","&amp;TRIM(TEXTSPLIT(BG212,","))&amp;",",","&amp;SUBSTITUTE(input_challenge_opportunities," ","")&amp;",")))&gt;0)),IF(BI212="",TRUE,IF(input_challenge_opportunities="",FALSE,SUMPRODUCT(--ISNUMBER(SEARCH(","&amp;TRIM(TEXTSPLIT(BI212,","))&amp;",",","&amp;SUBSTITUTE(input_challenge_opportunities," ","")&amp;",")))=COUNTA(TEXTSPLIT(BI212,",")))))</f>
        <v/>
      </c>
      <c r="IY212">
        <f>AND(IF(BK212="",TRUE,IF(input_context="",FALSE,SUMPRODUCT(--ISNUMBER(SEARCH(","&amp;TRIM(TEXTSPLIT(BK212,","))&amp;",",","&amp;SUBSTITUTE(input_context," ","")&amp;",")))&gt;0)),IF(BM212="",TRUE,IF(input_context="",FALSE,SUMPRODUCT(--ISNUMBER(SEARCH(","&amp;TRIM(TEXTSPLIT(BM212,","))&amp;",",","&amp;SUBSTITUTE(input_context," ","")&amp;",")))=COUNTA(TEXTSPLIT(BM212,",")))),IF(BO212="",TRUE,IF(input_context="",TRUE,SUMPRODUCT(--ISNUMBER(SEARCH(","&amp;TRIM(TEXTSPLIT(BO212,","))&amp;",",","&amp;SUBSTITUTE(input_context," ","")&amp;",")))=0)),IF(BQ212="",TRUE,IF(input_context="",FALSE,SUMPRODUCT(--ISNUMBER(SEARCH(","&amp;TRIM(TEXTSPLIT(BQ212,","))&amp;",",","&amp;SUBSTITUTE(input_context," ","")&amp;",")))&gt;0)),IF(BS212="",TRUE,IF(input_context="",FALSE,SUMPRODUCT(--ISNUMBER(SEARCH(","&amp;TRIM(TEXTSPLIT(BS212,","))&amp;",",","&amp;SUBSTITUTE(input_context," ","")&amp;",")))=COUNTA(TEXTSPLIT(BS212,",")))))</f>
        <v/>
      </c>
      <c r="IZ212">
        <f>AND(IF(BU212="",TRUE,IF(input_enews_announcement_type="",FALSE,SUMPRODUCT(--ISNUMBER(SEARCH(","&amp;TRIM(TEXTSPLIT(BU212,","))&amp;",",","&amp;SUBSTITUTE(input_enews_announcement_type," ","")&amp;",")))&gt;0)),IF(BW212="",TRUE,IF(input_enews_announcement_type="",FALSE,SUMPRODUCT(--ISNUMBER(SEARCH(","&amp;TRIM(TEXTSPLIT(BW212,","))&amp;",",","&amp;SUBSTITUTE(input_enews_announcement_type," ","")&amp;",")))=COUNTA(TEXTSPLIT(BW212,",")))),IF(BY212="",TRUE,IF(input_enews_announcement_type="",TRUE,SUMPRODUCT(--ISNUMBER(SEARCH(","&amp;TRIM(TEXTSPLIT(BY212,","))&amp;",",","&amp;SUBSTITUTE(input_enews_announcement_type," ","")&amp;",")))=0)),IF(CA212="",TRUE,IF(input_enews_announcement_type="",FALSE,SUMPRODUCT(--ISNUMBER(SEARCH(","&amp;TRIM(TEXTSPLIT(CA212,","))&amp;",",","&amp;SUBSTITUTE(input_enews_announcement_type," ","")&amp;",")))&gt;0)),IF(CC212="",TRUE,IF(input_enews_announcement_type="",FALSE,SUMPRODUCT(--ISNUMBER(SEARCH(","&amp;TRIM(TEXTSPLIT(CC212,","))&amp;",",","&amp;SUBSTITUTE(input_enews_announcement_type," ","")&amp;",")))=COUNTA(TEXTSPLIT(CC212,",")))))</f>
        <v/>
      </c>
      <c r="JA212">
        <f>AND(IF(CE212="",TRUE,IF(input_enews_audience="",FALSE,SUMPRODUCT(--ISNUMBER(SEARCH(","&amp;TRIM(TEXTSPLIT(CE212,","))&amp;",",","&amp;SUBSTITUTE(input_enews_audience," ","")&amp;",")))&gt;0)),IF(CG212="",TRUE,IF(input_enews_audience="",FALSE,SUMPRODUCT(--ISNUMBER(SEARCH(","&amp;TRIM(TEXTSPLIT(CG212,","))&amp;",",","&amp;SUBSTITUTE(input_enews_audience," ","")&amp;",")))=COUNTA(TEXTSPLIT(CG212,",")))),IF(CI212="",TRUE,IF(input_enews_audience="",TRUE,SUMPRODUCT(--ISNUMBER(SEARCH(","&amp;TRIM(TEXTSPLIT(CI212,","))&amp;",",","&amp;SUBSTITUTE(input_enews_audience," ","")&amp;",")))=0)),IF(CK212="",TRUE,IF(input_enews_audience="",FALSE,SUMPRODUCT(--ISNUMBER(SEARCH(","&amp;TRIM(TEXTSPLIT(CK212,","))&amp;",",","&amp;SUBSTITUTE(input_enews_audience," ","")&amp;",")))&gt;0)),IF(CM212="",TRUE,IF(input_enews_audience="",FALSE,SUMPRODUCT(--ISNUMBER(SEARCH(","&amp;TRIM(TEXTSPLIT(CM212,","))&amp;",",","&amp;SUBSTITUTE(input_enews_audience," ","")&amp;",")))=COUNTA(TEXTSPLIT(CM212,",")))))</f>
        <v/>
      </c>
      <c r="JB212">
        <f>AND(IF(CO212="",TRUE,IF(input_event_location="",FALSE,SUMPRODUCT(--ISNUMBER(SEARCH(","&amp;TRIM(TEXTSPLIT(CO212,","))&amp;",",","&amp;SUBSTITUTE(input_event_location," ","")&amp;",")))&gt;0)),IF(CQ212="",TRUE,IF(input_event_location="",FALSE,SUMPRODUCT(--ISNUMBER(SEARCH(","&amp;TRIM(TEXTSPLIT(CQ212,","))&amp;",",","&amp;SUBSTITUTE(input_event_location," ","")&amp;",")))=COUNTA(TEXTSPLIT(CQ212,",")))),IF(CS212="",TRUE,IF(input_event_location="",TRUE,SUMPRODUCT(--ISNUMBER(SEARCH(","&amp;TRIM(TEXTSPLIT(CS212,","))&amp;",",","&amp;SUBSTITUTE(input_event_location," ","")&amp;",")))=0)),IF(CU212="",TRUE,IF(input_event_location="",FALSE,SUMPRODUCT(--ISNUMBER(SEARCH(","&amp;TRIM(TEXTSPLIT(CU212,","))&amp;",",","&amp;SUBSTITUTE(input_event_location," ","")&amp;",")))&gt;0)),IF(CW212="",TRUE,IF(input_event_location="",FALSE,SUMPRODUCT(--ISNUMBER(SEARCH(","&amp;TRIM(TEXTSPLIT(CW212,","))&amp;",",","&amp;SUBSTITUTE(input_event_location," ","")&amp;",")))=COUNTA(TEXTSPLIT(CW212,",")))))</f>
        <v/>
      </c>
      <c r="JC212">
        <f>AND(IF(CY212="",TRUE,IF(input_event_type="",FALSE,SUMPRODUCT(--ISNUMBER(SEARCH(","&amp;TRIM(TEXTSPLIT(CY212,","))&amp;",",","&amp;SUBSTITUTE(input_event_type," ","")&amp;",")))&gt;0)),IF(DA212="",TRUE,IF(input_event_type="",FALSE,SUMPRODUCT(--ISNUMBER(SEARCH(","&amp;TRIM(TEXTSPLIT(DA212,","))&amp;",",","&amp;SUBSTITUTE(input_event_type," ","")&amp;",")))=COUNTA(TEXTSPLIT(DA212,",")))),IF(DC212="",TRUE,IF(input_event_type="",TRUE,SUMPRODUCT(--ISNUMBER(SEARCH(","&amp;TRIM(TEXTSPLIT(DC212,","))&amp;",",","&amp;SUBSTITUTE(input_event_type," ","")&amp;",")))=0)),IF(DE212="",TRUE,IF(input_event_type="",FALSE,SUMPRODUCT(--ISNUMBER(SEARCH(","&amp;TRIM(TEXTSPLIT(DE212,","))&amp;",",","&amp;SUBSTITUTE(input_event_type," ","")&amp;",")))&gt;0)),IF(DG212="",TRUE,IF(input_event_type="",FALSE,SUMPRODUCT(--ISNUMBER(SEARCH(","&amp;TRIM(TEXTSPLIT(DG212,","))&amp;",",","&amp;SUBSTITUTE(input_event_type," ","")&amp;",")))=COUNTA(TEXTSPLIT(DG212,",")))))</f>
        <v/>
      </c>
      <c r="JD212">
        <f>AND(IF(DI212="",TRUE,IF(input_executive_education_focus="",FALSE,SUMPRODUCT(--ISNUMBER(SEARCH(","&amp;TRIM(TEXTSPLIT(DI212,","))&amp;",",","&amp;SUBSTITUTE(input_executive_education_focus," ","")&amp;",")))&gt;0)),IF(DK212="",TRUE,IF(input_executive_education_focus="",FALSE,SUMPRODUCT(--ISNUMBER(SEARCH(","&amp;TRIM(TEXTSPLIT(DK212,","))&amp;",",","&amp;SUBSTITUTE(input_executive_education_focus," ","")&amp;",")))=COUNTA(TEXTSPLIT(DK212,",")))),IF(DM212="",TRUE,IF(input_executive_education_focus="",TRUE,SUMPRODUCT(--ISNUMBER(SEARCH(","&amp;TRIM(TEXTSPLIT(DM212,","))&amp;",",","&amp;SUBSTITUTE(input_executive_education_focus," ","")&amp;",")))=0)),IF(DO212="",TRUE,IF(input_executive_education_focus="",FALSE,SUMPRODUCT(--ISNUMBER(SEARCH(","&amp;TRIM(TEXTSPLIT(DO212,","))&amp;",",","&amp;SUBSTITUTE(input_executive_education_focus," ","")&amp;",")))&gt;0)),IF(DQ212="",TRUE,IF(input_executive_education_focus="",FALSE,SUMPRODUCT(--ISNUMBER(SEARCH(","&amp;TRIM(TEXTSPLIT(DQ212,","))&amp;",",","&amp;SUBSTITUTE(input_executive_education_focus," ","")&amp;",")))=COUNTA(TEXTSPLIT(DQ212,",")))))</f>
        <v/>
      </c>
      <c r="JE212">
        <f>AND(IF(DS212="",TRUE,IF(input_faculty_category="",FALSE,SUMPRODUCT(--ISNUMBER(SEARCH(","&amp;TRIM(TEXTSPLIT(DS212,","))&amp;",",","&amp;SUBSTITUTE(input_faculty_category," ","")&amp;",")))&gt;0)),IF(DU212="",TRUE,IF(input_faculty_category="",FALSE,SUMPRODUCT(--ISNUMBER(SEARCH(","&amp;TRIM(TEXTSPLIT(DU212,","))&amp;",",","&amp;SUBSTITUTE(input_faculty_category," ","")&amp;",")))=COUNTA(TEXTSPLIT(DU212,",")))),IF(DW212="",TRUE,IF(input_faculty_category="",TRUE,SUMPRODUCT(--ISNUMBER(SEARCH(","&amp;TRIM(TEXTSPLIT(DW212,","))&amp;",",","&amp;SUBSTITUTE(input_faculty_category," ","")&amp;",")))=0)),IF(DY212="",TRUE,IF(input_faculty_category="",FALSE,SUMPRODUCT(--ISNUMBER(SEARCH(","&amp;TRIM(TEXTSPLIT(DY212,","))&amp;",",","&amp;SUBSTITUTE(input_faculty_category," ","")&amp;",")))&gt;0)),IF(EA212="",TRUE,IF(input_faculty_category="",FALSE,SUMPRODUCT(--ISNUMBER(SEARCH(","&amp;TRIM(TEXTSPLIT(EA212,","))&amp;",",","&amp;SUBSTITUTE(input_faculty_category," ","")&amp;",")))=COUNTA(TEXTSPLIT(EA212,",")))))</f>
        <v/>
      </c>
      <c r="JF212">
        <f>AND(IF(EC212="",TRUE,IF(input_faculty_discipline="",FALSE,SUMPRODUCT(--ISNUMBER(SEARCH(","&amp;TRIM(TEXTSPLIT(EC212,","))&amp;",",","&amp;SUBSTITUTE(input_faculty_discipline," ","")&amp;",")))&gt;0)),IF(EE212="",TRUE,IF(input_faculty_discipline="",FALSE,SUMPRODUCT(--ISNUMBER(SEARCH(","&amp;TRIM(TEXTSPLIT(EE212,","))&amp;",",","&amp;SUBSTITUTE(input_faculty_discipline," ","")&amp;",")))=COUNTA(TEXTSPLIT(EE212,",")))),IF(EG212="",TRUE,IF(input_faculty_discipline="",TRUE,SUMPRODUCT(--ISNUMBER(SEARCH(","&amp;TRIM(TEXTSPLIT(EG212,","))&amp;",",","&amp;SUBSTITUTE(input_faculty_discipline," ","")&amp;",")))=0)),IF(EI212="",TRUE,IF(input_faculty_discipline="",FALSE,SUMPRODUCT(--ISNUMBER(SEARCH(","&amp;TRIM(TEXTSPLIT(EI212,","))&amp;",",","&amp;SUBSTITUTE(input_faculty_discipline," ","")&amp;",")))&gt;0)),IF(EK212="",TRUE,IF(input_faculty_discipline="",FALSE,SUMPRODUCT(--ISNUMBER(SEARCH(","&amp;TRIM(TEXTSPLIT(EK212,","))&amp;",",","&amp;SUBSTITUTE(input_faculty_discipline," ","")&amp;",")))=COUNTA(TEXTSPLIT(EK212,",")))))</f>
        <v/>
      </c>
      <c r="JG212">
        <f>AND(IF(EM212="",TRUE,IF(input_faculty_expertise="",FALSE,SUMPRODUCT(--ISNUMBER(SEARCH(","&amp;TRIM(TEXTSPLIT(EM212,","))&amp;",",","&amp;SUBSTITUTE(input_faculty_expertise," ","")&amp;",")))&gt;0)),IF(EO212="",TRUE,IF(input_faculty_expertise="",FALSE,SUMPRODUCT(--ISNUMBER(SEARCH(","&amp;TRIM(TEXTSPLIT(EO212,","))&amp;",",","&amp;SUBSTITUTE(input_faculty_expertise," ","")&amp;",")))=COUNTA(TEXTSPLIT(EO212,",")))),IF(EQ212="",TRUE,IF(input_faculty_expertise="",TRUE,SUMPRODUCT(--ISNUMBER(SEARCH(","&amp;TRIM(TEXTSPLIT(EQ212,","))&amp;",",","&amp;SUBSTITUTE(input_faculty_expertise," ","")&amp;",")))=0)),IF(ES212="",TRUE,IF(input_faculty_expertise="",FALSE,SUMPRODUCT(--ISNUMBER(SEARCH(","&amp;TRIM(TEXTSPLIT(ES212,","))&amp;",",","&amp;SUBSTITUTE(input_faculty_expertise," ","")&amp;",")))&gt;0)),IF(EU212="",TRUE,IF(input_faculty_expertise="",FALSE,SUMPRODUCT(--ISNUMBER(SEARCH(","&amp;TRIM(TEXTSPLIT(EU212,","))&amp;",",","&amp;SUBSTITUTE(input_faculty_expertise," ","")&amp;",")))=COUNTA(TEXTSPLIT(EU212,",")))))</f>
        <v/>
      </c>
      <c r="JH212">
        <f>AND(IF(EW212="",TRUE,IF(input_global_network_school="",FALSE,SUMPRODUCT(--ISNUMBER(SEARCH(","&amp;TRIM(TEXTSPLIT(EW212,","))&amp;",",","&amp;SUBSTITUTE(input_global_network_school," ","")&amp;",")))&gt;0)),IF(EY212="",TRUE,IF(input_global_network_school="",FALSE,SUMPRODUCT(--ISNUMBER(SEARCH(","&amp;TRIM(TEXTSPLIT(EY212,","))&amp;",",","&amp;SUBSTITUTE(input_global_network_school," ","")&amp;",")))=COUNTA(TEXTSPLIT(EY212,",")))),IF(FA212="",TRUE,IF(input_global_network_school="",TRUE,SUMPRODUCT(--ISNUMBER(SEARCH(","&amp;TRIM(TEXTSPLIT(FA212,","))&amp;",",","&amp;SUBSTITUTE(input_global_network_school," ","")&amp;",")))=0)),IF(FC212="",TRUE,IF(input_global_network_school="",FALSE,SUMPRODUCT(--ISNUMBER(SEARCH(","&amp;TRIM(TEXTSPLIT(FC212,","))&amp;",",","&amp;SUBSTITUTE(input_global_network_school," ","")&amp;",")))&gt;0)),IF(FE212="",TRUE,IF(input_global_network_school="",FALSE,SUMPRODUCT(--ISNUMBER(SEARCH(","&amp;TRIM(TEXTSPLIT(FE212,","))&amp;",",","&amp;SUBSTITUTE(input_global_network_school," ","")&amp;",")))=COUNTA(TEXTSPLIT(FE212,",")))))</f>
        <v/>
      </c>
      <c r="JI212">
        <f>AND(IF(FG212="",TRUE,IF(input_industry="",FALSE,SUMPRODUCT(--ISNUMBER(SEARCH(","&amp;TRIM(TEXTSPLIT(FG212,","))&amp;",",","&amp;SUBSTITUTE(input_industry," ","")&amp;",")))&gt;0)),IF(FI212="",TRUE,IF(input_industry="",FALSE,SUMPRODUCT(--ISNUMBER(SEARCH(","&amp;TRIM(TEXTSPLIT(FI212,","))&amp;",",","&amp;SUBSTITUTE(input_industry," ","")&amp;",")))=COUNTA(TEXTSPLIT(FI212,",")))),IF(FK212="",TRUE,IF(input_industry="",TRUE,SUMPRODUCT(--ISNUMBER(SEARCH(","&amp;TRIM(TEXTSPLIT(FK212,","))&amp;",",","&amp;SUBSTITUTE(input_industry," ","")&amp;",")))=0)),IF(FM212="",TRUE,IF(input_industry="",FALSE,SUMPRODUCT(--ISNUMBER(SEARCH(","&amp;TRIM(TEXTSPLIT(FM212,","))&amp;",",","&amp;SUBSTITUTE(input_industry," ","")&amp;",")))&gt;0)),IF(FO212="",TRUE,IF(input_industry="",FALSE,SUMPRODUCT(--ISNUMBER(SEARCH(","&amp;TRIM(TEXTSPLIT(FO212,","))&amp;",",","&amp;SUBSTITUTE(input_industry," ","")&amp;",")))=COUNTA(TEXTSPLIT(FO212,",")))))</f>
        <v/>
      </c>
      <c r="JJ212">
        <f>AND(IF(FQ212="",TRUE,IF(input_location="",FALSE,SUMPRODUCT(--ISNUMBER(SEARCH(","&amp;TRIM(TEXTSPLIT(FQ212,","))&amp;",",","&amp;SUBSTITUTE(input_location," ","")&amp;",")))&gt;0)),IF(FS212="",TRUE,IF(input_location="",FALSE,SUMPRODUCT(--ISNUMBER(SEARCH(","&amp;TRIM(TEXTSPLIT(FS212,","))&amp;",",","&amp;SUBSTITUTE(input_location," ","")&amp;",")))=COUNTA(TEXTSPLIT(FS212,",")))),IF(FU212="",TRUE,IF(input_location="",TRUE,SUMPRODUCT(--ISNUMBER(SEARCH(","&amp;TRIM(TEXTSPLIT(FU212,","))&amp;",",","&amp;SUBSTITUTE(input_location," ","")&amp;",")))=0)),IF(FW212="",TRUE,IF(input_location="",FALSE,SUMPRODUCT(--ISNUMBER(SEARCH(","&amp;TRIM(TEXTSPLIT(FW212,","))&amp;",",","&amp;SUBSTITUTE(input_location," ","")&amp;",")))&gt;0)),IF(FY212="",TRUE,IF(input_location="",FALSE,SUMPRODUCT(--ISNUMBER(SEARCH(","&amp;TRIM(TEXTSPLIT(FY212,","))&amp;",",","&amp;SUBSTITUTE(input_location," ","")&amp;",")))=COUNTA(TEXTSPLIT(FY212,",")))))</f>
        <v/>
      </c>
      <c r="JK212">
        <f>AND(IF(GA212="",TRUE,IF(input_modality="",FALSE,SUMPRODUCT(--ISNUMBER(SEARCH(","&amp;TRIM(TEXTSPLIT(GA212,","))&amp;",",","&amp;SUBSTITUTE(input_modality," ","")&amp;",")))&gt;0)),IF(GC212="",TRUE,IF(input_modality="",FALSE,SUMPRODUCT(--ISNUMBER(SEARCH(","&amp;TRIM(TEXTSPLIT(GC212,","))&amp;",",","&amp;SUBSTITUTE(input_modality," ","")&amp;",")))=COUNTA(TEXTSPLIT(GC212,",")))),IF(GE212="",TRUE,IF(input_modality="",TRUE,SUMPRODUCT(--ISNUMBER(SEARCH(","&amp;TRIM(TEXTSPLIT(GE212,","))&amp;",",","&amp;SUBSTITUTE(input_modality," ","")&amp;",")))=0)),IF(GG212="",TRUE,IF(input_modality="",FALSE,SUMPRODUCT(--ISNUMBER(SEARCH(","&amp;TRIM(TEXTSPLIT(GG212,","))&amp;",",","&amp;SUBSTITUTE(input_modality," ","")&amp;",")))&gt;0)),IF(GI212="",TRUE,IF(input_modality="",FALSE,SUMPRODUCT(--ISNUMBER(SEARCH(","&amp;TRIM(TEXTSPLIT(GI212,","))&amp;",",","&amp;SUBSTITUTE(input_modality," ","")&amp;",")))=COUNTA(TEXTSPLIT(GI212,",")))))</f>
        <v/>
      </c>
      <c r="JL212">
        <f>AND(IF(GK212="",TRUE,IF(input_organizer="",FALSE,SUMPRODUCT(--ISNUMBER(SEARCH(","&amp;TRIM(TEXTSPLIT(GK212,","))&amp;",",","&amp;SUBSTITUTE(input_organizer," ","")&amp;",")))&gt;0)),IF(GM212="",TRUE,IF(input_organizer="",FALSE,SUMPRODUCT(--ISNUMBER(SEARCH(","&amp;TRIM(TEXTSPLIT(GM212,","))&amp;",",","&amp;SUBSTITUTE(input_organizer," ","")&amp;",")))=COUNTA(TEXTSPLIT(GM212,",")))),IF(GO212="",TRUE,IF(input_organizer="",TRUE,SUMPRODUCT(--ISNUMBER(SEARCH(","&amp;TRIM(TEXTSPLIT(GO212,","))&amp;",",","&amp;SUBSTITUTE(input_organizer," ","")&amp;",")))=0)),IF(GQ212="",TRUE,IF(input_organizer="",FALSE,SUMPRODUCT(--ISNUMBER(SEARCH(","&amp;TRIM(TEXTSPLIT(GQ212,","))&amp;",",","&amp;SUBSTITUTE(input_organizer," ","")&amp;",")))&gt;0)),IF(GS212="",TRUE,IF(input_organizer="",FALSE,SUMPRODUCT(--ISNUMBER(SEARCH(","&amp;TRIM(TEXTSPLIT(GS212,","))&amp;",",","&amp;SUBSTITUTE(input_organizer," ","")&amp;",")))=COUNTA(TEXTSPLIT(GS212,",")))))</f>
        <v/>
      </c>
      <c r="JM212">
        <f>AND(IF(GU212="",TRUE,IF(input_profile_type="",FALSE,SUMPRODUCT(--ISNUMBER(SEARCH(","&amp;TRIM(TEXTSPLIT(GU212,","))&amp;",",","&amp;SUBSTITUTE(input_profile_type," ","")&amp;",")))&gt;0)),IF(GW212="",TRUE,IF(input_profile_type="",FALSE,SUMPRODUCT(--ISNUMBER(SEARCH(","&amp;TRIM(TEXTSPLIT(GW212,","))&amp;",",","&amp;SUBSTITUTE(input_profile_type," ","")&amp;",")))=COUNTA(TEXTSPLIT(GW212,",")))),IF(GY212="",TRUE,IF(input_profile_type="",TRUE,SUMPRODUCT(--ISNUMBER(SEARCH(","&amp;TRIM(TEXTSPLIT(GY212,","))&amp;",",","&amp;SUBSTITUTE(input_profile_type," ","")&amp;",")))=0)),IF(HA212="",TRUE,IF(input_profile_type="",FALSE,SUMPRODUCT(--ISNUMBER(SEARCH(","&amp;TRIM(TEXTSPLIT(HA212,","))&amp;",",","&amp;SUBSTITUTE(input_profile_type," ","")&amp;",")))&gt;0)),IF(HC212="",TRUE,IF(input_profile_type="",FALSE,SUMPRODUCT(--ISNUMBER(SEARCH(","&amp;TRIM(TEXTSPLIT(HC212,","))&amp;",",","&amp;SUBSTITUTE(input_profile_type," ","")&amp;",")))=COUNTA(TEXTSPLIT(HC212,",")))))</f>
        <v/>
      </c>
      <c r="JN212">
        <f>AND(IF(HE212="",TRUE,IF(input_program="",FALSE,SUMPRODUCT(--ISNUMBER(SEARCH(","&amp;TRIM(TEXTSPLIT(HE212,","))&amp;",",","&amp;SUBSTITUTE(input_program," ","")&amp;",")))&gt;0)),IF(HG212="",TRUE,IF(input_program="",FALSE,SUMPRODUCT(--ISNUMBER(SEARCH(","&amp;TRIM(TEXTSPLIT(HG212,","))&amp;",",","&amp;SUBSTITUTE(input_program," ","")&amp;",")))=COUNTA(TEXTSPLIT(HG212,",")))),IF(HI212="",TRUE,IF(input_program="",TRUE,SUMPRODUCT(--ISNUMBER(SEARCH(","&amp;TRIM(TEXTSPLIT(HI212,","))&amp;",",","&amp;SUBSTITUTE(input_program," ","")&amp;",")))=0)),IF(HK212="",TRUE,IF(input_program="",FALSE,SUMPRODUCT(--ISNUMBER(SEARCH(","&amp;TRIM(TEXTSPLIT(HK212,","))&amp;",",","&amp;SUBSTITUTE(input_program," ","")&amp;",")))&gt;0)),IF(HM212="",TRUE,IF(input_program="",FALSE,SUMPRODUCT(--ISNUMBER(SEARCH(","&amp;TRIM(TEXTSPLIT(HM212,","))&amp;",",","&amp;SUBSTITUTE(input_program," ","")&amp;",")))=COUNTA(TEXTSPLIT(HM212,",")))))</f>
        <v/>
      </c>
      <c r="JO212">
        <f>AND(IF(HO212="",TRUE,IF(input_story_categories="",FALSE,SUMPRODUCT(--ISNUMBER(SEARCH(","&amp;TRIM(TEXTSPLIT(HO212,","))&amp;",",","&amp;SUBSTITUTE(input_story_categories," ","")&amp;",")))&gt;0)),IF(HQ212="",TRUE,IF(input_story_categories="",FALSE,SUMPRODUCT(--ISNUMBER(SEARCH(","&amp;TRIM(TEXTSPLIT(HQ212,","))&amp;",",","&amp;SUBSTITUTE(input_story_categories," ","")&amp;",")))=COUNTA(TEXTSPLIT(HQ212,",")))),IF(HS212="",TRUE,IF(input_story_categories="",TRUE,SUMPRODUCT(--ISNUMBER(SEARCH(","&amp;TRIM(TEXTSPLIT(HS212,","))&amp;",",","&amp;SUBSTITUTE(input_story_categories," ","")&amp;",")))=0)),IF(HU212="",TRUE,IF(input_story_categories="",FALSE,SUMPRODUCT(--ISNUMBER(SEARCH(","&amp;TRIM(TEXTSPLIT(HU212,","))&amp;",",","&amp;SUBSTITUTE(input_story_categories," ","")&amp;",")))&gt;0)),IF(HW212="",TRUE,IF(input_story_categories="",FALSE,SUMPRODUCT(--ISNUMBER(SEARCH(","&amp;TRIM(TEXTSPLIT(HW212,","))&amp;",",","&amp;SUBSTITUTE(input_story_categories," ","")&amp;",")))=COUNTA(TEXTSPLIT(HW212,",")))))</f>
        <v/>
      </c>
      <c r="JP212">
        <f>AND(IF(HY212="",TRUE,IF(input_story_type="",FALSE,SUMPRODUCT(--ISNUMBER(SEARCH(","&amp;TRIM(TEXTSPLIT(HY212,","))&amp;",",","&amp;SUBSTITUTE(input_story_type," ","")&amp;",")))&gt;0)),IF(IA212="",TRUE,IF(input_story_type="",FALSE,SUMPRODUCT(--ISNUMBER(SEARCH(","&amp;TRIM(TEXTSPLIT(IA212,","))&amp;",",","&amp;SUBSTITUTE(input_story_type," ","")&amp;",")))=COUNTA(TEXTSPLIT(IA212,",")))),IF(IC212="",TRUE,IF(input_story_type="",TRUE,SUMPRODUCT(--ISNUMBER(SEARCH(","&amp;TRIM(TEXTSPLIT(IC212,","))&amp;",",","&amp;SUBSTITUTE(input_story_type," ","")&amp;",")))=0)),IF(IE212="",TRUE,IF(input_story_type="",FALSE,SUMPRODUCT(--ISNUMBER(SEARCH(","&amp;TRIM(TEXTSPLIT(IE212,","))&amp;",",","&amp;SUBSTITUTE(input_story_type," ","")&amp;",")))&gt;0)),IF(IG212="",TRUE,IF(input_story_type="",FALSE,SUMPRODUCT(--ISNUMBER(SEARCH(","&amp;TRIM(TEXTSPLIT(IG212,","))&amp;",",","&amp;SUBSTITUTE(input_story_type," ","")&amp;",")))=COUNTA(TEXTSPLIT(IG212,",")))))</f>
        <v/>
      </c>
      <c r="JQ212">
        <f>AND(IF(II212="",TRUE,IF(input_topics="",FALSE,SUMPRODUCT(--ISNUMBER(SEARCH(","&amp;TRIM(TEXTSPLIT(II212,","))&amp;",",","&amp;SUBSTITUTE(input_topics," ","")&amp;",")))&gt;0)),IF(IK212="",TRUE,IF(input_topics="",FALSE,SUMPRODUCT(--ISNUMBER(SEARCH(","&amp;TRIM(TEXTSPLIT(IK212,","))&amp;",",","&amp;SUBSTITUTE(input_topics," ","")&amp;",")))=COUNTA(TEXTSPLIT(IK212,",")))),IF(IM212="",TRUE,IF(input_topics="",TRUE,SUMPRODUCT(--ISNUMBER(SEARCH(","&amp;TRIM(TEXTSPLIT(IM212,","))&amp;",",","&amp;SUBSTITUTE(input_topics," ","")&amp;",")))=0)),IF(IO212="",TRUE,IF(input_topics="",FALSE,SUMPRODUCT(--ISNUMBER(SEARCH(","&amp;TRIM(TEXTSPLIT(IO212,","))&amp;",",","&amp;SUBSTITUTE(input_topics," ","")&amp;",")))&gt;0)),IF(IQ212="",TRUE,IF(input_topics="",FALSE,SUMPRODUCT(--ISNUMBER(SEARCH(","&amp;TRIM(TEXTSPLIT(IQ212,","))&amp;",",","&amp;SUBSTITUTE(input_topics," ","")&amp;",")))=COUNTA(TEXTSPLIT(IQ212,",")))))</f>
        <v/>
      </c>
    </row>
    <row r="213">
      <c r="A213" s="4">
        <f>IF(NOT(IS213),"Excluded",IF(AND(IT213,IU213,IV213,IW213,IX213,IY213,IZ213,JA213,JB213,JC213,JD213,JE213,JF213,JG213,JH213,JI213,JJ213,JK213,JL213,JM213,JN213,JO213,JP213,JQ213),IF(I213&gt;0,"Eligible but limited","Will appear"),"Excluded"))</f>
        <v/>
      </c>
      <c r="B213" s="4" t="inlineStr">
        <is>
          <t>Related stories on story pages</t>
        </is>
      </c>
      <c r="C213" s="4" t="inlineStr">
        <is>
          <t>/story/2025/meet-masters-degree-systemic-risk-class-2026</t>
        </is>
      </c>
      <c r="D213" s="4" t="inlineStr">
        <is>
          <t>/story/2025/meet-masters-degree-systemic-risk-class-2026</t>
        </is>
      </c>
      <c r="E213" s="4" t="n">
        <v>1</v>
      </c>
      <c r="F213" s="4" t="inlineStr">
        <is>
          <t>story</t>
        </is>
      </c>
      <c r="G213" s="4" t="inlineStr">
        <is>
          <t>stories_teaser_cards</t>
        </is>
      </c>
      <c r="H213" s="4" t="inlineStr">
        <is>
          <t>embed_all</t>
        </is>
      </c>
      <c r="I213" s="4" t="n">
        <v>3</v>
      </c>
      <c r="J213" s="4" t="inlineStr">
        <is>
          <t>Template logic</t>
        </is>
      </c>
      <c r="K213" s="4" t="inlineStr">
        <is>
          <t>Grouped surface</t>
        </is>
      </c>
      <c r="L213" s="4" t="inlineStr">
        <is>
          <t>Content type: story; Context uses Courses Context: Master's Degree in Systemic Risk (949); Context uses Story Type: Blog (974); Limited to 3 item(s); Source: Template logic</t>
        </is>
      </c>
      <c r="M213" t="inlineStr"/>
      <c r="N213" t="inlineStr"/>
      <c r="O213" t="inlineStr"/>
      <c r="P213" t="inlineStr"/>
      <c r="Q213" t="inlineStr"/>
      <c r="R213" t="inlineStr"/>
      <c r="S213" t="inlineStr"/>
      <c r="T213" t="inlineStr"/>
      <c r="U213" t="inlineStr"/>
      <c r="V213" t="inlineStr"/>
      <c r="W213" t="inlineStr"/>
      <c r="X213" t="inlineStr"/>
      <c r="Y213" t="inlineStr"/>
      <c r="Z213" t="inlineStr"/>
      <c r="AA213" t="inlineStr"/>
      <c r="AB213" t="inlineStr"/>
      <c r="AC213" t="inlineStr"/>
      <c r="AD213" t="inlineStr"/>
      <c r="AE213" t="inlineStr"/>
      <c r="AF213" t="inlineStr"/>
      <c r="AG213" t="inlineStr"/>
      <c r="AH213" t="inlineStr"/>
      <c r="AI213" t="inlineStr"/>
      <c r="AJ213" t="inlineStr"/>
      <c r="AK213" t="inlineStr"/>
      <c r="AL213" t="inlineStr"/>
      <c r="AM213" t="inlineStr"/>
      <c r="AN213" t="inlineStr"/>
      <c r="AO213" t="inlineStr"/>
      <c r="AP213" t="inlineStr"/>
      <c r="AQ213" t="inlineStr"/>
      <c r="AR213" t="inlineStr"/>
      <c r="AS213" t="inlineStr"/>
      <c r="AT213" t="inlineStr"/>
      <c r="AU213" t="inlineStr"/>
      <c r="AV213" t="inlineStr"/>
      <c r="AW213" t="inlineStr"/>
      <c r="AX213" t="inlineStr"/>
      <c r="AY213" t="inlineStr"/>
      <c r="AZ213" t="inlineStr"/>
      <c r="BA213" t="inlineStr"/>
      <c r="BB213" t="inlineStr"/>
      <c r="BC213" t="inlineStr"/>
      <c r="BD213" t="inlineStr"/>
      <c r="BE213" t="inlineStr"/>
      <c r="BF213" t="inlineStr"/>
      <c r="BG213" t="inlineStr"/>
      <c r="BH213" t="inlineStr"/>
      <c r="BI213" t="inlineStr"/>
      <c r="BJ213" t="inlineStr"/>
      <c r="BK213" t="inlineStr"/>
      <c r="BL213" t="inlineStr"/>
      <c r="BM213" t="inlineStr"/>
      <c r="BN213" t="inlineStr"/>
      <c r="BO213" t="inlineStr"/>
      <c r="BP213" t="inlineStr"/>
      <c r="BQ213" t="inlineStr">
        <is>
          <t>949</t>
        </is>
      </c>
      <c r="BR213" t="inlineStr">
        <is>
          <t>Master's Degree in Systemic Risk (949)</t>
        </is>
      </c>
      <c r="BS213" t="inlineStr"/>
      <c r="BT213" t="inlineStr"/>
      <c r="BU213" t="inlineStr"/>
      <c r="BV213" t="inlineStr"/>
      <c r="BW213" t="inlineStr"/>
      <c r="BX213" t="inlineStr"/>
      <c r="BY213" t="inlineStr"/>
      <c r="BZ213" t="inlineStr"/>
      <c r="CA213" t="inlineStr"/>
      <c r="CB213" t="inlineStr"/>
      <c r="CC213" t="inlineStr"/>
      <c r="CD213" t="inlineStr"/>
      <c r="CE213" t="inlineStr"/>
      <c r="CF213" t="inlineStr"/>
      <c r="CG213" t="inlineStr"/>
      <c r="CH213" t="inlineStr"/>
      <c r="CI213" t="inlineStr"/>
      <c r="CJ213" t="inlineStr"/>
      <c r="CK213" t="inlineStr"/>
      <c r="CL213" t="inlineStr"/>
      <c r="CM213" t="inlineStr"/>
      <c r="CN213" t="inlineStr"/>
      <c r="CO213" t="inlineStr"/>
      <c r="CP213" t="inlineStr"/>
      <c r="CQ213" t="inlineStr"/>
      <c r="CR213" t="inlineStr"/>
      <c r="CS213" t="inlineStr"/>
      <c r="CT213" t="inlineStr"/>
      <c r="CU213" t="inlineStr"/>
      <c r="CV213" t="inlineStr"/>
      <c r="CW213" t="inlineStr"/>
      <c r="CX213" t="inlineStr"/>
      <c r="CY213" t="inlineStr"/>
      <c r="CZ213" t="inlineStr"/>
      <c r="DA213" t="inlineStr"/>
      <c r="DB213" t="inlineStr"/>
      <c r="DC213" t="inlineStr"/>
      <c r="DD213" t="inlineStr"/>
      <c r="DE213" t="inlineStr"/>
      <c r="DF213" t="inlineStr"/>
      <c r="DG213" t="inlineStr"/>
      <c r="DH213" t="inlineStr"/>
      <c r="DI213" t="inlineStr"/>
      <c r="DJ213" t="inlineStr"/>
      <c r="DK213" t="inlineStr"/>
      <c r="DL213" t="inlineStr"/>
      <c r="DM213" t="inlineStr"/>
      <c r="DN213" t="inlineStr"/>
      <c r="DO213" t="inlineStr"/>
      <c r="DP213" t="inlineStr"/>
      <c r="DQ213" t="inlineStr"/>
      <c r="DR213" t="inlineStr"/>
      <c r="DS213" t="inlineStr"/>
      <c r="DT213" t="inlineStr"/>
      <c r="DU213" t="inlineStr"/>
      <c r="DV213" t="inlineStr"/>
      <c r="DW213" t="inlineStr"/>
      <c r="DX213" t="inlineStr"/>
      <c r="DY213" t="inlineStr"/>
      <c r="DZ213" t="inlineStr"/>
      <c r="EA213" t="inlineStr"/>
      <c r="EB213" t="inlineStr"/>
      <c r="EC213" t="inlineStr"/>
      <c r="ED213" t="inlineStr"/>
      <c r="EE213" t="inlineStr"/>
      <c r="EF213" t="inlineStr"/>
      <c r="EG213" t="inlineStr"/>
      <c r="EH213" t="inlineStr"/>
      <c r="EI213" t="inlineStr"/>
      <c r="EJ213" t="inlineStr"/>
      <c r="EK213" t="inlineStr"/>
      <c r="EL213" t="inlineStr"/>
      <c r="EM213" t="inlineStr"/>
      <c r="EN213" t="inlineStr"/>
      <c r="EO213" t="inlineStr"/>
      <c r="EP213" t="inlineStr"/>
      <c r="EQ213" t="inlineStr"/>
      <c r="ER213" t="inlineStr"/>
      <c r="ES213" t="inlineStr"/>
      <c r="ET213" t="inlineStr"/>
      <c r="EU213" t="inlineStr"/>
      <c r="EV213" t="inlineStr"/>
      <c r="EW213" t="inlineStr"/>
      <c r="EX213" t="inlineStr"/>
      <c r="EY213" t="inlineStr"/>
      <c r="EZ213" t="inlineStr"/>
      <c r="FA213" t="inlineStr"/>
      <c r="FB213" t="inlineStr"/>
      <c r="FC213" t="inlineStr"/>
      <c r="FD213" t="inlineStr"/>
      <c r="FE213" t="inlineStr"/>
      <c r="FF213" t="inlineStr"/>
      <c r="FG213" t="inlineStr"/>
      <c r="FH213" t="inlineStr"/>
      <c r="FI213" t="inlineStr"/>
      <c r="FJ213" t="inlineStr"/>
      <c r="FK213" t="inlineStr"/>
      <c r="FL213" t="inlineStr"/>
      <c r="FM213" t="inlineStr"/>
      <c r="FN213" t="inlineStr"/>
      <c r="FO213" t="inlineStr"/>
      <c r="FP213" t="inlineStr"/>
      <c r="FQ213" t="inlineStr"/>
      <c r="FR213" t="inlineStr"/>
      <c r="FS213" t="inlineStr"/>
      <c r="FT213" t="inlineStr"/>
      <c r="FU213" t="inlineStr"/>
      <c r="FV213" t="inlineStr"/>
      <c r="FW213" t="inlineStr"/>
      <c r="FX213" t="inlineStr"/>
      <c r="FY213" t="inlineStr"/>
      <c r="FZ213" t="inlineStr"/>
      <c r="GA213" t="inlineStr"/>
      <c r="GB213" t="inlineStr"/>
      <c r="GC213" t="inlineStr"/>
      <c r="GD213" t="inlineStr"/>
      <c r="GE213" t="inlineStr"/>
      <c r="GF213" t="inlineStr"/>
      <c r="GG213" t="inlineStr"/>
      <c r="GH213" t="inlineStr"/>
      <c r="GI213" t="inlineStr"/>
      <c r="GJ213" t="inlineStr"/>
      <c r="GK213" t="inlineStr"/>
      <c r="GL213" t="inlineStr"/>
      <c r="GM213" t="inlineStr"/>
      <c r="GN213" t="inlineStr"/>
      <c r="GO213" t="inlineStr"/>
      <c r="GP213" t="inlineStr"/>
      <c r="GQ213" t="inlineStr"/>
      <c r="GR213" t="inlineStr"/>
      <c r="GS213" t="inlineStr"/>
      <c r="GT213" t="inlineStr"/>
      <c r="GU213" t="inlineStr"/>
      <c r="GV213" t="inlineStr"/>
      <c r="GW213" t="inlineStr"/>
      <c r="GX213" t="inlineStr"/>
      <c r="GY213" t="inlineStr"/>
      <c r="GZ213" t="inlineStr"/>
      <c r="HA213" t="inlineStr"/>
      <c r="HB213" t="inlineStr"/>
      <c r="HC213" t="inlineStr"/>
      <c r="HD213" t="inlineStr"/>
      <c r="HE213" t="inlineStr"/>
      <c r="HF213" t="inlineStr"/>
      <c r="HG213" t="inlineStr"/>
      <c r="HH213" t="inlineStr"/>
      <c r="HI213" t="inlineStr"/>
      <c r="HJ213" t="inlineStr"/>
      <c r="HK213" t="inlineStr"/>
      <c r="HL213" t="inlineStr"/>
      <c r="HM213" t="inlineStr"/>
      <c r="HN213" t="inlineStr"/>
      <c r="HO213" t="inlineStr"/>
      <c r="HP213" t="inlineStr"/>
      <c r="HQ213" t="inlineStr"/>
      <c r="HR213" t="inlineStr"/>
      <c r="HS213" t="inlineStr"/>
      <c r="HT213" t="inlineStr"/>
      <c r="HU213" t="inlineStr"/>
      <c r="HV213" t="inlineStr"/>
      <c r="HW213" t="inlineStr"/>
      <c r="HX213" t="inlineStr"/>
      <c r="HY213" t="inlineStr"/>
      <c r="HZ213" t="inlineStr"/>
      <c r="IA213" t="inlineStr"/>
      <c r="IB213" t="inlineStr"/>
      <c r="IC213" t="inlineStr"/>
      <c r="ID213" t="inlineStr"/>
      <c r="IE213" t="inlineStr">
        <is>
          <t>974</t>
        </is>
      </c>
      <c r="IF213" t="inlineStr">
        <is>
          <t>Blog (974)</t>
        </is>
      </c>
      <c r="IG213" t="inlineStr"/>
      <c r="IH213" t="inlineStr"/>
      <c r="II213" t="inlineStr"/>
      <c r="IJ213" t="inlineStr"/>
      <c r="IK213" t="inlineStr"/>
      <c r="IL213" t="inlineStr"/>
      <c r="IM213" t="inlineStr"/>
      <c r="IN213" t="inlineStr"/>
      <c r="IO213" t="inlineStr"/>
      <c r="IP213" t="inlineStr"/>
      <c r="IQ213" t="inlineStr"/>
      <c r="IR213" t="inlineStr"/>
      <c r="IS213">
        <f>IF(input_content_type="",FALSE,ISNUMBER(SEARCH(","&amp;LOWER(input_content_type)&amp;",",","&amp;LOWER(F213)&amp;",")))</f>
        <v/>
      </c>
      <c r="IT213">
        <f>AND(IF(M213="",TRUE,IF(input_affiliations="",FALSE,SUMPRODUCT(--ISNUMBER(SEARCH(","&amp;TRIM(TEXTSPLIT(M213,","))&amp;",",","&amp;SUBSTITUTE(input_affiliations," ","")&amp;",")))&gt;0)),IF(O213="",TRUE,IF(input_affiliations="",FALSE,SUMPRODUCT(--ISNUMBER(SEARCH(","&amp;TRIM(TEXTSPLIT(O213,","))&amp;",",","&amp;SUBSTITUTE(input_affiliations," ","")&amp;",")))=COUNTA(TEXTSPLIT(O213,",")))),IF(Q213="",TRUE,IF(input_affiliations="",TRUE,SUMPRODUCT(--ISNUMBER(SEARCH(","&amp;TRIM(TEXTSPLIT(Q213,","))&amp;",",","&amp;SUBSTITUTE(input_affiliations," ","")&amp;",")))=0)),IF(S213="",TRUE,IF(input_affiliations="",FALSE,SUMPRODUCT(--ISNUMBER(SEARCH(","&amp;TRIM(TEXTSPLIT(S213,","))&amp;",",","&amp;SUBSTITUTE(input_affiliations," ","")&amp;",")))&gt;0)),IF(U213="",TRUE,IF(input_affiliations="",FALSE,SUMPRODUCT(--ISNUMBER(SEARCH(","&amp;TRIM(TEXTSPLIT(U213,","))&amp;",",","&amp;SUBSTITUTE(input_affiliations," ","")&amp;",")))=COUNTA(TEXTSPLIT(U213,",")))))</f>
        <v/>
      </c>
      <c r="IU213">
        <f>AND(IF(W213="",TRUE,IF(input_announcement_category="",FALSE,SUMPRODUCT(--ISNUMBER(SEARCH(","&amp;TRIM(TEXTSPLIT(W213,","))&amp;",",","&amp;SUBSTITUTE(input_announcement_category," ","")&amp;",")))&gt;0)),IF(Y213="",TRUE,IF(input_announcement_category="",FALSE,SUMPRODUCT(--ISNUMBER(SEARCH(","&amp;TRIM(TEXTSPLIT(Y213,","))&amp;",",","&amp;SUBSTITUTE(input_announcement_category," ","")&amp;",")))=COUNTA(TEXTSPLIT(Y213,",")))),IF(AA213="",TRUE,IF(input_announcement_category="",TRUE,SUMPRODUCT(--ISNUMBER(SEARCH(","&amp;TRIM(TEXTSPLIT(AA213,","))&amp;",",","&amp;SUBSTITUTE(input_announcement_category," ","")&amp;",")))=0)),IF(AC213="",TRUE,IF(input_announcement_category="",FALSE,SUMPRODUCT(--ISNUMBER(SEARCH(","&amp;TRIM(TEXTSPLIT(AC213,","))&amp;",",","&amp;SUBSTITUTE(input_announcement_category," ","")&amp;",")))&gt;0)),IF(AE213="",TRUE,IF(input_announcement_category="",FALSE,SUMPRODUCT(--ISNUMBER(SEARCH(","&amp;TRIM(TEXTSPLIT(AE213,","))&amp;",",","&amp;SUBSTITUTE(input_announcement_category," ","")&amp;",")))=COUNTA(TEXTSPLIT(AE213,",")))))</f>
        <v/>
      </c>
      <c r="IV213">
        <f>AND(IF(AG213="",TRUE,IF(input_area_of_focus="",FALSE,SUMPRODUCT(--ISNUMBER(SEARCH(","&amp;TRIM(TEXTSPLIT(AG213,","))&amp;",",","&amp;SUBSTITUTE(input_area_of_focus," ","")&amp;",")))&gt;0)),IF(AI213="",TRUE,IF(input_area_of_focus="",FALSE,SUMPRODUCT(--ISNUMBER(SEARCH(","&amp;TRIM(TEXTSPLIT(AI213,","))&amp;",",","&amp;SUBSTITUTE(input_area_of_focus," ","")&amp;",")))=COUNTA(TEXTSPLIT(AI213,",")))),IF(AK213="",TRUE,IF(input_area_of_focus="",TRUE,SUMPRODUCT(--ISNUMBER(SEARCH(","&amp;TRIM(TEXTSPLIT(AK213,","))&amp;",",","&amp;SUBSTITUTE(input_area_of_focus," ","")&amp;",")))=0)),IF(AM213="",TRUE,IF(input_area_of_focus="",FALSE,SUMPRODUCT(--ISNUMBER(SEARCH(","&amp;TRIM(TEXTSPLIT(AM213,","))&amp;",",","&amp;SUBSTITUTE(input_area_of_focus," ","")&amp;",")))&gt;0)),IF(AO213="",TRUE,IF(input_area_of_focus="",FALSE,SUMPRODUCT(--ISNUMBER(SEARCH(","&amp;TRIM(TEXTSPLIT(AO213,","))&amp;",",","&amp;SUBSTITUTE(input_area_of_focus," ","")&amp;",")))=COUNTA(TEXTSPLIT(AO213,",")))))</f>
        <v/>
      </c>
      <c r="IW213">
        <f>AND(IF(AQ213="",TRUE,IF(input_audience="",FALSE,SUMPRODUCT(--ISNUMBER(SEARCH(","&amp;TRIM(TEXTSPLIT(AQ213,","))&amp;",",","&amp;SUBSTITUTE(input_audience," ","")&amp;",")))&gt;0)),IF(AS213="",TRUE,IF(input_audience="",FALSE,SUMPRODUCT(--ISNUMBER(SEARCH(","&amp;TRIM(TEXTSPLIT(AS213,","))&amp;",",","&amp;SUBSTITUTE(input_audience," ","")&amp;",")))=COUNTA(TEXTSPLIT(AS213,",")))),IF(AU213="",TRUE,IF(input_audience="",TRUE,SUMPRODUCT(--ISNUMBER(SEARCH(","&amp;TRIM(TEXTSPLIT(AU213,","))&amp;",",","&amp;SUBSTITUTE(input_audience," ","")&amp;",")))=0)),IF(AW213="",TRUE,IF(input_audience="",FALSE,SUMPRODUCT(--ISNUMBER(SEARCH(","&amp;TRIM(TEXTSPLIT(AW213,","))&amp;",",","&amp;SUBSTITUTE(input_audience," ","")&amp;",")))&gt;0)),IF(AY213="",TRUE,IF(input_audience="",FALSE,SUMPRODUCT(--ISNUMBER(SEARCH(","&amp;TRIM(TEXTSPLIT(AY213,","))&amp;",",","&amp;SUBSTITUTE(input_audience," ","")&amp;",")))=COUNTA(TEXTSPLIT(AY213,",")))))</f>
        <v/>
      </c>
      <c r="IX213">
        <f>AND(IF(BA213="",TRUE,IF(input_challenge_opportunities="",FALSE,SUMPRODUCT(--ISNUMBER(SEARCH(","&amp;TRIM(TEXTSPLIT(BA213,","))&amp;",",","&amp;SUBSTITUTE(input_challenge_opportunities," ","")&amp;",")))&gt;0)),IF(BC213="",TRUE,IF(input_challenge_opportunities="",FALSE,SUMPRODUCT(--ISNUMBER(SEARCH(","&amp;TRIM(TEXTSPLIT(BC213,","))&amp;",",","&amp;SUBSTITUTE(input_challenge_opportunities," ","")&amp;",")))=COUNTA(TEXTSPLIT(BC213,",")))),IF(BE213="",TRUE,IF(input_challenge_opportunities="",TRUE,SUMPRODUCT(--ISNUMBER(SEARCH(","&amp;TRIM(TEXTSPLIT(BE213,","))&amp;",",","&amp;SUBSTITUTE(input_challenge_opportunities," ","")&amp;",")))=0)),IF(BG213="",TRUE,IF(input_challenge_opportunities="",FALSE,SUMPRODUCT(--ISNUMBER(SEARCH(","&amp;TRIM(TEXTSPLIT(BG213,","))&amp;",",","&amp;SUBSTITUTE(input_challenge_opportunities," ","")&amp;",")))&gt;0)),IF(BI213="",TRUE,IF(input_challenge_opportunities="",FALSE,SUMPRODUCT(--ISNUMBER(SEARCH(","&amp;TRIM(TEXTSPLIT(BI213,","))&amp;",",","&amp;SUBSTITUTE(input_challenge_opportunities," ","")&amp;",")))=COUNTA(TEXTSPLIT(BI213,",")))))</f>
        <v/>
      </c>
      <c r="IY213">
        <f>AND(IF(BK213="",TRUE,IF(input_context="",FALSE,SUMPRODUCT(--ISNUMBER(SEARCH(","&amp;TRIM(TEXTSPLIT(BK213,","))&amp;",",","&amp;SUBSTITUTE(input_context," ","")&amp;",")))&gt;0)),IF(BM213="",TRUE,IF(input_context="",FALSE,SUMPRODUCT(--ISNUMBER(SEARCH(","&amp;TRIM(TEXTSPLIT(BM213,","))&amp;",",","&amp;SUBSTITUTE(input_context," ","")&amp;",")))=COUNTA(TEXTSPLIT(BM213,",")))),IF(BO213="",TRUE,IF(input_context="",TRUE,SUMPRODUCT(--ISNUMBER(SEARCH(","&amp;TRIM(TEXTSPLIT(BO213,","))&amp;",",","&amp;SUBSTITUTE(input_context," ","")&amp;",")))=0)),IF(BQ213="",TRUE,IF(input_context="",FALSE,SUMPRODUCT(--ISNUMBER(SEARCH(","&amp;TRIM(TEXTSPLIT(BQ213,","))&amp;",",","&amp;SUBSTITUTE(input_context," ","")&amp;",")))&gt;0)),IF(BS213="",TRUE,IF(input_context="",FALSE,SUMPRODUCT(--ISNUMBER(SEARCH(","&amp;TRIM(TEXTSPLIT(BS213,","))&amp;",",","&amp;SUBSTITUTE(input_context," ","")&amp;",")))=COUNTA(TEXTSPLIT(BS213,",")))))</f>
        <v/>
      </c>
      <c r="IZ213">
        <f>AND(IF(BU213="",TRUE,IF(input_enews_announcement_type="",FALSE,SUMPRODUCT(--ISNUMBER(SEARCH(","&amp;TRIM(TEXTSPLIT(BU213,","))&amp;",",","&amp;SUBSTITUTE(input_enews_announcement_type," ","")&amp;",")))&gt;0)),IF(BW213="",TRUE,IF(input_enews_announcement_type="",FALSE,SUMPRODUCT(--ISNUMBER(SEARCH(","&amp;TRIM(TEXTSPLIT(BW213,","))&amp;",",","&amp;SUBSTITUTE(input_enews_announcement_type," ","")&amp;",")))=COUNTA(TEXTSPLIT(BW213,",")))),IF(BY213="",TRUE,IF(input_enews_announcement_type="",TRUE,SUMPRODUCT(--ISNUMBER(SEARCH(","&amp;TRIM(TEXTSPLIT(BY213,","))&amp;",",","&amp;SUBSTITUTE(input_enews_announcement_type," ","")&amp;",")))=0)),IF(CA213="",TRUE,IF(input_enews_announcement_type="",FALSE,SUMPRODUCT(--ISNUMBER(SEARCH(","&amp;TRIM(TEXTSPLIT(CA213,","))&amp;",",","&amp;SUBSTITUTE(input_enews_announcement_type," ","")&amp;",")))&gt;0)),IF(CC213="",TRUE,IF(input_enews_announcement_type="",FALSE,SUMPRODUCT(--ISNUMBER(SEARCH(","&amp;TRIM(TEXTSPLIT(CC213,","))&amp;",",","&amp;SUBSTITUTE(input_enews_announcement_type," ","")&amp;",")))=COUNTA(TEXTSPLIT(CC213,",")))))</f>
        <v/>
      </c>
      <c r="JA213">
        <f>AND(IF(CE213="",TRUE,IF(input_enews_audience="",FALSE,SUMPRODUCT(--ISNUMBER(SEARCH(","&amp;TRIM(TEXTSPLIT(CE213,","))&amp;",",","&amp;SUBSTITUTE(input_enews_audience," ","")&amp;",")))&gt;0)),IF(CG213="",TRUE,IF(input_enews_audience="",FALSE,SUMPRODUCT(--ISNUMBER(SEARCH(","&amp;TRIM(TEXTSPLIT(CG213,","))&amp;",",","&amp;SUBSTITUTE(input_enews_audience," ","")&amp;",")))=COUNTA(TEXTSPLIT(CG213,",")))),IF(CI213="",TRUE,IF(input_enews_audience="",TRUE,SUMPRODUCT(--ISNUMBER(SEARCH(","&amp;TRIM(TEXTSPLIT(CI213,","))&amp;",",","&amp;SUBSTITUTE(input_enews_audience," ","")&amp;",")))=0)),IF(CK213="",TRUE,IF(input_enews_audience="",FALSE,SUMPRODUCT(--ISNUMBER(SEARCH(","&amp;TRIM(TEXTSPLIT(CK213,","))&amp;",",","&amp;SUBSTITUTE(input_enews_audience," ","")&amp;",")))&gt;0)),IF(CM213="",TRUE,IF(input_enews_audience="",FALSE,SUMPRODUCT(--ISNUMBER(SEARCH(","&amp;TRIM(TEXTSPLIT(CM213,","))&amp;",",","&amp;SUBSTITUTE(input_enews_audience," ","")&amp;",")))=COUNTA(TEXTSPLIT(CM213,",")))))</f>
        <v/>
      </c>
      <c r="JB213">
        <f>AND(IF(CO213="",TRUE,IF(input_event_location="",FALSE,SUMPRODUCT(--ISNUMBER(SEARCH(","&amp;TRIM(TEXTSPLIT(CO213,","))&amp;",",","&amp;SUBSTITUTE(input_event_location," ","")&amp;",")))&gt;0)),IF(CQ213="",TRUE,IF(input_event_location="",FALSE,SUMPRODUCT(--ISNUMBER(SEARCH(","&amp;TRIM(TEXTSPLIT(CQ213,","))&amp;",",","&amp;SUBSTITUTE(input_event_location," ","")&amp;",")))=COUNTA(TEXTSPLIT(CQ213,",")))),IF(CS213="",TRUE,IF(input_event_location="",TRUE,SUMPRODUCT(--ISNUMBER(SEARCH(","&amp;TRIM(TEXTSPLIT(CS213,","))&amp;",",","&amp;SUBSTITUTE(input_event_location," ","")&amp;",")))=0)),IF(CU213="",TRUE,IF(input_event_location="",FALSE,SUMPRODUCT(--ISNUMBER(SEARCH(","&amp;TRIM(TEXTSPLIT(CU213,","))&amp;",",","&amp;SUBSTITUTE(input_event_location," ","")&amp;",")))&gt;0)),IF(CW213="",TRUE,IF(input_event_location="",FALSE,SUMPRODUCT(--ISNUMBER(SEARCH(","&amp;TRIM(TEXTSPLIT(CW213,","))&amp;",",","&amp;SUBSTITUTE(input_event_location," ","")&amp;",")))=COUNTA(TEXTSPLIT(CW213,",")))))</f>
        <v/>
      </c>
      <c r="JC213">
        <f>AND(IF(CY213="",TRUE,IF(input_event_type="",FALSE,SUMPRODUCT(--ISNUMBER(SEARCH(","&amp;TRIM(TEXTSPLIT(CY213,","))&amp;",",","&amp;SUBSTITUTE(input_event_type," ","")&amp;",")))&gt;0)),IF(DA213="",TRUE,IF(input_event_type="",FALSE,SUMPRODUCT(--ISNUMBER(SEARCH(","&amp;TRIM(TEXTSPLIT(DA213,","))&amp;",",","&amp;SUBSTITUTE(input_event_type," ","")&amp;",")))=COUNTA(TEXTSPLIT(DA213,",")))),IF(DC213="",TRUE,IF(input_event_type="",TRUE,SUMPRODUCT(--ISNUMBER(SEARCH(","&amp;TRIM(TEXTSPLIT(DC213,","))&amp;",",","&amp;SUBSTITUTE(input_event_type," ","")&amp;",")))=0)),IF(DE213="",TRUE,IF(input_event_type="",FALSE,SUMPRODUCT(--ISNUMBER(SEARCH(","&amp;TRIM(TEXTSPLIT(DE213,","))&amp;",",","&amp;SUBSTITUTE(input_event_type," ","")&amp;",")))&gt;0)),IF(DG213="",TRUE,IF(input_event_type="",FALSE,SUMPRODUCT(--ISNUMBER(SEARCH(","&amp;TRIM(TEXTSPLIT(DG213,","))&amp;",",","&amp;SUBSTITUTE(input_event_type," ","")&amp;",")))=COUNTA(TEXTSPLIT(DG213,",")))))</f>
        <v/>
      </c>
      <c r="JD213">
        <f>AND(IF(DI213="",TRUE,IF(input_executive_education_focus="",FALSE,SUMPRODUCT(--ISNUMBER(SEARCH(","&amp;TRIM(TEXTSPLIT(DI213,","))&amp;",",","&amp;SUBSTITUTE(input_executive_education_focus," ","")&amp;",")))&gt;0)),IF(DK213="",TRUE,IF(input_executive_education_focus="",FALSE,SUMPRODUCT(--ISNUMBER(SEARCH(","&amp;TRIM(TEXTSPLIT(DK213,","))&amp;",",","&amp;SUBSTITUTE(input_executive_education_focus," ","")&amp;",")))=COUNTA(TEXTSPLIT(DK213,",")))),IF(DM213="",TRUE,IF(input_executive_education_focus="",TRUE,SUMPRODUCT(--ISNUMBER(SEARCH(","&amp;TRIM(TEXTSPLIT(DM213,","))&amp;",",","&amp;SUBSTITUTE(input_executive_education_focus," ","")&amp;",")))=0)),IF(DO213="",TRUE,IF(input_executive_education_focus="",FALSE,SUMPRODUCT(--ISNUMBER(SEARCH(","&amp;TRIM(TEXTSPLIT(DO213,","))&amp;",",","&amp;SUBSTITUTE(input_executive_education_focus," ","")&amp;",")))&gt;0)),IF(DQ213="",TRUE,IF(input_executive_education_focus="",FALSE,SUMPRODUCT(--ISNUMBER(SEARCH(","&amp;TRIM(TEXTSPLIT(DQ213,","))&amp;",",","&amp;SUBSTITUTE(input_executive_education_focus," ","")&amp;",")))=COUNTA(TEXTSPLIT(DQ213,",")))))</f>
        <v/>
      </c>
      <c r="JE213">
        <f>AND(IF(DS213="",TRUE,IF(input_faculty_category="",FALSE,SUMPRODUCT(--ISNUMBER(SEARCH(","&amp;TRIM(TEXTSPLIT(DS213,","))&amp;",",","&amp;SUBSTITUTE(input_faculty_category," ","")&amp;",")))&gt;0)),IF(DU213="",TRUE,IF(input_faculty_category="",FALSE,SUMPRODUCT(--ISNUMBER(SEARCH(","&amp;TRIM(TEXTSPLIT(DU213,","))&amp;",",","&amp;SUBSTITUTE(input_faculty_category," ","")&amp;",")))=COUNTA(TEXTSPLIT(DU213,",")))),IF(DW213="",TRUE,IF(input_faculty_category="",TRUE,SUMPRODUCT(--ISNUMBER(SEARCH(","&amp;TRIM(TEXTSPLIT(DW213,","))&amp;",",","&amp;SUBSTITUTE(input_faculty_category," ","")&amp;",")))=0)),IF(DY213="",TRUE,IF(input_faculty_category="",FALSE,SUMPRODUCT(--ISNUMBER(SEARCH(","&amp;TRIM(TEXTSPLIT(DY213,","))&amp;",",","&amp;SUBSTITUTE(input_faculty_category," ","")&amp;",")))&gt;0)),IF(EA213="",TRUE,IF(input_faculty_category="",FALSE,SUMPRODUCT(--ISNUMBER(SEARCH(","&amp;TRIM(TEXTSPLIT(EA213,","))&amp;",",","&amp;SUBSTITUTE(input_faculty_category," ","")&amp;",")))=COUNTA(TEXTSPLIT(EA213,",")))))</f>
        <v/>
      </c>
      <c r="JF213">
        <f>AND(IF(EC213="",TRUE,IF(input_faculty_discipline="",FALSE,SUMPRODUCT(--ISNUMBER(SEARCH(","&amp;TRIM(TEXTSPLIT(EC213,","))&amp;",",","&amp;SUBSTITUTE(input_faculty_discipline," ","")&amp;",")))&gt;0)),IF(EE213="",TRUE,IF(input_faculty_discipline="",FALSE,SUMPRODUCT(--ISNUMBER(SEARCH(","&amp;TRIM(TEXTSPLIT(EE213,","))&amp;",",","&amp;SUBSTITUTE(input_faculty_discipline," ","")&amp;",")))=COUNTA(TEXTSPLIT(EE213,",")))),IF(EG213="",TRUE,IF(input_faculty_discipline="",TRUE,SUMPRODUCT(--ISNUMBER(SEARCH(","&amp;TRIM(TEXTSPLIT(EG213,","))&amp;",",","&amp;SUBSTITUTE(input_faculty_discipline," ","")&amp;",")))=0)),IF(EI213="",TRUE,IF(input_faculty_discipline="",FALSE,SUMPRODUCT(--ISNUMBER(SEARCH(","&amp;TRIM(TEXTSPLIT(EI213,","))&amp;",",","&amp;SUBSTITUTE(input_faculty_discipline," ","")&amp;",")))&gt;0)),IF(EK213="",TRUE,IF(input_faculty_discipline="",FALSE,SUMPRODUCT(--ISNUMBER(SEARCH(","&amp;TRIM(TEXTSPLIT(EK213,","))&amp;",",","&amp;SUBSTITUTE(input_faculty_discipline," ","")&amp;",")))=COUNTA(TEXTSPLIT(EK213,",")))))</f>
        <v/>
      </c>
      <c r="JG213">
        <f>AND(IF(EM213="",TRUE,IF(input_faculty_expertise="",FALSE,SUMPRODUCT(--ISNUMBER(SEARCH(","&amp;TRIM(TEXTSPLIT(EM213,","))&amp;",",","&amp;SUBSTITUTE(input_faculty_expertise," ","")&amp;",")))&gt;0)),IF(EO213="",TRUE,IF(input_faculty_expertise="",FALSE,SUMPRODUCT(--ISNUMBER(SEARCH(","&amp;TRIM(TEXTSPLIT(EO213,","))&amp;",",","&amp;SUBSTITUTE(input_faculty_expertise," ","")&amp;",")))=COUNTA(TEXTSPLIT(EO213,",")))),IF(EQ213="",TRUE,IF(input_faculty_expertise="",TRUE,SUMPRODUCT(--ISNUMBER(SEARCH(","&amp;TRIM(TEXTSPLIT(EQ213,","))&amp;",",","&amp;SUBSTITUTE(input_faculty_expertise," ","")&amp;",")))=0)),IF(ES213="",TRUE,IF(input_faculty_expertise="",FALSE,SUMPRODUCT(--ISNUMBER(SEARCH(","&amp;TRIM(TEXTSPLIT(ES213,","))&amp;",",","&amp;SUBSTITUTE(input_faculty_expertise," ","")&amp;",")))&gt;0)),IF(EU213="",TRUE,IF(input_faculty_expertise="",FALSE,SUMPRODUCT(--ISNUMBER(SEARCH(","&amp;TRIM(TEXTSPLIT(EU213,","))&amp;",",","&amp;SUBSTITUTE(input_faculty_expertise," ","")&amp;",")))=COUNTA(TEXTSPLIT(EU213,",")))))</f>
        <v/>
      </c>
      <c r="JH213">
        <f>AND(IF(EW213="",TRUE,IF(input_global_network_school="",FALSE,SUMPRODUCT(--ISNUMBER(SEARCH(","&amp;TRIM(TEXTSPLIT(EW213,","))&amp;",",","&amp;SUBSTITUTE(input_global_network_school," ","")&amp;",")))&gt;0)),IF(EY213="",TRUE,IF(input_global_network_school="",FALSE,SUMPRODUCT(--ISNUMBER(SEARCH(","&amp;TRIM(TEXTSPLIT(EY213,","))&amp;",",","&amp;SUBSTITUTE(input_global_network_school," ","")&amp;",")))=COUNTA(TEXTSPLIT(EY213,",")))),IF(FA213="",TRUE,IF(input_global_network_school="",TRUE,SUMPRODUCT(--ISNUMBER(SEARCH(","&amp;TRIM(TEXTSPLIT(FA213,","))&amp;",",","&amp;SUBSTITUTE(input_global_network_school," ","")&amp;",")))=0)),IF(FC213="",TRUE,IF(input_global_network_school="",FALSE,SUMPRODUCT(--ISNUMBER(SEARCH(","&amp;TRIM(TEXTSPLIT(FC213,","))&amp;",",","&amp;SUBSTITUTE(input_global_network_school," ","")&amp;",")))&gt;0)),IF(FE213="",TRUE,IF(input_global_network_school="",FALSE,SUMPRODUCT(--ISNUMBER(SEARCH(","&amp;TRIM(TEXTSPLIT(FE213,","))&amp;",",","&amp;SUBSTITUTE(input_global_network_school," ","")&amp;",")))=COUNTA(TEXTSPLIT(FE213,",")))))</f>
        <v/>
      </c>
      <c r="JI213">
        <f>AND(IF(FG213="",TRUE,IF(input_industry="",FALSE,SUMPRODUCT(--ISNUMBER(SEARCH(","&amp;TRIM(TEXTSPLIT(FG213,","))&amp;",",","&amp;SUBSTITUTE(input_industry," ","")&amp;",")))&gt;0)),IF(FI213="",TRUE,IF(input_industry="",FALSE,SUMPRODUCT(--ISNUMBER(SEARCH(","&amp;TRIM(TEXTSPLIT(FI213,","))&amp;",",","&amp;SUBSTITUTE(input_industry," ","")&amp;",")))=COUNTA(TEXTSPLIT(FI213,",")))),IF(FK213="",TRUE,IF(input_industry="",TRUE,SUMPRODUCT(--ISNUMBER(SEARCH(","&amp;TRIM(TEXTSPLIT(FK213,","))&amp;",",","&amp;SUBSTITUTE(input_industry," ","")&amp;",")))=0)),IF(FM213="",TRUE,IF(input_industry="",FALSE,SUMPRODUCT(--ISNUMBER(SEARCH(","&amp;TRIM(TEXTSPLIT(FM213,","))&amp;",",","&amp;SUBSTITUTE(input_industry," ","")&amp;",")))&gt;0)),IF(FO213="",TRUE,IF(input_industry="",FALSE,SUMPRODUCT(--ISNUMBER(SEARCH(","&amp;TRIM(TEXTSPLIT(FO213,","))&amp;",",","&amp;SUBSTITUTE(input_industry," ","")&amp;",")))=COUNTA(TEXTSPLIT(FO213,",")))))</f>
        <v/>
      </c>
      <c r="JJ213">
        <f>AND(IF(FQ213="",TRUE,IF(input_location="",FALSE,SUMPRODUCT(--ISNUMBER(SEARCH(","&amp;TRIM(TEXTSPLIT(FQ213,","))&amp;",",","&amp;SUBSTITUTE(input_location," ","")&amp;",")))&gt;0)),IF(FS213="",TRUE,IF(input_location="",FALSE,SUMPRODUCT(--ISNUMBER(SEARCH(","&amp;TRIM(TEXTSPLIT(FS213,","))&amp;",",","&amp;SUBSTITUTE(input_location," ","")&amp;",")))=COUNTA(TEXTSPLIT(FS213,",")))),IF(FU213="",TRUE,IF(input_location="",TRUE,SUMPRODUCT(--ISNUMBER(SEARCH(","&amp;TRIM(TEXTSPLIT(FU213,","))&amp;",",","&amp;SUBSTITUTE(input_location," ","")&amp;",")))=0)),IF(FW213="",TRUE,IF(input_location="",FALSE,SUMPRODUCT(--ISNUMBER(SEARCH(","&amp;TRIM(TEXTSPLIT(FW213,","))&amp;",",","&amp;SUBSTITUTE(input_location," ","")&amp;",")))&gt;0)),IF(FY213="",TRUE,IF(input_location="",FALSE,SUMPRODUCT(--ISNUMBER(SEARCH(","&amp;TRIM(TEXTSPLIT(FY213,","))&amp;",",","&amp;SUBSTITUTE(input_location," ","")&amp;",")))=COUNTA(TEXTSPLIT(FY213,",")))))</f>
        <v/>
      </c>
      <c r="JK213">
        <f>AND(IF(GA213="",TRUE,IF(input_modality="",FALSE,SUMPRODUCT(--ISNUMBER(SEARCH(","&amp;TRIM(TEXTSPLIT(GA213,","))&amp;",",","&amp;SUBSTITUTE(input_modality," ","")&amp;",")))&gt;0)),IF(GC213="",TRUE,IF(input_modality="",FALSE,SUMPRODUCT(--ISNUMBER(SEARCH(","&amp;TRIM(TEXTSPLIT(GC213,","))&amp;",",","&amp;SUBSTITUTE(input_modality," ","")&amp;",")))=COUNTA(TEXTSPLIT(GC213,",")))),IF(GE213="",TRUE,IF(input_modality="",TRUE,SUMPRODUCT(--ISNUMBER(SEARCH(","&amp;TRIM(TEXTSPLIT(GE213,","))&amp;",",","&amp;SUBSTITUTE(input_modality," ","")&amp;",")))=0)),IF(GG213="",TRUE,IF(input_modality="",FALSE,SUMPRODUCT(--ISNUMBER(SEARCH(","&amp;TRIM(TEXTSPLIT(GG213,","))&amp;",",","&amp;SUBSTITUTE(input_modality," ","")&amp;",")))&gt;0)),IF(GI213="",TRUE,IF(input_modality="",FALSE,SUMPRODUCT(--ISNUMBER(SEARCH(","&amp;TRIM(TEXTSPLIT(GI213,","))&amp;",",","&amp;SUBSTITUTE(input_modality," ","")&amp;",")))=COUNTA(TEXTSPLIT(GI213,",")))))</f>
        <v/>
      </c>
      <c r="JL213">
        <f>AND(IF(GK213="",TRUE,IF(input_organizer="",FALSE,SUMPRODUCT(--ISNUMBER(SEARCH(","&amp;TRIM(TEXTSPLIT(GK213,","))&amp;",",","&amp;SUBSTITUTE(input_organizer," ","")&amp;",")))&gt;0)),IF(GM213="",TRUE,IF(input_organizer="",FALSE,SUMPRODUCT(--ISNUMBER(SEARCH(","&amp;TRIM(TEXTSPLIT(GM213,","))&amp;",",","&amp;SUBSTITUTE(input_organizer," ","")&amp;",")))=COUNTA(TEXTSPLIT(GM213,",")))),IF(GO213="",TRUE,IF(input_organizer="",TRUE,SUMPRODUCT(--ISNUMBER(SEARCH(","&amp;TRIM(TEXTSPLIT(GO213,","))&amp;",",","&amp;SUBSTITUTE(input_organizer," ","")&amp;",")))=0)),IF(GQ213="",TRUE,IF(input_organizer="",FALSE,SUMPRODUCT(--ISNUMBER(SEARCH(","&amp;TRIM(TEXTSPLIT(GQ213,","))&amp;",",","&amp;SUBSTITUTE(input_organizer," ","")&amp;",")))&gt;0)),IF(GS213="",TRUE,IF(input_organizer="",FALSE,SUMPRODUCT(--ISNUMBER(SEARCH(","&amp;TRIM(TEXTSPLIT(GS213,","))&amp;",",","&amp;SUBSTITUTE(input_organizer," ","")&amp;",")))=COUNTA(TEXTSPLIT(GS213,",")))))</f>
        <v/>
      </c>
      <c r="JM213">
        <f>AND(IF(GU213="",TRUE,IF(input_profile_type="",FALSE,SUMPRODUCT(--ISNUMBER(SEARCH(","&amp;TRIM(TEXTSPLIT(GU213,","))&amp;",",","&amp;SUBSTITUTE(input_profile_type," ","")&amp;",")))&gt;0)),IF(GW213="",TRUE,IF(input_profile_type="",FALSE,SUMPRODUCT(--ISNUMBER(SEARCH(","&amp;TRIM(TEXTSPLIT(GW213,","))&amp;",",","&amp;SUBSTITUTE(input_profile_type," ","")&amp;",")))=COUNTA(TEXTSPLIT(GW213,",")))),IF(GY213="",TRUE,IF(input_profile_type="",TRUE,SUMPRODUCT(--ISNUMBER(SEARCH(","&amp;TRIM(TEXTSPLIT(GY213,","))&amp;",",","&amp;SUBSTITUTE(input_profile_type," ","")&amp;",")))=0)),IF(HA213="",TRUE,IF(input_profile_type="",FALSE,SUMPRODUCT(--ISNUMBER(SEARCH(","&amp;TRIM(TEXTSPLIT(HA213,","))&amp;",",","&amp;SUBSTITUTE(input_profile_type," ","")&amp;",")))&gt;0)),IF(HC213="",TRUE,IF(input_profile_type="",FALSE,SUMPRODUCT(--ISNUMBER(SEARCH(","&amp;TRIM(TEXTSPLIT(HC213,","))&amp;",",","&amp;SUBSTITUTE(input_profile_type," ","")&amp;",")))=COUNTA(TEXTSPLIT(HC213,",")))))</f>
        <v/>
      </c>
      <c r="JN213">
        <f>AND(IF(HE213="",TRUE,IF(input_program="",FALSE,SUMPRODUCT(--ISNUMBER(SEARCH(","&amp;TRIM(TEXTSPLIT(HE213,","))&amp;",",","&amp;SUBSTITUTE(input_program," ","")&amp;",")))&gt;0)),IF(HG213="",TRUE,IF(input_program="",FALSE,SUMPRODUCT(--ISNUMBER(SEARCH(","&amp;TRIM(TEXTSPLIT(HG213,","))&amp;",",","&amp;SUBSTITUTE(input_program," ","")&amp;",")))=COUNTA(TEXTSPLIT(HG213,",")))),IF(HI213="",TRUE,IF(input_program="",TRUE,SUMPRODUCT(--ISNUMBER(SEARCH(","&amp;TRIM(TEXTSPLIT(HI213,","))&amp;",",","&amp;SUBSTITUTE(input_program," ","")&amp;",")))=0)),IF(HK213="",TRUE,IF(input_program="",FALSE,SUMPRODUCT(--ISNUMBER(SEARCH(","&amp;TRIM(TEXTSPLIT(HK213,","))&amp;",",","&amp;SUBSTITUTE(input_program," ","")&amp;",")))&gt;0)),IF(HM213="",TRUE,IF(input_program="",FALSE,SUMPRODUCT(--ISNUMBER(SEARCH(","&amp;TRIM(TEXTSPLIT(HM213,","))&amp;",",","&amp;SUBSTITUTE(input_program," ","")&amp;",")))=COUNTA(TEXTSPLIT(HM213,",")))))</f>
        <v/>
      </c>
      <c r="JO213">
        <f>AND(IF(HO213="",TRUE,IF(input_story_categories="",FALSE,SUMPRODUCT(--ISNUMBER(SEARCH(","&amp;TRIM(TEXTSPLIT(HO213,","))&amp;",",","&amp;SUBSTITUTE(input_story_categories," ","")&amp;",")))&gt;0)),IF(HQ213="",TRUE,IF(input_story_categories="",FALSE,SUMPRODUCT(--ISNUMBER(SEARCH(","&amp;TRIM(TEXTSPLIT(HQ213,","))&amp;",",","&amp;SUBSTITUTE(input_story_categories," ","")&amp;",")))=COUNTA(TEXTSPLIT(HQ213,",")))),IF(HS213="",TRUE,IF(input_story_categories="",TRUE,SUMPRODUCT(--ISNUMBER(SEARCH(","&amp;TRIM(TEXTSPLIT(HS213,","))&amp;",",","&amp;SUBSTITUTE(input_story_categories," ","")&amp;",")))=0)),IF(HU213="",TRUE,IF(input_story_categories="",FALSE,SUMPRODUCT(--ISNUMBER(SEARCH(","&amp;TRIM(TEXTSPLIT(HU213,","))&amp;",",","&amp;SUBSTITUTE(input_story_categories," ","")&amp;",")))&gt;0)),IF(HW213="",TRUE,IF(input_story_categories="",FALSE,SUMPRODUCT(--ISNUMBER(SEARCH(","&amp;TRIM(TEXTSPLIT(HW213,","))&amp;",",","&amp;SUBSTITUTE(input_story_categories," ","")&amp;",")))=COUNTA(TEXTSPLIT(HW213,",")))))</f>
        <v/>
      </c>
      <c r="JP213">
        <f>AND(IF(HY213="",TRUE,IF(input_story_type="",FALSE,SUMPRODUCT(--ISNUMBER(SEARCH(","&amp;TRIM(TEXTSPLIT(HY213,","))&amp;",",","&amp;SUBSTITUTE(input_story_type," ","")&amp;",")))&gt;0)),IF(IA213="",TRUE,IF(input_story_type="",FALSE,SUMPRODUCT(--ISNUMBER(SEARCH(","&amp;TRIM(TEXTSPLIT(IA213,","))&amp;",",","&amp;SUBSTITUTE(input_story_type," ","")&amp;",")))=COUNTA(TEXTSPLIT(IA213,",")))),IF(IC213="",TRUE,IF(input_story_type="",TRUE,SUMPRODUCT(--ISNUMBER(SEARCH(","&amp;TRIM(TEXTSPLIT(IC213,","))&amp;",",","&amp;SUBSTITUTE(input_story_type," ","")&amp;",")))=0)),IF(IE213="",TRUE,IF(input_story_type="",FALSE,SUMPRODUCT(--ISNUMBER(SEARCH(","&amp;TRIM(TEXTSPLIT(IE213,","))&amp;",",","&amp;SUBSTITUTE(input_story_type," ","")&amp;",")))&gt;0)),IF(IG213="",TRUE,IF(input_story_type="",FALSE,SUMPRODUCT(--ISNUMBER(SEARCH(","&amp;TRIM(TEXTSPLIT(IG213,","))&amp;",",","&amp;SUBSTITUTE(input_story_type," ","")&amp;",")))=COUNTA(TEXTSPLIT(IG213,",")))))</f>
        <v/>
      </c>
      <c r="JQ213">
        <f>AND(IF(II213="",TRUE,IF(input_topics="",FALSE,SUMPRODUCT(--ISNUMBER(SEARCH(","&amp;TRIM(TEXTSPLIT(II213,","))&amp;",",","&amp;SUBSTITUTE(input_topics," ","")&amp;",")))&gt;0)),IF(IK213="",TRUE,IF(input_topics="",FALSE,SUMPRODUCT(--ISNUMBER(SEARCH(","&amp;TRIM(TEXTSPLIT(IK213,","))&amp;",",","&amp;SUBSTITUTE(input_topics," ","")&amp;",")))=COUNTA(TEXTSPLIT(IK213,",")))),IF(IM213="",TRUE,IF(input_topics="",TRUE,SUMPRODUCT(--ISNUMBER(SEARCH(","&amp;TRIM(TEXTSPLIT(IM213,","))&amp;",",","&amp;SUBSTITUTE(input_topics," ","")&amp;",")))=0)),IF(IO213="",TRUE,IF(input_topics="",FALSE,SUMPRODUCT(--ISNUMBER(SEARCH(","&amp;TRIM(TEXTSPLIT(IO213,","))&amp;",",","&amp;SUBSTITUTE(input_topics," ","")&amp;",")))&gt;0)),IF(IQ213="",TRUE,IF(input_topics="",FALSE,SUMPRODUCT(--ISNUMBER(SEARCH(","&amp;TRIM(TEXTSPLIT(IQ213,","))&amp;",",","&amp;SUBSTITUTE(input_topics," ","")&amp;",")))=COUNTA(TEXTSPLIT(IQ213,",")))))</f>
        <v/>
      </c>
    </row>
    <row r="214">
      <c r="A214" s="4">
        <f>IF(NOT(IS214),"Excluded",IF(AND(IT214,IU214,IV214,IW214,IX214,IY214,IZ214,JA214,JB214,JC214,JD214,JE214,JF214,JG214,JH214,JI214,JJ214,JK214,JL214,JM214,JN214,JO214,JP214,JQ214),IF(I214&gt;0,"Eligible but limited","Will appear"),"Excluded"))</f>
        <v/>
      </c>
      <c r="B214" s="4" t="inlineStr">
        <is>
          <t>Related stories on story pages</t>
        </is>
      </c>
      <c r="C214" s="4" t="inlineStr">
        <is>
          <t>/story/2025/meet-masters-technology-management-class-2026</t>
        </is>
      </c>
      <c r="D214" s="4" t="inlineStr">
        <is>
          <t>/story/2025/meet-masters-technology-management-class-2026</t>
        </is>
      </c>
      <c r="E214" s="4" t="n">
        <v>1</v>
      </c>
      <c r="F214" s="4" t="inlineStr">
        <is>
          <t>story</t>
        </is>
      </c>
      <c r="G214" s="4" t="inlineStr">
        <is>
          <t>stories_teaser_cards</t>
        </is>
      </c>
      <c r="H214" s="4" t="inlineStr">
        <is>
          <t>embed_all</t>
        </is>
      </c>
      <c r="I214" s="4" t="n">
        <v>3</v>
      </c>
      <c r="J214" s="4" t="inlineStr">
        <is>
          <t>Template logic</t>
        </is>
      </c>
      <c r="K214" s="4" t="inlineStr">
        <is>
          <t>Grouped surface</t>
        </is>
      </c>
      <c r="L214" s="4" t="inlineStr">
        <is>
          <t>Content type: story; Context uses Courses Context: Master's in Technology Management (1201); Context uses Story Type: Blog (974); Limited to 3 item(s); Source: Template logic</t>
        </is>
      </c>
      <c r="M214" t="inlineStr"/>
      <c r="N214" t="inlineStr"/>
      <c r="O214" t="inlineStr"/>
      <c r="P214" t="inlineStr"/>
      <c r="Q214" t="inlineStr"/>
      <c r="R214" t="inlineStr"/>
      <c r="S214" t="inlineStr"/>
      <c r="T214" t="inlineStr"/>
      <c r="U214" t="inlineStr"/>
      <c r="V214" t="inlineStr"/>
      <c r="W214" t="inlineStr"/>
      <c r="X214" t="inlineStr"/>
      <c r="Y214" t="inlineStr"/>
      <c r="Z214" t="inlineStr"/>
      <c r="AA214" t="inlineStr"/>
      <c r="AB214" t="inlineStr"/>
      <c r="AC214" t="inlineStr"/>
      <c r="AD214" t="inlineStr"/>
      <c r="AE214" t="inlineStr"/>
      <c r="AF214" t="inlineStr"/>
      <c r="AG214" t="inlineStr"/>
      <c r="AH214" t="inlineStr"/>
      <c r="AI214" t="inlineStr"/>
      <c r="AJ214" t="inlineStr"/>
      <c r="AK214" t="inlineStr"/>
      <c r="AL214" t="inlineStr"/>
      <c r="AM214" t="inlineStr"/>
      <c r="AN214" t="inlineStr"/>
      <c r="AO214" t="inlineStr"/>
      <c r="AP214" t="inlineStr"/>
      <c r="AQ214" t="inlineStr"/>
      <c r="AR214" t="inlineStr"/>
      <c r="AS214" t="inlineStr"/>
      <c r="AT214" t="inlineStr"/>
      <c r="AU214" t="inlineStr"/>
      <c r="AV214" t="inlineStr"/>
      <c r="AW214" t="inlineStr"/>
      <c r="AX214" t="inlineStr"/>
      <c r="AY214" t="inlineStr"/>
      <c r="AZ214" t="inlineStr"/>
      <c r="BA214" t="inlineStr"/>
      <c r="BB214" t="inlineStr"/>
      <c r="BC214" t="inlineStr"/>
      <c r="BD214" t="inlineStr"/>
      <c r="BE214" t="inlineStr"/>
      <c r="BF214" t="inlineStr"/>
      <c r="BG214" t="inlineStr"/>
      <c r="BH214" t="inlineStr"/>
      <c r="BI214" t="inlineStr"/>
      <c r="BJ214" t="inlineStr"/>
      <c r="BK214" t="inlineStr"/>
      <c r="BL214" t="inlineStr"/>
      <c r="BM214" t="inlineStr"/>
      <c r="BN214" t="inlineStr"/>
      <c r="BO214" t="inlineStr"/>
      <c r="BP214" t="inlineStr"/>
      <c r="BQ214" t="inlineStr">
        <is>
          <t>1201</t>
        </is>
      </c>
      <c r="BR214" t="inlineStr">
        <is>
          <t>Master's in Technology Management (1201)</t>
        </is>
      </c>
      <c r="BS214" t="inlineStr"/>
      <c r="BT214" t="inlineStr"/>
      <c r="BU214" t="inlineStr"/>
      <c r="BV214" t="inlineStr"/>
      <c r="BW214" t="inlineStr"/>
      <c r="BX214" t="inlineStr"/>
      <c r="BY214" t="inlineStr"/>
      <c r="BZ214" t="inlineStr"/>
      <c r="CA214" t="inlineStr"/>
      <c r="CB214" t="inlineStr"/>
      <c r="CC214" t="inlineStr"/>
      <c r="CD214" t="inlineStr"/>
      <c r="CE214" t="inlineStr"/>
      <c r="CF214" t="inlineStr"/>
      <c r="CG214" t="inlineStr"/>
      <c r="CH214" t="inlineStr"/>
      <c r="CI214" t="inlineStr"/>
      <c r="CJ214" t="inlineStr"/>
      <c r="CK214" t="inlineStr"/>
      <c r="CL214" t="inlineStr"/>
      <c r="CM214" t="inlineStr"/>
      <c r="CN214" t="inlineStr"/>
      <c r="CO214" t="inlineStr"/>
      <c r="CP214" t="inlineStr"/>
      <c r="CQ214" t="inlineStr"/>
      <c r="CR214" t="inlineStr"/>
      <c r="CS214" t="inlineStr"/>
      <c r="CT214" t="inlineStr"/>
      <c r="CU214" t="inlineStr"/>
      <c r="CV214" t="inlineStr"/>
      <c r="CW214" t="inlineStr"/>
      <c r="CX214" t="inlineStr"/>
      <c r="CY214" t="inlineStr"/>
      <c r="CZ214" t="inlineStr"/>
      <c r="DA214" t="inlineStr"/>
      <c r="DB214" t="inlineStr"/>
      <c r="DC214" t="inlineStr"/>
      <c r="DD214" t="inlineStr"/>
      <c r="DE214" t="inlineStr"/>
      <c r="DF214" t="inlineStr"/>
      <c r="DG214" t="inlineStr"/>
      <c r="DH214" t="inlineStr"/>
      <c r="DI214" t="inlineStr"/>
      <c r="DJ214" t="inlineStr"/>
      <c r="DK214" t="inlineStr"/>
      <c r="DL214" t="inlineStr"/>
      <c r="DM214" t="inlineStr"/>
      <c r="DN214" t="inlineStr"/>
      <c r="DO214" t="inlineStr"/>
      <c r="DP214" t="inlineStr"/>
      <c r="DQ214" t="inlineStr"/>
      <c r="DR214" t="inlineStr"/>
      <c r="DS214" t="inlineStr"/>
      <c r="DT214" t="inlineStr"/>
      <c r="DU214" t="inlineStr"/>
      <c r="DV214" t="inlineStr"/>
      <c r="DW214" t="inlineStr"/>
      <c r="DX214" t="inlineStr"/>
      <c r="DY214" t="inlineStr"/>
      <c r="DZ214" t="inlineStr"/>
      <c r="EA214" t="inlineStr"/>
      <c r="EB214" t="inlineStr"/>
      <c r="EC214" t="inlineStr"/>
      <c r="ED214" t="inlineStr"/>
      <c r="EE214" t="inlineStr"/>
      <c r="EF214" t="inlineStr"/>
      <c r="EG214" t="inlineStr"/>
      <c r="EH214" t="inlineStr"/>
      <c r="EI214" t="inlineStr"/>
      <c r="EJ214" t="inlineStr"/>
      <c r="EK214" t="inlineStr"/>
      <c r="EL214" t="inlineStr"/>
      <c r="EM214" t="inlineStr"/>
      <c r="EN214" t="inlineStr"/>
      <c r="EO214" t="inlineStr"/>
      <c r="EP214" t="inlineStr"/>
      <c r="EQ214" t="inlineStr"/>
      <c r="ER214" t="inlineStr"/>
      <c r="ES214" t="inlineStr"/>
      <c r="ET214" t="inlineStr"/>
      <c r="EU214" t="inlineStr"/>
      <c r="EV214" t="inlineStr"/>
      <c r="EW214" t="inlineStr"/>
      <c r="EX214" t="inlineStr"/>
      <c r="EY214" t="inlineStr"/>
      <c r="EZ214" t="inlineStr"/>
      <c r="FA214" t="inlineStr"/>
      <c r="FB214" t="inlineStr"/>
      <c r="FC214" t="inlineStr"/>
      <c r="FD214" t="inlineStr"/>
      <c r="FE214" t="inlineStr"/>
      <c r="FF214" t="inlineStr"/>
      <c r="FG214" t="inlineStr"/>
      <c r="FH214" t="inlineStr"/>
      <c r="FI214" t="inlineStr"/>
      <c r="FJ214" t="inlineStr"/>
      <c r="FK214" t="inlineStr"/>
      <c r="FL214" t="inlineStr"/>
      <c r="FM214" t="inlineStr"/>
      <c r="FN214" t="inlineStr"/>
      <c r="FO214" t="inlineStr"/>
      <c r="FP214" t="inlineStr"/>
      <c r="FQ214" t="inlineStr"/>
      <c r="FR214" t="inlineStr"/>
      <c r="FS214" t="inlineStr"/>
      <c r="FT214" t="inlineStr"/>
      <c r="FU214" t="inlineStr"/>
      <c r="FV214" t="inlineStr"/>
      <c r="FW214" t="inlineStr"/>
      <c r="FX214" t="inlineStr"/>
      <c r="FY214" t="inlineStr"/>
      <c r="FZ214" t="inlineStr"/>
      <c r="GA214" t="inlineStr"/>
      <c r="GB214" t="inlineStr"/>
      <c r="GC214" t="inlineStr"/>
      <c r="GD214" t="inlineStr"/>
      <c r="GE214" t="inlineStr"/>
      <c r="GF214" t="inlineStr"/>
      <c r="GG214" t="inlineStr"/>
      <c r="GH214" t="inlineStr"/>
      <c r="GI214" t="inlineStr"/>
      <c r="GJ214" t="inlineStr"/>
      <c r="GK214" t="inlineStr"/>
      <c r="GL214" t="inlineStr"/>
      <c r="GM214" t="inlineStr"/>
      <c r="GN214" t="inlineStr"/>
      <c r="GO214" t="inlineStr"/>
      <c r="GP214" t="inlineStr"/>
      <c r="GQ214" t="inlineStr"/>
      <c r="GR214" t="inlineStr"/>
      <c r="GS214" t="inlineStr"/>
      <c r="GT214" t="inlineStr"/>
      <c r="GU214" t="inlineStr"/>
      <c r="GV214" t="inlineStr"/>
      <c r="GW214" t="inlineStr"/>
      <c r="GX214" t="inlineStr"/>
      <c r="GY214" t="inlineStr"/>
      <c r="GZ214" t="inlineStr"/>
      <c r="HA214" t="inlineStr"/>
      <c r="HB214" t="inlineStr"/>
      <c r="HC214" t="inlineStr"/>
      <c r="HD214" t="inlineStr"/>
      <c r="HE214" t="inlineStr"/>
      <c r="HF214" t="inlineStr"/>
      <c r="HG214" t="inlineStr"/>
      <c r="HH214" t="inlineStr"/>
      <c r="HI214" t="inlineStr"/>
      <c r="HJ214" t="inlineStr"/>
      <c r="HK214" t="inlineStr"/>
      <c r="HL214" t="inlineStr"/>
      <c r="HM214" t="inlineStr"/>
      <c r="HN214" t="inlineStr"/>
      <c r="HO214" t="inlineStr"/>
      <c r="HP214" t="inlineStr"/>
      <c r="HQ214" t="inlineStr"/>
      <c r="HR214" t="inlineStr"/>
      <c r="HS214" t="inlineStr"/>
      <c r="HT214" t="inlineStr"/>
      <c r="HU214" t="inlineStr"/>
      <c r="HV214" t="inlineStr"/>
      <c r="HW214" t="inlineStr"/>
      <c r="HX214" t="inlineStr"/>
      <c r="HY214" t="inlineStr"/>
      <c r="HZ214" t="inlineStr"/>
      <c r="IA214" t="inlineStr"/>
      <c r="IB214" t="inlineStr"/>
      <c r="IC214" t="inlineStr"/>
      <c r="ID214" t="inlineStr"/>
      <c r="IE214" t="inlineStr">
        <is>
          <t>974</t>
        </is>
      </c>
      <c r="IF214" t="inlineStr">
        <is>
          <t>Blog (974)</t>
        </is>
      </c>
      <c r="IG214" t="inlineStr"/>
      <c r="IH214" t="inlineStr"/>
      <c r="II214" t="inlineStr"/>
      <c r="IJ214" t="inlineStr"/>
      <c r="IK214" t="inlineStr"/>
      <c r="IL214" t="inlineStr"/>
      <c r="IM214" t="inlineStr"/>
      <c r="IN214" t="inlineStr"/>
      <c r="IO214" t="inlineStr"/>
      <c r="IP214" t="inlineStr"/>
      <c r="IQ214" t="inlineStr"/>
      <c r="IR214" t="inlineStr"/>
      <c r="IS214">
        <f>IF(input_content_type="",FALSE,ISNUMBER(SEARCH(","&amp;LOWER(input_content_type)&amp;",",","&amp;LOWER(F214)&amp;",")))</f>
        <v/>
      </c>
      <c r="IT214">
        <f>AND(IF(M214="",TRUE,IF(input_affiliations="",FALSE,SUMPRODUCT(--ISNUMBER(SEARCH(","&amp;TRIM(TEXTSPLIT(M214,","))&amp;",",","&amp;SUBSTITUTE(input_affiliations," ","")&amp;",")))&gt;0)),IF(O214="",TRUE,IF(input_affiliations="",FALSE,SUMPRODUCT(--ISNUMBER(SEARCH(","&amp;TRIM(TEXTSPLIT(O214,","))&amp;",",","&amp;SUBSTITUTE(input_affiliations," ","")&amp;",")))=COUNTA(TEXTSPLIT(O214,",")))),IF(Q214="",TRUE,IF(input_affiliations="",TRUE,SUMPRODUCT(--ISNUMBER(SEARCH(","&amp;TRIM(TEXTSPLIT(Q214,","))&amp;",",","&amp;SUBSTITUTE(input_affiliations," ","")&amp;",")))=0)),IF(S214="",TRUE,IF(input_affiliations="",FALSE,SUMPRODUCT(--ISNUMBER(SEARCH(","&amp;TRIM(TEXTSPLIT(S214,","))&amp;",",","&amp;SUBSTITUTE(input_affiliations," ","")&amp;",")))&gt;0)),IF(U214="",TRUE,IF(input_affiliations="",FALSE,SUMPRODUCT(--ISNUMBER(SEARCH(","&amp;TRIM(TEXTSPLIT(U214,","))&amp;",",","&amp;SUBSTITUTE(input_affiliations," ","")&amp;",")))=COUNTA(TEXTSPLIT(U214,",")))))</f>
        <v/>
      </c>
      <c r="IU214">
        <f>AND(IF(W214="",TRUE,IF(input_announcement_category="",FALSE,SUMPRODUCT(--ISNUMBER(SEARCH(","&amp;TRIM(TEXTSPLIT(W214,","))&amp;",",","&amp;SUBSTITUTE(input_announcement_category," ","")&amp;",")))&gt;0)),IF(Y214="",TRUE,IF(input_announcement_category="",FALSE,SUMPRODUCT(--ISNUMBER(SEARCH(","&amp;TRIM(TEXTSPLIT(Y214,","))&amp;",",","&amp;SUBSTITUTE(input_announcement_category," ","")&amp;",")))=COUNTA(TEXTSPLIT(Y214,",")))),IF(AA214="",TRUE,IF(input_announcement_category="",TRUE,SUMPRODUCT(--ISNUMBER(SEARCH(","&amp;TRIM(TEXTSPLIT(AA214,","))&amp;",",","&amp;SUBSTITUTE(input_announcement_category," ","")&amp;",")))=0)),IF(AC214="",TRUE,IF(input_announcement_category="",FALSE,SUMPRODUCT(--ISNUMBER(SEARCH(","&amp;TRIM(TEXTSPLIT(AC214,","))&amp;",",","&amp;SUBSTITUTE(input_announcement_category," ","")&amp;",")))&gt;0)),IF(AE214="",TRUE,IF(input_announcement_category="",FALSE,SUMPRODUCT(--ISNUMBER(SEARCH(","&amp;TRIM(TEXTSPLIT(AE214,","))&amp;",",","&amp;SUBSTITUTE(input_announcement_category," ","")&amp;",")))=COUNTA(TEXTSPLIT(AE214,",")))))</f>
        <v/>
      </c>
      <c r="IV214">
        <f>AND(IF(AG214="",TRUE,IF(input_area_of_focus="",FALSE,SUMPRODUCT(--ISNUMBER(SEARCH(","&amp;TRIM(TEXTSPLIT(AG214,","))&amp;",",","&amp;SUBSTITUTE(input_area_of_focus," ","")&amp;",")))&gt;0)),IF(AI214="",TRUE,IF(input_area_of_focus="",FALSE,SUMPRODUCT(--ISNUMBER(SEARCH(","&amp;TRIM(TEXTSPLIT(AI214,","))&amp;",",","&amp;SUBSTITUTE(input_area_of_focus," ","")&amp;",")))=COUNTA(TEXTSPLIT(AI214,",")))),IF(AK214="",TRUE,IF(input_area_of_focus="",TRUE,SUMPRODUCT(--ISNUMBER(SEARCH(","&amp;TRIM(TEXTSPLIT(AK214,","))&amp;",",","&amp;SUBSTITUTE(input_area_of_focus," ","")&amp;",")))=0)),IF(AM214="",TRUE,IF(input_area_of_focus="",FALSE,SUMPRODUCT(--ISNUMBER(SEARCH(","&amp;TRIM(TEXTSPLIT(AM214,","))&amp;",",","&amp;SUBSTITUTE(input_area_of_focus," ","")&amp;",")))&gt;0)),IF(AO214="",TRUE,IF(input_area_of_focus="",FALSE,SUMPRODUCT(--ISNUMBER(SEARCH(","&amp;TRIM(TEXTSPLIT(AO214,","))&amp;",",","&amp;SUBSTITUTE(input_area_of_focus," ","")&amp;",")))=COUNTA(TEXTSPLIT(AO214,",")))))</f>
        <v/>
      </c>
      <c r="IW214">
        <f>AND(IF(AQ214="",TRUE,IF(input_audience="",FALSE,SUMPRODUCT(--ISNUMBER(SEARCH(","&amp;TRIM(TEXTSPLIT(AQ214,","))&amp;",",","&amp;SUBSTITUTE(input_audience," ","")&amp;",")))&gt;0)),IF(AS214="",TRUE,IF(input_audience="",FALSE,SUMPRODUCT(--ISNUMBER(SEARCH(","&amp;TRIM(TEXTSPLIT(AS214,","))&amp;",",","&amp;SUBSTITUTE(input_audience," ","")&amp;",")))=COUNTA(TEXTSPLIT(AS214,",")))),IF(AU214="",TRUE,IF(input_audience="",TRUE,SUMPRODUCT(--ISNUMBER(SEARCH(","&amp;TRIM(TEXTSPLIT(AU214,","))&amp;",",","&amp;SUBSTITUTE(input_audience," ","")&amp;",")))=0)),IF(AW214="",TRUE,IF(input_audience="",FALSE,SUMPRODUCT(--ISNUMBER(SEARCH(","&amp;TRIM(TEXTSPLIT(AW214,","))&amp;",",","&amp;SUBSTITUTE(input_audience," ","")&amp;",")))&gt;0)),IF(AY214="",TRUE,IF(input_audience="",FALSE,SUMPRODUCT(--ISNUMBER(SEARCH(","&amp;TRIM(TEXTSPLIT(AY214,","))&amp;",",","&amp;SUBSTITUTE(input_audience," ","")&amp;",")))=COUNTA(TEXTSPLIT(AY214,",")))))</f>
        <v/>
      </c>
      <c r="IX214">
        <f>AND(IF(BA214="",TRUE,IF(input_challenge_opportunities="",FALSE,SUMPRODUCT(--ISNUMBER(SEARCH(","&amp;TRIM(TEXTSPLIT(BA214,","))&amp;",",","&amp;SUBSTITUTE(input_challenge_opportunities," ","")&amp;",")))&gt;0)),IF(BC214="",TRUE,IF(input_challenge_opportunities="",FALSE,SUMPRODUCT(--ISNUMBER(SEARCH(","&amp;TRIM(TEXTSPLIT(BC214,","))&amp;",",","&amp;SUBSTITUTE(input_challenge_opportunities," ","")&amp;",")))=COUNTA(TEXTSPLIT(BC214,",")))),IF(BE214="",TRUE,IF(input_challenge_opportunities="",TRUE,SUMPRODUCT(--ISNUMBER(SEARCH(","&amp;TRIM(TEXTSPLIT(BE214,","))&amp;",",","&amp;SUBSTITUTE(input_challenge_opportunities," ","")&amp;",")))=0)),IF(BG214="",TRUE,IF(input_challenge_opportunities="",FALSE,SUMPRODUCT(--ISNUMBER(SEARCH(","&amp;TRIM(TEXTSPLIT(BG214,","))&amp;",",","&amp;SUBSTITUTE(input_challenge_opportunities," ","")&amp;",")))&gt;0)),IF(BI214="",TRUE,IF(input_challenge_opportunities="",FALSE,SUMPRODUCT(--ISNUMBER(SEARCH(","&amp;TRIM(TEXTSPLIT(BI214,","))&amp;",",","&amp;SUBSTITUTE(input_challenge_opportunities," ","")&amp;",")))=COUNTA(TEXTSPLIT(BI214,",")))))</f>
        <v/>
      </c>
      <c r="IY214">
        <f>AND(IF(BK214="",TRUE,IF(input_context="",FALSE,SUMPRODUCT(--ISNUMBER(SEARCH(","&amp;TRIM(TEXTSPLIT(BK214,","))&amp;",",","&amp;SUBSTITUTE(input_context," ","")&amp;",")))&gt;0)),IF(BM214="",TRUE,IF(input_context="",FALSE,SUMPRODUCT(--ISNUMBER(SEARCH(","&amp;TRIM(TEXTSPLIT(BM214,","))&amp;",",","&amp;SUBSTITUTE(input_context," ","")&amp;",")))=COUNTA(TEXTSPLIT(BM214,",")))),IF(BO214="",TRUE,IF(input_context="",TRUE,SUMPRODUCT(--ISNUMBER(SEARCH(","&amp;TRIM(TEXTSPLIT(BO214,","))&amp;",",","&amp;SUBSTITUTE(input_context," ","")&amp;",")))=0)),IF(BQ214="",TRUE,IF(input_context="",FALSE,SUMPRODUCT(--ISNUMBER(SEARCH(","&amp;TRIM(TEXTSPLIT(BQ214,","))&amp;",",","&amp;SUBSTITUTE(input_context," ","")&amp;",")))&gt;0)),IF(BS214="",TRUE,IF(input_context="",FALSE,SUMPRODUCT(--ISNUMBER(SEARCH(","&amp;TRIM(TEXTSPLIT(BS214,","))&amp;",",","&amp;SUBSTITUTE(input_context," ","")&amp;",")))=COUNTA(TEXTSPLIT(BS214,",")))))</f>
        <v/>
      </c>
      <c r="IZ214">
        <f>AND(IF(BU214="",TRUE,IF(input_enews_announcement_type="",FALSE,SUMPRODUCT(--ISNUMBER(SEARCH(","&amp;TRIM(TEXTSPLIT(BU214,","))&amp;",",","&amp;SUBSTITUTE(input_enews_announcement_type," ","")&amp;",")))&gt;0)),IF(BW214="",TRUE,IF(input_enews_announcement_type="",FALSE,SUMPRODUCT(--ISNUMBER(SEARCH(","&amp;TRIM(TEXTSPLIT(BW214,","))&amp;",",","&amp;SUBSTITUTE(input_enews_announcement_type," ","")&amp;",")))=COUNTA(TEXTSPLIT(BW214,",")))),IF(BY214="",TRUE,IF(input_enews_announcement_type="",TRUE,SUMPRODUCT(--ISNUMBER(SEARCH(","&amp;TRIM(TEXTSPLIT(BY214,","))&amp;",",","&amp;SUBSTITUTE(input_enews_announcement_type," ","")&amp;",")))=0)),IF(CA214="",TRUE,IF(input_enews_announcement_type="",FALSE,SUMPRODUCT(--ISNUMBER(SEARCH(","&amp;TRIM(TEXTSPLIT(CA214,","))&amp;",",","&amp;SUBSTITUTE(input_enews_announcement_type," ","")&amp;",")))&gt;0)),IF(CC214="",TRUE,IF(input_enews_announcement_type="",FALSE,SUMPRODUCT(--ISNUMBER(SEARCH(","&amp;TRIM(TEXTSPLIT(CC214,","))&amp;",",","&amp;SUBSTITUTE(input_enews_announcement_type," ","")&amp;",")))=COUNTA(TEXTSPLIT(CC214,",")))))</f>
        <v/>
      </c>
      <c r="JA214">
        <f>AND(IF(CE214="",TRUE,IF(input_enews_audience="",FALSE,SUMPRODUCT(--ISNUMBER(SEARCH(","&amp;TRIM(TEXTSPLIT(CE214,","))&amp;",",","&amp;SUBSTITUTE(input_enews_audience," ","")&amp;",")))&gt;0)),IF(CG214="",TRUE,IF(input_enews_audience="",FALSE,SUMPRODUCT(--ISNUMBER(SEARCH(","&amp;TRIM(TEXTSPLIT(CG214,","))&amp;",",","&amp;SUBSTITUTE(input_enews_audience," ","")&amp;",")))=COUNTA(TEXTSPLIT(CG214,",")))),IF(CI214="",TRUE,IF(input_enews_audience="",TRUE,SUMPRODUCT(--ISNUMBER(SEARCH(","&amp;TRIM(TEXTSPLIT(CI214,","))&amp;",",","&amp;SUBSTITUTE(input_enews_audience," ","")&amp;",")))=0)),IF(CK214="",TRUE,IF(input_enews_audience="",FALSE,SUMPRODUCT(--ISNUMBER(SEARCH(","&amp;TRIM(TEXTSPLIT(CK214,","))&amp;",",","&amp;SUBSTITUTE(input_enews_audience," ","")&amp;",")))&gt;0)),IF(CM214="",TRUE,IF(input_enews_audience="",FALSE,SUMPRODUCT(--ISNUMBER(SEARCH(","&amp;TRIM(TEXTSPLIT(CM214,","))&amp;",",","&amp;SUBSTITUTE(input_enews_audience," ","")&amp;",")))=COUNTA(TEXTSPLIT(CM214,",")))))</f>
        <v/>
      </c>
      <c r="JB214">
        <f>AND(IF(CO214="",TRUE,IF(input_event_location="",FALSE,SUMPRODUCT(--ISNUMBER(SEARCH(","&amp;TRIM(TEXTSPLIT(CO214,","))&amp;",",","&amp;SUBSTITUTE(input_event_location," ","")&amp;",")))&gt;0)),IF(CQ214="",TRUE,IF(input_event_location="",FALSE,SUMPRODUCT(--ISNUMBER(SEARCH(","&amp;TRIM(TEXTSPLIT(CQ214,","))&amp;",",","&amp;SUBSTITUTE(input_event_location," ","")&amp;",")))=COUNTA(TEXTSPLIT(CQ214,",")))),IF(CS214="",TRUE,IF(input_event_location="",TRUE,SUMPRODUCT(--ISNUMBER(SEARCH(","&amp;TRIM(TEXTSPLIT(CS214,","))&amp;",",","&amp;SUBSTITUTE(input_event_location," ","")&amp;",")))=0)),IF(CU214="",TRUE,IF(input_event_location="",FALSE,SUMPRODUCT(--ISNUMBER(SEARCH(","&amp;TRIM(TEXTSPLIT(CU214,","))&amp;",",","&amp;SUBSTITUTE(input_event_location," ","")&amp;",")))&gt;0)),IF(CW214="",TRUE,IF(input_event_location="",FALSE,SUMPRODUCT(--ISNUMBER(SEARCH(","&amp;TRIM(TEXTSPLIT(CW214,","))&amp;",",","&amp;SUBSTITUTE(input_event_location," ","")&amp;",")))=COUNTA(TEXTSPLIT(CW214,",")))))</f>
        <v/>
      </c>
      <c r="JC214">
        <f>AND(IF(CY214="",TRUE,IF(input_event_type="",FALSE,SUMPRODUCT(--ISNUMBER(SEARCH(","&amp;TRIM(TEXTSPLIT(CY214,","))&amp;",",","&amp;SUBSTITUTE(input_event_type," ","")&amp;",")))&gt;0)),IF(DA214="",TRUE,IF(input_event_type="",FALSE,SUMPRODUCT(--ISNUMBER(SEARCH(","&amp;TRIM(TEXTSPLIT(DA214,","))&amp;",",","&amp;SUBSTITUTE(input_event_type," ","")&amp;",")))=COUNTA(TEXTSPLIT(DA214,",")))),IF(DC214="",TRUE,IF(input_event_type="",TRUE,SUMPRODUCT(--ISNUMBER(SEARCH(","&amp;TRIM(TEXTSPLIT(DC214,","))&amp;",",","&amp;SUBSTITUTE(input_event_type," ","")&amp;",")))=0)),IF(DE214="",TRUE,IF(input_event_type="",FALSE,SUMPRODUCT(--ISNUMBER(SEARCH(","&amp;TRIM(TEXTSPLIT(DE214,","))&amp;",",","&amp;SUBSTITUTE(input_event_type," ","")&amp;",")))&gt;0)),IF(DG214="",TRUE,IF(input_event_type="",FALSE,SUMPRODUCT(--ISNUMBER(SEARCH(","&amp;TRIM(TEXTSPLIT(DG214,","))&amp;",",","&amp;SUBSTITUTE(input_event_type," ","")&amp;",")))=COUNTA(TEXTSPLIT(DG214,",")))))</f>
        <v/>
      </c>
      <c r="JD214">
        <f>AND(IF(DI214="",TRUE,IF(input_executive_education_focus="",FALSE,SUMPRODUCT(--ISNUMBER(SEARCH(","&amp;TRIM(TEXTSPLIT(DI214,","))&amp;",",","&amp;SUBSTITUTE(input_executive_education_focus," ","")&amp;",")))&gt;0)),IF(DK214="",TRUE,IF(input_executive_education_focus="",FALSE,SUMPRODUCT(--ISNUMBER(SEARCH(","&amp;TRIM(TEXTSPLIT(DK214,","))&amp;",",","&amp;SUBSTITUTE(input_executive_education_focus," ","")&amp;",")))=COUNTA(TEXTSPLIT(DK214,",")))),IF(DM214="",TRUE,IF(input_executive_education_focus="",TRUE,SUMPRODUCT(--ISNUMBER(SEARCH(","&amp;TRIM(TEXTSPLIT(DM214,","))&amp;",",","&amp;SUBSTITUTE(input_executive_education_focus," ","")&amp;",")))=0)),IF(DO214="",TRUE,IF(input_executive_education_focus="",FALSE,SUMPRODUCT(--ISNUMBER(SEARCH(","&amp;TRIM(TEXTSPLIT(DO214,","))&amp;",",","&amp;SUBSTITUTE(input_executive_education_focus," ","")&amp;",")))&gt;0)),IF(DQ214="",TRUE,IF(input_executive_education_focus="",FALSE,SUMPRODUCT(--ISNUMBER(SEARCH(","&amp;TRIM(TEXTSPLIT(DQ214,","))&amp;",",","&amp;SUBSTITUTE(input_executive_education_focus," ","")&amp;",")))=COUNTA(TEXTSPLIT(DQ214,",")))))</f>
        <v/>
      </c>
      <c r="JE214">
        <f>AND(IF(DS214="",TRUE,IF(input_faculty_category="",FALSE,SUMPRODUCT(--ISNUMBER(SEARCH(","&amp;TRIM(TEXTSPLIT(DS214,","))&amp;",",","&amp;SUBSTITUTE(input_faculty_category," ","")&amp;",")))&gt;0)),IF(DU214="",TRUE,IF(input_faculty_category="",FALSE,SUMPRODUCT(--ISNUMBER(SEARCH(","&amp;TRIM(TEXTSPLIT(DU214,","))&amp;",",","&amp;SUBSTITUTE(input_faculty_category," ","")&amp;",")))=COUNTA(TEXTSPLIT(DU214,",")))),IF(DW214="",TRUE,IF(input_faculty_category="",TRUE,SUMPRODUCT(--ISNUMBER(SEARCH(","&amp;TRIM(TEXTSPLIT(DW214,","))&amp;",",","&amp;SUBSTITUTE(input_faculty_category," ","")&amp;",")))=0)),IF(DY214="",TRUE,IF(input_faculty_category="",FALSE,SUMPRODUCT(--ISNUMBER(SEARCH(","&amp;TRIM(TEXTSPLIT(DY214,","))&amp;",",","&amp;SUBSTITUTE(input_faculty_category," ","")&amp;",")))&gt;0)),IF(EA214="",TRUE,IF(input_faculty_category="",FALSE,SUMPRODUCT(--ISNUMBER(SEARCH(","&amp;TRIM(TEXTSPLIT(EA214,","))&amp;",",","&amp;SUBSTITUTE(input_faculty_category," ","")&amp;",")))=COUNTA(TEXTSPLIT(EA214,",")))))</f>
        <v/>
      </c>
      <c r="JF214">
        <f>AND(IF(EC214="",TRUE,IF(input_faculty_discipline="",FALSE,SUMPRODUCT(--ISNUMBER(SEARCH(","&amp;TRIM(TEXTSPLIT(EC214,","))&amp;",",","&amp;SUBSTITUTE(input_faculty_discipline," ","")&amp;",")))&gt;0)),IF(EE214="",TRUE,IF(input_faculty_discipline="",FALSE,SUMPRODUCT(--ISNUMBER(SEARCH(","&amp;TRIM(TEXTSPLIT(EE214,","))&amp;",",","&amp;SUBSTITUTE(input_faculty_discipline," ","")&amp;",")))=COUNTA(TEXTSPLIT(EE214,",")))),IF(EG214="",TRUE,IF(input_faculty_discipline="",TRUE,SUMPRODUCT(--ISNUMBER(SEARCH(","&amp;TRIM(TEXTSPLIT(EG214,","))&amp;",",","&amp;SUBSTITUTE(input_faculty_discipline," ","")&amp;",")))=0)),IF(EI214="",TRUE,IF(input_faculty_discipline="",FALSE,SUMPRODUCT(--ISNUMBER(SEARCH(","&amp;TRIM(TEXTSPLIT(EI214,","))&amp;",",","&amp;SUBSTITUTE(input_faculty_discipline," ","")&amp;",")))&gt;0)),IF(EK214="",TRUE,IF(input_faculty_discipline="",FALSE,SUMPRODUCT(--ISNUMBER(SEARCH(","&amp;TRIM(TEXTSPLIT(EK214,","))&amp;",",","&amp;SUBSTITUTE(input_faculty_discipline," ","")&amp;",")))=COUNTA(TEXTSPLIT(EK214,",")))))</f>
        <v/>
      </c>
      <c r="JG214">
        <f>AND(IF(EM214="",TRUE,IF(input_faculty_expertise="",FALSE,SUMPRODUCT(--ISNUMBER(SEARCH(","&amp;TRIM(TEXTSPLIT(EM214,","))&amp;",",","&amp;SUBSTITUTE(input_faculty_expertise," ","")&amp;",")))&gt;0)),IF(EO214="",TRUE,IF(input_faculty_expertise="",FALSE,SUMPRODUCT(--ISNUMBER(SEARCH(","&amp;TRIM(TEXTSPLIT(EO214,","))&amp;",",","&amp;SUBSTITUTE(input_faculty_expertise," ","")&amp;",")))=COUNTA(TEXTSPLIT(EO214,",")))),IF(EQ214="",TRUE,IF(input_faculty_expertise="",TRUE,SUMPRODUCT(--ISNUMBER(SEARCH(","&amp;TRIM(TEXTSPLIT(EQ214,","))&amp;",",","&amp;SUBSTITUTE(input_faculty_expertise," ","")&amp;",")))=0)),IF(ES214="",TRUE,IF(input_faculty_expertise="",FALSE,SUMPRODUCT(--ISNUMBER(SEARCH(","&amp;TRIM(TEXTSPLIT(ES214,","))&amp;",",","&amp;SUBSTITUTE(input_faculty_expertise," ","")&amp;",")))&gt;0)),IF(EU214="",TRUE,IF(input_faculty_expertise="",FALSE,SUMPRODUCT(--ISNUMBER(SEARCH(","&amp;TRIM(TEXTSPLIT(EU214,","))&amp;",",","&amp;SUBSTITUTE(input_faculty_expertise," ","")&amp;",")))=COUNTA(TEXTSPLIT(EU214,",")))))</f>
        <v/>
      </c>
      <c r="JH214">
        <f>AND(IF(EW214="",TRUE,IF(input_global_network_school="",FALSE,SUMPRODUCT(--ISNUMBER(SEARCH(","&amp;TRIM(TEXTSPLIT(EW214,","))&amp;",",","&amp;SUBSTITUTE(input_global_network_school," ","")&amp;",")))&gt;0)),IF(EY214="",TRUE,IF(input_global_network_school="",FALSE,SUMPRODUCT(--ISNUMBER(SEARCH(","&amp;TRIM(TEXTSPLIT(EY214,","))&amp;",",","&amp;SUBSTITUTE(input_global_network_school," ","")&amp;",")))=COUNTA(TEXTSPLIT(EY214,",")))),IF(FA214="",TRUE,IF(input_global_network_school="",TRUE,SUMPRODUCT(--ISNUMBER(SEARCH(","&amp;TRIM(TEXTSPLIT(FA214,","))&amp;",",","&amp;SUBSTITUTE(input_global_network_school," ","")&amp;",")))=0)),IF(FC214="",TRUE,IF(input_global_network_school="",FALSE,SUMPRODUCT(--ISNUMBER(SEARCH(","&amp;TRIM(TEXTSPLIT(FC214,","))&amp;",",","&amp;SUBSTITUTE(input_global_network_school," ","")&amp;",")))&gt;0)),IF(FE214="",TRUE,IF(input_global_network_school="",FALSE,SUMPRODUCT(--ISNUMBER(SEARCH(","&amp;TRIM(TEXTSPLIT(FE214,","))&amp;",",","&amp;SUBSTITUTE(input_global_network_school," ","")&amp;",")))=COUNTA(TEXTSPLIT(FE214,",")))))</f>
        <v/>
      </c>
      <c r="JI214">
        <f>AND(IF(FG214="",TRUE,IF(input_industry="",FALSE,SUMPRODUCT(--ISNUMBER(SEARCH(","&amp;TRIM(TEXTSPLIT(FG214,","))&amp;",",","&amp;SUBSTITUTE(input_industry," ","")&amp;",")))&gt;0)),IF(FI214="",TRUE,IF(input_industry="",FALSE,SUMPRODUCT(--ISNUMBER(SEARCH(","&amp;TRIM(TEXTSPLIT(FI214,","))&amp;",",","&amp;SUBSTITUTE(input_industry," ","")&amp;",")))=COUNTA(TEXTSPLIT(FI214,",")))),IF(FK214="",TRUE,IF(input_industry="",TRUE,SUMPRODUCT(--ISNUMBER(SEARCH(","&amp;TRIM(TEXTSPLIT(FK214,","))&amp;",",","&amp;SUBSTITUTE(input_industry," ","")&amp;",")))=0)),IF(FM214="",TRUE,IF(input_industry="",FALSE,SUMPRODUCT(--ISNUMBER(SEARCH(","&amp;TRIM(TEXTSPLIT(FM214,","))&amp;",",","&amp;SUBSTITUTE(input_industry," ","")&amp;",")))&gt;0)),IF(FO214="",TRUE,IF(input_industry="",FALSE,SUMPRODUCT(--ISNUMBER(SEARCH(","&amp;TRIM(TEXTSPLIT(FO214,","))&amp;",",","&amp;SUBSTITUTE(input_industry," ","")&amp;",")))=COUNTA(TEXTSPLIT(FO214,",")))))</f>
        <v/>
      </c>
      <c r="JJ214">
        <f>AND(IF(FQ214="",TRUE,IF(input_location="",FALSE,SUMPRODUCT(--ISNUMBER(SEARCH(","&amp;TRIM(TEXTSPLIT(FQ214,","))&amp;",",","&amp;SUBSTITUTE(input_location," ","")&amp;",")))&gt;0)),IF(FS214="",TRUE,IF(input_location="",FALSE,SUMPRODUCT(--ISNUMBER(SEARCH(","&amp;TRIM(TEXTSPLIT(FS214,","))&amp;",",","&amp;SUBSTITUTE(input_location," ","")&amp;",")))=COUNTA(TEXTSPLIT(FS214,",")))),IF(FU214="",TRUE,IF(input_location="",TRUE,SUMPRODUCT(--ISNUMBER(SEARCH(","&amp;TRIM(TEXTSPLIT(FU214,","))&amp;",",","&amp;SUBSTITUTE(input_location," ","")&amp;",")))=0)),IF(FW214="",TRUE,IF(input_location="",FALSE,SUMPRODUCT(--ISNUMBER(SEARCH(","&amp;TRIM(TEXTSPLIT(FW214,","))&amp;",",","&amp;SUBSTITUTE(input_location," ","")&amp;",")))&gt;0)),IF(FY214="",TRUE,IF(input_location="",FALSE,SUMPRODUCT(--ISNUMBER(SEARCH(","&amp;TRIM(TEXTSPLIT(FY214,","))&amp;",",","&amp;SUBSTITUTE(input_location," ","")&amp;",")))=COUNTA(TEXTSPLIT(FY214,",")))))</f>
        <v/>
      </c>
      <c r="JK214">
        <f>AND(IF(GA214="",TRUE,IF(input_modality="",FALSE,SUMPRODUCT(--ISNUMBER(SEARCH(","&amp;TRIM(TEXTSPLIT(GA214,","))&amp;",",","&amp;SUBSTITUTE(input_modality," ","")&amp;",")))&gt;0)),IF(GC214="",TRUE,IF(input_modality="",FALSE,SUMPRODUCT(--ISNUMBER(SEARCH(","&amp;TRIM(TEXTSPLIT(GC214,","))&amp;",",","&amp;SUBSTITUTE(input_modality," ","")&amp;",")))=COUNTA(TEXTSPLIT(GC214,",")))),IF(GE214="",TRUE,IF(input_modality="",TRUE,SUMPRODUCT(--ISNUMBER(SEARCH(","&amp;TRIM(TEXTSPLIT(GE214,","))&amp;",",","&amp;SUBSTITUTE(input_modality," ","")&amp;",")))=0)),IF(GG214="",TRUE,IF(input_modality="",FALSE,SUMPRODUCT(--ISNUMBER(SEARCH(","&amp;TRIM(TEXTSPLIT(GG214,","))&amp;",",","&amp;SUBSTITUTE(input_modality," ","")&amp;",")))&gt;0)),IF(GI214="",TRUE,IF(input_modality="",FALSE,SUMPRODUCT(--ISNUMBER(SEARCH(","&amp;TRIM(TEXTSPLIT(GI214,","))&amp;",",","&amp;SUBSTITUTE(input_modality," ","")&amp;",")))=COUNTA(TEXTSPLIT(GI214,",")))))</f>
        <v/>
      </c>
      <c r="JL214">
        <f>AND(IF(GK214="",TRUE,IF(input_organizer="",FALSE,SUMPRODUCT(--ISNUMBER(SEARCH(","&amp;TRIM(TEXTSPLIT(GK214,","))&amp;",",","&amp;SUBSTITUTE(input_organizer," ","")&amp;",")))&gt;0)),IF(GM214="",TRUE,IF(input_organizer="",FALSE,SUMPRODUCT(--ISNUMBER(SEARCH(","&amp;TRIM(TEXTSPLIT(GM214,","))&amp;",",","&amp;SUBSTITUTE(input_organizer," ","")&amp;",")))=COUNTA(TEXTSPLIT(GM214,",")))),IF(GO214="",TRUE,IF(input_organizer="",TRUE,SUMPRODUCT(--ISNUMBER(SEARCH(","&amp;TRIM(TEXTSPLIT(GO214,","))&amp;",",","&amp;SUBSTITUTE(input_organizer," ","")&amp;",")))=0)),IF(GQ214="",TRUE,IF(input_organizer="",FALSE,SUMPRODUCT(--ISNUMBER(SEARCH(","&amp;TRIM(TEXTSPLIT(GQ214,","))&amp;",",","&amp;SUBSTITUTE(input_organizer," ","")&amp;",")))&gt;0)),IF(GS214="",TRUE,IF(input_organizer="",FALSE,SUMPRODUCT(--ISNUMBER(SEARCH(","&amp;TRIM(TEXTSPLIT(GS214,","))&amp;",",","&amp;SUBSTITUTE(input_organizer," ","")&amp;",")))=COUNTA(TEXTSPLIT(GS214,",")))))</f>
        <v/>
      </c>
      <c r="JM214">
        <f>AND(IF(GU214="",TRUE,IF(input_profile_type="",FALSE,SUMPRODUCT(--ISNUMBER(SEARCH(","&amp;TRIM(TEXTSPLIT(GU214,","))&amp;",",","&amp;SUBSTITUTE(input_profile_type," ","")&amp;",")))&gt;0)),IF(GW214="",TRUE,IF(input_profile_type="",FALSE,SUMPRODUCT(--ISNUMBER(SEARCH(","&amp;TRIM(TEXTSPLIT(GW214,","))&amp;",",","&amp;SUBSTITUTE(input_profile_type," ","")&amp;",")))=COUNTA(TEXTSPLIT(GW214,",")))),IF(GY214="",TRUE,IF(input_profile_type="",TRUE,SUMPRODUCT(--ISNUMBER(SEARCH(","&amp;TRIM(TEXTSPLIT(GY214,","))&amp;",",","&amp;SUBSTITUTE(input_profile_type," ","")&amp;",")))=0)),IF(HA214="",TRUE,IF(input_profile_type="",FALSE,SUMPRODUCT(--ISNUMBER(SEARCH(","&amp;TRIM(TEXTSPLIT(HA214,","))&amp;",",","&amp;SUBSTITUTE(input_profile_type," ","")&amp;",")))&gt;0)),IF(HC214="",TRUE,IF(input_profile_type="",FALSE,SUMPRODUCT(--ISNUMBER(SEARCH(","&amp;TRIM(TEXTSPLIT(HC214,","))&amp;",",","&amp;SUBSTITUTE(input_profile_type," ","")&amp;",")))=COUNTA(TEXTSPLIT(HC214,",")))))</f>
        <v/>
      </c>
      <c r="JN214">
        <f>AND(IF(HE214="",TRUE,IF(input_program="",FALSE,SUMPRODUCT(--ISNUMBER(SEARCH(","&amp;TRIM(TEXTSPLIT(HE214,","))&amp;",",","&amp;SUBSTITUTE(input_program," ","")&amp;",")))&gt;0)),IF(HG214="",TRUE,IF(input_program="",FALSE,SUMPRODUCT(--ISNUMBER(SEARCH(","&amp;TRIM(TEXTSPLIT(HG214,","))&amp;",",","&amp;SUBSTITUTE(input_program," ","")&amp;",")))=COUNTA(TEXTSPLIT(HG214,",")))),IF(HI214="",TRUE,IF(input_program="",TRUE,SUMPRODUCT(--ISNUMBER(SEARCH(","&amp;TRIM(TEXTSPLIT(HI214,","))&amp;",",","&amp;SUBSTITUTE(input_program," ","")&amp;",")))=0)),IF(HK214="",TRUE,IF(input_program="",FALSE,SUMPRODUCT(--ISNUMBER(SEARCH(","&amp;TRIM(TEXTSPLIT(HK214,","))&amp;",",","&amp;SUBSTITUTE(input_program," ","")&amp;",")))&gt;0)),IF(HM214="",TRUE,IF(input_program="",FALSE,SUMPRODUCT(--ISNUMBER(SEARCH(","&amp;TRIM(TEXTSPLIT(HM214,","))&amp;",",","&amp;SUBSTITUTE(input_program," ","")&amp;",")))=COUNTA(TEXTSPLIT(HM214,",")))))</f>
        <v/>
      </c>
      <c r="JO214">
        <f>AND(IF(HO214="",TRUE,IF(input_story_categories="",FALSE,SUMPRODUCT(--ISNUMBER(SEARCH(","&amp;TRIM(TEXTSPLIT(HO214,","))&amp;",",","&amp;SUBSTITUTE(input_story_categories," ","")&amp;",")))&gt;0)),IF(HQ214="",TRUE,IF(input_story_categories="",FALSE,SUMPRODUCT(--ISNUMBER(SEARCH(","&amp;TRIM(TEXTSPLIT(HQ214,","))&amp;",",","&amp;SUBSTITUTE(input_story_categories," ","")&amp;",")))=COUNTA(TEXTSPLIT(HQ214,",")))),IF(HS214="",TRUE,IF(input_story_categories="",TRUE,SUMPRODUCT(--ISNUMBER(SEARCH(","&amp;TRIM(TEXTSPLIT(HS214,","))&amp;",",","&amp;SUBSTITUTE(input_story_categories," ","")&amp;",")))=0)),IF(HU214="",TRUE,IF(input_story_categories="",FALSE,SUMPRODUCT(--ISNUMBER(SEARCH(","&amp;TRIM(TEXTSPLIT(HU214,","))&amp;",",","&amp;SUBSTITUTE(input_story_categories," ","")&amp;",")))&gt;0)),IF(HW214="",TRUE,IF(input_story_categories="",FALSE,SUMPRODUCT(--ISNUMBER(SEARCH(","&amp;TRIM(TEXTSPLIT(HW214,","))&amp;",",","&amp;SUBSTITUTE(input_story_categories," ","")&amp;",")))=COUNTA(TEXTSPLIT(HW214,",")))))</f>
        <v/>
      </c>
      <c r="JP214">
        <f>AND(IF(HY214="",TRUE,IF(input_story_type="",FALSE,SUMPRODUCT(--ISNUMBER(SEARCH(","&amp;TRIM(TEXTSPLIT(HY214,","))&amp;",",","&amp;SUBSTITUTE(input_story_type," ","")&amp;",")))&gt;0)),IF(IA214="",TRUE,IF(input_story_type="",FALSE,SUMPRODUCT(--ISNUMBER(SEARCH(","&amp;TRIM(TEXTSPLIT(IA214,","))&amp;",",","&amp;SUBSTITUTE(input_story_type," ","")&amp;",")))=COUNTA(TEXTSPLIT(IA214,",")))),IF(IC214="",TRUE,IF(input_story_type="",TRUE,SUMPRODUCT(--ISNUMBER(SEARCH(","&amp;TRIM(TEXTSPLIT(IC214,","))&amp;",",","&amp;SUBSTITUTE(input_story_type," ","")&amp;",")))=0)),IF(IE214="",TRUE,IF(input_story_type="",FALSE,SUMPRODUCT(--ISNUMBER(SEARCH(","&amp;TRIM(TEXTSPLIT(IE214,","))&amp;",",","&amp;SUBSTITUTE(input_story_type," ","")&amp;",")))&gt;0)),IF(IG214="",TRUE,IF(input_story_type="",FALSE,SUMPRODUCT(--ISNUMBER(SEARCH(","&amp;TRIM(TEXTSPLIT(IG214,","))&amp;",",","&amp;SUBSTITUTE(input_story_type," ","")&amp;",")))=COUNTA(TEXTSPLIT(IG214,",")))))</f>
        <v/>
      </c>
      <c r="JQ214">
        <f>AND(IF(II214="",TRUE,IF(input_topics="",FALSE,SUMPRODUCT(--ISNUMBER(SEARCH(","&amp;TRIM(TEXTSPLIT(II214,","))&amp;",",","&amp;SUBSTITUTE(input_topics," ","")&amp;",")))&gt;0)),IF(IK214="",TRUE,IF(input_topics="",FALSE,SUMPRODUCT(--ISNUMBER(SEARCH(","&amp;TRIM(TEXTSPLIT(IK214,","))&amp;",",","&amp;SUBSTITUTE(input_topics," ","")&amp;",")))=COUNTA(TEXTSPLIT(IK214,",")))),IF(IM214="",TRUE,IF(input_topics="",TRUE,SUMPRODUCT(--ISNUMBER(SEARCH(","&amp;TRIM(TEXTSPLIT(IM214,","))&amp;",",","&amp;SUBSTITUTE(input_topics," ","")&amp;",")))=0)),IF(IO214="",TRUE,IF(input_topics="",FALSE,SUMPRODUCT(--ISNUMBER(SEARCH(","&amp;TRIM(TEXTSPLIT(IO214,","))&amp;",",","&amp;SUBSTITUTE(input_topics," ","")&amp;",")))&gt;0)),IF(IQ214="",TRUE,IF(input_topics="",FALSE,SUMPRODUCT(--ISNUMBER(SEARCH(","&amp;TRIM(TEXTSPLIT(IQ214,","))&amp;",",","&amp;SUBSTITUTE(input_topics," ","")&amp;",")))=COUNTA(TEXTSPLIT(IQ214,",")))))</f>
        <v/>
      </c>
    </row>
    <row r="215">
      <c r="A215" s="4">
        <f>IF(NOT(IS215),"Excluded",IF(AND(IT215,IU215,IV215,IW215,IX215,IY215,IZ215,JA215,JB215,JC215,JD215,JE215,JF215,JG215,JH215,JI215,JJ215,JK215,JL215,JM215,JN215,JO215,JP215,JQ215),IF(I215&gt;0,"Eligible but limited","Will appear"),"Excluded"))</f>
        <v/>
      </c>
      <c r="B215" s="4" t="inlineStr">
        <is>
          <t>Related stories on story pages</t>
        </is>
      </c>
      <c r="C215" s="4" t="inlineStr">
        <is>
          <t>/story/2025/prof-roger-ibbotson-honored-investments-wealth-institute</t>
        </is>
      </c>
      <c r="D215" s="4" t="inlineStr">
        <is>
          <t>/story/2025/prof-roger-ibbotson-honored-investments-wealth-institute</t>
        </is>
      </c>
      <c r="E215" s="4" t="n">
        <v>1</v>
      </c>
      <c r="F215" s="4" t="inlineStr">
        <is>
          <t>story</t>
        </is>
      </c>
      <c r="G215" s="4" t="inlineStr">
        <is>
          <t>stories_teaser_cards</t>
        </is>
      </c>
      <c r="H215" s="4" t="inlineStr">
        <is>
          <t>embed_all</t>
        </is>
      </c>
      <c r="I215" s="4" t="n">
        <v>3</v>
      </c>
      <c r="J215" s="4" t="inlineStr">
        <is>
          <t>Template logic</t>
        </is>
      </c>
      <c r="K215" s="4" t="inlineStr">
        <is>
          <t>Grouped surface</t>
        </is>
      </c>
      <c r="L215" s="4" t="inlineStr">
        <is>
          <t>Content type: story; Context uses Courses Context: International Center for Finance (931); Context uses Story Type: Blog (974); Limited to 3 item(s); Source: Template logic</t>
        </is>
      </c>
      <c r="M215" t="inlineStr"/>
      <c r="N215" t="inlineStr"/>
      <c r="O215" t="inlineStr"/>
      <c r="P215" t="inlineStr"/>
      <c r="Q215" t="inlineStr"/>
      <c r="R215" t="inlineStr"/>
      <c r="S215" t="inlineStr"/>
      <c r="T215" t="inlineStr"/>
      <c r="U215" t="inlineStr"/>
      <c r="V215" t="inlineStr"/>
      <c r="W215" t="inlineStr"/>
      <c r="X215" t="inlineStr"/>
      <c r="Y215" t="inlineStr"/>
      <c r="Z215" t="inlineStr"/>
      <c r="AA215" t="inlineStr"/>
      <c r="AB215" t="inlineStr"/>
      <c r="AC215" t="inlineStr"/>
      <c r="AD215" t="inlineStr"/>
      <c r="AE215" t="inlineStr"/>
      <c r="AF215" t="inlineStr"/>
      <c r="AG215" t="inlineStr"/>
      <c r="AH215" t="inlineStr"/>
      <c r="AI215" t="inlineStr"/>
      <c r="AJ215" t="inlineStr"/>
      <c r="AK215" t="inlineStr"/>
      <c r="AL215" t="inlineStr"/>
      <c r="AM215" t="inlineStr"/>
      <c r="AN215" t="inlineStr"/>
      <c r="AO215" t="inlineStr"/>
      <c r="AP215" t="inlineStr"/>
      <c r="AQ215" t="inlineStr"/>
      <c r="AR215" t="inlineStr"/>
      <c r="AS215" t="inlineStr"/>
      <c r="AT215" t="inlineStr"/>
      <c r="AU215" t="inlineStr"/>
      <c r="AV215" t="inlineStr"/>
      <c r="AW215" t="inlineStr"/>
      <c r="AX215" t="inlineStr"/>
      <c r="AY215" t="inlineStr"/>
      <c r="AZ215" t="inlineStr"/>
      <c r="BA215" t="inlineStr"/>
      <c r="BB215" t="inlineStr"/>
      <c r="BC215" t="inlineStr"/>
      <c r="BD215" t="inlineStr"/>
      <c r="BE215" t="inlineStr"/>
      <c r="BF215" t="inlineStr"/>
      <c r="BG215" t="inlineStr"/>
      <c r="BH215" t="inlineStr"/>
      <c r="BI215" t="inlineStr"/>
      <c r="BJ215" t="inlineStr"/>
      <c r="BK215" t="inlineStr"/>
      <c r="BL215" t="inlineStr"/>
      <c r="BM215" t="inlineStr"/>
      <c r="BN215" t="inlineStr"/>
      <c r="BO215" t="inlineStr"/>
      <c r="BP215" t="inlineStr"/>
      <c r="BQ215" t="inlineStr">
        <is>
          <t>931</t>
        </is>
      </c>
      <c r="BR215" t="inlineStr">
        <is>
          <t>International Center for Finance (931)</t>
        </is>
      </c>
      <c r="BS215" t="inlineStr"/>
      <c r="BT215" t="inlineStr"/>
      <c r="BU215" t="inlineStr"/>
      <c r="BV215" t="inlineStr"/>
      <c r="BW215" t="inlineStr"/>
      <c r="BX215" t="inlineStr"/>
      <c r="BY215" t="inlineStr"/>
      <c r="BZ215" t="inlineStr"/>
      <c r="CA215" t="inlineStr"/>
      <c r="CB215" t="inlineStr"/>
      <c r="CC215" t="inlineStr"/>
      <c r="CD215" t="inlineStr"/>
      <c r="CE215" t="inlineStr"/>
      <c r="CF215" t="inlineStr"/>
      <c r="CG215" t="inlineStr"/>
      <c r="CH215" t="inlineStr"/>
      <c r="CI215" t="inlineStr"/>
      <c r="CJ215" t="inlineStr"/>
      <c r="CK215" t="inlineStr"/>
      <c r="CL215" t="inlineStr"/>
      <c r="CM215" t="inlineStr"/>
      <c r="CN215" t="inlineStr"/>
      <c r="CO215" t="inlineStr"/>
      <c r="CP215" t="inlineStr"/>
      <c r="CQ215" t="inlineStr"/>
      <c r="CR215" t="inlineStr"/>
      <c r="CS215" t="inlineStr"/>
      <c r="CT215" t="inlineStr"/>
      <c r="CU215" t="inlineStr"/>
      <c r="CV215" t="inlineStr"/>
      <c r="CW215" t="inlineStr"/>
      <c r="CX215" t="inlineStr"/>
      <c r="CY215" t="inlineStr"/>
      <c r="CZ215" t="inlineStr"/>
      <c r="DA215" t="inlineStr"/>
      <c r="DB215" t="inlineStr"/>
      <c r="DC215" t="inlineStr"/>
      <c r="DD215" t="inlineStr"/>
      <c r="DE215" t="inlineStr"/>
      <c r="DF215" t="inlineStr"/>
      <c r="DG215" t="inlineStr"/>
      <c r="DH215" t="inlineStr"/>
      <c r="DI215" t="inlineStr"/>
      <c r="DJ215" t="inlineStr"/>
      <c r="DK215" t="inlineStr"/>
      <c r="DL215" t="inlineStr"/>
      <c r="DM215" t="inlineStr"/>
      <c r="DN215" t="inlineStr"/>
      <c r="DO215" t="inlineStr"/>
      <c r="DP215" t="inlineStr"/>
      <c r="DQ215" t="inlineStr"/>
      <c r="DR215" t="inlineStr"/>
      <c r="DS215" t="inlineStr"/>
      <c r="DT215" t="inlineStr"/>
      <c r="DU215" t="inlineStr"/>
      <c r="DV215" t="inlineStr"/>
      <c r="DW215" t="inlineStr"/>
      <c r="DX215" t="inlineStr"/>
      <c r="DY215" t="inlineStr"/>
      <c r="DZ215" t="inlineStr"/>
      <c r="EA215" t="inlineStr"/>
      <c r="EB215" t="inlineStr"/>
      <c r="EC215" t="inlineStr"/>
      <c r="ED215" t="inlineStr"/>
      <c r="EE215" t="inlineStr"/>
      <c r="EF215" t="inlineStr"/>
      <c r="EG215" t="inlineStr"/>
      <c r="EH215" t="inlineStr"/>
      <c r="EI215" t="inlineStr"/>
      <c r="EJ215" t="inlineStr"/>
      <c r="EK215" t="inlineStr"/>
      <c r="EL215" t="inlineStr"/>
      <c r="EM215" t="inlineStr"/>
      <c r="EN215" t="inlineStr"/>
      <c r="EO215" t="inlineStr"/>
      <c r="EP215" t="inlineStr"/>
      <c r="EQ215" t="inlineStr"/>
      <c r="ER215" t="inlineStr"/>
      <c r="ES215" t="inlineStr"/>
      <c r="ET215" t="inlineStr"/>
      <c r="EU215" t="inlineStr"/>
      <c r="EV215" t="inlineStr"/>
      <c r="EW215" t="inlineStr"/>
      <c r="EX215" t="inlineStr"/>
      <c r="EY215" t="inlineStr"/>
      <c r="EZ215" t="inlineStr"/>
      <c r="FA215" t="inlineStr"/>
      <c r="FB215" t="inlineStr"/>
      <c r="FC215" t="inlineStr"/>
      <c r="FD215" t="inlineStr"/>
      <c r="FE215" t="inlineStr"/>
      <c r="FF215" t="inlineStr"/>
      <c r="FG215" t="inlineStr"/>
      <c r="FH215" t="inlineStr"/>
      <c r="FI215" t="inlineStr"/>
      <c r="FJ215" t="inlineStr"/>
      <c r="FK215" t="inlineStr"/>
      <c r="FL215" t="inlineStr"/>
      <c r="FM215" t="inlineStr"/>
      <c r="FN215" t="inlineStr"/>
      <c r="FO215" t="inlineStr"/>
      <c r="FP215" t="inlineStr"/>
      <c r="FQ215" t="inlineStr"/>
      <c r="FR215" t="inlineStr"/>
      <c r="FS215" t="inlineStr"/>
      <c r="FT215" t="inlineStr"/>
      <c r="FU215" t="inlineStr"/>
      <c r="FV215" t="inlineStr"/>
      <c r="FW215" t="inlineStr"/>
      <c r="FX215" t="inlineStr"/>
      <c r="FY215" t="inlineStr"/>
      <c r="FZ215" t="inlineStr"/>
      <c r="GA215" t="inlineStr"/>
      <c r="GB215" t="inlineStr"/>
      <c r="GC215" t="inlineStr"/>
      <c r="GD215" t="inlineStr"/>
      <c r="GE215" t="inlineStr"/>
      <c r="GF215" t="inlineStr"/>
      <c r="GG215" t="inlineStr"/>
      <c r="GH215" t="inlineStr"/>
      <c r="GI215" t="inlineStr"/>
      <c r="GJ215" t="inlineStr"/>
      <c r="GK215" t="inlineStr"/>
      <c r="GL215" t="inlineStr"/>
      <c r="GM215" t="inlineStr"/>
      <c r="GN215" t="inlineStr"/>
      <c r="GO215" t="inlineStr"/>
      <c r="GP215" t="inlineStr"/>
      <c r="GQ215" t="inlineStr"/>
      <c r="GR215" t="inlineStr"/>
      <c r="GS215" t="inlineStr"/>
      <c r="GT215" t="inlineStr"/>
      <c r="GU215" t="inlineStr"/>
      <c r="GV215" t="inlineStr"/>
      <c r="GW215" t="inlineStr"/>
      <c r="GX215" t="inlineStr"/>
      <c r="GY215" t="inlineStr"/>
      <c r="GZ215" t="inlineStr"/>
      <c r="HA215" t="inlineStr"/>
      <c r="HB215" t="inlineStr"/>
      <c r="HC215" t="inlineStr"/>
      <c r="HD215" t="inlineStr"/>
      <c r="HE215" t="inlineStr"/>
      <c r="HF215" t="inlineStr"/>
      <c r="HG215" t="inlineStr"/>
      <c r="HH215" t="inlineStr"/>
      <c r="HI215" t="inlineStr"/>
      <c r="HJ215" t="inlineStr"/>
      <c r="HK215" t="inlineStr"/>
      <c r="HL215" t="inlineStr"/>
      <c r="HM215" t="inlineStr"/>
      <c r="HN215" t="inlineStr"/>
      <c r="HO215" t="inlineStr"/>
      <c r="HP215" t="inlineStr"/>
      <c r="HQ215" t="inlineStr"/>
      <c r="HR215" t="inlineStr"/>
      <c r="HS215" t="inlineStr"/>
      <c r="HT215" t="inlineStr"/>
      <c r="HU215" t="inlineStr"/>
      <c r="HV215" t="inlineStr"/>
      <c r="HW215" t="inlineStr"/>
      <c r="HX215" t="inlineStr"/>
      <c r="HY215" t="inlineStr"/>
      <c r="HZ215" t="inlineStr"/>
      <c r="IA215" t="inlineStr"/>
      <c r="IB215" t="inlineStr"/>
      <c r="IC215" t="inlineStr"/>
      <c r="ID215" t="inlineStr"/>
      <c r="IE215" t="inlineStr">
        <is>
          <t>974</t>
        </is>
      </c>
      <c r="IF215" t="inlineStr">
        <is>
          <t>Blog (974)</t>
        </is>
      </c>
      <c r="IG215" t="inlineStr"/>
      <c r="IH215" t="inlineStr"/>
      <c r="II215" t="inlineStr"/>
      <c r="IJ215" t="inlineStr"/>
      <c r="IK215" t="inlineStr"/>
      <c r="IL215" t="inlineStr"/>
      <c r="IM215" t="inlineStr"/>
      <c r="IN215" t="inlineStr"/>
      <c r="IO215" t="inlineStr"/>
      <c r="IP215" t="inlineStr"/>
      <c r="IQ215" t="inlineStr"/>
      <c r="IR215" t="inlineStr"/>
      <c r="IS215">
        <f>IF(input_content_type="",FALSE,ISNUMBER(SEARCH(","&amp;LOWER(input_content_type)&amp;",",","&amp;LOWER(F215)&amp;",")))</f>
        <v/>
      </c>
      <c r="IT215">
        <f>AND(IF(M215="",TRUE,IF(input_affiliations="",FALSE,SUMPRODUCT(--ISNUMBER(SEARCH(","&amp;TRIM(TEXTSPLIT(M215,","))&amp;",",","&amp;SUBSTITUTE(input_affiliations," ","")&amp;",")))&gt;0)),IF(O215="",TRUE,IF(input_affiliations="",FALSE,SUMPRODUCT(--ISNUMBER(SEARCH(","&amp;TRIM(TEXTSPLIT(O215,","))&amp;",",","&amp;SUBSTITUTE(input_affiliations," ","")&amp;",")))=COUNTA(TEXTSPLIT(O215,",")))),IF(Q215="",TRUE,IF(input_affiliations="",TRUE,SUMPRODUCT(--ISNUMBER(SEARCH(","&amp;TRIM(TEXTSPLIT(Q215,","))&amp;",",","&amp;SUBSTITUTE(input_affiliations," ","")&amp;",")))=0)),IF(S215="",TRUE,IF(input_affiliations="",FALSE,SUMPRODUCT(--ISNUMBER(SEARCH(","&amp;TRIM(TEXTSPLIT(S215,","))&amp;",",","&amp;SUBSTITUTE(input_affiliations," ","")&amp;",")))&gt;0)),IF(U215="",TRUE,IF(input_affiliations="",FALSE,SUMPRODUCT(--ISNUMBER(SEARCH(","&amp;TRIM(TEXTSPLIT(U215,","))&amp;",",","&amp;SUBSTITUTE(input_affiliations," ","")&amp;",")))=COUNTA(TEXTSPLIT(U215,",")))))</f>
        <v/>
      </c>
      <c r="IU215">
        <f>AND(IF(W215="",TRUE,IF(input_announcement_category="",FALSE,SUMPRODUCT(--ISNUMBER(SEARCH(","&amp;TRIM(TEXTSPLIT(W215,","))&amp;",",","&amp;SUBSTITUTE(input_announcement_category," ","")&amp;",")))&gt;0)),IF(Y215="",TRUE,IF(input_announcement_category="",FALSE,SUMPRODUCT(--ISNUMBER(SEARCH(","&amp;TRIM(TEXTSPLIT(Y215,","))&amp;",",","&amp;SUBSTITUTE(input_announcement_category," ","")&amp;",")))=COUNTA(TEXTSPLIT(Y215,",")))),IF(AA215="",TRUE,IF(input_announcement_category="",TRUE,SUMPRODUCT(--ISNUMBER(SEARCH(","&amp;TRIM(TEXTSPLIT(AA215,","))&amp;",",","&amp;SUBSTITUTE(input_announcement_category," ","")&amp;",")))=0)),IF(AC215="",TRUE,IF(input_announcement_category="",FALSE,SUMPRODUCT(--ISNUMBER(SEARCH(","&amp;TRIM(TEXTSPLIT(AC215,","))&amp;",",","&amp;SUBSTITUTE(input_announcement_category," ","")&amp;",")))&gt;0)),IF(AE215="",TRUE,IF(input_announcement_category="",FALSE,SUMPRODUCT(--ISNUMBER(SEARCH(","&amp;TRIM(TEXTSPLIT(AE215,","))&amp;",",","&amp;SUBSTITUTE(input_announcement_category," ","")&amp;",")))=COUNTA(TEXTSPLIT(AE215,",")))))</f>
        <v/>
      </c>
      <c r="IV215">
        <f>AND(IF(AG215="",TRUE,IF(input_area_of_focus="",FALSE,SUMPRODUCT(--ISNUMBER(SEARCH(","&amp;TRIM(TEXTSPLIT(AG215,","))&amp;",",","&amp;SUBSTITUTE(input_area_of_focus," ","")&amp;",")))&gt;0)),IF(AI215="",TRUE,IF(input_area_of_focus="",FALSE,SUMPRODUCT(--ISNUMBER(SEARCH(","&amp;TRIM(TEXTSPLIT(AI215,","))&amp;",",","&amp;SUBSTITUTE(input_area_of_focus," ","")&amp;",")))=COUNTA(TEXTSPLIT(AI215,",")))),IF(AK215="",TRUE,IF(input_area_of_focus="",TRUE,SUMPRODUCT(--ISNUMBER(SEARCH(","&amp;TRIM(TEXTSPLIT(AK215,","))&amp;",",","&amp;SUBSTITUTE(input_area_of_focus," ","")&amp;",")))=0)),IF(AM215="",TRUE,IF(input_area_of_focus="",FALSE,SUMPRODUCT(--ISNUMBER(SEARCH(","&amp;TRIM(TEXTSPLIT(AM215,","))&amp;",",","&amp;SUBSTITUTE(input_area_of_focus," ","")&amp;",")))&gt;0)),IF(AO215="",TRUE,IF(input_area_of_focus="",FALSE,SUMPRODUCT(--ISNUMBER(SEARCH(","&amp;TRIM(TEXTSPLIT(AO215,","))&amp;",",","&amp;SUBSTITUTE(input_area_of_focus," ","")&amp;",")))=COUNTA(TEXTSPLIT(AO215,",")))))</f>
        <v/>
      </c>
      <c r="IW215">
        <f>AND(IF(AQ215="",TRUE,IF(input_audience="",FALSE,SUMPRODUCT(--ISNUMBER(SEARCH(","&amp;TRIM(TEXTSPLIT(AQ215,","))&amp;",",","&amp;SUBSTITUTE(input_audience," ","")&amp;",")))&gt;0)),IF(AS215="",TRUE,IF(input_audience="",FALSE,SUMPRODUCT(--ISNUMBER(SEARCH(","&amp;TRIM(TEXTSPLIT(AS215,","))&amp;",",","&amp;SUBSTITUTE(input_audience," ","")&amp;",")))=COUNTA(TEXTSPLIT(AS215,",")))),IF(AU215="",TRUE,IF(input_audience="",TRUE,SUMPRODUCT(--ISNUMBER(SEARCH(","&amp;TRIM(TEXTSPLIT(AU215,","))&amp;",",","&amp;SUBSTITUTE(input_audience," ","")&amp;",")))=0)),IF(AW215="",TRUE,IF(input_audience="",FALSE,SUMPRODUCT(--ISNUMBER(SEARCH(","&amp;TRIM(TEXTSPLIT(AW215,","))&amp;",",","&amp;SUBSTITUTE(input_audience," ","")&amp;",")))&gt;0)),IF(AY215="",TRUE,IF(input_audience="",FALSE,SUMPRODUCT(--ISNUMBER(SEARCH(","&amp;TRIM(TEXTSPLIT(AY215,","))&amp;",",","&amp;SUBSTITUTE(input_audience," ","")&amp;",")))=COUNTA(TEXTSPLIT(AY215,",")))))</f>
        <v/>
      </c>
      <c r="IX215">
        <f>AND(IF(BA215="",TRUE,IF(input_challenge_opportunities="",FALSE,SUMPRODUCT(--ISNUMBER(SEARCH(","&amp;TRIM(TEXTSPLIT(BA215,","))&amp;",",","&amp;SUBSTITUTE(input_challenge_opportunities," ","")&amp;",")))&gt;0)),IF(BC215="",TRUE,IF(input_challenge_opportunities="",FALSE,SUMPRODUCT(--ISNUMBER(SEARCH(","&amp;TRIM(TEXTSPLIT(BC215,","))&amp;",",","&amp;SUBSTITUTE(input_challenge_opportunities," ","")&amp;",")))=COUNTA(TEXTSPLIT(BC215,",")))),IF(BE215="",TRUE,IF(input_challenge_opportunities="",TRUE,SUMPRODUCT(--ISNUMBER(SEARCH(","&amp;TRIM(TEXTSPLIT(BE215,","))&amp;",",","&amp;SUBSTITUTE(input_challenge_opportunities," ","")&amp;",")))=0)),IF(BG215="",TRUE,IF(input_challenge_opportunities="",FALSE,SUMPRODUCT(--ISNUMBER(SEARCH(","&amp;TRIM(TEXTSPLIT(BG215,","))&amp;",",","&amp;SUBSTITUTE(input_challenge_opportunities," ","")&amp;",")))&gt;0)),IF(BI215="",TRUE,IF(input_challenge_opportunities="",FALSE,SUMPRODUCT(--ISNUMBER(SEARCH(","&amp;TRIM(TEXTSPLIT(BI215,","))&amp;",",","&amp;SUBSTITUTE(input_challenge_opportunities," ","")&amp;",")))=COUNTA(TEXTSPLIT(BI215,",")))))</f>
        <v/>
      </c>
      <c r="IY215">
        <f>AND(IF(BK215="",TRUE,IF(input_context="",FALSE,SUMPRODUCT(--ISNUMBER(SEARCH(","&amp;TRIM(TEXTSPLIT(BK215,","))&amp;",",","&amp;SUBSTITUTE(input_context," ","")&amp;",")))&gt;0)),IF(BM215="",TRUE,IF(input_context="",FALSE,SUMPRODUCT(--ISNUMBER(SEARCH(","&amp;TRIM(TEXTSPLIT(BM215,","))&amp;",",","&amp;SUBSTITUTE(input_context," ","")&amp;",")))=COUNTA(TEXTSPLIT(BM215,",")))),IF(BO215="",TRUE,IF(input_context="",TRUE,SUMPRODUCT(--ISNUMBER(SEARCH(","&amp;TRIM(TEXTSPLIT(BO215,","))&amp;",",","&amp;SUBSTITUTE(input_context," ","")&amp;",")))=0)),IF(BQ215="",TRUE,IF(input_context="",FALSE,SUMPRODUCT(--ISNUMBER(SEARCH(","&amp;TRIM(TEXTSPLIT(BQ215,","))&amp;",",","&amp;SUBSTITUTE(input_context," ","")&amp;",")))&gt;0)),IF(BS215="",TRUE,IF(input_context="",FALSE,SUMPRODUCT(--ISNUMBER(SEARCH(","&amp;TRIM(TEXTSPLIT(BS215,","))&amp;",",","&amp;SUBSTITUTE(input_context," ","")&amp;",")))=COUNTA(TEXTSPLIT(BS215,",")))))</f>
        <v/>
      </c>
      <c r="IZ215">
        <f>AND(IF(BU215="",TRUE,IF(input_enews_announcement_type="",FALSE,SUMPRODUCT(--ISNUMBER(SEARCH(","&amp;TRIM(TEXTSPLIT(BU215,","))&amp;",",","&amp;SUBSTITUTE(input_enews_announcement_type," ","")&amp;",")))&gt;0)),IF(BW215="",TRUE,IF(input_enews_announcement_type="",FALSE,SUMPRODUCT(--ISNUMBER(SEARCH(","&amp;TRIM(TEXTSPLIT(BW215,","))&amp;",",","&amp;SUBSTITUTE(input_enews_announcement_type," ","")&amp;",")))=COUNTA(TEXTSPLIT(BW215,",")))),IF(BY215="",TRUE,IF(input_enews_announcement_type="",TRUE,SUMPRODUCT(--ISNUMBER(SEARCH(","&amp;TRIM(TEXTSPLIT(BY215,","))&amp;",",","&amp;SUBSTITUTE(input_enews_announcement_type," ","")&amp;",")))=0)),IF(CA215="",TRUE,IF(input_enews_announcement_type="",FALSE,SUMPRODUCT(--ISNUMBER(SEARCH(","&amp;TRIM(TEXTSPLIT(CA215,","))&amp;",",","&amp;SUBSTITUTE(input_enews_announcement_type," ","")&amp;",")))&gt;0)),IF(CC215="",TRUE,IF(input_enews_announcement_type="",FALSE,SUMPRODUCT(--ISNUMBER(SEARCH(","&amp;TRIM(TEXTSPLIT(CC215,","))&amp;",",","&amp;SUBSTITUTE(input_enews_announcement_type," ","")&amp;",")))=COUNTA(TEXTSPLIT(CC215,",")))))</f>
        <v/>
      </c>
      <c r="JA215">
        <f>AND(IF(CE215="",TRUE,IF(input_enews_audience="",FALSE,SUMPRODUCT(--ISNUMBER(SEARCH(","&amp;TRIM(TEXTSPLIT(CE215,","))&amp;",",","&amp;SUBSTITUTE(input_enews_audience," ","")&amp;",")))&gt;0)),IF(CG215="",TRUE,IF(input_enews_audience="",FALSE,SUMPRODUCT(--ISNUMBER(SEARCH(","&amp;TRIM(TEXTSPLIT(CG215,","))&amp;",",","&amp;SUBSTITUTE(input_enews_audience," ","")&amp;",")))=COUNTA(TEXTSPLIT(CG215,",")))),IF(CI215="",TRUE,IF(input_enews_audience="",TRUE,SUMPRODUCT(--ISNUMBER(SEARCH(","&amp;TRIM(TEXTSPLIT(CI215,","))&amp;",",","&amp;SUBSTITUTE(input_enews_audience," ","")&amp;",")))=0)),IF(CK215="",TRUE,IF(input_enews_audience="",FALSE,SUMPRODUCT(--ISNUMBER(SEARCH(","&amp;TRIM(TEXTSPLIT(CK215,","))&amp;",",","&amp;SUBSTITUTE(input_enews_audience," ","")&amp;",")))&gt;0)),IF(CM215="",TRUE,IF(input_enews_audience="",FALSE,SUMPRODUCT(--ISNUMBER(SEARCH(","&amp;TRIM(TEXTSPLIT(CM215,","))&amp;",",","&amp;SUBSTITUTE(input_enews_audience," ","")&amp;",")))=COUNTA(TEXTSPLIT(CM215,",")))))</f>
        <v/>
      </c>
      <c r="JB215">
        <f>AND(IF(CO215="",TRUE,IF(input_event_location="",FALSE,SUMPRODUCT(--ISNUMBER(SEARCH(","&amp;TRIM(TEXTSPLIT(CO215,","))&amp;",",","&amp;SUBSTITUTE(input_event_location," ","")&amp;",")))&gt;0)),IF(CQ215="",TRUE,IF(input_event_location="",FALSE,SUMPRODUCT(--ISNUMBER(SEARCH(","&amp;TRIM(TEXTSPLIT(CQ215,","))&amp;",",","&amp;SUBSTITUTE(input_event_location," ","")&amp;",")))=COUNTA(TEXTSPLIT(CQ215,",")))),IF(CS215="",TRUE,IF(input_event_location="",TRUE,SUMPRODUCT(--ISNUMBER(SEARCH(","&amp;TRIM(TEXTSPLIT(CS215,","))&amp;",",","&amp;SUBSTITUTE(input_event_location," ","")&amp;",")))=0)),IF(CU215="",TRUE,IF(input_event_location="",FALSE,SUMPRODUCT(--ISNUMBER(SEARCH(","&amp;TRIM(TEXTSPLIT(CU215,","))&amp;",",","&amp;SUBSTITUTE(input_event_location," ","")&amp;",")))&gt;0)),IF(CW215="",TRUE,IF(input_event_location="",FALSE,SUMPRODUCT(--ISNUMBER(SEARCH(","&amp;TRIM(TEXTSPLIT(CW215,","))&amp;",",","&amp;SUBSTITUTE(input_event_location," ","")&amp;",")))=COUNTA(TEXTSPLIT(CW215,",")))))</f>
        <v/>
      </c>
      <c r="JC215">
        <f>AND(IF(CY215="",TRUE,IF(input_event_type="",FALSE,SUMPRODUCT(--ISNUMBER(SEARCH(","&amp;TRIM(TEXTSPLIT(CY215,","))&amp;",",","&amp;SUBSTITUTE(input_event_type," ","")&amp;",")))&gt;0)),IF(DA215="",TRUE,IF(input_event_type="",FALSE,SUMPRODUCT(--ISNUMBER(SEARCH(","&amp;TRIM(TEXTSPLIT(DA215,","))&amp;",",","&amp;SUBSTITUTE(input_event_type," ","")&amp;",")))=COUNTA(TEXTSPLIT(DA215,",")))),IF(DC215="",TRUE,IF(input_event_type="",TRUE,SUMPRODUCT(--ISNUMBER(SEARCH(","&amp;TRIM(TEXTSPLIT(DC215,","))&amp;",",","&amp;SUBSTITUTE(input_event_type," ","")&amp;",")))=0)),IF(DE215="",TRUE,IF(input_event_type="",FALSE,SUMPRODUCT(--ISNUMBER(SEARCH(","&amp;TRIM(TEXTSPLIT(DE215,","))&amp;",",","&amp;SUBSTITUTE(input_event_type," ","")&amp;",")))&gt;0)),IF(DG215="",TRUE,IF(input_event_type="",FALSE,SUMPRODUCT(--ISNUMBER(SEARCH(","&amp;TRIM(TEXTSPLIT(DG215,","))&amp;",",","&amp;SUBSTITUTE(input_event_type," ","")&amp;",")))=COUNTA(TEXTSPLIT(DG215,",")))))</f>
        <v/>
      </c>
      <c r="JD215">
        <f>AND(IF(DI215="",TRUE,IF(input_executive_education_focus="",FALSE,SUMPRODUCT(--ISNUMBER(SEARCH(","&amp;TRIM(TEXTSPLIT(DI215,","))&amp;",",","&amp;SUBSTITUTE(input_executive_education_focus," ","")&amp;",")))&gt;0)),IF(DK215="",TRUE,IF(input_executive_education_focus="",FALSE,SUMPRODUCT(--ISNUMBER(SEARCH(","&amp;TRIM(TEXTSPLIT(DK215,","))&amp;",",","&amp;SUBSTITUTE(input_executive_education_focus," ","")&amp;",")))=COUNTA(TEXTSPLIT(DK215,",")))),IF(DM215="",TRUE,IF(input_executive_education_focus="",TRUE,SUMPRODUCT(--ISNUMBER(SEARCH(","&amp;TRIM(TEXTSPLIT(DM215,","))&amp;",",","&amp;SUBSTITUTE(input_executive_education_focus," ","")&amp;",")))=0)),IF(DO215="",TRUE,IF(input_executive_education_focus="",FALSE,SUMPRODUCT(--ISNUMBER(SEARCH(","&amp;TRIM(TEXTSPLIT(DO215,","))&amp;",",","&amp;SUBSTITUTE(input_executive_education_focus," ","")&amp;",")))&gt;0)),IF(DQ215="",TRUE,IF(input_executive_education_focus="",FALSE,SUMPRODUCT(--ISNUMBER(SEARCH(","&amp;TRIM(TEXTSPLIT(DQ215,","))&amp;",",","&amp;SUBSTITUTE(input_executive_education_focus," ","")&amp;",")))=COUNTA(TEXTSPLIT(DQ215,",")))))</f>
        <v/>
      </c>
      <c r="JE215">
        <f>AND(IF(DS215="",TRUE,IF(input_faculty_category="",FALSE,SUMPRODUCT(--ISNUMBER(SEARCH(","&amp;TRIM(TEXTSPLIT(DS215,","))&amp;",",","&amp;SUBSTITUTE(input_faculty_category," ","")&amp;",")))&gt;0)),IF(DU215="",TRUE,IF(input_faculty_category="",FALSE,SUMPRODUCT(--ISNUMBER(SEARCH(","&amp;TRIM(TEXTSPLIT(DU215,","))&amp;",",","&amp;SUBSTITUTE(input_faculty_category," ","")&amp;",")))=COUNTA(TEXTSPLIT(DU215,",")))),IF(DW215="",TRUE,IF(input_faculty_category="",TRUE,SUMPRODUCT(--ISNUMBER(SEARCH(","&amp;TRIM(TEXTSPLIT(DW215,","))&amp;",",","&amp;SUBSTITUTE(input_faculty_category," ","")&amp;",")))=0)),IF(DY215="",TRUE,IF(input_faculty_category="",FALSE,SUMPRODUCT(--ISNUMBER(SEARCH(","&amp;TRIM(TEXTSPLIT(DY215,","))&amp;",",","&amp;SUBSTITUTE(input_faculty_category," ","")&amp;",")))&gt;0)),IF(EA215="",TRUE,IF(input_faculty_category="",FALSE,SUMPRODUCT(--ISNUMBER(SEARCH(","&amp;TRIM(TEXTSPLIT(EA215,","))&amp;",",","&amp;SUBSTITUTE(input_faculty_category," ","")&amp;",")))=COUNTA(TEXTSPLIT(EA215,",")))))</f>
        <v/>
      </c>
      <c r="JF215">
        <f>AND(IF(EC215="",TRUE,IF(input_faculty_discipline="",FALSE,SUMPRODUCT(--ISNUMBER(SEARCH(","&amp;TRIM(TEXTSPLIT(EC215,","))&amp;",",","&amp;SUBSTITUTE(input_faculty_discipline," ","")&amp;",")))&gt;0)),IF(EE215="",TRUE,IF(input_faculty_discipline="",FALSE,SUMPRODUCT(--ISNUMBER(SEARCH(","&amp;TRIM(TEXTSPLIT(EE215,","))&amp;",",","&amp;SUBSTITUTE(input_faculty_discipline," ","")&amp;",")))=COUNTA(TEXTSPLIT(EE215,",")))),IF(EG215="",TRUE,IF(input_faculty_discipline="",TRUE,SUMPRODUCT(--ISNUMBER(SEARCH(","&amp;TRIM(TEXTSPLIT(EG215,","))&amp;",",","&amp;SUBSTITUTE(input_faculty_discipline," ","")&amp;",")))=0)),IF(EI215="",TRUE,IF(input_faculty_discipline="",FALSE,SUMPRODUCT(--ISNUMBER(SEARCH(","&amp;TRIM(TEXTSPLIT(EI215,","))&amp;",",","&amp;SUBSTITUTE(input_faculty_discipline," ","")&amp;",")))&gt;0)),IF(EK215="",TRUE,IF(input_faculty_discipline="",FALSE,SUMPRODUCT(--ISNUMBER(SEARCH(","&amp;TRIM(TEXTSPLIT(EK215,","))&amp;",",","&amp;SUBSTITUTE(input_faculty_discipline," ","")&amp;",")))=COUNTA(TEXTSPLIT(EK215,",")))))</f>
        <v/>
      </c>
      <c r="JG215">
        <f>AND(IF(EM215="",TRUE,IF(input_faculty_expertise="",FALSE,SUMPRODUCT(--ISNUMBER(SEARCH(","&amp;TRIM(TEXTSPLIT(EM215,","))&amp;",",","&amp;SUBSTITUTE(input_faculty_expertise," ","")&amp;",")))&gt;0)),IF(EO215="",TRUE,IF(input_faculty_expertise="",FALSE,SUMPRODUCT(--ISNUMBER(SEARCH(","&amp;TRIM(TEXTSPLIT(EO215,","))&amp;",",","&amp;SUBSTITUTE(input_faculty_expertise," ","")&amp;",")))=COUNTA(TEXTSPLIT(EO215,",")))),IF(EQ215="",TRUE,IF(input_faculty_expertise="",TRUE,SUMPRODUCT(--ISNUMBER(SEARCH(","&amp;TRIM(TEXTSPLIT(EQ215,","))&amp;",",","&amp;SUBSTITUTE(input_faculty_expertise," ","")&amp;",")))=0)),IF(ES215="",TRUE,IF(input_faculty_expertise="",FALSE,SUMPRODUCT(--ISNUMBER(SEARCH(","&amp;TRIM(TEXTSPLIT(ES215,","))&amp;",",","&amp;SUBSTITUTE(input_faculty_expertise," ","")&amp;",")))&gt;0)),IF(EU215="",TRUE,IF(input_faculty_expertise="",FALSE,SUMPRODUCT(--ISNUMBER(SEARCH(","&amp;TRIM(TEXTSPLIT(EU215,","))&amp;",",","&amp;SUBSTITUTE(input_faculty_expertise," ","")&amp;",")))=COUNTA(TEXTSPLIT(EU215,",")))))</f>
        <v/>
      </c>
      <c r="JH215">
        <f>AND(IF(EW215="",TRUE,IF(input_global_network_school="",FALSE,SUMPRODUCT(--ISNUMBER(SEARCH(","&amp;TRIM(TEXTSPLIT(EW215,","))&amp;",",","&amp;SUBSTITUTE(input_global_network_school," ","")&amp;",")))&gt;0)),IF(EY215="",TRUE,IF(input_global_network_school="",FALSE,SUMPRODUCT(--ISNUMBER(SEARCH(","&amp;TRIM(TEXTSPLIT(EY215,","))&amp;",",","&amp;SUBSTITUTE(input_global_network_school," ","")&amp;",")))=COUNTA(TEXTSPLIT(EY215,",")))),IF(FA215="",TRUE,IF(input_global_network_school="",TRUE,SUMPRODUCT(--ISNUMBER(SEARCH(","&amp;TRIM(TEXTSPLIT(FA215,","))&amp;",",","&amp;SUBSTITUTE(input_global_network_school," ","")&amp;",")))=0)),IF(FC215="",TRUE,IF(input_global_network_school="",FALSE,SUMPRODUCT(--ISNUMBER(SEARCH(","&amp;TRIM(TEXTSPLIT(FC215,","))&amp;",",","&amp;SUBSTITUTE(input_global_network_school," ","")&amp;",")))&gt;0)),IF(FE215="",TRUE,IF(input_global_network_school="",FALSE,SUMPRODUCT(--ISNUMBER(SEARCH(","&amp;TRIM(TEXTSPLIT(FE215,","))&amp;",",","&amp;SUBSTITUTE(input_global_network_school," ","")&amp;",")))=COUNTA(TEXTSPLIT(FE215,",")))))</f>
        <v/>
      </c>
      <c r="JI215">
        <f>AND(IF(FG215="",TRUE,IF(input_industry="",FALSE,SUMPRODUCT(--ISNUMBER(SEARCH(","&amp;TRIM(TEXTSPLIT(FG215,","))&amp;",",","&amp;SUBSTITUTE(input_industry," ","")&amp;",")))&gt;0)),IF(FI215="",TRUE,IF(input_industry="",FALSE,SUMPRODUCT(--ISNUMBER(SEARCH(","&amp;TRIM(TEXTSPLIT(FI215,","))&amp;",",","&amp;SUBSTITUTE(input_industry," ","")&amp;",")))=COUNTA(TEXTSPLIT(FI215,",")))),IF(FK215="",TRUE,IF(input_industry="",TRUE,SUMPRODUCT(--ISNUMBER(SEARCH(","&amp;TRIM(TEXTSPLIT(FK215,","))&amp;",",","&amp;SUBSTITUTE(input_industry," ","")&amp;",")))=0)),IF(FM215="",TRUE,IF(input_industry="",FALSE,SUMPRODUCT(--ISNUMBER(SEARCH(","&amp;TRIM(TEXTSPLIT(FM215,","))&amp;",",","&amp;SUBSTITUTE(input_industry," ","")&amp;",")))&gt;0)),IF(FO215="",TRUE,IF(input_industry="",FALSE,SUMPRODUCT(--ISNUMBER(SEARCH(","&amp;TRIM(TEXTSPLIT(FO215,","))&amp;",",","&amp;SUBSTITUTE(input_industry," ","")&amp;",")))=COUNTA(TEXTSPLIT(FO215,",")))))</f>
        <v/>
      </c>
      <c r="JJ215">
        <f>AND(IF(FQ215="",TRUE,IF(input_location="",FALSE,SUMPRODUCT(--ISNUMBER(SEARCH(","&amp;TRIM(TEXTSPLIT(FQ215,","))&amp;",",","&amp;SUBSTITUTE(input_location," ","")&amp;",")))&gt;0)),IF(FS215="",TRUE,IF(input_location="",FALSE,SUMPRODUCT(--ISNUMBER(SEARCH(","&amp;TRIM(TEXTSPLIT(FS215,","))&amp;",",","&amp;SUBSTITUTE(input_location," ","")&amp;",")))=COUNTA(TEXTSPLIT(FS215,",")))),IF(FU215="",TRUE,IF(input_location="",TRUE,SUMPRODUCT(--ISNUMBER(SEARCH(","&amp;TRIM(TEXTSPLIT(FU215,","))&amp;",",","&amp;SUBSTITUTE(input_location," ","")&amp;",")))=0)),IF(FW215="",TRUE,IF(input_location="",FALSE,SUMPRODUCT(--ISNUMBER(SEARCH(","&amp;TRIM(TEXTSPLIT(FW215,","))&amp;",",","&amp;SUBSTITUTE(input_location," ","")&amp;",")))&gt;0)),IF(FY215="",TRUE,IF(input_location="",FALSE,SUMPRODUCT(--ISNUMBER(SEARCH(","&amp;TRIM(TEXTSPLIT(FY215,","))&amp;",",","&amp;SUBSTITUTE(input_location," ","")&amp;",")))=COUNTA(TEXTSPLIT(FY215,",")))))</f>
        <v/>
      </c>
      <c r="JK215">
        <f>AND(IF(GA215="",TRUE,IF(input_modality="",FALSE,SUMPRODUCT(--ISNUMBER(SEARCH(","&amp;TRIM(TEXTSPLIT(GA215,","))&amp;",",","&amp;SUBSTITUTE(input_modality," ","")&amp;",")))&gt;0)),IF(GC215="",TRUE,IF(input_modality="",FALSE,SUMPRODUCT(--ISNUMBER(SEARCH(","&amp;TRIM(TEXTSPLIT(GC215,","))&amp;",",","&amp;SUBSTITUTE(input_modality," ","")&amp;",")))=COUNTA(TEXTSPLIT(GC215,",")))),IF(GE215="",TRUE,IF(input_modality="",TRUE,SUMPRODUCT(--ISNUMBER(SEARCH(","&amp;TRIM(TEXTSPLIT(GE215,","))&amp;",",","&amp;SUBSTITUTE(input_modality," ","")&amp;",")))=0)),IF(GG215="",TRUE,IF(input_modality="",FALSE,SUMPRODUCT(--ISNUMBER(SEARCH(","&amp;TRIM(TEXTSPLIT(GG215,","))&amp;",",","&amp;SUBSTITUTE(input_modality," ","")&amp;",")))&gt;0)),IF(GI215="",TRUE,IF(input_modality="",FALSE,SUMPRODUCT(--ISNUMBER(SEARCH(","&amp;TRIM(TEXTSPLIT(GI215,","))&amp;",",","&amp;SUBSTITUTE(input_modality," ","")&amp;",")))=COUNTA(TEXTSPLIT(GI215,",")))))</f>
        <v/>
      </c>
      <c r="JL215">
        <f>AND(IF(GK215="",TRUE,IF(input_organizer="",FALSE,SUMPRODUCT(--ISNUMBER(SEARCH(","&amp;TRIM(TEXTSPLIT(GK215,","))&amp;",",","&amp;SUBSTITUTE(input_organizer," ","")&amp;",")))&gt;0)),IF(GM215="",TRUE,IF(input_organizer="",FALSE,SUMPRODUCT(--ISNUMBER(SEARCH(","&amp;TRIM(TEXTSPLIT(GM215,","))&amp;",",","&amp;SUBSTITUTE(input_organizer," ","")&amp;",")))=COUNTA(TEXTSPLIT(GM215,",")))),IF(GO215="",TRUE,IF(input_organizer="",TRUE,SUMPRODUCT(--ISNUMBER(SEARCH(","&amp;TRIM(TEXTSPLIT(GO215,","))&amp;",",","&amp;SUBSTITUTE(input_organizer," ","")&amp;",")))=0)),IF(GQ215="",TRUE,IF(input_organizer="",FALSE,SUMPRODUCT(--ISNUMBER(SEARCH(","&amp;TRIM(TEXTSPLIT(GQ215,","))&amp;",",","&amp;SUBSTITUTE(input_organizer," ","")&amp;",")))&gt;0)),IF(GS215="",TRUE,IF(input_organizer="",FALSE,SUMPRODUCT(--ISNUMBER(SEARCH(","&amp;TRIM(TEXTSPLIT(GS215,","))&amp;",",","&amp;SUBSTITUTE(input_organizer," ","")&amp;",")))=COUNTA(TEXTSPLIT(GS215,",")))))</f>
        <v/>
      </c>
      <c r="JM215">
        <f>AND(IF(GU215="",TRUE,IF(input_profile_type="",FALSE,SUMPRODUCT(--ISNUMBER(SEARCH(","&amp;TRIM(TEXTSPLIT(GU215,","))&amp;",",","&amp;SUBSTITUTE(input_profile_type," ","")&amp;",")))&gt;0)),IF(GW215="",TRUE,IF(input_profile_type="",FALSE,SUMPRODUCT(--ISNUMBER(SEARCH(","&amp;TRIM(TEXTSPLIT(GW215,","))&amp;",",","&amp;SUBSTITUTE(input_profile_type," ","")&amp;",")))=COUNTA(TEXTSPLIT(GW215,",")))),IF(GY215="",TRUE,IF(input_profile_type="",TRUE,SUMPRODUCT(--ISNUMBER(SEARCH(","&amp;TRIM(TEXTSPLIT(GY215,","))&amp;",",","&amp;SUBSTITUTE(input_profile_type," ","")&amp;",")))=0)),IF(HA215="",TRUE,IF(input_profile_type="",FALSE,SUMPRODUCT(--ISNUMBER(SEARCH(","&amp;TRIM(TEXTSPLIT(HA215,","))&amp;",",","&amp;SUBSTITUTE(input_profile_type," ","")&amp;",")))&gt;0)),IF(HC215="",TRUE,IF(input_profile_type="",FALSE,SUMPRODUCT(--ISNUMBER(SEARCH(","&amp;TRIM(TEXTSPLIT(HC215,","))&amp;",",","&amp;SUBSTITUTE(input_profile_type," ","")&amp;",")))=COUNTA(TEXTSPLIT(HC215,",")))))</f>
        <v/>
      </c>
      <c r="JN215">
        <f>AND(IF(HE215="",TRUE,IF(input_program="",FALSE,SUMPRODUCT(--ISNUMBER(SEARCH(","&amp;TRIM(TEXTSPLIT(HE215,","))&amp;",",","&amp;SUBSTITUTE(input_program," ","")&amp;",")))&gt;0)),IF(HG215="",TRUE,IF(input_program="",FALSE,SUMPRODUCT(--ISNUMBER(SEARCH(","&amp;TRIM(TEXTSPLIT(HG215,","))&amp;",",","&amp;SUBSTITUTE(input_program," ","")&amp;",")))=COUNTA(TEXTSPLIT(HG215,",")))),IF(HI215="",TRUE,IF(input_program="",TRUE,SUMPRODUCT(--ISNUMBER(SEARCH(","&amp;TRIM(TEXTSPLIT(HI215,","))&amp;",",","&amp;SUBSTITUTE(input_program," ","")&amp;",")))=0)),IF(HK215="",TRUE,IF(input_program="",FALSE,SUMPRODUCT(--ISNUMBER(SEARCH(","&amp;TRIM(TEXTSPLIT(HK215,","))&amp;",",","&amp;SUBSTITUTE(input_program," ","")&amp;",")))&gt;0)),IF(HM215="",TRUE,IF(input_program="",FALSE,SUMPRODUCT(--ISNUMBER(SEARCH(","&amp;TRIM(TEXTSPLIT(HM215,","))&amp;",",","&amp;SUBSTITUTE(input_program," ","")&amp;",")))=COUNTA(TEXTSPLIT(HM215,",")))))</f>
        <v/>
      </c>
      <c r="JO215">
        <f>AND(IF(HO215="",TRUE,IF(input_story_categories="",FALSE,SUMPRODUCT(--ISNUMBER(SEARCH(","&amp;TRIM(TEXTSPLIT(HO215,","))&amp;",",","&amp;SUBSTITUTE(input_story_categories," ","")&amp;",")))&gt;0)),IF(HQ215="",TRUE,IF(input_story_categories="",FALSE,SUMPRODUCT(--ISNUMBER(SEARCH(","&amp;TRIM(TEXTSPLIT(HQ215,","))&amp;",",","&amp;SUBSTITUTE(input_story_categories," ","")&amp;",")))=COUNTA(TEXTSPLIT(HQ215,",")))),IF(HS215="",TRUE,IF(input_story_categories="",TRUE,SUMPRODUCT(--ISNUMBER(SEARCH(","&amp;TRIM(TEXTSPLIT(HS215,","))&amp;",",","&amp;SUBSTITUTE(input_story_categories," ","")&amp;",")))=0)),IF(HU215="",TRUE,IF(input_story_categories="",FALSE,SUMPRODUCT(--ISNUMBER(SEARCH(","&amp;TRIM(TEXTSPLIT(HU215,","))&amp;",",","&amp;SUBSTITUTE(input_story_categories," ","")&amp;",")))&gt;0)),IF(HW215="",TRUE,IF(input_story_categories="",FALSE,SUMPRODUCT(--ISNUMBER(SEARCH(","&amp;TRIM(TEXTSPLIT(HW215,","))&amp;",",","&amp;SUBSTITUTE(input_story_categories," ","")&amp;",")))=COUNTA(TEXTSPLIT(HW215,",")))))</f>
        <v/>
      </c>
      <c r="JP215">
        <f>AND(IF(HY215="",TRUE,IF(input_story_type="",FALSE,SUMPRODUCT(--ISNUMBER(SEARCH(","&amp;TRIM(TEXTSPLIT(HY215,","))&amp;",",","&amp;SUBSTITUTE(input_story_type," ","")&amp;",")))&gt;0)),IF(IA215="",TRUE,IF(input_story_type="",FALSE,SUMPRODUCT(--ISNUMBER(SEARCH(","&amp;TRIM(TEXTSPLIT(IA215,","))&amp;",",","&amp;SUBSTITUTE(input_story_type," ","")&amp;",")))=COUNTA(TEXTSPLIT(IA215,",")))),IF(IC215="",TRUE,IF(input_story_type="",TRUE,SUMPRODUCT(--ISNUMBER(SEARCH(","&amp;TRIM(TEXTSPLIT(IC215,","))&amp;",",","&amp;SUBSTITUTE(input_story_type," ","")&amp;",")))=0)),IF(IE215="",TRUE,IF(input_story_type="",FALSE,SUMPRODUCT(--ISNUMBER(SEARCH(","&amp;TRIM(TEXTSPLIT(IE215,","))&amp;",",","&amp;SUBSTITUTE(input_story_type," ","")&amp;",")))&gt;0)),IF(IG215="",TRUE,IF(input_story_type="",FALSE,SUMPRODUCT(--ISNUMBER(SEARCH(","&amp;TRIM(TEXTSPLIT(IG215,","))&amp;",",","&amp;SUBSTITUTE(input_story_type," ","")&amp;",")))=COUNTA(TEXTSPLIT(IG215,",")))))</f>
        <v/>
      </c>
      <c r="JQ215">
        <f>AND(IF(II215="",TRUE,IF(input_topics="",FALSE,SUMPRODUCT(--ISNUMBER(SEARCH(","&amp;TRIM(TEXTSPLIT(II215,","))&amp;",",","&amp;SUBSTITUTE(input_topics," ","")&amp;",")))&gt;0)),IF(IK215="",TRUE,IF(input_topics="",FALSE,SUMPRODUCT(--ISNUMBER(SEARCH(","&amp;TRIM(TEXTSPLIT(IK215,","))&amp;",",","&amp;SUBSTITUTE(input_topics," ","")&amp;",")))=COUNTA(TEXTSPLIT(IK215,",")))),IF(IM215="",TRUE,IF(input_topics="",TRUE,SUMPRODUCT(--ISNUMBER(SEARCH(","&amp;TRIM(TEXTSPLIT(IM215,","))&amp;",",","&amp;SUBSTITUTE(input_topics," ","")&amp;",")))=0)),IF(IO215="",TRUE,IF(input_topics="",FALSE,SUMPRODUCT(--ISNUMBER(SEARCH(","&amp;TRIM(TEXTSPLIT(IO215,","))&amp;",",","&amp;SUBSTITUTE(input_topics," ","")&amp;",")))&gt;0)),IF(IQ215="",TRUE,IF(input_topics="",FALSE,SUMPRODUCT(--ISNUMBER(SEARCH(","&amp;TRIM(TEXTSPLIT(IQ215,","))&amp;",",","&amp;SUBSTITUTE(input_topics," ","")&amp;",")))=COUNTA(TEXTSPLIT(IQ215,",")))))</f>
        <v/>
      </c>
    </row>
    <row r="216">
      <c r="A216" s="4">
        <f>IF(NOT(IS216),"Excluded",IF(AND(IT216,IU216,IV216,IW216,IX216,IY216,IZ216,JA216,JB216,JC216,JD216,JE216,JF216,JG216,JH216,JI216,JJ216,JK216,JL216,JM216,JN216,JO216,JP216,JQ216),IF(I216&gt;0,"Eligible but limited","Will appear"),"Excluded"))</f>
        <v/>
      </c>
      <c r="B216" s="4" t="inlineStr">
        <is>
          <t>Related stories on story pages</t>
        </is>
      </c>
      <c r="C216" s="4" t="inlineStr">
        <is>
          <t>/story/2025/swensen-symposium-celebrates-yale-cios-lasting-legacy</t>
        </is>
      </c>
      <c r="D216" s="4" t="inlineStr">
        <is>
          <t>/story/2025/swensen-symposium-celebrates-yale-cios-lasting-legacy</t>
        </is>
      </c>
      <c r="E216" s="4" t="n">
        <v>1</v>
      </c>
      <c r="F216" s="4" t="inlineStr">
        <is>
          <t>story</t>
        </is>
      </c>
      <c r="G216" s="4" t="inlineStr">
        <is>
          <t>stories_teaser_cards</t>
        </is>
      </c>
      <c r="H216" s="4" t="inlineStr">
        <is>
          <t>embed_all</t>
        </is>
      </c>
      <c r="I216" s="4" t="n">
        <v>3</v>
      </c>
      <c r="J216" s="4" t="inlineStr">
        <is>
          <t>Template logic</t>
        </is>
      </c>
      <c r="K216" s="4" t="inlineStr">
        <is>
          <t>Grouped surface</t>
        </is>
      </c>
      <c r="L216" s="4" t="inlineStr">
        <is>
          <t>Content type: story; Context uses Courses Context: Swensen Asset Management Institute (1174); Context uses Story Type: News (924); Limited to 3 item(s); Source: Template logic</t>
        </is>
      </c>
      <c r="M216" t="inlineStr"/>
      <c r="N216" t="inlineStr"/>
      <c r="O216" t="inlineStr"/>
      <c r="P216" t="inlineStr"/>
      <c r="Q216" t="inlineStr"/>
      <c r="R216" t="inlineStr"/>
      <c r="S216" t="inlineStr"/>
      <c r="T216" t="inlineStr"/>
      <c r="U216" t="inlineStr"/>
      <c r="V216" t="inlineStr"/>
      <c r="W216" t="inlineStr"/>
      <c r="X216" t="inlineStr"/>
      <c r="Y216" t="inlineStr"/>
      <c r="Z216" t="inlineStr"/>
      <c r="AA216" t="inlineStr"/>
      <c r="AB216" t="inlineStr"/>
      <c r="AC216" t="inlineStr"/>
      <c r="AD216" t="inlineStr"/>
      <c r="AE216" t="inlineStr"/>
      <c r="AF216" t="inlineStr"/>
      <c r="AG216" t="inlineStr"/>
      <c r="AH216" t="inlineStr"/>
      <c r="AI216" t="inlineStr"/>
      <c r="AJ216" t="inlineStr"/>
      <c r="AK216" t="inlineStr"/>
      <c r="AL216" t="inlineStr"/>
      <c r="AM216" t="inlineStr"/>
      <c r="AN216" t="inlineStr"/>
      <c r="AO216" t="inlineStr"/>
      <c r="AP216" t="inlineStr"/>
      <c r="AQ216" t="inlineStr"/>
      <c r="AR216" t="inlineStr"/>
      <c r="AS216" t="inlineStr"/>
      <c r="AT216" t="inlineStr"/>
      <c r="AU216" t="inlineStr"/>
      <c r="AV216" t="inlineStr"/>
      <c r="AW216" t="inlineStr"/>
      <c r="AX216" t="inlineStr"/>
      <c r="AY216" t="inlineStr"/>
      <c r="AZ216" t="inlineStr"/>
      <c r="BA216" t="inlineStr"/>
      <c r="BB216" t="inlineStr"/>
      <c r="BC216" t="inlineStr"/>
      <c r="BD216" t="inlineStr"/>
      <c r="BE216" t="inlineStr"/>
      <c r="BF216" t="inlineStr"/>
      <c r="BG216" t="inlineStr"/>
      <c r="BH216" t="inlineStr"/>
      <c r="BI216" t="inlineStr"/>
      <c r="BJ216" t="inlineStr"/>
      <c r="BK216" t="inlineStr"/>
      <c r="BL216" t="inlineStr"/>
      <c r="BM216" t="inlineStr"/>
      <c r="BN216" t="inlineStr"/>
      <c r="BO216" t="inlineStr"/>
      <c r="BP216" t="inlineStr"/>
      <c r="BQ216" t="inlineStr">
        <is>
          <t>1174</t>
        </is>
      </c>
      <c r="BR216" t="inlineStr">
        <is>
          <t>Swensen Asset Management Institute (1174)</t>
        </is>
      </c>
      <c r="BS216" t="inlineStr"/>
      <c r="BT216" t="inlineStr"/>
      <c r="BU216" t="inlineStr"/>
      <c r="BV216" t="inlineStr"/>
      <c r="BW216" t="inlineStr"/>
      <c r="BX216" t="inlineStr"/>
      <c r="BY216" t="inlineStr"/>
      <c r="BZ216" t="inlineStr"/>
      <c r="CA216" t="inlineStr"/>
      <c r="CB216" t="inlineStr"/>
      <c r="CC216" t="inlineStr"/>
      <c r="CD216" t="inlineStr"/>
      <c r="CE216" t="inlineStr"/>
      <c r="CF216" t="inlineStr"/>
      <c r="CG216" t="inlineStr"/>
      <c r="CH216" t="inlineStr"/>
      <c r="CI216" t="inlineStr"/>
      <c r="CJ216" t="inlineStr"/>
      <c r="CK216" t="inlineStr"/>
      <c r="CL216" t="inlineStr"/>
      <c r="CM216" t="inlineStr"/>
      <c r="CN216" t="inlineStr"/>
      <c r="CO216" t="inlineStr"/>
      <c r="CP216" t="inlineStr"/>
      <c r="CQ216" t="inlineStr"/>
      <c r="CR216" t="inlineStr"/>
      <c r="CS216" t="inlineStr"/>
      <c r="CT216" t="inlineStr"/>
      <c r="CU216" t="inlineStr"/>
      <c r="CV216" t="inlineStr"/>
      <c r="CW216" t="inlineStr"/>
      <c r="CX216" t="inlineStr"/>
      <c r="CY216" t="inlineStr"/>
      <c r="CZ216" t="inlineStr"/>
      <c r="DA216" t="inlineStr"/>
      <c r="DB216" t="inlineStr"/>
      <c r="DC216" t="inlineStr"/>
      <c r="DD216" t="inlineStr"/>
      <c r="DE216" t="inlineStr"/>
      <c r="DF216" t="inlineStr"/>
      <c r="DG216" t="inlineStr"/>
      <c r="DH216" t="inlineStr"/>
      <c r="DI216" t="inlineStr"/>
      <c r="DJ216" t="inlineStr"/>
      <c r="DK216" t="inlineStr"/>
      <c r="DL216" t="inlineStr"/>
      <c r="DM216" t="inlineStr"/>
      <c r="DN216" t="inlineStr"/>
      <c r="DO216" t="inlineStr"/>
      <c r="DP216" t="inlineStr"/>
      <c r="DQ216" t="inlineStr"/>
      <c r="DR216" t="inlineStr"/>
      <c r="DS216" t="inlineStr"/>
      <c r="DT216" t="inlineStr"/>
      <c r="DU216" t="inlineStr"/>
      <c r="DV216" t="inlineStr"/>
      <c r="DW216" t="inlineStr"/>
      <c r="DX216" t="inlineStr"/>
      <c r="DY216" t="inlineStr"/>
      <c r="DZ216" t="inlineStr"/>
      <c r="EA216" t="inlineStr"/>
      <c r="EB216" t="inlineStr"/>
      <c r="EC216" t="inlineStr"/>
      <c r="ED216" t="inlineStr"/>
      <c r="EE216" t="inlineStr"/>
      <c r="EF216" t="inlineStr"/>
      <c r="EG216" t="inlineStr"/>
      <c r="EH216" t="inlineStr"/>
      <c r="EI216" t="inlineStr"/>
      <c r="EJ216" t="inlineStr"/>
      <c r="EK216" t="inlineStr"/>
      <c r="EL216" t="inlineStr"/>
      <c r="EM216" t="inlineStr"/>
      <c r="EN216" t="inlineStr"/>
      <c r="EO216" t="inlineStr"/>
      <c r="EP216" t="inlineStr"/>
      <c r="EQ216" t="inlineStr"/>
      <c r="ER216" t="inlineStr"/>
      <c r="ES216" t="inlineStr"/>
      <c r="ET216" t="inlineStr"/>
      <c r="EU216" t="inlineStr"/>
      <c r="EV216" t="inlineStr"/>
      <c r="EW216" t="inlineStr"/>
      <c r="EX216" t="inlineStr"/>
      <c r="EY216" t="inlineStr"/>
      <c r="EZ216" t="inlineStr"/>
      <c r="FA216" t="inlineStr"/>
      <c r="FB216" t="inlineStr"/>
      <c r="FC216" t="inlineStr"/>
      <c r="FD216" t="inlineStr"/>
      <c r="FE216" t="inlineStr"/>
      <c r="FF216" t="inlineStr"/>
      <c r="FG216" t="inlineStr"/>
      <c r="FH216" t="inlineStr"/>
      <c r="FI216" t="inlineStr"/>
      <c r="FJ216" t="inlineStr"/>
      <c r="FK216" t="inlineStr"/>
      <c r="FL216" t="inlineStr"/>
      <c r="FM216" t="inlineStr"/>
      <c r="FN216" t="inlineStr"/>
      <c r="FO216" t="inlineStr"/>
      <c r="FP216" t="inlineStr"/>
      <c r="FQ216" t="inlineStr"/>
      <c r="FR216" t="inlineStr"/>
      <c r="FS216" t="inlineStr"/>
      <c r="FT216" t="inlineStr"/>
      <c r="FU216" t="inlineStr"/>
      <c r="FV216" t="inlineStr"/>
      <c r="FW216" t="inlineStr"/>
      <c r="FX216" t="inlineStr"/>
      <c r="FY216" t="inlineStr"/>
      <c r="FZ216" t="inlineStr"/>
      <c r="GA216" t="inlineStr"/>
      <c r="GB216" t="inlineStr"/>
      <c r="GC216" t="inlineStr"/>
      <c r="GD216" t="inlineStr"/>
      <c r="GE216" t="inlineStr"/>
      <c r="GF216" t="inlineStr"/>
      <c r="GG216" t="inlineStr"/>
      <c r="GH216" t="inlineStr"/>
      <c r="GI216" t="inlineStr"/>
      <c r="GJ216" t="inlineStr"/>
      <c r="GK216" t="inlineStr"/>
      <c r="GL216" t="inlineStr"/>
      <c r="GM216" t="inlineStr"/>
      <c r="GN216" t="inlineStr"/>
      <c r="GO216" t="inlineStr"/>
      <c r="GP216" t="inlineStr"/>
      <c r="GQ216" t="inlineStr"/>
      <c r="GR216" t="inlineStr"/>
      <c r="GS216" t="inlineStr"/>
      <c r="GT216" t="inlineStr"/>
      <c r="GU216" t="inlineStr"/>
      <c r="GV216" t="inlineStr"/>
      <c r="GW216" t="inlineStr"/>
      <c r="GX216" t="inlineStr"/>
      <c r="GY216" t="inlineStr"/>
      <c r="GZ216" t="inlineStr"/>
      <c r="HA216" t="inlineStr"/>
      <c r="HB216" t="inlineStr"/>
      <c r="HC216" t="inlineStr"/>
      <c r="HD216" t="inlineStr"/>
      <c r="HE216" t="inlineStr"/>
      <c r="HF216" t="inlineStr"/>
      <c r="HG216" t="inlineStr"/>
      <c r="HH216" t="inlineStr"/>
      <c r="HI216" t="inlineStr"/>
      <c r="HJ216" t="inlineStr"/>
      <c r="HK216" t="inlineStr"/>
      <c r="HL216" t="inlineStr"/>
      <c r="HM216" t="inlineStr"/>
      <c r="HN216" t="inlineStr"/>
      <c r="HO216" t="inlineStr"/>
      <c r="HP216" t="inlineStr"/>
      <c r="HQ216" t="inlineStr"/>
      <c r="HR216" t="inlineStr"/>
      <c r="HS216" t="inlineStr"/>
      <c r="HT216" t="inlineStr"/>
      <c r="HU216" t="inlineStr"/>
      <c r="HV216" t="inlineStr"/>
      <c r="HW216" t="inlineStr"/>
      <c r="HX216" t="inlineStr"/>
      <c r="HY216" t="inlineStr"/>
      <c r="HZ216" t="inlineStr"/>
      <c r="IA216" t="inlineStr"/>
      <c r="IB216" t="inlineStr"/>
      <c r="IC216" t="inlineStr"/>
      <c r="ID216" t="inlineStr"/>
      <c r="IE216" t="inlineStr">
        <is>
          <t>924</t>
        </is>
      </c>
      <c r="IF216" t="inlineStr">
        <is>
          <t>News (924)</t>
        </is>
      </c>
      <c r="IG216" t="inlineStr"/>
      <c r="IH216" t="inlineStr"/>
      <c r="II216" t="inlineStr"/>
      <c r="IJ216" t="inlineStr"/>
      <c r="IK216" t="inlineStr"/>
      <c r="IL216" t="inlineStr"/>
      <c r="IM216" t="inlineStr"/>
      <c r="IN216" t="inlineStr"/>
      <c r="IO216" t="inlineStr"/>
      <c r="IP216" t="inlineStr"/>
      <c r="IQ216" t="inlineStr"/>
      <c r="IR216" t="inlineStr"/>
      <c r="IS216">
        <f>IF(input_content_type="",FALSE,ISNUMBER(SEARCH(","&amp;LOWER(input_content_type)&amp;",",","&amp;LOWER(F216)&amp;",")))</f>
        <v/>
      </c>
      <c r="IT216">
        <f>AND(IF(M216="",TRUE,IF(input_affiliations="",FALSE,SUMPRODUCT(--ISNUMBER(SEARCH(","&amp;TRIM(TEXTSPLIT(M216,","))&amp;",",","&amp;SUBSTITUTE(input_affiliations," ","")&amp;",")))&gt;0)),IF(O216="",TRUE,IF(input_affiliations="",FALSE,SUMPRODUCT(--ISNUMBER(SEARCH(","&amp;TRIM(TEXTSPLIT(O216,","))&amp;",",","&amp;SUBSTITUTE(input_affiliations," ","")&amp;",")))=COUNTA(TEXTSPLIT(O216,",")))),IF(Q216="",TRUE,IF(input_affiliations="",TRUE,SUMPRODUCT(--ISNUMBER(SEARCH(","&amp;TRIM(TEXTSPLIT(Q216,","))&amp;",",","&amp;SUBSTITUTE(input_affiliations," ","")&amp;",")))=0)),IF(S216="",TRUE,IF(input_affiliations="",FALSE,SUMPRODUCT(--ISNUMBER(SEARCH(","&amp;TRIM(TEXTSPLIT(S216,","))&amp;",",","&amp;SUBSTITUTE(input_affiliations," ","")&amp;",")))&gt;0)),IF(U216="",TRUE,IF(input_affiliations="",FALSE,SUMPRODUCT(--ISNUMBER(SEARCH(","&amp;TRIM(TEXTSPLIT(U216,","))&amp;",",","&amp;SUBSTITUTE(input_affiliations," ","")&amp;",")))=COUNTA(TEXTSPLIT(U216,",")))))</f>
        <v/>
      </c>
      <c r="IU216">
        <f>AND(IF(W216="",TRUE,IF(input_announcement_category="",FALSE,SUMPRODUCT(--ISNUMBER(SEARCH(","&amp;TRIM(TEXTSPLIT(W216,","))&amp;",",","&amp;SUBSTITUTE(input_announcement_category," ","")&amp;",")))&gt;0)),IF(Y216="",TRUE,IF(input_announcement_category="",FALSE,SUMPRODUCT(--ISNUMBER(SEARCH(","&amp;TRIM(TEXTSPLIT(Y216,","))&amp;",",","&amp;SUBSTITUTE(input_announcement_category," ","")&amp;",")))=COUNTA(TEXTSPLIT(Y216,",")))),IF(AA216="",TRUE,IF(input_announcement_category="",TRUE,SUMPRODUCT(--ISNUMBER(SEARCH(","&amp;TRIM(TEXTSPLIT(AA216,","))&amp;",",","&amp;SUBSTITUTE(input_announcement_category," ","")&amp;",")))=0)),IF(AC216="",TRUE,IF(input_announcement_category="",FALSE,SUMPRODUCT(--ISNUMBER(SEARCH(","&amp;TRIM(TEXTSPLIT(AC216,","))&amp;",",","&amp;SUBSTITUTE(input_announcement_category," ","")&amp;",")))&gt;0)),IF(AE216="",TRUE,IF(input_announcement_category="",FALSE,SUMPRODUCT(--ISNUMBER(SEARCH(","&amp;TRIM(TEXTSPLIT(AE216,","))&amp;",",","&amp;SUBSTITUTE(input_announcement_category," ","")&amp;",")))=COUNTA(TEXTSPLIT(AE216,",")))))</f>
        <v/>
      </c>
      <c r="IV216">
        <f>AND(IF(AG216="",TRUE,IF(input_area_of_focus="",FALSE,SUMPRODUCT(--ISNUMBER(SEARCH(","&amp;TRIM(TEXTSPLIT(AG216,","))&amp;",",","&amp;SUBSTITUTE(input_area_of_focus," ","")&amp;",")))&gt;0)),IF(AI216="",TRUE,IF(input_area_of_focus="",FALSE,SUMPRODUCT(--ISNUMBER(SEARCH(","&amp;TRIM(TEXTSPLIT(AI216,","))&amp;",",","&amp;SUBSTITUTE(input_area_of_focus," ","")&amp;",")))=COUNTA(TEXTSPLIT(AI216,",")))),IF(AK216="",TRUE,IF(input_area_of_focus="",TRUE,SUMPRODUCT(--ISNUMBER(SEARCH(","&amp;TRIM(TEXTSPLIT(AK216,","))&amp;",",","&amp;SUBSTITUTE(input_area_of_focus," ","")&amp;",")))=0)),IF(AM216="",TRUE,IF(input_area_of_focus="",FALSE,SUMPRODUCT(--ISNUMBER(SEARCH(","&amp;TRIM(TEXTSPLIT(AM216,","))&amp;",",","&amp;SUBSTITUTE(input_area_of_focus," ","")&amp;",")))&gt;0)),IF(AO216="",TRUE,IF(input_area_of_focus="",FALSE,SUMPRODUCT(--ISNUMBER(SEARCH(","&amp;TRIM(TEXTSPLIT(AO216,","))&amp;",",","&amp;SUBSTITUTE(input_area_of_focus," ","")&amp;",")))=COUNTA(TEXTSPLIT(AO216,",")))))</f>
        <v/>
      </c>
      <c r="IW216">
        <f>AND(IF(AQ216="",TRUE,IF(input_audience="",FALSE,SUMPRODUCT(--ISNUMBER(SEARCH(","&amp;TRIM(TEXTSPLIT(AQ216,","))&amp;",",","&amp;SUBSTITUTE(input_audience," ","")&amp;",")))&gt;0)),IF(AS216="",TRUE,IF(input_audience="",FALSE,SUMPRODUCT(--ISNUMBER(SEARCH(","&amp;TRIM(TEXTSPLIT(AS216,","))&amp;",",","&amp;SUBSTITUTE(input_audience," ","")&amp;",")))=COUNTA(TEXTSPLIT(AS216,",")))),IF(AU216="",TRUE,IF(input_audience="",TRUE,SUMPRODUCT(--ISNUMBER(SEARCH(","&amp;TRIM(TEXTSPLIT(AU216,","))&amp;",",","&amp;SUBSTITUTE(input_audience," ","")&amp;",")))=0)),IF(AW216="",TRUE,IF(input_audience="",FALSE,SUMPRODUCT(--ISNUMBER(SEARCH(","&amp;TRIM(TEXTSPLIT(AW216,","))&amp;",",","&amp;SUBSTITUTE(input_audience," ","")&amp;",")))&gt;0)),IF(AY216="",TRUE,IF(input_audience="",FALSE,SUMPRODUCT(--ISNUMBER(SEARCH(","&amp;TRIM(TEXTSPLIT(AY216,","))&amp;",",","&amp;SUBSTITUTE(input_audience," ","")&amp;",")))=COUNTA(TEXTSPLIT(AY216,",")))))</f>
        <v/>
      </c>
      <c r="IX216">
        <f>AND(IF(BA216="",TRUE,IF(input_challenge_opportunities="",FALSE,SUMPRODUCT(--ISNUMBER(SEARCH(","&amp;TRIM(TEXTSPLIT(BA216,","))&amp;",",","&amp;SUBSTITUTE(input_challenge_opportunities," ","")&amp;",")))&gt;0)),IF(BC216="",TRUE,IF(input_challenge_opportunities="",FALSE,SUMPRODUCT(--ISNUMBER(SEARCH(","&amp;TRIM(TEXTSPLIT(BC216,","))&amp;",",","&amp;SUBSTITUTE(input_challenge_opportunities," ","")&amp;",")))=COUNTA(TEXTSPLIT(BC216,",")))),IF(BE216="",TRUE,IF(input_challenge_opportunities="",TRUE,SUMPRODUCT(--ISNUMBER(SEARCH(","&amp;TRIM(TEXTSPLIT(BE216,","))&amp;",",","&amp;SUBSTITUTE(input_challenge_opportunities," ","")&amp;",")))=0)),IF(BG216="",TRUE,IF(input_challenge_opportunities="",FALSE,SUMPRODUCT(--ISNUMBER(SEARCH(","&amp;TRIM(TEXTSPLIT(BG216,","))&amp;",",","&amp;SUBSTITUTE(input_challenge_opportunities," ","")&amp;",")))&gt;0)),IF(BI216="",TRUE,IF(input_challenge_opportunities="",FALSE,SUMPRODUCT(--ISNUMBER(SEARCH(","&amp;TRIM(TEXTSPLIT(BI216,","))&amp;",",","&amp;SUBSTITUTE(input_challenge_opportunities," ","")&amp;",")))=COUNTA(TEXTSPLIT(BI216,",")))))</f>
        <v/>
      </c>
      <c r="IY216">
        <f>AND(IF(BK216="",TRUE,IF(input_context="",FALSE,SUMPRODUCT(--ISNUMBER(SEARCH(","&amp;TRIM(TEXTSPLIT(BK216,","))&amp;",",","&amp;SUBSTITUTE(input_context," ","")&amp;",")))&gt;0)),IF(BM216="",TRUE,IF(input_context="",FALSE,SUMPRODUCT(--ISNUMBER(SEARCH(","&amp;TRIM(TEXTSPLIT(BM216,","))&amp;",",","&amp;SUBSTITUTE(input_context," ","")&amp;",")))=COUNTA(TEXTSPLIT(BM216,",")))),IF(BO216="",TRUE,IF(input_context="",TRUE,SUMPRODUCT(--ISNUMBER(SEARCH(","&amp;TRIM(TEXTSPLIT(BO216,","))&amp;",",","&amp;SUBSTITUTE(input_context," ","")&amp;",")))=0)),IF(BQ216="",TRUE,IF(input_context="",FALSE,SUMPRODUCT(--ISNUMBER(SEARCH(","&amp;TRIM(TEXTSPLIT(BQ216,","))&amp;",",","&amp;SUBSTITUTE(input_context," ","")&amp;",")))&gt;0)),IF(BS216="",TRUE,IF(input_context="",FALSE,SUMPRODUCT(--ISNUMBER(SEARCH(","&amp;TRIM(TEXTSPLIT(BS216,","))&amp;",",","&amp;SUBSTITUTE(input_context," ","")&amp;",")))=COUNTA(TEXTSPLIT(BS216,",")))))</f>
        <v/>
      </c>
      <c r="IZ216">
        <f>AND(IF(BU216="",TRUE,IF(input_enews_announcement_type="",FALSE,SUMPRODUCT(--ISNUMBER(SEARCH(","&amp;TRIM(TEXTSPLIT(BU216,","))&amp;",",","&amp;SUBSTITUTE(input_enews_announcement_type," ","")&amp;",")))&gt;0)),IF(BW216="",TRUE,IF(input_enews_announcement_type="",FALSE,SUMPRODUCT(--ISNUMBER(SEARCH(","&amp;TRIM(TEXTSPLIT(BW216,","))&amp;",",","&amp;SUBSTITUTE(input_enews_announcement_type," ","")&amp;",")))=COUNTA(TEXTSPLIT(BW216,",")))),IF(BY216="",TRUE,IF(input_enews_announcement_type="",TRUE,SUMPRODUCT(--ISNUMBER(SEARCH(","&amp;TRIM(TEXTSPLIT(BY216,","))&amp;",",","&amp;SUBSTITUTE(input_enews_announcement_type," ","")&amp;",")))=0)),IF(CA216="",TRUE,IF(input_enews_announcement_type="",FALSE,SUMPRODUCT(--ISNUMBER(SEARCH(","&amp;TRIM(TEXTSPLIT(CA216,","))&amp;",",","&amp;SUBSTITUTE(input_enews_announcement_type," ","")&amp;",")))&gt;0)),IF(CC216="",TRUE,IF(input_enews_announcement_type="",FALSE,SUMPRODUCT(--ISNUMBER(SEARCH(","&amp;TRIM(TEXTSPLIT(CC216,","))&amp;",",","&amp;SUBSTITUTE(input_enews_announcement_type," ","")&amp;",")))=COUNTA(TEXTSPLIT(CC216,",")))))</f>
        <v/>
      </c>
      <c r="JA216">
        <f>AND(IF(CE216="",TRUE,IF(input_enews_audience="",FALSE,SUMPRODUCT(--ISNUMBER(SEARCH(","&amp;TRIM(TEXTSPLIT(CE216,","))&amp;",",","&amp;SUBSTITUTE(input_enews_audience," ","")&amp;",")))&gt;0)),IF(CG216="",TRUE,IF(input_enews_audience="",FALSE,SUMPRODUCT(--ISNUMBER(SEARCH(","&amp;TRIM(TEXTSPLIT(CG216,","))&amp;",",","&amp;SUBSTITUTE(input_enews_audience," ","")&amp;",")))=COUNTA(TEXTSPLIT(CG216,",")))),IF(CI216="",TRUE,IF(input_enews_audience="",TRUE,SUMPRODUCT(--ISNUMBER(SEARCH(","&amp;TRIM(TEXTSPLIT(CI216,","))&amp;",",","&amp;SUBSTITUTE(input_enews_audience," ","")&amp;",")))=0)),IF(CK216="",TRUE,IF(input_enews_audience="",FALSE,SUMPRODUCT(--ISNUMBER(SEARCH(","&amp;TRIM(TEXTSPLIT(CK216,","))&amp;",",","&amp;SUBSTITUTE(input_enews_audience," ","")&amp;",")))&gt;0)),IF(CM216="",TRUE,IF(input_enews_audience="",FALSE,SUMPRODUCT(--ISNUMBER(SEARCH(","&amp;TRIM(TEXTSPLIT(CM216,","))&amp;",",","&amp;SUBSTITUTE(input_enews_audience," ","")&amp;",")))=COUNTA(TEXTSPLIT(CM216,",")))))</f>
        <v/>
      </c>
      <c r="JB216">
        <f>AND(IF(CO216="",TRUE,IF(input_event_location="",FALSE,SUMPRODUCT(--ISNUMBER(SEARCH(","&amp;TRIM(TEXTSPLIT(CO216,","))&amp;",",","&amp;SUBSTITUTE(input_event_location," ","")&amp;",")))&gt;0)),IF(CQ216="",TRUE,IF(input_event_location="",FALSE,SUMPRODUCT(--ISNUMBER(SEARCH(","&amp;TRIM(TEXTSPLIT(CQ216,","))&amp;",",","&amp;SUBSTITUTE(input_event_location," ","")&amp;",")))=COUNTA(TEXTSPLIT(CQ216,",")))),IF(CS216="",TRUE,IF(input_event_location="",TRUE,SUMPRODUCT(--ISNUMBER(SEARCH(","&amp;TRIM(TEXTSPLIT(CS216,","))&amp;",",","&amp;SUBSTITUTE(input_event_location," ","")&amp;",")))=0)),IF(CU216="",TRUE,IF(input_event_location="",FALSE,SUMPRODUCT(--ISNUMBER(SEARCH(","&amp;TRIM(TEXTSPLIT(CU216,","))&amp;",",","&amp;SUBSTITUTE(input_event_location," ","")&amp;",")))&gt;0)),IF(CW216="",TRUE,IF(input_event_location="",FALSE,SUMPRODUCT(--ISNUMBER(SEARCH(","&amp;TRIM(TEXTSPLIT(CW216,","))&amp;",",","&amp;SUBSTITUTE(input_event_location," ","")&amp;",")))=COUNTA(TEXTSPLIT(CW216,",")))))</f>
        <v/>
      </c>
      <c r="JC216">
        <f>AND(IF(CY216="",TRUE,IF(input_event_type="",FALSE,SUMPRODUCT(--ISNUMBER(SEARCH(","&amp;TRIM(TEXTSPLIT(CY216,","))&amp;",",","&amp;SUBSTITUTE(input_event_type," ","")&amp;",")))&gt;0)),IF(DA216="",TRUE,IF(input_event_type="",FALSE,SUMPRODUCT(--ISNUMBER(SEARCH(","&amp;TRIM(TEXTSPLIT(DA216,","))&amp;",",","&amp;SUBSTITUTE(input_event_type," ","")&amp;",")))=COUNTA(TEXTSPLIT(DA216,",")))),IF(DC216="",TRUE,IF(input_event_type="",TRUE,SUMPRODUCT(--ISNUMBER(SEARCH(","&amp;TRIM(TEXTSPLIT(DC216,","))&amp;",",","&amp;SUBSTITUTE(input_event_type," ","")&amp;",")))=0)),IF(DE216="",TRUE,IF(input_event_type="",FALSE,SUMPRODUCT(--ISNUMBER(SEARCH(","&amp;TRIM(TEXTSPLIT(DE216,","))&amp;",",","&amp;SUBSTITUTE(input_event_type," ","")&amp;",")))&gt;0)),IF(DG216="",TRUE,IF(input_event_type="",FALSE,SUMPRODUCT(--ISNUMBER(SEARCH(","&amp;TRIM(TEXTSPLIT(DG216,","))&amp;",",","&amp;SUBSTITUTE(input_event_type," ","")&amp;",")))=COUNTA(TEXTSPLIT(DG216,",")))))</f>
        <v/>
      </c>
      <c r="JD216">
        <f>AND(IF(DI216="",TRUE,IF(input_executive_education_focus="",FALSE,SUMPRODUCT(--ISNUMBER(SEARCH(","&amp;TRIM(TEXTSPLIT(DI216,","))&amp;",",","&amp;SUBSTITUTE(input_executive_education_focus," ","")&amp;",")))&gt;0)),IF(DK216="",TRUE,IF(input_executive_education_focus="",FALSE,SUMPRODUCT(--ISNUMBER(SEARCH(","&amp;TRIM(TEXTSPLIT(DK216,","))&amp;",",","&amp;SUBSTITUTE(input_executive_education_focus," ","")&amp;",")))=COUNTA(TEXTSPLIT(DK216,",")))),IF(DM216="",TRUE,IF(input_executive_education_focus="",TRUE,SUMPRODUCT(--ISNUMBER(SEARCH(","&amp;TRIM(TEXTSPLIT(DM216,","))&amp;",",","&amp;SUBSTITUTE(input_executive_education_focus," ","")&amp;",")))=0)),IF(DO216="",TRUE,IF(input_executive_education_focus="",FALSE,SUMPRODUCT(--ISNUMBER(SEARCH(","&amp;TRIM(TEXTSPLIT(DO216,","))&amp;",",","&amp;SUBSTITUTE(input_executive_education_focus," ","")&amp;",")))&gt;0)),IF(DQ216="",TRUE,IF(input_executive_education_focus="",FALSE,SUMPRODUCT(--ISNUMBER(SEARCH(","&amp;TRIM(TEXTSPLIT(DQ216,","))&amp;",",","&amp;SUBSTITUTE(input_executive_education_focus," ","")&amp;",")))=COUNTA(TEXTSPLIT(DQ216,",")))))</f>
        <v/>
      </c>
      <c r="JE216">
        <f>AND(IF(DS216="",TRUE,IF(input_faculty_category="",FALSE,SUMPRODUCT(--ISNUMBER(SEARCH(","&amp;TRIM(TEXTSPLIT(DS216,","))&amp;",",","&amp;SUBSTITUTE(input_faculty_category," ","")&amp;",")))&gt;0)),IF(DU216="",TRUE,IF(input_faculty_category="",FALSE,SUMPRODUCT(--ISNUMBER(SEARCH(","&amp;TRIM(TEXTSPLIT(DU216,","))&amp;",",","&amp;SUBSTITUTE(input_faculty_category," ","")&amp;",")))=COUNTA(TEXTSPLIT(DU216,",")))),IF(DW216="",TRUE,IF(input_faculty_category="",TRUE,SUMPRODUCT(--ISNUMBER(SEARCH(","&amp;TRIM(TEXTSPLIT(DW216,","))&amp;",",","&amp;SUBSTITUTE(input_faculty_category," ","")&amp;",")))=0)),IF(DY216="",TRUE,IF(input_faculty_category="",FALSE,SUMPRODUCT(--ISNUMBER(SEARCH(","&amp;TRIM(TEXTSPLIT(DY216,","))&amp;",",","&amp;SUBSTITUTE(input_faculty_category," ","")&amp;",")))&gt;0)),IF(EA216="",TRUE,IF(input_faculty_category="",FALSE,SUMPRODUCT(--ISNUMBER(SEARCH(","&amp;TRIM(TEXTSPLIT(EA216,","))&amp;",",","&amp;SUBSTITUTE(input_faculty_category," ","")&amp;",")))=COUNTA(TEXTSPLIT(EA216,",")))))</f>
        <v/>
      </c>
      <c r="JF216">
        <f>AND(IF(EC216="",TRUE,IF(input_faculty_discipline="",FALSE,SUMPRODUCT(--ISNUMBER(SEARCH(","&amp;TRIM(TEXTSPLIT(EC216,","))&amp;",",","&amp;SUBSTITUTE(input_faculty_discipline," ","")&amp;",")))&gt;0)),IF(EE216="",TRUE,IF(input_faculty_discipline="",FALSE,SUMPRODUCT(--ISNUMBER(SEARCH(","&amp;TRIM(TEXTSPLIT(EE216,","))&amp;",",","&amp;SUBSTITUTE(input_faculty_discipline," ","")&amp;",")))=COUNTA(TEXTSPLIT(EE216,",")))),IF(EG216="",TRUE,IF(input_faculty_discipline="",TRUE,SUMPRODUCT(--ISNUMBER(SEARCH(","&amp;TRIM(TEXTSPLIT(EG216,","))&amp;",",","&amp;SUBSTITUTE(input_faculty_discipline," ","")&amp;",")))=0)),IF(EI216="",TRUE,IF(input_faculty_discipline="",FALSE,SUMPRODUCT(--ISNUMBER(SEARCH(","&amp;TRIM(TEXTSPLIT(EI216,","))&amp;",",","&amp;SUBSTITUTE(input_faculty_discipline," ","")&amp;",")))&gt;0)),IF(EK216="",TRUE,IF(input_faculty_discipline="",FALSE,SUMPRODUCT(--ISNUMBER(SEARCH(","&amp;TRIM(TEXTSPLIT(EK216,","))&amp;",",","&amp;SUBSTITUTE(input_faculty_discipline," ","")&amp;",")))=COUNTA(TEXTSPLIT(EK216,",")))))</f>
        <v/>
      </c>
      <c r="JG216">
        <f>AND(IF(EM216="",TRUE,IF(input_faculty_expertise="",FALSE,SUMPRODUCT(--ISNUMBER(SEARCH(","&amp;TRIM(TEXTSPLIT(EM216,","))&amp;",",","&amp;SUBSTITUTE(input_faculty_expertise," ","")&amp;",")))&gt;0)),IF(EO216="",TRUE,IF(input_faculty_expertise="",FALSE,SUMPRODUCT(--ISNUMBER(SEARCH(","&amp;TRIM(TEXTSPLIT(EO216,","))&amp;",",","&amp;SUBSTITUTE(input_faculty_expertise," ","")&amp;",")))=COUNTA(TEXTSPLIT(EO216,",")))),IF(EQ216="",TRUE,IF(input_faculty_expertise="",TRUE,SUMPRODUCT(--ISNUMBER(SEARCH(","&amp;TRIM(TEXTSPLIT(EQ216,","))&amp;",",","&amp;SUBSTITUTE(input_faculty_expertise," ","")&amp;",")))=0)),IF(ES216="",TRUE,IF(input_faculty_expertise="",FALSE,SUMPRODUCT(--ISNUMBER(SEARCH(","&amp;TRIM(TEXTSPLIT(ES216,","))&amp;",",","&amp;SUBSTITUTE(input_faculty_expertise," ","")&amp;",")))&gt;0)),IF(EU216="",TRUE,IF(input_faculty_expertise="",FALSE,SUMPRODUCT(--ISNUMBER(SEARCH(","&amp;TRIM(TEXTSPLIT(EU216,","))&amp;",",","&amp;SUBSTITUTE(input_faculty_expertise," ","")&amp;",")))=COUNTA(TEXTSPLIT(EU216,",")))))</f>
        <v/>
      </c>
      <c r="JH216">
        <f>AND(IF(EW216="",TRUE,IF(input_global_network_school="",FALSE,SUMPRODUCT(--ISNUMBER(SEARCH(","&amp;TRIM(TEXTSPLIT(EW216,","))&amp;",",","&amp;SUBSTITUTE(input_global_network_school," ","")&amp;",")))&gt;0)),IF(EY216="",TRUE,IF(input_global_network_school="",FALSE,SUMPRODUCT(--ISNUMBER(SEARCH(","&amp;TRIM(TEXTSPLIT(EY216,","))&amp;",",","&amp;SUBSTITUTE(input_global_network_school," ","")&amp;",")))=COUNTA(TEXTSPLIT(EY216,",")))),IF(FA216="",TRUE,IF(input_global_network_school="",TRUE,SUMPRODUCT(--ISNUMBER(SEARCH(","&amp;TRIM(TEXTSPLIT(FA216,","))&amp;",",","&amp;SUBSTITUTE(input_global_network_school," ","")&amp;",")))=0)),IF(FC216="",TRUE,IF(input_global_network_school="",FALSE,SUMPRODUCT(--ISNUMBER(SEARCH(","&amp;TRIM(TEXTSPLIT(FC216,","))&amp;",",","&amp;SUBSTITUTE(input_global_network_school," ","")&amp;",")))&gt;0)),IF(FE216="",TRUE,IF(input_global_network_school="",FALSE,SUMPRODUCT(--ISNUMBER(SEARCH(","&amp;TRIM(TEXTSPLIT(FE216,","))&amp;",",","&amp;SUBSTITUTE(input_global_network_school," ","")&amp;",")))=COUNTA(TEXTSPLIT(FE216,",")))))</f>
        <v/>
      </c>
      <c r="JI216">
        <f>AND(IF(FG216="",TRUE,IF(input_industry="",FALSE,SUMPRODUCT(--ISNUMBER(SEARCH(","&amp;TRIM(TEXTSPLIT(FG216,","))&amp;",",","&amp;SUBSTITUTE(input_industry," ","")&amp;",")))&gt;0)),IF(FI216="",TRUE,IF(input_industry="",FALSE,SUMPRODUCT(--ISNUMBER(SEARCH(","&amp;TRIM(TEXTSPLIT(FI216,","))&amp;",",","&amp;SUBSTITUTE(input_industry," ","")&amp;",")))=COUNTA(TEXTSPLIT(FI216,",")))),IF(FK216="",TRUE,IF(input_industry="",TRUE,SUMPRODUCT(--ISNUMBER(SEARCH(","&amp;TRIM(TEXTSPLIT(FK216,","))&amp;",",","&amp;SUBSTITUTE(input_industry," ","")&amp;",")))=0)),IF(FM216="",TRUE,IF(input_industry="",FALSE,SUMPRODUCT(--ISNUMBER(SEARCH(","&amp;TRIM(TEXTSPLIT(FM216,","))&amp;",",","&amp;SUBSTITUTE(input_industry," ","")&amp;",")))&gt;0)),IF(FO216="",TRUE,IF(input_industry="",FALSE,SUMPRODUCT(--ISNUMBER(SEARCH(","&amp;TRIM(TEXTSPLIT(FO216,","))&amp;",",","&amp;SUBSTITUTE(input_industry," ","")&amp;",")))=COUNTA(TEXTSPLIT(FO216,",")))))</f>
        <v/>
      </c>
      <c r="JJ216">
        <f>AND(IF(FQ216="",TRUE,IF(input_location="",FALSE,SUMPRODUCT(--ISNUMBER(SEARCH(","&amp;TRIM(TEXTSPLIT(FQ216,","))&amp;",",","&amp;SUBSTITUTE(input_location," ","")&amp;",")))&gt;0)),IF(FS216="",TRUE,IF(input_location="",FALSE,SUMPRODUCT(--ISNUMBER(SEARCH(","&amp;TRIM(TEXTSPLIT(FS216,","))&amp;",",","&amp;SUBSTITUTE(input_location," ","")&amp;",")))=COUNTA(TEXTSPLIT(FS216,",")))),IF(FU216="",TRUE,IF(input_location="",TRUE,SUMPRODUCT(--ISNUMBER(SEARCH(","&amp;TRIM(TEXTSPLIT(FU216,","))&amp;",",","&amp;SUBSTITUTE(input_location," ","")&amp;",")))=0)),IF(FW216="",TRUE,IF(input_location="",FALSE,SUMPRODUCT(--ISNUMBER(SEARCH(","&amp;TRIM(TEXTSPLIT(FW216,","))&amp;",",","&amp;SUBSTITUTE(input_location," ","")&amp;",")))&gt;0)),IF(FY216="",TRUE,IF(input_location="",FALSE,SUMPRODUCT(--ISNUMBER(SEARCH(","&amp;TRIM(TEXTSPLIT(FY216,","))&amp;",",","&amp;SUBSTITUTE(input_location," ","")&amp;",")))=COUNTA(TEXTSPLIT(FY216,",")))))</f>
        <v/>
      </c>
      <c r="JK216">
        <f>AND(IF(GA216="",TRUE,IF(input_modality="",FALSE,SUMPRODUCT(--ISNUMBER(SEARCH(","&amp;TRIM(TEXTSPLIT(GA216,","))&amp;",",","&amp;SUBSTITUTE(input_modality," ","")&amp;",")))&gt;0)),IF(GC216="",TRUE,IF(input_modality="",FALSE,SUMPRODUCT(--ISNUMBER(SEARCH(","&amp;TRIM(TEXTSPLIT(GC216,","))&amp;",",","&amp;SUBSTITUTE(input_modality," ","")&amp;",")))=COUNTA(TEXTSPLIT(GC216,",")))),IF(GE216="",TRUE,IF(input_modality="",TRUE,SUMPRODUCT(--ISNUMBER(SEARCH(","&amp;TRIM(TEXTSPLIT(GE216,","))&amp;",",","&amp;SUBSTITUTE(input_modality," ","")&amp;",")))=0)),IF(GG216="",TRUE,IF(input_modality="",FALSE,SUMPRODUCT(--ISNUMBER(SEARCH(","&amp;TRIM(TEXTSPLIT(GG216,","))&amp;",",","&amp;SUBSTITUTE(input_modality," ","")&amp;",")))&gt;0)),IF(GI216="",TRUE,IF(input_modality="",FALSE,SUMPRODUCT(--ISNUMBER(SEARCH(","&amp;TRIM(TEXTSPLIT(GI216,","))&amp;",",","&amp;SUBSTITUTE(input_modality," ","")&amp;",")))=COUNTA(TEXTSPLIT(GI216,",")))))</f>
        <v/>
      </c>
      <c r="JL216">
        <f>AND(IF(GK216="",TRUE,IF(input_organizer="",FALSE,SUMPRODUCT(--ISNUMBER(SEARCH(","&amp;TRIM(TEXTSPLIT(GK216,","))&amp;",",","&amp;SUBSTITUTE(input_organizer," ","")&amp;",")))&gt;0)),IF(GM216="",TRUE,IF(input_organizer="",FALSE,SUMPRODUCT(--ISNUMBER(SEARCH(","&amp;TRIM(TEXTSPLIT(GM216,","))&amp;",",","&amp;SUBSTITUTE(input_organizer," ","")&amp;",")))=COUNTA(TEXTSPLIT(GM216,",")))),IF(GO216="",TRUE,IF(input_organizer="",TRUE,SUMPRODUCT(--ISNUMBER(SEARCH(","&amp;TRIM(TEXTSPLIT(GO216,","))&amp;",",","&amp;SUBSTITUTE(input_organizer," ","")&amp;",")))=0)),IF(GQ216="",TRUE,IF(input_organizer="",FALSE,SUMPRODUCT(--ISNUMBER(SEARCH(","&amp;TRIM(TEXTSPLIT(GQ216,","))&amp;",",","&amp;SUBSTITUTE(input_organizer," ","")&amp;",")))&gt;0)),IF(GS216="",TRUE,IF(input_organizer="",FALSE,SUMPRODUCT(--ISNUMBER(SEARCH(","&amp;TRIM(TEXTSPLIT(GS216,","))&amp;",",","&amp;SUBSTITUTE(input_organizer," ","")&amp;",")))=COUNTA(TEXTSPLIT(GS216,",")))))</f>
        <v/>
      </c>
      <c r="JM216">
        <f>AND(IF(GU216="",TRUE,IF(input_profile_type="",FALSE,SUMPRODUCT(--ISNUMBER(SEARCH(","&amp;TRIM(TEXTSPLIT(GU216,","))&amp;",",","&amp;SUBSTITUTE(input_profile_type," ","")&amp;",")))&gt;0)),IF(GW216="",TRUE,IF(input_profile_type="",FALSE,SUMPRODUCT(--ISNUMBER(SEARCH(","&amp;TRIM(TEXTSPLIT(GW216,","))&amp;",",","&amp;SUBSTITUTE(input_profile_type," ","")&amp;",")))=COUNTA(TEXTSPLIT(GW216,",")))),IF(GY216="",TRUE,IF(input_profile_type="",TRUE,SUMPRODUCT(--ISNUMBER(SEARCH(","&amp;TRIM(TEXTSPLIT(GY216,","))&amp;",",","&amp;SUBSTITUTE(input_profile_type," ","")&amp;",")))=0)),IF(HA216="",TRUE,IF(input_profile_type="",FALSE,SUMPRODUCT(--ISNUMBER(SEARCH(","&amp;TRIM(TEXTSPLIT(HA216,","))&amp;",",","&amp;SUBSTITUTE(input_profile_type," ","")&amp;",")))&gt;0)),IF(HC216="",TRUE,IF(input_profile_type="",FALSE,SUMPRODUCT(--ISNUMBER(SEARCH(","&amp;TRIM(TEXTSPLIT(HC216,","))&amp;",",","&amp;SUBSTITUTE(input_profile_type," ","")&amp;",")))=COUNTA(TEXTSPLIT(HC216,",")))))</f>
        <v/>
      </c>
      <c r="JN216">
        <f>AND(IF(HE216="",TRUE,IF(input_program="",FALSE,SUMPRODUCT(--ISNUMBER(SEARCH(","&amp;TRIM(TEXTSPLIT(HE216,","))&amp;",",","&amp;SUBSTITUTE(input_program," ","")&amp;",")))&gt;0)),IF(HG216="",TRUE,IF(input_program="",FALSE,SUMPRODUCT(--ISNUMBER(SEARCH(","&amp;TRIM(TEXTSPLIT(HG216,","))&amp;",",","&amp;SUBSTITUTE(input_program," ","")&amp;",")))=COUNTA(TEXTSPLIT(HG216,",")))),IF(HI216="",TRUE,IF(input_program="",TRUE,SUMPRODUCT(--ISNUMBER(SEARCH(","&amp;TRIM(TEXTSPLIT(HI216,","))&amp;",",","&amp;SUBSTITUTE(input_program," ","")&amp;",")))=0)),IF(HK216="",TRUE,IF(input_program="",FALSE,SUMPRODUCT(--ISNUMBER(SEARCH(","&amp;TRIM(TEXTSPLIT(HK216,","))&amp;",",","&amp;SUBSTITUTE(input_program," ","")&amp;",")))&gt;0)),IF(HM216="",TRUE,IF(input_program="",FALSE,SUMPRODUCT(--ISNUMBER(SEARCH(","&amp;TRIM(TEXTSPLIT(HM216,","))&amp;",",","&amp;SUBSTITUTE(input_program," ","")&amp;",")))=COUNTA(TEXTSPLIT(HM216,",")))))</f>
        <v/>
      </c>
      <c r="JO216">
        <f>AND(IF(HO216="",TRUE,IF(input_story_categories="",FALSE,SUMPRODUCT(--ISNUMBER(SEARCH(","&amp;TRIM(TEXTSPLIT(HO216,","))&amp;",",","&amp;SUBSTITUTE(input_story_categories," ","")&amp;",")))&gt;0)),IF(HQ216="",TRUE,IF(input_story_categories="",FALSE,SUMPRODUCT(--ISNUMBER(SEARCH(","&amp;TRIM(TEXTSPLIT(HQ216,","))&amp;",",","&amp;SUBSTITUTE(input_story_categories," ","")&amp;",")))=COUNTA(TEXTSPLIT(HQ216,",")))),IF(HS216="",TRUE,IF(input_story_categories="",TRUE,SUMPRODUCT(--ISNUMBER(SEARCH(","&amp;TRIM(TEXTSPLIT(HS216,","))&amp;",",","&amp;SUBSTITUTE(input_story_categories," ","")&amp;",")))=0)),IF(HU216="",TRUE,IF(input_story_categories="",FALSE,SUMPRODUCT(--ISNUMBER(SEARCH(","&amp;TRIM(TEXTSPLIT(HU216,","))&amp;",",","&amp;SUBSTITUTE(input_story_categories," ","")&amp;",")))&gt;0)),IF(HW216="",TRUE,IF(input_story_categories="",FALSE,SUMPRODUCT(--ISNUMBER(SEARCH(","&amp;TRIM(TEXTSPLIT(HW216,","))&amp;",",","&amp;SUBSTITUTE(input_story_categories," ","")&amp;",")))=COUNTA(TEXTSPLIT(HW216,",")))))</f>
        <v/>
      </c>
      <c r="JP216">
        <f>AND(IF(HY216="",TRUE,IF(input_story_type="",FALSE,SUMPRODUCT(--ISNUMBER(SEARCH(","&amp;TRIM(TEXTSPLIT(HY216,","))&amp;",",","&amp;SUBSTITUTE(input_story_type," ","")&amp;",")))&gt;0)),IF(IA216="",TRUE,IF(input_story_type="",FALSE,SUMPRODUCT(--ISNUMBER(SEARCH(","&amp;TRIM(TEXTSPLIT(IA216,","))&amp;",",","&amp;SUBSTITUTE(input_story_type," ","")&amp;",")))=COUNTA(TEXTSPLIT(IA216,",")))),IF(IC216="",TRUE,IF(input_story_type="",TRUE,SUMPRODUCT(--ISNUMBER(SEARCH(","&amp;TRIM(TEXTSPLIT(IC216,","))&amp;",",","&amp;SUBSTITUTE(input_story_type," ","")&amp;",")))=0)),IF(IE216="",TRUE,IF(input_story_type="",FALSE,SUMPRODUCT(--ISNUMBER(SEARCH(","&amp;TRIM(TEXTSPLIT(IE216,","))&amp;",",","&amp;SUBSTITUTE(input_story_type," ","")&amp;",")))&gt;0)),IF(IG216="",TRUE,IF(input_story_type="",FALSE,SUMPRODUCT(--ISNUMBER(SEARCH(","&amp;TRIM(TEXTSPLIT(IG216,","))&amp;",",","&amp;SUBSTITUTE(input_story_type," ","")&amp;",")))=COUNTA(TEXTSPLIT(IG216,",")))))</f>
        <v/>
      </c>
      <c r="JQ216">
        <f>AND(IF(II216="",TRUE,IF(input_topics="",FALSE,SUMPRODUCT(--ISNUMBER(SEARCH(","&amp;TRIM(TEXTSPLIT(II216,","))&amp;",",","&amp;SUBSTITUTE(input_topics," ","")&amp;",")))&gt;0)),IF(IK216="",TRUE,IF(input_topics="",FALSE,SUMPRODUCT(--ISNUMBER(SEARCH(","&amp;TRIM(TEXTSPLIT(IK216,","))&amp;",",","&amp;SUBSTITUTE(input_topics," ","")&amp;",")))=COUNTA(TEXTSPLIT(IK216,",")))),IF(IM216="",TRUE,IF(input_topics="",TRUE,SUMPRODUCT(--ISNUMBER(SEARCH(","&amp;TRIM(TEXTSPLIT(IM216,","))&amp;",",","&amp;SUBSTITUTE(input_topics," ","")&amp;",")))=0)),IF(IO216="",TRUE,IF(input_topics="",FALSE,SUMPRODUCT(--ISNUMBER(SEARCH(","&amp;TRIM(TEXTSPLIT(IO216,","))&amp;",",","&amp;SUBSTITUTE(input_topics," ","")&amp;",")))&gt;0)),IF(IQ216="",TRUE,IF(input_topics="",FALSE,SUMPRODUCT(--ISNUMBER(SEARCH(","&amp;TRIM(TEXTSPLIT(IQ216,","))&amp;",",","&amp;SUBSTITUTE(input_topics," ","")&amp;",")))=COUNTA(TEXTSPLIT(IQ216,",")))))</f>
        <v/>
      </c>
    </row>
    <row r="217">
      <c r="A217" s="4">
        <f>IF(NOT(IS217),"Excluded",IF(AND(IT217,IU217,IV217,IW217,IX217,IY217,IZ217,JA217,JB217,JC217,JD217,JE217,JF217,JG217,JH217,JI217,JJ217,JK217,JL217,JM217,JN217,JO217,JP217,JQ217),IF(I217&gt;0,"Eligible but limited","Will appear"),"Excluded"))</f>
        <v/>
      </c>
      <c r="B217" s="4" t="inlineStr">
        <is>
          <t>Related stories on story pages</t>
        </is>
      </c>
      <c r="C217" s="4" t="inlineStr">
        <is>
          <t>/story/2025/volunteers-teach-business-and-life-lessons-new-haven-school</t>
        </is>
      </c>
      <c r="D217" s="4" t="inlineStr">
        <is>
          <t>/story/2025/volunteers-teach-business-and-life-lessons-new-haven-school
/story/2025/yale-clean-energy-conference-speakers-discuss-evolving-global-landscape-renewables
/story/2026/sixth-global-network-stock-trading-game-students-navigate-bear-market</t>
        </is>
      </c>
      <c r="E217" s="4" t="n">
        <v>4</v>
      </c>
      <c r="F217" s="4" t="inlineStr">
        <is>
          <t>story</t>
        </is>
      </c>
      <c r="G217" s="4" t="inlineStr">
        <is>
          <t>stories_teaser_cards</t>
        </is>
      </c>
      <c r="H217" s="4" t="inlineStr">
        <is>
          <t>embed_all</t>
        </is>
      </c>
      <c r="I217" s="4" t="n">
        <v>3</v>
      </c>
      <c r="J217" s="4" t="inlineStr">
        <is>
          <t>Template logic</t>
        </is>
      </c>
      <c r="K217" s="4" t="inlineStr">
        <is>
          <t>Grouped surface</t>
        </is>
      </c>
      <c r="L217" s="4" t="inlineStr">
        <is>
          <t>Content type: story; Context uses Courses Context: Residential master's programs (1571); Context uses Story Type: News (924); Limited to 3 item(s); Source: Template logic</t>
        </is>
      </c>
      <c r="M217" t="inlineStr"/>
      <c r="N217" t="inlineStr"/>
      <c r="O217" t="inlineStr"/>
      <c r="P217" t="inlineStr"/>
      <c r="Q217" t="inlineStr"/>
      <c r="R217" t="inlineStr"/>
      <c r="S217" t="inlineStr"/>
      <c r="T217" t="inlineStr"/>
      <c r="U217" t="inlineStr"/>
      <c r="V217" t="inlineStr"/>
      <c r="W217" t="inlineStr"/>
      <c r="X217" t="inlineStr"/>
      <c r="Y217" t="inlineStr"/>
      <c r="Z217" t="inlineStr"/>
      <c r="AA217" t="inlineStr"/>
      <c r="AB217" t="inlineStr"/>
      <c r="AC217" t="inlineStr"/>
      <c r="AD217" t="inlineStr"/>
      <c r="AE217" t="inlineStr"/>
      <c r="AF217" t="inlineStr"/>
      <c r="AG217" t="inlineStr"/>
      <c r="AH217" t="inlineStr"/>
      <c r="AI217" t="inlineStr"/>
      <c r="AJ217" t="inlineStr"/>
      <c r="AK217" t="inlineStr"/>
      <c r="AL217" t="inlineStr"/>
      <c r="AM217" t="inlineStr"/>
      <c r="AN217" t="inlineStr"/>
      <c r="AO217" t="inlineStr"/>
      <c r="AP217" t="inlineStr"/>
      <c r="AQ217" t="inlineStr"/>
      <c r="AR217" t="inlineStr"/>
      <c r="AS217" t="inlineStr"/>
      <c r="AT217" t="inlineStr"/>
      <c r="AU217" t="inlineStr"/>
      <c r="AV217" t="inlineStr"/>
      <c r="AW217" t="inlineStr"/>
      <c r="AX217" t="inlineStr"/>
      <c r="AY217" t="inlineStr"/>
      <c r="AZ217" t="inlineStr"/>
      <c r="BA217" t="inlineStr"/>
      <c r="BB217" t="inlineStr"/>
      <c r="BC217" t="inlineStr"/>
      <c r="BD217" t="inlineStr"/>
      <c r="BE217" t="inlineStr"/>
      <c r="BF217" t="inlineStr"/>
      <c r="BG217" t="inlineStr"/>
      <c r="BH217" t="inlineStr"/>
      <c r="BI217" t="inlineStr"/>
      <c r="BJ217" t="inlineStr"/>
      <c r="BK217" t="inlineStr"/>
      <c r="BL217" t="inlineStr"/>
      <c r="BM217" t="inlineStr"/>
      <c r="BN217" t="inlineStr"/>
      <c r="BO217" t="inlineStr"/>
      <c r="BP217" t="inlineStr"/>
      <c r="BQ217" t="inlineStr">
        <is>
          <t>1571</t>
        </is>
      </c>
      <c r="BR217" t="inlineStr">
        <is>
          <t>Residential master's programs (1571)</t>
        </is>
      </c>
      <c r="BS217" t="inlineStr"/>
      <c r="BT217" t="inlineStr"/>
      <c r="BU217" t="inlineStr"/>
      <c r="BV217" t="inlineStr"/>
      <c r="BW217" t="inlineStr"/>
      <c r="BX217" t="inlineStr"/>
      <c r="BY217" t="inlineStr"/>
      <c r="BZ217" t="inlineStr"/>
      <c r="CA217" t="inlineStr"/>
      <c r="CB217" t="inlineStr"/>
      <c r="CC217" t="inlineStr"/>
      <c r="CD217" t="inlineStr"/>
      <c r="CE217" t="inlineStr"/>
      <c r="CF217" t="inlineStr"/>
      <c r="CG217" t="inlineStr"/>
      <c r="CH217" t="inlineStr"/>
      <c r="CI217" t="inlineStr"/>
      <c r="CJ217" t="inlineStr"/>
      <c r="CK217" t="inlineStr"/>
      <c r="CL217" t="inlineStr"/>
      <c r="CM217" t="inlineStr"/>
      <c r="CN217" t="inlineStr"/>
      <c r="CO217" t="inlineStr"/>
      <c r="CP217" t="inlineStr"/>
      <c r="CQ217" t="inlineStr"/>
      <c r="CR217" t="inlineStr"/>
      <c r="CS217" t="inlineStr"/>
      <c r="CT217" t="inlineStr"/>
      <c r="CU217" t="inlineStr"/>
      <c r="CV217" t="inlineStr"/>
      <c r="CW217" t="inlineStr"/>
      <c r="CX217" t="inlineStr"/>
      <c r="CY217" t="inlineStr"/>
      <c r="CZ217" t="inlineStr"/>
      <c r="DA217" t="inlineStr"/>
      <c r="DB217" t="inlineStr"/>
      <c r="DC217" t="inlineStr"/>
      <c r="DD217" t="inlineStr"/>
      <c r="DE217" t="inlineStr"/>
      <c r="DF217" t="inlineStr"/>
      <c r="DG217" t="inlineStr"/>
      <c r="DH217" t="inlineStr"/>
      <c r="DI217" t="inlineStr"/>
      <c r="DJ217" t="inlineStr"/>
      <c r="DK217" t="inlineStr"/>
      <c r="DL217" t="inlineStr"/>
      <c r="DM217" t="inlineStr"/>
      <c r="DN217" t="inlineStr"/>
      <c r="DO217" t="inlineStr"/>
      <c r="DP217" t="inlineStr"/>
      <c r="DQ217" t="inlineStr"/>
      <c r="DR217" t="inlineStr"/>
      <c r="DS217" t="inlineStr"/>
      <c r="DT217" t="inlineStr"/>
      <c r="DU217" t="inlineStr"/>
      <c r="DV217" t="inlineStr"/>
      <c r="DW217" t="inlineStr"/>
      <c r="DX217" t="inlineStr"/>
      <c r="DY217" t="inlineStr"/>
      <c r="DZ217" t="inlineStr"/>
      <c r="EA217" t="inlineStr"/>
      <c r="EB217" t="inlineStr"/>
      <c r="EC217" t="inlineStr"/>
      <c r="ED217" t="inlineStr"/>
      <c r="EE217" t="inlineStr"/>
      <c r="EF217" t="inlineStr"/>
      <c r="EG217" t="inlineStr"/>
      <c r="EH217" t="inlineStr"/>
      <c r="EI217" t="inlineStr"/>
      <c r="EJ217" t="inlineStr"/>
      <c r="EK217" t="inlineStr"/>
      <c r="EL217" t="inlineStr"/>
      <c r="EM217" t="inlineStr"/>
      <c r="EN217" t="inlineStr"/>
      <c r="EO217" t="inlineStr"/>
      <c r="EP217" t="inlineStr"/>
      <c r="EQ217" t="inlineStr"/>
      <c r="ER217" t="inlineStr"/>
      <c r="ES217" t="inlineStr"/>
      <c r="ET217" t="inlineStr"/>
      <c r="EU217" t="inlineStr"/>
      <c r="EV217" t="inlineStr"/>
      <c r="EW217" t="inlineStr"/>
      <c r="EX217" t="inlineStr"/>
      <c r="EY217" t="inlineStr"/>
      <c r="EZ217" t="inlineStr"/>
      <c r="FA217" t="inlineStr"/>
      <c r="FB217" t="inlineStr"/>
      <c r="FC217" t="inlineStr"/>
      <c r="FD217" t="inlineStr"/>
      <c r="FE217" t="inlineStr"/>
      <c r="FF217" t="inlineStr"/>
      <c r="FG217" t="inlineStr"/>
      <c r="FH217" t="inlineStr"/>
      <c r="FI217" t="inlineStr"/>
      <c r="FJ217" t="inlineStr"/>
      <c r="FK217" t="inlineStr"/>
      <c r="FL217" t="inlineStr"/>
      <c r="FM217" t="inlineStr"/>
      <c r="FN217" t="inlineStr"/>
      <c r="FO217" t="inlineStr"/>
      <c r="FP217" t="inlineStr"/>
      <c r="FQ217" t="inlineStr"/>
      <c r="FR217" t="inlineStr"/>
      <c r="FS217" t="inlineStr"/>
      <c r="FT217" t="inlineStr"/>
      <c r="FU217" t="inlineStr"/>
      <c r="FV217" t="inlineStr"/>
      <c r="FW217" t="inlineStr"/>
      <c r="FX217" t="inlineStr"/>
      <c r="FY217" t="inlineStr"/>
      <c r="FZ217" t="inlineStr"/>
      <c r="GA217" t="inlineStr"/>
      <c r="GB217" t="inlineStr"/>
      <c r="GC217" t="inlineStr"/>
      <c r="GD217" t="inlineStr"/>
      <c r="GE217" t="inlineStr"/>
      <c r="GF217" t="inlineStr"/>
      <c r="GG217" t="inlineStr"/>
      <c r="GH217" t="inlineStr"/>
      <c r="GI217" t="inlineStr"/>
      <c r="GJ217" t="inlineStr"/>
      <c r="GK217" t="inlineStr"/>
      <c r="GL217" t="inlineStr"/>
      <c r="GM217" t="inlineStr"/>
      <c r="GN217" t="inlineStr"/>
      <c r="GO217" t="inlineStr"/>
      <c r="GP217" t="inlineStr"/>
      <c r="GQ217" t="inlineStr"/>
      <c r="GR217" t="inlineStr"/>
      <c r="GS217" t="inlineStr"/>
      <c r="GT217" t="inlineStr"/>
      <c r="GU217" t="inlineStr"/>
      <c r="GV217" t="inlineStr"/>
      <c r="GW217" t="inlineStr"/>
      <c r="GX217" t="inlineStr"/>
      <c r="GY217" t="inlineStr"/>
      <c r="GZ217" t="inlineStr"/>
      <c r="HA217" t="inlineStr"/>
      <c r="HB217" t="inlineStr"/>
      <c r="HC217" t="inlineStr"/>
      <c r="HD217" t="inlineStr"/>
      <c r="HE217" t="inlineStr"/>
      <c r="HF217" t="inlineStr"/>
      <c r="HG217" t="inlineStr"/>
      <c r="HH217" t="inlineStr"/>
      <c r="HI217" t="inlineStr"/>
      <c r="HJ217" t="inlineStr"/>
      <c r="HK217" t="inlineStr"/>
      <c r="HL217" t="inlineStr"/>
      <c r="HM217" t="inlineStr"/>
      <c r="HN217" t="inlineStr"/>
      <c r="HO217" t="inlineStr"/>
      <c r="HP217" t="inlineStr"/>
      <c r="HQ217" t="inlineStr"/>
      <c r="HR217" t="inlineStr"/>
      <c r="HS217" t="inlineStr"/>
      <c r="HT217" t="inlineStr"/>
      <c r="HU217" t="inlineStr"/>
      <c r="HV217" t="inlineStr"/>
      <c r="HW217" t="inlineStr"/>
      <c r="HX217" t="inlineStr"/>
      <c r="HY217" t="inlineStr"/>
      <c r="HZ217" t="inlineStr"/>
      <c r="IA217" t="inlineStr"/>
      <c r="IB217" t="inlineStr"/>
      <c r="IC217" t="inlineStr"/>
      <c r="ID217" t="inlineStr"/>
      <c r="IE217" t="inlineStr">
        <is>
          <t>924</t>
        </is>
      </c>
      <c r="IF217" t="inlineStr">
        <is>
          <t>News (924)</t>
        </is>
      </c>
      <c r="IG217" t="inlineStr"/>
      <c r="IH217" t="inlineStr"/>
      <c r="II217" t="inlineStr"/>
      <c r="IJ217" t="inlineStr"/>
      <c r="IK217" t="inlineStr"/>
      <c r="IL217" t="inlineStr"/>
      <c r="IM217" t="inlineStr"/>
      <c r="IN217" t="inlineStr"/>
      <c r="IO217" t="inlineStr"/>
      <c r="IP217" t="inlineStr"/>
      <c r="IQ217" t="inlineStr"/>
      <c r="IR217" t="inlineStr"/>
      <c r="IS217">
        <f>IF(input_content_type="",FALSE,ISNUMBER(SEARCH(","&amp;LOWER(input_content_type)&amp;",",","&amp;LOWER(F217)&amp;",")))</f>
        <v/>
      </c>
      <c r="IT217">
        <f>AND(IF(M217="",TRUE,IF(input_affiliations="",FALSE,SUMPRODUCT(--ISNUMBER(SEARCH(","&amp;TRIM(TEXTSPLIT(M217,","))&amp;",",","&amp;SUBSTITUTE(input_affiliations," ","")&amp;",")))&gt;0)),IF(O217="",TRUE,IF(input_affiliations="",FALSE,SUMPRODUCT(--ISNUMBER(SEARCH(","&amp;TRIM(TEXTSPLIT(O217,","))&amp;",",","&amp;SUBSTITUTE(input_affiliations," ","")&amp;",")))=COUNTA(TEXTSPLIT(O217,",")))),IF(Q217="",TRUE,IF(input_affiliations="",TRUE,SUMPRODUCT(--ISNUMBER(SEARCH(","&amp;TRIM(TEXTSPLIT(Q217,","))&amp;",",","&amp;SUBSTITUTE(input_affiliations," ","")&amp;",")))=0)),IF(S217="",TRUE,IF(input_affiliations="",FALSE,SUMPRODUCT(--ISNUMBER(SEARCH(","&amp;TRIM(TEXTSPLIT(S217,","))&amp;",",","&amp;SUBSTITUTE(input_affiliations," ","")&amp;",")))&gt;0)),IF(U217="",TRUE,IF(input_affiliations="",FALSE,SUMPRODUCT(--ISNUMBER(SEARCH(","&amp;TRIM(TEXTSPLIT(U217,","))&amp;",",","&amp;SUBSTITUTE(input_affiliations," ","")&amp;",")))=COUNTA(TEXTSPLIT(U217,",")))))</f>
        <v/>
      </c>
      <c r="IU217">
        <f>AND(IF(W217="",TRUE,IF(input_announcement_category="",FALSE,SUMPRODUCT(--ISNUMBER(SEARCH(","&amp;TRIM(TEXTSPLIT(W217,","))&amp;",",","&amp;SUBSTITUTE(input_announcement_category," ","")&amp;",")))&gt;0)),IF(Y217="",TRUE,IF(input_announcement_category="",FALSE,SUMPRODUCT(--ISNUMBER(SEARCH(","&amp;TRIM(TEXTSPLIT(Y217,","))&amp;",",","&amp;SUBSTITUTE(input_announcement_category," ","")&amp;",")))=COUNTA(TEXTSPLIT(Y217,",")))),IF(AA217="",TRUE,IF(input_announcement_category="",TRUE,SUMPRODUCT(--ISNUMBER(SEARCH(","&amp;TRIM(TEXTSPLIT(AA217,","))&amp;",",","&amp;SUBSTITUTE(input_announcement_category," ","")&amp;",")))=0)),IF(AC217="",TRUE,IF(input_announcement_category="",FALSE,SUMPRODUCT(--ISNUMBER(SEARCH(","&amp;TRIM(TEXTSPLIT(AC217,","))&amp;",",","&amp;SUBSTITUTE(input_announcement_category," ","")&amp;",")))&gt;0)),IF(AE217="",TRUE,IF(input_announcement_category="",FALSE,SUMPRODUCT(--ISNUMBER(SEARCH(","&amp;TRIM(TEXTSPLIT(AE217,","))&amp;",",","&amp;SUBSTITUTE(input_announcement_category," ","")&amp;",")))=COUNTA(TEXTSPLIT(AE217,",")))))</f>
        <v/>
      </c>
      <c r="IV217">
        <f>AND(IF(AG217="",TRUE,IF(input_area_of_focus="",FALSE,SUMPRODUCT(--ISNUMBER(SEARCH(","&amp;TRIM(TEXTSPLIT(AG217,","))&amp;",",","&amp;SUBSTITUTE(input_area_of_focus," ","")&amp;",")))&gt;0)),IF(AI217="",TRUE,IF(input_area_of_focus="",FALSE,SUMPRODUCT(--ISNUMBER(SEARCH(","&amp;TRIM(TEXTSPLIT(AI217,","))&amp;",",","&amp;SUBSTITUTE(input_area_of_focus," ","")&amp;",")))=COUNTA(TEXTSPLIT(AI217,",")))),IF(AK217="",TRUE,IF(input_area_of_focus="",TRUE,SUMPRODUCT(--ISNUMBER(SEARCH(","&amp;TRIM(TEXTSPLIT(AK217,","))&amp;",",","&amp;SUBSTITUTE(input_area_of_focus," ","")&amp;",")))=0)),IF(AM217="",TRUE,IF(input_area_of_focus="",FALSE,SUMPRODUCT(--ISNUMBER(SEARCH(","&amp;TRIM(TEXTSPLIT(AM217,","))&amp;",",","&amp;SUBSTITUTE(input_area_of_focus," ","")&amp;",")))&gt;0)),IF(AO217="",TRUE,IF(input_area_of_focus="",FALSE,SUMPRODUCT(--ISNUMBER(SEARCH(","&amp;TRIM(TEXTSPLIT(AO217,","))&amp;",",","&amp;SUBSTITUTE(input_area_of_focus," ","")&amp;",")))=COUNTA(TEXTSPLIT(AO217,",")))))</f>
        <v/>
      </c>
      <c r="IW217">
        <f>AND(IF(AQ217="",TRUE,IF(input_audience="",FALSE,SUMPRODUCT(--ISNUMBER(SEARCH(","&amp;TRIM(TEXTSPLIT(AQ217,","))&amp;",",","&amp;SUBSTITUTE(input_audience," ","")&amp;",")))&gt;0)),IF(AS217="",TRUE,IF(input_audience="",FALSE,SUMPRODUCT(--ISNUMBER(SEARCH(","&amp;TRIM(TEXTSPLIT(AS217,","))&amp;",",","&amp;SUBSTITUTE(input_audience," ","")&amp;",")))=COUNTA(TEXTSPLIT(AS217,",")))),IF(AU217="",TRUE,IF(input_audience="",TRUE,SUMPRODUCT(--ISNUMBER(SEARCH(","&amp;TRIM(TEXTSPLIT(AU217,","))&amp;",",","&amp;SUBSTITUTE(input_audience," ","")&amp;",")))=0)),IF(AW217="",TRUE,IF(input_audience="",FALSE,SUMPRODUCT(--ISNUMBER(SEARCH(","&amp;TRIM(TEXTSPLIT(AW217,","))&amp;",",","&amp;SUBSTITUTE(input_audience," ","")&amp;",")))&gt;0)),IF(AY217="",TRUE,IF(input_audience="",FALSE,SUMPRODUCT(--ISNUMBER(SEARCH(","&amp;TRIM(TEXTSPLIT(AY217,","))&amp;",",","&amp;SUBSTITUTE(input_audience," ","")&amp;",")))=COUNTA(TEXTSPLIT(AY217,",")))))</f>
        <v/>
      </c>
      <c r="IX217">
        <f>AND(IF(BA217="",TRUE,IF(input_challenge_opportunities="",FALSE,SUMPRODUCT(--ISNUMBER(SEARCH(","&amp;TRIM(TEXTSPLIT(BA217,","))&amp;",",","&amp;SUBSTITUTE(input_challenge_opportunities," ","")&amp;",")))&gt;0)),IF(BC217="",TRUE,IF(input_challenge_opportunities="",FALSE,SUMPRODUCT(--ISNUMBER(SEARCH(","&amp;TRIM(TEXTSPLIT(BC217,","))&amp;",",","&amp;SUBSTITUTE(input_challenge_opportunities," ","")&amp;",")))=COUNTA(TEXTSPLIT(BC217,",")))),IF(BE217="",TRUE,IF(input_challenge_opportunities="",TRUE,SUMPRODUCT(--ISNUMBER(SEARCH(","&amp;TRIM(TEXTSPLIT(BE217,","))&amp;",",","&amp;SUBSTITUTE(input_challenge_opportunities," ","")&amp;",")))=0)),IF(BG217="",TRUE,IF(input_challenge_opportunities="",FALSE,SUMPRODUCT(--ISNUMBER(SEARCH(","&amp;TRIM(TEXTSPLIT(BG217,","))&amp;",",","&amp;SUBSTITUTE(input_challenge_opportunities," ","")&amp;",")))&gt;0)),IF(BI217="",TRUE,IF(input_challenge_opportunities="",FALSE,SUMPRODUCT(--ISNUMBER(SEARCH(","&amp;TRIM(TEXTSPLIT(BI217,","))&amp;",",","&amp;SUBSTITUTE(input_challenge_opportunities," ","")&amp;",")))=COUNTA(TEXTSPLIT(BI217,",")))))</f>
        <v/>
      </c>
      <c r="IY217">
        <f>AND(IF(BK217="",TRUE,IF(input_context="",FALSE,SUMPRODUCT(--ISNUMBER(SEARCH(","&amp;TRIM(TEXTSPLIT(BK217,","))&amp;",",","&amp;SUBSTITUTE(input_context," ","")&amp;",")))&gt;0)),IF(BM217="",TRUE,IF(input_context="",FALSE,SUMPRODUCT(--ISNUMBER(SEARCH(","&amp;TRIM(TEXTSPLIT(BM217,","))&amp;",",","&amp;SUBSTITUTE(input_context," ","")&amp;",")))=COUNTA(TEXTSPLIT(BM217,",")))),IF(BO217="",TRUE,IF(input_context="",TRUE,SUMPRODUCT(--ISNUMBER(SEARCH(","&amp;TRIM(TEXTSPLIT(BO217,","))&amp;",",","&amp;SUBSTITUTE(input_context," ","")&amp;",")))=0)),IF(BQ217="",TRUE,IF(input_context="",FALSE,SUMPRODUCT(--ISNUMBER(SEARCH(","&amp;TRIM(TEXTSPLIT(BQ217,","))&amp;",",","&amp;SUBSTITUTE(input_context," ","")&amp;",")))&gt;0)),IF(BS217="",TRUE,IF(input_context="",FALSE,SUMPRODUCT(--ISNUMBER(SEARCH(","&amp;TRIM(TEXTSPLIT(BS217,","))&amp;",",","&amp;SUBSTITUTE(input_context," ","")&amp;",")))=COUNTA(TEXTSPLIT(BS217,",")))))</f>
        <v/>
      </c>
      <c r="IZ217">
        <f>AND(IF(BU217="",TRUE,IF(input_enews_announcement_type="",FALSE,SUMPRODUCT(--ISNUMBER(SEARCH(","&amp;TRIM(TEXTSPLIT(BU217,","))&amp;",",","&amp;SUBSTITUTE(input_enews_announcement_type," ","")&amp;",")))&gt;0)),IF(BW217="",TRUE,IF(input_enews_announcement_type="",FALSE,SUMPRODUCT(--ISNUMBER(SEARCH(","&amp;TRIM(TEXTSPLIT(BW217,","))&amp;",",","&amp;SUBSTITUTE(input_enews_announcement_type," ","")&amp;",")))=COUNTA(TEXTSPLIT(BW217,",")))),IF(BY217="",TRUE,IF(input_enews_announcement_type="",TRUE,SUMPRODUCT(--ISNUMBER(SEARCH(","&amp;TRIM(TEXTSPLIT(BY217,","))&amp;",",","&amp;SUBSTITUTE(input_enews_announcement_type," ","")&amp;",")))=0)),IF(CA217="",TRUE,IF(input_enews_announcement_type="",FALSE,SUMPRODUCT(--ISNUMBER(SEARCH(","&amp;TRIM(TEXTSPLIT(CA217,","))&amp;",",","&amp;SUBSTITUTE(input_enews_announcement_type," ","")&amp;",")))&gt;0)),IF(CC217="",TRUE,IF(input_enews_announcement_type="",FALSE,SUMPRODUCT(--ISNUMBER(SEARCH(","&amp;TRIM(TEXTSPLIT(CC217,","))&amp;",",","&amp;SUBSTITUTE(input_enews_announcement_type," ","")&amp;",")))=COUNTA(TEXTSPLIT(CC217,",")))))</f>
        <v/>
      </c>
      <c r="JA217">
        <f>AND(IF(CE217="",TRUE,IF(input_enews_audience="",FALSE,SUMPRODUCT(--ISNUMBER(SEARCH(","&amp;TRIM(TEXTSPLIT(CE217,","))&amp;",",","&amp;SUBSTITUTE(input_enews_audience," ","")&amp;",")))&gt;0)),IF(CG217="",TRUE,IF(input_enews_audience="",FALSE,SUMPRODUCT(--ISNUMBER(SEARCH(","&amp;TRIM(TEXTSPLIT(CG217,","))&amp;",",","&amp;SUBSTITUTE(input_enews_audience," ","")&amp;",")))=COUNTA(TEXTSPLIT(CG217,",")))),IF(CI217="",TRUE,IF(input_enews_audience="",TRUE,SUMPRODUCT(--ISNUMBER(SEARCH(","&amp;TRIM(TEXTSPLIT(CI217,","))&amp;",",","&amp;SUBSTITUTE(input_enews_audience," ","")&amp;",")))=0)),IF(CK217="",TRUE,IF(input_enews_audience="",FALSE,SUMPRODUCT(--ISNUMBER(SEARCH(","&amp;TRIM(TEXTSPLIT(CK217,","))&amp;",",","&amp;SUBSTITUTE(input_enews_audience," ","")&amp;",")))&gt;0)),IF(CM217="",TRUE,IF(input_enews_audience="",FALSE,SUMPRODUCT(--ISNUMBER(SEARCH(","&amp;TRIM(TEXTSPLIT(CM217,","))&amp;",",","&amp;SUBSTITUTE(input_enews_audience," ","")&amp;",")))=COUNTA(TEXTSPLIT(CM217,",")))))</f>
        <v/>
      </c>
      <c r="JB217">
        <f>AND(IF(CO217="",TRUE,IF(input_event_location="",FALSE,SUMPRODUCT(--ISNUMBER(SEARCH(","&amp;TRIM(TEXTSPLIT(CO217,","))&amp;",",","&amp;SUBSTITUTE(input_event_location," ","")&amp;",")))&gt;0)),IF(CQ217="",TRUE,IF(input_event_location="",FALSE,SUMPRODUCT(--ISNUMBER(SEARCH(","&amp;TRIM(TEXTSPLIT(CQ217,","))&amp;",",","&amp;SUBSTITUTE(input_event_location," ","")&amp;",")))=COUNTA(TEXTSPLIT(CQ217,",")))),IF(CS217="",TRUE,IF(input_event_location="",TRUE,SUMPRODUCT(--ISNUMBER(SEARCH(","&amp;TRIM(TEXTSPLIT(CS217,","))&amp;",",","&amp;SUBSTITUTE(input_event_location," ","")&amp;",")))=0)),IF(CU217="",TRUE,IF(input_event_location="",FALSE,SUMPRODUCT(--ISNUMBER(SEARCH(","&amp;TRIM(TEXTSPLIT(CU217,","))&amp;",",","&amp;SUBSTITUTE(input_event_location," ","")&amp;",")))&gt;0)),IF(CW217="",TRUE,IF(input_event_location="",FALSE,SUMPRODUCT(--ISNUMBER(SEARCH(","&amp;TRIM(TEXTSPLIT(CW217,","))&amp;",",","&amp;SUBSTITUTE(input_event_location," ","")&amp;",")))=COUNTA(TEXTSPLIT(CW217,",")))))</f>
        <v/>
      </c>
      <c r="JC217">
        <f>AND(IF(CY217="",TRUE,IF(input_event_type="",FALSE,SUMPRODUCT(--ISNUMBER(SEARCH(","&amp;TRIM(TEXTSPLIT(CY217,","))&amp;",",","&amp;SUBSTITUTE(input_event_type," ","")&amp;",")))&gt;0)),IF(DA217="",TRUE,IF(input_event_type="",FALSE,SUMPRODUCT(--ISNUMBER(SEARCH(","&amp;TRIM(TEXTSPLIT(DA217,","))&amp;",",","&amp;SUBSTITUTE(input_event_type," ","")&amp;",")))=COUNTA(TEXTSPLIT(DA217,",")))),IF(DC217="",TRUE,IF(input_event_type="",TRUE,SUMPRODUCT(--ISNUMBER(SEARCH(","&amp;TRIM(TEXTSPLIT(DC217,","))&amp;",",","&amp;SUBSTITUTE(input_event_type," ","")&amp;",")))=0)),IF(DE217="",TRUE,IF(input_event_type="",FALSE,SUMPRODUCT(--ISNUMBER(SEARCH(","&amp;TRIM(TEXTSPLIT(DE217,","))&amp;",",","&amp;SUBSTITUTE(input_event_type," ","")&amp;",")))&gt;0)),IF(DG217="",TRUE,IF(input_event_type="",FALSE,SUMPRODUCT(--ISNUMBER(SEARCH(","&amp;TRIM(TEXTSPLIT(DG217,","))&amp;",",","&amp;SUBSTITUTE(input_event_type," ","")&amp;",")))=COUNTA(TEXTSPLIT(DG217,",")))))</f>
        <v/>
      </c>
      <c r="JD217">
        <f>AND(IF(DI217="",TRUE,IF(input_executive_education_focus="",FALSE,SUMPRODUCT(--ISNUMBER(SEARCH(","&amp;TRIM(TEXTSPLIT(DI217,","))&amp;",",","&amp;SUBSTITUTE(input_executive_education_focus," ","")&amp;",")))&gt;0)),IF(DK217="",TRUE,IF(input_executive_education_focus="",FALSE,SUMPRODUCT(--ISNUMBER(SEARCH(","&amp;TRIM(TEXTSPLIT(DK217,","))&amp;",",","&amp;SUBSTITUTE(input_executive_education_focus," ","")&amp;",")))=COUNTA(TEXTSPLIT(DK217,",")))),IF(DM217="",TRUE,IF(input_executive_education_focus="",TRUE,SUMPRODUCT(--ISNUMBER(SEARCH(","&amp;TRIM(TEXTSPLIT(DM217,","))&amp;",",","&amp;SUBSTITUTE(input_executive_education_focus," ","")&amp;",")))=0)),IF(DO217="",TRUE,IF(input_executive_education_focus="",FALSE,SUMPRODUCT(--ISNUMBER(SEARCH(","&amp;TRIM(TEXTSPLIT(DO217,","))&amp;",",","&amp;SUBSTITUTE(input_executive_education_focus," ","")&amp;",")))&gt;0)),IF(DQ217="",TRUE,IF(input_executive_education_focus="",FALSE,SUMPRODUCT(--ISNUMBER(SEARCH(","&amp;TRIM(TEXTSPLIT(DQ217,","))&amp;",",","&amp;SUBSTITUTE(input_executive_education_focus," ","")&amp;",")))=COUNTA(TEXTSPLIT(DQ217,",")))))</f>
        <v/>
      </c>
      <c r="JE217">
        <f>AND(IF(DS217="",TRUE,IF(input_faculty_category="",FALSE,SUMPRODUCT(--ISNUMBER(SEARCH(","&amp;TRIM(TEXTSPLIT(DS217,","))&amp;",",","&amp;SUBSTITUTE(input_faculty_category," ","")&amp;",")))&gt;0)),IF(DU217="",TRUE,IF(input_faculty_category="",FALSE,SUMPRODUCT(--ISNUMBER(SEARCH(","&amp;TRIM(TEXTSPLIT(DU217,","))&amp;",",","&amp;SUBSTITUTE(input_faculty_category," ","")&amp;",")))=COUNTA(TEXTSPLIT(DU217,",")))),IF(DW217="",TRUE,IF(input_faculty_category="",TRUE,SUMPRODUCT(--ISNUMBER(SEARCH(","&amp;TRIM(TEXTSPLIT(DW217,","))&amp;",",","&amp;SUBSTITUTE(input_faculty_category," ","")&amp;",")))=0)),IF(DY217="",TRUE,IF(input_faculty_category="",FALSE,SUMPRODUCT(--ISNUMBER(SEARCH(","&amp;TRIM(TEXTSPLIT(DY217,","))&amp;",",","&amp;SUBSTITUTE(input_faculty_category," ","")&amp;",")))&gt;0)),IF(EA217="",TRUE,IF(input_faculty_category="",FALSE,SUMPRODUCT(--ISNUMBER(SEARCH(","&amp;TRIM(TEXTSPLIT(EA217,","))&amp;",",","&amp;SUBSTITUTE(input_faculty_category," ","")&amp;",")))=COUNTA(TEXTSPLIT(EA217,",")))))</f>
        <v/>
      </c>
      <c r="JF217">
        <f>AND(IF(EC217="",TRUE,IF(input_faculty_discipline="",FALSE,SUMPRODUCT(--ISNUMBER(SEARCH(","&amp;TRIM(TEXTSPLIT(EC217,","))&amp;",",","&amp;SUBSTITUTE(input_faculty_discipline," ","")&amp;",")))&gt;0)),IF(EE217="",TRUE,IF(input_faculty_discipline="",FALSE,SUMPRODUCT(--ISNUMBER(SEARCH(","&amp;TRIM(TEXTSPLIT(EE217,","))&amp;",",","&amp;SUBSTITUTE(input_faculty_discipline," ","")&amp;",")))=COUNTA(TEXTSPLIT(EE217,",")))),IF(EG217="",TRUE,IF(input_faculty_discipline="",TRUE,SUMPRODUCT(--ISNUMBER(SEARCH(","&amp;TRIM(TEXTSPLIT(EG217,","))&amp;",",","&amp;SUBSTITUTE(input_faculty_discipline," ","")&amp;",")))=0)),IF(EI217="",TRUE,IF(input_faculty_discipline="",FALSE,SUMPRODUCT(--ISNUMBER(SEARCH(","&amp;TRIM(TEXTSPLIT(EI217,","))&amp;",",","&amp;SUBSTITUTE(input_faculty_discipline," ","")&amp;",")))&gt;0)),IF(EK217="",TRUE,IF(input_faculty_discipline="",FALSE,SUMPRODUCT(--ISNUMBER(SEARCH(","&amp;TRIM(TEXTSPLIT(EK217,","))&amp;",",","&amp;SUBSTITUTE(input_faculty_discipline," ","")&amp;",")))=COUNTA(TEXTSPLIT(EK217,",")))))</f>
        <v/>
      </c>
      <c r="JG217">
        <f>AND(IF(EM217="",TRUE,IF(input_faculty_expertise="",FALSE,SUMPRODUCT(--ISNUMBER(SEARCH(","&amp;TRIM(TEXTSPLIT(EM217,","))&amp;",",","&amp;SUBSTITUTE(input_faculty_expertise," ","")&amp;",")))&gt;0)),IF(EO217="",TRUE,IF(input_faculty_expertise="",FALSE,SUMPRODUCT(--ISNUMBER(SEARCH(","&amp;TRIM(TEXTSPLIT(EO217,","))&amp;",",","&amp;SUBSTITUTE(input_faculty_expertise," ","")&amp;",")))=COUNTA(TEXTSPLIT(EO217,",")))),IF(EQ217="",TRUE,IF(input_faculty_expertise="",TRUE,SUMPRODUCT(--ISNUMBER(SEARCH(","&amp;TRIM(TEXTSPLIT(EQ217,","))&amp;",",","&amp;SUBSTITUTE(input_faculty_expertise," ","")&amp;",")))=0)),IF(ES217="",TRUE,IF(input_faculty_expertise="",FALSE,SUMPRODUCT(--ISNUMBER(SEARCH(","&amp;TRIM(TEXTSPLIT(ES217,","))&amp;",",","&amp;SUBSTITUTE(input_faculty_expertise," ","")&amp;",")))&gt;0)),IF(EU217="",TRUE,IF(input_faculty_expertise="",FALSE,SUMPRODUCT(--ISNUMBER(SEARCH(","&amp;TRIM(TEXTSPLIT(EU217,","))&amp;",",","&amp;SUBSTITUTE(input_faculty_expertise," ","")&amp;",")))=COUNTA(TEXTSPLIT(EU217,",")))))</f>
        <v/>
      </c>
      <c r="JH217">
        <f>AND(IF(EW217="",TRUE,IF(input_global_network_school="",FALSE,SUMPRODUCT(--ISNUMBER(SEARCH(","&amp;TRIM(TEXTSPLIT(EW217,","))&amp;",",","&amp;SUBSTITUTE(input_global_network_school," ","")&amp;",")))&gt;0)),IF(EY217="",TRUE,IF(input_global_network_school="",FALSE,SUMPRODUCT(--ISNUMBER(SEARCH(","&amp;TRIM(TEXTSPLIT(EY217,","))&amp;",",","&amp;SUBSTITUTE(input_global_network_school," ","")&amp;",")))=COUNTA(TEXTSPLIT(EY217,",")))),IF(FA217="",TRUE,IF(input_global_network_school="",TRUE,SUMPRODUCT(--ISNUMBER(SEARCH(","&amp;TRIM(TEXTSPLIT(FA217,","))&amp;",",","&amp;SUBSTITUTE(input_global_network_school," ","")&amp;",")))=0)),IF(FC217="",TRUE,IF(input_global_network_school="",FALSE,SUMPRODUCT(--ISNUMBER(SEARCH(","&amp;TRIM(TEXTSPLIT(FC217,","))&amp;",",","&amp;SUBSTITUTE(input_global_network_school," ","")&amp;",")))&gt;0)),IF(FE217="",TRUE,IF(input_global_network_school="",FALSE,SUMPRODUCT(--ISNUMBER(SEARCH(","&amp;TRIM(TEXTSPLIT(FE217,","))&amp;",",","&amp;SUBSTITUTE(input_global_network_school," ","")&amp;",")))=COUNTA(TEXTSPLIT(FE217,",")))))</f>
        <v/>
      </c>
      <c r="JI217">
        <f>AND(IF(FG217="",TRUE,IF(input_industry="",FALSE,SUMPRODUCT(--ISNUMBER(SEARCH(","&amp;TRIM(TEXTSPLIT(FG217,","))&amp;",",","&amp;SUBSTITUTE(input_industry," ","")&amp;",")))&gt;0)),IF(FI217="",TRUE,IF(input_industry="",FALSE,SUMPRODUCT(--ISNUMBER(SEARCH(","&amp;TRIM(TEXTSPLIT(FI217,","))&amp;",",","&amp;SUBSTITUTE(input_industry," ","")&amp;",")))=COUNTA(TEXTSPLIT(FI217,",")))),IF(FK217="",TRUE,IF(input_industry="",TRUE,SUMPRODUCT(--ISNUMBER(SEARCH(","&amp;TRIM(TEXTSPLIT(FK217,","))&amp;",",","&amp;SUBSTITUTE(input_industry," ","")&amp;",")))=0)),IF(FM217="",TRUE,IF(input_industry="",FALSE,SUMPRODUCT(--ISNUMBER(SEARCH(","&amp;TRIM(TEXTSPLIT(FM217,","))&amp;",",","&amp;SUBSTITUTE(input_industry," ","")&amp;",")))&gt;0)),IF(FO217="",TRUE,IF(input_industry="",FALSE,SUMPRODUCT(--ISNUMBER(SEARCH(","&amp;TRIM(TEXTSPLIT(FO217,","))&amp;",",","&amp;SUBSTITUTE(input_industry," ","")&amp;",")))=COUNTA(TEXTSPLIT(FO217,",")))))</f>
        <v/>
      </c>
      <c r="JJ217">
        <f>AND(IF(FQ217="",TRUE,IF(input_location="",FALSE,SUMPRODUCT(--ISNUMBER(SEARCH(","&amp;TRIM(TEXTSPLIT(FQ217,","))&amp;",",","&amp;SUBSTITUTE(input_location," ","")&amp;",")))&gt;0)),IF(FS217="",TRUE,IF(input_location="",FALSE,SUMPRODUCT(--ISNUMBER(SEARCH(","&amp;TRIM(TEXTSPLIT(FS217,","))&amp;",",","&amp;SUBSTITUTE(input_location," ","")&amp;",")))=COUNTA(TEXTSPLIT(FS217,",")))),IF(FU217="",TRUE,IF(input_location="",TRUE,SUMPRODUCT(--ISNUMBER(SEARCH(","&amp;TRIM(TEXTSPLIT(FU217,","))&amp;",",","&amp;SUBSTITUTE(input_location," ","")&amp;",")))=0)),IF(FW217="",TRUE,IF(input_location="",FALSE,SUMPRODUCT(--ISNUMBER(SEARCH(","&amp;TRIM(TEXTSPLIT(FW217,","))&amp;",",","&amp;SUBSTITUTE(input_location," ","")&amp;",")))&gt;0)),IF(FY217="",TRUE,IF(input_location="",FALSE,SUMPRODUCT(--ISNUMBER(SEARCH(","&amp;TRIM(TEXTSPLIT(FY217,","))&amp;",",","&amp;SUBSTITUTE(input_location," ","")&amp;",")))=COUNTA(TEXTSPLIT(FY217,",")))))</f>
        <v/>
      </c>
      <c r="JK217">
        <f>AND(IF(GA217="",TRUE,IF(input_modality="",FALSE,SUMPRODUCT(--ISNUMBER(SEARCH(","&amp;TRIM(TEXTSPLIT(GA217,","))&amp;",",","&amp;SUBSTITUTE(input_modality," ","")&amp;",")))&gt;0)),IF(GC217="",TRUE,IF(input_modality="",FALSE,SUMPRODUCT(--ISNUMBER(SEARCH(","&amp;TRIM(TEXTSPLIT(GC217,","))&amp;",",","&amp;SUBSTITUTE(input_modality," ","")&amp;",")))=COUNTA(TEXTSPLIT(GC217,",")))),IF(GE217="",TRUE,IF(input_modality="",TRUE,SUMPRODUCT(--ISNUMBER(SEARCH(","&amp;TRIM(TEXTSPLIT(GE217,","))&amp;",",","&amp;SUBSTITUTE(input_modality," ","")&amp;",")))=0)),IF(GG217="",TRUE,IF(input_modality="",FALSE,SUMPRODUCT(--ISNUMBER(SEARCH(","&amp;TRIM(TEXTSPLIT(GG217,","))&amp;",",","&amp;SUBSTITUTE(input_modality," ","")&amp;",")))&gt;0)),IF(GI217="",TRUE,IF(input_modality="",FALSE,SUMPRODUCT(--ISNUMBER(SEARCH(","&amp;TRIM(TEXTSPLIT(GI217,","))&amp;",",","&amp;SUBSTITUTE(input_modality," ","")&amp;",")))=COUNTA(TEXTSPLIT(GI217,",")))))</f>
        <v/>
      </c>
      <c r="JL217">
        <f>AND(IF(GK217="",TRUE,IF(input_organizer="",FALSE,SUMPRODUCT(--ISNUMBER(SEARCH(","&amp;TRIM(TEXTSPLIT(GK217,","))&amp;",",","&amp;SUBSTITUTE(input_organizer," ","")&amp;",")))&gt;0)),IF(GM217="",TRUE,IF(input_organizer="",FALSE,SUMPRODUCT(--ISNUMBER(SEARCH(","&amp;TRIM(TEXTSPLIT(GM217,","))&amp;",",","&amp;SUBSTITUTE(input_organizer," ","")&amp;",")))=COUNTA(TEXTSPLIT(GM217,",")))),IF(GO217="",TRUE,IF(input_organizer="",TRUE,SUMPRODUCT(--ISNUMBER(SEARCH(","&amp;TRIM(TEXTSPLIT(GO217,","))&amp;",",","&amp;SUBSTITUTE(input_organizer," ","")&amp;",")))=0)),IF(GQ217="",TRUE,IF(input_organizer="",FALSE,SUMPRODUCT(--ISNUMBER(SEARCH(","&amp;TRIM(TEXTSPLIT(GQ217,","))&amp;",",","&amp;SUBSTITUTE(input_organizer," ","")&amp;",")))&gt;0)),IF(GS217="",TRUE,IF(input_organizer="",FALSE,SUMPRODUCT(--ISNUMBER(SEARCH(","&amp;TRIM(TEXTSPLIT(GS217,","))&amp;",",","&amp;SUBSTITUTE(input_organizer," ","")&amp;",")))=COUNTA(TEXTSPLIT(GS217,",")))))</f>
        <v/>
      </c>
      <c r="JM217">
        <f>AND(IF(GU217="",TRUE,IF(input_profile_type="",FALSE,SUMPRODUCT(--ISNUMBER(SEARCH(","&amp;TRIM(TEXTSPLIT(GU217,","))&amp;",",","&amp;SUBSTITUTE(input_profile_type," ","")&amp;",")))&gt;0)),IF(GW217="",TRUE,IF(input_profile_type="",FALSE,SUMPRODUCT(--ISNUMBER(SEARCH(","&amp;TRIM(TEXTSPLIT(GW217,","))&amp;",",","&amp;SUBSTITUTE(input_profile_type," ","")&amp;",")))=COUNTA(TEXTSPLIT(GW217,",")))),IF(GY217="",TRUE,IF(input_profile_type="",TRUE,SUMPRODUCT(--ISNUMBER(SEARCH(","&amp;TRIM(TEXTSPLIT(GY217,","))&amp;",",","&amp;SUBSTITUTE(input_profile_type," ","")&amp;",")))=0)),IF(HA217="",TRUE,IF(input_profile_type="",FALSE,SUMPRODUCT(--ISNUMBER(SEARCH(","&amp;TRIM(TEXTSPLIT(HA217,","))&amp;",",","&amp;SUBSTITUTE(input_profile_type," ","")&amp;",")))&gt;0)),IF(HC217="",TRUE,IF(input_profile_type="",FALSE,SUMPRODUCT(--ISNUMBER(SEARCH(","&amp;TRIM(TEXTSPLIT(HC217,","))&amp;",",","&amp;SUBSTITUTE(input_profile_type," ","")&amp;",")))=COUNTA(TEXTSPLIT(HC217,",")))))</f>
        <v/>
      </c>
      <c r="JN217">
        <f>AND(IF(HE217="",TRUE,IF(input_program="",FALSE,SUMPRODUCT(--ISNUMBER(SEARCH(","&amp;TRIM(TEXTSPLIT(HE217,","))&amp;",",","&amp;SUBSTITUTE(input_program," ","")&amp;",")))&gt;0)),IF(HG217="",TRUE,IF(input_program="",FALSE,SUMPRODUCT(--ISNUMBER(SEARCH(","&amp;TRIM(TEXTSPLIT(HG217,","))&amp;",",","&amp;SUBSTITUTE(input_program," ","")&amp;",")))=COUNTA(TEXTSPLIT(HG217,",")))),IF(HI217="",TRUE,IF(input_program="",TRUE,SUMPRODUCT(--ISNUMBER(SEARCH(","&amp;TRIM(TEXTSPLIT(HI217,","))&amp;",",","&amp;SUBSTITUTE(input_program," ","")&amp;",")))=0)),IF(HK217="",TRUE,IF(input_program="",FALSE,SUMPRODUCT(--ISNUMBER(SEARCH(","&amp;TRIM(TEXTSPLIT(HK217,","))&amp;",",","&amp;SUBSTITUTE(input_program," ","")&amp;",")))&gt;0)),IF(HM217="",TRUE,IF(input_program="",FALSE,SUMPRODUCT(--ISNUMBER(SEARCH(","&amp;TRIM(TEXTSPLIT(HM217,","))&amp;",",","&amp;SUBSTITUTE(input_program," ","")&amp;",")))=COUNTA(TEXTSPLIT(HM217,",")))))</f>
        <v/>
      </c>
      <c r="JO217">
        <f>AND(IF(HO217="",TRUE,IF(input_story_categories="",FALSE,SUMPRODUCT(--ISNUMBER(SEARCH(","&amp;TRIM(TEXTSPLIT(HO217,","))&amp;",",","&amp;SUBSTITUTE(input_story_categories," ","")&amp;",")))&gt;0)),IF(HQ217="",TRUE,IF(input_story_categories="",FALSE,SUMPRODUCT(--ISNUMBER(SEARCH(","&amp;TRIM(TEXTSPLIT(HQ217,","))&amp;",",","&amp;SUBSTITUTE(input_story_categories," ","")&amp;",")))=COUNTA(TEXTSPLIT(HQ217,",")))),IF(HS217="",TRUE,IF(input_story_categories="",TRUE,SUMPRODUCT(--ISNUMBER(SEARCH(","&amp;TRIM(TEXTSPLIT(HS217,","))&amp;",",","&amp;SUBSTITUTE(input_story_categories," ","")&amp;",")))=0)),IF(HU217="",TRUE,IF(input_story_categories="",FALSE,SUMPRODUCT(--ISNUMBER(SEARCH(","&amp;TRIM(TEXTSPLIT(HU217,","))&amp;",",","&amp;SUBSTITUTE(input_story_categories," ","")&amp;",")))&gt;0)),IF(HW217="",TRUE,IF(input_story_categories="",FALSE,SUMPRODUCT(--ISNUMBER(SEARCH(","&amp;TRIM(TEXTSPLIT(HW217,","))&amp;",",","&amp;SUBSTITUTE(input_story_categories," ","")&amp;",")))=COUNTA(TEXTSPLIT(HW217,",")))))</f>
        <v/>
      </c>
      <c r="JP217">
        <f>AND(IF(HY217="",TRUE,IF(input_story_type="",FALSE,SUMPRODUCT(--ISNUMBER(SEARCH(","&amp;TRIM(TEXTSPLIT(HY217,","))&amp;",",","&amp;SUBSTITUTE(input_story_type," ","")&amp;",")))&gt;0)),IF(IA217="",TRUE,IF(input_story_type="",FALSE,SUMPRODUCT(--ISNUMBER(SEARCH(","&amp;TRIM(TEXTSPLIT(IA217,","))&amp;",",","&amp;SUBSTITUTE(input_story_type," ","")&amp;",")))=COUNTA(TEXTSPLIT(IA217,",")))),IF(IC217="",TRUE,IF(input_story_type="",TRUE,SUMPRODUCT(--ISNUMBER(SEARCH(","&amp;TRIM(TEXTSPLIT(IC217,","))&amp;",",","&amp;SUBSTITUTE(input_story_type," ","")&amp;",")))=0)),IF(IE217="",TRUE,IF(input_story_type="",FALSE,SUMPRODUCT(--ISNUMBER(SEARCH(","&amp;TRIM(TEXTSPLIT(IE217,","))&amp;",",","&amp;SUBSTITUTE(input_story_type," ","")&amp;",")))&gt;0)),IF(IG217="",TRUE,IF(input_story_type="",FALSE,SUMPRODUCT(--ISNUMBER(SEARCH(","&amp;TRIM(TEXTSPLIT(IG217,","))&amp;",",","&amp;SUBSTITUTE(input_story_type," ","")&amp;",")))=COUNTA(TEXTSPLIT(IG217,",")))))</f>
        <v/>
      </c>
      <c r="JQ217">
        <f>AND(IF(II217="",TRUE,IF(input_topics="",FALSE,SUMPRODUCT(--ISNUMBER(SEARCH(","&amp;TRIM(TEXTSPLIT(II217,","))&amp;",",","&amp;SUBSTITUTE(input_topics," ","")&amp;",")))&gt;0)),IF(IK217="",TRUE,IF(input_topics="",FALSE,SUMPRODUCT(--ISNUMBER(SEARCH(","&amp;TRIM(TEXTSPLIT(IK217,","))&amp;",",","&amp;SUBSTITUTE(input_topics," ","")&amp;",")))=COUNTA(TEXTSPLIT(IK217,",")))),IF(IM217="",TRUE,IF(input_topics="",TRUE,SUMPRODUCT(--ISNUMBER(SEARCH(","&amp;TRIM(TEXTSPLIT(IM217,","))&amp;",",","&amp;SUBSTITUTE(input_topics," ","")&amp;",")))=0)),IF(IO217="",TRUE,IF(input_topics="",FALSE,SUMPRODUCT(--ISNUMBER(SEARCH(","&amp;TRIM(TEXTSPLIT(IO217,","))&amp;",",","&amp;SUBSTITUTE(input_topics," ","")&amp;",")))&gt;0)),IF(IQ217="",TRUE,IF(input_topics="",FALSE,SUMPRODUCT(--ISNUMBER(SEARCH(","&amp;TRIM(TEXTSPLIT(IQ217,","))&amp;",",","&amp;SUBSTITUTE(input_topics," ","")&amp;",")))=COUNTA(TEXTSPLIT(IQ217,",")))))</f>
        <v/>
      </c>
    </row>
    <row r="218">
      <c r="A218" s="4">
        <f>IF(NOT(IS218),"Excluded",IF(AND(IT218,IU218,IV218,IW218,IX218,IY218,IZ218,JA218,JB218,JC218,JD218,JE218,JF218,JG218,JH218,JI218,JJ218,JK218,JL218,JM218,JN218,JO218,JP218,JQ218),IF(I218&gt;0,"Eligible but limited","Will appear"),"Excluded"))</f>
        <v/>
      </c>
      <c r="B218" s="4" t="inlineStr">
        <is>
          <t>Related stories on story pages</t>
        </is>
      </c>
      <c r="C218" s="4" t="inlineStr">
        <is>
          <t>/story/2025/y-sim-welcomes-mars-incorporated-cfo-claus-aagaard-advisory-board</t>
        </is>
      </c>
      <c r="D218" s="4" t="inlineStr">
        <is>
          <t>/story/2025/y-sim-welcomes-mars-incorporated-cfo-claus-aagaard-advisory-board
/story/2025/y-sims-refounding-concept-introduced-economist</t>
        </is>
      </c>
      <c r="E218" s="4" t="n">
        <v>2</v>
      </c>
      <c r="F218" s="4" t="inlineStr">
        <is>
          <t>story</t>
        </is>
      </c>
      <c r="G218" s="4" t="inlineStr">
        <is>
          <t>stories_teaser_cards</t>
        </is>
      </c>
      <c r="H218" s="4" t="inlineStr">
        <is>
          <t>embed_all</t>
        </is>
      </c>
      <c r="I218" s="4" t="n">
        <v>3</v>
      </c>
      <c r="J218" s="4" t="inlineStr">
        <is>
          <t>Template logic</t>
        </is>
      </c>
      <c r="K218" s="4" t="inlineStr">
        <is>
          <t>Grouped surface</t>
        </is>
      </c>
      <c r="L218" s="4" t="inlineStr">
        <is>
          <t>Content type: story; Context uses Courses Context: Program on Stakeholder Innovation and Management (1161); Context uses Story Type: News (924); Limited to 3 item(s); Source: Template logic</t>
        </is>
      </c>
      <c r="M218" t="inlineStr"/>
      <c r="N218" t="inlineStr"/>
      <c r="O218" t="inlineStr"/>
      <c r="P218" t="inlineStr"/>
      <c r="Q218" t="inlineStr"/>
      <c r="R218" t="inlineStr"/>
      <c r="S218" t="inlineStr"/>
      <c r="T218" t="inlineStr"/>
      <c r="U218" t="inlineStr"/>
      <c r="V218" t="inlineStr"/>
      <c r="W218" t="inlineStr"/>
      <c r="X218" t="inlineStr"/>
      <c r="Y218" t="inlineStr"/>
      <c r="Z218" t="inlineStr"/>
      <c r="AA218" t="inlineStr"/>
      <c r="AB218" t="inlineStr"/>
      <c r="AC218" t="inlineStr"/>
      <c r="AD218" t="inlineStr"/>
      <c r="AE218" t="inlineStr"/>
      <c r="AF218" t="inlineStr"/>
      <c r="AG218" t="inlineStr"/>
      <c r="AH218" t="inlineStr"/>
      <c r="AI218" t="inlineStr"/>
      <c r="AJ218" t="inlineStr"/>
      <c r="AK218" t="inlineStr"/>
      <c r="AL218" t="inlineStr"/>
      <c r="AM218" t="inlineStr"/>
      <c r="AN218" t="inlineStr"/>
      <c r="AO218" t="inlineStr"/>
      <c r="AP218" t="inlineStr"/>
      <c r="AQ218" t="inlineStr"/>
      <c r="AR218" t="inlineStr"/>
      <c r="AS218" t="inlineStr"/>
      <c r="AT218" t="inlineStr"/>
      <c r="AU218" t="inlineStr"/>
      <c r="AV218" t="inlineStr"/>
      <c r="AW218" t="inlineStr"/>
      <c r="AX218" t="inlineStr"/>
      <c r="AY218" t="inlineStr"/>
      <c r="AZ218" t="inlineStr"/>
      <c r="BA218" t="inlineStr"/>
      <c r="BB218" t="inlineStr"/>
      <c r="BC218" t="inlineStr"/>
      <c r="BD218" t="inlineStr"/>
      <c r="BE218" t="inlineStr"/>
      <c r="BF218" t="inlineStr"/>
      <c r="BG218" t="inlineStr"/>
      <c r="BH218" t="inlineStr"/>
      <c r="BI218" t="inlineStr"/>
      <c r="BJ218" t="inlineStr"/>
      <c r="BK218" t="inlineStr"/>
      <c r="BL218" t="inlineStr"/>
      <c r="BM218" t="inlineStr"/>
      <c r="BN218" t="inlineStr"/>
      <c r="BO218" t="inlineStr"/>
      <c r="BP218" t="inlineStr"/>
      <c r="BQ218" t="inlineStr">
        <is>
          <t>1161</t>
        </is>
      </c>
      <c r="BR218" t="inlineStr">
        <is>
          <t>Program on Stakeholder Innovation and Management (1161)</t>
        </is>
      </c>
      <c r="BS218" t="inlineStr"/>
      <c r="BT218" t="inlineStr"/>
      <c r="BU218" t="inlineStr"/>
      <c r="BV218" t="inlineStr"/>
      <c r="BW218" t="inlineStr"/>
      <c r="BX218" t="inlineStr"/>
      <c r="BY218" t="inlineStr"/>
      <c r="BZ218" t="inlineStr"/>
      <c r="CA218" t="inlineStr"/>
      <c r="CB218" t="inlineStr"/>
      <c r="CC218" t="inlineStr"/>
      <c r="CD218" t="inlineStr"/>
      <c r="CE218" t="inlineStr"/>
      <c r="CF218" t="inlineStr"/>
      <c r="CG218" t="inlineStr"/>
      <c r="CH218" t="inlineStr"/>
      <c r="CI218" t="inlineStr"/>
      <c r="CJ218" t="inlineStr"/>
      <c r="CK218" t="inlineStr"/>
      <c r="CL218" t="inlineStr"/>
      <c r="CM218" t="inlineStr"/>
      <c r="CN218" t="inlineStr"/>
      <c r="CO218" t="inlineStr"/>
      <c r="CP218" t="inlineStr"/>
      <c r="CQ218" t="inlineStr"/>
      <c r="CR218" t="inlineStr"/>
      <c r="CS218" t="inlineStr"/>
      <c r="CT218" t="inlineStr"/>
      <c r="CU218" t="inlineStr"/>
      <c r="CV218" t="inlineStr"/>
      <c r="CW218" t="inlineStr"/>
      <c r="CX218" t="inlineStr"/>
      <c r="CY218" t="inlineStr"/>
      <c r="CZ218" t="inlineStr"/>
      <c r="DA218" t="inlineStr"/>
      <c r="DB218" t="inlineStr"/>
      <c r="DC218" t="inlineStr"/>
      <c r="DD218" t="inlineStr"/>
      <c r="DE218" t="inlineStr"/>
      <c r="DF218" t="inlineStr"/>
      <c r="DG218" t="inlineStr"/>
      <c r="DH218" t="inlineStr"/>
      <c r="DI218" t="inlineStr"/>
      <c r="DJ218" t="inlineStr"/>
      <c r="DK218" t="inlineStr"/>
      <c r="DL218" t="inlineStr"/>
      <c r="DM218" t="inlineStr"/>
      <c r="DN218" t="inlineStr"/>
      <c r="DO218" t="inlineStr"/>
      <c r="DP218" t="inlineStr"/>
      <c r="DQ218" t="inlineStr"/>
      <c r="DR218" t="inlineStr"/>
      <c r="DS218" t="inlineStr"/>
      <c r="DT218" t="inlineStr"/>
      <c r="DU218" t="inlineStr"/>
      <c r="DV218" t="inlineStr"/>
      <c r="DW218" t="inlineStr"/>
      <c r="DX218" t="inlineStr"/>
      <c r="DY218" t="inlineStr"/>
      <c r="DZ218" t="inlineStr"/>
      <c r="EA218" t="inlineStr"/>
      <c r="EB218" t="inlineStr"/>
      <c r="EC218" t="inlineStr"/>
      <c r="ED218" t="inlineStr"/>
      <c r="EE218" t="inlineStr"/>
      <c r="EF218" t="inlineStr"/>
      <c r="EG218" t="inlineStr"/>
      <c r="EH218" t="inlineStr"/>
      <c r="EI218" t="inlineStr"/>
      <c r="EJ218" t="inlineStr"/>
      <c r="EK218" t="inlineStr"/>
      <c r="EL218" t="inlineStr"/>
      <c r="EM218" t="inlineStr"/>
      <c r="EN218" t="inlineStr"/>
      <c r="EO218" t="inlineStr"/>
      <c r="EP218" t="inlineStr"/>
      <c r="EQ218" t="inlineStr"/>
      <c r="ER218" t="inlineStr"/>
      <c r="ES218" t="inlineStr"/>
      <c r="ET218" t="inlineStr"/>
      <c r="EU218" t="inlineStr"/>
      <c r="EV218" t="inlineStr"/>
      <c r="EW218" t="inlineStr"/>
      <c r="EX218" t="inlineStr"/>
      <c r="EY218" t="inlineStr"/>
      <c r="EZ218" t="inlineStr"/>
      <c r="FA218" t="inlineStr"/>
      <c r="FB218" t="inlineStr"/>
      <c r="FC218" t="inlineStr"/>
      <c r="FD218" t="inlineStr"/>
      <c r="FE218" t="inlineStr"/>
      <c r="FF218" t="inlineStr"/>
      <c r="FG218" t="inlineStr"/>
      <c r="FH218" t="inlineStr"/>
      <c r="FI218" t="inlineStr"/>
      <c r="FJ218" t="inlineStr"/>
      <c r="FK218" t="inlineStr"/>
      <c r="FL218" t="inlineStr"/>
      <c r="FM218" t="inlineStr"/>
      <c r="FN218" t="inlineStr"/>
      <c r="FO218" t="inlineStr"/>
      <c r="FP218" t="inlineStr"/>
      <c r="FQ218" t="inlineStr"/>
      <c r="FR218" t="inlineStr"/>
      <c r="FS218" t="inlineStr"/>
      <c r="FT218" t="inlineStr"/>
      <c r="FU218" t="inlineStr"/>
      <c r="FV218" t="inlineStr"/>
      <c r="FW218" t="inlineStr"/>
      <c r="FX218" t="inlineStr"/>
      <c r="FY218" t="inlineStr"/>
      <c r="FZ218" t="inlineStr"/>
      <c r="GA218" t="inlineStr"/>
      <c r="GB218" t="inlineStr"/>
      <c r="GC218" t="inlineStr"/>
      <c r="GD218" t="inlineStr"/>
      <c r="GE218" t="inlineStr"/>
      <c r="GF218" t="inlineStr"/>
      <c r="GG218" t="inlineStr"/>
      <c r="GH218" t="inlineStr"/>
      <c r="GI218" t="inlineStr"/>
      <c r="GJ218" t="inlineStr"/>
      <c r="GK218" t="inlineStr"/>
      <c r="GL218" t="inlineStr"/>
      <c r="GM218" t="inlineStr"/>
      <c r="GN218" t="inlineStr"/>
      <c r="GO218" t="inlineStr"/>
      <c r="GP218" t="inlineStr"/>
      <c r="GQ218" t="inlineStr"/>
      <c r="GR218" t="inlineStr"/>
      <c r="GS218" t="inlineStr"/>
      <c r="GT218" t="inlineStr"/>
      <c r="GU218" t="inlineStr"/>
      <c r="GV218" t="inlineStr"/>
      <c r="GW218" t="inlineStr"/>
      <c r="GX218" t="inlineStr"/>
      <c r="GY218" t="inlineStr"/>
      <c r="GZ218" t="inlineStr"/>
      <c r="HA218" t="inlineStr"/>
      <c r="HB218" t="inlineStr"/>
      <c r="HC218" t="inlineStr"/>
      <c r="HD218" t="inlineStr"/>
      <c r="HE218" t="inlineStr"/>
      <c r="HF218" t="inlineStr"/>
      <c r="HG218" t="inlineStr"/>
      <c r="HH218" t="inlineStr"/>
      <c r="HI218" t="inlineStr"/>
      <c r="HJ218" t="inlineStr"/>
      <c r="HK218" t="inlineStr"/>
      <c r="HL218" t="inlineStr"/>
      <c r="HM218" t="inlineStr"/>
      <c r="HN218" t="inlineStr"/>
      <c r="HO218" t="inlineStr"/>
      <c r="HP218" t="inlineStr"/>
      <c r="HQ218" t="inlineStr"/>
      <c r="HR218" t="inlineStr"/>
      <c r="HS218" t="inlineStr"/>
      <c r="HT218" t="inlineStr"/>
      <c r="HU218" t="inlineStr"/>
      <c r="HV218" t="inlineStr"/>
      <c r="HW218" t="inlineStr"/>
      <c r="HX218" t="inlineStr"/>
      <c r="HY218" t="inlineStr"/>
      <c r="HZ218" t="inlineStr"/>
      <c r="IA218" t="inlineStr"/>
      <c r="IB218" t="inlineStr"/>
      <c r="IC218" t="inlineStr"/>
      <c r="ID218" t="inlineStr"/>
      <c r="IE218" t="inlineStr">
        <is>
          <t>924</t>
        </is>
      </c>
      <c r="IF218" t="inlineStr">
        <is>
          <t>News (924)</t>
        </is>
      </c>
      <c r="IG218" t="inlineStr"/>
      <c r="IH218" t="inlineStr"/>
      <c r="II218" t="inlineStr"/>
      <c r="IJ218" t="inlineStr"/>
      <c r="IK218" t="inlineStr"/>
      <c r="IL218" t="inlineStr"/>
      <c r="IM218" t="inlineStr"/>
      <c r="IN218" t="inlineStr"/>
      <c r="IO218" t="inlineStr"/>
      <c r="IP218" t="inlineStr"/>
      <c r="IQ218" t="inlineStr"/>
      <c r="IR218" t="inlineStr"/>
      <c r="IS218">
        <f>IF(input_content_type="",FALSE,ISNUMBER(SEARCH(","&amp;LOWER(input_content_type)&amp;",",","&amp;LOWER(F218)&amp;",")))</f>
        <v/>
      </c>
      <c r="IT218">
        <f>AND(IF(M218="",TRUE,IF(input_affiliations="",FALSE,SUMPRODUCT(--ISNUMBER(SEARCH(","&amp;TRIM(TEXTSPLIT(M218,","))&amp;",",","&amp;SUBSTITUTE(input_affiliations," ","")&amp;",")))&gt;0)),IF(O218="",TRUE,IF(input_affiliations="",FALSE,SUMPRODUCT(--ISNUMBER(SEARCH(","&amp;TRIM(TEXTSPLIT(O218,","))&amp;",",","&amp;SUBSTITUTE(input_affiliations," ","")&amp;",")))=COUNTA(TEXTSPLIT(O218,",")))),IF(Q218="",TRUE,IF(input_affiliations="",TRUE,SUMPRODUCT(--ISNUMBER(SEARCH(","&amp;TRIM(TEXTSPLIT(Q218,","))&amp;",",","&amp;SUBSTITUTE(input_affiliations," ","")&amp;",")))=0)),IF(S218="",TRUE,IF(input_affiliations="",FALSE,SUMPRODUCT(--ISNUMBER(SEARCH(","&amp;TRIM(TEXTSPLIT(S218,","))&amp;",",","&amp;SUBSTITUTE(input_affiliations," ","")&amp;",")))&gt;0)),IF(U218="",TRUE,IF(input_affiliations="",FALSE,SUMPRODUCT(--ISNUMBER(SEARCH(","&amp;TRIM(TEXTSPLIT(U218,","))&amp;",",","&amp;SUBSTITUTE(input_affiliations," ","")&amp;",")))=COUNTA(TEXTSPLIT(U218,",")))))</f>
        <v/>
      </c>
      <c r="IU218">
        <f>AND(IF(W218="",TRUE,IF(input_announcement_category="",FALSE,SUMPRODUCT(--ISNUMBER(SEARCH(","&amp;TRIM(TEXTSPLIT(W218,","))&amp;",",","&amp;SUBSTITUTE(input_announcement_category," ","")&amp;",")))&gt;0)),IF(Y218="",TRUE,IF(input_announcement_category="",FALSE,SUMPRODUCT(--ISNUMBER(SEARCH(","&amp;TRIM(TEXTSPLIT(Y218,","))&amp;",",","&amp;SUBSTITUTE(input_announcement_category," ","")&amp;",")))=COUNTA(TEXTSPLIT(Y218,",")))),IF(AA218="",TRUE,IF(input_announcement_category="",TRUE,SUMPRODUCT(--ISNUMBER(SEARCH(","&amp;TRIM(TEXTSPLIT(AA218,","))&amp;",",","&amp;SUBSTITUTE(input_announcement_category," ","")&amp;",")))=0)),IF(AC218="",TRUE,IF(input_announcement_category="",FALSE,SUMPRODUCT(--ISNUMBER(SEARCH(","&amp;TRIM(TEXTSPLIT(AC218,","))&amp;",",","&amp;SUBSTITUTE(input_announcement_category," ","")&amp;",")))&gt;0)),IF(AE218="",TRUE,IF(input_announcement_category="",FALSE,SUMPRODUCT(--ISNUMBER(SEARCH(","&amp;TRIM(TEXTSPLIT(AE218,","))&amp;",",","&amp;SUBSTITUTE(input_announcement_category," ","")&amp;",")))=COUNTA(TEXTSPLIT(AE218,",")))))</f>
        <v/>
      </c>
      <c r="IV218">
        <f>AND(IF(AG218="",TRUE,IF(input_area_of_focus="",FALSE,SUMPRODUCT(--ISNUMBER(SEARCH(","&amp;TRIM(TEXTSPLIT(AG218,","))&amp;",",","&amp;SUBSTITUTE(input_area_of_focus," ","")&amp;",")))&gt;0)),IF(AI218="",TRUE,IF(input_area_of_focus="",FALSE,SUMPRODUCT(--ISNUMBER(SEARCH(","&amp;TRIM(TEXTSPLIT(AI218,","))&amp;",",","&amp;SUBSTITUTE(input_area_of_focus," ","")&amp;",")))=COUNTA(TEXTSPLIT(AI218,",")))),IF(AK218="",TRUE,IF(input_area_of_focus="",TRUE,SUMPRODUCT(--ISNUMBER(SEARCH(","&amp;TRIM(TEXTSPLIT(AK218,","))&amp;",",","&amp;SUBSTITUTE(input_area_of_focus," ","")&amp;",")))=0)),IF(AM218="",TRUE,IF(input_area_of_focus="",FALSE,SUMPRODUCT(--ISNUMBER(SEARCH(","&amp;TRIM(TEXTSPLIT(AM218,","))&amp;",",","&amp;SUBSTITUTE(input_area_of_focus," ","")&amp;",")))&gt;0)),IF(AO218="",TRUE,IF(input_area_of_focus="",FALSE,SUMPRODUCT(--ISNUMBER(SEARCH(","&amp;TRIM(TEXTSPLIT(AO218,","))&amp;",",","&amp;SUBSTITUTE(input_area_of_focus," ","")&amp;",")))=COUNTA(TEXTSPLIT(AO218,",")))))</f>
        <v/>
      </c>
      <c r="IW218">
        <f>AND(IF(AQ218="",TRUE,IF(input_audience="",FALSE,SUMPRODUCT(--ISNUMBER(SEARCH(","&amp;TRIM(TEXTSPLIT(AQ218,","))&amp;",",","&amp;SUBSTITUTE(input_audience," ","")&amp;",")))&gt;0)),IF(AS218="",TRUE,IF(input_audience="",FALSE,SUMPRODUCT(--ISNUMBER(SEARCH(","&amp;TRIM(TEXTSPLIT(AS218,","))&amp;",",","&amp;SUBSTITUTE(input_audience," ","")&amp;",")))=COUNTA(TEXTSPLIT(AS218,",")))),IF(AU218="",TRUE,IF(input_audience="",TRUE,SUMPRODUCT(--ISNUMBER(SEARCH(","&amp;TRIM(TEXTSPLIT(AU218,","))&amp;",",","&amp;SUBSTITUTE(input_audience," ","")&amp;",")))=0)),IF(AW218="",TRUE,IF(input_audience="",FALSE,SUMPRODUCT(--ISNUMBER(SEARCH(","&amp;TRIM(TEXTSPLIT(AW218,","))&amp;",",","&amp;SUBSTITUTE(input_audience," ","")&amp;",")))&gt;0)),IF(AY218="",TRUE,IF(input_audience="",FALSE,SUMPRODUCT(--ISNUMBER(SEARCH(","&amp;TRIM(TEXTSPLIT(AY218,","))&amp;",",","&amp;SUBSTITUTE(input_audience," ","")&amp;",")))=COUNTA(TEXTSPLIT(AY218,",")))))</f>
        <v/>
      </c>
      <c r="IX218">
        <f>AND(IF(BA218="",TRUE,IF(input_challenge_opportunities="",FALSE,SUMPRODUCT(--ISNUMBER(SEARCH(","&amp;TRIM(TEXTSPLIT(BA218,","))&amp;",",","&amp;SUBSTITUTE(input_challenge_opportunities," ","")&amp;",")))&gt;0)),IF(BC218="",TRUE,IF(input_challenge_opportunities="",FALSE,SUMPRODUCT(--ISNUMBER(SEARCH(","&amp;TRIM(TEXTSPLIT(BC218,","))&amp;",",","&amp;SUBSTITUTE(input_challenge_opportunities," ","")&amp;",")))=COUNTA(TEXTSPLIT(BC218,",")))),IF(BE218="",TRUE,IF(input_challenge_opportunities="",TRUE,SUMPRODUCT(--ISNUMBER(SEARCH(","&amp;TRIM(TEXTSPLIT(BE218,","))&amp;",",","&amp;SUBSTITUTE(input_challenge_opportunities," ","")&amp;",")))=0)),IF(BG218="",TRUE,IF(input_challenge_opportunities="",FALSE,SUMPRODUCT(--ISNUMBER(SEARCH(","&amp;TRIM(TEXTSPLIT(BG218,","))&amp;",",","&amp;SUBSTITUTE(input_challenge_opportunities," ","")&amp;",")))&gt;0)),IF(BI218="",TRUE,IF(input_challenge_opportunities="",FALSE,SUMPRODUCT(--ISNUMBER(SEARCH(","&amp;TRIM(TEXTSPLIT(BI218,","))&amp;",",","&amp;SUBSTITUTE(input_challenge_opportunities," ","")&amp;",")))=COUNTA(TEXTSPLIT(BI218,",")))))</f>
        <v/>
      </c>
      <c r="IY218">
        <f>AND(IF(BK218="",TRUE,IF(input_context="",FALSE,SUMPRODUCT(--ISNUMBER(SEARCH(","&amp;TRIM(TEXTSPLIT(BK218,","))&amp;",",","&amp;SUBSTITUTE(input_context," ","")&amp;",")))&gt;0)),IF(BM218="",TRUE,IF(input_context="",FALSE,SUMPRODUCT(--ISNUMBER(SEARCH(","&amp;TRIM(TEXTSPLIT(BM218,","))&amp;",",","&amp;SUBSTITUTE(input_context," ","")&amp;",")))=COUNTA(TEXTSPLIT(BM218,",")))),IF(BO218="",TRUE,IF(input_context="",TRUE,SUMPRODUCT(--ISNUMBER(SEARCH(","&amp;TRIM(TEXTSPLIT(BO218,","))&amp;",",","&amp;SUBSTITUTE(input_context," ","")&amp;",")))=0)),IF(BQ218="",TRUE,IF(input_context="",FALSE,SUMPRODUCT(--ISNUMBER(SEARCH(","&amp;TRIM(TEXTSPLIT(BQ218,","))&amp;",",","&amp;SUBSTITUTE(input_context," ","")&amp;",")))&gt;0)),IF(BS218="",TRUE,IF(input_context="",FALSE,SUMPRODUCT(--ISNUMBER(SEARCH(","&amp;TRIM(TEXTSPLIT(BS218,","))&amp;",",","&amp;SUBSTITUTE(input_context," ","")&amp;",")))=COUNTA(TEXTSPLIT(BS218,",")))))</f>
        <v/>
      </c>
      <c r="IZ218">
        <f>AND(IF(BU218="",TRUE,IF(input_enews_announcement_type="",FALSE,SUMPRODUCT(--ISNUMBER(SEARCH(","&amp;TRIM(TEXTSPLIT(BU218,","))&amp;",",","&amp;SUBSTITUTE(input_enews_announcement_type," ","")&amp;",")))&gt;0)),IF(BW218="",TRUE,IF(input_enews_announcement_type="",FALSE,SUMPRODUCT(--ISNUMBER(SEARCH(","&amp;TRIM(TEXTSPLIT(BW218,","))&amp;",",","&amp;SUBSTITUTE(input_enews_announcement_type," ","")&amp;",")))=COUNTA(TEXTSPLIT(BW218,",")))),IF(BY218="",TRUE,IF(input_enews_announcement_type="",TRUE,SUMPRODUCT(--ISNUMBER(SEARCH(","&amp;TRIM(TEXTSPLIT(BY218,","))&amp;",",","&amp;SUBSTITUTE(input_enews_announcement_type," ","")&amp;",")))=0)),IF(CA218="",TRUE,IF(input_enews_announcement_type="",FALSE,SUMPRODUCT(--ISNUMBER(SEARCH(","&amp;TRIM(TEXTSPLIT(CA218,","))&amp;",",","&amp;SUBSTITUTE(input_enews_announcement_type," ","")&amp;",")))&gt;0)),IF(CC218="",TRUE,IF(input_enews_announcement_type="",FALSE,SUMPRODUCT(--ISNUMBER(SEARCH(","&amp;TRIM(TEXTSPLIT(CC218,","))&amp;",",","&amp;SUBSTITUTE(input_enews_announcement_type," ","")&amp;",")))=COUNTA(TEXTSPLIT(CC218,",")))))</f>
        <v/>
      </c>
      <c r="JA218">
        <f>AND(IF(CE218="",TRUE,IF(input_enews_audience="",FALSE,SUMPRODUCT(--ISNUMBER(SEARCH(","&amp;TRIM(TEXTSPLIT(CE218,","))&amp;",",","&amp;SUBSTITUTE(input_enews_audience," ","")&amp;",")))&gt;0)),IF(CG218="",TRUE,IF(input_enews_audience="",FALSE,SUMPRODUCT(--ISNUMBER(SEARCH(","&amp;TRIM(TEXTSPLIT(CG218,","))&amp;",",","&amp;SUBSTITUTE(input_enews_audience," ","")&amp;",")))=COUNTA(TEXTSPLIT(CG218,",")))),IF(CI218="",TRUE,IF(input_enews_audience="",TRUE,SUMPRODUCT(--ISNUMBER(SEARCH(","&amp;TRIM(TEXTSPLIT(CI218,","))&amp;",",","&amp;SUBSTITUTE(input_enews_audience," ","")&amp;",")))=0)),IF(CK218="",TRUE,IF(input_enews_audience="",FALSE,SUMPRODUCT(--ISNUMBER(SEARCH(","&amp;TRIM(TEXTSPLIT(CK218,","))&amp;",",","&amp;SUBSTITUTE(input_enews_audience," ","")&amp;",")))&gt;0)),IF(CM218="",TRUE,IF(input_enews_audience="",FALSE,SUMPRODUCT(--ISNUMBER(SEARCH(","&amp;TRIM(TEXTSPLIT(CM218,","))&amp;",",","&amp;SUBSTITUTE(input_enews_audience," ","")&amp;",")))=COUNTA(TEXTSPLIT(CM218,",")))))</f>
        <v/>
      </c>
      <c r="JB218">
        <f>AND(IF(CO218="",TRUE,IF(input_event_location="",FALSE,SUMPRODUCT(--ISNUMBER(SEARCH(","&amp;TRIM(TEXTSPLIT(CO218,","))&amp;",",","&amp;SUBSTITUTE(input_event_location," ","")&amp;",")))&gt;0)),IF(CQ218="",TRUE,IF(input_event_location="",FALSE,SUMPRODUCT(--ISNUMBER(SEARCH(","&amp;TRIM(TEXTSPLIT(CQ218,","))&amp;",",","&amp;SUBSTITUTE(input_event_location," ","")&amp;",")))=COUNTA(TEXTSPLIT(CQ218,",")))),IF(CS218="",TRUE,IF(input_event_location="",TRUE,SUMPRODUCT(--ISNUMBER(SEARCH(","&amp;TRIM(TEXTSPLIT(CS218,","))&amp;",",","&amp;SUBSTITUTE(input_event_location," ","")&amp;",")))=0)),IF(CU218="",TRUE,IF(input_event_location="",FALSE,SUMPRODUCT(--ISNUMBER(SEARCH(","&amp;TRIM(TEXTSPLIT(CU218,","))&amp;",",","&amp;SUBSTITUTE(input_event_location," ","")&amp;",")))&gt;0)),IF(CW218="",TRUE,IF(input_event_location="",FALSE,SUMPRODUCT(--ISNUMBER(SEARCH(","&amp;TRIM(TEXTSPLIT(CW218,","))&amp;",",","&amp;SUBSTITUTE(input_event_location," ","")&amp;",")))=COUNTA(TEXTSPLIT(CW218,",")))))</f>
        <v/>
      </c>
      <c r="JC218">
        <f>AND(IF(CY218="",TRUE,IF(input_event_type="",FALSE,SUMPRODUCT(--ISNUMBER(SEARCH(","&amp;TRIM(TEXTSPLIT(CY218,","))&amp;",",","&amp;SUBSTITUTE(input_event_type," ","")&amp;",")))&gt;0)),IF(DA218="",TRUE,IF(input_event_type="",FALSE,SUMPRODUCT(--ISNUMBER(SEARCH(","&amp;TRIM(TEXTSPLIT(DA218,","))&amp;",",","&amp;SUBSTITUTE(input_event_type," ","")&amp;",")))=COUNTA(TEXTSPLIT(DA218,",")))),IF(DC218="",TRUE,IF(input_event_type="",TRUE,SUMPRODUCT(--ISNUMBER(SEARCH(","&amp;TRIM(TEXTSPLIT(DC218,","))&amp;",",","&amp;SUBSTITUTE(input_event_type," ","")&amp;",")))=0)),IF(DE218="",TRUE,IF(input_event_type="",FALSE,SUMPRODUCT(--ISNUMBER(SEARCH(","&amp;TRIM(TEXTSPLIT(DE218,","))&amp;",",","&amp;SUBSTITUTE(input_event_type," ","")&amp;",")))&gt;0)),IF(DG218="",TRUE,IF(input_event_type="",FALSE,SUMPRODUCT(--ISNUMBER(SEARCH(","&amp;TRIM(TEXTSPLIT(DG218,","))&amp;",",","&amp;SUBSTITUTE(input_event_type," ","")&amp;",")))=COUNTA(TEXTSPLIT(DG218,",")))))</f>
        <v/>
      </c>
      <c r="JD218">
        <f>AND(IF(DI218="",TRUE,IF(input_executive_education_focus="",FALSE,SUMPRODUCT(--ISNUMBER(SEARCH(","&amp;TRIM(TEXTSPLIT(DI218,","))&amp;",",","&amp;SUBSTITUTE(input_executive_education_focus," ","")&amp;",")))&gt;0)),IF(DK218="",TRUE,IF(input_executive_education_focus="",FALSE,SUMPRODUCT(--ISNUMBER(SEARCH(","&amp;TRIM(TEXTSPLIT(DK218,","))&amp;",",","&amp;SUBSTITUTE(input_executive_education_focus," ","")&amp;",")))=COUNTA(TEXTSPLIT(DK218,",")))),IF(DM218="",TRUE,IF(input_executive_education_focus="",TRUE,SUMPRODUCT(--ISNUMBER(SEARCH(","&amp;TRIM(TEXTSPLIT(DM218,","))&amp;",",","&amp;SUBSTITUTE(input_executive_education_focus," ","")&amp;",")))=0)),IF(DO218="",TRUE,IF(input_executive_education_focus="",FALSE,SUMPRODUCT(--ISNUMBER(SEARCH(","&amp;TRIM(TEXTSPLIT(DO218,","))&amp;",",","&amp;SUBSTITUTE(input_executive_education_focus," ","")&amp;",")))&gt;0)),IF(DQ218="",TRUE,IF(input_executive_education_focus="",FALSE,SUMPRODUCT(--ISNUMBER(SEARCH(","&amp;TRIM(TEXTSPLIT(DQ218,","))&amp;",",","&amp;SUBSTITUTE(input_executive_education_focus," ","")&amp;",")))=COUNTA(TEXTSPLIT(DQ218,",")))))</f>
        <v/>
      </c>
      <c r="JE218">
        <f>AND(IF(DS218="",TRUE,IF(input_faculty_category="",FALSE,SUMPRODUCT(--ISNUMBER(SEARCH(","&amp;TRIM(TEXTSPLIT(DS218,","))&amp;",",","&amp;SUBSTITUTE(input_faculty_category," ","")&amp;",")))&gt;0)),IF(DU218="",TRUE,IF(input_faculty_category="",FALSE,SUMPRODUCT(--ISNUMBER(SEARCH(","&amp;TRIM(TEXTSPLIT(DU218,","))&amp;",",","&amp;SUBSTITUTE(input_faculty_category," ","")&amp;",")))=COUNTA(TEXTSPLIT(DU218,",")))),IF(DW218="",TRUE,IF(input_faculty_category="",TRUE,SUMPRODUCT(--ISNUMBER(SEARCH(","&amp;TRIM(TEXTSPLIT(DW218,","))&amp;",",","&amp;SUBSTITUTE(input_faculty_category," ","")&amp;",")))=0)),IF(DY218="",TRUE,IF(input_faculty_category="",FALSE,SUMPRODUCT(--ISNUMBER(SEARCH(","&amp;TRIM(TEXTSPLIT(DY218,","))&amp;",",","&amp;SUBSTITUTE(input_faculty_category," ","")&amp;",")))&gt;0)),IF(EA218="",TRUE,IF(input_faculty_category="",FALSE,SUMPRODUCT(--ISNUMBER(SEARCH(","&amp;TRIM(TEXTSPLIT(EA218,","))&amp;",",","&amp;SUBSTITUTE(input_faculty_category," ","")&amp;",")))=COUNTA(TEXTSPLIT(EA218,",")))))</f>
        <v/>
      </c>
      <c r="JF218">
        <f>AND(IF(EC218="",TRUE,IF(input_faculty_discipline="",FALSE,SUMPRODUCT(--ISNUMBER(SEARCH(","&amp;TRIM(TEXTSPLIT(EC218,","))&amp;",",","&amp;SUBSTITUTE(input_faculty_discipline," ","")&amp;",")))&gt;0)),IF(EE218="",TRUE,IF(input_faculty_discipline="",FALSE,SUMPRODUCT(--ISNUMBER(SEARCH(","&amp;TRIM(TEXTSPLIT(EE218,","))&amp;",",","&amp;SUBSTITUTE(input_faculty_discipline," ","")&amp;",")))=COUNTA(TEXTSPLIT(EE218,",")))),IF(EG218="",TRUE,IF(input_faculty_discipline="",TRUE,SUMPRODUCT(--ISNUMBER(SEARCH(","&amp;TRIM(TEXTSPLIT(EG218,","))&amp;",",","&amp;SUBSTITUTE(input_faculty_discipline," ","")&amp;",")))=0)),IF(EI218="",TRUE,IF(input_faculty_discipline="",FALSE,SUMPRODUCT(--ISNUMBER(SEARCH(","&amp;TRIM(TEXTSPLIT(EI218,","))&amp;",",","&amp;SUBSTITUTE(input_faculty_discipline," ","")&amp;",")))&gt;0)),IF(EK218="",TRUE,IF(input_faculty_discipline="",FALSE,SUMPRODUCT(--ISNUMBER(SEARCH(","&amp;TRIM(TEXTSPLIT(EK218,","))&amp;",",","&amp;SUBSTITUTE(input_faculty_discipline," ","")&amp;",")))=COUNTA(TEXTSPLIT(EK218,",")))))</f>
        <v/>
      </c>
      <c r="JG218">
        <f>AND(IF(EM218="",TRUE,IF(input_faculty_expertise="",FALSE,SUMPRODUCT(--ISNUMBER(SEARCH(","&amp;TRIM(TEXTSPLIT(EM218,","))&amp;",",","&amp;SUBSTITUTE(input_faculty_expertise," ","")&amp;",")))&gt;0)),IF(EO218="",TRUE,IF(input_faculty_expertise="",FALSE,SUMPRODUCT(--ISNUMBER(SEARCH(","&amp;TRIM(TEXTSPLIT(EO218,","))&amp;",",","&amp;SUBSTITUTE(input_faculty_expertise," ","")&amp;",")))=COUNTA(TEXTSPLIT(EO218,",")))),IF(EQ218="",TRUE,IF(input_faculty_expertise="",TRUE,SUMPRODUCT(--ISNUMBER(SEARCH(","&amp;TRIM(TEXTSPLIT(EQ218,","))&amp;",",","&amp;SUBSTITUTE(input_faculty_expertise," ","")&amp;",")))=0)),IF(ES218="",TRUE,IF(input_faculty_expertise="",FALSE,SUMPRODUCT(--ISNUMBER(SEARCH(","&amp;TRIM(TEXTSPLIT(ES218,","))&amp;",",","&amp;SUBSTITUTE(input_faculty_expertise," ","")&amp;",")))&gt;0)),IF(EU218="",TRUE,IF(input_faculty_expertise="",FALSE,SUMPRODUCT(--ISNUMBER(SEARCH(","&amp;TRIM(TEXTSPLIT(EU218,","))&amp;",",","&amp;SUBSTITUTE(input_faculty_expertise," ","")&amp;",")))=COUNTA(TEXTSPLIT(EU218,",")))))</f>
        <v/>
      </c>
      <c r="JH218">
        <f>AND(IF(EW218="",TRUE,IF(input_global_network_school="",FALSE,SUMPRODUCT(--ISNUMBER(SEARCH(","&amp;TRIM(TEXTSPLIT(EW218,","))&amp;",",","&amp;SUBSTITUTE(input_global_network_school," ","")&amp;",")))&gt;0)),IF(EY218="",TRUE,IF(input_global_network_school="",FALSE,SUMPRODUCT(--ISNUMBER(SEARCH(","&amp;TRIM(TEXTSPLIT(EY218,","))&amp;",",","&amp;SUBSTITUTE(input_global_network_school," ","")&amp;",")))=COUNTA(TEXTSPLIT(EY218,",")))),IF(FA218="",TRUE,IF(input_global_network_school="",TRUE,SUMPRODUCT(--ISNUMBER(SEARCH(","&amp;TRIM(TEXTSPLIT(FA218,","))&amp;",",","&amp;SUBSTITUTE(input_global_network_school," ","")&amp;",")))=0)),IF(FC218="",TRUE,IF(input_global_network_school="",FALSE,SUMPRODUCT(--ISNUMBER(SEARCH(","&amp;TRIM(TEXTSPLIT(FC218,","))&amp;",",","&amp;SUBSTITUTE(input_global_network_school," ","")&amp;",")))&gt;0)),IF(FE218="",TRUE,IF(input_global_network_school="",FALSE,SUMPRODUCT(--ISNUMBER(SEARCH(","&amp;TRIM(TEXTSPLIT(FE218,","))&amp;",",","&amp;SUBSTITUTE(input_global_network_school," ","")&amp;",")))=COUNTA(TEXTSPLIT(FE218,",")))))</f>
        <v/>
      </c>
      <c r="JI218">
        <f>AND(IF(FG218="",TRUE,IF(input_industry="",FALSE,SUMPRODUCT(--ISNUMBER(SEARCH(","&amp;TRIM(TEXTSPLIT(FG218,","))&amp;",",","&amp;SUBSTITUTE(input_industry," ","")&amp;",")))&gt;0)),IF(FI218="",TRUE,IF(input_industry="",FALSE,SUMPRODUCT(--ISNUMBER(SEARCH(","&amp;TRIM(TEXTSPLIT(FI218,","))&amp;",",","&amp;SUBSTITUTE(input_industry," ","")&amp;",")))=COUNTA(TEXTSPLIT(FI218,",")))),IF(FK218="",TRUE,IF(input_industry="",TRUE,SUMPRODUCT(--ISNUMBER(SEARCH(","&amp;TRIM(TEXTSPLIT(FK218,","))&amp;",",","&amp;SUBSTITUTE(input_industry," ","")&amp;",")))=0)),IF(FM218="",TRUE,IF(input_industry="",FALSE,SUMPRODUCT(--ISNUMBER(SEARCH(","&amp;TRIM(TEXTSPLIT(FM218,","))&amp;",",","&amp;SUBSTITUTE(input_industry," ","")&amp;",")))&gt;0)),IF(FO218="",TRUE,IF(input_industry="",FALSE,SUMPRODUCT(--ISNUMBER(SEARCH(","&amp;TRIM(TEXTSPLIT(FO218,","))&amp;",",","&amp;SUBSTITUTE(input_industry," ","")&amp;",")))=COUNTA(TEXTSPLIT(FO218,",")))))</f>
        <v/>
      </c>
      <c r="JJ218">
        <f>AND(IF(FQ218="",TRUE,IF(input_location="",FALSE,SUMPRODUCT(--ISNUMBER(SEARCH(","&amp;TRIM(TEXTSPLIT(FQ218,","))&amp;",",","&amp;SUBSTITUTE(input_location," ","")&amp;",")))&gt;0)),IF(FS218="",TRUE,IF(input_location="",FALSE,SUMPRODUCT(--ISNUMBER(SEARCH(","&amp;TRIM(TEXTSPLIT(FS218,","))&amp;",",","&amp;SUBSTITUTE(input_location," ","")&amp;",")))=COUNTA(TEXTSPLIT(FS218,",")))),IF(FU218="",TRUE,IF(input_location="",TRUE,SUMPRODUCT(--ISNUMBER(SEARCH(","&amp;TRIM(TEXTSPLIT(FU218,","))&amp;",",","&amp;SUBSTITUTE(input_location," ","")&amp;",")))=0)),IF(FW218="",TRUE,IF(input_location="",FALSE,SUMPRODUCT(--ISNUMBER(SEARCH(","&amp;TRIM(TEXTSPLIT(FW218,","))&amp;",",","&amp;SUBSTITUTE(input_location," ","")&amp;",")))&gt;0)),IF(FY218="",TRUE,IF(input_location="",FALSE,SUMPRODUCT(--ISNUMBER(SEARCH(","&amp;TRIM(TEXTSPLIT(FY218,","))&amp;",",","&amp;SUBSTITUTE(input_location," ","")&amp;",")))=COUNTA(TEXTSPLIT(FY218,",")))))</f>
        <v/>
      </c>
      <c r="JK218">
        <f>AND(IF(GA218="",TRUE,IF(input_modality="",FALSE,SUMPRODUCT(--ISNUMBER(SEARCH(","&amp;TRIM(TEXTSPLIT(GA218,","))&amp;",",","&amp;SUBSTITUTE(input_modality," ","")&amp;",")))&gt;0)),IF(GC218="",TRUE,IF(input_modality="",FALSE,SUMPRODUCT(--ISNUMBER(SEARCH(","&amp;TRIM(TEXTSPLIT(GC218,","))&amp;",",","&amp;SUBSTITUTE(input_modality," ","")&amp;",")))=COUNTA(TEXTSPLIT(GC218,",")))),IF(GE218="",TRUE,IF(input_modality="",TRUE,SUMPRODUCT(--ISNUMBER(SEARCH(","&amp;TRIM(TEXTSPLIT(GE218,","))&amp;",",","&amp;SUBSTITUTE(input_modality," ","")&amp;",")))=0)),IF(GG218="",TRUE,IF(input_modality="",FALSE,SUMPRODUCT(--ISNUMBER(SEARCH(","&amp;TRIM(TEXTSPLIT(GG218,","))&amp;",",","&amp;SUBSTITUTE(input_modality," ","")&amp;",")))&gt;0)),IF(GI218="",TRUE,IF(input_modality="",FALSE,SUMPRODUCT(--ISNUMBER(SEARCH(","&amp;TRIM(TEXTSPLIT(GI218,","))&amp;",",","&amp;SUBSTITUTE(input_modality," ","")&amp;",")))=COUNTA(TEXTSPLIT(GI218,",")))))</f>
        <v/>
      </c>
      <c r="JL218">
        <f>AND(IF(GK218="",TRUE,IF(input_organizer="",FALSE,SUMPRODUCT(--ISNUMBER(SEARCH(","&amp;TRIM(TEXTSPLIT(GK218,","))&amp;",",","&amp;SUBSTITUTE(input_organizer," ","")&amp;",")))&gt;0)),IF(GM218="",TRUE,IF(input_organizer="",FALSE,SUMPRODUCT(--ISNUMBER(SEARCH(","&amp;TRIM(TEXTSPLIT(GM218,","))&amp;",",","&amp;SUBSTITUTE(input_organizer," ","")&amp;",")))=COUNTA(TEXTSPLIT(GM218,",")))),IF(GO218="",TRUE,IF(input_organizer="",TRUE,SUMPRODUCT(--ISNUMBER(SEARCH(","&amp;TRIM(TEXTSPLIT(GO218,","))&amp;",",","&amp;SUBSTITUTE(input_organizer," ","")&amp;",")))=0)),IF(GQ218="",TRUE,IF(input_organizer="",FALSE,SUMPRODUCT(--ISNUMBER(SEARCH(","&amp;TRIM(TEXTSPLIT(GQ218,","))&amp;",",","&amp;SUBSTITUTE(input_organizer," ","")&amp;",")))&gt;0)),IF(GS218="",TRUE,IF(input_organizer="",FALSE,SUMPRODUCT(--ISNUMBER(SEARCH(","&amp;TRIM(TEXTSPLIT(GS218,","))&amp;",",","&amp;SUBSTITUTE(input_organizer," ","")&amp;",")))=COUNTA(TEXTSPLIT(GS218,",")))))</f>
        <v/>
      </c>
      <c r="JM218">
        <f>AND(IF(GU218="",TRUE,IF(input_profile_type="",FALSE,SUMPRODUCT(--ISNUMBER(SEARCH(","&amp;TRIM(TEXTSPLIT(GU218,","))&amp;",",","&amp;SUBSTITUTE(input_profile_type," ","")&amp;",")))&gt;0)),IF(GW218="",TRUE,IF(input_profile_type="",FALSE,SUMPRODUCT(--ISNUMBER(SEARCH(","&amp;TRIM(TEXTSPLIT(GW218,","))&amp;",",","&amp;SUBSTITUTE(input_profile_type," ","")&amp;",")))=COUNTA(TEXTSPLIT(GW218,",")))),IF(GY218="",TRUE,IF(input_profile_type="",TRUE,SUMPRODUCT(--ISNUMBER(SEARCH(","&amp;TRIM(TEXTSPLIT(GY218,","))&amp;",",","&amp;SUBSTITUTE(input_profile_type," ","")&amp;",")))=0)),IF(HA218="",TRUE,IF(input_profile_type="",FALSE,SUMPRODUCT(--ISNUMBER(SEARCH(","&amp;TRIM(TEXTSPLIT(HA218,","))&amp;",",","&amp;SUBSTITUTE(input_profile_type," ","")&amp;",")))&gt;0)),IF(HC218="",TRUE,IF(input_profile_type="",FALSE,SUMPRODUCT(--ISNUMBER(SEARCH(","&amp;TRIM(TEXTSPLIT(HC218,","))&amp;",",","&amp;SUBSTITUTE(input_profile_type," ","")&amp;",")))=COUNTA(TEXTSPLIT(HC218,",")))))</f>
        <v/>
      </c>
      <c r="JN218">
        <f>AND(IF(HE218="",TRUE,IF(input_program="",FALSE,SUMPRODUCT(--ISNUMBER(SEARCH(","&amp;TRIM(TEXTSPLIT(HE218,","))&amp;",",","&amp;SUBSTITUTE(input_program," ","")&amp;",")))&gt;0)),IF(HG218="",TRUE,IF(input_program="",FALSE,SUMPRODUCT(--ISNUMBER(SEARCH(","&amp;TRIM(TEXTSPLIT(HG218,","))&amp;",",","&amp;SUBSTITUTE(input_program," ","")&amp;",")))=COUNTA(TEXTSPLIT(HG218,",")))),IF(HI218="",TRUE,IF(input_program="",TRUE,SUMPRODUCT(--ISNUMBER(SEARCH(","&amp;TRIM(TEXTSPLIT(HI218,","))&amp;",",","&amp;SUBSTITUTE(input_program," ","")&amp;",")))=0)),IF(HK218="",TRUE,IF(input_program="",FALSE,SUMPRODUCT(--ISNUMBER(SEARCH(","&amp;TRIM(TEXTSPLIT(HK218,","))&amp;",",","&amp;SUBSTITUTE(input_program," ","")&amp;",")))&gt;0)),IF(HM218="",TRUE,IF(input_program="",FALSE,SUMPRODUCT(--ISNUMBER(SEARCH(","&amp;TRIM(TEXTSPLIT(HM218,","))&amp;",",","&amp;SUBSTITUTE(input_program," ","")&amp;",")))=COUNTA(TEXTSPLIT(HM218,",")))))</f>
        <v/>
      </c>
      <c r="JO218">
        <f>AND(IF(HO218="",TRUE,IF(input_story_categories="",FALSE,SUMPRODUCT(--ISNUMBER(SEARCH(","&amp;TRIM(TEXTSPLIT(HO218,","))&amp;",",","&amp;SUBSTITUTE(input_story_categories," ","")&amp;",")))&gt;0)),IF(HQ218="",TRUE,IF(input_story_categories="",FALSE,SUMPRODUCT(--ISNUMBER(SEARCH(","&amp;TRIM(TEXTSPLIT(HQ218,","))&amp;",",","&amp;SUBSTITUTE(input_story_categories," ","")&amp;",")))=COUNTA(TEXTSPLIT(HQ218,",")))),IF(HS218="",TRUE,IF(input_story_categories="",TRUE,SUMPRODUCT(--ISNUMBER(SEARCH(","&amp;TRIM(TEXTSPLIT(HS218,","))&amp;",",","&amp;SUBSTITUTE(input_story_categories," ","")&amp;",")))=0)),IF(HU218="",TRUE,IF(input_story_categories="",FALSE,SUMPRODUCT(--ISNUMBER(SEARCH(","&amp;TRIM(TEXTSPLIT(HU218,","))&amp;",",","&amp;SUBSTITUTE(input_story_categories," ","")&amp;",")))&gt;0)),IF(HW218="",TRUE,IF(input_story_categories="",FALSE,SUMPRODUCT(--ISNUMBER(SEARCH(","&amp;TRIM(TEXTSPLIT(HW218,","))&amp;",",","&amp;SUBSTITUTE(input_story_categories," ","")&amp;",")))=COUNTA(TEXTSPLIT(HW218,",")))))</f>
        <v/>
      </c>
      <c r="JP218">
        <f>AND(IF(HY218="",TRUE,IF(input_story_type="",FALSE,SUMPRODUCT(--ISNUMBER(SEARCH(","&amp;TRIM(TEXTSPLIT(HY218,","))&amp;",",","&amp;SUBSTITUTE(input_story_type," ","")&amp;",")))&gt;0)),IF(IA218="",TRUE,IF(input_story_type="",FALSE,SUMPRODUCT(--ISNUMBER(SEARCH(","&amp;TRIM(TEXTSPLIT(IA218,","))&amp;",",","&amp;SUBSTITUTE(input_story_type," ","")&amp;",")))=COUNTA(TEXTSPLIT(IA218,",")))),IF(IC218="",TRUE,IF(input_story_type="",TRUE,SUMPRODUCT(--ISNUMBER(SEARCH(","&amp;TRIM(TEXTSPLIT(IC218,","))&amp;",",","&amp;SUBSTITUTE(input_story_type," ","")&amp;",")))=0)),IF(IE218="",TRUE,IF(input_story_type="",FALSE,SUMPRODUCT(--ISNUMBER(SEARCH(","&amp;TRIM(TEXTSPLIT(IE218,","))&amp;",",","&amp;SUBSTITUTE(input_story_type," ","")&amp;",")))&gt;0)),IF(IG218="",TRUE,IF(input_story_type="",FALSE,SUMPRODUCT(--ISNUMBER(SEARCH(","&amp;TRIM(TEXTSPLIT(IG218,","))&amp;",",","&amp;SUBSTITUTE(input_story_type," ","")&amp;",")))=COUNTA(TEXTSPLIT(IG218,",")))))</f>
        <v/>
      </c>
      <c r="JQ218">
        <f>AND(IF(II218="",TRUE,IF(input_topics="",FALSE,SUMPRODUCT(--ISNUMBER(SEARCH(","&amp;TRIM(TEXTSPLIT(II218,","))&amp;",",","&amp;SUBSTITUTE(input_topics," ","")&amp;",")))&gt;0)),IF(IK218="",TRUE,IF(input_topics="",FALSE,SUMPRODUCT(--ISNUMBER(SEARCH(","&amp;TRIM(TEXTSPLIT(IK218,","))&amp;",",","&amp;SUBSTITUTE(input_topics," ","")&amp;",")))=COUNTA(TEXTSPLIT(IK218,",")))),IF(IM218="",TRUE,IF(input_topics="",TRUE,SUMPRODUCT(--ISNUMBER(SEARCH(","&amp;TRIM(TEXTSPLIT(IM218,","))&amp;",",","&amp;SUBSTITUTE(input_topics," ","")&amp;",")))=0)),IF(IO218="",TRUE,IF(input_topics="",FALSE,SUMPRODUCT(--ISNUMBER(SEARCH(","&amp;TRIM(TEXTSPLIT(IO218,","))&amp;",",","&amp;SUBSTITUTE(input_topics," ","")&amp;",")))&gt;0)),IF(IQ218="",TRUE,IF(input_topics="",FALSE,SUMPRODUCT(--ISNUMBER(SEARCH(","&amp;TRIM(TEXTSPLIT(IQ218,","))&amp;",",","&amp;SUBSTITUTE(input_topics," ","")&amp;",")))=COUNTA(TEXTSPLIT(IQ218,",")))))</f>
        <v/>
      </c>
    </row>
    <row r="219">
      <c r="A219" s="4">
        <f>IF(NOT(IS219),"Excluded",IF(AND(IT219,IU219,IV219,IW219,IX219,IY219,IZ219,JA219,JB219,JC219,JD219,JE219,JF219,JG219,JH219,JI219,JJ219,JK219,JL219,JM219,JN219,JO219,JP219,JQ219),IF(I219&gt;0,"Eligible but limited","Will appear"),"Excluded"))</f>
        <v/>
      </c>
      <c r="B219" s="4" t="inlineStr">
        <is>
          <t>Related stories on story pages</t>
        </is>
      </c>
      <c r="C219" s="4" t="inlineStr">
        <is>
          <t>/story/2025/yale-program-financial-stability-presents-financial-crisis-fighting-playbook</t>
        </is>
      </c>
      <c r="D219" s="4" t="inlineStr">
        <is>
          <t>/story/2025/yale-program-financial-stability-presents-financial-crisis-fighting-playbook</t>
        </is>
      </c>
      <c r="E219" s="4" t="n">
        <v>1</v>
      </c>
      <c r="F219" s="4" t="inlineStr">
        <is>
          <t>story</t>
        </is>
      </c>
      <c r="G219" s="4" t="inlineStr">
        <is>
          <t>stories_teaser_cards</t>
        </is>
      </c>
      <c r="H219" s="4" t="inlineStr">
        <is>
          <t>embed_all</t>
        </is>
      </c>
      <c r="I219" s="4" t="n">
        <v>3</v>
      </c>
      <c r="J219" s="4" t="inlineStr">
        <is>
          <t>Template logic</t>
        </is>
      </c>
      <c r="K219" s="4" t="inlineStr">
        <is>
          <t>Grouped surface</t>
        </is>
      </c>
      <c r="L219" s="4" t="inlineStr">
        <is>
          <t>Content type: story; Context uses Courses Context: Master's Degree in Systemic Risk (949); Context uses Story Type: News (924); Limited to 3 item(s); Source: Template logic</t>
        </is>
      </c>
      <c r="M219" t="inlineStr"/>
      <c r="N219" t="inlineStr"/>
      <c r="O219" t="inlineStr"/>
      <c r="P219" t="inlineStr"/>
      <c r="Q219" t="inlineStr"/>
      <c r="R219" t="inlineStr"/>
      <c r="S219" t="inlineStr"/>
      <c r="T219" t="inlineStr"/>
      <c r="U219" t="inlineStr"/>
      <c r="V219" t="inlineStr"/>
      <c r="W219" t="inlineStr"/>
      <c r="X219" t="inlineStr"/>
      <c r="Y219" t="inlineStr"/>
      <c r="Z219" t="inlineStr"/>
      <c r="AA219" t="inlineStr"/>
      <c r="AB219" t="inlineStr"/>
      <c r="AC219" t="inlineStr"/>
      <c r="AD219" t="inlineStr"/>
      <c r="AE219" t="inlineStr"/>
      <c r="AF219" t="inlineStr"/>
      <c r="AG219" t="inlineStr"/>
      <c r="AH219" t="inlineStr"/>
      <c r="AI219" t="inlineStr"/>
      <c r="AJ219" t="inlineStr"/>
      <c r="AK219" t="inlineStr"/>
      <c r="AL219" t="inlineStr"/>
      <c r="AM219" t="inlineStr"/>
      <c r="AN219" t="inlineStr"/>
      <c r="AO219" t="inlineStr"/>
      <c r="AP219" t="inlineStr"/>
      <c r="AQ219" t="inlineStr"/>
      <c r="AR219" t="inlineStr"/>
      <c r="AS219" t="inlineStr"/>
      <c r="AT219" t="inlineStr"/>
      <c r="AU219" t="inlineStr"/>
      <c r="AV219" t="inlineStr"/>
      <c r="AW219" t="inlineStr"/>
      <c r="AX219" t="inlineStr"/>
      <c r="AY219" t="inlineStr"/>
      <c r="AZ219" t="inlineStr"/>
      <c r="BA219" t="inlineStr"/>
      <c r="BB219" t="inlineStr"/>
      <c r="BC219" t="inlineStr"/>
      <c r="BD219" t="inlineStr"/>
      <c r="BE219" t="inlineStr"/>
      <c r="BF219" t="inlineStr"/>
      <c r="BG219" t="inlineStr"/>
      <c r="BH219" t="inlineStr"/>
      <c r="BI219" t="inlineStr"/>
      <c r="BJ219" t="inlineStr"/>
      <c r="BK219" t="inlineStr"/>
      <c r="BL219" t="inlineStr"/>
      <c r="BM219" t="inlineStr"/>
      <c r="BN219" t="inlineStr"/>
      <c r="BO219" t="inlineStr"/>
      <c r="BP219" t="inlineStr"/>
      <c r="BQ219" t="inlineStr">
        <is>
          <t>949</t>
        </is>
      </c>
      <c r="BR219" t="inlineStr">
        <is>
          <t>Master's Degree in Systemic Risk (949)</t>
        </is>
      </c>
      <c r="BS219" t="inlineStr"/>
      <c r="BT219" t="inlineStr"/>
      <c r="BU219" t="inlineStr"/>
      <c r="BV219" t="inlineStr"/>
      <c r="BW219" t="inlineStr"/>
      <c r="BX219" t="inlineStr"/>
      <c r="BY219" t="inlineStr"/>
      <c r="BZ219" t="inlineStr"/>
      <c r="CA219" t="inlineStr"/>
      <c r="CB219" t="inlineStr"/>
      <c r="CC219" t="inlineStr"/>
      <c r="CD219" t="inlineStr"/>
      <c r="CE219" t="inlineStr"/>
      <c r="CF219" t="inlineStr"/>
      <c r="CG219" t="inlineStr"/>
      <c r="CH219" t="inlineStr"/>
      <c r="CI219" t="inlineStr"/>
      <c r="CJ219" t="inlineStr"/>
      <c r="CK219" t="inlineStr"/>
      <c r="CL219" t="inlineStr"/>
      <c r="CM219" t="inlineStr"/>
      <c r="CN219" t="inlineStr"/>
      <c r="CO219" t="inlineStr"/>
      <c r="CP219" t="inlineStr"/>
      <c r="CQ219" t="inlineStr"/>
      <c r="CR219" t="inlineStr"/>
      <c r="CS219" t="inlineStr"/>
      <c r="CT219" t="inlineStr"/>
      <c r="CU219" t="inlineStr"/>
      <c r="CV219" t="inlineStr"/>
      <c r="CW219" t="inlineStr"/>
      <c r="CX219" t="inlineStr"/>
      <c r="CY219" t="inlineStr"/>
      <c r="CZ219" t="inlineStr"/>
      <c r="DA219" t="inlineStr"/>
      <c r="DB219" t="inlineStr"/>
      <c r="DC219" t="inlineStr"/>
      <c r="DD219" t="inlineStr"/>
      <c r="DE219" t="inlineStr"/>
      <c r="DF219" t="inlineStr"/>
      <c r="DG219" t="inlineStr"/>
      <c r="DH219" t="inlineStr"/>
      <c r="DI219" t="inlineStr"/>
      <c r="DJ219" t="inlineStr"/>
      <c r="DK219" t="inlineStr"/>
      <c r="DL219" t="inlineStr"/>
      <c r="DM219" t="inlineStr"/>
      <c r="DN219" t="inlineStr"/>
      <c r="DO219" t="inlineStr"/>
      <c r="DP219" t="inlineStr"/>
      <c r="DQ219" t="inlineStr"/>
      <c r="DR219" t="inlineStr"/>
      <c r="DS219" t="inlineStr"/>
      <c r="DT219" t="inlineStr"/>
      <c r="DU219" t="inlineStr"/>
      <c r="DV219" t="inlineStr"/>
      <c r="DW219" t="inlineStr"/>
      <c r="DX219" t="inlineStr"/>
      <c r="DY219" t="inlineStr"/>
      <c r="DZ219" t="inlineStr"/>
      <c r="EA219" t="inlineStr"/>
      <c r="EB219" t="inlineStr"/>
      <c r="EC219" t="inlineStr"/>
      <c r="ED219" t="inlineStr"/>
      <c r="EE219" t="inlineStr"/>
      <c r="EF219" t="inlineStr"/>
      <c r="EG219" t="inlineStr"/>
      <c r="EH219" t="inlineStr"/>
      <c r="EI219" t="inlineStr"/>
      <c r="EJ219" t="inlineStr"/>
      <c r="EK219" t="inlineStr"/>
      <c r="EL219" t="inlineStr"/>
      <c r="EM219" t="inlineStr"/>
      <c r="EN219" t="inlineStr"/>
      <c r="EO219" t="inlineStr"/>
      <c r="EP219" t="inlineStr"/>
      <c r="EQ219" t="inlineStr"/>
      <c r="ER219" t="inlineStr"/>
      <c r="ES219" t="inlineStr"/>
      <c r="ET219" t="inlineStr"/>
      <c r="EU219" t="inlineStr"/>
      <c r="EV219" t="inlineStr"/>
      <c r="EW219" t="inlineStr"/>
      <c r="EX219" t="inlineStr"/>
      <c r="EY219" t="inlineStr"/>
      <c r="EZ219" t="inlineStr"/>
      <c r="FA219" t="inlineStr"/>
      <c r="FB219" t="inlineStr"/>
      <c r="FC219" t="inlineStr"/>
      <c r="FD219" t="inlineStr"/>
      <c r="FE219" t="inlineStr"/>
      <c r="FF219" t="inlineStr"/>
      <c r="FG219" t="inlineStr"/>
      <c r="FH219" t="inlineStr"/>
      <c r="FI219" t="inlineStr"/>
      <c r="FJ219" t="inlineStr"/>
      <c r="FK219" t="inlineStr"/>
      <c r="FL219" t="inlineStr"/>
      <c r="FM219" t="inlineStr"/>
      <c r="FN219" t="inlineStr"/>
      <c r="FO219" t="inlineStr"/>
      <c r="FP219" t="inlineStr"/>
      <c r="FQ219" t="inlineStr"/>
      <c r="FR219" t="inlineStr"/>
      <c r="FS219" t="inlineStr"/>
      <c r="FT219" t="inlineStr"/>
      <c r="FU219" t="inlineStr"/>
      <c r="FV219" t="inlineStr"/>
      <c r="FW219" t="inlineStr"/>
      <c r="FX219" t="inlineStr"/>
      <c r="FY219" t="inlineStr"/>
      <c r="FZ219" t="inlineStr"/>
      <c r="GA219" t="inlineStr"/>
      <c r="GB219" t="inlineStr"/>
      <c r="GC219" t="inlineStr"/>
      <c r="GD219" t="inlineStr"/>
      <c r="GE219" t="inlineStr"/>
      <c r="GF219" t="inlineStr"/>
      <c r="GG219" t="inlineStr"/>
      <c r="GH219" t="inlineStr"/>
      <c r="GI219" t="inlineStr"/>
      <c r="GJ219" t="inlineStr"/>
      <c r="GK219" t="inlineStr"/>
      <c r="GL219" t="inlineStr"/>
      <c r="GM219" t="inlineStr"/>
      <c r="GN219" t="inlineStr"/>
      <c r="GO219" t="inlineStr"/>
      <c r="GP219" t="inlineStr"/>
      <c r="GQ219" t="inlineStr"/>
      <c r="GR219" t="inlineStr"/>
      <c r="GS219" t="inlineStr"/>
      <c r="GT219" t="inlineStr"/>
      <c r="GU219" t="inlineStr"/>
      <c r="GV219" t="inlineStr"/>
      <c r="GW219" t="inlineStr"/>
      <c r="GX219" t="inlineStr"/>
      <c r="GY219" t="inlineStr"/>
      <c r="GZ219" t="inlineStr"/>
      <c r="HA219" t="inlineStr"/>
      <c r="HB219" t="inlineStr"/>
      <c r="HC219" t="inlineStr"/>
      <c r="HD219" t="inlineStr"/>
      <c r="HE219" t="inlineStr"/>
      <c r="HF219" t="inlineStr"/>
      <c r="HG219" t="inlineStr"/>
      <c r="HH219" t="inlineStr"/>
      <c r="HI219" t="inlineStr"/>
      <c r="HJ219" t="inlineStr"/>
      <c r="HK219" t="inlineStr"/>
      <c r="HL219" t="inlineStr"/>
      <c r="HM219" t="inlineStr"/>
      <c r="HN219" t="inlineStr"/>
      <c r="HO219" t="inlineStr"/>
      <c r="HP219" t="inlineStr"/>
      <c r="HQ219" t="inlineStr"/>
      <c r="HR219" t="inlineStr"/>
      <c r="HS219" t="inlineStr"/>
      <c r="HT219" t="inlineStr"/>
      <c r="HU219" t="inlineStr"/>
      <c r="HV219" t="inlineStr"/>
      <c r="HW219" t="inlineStr"/>
      <c r="HX219" t="inlineStr"/>
      <c r="HY219" t="inlineStr"/>
      <c r="HZ219" t="inlineStr"/>
      <c r="IA219" t="inlineStr"/>
      <c r="IB219" t="inlineStr"/>
      <c r="IC219" t="inlineStr"/>
      <c r="ID219" t="inlineStr"/>
      <c r="IE219" t="inlineStr">
        <is>
          <t>924</t>
        </is>
      </c>
      <c r="IF219" t="inlineStr">
        <is>
          <t>News (924)</t>
        </is>
      </c>
      <c r="IG219" t="inlineStr"/>
      <c r="IH219" t="inlineStr"/>
      <c r="II219" t="inlineStr"/>
      <c r="IJ219" t="inlineStr"/>
      <c r="IK219" t="inlineStr"/>
      <c r="IL219" t="inlineStr"/>
      <c r="IM219" t="inlineStr"/>
      <c r="IN219" t="inlineStr"/>
      <c r="IO219" t="inlineStr"/>
      <c r="IP219" t="inlineStr"/>
      <c r="IQ219" t="inlineStr"/>
      <c r="IR219" t="inlineStr"/>
      <c r="IS219">
        <f>IF(input_content_type="",FALSE,ISNUMBER(SEARCH(","&amp;LOWER(input_content_type)&amp;",",","&amp;LOWER(F219)&amp;",")))</f>
        <v/>
      </c>
      <c r="IT219">
        <f>AND(IF(M219="",TRUE,IF(input_affiliations="",FALSE,SUMPRODUCT(--ISNUMBER(SEARCH(","&amp;TRIM(TEXTSPLIT(M219,","))&amp;",",","&amp;SUBSTITUTE(input_affiliations," ","")&amp;",")))&gt;0)),IF(O219="",TRUE,IF(input_affiliations="",FALSE,SUMPRODUCT(--ISNUMBER(SEARCH(","&amp;TRIM(TEXTSPLIT(O219,","))&amp;",",","&amp;SUBSTITUTE(input_affiliations," ","")&amp;",")))=COUNTA(TEXTSPLIT(O219,",")))),IF(Q219="",TRUE,IF(input_affiliations="",TRUE,SUMPRODUCT(--ISNUMBER(SEARCH(","&amp;TRIM(TEXTSPLIT(Q219,","))&amp;",",","&amp;SUBSTITUTE(input_affiliations," ","")&amp;",")))=0)),IF(S219="",TRUE,IF(input_affiliations="",FALSE,SUMPRODUCT(--ISNUMBER(SEARCH(","&amp;TRIM(TEXTSPLIT(S219,","))&amp;",",","&amp;SUBSTITUTE(input_affiliations," ","")&amp;",")))&gt;0)),IF(U219="",TRUE,IF(input_affiliations="",FALSE,SUMPRODUCT(--ISNUMBER(SEARCH(","&amp;TRIM(TEXTSPLIT(U219,","))&amp;",",","&amp;SUBSTITUTE(input_affiliations," ","")&amp;",")))=COUNTA(TEXTSPLIT(U219,",")))))</f>
        <v/>
      </c>
      <c r="IU219">
        <f>AND(IF(W219="",TRUE,IF(input_announcement_category="",FALSE,SUMPRODUCT(--ISNUMBER(SEARCH(","&amp;TRIM(TEXTSPLIT(W219,","))&amp;",",","&amp;SUBSTITUTE(input_announcement_category," ","")&amp;",")))&gt;0)),IF(Y219="",TRUE,IF(input_announcement_category="",FALSE,SUMPRODUCT(--ISNUMBER(SEARCH(","&amp;TRIM(TEXTSPLIT(Y219,","))&amp;",",","&amp;SUBSTITUTE(input_announcement_category," ","")&amp;",")))=COUNTA(TEXTSPLIT(Y219,",")))),IF(AA219="",TRUE,IF(input_announcement_category="",TRUE,SUMPRODUCT(--ISNUMBER(SEARCH(","&amp;TRIM(TEXTSPLIT(AA219,","))&amp;",",","&amp;SUBSTITUTE(input_announcement_category," ","")&amp;",")))=0)),IF(AC219="",TRUE,IF(input_announcement_category="",FALSE,SUMPRODUCT(--ISNUMBER(SEARCH(","&amp;TRIM(TEXTSPLIT(AC219,","))&amp;",",","&amp;SUBSTITUTE(input_announcement_category," ","")&amp;",")))&gt;0)),IF(AE219="",TRUE,IF(input_announcement_category="",FALSE,SUMPRODUCT(--ISNUMBER(SEARCH(","&amp;TRIM(TEXTSPLIT(AE219,","))&amp;",",","&amp;SUBSTITUTE(input_announcement_category," ","")&amp;",")))=COUNTA(TEXTSPLIT(AE219,",")))))</f>
        <v/>
      </c>
      <c r="IV219">
        <f>AND(IF(AG219="",TRUE,IF(input_area_of_focus="",FALSE,SUMPRODUCT(--ISNUMBER(SEARCH(","&amp;TRIM(TEXTSPLIT(AG219,","))&amp;",",","&amp;SUBSTITUTE(input_area_of_focus," ","")&amp;",")))&gt;0)),IF(AI219="",TRUE,IF(input_area_of_focus="",FALSE,SUMPRODUCT(--ISNUMBER(SEARCH(","&amp;TRIM(TEXTSPLIT(AI219,","))&amp;",",","&amp;SUBSTITUTE(input_area_of_focus," ","")&amp;",")))=COUNTA(TEXTSPLIT(AI219,",")))),IF(AK219="",TRUE,IF(input_area_of_focus="",TRUE,SUMPRODUCT(--ISNUMBER(SEARCH(","&amp;TRIM(TEXTSPLIT(AK219,","))&amp;",",","&amp;SUBSTITUTE(input_area_of_focus," ","")&amp;",")))=0)),IF(AM219="",TRUE,IF(input_area_of_focus="",FALSE,SUMPRODUCT(--ISNUMBER(SEARCH(","&amp;TRIM(TEXTSPLIT(AM219,","))&amp;",",","&amp;SUBSTITUTE(input_area_of_focus," ","")&amp;",")))&gt;0)),IF(AO219="",TRUE,IF(input_area_of_focus="",FALSE,SUMPRODUCT(--ISNUMBER(SEARCH(","&amp;TRIM(TEXTSPLIT(AO219,","))&amp;",",","&amp;SUBSTITUTE(input_area_of_focus," ","")&amp;",")))=COUNTA(TEXTSPLIT(AO219,",")))))</f>
        <v/>
      </c>
      <c r="IW219">
        <f>AND(IF(AQ219="",TRUE,IF(input_audience="",FALSE,SUMPRODUCT(--ISNUMBER(SEARCH(","&amp;TRIM(TEXTSPLIT(AQ219,","))&amp;",",","&amp;SUBSTITUTE(input_audience," ","")&amp;",")))&gt;0)),IF(AS219="",TRUE,IF(input_audience="",FALSE,SUMPRODUCT(--ISNUMBER(SEARCH(","&amp;TRIM(TEXTSPLIT(AS219,","))&amp;",",","&amp;SUBSTITUTE(input_audience," ","")&amp;",")))=COUNTA(TEXTSPLIT(AS219,",")))),IF(AU219="",TRUE,IF(input_audience="",TRUE,SUMPRODUCT(--ISNUMBER(SEARCH(","&amp;TRIM(TEXTSPLIT(AU219,","))&amp;",",","&amp;SUBSTITUTE(input_audience," ","")&amp;",")))=0)),IF(AW219="",TRUE,IF(input_audience="",FALSE,SUMPRODUCT(--ISNUMBER(SEARCH(","&amp;TRIM(TEXTSPLIT(AW219,","))&amp;",",","&amp;SUBSTITUTE(input_audience," ","")&amp;",")))&gt;0)),IF(AY219="",TRUE,IF(input_audience="",FALSE,SUMPRODUCT(--ISNUMBER(SEARCH(","&amp;TRIM(TEXTSPLIT(AY219,","))&amp;",",","&amp;SUBSTITUTE(input_audience," ","")&amp;",")))=COUNTA(TEXTSPLIT(AY219,",")))))</f>
        <v/>
      </c>
      <c r="IX219">
        <f>AND(IF(BA219="",TRUE,IF(input_challenge_opportunities="",FALSE,SUMPRODUCT(--ISNUMBER(SEARCH(","&amp;TRIM(TEXTSPLIT(BA219,","))&amp;",",","&amp;SUBSTITUTE(input_challenge_opportunities," ","")&amp;",")))&gt;0)),IF(BC219="",TRUE,IF(input_challenge_opportunities="",FALSE,SUMPRODUCT(--ISNUMBER(SEARCH(","&amp;TRIM(TEXTSPLIT(BC219,","))&amp;",",","&amp;SUBSTITUTE(input_challenge_opportunities," ","")&amp;",")))=COUNTA(TEXTSPLIT(BC219,",")))),IF(BE219="",TRUE,IF(input_challenge_opportunities="",TRUE,SUMPRODUCT(--ISNUMBER(SEARCH(","&amp;TRIM(TEXTSPLIT(BE219,","))&amp;",",","&amp;SUBSTITUTE(input_challenge_opportunities," ","")&amp;",")))=0)),IF(BG219="",TRUE,IF(input_challenge_opportunities="",FALSE,SUMPRODUCT(--ISNUMBER(SEARCH(","&amp;TRIM(TEXTSPLIT(BG219,","))&amp;",",","&amp;SUBSTITUTE(input_challenge_opportunities," ","")&amp;",")))&gt;0)),IF(BI219="",TRUE,IF(input_challenge_opportunities="",FALSE,SUMPRODUCT(--ISNUMBER(SEARCH(","&amp;TRIM(TEXTSPLIT(BI219,","))&amp;",",","&amp;SUBSTITUTE(input_challenge_opportunities," ","")&amp;",")))=COUNTA(TEXTSPLIT(BI219,",")))))</f>
        <v/>
      </c>
      <c r="IY219">
        <f>AND(IF(BK219="",TRUE,IF(input_context="",FALSE,SUMPRODUCT(--ISNUMBER(SEARCH(","&amp;TRIM(TEXTSPLIT(BK219,","))&amp;",",","&amp;SUBSTITUTE(input_context," ","")&amp;",")))&gt;0)),IF(BM219="",TRUE,IF(input_context="",FALSE,SUMPRODUCT(--ISNUMBER(SEARCH(","&amp;TRIM(TEXTSPLIT(BM219,","))&amp;",",","&amp;SUBSTITUTE(input_context," ","")&amp;",")))=COUNTA(TEXTSPLIT(BM219,",")))),IF(BO219="",TRUE,IF(input_context="",TRUE,SUMPRODUCT(--ISNUMBER(SEARCH(","&amp;TRIM(TEXTSPLIT(BO219,","))&amp;",",","&amp;SUBSTITUTE(input_context," ","")&amp;",")))=0)),IF(BQ219="",TRUE,IF(input_context="",FALSE,SUMPRODUCT(--ISNUMBER(SEARCH(","&amp;TRIM(TEXTSPLIT(BQ219,","))&amp;",",","&amp;SUBSTITUTE(input_context," ","")&amp;",")))&gt;0)),IF(BS219="",TRUE,IF(input_context="",FALSE,SUMPRODUCT(--ISNUMBER(SEARCH(","&amp;TRIM(TEXTSPLIT(BS219,","))&amp;",",","&amp;SUBSTITUTE(input_context," ","")&amp;",")))=COUNTA(TEXTSPLIT(BS219,",")))))</f>
        <v/>
      </c>
      <c r="IZ219">
        <f>AND(IF(BU219="",TRUE,IF(input_enews_announcement_type="",FALSE,SUMPRODUCT(--ISNUMBER(SEARCH(","&amp;TRIM(TEXTSPLIT(BU219,","))&amp;",",","&amp;SUBSTITUTE(input_enews_announcement_type," ","")&amp;",")))&gt;0)),IF(BW219="",TRUE,IF(input_enews_announcement_type="",FALSE,SUMPRODUCT(--ISNUMBER(SEARCH(","&amp;TRIM(TEXTSPLIT(BW219,","))&amp;",",","&amp;SUBSTITUTE(input_enews_announcement_type," ","")&amp;",")))=COUNTA(TEXTSPLIT(BW219,",")))),IF(BY219="",TRUE,IF(input_enews_announcement_type="",TRUE,SUMPRODUCT(--ISNUMBER(SEARCH(","&amp;TRIM(TEXTSPLIT(BY219,","))&amp;",",","&amp;SUBSTITUTE(input_enews_announcement_type," ","")&amp;",")))=0)),IF(CA219="",TRUE,IF(input_enews_announcement_type="",FALSE,SUMPRODUCT(--ISNUMBER(SEARCH(","&amp;TRIM(TEXTSPLIT(CA219,","))&amp;",",","&amp;SUBSTITUTE(input_enews_announcement_type," ","")&amp;",")))&gt;0)),IF(CC219="",TRUE,IF(input_enews_announcement_type="",FALSE,SUMPRODUCT(--ISNUMBER(SEARCH(","&amp;TRIM(TEXTSPLIT(CC219,","))&amp;",",","&amp;SUBSTITUTE(input_enews_announcement_type," ","")&amp;",")))=COUNTA(TEXTSPLIT(CC219,",")))))</f>
        <v/>
      </c>
      <c r="JA219">
        <f>AND(IF(CE219="",TRUE,IF(input_enews_audience="",FALSE,SUMPRODUCT(--ISNUMBER(SEARCH(","&amp;TRIM(TEXTSPLIT(CE219,","))&amp;",",","&amp;SUBSTITUTE(input_enews_audience," ","")&amp;",")))&gt;0)),IF(CG219="",TRUE,IF(input_enews_audience="",FALSE,SUMPRODUCT(--ISNUMBER(SEARCH(","&amp;TRIM(TEXTSPLIT(CG219,","))&amp;",",","&amp;SUBSTITUTE(input_enews_audience," ","")&amp;",")))=COUNTA(TEXTSPLIT(CG219,",")))),IF(CI219="",TRUE,IF(input_enews_audience="",TRUE,SUMPRODUCT(--ISNUMBER(SEARCH(","&amp;TRIM(TEXTSPLIT(CI219,","))&amp;",",","&amp;SUBSTITUTE(input_enews_audience," ","")&amp;",")))=0)),IF(CK219="",TRUE,IF(input_enews_audience="",FALSE,SUMPRODUCT(--ISNUMBER(SEARCH(","&amp;TRIM(TEXTSPLIT(CK219,","))&amp;",",","&amp;SUBSTITUTE(input_enews_audience," ","")&amp;",")))&gt;0)),IF(CM219="",TRUE,IF(input_enews_audience="",FALSE,SUMPRODUCT(--ISNUMBER(SEARCH(","&amp;TRIM(TEXTSPLIT(CM219,","))&amp;",",","&amp;SUBSTITUTE(input_enews_audience," ","")&amp;",")))=COUNTA(TEXTSPLIT(CM219,",")))))</f>
        <v/>
      </c>
      <c r="JB219">
        <f>AND(IF(CO219="",TRUE,IF(input_event_location="",FALSE,SUMPRODUCT(--ISNUMBER(SEARCH(","&amp;TRIM(TEXTSPLIT(CO219,","))&amp;",",","&amp;SUBSTITUTE(input_event_location," ","")&amp;",")))&gt;0)),IF(CQ219="",TRUE,IF(input_event_location="",FALSE,SUMPRODUCT(--ISNUMBER(SEARCH(","&amp;TRIM(TEXTSPLIT(CQ219,","))&amp;",",","&amp;SUBSTITUTE(input_event_location," ","")&amp;",")))=COUNTA(TEXTSPLIT(CQ219,",")))),IF(CS219="",TRUE,IF(input_event_location="",TRUE,SUMPRODUCT(--ISNUMBER(SEARCH(","&amp;TRIM(TEXTSPLIT(CS219,","))&amp;",",","&amp;SUBSTITUTE(input_event_location," ","")&amp;",")))=0)),IF(CU219="",TRUE,IF(input_event_location="",FALSE,SUMPRODUCT(--ISNUMBER(SEARCH(","&amp;TRIM(TEXTSPLIT(CU219,","))&amp;",",","&amp;SUBSTITUTE(input_event_location," ","")&amp;",")))&gt;0)),IF(CW219="",TRUE,IF(input_event_location="",FALSE,SUMPRODUCT(--ISNUMBER(SEARCH(","&amp;TRIM(TEXTSPLIT(CW219,","))&amp;",",","&amp;SUBSTITUTE(input_event_location," ","")&amp;",")))=COUNTA(TEXTSPLIT(CW219,",")))))</f>
        <v/>
      </c>
      <c r="JC219">
        <f>AND(IF(CY219="",TRUE,IF(input_event_type="",FALSE,SUMPRODUCT(--ISNUMBER(SEARCH(","&amp;TRIM(TEXTSPLIT(CY219,","))&amp;",",","&amp;SUBSTITUTE(input_event_type," ","")&amp;",")))&gt;0)),IF(DA219="",TRUE,IF(input_event_type="",FALSE,SUMPRODUCT(--ISNUMBER(SEARCH(","&amp;TRIM(TEXTSPLIT(DA219,","))&amp;",",","&amp;SUBSTITUTE(input_event_type," ","")&amp;",")))=COUNTA(TEXTSPLIT(DA219,",")))),IF(DC219="",TRUE,IF(input_event_type="",TRUE,SUMPRODUCT(--ISNUMBER(SEARCH(","&amp;TRIM(TEXTSPLIT(DC219,","))&amp;",",","&amp;SUBSTITUTE(input_event_type," ","")&amp;",")))=0)),IF(DE219="",TRUE,IF(input_event_type="",FALSE,SUMPRODUCT(--ISNUMBER(SEARCH(","&amp;TRIM(TEXTSPLIT(DE219,","))&amp;",",","&amp;SUBSTITUTE(input_event_type," ","")&amp;",")))&gt;0)),IF(DG219="",TRUE,IF(input_event_type="",FALSE,SUMPRODUCT(--ISNUMBER(SEARCH(","&amp;TRIM(TEXTSPLIT(DG219,","))&amp;",",","&amp;SUBSTITUTE(input_event_type," ","")&amp;",")))=COUNTA(TEXTSPLIT(DG219,",")))))</f>
        <v/>
      </c>
      <c r="JD219">
        <f>AND(IF(DI219="",TRUE,IF(input_executive_education_focus="",FALSE,SUMPRODUCT(--ISNUMBER(SEARCH(","&amp;TRIM(TEXTSPLIT(DI219,","))&amp;",",","&amp;SUBSTITUTE(input_executive_education_focus," ","")&amp;",")))&gt;0)),IF(DK219="",TRUE,IF(input_executive_education_focus="",FALSE,SUMPRODUCT(--ISNUMBER(SEARCH(","&amp;TRIM(TEXTSPLIT(DK219,","))&amp;",",","&amp;SUBSTITUTE(input_executive_education_focus," ","")&amp;",")))=COUNTA(TEXTSPLIT(DK219,",")))),IF(DM219="",TRUE,IF(input_executive_education_focus="",TRUE,SUMPRODUCT(--ISNUMBER(SEARCH(","&amp;TRIM(TEXTSPLIT(DM219,","))&amp;",",","&amp;SUBSTITUTE(input_executive_education_focus," ","")&amp;",")))=0)),IF(DO219="",TRUE,IF(input_executive_education_focus="",FALSE,SUMPRODUCT(--ISNUMBER(SEARCH(","&amp;TRIM(TEXTSPLIT(DO219,","))&amp;",",","&amp;SUBSTITUTE(input_executive_education_focus," ","")&amp;",")))&gt;0)),IF(DQ219="",TRUE,IF(input_executive_education_focus="",FALSE,SUMPRODUCT(--ISNUMBER(SEARCH(","&amp;TRIM(TEXTSPLIT(DQ219,","))&amp;",",","&amp;SUBSTITUTE(input_executive_education_focus," ","")&amp;",")))=COUNTA(TEXTSPLIT(DQ219,",")))))</f>
        <v/>
      </c>
      <c r="JE219">
        <f>AND(IF(DS219="",TRUE,IF(input_faculty_category="",FALSE,SUMPRODUCT(--ISNUMBER(SEARCH(","&amp;TRIM(TEXTSPLIT(DS219,","))&amp;",",","&amp;SUBSTITUTE(input_faculty_category," ","")&amp;",")))&gt;0)),IF(DU219="",TRUE,IF(input_faculty_category="",FALSE,SUMPRODUCT(--ISNUMBER(SEARCH(","&amp;TRIM(TEXTSPLIT(DU219,","))&amp;",",","&amp;SUBSTITUTE(input_faculty_category," ","")&amp;",")))=COUNTA(TEXTSPLIT(DU219,",")))),IF(DW219="",TRUE,IF(input_faculty_category="",TRUE,SUMPRODUCT(--ISNUMBER(SEARCH(","&amp;TRIM(TEXTSPLIT(DW219,","))&amp;",",","&amp;SUBSTITUTE(input_faculty_category," ","")&amp;",")))=0)),IF(DY219="",TRUE,IF(input_faculty_category="",FALSE,SUMPRODUCT(--ISNUMBER(SEARCH(","&amp;TRIM(TEXTSPLIT(DY219,","))&amp;",",","&amp;SUBSTITUTE(input_faculty_category," ","")&amp;",")))&gt;0)),IF(EA219="",TRUE,IF(input_faculty_category="",FALSE,SUMPRODUCT(--ISNUMBER(SEARCH(","&amp;TRIM(TEXTSPLIT(EA219,","))&amp;",",","&amp;SUBSTITUTE(input_faculty_category," ","")&amp;",")))=COUNTA(TEXTSPLIT(EA219,",")))))</f>
        <v/>
      </c>
      <c r="JF219">
        <f>AND(IF(EC219="",TRUE,IF(input_faculty_discipline="",FALSE,SUMPRODUCT(--ISNUMBER(SEARCH(","&amp;TRIM(TEXTSPLIT(EC219,","))&amp;",",","&amp;SUBSTITUTE(input_faculty_discipline," ","")&amp;",")))&gt;0)),IF(EE219="",TRUE,IF(input_faculty_discipline="",FALSE,SUMPRODUCT(--ISNUMBER(SEARCH(","&amp;TRIM(TEXTSPLIT(EE219,","))&amp;",",","&amp;SUBSTITUTE(input_faculty_discipline," ","")&amp;",")))=COUNTA(TEXTSPLIT(EE219,",")))),IF(EG219="",TRUE,IF(input_faculty_discipline="",TRUE,SUMPRODUCT(--ISNUMBER(SEARCH(","&amp;TRIM(TEXTSPLIT(EG219,","))&amp;",",","&amp;SUBSTITUTE(input_faculty_discipline," ","")&amp;",")))=0)),IF(EI219="",TRUE,IF(input_faculty_discipline="",FALSE,SUMPRODUCT(--ISNUMBER(SEARCH(","&amp;TRIM(TEXTSPLIT(EI219,","))&amp;",",","&amp;SUBSTITUTE(input_faculty_discipline," ","")&amp;",")))&gt;0)),IF(EK219="",TRUE,IF(input_faculty_discipline="",FALSE,SUMPRODUCT(--ISNUMBER(SEARCH(","&amp;TRIM(TEXTSPLIT(EK219,","))&amp;",",","&amp;SUBSTITUTE(input_faculty_discipline," ","")&amp;",")))=COUNTA(TEXTSPLIT(EK219,",")))))</f>
        <v/>
      </c>
      <c r="JG219">
        <f>AND(IF(EM219="",TRUE,IF(input_faculty_expertise="",FALSE,SUMPRODUCT(--ISNUMBER(SEARCH(","&amp;TRIM(TEXTSPLIT(EM219,","))&amp;",",","&amp;SUBSTITUTE(input_faculty_expertise," ","")&amp;",")))&gt;0)),IF(EO219="",TRUE,IF(input_faculty_expertise="",FALSE,SUMPRODUCT(--ISNUMBER(SEARCH(","&amp;TRIM(TEXTSPLIT(EO219,","))&amp;",",","&amp;SUBSTITUTE(input_faculty_expertise," ","")&amp;",")))=COUNTA(TEXTSPLIT(EO219,",")))),IF(EQ219="",TRUE,IF(input_faculty_expertise="",TRUE,SUMPRODUCT(--ISNUMBER(SEARCH(","&amp;TRIM(TEXTSPLIT(EQ219,","))&amp;",",","&amp;SUBSTITUTE(input_faculty_expertise," ","")&amp;",")))=0)),IF(ES219="",TRUE,IF(input_faculty_expertise="",FALSE,SUMPRODUCT(--ISNUMBER(SEARCH(","&amp;TRIM(TEXTSPLIT(ES219,","))&amp;",",","&amp;SUBSTITUTE(input_faculty_expertise," ","")&amp;",")))&gt;0)),IF(EU219="",TRUE,IF(input_faculty_expertise="",FALSE,SUMPRODUCT(--ISNUMBER(SEARCH(","&amp;TRIM(TEXTSPLIT(EU219,","))&amp;",",","&amp;SUBSTITUTE(input_faculty_expertise," ","")&amp;",")))=COUNTA(TEXTSPLIT(EU219,",")))))</f>
        <v/>
      </c>
      <c r="JH219">
        <f>AND(IF(EW219="",TRUE,IF(input_global_network_school="",FALSE,SUMPRODUCT(--ISNUMBER(SEARCH(","&amp;TRIM(TEXTSPLIT(EW219,","))&amp;",",","&amp;SUBSTITUTE(input_global_network_school," ","")&amp;",")))&gt;0)),IF(EY219="",TRUE,IF(input_global_network_school="",FALSE,SUMPRODUCT(--ISNUMBER(SEARCH(","&amp;TRIM(TEXTSPLIT(EY219,","))&amp;",",","&amp;SUBSTITUTE(input_global_network_school," ","")&amp;",")))=COUNTA(TEXTSPLIT(EY219,",")))),IF(FA219="",TRUE,IF(input_global_network_school="",TRUE,SUMPRODUCT(--ISNUMBER(SEARCH(","&amp;TRIM(TEXTSPLIT(FA219,","))&amp;",",","&amp;SUBSTITUTE(input_global_network_school," ","")&amp;",")))=0)),IF(FC219="",TRUE,IF(input_global_network_school="",FALSE,SUMPRODUCT(--ISNUMBER(SEARCH(","&amp;TRIM(TEXTSPLIT(FC219,","))&amp;",",","&amp;SUBSTITUTE(input_global_network_school," ","")&amp;",")))&gt;0)),IF(FE219="",TRUE,IF(input_global_network_school="",FALSE,SUMPRODUCT(--ISNUMBER(SEARCH(","&amp;TRIM(TEXTSPLIT(FE219,","))&amp;",",","&amp;SUBSTITUTE(input_global_network_school," ","")&amp;",")))=COUNTA(TEXTSPLIT(FE219,",")))))</f>
        <v/>
      </c>
      <c r="JI219">
        <f>AND(IF(FG219="",TRUE,IF(input_industry="",FALSE,SUMPRODUCT(--ISNUMBER(SEARCH(","&amp;TRIM(TEXTSPLIT(FG219,","))&amp;",",","&amp;SUBSTITUTE(input_industry," ","")&amp;",")))&gt;0)),IF(FI219="",TRUE,IF(input_industry="",FALSE,SUMPRODUCT(--ISNUMBER(SEARCH(","&amp;TRIM(TEXTSPLIT(FI219,","))&amp;",",","&amp;SUBSTITUTE(input_industry," ","")&amp;",")))=COUNTA(TEXTSPLIT(FI219,",")))),IF(FK219="",TRUE,IF(input_industry="",TRUE,SUMPRODUCT(--ISNUMBER(SEARCH(","&amp;TRIM(TEXTSPLIT(FK219,","))&amp;",",","&amp;SUBSTITUTE(input_industry," ","")&amp;",")))=0)),IF(FM219="",TRUE,IF(input_industry="",FALSE,SUMPRODUCT(--ISNUMBER(SEARCH(","&amp;TRIM(TEXTSPLIT(FM219,","))&amp;",",","&amp;SUBSTITUTE(input_industry," ","")&amp;",")))&gt;0)),IF(FO219="",TRUE,IF(input_industry="",FALSE,SUMPRODUCT(--ISNUMBER(SEARCH(","&amp;TRIM(TEXTSPLIT(FO219,","))&amp;",",","&amp;SUBSTITUTE(input_industry," ","")&amp;",")))=COUNTA(TEXTSPLIT(FO219,",")))))</f>
        <v/>
      </c>
      <c r="JJ219">
        <f>AND(IF(FQ219="",TRUE,IF(input_location="",FALSE,SUMPRODUCT(--ISNUMBER(SEARCH(","&amp;TRIM(TEXTSPLIT(FQ219,","))&amp;",",","&amp;SUBSTITUTE(input_location," ","")&amp;",")))&gt;0)),IF(FS219="",TRUE,IF(input_location="",FALSE,SUMPRODUCT(--ISNUMBER(SEARCH(","&amp;TRIM(TEXTSPLIT(FS219,","))&amp;",",","&amp;SUBSTITUTE(input_location," ","")&amp;",")))=COUNTA(TEXTSPLIT(FS219,",")))),IF(FU219="",TRUE,IF(input_location="",TRUE,SUMPRODUCT(--ISNUMBER(SEARCH(","&amp;TRIM(TEXTSPLIT(FU219,","))&amp;",",","&amp;SUBSTITUTE(input_location," ","")&amp;",")))=0)),IF(FW219="",TRUE,IF(input_location="",FALSE,SUMPRODUCT(--ISNUMBER(SEARCH(","&amp;TRIM(TEXTSPLIT(FW219,","))&amp;",",","&amp;SUBSTITUTE(input_location," ","")&amp;",")))&gt;0)),IF(FY219="",TRUE,IF(input_location="",FALSE,SUMPRODUCT(--ISNUMBER(SEARCH(","&amp;TRIM(TEXTSPLIT(FY219,","))&amp;",",","&amp;SUBSTITUTE(input_location," ","")&amp;",")))=COUNTA(TEXTSPLIT(FY219,",")))))</f>
        <v/>
      </c>
      <c r="JK219">
        <f>AND(IF(GA219="",TRUE,IF(input_modality="",FALSE,SUMPRODUCT(--ISNUMBER(SEARCH(","&amp;TRIM(TEXTSPLIT(GA219,","))&amp;",",","&amp;SUBSTITUTE(input_modality," ","")&amp;",")))&gt;0)),IF(GC219="",TRUE,IF(input_modality="",FALSE,SUMPRODUCT(--ISNUMBER(SEARCH(","&amp;TRIM(TEXTSPLIT(GC219,","))&amp;",",","&amp;SUBSTITUTE(input_modality," ","")&amp;",")))=COUNTA(TEXTSPLIT(GC219,",")))),IF(GE219="",TRUE,IF(input_modality="",TRUE,SUMPRODUCT(--ISNUMBER(SEARCH(","&amp;TRIM(TEXTSPLIT(GE219,","))&amp;",",","&amp;SUBSTITUTE(input_modality," ","")&amp;",")))=0)),IF(GG219="",TRUE,IF(input_modality="",FALSE,SUMPRODUCT(--ISNUMBER(SEARCH(","&amp;TRIM(TEXTSPLIT(GG219,","))&amp;",",","&amp;SUBSTITUTE(input_modality," ","")&amp;",")))&gt;0)),IF(GI219="",TRUE,IF(input_modality="",FALSE,SUMPRODUCT(--ISNUMBER(SEARCH(","&amp;TRIM(TEXTSPLIT(GI219,","))&amp;",",","&amp;SUBSTITUTE(input_modality," ","")&amp;",")))=COUNTA(TEXTSPLIT(GI219,",")))))</f>
        <v/>
      </c>
      <c r="JL219">
        <f>AND(IF(GK219="",TRUE,IF(input_organizer="",FALSE,SUMPRODUCT(--ISNUMBER(SEARCH(","&amp;TRIM(TEXTSPLIT(GK219,","))&amp;",",","&amp;SUBSTITUTE(input_organizer," ","")&amp;",")))&gt;0)),IF(GM219="",TRUE,IF(input_organizer="",FALSE,SUMPRODUCT(--ISNUMBER(SEARCH(","&amp;TRIM(TEXTSPLIT(GM219,","))&amp;",",","&amp;SUBSTITUTE(input_organizer," ","")&amp;",")))=COUNTA(TEXTSPLIT(GM219,",")))),IF(GO219="",TRUE,IF(input_organizer="",TRUE,SUMPRODUCT(--ISNUMBER(SEARCH(","&amp;TRIM(TEXTSPLIT(GO219,","))&amp;",",","&amp;SUBSTITUTE(input_organizer," ","")&amp;",")))=0)),IF(GQ219="",TRUE,IF(input_organizer="",FALSE,SUMPRODUCT(--ISNUMBER(SEARCH(","&amp;TRIM(TEXTSPLIT(GQ219,","))&amp;",",","&amp;SUBSTITUTE(input_organizer," ","")&amp;",")))&gt;0)),IF(GS219="",TRUE,IF(input_organizer="",FALSE,SUMPRODUCT(--ISNUMBER(SEARCH(","&amp;TRIM(TEXTSPLIT(GS219,","))&amp;",",","&amp;SUBSTITUTE(input_organizer," ","")&amp;",")))=COUNTA(TEXTSPLIT(GS219,",")))))</f>
        <v/>
      </c>
      <c r="JM219">
        <f>AND(IF(GU219="",TRUE,IF(input_profile_type="",FALSE,SUMPRODUCT(--ISNUMBER(SEARCH(","&amp;TRIM(TEXTSPLIT(GU219,","))&amp;",",","&amp;SUBSTITUTE(input_profile_type," ","")&amp;",")))&gt;0)),IF(GW219="",TRUE,IF(input_profile_type="",FALSE,SUMPRODUCT(--ISNUMBER(SEARCH(","&amp;TRIM(TEXTSPLIT(GW219,","))&amp;",",","&amp;SUBSTITUTE(input_profile_type," ","")&amp;",")))=COUNTA(TEXTSPLIT(GW219,",")))),IF(GY219="",TRUE,IF(input_profile_type="",TRUE,SUMPRODUCT(--ISNUMBER(SEARCH(","&amp;TRIM(TEXTSPLIT(GY219,","))&amp;",",","&amp;SUBSTITUTE(input_profile_type," ","")&amp;",")))=0)),IF(HA219="",TRUE,IF(input_profile_type="",FALSE,SUMPRODUCT(--ISNUMBER(SEARCH(","&amp;TRIM(TEXTSPLIT(HA219,","))&amp;",",","&amp;SUBSTITUTE(input_profile_type," ","")&amp;",")))&gt;0)),IF(HC219="",TRUE,IF(input_profile_type="",FALSE,SUMPRODUCT(--ISNUMBER(SEARCH(","&amp;TRIM(TEXTSPLIT(HC219,","))&amp;",",","&amp;SUBSTITUTE(input_profile_type," ","")&amp;",")))=COUNTA(TEXTSPLIT(HC219,",")))))</f>
        <v/>
      </c>
      <c r="JN219">
        <f>AND(IF(HE219="",TRUE,IF(input_program="",FALSE,SUMPRODUCT(--ISNUMBER(SEARCH(","&amp;TRIM(TEXTSPLIT(HE219,","))&amp;",",","&amp;SUBSTITUTE(input_program," ","")&amp;",")))&gt;0)),IF(HG219="",TRUE,IF(input_program="",FALSE,SUMPRODUCT(--ISNUMBER(SEARCH(","&amp;TRIM(TEXTSPLIT(HG219,","))&amp;",",","&amp;SUBSTITUTE(input_program," ","")&amp;",")))=COUNTA(TEXTSPLIT(HG219,",")))),IF(HI219="",TRUE,IF(input_program="",TRUE,SUMPRODUCT(--ISNUMBER(SEARCH(","&amp;TRIM(TEXTSPLIT(HI219,","))&amp;",",","&amp;SUBSTITUTE(input_program," ","")&amp;",")))=0)),IF(HK219="",TRUE,IF(input_program="",FALSE,SUMPRODUCT(--ISNUMBER(SEARCH(","&amp;TRIM(TEXTSPLIT(HK219,","))&amp;",",","&amp;SUBSTITUTE(input_program," ","")&amp;",")))&gt;0)),IF(HM219="",TRUE,IF(input_program="",FALSE,SUMPRODUCT(--ISNUMBER(SEARCH(","&amp;TRIM(TEXTSPLIT(HM219,","))&amp;",",","&amp;SUBSTITUTE(input_program," ","")&amp;",")))=COUNTA(TEXTSPLIT(HM219,",")))))</f>
        <v/>
      </c>
      <c r="JO219">
        <f>AND(IF(HO219="",TRUE,IF(input_story_categories="",FALSE,SUMPRODUCT(--ISNUMBER(SEARCH(","&amp;TRIM(TEXTSPLIT(HO219,","))&amp;",",","&amp;SUBSTITUTE(input_story_categories," ","")&amp;",")))&gt;0)),IF(HQ219="",TRUE,IF(input_story_categories="",FALSE,SUMPRODUCT(--ISNUMBER(SEARCH(","&amp;TRIM(TEXTSPLIT(HQ219,","))&amp;",",","&amp;SUBSTITUTE(input_story_categories," ","")&amp;",")))=COUNTA(TEXTSPLIT(HQ219,",")))),IF(HS219="",TRUE,IF(input_story_categories="",TRUE,SUMPRODUCT(--ISNUMBER(SEARCH(","&amp;TRIM(TEXTSPLIT(HS219,","))&amp;",",","&amp;SUBSTITUTE(input_story_categories," ","")&amp;",")))=0)),IF(HU219="",TRUE,IF(input_story_categories="",FALSE,SUMPRODUCT(--ISNUMBER(SEARCH(","&amp;TRIM(TEXTSPLIT(HU219,","))&amp;",",","&amp;SUBSTITUTE(input_story_categories," ","")&amp;",")))&gt;0)),IF(HW219="",TRUE,IF(input_story_categories="",FALSE,SUMPRODUCT(--ISNUMBER(SEARCH(","&amp;TRIM(TEXTSPLIT(HW219,","))&amp;",",","&amp;SUBSTITUTE(input_story_categories," ","")&amp;",")))=COUNTA(TEXTSPLIT(HW219,",")))))</f>
        <v/>
      </c>
      <c r="JP219">
        <f>AND(IF(HY219="",TRUE,IF(input_story_type="",FALSE,SUMPRODUCT(--ISNUMBER(SEARCH(","&amp;TRIM(TEXTSPLIT(HY219,","))&amp;",",","&amp;SUBSTITUTE(input_story_type," ","")&amp;",")))&gt;0)),IF(IA219="",TRUE,IF(input_story_type="",FALSE,SUMPRODUCT(--ISNUMBER(SEARCH(","&amp;TRIM(TEXTSPLIT(IA219,","))&amp;",",","&amp;SUBSTITUTE(input_story_type," ","")&amp;",")))=COUNTA(TEXTSPLIT(IA219,",")))),IF(IC219="",TRUE,IF(input_story_type="",TRUE,SUMPRODUCT(--ISNUMBER(SEARCH(","&amp;TRIM(TEXTSPLIT(IC219,","))&amp;",",","&amp;SUBSTITUTE(input_story_type," ","")&amp;",")))=0)),IF(IE219="",TRUE,IF(input_story_type="",FALSE,SUMPRODUCT(--ISNUMBER(SEARCH(","&amp;TRIM(TEXTSPLIT(IE219,","))&amp;",",","&amp;SUBSTITUTE(input_story_type," ","")&amp;",")))&gt;0)),IF(IG219="",TRUE,IF(input_story_type="",FALSE,SUMPRODUCT(--ISNUMBER(SEARCH(","&amp;TRIM(TEXTSPLIT(IG219,","))&amp;",",","&amp;SUBSTITUTE(input_story_type," ","")&amp;",")))=COUNTA(TEXTSPLIT(IG219,",")))))</f>
        <v/>
      </c>
      <c r="JQ219">
        <f>AND(IF(II219="",TRUE,IF(input_topics="",FALSE,SUMPRODUCT(--ISNUMBER(SEARCH(","&amp;TRIM(TEXTSPLIT(II219,","))&amp;",",","&amp;SUBSTITUTE(input_topics," ","")&amp;",")))&gt;0)),IF(IK219="",TRUE,IF(input_topics="",FALSE,SUMPRODUCT(--ISNUMBER(SEARCH(","&amp;TRIM(TEXTSPLIT(IK219,","))&amp;",",","&amp;SUBSTITUTE(input_topics," ","")&amp;",")))=COUNTA(TEXTSPLIT(IK219,",")))),IF(IM219="",TRUE,IF(input_topics="",TRUE,SUMPRODUCT(--ISNUMBER(SEARCH(","&amp;TRIM(TEXTSPLIT(IM219,","))&amp;",",","&amp;SUBSTITUTE(input_topics," ","")&amp;",")))=0)),IF(IO219="",TRUE,IF(input_topics="",FALSE,SUMPRODUCT(--ISNUMBER(SEARCH(","&amp;TRIM(TEXTSPLIT(IO219,","))&amp;",",","&amp;SUBSTITUTE(input_topics," ","")&amp;",")))&gt;0)),IF(IQ219="",TRUE,IF(input_topics="",FALSE,SUMPRODUCT(--ISNUMBER(SEARCH(","&amp;TRIM(TEXTSPLIT(IQ219,","))&amp;",",","&amp;SUBSTITUTE(input_topics," ","")&amp;",")))=COUNTA(TEXTSPLIT(IQ219,",")))))</f>
        <v/>
      </c>
    </row>
    <row r="220">
      <c r="A220" s="4">
        <f>IF(NOT(IS220),"Excluded",IF(AND(IT220,IU220,IV220,IW220,IX220,IY220,IZ220,JA220,JB220,JC220,JD220,JE220,JF220,JG220,JH220,JI220,JJ220,JK220,JL220,JM220,JN220,JO220,JP220,JQ220),IF(I220&gt;0,"Eligible but limited","Will appear"),"Excluded"))</f>
        <v/>
      </c>
      <c r="B220" s="4" t="inlineStr">
        <is>
          <t>Related stories on story pages</t>
        </is>
      </c>
      <c r="C220" s="4" t="inlineStr">
        <is>
          <t>/story/2026/dean-kerwin-charles-visits-alumni-communities-west-coast</t>
        </is>
      </c>
      <c r="D220" s="4" t="inlineStr">
        <is>
          <t>/story/2026/dean-kerwin-charles-visits-alumni-communities-west-coast</t>
        </is>
      </c>
      <c r="E220" s="4" t="n">
        <v>1</v>
      </c>
      <c r="F220" s="4" t="inlineStr">
        <is>
          <t>story</t>
        </is>
      </c>
      <c r="G220" s="4" t="inlineStr">
        <is>
          <t>stories_teaser_cards</t>
        </is>
      </c>
      <c r="H220" s="4" t="inlineStr">
        <is>
          <t>embed_all</t>
        </is>
      </c>
      <c r="I220" s="4" t="n">
        <v>3</v>
      </c>
      <c r="J220" s="4" t="inlineStr">
        <is>
          <t>Template logic</t>
        </is>
      </c>
      <c r="K220" s="4" t="inlineStr">
        <is>
          <t>Grouped surface</t>
        </is>
      </c>
      <c r="L220" s="4" t="inlineStr">
        <is>
          <t>Content type: story; Context uses Courses Context: Alumni (1142); Context uses Story Type: News (924); Limited to 3 item(s); Source: Template logic</t>
        </is>
      </c>
      <c r="M220" t="inlineStr"/>
      <c r="N220" t="inlineStr"/>
      <c r="O220" t="inlineStr"/>
      <c r="P220" t="inlineStr"/>
      <c r="Q220" t="inlineStr"/>
      <c r="R220" t="inlineStr"/>
      <c r="S220" t="inlineStr"/>
      <c r="T220" t="inlineStr"/>
      <c r="U220" t="inlineStr"/>
      <c r="V220" t="inlineStr"/>
      <c r="W220" t="inlineStr"/>
      <c r="X220" t="inlineStr"/>
      <c r="Y220" t="inlineStr"/>
      <c r="Z220" t="inlineStr"/>
      <c r="AA220" t="inlineStr"/>
      <c r="AB220" t="inlineStr"/>
      <c r="AC220" t="inlineStr"/>
      <c r="AD220" t="inlineStr"/>
      <c r="AE220" t="inlineStr"/>
      <c r="AF220" t="inlineStr"/>
      <c r="AG220" t="inlineStr"/>
      <c r="AH220" t="inlineStr"/>
      <c r="AI220" t="inlineStr"/>
      <c r="AJ220" t="inlineStr"/>
      <c r="AK220" t="inlineStr"/>
      <c r="AL220" t="inlineStr"/>
      <c r="AM220" t="inlineStr"/>
      <c r="AN220" t="inlineStr"/>
      <c r="AO220" t="inlineStr"/>
      <c r="AP220" t="inlineStr"/>
      <c r="AQ220" t="inlineStr"/>
      <c r="AR220" t="inlineStr"/>
      <c r="AS220" t="inlineStr"/>
      <c r="AT220" t="inlineStr"/>
      <c r="AU220" t="inlineStr"/>
      <c r="AV220" t="inlineStr"/>
      <c r="AW220" t="inlineStr"/>
      <c r="AX220" t="inlineStr"/>
      <c r="AY220" t="inlineStr"/>
      <c r="AZ220" t="inlineStr"/>
      <c r="BA220" t="inlineStr"/>
      <c r="BB220" t="inlineStr"/>
      <c r="BC220" t="inlineStr"/>
      <c r="BD220" t="inlineStr"/>
      <c r="BE220" t="inlineStr"/>
      <c r="BF220" t="inlineStr"/>
      <c r="BG220" t="inlineStr"/>
      <c r="BH220" t="inlineStr"/>
      <c r="BI220" t="inlineStr"/>
      <c r="BJ220" t="inlineStr"/>
      <c r="BK220" t="inlineStr"/>
      <c r="BL220" t="inlineStr"/>
      <c r="BM220" t="inlineStr"/>
      <c r="BN220" t="inlineStr"/>
      <c r="BO220" t="inlineStr"/>
      <c r="BP220" t="inlineStr"/>
      <c r="BQ220" t="inlineStr">
        <is>
          <t>1142</t>
        </is>
      </c>
      <c r="BR220" t="inlineStr">
        <is>
          <t>Alumni (1142)</t>
        </is>
      </c>
      <c r="BS220" t="inlineStr"/>
      <c r="BT220" t="inlineStr"/>
      <c r="BU220" t="inlineStr"/>
      <c r="BV220" t="inlineStr"/>
      <c r="BW220" t="inlineStr"/>
      <c r="BX220" t="inlineStr"/>
      <c r="BY220" t="inlineStr"/>
      <c r="BZ220" t="inlineStr"/>
      <c r="CA220" t="inlineStr"/>
      <c r="CB220" t="inlineStr"/>
      <c r="CC220" t="inlineStr"/>
      <c r="CD220" t="inlineStr"/>
      <c r="CE220" t="inlineStr"/>
      <c r="CF220" t="inlineStr"/>
      <c r="CG220" t="inlineStr"/>
      <c r="CH220" t="inlineStr"/>
      <c r="CI220" t="inlineStr"/>
      <c r="CJ220" t="inlineStr"/>
      <c r="CK220" t="inlineStr"/>
      <c r="CL220" t="inlineStr"/>
      <c r="CM220" t="inlineStr"/>
      <c r="CN220" t="inlineStr"/>
      <c r="CO220" t="inlineStr"/>
      <c r="CP220" t="inlineStr"/>
      <c r="CQ220" t="inlineStr"/>
      <c r="CR220" t="inlineStr"/>
      <c r="CS220" t="inlineStr"/>
      <c r="CT220" t="inlineStr"/>
      <c r="CU220" t="inlineStr"/>
      <c r="CV220" t="inlineStr"/>
      <c r="CW220" t="inlineStr"/>
      <c r="CX220" t="inlineStr"/>
      <c r="CY220" t="inlineStr"/>
      <c r="CZ220" t="inlineStr"/>
      <c r="DA220" t="inlineStr"/>
      <c r="DB220" t="inlineStr"/>
      <c r="DC220" t="inlineStr"/>
      <c r="DD220" t="inlineStr"/>
      <c r="DE220" t="inlineStr"/>
      <c r="DF220" t="inlineStr"/>
      <c r="DG220" t="inlineStr"/>
      <c r="DH220" t="inlineStr"/>
      <c r="DI220" t="inlineStr"/>
      <c r="DJ220" t="inlineStr"/>
      <c r="DK220" t="inlineStr"/>
      <c r="DL220" t="inlineStr"/>
      <c r="DM220" t="inlineStr"/>
      <c r="DN220" t="inlineStr"/>
      <c r="DO220" t="inlineStr"/>
      <c r="DP220" t="inlineStr"/>
      <c r="DQ220" t="inlineStr"/>
      <c r="DR220" t="inlineStr"/>
      <c r="DS220" t="inlineStr"/>
      <c r="DT220" t="inlineStr"/>
      <c r="DU220" t="inlineStr"/>
      <c r="DV220" t="inlineStr"/>
      <c r="DW220" t="inlineStr"/>
      <c r="DX220" t="inlineStr"/>
      <c r="DY220" t="inlineStr"/>
      <c r="DZ220" t="inlineStr"/>
      <c r="EA220" t="inlineStr"/>
      <c r="EB220" t="inlineStr"/>
      <c r="EC220" t="inlineStr"/>
      <c r="ED220" t="inlineStr"/>
      <c r="EE220" t="inlineStr"/>
      <c r="EF220" t="inlineStr"/>
      <c r="EG220" t="inlineStr"/>
      <c r="EH220" t="inlineStr"/>
      <c r="EI220" t="inlineStr"/>
      <c r="EJ220" t="inlineStr"/>
      <c r="EK220" t="inlineStr"/>
      <c r="EL220" t="inlineStr"/>
      <c r="EM220" t="inlineStr"/>
      <c r="EN220" t="inlineStr"/>
      <c r="EO220" t="inlineStr"/>
      <c r="EP220" t="inlineStr"/>
      <c r="EQ220" t="inlineStr"/>
      <c r="ER220" t="inlineStr"/>
      <c r="ES220" t="inlineStr"/>
      <c r="ET220" t="inlineStr"/>
      <c r="EU220" t="inlineStr"/>
      <c r="EV220" t="inlineStr"/>
      <c r="EW220" t="inlineStr"/>
      <c r="EX220" t="inlineStr"/>
      <c r="EY220" t="inlineStr"/>
      <c r="EZ220" t="inlineStr"/>
      <c r="FA220" t="inlineStr"/>
      <c r="FB220" t="inlineStr"/>
      <c r="FC220" t="inlineStr"/>
      <c r="FD220" t="inlineStr"/>
      <c r="FE220" t="inlineStr"/>
      <c r="FF220" t="inlineStr"/>
      <c r="FG220" t="inlineStr"/>
      <c r="FH220" t="inlineStr"/>
      <c r="FI220" t="inlineStr"/>
      <c r="FJ220" t="inlineStr"/>
      <c r="FK220" t="inlineStr"/>
      <c r="FL220" t="inlineStr"/>
      <c r="FM220" t="inlineStr"/>
      <c r="FN220" t="inlineStr"/>
      <c r="FO220" t="inlineStr"/>
      <c r="FP220" t="inlineStr"/>
      <c r="FQ220" t="inlineStr"/>
      <c r="FR220" t="inlineStr"/>
      <c r="FS220" t="inlineStr"/>
      <c r="FT220" t="inlineStr"/>
      <c r="FU220" t="inlineStr"/>
      <c r="FV220" t="inlineStr"/>
      <c r="FW220" t="inlineStr"/>
      <c r="FX220" t="inlineStr"/>
      <c r="FY220" t="inlineStr"/>
      <c r="FZ220" t="inlineStr"/>
      <c r="GA220" t="inlineStr"/>
      <c r="GB220" t="inlineStr"/>
      <c r="GC220" t="inlineStr"/>
      <c r="GD220" t="inlineStr"/>
      <c r="GE220" t="inlineStr"/>
      <c r="GF220" t="inlineStr"/>
      <c r="GG220" t="inlineStr"/>
      <c r="GH220" t="inlineStr"/>
      <c r="GI220" t="inlineStr"/>
      <c r="GJ220" t="inlineStr"/>
      <c r="GK220" t="inlineStr"/>
      <c r="GL220" t="inlineStr"/>
      <c r="GM220" t="inlineStr"/>
      <c r="GN220" t="inlineStr"/>
      <c r="GO220" t="inlineStr"/>
      <c r="GP220" t="inlineStr"/>
      <c r="GQ220" t="inlineStr"/>
      <c r="GR220" t="inlineStr"/>
      <c r="GS220" t="inlineStr"/>
      <c r="GT220" t="inlineStr"/>
      <c r="GU220" t="inlineStr"/>
      <c r="GV220" t="inlineStr"/>
      <c r="GW220" t="inlineStr"/>
      <c r="GX220" t="inlineStr"/>
      <c r="GY220" t="inlineStr"/>
      <c r="GZ220" t="inlineStr"/>
      <c r="HA220" t="inlineStr"/>
      <c r="HB220" t="inlineStr"/>
      <c r="HC220" t="inlineStr"/>
      <c r="HD220" t="inlineStr"/>
      <c r="HE220" t="inlineStr"/>
      <c r="HF220" t="inlineStr"/>
      <c r="HG220" t="inlineStr"/>
      <c r="HH220" t="inlineStr"/>
      <c r="HI220" t="inlineStr"/>
      <c r="HJ220" t="inlineStr"/>
      <c r="HK220" t="inlineStr"/>
      <c r="HL220" t="inlineStr"/>
      <c r="HM220" t="inlineStr"/>
      <c r="HN220" t="inlineStr"/>
      <c r="HO220" t="inlineStr"/>
      <c r="HP220" t="inlineStr"/>
      <c r="HQ220" t="inlineStr"/>
      <c r="HR220" t="inlineStr"/>
      <c r="HS220" t="inlineStr"/>
      <c r="HT220" t="inlineStr"/>
      <c r="HU220" t="inlineStr"/>
      <c r="HV220" t="inlineStr"/>
      <c r="HW220" t="inlineStr"/>
      <c r="HX220" t="inlineStr"/>
      <c r="HY220" t="inlineStr"/>
      <c r="HZ220" t="inlineStr"/>
      <c r="IA220" t="inlineStr"/>
      <c r="IB220" t="inlineStr"/>
      <c r="IC220" t="inlineStr"/>
      <c r="ID220" t="inlineStr"/>
      <c r="IE220" t="inlineStr">
        <is>
          <t>924</t>
        </is>
      </c>
      <c r="IF220" t="inlineStr">
        <is>
          <t>News (924)</t>
        </is>
      </c>
      <c r="IG220" t="inlineStr"/>
      <c r="IH220" t="inlineStr"/>
      <c r="II220" t="inlineStr"/>
      <c r="IJ220" t="inlineStr"/>
      <c r="IK220" t="inlineStr"/>
      <c r="IL220" t="inlineStr"/>
      <c r="IM220" t="inlineStr"/>
      <c r="IN220" t="inlineStr"/>
      <c r="IO220" t="inlineStr"/>
      <c r="IP220" t="inlineStr"/>
      <c r="IQ220" t="inlineStr"/>
      <c r="IR220" t="inlineStr"/>
      <c r="IS220">
        <f>IF(input_content_type="",FALSE,ISNUMBER(SEARCH(","&amp;LOWER(input_content_type)&amp;",",","&amp;LOWER(F220)&amp;",")))</f>
        <v/>
      </c>
      <c r="IT220">
        <f>AND(IF(M220="",TRUE,IF(input_affiliations="",FALSE,SUMPRODUCT(--ISNUMBER(SEARCH(","&amp;TRIM(TEXTSPLIT(M220,","))&amp;",",","&amp;SUBSTITUTE(input_affiliations," ","")&amp;",")))&gt;0)),IF(O220="",TRUE,IF(input_affiliations="",FALSE,SUMPRODUCT(--ISNUMBER(SEARCH(","&amp;TRIM(TEXTSPLIT(O220,","))&amp;",",","&amp;SUBSTITUTE(input_affiliations," ","")&amp;",")))=COUNTA(TEXTSPLIT(O220,",")))),IF(Q220="",TRUE,IF(input_affiliations="",TRUE,SUMPRODUCT(--ISNUMBER(SEARCH(","&amp;TRIM(TEXTSPLIT(Q220,","))&amp;",",","&amp;SUBSTITUTE(input_affiliations," ","")&amp;",")))=0)),IF(S220="",TRUE,IF(input_affiliations="",FALSE,SUMPRODUCT(--ISNUMBER(SEARCH(","&amp;TRIM(TEXTSPLIT(S220,","))&amp;",",","&amp;SUBSTITUTE(input_affiliations," ","")&amp;",")))&gt;0)),IF(U220="",TRUE,IF(input_affiliations="",FALSE,SUMPRODUCT(--ISNUMBER(SEARCH(","&amp;TRIM(TEXTSPLIT(U220,","))&amp;",",","&amp;SUBSTITUTE(input_affiliations," ","")&amp;",")))=COUNTA(TEXTSPLIT(U220,",")))))</f>
        <v/>
      </c>
      <c r="IU220">
        <f>AND(IF(W220="",TRUE,IF(input_announcement_category="",FALSE,SUMPRODUCT(--ISNUMBER(SEARCH(","&amp;TRIM(TEXTSPLIT(W220,","))&amp;",",","&amp;SUBSTITUTE(input_announcement_category," ","")&amp;",")))&gt;0)),IF(Y220="",TRUE,IF(input_announcement_category="",FALSE,SUMPRODUCT(--ISNUMBER(SEARCH(","&amp;TRIM(TEXTSPLIT(Y220,","))&amp;",",","&amp;SUBSTITUTE(input_announcement_category," ","")&amp;",")))=COUNTA(TEXTSPLIT(Y220,",")))),IF(AA220="",TRUE,IF(input_announcement_category="",TRUE,SUMPRODUCT(--ISNUMBER(SEARCH(","&amp;TRIM(TEXTSPLIT(AA220,","))&amp;",",","&amp;SUBSTITUTE(input_announcement_category," ","")&amp;",")))=0)),IF(AC220="",TRUE,IF(input_announcement_category="",FALSE,SUMPRODUCT(--ISNUMBER(SEARCH(","&amp;TRIM(TEXTSPLIT(AC220,","))&amp;",",","&amp;SUBSTITUTE(input_announcement_category," ","")&amp;",")))&gt;0)),IF(AE220="",TRUE,IF(input_announcement_category="",FALSE,SUMPRODUCT(--ISNUMBER(SEARCH(","&amp;TRIM(TEXTSPLIT(AE220,","))&amp;",",","&amp;SUBSTITUTE(input_announcement_category," ","")&amp;",")))=COUNTA(TEXTSPLIT(AE220,",")))))</f>
        <v/>
      </c>
      <c r="IV220">
        <f>AND(IF(AG220="",TRUE,IF(input_area_of_focus="",FALSE,SUMPRODUCT(--ISNUMBER(SEARCH(","&amp;TRIM(TEXTSPLIT(AG220,","))&amp;",",","&amp;SUBSTITUTE(input_area_of_focus," ","")&amp;",")))&gt;0)),IF(AI220="",TRUE,IF(input_area_of_focus="",FALSE,SUMPRODUCT(--ISNUMBER(SEARCH(","&amp;TRIM(TEXTSPLIT(AI220,","))&amp;",",","&amp;SUBSTITUTE(input_area_of_focus," ","")&amp;",")))=COUNTA(TEXTSPLIT(AI220,",")))),IF(AK220="",TRUE,IF(input_area_of_focus="",TRUE,SUMPRODUCT(--ISNUMBER(SEARCH(","&amp;TRIM(TEXTSPLIT(AK220,","))&amp;",",","&amp;SUBSTITUTE(input_area_of_focus," ","")&amp;",")))=0)),IF(AM220="",TRUE,IF(input_area_of_focus="",FALSE,SUMPRODUCT(--ISNUMBER(SEARCH(","&amp;TRIM(TEXTSPLIT(AM220,","))&amp;",",","&amp;SUBSTITUTE(input_area_of_focus," ","")&amp;",")))&gt;0)),IF(AO220="",TRUE,IF(input_area_of_focus="",FALSE,SUMPRODUCT(--ISNUMBER(SEARCH(","&amp;TRIM(TEXTSPLIT(AO220,","))&amp;",",","&amp;SUBSTITUTE(input_area_of_focus," ","")&amp;",")))=COUNTA(TEXTSPLIT(AO220,",")))))</f>
        <v/>
      </c>
      <c r="IW220">
        <f>AND(IF(AQ220="",TRUE,IF(input_audience="",FALSE,SUMPRODUCT(--ISNUMBER(SEARCH(","&amp;TRIM(TEXTSPLIT(AQ220,","))&amp;",",","&amp;SUBSTITUTE(input_audience," ","")&amp;",")))&gt;0)),IF(AS220="",TRUE,IF(input_audience="",FALSE,SUMPRODUCT(--ISNUMBER(SEARCH(","&amp;TRIM(TEXTSPLIT(AS220,","))&amp;",",","&amp;SUBSTITUTE(input_audience," ","")&amp;",")))=COUNTA(TEXTSPLIT(AS220,",")))),IF(AU220="",TRUE,IF(input_audience="",TRUE,SUMPRODUCT(--ISNUMBER(SEARCH(","&amp;TRIM(TEXTSPLIT(AU220,","))&amp;",",","&amp;SUBSTITUTE(input_audience," ","")&amp;",")))=0)),IF(AW220="",TRUE,IF(input_audience="",FALSE,SUMPRODUCT(--ISNUMBER(SEARCH(","&amp;TRIM(TEXTSPLIT(AW220,","))&amp;",",","&amp;SUBSTITUTE(input_audience," ","")&amp;",")))&gt;0)),IF(AY220="",TRUE,IF(input_audience="",FALSE,SUMPRODUCT(--ISNUMBER(SEARCH(","&amp;TRIM(TEXTSPLIT(AY220,","))&amp;",",","&amp;SUBSTITUTE(input_audience," ","")&amp;",")))=COUNTA(TEXTSPLIT(AY220,",")))))</f>
        <v/>
      </c>
      <c r="IX220">
        <f>AND(IF(BA220="",TRUE,IF(input_challenge_opportunities="",FALSE,SUMPRODUCT(--ISNUMBER(SEARCH(","&amp;TRIM(TEXTSPLIT(BA220,","))&amp;",",","&amp;SUBSTITUTE(input_challenge_opportunities," ","")&amp;",")))&gt;0)),IF(BC220="",TRUE,IF(input_challenge_opportunities="",FALSE,SUMPRODUCT(--ISNUMBER(SEARCH(","&amp;TRIM(TEXTSPLIT(BC220,","))&amp;",",","&amp;SUBSTITUTE(input_challenge_opportunities," ","")&amp;",")))=COUNTA(TEXTSPLIT(BC220,",")))),IF(BE220="",TRUE,IF(input_challenge_opportunities="",TRUE,SUMPRODUCT(--ISNUMBER(SEARCH(","&amp;TRIM(TEXTSPLIT(BE220,","))&amp;",",","&amp;SUBSTITUTE(input_challenge_opportunities," ","")&amp;",")))=0)),IF(BG220="",TRUE,IF(input_challenge_opportunities="",FALSE,SUMPRODUCT(--ISNUMBER(SEARCH(","&amp;TRIM(TEXTSPLIT(BG220,","))&amp;",",","&amp;SUBSTITUTE(input_challenge_opportunities," ","")&amp;",")))&gt;0)),IF(BI220="",TRUE,IF(input_challenge_opportunities="",FALSE,SUMPRODUCT(--ISNUMBER(SEARCH(","&amp;TRIM(TEXTSPLIT(BI220,","))&amp;",",","&amp;SUBSTITUTE(input_challenge_opportunities," ","")&amp;",")))=COUNTA(TEXTSPLIT(BI220,",")))))</f>
        <v/>
      </c>
      <c r="IY220">
        <f>AND(IF(BK220="",TRUE,IF(input_context="",FALSE,SUMPRODUCT(--ISNUMBER(SEARCH(","&amp;TRIM(TEXTSPLIT(BK220,","))&amp;",",","&amp;SUBSTITUTE(input_context," ","")&amp;",")))&gt;0)),IF(BM220="",TRUE,IF(input_context="",FALSE,SUMPRODUCT(--ISNUMBER(SEARCH(","&amp;TRIM(TEXTSPLIT(BM220,","))&amp;",",","&amp;SUBSTITUTE(input_context," ","")&amp;",")))=COUNTA(TEXTSPLIT(BM220,",")))),IF(BO220="",TRUE,IF(input_context="",TRUE,SUMPRODUCT(--ISNUMBER(SEARCH(","&amp;TRIM(TEXTSPLIT(BO220,","))&amp;",",","&amp;SUBSTITUTE(input_context," ","")&amp;",")))=0)),IF(BQ220="",TRUE,IF(input_context="",FALSE,SUMPRODUCT(--ISNUMBER(SEARCH(","&amp;TRIM(TEXTSPLIT(BQ220,","))&amp;",",","&amp;SUBSTITUTE(input_context," ","")&amp;",")))&gt;0)),IF(BS220="",TRUE,IF(input_context="",FALSE,SUMPRODUCT(--ISNUMBER(SEARCH(","&amp;TRIM(TEXTSPLIT(BS220,","))&amp;",",","&amp;SUBSTITUTE(input_context," ","")&amp;",")))=COUNTA(TEXTSPLIT(BS220,",")))))</f>
        <v/>
      </c>
      <c r="IZ220">
        <f>AND(IF(BU220="",TRUE,IF(input_enews_announcement_type="",FALSE,SUMPRODUCT(--ISNUMBER(SEARCH(","&amp;TRIM(TEXTSPLIT(BU220,","))&amp;",",","&amp;SUBSTITUTE(input_enews_announcement_type," ","")&amp;",")))&gt;0)),IF(BW220="",TRUE,IF(input_enews_announcement_type="",FALSE,SUMPRODUCT(--ISNUMBER(SEARCH(","&amp;TRIM(TEXTSPLIT(BW220,","))&amp;",",","&amp;SUBSTITUTE(input_enews_announcement_type," ","")&amp;",")))=COUNTA(TEXTSPLIT(BW220,",")))),IF(BY220="",TRUE,IF(input_enews_announcement_type="",TRUE,SUMPRODUCT(--ISNUMBER(SEARCH(","&amp;TRIM(TEXTSPLIT(BY220,","))&amp;",",","&amp;SUBSTITUTE(input_enews_announcement_type," ","")&amp;",")))=0)),IF(CA220="",TRUE,IF(input_enews_announcement_type="",FALSE,SUMPRODUCT(--ISNUMBER(SEARCH(","&amp;TRIM(TEXTSPLIT(CA220,","))&amp;",",","&amp;SUBSTITUTE(input_enews_announcement_type," ","")&amp;",")))&gt;0)),IF(CC220="",TRUE,IF(input_enews_announcement_type="",FALSE,SUMPRODUCT(--ISNUMBER(SEARCH(","&amp;TRIM(TEXTSPLIT(CC220,","))&amp;",",","&amp;SUBSTITUTE(input_enews_announcement_type," ","")&amp;",")))=COUNTA(TEXTSPLIT(CC220,",")))))</f>
        <v/>
      </c>
      <c r="JA220">
        <f>AND(IF(CE220="",TRUE,IF(input_enews_audience="",FALSE,SUMPRODUCT(--ISNUMBER(SEARCH(","&amp;TRIM(TEXTSPLIT(CE220,","))&amp;",",","&amp;SUBSTITUTE(input_enews_audience," ","")&amp;",")))&gt;0)),IF(CG220="",TRUE,IF(input_enews_audience="",FALSE,SUMPRODUCT(--ISNUMBER(SEARCH(","&amp;TRIM(TEXTSPLIT(CG220,","))&amp;",",","&amp;SUBSTITUTE(input_enews_audience," ","")&amp;",")))=COUNTA(TEXTSPLIT(CG220,",")))),IF(CI220="",TRUE,IF(input_enews_audience="",TRUE,SUMPRODUCT(--ISNUMBER(SEARCH(","&amp;TRIM(TEXTSPLIT(CI220,","))&amp;",",","&amp;SUBSTITUTE(input_enews_audience," ","")&amp;",")))=0)),IF(CK220="",TRUE,IF(input_enews_audience="",FALSE,SUMPRODUCT(--ISNUMBER(SEARCH(","&amp;TRIM(TEXTSPLIT(CK220,","))&amp;",",","&amp;SUBSTITUTE(input_enews_audience," ","")&amp;",")))&gt;0)),IF(CM220="",TRUE,IF(input_enews_audience="",FALSE,SUMPRODUCT(--ISNUMBER(SEARCH(","&amp;TRIM(TEXTSPLIT(CM220,","))&amp;",",","&amp;SUBSTITUTE(input_enews_audience," ","")&amp;",")))=COUNTA(TEXTSPLIT(CM220,",")))))</f>
        <v/>
      </c>
      <c r="JB220">
        <f>AND(IF(CO220="",TRUE,IF(input_event_location="",FALSE,SUMPRODUCT(--ISNUMBER(SEARCH(","&amp;TRIM(TEXTSPLIT(CO220,","))&amp;",",","&amp;SUBSTITUTE(input_event_location," ","")&amp;",")))&gt;0)),IF(CQ220="",TRUE,IF(input_event_location="",FALSE,SUMPRODUCT(--ISNUMBER(SEARCH(","&amp;TRIM(TEXTSPLIT(CQ220,","))&amp;",",","&amp;SUBSTITUTE(input_event_location," ","")&amp;",")))=COUNTA(TEXTSPLIT(CQ220,",")))),IF(CS220="",TRUE,IF(input_event_location="",TRUE,SUMPRODUCT(--ISNUMBER(SEARCH(","&amp;TRIM(TEXTSPLIT(CS220,","))&amp;",",","&amp;SUBSTITUTE(input_event_location," ","")&amp;",")))=0)),IF(CU220="",TRUE,IF(input_event_location="",FALSE,SUMPRODUCT(--ISNUMBER(SEARCH(","&amp;TRIM(TEXTSPLIT(CU220,","))&amp;",",","&amp;SUBSTITUTE(input_event_location," ","")&amp;",")))&gt;0)),IF(CW220="",TRUE,IF(input_event_location="",FALSE,SUMPRODUCT(--ISNUMBER(SEARCH(","&amp;TRIM(TEXTSPLIT(CW220,","))&amp;",",","&amp;SUBSTITUTE(input_event_location," ","")&amp;",")))=COUNTA(TEXTSPLIT(CW220,",")))))</f>
        <v/>
      </c>
      <c r="JC220">
        <f>AND(IF(CY220="",TRUE,IF(input_event_type="",FALSE,SUMPRODUCT(--ISNUMBER(SEARCH(","&amp;TRIM(TEXTSPLIT(CY220,","))&amp;",",","&amp;SUBSTITUTE(input_event_type," ","")&amp;",")))&gt;0)),IF(DA220="",TRUE,IF(input_event_type="",FALSE,SUMPRODUCT(--ISNUMBER(SEARCH(","&amp;TRIM(TEXTSPLIT(DA220,","))&amp;",",","&amp;SUBSTITUTE(input_event_type," ","")&amp;",")))=COUNTA(TEXTSPLIT(DA220,",")))),IF(DC220="",TRUE,IF(input_event_type="",TRUE,SUMPRODUCT(--ISNUMBER(SEARCH(","&amp;TRIM(TEXTSPLIT(DC220,","))&amp;",",","&amp;SUBSTITUTE(input_event_type," ","")&amp;",")))=0)),IF(DE220="",TRUE,IF(input_event_type="",FALSE,SUMPRODUCT(--ISNUMBER(SEARCH(","&amp;TRIM(TEXTSPLIT(DE220,","))&amp;",",","&amp;SUBSTITUTE(input_event_type," ","")&amp;",")))&gt;0)),IF(DG220="",TRUE,IF(input_event_type="",FALSE,SUMPRODUCT(--ISNUMBER(SEARCH(","&amp;TRIM(TEXTSPLIT(DG220,","))&amp;",",","&amp;SUBSTITUTE(input_event_type," ","")&amp;",")))=COUNTA(TEXTSPLIT(DG220,",")))))</f>
        <v/>
      </c>
      <c r="JD220">
        <f>AND(IF(DI220="",TRUE,IF(input_executive_education_focus="",FALSE,SUMPRODUCT(--ISNUMBER(SEARCH(","&amp;TRIM(TEXTSPLIT(DI220,","))&amp;",",","&amp;SUBSTITUTE(input_executive_education_focus," ","")&amp;",")))&gt;0)),IF(DK220="",TRUE,IF(input_executive_education_focus="",FALSE,SUMPRODUCT(--ISNUMBER(SEARCH(","&amp;TRIM(TEXTSPLIT(DK220,","))&amp;",",","&amp;SUBSTITUTE(input_executive_education_focus," ","")&amp;",")))=COUNTA(TEXTSPLIT(DK220,",")))),IF(DM220="",TRUE,IF(input_executive_education_focus="",TRUE,SUMPRODUCT(--ISNUMBER(SEARCH(","&amp;TRIM(TEXTSPLIT(DM220,","))&amp;",",","&amp;SUBSTITUTE(input_executive_education_focus," ","")&amp;",")))=0)),IF(DO220="",TRUE,IF(input_executive_education_focus="",FALSE,SUMPRODUCT(--ISNUMBER(SEARCH(","&amp;TRIM(TEXTSPLIT(DO220,","))&amp;",",","&amp;SUBSTITUTE(input_executive_education_focus," ","")&amp;",")))&gt;0)),IF(DQ220="",TRUE,IF(input_executive_education_focus="",FALSE,SUMPRODUCT(--ISNUMBER(SEARCH(","&amp;TRIM(TEXTSPLIT(DQ220,","))&amp;",",","&amp;SUBSTITUTE(input_executive_education_focus," ","")&amp;",")))=COUNTA(TEXTSPLIT(DQ220,",")))))</f>
        <v/>
      </c>
      <c r="JE220">
        <f>AND(IF(DS220="",TRUE,IF(input_faculty_category="",FALSE,SUMPRODUCT(--ISNUMBER(SEARCH(","&amp;TRIM(TEXTSPLIT(DS220,","))&amp;",",","&amp;SUBSTITUTE(input_faculty_category," ","")&amp;",")))&gt;0)),IF(DU220="",TRUE,IF(input_faculty_category="",FALSE,SUMPRODUCT(--ISNUMBER(SEARCH(","&amp;TRIM(TEXTSPLIT(DU220,","))&amp;",",","&amp;SUBSTITUTE(input_faculty_category," ","")&amp;",")))=COUNTA(TEXTSPLIT(DU220,",")))),IF(DW220="",TRUE,IF(input_faculty_category="",TRUE,SUMPRODUCT(--ISNUMBER(SEARCH(","&amp;TRIM(TEXTSPLIT(DW220,","))&amp;",",","&amp;SUBSTITUTE(input_faculty_category," ","")&amp;",")))=0)),IF(DY220="",TRUE,IF(input_faculty_category="",FALSE,SUMPRODUCT(--ISNUMBER(SEARCH(","&amp;TRIM(TEXTSPLIT(DY220,","))&amp;",",","&amp;SUBSTITUTE(input_faculty_category," ","")&amp;",")))&gt;0)),IF(EA220="",TRUE,IF(input_faculty_category="",FALSE,SUMPRODUCT(--ISNUMBER(SEARCH(","&amp;TRIM(TEXTSPLIT(EA220,","))&amp;",",","&amp;SUBSTITUTE(input_faculty_category," ","")&amp;",")))=COUNTA(TEXTSPLIT(EA220,",")))))</f>
        <v/>
      </c>
      <c r="JF220">
        <f>AND(IF(EC220="",TRUE,IF(input_faculty_discipline="",FALSE,SUMPRODUCT(--ISNUMBER(SEARCH(","&amp;TRIM(TEXTSPLIT(EC220,","))&amp;",",","&amp;SUBSTITUTE(input_faculty_discipline," ","")&amp;",")))&gt;0)),IF(EE220="",TRUE,IF(input_faculty_discipline="",FALSE,SUMPRODUCT(--ISNUMBER(SEARCH(","&amp;TRIM(TEXTSPLIT(EE220,","))&amp;",",","&amp;SUBSTITUTE(input_faculty_discipline," ","")&amp;",")))=COUNTA(TEXTSPLIT(EE220,",")))),IF(EG220="",TRUE,IF(input_faculty_discipline="",TRUE,SUMPRODUCT(--ISNUMBER(SEARCH(","&amp;TRIM(TEXTSPLIT(EG220,","))&amp;",",","&amp;SUBSTITUTE(input_faculty_discipline," ","")&amp;",")))=0)),IF(EI220="",TRUE,IF(input_faculty_discipline="",FALSE,SUMPRODUCT(--ISNUMBER(SEARCH(","&amp;TRIM(TEXTSPLIT(EI220,","))&amp;",",","&amp;SUBSTITUTE(input_faculty_discipline," ","")&amp;",")))&gt;0)),IF(EK220="",TRUE,IF(input_faculty_discipline="",FALSE,SUMPRODUCT(--ISNUMBER(SEARCH(","&amp;TRIM(TEXTSPLIT(EK220,","))&amp;",",","&amp;SUBSTITUTE(input_faculty_discipline," ","")&amp;",")))=COUNTA(TEXTSPLIT(EK220,",")))))</f>
        <v/>
      </c>
      <c r="JG220">
        <f>AND(IF(EM220="",TRUE,IF(input_faculty_expertise="",FALSE,SUMPRODUCT(--ISNUMBER(SEARCH(","&amp;TRIM(TEXTSPLIT(EM220,","))&amp;",",","&amp;SUBSTITUTE(input_faculty_expertise," ","")&amp;",")))&gt;0)),IF(EO220="",TRUE,IF(input_faculty_expertise="",FALSE,SUMPRODUCT(--ISNUMBER(SEARCH(","&amp;TRIM(TEXTSPLIT(EO220,","))&amp;",",","&amp;SUBSTITUTE(input_faculty_expertise," ","")&amp;",")))=COUNTA(TEXTSPLIT(EO220,",")))),IF(EQ220="",TRUE,IF(input_faculty_expertise="",TRUE,SUMPRODUCT(--ISNUMBER(SEARCH(","&amp;TRIM(TEXTSPLIT(EQ220,","))&amp;",",","&amp;SUBSTITUTE(input_faculty_expertise," ","")&amp;",")))=0)),IF(ES220="",TRUE,IF(input_faculty_expertise="",FALSE,SUMPRODUCT(--ISNUMBER(SEARCH(","&amp;TRIM(TEXTSPLIT(ES220,","))&amp;",",","&amp;SUBSTITUTE(input_faculty_expertise," ","")&amp;",")))&gt;0)),IF(EU220="",TRUE,IF(input_faculty_expertise="",FALSE,SUMPRODUCT(--ISNUMBER(SEARCH(","&amp;TRIM(TEXTSPLIT(EU220,","))&amp;",",","&amp;SUBSTITUTE(input_faculty_expertise," ","")&amp;",")))=COUNTA(TEXTSPLIT(EU220,",")))))</f>
        <v/>
      </c>
      <c r="JH220">
        <f>AND(IF(EW220="",TRUE,IF(input_global_network_school="",FALSE,SUMPRODUCT(--ISNUMBER(SEARCH(","&amp;TRIM(TEXTSPLIT(EW220,","))&amp;",",","&amp;SUBSTITUTE(input_global_network_school," ","")&amp;",")))&gt;0)),IF(EY220="",TRUE,IF(input_global_network_school="",FALSE,SUMPRODUCT(--ISNUMBER(SEARCH(","&amp;TRIM(TEXTSPLIT(EY220,","))&amp;",",","&amp;SUBSTITUTE(input_global_network_school," ","")&amp;",")))=COUNTA(TEXTSPLIT(EY220,",")))),IF(FA220="",TRUE,IF(input_global_network_school="",TRUE,SUMPRODUCT(--ISNUMBER(SEARCH(","&amp;TRIM(TEXTSPLIT(FA220,","))&amp;",",","&amp;SUBSTITUTE(input_global_network_school," ","")&amp;",")))=0)),IF(FC220="",TRUE,IF(input_global_network_school="",FALSE,SUMPRODUCT(--ISNUMBER(SEARCH(","&amp;TRIM(TEXTSPLIT(FC220,","))&amp;",",","&amp;SUBSTITUTE(input_global_network_school," ","")&amp;",")))&gt;0)),IF(FE220="",TRUE,IF(input_global_network_school="",FALSE,SUMPRODUCT(--ISNUMBER(SEARCH(","&amp;TRIM(TEXTSPLIT(FE220,","))&amp;",",","&amp;SUBSTITUTE(input_global_network_school," ","")&amp;",")))=COUNTA(TEXTSPLIT(FE220,",")))))</f>
        <v/>
      </c>
      <c r="JI220">
        <f>AND(IF(FG220="",TRUE,IF(input_industry="",FALSE,SUMPRODUCT(--ISNUMBER(SEARCH(","&amp;TRIM(TEXTSPLIT(FG220,","))&amp;",",","&amp;SUBSTITUTE(input_industry," ","")&amp;",")))&gt;0)),IF(FI220="",TRUE,IF(input_industry="",FALSE,SUMPRODUCT(--ISNUMBER(SEARCH(","&amp;TRIM(TEXTSPLIT(FI220,","))&amp;",",","&amp;SUBSTITUTE(input_industry," ","")&amp;",")))=COUNTA(TEXTSPLIT(FI220,",")))),IF(FK220="",TRUE,IF(input_industry="",TRUE,SUMPRODUCT(--ISNUMBER(SEARCH(","&amp;TRIM(TEXTSPLIT(FK220,","))&amp;",",","&amp;SUBSTITUTE(input_industry," ","")&amp;",")))=0)),IF(FM220="",TRUE,IF(input_industry="",FALSE,SUMPRODUCT(--ISNUMBER(SEARCH(","&amp;TRIM(TEXTSPLIT(FM220,","))&amp;",",","&amp;SUBSTITUTE(input_industry," ","")&amp;",")))&gt;0)),IF(FO220="",TRUE,IF(input_industry="",FALSE,SUMPRODUCT(--ISNUMBER(SEARCH(","&amp;TRIM(TEXTSPLIT(FO220,","))&amp;",",","&amp;SUBSTITUTE(input_industry," ","")&amp;",")))=COUNTA(TEXTSPLIT(FO220,",")))))</f>
        <v/>
      </c>
      <c r="JJ220">
        <f>AND(IF(FQ220="",TRUE,IF(input_location="",FALSE,SUMPRODUCT(--ISNUMBER(SEARCH(","&amp;TRIM(TEXTSPLIT(FQ220,","))&amp;",",","&amp;SUBSTITUTE(input_location," ","")&amp;",")))&gt;0)),IF(FS220="",TRUE,IF(input_location="",FALSE,SUMPRODUCT(--ISNUMBER(SEARCH(","&amp;TRIM(TEXTSPLIT(FS220,","))&amp;",",","&amp;SUBSTITUTE(input_location," ","")&amp;",")))=COUNTA(TEXTSPLIT(FS220,",")))),IF(FU220="",TRUE,IF(input_location="",TRUE,SUMPRODUCT(--ISNUMBER(SEARCH(","&amp;TRIM(TEXTSPLIT(FU220,","))&amp;",",","&amp;SUBSTITUTE(input_location," ","")&amp;",")))=0)),IF(FW220="",TRUE,IF(input_location="",FALSE,SUMPRODUCT(--ISNUMBER(SEARCH(","&amp;TRIM(TEXTSPLIT(FW220,","))&amp;",",","&amp;SUBSTITUTE(input_location," ","")&amp;",")))&gt;0)),IF(FY220="",TRUE,IF(input_location="",FALSE,SUMPRODUCT(--ISNUMBER(SEARCH(","&amp;TRIM(TEXTSPLIT(FY220,","))&amp;",",","&amp;SUBSTITUTE(input_location," ","")&amp;",")))=COUNTA(TEXTSPLIT(FY220,",")))))</f>
        <v/>
      </c>
      <c r="JK220">
        <f>AND(IF(GA220="",TRUE,IF(input_modality="",FALSE,SUMPRODUCT(--ISNUMBER(SEARCH(","&amp;TRIM(TEXTSPLIT(GA220,","))&amp;",",","&amp;SUBSTITUTE(input_modality," ","")&amp;",")))&gt;0)),IF(GC220="",TRUE,IF(input_modality="",FALSE,SUMPRODUCT(--ISNUMBER(SEARCH(","&amp;TRIM(TEXTSPLIT(GC220,","))&amp;",",","&amp;SUBSTITUTE(input_modality," ","")&amp;",")))=COUNTA(TEXTSPLIT(GC220,",")))),IF(GE220="",TRUE,IF(input_modality="",TRUE,SUMPRODUCT(--ISNUMBER(SEARCH(","&amp;TRIM(TEXTSPLIT(GE220,","))&amp;",",","&amp;SUBSTITUTE(input_modality," ","")&amp;",")))=0)),IF(GG220="",TRUE,IF(input_modality="",FALSE,SUMPRODUCT(--ISNUMBER(SEARCH(","&amp;TRIM(TEXTSPLIT(GG220,","))&amp;",",","&amp;SUBSTITUTE(input_modality," ","")&amp;",")))&gt;0)),IF(GI220="",TRUE,IF(input_modality="",FALSE,SUMPRODUCT(--ISNUMBER(SEARCH(","&amp;TRIM(TEXTSPLIT(GI220,","))&amp;",",","&amp;SUBSTITUTE(input_modality," ","")&amp;",")))=COUNTA(TEXTSPLIT(GI220,",")))))</f>
        <v/>
      </c>
      <c r="JL220">
        <f>AND(IF(GK220="",TRUE,IF(input_organizer="",FALSE,SUMPRODUCT(--ISNUMBER(SEARCH(","&amp;TRIM(TEXTSPLIT(GK220,","))&amp;",",","&amp;SUBSTITUTE(input_organizer," ","")&amp;",")))&gt;0)),IF(GM220="",TRUE,IF(input_organizer="",FALSE,SUMPRODUCT(--ISNUMBER(SEARCH(","&amp;TRIM(TEXTSPLIT(GM220,","))&amp;",",","&amp;SUBSTITUTE(input_organizer," ","")&amp;",")))=COUNTA(TEXTSPLIT(GM220,",")))),IF(GO220="",TRUE,IF(input_organizer="",TRUE,SUMPRODUCT(--ISNUMBER(SEARCH(","&amp;TRIM(TEXTSPLIT(GO220,","))&amp;",",","&amp;SUBSTITUTE(input_organizer," ","")&amp;",")))=0)),IF(GQ220="",TRUE,IF(input_organizer="",FALSE,SUMPRODUCT(--ISNUMBER(SEARCH(","&amp;TRIM(TEXTSPLIT(GQ220,","))&amp;",",","&amp;SUBSTITUTE(input_organizer," ","")&amp;",")))&gt;0)),IF(GS220="",TRUE,IF(input_organizer="",FALSE,SUMPRODUCT(--ISNUMBER(SEARCH(","&amp;TRIM(TEXTSPLIT(GS220,","))&amp;",",","&amp;SUBSTITUTE(input_organizer," ","")&amp;",")))=COUNTA(TEXTSPLIT(GS220,",")))))</f>
        <v/>
      </c>
      <c r="JM220">
        <f>AND(IF(GU220="",TRUE,IF(input_profile_type="",FALSE,SUMPRODUCT(--ISNUMBER(SEARCH(","&amp;TRIM(TEXTSPLIT(GU220,","))&amp;",",","&amp;SUBSTITUTE(input_profile_type," ","")&amp;",")))&gt;0)),IF(GW220="",TRUE,IF(input_profile_type="",FALSE,SUMPRODUCT(--ISNUMBER(SEARCH(","&amp;TRIM(TEXTSPLIT(GW220,","))&amp;",",","&amp;SUBSTITUTE(input_profile_type," ","")&amp;",")))=COUNTA(TEXTSPLIT(GW220,",")))),IF(GY220="",TRUE,IF(input_profile_type="",TRUE,SUMPRODUCT(--ISNUMBER(SEARCH(","&amp;TRIM(TEXTSPLIT(GY220,","))&amp;",",","&amp;SUBSTITUTE(input_profile_type," ","")&amp;",")))=0)),IF(HA220="",TRUE,IF(input_profile_type="",FALSE,SUMPRODUCT(--ISNUMBER(SEARCH(","&amp;TRIM(TEXTSPLIT(HA220,","))&amp;",",","&amp;SUBSTITUTE(input_profile_type," ","")&amp;",")))&gt;0)),IF(HC220="",TRUE,IF(input_profile_type="",FALSE,SUMPRODUCT(--ISNUMBER(SEARCH(","&amp;TRIM(TEXTSPLIT(HC220,","))&amp;",",","&amp;SUBSTITUTE(input_profile_type," ","")&amp;",")))=COUNTA(TEXTSPLIT(HC220,",")))))</f>
        <v/>
      </c>
      <c r="JN220">
        <f>AND(IF(HE220="",TRUE,IF(input_program="",FALSE,SUMPRODUCT(--ISNUMBER(SEARCH(","&amp;TRIM(TEXTSPLIT(HE220,","))&amp;",",","&amp;SUBSTITUTE(input_program," ","")&amp;",")))&gt;0)),IF(HG220="",TRUE,IF(input_program="",FALSE,SUMPRODUCT(--ISNUMBER(SEARCH(","&amp;TRIM(TEXTSPLIT(HG220,","))&amp;",",","&amp;SUBSTITUTE(input_program," ","")&amp;",")))=COUNTA(TEXTSPLIT(HG220,",")))),IF(HI220="",TRUE,IF(input_program="",TRUE,SUMPRODUCT(--ISNUMBER(SEARCH(","&amp;TRIM(TEXTSPLIT(HI220,","))&amp;",",","&amp;SUBSTITUTE(input_program," ","")&amp;",")))=0)),IF(HK220="",TRUE,IF(input_program="",FALSE,SUMPRODUCT(--ISNUMBER(SEARCH(","&amp;TRIM(TEXTSPLIT(HK220,","))&amp;",",","&amp;SUBSTITUTE(input_program," ","")&amp;",")))&gt;0)),IF(HM220="",TRUE,IF(input_program="",FALSE,SUMPRODUCT(--ISNUMBER(SEARCH(","&amp;TRIM(TEXTSPLIT(HM220,","))&amp;",",","&amp;SUBSTITUTE(input_program," ","")&amp;",")))=COUNTA(TEXTSPLIT(HM220,",")))))</f>
        <v/>
      </c>
      <c r="JO220">
        <f>AND(IF(HO220="",TRUE,IF(input_story_categories="",FALSE,SUMPRODUCT(--ISNUMBER(SEARCH(","&amp;TRIM(TEXTSPLIT(HO220,","))&amp;",",","&amp;SUBSTITUTE(input_story_categories," ","")&amp;",")))&gt;0)),IF(HQ220="",TRUE,IF(input_story_categories="",FALSE,SUMPRODUCT(--ISNUMBER(SEARCH(","&amp;TRIM(TEXTSPLIT(HQ220,","))&amp;",",","&amp;SUBSTITUTE(input_story_categories," ","")&amp;",")))=COUNTA(TEXTSPLIT(HQ220,",")))),IF(HS220="",TRUE,IF(input_story_categories="",TRUE,SUMPRODUCT(--ISNUMBER(SEARCH(","&amp;TRIM(TEXTSPLIT(HS220,","))&amp;",",","&amp;SUBSTITUTE(input_story_categories," ","")&amp;",")))=0)),IF(HU220="",TRUE,IF(input_story_categories="",FALSE,SUMPRODUCT(--ISNUMBER(SEARCH(","&amp;TRIM(TEXTSPLIT(HU220,","))&amp;",",","&amp;SUBSTITUTE(input_story_categories," ","")&amp;",")))&gt;0)),IF(HW220="",TRUE,IF(input_story_categories="",FALSE,SUMPRODUCT(--ISNUMBER(SEARCH(","&amp;TRIM(TEXTSPLIT(HW220,","))&amp;",",","&amp;SUBSTITUTE(input_story_categories," ","")&amp;",")))=COUNTA(TEXTSPLIT(HW220,",")))))</f>
        <v/>
      </c>
      <c r="JP220">
        <f>AND(IF(HY220="",TRUE,IF(input_story_type="",FALSE,SUMPRODUCT(--ISNUMBER(SEARCH(","&amp;TRIM(TEXTSPLIT(HY220,","))&amp;",",","&amp;SUBSTITUTE(input_story_type," ","")&amp;",")))&gt;0)),IF(IA220="",TRUE,IF(input_story_type="",FALSE,SUMPRODUCT(--ISNUMBER(SEARCH(","&amp;TRIM(TEXTSPLIT(IA220,","))&amp;",",","&amp;SUBSTITUTE(input_story_type," ","")&amp;",")))=COUNTA(TEXTSPLIT(IA220,",")))),IF(IC220="",TRUE,IF(input_story_type="",TRUE,SUMPRODUCT(--ISNUMBER(SEARCH(","&amp;TRIM(TEXTSPLIT(IC220,","))&amp;",",","&amp;SUBSTITUTE(input_story_type," ","")&amp;",")))=0)),IF(IE220="",TRUE,IF(input_story_type="",FALSE,SUMPRODUCT(--ISNUMBER(SEARCH(","&amp;TRIM(TEXTSPLIT(IE220,","))&amp;",",","&amp;SUBSTITUTE(input_story_type," ","")&amp;",")))&gt;0)),IF(IG220="",TRUE,IF(input_story_type="",FALSE,SUMPRODUCT(--ISNUMBER(SEARCH(","&amp;TRIM(TEXTSPLIT(IG220,","))&amp;",",","&amp;SUBSTITUTE(input_story_type," ","")&amp;",")))=COUNTA(TEXTSPLIT(IG220,",")))))</f>
        <v/>
      </c>
      <c r="JQ220">
        <f>AND(IF(II220="",TRUE,IF(input_topics="",FALSE,SUMPRODUCT(--ISNUMBER(SEARCH(","&amp;TRIM(TEXTSPLIT(II220,","))&amp;",",","&amp;SUBSTITUTE(input_topics," ","")&amp;",")))&gt;0)),IF(IK220="",TRUE,IF(input_topics="",FALSE,SUMPRODUCT(--ISNUMBER(SEARCH(","&amp;TRIM(TEXTSPLIT(IK220,","))&amp;",",","&amp;SUBSTITUTE(input_topics," ","")&amp;",")))=COUNTA(TEXTSPLIT(IK220,",")))),IF(IM220="",TRUE,IF(input_topics="",TRUE,SUMPRODUCT(--ISNUMBER(SEARCH(","&amp;TRIM(TEXTSPLIT(IM220,","))&amp;",",","&amp;SUBSTITUTE(input_topics," ","")&amp;",")))=0)),IF(IO220="",TRUE,IF(input_topics="",FALSE,SUMPRODUCT(--ISNUMBER(SEARCH(","&amp;TRIM(TEXTSPLIT(IO220,","))&amp;",",","&amp;SUBSTITUTE(input_topics," ","")&amp;",")))&gt;0)),IF(IQ220="",TRUE,IF(input_topics="",FALSE,SUMPRODUCT(--ISNUMBER(SEARCH(","&amp;TRIM(TEXTSPLIT(IQ220,","))&amp;",",","&amp;SUBSTITUTE(input_topics," ","")&amp;",")))=COUNTA(TEXTSPLIT(IQ220,",")))))</f>
        <v/>
      </c>
    </row>
    <row r="221">
      <c r="A221" s="4">
        <f>IF(NOT(IS221),"Excluded",IF(AND(IT221,IU221,IV221,IW221,IX221,IY221,IZ221,JA221,JB221,JC221,JD221,JE221,JF221,JG221,JH221,JI221,JJ221,JK221,JL221,JM221,JN221,JO221,JP221,JQ221),IF(I221&gt;0,"Eligible but limited","Will appear"),"Excluded"))</f>
        <v/>
      </c>
      <c r="B221" s="4" t="inlineStr">
        <is>
          <t>Related stories on story pages</t>
        </is>
      </c>
      <c r="C221" s="4" t="inlineStr">
        <is>
          <t>/story/2026/event-dispatch-learning-self-defense-skills</t>
        </is>
      </c>
      <c r="D221" s="4" t="inlineStr">
        <is>
          <t>/story/2026/event-dispatch-learning-self-defense-skills
/story/2026/event-dispatch-ringing-lunar-new-year</t>
        </is>
      </c>
      <c r="E221" s="4" t="n">
        <v>2</v>
      </c>
      <c r="F221" s="4" t="inlineStr">
        <is>
          <t>story</t>
        </is>
      </c>
      <c r="G221" s="4" t="inlineStr">
        <is>
          <t>stories_teaser_cards</t>
        </is>
      </c>
      <c r="H221" s="4" t="inlineStr">
        <is>
          <t>embed_all</t>
        </is>
      </c>
      <c r="I221" s="4" t="n">
        <v>3</v>
      </c>
      <c r="J221" s="4" t="inlineStr">
        <is>
          <t>Template logic</t>
        </is>
      </c>
      <c r="K221" s="4" t="inlineStr">
        <is>
          <t>Grouped surface</t>
        </is>
      </c>
      <c r="L221" s="4" t="inlineStr">
        <is>
          <t>Content type: story; Context uses Courses Context: Clubs (1619); Context uses Story Type: Blog (974); Limited to 3 item(s); Source: Template logic</t>
        </is>
      </c>
      <c r="M221" t="inlineStr"/>
      <c r="N221" t="inlineStr"/>
      <c r="O221" t="inlineStr"/>
      <c r="P221" t="inlineStr"/>
      <c r="Q221" t="inlineStr"/>
      <c r="R221" t="inlineStr"/>
      <c r="S221" t="inlineStr"/>
      <c r="T221" t="inlineStr"/>
      <c r="U221" t="inlineStr"/>
      <c r="V221" t="inlineStr"/>
      <c r="W221" t="inlineStr"/>
      <c r="X221" t="inlineStr"/>
      <c r="Y221" t="inlineStr"/>
      <c r="Z221" t="inlineStr"/>
      <c r="AA221" t="inlineStr"/>
      <c r="AB221" t="inlineStr"/>
      <c r="AC221" t="inlineStr"/>
      <c r="AD221" t="inlineStr"/>
      <c r="AE221" t="inlineStr"/>
      <c r="AF221" t="inlineStr"/>
      <c r="AG221" t="inlineStr"/>
      <c r="AH221" t="inlineStr"/>
      <c r="AI221" t="inlineStr"/>
      <c r="AJ221" t="inlineStr"/>
      <c r="AK221" t="inlineStr"/>
      <c r="AL221" t="inlineStr"/>
      <c r="AM221" t="inlineStr"/>
      <c r="AN221" t="inlineStr"/>
      <c r="AO221" t="inlineStr"/>
      <c r="AP221" t="inlineStr"/>
      <c r="AQ221" t="inlineStr"/>
      <c r="AR221" t="inlineStr"/>
      <c r="AS221" t="inlineStr"/>
      <c r="AT221" t="inlineStr"/>
      <c r="AU221" t="inlineStr"/>
      <c r="AV221" t="inlineStr"/>
      <c r="AW221" t="inlineStr"/>
      <c r="AX221" t="inlineStr"/>
      <c r="AY221" t="inlineStr"/>
      <c r="AZ221" t="inlineStr"/>
      <c r="BA221" t="inlineStr"/>
      <c r="BB221" t="inlineStr"/>
      <c r="BC221" t="inlineStr"/>
      <c r="BD221" t="inlineStr"/>
      <c r="BE221" t="inlineStr"/>
      <c r="BF221" t="inlineStr"/>
      <c r="BG221" t="inlineStr"/>
      <c r="BH221" t="inlineStr"/>
      <c r="BI221" t="inlineStr"/>
      <c r="BJ221" t="inlineStr"/>
      <c r="BK221" t="inlineStr"/>
      <c r="BL221" t="inlineStr"/>
      <c r="BM221" t="inlineStr"/>
      <c r="BN221" t="inlineStr"/>
      <c r="BO221" t="inlineStr"/>
      <c r="BP221" t="inlineStr"/>
      <c r="BQ221" t="inlineStr">
        <is>
          <t>1619</t>
        </is>
      </c>
      <c r="BR221" t="inlineStr">
        <is>
          <t>Clubs (1619)</t>
        </is>
      </c>
      <c r="BS221" t="inlineStr"/>
      <c r="BT221" t="inlineStr"/>
      <c r="BU221" t="inlineStr"/>
      <c r="BV221" t="inlineStr"/>
      <c r="BW221" t="inlineStr"/>
      <c r="BX221" t="inlineStr"/>
      <c r="BY221" t="inlineStr"/>
      <c r="BZ221" t="inlineStr"/>
      <c r="CA221" t="inlineStr"/>
      <c r="CB221" t="inlineStr"/>
      <c r="CC221" t="inlineStr"/>
      <c r="CD221" t="inlineStr"/>
      <c r="CE221" t="inlineStr"/>
      <c r="CF221" t="inlineStr"/>
      <c r="CG221" t="inlineStr"/>
      <c r="CH221" t="inlineStr"/>
      <c r="CI221" t="inlineStr"/>
      <c r="CJ221" t="inlineStr"/>
      <c r="CK221" t="inlineStr"/>
      <c r="CL221" t="inlineStr"/>
      <c r="CM221" t="inlineStr"/>
      <c r="CN221" t="inlineStr"/>
      <c r="CO221" t="inlineStr"/>
      <c r="CP221" t="inlineStr"/>
      <c r="CQ221" t="inlineStr"/>
      <c r="CR221" t="inlineStr"/>
      <c r="CS221" t="inlineStr"/>
      <c r="CT221" t="inlineStr"/>
      <c r="CU221" t="inlineStr"/>
      <c r="CV221" t="inlineStr"/>
      <c r="CW221" t="inlineStr"/>
      <c r="CX221" t="inlineStr"/>
      <c r="CY221" t="inlineStr"/>
      <c r="CZ221" t="inlineStr"/>
      <c r="DA221" t="inlineStr"/>
      <c r="DB221" t="inlineStr"/>
      <c r="DC221" t="inlineStr"/>
      <c r="DD221" t="inlineStr"/>
      <c r="DE221" t="inlineStr"/>
      <c r="DF221" t="inlineStr"/>
      <c r="DG221" t="inlineStr"/>
      <c r="DH221" t="inlineStr"/>
      <c r="DI221" t="inlineStr"/>
      <c r="DJ221" t="inlineStr"/>
      <c r="DK221" t="inlineStr"/>
      <c r="DL221" t="inlineStr"/>
      <c r="DM221" t="inlineStr"/>
      <c r="DN221" t="inlineStr"/>
      <c r="DO221" t="inlineStr"/>
      <c r="DP221" t="inlineStr"/>
      <c r="DQ221" t="inlineStr"/>
      <c r="DR221" t="inlineStr"/>
      <c r="DS221" t="inlineStr"/>
      <c r="DT221" t="inlineStr"/>
      <c r="DU221" t="inlineStr"/>
      <c r="DV221" t="inlineStr"/>
      <c r="DW221" t="inlineStr"/>
      <c r="DX221" t="inlineStr"/>
      <c r="DY221" t="inlineStr"/>
      <c r="DZ221" t="inlineStr"/>
      <c r="EA221" t="inlineStr"/>
      <c r="EB221" t="inlineStr"/>
      <c r="EC221" t="inlineStr"/>
      <c r="ED221" t="inlineStr"/>
      <c r="EE221" t="inlineStr"/>
      <c r="EF221" t="inlineStr"/>
      <c r="EG221" t="inlineStr"/>
      <c r="EH221" t="inlineStr"/>
      <c r="EI221" t="inlineStr"/>
      <c r="EJ221" t="inlineStr"/>
      <c r="EK221" t="inlineStr"/>
      <c r="EL221" t="inlineStr"/>
      <c r="EM221" t="inlineStr"/>
      <c r="EN221" t="inlineStr"/>
      <c r="EO221" t="inlineStr"/>
      <c r="EP221" t="inlineStr"/>
      <c r="EQ221" t="inlineStr"/>
      <c r="ER221" t="inlineStr"/>
      <c r="ES221" t="inlineStr"/>
      <c r="ET221" t="inlineStr"/>
      <c r="EU221" t="inlineStr"/>
      <c r="EV221" t="inlineStr"/>
      <c r="EW221" t="inlineStr"/>
      <c r="EX221" t="inlineStr"/>
      <c r="EY221" t="inlineStr"/>
      <c r="EZ221" t="inlineStr"/>
      <c r="FA221" t="inlineStr"/>
      <c r="FB221" t="inlineStr"/>
      <c r="FC221" t="inlineStr"/>
      <c r="FD221" t="inlineStr"/>
      <c r="FE221" t="inlineStr"/>
      <c r="FF221" t="inlineStr"/>
      <c r="FG221" t="inlineStr"/>
      <c r="FH221" t="inlineStr"/>
      <c r="FI221" t="inlineStr"/>
      <c r="FJ221" t="inlineStr"/>
      <c r="FK221" t="inlineStr"/>
      <c r="FL221" t="inlineStr"/>
      <c r="FM221" t="inlineStr"/>
      <c r="FN221" t="inlineStr"/>
      <c r="FO221" t="inlineStr"/>
      <c r="FP221" t="inlineStr"/>
      <c r="FQ221" t="inlineStr"/>
      <c r="FR221" t="inlineStr"/>
      <c r="FS221" t="inlineStr"/>
      <c r="FT221" t="inlineStr"/>
      <c r="FU221" t="inlineStr"/>
      <c r="FV221" t="inlineStr"/>
      <c r="FW221" t="inlineStr"/>
      <c r="FX221" t="inlineStr"/>
      <c r="FY221" t="inlineStr"/>
      <c r="FZ221" t="inlineStr"/>
      <c r="GA221" t="inlineStr"/>
      <c r="GB221" t="inlineStr"/>
      <c r="GC221" t="inlineStr"/>
      <c r="GD221" t="inlineStr"/>
      <c r="GE221" t="inlineStr"/>
      <c r="GF221" t="inlineStr"/>
      <c r="GG221" t="inlineStr"/>
      <c r="GH221" t="inlineStr"/>
      <c r="GI221" t="inlineStr"/>
      <c r="GJ221" t="inlineStr"/>
      <c r="GK221" t="inlineStr"/>
      <c r="GL221" t="inlineStr"/>
      <c r="GM221" t="inlineStr"/>
      <c r="GN221" t="inlineStr"/>
      <c r="GO221" t="inlineStr"/>
      <c r="GP221" t="inlineStr"/>
      <c r="GQ221" t="inlineStr"/>
      <c r="GR221" t="inlineStr"/>
      <c r="GS221" t="inlineStr"/>
      <c r="GT221" t="inlineStr"/>
      <c r="GU221" t="inlineStr"/>
      <c r="GV221" t="inlineStr"/>
      <c r="GW221" t="inlineStr"/>
      <c r="GX221" t="inlineStr"/>
      <c r="GY221" t="inlineStr"/>
      <c r="GZ221" t="inlineStr"/>
      <c r="HA221" t="inlineStr"/>
      <c r="HB221" t="inlineStr"/>
      <c r="HC221" t="inlineStr"/>
      <c r="HD221" t="inlineStr"/>
      <c r="HE221" t="inlineStr"/>
      <c r="HF221" t="inlineStr"/>
      <c r="HG221" t="inlineStr"/>
      <c r="HH221" t="inlineStr"/>
      <c r="HI221" t="inlineStr"/>
      <c r="HJ221" t="inlineStr"/>
      <c r="HK221" t="inlineStr"/>
      <c r="HL221" t="inlineStr"/>
      <c r="HM221" t="inlineStr"/>
      <c r="HN221" t="inlineStr"/>
      <c r="HO221" t="inlineStr"/>
      <c r="HP221" t="inlineStr"/>
      <c r="HQ221" t="inlineStr"/>
      <c r="HR221" t="inlineStr"/>
      <c r="HS221" t="inlineStr"/>
      <c r="HT221" t="inlineStr"/>
      <c r="HU221" t="inlineStr"/>
      <c r="HV221" t="inlineStr"/>
      <c r="HW221" t="inlineStr"/>
      <c r="HX221" t="inlineStr"/>
      <c r="HY221" t="inlineStr"/>
      <c r="HZ221" t="inlineStr"/>
      <c r="IA221" t="inlineStr"/>
      <c r="IB221" t="inlineStr"/>
      <c r="IC221" t="inlineStr"/>
      <c r="ID221" t="inlineStr"/>
      <c r="IE221" t="inlineStr">
        <is>
          <t>974</t>
        </is>
      </c>
      <c r="IF221" t="inlineStr">
        <is>
          <t>Blog (974)</t>
        </is>
      </c>
      <c r="IG221" t="inlineStr"/>
      <c r="IH221" t="inlineStr"/>
      <c r="II221" t="inlineStr"/>
      <c r="IJ221" t="inlineStr"/>
      <c r="IK221" t="inlineStr"/>
      <c r="IL221" t="inlineStr"/>
      <c r="IM221" t="inlineStr"/>
      <c r="IN221" t="inlineStr"/>
      <c r="IO221" t="inlineStr"/>
      <c r="IP221" t="inlineStr"/>
      <c r="IQ221" t="inlineStr"/>
      <c r="IR221" t="inlineStr"/>
      <c r="IS221">
        <f>IF(input_content_type="",FALSE,ISNUMBER(SEARCH(","&amp;LOWER(input_content_type)&amp;",",","&amp;LOWER(F221)&amp;",")))</f>
        <v/>
      </c>
      <c r="IT221">
        <f>AND(IF(M221="",TRUE,IF(input_affiliations="",FALSE,SUMPRODUCT(--ISNUMBER(SEARCH(","&amp;TRIM(TEXTSPLIT(M221,","))&amp;",",","&amp;SUBSTITUTE(input_affiliations," ","")&amp;",")))&gt;0)),IF(O221="",TRUE,IF(input_affiliations="",FALSE,SUMPRODUCT(--ISNUMBER(SEARCH(","&amp;TRIM(TEXTSPLIT(O221,","))&amp;",",","&amp;SUBSTITUTE(input_affiliations," ","")&amp;",")))=COUNTA(TEXTSPLIT(O221,",")))),IF(Q221="",TRUE,IF(input_affiliations="",TRUE,SUMPRODUCT(--ISNUMBER(SEARCH(","&amp;TRIM(TEXTSPLIT(Q221,","))&amp;",",","&amp;SUBSTITUTE(input_affiliations," ","")&amp;",")))=0)),IF(S221="",TRUE,IF(input_affiliations="",FALSE,SUMPRODUCT(--ISNUMBER(SEARCH(","&amp;TRIM(TEXTSPLIT(S221,","))&amp;",",","&amp;SUBSTITUTE(input_affiliations," ","")&amp;",")))&gt;0)),IF(U221="",TRUE,IF(input_affiliations="",FALSE,SUMPRODUCT(--ISNUMBER(SEARCH(","&amp;TRIM(TEXTSPLIT(U221,","))&amp;",",","&amp;SUBSTITUTE(input_affiliations," ","")&amp;",")))=COUNTA(TEXTSPLIT(U221,",")))))</f>
        <v/>
      </c>
      <c r="IU221">
        <f>AND(IF(W221="",TRUE,IF(input_announcement_category="",FALSE,SUMPRODUCT(--ISNUMBER(SEARCH(","&amp;TRIM(TEXTSPLIT(W221,","))&amp;",",","&amp;SUBSTITUTE(input_announcement_category," ","")&amp;",")))&gt;0)),IF(Y221="",TRUE,IF(input_announcement_category="",FALSE,SUMPRODUCT(--ISNUMBER(SEARCH(","&amp;TRIM(TEXTSPLIT(Y221,","))&amp;",",","&amp;SUBSTITUTE(input_announcement_category," ","")&amp;",")))=COUNTA(TEXTSPLIT(Y221,",")))),IF(AA221="",TRUE,IF(input_announcement_category="",TRUE,SUMPRODUCT(--ISNUMBER(SEARCH(","&amp;TRIM(TEXTSPLIT(AA221,","))&amp;",",","&amp;SUBSTITUTE(input_announcement_category," ","")&amp;",")))=0)),IF(AC221="",TRUE,IF(input_announcement_category="",FALSE,SUMPRODUCT(--ISNUMBER(SEARCH(","&amp;TRIM(TEXTSPLIT(AC221,","))&amp;",",","&amp;SUBSTITUTE(input_announcement_category," ","")&amp;",")))&gt;0)),IF(AE221="",TRUE,IF(input_announcement_category="",FALSE,SUMPRODUCT(--ISNUMBER(SEARCH(","&amp;TRIM(TEXTSPLIT(AE221,","))&amp;",",","&amp;SUBSTITUTE(input_announcement_category," ","")&amp;",")))=COUNTA(TEXTSPLIT(AE221,",")))))</f>
        <v/>
      </c>
      <c r="IV221">
        <f>AND(IF(AG221="",TRUE,IF(input_area_of_focus="",FALSE,SUMPRODUCT(--ISNUMBER(SEARCH(","&amp;TRIM(TEXTSPLIT(AG221,","))&amp;",",","&amp;SUBSTITUTE(input_area_of_focus," ","")&amp;",")))&gt;0)),IF(AI221="",TRUE,IF(input_area_of_focus="",FALSE,SUMPRODUCT(--ISNUMBER(SEARCH(","&amp;TRIM(TEXTSPLIT(AI221,","))&amp;",",","&amp;SUBSTITUTE(input_area_of_focus," ","")&amp;",")))=COUNTA(TEXTSPLIT(AI221,",")))),IF(AK221="",TRUE,IF(input_area_of_focus="",TRUE,SUMPRODUCT(--ISNUMBER(SEARCH(","&amp;TRIM(TEXTSPLIT(AK221,","))&amp;",",","&amp;SUBSTITUTE(input_area_of_focus," ","")&amp;",")))=0)),IF(AM221="",TRUE,IF(input_area_of_focus="",FALSE,SUMPRODUCT(--ISNUMBER(SEARCH(","&amp;TRIM(TEXTSPLIT(AM221,","))&amp;",",","&amp;SUBSTITUTE(input_area_of_focus," ","")&amp;",")))&gt;0)),IF(AO221="",TRUE,IF(input_area_of_focus="",FALSE,SUMPRODUCT(--ISNUMBER(SEARCH(","&amp;TRIM(TEXTSPLIT(AO221,","))&amp;",",","&amp;SUBSTITUTE(input_area_of_focus," ","")&amp;",")))=COUNTA(TEXTSPLIT(AO221,",")))))</f>
        <v/>
      </c>
      <c r="IW221">
        <f>AND(IF(AQ221="",TRUE,IF(input_audience="",FALSE,SUMPRODUCT(--ISNUMBER(SEARCH(","&amp;TRIM(TEXTSPLIT(AQ221,","))&amp;",",","&amp;SUBSTITUTE(input_audience," ","")&amp;",")))&gt;0)),IF(AS221="",TRUE,IF(input_audience="",FALSE,SUMPRODUCT(--ISNUMBER(SEARCH(","&amp;TRIM(TEXTSPLIT(AS221,","))&amp;",",","&amp;SUBSTITUTE(input_audience," ","")&amp;",")))=COUNTA(TEXTSPLIT(AS221,",")))),IF(AU221="",TRUE,IF(input_audience="",TRUE,SUMPRODUCT(--ISNUMBER(SEARCH(","&amp;TRIM(TEXTSPLIT(AU221,","))&amp;",",","&amp;SUBSTITUTE(input_audience," ","")&amp;",")))=0)),IF(AW221="",TRUE,IF(input_audience="",FALSE,SUMPRODUCT(--ISNUMBER(SEARCH(","&amp;TRIM(TEXTSPLIT(AW221,","))&amp;",",","&amp;SUBSTITUTE(input_audience," ","")&amp;",")))&gt;0)),IF(AY221="",TRUE,IF(input_audience="",FALSE,SUMPRODUCT(--ISNUMBER(SEARCH(","&amp;TRIM(TEXTSPLIT(AY221,","))&amp;",",","&amp;SUBSTITUTE(input_audience," ","")&amp;",")))=COUNTA(TEXTSPLIT(AY221,",")))))</f>
        <v/>
      </c>
      <c r="IX221">
        <f>AND(IF(BA221="",TRUE,IF(input_challenge_opportunities="",FALSE,SUMPRODUCT(--ISNUMBER(SEARCH(","&amp;TRIM(TEXTSPLIT(BA221,","))&amp;",",","&amp;SUBSTITUTE(input_challenge_opportunities," ","")&amp;",")))&gt;0)),IF(BC221="",TRUE,IF(input_challenge_opportunities="",FALSE,SUMPRODUCT(--ISNUMBER(SEARCH(","&amp;TRIM(TEXTSPLIT(BC221,","))&amp;",",","&amp;SUBSTITUTE(input_challenge_opportunities," ","")&amp;",")))=COUNTA(TEXTSPLIT(BC221,",")))),IF(BE221="",TRUE,IF(input_challenge_opportunities="",TRUE,SUMPRODUCT(--ISNUMBER(SEARCH(","&amp;TRIM(TEXTSPLIT(BE221,","))&amp;",",","&amp;SUBSTITUTE(input_challenge_opportunities," ","")&amp;",")))=0)),IF(BG221="",TRUE,IF(input_challenge_opportunities="",FALSE,SUMPRODUCT(--ISNUMBER(SEARCH(","&amp;TRIM(TEXTSPLIT(BG221,","))&amp;",",","&amp;SUBSTITUTE(input_challenge_opportunities," ","")&amp;",")))&gt;0)),IF(BI221="",TRUE,IF(input_challenge_opportunities="",FALSE,SUMPRODUCT(--ISNUMBER(SEARCH(","&amp;TRIM(TEXTSPLIT(BI221,","))&amp;",",","&amp;SUBSTITUTE(input_challenge_opportunities," ","")&amp;",")))=COUNTA(TEXTSPLIT(BI221,",")))))</f>
        <v/>
      </c>
      <c r="IY221">
        <f>AND(IF(BK221="",TRUE,IF(input_context="",FALSE,SUMPRODUCT(--ISNUMBER(SEARCH(","&amp;TRIM(TEXTSPLIT(BK221,","))&amp;",",","&amp;SUBSTITUTE(input_context," ","")&amp;",")))&gt;0)),IF(BM221="",TRUE,IF(input_context="",FALSE,SUMPRODUCT(--ISNUMBER(SEARCH(","&amp;TRIM(TEXTSPLIT(BM221,","))&amp;",",","&amp;SUBSTITUTE(input_context," ","")&amp;",")))=COUNTA(TEXTSPLIT(BM221,",")))),IF(BO221="",TRUE,IF(input_context="",TRUE,SUMPRODUCT(--ISNUMBER(SEARCH(","&amp;TRIM(TEXTSPLIT(BO221,","))&amp;",",","&amp;SUBSTITUTE(input_context," ","")&amp;",")))=0)),IF(BQ221="",TRUE,IF(input_context="",FALSE,SUMPRODUCT(--ISNUMBER(SEARCH(","&amp;TRIM(TEXTSPLIT(BQ221,","))&amp;",",","&amp;SUBSTITUTE(input_context," ","")&amp;",")))&gt;0)),IF(BS221="",TRUE,IF(input_context="",FALSE,SUMPRODUCT(--ISNUMBER(SEARCH(","&amp;TRIM(TEXTSPLIT(BS221,","))&amp;",",","&amp;SUBSTITUTE(input_context," ","")&amp;",")))=COUNTA(TEXTSPLIT(BS221,",")))))</f>
        <v/>
      </c>
      <c r="IZ221">
        <f>AND(IF(BU221="",TRUE,IF(input_enews_announcement_type="",FALSE,SUMPRODUCT(--ISNUMBER(SEARCH(","&amp;TRIM(TEXTSPLIT(BU221,","))&amp;",",","&amp;SUBSTITUTE(input_enews_announcement_type," ","")&amp;",")))&gt;0)),IF(BW221="",TRUE,IF(input_enews_announcement_type="",FALSE,SUMPRODUCT(--ISNUMBER(SEARCH(","&amp;TRIM(TEXTSPLIT(BW221,","))&amp;",",","&amp;SUBSTITUTE(input_enews_announcement_type," ","")&amp;",")))=COUNTA(TEXTSPLIT(BW221,",")))),IF(BY221="",TRUE,IF(input_enews_announcement_type="",TRUE,SUMPRODUCT(--ISNUMBER(SEARCH(","&amp;TRIM(TEXTSPLIT(BY221,","))&amp;",",","&amp;SUBSTITUTE(input_enews_announcement_type," ","")&amp;",")))=0)),IF(CA221="",TRUE,IF(input_enews_announcement_type="",FALSE,SUMPRODUCT(--ISNUMBER(SEARCH(","&amp;TRIM(TEXTSPLIT(CA221,","))&amp;",",","&amp;SUBSTITUTE(input_enews_announcement_type," ","")&amp;",")))&gt;0)),IF(CC221="",TRUE,IF(input_enews_announcement_type="",FALSE,SUMPRODUCT(--ISNUMBER(SEARCH(","&amp;TRIM(TEXTSPLIT(CC221,","))&amp;",",","&amp;SUBSTITUTE(input_enews_announcement_type," ","")&amp;",")))=COUNTA(TEXTSPLIT(CC221,",")))))</f>
        <v/>
      </c>
      <c r="JA221">
        <f>AND(IF(CE221="",TRUE,IF(input_enews_audience="",FALSE,SUMPRODUCT(--ISNUMBER(SEARCH(","&amp;TRIM(TEXTSPLIT(CE221,","))&amp;",",","&amp;SUBSTITUTE(input_enews_audience," ","")&amp;",")))&gt;0)),IF(CG221="",TRUE,IF(input_enews_audience="",FALSE,SUMPRODUCT(--ISNUMBER(SEARCH(","&amp;TRIM(TEXTSPLIT(CG221,","))&amp;",",","&amp;SUBSTITUTE(input_enews_audience," ","")&amp;",")))=COUNTA(TEXTSPLIT(CG221,",")))),IF(CI221="",TRUE,IF(input_enews_audience="",TRUE,SUMPRODUCT(--ISNUMBER(SEARCH(","&amp;TRIM(TEXTSPLIT(CI221,","))&amp;",",","&amp;SUBSTITUTE(input_enews_audience," ","")&amp;",")))=0)),IF(CK221="",TRUE,IF(input_enews_audience="",FALSE,SUMPRODUCT(--ISNUMBER(SEARCH(","&amp;TRIM(TEXTSPLIT(CK221,","))&amp;",",","&amp;SUBSTITUTE(input_enews_audience," ","")&amp;",")))&gt;0)),IF(CM221="",TRUE,IF(input_enews_audience="",FALSE,SUMPRODUCT(--ISNUMBER(SEARCH(","&amp;TRIM(TEXTSPLIT(CM221,","))&amp;",",","&amp;SUBSTITUTE(input_enews_audience," ","")&amp;",")))=COUNTA(TEXTSPLIT(CM221,",")))))</f>
        <v/>
      </c>
      <c r="JB221">
        <f>AND(IF(CO221="",TRUE,IF(input_event_location="",FALSE,SUMPRODUCT(--ISNUMBER(SEARCH(","&amp;TRIM(TEXTSPLIT(CO221,","))&amp;",",","&amp;SUBSTITUTE(input_event_location," ","")&amp;",")))&gt;0)),IF(CQ221="",TRUE,IF(input_event_location="",FALSE,SUMPRODUCT(--ISNUMBER(SEARCH(","&amp;TRIM(TEXTSPLIT(CQ221,","))&amp;",",","&amp;SUBSTITUTE(input_event_location," ","")&amp;",")))=COUNTA(TEXTSPLIT(CQ221,",")))),IF(CS221="",TRUE,IF(input_event_location="",TRUE,SUMPRODUCT(--ISNUMBER(SEARCH(","&amp;TRIM(TEXTSPLIT(CS221,","))&amp;",",","&amp;SUBSTITUTE(input_event_location," ","")&amp;",")))=0)),IF(CU221="",TRUE,IF(input_event_location="",FALSE,SUMPRODUCT(--ISNUMBER(SEARCH(","&amp;TRIM(TEXTSPLIT(CU221,","))&amp;",",","&amp;SUBSTITUTE(input_event_location," ","")&amp;",")))&gt;0)),IF(CW221="",TRUE,IF(input_event_location="",FALSE,SUMPRODUCT(--ISNUMBER(SEARCH(","&amp;TRIM(TEXTSPLIT(CW221,","))&amp;",",","&amp;SUBSTITUTE(input_event_location," ","")&amp;",")))=COUNTA(TEXTSPLIT(CW221,",")))))</f>
        <v/>
      </c>
      <c r="JC221">
        <f>AND(IF(CY221="",TRUE,IF(input_event_type="",FALSE,SUMPRODUCT(--ISNUMBER(SEARCH(","&amp;TRIM(TEXTSPLIT(CY221,","))&amp;",",","&amp;SUBSTITUTE(input_event_type," ","")&amp;",")))&gt;0)),IF(DA221="",TRUE,IF(input_event_type="",FALSE,SUMPRODUCT(--ISNUMBER(SEARCH(","&amp;TRIM(TEXTSPLIT(DA221,","))&amp;",",","&amp;SUBSTITUTE(input_event_type," ","")&amp;",")))=COUNTA(TEXTSPLIT(DA221,",")))),IF(DC221="",TRUE,IF(input_event_type="",TRUE,SUMPRODUCT(--ISNUMBER(SEARCH(","&amp;TRIM(TEXTSPLIT(DC221,","))&amp;",",","&amp;SUBSTITUTE(input_event_type," ","")&amp;",")))=0)),IF(DE221="",TRUE,IF(input_event_type="",FALSE,SUMPRODUCT(--ISNUMBER(SEARCH(","&amp;TRIM(TEXTSPLIT(DE221,","))&amp;",",","&amp;SUBSTITUTE(input_event_type," ","")&amp;",")))&gt;0)),IF(DG221="",TRUE,IF(input_event_type="",FALSE,SUMPRODUCT(--ISNUMBER(SEARCH(","&amp;TRIM(TEXTSPLIT(DG221,","))&amp;",",","&amp;SUBSTITUTE(input_event_type," ","")&amp;",")))=COUNTA(TEXTSPLIT(DG221,",")))))</f>
        <v/>
      </c>
      <c r="JD221">
        <f>AND(IF(DI221="",TRUE,IF(input_executive_education_focus="",FALSE,SUMPRODUCT(--ISNUMBER(SEARCH(","&amp;TRIM(TEXTSPLIT(DI221,","))&amp;",",","&amp;SUBSTITUTE(input_executive_education_focus," ","")&amp;",")))&gt;0)),IF(DK221="",TRUE,IF(input_executive_education_focus="",FALSE,SUMPRODUCT(--ISNUMBER(SEARCH(","&amp;TRIM(TEXTSPLIT(DK221,","))&amp;",",","&amp;SUBSTITUTE(input_executive_education_focus," ","")&amp;",")))=COUNTA(TEXTSPLIT(DK221,",")))),IF(DM221="",TRUE,IF(input_executive_education_focus="",TRUE,SUMPRODUCT(--ISNUMBER(SEARCH(","&amp;TRIM(TEXTSPLIT(DM221,","))&amp;",",","&amp;SUBSTITUTE(input_executive_education_focus," ","")&amp;",")))=0)),IF(DO221="",TRUE,IF(input_executive_education_focus="",FALSE,SUMPRODUCT(--ISNUMBER(SEARCH(","&amp;TRIM(TEXTSPLIT(DO221,","))&amp;",",","&amp;SUBSTITUTE(input_executive_education_focus," ","")&amp;",")))&gt;0)),IF(DQ221="",TRUE,IF(input_executive_education_focus="",FALSE,SUMPRODUCT(--ISNUMBER(SEARCH(","&amp;TRIM(TEXTSPLIT(DQ221,","))&amp;",",","&amp;SUBSTITUTE(input_executive_education_focus," ","")&amp;",")))=COUNTA(TEXTSPLIT(DQ221,",")))))</f>
        <v/>
      </c>
      <c r="JE221">
        <f>AND(IF(DS221="",TRUE,IF(input_faculty_category="",FALSE,SUMPRODUCT(--ISNUMBER(SEARCH(","&amp;TRIM(TEXTSPLIT(DS221,","))&amp;",",","&amp;SUBSTITUTE(input_faculty_category," ","")&amp;",")))&gt;0)),IF(DU221="",TRUE,IF(input_faculty_category="",FALSE,SUMPRODUCT(--ISNUMBER(SEARCH(","&amp;TRIM(TEXTSPLIT(DU221,","))&amp;",",","&amp;SUBSTITUTE(input_faculty_category," ","")&amp;",")))=COUNTA(TEXTSPLIT(DU221,",")))),IF(DW221="",TRUE,IF(input_faculty_category="",TRUE,SUMPRODUCT(--ISNUMBER(SEARCH(","&amp;TRIM(TEXTSPLIT(DW221,","))&amp;",",","&amp;SUBSTITUTE(input_faculty_category," ","")&amp;",")))=0)),IF(DY221="",TRUE,IF(input_faculty_category="",FALSE,SUMPRODUCT(--ISNUMBER(SEARCH(","&amp;TRIM(TEXTSPLIT(DY221,","))&amp;",",","&amp;SUBSTITUTE(input_faculty_category," ","")&amp;",")))&gt;0)),IF(EA221="",TRUE,IF(input_faculty_category="",FALSE,SUMPRODUCT(--ISNUMBER(SEARCH(","&amp;TRIM(TEXTSPLIT(EA221,","))&amp;",",","&amp;SUBSTITUTE(input_faculty_category," ","")&amp;",")))=COUNTA(TEXTSPLIT(EA221,",")))))</f>
        <v/>
      </c>
      <c r="JF221">
        <f>AND(IF(EC221="",TRUE,IF(input_faculty_discipline="",FALSE,SUMPRODUCT(--ISNUMBER(SEARCH(","&amp;TRIM(TEXTSPLIT(EC221,","))&amp;",",","&amp;SUBSTITUTE(input_faculty_discipline," ","")&amp;",")))&gt;0)),IF(EE221="",TRUE,IF(input_faculty_discipline="",FALSE,SUMPRODUCT(--ISNUMBER(SEARCH(","&amp;TRIM(TEXTSPLIT(EE221,","))&amp;",",","&amp;SUBSTITUTE(input_faculty_discipline," ","")&amp;",")))=COUNTA(TEXTSPLIT(EE221,",")))),IF(EG221="",TRUE,IF(input_faculty_discipline="",TRUE,SUMPRODUCT(--ISNUMBER(SEARCH(","&amp;TRIM(TEXTSPLIT(EG221,","))&amp;",",","&amp;SUBSTITUTE(input_faculty_discipline," ","")&amp;",")))=0)),IF(EI221="",TRUE,IF(input_faculty_discipline="",FALSE,SUMPRODUCT(--ISNUMBER(SEARCH(","&amp;TRIM(TEXTSPLIT(EI221,","))&amp;",",","&amp;SUBSTITUTE(input_faculty_discipline," ","")&amp;",")))&gt;0)),IF(EK221="",TRUE,IF(input_faculty_discipline="",FALSE,SUMPRODUCT(--ISNUMBER(SEARCH(","&amp;TRIM(TEXTSPLIT(EK221,","))&amp;",",","&amp;SUBSTITUTE(input_faculty_discipline," ","")&amp;",")))=COUNTA(TEXTSPLIT(EK221,",")))))</f>
        <v/>
      </c>
      <c r="JG221">
        <f>AND(IF(EM221="",TRUE,IF(input_faculty_expertise="",FALSE,SUMPRODUCT(--ISNUMBER(SEARCH(","&amp;TRIM(TEXTSPLIT(EM221,","))&amp;",",","&amp;SUBSTITUTE(input_faculty_expertise," ","")&amp;",")))&gt;0)),IF(EO221="",TRUE,IF(input_faculty_expertise="",FALSE,SUMPRODUCT(--ISNUMBER(SEARCH(","&amp;TRIM(TEXTSPLIT(EO221,","))&amp;",",","&amp;SUBSTITUTE(input_faculty_expertise," ","")&amp;",")))=COUNTA(TEXTSPLIT(EO221,",")))),IF(EQ221="",TRUE,IF(input_faculty_expertise="",TRUE,SUMPRODUCT(--ISNUMBER(SEARCH(","&amp;TRIM(TEXTSPLIT(EQ221,","))&amp;",",","&amp;SUBSTITUTE(input_faculty_expertise," ","")&amp;",")))=0)),IF(ES221="",TRUE,IF(input_faculty_expertise="",FALSE,SUMPRODUCT(--ISNUMBER(SEARCH(","&amp;TRIM(TEXTSPLIT(ES221,","))&amp;",",","&amp;SUBSTITUTE(input_faculty_expertise," ","")&amp;",")))&gt;0)),IF(EU221="",TRUE,IF(input_faculty_expertise="",FALSE,SUMPRODUCT(--ISNUMBER(SEARCH(","&amp;TRIM(TEXTSPLIT(EU221,","))&amp;",",","&amp;SUBSTITUTE(input_faculty_expertise," ","")&amp;",")))=COUNTA(TEXTSPLIT(EU221,",")))))</f>
        <v/>
      </c>
      <c r="JH221">
        <f>AND(IF(EW221="",TRUE,IF(input_global_network_school="",FALSE,SUMPRODUCT(--ISNUMBER(SEARCH(","&amp;TRIM(TEXTSPLIT(EW221,","))&amp;",",","&amp;SUBSTITUTE(input_global_network_school," ","")&amp;",")))&gt;0)),IF(EY221="",TRUE,IF(input_global_network_school="",FALSE,SUMPRODUCT(--ISNUMBER(SEARCH(","&amp;TRIM(TEXTSPLIT(EY221,","))&amp;",",","&amp;SUBSTITUTE(input_global_network_school," ","")&amp;",")))=COUNTA(TEXTSPLIT(EY221,",")))),IF(FA221="",TRUE,IF(input_global_network_school="",TRUE,SUMPRODUCT(--ISNUMBER(SEARCH(","&amp;TRIM(TEXTSPLIT(FA221,","))&amp;",",","&amp;SUBSTITUTE(input_global_network_school," ","")&amp;",")))=0)),IF(FC221="",TRUE,IF(input_global_network_school="",FALSE,SUMPRODUCT(--ISNUMBER(SEARCH(","&amp;TRIM(TEXTSPLIT(FC221,","))&amp;",",","&amp;SUBSTITUTE(input_global_network_school," ","")&amp;",")))&gt;0)),IF(FE221="",TRUE,IF(input_global_network_school="",FALSE,SUMPRODUCT(--ISNUMBER(SEARCH(","&amp;TRIM(TEXTSPLIT(FE221,","))&amp;",",","&amp;SUBSTITUTE(input_global_network_school," ","")&amp;",")))=COUNTA(TEXTSPLIT(FE221,",")))))</f>
        <v/>
      </c>
      <c r="JI221">
        <f>AND(IF(FG221="",TRUE,IF(input_industry="",FALSE,SUMPRODUCT(--ISNUMBER(SEARCH(","&amp;TRIM(TEXTSPLIT(FG221,","))&amp;",",","&amp;SUBSTITUTE(input_industry," ","")&amp;",")))&gt;0)),IF(FI221="",TRUE,IF(input_industry="",FALSE,SUMPRODUCT(--ISNUMBER(SEARCH(","&amp;TRIM(TEXTSPLIT(FI221,","))&amp;",",","&amp;SUBSTITUTE(input_industry," ","")&amp;",")))=COUNTA(TEXTSPLIT(FI221,",")))),IF(FK221="",TRUE,IF(input_industry="",TRUE,SUMPRODUCT(--ISNUMBER(SEARCH(","&amp;TRIM(TEXTSPLIT(FK221,","))&amp;",",","&amp;SUBSTITUTE(input_industry," ","")&amp;",")))=0)),IF(FM221="",TRUE,IF(input_industry="",FALSE,SUMPRODUCT(--ISNUMBER(SEARCH(","&amp;TRIM(TEXTSPLIT(FM221,","))&amp;",",","&amp;SUBSTITUTE(input_industry," ","")&amp;",")))&gt;0)),IF(FO221="",TRUE,IF(input_industry="",FALSE,SUMPRODUCT(--ISNUMBER(SEARCH(","&amp;TRIM(TEXTSPLIT(FO221,","))&amp;",",","&amp;SUBSTITUTE(input_industry," ","")&amp;",")))=COUNTA(TEXTSPLIT(FO221,",")))))</f>
        <v/>
      </c>
      <c r="JJ221">
        <f>AND(IF(FQ221="",TRUE,IF(input_location="",FALSE,SUMPRODUCT(--ISNUMBER(SEARCH(","&amp;TRIM(TEXTSPLIT(FQ221,","))&amp;",",","&amp;SUBSTITUTE(input_location," ","")&amp;",")))&gt;0)),IF(FS221="",TRUE,IF(input_location="",FALSE,SUMPRODUCT(--ISNUMBER(SEARCH(","&amp;TRIM(TEXTSPLIT(FS221,","))&amp;",",","&amp;SUBSTITUTE(input_location," ","")&amp;",")))=COUNTA(TEXTSPLIT(FS221,",")))),IF(FU221="",TRUE,IF(input_location="",TRUE,SUMPRODUCT(--ISNUMBER(SEARCH(","&amp;TRIM(TEXTSPLIT(FU221,","))&amp;",",","&amp;SUBSTITUTE(input_location," ","")&amp;",")))=0)),IF(FW221="",TRUE,IF(input_location="",FALSE,SUMPRODUCT(--ISNUMBER(SEARCH(","&amp;TRIM(TEXTSPLIT(FW221,","))&amp;",",","&amp;SUBSTITUTE(input_location," ","")&amp;",")))&gt;0)),IF(FY221="",TRUE,IF(input_location="",FALSE,SUMPRODUCT(--ISNUMBER(SEARCH(","&amp;TRIM(TEXTSPLIT(FY221,","))&amp;",",","&amp;SUBSTITUTE(input_location," ","")&amp;",")))=COUNTA(TEXTSPLIT(FY221,",")))))</f>
        <v/>
      </c>
      <c r="JK221">
        <f>AND(IF(GA221="",TRUE,IF(input_modality="",FALSE,SUMPRODUCT(--ISNUMBER(SEARCH(","&amp;TRIM(TEXTSPLIT(GA221,","))&amp;",",","&amp;SUBSTITUTE(input_modality," ","")&amp;",")))&gt;0)),IF(GC221="",TRUE,IF(input_modality="",FALSE,SUMPRODUCT(--ISNUMBER(SEARCH(","&amp;TRIM(TEXTSPLIT(GC221,","))&amp;",",","&amp;SUBSTITUTE(input_modality," ","")&amp;",")))=COUNTA(TEXTSPLIT(GC221,",")))),IF(GE221="",TRUE,IF(input_modality="",TRUE,SUMPRODUCT(--ISNUMBER(SEARCH(","&amp;TRIM(TEXTSPLIT(GE221,","))&amp;",",","&amp;SUBSTITUTE(input_modality," ","")&amp;",")))=0)),IF(GG221="",TRUE,IF(input_modality="",FALSE,SUMPRODUCT(--ISNUMBER(SEARCH(","&amp;TRIM(TEXTSPLIT(GG221,","))&amp;",",","&amp;SUBSTITUTE(input_modality," ","")&amp;",")))&gt;0)),IF(GI221="",TRUE,IF(input_modality="",FALSE,SUMPRODUCT(--ISNUMBER(SEARCH(","&amp;TRIM(TEXTSPLIT(GI221,","))&amp;",",","&amp;SUBSTITUTE(input_modality," ","")&amp;",")))=COUNTA(TEXTSPLIT(GI221,",")))))</f>
        <v/>
      </c>
      <c r="JL221">
        <f>AND(IF(GK221="",TRUE,IF(input_organizer="",FALSE,SUMPRODUCT(--ISNUMBER(SEARCH(","&amp;TRIM(TEXTSPLIT(GK221,","))&amp;",",","&amp;SUBSTITUTE(input_organizer," ","")&amp;",")))&gt;0)),IF(GM221="",TRUE,IF(input_organizer="",FALSE,SUMPRODUCT(--ISNUMBER(SEARCH(","&amp;TRIM(TEXTSPLIT(GM221,","))&amp;",",","&amp;SUBSTITUTE(input_organizer," ","")&amp;",")))=COUNTA(TEXTSPLIT(GM221,",")))),IF(GO221="",TRUE,IF(input_organizer="",TRUE,SUMPRODUCT(--ISNUMBER(SEARCH(","&amp;TRIM(TEXTSPLIT(GO221,","))&amp;",",","&amp;SUBSTITUTE(input_organizer," ","")&amp;",")))=0)),IF(GQ221="",TRUE,IF(input_organizer="",FALSE,SUMPRODUCT(--ISNUMBER(SEARCH(","&amp;TRIM(TEXTSPLIT(GQ221,","))&amp;",",","&amp;SUBSTITUTE(input_organizer," ","")&amp;",")))&gt;0)),IF(GS221="",TRUE,IF(input_organizer="",FALSE,SUMPRODUCT(--ISNUMBER(SEARCH(","&amp;TRIM(TEXTSPLIT(GS221,","))&amp;",",","&amp;SUBSTITUTE(input_organizer," ","")&amp;",")))=COUNTA(TEXTSPLIT(GS221,",")))))</f>
        <v/>
      </c>
      <c r="JM221">
        <f>AND(IF(GU221="",TRUE,IF(input_profile_type="",FALSE,SUMPRODUCT(--ISNUMBER(SEARCH(","&amp;TRIM(TEXTSPLIT(GU221,","))&amp;",",","&amp;SUBSTITUTE(input_profile_type," ","")&amp;",")))&gt;0)),IF(GW221="",TRUE,IF(input_profile_type="",FALSE,SUMPRODUCT(--ISNUMBER(SEARCH(","&amp;TRIM(TEXTSPLIT(GW221,","))&amp;",",","&amp;SUBSTITUTE(input_profile_type," ","")&amp;",")))=COUNTA(TEXTSPLIT(GW221,",")))),IF(GY221="",TRUE,IF(input_profile_type="",TRUE,SUMPRODUCT(--ISNUMBER(SEARCH(","&amp;TRIM(TEXTSPLIT(GY221,","))&amp;",",","&amp;SUBSTITUTE(input_profile_type," ","")&amp;",")))=0)),IF(HA221="",TRUE,IF(input_profile_type="",FALSE,SUMPRODUCT(--ISNUMBER(SEARCH(","&amp;TRIM(TEXTSPLIT(HA221,","))&amp;",",","&amp;SUBSTITUTE(input_profile_type," ","")&amp;",")))&gt;0)),IF(HC221="",TRUE,IF(input_profile_type="",FALSE,SUMPRODUCT(--ISNUMBER(SEARCH(","&amp;TRIM(TEXTSPLIT(HC221,","))&amp;",",","&amp;SUBSTITUTE(input_profile_type," ","")&amp;",")))=COUNTA(TEXTSPLIT(HC221,",")))))</f>
        <v/>
      </c>
      <c r="JN221">
        <f>AND(IF(HE221="",TRUE,IF(input_program="",FALSE,SUMPRODUCT(--ISNUMBER(SEARCH(","&amp;TRIM(TEXTSPLIT(HE221,","))&amp;",",","&amp;SUBSTITUTE(input_program," ","")&amp;",")))&gt;0)),IF(HG221="",TRUE,IF(input_program="",FALSE,SUMPRODUCT(--ISNUMBER(SEARCH(","&amp;TRIM(TEXTSPLIT(HG221,","))&amp;",",","&amp;SUBSTITUTE(input_program," ","")&amp;",")))=COUNTA(TEXTSPLIT(HG221,",")))),IF(HI221="",TRUE,IF(input_program="",TRUE,SUMPRODUCT(--ISNUMBER(SEARCH(","&amp;TRIM(TEXTSPLIT(HI221,","))&amp;",",","&amp;SUBSTITUTE(input_program," ","")&amp;",")))=0)),IF(HK221="",TRUE,IF(input_program="",FALSE,SUMPRODUCT(--ISNUMBER(SEARCH(","&amp;TRIM(TEXTSPLIT(HK221,","))&amp;",",","&amp;SUBSTITUTE(input_program," ","")&amp;",")))&gt;0)),IF(HM221="",TRUE,IF(input_program="",FALSE,SUMPRODUCT(--ISNUMBER(SEARCH(","&amp;TRIM(TEXTSPLIT(HM221,","))&amp;",",","&amp;SUBSTITUTE(input_program," ","")&amp;",")))=COUNTA(TEXTSPLIT(HM221,",")))))</f>
        <v/>
      </c>
      <c r="JO221">
        <f>AND(IF(HO221="",TRUE,IF(input_story_categories="",FALSE,SUMPRODUCT(--ISNUMBER(SEARCH(","&amp;TRIM(TEXTSPLIT(HO221,","))&amp;",",","&amp;SUBSTITUTE(input_story_categories," ","")&amp;",")))&gt;0)),IF(HQ221="",TRUE,IF(input_story_categories="",FALSE,SUMPRODUCT(--ISNUMBER(SEARCH(","&amp;TRIM(TEXTSPLIT(HQ221,","))&amp;",",","&amp;SUBSTITUTE(input_story_categories," ","")&amp;",")))=COUNTA(TEXTSPLIT(HQ221,",")))),IF(HS221="",TRUE,IF(input_story_categories="",TRUE,SUMPRODUCT(--ISNUMBER(SEARCH(","&amp;TRIM(TEXTSPLIT(HS221,","))&amp;",",","&amp;SUBSTITUTE(input_story_categories," ","")&amp;",")))=0)),IF(HU221="",TRUE,IF(input_story_categories="",FALSE,SUMPRODUCT(--ISNUMBER(SEARCH(","&amp;TRIM(TEXTSPLIT(HU221,","))&amp;",",","&amp;SUBSTITUTE(input_story_categories," ","")&amp;",")))&gt;0)),IF(HW221="",TRUE,IF(input_story_categories="",FALSE,SUMPRODUCT(--ISNUMBER(SEARCH(","&amp;TRIM(TEXTSPLIT(HW221,","))&amp;",",","&amp;SUBSTITUTE(input_story_categories," ","")&amp;",")))=COUNTA(TEXTSPLIT(HW221,",")))))</f>
        <v/>
      </c>
      <c r="JP221">
        <f>AND(IF(HY221="",TRUE,IF(input_story_type="",FALSE,SUMPRODUCT(--ISNUMBER(SEARCH(","&amp;TRIM(TEXTSPLIT(HY221,","))&amp;",",","&amp;SUBSTITUTE(input_story_type," ","")&amp;",")))&gt;0)),IF(IA221="",TRUE,IF(input_story_type="",FALSE,SUMPRODUCT(--ISNUMBER(SEARCH(","&amp;TRIM(TEXTSPLIT(IA221,","))&amp;",",","&amp;SUBSTITUTE(input_story_type," ","")&amp;",")))=COUNTA(TEXTSPLIT(IA221,",")))),IF(IC221="",TRUE,IF(input_story_type="",TRUE,SUMPRODUCT(--ISNUMBER(SEARCH(","&amp;TRIM(TEXTSPLIT(IC221,","))&amp;",",","&amp;SUBSTITUTE(input_story_type," ","")&amp;",")))=0)),IF(IE221="",TRUE,IF(input_story_type="",FALSE,SUMPRODUCT(--ISNUMBER(SEARCH(","&amp;TRIM(TEXTSPLIT(IE221,","))&amp;",",","&amp;SUBSTITUTE(input_story_type," ","")&amp;",")))&gt;0)),IF(IG221="",TRUE,IF(input_story_type="",FALSE,SUMPRODUCT(--ISNUMBER(SEARCH(","&amp;TRIM(TEXTSPLIT(IG221,","))&amp;",",","&amp;SUBSTITUTE(input_story_type," ","")&amp;",")))=COUNTA(TEXTSPLIT(IG221,",")))))</f>
        <v/>
      </c>
      <c r="JQ221">
        <f>AND(IF(II221="",TRUE,IF(input_topics="",FALSE,SUMPRODUCT(--ISNUMBER(SEARCH(","&amp;TRIM(TEXTSPLIT(II221,","))&amp;",",","&amp;SUBSTITUTE(input_topics," ","")&amp;",")))&gt;0)),IF(IK221="",TRUE,IF(input_topics="",FALSE,SUMPRODUCT(--ISNUMBER(SEARCH(","&amp;TRIM(TEXTSPLIT(IK221,","))&amp;",",","&amp;SUBSTITUTE(input_topics," ","")&amp;",")))=COUNTA(TEXTSPLIT(IK221,",")))),IF(IM221="",TRUE,IF(input_topics="",TRUE,SUMPRODUCT(--ISNUMBER(SEARCH(","&amp;TRIM(TEXTSPLIT(IM221,","))&amp;",",","&amp;SUBSTITUTE(input_topics," ","")&amp;",")))=0)),IF(IO221="",TRUE,IF(input_topics="",FALSE,SUMPRODUCT(--ISNUMBER(SEARCH(","&amp;TRIM(TEXTSPLIT(IO221,","))&amp;",",","&amp;SUBSTITUTE(input_topics," ","")&amp;",")))&gt;0)),IF(IQ221="",TRUE,IF(input_topics="",FALSE,SUMPRODUCT(--ISNUMBER(SEARCH(","&amp;TRIM(TEXTSPLIT(IQ221,","))&amp;",",","&amp;SUBSTITUTE(input_topics," ","")&amp;",")))=COUNTA(TEXTSPLIT(IQ221,",")))))</f>
        <v/>
      </c>
    </row>
    <row r="222">
      <c r="A222" s="4">
        <f>IF(NOT(IS222),"Excluded",IF(AND(IT222,IU222,IV222,IW222,IX222,IY222,IZ222,JA222,JB222,JC222,JD222,JE222,JF222,JG222,JH222,JI222,JJ222,JK222,JL222,JM222,JN222,JO222,JP222,JQ222),IF(I222&gt;0,"Eligible but limited","Will appear"),"Excluded"))</f>
        <v/>
      </c>
      <c r="B222" s="4" t="inlineStr">
        <is>
          <t>Related stories on story pages</t>
        </is>
      </c>
      <c r="C222" s="4" t="inlineStr">
        <is>
          <t>/story/2026/event-dispatch-snagging-free-reads-black-authors</t>
        </is>
      </c>
      <c r="D222" s="4" t="inlineStr">
        <is>
          <t>/story/2026/event-dispatch-snagging-free-reads-black-authors</t>
        </is>
      </c>
      <c r="E222" s="4" t="n">
        <v>1</v>
      </c>
      <c r="F222" s="4" t="inlineStr">
        <is>
          <t>story</t>
        </is>
      </c>
      <c r="G222" s="4" t="inlineStr">
        <is>
          <t>stories_teaser_cards</t>
        </is>
      </c>
      <c r="H222" s="4" t="inlineStr">
        <is>
          <t>embed_all</t>
        </is>
      </c>
      <c r="I222" s="4" t="n">
        <v>3</v>
      </c>
      <c r="J222" s="4" t="inlineStr">
        <is>
          <t>Template logic</t>
        </is>
      </c>
      <c r="K222" s="4" t="inlineStr">
        <is>
          <t>Grouped surface</t>
        </is>
      </c>
      <c r="L222" s="4" t="inlineStr">
        <is>
          <t>Content type: story; Context uses Courses Context: Event Dispatch (1772); Context uses Story Type: Blog (974); Limited to 3 item(s); Source: Template logic</t>
        </is>
      </c>
      <c r="M222" t="inlineStr"/>
      <c r="N222" t="inlineStr"/>
      <c r="O222" t="inlineStr"/>
      <c r="P222" t="inlineStr"/>
      <c r="Q222" t="inlineStr"/>
      <c r="R222" t="inlineStr"/>
      <c r="S222" t="inlineStr"/>
      <c r="T222" t="inlineStr"/>
      <c r="U222" t="inlineStr"/>
      <c r="V222" t="inlineStr"/>
      <c r="W222" t="inlineStr"/>
      <c r="X222" t="inlineStr"/>
      <c r="Y222" t="inlineStr"/>
      <c r="Z222" t="inlineStr"/>
      <c r="AA222" t="inlineStr"/>
      <c r="AB222" t="inlineStr"/>
      <c r="AC222" t="inlineStr"/>
      <c r="AD222" t="inlineStr"/>
      <c r="AE222" t="inlineStr"/>
      <c r="AF222" t="inlineStr"/>
      <c r="AG222" t="inlineStr"/>
      <c r="AH222" t="inlineStr"/>
      <c r="AI222" t="inlineStr"/>
      <c r="AJ222" t="inlineStr"/>
      <c r="AK222" t="inlineStr"/>
      <c r="AL222" t="inlineStr"/>
      <c r="AM222" t="inlineStr"/>
      <c r="AN222" t="inlineStr"/>
      <c r="AO222" t="inlineStr"/>
      <c r="AP222" t="inlineStr"/>
      <c r="AQ222" t="inlineStr"/>
      <c r="AR222" t="inlineStr"/>
      <c r="AS222" t="inlineStr"/>
      <c r="AT222" t="inlineStr"/>
      <c r="AU222" t="inlineStr"/>
      <c r="AV222" t="inlineStr"/>
      <c r="AW222" t="inlineStr"/>
      <c r="AX222" t="inlineStr"/>
      <c r="AY222" t="inlineStr"/>
      <c r="AZ222" t="inlineStr"/>
      <c r="BA222" t="inlineStr"/>
      <c r="BB222" t="inlineStr"/>
      <c r="BC222" t="inlineStr"/>
      <c r="BD222" t="inlineStr"/>
      <c r="BE222" t="inlineStr"/>
      <c r="BF222" t="inlineStr"/>
      <c r="BG222" t="inlineStr"/>
      <c r="BH222" t="inlineStr"/>
      <c r="BI222" t="inlineStr"/>
      <c r="BJ222" t="inlineStr"/>
      <c r="BK222" t="inlineStr"/>
      <c r="BL222" t="inlineStr"/>
      <c r="BM222" t="inlineStr"/>
      <c r="BN222" t="inlineStr"/>
      <c r="BO222" t="inlineStr"/>
      <c r="BP222" t="inlineStr"/>
      <c r="BQ222" t="inlineStr">
        <is>
          <t>1772</t>
        </is>
      </c>
      <c r="BR222" t="inlineStr">
        <is>
          <t>Event Dispatch (1772)</t>
        </is>
      </c>
      <c r="BS222" t="inlineStr"/>
      <c r="BT222" t="inlineStr"/>
      <c r="BU222" t="inlineStr"/>
      <c r="BV222" t="inlineStr"/>
      <c r="BW222" t="inlineStr"/>
      <c r="BX222" t="inlineStr"/>
      <c r="BY222" t="inlineStr"/>
      <c r="BZ222" t="inlineStr"/>
      <c r="CA222" t="inlineStr"/>
      <c r="CB222" t="inlineStr"/>
      <c r="CC222" t="inlineStr"/>
      <c r="CD222" t="inlineStr"/>
      <c r="CE222" t="inlineStr"/>
      <c r="CF222" t="inlineStr"/>
      <c r="CG222" t="inlineStr"/>
      <c r="CH222" t="inlineStr"/>
      <c r="CI222" t="inlineStr"/>
      <c r="CJ222" t="inlineStr"/>
      <c r="CK222" t="inlineStr"/>
      <c r="CL222" t="inlineStr"/>
      <c r="CM222" t="inlineStr"/>
      <c r="CN222" t="inlineStr"/>
      <c r="CO222" t="inlineStr"/>
      <c r="CP222" t="inlineStr"/>
      <c r="CQ222" t="inlineStr"/>
      <c r="CR222" t="inlineStr"/>
      <c r="CS222" t="inlineStr"/>
      <c r="CT222" t="inlineStr"/>
      <c r="CU222" t="inlineStr"/>
      <c r="CV222" t="inlineStr"/>
      <c r="CW222" t="inlineStr"/>
      <c r="CX222" t="inlineStr"/>
      <c r="CY222" t="inlineStr"/>
      <c r="CZ222" t="inlineStr"/>
      <c r="DA222" t="inlineStr"/>
      <c r="DB222" t="inlineStr"/>
      <c r="DC222" t="inlineStr"/>
      <c r="DD222" t="inlineStr"/>
      <c r="DE222" t="inlineStr"/>
      <c r="DF222" t="inlineStr"/>
      <c r="DG222" t="inlineStr"/>
      <c r="DH222" t="inlineStr"/>
      <c r="DI222" t="inlineStr"/>
      <c r="DJ222" t="inlineStr"/>
      <c r="DK222" t="inlineStr"/>
      <c r="DL222" t="inlineStr"/>
      <c r="DM222" t="inlineStr"/>
      <c r="DN222" t="inlineStr"/>
      <c r="DO222" t="inlineStr"/>
      <c r="DP222" t="inlineStr"/>
      <c r="DQ222" t="inlineStr"/>
      <c r="DR222" t="inlineStr"/>
      <c r="DS222" t="inlineStr"/>
      <c r="DT222" t="inlineStr"/>
      <c r="DU222" t="inlineStr"/>
      <c r="DV222" t="inlineStr"/>
      <c r="DW222" t="inlineStr"/>
      <c r="DX222" t="inlineStr"/>
      <c r="DY222" t="inlineStr"/>
      <c r="DZ222" t="inlineStr"/>
      <c r="EA222" t="inlineStr"/>
      <c r="EB222" t="inlineStr"/>
      <c r="EC222" t="inlineStr"/>
      <c r="ED222" t="inlineStr"/>
      <c r="EE222" t="inlineStr"/>
      <c r="EF222" t="inlineStr"/>
      <c r="EG222" t="inlineStr"/>
      <c r="EH222" t="inlineStr"/>
      <c r="EI222" t="inlineStr"/>
      <c r="EJ222" t="inlineStr"/>
      <c r="EK222" t="inlineStr"/>
      <c r="EL222" t="inlineStr"/>
      <c r="EM222" t="inlineStr"/>
      <c r="EN222" t="inlineStr"/>
      <c r="EO222" t="inlineStr"/>
      <c r="EP222" t="inlineStr"/>
      <c r="EQ222" t="inlineStr"/>
      <c r="ER222" t="inlineStr"/>
      <c r="ES222" t="inlineStr"/>
      <c r="ET222" t="inlineStr"/>
      <c r="EU222" t="inlineStr"/>
      <c r="EV222" t="inlineStr"/>
      <c r="EW222" t="inlineStr"/>
      <c r="EX222" t="inlineStr"/>
      <c r="EY222" t="inlineStr"/>
      <c r="EZ222" t="inlineStr"/>
      <c r="FA222" t="inlineStr"/>
      <c r="FB222" t="inlineStr"/>
      <c r="FC222" t="inlineStr"/>
      <c r="FD222" t="inlineStr"/>
      <c r="FE222" t="inlineStr"/>
      <c r="FF222" t="inlineStr"/>
      <c r="FG222" t="inlineStr"/>
      <c r="FH222" t="inlineStr"/>
      <c r="FI222" t="inlineStr"/>
      <c r="FJ222" t="inlineStr"/>
      <c r="FK222" t="inlineStr"/>
      <c r="FL222" t="inlineStr"/>
      <c r="FM222" t="inlineStr"/>
      <c r="FN222" t="inlineStr"/>
      <c r="FO222" t="inlineStr"/>
      <c r="FP222" t="inlineStr"/>
      <c r="FQ222" t="inlineStr"/>
      <c r="FR222" t="inlineStr"/>
      <c r="FS222" t="inlineStr"/>
      <c r="FT222" t="inlineStr"/>
      <c r="FU222" t="inlineStr"/>
      <c r="FV222" t="inlineStr"/>
      <c r="FW222" t="inlineStr"/>
      <c r="FX222" t="inlineStr"/>
      <c r="FY222" t="inlineStr"/>
      <c r="FZ222" t="inlineStr"/>
      <c r="GA222" t="inlineStr"/>
      <c r="GB222" t="inlineStr"/>
      <c r="GC222" t="inlineStr"/>
      <c r="GD222" t="inlineStr"/>
      <c r="GE222" t="inlineStr"/>
      <c r="GF222" t="inlineStr"/>
      <c r="GG222" t="inlineStr"/>
      <c r="GH222" t="inlineStr"/>
      <c r="GI222" t="inlineStr"/>
      <c r="GJ222" t="inlineStr"/>
      <c r="GK222" t="inlineStr"/>
      <c r="GL222" t="inlineStr"/>
      <c r="GM222" t="inlineStr"/>
      <c r="GN222" t="inlineStr"/>
      <c r="GO222" t="inlineStr"/>
      <c r="GP222" t="inlineStr"/>
      <c r="GQ222" t="inlineStr"/>
      <c r="GR222" t="inlineStr"/>
      <c r="GS222" t="inlineStr"/>
      <c r="GT222" t="inlineStr"/>
      <c r="GU222" t="inlineStr"/>
      <c r="GV222" t="inlineStr"/>
      <c r="GW222" t="inlineStr"/>
      <c r="GX222" t="inlineStr"/>
      <c r="GY222" t="inlineStr"/>
      <c r="GZ222" t="inlineStr"/>
      <c r="HA222" t="inlineStr"/>
      <c r="HB222" t="inlineStr"/>
      <c r="HC222" t="inlineStr"/>
      <c r="HD222" t="inlineStr"/>
      <c r="HE222" t="inlineStr"/>
      <c r="HF222" t="inlineStr"/>
      <c r="HG222" t="inlineStr"/>
      <c r="HH222" t="inlineStr"/>
      <c r="HI222" t="inlineStr"/>
      <c r="HJ222" t="inlineStr"/>
      <c r="HK222" t="inlineStr"/>
      <c r="HL222" t="inlineStr"/>
      <c r="HM222" t="inlineStr"/>
      <c r="HN222" t="inlineStr"/>
      <c r="HO222" t="inlineStr"/>
      <c r="HP222" t="inlineStr"/>
      <c r="HQ222" t="inlineStr"/>
      <c r="HR222" t="inlineStr"/>
      <c r="HS222" t="inlineStr"/>
      <c r="HT222" t="inlineStr"/>
      <c r="HU222" t="inlineStr"/>
      <c r="HV222" t="inlineStr"/>
      <c r="HW222" t="inlineStr"/>
      <c r="HX222" t="inlineStr"/>
      <c r="HY222" t="inlineStr"/>
      <c r="HZ222" t="inlineStr"/>
      <c r="IA222" t="inlineStr"/>
      <c r="IB222" t="inlineStr"/>
      <c r="IC222" t="inlineStr"/>
      <c r="ID222" t="inlineStr"/>
      <c r="IE222" t="inlineStr">
        <is>
          <t>974</t>
        </is>
      </c>
      <c r="IF222" t="inlineStr">
        <is>
          <t>Blog (974)</t>
        </is>
      </c>
      <c r="IG222" t="inlineStr"/>
      <c r="IH222" t="inlineStr"/>
      <c r="II222" t="inlineStr"/>
      <c r="IJ222" t="inlineStr"/>
      <c r="IK222" t="inlineStr"/>
      <c r="IL222" t="inlineStr"/>
      <c r="IM222" t="inlineStr"/>
      <c r="IN222" t="inlineStr"/>
      <c r="IO222" t="inlineStr"/>
      <c r="IP222" t="inlineStr"/>
      <c r="IQ222" t="inlineStr"/>
      <c r="IR222" t="inlineStr"/>
      <c r="IS222">
        <f>IF(input_content_type="",FALSE,ISNUMBER(SEARCH(","&amp;LOWER(input_content_type)&amp;",",","&amp;LOWER(F222)&amp;",")))</f>
        <v/>
      </c>
      <c r="IT222">
        <f>AND(IF(M222="",TRUE,IF(input_affiliations="",FALSE,SUMPRODUCT(--ISNUMBER(SEARCH(","&amp;TRIM(TEXTSPLIT(M222,","))&amp;",",","&amp;SUBSTITUTE(input_affiliations," ","")&amp;",")))&gt;0)),IF(O222="",TRUE,IF(input_affiliations="",FALSE,SUMPRODUCT(--ISNUMBER(SEARCH(","&amp;TRIM(TEXTSPLIT(O222,","))&amp;",",","&amp;SUBSTITUTE(input_affiliations," ","")&amp;",")))=COUNTA(TEXTSPLIT(O222,",")))),IF(Q222="",TRUE,IF(input_affiliations="",TRUE,SUMPRODUCT(--ISNUMBER(SEARCH(","&amp;TRIM(TEXTSPLIT(Q222,","))&amp;",",","&amp;SUBSTITUTE(input_affiliations," ","")&amp;",")))=0)),IF(S222="",TRUE,IF(input_affiliations="",FALSE,SUMPRODUCT(--ISNUMBER(SEARCH(","&amp;TRIM(TEXTSPLIT(S222,","))&amp;",",","&amp;SUBSTITUTE(input_affiliations," ","")&amp;",")))&gt;0)),IF(U222="",TRUE,IF(input_affiliations="",FALSE,SUMPRODUCT(--ISNUMBER(SEARCH(","&amp;TRIM(TEXTSPLIT(U222,","))&amp;",",","&amp;SUBSTITUTE(input_affiliations," ","")&amp;",")))=COUNTA(TEXTSPLIT(U222,",")))))</f>
        <v/>
      </c>
      <c r="IU222">
        <f>AND(IF(W222="",TRUE,IF(input_announcement_category="",FALSE,SUMPRODUCT(--ISNUMBER(SEARCH(","&amp;TRIM(TEXTSPLIT(W222,","))&amp;",",","&amp;SUBSTITUTE(input_announcement_category," ","")&amp;",")))&gt;0)),IF(Y222="",TRUE,IF(input_announcement_category="",FALSE,SUMPRODUCT(--ISNUMBER(SEARCH(","&amp;TRIM(TEXTSPLIT(Y222,","))&amp;",",","&amp;SUBSTITUTE(input_announcement_category," ","")&amp;",")))=COUNTA(TEXTSPLIT(Y222,",")))),IF(AA222="",TRUE,IF(input_announcement_category="",TRUE,SUMPRODUCT(--ISNUMBER(SEARCH(","&amp;TRIM(TEXTSPLIT(AA222,","))&amp;",",","&amp;SUBSTITUTE(input_announcement_category," ","")&amp;",")))=0)),IF(AC222="",TRUE,IF(input_announcement_category="",FALSE,SUMPRODUCT(--ISNUMBER(SEARCH(","&amp;TRIM(TEXTSPLIT(AC222,","))&amp;",",","&amp;SUBSTITUTE(input_announcement_category," ","")&amp;",")))&gt;0)),IF(AE222="",TRUE,IF(input_announcement_category="",FALSE,SUMPRODUCT(--ISNUMBER(SEARCH(","&amp;TRIM(TEXTSPLIT(AE222,","))&amp;",",","&amp;SUBSTITUTE(input_announcement_category," ","")&amp;",")))=COUNTA(TEXTSPLIT(AE222,",")))))</f>
        <v/>
      </c>
      <c r="IV222">
        <f>AND(IF(AG222="",TRUE,IF(input_area_of_focus="",FALSE,SUMPRODUCT(--ISNUMBER(SEARCH(","&amp;TRIM(TEXTSPLIT(AG222,","))&amp;",",","&amp;SUBSTITUTE(input_area_of_focus," ","")&amp;",")))&gt;0)),IF(AI222="",TRUE,IF(input_area_of_focus="",FALSE,SUMPRODUCT(--ISNUMBER(SEARCH(","&amp;TRIM(TEXTSPLIT(AI222,","))&amp;",",","&amp;SUBSTITUTE(input_area_of_focus," ","")&amp;",")))=COUNTA(TEXTSPLIT(AI222,",")))),IF(AK222="",TRUE,IF(input_area_of_focus="",TRUE,SUMPRODUCT(--ISNUMBER(SEARCH(","&amp;TRIM(TEXTSPLIT(AK222,","))&amp;",",","&amp;SUBSTITUTE(input_area_of_focus," ","")&amp;",")))=0)),IF(AM222="",TRUE,IF(input_area_of_focus="",FALSE,SUMPRODUCT(--ISNUMBER(SEARCH(","&amp;TRIM(TEXTSPLIT(AM222,","))&amp;",",","&amp;SUBSTITUTE(input_area_of_focus," ","")&amp;",")))&gt;0)),IF(AO222="",TRUE,IF(input_area_of_focus="",FALSE,SUMPRODUCT(--ISNUMBER(SEARCH(","&amp;TRIM(TEXTSPLIT(AO222,","))&amp;",",","&amp;SUBSTITUTE(input_area_of_focus," ","")&amp;",")))=COUNTA(TEXTSPLIT(AO222,",")))))</f>
        <v/>
      </c>
      <c r="IW222">
        <f>AND(IF(AQ222="",TRUE,IF(input_audience="",FALSE,SUMPRODUCT(--ISNUMBER(SEARCH(","&amp;TRIM(TEXTSPLIT(AQ222,","))&amp;",",","&amp;SUBSTITUTE(input_audience," ","")&amp;",")))&gt;0)),IF(AS222="",TRUE,IF(input_audience="",FALSE,SUMPRODUCT(--ISNUMBER(SEARCH(","&amp;TRIM(TEXTSPLIT(AS222,","))&amp;",",","&amp;SUBSTITUTE(input_audience," ","")&amp;",")))=COUNTA(TEXTSPLIT(AS222,",")))),IF(AU222="",TRUE,IF(input_audience="",TRUE,SUMPRODUCT(--ISNUMBER(SEARCH(","&amp;TRIM(TEXTSPLIT(AU222,","))&amp;",",","&amp;SUBSTITUTE(input_audience," ","")&amp;",")))=0)),IF(AW222="",TRUE,IF(input_audience="",FALSE,SUMPRODUCT(--ISNUMBER(SEARCH(","&amp;TRIM(TEXTSPLIT(AW222,","))&amp;",",","&amp;SUBSTITUTE(input_audience," ","")&amp;",")))&gt;0)),IF(AY222="",TRUE,IF(input_audience="",FALSE,SUMPRODUCT(--ISNUMBER(SEARCH(","&amp;TRIM(TEXTSPLIT(AY222,","))&amp;",",","&amp;SUBSTITUTE(input_audience," ","")&amp;",")))=COUNTA(TEXTSPLIT(AY222,",")))))</f>
        <v/>
      </c>
      <c r="IX222">
        <f>AND(IF(BA222="",TRUE,IF(input_challenge_opportunities="",FALSE,SUMPRODUCT(--ISNUMBER(SEARCH(","&amp;TRIM(TEXTSPLIT(BA222,","))&amp;",",","&amp;SUBSTITUTE(input_challenge_opportunities," ","")&amp;",")))&gt;0)),IF(BC222="",TRUE,IF(input_challenge_opportunities="",FALSE,SUMPRODUCT(--ISNUMBER(SEARCH(","&amp;TRIM(TEXTSPLIT(BC222,","))&amp;",",","&amp;SUBSTITUTE(input_challenge_opportunities," ","")&amp;",")))=COUNTA(TEXTSPLIT(BC222,",")))),IF(BE222="",TRUE,IF(input_challenge_opportunities="",TRUE,SUMPRODUCT(--ISNUMBER(SEARCH(","&amp;TRIM(TEXTSPLIT(BE222,","))&amp;",",","&amp;SUBSTITUTE(input_challenge_opportunities," ","")&amp;",")))=0)),IF(BG222="",TRUE,IF(input_challenge_opportunities="",FALSE,SUMPRODUCT(--ISNUMBER(SEARCH(","&amp;TRIM(TEXTSPLIT(BG222,","))&amp;",",","&amp;SUBSTITUTE(input_challenge_opportunities," ","")&amp;",")))&gt;0)),IF(BI222="",TRUE,IF(input_challenge_opportunities="",FALSE,SUMPRODUCT(--ISNUMBER(SEARCH(","&amp;TRIM(TEXTSPLIT(BI222,","))&amp;",",","&amp;SUBSTITUTE(input_challenge_opportunities," ","")&amp;",")))=COUNTA(TEXTSPLIT(BI222,",")))))</f>
        <v/>
      </c>
      <c r="IY222">
        <f>AND(IF(BK222="",TRUE,IF(input_context="",FALSE,SUMPRODUCT(--ISNUMBER(SEARCH(","&amp;TRIM(TEXTSPLIT(BK222,","))&amp;",",","&amp;SUBSTITUTE(input_context," ","")&amp;",")))&gt;0)),IF(BM222="",TRUE,IF(input_context="",FALSE,SUMPRODUCT(--ISNUMBER(SEARCH(","&amp;TRIM(TEXTSPLIT(BM222,","))&amp;",",","&amp;SUBSTITUTE(input_context," ","")&amp;",")))=COUNTA(TEXTSPLIT(BM222,",")))),IF(BO222="",TRUE,IF(input_context="",TRUE,SUMPRODUCT(--ISNUMBER(SEARCH(","&amp;TRIM(TEXTSPLIT(BO222,","))&amp;",",","&amp;SUBSTITUTE(input_context," ","")&amp;",")))=0)),IF(BQ222="",TRUE,IF(input_context="",FALSE,SUMPRODUCT(--ISNUMBER(SEARCH(","&amp;TRIM(TEXTSPLIT(BQ222,","))&amp;",",","&amp;SUBSTITUTE(input_context," ","")&amp;",")))&gt;0)),IF(BS222="",TRUE,IF(input_context="",FALSE,SUMPRODUCT(--ISNUMBER(SEARCH(","&amp;TRIM(TEXTSPLIT(BS222,","))&amp;",",","&amp;SUBSTITUTE(input_context," ","")&amp;",")))=COUNTA(TEXTSPLIT(BS222,",")))))</f>
        <v/>
      </c>
      <c r="IZ222">
        <f>AND(IF(BU222="",TRUE,IF(input_enews_announcement_type="",FALSE,SUMPRODUCT(--ISNUMBER(SEARCH(","&amp;TRIM(TEXTSPLIT(BU222,","))&amp;",",","&amp;SUBSTITUTE(input_enews_announcement_type," ","")&amp;",")))&gt;0)),IF(BW222="",TRUE,IF(input_enews_announcement_type="",FALSE,SUMPRODUCT(--ISNUMBER(SEARCH(","&amp;TRIM(TEXTSPLIT(BW222,","))&amp;",",","&amp;SUBSTITUTE(input_enews_announcement_type," ","")&amp;",")))=COUNTA(TEXTSPLIT(BW222,",")))),IF(BY222="",TRUE,IF(input_enews_announcement_type="",TRUE,SUMPRODUCT(--ISNUMBER(SEARCH(","&amp;TRIM(TEXTSPLIT(BY222,","))&amp;",",","&amp;SUBSTITUTE(input_enews_announcement_type," ","")&amp;",")))=0)),IF(CA222="",TRUE,IF(input_enews_announcement_type="",FALSE,SUMPRODUCT(--ISNUMBER(SEARCH(","&amp;TRIM(TEXTSPLIT(CA222,","))&amp;",",","&amp;SUBSTITUTE(input_enews_announcement_type," ","")&amp;",")))&gt;0)),IF(CC222="",TRUE,IF(input_enews_announcement_type="",FALSE,SUMPRODUCT(--ISNUMBER(SEARCH(","&amp;TRIM(TEXTSPLIT(CC222,","))&amp;",",","&amp;SUBSTITUTE(input_enews_announcement_type," ","")&amp;",")))=COUNTA(TEXTSPLIT(CC222,",")))))</f>
        <v/>
      </c>
      <c r="JA222">
        <f>AND(IF(CE222="",TRUE,IF(input_enews_audience="",FALSE,SUMPRODUCT(--ISNUMBER(SEARCH(","&amp;TRIM(TEXTSPLIT(CE222,","))&amp;",",","&amp;SUBSTITUTE(input_enews_audience," ","")&amp;",")))&gt;0)),IF(CG222="",TRUE,IF(input_enews_audience="",FALSE,SUMPRODUCT(--ISNUMBER(SEARCH(","&amp;TRIM(TEXTSPLIT(CG222,","))&amp;",",","&amp;SUBSTITUTE(input_enews_audience," ","")&amp;",")))=COUNTA(TEXTSPLIT(CG222,",")))),IF(CI222="",TRUE,IF(input_enews_audience="",TRUE,SUMPRODUCT(--ISNUMBER(SEARCH(","&amp;TRIM(TEXTSPLIT(CI222,","))&amp;",",","&amp;SUBSTITUTE(input_enews_audience," ","")&amp;",")))=0)),IF(CK222="",TRUE,IF(input_enews_audience="",FALSE,SUMPRODUCT(--ISNUMBER(SEARCH(","&amp;TRIM(TEXTSPLIT(CK222,","))&amp;",",","&amp;SUBSTITUTE(input_enews_audience," ","")&amp;",")))&gt;0)),IF(CM222="",TRUE,IF(input_enews_audience="",FALSE,SUMPRODUCT(--ISNUMBER(SEARCH(","&amp;TRIM(TEXTSPLIT(CM222,","))&amp;",",","&amp;SUBSTITUTE(input_enews_audience," ","")&amp;",")))=COUNTA(TEXTSPLIT(CM222,",")))))</f>
        <v/>
      </c>
      <c r="JB222">
        <f>AND(IF(CO222="",TRUE,IF(input_event_location="",FALSE,SUMPRODUCT(--ISNUMBER(SEARCH(","&amp;TRIM(TEXTSPLIT(CO222,","))&amp;",",","&amp;SUBSTITUTE(input_event_location," ","")&amp;",")))&gt;0)),IF(CQ222="",TRUE,IF(input_event_location="",FALSE,SUMPRODUCT(--ISNUMBER(SEARCH(","&amp;TRIM(TEXTSPLIT(CQ222,","))&amp;",",","&amp;SUBSTITUTE(input_event_location," ","")&amp;",")))=COUNTA(TEXTSPLIT(CQ222,",")))),IF(CS222="",TRUE,IF(input_event_location="",TRUE,SUMPRODUCT(--ISNUMBER(SEARCH(","&amp;TRIM(TEXTSPLIT(CS222,","))&amp;",",","&amp;SUBSTITUTE(input_event_location," ","")&amp;",")))=0)),IF(CU222="",TRUE,IF(input_event_location="",FALSE,SUMPRODUCT(--ISNUMBER(SEARCH(","&amp;TRIM(TEXTSPLIT(CU222,","))&amp;",",","&amp;SUBSTITUTE(input_event_location," ","")&amp;",")))&gt;0)),IF(CW222="",TRUE,IF(input_event_location="",FALSE,SUMPRODUCT(--ISNUMBER(SEARCH(","&amp;TRIM(TEXTSPLIT(CW222,","))&amp;",",","&amp;SUBSTITUTE(input_event_location," ","")&amp;",")))=COUNTA(TEXTSPLIT(CW222,",")))))</f>
        <v/>
      </c>
      <c r="JC222">
        <f>AND(IF(CY222="",TRUE,IF(input_event_type="",FALSE,SUMPRODUCT(--ISNUMBER(SEARCH(","&amp;TRIM(TEXTSPLIT(CY222,","))&amp;",",","&amp;SUBSTITUTE(input_event_type," ","")&amp;",")))&gt;0)),IF(DA222="",TRUE,IF(input_event_type="",FALSE,SUMPRODUCT(--ISNUMBER(SEARCH(","&amp;TRIM(TEXTSPLIT(DA222,","))&amp;",",","&amp;SUBSTITUTE(input_event_type," ","")&amp;",")))=COUNTA(TEXTSPLIT(DA222,",")))),IF(DC222="",TRUE,IF(input_event_type="",TRUE,SUMPRODUCT(--ISNUMBER(SEARCH(","&amp;TRIM(TEXTSPLIT(DC222,","))&amp;",",","&amp;SUBSTITUTE(input_event_type," ","")&amp;",")))=0)),IF(DE222="",TRUE,IF(input_event_type="",FALSE,SUMPRODUCT(--ISNUMBER(SEARCH(","&amp;TRIM(TEXTSPLIT(DE222,","))&amp;",",","&amp;SUBSTITUTE(input_event_type," ","")&amp;",")))&gt;0)),IF(DG222="",TRUE,IF(input_event_type="",FALSE,SUMPRODUCT(--ISNUMBER(SEARCH(","&amp;TRIM(TEXTSPLIT(DG222,","))&amp;",",","&amp;SUBSTITUTE(input_event_type," ","")&amp;",")))=COUNTA(TEXTSPLIT(DG222,",")))))</f>
        <v/>
      </c>
      <c r="JD222">
        <f>AND(IF(DI222="",TRUE,IF(input_executive_education_focus="",FALSE,SUMPRODUCT(--ISNUMBER(SEARCH(","&amp;TRIM(TEXTSPLIT(DI222,","))&amp;",",","&amp;SUBSTITUTE(input_executive_education_focus," ","")&amp;",")))&gt;0)),IF(DK222="",TRUE,IF(input_executive_education_focus="",FALSE,SUMPRODUCT(--ISNUMBER(SEARCH(","&amp;TRIM(TEXTSPLIT(DK222,","))&amp;",",","&amp;SUBSTITUTE(input_executive_education_focus," ","")&amp;",")))=COUNTA(TEXTSPLIT(DK222,",")))),IF(DM222="",TRUE,IF(input_executive_education_focus="",TRUE,SUMPRODUCT(--ISNUMBER(SEARCH(","&amp;TRIM(TEXTSPLIT(DM222,","))&amp;",",","&amp;SUBSTITUTE(input_executive_education_focus," ","")&amp;",")))=0)),IF(DO222="",TRUE,IF(input_executive_education_focus="",FALSE,SUMPRODUCT(--ISNUMBER(SEARCH(","&amp;TRIM(TEXTSPLIT(DO222,","))&amp;",",","&amp;SUBSTITUTE(input_executive_education_focus," ","")&amp;",")))&gt;0)),IF(DQ222="",TRUE,IF(input_executive_education_focus="",FALSE,SUMPRODUCT(--ISNUMBER(SEARCH(","&amp;TRIM(TEXTSPLIT(DQ222,","))&amp;",",","&amp;SUBSTITUTE(input_executive_education_focus," ","")&amp;",")))=COUNTA(TEXTSPLIT(DQ222,",")))))</f>
        <v/>
      </c>
      <c r="JE222">
        <f>AND(IF(DS222="",TRUE,IF(input_faculty_category="",FALSE,SUMPRODUCT(--ISNUMBER(SEARCH(","&amp;TRIM(TEXTSPLIT(DS222,","))&amp;",",","&amp;SUBSTITUTE(input_faculty_category," ","")&amp;",")))&gt;0)),IF(DU222="",TRUE,IF(input_faculty_category="",FALSE,SUMPRODUCT(--ISNUMBER(SEARCH(","&amp;TRIM(TEXTSPLIT(DU222,","))&amp;",",","&amp;SUBSTITUTE(input_faculty_category," ","")&amp;",")))=COUNTA(TEXTSPLIT(DU222,",")))),IF(DW222="",TRUE,IF(input_faculty_category="",TRUE,SUMPRODUCT(--ISNUMBER(SEARCH(","&amp;TRIM(TEXTSPLIT(DW222,","))&amp;",",","&amp;SUBSTITUTE(input_faculty_category," ","")&amp;",")))=0)),IF(DY222="",TRUE,IF(input_faculty_category="",FALSE,SUMPRODUCT(--ISNUMBER(SEARCH(","&amp;TRIM(TEXTSPLIT(DY222,","))&amp;",",","&amp;SUBSTITUTE(input_faculty_category," ","")&amp;",")))&gt;0)),IF(EA222="",TRUE,IF(input_faculty_category="",FALSE,SUMPRODUCT(--ISNUMBER(SEARCH(","&amp;TRIM(TEXTSPLIT(EA222,","))&amp;",",","&amp;SUBSTITUTE(input_faculty_category," ","")&amp;",")))=COUNTA(TEXTSPLIT(EA222,",")))))</f>
        <v/>
      </c>
      <c r="JF222">
        <f>AND(IF(EC222="",TRUE,IF(input_faculty_discipline="",FALSE,SUMPRODUCT(--ISNUMBER(SEARCH(","&amp;TRIM(TEXTSPLIT(EC222,","))&amp;",",","&amp;SUBSTITUTE(input_faculty_discipline," ","")&amp;",")))&gt;0)),IF(EE222="",TRUE,IF(input_faculty_discipline="",FALSE,SUMPRODUCT(--ISNUMBER(SEARCH(","&amp;TRIM(TEXTSPLIT(EE222,","))&amp;",",","&amp;SUBSTITUTE(input_faculty_discipline," ","")&amp;",")))=COUNTA(TEXTSPLIT(EE222,",")))),IF(EG222="",TRUE,IF(input_faculty_discipline="",TRUE,SUMPRODUCT(--ISNUMBER(SEARCH(","&amp;TRIM(TEXTSPLIT(EG222,","))&amp;",",","&amp;SUBSTITUTE(input_faculty_discipline," ","")&amp;",")))=0)),IF(EI222="",TRUE,IF(input_faculty_discipline="",FALSE,SUMPRODUCT(--ISNUMBER(SEARCH(","&amp;TRIM(TEXTSPLIT(EI222,","))&amp;",",","&amp;SUBSTITUTE(input_faculty_discipline," ","")&amp;",")))&gt;0)),IF(EK222="",TRUE,IF(input_faculty_discipline="",FALSE,SUMPRODUCT(--ISNUMBER(SEARCH(","&amp;TRIM(TEXTSPLIT(EK222,","))&amp;",",","&amp;SUBSTITUTE(input_faculty_discipline," ","")&amp;",")))=COUNTA(TEXTSPLIT(EK222,",")))))</f>
        <v/>
      </c>
      <c r="JG222">
        <f>AND(IF(EM222="",TRUE,IF(input_faculty_expertise="",FALSE,SUMPRODUCT(--ISNUMBER(SEARCH(","&amp;TRIM(TEXTSPLIT(EM222,","))&amp;",",","&amp;SUBSTITUTE(input_faculty_expertise," ","")&amp;",")))&gt;0)),IF(EO222="",TRUE,IF(input_faculty_expertise="",FALSE,SUMPRODUCT(--ISNUMBER(SEARCH(","&amp;TRIM(TEXTSPLIT(EO222,","))&amp;",",","&amp;SUBSTITUTE(input_faculty_expertise," ","")&amp;",")))=COUNTA(TEXTSPLIT(EO222,",")))),IF(EQ222="",TRUE,IF(input_faculty_expertise="",TRUE,SUMPRODUCT(--ISNUMBER(SEARCH(","&amp;TRIM(TEXTSPLIT(EQ222,","))&amp;",",","&amp;SUBSTITUTE(input_faculty_expertise," ","")&amp;",")))=0)),IF(ES222="",TRUE,IF(input_faculty_expertise="",FALSE,SUMPRODUCT(--ISNUMBER(SEARCH(","&amp;TRIM(TEXTSPLIT(ES222,","))&amp;",",","&amp;SUBSTITUTE(input_faculty_expertise," ","")&amp;",")))&gt;0)),IF(EU222="",TRUE,IF(input_faculty_expertise="",FALSE,SUMPRODUCT(--ISNUMBER(SEARCH(","&amp;TRIM(TEXTSPLIT(EU222,","))&amp;",",","&amp;SUBSTITUTE(input_faculty_expertise," ","")&amp;",")))=COUNTA(TEXTSPLIT(EU222,",")))))</f>
        <v/>
      </c>
      <c r="JH222">
        <f>AND(IF(EW222="",TRUE,IF(input_global_network_school="",FALSE,SUMPRODUCT(--ISNUMBER(SEARCH(","&amp;TRIM(TEXTSPLIT(EW222,","))&amp;",",","&amp;SUBSTITUTE(input_global_network_school," ","")&amp;",")))&gt;0)),IF(EY222="",TRUE,IF(input_global_network_school="",FALSE,SUMPRODUCT(--ISNUMBER(SEARCH(","&amp;TRIM(TEXTSPLIT(EY222,","))&amp;",",","&amp;SUBSTITUTE(input_global_network_school," ","")&amp;",")))=COUNTA(TEXTSPLIT(EY222,",")))),IF(FA222="",TRUE,IF(input_global_network_school="",TRUE,SUMPRODUCT(--ISNUMBER(SEARCH(","&amp;TRIM(TEXTSPLIT(FA222,","))&amp;",",","&amp;SUBSTITUTE(input_global_network_school," ","")&amp;",")))=0)),IF(FC222="",TRUE,IF(input_global_network_school="",FALSE,SUMPRODUCT(--ISNUMBER(SEARCH(","&amp;TRIM(TEXTSPLIT(FC222,","))&amp;",",","&amp;SUBSTITUTE(input_global_network_school," ","")&amp;",")))&gt;0)),IF(FE222="",TRUE,IF(input_global_network_school="",FALSE,SUMPRODUCT(--ISNUMBER(SEARCH(","&amp;TRIM(TEXTSPLIT(FE222,","))&amp;",",","&amp;SUBSTITUTE(input_global_network_school," ","")&amp;",")))=COUNTA(TEXTSPLIT(FE222,",")))))</f>
        <v/>
      </c>
      <c r="JI222">
        <f>AND(IF(FG222="",TRUE,IF(input_industry="",FALSE,SUMPRODUCT(--ISNUMBER(SEARCH(","&amp;TRIM(TEXTSPLIT(FG222,","))&amp;",",","&amp;SUBSTITUTE(input_industry," ","")&amp;",")))&gt;0)),IF(FI222="",TRUE,IF(input_industry="",FALSE,SUMPRODUCT(--ISNUMBER(SEARCH(","&amp;TRIM(TEXTSPLIT(FI222,","))&amp;",",","&amp;SUBSTITUTE(input_industry," ","")&amp;",")))=COUNTA(TEXTSPLIT(FI222,",")))),IF(FK222="",TRUE,IF(input_industry="",TRUE,SUMPRODUCT(--ISNUMBER(SEARCH(","&amp;TRIM(TEXTSPLIT(FK222,","))&amp;",",","&amp;SUBSTITUTE(input_industry," ","")&amp;",")))=0)),IF(FM222="",TRUE,IF(input_industry="",FALSE,SUMPRODUCT(--ISNUMBER(SEARCH(","&amp;TRIM(TEXTSPLIT(FM222,","))&amp;",",","&amp;SUBSTITUTE(input_industry," ","")&amp;",")))&gt;0)),IF(FO222="",TRUE,IF(input_industry="",FALSE,SUMPRODUCT(--ISNUMBER(SEARCH(","&amp;TRIM(TEXTSPLIT(FO222,","))&amp;",",","&amp;SUBSTITUTE(input_industry," ","")&amp;",")))=COUNTA(TEXTSPLIT(FO222,",")))))</f>
        <v/>
      </c>
      <c r="JJ222">
        <f>AND(IF(FQ222="",TRUE,IF(input_location="",FALSE,SUMPRODUCT(--ISNUMBER(SEARCH(","&amp;TRIM(TEXTSPLIT(FQ222,","))&amp;",",","&amp;SUBSTITUTE(input_location," ","")&amp;",")))&gt;0)),IF(FS222="",TRUE,IF(input_location="",FALSE,SUMPRODUCT(--ISNUMBER(SEARCH(","&amp;TRIM(TEXTSPLIT(FS222,","))&amp;",",","&amp;SUBSTITUTE(input_location," ","")&amp;",")))=COUNTA(TEXTSPLIT(FS222,",")))),IF(FU222="",TRUE,IF(input_location="",TRUE,SUMPRODUCT(--ISNUMBER(SEARCH(","&amp;TRIM(TEXTSPLIT(FU222,","))&amp;",",","&amp;SUBSTITUTE(input_location," ","")&amp;",")))=0)),IF(FW222="",TRUE,IF(input_location="",FALSE,SUMPRODUCT(--ISNUMBER(SEARCH(","&amp;TRIM(TEXTSPLIT(FW222,","))&amp;",",","&amp;SUBSTITUTE(input_location," ","")&amp;",")))&gt;0)),IF(FY222="",TRUE,IF(input_location="",FALSE,SUMPRODUCT(--ISNUMBER(SEARCH(","&amp;TRIM(TEXTSPLIT(FY222,","))&amp;",",","&amp;SUBSTITUTE(input_location," ","")&amp;",")))=COUNTA(TEXTSPLIT(FY222,",")))))</f>
        <v/>
      </c>
      <c r="JK222">
        <f>AND(IF(GA222="",TRUE,IF(input_modality="",FALSE,SUMPRODUCT(--ISNUMBER(SEARCH(","&amp;TRIM(TEXTSPLIT(GA222,","))&amp;",",","&amp;SUBSTITUTE(input_modality," ","")&amp;",")))&gt;0)),IF(GC222="",TRUE,IF(input_modality="",FALSE,SUMPRODUCT(--ISNUMBER(SEARCH(","&amp;TRIM(TEXTSPLIT(GC222,","))&amp;",",","&amp;SUBSTITUTE(input_modality," ","")&amp;",")))=COUNTA(TEXTSPLIT(GC222,",")))),IF(GE222="",TRUE,IF(input_modality="",TRUE,SUMPRODUCT(--ISNUMBER(SEARCH(","&amp;TRIM(TEXTSPLIT(GE222,","))&amp;",",","&amp;SUBSTITUTE(input_modality," ","")&amp;",")))=0)),IF(GG222="",TRUE,IF(input_modality="",FALSE,SUMPRODUCT(--ISNUMBER(SEARCH(","&amp;TRIM(TEXTSPLIT(GG222,","))&amp;",",","&amp;SUBSTITUTE(input_modality," ","")&amp;",")))&gt;0)),IF(GI222="",TRUE,IF(input_modality="",FALSE,SUMPRODUCT(--ISNUMBER(SEARCH(","&amp;TRIM(TEXTSPLIT(GI222,","))&amp;",",","&amp;SUBSTITUTE(input_modality," ","")&amp;",")))=COUNTA(TEXTSPLIT(GI222,",")))))</f>
        <v/>
      </c>
      <c r="JL222">
        <f>AND(IF(GK222="",TRUE,IF(input_organizer="",FALSE,SUMPRODUCT(--ISNUMBER(SEARCH(","&amp;TRIM(TEXTSPLIT(GK222,","))&amp;",",","&amp;SUBSTITUTE(input_organizer," ","")&amp;",")))&gt;0)),IF(GM222="",TRUE,IF(input_organizer="",FALSE,SUMPRODUCT(--ISNUMBER(SEARCH(","&amp;TRIM(TEXTSPLIT(GM222,","))&amp;",",","&amp;SUBSTITUTE(input_organizer," ","")&amp;",")))=COUNTA(TEXTSPLIT(GM222,",")))),IF(GO222="",TRUE,IF(input_organizer="",TRUE,SUMPRODUCT(--ISNUMBER(SEARCH(","&amp;TRIM(TEXTSPLIT(GO222,","))&amp;",",","&amp;SUBSTITUTE(input_organizer," ","")&amp;",")))=0)),IF(GQ222="",TRUE,IF(input_organizer="",FALSE,SUMPRODUCT(--ISNUMBER(SEARCH(","&amp;TRIM(TEXTSPLIT(GQ222,","))&amp;",",","&amp;SUBSTITUTE(input_organizer," ","")&amp;",")))&gt;0)),IF(GS222="",TRUE,IF(input_organizer="",FALSE,SUMPRODUCT(--ISNUMBER(SEARCH(","&amp;TRIM(TEXTSPLIT(GS222,","))&amp;",",","&amp;SUBSTITUTE(input_organizer," ","")&amp;",")))=COUNTA(TEXTSPLIT(GS222,",")))))</f>
        <v/>
      </c>
      <c r="JM222">
        <f>AND(IF(GU222="",TRUE,IF(input_profile_type="",FALSE,SUMPRODUCT(--ISNUMBER(SEARCH(","&amp;TRIM(TEXTSPLIT(GU222,","))&amp;",",","&amp;SUBSTITUTE(input_profile_type," ","")&amp;",")))&gt;0)),IF(GW222="",TRUE,IF(input_profile_type="",FALSE,SUMPRODUCT(--ISNUMBER(SEARCH(","&amp;TRIM(TEXTSPLIT(GW222,","))&amp;",",","&amp;SUBSTITUTE(input_profile_type," ","")&amp;",")))=COUNTA(TEXTSPLIT(GW222,",")))),IF(GY222="",TRUE,IF(input_profile_type="",TRUE,SUMPRODUCT(--ISNUMBER(SEARCH(","&amp;TRIM(TEXTSPLIT(GY222,","))&amp;",",","&amp;SUBSTITUTE(input_profile_type," ","")&amp;",")))=0)),IF(HA222="",TRUE,IF(input_profile_type="",FALSE,SUMPRODUCT(--ISNUMBER(SEARCH(","&amp;TRIM(TEXTSPLIT(HA222,","))&amp;",",","&amp;SUBSTITUTE(input_profile_type," ","")&amp;",")))&gt;0)),IF(HC222="",TRUE,IF(input_profile_type="",FALSE,SUMPRODUCT(--ISNUMBER(SEARCH(","&amp;TRIM(TEXTSPLIT(HC222,","))&amp;",",","&amp;SUBSTITUTE(input_profile_type," ","")&amp;",")))=COUNTA(TEXTSPLIT(HC222,",")))))</f>
        <v/>
      </c>
      <c r="JN222">
        <f>AND(IF(HE222="",TRUE,IF(input_program="",FALSE,SUMPRODUCT(--ISNUMBER(SEARCH(","&amp;TRIM(TEXTSPLIT(HE222,","))&amp;",",","&amp;SUBSTITUTE(input_program," ","")&amp;",")))&gt;0)),IF(HG222="",TRUE,IF(input_program="",FALSE,SUMPRODUCT(--ISNUMBER(SEARCH(","&amp;TRIM(TEXTSPLIT(HG222,","))&amp;",",","&amp;SUBSTITUTE(input_program," ","")&amp;",")))=COUNTA(TEXTSPLIT(HG222,",")))),IF(HI222="",TRUE,IF(input_program="",TRUE,SUMPRODUCT(--ISNUMBER(SEARCH(","&amp;TRIM(TEXTSPLIT(HI222,","))&amp;",",","&amp;SUBSTITUTE(input_program," ","")&amp;",")))=0)),IF(HK222="",TRUE,IF(input_program="",FALSE,SUMPRODUCT(--ISNUMBER(SEARCH(","&amp;TRIM(TEXTSPLIT(HK222,","))&amp;",",","&amp;SUBSTITUTE(input_program," ","")&amp;",")))&gt;0)),IF(HM222="",TRUE,IF(input_program="",FALSE,SUMPRODUCT(--ISNUMBER(SEARCH(","&amp;TRIM(TEXTSPLIT(HM222,","))&amp;",",","&amp;SUBSTITUTE(input_program," ","")&amp;",")))=COUNTA(TEXTSPLIT(HM222,",")))))</f>
        <v/>
      </c>
      <c r="JO222">
        <f>AND(IF(HO222="",TRUE,IF(input_story_categories="",FALSE,SUMPRODUCT(--ISNUMBER(SEARCH(","&amp;TRIM(TEXTSPLIT(HO222,","))&amp;",",","&amp;SUBSTITUTE(input_story_categories," ","")&amp;",")))&gt;0)),IF(HQ222="",TRUE,IF(input_story_categories="",FALSE,SUMPRODUCT(--ISNUMBER(SEARCH(","&amp;TRIM(TEXTSPLIT(HQ222,","))&amp;",",","&amp;SUBSTITUTE(input_story_categories," ","")&amp;",")))=COUNTA(TEXTSPLIT(HQ222,",")))),IF(HS222="",TRUE,IF(input_story_categories="",TRUE,SUMPRODUCT(--ISNUMBER(SEARCH(","&amp;TRIM(TEXTSPLIT(HS222,","))&amp;",",","&amp;SUBSTITUTE(input_story_categories," ","")&amp;",")))=0)),IF(HU222="",TRUE,IF(input_story_categories="",FALSE,SUMPRODUCT(--ISNUMBER(SEARCH(","&amp;TRIM(TEXTSPLIT(HU222,","))&amp;",",","&amp;SUBSTITUTE(input_story_categories," ","")&amp;",")))&gt;0)),IF(HW222="",TRUE,IF(input_story_categories="",FALSE,SUMPRODUCT(--ISNUMBER(SEARCH(","&amp;TRIM(TEXTSPLIT(HW222,","))&amp;",",","&amp;SUBSTITUTE(input_story_categories," ","")&amp;",")))=COUNTA(TEXTSPLIT(HW222,",")))))</f>
        <v/>
      </c>
      <c r="JP222">
        <f>AND(IF(HY222="",TRUE,IF(input_story_type="",FALSE,SUMPRODUCT(--ISNUMBER(SEARCH(","&amp;TRIM(TEXTSPLIT(HY222,","))&amp;",",","&amp;SUBSTITUTE(input_story_type," ","")&amp;",")))&gt;0)),IF(IA222="",TRUE,IF(input_story_type="",FALSE,SUMPRODUCT(--ISNUMBER(SEARCH(","&amp;TRIM(TEXTSPLIT(IA222,","))&amp;",",","&amp;SUBSTITUTE(input_story_type," ","")&amp;",")))=COUNTA(TEXTSPLIT(IA222,",")))),IF(IC222="",TRUE,IF(input_story_type="",TRUE,SUMPRODUCT(--ISNUMBER(SEARCH(","&amp;TRIM(TEXTSPLIT(IC222,","))&amp;",",","&amp;SUBSTITUTE(input_story_type," ","")&amp;",")))=0)),IF(IE222="",TRUE,IF(input_story_type="",FALSE,SUMPRODUCT(--ISNUMBER(SEARCH(","&amp;TRIM(TEXTSPLIT(IE222,","))&amp;",",","&amp;SUBSTITUTE(input_story_type," ","")&amp;",")))&gt;0)),IF(IG222="",TRUE,IF(input_story_type="",FALSE,SUMPRODUCT(--ISNUMBER(SEARCH(","&amp;TRIM(TEXTSPLIT(IG222,","))&amp;",",","&amp;SUBSTITUTE(input_story_type," ","")&amp;",")))=COUNTA(TEXTSPLIT(IG222,",")))))</f>
        <v/>
      </c>
      <c r="JQ222">
        <f>AND(IF(II222="",TRUE,IF(input_topics="",FALSE,SUMPRODUCT(--ISNUMBER(SEARCH(","&amp;TRIM(TEXTSPLIT(II222,","))&amp;",",","&amp;SUBSTITUTE(input_topics," ","")&amp;",")))&gt;0)),IF(IK222="",TRUE,IF(input_topics="",FALSE,SUMPRODUCT(--ISNUMBER(SEARCH(","&amp;TRIM(TEXTSPLIT(IK222,","))&amp;",",","&amp;SUBSTITUTE(input_topics," ","")&amp;",")))=COUNTA(TEXTSPLIT(IK222,",")))),IF(IM222="",TRUE,IF(input_topics="",TRUE,SUMPRODUCT(--ISNUMBER(SEARCH(","&amp;TRIM(TEXTSPLIT(IM222,","))&amp;",",","&amp;SUBSTITUTE(input_topics," ","")&amp;",")))=0)),IF(IO222="",TRUE,IF(input_topics="",FALSE,SUMPRODUCT(--ISNUMBER(SEARCH(","&amp;TRIM(TEXTSPLIT(IO222,","))&amp;",",","&amp;SUBSTITUTE(input_topics," ","")&amp;",")))&gt;0)),IF(IQ222="",TRUE,IF(input_topics="",FALSE,SUMPRODUCT(--ISNUMBER(SEARCH(","&amp;TRIM(TEXTSPLIT(IQ222,","))&amp;",",","&amp;SUBSTITUTE(input_topics," ","")&amp;",")))=COUNTA(TEXTSPLIT(IQ222,",")))))</f>
        <v/>
      </c>
    </row>
    <row r="223">
      <c r="A223" s="4">
        <f>IF(NOT(IS223),"Excluded",IF(AND(IT223,IU223,IV223,IW223,IX223,IY223,IZ223,JA223,JB223,JC223,JD223,JE223,JF223,JG223,JH223,JI223,JJ223,JK223,JL223,JM223,JN223,JO223,JP223,JQ223),IF(I223&gt;0,"Eligible but limited","Will appear"),"Excluded"))</f>
        <v/>
      </c>
      <c r="B223" s="4" t="inlineStr">
        <is>
          <t>Related stories on story pages</t>
        </is>
      </c>
      <c r="C223" s="4" t="inlineStr">
        <is>
          <t>/story/2026/news-systemic-risk-friday-march-6-2026-945-am</t>
        </is>
      </c>
      <c r="D223" s="4" t="inlineStr">
        <is>
          <t>/story/2026/news-systemic-risk-friday-march-6-2026-945-am
/story/2026/news-systemic-risk-thursday-march-5-2026-945-am
/story/2026/news-systemic-risk-wednesday-march-4-2026-945-am</t>
        </is>
      </c>
      <c r="E223" s="4" t="n">
        <v>3</v>
      </c>
      <c r="F223" s="4" t="inlineStr">
        <is>
          <t>story</t>
        </is>
      </c>
      <c r="G223" s="4" t="inlineStr">
        <is>
          <t>stories_teaser_cards</t>
        </is>
      </c>
      <c r="H223" s="4" t="inlineStr">
        <is>
          <t>embed_all</t>
        </is>
      </c>
      <c r="I223" s="4" t="n">
        <v>3</v>
      </c>
      <c r="J223" s="4" t="inlineStr">
        <is>
          <t>Template logic</t>
        </is>
      </c>
      <c r="K223" s="4" t="inlineStr">
        <is>
          <t>Grouped surface</t>
        </is>
      </c>
      <c r="L223" s="4" t="inlineStr">
        <is>
          <t>Content type: story; Context uses Courses Context: Program on Financial Stability (955); Context uses Story Type: Blog (974); Limited to 3 item(s); Source: Template logic</t>
        </is>
      </c>
      <c r="M223" t="inlineStr"/>
      <c r="N223" t="inlineStr"/>
      <c r="O223" t="inlineStr"/>
      <c r="P223" t="inlineStr"/>
      <c r="Q223" t="inlineStr"/>
      <c r="R223" t="inlineStr"/>
      <c r="S223" t="inlineStr"/>
      <c r="T223" t="inlineStr"/>
      <c r="U223" t="inlineStr"/>
      <c r="V223" t="inlineStr"/>
      <c r="W223" t="inlineStr"/>
      <c r="X223" t="inlineStr"/>
      <c r="Y223" t="inlineStr"/>
      <c r="Z223" t="inlineStr"/>
      <c r="AA223" t="inlineStr"/>
      <c r="AB223" t="inlineStr"/>
      <c r="AC223" t="inlineStr"/>
      <c r="AD223" t="inlineStr"/>
      <c r="AE223" t="inlineStr"/>
      <c r="AF223" t="inlineStr"/>
      <c r="AG223" t="inlineStr"/>
      <c r="AH223" t="inlineStr"/>
      <c r="AI223" t="inlineStr"/>
      <c r="AJ223" t="inlineStr"/>
      <c r="AK223" t="inlineStr"/>
      <c r="AL223" t="inlineStr"/>
      <c r="AM223" t="inlineStr"/>
      <c r="AN223" t="inlineStr"/>
      <c r="AO223" t="inlineStr"/>
      <c r="AP223" t="inlineStr"/>
      <c r="AQ223" t="inlineStr"/>
      <c r="AR223" t="inlineStr"/>
      <c r="AS223" t="inlineStr"/>
      <c r="AT223" t="inlineStr"/>
      <c r="AU223" t="inlineStr"/>
      <c r="AV223" t="inlineStr"/>
      <c r="AW223" t="inlineStr"/>
      <c r="AX223" t="inlineStr"/>
      <c r="AY223" t="inlineStr"/>
      <c r="AZ223" t="inlineStr"/>
      <c r="BA223" t="inlineStr"/>
      <c r="BB223" t="inlineStr"/>
      <c r="BC223" t="inlineStr"/>
      <c r="BD223" t="inlineStr"/>
      <c r="BE223" t="inlineStr"/>
      <c r="BF223" t="inlineStr"/>
      <c r="BG223" t="inlineStr"/>
      <c r="BH223" t="inlineStr"/>
      <c r="BI223" t="inlineStr"/>
      <c r="BJ223" t="inlineStr"/>
      <c r="BK223" t="inlineStr"/>
      <c r="BL223" t="inlineStr"/>
      <c r="BM223" t="inlineStr"/>
      <c r="BN223" t="inlineStr"/>
      <c r="BO223" t="inlineStr"/>
      <c r="BP223" t="inlineStr"/>
      <c r="BQ223" t="inlineStr">
        <is>
          <t>955</t>
        </is>
      </c>
      <c r="BR223" t="inlineStr">
        <is>
          <t>Program on Financial Stability (955)</t>
        </is>
      </c>
      <c r="BS223" t="inlineStr"/>
      <c r="BT223" t="inlineStr"/>
      <c r="BU223" t="inlineStr"/>
      <c r="BV223" t="inlineStr"/>
      <c r="BW223" t="inlineStr"/>
      <c r="BX223" t="inlineStr"/>
      <c r="BY223" t="inlineStr"/>
      <c r="BZ223" t="inlineStr"/>
      <c r="CA223" t="inlineStr"/>
      <c r="CB223" t="inlineStr"/>
      <c r="CC223" t="inlineStr"/>
      <c r="CD223" t="inlineStr"/>
      <c r="CE223" t="inlineStr"/>
      <c r="CF223" t="inlineStr"/>
      <c r="CG223" t="inlineStr"/>
      <c r="CH223" t="inlineStr"/>
      <c r="CI223" t="inlineStr"/>
      <c r="CJ223" t="inlineStr"/>
      <c r="CK223" t="inlineStr"/>
      <c r="CL223" t="inlineStr"/>
      <c r="CM223" t="inlineStr"/>
      <c r="CN223" t="inlineStr"/>
      <c r="CO223" t="inlineStr"/>
      <c r="CP223" t="inlineStr"/>
      <c r="CQ223" t="inlineStr"/>
      <c r="CR223" t="inlineStr"/>
      <c r="CS223" t="inlineStr"/>
      <c r="CT223" t="inlineStr"/>
      <c r="CU223" t="inlineStr"/>
      <c r="CV223" t="inlineStr"/>
      <c r="CW223" t="inlineStr"/>
      <c r="CX223" t="inlineStr"/>
      <c r="CY223" t="inlineStr"/>
      <c r="CZ223" t="inlineStr"/>
      <c r="DA223" t="inlineStr"/>
      <c r="DB223" t="inlineStr"/>
      <c r="DC223" t="inlineStr"/>
      <c r="DD223" t="inlineStr"/>
      <c r="DE223" t="inlineStr"/>
      <c r="DF223" t="inlineStr"/>
      <c r="DG223" t="inlineStr"/>
      <c r="DH223" t="inlineStr"/>
      <c r="DI223" t="inlineStr"/>
      <c r="DJ223" t="inlineStr"/>
      <c r="DK223" t="inlineStr"/>
      <c r="DL223" t="inlineStr"/>
      <c r="DM223" t="inlineStr"/>
      <c r="DN223" t="inlineStr"/>
      <c r="DO223" t="inlineStr"/>
      <c r="DP223" t="inlineStr"/>
      <c r="DQ223" t="inlineStr"/>
      <c r="DR223" t="inlineStr"/>
      <c r="DS223" t="inlineStr"/>
      <c r="DT223" t="inlineStr"/>
      <c r="DU223" t="inlineStr"/>
      <c r="DV223" t="inlineStr"/>
      <c r="DW223" t="inlineStr"/>
      <c r="DX223" t="inlineStr"/>
      <c r="DY223" t="inlineStr"/>
      <c r="DZ223" t="inlineStr"/>
      <c r="EA223" t="inlineStr"/>
      <c r="EB223" t="inlineStr"/>
      <c r="EC223" t="inlineStr"/>
      <c r="ED223" t="inlineStr"/>
      <c r="EE223" t="inlineStr"/>
      <c r="EF223" t="inlineStr"/>
      <c r="EG223" t="inlineStr"/>
      <c r="EH223" t="inlineStr"/>
      <c r="EI223" t="inlineStr"/>
      <c r="EJ223" t="inlineStr"/>
      <c r="EK223" t="inlineStr"/>
      <c r="EL223" t="inlineStr"/>
      <c r="EM223" t="inlineStr"/>
      <c r="EN223" t="inlineStr"/>
      <c r="EO223" t="inlineStr"/>
      <c r="EP223" t="inlineStr"/>
      <c r="EQ223" t="inlineStr"/>
      <c r="ER223" t="inlineStr"/>
      <c r="ES223" t="inlineStr"/>
      <c r="ET223" t="inlineStr"/>
      <c r="EU223" t="inlineStr"/>
      <c r="EV223" t="inlineStr"/>
      <c r="EW223" t="inlineStr"/>
      <c r="EX223" t="inlineStr"/>
      <c r="EY223" t="inlineStr"/>
      <c r="EZ223" t="inlineStr"/>
      <c r="FA223" t="inlineStr"/>
      <c r="FB223" t="inlineStr"/>
      <c r="FC223" t="inlineStr"/>
      <c r="FD223" t="inlineStr"/>
      <c r="FE223" t="inlineStr"/>
      <c r="FF223" t="inlineStr"/>
      <c r="FG223" t="inlineStr"/>
      <c r="FH223" t="inlineStr"/>
      <c r="FI223" t="inlineStr"/>
      <c r="FJ223" t="inlineStr"/>
      <c r="FK223" t="inlineStr"/>
      <c r="FL223" t="inlineStr"/>
      <c r="FM223" t="inlineStr"/>
      <c r="FN223" t="inlineStr"/>
      <c r="FO223" t="inlineStr"/>
      <c r="FP223" t="inlineStr"/>
      <c r="FQ223" t="inlineStr"/>
      <c r="FR223" t="inlineStr"/>
      <c r="FS223" t="inlineStr"/>
      <c r="FT223" t="inlineStr"/>
      <c r="FU223" t="inlineStr"/>
      <c r="FV223" t="inlineStr"/>
      <c r="FW223" t="inlineStr"/>
      <c r="FX223" t="inlineStr"/>
      <c r="FY223" t="inlineStr"/>
      <c r="FZ223" t="inlineStr"/>
      <c r="GA223" t="inlineStr"/>
      <c r="GB223" t="inlineStr"/>
      <c r="GC223" t="inlineStr"/>
      <c r="GD223" t="inlineStr"/>
      <c r="GE223" t="inlineStr"/>
      <c r="GF223" t="inlineStr"/>
      <c r="GG223" t="inlineStr"/>
      <c r="GH223" t="inlineStr"/>
      <c r="GI223" t="inlineStr"/>
      <c r="GJ223" t="inlineStr"/>
      <c r="GK223" t="inlineStr"/>
      <c r="GL223" t="inlineStr"/>
      <c r="GM223" t="inlineStr"/>
      <c r="GN223" t="inlineStr"/>
      <c r="GO223" t="inlineStr"/>
      <c r="GP223" t="inlineStr"/>
      <c r="GQ223" t="inlineStr"/>
      <c r="GR223" t="inlineStr"/>
      <c r="GS223" t="inlineStr"/>
      <c r="GT223" t="inlineStr"/>
      <c r="GU223" t="inlineStr"/>
      <c r="GV223" t="inlineStr"/>
      <c r="GW223" t="inlineStr"/>
      <c r="GX223" t="inlineStr"/>
      <c r="GY223" t="inlineStr"/>
      <c r="GZ223" t="inlineStr"/>
      <c r="HA223" t="inlineStr"/>
      <c r="HB223" t="inlineStr"/>
      <c r="HC223" t="inlineStr"/>
      <c r="HD223" t="inlineStr"/>
      <c r="HE223" t="inlineStr"/>
      <c r="HF223" t="inlineStr"/>
      <c r="HG223" t="inlineStr"/>
      <c r="HH223" t="inlineStr"/>
      <c r="HI223" t="inlineStr"/>
      <c r="HJ223" t="inlineStr"/>
      <c r="HK223" t="inlineStr"/>
      <c r="HL223" t="inlineStr"/>
      <c r="HM223" t="inlineStr"/>
      <c r="HN223" t="inlineStr"/>
      <c r="HO223" t="inlineStr"/>
      <c r="HP223" t="inlineStr"/>
      <c r="HQ223" t="inlineStr"/>
      <c r="HR223" t="inlineStr"/>
      <c r="HS223" t="inlineStr"/>
      <c r="HT223" t="inlineStr"/>
      <c r="HU223" t="inlineStr"/>
      <c r="HV223" t="inlineStr"/>
      <c r="HW223" t="inlineStr"/>
      <c r="HX223" t="inlineStr"/>
      <c r="HY223" t="inlineStr"/>
      <c r="HZ223" t="inlineStr"/>
      <c r="IA223" t="inlineStr"/>
      <c r="IB223" t="inlineStr"/>
      <c r="IC223" t="inlineStr"/>
      <c r="ID223" t="inlineStr"/>
      <c r="IE223" t="inlineStr">
        <is>
          <t>974</t>
        </is>
      </c>
      <c r="IF223" t="inlineStr">
        <is>
          <t>Blog (974)</t>
        </is>
      </c>
      <c r="IG223" t="inlineStr"/>
      <c r="IH223" t="inlineStr"/>
      <c r="II223" t="inlineStr"/>
      <c r="IJ223" t="inlineStr"/>
      <c r="IK223" t="inlineStr"/>
      <c r="IL223" t="inlineStr"/>
      <c r="IM223" t="inlineStr"/>
      <c r="IN223" t="inlineStr"/>
      <c r="IO223" t="inlineStr"/>
      <c r="IP223" t="inlineStr"/>
      <c r="IQ223" t="inlineStr"/>
      <c r="IR223" t="inlineStr"/>
      <c r="IS223">
        <f>IF(input_content_type="",FALSE,ISNUMBER(SEARCH(","&amp;LOWER(input_content_type)&amp;",",","&amp;LOWER(F223)&amp;",")))</f>
        <v/>
      </c>
      <c r="IT223">
        <f>AND(IF(M223="",TRUE,IF(input_affiliations="",FALSE,SUMPRODUCT(--ISNUMBER(SEARCH(","&amp;TRIM(TEXTSPLIT(M223,","))&amp;",",","&amp;SUBSTITUTE(input_affiliations," ","")&amp;",")))&gt;0)),IF(O223="",TRUE,IF(input_affiliations="",FALSE,SUMPRODUCT(--ISNUMBER(SEARCH(","&amp;TRIM(TEXTSPLIT(O223,","))&amp;",",","&amp;SUBSTITUTE(input_affiliations," ","")&amp;",")))=COUNTA(TEXTSPLIT(O223,",")))),IF(Q223="",TRUE,IF(input_affiliations="",TRUE,SUMPRODUCT(--ISNUMBER(SEARCH(","&amp;TRIM(TEXTSPLIT(Q223,","))&amp;",",","&amp;SUBSTITUTE(input_affiliations," ","")&amp;",")))=0)),IF(S223="",TRUE,IF(input_affiliations="",FALSE,SUMPRODUCT(--ISNUMBER(SEARCH(","&amp;TRIM(TEXTSPLIT(S223,","))&amp;",",","&amp;SUBSTITUTE(input_affiliations," ","")&amp;",")))&gt;0)),IF(U223="",TRUE,IF(input_affiliations="",FALSE,SUMPRODUCT(--ISNUMBER(SEARCH(","&amp;TRIM(TEXTSPLIT(U223,","))&amp;",",","&amp;SUBSTITUTE(input_affiliations," ","")&amp;",")))=COUNTA(TEXTSPLIT(U223,",")))))</f>
        <v/>
      </c>
      <c r="IU223">
        <f>AND(IF(W223="",TRUE,IF(input_announcement_category="",FALSE,SUMPRODUCT(--ISNUMBER(SEARCH(","&amp;TRIM(TEXTSPLIT(W223,","))&amp;",",","&amp;SUBSTITUTE(input_announcement_category," ","")&amp;",")))&gt;0)),IF(Y223="",TRUE,IF(input_announcement_category="",FALSE,SUMPRODUCT(--ISNUMBER(SEARCH(","&amp;TRIM(TEXTSPLIT(Y223,","))&amp;",",","&amp;SUBSTITUTE(input_announcement_category," ","")&amp;",")))=COUNTA(TEXTSPLIT(Y223,",")))),IF(AA223="",TRUE,IF(input_announcement_category="",TRUE,SUMPRODUCT(--ISNUMBER(SEARCH(","&amp;TRIM(TEXTSPLIT(AA223,","))&amp;",",","&amp;SUBSTITUTE(input_announcement_category," ","")&amp;",")))=0)),IF(AC223="",TRUE,IF(input_announcement_category="",FALSE,SUMPRODUCT(--ISNUMBER(SEARCH(","&amp;TRIM(TEXTSPLIT(AC223,","))&amp;",",","&amp;SUBSTITUTE(input_announcement_category," ","")&amp;",")))&gt;0)),IF(AE223="",TRUE,IF(input_announcement_category="",FALSE,SUMPRODUCT(--ISNUMBER(SEARCH(","&amp;TRIM(TEXTSPLIT(AE223,","))&amp;",",","&amp;SUBSTITUTE(input_announcement_category," ","")&amp;",")))=COUNTA(TEXTSPLIT(AE223,",")))))</f>
        <v/>
      </c>
      <c r="IV223">
        <f>AND(IF(AG223="",TRUE,IF(input_area_of_focus="",FALSE,SUMPRODUCT(--ISNUMBER(SEARCH(","&amp;TRIM(TEXTSPLIT(AG223,","))&amp;",",","&amp;SUBSTITUTE(input_area_of_focus," ","")&amp;",")))&gt;0)),IF(AI223="",TRUE,IF(input_area_of_focus="",FALSE,SUMPRODUCT(--ISNUMBER(SEARCH(","&amp;TRIM(TEXTSPLIT(AI223,","))&amp;",",","&amp;SUBSTITUTE(input_area_of_focus," ","")&amp;",")))=COUNTA(TEXTSPLIT(AI223,",")))),IF(AK223="",TRUE,IF(input_area_of_focus="",TRUE,SUMPRODUCT(--ISNUMBER(SEARCH(","&amp;TRIM(TEXTSPLIT(AK223,","))&amp;",",","&amp;SUBSTITUTE(input_area_of_focus," ","")&amp;",")))=0)),IF(AM223="",TRUE,IF(input_area_of_focus="",FALSE,SUMPRODUCT(--ISNUMBER(SEARCH(","&amp;TRIM(TEXTSPLIT(AM223,","))&amp;",",","&amp;SUBSTITUTE(input_area_of_focus," ","")&amp;",")))&gt;0)),IF(AO223="",TRUE,IF(input_area_of_focus="",FALSE,SUMPRODUCT(--ISNUMBER(SEARCH(","&amp;TRIM(TEXTSPLIT(AO223,","))&amp;",",","&amp;SUBSTITUTE(input_area_of_focus," ","")&amp;",")))=COUNTA(TEXTSPLIT(AO223,",")))))</f>
        <v/>
      </c>
      <c r="IW223">
        <f>AND(IF(AQ223="",TRUE,IF(input_audience="",FALSE,SUMPRODUCT(--ISNUMBER(SEARCH(","&amp;TRIM(TEXTSPLIT(AQ223,","))&amp;",",","&amp;SUBSTITUTE(input_audience," ","")&amp;",")))&gt;0)),IF(AS223="",TRUE,IF(input_audience="",FALSE,SUMPRODUCT(--ISNUMBER(SEARCH(","&amp;TRIM(TEXTSPLIT(AS223,","))&amp;",",","&amp;SUBSTITUTE(input_audience," ","")&amp;",")))=COUNTA(TEXTSPLIT(AS223,",")))),IF(AU223="",TRUE,IF(input_audience="",TRUE,SUMPRODUCT(--ISNUMBER(SEARCH(","&amp;TRIM(TEXTSPLIT(AU223,","))&amp;",",","&amp;SUBSTITUTE(input_audience," ","")&amp;",")))=0)),IF(AW223="",TRUE,IF(input_audience="",FALSE,SUMPRODUCT(--ISNUMBER(SEARCH(","&amp;TRIM(TEXTSPLIT(AW223,","))&amp;",",","&amp;SUBSTITUTE(input_audience," ","")&amp;",")))&gt;0)),IF(AY223="",TRUE,IF(input_audience="",FALSE,SUMPRODUCT(--ISNUMBER(SEARCH(","&amp;TRIM(TEXTSPLIT(AY223,","))&amp;",",","&amp;SUBSTITUTE(input_audience," ","")&amp;",")))=COUNTA(TEXTSPLIT(AY223,",")))))</f>
        <v/>
      </c>
      <c r="IX223">
        <f>AND(IF(BA223="",TRUE,IF(input_challenge_opportunities="",FALSE,SUMPRODUCT(--ISNUMBER(SEARCH(","&amp;TRIM(TEXTSPLIT(BA223,","))&amp;",",","&amp;SUBSTITUTE(input_challenge_opportunities," ","")&amp;",")))&gt;0)),IF(BC223="",TRUE,IF(input_challenge_opportunities="",FALSE,SUMPRODUCT(--ISNUMBER(SEARCH(","&amp;TRIM(TEXTSPLIT(BC223,","))&amp;",",","&amp;SUBSTITUTE(input_challenge_opportunities," ","")&amp;",")))=COUNTA(TEXTSPLIT(BC223,",")))),IF(BE223="",TRUE,IF(input_challenge_opportunities="",TRUE,SUMPRODUCT(--ISNUMBER(SEARCH(","&amp;TRIM(TEXTSPLIT(BE223,","))&amp;",",","&amp;SUBSTITUTE(input_challenge_opportunities," ","")&amp;",")))=0)),IF(BG223="",TRUE,IF(input_challenge_opportunities="",FALSE,SUMPRODUCT(--ISNUMBER(SEARCH(","&amp;TRIM(TEXTSPLIT(BG223,","))&amp;",",","&amp;SUBSTITUTE(input_challenge_opportunities," ","")&amp;",")))&gt;0)),IF(BI223="",TRUE,IF(input_challenge_opportunities="",FALSE,SUMPRODUCT(--ISNUMBER(SEARCH(","&amp;TRIM(TEXTSPLIT(BI223,","))&amp;",",","&amp;SUBSTITUTE(input_challenge_opportunities," ","")&amp;",")))=COUNTA(TEXTSPLIT(BI223,",")))))</f>
        <v/>
      </c>
      <c r="IY223">
        <f>AND(IF(BK223="",TRUE,IF(input_context="",FALSE,SUMPRODUCT(--ISNUMBER(SEARCH(","&amp;TRIM(TEXTSPLIT(BK223,","))&amp;",",","&amp;SUBSTITUTE(input_context," ","")&amp;",")))&gt;0)),IF(BM223="",TRUE,IF(input_context="",FALSE,SUMPRODUCT(--ISNUMBER(SEARCH(","&amp;TRIM(TEXTSPLIT(BM223,","))&amp;",",","&amp;SUBSTITUTE(input_context," ","")&amp;",")))=COUNTA(TEXTSPLIT(BM223,",")))),IF(BO223="",TRUE,IF(input_context="",TRUE,SUMPRODUCT(--ISNUMBER(SEARCH(","&amp;TRIM(TEXTSPLIT(BO223,","))&amp;",",","&amp;SUBSTITUTE(input_context," ","")&amp;",")))=0)),IF(BQ223="",TRUE,IF(input_context="",FALSE,SUMPRODUCT(--ISNUMBER(SEARCH(","&amp;TRIM(TEXTSPLIT(BQ223,","))&amp;",",","&amp;SUBSTITUTE(input_context," ","")&amp;",")))&gt;0)),IF(BS223="",TRUE,IF(input_context="",FALSE,SUMPRODUCT(--ISNUMBER(SEARCH(","&amp;TRIM(TEXTSPLIT(BS223,","))&amp;",",","&amp;SUBSTITUTE(input_context," ","")&amp;",")))=COUNTA(TEXTSPLIT(BS223,",")))))</f>
        <v/>
      </c>
      <c r="IZ223">
        <f>AND(IF(BU223="",TRUE,IF(input_enews_announcement_type="",FALSE,SUMPRODUCT(--ISNUMBER(SEARCH(","&amp;TRIM(TEXTSPLIT(BU223,","))&amp;",",","&amp;SUBSTITUTE(input_enews_announcement_type," ","")&amp;",")))&gt;0)),IF(BW223="",TRUE,IF(input_enews_announcement_type="",FALSE,SUMPRODUCT(--ISNUMBER(SEARCH(","&amp;TRIM(TEXTSPLIT(BW223,","))&amp;",",","&amp;SUBSTITUTE(input_enews_announcement_type," ","")&amp;",")))=COUNTA(TEXTSPLIT(BW223,",")))),IF(BY223="",TRUE,IF(input_enews_announcement_type="",TRUE,SUMPRODUCT(--ISNUMBER(SEARCH(","&amp;TRIM(TEXTSPLIT(BY223,","))&amp;",",","&amp;SUBSTITUTE(input_enews_announcement_type," ","")&amp;",")))=0)),IF(CA223="",TRUE,IF(input_enews_announcement_type="",FALSE,SUMPRODUCT(--ISNUMBER(SEARCH(","&amp;TRIM(TEXTSPLIT(CA223,","))&amp;",",","&amp;SUBSTITUTE(input_enews_announcement_type," ","")&amp;",")))&gt;0)),IF(CC223="",TRUE,IF(input_enews_announcement_type="",FALSE,SUMPRODUCT(--ISNUMBER(SEARCH(","&amp;TRIM(TEXTSPLIT(CC223,","))&amp;",",","&amp;SUBSTITUTE(input_enews_announcement_type," ","")&amp;",")))=COUNTA(TEXTSPLIT(CC223,",")))))</f>
        <v/>
      </c>
      <c r="JA223">
        <f>AND(IF(CE223="",TRUE,IF(input_enews_audience="",FALSE,SUMPRODUCT(--ISNUMBER(SEARCH(","&amp;TRIM(TEXTSPLIT(CE223,","))&amp;",",","&amp;SUBSTITUTE(input_enews_audience," ","")&amp;",")))&gt;0)),IF(CG223="",TRUE,IF(input_enews_audience="",FALSE,SUMPRODUCT(--ISNUMBER(SEARCH(","&amp;TRIM(TEXTSPLIT(CG223,","))&amp;",",","&amp;SUBSTITUTE(input_enews_audience," ","")&amp;",")))=COUNTA(TEXTSPLIT(CG223,",")))),IF(CI223="",TRUE,IF(input_enews_audience="",TRUE,SUMPRODUCT(--ISNUMBER(SEARCH(","&amp;TRIM(TEXTSPLIT(CI223,","))&amp;",",","&amp;SUBSTITUTE(input_enews_audience," ","")&amp;",")))=0)),IF(CK223="",TRUE,IF(input_enews_audience="",FALSE,SUMPRODUCT(--ISNUMBER(SEARCH(","&amp;TRIM(TEXTSPLIT(CK223,","))&amp;",",","&amp;SUBSTITUTE(input_enews_audience," ","")&amp;",")))&gt;0)),IF(CM223="",TRUE,IF(input_enews_audience="",FALSE,SUMPRODUCT(--ISNUMBER(SEARCH(","&amp;TRIM(TEXTSPLIT(CM223,","))&amp;",",","&amp;SUBSTITUTE(input_enews_audience," ","")&amp;",")))=COUNTA(TEXTSPLIT(CM223,",")))))</f>
        <v/>
      </c>
      <c r="JB223">
        <f>AND(IF(CO223="",TRUE,IF(input_event_location="",FALSE,SUMPRODUCT(--ISNUMBER(SEARCH(","&amp;TRIM(TEXTSPLIT(CO223,","))&amp;",",","&amp;SUBSTITUTE(input_event_location," ","")&amp;",")))&gt;0)),IF(CQ223="",TRUE,IF(input_event_location="",FALSE,SUMPRODUCT(--ISNUMBER(SEARCH(","&amp;TRIM(TEXTSPLIT(CQ223,","))&amp;",",","&amp;SUBSTITUTE(input_event_location," ","")&amp;",")))=COUNTA(TEXTSPLIT(CQ223,",")))),IF(CS223="",TRUE,IF(input_event_location="",TRUE,SUMPRODUCT(--ISNUMBER(SEARCH(","&amp;TRIM(TEXTSPLIT(CS223,","))&amp;",",","&amp;SUBSTITUTE(input_event_location," ","")&amp;",")))=0)),IF(CU223="",TRUE,IF(input_event_location="",FALSE,SUMPRODUCT(--ISNUMBER(SEARCH(","&amp;TRIM(TEXTSPLIT(CU223,","))&amp;",",","&amp;SUBSTITUTE(input_event_location," ","")&amp;",")))&gt;0)),IF(CW223="",TRUE,IF(input_event_location="",FALSE,SUMPRODUCT(--ISNUMBER(SEARCH(","&amp;TRIM(TEXTSPLIT(CW223,","))&amp;",",","&amp;SUBSTITUTE(input_event_location," ","")&amp;",")))=COUNTA(TEXTSPLIT(CW223,",")))))</f>
        <v/>
      </c>
      <c r="JC223">
        <f>AND(IF(CY223="",TRUE,IF(input_event_type="",FALSE,SUMPRODUCT(--ISNUMBER(SEARCH(","&amp;TRIM(TEXTSPLIT(CY223,","))&amp;",",","&amp;SUBSTITUTE(input_event_type," ","")&amp;",")))&gt;0)),IF(DA223="",TRUE,IF(input_event_type="",FALSE,SUMPRODUCT(--ISNUMBER(SEARCH(","&amp;TRIM(TEXTSPLIT(DA223,","))&amp;",",","&amp;SUBSTITUTE(input_event_type," ","")&amp;",")))=COUNTA(TEXTSPLIT(DA223,",")))),IF(DC223="",TRUE,IF(input_event_type="",TRUE,SUMPRODUCT(--ISNUMBER(SEARCH(","&amp;TRIM(TEXTSPLIT(DC223,","))&amp;",",","&amp;SUBSTITUTE(input_event_type," ","")&amp;",")))=0)),IF(DE223="",TRUE,IF(input_event_type="",FALSE,SUMPRODUCT(--ISNUMBER(SEARCH(","&amp;TRIM(TEXTSPLIT(DE223,","))&amp;",",","&amp;SUBSTITUTE(input_event_type," ","")&amp;",")))&gt;0)),IF(DG223="",TRUE,IF(input_event_type="",FALSE,SUMPRODUCT(--ISNUMBER(SEARCH(","&amp;TRIM(TEXTSPLIT(DG223,","))&amp;",",","&amp;SUBSTITUTE(input_event_type," ","")&amp;",")))=COUNTA(TEXTSPLIT(DG223,",")))))</f>
        <v/>
      </c>
      <c r="JD223">
        <f>AND(IF(DI223="",TRUE,IF(input_executive_education_focus="",FALSE,SUMPRODUCT(--ISNUMBER(SEARCH(","&amp;TRIM(TEXTSPLIT(DI223,","))&amp;",",","&amp;SUBSTITUTE(input_executive_education_focus," ","")&amp;",")))&gt;0)),IF(DK223="",TRUE,IF(input_executive_education_focus="",FALSE,SUMPRODUCT(--ISNUMBER(SEARCH(","&amp;TRIM(TEXTSPLIT(DK223,","))&amp;",",","&amp;SUBSTITUTE(input_executive_education_focus," ","")&amp;",")))=COUNTA(TEXTSPLIT(DK223,",")))),IF(DM223="",TRUE,IF(input_executive_education_focus="",TRUE,SUMPRODUCT(--ISNUMBER(SEARCH(","&amp;TRIM(TEXTSPLIT(DM223,","))&amp;",",","&amp;SUBSTITUTE(input_executive_education_focus," ","")&amp;",")))=0)),IF(DO223="",TRUE,IF(input_executive_education_focus="",FALSE,SUMPRODUCT(--ISNUMBER(SEARCH(","&amp;TRIM(TEXTSPLIT(DO223,","))&amp;",",","&amp;SUBSTITUTE(input_executive_education_focus," ","")&amp;",")))&gt;0)),IF(DQ223="",TRUE,IF(input_executive_education_focus="",FALSE,SUMPRODUCT(--ISNUMBER(SEARCH(","&amp;TRIM(TEXTSPLIT(DQ223,","))&amp;",",","&amp;SUBSTITUTE(input_executive_education_focus," ","")&amp;",")))=COUNTA(TEXTSPLIT(DQ223,",")))))</f>
        <v/>
      </c>
      <c r="JE223">
        <f>AND(IF(DS223="",TRUE,IF(input_faculty_category="",FALSE,SUMPRODUCT(--ISNUMBER(SEARCH(","&amp;TRIM(TEXTSPLIT(DS223,","))&amp;",",","&amp;SUBSTITUTE(input_faculty_category," ","")&amp;",")))&gt;0)),IF(DU223="",TRUE,IF(input_faculty_category="",FALSE,SUMPRODUCT(--ISNUMBER(SEARCH(","&amp;TRIM(TEXTSPLIT(DU223,","))&amp;",",","&amp;SUBSTITUTE(input_faculty_category," ","")&amp;",")))=COUNTA(TEXTSPLIT(DU223,",")))),IF(DW223="",TRUE,IF(input_faculty_category="",TRUE,SUMPRODUCT(--ISNUMBER(SEARCH(","&amp;TRIM(TEXTSPLIT(DW223,","))&amp;",",","&amp;SUBSTITUTE(input_faculty_category," ","")&amp;",")))=0)),IF(DY223="",TRUE,IF(input_faculty_category="",FALSE,SUMPRODUCT(--ISNUMBER(SEARCH(","&amp;TRIM(TEXTSPLIT(DY223,","))&amp;",",","&amp;SUBSTITUTE(input_faculty_category," ","")&amp;",")))&gt;0)),IF(EA223="",TRUE,IF(input_faculty_category="",FALSE,SUMPRODUCT(--ISNUMBER(SEARCH(","&amp;TRIM(TEXTSPLIT(EA223,","))&amp;",",","&amp;SUBSTITUTE(input_faculty_category," ","")&amp;",")))=COUNTA(TEXTSPLIT(EA223,",")))))</f>
        <v/>
      </c>
      <c r="JF223">
        <f>AND(IF(EC223="",TRUE,IF(input_faculty_discipline="",FALSE,SUMPRODUCT(--ISNUMBER(SEARCH(","&amp;TRIM(TEXTSPLIT(EC223,","))&amp;",",","&amp;SUBSTITUTE(input_faculty_discipline," ","")&amp;",")))&gt;0)),IF(EE223="",TRUE,IF(input_faculty_discipline="",FALSE,SUMPRODUCT(--ISNUMBER(SEARCH(","&amp;TRIM(TEXTSPLIT(EE223,","))&amp;",",","&amp;SUBSTITUTE(input_faculty_discipline," ","")&amp;",")))=COUNTA(TEXTSPLIT(EE223,",")))),IF(EG223="",TRUE,IF(input_faculty_discipline="",TRUE,SUMPRODUCT(--ISNUMBER(SEARCH(","&amp;TRIM(TEXTSPLIT(EG223,","))&amp;",",","&amp;SUBSTITUTE(input_faculty_discipline," ","")&amp;",")))=0)),IF(EI223="",TRUE,IF(input_faculty_discipline="",FALSE,SUMPRODUCT(--ISNUMBER(SEARCH(","&amp;TRIM(TEXTSPLIT(EI223,","))&amp;",",","&amp;SUBSTITUTE(input_faculty_discipline," ","")&amp;",")))&gt;0)),IF(EK223="",TRUE,IF(input_faculty_discipline="",FALSE,SUMPRODUCT(--ISNUMBER(SEARCH(","&amp;TRIM(TEXTSPLIT(EK223,","))&amp;",",","&amp;SUBSTITUTE(input_faculty_discipline," ","")&amp;",")))=COUNTA(TEXTSPLIT(EK223,",")))))</f>
        <v/>
      </c>
      <c r="JG223">
        <f>AND(IF(EM223="",TRUE,IF(input_faculty_expertise="",FALSE,SUMPRODUCT(--ISNUMBER(SEARCH(","&amp;TRIM(TEXTSPLIT(EM223,","))&amp;",",","&amp;SUBSTITUTE(input_faculty_expertise," ","")&amp;",")))&gt;0)),IF(EO223="",TRUE,IF(input_faculty_expertise="",FALSE,SUMPRODUCT(--ISNUMBER(SEARCH(","&amp;TRIM(TEXTSPLIT(EO223,","))&amp;",",","&amp;SUBSTITUTE(input_faculty_expertise," ","")&amp;",")))=COUNTA(TEXTSPLIT(EO223,",")))),IF(EQ223="",TRUE,IF(input_faculty_expertise="",TRUE,SUMPRODUCT(--ISNUMBER(SEARCH(","&amp;TRIM(TEXTSPLIT(EQ223,","))&amp;",",","&amp;SUBSTITUTE(input_faculty_expertise," ","")&amp;",")))=0)),IF(ES223="",TRUE,IF(input_faculty_expertise="",FALSE,SUMPRODUCT(--ISNUMBER(SEARCH(","&amp;TRIM(TEXTSPLIT(ES223,","))&amp;",",","&amp;SUBSTITUTE(input_faculty_expertise," ","")&amp;",")))&gt;0)),IF(EU223="",TRUE,IF(input_faculty_expertise="",FALSE,SUMPRODUCT(--ISNUMBER(SEARCH(","&amp;TRIM(TEXTSPLIT(EU223,","))&amp;",",","&amp;SUBSTITUTE(input_faculty_expertise," ","")&amp;",")))=COUNTA(TEXTSPLIT(EU223,",")))))</f>
        <v/>
      </c>
      <c r="JH223">
        <f>AND(IF(EW223="",TRUE,IF(input_global_network_school="",FALSE,SUMPRODUCT(--ISNUMBER(SEARCH(","&amp;TRIM(TEXTSPLIT(EW223,","))&amp;",",","&amp;SUBSTITUTE(input_global_network_school," ","")&amp;",")))&gt;0)),IF(EY223="",TRUE,IF(input_global_network_school="",FALSE,SUMPRODUCT(--ISNUMBER(SEARCH(","&amp;TRIM(TEXTSPLIT(EY223,","))&amp;",",","&amp;SUBSTITUTE(input_global_network_school," ","")&amp;",")))=COUNTA(TEXTSPLIT(EY223,",")))),IF(FA223="",TRUE,IF(input_global_network_school="",TRUE,SUMPRODUCT(--ISNUMBER(SEARCH(","&amp;TRIM(TEXTSPLIT(FA223,","))&amp;",",","&amp;SUBSTITUTE(input_global_network_school," ","")&amp;",")))=0)),IF(FC223="",TRUE,IF(input_global_network_school="",FALSE,SUMPRODUCT(--ISNUMBER(SEARCH(","&amp;TRIM(TEXTSPLIT(FC223,","))&amp;",",","&amp;SUBSTITUTE(input_global_network_school," ","")&amp;",")))&gt;0)),IF(FE223="",TRUE,IF(input_global_network_school="",FALSE,SUMPRODUCT(--ISNUMBER(SEARCH(","&amp;TRIM(TEXTSPLIT(FE223,","))&amp;",",","&amp;SUBSTITUTE(input_global_network_school," ","")&amp;",")))=COUNTA(TEXTSPLIT(FE223,",")))))</f>
        <v/>
      </c>
      <c r="JI223">
        <f>AND(IF(FG223="",TRUE,IF(input_industry="",FALSE,SUMPRODUCT(--ISNUMBER(SEARCH(","&amp;TRIM(TEXTSPLIT(FG223,","))&amp;",",","&amp;SUBSTITUTE(input_industry," ","")&amp;",")))&gt;0)),IF(FI223="",TRUE,IF(input_industry="",FALSE,SUMPRODUCT(--ISNUMBER(SEARCH(","&amp;TRIM(TEXTSPLIT(FI223,","))&amp;",",","&amp;SUBSTITUTE(input_industry," ","")&amp;",")))=COUNTA(TEXTSPLIT(FI223,",")))),IF(FK223="",TRUE,IF(input_industry="",TRUE,SUMPRODUCT(--ISNUMBER(SEARCH(","&amp;TRIM(TEXTSPLIT(FK223,","))&amp;",",","&amp;SUBSTITUTE(input_industry," ","")&amp;",")))=0)),IF(FM223="",TRUE,IF(input_industry="",FALSE,SUMPRODUCT(--ISNUMBER(SEARCH(","&amp;TRIM(TEXTSPLIT(FM223,","))&amp;",",","&amp;SUBSTITUTE(input_industry," ","")&amp;",")))&gt;0)),IF(FO223="",TRUE,IF(input_industry="",FALSE,SUMPRODUCT(--ISNUMBER(SEARCH(","&amp;TRIM(TEXTSPLIT(FO223,","))&amp;",",","&amp;SUBSTITUTE(input_industry," ","")&amp;",")))=COUNTA(TEXTSPLIT(FO223,",")))))</f>
        <v/>
      </c>
      <c r="JJ223">
        <f>AND(IF(FQ223="",TRUE,IF(input_location="",FALSE,SUMPRODUCT(--ISNUMBER(SEARCH(","&amp;TRIM(TEXTSPLIT(FQ223,","))&amp;",",","&amp;SUBSTITUTE(input_location," ","")&amp;",")))&gt;0)),IF(FS223="",TRUE,IF(input_location="",FALSE,SUMPRODUCT(--ISNUMBER(SEARCH(","&amp;TRIM(TEXTSPLIT(FS223,","))&amp;",",","&amp;SUBSTITUTE(input_location," ","")&amp;",")))=COUNTA(TEXTSPLIT(FS223,",")))),IF(FU223="",TRUE,IF(input_location="",TRUE,SUMPRODUCT(--ISNUMBER(SEARCH(","&amp;TRIM(TEXTSPLIT(FU223,","))&amp;",",","&amp;SUBSTITUTE(input_location," ","")&amp;",")))=0)),IF(FW223="",TRUE,IF(input_location="",FALSE,SUMPRODUCT(--ISNUMBER(SEARCH(","&amp;TRIM(TEXTSPLIT(FW223,","))&amp;",",","&amp;SUBSTITUTE(input_location," ","")&amp;",")))&gt;0)),IF(FY223="",TRUE,IF(input_location="",FALSE,SUMPRODUCT(--ISNUMBER(SEARCH(","&amp;TRIM(TEXTSPLIT(FY223,","))&amp;",",","&amp;SUBSTITUTE(input_location," ","")&amp;",")))=COUNTA(TEXTSPLIT(FY223,",")))))</f>
        <v/>
      </c>
      <c r="JK223">
        <f>AND(IF(GA223="",TRUE,IF(input_modality="",FALSE,SUMPRODUCT(--ISNUMBER(SEARCH(","&amp;TRIM(TEXTSPLIT(GA223,","))&amp;",",","&amp;SUBSTITUTE(input_modality," ","")&amp;",")))&gt;0)),IF(GC223="",TRUE,IF(input_modality="",FALSE,SUMPRODUCT(--ISNUMBER(SEARCH(","&amp;TRIM(TEXTSPLIT(GC223,","))&amp;",",","&amp;SUBSTITUTE(input_modality," ","")&amp;",")))=COUNTA(TEXTSPLIT(GC223,",")))),IF(GE223="",TRUE,IF(input_modality="",TRUE,SUMPRODUCT(--ISNUMBER(SEARCH(","&amp;TRIM(TEXTSPLIT(GE223,","))&amp;",",","&amp;SUBSTITUTE(input_modality," ","")&amp;",")))=0)),IF(GG223="",TRUE,IF(input_modality="",FALSE,SUMPRODUCT(--ISNUMBER(SEARCH(","&amp;TRIM(TEXTSPLIT(GG223,","))&amp;",",","&amp;SUBSTITUTE(input_modality," ","")&amp;",")))&gt;0)),IF(GI223="",TRUE,IF(input_modality="",FALSE,SUMPRODUCT(--ISNUMBER(SEARCH(","&amp;TRIM(TEXTSPLIT(GI223,","))&amp;",",","&amp;SUBSTITUTE(input_modality," ","")&amp;",")))=COUNTA(TEXTSPLIT(GI223,",")))))</f>
        <v/>
      </c>
      <c r="JL223">
        <f>AND(IF(GK223="",TRUE,IF(input_organizer="",FALSE,SUMPRODUCT(--ISNUMBER(SEARCH(","&amp;TRIM(TEXTSPLIT(GK223,","))&amp;",",","&amp;SUBSTITUTE(input_organizer," ","")&amp;",")))&gt;0)),IF(GM223="",TRUE,IF(input_organizer="",FALSE,SUMPRODUCT(--ISNUMBER(SEARCH(","&amp;TRIM(TEXTSPLIT(GM223,","))&amp;",",","&amp;SUBSTITUTE(input_organizer," ","")&amp;",")))=COUNTA(TEXTSPLIT(GM223,",")))),IF(GO223="",TRUE,IF(input_organizer="",TRUE,SUMPRODUCT(--ISNUMBER(SEARCH(","&amp;TRIM(TEXTSPLIT(GO223,","))&amp;",",","&amp;SUBSTITUTE(input_organizer," ","")&amp;",")))=0)),IF(GQ223="",TRUE,IF(input_organizer="",FALSE,SUMPRODUCT(--ISNUMBER(SEARCH(","&amp;TRIM(TEXTSPLIT(GQ223,","))&amp;",",","&amp;SUBSTITUTE(input_organizer," ","")&amp;",")))&gt;0)),IF(GS223="",TRUE,IF(input_organizer="",FALSE,SUMPRODUCT(--ISNUMBER(SEARCH(","&amp;TRIM(TEXTSPLIT(GS223,","))&amp;",",","&amp;SUBSTITUTE(input_organizer," ","")&amp;",")))=COUNTA(TEXTSPLIT(GS223,",")))))</f>
        <v/>
      </c>
      <c r="JM223">
        <f>AND(IF(GU223="",TRUE,IF(input_profile_type="",FALSE,SUMPRODUCT(--ISNUMBER(SEARCH(","&amp;TRIM(TEXTSPLIT(GU223,","))&amp;",",","&amp;SUBSTITUTE(input_profile_type," ","")&amp;",")))&gt;0)),IF(GW223="",TRUE,IF(input_profile_type="",FALSE,SUMPRODUCT(--ISNUMBER(SEARCH(","&amp;TRIM(TEXTSPLIT(GW223,","))&amp;",",","&amp;SUBSTITUTE(input_profile_type," ","")&amp;",")))=COUNTA(TEXTSPLIT(GW223,",")))),IF(GY223="",TRUE,IF(input_profile_type="",TRUE,SUMPRODUCT(--ISNUMBER(SEARCH(","&amp;TRIM(TEXTSPLIT(GY223,","))&amp;",",","&amp;SUBSTITUTE(input_profile_type," ","")&amp;",")))=0)),IF(HA223="",TRUE,IF(input_profile_type="",FALSE,SUMPRODUCT(--ISNUMBER(SEARCH(","&amp;TRIM(TEXTSPLIT(HA223,","))&amp;",",","&amp;SUBSTITUTE(input_profile_type," ","")&amp;",")))&gt;0)),IF(HC223="",TRUE,IF(input_profile_type="",FALSE,SUMPRODUCT(--ISNUMBER(SEARCH(","&amp;TRIM(TEXTSPLIT(HC223,","))&amp;",",","&amp;SUBSTITUTE(input_profile_type," ","")&amp;",")))=COUNTA(TEXTSPLIT(HC223,",")))))</f>
        <v/>
      </c>
      <c r="JN223">
        <f>AND(IF(HE223="",TRUE,IF(input_program="",FALSE,SUMPRODUCT(--ISNUMBER(SEARCH(","&amp;TRIM(TEXTSPLIT(HE223,","))&amp;",",","&amp;SUBSTITUTE(input_program," ","")&amp;",")))&gt;0)),IF(HG223="",TRUE,IF(input_program="",FALSE,SUMPRODUCT(--ISNUMBER(SEARCH(","&amp;TRIM(TEXTSPLIT(HG223,","))&amp;",",","&amp;SUBSTITUTE(input_program," ","")&amp;",")))=COUNTA(TEXTSPLIT(HG223,",")))),IF(HI223="",TRUE,IF(input_program="",TRUE,SUMPRODUCT(--ISNUMBER(SEARCH(","&amp;TRIM(TEXTSPLIT(HI223,","))&amp;",",","&amp;SUBSTITUTE(input_program," ","")&amp;",")))=0)),IF(HK223="",TRUE,IF(input_program="",FALSE,SUMPRODUCT(--ISNUMBER(SEARCH(","&amp;TRIM(TEXTSPLIT(HK223,","))&amp;",",","&amp;SUBSTITUTE(input_program," ","")&amp;",")))&gt;0)),IF(HM223="",TRUE,IF(input_program="",FALSE,SUMPRODUCT(--ISNUMBER(SEARCH(","&amp;TRIM(TEXTSPLIT(HM223,","))&amp;",",","&amp;SUBSTITUTE(input_program," ","")&amp;",")))=COUNTA(TEXTSPLIT(HM223,",")))))</f>
        <v/>
      </c>
      <c r="JO223">
        <f>AND(IF(HO223="",TRUE,IF(input_story_categories="",FALSE,SUMPRODUCT(--ISNUMBER(SEARCH(","&amp;TRIM(TEXTSPLIT(HO223,","))&amp;",",","&amp;SUBSTITUTE(input_story_categories," ","")&amp;",")))&gt;0)),IF(HQ223="",TRUE,IF(input_story_categories="",FALSE,SUMPRODUCT(--ISNUMBER(SEARCH(","&amp;TRIM(TEXTSPLIT(HQ223,","))&amp;",",","&amp;SUBSTITUTE(input_story_categories," ","")&amp;",")))=COUNTA(TEXTSPLIT(HQ223,",")))),IF(HS223="",TRUE,IF(input_story_categories="",TRUE,SUMPRODUCT(--ISNUMBER(SEARCH(","&amp;TRIM(TEXTSPLIT(HS223,","))&amp;",",","&amp;SUBSTITUTE(input_story_categories," ","")&amp;",")))=0)),IF(HU223="",TRUE,IF(input_story_categories="",FALSE,SUMPRODUCT(--ISNUMBER(SEARCH(","&amp;TRIM(TEXTSPLIT(HU223,","))&amp;",",","&amp;SUBSTITUTE(input_story_categories," ","")&amp;",")))&gt;0)),IF(HW223="",TRUE,IF(input_story_categories="",FALSE,SUMPRODUCT(--ISNUMBER(SEARCH(","&amp;TRIM(TEXTSPLIT(HW223,","))&amp;",",","&amp;SUBSTITUTE(input_story_categories," ","")&amp;",")))=COUNTA(TEXTSPLIT(HW223,",")))))</f>
        <v/>
      </c>
      <c r="JP223">
        <f>AND(IF(HY223="",TRUE,IF(input_story_type="",FALSE,SUMPRODUCT(--ISNUMBER(SEARCH(","&amp;TRIM(TEXTSPLIT(HY223,","))&amp;",",","&amp;SUBSTITUTE(input_story_type," ","")&amp;",")))&gt;0)),IF(IA223="",TRUE,IF(input_story_type="",FALSE,SUMPRODUCT(--ISNUMBER(SEARCH(","&amp;TRIM(TEXTSPLIT(IA223,","))&amp;",",","&amp;SUBSTITUTE(input_story_type," ","")&amp;",")))=COUNTA(TEXTSPLIT(IA223,",")))),IF(IC223="",TRUE,IF(input_story_type="",TRUE,SUMPRODUCT(--ISNUMBER(SEARCH(","&amp;TRIM(TEXTSPLIT(IC223,","))&amp;",",","&amp;SUBSTITUTE(input_story_type," ","")&amp;",")))=0)),IF(IE223="",TRUE,IF(input_story_type="",FALSE,SUMPRODUCT(--ISNUMBER(SEARCH(","&amp;TRIM(TEXTSPLIT(IE223,","))&amp;",",","&amp;SUBSTITUTE(input_story_type," ","")&amp;",")))&gt;0)),IF(IG223="",TRUE,IF(input_story_type="",FALSE,SUMPRODUCT(--ISNUMBER(SEARCH(","&amp;TRIM(TEXTSPLIT(IG223,","))&amp;",",","&amp;SUBSTITUTE(input_story_type," ","")&amp;",")))=COUNTA(TEXTSPLIT(IG223,",")))))</f>
        <v/>
      </c>
      <c r="JQ223">
        <f>AND(IF(II223="",TRUE,IF(input_topics="",FALSE,SUMPRODUCT(--ISNUMBER(SEARCH(","&amp;TRIM(TEXTSPLIT(II223,","))&amp;",",","&amp;SUBSTITUTE(input_topics," ","")&amp;",")))&gt;0)),IF(IK223="",TRUE,IF(input_topics="",FALSE,SUMPRODUCT(--ISNUMBER(SEARCH(","&amp;TRIM(TEXTSPLIT(IK223,","))&amp;",",","&amp;SUBSTITUTE(input_topics," ","")&amp;",")))=COUNTA(TEXTSPLIT(IK223,",")))),IF(IM223="",TRUE,IF(input_topics="",TRUE,SUMPRODUCT(--ISNUMBER(SEARCH(","&amp;TRIM(TEXTSPLIT(IM223,","))&amp;",",","&amp;SUBSTITUTE(input_topics," ","")&amp;",")))=0)),IF(IO223="",TRUE,IF(input_topics="",FALSE,SUMPRODUCT(--ISNUMBER(SEARCH(","&amp;TRIM(TEXTSPLIT(IO223,","))&amp;",",","&amp;SUBSTITUTE(input_topics," ","")&amp;",")))&gt;0)),IF(IQ223="",TRUE,IF(input_topics="",FALSE,SUMPRODUCT(--ISNUMBER(SEARCH(","&amp;TRIM(TEXTSPLIT(IQ223,","))&amp;",",","&amp;SUBSTITUTE(input_topics," ","")&amp;",")))=COUNTA(TEXTSPLIT(IQ223,",")))))</f>
        <v/>
      </c>
    </row>
    <row r="224">
      <c r="A224" s="4">
        <f>IF(NOT(IS224),"Excluded",IF(AND(IT224,IU224,IV224,IW224,IX224,IY224,IZ224,JA224,JB224,JC224,JD224,JE224,JF224,JG224,JH224,JI224,JJ224,JK224,JL224,JM224,JN224,JO224,JP224,JQ224),IF(I224&gt;0,"Eligible but limited","Will appear"),"Excluded"))</f>
        <v/>
      </c>
      <c r="B224" s="4" t="inlineStr">
        <is>
          <t>Related stories on story pages</t>
        </is>
      </c>
      <c r="C224" s="4" t="inlineStr">
        <is>
          <t>/story/2026/yale-som-student-team-places-first-uncs-alpha-challenge</t>
        </is>
      </c>
      <c r="D224" s="4" t="inlineStr">
        <is>
          <t>/story/2026/yale-som-student-team-places-first-uncs-alpha-challenge</t>
        </is>
      </c>
      <c r="E224" s="4" t="n">
        <v>1</v>
      </c>
      <c r="F224" s="4" t="inlineStr">
        <is>
          <t>story</t>
        </is>
      </c>
      <c r="G224" s="4" t="inlineStr">
        <is>
          <t>stories_teaser_cards</t>
        </is>
      </c>
      <c r="H224" s="4" t="inlineStr">
        <is>
          <t>embed_all</t>
        </is>
      </c>
      <c r="I224" s="4" t="n">
        <v>3</v>
      </c>
      <c r="J224" s="4" t="inlineStr">
        <is>
          <t>Template logic</t>
        </is>
      </c>
      <c r="K224" s="4" t="inlineStr">
        <is>
          <t>Grouped surface</t>
        </is>
      </c>
      <c r="L224" s="4" t="inlineStr">
        <is>
          <t>Content type: story; Context uses Courses Context: Master's Degree in Asset Management (930); Context uses Story Type: News (924); Limited to 3 item(s); Source: Template logic</t>
        </is>
      </c>
      <c r="M224" t="inlineStr"/>
      <c r="N224" t="inlineStr"/>
      <c r="O224" t="inlineStr"/>
      <c r="P224" t="inlineStr"/>
      <c r="Q224" t="inlineStr"/>
      <c r="R224" t="inlineStr"/>
      <c r="S224" t="inlineStr"/>
      <c r="T224" t="inlineStr"/>
      <c r="U224" t="inlineStr"/>
      <c r="V224" t="inlineStr"/>
      <c r="W224" t="inlineStr"/>
      <c r="X224" t="inlineStr"/>
      <c r="Y224" t="inlineStr"/>
      <c r="Z224" t="inlineStr"/>
      <c r="AA224" t="inlineStr"/>
      <c r="AB224" t="inlineStr"/>
      <c r="AC224" t="inlineStr"/>
      <c r="AD224" t="inlineStr"/>
      <c r="AE224" t="inlineStr"/>
      <c r="AF224" t="inlineStr"/>
      <c r="AG224" t="inlineStr"/>
      <c r="AH224" t="inlineStr"/>
      <c r="AI224" t="inlineStr"/>
      <c r="AJ224" t="inlineStr"/>
      <c r="AK224" t="inlineStr"/>
      <c r="AL224" t="inlineStr"/>
      <c r="AM224" t="inlineStr"/>
      <c r="AN224" t="inlineStr"/>
      <c r="AO224" t="inlineStr"/>
      <c r="AP224" t="inlineStr"/>
      <c r="AQ224" t="inlineStr"/>
      <c r="AR224" t="inlineStr"/>
      <c r="AS224" t="inlineStr"/>
      <c r="AT224" t="inlineStr"/>
      <c r="AU224" t="inlineStr"/>
      <c r="AV224" t="inlineStr"/>
      <c r="AW224" t="inlineStr"/>
      <c r="AX224" t="inlineStr"/>
      <c r="AY224" t="inlineStr"/>
      <c r="AZ224" t="inlineStr"/>
      <c r="BA224" t="inlineStr"/>
      <c r="BB224" t="inlineStr"/>
      <c r="BC224" t="inlineStr"/>
      <c r="BD224" t="inlineStr"/>
      <c r="BE224" t="inlineStr"/>
      <c r="BF224" t="inlineStr"/>
      <c r="BG224" t="inlineStr"/>
      <c r="BH224" t="inlineStr"/>
      <c r="BI224" t="inlineStr"/>
      <c r="BJ224" t="inlineStr"/>
      <c r="BK224" t="inlineStr"/>
      <c r="BL224" t="inlineStr"/>
      <c r="BM224" t="inlineStr"/>
      <c r="BN224" t="inlineStr"/>
      <c r="BO224" t="inlineStr"/>
      <c r="BP224" t="inlineStr"/>
      <c r="BQ224" t="inlineStr">
        <is>
          <t>930</t>
        </is>
      </c>
      <c r="BR224" t="inlineStr">
        <is>
          <t>Master's Degree in Asset Management (930)</t>
        </is>
      </c>
      <c r="BS224" t="inlineStr"/>
      <c r="BT224" t="inlineStr"/>
      <c r="BU224" t="inlineStr"/>
      <c r="BV224" t="inlineStr"/>
      <c r="BW224" t="inlineStr"/>
      <c r="BX224" t="inlineStr"/>
      <c r="BY224" t="inlineStr"/>
      <c r="BZ224" t="inlineStr"/>
      <c r="CA224" t="inlineStr"/>
      <c r="CB224" t="inlineStr"/>
      <c r="CC224" t="inlineStr"/>
      <c r="CD224" t="inlineStr"/>
      <c r="CE224" t="inlineStr"/>
      <c r="CF224" t="inlineStr"/>
      <c r="CG224" t="inlineStr"/>
      <c r="CH224" t="inlineStr"/>
      <c r="CI224" t="inlineStr"/>
      <c r="CJ224" t="inlineStr"/>
      <c r="CK224" t="inlineStr"/>
      <c r="CL224" t="inlineStr"/>
      <c r="CM224" t="inlineStr"/>
      <c r="CN224" t="inlineStr"/>
      <c r="CO224" t="inlineStr"/>
      <c r="CP224" t="inlineStr"/>
      <c r="CQ224" t="inlineStr"/>
      <c r="CR224" t="inlineStr"/>
      <c r="CS224" t="inlineStr"/>
      <c r="CT224" t="inlineStr"/>
      <c r="CU224" t="inlineStr"/>
      <c r="CV224" t="inlineStr"/>
      <c r="CW224" t="inlineStr"/>
      <c r="CX224" t="inlineStr"/>
      <c r="CY224" t="inlineStr"/>
      <c r="CZ224" t="inlineStr"/>
      <c r="DA224" t="inlineStr"/>
      <c r="DB224" t="inlineStr"/>
      <c r="DC224" t="inlineStr"/>
      <c r="DD224" t="inlineStr"/>
      <c r="DE224" t="inlineStr"/>
      <c r="DF224" t="inlineStr"/>
      <c r="DG224" t="inlineStr"/>
      <c r="DH224" t="inlineStr"/>
      <c r="DI224" t="inlineStr"/>
      <c r="DJ224" t="inlineStr"/>
      <c r="DK224" t="inlineStr"/>
      <c r="DL224" t="inlineStr"/>
      <c r="DM224" t="inlineStr"/>
      <c r="DN224" t="inlineStr"/>
      <c r="DO224" t="inlineStr"/>
      <c r="DP224" t="inlineStr"/>
      <c r="DQ224" t="inlineStr"/>
      <c r="DR224" t="inlineStr"/>
      <c r="DS224" t="inlineStr"/>
      <c r="DT224" t="inlineStr"/>
      <c r="DU224" t="inlineStr"/>
      <c r="DV224" t="inlineStr"/>
      <c r="DW224" t="inlineStr"/>
      <c r="DX224" t="inlineStr"/>
      <c r="DY224" t="inlineStr"/>
      <c r="DZ224" t="inlineStr"/>
      <c r="EA224" t="inlineStr"/>
      <c r="EB224" t="inlineStr"/>
      <c r="EC224" t="inlineStr"/>
      <c r="ED224" t="inlineStr"/>
      <c r="EE224" t="inlineStr"/>
      <c r="EF224" t="inlineStr"/>
      <c r="EG224" t="inlineStr"/>
      <c r="EH224" t="inlineStr"/>
      <c r="EI224" t="inlineStr"/>
      <c r="EJ224" t="inlineStr"/>
      <c r="EK224" t="inlineStr"/>
      <c r="EL224" t="inlineStr"/>
      <c r="EM224" t="inlineStr"/>
      <c r="EN224" t="inlineStr"/>
      <c r="EO224" t="inlineStr"/>
      <c r="EP224" t="inlineStr"/>
      <c r="EQ224" t="inlineStr"/>
      <c r="ER224" t="inlineStr"/>
      <c r="ES224" t="inlineStr"/>
      <c r="ET224" t="inlineStr"/>
      <c r="EU224" t="inlineStr"/>
      <c r="EV224" t="inlineStr"/>
      <c r="EW224" t="inlineStr"/>
      <c r="EX224" t="inlineStr"/>
      <c r="EY224" t="inlineStr"/>
      <c r="EZ224" t="inlineStr"/>
      <c r="FA224" t="inlineStr"/>
      <c r="FB224" t="inlineStr"/>
      <c r="FC224" t="inlineStr"/>
      <c r="FD224" t="inlineStr"/>
      <c r="FE224" t="inlineStr"/>
      <c r="FF224" t="inlineStr"/>
      <c r="FG224" t="inlineStr"/>
      <c r="FH224" t="inlineStr"/>
      <c r="FI224" t="inlineStr"/>
      <c r="FJ224" t="inlineStr"/>
      <c r="FK224" t="inlineStr"/>
      <c r="FL224" t="inlineStr"/>
      <c r="FM224" t="inlineStr"/>
      <c r="FN224" t="inlineStr"/>
      <c r="FO224" t="inlineStr"/>
      <c r="FP224" t="inlineStr"/>
      <c r="FQ224" t="inlineStr"/>
      <c r="FR224" t="inlineStr"/>
      <c r="FS224" t="inlineStr"/>
      <c r="FT224" t="inlineStr"/>
      <c r="FU224" t="inlineStr"/>
      <c r="FV224" t="inlineStr"/>
      <c r="FW224" t="inlineStr"/>
      <c r="FX224" t="inlineStr"/>
      <c r="FY224" t="inlineStr"/>
      <c r="FZ224" t="inlineStr"/>
      <c r="GA224" t="inlineStr"/>
      <c r="GB224" t="inlineStr"/>
      <c r="GC224" t="inlineStr"/>
      <c r="GD224" t="inlineStr"/>
      <c r="GE224" t="inlineStr"/>
      <c r="GF224" t="inlineStr"/>
      <c r="GG224" t="inlineStr"/>
      <c r="GH224" t="inlineStr"/>
      <c r="GI224" t="inlineStr"/>
      <c r="GJ224" t="inlineStr"/>
      <c r="GK224" t="inlineStr"/>
      <c r="GL224" t="inlineStr"/>
      <c r="GM224" t="inlineStr"/>
      <c r="GN224" t="inlineStr"/>
      <c r="GO224" t="inlineStr"/>
      <c r="GP224" t="inlineStr"/>
      <c r="GQ224" t="inlineStr"/>
      <c r="GR224" t="inlineStr"/>
      <c r="GS224" t="inlineStr"/>
      <c r="GT224" t="inlineStr"/>
      <c r="GU224" t="inlineStr"/>
      <c r="GV224" t="inlineStr"/>
      <c r="GW224" t="inlineStr"/>
      <c r="GX224" t="inlineStr"/>
      <c r="GY224" t="inlineStr"/>
      <c r="GZ224" t="inlineStr"/>
      <c r="HA224" t="inlineStr"/>
      <c r="HB224" t="inlineStr"/>
      <c r="HC224" t="inlineStr"/>
      <c r="HD224" t="inlineStr"/>
      <c r="HE224" t="inlineStr"/>
      <c r="HF224" t="inlineStr"/>
      <c r="HG224" t="inlineStr"/>
      <c r="HH224" t="inlineStr"/>
      <c r="HI224" t="inlineStr"/>
      <c r="HJ224" t="inlineStr"/>
      <c r="HK224" t="inlineStr"/>
      <c r="HL224" t="inlineStr"/>
      <c r="HM224" t="inlineStr"/>
      <c r="HN224" t="inlineStr"/>
      <c r="HO224" t="inlineStr"/>
      <c r="HP224" t="inlineStr"/>
      <c r="HQ224" t="inlineStr"/>
      <c r="HR224" t="inlineStr"/>
      <c r="HS224" t="inlineStr"/>
      <c r="HT224" t="inlineStr"/>
      <c r="HU224" t="inlineStr"/>
      <c r="HV224" t="inlineStr"/>
      <c r="HW224" t="inlineStr"/>
      <c r="HX224" t="inlineStr"/>
      <c r="HY224" t="inlineStr"/>
      <c r="HZ224" t="inlineStr"/>
      <c r="IA224" t="inlineStr"/>
      <c r="IB224" t="inlineStr"/>
      <c r="IC224" t="inlineStr"/>
      <c r="ID224" t="inlineStr"/>
      <c r="IE224" t="inlineStr">
        <is>
          <t>924</t>
        </is>
      </c>
      <c r="IF224" t="inlineStr">
        <is>
          <t>News (924)</t>
        </is>
      </c>
      <c r="IG224" t="inlineStr"/>
      <c r="IH224" t="inlineStr"/>
      <c r="II224" t="inlineStr"/>
      <c r="IJ224" t="inlineStr"/>
      <c r="IK224" t="inlineStr"/>
      <c r="IL224" t="inlineStr"/>
      <c r="IM224" t="inlineStr"/>
      <c r="IN224" t="inlineStr"/>
      <c r="IO224" t="inlineStr"/>
      <c r="IP224" t="inlineStr"/>
      <c r="IQ224" t="inlineStr"/>
      <c r="IR224" t="inlineStr"/>
      <c r="IS224">
        <f>IF(input_content_type="",FALSE,ISNUMBER(SEARCH(","&amp;LOWER(input_content_type)&amp;",",","&amp;LOWER(F224)&amp;",")))</f>
        <v/>
      </c>
      <c r="IT224">
        <f>AND(IF(M224="",TRUE,IF(input_affiliations="",FALSE,SUMPRODUCT(--ISNUMBER(SEARCH(","&amp;TRIM(TEXTSPLIT(M224,","))&amp;",",","&amp;SUBSTITUTE(input_affiliations," ","")&amp;",")))&gt;0)),IF(O224="",TRUE,IF(input_affiliations="",FALSE,SUMPRODUCT(--ISNUMBER(SEARCH(","&amp;TRIM(TEXTSPLIT(O224,","))&amp;",",","&amp;SUBSTITUTE(input_affiliations," ","")&amp;",")))=COUNTA(TEXTSPLIT(O224,",")))),IF(Q224="",TRUE,IF(input_affiliations="",TRUE,SUMPRODUCT(--ISNUMBER(SEARCH(","&amp;TRIM(TEXTSPLIT(Q224,","))&amp;",",","&amp;SUBSTITUTE(input_affiliations," ","")&amp;",")))=0)),IF(S224="",TRUE,IF(input_affiliations="",FALSE,SUMPRODUCT(--ISNUMBER(SEARCH(","&amp;TRIM(TEXTSPLIT(S224,","))&amp;",",","&amp;SUBSTITUTE(input_affiliations," ","")&amp;",")))&gt;0)),IF(U224="",TRUE,IF(input_affiliations="",FALSE,SUMPRODUCT(--ISNUMBER(SEARCH(","&amp;TRIM(TEXTSPLIT(U224,","))&amp;",",","&amp;SUBSTITUTE(input_affiliations," ","")&amp;",")))=COUNTA(TEXTSPLIT(U224,",")))))</f>
        <v/>
      </c>
      <c r="IU224">
        <f>AND(IF(W224="",TRUE,IF(input_announcement_category="",FALSE,SUMPRODUCT(--ISNUMBER(SEARCH(","&amp;TRIM(TEXTSPLIT(W224,","))&amp;",",","&amp;SUBSTITUTE(input_announcement_category," ","")&amp;",")))&gt;0)),IF(Y224="",TRUE,IF(input_announcement_category="",FALSE,SUMPRODUCT(--ISNUMBER(SEARCH(","&amp;TRIM(TEXTSPLIT(Y224,","))&amp;",",","&amp;SUBSTITUTE(input_announcement_category," ","")&amp;",")))=COUNTA(TEXTSPLIT(Y224,",")))),IF(AA224="",TRUE,IF(input_announcement_category="",TRUE,SUMPRODUCT(--ISNUMBER(SEARCH(","&amp;TRIM(TEXTSPLIT(AA224,","))&amp;",",","&amp;SUBSTITUTE(input_announcement_category," ","")&amp;",")))=0)),IF(AC224="",TRUE,IF(input_announcement_category="",FALSE,SUMPRODUCT(--ISNUMBER(SEARCH(","&amp;TRIM(TEXTSPLIT(AC224,","))&amp;",",","&amp;SUBSTITUTE(input_announcement_category," ","")&amp;",")))&gt;0)),IF(AE224="",TRUE,IF(input_announcement_category="",FALSE,SUMPRODUCT(--ISNUMBER(SEARCH(","&amp;TRIM(TEXTSPLIT(AE224,","))&amp;",",","&amp;SUBSTITUTE(input_announcement_category," ","")&amp;",")))=COUNTA(TEXTSPLIT(AE224,",")))))</f>
        <v/>
      </c>
      <c r="IV224">
        <f>AND(IF(AG224="",TRUE,IF(input_area_of_focus="",FALSE,SUMPRODUCT(--ISNUMBER(SEARCH(","&amp;TRIM(TEXTSPLIT(AG224,","))&amp;",",","&amp;SUBSTITUTE(input_area_of_focus," ","")&amp;",")))&gt;0)),IF(AI224="",TRUE,IF(input_area_of_focus="",FALSE,SUMPRODUCT(--ISNUMBER(SEARCH(","&amp;TRIM(TEXTSPLIT(AI224,","))&amp;",",","&amp;SUBSTITUTE(input_area_of_focus," ","")&amp;",")))=COUNTA(TEXTSPLIT(AI224,",")))),IF(AK224="",TRUE,IF(input_area_of_focus="",TRUE,SUMPRODUCT(--ISNUMBER(SEARCH(","&amp;TRIM(TEXTSPLIT(AK224,","))&amp;",",","&amp;SUBSTITUTE(input_area_of_focus," ","")&amp;",")))=0)),IF(AM224="",TRUE,IF(input_area_of_focus="",FALSE,SUMPRODUCT(--ISNUMBER(SEARCH(","&amp;TRIM(TEXTSPLIT(AM224,","))&amp;",",","&amp;SUBSTITUTE(input_area_of_focus," ","")&amp;",")))&gt;0)),IF(AO224="",TRUE,IF(input_area_of_focus="",FALSE,SUMPRODUCT(--ISNUMBER(SEARCH(","&amp;TRIM(TEXTSPLIT(AO224,","))&amp;",",","&amp;SUBSTITUTE(input_area_of_focus," ","")&amp;",")))=COUNTA(TEXTSPLIT(AO224,",")))))</f>
        <v/>
      </c>
      <c r="IW224">
        <f>AND(IF(AQ224="",TRUE,IF(input_audience="",FALSE,SUMPRODUCT(--ISNUMBER(SEARCH(","&amp;TRIM(TEXTSPLIT(AQ224,","))&amp;",",","&amp;SUBSTITUTE(input_audience," ","")&amp;",")))&gt;0)),IF(AS224="",TRUE,IF(input_audience="",FALSE,SUMPRODUCT(--ISNUMBER(SEARCH(","&amp;TRIM(TEXTSPLIT(AS224,","))&amp;",",","&amp;SUBSTITUTE(input_audience," ","")&amp;",")))=COUNTA(TEXTSPLIT(AS224,",")))),IF(AU224="",TRUE,IF(input_audience="",TRUE,SUMPRODUCT(--ISNUMBER(SEARCH(","&amp;TRIM(TEXTSPLIT(AU224,","))&amp;",",","&amp;SUBSTITUTE(input_audience," ","")&amp;",")))=0)),IF(AW224="",TRUE,IF(input_audience="",FALSE,SUMPRODUCT(--ISNUMBER(SEARCH(","&amp;TRIM(TEXTSPLIT(AW224,","))&amp;",",","&amp;SUBSTITUTE(input_audience," ","")&amp;",")))&gt;0)),IF(AY224="",TRUE,IF(input_audience="",FALSE,SUMPRODUCT(--ISNUMBER(SEARCH(","&amp;TRIM(TEXTSPLIT(AY224,","))&amp;",",","&amp;SUBSTITUTE(input_audience," ","")&amp;",")))=COUNTA(TEXTSPLIT(AY224,",")))))</f>
        <v/>
      </c>
      <c r="IX224">
        <f>AND(IF(BA224="",TRUE,IF(input_challenge_opportunities="",FALSE,SUMPRODUCT(--ISNUMBER(SEARCH(","&amp;TRIM(TEXTSPLIT(BA224,","))&amp;",",","&amp;SUBSTITUTE(input_challenge_opportunities," ","")&amp;",")))&gt;0)),IF(BC224="",TRUE,IF(input_challenge_opportunities="",FALSE,SUMPRODUCT(--ISNUMBER(SEARCH(","&amp;TRIM(TEXTSPLIT(BC224,","))&amp;",",","&amp;SUBSTITUTE(input_challenge_opportunities," ","")&amp;",")))=COUNTA(TEXTSPLIT(BC224,",")))),IF(BE224="",TRUE,IF(input_challenge_opportunities="",TRUE,SUMPRODUCT(--ISNUMBER(SEARCH(","&amp;TRIM(TEXTSPLIT(BE224,","))&amp;",",","&amp;SUBSTITUTE(input_challenge_opportunities," ","")&amp;",")))=0)),IF(BG224="",TRUE,IF(input_challenge_opportunities="",FALSE,SUMPRODUCT(--ISNUMBER(SEARCH(","&amp;TRIM(TEXTSPLIT(BG224,","))&amp;",",","&amp;SUBSTITUTE(input_challenge_opportunities," ","")&amp;",")))&gt;0)),IF(BI224="",TRUE,IF(input_challenge_opportunities="",FALSE,SUMPRODUCT(--ISNUMBER(SEARCH(","&amp;TRIM(TEXTSPLIT(BI224,","))&amp;",",","&amp;SUBSTITUTE(input_challenge_opportunities," ","")&amp;",")))=COUNTA(TEXTSPLIT(BI224,",")))))</f>
        <v/>
      </c>
      <c r="IY224">
        <f>AND(IF(BK224="",TRUE,IF(input_context="",FALSE,SUMPRODUCT(--ISNUMBER(SEARCH(","&amp;TRIM(TEXTSPLIT(BK224,","))&amp;",",","&amp;SUBSTITUTE(input_context," ","")&amp;",")))&gt;0)),IF(BM224="",TRUE,IF(input_context="",FALSE,SUMPRODUCT(--ISNUMBER(SEARCH(","&amp;TRIM(TEXTSPLIT(BM224,","))&amp;",",","&amp;SUBSTITUTE(input_context," ","")&amp;",")))=COUNTA(TEXTSPLIT(BM224,",")))),IF(BO224="",TRUE,IF(input_context="",TRUE,SUMPRODUCT(--ISNUMBER(SEARCH(","&amp;TRIM(TEXTSPLIT(BO224,","))&amp;",",","&amp;SUBSTITUTE(input_context," ","")&amp;",")))=0)),IF(BQ224="",TRUE,IF(input_context="",FALSE,SUMPRODUCT(--ISNUMBER(SEARCH(","&amp;TRIM(TEXTSPLIT(BQ224,","))&amp;",",","&amp;SUBSTITUTE(input_context," ","")&amp;",")))&gt;0)),IF(BS224="",TRUE,IF(input_context="",FALSE,SUMPRODUCT(--ISNUMBER(SEARCH(","&amp;TRIM(TEXTSPLIT(BS224,","))&amp;",",","&amp;SUBSTITUTE(input_context," ","")&amp;",")))=COUNTA(TEXTSPLIT(BS224,",")))))</f>
        <v/>
      </c>
      <c r="IZ224">
        <f>AND(IF(BU224="",TRUE,IF(input_enews_announcement_type="",FALSE,SUMPRODUCT(--ISNUMBER(SEARCH(","&amp;TRIM(TEXTSPLIT(BU224,","))&amp;",",","&amp;SUBSTITUTE(input_enews_announcement_type," ","")&amp;",")))&gt;0)),IF(BW224="",TRUE,IF(input_enews_announcement_type="",FALSE,SUMPRODUCT(--ISNUMBER(SEARCH(","&amp;TRIM(TEXTSPLIT(BW224,","))&amp;",",","&amp;SUBSTITUTE(input_enews_announcement_type," ","")&amp;",")))=COUNTA(TEXTSPLIT(BW224,",")))),IF(BY224="",TRUE,IF(input_enews_announcement_type="",TRUE,SUMPRODUCT(--ISNUMBER(SEARCH(","&amp;TRIM(TEXTSPLIT(BY224,","))&amp;",",","&amp;SUBSTITUTE(input_enews_announcement_type," ","")&amp;",")))=0)),IF(CA224="",TRUE,IF(input_enews_announcement_type="",FALSE,SUMPRODUCT(--ISNUMBER(SEARCH(","&amp;TRIM(TEXTSPLIT(CA224,","))&amp;",",","&amp;SUBSTITUTE(input_enews_announcement_type," ","")&amp;",")))&gt;0)),IF(CC224="",TRUE,IF(input_enews_announcement_type="",FALSE,SUMPRODUCT(--ISNUMBER(SEARCH(","&amp;TRIM(TEXTSPLIT(CC224,","))&amp;",",","&amp;SUBSTITUTE(input_enews_announcement_type," ","")&amp;",")))=COUNTA(TEXTSPLIT(CC224,",")))))</f>
        <v/>
      </c>
      <c r="JA224">
        <f>AND(IF(CE224="",TRUE,IF(input_enews_audience="",FALSE,SUMPRODUCT(--ISNUMBER(SEARCH(","&amp;TRIM(TEXTSPLIT(CE224,","))&amp;",",","&amp;SUBSTITUTE(input_enews_audience," ","")&amp;",")))&gt;0)),IF(CG224="",TRUE,IF(input_enews_audience="",FALSE,SUMPRODUCT(--ISNUMBER(SEARCH(","&amp;TRIM(TEXTSPLIT(CG224,","))&amp;",",","&amp;SUBSTITUTE(input_enews_audience," ","")&amp;",")))=COUNTA(TEXTSPLIT(CG224,",")))),IF(CI224="",TRUE,IF(input_enews_audience="",TRUE,SUMPRODUCT(--ISNUMBER(SEARCH(","&amp;TRIM(TEXTSPLIT(CI224,","))&amp;",",","&amp;SUBSTITUTE(input_enews_audience," ","")&amp;",")))=0)),IF(CK224="",TRUE,IF(input_enews_audience="",FALSE,SUMPRODUCT(--ISNUMBER(SEARCH(","&amp;TRIM(TEXTSPLIT(CK224,","))&amp;",",","&amp;SUBSTITUTE(input_enews_audience," ","")&amp;",")))&gt;0)),IF(CM224="",TRUE,IF(input_enews_audience="",FALSE,SUMPRODUCT(--ISNUMBER(SEARCH(","&amp;TRIM(TEXTSPLIT(CM224,","))&amp;",",","&amp;SUBSTITUTE(input_enews_audience," ","")&amp;",")))=COUNTA(TEXTSPLIT(CM224,",")))))</f>
        <v/>
      </c>
      <c r="JB224">
        <f>AND(IF(CO224="",TRUE,IF(input_event_location="",FALSE,SUMPRODUCT(--ISNUMBER(SEARCH(","&amp;TRIM(TEXTSPLIT(CO224,","))&amp;",",","&amp;SUBSTITUTE(input_event_location," ","")&amp;",")))&gt;0)),IF(CQ224="",TRUE,IF(input_event_location="",FALSE,SUMPRODUCT(--ISNUMBER(SEARCH(","&amp;TRIM(TEXTSPLIT(CQ224,","))&amp;",",","&amp;SUBSTITUTE(input_event_location," ","")&amp;",")))=COUNTA(TEXTSPLIT(CQ224,",")))),IF(CS224="",TRUE,IF(input_event_location="",TRUE,SUMPRODUCT(--ISNUMBER(SEARCH(","&amp;TRIM(TEXTSPLIT(CS224,","))&amp;",",","&amp;SUBSTITUTE(input_event_location," ","")&amp;",")))=0)),IF(CU224="",TRUE,IF(input_event_location="",FALSE,SUMPRODUCT(--ISNUMBER(SEARCH(","&amp;TRIM(TEXTSPLIT(CU224,","))&amp;",",","&amp;SUBSTITUTE(input_event_location," ","")&amp;",")))&gt;0)),IF(CW224="",TRUE,IF(input_event_location="",FALSE,SUMPRODUCT(--ISNUMBER(SEARCH(","&amp;TRIM(TEXTSPLIT(CW224,","))&amp;",",","&amp;SUBSTITUTE(input_event_location," ","")&amp;",")))=COUNTA(TEXTSPLIT(CW224,",")))))</f>
        <v/>
      </c>
      <c r="JC224">
        <f>AND(IF(CY224="",TRUE,IF(input_event_type="",FALSE,SUMPRODUCT(--ISNUMBER(SEARCH(","&amp;TRIM(TEXTSPLIT(CY224,","))&amp;",",","&amp;SUBSTITUTE(input_event_type," ","")&amp;",")))&gt;0)),IF(DA224="",TRUE,IF(input_event_type="",FALSE,SUMPRODUCT(--ISNUMBER(SEARCH(","&amp;TRIM(TEXTSPLIT(DA224,","))&amp;",",","&amp;SUBSTITUTE(input_event_type," ","")&amp;",")))=COUNTA(TEXTSPLIT(DA224,",")))),IF(DC224="",TRUE,IF(input_event_type="",TRUE,SUMPRODUCT(--ISNUMBER(SEARCH(","&amp;TRIM(TEXTSPLIT(DC224,","))&amp;",",","&amp;SUBSTITUTE(input_event_type," ","")&amp;",")))=0)),IF(DE224="",TRUE,IF(input_event_type="",FALSE,SUMPRODUCT(--ISNUMBER(SEARCH(","&amp;TRIM(TEXTSPLIT(DE224,","))&amp;",",","&amp;SUBSTITUTE(input_event_type," ","")&amp;",")))&gt;0)),IF(DG224="",TRUE,IF(input_event_type="",FALSE,SUMPRODUCT(--ISNUMBER(SEARCH(","&amp;TRIM(TEXTSPLIT(DG224,","))&amp;",",","&amp;SUBSTITUTE(input_event_type," ","")&amp;",")))=COUNTA(TEXTSPLIT(DG224,",")))))</f>
        <v/>
      </c>
      <c r="JD224">
        <f>AND(IF(DI224="",TRUE,IF(input_executive_education_focus="",FALSE,SUMPRODUCT(--ISNUMBER(SEARCH(","&amp;TRIM(TEXTSPLIT(DI224,","))&amp;",",","&amp;SUBSTITUTE(input_executive_education_focus," ","")&amp;",")))&gt;0)),IF(DK224="",TRUE,IF(input_executive_education_focus="",FALSE,SUMPRODUCT(--ISNUMBER(SEARCH(","&amp;TRIM(TEXTSPLIT(DK224,","))&amp;",",","&amp;SUBSTITUTE(input_executive_education_focus," ","")&amp;",")))=COUNTA(TEXTSPLIT(DK224,",")))),IF(DM224="",TRUE,IF(input_executive_education_focus="",TRUE,SUMPRODUCT(--ISNUMBER(SEARCH(","&amp;TRIM(TEXTSPLIT(DM224,","))&amp;",",","&amp;SUBSTITUTE(input_executive_education_focus," ","")&amp;",")))=0)),IF(DO224="",TRUE,IF(input_executive_education_focus="",FALSE,SUMPRODUCT(--ISNUMBER(SEARCH(","&amp;TRIM(TEXTSPLIT(DO224,","))&amp;",",","&amp;SUBSTITUTE(input_executive_education_focus," ","")&amp;",")))&gt;0)),IF(DQ224="",TRUE,IF(input_executive_education_focus="",FALSE,SUMPRODUCT(--ISNUMBER(SEARCH(","&amp;TRIM(TEXTSPLIT(DQ224,","))&amp;",",","&amp;SUBSTITUTE(input_executive_education_focus," ","")&amp;",")))=COUNTA(TEXTSPLIT(DQ224,",")))))</f>
        <v/>
      </c>
      <c r="JE224">
        <f>AND(IF(DS224="",TRUE,IF(input_faculty_category="",FALSE,SUMPRODUCT(--ISNUMBER(SEARCH(","&amp;TRIM(TEXTSPLIT(DS224,","))&amp;",",","&amp;SUBSTITUTE(input_faculty_category," ","")&amp;",")))&gt;0)),IF(DU224="",TRUE,IF(input_faculty_category="",FALSE,SUMPRODUCT(--ISNUMBER(SEARCH(","&amp;TRIM(TEXTSPLIT(DU224,","))&amp;",",","&amp;SUBSTITUTE(input_faculty_category," ","")&amp;",")))=COUNTA(TEXTSPLIT(DU224,",")))),IF(DW224="",TRUE,IF(input_faculty_category="",TRUE,SUMPRODUCT(--ISNUMBER(SEARCH(","&amp;TRIM(TEXTSPLIT(DW224,","))&amp;",",","&amp;SUBSTITUTE(input_faculty_category," ","")&amp;",")))=0)),IF(DY224="",TRUE,IF(input_faculty_category="",FALSE,SUMPRODUCT(--ISNUMBER(SEARCH(","&amp;TRIM(TEXTSPLIT(DY224,","))&amp;",",","&amp;SUBSTITUTE(input_faculty_category," ","")&amp;",")))&gt;0)),IF(EA224="",TRUE,IF(input_faculty_category="",FALSE,SUMPRODUCT(--ISNUMBER(SEARCH(","&amp;TRIM(TEXTSPLIT(EA224,","))&amp;",",","&amp;SUBSTITUTE(input_faculty_category," ","")&amp;",")))=COUNTA(TEXTSPLIT(EA224,",")))))</f>
        <v/>
      </c>
      <c r="JF224">
        <f>AND(IF(EC224="",TRUE,IF(input_faculty_discipline="",FALSE,SUMPRODUCT(--ISNUMBER(SEARCH(","&amp;TRIM(TEXTSPLIT(EC224,","))&amp;",",","&amp;SUBSTITUTE(input_faculty_discipline," ","")&amp;",")))&gt;0)),IF(EE224="",TRUE,IF(input_faculty_discipline="",FALSE,SUMPRODUCT(--ISNUMBER(SEARCH(","&amp;TRIM(TEXTSPLIT(EE224,","))&amp;",",","&amp;SUBSTITUTE(input_faculty_discipline," ","")&amp;",")))=COUNTA(TEXTSPLIT(EE224,",")))),IF(EG224="",TRUE,IF(input_faculty_discipline="",TRUE,SUMPRODUCT(--ISNUMBER(SEARCH(","&amp;TRIM(TEXTSPLIT(EG224,","))&amp;",",","&amp;SUBSTITUTE(input_faculty_discipline," ","")&amp;",")))=0)),IF(EI224="",TRUE,IF(input_faculty_discipline="",FALSE,SUMPRODUCT(--ISNUMBER(SEARCH(","&amp;TRIM(TEXTSPLIT(EI224,","))&amp;",",","&amp;SUBSTITUTE(input_faculty_discipline," ","")&amp;",")))&gt;0)),IF(EK224="",TRUE,IF(input_faculty_discipline="",FALSE,SUMPRODUCT(--ISNUMBER(SEARCH(","&amp;TRIM(TEXTSPLIT(EK224,","))&amp;",",","&amp;SUBSTITUTE(input_faculty_discipline," ","")&amp;",")))=COUNTA(TEXTSPLIT(EK224,",")))))</f>
        <v/>
      </c>
      <c r="JG224">
        <f>AND(IF(EM224="",TRUE,IF(input_faculty_expertise="",FALSE,SUMPRODUCT(--ISNUMBER(SEARCH(","&amp;TRIM(TEXTSPLIT(EM224,","))&amp;",",","&amp;SUBSTITUTE(input_faculty_expertise," ","")&amp;",")))&gt;0)),IF(EO224="",TRUE,IF(input_faculty_expertise="",FALSE,SUMPRODUCT(--ISNUMBER(SEARCH(","&amp;TRIM(TEXTSPLIT(EO224,","))&amp;",",","&amp;SUBSTITUTE(input_faculty_expertise," ","")&amp;",")))=COUNTA(TEXTSPLIT(EO224,",")))),IF(EQ224="",TRUE,IF(input_faculty_expertise="",TRUE,SUMPRODUCT(--ISNUMBER(SEARCH(","&amp;TRIM(TEXTSPLIT(EQ224,","))&amp;",",","&amp;SUBSTITUTE(input_faculty_expertise," ","")&amp;",")))=0)),IF(ES224="",TRUE,IF(input_faculty_expertise="",FALSE,SUMPRODUCT(--ISNUMBER(SEARCH(","&amp;TRIM(TEXTSPLIT(ES224,","))&amp;",",","&amp;SUBSTITUTE(input_faculty_expertise," ","")&amp;",")))&gt;0)),IF(EU224="",TRUE,IF(input_faculty_expertise="",FALSE,SUMPRODUCT(--ISNUMBER(SEARCH(","&amp;TRIM(TEXTSPLIT(EU224,","))&amp;",",","&amp;SUBSTITUTE(input_faculty_expertise," ","")&amp;",")))=COUNTA(TEXTSPLIT(EU224,",")))))</f>
        <v/>
      </c>
      <c r="JH224">
        <f>AND(IF(EW224="",TRUE,IF(input_global_network_school="",FALSE,SUMPRODUCT(--ISNUMBER(SEARCH(","&amp;TRIM(TEXTSPLIT(EW224,","))&amp;",",","&amp;SUBSTITUTE(input_global_network_school," ","")&amp;",")))&gt;0)),IF(EY224="",TRUE,IF(input_global_network_school="",FALSE,SUMPRODUCT(--ISNUMBER(SEARCH(","&amp;TRIM(TEXTSPLIT(EY224,","))&amp;",",","&amp;SUBSTITUTE(input_global_network_school," ","")&amp;",")))=COUNTA(TEXTSPLIT(EY224,",")))),IF(FA224="",TRUE,IF(input_global_network_school="",TRUE,SUMPRODUCT(--ISNUMBER(SEARCH(","&amp;TRIM(TEXTSPLIT(FA224,","))&amp;",",","&amp;SUBSTITUTE(input_global_network_school," ","")&amp;",")))=0)),IF(FC224="",TRUE,IF(input_global_network_school="",FALSE,SUMPRODUCT(--ISNUMBER(SEARCH(","&amp;TRIM(TEXTSPLIT(FC224,","))&amp;",",","&amp;SUBSTITUTE(input_global_network_school," ","")&amp;",")))&gt;0)),IF(FE224="",TRUE,IF(input_global_network_school="",FALSE,SUMPRODUCT(--ISNUMBER(SEARCH(","&amp;TRIM(TEXTSPLIT(FE224,","))&amp;",",","&amp;SUBSTITUTE(input_global_network_school," ","")&amp;",")))=COUNTA(TEXTSPLIT(FE224,",")))))</f>
        <v/>
      </c>
      <c r="JI224">
        <f>AND(IF(FG224="",TRUE,IF(input_industry="",FALSE,SUMPRODUCT(--ISNUMBER(SEARCH(","&amp;TRIM(TEXTSPLIT(FG224,","))&amp;",",","&amp;SUBSTITUTE(input_industry," ","")&amp;",")))&gt;0)),IF(FI224="",TRUE,IF(input_industry="",FALSE,SUMPRODUCT(--ISNUMBER(SEARCH(","&amp;TRIM(TEXTSPLIT(FI224,","))&amp;",",","&amp;SUBSTITUTE(input_industry," ","")&amp;",")))=COUNTA(TEXTSPLIT(FI224,",")))),IF(FK224="",TRUE,IF(input_industry="",TRUE,SUMPRODUCT(--ISNUMBER(SEARCH(","&amp;TRIM(TEXTSPLIT(FK224,","))&amp;",",","&amp;SUBSTITUTE(input_industry," ","")&amp;",")))=0)),IF(FM224="",TRUE,IF(input_industry="",FALSE,SUMPRODUCT(--ISNUMBER(SEARCH(","&amp;TRIM(TEXTSPLIT(FM224,","))&amp;",",","&amp;SUBSTITUTE(input_industry," ","")&amp;",")))&gt;0)),IF(FO224="",TRUE,IF(input_industry="",FALSE,SUMPRODUCT(--ISNUMBER(SEARCH(","&amp;TRIM(TEXTSPLIT(FO224,","))&amp;",",","&amp;SUBSTITUTE(input_industry," ","")&amp;",")))=COUNTA(TEXTSPLIT(FO224,",")))))</f>
        <v/>
      </c>
      <c r="JJ224">
        <f>AND(IF(FQ224="",TRUE,IF(input_location="",FALSE,SUMPRODUCT(--ISNUMBER(SEARCH(","&amp;TRIM(TEXTSPLIT(FQ224,","))&amp;",",","&amp;SUBSTITUTE(input_location," ","")&amp;",")))&gt;0)),IF(FS224="",TRUE,IF(input_location="",FALSE,SUMPRODUCT(--ISNUMBER(SEARCH(","&amp;TRIM(TEXTSPLIT(FS224,","))&amp;",",","&amp;SUBSTITUTE(input_location," ","")&amp;",")))=COUNTA(TEXTSPLIT(FS224,",")))),IF(FU224="",TRUE,IF(input_location="",TRUE,SUMPRODUCT(--ISNUMBER(SEARCH(","&amp;TRIM(TEXTSPLIT(FU224,","))&amp;",",","&amp;SUBSTITUTE(input_location," ","")&amp;",")))=0)),IF(FW224="",TRUE,IF(input_location="",FALSE,SUMPRODUCT(--ISNUMBER(SEARCH(","&amp;TRIM(TEXTSPLIT(FW224,","))&amp;",",","&amp;SUBSTITUTE(input_location," ","")&amp;",")))&gt;0)),IF(FY224="",TRUE,IF(input_location="",FALSE,SUMPRODUCT(--ISNUMBER(SEARCH(","&amp;TRIM(TEXTSPLIT(FY224,","))&amp;",",","&amp;SUBSTITUTE(input_location," ","")&amp;",")))=COUNTA(TEXTSPLIT(FY224,",")))))</f>
        <v/>
      </c>
      <c r="JK224">
        <f>AND(IF(GA224="",TRUE,IF(input_modality="",FALSE,SUMPRODUCT(--ISNUMBER(SEARCH(","&amp;TRIM(TEXTSPLIT(GA224,","))&amp;",",","&amp;SUBSTITUTE(input_modality," ","")&amp;",")))&gt;0)),IF(GC224="",TRUE,IF(input_modality="",FALSE,SUMPRODUCT(--ISNUMBER(SEARCH(","&amp;TRIM(TEXTSPLIT(GC224,","))&amp;",",","&amp;SUBSTITUTE(input_modality," ","")&amp;",")))=COUNTA(TEXTSPLIT(GC224,",")))),IF(GE224="",TRUE,IF(input_modality="",TRUE,SUMPRODUCT(--ISNUMBER(SEARCH(","&amp;TRIM(TEXTSPLIT(GE224,","))&amp;",",","&amp;SUBSTITUTE(input_modality," ","")&amp;",")))=0)),IF(GG224="",TRUE,IF(input_modality="",FALSE,SUMPRODUCT(--ISNUMBER(SEARCH(","&amp;TRIM(TEXTSPLIT(GG224,","))&amp;",",","&amp;SUBSTITUTE(input_modality," ","")&amp;",")))&gt;0)),IF(GI224="",TRUE,IF(input_modality="",FALSE,SUMPRODUCT(--ISNUMBER(SEARCH(","&amp;TRIM(TEXTSPLIT(GI224,","))&amp;",",","&amp;SUBSTITUTE(input_modality," ","")&amp;",")))=COUNTA(TEXTSPLIT(GI224,",")))))</f>
        <v/>
      </c>
      <c r="JL224">
        <f>AND(IF(GK224="",TRUE,IF(input_organizer="",FALSE,SUMPRODUCT(--ISNUMBER(SEARCH(","&amp;TRIM(TEXTSPLIT(GK224,","))&amp;",",","&amp;SUBSTITUTE(input_organizer," ","")&amp;",")))&gt;0)),IF(GM224="",TRUE,IF(input_organizer="",FALSE,SUMPRODUCT(--ISNUMBER(SEARCH(","&amp;TRIM(TEXTSPLIT(GM224,","))&amp;",",","&amp;SUBSTITUTE(input_organizer," ","")&amp;",")))=COUNTA(TEXTSPLIT(GM224,",")))),IF(GO224="",TRUE,IF(input_organizer="",TRUE,SUMPRODUCT(--ISNUMBER(SEARCH(","&amp;TRIM(TEXTSPLIT(GO224,","))&amp;",",","&amp;SUBSTITUTE(input_organizer," ","")&amp;",")))=0)),IF(GQ224="",TRUE,IF(input_organizer="",FALSE,SUMPRODUCT(--ISNUMBER(SEARCH(","&amp;TRIM(TEXTSPLIT(GQ224,","))&amp;",",","&amp;SUBSTITUTE(input_organizer," ","")&amp;",")))&gt;0)),IF(GS224="",TRUE,IF(input_organizer="",FALSE,SUMPRODUCT(--ISNUMBER(SEARCH(","&amp;TRIM(TEXTSPLIT(GS224,","))&amp;",",","&amp;SUBSTITUTE(input_organizer," ","")&amp;",")))=COUNTA(TEXTSPLIT(GS224,",")))))</f>
        <v/>
      </c>
      <c r="JM224">
        <f>AND(IF(GU224="",TRUE,IF(input_profile_type="",FALSE,SUMPRODUCT(--ISNUMBER(SEARCH(","&amp;TRIM(TEXTSPLIT(GU224,","))&amp;",",","&amp;SUBSTITUTE(input_profile_type," ","")&amp;",")))&gt;0)),IF(GW224="",TRUE,IF(input_profile_type="",FALSE,SUMPRODUCT(--ISNUMBER(SEARCH(","&amp;TRIM(TEXTSPLIT(GW224,","))&amp;",",","&amp;SUBSTITUTE(input_profile_type," ","")&amp;",")))=COUNTA(TEXTSPLIT(GW224,",")))),IF(GY224="",TRUE,IF(input_profile_type="",TRUE,SUMPRODUCT(--ISNUMBER(SEARCH(","&amp;TRIM(TEXTSPLIT(GY224,","))&amp;",",","&amp;SUBSTITUTE(input_profile_type," ","")&amp;",")))=0)),IF(HA224="",TRUE,IF(input_profile_type="",FALSE,SUMPRODUCT(--ISNUMBER(SEARCH(","&amp;TRIM(TEXTSPLIT(HA224,","))&amp;",",","&amp;SUBSTITUTE(input_profile_type," ","")&amp;",")))&gt;0)),IF(HC224="",TRUE,IF(input_profile_type="",FALSE,SUMPRODUCT(--ISNUMBER(SEARCH(","&amp;TRIM(TEXTSPLIT(HC224,","))&amp;",",","&amp;SUBSTITUTE(input_profile_type," ","")&amp;",")))=COUNTA(TEXTSPLIT(HC224,",")))))</f>
        <v/>
      </c>
      <c r="JN224">
        <f>AND(IF(HE224="",TRUE,IF(input_program="",FALSE,SUMPRODUCT(--ISNUMBER(SEARCH(","&amp;TRIM(TEXTSPLIT(HE224,","))&amp;",",","&amp;SUBSTITUTE(input_program," ","")&amp;",")))&gt;0)),IF(HG224="",TRUE,IF(input_program="",FALSE,SUMPRODUCT(--ISNUMBER(SEARCH(","&amp;TRIM(TEXTSPLIT(HG224,","))&amp;",",","&amp;SUBSTITUTE(input_program," ","")&amp;",")))=COUNTA(TEXTSPLIT(HG224,",")))),IF(HI224="",TRUE,IF(input_program="",TRUE,SUMPRODUCT(--ISNUMBER(SEARCH(","&amp;TRIM(TEXTSPLIT(HI224,","))&amp;",",","&amp;SUBSTITUTE(input_program," ","")&amp;",")))=0)),IF(HK224="",TRUE,IF(input_program="",FALSE,SUMPRODUCT(--ISNUMBER(SEARCH(","&amp;TRIM(TEXTSPLIT(HK224,","))&amp;",",","&amp;SUBSTITUTE(input_program," ","")&amp;",")))&gt;0)),IF(HM224="",TRUE,IF(input_program="",FALSE,SUMPRODUCT(--ISNUMBER(SEARCH(","&amp;TRIM(TEXTSPLIT(HM224,","))&amp;",",","&amp;SUBSTITUTE(input_program," ","")&amp;",")))=COUNTA(TEXTSPLIT(HM224,",")))))</f>
        <v/>
      </c>
      <c r="JO224">
        <f>AND(IF(HO224="",TRUE,IF(input_story_categories="",FALSE,SUMPRODUCT(--ISNUMBER(SEARCH(","&amp;TRIM(TEXTSPLIT(HO224,","))&amp;",",","&amp;SUBSTITUTE(input_story_categories," ","")&amp;",")))&gt;0)),IF(HQ224="",TRUE,IF(input_story_categories="",FALSE,SUMPRODUCT(--ISNUMBER(SEARCH(","&amp;TRIM(TEXTSPLIT(HQ224,","))&amp;",",","&amp;SUBSTITUTE(input_story_categories," ","")&amp;",")))=COUNTA(TEXTSPLIT(HQ224,",")))),IF(HS224="",TRUE,IF(input_story_categories="",TRUE,SUMPRODUCT(--ISNUMBER(SEARCH(","&amp;TRIM(TEXTSPLIT(HS224,","))&amp;",",","&amp;SUBSTITUTE(input_story_categories," ","")&amp;",")))=0)),IF(HU224="",TRUE,IF(input_story_categories="",FALSE,SUMPRODUCT(--ISNUMBER(SEARCH(","&amp;TRIM(TEXTSPLIT(HU224,","))&amp;",",","&amp;SUBSTITUTE(input_story_categories," ","")&amp;",")))&gt;0)),IF(HW224="",TRUE,IF(input_story_categories="",FALSE,SUMPRODUCT(--ISNUMBER(SEARCH(","&amp;TRIM(TEXTSPLIT(HW224,","))&amp;",",","&amp;SUBSTITUTE(input_story_categories," ","")&amp;",")))=COUNTA(TEXTSPLIT(HW224,",")))))</f>
        <v/>
      </c>
      <c r="JP224">
        <f>AND(IF(HY224="",TRUE,IF(input_story_type="",FALSE,SUMPRODUCT(--ISNUMBER(SEARCH(","&amp;TRIM(TEXTSPLIT(HY224,","))&amp;",",","&amp;SUBSTITUTE(input_story_type," ","")&amp;",")))&gt;0)),IF(IA224="",TRUE,IF(input_story_type="",FALSE,SUMPRODUCT(--ISNUMBER(SEARCH(","&amp;TRIM(TEXTSPLIT(IA224,","))&amp;",",","&amp;SUBSTITUTE(input_story_type," ","")&amp;",")))=COUNTA(TEXTSPLIT(IA224,",")))),IF(IC224="",TRUE,IF(input_story_type="",TRUE,SUMPRODUCT(--ISNUMBER(SEARCH(","&amp;TRIM(TEXTSPLIT(IC224,","))&amp;",",","&amp;SUBSTITUTE(input_story_type," ","")&amp;",")))=0)),IF(IE224="",TRUE,IF(input_story_type="",FALSE,SUMPRODUCT(--ISNUMBER(SEARCH(","&amp;TRIM(TEXTSPLIT(IE224,","))&amp;",",","&amp;SUBSTITUTE(input_story_type," ","")&amp;",")))&gt;0)),IF(IG224="",TRUE,IF(input_story_type="",FALSE,SUMPRODUCT(--ISNUMBER(SEARCH(","&amp;TRIM(TEXTSPLIT(IG224,","))&amp;",",","&amp;SUBSTITUTE(input_story_type," ","")&amp;",")))=COUNTA(TEXTSPLIT(IG224,",")))))</f>
        <v/>
      </c>
      <c r="JQ224">
        <f>AND(IF(II224="",TRUE,IF(input_topics="",FALSE,SUMPRODUCT(--ISNUMBER(SEARCH(","&amp;TRIM(TEXTSPLIT(II224,","))&amp;",",","&amp;SUBSTITUTE(input_topics," ","")&amp;",")))&gt;0)),IF(IK224="",TRUE,IF(input_topics="",FALSE,SUMPRODUCT(--ISNUMBER(SEARCH(","&amp;TRIM(TEXTSPLIT(IK224,","))&amp;",",","&amp;SUBSTITUTE(input_topics," ","")&amp;",")))=COUNTA(TEXTSPLIT(IK224,",")))),IF(IM224="",TRUE,IF(input_topics="",TRUE,SUMPRODUCT(--ISNUMBER(SEARCH(","&amp;TRIM(TEXTSPLIT(IM224,","))&amp;",",","&amp;SUBSTITUTE(input_topics," ","")&amp;",")))=0)),IF(IO224="",TRUE,IF(input_topics="",FALSE,SUMPRODUCT(--ISNUMBER(SEARCH(","&amp;TRIM(TEXTSPLIT(IO224,","))&amp;",",","&amp;SUBSTITUTE(input_topics," ","")&amp;",")))&gt;0)),IF(IQ224="",TRUE,IF(input_topics="",FALSE,SUMPRODUCT(--ISNUMBER(SEARCH(","&amp;TRIM(TEXTSPLIT(IQ224,","))&amp;",",","&amp;SUBSTITUTE(input_topics," ","")&amp;",")))=COUNTA(TEXTSPLIT(IQ224,",")))))</f>
        <v/>
      </c>
    </row>
    <row r="225">
      <c r="A225" s="4">
        <f>IF(NOT(IS225),"Excluded",IF(AND(IT225,IU225,IV225,IW225,IX225,IY225,IZ225,JA225,JB225,JC225,JD225,JE225,JF225,JG225,JH225,JI225,JJ225,JK225,JL225,JM225,JN225,JO225,JP225,JQ225),IF(I225&gt;0,"Eligible but limited","Will appear"),"Excluded"))</f>
        <v/>
      </c>
      <c r="B225" s="4" t="inlineStr">
        <is>
          <t>Russia</t>
        </is>
      </c>
      <c r="C225" s="4" t="inlineStr">
        <is>
          <t>/centers/chief-executive-leadership-institute/media/russia</t>
        </is>
      </c>
      <c r="D225" s="4" t="inlineStr">
        <is>
          <t>/centers/chief-executive-leadership-institute/media/russia</t>
        </is>
      </c>
      <c r="E225" s="4" t="n">
        <v>1</v>
      </c>
      <c r="F225" s="4" t="inlineStr">
        <is>
          <t>story</t>
        </is>
      </c>
      <c r="G225" s="4" t="inlineStr">
        <is>
          <t>stories_list</t>
        </is>
      </c>
      <c r="H225" s="4" t="inlineStr">
        <is>
          <t>embed_1</t>
        </is>
      </c>
      <c r="I225" s="4" t="n">
        <v>10</v>
      </c>
      <c r="J225" s="4" t="inlineStr">
        <is>
          <t>Explicit args</t>
        </is>
      </c>
      <c r="K225" s="4" t="inlineStr">
        <is>
          <t>Page placement</t>
        </is>
      </c>
      <c r="L225" s="4" t="inlineStr">
        <is>
          <t>Content type: story; Context uses Courses Context: Russia (1358); Limited to 10 item(s); Source: Explicit args</t>
        </is>
      </c>
      <c r="M225" t="inlineStr"/>
      <c r="N225" t="inlineStr"/>
      <c r="O225" t="inlineStr"/>
      <c r="P225" t="inlineStr"/>
      <c r="Q225" t="inlineStr"/>
      <c r="R225" t="inlineStr"/>
      <c r="S225" t="inlineStr"/>
      <c r="T225" t="inlineStr"/>
      <c r="U225" t="inlineStr"/>
      <c r="V225" t="inlineStr"/>
      <c r="W225" t="inlineStr"/>
      <c r="X225" t="inlineStr"/>
      <c r="Y225" t="inlineStr"/>
      <c r="Z225" t="inlineStr"/>
      <c r="AA225" t="inlineStr"/>
      <c r="AB225" t="inlineStr"/>
      <c r="AC225" t="inlineStr"/>
      <c r="AD225" t="inlineStr"/>
      <c r="AE225" t="inlineStr"/>
      <c r="AF225" t="inlineStr"/>
      <c r="AG225" t="inlineStr"/>
      <c r="AH225" t="inlineStr"/>
      <c r="AI225" t="inlineStr"/>
      <c r="AJ225" t="inlineStr"/>
      <c r="AK225" t="inlineStr"/>
      <c r="AL225" t="inlineStr"/>
      <c r="AM225" t="inlineStr"/>
      <c r="AN225" t="inlineStr"/>
      <c r="AO225" t="inlineStr"/>
      <c r="AP225" t="inlineStr"/>
      <c r="AQ225" t="inlineStr"/>
      <c r="AR225" t="inlineStr"/>
      <c r="AS225" t="inlineStr"/>
      <c r="AT225" t="inlineStr"/>
      <c r="AU225" t="inlineStr"/>
      <c r="AV225" t="inlineStr"/>
      <c r="AW225" t="inlineStr"/>
      <c r="AX225" t="inlineStr"/>
      <c r="AY225" t="inlineStr"/>
      <c r="AZ225" t="inlineStr"/>
      <c r="BA225" t="inlineStr"/>
      <c r="BB225" t="inlineStr"/>
      <c r="BC225" t="inlineStr"/>
      <c r="BD225" t="inlineStr"/>
      <c r="BE225" t="inlineStr"/>
      <c r="BF225" t="inlineStr"/>
      <c r="BG225" t="inlineStr"/>
      <c r="BH225" t="inlineStr"/>
      <c r="BI225" t="inlineStr"/>
      <c r="BJ225" t="inlineStr"/>
      <c r="BK225" t="inlineStr"/>
      <c r="BL225" t="inlineStr"/>
      <c r="BM225" t="inlineStr"/>
      <c r="BN225" t="inlineStr"/>
      <c r="BO225" t="inlineStr"/>
      <c r="BP225" t="inlineStr"/>
      <c r="BQ225" t="inlineStr">
        <is>
          <t>1358</t>
        </is>
      </c>
      <c r="BR225" t="inlineStr">
        <is>
          <t>Russia (1358)</t>
        </is>
      </c>
      <c r="BS225" t="inlineStr"/>
      <c r="BT225" t="inlineStr"/>
      <c r="BU225" t="inlineStr"/>
      <c r="BV225" t="inlineStr"/>
      <c r="BW225" t="inlineStr"/>
      <c r="BX225" t="inlineStr"/>
      <c r="BY225" t="inlineStr"/>
      <c r="BZ225" t="inlineStr"/>
      <c r="CA225" t="inlineStr"/>
      <c r="CB225" t="inlineStr"/>
      <c r="CC225" t="inlineStr"/>
      <c r="CD225" t="inlineStr"/>
      <c r="CE225" t="inlineStr"/>
      <c r="CF225" t="inlineStr"/>
      <c r="CG225" t="inlineStr"/>
      <c r="CH225" t="inlineStr"/>
      <c r="CI225" t="inlineStr"/>
      <c r="CJ225" t="inlineStr"/>
      <c r="CK225" t="inlineStr"/>
      <c r="CL225" t="inlineStr"/>
      <c r="CM225" t="inlineStr"/>
      <c r="CN225" t="inlineStr"/>
      <c r="CO225" t="inlineStr"/>
      <c r="CP225" t="inlineStr"/>
      <c r="CQ225" t="inlineStr"/>
      <c r="CR225" t="inlineStr"/>
      <c r="CS225" t="inlineStr"/>
      <c r="CT225" t="inlineStr"/>
      <c r="CU225" t="inlineStr"/>
      <c r="CV225" t="inlineStr"/>
      <c r="CW225" t="inlineStr"/>
      <c r="CX225" t="inlineStr"/>
      <c r="CY225" t="inlineStr"/>
      <c r="CZ225" t="inlineStr"/>
      <c r="DA225" t="inlineStr"/>
      <c r="DB225" t="inlineStr"/>
      <c r="DC225" t="inlineStr"/>
      <c r="DD225" t="inlineStr"/>
      <c r="DE225" t="inlineStr"/>
      <c r="DF225" t="inlineStr"/>
      <c r="DG225" t="inlineStr"/>
      <c r="DH225" t="inlineStr"/>
      <c r="DI225" t="inlineStr"/>
      <c r="DJ225" t="inlineStr"/>
      <c r="DK225" t="inlineStr"/>
      <c r="DL225" t="inlineStr"/>
      <c r="DM225" t="inlineStr"/>
      <c r="DN225" t="inlineStr"/>
      <c r="DO225" t="inlineStr"/>
      <c r="DP225" t="inlineStr"/>
      <c r="DQ225" t="inlineStr"/>
      <c r="DR225" t="inlineStr"/>
      <c r="DS225" t="inlineStr"/>
      <c r="DT225" t="inlineStr"/>
      <c r="DU225" t="inlineStr"/>
      <c r="DV225" t="inlineStr"/>
      <c r="DW225" t="inlineStr"/>
      <c r="DX225" t="inlineStr"/>
      <c r="DY225" t="inlineStr"/>
      <c r="DZ225" t="inlineStr"/>
      <c r="EA225" t="inlineStr"/>
      <c r="EB225" t="inlineStr"/>
      <c r="EC225" t="inlineStr"/>
      <c r="ED225" t="inlineStr"/>
      <c r="EE225" t="inlineStr"/>
      <c r="EF225" t="inlineStr"/>
      <c r="EG225" t="inlineStr"/>
      <c r="EH225" t="inlineStr"/>
      <c r="EI225" t="inlineStr"/>
      <c r="EJ225" t="inlineStr"/>
      <c r="EK225" t="inlineStr"/>
      <c r="EL225" t="inlineStr"/>
      <c r="EM225" t="inlineStr"/>
      <c r="EN225" t="inlineStr"/>
      <c r="EO225" t="inlineStr"/>
      <c r="EP225" t="inlineStr"/>
      <c r="EQ225" t="inlineStr"/>
      <c r="ER225" t="inlineStr"/>
      <c r="ES225" t="inlineStr"/>
      <c r="ET225" t="inlineStr"/>
      <c r="EU225" t="inlineStr"/>
      <c r="EV225" t="inlineStr"/>
      <c r="EW225" t="inlineStr"/>
      <c r="EX225" t="inlineStr"/>
      <c r="EY225" t="inlineStr"/>
      <c r="EZ225" t="inlineStr"/>
      <c r="FA225" t="inlineStr"/>
      <c r="FB225" t="inlineStr"/>
      <c r="FC225" t="inlineStr"/>
      <c r="FD225" t="inlineStr"/>
      <c r="FE225" t="inlineStr"/>
      <c r="FF225" t="inlineStr"/>
      <c r="FG225" t="inlineStr"/>
      <c r="FH225" t="inlineStr"/>
      <c r="FI225" t="inlineStr"/>
      <c r="FJ225" t="inlineStr"/>
      <c r="FK225" t="inlineStr"/>
      <c r="FL225" t="inlineStr"/>
      <c r="FM225" t="inlineStr"/>
      <c r="FN225" t="inlineStr"/>
      <c r="FO225" t="inlineStr"/>
      <c r="FP225" t="inlineStr"/>
      <c r="FQ225" t="inlineStr"/>
      <c r="FR225" t="inlineStr"/>
      <c r="FS225" t="inlineStr"/>
      <c r="FT225" t="inlineStr"/>
      <c r="FU225" t="inlineStr"/>
      <c r="FV225" t="inlineStr"/>
      <c r="FW225" t="inlineStr"/>
      <c r="FX225" t="inlineStr"/>
      <c r="FY225" t="inlineStr"/>
      <c r="FZ225" t="inlineStr"/>
      <c r="GA225" t="inlineStr"/>
      <c r="GB225" t="inlineStr"/>
      <c r="GC225" t="inlineStr"/>
      <c r="GD225" t="inlineStr"/>
      <c r="GE225" t="inlineStr"/>
      <c r="GF225" t="inlineStr"/>
      <c r="GG225" t="inlineStr"/>
      <c r="GH225" t="inlineStr"/>
      <c r="GI225" t="inlineStr"/>
      <c r="GJ225" t="inlineStr"/>
      <c r="GK225" t="inlineStr"/>
      <c r="GL225" t="inlineStr"/>
      <c r="GM225" t="inlineStr"/>
      <c r="GN225" t="inlineStr"/>
      <c r="GO225" t="inlineStr"/>
      <c r="GP225" t="inlineStr"/>
      <c r="GQ225" t="inlineStr"/>
      <c r="GR225" t="inlineStr"/>
      <c r="GS225" t="inlineStr"/>
      <c r="GT225" t="inlineStr"/>
      <c r="GU225" t="inlineStr"/>
      <c r="GV225" t="inlineStr"/>
      <c r="GW225" t="inlineStr"/>
      <c r="GX225" t="inlineStr"/>
      <c r="GY225" t="inlineStr"/>
      <c r="GZ225" t="inlineStr"/>
      <c r="HA225" t="inlineStr"/>
      <c r="HB225" t="inlineStr"/>
      <c r="HC225" t="inlineStr"/>
      <c r="HD225" t="inlineStr"/>
      <c r="HE225" t="inlineStr"/>
      <c r="HF225" t="inlineStr"/>
      <c r="HG225" t="inlineStr"/>
      <c r="HH225" t="inlineStr"/>
      <c r="HI225" t="inlineStr"/>
      <c r="HJ225" t="inlineStr"/>
      <c r="HK225" t="inlineStr"/>
      <c r="HL225" t="inlineStr"/>
      <c r="HM225" t="inlineStr"/>
      <c r="HN225" t="inlineStr"/>
      <c r="HO225" t="inlineStr"/>
      <c r="HP225" t="inlineStr"/>
      <c r="HQ225" t="inlineStr"/>
      <c r="HR225" t="inlineStr"/>
      <c r="HS225" t="inlineStr"/>
      <c r="HT225" t="inlineStr"/>
      <c r="HU225" t="inlineStr"/>
      <c r="HV225" t="inlineStr"/>
      <c r="HW225" t="inlineStr"/>
      <c r="HX225" t="inlineStr"/>
      <c r="HY225" t="inlineStr"/>
      <c r="HZ225" t="inlineStr"/>
      <c r="IA225" t="inlineStr"/>
      <c r="IB225" t="inlineStr"/>
      <c r="IC225" t="inlineStr"/>
      <c r="ID225" t="inlineStr"/>
      <c r="IE225" t="inlineStr"/>
      <c r="IF225" t="inlineStr"/>
      <c r="IG225" t="inlineStr"/>
      <c r="IH225" t="inlineStr"/>
      <c r="II225" t="inlineStr"/>
      <c r="IJ225" t="inlineStr"/>
      <c r="IK225" t="inlineStr"/>
      <c r="IL225" t="inlineStr"/>
      <c r="IM225" t="inlineStr"/>
      <c r="IN225" t="inlineStr"/>
      <c r="IO225" t="inlineStr"/>
      <c r="IP225" t="inlineStr"/>
      <c r="IQ225" t="inlineStr"/>
      <c r="IR225" t="inlineStr"/>
      <c r="IS225">
        <f>IF(input_content_type="",FALSE,ISNUMBER(SEARCH(","&amp;LOWER(input_content_type)&amp;",",","&amp;LOWER(F225)&amp;",")))</f>
        <v/>
      </c>
      <c r="IT225">
        <f>AND(IF(M225="",TRUE,IF(input_affiliations="",FALSE,SUMPRODUCT(--ISNUMBER(SEARCH(","&amp;TRIM(TEXTSPLIT(M225,","))&amp;",",","&amp;SUBSTITUTE(input_affiliations," ","")&amp;",")))&gt;0)),IF(O225="",TRUE,IF(input_affiliations="",FALSE,SUMPRODUCT(--ISNUMBER(SEARCH(","&amp;TRIM(TEXTSPLIT(O225,","))&amp;",",","&amp;SUBSTITUTE(input_affiliations," ","")&amp;",")))=COUNTA(TEXTSPLIT(O225,",")))),IF(Q225="",TRUE,IF(input_affiliations="",TRUE,SUMPRODUCT(--ISNUMBER(SEARCH(","&amp;TRIM(TEXTSPLIT(Q225,","))&amp;",",","&amp;SUBSTITUTE(input_affiliations," ","")&amp;",")))=0)),IF(S225="",TRUE,IF(input_affiliations="",FALSE,SUMPRODUCT(--ISNUMBER(SEARCH(","&amp;TRIM(TEXTSPLIT(S225,","))&amp;",",","&amp;SUBSTITUTE(input_affiliations," ","")&amp;",")))&gt;0)),IF(U225="",TRUE,IF(input_affiliations="",FALSE,SUMPRODUCT(--ISNUMBER(SEARCH(","&amp;TRIM(TEXTSPLIT(U225,","))&amp;",",","&amp;SUBSTITUTE(input_affiliations," ","")&amp;",")))=COUNTA(TEXTSPLIT(U225,",")))))</f>
        <v/>
      </c>
      <c r="IU225">
        <f>AND(IF(W225="",TRUE,IF(input_announcement_category="",FALSE,SUMPRODUCT(--ISNUMBER(SEARCH(","&amp;TRIM(TEXTSPLIT(W225,","))&amp;",",","&amp;SUBSTITUTE(input_announcement_category," ","")&amp;",")))&gt;0)),IF(Y225="",TRUE,IF(input_announcement_category="",FALSE,SUMPRODUCT(--ISNUMBER(SEARCH(","&amp;TRIM(TEXTSPLIT(Y225,","))&amp;",",","&amp;SUBSTITUTE(input_announcement_category," ","")&amp;",")))=COUNTA(TEXTSPLIT(Y225,",")))),IF(AA225="",TRUE,IF(input_announcement_category="",TRUE,SUMPRODUCT(--ISNUMBER(SEARCH(","&amp;TRIM(TEXTSPLIT(AA225,","))&amp;",",","&amp;SUBSTITUTE(input_announcement_category," ","")&amp;",")))=0)),IF(AC225="",TRUE,IF(input_announcement_category="",FALSE,SUMPRODUCT(--ISNUMBER(SEARCH(","&amp;TRIM(TEXTSPLIT(AC225,","))&amp;",",","&amp;SUBSTITUTE(input_announcement_category," ","")&amp;",")))&gt;0)),IF(AE225="",TRUE,IF(input_announcement_category="",FALSE,SUMPRODUCT(--ISNUMBER(SEARCH(","&amp;TRIM(TEXTSPLIT(AE225,","))&amp;",",","&amp;SUBSTITUTE(input_announcement_category," ","")&amp;",")))=COUNTA(TEXTSPLIT(AE225,",")))))</f>
        <v/>
      </c>
      <c r="IV225">
        <f>AND(IF(AG225="",TRUE,IF(input_area_of_focus="",FALSE,SUMPRODUCT(--ISNUMBER(SEARCH(","&amp;TRIM(TEXTSPLIT(AG225,","))&amp;",",","&amp;SUBSTITUTE(input_area_of_focus," ","")&amp;",")))&gt;0)),IF(AI225="",TRUE,IF(input_area_of_focus="",FALSE,SUMPRODUCT(--ISNUMBER(SEARCH(","&amp;TRIM(TEXTSPLIT(AI225,","))&amp;",",","&amp;SUBSTITUTE(input_area_of_focus," ","")&amp;",")))=COUNTA(TEXTSPLIT(AI225,",")))),IF(AK225="",TRUE,IF(input_area_of_focus="",TRUE,SUMPRODUCT(--ISNUMBER(SEARCH(","&amp;TRIM(TEXTSPLIT(AK225,","))&amp;",",","&amp;SUBSTITUTE(input_area_of_focus," ","")&amp;",")))=0)),IF(AM225="",TRUE,IF(input_area_of_focus="",FALSE,SUMPRODUCT(--ISNUMBER(SEARCH(","&amp;TRIM(TEXTSPLIT(AM225,","))&amp;",",","&amp;SUBSTITUTE(input_area_of_focus," ","")&amp;",")))&gt;0)),IF(AO225="",TRUE,IF(input_area_of_focus="",FALSE,SUMPRODUCT(--ISNUMBER(SEARCH(","&amp;TRIM(TEXTSPLIT(AO225,","))&amp;",",","&amp;SUBSTITUTE(input_area_of_focus," ","")&amp;",")))=COUNTA(TEXTSPLIT(AO225,",")))))</f>
        <v/>
      </c>
      <c r="IW225">
        <f>AND(IF(AQ225="",TRUE,IF(input_audience="",FALSE,SUMPRODUCT(--ISNUMBER(SEARCH(","&amp;TRIM(TEXTSPLIT(AQ225,","))&amp;",",","&amp;SUBSTITUTE(input_audience," ","")&amp;",")))&gt;0)),IF(AS225="",TRUE,IF(input_audience="",FALSE,SUMPRODUCT(--ISNUMBER(SEARCH(","&amp;TRIM(TEXTSPLIT(AS225,","))&amp;",",","&amp;SUBSTITUTE(input_audience," ","")&amp;",")))=COUNTA(TEXTSPLIT(AS225,",")))),IF(AU225="",TRUE,IF(input_audience="",TRUE,SUMPRODUCT(--ISNUMBER(SEARCH(","&amp;TRIM(TEXTSPLIT(AU225,","))&amp;",",","&amp;SUBSTITUTE(input_audience," ","")&amp;",")))=0)),IF(AW225="",TRUE,IF(input_audience="",FALSE,SUMPRODUCT(--ISNUMBER(SEARCH(","&amp;TRIM(TEXTSPLIT(AW225,","))&amp;",",","&amp;SUBSTITUTE(input_audience," ","")&amp;",")))&gt;0)),IF(AY225="",TRUE,IF(input_audience="",FALSE,SUMPRODUCT(--ISNUMBER(SEARCH(","&amp;TRIM(TEXTSPLIT(AY225,","))&amp;",",","&amp;SUBSTITUTE(input_audience," ","")&amp;",")))=COUNTA(TEXTSPLIT(AY225,",")))))</f>
        <v/>
      </c>
      <c r="IX225">
        <f>AND(IF(BA225="",TRUE,IF(input_challenge_opportunities="",FALSE,SUMPRODUCT(--ISNUMBER(SEARCH(","&amp;TRIM(TEXTSPLIT(BA225,","))&amp;",",","&amp;SUBSTITUTE(input_challenge_opportunities," ","")&amp;",")))&gt;0)),IF(BC225="",TRUE,IF(input_challenge_opportunities="",FALSE,SUMPRODUCT(--ISNUMBER(SEARCH(","&amp;TRIM(TEXTSPLIT(BC225,","))&amp;",",","&amp;SUBSTITUTE(input_challenge_opportunities," ","")&amp;",")))=COUNTA(TEXTSPLIT(BC225,",")))),IF(BE225="",TRUE,IF(input_challenge_opportunities="",TRUE,SUMPRODUCT(--ISNUMBER(SEARCH(","&amp;TRIM(TEXTSPLIT(BE225,","))&amp;",",","&amp;SUBSTITUTE(input_challenge_opportunities," ","")&amp;",")))=0)),IF(BG225="",TRUE,IF(input_challenge_opportunities="",FALSE,SUMPRODUCT(--ISNUMBER(SEARCH(","&amp;TRIM(TEXTSPLIT(BG225,","))&amp;",",","&amp;SUBSTITUTE(input_challenge_opportunities," ","")&amp;",")))&gt;0)),IF(BI225="",TRUE,IF(input_challenge_opportunities="",FALSE,SUMPRODUCT(--ISNUMBER(SEARCH(","&amp;TRIM(TEXTSPLIT(BI225,","))&amp;",",","&amp;SUBSTITUTE(input_challenge_opportunities," ","")&amp;",")))=COUNTA(TEXTSPLIT(BI225,",")))))</f>
        <v/>
      </c>
      <c r="IY225">
        <f>AND(IF(BK225="",TRUE,IF(input_context="",FALSE,SUMPRODUCT(--ISNUMBER(SEARCH(","&amp;TRIM(TEXTSPLIT(BK225,","))&amp;",",","&amp;SUBSTITUTE(input_context," ","")&amp;",")))&gt;0)),IF(BM225="",TRUE,IF(input_context="",FALSE,SUMPRODUCT(--ISNUMBER(SEARCH(","&amp;TRIM(TEXTSPLIT(BM225,","))&amp;",",","&amp;SUBSTITUTE(input_context," ","")&amp;",")))=COUNTA(TEXTSPLIT(BM225,",")))),IF(BO225="",TRUE,IF(input_context="",TRUE,SUMPRODUCT(--ISNUMBER(SEARCH(","&amp;TRIM(TEXTSPLIT(BO225,","))&amp;",",","&amp;SUBSTITUTE(input_context," ","")&amp;",")))=0)),IF(BQ225="",TRUE,IF(input_context="",FALSE,SUMPRODUCT(--ISNUMBER(SEARCH(","&amp;TRIM(TEXTSPLIT(BQ225,","))&amp;",",","&amp;SUBSTITUTE(input_context," ","")&amp;",")))&gt;0)),IF(BS225="",TRUE,IF(input_context="",FALSE,SUMPRODUCT(--ISNUMBER(SEARCH(","&amp;TRIM(TEXTSPLIT(BS225,","))&amp;",",","&amp;SUBSTITUTE(input_context," ","")&amp;",")))=COUNTA(TEXTSPLIT(BS225,",")))))</f>
        <v/>
      </c>
      <c r="IZ225">
        <f>AND(IF(BU225="",TRUE,IF(input_enews_announcement_type="",FALSE,SUMPRODUCT(--ISNUMBER(SEARCH(","&amp;TRIM(TEXTSPLIT(BU225,","))&amp;",",","&amp;SUBSTITUTE(input_enews_announcement_type," ","")&amp;",")))&gt;0)),IF(BW225="",TRUE,IF(input_enews_announcement_type="",FALSE,SUMPRODUCT(--ISNUMBER(SEARCH(","&amp;TRIM(TEXTSPLIT(BW225,","))&amp;",",","&amp;SUBSTITUTE(input_enews_announcement_type," ","")&amp;",")))=COUNTA(TEXTSPLIT(BW225,",")))),IF(BY225="",TRUE,IF(input_enews_announcement_type="",TRUE,SUMPRODUCT(--ISNUMBER(SEARCH(","&amp;TRIM(TEXTSPLIT(BY225,","))&amp;",",","&amp;SUBSTITUTE(input_enews_announcement_type," ","")&amp;",")))=0)),IF(CA225="",TRUE,IF(input_enews_announcement_type="",FALSE,SUMPRODUCT(--ISNUMBER(SEARCH(","&amp;TRIM(TEXTSPLIT(CA225,","))&amp;",",","&amp;SUBSTITUTE(input_enews_announcement_type," ","")&amp;",")))&gt;0)),IF(CC225="",TRUE,IF(input_enews_announcement_type="",FALSE,SUMPRODUCT(--ISNUMBER(SEARCH(","&amp;TRIM(TEXTSPLIT(CC225,","))&amp;",",","&amp;SUBSTITUTE(input_enews_announcement_type," ","")&amp;",")))=COUNTA(TEXTSPLIT(CC225,",")))))</f>
        <v/>
      </c>
      <c r="JA225">
        <f>AND(IF(CE225="",TRUE,IF(input_enews_audience="",FALSE,SUMPRODUCT(--ISNUMBER(SEARCH(","&amp;TRIM(TEXTSPLIT(CE225,","))&amp;",",","&amp;SUBSTITUTE(input_enews_audience," ","")&amp;",")))&gt;0)),IF(CG225="",TRUE,IF(input_enews_audience="",FALSE,SUMPRODUCT(--ISNUMBER(SEARCH(","&amp;TRIM(TEXTSPLIT(CG225,","))&amp;",",","&amp;SUBSTITUTE(input_enews_audience," ","")&amp;",")))=COUNTA(TEXTSPLIT(CG225,",")))),IF(CI225="",TRUE,IF(input_enews_audience="",TRUE,SUMPRODUCT(--ISNUMBER(SEARCH(","&amp;TRIM(TEXTSPLIT(CI225,","))&amp;",",","&amp;SUBSTITUTE(input_enews_audience," ","")&amp;",")))=0)),IF(CK225="",TRUE,IF(input_enews_audience="",FALSE,SUMPRODUCT(--ISNUMBER(SEARCH(","&amp;TRIM(TEXTSPLIT(CK225,","))&amp;",",","&amp;SUBSTITUTE(input_enews_audience," ","")&amp;",")))&gt;0)),IF(CM225="",TRUE,IF(input_enews_audience="",FALSE,SUMPRODUCT(--ISNUMBER(SEARCH(","&amp;TRIM(TEXTSPLIT(CM225,","))&amp;",",","&amp;SUBSTITUTE(input_enews_audience," ","")&amp;",")))=COUNTA(TEXTSPLIT(CM225,",")))))</f>
        <v/>
      </c>
      <c r="JB225">
        <f>AND(IF(CO225="",TRUE,IF(input_event_location="",FALSE,SUMPRODUCT(--ISNUMBER(SEARCH(","&amp;TRIM(TEXTSPLIT(CO225,","))&amp;",",","&amp;SUBSTITUTE(input_event_location," ","")&amp;",")))&gt;0)),IF(CQ225="",TRUE,IF(input_event_location="",FALSE,SUMPRODUCT(--ISNUMBER(SEARCH(","&amp;TRIM(TEXTSPLIT(CQ225,","))&amp;",",","&amp;SUBSTITUTE(input_event_location," ","")&amp;",")))=COUNTA(TEXTSPLIT(CQ225,",")))),IF(CS225="",TRUE,IF(input_event_location="",TRUE,SUMPRODUCT(--ISNUMBER(SEARCH(","&amp;TRIM(TEXTSPLIT(CS225,","))&amp;",",","&amp;SUBSTITUTE(input_event_location," ","")&amp;",")))=0)),IF(CU225="",TRUE,IF(input_event_location="",FALSE,SUMPRODUCT(--ISNUMBER(SEARCH(","&amp;TRIM(TEXTSPLIT(CU225,","))&amp;",",","&amp;SUBSTITUTE(input_event_location," ","")&amp;",")))&gt;0)),IF(CW225="",TRUE,IF(input_event_location="",FALSE,SUMPRODUCT(--ISNUMBER(SEARCH(","&amp;TRIM(TEXTSPLIT(CW225,","))&amp;",",","&amp;SUBSTITUTE(input_event_location," ","")&amp;",")))=COUNTA(TEXTSPLIT(CW225,",")))))</f>
        <v/>
      </c>
      <c r="JC225">
        <f>AND(IF(CY225="",TRUE,IF(input_event_type="",FALSE,SUMPRODUCT(--ISNUMBER(SEARCH(","&amp;TRIM(TEXTSPLIT(CY225,","))&amp;",",","&amp;SUBSTITUTE(input_event_type," ","")&amp;",")))&gt;0)),IF(DA225="",TRUE,IF(input_event_type="",FALSE,SUMPRODUCT(--ISNUMBER(SEARCH(","&amp;TRIM(TEXTSPLIT(DA225,","))&amp;",",","&amp;SUBSTITUTE(input_event_type," ","")&amp;",")))=COUNTA(TEXTSPLIT(DA225,",")))),IF(DC225="",TRUE,IF(input_event_type="",TRUE,SUMPRODUCT(--ISNUMBER(SEARCH(","&amp;TRIM(TEXTSPLIT(DC225,","))&amp;",",","&amp;SUBSTITUTE(input_event_type," ","")&amp;",")))=0)),IF(DE225="",TRUE,IF(input_event_type="",FALSE,SUMPRODUCT(--ISNUMBER(SEARCH(","&amp;TRIM(TEXTSPLIT(DE225,","))&amp;",",","&amp;SUBSTITUTE(input_event_type," ","")&amp;",")))&gt;0)),IF(DG225="",TRUE,IF(input_event_type="",FALSE,SUMPRODUCT(--ISNUMBER(SEARCH(","&amp;TRIM(TEXTSPLIT(DG225,","))&amp;",",","&amp;SUBSTITUTE(input_event_type," ","")&amp;",")))=COUNTA(TEXTSPLIT(DG225,",")))))</f>
        <v/>
      </c>
      <c r="JD225">
        <f>AND(IF(DI225="",TRUE,IF(input_executive_education_focus="",FALSE,SUMPRODUCT(--ISNUMBER(SEARCH(","&amp;TRIM(TEXTSPLIT(DI225,","))&amp;",",","&amp;SUBSTITUTE(input_executive_education_focus," ","")&amp;",")))&gt;0)),IF(DK225="",TRUE,IF(input_executive_education_focus="",FALSE,SUMPRODUCT(--ISNUMBER(SEARCH(","&amp;TRIM(TEXTSPLIT(DK225,","))&amp;",",","&amp;SUBSTITUTE(input_executive_education_focus," ","")&amp;",")))=COUNTA(TEXTSPLIT(DK225,",")))),IF(DM225="",TRUE,IF(input_executive_education_focus="",TRUE,SUMPRODUCT(--ISNUMBER(SEARCH(","&amp;TRIM(TEXTSPLIT(DM225,","))&amp;",",","&amp;SUBSTITUTE(input_executive_education_focus," ","")&amp;",")))=0)),IF(DO225="",TRUE,IF(input_executive_education_focus="",FALSE,SUMPRODUCT(--ISNUMBER(SEARCH(","&amp;TRIM(TEXTSPLIT(DO225,","))&amp;",",","&amp;SUBSTITUTE(input_executive_education_focus," ","")&amp;",")))&gt;0)),IF(DQ225="",TRUE,IF(input_executive_education_focus="",FALSE,SUMPRODUCT(--ISNUMBER(SEARCH(","&amp;TRIM(TEXTSPLIT(DQ225,","))&amp;",",","&amp;SUBSTITUTE(input_executive_education_focus," ","")&amp;",")))=COUNTA(TEXTSPLIT(DQ225,",")))))</f>
        <v/>
      </c>
      <c r="JE225">
        <f>AND(IF(DS225="",TRUE,IF(input_faculty_category="",FALSE,SUMPRODUCT(--ISNUMBER(SEARCH(","&amp;TRIM(TEXTSPLIT(DS225,","))&amp;",",","&amp;SUBSTITUTE(input_faculty_category," ","")&amp;",")))&gt;0)),IF(DU225="",TRUE,IF(input_faculty_category="",FALSE,SUMPRODUCT(--ISNUMBER(SEARCH(","&amp;TRIM(TEXTSPLIT(DU225,","))&amp;",",","&amp;SUBSTITUTE(input_faculty_category," ","")&amp;",")))=COUNTA(TEXTSPLIT(DU225,",")))),IF(DW225="",TRUE,IF(input_faculty_category="",TRUE,SUMPRODUCT(--ISNUMBER(SEARCH(","&amp;TRIM(TEXTSPLIT(DW225,","))&amp;",",","&amp;SUBSTITUTE(input_faculty_category," ","")&amp;",")))=0)),IF(DY225="",TRUE,IF(input_faculty_category="",FALSE,SUMPRODUCT(--ISNUMBER(SEARCH(","&amp;TRIM(TEXTSPLIT(DY225,","))&amp;",",","&amp;SUBSTITUTE(input_faculty_category," ","")&amp;",")))&gt;0)),IF(EA225="",TRUE,IF(input_faculty_category="",FALSE,SUMPRODUCT(--ISNUMBER(SEARCH(","&amp;TRIM(TEXTSPLIT(EA225,","))&amp;",",","&amp;SUBSTITUTE(input_faculty_category," ","")&amp;",")))=COUNTA(TEXTSPLIT(EA225,",")))))</f>
        <v/>
      </c>
      <c r="JF225">
        <f>AND(IF(EC225="",TRUE,IF(input_faculty_discipline="",FALSE,SUMPRODUCT(--ISNUMBER(SEARCH(","&amp;TRIM(TEXTSPLIT(EC225,","))&amp;",",","&amp;SUBSTITUTE(input_faculty_discipline," ","")&amp;",")))&gt;0)),IF(EE225="",TRUE,IF(input_faculty_discipline="",FALSE,SUMPRODUCT(--ISNUMBER(SEARCH(","&amp;TRIM(TEXTSPLIT(EE225,","))&amp;",",","&amp;SUBSTITUTE(input_faculty_discipline," ","")&amp;",")))=COUNTA(TEXTSPLIT(EE225,",")))),IF(EG225="",TRUE,IF(input_faculty_discipline="",TRUE,SUMPRODUCT(--ISNUMBER(SEARCH(","&amp;TRIM(TEXTSPLIT(EG225,","))&amp;",",","&amp;SUBSTITUTE(input_faculty_discipline," ","")&amp;",")))=0)),IF(EI225="",TRUE,IF(input_faculty_discipline="",FALSE,SUMPRODUCT(--ISNUMBER(SEARCH(","&amp;TRIM(TEXTSPLIT(EI225,","))&amp;",",","&amp;SUBSTITUTE(input_faculty_discipline," ","")&amp;",")))&gt;0)),IF(EK225="",TRUE,IF(input_faculty_discipline="",FALSE,SUMPRODUCT(--ISNUMBER(SEARCH(","&amp;TRIM(TEXTSPLIT(EK225,","))&amp;",",","&amp;SUBSTITUTE(input_faculty_discipline," ","")&amp;",")))=COUNTA(TEXTSPLIT(EK225,",")))))</f>
        <v/>
      </c>
      <c r="JG225">
        <f>AND(IF(EM225="",TRUE,IF(input_faculty_expertise="",FALSE,SUMPRODUCT(--ISNUMBER(SEARCH(","&amp;TRIM(TEXTSPLIT(EM225,","))&amp;",",","&amp;SUBSTITUTE(input_faculty_expertise," ","")&amp;",")))&gt;0)),IF(EO225="",TRUE,IF(input_faculty_expertise="",FALSE,SUMPRODUCT(--ISNUMBER(SEARCH(","&amp;TRIM(TEXTSPLIT(EO225,","))&amp;",",","&amp;SUBSTITUTE(input_faculty_expertise," ","")&amp;",")))=COUNTA(TEXTSPLIT(EO225,",")))),IF(EQ225="",TRUE,IF(input_faculty_expertise="",TRUE,SUMPRODUCT(--ISNUMBER(SEARCH(","&amp;TRIM(TEXTSPLIT(EQ225,","))&amp;",",","&amp;SUBSTITUTE(input_faculty_expertise," ","")&amp;",")))=0)),IF(ES225="",TRUE,IF(input_faculty_expertise="",FALSE,SUMPRODUCT(--ISNUMBER(SEARCH(","&amp;TRIM(TEXTSPLIT(ES225,","))&amp;",",","&amp;SUBSTITUTE(input_faculty_expertise," ","")&amp;",")))&gt;0)),IF(EU225="",TRUE,IF(input_faculty_expertise="",FALSE,SUMPRODUCT(--ISNUMBER(SEARCH(","&amp;TRIM(TEXTSPLIT(EU225,","))&amp;",",","&amp;SUBSTITUTE(input_faculty_expertise," ","")&amp;",")))=COUNTA(TEXTSPLIT(EU225,",")))))</f>
        <v/>
      </c>
      <c r="JH225">
        <f>AND(IF(EW225="",TRUE,IF(input_global_network_school="",FALSE,SUMPRODUCT(--ISNUMBER(SEARCH(","&amp;TRIM(TEXTSPLIT(EW225,","))&amp;",",","&amp;SUBSTITUTE(input_global_network_school," ","")&amp;",")))&gt;0)),IF(EY225="",TRUE,IF(input_global_network_school="",FALSE,SUMPRODUCT(--ISNUMBER(SEARCH(","&amp;TRIM(TEXTSPLIT(EY225,","))&amp;",",","&amp;SUBSTITUTE(input_global_network_school," ","")&amp;",")))=COUNTA(TEXTSPLIT(EY225,",")))),IF(FA225="",TRUE,IF(input_global_network_school="",TRUE,SUMPRODUCT(--ISNUMBER(SEARCH(","&amp;TRIM(TEXTSPLIT(FA225,","))&amp;",",","&amp;SUBSTITUTE(input_global_network_school," ","")&amp;",")))=0)),IF(FC225="",TRUE,IF(input_global_network_school="",FALSE,SUMPRODUCT(--ISNUMBER(SEARCH(","&amp;TRIM(TEXTSPLIT(FC225,","))&amp;",",","&amp;SUBSTITUTE(input_global_network_school," ","")&amp;",")))&gt;0)),IF(FE225="",TRUE,IF(input_global_network_school="",FALSE,SUMPRODUCT(--ISNUMBER(SEARCH(","&amp;TRIM(TEXTSPLIT(FE225,","))&amp;",",","&amp;SUBSTITUTE(input_global_network_school," ","")&amp;",")))=COUNTA(TEXTSPLIT(FE225,",")))))</f>
        <v/>
      </c>
      <c r="JI225">
        <f>AND(IF(FG225="",TRUE,IF(input_industry="",FALSE,SUMPRODUCT(--ISNUMBER(SEARCH(","&amp;TRIM(TEXTSPLIT(FG225,","))&amp;",",","&amp;SUBSTITUTE(input_industry," ","")&amp;",")))&gt;0)),IF(FI225="",TRUE,IF(input_industry="",FALSE,SUMPRODUCT(--ISNUMBER(SEARCH(","&amp;TRIM(TEXTSPLIT(FI225,","))&amp;",",","&amp;SUBSTITUTE(input_industry," ","")&amp;",")))=COUNTA(TEXTSPLIT(FI225,",")))),IF(FK225="",TRUE,IF(input_industry="",TRUE,SUMPRODUCT(--ISNUMBER(SEARCH(","&amp;TRIM(TEXTSPLIT(FK225,","))&amp;",",","&amp;SUBSTITUTE(input_industry," ","")&amp;",")))=0)),IF(FM225="",TRUE,IF(input_industry="",FALSE,SUMPRODUCT(--ISNUMBER(SEARCH(","&amp;TRIM(TEXTSPLIT(FM225,","))&amp;",",","&amp;SUBSTITUTE(input_industry," ","")&amp;",")))&gt;0)),IF(FO225="",TRUE,IF(input_industry="",FALSE,SUMPRODUCT(--ISNUMBER(SEARCH(","&amp;TRIM(TEXTSPLIT(FO225,","))&amp;",",","&amp;SUBSTITUTE(input_industry," ","")&amp;",")))=COUNTA(TEXTSPLIT(FO225,",")))))</f>
        <v/>
      </c>
      <c r="JJ225">
        <f>AND(IF(FQ225="",TRUE,IF(input_location="",FALSE,SUMPRODUCT(--ISNUMBER(SEARCH(","&amp;TRIM(TEXTSPLIT(FQ225,","))&amp;",",","&amp;SUBSTITUTE(input_location," ","")&amp;",")))&gt;0)),IF(FS225="",TRUE,IF(input_location="",FALSE,SUMPRODUCT(--ISNUMBER(SEARCH(","&amp;TRIM(TEXTSPLIT(FS225,","))&amp;",",","&amp;SUBSTITUTE(input_location," ","")&amp;",")))=COUNTA(TEXTSPLIT(FS225,",")))),IF(FU225="",TRUE,IF(input_location="",TRUE,SUMPRODUCT(--ISNUMBER(SEARCH(","&amp;TRIM(TEXTSPLIT(FU225,","))&amp;",",","&amp;SUBSTITUTE(input_location," ","")&amp;",")))=0)),IF(FW225="",TRUE,IF(input_location="",FALSE,SUMPRODUCT(--ISNUMBER(SEARCH(","&amp;TRIM(TEXTSPLIT(FW225,","))&amp;",",","&amp;SUBSTITUTE(input_location," ","")&amp;",")))&gt;0)),IF(FY225="",TRUE,IF(input_location="",FALSE,SUMPRODUCT(--ISNUMBER(SEARCH(","&amp;TRIM(TEXTSPLIT(FY225,","))&amp;",",","&amp;SUBSTITUTE(input_location," ","")&amp;",")))=COUNTA(TEXTSPLIT(FY225,",")))))</f>
        <v/>
      </c>
      <c r="JK225">
        <f>AND(IF(GA225="",TRUE,IF(input_modality="",FALSE,SUMPRODUCT(--ISNUMBER(SEARCH(","&amp;TRIM(TEXTSPLIT(GA225,","))&amp;",",","&amp;SUBSTITUTE(input_modality," ","")&amp;",")))&gt;0)),IF(GC225="",TRUE,IF(input_modality="",FALSE,SUMPRODUCT(--ISNUMBER(SEARCH(","&amp;TRIM(TEXTSPLIT(GC225,","))&amp;",",","&amp;SUBSTITUTE(input_modality," ","")&amp;",")))=COUNTA(TEXTSPLIT(GC225,",")))),IF(GE225="",TRUE,IF(input_modality="",TRUE,SUMPRODUCT(--ISNUMBER(SEARCH(","&amp;TRIM(TEXTSPLIT(GE225,","))&amp;",",","&amp;SUBSTITUTE(input_modality," ","")&amp;",")))=0)),IF(GG225="",TRUE,IF(input_modality="",FALSE,SUMPRODUCT(--ISNUMBER(SEARCH(","&amp;TRIM(TEXTSPLIT(GG225,","))&amp;",",","&amp;SUBSTITUTE(input_modality," ","")&amp;",")))&gt;0)),IF(GI225="",TRUE,IF(input_modality="",FALSE,SUMPRODUCT(--ISNUMBER(SEARCH(","&amp;TRIM(TEXTSPLIT(GI225,","))&amp;",",","&amp;SUBSTITUTE(input_modality," ","")&amp;",")))=COUNTA(TEXTSPLIT(GI225,",")))))</f>
        <v/>
      </c>
      <c r="JL225">
        <f>AND(IF(GK225="",TRUE,IF(input_organizer="",FALSE,SUMPRODUCT(--ISNUMBER(SEARCH(","&amp;TRIM(TEXTSPLIT(GK225,","))&amp;",",","&amp;SUBSTITUTE(input_organizer," ","")&amp;",")))&gt;0)),IF(GM225="",TRUE,IF(input_organizer="",FALSE,SUMPRODUCT(--ISNUMBER(SEARCH(","&amp;TRIM(TEXTSPLIT(GM225,","))&amp;",",","&amp;SUBSTITUTE(input_organizer," ","")&amp;",")))=COUNTA(TEXTSPLIT(GM225,",")))),IF(GO225="",TRUE,IF(input_organizer="",TRUE,SUMPRODUCT(--ISNUMBER(SEARCH(","&amp;TRIM(TEXTSPLIT(GO225,","))&amp;",",","&amp;SUBSTITUTE(input_organizer," ","")&amp;",")))=0)),IF(GQ225="",TRUE,IF(input_organizer="",FALSE,SUMPRODUCT(--ISNUMBER(SEARCH(","&amp;TRIM(TEXTSPLIT(GQ225,","))&amp;",",","&amp;SUBSTITUTE(input_organizer," ","")&amp;",")))&gt;0)),IF(GS225="",TRUE,IF(input_organizer="",FALSE,SUMPRODUCT(--ISNUMBER(SEARCH(","&amp;TRIM(TEXTSPLIT(GS225,","))&amp;",",","&amp;SUBSTITUTE(input_organizer," ","")&amp;",")))=COUNTA(TEXTSPLIT(GS225,",")))))</f>
        <v/>
      </c>
      <c r="JM225">
        <f>AND(IF(GU225="",TRUE,IF(input_profile_type="",FALSE,SUMPRODUCT(--ISNUMBER(SEARCH(","&amp;TRIM(TEXTSPLIT(GU225,","))&amp;",",","&amp;SUBSTITUTE(input_profile_type," ","")&amp;",")))&gt;0)),IF(GW225="",TRUE,IF(input_profile_type="",FALSE,SUMPRODUCT(--ISNUMBER(SEARCH(","&amp;TRIM(TEXTSPLIT(GW225,","))&amp;",",","&amp;SUBSTITUTE(input_profile_type," ","")&amp;",")))=COUNTA(TEXTSPLIT(GW225,",")))),IF(GY225="",TRUE,IF(input_profile_type="",TRUE,SUMPRODUCT(--ISNUMBER(SEARCH(","&amp;TRIM(TEXTSPLIT(GY225,","))&amp;",",","&amp;SUBSTITUTE(input_profile_type," ","")&amp;",")))=0)),IF(HA225="",TRUE,IF(input_profile_type="",FALSE,SUMPRODUCT(--ISNUMBER(SEARCH(","&amp;TRIM(TEXTSPLIT(HA225,","))&amp;",",","&amp;SUBSTITUTE(input_profile_type," ","")&amp;",")))&gt;0)),IF(HC225="",TRUE,IF(input_profile_type="",FALSE,SUMPRODUCT(--ISNUMBER(SEARCH(","&amp;TRIM(TEXTSPLIT(HC225,","))&amp;",",","&amp;SUBSTITUTE(input_profile_type," ","")&amp;",")))=COUNTA(TEXTSPLIT(HC225,",")))))</f>
        <v/>
      </c>
      <c r="JN225">
        <f>AND(IF(HE225="",TRUE,IF(input_program="",FALSE,SUMPRODUCT(--ISNUMBER(SEARCH(","&amp;TRIM(TEXTSPLIT(HE225,","))&amp;",",","&amp;SUBSTITUTE(input_program," ","")&amp;",")))&gt;0)),IF(HG225="",TRUE,IF(input_program="",FALSE,SUMPRODUCT(--ISNUMBER(SEARCH(","&amp;TRIM(TEXTSPLIT(HG225,","))&amp;",",","&amp;SUBSTITUTE(input_program," ","")&amp;",")))=COUNTA(TEXTSPLIT(HG225,",")))),IF(HI225="",TRUE,IF(input_program="",TRUE,SUMPRODUCT(--ISNUMBER(SEARCH(","&amp;TRIM(TEXTSPLIT(HI225,","))&amp;",",","&amp;SUBSTITUTE(input_program," ","")&amp;",")))=0)),IF(HK225="",TRUE,IF(input_program="",FALSE,SUMPRODUCT(--ISNUMBER(SEARCH(","&amp;TRIM(TEXTSPLIT(HK225,","))&amp;",",","&amp;SUBSTITUTE(input_program," ","")&amp;",")))&gt;0)),IF(HM225="",TRUE,IF(input_program="",FALSE,SUMPRODUCT(--ISNUMBER(SEARCH(","&amp;TRIM(TEXTSPLIT(HM225,","))&amp;",",","&amp;SUBSTITUTE(input_program," ","")&amp;",")))=COUNTA(TEXTSPLIT(HM225,",")))))</f>
        <v/>
      </c>
      <c r="JO225">
        <f>AND(IF(HO225="",TRUE,IF(input_story_categories="",FALSE,SUMPRODUCT(--ISNUMBER(SEARCH(","&amp;TRIM(TEXTSPLIT(HO225,","))&amp;",",","&amp;SUBSTITUTE(input_story_categories," ","")&amp;",")))&gt;0)),IF(HQ225="",TRUE,IF(input_story_categories="",FALSE,SUMPRODUCT(--ISNUMBER(SEARCH(","&amp;TRIM(TEXTSPLIT(HQ225,","))&amp;",",","&amp;SUBSTITUTE(input_story_categories," ","")&amp;",")))=COUNTA(TEXTSPLIT(HQ225,",")))),IF(HS225="",TRUE,IF(input_story_categories="",TRUE,SUMPRODUCT(--ISNUMBER(SEARCH(","&amp;TRIM(TEXTSPLIT(HS225,","))&amp;",",","&amp;SUBSTITUTE(input_story_categories," ","")&amp;",")))=0)),IF(HU225="",TRUE,IF(input_story_categories="",FALSE,SUMPRODUCT(--ISNUMBER(SEARCH(","&amp;TRIM(TEXTSPLIT(HU225,","))&amp;",",","&amp;SUBSTITUTE(input_story_categories," ","")&amp;",")))&gt;0)),IF(HW225="",TRUE,IF(input_story_categories="",FALSE,SUMPRODUCT(--ISNUMBER(SEARCH(","&amp;TRIM(TEXTSPLIT(HW225,","))&amp;",",","&amp;SUBSTITUTE(input_story_categories," ","")&amp;",")))=COUNTA(TEXTSPLIT(HW225,",")))))</f>
        <v/>
      </c>
      <c r="JP225">
        <f>AND(IF(HY225="",TRUE,IF(input_story_type="",FALSE,SUMPRODUCT(--ISNUMBER(SEARCH(","&amp;TRIM(TEXTSPLIT(HY225,","))&amp;",",","&amp;SUBSTITUTE(input_story_type," ","")&amp;",")))&gt;0)),IF(IA225="",TRUE,IF(input_story_type="",FALSE,SUMPRODUCT(--ISNUMBER(SEARCH(","&amp;TRIM(TEXTSPLIT(IA225,","))&amp;",",","&amp;SUBSTITUTE(input_story_type," ","")&amp;",")))=COUNTA(TEXTSPLIT(IA225,",")))),IF(IC225="",TRUE,IF(input_story_type="",TRUE,SUMPRODUCT(--ISNUMBER(SEARCH(","&amp;TRIM(TEXTSPLIT(IC225,","))&amp;",",","&amp;SUBSTITUTE(input_story_type," ","")&amp;",")))=0)),IF(IE225="",TRUE,IF(input_story_type="",FALSE,SUMPRODUCT(--ISNUMBER(SEARCH(","&amp;TRIM(TEXTSPLIT(IE225,","))&amp;",",","&amp;SUBSTITUTE(input_story_type," ","")&amp;",")))&gt;0)),IF(IG225="",TRUE,IF(input_story_type="",FALSE,SUMPRODUCT(--ISNUMBER(SEARCH(","&amp;TRIM(TEXTSPLIT(IG225,","))&amp;",",","&amp;SUBSTITUTE(input_story_type," ","")&amp;",")))=COUNTA(TEXTSPLIT(IG225,",")))))</f>
        <v/>
      </c>
      <c r="JQ225">
        <f>AND(IF(II225="",TRUE,IF(input_topics="",FALSE,SUMPRODUCT(--ISNUMBER(SEARCH(","&amp;TRIM(TEXTSPLIT(II225,","))&amp;",",","&amp;SUBSTITUTE(input_topics," ","")&amp;",")))&gt;0)),IF(IK225="",TRUE,IF(input_topics="",FALSE,SUMPRODUCT(--ISNUMBER(SEARCH(","&amp;TRIM(TEXTSPLIT(IK225,","))&amp;",",","&amp;SUBSTITUTE(input_topics," ","")&amp;",")))=COUNTA(TEXTSPLIT(IK225,",")))),IF(IM225="",TRUE,IF(input_topics="",TRUE,SUMPRODUCT(--ISNUMBER(SEARCH(","&amp;TRIM(TEXTSPLIT(IM225,","))&amp;",",","&amp;SUBSTITUTE(input_topics," ","")&amp;",")))=0)),IF(IO225="",TRUE,IF(input_topics="",FALSE,SUMPRODUCT(--ISNUMBER(SEARCH(","&amp;TRIM(TEXTSPLIT(IO225,","))&amp;",",","&amp;SUBSTITUTE(input_topics," ","")&amp;",")))&gt;0)),IF(IQ225="",TRUE,IF(input_topics="",FALSE,SUMPRODUCT(--ISNUMBER(SEARCH(","&amp;TRIM(TEXTSPLIT(IQ225,","))&amp;",",","&amp;SUBSTITUTE(input_topics," ","")&amp;",")))=COUNTA(TEXTSPLIT(IQ225,",")))))</f>
        <v/>
      </c>
    </row>
    <row r="226">
      <c r="A226" s="4">
        <f>IF(NOT(IS226),"Excluded",IF(AND(IT226,IU226,IV226,IW226,IX226,IY226,IZ226,JA226,JB226,JC226,JD226,JE226,JF226,JG226,JH226,JI226,JJ226,JK226,JL226,JM226,JN226,JO226,JP226,JQ226),IF(I226&gt;0,"Eligible but limited","Will appear"),"Excluded"))</f>
        <v/>
      </c>
      <c r="B226" s="4" t="inlineStr">
        <is>
          <t>Startup Stories</t>
        </is>
      </c>
      <c r="C226" s="4" t="inlineStr">
        <is>
          <t>/about/headlines/startup-stories</t>
        </is>
      </c>
      <c r="D226" s="4" t="inlineStr">
        <is>
          <t>/about/headlines/startup-stories</t>
        </is>
      </c>
      <c r="E226" s="4" t="n">
        <v>1</v>
      </c>
      <c r="F226" s="4" t="inlineStr">
        <is>
          <t>story</t>
        </is>
      </c>
      <c r="G226" s="4" t="inlineStr">
        <is>
          <t>stories_list</t>
        </is>
      </c>
      <c r="H226" s="4" t="inlineStr">
        <is>
          <t>embed_1</t>
        </is>
      </c>
      <c r="I226" s="4" t="n">
        <v>10</v>
      </c>
      <c r="J226" s="4" t="inlineStr">
        <is>
          <t>Explicit args</t>
        </is>
      </c>
      <c r="K226" s="4" t="inlineStr">
        <is>
          <t>Page placement</t>
        </is>
      </c>
      <c r="L226" s="4" t="inlineStr">
        <is>
          <t>Content type: story; Context uses Courses Context: Startup Stories (1166); Limited to 10 item(s); Source: Explicit args</t>
        </is>
      </c>
      <c r="M226" t="inlineStr"/>
      <c r="N226" t="inlineStr"/>
      <c r="O226" t="inlineStr"/>
      <c r="P226" t="inlineStr"/>
      <c r="Q226" t="inlineStr"/>
      <c r="R226" t="inlineStr"/>
      <c r="S226" t="inlineStr"/>
      <c r="T226" t="inlineStr"/>
      <c r="U226" t="inlineStr"/>
      <c r="V226" t="inlineStr"/>
      <c r="W226" t="inlineStr"/>
      <c r="X226" t="inlineStr"/>
      <c r="Y226" t="inlineStr"/>
      <c r="Z226" t="inlineStr"/>
      <c r="AA226" t="inlineStr"/>
      <c r="AB226" t="inlineStr"/>
      <c r="AC226" t="inlineStr"/>
      <c r="AD226" t="inlineStr"/>
      <c r="AE226" t="inlineStr"/>
      <c r="AF226" t="inlineStr"/>
      <c r="AG226" t="inlineStr"/>
      <c r="AH226" t="inlineStr"/>
      <c r="AI226" t="inlineStr"/>
      <c r="AJ226" t="inlineStr"/>
      <c r="AK226" t="inlineStr"/>
      <c r="AL226" t="inlineStr"/>
      <c r="AM226" t="inlineStr"/>
      <c r="AN226" t="inlineStr"/>
      <c r="AO226" t="inlineStr"/>
      <c r="AP226" t="inlineStr"/>
      <c r="AQ226" t="inlineStr"/>
      <c r="AR226" t="inlineStr"/>
      <c r="AS226" t="inlineStr"/>
      <c r="AT226" t="inlineStr"/>
      <c r="AU226" t="inlineStr"/>
      <c r="AV226" t="inlineStr"/>
      <c r="AW226" t="inlineStr"/>
      <c r="AX226" t="inlineStr"/>
      <c r="AY226" t="inlineStr"/>
      <c r="AZ226" t="inlineStr"/>
      <c r="BA226" t="inlineStr"/>
      <c r="BB226" t="inlineStr"/>
      <c r="BC226" t="inlineStr"/>
      <c r="BD226" t="inlineStr"/>
      <c r="BE226" t="inlineStr"/>
      <c r="BF226" t="inlineStr"/>
      <c r="BG226" t="inlineStr"/>
      <c r="BH226" t="inlineStr"/>
      <c r="BI226" t="inlineStr"/>
      <c r="BJ226" t="inlineStr"/>
      <c r="BK226" t="inlineStr"/>
      <c r="BL226" t="inlineStr"/>
      <c r="BM226" t="inlineStr"/>
      <c r="BN226" t="inlineStr"/>
      <c r="BO226" t="inlineStr"/>
      <c r="BP226" t="inlineStr"/>
      <c r="BQ226" t="inlineStr">
        <is>
          <t>1166</t>
        </is>
      </c>
      <c r="BR226" t="inlineStr">
        <is>
          <t>Startup Stories (1166)</t>
        </is>
      </c>
      <c r="BS226" t="inlineStr"/>
      <c r="BT226" t="inlineStr"/>
      <c r="BU226" t="inlineStr"/>
      <c r="BV226" t="inlineStr"/>
      <c r="BW226" t="inlineStr"/>
      <c r="BX226" t="inlineStr"/>
      <c r="BY226" t="inlineStr"/>
      <c r="BZ226" t="inlineStr"/>
      <c r="CA226" t="inlineStr"/>
      <c r="CB226" t="inlineStr"/>
      <c r="CC226" t="inlineStr"/>
      <c r="CD226" t="inlineStr"/>
      <c r="CE226" t="inlineStr"/>
      <c r="CF226" t="inlineStr"/>
      <c r="CG226" t="inlineStr"/>
      <c r="CH226" t="inlineStr"/>
      <c r="CI226" t="inlineStr"/>
      <c r="CJ226" t="inlineStr"/>
      <c r="CK226" t="inlineStr"/>
      <c r="CL226" t="inlineStr"/>
      <c r="CM226" t="inlineStr"/>
      <c r="CN226" t="inlineStr"/>
      <c r="CO226" t="inlineStr"/>
      <c r="CP226" t="inlineStr"/>
      <c r="CQ226" t="inlineStr"/>
      <c r="CR226" t="inlineStr"/>
      <c r="CS226" t="inlineStr"/>
      <c r="CT226" t="inlineStr"/>
      <c r="CU226" t="inlineStr"/>
      <c r="CV226" t="inlineStr"/>
      <c r="CW226" t="inlineStr"/>
      <c r="CX226" t="inlineStr"/>
      <c r="CY226" t="inlineStr"/>
      <c r="CZ226" t="inlineStr"/>
      <c r="DA226" t="inlineStr"/>
      <c r="DB226" t="inlineStr"/>
      <c r="DC226" t="inlineStr"/>
      <c r="DD226" t="inlineStr"/>
      <c r="DE226" t="inlineStr"/>
      <c r="DF226" t="inlineStr"/>
      <c r="DG226" t="inlineStr"/>
      <c r="DH226" t="inlineStr"/>
      <c r="DI226" t="inlineStr"/>
      <c r="DJ226" t="inlineStr"/>
      <c r="DK226" t="inlineStr"/>
      <c r="DL226" t="inlineStr"/>
      <c r="DM226" t="inlineStr"/>
      <c r="DN226" t="inlineStr"/>
      <c r="DO226" t="inlineStr"/>
      <c r="DP226" t="inlineStr"/>
      <c r="DQ226" t="inlineStr"/>
      <c r="DR226" t="inlineStr"/>
      <c r="DS226" t="inlineStr"/>
      <c r="DT226" t="inlineStr"/>
      <c r="DU226" t="inlineStr"/>
      <c r="DV226" t="inlineStr"/>
      <c r="DW226" t="inlineStr"/>
      <c r="DX226" t="inlineStr"/>
      <c r="DY226" t="inlineStr"/>
      <c r="DZ226" t="inlineStr"/>
      <c r="EA226" t="inlineStr"/>
      <c r="EB226" t="inlineStr"/>
      <c r="EC226" t="inlineStr"/>
      <c r="ED226" t="inlineStr"/>
      <c r="EE226" t="inlineStr"/>
      <c r="EF226" t="inlineStr"/>
      <c r="EG226" t="inlineStr"/>
      <c r="EH226" t="inlineStr"/>
      <c r="EI226" t="inlineStr"/>
      <c r="EJ226" t="inlineStr"/>
      <c r="EK226" t="inlineStr"/>
      <c r="EL226" t="inlineStr"/>
      <c r="EM226" t="inlineStr"/>
      <c r="EN226" t="inlineStr"/>
      <c r="EO226" t="inlineStr"/>
      <c r="EP226" t="inlineStr"/>
      <c r="EQ226" t="inlineStr"/>
      <c r="ER226" t="inlineStr"/>
      <c r="ES226" t="inlineStr"/>
      <c r="ET226" t="inlineStr"/>
      <c r="EU226" t="inlineStr"/>
      <c r="EV226" t="inlineStr"/>
      <c r="EW226" t="inlineStr"/>
      <c r="EX226" t="inlineStr"/>
      <c r="EY226" t="inlineStr"/>
      <c r="EZ226" t="inlineStr"/>
      <c r="FA226" t="inlineStr"/>
      <c r="FB226" t="inlineStr"/>
      <c r="FC226" t="inlineStr"/>
      <c r="FD226" t="inlineStr"/>
      <c r="FE226" t="inlineStr"/>
      <c r="FF226" t="inlineStr"/>
      <c r="FG226" t="inlineStr"/>
      <c r="FH226" t="inlineStr"/>
      <c r="FI226" t="inlineStr"/>
      <c r="FJ226" t="inlineStr"/>
      <c r="FK226" t="inlineStr"/>
      <c r="FL226" t="inlineStr"/>
      <c r="FM226" t="inlineStr"/>
      <c r="FN226" t="inlineStr"/>
      <c r="FO226" t="inlineStr"/>
      <c r="FP226" t="inlineStr"/>
      <c r="FQ226" t="inlineStr"/>
      <c r="FR226" t="inlineStr"/>
      <c r="FS226" t="inlineStr"/>
      <c r="FT226" t="inlineStr"/>
      <c r="FU226" t="inlineStr"/>
      <c r="FV226" t="inlineStr"/>
      <c r="FW226" t="inlineStr"/>
      <c r="FX226" t="inlineStr"/>
      <c r="FY226" t="inlineStr"/>
      <c r="FZ226" t="inlineStr"/>
      <c r="GA226" t="inlineStr"/>
      <c r="GB226" t="inlineStr"/>
      <c r="GC226" t="inlineStr"/>
      <c r="GD226" t="inlineStr"/>
      <c r="GE226" t="inlineStr"/>
      <c r="GF226" t="inlineStr"/>
      <c r="GG226" t="inlineStr"/>
      <c r="GH226" t="inlineStr"/>
      <c r="GI226" t="inlineStr"/>
      <c r="GJ226" t="inlineStr"/>
      <c r="GK226" t="inlineStr"/>
      <c r="GL226" t="inlineStr"/>
      <c r="GM226" t="inlineStr"/>
      <c r="GN226" t="inlineStr"/>
      <c r="GO226" t="inlineStr"/>
      <c r="GP226" t="inlineStr"/>
      <c r="GQ226" t="inlineStr"/>
      <c r="GR226" t="inlineStr"/>
      <c r="GS226" t="inlineStr"/>
      <c r="GT226" t="inlineStr"/>
      <c r="GU226" t="inlineStr"/>
      <c r="GV226" t="inlineStr"/>
      <c r="GW226" t="inlineStr"/>
      <c r="GX226" t="inlineStr"/>
      <c r="GY226" t="inlineStr"/>
      <c r="GZ226" t="inlineStr"/>
      <c r="HA226" t="inlineStr"/>
      <c r="HB226" t="inlineStr"/>
      <c r="HC226" t="inlineStr"/>
      <c r="HD226" t="inlineStr"/>
      <c r="HE226" t="inlineStr"/>
      <c r="HF226" t="inlineStr"/>
      <c r="HG226" t="inlineStr"/>
      <c r="HH226" t="inlineStr"/>
      <c r="HI226" t="inlineStr"/>
      <c r="HJ226" t="inlineStr"/>
      <c r="HK226" t="inlineStr"/>
      <c r="HL226" t="inlineStr"/>
      <c r="HM226" t="inlineStr"/>
      <c r="HN226" t="inlineStr"/>
      <c r="HO226" t="inlineStr"/>
      <c r="HP226" t="inlineStr"/>
      <c r="HQ226" t="inlineStr"/>
      <c r="HR226" t="inlineStr"/>
      <c r="HS226" t="inlineStr"/>
      <c r="HT226" t="inlineStr"/>
      <c r="HU226" t="inlineStr"/>
      <c r="HV226" t="inlineStr"/>
      <c r="HW226" t="inlineStr"/>
      <c r="HX226" t="inlineStr"/>
      <c r="HY226" t="inlineStr"/>
      <c r="HZ226" t="inlineStr"/>
      <c r="IA226" t="inlineStr"/>
      <c r="IB226" t="inlineStr"/>
      <c r="IC226" t="inlineStr"/>
      <c r="ID226" t="inlineStr"/>
      <c r="IE226" t="inlineStr"/>
      <c r="IF226" t="inlineStr"/>
      <c r="IG226" t="inlineStr"/>
      <c r="IH226" t="inlineStr"/>
      <c r="II226" t="inlineStr"/>
      <c r="IJ226" t="inlineStr"/>
      <c r="IK226" t="inlineStr"/>
      <c r="IL226" t="inlineStr"/>
      <c r="IM226" t="inlineStr"/>
      <c r="IN226" t="inlineStr"/>
      <c r="IO226" t="inlineStr"/>
      <c r="IP226" t="inlineStr"/>
      <c r="IQ226" t="inlineStr"/>
      <c r="IR226" t="inlineStr"/>
      <c r="IS226">
        <f>IF(input_content_type="",FALSE,ISNUMBER(SEARCH(","&amp;LOWER(input_content_type)&amp;",",","&amp;LOWER(F226)&amp;",")))</f>
        <v/>
      </c>
      <c r="IT226">
        <f>AND(IF(M226="",TRUE,IF(input_affiliations="",FALSE,SUMPRODUCT(--ISNUMBER(SEARCH(","&amp;TRIM(TEXTSPLIT(M226,","))&amp;",",","&amp;SUBSTITUTE(input_affiliations," ","")&amp;",")))&gt;0)),IF(O226="",TRUE,IF(input_affiliations="",FALSE,SUMPRODUCT(--ISNUMBER(SEARCH(","&amp;TRIM(TEXTSPLIT(O226,","))&amp;",",","&amp;SUBSTITUTE(input_affiliations," ","")&amp;",")))=COUNTA(TEXTSPLIT(O226,",")))),IF(Q226="",TRUE,IF(input_affiliations="",TRUE,SUMPRODUCT(--ISNUMBER(SEARCH(","&amp;TRIM(TEXTSPLIT(Q226,","))&amp;",",","&amp;SUBSTITUTE(input_affiliations," ","")&amp;",")))=0)),IF(S226="",TRUE,IF(input_affiliations="",FALSE,SUMPRODUCT(--ISNUMBER(SEARCH(","&amp;TRIM(TEXTSPLIT(S226,","))&amp;",",","&amp;SUBSTITUTE(input_affiliations," ","")&amp;",")))&gt;0)),IF(U226="",TRUE,IF(input_affiliations="",FALSE,SUMPRODUCT(--ISNUMBER(SEARCH(","&amp;TRIM(TEXTSPLIT(U226,","))&amp;",",","&amp;SUBSTITUTE(input_affiliations," ","")&amp;",")))=COUNTA(TEXTSPLIT(U226,",")))))</f>
        <v/>
      </c>
      <c r="IU226">
        <f>AND(IF(W226="",TRUE,IF(input_announcement_category="",FALSE,SUMPRODUCT(--ISNUMBER(SEARCH(","&amp;TRIM(TEXTSPLIT(W226,","))&amp;",",","&amp;SUBSTITUTE(input_announcement_category," ","")&amp;",")))&gt;0)),IF(Y226="",TRUE,IF(input_announcement_category="",FALSE,SUMPRODUCT(--ISNUMBER(SEARCH(","&amp;TRIM(TEXTSPLIT(Y226,","))&amp;",",","&amp;SUBSTITUTE(input_announcement_category," ","")&amp;",")))=COUNTA(TEXTSPLIT(Y226,",")))),IF(AA226="",TRUE,IF(input_announcement_category="",TRUE,SUMPRODUCT(--ISNUMBER(SEARCH(","&amp;TRIM(TEXTSPLIT(AA226,","))&amp;",",","&amp;SUBSTITUTE(input_announcement_category," ","")&amp;",")))=0)),IF(AC226="",TRUE,IF(input_announcement_category="",FALSE,SUMPRODUCT(--ISNUMBER(SEARCH(","&amp;TRIM(TEXTSPLIT(AC226,","))&amp;",",","&amp;SUBSTITUTE(input_announcement_category," ","")&amp;",")))&gt;0)),IF(AE226="",TRUE,IF(input_announcement_category="",FALSE,SUMPRODUCT(--ISNUMBER(SEARCH(","&amp;TRIM(TEXTSPLIT(AE226,","))&amp;",",","&amp;SUBSTITUTE(input_announcement_category," ","")&amp;",")))=COUNTA(TEXTSPLIT(AE226,",")))))</f>
        <v/>
      </c>
      <c r="IV226">
        <f>AND(IF(AG226="",TRUE,IF(input_area_of_focus="",FALSE,SUMPRODUCT(--ISNUMBER(SEARCH(","&amp;TRIM(TEXTSPLIT(AG226,","))&amp;",",","&amp;SUBSTITUTE(input_area_of_focus," ","")&amp;",")))&gt;0)),IF(AI226="",TRUE,IF(input_area_of_focus="",FALSE,SUMPRODUCT(--ISNUMBER(SEARCH(","&amp;TRIM(TEXTSPLIT(AI226,","))&amp;",",","&amp;SUBSTITUTE(input_area_of_focus," ","")&amp;",")))=COUNTA(TEXTSPLIT(AI226,",")))),IF(AK226="",TRUE,IF(input_area_of_focus="",TRUE,SUMPRODUCT(--ISNUMBER(SEARCH(","&amp;TRIM(TEXTSPLIT(AK226,","))&amp;",",","&amp;SUBSTITUTE(input_area_of_focus," ","")&amp;",")))=0)),IF(AM226="",TRUE,IF(input_area_of_focus="",FALSE,SUMPRODUCT(--ISNUMBER(SEARCH(","&amp;TRIM(TEXTSPLIT(AM226,","))&amp;",",","&amp;SUBSTITUTE(input_area_of_focus," ","")&amp;",")))&gt;0)),IF(AO226="",TRUE,IF(input_area_of_focus="",FALSE,SUMPRODUCT(--ISNUMBER(SEARCH(","&amp;TRIM(TEXTSPLIT(AO226,","))&amp;",",","&amp;SUBSTITUTE(input_area_of_focus," ","")&amp;",")))=COUNTA(TEXTSPLIT(AO226,",")))))</f>
        <v/>
      </c>
      <c r="IW226">
        <f>AND(IF(AQ226="",TRUE,IF(input_audience="",FALSE,SUMPRODUCT(--ISNUMBER(SEARCH(","&amp;TRIM(TEXTSPLIT(AQ226,","))&amp;",",","&amp;SUBSTITUTE(input_audience," ","")&amp;",")))&gt;0)),IF(AS226="",TRUE,IF(input_audience="",FALSE,SUMPRODUCT(--ISNUMBER(SEARCH(","&amp;TRIM(TEXTSPLIT(AS226,","))&amp;",",","&amp;SUBSTITUTE(input_audience," ","")&amp;",")))=COUNTA(TEXTSPLIT(AS226,",")))),IF(AU226="",TRUE,IF(input_audience="",TRUE,SUMPRODUCT(--ISNUMBER(SEARCH(","&amp;TRIM(TEXTSPLIT(AU226,","))&amp;",",","&amp;SUBSTITUTE(input_audience," ","")&amp;",")))=0)),IF(AW226="",TRUE,IF(input_audience="",FALSE,SUMPRODUCT(--ISNUMBER(SEARCH(","&amp;TRIM(TEXTSPLIT(AW226,","))&amp;",",","&amp;SUBSTITUTE(input_audience," ","")&amp;",")))&gt;0)),IF(AY226="",TRUE,IF(input_audience="",FALSE,SUMPRODUCT(--ISNUMBER(SEARCH(","&amp;TRIM(TEXTSPLIT(AY226,","))&amp;",",","&amp;SUBSTITUTE(input_audience," ","")&amp;",")))=COUNTA(TEXTSPLIT(AY226,",")))))</f>
        <v/>
      </c>
      <c r="IX226">
        <f>AND(IF(BA226="",TRUE,IF(input_challenge_opportunities="",FALSE,SUMPRODUCT(--ISNUMBER(SEARCH(","&amp;TRIM(TEXTSPLIT(BA226,","))&amp;",",","&amp;SUBSTITUTE(input_challenge_opportunities," ","")&amp;",")))&gt;0)),IF(BC226="",TRUE,IF(input_challenge_opportunities="",FALSE,SUMPRODUCT(--ISNUMBER(SEARCH(","&amp;TRIM(TEXTSPLIT(BC226,","))&amp;",",","&amp;SUBSTITUTE(input_challenge_opportunities," ","")&amp;",")))=COUNTA(TEXTSPLIT(BC226,",")))),IF(BE226="",TRUE,IF(input_challenge_opportunities="",TRUE,SUMPRODUCT(--ISNUMBER(SEARCH(","&amp;TRIM(TEXTSPLIT(BE226,","))&amp;",",","&amp;SUBSTITUTE(input_challenge_opportunities," ","")&amp;",")))=0)),IF(BG226="",TRUE,IF(input_challenge_opportunities="",FALSE,SUMPRODUCT(--ISNUMBER(SEARCH(","&amp;TRIM(TEXTSPLIT(BG226,","))&amp;",",","&amp;SUBSTITUTE(input_challenge_opportunities," ","")&amp;",")))&gt;0)),IF(BI226="",TRUE,IF(input_challenge_opportunities="",FALSE,SUMPRODUCT(--ISNUMBER(SEARCH(","&amp;TRIM(TEXTSPLIT(BI226,","))&amp;",",","&amp;SUBSTITUTE(input_challenge_opportunities," ","")&amp;",")))=COUNTA(TEXTSPLIT(BI226,",")))))</f>
        <v/>
      </c>
      <c r="IY226">
        <f>AND(IF(BK226="",TRUE,IF(input_context="",FALSE,SUMPRODUCT(--ISNUMBER(SEARCH(","&amp;TRIM(TEXTSPLIT(BK226,","))&amp;",",","&amp;SUBSTITUTE(input_context," ","")&amp;",")))&gt;0)),IF(BM226="",TRUE,IF(input_context="",FALSE,SUMPRODUCT(--ISNUMBER(SEARCH(","&amp;TRIM(TEXTSPLIT(BM226,","))&amp;",",","&amp;SUBSTITUTE(input_context," ","")&amp;",")))=COUNTA(TEXTSPLIT(BM226,",")))),IF(BO226="",TRUE,IF(input_context="",TRUE,SUMPRODUCT(--ISNUMBER(SEARCH(","&amp;TRIM(TEXTSPLIT(BO226,","))&amp;",",","&amp;SUBSTITUTE(input_context," ","")&amp;",")))=0)),IF(BQ226="",TRUE,IF(input_context="",FALSE,SUMPRODUCT(--ISNUMBER(SEARCH(","&amp;TRIM(TEXTSPLIT(BQ226,","))&amp;",",","&amp;SUBSTITUTE(input_context," ","")&amp;",")))&gt;0)),IF(BS226="",TRUE,IF(input_context="",FALSE,SUMPRODUCT(--ISNUMBER(SEARCH(","&amp;TRIM(TEXTSPLIT(BS226,","))&amp;",",","&amp;SUBSTITUTE(input_context," ","")&amp;",")))=COUNTA(TEXTSPLIT(BS226,",")))))</f>
        <v/>
      </c>
      <c r="IZ226">
        <f>AND(IF(BU226="",TRUE,IF(input_enews_announcement_type="",FALSE,SUMPRODUCT(--ISNUMBER(SEARCH(","&amp;TRIM(TEXTSPLIT(BU226,","))&amp;",",","&amp;SUBSTITUTE(input_enews_announcement_type," ","")&amp;",")))&gt;0)),IF(BW226="",TRUE,IF(input_enews_announcement_type="",FALSE,SUMPRODUCT(--ISNUMBER(SEARCH(","&amp;TRIM(TEXTSPLIT(BW226,","))&amp;",",","&amp;SUBSTITUTE(input_enews_announcement_type," ","")&amp;",")))=COUNTA(TEXTSPLIT(BW226,",")))),IF(BY226="",TRUE,IF(input_enews_announcement_type="",TRUE,SUMPRODUCT(--ISNUMBER(SEARCH(","&amp;TRIM(TEXTSPLIT(BY226,","))&amp;",",","&amp;SUBSTITUTE(input_enews_announcement_type," ","")&amp;",")))=0)),IF(CA226="",TRUE,IF(input_enews_announcement_type="",FALSE,SUMPRODUCT(--ISNUMBER(SEARCH(","&amp;TRIM(TEXTSPLIT(CA226,","))&amp;",",","&amp;SUBSTITUTE(input_enews_announcement_type," ","")&amp;",")))&gt;0)),IF(CC226="",TRUE,IF(input_enews_announcement_type="",FALSE,SUMPRODUCT(--ISNUMBER(SEARCH(","&amp;TRIM(TEXTSPLIT(CC226,","))&amp;",",","&amp;SUBSTITUTE(input_enews_announcement_type," ","")&amp;",")))=COUNTA(TEXTSPLIT(CC226,",")))))</f>
        <v/>
      </c>
      <c r="JA226">
        <f>AND(IF(CE226="",TRUE,IF(input_enews_audience="",FALSE,SUMPRODUCT(--ISNUMBER(SEARCH(","&amp;TRIM(TEXTSPLIT(CE226,","))&amp;",",","&amp;SUBSTITUTE(input_enews_audience," ","")&amp;",")))&gt;0)),IF(CG226="",TRUE,IF(input_enews_audience="",FALSE,SUMPRODUCT(--ISNUMBER(SEARCH(","&amp;TRIM(TEXTSPLIT(CG226,","))&amp;",",","&amp;SUBSTITUTE(input_enews_audience," ","")&amp;",")))=COUNTA(TEXTSPLIT(CG226,",")))),IF(CI226="",TRUE,IF(input_enews_audience="",TRUE,SUMPRODUCT(--ISNUMBER(SEARCH(","&amp;TRIM(TEXTSPLIT(CI226,","))&amp;",",","&amp;SUBSTITUTE(input_enews_audience," ","")&amp;",")))=0)),IF(CK226="",TRUE,IF(input_enews_audience="",FALSE,SUMPRODUCT(--ISNUMBER(SEARCH(","&amp;TRIM(TEXTSPLIT(CK226,","))&amp;",",","&amp;SUBSTITUTE(input_enews_audience," ","")&amp;",")))&gt;0)),IF(CM226="",TRUE,IF(input_enews_audience="",FALSE,SUMPRODUCT(--ISNUMBER(SEARCH(","&amp;TRIM(TEXTSPLIT(CM226,","))&amp;",",","&amp;SUBSTITUTE(input_enews_audience," ","")&amp;",")))=COUNTA(TEXTSPLIT(CM226,",")))))</f>
        <v/>
      </c>
      <c r="JB226">
        <f>AND(IF(CO226="",TRUE,IF(input_event_location="",FALSE,SUMPRODUCT(--ISNUMBER(SEARCH(","&amp;TRIM(TEXTSPLIT(CO226,","))&amp;",",","&amp;SUBSTITUTE(input_event_location," ","")&amp;",")))&gt;0)),IF(CQ226="",TRUE,IF(input_event_location="",FALSE,SUMPRODUCT(--ISNUMBER(SEARCH(","&amp;TRIM(TEXTSPLIT(CQ226,","))&amp;",",","&amp;SUBSTITUTE(input_event_location," ","")&amp;",")))=COUNTA(TEXTSPLIT(CQ226,",")))),IF(CS226="",TRUE,IF(input_event_location="",TRUE,SUMPRODUCT(--ISNUMBER(SEARCH(","&amp;TRIM(TEXTSPLIT(CS226,","))&amp;",",","&amp;SUBSTITUTE(input_event_location," ","")&amp;",")))=0)),IF(CU226="",TRUE,IF(input_event_location="",FALSE,SUMPRODUCT(--ISNUMBER(SEARCH(","&amp;TRIM(TEXTSPLIT(CU226,","))&amp;",",","&amp;SUBSTITUTE(input_event_location," ","")&amp;",")))&gt;0)),IF(CW226="",TRUE,IF(input_event_location="",FALSE,SUMPRODUCT(--ISNUMBER(SEARCH(","&amp;TRIM(TEXTSPLIT(CW226,","))&amp;",",","&amp;SUBSTITUTE(input_event_location," ","")&amp;",")))=COUNTA(TEXTSPLIT(CW226,",")))))</f>
        <v/>
      </c>
      <c r="JC226">
        <f>AND(IF(CY226="",TRUE,IF(input_event_type="",FALSE,SUMPRODUCT(--ISNUMBER(SEARCH(","&amp;TRIM(TEXTSPLIT(CY226,","))&amp;",",","&amp;SUBSTITUTE(input_event_type," ","")&amp;",")))&gt;0)),IF(DA226="",TRUE,IF(input_event_type="",FALSE,SUMPRODUCT(--ISNUMBER(SEARCH(","&amp;TRIM(TEXTSPLIT(DA226,","))&amp;",",","&amp;SUBSTITUTE(input_event_type," ","")&amp;",")))=COUNTA(TEXTSPLIT(DA226,",")))),IF(DC226="",TRUE,IF(input_event_type="",TRUE,SUMPRODUCT(--ISNUMBER(SEARCH(","&amp;TRIM(TEXTSPLIT(DC226,","))&amp;",",","&amp;SUBSTITUTE(input_event_type," ","")&amp;",")))=0)),IF(DE226="",TRUE,IF(input_event_type="",FALSE,SUMPRODUCT(--ISNUMBER(SEARCH(","&amp;TRIM(TEXTSPLIT(DE226,","))&amp;",",","&amp;SUBSTITUTE(input_event_type," ","")&amp;",")))&gt;0)),IF(DG226="",TRUE,IF(input_event_type="",FALSE,SUMPRODUCT(--ISNUMBER(SEARCH(","&amp;TRIM(TEXTSPLIT(DG226,","))&amp;",",","&amp;SUBSTITUTE(input_event_type," ","")&amp;",")))=COUNTA(TEXTSPLIT(DG226,",")))))</f>
        <v/>
      </c>
      <c r="JD226">
        <f>AND(IF(DI226="",TRUE,IF(input_executive_education_focus="",FALSE,SUMPRODUCT(--ISNUMBER(SEARCH(","&amp;TRIM(TEXTSPLIT(DI226,","))&amp;",",","&amp;SUBSTITUTE(input_executive_education_focus," ","")&amp;",")))&gt;0)),IF(DK226="",TRUE,IF(input_executive_education_focus="",FALSE,SUMPRODUCT(--ISNUMBER(SEARCH(","&amp;TRIM(TEXTSPLIT(DK226,","))&amp;",",","&amp;SUBSTITUTE(input_executive_education_focus," ","")&amp;",")))=COUNTA(TEXTSPLIT(DK226,",")))),IF(DM226="",TRUE,IF(input_executive_education_focus="",TRUE,SUMPRODUCT(--ISNUMBER(SEARCH(","&amp;TRIM(TEXTSPLIT(DM226,","))&amp;",",","&amp;SUBSTITUTE(input_executive_education_focus," ","")&amp;",")))=0)),IF(DO226="",TRUE,IF(input_executive_education_focus="",FALSE,SUMPRODUCT(--ISNUMBER(SEARCH(","&amp;TRIM(TEXTSPLIT(DO226,","))&amp;",",","&amp;SUBSTITUTE(input_executive_education_focus," ","")&amp;",")))&gt;0)),IF(DQ226="",TRUE,IF(input_executive_education_focus="",FALSE,SUMPRODUCT(--ISNUMBER(SEARCH(","&amp;TRIM(TEXTSPLIT(DQ226,","))&amp;",",","&amp;SUBSTITUTE(input_executive_education_focus," ","")&amp;",")))=COUNTA(TEXTSPLIT(DQ226,",")))))</f>
        <v/>
      </c>
      <c r="JE226">
        <f>AND(IF(DS226="",TRUE,IF(input_faculty_category="",FALSE,SUMPRODUCT(--ISNUMBER(SEARCH(","&amp;TRIM(TEXTSPLIT(DS226,","))&amp;",",","&amp;SUBSTITUTE(input_faculty_category," ","")&amp;",")))&gt;0)),IF(DU226="",TRUE,IF(input_faculty_category="",FALSE,SUMPRODUCT(--ISNUMBER(SEARCH(","&amp;TRIM(TEXTSPLIT(DU226,","))&amp;",",","&amp;SUBSTITUTE(input_faculty_category," ","")&amp;",")))=COUNTA(TEXTSPLIT(DU226,",")))),IF(DW226="",TRUE,IF(input_faculty_category="",TRUE,SUMPRODUCT(--ISNUMBER(SEARCH(","&amp;TRIM(TEXTSPLIT(DW226,","))&amp;",",","&amp;SUBSTITUTE(input_faculty_category," ","")&amp;",")))=0)),IF(DY226="",TRUE,IF(input_faculty_category="",FALSE,SUMPRODUCT(--ISNUMBER(SEARCH(","&amp;TRIM(TEXTSPLIT(DY226,","))&amp;",",","&amp;SUBSTITUTE(input_faculty_category," ","")&amp;",")))&gt;0)),IF(EA226="",TRUE,IF(input_faculty_category="",FALSE,SUMPRODUCT(--ISNUMBER(SEARCH(","&amp;TRIM(TEXTSPLIT(EA226,","))&amp;",",","&amp;SUBSTITUTE(input_faculty_category," ","")&amp;",")))=COUNTA(TEXTSPLIT(EA226,",")))))</f>
        <v/>
      </c>
      <c r="JF226">
        <f>AND(IF(EC226="",TRUE,IF(input_faculty_discipline="",FALSE,SUMPRODUCT(--ISNUMBER(SEARCH(","&amp;TRIM(TEXTSPLIT(EC226,","))&amp;",",","&amp;SUBSTITUTE(input_faculty_discipline," ","")&amp;",")))&gt;0)),IF(EE226="",TRUE,IF(input_faculty_discipline="",FALSE,SUMPRODUCT(--ISNUMBER(SEARCH(","&amp;TRIM(TEXTSPLIT(EE226,","))&amp;",",","&amp;SUBSTITUTE(input_faculty_discipline," ","")&amp;",")))=COUNTA(TEXTSPLIT(EE226,",")))),IF(EG226="",TRUE,IF(input_faculty_discipline="",TRUE,SUMPRODUCT(--ISNUMBER(SEARCH(","&amp;TRIM(TEXTSPLIT(EG226,","))&amp;",",","&amp;SUBSTITUTE(input_faculty_discipline," ","")&amp;",")))=0)),IF(EI226="",TRUE,IF(input_faculty_discipline="",FALSE,SUMPRODUCT(--ISNUMBER(SEARCH(","&amp;TRIM(TEXTSPLIT(EI226,","))&amp;",",","&amp;SUBSTITUTE(input_faculty_discipline," ","")&amp;",")))&gt;0)),IF(EK226="",TRUE,IF(input_faculty_discipline="",FALSE,SUMPRODUCT(--ISNUMBER(SEARCH(","&amp;TRIM(TEXTSPLIT(EK226,","))&amp;",",","&amp;SUBSTITUTE(input_faculty_discipline," ","")&amp;",")))=COUNTA(TEXTSPLIT(EK226,",")))))</f>
        <v/>
      </c>
      <c r="JG226">
        <f>AND(IF(EM226="",TRUE,IF(input_faculty_expertise="",FALSE,SUMPRODUCT(--ISNUMBER(SEARCH(","&amp;TRIM(TEXTSPLIT(EM226,","))&amp;",",","&amp;SUBSTITUTE(input_faculty_expertise," ","")&amp;",")))&gt;0)),IF(EO226="",TRUE,IF(input_faculty_expertise="",FALSE,SUMPRODUCT(--ISNUMBER(SEARCH(","&amp;TRIM(TEXTSPLIT(EO226,","))&amp;",",","&amp;SUBSTITUTE(input_faculty_expertise," ","")&amp;",")))=COUNTA(TEXTSPLIT(EO226,",")))),IF(EQ226="",TRUE,IF(input_faculty_expertise="",TRUE,SUMPRODUCT(--ISNUMBER(SEARCH(","&amp;TRIM(TEXTSPLIT(EQ226,","))&amp;",",","&amp;SUBSTITUTE(input_faculty_expertise," ","")&amp;",")))=0)),IF(ES226="",TRUE,IF(input_faculty_expertise="",FALSE,SUMPRODUCT(--ISNUMBER(SEARCH(","&amp;TRIM(TEXTSPLIT(ES226,","))&amp;",",","&amp;SUBSTITUTE(input_faculty_expertise," ","")&amp;",")))&gt;0)),IF(EU226="",TRUE,IF(input_faculty_expertise="",FALSE,SUMPRODUCT(--ISNUMBER(SEARCH(","&amp;TRIM(TEXTSPLIT(EU226,","))&amp;",",","&amp;SUBSTITUTE(input_faculty_expertise," ","")&amp;",")))=COUNTA(TEXTSPLIT(EU226,",")))))</f>
        <v/>
      </c>
      <c r="JH226">
        <f>AND(IF(EW226="",TRUE,IF(input_global_network_school="",FALSE,SUMPRODUCT(--ISNUMBER(SEARCH(","&amp;TRIM(TEXTSPLIT(EW226,","))&amp;",",","&amp;SUBSTITUTE(input_global_network_school," ","")&amp;",")))&gt;0)),IF(EY226="",TRUE,IF(input_global_network_school="",FALSE,SUMPRODUCT(--ISNUMBER(SEARCH(","&amp;TRIM(TEXTSPLIT(EY226,","))&amp;",",","&amp;SUBSTITUTE(input_global_network_school," ","")&amp;",")))=COUNTA(TEXTSPLIT(EY226,",")))),IF(FA226="",TRUE,IF(input_global_network_school="",TRUE,SUMPRODUCT(--ISNUMBER(SEARCH(","&amp;TRIM(TEXTSPLIT(FA226,","))&amp;",",","&amp;SUBSTITUTE(input_global_network_school," ","")&amp;",")))=0)),IF(FC226="",TRUE,IF(input_global_network_school="",FALSE,SUMPRODUCT(--ISNUMBER(SEARCH(","&amp;TRIM(TEXTSPLIT(FC226,","))&amp;",",","&amp;SUBSTITUTE(input_global_network_school," ","")&amp;",")))&gt;0)),IF(FE226="",TRUE,IF(input_global_network_school="",FALSE,SUMPRODUCT(--ISNUMBER(SEARCH(","&amp;TRIM(TEXTSPLIT(FE226,","))&amp;",",","&amp;SUBSTITUTE(input_global_network_school," ","")&amp;",")))=COUNTA(TEXTSPLIT(FE226,",")))))</f>
        <v/>
      </c>
      <c r="JI226">
        <f>AND(IF(FG226="",TRUE,IF(input_industry="",FALSE,SUMPRODUCT(--ISNUMBER(SEARCH(","&amp;TRIM(TEXTSPLIT(FG226,","))&amp;",",","&amp;SUBSTITUTE(input_industry," ","")&amp;",")))&gt;0)),IF(FI226="",TRUE,IF(input_industry="",FALSE,SUMPRODUCT(--ISNUMBER(SEARCH(","&amp;TRIM(TEXTSPLIT(FI226,","))&amp;",",","&amp;SUBSTITUTE(input_industry," ","")&amp;",")))=COUNTA(TEXTSPLIT(FI226,",")))),IF(FK226="",TRUE,IF(input_industry="",TRUE,SUMPRODUCT(--ISNUMBER(SEARCH(","&amp;TRIM(TEXTSPLIT(FK226,","))&amp;",",","&amp;SUBSTITUTE(input_industry," ","")&amp;",")))=0)),IF(FM226="",TRUE,IF(input_industry="",FALSE,SUMPRODUCT(--ISNUMBER(SEARCH(","&amp;TRIM(TEXTSPLIT(FM226,","))&amp;",",","&amp;SUBSTITUTE(input_industry," ","")&amp;",")))&gt;0)),IF(FO226="",TRUE,IF(input_industry="",FALSE,SUMPRODUCT(--ISNUMBER(SEARCH(","&amp;TRIM(TEXTSPLIT(FO226,","))&amp;",",","&amp;SUBSTITUTE(input_industry," ","")&amp;",")))=COUNTA(TEXTSPLIT(FO226,",")))))</f>
        <v/>
      </c>
      <c r="JJ226">
        <f>AND(IF(FQ226="",TRUE,IF(input_location="",FALSE,SUMPRODUCT(--ISNUMBER(SEARCH(","&amp;TRIM(TEXTSPLIT(FQ226,","))&amp;",",","&amp;SUBSTITUTE(input_location," ","")&amp;",")))&gt;0)),IF(FS226="",TRUE,IF(input_location="",FALSE,SUMPRODUCT(--ISNUMBER(SEARCH(","&amp;TRIM(TEXTSPLIT(FS226,","))&amp;",",","&amp;SUBSTITUTE(input_location," ","")&amp;",")))=COUNTA(TEXTSPLIT(FS226,",")))),IF(FU226="",TRUE,IF(input_location="",TRUE,SUMPRODUCT(--ISNUMBER(SEARCH(","&amp;TRIM(TEXTSPLIT(FU226,","))&amp;",",","&amp;SUBSTITUTE(input_location," ","")&amp;",")))=0)),IF(FW226="",TRUE,IF(input_location="",FALSE,SUMPRODUCT(--ISNUMBER(SEARCH(","&amp;TRIM(TEXTSPLIT(FW226,","))&amp;",",","&amp;SUBSTITUTE(input_location," ","")&amp;",")))&gt;0)),IF(FY226="",TRUE,IF(input_location="",FALSE,SUMPRODUCT(--ISNUMBER(SEARCH(","&amp;TRIM(TEXTSPLIT(FY226,","))&amp;",",","&amp;SUBSTITUTE(input_location," ","")&amp;",")))=COUNTA(TEXTSPLIT(FY226,",")))))</f>
        <v/>
      </c>
      <c r="JK226">
        <f>AND(IF(GA226="",TRUE,IF(input_modality="",FALSE,SUMPRODUCT(--ISNUMBER(SEARCH(","&amp;TRIM(TEXTSPLIT(GA226,","))&amp;",",","&amp;SUBSTITUTE(input_modality," ","")&amp;",")))&gt;0)),IF(GC226="",TRUE,IF(input_modality="",FALSE,SUMPRODUCT(--ISNUMBER(SEARCH(","&amp;TRIM(TEXTSPLIT(GC226,","))&amp;",",","&amp;SUBSTITUTE(input_modality," ","")&amp;",")))=COUNTA(TEXTSPLIT(GC226,",")))),IF(GE226="",TRUE,IF(input_modality="",TRUE,SUMPRODUCT(--ISNUMBER(SEARCH(","&amp;TRIM(TEXTSPLIT(GE226,","))&amp;",",","&amp;SUBSTITUTE(input_modality," ","")&amp;",")))=0)),IF(GG226="",TRUE,IF(input_modality="",FALSE,SUMPRODUCT(--ISNUMBER(SEARCH(","&amp;TRIM(TEXTSPLIT(GG226,","))&amp;",",","&amp;SUBSTITUTE(input_modality," ","")&amp;",")))&gt;0)),IF(GI226="",TRUE,IF(input_modality="",FALSE,SUMPRODUCT(--ISNUMBER(SEARCH(","&amp;TRIM(TEXTSPLIT(GI226,","))&amp;",",","&amp;SUBSTITUTE(input_modality," ","")&amp;",")))=COUNTA(TEXTSPLIT(GI226,",")))))</f>
        <v/>
      </c>
      <c r="JL226">
        <f>AND(IF(GK226="",TRUE,IF(input_organizer="",FALSE,SUMPRODUCT(--ISNUMBER(SEARCH(","&amp;TRIM(TEXTSPLIT(GK226,","))&amp;",",","&amp;SUBSTITUTE(input_organizer," ","")&amp;",")))&gt;0)),IF(GM226="",TRUE,IF(input_organizer="",FALSE,SUMPRODUCT(--ISNUMBER(SEARCH(","&amp;TRIM(TEXTSPLIT(GM226,","))&amp;",",","&amp;SUBSTITUTE(input_organizer," ","")&amp;",")))=COUNTA(TEXTSPLIT(GM226,",")))),IF(GO226="",TRUE,IF(input_organizer="",TRUE,SUMPRODUCT(--ISNUMBER(SEARCH(","&amp;TRIM(TEXTSPLIT(GO226,","))&amp;",",","&amp;SUBSTITUTE(input_organizer," ","")&amp;",")))=0)),IF(GQ226="",TRUE,IF(input_organizer="",FALSE,SUMPRODUCT(--ISNUMBER(SEARCH(","&amp;TRIM(TEXTSPLIT(GQ226,","))&amp;",",","&amp;SUBSTITUTE(input_organizer," ","")&amp;",")))&gt;0)),IF(GS226="",TRUE,IF(input_organizer="",FALSE,SUMPRODUCT(--ISNUMBER(SEARCH(","&amp;TRIM(TEXTSPLIT(GS226,","))&amp;",",","&amp;SUBSTITUTE(input_organizer," ","")&amp;",")))=COUNTA(TEXTSPLIT(GS226,",")))))</f>
        <v/>
      </c>
      <c r="JM226">
        <f>AND(IF(GU226="",TRUE,IF(input_profile_type="",FALSE,SUMPRODUCT(--ISNUMBER(SEARCH(","&amp;TRIM(TEXTSPLIT(GU226,","))&amp;",",","&amp;SUBSTITUTE(input_profile_type," ","")&amp;",")))&gt;0)),IF(GW226="",TRUE,IF(input_profile_type="",FALSE,SUMPRODUCT(--ISNUMBER(SEARCH(","&amp;TRIM(TEXTSPLIT(GW226,","))&amp;",",","&amp;SUBSTITUTE(input_profile_type," ","")&amp;",")))=COUNTA(TEXTSPLIT(GW226,",")))),IF(GY226="",TRUE,IF(input_profile_type="",TRUE,SUMPRODUCT(--ISNUMBER(SEARCH(","&amp;TRIM(TEXTSPLIT(GY226,","))&amp;",",","&amp;SUBSTITUTE(input_profile_type," ","")&amp;",")))=0)),IF(HA226="",TRUE,IF(input_profile_type="",FALSE,SUMPRODUCT(--ISNUMBER(SEARCH(","&amp;TRIM(TEXTSPLIT(HA226,","))&amp;",",","&amp;SUBSTITUTE(input_profile_type," ","")&amp;",")))&gt;0)),IF(HC226="",TRUE,IF(input_profile_type="",FALSE,SUMPRODUCT(--ISNUMBER(SEARCH(","&amp;TRIM(TEXTSPLIT(HC226,","))&amp;",",","&amp;SUBSTITUTE(input_profile_type," ","")&amp;",")))=COUNTA(TEXTSPLIT(HC226,",")))))</f>
        <v/>
      </c>
      <c r="JN226">
        <f>AND(IF(HE226="",TRUE,IF(input_program="",FALSE,SUMPRODUCT(--ISNUMBER(SEARCH(","&amp;TRIM(TEXTSPLIT(HE226,","))&amp;",",","&amp;SUBSTITUTE(input_program," ","")&amp;",")))&gt;0)),IF(HG226="",TRUE,IF(input_program="",FALSE,SUMPRODUCT(--ISNUMBER(SEARCH(","&amp;TRIM(TEXTSPLIT(HG226,","))&amp;",",","&amp;SUBSTITUTE(input_program," ","")&amp;",")))=COUNTA(TEXTSPLIT(HG226,",")))),IF(HI226="",TRUE,IF(input_program="",TRUE,SUMPRODUCT(--ISNUMBER(SEARCH(","&amp;TRIM(TEXTSPLIT(HI226,","))&amp;",",","&amp;SUBSTITUTE(input_program," ","")&amp;",")))=0)),IF(HK226="",TRUE,IF(input_program="",FALSE,SUMPRODUCT(--ISNUMBER(SEARCH(","&amp;TRIM(TEXTSPLIT(HK226,","))&amp;",",","&amp;SUBSTITUTE(input_program," ","")&amp;",")))&gt;0)),IF(HM226="",TRUE,IF(input_program="",FALSE,SUMPRODUCT(--ISNUMBER(SEARCH(","&amp;TRIM(TEXTSPLIT(HM226,","))&amp;",",","&amp;SUBSTITUTE(input_program," ","")&amp;",")))=COUNTA(TEXTSPLIT(HM226,",")))))</f>
        <v/>
      </c>
      <c r="JO226">
        <f>AND(IF(HO226="",TRUE,IF(input_story_categories="",FALSE,SUMPRODUCT(--ISNUMBER(SEARCH(","&amp;TRIM(TEXTSPLIT(HO226,","))&amp;",",","&amp;SUBSTITUTE(input_story_categories," ","")&amp;",")))&gt;0)),IF(HQ226="",TRUE,IF(input_story_categories="",FALSE,SUMPRODUCT(--ISNUMBER(SEARCH(","&amp;TRIM(TEXTSPLIT(HQ226,","))&amp;",",","&amp;SUBSTITUTE(input_story_categories," ","")&amp;",")))=COUNTA(TEXTSPLIT(HQ226,",")))),IF(HS226="",TRUE,IF(input_story_categories="",TRUE,SUMPRODUCT(--ISNUMBER(SEARCH(","&amp;TRIM(TEXTSPLIT(HS226,","))&amp;",",","&amp;SUBSTITUTE(input_story_categories," ","")&amp;",")))=0)),IF(HU226="",TRUE,IF(input_story_categories="",FALSE,SUMPRODUCT(--ISNUMBER(SEARCH(","&amp;TRIM(TEXTSPLIT(HU226,","))&amp;",",","&amp;SUBSTITUTE(input_story_categories," ","")&amp;",")))&gt;0)),IF(HW226="",TRUE,IF(input_story_categories="",FALSE,SUMPRODUCT(--ISNUMBER(SEARCH(","&amp;TRIM(TEXTSPLIT(HW226,","))&amp;",",","&amp;SUBSTITUTE(input_story_categories," ","")&amp;",")))=COUNTA(TEXTSPLIT(HW226,",")))))</f>
        <v/>
      </c>
      <c r="JP226">
        <f>AND(IF(HY226="",TRUE,IF(input_story_type="",FALSE,SUMPRODUCT(--ISNUMBER(SEARCH(","&amp;TRIM(TEXTSPLIT(HY226,","))&amp;",",","&amp;SUBSTITUTE(input_story_type," ","")&amp;",")))&gt;0)),IF(IA226="",TRUE,IF(input_story_type="",FALSE,SUMPRODUCT(--ISNUMBER(SEARCH(","&amp;TRIM(TEXTSPLIT(IA226,","))&amp;",",","&amp;SUBSTITUTE(input_story_type," ","")&amp;",")))=COUNTA(TEXTSPLIT(IA226,",")))),IF(IC226="",TRUE,IF(input_story_type="",TRUE,SUMPRODUCT(--ISNUMBER(SEARCH(","&amp;TRIM(TEXTSPLIT(IC226,","))&amp;",",","&amp;SUBSTITUTE(input_story_type," ","")&amp;",")))=0)),IF(IE226="",TRUE,IF(input_story_type="",FALSE,SUMPRODUCT(--ISNUMBER(SEARCH(","&amp;TRIM(TEXTSPLIT(IE226,","))&amp;",",","&amp;SUBSTITUTE(input_story_type," ","")&amp;",")))&gt;0)),IF(IG226="",TRUE,IF(input_story_type="",FALSE,SUMPRODUCT(--ISNUMBER(SEARCH(","&amp;TRIM(TEXTSPLIT(IG226,","))&amp;",",","&amp;SUBSTITUTE(input_story_type," ","")&amp;",")))=COUNTA(TEXTSPLIT(IG226,",")))))</f>
        <v/>
      </c>
      <c r="JQ226">
        <f>AND(IF(II226="",TRUE,IF(input_topics="",FALSE,SUMPRODUCT(--ISNUMBER(SEARCH(","&amp;TRIM(TEXTSPLIT(II226,","))&amp;",",","&amp;SUBSTITUTE(input_topics," ","")&amp;",")))&gt;0)),IF(IK226="",TRUE,IF(input_topics="",FALSE,SUMPRODUCT(--ISNUMBER(SEARCH(","&amp;TRIM(TEXTSPLIT(IK226,","))&amp;",",","&amp;SUBSTITUTE(input_topics," ","")&amp;",")))=COUNTA(TEXTSPLIT(IK226,",")))),IF(IM226="",TRUE,IF(input_topics="",TRUE,SUMPRODUCT(--ISNUMBER(SEARCH(","&amp;TRIM(TEXTSPLIT(IM226,","))&amp;",",","&amp;SUBSTITUTE(input_topics," ","")&amp;",")))=0)),IF(IO226="",TRUE,IF(input_topics="",FALSE,SUMPRODUCT(--ISNUMBER(SEARCH(","&amp;TRIM(TEXTSPLIT(IO226,","))&amp;",",","&amp;SUBSTITUTE(input_topics," ","")&amp;",")))&gt;0)),IF(IQ226="",TRUE,IF(input_topics="",FALSE,SUMPRODUCT(--ISNUMBER(SEARCH(","&amp;TRIM(TEXTSPLIT(IQ226,","))&amp;",",","&amp;SUBSTITUTE(input_topics," ","")&amp;",")))=COUNTA(TEXTSPLIT(IQ226,",")))))</f>
        <v/>
      </c>
    </row>
    <row r="227">
      <c r="A227" s="4">
        <f>IF(NOT(IS227),"Excluded",IF(AND(IT227,IU227,IV227,IW227,IX227,IY227,IZ227,JA227,JB227,JC227,JD227,JE227,JF227,JG227,JH227,JI227,JJ227,JK227,JL227,JM227,JN227,JO227,JP227,JQ227),IF(I227&gt;0,"Eligible but limited","Will appear"),"Excluded"))</f>
        <v/>
      </c>
      <c r="B227" s="4" t="inlineStr">
        <is>
          <t>Student Ambassadors</t>
        </is>
      </c>
      <c r="C227" s="4" t="inlineStr">
        <is>
          <t>/programs/mba/admissions/student-ambassadors</t>
        </is>
      </c>
      <c r="D227" s="4" t="inlineStr">
        <is>
          <t>/programs/mba/admissions/student-ambassadors</t>
        </is>
      </c>
      <c r="E227" s="4" t="n">
        <v>1</v>
      </c>
      <c r="F227" s="4" t="inlineStr">
        <is>
          <t>profile</t>
        </is>
      </c>
      <c r="G227" s="4" t="inlineStr">
        <is>
          <t>profiles_grid</t>
        </is>
      </c>
      <c r="H227" s="4" t="inlineStr">
        <is>
          <t>embed_3</t>
        </is>
      </c>
      <c r="I227" s="4" t="inlineStr"/>
      <c r="J227" s="4" t="inlineStr">
        <is>
          <t>Explicit args</t>
        </is>
      </c>
      <c r="K227" s="4" t="inlineStr">
        <is>
          <t>Page placement</t>
        </is>
      </c>
      <c r="L227" s="4" t="inlineStr">
        <is>
          <t>Content type: profile; Needs any Profile Type: Ambassador (1552); Context uses Program: MBA (4); Source: Explicit args</t>
        </is>
      </c>
      <c r="M227" t="inlineStr"/>
      <c r="N227" t="inlineStr"/>
      <c r="O227" t="inlineStr"/>
      <c r="P227" t="inlineStr"/>
      <c r="Q227" t="inlineStr"/>
      <c r="R227" t="inlineStr"/>
      <c r="S227" t="inlineStr"/>
      <c r="T227" t="inlineStr"/>
      <c r="U227" t="inlineStr"/>
      <c r="V227" t="inlineStr"/>
      <c r="W227" t="inlineStr"/>
      <c r="X227" t="inlineStr"/>
      <c r="Y227" t="inlineStr"/>
      <c r="Z227" t="inlineStr"/>
      <c r="AA227" t="inlineStr"/>
      <c r="AB227" t="inlineStr"/>
      <c r="AC227" t="inlineStr"/>
      <c r="AD227" t="inlineStr"/>
      <c r="AE227" t="inlineStr"/>
      <c r="AF227" t="inlineStr"/>
      <c r="AG227" t="inlineStr"/>
      <c r="AH227" t="inlineStr"/>
      <c r="AI227" t="inlineStr"/>
      <c r="AJ227" t="inlineStr"/>
      <c r="AK227" t="inlineStr"/>
      <c r="AL227" t="inlineStr"/>
      <c r="AM227" t="inlineStr"/>
      <c r="AN227" t="inlineStr"/>
      <c r="AO227" t="inlineStr"/>
      <c r="AP227" t="inlineStr"/>
      <c r="AQ227" t="inlineStr"/>
      <c r="AR227" t="inlineStr"/>
      <c r="AS227" t="inlineStr"/>
      <c r="AT227" t="inlineStr"/>
      <c r="AU227" t="inlineStr"/>
      <c r="AV227" t="inlineStr"/>
      <c r="AW227" t="inlineStr"/>
      <c r="AX227" t="inlineStr"/>
      <c r="AY227" t="inlineStr"/>
      <c r="AZ227" t="inlineStr"/>
      <c r="BA227" t="inlineStr"/>
      <c r="BB227" t="inlineStr"/>
      <c r="BC227" t="inlineStr"/>
      <c r="BD227" t="inlineStr"/>
      <c r="BE227" t="inlineStr"/>
      <c r="BF227" t="inlineStr"/>
      <c r="BG227" t="inlineStr"/>
      <c r="BH227" t="inlineStr"/>
      <c r="BI227" t="inlineStr"/>
      <c r="BJ227" t="inlineStr"/>
      <c r="BK227" t="inlineStr"/>
      <c r="BL227" t="inlineStr"/>
      <c r="BM227" t="inlineStr"/>
      <c r="BN227" t="inlineStr"/>
      <c r="BO227" t="inlineStr"/>
      <c r="BP227" t="inlineStr"/>
      <c r="BQ227" t="inlineStr"/>
      <c r="BR227" t="inlineStr"/>
      <c r="BS227" t="inlineStr"/>
      <c r="BT227" t="inlineStr"/>
      <c r="BU227" t="inlineStr"/>
      <c r="BV227" t="inlineStr"/>
      <c r="BW227" t="inlineStr"/>
      <c r="BX227" t="inlineStr"/>
      <c r="BY227" t="inlineStr"/>
      <c r="BZ227" t="inlineStr"/>
      <c r="CA227" t="inlineStr"/>
      <c r="CB227" t="inlineStr"/>
      <c r="CC227" t="inlineStr"/>
      <c r="CD227" t="inlineStr"/>
      <c r="CE227" t="inlineStr"/>
      <c r="CF227" t="inlineStr"/>
      <c r="CG227" t="inlineStr"/>
      <c r="CH227" t="inlineStr"/>
      <c r="CI227" t="inlineStr"/>
      <c r="CJ227" t="inlineStr"/>
      <c r="CK227" t="inlineStr"/>
      <c r="CL227" t="inlineStr"/>
      <c r="CM227" t="inlineStr"/>
      <c r="CN227" t="inlineStr"/>
      <c r="CO227" t="inlineStr"/>
      <c r="CP227" t="inlineStr"/>
      <c r="CQ227" t="inlineStr"/>
      <c r="CR227" t="inlineStr"/>
      <c r="CS227" t="inlineStr"/>
      <c r="CT227" t="inlineStr"/>
      <c r="CU227" t="inlineStr"/>
      <c r="CV227" t="inlineStr"/>
      <c r="CW227" t="inlineStr"/>
      <c r="CX227" t="inlineStr"/>
      <c r="CY227" t="inlineStr"/>
      <c r="CZ227" t="inlineStr"/>
      <c r="DA227" t="inlineStr"/>
      <c r="DB227" t="inlineStr"/>
      <c r="DC227" t="inlineStr"/>
      <c r="DD227" t="inlineStr"/>
      <c r="DE227" t="inlineStr"/>
      <c r="DF227" t="inlineStr"/>
      <c r="DG227" t="inlineStr"/>
      <c r="DH227" t="inlineStr"/>
      <c r="DI227" t="inlineStr"/>
      <c r="DJ227" t="inlineStr"/>
      <c r="DK227" t="inlineStr"/>
      <c r="DL227" t="inlineStr"/>
      <c r="DM227" t="inlineStr"/>
      <c r="DN227" t="inlineStr"/>
      <c r="DO227" t="inlineStr"/>
      <c r="DP227" t="inlineStr"/>
      <c r="DQ227" t="inlineStr"/>
      <c r="DR227" t="inlineStr"/>
      <c r="DS227" t="inlineStr"/>
      <c r="DT227" t="inlineStr"/>
      <c r="DU227" t="inlineStr"/>
      <c r="DV227" t="inlineStr"/>
      <c r="DW227" t="inlineStr"/>
      <c r="DX227" t="inlineStr"/>
      <c r="DY227" t="inlineStr"/>
      <c r="DZ227" t="inlineStr"/>
      <c r="EA227" t="inlineStr"/>
      <c r="EB227" t="inlineStr"/>
      <c r="EC227" t="inlineStr"/>
      <c r="ED227" t="inlineStr"/>
      <c r="EE227" t="inlineStr"/>
      <c r="EF227" t="inlineStr"/>
      <c r="EG227" t="inlineStr"/>
      <c r="EH227" t="inlineStr"/>
      <c r="EI227" t="inlineStr"/>
      <c r="EJ227" t="inlineStr"/>
      <c r="EK227" t="inlineStr"/>
      <c r="EL227" t="inlineStr"/>
      <c r="EM227" t="inlineStr"/>
      <c r="EN227" t="inlineStr"/>
      <c r="EO227" t="inlineStr"/>
      <c r="EP227" t="inlineStr"/>
      <c r="EQ227" t="inlineStr"/>
      <c r="ER227" t="inlineStr"/>
      <c r="ES227" t="inlineStr"/>
      <c r="ET227" t="inlineStr"/>
      <c r="EU227" t="inlineStr"/>
      <c r="EV227" t="inlineStr"/>
      <c r="EW227" t="inlineStr"/>
      <c r="EX227" t="inlineStr"/>
      <c r="EY227" t="inlineStr"/>
      <c r="EZ227" t="inlineStr"/>
      <c r="FA227" t="inlineStr"/>
      <c r="FB227" t="inlineStr"/>
      <c r="FC227" t="inlineStr"/>
      <c r="FD227" t="inlineStr"/>
      <c r="FE227" t="inlineStr"/>
      <c r="FF227" t="inlineStr"/>
      <c r="FG227" t="inlineStr"/>
      <c r="FH227" t="inlineStr"/>
      <c r="FI227" t="inlineStr"/>
      <c r="FJ227" t="inlineStr"/>
      <c r="FK227" t="inlineStr"/>
      <c r="FL227" t="inlineStr"/>
      <c r="FM227" t="inlineStr"/>
      <c r="FN227" t="inlineStr"/>
      <c r="FO227" t="inlineStr"/>
      <c r="FP227" t="inlineStr"/>
      <c r="FQ227" t="inlineStr"/>
      <c r="FR227" t="inlineStr"/>
      <c r="FS227" t="inlineStr"/>
      <c r="FT227" t="inlineStr"/>
      <c r="FU227" t="inlineStr"/>
      <c r="FV227" t="inlineStr"/>
      <c r="FW227" t="inlineStr"/>
      <c r="FX227" t="inlineStr"/>
      <c r="FY227" t="inlineStr"/>
      <c r="FZ227" t="inlineStr"/>
      <c r="GA227" t="inlineStr"/>
      <c r="GB227" t="inlineStr"/>
      <c r="GC227" t="inlineStr"/>
      <c r="GD227" t="inlineStr"/>
      <c r="GE227" t="inlineStr"/>
      <c r="GF227" t="inlineStr"/>
      <c r="GG227" t="inlineStr"/>
      <c r="GH227" t="inlineStr"/>
      <c r="GI227" t="inlineStr"/>
      <c r="GJ227" t="inlineStr"/>
      <c r="GK227" t="inlineStr"/>
      <c r="GL227" t="inlineStr"/>
      <c r="GM227" t="inlineStr"/>
      <c r="GN227" t="inlineStr"/>
      <c r="GO227" t="inlineStr"/>
      <c r="GP227" t="inlineStr"/>
      <c r="GQ227" t="inlineStr"/>
      <c r="GR227" t="inlineStr"/>
      <c r="GS227" t="inlineStr"/>
      <c r="GT227" t="inlineStr"/>
      <c r="GU227" t="inlineStr">
        <is>
          <t>1552</t>
        </is>
      </c>
      <c r="GV227" t="inlineStr">
        <is>
          <t>Ambassador (1552)</t>
        </is>
      </c>
      <c r="GW227" t="inlineStr"/>
      <c r="GX227" t="inlineStr"/>
      <c r="GY227" t="inlineStr"/>
      <c r="GZ227" t="inlineStr"/>
      <c r="HA227" t="inlineStr"/>
      <c r="HB227" t="inlineStr"/>
      <c r="HC227" t="inlineStr"/>
      <c r="HD227" t="inlineStr"/>
      <c r="HE227" t="inlineStr"/>
      <c r="HF227" t="inlineStr"/>
      <c r="HG227" t="inlineStr"/>
      <c r="HH227" t="inlineStr"/>
      <c r="HI227" t="inlineStr"/>
      <c r="HJ227" t="inlineStr"/>
      <c r="HK227" t="inlineStr">
        <is>
          <t>4</t>
        </is>
      </c>
      <c r="HL227" t="inlineStr">
        <is>
          <t>MBA (4)</t>
        </is>
      </c>
      <c r="HM227" t="inlineStr"/>
      <c r="HN227" t="inlineStr"/>
      <c r="HO227" t="inlineStr"/>
      <c r="HP227" t="inlineStr"/>
      <c r="HQ227" t="inlineStr"/>
      <c r="HR227" t="inlineStr"/>
      <c r="HS227" t="inlineStr"/>
      <c r="HT227" t="inlineStr"/>
      <c r="HU227" t="inlineStr"/>
      <c r="HV227" t="inlineStr"/>
      <c r="HW227" t="inlineStr"/>
      <c r="HX227" t="inlineStr"/>
      <c r="HY227" t="inlineStr"/>
      <c r="HZ227" t="inlineStr"/>
      <c r="IA227" t="inlineStr"/>
      <c r="IB227" t="inlineStr"/>
      <c r="IC227" t="inlineStr"/>
      <c r="ID227" t="inlineStr"/>
      <c r="IE227" t="inlineStr"/>
      <c r="IF227" t="inlineStr"/>
      <c r="IG227" t="inlineStr"/>
      <c r="IH227" t="inlineStr"/>
      <c r="II227" t="inlineStr"/>
      <c r="IJ227" t="inlineStr"/>
      <c r="IK227" t="inlineStr"/>
      <c r="IL227" t="inlineStr"/>
      <c r="IM227" t="inlineStr"/>
      <c r="IN227" t="inlineStr"/>
      <c r="IO227" t="inlineStr"/>
      <c r="IP227" t="inlineStr"/>
      <c r="IQ227" t="inlineStr"/>
      <c r="IR227" t="inlineStr"/>
      <c r="IS227">
        <f>IF(input_content_type="",FALSE,ISNUMBER(SEARCH(","&amp;LOWER(input_content_type)&amp;",",","&amp;LOWER(F227)&amp;",")))</f>
        <v/>
      </c>
      <c r="IT227">
        <f>AND(IF(M227="",TRUE,IF(input_affiliations="",FALSE,SUMPRODUCT(--ISNUMBER(SEARCH(","&amp;TRIM(TEXTSPLIT(M227,","))&amp;",",","&amp;SUBSTITUTE(input_affiliations," ","")&amp;",")))&gt;0)),IF(O227="",TRUE,IF(input_affiliations="",FALSE,SUMPRODUCT(--ISNUMBER(SEARCH(","&amp;TRIM(TEXTSPLIT(O227,","))&amp;",",","&amp;SUBSTITUTE(input_affiliations," ","")&amp;",")))=COUNTA(TEXTSPLIT(O227,",")))),IF(Q227="",TRUE,IF(input_affiliations="",TRUE,SUMPRODUCT(--ISNUMBER(SEARCH(","&amp;TRIM(TEXTSPLIT(Q227,","))&amp;",",","&amp;SUBSTITUTE(input_affiliations," ","")&amp;",")))=0)),IF(S227="",TRUE,IF(input_affiliations="",FALSE,SUMPRODUCT(--ISNUMBER(SEARCH(","&amp;TRIM(TEXTSPLIT(S227,","))&amp;",",","&amp;SUBSTITUTE(input_affiliations," ","")&amp;",")))&gt;0)),IF(U227="",TRUE,IF(input_affiliations="",FALSE,SUMPRODUCT(--ISNUMBER(SEARCH(","&amp;TRIM(TEXTSPLIT(U227,","))&amp;",",","&amp;SUBSTITUTE(input_affiliations," ","")&amp;",")))=COUNTA(TEXTSPLIT(U227,",")))))</f>
        <v/>
      </c>
      <c r="IU227">
        <f>AND(IF(W227="",TRUE,IF(input_announcement_category="",FALSE,SUMPRODUCT(--ISNUMBER(SEARCH(","&amp;TRIM(TEXTSPLIT(W227,","))&amp;",",","&amp;SUBSTITUTE(input_announcement_category," ","")&amp;",")))&gt;0)),IF(Y227="",TRUE,IF(input_announcement_category="",FALSE,SUMPRODUCT(--ISNUMBER(SEARCH(","&amp;TRIM(TEXTSPLIT(Y227,","))&amp;",",","&amp;SUBSTITUTE(input_announcement_category," ","")&amp;",")))=COUNTA(TEXTSPLIT(Y227,",")))),IF(AA227="",TRUE,IF(input_announcement_category="",TRUE,SUMPRODUCT(--ISNUMBER(SEARCH(","&amp;TRIM(TEXTSPLIT(AA227,","))&amp;",",","&amp;SUBSTITUTE(input_announcement_category," ","")&amp;",")))=0)),IF(AC227="",TRUE,IF(input_announcement_category="",FALSE,SUMPRODUCT(--ISNUMBER(SEARCH(","&amp;TRIM(TEXTSPLIT(AC227,","))&amp;",",","&amp;SUBSTITUTE(input_announcement_category," ","")&amp;",")))&gt;0)),IF(AE227="",TRUE,IF(input_announcement_category="",FALSE,SUMPRODUCT(--ISNUMBER(SEARCH(","&amp;TRIM(TEXTSPLIT(AE227,","))&amp;",",","&amp;SUBSTITUTE(input_announcement_category," ","")&amp;",")))=COUNTA(TEXTSPLIT(AE227,",")))))</f>
        <v/>
      </c>
      <c r="IV227">
        <f>AND(IF(AG227="",TRUE,IF(input_area_of_focus="",FALSE,SUMPRODUCT(--ISNUMBER(SEARCH(","&amp;TRIM(TEXTSPLIT(AG227,","))&amp;",",","&amp;SUBSTITUTE(input_area_of_focus," ","")&amp;",")))&gt;0)),IF(AI227="",TRUE,IF(input_area_of_focus="",FALSE,SUMPRODUCT(--ISNUMBER(SEARCH(","&amp;TRIM(TEXTSPLIT(AI227,","))&amp;",",","&amp;SUBSTITUTE(input_area_of_focus," ","")&amp;",")))=COUNTA(TEXTSPLIT(AI227,",")))),IF(AK227="",TRUE,IF(input_area_of_focus="",TRUE,SUMPRODUCT(--ISNUMBER(SEARCH(","&amp;TRIM(TEXTSPLIT(AK227,","))&amp;",",","&amp;SUBSTITUTE(input_area_of_focus," ","")&amp;",")))=0)),IF(AM227="",TRUE,IF(input_area_of_focus="",FALSE,SUMPRODUCT(--ISNUMBER(SEARCH(","&amp;TRIM(TEXTSPLIT(AM227,","))&amp;",",","&amp;SUBSTITUTE(input_area_of_focus," ","")&amp;",")))&gt;0)),IF(AO227="",TRUE,IF(input_area_of_focus="",FALSE,SUMPRODUCT(--ISNUMBER(SEARCH(","&amp;TRIM(TEXTSPLIT(AO227,","))&amp;",",","&amp;SUBSTITUTE(input_area_of_focus," ","")&amp;",")))=COUNTA(TEXTSPLIT(AO227,",")))))</f>
        <v/>
      </c>
      <c r="IW227">
        <f>AND(IF(AQ227="",TRUE,IF(input_audience="",FALSE,SUMPRODUCT(--ISNUMBER(SEARCH(","&amp;TRIM(TEXTSPLIT(AQ227,","))&amp;",",","&amp;SUBSTITUTE(input_audience," ","")&amp;",")))&gt;0)),IF(AS227="",TRUE,IF(input_audience="",FALSE,SUMPRODUCT(--ISNUMBER(SEARCH(","&amp;TRIM(TEXTSPLIT(AS227,","))&amp;",",","&amp;SUBSTITUTE(input_audience," ","")&amp;",")))=COUNTA(TEXTSPLIT(AS227,",")))),IF(AU227="",TRUE,IF(input_audience="",TRUE,SUMPRODUCT(--ISNUMBER(SEARCH(","&amp;TRIM(TEXTSPLIT(AU227,","))&amp;",",","&amp;SUBSTITUTE(input_audience," ","")&amp;",")))=0)),IF(AW227="",TRUE,IF(input_audience="",FALSE,SUMPRODUCT(--ISNUMBER(SEARCH(","&amp;TRIM(TEXTSPLIT(AW227,","))&amp;",",","&amp;SUBSTITUTE(input_audience," ","")&amp;",")))&gt;0)),IF(AY227="",TRUE,IF(input_audience="",FALSE,SUMPRODUCT(--ISNUMBER(SEARCH(","&amp;TRIM(TEXTSPLIT(AY227,","))&amp;",",","&amp;SUBSTITUTE(input_audience," ","")&amp;",")))=COUNTA(TEXTSPLIT(AY227,",")))))</f>
        <v/>
      </c>
      <c r="IX227">
        <f>AND(IF(BA227="",TRUE,IF(input_challenge_opportunities="",FALSE,SUMPRODUCT(--ISNUMBER(SEARCH(","&amp;TRIM(TEXTSPLIT(BA227,","))&amp;",",","&amp;SUBSTITUTE(input_challenge_opportunities," ","")&amp;",")))&gt;0)),IF(BC227="",TRUE,IF(input_challenge_opportunities="",FALSE,SUMPRODUCT(--ISNUMBER(SEARCH(","&amp;TRIM(TEXTSPLIT(BC227,","))&amp;",",","&amp;SUBSTITUTE(input_challenge_opportunities," ","")&amp;",")))=COUNTA(TEXTSPLIT(BC227,",")))),IF(BE227="",TRUE,IF(input_challenge_opportunities="",TRUE,SUMPRODUCT(--ISNUMBER(SEARCH(","&amp;TRIM(TEXTSPLIT(BE227,","))&amp;",",","&amp;SUBSTITUTE(input_challenge_opportunities," ","")&amp;",")))=0)),IF(BG227="",TRUE,IF(input_challenge_opportunities="",FALSE,SUMPRODUCT(--ISNUMBER(SEARCH(","&amp;TRIM(TEXTSPLIT(BG227,","))&amp;",",","&amp;SUBSTITUTE(input_challenge_opportunities," ","")&amp;",")))&gt;0)),IF(BI227="",TRUE,IF(input_challenge_opportunities="",FALSE,SUMPRODUCT(--ISNUMBER(SEARCH(","&amp;TRIM(TEXTSPLIT(BI227,","))&amp;",",","&amp;SUBSTITUTE(input_challenge_opportunities," ","")&amp;",")))=COUNTA(TEXTSPLIT(BI227,",")))))</f>
        <v/>
      </c>
      <c r="IY227">
        <f>AND(IF(BK227="",TRUE,IF(input_context="",FALSE,SUMPRODUCT(--ISNUMBER(SEARCH(","&amp;TRIM(TEXTSPLIT(BK227,","))&amp;",",","&amp;SUBSTITUTE(input_context," ","")&amp;",")))&gt;0)),IF(BM227="",TRUE,IF(input_context="",FALSE,SUMPRODUCT(--ISNUMBER(SEARCH(","&amp;TRIM(TEXTSPLIT(BM227,","))&amp;",",","&amp;SUBSTITUTE(input_context," ","")&amp;",")))=COUNTA(TEXTSPLIT(BM227,",")))),IF(BO227="",TRUE,IF(input_context="",TRUE,SUMPRODUCT(--ISNUMBER(SEARCH(","&amp;TRIM(TEXTSPLIT(BO227,","))&amp;",",","&amp;SUBSTITUTE(input_context," ","")&amp;",")))=0)),IF(BQ227="",TRUE,IF(input_context="",FALSE,SUMPRODUCT(--ISNUMBER(SEARCH(","&amp;TRIM(TEXTSPLIT(BQ227,","))&amp;",",","&amp;SUBSTITUTE(input_context," ","")&amp;",")))&gt;0)),IF(BS227="",TRUE,IF(input_context="",FALSE,SUMPRODUCT(--ISNUMBER(SEARCH(","&amp;TRIM(TEXTSPLIT(BS227,","))&amp;",",","&amp;SUBSTITUTE(input_context," ","")&amp;",")))=COUNTA(TEXTSPLIT(BS227,",")))))</f>
        <v/>
      </c>
      <c r="IZ227">
        <f>AND(IF(BU227="",TRUE,IF(input_enews_announcement_type="",FALSE,SUMPRODUCT(--ISNUMBER(SEARCH(","&amp;TRIM(TEXTSPLIT(BU227,","))&amp;",",","&amp;SUBSTITUTE(input_enews_announcement_type," ","")&amp;",")))&gt;0)),IF(BW227="",TRUE,IF(input_enews_announcement_type="",FALSE,SUMPRODUCT(--ISNUMBER(SEARCH(","&amp;TRIM(TEXTSPLIT(BW227,","))&amp;",",","&amp;SUBSTITUTE(input_enews_announcement_type," ","")&amp;",")))=COUNTA(TEXTSPLIT(BW227,",")))),IF(BY227="",TRUE,IF(input_enews_announcement_type="",TRUE,SUMPRODUCT(--ISNUMBER(SEARCH(","&amp;TRIM(TEXTSPLIT(BY227,","))&amp;",",","&amp;SUBSTITUTE(input_enews_announcement_type," ","")&amp;",")))=0)),IF(CA227="",TRUE,IF(input_enews_announcement_type="",FALSE,SUMPRODUCT(--ISNUMBER(SEARCH(","&amp;TRIM(TEXTSPLIT(CA227,","))&amp;",",","&amp;SUBSTITUTE(input_enews_announcement_type," ","")&amp;",")))&gt;0)),IF(CC227="",TRUE,IF(input_enews_announcement_type="",FALSE,SUMPRODUCT(--ISNUMBER(SEARCH(","&amp;TRIM(TEXTSPLIT(CC227,","))&amp;",",","&amp;SUBSTITUTE(input_enews_announcement_type," ","")&amp;",")))=COUNTA(TEXTSPLIT(CC227,",")))))</f>
        <v/>
      </c>
      <c r="JA227">
        <f>AND(IF(CE227="",TRUE,IF(input_enews_audience="",FALSE,SUMPRODUCT(--ISNUMBER(SEARCH(","&amp;TRIM(TEXTSPLIT(CE227,","))&amp;",",","&amp;SUBSTITUTE(input_enews_audience," ","")&amp;",")))&gt;0)),IF(CG227="",TRUE,IF(input_enews_audience="",FALSE,SUMPRODUCT(--ISNUMBER(SEARCH(","&amp;TRIM(TEXTSPLIT(CG227,","))&amp;",",","&amp;SUBSTITUTE(input_enews_audience," ","")&amp;",")))=COUNTA(TEXTSPLIT(CG227,",")))),IF(CI227="",TRUE,IF(input_enews_audience="",TRUE,SUMPRODUCT(--ISNUMBER(SEARCH(","&amp;TRIM(TEXTSPLIT(CI227,","))&amp;",",","&amp;SUBSTITUTE(input_enews_audience," ","")&amp;",")))=0)),IF(CK227="",TRUE,IF(input_enews_audience="",FALSE,SUMPRODUCT(--ISNUMBER(SEARCH(","&amp;TRIM(TEXTSPLIT(CK227,","))&amp;",",","&amp;SUBSTITUTE(input_enews_audience," ","")&amp;",")))&gt;0)),IF(CM227="",TRUE,IF(input_enews_audience="",FALSE,SUMPRODUCT(--ISNUMBER(SEARCH(","&amp;TRIM(TEXTSPLIT(CM227,","))&amp;",",","&amp;SUBSTITUTE(input_enews_audience," ","")&amp;",")))=COUNTA(TEXTSPLIT(CM227,",")))))</f>
        <v/>
      </c>
      <c r="JB227">
        <f>AND(IF(CO227="",TRUE,IF(input_event_location="",FALSE,SUMPRODUCT(--ISNUMBER(SEARCH(","&amp;TRIM(TEXTSPLIT(CO227,","))&amp;",",","&amp;SUBSTITUTE(input_event_location," ","")&amp;",")))&gt;0)),IF(CQ227="",TRUE,IF(input_event_location="",FALSE,SUMPRODUCT(--ISNUMBER(SEARCH(","&amp;TRIM(TEXTSPLIT(CQ227,","))&amp;",",","&amp;SUBSTITUTE(input_event_location," ","")&amp;",")))=COUNTA(TEXTSPLIT(CQ227,",")))),IF(CS227="",TRUE,IF(input_event_location="",TRUE,SUMPRODUCT(--ISNUMBER(SEARCH(","&amp;TRIM(TEXTSPLIT(CS227,","))&amp;",",","&amp;SUBSTITUTE(input_event_location," ","")&amp;",")))=0)),IF(CU227="",TRUE,IF(input_event_location="",FALSE,SUMPRODUCT(--ISNUMBER(SEARCH(","&amp;TRIM(TEXTSPLIT(CU227,","))&amp;",",","&amp;SUBSTITUTE(input_event_location," ","")&amp;",")))&gt;0)),IF(CW227="",TRUE,IF(input_event_location="",FALSE,SUMPRODUCT(--ISNUMBER(SEARCH(","&amp;TRIM(TEXTSPLIT(CW227,","))&amp;",",","&amp;SUBSTITUTE(input_event_location," ","")&amp;",")))=COUNTA(TEXTSPLIT(CW227,",")))))</f>
        <v/>
      </c>
      <c r="JC227">
        <f>AND(IF(CY227="",TRUE,IF(input_event_type="",FALSE,SUMPRODUCT(--ISNUMBER(SEARCH(","&amp;TRIM(TEXTSPLIT(CY227,","))&amp;",",","&amp;SUBSTITUTE(input_event_type," ","")&amp;",")))&gt;0)),IF(DA227="",TRUE,IF(input_event_type="",FALSE,SUMPRODUCT(--ISNUMBER(SEARCH(","&amp;TRIM(TEXTSPLIT(DA227,","))&amp;",",","&amp;SUBSTITUTE(input_event_type," ","")&amp;",")))=COUNTA(TEXTSPLIT(DA227,",")))),IF(DC227="",TRUE,IF(input_event_type="",TRUE,SUMPRODUCT(--ISNUMBER(SEARCH(","&amp;TRIM(TEXTSPLIT(DC227,","))&amp;",",","&amp;SUBSTITUTE(input_event_type," ","")&amp;",")))=0)),IF(DE227="",TRUE,IF(input_event_type="",FALSE,SUMPRODUCT(--ISNUMBER(SEARCH(","&amp;TRIM(TEXTSPLIT(DE227,","))&amp;",",","&amp;SUBSTITUTE(input_event_type," ","")&amp;",")))&gt;0)),IF(DG227="",TRUE,IF(input_event_type="",FALSE,SUMPRODUCT(--ISNUMBER(SEARCH(","&amp;TRIM(TEXTSPLIT(DG227,","))&amp;",",","&amp;SUBSTITUTE(input_event_type," ","")&amp;",")))=COUNTA(TEXTSPLIT(DG227,",")))))</f>
        <v/>
      </c>
      <c r="JD227">
        <f>AND(IF(DI227="",TRUE,IF(input_executive_education_focus="",FALSE,SUMPRODUCT(--ISNUMBER(SEARCH(","&amp;TRIM(TEXTSPLIT(DI227,","))&amp;",",","&amp;SUBSTITUTE(input_executive_education_focus," ","")&amp;",")))&gt;0)),IF(DK227="",TRUE,IF(input_executive_education_focus="",FALSE,SUMPRODUCT(--ISNUMBER(SEARCH(","&amp;TRIM(TEXTSPLIT(DK227,","))&amp;",",","&amp;SUBSTITUTE(input_executive_education_focus," ","")&amp;",")))=COUNTA(TEXTSPLIT(DK227,",")))),IF(DM227="",TRUE,IF(input_executive_education_focus="",TRUE,SUMPRODUCT(--ISNUMBER(SEARCH(","&amp;TRIM(TEXTSPLIT(DM227,","))&amp;",",","&amp;SUBSTITUTE(input_executive_education_focus," ","")&amp;",")))=0)),IF(DO227="",TRUE,IF(input_executive_education_focus="",FALSE,SUMPRODUCT(--ISNUMBER(SEARCH(","&amp;TRIM(TEXTSPLIT(DO227,","))&amp;",",","&amp;SUBSTITUTE(input_executive_education_focus," ","")&amp;",")))&gt;0)),IF(DQ227="",TRUE,IF(input_executive_education_focus="",FALSE,SUMPRODUCT(--ISNUMBER(SEARCH(","&amp;TRIM(TEXTSPLIT(DQ227,","))&amp;",",","&amp;SUBSTITUTE(input_executive_education_focus," ","")&amp;",")))=COUNTA(TEXTSPLIT(DQ227,",")))))</f>
        <v/>
      </c>
      <c r="JE227">
        <f>AND(IF(DS227="",TRUE,IF(input_faculty_category="",FALSE,SUMPRODUCT(--ISNUMBER(SEARCH(","&amp;TRIM(TEXTSPLIT(DS227,","))&amp;",",","&amp;SUBSTITUTE(input_faculty_category," ","")&amp;",")))&gt;0)),IF(DU227="",TRUE,IF(input_faculty_category="",FALSE,SUMPRODUCT(--ISNUMBER(SEARCH(","&amp;TRIM(TEXTSPLIT(DU227,","))&amp;",",","&amp;SUBSTITUTE(input_faculty_category," ","")&amp;",")))=COUNTA(TEXTSPLIT(DU227,",")))),IF(DW227="",TRUE,IF(input_faculty_category="",TRUE,SUMPRODUCT(--ISNUMBER(SEARCH(","&amp;TRIM(TEXTSPLIT(DW227,","))&amp;",",","&amp;SUBSTITUTE(input_faculty_category," ","")&amp;",")))=0)),IF(DY227="",TRUE,IF(input_faculty_category="",FALSE,SUMPRODUCT(--ISNUMBER(SEARCH(","&amp;TRIM(TEXTSPLIT(DY227,","))&amp;",",","&amp;SUBSTITUTE(input_faculty_category," ","")&amp;",")))&gt;0)),IF(EA227="",TRUE,IF(input_faculty_category="",FALSE,SUMPRODUCT(--ISNUMBER(SEARCH(","&amp;TRIM(TEXTSPLIT(EA227,","))&amp;",",","&amp;SUBSTITUTE(input_faculty_category," ","")&amp;",")))=COUNTA(TEXTSPLIT(EA227,",")))))</f>
        <v/>
      </c>
      <c r="JF227">
        <f>AND(IF(EC227="",TRUE,IF(input_faculty_discipline="",FALSE,SUMPRODUCT(--ISNUMBER(SEARCH(","&amp;TRIM(TEXTSPLIT(EC227,","))&amp;",",","&amp;SUBSTITUTE(input_faculty_discipline," ","")&amp;",")))&gt;0)),IF(EE227="",TRUE,IF(input_faculty_discipline="",FALSE,SUMPRODUCT(--ISNUMBER(SEARCH(","&amp;TRIM(TEXTSPLIT(EE227,","))&amp;",",","&amp;SUBSTITUTE(input_faculty_discipline," ","")&amp;",")))=COUNTA(TEXTSPLIT(EE227,",")))),IF(EG227="",TRUE,IF(input_faculty_discipline="",TRUE,SUMPRODUCT(--ISNUMBER(SEARCH(","&amp;TRIM(TEXTSPLIT(EG227,","))&amp;",",","&amp;SUBSTITUTE(input_faculty_discipline," ","")&amp;",")))=0)),IF(EI227="",TRUE,IF(input_faculty_discipline="",FALSE,SUMPRODUCT(--ISNUMBER(SEARCH(","&amp;TRIM(TEXTSPLIT(EI227,","))&amp;",",","&amp;SUBSTITUTE(input_faculty_discipline," ","")&amp;",")))&gt;0)),IF(EK227="",TRUE,IF(input_faculty_discipline="",FALSE,SUMPRODUCT(--ISNUMBER(SEARCH(","&amp;TRIM(TEXTSPLIT(EK227,","))&amp;",",","&amp;SUBSTITUTE(input_faculty_discipline," ","")&amp;",")))=COUNTA(TEXTSPLIT(EK227,",")))))</f>
        <v/>
      </c>
      <c r="JG227">
        <f>AND(IF(EM227="",TRUE,IF(input_faculty_expertise="",FALSE,SUMPRODUCT(--ISNUMBER(SEARCH(","&amp;TRIM(TEXTSPLIT(EM227,","))&amp;",",","&amp;SUBSTITUTE(input_faculty_expertise," ","")&amp;",")))&gt;0)),IF(EO227="",TRUE,IF(input_faculty_expertise="",FALSE,SUMPRODUCT(--ISNUMBER(SEARCH(","&amp;TRIM(TEXTSPLIT(EO227,","))&amp;",",","&amp;SUBSTITUTE(input_faculty_expertise," ","")&amp;",")))=COUNTA(TEXTSPLIT(EO227,",")))),IF(EQ227="",TRUE,IF(input_faculty_expertise="",TRUE,SUMPRODUCT(--ISNUMBER(SEARCH(","&amp;TRIM(TEXTSPLIT(EQ227,","))&amp;",",","&amp;SUBSTITUTE(input_faculty_expertise," ","")&amp;",")))=0)),IF(ES227="",TRUE,IF(input_faculty_expertise="",FALSE,SUMPRODUCT(--ISNUMBER(SEARCH(","&amp;TRIM(TEXTSPLIT(ES227,","))&amp;",",","&amp;SUBSTITUTE(input_faculty_expertise," ","")&amp;",")))&gt;0)),IF(EU227="",TRUE,IF(input_faculty_expertise="",FALSE,SUMPRODUCT(--ISNUMBER(SEARCH(","&amp;TRIM(TEXTSPLIT(EU227,","))&amp;",",","&amp;SUBSTITUTE(input_faculty_expertise," ","")&amp;",")))=COUNTA(TEXTSPLIT(EU227,",")))))</f>
        <v/>
      </c>
      <c r="JH227">
        <f>AND(IF(EW227="",TRUE,IF(input_global_network_school="",FALSE,SUMPRODUCT(--ISNUMBER(SEARCH(","&amp;TRIM(TEXTSPLIT(EW227,","))&amp;",",","&amp;SUBSTITUTE(input_global_network_school," ","")&amp;",")))&gt;0)),IF(EY227="",TRUE,IF(input_global_network_school="",FALSE,SUMPRODUCT(--ISNUMBER(SEARCH(","&amp;TRIM(TEXTSPLIT(EY227,","))&amp;",",","&amp;SUBSTITUTE(input_global_network_school," ","")&amp;",")))=COUNTA(TEXTSPLIT(EY227,",")))),IF(FA227="",TRUE,IF(input_global_network_school="",TRUE,SUMPRODUCT(--ISNUMBER(SEARCH(","&amp;TRIM(TEXTSPLIT(FA227,","))&amp;",",","&amp;SUBSTITUTE(input_global_network_school," ","")&amp;",")))=0)),IF(FC227="",TRUE,IF(input_global_network_school="",FALSE,SUMPRODUCT(--ISNUMBER(SEARCH(","&amp;TRIM(TEXTSPLIT(FC227,","))&amp;",",","&amp;SUBSTITUTE(input_global_network_school," ","")&amp;",")))&gt;0)),IF(FE227="",TRUE,IF(input_global_network_school="",FALSE,SUMPRODUCT(--ISNUMBER(SEARCH(","&amp;TRIM(TEXTSPLIT(FE227,","))&amp;",",","&amp;SUBSTITUTE(input_global_network_school," ","")&amp;",")))=COUNTA(TEXTSPLIT(FE227,",")))))</f>
        <v/>
      </c>
      <c r="JI227">
        <f>AND(IF(FG227="",TRUE,IF(input_industry="",FALSE,SUMPRODUCT(--ISNUMBER(SEARCH(","&amp;TRIM(TEXTSPLIT(FG227,","))&amp;",",","&amp;SUBSTITUTE(input_industry," ","")&amp;",")))&gt;0)),IF(FI227="",TRUE,IF(input_industry="",FALSE,SUMPRODUCT(--ISNUMBER(SEARCH(","&amp;TRIM(TEXTSPLIT(FI227,","))&amp;",",","&amp;SUBSTITUTE(input_industry," ","")&amp;",")))=COUNTA(TEXTSPLIT(FI227,",")))),IF(FK227="",TRUE,IF(input_industry="",TRUE,SUMPRODUCT(--ISNUMBER(SEARCH(","&amp;TRIM(TEXTSPLIT(FK227,","))&amp;",",","&amp;SUBSTITUTE(input_industry," ","")&amp;",")))=0)),IF(FM227="",TRUE,IF(input_industry="",FALSE,SUMPRODUCT(--ISNUMBER(SEARCH(","&amp;TRIM(TEXTSPLIT(FM227,","))&amp;",",","&amp;SUBSTITUTE(input_industry," ","")&amp;",")))&gt;0)),IF(FO227="",TRUE,IF(input_industry="",FALSE,SUMPRODUCT(--ISNUMBER(SEARCH(","&amp;TRIM(TEXTSPLIT(FO227,","))&amp;",",","&amp;SUBSTITUTE(input_industry," ","")&amp;",")))=COUNTA(TEXTSPLIT(FO227,",")))))</f>
        <v/>
      </c>
      <c r="JJ227">
        <f>AND(IF(FQ227="",TRUE,IF(input_location="",FALSE,SUMPRODUCT(--ISNUMBER(SEARCH(","&amp;TRIM(TEXTSPLIT(FQ227,","))&amp;",",","&amp;SUBSTITUTE(input_location," ","")&amp;",")))&gt;0)),IF(FS227="",TRUE,IF(input_location="",FALSE,SUMPRODUCT(--ISNUMBER(SEARCH(","&amp;TRIM(TEXTSPLIT(FS227,","))&amp;",",","&amp;SUBSTITUTE(input_location," ","")&amp;",")))=COUNTA(TEXTSPLIT(FS227,",")))),IF(FU227="",TRUE,IF(input_location="",TRUE,SUMPRODUCT(--ISNUMBER(SEARCH(","&amp;TRIM(TEXTSPLIT(FU227,","))&amp;",",","&amp;SUBSTITUTE(input_location," ","")&amp;",")))=0)),IF(FW227="",TRUE,IF(input_location="",FALSE,SUMPRODUCT(--ISNUMBER(SEARCH(","&amp;TRIM(TEXTSPLIT(FW227,","))&amp;",",","&amp;SUBSTITUTE(input_location," ","")&amp;",")))&gt;0)),IF(FY227="",TRUE,IF(input_location="",FALSE,SUMPRODUCT(--ISNUMBER(SEARCH(","&amp;TRIM(TEXTSPLIT(FY227,","))&amp;",",","&amp;SUBSTITUTE(input_location," ","")&amp;",")))=COUNTA(TEXTSPLIT(FY227,",")))))</f>
        <v/>
      </c>
      <c r="JK227">
        <f>AND(IF(GA227="",TRUE,IF(input_modality="",FALSE,SUMPRODUCT(--ISNUMBER(SEARCH(","&amp;TRIM(TEXTSPLIT(GA227,","))&amp;",",","&amp;SUBSTITUTE(input_modality," ","")&amp;",")))&gt;0)),IF(GC227="",TRUE,IF(input_modality="",FALSE,SUMPRODUCT(--ISNUMBER(SEARCH(","&amp;TRIM(TEXTSPLIT(GC227,","))&amp;",",","&amp;SUBSTITUTE(input_modality," ","")&amp;",")))=COUNTA(TEXTSPLIT(GC227,",")))),IF(GE227="",TRUE,IF(input_modality="",TRUE,SUMPRODUCT(--ISNUMBER(SEARCH(","&amp;TRIM(TEXTSPLIT(GE227,","))&amp;",",","&amp;SUBSTITUTE(input_modality," ","")&amp;",")))=0)),IF(GG227="",TRUE,IF(input_modality="",FALSE,SUMPRODUCT(--ISNUMBER(SEARCH(","&amp;TRIM(TEXTSPLIT(GG227,","))&amp;",",","&amp;SUBSTITUTE(input_modality," ","")&amp;",")))&gt;0)),IF(GI227="",TRUE,IF(input_modality="",FALSE,SUMPRODUCT(--ISNUMBER(SEARCH(","&amp;TRIM(TEXTSPLIT(GI227,","))&amp;",",","&amp;SUBSTITUTE(input_modality," ","")&amp;",")))=COUNTA(TEXTSPLIT(GI227,",")))))</f>
        <v/>
      </c>
      <c r="JL227">
        <f>AND(IF(GK227="",TRUE,IF(input_organizer="",FALSE,SUMPRODUCT(--ISNUMBER(SEARCH(","&amp;TRIM(TEXTSPLIT(GK227,","))&amp;",",","&amp;SUBSTITUTE(input_organizer," ","")&amp;",")))&gt;0)),IF(GM227="",TRUE,IF(input_organizer="",FALSE,SUMPRODUCT(--ISNUMBER(SEARCH(","&amp;TRIM(TEXTSPLIT(GM227,","))&amp;",",","&amp;SUBSTITUTE(input_organizer," ","")&amp;",")))=COUNTA(TEXTSPLIT(GM227,",")))),IF(GO227="",TRUE,IF(input_organizer="",TRUE,SUMPRODUCT(--ISNUMBER(SEARCH(","&amp;TRIM(TEXTSPLIT(GO227,","))&amp;",",","&amp;SUBSTITUTE(input_organizer," ","")&amp;",")))=0)),IF(GQ227="",TRUE,IF(input_organizer="",FALSE,SUMPRODUCT(--ISNUMBER(SEARCH(","&amp;TRIM(TEXTSPLIT(GQ227,","))&amp;",",","&amp;SUBSTITUTE(input_organizer," ","")&amp;",")))&gt;0)),IF(GS227="",TRUE,IF(input_organizer="",FALSE,SUMPRODUCT(--ISNUMBER(SEARCH(","&amp;TRIM(TEXTSPLIT(GS227,","))&amp;",",","&amp;SUBSTITUTE(input_organizer," ","")&amp;",")))=COUNTA(TEXTSPLIT(GS227,",")))))</f>
        <v/>
      </c>
      <c r="JM227">
        <f>AND(IF(GU227="",TRUE,IF(input_profile_type="",FALSE,SUMPRODUCT(--ISNUMBER(SEARCH(","&amp;TRIM(TEXTSPLIT(GU227,","))&amp;",",","&amp;SUBSTITUTE(input_profile_type," ","")&amp;",")))&gt;0)),IF(GW227="",TRUE,IF(input_profile_type="",FALSE,SUMPRODUCT(--ISNUMBER(SEARCH(","&amp;TRIM(TEXTSPLIT(GW227,","))&amp;",",","&amp;SUBSTITUTE(input_profile_type," ","")&amp;",")))=COUNTA(TEXTSPLIT(GW227,",")))),IF(GY227="",TRUE,IF(input_profile_type="",TRUE,SUMPRODUCT(--ISNUMBER(SEARCH(","&amp;TRIM(TEXTSPLIT(GY227,","))&amp;",",","&amp;SUBSTITUTE(input_profile_type," ","")&amp;",")))=0)),IF(HA227="",TRUE,IF(input_profile_type="",FALSE,SUMPRODUCT(--ISNUMBER(SEARCH(","&amp;TRIM(TEXTSPLIT(HA227,","))&amp;",",","&amp;SUBSTITUTE(input_profile_type," ","")&amp;",")))&gt;0)),IF(HC227="",TRUE,IF(input_profile_type="",FALSE,SUMPRODUCT(--ISNUMBER(SEARCH(","&amp;TRIM(TEXTSPLIT(HC227,","))&amp;",",","&amp;SUBSTITUTE(input_profile_type," ","")&amp;",")))=COUNTA(TEXTSPLIT(HC227,",")))))</f>
        <v/>
      </c>
      <c r="JN227">
        <f>AND(IF(HE227="",TRUE,IF(input_program="",FALSE,SUMPRODUCT(--ISNUMBER(SEARCH(","&amp;TRIM(TEXTSPLIT(HE227,","))&amp;",",","&amp;SUBSTITUTE(input_program," ","")&amp;",")))&gt;0)),IF(HG227="",TRUE,IF(input_program="",FALSE,SUMPRODUCT(--ISNUMBER(SEARCH(","&amp;TRIM(TEXTSPLIT(HG227,","))&amp;",",","&amp;SUBSTITUTE(input_program," ","")&amp;",")))=COUNTA(TEXTSPLIT(HG227,",")))),IF(HI227="",TRUE,IF(input_program="",TRUE,SUMPRODUCT(--ISNUMBER(SEARCH(","&amp;TRIM(TEXTSPLIT(HI227,","))&amp;",",","&amp;SUBSTITUTE(input_program," ","")&amp;",")))=0)),IF(HK227="",TRUE,IF(input_program="",FALSE,SUMPRODUCT(--ISNUMBER(SEARCH(","&amp;TRIM(TEXTSPLIT(HK227,","))&amp;",",","&amp;SUBSTITUTE(input_program," ","")&amp;",")))&gt;0)),IF(HM227="",TRUE,IF(input_program="",FALSE,SUMPRODUCT(--ISNUMBER(SEARCH(","&amp;TRIM(TEXTSPLIT(HM227,","))&amp;",",","&amp;SUBSTITUTE(input_program," ","")&amp;",")))=COUNTA(TEXTSPLIT(HM227,",")))))</f>
        <v/>
      </c>
      <c r="JO227">
        <f>AND(IF(HO227="",TRUE,IF(input_story_categories="",FALSE,SUMPRODUCT(--ISNUMBER(SEARCH(","&amp;TRIM(TEXTSPLIT(HO227,","))&amp;",",","&amp;SUBSTITUTE(input_story_categories," ","")&amp;",")))&gt;0)),IF(HQ227="",TRUE,IF(input_story_categories="",FALSE,SUMPRODUCT(--ISNUMBER(SEARCH(","&amp;TRIM(TEXTSPLIT(HQ227,","))&amp;",",","&amp;SUBSTITUTE(input_story_categories," ","")&amp;",")))=COUNTA(TEXTSPLIT(HQ227,",")))),IF(HS227="",TRUE,IF(input_story_categories="",TRUE,SUMPRODUCT(--ISNUMBER(SEARCH(","&amp;TRIM(TEXTSPLIT(HS227,","))&amp;",",","&amp;SUBSTITUTE(input_story_categories," ","")&amp;",")))=0)),IF(HU227="",TRUE,IF(input_story_categories="",FALSE,SUMPRODUCT(--ISNUMBER(SEARCH(","&amp;TRIM(TEXTSPLIT(HU227,","))&amp;",",","&amp;SUBSTITUTE(input_story_categories," ","")&amp;",")))&gt;0)),IF(HW227="",TRUE,IF(input_story_categories="",FALSE,SUMPRODUCT(--ISNUMBER(SEARCH(","&amp;TRIM(TEXTSPLIT(HW227,","))&amp;",",","&amp;SUBSTITUTE(input_story_categories," ","")&amp;",")))=COUNTA(TEXTSPLIT(HW227,",")))))</f>
        <v/>
      </c>
      <c r="JP227">
        <f>AND(IF(HY227="",TRUE,IF(input_story_type="",FALSE,SUMPRODUCT(--ISNUMBER(SEARCH(","&amp;TRIM(TEXTSPLIT(HY227,","))&amp;",",","&amp;SUBSTITUTE(input_story_type," ","")&amp;",")))&gt;0)),IF(IA227="",TRUE,IF(input_story_type="",FALSE,SUMPRODUCT(--ISNUMBER(SEARCH(","&amp;TRIM(TEXTSPLIT(IA227,","))&amp;",",","&amp;SUBSTITUTE(input_story_type," ","")&amp;",")))=COUNTA(TEXTSPLIT(IA227,",")))),IF(IC227="",TRUE,IF(input_story_type="",TRUE,SUMPRODUCT(--ISNUMBER(SEARCH(","&amp;TRIM(TEXTSPLIT(IC227,","))&amp;",",","&amp;SUBSTITUTE(input_story_type," ","")&amp;",")))=0)),IF(IE227="",TRUE,IF(input_story_type="",FALSE,SUMPRODUCT(--ISNUMBER(SEARCH(","&amp;TRIM(TEXTSPLIT(IE227,","))&amp;",",","&amp;SUBSTITUTE(input_story_type," ","")&amp;",")))&gt;0)),IF(IG227="",TRUE,IF(input_story_type="",FALSE,SUMPRODUCT(--ISNUMBER(SEARCH(","&amp;TRIM(TEXTSPLIT(IG227,","))&amp;",",","&amp;SUBSTITUTE(input_story_type," ","")&amp;",")))=COUNTA(TEXTSPLIT(IG227,",")))))</f>
        <v/>
      </c>
      <c r="JQ227">
        <f>AND(IF(II227="",TRUE,IF(input_topics="",FALSE,SUMPRODUCT(--ISNUMBER(SEARCH(","&amp;TRIM(TEXTSPLIT(II227,","))&amp;",",","&amp;SUBSTITUTE(input_topics," ","")&amp;",")))&gt;0)),IF(IK227="",TRUE,IF(input_topics="",FALSE,SUMPRODUCT(--ISNUMBER(SEARCH(","&amp;TRIM(TEXTSPLIT(IK227,","))&amp;",",","&amp;SUBSTITUTE(input_topics," ","")&amp;",")))=COUNTA(TEXTSPLIT(IK227,",")))),IF(IM227="",TRUE,IF(input_topics="",TRUE,SUMPRODUCT(--ISNUMBER(SEARCH(","&amp;TRIM(TEXTSPLIT(IM227,","))&amp;",",","&amp;SUBSTITUTE(input_topics," ","")&amp;",")))=0)),IF(IO227="",TRUE,IF(input_topics="",FALSE,SUMPRODUCT(--ISNUMBER(SEARCH(","&amp;TRIM(TEXTSPLIT(IO227,","))&amp;",",","&amp;SUBSTITUTE(input_topics," ","")&amp;",")))&gt;0)),IF(IQ227="",TRUE,IF(input_topics="",FALSE,SUMPRODUCT(--ISNUMBER(SEARCH(","&amp;TRIM(TEXTSPLIT(IQ227,","))&amp;",",","&amp;SUBSTITUTE(input_topics," ","")&amp;",")))=COUNTA(TEXTSPLIT(IQ227,",")))))</f>
        <v/>
      </c>
    </row>
    <row r="228">
      <c r="A228" s="4">
        <f>IF(NOT(IS228),"Excluded",IF(AND(IT228,IU228,IV228,IW228,IX228,IY228,IZ228,JA228,JB228,JC228,JD228,JE228,JF228,JG228,JH228,JI228,JJ228,JK228,JL228,JM228,JN228,JO228,JP228,JQ228),IF(I228&gt;0,"Eligible but limited","Will appear"),"Excluded"))</f>
        <v/>
      </c>
      <c r="B228" s="4" t="inlineStr">
        <is>
          <t>Student and Alumni Profiles</t>
        </is>
      </c>
      <c r="C228" s="4" t="inlineStr">
        <is>
          <t>/programs/mba/student-experience/student-and-alumni-profiles</t>
        </is>
      </c>
      <c r="D228" s="4" t="inlineStr">
        <is>
          <t>/programs/mba/student-experience/student-and-alumni-profiles</t>
        </is>
      </c>
      <c r="E228" s="4" t="n">
        <v>1</v>
      </c>
      <c r="F228" s="4" t="inlineStr">
        <is>
          <t>profile</t>
        </is>
      </c>
      <c r="G228" s="4" t="inlineStr">
        <is>
          <t>profiles_grid</t>
        </is>
      </c>
      <c r="H228" s="4" t="inlineStr">
        <is>
          <t>embed_5</t>
        </is>
      </c>
      <c r="I228" s="4" t="n">
        <v>9</v>
      </c>
      <c r="J228" s="4" t="inlineStr">
        <is>
          <t>Explicit args</t>
        </is>
      </c>
      <c r="K228" s="4" t="inlineStr">
        <is>
          <t>Page placement</t>
        </is>
      </c>
      <c r="L228" s="4" t="inlineStr">
        <is>
          <t>Content type: profile; Context uses Courses Context: MBA (92), MBA (4); Excludes Profile Type: Ambassador (1552); Limited to 9 item(s); Source: Explicit args</t>
        </is>
      </c>
      <c r="M228" t="inlineStr"/>
      <c r="N228" t="inlineStr"/>
      <c r="O228" t="inlineStr"/>
      <c r="P228" t="inlineStr"/>
      <c r="Q228" t="inlineStr"/>
      <c r="R228" t="inlineStr"/>
      <c r="S228" t="inlineStr"/>
      <c r="T228" t="inlineStr"/>
      <c r="U228" t="inlineStr"/>
      <c r="V228" t="inlineStr"/>
      <c r="W228" t="inlineStr"/>
      <c r="X228" t="inlineStr"/>
      <c r="Y228" t="inlineStr"/>
      <c r="Z228" t="inlineStr"/>
      <c r="AA228" t="inlineStr"/>
      <c r="AB228" t="inlineStr"/>
      <c r="AC228" t="inlineStr"/>
      <c r="AD228" t="inlineStr"/>
      <c r="AE228" t="inlineStr"/>
      <c r="AF228" t="inlineStr"/>
      <c r="AG228" t="inlineStr"/>
      <c r="AH228" t="inlineStr"/>
      <c r="AI228" t="inlineStr"/>
      <c r="AJ228" t="inlineStr"/>
      <c r="AK228" t="inlineStr"/>
      <c r="AL228" t="inlineStr"/>
      <c r="AM228" t="inlineStr"/>
      <c r="AN228" t="inlineStr"/>
      <c r="AO228" t="inlineStr"/>
      <c r="AP228" t="inlineStr"/>
      <c r="AQ228" t="inlineStr"/>
      <c r="AR228" t="inlineStr"/>
      <c r="AS228" t="inlineStr"/>
      <c r="AT228" t="inlineStr"/>
      <c r="AU228" t="inlineStr"/>
      <c r="AV228" t="inlineStr"/>
      <c r="AW228" t="inlineStr"/>
      <c r="AX228" t="inlineStr"/>
      <c r="AY228" t="inlineStr"/>
      <c r="AZ228" t="inlineStr"/>
      <c r="BA228" t="inlineStr"/>
      <c r="BB228" t="inlineStr"/>
      <c r="BC228" t="inlineStr"/>
      <c r="BD228" t="inlineStr"/>
      <c r="BE228" t="inlineStr"/>
      <c r="BF228" t="inlineStr"/>
      <c r="BG228" t="inlineStr"/>
      <c r="BH228" t="inlineStr"/>
      <c r="BI228" t="inlineStr"/>
      <c r="BJ228" t="inlineStr"/>
      <c r="BK228" t="inlineStr"/>
      <c r="BL228" t="inlineStr"/>
      <c r="BM228" t="inlineStr"/>
      <c r="BN228" t="inlineStr"/>
      <c r="BO228" t="inlineStr"/>
      <c r="BP228" t="inlineStr"/>
      <c r="BQ228" t="inlineStr">
        <is>
          <t>92, 4</t>
        </is>
      </c>
      <c r="BR228" t="inlineStr">
        <is>
          <t>MBA (92), MBA (4)</t>
        </is>
      </c>
      <c r="BS228" t="inlineStr"/>
      <c r="BT228" t="inlineStr"/>
      <c r="BU228" t="inlineStr"/>
      <c r="BV228" t="inlineStr"/>
      <c r="BW228" t="inlineStr"/>
      <c r="BX228" t="inlineStr"/>
      <c r="BY228" t="inlineStr"/>
      <c r="BZ228" t="inlineStr"/>
      <c r="CA228" t="inlineStr"/>
      <c r="CB228" t="inlineStr"/>
      <c r="CC228" t="inlineStr"/>
      <c r="CD228" t="inlineStr"/>
      <c r="CE228" t="inlineStr"/>
      <c r="CF228" t="inlineStr"/>
      <c r="CG228" t="inlineStr"/>
      <c r="CH228" t="inlineStr"/>
      <c r="CI228" t="inlineStr"/>
      <c r="CJ228" t="inlineStr"/>
      <c r="CK228" t="inlineStr"/>
      <c r="CL228" t="inlineStr"/>
      <c r="CM228" t="inlineStr"/>
      <c r="CN228" t="inlineStr"/>
      <c r="CO228" t="inlineStr"/>
      <c r="CP228" t="inlineStr"/>
      <c r="CQ228" t="inlineStr"/>
      <c r="CR228" t="inlineStr"/>
      <c r="CS228" t="inlineStr"/>
      <c r="CT228" t="inlineStr"/>
      <c r="CU228" t="inlineStr"/>
      <c r="CV228" t="inlineStr"/>
      <c r="CW228" t="inlineStr"/>
      <c r="CX228" t="inlineStr"/>
      <c r="CY228" t="inlineStr"/>
      <c r="CZ228" t="inlineStr"/>
      <c r="DA228" t="inlineStr"/>
      <c r="DB228" t="inlineStr"/>
      <c r="DC228" t="inlineStr"/>
      <c r="DD228" t="inlineStr"/>
      <c r="DE228" t="inlineStr"/>
      <c r="DF228" t="inlineStr"/>
      <c r="DG228" t="inlineStr"/>
      <c r="DH228" t="inlineStr"/>
      <c r="DI228" t="inlineStr"/>
      <c r="DJ228" t="inlineStr"/>
      <c r="DK228" t="inlineStr"/>
      <c r="DL228" t="inlineStr"/>
      <c r="DM228" t="inlineStr"/>
      <c r="DN228" t="inlineStr"/>
      <c r="DO228" t="inlineStr"/>
      <c r="DP228" t="inlineStr"/>
      <c r="DQ228" t="inlineStr"/>
      <c r="DR228" t="inlineStr"/>
      <c r="DS228" t="inlineStr"/>
      <c r="DT228" t="inlineStr"/>
      <c r="DU228" t="inlineStr"/>
      <c r="DV228" t="inlineStr"/>
      <c r="DW228" t="inlineStr"/>
      <c r="DX228" t="inlineStr"/>
      <c r="DY228" t="inlineStr"/>
      <c r="DZ228" t="inlineStr"/>
      <c r="EA228" t="inlineStr"/>
      <c r="EB228" t="inlineStr"/>
      <c r="EC228" t="inlineStr"/>
      <c r="ED228" t="inlineStr"/>
      <c r="EE228" t="inlineStr"/>
      <c r="EF228" t="inlineStr"/>
      <c r="EG228" t="inlineStr"/>
      <c r="EH228" t="inlineStr"/>
      <c r="EI228" t="inlineStr"/>
      <c r="EJ228" t="inlineStr"/>
      <c r="EK228" t="inlineStr"/>
      <c r="EL228" t="inlineStr"/>
      <c r="EM228" t="inlineStr"/>
      <c r="EN228" t="inlineStr"/>
      <c r="EO228" t="inlineStr"/>
      <c r="EP228" t="inlineStr"/>
      <c r="EQ228" t="inlineStr"/>
      <c r="ER228" t="inlineStr"/>
      <c r="ES228" t="inlineStr"/>
      <c r="ET228" t="inlineStr"/>
      <c r="EU228" t="inlineStr"/>
      <c r="EV228" t="inlineStr"/>
      <c r="EW228" t="inlineStr"/>
      <c r="EX228" t="inlineStr"/>
      <c r="EY228" t="inlineStr"/>
      <c r="EZ228" t="inlineStr"/>
      <c r="FA228" t="inlineStr"/>
      <c r="FB228" t="inlineStr"/>
      <c r="FC228" t="inlineStr"/>
      <c r="FD228" t="inlineStr"/>
      <c r="FE228" t="inlineStr"/>
      <c r="FF228" t="inlineStr"/>
      <c r="FG228" t="inlineStr"/>
      <c r="FH228" t="inlineStr"/>
      <c r="FI228" t="inlineStr"/>
      <c r="FJ228" t="inlineStr"/>
      <c r="FK228" t="inlineStr"/>
      <c r="FL228" t="inlineStr"/>
      <c r="FM228" t="inlineStr"/>
      <c r="FN228" t="inlineStr"/>
      <c r="FO228" t="inlineStr"/>
      <c r="FP228" t="inlineStr"/>
      <c r="FQ228" t="inlineStr"/>
      <c r="FR228" t="inlineStr"/>
      <c r="FS228" t="inlineStr"/>
      <c r="FT228" t="inlineStr"/>
      <c r="FU228" t="inlineStr"/>
      <c r="FV228" t="inlineStr"/>
      <c r="FW228" t="inlineStr"/>
      <c r="FX228" t="inlineStr"/>
      <c r="FY228" t="inlineStr"/>
      <c r="FZ228" t="inlineStr"/>
      <c r="GA228" t="inlineStr"/>
      <c r="GB228" t="inlineStr"/>
      <c r="GC228" t="inlineStr"/>
      <c r="GD228" t="inlineStr"/>
      <c r="GE228" t="inlineStr"/>
      <c r="GF228" t="inlineStr"/>
      <c r="GG228" t="inlineStr"/>
      <c r="GH228" t="inlineStr"/>
      <c r="GI228" t="inlineStr"/>
      <c r="GJ228" t="inlineStr"/>
      <c r="GK228" t="inlineStr"/>
      <c r="GL228" t="inlineStr"/>
      <c r="GM228" t="inlineStr"/>
      <c r="GN228" t="inlineStr"/>
      <c r="GO228" t="inlineStr"/>
      <c r="GP228" t="inlineStr"/>
      <c r="GQ228" t="inlineStr"/>
      <c r="GR228" t="inlineStr"/>
      <c r="GS228" t="inlineStr"/>
      <c r="GT228" t="inlineStr"/>
      <c r="GU228" t="inlineStr"/>
      <c r="GV228" t="inlineStr"/>
      <c r="GW228" t="inlineStr"/>
      <c r="GX228" t="inlineStr"/>
      <c r="GY228" t="inlineStr">
        <is>
          <t>1552</t>
        </is>
      </c>
      <c r="GZ228" t="inlineStr">
        <is>
          <t>Ambassador (1552)</t>
        </is>
      </c>
      <c r="HA228" t="inlineStr"/>
      <c r="HB228" t="inlineStr"/>
      <c r="HC228" t="inlineStr"/>
      <c r="HD228" t="inlineStr"/>
      <c r="HE228" t="inlineStr"/>
      <c r="HF228" t="inlineStr"/>
      <c r="HG228" t="inlineStr"/>
      <c r="HH228" t="inlineStr"/>
      <c r="HI228" t="inlineStr"/>
      <c r="HJ228" t="inlineStr"/>
      <c r="HK228" t="inlineStr"/>
      <c r="HL228" t="inlineStr"/>
      <c r="HM228" t="inlineStr"/>
      <c r="HN228" t="inlineStr"/>
      <c r="HO228" t="inlineStr"/>
      <c r="HP228" t="inlineStr"/>
      <c r="HQ228" t="inlineStr"/>
      <c r="HR228" t="inlineStr"/>
      <c r="HS228" t="inlineStr"/>
      <c r="HT228" t="inlineStr"/>
      <c r="HU228" t="inlineStr"/>
      <c r="HV228" t="inlineStr"/>
      <c r="HW228" t="inlineStr"/>
      <c r="HX228" t="inlineStr"/>
      <c r="HY228" t="inlineStr"/>
      <c r="HZ228" t="inlineStr"/>
      <c r="IA228" t="inlineStr"/>
      <c r="IB228" t="inlineStr"/>
      <c r="IC228" t="inlineStr"/>
      <c r="ID228" t="inlineStr"/>
      <c r="IE228" t="inlineStr"/>
      <c r="IF228" t="inlineStr"/>
      <c r="IG228" t="inlineStr"/>
      <c r="IH228" t="inlineStr"/>
      <c r="II228" t="inlineStr"/>
      <c r="IJ228" t="inlineStr"/>
      <c r="IK228" t="inlineStr"/>
      <c r="IL228" t="inlineStr"/>
      <c r="IM228" t="inlineStr"/>
      <c r="IN228" t="inlineStr"/>
      <c r="IO228" t="inlineStr"/>
      <c r="IP228" t="inlineStr"/>
      <c r="IQ228" t="inlineStr"/>
      <c r="IR228" t="inlineStr"/>
      <c r="IS228">
        <f>IF(input_content_type="",FALSE,ISNUMBER(SEARCH(","&amp;LOWER(input_content_type)&amp;",",","&amp;LOWER(F228)&amp;",")))</f>
        <v/>
      </c>
      <c r="IT228">
        <f>AND(IF(M228="",TRUE,IF(input_affiliations="",FALSE,SUMPRODUCT(--ISNUMBER(SEARCH(","&amp;TRIM(TEXTSPLIT(M228,","))&amp;",",","&amp;SUBSTITUTE(input_affiliations," ","")&amp;",")))&gt;0)),IF(O228="",TRUE,IF(input_affiliations="",FALSE,SUMPRODUCT(--ISNUMBER(SEARCH(","&amp;TRIM(TEXTSPLIT(O228,","))&amp;",",","&amp;SUBSTITUTE(input_affiliations," ","")&amp;",")))=COUNTA(TEXTSPLIT(O228,",")))),IF(Q228="",TRUE,IF(input_affiliations="",TRUE,SUMPRODUCT(--ISNUMBER(SEARCH(","&amp;TRIM(TEXTSPLIT(Q228,","))&amp;",",","&amp;SUBSTITUTE(input_affiliations," ","")&amp;",")))=0)),IF(S228="",TRUE,IF(input_affiliations="",FALSE,SUMPRODUCT(--ISNUMBER(SEARCH(","&amp;TRIM(TEXTSPLIT(S228,","))&amp;",",","&amp;SUBSTITUTE(input_affiliations," ","")&amp;",")))&gt;0)),IF(U228="",TRUE,IF(input_affiliations="",FALSE,SUMPRODUCT(--ISNUMBER(SEARCH(","&amp;TRIM(TEXTSPLIT(U228,","))&amp;",",","&amp;SUBSTITUTE(input_affiliations," ","")&amp;",")))=COUNTA(TEXTSPLIT(U228,",")))))</f>
        <v/>
      </c>
      <c r="IU228">
        <f>AND(IF(W228="",TRUE,IF(input_announcement_category="",FALSE,SUMPRODUCT(--ISNUMBER(SEARCH(","&amp;TRIM(TEXTSPLIT(W228,","))&amp;",",","&amp;SUBSTITUTE(input_announcement_category," ","")&amp;",")))&gt;0)),IF(Y228="",TRUE,IF(input_announcement_category="",FALSE,SUMPRODUCT(--ISNUMBER(SEARCH(","&amp;TRIM(TEXTSPLIT(Y228,","))&amp;",",","&amp;SUBSTITUTE(input_announcement_category," ","")&amp;",")))=COUNTA(TEXTSPLIT(Y228,",")))),IF(AA228="",TRUE,IF(input_announcement_category="",TRUE,SUMPRODUCT(--ISNUMBER(SEARCH(","&amp;TRIM(TEXTSPLIT(AA228,","))&amp;",",","&amp;SUBSTITUTE(input_announcement_category," ","")&amp;",")))=0)),IF(AC228="",TRUE,IF(input_announcement_category="",FALSE,SUMPRODUCT(--ISNUMBER(SEARCH(","&amp;TRIM(TEXTSPLIT(AC228,","))&amp;",",","&amp;SUBSTITUTE(input_announcement_category," ","")&amp;",")))&gt;0)),IF(AE228="",TRUE,IF(input_announcement_category="",FALSE,SUMPRODUCT(--ISNUMBER(SEARCH(","&amp;TRIM(TEXTSPLIT(AE228,","))&amp;",",","&amp;SUBSTITUTE(input_announcement_category," ","")&amp;",")))=COUNTA(TEXTSPLIT(AE228,",")))))</f>
        <v/>
      </c>
      <c r="IV228">
        <f>AND(IF(AG228="",TRUE,IF(input_area_of_focus="",FALSE,SUMPRODUCT(--ISNUMBER(SEARCH(","&amp;TRIM(TEXTSPLIT(AG228,","))&amp;",",","&amp;SUBSTITUTE(input_area_of_focus," ","")&amp;",")))&gt;0)),IF(AI228="",TRUE,IF(input_area_of_focus="",FALSE,SUMPRODUCT(--ISNUMBER(SEARCH(","&amp;TRIM(TEXTSPLIT(AI228,","))&amp;",",","&amp;SUBSTITUTE(input_area_of_focus," ","")&amp;",")))=COUNTA(TEXTSPLIT(AI228,",")))),IF(AK228="",TRUE,IF(input_area_of_focus="",TRUE,SUMPRODUCT(--ISNUMBER(SEARCH(","&amp;TRIM(TEXTSPLIT(AK228,","))&amp;",",","&amp;SUBSTITUTE(input_area_of_focus," ","")&amp;",")))=0)),IF(AM228="",TRUE,IF(input_area_of_focus="",FALSE,SUMPRODUCT(--ISNUMBER(SEARCH(","&amp;TRIM(TEXTSPLIT(AM228,","))&amp;",",","&amp;SUBSTITUTE(input_area_of_focus," ","")&amp;",")))&gt;0)),IF(AO228="",TRUE,IF(input_area_of_focus="",FALSE,SUMPRODUCT(--ISNUMBER(SEARCH(","&amp;TRIM(TEXTSPLIT(AO228,","))&amp;",",","&amp;SUBSTITUTE(input_area_of_focus," ","")&amp;",")))=COUNTA(TEXTSPLIT(AO228,",")))))</f>
        <v/>
      </c>
      <c r="IW228">
        <f>AND(IF(AQ228="",TRUE,IF(input_audience="",FALSE,SUMPRODUCT(--ISNUMBER(SEARCH(","&amp;TRIM(TEXTSPLIT(AQ228,","))&amp;",",","&amp;SUBSTITUTE(input_audience," ","")&amp;",")))&gt;0)),IF(AS228="",TRUE,IF(input_audience="",FALSE,SUMPRODUCT(--ISNUMBER(SEARCH(","&amp;TRIM(TEXTSPLIT(AS228,","))&amp;",",","&amp;SUBSTITUTE(input_audience," ","")&amp;",")))=COUNTA(TEXTSPLIT(AS228,",")))),IF(AU228="",TRUE,IF(input_audience="",TRUE,SUMPRODUCT(--ISNUMBER(SEARCH(","&amp;TRIM(TEXTSPLIT(AU228,","))&amp;",",","&amp;SUBSTITUTE(input_audience," ","")&amp;",")))=0)),IF(AW228="",TRUE,IF(input_audience="",FALSE,SUMPRODUCT(--ISNUMBER(SEARCH(","&amp;TRIM(TEXTSPLIT(AW228,","))&amp;",",","&amp;SUBSTITUTE(input_audience," ","")&amp;",")))&gt;0)),IF(AY228="",TRUE,IF(input_audience="",FALSE,SUMPRODUCT(--ISNUMBER(SEARCH(","&amp;TRIM(TEXTSPLIT(AY228,","))&amp;",",","&amp;SUBSTITUTE(input_audience," ","")&amp;",")))=COUNTA(TEXTSPLIT(AY228,",")))))</f>
        <v/>
      </c>
      <c r="IX228">
        <f>AND(IF(BA228="",TRUE,IF(input_challenge_opportunities="",FALSE,SUMPRODUCT(--ISNUMBER(SEARCH(","&amp;TRIM(TEXTSPLIT(BA228,","))&amp;",",","&amp;SUBSTITUTE(input_challenge_opportunities," ","")&amp;",")))&gt;0)),IF(BC228="",TRUE,IF(input_challenge_opportunities="",FALSE,SUMPRODUCT(--ISNUMBER(SEARCH(","&amp;TRIM(TEXTSPLIT(BC228,","))&amp;",",","&amp;SUBSTITUTE(input_challenge_opportunities," ","")&amp;",")))=COUNTA(TEXTSPLIT(BC228,",")))),IF(BE228="",TRUE,IF(input_challenge_opportunities="",TRUE,SUMPRODUCT(--ISNUMBER(SEARCH(","&amp;TRIM(TEXTSPLIT(BE228,","))&amp;",",","&amp;SUBSTITUTE(input_challenge_opportunities," ","")&amp;",")))=0)),IF(BG228="",TRUE,IF(input_challenge_opportunities="",FALSE,SUMPRODUCT(--ISNUMBER(SEARCH(","&amp;TRIM(TEXTSPLIT(BG228,","))&amp;",",","&amp;SUBSTITUTE(input_challenge_opportunities," ","")&amp;",")))&gt;0)),IF(BI228="",TRUE,IF(input_challenge_opportunities="",FALSE,SUMPRODUCT(--ISNUMBER(SEARCH(","&amp;TRIM(TEXTSPLIT(BI228,","))&amp;",",","&amp;SUBSTITUTE(input_challenge_opportunities," ","")&amp;",")))=COUNTA(TEXTSPLIT(BI228,",")))))</f>
        <v/>
      </c>
      <c r="IY228">
        <f>AND(IF(BK228="",TRUE,IF(input_context="",FALSE,SUMPRODUCT(--ISNUMBER(SEARCH(","&amp;TRIM(TEXTSPLIT(BK228,","))&amp;",",","&amp;SUBSTITUTE(input_context," ","")&amp;",")))&gt;0)),IF(BM228="",TRUE,IF(input_context="",FALSE,SUMPRODUCT(--ISNUMBER(SEARCH(","&amp;TRIM(TEXTSPLIT(BM228,","))&amp;",",","&amp;SUBSTITUTE(input_context," ","")&amp;",")))=COUNTA(TEXTSPLIT(BM228,",")))),IF(BO228="",TRUE,IF(input_context="",TRUE,SUMPRODUCT(--ISNUMBER(SEARCH(","&amp;TRIM(TEXTSPLIT(BO228,","))&amp;",",","&amp;SUBSTITUTE(input_context," ","")&amp;",")))=0)),IF(BQ228="",TRUE,IF(input_context="",FALSE,SUMPRODUCT(--ISNUMBER(SEARCH(","&amp;TRIM(TEXTSPLIT(BQ228,","))&amp;",",","&amp;SUBSTITUTE(input_context," ","")&amp;",")))&gt;0)),IF(BS228="",TRUE,IF(input_context="",FALSE,SUMPRODUCT(--ISNUMBER(SEARCH(","&amp;TRIM(TEXTSPLIT(BS228,","))&amp;",",","&amp;SUBSTITUTE(input_context," ","")&amp;",")))=COUNTA(TEXTSPLIT(BS228,",")))))</f>
        <v/>
      </c>
      <c r="IZ228">
        <f>AND(IF(BU228="",TRUE,IF(input_enews_announcement_type="",FALSE,SUMPRODUCT(--ISNUMBER(SEARCH(","&amp;TRIM(TEXTSPLIT(BU228,","))&amp;",",","&amp;SUBSTITUTE(input_enews_announcement_type," ","")&amp;",")))&gt;0)),IF(BW228="",TRUE,IF(input_enews_announcement_type="",FALSE,SUMPRODUCT(--ISNUMBER(SEARCH(","&amp;TRIM(TEXTSPLIT(BW228,","))&amp;",",","&amp;SUBSTITUTE(input_enews_announcement_type," ","")&amp;",")))=COUNTA(TEXTSPLIT(BW228,",")))),IF(BY228="",TRUE,IF(input_enews_announcement_type="",TRUE,SUMPRODUCT(--ISNUMBER(SEARCH(","&amp;TRIM(TEXTSPLIT(BY228,","))&amp;",",","&amp;SUBSTITUTE(input_enews_announcement_type," ","")&amp;",")))=0)),IF(CA228="",TRUE,IF(input_enews_announcement_type="",FALSE,SUMPRODUCT(--ISNUMBER(SEARCH(","&amp;TRIM(TEXTSPLIT(CA228,","))&amp;",",","&amp;SUBSTITUTE(input_enews_announcement_type," ","")&amp;",")))&gt;0)),IF(CC228="",TRUE,IF(input_enews_announcement_type="",FALSE,SUMPRODUCT(--ISNUMBER(SEARCH(","&amp;TRIM(TEXTSPLIT(CC228,","))&amp;",",","&amp;SUBSTITUTE(input_enews_announcement_type," ","")&amp;",")))=COUNTA(TEXTSPLIT(CC228,",")))))</f>
        <v/>
      </c>
      <c r="JA228">
        <f>AND(IF(CE228="",TRUE,IF(input_enews_audience="",FALSE,SUMPRODUCT(--ISNUMBER(SEARCH(","&amp;TRIM(TEXTSPLIT(CE228,","))&amp;",",","&amp;SUBSTITUTE(input_enews_audience," ","")&amp;",")))&gt;0)),IF(CG228="",TRUE,IF(input_enews_audience="",FALSE,SUMPRODUCT(--ISNUMBER(SEARCH(","&amp;TRIM(TEXTSPLIT(CG228,","))&amp;",",","&amp;SUBSTITUTE(input_enews_audience," ","")&amp;",")))=COUNTA(TEXTSPLIT(CG228,",")))),IF(CI228="",TRUE,IF(input_enews_audience="",TRUE,SUMPRODUCT(--ISNUMBER(SEARCH(","&amp;TRIM(TEXTSPLIT(CI228,","))&amp;",",","&amp;SUBSTITUTE(input_enews_audience," ","")&amp;",")))=0)),IF(CK228="",TRUE,IF(input_enews_audience="",FALSE,SUMPRODUCT(--ISNUMBER(SEARCH(","&amp;TRIM(TEXTSPLIT(CK228,","))&amp;",",","&amp;SUBSTITUTE(input_enews_audience," ","")&amp;",")))&gt;0)),IF(CM228="",TRUE,IF(input_enews_audience="",FALSE,SUMPRODUCT(--ISNUMBER(SEARCH(","&amp;TRIM(TEXTSPLIT(CM228,","))&amp;",",","&amp;SUBSTITUTE(input_enews_audience," ","")&amp;",")))=COUNTA(TEXTSPLIT(CM228,",")))))</f>
        <v/>
      </c>
      <c r="JB228">
        <f>AND(IF(CO228="",TRUE,IF(input_event_location="",FALSE,SUMPRODUCT(--ISNUMBER(SEARCH(","&amp;TRIM(TEXTSPLIT(CO228,","))&amp;",",","&amp;SUBSTITUTE(input_event_location," ","")&amp;",")))&gt;0)),IF(CQ228="",TRUE,IF(input_event_location="",FALSE,SUMPRODUCT(--ISNUMBER(SEARCH(","&amp;TRIM(TEXTSPLIT(CQ228,","))&amp;",",","&amp;SUBSTITUTE(input_event_location," ","")&amp;",")))=COUNTA(TEXTSPLIT(CQ228,",")))),IF(CS228="",TRUE,IF(input_event_location="",TRUE,SUMPRODUCT(--ISNUMBER(SEARCH(","&amp;TRIM(TEXTSPLIT(CS228,","))&amp;",",","&amp;SUBSTITUTE(input_event_location," ","")&amp;",")))=0)),IF(CU228="",TRUE,IF(input_event_location="",FALSE,SUMPRODUCT(--ISNUMBER(SEARCH(","&amp;TRIM(TEXTSPLIT(CU228,","))&amp;",",","&amp;SUBSTITUTE(input_event_location," ","")&amp;",")))&gt;0)),IF(CW228="",TRUE,IF(input_event_location="",FALSE,SUMPRODUCT(--ISNUMBER(SEARCH(","&amp;TRIM(TEXTSPLIT(CW228,","))&amp;",",","&amp;SUBSTITUTE(input_event_location," ","")&amp;",")))=COUNTA(TEXTSPLIT(CW228,",")))))</f>
        <v/>
      </c>
      <c r="JC228">
        <f>AND(IF(CY228="",TRUE,IF(input_event_type="",FALSE,SUMPRODUCT(--ISNUMBER(SEARCH(","&amp;TRIM(TEXTSPLIT(CY228,","))&amp;",",","&amp;SUBSTITUTE(input_event_type," ","")&amp;",")))&gt;0)),IF(DA228="",TRUE,IF(input_event_type="",FALSE,SUMPRODUCT(--ISNUMBER(SEARCH(","&amp;TRIM(TEXTSPLIT(DA228,","))&amp;",",","&amp;SUBSTITUTE(input_event_type," ","")&amp;",")))=COUNTA(TEXTSPLIT(DA228,",")))),IF(DC228="",TRUE,IF(input_event_type="",TRUE,SUMPRODUCT(--ISNUMBER(SEARCH(","&amp;TRIM(TEXTSPLIT(DC228,","))&amp;",",","&amp;SUBSTITUTE(input_event_type," ","")&amp;",")))=0)),IF(DE228="",TRUE,IF(input_event_type="",FALSE,SUMPRODUCT(--ISNUMBER(SEARCH(","&amp;TRIM(TEXTSPLIT(DE228,","))&amp;",",","&amp;SUBSTITUTE(input_event_type," ","")&amp;",")))&gt;0)),IF(DG228="",TRUE,IF(input_event_type="",FALSE,SUMPRODUCT(--ISNUMBER(SEARCH(","&amp;TRIM(TEXTSPLIT(DG228,","))&amp;",",","&amp;SUBSTITUTE(input_event_type," ","")&amp;",")))=COUNTA(TEXTSPLIT(DG228,",")))))</f>
        <v/>
      </c>
      <c r="JD228">
        <f>AND(IF(DI228="",TRUE,IF(input_executive_education_focus="",FALSE,SUMPRODUCT(--ISNUMBER(SEARCH(","&amp;TRIM(TEXTSPLIT(DI228,","))&amp;",",","&amp;SUBSTITUTE(input_executive_education_focus," ","")&amp;",")))&gt;0)),IF(DK228="",TRUE,IF(input_executive_education_focus="",FALSE,SUMPRODUCT(--ISNUMBER(SEARCH(","&amp;TRIM(TEXTSPLIT(DK228,","))&amp;",",","&amp;SUBSTITUTE(input_executive_education_focus," ","")&amp;",")))=COUNTA(TEXTSPLIT(DK228,",")))),IF(DM228="",TRUE,IF(input_executive_education_focus="",TRUE,SUMPRODUCT(--ISNUMBER(SEARCH(","&amp;TRIM(TEXTSPLIT(DM228,","))&amp;",",","&amp;SUBSTITUTE(input_executive_education_focus," ","")&amp;",")))=0)),IF(DO228="",TRUE,IF(input_executive_education_focus="",FALSE,SUMPRODUCT(--ISNUMBER(SEARCH(","&amp;TRIM(TEXTSPLIT(DO228,","))&amp;",",","&amp;SUBSTITUTE(input_executive_education_focus," ","")&amp;",")))&gt;0)),IF(DQ228="",TRUE,IF(input_executive_education_focus="",FALSE,SUMPRODUCT(--ISNUMBER(SEARCH(","&amp;TRIM(TEXTSPLIT(DQ228,","))&amp;",",","&amp;SUBSTITUTE(input_executive_education_focus," ","")&amp;",")))=COUNTA(TEXTSPLIT(DQ228,",")))))</f>
        <v/>
      </c>
      <c r="JE228">
        <f>AND(IF(DS228="",TRUE,IF(input_faculty_category="",FALSE,SUMPRODUCT(--ISNUMBER(SEARCH(","&amp;TRIM(TEXTSPLIT(DS228,","))&amp;",",","&amp;SUBSTITUTE(input_faculty_category," ","")&amp;",")))&gt;0)),IF(DU228="",TRUE,IF(input_faculty_category="",FALSE,SUMPRODUCT(--ISNUMBER(SEARCH(","&amp;TRIM(TEXTSPLIT(DU228,","))&amp;",",","&amp;SUBSTITUTE(input_faculty_category," ","")&amp;",")))=COUNTA(TEXTSPLIT(DU228,",")))),IF(DW228="",TRUE,IF(input_faculty_category="",TRUE,SUMPRODUCT(--ISNUMBER(SEARCH(","&amp;TRIM(TEXTSPLIT(DW228,","))&amp;",",","&amp;SUBSTITUTE(input_faculty_category," ","")&amp;",")))=0)),IF(DY228="",TRUE,IF(input_faculty_category="",FALSE,SUMPRODUCT(--ISNUMBER(SEARCH(","&amp;TRIM(TEXTSPLIT(DY228,","))&amp;",",","&amp;SUBSTITUTE(input_faculty_category," ","")&amp;",")))&gt;0)),IF(EA228="",TRUE,IF(input_faculty_category="",FALSE,SUMPRODUCT(--ISNUMBER(SEARCH(","&amp;TRIM(TEXTSPLIT(EA228,","))&amp;",",","&amp;SUBSTITUTE(input_faculty_category," ","")&amp;",")))=COUNTA(TEXTSPLIT(EA228,",")))))</f>
        <v/>
      </c>
      <c r="JF228">
        <f>AND(IF(EC228="",TRUE,IF(input_faculty_discipline="",FALSE,SUMPRODUCT(--ISNUMBER(SEARCH(","&amp;TRIM(TEXTSPLIT(EC228,","))&amp;",",","&amp;SUBSTITUTE(input_faculty_discipline," ","")&amp;",")))&gt;0)),IF(EE228="",TRUE,IF(input_faculty_discipline="",FALSE,SUMPRODUCT(--ISNUMBER(SEARCH(","&amp;TRIM(TEXTSPLIT(EE228,","))&amp;",",","&amp;SUBSTITUTE(input_faculty_discipline," ","")&amp;",")))=COUNTA(TEXTSPLIT(EE228,",")))),IF(EG228="",TRUE,IF(input_faculty_discipline="",TRUE,SUMPRODUCT(--ISNUMBER(SEARCH(","&amp;TRIM(TEXTSPLIT(EG228,","))&amp;",",","&amp;SUBSTITUTE(input_faculty_discipline," ","")&amp;",")))=0)),IF(EI228="",TRUE,IF(input_faculty_discipline="",FALSE,SUMPRODUCT(--ISNUMBER(SEARCH(","&amp;TRIM(TEXTSPLIT(EI228,","))&amp;",",","&amp;SUBSTITUTE(input_faculty_discipline," ","")&amp;",")))&gt;0)),IF(EK228="",TRUE,IF(input_faculty_discipline="",FALSE,SUMPRODUCT(--ISNUMBER(SEARCH(","&amp;TRIM(TEXTSPLIT(EK228,","))&amp;",",","&amp;SUBSTITUTE(input_faculty_discipline," ","")&amp;",")))=COUNTA(TEXTSPLIT(EK228,",")))))</f>
        <v/>
      </c>
      <c r="JG228">
        <f>AND(IF(EM228="",TRUE,IF(input_faculty_expertise="",FALSE,SUMPRODUCT(--ISNUMBER(SEARCH(","&amp;TRIM(TEXTSPLIT(EM228,","))&amp;",",","&amp;SUBSTITUTE(input_faculty_expertise," ","")&amp;",")))&gt;0)),IF(EO228="",TRUE,IF(input_faculty_expertise="",FALSE,SUMPRODUCT(--ISNUMBER(SEARCH(","&amp;TRIM(TEXTSPLIT(EO228,","))&amp;",",","&amp;SUBSTITUTE(input_faculty_expertise," ","")&amp;",")))=COUNTA(TEXTSPLIT(EO228,",")))),IF(EQ228="",TRUE,IF(input_faculty_expertise="",TRUE,SUMPRODUCT(--ISNUMBER(SEARCH(","&amp;TRIM(TEXTSPLIT(EQ228,","))&amp;",",","&amp;SUBSTITUTE(input_faculty_expertise," ","")&amp;",")))=0)),IF(ES228="",TRUE,IF(input_faculty_expertise="",FALSE,SUMPRODUCT(--ISNUMBER(SEARCH(","&amp;TRIM(TEXTSPLIT(ES228,","))&amp;",",","&amp;SUBSTITUTE(input_faculty_expertise," ","")&amp;",")))&gt;0)),IF(EU228="",TRUE,IF(input_faculty_expertise="",FALSE,SUMPRODUCT(--ISNUMBER(SEARCH(","&amp;TRIM(TEXTSPLIT(EU228,","))&amp;",",","&amp;SUBSTITUTE(input_faculty_expertise," ","")&amp;",")))=COUNTA(TEXTSPLIT(EU228,",")))))</f>
        <v/>
      </c>
      <c r="JH228">
        <f>AND(IF(EW228="",TRUE,IF(input_global_network_school="",FALSE,SUMPRODUCT(--ISNUMBER(SEARCH(","&amp;TRIM(TEXTSPLIT(EW228,","))&amp;",",","&amp;SUBSTITUTE(input_global_network_school," ","")&amp;",")))&gt;0)),IF(EY228="",TRUE,IF(input_global_network_school="",FALSE,SUMPRODUCT(--ISNUMBER(SEARCH(","&amp;TRIM(TEXTSPLIT(EY228,","))&amp;",",","&amp;SUBSTITUTE(input_global_network_school," ","")&amp;",")))=COUNTA(TEXTSPLIT(EY228,",")))),IF(FA228="",TRUE,IF(input_global_network_school="",TRUE,SUMPRODUCT(--ISNUMBER(SEARCH(","&amp;TRIM(TEXTSPLIT(FA228,","))&amp;",",","&amp;SUBSTITUTE(input_global_network_school," ","")&amp;",")))=0)),IF(FC228="",TRUE,IF(input_global_network_school="",FALSE,SUMPRODUCT(--ISNUMBER(SEARCH(","&amp;TRIM(TEXTSPLIT(FC228,","))&amp;",",","&amp;SUBSTITUTE(input_global_network_school," ","")&amp;",")))&gt;0)),IF(FE228="",TRUE,IF(input_global_network_school="",FALSE,SUMPRODUCT(--ISNUMBER(SEARCH(","&amp;TRIM(TEXTSPLIT(FE228,","))&amp;",",","&amp;SUBSTITUTE(input_global_network_school," ","")&amp;",")))=COUNTA(TEXTSPLIT(FE228,",")))))</f>
        <v/>
      </c>
      <c r="JI228">
        <f>AND(IF(FG228="",TRUE,IF(input_industry="",FALSE,SUMPRODUCT(--ISNUMBER(SEARCH(","&amp;TRIM(TEXTSPLIT(FG228,","))&amp;",",","&amp;SUBSTITUTE(input_industry," ","")&amp;",")))&gt;0)),IF(FI228="",TRUE,IF(input_industry="",FALSE,SUMPRODUCT(--ISNUMBER(SEARCH(","&amp;TRIM(TEXTSPLIT(FI228,","))&amp;",",","&amp;SUBSTITUTE(input_industry," ","")&amp;",")))=COUNTA(TEXTSPLIT(FI228,",")))),IF(FK228="",TRUE,IF(input_industry="",TRUE,SUMPRODUCT(--ISNUMBER(SEARCH(","&amp;TRIM(TEXTSPLIT(FK228,","))&amp;",",","&amp;SUBSTITUTE(input_industry," ","")&amp;",")))=0)),IF(FM228="",TRUE,IF(input_industry="",FALSE,SUMPRODUCT(--ISNUMBER(SEARCH(","&amp;TRIM(TEXTSPLIT(FM228,","))&amp;",",","&amp;SUBSTITUTE(input_industry," ","")&amp;",")))&gt;0)),IF(FO228="",TRUE,IF(input_industry="",FALSE,SUMPRODUCT(--ISNUMBER(SEARCH(","&amp;TRIM(TEXTSPLIT(FO228,","))&amp;",",","&amp;SUBSTITUTE(input_industry," ","")&amp;",")))=COUNTA(TEXTSPLIT(FO228,",")))))</f>
        <v/>
      </c>
      <c r="JJ228">
        <f>AND(IF(FQ228="",TRUE,IF(input_location="",FALSE,SUMPRODUCT(--ISNUMBER(SEARCH(","&amp;TRIM(TEXTSPLIT(FQ228,","))&amp;",",","&amp;SUBSTITUTE(input_location," ","")&amp;",")))&gt;0)),IF(FS228="",TRUE,IF(input_location="",FALSE,SUMPRODUCT(--ISNUMBER(SEARCH(","&amp;TRIM(TEXTSPLIT(FS228,","))&amp;",",","&amp;SUBSTITUTE(input_location," ","")&amp;",")))=COUNTA(TEXTSPLIT(FS228,",")))),IF(FU228="",TRUE,IF(input_location="",TRUE,SUMPRODUCT(--ISNUMBER(SEARCH(","&amp;TRIM(TEXTSPLIT(FU228,","))&amp;",",","&amp;SUBSTITUTE(input_location," ","")&amp;",")))=0)),IF(FW228="",TRUE,IF(input_location="",FALSE,SUMPRODUCT(--ISNUMBER(SEARCH(","&amp;TRIM(TEXTSPLIT(FW228,","))&amp;",",","&amp;SUBSTITUTE(input_location," ","")&amp;",")))&gt;0)),IF(FY228="",TRUE,IF(input_location="",FALSE,SUMPRODUCT(--ISNUMBER(SEARCH(","&amp;TRIM(TEXTSPLIT(FY228,","))&amp;",",","&amp;SUBSTITUTE(input_location," ","")&amp;",")))=COUNTA(TEXTSPLIT(FY228,",")))))</f>
        <v/>
      </c>
      <c r="JK228">
        <f>AND(IF(GA228="",TRUE,IF(input_modality="",FALSE,SUMPRODUCT(--ISNUMBER(SEARCH(","&amp;TRIM(TEXTSPLIT(GA228,","))&amp;",",","&amp;SUBSTITUTE(input_modality," ","")&amp;",")))&gt;0)),IF(GC228="",TRUE,IF(input_modality="",FALSE,SUMPRODUCT(--ISNUMBER(SEARCH(","&amp;TRIM(TEXTSPLIT(GC228,","))&amp;",",","&amp;SUBSTITUTE(input_modality," ","")&amp;",")))=COUNTA(TEXTSPLIT(GC228,",")))),IF(GE228="",TRUE,IF(input_modality="",TRUE,SUMPRODUCT(--ISNUMBER(SEARCH(","&amp;TRIM(TEXTSPLIT(GE228,","))&amp;",",","&amp;SUBSTITUTE(input_modality," ","")&amp;",")))=0)),IF(GG228="",TRUE,IF(input_modality="",FALSE,SUMPRODUCT(--ISNUMBER(SEARCH(","&amp;TRIM(TEXTSPLIT(GG228,","))&amp;",",","&amp;SUBSTITUTE(input_modality," ","")&amp;",")))&gt;0)),IF(GI228="",TRUE,IF(input_modality="",FALSE,SUMPRODUCT(--ISNUMBER(SEARCH(","&amp;TRIM(TEXTSPLIT(GI228,","))&amp;",",","&amp;SUBSTITUTE(input_modality," ","")&amp;",")))=COUNTA(TEXTSPLIT(GI228,",")))))</f>
        <v/>
      </c>
      <c r="JL228">
        <f>AND(IF(GK228="",TRUE,IF(input_organizer="",FALSE,SUMPRODUCT(--ISNUMBER(SEARCH(","&amp;TRIM(TEXTSPLIT(GK228,","))&amp;",",","&amp;SUBSTITUTE(input_organizer," ","")&amp;",")))&gt;0)),IF(GM228="",TRUE,IF(input_organizer="",FALSE,SUMPRODUCT(--ISNUMBER(SEARCH(","&amp;TRIM(TEXTSPLIT(GM228,","))&amp;",",","&amp;SUBSTITUTE(input_organizer," ","")&amp;",")))=COUNTA(TEXTSPLIT(GM228,",")))),IF(GO228="",TRUE,IF(input_organizer="",TRUE,SUMPRODUCT(--ISNUMBER(SEARCH(","&amp;TRIM(TEXTSPLIT(GO228,","))&amp;",",","&amp;SUBSTITUTE(input_organizer," ","")&amp;",")))=0)),IF(GQ228="",TRUE,IF(input_organizer="",FALSE,SUMPRODUCT(--ISNUMBER(SEARCH(","&amp;TRIM(TEXTSPLIT(GQ228,","))&amp;",",","&amp;SUBSTITUTE(input_organizer," ","")&amp;",")))&gt;0)),IF(GS228="",TRUE,IF(input_organizer="",FALSE,SUMPRODUCT(--ISNUMBER(SEARCH(","&amp;TRIM(TEXTSPLIT(GS228,","))&amp;",",","&amp;SUBSTITUTE(input_organizer," ","")&amp;",")))=COUNTA(TEXTSPLIT(GS228,",")))))</f>
        <v/>
      </c>
      <c r="JM228">
        <f>AND(IF(GU228="",TRUE,IF(input_profile_type="",FALSE,SUMPRODUCT(--ISNUMBER(SEARCH(","&amp;TRIM(TEXTSPLIT(GU228,","))&amp;",",","&amp;SUBSTITUTE(input_profile_type," ","")&amp;",")))&gt;0)),IF(GW228="",TRUE,IF(input_profile_type="",FALSE,SUMPRODUCT(--ISNUMBER(SEARCH(","&amp;TRIM(TEXTSPLIT(GW228,","))&amp;",",","&amp;SUBSTITUTE(input_profile_type," ","")&amp;",")))=COUNTA(TEXTSPLIT(GW228,",")))),IF(GY228="",TRUE,IF(input_profile_type="",TRUE,SUMPRODUCT(--ISNUMBER(SEARCH(","&amp;TRIM(TEXTSPLIT(GY228,","))&amp;",",","&amp;SUBSTITUTE(input_profile_type," ","")&amp;",")))=0)),IF(HA228="",TRUE,IF(input_profile_type="",FALSE,SUMPRODUCT(--ISNUMBER(SEARCH(","&amp;TRIM(TEXTSPLIT(HA228,","))&amp;",",","&amp;SUBSTITUTE(input_profile_type," ","")&amp;",")))&gt;0)),IF(HC228="",TRUE,IF(input_profile_type="",FALSE,SUMPRODUCT(--ISNUMBER(SEARCH(","&amp;TRIM(TEXTSPLIT(HC228,","))&amp;",",","&amp;SUBSTITUTE(input_profile_type," ","")&amp;",")))=COUNTA(TEXTSPLIT(HC228,",")))))</f>
        <v/>
      </c>
      <c r="JN228">
        <f>AND(IF(HE228="",TRUE,IF(input_program="",FALSE,SUMPRODUCT(--ISNUMBER(SEARCH(","&amp;TRIM(TEXTSPLIT(HE228,","))&amp;",",","&amp;SUBSTITUTE(input_program," ","")&amp;",")))&gt;0)),IF(HG228="",TRUE,IF(input_program="",FALSE,SUMPRODUCT(--ISNUMBER(SEARCH(","&amp;TRIM(TEXTSPLIT(HG228,","))&amp;",",","&amp;SUBSTITUTE(input_program," ","")&amp;",")))=COUNTA(TEXTSPLIT(HG228,",")))),IF(HI228="",TRUE,IF(input_program="",TRUE,SUMPRODUCT(--ISNUMBER(SEARCH(","&amp;TRIM(TEXTSPLIT(HI228,","))&amp;",",","&amp;SUBSTITUTE(input_program," ","")&amp;",")))=0)),IF(HK228="",TRUE,IF(input_program="",FALSE,SUMPRODUCT(--ISNUMBER(SEARCH(","&amp;TRIM(TEXTSPLIT(HK228,","))&amp;",",","&amp;SUBSTITUTE(input_program," ","")&amp;",")))&gt;0)),IF(HM228="",TRUE,IF(input_program="",FALSE,SUMPRODUCT(--ISNUMBER(SEARCH(","&amp;TRIM(TEXTSPLIT(HM228,","))&amp;",",","&amp;SUBSTITUTE(input_program," ","")&amp;",")))=COUNTA(TEXTSPLIT(HM228,",")))))</f>
        <v/>
      </c>
      <c r="JO228">
        <f>AND(IF(HO228="",TRUE,IF(input_story_categories="",FALSE,SUMPRODUCT(--ISNUMBER(SEARCH(","&amp;TRIM(TEXTSPLIT(HO228,","))&amp;",",","&amp;SUBSTITUTE(input_story_categories," ","")&amp;",")))&gt;0)),IF(HQ228="",TRUE,IF(input_story_categories="",FALSE,SUMPRODUCT(--ISNUMBER(SEARCH(","&amp;TRIM(TEXTSPLIT(HQ228,","))&amp;",",","&amp;SUBSTITUTE(input_story_categories," ","")&amp;",")))=COUNTA(TEXTSPLIT(HQ228,",")))),IF(HS228="",TRUE,IF(input_story_categories="",TRUE,SUMPRODUCT(--ISNUMBER(SEARCH(","&amp;TRIM(TEXTSPLIT(HS228,","))&amp;",",","&amp;SUBSTITUTE(input_story_categories," ","")&amp;",")))=0)),IF(HU228="",TRUE,IF(input_story_categories="",FALSE,SUMPRODUCT(--ISNUMBER(SEARCH(","&amp;TRIM(TEXTSPLIT(HU228,","))&amp;",",","&amp;SUBSTITUTE(input_story_categories," ","")&amp;",")))&gt;0)),IF(HW228="",TRUE,IF(input_story_categories="",FALSE,SUMPRODUCT(--ISNUMBER(SEARCH(","&amp;TRIM(TEXTSPLIT(HW228,","))&amp;",",","&amp;SUBSTITUTE(input_story_categories," ","")&amp;",")))=COUNTA(TEXTSPLIT(HW228,",")))))</f>
        <v/>
      </c>
      <c r="JP228">
        <f>AND(IF(HY228="",TRUE,IF(input_story_type="",FALSE,SUMPRODUCT(--ISNUMBER(SEARCH(","&amp;TRIM(TEXTSPLIT(HY228,","))&amp;",",","&amp;SUBSTITUTE(input_story_type," ","")&amp;",")))&gt;0)),IF(IA228="",TRUE,IF(input_story_type="",FALSE,SUMPRODUCT(--ISNUMBER(SEARCH(","&amp;TRIM(TEXTSPLIT(IA228,","))&amp;",",","&amp;SUBSTITUTE(input_story_type," ","")&amp;",")))=COUNTA(TEXTSPLIT(IA228,",")))),IF(IC228="",TRUE,IF(input_story_type="",TRUE,SUMPRODUCT(--ISNUMBER(SEARCH(","&amp;TRIM(TEXTSPLIT(IC228,","))&amp;",",","&amp;SUBSTITUTE(input_story_type," ","")&amp;",")))=0)),IF(IE228="",TRUE,IF(input_story_type="",FALSE,SUMPRODUCT(--ISNUMBER(SEARCH(","&amp;TRIM(TEXTSPLIT(IE228,","))&amp;",",","&amp;SUBSTITUTE(input_story_type," ","")&amp;",")))&gt;0)),IF(IG228="",TRUE,IF(input_story_type="",FALSE,SUMPRODUCT(--ISNUMBER(SEARCH(","&amp;TRIM(TEXTSPLIT(IG228,","))&amp;",",","&amp;SUBSTITUTE(input_story_type," ","")&amp;",")))=COUNTA(TEXTSPLIT(IG228,",")))))</f>
        <v/>
      </c>
      <c r="JQ228">
        <f>AND(IF(II228="",TRUE,IF(input_topics="",FALSE,SUMPRODUCT(--ISNUMBER(SEARCH(","&amp;TRIM(TEXTSPLIT(II228,","))&amp;",",","&amp;SUBSTITUTE(input_topics," ","")&amp;",")))&gt;0)),IF(IK228="",TRUE,IF(input_topics="",FALSE,SUMPRODUCT(--ISNUMBER(SEARCH(","&amp;TRIM(TEXTSPLIT(IK228,","))&amp;",",","&amp;SUBSTITUTE(input_topics," ","")&amp;",")))=COUNTA(TEXTSPLIT(IK228,",")))),IF(IM228="",TRUE,IF(input_topics="",TRUE,SUMPRODUCT(--ISNUMBER(SEARCH(","&amp;TRIM(TEXTSPLIT(IM228,","))&amp;",",","&amp;SUBSTITUTE(input_topics," ","")&amp;",")))=0)),IF(IO228="",TRUE,IF(input_topics="",FALSE,SUMPRODUCT(--ISNUMBER(SEARCH(","&amp;TRIM(TEXTSPLIT(IO228,","))&amp;",",","&amp;SUBSTITUTE(input_topics," ","")&amp;",")))&gt;0)),IF(IQ228="",TRUE,IF(input_topics="",FALSE,SUMPRODUCT(--ISNUMBER(SEARCH(","&amp;TRIM(TEXTSPLIT(IQ228,","))&amp;",",","&amp;SUBSTITUTE(input_topics," ","")&amp;",")))=COUNTA(TEXTSPLIT(IQ228,",")))))</f>
        <v/>
      </c>
    </row>
    <row r="229">
      <c r="A229" s="4">
        <f>IF(NOT(IS229),"Excluded",IF(AND(IT229,IU229,IV229,IW229,IX229,IY229,IZ229,JA229,JB229,JC229,JD229,JE229,JF229,JG229,JH229,JI229,JJ229,JK229,JL229,JM229,JN229,JO229,JP229,JQ229),IF(I229&gt;0,"Eligible but limited","Will appear"),"Excluded"))</f>
        <v/>
      </c>
      <c r="B229" s="4" t="inlineStr">
        <is>
          <t>Student POV</t>
        </is>
      </c>
      <c r="C229" s="4" t="inlineStr">
        <is>
          <t>/about/headlines/student-pov</t>
        </is>
      </c>
      <c r="D229" s="4" t="inlineStr">
        <is>
          <t>/about/headlines/student-pov</t>
        </is>
      </c>
      <c r="E229" s="4" t="n">
        <v>1</v>
      </c>
      <c r="F229" s="4" t="inlineStr">
        <is>
          <t>story</t>
        </is>
      </c>
      <c r="G229" s="4" t="inlineStr">
        <is>
          <t>stories_list</t>
        </is>
      </c>
      <c r="H229" s="4" t="inlineStr">
        <is>
          <t>embed_1</t>
        </is>
      </c>
      <c r="I229" s="4" t="n">
        <v>10</v>
      </c>
      <c r="J229" s="4" t="inlineStr">
        <is>
          <t>Explicit args</t>
        </is>
      </c>
      <c r="K229" s="4" t="inlineStr">
        <is>
          <t>Page placement</t>
        </is>
      </c>
      <c r="L229" s="4" t="inlineStr">
        <is>
          <t>Content type: story; Context uses Courses Context: Student POV (1460); Limited to 10 item(s); Source: Explicit args</t>
        </is>
      </c>
      <c r="M229" t="inlineStr"/>
      <c r="N229" t="inlineStr"/>
      <c r="O229" t="inlineStr"/>
      <c r="P229" t="inlineStr"/>
      <c r="Q229" t="inlineStr"/>
      <c r="R229" t="inlineStr"/>
      <c r="S229" t="inlineStr"/>
      <c r="T229" t="inlineStr"/>
      <c r="U229" t="inlineStr"/>
      <c r="V229" t="inlineStr"/>
      <c r="W229" t="inlineStr"/>
      <c r="X229" t="inlineStr"/>
      <c r="Y229" t="inlineStr"/>
      <c r="Z229" t="inlineStr"/>
      <c r="AA229" t="inlineStr"/>
      <c r="AB229" t="inlineStr"/>
      <c r="AC229" t="inlineStr"/>
      <c r="AD229" t="inlineStr"/>
      <c r="AE229" t="inlineStr"/>
      <c r="AF229" t="inlineStr"/>
      <c r="AG229" t="inlineStr"/>
      <c r="AH229" t="inlineStr"/>
      <c r="AI229" t="inlineStr"/>
      <c r="AJ229" t="inlineStr"/>
      <c r="AK229" t="inlineStr"/>
      <c r="AL229" t="inlineStr"/>
      <c r="AM229" t="inlineStr"/>
      <c r="AN229" t="inlineStr"/>
      <c r="AO229" t="inlineStr"/>
      <c r="AP229" t="inlineStr"/>
      <c r="AQ229" t="inlineStr"/>
      <c r="AR229" t="inlineStr"/>
      <c r="AS229" t="inlineStr"/>
      <c r="AT229" t="inlineStr"/>
      <c r="AU229" t="inlineStr"/>
      <c r="AV229" t="inlineStr"/>
      <c r="AW229" t="inlineStr"/>
      <c r="AX229" t="inlineStr"/>
      <c r="AY229" t="inlineStr"/>
      <c r="AZ229" t="inlineStr"/>
      <c r="BA229" t="inlineStr"/>
      <c r="BB229" t="inlineStr"/>
      <c r="BC229" t="inlineStr"/>
      <c r="BD229" t="inlineStr"/>
      <c r="BE229" t="inlineStr"/>
      <c r="BF229" t="inlineStr"/>
      <c r="BG229" t="inlineStr"/>
      <c r="BH229" t="inlineStr"/>
      <c r="BI229" t="inlineStr"/>
      <c r="BJ229" t="inlineStr"/>
      <c r="BK229" t="inlineStr"/>
      <c r="BL229" t="inlineStr"/>
      <c r="BM229" t="inlineStr"/>
      <c r="BN229" t="inlineStr"/>
      <c r="BO229" t="inlineStr"/>
      <c r="BP229" t="inlineStr"/>
      <c r="BQ229" t="inlineStr">
        <is>
          <t>1460</t>
        </is>
      </c>
      <c r="BR229" t="inlineStr">
        <is>
          <t>Student POV (1460)</t>
        </is>
      </c>
      <c r="BS229" t="inlineStr"/>
      <c r="BT229" t="inlineStr"/>
      <c r="BU229" t="inlineStr"/>
      <c r="BV229" t="inlineStr"/>
      <c r="BW229" t="inlineStr"/>
      <c r="BX229" t="inlineStr"/>
      <c r="BY229" t="inlineStr"/>
      <c r="BZ229" t="inlineStr"/>
      <c r="CA229" t="inlineStr"/>
      <c r="CB229" t="inlineStr"/>
      <c r="CC229" t="inlineStr"/>
      <c r="CD229" t="inlineStr"/>
      <c r="CE229" t="inlineStr"/>
      <c r="CF229" t="inlineStr"/>
      <c r="CG229" t="inlineStr"/>
      <c r="CH229" t="inlineStr"/>
      <c r="CI229" t="inlineStr"/>
      <c r="CJ229" t="inlineStr"/>
      <c r="CK229" t="inlineStr"/>
      <c r="CL229" t="inlineStr"/>
      <c r="CM229" t="inlineStr"/>
      <c r="CN229" t="inlineStr"/>
      <c r="CO229" t="inlineStr"/>
      <c r="CP229" t="inlineStr"/>
      <c r="CQ229" t="inlineStr"/>
      <c r="CR229" t="inlineStr"/>
      <c r="CS229" t="inlineStr"/>
      <c r="CT229" t="inlineStr"/>
      <c r="CU229" t="inlineStr"/>
      <c r="CV229" t="inlineStr"/>
      <c r="CW229" t="inlineStr"/>
      <c r="CX229" t="inlineStr"/>
      <c r="CY229" t="inlineStr"/>
      <c r="CZ229" t="inlineStr"/>
      <c r="DA229" t="inlineStr"/>
      <c r="DB229" t="inlineStr"/>
      <c r="DC229" t="inlineStr"/>
      <c r="DD229" t="inlineStr"/>
      <c r="DE229" t="inlineStr"/>
      <c r="DF229" t="inlineStr"/>
      <c r="DG229" t="inlineStr"/>
      <c r="DH229" t="inlineStr"/>
      <c r="DI229" t="inlineStr"/>
      <c r="DJ229" t="inlineStr"/>
      <c r="DK229" t="inlineStr"/>
      <c r="DL229" t="inlineStr"/>
      <c r="DM229" t="inlineStr"/>
      <c r="DN229" t="inlineStr"/>
      <c r="DO229" t="inlineStr"/>
      <c r="DP229" t="inlineStr"/>
      <c r="DQ229" t="inlineStr"/>
      <c r="DR229" t="inlineStr"/>
      <c r="DS229" t="inlineStr"/>
      <c r="DT229" t="inlineStr"/>
      <c r="DU229" t="inlineStr"/>
      <c r="DV229" t="inlineStr"/>
      <c r="DW229" t="inlineStr"/>
      <c r="DX229" t="inlineStr"/>
      <c r="DY229" t="inlineStr"/>
      <c r="DZ229" t="inlineStr"/>
      <c r="EA229" t="inlineStr"/>
      <c r="EB229" t="inlineStr"/>
      <c r="EC229" t="inlineStr"/>
      <c r="ED229" t="inlineStr"/>
      <c r="EE229" t="inlineStr"/>
      <c r="EF229" t="inlineStr"/>
      <c r="EG229" t="inlineStr"/>
      <c r="EH229" t="inlineStr"/>
      <c r="EI229" t="inlineStr"/>
      <c r="EJ229" t="inlineStr"/>
      <c r="EK229" t="inlineStr"/>
      <c r="EL229" t="inlineStr"/>
      <c r="EM229" t="inlineStr"/>
      <c r="EN229" t="inlineStr"/>
      <c r="EO229" t="inlineStr"/>
      <c r="EP229" t="inlineStr"/>
      <c r="EQ229" t="inlineStr"/>
      <c r="ER229" t="inlineStr"/>
      <c r="ES229" t="inlineStr"/>
      <c r="ET229" t="inlineStr"/>
      <c r="EU229" t="inlineStr"/>
      <c r="EV229" t="inlineStr"/>
      <c r="EW229" t="inlineStr"/>
      <c r="EX229" t="inlineStr"/>
      <c r="EY229" t="inlineStr"/>
      <c r="EZ229" t="inlineStr"/>
      <c r="FA229" t="inlineStr"/>
      <c r="FB229" t="inlineStr"/>
      <c r="FC229" t="inlineStr"/>
      <c r="FD229" t="inlineStr"/>
      <c r="FE229" t="inlineStr"/>
      <c r="FF229" t="inlineStr"/>
      <c r="FG229" t="inlineStr"/>
      <c r="FH229" t="inlineStr"/>
      <c r="FI229" t="inlineStr"/>
      <c r="FJ229" t="inlineStr"/>
      <c r="FK229" t="inlineStr"/>
      <c r="FL229" t="inlineStr"/>
      <c r="FM229" t="inlineStr"/>
      <c r="FN229" t="inlineStr"/>
      <c r="FO229" t="inlineStr"/>
      <c r="FP229" t="inlineStr"/>
      <c r="FQ229" t="inlineStr"/>
      <c r="FR229" t="inlineStr"/>
      <c r="FS229" t="inlineStr"/>
      <c r="FT229" t="inlineStr"/>
      <c r="FU229" t="inlineStr"/>
      <c r="FV229" t="inlineStr"/>
      <c r="FW229" t="inlineStr"/>
      <c r="FX229" t="inlineStr"/>
      <c r="FY229" t="inlineStr"/>
      <c r="FZ229" t="inlineStr"/>
      <c r="GA229" t="inlineStr"/>
      <c r="GB229" t="inlineStr"/>
      <c r="GC229" t="inlineStr"/>
      <c r="GD229" t="inlineStr"/>
      <c r="GE229" t="inlineStr"/>
      <c r="GF229" t="inlineStr"/>
      <c r="GG229" t="inlineStr"/>
      <c r="GH229" t="inlineStr"/>
      <c r="GI229" t="inlineStr"/>
      <c r="GJ229" t="inlineStr"/>
      <c r="GK229" t="inlineStr"/>
      <c r="GL229" t="inlineStr"/>
      <c r="GM229" t="inlineStr"/>
      <c r="GN229" t="inlineStr"/>
      <c r="GO229" t="inlineStr"/>
      <c r="GP229" t="inlineStr"/>
      <c r="GQ229" t="inlineStr"/>
      <c r="GR229" t="inlineStr"/>
      <c r="GS229" t="inlineStr"/>
      <c r="GT229" t="inlineStr"/>
      <c r="GU229" t="inlineStr"/>
      <c r="GV229" t="inlineStr"/>
      <c r="GW229" t="inlineStr"/>
      <c r="GX229" t="inlineStr"/>
      <c r="GY229" t="inlineStr"/>
      <c r="GZ229" t="inlineStr"/>
      <c r="HA229" t="inlineStr"/>
      <c r="HB229" t="inlineStr"/>
      <c r="HC229" t="inlineStr"/>
      <c r="HD229" t="inlineStr"/>
      <c r="HE229" t="inlineStr"/>
      <c r="HF229" t="inlineStr"/>
      <c r="HG229" t="inlineStr"/>
      <c r="HH229" t="inlineStr"/>
      <c r="HI229" t="inlineStr"/>
      <c r="HJ229" t="inlineStr"/>
      <c r="HK229" t="inlineStr"/>
      <c r="HL229" t="inlineStr"/>
      <c r="HM229" t="inlineStr"/>
      <c r="HN229" t="inlineStr"/>
      <c r="HO229" t="inlineStr"/>
      <c r="HP229" t="inlineStr"/>
      <c r="HQ229" t="inlineStr"/>
      <c r="HR229" t="inlineStr"/>
      <c r="HS229" t="inlineStr"/>
      <c r="HT229" t="inlineStr"/>
      <c r="HU229" t="inlineStr"/>
      <c r="HV229" t="inlineStr"/>
      <c r="HW229" t="inlineStr"/>
      <c r="HX229" t="inlineStr"/>
      <c r="HY229" t="inlineStr"/>
      <c r="HZ229" t="inlineStr"/>
      <c r="IA229" t="inlineStr"/>
      <c r="IB229" t="inlineStr"/>
      <c r="IC229" t="inlineStr"/>
      <c r="ID229" t="inlineStr"/>
      <c r="IE229" t="inlineStr"/>
      <c r="IF229" t="inlineStr"/>
      <c r="IG229" t="inlineStr"/>
      <c r="IH229" t="inlineStr"/>
      <c r="II229" t="inlineStr"/>
      <c r="IJ229" t="inlineStr"/>
      <c r="IK229" t="inlineStr"/>
      <c r="IL229" t="inlineStr"/>
      <c r="IM229" t="inlineStr"/>
      <c r="IN229" t="inlineStr"/>
      <c r="IO229" t="inlineStr"/>
      <c r="IP229" t="inlineStr"/>
      <c r="IQ229" t="inlineStr"/>
      <c r="IR229" t="inlineStr"/>
      <c r="IS229">
        <f>IF(input_content_type="",FALSE,ISNUMBER(SEARCH(","&amp;LOWER(input_content_type)&amp;",",","&amp;LOWER(F229)&amp;",")))</f>
        <v/>
      </c>
      <c r="IT229">
        <f>AND(IF(M229="",TRUE,IF(input_affiliations="",FALSE,SUMPRODUCT(--ISNUMBER(SEARCH(","&amp;TRIM(TEXTSPLIT(M229,","))&amp;",",","&amp;SUBSTITUTE(input_affiliations," ","")&amp;",")))&gt;0)),IF(O229="",TRUE,IF(input_affiliations="",FALSE,SUMPRODUCT(--ISNUMBER(SEARCH(","&amp;TRIM(TEXTSPLIT(O229,","))&amp;",",","&amp;SUBSTITUTE(input_affiliations," ","")&amp;",")))=COUNTA(TEXTSPLIT(O229,",")))),IF(Q229="",TRUE,IF(input_affiliations="",TRUE,SUMPRODUCT(--ISNUMBER(SEARCH(","&amp;TRIM(TEXTSPLIT(Q229,","))&amp;",",","&amp;SUBSTITUTE(input_affiliations," ","")&amp;",")))=0)),IF(S229="",TRUE,IF(input_affiliations="",FALSE,SUMPRODUCT(--ISNUMBER(SEARCH(","&amp;TRIM(TEXTSPLIT(S229,","))&amp;",",","&amp;SUBSTITUTE(input_affiliations," ","")&amp;",")))&gt;0)),IF(U229="",TRUE,IF(input_affiliations="",FALSE,SUMPRODUCT(--ISNUMBER(SEARCH(","&amp;TRIM(TEXTSPLIT(U229,","))&amp;",",","&amp;SUBSTITUTE(input_affiliations," ","")&amp;",")))=COUNTA(TEXTSPLIT(U229,",")))))</f>
        <v/>
      </c>
      <c r="IU229">
        <f>AND(IF(W229="",TRUE,IF(input_announcement_category="",FALSE,SUMPRODUCT(--ISNUMBER(SEARCH(","&amp;TRIM(TEXTSPLIT(W229,","))&amp;",",","&amp;SUBSTITUTE(input_announcement_category," ","")&amp;",")))&gt;0)),IF(Y229="",TRUE,IF(input_announcement_category="",FALSE,SUMPRODUCT(--ISNUMBER(SEARCH(","&amp;TRIM(TEXTSPLIT(Y229,","))&amp;",",","&amp;SUBSTITUTE(input_announcement_category," ","")&amp;",")))=COUNTA(TEXTSPLIT(Y229,",")))),IF(AA229="",TRUE,IF(input_announcement_category="",TRUE,SUMPRODUCT(--ISNUMBER(SEARCH(","&amp;TRIM(TEXTSPLIT(AA229,","))&amp;",",","&amp;SUBSTITUTE(input_announcement_category," ","")&amp;",")))=0)),IF(AC229="",TRUE,IF(input_announcement_category="",FALSE,SUMPRODUCT(--ISNUMBER(SEARCH(","&amp;TRIM(TEXTSPLIT(AC229,","))&amp;",",","&amp;SUBSTITUTE(input_announcement_category," ","")&amp;",")))&gt;0)),IF(AE229="",TRUE,IF(input_announcement_category="",FALSE,SUMPRODUCT(--ISNUMBER(SEARCH(","&amp;TRIM(TEXTSPLIT(AE229,","))&amp;",",","&amp;SUBSTITUTE(input_announcement_category," ","")&amp;",")))=COUNTA(TEXTSPLIT(AE229,",")))))</f>
        <v/>
      </c>
      <c r="IV229">
        <f>AND(IF(AG229="",TRUE,IF(input_area_of_focus="",FALSE,SUMPRODUCT(--ISNUMBER(SEARCH(","&amp;TRIM(TEXTSPLIT(AG229,","))&amp;",",","&amp;SUBSTITUTE(input_area_of_focus," ","")&amp;",")))&gt;0)),IF(AI229="",TRUE,IF(input_area_of_focus="",FALSE,SUMPRODUCT(--ISNUMBER(SEARCH(","&amp;TRIM(TEXTSPLIT(AI229,","))&amp;",",","&amp;SUBSTITUTE(input_area_of_focus," ","")&amp;",")))=COUNTA(TEXTSPLIT(AI229,",")))),IF(AK229="",TRUE,IF(input_area_of_focus="",TRUE,SUMPRODUCT(--ISNUMBER(SEARCH(","&amp;TRIM(TEXTSPLIT(AK229,","))&amp;",",","&amp;SUBSTITUTE(input_area_of_focus," ","")&amp;",")))=0)),IF(AM229="",TRUE,IF(input_area_of_focus="",FALSE,SUMPRODUCT(--ISNUMBER(SEARCH(","&amp;TRIM(TEXTSPLIT(AM229,","))&amp;",",","&amp;SUBSTITUTE(input_area_of_focus," ","")&amp;",")))&gt;0)),IF(AO229="",TRUE,IF(input_area_of_focus="",FALSE,SUMPRODUCT(--ISNUMBER(SEARCH(","&amp;TRIM(TEXTSPLIT(AO229,","))&amp;",",","&amp;SUBSTITUTE(input_area_of_focus," ","")&amp;",")))=COUNTA(TEXTSPLIT(AO229,",")))))</f>
        <v/>
      </c>
      <c r="IW229">
        <f>AND(IF(AQ229="",TRUE,IF(input_audience="",FALSE,SUMPRODUCT(--ISNUMBER(SEARCH(","&amp;TRIM(TEXTSPLIT(AQ229,","))&amp;",",","&amp;SUBSTITUTE(input_audience," ","")&amp;",")))&gt;0)),IF(AS229="",TRUE,IF(input_audience="",FALSE,SUMPRODUCT(--ISNUMBER(SEARCH(","&amp;TRIM(TEXTSPLIT(AS229,","))&amp;",",","&amp;SUBSTITUTE(input_audience," ","")&amp;",")))=COUNTA(TEXTSPLIT(AS229,",")))),IF(AU229="",TRUE,IF(input_audience="",TRUE,SUMPRODUCT(--ISNUMBER(SEARCH(","&amp;TRIM(TEXTSPLIT(AU229,","))&amp;",",","&amp;SUBSTITUTE(input_audience," ","")&amp;",")))=0)),IF(AW229="",TRUE,IF(input_audience="",FALSE,SUMPRODUCT(--ISNUMBER(SEARCH(","&amp;TRIM(TEXTSPLIT(AW229,","))&amp;",",","&amp;SUBSTITUTE(input_audience," ","")&amp;",")))&gt;0)),IF(AY229="",TRUE,IF(input_audience="",FALSE,SUMPRODUCT(--ISNUMBER(SEARCH(","&amp;TRIM(TEXTSPLIT(AY229,","))&amp;",",","&amp;SUBSTITUTE(input_audience," ","")&amp;",")))=COUNTA(TEXTSPLIT(AY229,",")))))</f>
        <v/>
      </c>
      <c r="IX229">
        <f>AND(IF(BA229="",TRUE,IF(input_challenge_opportunities="",FALSE,SUMPRODUCT(--ISNUMBER(SEARCH(","&amp;TRIM(TEXTSPLIT(BA229,","))&amp;",",","&amp;SUBSTITUTE(input_challenge_opportunities," ","")&amp;",")))&gt;0)),IF(BC229="",TRUE,IF(input_challenge_opportunities="",FALSE,SUMPRODUCT(--ISNUMBER(SEARCH(","&amp;TRIM(TEXTSPLIT(BC229,","))&amp;",",","&amp;SUBSTITUTE(input_challenge_opportunities," ","")&amp;",")))=COUNTA(TEXTSPLIT(BC229,",")))),IF(BE229="",TRUE,IF(input_challenge_opportunities="",TRUE,SUMPRODUCT(--ISNUMBER(SEARCH(","&amp;TRIM(TEXTSPLIT(BE229,","))&amp;",",","&amp;SUBSTITUTE(input_challenge_opportunities," ","")&amp;",")))=0)),IF(BG229="",TRUE,IF(input_challenge_opportunities="",FALSE,SUMPRODUCT(--ISNUMBER(SEARCH(","&amp;TRIM(TEXTSPLIT(BG229,","))&amp;",",","&amp;SUBSTITUTE(input_challenge_opportunities," ","")&amp;",")))&gt;0)),IF(BI229="",TRUE,IF(input_challenge_opportunities="",FALSE,SUMPRODUCT(--ISNUMBER(SEARCH(","&amp;TRIM(TEXTSPLIT(BI229,","))&amp;",",","&amp;SUBSTITUTE(input_challenge_opportunities," ","")&amp;",")))=COUNTA(TEXTSPLIT(BI229,",")))))</f>
        <v/>
      </c>
      <c r="IY229">
        <f>AND(IF(BK229="",TRUE,IF(input_context="",FALSE,SUMPRODUCT(--ISNUMBER(SEARCH(","&amp;TRIM(TEXTSPLIT(BK229,","))&amp;",",","&amp;SUBSTITUTE(input_context," ","")&amp;",")))&gt;0)),IF(BM229="",TRUE,IF(input_context="",FALSE,SUMPRODUCT(--ISNUMBER(SEARCH(","&amp;TRIM(TEXTSPLIT(BM229,","))&amp;",",","&amp;SUBSTITUTE(input_context," ","")&amp;",")))=COUNTA(TEXTSPLIT(BM229,",")))),IF(BO229="",TRUE,IF(input_context="",TRUE,SUMPRODUCT(--ISNUMBER(SEARCH(","&amp;TRIM(TEXTSPLIT(BO229,","))&amp;",",","&amp;SUBSTITUTE(input_context," ","")&amp;",")))=0)),IF(BQ229="",TRUE,IF(input_context="",FALSE,SUMPRODUCT(--ISNUMBER(SEARCH(","&amp;TRIM(TEXTSPLIT(BQ229,","))&amp;",",","&amp;SUBSTITUTE(input_context," ","")&amp;",")))&gt;0)),IF(BS229="",TRUE,IF(input_context="",FALSE,SUMPRODUCT(--ISNUMBER(SEARCH(","&amp;TRIM(TEXTSPLIT(BS229,","))&amp;",",","&amp;SUBSTITUTE(input_context," ","")&amp;",")))=COUNTA(TEXTSPLIT(BS229,",")))))</f>
        <v/>
      </c>
      <c r="IZ229">
        <f>AND(IF(BU229="",TRUE,IF(input_enews_announcement_type="",FALSE,SUMPRODUCT(--ISNUMBER(SEARCH(","&amp;TRIM(TEXTSPLIT(BU229,","))&amp;",",","&amp;SUBSTITUTE(input_enews_announcement_type," ","")&amp;",")))&gt;0)),IF(BW229="",TRUE,IF(input_enews_announcement_type="",FALSE,SUMPRODUCT(--ISNUMBER(SEARCH(","&amp;TRIM(TEXTSPLIT(BW229,","))&amp;",",","&amp;SUBSTITUTE(input_enews_announcement_type," ","")&amp;",")))=COUNTA(TEXTSPLIT(BW229,",")))),IF(BY229="",TRUE,IF(input_enews_announcement_type="",TRUE,SUMPRODUCT(--ISNUMBER(SEARCH(","&amp;TRIM(TEXTSPLIT(BY229,","))&amp;",",","&amp;SUBSTITUTE(input_enews_announcement_type," ","")&amp;",")))=0)),IF(CA229="",TRUE,IF(input_enews_announcement_type="",FALSE,SUMPRODUCT(--ISNUMBER(SEARCH(","&amp;TRIM(TEXTSPLIT(CA229,","))&amp;",",","&amp;SUBSTITUTE(input_enews_announcement_type," ","")&amp;",")))&gt;0)),IF(CC229="",TRUE,IF(input_enews_announcement_type="",FALSE,SUMPRODUCT(--ISNUMBER(SEARCH(","&amp;TRIM(TEXTSPLIT(CC229,","))&amp;",",","&amp;SUBSTITUTE(input_enews_announcement_type," ","")&amp;",")))=COUNTA(TEXTSPLIT(CC229,",")))))</f>
        <v/>
      </c>
      <c r="JA229">
        <f>AND(IF(CE229="",TRUE,IF(input_enews_audience="",FALSE,SUMPRODUCT(--ISNUMBER(SEARCH(","&amp;TRIM(TEXTSPLIT(CE229,","))&amp;",",","&amp;SUBSTITUTE(input_enews_audience," ","")&amp;",")))&gt;0)),IF(CG229="",TRUE,IF(input_enews_audience="",FALSE,SUMPRODUCT(--ISNUMBER(SEARCH(","&amp;TRIM(TEXTSPLIT(CG229,","))&amp;",",","&amp;SUBSTITUTE(input_enews_audience," ","")&amp;",")))=COUNTA(TEXTSPLIT(CG229,",")))),IF(CI229="",TRUE,IF(input_enews_audience="",TRUE,SUMPRODUCT(--ISNUMBER(SEARCH(","&amp;TRIM(TEXTSPLIT(CI229,","))&amp;",",","&amp;SUBSTITUTE(input_enews_audience," ","")&amp;",")))=0)),IF(CK229="",TRUE,IF(input_enews_audience="",FALSE,SUMPRODUCT(--ISNUMBER(SEARCH(","&amp;TRIM(TEXTSPLIT(CK229,","))&amp;",",","&amp;SUBSTITUTE(input_enews_audience," ","")&amp;",")))&gt;0)),IF(CM229="",TRUE,IF(input_enews_audience="",FALSE,SUMPRODUCT(--ISNUMBER(SEARCH(","&amp;TRIM(TEXTSPLIT(CM229,","))&amp;",",","&amp;SUBSTITUTE(input_enews_audience," ","")&amp;",")))=COUNTA(TEXTSPLIT(CM229,",")))))</f>
        <v/>
      </c>
      <c r="JB229">
        <f>AND(IF(CO229="",TRUE,IF(input_event_location="",FALSE,SUMPRODUCT(--ISNUMBER(SEARCH(","&amp;TRIM(TEXTSPLIT(CO229,","))&amp;",",","&amp;SUBSTITUTE(input_event_location," ","")&amp;",")))&gt;0)),IF(CQ229="",TRUE,IF(input_event_location="",FALSE,SUMPRODUCT(--ISNUMBER(SEARCH(","&amp;TRIM(TEXTSPLIT(CQ229,","))&amp;",",","&amp;SUBSTITUTE(input_event_location," ","")&amp;",")))=COUNTA(TEXTSPLIT(CQ229,",")))),IF(CS229="",TRUE,IF(input_event_location="",TRUE,SUMPRODUCT(--ISNUMBER(SEARCH(","&amp;TRIM(TEXTSPLIT(CS229,","))&amp;",",","&amp;SUBSTITUTE(input_event_location," ","")&amp;",")))=0)),IF(CU229="",TRUE,IF(input_event_location="",FALSE,SUMPRODUCT(--ISNUMBER(SEARCH(","&amp;TRIM(TEXTSPLIT(CU229,","))&amp;",",","&amp;SUBSTITUTE(input_event_location," ","")&amp;",")))&gt;0)),IF(CW229="",TRUE,IF(input_event_location="",FALSE,SUMPRODUCT(--ISNUMBER(SEARCH(","&amp;TRIM(TEXTSPLIT(CW229,","))&amp;",",","&amp;SUBSTITUTE(input_event_location," ","")&amp;",")))=COUNTA(TEXTSPLIT(CW229,",")))))</f>
        <v/>
      </c>
      <c r="JC229">
        <f>AND(IF(CY229="",TRUE,IF(input_event_type="",FALSE,SUMPRODUCT(--ISNUMBER(SEARCH(","&amp;TRIM(TEXTSPLIT(CY229,","))&amp;",",","&amp;SUBSTITUTE(input_event_type," ","")&amp;",")))&gt;0)),IF(DA229="",TRUE,IF(input_event_type="",FALSE,SUMPRODUCT(--ISNUMBER(SEARCH(","&amp;TRIM(TEXTSPLIT(DA229,","))&amp;",",","&amp;SUBSTITUTE(input_event_type," ","")&amp;",")))=COUNTA(TEXTSPLIT(DA229,",")))),IF(DC229="",TRUE,IF(input_event_type="",TRUE,SUMPRODUCT(--ISNUMBER(SEARCH(","&amp;TRIM(TEXTSPLIT(DC229,","))&amp;",",","&amp;SUBSTITUTE(input_event_type," ","")&amp;",")))=0)),IF(DE229="",TRUE,IF(input_event_type="",FALSE,SUMPRODUCT(--ISNUMBER(SEARCH(","&amp;TRIM(TEXTSPLIT(DE229,","))&amp;",",","&amp;SUBSTITUTE(input_event_type," ","")&amp;",")))&gt;0)),IF(DG229="",TRUE,IF(input_event_type="",FALSE,SUMPRODUCT(--ISNUMBER(SEARCH(","&amp;TRIM(TEXTSPLIT(DG229,","))&amp;",",","&amp;SUBSTITUTE(input_event_type," ","")&amp;",")))=COUNTA(TEXTSPLIT(DG229,",")))))</f>
        <v/>
      </c>
      <c r="JD229">
        <f>AND(IF(DI229="",TRUE,IF(input_executive_education_focus="",FALSE,SUMPRODUCT(--ISNUMBER(SEARCH(","&amp;TRIM(TEXTSPLIT(DI229,","))&amp;",",","&amp;SUBSTITUTE(input_executive_education_focus," ","")&amp;",")))&gt;0)),IF(DK229="",TRUE,IF(input_executive_education_focus="",FALSE,SUMPRODUCT(--ISNUMBER(SEARCH(","&amp;TRIM(TEXTSPLIT(DK229,","))&amp;",",","&amp;SUBSTITUTE(input_executive_education_focus," ","")&amp;",")))=COUNTA(TEXTSPLIT(DK229,",")))),IF(DM229="",TRUE,IF(input_executive_education_focus="",TRUE,SUMPRODUCT(--ISNUMBER(SEARCH(","&amp;TRIM(TEXTSPLIT(DM229,","))&amp;",",","&amp;SUBSTITUTE(input_executive_education_focus," ","")&amp;",")))=0)),IF(DO229="",TRUE,IF(input_executive_education_focus="",FALSE,SUMPRODUCT(--ISNUMBER(SEARCH(","&amp;TRIM(TEXTSPLIT(DO229,","))&amp;",",","&amp;SUBSTITUTE(input_executive_education_focus," ","")&amp;",")))&gt;0)),IF(DQ229="",TRUE,IF(input_executive_education_focus="",FALSE,SUMPRODUCT(--ISNUMBER(SEARCH(","&amp;TRIM(TEXTSPLIT(DQ229,","))&amp;",",","&amp;SUBSTITUTE(input_executive_education_focus," ","")&amp;",")))=COUNTA(TEXTSPLIT(DQ229,",")))))</f>
        <v/>
      </c>
      <c r="JE229">
        <f>AND(IF(DS229="",TRUE,IF(input_faculty_category="",FALSE,SUMPRODUCT(--ISNUMBER(SEARCH(","&amp;TRIM(TEXTSPLIT(DS229,","))&amp;",",","&amp;SUBSTITUTE(input_faculty_category," ","")&amp;",")))&gt;0)),IF(DU229="",TRUE,IF(input_faculty_category="",FALSE,SUMPRODUCT(--ISNUMBER(SEARCH(","&amp;TRIM(TEXTSPLIT(DU229,","))&amp;",",","&amp;SUBSTITUTE(input_faculty_category," ","")&amp;",")))=COUNTA(TEXTSPLIT(DU229,",")))),IF(DW229="",TRUE,IF(input_faculty_category="",TRUE,SUMPRODUCT(--ISNUMBER(SEARCH(","&amp;TRIM(TEXTSPLIT(DW229,","))&amp;",",","&amp;SUBSTITUTE(input_faculty_category," ","")&amp;",")))=0)),IF(DY229="",TRUE,IF(input_faculty_category="",FALSE,SUMPRODUCT(--ISNUMBER(SEARCH(","&amp;TRIM(TEXTSPLIT(DY229,","))&amp;",",","&amp;SUBSTITUTE(input_faculty_category," ","")&amp;",")))&gt;0)),IF(EA229="",TRUE,IF(input_faculty_category="",FALSE,SUMPRODUCT(--ISNUMBER(SEARCH(","&amp;TRIM(TEXTSPLIT(EA229,","))&amp;",",","&amp;SUBSTITUTE(input_faculty_category," ","")&amp;",")))=COUNTA(TEXTSPLIT(EA229,",")))))</f>
        <v/>
      </c>
      <c r="JF229">
        <f>AND(IF(EC229="",TRUE,IF(input_faculty_discipline="",FALSE,SUMPRODUCT(--ISNUMBER(SEARCH(","&amp;TRIM(TEXTSPLIT(EC229,","))&amp;",",","&amp;SUBSTITUTE(input_faculty_discipline," ","")&amp;",")))&gt;0)),IF(EE229="",TRUE,IF(input_faculty_discipline="",FALSE,SUMPRODUCT(--ISNUMBER(SEARCH(","&amp;TRIM(TEXTSPLIT(EE229,","))&amp;",",","&amp;SUBSTITUTE(input_faculty_discipline," ","")&amp;",")))=COUNTA(TEXTSPLIT(EE229,",")))),IF(EG229="",TRUE,IF(input_faculty_discipline="",TRUE,SUMPRODUCT(--ISNUMBER(SEARCH(","&amp;TRIM(TEXTSPLIT(EG229,","))&amp;",",","&amp;SUBSTITUTE(input_faculty_discipline," ","")&amp;",")))=0)),IF(EI229="",TRUE,IF(input_faculty_discipline="",FALSE,SUMPRODUCT(--ISNUMBER(SEARCH(","&amp;TRIM(TEXTSPLIT(EI229,","))&amp;",",","&amp;SUBSTITUTE(input_faculty_discipline," ","")&amp;",")))&gt;0)),IF(EK229="",TRUE,IF(input_faculty_discipline="",FALSE,SUMPRODUCT(--ISNUMBER(SEARCH(","&amp;TRIM(TEXTSPLIT(EK229,","))&amp;",",","&amp;SUBSTITUTE(input_faculty_discipline," ","")&amp;",")))=COUNTA(TEXTSPLIT(EK229,",")))))</f>
        <v/>
      </c>
      <c r="JG229">
        <f>AND(IF(EM229="",TRUE,IF(input_faculty_expertise="",FALSE,SUMPRODUCT(--ISNUMBER(SEARCH(","&amp;TRIM(TEXTSPLIT(EM229,","))&amp;",",","&amp;SUBSTITUTE(input_faculty_expertise," ","")&amp;",")))&gt;0)),IF(EO229="",TRUE,IF(input_faculty_expertise="",FALSE,SUMPRODUCT(--ISNUMBER(SEARCH(","&amp;TRIM(TEXTSPLIT(EO229,","))&amp;",",","&amp;SUBSTITUTE(input_faculty_expertise," ","")&amp;",")))=COUNTA(TEXTSPLIT(EO229,",")))),IF(EQ229="",TRUE,IF(input_faculty_expertise="",TRUE,SUMPRODUCT(--ISNUMBER(SEARCH(","&amp;TRIM(TEXTSPLIT(EQ229,","))&amp;",",","&amp;SUBSTITUTE(input_faculty_expertise," ","")&amp;",")))=0)),IF(ES229="",TRUE,IF(input_faculty_expertise="",FALSE,SUMPRODUCT(--ISNUMBER(SEARCH(","&amp;TRIM(TEXTSPLIT(ES229,","))&amp;",",","&amp;SUBSTITUTE(input_faculty_expertise," ","")&amp;",")))&gt;0)),IF(EU229="",TRUE,IF(input_faculty_expertise="",FALSE,SUMPRODUCT(--ISNUMBER(SEARCH(","&amp;TRIM(TEXTSPLIT(EU229,","))&amp;",",","&amp;SUBSTITUTE(input_faculty_expertise," ","")&amp;",")))=COUNTA(TEXTSPLIT(EU229,",")))))</f>
        <v/>
      </c>
      <c r="JH229">
        <f>AND(IF(EW229="",TRUE,IF(input_global_network_school="",FALSE,SUMPRODUCT(--ISNUMBER(SEARCH(","&amp;TRIM(TEXTSPLIT(EW229,","))&amp;",",","&amp;SUBSTITUTE(input_global_network_school," ","")&amp;",")))&gt;0)),IF(EY229="",TRUE,IF(input_global_network_school="",FALSE,SUMPRODUCT(--ISNUMBER(SEARCH(","&amp;TRIM(TEXTSPLIT(EY229,","))&amp;",",","&amp;SUBSTITUTE(input_global_network_school," ","")&amp;",")))=COUNTA(TEXTSPLIT(EY229,",")))),IF(FA229="",TRUE,IF(input_global_network_school="",TRUE,SUMPRODUCT(--ISNUMBER(SEARCH(","&amp;TRIM(TEXTSPLIT(FA229,","))&amp;",",","&amp;SUBSTITUTE(input_global_network_school," ","")&amp;",")))=0)),IF(FC229="",TRUE,IF(input_global_network_school="",FALSE,SUMPRODUCT(--ISNUMBER(SEARCH(","&amp;TRIM(TEXTSPLIT(FC229,","))&amp;",",","&amp;SUBSTITUTE(input_global_network_school," ","")&amp;",")))&gt;0)),IF(FE229="",TRUE,IF(input_global_network_school="",FALSE,SUMPRODUCT(--ISNUMBER(SEARCH(","&amp;TRIM(TEXTSPLIT(FE229,","))&amp;",",","&amp;SUBSTITUTE(input_global_network_school," ","")&amp;",")))=COUNTA(TEXTSPLIT(FE229,",")))))</f>
        <v/>
      </c>
      <c r="JI229">
        <f>AND(IF(FG229="",TRUE,IF(input_industry="",FALSE,SUMPRODUCT(--ISNUMBER(SEARCH(","&amp;TRIM(TEXTSPLIT(FG229,","))&amp;",",","&amp;SUBSTITUTE(input_industry," ","")&amp;",")))&gt;0)),IF(FI229="",TRUE,IF(input_industry="",FALSE,SUMPRODUCT(--ISNUMBER(SEARCH(","&amp;TRIM(TEXTSPLIT(FI229,","))&amp;",",","&amp;SUBSTITUTE(input_industry," ","")&amp;",")))=COUNTA(TEXTSPLIT(FI229,",")))),IF(FK229="",TRUE,IF(input_industry="",TRUE,SUMPRODUCT(--ISNUMBER(SEARCH(","&amp;TRIM(TEXTSPLIT(FK229,","))&amp;",",","&amp;SUBSTITUTE(input_industry," ","")&amp;",")))=0)),IF(FM229="",TRUE,IF(input_industry="",FALSE,SUMPRODUCT(--ISNUMBER(SEARCH(","&amp;TRIM(TEXTSPLIT(FM229,","))&amp;",",","&amp;SUBSTITUTE(input_industry," ","")&amp;",")))&gt;0)),IF(FO229="",TRUE,IF(input_industry="",FALSE,SUMPRODUCT(--ISNUMBER(SEARCH(","&amp;TRIM(TEXTSPLIT(FO229,","))&amp;",",","&amp;SUBSTITUTE(input_industry," ","")&amp;",")))=COUNTA(TEXTSPLIT(FO229,",")))))</f>
        <v/>
      </c>
      <c r="JJ229">
        <f>AND(IF(FQ229="",TRUE,IF(input_location="",FALSE,SUMPRODUCT(--ISNUMBER(SEARCH(","&amp;TRIM(TEXTSPLIT(FQ229,","))&amp;",",","&amp;SUBSTITUTE(input_location," ","")&amp;",")))&gt;0)),IF(FS229="",TRUE,IF(input_location="",FALSE,SUMPRODUCT(--ISNUMBER(SEARCH(","&amp;TRIM(TEXTSPLIT(FS229,","))&amp;",",","&amp;SUBSTITUTE(input_location," ","")&amp;",")))=COUNTA(TEXTSPLIT(FS229,",")))),IF(FU229="",TRUE,IF(input_location="",TRUE,SUMPRODUCT(--ISNUMBER(SEARCH(","&amp;TRIM(TEXTSPLIT(FU229,","))&amp;",",","&amp;SUBSTITUTE(input_location," ","")&amp;",")))=0)),IF(FW229="",TRUE,IF(input_location="",FALSE,SUMPRODUCT(--ISNUMBER(SEARCH(","&amp;TRIM(TEXTSPLIT(FW229,","))&amp;",",","&amp;SUBSTITUTE(input_location," ","")&amp;",")))&gt;0)),IF(FY229="",TRUE,IF(input_location="",FALSE,SUMPRODUCT(--ISNUMBER(SEARCH(","&amp;TRIM(TEXTSPLIT(FY229,","))&amp;",",","&amp;SUBSTITUTE(input_location," ","")&amp;",")))=COUNTA(TEXTSPLIT(FY229,",")))))</f>
        <v/>
      </c>
      <c r="JK229">
        <f>AND(IF(GA229="",TRUE,IF(input_modality="",FALSE,SUMPRODUCT(--ISNUMBER(SEARCH(","&amp;TRIM(TEXTSPLIT(GA229,","))&amp;",",","&amp;SUBSTITUTE(input_modality," ","")&amp;",")))&gt;0)),IF(GC229="",TRUE,IF(input_modality="",FALSE,SUMPRODUCT(--ISNUMBER(SEARCH(","&amp;TRIM(TEXTSPLIT(GC229,","))&amp;",",","&amp;SUBSTITUTE(input_modality," ","")&amp;",")))=COUNTA(TEXTSPLIT(GC229,",")))),IF(GE229="",TRUE,IF(input_modality="",TRUE,SUMPRODUCT(--ISNUMBER(SEARCH(","&amp;TRIM(TEXTSPLIT(GE229,","))&amp;",",","&amp;SUBSTITUTE(input_modality," ","")&amp;",")))=0)),IF(GG229="",TRUE,IF(input_modality="",FALSE,SUMPRODUCT(--ISNUMBER(SEARCH(","&amp;TRIM(TEXTSPLIT(GG229,","))&amp;",",","&amp;SUBSTITUTE(input_modality," ","")&amp;",")))&gt;0)),IF(GI229="",TRUE,IF(input_modality="",FALSE,SUMPRODUCT(--ISNUMBER(SEARCH(","&amp;TRIM(TEXTSPLIT(GI229,","))&amp;",",","&amp;SUBSTITUTE(input_modality," ","")&amp;",")))=COUNTA(TEXTSPLIT(GI229,",")))))</f>
        <v/>
      </c>
      <c r="JL229">
        <f>AND(IF(GK229="",TRUE,IF(input_organizer="",FALSE,SUMPRODUCT(--ISNUMBER(SEARCH(","&amp;TRIM(TEXTSPLIT(GK229,","))&amp;",",","&amp;SUBSTITUTE(input_organizer," ","")&amp;",")))&gt;0)),IF(GM229="",TRUE,IF(input_organizer="",FALSE,SUMPRODUCT(--ISNUMBER(SEARCH(","&amp;TRIM(TEXTSPLIT(GM229,","))&amp;",",","&amp;SUBSTITUTE(input_organizer," ","")&amp;",")))=COUNTA(TEXTSPLIT(GM229,",")))),IF(GO229="",TRUE,IF(input_organizer="",TRUE,SUMPRODUCT(--ISNUMBER(SEARCH(","&amp;TRIM(TEXTSPLIT(GO229,","))&amp;",",","&amp;SUBSTITUTE(input_organizer," ","")&amp;",")))=0)),IF(GQ229="",TRUE,IF(input_organizer="",FALSE,SUMPRODUCT(--ISNUMBER(SEARCH(","&amp;TRIM(TEXTSPLIT(GQ229,","))&amp;",",","&amp;SUBSTITUTE(input_organizer," ","")&amp;",")))&gt;0)),IF(GS229="",TRUE,IF(input_organizer="",FALSE,SUMPRODUCT(--ISNUMBER(SEARCH(","&amp;TRIM(TEXTSPLIT(GS229,","))&amp;",",","&amp;SUBSTITUTE(input_organizer," ","")&amp;",")))=COUNTA(TEXTSPLIT(GS229,",")))))</f>
        <v/>
      </c>
      <c r="JM229">
        <f>AND(IF(GU229="",TRUE,IF(input_profile_type="",FALSE,SUMPRODUCT(--ISNUMBER(SEARCH(","&amp;TRIM(TEXTSPLIT(GU229,","))&amp;",",","&amp;SUBSTITUTE(input_profile_type," ","")&amp;",")))&gt;0)),IF(GW229="",TRUE,IF(input_profile_type="",FALSE,SUMPRODUCT(--ISNUMBER(SEARCH(","&amp;TRIM(TEXTSPLIT(GW229,","))&amp;",",","&amp;SUBSTITUTE(input_profile_type," ","")&amp;",")))=COUNTA(TEXTSPLIT(GW229,",")))),IF(GY229="",TRUE,IF(input_profile_type="",TRUE,SUMPRODUCT(--ISNUMBER(SEARCH(","&amp;TRIM(TEXTSPLIT(GY229,","))&amp;",",","&amp;SUBSTITUTE(input_profile_type," ","")&amp;",")))=0)),IF(HA229="",TRUE,IF(input_profile_type="",FALSE,SUMPRODUCT(--ISNUMBER(SEARCH(","&amp;TRIM(TEXTSPLIT(HA229,","))&amp;",",","&amp;SUBSTITUTE(input_profile_type," ","")&amp;",")))&gt;0)),IF(HC229="",TRUE,IF(input_profile_type="",FALSE,SUMPRODUCT(--ISNUMBER(SEARCH(","&amp;TRIM(TEXTSPLIT(HC229,","))&amp;",",","&amp;SUBSTITUTE(input_profile_type," ","")&amp;",")))=COUNTA(TEXTSPLIT(HC229,",")))))</f>
        <v/>
      </c>
      <c r="JN229">
        <f>AND(IF(HE229="",TRUE,IF(input_program="",FALSE,SUMPRODUCT(--ISNUMBER(SEARCH(","&amp;TRIM(TEXTSPLIT(HE229,","))&amp;",",","&amp;SUBSTITUTE(input_program," ","")&amp;",")))&gt;0)),IF(HG229="",TRUE,IF(input_program="",FALSE,SUMPRODUCT(--ISNUMBER(SEARCH(","&amp;TRIM(TEXTSPLIT(HG229,","))&amp;",",","&amp;SUBSTITUTE(input_program," ","")&amp;",")))=COUNTA(TEXTSPLIT(HG229,",")))),IF(HI229="",TRUE,IF(input_program="",TRUE,SUMPRODUCT(--ISNUMBER(SEARCH(","&amp;TRIM(TEXTSPLIT(HI229,","))&amp;",",","&amp;SUBSTITUTE(input_program," ","")&amp;",")))=0)),IF(HK229="",TRUE,IF(input_program="",FALSE,SUMPRODUCT(--ISNUMBER(SEARCH(","&amp;TRIM(TEXTSPLIT(HK229,","))&amp;",",","&amp;SUBSTITUTE(input_program," ","")&amp;",")))&gt;0)),IF(HM229="",TRUE,IF(input_program="",FALSE,SUMPRODUCT(--ISNUMBER(SEARCH(","&amp;TRIM(TEXTSPLIT(HM229,","))&amp;",",","&amp;SUBSTITUTE(input_program," ","")&amp;",")))=COUNTA(TEXTSPLIT(HM229,",")))))</f>
        <v/>
      </c>
      <c r="JO229">
        <f>AND(IF(HO229="",TRUE,IF(input_story_categories="",FALSE,SUMPRODUCT(--ISNUMBER(SEARCH(","&amp;TRIM(TEXTSPLIT(HO229,","))&amp;",",","&amp;SUBSTITUTE(input_story_categories," ","")&amp;",")))&gt;0)),IF(HQ229="",TRUE,IF(input_story_categories="",FALSE,SUMPRODUCT(--ISNUMBER(SEARCH(","&amp;TRIM(TEXTSPLIT(HQ229,","))&amp;",",","&amp;SUBSTITUTE(input_story_categories," ","")&amp;",")))=COUNTA(TEXTSPLIT(HQ229,",")))),IF(HS229="",TRUE,IF(input_story_categories="",TRUE,SUMPRODUCT(--ISNUMBER(SEARCH(","&amp;TRIM(TEXTSPLIT(HS229,","))&amp;",",","&amp;SUBSTITUTE(input_story_categories," ","")&amp;",")))=0)),IF(HU229="",TRUE,IF(input_story_categories="",FALSE,SUMPRODUCT(--ISNUMBER(SEARCH(","&amp;TRIM(TEXTSPLIT(HU229,","))&amp;",",","&amp;SUBSTITUTE(input_story_categories," ","")&amp;",")))&gt;0)),IF(HW229="",TRUE,IF(input_story_categories="",FALSE,SUMPRODUCT(--ISNUMBER(SEARCH(","&amp;TRIM(TEXTSPLIT(HW229,","))&amp;",",","&amp;SUBSTITUTE(input_story_categories," ","")&amp;",")))=COUNTA(TEXTSPLIT(HW229,",")))))</f>
        <v/>
      </c>
      <c r="JP229">
        <f>AND(IF(HY229="",TRUE,IF(input_story_type="",FALSE,SUMPRODUCT(--ISNUMBER(SEARCH(","&amp;TRIM(TEXTSPLIT(HY229,","))&amp;",",","&amp;SUBSTITUTE(input_story_type," ","")&amp;",")))&gt;0)),IF(IA229="",TRUE,IF(input_story_type="",FALSE,SUMPRODUCT(--ISNUMBER(SEARCH(","&amp;TRIM(TEXTSPLIT(IA229,","))&amp;",",","&amp;SUBSTITUTE(input_story_type," ","")&amp;",")))=COUNTA(TEXTSPLIT(IA229,",")))),IF(IC229="",TRUE,IF(input_story_type="",TRUE,SUMPRODUCT(--ISNUMBER(SEARCH(","&amp;TRIM(TEXTSPLIT(IC229,","))&amp;",",","&amp;SUBSTITUTE(input_story_type," ","")&amp;",")))=0)),IF(IE229="",TRUE,IF(input_story_type="",FALSE,SUMPRODUCT(--ISNUMBER(SEARCH(","&amp;TRIM(TEXTSPLIT(IE229,","))&amp;",",","&amp;SUBSTITUTE(input_story_type," ","")&amp;",")))&gt;0)),IF(IG229="",TRUE,IF(input_story_type="",FALSE,SUMPRODUCT(--ISNUMBER(SEARCH(","&amp;TRIM(TEXTSPLIT(IG229,","))&amp;",",","&amp;SUBSTITUTE(input_story_type," ","")&amp;",")))=COUNTA(TEXTSPLIT(IG229,",")))))</f>
        <v/>
      </c>
      <c r="JQ229">
        <f>AND(IF(II229="",TRUE,IF(input_topics="",FALSE,SUMPRODUCT(--ISNUMBER(SEARCH(","&amp;TRIM(TEXTSPLIT(II229,","))&amp;",",","&amp;SUBSTITUTE(input_topics," ","")&amp;",")))&gt;0)),IF(IK229="",TRUE,IF(input_topics="",FALSE,SUMPRODUCT(--ISNUMBER(SEARCH(","&amp;TRIM(TEXTSPLIT(IK229,","))&amp;",",","&amp;SUBSTITUTE(input_topics," ","")&amp;",")))=COUNTA(TEXTSPLIT(IK229,",")))),IF(IM229="",TRUE,IF(input_topics="",TRUE,SUMPRODUCT(--ISNUMBER(SEARCH(","&amp;TRIM(TEXTSPLIT(IM229,","))&amp;",",","&amp;SUBSTITUTE(input_topics," ","")&amp;",")))=0)),IF(IO229="",TRUE,IF(input_topics="",FALSE,SUMPRODUCT(--ISNUMBER(SEARCH(","&amp;TRIM(TEXTSPLIT(IO229,","))&amp;",",","&amp;SUBSTITUTE(input_topics," ","")&amp;",")))&gt;0)),IF(IQ229="",TRUE,IF(input_topics="",FALSE,SUMPRODUCT(--ISNUMBER(SEARCH(","&amp;TRIM(TEXTSPLIT(IQ229,","))&amp;",",","&amp;SUBSTITUTE(input_topics," ","")&amp;",")))=COUNTA(TEXTSPLIT(IQ229,",")))))</f>
        <v/>
      </c>
    </row>
    <row r="230">
      <c r="A230" s="4">
        <f>IF(NOT(IS230),"Excluded",IF(AND(IT230,IU230,IV230,IW230,IX230,IY230,IZ230,JA230,JB230,JC230,JD230,JE230,JF230,JG230,JH230,JI230,JJ230,JK230,JL230,JM230,JN230,JO230,JP230,JQ230),IF(I230&gt;0,"Eligible but limited","Will appear"),"Excluded"))</f>
        <v/>
      </c>
      <c r="B230" s="4" t="inlineStr">
        <is>
          <t>Student Profiles</t>
        </is>
      </c>
      <c r="C230" s="4" t="inlineStr">
        <is>
          <t>/programs/mam/the-student-experience/student-profiles</t>
        </is>
      </c>
      <c r="D230" s="4" t="inlineStr">
        <is>
          <t>/programs/mam/the-student-experience/student-profiles</t>
        </is>
      </c>
      <c r="E230" s="4" t="n">
        <v>1</v>
      </c>
      <c r="F230" s="4" t="inlineStr">
        <is>
          <t>profile</t>
        </is>
      </c>
      <c r="G230" s="4" t="inlineStr">
        <is>
          <t>profiles_grid</t>
        </is>
      </c>
      <c r="H230" s="4" t="inlineStr">
        <is>
          <t>embed_5</t>
        </is>
      </c>
      <c r="I230" s="4" t="n">
        <v>9</v>
      </c>
      <c r="J230" s="4" t="inlineStr">
        <is>
          <t>Explicit args</t>
        </is>
      </c>
      <c r="K230" s="4" t="inlineStr">
        <is>
          <t>Page placement</t>
        </is>
      </c>
      <c r="L230" s="4" t="inlineStr">
        <is>
          <t>Content type: profile; Excludes Profile Type: Ambassador (1552); Context uses Program: Master of Advanced Management (81); Limited to 9 item(s); Source: Explicit args</t>
        </is>
      </c>
      <c r="M230" t="inlineStr"/>
      <c r="N230" t="inlineStr"/>
      <c r="O230" t="inlineStr"/>
      <c r="P230" t="inlineStr"/>
      <c r="Q230" t="inlineStr"/>
      <c r="R230" t="inlineStr"/>
      <c r="S230" t="inlineStr"/>
      <c r="T230" t="inlineStr"/>
      <c r="U230" t="inlineStr"/>
      <c r="V230" t="inlineStr"/>
      <c r="W230" t="inlineStr"/>
      <c r="X230" t="inlineStr"/>
      <c r="Y230" t="inlineStr"/>
      <c r="Z230" t="inlineStr"/>
      <c r="AA230" t="inlineStr"/>
      <c r="AB230" t="inlineStr"/>
      <c r="AC230" t="inlineStr"/>
      <c r="AD230" t="inlineStr"/>
      <c r="AE230" t="inlineStr"/>
      <c r="AF230" t="inlineStr"/>
      <c r="AG230" t="inlineStr"/>
      <c r="AH230" t="inlineStr"/>
      <c r="AI230" t="inlineStr"/>
      <c r="AJ230" t="inlineStr"/>
      <c r="AK230" t="inlineStr"/>
      <c r="AL230" t="inlineStr"/>
      <c r="AM230" t="inlineStr"/>
      <c r="AN230" t="inlineStr"/>
      <c r="AO230" t="inlineStr"/>
      <c r="AP230" t="inlineStr"/>
      <c r="AQ230" t="inlineStr"/>
      <c r="AR230" t="inlineStr"/>
      <c r="AS230" t="inlineStr"/>
      <c r="AT230" t="inlineStr"/>
      <c r="AU230" t="inlineStr"/>
      <c r="AV230" t="inlineStr"/>
      <c r="AW230" t="inlineStr"/>
      <c r="AX230" t="inlineStr"/>
      <c r="AY230" t="inlineStr"/>
      <c r="AZ230" t="inlineStr"/>
      <c r="BA230" t="inlineStr"/>
      <c r="BB230" t="inlineStr"/>
      <c r="BC230" t="inlineStr"/>
      <c r="BD230" t="inlineStr"/>
      <c r="BE230" t="inlineStr"/>
      <c r="BF230" t="inlineStr"/>
      <c r="BG230" t="inlineStr"/>
      <c r="BH230" t="inlineStr"/>
      <c r="BI230" t="inlineStr"/>
      <c r="BJ230" t="inlineStr"/>
      <c r="BK230" t="inlineStr"/>
      <c r="BL230" t="inlineStr"/>
      <c r="BM230" t="inlineStr"/>
      <c r="BN230" t="inlineStr"/>
      <c r="BO230" t="inlineStr"/>
      <c r="BP230" t="inlineStr"/>
      <c r="BQ230" t="inlineStr"/>
      <c r="BR230" t="inlineStr"/>
      <c r="BS230" t="inlineStr"/>
      <c r="BT230" t="inlineStr"/>
      <c r="BU230" t="inlineStr"/>
      <c r="BV230" t="inlineStr"/>
      <c r="BW230" t="inlineStr"/>
      <c r="BX230" t="inlineStr"/>
      <c r="BY230" t="inlineStr"/>
      <c r="BZ230" t="inlineStr"/>
      <c r="CA230" t="inlineStr"/>
      <c r="CB230" t="inlineStr"/>
      <c r="CC230" t="inlineStr"/>
      <c r="CD230" t="inlineStr"/>
      <c r="CE230" t="inlineStr"/>
      <c r="CF230" t="inlineStr"/>
      <c r="CG230" t="inlineStr"/>
      <c r="CH230" t="inlineStr"/>
      <c r="CI230" t="inlineStr"/>
      <c r="CJ230" t="inlineStr"/>
      <c r="CK230" t="inlineStr"/>
      <c r="CL230" t="inlineStr"/>
      <c r="CM230" t="inlineStr"/>
      <c r="CN230" t="inlineStr"/>
      <c r="CO230" t="inlineStr"/>
      <c r="CP230" t="inlineStr"/>
      <c r="CQ230" t="inlineStr"/>
      <c r="CR230" t="inlineStr"/>
      <c r="CS230" t="inlineStr"/>
      <c r="CT230" t="inlineStr"/>
      <c r="CU230" t="inlineStr"/>
      <c r="CV230" t="inlineStr"/>
      <c r="CW230" t="inlineStr"/>
      <c r="CX230" t="inlineStr"/>
      <c r="CY230" t="inlineStr"/>
      <c r="CZ230" t="inlineStr"/>
      <c r="DA230" t="inlineStr"/>
      <c r="DB230" t="inlineStr"/>
      <c r="DC230" t="inlineStr"/>
      <c r="DD230" t="inlineStr"/>
      <c r="DE230" t="inlineStr"/>
      <c r="DF230" t="inlineStr"/>
      <c r="DG230" t="inlineStr"/>
      <c r="DH230" t="inlineStr"/>
      <c r="DI230" t="inlineStr"/>
      <c r="DJ230" t="inlineStr"/>
      <c r="DK230" t="inlineStr"/>
      <c r="DL230" t="inlineStr"/>
      <c r="DM230" t="inlineStr"/>
      <c r="DN230" t="inlineStr"/>
      <c r="DO230" t="inlineStr"/>
      <c r="DP230" t="inlineStr"/>
      <c r="DQ230" t="inlineStr"/>
      <c r="DR230" t="inlineStr"/>
      <c r="DS230" t="inlineStr"/>
      <c r="DT230" t="inlineStr"/>
      <c r="DU230" t="inlineStr"/>
      <c r="DV230" t="inlineStr"/>
      <c r="DW230" t="inlineStr"/>
      <c r="DX230" t="inlineStr"/>
      <c r="DY230" t="inlineStr"/>
      <c r="DZ230" t="inlineStr"/>
      <c r="EA230" t="inlineStr"/>
      <c r="EB230" t="inlineStr"/>
      <c r="EC230" t="inlineStr"/>
      <c r="ED230" t="inlineStr"/>
      <c r="EE230" t="inlineStr"/>
      <c r="EF230" t="inlineStr"/>
      <c r="EG230" t="inlineStr"/>
      <c r="EH230" t="inlineStr"/>
      <c r="EI230" t="inlineStr"/>
      <c r="EJ230" t="inlineStr"/>
      <c r="EK230" t="inlineStr"/>
      <c r="EL230" t="inlineStr"/>
      <c r="EM230" t="inlineStr"/>
      <c r="EN230" t="inlineStr"/>
      <c r="EO230" t="inlineStr"/>
      <c r="EP230" t="inlineStr"/>
      <c r="EQ230" t="inlineStr"/>
      <c r="ER230" t="inlineStr"/>
      <c r="ES230" t="inlineStr"/>
      <c r="ET230" t="inlineStr"/>
      <c r="EU230" t="inlineStr"/>
      <c r="EV230" t="inlineStr"/>
      <c r="EW230" t="inlineStr"/>
      <c r="EX230" t="inlineStr"/>
      <c r="EY230" t="inlineStr"/>
      <c r="EZ230" t="inlineStr"/>
      <c r="FA230" t="inlineStr"/>
      <c r="FB230" t="inlineStr"/>
      <c r="FC230" t="inlineStr"/>
      <c r="FD230" t="inlineStr"/>
      <c r="FE230" t="inlineStr"/>
      <c r="FF230" t="inlineStr"/>
      <c r="FG230" t="inlineStr"/>
      <c r="FH230" t="inlineStr"/>
      <c r="FI230" t="inlineStr"/>
      <c r="FJ230" t="inlineStr"/>
      <c r="FK230" t="inlineStr"/>
      <c r="FL230" t="inlineStr"/>
      <c r="FM230" t="inlineStr"/>
      <c r="FN230" t="inlineStr"/>
      <c r="FO230" t="inlineStr"/>
      <c r="FP230" t="inlineStr"/>
      <c r="FQ230" t="inlineStr"/>
      <c r="FR230" t="inlineStr"/>
      <c r="FS230" t="inlineStr"/>
      <c r="FT230" t="inlineStr"/>
      <c r="FU230" t="inlineStr"/>
      <c r="FV230" t="inlineStr"/>
      <c r="FW230" t="inlineStr"/>
      <c r="FX230" t="inlineStr"/>
      <c r="FY230" t="inlineStr"/>
      <c r="FZ230" t="inlineStr"/>
      <c r="GA230" t="inlineStr"/>
      <c r="GB230" t="inlineStr"/>
      <c r="GC230" t="inlineStr"/>
      <c r="GD230" t="inlineStr"/>
      <c r="GE230" t="inlineStr"/>
      <c r="GF230" t="inlineStr"/>
      <c r="GG230" t="inlineStr"/>
      <c r="GH230" t="inlineStr"/>
      <c r="GI230" t="inlineStr"/>
      <c r="GJ230" t="inlineStr"/>
      <c r="GK230" t="inlineStr"/>
      <c r="GL230" t="inlineStr"/>
      <c r="GM230" t="inlineStr"/>
      <c r="GN230" t="inlineStr"/>
      <c r="GO230" t="inlineStr"/>
      <c r="GP230" t="inlineStr"/>
      <c r="GQ230" t="inlineStr"/>
      <c r="GR230" t="inlineStr"/>
      <c r="GS230" t="inlineStr"/>
      <c r="GT230" t="inlineStr"/>
      <c r="GU230" t="inlineStr"/>
      <c r="GV230" t="inlineStr"/>
      <c r="GW230" t="inlineStr"/>
      <c r="GX230" t="inlineStr"/>
      <c r="GY230" t="inlineStr">
        <is>
          <t>1552</t>
        </is>
      </c>
      <c r="GZ230" t="inlineStr">
        <is>
          <t>Ambassador (1552)</t>
        </is>
      </c>
      <c r="HA230" t="inlineStr"/>
      <c r="HB230" t="inlineStr"/>
      <c r="HC230" t="inlineStr"/>
      <c r="HD230" t="inlineStr"/>
      <c r="HE230" t="inlineStr"/>
      <c r="HF230" t="inlineStr"/>
      <c r="HG230" t="inlineStr"/>
      <c r="HH230" t="inlineStr"/>
      <c r="HI230" t="inlineStr"/>
      <c r="HJ230" t="inlineStr"/>
      <c r="HK230" t="inlineStr">
        <is>
          <t>81</t>
        </is>
      </c>
      <c r="HL230" t="inlineStr">
        <is>
          <t>Master of Advanced Management (81)</t>
        </is>
      </c>
      <c r="HM230" t="inlineStr"/>
      <c r="HN230" t="inlineStr"/>
      <c r="HO230" t="inlineStr"/>
      <c r="HP230" t="inlineStr"/>
      <c r="HQ230" t="inlineStr"/>
      <c r="HR230" t="inlineStr"/>
      <c r="HS230" t="inlineStr"/>
      <c r="HT230" t="inlineStr"/>
      <c r="HU230" t="inlineStr"/>
      <c r="HV230" t="inlineStr"/>
      <c r="HW230" t="inlineStr"/>
      <c r="HX230" t="inlineStr"/>
      <c r="HY230" t="inlineStr"/>
      <c r="HZ230" t="inlineStr"/>
      <c r="IA230" t="inlineStr"/>
      <c r="IB230" t="inlineStr"/>
      <c r="IC230" t="inlineStr"/>
      <c r="ID230" t="inlineStr"/>
      <c r="IE230" t="inlineStr"/>
      <c r="IF230" t="inlineStr"/>
      <c r="IG230" t="inlineStr"/>
      <c r="IH230" t="inlineStr"/>
      <c r="II230" t="inlineStr"/>
      <c r="IJ230" t="inlineStr"/>
      <c r="IK230" t="inlineStr"/>
      <c r="IL230" t="inlineStr"/>
      <c r="IM230" t="inlineStr"/>
      <c r="IN230" t="inlineStr"/>
      <c r="IO230" t="inlineStr"/>
      <c r="IP230" t="inlineStr"/>
      <c r="IQ230" t="inlineStr"/>
      <c r="IR230" t="inlineStr"/>
      <c r="IS230">
        <f>IF(input_content_type="",FALSE,ISNUMBER(SEARCH(","&amp;LOWER(input_content_type)&amp;",",","&amp;LOWER(F230)&amp;",")))</f>
        <v/>
      </c>
      <c r="IT230">
        <f>AND(IF(M230="",TRUE,IF(input_affiliations="",FALSE,SUMPRODUCT(--ISNUMBER(SEARCH(","&amp;TRIM(TEXTSPLIT(M230,","))&amp;",",","&amp;SUBSTITUTE(input_affiliations," ","")&amp;",")))&gt;0)),IF(O230="",TRUE,IF(input_affiliations="",FALSE,SUMPRODUCT(--ISNUMBER(SEARCH(","&amp;TRIM(TEXTSPLIT(O230,","))&amp;",",","&amp;SUBSTITUTE(input_affiliations," ","")&amp;",")))=COUNTA(TEXTSPLIT(O230,",")))),IF(Q230="",TRUE,IF(input_affiliations="",TRUE,SUMPRODUCT(--ISNUMBER(SEARCH(","&amp;TRIM(TEXTSPLIT(Q230,","))&amp;",",","&amp;SUBSTITUTE(input_affiliations," ","")&amp;",")))=0)),IF(S230="",TRUE,IF(input_affiliations="",FALSE,SUMPRODUCT(--ISNUMBER(SEARCH(","&amp;TRIM(TEXTSPLIT(S230,","))&amp;",",","&amp;SUBSTITUTE(input_affiliations," ","")&amp;",")))&gt;0)),IF(U230="",TRUE,IF(input_affiliations="",FALSE,SUMPRODUCT(--ISNUMBER(SEARCH(","&amp;TRIM(TEXTSPLIT(U230,","))&amp;",",","&amp;SUBSTITUTE(input_affiliations," ","")&amp;",")))=COUNTA(TEXTSPLIT(U230,",")))))</f>
        <v/>
      </c>
      <c r="IU230">
        <f>AND(IF(W230="",TRUE,IF(input_announcement_category="",FALSE,SUMPRODUCT(--ISNUMBER(SEARCH(","&amp;TRIM(TEXTSPLIT(W230,","))&amp;",",","&amp;SUBSTITUTE(input_announcement_category," ","")&amp;",")))&gt;0)),IF(Y230="",TRUE,IF(input_announcement_category="",FALSE,SUMPRODUCT(--ISNUMBER(SEARCH(","&amp;TRIM(TEXTSPLIT(Y230,","))&amp;",",","&amp;SUBSTITUTE(input_announcement_category," ","")&amp;",")))=COUNTA(TEXTSPLIT(Y230,",")))),IF(AA230="",TRUE,IF(input_announcement_category="",TRUE,SUMPRODUCT(--ISNUMBER(SEARCH(","&amp;TRIM(TEXTSPLIT(AA230,","))&amp;",",","&amp;SUBSTITUTE(input_announcement_category," ","")&amp;",")))=0)),IF(AC230="",TRUE,IF(input_announcement_category="",FALSE,SUMPRODUCT(--ISNUMBER(SEARCH(","&amp;TRIM(TEXTSPLIT(AC230,","))&amp;",",","&amp;SUBSTITUTE(input_announcement_category," ","")&amp;",")))&gt;0)),IF(AE230="",TRUE,IF(input_announcement_category="",FALSE,SUMPRODUCT(--ISNUMBER(SEARCH(","&amp;TRIM(TEXTSPLIT(AE230,","))&amp;",",","&amp;SUBSTITUTE(input_announcement_category," ","")&amp;",")))=COUNTA(TEXTSPLIT(AE230,",")))))</f>
        <v/>
      </c>
      <c r="IV230">
        <f>AND(IF(AG230="",TRUE,IF(input_area_of_focus="",FALSE,SUMPRODUCT(--ISNUMBER(SEARCH(","&amp;TRIM(TEXTSPLIT(AG230,","))&amp;",",","&amp;SUBSTITUTE(input_area_of_focus," ","")&amp;",")))&gt;0)),IF(AI230="",TRUE,IF(input_area_of_focus="",FALSE,SUMPRODUCT(--ISNUMBER(SEARCH(","&amp;TRIM(TEXTSPLIT(AI230,","))&amp;",",","&amp;SUBSTITUTE(input_area_of_focus," ","")&amp;",")))=COUNTA(TEXTSPLIT(AI230,",")))),IF(AK230="",TRUE,IF(input_area_of_focus="",TRUE,SUMPRODUCT(--ISNUMBER(SEARCH(","&amp;TRIM(TEXTSPLIT(AK230,","))&amp;",",","&amp;SUBSTITUTE(input_area_of_focus," ","")&amp;",")))=0)),IF(AM230="",TRUE,IF(input_area_of_focus="",FALSE,SUMPRODUCT(--ISNUMBER(SEARCH(","&amp;TRIM(TEXTSPLIT(AM230,","))&amp;",",","&amp;SUBSTITUTE(input_area_of_focus," ","")&amp;",")))&gt;0)),IF(AO230="",TRUE,IF(input_area_of_focus="",FALSE,SUMPRODUCT(--ISNUMBER(SEARCH(","&amp;TRIM(TEXTSPLIT(AO230,","))&amp;",",","&amp;SUBSTITUTE(input_area_of_focus," ","")&amp;",")))=COUNTA(TEXTSPLIT(AO230,",")))))</f>
        <v/>
      </c>
      <c r="IW230">
        <f>AND(IF(AQ230="",TRUE,IF(input_audience="",FALSE,SUMPRODUCT(--ISNUMBER(SEARCH(","&amp;TRIM(TEXTSPLIT(AQ230,","))&amp;",",","&amp;SUBSTITUTE(input_audience," ","")&amp;",")))&gt;0)),IF(AS230="",TRUE,IF(input_audience="",FALSE,SUMPRODUCT(--ISNUMBER(SEARCH(","&amp;TRIM(TEXTSPLIT(AS230,","))&amp;",",","&amp;SUBSTITUTE(input_audience," ","")&amp;",")))=COUNTA(TEXTSPLIT(AS230,",")))),IF(AU230="",TRUE,IF(input_audience="",TRUE,SUMPRODUCT(--ISNUMBER(SEARCH(","&amp;TRIM(TEXTSPLIT(AU230,","))&amp;",",","&amp;SUBSTITUTE(input_audience," ","")&amp;",")))=0)),IF(AW230="",TRUE,IF(input_audience="",FALSE,SUMPRODUCT(--ISNUMBER(SEARCH(","&amp;TRIM(TEXTSPLIT(AW230,","))&amp;",",","&amp;SUBSTITUTE(input_audience," ","")&amp;",")))&gt;0)),IF(AY230="",TRUE,IF(input_audience="",FALSE,SUMPRODUCT(--ISNUMBER(SEARCH(","&amp;TRIM(TEXTSPLIT(AY230,","))&amp;",",","&amp;SUBSTITUTE(input_audience," ","")&amp;",")))=COUNTA(TEXTSPLIT(AY230,",")))))</f>
        <v/>
      </c>
      <c r="IX230">
        <f>AND(IF(BA230="",TRUE,IF(input_challenge_opportunities="",FALSE,SUMPRODUCT(--ISNUMBER(SEARCH(","&amp;TRIM(TEXTSPLIT(BA230,","))&amp;",",","&amp;SUBSTITUTE(input_challenge_opportunities," ","")&amp;",")))&gt;0)),IF(BC230="",TRUE,IF(input_challenge_opportunities="",FALSE,SUMPRODUCT(--ISNUMBER(SEARCH(","&amp;TRIM(TEXTSPLIT(BC230,","))&amp;",",","&amp;SUBSTITUTE(input_challenge_opportunities," ","")&amp;",")))=COUNTA(TEXTSPLIT(BC230,",")))),IF(BE230="",TRUE,IF(input_challenge_opportunities="",TRUE,SUMPRODUCT(--ISNUMBER(SEARCH(","&amp;TRIM(TEXTSPLIT(BE230,","))&amp;",",","&amp;SUBSTITUTE(input_challenge_opportunities," ","")&amp;",")))=0)),IF(BG230="",TRUE,IF(input_challenge_opportunities="",FALSE,SUMPRODUCT(--ISNUMBER(SEARCH(","&amp;TRIM(TEXTSPLIT(BG230,","))&amp;",",","&amp;SUBSTITUTE(input_challenge_opportunities," ","")&amp;",")))&gt;0)),IF(BI230="",TRUE,IF(input_challenge_opportunities="",FALSE,SUMPRODUCT(--ISNUMBER(SEARCH(","&amp;TRIM(TEXTSPLIT(BI230,","))&amp;",",","&amp;SUBSTITUTE(input_challenge_opportunities," ","")&amp;",")))=COUNTA(TEXTSPLIT(BI230,",")))))</f>
        <v/>
      </c>
      <c r="IY230">
        <f>AND(IF(BK230="",TRUE,IF(input_context="",FALSE,SUMPRODUCT(--ISNUMBER(SEARCH(","&amp;TRIM(TEXTSPLIT(BK230,","))&amp;",",","&amp;SUBSTITUTE(input_context," ","")&amp;",")))&gt;0)),IF(BM230="",TRUE,IF(input_context="",FALSE,SUMPRODUCT(--ISNUMBER(SEARCH(","&amp;TRIM(TEXTSPLIT(BM230,","))&amp;",",","&amp;SUBSTITUTE(input_context," ","")&amp;",")))=COUNTA(TEXTSPLIT(BM230,",")))),IF(BO230="",TRUE,IF(input_context="",TRUE,SUMPRODUCT(--ISNUMBER(SEARCH(","&amp;TRIM(TEXTSPLIT(BO230,","))&amp;",",","&amp;SUBSTITUTE(input_context," ","")&amp;",")))=0)),IF(BQ230="",TRUE,IF(input_context="",FALSE,SUMPRODUCT(--ISNUMBER(SEARCH(","&amp;TRIM(TEXTSPLIT(BQ230,","))&amp;",",","&amp;SUBSTITUTE(input_context," ","")&amp;",")))&gt;0)),IF(BS230="",TRUE,IF(input_context="",FALSE,SUMPRODUCT(--ISNUMBER(SEARCH(","&amp;TRIM(TEXTSPLIT(BS230,","))&amp;",",","&amp;SUBSTITUTE(input_context," ","")&amp;",")))=COUNTA(TEXTSPLIT(BS230,",")))))</f>
        <v/>
      </c>
      <c r="IZ230">
        <f>AND(IF(BU230="",TRUE,IF(input_enews_announcement_type="",FALSE,SUMPRODUCT(--ISNUMBER(SEARCH(","&amp;TRIM(TEXTSPLIT(BU230,","))&amp;",",","&amp;SUBSTITUTE(input_enews_announcement_type," ","")&amp;",")))&gt;0)),IF(BW230="",TRUE,IF(input_enews_announcement_type="",FALSE,SUMPRODUCT(--ISNUMBER(SEARCH(","&amp;TRIM(TEXTSPLIT(BW230,","))&amp;",",","&amp;SUBSTITUTE(input_enews_announcement_type," ","")&amp;",")))=COUNTA(TEXTSPLIT(BW230,",")))),IF(BY230="",TRUE,IF(input_enews_announcement_type="",TRUE,SUMPRODUCT(--ISNUMBER(SEARCH(","&amp;TRIM(TEXTSPLIT(BY230,","))&amp;",",","&amp;SUBSTITUTE(input_enews_announcement_type," ","")&amp;",")))=0)),IF(CA230="",TRUE,IF(input_enews_announcement_type="",FALSE,SUMPRODUCT(--ISNUMBER(SEARCH(","&amp;TRIM(TEXTSPLIT(CA230,","))&amp;",",","&amp;SUBSTITUTE(input_enews_announcement_type," ","")&amp;",")))&gt;0)),IF(CC230="",TRUE,IF(input_enews_announcement_type="",FALSE,SUMPRODUCT(--ISNUMBER(SEARCH(","&amp;TRIM(TEXTSPLIT(CC230,","))&amp;",",","&amp;SUBSTITUTE(input_enews_announcement_type," ","")&amp;",")))=COUNTA(TEXTSPLIT(CC230,",")))))</f>
        <v/>
      </c>
      <c r="JA230">
        <f>AND(IF(CE230="",TRUE,IF(input_enews_audience="",FALSE,SUMPRODUCT(--ISNUMBER(SEARCH(","&amp;TRIM(TEXTSPLIT(CE230,","))&amp;",",","&amp;SUBSTITUTE(input_enews_audience," ","")&amp;",")))&gt;0)),IF(CG230="",TRUE,IF(input_enews_audience="",FALSE,SUMPRODUCT(--ISNUMBER(SEARCH(","&amp;TRIM(TEXTSPLIT(CG230,","))&amp;",",","&amp;SUBSTITUTE(input_enews_audience," ","")&amp;",")))=COUNTA(TEXTSPLIT(CG230,",")))),IF(CI230="",TRUE,IF(input_enews_audience="",TRUE,SUMPRODUCT(--ISNUMBER(SEARCH(","&amp;TRIM(TEXTSPLIT(CI230,","))&amp;",",","&amp;SUBSTITUTE(input_enews_audience," ","")&amp;",")))=0)),IF(CK230="",TRUE,IF(input_enews_audience="",FALSE,SUMPRODUCT(--ISNUMBER(SEARCH(","&amp;TRIM(TEXTSPLIT(CK230,","))&amp;",",","&amp;SUBSTITUTE(input_enews_audience," ","")&amp;",")))&gt;0)),IF(CM230="",TRUE,IF(input_enews_audience="",FALSE,SUMPRODUCT(--ISNUMBER(SEARCH(","&amp;TRIM(TEXTSPLIT(CM230,","))&amp;",",","&amp;SUBSTITUTE(input_enews_audience," ","")&amp;",")))=COUNTA(TEXTSPLIT(CM230,",")))))</f>
        <v/>
      </c>
      <c r="JB230">
        <f>AND(IF(CO230="",TRUE,IF(input_event_location="",FALSE,SUMPRODUCT(--ISNUMBER(SEARCH(","&amp;TRIM(TEXTSPLIT(CO230,","))&amp;",",","&amp;SUBSTITUTE(input_event_location," ","")&amp;",")))&gt;0)),IF(CQ230="",TRUE,IF(input_event_location="",FALSE,SUMPRODUCT(--ISNUMBER(SEARCH(","&amp;TRIM(TEXTSPLIT(CQ230,","))&amp;",",","&amp;SUBSTITUTE(input_event_location," ","")&amp;",")))=COUNTA(TEXTSPLIT(CQ230,",")))),IF(CS230="",TRUE,IF(input_event_location="",TRUE,SUMPRODUCT(--ISNUMBER(SEARCH(","&amp;TRIM(TEXTSPLIT(CS230,","))&amp;",",","&amp;SUBSTITUTE(input_event_location," ","")&amp;",")))=0)),IF(CU230="",TRUE,IF(input_event_location="",FALSE,SUMPRODUCT(--ISNUMBER(SEARCH(","&amp;TRIM(TEXTSPLIT(CU230,","))&amp;",",","&amp;SUBSTITUTE(input_event_location," ","")&amp;",")))&gt;0)),IF(CW230="",TRUE,IF(input_event_location="",FALSE,SUMPRODUCT(--ISNUMBER(SEARCH(","&amp;TRIM(TEXTSPLIT(CW230,","))&amp;",",","&amp;SUBSTITUTE(input_event_location," ","")&amp;",")))=COUNTA(TEXTSPLIT(CW230,",")))))</f>
        <v/>
      </c>
      <c r="JC230">
        <f>AND(IF(CY230="",TRUE,IF(input_event_type="",FALSE,SUMPRODUCT(--ISNUMBER(SEARCH(","&amp;TRIM(TEXTSPLIT(CY230,","))&amp;",",","&amp;SUBSTITUTE(input_event_type," ","")&amp;",")))&gt;0)),IF(DA230="",TRUE,IF(input_event_type="",FALSE,SUMPRODUCT(--ISNUMBER(SEARCH(","&amp;TRIM(TEXTSPLIT(DA230,","))&amp;",",","&amp;SUBSTITUTE(input_event_type," ","")&amp;",")))=COUNTA(TEXTSPLIT(DA230,",")))),IF(DC230="",TRUE,IF(input_event_type="",TRUE,SUMPRODUCT(--ISNUMBER(SEARCH(","&amp;TRIM(TEXTSPLIT(DC230,","))&amp;",",","&amp;SUBSTITUTE(input_event_type," ","")&amp;",")))=0)),IF(DE230="",TRUE,IF(input_event_type="",FALSE,SUMPRODUCT(--ISNUMBER(SEARCH(","&amp;TRIM(TEXTSPLIT(DE230,","))&amp;",",","&amp;SUBSTITUTE(input_event_type," ","")&amp;",")))&gt;0)),IF(DG230="",TRUE,IF(input_event_type="",FALSE,SUMPRODUCT(--ISNUMBER(SEARCH(","&amp;TRIM(TEXTSPLIT(DG230,","))&amp;",",","&amp;SUBSTITUTE(input_event_type," ","")&amp;",")))=COUNTA(TEXTSPLIT(DG230,",")))))</f>
        <v/>
      </c>
      <c r="JD230">
        <f>AND(IF(DI230="",TRUE,IF(input_executive_education_focus="",FALSE,SUMPRODUCT(--ISNUMBER(SEARCH(","&amp;TRIM(TEXTSPLIT(DI230,","))&amp;",",","&amp;SUBSTITUTE(input_executive_education_focus," ","")&amp;",")))&gt;0)),IF(DK230="",TRUE,IF(input_executive_education_focus="",FALSE,SUMPRODUCT(--ISNUMBER(SEARCH(","&amp;TRIM(TEXTSPLIT(DK230,","))&amp;",",","&amp;SUBSTITUTE(input_executive_education_focus," ","")&amp;",")))=COUNTA(TEXTSPLIT(DK230,",")))),IF(DM230="",TRUE,IF(input_executive_education_focus="",TRUE,SUMPRODUCT(--ISNUMBER(SEARCH(","&amp;TRIM(TEXTSPLIT(DM230,","))&amp;",",","&amp;SUBSTITUTE(input_executive_education_focus," ","")&amp;",")))=0)),IF(DO230="",TRUE,IF(input_executive_education_focus="",FALSE,SUMPRODUCT(--ISNUMBER(SEARCH(","&amp;TRIM(TEXTSPLIT(DO230,","))&amp;",",","&amp;SUBSTITUTE(input_executive_education_focus," ","")&amp;",")))&gt;0)),IF(DQ230="",TRUE,IF(input_executive_education_focus="",FALSE,SUMPRODUCT(--ISNUMBER(SEARCH(","&amp;TRIM(TEXTSPLIT(DQ230,","))&amp;",",","&amp;SUBSTITUTE(input_executive_education_focus," ","")&amp;",")))=COUNTA(TEXTSPLIT(DQ230,",")))))</f>
        <v/>
      </c>
      <c r="JE230">
        <f>AND(IF(DS230="",TRUE,IF(input_faculty_category="",FALSE,SUMPRODUCT(--ISNUMBER(SEARCH(","&amp;TRIM(TEXTSPLIT(DS230,","))&amp;",",","&amp;SUBSTITUTE(input_faculty_category," ","")&amp;",")))&gt;0)),IF(DU230="",TRUE,IF(input_faculty_category="",FALSE,SUMPRODUCT(--ISNUMBER(SEARCH(","&amp;TRIM(TEXTSPLIT(DU230,","))&amp;",",","&amp;SUBSTITUTE(input_faculty_category," ","")&amp;",")))=COUNTA(TEXTSPLIT(DU230,",")))),IF(DW230="",TRUE,IF(input_faculty_category="",TRUE,SUMPRODUCT(--ISNUMBER(SEARCH(","&amp;TRIM(TEXTSPLIT(DW230,","))&amp;",",","&amp;SUBSTITUTE(input_faculty_category," ","")&amp;",")))=0)),IF(DY230="",TRUE,IF(input_faculty_category="",FALSE,SUMPRODUCT(--ISNUMBER(SEARCH(","&amp;TRIM(TEXTSPLIT(DY230,","))&amp;",",","&amp;SUBSTITUTE(input_faculty_category," ","")&amp;",")))&gt;0)),IF(EA230="",TRUE,IF(input_faculty_category="",FALSE,SUMPRODUCT(--ISNUMBER(SEARCH(","&amp;TRIM(TEXTSPLIT(EA230,","))&amp;",",","&amp;SUBSTITUTE(input_faculty_category," ","")&amp;",")))=COUNTA(TEXTSPLIT(EA230,",")))))</f>
        <v/>
      </c>
      <c r="JF230">
        <f>AND(IF(EC230="",TRUE,IF(input_faculty_discipline="",FALSE,SUMPRODUCT(--ISNUMBER(SEARCH(","&amp;TRIM(TEXTSPLIT(EC230,","))&amp;",",","&amp;SUBSTITUTE(input_faculty_discipline," ","")&amp;",")))&gt;0)),IF(EE230="",TRUE,IF(input_faculty_discipline="",FALSE,SUMPRODUCT(--ISNUMBER(SEARCH(","&amp;TRIM(TEXTSPLIT(EE230,","))&amp;",",","&amp;SUBSTITUTE(input_faculty_discipline," ","")&amp;",")))=COUNTA(TEXTSPLIT(EE230,",")))),IF(EG230="",TRUE,IF(input_faculty_discipline="",TRUE,SUMPRODUCT(--ISNUMBER(SEARCH(","&amp;TRIM(TEXTSPLIT(EG230,","))&amp;",",","&amp;SUBSTITUTE(input_faculty_discipline," ","")&amp;",")))=0)),IF(EI230="",TRUE,IF(input_faculty_discipline="",FALSE,SUMPRODUCT(--ISNUMBER(SEARCH(","&amp;TRIM(TEXTSPLIT(EI230,","))&amp;",",","&amp;SUBSTITUTE(input_faculty_discipline," ","")&amp;",")))&gt;0)),IF(EK230="",TRUE,IF(input_faculty_discipline="",FALSE,SUMPRODUCT(--ISNUMBER(SEARCH(","&amp;TRIM(TEXTSPLIT(EK230,","))&amp;",",","&amp;SUBSTITUTE(input_faculty_discipline," ","")&amp;",")))=COUNTA(TEXTSPLIT(EK230,",")))))</f>
        <v/>
      </c>
      <c r="JG230">
        <f>AND(IF(EM230="",TRUE,IF(input_faculty_expertise="",FALSE,SUMPRODUCT(--ISNUMBER(SEARCH(","&amp;TRIM(TEXTSPLIT(EM230,","))&amp;",",","&amp;SUBSTITUTE(input_faculty_expertise," ","")&amp;",")))&gt;0)),IF(EO230="",TRUE,IF(input_faculty_expertise="",FALSE,SUMPRODUCT(--ISNUMBER(SEARCH(","&amp;TRIM(TEXTSPLIT(EO230,","))&amp;",",","&amp;SUBSTITUTE(input_faculty_expertise," ","")&amp;",")))=COUNTA(TEXTSPLIT(EO230,",")))),IF(EQ230="",TRUE,IF(input_faculty_expertise="",TRUE,SUMPRODUCT(--ISNUMBER(SEARCH(","&amp;TRIM(TEXTSPLIT(EQ230,","))&amp;",",","&amp;SUBSTITUTE(input_faculty_expertise," ","")&amp;",")))=0)),IF(ES230="",TRUE,IF(input_faculty_expertise="",FALSE,SUMPRODUCT(--ISNUMBER(SEARCH(","&amp;TRIM(TEXTSPLIT(ES230,","))&amp;",",","&amp;SUBSTITUTE(input_faculty_expertise," ","")&amp;",")))&gt;0)),IF(EU230="",TRUE,IF(input_faculty_expertise="",FALSE,SUMPRODUCT(--ISNUMBER(SEARCH(","&amp;TRIM(TEXTSPLIT(EU230,","))&amp;",",","&amp;SUBSTITUTE(input_faculty_expertise," ","")&amp;",")))=COUNTA(TEXTSPLIT(EU230,",")))))</f>
        <v/>
      </c>
      <c r="JH230">
        <f>AND(IF(EW230="",TRUE,IF(input_global_network_school="",FALSE,SUMPRODUCT(--ISNUMBER(SEARCH(","&amp;TRIM(TEXTSPLIT(EW230,","))&amp;",",","&amp;SUBSTITUTE(input_global_network_school," ","")&amp;",")))&gt;0)),IF(EY230="",TRUE,IF(input_global_network_school="",FALSE,SUMPRODUCT(--ISNUMBER(SEARCH(","&amp;TRIM(TEXTSPLIT(EY230,","))&amp;",",","&amp;SUBSTITUTE(input_global_network_school," ","")&amp;",")))=COUNTA(TEXTSPLIT(EY230,",")))),IF(FA230="",TRUE,IF(input_global_network_school="",TRUE,SUMPRODUCT(--ISNUMBER(SEARCH(","&amp;TRIM(TEXTSPLIT(FA230,","))&amp;",",","&amp;SUBSTITUTE(input_global_network_school," ","")&amp;",")))=0)),IF(FC230="",TRUE,IF(input_global_network_school="",FALSE,SUMPRODUCT(--ISNUMBER(SEARCH(","&amp;TRIM(TEXTSPLIT(FC230,","))&amp;",",","&amp;SUBSTITUTE(input_global_network_school," ","")&amp;",")))&gt;0)),IF(FE230="",TRUE,IF(input_global_network_school="",FALSE,SUMPRODUCT(--ISNUMBER(SEARCH(","&amp;TRIM(TEXTSPLIT(FE230,","))&amp;",",","&amp;SUBSTITUTE(input_global_network_school," ","")&amp;",")))=COUNTA(TEXTSPLIT(FE230,",")))))</f>
        <v/>
      </c>
      <c r="JI230">
        <f>AND(IF(FG230="",TRUE,IF(input_industry="",FALSE,SUMPRODUCT(--ISNUMBER(SEARCH(","&amp;TRIM(TEXTSPLIT(FG230,","))&amp;",",","&amp;SUBSTITUTE(input_industry," ","")&amp;",")))&gt;0)),IF(FI230="",TRUE,IF(input_industry="",FALSE,SUMPRODUCT(--ISNUMBER(SEARCH(","&amp;TRIM(TEXTSPLIT(FI230,","))&amp;",",","&amp;SUBSTITUTE(input_industry," ","")&amp;",")))=COUNTA(TEXTSPLIT(FI230,",")))),IF(FK230="",TRUE,IF(input_industry="",TRUE,SUMPRODUCT(--ISNUMBER(SEARCH(","&amp;TRIM(TEXTSPLIT(FK230,","))&amp;",",","&amp;SUBSTITUTE(input_industry," ","")&amp;",")))=0)),IF(FM230="",TRUE,IF(input_industry="",FALSE,SUMPRODUCT(--ISNUMBER(SEARCH(","&amp;TRIM(TEXTSPLIT(FM230,","))&amp;",",","&amp;SUBSTITUTE(input_industry," ","")&amp;",")))&gt;0)),IF(FO230="",TRUE,IF(input_industry="",FALSE,SUMPRODUCT(--ISNUMBER(SEARCH(","&amp;TRIM(TEXTSPLIT(FO230,","))&amp;",",","&amp;SUBSTITUTE(input_industry," ","")&amp;",")))=COUNTA(TEXTSPLIT(FO230,",")))))</f>
        <v/>
      </c>
      <c r="JJ230">
        <f>AND(IF(FQ230="",TRUE,IF(input_location="",FALSE,SUMPRODUCT(--ISNUMBER(SEARCH(","&amp;TRIM(TEXTSPLIT(FQ230,","))&amp;",",","&amp;SUBSTITUTE(input_location," ","")&amp;",")))&gt;0)),IF(FS230="",TRUE,IF(input_location="",FALSE,SUMPRODUCT(--ISNUMBER(SEARCH(","&amp;TRIM(TEXTSPLIT(FS230,","))&amp;",",","&amp;SUBSTITUTE(input_location," ","")&amp;",")))=COUNTA(TEXTSPLIT(FS230,",")))),IF(FU230="",TRUE,IF(input_location="",TRUE,SUMPRODUCT(--ISNUMBER(SEARCH(","&amp;TRIM(TEXTSPLIT(FU230,","))&amp;",",","&amp;SUBSTITUTE(input_location," ","")&amp;",")))=0)),IF(FW230="",TRUE,IF(input_location="",FALSE,SUMPRODUCT(--ISNUMBER(SEARCH(","&amp;TRIM(TEXTSPLIT(FW230,","))&amp;",",","&amp;SUBSTITUTE(input_location," ","")&amp;",")))&gt;0)),IF(FY230="",TRUE,IF(input_location="",FALSE,SUMPRODUCT(--ISNUMBER(SEARCH(","&amp;TRIM(TEXTSPLIT(FY230,","))&amp;",",","&amp;SUBSTITUTE(input_location," ","")&amp;",")))=COUNTA(TEXTSPLIT(FY230,",")))))</f>
        <v/>
      </c>
      <c r="JK230">
        <f>AND(IF(GA230="",TRUE,IF(input_modality="",FALSE,SUMPRODUCT(--ISNUMBER(SEARCH(","&amp;TRIM(TEXTSPLIT(GA230,","))&amp;",",","&amp;SUBSTITUTE(input_modality," ","")&amp;",")))&gt;0)),IF(GC230="",TRUE,IF(input_modality="",FALSE,SUMPRODUCT(--ISNUMBER(SEARCH(","&amp;TRIM(TEXTSPLIT(GC230,","))&amp;",",","&amp;SUBSTITUTE(input_modality," ","")&amp;",")))=COUNTA(TEXTSPLIT(GC230,",")))),IF(GE230="",TRUE,IF(input_modality="",TRUE,SUMPRODUCT(--ISNUMBER(SEARCH(","&amp;TRIM(TEXTSPLIT(GE230,","))&amp;",",","&amp;SUBSTITUTE(input_modality," ","")&amp;",")))=0)),IF(GG230="",TRUE,IF(input_modality="",FALSE,SUMPRODUCT(--ISNUMBER(SEARCH(","&amp;TRIM(TEXTSPLIT(GG230,","))&amp;",",","&amp;SUBSTITUTE(input_modality," ","")&amp;",")))&gt;0)),IF(GI230="",TRUE,IF(input_modality="",FALSE,SUMPRODUCT(--ISNUMBER(SEARCH(","&amp;TRIM(TEXTSPLIT(GI230,","))&amp;",",","&amp;SUBSTITUTE(input_modality," ","")&amp;",")))=COUNTA(TEXTSPLIT(GI230,",")))))</f>
        <v/>
      </c>
      <c r="JL230">
        <f>AND(IF(GK230="",TRUE,IF(input_organizer="",FALSE,SUMPRODUCT(--ISNUMBER(SEARCH(","&amp;TRIM(TEXTSPLIT(GK230,","))&amp;",",","&amp;SUBSTITUTE(input_organizer," ","")&amp;",")))&gt;0)),IF(GM230="",TRUE,IF(input_organizer="",FALSE,SUMPRODUCT(--ISNUMBER(SEARCH(","&amp;TRIM(TEXTSPLIT(GM230,","))&amp;",",","&amp;SUBSTITUTE(input_organizer," ","")&amp;",")))=COUNTA(TEXTSPLIT(GM230,",")))),IF(GO230="",TRUE,IF(input_organizer="",TRUE,SUMPRODUCT(--ISNUMBER(SEARCH(","&amp;TRIM(TEXTSPLIT(GO230,","))&amp;",",","&amp;SUBSTITUTE(input_organizer," ","")&amp;",")))=0)),IF(GQ230="",TRUE,IF(input_organizer="",FALSE,SUMPRODUCT(--ISNUMBER(SEARCH(","&amp;TRIM(TEXTSPLIT(GQ230,","))&amp;",",","&amp;SUBSTITUTE(input_organizer," ","")&amp;",")))&gt;0)),IF(GS230="",TRUE,IF(input_organizer="",FALSE,SUMPRODUCT(--ISNUMBER(SEARCH(","&amp;TRIM(TEXTSPLIT(GS230,","))&amp;",",","&amp;SUBSTITUTE(input_organizer," ","")&amp;",")))=COUNTA(TEXTSPLIT(GS230,",")))))</f>
        <v/>
      </c>
      <c r="JM230">
        <f>AND(IF(GU230="",TRUE,IF(input_profile_type="",FALSE,SUMPRODUCT(--ISNUMBER(SEARCH(","&amp;TRIM(TEXTSPLIT(GU230,","))&amp;",",","&amp;SUBSTITUTE(input_profile_type," ","")&amp;",")))&gt;0)),IF(GW230="",TRUE,IF(input_profile_type="",FALSE,SUMPRODUCT(--ISNUMBER(SEARCH(","&amp;TRIM(TEXTSPLIT(GW230,","))&amp;",",","&amp;SUBSTITUTE(input_profile_type," ","")&amp;",")))=COUNTA(TEXTSPLIT(GW230,",")))),IF(GY230="",TRUE,IF(input_profile_type="",TRUE,SUMPRODUCT(--ISNUMBER(SEARCH(","&amp;TRIM(TEXTSPLIT(GY230,","))&amp;",",","&amp;SUBSTITUTE(input_profile_type," ","")&amp;",")))=0)),IF(HA230="",TRUE,IF(input_profile_type="",FALSE,SUMPRODUCT(--ISNUMBER(SEARCH(","&amp;TRIM(TEXTSPLIT(HA230,","))&amp;",",","&amp;SUBSTITUTE(input_profile_type," ","")&amp;",")))&gt;0)),IF(HC230="",TRUE,IF(input_profile_type="",FALSE,SUMPRODUCT(--ISNUMBER(SEARCH(","&amp;TRIM(TEXTSPLIT(HC230,","))&amp;",",","&amp;SUBSTITUTE(input_profile_type," ","")&amp;",")))=COUNTA(TEXTSPLIT(HC230,",")))))</f>
        <v/>
      </c>
      <c r="JN230">
        <f>AND(IF(HE230="",TRUE,IF(input_program="",FALSE,SUMPRODUCT(--ISNUMBER(SEARCH(","&amp;TRIM(TEXTSPLIT(HE230,","))&amp;",",","&amp;SUBSTITUTE(input_program," ","")&amp;",")))&gt;0)),IF(HG230="",TRUE,IF(input_program="",FALSE,SUMPRODUCT(--ISNUMBER(SEARCH(","&amp;TRIM(TEXTSPLIT(HG230,","))&amp;",",","&amp;SUBSTITUTE(input_program," ","")&amp;",")))=COUNTA(TEXTSPLIT(HG230,",")))),IF(HI230="",TRUE,IF(input_program="",TRUE,SUMPRODUCT(--ISNUMBER(SEARCH(","&amp;TRIM(TEXTSPLIT(HI230,","))&amp;",",","&amp;SUBSTITUTE(input_program," ","")&amp;",")))=0)),IF(HK230="",TRUE,IF(input_program="",FALSE,SUMPRODUCT(--ISNUMBER(SEARCH(","&amp;TRIM(TEXTSPLIT(HK230,","))&amp;",",","&amp;SUBSTITUTE(input_program," ","")&amp;",")))&gt;0)),IF(HM230="",TRUE,IF(input_program="",FALSE,SUMPRODUCT(--ISNUMBER(SEARCH(","&amp;TRIM(TEXTSPLIT(HM230,","))&amp;",",","&amp;SUBSTITUTE(input_program," ","")&amp;",")))=COUNTA(TEXTSPLIT(HM230,",")))))</f>
        <v/>
      </c>
      <c r="JO230">
        <f>AND(IF(HO230="",TRUE,IF(input_story_categories="",FALSE,SUMPRODUCT(--ISNUMBER(SEARCH(","&amp;TRIM(TEXTSPLIT(HO230,","))&amp;",",","&amp;SUBSTITUTE(input_story_categories," ","")&amp;",")))&gt;0)),IF(HQ230="",TRUE,IF(input_story_categories="",FALSE,SUMPRODUCT(--ISNUMBER(SEARCH(","&amp;TRIM(TEXTSPLIT(HQ230,","))&amp;",",","&amp;SUBSTITUTE(input_story_categories," ","")&amp;",")))=COUNTA(TEXTSPLIT(HQ230,",")))),IF(HS230="",TRUE,IF(input_story_categories="",TRUE,SUMPRODUCT(--ISNUMBER(SEARCH(","&amp;TRIM(TEXTSPLIT(HS230,","))&amp;",",","&amp;SUBSTITUTE(input_story_categories," ","")&amp;",")))=0)),IF(HU230="",TRUE,IF(input_story_categories="",FALSE,SUMPRODUCT(--ISNUMBER(SEARCH(","&amp;TRIM(TEXTSPLIT(HU230,","))&amp;",",","&amp;SUBSTITUTE(input_story_categories," ","")&amp;",")))&gt;0)),IF(HW230="",TRUE,IF(input_story_categories="",FALSE,SUMPRODUCT(--ISNUMBER(SEARCH(","&amp;TRIM(TEXTSPLIT(HW230,","))&amp;",",","&amp;SUBSTITUTE(input_story_categories," ","")&amp;",")))=COUNTA(TEXTSPLIT(HW230,",")))))</f>
        <v/>
      </c>
      <c r="JP230">
        <f>AND(IF(HY230="",TRUE,IF(input_story_type="",FALSE,SUMPRODUCT(--ISNUMBER(SEARCH(","&amp;TRIM(TEXTSPLIT(HY230,","))&amp;",",","&amp;SUBSTITUTE(input_story_type," ","")&amp;",")))&gt;0)),IF(IA230="",TRUE,IF(input_story_type="",FALSE,SUMPRODUCT(--ISNUMBER(SEARCH(","&amp;TRIM(TEXTSPLIT(IA230,","))&amp;",",","&amp;SUBSTITUTE(input_story_type," ","")&amp;",")))=COUNTA(TEXTSPLIT(IA230,",")))),IF(IC230="",TRUE,IF(input_story_type="",TRUE,SUMPRODUCT(--ISNUMBER(SEARCH(","&amp;TRIM(TEXTSPLIT(IC230,","))&amp;",",","&amp;SUBSTITUTE(input_story_type," ","")&amp;",")))=0)),IF(IE230="",TRUE,IF(input_story_type="",FALSE,SUMPRODUCT(--ISNUMBER(SEARCH(","&amp;TRIM(TEXTSPLIT(IE230,","))&amp;",",","&amp;SUBSTITUTE(input_story_type," ","")&amp;",")))&gt;0)),IF(IG230="",TRUE,IF(input_story_type="",FALSE,SUMPRODUCT(--ISNUMBER(SEARCH(","&amp;TRIM(TEXTSPLIT(IG230,","))&amp;",",","&amp;SUBSTITUTE(input_story_type," ","")&amp;",")))=COUNTA(TEXTSPLIT(IG230,",")))))</f>
        <v/>
      </c>
      <c r="JQ230">
        <f>AND(IF(II230="",TRUE,IF(input_topics="",FALSE,SUMPRODUCT(--ISNUMBER(SEARCH(","&amp;TRIM(TEXTSPLIT(II230,","))&amp;",",","&amp;SUBSTITUTE(input_topics," ","")&amp;",")))&gt;0)),IF(IK230="",TRUE,IF(input_topics="",FALSE,SUMPRODUCT(--ISNUMBER(SEARCH(","&amp;TRIM(TEXTSPLIT(IK230,","))&amp;",",","&amp;SUBSTITUTE(input_topics," ","")&amp;",")))=COUNTA(TEXTSPLIT(IK230,",")))),IF(IM230="",TRUE,IF(input_topics="",TRUE,SUMPRODUCT(--ISNUMBER(SEARCH(","&amp;TRIM(TEXTSPLIT(IM230,","))&amp;",",","&amp;SUBSTITUTE(input_topics," ","")&amp;",")))=0)),IF(IO230="",TRUE,IF(input_topics="",FALSE,SUMPRODUCT(--ISNUMBER(SEARCH(","&amp;TRIM(TEXTSPLIT(IO230,","))&amp;",",","&amp;SUBSTITUTE(input_topics," ","")&amp;",")))&gt;0)),IF(IQ230="",TRUE,IF(input_topics="",FALSE,SUMPRODUCT(--ISNUMBER(SEARCH(","&amp;TRIM(TEXTSPLIT(IQ230,","))&amp;",",","&amp;SUBSTITUTE(input_topics," ","")&amp;",")))=COUNTA(TEXTSPLIT(IQ230,",")))))</f>
        <v/>
      </c>
    </row>
    <row r="231">
      <c r="A231" s="4">
        <f>IF(NOT(IS231),"Excluded",IF(AND(IT231,IU231,IV231,IW231,IX231,IY231,IZ231,JA231,JB231,JC231,JD231,JE231,JF231,JG231,JH231,JI231,JJ231,JK231,JL231,JM231,JN231,JO231,JP231,JQ231),IF(I231&gt;0,"Eligible but limited","Will appear"),"Excluded"))</f>
        <v/>
      </c>
      <c r="B231" s="4" t="inlineStr">
        <is>
          <t>Student Profiles</t>
        </is>
      </c>
      <c r="C231" s="4" t="inlineStr">
        <is>
          <t>/programs/mms-global-business-and-society/community/student-profiles</t>
        </is>
      </c>
      <c r="D231" s="4" t="inlineStr">
        <is>
          <t>/programs/mms-global-business-and-society/community/student-profiles</t>
        </is>
      </c>
      <c r="E231" s="4" t="n">
        <v>1</v>
      </c>
      <c r="F231" s="4" t="inlineStr">
        <is>
          <t>profile</t>
        </is>
      </c>
      <c r="G231" s="4" t="inlineStr">
        <is>
          <t>profiles_grid</t>
        </is>
      </c>
      <c r="H231" s="4" t="inlineStr">
        <is>
          <t>embed_5</t>
        </is>
      </c>
      <c r="I231" s="4" t="n">
        <v>9</v>
      </c>
      <c r="J231" s="4" t="inlineStr">
        <is>
          <t>Explicit args</t>
        </is>
      </c>
      <c r="K231" s="4" t="inlineStr">
        <is>
          <t>Page placement</t>
        </is>
      </c>
      <c r="L231" s="4" t="inlineStr">
        <is>
          <t>Content type: profile; Excludes Profile Type: Ambassador (1552); Context uses Program: Master’s Degree in Global Business &amp; Society (84); Limited to 9 item(s); Source: Explicit args</t>
        </is>
      </c>
      <c r="M231" t="inlineStr"/>
      <c r="N231" t="inlineStr"/>
      <c r="O231" t="inlineStr"/>
      <c r="P231" t="inlineStr"/>
      <c r="Q231" t="inlineStr"/>
      <c r="R231" t="inlineStr"/>
      <c r="S231" t="inlineStr"/>
      <c r="T231" t="inlineStr"/>
      <c r="U231" t="inlineStr"/>
      <c r="V231" t="inlineStr"/>
      <c r="W231" t="inlineStr"/>
      <c r="X231" t="inlineStr"/>
      <c r="Y231" t="inlineStr"/>
      <c r="Z231" t="inlineStr"/>
      <c r="AA231" t="inlineStr"/>
      <c r="AB231" t="inlineStr"/>
      <c r="AC231" t="inlineStr"/>
      <c r="AD231" t="inlineStr"/>
      <c r="AE231" t="inlineStr"/>
      <c r="AF231" t="inlineStr"/>
      <c r="AG231" t="inlineStr"/>
      <c r="AH231" t="inlineStr"/>
      <c r="AI231" t="inlineStr"/>
      <c r="AJ231" t="inlineStr"/>
      <c r="AK231" t="inlineStr"/>
      <c r="AL231" t="inlineStr"/>
      <c r="AM231" t="inlineStr"/>
      <c r="AN231" t="inlineStr"/>
      <c r="AO231" t="inlineStr"/>
      <c r="AP231" t="inlineStr"/>
      <c r="AQ231" t="inlineStr"/>
      <c r="AR231" t="inlineStr"/>
      <c r="AS231" t="inlineStr"/>
      <c r="AT231" t="inlineStr"/>
      <c r="AU231" t="inlineStr"/>
      <c r="AV231" t="inlineStr"/>
      <c r="AW231" t="inlineStr"/>
      <c r="AX231" t="inlineStr"/>
      <c r="AY231" t="inlineStr"/>
      <c r="AZ231" t="inlineStr"/>
      <c r="BA231" t="inlineStr"/>
      <c r="BB231" t="inlineStr"/>
      <c r="BC231" t="inlineStr"/>
      <c r="BD231" t="inlineStr"/>
      <c r="BE231" t="inlineStr"/>
      <c r="BF231" t="inlineStr"/>
      <c r="BG231" t="inlineStr"/>
      <c r="BH231" t="inlineStr"/>
      <c r="BI231" t="inlineStr"/>
      <c r="BJ231" t="inlineStr"/>
      <c r="BK231" t="inlineStr"/>
      <c r="BL231" t="inlineStr"/>
      <c r="BM231" t="inlineStr"/>
      <c r="BN231" t="inlineStr"/>
      <c r="BO231" t="inlineStr"/>
      <c r="BP231" t="inlineStr"/>
      <c r="BQ231" t="inlineStr"/>
      <c r="BR231" t="inlineStr"/>
      <c r="BS231" t="inlineStr"/>
      <c r="BT231" t="inlineStr"/>
      <c r="BU231" t="inlineStr"/>
      <c r="BV231" t="inlineStr"/>
      <c r="BW231" t="inlineStr"/>
      <c r="BX231" t="inlineStr"/>
      <c r="BY231" t="inlineStr"/>
      <c r="BZ231" t="inlineStr"/>
      <c r="CA231" t="inlineStr"/>
      <c r="CB231" t="inlineStr"/>
      <c r="CC231" t="inlineStr"/>
      <c r="CD231" t="inlineStr"/>
      <c r="CE231" t="inlineStr"/>
      <c r="CF231" t="inlineStr"/>
      <c r="CG231" t="inlineStr"/>
      <c r="CH231" t="inlineStr"/>
      <c r="CI231" t="inlineStr"/>
      <c r="CJ231" t="inlineStr"/>
      <c r="CK231" t="inlineStr"/>
      <c r="CL231" t="inlineStr"/>
      <c r="CM231" t="inlineStr"/>
      <c r="CN231" t="inlineStr"/>
      <c r="CO231" t="inlineStr"/>
      <c r="CP231" t="inlineStr"/>
      <c r="CQ231" t="inlineStr"/>
      <c r="CR231" t="inlineStr"/>
      <c r="CS231" t="inlineStr"/>
      <c r="CT231" t="inlineStr"/>
      <c r="CU231" t="inlineStr"/>
      <c r="CV231" t="inlineStr"/>
      <c r="CW231" t="inlineStr"/>
      <c r="CX231" t="inlineStr"/>
      <c r="CY231" t="inlineStr"/>
      <c r="CZ231" t="inlineStr"/>
      <c r="DA231" t="inlineStr"/>
      <c r="DB231" t="inlineStr"/>
      <c r="DC231" t="inlineStr"/>
      <c r="DD231" t="inlineStr"/>
      <c r="DE231" t="inlineStr"/>
      <c r="DF231" t="inlineStr"/>
      <c r="DG231" t="inlineStr"/>
      <c r="DH231" t="inlineStr"/>
      <c r="DI231" t="inlineStr"/>
      <c r="DJ231" t="inlineStr"/>
      <c r="DK231" t="inlineStr"/>
      <c r="DL231" t="inlineStr"/>
      <c r="DM231" t="inlineStr"/>
      <c r="DN231" t="inlineStr"/>
      <c r="DO231" t="inlineStr"/>
      <c r="DP231" t="inlineStr"/>
      <c r="DQ231" t="inlineStr"/>
      <c r="DR231" t="inlineStr"/>
      <c r="DS231" t="inlineStr"/>
      <c r="DT231" t="inlineStr"/>
      <c r="DU231" t="inlineStr"/>
      <c r="DV231" t="inlineStr"/>
      <c r="DW231" t="inlineStr"/>
      <c r="DX231" t="inlineStr"/>
      <c r="DY231" t="inlineStr"/>
      <c r="DZ231" t="inlineStr"/>
      <c r="EA231" t="inlineStr"/>
      <c r="EB231" t="inlineStr"/>
      <c r="EC231" t="inlineStr"/>
      <c r="ED231" t="inlineStr"/>
      <c r="EE231" t="inlineStr"/>
      <c r="EF231" t="inlineStr"/>
      <c r="EG231" t="inlineStr"/>
      <c r="EH231" t="inlineStr"/>
      <c r="EI231" t="inlineStr"/>
      <c r="EJ231" t="inlineStr"/>
      <c r="EK231" t="inlineStr"/>
      <c r="EL231" t="inlineStr"/>
      <c r="EM231" t="inlineStr"/>
      <c r="EN231" t="inlineStr"/>
      <c r="EO231" t="inlineStr"/>
      <c r="EP231" t="inlineStr"/>
      <c r="EQ231" t="inlineStr"/>
      <c r="ER231" t="inlineStr"/>
      <c r="ES231" t="inlineStr"/>
      <c r="ET231" t="inlineStr"/>
      <c r="EU231" t="inlineStr"/>
      <c r="EV231" t="inlineStr"/>
      <c r="EW231" t="inlineStr"/>
      <c r="EX231" t="inlineStr"/>
      <c r="EY231" t="inlineStr"/>
      <c r="EZ231" t="inlineStr"/>
      <c r="FA231" t="inlineStr"/>
      <c r="FB231" t="inlineStr"/>
      <c r="FC231" t="inlineStr"/>
      <c r="FD231" t="inlineStr"/>
      <c r="FE231" t="inlineStr"/>
      <c r="FF231" t="inlineStr"/>
      <c r="FG231" t="inlineStr"/>
      <c r="FH231" t="inlineStr"/>
      <c r="FI231" t="inlineStr"/>
      <c r="FJ231" t="inlineStr"/>
      <c r="FK231" t="inlineStr"/>
      <c r="FL231" t="inlineStr"/>
      <c r="FM231" t="inlineStr"/>
      <c r="FN231" t="inlineStr"/>
      <c r="FO231" t="inlineStr"/>
      <c r="FP231" t="inlineStr"/>
      <c r="FQ231" t="inlineStr"/>
      <c r="FR231" t="inlineStr"/>
      <c r="FS231" t="inlineStr"/>
      <c r="FT231" t="inlineStr"/>
      <c r="FU231" t="inlineStr"/>
      <c r="FV231" t="inlineStr"/>
      <c r="FW231" t="inlineStr"/>
      <c r="FX231" t="inlineStr"/>
      <c r="FY231" t="inlineStr"/>
      <c r="FZ231" t="inlineStr"/>
      <c r="GA231" t="inlineStr"/>
      <c r="GB231" t="inlineStr"/>
      <c r="GC231" t="inlineStr"/>
      <c r="GD231" t="inlineStr"/>
      <c r="GE231" t="inlineStr"/>
      <c r="GF231" t="inlineStr"/>
      <c r="GG231" t="inlineStr"/>
      <c r="GH231" t="inlineStr"/>
      <c r="GI231" t="inlineStr"/>
      <c r="GJ231" t="inlineStr"/>
      <c r="GK231" t="inlineStr"/>
      <c r="GL231" t="inlineStr"/>
      <c r="GM231" t="inlineStr"/>
      <c r="GN231" t="inlineStr"/>
      <c r="GO231" t="inlineStr"/>
      <c r="GP231" t="inlineStr"/>
      <c r="GQ231" t="inlineStr"/>
      <c r="GR231" t="inlineStr"/>
      <c r="GS231" t="inlineStr"/>
      <c r="GT231" t="inlineStr"/>
      <c r="GU231" t="inlineStr"/>
      <c r="GV231" t="inlineStr"/>
      <c r="GW231" t="inlineStr"/>
      <c r="GX231" t="inlineStr"/>
      <c r="GY231" t="inlineStr">
        <is>
          <t>1552</t>
        </is>
      </c>
      <c r="GZ231" t="inlineStr">
        <is>
          <t>Ambassador (1552)</t>
        </is>
      </c>
      <c r="HA231" t="inlineStr"/>
      <c r="HB231" t="inlineStr"/>
      <c r="HC231" t="inlineStr"/>
      <c r="HD231" t="inlineStr"/>
      <c r="HE231" t="inlineStr"/>
      <c r="HF231" t="inlineStr"/>
      <c r="HG231" t="inlineStr"/>
      <c r="HH231" t="inlineStr"/>
      <c r="HI231" t="inlineStr"/>
      <c r="HJ231" t="inlineStr"/>
      <c r="HK231" t="inlineStr">
        <is>
          <t>84</t>
        </is>
      </c>
      <c r="HL231" t="inlineStr">
        <is>
          <t>Master’s Degree in Global Business &amp; Society (84)</t>
        </is>
      </c>
      <c r="HM231" t="inlineStr"/>
      <c r="HN231" t="inlineStr"/>
      <c r="HO231" t="inlineStr"/>
      <c r="HP231" t="inlineStr"/>
      <c r="HQ231" t="inlineStr"/>
      <c r="HR231" t="inlineStr"/>
      <c r="HS231" t="inlineStr"/>
      <c r="HT231" t="inlineStr"/>
      <c r="HU231" t="inlineStr"/>
      <c r="HV231" t="inlineStr"/>
      <c r="HW231" t="inlineStr"/>
      <c r="HX231" t="inlineStr"/>
      <c r="HY231" t="inlineStr"/>
      <c r="HZ231" t="inlineStr"/>
      <c r="IA231" t="inlineStr"/>
      <c r="IB231" t="inlineStr"/>
      <c r="IC231" t="inlineStr"/>
      <c r="ID231" t="inlineStr"/>
      <c r="IE231" t="inlineStr"/>
      <c r="IF231" t="inlineStr"/>
      <c r="IG231" t="inlineStr"/>
      <c r="IH231" t="inlineStr"/>
      <c r="II231" t="inlineStr"/>
      <c r="IJ231" t="inlineStr"/>
      <c r="IK231" t="inlineStr"/>
      <c r="IL231" t="inlineStr"/>
      <c r="IM231" t="inlineStr"/>
      <c r="IN231" t="inlineStr"/>
      <c r="IO231" t="inlineStr"/>
      <c r="IP231" t="inlineStr"/>
      <c r="IQ231" t="inlineStr"/>
      <c r="IR231" t="inlineStr"/>
      <c r="IS231">
        <f>IF(input_content_type="",FALSE,ISNUMBER(SEARCH(","&amp;LOWER(input_content_type)&amp;",",","&amp;LOWER(F231)&amp;",")))</f>
        <v/>
      </c>
      <c r="IT231">
        <f>AND(IF(M231="",TRUE,IF(input_affiliations="",FALSE,SUMPRODUCT(--ISNUMBER(SEARCH(","&amp;TRIM(TEXTSPLIT(M231,","))&amp;",",","&amp;SUBSTITUTE(input_affiliations," ","")&amp;",")))&gt;0)),IF(O231="",TRUE,IF(input_affiliations="",FALSE,SUMPRODUCT(--ISNUMBER(SEARCH(","&amp;TRIM(TEXTSPLIT(O231,","))&amp;",",","&amp;SUBSTITUTE(input_affiliations," ","")&amp;",")))=COUNTA(TEXTSPLIT(O231,",")))),IF(Q231="",TRUE,IF(input_affiliations="",TRUE,SUMPRODUCT(--ISNUMBER(SEARCH(","&amp;TRIM(TEXTSPLIT(Q231,","))&amp;",",","&amp;SUBSTITUTE(input_affiliations," ","")&amp;",")))=0)),IF(S231="",TRUE,IF(input_affiliations="",FALSE,SUMPRODUCT(--ISNUMBER(SEARCH(","&amp;TRIM(TEXTSPLIT(S231,","))&amp;",",","&amp;SUBSTITUTE(input_affiliations," ","")&amp;",")))&gt;0)),IF(U231="",TRUE,IF(input_affiliations="",FALSE,SUMPRODUCT(--ISNUMBER(SEARCH(","&amp;TRIM(TEXTSPLIT(U231,","))&amp;",",","&amp;SUBSTITUTE(input_affiliations," ","")&amp;",")))=COUNTA(TEXTSPLIT(U231,",")))))</f>
        <v/>
      </c>
      <c r="IU231">
        <f>AND(IF(W231="",TRUE,IF(input_announcement_category="",FALSE,SUMPRODUCT(--ISNUMBER(SEARCH(","&amp;TRIM(TEXTSPLIT(W231,","))&amp;",",","&amp;SUBSTITUTE(input_announcement_category," ","")&amp;",")))&gt;0)),IF(Y231="",TRUE,IF(input_announcement_category="",FALSE,SUMPRODUCT(--ISNUMBER(SEARCH(","&amp;TRIM(TEXTSPLIT(Y231,","))&amp;",",","&amp;SUBSTITUTE(input_announcement_category," ","")&amp;",")))=COUNTA(TEXTSPLIT(Y231,",")))),IF(AA231="",TRUE,IF(input_announcement_category="",TRUE,SUMPRODUCT(--ISNUMBER(SEARCH(","&amp;TRIM(TEXTSPLIT(AA231,","))&amp;",",","&amp;SUBSTITUTE(input_announcement_category," ","")&amp;",")))=0)),IF(AC231="",TRUE,IF(input_announcement_category="",FALSE,SUMPRODUCT(--ISNUMBER(SEARCH(","&amp;TRIM(TEXTSPLIT(AC231,","))&amp;",",","&amp;SUBSTITUTE(input_announcement_category," ","")&amp;",")))&gt;0)),IF(AE231="",TRUE,IF(input_announcement_category="",FALSE,SUMPRODUCT(--ISNUMBER(SEARCH(","&amp;TRIM(TEXTSPLIT(AE231,","))&amp;",",","&amp;SUBSTITUTE(input_announcement_category," ","")&amp;",")))=COUNTA(TEXTSPLIT(AE231,",")))))</f>
        <v/>
      </c>
      <c r="IV231">
        <f>AND(IF(AG231="",TRUE,IF(input_area_of_focus="",FALSE,SUMPRODUCT(--ISNUMBER(SEARCH(","&amp;TRIM(TEXTSPLIT(AG231,","))&amp;",",","&amp;SUBSTITUTE(input_area_of_focus," ","")&amp;",")))&gt;0)),IF(AI231="",TRUE,IF(input_area_of_focus="",FALSE,SUMPRODUCT(--ISNUMBER(SEARCH(","&amp;TRIM(TEXTSPLIT(AI231,","))&amp;",",","&amp;SUBSTITUTE(input_area_of_focus," ","")&amp;",")))=COUNTA(TEXTSPLIT(AI231,",")))),IF(AK231="",TRUE,IF(input_area_of_focus="",TRUE,SUMPRODUCT(--ISNUMBER(SEARCH(","&amp;TRIM(TEXTSPLIT(AK231,","))&amp;",",","&amp;SUBSTITUTE(input_area_of_focus," ","")&amp;",")))=0)),IF(AM231="",TRUE,IF(input_area_of_focus="",FALSE,SUMPRODUCT(--ISNUMBER(SEARCH(","&amp;TRIM(TEXTSPLIT(AM231,","))&amp;",",","&amp;SUBSTITUTE(input_area_of_focus," ","")&amp;",")))&gt;0)),IF(AO231="",TRUE,IF(input_area_of_focus="",FALSE,SUMPRODUCT(--ISNUMBER(SEARCH(","&amp;TRIM(TEXTSPLIT(AO231,","))&amp;",",","&amp;SUBSTITUTE(input_area_of_focus," ","")&amp;",")))=COUNTA(TEXTSPLIT(AO231,",")))))</f>
        <v/>
      </c>
      <c r="IW231">
        <f>AND(IF(AQ231="",TRUE,IF(input_audience="",FALSE,SUMPRODUCT(--ISNUMBER(SEARCH(","&amp;TRIM(TEXTSPLIT(AQ231,","))&amp;",",","&amp;SUBSTITUTE(input_audience," ","")&amp;",")))&gt;0)),IF(AS231="",TRUE,IF(input_audience="",FALSE,SUMPRODUCT(--ISNUMBER(SEARCH(","&amp;TRIM(TEXTSPLIT(AS231,","))&amp;",",","&amp;SUBSTITUTE(input_audience," ","")&amp;",")))=COUNTA(TEXTSPLIT(AS231,",")))),IF(AU231="",TRUE,IF(input_audience="",TRUE,SUMPRODUCT(--ISNUMBER(SEARCH(","&amp;TRIM(TEXTSPLIT(AU231,","))&amp;",",","&amp;SUBSTITUTE(input_audience," ","")&amp;",")))=0)),IF(AW231="",TRUE,IF(input_audience="",FALSE,SUMPRODUCT(--ISNUMBER(SEARCH(","&amp;TRIM(TEXTSPLIT(AW231,","))&amp;",",","&amp;SUBSTITUTE(input_audience," ","")&amp;",")))&gt;0)),IF(AY231="",TRUE,IF(input_audience="",FALSE,SUMPRODUCT(--ISNUMBER(SEARCH(","&amp;TRIM(TEXTSPLIT(AY231,","))&amp;",",","&amp;SUBSTITUTE(input_audience," ","")&amp;",")))=COUNTA(TEXTSPLIT(AY231,",")))))</f>
        <v/>
      </c>
      <c r="IX231">
        <f>AND(IF(BA231="",TRUE,IF(input_challenge_opportunities="",FALSE,SUMPRODUCT(--ISNUMBER(SEARCH(","&amp;TRIM(TEXTSPLIT(BA231,","))&amp;",",","&amp;SUBSTITUTE(input_challenge_opportunities," ","")&amp;",")))&gt;0)),IF(BC231="",TRUE,IF(input_challenge_opportunities="",FALSE,SUMPRODUCT(--ISNUMBER(SEARCH(","&amp;TRIM(TEXTSPLIT(BC231,","))&amp;",",","&amp;SUBSTITUTE(input_challenge_opportunities," ","")&amp;",")))=COUNTA(TEXTSPLIT(BC231,",")))),IF(BE231="",TRUE,IF(input_challenge_opportunities="",TRUE,SUMPRODUCT(--ISNUMBER(SEARCH(","&amp;TRIM(TEXTSPLIT(BE231,","))&amp;",",","&amp;SUBSTITUTE(input_challenge_opportunities," ","")&amp;",")))=0)),IF(BG231="",TRUE,IF(input_challenge_opportunities="",FALSE,SUMPRODUCT(--ISNUMBER(SEARCH(","&amp;TRIM(TEXTSPLIT(BG231,","))&amp;",",","&amp;SUBSTITUTE(input_challenge_opportunities," ","")&amp;",")))&gt;0)),IF(BI231="",TRUE,IF(input_challenge_opportunities="",FALSE,SUMPRODUCT(--ISNUMBER(SEARCH(","&amp;TRIM(TEXTSPLIT(BI231,","))&amp;",",","&amp;SUBSTITUTE(input_challenge_opportunities," ","")&amp;",")))=COUNTA(TEXTSPLIT(BI231,",")))))</f>
        <v/>
      </c>
      <c r="IY231">
        <f>AND(IF(BK231="",TRUE,IF(input_context="",FALSE,SUMPRODUCT(--ISNUMBER(SEARCH(","&amp;TRIM(TEXTSPLIT(BK231,","))&amp;",",","&amp;SUBSTITUTE(input_context," ","")&amp;",")))&gt;0)),IF(BM231="",TRUE,IF(input_context="",FALSE,SUMPRODUCT(--ISNUMBER(SEARCH(","&amp;TRIM(TEXTSPLIT(BM231,","))&amp;",",","&amp;SUBSTITUTE(input_context," ","")&amp;",")))=COUNTA(TEXTSPLIT(BM231,",")))),IF(BO231="",TRUE,IF(input_context="",TRUE,SUMPRODUCT(--ISNUMBER(SEARCH(","&amp;TRIM(TEXTSPLIT(BO231,","))&amp;",",","&amp;SUBSTITUTE(input_context," ","")&amp;",")))=0)),IF(BQ231="",TRUE,IF(input_context="",FALSE,SUMPRODUCT(--ISNUMBER(SEARCH(","&amp;TRIM(TEXTSPLIT(BQ231,","))&amp;",",","&amp;SUBSTITUTE(input_context," ","")&amp;",")))&gt;0)),IF(BS231="",TRUE,IF(input_context="",FALSE,SUMPRODUCT(--ISNUMBER(SEARCH(","&amp;TRIM(TEXTSPLIT(BS231,","))&amp;",",","&amp;SUBSTITUTE(input_context," ","")&amp;",")))=COUNTA(TEXTSPLIT(BS231,",")))))</f>
        <v/>
      </c>
      <c r="IZ231">
        <f>AND(IF(BU231="",TRUE,IF(input_enews_announcement_type="",FALSE,SUMPRODUCT(--ISNUMBER(SEARCH(","&amp;TRIM(TEXTSPLIT(BU231,","))&amp;",",","&amp;SUBSTITUTE(input_enews_announcement_type," ","")&amp;",")))&gt;0)),IF(BW231="",TRUE,IF(input_enews_announcement_type="",FALSE,SUMPRODUCT(--ISNUMBER(SEARCH(","&amp;TRIM(TEXTSPLIT(BW231,","))&amp;",",","&amp;SUBSTITUTE(input_enews_announcement_type," ","")&amp;",")))=COUNTA(TEXTSPLIT(BW231,",")))),IF(BY231="",TRUE,IF(input_enews_announcement_type="",TRUE,SUMPRODUCT(--ISNUMBER(SEARCH(","&amp;TRIM(TEXTSPLIT(BY231,","))&amp;",",","&amp;SUBSTITUTE(input_enews_announcement_type," ","")&amp;",")))=0)),IF(CA231="",TRUE,IF(input_enews_announcement_type="",FALSE,SUMPRODUCT(--ISNUMBER(SEARCH(","&amp;TRIM(TEXTSPLIT(CA231,","))&amp;",",","&amp;SUBSTITUTE(input_enews_announcement_type," ","")&amp;",")))&gt;0)),IF(CC231="",TRUE,IF(input_enews_announcement_type="",FALSE,SUMPRODUCT(--ISNUMBER(SEARCH(","&amp;TRIM(TEXTSPLIT(CC231,","))&amp;",",","&amp;SUBSTITUTE(input_enews_announcement_type," ","")&amp;",")))=COUNTA(TEXTSPLIT(CC231,",")))))</f>
        <v/>
      </c>
      <c r="JA231">
        <f>AND(IF(CE231="",TRUE,IF(input_enews_audience="",FALSE,SUMPRODUCT(--ISNUMBER(SEARCH(","&amp;TRIM(TEXTSPLIT(CE231,","))&amp;",",","&amp;SUBSTITUTE(input_enews_audience," ","")&amp;",")))&gt;0)),IF(CG231="",TRUE,IF(input_enews_audience="",FALSE,SUMPRODUCT(--ISNUMBER(SEARCH(","&amp;TRIM(TEXTSPLIT(CG231,","))&amp;",",","&amp;SUBSTITUTE(input_enews_audience," ","")&amp;",")))=COUNTA(TEXTSPLIT(CG231,",")))),IF(CI231="",TRUE,IF(input_enews_audience="",TRUE,SUMPRODUCT(--ISNUMBER(SEARCH(","&amp;TRIM(TEXTSPLIT(CI231,","))&amp;",",","&amp;SUBSTITUTE(input_enews_audience," ","")&amp;",")))=0)),IF(CK231="",TRUE,IF(input_enews_audience="",FALSE,SUMPRODUCT(--ISNUMBER(SEARCH(","&amp;TRIM(TEXTSPLIT(CK231,","))&amp;",",","&amp;SUBSTITUTE(input_enews_audience," ","")&amp;",")))&gt;0)),IF(CM231="",TRUE,IF(input_enews_audience="",FALSE,SUMPRODUCT(--ISNUMBER(SEARCH(","&amp;TRIM(TEXTSPLIT(CM231,","))&amp;",",","&amp;SUBSTITUTE(input_enews_audience," ","")&amp;",")))=COUNTA(TEXTSPLIT(CM231,",")))))</f>
        <v/>
      </c>
      <c r="JB231">
        <f>AND(IF(CO231="",TRUE,IF(input_event_location="",FALSE,SUMPRODUCT(--ISNUMBER(SEARCH(","&amp;TRIM(TEXTSPLIT(CO231,","))&amp;",",","&amp;SUBSTITUTE(input_event_location," ","")&amp;",")))&gt;0)),IF(CQ231="",TRUE,IF(input_event_location="",FALSE,SUMPRODUCT(--ISNUMBER(SEARCH(","&amp;TRIM(TEXTSPLIT(CQ231,","))&amp;",",","&amp;SUBSTITUTE(input_event_location," ","")&amp;",")))=COUNTA(TEXTSPLIT(CQ231,",")))),IF(CS231="",TRUE,IF(input_event_location="",TRUE,SUMPRODUCT(--ISNUMBER(SEARCH(","&amp;TRIM(TEXTSPLIT(CS231,","))&amp;",",","&amp;SUBSTITUTE(input_event_location," ","")&amp;",")))=0)),IF(CU231="",TRUE,IF(input_event_location="",FALSE,SUMPRODUCT(--ISNUMBER(SEARCH(","&amp;TRIM(TEXTSPLIT(CU231,","))&amp;",",","&amp;SUBSTITUTE(input_event_location," ","")&amp;",")))&gt;0)),IF(CW231="",TRUE,IF(input_event_location="",FALSE,SUMPRODUCT(--ISNUMBER(SEARCH(","&amp;TRIM(TEXTSPLIT(CW231,","))&amp;",",","&amp;SUBSTITUTE(input_event_location," ","")&amp;",")))=COUNTA(TEXTSPLIT(CW231,",")))))</f>
        <v/>
      </c>
      <c r="JC231">
        <f>AND(IF(CY231="",TRUE,IF(input_event_type="",FALSE,SUMPRODUCT(--ISNUMBER(SEARCH(","&amp;TRIM(TEXTSPLIT(CY231,","))&amp;",",","&amp;SUBSTITUTE(input_event_type," ","")&amp;",")))&gt;0)),IF(DA231="",TRUE,IF(input_event_type="",FALSE,SUMPRODUCT(--ISNUMBER(SEARCH(","&amp;TRIM(TEXTSPLIT(DA231,","))&amp;",",","&amp;SUBSTITUTE(input_event_type," ","")&amp;",")))=COUNTA(TEXTSPLIT(DA231,",")))),IF(DC231="",TRUE,IF(input_event_type="",TRUE,SUMPRODUCT(--ISNUMBER(SEARCH(","&amp;TRIM(TEXTSPLIT(DC231,","))&amp;",",","&amp;SUBSTITUTE(input_event_type," ","")&amp;",")))=0)),IF(DE231="",TRUE,IF(input_event_type="",FALSE,SUMPRODUCT(--ISNUMBER(SEARCH(","&amp;TRIM(TEXTSPLIT(DE231,","))&amp;",",","&amp;SUBSTITUTE(input_event_type," ","")&amp;",")))&gt;0)),IF(DG231="",TRUE,IF(input_event_type="",FALSE,SUMPRODUCT(--ISNUMBER(SEARCH(","&amp;TRIM(TEXTSPLIT(DG231,","))&amp;",",","&amp;SUBSTITUTE(input_event_type," ","")&amp;",")))=COUNTA(TEXTSPLIT(DG231,",")))))</f>
        <v/>
      </c>
      <c r="JD231">
        <f>AND(IF(DI231="",TRUE,IF(input_executive_education_focus="",FALSE,SUMPRODUCT(--ISNUMBER(SEARCH(","&amp;TRIM(TEXTSPLIT(DI231,","))&amp;",",","&amp;SUBSTITUTE(input_executive_education_focus," ","")&amp;",")))&gt;0)),IF(DK231="",TRUE,IF(input_executive_education_focus="",FALSE,SUMPRODUCT(--ISNUMBER(SEARCH(","&amp;TRIM(TEXTSPLIT(DK231,","))&amp;",",","&amp;SUBSTITUTE(input_executive_education_focus," ","")&amp;",")))=COUNTA(TEXTSPLIT(DK231,",")))),IF(DM231="",TRUE,IF(input_executive_education_focus="",TRUE,SUMPRODUCT(--ISNUMBER(SEARCH(","&amp;TRIM(TEXTSPLIT(DM231,","))&amp;",",","&amp;SUBSTITUTE(input_executive_education_focus," ","")&amp;",")))=0)),IF(DO231="",TRUE,IF(input_executive_education_focus="",FALSE,SUMPRODUCT(--ISNUMBER(SEARCH(","&amp;TRIM(TEXTSPLIT(DO231,","))&amp;",",","&amp;SUBSTITUTE(input_executive_education_focus," ","")&amp;",")))&gt;0)),IF(DQ231="",TRUE,IF(input_executive_education_focus="",FALSE,SUMPRODUCT(--ISNUMBER(SEARCH(","&amp;TRIM(TEXTSPLIT(DQ231,","))&amp;",",","&amp;SUBSTITUTE(input_executive_education_focus," ","")&amp;",")))=COUNTA(TEXTSPLIT(DQ231,",")))))</f>
        <v/>
      </c>
      <c r="JE231">
        <f>AND(IF(DS231="",TRUE,IF(input_faculty_category="",FALSE,SUMPRODUCT(--ISNUMBER(SEARCH(","&amp;TRIM(TEXTSPLIT(DS231,","))&amp;",",","&amp;SUBSTITUTE(input_faculty_category," ","")&amp;",")))&gt;0)),IF(DU231="",TRUE,IF(input_faculty_category="",FALSE,SUMPRODUCT(--ISNUMBER(SEARCH(","&amp;TRIM(TEXTSPLIT(DU231,","))&amp;",",","&amp;SUBSTITUTE(input_faculty_category," ","")&amp;",")))=COUNTA(TEXTSPLIT(DU231,",")))),IF(DW231="",TRUE,IF(input_faculty_category="",TRUE,SUMPRODUCT(--ISNUMBER(SEARCH(","&amp;TRIM(TEXTSPLIT(DW231,","))&amp;",",","&amp;SUBSTITUTE(input_faculty_category," ","")&amp;",")))=0)),IF(DY231="",TRUE,IF(input_faculty_category="",FALSE,SUMPRODUCT(--ISNUMBER(SEARCH(","&amp;TRIM(TEXTSPLIT(DY231,","))&amp;",",","&amp;SUBSTITUTE(input_faculty_category," ","")&amp;",")))&gt;0)),IF(EA231="",TRUE,IF(input_faculty_category="",FALSE,SUMPRODUCT(--ISNUMBER(SEARCH(","&amp;TRIM(TEXTSPLIT(EA231,","))&amp;",",","&amp;SUBSTITUTE(input_faculty_category," ","")&amp;",")))=COUNTA(TEXTSPLIT(EA231,",")))))</f>
        <v/>
      </c>
      <c r="JF231">
        <f>AND(IF(EC231="",TRUE,IF(input_faculty_discipline="",FALSE,SUMPRODUCT(--ISNUMBER(SEARCH(","&amp;TRIM(TEXTSPLIT(EC231,","))&amp;",",","&amp;SUBSTITUTE(input_faculty_discipline," ","")&amp;",")))&gt;0)),IF(EE231="",TRUE,IF(input_faculty_discipline="",FALSE,SUMPRODUCT(--ISNUMBER(SEARCH(","&amp;TRIM(TEXTSPLIT(EE231,","))&amp;",",","&amp;SUBSTITUTE(input_faculty_discipline," ","")&amp;",")))=COUNTA(TEXTSPLIT(EE231,",")))),IF(EG231="",TRUE,IF(input_faculty_discipline="",TRUE,SUMPRODUCT(--ISNUMBER(SEARCH(","&amp;TRIM(TEXTSPLIT(EG231,","))&amp;",",","&amp;SUBSTITUTE(input_faculty_discipline," ","")&amp;",")))=0)),IF(EI231="",TRUE,IF(input_faculty_discipline="",FALSE,SUMPRODUCT(--ISNUMBER(SEARCH(","&amp;TRIM(TEXTSPLIT(EI231,","))&amp;",",","&amp;SUBSTITUTE(input_faculty_discipline," ","")&amp;",")))&gt;0)),IF(EK231="",TRUE,IF(input_faculty_discipline="",FALSE,SUMPRODUCT(--ISNUMBER(SEARCH(","&amp;TRIM(TEXTSPLIT(EK231,","))&amp;",",","&amp;SUBSTITUTE(input_faculty_discipline," ","")&amp;",")))=COUNTA(TEXTSPLIT(EK231,",")))))</f>
        <v/>
      </c>
      <c r="JG231">
        <f>AND(IF(EM231="",TRUE,IF(input_faculty_expertise="",FALSE,SUMPRODUCT(--ISNUMBER(SEARCH(","&amp;TRIM(TEXTSPLIT(EM231,","))&amp;",",","&amp;SUBSTITUTE(input_faculty_expertise," ","")&amp;",")))&gt;0)),IF(EO231="",TRUE,IF(input_faculty_expertise="",FALSE,SUMPRODUCT(--ISNUMBER(SEARCH(","&amp;TRIM(TEXTSPLIT(EO231,","))&amp;",",","&amp;SUBSTITUTE(input_faculty_expertise," ","")&amp;",")))=COUNTA(TEXTSPLIT(EO231,",")))),IF(EQ231="",TRUE,IF(input_faculty_expertise="",TRUE,SUMPRODUCT(--ISNUMBER(SEARCH(","&amp;TRIM(TEXTSPLIT(EQ231,","))&amp;",",","&amp;SUBSTITUTE(input_faculty_expertise," ","")&amp;",")))=0)),IF(ES231="",TRUE,IF(input_faculty_expertise="",FALSE,SUMPRODUCT(--ISNUMBER(SEARCH(","&amp;TRIM(TEXTSPLIT(ES231,","))&amp;",",","&amp;SUBSTITUTE(input_faculty_expertise," ","")&amp;",")))&gt;0)),IF(EU231="",TRUE,IF(input_faculty_expertise="",FALSE,SUMPRODUCT(--ISNUMBER(SEARCH(","&amp;TRIM(TEXTSPLIT(EU231,","))&amp;",",","&amp;SUBSTITUTE(input_faculty_expertise," ","")&amp;",")))=COUNTA(TEXTSPLIT(EU231,",")))))</f>
        <v/>
      </c>
      <c r="JH231">
        <f>AND(IF(EW231="",TRUE,IF(input_global_network_school="",FALSE,SUMPRODUCT(--ISNUMBER(SEARCH(","&amp;TRIM(TEXTSPLIT(EW231,","))&amp;",",","&amp;SUBSTITUTE(input_global_network_school," ","")&amp;",")))&gt;0)),IF(EY231="",TRUE,IF(input_global_network_school="",FALSE,SUMPRODUCT(--ISNUMBER(SEARCH(","&amp;TRIM(TEXTSPLIT(EY231,","))&amp;",",","&amp;SUBSTITUTE(input_global_network_school," ","")&amp;",")))=COUNTA(TEXTSPLIT(EY231,",")))),IF(FA231="",TRUE,IF(input_global_network_school="",TRUE,SUMPRODUCT(--ISNUMBER(SEARCH(","&amp;TRIM(TEXTSPLIT(FA231,","))&amp;",",","&amp;SUBSTITUTE(input_global_network_school," ","")&amp;",")))=0)),IF(FC231="",TRUE,IF(input_global_network_school="",FALSE,SUMPRODUCT(--ISNUMBER(SEARCH(","&amp;TRIM(TEXTSPLIT(FC231,","))&amp;",",","&amp;SUBSTITUTE(input_global_network_school," ","")&amp;",")))&gt;0)),IF(FE231="",TRUE,IF(input_global_network_school="",FALSE,SUMPRODUCT(--ISNUMBER(SEARCH(","&amp;TRIM(TEXTSPLIT(FE231,","))&amp;",",","&amp;SUBSTITUTE(input_global_network_school," ","")&amp;",")))=COUNTA(TEXTSPLIT(FE231,",")))))</f>
        <v/>
      </c>
      <c r="JI231">
        <f>AND(IF(FG231="",TRUE,IF(input_industry="",FALSE,SUMPRODUCT(--ISNUMBER(SEARCH(","&amp;TRIM(TEXTSPLIT(FG231,","))&amp;",",","&amp;SUBSTITUTE(input_industry," ","")&amp;",")))&gt;0)),IF(FI231="",TRUE,IF(input_industry="",FALSE,SUMPRODUCT(--ISNUMBER(SEARCH(","&amp;TRIM(TEXTSPLIT(FI231,","))&amp;",",","&amp;SUBSTITUTE(input_industry," ","")&amp;",")))=COUNTA(TEXTSPLIT(FI231,",")))),IF(FK231="",TRUE,IF(input_industry="",TRUE,SUMPRODUCT(--ISNUMBER(SEARCH(","&amp;TRIM(TEXTSPLIT(FK231,","))&amp;",",","&amp;SUBSTITUTE(input_industry," ","")&amp;",")))=0)),IF(FM231="",TRUE,IF(input_industry="",FALSE,SUMPRODUCT(--ISNUMBER(SEARCH(","&amp;TRIM(TEXTSPLIT(FM231,","))&amp;",",","&amp;SUBSTITUTE(input_industry," ","")&amp;",")))&gt;0)),IF(FO231="",TRUE,IF(input_industry="",FALSE,SUMPRODUCT(--ISNUMBER(SEARCH(","&amp;TRIM(TEXTSPLIT(FO231,","))&amp;",",","&amp;SUBSTITUTE(input_industry," ","")&amp;",")))=COUNTA(TEXTSPLIT(FO231,",")))))</f>
        <v/>
      </c>
      <c r="JJ231">
        <f>AND(IF(FQ231="",TRUE,IF(input_location="",FALSE,SUMPRODUCT(--ISNUMBER(SEARCH(","&amp;TRIM(TEXTSPLIT(FQ231,","))&amp;",",","&amp;SUBSTITUTE(input_location," ","")&amp;",")))&gt;0)),IF(FS231="",TRUE,IF(input_location="",FALSE,SUMPRODUCT(--ISNUMBER(SEARCH(","&amp;TRIM(TEXTSPLIT(FS231,","))&amp;",",","&amp;SUBSTITUTE(input_location," ","")&amp;",")))=COUNTA(TEXTSPLIT(FS231,",")))),IF(FU231="",TRUE,IF(input_location="",TRUE,SUMPRODUCT(--ISNUMBER(SEARCH(","&amp;TRIM(TEXTSPLIT(FU231,","))&amp;",",","&amp;SUBSTITUTE(input_location," ","")&amp;",")))=0)),IF(FW231="",TRUE,IF(input_location="",FALSE,SUMPRODUCT(--ISNUMBER(SEARCH(","&amp;TRIM(TEXTSPLIT(FW231,","))&amp;",",","&amp;SUBSTITUTE(input_location," ","")&amp;",")))&gt;0)),IF(FY231="",TRUE,IF(input_location="",FALSE,SUMPRODUCT(--ISNUMBER(SEARCH(","&amp;TRIM(TEXTSPLIT(FY231,","))&amp;",",","&amp;SUBSTITUTE(input_location," ","")&amp;",")))=COUNTA(TEXTSPLIT(FY231,",")))))</f>
        <v/>
      </c>
      <c r="JK231">
        <f>AND(IF(GA231="",TRUE,IF(input_modality="",FALSE,SUMPRODUCT(--ISNUMBER(SEARCH(","&amp;TRIM(TEXTSPLIT(GA231,","))&amp;",",","&amp;SUBSTITUTE(input_modality," ","")&amp;",")))&gt;0)),IF(GC231="",TRUE,IF(input_modality="",FALSE,SUMPRODUCT(--ISNUMBER(SEARCH(","&amp;TRIM(TEXTSPLIT(GC231,","))&amp;",",","&amp;SUBSTITUTE(input_modality," ","")&amp;",")))=COUNTA(TEXTSPLIT(GC231,",")))),IF(GE231="",TRUE,IF(input_modality="",TRUE,SUMPRODUCT(--ISNUMBER(SEARCH(","&amp;TRIM(TEXTSPLIT(GE231,","))&amp;",",","&amp;SUBSTITUTE(input_modality," ","")&amp;",")))=0)),IF(GG231="",TRUE,IF(input_modality="",FALSE,SUMPRODUCT(--ISNUMBER(SEARCH(","&amp;TRIM(TEXTSPLIT(GG231,","))&amp;",",","&amp;SUBSTITUTE(input_modality," ","")&amp;",")))&gt;0)),IF(GI231="",TRUE,IF(input_modality="",FALSE,SUMPRODUCT(--ISNUMBER(SEARCH(","&amp;TRIM(TEXTSPLIT(GI231,","))&amp;",",","&amp;SUBSTITUTE(input_modality," ","")&amp;",")))=COUNTA(TEXTSPLIT(GI231,",")))))</f>
        <v/>
      </c>
      <c r="JL231">
        <f>AND(IF(GK231="",TRUE,IF(input_organizer="",FALSE,SUMPRODUCT(--ISNUMBER(SEARCH(","&amp;TRIM(TEXTSPLIT(GK231,","))&amp;",",","&amp;SUBSTITUTE(input_organizer," ","")&amp;",")))&gt;0)),IF(GM231="",TRUE,IF(input_organizer="",FALSE,SUMPRODUCT(--ISNUMBER(SEARCH(","&amp;TRIM(TEXTSPLIT(GM231,","))&amp;",",","&amp;SUBSTITUTE(input_organizer," ","")&amp;",")))=COUNTA(TEXTSPLIT(GM231,",")))),IF(GO231="",TRUE,IF(input_organizer="",TRUE,SUMPRODUCT(--ISNUMBER(SEARCH(","&amp;TRIM(TEXTSPLIT(GO231,","))&amp;",",","&amp;SUBSTITUTE(input_organizer," ","")&amp;",")))=0)),IF(GQ231="",TRUE,IF(input_organizer="",FALSE,SUMPRODUCT(--ISNUMBER(SEARCH(","&amp;TRIM(TEXTSPLIT(GQ231,","))&amp;",",","&amp;SUBSTITUTE(input_organizer," ","")&amp;",")))&gt;0)),IF(GS231="",TRUE,IF(input_organizer="",FALSE,SUMPRODUCT(--ISNUMBER(SEARCH(","&amp;TRIM(TEXTSPLIT(GS231,","))&amp;",",","&amp;SUBSTITUTE(input_organizer," ","")&amp;",")))=COUNTA(TEXTSPLIT(GS231,",")))))</f>
        <v/>
      </c>
      <c r="JM231">
        <f>AND(IF(GU231="",TRUE,IF(input_profile_type="",FALSE,SUMPRODUCT(--ISNUMBER(SEARCH(","&amp;TRIM(TEXTSPLIT(GU231,","))&amp;",",","&amp;SUBSTITUTE(input_profile_type," ","")&amp;",")))&gt;0)),IF(GW231="",TRUE,IF(input_profile_type="",FALSE,SUMPRODUCT(--ISNUMBER(SEARCH(","&amp;TRIM(TEXTSPLIT(GW231,","))&amp;",",","&amp;SUBSTITUTE(input_profile_type," ","")&amp;",")))=COUNTA(TEXTSPLIT(GW231,",")))),IF(GY231="",TRUE,IF(input_profile_type="",TRUE,SUMPRODUCT(--ISNUMBER(SEARCH(","&amp;TRIM(TEXTSPLIT(GY231,","))&amp;",",","&amp;SUBSTITUTE(input_profile_type," ","")&amp;",")))=0)),IF(HA231="",TRUE,IF(input_profile_type="",FALSE,SUMPRODUCT(--ISNUMBER(SEARCH(","&amp;TRIM(TEXTSPLIT(HA231,","))&amp;",",","&amp;SUBSTITUTE(input_profile_type," ","")&amp;",")))&gt;0)),IF(HC231="",TRUE,IF(input_profile_type="",FALSE,SUMPRODUCT(--ISNUMBER(SEARCH(","&amp;TRIM(TEXTSPLIT(HC231,","))&amp;",",","&amp;SUBSTITUTE(input_profile_type," ","")&amp;",")))=COUNTA(TEXTSPLIT(HC231,",")))))</f>
        <v/>
      </c>
      <c r="JN231">
        <f>AND(IF(HE231="",TRUE,IF(input_program="",FALSE,SUMPRODUCT(--ISNUMBER(SEARCH(","&amp;TRIM(TEXTSPLIT(HE231,","))&amp;",",","&amp;SUBSTITUTE(input_program," ","")&amp;",")))&gt;0)),IF(HG231="",TRUE,IF(input_program="",FALSE,SUMPRODUCT(--ISNUMBER(SEARCH(","&amp;TRIM(TEXTSPLIT(HG231,","))&amp;",",","&amp;SUBSTITUTE(input_program," ","")&amp;",")))=COUNTA(TEXTSPLIT(HG231,",")))),IF(HI231="",TRUE,IF(input_program="",TRUE,SUMPRODUCT(--ISNUMBER(SEARCH(","&amp;TRIM(TEXTSPLIT(HI231,","))&amp;",",","&amp;SUBSTITUTE(input_program," ","")&amp;",")))=0)),IF(HK231="",TRUE,IF(input_program="",FALSE,SUMPRODUCT(--ISNUMBER(SEARCH(","&amp;TRIM(TEXTSPLIT(HK231,","))&amp;",",","&amp;SUBSTITUTE(input_program," ","")&amp;",")))&gt;0)),IF(HM231="",TRUE,IF(input_program="",FALSE,SUMPRODUCT(--ISNUMBER(SEARCH(","&amp;TRIM(TEXTSPLIT(HM231,","))&amp;",",","&amp;SUBSTITUTE(input_program," ","")&amp;",")))=COUNTA(TEXTSPLIT(HM231,",")))))</f>
        <v/>
      </c>
      <c r="JO231">
        <f>AND(IF(HO231="",TRUE,IF(input_story_categories="",FALSE,SUMPRODUCT(--ISNUMBER(SEARCH(","&amp;TRIM(TEXTSPLIT(HO231,","))&amp;",",","&amp;SUBSTITUTE(input_story_categories," ","")&amp;",")))&gt;0)),IF(HQ231="",TRUE,IF(input_story_categories="",FALSE,SUMPRODUCT(--ISNUMBER(SEARCH(","&amp;TRIM(TEXTSPLIT(HQ231,","))&amp;",",","&amp;SUBSTITUTE(input_story_categories," ","")&amp;",")))=COUNTA(TEXTSPLIT(HQ231,",")))),IF(HS231="",TRUE,IF(input_story_categories="",TRUE,SUMPRODUCT(--ISNUMBER(SEARCH(","&amp;TRIM(TEXTSPLIT(HS231,","))&amp;",",","&amp;SUBSTITUTE(input_story_categories," ","")&amp;",")))=0)),IF(HU231="",TRUE,IF(input_story_categories="",FALSE,SUMPRODUCT(--ISNUMBER(SEARCH(","&amp;TRIM(TEXTSPLIT(HU231,","))&amp;",",","&amp;SUBSTITUTE(input_story_categories," ","")&amp;",")))&gt;0)),IF(HW231="",TRUE,IF(input_story_categories="",FALSE,SUMPRODUCT(--ISNUMBER(SEARCH(","&amp;TRIM(TEXTSPLIT(HW231,","))&amp;",",","&amp;SUBSTITUTE(input_story_categories," ","")&amp;",")))=COUNTA(TEXTSPLIT(HW231,",")))))</f>
        <v/>
      </c>
      <c r="JP231">
        <f>AND(IF(HY231="",TRUE,IF(input_story_type="",FALSE,SUMPRODUCT(--ISNUMBER(SEARCH(","&amp;TRIM(TEXTSPLIT(HY231,","))&amp;",",","&amp;SUBSTITUTE(input_story_type," ","")&amp;",")))&gt;0)),IF(IA231="",TRUE,IF(input_story_type="",FALSE,SUMPRODUCT(--ISNUMBER(SEARCH(","&amp;TRIM(TEXTSPLIT(IA231,","))&amp;",",","&amp;SUBSTITUTE(input_story_type," ","")&amp;",")))=COUNTA(TEXTSPLIT(IA231,",")))),IF(IC231="",TRUE,IF(input_story_type="",TRUE,SUMPRODUCT(--ISNUMBER(SEARCH(","&amp;TRIM(TEXTSPLIT(IC231,","))&amp;",",","&amp;SUBSTITUTE(input_story_type," ","")&amp;",")))=0)),IF(IE231="",TRUE,IF(input_story_type="",FALSE,SUMPRODUCT(--ISNUMBER(SEARCH(","&amp;TRIM(TEXTSPLIT(IE231,","))&amp;",",","&amp;SUBSTITUTE(input_story_type," ","")&amp;",")))&gt;0)),IF(IG231="",TRUE,IF(input_story_type="",FALSE,SUMPRODUCT(--ISNUMBER(SEARCH(","&amp;TRIM(TEXTSPLIT(IG231,","))&amp;",",","&amp;SUBSTITUTE(input_story_type," ","")&amp;",")))=COUNTA(TEXTSPLIT(IG231,",")))))</f>
        <v/>
      </c>
      <c r="JQ231">
        <f>AND(IF(II231="",TRUE,IF(input_topics="",FALSE,SUMPRODUCT(--ISNUMBER(SEARCH(","&amp;TRIM(TEXTSPLIT(II231,","))&amp;",",","&amp;SUBSTITUTE(input_topics," ","")&amp;",")))&gt;0)),IF(IK231="",TRUE,IF(input_topics="",FALSE,SUMPRODUCT(--ISNUMBER(SEARCH(","&amp;TRIM(TEXTSPLIT(IK231,","))&amp;",",","&amp;SUBSTITUTE(input_topics," ","")&amp;",")))=COUNTA(TEXTSPLIT(IK231,",")))),IF(IM231="",TRUE,IF(input_topics="",TRUE,SUMPRODUCT(--ISNUMBER(SEARCH(","&amp;TRIM(TEXTSPLIT(IM231,","))&amp;",",","&amp;SUBSTITUTE(input_topics," ","")&amp;",")))=0)),IF(IO231="",TRUE,IF(input_topics="",FALSE,SUMPRODUCT(--ISNUMBER(SEARCH(","&amp;TRIM(TEXTSPLIT(IO231,","))&amp;",",","&amp;SUBSTITUTE(input_topics," ","")&amp;",")))&gt;0)),IF(IQ231="",TRUE,IF(input_topics="",FALSE,SUMPRODUCT(--ISNUMBER(SEARCH(","&amp;TRIM(TEXTSPLIT(IQ231,","))&amp;",",","&amp;SUBSTITUTE(input_topics," ","")&amp;",")))=COUNTA(TEXTSPLIT(IQ231,",")))))</f>
        <v/>
      </c>
    </row>
    <row r="232">
      <c r="A232" s="4">
        <f>IF(NOT(IS232),"Excluded",IF(AND(IT232,IU232,IV232,IW232,IX232,IY232,IZ232,JA232,JB232,JC232,JD232,JE232,JF232,JG232,JH232,JI232,JJ232,JK232,JL232,JM232,JN232,JO232,JP232,JQ232),IF(I232&gt;0,"Eligible but limited","Will appear"),"Excluded"))</f>
        <v/>
      </c>
      <c r="B232" s="4" t="inlineStr">
        <is>
          <t>The Historian’s Notebook</t>
        </is>
      </c>
      <c r="C232" s="4" t="inlineStr">
        <is>
          <t>/about/headlines/all-headlines/historians-notebook</t>
        </is>
      </c>
      <c r="D232" s="4" t="inlineStr">
        <is>
          <t>/about/headlines/all-headlines/historians-notebook</t>
        </is>
      </c>
      <c r="E232" s="4" t="n">
        <v>1</v>
      </c>
      <c r="F232" s="4" t="inlineStr">
        <is>
          <t>story</t>
        </is>
      </c>
      <c r="G232" s="4" t="inlineStr">
        <is>
          <t>stories_list</t>
        </is>
      </c>
      <c r="H232" s="4" t="inlineStr">
        <is>
          <t>embed_1</t>
        </is>
      </c>
      <c r="I232" s="4" t="n">
        <v>10</v>
      </c>
      <c r="J232" s="4" t="inlineStr">
        <is>
          <t>Explicit args</t>
        </is>
      </c>
      <c r="K232" s="4" t="inlineStr">
        <is>
          <t>Page placement</t>
        </is>
      </c>
      <c r="L232" s="4" t="inlineStr">
        <is>
          <t>Content type: story; Context uses Courses Context: Historian's Notebook (1484); Limited to 10 item(s); Source: Explicit args</t>
        </is>
      </c>
      <c r="M232" t="inlineStr"/>
      <c r="N232" t="inlineStr"/>
      <c r="O232" t="inlineStr"/>
      <c r="P232" t="inlineStr"/>
      <c r="Q232" t="inlineStr"/>
      <c r="R232" t="inlineStr"/>
      <c r="S232" t="inlineStr"/>
      <c r="T232" t="inlineStr"/>
      <c r="U232" t="inlineStr"/>
      <c r="V232" t="inlineStr"/>
      <c r="W232" t="inlineStr"/>
      <c r="X232" t="inlineStr"/>
      <c r="Y232" t="inlineStr"/>
      <c r="Z232" t="inlineStr"/>
      <c r="AA232" t="inlineStr"/>
      <c r="AB232" t="inlineStr"/>
      <c r="AC232" t="inlineStr"/>
      <c r="AD232" t="inlineStr"/>
      <c r="AE232" t="inlineStr"/>
      <c r="AF232" t="inlineStr"/>
      <c r="AG232" t="inlineStr"/>
      <c r="AH232" t="inlineStr"/>
      <c r="AI232" t="inlineStr"/>
      <c r="AJ232" t="inlineStr"/>
      <c r="AK232" t="inlineStr"/>
      <c r="AL232" t="inlineStr"/>
      <c r="AM232" t="inlineStr"/>
      <c r="AN232" t="inlineStr"/>
      <c r="AO232" t="inlineStr"/>
      <c r="AP232" t="inlineStr"/>
      <c r="AQ232" t="inlineStr"/>
      <c r="AR232" t="inlineStr"/>
      <c r="AS232" t="inlineStr"/>
      <c r="AT232" t="inlineStr"/>
      <c r="AU232" t="inlineStr"/>
      <c r="AV232" t="inlineStr"/>
      <c r="AW232" t="inlineStr"/>
      <c r="AX232" t="inlineStr"/>
      <c r="AY232" t="inlineStr"/>
      <c r="AZ232" t="inlineStr"/>
      <c r="BA232" t="inlineStr"/>
      <c r="BB232" t="inlineStr"/>
      <c r="BC232" t="inlineStr"/>
      <c r="BD232" t="inlineStr"/>
      <c r="BE232" t="inlineStr"/>
      <c r="BF232" t="inlineStr"/>
      <c r="BG232" t="inlineStr"/>
      <c r="BH232" t="inlineStr"/>
      <c r="BI232" t="inlineStr"/>
      <c r="BJ232" t="inlineStr"/>
      <c r="BK232" t="inlineStr"/>
      <c r="BL232" t="inlineStr"/>
      <c r="BM232" t="inlineStr"/>
      <c r="BN232" t="inlineStr"/>
      <c r="BO232" t="inlineStr"/>
      <c r="BP232" t="inlineStr"/>
      <c r="BQ232" t="inlineStr">
        <is>
          <t>1484</t>
        </is>
      </c>
      <c r="BR232" t="inlineStr">
        <is>
          <t>Historian's Notebook (1484)</t>
        </is>
      </c>
      <c r="BS232" t="inlineStr"/>
      <c r="BT232" t="inlineStr"/>
      <c r="BU232" t="inlineStr"/>
      <c r="BV232" t="inlineStr"/>
      <c r="BW232" t="inlineStr"/>
      <c r="BX232" t="inlineStr"/>
      <c r="BY232" t="inlineStr"/>
      <c r="BZ232" t="inlineStr"/>
      <c r="CA232" t="inlineStr"/>
      <c r="CB232" t="inlineStr"/>
      <c r="CC232" t="inlineStr"/>
      <c r="CD232" t="inlineStr"/>
      <c r="CE232" t="inlineStr"/>
      <c r="CF232" t="inlineStr"/>
      <c r="CG232" t="inlineStr"/>
      <c r="CH232" t="inlineStr"/>
      <c r="CI232" t="inlineStr"/>
      <c r="CJ232" t="inlineStr"/>
      <c r="CK232" t="inlineStr"/>
      <c r="CL232" t="inlineStr"/>
      <c r="CM232" t="inlineStr"/>
      <c r="CN232" t="inlineStr"/>
      <c r="CO232" t="inlineStr"/>
      <c r="CP232" t="inlineStr"/>
      <c r="CQ232" t="inlineStr"/>
      <c r="CR232" t="inlineStr"/>
      <c r="CS232" t="inlineStr"/>
      <c r="CT232" t="inlineStr"/>
      <c r="CU232" t="inlineStr"/>
      <c r="CV232" t="inlineStr"/>
      <c r="CW232" t="inlineStr"/>
      <c r="CX232" t="inlineStr"/>
      <c r="CY232" t="inlineStr"/>
      <c r="CZ232" t="inlineStr"/>
      <c r="DA232" t="inlineStr"/>
      <c r="DB232" t="inlineStr"/>
      <c r="DC232" t="inlineStr"/>
      <c r="DD232" t="inlineStr"/>
      <c r="DE232" t="inlineStr"/>
      <c r="DF232" t="inlineStr"/>
      <c r="DG232" t="inlineStr"/>
      <c r="DH232" t="inlineStr"/>
      <c r="DI232" t="inlineStr"/>
      <c r="DJ232" t="inlineStr"/>
      <c r="DK232" t="inlineStr"/>
      <c r="DL232" t="inlineStr"/>
      <c r="DM232" t="inlineStr"/>
      <c r="DN232" t="inlineStr"/>
      <c r="DO232" t="inlineStr"/>
      <c r="DP232" t="inlineStr"/>
      <c r="DQ232" t="inlineStr"/>
      <c r="DR232" t="inlineStr"/>
      <c r="DS232" t="inlineStr"/>
      <c r="DT232" t="inlineStr"/>
      <c r="DU232" t="inlineStr"/>
      <c r="DV232" t="inlineStr"/>
      <c r="DW232" t="inlineStr"/>
      <c r="DX232" t="inlineStr"/>
      <c r="DY232" t="inlineStr"/>
      <c r="DZ232" t="inlineStr"/>
      <c r="EA232" t="inlineStr"/>
      <c r="EB232" t="inlineStr"/>
      <c r="EC232" t="inlineStr"/>
      <c r="ED232" t="inlineStr"/>
      <c r="EE232" t="inlineStr"/>
      <c r="EF232" t="inlineStr"/>
      <c r="EG232" t="inlineStr"/>
      <c r="EH232" t="inlineStr"/>
      <c r="EI232" t="inlineStr"/>
      <c r="EJ232" t="inlineStr"/>
      <c r="EK232" t="inlineStr"/>
      <c r="EL232" t="inlineStr"/>
      <c r="EM232" t="inlineStr"/>
      <c r="EN232" t="inlineStr"/>
      <c r="EO232" t="inlineStr"/>
      <c r="EP232" t="inlineStr"/>
      <c r="EQ232" t="inlineStr"/>
      <c r="ER232" t="inlineStr"/>
      <c r="ES232" t="inlineStr"/>
      <c r="ET232" t="inlineStr"/>
      <c r="EU232" t="inlineStr"/>
      <c r="EV232" t="inlineStr"/>
      <c r="EW232" t="inlineStr"/>
      <c r="EX232" t="inlineStr"/>
      <c r="EY232" t="inlineStr"/>
      <c r="EZ232" t="inlineStr"/>
      <c r="FA232" t="inlineStr"/>
      <c r="FB232" t="inlineStr"/>
      <c r="FC232" t="inlineStr"/>
      <c r="FD232" t="inlineStr"/>
      <c r="FE232" t="inlineStr"/>
      <c r="FF232" t="inlineStr"/>
      <c r="FG232" t="inlineStr"/>
      <c r="FH232" t="inlineStr"/>
      <c r="FI232" t="inlineStr"/>
      <c r="FJ232" t="inlineStr"/>
      <c r="FK232" t="inlineStr"/>
      <c r="FL232" t="inlineStr"/>
      <c r="FM232" t="inlineStr"/>
      <c r="FN232" t="inlineStr"/>
      <c r="FO232" t="inlineStr"/>
      <c r="FP232" t="inlineStr"/>
      <c r="FQ232" t="inlineStr"/>
      <c r="FR232" t="inlineStr"/>
      <c r="FS232" t="inlineStr"/>
      <c r="FT232" t="inlineStr"/>
      <c r="FU232" t="inlineStr"/>
      <c r="FV232" t="inlineStr"/>
      <c r="FW232" t="inlineStr"/>
      <c r="FX232" t="inlineStr"/>
      <c r="FY232" t="inlineStr"/>
      <c r="FZ232" t="inlineStr"/>
      <c r="GA232" t="inlineStr"/>
      <c r="GB232" t="inlineStr"/>
      <c r="GC232" t="inlineStr"/>
      <c r="GD232" t="inlineStr"/>
      <c r="GE232" t="inlineStr"/>
      <c r="GF232" t="inlineStr"/>
      <c r="GG232" t="inlineStr"/>
      <c r="GH232" t="inlineStr"/>
      <c r="GI232" t="inlineStr"/>
      <c r="GJ232" t="inlineStr"/>
      <c r="GK232" t="inlineStr"/>
      <c r="GL232" t="inlineStr"/>
      <c r="GM232" t="inlineStr"/>
      <c r="GN232" t="inlineStr"/>
      <c r="GO232" t="inlineStr"/>
      <c r="GP232" t="inlineStr"/>
      <c r="GQ232" t="inlineStr"/>
      <c r="GR232" t="inlineStr"/>
      <c r="GS232" t="inlineStr"/>
      <c r="GT232" t="inlineStr"/>
      <c r="GU232" t="inlineStr"/>
      <c r="GV232" t="inlineStr"/>
      <c r="GW232" t="inlineStr"/>
      <c r="GX232" t="inlineStr"/>
      <c r="GY232" t="inlineStr"/>
      <c r="GZ232" t="inlineStr"/>
      <c r="HA232" t="inlineStr"/>
      <c r="HB232" t="inlineStr"/>
      <c r="HC232" t="inlineStr"/>
      <c r="HD232" t="inlineStr"/>
      <c r="HE232" t="inlineStr"/>
      <c r="HF232" t="inlineStr"/>
      <c r="HG232" t="inlineStr"/>
      <c r="HH232" t="inlineStr"/>
      <c r="HI232" t="inlineStr"/>
      <c r="HJ232" t="inlineStr"/>
      <c r="HK232" t="inlineStr"/>
      <c r="HL232" t="inlineStr"/>
      <c r="HM232" t="inlineStr"/>
      <c r="HN232" t="inlineStr"/>
      <c r="HO232" t="inlineStr"/>
      <c r="HP232" t="inlineStr"/>
      <c r="HQ232" t="inlineStr"/>
      <c r="HR232" t="inlineStr"/>
      <c r="HS232" t="inlineStr"/>
      <c r="HT232" t="inlineStr"/>
      <c r="HU232" t="inlineStr"/>
      <c r="HV232" t="inlineStr"/>
      <c r="HW232" t="inlineStr"/>
      <c r="HX232" t="inlineStr"/>
      <c r="HY232" t="inlineStr"/>
      <c r="HZ232" t="inlineStr"/>
      <c r="IA232" t="inlineStr"/>
      <c r="IB232" t="inlineStr"/>
      <c r="IC232" t="inlineStr"/>
      <c r="ID232" t="inlineStr"/>
      <c r="IE232" t="inlineStr"/>
      <c r="IF232" t="inlineStr"/>
      <c r="IG232" t="inlineStr"/>
      <c r="IH232" t="inlineStr"/>
      <c r="II232" t="inlineStr"/>
      <c r="IJ232" t="inlineStr"/>
      <c r="IK232" t="inlineStr"/>
      <c r="IL232" t="inlineStr"/>
      <c r="IM232" t="inlineStr"/>
      <c r="IN232" t="inlineStr"/>
      <c r="IO232" t="inlineStr"/>
      <c r="IP232" t="inlineStr"/>
      <c r="IQ232" t="inlineStr"/>
      <c r="IR232" t="inlineStr"/>
      <c r="IS232">
        <f>IF(input_content_type="",FALSE,ISNUMBER(SEARCH(","&amp;LOWER(input_content_type)&amp;",",","&amp;LOWER(F232)&amp;",")))</f>
        <v/>
      </c>
      <c r="IT232">
        <f>AND(IF(M232="",TRUE,IF(input_affiliations="",FALSE,SUMPRODUCT(--ISNUMBER(SEARCH(","&amp;TRIM(TEXTSPLIT(M232,","))&amp;",",","&amp;SUBSTITUTE(input_affiliations," ","")&amp;",")))&gt;0)),IF(O232="",TRUE,IF(input_affiliations="",FALSE,SUMPRODUCT(--ISNUMBER(SEARCH(","&amp;TRIM(TEXTSPLIT(O232,","))&amp;",",","&amp;SUBSTITUTE(input_affiliations," ","")&amp;",")))=COUNTA(TEXTSPLIT(O232,",")))),IF(Q232="",TRUE,IF(input_affiliations="",TRUE,SUMPRODUCT(--ISNUMBER(SEARCH(","&amp;TRIM(TEXTSPLIT(Q232,","))&amp;",",","&amp;SUBSTITUTE(input_affiliations," ","")&amp;",")))=0)),IF(S232="",TRUE,IF(input_affiliations="",FALSE,SUMPRODUCT(--ISNUMBER(SEARCH(","&amp;TRIM(TEXTSPLIT(S232,","))&amp;",",","&amp;SUBSTITUTE(input_affiliations," ","")&amp;",")))&gt;0)),IF(U232="",TRUE,IF(input_affiliations="",FALSE,SUMPRODUCT(--ISNUMBER(SEARCH(","&amp;TRIM(TEXTSPLIT(U232,","))&amp;",",","&amp;SUBSTITUTE(input_affiliations," ","")&amp;",")))=COUNTA(TEXTSPLIT(U232,",")))))</f>
        <v/>
      </c>
      <c r="IU232">
        <f>AND(IF(W232="",TRUE,IF(input_announcement_category="",FALSE,SUMPRODUCT(--ISNUMBER(SEARCH(","&amp;TRIM(TEXTSPLIT(W232,","))&amp;",",","&amp;SUBSTITUTE(input_announcement_category," ","")&amp;",")))&gt;0)),IF(Y232="",TRUE,IF(input_announcement_category="",FALSE,SUMPRODUCT(--ISNUMBER(SEARCH(","&amp;TRIM(TEXTSPLIT(Y232,","))&amp;",",","&amp;SUBSTITUTE(input_announcement_category," ","")&amp;",")))=COUNTA(TEXTSPLIT(Y232,",")))),IF(AA232="",TRUE,IF(input_announcement_category="",TRUE,SUMPRODUCT(--ISNUMBER(SEARCH(","&amp;TRIM(TEXTSPLIT(AA232,","))&amp;",",","&amp;SUBSTITUTE(input_announcement_category," ","")&amp;",")))=0)),IF(AC232="",TRUE,IF(input_announcement_category="",FALSE,SUMPRODUCT(--ISNUMBER(SEARCH(","&amp;TRIM(TEXTSPLIT(AC232,","))&amp;",",","&amp;SUBSTITUTE(input_announcement_category," ","")&amp;",")))&gt;0)),IF(AE232="",TRUE,IF(input_announcement_category="",FALSE,SUMPRODUCT(--ISNUMBER(SEARCH(","&amp;TRIM(TEXTSPLIT(AE232,","))&amp;",",","&amp;SUBSTITUTE(input_announcement_category," ","")&amp;",")))=COUNTA(TEXTSPLIT(AE232,",")))))</f>
        <v/>
      </c>
      <c r="IV232">
        <f>AND(IF(AG232="",TRUE,IF(input_area_of_focus="",FALSE,SUMPRODUCT(--ISNUMBER(SEARCH(","&amp;TRIM(TEXTSPLIT(AG232,","))&amp;",",","&amp;SUBSTITUTE(input_area_of_focus," ","")&amp;",")))&gt;0)),IF(AI232="",TRUE,IF(input_area_of_focus="",FALSE,SUMPRODUCT(--ISNUMBER(SEARCH(","&amp;TRIM(TEXTSPLIT(AI232,","))&amp;",",","&amp;SUBSTITUTE(input_area_of_focus," ","")&amp;",")))=COUNTA(TEXTSPLIT(AI232,",")))),IF(AK232="",TRUE,IF(input_area_of_focus="",TRUE,SUMPRODUCT(--ISNUMBER(SEARCH(","&amp;TRIM(TEXTSPLIT(AK232,","))&amp;",",","&amp;SUBSTITUTE(input_area_of_focus," ","")&amp;",")))=0)),IF(AM232="",TRUE,IF(input_area_of_focus="",FALSE,SUMPRODUCT(--ISNUMBER(SEARCH(","&amp;TRIM(TEXTSPLIT(AM232,","))&amp;",",","&amp;SUBSTITUTE(input_area_of_focus," ","")&amp;",")))&gt;0)),IF(AO232="",TRUE,IF(input_area_of_focus="",FALSE,SUMPRODUCT(--ISNUMBER(SEARCH(","&amp;TRIM(TEXTSPLIT(AO232,","))&amp;",",","&amp;SUBSTITUTE(input_area_of_focus," ","")&amp;",")))=COUNTA(TEXTSPLIT(AO232,",")))))</f>
        <v/>
      </c>
      <c r="IW232">
        <f>AND(IF(AQ232="",TRUE,IF(input_audience="",FALSE,SUMPRODUCT(--ISNUMBER(SEARCH(","&amp;TRIM(TEXTSPLIT(AQ232,","))&amp;",",","&amp;SUBSTITUTE(input_audience," ","")&amp;",")))&gt;0)),IF(AS232="",TRUE,IF(input_audience="",FALSE,SUMPRODUCT(--ISNUMBER(SEARCH(","&amp;TRIM(TEXTSPLIT(AS232,","))&amp;",",","&amp;SUBSTITUTE(input_audience," ","")&amp;",")))=COUNTA(TEXTSPLIT(AS232,",")))),IF(AU232="",TRUE,IF(input_audience="",TRUE,SUMPRODUCT(--ISNUMBER(SEARCH(","&amp;TRIM(TEXTSPLIT(AU232,","))&amp;",",","&amp;SUBSTITUTE(input_audience," ","")&amp;",")))=0)),IF(AW232="",TRUE,IF(input_audience="",FALSE,SUMPRODUCT(--ISNUMBER(SEARCH(","&amp;TRIM(TEXTSPLIT(AW232,","))&amp;",",","&amp;SUBSTITUTE(input_audience," ","")&amp;",")))&gt;0)),IF(AY232="",TRUE,IF(input_audience="",FALSE,SUMPRODUCT(--ISNUMBER(SEARCH(","&amp;TRIM(TEXTSPLIT(AY232,","))&amp;",",","&amp;SUBSTITUTE(input_audience," ","")&amp;",")))=COUNTA(TEXTSPLIT(AY232,",")))))</f>
        <v/>
      </c>
      <c r="IX232">
        <f>AND(IF(BA232="",TRUE,IF(input_challenge_opportunities="",FALSE,SUMPRODUCT(--ISNUMBER(SEARCH(","&amp;TRIM(TEXTSPLIT(BA232,","))&amp;",",","&amp;SUBSTITUTE(input_challenge_opportunities," ","")&amp;",")))&gt;0)),IF(BC232="",TRUE,IF(input_challenge_opportunities="",FALSE,SUMPRODUCT(--ISNUMBER(SEARCH(","&amp;TRIM(TEXTSPLIT(BC232,","))&amp;",",","&amp;SUBSTITUTE(input_challenge_opportunities," ","")&amp;",")))=COUNTA(TEXTSPLIT(BC232,",")))),IF(BE232="",TRUE,IF(input_challenge_opportunities="",TRUE,SUMPRODUCT(--ISNUMBER(SEARCH(","&amp;TRIM(TEXTSPLIT(BE232,","))&amp;",",","&amp;SUBSTITUTE(input_challenge_opportunities," ","")&amp;",")))=0)),IF(BG232="",TRUE,IF(input_challenge_opportunities="",FALSE,SUMPRODUCT(--ISNUMBER(SEARCH(","&amp;TRIM(TEXTSPLIT(BG232,","))&amp;",",","&amp;SUBSTITUTE(input_challenge_opportunities," ","")&amp;",")))&gt;0)),IF(BI232="",TRUE,IF(input_challenge_opportunities="",FALSE,SUMPRODUCT(--ISNUMBER(SEARCH(","&amp;TRIM(TEXTSPLIT(BI232,","))&amp;",",","&amp;SUBSTITUTE(input_challenge_opportunities," ","")&amp;",")))=COUNTA(TEXTSPLIT(BI232,",")))))</f>
        <v/>
      </c>
      <c r="IY232">
        <f>AND(IF(BK232="",TRUE,IF(input_context="",FALSE,SUMPRODUCT(--ISNUMBER(SEARCH(","&amp;TRIM(TEXTSPLIT(BK232,","))&amp;",",","&amp;SUBSTITUTE(input_context," ","")&amp;",")))&gt;0)),IF(BM232="",TRUE,IF(input_context="",FALSE,SUMPRODUCT(--ISNUMBER(SEARCH(","&amp;TRIM(TEXTSPLIT(BM232,","))&amp;",",","&amp;SUBSTITUTE(input_context," ","")&amp;",")))=COUNTA(TEXTSPLIT(BM232,",")))),IF(BO232="",TRUE,IF(input_context="",TRUE,SUMPRODUCT(--ISNUMBER(SEARCH(","&amp;TRIM(TEXTSPLIT(BO232,","))&amp;",",","&amp;SUBSTITUTE(input_context," ","")&amp;",")))=0)),IF(BQ232="",TRUE,IF(input_context="",FALSE,SUMPRODUCT(--ISNUMBER(SEARCH(","&amp;TRIM(TEXTSPLIT(BQ232,","))&amp;",",","&amp;SUBSTITUTE(input_context," ","")&amp;",")))&gt;0)),IF(BS232="",TRUE,IF(input_context="",FALSE,SUMPRODUCT(--ISNUMBER(SEARCH(","&amp;TRIM(TEXTSPLIT(BS232,","))&amp;",",","&amp;SUBSTITUTE(input_context," ","")&amp;",")))=COUNTA(TEXTSPLIT(BS232,",")))))</f>
        <v/>
      </c>
      <c r="IZ232">
        <f>AND(IF(BU232="",TRUE,IF(input_enews_announcement_type="",FALSE,SUMPRODUCT(--ISNUMBER(SEARCH(","&amp;TRIM(TEXTSPLIT(BU232,","))&amp;",",","&amp;SUBSTITUTE(input_enews_announcement_type," ","")&amp;",")))&gt;0)),IF(BW232="",TRUE,IF(input_enews_announcement_type="",FALSE,SUMPRODUCT(--ISNUMBER(SEARCH(","&amp;TRIM(TEXTSPLIT(BW232,","))&amp;",",","&amp;SUBSTITUTE(input_enews_announcement_type," ","")&amp;",")))=COUNTA(TEXTSPLIT(BW232,",")))),IF(BY232="",TRUE,IF(input_enews_announcement_type="",TRUE,SUMPRODUCT(--ISNUMBER(SEARCH(","&amp;TRIM(TEXTSPLIT(BY232,","))&amp;",",","&amp;SUBSTITUTE(input_enews_announcement_type," ","")&amp;",")))=0)),IF(CA232="",TRUE,IF(input_enews_announcement_type="",FALSE,SUMPRODUCT(--ISNUMBER(SEARCH(","&amp;TRIM(TEXTSPLIT(CA232,","))&amp;",",","&amp;SUBSTITUTE(input_enews_announcement_type," ","")&amp;",")))&gt;0)),IF(CC232="",TRUE,IF(input_enews_announcement_type="",FALSE,SUMPRODUCT(--ISNUMBER(SEARCH(","&amp;TRIM(TEXTSPLIT(CC232,","))&amp;",",","&amp;SUBSTITUTE(input_enews_announcement_type," ","")&amp;",")))=COUNTA(TEXTSPLIT(CC232,",")))))</f>
        <v/>
      </c>
      <c r="JA232">
        <f>AND(IF(CE232="",TRUE,IF(input_enews_audience="",FALSE,SUMPRODUCT(--ISNUMBER(SEARCH(","&amp;TRIM(TEXTSPLIT(CE232,","))&amp;",",","&amp;SUBSTITUTE(input_enews_audience," ","")&amp;",")))&gt;0)),IF(CG232="",TRUE,IF(input_enews_audience="",FALSE,SUMPRODUCT(--ISNUMBER(SEARCH(","&amp;TRIM(TEXTSPLIT(CG232,","))&amp;",",","&amp;SUBSTITUTE(input_enews_audience," ","")&amp;",")))=COUNTA(TEXTSPLIT(CG232,",")))),IF(CI232="",TRUE,IF(input_enews_audience="",TRUE,SUMPRODUCT(--ISNUMBER(SEARCH(","&amp;TRIM(TEXTSPLIT(CI232,","))&amp;",",","&amp;SUBSTITUTE(input_enews_audience," ","")&amp;",")))=0)),IF(CK232="",TRUE,IF(input_enews_audience="",FALSE,SUMPRODUCT(--ISNUMBER(SEARCH(","&amp;TRIM(TEXTSPLIT(CK232,","))&amp;",",","&amp;SUBSTITUTE(input_enews_audience," ","")&amp;",")))&gt;0)),IF(CM232="",TRUE,IF(input_enews_audience="",FALSE,SUMPRODUCT(--ISNUMBER(SEARCH(","&amp;TRIM(TEXTSPLIT(CM232,","))&amp;",",","&amp;SUBSTITUTE(input_enews_audience," ","")&amp;",")))=COUNTA(TEXTSPLIT(CM232,",")))))</f>
        <v/>
      </c>
      <c r="JB232">
        <f>AND(IF(CO232="",TRUE,IF(input_event_location="",FALSE,SUMPRODUCT(--ISNUMBER(SEARCH(","&amp;TRIM(TEXTSPLIT(CO232,","))&amp;",",","&amp;SUBSTITUTE(input_event_location," ","")&amp;",")))&gt;0)),IF(CQ232="",TRUE,IF(input_event_location="",FALSE,SUMPRODUCT(--ISNUMBER(SEARCH(","&amp;TRIM(TEXTSPLIT(CQ232,","))&amp;",",","&amp;SUBSTITUTE(input_event_location," ","")&amp;",")))=COUNTA(TEXTSPLIT(CQ232,",")))),IF(CS232="",TRUE,IF(input_event_location="",TRUE,SUMPRODUCT(--ISNUMBER(SEARCH(","&amp;TRIM(TEXTSPLIT(CS232,","))&amp;",",","&amp;SUBSTITUTE(input_event_location," ","")&amp;",")))=0)),IF(CU232="",TRUE,IF(input_event_location="",FALSE,SUMPRODUCT(--ISNUMBER(SEARCH(","&amp;TRIM(TEXTSPLIT(CU232,","))&amp;",",","&amp;SUBSTITUTE(input_event_location," ","")&amp;",")))&gt;0)),IF(CW232="",TRUE,IF(input_event_location="",FALSE,SUMPRODUCT(--ISNUMBER(SEARCH(","&amp;TRIM(TEXTSPLIT(CW232,","))&amp;",",","&amp;SUBSTITUTE(input_event_location," ","")&amp;",")))=COUNTA(TEXTSPLIT(CW232,",")))))</f>
        <v/>
      </c>
      <c r="JC232">
        <f>AND(IF(CY232="",TRUE,IF(input_event_type="",FALSE,SUMPRODUCT(--ISNUMBER(SEARCH(","&amp;TRIM(TEXTSPLIT(CY232,","))&amp;",",","&amp;SUBSTITUTE(input_event_type," ","")&amp;",")))&gt;0)),IF(DA232="",TRUE,IF(input_event_type="",FALSE,SUMPRODUCT(--ISNUMBER(SEARCH(","&amp;TRIM(TEXTSPLIT(DA232,","))&amp;",",","&amp;SUBSTITUTE(input_event_type," ","")&amp;",")))=COUNTA(TEXTSPLIT(DA232,",")))),IF(DC232="",TRUE,IF(input_event_type="",TRUE,SUMPRODUCT(--ISNUMBER(SEARCH(","&amp;TRIM(TEXTSPLIT(DC232,","))&amp;",",","&amp;SUBSTITUTE(input_event_type," ","")&amp;",")))=0)),IF(DE232="",TRUE,IF(input_event_type="",FALSE,SUMPRODUCT(--ISNUMBER(SEARCH(","&amp;TRIM(TEXTSPLIT(DE232,","))&amp;",",","&amp;SUBSTITUTE(input_event_type," ","")&amp;",")))&gt;0)),IF(DG232="",TRUE,IF(input_event_type="",FALSE,SUMPRODUCT(--ISNUMBER(SEARCH(","&amp;TRIM(TEXTSPLIT(DG232,","))&amp;",",","&amp;SUBSTITUTE(input_event_type," ","")&amp;",")))=COUNTA(TEXTSPLIT(DG232,",")))))</f>
        <v/>
      </c>
      <c r="JD232">
        <f>AND(IF(DI232="",TRUE,IF(input_executive_education_focus="",FALSE,SUMPRODUCT(--ISNUMBER(SEARCH(","&amp;TRIM(TEXTSPLIT(DI232,","))&amp;",",","&amp;SUBSTITUTE(input_executive_education_focus," ","")&amp;",")))&gt;0)),IF(DK232="",TRUE,IF(input_executive_education_focus="",FALSE,SUMPRODUCT(--ISNUMBER(SEARCH(","&amp;TRIM(TEXTSPLIT(DK232,","))&amp;",",","&amp;SUBSTITUTE(input_executive_education_focus," ","")&amp;",")))=COUNTA(TEXTSPLIT(DK232,",")))),IF(DM232="",TRUE,IF(input_executive_education_focus="",TRUE,SUMPRODUCT(--ISNUMBER(SEARCH(","&amp;TRIM(TEXTSPLIT(DM232,","))&amp;",",","&amp;SUBSTITUTE(input_executive_education_focus," ","")&amp;",")))=0)),IF(DO232="",TRUE,IF(input_executive_education_focus="",FALSE,SUMPRODUCT(--ISNUMBER(SEARCH(","&amp;TRIM(TEXTSPLIT(DO232,","))&amp;",",","&amp;SUBSTITUTE(input_executive_education_focus," ","")&amp;",")))&gt;0)),IF(DQ232="",TRUE,IF(input_executive_education_focus="",FALSE,SUMPRODUCT(--ISNUMBER(SEARCH(","&amp;TRIM(TEXTSPLIT(DQ232,","))&amp;",",","&amp;SUBSTITUTE(input_executive_education_focus," ","")&amp;",")))=COUNTA(TEXTSPLIT(DQ232,",")))))</f>
        <v/>
      </c>
      <c r="JE232">
        <f>AND(IF(DS232="",TRUE,IF(input_faculty_category="",FALSE,SUMPRODUCT(--ISNUMBER(SEARCH(","&amp;TRIM(TEXTSPLIT(DS232,","))&amp;",",","&amp;SUBSTITUTE(input_faculty_category," ","")&amp;",")))&gt;0)),IF(DU232="",TRUE,IF(input_faculty_category="",FALSE,SUMPRODUCT(--ISNUMBER(SEARCH(","&amp;TRIM(TEXTSPLIT(DU232,","))&amp;",",","&amp;SUBSTITUTE(input_faculty_category," ","")&amp;",")))=COUNTA(TEXTSPLIT(DU232,",")))),IF(DW232="",TRUE,IF(input_faculty_category="",TRUE,SUMPRODUCT(--ISNUMBER(SEARCH(","&amp;TRIM(TEXTSPLIT(DW232,","))&amp;",",","&amp;SUBSTITUTE(input_faculty_category," ","")&amp;",")))=0)),IF(DY232="",TRUE,IF(input_faculty_category="",FALSE,SUMPRODUCT(--ISNUMBER(SEARCH(","&amp;TRIM(TEXTSPLIT(DY232,","))&amp;",",","&amp;SUBSTITUTE(input_faculty_category," ","")&amp;",")))&gt;0)),IF(EA232="",TRUE,IF(input_faculty_category="",FALSE,SUMPRODUCT(--ISNUMBER(SEARCH(","&amp;TRIM(TEXTSPLIT(EA232,","))&amp;",",","&amp;SUBSTITUTE(input_faculty_category," ","")&amp;",")))=COUNTA(TEXTSPLIT(EA232,",")))))</f>
        <v/>
      </c>
      <c r="JF232">
        <f>AND(IF(EC232="",TRUE,IF(input_faculty_discipline="",FALSE,SUMPRODUCT(--ISNUMBER(SEARCH(","&amp;TRIM(TEXTSPLIT(EC232,","))&amp;",",","&amp;SUBSTITUTE(input_faculty_discipline," ","")&amp;",")))&gt;0)),IF(EE232="",TRUE,IF(input_faculty_discipline="",FALSE,SUMPRODUCT(--ISNUMBER(SEARCH(","&amp;TRIM(TEXTSPLIT(EE232,","))&amp;",",","&amp;SUBSTITUTE(input_faculty_discipline," ","")&amp;",")))=COUNTA(TEXTSPLIT(EE232,",")))),IF(EG232="",TRUE,IF(input_faculty_discipline="",TRUE,SUMPRODUCT(--ISNUMBER(SEARCH(","&amp;TRIM(TEXTSPLIT(EG232,","))&amp;",",","&amp;SUBSTITUTE(input_faculty_discipline," ","")&amp;",")))=0)),IF(EI232="",TRUE,IF(input_faculty_discipline="",FALSE,SUMPRODUCT(--ISNUMBER(SEARCH(","&amp;TRIM(TEXTSPLIT(EI232,","))&amp;",",","&amp;SUBSTITUTE(input_faculty_discipline," ","")&amp;",")))&gt;0)),IF(EK232="",TRUE,IF(input_faculty_discipline="",FALSE,SUMPRODUCT(--ISNUMBER(SEARCH(","&amp;TRIM(TEXTSPLIT(EK232,","))&amp;",",","&amp;SUBSTITUTE(input_faculty_discipline," ","")&amp;",")))=COUNTA(TEXTSPLIT(EK232,",")))))</f>
        <v/>
      </c>
      <c r="JG232">
        <f>AND(IF(EM232="",TRUE,IF(input_faculty_expertise="",FALSE,SUMPRODUCT(--ISNUMBER(SEARCH(","&amp;TRIM(TEXTSPLIT(EM232,","))&amp;",",","&amp;SUBSTITUTE(input_faculty_expertise," ","")&amp;",")))&gt;0)),IF(EO232="",TRUE,IF(input_faculty_expertise="",FALSE,SUMPRODUCT(--ISNUMBER(SEARCH(","&amp;TRIM(TEXTSPLIT(EO232,","))&amp;",",","&amp;SUBSTITUTE(input_faculty_expertise," ","")&amp;",")))=COUNTA(TEXTSPLIT(EO232,",")))),IF(EQ232="",TRUE,IF(input_faculty_expertise="",TRUE,SUMPRODUCT(--ISNUMBER(SEARCH(","&amp;TRIM(TEXTSPLIT(EQ232,","))&amp;",",","&amp;SUBSTITUTE(input_faculty_expertise," ","")&amp;",")))=0)),IF(ES232="",TRUE,IF(input_faculty_expertise="",FALSE,SUMPRODUCT(--ISNUMBER(SEARCH(","&amp;TRIM(TEXTSPLIT(ES232,","))&amp;",",","&amp;SUBSTITUTE(input_faculty_expertise," ","")&amp;",")))&gt;0)),IF(EU232="",TRUE,IF(input_faculty_expertise="",FALSE,SUMPRODUCT(--ISNUMBER(SEARCH(","&amp;TRIM(TEXTSPLIT(EU232,","))&amp;",",","&amp;SUBSTITUTE(input_faculty_expertise," ","")&amp;",")))=COUNTA(TEXTSPLIT(EU232,",")))))</f>
        <v/>
      </c>
      <c r="JH232">
        <f>AND(IF(EW232="",TRUE,IF(input_global_network_school="",FALSE,SUMPRODUCT(--ISNUMBER(SEARCH(","&amp;TRIM(TEXTSPLIT(EW232,","))&amp;",",","&amp;SUBSTITUTE(input_global_network_school," ","")&amp;",")))&gt;0)),IF(EY232="",TRUE,IF(input_global_network_school="",FALSE,SUMPRODUCT(--ISNUMBER(SEARCH(","&amp;TRIM(TEXTSPLIT(EY232,","))&amp;",",","&amp;SUBSTITUTE(input_global_network_school," ","")&amp;",")))=COUNTA(TEXTSPLIT(EY232,",")))),IF(FA232="",TRUE,IF(input_global_network_school="",TRUE,SUMPRODUCT(--ISNUMBER(SEARCH(","&amp;TRIM(TEXTSPLIT(FA232,","))&amp;",",","&amp;SUBSTITUTE(input_global_network_school," ","")&amp;",")))=0)),IF(FC232="",TRUE,IF(input_global_network_school="",FALSE,SUMPRODUCT(--ISNUMBER(SEARCH(","&amp;TRIM(TEXTSPLIT(FC232,","))&amp;",",","&amp;SUBSTITUTE(input_global_network_school," ","")&amp;",")))&gt;0)),IF(FE232="",TRUE,IF(input_global_network_school="",FALSE,SUMPRODUCT(--ISNUMBER(SEARCH(","&amp;TRIM(TEXTSPLIT(FE232,","))&amp;",",","&amp;SUBSTITUTE(input_global_network_school," ","")&amp;",")))=COUNTA(TEXTSPLIT(FE232,",")))))</f>
        <v/>
      </c>
      <c r="JI232">
        <f>AND(IF(FG232="",TRUE,IF(input_industry="",FALSE,SUMPRODUCT(--ISNUMBER(SEARCH(","&amp;TRIM(TEXTSPLIT(FG232,","))&amp;",",","&amp;SUBSTITUTE(input_industry," ","")&amp;",")))&gt;0)),IF(FI232="",TRUE,IF(input_industry="",FALSE,SUMPRODUCT(--ISNUMBER(SEARCH(","&amp;TRIM(TEXTSPLIT(FI232,","))&amp;",",","&amp;SUBSTITUTE(input_industry," ","")&amp;",")))=COUNTA(TEXTSPLIT(FI232,",")))),IF(FK232="",TRUE,IF(input_industry="",TRUE,SUMPRODUCT(--ISNUMBER(SEARCH(","&amp;TRIM(TEXTSPLIT(FK232,","))&amp;",",","&amp;SUBSTITUTE(input_industry," ","")&amp;",")))=0)),IF(FM232="",TRUE,IF(input_industry="",FALSE,SUMPRODUCT(--ISNUMBER(SEARCH(","&amp;TRIM(TEXTSPLIT(FM232,","))&amp;",",","&amp;SUBSTITUTE(input_industry," ","")&amp;",")))&gt;0)),IF(FO232="",TRUE,IF(input_industry="",FALSE,SUMPRODUCT(--ISNUMBER(SEARCH(","&amp;TRIM(TEXTSPLIT(FO232,","))&amp;",",","&amp;SUBSTITUTE(input_industry," ","")&amp;",")))=COUNTA(TEXTSPLIT(FO232,",")))))</f>
        <v/>
      </c>
      <c r="JJ232">
        <f>AND(IF(FQ232="",TRUE,IF(input_location="",FALSE,SUMPRODUCT(--ISNUMBER(SEARCH(","&amp;TRIM(TEXTSPLIT(FQ232,","))&amp;",",","&amp;SUBSTITUTE(input_location," ","")&amp;",")))&gt;0)),IF(FS232="",TRUE,IF(input_location="",FALSE,SUMPRODUCT(--ISNUMBER(SEARCH(","&amp;TRIM(TEXTSPLIT(FS232,","))&amp;",",","&amp;SUBSTITUTE(input_location," ","")&amp;",")))=COUNTA(TEXTSPLIT(FS232,",")))),IF(FU232="",TRUE,IF(input_location="",TRUE,SUMPRODUCT(--ISNUMBER(SEARCH(","&amp;TRIM(TEXTSPLIT(FU232,","))&amp;",",","&amp;SUBSTITUTE(input_location," ","")&amp;",")))=0)),IF(FW232="",TRUE,IF(input_location="",FALSE,SUMPRODUCT(--ISNUMBER(SEARCH(","&amp;TRIM(TEXTSPLIT(FW232,","))&amp;",",","&amp;SUBSTITUTE(input_location," ","")&amp;",")))&gt;0)),IF(FY232="",TRUE,IF(input_location="",FALSE,SUMPRODUCT(--ISNUMBER(SEARCH(","&amp;TRIM(TEXTSPLIT(FY232,","))&amp;",",","&amp;SUBSTITUTE(input_location," ","")&amp;",")))=COUNTA(TEXTSPLIT(FY232,",")))))</f>
        <v/>
      </c>
      <c r="JK232">
        <f>AND(IF(GA232="",TRUE,IF(input_modality="",FALSE,SUMPRODUCT(--ISNUMBER(SEARCH(","&amp;TRIM(TEXTSPLIT(GA232,","))&amp;",",","&amp;SUBSTITUTE(input_modality," ","")&amp;",")))&gt;0)),IF(GC232="",TRUE,IF(input_modality="",FALSE,SUMPRODUCT(--ISNUMBER(SEARCH(","&amp;TRIM(TEXTSPLIT(GC232,","))&amp;",",","&amp;SUBSTITUTE(input_modality," ","")&amp;",")))=COUNTA(TEXTSPLIT(GC232,",")))),IF(GE232="",TRUE,IF(input_modality="",TRUE,SUMPRODUCT(--ISNUMBER(SEARCH(","&amp;TRIM(TEXTSPLIT(GE232,","))&amp;",",","&amp;SUBSTITUTE(input_modality," ","")&amp;",")))=0)),IF(GG232="",TRUE,IF(input_modality="",FALSE,SUMPRODUCT(--ISNUMBER(SEARCH(","&amp;TRIM(TEXTSPLIT(GG232,","))&amp;",",","&amp;SUBSTITUTE(input_modality," ","")&amp;",")))&gt;0)),IF(GI232="",TRUE,IF(input_modality="",FALSE,SUMPRODUCT(--ISNUMBER(SEARCH(","&amp;TRIM(TEXTSPLIT(GI232,","))&amp;",",","&amp;SUBSTITUTE(input_modality," ","")&amp;",")))=COUNTA(TEXTSPLIT(GI232,",")))))</f>
        <v/>
      </c>
      <c r="JL232">
        <f>AND(IF(GK232="",TRUE,IF(input_organizer="",FALSE,SUMPRODUCT(--ISNUMBER(SEARCH(","&amp;TRIM(TEXTSPLIT(GK232,","))&amp;",",","&amp;SUBSTITUTE(input_organizer," ","")&amp;",")))&gt;0)),IF(GM232="",TRUE,IF(input_organizer="",FALSE,SUMPRODUCT(--ISNUMBER(SEARCH(","&amp;TRIM(TEXTSPLIT(GM232,","))&amp;",",","&amp;SUBSTITUTE(input_organizer," ","")&amp;",")))=COUNTA(TEXTSPLIT(GM232,",")))),IF(GO232="",TRUE,IF(input_organizer="",TRUE,SUMPRODUCT(--ISNUMBER(SEARCH(","&amp;TRIM(TEXTSPLIT(GO232,","))&amp;",",","&amp;SUBSTITUTE(input_organizer," ","")&amp;",")))=0)),IF(GQ232="",TRUE,IF(input_organizer="",FALSE,SUMPRODUCT(--ISNUMBER(SEARCH(","&amp;TRIM(TEXTSPLIT(GQ232,","))&amp;",",","&amp;SUBSTITUTE(input_organizer," ","")&amp;",")))&gt;0)),IF(GS232="",TRUE,IF(input_organizer="",FALSE,SUMPRODUCT(--ISNUMBER(SEARCH(","&amp;TRIM(TEXTSPLIT(GS232,","))&amp;",",","&amp;SUBSTITUTE(input_organizer," ","")&amp;",")))=COUNTA(TEXTSPLIT(GS232,",")))))</f>
        <v/>
      </c>
      <c r="JM232">
        <f>AND(IF(GU232="",TRUE,IF(input_profile_type="",FALSE,SUMPRODUCT(--ISNUMBER(SEARCH(","&amp;TRIM(TEXTSPLIT(GU232,","))&amp;",",","&amp;SUBSTITUTE(input_profile_type," ","")&amp;",")))&gt;0)),IF(GW232="",TRUE,IF(input_profile_type="",FALSE,SUMPRODUCT(--ISNUMBER(SEARCH(","&amp;TRIM(TEXTSPLIT(GW232,","))&amp;",",","&amp;SUBSTITUTE(input_profile_type," ","")&amp;",")))=COUNTA(TEXTSPLIT(GW232,",")))),IF(GY232="",TRUE,IF(input_profile_type="",TRUE,SUMPRODUCT(--ISNUMBER(SEARCH(","&amp;TRIM(TEXTSPLIT(GY232,","))&amp;",",","&amp;SUBSTITUTE(input_profile_type," ","")&amp;",")))=0)),IF(HA232="",TRUE,IF(input_profile_type="",FALSE,SUMPRODUCT(--ISNUMBER(SEARCH(","&amp;TRIM(TEXTSPLIT(HA232,","))&amp;",",","&amp;SUBSTITUTE(input_profile_type," ","")&amp;",")))&gt;0)),IF(HC232="",TRUE,IF(input_profile_type="",FALSE,SUMPRODUCT(--ISNUMBER(SEARCH(","&amp;TRIM(TEXTSPLIT(HC232,","))&amp;",",","&amp;SUBSTITUTE(input_profile_type," ","")&amp;",")))=COUNTA(TEXTSPLIT(HC232,",")))))</f>
        <v/>
      </c>
      <c r="JN232">
        <f>AND(IF(HE232="",TRUE,IF(input_program="",FALSE,SUMPRODUCT(--ISNUMBER(SEARCH(","&amp;TRIM(TEXTSPLIT(HE232,","))&amp;",",","&amp;SUBSTITUTE(input_program," ","")&amp;",")))&gt;0)),IF(HG232="",TRUE,IF(input_program="",FALSE,SUMPRODUCT(--ISNUMBER(SEARCH(","&amp;TRIM(TEXTSPLIT(HG232,","))&amp;",",","&amp;SUBSTITUTE(input_program," ","")&amp;",")))=COUNTA(TEXTSPLIT(HG232,",")))),IF(HI232="",TRUE,IF(input_program="",TRUE,SUMPRODUCT(--ISNUMBER(SEARCH(","&amp;TRIM(TEXTSPLIT(HI232,","))&amp;",",","&amp;SUBSTITUTE(input_program," ","")&amp;",")))=0)),IF(HK232="",TRUE,IF(input_program="",FALSE,SUMPRODUCT(--ISNUMBER(SEARCH(","&amp;TRIM(TEXTSPLIT(HK232,","))&amp;",",","&amp;SUBSTITUTE(input_program," ","")&amp;",")))&gt;0)),IF(HM232="",TRUE,IF(input_program="",FALSE,SUMPRODUCT(--ISNUMBER(SEARCH(","&amp;TRIM(TEXTSPLIT(HM232,","))&amp;",",","&amp;SUBSTITUTE(input_program," ","")&amp;",")))=COUNTA(TEXTSPLIT(HM232,",")))))</f>
        <v/>
      </c>
      <c r="JO232">
        <f>AND(IF(HO232="",TRUE,IF(input_story_categories="",FALSE,SUMPRODUCT(--ISNUMBER(SEARCH(","&amp;TRIM(TEXTSPLIT(HO232,","))&amp;",",","&amp;SUBSTITUTE(input_story_categories," ","")&amp;",")))&gt;0)),IF(HQ232="",TRUE,IF(input_story_categories="",FALSE,SUMPRODUCT(--ISNUMBER(SEARCH(","&amp;TRIM(TEXTSPLIT(HQ232,","))&amp;",",","&amp;SUBSTITUTE(input_story_categories," ","")&amp;",")))=COUNTA(TEXTSPLIT(HQ232,",")))),IF(HS232="",TRUE,IF(input_story_categories="",TRUE,SUMPRODUCT(--ISNUMBER(SEARCH(","&amp;TRIM(TEXTSPLIT(HS232,","))&amp;",",","&amp;SUBSTITUTE(input_story_categories," ","")&amp;",")))=0)),IF(HU232="",TRUE,IF(input_story_categories="",FALSE,SUMPRODUCT(--ISNUMBER(SEARCH(","&amp;TRIM(TEXTSPLIT(HU232,","))&amp;",",","&amp;SUBSTITUTE(input_story_categories," ","")&amp;",")))&gt;0)),IF(HW232="",TRUE,IF(input_story_categories="",FALSE,SUMPRODUCT(--ISNUMBER(SEARCH(","&amp;TRIM(TEXTSPLIT(HW232,","))&amp;",",","&amp;SUBSTITUTE(input_story_categories," ","")&amp;",")))=COUNTA(TEXTSPLIT(HW232,",")))))</f>
        <v/>
      </c>
      <c r="JP232">
        <f>AND(IF(HY232="",TRUE,IF(input_story_type="",FALSE,SUMPRODUCT(--ISNUMBER(SEARCH(","&amp;TRIM(TEXTSPLIT(HY232,","))&amp;",",","&amp;SUBSTITUTE(input_story_type," ","")&amp;",")))&gt;0)),IF(IA232="",TRUE,IF(input_story_type="",FALSE,SUMPRODUCT(--ISNUMBER(SEARCH(","&amp;TRIM(TEXTSPLIT(IA232,","))&amp;",",","&amp;SUBSTITUTE(input_story_type," ","")&amp;",")))=COUNTA(TEXTSPLIT(IA232,",")))),IF(IC232="",TRUE,IF(input_story_type="",TRUE,SUMPRODUCT(--ISNUMBER(SEARCH(","&amp;TRIM(TEXTSPLIT(IC232,","))&amp;",",","&amp;SUBSTITUTE(input_story_type," ","")&amp;",")))=0)),IF(IE232="",TRUE,IF(input_story_type="",FALSE,SUMPRODUCT(--ISNUMBER(SEARCH(","&amp;TRIM(TEXTSPLIT(IE232,","))&amp;",",","&amp;SUBSTITUTE(input_story_type," ","")&amp;",")))&gt;0)),IF(IG232="",TRUE,IF(input_story_type="",FALSE,SUMPRODUCT(--ISNUMBER(SEARCH(","&amp;TRIM(TEXTSPLIT(IG232,","))&amp;",",","&amp;SUBSTITUTE(input_story_type," ","")&amp;",")))=COUNTA(TEXTSPLIT(IG232,",")))))</f>
        <v/>
      </c>
      <c r="JQ232">
        <f>AND(IF(II232="",TRUE,IF(input_topics="",FALSE,SUMPRODUCT(--ISNUMBER(SEARCH(","&amp;TRIM(TEXTSPLIT(II232,","))&amp;",",","&amp;SUBSTITUTE(input_topics," ","")&amp;",")))&gt;0)),IF(IK232="",TRUE,IF(input_topics="",FALSE,SUMPRODUCT(--ISNUMBER(SEARCH(","&amp;TRIM(TEXTSPLIT(IK232,","))&amp;",",","&amp;SUBSTITUTE(input_topics," ","")&amp;",")))=COUNTA(TEXTSPLIT(IK232,",")))),IF(IM232="",TRUE,IF(input_topics="",TRUE,SUMPRODUCT(--ISNUMBER(SEARCH(","&amp;TRIM(TEXTSPLIT(IM232,","))&amp;",",","&amp;SUBSTITUTE(input_topics," ","")&amp;",")))=0)),IF(IO232="",TRUE,IF(input_topics="",FALSE,SUMPRODUCT(--ISNUMBER(SEARCH(","&amp;TRIM(TEXTSPLIT(IO232,","))&amp;",",","&amp;SUBSTITUTE(input_topics," ","")&amp;",")))&gt;0)),IF(IQ232="",TRUE,IF(input_topics="",FALSE,SUMPRODUCT(--ISNUMBER(SEARCH(","&amp;TRIM(TEXTSPLIT(IQ232,","))&amp;",",","&amp;SUBSTITUTE(input_topics," ","")&amp;",")))=COUNTA(TEXTSPLIT(IQ232,",")))))</f>
        <v/>
      </c>
    </row>
    <row r="233">
      <c r="A233" s="4">
        <f>IF(NOT(IS233),"Excluded",IF(AND(IT233,IU233,IV233,IW233,IX233,IY233,IZ233,JA233,JB233,JC233,JD233,JE233,JF233,JG233,JH233,JI233,JJ233,JK233,JL233,JM233,JN233,JO233,JP233,JQ233),IF(I233&gt;0,"Eligible but limited","Will appear"),"Excluded"))</f>
        <v/>
      </c>
      <c r="B233" s="4" t="inlineStr">
        <is>
          <t>Yale SOM Podcasts</t>
        </is>
      </c>
      <c r="C233" s="4" t="inlineStr">
        <is>
          <t>/about/headlines/podcasts</t>
        </is>
      </c>
      <c r="D233" s="4" t="inlineStr">
        <is>
          <t>/about/headlines/podcasts</t>
        </is>
      </c>
      <c r="E233" s="4" t="n">
        <v>1</v>
      </c>
      <c r="F233" s="4" t="inlineStr">
        <is>
          <t>podcast_series</t>
        </is>
      </c>
      <c r="G233" s="4" t="inlineStr">
        <is>
          <t>podcast_series_list</t>
        </is>
      </c>
      <c r="H233" s="4" t="inlineStr">
        <is>
          <t>embed_list</t>
        </is>
      </c>
      <c r="I233" s="4" t="n">
        <v>20</v>
      </c>
      <c r="J233" s="4" t="inlineStr">
        <is>
          <t>View/config rules</t>
        </is>
      </c>
      <c r="K233" s="4" t="inlineStr">
        <is>
          <t>Page placement</t>
        </is>
      </c>
      <c r="L233" s="4" t="inlineStr">
        <is>
          <t>Content type: podcast_series; Limited to 20 item(s); Source: View/config rules</t>
        </is>
      </c>
      <c r="M233" t="inlineStr"/>
      <c r="N233" t="inlineStr"/>
      <c r="O233" t="inlineStr"/>
      <c r="P233" t="inlineStr"/>
      <c r="Q233" t="inlineStr"/>
      <c r="R233" t="inlineStr"/>
      <c r="S233" t="inlineStr"/>
      <c r="T233" t="inlineStr"/>
      <c r="U233" t="inlineStr"/>
      <c r="V233" t="inlineStr"/>
      <c r="W233" t="inlineStr"/>
      <c r="X233" t="inlineStr"/>
      <c r="Y233" t="inlineStr"/>
      <c r="Z233" t="inlineStr"/>
      <c r="AA233" t="inlineStr"/>
      <c r="AB233" t="inlineStr"/>
      <c r="AC233" t="inlineStr"/>
      <c r="AD233" t="inlineStr"/>
      <c r="AE233" t="inlineStr"/>
      <c r="AF233" t="inlineStr"/>
      <c r="AG233" t="inlineStr"/>
      <c r="AH233" t="inlineStr"/>
      <c r="AI233" t="inlineStr"/>
      <c r="AJ233" t="inlineStr"/>
      <c r="AK233" t="inlineStr"/>
      <c r="AL233" t="inlineStr"/>
      <c r="AM233" t="inlineStr"/>
      <c r="AN233" t="inlineStr"/>
      <c r="AO233" t="inlineStr"/>
      <c r="AP233" t="inlineStr"/>
      <c r="AQ233" t="inlineStr"/>
      <c r="AR233" t="inlineStr"/>
      <c r="AS233" t="inlineStr"/>
      <c r="AT233" t="inlineStr"/>
      <c r="AU233" t="inlineStr"/>
      <c r="AV233" t="inlineStr"/>
      <c r="AW233" t="inlineStr"/>
      <c r="AX233" t="inlineStr"/>
      <c r="AY233" t="inlineStr"/>
      <c r="AZ233" t="inlineStr"/>
      <c r="BA233" t="inlineStr"/>
      <c r="BB233" t="inlineStr"/>
      <c r="BC233" t="inlineStr"/>
      <c r="BD233" t="inlineStr"/>
      <c r="BE233" t="inlineStr"/>
      <c r="BF233" t="inlineStr"/>
      <c r="BG233" t="inlineStr"/>
      <c r="BH233" t="inlineStr"/>
      <c r="BI233" t="inlineStr"/>
      <c r="BJ233" t="inlineStr"/>
      <c r="BK233" t="inlineStr"/>
      <c r="BL233" t="inlineStr"/>
      <c r="BM233" t="inlineStr"/>
      <c r="BN233" t="inlineStr"/>
      <c r="BO233" t="inlineStr"/>
      <c r="BP233" t="inlineStr"/>
      <c r="BQ233" t="inlineStr"/>
      <c r="BR233" t="inlineStr"/>
      <c r="BS233" t="inlineStr"/>
      <c r="BT233" t="inlineStr"/>
      <c r="BU233" t="inlineStr"/>
      <c r="BV233" t="inlineStr"/>
      <c r="BW233" t="inlineStr"/>
      <c r="BX233" t="inlineStr"/>
      <c r="BY233" t="inlineStr"/>
      <c r="BZ233" t="inlineStr"/>
      <c r="CA233" t="inlineStr"/>
      <c r="CB233" t="inlineStr"/>
      <c r="CC233" t="inlineStr"/>
      <c r="CD233" t="inlineStr"/>
      <c r="CE233" t="inlineStr"/>
      <c r="CF233" t="inlineStr"/>
      <c r="CG233" t="inlineStr"/>
      <c r="CH233" t="inlineStr"/>
      <c r="CI233" t="inlineStr"/>
      <c r="CJ233" t="inlineStr"/>
      <c r="CK233" t="inlineStr"/>
      <c r="CL233" t="inlineStr"/>
      <c r="CM233" t="inlineStr"/>
      <c r="CN233" t="inlineStr"/>
      <c r="CO233" t="inlineStr"/>
      <c r="CP233" t="inlineStr"/>
      <c r="CQ233" t="inlineStr"/>
      <c r="CR233" t="inlineStr"/>
      <c r="CS233" t="inlineStr"/>
      <c r="CT233" t="inlineStr"/>
      <c r="CU233" t="inlineStr"/>
      <c r="CV233" t="inlineStr"/>
      <c r="CW233" t="inlineStr"/>
      <c r="CX233" t="inlineStr"/>
      <c r="CY233" t="inlineStr"/>
      <c r="CZ233" t="inlineStr"/>
      <c r="DA233" t="inlineStr"/>
      <c r="DB233" t="inlineStr"/>
      <c r="DC233" t="inlineStr"/>
      <c r="DD233" t="inlineStr"/>
      <c r="DE233" t="inlineStr"/>
      <c r="DF233" t="inlineStr"/>
      <c r="DG233" t="inlineStr"/>
      <c r="DH233" t="inlineStr"/>
      <c r="DI233" t="inlineStr"/>
      <c r="DJ233" t="inlineStr"/>
      <c r="DK233" t="inlineStr"/>
      <c r="DL233" t="inlineStr"/>
      <c r="DM233" t="inlineStr"/>
      <c r="DN233" t="inlineStr"/>
      <c r="DO233" t="inlineStr"/>
      <c r="DP233" t="inlineStr"/>
      <c r="DQ233" t="inlineStr"/>
      <c r="DR233" t="inlineStr"/>
      <c r="DS233" t="inlineStr"/>
      <c r="DT233" t="inlineStr"/>
      <c r="DU233" t="inlineStr"/>
      <c r="DV233" t="inlineStr"/>
      <c r="DW233" t="inlineStr"/>
      <c r="DX233" t="inlineStr"/>
      <c r="DY233" t="inlineStr"/>
      <c r="DZ233" t="inlineStr"/>
      <c r="EA233" t="inlineStr"/>
      <c r="EB233" t="inlineStr"/>
      <c r="EC233" t="inlineStr"/>
      <c r="ED233" t="inlineStr"/>
      <c r="EE233" t="inlineStr"/>
      <c r="EF233" t="inlineStr"/>
      <c r="EG233" t="inlineStr"/>
      <c r="EH233" t="inlineStr"/>
      <c r="EI233" t="inlineStr"/>
      <c r="EJ233" t="inlineStr"/>
      <c r="EK233" t="inlineStr"/>
      <c r="EL233" t="inlineStr"/>
      <c r="EM233" t="inlineStr"/>
      <c r="EN233" t="inlineStr"/>
      <c r="EO233" t="inlineStr"/>
      <c r="EP233" t="inlineStr"/>
      <c r="EQ233" t="inlineStr"/>
      <c r="ER233" t="inlineStr"/>
      <c r="ES233" t="inlineStr"/>
      <c r="ET233" t="inlineStr"/>
      <c r="EU233" t="inlineStr"/>
      <c r="EV233" t="inlineStr"/>
      <c r="EW233" t="inlineStr"/>
      <c r="EX233" t="inlineStr"/>
      <c r="EY233" t="inlineStr"/>
      <c r="EZ233" t="inlineStr"/>
      <c r="FA233" t="inlineStr"/>
      <c r="FB233" t="inlineStr"/>
      <c r="FC233" t="inlineStr"/>
      <c r="FD233" t="inlineStr"/>
      <c r="FE233" t="inlineStr"/>
      <c r="FF233" t="inlineStr"/>
      <c r="FG233" t="inlineStr"/>
      <c r="FH233" t="inlineStr"/>
      <c r="FI233" t="inlineStr"/>
      <c r="FJ233" t="inlineStr"/>
      <c r="FK233" t="inlineStr"/>
      <c r="FL233" t="inlineStr"/>
      <c r="FM233" t="inlineStr"/>
      <c r="FN233" t="inlineStr"/>
      <c r="FO233" t="inlineStr"/>
      <c r="FP233" t="inlineStr"/>
      <c r="FQ233" t="inlineStr"/>
      <c r="FR233" t="inlineStr"/>
      <c r="FS233" t="inlineStr"/>
      <c r="FT233" t="inlineStr"/>
      <c r="FU233" t="inlineStr"/>
      <c r="FV233" t="inlineStr"/>
      <c r="FW233" t="inlineStr"/>
      <c r="FX233" t="inlineStr"/>
      <c r="FY233" t="inlineStr"/>
      <c r="FZ233" t="inlineStr"/>
      <c r="GA233" t="inlineStr"/>
      <c r="GB233" t="inlineStr"/>
      <c r="GC233" t="inlineStr"/>
      <c r="GD233" t="inlineStr"/>
      <c r="GE233" t="inlineStr"/>
      <c r="GF233" t="inlineStr"/>
      <c r="GG233" t="inlineStr"/>
      <c r="GH233" t="inlineStr"/>
      <c r="GI233" t="inlineStr"/>
      <c r="GJ233" t="inlineStr"/>
      <c r="GK233" t="inlineStr"/>
      <c r="GL233" t="inlineStr"/>
      <c r="GM233" t="inlineStr"/>
      <c r="GN233" t="inlineStr"/>
      <c r="GO233" t="inlineStr"/>
      <c r="GP233" t="inlineStr"/>
      <c r="GQ233" t="inlineStr"/>
      <c r="GR233" t="inlineStr"/>
      <c r="GS233" t="inlineStr"/>
      <c r="GT233" t="inlineStr"/>
      <c r="GU233" t="inlineStr"/>
      <c r="GV233" t="inlineStr"/>
      <c r="GW233" t="inlineStr"/>
      <c r="GX233" t="inlineStr"/>
      <c r="GY233" t="inlineStr"/>
      <c r="GZ233" t="inlineStr"/>
      <c r="HA233" t="inlineStr"/>
      <c r="HB233" t="inlineStr"/>
      <c r="HC233" t="inlineStr"/>
      <c r="HD233" t="inlineStr"/>
      <c r="HE233" t="inlineStr"/>
      <c r="HF233" t="inlineStr"/>
      <c r="HG233" t="inlineStr"/>
      <c r="HH233" t="inlineStr"/>
      <c r="HI233" t="inlineStr"/>
      <c r="HJ233" t="inlineStr"/>
      <c r="HK233" t="inlineStr"/>
      <c r="HL233" t="inlineStr"/>
      <c r="HM233" t="inlineStr"/>
      <c r="HN233" t="inlineStr"/>
      <c r="HO233" t="inlineStr"/>
      <c r="HP233" t="inlineStr"/>
      <c r="HQ233" t="inlineStr"/>
      <c r="HR233" t="inlineStr"/>
      <c r="HS233" t="inlineStr"/>
      <c r="HT233" t="inlineStr"/>
      <c r="HU233" t="inlineStr"/>
      <c r="HV233" t="inlineStr"/>
      <c r="HW233" t="inlineStr"/>
      <c r="HX233" t="inlineStr"/>
      <c r="HY233" t="inlineStr"/>
      <c r="HZ233" t="inlineStr"/>
      <c r="IA233" t="inlineStr"/>
      <c r="IB233" t="inlineStr"/>
      <c r="IC233" t="inlineStr"/>
      <c r="ID233" t="inlineStr"/>
      <c r="IE233" t="inlineStr"/>
      <c r="IF233" t="inlineStr"/>
      <c r="IG233" t="inlineStr"/>
      <c r="IH233" t="inlineStr"/>
      <c r="II233" t="inlineStr"/>
      <c r="IJ233" t="inlineStr"/>
      <c r="IK233" t="inlineStr"/>
      <c r="IL233" t="inlineStr"/>
      <c r="IM233" t="inlineStr"/>
      <c r="IN233" t="inlineStr"/>
      <c r="IO233" t="inlineStr"/>
      <c r="IP233" t="inlineStr"/>
      <c r="IQ233" t="inlineStr"/>
      <c r="IR233" t="inlineStr"/>
      <c r="IS233">
        <f>IF(input_content_type="",FALSE,ISNUMBER(SEARCH(","&amp;LOWER(input_content_type)&amp;",",","&amp;LOWER(F233)&amp;",")))</f>
        <v/>
      </c>
      <c r="IT233">
        <f>AND(IF(M233="",TRUE,IF(input_affiliations="",FALSE,SUMPRODUCT(--ISNUMBER(SEARCH(","&amp;TRIM(TEXTSPLIT(M233,","))&amp;",",","&amp;SUBSTITUTE(input_affiliations," ","")&amp;",")))&gt;0)),IF(O233="",TRUE,IF(input_affiliations="",FALSE,SUMPRODUCT(--ISNUMBER(SEARCH(","&amp;TRIM(TEXTSPLIT(O233,","))&amp;",",","&amp;SUBSTITUTE(input_affiliations," ","")&amp;",")))=COUNTA(TEXTSPLIT(O233,",")))),IF(Q233="",TRUE,IF(input_affiliations="",TRUE,SUMPRODUCT(--ISNUMBER(SEARCH(","&amp;TRIM(TEXTSPLIT(Q233,","))&amp;",",","&amp;SUBSTITUTE(input_affiliations," ","")&amp;",")))=0)),IF(S233="",TRUE,IF(input_affiliations="",FALSE,SUMPRODUCT(--ISNUMBER(SEARCH(","&amp;TRIM(TEXTSPLIT(S233,","))&amp;",",","&amp;SUBSTITUTE(input_affiliations," ","")&amp;",")))&gt;0)),IF(U233="",TRUE,IF(input_affiliations="",FALSE,SUMPRODUCT(--ISNUMBER(SEARCH(","&amp;TRIM(TEXTSPLIT(U233,","))&amp;",",","&amp;SUBSTITUTE(input_affiliations," ","")&amp;",")))=COUNTA(TEXTSPLIT(U233,",")))))</f>
        <v/>
      </c>
      <c r="IU233">
        <f>AND(IF(W233="",TRUE,IF(input_announcement_category="",FALSE,SUMPRODUCT(--ISNUMBER(SEARCH(","&amp;TRIM(TEXTSPLIT(W233,","))&amp;",",","&amp;SUBSTITUTE(input_announcement_category," ","")&amp;",")))&gt;0)),IF(Y233="",TRUE,IF(input_announcement_category="",FALSE,SUMPRODUCT(--ISNUMBER(SEARCH(","&amp;TRIM(TEXTSPLIT(Y233,","))&amp;",",","&amp;SUBSTITUTE(input_announcement_category," ","")&amp;",")))=COUNTA(TEXTSPLIT(Y233,",")))),IF(AA233="",TRUE,IF(input_announcement_category="",TRUE,SUMPRODUCT(--ISNUMBER(SEARCH(","&amp;TRIM(TEXTSPLIT(AA233,","))&amp;",",","&amp;SUBSTITUTE(input_announcement_category," ","")&amp;",")))=0)),IF(AC233="",TRUE,IF(input_announcement_category="",FALSE,SUMPRODUCT(--ISNUMBER(SEARCH(","&amp;TRIM(TEXTSPLIT(AC233,","))&amp;",",","&amp;SUBSTITUTE(input_announcement_category," ","")&amp;",")))&gt;0)),IF(AE233="",TRUE,IF(input_announcement_category="",FALSE,SUMPRODUCT(--ISNUMBER(SEARCH(","&amp;TRIM(TEXTSPLIT(AE233,","))&amp;",",","&amp;SUBSTITUTE(input_announcement_category," ","")&amp;",")))=COUNTA(TEXTSPLIT(AE233,",")))))</f>
        <v/>
      </c>
      <c r="IV233">
        <f>AND(IF(AG233="",TRUE,IF(input_area_of_focus="",FALSE,SUMPRODUCT(--ISNUMBER(SEARCH(","&amp;TRIM(TEXTSPLIT(AG233,","))&amp;",",","&amp;SUBSTITUTE(input_area_of_focus," ","")&amp;",")))&gt;0)),IF(AI233="",TRUE,IF(input_area_of_focus="",FALSE,SUMPRODUCT(--ISNUMBER(SEARCH(","&amp;TRIM(TEXTSPLIT(AI233,","))&amp;",",","&amp;SUBSTITUTE(input_area_of_focus," ","")&amp;",")))=COUNTA(TEXTSPLIT(AI233,",")))),IF(AK233="",TRUE,IF(input_area_of_focus="",TRUE,SUMPRODUCT(--ISNUMBER(SEARCH(","&amp;TRIM(TEXTSPLIT(AK233,","))&amp;",",","&amp;SUBSTITUTE(input_area_of_focus," ","")&amp;",")))=0)),IF(AM233="",TRUE,IF(input_area_of_focus="",FALSE,SUMPRODUCT(--ISNUMBER(SEARCH(","&amp;TRIM(TEXTSPLIT(AM233,","))&amp;",",","&amp;SUBSTITUTE(input_area_of_focus," ","")&amp;",")))&gt;0)),IF(AO233="",TRUE,IF(input_area_of_focus="",FALSE,SUMPRODUCT(--ISNUMBER(SEARCH(","&amp;TRIM(TEXTSPLIT(AO233,","))&amp;",",","&amp;SUBSTITUTE(input_area_of_focus," ","")&amp;",")))=COUNTA(TEXTSPLIT(AO233,",")))))</f>
        <v/>
      </c>
      <c r="IW233">
        <f>AND(IF(AQ233="",TRUE,IF(input_audience="",FALSE,SUMPRODUCT(--ISNUMBER(SEARCH(","&amp;TRIM(TEXTSPLIT(AQ233,","))&amp;",",","&amp;SUBSTITUTE(input_audience," ","")&amp;",")))&gt;0)),IF(AS233="",TRUE,IF(input_audience="",FALSE,SUMPRODUCT(--ISNUMBER(SEARCH(","&amp;TRIM(TEXTSPLIT(AS233,","))&amp;",",","&amp;SUBSTITUTE(input_audience," ","")&amp;",")))=COUNTA(TEXTSPLIT(AS233,",")))),IF(AU233="",TRUE,IF(input_audience="",TRUE,SUMPRODUCT(--ISNUMBER(SEARCH(","&amp;TRIM(TEXTSPLIT(AU233,","))&amp;",",","&amp;SUBSTITUTE(input_audience," ","")&amp;",")))=0)),IF(AW233="",TRUE,IF(input_audience="",FALSE,SUMPRODUCT(--ISNUMBER(SEARCH(","&amp;TRIM(TEXTSPLIT(AW233,","))&amp;",",","&amp;SUBSTITUTE(input_audience," ","")&amp;",")))&gt;0)),IF(AY233="",TRUE,IF(input_audience="",FALSE,SUMPRODUCT(--ISNUMBER(SEARCH(","&amp;TRIM(TEXTSPLIT(AY233,","))&amp;",",","&amp;SUBSTITUTE(input_audience," ","")&amp;",")))=COUNTA(TEXTSPLIT(AY233,",")))))</f>
        <v/>
      </c>
      <c r="IX233">
        <f>AND(IF(BA233="",TRUE,IF(input_challenge_opportunities="",FALSE,SUMPRODUCT(--ISNUMBER(SEARCH(","&amp;TRIM(TEXTSPLIT(BA233,","))&amp;",",","&amp;SUBSTITUTE(input_challenge_opportunities," ","")&amp;",")))&gt;0)),IF(BC233="",TRUE,IF(input_challenge_opportunities="",FALSE,SUMPRODUCT(--ISNUMBER(SEARCH(","&amp;TRIM(TEXTSPLIT(BC233,","))&amp;",",","&amp;SUBSTITUTE(input_challenge_opportunities," ","")&amp;",")))=COUNTA(TEXTSPLIT(BC233,",")))),IF(BE233="",TRUE,IF(input_challenge_opportunities="",TRUE,SUMPRODUCT(--ISNUMBER(SEARCH(","&amp;TRIM(TEXTSPLIT(BE233,","))&amp;",",","&amp;SUBSTITUTE(input_challenge_opportunities," ","")&amp;",")))=0)),IF(BG233="",TRUE,IF(input_challenge_opportunities="",FALSE,SUMPRODUCT(--ISNUMBER(SEARCH(","&amp;TRIM(TEXTSPLIT(BG233,","))&amp;",",","&amp;SUBSTITUTE(input_challenge_opportunities," ","")&amp;",")))&gt;0)),IF(BI233="",TRUE,IF(input_challenge_opportunities="",FALSE,SUMPRODUCT(--ISNUMBER(SEARCH(","&amp;TRIM(TEXTSPLIT(BI233,","))&amp;",",","&amp;SUBSTITUTE(input_challenge_opportunities," ","")&amp;",")))=COUNTA(TEXTSPLIT(BI233,",")))))</f>
        <v/>
      </c>
      <c r="IY233">
        <f>AND(IF(BK233="",TRUE,IF(input_context="",FALSE,SUMPRODUCT(--ISNUMBER(SEARCH(","&amp;TRIM(TEXTSPLIT(BK233,","))&amp;",",","&amp;SUBSTITUTE(input_context," ","")&amp;",")))&gt;0)),IF(BM233="",TRUE,IF(input_context="",FALSE,SUMPRODUCT(--ISNUMBER(SEARCH(","&amp;TRIM(TEXTSPLIT(BM233,","))&amp;",",","&amp;SUBSTITUTE(input_context," ","")&amp;",")))=COUNTA(TEXTSPLIT(BM233,",")))),IF(BO233="",TRUE,IF(input_context="",TRUE,SUMPRODUCT(--ISNUMBER(SEARCH(","&amp;TRIM(TEXTSPLIT(BO233,","))&amp;",",","&amp;SUBSTITUTE(input_context," ","")&amp;",")))=0)),IF(BQ233="",TRUE,IF(input_context="",FALSE,SUMPRODUCT(--ISNUMBER(SEARCH(","&amp;TRIM(TEXTSPLIT(BQ233,","))&amp;",",","&amp;SUBSTITUTE(input_context," ","")&amp;",")))&gt;0)),IF(BS233="",TRUE,IF(input_context="",FALSE,SUMPRODUCT(--ISNUMBER(SEARCH(","&amp;TRIM(TEXTSPLIT(BS233,","))&amp;",",","&amp;SUBSTITUTE(input_context," ","")&amp;",")))=COUNTA(TEXTSPLIT(BS233,",")))))</f>
        <v/>
      </c>
      <c r="IZ233">
        <f>AND(IF(BU233="",TRUE,IF(input_enews_announcement_type="",FALSE,SUMPRODUCT(--ISNUMBER(SEARCH(","&amp;TRIM(TEXTSPLIT(BU233,","))&amp;",",","&amp;SUBSTITUTE(input_enews_announcement_type," ","")&amp;",")))&gt;0)),IF(BW233="",TRUE,IF(input_enews_announcement_type="",FALSE,SUMPRODUCT(--ISNUMBER(SEARCH(","&amp;TRIM(TEXTSPLIT(BW233,","))&amp;",",","&amp;SUBSTITUTE(input_enews_announcement_type," ","")&amp;",")))=COUNTA(TEXTSPLIT(BW233,",")))),IF(BY233="",TRUE,IF(input_enews_announcement_type="",TRUE,SUMPRODUCT(--ISNUMBER(SEARCH(","&amp;TRIM(TEXTSPLIT(BY233,","))&amp;",",","&amp;SUBSTITUTE(input_enews_announcement_type," ","")&amp;",")))=0)),IF(CA233="",TRUE,IF(input_enews_announcement_type="",FALSE,SUMPRODUCT(--ISNUMBER(SEARCH(","&amp;TRIM(TEXTSPLIT(CA233,","))&amp;",",","&amp;SUBSTITUTE(input_enews_announcement_type," ","")&amp;",")))&gt;0)),IF(CC233="",TRUE,IF(input_enews_announcement_type="",FALSE,SUMPRODUCT(--ISNUMBER(SEARCH(","&amp;TRIM(TEXTSPLIT(CC233,","))&amp;",",","&amp;SUBSTITUTE(input_enews_announcement_type," ","")&amp;",")))=COUNTA(TEXTSPLIT(CC233,",")))))</f>
        <v/>
      </c>
      <c r="JA233">
        <f>AND(IF(CE233="",TRUE,IF(input_enews_audience="",FALSE,SUMPRODUCT(--ISNUMBER(SEARCH(","&amp;TRIM(TEXTSPLIT(CE233,","))&amp;",",","&amp;SUBSTITUTE(input_enews_audience," ","")&amp;",")))&gt;0)),IF(CG233="",TRUE,IF(input_enews_audience="",FALSE,SUMPRODUCT(--ISNUMBER(SEARCH(","&amp;TRIM(TEXTSPLIT(CG233,","))&amp;",",","&amp;SUBSTITUTE(input_enews_audience," ","")&amp;",")))=COUNTA(TEXTSPLIT(CG233,",")))),IF(CI233="",TRUE,IF(input_enews_audience="",TRUE,SUMPRODUCT(--ISNUMBER(SEARCH(","&amp;TRIM(TEXTSPLIT(CI233,","))&amp;",",","&amp;SUBSTITUTE(input_enews_audience," ","")&amp;",")))=0)),IF(CK233="",TRUE,IF(input_enews_audience="",FALSE,SUMPRODUCT(--ISNUMBER(SEARCH(","&amp;TRIM(TEXTSPLIT(CK233,","))&amp;",",","&amp;SUBSTITUTE(input_enews_audience," ","")&amp;",")))&gt;0)),IF(CM233="",TRUE,IF(input_enews_audience="",FALSE,SUMPRODUCT(--ISNUMBER(SEARCH(","&amp;TRIM(TEXTSPLIT(CM233,","))&amp;",",","&amp;SUBSTITUTE(input_enews_audience," ","")&amp;",")))=COUNTA(TEXTSPLIT(CM233,",")))))</f>
        <v/>
      </c>
      <c r="JB233">
        <f>AND(IF(CO233="",TRUE,IF(input_event_location="",FALSE,SUMPRODUCT(--ISNUMBER(SEARCH(","&amp;TRIM(TEXTSPLIT(CO233,","))&amp;",",","&amp;SUBSTITUTE(input_event_location," ","")&amp;",")))&gt;0)),IF(CQ233="",TRUE,IF(input_event_location="",FALSE,SUMPRODUCT(--ISNUMBER(SEARCH(","&amp;TRIM(TEXTSPLIT(CQ233,","))&amp;",",","&amp;SUBSTITUTE(input_event_location," ","")&amp;",")))=COUNTA(TEXTSPLIT(CQ233,",")))),IF(CS233="",TRUE,IF(input_event_location="",TRUE,SUMPRODUCT(--ISNUMBER(SEARCH(","&amp;TRIM(TEXTSPLIT(CS233,","))&amp;",",","&amp;SUBSTITUTE(input_event_location," ","")&amp;",")))=0)),IF(CU233="",TRUE,IF(input_event_location="",FALSE,SUMPRODUCT(--ISNUMBER(SEARCH(","&amp;TRIM(TEXTSPLIT(CU233,","))&amp;",",","&amp;SUBSTITUTE(input_event_location," ","")&amp;",")))&gt;0)),IF(CW233="",TRUE,IF(input_event_location="",FALSE,SUMPRODUCT(--ISNUMBER(SEARCH(","&amp;TRIM(TEXTSPLIT(CW233,","))&amp;",",","&amp;SUBSTITUTE(input_event_location," ","")&amp;",")))=COUNTA(TEXTSPLIT(CW233,",")))))</f>
        <v/>
      </c>
      <c r="JC233">
        <f>AND(IF(CY233="",TRUE,IF(input_event_type="",FALSE,SUMPRODUCT(--ISNUMBER(SEARCH(","&amp;TRIM(TEXTSPLIT(CY233,","))&amp;",",","&amp;SUBSTITUTE(input_event_type," ","")&amp;",")))&gt;0)),IF(DA233="",TRUE,IF(input_event_type="",FALSE,SUMPRODUCT(--ISNUMBER(SEARCH(","&amp;TRIM(TEXTSPLIT(DA233,","))&amp;",",","&amp;SUBSTITUTE(input_event_type," ","")&amp;",")))=COUNTA(TEXTSPLIT(DA233,",")))),IF(DC233="",TRUE,IF(input_event_type="",TRUE,SUMPRODUCT(--ISNUMBER(SEARCH(","&amp;TRIM(TEXTSPLIT(DC233,","))&amp;",",","&amp;SUBSTITUTE(input_event_type," ","")&amp;",")))=0)),IF(DE233="",TRUE,IF(input_event_type="",FALSE,SUMPRODUCT(--ISNUMBER(SEARCH(","&amp;TRIM(TEXTSPLIT(DE233,","))&amp;",",","&amp;SUBSTITUTE(input_event_type," ","")&amp;",")))&gt;0)),IF(DG233="",TRUE,IF(input_event_type="",FALSE,SUMPRODUCT(--ISNUMBER(SEARCH(","&amp;TRIM(TEXTSPLIT(DG233,","))&amp;",",","&amp;SUBSTITUTE(input_event_type," ","")&amp;",")))=COUNTA(TEXTSPLIT(DG233,",")))))</f>
        <v/>
      </c>
      <c r="JD233">
        <f>AND(IF(DI233="",TRUE,IF(input_executive_education_focus="",FALSE,SUMPRODUCT(--ISNUMBER(SEARCH(","&amp;TRIM(TEXTSPLIT(DI233,","))&amp;",",","&amp;SUBSTITUTE(input_executive_education_focus," ","")&amp;",")))&gt;0)),IF(DK233="",TRUE,IF(input_executive_education_focus="",FALSE,SUMPRODUCT(--ISNUMBER(SEARCH(","&amp;TRIM(TEXTSPLIT(DK233,","))&amp;",",","&amp;SUBSTITUTE(input_executive_education_focus," ","")&amp;",")))=COUNTA(TEXTSPLIT(DK233,",")))),IF(DM233="",TRUE,IF(input_executive_education_focus="",TRUE,SUMPRODUCT(--ISNUMBER(SEARCH(","&amp;TRIM(TEXTSPLIT(DM233,","))&amp;",",","&amp;SUBSTITUTE(input_executive_education_focus," ","")&amp;",")))=0)),IF(DO233="",TRUE,IF(input_executive_education_focus="",FALSE,SUMPRODUCT(--ISNUMBER(SEARCH(","&amp;TRIM(TEXTSPLIT(DO233,","))&amp;",",","&amp;SUBSTITUTE(input_executive_education_focus," ","")&amp;",")))&gt;0)),IF(DQ233="",TRUE,IF(input_executive_education_focus="",FALSE,SUMPRODUCT(--ISNUMBER(SEARCH(","&amp;TRIM(TEXTSPLIT(DQ233,","))&amp;",",","&amp;SUBSTITUTE(input_executive_education_focus," ","")&amp;",")))=COUNTA(TEXTSPLIT(DQ233,",")))))</f>
        <v/>
      </c>
      <c r="JE233">
        <f>AND(IF(DS233="",TRUE,IF(input_faculty_category="",FALSE,SUMPRODUCT(--ISNUMBER(SEARCH(","&amp;TRIM(TEXTSPLIT(DS233,","))&amp;",",","&amp;SUBSTITUTE(input_faculty_category," ","")&amp;",")))&gt;0)),IF(DU233="",TRUE,IF(input_faculty_category="",FALSE,SUMPRODUCT(--ISNUMBER(SEARCH(","&amp;TRIM(TEXTSPLIT(DU233,","))&amp;",",","&amp;SUBSTITUTE(input_faculty_category," ","")&amp;",")))=COUNTA(TEXTSPLIT(DU233,",")))),IF(DW233="",TRUE,IF(input_faculty_category="",TRUE,SUMPRODUCT(--ISNUMBER(SEARCH(","&amp;TRIM(TEXTSPLIT(DW233,","))&amp;",",","&amp;SUBSTITUTE(input_faculty_category," ","")&amp;",")))=0)),IF(DY233="",TRUE,IF(input_faculty_category="",FALSE,SUMPRODUCT(--ISNUMBER(SEARCH(","&amp;TRIM(TEXTSPLIT(DY233,","))&amp;",",","&amp;SUBSTITUTE(input_faculty_category," ","")&amp;",")))&gt;0)),IF(EA233="",TRUE,IF(input_faculty_category="",FALSE,SUMPRODUCT(--ISNUMBER(SEARCH(","&amp;TRIM(TEXTSPLIT(EA233,","))&amp;",",","&amp;SUBSTITUTE(input_faculty_category," ","")&amp;",")))=COUNTA(TEXTSPLIT(EA233,",")))))</f>
        <v/>
      </c>
      <c r="JF233">
        <f>AND(IF(EC233="",TRUE,IF(input_faculty_discipline="",FALSE,SUMPRODUCT(--ISNUMBER(SEARCH(","&amp;TRIM(TEXTSPLIT(EC233,","))&amp;",",","&amp;SUBSTITUTE(input_faculty_discipline," ","")&amp;",")))&gt;0)),IF(EE233="",TRUE,IF(input_faculty_discipline="",FALSE,SUMPRODUCT(--ISNUMBER(SEARCH(","&amp;TRIM(TEXTSPLIT(EE233,","))&amp;",",","&amp;SUBSTITUTE(input_faculty_discipline," ","")&amp;",")))=COUNTA(TEXTSPLIT(EE233,",")))),IF(EG233="",TRUE,IF(input_faculty_discipline="",TRUE,SUMPRODUCT(--ISNUMBER(SEARCH(","&amp;TRIM(TEXTSPLIT(EG233,","))&amp;",",","&amp;SUBSTITUTE(input_faculty_discipline," ","")&amp;",")))=0)),IF(EI233="",TRUE,IF(input_faculty_discipline="",FALSE,SUMPRODUCT(--ISNUMBER(SEARCH(","&amp;TRIM(TEXTSPLIT(EI233,","))&amp;",",","&amp;SUBSTITUTE(input_faculty_discipline," ","")&amp;",")))&gt;0)),IF(EK233="",TRUE,IF(input_faculty_discipline="",FALSE,SUMPRODUCT(--ISNUMBER(SEARCH(","&amp;TRIM(TEXTSPLIT(EK233,","))&amp;",",","&amp;SUBSTITUTE(input_faculty_discipline," ","")&amp;",")))=COUNTA(TEXTSPLIT(EK233,",")))))</f>
        <v/>
      </c>
      <c r="JG233">
        <f>AND(IF(EM233="",TRUE,IF(input_faculty_expertise="",FALSE,SUMPRODUCT(--ISNUMBER(SEARCH(","&amp;TRIM(TEXTSPLIT(EM233,","))&amp;",",","&amp;SUBSTITUTE(input_faculty_expertise," ","")&amp;",")))&gt;0)),IF(EO233="",TRUE,IF(input_faculty_expertise="",FALSE,SUMPRODUCT(--ISNUMBER(SEARCH(","&amp;TRIM(TEXTSPLIT(EO233,","))&amp;",",","&amp;SUBSTITUTE(input_faculty_expertise," ","")&amp;",")))=COUNTA(TEXTSPLIT(EO233,",")))),IF(EQ233="",TRUE,IF(input_faculty_expertise="",TRUE,SUMPRODUCT(--ISNUMBER(SEARCH(","&amp;TRIM(TEXTSPLIT(EQ233,","))&amp;",",","&amp;SUBSTITUTE(input_faculty_expertise," ","")&amp;",")))=0)),IF(ES233="",TRUE,IF(input_faculty_expertise="",FALSE,SUMPRODUCT(--ISNUMBER(SEARCH(","&amp;TRIM(TEXTSPLIT(ES233,","))&amp;",",","&amp;SUBSTITUTE(input_faculty_expertise," ","")&amp;",")))&gt;0)),IF(EU233="",TRUE,IF(input_faculty_expertise="",FALSE,SUMPRODUCT(--ISNUMBER(SEARCH(","&amp;TRIM(TEXTSPLIT(EU233,","))&amp;",",","&amp;SUBSTITUTE(input_faculty_expertise," ","")&amp;",")))=COUNTA(TEXTSPLIT(EU233,",")))))</f>
        <v/>
      </c>
      <c r="JH233">
        <f>AND(IF(EW233="",TRUE,IF(input_global_network_school="",FALSE,SUMPRODUCT(--ISNUMBER(SEARCH(","&amp;TRIM(TEXTSPLIT(EW233,","))&amp;",",","&amp;SUBSTITUTE(input_global_network_school," ","")&amp;",")))&gt;0)),IF(EY233="",TRUE,IF(input_global_network_school="",FALSE,SUMPRODUCT(--ISNUMBER(SEARCH(","&amp;TRIM(TEXTSPLIT(EY233,","))&amp;",",","&amp;SUBSTITUTE(input_global_network_school," ","")&amp;",")))=COUNTA(TEXTSPLIT(EY233,",")))),IF(FA233="",TRUE,IF(input_global_network_school="",TRUE,SUMPRODUCT(--ISNUMBER(SEARCH(","&amp;TRIM(TEXTSPLIT(FA233,","))&amp;",",","&amp;SUBSTITUTE(input_global_network_school," ","")&amp;",")))=0)),IF(FC233="",TRUE,IF(input_global_network_school="",FALSE,SUMPRODUCT(--ISNUMBER(SEARCH(","&amp;TRIM(TEXTSPLIT(FC233,","))&amp;",",","&amp;SUBSTITUTE(input_global_network_school," ","")&amp;",")))&gt;0)),IF(FE233="",TRUE,IF(input_global_network_school="",FALSE,SUMPRODUCT(--ISNUMBER(SEARCH(","&amp;TRIM(TEXTSPLIT(FE233,","))&amp;",",","&amp;SUBSTITUTE(input_global_network_school," ","")&amp;",")))=COUNTA(TEXTSPLIT(FE233,",")))))</f>
        <v/>
      </c>
      <c r="JI233">
        <f>AND(IF(FG233="",TRUE,IF(input_industry="",FALSE,SUMPRODUCT(--ISNUMBER(SEARCH(","&amp;TRIM(TEXTSPLIT(FG233,","))&amp;",",","&amp;SUBSTITUTE(input_industry," ","")&amp;",")))&gt;0)),IF(FI233="",TRUE,IF(input_industry="",FALSE,SUMPRODUCT(--ISNUMBER(SEARCH(","&amp;TRIM(TEXTSPLIT(FI233,","))&amp;",",","&amp;SUBSTITUTE(input_industry," ","")&amp;",")))=COUNTA(TEXTSPLIT(FI233,",")))),IF(FK233="",TRUE,IF(input_industry="",TRUE,SUMPRODUCT(--ISNUMBER(SEARCH(","&amp;TRIM(TEXTSPLIT(FK233,","))&amp;",",","&amp;SUBSTITUTE(input_industry," ","")&amp;",")))=0)),IF(FM233="",TRUE,IF(input_industry="",FALSE,SUMPRODUCT(--ISNUMBER(SEARCH(","&amp;TRIM(TEXTSPLIT(FM233,","))&amp;",",","&amp;SUBSTITUTE(input_industry," ","")&amp;",")))&gt;0)),IF(FO233="",TRUE,IF(input_industry="",FALSE,SUMPRODUCT(--ISNUMBER(SEARCH(","&amp;TRIM(TEXTSPLIT(FO233,","))&amp;",",","&amp;SUBSTITUTE(input_industry," ","")&amp;",")))=COUNTA(TEXTSPLIT(FO233,",")))))</f>
        <v/>
      </c>
      <c r="JJ233">
        <f>AND(IF(FQ233="",TRUE,IF(input_location="",FALSE,SUMPRODUCT(--ISNUMBER(SEARCH(","&amp;TRIM(TEXTSPLIT(FQ233,","))&amp;",",","&amp;SUBSTITUTE(input_location," ","")&amp;",")))&gt;0)),IF(FS233="",TRUE,IF(input_location="",FALSE,SUMPRODUCT(--ISNUMBER(SEARCH(","&amp;TRIM(TEXTSPLIT(FS233,","))&amp;",",","&amp;SUBSTITUTE(input_location," ","")&amp;",")))=COUNTA(TEXTSPLIT(FS233,",")))),IF(FU233="",TRUE,IF(input_location="",TRUE,SUMPRODUCT(--ISNUMBER(SEARCH(","&amp;TRIM(TEXTSPLIT(FU233,","))&amp;",",","&amp;SUBSTITUTE(input_location," ","")&amp;",")))=0)),IF(FW233="",TRUE,IF(input_location="",FALSE,SUMPRODUCT(--ISNUMBER(SEARCH(","&amp;TRIM(TEXTSPLIT(FW233,","))&amp;",",","&amp;SUBSTITUTE(input_location," ","")&amp;",")))&gt;0)),IF(FY233="",TRUE,IF(input_location="",FALSE,SUMPRODUCT(--ISNUMBER(SEARCH(","&amp;TRIM(TEXTSPLIT(FY233,","))&amp;",",","&amp;SUBSTITUTE(input_location," ","")&amp;",")))=COUNTA(TEXTSPLIT(FY233,",")))))</f>
        <v/>
      </c>
      <c r="JK233">
        <f>AND(IF(GA233="",TRUE,IF(input_modality="",FALSE,SUMPRODUCT(--ISNUMBER(SEARCH(","&amp;TRIM(TEXTSPLIT(GA233,","))&amp;",",","&amp;SUBSTITUTE(input_modality," ","")&amp;",")))&gt;0)),IF(GC233="",TRUE,IF(input_modality="",FALSE,SUMPRODUCT(--ISNUMBER(SEARCH(","&amp;TRIM(TEXTSPLIT(GC233,","))&amp;",",","&amp;SUBSTITUTE(input_modality," ","")&amp;",")))=COUNTA(TEXTSPLIT(GC233,",")))),IF(GE233="",TRUE,IF(input_modality="",TRUE,SUMPRODUCT(--ISNUMBER(SEARCH(","&amp;TRIM(TEXTSPLIT(GE233,","))&amp;",",","&amp;SUBSTITUTE(input_modality," ","")&amp;",")))=0)),IF(GG233="",TRUE,IF(input_modality="",FALSE,SUMPRODUCT(--ISNUMBER(SEARCH(","&amp;TRIM(TEXTSPLIT(GG233,","))&amp;",",","&amp;SUBSTITUTE(input_modality," ","")&amp;",")))&gt;0)),IF(GI233="",TRUE,IF(input_modality="",FALSE,SUMPRODUCT(--ISNUMBER(SEARCH(","&amp;TRIM(TEXTSPLIT(GI233,","))&amp;",",","&amp;SUBSTITUTE(input_modality," ","")&amp;",")))=COUNTA(TEXTSPLIT(GI233,",")))))</f>
        <v/>
      </c>
      <c r="JL233">
        <f>AND(IF(GK233="",TRUE,IF(input_organizer="",FALSE,SUMPRODUCT(--ISNUMBER(SEARCH(","&amp;TRIM(TEXTSPLIT(GK233,","))&amp;",",","&amp;SUBSTITUTE(input_organizer," ","")&amp;",")))&gt;0)),IF(GM233="",TRUE,IF(input_organizer="",FALSE,SUMPRODUCT(--ISNUMBER(SEARCH(","&amp;TRIM(TEXTSPLIT(GM233,","))&amp;",",","&amp;SUBSTITUTE(input_organizer," ","")&amp;",")))=COUNTA(TEXTSPLIT(GM233,",")))),IF(GO233="",TRUE,IF(input_organizer="",TRUE,SUMPRODUCT(--ISNUMBER(SEARCH(","&amp;TRIM(TEXTSPLIT(GO233,","))&amp;",",","&amp;SUBSTITUTE(input_organizer," ","")&amp;",")))=0)),IF(GQ233="",TRUE,IF(input_organizer="",FALSE,SUMPRODUCT(--ISNUMBER(SEARCH(","&amp;TRIM(TEXTSPLIT(GQ233,","))&amp;",",","&amp;SUBSTITUTE(input_organizer," ","")&amp;",")))&gt;0)),IF(GS233="",TRUE,IF(input_organizer="",FALSE,SUMPRODUCT(--ISNUMBER(SEARCH(","&amp;TRIM(TEXTSPLIT(GS233,","))&amp;",",","&amp;SUBSTITUTE(input_organizer," ","")&amp;",")))=COUNTA(TEXTSPLIT(GS233,",")))))</f>
        <v/>
      </c>
      <c r="JM233">
        <f>AND(IF(GU233="",TRUE,IF(input_profile_type="",FALSE,SUMPRODUCT(--ISNUMBER(SEARCH(","&amp;TRIM(TEXTSPLIT(GU233,","))&amp;",",","&amp;SUBSTITUTE(input_profile_type," ","")&amp;",")))&gt;0)),IF(GW233="",TRUE,IF(input_profile_type="",FALSE,SUMPRODUCT(--ISNUMBER(SEARCH(","&amp;TRIM(TEXTSPLIT(GW233,","))&amp;",",","&amp;SUBSTITUTE(input_profile_type," ","")&amp;",")))=COUNTA(TEXTSPLIT(GW233,",")))),IF(GY233="",TRUE,IF(input_profile_type="",TRUE,SUMPRODUCT(--ISNUMBER(SEARCH(","&amp;TRIM(TEXTSPLIT(GY233,","))&amp;",",","&amp;SUBSTITUTE(input_profile_type," ","")&amp;",")))=0)),IF(HA233="",TRUE,IF(input_profile_type="",FALSE,SUMPRODUCT(--ISNUMBER(SEARCH(","&amp;TRIM(TEXTSPLIT(HA233,","))&amp;",",","&amp;SUBSTITUTE(input_profile_type," ","")&amp;",")))&gt;0)),IF(HC233="",TRUE,IF(input_profile_type="",FALSE,SUMPRODUCT(--ISNUMBER(SEARCH(","&amp;TRIM(TEXTSPLIT(HC233,","))&amp;",",","&amp;SUBSTITUTE(input_profile_type," ","")&amp;",")))=COUNTA(TEXTSPLIT(HC233,",")))))</f>
        <v/>
      </c>
      <c r="JN233">
        <f>AND(IF(HE233="",TRUE,IF(input_program="",FALSE,SUMPRODUCT(--ISNUMBER(SEARCH(","&amp;TRIM(TEXTSPLIT(HE233,","))&amp;",",","&amp;SUBSTITUTE(input_program," ","")&amp;",")))&gt;0)),IF(HG233="",TRUE,IF(input_program="",FALSE,SUMPRODUCT(--ISNUMBER(SEARCH(","&amp;TRIM(TEXTSPLIT(HG233,","))&amp;",",","&amp;SUBSTITUTE(input_program," ","")&amp;",")))=COUNTA(TEXTSPLIT(HG233,",")))),IF(HI233="",TRUE,IF(input_program="",TRUE,SUMPRODUCT(--ISNUMBER(SEARCH(","&amp;TRIM(TEXTSPLIT(HI233,","))&amp;",",","&amp;SUBSTITUTE(input_program," ","")&amp;",")))=0)),IF(HK233="",TRUE,IF(input_program="",FALSE,SUMPRODUCT(--ISNUMBER(SEARCH(","&amp;TRIM(TEXTSPLIT(HK233,","))&amp;",",","&amp;SUBSTITUTE(input_program," ","")&amp;",")))&gt;0)),IF(HM233="",TRUE,IF(input_program="",FALSE,SUMPRODUCT(--ISNUMBER(SEARCH(","&amp;TRIM(TEXTSPLIT(HM233,","))&amp;",",","&amp;SUBSTITUTE(input_program," ","")&amp;",")))=COUNTA(TEXTSPLIT(HM233,",")))))</f>
        <v/>
      </c>
      <c r="JO233">
        <f>AND(IF(HO233="",TRUE,IF(input_story_categories="",FALSE,SUMPRODUCT(--ISNUMBER(SEARCH(","&amp;TRIM(TEXTSPLIT(HO233,","))&amp;",",","&amp;SUBSTITUTE(input_story_categories," ","")&amp;",")))&gt;0)),IF(HQ233="",TRUE,IF(input_story_categories="",FALSE,SUMPRODUCT(--ISNUMBER(SEARCH(","&amp;TRIM(TEXTSPLIT(HQ233,","))&amp;",",","&amp;SUBSTITUTE(input_story_categories," ","")&amp;",")))=COUNTA(TEXTSPLIT(HQ233,",")))),IF(HS233="",TRUE,IF(input_story_categories="",TRUE,SUMPRODUCT(--ISNUMBER(SEARCH(","&amp;TRIM(TEXTSPLIT(HS233,","))&amp;",",","&amp;SUBSTITUTE(input_story_categories," ","")&amp;",")))=0)),IF(HU233="",TRUE,IF(input_story_categories="",FALSE,SUMPRODUCT(--ISNUMBER(SEARCH(","&amp;TRIM(TEXTSPLIT(HU233,","))&amp;",",","&amp;SUBSTITUTE(input_story_categories," ","")&amp;",")))&gt;0)),IF(HW233="",TRUE,IF(input_story_categories="",FALSE,SUMPRODUCT(--ISNUMBER(SEARCH(","&amp;TRIM(TEXTSPLIT(HW233,","))&amp;",",","&amp;SUBSTITUTE(input_story_categories," ","")&amp;",")))=COUNTA(TEXTSPLIT(HW233,",")))))</f>
        <v/>
      </c>
      <c r="JP233">
        <f>AND(IF(HY233="",TRUE,IF(input_story_type="",FALSE,SUMPRODUCT(--ISNUMBER(SEARCH(","&amp;TRIM(TEXTSPLIT(HY233,","))&amp;",",","&amp;SUBSTITUTE(input_story_type," ","")&amp;",")))&gt;0)),IF(IA233="",TRUE,IF(input_story_type="",FALSE,SUMPRODUCT(--ISNUMBER(SEARCH(","&amp;TRIM(TEXTSPLIT(IA233,","))&amp;",",","&amp;SUBSTITUTE(input_story_type," ","")&amp;",")))=COUNTA(TEXTSPLIT(IA233,",")))),IF(IC233="",TRUE,IF(input_story_type="",TRUE,SUMPRODUCT(--ISNUMBER(SEARCH(","&amp;TRIM(TEXTSPLIT(IC233,","))&amp;",",","&amp;SUBSTITUTE(input_story_type," ","")&amp;",")))=0)),IF(IE233="",TRUE,IF(input_story_type="",FALSE,SUMPRODUCT(--ISNUMBER(SEARCH(","&amp;TRIM(TEXTSPLIT(IE233,","))&amp;",",","&amp;SUBSTITUTE(input_story_type," ","")&amp;",")))&gt;0)),IF(IG233="",TRUE,IF(input_story_type="",FALSE,SUMPRODUCT(--ISNUMBER(SEARCH(","&amp;TRIM(TEXTSPLIT(IG233,","))&amp;",",","&amp;SUBSTITUTE(input_story_type," ","")&amp;",")))=COUNTA(TEXTSPLIT(IG233,",")))))</f>
        <v/>
      </c>
      <c r="JQ233">
        <f>AND(IF(II233="",TRUE,IF(input_topics="",FALSE,SUMPRODUCT(--ISNUMBER(SEARCH(","&amp;TRIM(TEXTSPLIT(II233,","))&amp;",",","&amp;SUBSTITUTE(input_topics," ","")&amp;",")))&gt;0)),IF(IK233="",TRUE,IF(input_topics="",FALSE,SUMPRODUCT(--ISNUMBER(SEARCH(","&amp;TRIM(TEXTSPLIT(IK233,","))&amp;",",","&amp;SUBSTITUTE(input_topics," ","")&amp;",")))=COUNTA(TEXTSPLIT(IK233,",")))),IF(IM233="",TRUE,IF(input_topics="",TRUE,SUMPRODUCT(--ISNUMBER(SEARCH(","&amp;TRIM(TEXTSPLIT(IM233,","))&amp;",",","&amp;SUBSTITUTE(input_topics," ","")&amp;",")))=0)),IF(IO233="",TRUE,IF(input_topics="",FALSE,SUMPRODUCT(--ISNUMBER(SEARCH(","&amp;TRIM(TEXTSPLIT(IO233,","))&amp;",",","&amp;SUBSTITUTE(input_topics," ","")&amp;",")))&gt;0)),IF(IQ233="",TRUE,IF(input_topics="",FALSE,SUMPRODUCT(--ISNUMBER(SEARCH(","&amp;TRIM(TEXTSPLIT(IQ233,","))&amp;",",","&amp;SUBSTITUTE(input_topics," ","")&amp;",")))=COUNTA(TEXTSPLIT(IQ233,",")))))</f>
        <v/>
      </c>
    </row>
    <row r="234">
      <c r="A234" s="4">
        <f>IF(NOT(IS234),"Excluded",IF(AND(IT234,IU234,IV234,IW234,IX234,IY234,IZ234,JA234,JB234,JC234,JD234,JE234,JF234,JG234,JH234,JI234,JJ234,JK234,JL234,JM234,JN234,JO234,JP234,JQ234),IF(I234&gt;0,"Eligible but limited","Will appear"),"Excluded"))</f>
        <v/>
      </c>
      <c r="B234" s="4" t="inlineStr">
        <is>
          <t>YPFS News</t>
        </is>
      </c>
      <c r="C234" s="4" t="inlineStr">
        <is>
          <t>/centers/program-on-financial-stability/ypfs-news</t>
        </is>
      </c>
      <c r="D234" s="4" t="inlineStr">
        <is>
          <t>/centers/program-on-financial-stability/ypfs-news</t>
        </is>
      </c>
      <c r="E234" s="4" t="n">
        <v>1</v>
      </c>
      <c r="F234" s="4" t="inlineStr">
        <is>
          <t>story</t>
        </is>
      </c>
      <c r="G234" s="4" t="inlineStr">
        <is>
          <t>stories_list</t>
        </is>
      </c>
      <c r="H234" s="4" t="inlineStr">
        <is>
          <t>embed_news</t>
        </is>
      </c>
      <c r="I234" s="4" t="n">
        <v>10</v>
      </c>
      <c r="J234" s="4" t="inlineStr">
        <is>
          <t>Explicit args</t>
        </is>
      </c>
      <c r="K234" s="4" t="inlineStr">
        <is>
          <t>Page placement</t>
        </is>
      </c>
      <c r="L234" s="4" t="inlineStr">
        <is>
          <t>Content type: story; Context uses Courses Context: Program on Financial Stability (955); Needs any Story Type: News (924); Limited to 10 item(s); Source: Explicit args</t>
        </is>
      </c>
      <c r="M234" t="inlineStr"/>
      <c r="N234" t="inlineStr"/>
      <c r="O234" t="inlineStr"/>
      <c r="P234" t="inlineStr"/>
      <c r="Q234" t="inlineStr"/>
      <c r="R234" t="inlineStr"/>
      <c r="S234" t="inlineStr"/>
      <c r="T234" t="inlineStr"/>
      <c r="U234" t="inlineStr"/>
      <c r="V234" t="inlineStr"/>
      <c r="W234" t="inlineStr"/>
      <c r="X234" t="inlineStr"/>
      <c r="Y234" t="inlineStr"/>
      <c r="Z234" t="inlineStr"/>
      <c r="AA234" t="inlineStr"/>
      <c r="AB234" t="inlineStr"/>
      <c r="AC234" t="inlineStr"/>
      <c r="AD234" t="inlineStr"/>
      <c r="AE234" t="inlineStr"/>
      <c r="AF234" t="inlineStr"/>
      <c r="AG234" t="inlineStr"/>
      <c r="AH234" t="inlineStr"/>
      <c r="AI234" t="inlineStr"/>
      <c r="AJ234" t="inlineStr"/>
      <c r="AK234" t="inlineStr"/>
      <c r="AL234" t="inlineStr"/>
      <c r="AM234" t="inlineStr"/>
      <c r="AN234" t="inlineStr"/>
      <c r="AO234" t="inlineStr"/>
      <c r="AP234" t="inlineStr"/>
      <c r="AQ234" t="inlineStr"/>
      <c r="AR234" t="inlineStr"/>
      <c r="AS234" t="inlineStr"/>
      <c r="AT234" t="inlineStr"/>
      <c r="AU234" t="inlineStr"/>
      <c r="AV234" t="inlineStr"/>
      <c r="AW234" t="inlineStr"/>
      <c r="AX234" t="inlineStr"/>
      <c r="AY234" t="inlineStr"/>
      <c r="AZ234" t="inlineStr"/>
      <c r="BA234" t="inlineStr"/>
      <c r="BB234" t="inlineStr"/>
      <c r="BC234" t="inlineStr"/>
      <c r="BD234" t="inlineStr"/>
      <c r="BE234" t="inlineStr"/>
      <c r="BF234" t="inlineStr"/>
      <c r="BG234" t="inlineStr"/>
      <c r="BH234" t="inlineStr"/>
      <c r="BI234" t="inlineStr"/>
      <c r="BJ234" t="inlineStr"/>
      <c r="BK234" t="inlineStr"/>
      <c r="BL234" t="inlineStr"/>
      <c r="BM234" t="inlineStr"/>
      <c r="BN234" t="inlineStr"/>
      <c r="BO234" t="inlineStr"/>
      <c r="BP234" t="inlineStr"/>
      <c r="BQ234" t="inlineStr">
        <is>
          <t>955</t>
        </is>
      </c>
      <c r="BR234" t="inlineStr">
        <is>
          <t>Program on Financial Stability (955)</t>
        </is>
      </c>
      <c r="BS234" t="inlineStr"/>
      <c r="BT234" t="inlineStr"/>
      <c r="BU234" t="inlineStr"/>
      <c r="BV234" t="inlineStr"/>
      <c r="BW234" t="inlineStr"/>
      <c r="BX234" t="inlineStr"/>
      <c r="BY234" t="inlineStr"/>
      <c r="BZ234" t="inlineStr"/>
      <c r="CA234" t="inlineStr"/>
      <c r="CB234" t="inlineStr"/>
      <c r="CC234" t="inlineStr"/>
      <c r="CD234" t="inlineStr"/>
      <c r="CE234" t="inlineStr"/>
      <c r="CF234" t="inlineStr"/>
      <c r="CG234" t="inlineStr"/>
      <c r="CH234" t="inlineStr"/>
      <c r="CI234" t="inlineStr"/>
      <c r="CJ234" t="inlineStr"/>
      <c r="CK234" t="inlineStr"/>
      <c r="CL234" t="inlineStr"/>
      <c r="CM234" t="inlineStr"/>
      <c r="CN234" t="inlineStr"/>
      <c r="CO234" t="inlineStr"/>
      <c r="CP234" t="inlineStr"/>
      <c r="CQ234" t="inlineStr"/>
      <c r="CR234" t="inlineStr"/>
      <c r="CS234" t="inlineStr"/>
      <c r="CT234" t="inlineStr"/>
      <c r="CU234" t="inlineStr"/>
      <c r="CV234" t="inlineStr"/>
      <c r="CW234" t="inlineStr"/>
      <c r="CX234" t="inlineStr"/>
      <c r="CY234" t="inlineStr"/>
      <c r="CZ234" t="inlineStr"/>
      <c r="DA234" t="inlineStr"/>
      <c r="DB234" t="inlineStr"/>
      <c r="DC234" t="inlineStr"/>
      <c r="DD234" t="inlineStr"/>
      <c r="DE234" t="inlineStr"/>
      <c r="DF234" t="inlineStr"/>
      <c r="DG234" t="inlineStr"/>
      <c r="DH234" t="inlineStr"/>
      <c r="DI234" t="inlineStr"/>
      <c r="DJ234" t="inlineStr"/>
      <c r="DK234" t="inlineStr"/>
      <c r="DL234" t="inlineStr"/>
      <c r="DM234" t="inlineStr"/>
      <c r="DN234" t="inlineStr"/>
      <c r="DO234" t="inlineStr"/>
      <c r="DP234" t="inlineStr"/>
      <c r="DQ234" t="inlineStr"/>
      <c r="DR234" t="inlineStr"/>
      <c r="DS234" t="inlineStr"/>
      <c r="DT234" t="inlineStr"/>
      <c r="DU234" t="inlineStr"/>
      <c r="DV234" t="inlineStr"/>
      <c r="DW234" t="inlineStr"/>
      <c r="DX234" t="inlineStr"/>
      <c r="DY234" t="inlineStr"/>
      <c r="DZ234" t="inlineStr"/>
      <c r="EA234" t="inlineStr"/>
      <c r="EB234" t="inlineStr"/>
      <c r="EC234" t="inlineStr"/>
      <c r="ED234" t="inlineStr"/>
      <c r="EE234" t="inlineStr"/>
      <c r="EF234" t="inlineStr"/>
      <c r="EG234" t="inlineStr"/>
      <c r="EH234" t="inlineStr"/>
      <c r="EI234" t="inlineStr"/>
      <c r="EJ234" t="inlineStr"/>
      <c r="EK234" t="inlineStr"/>
      <c r="EL234" t="inlineStr"/>
      <c r="EM234" t="inlineStr"/>
      <c r="EN234" t="inlineStr"/>
      <c r="EO234" t="inlineStr"/>
      <c r="EP234" t="inlineStr"/>
      <c r="EQ234" t="inlineStr"/>
      <c r="ER234" t="inlineStr"/>
      <c r="ES234" t="inlineStr"/>
      <c r="ET234" t="inlineStr"/>
      <c r="EU234" t="inlineStr"/>
      <c r="EV234" t="inlineStr"/>
      <c r="EW234" t="inlineStr"/>
      <c r="EX234" t="inlineStr"/>
      <c r="EY234" t="inlineStr"/>
      <c r="EZ234" t="inlineStr"/>
      <c r="FA234" t="inlineStr"/>
      <c r="FB234" t="inlineStr"/>
      <c r="FC234" t="inlineStr"/>
      <c r="FD234" t="inlineStr"/>
      <c r="FE234" t="inlineStr"/>
      <c r="FF234" t="inlineStr"/>
      <c r="FG234" t="inlineStr"/>
      <c r="FH234" t="inlineStr"/>
      <c r="FI234" t="inlineStr"/>
      <c r="FJ234" t="inlineStr"/>
      <c r="FK234" t="inlineStr"/>
      <c r="FL234" t="inlineStr"/>
      <c r="FM234" t="inlineStr"/>
      <c r="FN234" t="inlineStr"/>
      <c r="FO234" t="inlineStr"/>
      <c r="FP234" t="inlineStr"/>
      <c r="FQ234" t="inlineStr"/>
      <c r="FR234" t="inlineStr"/>
      <c r="FS234" t="inlineStr"/>
      <c r="FT234" t="inlineStr"/>
      <c r="FU234" t="inlineStr"/>
      <c r="FV234" t="inlineStr"/>
      <c r="FW234" t="inlineStr"/>
      <c r="FX234" t="inlineStr"/>
      <c r="FY234" t="inlineStr"/>
      <c r="FZ234" t="inlineStr"/>
      <c r="GA234" t="inlineStr"/>
      <c r="GB234" t="inlineStr"/>
      <c r="GC234" t="inlineStr"/>
      <c r="GD234" t="inlineStr"/>
      <c r="GE234" t="inlineStr"/>
      <c r="GF234" t="inlineStr"/>
      <c r="GG234" t="inlineStr"/>
      <c r="GH234" t="inlineStr"/>
      <c r="GI234" t="inlineStr"/>
      <c r="GJ234" t="inlineStr"/>
      <c r="GK234" t="inlineStr"/>
      <c r="GL234" t="inlineStr"/>
      <c r="GM234" t="inlineStr"/>
      <c r="GN234" t="inlineStr"/>
      <c r="GO234" t="inlineStr"/>
      <c r="GP234" t="inlineStr"/>
      <c r="GQ234" t="inlineStr"/>
      <c r="GR234" t="inlineStr"/>
      <c r="GS234" t="inlineStr"/>
      <c r="GT234" t="inlineStr"/>
      <c r="GU234" t="inlineStr"/>
      <c r="GV234" t="inlineStr"/>
      <c r="GW234" t="inlineStr"/>
      <c r="GX234" t="inlineStr"/>
      <c r="GY234" t="inlineStr"/>
      <c r="GZ234" t="inlineStr"/>
      <c r="HA234" t="inlineStr"/>
      <c r="HB234" t="inlineStr"/>
      <c r="HC234" t="inlineStr"/>
      <c r="HD234" t="inlineStr"/>
      <c r="HE234" t="inlineStr"/>
      <c r="HF234" t="inlineStr"/>
      <c r="HG234" t="inlineStr"/>
      <c r="HH234" t="inlineStr"/>
      <c r="HI234" t="inlineStr"/>
      <c r="HJ234" t="inlineStr"/>
      <c r="HK234" t="inlineStr"/>
      <c r="HL234" t="inlineStr"/>
      <c r="HM234" t="inlineStr"/>
      <c r="HN234" t="inlineStr"/>
      <c r="HO234" t="inlineStr"/>
      <c r="HP234" t="inlineStr"/>
      <c r="HQ234" t="inlineStr"/>
      <c r="HR234" t="inlineStr"/>
      <c r="HS234" t="inlineStr"/>
      <c r="HT234" t="inlineStr"/>
      <c r="HU234" t="inlineStr"/>
      <c r="HV234" t="inlineStr"/>
      <c r="HW234" t="inlineStr"/>
      <c r="HX234" t="inlineStr"/>
      <c r="HY234" t="inlineStr">
        <is>
          <t>924</t>
        </is>
      </c>
      <c r="HZ234" t="inlineStr">
        <is>
          <t>News (924)</t>
        </is>
      </c>
      <c r="IA234" t="inlineStr"/>
      <c r="IB234" t="inlineStr"/>
      <c r="IC234" t="inlineStr"/>
      <c r="ID234" t="inlineStr"/>
      <c r="IE234" t="inlineStr"/>
      <c r="IF234" t="inlineStr"/>
      <c r="IG234" t="inlineStr"/>
      <c r="IH234" t="inlineStr"/>
      <c r="II234" t="inlineStr"/>
      <c r="IJ234" t="inlineStr"/>
      <c r="IK234" t="inlineStr"/>
      <c r="IL234" t="inlineStr"/>
      <c r="IM234" t="inlineStr"/>
      <c r="IN234" t="inlineStr"/>
      <c r="IO234" t="inlineStr"/>
      <c r="IP234" t="inlineStr"/>
      <c r="IQ234" t="inlineStr"/>
      <c r="IR234" t="inlineStr"/>
      <c r="IS234">
        <f>IF(input_content_type="",FALSE,ISNUMBER(SEARCH(","&amp;LOWER(input_content_type)&amp;",",","&amp;LOWER(F234)&amp;",")))</f>
        <v/>
      </c>
      <c r="IT234">
        <f>AND(IF(M234="",TRUE,IF(input_affiliations="",FALSE,SUMPRODUCT(--ISNUMBER(SEARCH(","&amp;TRIM(TEXTSPLIT(M234,","))&amp;",",","&amp;SUBSTITUTE(input_affiliations," ","")&amp;",")))&gt;0)),IF(O234="",TRUE,IF(input_affiliations="",FALSE,SUMPRODUCT(--ISNUMBER(SEARCH(","&amp;TRIM(TEXTSPLIT(O234,","))&amp;",",","&amp;SUBSTITUTE(input_affiliations," ","")&amp;",")))=COUNTA(TEXTSPLIT(O234,",")))),IF(Q234="",TRUE,IF(input_affiliations="",TRUE,SUMPRODUCT(--ISNUMBER(SEARCH(","&amp;TRIM(TEXTSPLIT(Q234,","))&amp;",",","&amp;SUBSTITUTE(input_affiliations," ","")&amp;",")))=0)),IF(S234="",TRUE,IF(input_affiliations="",FALSE,SUMPRODUCT(--ISNUMBER(SEARCH(","&amp;TRIM(TEXTSPLIT(S234,","))&amp;",",","&amp;SUBSTITUTE(input_affiliations," ","")&amp;",")))&gt;0)),IF(U234="",TRUE,IF(input_affiliations="",FALSE,SUMPRODUCT(--ISNUMBER(SEARCH(","&amp;TRIM(TEXTSPLIT(U234,","))&amp;",",","&amp;SUBSTITUTE(input_affiliations," ","")&amp;",")))=COUNTA(TEXTSPLIT(U234,",")))))</f>
        <v/>
      </c>
      <c r="IU234">
        <f>AND(IF(W234="",TRUE,IF(input_announcement_category="",FALSE,SUMPRODUCT(--ISNUMBER(SEARCH(","&amp;TRIM(TEXTSPLIT(W234,","))&amp;",",","&amp;SUBSTITUTE(input_announcement_category," ","")&amp;",")))&gt;0)),IF(Y234="",TRUE,IF(input_announcement_category="",FALSE,SUMPRODUCT(--ISNUMBER(SEARCH(","&amp;TRIM(TEXTSPLIT(Y234,","))&amp;",",","&amp;SUBSTITUTE(input_announcement_category," ","")&amp;",")))=COUNTA(TEXTSPLIT(Y234,",")))),IF(AA234="",TRUE,IF(input_announcement_category="",TRUE,SUMPRODUCT(--ISNUMBER(SEARCH(","&amp;TRIM(TEXTSPLIT(AA234,","))&amp;",",","&amp;SUBSTITUTE(input_announcement_category," ","")&amp;",")))=0)),IF(AC234="",TRUE,IF(input_announcement_category="",FALSE,SUMPRODUCT(--ISNUMBER(SEARCH(","&amp;TRIM(TEXTSPLIT(AC234,","))&amp;",",","&amp;SUBSTITUTE(input_announcement_category," ","")&amp;",")))&gt;0)),IF(AE234="",TRUE,IF(input_announcement_category="",FALSE,SUMPRODUCT(--ISNUMBER(SEARCH(","&amp;TRIM(TEXTSPLIT(AE234,","))&amp;",",","&amp;SUBSTITUTE(input_announcement_category," ","")&amp;",")))=COUNTA(TEXTSPLIT(AE234,",")))))</f>
        <v/>
      </c>
      <c r="IV234">
        <f>AND(IF(AG234="",TRUE,IF(input_area_of_focus="",FALSE,SUMPRODUCT(--ISNUMBER(SEARCH(","&amp;TRIM(TEXTSPLIT(AG234,","))&amp;",",","&amp;SUBSTITUTE(input_area_of_focus," ","")&amp;",")))&gt;0)),IF(AI234="",TRUE,IF(input_area_of_focus="",FALSE,SUMPRODUCT(--ISNUMBER(SEARCH(","&amp;TRIM(TEXTSPLIT(AI234,","))&amp;",",","&amp;SUBSTITUTE(input_area_of_focus," ","")&amp;",")))=COUNTA(TEXTSPLIT(AI234,",")))),IF(AK234="",TRUE,IF(input_area_of_focus="",TRUE,SUMPRODUCT(--ISNUMBER(SEARCH(","&amp;TRIM(TEXTSPLIT(AK234,","))&amp;",",","&amp;SUBSTITUTE(input_area_of_focus," ","")&amp;",")))=0)),IF(AM234="",TRUE,IF(input_area_of_focus="",FALSE,SUMPRODUCT(--ISNUMBER(SEARCH(","&amp;TRIM(TEXTSPLIT(AM234,","))&amp;",",","&amp;SUBSTITUTE(input_area_of_focus," ","")&amp;",")))&gt;0)),IF(AO234="",TRUE,IF(input_area_of_focus="",FALSE,SUMPRODUCT(--ISNUMBER(SEARCH(","&amp;TRIM(TEXTSPLIT(AO234,","))&amp;",",","&amp;SUBSTITUTE(input_area_of_focus," ","")&amp;",")))=COUNTA(TEXTSPLIT(AO234,",")))))</f>
        <v/>
      </c>
      <c r="IW234">
        <f>AND(IF(AQ234="",TRUE,IF(input_audience="",FALSE,SUMPRODUCT(--ISNUMBER(SEARCH(","&amp;TRIM(TEXTSPLIT(AQ234,","))&amp;",",","&amp;SUBSTITUTE(input_audience," ","")&amp;",")))&gt;0)),IF(AS234="",TRUE,IF(input_audience="",FALSE,SUMPRODUCT(--ISNUMBER(SEARCH(","&amp;TRIM(TEXTSPLIT(AS234,","))&amp;",",","&amp;SUBSTITUTE(input_audience," ","")&amp;",")))=COUNTA(TEXTSPLIT(AS234,",")))),IF(AU234="",TRUE,IF(input_audience="",TRUE,SUMPRODUCT(--ISNUMBER(SEARCH(","&amp;TRIM(TEXTSPLIT(AU234,","))&amp;",",","&amp;SUBSTITUTE(input_audience," ","")&amp;",")))=0)),IF(AW234="",TRUE,IF(input_audience="",FALSE,SUMPRODUCT(--ISNUMBER(SEARCH(","&amp;TRIM(TEXTSPLIT(AW234,","))&amp;",",","&amp;SUBSTITUTE(input_audience," ","")&amp;",")))&gt;0)),IF(AY234="",TRUE,IF(input_audience="",FALSE,SUMPRODUCT(--ISNUMBER(SEARCH(","&amp;TRIM(TEXTSPLIT(AY234,","))&amp;",",","&amp;SUBSTITUTE(input_audience," ","")&amp;",")))=COUNTA(TEXTSPLIT(AY234,",")))))</f>
        <v/>
      </c>
      <c r="IX234">
        <f>AND(IF(BA234="",TRUE,IF(input_challenge_opportunities="",FALSE,SUMPRODUCT(--ISNUMBER(SEARCH(","&amp;TRIM(TEXTSPLIT(BA234,","))&amp;",",","&amp;SUBSTITUTE(input_challenge_opportunities," ","")&amp;",")))&gt;0)),IF(BC234="",TRUE,IF(input_challenge_opportunities="",FALSE,SUMPRODUCT(--ISNUMBER(SEARCH(","&amp;TRIM(TEXTSPLIT(BC234,","))&amp;",",","&amp;SUBSTITUTE(input_challenge_opportunities," ","")&amp;",")))=COUNTA(TEXTSPLIT(BC234,",")))),IF(BE234="",TRUE,IF(input_challenge_opportunities="",TRUE,SUMPRODUCT(--ISNUMBER(SEARCH(","&amp;TRIM(TEXTSPLIT(BE234,","))&amp;",",","&amp;SUBSTITUTE(input_challenge_opportunities," ","")&amp;",")))=0)),IF(BG234="",TRUE,IF(input_challenge_opportunities="",FALSE,SUMPRODUCT(--ISNUMBER(SEARCH(","&amp;TRIM(TEXTSPLIT(BG234,","))&amp;",",","&amp;SUBSTITUTE(input_challenge_opportunities," ","")&amp;",")))&gt;0)),IF(BI234="",TRUE,IF(input_challenge_opportunities="",FALSE,SUMPRODUCT(--ISNUMBER(SEARCH(","&amp;TRIM(TEXTSPLIT(BI234,","))&amp;",",","&amp;SUBSTITUTE(input_challenge_opportunities," ","")&amp;",")))=COUNTA(TEXTSPLIT(BI234,",")))))</f>
        <v/>
      </c>
      <c r="IY234">
        <f>AND(IF(BK234="",TRUE,IF(input_context="",FALSE,SUMPRODUCT(--ISNUMBER(SEARCH(","&amp;TRIM(TEXTSPLIT(BK234,","))&amp;",",","&amp;SUBSTITUTE(input_context," ","")&amp;",")))&gt;0)),IF(BM234="",TRUE,IF(input_context="",FALSE,SUMPRODUCT(--ISNUMBER(SEARCH(","&amp;TRIM(TEXTSPLIT(BM234,","))&amp;",",","&amp;SUBSTITUTE(input_context," ","")&amp;",")))=COUNTA(TEXTSPLIT(BM234,",")))),IF(BO234="",TRUE,IF(input_context="",TRUE,SUMPRODUCT(--ISNUMBER(SEARCH(","&amp;TRIM(TEXTSPLIT(BO234,","))&amp;",",","&amp;SUBSTITUTE(input_context," ","")&amp;",")))=0)),IF(BQ234="",TRUE,IF(input_context="",FALSE,SUMPRODUCT(--ISNUMBER(SEARCH(","&amp;TRIM(TEXTSPLIT(BQ234,","))&amp;",",","&amp;SUBSTITUTE(input_context," ","")&amp;",")))&gt;0)),IF(BS234="",TRUE,IF(input_context="",FALSE,SUMPRODUCT(--ISNUMBER(SEARCH(","&amp;TRIM(TEXTSPLIT(BS234,","))&amp;",",","&amp;SUBSTITUTE(input_context," ","")&amp;",")))=COUNTA(TEXTSPLIT(BS234,",")))))</f>
        <v/>
      </c>
      <c r="IZ234">
        <f>AND(IF(BU234="",TRUE,IF(input_enews_announcement_type="",FALSE,SUMPRODUCT(--ISNUMBER(SEARCH(","&amp;TRIM(TEXTSPLIT(BU234,","))&amp;",",","&amp;SUBSTITUTE(input_enews_announcement_type," ","")&amp;",")))&gt;0)),IF(BW234="",TRUE,IF(input_enews_announcement_type="",FALSE,SUMPRODUCT(--ISNUMBER(SEARCH(","&amp;TRIM(TEXTSPLIT(BW234,","))&amp;",",","&amp;SUBSTITUTE(input_enews_announcement_type," ","")&amp;",")))=COUNTA(TEXTSPLIT(BW234,",")))),IF(BY234="",TRUE,IF(input_enews_announcement_type="",TRUE,SUMPRODUCT(--ISNUMBER(SEARCH(","&amp;TRIM(TEXTSPLIT(BY234,","))&amp;",",","&amp;SUBSTITUTE(input_enews_announcement_type," ","")&amp;",")))=0)),IF(CA234="",TRUE,IF(input_enews_announcement_type="",FALSE,SUMPRODUCT(--ISNUMBER(SEARCH(","&amp;TRIM(TEXTSPLIT(CA234,","))&amp;",",","&amp;SUBSTITUTE(input_enews_announcement_type," ","")&amp;",")))&gt;0)),IF(CC234="",TRUE,IF(input_enews_announcement_type="",FALSE,SUMPRODUCT(--ISNUMBER(SEARCH(","&amp;TRIM(TEXTSPLIT(CC234,","))&amp;",",","&amp;SUBSTITUTE(input_enews_announcement_type," ","")&amp;",")))=COUNTA(TEXTSPLIT(CC234,",")))))</f>
        <v/>
      </c>
      <c r="JA234">
        <f>AND(IF(CE234="",TRUE,IF(input_enews_audience="",FALSE,SUMPRODUCT(--ISNUMBER(SEARCH(","&amp;TRIM(TEXTSPLIT(CE234,","))&amp;",",","&amp;SUBSTITUTE(input_enews_audience," ","")&amp;",")))&gt;0)),IF(CG234="",TRUE,IF(input_enews_audience="",FALSE,SUMPRODUCT(--ISNUMBER(SEARCH(","&amp;TRIM(TEXTSPLIT(CG234,","))&amp;",",","&amp;SUBSTITUTE(input_enews_audience," ","")&amp;",")))=COUNTA(TEXTSPLIT(CG234,",")))),IF(CI234="",TRUE,IF(input_enews_audience="",TRUE,SUMPRODUCT(--ISNUMBER(SEARCH(","&amp;TRIM(TEXTSPLIT(CI234,","))&amp;",",","&amp;SUBSTITUTE(input_enews_audience," ","")&amp;",")))=0)),IF(CK234="",TRUE,IF(input_enews_audience="",FALSE,SUMPRODUCT(--ISNUMBER(SEARCH(","&amp;TRIM(TEXTSPLIT(CK234,","))&amp;",",","&amp;SUBSTITUTE(input_enews_audience," ","")&amp;",")))&gt;0)),IF(CM234="",TRUE,IF(input_enews_audience="",FALSE,SUMPRODUCT(--ISNUMBER(SEARCH(","&amp;TRIM(TEXTSPLIT(CM234,","))&amp;",",","&amp;SUBSTITUTE(input_enews_audience," ","")&amp;",")))=COUNTA(TEXTSPLIT(CM234,",")))))</f>
        <v/>
      </c>
      <c r="JB234">
        <f>AND(IF(CO234="",TRUE,IF(input_event_location="",FALSE,SUMPRODUCT(--ISNUMBER(SEARCH(","&amp;TRIM(TEXTSPLIT(CO234,","))&amp;",",","&amp;SUBSTITUTE(input_event_location," ","")&amp;",")))&gt;0)),IF(CQ234="",TRUE,IF(input_event_location="",FALSE,SUMPRODUCT(--ISNUMBER(SEARCH(","&amp;TRIM(TEXTSPLIT(CQ234,","))&amp;",",","&amp;SUBSTITUTE(input_event_location," ","")&amp;",")))=COUNTA(TEXTSPLIT(CQ234,",")))),IF(CS234="",TRUE,IF(input_event_location="",TRUE,SUMPRODUCT(--ISNUMBER(SEARCH(","&amp;TRIM(TEXTSPLIT(CS234,","))&amp;",",","&amp;SUBSTITUTE(input_event_location," ","")&amp;",")))=0)),IF(CU234="",TRUE,IF(input_event_location="",FALSE,SUMPRODUCT(--ISNUMBER(SEARCH(","&amp;TRIM(TEXTSPLIT(CU234,","))&amp;",",","&amp;SUBSTITUTE(input_event_location," ","")&amp;",")))&gt;0)),IF(CW234="",TRUE,IF(input_event_location="",FALSE,SUMPRODUCT(--ISNUMBER(SEARCH(","&amp;TRIM(TEXTSPLIT(CW234,","))&amp;",",","&amp;SUBSTITUTE(input_event_location," ","")&amp;",")))=COUNTA(TEXTSPLIT(CW234,",")))))</f>
        <v/>
      </c>
      <c r="JC234">
        <f>AND(IF(CY234="",TRUE,IF(input_event_type="",FALSE,SUMPRODUCT(--ISNUMBER(SEARCH(","&amp;TRIM(TEXTSPLIT(CY234,","))&amp;",",","&amp;SUBSTITUTE(input_event_type," ","")&amp;",")))&gt;0)),IF(DA234="",TRUE,IF(input_event_type="",FALSE,SUMPRODUCT(--ISNUMBER(SEARCH(","&amp;TRIM(TEXTSPLIT(DA234,","))&amp;",",","&amp;SUBSTITUTE(input_event_type," ","")&amp;",")))=COUNTA(TEXTSPLIT(DA234,",")))),IF(DC234="",TRUE,IF(input_event_type="",TRUE,SUMPRODUCT(--ISNUMBER(SEARCH(","&amp;TRIM(TEXTSPLIT(DC234,","))&amp;",",","&amp;SUBSTITUTE(input_event_type," ","")&amp;",")))=0)),IF(DE234="",TRUE,IF(input_event_type="",FALSE,SUMPRODUCT(--ISNUMBER(SEARCH(","&amp;TRIM(TEXTSPLIT(DE234,","))&amp;",",","&amp;SUBSTITUTE(input_event_type," ","")&amp;",")))&gt;0)),IF(DG234="",TRUE,IF(input_event_type="",FALSE,SUMPRODUCT(--ISNUMBER(SEARCH(","&amp;TRIM(TEXTSPLIT(DG234,","))&amp;",",","&amp;SUBSTITUTE(input_event_type," ","")&amp;",")))=COUNTA(TEXTSPLIT(DG234,",")))))</f>
        <v/>
      </c>
      <c r="JD234">
        <f>AND(IF(DI234="",TRUE,IF(input_executive_education_focus="",FALSE,SUMPRODUCT(--ISNUMBER(SEARCH(","&amp;TRIM(TEXTSPLIT(DI234,","))&amp;",",","&amp;SUBSTITUTE(input_executive_education_focus," ","")&amp;",")))&gt;0)),IF(DK234="",TRUE,IF(input_executive_education_focus="",FALSE,SUMPRODUCT(--ISNUMBER(SEARCH(","&amp;TRIM(TEXTSPLIT(DK234,","))&amp;",",","&amp;SUBSTITUTE(input_executive_education_focus," ","")&amp;",")))=COUNTA(TEXTSPLIT(DK234,",")))),IF(DM234="",TRUE,IF(input_executive_education_focus="",TRUE,SUMPRODUCT(--ISNUMBER(SEARCH(","&amp;TRIM(TEXTSPLIT(DM234,","))&amp;",",","&amp;SUBSTITUTE(input_executive_education_focus," ","")&amp;",")))=0)),IF(DO234="",TRUE,IF(input_executive_education_focus="",FALSE,SUMPRODUCT(--ISNUMBER(SEARCH(","&amp;TRIM(TEXTSPLIT(DO234,","))&amp;",",","&amp;SUBSTITUTE(input_executive_education_focus," ","")&amp;",")))&gt;0)),IF(DQ234="",TRUE,IF(input_executive_education_focus="",FALSE,SUMPRODUCT(--ISNUMBER(SEARCH(","&amp;TRIM(TEXTSPLIT(DQ234,","))&amp;",",","&amp;SUBSTITUTE(input_executive_education_focus," ","")&amp;",")))=COUNTA(TEXTSPLIT(DQ234,",")))))</f>
        <v/>
      </c>
      <c r="JE234">
        <f>AND(IF(DS234="",TRUE,IF(input_faculty_category="",FALSE,SUMPRODUCT(--ISNUMBER(SEARCH(","&amp;TRIM(TEXTSPLIT(DS234,","))&amp;",",","&amp;SUBSTITUTE(input_faculty_category," ","")&amp;",")))&gt;0)),IF(DU234="",TRUE,IF(input_faculty_category="",FALSE,SUMPRODUCT(--ISNUMBER(SEARCH(","&amp;TRIM(TEXTSPLIT(DU234,","))&amp;",",","&amp;SUBSTITUTE(input_faculty_category," ","")&amp;",")))=COUNTA(TEXTSPLIT(DU234,",")))),IF(DW234="",TRUE,IF(input_faculty_category="",TRUE,SUMPRODUCT(--ISNUMBER(SEARCH(","&amp;TRIM(TEXTSPLIT(DW234,","))&amp;",",","&amp;SUBSTITUTE(input_faculty_category," ","")&amp;",")))=0)),IF(DY234="",TRUE,IF(input_faculty_category="",FALSE,SUMPRODUCT(--ISNUMBER(SEARCH(","&amp;TRIM(TEXTSPLIT(DY234,","))&amp;",",","&amp;SUBSTITUTE(input_faculty_category," ","")&amp;",")))&gt;0)),IF(EA234="",TRUE,IF(input_faculty_category="",FALSE,SUMPRODUCT(--ISNUMBER(SEARCH(","&amp;TRIM(TEXTSPLIT(EA234,","))&amp;",",","&amp;SUBSTITUTE(input_faculty_category," ","")&amp;",")))=COUNTA(TEXTSPLIT(EA234,",")))))</f>
        <v/>
      </c>
      <c r="JF234">
        <f>AND(IF(EC234="",TRUE,IF(input_faculty_discipline="",FALSE,SUMPRODUCT(--ISNUMBER(SEARCH(","&amp;TRIM(TEXTSPLIT(EC234,","))&amp;",",","&amp;SUBSTITUTE(input_faculty_discipline," ","")&amp;",")))&gt;0)),IF(EE234="",TRUE,IF(input_faculty_discipline="",FALSE,SUMPRODUCT(--ISNUMBER(SEARCH(","&amp;TRIM(TEXTSPLIT(EE234,","))&amp;",",","&amp;SUBSTITUTE(input_faculty_discipline," ","")&amp;",")))=COUNTA(TEXTSPLIT(EE234,",")))),IF(EG234="",TRUE,IF(input_faculty_discipline="",TRUE,SUMPRODUCT(--ISNUMBER(SEARCH(","&amp;TRIM(TEXTSPLIT(EG234,","))&amp;",",","&amp;SUBSTITUTE(input_faculty_discipline," ","")&amp;",")))=0)),IF(EI234="",TRUE,IF(input_faculty_discipline="",FALSE,SUMPRODUCT(--ISNUMBER(SEARCH(","&amp;TRIM(TEXTSPLIT(EI234,","))&amp;",",","&amp;SUBSTITUTE(input_faculty_discipline," ","")&amp;",")))&gt;0)),IF(EK234="",TRUE,IF(input_faculty_discipline="",FALSE,SUMPRODUCT(--ISNUMBER(SEARCH(","&amp;TRIM(TEXTSPLIT(EK234,","))&amp;",",","&amp;SUBSTITUTE(input_faculty_discipline," ","")&amp;",")))=COUNTA(TEXTSPLIT(EK234,",")))))</f>
        <v/>
      </c>
      <c r="JG234">
        <f>AND(IF(EM234="",TRUE,IF(input_faculty_expertise="",FALSE,SUMPRODUCT(--ISNUMBER(SEARCH(","&amp;TRIM(TEXTSPLIT(EM234,","))&amp;",",","&amp;SUBSTITUTE(input_faculty_expertise," ","")&amp;",")))&gt;0)),IF(EO234="",TRUE,IF(input_faculty_expertise="",FALSE,SUMPRODUCT(--ISNUMBER(SEARCH(","&amp;TRIM(TEXTSPLIT(EO234,","))&amp;",",","&amp;SUBSTITUTE(input_faculty_expertise," ","")&amp;",")))=COUNTA(TEXTSPLIT(EO234,",")))),IF(EQ234="",TRUE,IF(input_faculty_expertise="",TRUE,SUMPRODUCT(--ISNUMBER(SEARCH(","&amp;TRIM(TEXTSPLIT(EQ234,","))&amp;",",","&amp;SUBSTITUTE(input_faculty_expertise," ","")&amp;",")))=0)),IF(ES234="",TRUE,IF(input_faculty_expertise="",FALSE,SUMPRODUCT(--ISNUMBER(SEARCH(","&amp;TRIM(TEXTSPLIT(ES234,","))&amp;",",","&amp;SUBSTITUTE(input_faculty_expertise," ","")&amp;",")))&gt;0)),IF(EU234="",TRUE,IF(input_faculty_expertise="",FALSE,SUMPRODUCT(--ISNUMBER(SEARCH(","&amp;TRIM(TEXTSPLIT(EU234,","))&amp;",",","&amp;SUBSTITUTE(input_faculty_expertise," ","")&amp;",")))=COUNTA(TEXTSPLIT(EU234,",")))))</f>
        <v/>
      </c>
      <c r="JH234">
        <f>AND(IF(EW234="",TRUE,IF(input_global_network_school="",FALSE,SUMPRODUCT(--ISNUMBER(SEARCH(","&amp;TRIM(TEXTSPLIT(EW234,","))&amp;",",","&amp;SUBSTITUTE(input_global_network_school," ","")&amp;",")))&gt;0)),IF(EY234="",TRUE,IF(input_global_network_school="",FALSE,SUMPRODUCT(--ISNUMBER(SEARCH(","&amp;TRIM(TEXTSPLIT(EY234,","))&amp;",",","&amp;SUBSTITUTE(input_global_network_school," ","")&amp;",")))=COUNTA(TEXTSPLIT(EY234,",")))),IF(FA234="",TRUE,IF(input_global_network_school="",TRUE,SUMPRODUCT(--ISNUMBER(SEARCH(","&amp;TRIM(TEXTSPLIT(FA234,","))&amp;",",","&amp;SUBSTITUTE(input_global_network_school," ","")&amp;",")))=0)),IF(FC234="",TRUE,IF(input_global_network_school="",FALSE,SUMPRODUCT(--ISNUMBER(SEARCH(","&amp;TRIM(TEXTSPLIT(FC234,","))&amp;",",","&amp;SUBSTITUTE(input_global_network_school," ","")&amp;",")))&gt;0)),IF(FE234="",TRUE,IF(input_global_network_school="",FALSE,SUMPRODUCT(--ISNUMBER(SEARCH(","&amp;TRIM(TEXTSPLIT(FE234,","))&amp;",",","&amp;SUBSTITUTE(input_global_network_school," ","")&amp;",")))=COUNTA(TEXTSPLIT(FE234,",")))))</f>
        <v/>
      </c>
      <c r="JI234">
        <f>AND(IF(FG234="",TRUE,IF(input_industry="",FALSE,SUMPRODUCT(--ISNUMBER(SEARCH(","&amp;TRIM(TEXTSPLIT(FG234,","))&amp;",",","&amp;SUBSTITUTE(input_industry," ","")&amp;",")))&gt;0)),IF(FI234="",TRUE,IF(input_industry="",FALSE,SUMPRODUCT(--ISNUMBER(SEARCH(","&amp;TRIM(TEXTSPLIT(FI234,","))&amp;",",","&amp;SUBSTITUTE(input_industry," ","")&amp;",")))=COUNTA(TEXTSPLIT(FI234,",")))),IF(FK234="",TRUE,IF(input_industry="",TRUE,SUMPRODUCT(--ISNUMBER(SEARCH(","&amp;TRIM(TEXTSPLIT(FK234,","))&amp;",",","&amp;SUBSTITUTE(input_industry," ","")&amp;",")))=0)),IF(FM234="",TRUE,IF(input_industry="",FALSE,SUMPRODUCT(--ISNUMBER(SEARCH(","&amp;TRIM(TEXTSPLIT(FM234,","))&amp;",",","&amp;SUBSTITUTE(input_industry," ","")&amp;",")))&gt;0)),IF(FO234="",TRUE,IF(input_industry="",FALSE,SUMPRODUCT(--ISNUMBER(SEARCH(","&amp;TRIM(TEXTSPLIT(FO234,","))&amp;",",","&amp;SUBSTITUTE(input_industry," ","")&amp;",")))=COUNTA(TEXTSPLIT(FO234,",")))))</f>
        <v/>
      </c>
      <c r="JJ234">
        <f>AND(IF(FQ234="",TRUE,IF(input_location="",FALSE,SUMPRODUCT(--ISNUMBER(SEARCH(","&amp;TRIM(TEXTSPLIT(FQ234,","))&amp;",",","&amp;SUBSTITUTE(input_location," ","")&amp;",")))&gt;0)),IF(FS234="",TRUE,IF(input_location="",FALSE,SUMPRODUCT(--ISNUMBER(SEARCH(","&amp;TRIM(TEXTSPLIT(FS234,","))&amp;",",","&amp;SUBSTITUTE(input_location," ","")&amp;",")))=COUNTA(TEXTSPLIT(FS234,",")))),IF(FU234="",TRUE,IF(input_location="",TRUE,SUMPRODUCT(--ISNUMBER(SEARCH(","&amp;TRIM(TEXTSPLIT(FU234,","))&amp;",",","&amp;SUBSTITUTE(input_location," ","")&amp;",")))=0)),IF(FW234="",TRUE,IF(input_location="",FALSE,SUMPRODUCT(--ISNUMBER(SEARCH(","&amp;TRIM(TEXTSPLIT(FW234,","))&amp;",",","&amp;SUBSTITUTE(input_location," ","")&amp;",")))&gt;0)),IF(FY234="",TRUE,IF(input_location="",FALSE,SUMPRODUCT(--ISNUMBER(SEARCH(","&amp;TRIM(TEXTSPLIT(FY234,","))&amp;",",","&amp;SUBSTITUTE(input_location," ","")&amp;",")))=COUNTA(TEXTSPLIT(FY234,",")))))</f>
        <v/>
      </c>
      <c r="JK234">
        <f>AND(IF(GA234="",TRUE,IF(input_modality="",FALSE,SUMPRODUCT(--ISNUMBER(SEARCH(","&amp;TRIM(TEXTSPLIT(GA234,","))&amp;",",","&amp;SUBSTITUTE(input_modality," ","")&amp;",")))&gt;0)),IF(GC234="",TRUE,IF(input_modality="",FALSE,SUMPRODUCT(--ISNUMBER(SEARCH(","&amp;TRIM(TEXTSPLIT(GC234,","))&amp;",",","&amp;SUBSTITUTE(input_modality," ","")&amp;",")))=COUNTA(TEXTSPLIT(GC234,",")))),IF(GE234="",TRUE,IF(input_modality="",TRUE,SUMPRODUCT(--ISNUMBER(SEARCH(","&amp;TRIM(TEXTSPLIT(GE234,","))&amp;",",","&amp;SUBSTITUTE(input_modality," ","")&amp;",")))=0)),IF(GG234="",TRUE,IF(input_modality="",FALSE,SUMPRODUCT(--ISNUMBER(SEARCH(","&amp;TRIM(TEXTSPLIT(GG234,","))&amp;",",","&amp;SUBSTITUTE(input_modality," ","")&amp;",")))&gt;0)),IF(GI234="",TRUE,IF(input_modality="",FALSE,SUMPRODUCT(--ISNUMBER(SEARCH(","&amp;TRIM(TEXTSPLIT(GI234,","))&amp;",",","&amp;SUBSTITUTE(input_modality," ","")&amp;",")))=COUNTA(TEXTSPLIT(GI234,",")))))</f>
        <v/>
      </c>
      <c r="JL234">
        <f>AND(IF(GK234="",TRUE,IF(input_organizer="",FALSE,SUMPRODUCT(--ISNUMBER(SEARCH(","&amp;TRIM(TEXTSPLIT(GK234,","))&amp;",",","&amp;SUBSTITUTE(input_organizer," ","")&amp;",")))&gt;0)),IF(GM234="",TRUE,IF(input_organizer="",FALSE,SUMPRODUCT(--ISNUMBER(SEARCH(","&amp;TRIM(TEXTSPLIT(GM234,","))&amp;",",","&amp;SUBSTITUTE(input_organizer," ","")&amp;",")))=COUNTA(TEXTSPLIT(GM234,",")))),IF(GO234="",TRUE,IF(input_organizer="",TRUE,SUMPRODUCT(--ISNUMBER(SEARCH(","&amp;TRIM(TEXTSPLIT(GO234,","))&amp;",",","&amp;SUBSTITUTE(input_organizer," ","")&amp;",")))=0)),IF(GQ234="",TRUE,IF(input_organizer="",FALSE,SUMPRODUCT(--ISNUMBER(SEARCH(","&amp;TRIM(TEXTSPLIT(GQ234,","))&amp;",",","&amp;SUBSTITUTE(input_organizer," ","")&amp;",")))&gt;0)),IF(GS234="",TRUE,IF(input_organizer="",FALSE,SUMPRODUCT(--ISNUMBER(SEARCH(","&amp;TRIM(TEXTSPLIT(GS234,","))&amp;",",","&amp;SUBSTITUTE(input_organizer," ","")&amp;",")))=COUNTA(TEXTSPLIT(GS234,",")))))</f>
        <v/>
      </c>
      <c r="JM234">
        <f>AND(IF(GU234="",TRUE,IF(input_profile_type="",FALSE,SUMPRODUCT(--ISNUMBER(SEARCH(","&amp;TRIM(TEXTSPLIT(GU234,","))&amp;",",","&amp;SUBSTITUTE(input_profile_type," ","")&amp;",")))&gt;0)),IF(GW234="",TRUE,IF(input_profile_type="",FALSE,SUMPRODUCT(--ISNUMBER(SEARCH(","&amp;TRIM(TEXTSPLIT(GW234,","))&amp;",",","&amp;SUBSTITUTE(input_profile_type," ","")&amp;",")))=COUNTA(TEXTSPLIT(GW234,",")))),IF(GY234="",TRUE,IF(input_profile_type="",TRUE,SUMPRODUCT(--ISNUMBER(SEARCH(","&amp;TRIM(TEXTSPLIT(GY234,","))&amp;",",","&amp;SUBSTITUTE(input_profile_type," ","")&amp;",")))=0)),IF(HA234="",TRUE,IF(input_profile_type="",FALSE,SUMPRODUCT(--ISNUMBER(SEARCH(","&amp;TRIM(TEXTSPLIT(HA234,","))&amp;",",","&amp;SUBSTITUTE(input_profile_type," ","")&amp;",")))&gt;0)),IF(HC234="",TRUE,IF(input_profile_type="",FALSE,SUMPRODUCT(--ISNUMBER(SEARCH(","&amp;TRIM(TEXTSPLIT(HC234,","))&amp;",",","&amp;SUBSTITUTE(input_profile_type," ","")&amp;",")))=COUNTA(TEXTSPLIT(HC234,",")))))</f>
        <v/>
      </c>
      <c r="JN234">
        <f>AND(IF(HE234="",TRUE,IF(input_program="",FALSE,SUMPRODUCT(--ISNUMBER(SEARCH(","&amp;TRIM(TEXTSPLIT(HE234,","))&amp;",",","&amp;SUBSTITUTE(input_program," ","")&amp;",")))&gt;0)),IF(HG234="",TRUE,IF(input_program="",FALSE,SUMPRODUCT(--ISNUMBER(SEARCH(","&amp;TRIM(TEXTSPLIT(HG234,","))&amp;",",","&amp;SUBSTITUTE(input_program," ","")&amp;",")))=COUNTA(TEXTSPLIT(HG234,",")))),IF(HI234="",TRUE,IF(input_program="",TRUE,SUMPRODUCT(--ISNUMBER(SEARCH(","&amp;TRIM(TEXTSPLIT(HI234,","))&amp;",",","&amp;SUBSTITUTE(input_program," ","")&amp;",")))=0)),IF(HK234="",TRUE,IF(input_program="",FALSE,SUMPRODUCT(--ISNUMBER(SEARCH(","&amp;TRIM(TEXTSPLIT(HK234,","))&amp;",",","&amp;SUBSTITUTE(input_program," ","")&amp;",")))&gt;0)),IF(HM234="",TRUE,IF(input_program="",FALSE,SUMPRODUCT(--ISNUMBER(SEARCH(","&amp;TRIM(TEXTSPLIT(HM234,","))&amp;",",","&amp;SUBSTITUTE(input_program," ","")&amp;",")))=COUNTA(TEXTSPLIT(HM234,",")))))</f>
        <v/>
      </c>
      <c r="JO234">
        <f>AND(IF(HO234="",TRUE,IF(input_story_categories="",FALSE,SUMPRODUCT(--ISNUMBER(SEARCH(","&amp;TRIM(TEXTSPLIT(HO234,","))&amp;",",","&amp;SUBSTITUTE(input_story_categories," ","")&amp;",")))&gt;0)),IF(HQ234="",TRUE,IF(input_story_categories="",FALSE,SUMPRODUCT(--ISNUMBER(SEARCH(","&amp;TRIM(TEXTSPLIT(HQ234,","))&amp;",",","&amp;SUBSTITUTE(input_story_categories," ","")&amp;",")))=COUNTA(TEXTSPLIT(HQ234,",")))),IF(HS234="",TRUE,IF(input_story_categories="",TRUE,SUMPRODUCT(--ISNUMBER(SEARCH(","&amp;TRIM(TEXTSPLIT(HS234,","))&amp;",",","&amp;SUBSTITUTE(input_story_categories," ","")&amp;",")))=0)),IF(HU234="",TRUE,IF(input_story_categories="",FALSE,SUMPRODUCT(--ISNUMBER(SEARCH(","&amp;TRIM(TEXTSPLIT(HU234,","))&amp;",",","&amp;SUBSTITUTE(input_story_categories," ","")&amp;",")))&gt;0)),IF(HW234="",TRUE,IF(input_story_categories="",FALSE,SUMPRODUCT(--ISNUMBER(SEARCH(","&amp;TRIM(TEXTSPLIT(HW234,","))&amp;",",","&amp;SUBSTITUTE(input_story_categories," ","")&amp;",")))=COUNTA(TEXTSPLIT(HW234,",")))))</f>
        <v/>
      </c>
      <c r="JP234">
        <f>AND(IF(HY234="",TRUE,IF(input_story_type="",FALSE,SUMPRODUCT(--ISNUMBER(SEARCH(","&amp;TRIM(TEXTSPLIT(HY234,","))&amp;",",","&amp;SUBSTITUTE(input_story_type," ","")&amp;",")))&gt;0)),IF(IA234="",TRUE,IF(input_story_type="",FALSE,SUMPRODUCT(--ISNUMBER(SEARCH(","&amp;TRIM(TEXTSPLIT(IA234,","))&amp;",",","&amp;SUBSTITUTE(input_story_type," ","")&amp;",")))=COUNTA(TEXTSPLIT(IA234,",")))),IF(IC234="",TRUE,IF(input_story_type="",TRUE,SUMPRODUCT(--ISNUMBER(SEARCH(","&amp;TRIM(TEXTSPLIT(IC234,","))&amp;",",","&amp;SUBSTITUTE(input_story_type," ","")&amp;",")))=0)),IF(IE234="",TRUE,IF(input_story_type="",FALSE,SUMPRODUCT(--ISNUMBER(SEARCH(","&amp;TRIM(TEXTSPLIT(IE234,","))&amp;",",","&amp;SUBSTITUTE(input_story_type," ","")&amp;",")))&gt;0)),IF(IG234="",TRUE,IF(input_story_type="",FALSE,SUMPRODUCT(--ISNUMBER(SEARCH(","&amp;TRIM(TEXTSPLIT(IG234,","))&amp;",",","&amp;SUBSTITUTE(input_story_type," ","")&amp;",")))=COUNTA(TEXTSPLIT(IG234,",")))))</f>
        <v/>
      </c>
      <c r="JQ234">
        <f>AND(IF(II234="",TRUE,IF(input_topics="",FALSE,SUMPRODUCT(--ISNUMBER(SEARCH(","&amp;TRIM(TEXTSPLIT(II234,","))&amp;",",","&amp;SUBSTITUTE(input_topics," ","")&amp;",")))&gt;0)),IF(IK234="",TRUE,IF(input_topics="",FALSE,SUMPRODUCT(--ISNUMBER(SEARCH(","&amp;TRIM(TEXTSPLIT(IK234,","))&amp;",",","&amp;SUBSTITUTE(input_topics," ","")&amp;",")))=COUNTA(TEXTSPLIT(IK234,",")))),IF(IM234="",TRUE,IF(input_topics="",TRUE,SUMPRODUCT(--ISNUMBER(SEARCH(","&amp;TRIM(TEXTSPLIT(IM234,","))&amp;",",","&amp;SUBSTITUTE(input_topics," ","")&amp;",")))=0)),IF(IO234="",TRUE,IF(input_topics="",FALSE,SUMPRODUCT(--ISNUMBER(SEARCH(","&amp;TRIM(TEXTSPLIT(IO234,","))&amp;",",","&amp;SUBSTITUTE(input_topics," ","")&amp;",")))&gt;0)),IF(IQ234="",TRUE,IF(input_topics="",FALSE,SUMPRODUCT(--ISNUMBER(SEARCH(","&amp;TRIM(TEXTSPLIT(IQ234,","))&amp;",",","&amp;SUBSTITUTE(input_topics," ","")&amp;",")))=COUNTA(TEXTSPLIT(IQ234,",")))))</f>
        <v/>
      </c>
    </row>
  </sheetData>
  <autoFilter ref="A1:JQ234"/>
  <conditionalFormatting sqref="A2:A234">
    <cfRule type="expression" priority="1" dxfId="0">
      <formula>$A2="Will appear"</formula>
    </cfRule>
    <cfRule type="expression" priority="2" dxfId="1">
      <formula>$A2="Eligible but limited"</formula>
    </cfRule>
    <cfRule type="expression" priority="3" dxfId="2">
      <formula>$A2="Excluded"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57"/>
  <sheetViews>
    <sheetView workbookViewId="0">
      <pane ySplit="1" topLeftCell="A2" activePane="bottomLeft" state="frozen"/>
      <selection pane="bottomLeft" activeCell="A1" sqref="A1"/>
    </sheetView>
  </sheetViews>
  <sheetFormatPr baseColWidth="8" defaultRowHeight="15"/>
  <cols>
    <col width="10" customWidth="1" min="1" max="1"/>
    <col width="44" customWidth="1" min="2" max="2"/>
    <col width="24" customWidth="1" min="3" max="3"/>
    <col width="24" customWidth="1" min="4" max="4"/>
    <col width="10" customWidth="1" min="5" max="5"/>
  </cols>
  <sheetData>
    <row r="1">
      <c r="A1" s="3" t="inlineStr">
        <is>
          <t>ID</t>
        </is>
      </c>
      <c r="B1" s="3" t="inlineStr">
        <is>
          <t>Term</t>
        </is>
      </c>
      <c r="C1" s="3" t="inlineStr">
        <is>
          <t>Vocabulary</t>
        </is>
      </c>
      <c r="D1" s="3" t="inlineStr">
        <is>
          <t>Vocabulary label</t>
        </is>
      </c>
      <c r="E1" s="3" t="inlineStr">
        <is>
          <t>Parent ID</t>
        </is>
      </c>
    </row>
    <row r="2">
      <c r="A2" s="4" t="inlineStr">
        <is>
          <t>1046</t>
        </is>
      </c>
      <c r="B2" s="4" t="inlineStr">
        <is>
          <t>Adam Smith Society</t>
        </is>
      </c>
      <c r="C2" s="4" t="inlineStr">
        <is>
          <t>affiliations</t>
        </is>
      </c>
      <c r="D2" s="4" t="inlineStr">
        <is>
          <t>Affiliations</t>
        </is>
      </c>
      <c r="E2" s="4" t="inlineStr"/>
    </row>
    <row r="3">
      <c r="A3" s="4" t="inlineStr">
        <is>
          <t>297</t>
        </is>
      </c>
      <c r="B3" s="4" t="inlineStr">
        <is>
          <t>Admissions Ambassadors</t>
        </is>
      </c>
      <c r="C3" s="4" t="inlineStr">
        <is>
          <t>affiliations</t>
        </is>
      </c>
      <c r="D3" s="4" t="inlineStr">
        <is>
          <t>Affiliations</t>
        </is>
      </c>
      <c r="E3" s="4" t="inlineStr"/>
    </row>
    <row r="4">
      <c r="A4" s="4" t="inlineStr">
        <is>
          <t>1048</t>
        </is>
      </c>
      <c r="B4" s="4" t="inlineStr">
        <is>
          <t>Africa Business and Society Club</t>
        </is>
      </c>
      <c r="C4" s="4" t="inlineStr">
        <is>
          <t>affiliations</t>
        </is>
      </c>
      <c r="D4" s="4" t="inlineStr">
        <is>
          <t>Affiliations</t>
        </is>
      </c>
      <c r="E4" s="4" t="inlineStr"/>
    </row>
    <row r="5">
      <c r="A5" s="4" t="inlineStr">
        <is>
          <t>1178</t>
        </is>
      </c>
      <c r="B5" s="4" t="inlineStr">
        <is>
          <t>American-Latine Business Association (ALBA) Group</t>
        </is>
      </c>
      <c r="C5" s="4" t="inlineStr">
        <is>
          <t>affiliations</t>
        </is>
      </c>
      <c r="D5" s="4" t="inlineStr">
        <is>
          <t>Affiliations</t>
        </is>
      </c>
      <c r="E5" s="4" t="inlineStr"/>
    </row>
    <row r="6">
      <c r="A6" s="4" t="inlineStr">
        <is>
          <t>1049</t>
        </is>
      </c>
      <c r="B6" s="4" t="inlineStr">
        <is>
          <t>Arts and Culture Club</t>
        </is>
      </c>
      <c r="C6" s="4" t="inlineStr">
        <is>
          <t>affiliations</t>
        </is>
      </c>
      <c r="D6" s="4" t="inlineStr">
        <is>
          <t>Affiliations</t>
        </is>
      </c>
      <c r="E6" s="4" t="inlineStr"/>
    </row>
    <row r="7">
      <c r="A7" s="4" t="inlineStr">
        <is>
          <t>1050</t>
        </is>
      </c>
      <c r="B7" s="4" t="inlineStr">
        <is>
          <t>Asian American and Pacific Islander Association</t>
        </is>
      </c>
      <c r="C7" s="4" t="inlineStr">
        <is>
          <t>affiliations</t>
        </is>
      </c>
      <c r="D7" s="4" t="inlineStr">
        <is>
          <t>Affiliations</t>
        </is>
      </c>
      <c r="E7" s="4" t="inlineStr"/>
    </row>
    <row r="8">
      <c r="A8" s="4" t="inlineStr">
        <is>
          <t>1051</t>
        </is>
      </c>
      <c r="B8" s="4" t="inlineStr">
        <is>
          <t>Association of Hispanic and Latin American Students</t>
        </is>
      </c>
      <c r="C8" s="4" t="inlineStr">
        <is>
          <t>affiliations</t>
        </is>
      </c>
      <c r="D8" s="4" t="inlineStr">
        <is>
          <t>Affiliations</t>
        </is>
      </c>
      <c r="E8" s="4" t="inlineStr"/>
    </row>
    <row r="9">
      <c r="A9" s="4" t="inlineStr">
        <is>
          <t>1052</t>
        </is>
      </c>
      <c r="B9" s="4" t="inlineStr">
        <is>
          <t>Black Business Alliance</t>
        </is>
      </c>
      <c r="C9" s="4" t="inlineStr">
        <is>
          <t>affiliations</t>
        </is>
      </c>
      <c r="D9" s="4" t="inlineStr">
        <is>
          <t>Affiliations</t>
        </is>
      </c>
      <c r="E9" s="4" t="inlineStr"/>
    </row>
    <row r="10">
      <c r="A10" s="4" t="inlineStr">
        <is>
          <t>1053</t>
        </is>
      </c>
      <c r="B10" s="4" t="inlineStr">
        <is>
          <t>Business and Politics</t>
        </is>
      </c>
      <c r="C10" s="4" t="inlineStr">
        <is>
          <t>affiliations</t>
        </is>
      </c>
      <c r="D10" s="4" t="inlineStr">
        <is>
          <t>Affiliations</t>
        </is>
      </c>
      <c r="E10" s="4" t="inlineStr"/>
    </row>
    <row r="11">
      <c r="A11" s="4" t="inlineStr">
        <is>
          <t>1054</t>
        </is>
      </c>
      <c r="B11" s="4" t="inlineStr">
        <is>
          <t>Business and the Environment Club</t>
        </is>
      </c>
      <c r="C11" s="4" t="inlineStr">
        <is>
          <t>affiliations</t>
        </is>
      </c>
      <c r="D11" s="4" t="inlineStr">
        <is>
          <t>Affiliations</t>
        </is>
      </c>
      <c r="E11" s="4" t="inlineStr"/>
    </row>
    <row r="12">
      <c r="A12" s="4" t="inlineStr">
        <is>
          <t>1155</t>
        </is>
      </c>
      <c r="B12" s="4" t="inlineStr">
        <is>
          <t>Business Students for Racial Equity</t>
        </is>
      </c>
      <c r="C12" s="4" t="inlineStr">
        <is>
          <t>affiliations</t>
        </is>
      </c>
      <c r="D12" s="4" t="inlineStr">
        <is>
          <t>Affiliations</t>
        </is>
      </c>
      <c r="E12" s="4" t="inlineStr"/>
    </row>
    <row r="13">
      <c r="A13" s="4" t="inlineStr">
        <is>
          <t>1055</t>
        </is>
      </c>
      <c r="B13" s="4" t="inlineStr">
        <is>
          <t>Case Competition</t>
        </is>
      </c>
      <c r="C13" s="4" t="inlineStr">
        <is>
          <t>affiliations</t>
        </is>
      </c>
      <c r="D13" s="4" t="inlineStr">
        <is>
          <t>Affiliations</t>
        </is>
      </c>
      <c r="E13" s="4" t="inlineStr"/>
    </row>
    <row r="14">
      <c r="A14" s="4" t="inlineStr">
        <is>
          <t>1056</t>
        </is>
      </c>
      <c r="B14" s="4" t="inlineStr">
        <is>
          <t>Christian Fellowship</t>
        </is>
      </c>
      <c r="C14" s="4" t="inlineStr">
        <is>
          <t>affiliations</t>
        </is>
      </c>
      <c r="D14" s="4" t="inlineStr">
        <is>
          <t>Affiliations</t>
        </is>
      </c>
      <c r="E14" s="4" t="inlineStr"/>
    </row>
    <row r="15">
      <c r="A15" s="4" t="inlineStr">
        <is>
          <t>1057</t>
        </is>
      </c>
      <c r="B15" s="4" t="inlineStr">
        <is>
          <t>Consortium for Graduate Study in Management (CGSM)</t>
        </is>
      </c>
      <c r="C15" s="4" t="inlineStr">
        <is>
          <t>affiliations</t>
        </is>
      </c>
      <c r="D15" s="4" t="inlineStr">
        <is>
          <t>Affiliations</t>
        </is>
      </c>
      <c r="E15" s="4" t="inlineStr"/>
    </row>
    <row r="16">
      <c r="A16" s="4" t="inlineStr">
        <is>
          <t>1058</t>
        </is>
      </c>
      <c r="B16" s="4" t="inlineStr">
        <is>
          <t>Consulting Club</t>
        </is>
      </c>
      <c r="C16" s="4" t="inlineStr">
        <is>
          <t>affiliations</t>
        </is>
      </c>
      <c r="D16" s="4" t="inlineStr">
        <is>
          <t>Affiliations</t>
        </is>
      </c>
      <c r="E16" s="4" t="inlineStr"/>
    </row>
    <row r="17">
      <c r="A17" s="4" t="inlineStr">
        <is>
          <t>1059</t>
        </is>
      </c>
      <c r="B17" s="4" t="inlineStr">
        <is>
          <t>Design &amp; Innovation Club</t>
        </is>
      </c>
      <c r="C17" s="4" t="inlineStr">
        <is>
          <t>affiliations</t>
        </is>
      </c>
      <c r="D17" s="4" t="inlineStr">
        <is>
          <t>Affiliations</t>
        </is>
      </c>
      <c r="E17" s="4" t="inlineStr"/>
    </row>
    <row r="18">
      <c r="A18" s="4" t="inlineStr">
        <is>
          <t>1060</t>
        </is>
      </c>
      <c r="B18" s="4" t="inlineStr">
        <is>
          <t>Education Club</t>
        </is>
      </c>
      <c r="C18" s="4" t="inlineStr">
        <is>
          <t>affiliations</t>
        </is>
      </c>
      <c r="D18" s="4" t="inlineStr">
        <is>
          <t>Affiliations</t>
        </is>
      </c>
      <c r="E18" s="4" t="inlineStr"/>
    </row>
    <row r="19">
      <c r="A19" s="4" t="inlineStr">
        <is>
          <t>1061</t>
        </is>
      </c>
      <c r="B19" s="4" t="inlineStr">
        <is>
          <t>Energy Club</t>
        </is>
      </c>
      <c r="C19" s="4" t="inlineStr">
        <is>
          <t>affiliations</t>
        </is>
      </c>
      <c r="D19" s="4" t="inlineStr">
        <is>
          <t>Affiliations</t>
        </is>
      </c>
      <c r="E19" s="4" t="inlineStr"/>
    </row>
    <row r="20">
      <c r="A20" s="4" t="inlineStr">
        <is>
          <t>1062</t>
        </is>
      </c>
      <c r="B20" s="4" t="inlineStr">
        <is>
          <t>Entrepreneurship</t>
        </is>
      </c>
      <c r="C20" s="4" t="inlineStr">
        <is>
          <t>affiliations</t>
        </is>
      </c>
      <c r="D20" s="4" t="inlineStr">
        <is>
          <t>Affiliations</t>
        </is>
      </c>
      <c r="E20" s="4" t="inlineStr"/>
    </row>
    <row r="21">
      <c r="A21" s="4" t="inlineStr">
        <is>
          <t>311</t>
        </is>
      </c>
      <c r="B21" s="4" t="inlineStr">
        <is>
          <t>Euro</t>
        </is>
      </c>
      <c r="C21" s="4" t="inlineStr">
        <is>
          <t>affiliations</t>
        </is>
      </c>
      <c r="D21" s="4" t="inlineStr">
        <is>
          <t>Affiliations</t>
        </is>
      </c>
      <c r="E21" s="4" t="inlineStr"/>
    </row>
    <row r="22">
      <c r="A22" s="4" t="inlineStr">
        <is>
          <t>1063</t>
        </is>
      </c>
      <c r="B22" s="4" t="inlineStr">
        <is>
          <t>EuroSOM</t>
        </is>
      </c>
      <c r="C22" s="4" t="inlineStr">
        <is>
          <t>affiliations</t>
        </is>
      </c>
      <c r="D22" s="4" t="inlineStr">
        <is>
          <t>Affiliations</t>
        </is>
      </c>
      <c r="E22" s="4" t="inlineStr"/>
    </row>
    <row r="23">
      <c r="A23" s="4" t="inlineStr">
        <is>
          <t>1184</t>
        </is>
      </c>
      <c r="B23" s="4" t="inlineStr">
        <is>
          <t>Fellowship</t>
        </is>
      </c>
      <c r="C23" s="4" t="inlineStr">
        <is>
          <t>affiliations</t>
        </is>
      </c>
      <c r="D23" s="4" t="inlineStr">
        <is>
          <t>Affiliations</t>
        </is>
      </c>
      <c r="E23" s="4" t="inlineStr"/>
    </row>
    <row r="24">
      <c r="A24" s="4" t="inlineStr">
        <is>
          <t>1064</t>
        </is>
      </c>
      <c r="B24" s="4" t="inlineStr">
        <is>
          <t>Finance Club</t>
        </is>
      </c>
      <c r="C24" s="4" t="inlineStr">
        <is>
          <t>affiliations</t>
        </is>
      </c>
      <c r="D24" s="4" t="inlineStr">
        <is>
          <t>Affiliations</t>
        </is>
      </c>
      <c r="E24" s="4" t="inlineStr"/>
    </row>
    <row r="25">
      <c r="A25" s="4" t="inlineStr">
        <is>
          <t>1186</t>
        </is>
      </c>
      <c r="B25" s="4" t="inlineStr">
        <is>
          <t>First-Generation</t>
        </is>
      </c>
      <c r="C25" s="4" t="inlineStr">
        <is>
          <t>affiliations</t>
        </is>
      </c>
      <c r="D25" s="4" t="inlineStr">
        <is>
          <t>Affiliations</t>
        </is>
      </c>
      <c r="E25" s="4" t="inlineStr"/>
    </row>
    <row r="26">
      <c r="A26" s="4" t="inlineStr">
        <is>
          <t>1065</t>
        </is>
      </c>
      <c r="B26" s="4" t="inlineStr">
        <is>
          <t>Food and Agriculture</t>
        </is>
      </c>
      <c r="C26" s="4" t="inlineStr">
        <is>
          <t>affiliations</t>
        </is>
      </c>
      <c r="D26" s="4" t="inlineStr">
        <is>
          <t>Affiliations</t>
        </is>
      </c>
      <c r="E26" s="4" t="inlineStr"/>
    </row>
    <row r="27">
      <c r="A27" s="4" t="inlineStr">
        <is>
          <t>1066</t>
        </is>
      </c>
      <c r="B27" s="4" t="inlineStr">
        <is>
          <t>Food and Wine Club</t>
        </is>
      </c>
      <c r="C27" s="4" t="inlineStr">
        <is>
          <t>affiliations</t>
        </is>
      </c>
      <c r="D27" s="4" t="inlineStr">
        <is>
          <t>Affiliations</t>
        </is>
      </c>
      <c r="E27" s="4" t="inlineStr"/>
    </row>
    <row r="28">
      <c r="A28" s="4" t="inlineStr">
        <is>
          <t>1067</t>
        </is>
      </c>
      <c r="B28" s="4" t="inlineStr">
        <is>
          <t>Forté</t>
        </is>
      </c>
      <c r="C28" s="4" t="inlineStr">
        <is>
          <t>affiliations</t>
        </is>
      </c>
      <c r="D28" s="4" t="inlineStr">
        <is>
          <t>Affiliations</t>
        </is>
      </c>
      <c r="E28" s="4" t="inlineStr"/>
    </row>
    <row r="29">
      <c r="A29" s="4" t="inlineStr">
        <is>
          <t>260</t>
        </is>
      </c>
      <c r="B29" s="4" t="inlineStr">
        <is>
          <t>GBS Admissions Ambassadors</t>
        </is>
      </c>
      <c r="C29" s="4" t="inlineStr">
        <is>
          <t>affiliations</t>
        </is>
      </c>
      <c r="D29" s="4" t="inlineStr">
        <is>
          <t>Affiliations</t>
        </is>
      </c>
      <c r="E29" s="4" t="inlineStr"/>
    </row>
    <row r="30">
      <c r="A30" s="4" t="inlineStr">
        <is>
          <t>1068</t>
        </is>
      </c>
      <c r="B30" s="4" t="inlineStr">
        <is>
          <t>General Management and Operations</t>
        </is>
      </c>
      <c r="C30" s="4" t="inlineStr">
        <is>
          <t>affiliations</t>
        </is>
      </c>
      <c r="D30" s="4" t="inlineStr">
        <is>
          <t>Affiliations</t>
        </is>
      </c>
      <c r="E30" s="4" t="inlineStr"/>
    </row>
    <row r="31">
      <c r="A31" s="4" t="inlineStr">
        <is>
          <t>1071</t>
        </is>
      </c>
      <c r="B31" s="4" t="inlineStr">
        <is>
          <t>Greater China Club</t>
        </is>
      </c>
      <c r="C31" s="4" t="inlineStr">
        <is>
          <t>affiliations</t>
        </is>
      </c>
      <c r="D31" s="4" t="inlineStr">
        <is>
          <t>Affiliations</t>
        </is>
      </c>
      <c r="E31" s="4" t="inlineStr"/>
    </row>
    <row r="32">
      <c r="A32" s="4" t="inlineStr">
        <is>
          <t>1072</t>
        </is>
      </c>
      <c r="B32" s="4" t="inlineStr">
        <is>
          <t>Healthcare and Life Sciences Club</t>
        </is>
      </c>
      <c r="C32" s="4" t="inlineStr">
        <is>
          <t>affiliations</t>
        </is>
      </c>
      <c r="D32" s="4" t="inlineStr">
        <is>
          <t>Affiliations</t>
        </is>
      </c>
      <c r="E32" s="4" t="inlineStr"/>
    </row>
    <row r="33">
      <c r="A33" s="4" t="inlineStr">
        <is>
          <t>1073</t>
        </is>
      </c>
      <c r="B33" s="4" t="inlineStr">
        <is>
          <t>Hockey Cub</t>
        </is>
      </c>
      <c r="C33" s="4" t="inlineStr">
        <is>
          <t>affiliations</t>
        </is>
      </c>
      <c r="D33" s="4" t="inlineStr">
        <is>
          <t>Affiliations</t>
        </is>
      </c>
      <c r="E33" s="4" t="inlineStr"/>
    </row>
    <row r="34">
      <c r="A34" s="4" t="inlineStr">
        <is>
          <t>1074</t>
        </is>
      </c>
      <c r="B34" s="4" t="inlineStr">
        <is>
          <t>Investment Management Club</t>
        </is>
      </c>
      <c r="C34" s="4" t="inlineStr">
        <is>
          <t>affiliations</t>
        </is>
      </c>
      <c r="D34" s="4" t="inlineStr">
        <is>
          <t>Affiliations</t>
        </is>
      </c>
      <c r="E34" s="4" t="inlineStr"/>
    </row>
    <row r="35">
      <c r="A35" s="4" t="inlineStr">
        <is>
          <t>1075</t>
        </is>
      </c>
      <c r="B35" s="4" t="inlineStr">
        <is>
          <t>Japan Club</t>
        </is>
      </c>
      <c r="C35" s="4" t="inlineStr">
        <is>
          <t>affiliations</t>
        </is>
      </c>
      <c r="D35" s="4" t="inlineStr">
        <is>
          <t>Affiliations</t>
        </is>
      </c>
      <c r="E35" s="4" t="inlineStr"/>
    </row>
    <row r="36">
      <c r="A36" s="4" t="inlineStr">
        <is>
          <t>1076</t>
        </is>
      </c>
      <c r="B36" s="4" t="inlineStr">
        <is>
          <t>Jewish Students Association</t>
        </is>
      </c>
      <c r="C36" s="4" t="inlineStr">
        <is>
          <t>affiliations</t>
        </is>
      </c>
      <c r="D36" s="4" t="inlineStr">
        <is>
          <t>Affiliations</t>
        </is>
      </c>
      <c r="E36" s="4" t="inlineStr"/>
    </row>
    <row r="37">
      <c r="A37" s="4" t="inlineStr">
        <is>
          <t>312</t>
        </is>
      </c>
      <c r="B37" s="4" t="inlineStr">
        <is>
          <t>Joint-Degree Program</t>
        </is>
      </c>
      <c r="C37" s="4" t="inlineStr">
        <is>
          <t>affiliations</t>
        </is>
      </c>
      <c r="D37" s="4" t="inlineStr">
        <is>
          <t>Affiliations</t>
        </is>
      </c>
      <c r="E37" s="4" t="inlineStr"/>
    </row>
    <row r="38">
      <c r="A38" s="4" t="inlineStr">
        <is>
          <t>1077</t>
        </is>
      </c>
      <c r="B38" s="4" t="inlineStr">
        <is>
          <t>Korea Club</t>
        </is>
      </c>
      <c r="C38" s="4" t="inlineStr">
        <is>
          <t>affiliations</t>
        </is>
      </c>
      <c r="D38" s="4" t="inlineStr">
        <is>
          <t>Affiliations</t>
        </is>
      </c>
      <c r="E38" s="4" t="inlineStr"/>
    </row>
    <row r="39">
      <c r="A39" s="4" t="inlineStr">
        <is>
          <t>1078</t>
        </is>
      </c>
      <c r="B39" s="4" t="inlineStr">
        <is>
          <t>Korean American Business Association</t>
        </is>
      </c>
      <c r="C39" s="4" t="inlineStr">
        <is>
          <t>affiliations</t>
        </is>
      </c>
      <c r="D39" s="4" t="inlineStr">
        <is>
          <t>Affiliations</t>
        </is>
      </c>
      <c r="E39" s="4" t="inlineStr"/>
    </row>
    <row r="40">
      <c r="A40" s="4" t="inlineStr">
        <is>
          <t>1079</t>
        </is>
      </c>
      <c r="B40" s="4" t="inlineStr">
        <is>
          <t>Latin Leadership Association</t>
        </is>
      </c>
      <c r="C40" s="4" t="inlineStr">
        <is>
          <t>affiliations</t>
        </is>
      </c>
      <c r="D40" s="4" t="inlineStr">
        <is>
          <t>Affiliations</t>
        </is>
      </c>
      <c r="E40" s="4" t="inlineStr"/>
    </row>
    <row r="41">
      <c r="A41" s="4" t="inlineStr">
        <is>
          <t>257</t>
        </is>
      </c>
      <c r="B41" s="4" t="inlineStr">
        <is>
          <t>MAM Admissions Ambassador</t>
        </is>
      </c>
      <c r="C41" s="4" t="inlineStr">
        <is>
          <t>affiliations</t>
        </is>
      </c>
      <c r="D41" s="4" t="inlineStr">
        <is>
          <t>Affiliations</t>
        </is>
      </c>
      <c r="E41" s="4" t="inlineStr"/>
    </row>
    <row r="42">
      <c r="A42" s="4" t="inlineStr">
        <is>
          <t>1156</t>
        </is>
      </c>
      <c r="B42" s="4" t="inlineStr">
        <is>
          <t>Management Science Major</t>
        </is>
      </c>
      <c r="C42" s="4" t="inlineStr">
        <is>
          <t>affiliations</t>
        </is>
      </c>
      <c r="D42" s="4" t="inlineStr">
        <is>
          <t>Affiliations</t>
        </is>
      </c>
      <c r="E42" s="4" t="inlineStr"/>
    </row>
    <row r="43">
      <c r="A43" s="4" t="inlineStr">
        <is>
          <t>1080</t>
        </is>
      </c>
      <c r="B43" s="4" t="inlineStr">
        <is>
          <t>Marketing Club</t>
        </is>
      </c>
      <c r="C43" s="4" t="inlineStr">
        <is>
          <t>affiliations</t>
        </is>
      </c>
      <c r="D43" s="4" t="inlineStr">
        <is>
          <t>Affiliations</t>
        </is>
      </c>
      <c r="E43" s="4" t="inlineStr"/>
    </row>
    <row r="44">
      <c r="A44" s="4" t="inlineStr">
        <is>
          <t>1081</t>
        </is>
      </c>
      <c r="B44" s="4" t="inlineStr">
        <is>
          <t>Media and Entertainment</t>
        </is>
      </c>
      <c r="C44" s="4" t="inlineStr">
        <is>
          <t>affiliations</t>
        </is>
      </c>
      <c r="D44" s="4" t="inlineStr">
        <is>
          <t>Affiliations</t>
        </is>
      </c>
      <c r="E44" s="4" t="inlineStr"/>
    </row>
    <row r="45">
      <c r="A45" s="4" t="inlineStr">
        <is>
          <t>1083</t>
        </is>
      </c>
      <c r="B45" s="4" t="inlineStr">
        <is>
          <t>Net Impact</t>
        </is>
      </c>
      <c r="C45" s="4" t="inlineStr">
        <is>
          <t>affiliations</t>
        </is>
      </c>
      <c r="D45" s="4" t="inlineStr">
        <is>
          <t>Affiliations</t>
        </is>
      </c>
      <c r="E45" s="4" t="inlineStr"/>
    </row>
    <row r="46">
      <c r="A46" s="4" t="inlineStr">
        <is>
          <t>1084</t>
        </is>
      </c>
      <c r="B46" s="4" t="inlineStr">
        <is>
          <t>Nonprofit Board Fellows</t>
        </is>
      </c>
      <c r="C46" s="4" t="inlineStr">
        <is>
          <t>affiliations</t>
        </is>
      </c>
      <c r="D46" s="4" t="inlineStr">
        <is>
          <t>Affiliations</t>
        </is>
      </c>
      <c r="E46" s="4" t="inlineStr"/>
    </row>
    <row r="47">
      <c r="A47" s="4" t="inlineStr">
        <is>
          <t>1086</t>
        </is>
      </c>
      <c r="B47" s="4" t="inlineStr">
        <is>
          <t>Out of Office (LGBTQ+ affinity network)</t>
        </is>
      </c>
      <c r="C47" s="4" t="inlineStr">
        <is>
          <t>affiliations</t>
        </is>
      </c>
      <c r="D47" s="4" t="inlineStr">
        <is>
          <t>Affiliations</t>
        </is>
      </c>
      <c r="E47" s="4" t="inlineStr"/>
    </row>
    <row r="48">
      <c r="A48" s="4" t="inlineStr">
        <is>
          <t>1087</t>
        </is>
      </c>
      <c r="B48" s="4" t="inlineStr">
        <is>
          <t>Outreach Nonprofit Consulting</t>
        </is>
      </c>
      <c r="C48" s="4" t="inlineStr">
        <is>
          <t>affiliations</t>
        </is>
      </c>
      <c r="D48" s="4" t="inlineStr">
        <is>
          <t>Affiliations</t>
        </is>
      </c>
      <c r="E48" s="4" t="inlineStr"/>
    </row>
    <row r="49">
      <c r="A49" s="4" t="inlineStr">
        <is>
          <t>1088</t>
        </is>
      </c>
      <c r="B49" s="4" t="inlineStr">
        <is>
          <t>Partners Club</t>
        </is>
      </c>
      <c r="C49" s="4" t="inlineStr">
        <is>
          <t>affiliations</t>
        </is>
      </c>
      <c r="D49" s="4" t="inlineStr">
        <is>
          <t>Affiliations</t>
        </is>
      </c>
      <c r="E49" s="4" t="inlineStr"/>
    </row>
    <row r="50">
      <c r="A50" s="4" t="inlineStr">
        <is>
          <t>1089</t>
        </is>
      </c>
      <c r="B50" s="4" t="inlineStr">
        <is>
          <t>Private Equity &amp; Venture Capital Club</t>
        </is>
      </c>
      <c r="C50" s="4" t="inlineStr">
        <is>
          <t>affiliations</t>
        </is>
      </c>
      <c r="D50" s="4" t="inlineStr">
        <is>
          <t>Affiliations</t>
        </is>
      </c>
      <c r="E50" s="4" t="inlineStr"/>
    </row>
    <row r="51">
      <c r="A51" s="4" t="inlineStr">
        <is>
          <t>1090</t>
        </is>
      </c>
      <c r="B51" s="4" t="inlineStr">
        <is>
          <t>Public Speaking</t>
        </is>
      </c>
      <c r="C51" s="4" t="inlineStr">
        <is>
          <t>affiliations</t>
        </is>
      </c>
      <c r="D51" s="4" t="inlineStr">
        <is>
          <t>Affiliations</t>
        </is>
      </c>
      <c r="E51" s="4" t="inlineStr"/>
    </row>
    <row r="52">
      <c r="A52" s="4" t="inlineStr">
        <is>
          <t>1091</t>
        </is>
      </c>
      <c r="B52" s="4" t="inlineStr">
        <is>
          <t>Real Estate</t>
        </is>
      </c>
      <c r="C52" s="4" t="inlineStr">
        <is>
          <t>affiliations</t>
        </is>
      </c>
      <c r="D52" s="4" t="inlineStr">
        <is>
          <t>Affiliations</t>
        </is>
      </c>
      <c r="E52" s="4" t="inlineStr"/>
    </row>
    <row r="53">
      <c r="A53" s="4" t="inlineStr">
        <is>
          <t>1565</t>
        </is>
      </c>
      <c r="B53" s="4" t="inlineStr">
        <is>
          <t>Recruiting Journeys</t>
        </is>
      </c>
      <c r="C53" s="4" t="inlineStr">
        <is>
          <t>affiliations</t>
        </is>
      </c>
      <c r="D53" s="4" t="inlineStr">
        <is>
          <t>Affiliations</t>
        </is>
      </c>
      <c r="E53" s="4" t="inlineStr"/>
    </row>
    <row r="54">
      <c r="A54" s="4" t="inlineStr">
        <is>
          <t>1092</t>
        </is>
      </c>
      <c r="B54" s="4" t="inlineStr">
        <is>
          <t>Responsible Investing Group</t>
        </is>
      </c>
      <c r="C54" s="4" t="inlineStr">
        <is>
          <t>affiliations</t>
        </is>
      </c>
      <c r="D54" s="4" t="inlineStr">
        <is>
          <t>Affiliations</t>
        </is>
      </c>
      <c r="E54" s="4" t="inlineStr"/>
    </row>
    <row r="55">
      <c r="A55" s="4" t="inlineStr">
        <is>
          <t>1093</t>
        </is>
      </c>
      <c r="B55" s="4" t="inlineStr">
        <is>
          <t>Retail Club</t>
        </is>
      </c>
      <c r="C55" s="4" t="inlineStr">
        <is>
          <t>affiliations</t>
        </is>
      </c>
      <c r="D55" s="4" t="inlineStr">
        <is>
          <t>Affiliations</t>
        </is>
      </c>
      <c r="E55" s="4" t="inlineStr"/>
    </row>
    <row r="56">
      <c r="A56" s="4" t="inlineStr">
        <is>
          <t>313</t>
        </is>
      </c>
      <c r="B56" s="4" t="inlineStr">
        <is>
          <t>Silver Scholars Program</t>
        </is>
      </c>
      <c r="C56" s="4" t="inlineStr">
        <is>
          <t>affiliations</t>
        </is>
      </c>
      <c r="D56" s="4" t="inlineStr">
        <is>
          <t>Affiliations</t>
        </is>
      </c>
      <c r="E56" s="4" t="inlineStr"/>
    </row>
    <row r="57">
      <c r="A57" s="4" t="inlineStr">
        <is>
          <t>1154</t>
        </is>
      </c>
      <c r="B57" s="4" t="inlineStr">
        <is>
          <t>Social Impact Consulting Club</t>
        </is>
      </c>
      <c r="C57" s="4" t="inlineStr">
        <is>
          <t>affiliations</t>
        </is>
      </c>
      <c r="D57" s="4" t="inlineStr">
        <is>
          <t>Affiliations</t>
        </is>
      </c>
      <c r="E57" s="4" t="inlineStr"/>
    </row>
    <row r="58">
      <c r="A58" s="4" t="inlineStr">
        <is>
          <t>1097</t>
        </is>
      </c>
      <c r="B58" s="4" t="inlineStr">
        <is>
          <t>South Asia Club</t>
        </is>
      </c>
      <c r="C58" s="4" t="inlineStr">
        <is>
          <t>affiliations</t>
        </is>
      </c>
      <c r="D58" s="4" t="inlineStr">
        <is>
          <t>Affiliations</t>
        </is>
      </c>
      <c r="E58" s="4" t="inlineStr"/>
    </row>
    <row r="59">
      <c r="A59" s="4" t="inlineStr">
        <is>
          <t>1098</t>
        </is>
      </c>
      <c r="B59" s="4" t="inlineStr">
        <is>
          <t>South Asian Business Forum</t>
        </is>
      </c>
      <c r="C59" s="4" t="inlineStr">
        <is>
          <t>affiliations</t>
        </is>
      </c>
      <c r="D59" s="4" t="inlineStr">
        <is>
          <t>Affiliations</t>
        </is>
      </c>
      <c r="E59" s="4" t="inlineStr"/>
    </row>
    <row r="60">
      <c r="A60" s="4" t="inlineStr">
        <is>
          <t>1099</t>
        </is>
      </c>
      <c r="B60" s="4" t="inlineStr">
        <is>
          <t>Southeast Asia Club</t>
        </is>
      </c>
      <c r="C60" s="4" t="inlineStr">
        <is>
          <t>affiliations</t>
        </is>
      </c>
      <c r="D60" s="4" t="inlineStr">
        <is>
          <t>Affiliations</t>
        </is>
      </c>
      <c r="E60" s="4" t="inlineStr"/>
    </row>
    <row r="61">
      <c r="A61" s="4" t="inlineStr">
        <is>
          <t>1047</t>
        </is>
      </c>
      <c r="B61" s="4" t="inlineStr">
        <is>
          <t>Study in Management (CGSM)</t>
        </is>
      </c>
      <c r="C61" s="4" t="inlineStr">
        <is>
          <t>affiliations</t>
        </is>
      </c>
      <c r="D61" s="4" t="inlineStr">
        <is>
          <t>Affiliations</t>
        </is>
      </c>
      <c r="E61" s="4" t="inlineStr"/>
    </row>
    <row r="62">
      <c r="A62" s="4" t="inlineStr">
        <is>
          <t>1100</t>
        </is>
      </c>
      <c r="B62" s="4" t="inlineStr">
        <is>
          <t>Technology</t>
        </is>
      </c>
      <c r="C62" s="4" t="inlineStr">
        <is>
          <t>affiliations</t>
        </is>
      </c>
      <c r="D62" s="4" t="inlineStr">
        <is>
          <t>Affiliations</t>
        </is>
      </c>
      <c r="E62" s="4" t="inlineStr"/>
    </row>
    <row r="63">
      <c r="A63" s="4" t="inlineStr">
        <is>
          <t>1101</t>
        </is>
      </c>
      <c r="B63" s="4" t="inlineStr">
        <is>
          <t>The Consortium</t>
        </is>
      </c>
      <c r="C63" s="4" t="inlineStr">
        <is>
          <t>affiliations</t>
        </is>
      </c>
      <c r="D63" s="4" t="inlineStr">
        <is>
          <t>Affiliations</t>
        </is>
      </c>
      <c r="E63" s="4" t="inlineStr"/>
    </row>
    <row r="64">
      <c r="A64" s="4" t="inlineStr">
        <is>
          <t>1102</t>
        </is>
      </c>
      <c r="B64" s="4" t="inlineStr">
        <is>
          <t>Toigo Fellowship</t>
        </is>
      </c>
      <c r="C64" s="4" t="inlineStr">
        <is>
          <t>affiliations</t>
        </is>
      </c>
      <c r="D64" s="4" t="inlineStr">
        <is>
          <t>Affiliations</t>
        </is>
      </c>
      <c r="E64" s="4" t="inlineStr">
        <is>
          <t>1184</t>
        </is>
      </c>
    </row>
    <row r="65">
      <c r="A65" s="4" t="inlineStr">
        <is>
          <t>1103</t>
        </is>
      </c>
      <c r="B65" s="4" t="inlineStr">
        <is>
          <t>Veterans Club</t>
        </is>
      </c>
      <c r="C65" s="4" t="inlineStr">
        <is>
          <t>affiliations</t>
        </is>
      </c>
      <c r="D65" s="4" t="inlineStr">
        <is>
          <t>Affiliations</t>
        </is>
      </c>
      <c r="E65" s="4" t="inlineStr"/>
    </row>
    <row r="66">
      <c r="A66" s="4" t="inlineStr">
        <is>
          <t>1104</t>
        </is>
      </c>
      <c r="B66" s="4" t="inlineStr">
        <is>
          <t>Women In Management</t>
        </is>
      </c>
      <c r="C66" s="4" t="inlineStr">
        <is>
          <t>affiliations</t>
        </is>
      </c>
      <c r="D66" s="4" t="inlineStr">
        <is>
          <t>Affiliations</t>
        </is>
      </c>
      <c r="E66" s="4" t="inlineStr"/>
    </row>
    <row r="67">
      <c r="A67" s="4" t="inlineStr">
        <is>
          <t>1105</t>
        </is>
      </c>
      <c r="B67" s="4" t="inlineStr">
        <is>
          <t>Yale Jackson Institute for Global Affairs</t>
        </is>
      </c>
      <c r="C67" s="4" t="inlineStr">
        <is>
          <t>affiliations</t>
        </is>
      </c>
      <c r="D67" s="4" t="inlineStr">
        <is>
          <t>Affiliations</t>
        </is>
      </c>
      <c r="E67" s="4" t="inlineStr"/>
    </row>
    <row r="68">
      <c r="A68" s="4" t="inlineStr">
        <is>
          <t>1106</t>
        </is>
      </c>
      <c r="B68" s="4" t="inlineStr">
        <is>
          <t>Yale Law School</t>
        </is>
      </c>
      <c r="C68" s="4" t="inlineStr">
        <is>
          <t>affiliations</t>
        </is>
      </c>
      <c r="D68" s="4" t="inlineStr">
        <is>
          <t>Affiliations</t>
        </is>
      </c>
      <c r="E68" s="4" t="inlineStr"/>
    </row>
    <row r="69">
      <c r="A69" s="4" t="inlineStr">
        <is>
          <t>1107</t>
        </is>
      </c>
      <c r="B69" s="4" t="inlineStr">
        <is>
          <t>Yale School of Architecture</t>
        </is>
      </c>
      <c r="C69" s="4" t="inlineStr">
        <is>
          <t>affiliations</t>
        </is>
      </c>
      <c r="D69" s="4" t="inlineStr">
        <is>
          <t>Affiliations</t>
        </is>
      </c>
      <c r="E69" s="4" t="inlineStr"/>
    </row>
    <row r="70">
      <c r="A70" s="4" t="inlineStr">
        <is>
          <t>1108</t>
        </is>
      </c>
      <c r="B70" s="4" t="inlineStr">
        <is>
          <t>Yale School of Drama</t>
        </is>
      </c>
      <c r="C70" s="4" t="inlineStr">
        <is>
          <t>affiliations</t>
        </is>
      </c>
      <c r="D70" s="4" t="inlineStr">
        <is>
          <t>Affiliations</t>
        </is>
      </c>
      <c r="E70" s="4" t="inlineStr"/>
    </row>
    <row r="71">
      <c r="A71" s="4" t="inlineStr">
        <is>
          <t>1109</t>
        </is>
      </c>
      <c r="B71" s="4" t="inlineStr">
        <is>
          <t>Yale School of Forestry &amp; Environmental Studies</t>
        </is>
      </c>
      <c r="C71" s="4" t="inlineStr">
        <is>
          <t>affiliations</t>
        </is>
      </c>
      <c r="D71" s="4" t="inlineStr">
        <is>
          <t>Affiliations</t>
        </is>
      </c>
      <c r="E71" s="4" t="inlineStr"/>
    </row>
    <row r="72">
      <c r="A72" s="4" t="inlineStr">
        <is>
          <t>1110</t>
        </is>
      </c>
      <c r="B72" s="4" t="inlineStr">
        <is>
          <t>Yale School of Medicine</t>
        </is>
      </c>
      <c r="C72" s="4" t="inlineStr">
        <is>
          <t>affiliations</t>
        </is>
      </c>
      <c r="D72" s="4" t="inlineStr">
        <is>
          <t>Affiliations</t>
        </is>
      </c>
      <c r="E72" s="4" t="inlineStr"/>
    </row>
    <row r="73">
      <c r="A73" s="4" t="inlineStr">
        <is>
          <t>1111</t>
        </is>
      </c>
      <c r="B73" s="4" t="inlineStr">
        <is>
          <t>Yale School of Public Health</t>
        </is>
      </c>
      <c r="C73" s="4" t="inlineStr">
        <is>
          <t>affiliations</t>
        </is>
      </c>
      <c r="D73" s="4" t="inlineStr">
        <is>
          <t>Affiliations</t>
        </is>
      </c>
      <c r="E73" s="4" t="inlineStr"/>
    </row>
    <row r="74">
      <c r="A74" s="4" t="inlineStr">
        <is>
          <t>1555</t>
        </is>
      </c>
      <c r="B74" s="4" t="inlineStr">
        <is>
          <t>CDO Event</t>
        </is>
      </c>
      <c r="C74" s="4" t="inlineStr">
        <is>
          <t>announcement_category</t>
        </is>
      </c>
      <c r="D74" s="4" t="inlineStr">
        <is>
          <t>Announcement category</t>
        </is>
      </c>
      <c r="E74" s="4" t="inlineStr"/>
    </row>
    <row r="75">
      <c r="A75" s="4" t="inlineStr">
        <is>
          <t>1501</t>
        </is>
      </c>
      <c r="B75" s="4" t="inlineStr">
        <is>
          <t>Club Event</t>
        </is>
      </c>
      <c r="C75" s="4" t="inlineStr">
        <is>
          <t>announcement_category</t>
        </is>
      </c>
      <c r="D75" s="4" t="inlineStr">
        <is>
          <t>Announcement category</t>
        </is>
      </c>
      <c r="E75" s="4" t="inlineStr"/>
    </row>
    <row r="76">
      <c r="A76" s="4" t="inlineStr">
        <is>
          <t>1507</t>
        </is>
      </c>
      <c r="B76" s="4" t="inlineStr">
        <is>
          <t>Club Meeting</t>
        </is>
      </c>
      <c r="C76" s="4" t="inlineStr">
        <is>
          <t>announcement_category</t>
        </is>
      </c>
      <c r="D76" s="4" t="inlineStr">
        <is>
          <t>Announcement category</t>
        </is>
      </c>
      <c r="E76" s="4" t="inlineStr"/>
    </row>
    <row r="77">
      <c r="A77" s="4" t="inlineStr">
        <is>
          <t>1568</t>
        </is>
      </c>
      <c r="B77" s="4" t="inlineStr">
        <is>
          <t>Conference</t>
        </is>
      </c>
      <c r="C77" s="4" t="inlineStr">
        <is>
          <t>announcement_category</t>
        </is>
      </c>
      <c r="D77" s="4" t="inlineStr">
        <is>
          <t>Announcement category</t>
        </is>
      </c>
      <c r="E77" s="4" t="inlineStr"/>
    </row>
    <row r="78">
      <c r="A78" s="4" t="inlineStr">
        <is>
          <t>1545</t>
        </is>
      </c>
      <c r="B78" s="4" t="inlineStr">
        <is>
          <t>Dean's Office Event</t>
        </is>
      </c>
      <c r="C78" s="4" t="inlineStr">
        <is>
          <t>announcement_category</t>
        </is>
      </c>
      <c r="D78" s="4" t="inlineStr">
        <is>
          <t>Announcement category</t>
        </is>
      </c>
      <c r="E78" s="4" t="inlineStr"/>
    </row>
    <row r="79">
      <c r="A79" s="4" t="inlineStr">
        <is>
          <t>1577</t>
        </is>
      </c>
      <c r="B79" s="4" t="inlineStr">
        <is>
          <t>Office Hours</t>
        </is>
      </c>
      <c r="C79" s="4" t="inlineStr">
        <is>
          <t>announcement_category</t>
        </is>
      </c>
      <c r="D79" s="4" t="inlineStr">
        <is>
          <t>Announcement category</t>
        </is>
      </c>
      <c r="E79" s="4" t="inlineStr"/>
    </row>
    <row r="80">
      <c r="A80" s="4" t="inlineStr">
        <is>
          <t>1502</t>
        </is>
      </c>
      <c r="B80" s="4" t="inlineStr">
        <is>
          <t>School Event</t>
        </is>
      </c>
      <c r="C80" s="4" t="inlineStr">
        <is>
          <t>announcement_category</t>
        </is>
      </c>
      <c r="D80" s="4" t="inlineStr">
        <is>
          <t>Announcement category</t>
        </is>
      </c>
      <c r="E80" s="4" t="inlineStr"/>
    </row>
    <row r="81">
      <c r="A81" s="4" t="inlineStr">
        <is>
          <t>1503</t>
        </is>
      </c>
      <c r="B81" s="4" t="inlineStr">
        <is>
          <t>Speaker Event</t>
        </is>
      </c>
      <c r="C81" s="4" t="inlineStr">
        <is>
          <t>announcement_category</t>
        </is>
      </c>
      <c r="D81" s="4" t="inlineStr">
        <is>
          <t>Announcement category</t>
        </is>
      </c>
      <c r="E81" s="4" t="inlineStr"/>
    </row>
    <row r="82">
      <c r="A82" s="4" t="inlineStr">
        <is>
          <t>1506</t>
        </is>
      </c>
      <c r="B82" s="4" t="inlineStr">
        <is>
          <t>Student Government Event</t>
        </is>
      </c>
      <c r="C82" s="4" t="inlineStr">
        <is>
          <t>announcement_category</t>
        </is>
      </c>
      <c r="D82" s="4" t="inlineStr">
        <is>
          <t>Announcement category</t>
        </is>
      </c>
      <c r="E82" s="4" t="inlineStr"/>
    </row>
    <row r="83">
      <c r="A83" s="4" t="inlineStr">
        <is>
          <t>1504</t>
        </is>
      </c>
      <c r="B83" s="4" t="inlineStr">
        <is>
          <t>Student Life Event</t>
        </is>
      </c>
      <c r="C83" s="4" t="inlineStr">
        <is>
          <t>announcement_category</t>
        </is>
      </c>
      <c r="D83" s="4" t="inlineStr">
        <is>
          <t>Announcement category</t>
        </is>
      </c>
      <c r="E83" s="4" t="inlineStr"/>
    </row>
    <row r="84">
      <c r="A84" s="4" t="inlineStr">
        <is>
          <t>1505</t>
        </is>
      </c>
      <c r="B84" s="4" t="inlineStr">
        <is>
          <t>Study Break</t>
        </is>
      </c>
      <c r="C84" s="4" t="inlineStr">
        <is>
          <t>announcement_category</t>
        </is>
      </c>
      <c r="D84" s="4" t="inlineStr">
        <is>
          <t>Announcement category</t>
        </is>
      </c>
      <c r="E84" s="4" t="inlineStr"/>
    </row>
    <row r="85">
      <c r="A85" s="4" t="inlineStr">
        <is>
          <t>287</t>
        </is>
      </c>
      <c r="B85" s="4" t="inlineStr">
        <is>
          <t>Asset Management</t>
        </is>
      </c>
      <c r="C85" s="4" t="inlineStr">
        <is>
          <t>area_of_focus</t>
        </is>
      </c>
      <c r="D85" s="4" t="inlineStr">
        <is>
          <t>Area of Focus</t>
        </is>
      </c>
      <c r="E85" s="4" t="inlineStr"/>
    </row>
    <row r="86">
      <c r="A86" s="4" t="inlineStr">
        <is>
          <t>289</t>
        </is>
      </c>
      <c r="B86" s="4" t="inlineStr">
        <is>
          <t>Healthcare</t>
        </is>
      </c>
      <c r="C86" s="4" t="inlineStr">
        <is>
          <t>area_of_focus</t>
        </is>
      </c>
      <c r="D86" s="4" t="inlineStr">
        <is>
          <t>Area of Focus</t>
        </is>
      </c>
      <c r="E86" s="4" t="inlineStr"/>
    </row>
    <row r="87">
      <c r="A87" s="4" t="inlineStr">
        <is>
          <t>288</t>
        </is>
      </c>
      <c r="B87" s="4" t="inlineStr">
        <is>
          <t>Sustainability</t>
        </is>
      </c>
      <c r="C87" s="4" t="inlineStr">
        <is>
          <t>area_of_focus</t>
        </is>
      </c>
      <c r="D87" s="4" t="inlineStr">
        <is>
          <t>Area of Focus</t>
        </is>
      </c>
      <c r="E87" s="4" t="inlineStr"/>
    </row>
    <row r="88">
      <c r="A88" s="4" t="inlineStr">
        <is>
          <t>15</t>
        </is>
      </c>
      <c r="B88" s="4" t="inlineStr">
        <is>
          <t>Alumni</t>
        </is>
      </c>
      <c r="C88" s="4" t="inlineStr">
        <is>
          <t>audience</t>
        </is>
      </c>
      <c r="D88" s="4" t="inlineStr">
        <is>
          <t>Audience</t>
        </is>
      </c>
      <c r="E88" s="4" t="inlineStr"/>
    </row>
    <row r="89">
      <c r="A89" s="4" t="inlineStr">
        <is>
          <t>16</t>
        </is>
      </c>
      <c r="B89" s="4" t="inlineStr">
        <is>
          <t>Executive Education</t>
        </is>
      </c>
      <c r="C89" s="4" t="inlineStr">
        <is>
          <t>audience</t>
        </is>
      </c>
      <c r="D89" s="4" t="inlineStr">
        <is>
          <t>Audience</t>
        </is>
      </c>
      <c r="E89" s="4" t="inlineStr"/>
    </row>
    <row r="90">
      <c r="A90" s="4" t="inlineStr">
        <is>
          <t>17</t>
        </is>
      </c>
      <c r="B90" s="4" t="inlineStr">
        <is>
          <t>Prospective Students</t>
        </is>
      </c>
      <c r="C90" s="4" t="inlineStr">
        <is>
          <t>audience</t>
        </is>
      </c>
      <c r="D90" s="4" t="inlineStr">
        <is>
          <t>Audience</t>
        </is>
      </c>
      <c r="E90" s="4" t="inlineStr"/>
    </row>
    <row r="91">
      <c r="A91" s="4" t="inlineStr">
        <is>
          <t>14</t>
        </is>
      </c>
      <c r="B91" s="4" t="inlineStr">
        <is>
          <t>Students</t>
        </is>
      </c>
      <c r="C91" s="4" t="inlineStr">
        <is>
          <t>audience</t>
        </is>
      </c>
      <c r="D91" s="4" t="inlineStr">
        <is>
          <t>Audience</t>
        </is>
      </c>
      <c r="E91" s="4" t="inlineStr"/>
    </row>
    <row r="92">
      <c r="A92" s="4" t="inlineStr">
        <is>
          <t>315</t>
        </is>
      </c>
      <c r="B92" s="4" t="inlineStr">
        <is>
          <t>Case Study Research &amp; Development Team (CRDT)</t>
        </is>
      </c>
      <c r="C92" s="4" t="inlineStr">
        <is>
          <t>center</t>
        </is>
      </c>
      <c r="D92" s="4" t="inlineStr">
        <is>
          <t>Center</t>
        </is>
      </c>
      <c r="E92" s="4" t="inlineStr"/>
    </row>
    <row r="93">
      <c r="A93" s="4" t="inlineStr">
        <is>
          <t>107</t>
        </is>
      </c>
      <c r="B93" s="4" t="inlineStr">
        <is>
          <t>Chief Executive Leadership Institute</t>
        </is>
      </c>
      <c r="C93" s="4" t="inlineStr">
        <is>
          <t>center</t>
        </is>
      </c>
      <c r="D93" s="4" t="inlineStr">
        <is>
          <t>Center</t>
        </is>
      </c>
      <c r="E93" s="4" t="inlineStr"/>
    </row>
    <row r="94">
      <c r="A94" s="4" t="inlineStr">
        <is>
          <t>99</t>
        </is>
      </c>
      <c r="B94" s="4" t="inlineStr">
        <is>
          <t>China India Insights Program</t>
        </is>
      </c>
      <c r="C94" s="4" t="inlineStr">
        <is>
          <t>center</t>
        </is>
      </c>
      <c r="D94" s="4" t="inlineStr">
        <is>
          <t>Center</t>
        </is>
      </c>
      <c r="E94" s="4" t="inlineStr"/>
    </row>
    <row r="95">
      <c r="A95" s="4" t="inlineStr">
        <is>
          <t>83</t>
        </is>
      </c>
      <c r="B95" s="4" t="inlineStr">
        <is>
          <t>International Center for Finance</t>
        </is>
      </c>
      <c r="C95" s="4" t="inlineStr">
        <is>
          <t>center</t>
        </is>
      </c>
      <c r="D95" s="4" t="inlineStr">
        <is>
          <t>Center</t>
        </is>
      </c>
      <c r="E95" s="4" t="inlineStr"/>
    </row>
    <row r="96">
      <c r="A96" s="4" t="inlineStr">
        <is>
          <t>1176</t>
        </is>
      </c>
      <c r="B96" s="4" t="inlineStr">
        <is>
          <t>Meng Impact Investment Fund</t>
        </is>
      </c>
      <c r="C96" s="4" t="inlineStr">
        <is>
          <t>center</t>
        </is>
      </c>
      <c r="D96" s="4" t="inlineStr">
        <is>
          <t>Center</t>
        </is>
      </c>
      <c r="E96" s="4" t="inlineStr"/>
    </row>
    <row r="97">
      <c r="A97" s="4" t="inlineStr">
        <is>
          <t>1648</t>
        </is>
      </c>
      <c r="B97" s="4" t="inlineStr">
        <is>
          <t>Program for the Practice of Everyday Leadership</t>
        </is>
      </c>
      <c r="C97" s="4" t="inlineStr">
        <is>
          <t>center</t>
        </is>
      </c>
      <c r="D97" s="4" t="inlineStr">
        <is>
          <t>Center</t>
        </is>
      </c>
      <c r="E97" s="4" t="inlineStr"/>
    </row>
    <row r="98">
      <c r="A98" s="4" t="inlineStr">
        <is>
          <t>105</t>
        </is>
      </c>
      <c r="B98" s="4" t="inlineStr">
        <is>
          <t>Program on Entrepreneurship</t>
        </is>
      </c>
      <c r="C98" s="4" t="inlineStr">
        <is>
          <t>center</t>
        </is>
      </c>
      <c r="D98" s="4" t="inlineStr">
        <is>
          <t>Center</t>
        </is>
      </c>
      <c r="E98" s="4" t="inlineStr"/>
    </row>
    <row r="99">
      <c r="A99" s="4" t="inlineStr">
        <is>
          <t>106</t>
        </is>
      </c>
      <c r="B99" s="4" t="inlineStr">
        <is>
          <t>Program on Financial Stability</t>
        </is>
      </c>
      <c r="C99" s="4" t="inlineStr">
        <is>
          <t>center</t>
        </is>
      </c>
      <c r="D99" s="4" t="inlineStr">
        <is>
          <t>Center</t>
        </is>
      </c>
      <c r="E99" s="4" t="inlineStr"/>
    </row>
    <row r="100">
      <c r="A100" s="4" t="inlineStr">
        <is>
          <t>100</t>
        </is>
      </c>
      <c r="B100" s="4" t="inlineStr">
        <is>
          <t>Program on Social Enterprise, Innovation, and Impact</t>
        </is>
      </c>
      <c r="C100" s="4" t="inlineStr">
        <is>
          <t>center</t>
        </is>
      </c>
      <c r="D100" s="4" t="inlineStr">
        <is>
          <t>Center</t>
        </is>
      </c>
      <c r="E100" s="4" t="inlineStr"/>
    </row>
    <row r="101">
      <c r="A101" s="4" t="inlineStr">
        <is>
          <t>1144</t>
        </is>
      </c>
      <c r="B101" s="4" t="inlineStr">
        <is>
          <t>Program on Stakeholder Innovation &amp; Management</t>
        </is>
      </c>
      <c r="C101" s="4" t="inlineStr">
        <is>
          <t>center</t>
        </is>
      </c>
      <c r="D101" s="4" t="inlineStr">
        <is>
          <t>Center</t>
        </is>
      </c>
      <c r="E101" s="4" t="inlineStr"/>
    </row>
    <row r="102">
      <c r="A102" s="4" t="inlineStr">
        <is>
          <t>1160</t>
        </is>
      </c>
      <c r="B102" s="4" t="inlineStr">
        <is>
          <t>Program on Stakeholder Innovation and Management</t>
        </is>
      </c>
      <c r="C102" s="4" t="inlineStr">
        <is>
          <t>center</t>
        </is>
      </c>
      <c r="D102" s="4" t="inlineStr">
        <is>
          <t>Center</t>
        </is>
      </c>
      <c r="E102" s="4" t="inlineStr"/>
    </row>
    <row r="103">
      <c r="A103" s="4" t="inlineStr">
        <is>
          <t>98</t>
        </is>
      </c>
      <c r="B103" s="4" t="inlineStr">
        <is>
          <t>SOM Lab</t>
        </is>
      </c>
      <c r="C103" s="4" t="inlineStr">
        <is>
          <t>center</t>
        </is>
      </c>
      <c r="D103" s="4" t="inlineStr">
        <is>
          <t>Center</t>
        </is>
      </c>
      <c r="E103" s="4" t="inlineStr"/>
    </row>
    <row r="104">
      <c r="A104" s="4" t="inlineStr">
        <is>
          <t>1173</t>
        </is>
      </c>
      <c r="B104" s="4" t="inlineStr">
        <is>
          <t>Swensen Asset Management Institute</t>
        </is>
      </c>
      <c r="C104" s="4" t="inlineStr">
        <is>
          <t>center</t>
        </is>
      </c>
      <c r="D104" s="4" t="inlineStr">
        <is>
          <t>Center</t>
        </is>
      </c>
      <c r="E104" s="4" t="inlineStr"/>
    </row>
    <row r="105">
      <c r="A105" s="4" t="inlineStr">
        <is>
          <t>1750</t>
        </is>
      </c>
      <c r="B105" s="4" t="inlineStr">
        <is>
          <t>Swensen Asset Management Institute</t>
        </is>
      </c>
      <c r="C105" s="4" t="inlineStr">
        <is>
          <t>center</t>
        </is>
      </c>
      <c r="D105" s="4" t="inlineStr">
        <is>
          <t>Center</t>
        </is>
      </c>
      <c r="E105" s="4" t="inlineStr"/>
    </row>
    <row r="106">
      <c r="A106" s="4" t="inlineStr">
        <is>
          <t>5</t>
        </is>
      </c>
      <c r="B106" s="4" t="inlineStr">
        <is>
          <t>The Broad Center</t>
        </is>
      </c>
      <c r="C106" s="4" t="inlineStr">
        <is>
          <t>center</t>
        </is>
      </c>
      <c r="D106" s="4" t="inlineStr">
        <is>
          <t>Center</t>
        </is>
      </c>
      <c r="E106" s="4" t="inlineStr"/>
    </row>
    <row r="107">
      <c r="A107" s="4" t="inlineStr">
        <is>
          <t>96</t>
        </is>
      </c>
      <c r="B107" s="4" t="inlineStr">
        <is>
          <t>Thurman Arnold Project at Yale</t>
        </is>
      </c>
      <c r="C107" s="4" t="inlineStr">
        <is>
          <t>center</t>
        </is>
      </c>
      <c r="D107" s="4" t="inlineStr">
        <is>
          <t>Center</t>
        </is>
      </c>
      <c r="E107" s="4" t="inlineStr"/>
    </row>
    <row r="108">
      <c r="A108" s="4" t="inlineStr">
        <is>
          <t>134</t>
        </is>
      </c>
      <c r="B108" s="4" t="inlineStr">
        <is>
          <t>Yale Center for Customer Insights</t>
        </is>
      </c>
      <c r="C108" s="4" t="inlineStr">
        <is>
          <t>center</t>
        </is>
      </c>
      <c r="D108" s="4" t="inlineStr">
        <is>
          <t>Center</t>
        </is>
      </c>
      <c r="E108" s="4" t="inlineStr"/>
    </row>
    <row r="109">
      <c r="A109" s="4" t="inlineStr">
        <is>
          <t>1646</t>
        </is>
      </c>
      <c r="B109" s="4" t="inlineStr">
        <is>
          <t>Building wealth</t>
        </is>
      </c>
      <c r="C109" s="4" t="inlineStr">
        <is>
          <t>challenge_opportunities</t>
        </is>
      </c>
      <c r="D109" s="4" t="inlineStr">
        <is>
          <t>Challenge &amp; Opportunities</t>
        </is>
      </c>
      <c r="E109" s="4" t="inlineStr"/>
    </row>
    <row r="110">
      <c r="A110" s="4" t="inlineStr">
        <is>
          <t>1641</t>
        </is>
      </c>
      <c r="B110" s="4" t="inlineStr">
        <is>
          <t>Culture &amp; creativity</t>
        </is>
      </c>
      <c r="C110" s="4" t="inlineStr">
        <is>
          <t>challenge_opportunities</t>
        </is>
      </c>
      <c r="D110" s="4" t="inlineStr">
        <is>
          <t>Challenge &amp; Opportunities</t>
        </is>
      </c>
      <c r="E110" s="4" t="inlineStr"/>
    </row>
    <row r="111">
      <c r="A111" s="4" t="inlineStr">
        <is>
          <t>1637</t>
        </is>
      </c>
      <c r="B111" s="4" t="inlineStr">
        <is>
          <t>Economic opportunity</t>
        </is>
      </c>
      <c r="C111" s="4" t="inlineStr">
        <is>
          <t>challenge_opportunities</t>
        </is>
      </c>
      <c r="D111" s="4" t="inlineStr">
        <is>
          <t>Challenge &amp; Opportunities</t>
        </is>
      </c>
      <c r="E111" s="4" t="inlineStr"/>
    </row>
    <row r="112">
      <c r="A112" s="4" t="inlineStr">
        <is>
          <t>1638</t>
        </is>
      </c>
      <c r="B112" s="4" t="inlineStr">
        <is>
          <t>Education</t>
        </is>
      </c>
      <c r="C112" s="4" t="inlineStr">
        <is>
          <t>challenge_opportunities</t>
        </is>
      </c>
      <c r="D112" s="4" t="inlineStr">
        <is>
          <t>Challenge &amp; Opportunities</t>
        </is>
      </c>
      <c r="E112" s="4" t="inlineStr"/>
    </row>
    <row r="113">
      <c r="A113" s="4" t="inlineStr">
        <is>
          <t>1644</t>
        </is>
      </c>
      <c r="B113" s="4" t="inlineStr">
        <is>
          <t>Entrepreneurship</t>
        </is>
      </c>
      <c r="C113" s="4" t="inlineStr">
        <is>
          <t>challenge_opportunities</t>
        </is>
      </c>
      <c r="D113" s="4" t="inlineStr">
        <is>
          <t>Challenge &amp; Opportunities</t>
        </is>
      </c>
      <c r="E113" s="4" t="inlineStr"/>
    </row>
    <row r="114">
      <c r="A114" s="4" t="inlineStr">
        <is>
          <t>1640</t>
        </is>
      </c>
      <c r="B114" s="4" t="inlineStr">
        <is>
          <t>Improving health</t>
        </is>
      </c>
      <c r="C114" s="4" t="inlineStr">
        <is>
          <t>challenge_opportunities</t>
        </is>
      </c>
      <c r="D114" s="4" t="inlineStr">
        <is>
          <t>Challenge &amp; Opportunities</t>
        </is>
      </c>
      <c r="E114" s="4" t="inlineStr"/>
    </row>
    <row r="115">
      <c r="A115" s="4" t="inlineStr">
        <is>
          <t>1639</t>
        </is>
      </c>
      <c r="B115" s="4" t="inlineStr">
        <is>
          <t>Investing in society</t>
        </is>
      </c>
      <c r="C115" s="4" t="inlineStr">
        <is>
          <t>challenge_opportunities</t>
        </is>
      </c>
      <c r="D115" s="4" t="inlineStr">
        <is>
          <t>Challenge &amp; Opportunities</t>
        </is>
      </c>
      <c r="E115" s="4" t="inlineStr"/>
    </row>
    <row r="116">
      <c r="A116" s="4" t="inlineStr">
        <is>
          <t>1647</t>
        </is>
      </c>
      <c r="B116" s="4" t="inlineStr">
        <is>
          <t>Mission-driven leadership</t>
        </is>
      </c>
      <c r="C116" s="4" t="inlineStr">
        <is>
          <t>challenge_opportunities</t>
        </is>
      </c>
      <c r="D116" s="4" t="inlineStr">
        <is>
          <t>Challenge &amp; Opportunities</t>
        </is>
      </c>
      <c r="E116" s="4" t="inlineStr"/>
    </row>
    <row r="117">
      <c r="A117" s="4" t="inlineStr">
        <is>
          <t>1645</t>
        </is>
      </c>
      <c r="B117" s="4" t="inlineStr">
        <is>
          <t>Responsible consumption &amp; production</t>
        </is>
      </c>
      <c r="C117" s="4" t="inlineStr">
        <is>
          <t>challenge_opportunities</t>
        </is>
      </c>
      <c r="D117" s="4" t="inlineStr">
        <is>
          <t>Challenge &amp; Opportunities</t>
        </is>
      </c>
      <c r="E117" s="4" t="inlineStr"/>
    </row>
    <row r="118">
      <c r="A118" s="4" t="inlineStr">
        <is>
          <t>1642</t>
        </is>
      </c>
      <c r="B118" s="4" t="inlineStr">
        <is>
          <t>Strengthening communities</t>
        </is>
      </c>
      <c r="C118" s="4" t="inlineStr">
        <is>
          <t>challenge_opportunities</t>
        </is>
      </c>
      <c r="D118" s="4" t="inlineStr">
        <is>
          <t>Challenge &amp; Opportunities</t>
        </is>
      </c>
      <c r="E118" s="4" t="inlineStr"/>
    </row>
    <row r="119">
      <c r="A119" s="4" t="inlineStr">
        <is>
          <t>1636</t>
        </is>
      </c>
      <c r="B119" s="4" t="inlineStr">
        <is>
          <t>Sustainability</t>
        </is>
      </c>
      <c r="C119" s="4" t="inlineStr">
        <is>
          <t>challenge_opportunities</t>
        </is>
      </c>
      <c r="D119" s="4" t="inlineStr">
        <is>
          <t>Challenge &amp; Opportunities</t>
        </is>
      </c>
      <c r="E119" s="4" t="inlineStr"/>
    </row>
    <row r="120">
      <c r="A120" s="4" t="inlineStr">
        <is>
          <t>1643</t>
        </is>
      </c>
      <c r="B120" s="4" t="inlineStr">
        <is>
          <t>Technology &amp; innovation</t>
        </is>
      </c>
      <c r="C120" s="4" t="inlineStr">
        <is>
          <t>challenge_opportunities</t>
        </is>
      </c>
      <c r="D120" s="4" t="inlineStr">
        <is>
          <t>Challenge &amp; Opportunities</t>
        </is>
      </c>
      <c r="E120" s="4" t="inlineStr"/>
    </row>
    <row r="121">
      <c r="A121" s="4" t="inlineStr">
        <is>
          <t>1213</t>
        </is>
      </c>
      <c r="B121" s="4" t="inlineStr">
        <is>
          <t>Advisory Board Member Highlights</t>
        </is>
      </c>
      <c r="C121" s="4" t="inlineStr">
        <is>
          <t>context</t>
        </is>
      </c>
      <c r="D121" s="4" t="inlineStr">
        <is>
          <t>Context</t>
        </is>
      </c>
      <c r="E121" s="4" t="inlineStr">
        <is>
          <t>1497</t>
        </is>
      </c>
    </row>
    <row r="122">
      <c r="A122" s="4" t="inlineStr">
        <is>
          <t>77</t>
        </is>
      </c>
      <c r="B122" s="4" t="inlineStr">
        <is>
          <t>All SOM</t>
        </is>
      </c>
      <c r="C122" s="4" t="inlineStr">
        <is>
          <t>context</t>
        </is>
      </c>
      <c r="D122" s="4" t="inlineStr">
        <is>
          <t>Context</t>
        </is>
      </c>
      <c r="E122" s="4" t="inlineStr"/>
    </row>
    <row r="123">
      <c r="A123" s="4" t="inlineStr">
        <is>
          <t>1142</t>
        </is>
      </c>
      <c r="B123" s="4" t="inlineStr">
        <is>
          <t>Alumni</t>
        </is>
      </c>
      <c r="C123" s="4" t="inlineStr">
        <is>
          <t>context</t>
        </is>
      </c>
      <c r="D123" s="4" t="inlineStr">
        <is>
          <t>Context</t>
        </is>
      </c>
      <c r="E123" s="4" t="inlineStr"/>
    </row>
    <row r="124">
      <c r="A124" s="4" t="inlineStr">
        <is>
          <t>975</t>
        </is>
      </c>
      <c r="B124" s="4" t="inlineStr">
        <is>
          <t>Career Development Office</t>
        </is>
      </c>
      <c r="C124" s="4" t="inlineStr">
        <is>
          <t>context</t>
        </is>
      </c>
      <c r="D124" s="4" t="inlineStr">
        <is>
          <t>Context</t>
        </is>
      </c>
      <c r="E124" s="4" t="inlineStr">
        <is>
          <t>1497</t>
        </is>
      </c>
    </row>
    <row r="125">
      <c r="A125" s="4" t="inlineStr">
        <is>
          <t>110</t>
        </is>
      </c>
      <c r="B125" s="4" t="inlineStr">
        <is>
          <t>Careers</t>
        </is>
      </c>
      <c r="C125" s="4" t="inlineStr">
        <is>
          <t>context</t>
        </is>
      </c>
      <c r="D125" s="4" t="inlineStr">
        <is>
          <t>Context</t>
        </is>
      </c>
      <c r="E125" s="4" t="inlineStr">
        <is>
          <t>1497</t>
        </is>
      </c>
    </row>
    <row r="126">
      <c r="A126" s="4" t="inlineStr">
        <is>
          <t>116</t>
        </is>
      </c>
      <c r="B126" s="4" t="inlineStr">
        <is>
          <t>Case Studies</t>
        </is>
      </c>
      <c r="C126" s="4" t="inlineStr">
        <is>
          <t>context</t>
        </is>
      </c>
      <c r="D126" s="4" t="inlineStr">
        <is>
          <t>Context</t>
        </is>
      </c>
      <c r="E126" s="4" t="inlineStr">
        <is>
          <t>1497</t>
        </is>
      </c>
    </row>
    <row r="127">
      <c r="A127" s="4" t="inlineStr">
        <is>
          <t>942</t>
        </is>
      </c>
      <c r="B127" s="4" t="inlineStr">
        <is>
          <t>Case Study Research and Development</t>
        </is>
      </c>
      <c r="C127" s="4" t="inlineStr">
        <is>
          <t>context</t>
        </is>
      </c>
      <c r="D127" s="4" t="inlineStr">
        <is>
          <t>Context</t>
        </is>
      </c>
      <c r="E127" s="4" t="inlineStr">
        <is>
          <t>95</t>
        </is>
      </c>
    </row>
    <row r="128">
      <c r="A128" s="4" t="inlineStr">
        <is>
          <t>941</t>
        </is>
      </c>
      <c r="B128" s="4" t="inlineStr">
        <is>
          <t>Cases</t>
        </is>
      </c>
      <c r="C128" s="4" t="inlineStr">
        <is>
          <t>context</t>
        </is>
      </c>
      <c r="D128" s="4" t="inlineStr">
        <is>
          <t>Context</t>
        </is>
      </c>
      <c r="E128" s="4" t="inlineStr">
        <is>
          <t>1497</t>
        </is>
      </c>
    </row>
    <row r="129">
      <c r="A129" s="4" t="inlineStr">
        <is>
          <t>936</t>
        </is>
      </c>
      <c r="B129" s="4" t="inlineStr">
        <is>
          <t>Center for Business and the Environment</t>
        </is>
      </c>
      <c r="C129" s="4" t="inlineStr">
        <is>
          <t>context</t>
        </is>
      </c>
      <c r="D129" s="4" t="inlineStr">
        <is>
          <t>Context</t>
        </is>
      </c>
      <c r="E129" s="4" t="inlineStr">
        <is>
          <t>95</t>
        </is>
      </c>
    </row>
    <row r="130">
      <c r="A130" s="4" t="inlineStr">
        <is>
          <t>944</t>
        </is>
      </c>
      <c r="B130" s="4" t="inlineStr">
        <is>
          <t>Center for Customer Insights</t>
        </is>
      </c>
      <c r="C130" s="4" t="inlineStr">
        <is>
          <t>context</t>
        </is>
      </c>
      <c r="D130" s="4" t="inlineStr">
        <is>
          <t>Context</t>
        </is>
      </c>
      <c r="E130" s="4" t="inlineStr">
        <is>
          <t>95</t>
        </is>
      </c>
    </row>
    <row r="131">
      <c r="A131" s="4" t="inlineStr">
        <is>
          <t>95</t>
        </is>
      </c>
      <c r="B131" s="4" t="inlineStr">
        <is>
          <t>Centers</t>
        </is>
      </c>
      <c r="C131" s="4" t="inlineStr">
        <is>
          <t>context</t>
        </is>
      </c>
      <c r="D131" s="4" t="inlineStr">
        <is>
          <t>Context</t>
        </is>
      </c>
      <c r="E131" s="4" t="inlineStr"/>
    </row>
    <row r="132">
      <c r="A132" s="4" t="inlineStr">
        <is>
          <t>925</t>
        </is>
      </c>
      <c r="B132" s="4" t="inlineStr">
        <is>
          <t>Chief Executive Leadership Institute</t>
        </is>
      </c>
      <c r="C132" s="4" t="inlineStr">
        <is>
          <t>context</t>
        </is>
      </c>
      <c r="D132" s="4" t="inlineStr">
        <is>
          <t>Context</t>
        </is>
      </c>
      <c r="E132" s="4" t="inlineStr">
        <is>
          <t>95</t>
        </is>
      </c>
    </row>
    <row r="133">
      <c r="A133" s="4" t="inlineStr">
        <is>
          <t>988</t>
        </is>
      </c>
      <c r="B133" s="4" t="inlineStr">
        <is>
          <t>China India Insights Program</t>
        </is>
      </c>
      <c r="C133" s="4" t="inlineStr">
        <is>
          <t>context</t>
        </is>
      </c>
      <c r="D133" s="4" t="inlineStr">
        <is>
          <t>Context</t>
        </is>
      </c>
      <c r="E133" s="4" t="inlineStr">
        <is>
          <t>95</t>
        </is>
      </c>
    </row>
    <row r="134">
      <c r="A134" s="4" t="inlineStr">
        <is>
          <t>1619</t>
        </is>
      </c>
      <c r="B134" s="4" t="inlineStr">
        <is>
          <t>Clubs</t>
        </is>
      </c>
      <c r="C134" s="4" t="inlineStr">
        <is>
          <t>context</t>
        </is>
      </c>
      <c r="D134" s="4" t="inlineStr">
        <is>
          <t>Context</t>
        </is>
      </c>
      <c r="E134" s="4" t="inlineStr">
        <is>
          <t>1497</t>
        </is>
      </c>
    </row>
    <row r="135">
      <c r="A135" s="4" t="inlineStr">
        <is>
          <t>1771</t>
        </is>
      </c>
      <c r="B135" s="4" t="inlineStr">
        <is>
          <t>Crafting a Curriculum</t>
        </is>
      </c>
      <c r="C135" s="4" t="inlineStr">
        <is>
          <t>context</t>
        </is>
      </c>
      <c r="D135" s="4" t="inlineStr">
        <is>
          <t>Context</t>
        </is>
      </c>
      <c r="E135" s="4" t="inlineStr"/>
    </row>
    <row r="136">
      <c r="A136" s="4" t="inlineStr">
        <is>
          <t>1485</t>
        </is>
      </c>
      <c r="B136" s="4" t="inlineStr">
        <is>
          <t>Day in the Life</t>
        </is>
      </c>
      <c r="C136" s="4" t="inlineStr">
        <is>
          <t>context</t>
        </is>
      </c>
      <c r="D136" s="4" t="inlineStr">
        <is>
          <t>Context</t>
        </is>
      </c>
      <c r="E136" s="4" t="inlineStr">
        <is>
          <t>1497</t>
        </is>
      </c>
    </row>
    <row r="137">
      <c r="A137" s="4" t="inlineStr">
        <is>
          <t>1205</t>
        </is>
      </c>
      <c r="B137" s="4" t="inlineStr">
        <is>
          <t>Discovery Project</t>
        </is>
      </c>
      <c r="C137" s="4" t="inlineStr">
        <is>
          <t>context</t>
        </is>
      </c>
      <c r="D137" s="4" t="inlineStr">
        <is>
          <t>Context</t>
        </is>
      </c>
      <c r="E137" s="4" t="inlineStr">
        <is>
          <t>1497</t>
        </is>
      </c>
    </row>
    <row r="138">
      <c r="A138" s="4" t="inlineStr">
        <is>
          <t>962</t>
        </is>
      </c>
      <c r="B138" s="4" t="inlineStr">
        <is>
          <t>Doctoral Programs</t>
        </is>
      </c>
      <c r="C138" s="4" t="inlineStr">
        <is>
          <t>context</t>
        </is>
      </c>
      <c r="D138" s="4" t="inlineStr">
        <is>
          <t>Context</t>
        </is>
      </c>
      <c r="E138" s="4" t="inlineStr">
        <is>
          <t>94</t>
        </is>
      </c>
    </row>
    <row r="139">
      <c r="A139" s="4" t="inlineStr">
        <is>
          <t>1202</t>
        </is>
      </c>
      <c r="B139" s="4" t="inlineStr">
        <is>
          <t>EMBA GNW</t>
        </is>
      </c>
      <c r="C139" s="4" t="inlineStr">
        <is>
          <t>context</t>
        </is>
      </c>
      <c r="D139" s="4" t="inlineStr">
        <is>
          <t>Context</t>
        </is>
      </c>
      <c r="E139" s="4" t="inlineStr">
        <is>
          <t>1497</t>
        </is>
      </c>
    </row>
    <row r="140">
      <c r="A140" s="4" t="inlineStr">
        <is>
          <t>992</t>
        </is>
      </c>
      <c r="B140" s="4" t="inlineStr">
        <is>
          <t>Event</t>
        </is>
      </c>
      <c r="C140" s="4" t="inlineStr">
        <is>
          <t>context</t>
        </is>
      </c>
      <c r="D140" s="4" t="inlineStr">
        <is>
          <t>Context</t>
        </is>
      </c>
      <c r="E140" s="4" t="inlineStr"/>
    </row>
    <row r="141">
      <c r="A141" s="4" t="inlineStr">
        <is>
          <t>1772</t>
        </is>
      </c>
      <c r="B141" s="4" t="inlineStr">
        <is>
          <t>Event Dispatch</t>
        </is>
      </c>
      <c r="C141" s="4" t="inlineStr">
        <is>
          <t>context</t>
        </is>
      </c>
      <c r="D141" s="4" t="inlineStr">
        <is>
          <t>Context</t>
        </is>
      </c>
      <c r="E141" s="4" t="inlineStr"/>
    </row>
    <row r="142">
      <c r="A142" s="4" t="inlineStr">
        <is>
          <t>1182</t>
        </is>
      </c>
      <c r="B142" s="4" t="inlineStr">
        <is>
          <t>Exec Ed Participant Spotlights</t>
        </is>
      </c>
      <c r="C142" s="4" t="inlineStr">
        <is>
          <t>context</t>
        </is>
      </c>
      <c r="D142" s="4" t="inlineStr">
        <is>
          <t>Context</t>
        </is>
      </c>
      <c r="E142" s="4" t="inlineStr">
        <is>
          <t>1497</t>
        </is>
      </c>
    </row>
    <row r="143">
      <c r="A143" s="4" t="inlineStr">
        <is>
          <t>967</t>
        </is>
      </c>
      <c r="B143" s="4" t="inlineStr">
        <is>
          <t>Executive Education</t>
        </is>
      </c>
      <c r="C143" s="4" t="inlineStr">
        <is>
          <t>context</t>
        </is>
      </c>
      <c r="D143" s="4" t="inlineStr">
        <is>
          <t>Context</t>
        </is>
      </c>
      <c r="E143" s="4" t="inlineStr">
        <is>
          <t>94</t>
        </is>
      </c>
    </row>
    <row r="144">
      <c r="A144" s="4" t="inlineStr">
        <is>
          <t>1592</t>
        </is>
      </c>
      <c r="B144" s="4" t="inlineStr">
        <is>
          <t>Faculty</t>
        </is>
      </c>
      <c r="C144" s="4" t="inlineStr">
        <is>
          <t>context</t>
        </is>
      </c>
      <c r="D144" s="4" t="inlineStr">
        <is>
          <t>Context</t>
        </is>
      </c>
      <c r="E144" s="4" t="inlineStr"/>
    </row>
    <row r="145">
      <c r="A145" s="4" t="inlineStr">
        <is>
          <t>976</t>
        </is>
      </c>
      <c r="B145" s="4" t="inlineStr">
        <is>
          <t>Faculty Viewpoints</t>
        </is>
      </c>
      <c r="C145" s="4" t="inlineStr">
        <is>
          <t>context</t>
        </is>
      </c>
      <c r="D145" s="4" t="inlineStr">
        <is>
          <t>Context</t>
        </is>
      </c>
      <c r="E145" s="4" t="inlineStr">
        <is>
          <t>1497</t>
        </is>
      </c>
    </row>
    <row r="146">
      <c r="A146" s="4" t="inlineStr">
        <is>
          <t>1175</t>
        </is>
      </c>
      <c r="B146" s="4" t="inlineStr">
        <is>
          <t>Following Up</t>
        </is>
      </c>
      <c r="C146" s="4" t="inlineStr">
        <is>
          <t>context</t>
        </is>
      </c>
      <c r="D146" s="4" t="inlineStr">
        <is>
          <t>Context</t>
        </is>
      </c>
      <c r="E146" s="4" t="inlineStr">
        <is>
          <t>1497</t>
        </is>
      </c>
    </row>
    <row r="147">
      <c r="A147" s="4" t="inlineStr">
        <is>
          <t>985</t>
        </is>
      </c>
      <c r="B147" s="4" t="inlineStr">
        <is>
          <t>Future of Global Finance</t>
        </is>
      </c>
      <c r="C147" s="4" t="inlineStr">
        <is>
          <t>context</t>
        </is>
      </c>
      <c r="D147" s="4" t="inlineStr">
        <is>
          <t>Context</t>
        </is>
      </c>
      <c r="E147" s="4" t="inlineStr">
        <is>
          <t>95</t>
        </is>
      </c>
    </row>
    <row r="148">
      <c r="A148" s="4" t="inlineStr">
        <is>
          <t>987</t>
        </is>
      </c>
      <c r="B148" s="4" t="inlineStr">
        <is>
          <t>Global Pre-MBA Leadership Program</t>
        </is>
      </c>
      <c r="C148" s="4" t="inlineStr">
        <is>
          <t>context</t>
        </is>
      </c>
      <c r="D148" s="4" t="inlineStr">
        <is>
          <t>Context</t>
        </is>
      </c>
      <c r="E148" s="4" t="inlineStr">
        <is>
          <t>94</t>
        </is>
      </c>
    </row>
    <row r="149">
      <c r="A149" s="4" t="inlineStr">
        <is>
          <t>1390</t>
        </is>
      </c>
      <c r="B149" s="4" t="inlineStr">
        <is>
          <t>Headlines</t>
        </is>
      </c>
      <c r="C149" s="4" t="inlineStr">
        <is>
          <t>context</t>
        </is>
      </c>
      <c r="D149" s="4" t="inlineStr">
        <is>
          <t>Context</t>
        </is>
      </c>
      <c r="E149" s="4" t="inlineStr"/>
    </row>
    <row r="150">
      <c r="A150" s="4" t="inlineStr">
        <is>
          <t>1484</t>
        </is>
      </c>
      <c r="B150" s="4" t="inlineStr">
        <is>
          <t>Historian's Notebook</t>
        </is>
      </c>
      <c r="C150" s="4" t="inlineStr">
        <is>
          <t>context</t>
        </is>
      </c>
      <c r="D150" s="4" t="inlineStr">
        <is>
          <t>Context</t>
        </is>
      </c>
      <c r="E150" s="4" t="inlineStr">
        <is>
          <t>1497</t>
        </is>
      </c>
    </row>
    <row r="151">
      <c r="A151" s="4" t="inlineStr">
        <is>
          <t>1498</t>
        </is>
      </c>
      <c r="B151" s="4" t="inlineStr">
        <is>
          <t>Homepage Mosaic</t>
        </is>
      </c>
      <c r="C151" s="4" t="inlineStr">
        <is>
          <t>context</t>
        </is>
      </c>
      <c r="D151" s="4" t="inlineStr">
        <is>
          <t>Context</t>
        </is>
      </c>
      <c r="E151" s="4" t="inlineStr">
        <is>
          <t>1497</t>
        </is>
      </c>
    </row>
    <row r="152">
      <c r="A152" s="4" t="inlineStr">
        <is>
          <t>1518</t>
        </is>
      </c>
      <c r="B152" s="4" t="inlineStr">
        <is>
          <t>Inclusive Growth Fellowship</t>
        </is>
      </c>
      <c r="C152" s="4" t="inlineStr">
        <is>
          <t>context</t>
        </is>
      </c>
      <c r="D152" s="4" t="inlineStr">
        <is>
          <t>Context</t>
        </is>
      </c>
      <c r="E152" s="4" t="inlineStr"/>
    </row>
    <row r="153">
      <c r="A153" s="4" t="inlineStr">
        <is>
          <t>1512</t>
        </is>
      </c>
      <c r="B153" s="4" t="inlineStr">
        <is>
          <t>Initiative on Leadership and Organization</t>
        </is>
      </c>
      <c r="C153" s="4" t="inlineStr">
        <is>
          <t>context</t>
        </is>
      </c>
      <c r="D153" s="4" t="inlineStr">
        <is>
          <t>Context</t>
        </is>
      </c>
      <c r="E153" s="4" t="inlineStr">
        <is>
          <t>95</t>
        </is>
      </c>
    </row>
    <row r="154">
      <c r="A154" s="4" t="inlineStr">
        <is>
          <t>931</t>
        </is>
      </c>
      <c r="B154" s="4" t="inlineStr">
        <is>
          <t>International Center for Finance</t>
        </is>
      </c>
      <c r="C154" s="4" t="inlineStr">
        <is>
          <t>context</t>
        </is>
      </c>
      <c r="D154" s="4" t="inlineStr">
        <is>
          <t>Context</t>
        </is>
      </c>
      <c r="E154" s="4" t="inlineStr">
        <is>
          <t>95</t>
        </is>
      </c>
    </row>
    <row r="155">
      <c r="A155" s="4" t="inlineStr">
        <is>
          <t>1185</t>
        </is>
      </c>
      <c r="B155" s="4" t="inlineStr">
        <is>
          <t>Internship Spotlight</t>
        </is>
      </c>
      <c r="C155" s="4" t="inlineStr">
        <is>
          <t>context</t>
        </is>
      </c>
      <c r="D155" s="4" t="inlineStr">
        <is>
          <t>Context</t>
        </is>
      </c>
      <c r="E155" s="4" t="inlineStr">
        <is>
          <t>1497</t>
        </is>
      </c>
    </row>
    <row r="156">
      <c r="A156" s="4" t="inlineStr">
        <is>
          <t>973</t>
        </is>
      </c>
      <c r="B156" s="4" t="inlineStr">
        <is>
          <t>Joint Degrees</t>
        </is>
      </c>
      <c r="C156" s="4" t="inlineStr">
        <is>
          <t>context</t>
        </is>
      </c>
      <c r="D156" s="4" t="inlineStr">
        <is>
          <t>Context</t>
        </is>
      </c>
      <c r="E156" s="4" t="inlineStr">
        <is>
          <t>94</t>
        </is>
      </c>
    </row>
    <row r="157">
      <c r="A157" s="4" t="inlineStr">
        <is>
          <t>1593</t>
        </is>
      </c>
      <c r="B157" s="4" t="inlineStr">
        <is>
          <t>Leaders for All Sectors</t>
        </is>
      </c>
      <c r="C157" s="4" t="inlineStr">
        <is>
          <t>context</t>
        </is>
      </c>
      <c r="D157" s="4" t="inlineStr">
        <is>
          <t>Context</t>
        </is>
      </c>
      <c r="E157" s="4" t="inlineStr"/>
    </row>
    <row r="158">
      <c r="A158" s="4" t="inlineStr">
        <is>
          <t>1167</t>
        </is>
      </c>
      <c r="B158" s="4" t="inlineStr">
        <is>
          <t>Making a Difference</t>
        </is>
      </c>
      <c r="C158" s="4" t="inlineStr">
        <is>
          <t>context</t>
        </is>
      </c>
      <c r="D158" s="4" t="inlineStr">
        <is>
          <t>Context</t>
        </is>
      </c>
      <c r="E158" s="4" t="inlineStr">
        <is>
          <t>1497</t>
        </is>
      </c>
    </row>
    <row r="159">
      <c r="A159" s="4" t="inlineStr">
        <is>
          <t>932</t>
        </is>
      </c>
      <c r="B159" s="4" t="inlineStr">
        <is>
          <t>Master of Advanced Management</t>
        </is>
      </c>
      <c r="C159" s="4" t="inlineStr">
        <is>
          <t>context</t>
        </is>
      </c>
      <c r="D159" s="4" t="inlineStr">
        <is>
          <t>Context</t>
        </is>
      </c>
      <c r="E159" s="4" t="inlineStr">
        <is>
          <t>1571</t>
        </is>
      </c>
    </row>
    <row r="160">
      <c r="A160" s="4" t="inlineStr">
        <is>
          <t>930</t>
        </is>
      </c>
      <c r="B160" s="4" t="inlineStr">
        <is>
          <t>Master's Degree in Asset Management</t>
        </is>
      </c>
      <c r="C160" s="4" t="inlineStr">
        <is>
          <t>context</t>
        </is>
      </c>
      <c r="D160" s="4" t="inlineStr">
        <is>
          <t>Context</t>
        </is>
      </c>
      <c r="E160" s="4" t="inlineStr">
        <is>
          <t>1571</t>
        </is>
      </c>
    </row>
    <row r="161">
      <c r="A161" s="4" t="inlineStr">
        <is>
          <t>950</t>
        </is>
      </c>
      <c r="B161" s="4" t="inlineStr">
        <is>
          <t>Master's Degree in Global Business and Society</t>
        </is>
      </c>
      <c r="C161" s="4" t="inlineStr">
        <is>
          <t>context</t>
        </is>
      </c>
      <c r="D161" s="4" t="inlineStr">
        <is>
          <t>Context</t>
        </is>
      </c>
      <c r="E161" s="4" t="inlineStr">
        <is>
          <t>1571</t>
        </is>
      </c>
    </row>
    <row r="162">
      <c r="A162" s="4" t="inlineStr">
        <is>
          <t>1011</t>
        </is>
      </c>
      <c r="B162" s="4" t="inlineStr">
        <is>
          <t>Master's Degree in Public Education Management</t>
        </is>
      </c>
      <c r="C162" s="4" t="inlineStr">
        <is>
          <t>context</t>
        </is>
      </c>
      <c r="D162" s="4" t="inlineStr">
        <is>
          <t>Context</t>
        </is>
      </c>
      <c r="E162" s="4" t="inlineStr">
        <is>
          <t>94</t>
        </is>
      </c>
    </row>
    <row r="163">
      <c r="A163" s="4" t="inlineStr">
        <is>
          <t>949</t>
        </is>
      </c>
      <c r="B163" s="4" t="inlineStr">
        <is>
          <t>Master's Degree in Systemic Risk</t>
        </is>
      </c>
      <c r="C163" s="4" t="inlineStr">
        <is>
          <t>context</t>
        </is>
      </c>
      <c r="D163" s="4" t="inlineStr">
        <is>
          <t>Context</t>
        </is>
      </c>
      <c r="E163" s="4" t="inlineStr">
        <is>
          <t>1571</t>
        </is>
      </c>
    </row>
    <row r="164">
      <c r="A164" s="4" t="inlineStr">
        <is>
          <t>1201</t>
        </is>
      </c>
      <c r="B164" s="4" t="inlineStr">
        <is>
          <t>Master's in Technology Management</t>
        </is>
      </c>
      <c r="C164" s="4" t="inlineStr">
        <is>
          <t>context</t>
        </is>
      </c>
      <c r="D164" s="4" t="inlineStr">
        <is>
          <t>Context</t>
        </is>
      </c>
      <c r="E164" s="4" t="inlineStr">
        <is>
          <t>1571</t>
        </is>
      </c>
    </row>
    <row r="165">
      <c r="A165" s="4" t="inlineStr">
        <is>
          <t>92</t>
        </is>
      </c>
      <c r="B165" s="4" t="inlineStr">
        <is>
          <t>MBA</t>
        </is>
      </c>
      <c r="C165" s="4" t="inlineStr">
        <is>
          <t>context</t>
        </is>
      </c>
      <c r="D165" s="4" t="inlineStr">
        <is>
          <t>Context</t>
        </is>
      </c>
      <c r="E165" s="4" t="inlineStr">
        <is>
          <t>1571</t>
        </is>
      </c>
    </row>
    <row r="166">
      <c r="A166" s="4" t="inlineStr">
        <is>
          <t>928</t>
        </is>
      </c>
      <c r="B166" s="4" t="inlineStr">
        <is>
          <t>MBA For Executives</t>
        </is>
      </c>
      <c r="C166" s="4" t="inlineStr">
        <is>
          <t>context</t>
        </is>
      </c>
      <c r="D166" s="4" t="inlineStr">
        <is>
          <t>Context</t>
        </is>
      </c>
      <c r="E166" s="4" t="inlineStr">
        <is>
          <t>94</t>
        </is>
      </c>
    </row>
    <row r="167">
      <c r="A167" s="4" t="inlineStr">
        <is>
          <t>1189</t>
        </is>
      </c>
      <c r="B167" s="4" t="inlineStr">
        <is>
          <t>Media Appearance</t>
        </is>
      </c>
      <c r="C167" s="4" t="inlineStr">
        <is>
          <t>context</t>
        </is>
      </c>
      <c r="D167" s="4" t="inlineStr">
        <is>
          <t>Context</t>
        </is>
      </c>
      <c r="E167" s="4" t="inlineStr">
        <is>
          <t>1497</t>
        </is>
      </c>
    </row>
    <row r="168">
      <c r="A168" s="4" t="inlineStr">
        <is>
          <t>1177</t>
        </is>
      </c>
      <c r="B168" s="4" t="inlineStr">
        <is>
          <t>Meng Impact Investment Fund</t>
        </is>
      </c>
      <c r="C168" s="4" t="inlineStr">
        <is>
          <t>context</t>
        </is>
      </c>
      <c r="D168" s="4" t="inlineStr">
        <is>
          <t>Context</t>
        </is>
      </c>
      <c r="E168" s="4" t="inlineStr">
        <is>
          <t>95</t>
        </is>
      </c>
    </row>
    <row r="169">
      <c r="A169" s="4" t="inlineStr">
        <is>
          <t>1359</t>
        </is>
      </c>
      <c r="B169" s="4" t="inlineStr">
        <is>
          <t>Middle East</t>
        </is>
      </c>
      <c r="C169" s="4" t="inlineStr">
        <is>
          <t>context</t>
        </is>
      </c>
      <c r="D169" s="4" t="inlineStr">
        <is>
          <t>Context</t>
        </is>
      </c>
      <c r="E169" s="4" t="inlineStr">
        <is>
          <t>1497</t>
        </is>
      </c>
    </row>
    <row r="170">
      <c r="A170" s="4" t="inlineStr">
        <is>
          <t>1158</t>
        </is>
      </c>
      <c r="B170" s="4" t="inlineStr">
        <is>
          <t>MyPortal</t>
        </is>
      </c>
      <c r="C170" s="4" t="inlineStr">
        <is>
          <t>context</t>
        </is>
      </c>
      <c r="D170" s="4" t="inlineStr">
        <is>
          <t>Context</t>
        </is>
      </c>
      <c r="E170" s="4" t="inlineStr"/>
    </row>
    <row r="171">
      <c r="A171" s="4" t="inlineStr">
        <is>
          <t>1146</t>
        </is>
      </c>
      <c r="B171" s="4" t="inlineStr">
        <is>
          <t>New Haven</t>
        </is>
      </c>
      <c r="C171" s="4" t="inlineStr">
        <is>
          <t>context</t>
        </is>
      </c>
      <c r="D171" s="4" t="inlineStr">
        <is>
          <t>Context</t>
        </is>
      </c>
      <c r="E171" s="4" t="inlineStr">
        <is>
          <t>1497</t>
        </is>
      </c>
    </row>
    <row r="172">
      <c r="A172" s="4" t="inlineStr">
        <is>
          <t>1168</t>
        </is>
      </c>
      <c r="B172" s="4" t="inlineStr">
        <is>
          <t>One Minute with...</t>
        </is>
      </c>
      <c r="C172" s="4" t="inlineStr">
        <is>
          <t>context</t>
        </is>
      </c>
      <c r="D172" s="4" t="inlineStr">
        <is>
          <t>Context</t>
        </is>
      </c>
      <c r="E172" s="4" t="inlineStr">
        <is>
          <t>1497</t>
        </is>
      </c>
    </row>
    <row r="173">
      <c r="A173" s="4" t="inlineStr">
        <is>
          <t>953</t>
        </is>
      </c>
      <c r="B173" s="4" t="inlineStr">
        <is>
          <t>Orientation</t>
        </is>
      </c>
      <c r="C173" s="4" t="inlineStr">
        <is>
          <t>context</t>
        </is>
      </c>
      <c r="D173" s="4" t="inlineStr">
        <is>
          <t>Context</t>
        </is>
      </c>
      <c r="E173" s="4" t="inlineStr">
        <is>
          <t>1497</t>
        </is>
      </c>
    </row>
    <row r="174">
      <c r="A174" s="4" t="inlineStr">
        <is>
          <t>971</t>
        </is>
      </c>
      <c r="B174" s="4" t="inlineStr">
        <is>
          <t>Our Program Landing Page</t>
        </is>
      </c>
      <c r="C174" s="4" t="inlineStr">
        <is>
          <t>context</t>
        </is>
      </c>
      <c r="D174" s="4" t="inlineStr">
        <is>
          <t>Context</t>
        </is>
      </c>
      <c r="E174" s="4" t="inlineStr">
        <is>
          <t>94</t>
        </is>
      </c>
    </row>
    <row r="175">
      <c r="A175" s="4" t="inlineStr">
        <is>
          <t>934</t>
        </is>
      </c>
      <c r="B175" s="4" t="inlineStr">
        <is>
          <t>Program on Entrepreneurship</t>
        </is>
      </c>
      <c r="C175" s="4" t="inlineStr">
        <is>
          <t>context</t>
        </is>
      </c>
      <c r="D175" s="4" t="inlineStr">
        <is>
          <t>Context</t>
        </is>
      </c>
      <c r="E175" s="4" t="inlineStr">
        <is>
          <t>95</t>
        </is>
      </c>
    </row>
    <row r="176">
      <c r="A176" s="4" t="inlineStr">
        <is>
          <t>955</t>
        </is>
      </c>
      <c r="B176" s="4" t="inlineStr">
        <is>
          <t>Program on Financial Stability</t>
        </is>
      </c>
      <c r="C176" s="4" t="inlineStr">
        <is>
          <t>context</t>
        </is>
      </c>
      <c r="D176" s="4" t="inlineStr">
        <is>
          <t>Context</t>
        </is>
      </c>
      <c r="E176" s="4" t="inlineStr">
        <is>
          <t>95</t>
        </is>
      </c>
    </row>
    <row r="177">
      <c r="A177" s="4" t="inlineStr">
        <is>
          <t>933</t>
        </is>
      </c>
      <c r="B177" s="4" t="inlineStr">
        <is>
          <t>Program on Social Enterprise, Innovation, and Impact</t>
        </is>
      </c>
      <c r="C177" s="4" t="inlineStr">
        <is>
          <t>context</t>
        </is>
      </c>
      <c r="D177" s="4" t="inlineStr">
        <is>
          <t>Context</t>
        </is>
      </c>
      <c r="E177" s="4" t="inlineStr">
        <is>
          <t>95</t>
        </is>
      </c>
    </row>
    <row r="178">
      <c r="A178" s="4" t="inlineStr">
        <is>
          <t>1161</t>
        </is>
      </c>
      <c r="B178" s="4" t="inlineStr">
        <is>
          <t>Program on Stakeholder Innovation and Management</t>
        </is>
      </c>
      <c r="C178" s="4" t="inlineStr">
        <is>
          <t>context</t>
        </is>
      </c>
      <c r="D178" s="4" t="inlineStr">
        <is>
          <t>Context</t>
        </is>
      </c>
      <c r="E178" s="4" t="inlineStr">
        <is>
          <t>95</t>
        </is>
      </c>
    </row>
    <row r="179">
      <c r="A179" s="4" t="inlineStr">
        <is>
          <t>94</t>
        </is>
      </c>
      <c r="B179" s="4" t="inlineStr">
        <is>
          <t>Programs</t>
        </is>
      </c>
      <c r="C179" s="4" t="inlineStr">
        <is>
          <t>context</t>
        </is>
      </c>
      <c r="D179" s="4" t="inlineStr">
        <is>
          <t>Context</t>
        </is>
      </c>
      <c r="E179" s="4" t="inlineStr"/>
    </row>
    <row r="180">
      <c r="A180" s="4" t="inlineStr">
        <is>
          <t>1566</t>
        </is>
      </c>
      <c r="B180" s="4" t="inlineStr">
        <is>
          <t>Recruiting Journeys</t>
        </is>
      </c>
      <c r="C180" s="4" t="inlineStr">
        <is>
          <t>context</t>
        </is>
      </c>
      <c r="D180" s="4" t="inlineStr">
        <is>
          <t>Context</t>
        </is>
      </c>
      <c r="E180" s="4" t="inlineStr"/>
    </row>
    <row r="181">
      <c r="A181" s="4" t="inlineStr">
        <is>
          <t>1571</t>
        </is>
      </c>
      <c r="B181" s="4" t="inlineStr">
        <is>
          <t>Residential master's programs</t>
        </is>
      </c>
      <c r="C181" s="4" t="inlineStr">
        <is>
          <t>context</t>
        </is>
      </c>
      <c r="D181" s="4" t="inlineStr">
        <is>
          <t>Context</t>
        </is>
      </c>
      <c r="E181" s="4" t="inlineStr">
        <is>
          <t>94</t>
        </is>
      </c>
    </row>
    <row r="182">
      <c r="A182" s="4" t="inlineStr">
        <is>
          <t>1358</t>
        </is>
      </c>
      <c r="B182" s="4" t="inlineStr">
        <is>
          <t>Russia</t>
        </is>
      </c>
      <c r="C182" s="4" t="inlineStr">
        <is>
          <t>context</t>
        </is>
      </c>
      <c r="D182" s="4" t="inlineStr">
        <is>
          <t>Context</t>
        </is>
      </c>
      <c r="E182" s="4" t="inlineStr">
        <is>
          <t>1497</t>
        </is>
      </c>
    </row>
    <row r="183">
      <c r="A183" s="4" t="inlineStr">
        <is>
          <t>1497</t>
        </is>
      </c>
      <c r="B183" s="4" t="inlineStr">
        <is>
          <t>Series</t>
        </is>
      </c>
      <c r="C183" s="4" t="inlineStr">
        <is>
          <t>context</t>
        </is>
      </c>
      <c r="D183" s="4" t="inlineStr">
        <is>
          <t>Context</t>
        </is>
      </c>
      <c r="E183" s="4" t="inlineStr"/>
    </row>
    <row r="184">
      <c r="A184" s="4" t="inlineStr">
        <is>
          <t>1499</t>
        </is>
      </c>
      <c r="B184" s="4" t="inlineStr">
        <is>
          <t>Speakers</t>
        </is>
      </c>
      <c r="C184" s="4" t="inlineStr">
        <is>
          <t>context</t>
        </is>
      </c>
      <c r="D184" s="4" t="inlineStr">
        <is>
          <t>Context</t>
        </is>
      </c>
      <c r="E184" s="4" t="inlineStr">
        <is>
          <t>1497</t>
        </is>
      </c>
    </row>
    <row r="185">
      <c r="A185" s="4" t="inlineStr">
        <is>
          <t>1166</t>
        </is>
      </c>
      <c r="B185" s="4" t="inlineStr">
        <is>
          <t>Startup Stories</t>
        </is>
      </c>
      <c r="C185" s="4" t="inlineStr">
        <is>
          <t>context</t>
        </is>
      </c>
      <c r="D185" s="4" t="inlineStr">
        <is>
          <t>Context</t>
        </is>
      </c>
      <c r="E185" s="4" t="inlineStr">
        <is>
          <t>1497</t>
        </is>
      </c>
    </row>
    <row r="186">
      <c r="A186" s="4" t="inlineStr">
        <is>
          <t>125</t>
        </is>
      </c>
      <c r="B186" s="4" t="inlineStr">
        <is>
          <t>Student Life</t>
        </is>
      </c>
      <c r="C186" s="4" t="inlineStr">
        <is>
          <t>context</t>
        </is>
      </c>
      <c r="D186" s="4" t="inlineStr">
        <is>
          <t>Context</t>
        </is>
      </c>
      <c r="E186" s="4" t="inlineStr">
        <is>
          <t>1497</t>
        </is>
      </c>
    </row>
    <row r="187">
      <c r="A187" s="4" t="inlineStr">
        <is>
          <t>1460</t>
        </is>
      </c>
      <c r="B187" s="4" t="inlineStr">
        <is>
          <t>Student POV</t>
        </is>
      </c>
      <c r="C187" s="4" t="inlineStr">
        <is>
          <t>context</t>
        </is>
      </c>
      <c r="D187" s="4" t="inlineStr">
        <is>
          <t>Context</t>
        </is>
      </c>
      <c r="E187" s="4" t="inlineStr">
        <is>
          <t>1497</t>
        </is>
      </c>
    </row>
    <row r="188">
      <c r="A188" s="4" t="inlineStr">
        <is>
          <t>1174</t>
        </is>
      </c>
      <c r="B188" s="4" t="inlineStr">
        <is>
          <t>Swensen Asset Management Institute</t>
        </is>
      </c>
      <c r="C188" s="4" t="inlineStr">
        <is>
          <t>context</t>
        </is>
      </c>
      <c r="D188" s="4" t="inlineStr">
        <is>
          <t>Context</t>
        </is>
      </c>
      <c r="E188" s="4" t="inlineStr">
        <is>
          <t>95</t>
        </is>
      </c>
    </row>
    <row r="189">
      <c r="A189" s="4" t="inlineStr">
        <is>
          <t>926</t>
        </is>
      </c>
      <c r="B189" s="4" t="inlineStr">
        <is>
          <t>The Broad Center</t>
        </is>
      </c>
      <c r="C189" s="4" t="inlineStr">
        <is>
          <t>context</t>
        </is>
      </c>
      <c r="D189" s="4" t="inlineStr">
        <is>
          <t>Context</t>
        </is>
      </c>
      <c r="E189" s="4" t="inlineStr">
        <is>
          <t>95</t>
        </is>
      </c>
    </row>
    <row r="190">
      <c r="A190" s="4" t="inlineStr">
        <is>
          <t>1738</t>
        </is>
      </c>
      <c r="B190" s="4" t="inlineStr">
        <is>
          <t>Y-SIM Community Insights</t>
        </is>
      </c>
      <c r="C190" s="4" t="inlineStr">
        <is>
          <t>context</t>
        </is>
      </c>
      <c r="D190" s="4" t="inlineStr">
        <is>
          <t>Context</t>
        </is>
      </c>
      <c r="E190" s="4" t="inlineStr"/>
    </row>
    <row r="191">
      <c r="A191" s="4" t="inlineStr">
        <is>
          <t>1766</t>
        </is>
      </c>
      <c r="B191" s="4" t="inlineStr">
        <is>
          <t>Y-SIM Media</t>
        </is>
      </c>
      <c r="C191" s="4" t="inlineStr">
        <is>
          <t>context</t>
        </is>
      </c>
      <c r="D191" s="4" t="inlineStr">
        <is>
          <t>Context</t>
        </is>
      </c>
      <c r="E191" s="4" t="inlineStr"/>
    </row>
    <row r="192">
      <c r="A192" s="4" t="inlineStr">
        <is>
          <t>968</t>
        </is>
      </c>
      <c r="B192" s="4" t="inlineStr">
        <is>
          <t>Yale Global Executive Leadership Program</t>
        </is>
      </c>
      <c r="C192" s="4" t="inlineStr">
        <is>
          <t>context</t>
        </is>
      </c>
      <c r="D192" s="4" t="inlineStr">
        <is>
          <t>Context</t>
        </is>
      </c>
      <c r="E192" s="4" t="inlineStr">
        <is>
          <t>94</t>
        </is>
      </c>
    </row>
    <row r="193">
      <c r="A193" s="4" t="inlineStr">
        <is>
          <t>972</t>
        </is>
      </c>
      <c r="B193" s="4" t="inlineStr">
        <is>
          <t>Yale SOM Healthcare Initiative</t>
        </is>
      </c>
      <c r="C193" s="4" t="inlineStr">
        <is>
          <t>context</t>
        </is>
      </c>
      <c r="D193" s="4" t="inlineStr">
        <is>
          <t>Context</t>
        </is>
      </c>
      <c r="E193" s="4" t="inlineStr">
        <is>
          <t>94</t>
        </is>
      </c>
    </row>
    <row r="194">
      <c r="A194" s="4" t="inlineStr">
        <is>
          <t>927</t>
        </is>
      </c>
      <c r="B194" s="4" t="inlineStr">
        <is>
          <t>Yale Women</t>
        </is>
      </c>
      <c r="C194" s="4" t="inlineStr">
        <is>
          <t>context</t>
        </is>
      </c>
      <c r="D194" s="4" t="inlineStr">
        <is>
          <t>Context</t>
        </is>
      </c>
      <c r="E194" s="4" t="inlineStr">
        <is>
          <t>1497</t>
        </is>
      </c>
    </row>
    <row r="195">
      <c r="A195" s="4" t="inlineStr">
        <is>
          <t>1159</t>
        </is>
      </c>
      <c r="B195" s="4" t="inlineStr">
        <is>
          <t>YCCI Learning from Leaders</t>
        </is>
      </c>
      <c r="C195" s="4" t="inlineStr">
        <is>
          <t>context</t>
        </is>
      </c>
      <c r="D195" s="4" t="inlineStr">
        <is>
          <t>Context</t>
        </is>
      </c>
      <c r="E195" s="4" t="inlineStr">
        <is>
          <t>1497</t>
        </is>
      </c>
    </row>
    <row r="196">
      <c r="A196" s="4" t="inlineStr">
        <is>
          <t>1199</t>
        </is>
      </c>
      <c r="B196" s="4" t="inlineStr">
        <is>
          <t>Announcements</t>
        </is>
      </c>
      <c r="C196" s="4" t="inlineStr">
        <is>
          <t>enews_announcement_type</t>
        </is>
      </c>
      <c r="D196" s="4" t="inlineStr">
        <is>
          <t>eNews Announcement Type</t>
        </is>
      </c>
      <c r="E196" s="4" t="inlineStr"/>
    </row>
    <row r="197">
      <c r="A197" s="4" t="inlineStr">
        <is>
          <t>1204</t>
        </is>
      </c>
      <c r="B197" s="4" t="inlineStr">
        <is>
          <t>Events around Yale</t>
        </is>
      </c>
      <c r="C197" s="4" t="inlineStr">
        <is>
          <t>enews_announcement_type</t>
        </is>
      </c>
      <c r="D197" s="4" t="inlineStr">
        <is>
          <t>eNews Announcement Type</t>
        </is>
      </c>
      <c r="E197" s="4" t="inlineStr"/>
    </row>
    <row r="198">
      <c r="A198" s="4" t="inlineStr">
        <is>
          <t>1198</t>
        </is>
      </c>
      <c r="B198" s="4" t="inlineStr">
        <is>
          <t>Events at SOM</t>
        </is>
      </c>
      <c r="C198" s="4" t="inlineStr">
        <is>
          <t>enews_announcement_type</t>
        </is>
      </c>
      <c r="D198" s="4" t="inlineStr">
        <is>
          <t>eNews Announcement Type</t>
        </is>
      </c>
      <c r="E198" s="4" t="inlineStr"/>
    </row>
    <row r="199">
      <c r="A199" s="4" t="inlineStr">
        <is>
          <t>1195</t>
        </is>
      </c>
      <c r="B199" s="4" t="inlineStr">
        <is>
          <t>Doctoral</t>
        </is>
      </c>
      <c r="C199" s="4" t="inlineStr">
        <is>
          <t>enews_audience</t>
        </is>
      </c>
      <c r="D199" s="4" t="inlineStr">
        <is>
          <t>eNews Audience</t>
        </is>
      </c>
      <c r="E199" s="4" t="inlineStr"/>
    </row>
    <row r="200">
      <c r="A200" s="4" t="inlineStr">
        <is>
          <t>1196</t>
        </is>
      </c>
      <c r="B200" s="4" t="inlineStr">
        <is>
          <t>EMBA</t>
        </is>
      </c>
      <c r="C200" s="4" t="inlineStr">
        <is>
          <t>enews_audience</t>
        </is>
      </c>
      <c r="D200" s="4" t="inlineStr">
        <is>
          <t>eNews Audience</t>
        </is>
      </c>
      <c r="E200" s="4" t="inlineStr"/>
    </row>
    <row r="201">
      <c r="A201" s="4" t="inlineStr">
        <is>
          <t>1197</t>
        </is>
      </c>
      <c r="B201" s="4" t="inlineStr">
        <is>
          <t>Faculty &amp; Staff</t>
        </is>
      </c>
      <c r="C201" s="4" t="inlineStr">
        <is>
          <t>enews_audience</t>
        </is>
      </c>
      <c r="D201" s="4" t="inlineStr">
        <is>
          <t>eNews Audience</t>
        </is>
      </c>
      <c r="E201" s="4" t="inlineStr"/>
    </row>
    <row r="202">
      <c r="A202" s="4" t="inlineStr">
        <is>
          <t>1192</t>
        </is>
      </c>
      <c r="B202" s="4" t="inlineStr">
        <is>
          <t>MAM / MMS-AM / MMS-GBS / MMS-SR / MMS-TM</t>
        </is>
      </c>
      <c r="C202" s="4" t="inlineStr">
        <is>
          <t>enews_audience</t>
        </is>
      </c>
      <c r="D202" s="4" t="inlineStr">
        <is>
          <t>eNews Audience</t>
        </is>
      </c>
      <c r="E202" s="4" t="inlineStr"/>
    </row>
    <row r="203">
      <c r="A203" s="4" t="inlineStr">
        <is>
          <t>1190</t>
        </is>
      </c>
      <c r="B203" s="4" t="inlineStr">
        <is>
          <t>MBA 1st yr / PH-HCMP 1st yr</t>
        </is>
      </c>
      <c r="C203" s="4" t="inlineStr">
        <is>
          <t>enews_audience</t>
        </is>
      </c>
      <c r="D203" s="4" t="inlineStr">
        <is>
          <t>eNews Audience</t>
        </is>
      </c>
      <c r="E203" s="4" t="inlineStr"/>
    </row>
    <row r="204">
      <c r="A204" s="4" t="inlineStr">
        <is>
          <t>1191</t>
        </is>
      </c>
      <c r="B204" s="4" t="inlineStr">
        <is>
          <t>MBA 2nd yr / PH-HCMP 2nd yr</t>
        </is>
      </c>
      <c r="C204" s="4" t="inlineStr">
        <is>
          <t>enews_audience</t>
        </is>
      </c>
      <c r="D204" s="4" t="inlineStr">
        <is>
          <t>eNews Audience</t>
        </is>
      </c>
      <c r="E204" s="4" t="inlineStr"/>
    </row>
    <row r="205">
      <c r="A205" s="4" t="inlineStr">
        <is>
          <t>990</t>
        </is>
      </c>
      <c r="B205" s="4" t="inlineStr">
        <is>
          <t>All</t>
        </is>
      </c>
      <c r="C205" s="4" t="inlineStr">
        <is>
          <t>event_context</t>
        </is>
      </c>
      <c r="D205" s="4" t="inlineStr">
        <is>
          <t>Event Context</t>
        </is>
      </c>
      <c r="E205" s="4" t="inlineStr"/>
    </row>
    <row r="206">
      <c r="A206" s="4" t="inlineStr">
        <is>
          <t>991</t>
        </is>
      </c>
      <c r="B206" s="4" t="inlineStr">
        <is>
          <t>MBA</t>
        </is>
      </c>
      <c r="C206" s="4" t="inlineStr">
        <is>
          <t>event_context</t>
        </is>
      </c>
      <c r="D206" s="4" t="inlineStr">
        <is>
          <t>Event Context</t>
        </is>
      </c>
      <c r="E206" s="4" t="inlineStr">
        <is>
          <t>989</t>
        </is>
      </c>
    </row>
    <row r="207">
      <c r="A207" s="4" t="inlineStr">
        <is>
          <t>989</t>
        </is>
      </c>
      <c r="B207" s="4" t="inlineStr">
        <is>
          <t>Program</t>
        </is>
      </c>
      <c r="C207" s="4" t="inlineStr">
        <is>
          <t>event_context</t>
        </is>
      </c>
      <c r="D207" s="4" t="inlineStr">
        <is>
          <t>Event Context</t>
        </is>
      </c>
      <c r="E207" s="4" t="inlineStr">
        <is>
          <t>990</t>
        </is>
      </c>
    </row>
    <row r="208">
      <c r="A208" s="4" t="inlineStr">
        <is>
          <t>1032</t>
        </is>
      </c>
      <c r="B208" s="4" t="inlineStr">
        <is>
          <t>Africa</t>
        </is>
      </c>
      <c r="C208" s="4" t="inlineStr">
        <is>
          <t>event_location</t>
        </is>
      </c>
      <c r="D208" s="4" t="inlineStr">
        <is>
          <t>Event Location</t>
        </is>
      </c>
      <c r="E208" s="4" t="inlineStr"/>
    </row>
    <row r="209">
      <c r="A209" s="4" t="inlineStr">
        <is>
          <t>1033</t>
        </is>
      </c>
      <c r="B209" s="4" t="inlineStr">
        <is>
          <t>Asia Pacific</t>
        </is>
      </c>
      <c r="C209" s="4" t="inlineStr">
        <is>
          <t>event_location</t>
        </is>
      </c>
      <c r="D209" s="4" t="inlineStr">
        <is>
          <t>Event Location</t>
        </is>
      </c>
      <c r="E209" s="4" t="inlineStr"/>
    </row>
    <row r="210">
      <c r="A210" s="4" t="inlineStr">
        <is>
          <t>1034</t>
        </is>
      </c>
      <c r="B210" s="4" t="inlineStr">
        <is>
          <t>Australia</t>
        </is>
      </c>
      <c r="C210" s="4" t="inlineStr">
        <is>
          <t>event_location</t>
        </is>
      </c>
      <c r="D210" s="4" t="inlineStr">
        <is>
          <t>Event Location</t>
        </is>
      </c>
      <c r="E210" s="4" t="inlineStr"/>
    </row>
    <row r="211">
      <c r="A211" s="4" t="inlineStr">
        <is>
          <t>1039</t>
        </is>
      </c>
      <c r="B211" s="4" t="inlineStr">
        <is>
          <t>Canada</t>
        </is>
      </c>
      <c r="C211" s="4" t="inlineStr">
        <is>
          <t>event_location</t>
        </is>
      </c>
      <c r="D211" s="4" t="inlineStr">
        <is>
          <t>Event Location</t>
        </is>
      </c>
      <c r="E211" s="4" t="inlineStr">
        <is>
          <t>1038</t>
        </is>
      </c>
    </row>
    <row r="212">
      <c r="A212" s="4" t="inlineStr">
        <is>
          <t>1036</t>
        </is>
      </c>
      <c r="B212" s="4" t="inlineStr">
        <is>
          <t>Central America &amp; The Caribbean</t>
        </is>
      </c>
      <c r="C212" s="4" t="inlineStr">
        <is>
          <t>event_location</t>
        </is>
      </c>
      <c r="D212" s="4" t="inlineStr">
        <is>
          <t>Event Location</t>
        </is>
      </c>
      <c r="E212" s="4" t="inlineStr"/>
    </row>
    <row r="213">
      <c r="A213" s="4" t="inlineStr">
        <is>
          <t>390</t>
        </is>
      </c>
      <c r="B213" s="4" t="inlineStr">
        <is>
          <t>Edward P. Evans Hall</t>
        </is>
      </c>
      <c r="C213" s="4" t="inlineStr">
        <is>
          <t>event_location</t>
        </is>
      </c>
      <c r="D213" s="4" t="inlineStr">
        <is>
          <t>Event Location</t>
        </is>
      </c>
      <c r="E213" s="4" t="inlineStr">
        <is>
          <t>1040</t>
        </is>
      </c>
    </row>
    <row r="214">
      <c r="A214" s="4" t="inlineStr">
        <is>
          <t>1035</t>
        </is>
      </c>
      <c r="B214" s="4" t="inlineStr">
        <is>
          <t>Europe</t>
        </is>
      </c>
      <c r="C214" s="4" t="inlineStr">
        <is>
          <t>event_location</t>
        </is>
      </c>
      <c r="D214" s="4" t="inlineStr">
        <is>
          <t>Event Location</t>
        </is>
      </c>
      <c r="E214" s="4" t="inlineStr"/>
    </row>
    <row r="215">
      <c r="A215" s="4" t="inlineStr">
        <is>
          <t>1124</t>
        </is>
      </c>
      <c r="B215" s="4" t="inlineStr">
        <is>
          <t>Indonesia</t>
        </is>
      </c>
      <c r="C215" s="4" t="inlineStr">
        <is>
          <t>event_location</t>
        </is>
      </c>
      <c r="D215" s="4" t="inlineStr">
        <is>
          <t>Event Location</t>
        </is>
      </c>
      <c r="E215" s="4" t="inlineStr"/>
    </row>
    <row r="216">
      <c r="A216" s="4" t="inlineStr">
        <is>
          <t>1043</t>
        </is>
      </c>
      <c r="B216" s="4" t="inlineStr">
        <is>
          <t>Mexico</t>
        </is>
      </c>
      <c r="C216" s="4" t="inlineStr">
        <is>
          <t>event_location</t>
        </is>
      </c>
      <c r="D216" s="4" t="inlineStr">
        <is>
          <t>Event Location</t>
        </is>
      </c>
      <c r="E216" s="4" t="inlineStr">
        <is>
          <t>1038</t>
        </is>
      </c>
    </row>
    <row r="217">
      <c r="A217" s="4" t="inlineStr">
        <is>
          <t>1037</t>
        </is>
      </c>
      <c r="B217" s="4" t="inlineStr">
        <is>
          <t>Middle East</t>
        </is>
      </c>
      <c r="C217" s="4" t="inlineStr">
        <is>
          <t>event_location</t>
        </is>
      </c>
      <c r="D217" s="4" t="inlineStr">
        <is>
          <t>Event Location</t>
        </is>
      </c>
      <c r="E217" s="4" t="inlineStr"/>
    </row>
    <row r="218">
      <c r="A218" s="4" t="inlineStr">
        <is>
          <t>1042</t>
        </is>
      </c>
      <c r="B218" s="4" t="inlineStr">
        <is>
          <t>Midwest</t>
        </is>
      </c>
      <c r="C218" s="4" t="inlineStr">
        <is>
          <t>event_location</t>
        </is>
      </c>
      <c r="D218" s="4" t="inlineStr">
        <is>
          <t>Event Location</t>
        </is>
      </c>
      <c r="E218" s="4" t="inlineStr">
        <is>
          <t>1038</t>
        </is>
      </c>
    </row>
    <row r="219">
      <c r="A219" s="4" t="inlineStr">
        <is>
          <t>1038</t>
        </is>
      </c>
      <c r="B219" s="4" t="inlineStr">
        <is>
          <t>North America</t>
        </is>
      </c>
      <c r="C219" s="4" t="inlineStr">
        <is>
          <t>event_location</t>
        </is>
      </c>
      <c r="D219" s="4" t="inlineStr">
        <is>
          <t>Event Location</t>
        </is>
      </c>
      <c r="E219" s="4" t="inlineStr"/>
    </row>
    <row r="220">
      <c r="A220" s="4" t="inlineStr">
        <is>
          <t>1040</t>
        </is>
      </c>
      <c r="B220" s="4" t="inlineStr">
        <is>
          <t>Northeast</t>
        </is>
      </c>
      <c r="C220" s="4" t="inlineStr">
        <is>
          <t>event_location</t>
        </is>
      </c>
      <c r="D220" s="4" t="inlineStr">
        <is>
          <t>Event Location</t>
        </is>
      </c>
      <c r="E220" s="4" t="inlineStr">
        <is>
          <t>1038</t>
        </is>
      </c>
    </row>
    <row r="221">
      <c r="A221" s="4" t="inlineStr">
        <is>
          <t>1041</t>
        </is>
      </c>
      <c r="B221" s="4" t="inlineStr">
        <is>
          <t>South</t>
        </is>
      </c>
      <c r="C221" s="4" t="inlineStr">
        <is>
          <t>event_location</t>
        </is>
      </c>
      <c r="D221" s="4" t="inlineStr">
        <is>
          <t>Event Location</t>
        </is>
      </c>
      <c r="E221" s="4" t="inlineStr">
        <is>
          <t>1038</t>
        </is>
      </c>
    </row>
    <row r="222">
      <c r="A222" s="4" t="inlineStr">
        <is>
          <t>1045</t>
        </is>
      </c>
      <c r="B222" s="4" t="inlineStr">
        <is>
          <t>South America</t>
        </is>
      </c>
      <c r="C222" s="4" t="inlineStr">
        <is>
          <t>event_location</t>
        </is>
      </c>
      <c r="D222" s="4" t="inlineStr">
        <is>
          <t>Event Location</t>
        </is>
      </c>
      <c r="E222" s="4" t="inlineStr"/>
    </row>
    <row r="223">
      <c r="A223" s="4" t="inlineStr">
        <is>
          <t>1044</t>
        </is>
      </c>
      <c r="B223" s="4" t="inlineStr">
        <is>
          <t>West</t>
        </is>
      </c>
      <c r="C223" s="4" t="inlineStr">
        <is>
          <t>event_location</t>
        </is>
      </c>
      <c r="D223" s="4" t="inlineStr">
        <is>
          <t>Event Location</t>
        </is>
      </c>
      <c r="E223" s="4" t="inlineStr">
        <is>
          <t>1038</t>
        </is>
      </c>
    </row>
    <row r="224">
      <c r="A224" s="4" t="inlineStr">
        <is>
          <t>345</t>
        </is>
      </c>
      <c r="B224" s="4" t="inlineStr">
        <is>
          <t>Yale School of Management</t>
        </is>
      </c>
      <c r="C224" s="4" t="inlineStr">
        <is>
          <t>event_location</t>
        </is>
      </c>
      <c r="D224" s="4" t="inlineStr">
        <is>
          <t>Event Location</t>
        </is>
      </c>
      <c r="E224" s="4" t="inlineStr">
        <is>
          <t>1040</t>
        </is>
      </c>
    </row>
    <row r="225">
      <c r="A225" s="4" t="inlineStr">
        <is>
          <t>994</t>
        </is>
      </c>
      <c r="B225" s="4" t="inlineStr">
        <is>
          <t>Admissions Events</t>
        </is>
      </c>
      <c r="C225" s="4" t="inlineStr">
        <is>
          <t>event_type</t>
        </is>
      </c>
      <c r="D225" s="4" t="inlineStr">
        <is>
          <t>Event Type</t>
        </is>
      </c>
      <c r="E225" s="4" t="inlineStr"/>
    </row>
    <row r="226">
      <c r="A226" s="4" t="inlineStr">
        <is>
          <t>1206</t>
        </is>
      </c>
      <c r="B226" s="4" t="inlineStr">
        <is>
          <t>Admissions Officer-hosted Event</t>
        </is>
      </c>
      <c r="C226" s="4" t="inlineStr">
        <is>
          <t>event_type</t>
        </is>
      </c>
      <c r="D226" s="4" t="inlineStr">
        <is>
          <t>Event Type</t>
        </is>
      </c>
      <c r="E226" s="4" t="inlineStr">
        <is>
          <t>994</t>
        </is>
      </c>
    </row>
    <row r="227">
      <c r="A227" s="4" t="inlineStr">
        <is>
          <t>997</t>
        </is>
      </c>
      <c r="B227" s="4" t="inlineStr">
        <is>
          <t>Admissions Panels</t>
        </is>
      </c>
      <c r="C227" s="4" t="inlineStr">
        <is>
          <t>event_type</t>
        </is>
      </c>
      <c r="D227" s="4" t="inlineStr">
        <is>
          <t>Event Type</t>
        </is>
      </c>
      <c r="E227" s="4" t="inlineStr">
        <is>
          <t>994</t>
        </is>
      </c>
    </row>
    <row r="228">
      <c r="A228" s="4" t="inlineStr">
        <is>
          <t>995</t>
        </is>
      </c>
      <c r="B228" s="4" t="inlineStr">
        <is>
          <t>Admissions Q&amp;A</t>
        </is>
      </c>
      <c r="C228" s="4" t="inlineStr">
        <is>
          <t>event_type</t>
        </is>
      </c>
      <c r="D228" s="4" t="inlineStr">
        <is>
          <t>Event Type</t>
        </is>
      </c>
      <c r="E228" s="4" t="inlineStr">
        <is>
          <t>994</t>
        </is>
      </c>
    </row>
    <row r="229">
      <c r="A229" s="4" t="inlineStr">
        <is>
          <t>1020</t>
        </is>
      </c>
      <c r="B229" s="4" t="inlineStr">
        <is>
          <t>Africa</t>
        </is>
      </c>
      <c r="C229" s="4" t="inlineStr">
        <is>
          <t>event_type</t>
        </is>
      </c>
      <c r="D229" s="4" t="inlineStr">
        <is>
          <t>Event Type</t>
        </is>
      </c>
      <c r="E229" s="4" t="inlineStr">
        <is>
          <t>994</t>
        </is>
      </c>
    </row>
    <row r="230">
      <c r="A230" s="4" t="inlineStr">
        <is>
          <t>318</t>
        </is>
      </c>
      <c r="B230" s="4" t="inlineStr">
        <is>
          <t>Alumni</t>
        </is>
      </c>
      <c r="C230" s="4" t="inlineStr">
        <is>
          <t>event_type</t>
        </is>
      </c>
      <c r="D230" s="4" t="inlineStr">
        <is>
          <t>Event Type</t>
        </is>
      </c>
      <c r="E230" s="4" t="inlineStr">
        <is>
          <t>994</t>
        </is>
      </c>
    </row>
    <row r="231">
      <c r="A231" s="4" t="inlineStr">
        <is>
          <t>996</t>
        </is>
      </c>
      <c r="B231" s="4" t="inlineStr">
        <is>
          <t>Asia Pacific</t>
        </is>
      </c>
      <c r="C231" s="4" t="inlineStr">
        <is>
          <t>event_type</t>
        </is>
      </c>
      <c r="D231" s="4" t="inlineStr">
        <is>
          <t>Event Type</t>
        </is>
      </c>
      <c r="E231" s="4" t="inlineStr">
        <is>
          <t>994</t>
        </is>
      </c>
    </row>
    <row r="232">
      <c r="A232" s="4" t="inlineStr">
        <is>
          <t>1021</t>
        </is>
      </c>
      <c r="B232" s="4" t="inlineStr">
        <is>
          <t>Australia</t>
        </is>
      </c>
      <c r="C232" s="4" t="inlineStr">
        <is>
          <t>event_type</t>
        </is>
      </c>
      <c r="D232" s="4" t="inlineStr">
        <is>
          <t>Event Type</t>
        </is>
      </c>
      <c r="E232" s="4" t="inlineStr">
        <is>
          <t>994</t>
        </is>
      </c>
    </row>
    <row r="233">
      <c r="A233" s="4" t="inlineStr">
        <is>
          <t>1149</t>
        </is>
      </c>
      <c r="B233" s="4" t="inlineStr">
        <is>
          <t>Campus Visit</t>
        </is>
      </c>
      <c r="C233" s="4" t="inlineStr">
        <is>
          <t>event_type</t>
        </is>
      </c>
      <c r="D233" s="4" t="inlineStr">
        <is>
          <t>Event Type</t>
        </is>
      </c>
      <c r="E233" s="4" t="inlineStr">
        <is>
          <t>994</t>
        </is>
      </c>
    </row>
    <row r="234">
      <c r="A234" s="4" t="inlineStr">
        <is>
          <t>1010</t>
        </is>
      </c>
      <c r="B234" s="4" t="inlineStr">
        <is>
          <t>Canada</t>
        </is>
      </c>
      <c r="C234" s="4" t="inlineStr">
        <is>
          <t>event_type</t>
        </is>
      </c>
      <c r="D234" s="4" t="inlineStr">
        <is>
          <t>Event Type</t>
        </is>
      </c>
      <c r="E234" s="4" t="inlineStr">
        <is>
          <t>994</t>
        </is>
      </c>
    </row>
    <row r="235">
      <c r="A235" s="4" t="inlineStr">
        <is>
          <t>1013</t>
        </is>
      </c>
      <c r="B235" s="4" t="inlineStr">
        <is>
          <t>Central America &amp; The Caribbean</t>
        </is>
      </c>
      <c r="C235" s="4" t="inlineStr">
        <is>
          <t>event_type</t>
        </is>
      </c>
      <c r="D235" s="4" t="inlineStr">
        <is>
          <t>Event Type</t>
        </is>
      </c>
      <c r="E235" s="4" t="inlineStr">
        <is>
          <t>994</t>
        </is>
      </c>
    </row>
    <row r="236">
      <c r="A236" s="4" t="inlineStr">
        <is>
          <t>341</t>
        </is>
      </c>
      <c r="B236" s="4" t="inlineStr">
        <is>
          <t>Colloquia</t>
        </is>
      </c>
      <c r="C236" s="4" t="inlineStr">
        <is>
          <t>event_type</t>
        </is>
      </c>
      <c r="D236" s="4" t="inlineStr">
        <is>
          <t>Event Type</t>
        </is>
      </c>
      <c r="E236" s="4" t="inlineStr">
        <is>
          <t>994</t>
        </is>
      </c>
    </row>
    <row r="237">
      <c r="A237" s="4" t="inlineStr">
        <is>
          <t>330</t>
        </is>
      </c>
      <c r="B237" s="4" t="inlineStr">
        <is>
          <t>Conferences</t>
        </is>
      </c>
      <c r="C237" s="4" t="inlineStr">
        <is>
          <t>event_type</t>
        </is>
      </c>
      <c r="D237" s="4" t="inlineStr">
        <is>
          <t>Event Type</t>
        </is>
      </c>
      <c r="E237" s="4" t="inlineStr">
        <is>
          <t>994</t>
        </is>
      </c>
    </row>
    <row r="238">
      <c r="A238" s="4" t="inlineStr">
        <is>
          <t>366</t>
        </is>
      </c>
      <c r="B238" s="4" t="inlineStr">
        <is>
          <t>Convening Yale</t>
        </is>
      </c>
      <c r="C238" s="4" t="inlineStr">
        <is>
          <t>event_type</t>
        </is>
      </c>
      <c r="D238" s="4" t="inlineStr">
        <is>
          <t>Event Type</t>
        </is>
      </c>
      <c r="E238" s="4" t="inlineStr">
        <is>
          <t>994</t>
        </is>
      </c>
    </row>
    <row r="239">
      <c r="A239" s="4" t="inlineStr">
        <is>
          <t>1208</t>
        </is>
      </c>
      <c r="B239" s="4" t="inlineStr">
        <is>
          <t>Current College Seniors</t>
        </is>
      </c>
      <c r="C239" s="4" t="inlineStr">
        <is>
          <t>event_type</t>
        </is>
      </c>
      <c r="D239" s="4" t="inlineStr">
        <is>
          <t>Event Type</t>
        </is>
      </c>
      <c r="E239" s="4" t="inlineStr">
        <is>
          <t>994</t>
        </is>
      </c>
    </row>
    <row r="240">
      <c r="A240" s="4" t="inlineStr">
        <is>
          <t>998</t>
        </is>
      </c>
      <c r="B240" s="4" t="inlineStr">
        <is>
          <t>Current College Students</t>
        </is>
      </c>
      <c r="C240" s="4" t="inlineStr">
        <is>
          <t>event_type</t>
        </is>
      </c>
      <c r="D240" s="4" t="inlineStr">
        <is>
          <t>Event Type</t>
        </is>
      </c>
      <c r="E240" s="4" t="inlineStr">
        <is>
          <t>994</t>
        </is>
      </c>
    </row>
    <row r="241">
      <c r="A241" s="4" t="inlineStr">
        <is>
          <t>889</t>
        </is>
      </c>
      <c r="B241" s="4" t="inlineStr">
        <is>
          <t>Diversity</t>
        </is>
      </c>
      <c r="C241" s="4" t="inlineStr">
        <is>
          <t>event_type</t>
        </is>
      </c>
      <c r="D241" s="4" t="inlineStr">
        <is>
          <t>Event Type</t>
        </is>
      </c>
      <c r="E241" s="4" t="inlineStr">
        <is>
          <t>994</t>
        </is>
      </c>
    </row>
    <row r="242">
      <c r="A242" s="4" t="inlineStr">
        <is>
          <t>999</t>
        </is>
      </c>
      <c r="B242" s="4" t="inlineStr">
        <is>
          <t>Diversity Events</t>
        </is>
      </c>
      <c r="C242" s="4" t="inlineStr">
        <is>
          <t>event_type</t>
        </is>
      </c>
      <c r="D242" s="4" t="inlineStr">
        <is>
          <t>Event Type</t>
        </is>
      </c>
      <c r="E242" s="4" t="inlineStr">
        <is>
          <t>994</t>
        </is>
      </c>
    </row>
    <row r="243">
      <c r="A243" s="4" t="inlineStr">
        <is>
          <t>362</t>
        </is>
      </c>
      <c r="B243" s="4" t="inlineStr">
        <is>
          <t>Economics</t>
        </is>
      </c>
      <c r="C243" s="4" t="inlineStr">
        <is>
          <t>event_type</t>
        </is>
      </c>
      <c r="D243" s="4" t="inlineStr">
        <is>
          <t>Event Type</t>
        </is>
      </c>
      <c r="E243" s="4" t="inlineStr">
        <is>
          <t>994</t>
        </is>
      </c>
    </row>
    <row r="244">
      <c r="A244" s="4" t="inlineStr">
        <is>
          <t>365</t>
        </is>
      </c>
      <c r="B244" s="4" t="inlineStr">
        <is>
          <t>Education</t>
        </is>
      </c>
      <c r="C244" s="4" t="inlineStr">
        <is>
          <t>event_type</t>
        </is>
      </c>
      <c r="D244" s="4" t="inlineStr">
        <is>
          <t>Event Type</t>
        </is>
      </c>
      <c r="E244" s="4" t="inlineStr">
        <is>
          <t>994</t>
        </is>
      </c>
    </row>
    <row r="245">
      <c r="A245" s="4" t="inlineStr">
        <is>
          <t>1003</t>
        </is>
      </c>
      <c r="B245" s="4" t="inlineStr">
        <is>
          <t>Europe</t>
        </is>
      </c>
      <c r="C245" s="4" t="inlineStr">
        <is>
          <t>event_type</t>
        </is>
      </c>
      <c r="D245" s="4" t="inlineStr">
        <is>
          <t>Event Type</t>
        </is>
      </c>
      <c r="E245" s="4" t="inlineStr">
        <is>
          <t>994</t>
        </is>
      </c>
    </row>
    <row r="246">
      <c r="A246" s="4" t="inlineStr">
        <is>
          <t>354</t>
        </is>
      </c>
      <c r="B246" s="4" t="inlineStr">
        <is>
          <t>Executive Education</t>
        </is>
      </c>
      <c r="C246" s="4" t="inlineStr">
        <is>
          <t>event_type</t>
        </is>
      </c>
      <c r="D246" s="4" t="inlineStr">
        <is>
          <t>Event Type</t>
        </is>
      </c>
      <c r="E246" s="4" t="inlineStr">
        <is>
          <t>994</t>
        </is>
      </c>
    </row>
    <row r="247">
      <c r="A247" s="4" t="inlineStr">
        <is>
          <t>1018</t>
        </is>
      </c>
      <c r="B247" s="4" t="inlineStr">
        <is>
          <t>Faculty</t>
        </is>
      </c>
      <c r="C247" s="4" t="inlineStr">
        <is>
          <t>event_type</t>
        </is>
      </c>
      <c r="D247" s="4" t="inlineStr">
        <is>
          <t>Event Type</t>
        </is>
      </c>
      <c r="E247" s="4" t="inlineStr">
        <is>
          <t>994</t>
        </is>
      </c>
    </row>
    <row r="248">
      <c r="A248" s="4" t="inlineStr">
        <is>
          <t>1004</t>
        </is>
      </c>
      <c r="B248" s="4" t="inlineStr">
        <is>
          <t>Faculty Events</t>
        </is>
      </c>
      <c r="C248" s="4" t="inlineStr">
        <is>
          <t>event_type</t>
        </is>
      </c>
      <c r="D248" s="4" t="inlineStr">
        <is>
          <t>Event Type</t>
        </is>
      </c>
      <c r="E248" s="4" t="inlineStr">
        <is>
          <t>994</t>
        </is>
      </c>
    </row>
    <row r="249">
      <c r="A249" s="4" t="inlineStr">
        <is>
          <t>593</t>
        </is>
      </c>
      <c r="B249" s="4" t="inlineStr">
        <is>
          <t>Finance</t>
        </is>
      </c>
      <c r="C249" s="4" t="inlineStr">
        <is>
          <t>event_type</t>
        </is>
      </c>
      <c r="D249" s="4" t="inlineStr">
        <is>
          <t>Event Type</t>
        </is>
      </c>
      <c r="E249" s="4" t="inlineStr">
        <is>
          <t>994</t>
        </is>
      </c>
    </row>
    <row r="250">
      <c r="A250" s="4" t="inlineStr">
        <is>
          <t>816</t>
        </is>
      </c>
      <c r="B250" s="4" t="inlineStr">
        <is>
          <t>Global Network</t>
        </is>
      </c>
      <c r="C250" s="4" t="inlineStr">
        <is>
          <t>event_type</t>
        </is>
      </c>
      <c r="D250" s="4" t="inlineStr">
        <is>
          <t>Event Type</t>
        </is>
      </c>
      <c r="E250" s="4" t="inlineStr">
        <is>
          <t>994</t>
        </is>
      </c>
    </row>
    <row r="251">
      <c r="A251" s="4" t="inlineStr">
        <is>
          <t>370</t>
        </is>
      </c>
      <c r="B251" s="4" t="inlineStr">
        <is>
          <t>Healthcare</t>
        </is>
      </c>
      <c r="C251" s="4" t="inlineStr">
        <is>
          <t>event_type</t>
        </is>
      </c>
      <c r="D251" s="4" t="inlineStr">
        <is>
          <t>Event Type</t>
        </is>
      </c>
      <c r="E251" s="4" t="inlineStr">
        <is>
          <t>994</t>
        </is>
      </c>
    </row>
    <row r="252">
      <c r="A252" s="4" t="inlineStr">
        <is>
          <t>1211</t>
        </is>
      </c>
      <c r="B252" s="4" t="inlineStr">
        <is>
          <t>Joint Degree</t>
        </is>
      </c>
      <c r="C252" s="4" t="inlineStr">
        <is>
          <t>event_type</t>
        </is>
      </c>
      <c r="D252" s="4" t="inlineStr">
        <is>
          <t>Event Type</t>
        </is>
      </c>
      <c r="E252" s="4" t="inlineStr">
        <is>
          <t>994</t>
        </is>
      </c>
    </row>
    <row r="253">
      <c r="A253" s="4" t="inlineStr">
        <is>
          <t>335</t>
        </is>
      </c>
      <c r="B253" s="4" t="inlineStr">
        <is>
          <t>Leaders Forum</t>
        </is>
      </c>
      <c r="C253" s="4" t="inlineStr">
        <is>
          <t>event_type</t>
        </is>
      </c>
      <c r="D253" s="4" t="inlineStr">
        <is>
          <t>Event Type</t>
        </is>
      </c>
      <c r="E253" s="4" t="inlineStr">
        <is>
          <t>994</t>
        </is>
      </c>
    </row>
    <row r="254">
      <c r="A254" s="4" t="inlineStr">
        <is>
          <t>369</t>
        </is>
      </c>
      <c r="B254" s="4" t="inlineStr">
        <is>
          <t>Leadership</t>
        </is>
      </c>
      <c r="C254" s="4" t="inlineStr">
        <is>
          <t>event_type</t>
        </is>
      </c>
      <c r="D254" s="4" t="inlineStr">
        <is>
          <t>Event Type</t>
        </is>
      </c>
      <c r="E254" s="4" t="inlineStr">
        <is>
          <t>994</t>
        </is>
      </c>
    </row>
    <row r="255">
      <c r="A255" s="4" t="inlineStr">
        <is>
          <t>882</t>
        </is>
      </c>
      <c r="B255" s="4" t="inlineStr">
        <is>
          <t>LGBTQ+</t>
        </is>
      </c>
      <c r="C255" s="4" t="inlineStr">
        <is>
          <t>event_type</t>
        </is>
      </c>
      <c r="D255" s="4" t="inlineStr">
        <is>
          <t>Event Type</t>
        </is>
      </c>
      <c r="E255" s="4" t="inlineStr">
        <is>
          <t>994</t>
        </is>
      </c>
    </row>
    <row r="256">
      <c r="A256" s="4" t="inlineStr">
        <is>
          <t>319</t>
        </is>
      </c>
      <c r="B256" s="4" t="inlineStr">
        <is>
          <t>Live Video</t>
        </is>
      </c>
      <c r="C256" s="4" t="inlineStr">
        <is>
          <t>event_type</t>
        </is>
      </c>
      <c r="D256" s="4" t="inlineStr">
        <is>
          <t>Event Type</t>
        </is>
      </c>
      <c r="E256" s="4" t="inlineStr">
        <is>
          <t>994</t>
        </is>
      </c>
    </row>
    <row r="257">
      <c r="A257" s="4" t="inlineStr">
        <is>
          <t>483</t>
        </is>
      </c>
      <c r="B257" s="4" t="inlineStr">
        <is>
          <t>Marketing (Executive Education)</t>
        </is>
      </c>
      <c r="C257" s="4" t="inlineStr">
        <is>
          <t>event_type</t>
        </is>
      </c>
      <c r="D257" s="4" t="inlineStr">
        <is>
          <t>Event Type</t>
        </is>
      </c>
      <c r="E257" s="4" t="inlineStr">
        <is>
          <t>994</t>
        </is>
      </c>
    </row>
    <row r="258">
      <c r="A258" s="4" t="inlineStr">
        <is>
          <t>1012</t>
        </is>
      </c>
      <c r="B258" s="4" t="inlineStr">
        <is>
          <t>Mexico</t>
        </is>
      </c>
      <c r="C258" s="4" t="inlineStr">
        <is>
          <t>event_type</t>
        </is>
      </c>
      <c r="D258" s="4" t="inlineStr">
        <is>
          <t>Event Type</t>
        </is>
      </c>
      <c r="E258" s="4" t="inlineStr">
        <is>
          <t>994</t>
        </is>
      </c>
    </row>
    <row r="259">
      <c r="A259" s="4" t="inlineStr">
        <is>
          <t>1017</t>
        </is>
      </c>
      <c r="B259" s="4" t="inlineStr">
        <is>
          <t>Middle East</t>
        </is>
      </c>
      <c r="C259" s="4" t="inlineStr">
        <is>
          <t>event_type</t>
        </is>
      </c>
      <c r="D259" s="4" t="inlineStr">
        <is>
          <t>Event Type</t>
        </is>
      </c>
      <c r="E259" s="4" t="inlineStr">
        <is>
          <t>994</t>
        </is>
      </c>
    </row>
    <row r="260">
      <c r="A260" s="4" t="inlineStr">
        <is>
          <t>1007</t>
        </is>
      </c>
      <c r="B260" s="4" t="inlineStr">
        <is>
          <t>Midwest</t>
        </is>
      </c>
      <c r="C260" s="4" t="inlineStr">
        <is>
          <t>event_type</t>
        </is>
      </c>
      <c r="D260" s="4" t="inlineStr">
        <is>
          <t>Event Type</t>
        </is>
      </c>
      <c r="E260" s="4" t="inlineStr">
        <is>
          <t>994</t>
        </is>
      </c>
    </row>
    <row r="261">
      <c r="A261" s="4" t="inlineStr">
        <is>
          <t>1000</t>
        </is>
      </c>
      <c r="B261" s="4" t="inlineStr">
        <is>
          <t>Multi-School Events</t>
        </is>
      </c>
      <c r="C261" s="4" t="inlineStr">
        <is>
          <t>event_type</t>
        </is>
      </c>
      <c r="D261" s="4" t="inlineStr">
        <is>
          <t>Event Type</t>
        </is>
      </c>
      <c r="E261" s="4" t="inlineStr">
        <is>
          <t>994</t>
        </is>
      </c>
    </row>
    <row r="262">
      <c r="A262" s="4" t="inlineStr">
        <is>
          <t>1005</t>
        </is>
      </c>
      <c r="B262" s="4" t="inlineStr">
        <is>
          <t>North America</t>
        </is>
      </c>
      <c r="C262" s="4" t="inlineStr">
        <is>
          <t>event_type</t>
        </is>
      </c>
      <c r="D262" s="4" t="inlineStr">
        <is>
          <t>Event Type</t>
        </is>
      </c>
      <c r="E262" s="4" t="inlineStr">
        <is>
          <t>994</t>
        </is>
      </c>
    </row>
    <row r="263">
      <c r="A263" s="4" t="inlineStr">
        <is>
          <t>1006</t>
        </is>
      </c>
      <c r="B263" s="4" t="inlineStr">
        <is>
          <t>Northeast</t>
        </is>
      </c>
      <c r="C263" s="4" t="inlineStr">
        <is>
          <t>event_type</t>
        </is>
      </c>
      <c r="D263" s="4" t="inlineStr">
        <is>
          <t>Event Type</t>
        </is>
      </c>
      <c r="E263" s="4" t="inlineStr">
        <is>
          <t>994</t>
        </is>
      </c>
    </row>
    <row r="264">
      <c r="A264" s="4" t="inlineStr">
        <is>
          <t>1210</t>
        </is>
      </c>
      <c r="B264" s="4" t="inlineStr">
        <is>
          <t>Off-campus Events</t>
        </is>
      </c>
      <c r="C264" s="4" t="inlineStr">
        <is>
          <t>event_type</t>
        </is>
      </c>
      <c r="D264" s="4" t="inlineStr">
        <is>
          <t>Event Type</t>
        </is>
      </c>
      <c r="E264" s="4" t="inlineStr">
        <is>
          <t>994</t>
        </is>
      </c>
    </row>
    <row r="265">
      <c r="A265" s="4" t="inlineStr">
        <is>
          <t>1015</t>
        </is>
      </c>
      <c r="B265" s="4" t="inlineStr">
        <is>
          <t>On campus</t>
        </is>
      </c>
      <c r="C265" s="4" t="inlineStr">
        <is>
          <t>event_type</t>
        </is>
      </c>
      <c r="D265" s="4" t="inlineStr">
        <is>
          <t>Event Type</t>
        </is>
      </c>
      <c r="E265" s="4" t="inlineStr">
        <is>
          <t>994</t>
        </is>
      </c>
    </row>
    <row r="266">
      <c r="A266" s="4" t="inlineStr">
        <is>
          <t>380</t>
        </is>
      </c>
      <c r="B266" s="4" t="inlineStr">
        <is>
          <t>Online</t>
        </is>
      </c>
      <c r="C266" s="4" t="inlineStr">
        <is>
          <t>event_type</t>
        </is>
      </c>
      <c r="D266" s="4" t="inlineStr">
        <is>
          <t>Event Type</t>
        </is>
      </c>
      <c r="E266" s="4" t="inlineStr">
        <is>
          <t>994</t>
        </is>
      </c>
    </row>
    <row r="267">
      <c r="A267" s="4" t="inlineStr">
        <is>
          <t>630</t>
        </is>
      </c>
      <c r="B267" s="4" t="inlineStr">
        <is>
          <t>Other Events</t>
        </is>
      </c>
      <c r="C267" s="4" t="inlineStr">
        <is>
          <t>event_type</t>
        </is>
      </c>
      <c r="D267" s="4" t="inlineStr">
        <is>
          <t>Event Type</t>
        </is>
      </c>
      <c r="E267" s="4" t="inlineStr">
        <is>
          <t>994</t>
        </is>
      </c>
    </row>
    <row r="268">
      <c r="A268" s="4" t="inlineStr">
        <is>
          <t>685</t>
        </is>
      </c>
      <c r="B268" s="4" t="inlineStr">
        <is>
          <t>Reunions</t>
        </is>
      </c>
      <c r="C268" s="4" t="inlineStr">
        <is>
          <t>event_type</t>
        </is>
      </c>
      <c r="D268" s="4" t="inlineStr">
        <is>
          <t>Event Type</t>
        </is>
      </c>
      <c r="E268" s="4" t="inlineStr">
        <is>
          <t>994</t>
        </is>
      </c>
    </row>
    <row r="269">
      <c r="A269" s="4" t="inlineStr">
        <is>
          <t>1008</t>
        </is>
      </c>
      <c r="B269" s="4" t="inlineStr">
        <is>
          <t>South</t>
        </is>
      </c>
      <c r="C269" s="4" t="inlineStr">
        <is>
          <t>event_type</t>
        </is>
      </c>
      <c r="D269" s="4" t="inlineStr">
        <is>
          <t>Event Type</t>
        </is>
      </c>
      <c r="E269" s="4" t="inlineStr">
        <is>
          <t>994</t>
        </is>
      </c>
    </row>
    <row r="270">
      <c r="A270" s="4" t="inlineStr">
        <is>
          <t>1014</t>
        </is>
      </c>
      <c r="B270" s="4" t="inlineStr">
        <is>
          <t>South America</t>
        </is>
      </c>
      <c r="C270" s="4" t="inlineStr">
        <is>
          <t>event_type</t>
        </is>
      </c>
      <c r="D270" s="4" t="inlineStr">
        <is>
          <t>Event Type</t>
        </is>
      </c>
      <c r="E270" s="4" t="inlineStr">
        <is>
          <t>994</t>
        </is>
      </c>
    </row>
    <row r="271">
      <c r="A271" s="4" t="inlineStr">
        <is>
          <t>331</t>
        </is>
      </c>
      <c r="B271" s="4" t="inlineStr">
        <is>
          <t>Speaker Event</t>
        </is>
      </c>
      <c r="C271" s="4" t="inlineStr">
        <is>
          <t>event_type</t>
        </is>
      </c>
      <c r="D271" s="4" t="inlineStr">
        <is>
          <t>Event Type</t>
        </is>
      </c>
      <c r="E271" s="4" t="inlineStr">
        <is>
          <t>994</t>
        </is>
      </c>
    </row>
    <row r="272">
      <c r="A272" s="4" t="inlineStr">
        <is>
          <t>321</t>
        </is>
      </c>
      <c r="B272" s="4" t="inlineStr">
        <is>
          <t>Speakers &amp; Conferences</t>
        </is>
      </c>
      <c r="C272" s="4" t="inlineStr">
        <is>
          <t>event_type</t>
        </is>
      </c>
      <c r="D272" s="4" t="inlineStr">
        <is>
          <t>Event Type</t>
        </is>
      </c>
      <c r="E272" s="4" t="inlineStr">
        <is>
          <t>994</t>
        </is>
      </c>
    </row>
    <row r="273">
      <c r="A273" s="4" t="inlineStr">
        <is>
          <t>1001</t>
        </is>
      </c>
      <c r="B273" s="4" t="inlineStr">
        <is>
          <t>Student Panels</t>
        </is>
      </c>
      <c r="C273" s="4" t="inlineStr">
        <is>
          <t>event_type</t>
        </is>
      </c>
      <c r="D273" s="4" t="inlineStr">
        <is>
          <t>Event Type</t>
        </is>
      </c>
      <c r="E273" s="4" t="inlineStr">
        <is>
          <t>994</t>
        </is>
      </c>
    </row>
    <row r="274">
      <c r="A274" s="4" t="inlineStr">
        <is>
          <t>1207</t>
        </is>
      </c>
      <c r="B274" s="4" t="inlineStr">
        <is>
          <t>Student-hosted Events</t>
        </is>
      </c>
      <c r="C274" s="4" t="inlineStr">
        <is>
          <t>event_type</t>
        </is>
      </c>
      <c r="D274" s="4" t="inlineStr">
        <is>
          <t>Event Type</t>
        </is>
      </c>
      <c r="E274" s="4" t="inlineStr">
        <is>
          <t>994</t>
        </is>
      </c>
    </row>
    <row r="275">
      <c r="A275" s="4" t="inlineStr">
        <is>
          <t>1019</t>
        </is>
      </c>
      <c r="B275" s="4" t="inlineStr">
        <is>
          <t>Sustainability</t>
        </is>
      </c>
      <c r="C275" s="4" t="inlineStr">
        <is>
          <t>event_type</t>
        </is>
      </c>
      <c r="D275" s="4" t="inlineStr">
        <is>
          <t>Event Type</t>
        </is>
      </c>
      <c r="E275" s="4" t="inlineStr">
        <is>
          <t>994</t>
        </is>
      </c>
    </row>
    <row r="276">
      <c r="A276" s="4" t="inlineStr">
        <is>
          <t>1002</t>
        </is>
      </c>
      <c r="B276" s="4" t="inlineStr">
        <is>
          <t>Veteran</t>
        </is>
      </c>
      <c r="C276" s="4" t="inlineStr">
        <is>
          <t>event_type</t>
        </is>
      </c>
      <c r="D276" s="4" t="inlineStr">
        <is>
          <t>Event Type</t>
        </is>
      </c>
      <c r="E276" s="4" t="inlineStr">
        <is>
          <t>994</t>
        </is>
      </c>
    </row>
    <row r="277">
      <c r="A277" s="4" t="inlineStr">
        <is>
          <t>1016</t>
        </is>
      </c>
      <c r="B277" s="4" t="inlineStr">
        <is>
          <t>Virtual Information Session</t>
        </is>
      </c>
      <c r="C277" s="4" t="inlineStr">
        <is>
          <t>event_type</t>
        </is>
      </c>
      <c r="D277" s="4" t="inlineStr">
        <is>
          <t>Event Type</t>
        </is>
      </c>
      <c r="E277" s="4" t="inlineStr">
        <is>
          <t>994</t>
        </is>
      </c>
    </row>
    <row r="278">
      <c r="A278" s="4" t="inlineStr">
        <is>
          <t>625</t>
        </is>
      </c>
      <c r="B278" s="4" t="inlineStr">
        <is>
          <t>Webinars</t>
        </is>
      </c>
      <c r="C278" s="4" t="inlineStr">
        <is>
          <t>event_type</t>
        </is>
      </c>
      <c r="D278" s="4" t="inlineStr">
        <is>
          <t>Event Type</t>
        </is>
      </c>
      <c r="E278" s="4" t="inlineStr">
        <is>
          <t>994</t>
        </is>
      </c>
    </row>
    <row r="279">
      <c r="A279" s="4" t="inlineStr">
        <is>
          <t>1009</t>
        </is>
      </c>
      <c r="B279" s="4" t="inlineStr">
        <is>
          <t>West</t>
        </is>
      </c>
      <c r="C279" s="4" t="inlineStr">
        <is>
          <t>event_type</t>
        </is>
      </c>
      <c r="D279" s="4" t="inlineStr">
        <is>
          <t>Event Type</t>
        </is>
      </c>
      <c r="E279" s="4" t="inlineStr">
        <is>
          <t>994</t>
        </is>
      </c>
    </row>
    <row r="280">
      <c r="A280" s="4" t="inlineStr">
        <is>
          <t>892</t>
        </is>
      </c>
      <c r="B280" s="4" t="inlineStr">
        <is>
          <t>Women</t>
        </is>
      </c>
      <c r="C280" s="4" t="inlineStr">
        <is>
          <t>event_type</t>
        </is>
      </c>
      <c r="D280" s="4" t="inlineStr">
        <is>
          <t>Event Type</t>
        </is>
      </c>
      <c r="E280" s="4" t="inlineStr">
        <is>
          <t>994</t>
        </is>
      </c>
    </row>
    <row r="281">
      <c r="A281" s="4" t="inlineStr">
        <is>
          <t>1022</t>
        </is>
      </c>
      <c r="B281" s="4" t="inlineStr">
        <is>
          <t>Education</t>
        </is>
      </c>
      <c r="C281" s="4" t="inlineStr">
        <is>
          <t>executive_education_focus</t>
        </is>
      </c>
      <c r="D281" s="4" t="inlineStr">
        <is>
          <t>Executive Education Focus</t>
        </is>
      </c>
      <c r="E281" s="4" t="inlineStr"/>
    </row>
    <row r="282">
      <c r="A282" s="4" t="inlineStr">
        <is>
          <t>1023</t>
        </is>
      </c>
      <c r="B282" s="4" t="inlineStr">
        <is>
          <t>Finance</t>
        </is>
      </c>
      <c r="C282" s="4" t="inlineStr">
        <is>
          <t>executive_education_focus</t>
        </is>
      </c>
      <c r="D282" s="4" t="inlineStr">
        <is>
          <t>Executive Education Focus</t>
        </is>
      </c>
      <c r="E282" s="4" t="inlineStr"/>
    </row>
    <row r="283">
      <c r="A283" s="4" t="inlineStr">
        <is>
          <t>1024</t>
        </is>
      </c>
      <c r="B283" s="4" t="inlineStr">
        <is>
          <t>Global Business</t>
        </is>
      </c>
      <c r="C283" s="4" t="inlineStr">
        <is>
          <t>executive_education_focus</t>
        </is>
      </c>
      <c r="D283" s="4" t="inlineStr">
        <is>
          <t>Executive Education Focus</t>
        </is>
      </c>
      <c r="E283" s="4" t="inlineStr"/>
    </row>
    <row r="284">
      <c r="A284" s="4" t="inlineStr">
        <is>
          <t>1025</t>
        </is>
      </c>
      <c r="B284" s="4" t="inlineStr">
        <is>
          <t>Healthcare</t>
        </is>
      </c>
      <c r="C284" s="4" t="inlineStr">
        <is>
          <t>executive_education_focus</t>
        </is>
      </c>
      <c r="D284" s="4" t="inlineStr">
        <is>
          <t>Executive Education Focus</t>
        </is>
      </c>
      <c r="E284" s="4" t="inlineStr"/>
    </row>
    <row r="285">
      <c r="A285" s="4" t="inlineStr">
        <is>
          <t>1026</t>
        </is>
      </c>
      <c r="B285" s="4" t="inlineStr">
        <is>
          <t>Innovation</t>
        </is>
      </c>
      <c r="C285" s="4" t="inlineStr">
        <is>
          <t>executive_education_focus</t>
        </is>
      </c>
      <c r="D285" s="4" t="inlineStr">
        <is>
          <t>Executive Education Focus</t>
        </is>
      </c>
      <c r="E285" s="4" t="inlineStr"/>
    </row>
    <row r="286">
      <c r="A286" s="4" t="inlineStr">
        <is>
          <t>1027</t>
        </is>
      </c>
      <c r="B286" s="4" t="inlineStr">
        <is>
          <t>Leadership</t>
        </is>
      </c>
      <c r="C286" s="4" t="inlineStr">
        <is>
          <t>executive_education_focus</t>
        </is>
      </c>
      <c r="D286" s="4" t="inlineStr">
        <is>
          <t>Executive Education Focus</t>
        </is>
      </c>
      <c r="E286" s="4" t="inlineStr"/>
    </row>
    <row r="287">
      <c r="A287" s="4" t="inlineStr">
        <is>
          <t>1028</t>
        </is>
      </c>
      <c r="B287" s="4" t="inlineStr">
        <is>
          <t>Management</t>
        </is>
      </c>
      <c r="C287" s="4" t="inlineStr">
        <is>
          <t>executive_education_focus</t>
        </is>
      </c>
      <c r="D287" s="4" t="inlineStr">
        <is>
          <t>Executive Education Focus</t>
        </is>
      </c>
      <c r="E287" s="4" t="inlineStr"/>
    </row>
    <row r="288">
      <c r="A288" s="4" t="inlineStr">
        <is>
          <t>1029</t>
        </is>
      </c>
      <c r="B288" s="4" t="inlineStr">
        <is>
          <t>Marketing</t>
        </is>
      </c>
      <c r="C288" s="4" t="inlineStr">
        <is>
          <t>executive_education_focus</t>
        </is>
      </c>
      <c r="D288" s="4" t="inlineStr">
        <is>
          <t>Executive Education Focus</t>
        </is>
      </c>
      <c r="E288" s="4" t="inlineStr"/>
    </row>
    <row r="289">
      <c r="A289" s="4" t="inlineStr">
        <is>
          <t>1030</t>
        </is>
      </c>
      <c r="B289" s="4" t="inlineStr">
        <is>
          <t>Sustainability</t>
        </is>
      </c>
      <c r="C289" s="4" t="inlineStr">
        <is>
          <t>executive_education_focus</t>
        </is>
      </c>
      <c r="D289" s="4" t="inlineStr">
        <is>
          <t>Executive Education Focus</t>
        </is>
      </c>
      <c r="E289" s="4" t="inlineStr"/>
    </row>
    <row r="290">
      <c r="A290" s="4" t="inlineStr">
        <is>
          <t>1031</t>
        </is>
      </c>
      <c r="B290" s="4" t="inlineStr">
        <is>
          <t>Women’s Leadership</t>
        </is>
      </c>
      <c r="C290" s="4" t="inlineStr">
        <is>
          <t>executive_education_focus</t>
        </is>
      </c>
      <c r="D290" s="4" t="inlineStr">
        <is>
          <t>Executive Education Focus</t>
        </is>
      </c>
      <c r="E290" s="4" t="inlineStr"/>
    </row>
    <row r="291">
      <c r="A291" s="4" t="inlineStr">
        <is>
          <t>224</t>
        </is>
      </c>
      <c r="B291" s="4" t="inlineStr">
        <is>
          <t>Affiliated Faculty</t>
        </is>
      </c>
      <c r="C291" s="4" t="inlineStr">
        <is>
          <t>faculty_category</t>
        </is>
      </c>
      <c r="D291" s="4" t="inlineStr">
        <is>
          <t>Faculty Category</t>
        </is>
      </c>
      <c r="E291" s="4" t="inlineStr"/>
    </row>
    <row r="292">
      <c r="A292" s="4" t="inlineStr">
        <is>
          <t>192</t>
        </is>
      </c>
      <c r="B292" s="4" t="inlineStr">
        <is>
          <t>Emeriti Faculty</t>
        </is>
      </c>
      <c r="C292" s="4" t="inlineStr">
        <is>
          <t>faculty_category</t>
        </is>
      </c>
      <c r="D292" s="4" t="inlineStr">
        <is>
          <t>Faculty Category</t>
        </is>
      </c>
      <c r="E292" s="4" t="inlineStr"/>
    </row>
    <row r="293">
      <c r="A293" s="4" t="inlineStr">
        <is>
          <t>225</t>
        </is>
      </c>
      <c r="B293" s="4" t="inlineStr">
        <is>
          <t>Visiting Instructors &amp; Scholars</t>
        </is>
      </c>
      <c r="C293" s="4" t="inlineStr">
        <is>
          <t>faculty_category</t>
        </is>
      </c>
      <c r="D293" s="4" t="inlineStr">
        <is>
          <t>Faculty Category</t>
        </is>
      </c>
      <c r="E293" s="4" t="inlineStr"/>
    </row>
    <row r="294">
      <c r="A294" s="4" t="inlineStr">
        <is>
          <t>141</t>
        </is>
      </c>
      <c r="B294" s="4" t="inlineStr">
        <is>
          <t>Yale SOM Faculty</t>
        </is>
      </c>
      <c r="C294" s="4" t="inlineStr">
        <is>
          <t>faculty_category</t>
        </is>
      </c>
      <c r="D294" s="4" t="inlineStr">
        <is>
          <t>Faculty Category</t>
        </is>
      </c>
      <c r="E294" s="4" t="inlineStr"/>
    </row>
    <row r="295">
      <c r="A295" s="4" t="inlineStr">
        <is>
          <t>136</t>
        </is>
      </c>
      <c r="B295" s="4" t="inlineStr">
        <is>
          <t>Accounting</t>
        </is>
      </c>
      <c r="C295" s="4" t="inlineStr">
        <is>
          <t>faculty_discipline</t>
        </is>
      </c>
      <c r="D295" s="4" t="inlineStr">
        <is>
          <t>Faculty Discipline</t>
        </is>
      </c>
      <c r="E295" s="4" t="inlineStr"/>
    </row>
    <row r="296">
      <c r="A296" s="4" t="inlineStr">
        <is>
          <t>157</t>
        </is>
      </c>
      <c r="B296" s="4" t="inlineStr">
        <is>
          <t>Economics</t>
        </is>
      </c>
      <c r="C296" s="4" t="inlineStr">
        <is>
          <t>faculty_discipline</t>
        </is>
      </c>
      <c r="D296" s="4" t="inlineStr">
        <is>
          <t>Faculty Discipline</t>
        </is>
      </c>
      <c r="E296" s="4" t="inlineStr"/>
    </row>
    <row r="297">
      <c r="A297" s="4" t="inlineStr">
        <is>
          <t>142</t>
        </is>
      </c>
      <c r="B297" s="4" t="inlineStr">
        <is>
          <t>Finance</t>
        </is>
      </c>
      <c r="C297" s="4" t="inlineStr">
        <is>
          <t>faculty_discipline</t>
        </is>
      </c>
      <c r="D297" s="4" t="inlineStr">
        <is>
          <t>Faculty Discipline</t>
        </is>
      </c>
      <c r="E297" s="4" t="inlineStr"/>
    </row>
    <row r="298">
      <c r="A298" s="4" t="inlineStr">
        <is>
          <t>228</t>
        </is>
      </c>
      <c r="B298" s="4" t="inlineStr">
        <is>
          <t>Management</t>
        </is>
      </c>
      <c r="C298" s="4" t="inlineStr">
        <is>
          <t>faculty_discipline</t>
        </is>
      </c>
      <c r="D298" s="4" t="inlineStr">
        <is>
          <t>Faculty Discipline</t>
        </is>
      </c>
      <c r="E298" s="4" t="inlineStr"/>
    </row>
    <row r="299">
      <c r="A299" s="4" t="inlineStr">
        <is>
          <t>155</t>
        </is>
      </c>
      <c r="B299" s="4" t="inlineStr">
        <is>
          <t>Marketing</t>
        </is>
      </c>
      <c r="C299" s="4" t="inlineStr">
        <is>
          <t>faculty_discipline</t>
        </is>
      </c>
      <c r="D299" s="4" t="inlineStr">
        <is>
          <t>Faculty Discipline</t>
        </is>
      </c>
      <c r="E299" s="4" t="inlineStr"/>
    </row>
    <row r="300">
      <c r="A300" s="4" t="inlineStr">
        <is>
          <t>165</t>
        </is>
      </c>
      <c r="B300" s="4" t="inlineStr">
        <is>
          <t>Operations</t>
        </is>
      </c>
      <c r="C300" s="4" t="inlineStr">
        <is>
          <t>faculty_discipline</t>
        </is>
      </c>
      <c r="D300" s="4" t="inlineStr">
        <is>
          <t>Faculty Discipline</t>
        </is>
      </c>
      <c r="E300" s="4" t="inlineStr"/>
    </row>
    <row r="301">
      <c r="A301" s="4" t="inlineStr">
        <is>
          <t>174</t>
        </is>
      </c>
      <c r="B301" s="4" t="inlineStr">
        <is>
          <t>Organizational Behavior</t>
        </is>
      </c>
      <c r="C301" s="4" t="inlineStr">
        <is>
          <t>faculty_discipline</t>
        </is>
      </c>
      <c r="D301" s="4" t="inlineStr">
        <is>
          <t>Faculty Discipline</t>
        </is>
      </c>
      <c r="E301" s="4" t="inlineStr"/>
    </row>
    <row r="302">
      <c r="A302" s="4" t="inlineStr">
        <is>
          <t>211</t>
        </is>
      </c>
      <c r="B302" s="4" t="inlineStr">
        <is>
          <t>Politics</t>
        </is>
      </c>
      <c r="C302" s="4" t="inlineStr">
        <is>
          <t>faculty_discipline</t>
        </is>
      </c>
      <c r="D302" s="4" t="inlineStr">
        <is>
          <t>Faculty Discipline</t>
        </is>
      </c>
      <c r="E302" s="4" t="inlineStr"/>
    </row>
    <row r="303">
      <c r="A303" s="4" t="inlineStr">
        <is>
          <t>137</t>
        </is>
      </c>
      <c r="B303" s="4" t="inlineStr">
        <is>
          <t>Accounting</t>
        </is>
      </c>
      <c r="C303" s="4" t="inlineStr">
        <is>
          <t>faculty_expertise</t>
        </is>
      </c>
      <c r="D303" s="4" t="inlineStr">
        <is>
          <t>Faculty Expertise</t>
        </is>
      </c>
      <c r="E303" s="4" t="inlineStr"/>
    </row>
    <row r="304">
      <c r="A304" s="4" t="inlineStr">
        <is>
          <t>248</t>
        </is>
      </c>
      <c r="B304" s="4" t="inlineStr">
        <is>
          <t>Activist Investors</t>
        </is>
      </c>
      <c r="C304" s="4" t="inlineStr">
        <is>
          <t>faculty_expertise</t>
        </is>
      </c>
      <c r="D304" s="4" t="inlineStr">
        <is>
          <t>Faculty Expertise</t>
        </is>
      </c>
      <c r="E304" s="4" t="inlineStr"/>
    </row>
    <row r="305">
      <c r="A305" s="4" t="inlineStr">
        <is>
          <t>231</t>
        </is>
      </c>
      <c r="B305" s="4" t="inlineStr">
        <is>
          <t>Advertising</t>
        </is>
      </c>
      <c r="C305" s="4" t="inlineStr">
        <is>
          <t>faculty_expertise</t>
        </is>
      </c>
      <c r="D305" s="4" t="inlineStr">
        <is>
          <t>Faculty Expertise</t>
        </is>
      </c>
      <c r="E305" s="4" t="inlineStr"/>
    </row>
    <row r="306">
      <c r="A306" s="4" t="inlineStr">
        <is>
          <t>1706</t>
        </is>
      </c>
      <c r="B306" s="4" t="inlineStr">
        <is>
          <t>AI</t>
        </is>
      </c>
      <c r="C306" s="4" t="inlineStr">
        <is>
          <t>faculty_expertise</t>
        </is>
      </c>
      <c r="D306" s="4" t="inlineStr">
        <is>
          <t>Faculty Expertise</t>
        </is>
      </c>
      <c r="E306" s="4" t="inlineStr"/>
    </row>
    <row r="307">
      <c r="A307" s="4" t="inlineStr">
        <is>
          <t>166</t>
        </is>
      </c>
      <c r="B307" s="4" t="inlineStr">
        <is>
          <t>Analytics</t>
        </is>
      </c>
      <c r="C307" s="4" t="inlineStr">
        <is>
          <t>faculty_expertise</t>
        </is>
      </c>
      <c r="D307" s="4" t="inlineStr">
        <is>
          <t>Faculty Expertise</t>
        </is>
      </c>
      <c r="E307" s="4" t="inlineStr"/>
    </row>
    <row r="308">
      <c r="A308" s="4" t="inlineStr">
        <is>
          <t>158</t>
        </is>
      </c>
      <c r="B308" s="4" t="inlineStr">
        <is>
          <t>Antitrust &amp; Competition Policy</t>
        </is>
      </c>
      <c r="C308" s="4" t="inlineStr">
        <is>
          <t>faculty_expertise</t>
        </is>
      </c>
      <c r="D308" s="4" t="inlineStr">
        <is>
          <t>Faculty Expertise</t>
        </is>
      </c>
      <c r="E308" s="4" t="inlineStr"/>
    </row>
    <row r="309">
      <c r="A309" s="4" t="inlineStr">
        <is>
          <t>1130</t>
        </is>
      </c>
      <c r="B309" s="4" t="inlineStr">
        <is>
          <t>Asset Pricing</t>
        </is>
      </c>
      <c r="C309" s="4" t="inlineStr">
        <is>
          <t>faculty_expertise</t>
        </is>
      </c>
      <c r="D309" s="4" t="inlineStr">
        <is>
          <t>Faculty Expertise</t>
        </is>
      </c>
      <c r="E309" s="4" t="inlineStr"/>
    </row>
    <row r="310">
      <c r="A310" s="4" t="inlineStr">
        <is>
          <t>1137</t>
        </is>
      </c>
      <c r="B310" s="4" t="inlineStr">
        <is>
          <t>Attention</t>
        </is>
      </c>
      <c r="C310" s="4" t="inlineStr">
        <is>
          <t>faculty_expertise</t>
        </is>
      </c>
      <c r="D310" s="4" t="inlineStr">
        <is>
          <t>Faculty Expertise</t>
        </is>
      </c>
      <c r="E310" s="4" t="inlineStr"/>
    </row>
    <row r="311">
      <c r="A311" s="4" t="inlineStr">
        <is>
          <t>138</t>
        </is>
      </c>
      <c r="B311" s="4" t="inlineStr">
        <is>
          <t>Auditing</t>
        </is>
      </c>
      <c r="C311" s="4" t="inlineStr">
        <is>
          <t>faculty_expertise</t>
        </is>
      </c>
      <c r="D311" s="4" t="inlineStr">
        <is>
          <t>Faculty Expertise</t>
        </is>
      </c>
      <c r="E311" s="4" t="inlineStr"/>
    </row>
    <row r="312">
      <c r="A312" s="4" t="inlineStr">
        <is>
          <t>246</t>
        </is>
      </c>
      <c r="B312" s="4" t="inlineStr">
        <is>
          <t>Banking</t>
        </is>
      </c>
      <c r="C312" s="4" t="inlineStr">
        <is>
          <t>faculty_expertise</t>
        </is>
      </c>
      <c r="D312" s="4" t="inlineStr">
        <is>
          <t>Faculty Expertise</t>
        </is>
      </c>
      <c r="E312" s="4" t="inlineStr"/>
    </row>
    <row r="313">
      <c r="A313" s="4" t="inlineStr">
        <is>
          <t>200</t>
        </is>
      </c>
      <c r="B313" s="4" t="inlineStr">
        <is>
          <t>Bankruptcy</t>
        </is>
      </c>
      <c r="C313" s="4" t="inlineStr">
        <is>
          <t>faculty_expertise</t>
        </is>
      </c>
      <c r="D313" s="4" t="inlineStr">
        <is>
          <t>Faculty Expertise</t>
        </is>
      </c>
      <c r="E313" s="4" t="inlineStr"/>
    </row>
    <row r="314">
      <c r="A314" s="4" t="inlineStr">
        <is>
          <t>159</t>
        </is>
      </c>
      <c r="B314" s="4" t="inlineStr">
        <is>
          <t>Behavioral Economics</t>
        </is>
      </c>
      <c r="C314" s="4" t="inlineStr">
        <is>
          <t>faculty_expertise</t>
        </is>
      </c>
      <c r="D314" s="4" t="inlineStr">
        <is>
          <t>Faculty Expertise</t>
        </is>
      </c>
      <c r="E314" s="4" t="inlineStr"/>
    </row>
    <row r="315">
      <c r="A315" s="4" t="inlineStr">
        <is>
          <t>146</t>
        </is>
      </c>
      <c r="B315" s="4" t="inlineStr">
        <is>
          <t>Behavioral Finance</t>
        </is>
      </c>
      <c r="C315" s="4" t="inlineStr">
        <is>
          <t>faculty_expertise</t>
        </is>
      </c>
      <c r="D315" s="4" t="inlineStr">
        <is>
          <t>Faculty Expertise</t>
        </is>
      </c>
      <c r="E315" s="4" t="inlineStr"/>
    </row>
    <row r="316">
      <c r="A316" s="4" t="inlineStr">
        <is>
          <t>190</t>
        </is>
      </c>
      <c r="B316" s="4" t="inlineStr">
        <is>
          <t>Behavioral Science</t>
        </is>
      </c>
      <c r="C316" s="4" t="inlineStr">
        <is>
          <t>faculty_expertise</t>
        </is>
      </c>
      <c r="D316" s="4" t="inlineStr">
        <is>
          <t>Faculty Expertise</t>
        </is>
      </c>
      <c r="E316" s="4" t="inlineStr"/>
    </row>
    <row r="317">
      <c r="A317" s="4" t="inlineStr">
        <is>
          <t>194</t>
        </is>
      </c>
      <c r="B317" s="4" t="inlineStr">
        <is>
          <t>Big Data</t>
        </is>
      </c>
      <c r="C317" s="4" t="inlineStr">
        <is>
          <t>faculty_expertise</t>
        </is>
      </c>
      <c r="D317" s="4" t="inlineStr">
        <is>
          <t>Faculty Expertise</t>
        </is>
      </c>
      <c r="E317" s="4" t="inlineStr"/>
    </row>
    <row r="318">
      <c r="A318" s="4" t="inlineStr">
        <is>
          <t>195</t>
        </is>
      </c>
      <c r="B318" s="4" t="inlineStr">
        <is>
          <t>Brand Management</t>
        </is>
      </c>
      <c r="C318" s="4" t="inlineStr">
        <is>
          <t>faculty_expertise</t>
        </is>
      </c>
      <c r="D318" s="4" t="inlineStr">
        <is>
          <t>Faculty Expertise</t>
        </is>
      </c>
      <c r="E318" s="4" t="inlineStr"/>
    </row>
    <row r="319">
      <c r="A319" s="4" t="inlineStr">
        <is>
          <t>1521</t>
        </is>
      </c>
      <c r="B319" s="4" t="inlineStr">
        <is>
          <t>Branding</t>
        </is>
      </c>
      <c r="C319" s="4" t="inlineStr">
        <is>
          <t>faculty_expertise</t>
        </is>
      </c>
      <c r="D319" s="4" t="inlineStr">
        <is>
          <t>Faculty Expertise</t>
        </is>
      </c>
      <c r="E319" s="4" t="inlineStr"/>
    </row>
    <row r="320">
      <c r="A320" s="4" t="inlineStr">
        <is>
          <t>175</t>
        </is>
      </c>
      <c r="B320" s="4" t="inlineStr">
        <is>
          <t>Business Strategy</t>
        </is>
      </c>
      <c r="C320" s="4" t="inlineStr">
        <is>
          <t>faculty_expertise</t>
        </is>
      </c>
      <c r="D320" s="4" t="inlineStr">
        <is>
          <t>Faculty Expertise</t>
        </is>
      </c>
      <c r="E320" s="4" t="inlineStr"/>
    </row>
    <row r="321">
      <c r="A321" s="4" t="inlineStr">
        <is>
          <t>212</t>
        </is>
      </c>
      <c r="B321" s="4" t="inlineStr">
        <is>
          <t>Business War Gaming</t>
        </is>
      </c>
      <c r="C321" s="4" t="inlineStr">
        <is>
          <t>faculty_expertise</t>
        </is>
      </c>
      <c r="D321" s="4" t="inlineStr">
        <is>
          <t>Faculty Expertise</t>
        </is>
      </c>
      <c r="E321" s="4" t="inlineStr"/>
    </row>
    <row r="322">
      <c r="A322" s="4" t="inlineStr">
        <is>
          <t>208</t>
        </is>
      </c>
      <c r="B322" s="4" t="inlineStr">
        <is>
          <t>Business-Government Relations</t>
        </is>
      </c>
      <c r="C322" s="4" t="inlineStr">
        <is>
          <t>faculty_expertise</t>
        </is>
      </c>
      <c r="D322" s="4" t="inlineStr">
        <is>
          <t>Faculty Expertise</t>
        </is>
      </c>
      <c r="E322" s="4" t="inlineStr"/>
    </row>
    <row r="323">
      <c r="A323" s="4" t="inlineStr">
        <is>
          <t>177</t>
        </is>
      </c>
      <c r="B323" s="4" t="inlineStr">
        <is>
          <t>Careers</t>
        </is>
      </c>
      <c r="C323" s="4" t="inlineStr">
        <is>
          <t>faculty_expertise</t>
        </is>
      </c>
      <c r="D323" s="4" t="inlineStr">
        <is>
          <t>Faculty Expertise</t>
        </is>
      </c>
      <c r="E323" s="4" t="inlineStr"/>
    </row>
    <row r="324">
      <c r="A324" s="4" t="inlineStr">
        <is>
          <t>220</t>
        </is>
      </c>
      <c r="B324" s="4" t="inlineStr">
        <is>
          <t>CEOs</t>
        </is>
      </c>
      <c r="C324" s="4" t="inlineStr">
        <is>
          <t>faculty_expertise</t>
        </is>
      </c>
      <c r="D324" s="4" t="inlineStr">
        <is>
          <t>Faculty Expertise</t>
        </is>
      </c>
      <c r="E324" s="4" t="inlineStr"/>
    </row>
    <row r="325">
      <c r="A325" s="4" t="inlineStr">
        <is>
          <t>236</t>
        </is>
      </c>
      <c r="B325" s="4" t="inlineStr">
        <is>
          <t>Cities and Regional Planning</t>
        </is>
      </c>
      <c r="C325" s="4" t="inlineStr">
        <is>
          <t>faculty_expertise</t>
        </is>
      </c>
      <c r="D325" s="4" t="inlineStr">
        <is>
          <t>Faculty Expertise</t>
        </is>
      </c>
      <c r="E325" s="4" t="inlineStr"/>
    </row>
    <row r="326">
      <c r="A326" s="4" t="inlineStr">
        <is>
          <t>243</t>
        </is>
      </c>
      <c r="B326" s="4" t="inlineStr">
        <is>
          <t>Collaboration</t>
        </is>
      </c>
      <c r="C326" s="4" t="inlineStr">
        <is>
          <t>faculty_expertise</t>
        </is>
      </c>
      <c r="D326" s="4" t="inlineStr">
        <is>
          <t>Faculty Expertise</t>
        </is>
      </c>
      <c r="E326" s="4" t="inlineStr"/>
    </row>
    <row r="327">
      <c r="A327" s="4" t="inlineStr">
        <is>
          <t>222</t>
        </is>
      </c>
      <c r="B327" s="4" t="inlineStr">
        <is>
          <t>Commodity Markets</t>
        </is>
      </c>
      <c r="C327" s="4" t="inlineStr">
        <is>
          <t>faculty_expertise</t>
        </is>
      </c>
      <c r="D327" s="4" t="inlineStr">
        <is>
          <t>Faculty Expertise</t>
        </is>
      </c>
      <c r="E327" s="4" t="inlineStr"/>
    </row>
    <row r="328">
      <c r="A328" s="4" t="inlineStr">
        <is>
          <t>160</t>
        </is>
      </c>
      <c r="B328" s="4" t="inlineStr">
        <is>
          <t>Competitive Strategy</t>
        </is>
      </c>
      <c r="C328" s="4" t="inlineStr">
        <is>
          <t>faculty_expertise</t>
        </is>
      </c>
      <c r="D328" s="4" t="inlineStr">
        <is>
          <t>Faculty Expertise</t>
        </is>
      </c>
      <c r="E328" s="4" t="inlineStr"/>
    </row>
    <row r="329">
      <c r="A329" s="4" t="inlineStr">
        <is>
          <t>232</t>
        </is>
      </c>
      <c r="B329" s="4" t="inlineStr">
        <is>
          <t>Conflicts of Interest</t>
        </is>
      </c>
      <c r="C329" s="4" t="inlineStr">
        <is>
          <t>faculty_expertise</t>
        </is>
      </c>
      <c r="D329" s="4" t="inlineStr">
        <is>
          <t>Faculty Expertise</t>
        </is>
      </c>
      <c r="E329" s="4" t="inlineStr"/>
    </row>
    <row r="330">
      <c r="A330" s="4" t="inlineStr">
        <is>
          <t>191</t>
        </is>
      </c>
      <c r="B330" s="4" t="inlineStr">
        <is>
          <t>Consumer Behavior</t>
        </is>
      </c>
      <c r="C330" s="4" t="inlineStr">
        <is>
          <t>faculty_expertise</t>
        </is>
      </c>
      <c r="D330" s="4" t="inlineStr">
        <is>
          <t>Faculty Expertise</t>
        </is>
      </c>
      <c r="E330" s="4" t="inlineStr"/>
    </row>
    <row r="331">
      <c r="A331" s="4" t="inlineStr">
        <is>
          <t>147</t>
        </is>
      </c>
      <c r="B331" s="4" t="inlineStr">
        <is>
          <t>Corporate Finance</t>
        </is>
      </c>
      <c r="C331" s="4" t="inlineStr">
        <is>
          <t>faculty_expertise</t>
        </is>
      </c>
      <c r="D331" s="4" t="inlineStr">
        <is>
          <t>Faculty Expertise</t>
        </is>
      </c>
      <c r="E331" s="4" t="inlineStr"/>
    </row>
    <row r="332">
      <c r="A332" s="4" t="inlineStr">
        <is>
          <t>139</t>
        </is>
      </c>
      <c r="B332" s="4" t="inlineStr">
        <is>
          <t>Corporate Governance</t>
        </is>
      </c>
      <c r="C332" s="4" t="inlineStr">
        <is>
          <t>faculty_expertise</t>
        </is>
      </c>
      <c r="D332" s="4" t="inlineStr">
        <is>
          <t>Faculty Expertise</t>
        </is>
      </c>
      <c r="E332" s="4" t="inlineStr"/>
    </row>
    <row r="333">
      <c r="A333" s="4" t="inlineStr">
        <is>
          <t>167</t>
        </is>
      </c>
      <c r="B333" s="4" t="inlineStr">
        <is>
          <t>Counter-terrorism</t>
        </is>
      </c>
      <c r="C333" s="4" t="inlineStr">
        <is>
          <t>faculty_expertise</t>
        </is>
      </c>
      <c r="D333" s="4" t="inlineStr">
        <is>
          <t>Faculty Expertise</t>
        </is>
      </c>
      <c r="E333" s="4" t="inlineStr"/>
    </row>
    <row r="334">
      <c r="A334" s="4" t="inlineStr">
        <is>
          <t>161</t>
        </is>
      </c>
      <c r="B334" s="4" t="inlineStr">
        <is>
          <t>Creativity</t>
        </is>
      </c>
      <c r="C334" s="4" t="inlineStr">
        <is>
          <t>faculty_expertise</t>
        </is>
      </c>
      <c r="D334" s="4" t="inlineStr">
        <is>
          <t>Faculty Expertise</t>
        </is>
      </c>
      <c r="E334" s="4" t="inlineStr"/>
    </row>
    <row r="335">
      <c r="A335" s="4" t="inlineStr">
        <is>
          <t>168</t>
        </is>
      </c>
      <c r="B335" s="4" t="inlineStr">
        <is>
          <t>Decision-making</t>
        </is>
      </c>
      <c r="C335" s="4" t="inlineStr">
        <is>
          <t>faculty_expertise</t>
        </is>
      </c>
      <c r="D335" s="4" t="inlineStr">
        <is>
          <t>Faculty Expertise</t>
        </is>
      </c>
      <c r="E335" s="4" t="inlineStr"/>
    </row>
    <row r="336">
      <c r="A336" s="4" t="inlineStr">
        <is>
          <t>216</t>
        </is>
      </c>
      <c r="B336" s="4" t="inlineStr">
        <is>
          <t>Digital Marketing</t>
        </is>
      </c>
      <c r="C336" s="4" t="inlineStr">
        <is>
          <t>faculty_expertise</t>
        </is>
      </c>
      <c r="D336" s="4" t="inlineStr">
        <is>
          <t>Faculty Expertise</t>
        </is>
      </c>
      <c r="E336" s="4" t="inlineStr"/>
    </row>
    <row r="337">
      <c r="A337" s="4" t="inlineStr">
        <is>
          <t>240</t>
        </is>
      </c>
      <c r="B337" s="4" t="inlineStr">
        <is>
          <t>Digital Strategy</t>
        </is>
      </c>
      <c r="C337" s="4" t="inlineStr">
        <is>
          <t>faculty_expertise</t>
        </is>
      </c>
      <c r="D337" s="4" t="inlineStr">
        <is>
          <t>Faculty Expertise</t>
        </is>
      </c>
      <c r="E337" s="4" t="inlineStr"/>
    </row>
    <row r="338">
      <c r="A338" s="4" t="inlineStr">
        <is>
          <t>201</t>
        </is>
      </c>
      <c r="B338" s="4" t="inlineStr">
        <is>
          <t>Distress Investing</t>
        </is>
      </c>
      <c r="C338" s="4" t="inlineStr">
        <is>
          <t>faculty_expertise</t>
        </is>
      </c>
      <c r="D338" s="4" t="inlineStr">
        <is>
          <t>Faculty Expertise</t>
        </is>
      </c>
      <c r="E338" s="4" t="inlineStr"/>
    </row>
    <row r="339">
      <c r="A339" s="4" t="inlineStr">
        <is>
          <t>229</t>
        </is>
      </c>
      <c r="B339" s="4" t="inlineStr">
        <is>
          <t>Diversity and Inclusion</t>
        </is>
      </c>
      <c r="C339" s="4" t="inlineStr">
        <is>
          <t>faculty_expertise</t>
        </is>
      </c>
      <c r="D339" s="4" t="inlineStr">
        <is>
          <t>Faculty Expertise</t>
        </is>
      </c>
      <c r="E339" s="4" t="inlineStr"/>
    </row>
    <row r="340">
      <c r="A340" s="4" t="inlineStr">
        <is>
          <t>1132</t>
        </is>
      </c>
      <c r="B340" s="4" t="inlineStr">
        <is>
          <t>Econometrics</t>
        </is>
      </c>
      <c r="C340" s="4" t="inlineStr">
        <is>
          <t>faculty_expertise</t>
        </is>
      </c>
      <c r="D340" s="4" t="inlineStr">
        <is>
          <t>Faculty Expertise</t>
        </is>
      </c>
      <c r="E340" s="4" t="inlineStr"/>
    </row>
    <row r="341">
      <c r="A341" s="4" t="inlineStr">
        <is>
          <t>187</t>
        </is>
      </c>
      <c r="B341" s="4" t="inlineStr">
        <is>
          <t>Economic Development</t>
        </is>
      </c>
      <c r="C341" s="4" t="inlineStr">
        <is>
          <t>faculty_expertise</t>
        </is>
      </c>
      <c r="D341" s="4" t="inlineStr">
        <is>
          <t>Faculty Expertise</t>
        </is>
      </c>
      <c r="E341" s="4" t="inlineStr"/>
    </row>
    <row r="342">
      <c r="A342" s="4" t="inlineStr">
        <is>
          <t>148</t>
        </is>
      </c>
      <c r="B342" s="4" t="inlineStr">
        <is>
          <t>Economics</t>
        </is>
      </c>
      <c r="C342" s="4" t="inlineStr">
        <is>
          <t>faculty_expertise</t>
        </is>
      </c>
      <c r="D342" s="4" t="inlineStr">
        <is>
          <t>Faculty Expertise</t>
        </is>
      </c>
      <c r="E342" s="4" t="inlineStr"/>
    </row>
    <row r="343">
      <c r="A343" s="4" t="inlineStr">
        <is>
          <t>1374</t>
        </is>
      </c>
      <c r="B343" s="4" t="inlineStr">
        <is>
          <t>Education</t>
        </is>
      </c>
      <c r="C343" s="4" t="inlineStr">
        <is>
          <t>faculty_expertise</t>
        </is>
      </c>
      <c r="D343" s="4" t="inlineStr">
        <is>
          <t>Faculty Expertise</t>
        </is>
      </c>
      <c r="E343" s="4" t="inlineStr"/>
    </row>
    <row r="344">
      <c r="A344" s="4" t="inlineStr">
        <is>
          <t>235</t>
        </is>
      </c>
      <c r="B344" s="4" t="inlineStr">
        <is>
          <t>Elections</t>
        </is>
      </c>
      <c r="C344" s="4" t="inlineStr">
        <is>
          <t>faculty_expertise</t>
        </is>
      </c>
      <c r="D344" s="4" t="inlineStr">
        <is>
          <t>Faculty Expertise</t>
        </is>
      </c>
      <c r="E344" s="4" t="inlineStr"/>
    </row>
    <row r="345">
      <c r="A345" s="4" t="inlineStr">
        <is>
          <t>188</t>
        </is>
      </c>
      <c r="B345" s="4" t="inlineStr">
        <is>
          <t>Emerging Markets</t>
        </is>
      </c>
      <c r="C345" s="4" t="inlineStr">
        <is>
          <t>faculty_expertise</t>
        </is>
      </c>
      <c r="D345" s="4" t="inlineStr">
        <is>
          <t>Faculty Expertise</t>
        </is>
      </c>
      <c r="E345" s="4" t="inlineStr"/>
    </row>
    <row r="346">
      <c r="A346" s="4" t="inlineStr">
        <is>
          <t>149</t>
        </is>
      </c>
      <c r="B346" s="4" t="inlineStr">
        <is>
          <t>Entrepreneurship</t>
        </is>
      </c>
      <c r="C346" s="4" t="inlineStr">
        <is>
          <t>faculty_expertise</t>
        </is>
      </c>
      <c r="D346" s="4" t="inlineStr">
        <is>
          <t>Faculty Expertise</t>
        </is>
      </c>
      <c r="E346" s="4" t="inlineStr"/>
    </row>
    <row r="347">
      <c r="A347" s="4" t="inlineStr">
        <is>
          <t>210</t>
        </is>
      </c>
      <c r="B347" s="4" t="inlineStr">
        <is>
          <t>Environment</t>
        </is>
      </c>
      <c r="C347" s="4" t="inlineStr">
        <is>
          <t>faculty_expertise</t>
        </is>
      </c>
      <c r="D347" s="4" t="inlineStr">
        <is>
          <t>Faculty Expertise</t>
        </is>
      </c>
      <c r="E347" s="4" t="inlineStr"/>
    </row>
    <row r="348">
      <c r="A348" s="4" t="inlineStr">
        <is>
          <t>1203</t>
        </is>
      </c>
      <c r="B348" s="4" t="inlineStr">
        <is>
          <t>Environmental, Social, and Governance (ESG)</t>
        </is>
      </c>
      <c r="C348" s="4" t="inlineStr">
        <is>
          <t>faculty_expertise</t>
        </is>
      </c>
      <c r="D348" s="4" t="inlineStr">
        <is>
          <t>Faculty Expertise</t>
        </is>
      </c>
      <c r="E348" s="4" t="inlineStr"/>
    </row>
    <row r="349">
      <c r="A349" s="4" t="inlineStr">
        <is>
          <t>1375</t>
        </is>
      </c>
      <c r="B349" s="4" t="inlineStr">
        <is>
          <t>Equity and Fairness</t>
        </is>
      </c>
      <c r="C349" s="4" t="inlineStr">
        <is>
          <t>faculty_expertise</t>
        </is>
      </c>
      <c r="D349" s="4" t="inlineStr">
        <is>
          <t>Faculty Expertise</t>
        </is>
      </c>
      <c r="E349" s="4" t="inlineStr"/>
    </row>
    <row r="350">
      <c r="A350" s="4" t="inlineStr">
        <is>
          <t>209</t>
        </is>
      </c>
      <c r="B350" s="4" t="inlineStr">
        <is>
          <t>Ethics</t>
        </is>
      </c>
      <c r="C350" s="4" t="inlineStr">
        <is>
          <t>faculty_expertise</t>
        </is>
      </c>
      <c r="D350" s="4" t="inlineStr">
        <is>
          <t>Faculty Expertise</t>
        </is>
      </c>
      <c r="E350" s="4" t="inlineStr"/>
    </row>
    <row r="351">
      <c r="A351" s="4" t="inlineStr">
        <is>
          <t>143</t>
        </is>
      </c>
      <c r="B351" s="4" t="inlineStr">
        <is>
          <t>Financial Crises</t>
        </is>
      </c>
      <c r="C351" s="4" t="inlineStr">
        <is>
          <t>faculty_expertise</t>
        </is>
      </c>
      <c r="D351" s="4" t="inlineStr">
        <is>
          <t>Faculty Expertise</t>
        </is>
      </c>
      <c r="E351" s="4" t="inlineStr"/>
    </row>
    <row r="352">
      <c r="A352" s="4" t="inlineStr">
        <is>
          <t>144</t>
        </is>
      </c>
      <c r="B352" s="4" t="inlineStr">
        <is>
          <t>Financial Markets</t>
        </is>
      </c>
      <c r="C352" s="4" t="inlineStr">
        <is>
          <t>faculty_expertise</t>
        </is>
      </c>
      <c r="D352" s="4" t="inlineStr">
        <is>
          <t>Faculty Expertise</t>
        </is>
      </c>
      <c r="E352" s="4" t="inlineStr"/>
    </row>
    <row r="353">
      <c r="A353" s="4" t="inlineStr">
        <is>
          <t>145</t>
        </is>
      </c>
      <c r="B353" s="4" t="inlineStr">
        <is>
          <t>Financial Regulation</t>
        </is>
      </c>
      <c r="C353" s="4" t="inlineStr">
        <is>
          <t>faculty_expertise</t>
        </is>
      </c>
      <c r="D353" s="4" t="inlineStr">
        <is>
          <t>Faculty Expertise</t>
        </is>
      </c>
      <c r="E353" s="4" t="inlineStr"/>
    </row>
    <row r="354">
      <c r="A354" s="4" t="inlineStr">
        <is>
          <t>140</t>
        </is>
      </c>
      <c r="B354" s="4" t="inlineStr">
        <is>
          <t>Financial Reporting</t>
        </is>
      </c>
      <c r="C354" s="4" t="inlineStr">
        <is>
          <t>faculty_expertise</t>
        </is>
      </c>
      <c r="D354" s="4" t="inlineStr">
        <is>
          <t>Faculty Expertise</t>
        </is>
      </c>
      <c r="E354" s="4" t="inlineStr"/>
    </row>
    <row r="355">
      <c r="A355" s="4" t="inlineStr">
        <is>
          <t>217</t>
        </is>
      </c>
      <c r="B355" s="4" t="inlineStr">
        <is>
          <t>Game Theory</t>
        </is>
      </c>
      <c r="C355" s="4" t="inlineStr">
        <is>
          <t>faculty_expertise</t>
        </is>
      </c>
      <c r="D355" s="4" t="inlineStr">
        <is>
          <t>Faculty Expertise</t>
        </is>
      </c>
      <c r="E355" s="4" t="inlineStr"/>
    </row>
    <row r="356">
      <c r="A356" s="4" t="inlineStr">
        <is>
          <t>1520</t>
        </is>
      </c>
      <c r="B356" s="4" t="inlineStr">
        <is>
          <t>Gender</t>
        </is>
      </c>
      <c r="C356" s="4" t="inlineStr">
        <is>
          <t>faculty_expertise</t>
        </is>
      </c>
      <c r="D356" s="4" t="inlineStr">
        <is>
          <t>Faculty Expertise</t>
        </is>
      </c>
      <c r="E356" s="4" t="inlineStr"/>
    </row>
    <row r="357">
      <c r="A357" s="4" t="inlineStr">
        <is>
          <t>213</t>
        </is>
      </c>
      <c r="B357" s="4" t="inlineStr">
        <is>
          <t>Global Corporate Strategy</t>
        </is>
      </c>
      <c r="C357" s="4" t="inlineStr">
        <is>
          <t>faculty_expertise</t>
        </is>
      </c>
      <c r="D357" s="4" t="inlineStr">
        <is>
          <t>Faculty Expertise</t>
        </is>
      </c>
      <c r="E357" s="4" t="inlineStr"/>
    </row>
    <row r="358">
      <c r="A358" s="4" t="inlineStr">
        <is>
          <t>189</t>
        </is>
      </c>
      <c r="B358" s="4" t="inlineStr">
        <is>
          <t>Globalization</t>
        </is>
      </c>
      <c r="C358" s="4" t="inlineStr">
        <is>
          <t>faculty_expertise</t>
        </is>
      </c>
      <c r="D358" s="4" t="inlineStr">
        <is>
          <t>Faculty Expertise</t>
        </is>
      </c>
      <c r="E358" s="4" t="inlineStr"/>
    </row>
    <row r="359">
      <c r="A359" s="4" t="inlineStr">
        <is>
          <t>196</t>
        </is>
      </c>
      <c r="B359" s="4" t="inlineStr">
        <is>
          <t>Health Care</t>
        </is>
      </c>
      <c r="C359" s="4" t="inlineStr">
        <is>
          <t>faculty_expertise</t>
        </is>
      </c>
      <c r="D359" s="4" t="inlineStr">
        <is>
          <t>Faculty Expertise</t>
        </is>
      </c>
      <c r="E359" s="4" t="inlineStr"/>
    </row>
    <row r="360">
      <c r="A360" s="4" t="inlineStr">
        <is>
          <t>193</t>
        </is>
      </c>
      <c r="B360" s="4" t="inlineStr">
        <is>
          <t>Hedge Funds</t>
        </is>
      </c>
      <c r="C360" s="4" t="inlineStr">
        <is>
          <t>faculty_expertise</t>
        </is>
      </c>
      <c r="D360" s="4" t="inlineStr">
        <is>
          <t>Faculty Expertise</t>
        </is>
      </c>
      <c r="E360" s="4" t="inlineStr"/>
    </row>
    <row r="361">
      <c r="A361" s="4" t="inlineStr">
        <is>
          <t>178</t>
        </is>
      </c>
      <c r="B361" s="4" t="inlineStr">
        <is>
          <t>Human Resources</t>
        </is>
      </c>
      <c r="C361" s="4" t="inlineStr">
        <is>
          <t>faculty_expertise</t>
        </is>
      </c>
      <c r="D361" s="4" t="inlineStr">
        <is>
          <t>Faculty Expertise</t>
        </is>
      </c>
      <c r="E361" s="4" t="inlineStr"/>
    </row>
    <row r="362">
      <c r="A362" s="4" t="inlineStr">
        <is>
          <t>162</t>
        </is>
      </c>
      <c r="B362" s="4" t="inlineStr">
        <is>
          <t>Innovation</t>
        </is>
      </c>
      <c r="C362" s="4" t="inlineStr">
        <is>
          <t>faculty_expertise</t>
        </is>
      </c>
      <c r="D362" s="4" t="inlineStr">
        <is>
          <t>Faculty Expertise</t>
        </is>
      </c>
      <c r="E362" s="4" t="inlineStr"/>
    </row>
    <row r="363">
      <c r="A363" s="4" t="inlineStr">
        <is>
          <t>223</t>
        </is>
      </c>
      <c r="B363" s="4" t="inlineStr">
        <is>
          <t>International Finance</t>
        </is>
      </c>
      <c r="C363" s="4" t="inlineStr">
        <is>
          <t>faculty_expertise</t>
        </is>
      </c>
      <c r="D363" s="4" t="inlineStr">
        <is>
          <t>Faculty Expertise</t>
        </is>
      </c>
      <c r="E363" s="4" t="inlineStr"/>
    </row>
    <row r="364">
      <c r="A364" s="4" t="inlineStr">
        <is>
          <t>1707</t>
        </is>
      </c>
      <c r="B364" s="4" t="inlineStr">
        <is>
          <t>International Macroeconomics</t>
        </is>
      </c>
      <c r="C364" s="4" t="inlineStr">
        <is>
          <t>faculty_expertise</t>
        </is>
      </c>
      <c r="D364" s="4" t="inlineStr">
        <is>
          <t>Faculty Expertise</t>
        </is>
      </c>
      <c r="E364" s="4" t="inlineStr"/>
    </row>
    <row r="365">
      <c r="A365" s="4" t="inlineStr">
        <is>
          <t>198</t>
        </is>
      </c>
      <c r="B365" s="4" t="inlineStr">
        <is>
          <t>International Trade</t>
        </is>
      </c>
      <c r="C365" s="4" t="inlineStr">
        <is>
          <t>faculty_expertise</t>
        </is>
      </c>
      <c r="D365" s="4" t="inlineStr">
        <is>
          <t>Faculty Expertise</t>
        </is>
      </c>
      <c r="E365" s="4" t="inlineStr"/>
    </row>
    <row r="366">
      <c r="A366" s="4" t="inlineStr">
        <is>
          <t>179</t>
        </is>
      </c>
      <c r="B366" s="4" t="inlineStr">
        <is>
          <t>Labor Issues</t>
        </is>
      </c>
      <c r="C366" s="4" t="inlineStr">
        <is>
          <t>faculty_expertise</t>
        </is>
      </c>
      <c r="D366" s="4" t="inlineStr">
        <is>
          <t>Faculty Expertise</t>
        </is>
      </c>
      <c r="E366" s="4" t="inlineStr"/>
    </row>
    <row r="367">
      <c r="A367" s="4" t="inlineStr">
        <is>
          <t>180</t>
        </is>
      </c>
      <c r="B367" s="4" t="inlineStr">
        <is>
          <t>Leadership</t>
        </is>
      </c>
      <c r="C367" s="4" t="inlineStr">
        <is>
          <t>faculty_expertise</t>
        </is>
      </c>
      <c r="D367" s="4" t="inlineStr">
        <is>
          <t>Faculty Expertise</t>
        </is>
      </c>
      <c r="E367" s="4" t="inlineStr"/>
    </row>
    <row r="368">
      <c r="A368" s="4" t="inlineStr">
        <is>
          <t>1131</t>
        </is>
      </c>
      <c r="B368" s="4" t="inlineStr">
        <is>
          <t>Machine Learning</t>
        </is>
      </c>
      <c r="C368" s="4" t="inlineStr">
        <is>
          <t>faculty_expertise</t>
        </is>
      </c>
      <c r="D368" s="4" t="inlineStr">
        <is>
          <t>Faculty Expertise</t>
        </is>
      </c>
      <c r="E368" s="4" t="inlineStr"/>
    </row>
    <row r="369">
      <c r="A369" s="4" t="inlineStr">
        <is>
          <t>1708</t>
        </is>
      </c>
      <c r="B369" s="4" t="inlineStr">
        <is>
          <t>Macroeconomics</t>
        </is>
      </c>
      <c r="C369" s="4" t="inlineStr">
        <is>
          <t>faculty_expertise</t>
        </is>
      </c>
      <c r="D369" s="4" t="inlineStr">
        <is>
          <t>Faculty Expertise</t>
        </is>
      </c>
      <c r="E369" s="4" t="inlineStr"/>
    </row>
    <row r="370">
      <c r="A370" s="4" t="inlineStr">
        <is>
          <t>199</t>
        </is>
      </c>
      <c r="B370" s="4" t="inlineStr">
        <is>
          <t>Manufacturing</t>
        </is>
      </c>
      <c r="C370" s="4" t="inlineStr">
        <is>
          <t>faculty_expertise</t>
        </is>
      </c>
      <c r="D370" s="4" t="inlineStr">
        <is>
          <t>Faculty Expertise</t>
        </is>
      </c>
      <c r="E370" s="4" t="inlineStr"/>
    </row>
    <row r="371">
      <c r="A371" s="4" t="inlineStr">
        <is>
          <t>1372</t>
        </is>
      </c>
      <c r="B371" s="4" t="inlineStr">
        <is>
          <t>Market Design</t>
        </is>
      </c>
      <c r="C371" s="4" t="inlineStr">
        <is>
          <t>faculty_expertise</t>
        </is>
      </c>
      <c r="D371" s="4" t="inlineStr">
        <is>
          <t>Faculty Expertise</t>
        </is>
      </c>
      <c r="E371" s="4" t="inlineStr"/>
    </row>
    <row r="372">
      <c r="A372" s="4" t="inlineStr">
        <is>
          <t>156</t>
        </is>
      </c>
      <c r="B372" s="4" t="inlineStr">
        <is>
          <t>Marketing</t>
        </is>
      </c>
      <c r="C372" s="4" t="inlineStr">
        <is>
          <t>faculty_expertise</t>
        </is>
      </c>
      <c r="D372" s="4" t="inlineStr">
        <is>
          <t>Faculty Expertise</t>
        </is>
      </c>
      <c r="E372" s="4" t="inlineStr"/>
    </row>
    <row r="373">
      <c r="A373" s="4" t="inlineStr">
        <is>
          <t>218</t>
        </is>
      </c>
      <c r="B373" s="4" t="inlineStr">
        <is>
          <t>Marketing Strategy</t>
        </is>
      </c>
      <c r="C373" s="4" t="inlineStr">
        <is>
          <t>faculty_expertise</t>
        </is>
      </c>
      <c r="D373" s="4" t="inlineStr">
        <is>
          <t>Faculty Expertise</t>
        </is>
      </c>
      <c r="E373" s="4" t="inlineStr"/>
    </row>
    <row r="374">
      <c r="A374" s="4" t="inlineStr">
        <is>
          <t>241</t>
        </is>
      </c>
      <c r="B374" s="4" t="inlineStr">
        <is>
          <t>Matching Markets</t>
        </is>
      </c>
      <c r="C374" s="4" t="inlineStr">
        <is>
          <t>faculty_expertise</t>
        </is>
      </c>
      <c r="D374" s="4" t="inlineStr">
        <is>
          <t>Faculty Expertise</t>
        </is>
      </c>
      <c r="E374" s="4" t="inlineStr"/>
    </row>
    <row r="375">
      <c r="A375" s="4" t="inlineStr">
        <is>
          <t>1135</t>
        </is>
      </c>
      <c r="B375" s="4" t="inlineStr">
        <is>
          <t>Mechanism Design</t>
        </is>
      </c>
      <c r="C375" s="4" t="inlineStr">
        <is>
          <t>faculty_expertise</t>
        </is>
      </c>
      <c r="D375" s="4" t="inlineStr">
        <is>
          <t>Faculty Expertise</t>
        </is>
      </c>
      <c r="E375" s="4" t="inlineStr"/>
    </row>
    <row r="376">
      <c r="A376" s="4" t="inlineStr">
        <is>
          <t>150</t>
        </is>
      </c>
      <c r="B376" s="4" t="inlineStr">
        <is>
          <t>Mergers &amp; Acquisitions</t>
        </is>
      </c>
      <c r="C376" s="4" t="inlineStr">
        <is>
          <t>faculty_expertise</t>
        </is>
      </c>
      <c r="D376" s="4" t="inlineStr">
        <is>
          <t>Faculty Expertise</t>
        </is>
      </c>
      <c r="E376" s="4" t="inlineStr"/>
    </row>
    <row r="377">
      <c r="A377" s="4" t="inlineStr">
        <is>
          <t>242</t>
        </is>
      </c>
      <c r="B377" s="4" t="inlineStr">
        <is>
          <t>Methodology</t>
        </is>
      </c>
      <c r="C377" s="4" t="inlineStr">
        <is>
          <t>faculty_expertise</t>
        </is>
      </c>
      <c r="D377" s="4" t="inlineStr">
        <is>
          <t>Faculty Expertise</t>
        </is>
      </c>
      <c r="E377" s="4" t="inlineStr"/>
    </row>
    <row r="378">
      <c r="A378" s="4" t="inlineStr">
        <is>
          <t>247</t>
        </is>
      </c>
      <c r="B378" s="4" t="inlineStr">
        <is>
          <t>Monetary Policy</t>
        </is>
      </c>
      <c r="C378" s="4" t="inlineStr">
        <is>
          <t>faculty_expertise</t>
        </is>
      </c>
      <c r="D378" s="4" t="inlineStr">
        <is>
          <t>Faculty Expertise</t>
        </is>
      </c>
      <c r="E378" s="4" t="inlineStr"/>
    </row>
    <row r="379">
      <c r="A379" s="4" t="inlineStr">
        <is>
          <t>249</t>
        </is>
      </c>
      <c r="B379" s="4" t="inlineStr">
        <is>
          <t>Municipalities</t>
        </is>
      </c>
      <c r="C379" s="4" t="inlineStr">
        <is>
          <t>faculty_expertise</t>
        </is>
      </c>
      <c r="D379" s="4" t="inlineStr">
        <is>
          <t>Faculty Expertise</t>
        </is>
      </c>
      <c r="E379" s="4" t="inlineStr"/>
    </row>
    <row r="380">
      <c r="A380" s="4" t="inlineStr">
        <is>
          <t>151</t>
        </is>
      </c>
      <c r="B380" s="4" t="inlineStr">
        <is>
          <t>Mutual Funds</t>
        </is>
      </c>
      <c r="C380" s="4" t="inlineStr">
        <is>
          <t>faculty_expertise</t>
        </is>
      </c>
      <c r="D380" s="4" t="inlineStr">
        <is>
          <t>Faculty Expertise</t>
        </is>
      </c>
      <c r="E380" s="4" t="inlineStr"/>
    </row>
    <row r="381">
      <c r="A381" s="4" t="inlineStr">
        <is>
          <t>214</t>
        </is>
      </c>
      <c r="B381" s="4" t="inlineStr">
        <is>
          <t>National Security &amp; International Order</t>
        </is>
      </c>
      <c r="C381" s="4" t="inlineStr">
        <is>
          <t>faculty_expertise</t>
        </is>
      </c>
      <c r="D381" s="4" t="inlineStr">
        <is>
          <t>Faculty Expertise</t>
        </is>
      </c>
      <c r="E381" s="4" t="inlineStr"/>
    </row>
    <row r="382">
      <c r="A382" s="4" t="inlineStr">
        <is>
          <t>226</t>
        </is>
      </c>
      <c r="B382" s="4" t="inlineStr">
        <is>
          <t>Negotiations</t>
        </is>
      </c>
      <c r="C382" s="4" t="inlineStr">
        <is>
          <t>faculty_expertise</t>
        </is>
      </c>
      <c r="D382" s="4" t="inlineStr">
        <is>
          <t>Faculty Expertise</t>
        </is>
      </c>
      <c r="E382" s="4" t="inlineStr"/>
    </row>
    <row r="383">
      <c r="A383" s="4" t="inlineStr">
        <is>
          <t>202</t>
        </is>
      </c>
      <c r="B383" s="4" t="inlineStr">
        <is>
          <t>Nonprofit Accounting</t>
        </is>
      </c>
      <c r="C383" s="4" t="inlineStr">
        <is>
          <t>faculty_expertise</t>
        </is>
      </c>
      <c r="D383" s="4" t="inlineStr">
        <is>
          <t>Faculty Expertise</t>
        </is>
      </c>
      <c r="E383" s="4" t="inlineStr"/>
    </row>
    <row r="384">
      <c r="A384" s="4" t="inlineStr">
        <is>
          <t>181</t>
        </is>
      </c>
      <c r="B384" s="4" t="inlineStr">
        <is>
          <t>Nonprofit Management</t>
        </is>
      </c>
      <c r="C384" s="4" t="inlineStr">
        <is>
          <t>faculty_expertise</t>
        </is>
      </c>
      <c r="D384" s="4" t="inlineStr">
        <is>
          <t>Faculty Expertise</t>
        </is>
      </c>
      <c r="E384" s="4" t="inlineStr"/>
    </row>
    <row r="385">
      <c r="A385" s="4" t="inlineStr">
        <is>
          <t>205</t>
        </is>
      </c>
      <c r="B385" s="4" t="inlineStr">
        <is>
          <t>Nonprofit Operations</t>
        </is>
      </c>
      <c r="C385" s="4" t="inlineStr">
        <is>
          <t>faculty_expertise</t>
        </is>
      </c>
      <c r="D385" s="4" t="inlineStr">
        <is>
          <t>Faculty Expertise</t>
        </is>
      </c>
      <c r="E385" s="4" t="inlineStr"/>
    </row>
    <row r="386">
      <c r="A386" s="4" t="inlineStr">
        <is>
          <t>237</t>
        </is>
      </c>
      <c r="B386" s="4" t="inlineStr">
        <is>
          <t>Online Marketing</t>
        </is>
      </c>
      <c r="C386" s="4" t="inlineStr">
        <is>
          <t>faculty_expertise</t>
        </is>
      </c>
      <c r="D386" s="4" t="inlineStr">
        <is>
          <t>Faculty Expertise</t>
        </is>
      </c>
      <c r="E386" s="4" t="inlineStr"/>
    </row>
    <row r="387">
      <c r="A387" s="4" t="inlineStr">
        <is>
          <t>169</t>
        </is>
      </c>
      <c r="B387" s="4" t="inlineStr">
        <is>
          <t>Operations</t>
        </is>
      </c>
      <c r="C387" s="4" t="inlineStr">
        <is>
          <t>faculty_expertise</t>
        </is>
      </c>
      <c r="D387" s="4" t="inlineStr">
        <is>
          <t>Faculty Expertise</t>
        </is>
      </c>
      <c r="E387" s="4" t="inlineStr"/>
    </row>
    <row r="388">
      <c r="A388" s="4" t="inlineStr">
        <is>
          <t>170</t>
        </is>
      </c>
      <c r="B388" s="4" t="inlineStr">
        <is>
          <t>Operations Research</t>
        </is>
      </c>
      <c r="C388" s="4" t="inlineStr">
        <is>
          <t>faculty_expertise</t>
        </is>
      </c>
      <c r="D388" s="4" t="inlineStr">
        <is>
          <t>Faculty Expertise</t>
        </is>
      </c>
      <c r="E388" s="4" t="inlineStr"/>
    </row>
    <row r="389">
      <c r="A389" s="4" t="inlineStr">
        <is>
          <t>176</t>
        </is>
      </c>
      <c r="B389" s="4" t="inlineStr">
        <is>
          <t>Organizational Behavior</t>
        </is>
      </c>
      <c r="C389" s="4" t="inlineStr">
        <is>
          <t>faculty_expertise</t>
        </is>
      </c>
      <c r="D389" s="4" t="inlineStr">
        <is>
          <t>Faculty Expertise</t>
        </is>
      </c>
      <c r="E389" s="4" t="inlineStr"/>
    </row>
    <row r="390">
      <c r="A390" s="4" t="inlineStr">
        <is>
          <t>182</t>
        </is>
      </c>
      <c r="B390" s="4" t="inlineStr">
        <is>
          <t>Organizational Design</t>
        </is>
      </c>
      <c r="C390" s="4" t="inlineStr">
        <is>
          <t>faculty_expertise</t>
        </is>
      </c>
      <c r="D390" s="4" t="inlineStr">
        <is>
          <t>Faculty Expertise</t>
        </is>
      </c>
      <c r="E390" s="4" t="inlineStr"/>
    </row>
    <row r="391">
      <c r="A391" s="4" t="inlineStr">
        <is>
          <t>244</t>
        </is>
      </c>
      <c r="B391" s="4" t="inlineStr">
        <is>
          <t>Organizational Ethnography</t>
        </is>
      </c>
      <c r="C391" s="4" t="inlineStr">
        <is>
          <t>faculty_expertise</t>
        </is>
      </c>
      <c r="D391" s="4" t="inlineStr">
        <is>
          <t>Faculty Expertise</t>
        </is>
      </c>
      <c r="E391" s="4" t="inlineStr"/>
    </row>
    <row r="392">
      <c r="A392" s="4" t="inlineStr">
        <is>
          <t>1134</t>
        </is>
      </c>
      <c r="B392" s="4" t="inlineStr">
        <is>
          <t>Platform Design</t>
        </is>
      </c>
      <c r="C392" s="4" t="inlineStr">
        <is>
          <t>faculty_expertise</t>
        </is>
      </c>
      <c r="D392" s="4" t="inlineStr">
        <is>
          <t>Faculty Expertise</t>
        </is>
      </c>
      <c r="E392" s="4" t="inlineStr"/>
    </row>
    <row r="393">
      <c r="A393" s="4" t="inlineStr">
        <is>
          <t>171</t>
        </is>
      </c>
      <c r="B393" s="4" t="inlineStr">
        <is>
          <t>Policy Modeling</t>
        </is>
      </c>
      <c r="C393" s="4" t="inlineStr">
        <is>
          <t>faculty_expertise</t>
        </is>
      </c>
      <c r="D393" s="4" t="inlineStr">
        <is>
          <t>Faculty Expertise</t>
        </is>
      </c>
      <c r="E393" s="4" t="inlineStr"/>
    </row>
    <row r="394">
      <c r="A394" s="4" t="inlineStr">
        <is>
          <t>1519</t>
        </is>
      </c>
      <c r="B394" s="4" t="inlineStr">
        <is>
          <t>Political Economy</t>
        </is>
      </c>
      <c r="C394" s="4" t="inlineStr">
        <is>
          <t>faculty_expertise</t>
        </is>
      </c>
      <c r="D394" s="4" t="inlineStr">
        <is>
          <t>Faculty Expertise</t>
        </is>
      </c>
      <c r="E394" s="4" t="inlineStr"/>
    </row>
    <row r="395">
      <c r="A395" s="4" t="inlineStr">
        <is>
          <t>1133</t>
        </is>
      </c>
      <c r="B395" s="4" t="inlineStr">
        <is>
          <t>Pricing</t>
        </is>
      </c>
      <c r="C395" s="4" t="inlineStr">
        <is>
          <t>faculty_expertise</t>
        </is>
      </c>
      <c r="D395" s="4" t="inlineStr">
        <is>
          <t>Faculty Expertise</t>
        </is>
      </c>
      <c r="E395" s="4" t="inlineStr"/>
    </row>
    <row r="396">
      <c r="A396" s="4" t="inlineStr">
        <is>
          <t>204</t>
        </is>
      </c>
      <c r="B396" s="4" t="inlineStr">
        <is>
          <t>Private Equity</t>
        </is>
      </c>
      <c r="C396" s="4" t="inlineStr">
        <is>
          <t>faculty_expertise</t>
        </is>
      </c>
      <c r="D396" s="4" t="inlineStr">
        <is>
          <t>Faculty Expertise</t>
        </is>
      </c>
      <c r="E396" s="4" t="inlineStr"/>
    </row>
    <row r="397">
      <c r="A397" s="4" t="inlineStr">
        <is>
          <t>227</t>
        </is>
      </c>
      <c r="B397" s="4" t="inlineStr">
        <is>
          <t>Product Design</t>
        </is>
      </c>
      <c r="C397" s="4" t="inlineStr">
        <is>
          <t>faculty_expertise</t>
        </is>
      </c>
      <c r="D397" s="4" t="inlineStr">
        <is>
          <t>Faculty Expertise</t>
        </is>
      </c>
      <c r="E397" s="4" t="inlineStr"/>
    </row>
    <row r="398">
      <c r="A398" s="4" t="inlineStr">
        <is>
          <t>238</t>
        </is>
      </c>
      <c r="B398" s="4" t="inlineStr">
        <is>
          <t>Product Management</t>
        </is>
      </c>
      <c r="C398" s="4" t="inlineStr">
        <is>
          <t>faculty_expertise</t>
        </is>
      </c>
      <c r="D398" s="4" t="inlineStr">
        <is>
          <t>Faculty Expertise</t>
        </is>
      </c>
      <c r="E398" s="4" t="inlineStr"/>
    </row>
    <row r="399">
      <c r="A399" s="4" t="inlineStr">
        <is>
          <t>1373</t>
        </is>
      </c>
      <c r="B399" s="4" t="inlineStr">
        <is>
          <t>Public and Social Operations</t>
        </is>
      </c>
      <c r="C399" s="4" t="inlineStr">
        <is>
          <t>faculty_expertise</t>
        </is>
      </c>
      <c r="D399" s="4" t="inlineStr">
        <is>
          <t>Faculty Expertise</t>
        </is>
      </c>
      <c r="E399" s="4" t="inlineStr"/>
    </row>
    <row r="400">
      <c r="A400" s="4" t="inlineStr">
        <is>
          <t>250</t>
        </is>
      </c>
      <c r="B400" s="4" t="inlineStr">
        <is>
          <t>Public Finance</t>
        </is>
      </c>
      <c r="C400" s="4" t="inlineStr">
        <is>
          <t>faculty_expertise</t>
        </is>
      </c>
      <c r="D400" s="4" t="inlineStr">
        <is>
          <t>Faculty Expertise</t>
        </is>
      </c>
      <c r="E400" s="4" t="inlineStr"/>
    </row>
    <row r="401">
      <c r="A401" s="4" t="inlineStr">
        <is>
          <t>172</t>
        </is>
      </c>
      <c r="B401" s="4" t="inlineStr">
        <is>
          <t>Public Health</t>
        </is>
      </c>
      <c r="C401" s="4" t="inlineStr">
        <is>
          <t>faculty_expertise</t>
        </is>
      </c>
      <c r="D401" s="4" t="inlineStr">
        <is>
          <t>Faculty Expertise</t>
        </is>
      </c>
      <c r="E401" s="4" t="inlineStr"/>
    </row>
    <row r="402">
      <c r="A402" s="4" t="inlineStr">
        <is>
          <t>251</t>
        </is>
      </c>
      <c r="B402" s="4" t="inlineStr">
        <is>
          <t>Public Procurement</t>
        </is>
      </c>
      <c r="C402" s="4" t="inlineStr">
        <is>
          <t>faculty_expertise</t>
        </is>
      </c>
      <c r="D402" s="4" t="inlineStr">
        <is>
          <t>Faculty Expertise</t>
        </is>
      </c>
      <c r="E402" s="4" t="inlineStr"/>
    </row>
    <row r="403">
      <c r="A403" s="4" t="inlineStr">
        <is>
          <t>1136</t>
        </is>
      </c>
      <c r="B403" s="4" t="inlineStr">
        <is>
          <t>Quality Management</t>
        </is>
      </c>
      <c r="C403" s="4" t="inlineStr">
        <is>
          <t>faculty_expertise</t>
        </is>
      </c>
      <c r="D403" s="4" t="inlineStr">
        <is>
          <t>Faculty Expertise</t>
        </is>
      </c>
      <c r="E403" s="4" t="inlineStr"/>
    </row>
    <row r="404">
      <c r="A404" s="4" t="inlineStr">
        <is>
          <t>152</t>
        </is>
      </c>
      <c r="B404" s="4" t="inlineStr">
        <is>
          <t>Real Estate/Housing Markets</t>
        </is>
      </c>
      <c r="C404" s="4" t="inlineStr">
        <is>
          <t>faculty_expertise</t>
        </is>
      </c>
      <c r="D404" s="4" t="inlineStr">
        <is>
          <t>Faculty Expertise</t>
        </is>
      </c>
      <c r="E404" s="4" t="inlineStr"/>
    </row>
    <row r="405">
      <c r="A405" s="4" t="inlineStr">
        <is>
          <t>221</t>
        </is>
      </c>
      <c r="B405" s="4" t="inlineStr">
        <is>
          <t>Regulation</t>
        </is>
      </c>
      <c r="C405" s="4" t="inlineStr">
        <is>
          <t>faculty_expertise</t>
        </is>
      </c>
      <c r="D405" s="4" t="inlineStr">
        <is>
          <t>Faculty Expertise</t>
        </is>
      </c>
      <c r="E405" s="4" t="inlineStr"/>
    </row>
    <row r="406">
      <c r="A406" s="4" t="inlineStr">
        <is>
          <t>203</t>
        </is>
      </c>
      <c r="B406" s="4" t="inlineStr">
        <is>
          <t>Restructuring</t>
        </is>
      </c>
      <c r="C406" s="4" t="inlineStr">
        <is>
          <t>faculty_expertise</t>
        </is>
      </c>
      <c r="D406" s="4" t="inlineStr">
        <is>
          <t>Faculty Expertise</t>
        </is>
      </c>
      <c r="E406" s="4" t="inlineStr"/>
    </row>
    <row r="407">
      <c r="A407" s="4" t="inlineStr">
        <is>
          <t>206</t>
        </is>
      </c>
      <c r="B407" s="4" t="inlineStr">
        <is>
          <t>Service Operations</t>
        </is>
      </c>
      <c r="C407" s="4" t="inlineStr">
        <is>
          <t>faculty_expertise</t>
        </is>
      </c>
      <c r="D407" s="4" t="inlineStr">
        <is>
          <t>Faculty Expertise</t>
        </is>
      </c>
      <c r="E407" s="4" t="inlineStr"/>
    </row>
    <row r="408">
      <c r="A408" s="4" t="inlineStr">
        <is>
          <t>183</t>
        </is>
      </c>
      <c r="B408" s="4" t="inlineStr">
        <is>
          <t>Social Enterprise</t>
        </is>
      </c>
      <c r="C408" s="4" t="inlineStr">
        <is>
          <t>faculty_expertise</t>
        </is>
      </c>
      <c r="D408" s="4" t="inlineStr">
        <is>
          <t>Faculty Expertise</t>
        </is>
      </c>
      <c r="E408" s="4" t="inlineStr"/>
    </row>
    <row r="409">
      <c r="A409" s="4" t="inlineStr">
        <is>
          <t>1212</t>
        </is>
      </c>
      <c r="B409" s="4" t="inlineStr">
        <is>
          <t>Social Impact</t>
        </is>
      </c>
      <c r="C409" s="4" t="inlineStr">
        <is>
          <t>faculty_expertise</t>
        </is>
      </c>
      <c r="D409" s="4" t="inlineStr">
        <is>
          <t>Faculty Expertise</t>
        </is>
      </c>
      <c r="E409" s="4" t="inlineStr"/>
    </row>
    <row r="410">
      <c r="A410" s="4" t="inlineStr">
        <is>
          <t>233</t>
        </is>
      </c>
      <c r="B410" s="4" t="inlineStr">
        <is>
          <t>Social Impact Measurement</t>
        </is>
      </c>
      <c r="C410" s="4" t="inlineStr">
        <is>
          <t>faculty_expertise</t>
        </is>
      </c>
      <c r="D410" s="4" t="inlineStr">
        <is>
          <t>Faculty Expertise</t>
        </is>
      </c>
      <c r="E410" s="4" t="inlineStr"/>
    </row>
    <row r="411">
      <c r="A411" s="4" t="inlineStr">
        <is>
          <t>197</t>
        </is>
      </c>
      <c r="B411" s="4" t="inlineStr">
        <is>
          <t>Social Media</t>
        </is>
      </c>
      <c r="C411" s="4" t="inlineStr">
        <is>
          <t>faculty_expertise</t>
        </is>
      </c>
      <c r="D411" s="4" t="inlineStr">
        <is>
          <t>Faculty Expertise</t>
        </is>
      </c>
      <c r="E411" s="4" t="inlineStr"/>
    </row>
    <row r="412">
      <c r="A412" s="4" t="inlineStr">
        <is>
          <t>154</t>
        </is>
      </c>
      <c r="B412" s="4" t="inlineStr">
        <is>
          <t>Social Networks</t>
        </is>
      </c>
      <c r="C412" s="4" t="inlineStr">
        <is>
          <t>faculty_expertise</t>
        </is>
      </c>
      <c r="D412" s="4" t="inlineStr">
        <is>
          <t>Faculty Expertise</t>
        </is>
      </c>
      <c r="E412" s="4" t="inlineStr"/>
    </row>
    <row r="413">
      <c r="A413" s="4" t="inlineStr">
        <is>
          <t>173</t>
        </is>
      </c>
      <c r="B413" s="4" t="inlineStr">
        <is>
          <t>Sports Analytics</t>
        </is>
      </c>
      <c r="C413" s="4" t="inlineStr">
        <is>
          <t>faculty_expertise</t>
        </is>
      </c>
      <c r="D413" s="4" t="inlineStr">
        <is>
          <t>Faculty Expertise</t>
        </is>
      </c>
      <c r="E413" s="4" t="inlineStr"/>
    </row>
    <row r="414">
      <c r="A414" s="4" t="inlineStr">
        <is>
          <t>184</t>
        </is>
      </c>
      <c r="B414" s="4" t="inlineStr">
        <is>
          <t>Startups</t>
        </is>
      </c>
      <c r="C414" s="4" t="inlineStr">
        <is>
          <t>faculty_expertise</t>
        </is>
      </c>
      <c r="D414" s="4" t="inlineStr">
        <is>
          <t>Faculty Expertise</t>
        </is>
      </c>
      <c r="E414" s="4" t="inlineStr"/>
    </row>
    <row r="415">
      <c r="A415" s="4" t="inlineStr">
        <is>
          <t>163</t>
        </is>
      </c>
      <c r="B415" s="4" t="inlineStr">
        <is>
          <t>Strategy</t>
        </is>
      </c>
      <c r="C415" s="4" t="inlineStr">
        <is>
          <t>faculty_expertise</t>
        </is>
      </c>
      <c r="D415" s="4" t="inlineStr">
        <is>
          <t>Faculty Expertise</t>
        </is>
      </c>
      <c r="E415" s="4" t="inlineStr"/>
    </row>
    <row r="416">
      <c r="A416" s="4" t="inlineStr">
        <is>
          <t>207</t>
        </is>
      </c>
      <c r="B416" s="4" t="inlineStr">
        <is>
          <t>Supply Chain</t>
        </is>
      </c>
      <c r="C416" s="4" t="inlineStr">
        <is>
          <t>faculty_expertise</t>
        </is>
      </c>
      <c r="D416" s="4" t="inlineStr">
        <is>
          <t>Faculty Expertise</t>
        </is>
      </c>
      <c r="E416" s="4" t="inlineStr"/>
    </row>
    <row r="417">
      <c r="A417" s="4" t="inlineStr">
        <is>
          <t>230</t>
        </is>
      </c>
      <c r="B417" s="4" t="inlineStr">
        <is>
          <t>Sustainability</t>
        </is>
      </c>
      <c r="C417" s="4" t="inlineStr">
        <is>
          <t>faculty_expertise</t>
        </is>
      </c>
      <c r="D417" s="4" t="inlineStr">
        <is>
          <t>Faculty Expertise</t>
        </is>
      </c>
      <c r="E417" s="4" t="inlineStr"/>
    </row>
    <row r="418">
      <c r="A418" s="4" t="inlineStr">
        <is>
          <t>164</t>
        </is>
      </c>
      <c r="B418" s="4" t="inlineStr">
        <is>
          <t>Technological Innovation</t>
        </is>
      </c>
      <c r="C418" s="4" t="inlineStr">
        <is>
          <t>faculty_expertise</t>
        </is>
      </c>
      <c r="D418" s="4" t="inlineStr">
        <is>
          <t>Faculty Expertise</t>
        </is>
      </c>
      <c r="E418" s="4" t="inlineStr"/>
    </row>
    <row r="419">
      <c r="A419" s="4" t="inlineStr">
        <is>
          <t>215</t>
        </is>
      </c>
      <c r="B419" s="4" t="inlineStr">
        <is>
          <t>Technology Strategy</t>
        </is>
      </c>
      <c r="C419" s="4" t="inlineStr">
        <is>
          <t>faculty_expertise</t>
        </is>
      </c>
      <c r="D419" s="4" t="inlineStr">
        <is>
          <t>Faculty Expertise</t>
        </is>
      </c>
      <c r="E419" s="4" t="inlineStr"/>
    </row>
    <row r="420">
      <c r="A420" s="4" t="inlineStr">
        <is>
          <t>234</t>
        </is>
      </c>
      <c r="B420" s="4" t="inlineStr">
        <is>
          <t>Urban Economic Development</t>
        </is>
      </c>
      <c r="C420" s="4" t="inlineStr">
        <is>
          <t>faculty_expertise</t>
        </is>
      </c>
      <c r="D420" s="4" t="inlineStr">
        <is>
          <t>Faculty Expertise</t>
        </is>
      </c>
      <c r="E420" s="4" t="inlineStr"/>
    </row>
    <row r="421">
      <c r="A421" s="4" t="inlineStr">
        <is>
          <t>153</t>
        </is>
      </c>
      <c r="B421" s="4" t="inlineStr">
        <is>
          <t>Valuation</t>
        </is>
      </c>
      <c r="C421" s="4" t="inlineStr">
        <is>
          <t>faculty_expertise</t>
        </is>
      </c>
      <c r="D421" s="4" t="inlineStr">
        <is>
          <t>Faculty Expertise</t>
        </is>
      </c>
      <c r="E421" s="4" t="inlineStr"/>
    </row>
    <row r="422">
      <c r="A422" s="4" t="inlineStr">
        <is>
          <t>239</t>
        </is>
      </c>
      <c r="B422" s="4" t="inlineStr">
        <is>
          <t>Venture Capital</t>
        </is>
      </c>
      <c r="C422" s="4" t="inlineStr">
        <is>
          <t>faculty_expertise</t>
        </is>
      </c>
      <c r="D422" s="4" t="inlineStr">
        <is>
          <t>Faculty Expertise</t>
        </is>
      </c>
      <c r="E422" s="4" t="inlineStr"/>
    </row>
    <row r="423">
      <c r="A423" s="4" t="inlineStr">
        <is>
          <t>185</t>
        </is>
      </c>
      <c r="B423" s="4" t="inlineStr">
        <is>
          <t>Women in Leadership</t>
        </is>
      </c>
      <c r="C423" s="4" t="inlineStr">
        <is>
          <t>faculty_expertise</t>
        </is>
      </c>
      <c r="D423" s="4" t="inlineStr">
        <is>
          <t>Faculty Expertise</t>
        </is>
      </c>
      <c r="E423" s="4" t="inlineStr"/>
    </row>
    <row r="424">
      <c r="A424" s="4" t="inlineStr">
        <is>
          <t>219</t>
        </is>
      </c>
      <c r="B424" s="4" t="inlineStr">
        <is>
          <t>Word-of-Mouth</t>
        </is>
      </c>
      <c r="C424" s="4" t="inlineStr">
        <is>
          <t>faculty_expertise</t>
        </is>
      </c>
      <c r="D424" s="4" t="inlineStr">
        <is>
          <t>Faculty Expertise</t>
        </is>
      </c>
      <c r="E424" s="4" t="inlineStr"/>
    </row>
    <row r="425">
      <c r="A425" s="4" t="inlineStr">
        <is>
          <t>245</t>
        </is>
      </c>
      <c r="B425" s="4" t="inlineStr">
        <is>
          <t>Work and Occupations</t>
        </is>
      </c>
      <c r="C425" s="4" t="inlineStr">
        <is>
          <t>faculty_expertise</t>
        </is>
      </c>
      <c r="D425" s="4" t="inlineStr">
        <is>
          <t>Faculty Expertise</t>
        </is>
      </c>
      <c r="E425" s="4" t="inlineStr"/>
    </row>
    <row r="426">
      <c r="A426" s="4" t="inlineStr">
        <is>
          <t>186</t>
        </is>
      </c>
      <c r="B426" s="4" t="inlineStr">
        <is>
          <t>Workplace Issues</t>
        </is>
      </c>
      <c r="C426" s="4" t="inlineStr">
        <is>
          <t>faculty_expertise</t>
        </is>
      </c>
      <c r="D426" s="4" t="inlineStr">
        <is>
          <t>Faculty Expertise</t>
        </is>
      </c>
      <c r="E426" s="4" t="inlineStr"/>
    </row>
    <row r="427">
      <c r="A427" s="4" t="inlineStr">
        <is>
          <t>270</t>
        </is>
      </c>
      <c r="B427" s="4" t="inlineStr">
        <is>
          <t>Asian Institute of Management</t>
        </is>
      </c>
      <c r="C427" s="4" t="inlineStr">
        <is>
          <t>global_network_school</t>
        </is>
      </c>
      <c r="D427" s="4" t="inlineStr">
        <is>
          <t>Global Network School</t>
        </is>
      </c>
      <c r="E427" s="4" t="inlineStr"/>
    </row>
    <row r="428">
      <c r="A428" s="4" t="inlineStr">
        <is>
          <t>1162</t>
        </is>
      </c>
      <c r="B428" s="4" t="inlineStr">
        <is>
          <t>Business School, Renmin University of China</t>
        </is>
      </c>
      <c r="C428" s="4" t="inlineStr">
        <is>
          <t>global_network_school</t>
        </is>
      </c>
      <c r="D428" s="4" t="inlineStr">
        <is>
          <t>Global Network School</t>
        </is>
      </c>
      <c r="E428" s="4" t="inlineStr"/>
    </row>
    <row r="429">
      <c r="A429" s="4" t="inlineStr">
        <is>
          <t>1163</t>
        </is>
      </c>
      <c r="B429" s="4" t="inlineStr">
        <is>
          <t>Cambridge Judge Business School</t>
        </is>
      </c>
      <c r="C429" s="4" t="inlineStr">
        <is>
          <t>global_network_school</t>
        </is>
      </c>
      <c r="D429" s="4" t="inlineStr">
        <is>
          <t>Global Network School</t>
        </is>
      </c>
      <c r="E429" s="4" t="inlineStr"/>
    </row>
    <row r="430">
      <c r="A430" s="4" t="inlineStr">
        <is>
          <t>273</t>
        </is>
      </c>
      <c r="B430" s="4" t="inlineStr">
        <is>
          <t>EGADE Business School, Tecnológico de Monterrey</t>
        </is>
      </c>
      <c r="C430" s="4" t="inlineStr">
        <is>
          <t>global_network_school</t>
        </is>
      </c>
      <c r="D430" s="4" t="inlineStr">
        <is>
          <t>Global Network School</t>
        </is>
      </c>
      <c r="E430" s="4" t="inlineStr"/>
    </row>
    <row r="431">
      <c r="A431" s="4" t="inlineStr">
        <is>
          <t>262</t>
        </is>
      </c>
      <c r="B431" s="4" t="inlineStr">
        <is>
          <t>ESMT Berlin</t>
        </is>
      </c>
      <c r="C431" s="4" t="inlineStr">
        <is>
          <t>global_network_school</t>
        </is>
      </c>
      <c r="D431" s="4" t="inlineStr">
        <is>
          <t>Global Network School</t>
        </is>
      </c>
      <c r="E431" s="4" t="inlineStr"/>
    </row>
    <row r="432">
      <c r="A432" s="4" t="inlineStr">
        <is>
          <t>272</t>
        </is>
      </c>
      <c r="B432" s="4" t="inlineStr">
        <is>
          <t>FGV Escola de Administração de Empresas de São Paulo</t>
        </is>
      </c>
      <c r="C432" s="4" t="inlineStr">
        <is>
          <t>global_network_school</t>
        </is>
      </c>
      <c r="D432" s="4" t="inlineStr">
        <is>
          <t>Global Network School</t>
        </is>
      </c>
      <c r="E432" s="4" t="inlineStr"/>
    </row>
    <row r="433">
      <c r="A433" s="4" t="inlineStr">
        <is>
          <t>264</t>
        </is>
      </c>
      <c r="B433" s="4" t="inlineStr">
        <is>
          <t>Fudan University School of Management</t>
        </is>
      </c>
      <c r="C433" s="4" t="inlineStr">
        <is>
          <t>global_network_school</t>
        </is>
      </c>
      <c r="D433" s="4" t="inlineStr">
        <is>
          <t>Global Network School</t>
        </is>
      </c>
      <c r="E433" s="4" t="inlineStr"/>
    </row>
    <row r="434">
      <c r="A434" s="4" t="inlineStr">
        <is>
          <t>259</t>
        </is>
      </c>
      <c r="B434" s="4" t="inlineStr">
        <is>
          <t>HEC Paris</t>
        </is>
      </c>
      <c r="C434" s="4" t="inlineStr">
        <is>
          <t>global_network_school</t>
        </is>
      </c>
      <c r="D434" s="4" t="inlineStr">
        <is>
          <t>Global Network School</t>
        </is>
      </c>
      <c r="E434" s="4" t="inlineStr"/>
    </row>
    <row r="435">
      <c r="A435" s="4" t="inlineStr">
        <is>
          <t>279</t>
        </is>
      </c>
      <c r="B435" s="4" t="inlineStr">
        <is>
          <t>Hitotsubashi University, Graduate School of International Corporate Strategy</t>
        </is>
      </c>
      <c r="C435" s="4" t="inlineStr">
        <is>
          <t>global_network_school</t>
        </is>
      </c>
      <c r="D435" s="4" t="inlineStr">
        <is>
          <t>Global Network School</t>
        </is>
      </c>
      <c r="E435" s="4" t="inlineStr"/>
    </row>
    <row r="436">
      <c r="A436" s="4" t="inlineStr">
        <is>
          <t>266</t>
        </is>
      </c>
      <c r="B436" s="4" t="inlineStr">
        <is>
          <t>Hong Kong University of Science and Technology Business School</t>
        </is>
      </c>
      <c r="C436" s="4" t="inlineStr">
        <is>
          <t>global_network_school</t>
        </is>
      </c>
      <c r="D436" s="4" t="inlineStr">
        <is>
          <t>Global Network School</t>
        </is>
      </c>
      <c r="E436" s="4" t="inlineStr"/>
    </row>
    <row r="437">
      <c r="A437" s="4" t="inlineStr">
        <is>
          <t>267</t>
        </is>
      </c>
      <c r="B437" s="4" t="inlineStr">
        <is>
          <t>IE Business School</t>
        </is>
      </c>
      <c r="C437" s="4" t="inlineStr">
        <is>
          <t>global_network_school</t>
        </is>
      </c>
      <c r="D437" s="4" t="inlineStr">
        <is>
          <t>Global Network School</t>
        </is>
      </c>
      <c r="E437" s="4" t="inlineStr"/>
    </row>
    <row r="438">
      <c r="A438" s="4" t="inlineStr">
        <is>
          <t>256</t>
        </is>
      </c>
      <c r="B438" s="4" t="inlineStr">
        <is>
          <t>Indian Institute of Management Bangalore</t>
        </is>
      </c>
      <c r="C438" s="4" t="inlineStr">
        <is>
          <t>global_network_school</t>
        </is>
      </c>
      <c r="D438" s="4" t="inlineStr">
        <is>
          <t>Global Network School</t>
        </is>
      </c>
      <c r="E438" s="4" t="inlineStr"/>
    </row>
    <row r="439">
      <c r="A439" s="4" t="inlineStr">
        <is>
          <t>1164</t>
        </is>
      </c>
      <c r="B439" s="4" t="inlineStr">
        <is>
          <t>Indian Institute of Management, Indore</t>
        </is>
      </c>
      <c r="C439" s="4" t="inlineStr">
        <is>
          <t>global_network_school</t>
        </is>
      </c>
      <c r="D439" s="4" t="inlineStr">
        <is>
          <t>Global Network School</t>
        </is>
      </c>
      <c r="E439" s="4" t="inlineStr"/>
    </row>
    <row r="440">
      <c r="A440" s="4" t="inlineStr">
        <is>
          <t>1165</t>
        </is>
      </c>
      <c r="B440" s="4" t="inlineStr">
        <is>
          <t>Ko√ß University Graduate School of Business</t>
        </is>
      </c>
      <c r="C440" s="4" t="inlineStr">
        <is>
          <t>global_network_school</t>
        </is>
      </c>
      <c r="D440" s="4" t="inlineStr">
        <is>
          <t>Global Network School</t>
        </is>
      </c>
      <c r="E440" s="4" t="inlineStr"/>
    </row>
    <row r="441">
      <c r="A441" s="4" t="inlineStr">
        <is>
          <t>269</t>
        </is>
      </c>
      <c r="B441" s="4" t="inlineStr">
        <is>
          <t>Lagos Business School, Pan-Atlantic University</t>
        </is>
      </c>
      <c r="C441" s="4" t="inlineStr">
        <is>
          <t>global_network_school</t>
        </is>
      </c>
      <c r="D441" s="4" t="inlineStr">
        <is>
          <t>Global Network School</t>
        </is>
      </c>
      <c r="E441" s="4" t="inlineStr"/>
    </row>
    <row r="442">
      <c r="A442" s="4" t="inlineStr">
        <is>
          <t>284</t>
        </is>
      </c>
      <c r="B442" s="4" t="inlineStr">
        <is>
          <t>National University of Singapore Business School</t>
        </is>
      </c>
      <c r="C442" s="4" t="inlineStr">
        <is>
          <t>global_network_school</t>
        </is>
      </c>
      <c r="D442" s="4" t="inlineStr">
        <is>
          <t>Global Network School</t>
        </is>
      </c>
      <c r="E442" s="4" t="inlineStr"/>
    </row>
    <row r="443">
      <c r="A443" s="4" t="inlineStr">
        <is>
          <t>283</t>
        </is>
      </c>
      <c r="B443" s="4" t="inlineStr">
        <is>
          <t>Pontificia Universidad Católica de Chile School of Business</t>
        </is>
      </c>
      <c r="C443" s="4" t="inlineStr">
        <is>
          <t>global_network_school</t>
        </is>
      </c>
      <c r="D443" s="4" t="inlineStr">
        <is>
          <t>Global Network School</t>
        </is>
      </c>
      <c r="E443" s="4" t="inlineStr"/>
    </row>
    <row r="444">
      <c r="A444" s="4" t="inlineStr">
        <is>
          <t>275</t>
        </is>
      </c>
      <c r="B444" s="4" t="inlineStr">
        <is>
          <t>Sa√Ød Business School, University of Oxford</t>
        </is>
      </c>
      <c r="C444" s="4" t="inlineStr">
        <is>
          <t>global_network_school</t>
        </is>
      </c>
      <c r="D444" s="4" t="inlineStr">
        <is>
          <t>Global Network School</t>
        </is>
      </c>
      <c r="E444" s="4" t="inlineStr"/>
    </row>
    <row r="445">
      <c r="A445" s="4" t="inlineStr">
        <is>
          <t>294</t>
        </is>
      </c>
      <c r="B445" s="4" t="inlineStr">
        <is>
          <t>Sauder School of Business, University of British Columbia</t>
        </is>
      </c>
      <c r="C445" s="4" t="inlineStr">
        <is>
          <t>global_network_school</t>
        </is>
      </c>
      <c r="D445" s="4" t="inlineStr">
        <is>
          <t>Global Network School</t>
        </is>
      </c>
      <c r="E445" s="4" t="inlineStr"/>
    </row>
    <row r="446">
      <c r="A446" s="4" t="inlineStr">
        <is>
          <t>295</t>
        </is>
      </c>
      <c r="B446" s="4" t="inlineStr">
        <is>
          <t>SDA Bocconi School of Management, Bocconi University</t>
        </is>
      </c>
      <c r="C446" s="4" t="inlineStr">
        <is>
          <t>global_network_school</t>
        </is>
      </c>
      <c r="D446" s="4" t="inlineStr">
        <is>
          <t>Global Network School</t>
        </is>
      </c>
      <c r="E446" s="4" t="inlineStr"/>
    </row>
    <row r="447">
      <c r="A447" s="4" t="inlineStr">
        <is>
          <t>274</t>
        </is>
      </c>
      <c r="B447" s="4" t="inlineStr">
        <is>
          <t>Seoul National University Business School</t>
        </is>
      </c>
      <c r="C447" s="4" t="inlineStr">
        <is>
          <t>global_network_school</t>
        </is>
      </c>
      <c r="D447" s="4" t="inlineStr">
        <is>
          <t>Global Network School</t>
        </is>
      </c>
      <c r="E447" s="4" t="inlineStr"/>
    </row>
    <row r="448">
      <c r="A448" s="4" t="inlineStr">
        <is>
          <t>277</t>
        </is>
      </c>
      <c r="B448" s="4" t="inlineStr">
        <is>
          <t>Strathmore Business School</t>
        </is>
      </c>
      <c r="C448" s="4" t="inlineStr">
        <is>
          <t>global_network_school</t>
        </is>
      </c>
      <c r="D448" s="4" t="inlineStr">
        <is>
          <t>Global Network School</t>
        </is>
      </c>
      <c r="E448" s="4" t="inlineStr"/>
    </row>
    <row r="449">
      <c r="A449" s="4" t="inlineStr">
        <is>
          <t>301</t>
        </is>
      </c>
      <c r="B449" s="4" t="inlineStr">
        <is>
          <t>University of Cape Town Graduate School of Business</t>
        </is>
      </c>
      <c r="C449" s="4" t="inlineStr">
        <is>
          <t>global_network_school</t>
        </is>
      </c>
      <c r="D449" s="4" t="inlineStr">
        <is>
          <t>Global Network School</t>
        </is>
      </c>
      <c r="E449" s="4" t="inlineStr"/>
    </row>
    <row r="450">
      <c r="A450" s="4" t="inlineStr">
        <is>
          <t>292</t>
        </is>
      </c>
      <c r="B450" s="4" t="inlineStr">
        <is>
          <t>University of Indonesia Faculty of Economics</t>
        </is>
      </c>
      <c r="C450" s="4" t="inlineStr">
        <is>
          <t>global_network_school</t>
        </is>
      </c>
      <c r="D450" s="4" t="inlineStr">
        <is>
          <t>Global Network School</t>
        </is>
      </c>
      <c r="E450" s="4" t="inlineStr"/>
    </row>
    <row r="451">
      <c r="A451" s="4" t="inlineStr">
        <is>
          <t>293</t>
        </is>
      </c>
      <c r="B451" s="4" t="inlineStr">
        <is>
          <t>UNSW Business School</t>
        </is>
      </c>
      <c r="C451" s="4" t="inlineStr">
        <is>
          <t>global_network_school</t>
        </is>
      </c>
      <c r="D451" s="4" t="inlineStr">
        <is>
          <t>Global Network School</t>
        </is>
      </c>
      <c r="E451" s="4" t="inlineStr"/>
    </row>
    <row r="452">
      <c r="A452" s="4" t="inlineStr">
        <is>
          <t>306</t>
        </is>
      </c>
      <c r="B452" s="4" t="inlineStr">
        <is>
          <t>Arts Management</t>
        </is>
      </c>
      <c r="C452" s="4" t="inlineStr">
        <is>
          <t>industry</t>
        </is>
      </c>
      <c r="D452" s="4" t="inlineStr">
        <is>
          <t>Industry</t>
        </is>
      </c>
      <c r="E452" s="4" t="inlineStr"/>
    </row>
    <row r="453">
      <c r="A453" s="4" t="inlineStr">
        <is>
          <t>282</t>
        </is>
      </c>
      <c r="B453" s="4" t="inlineStr">
        <is>
          <t>Automotive</t>
        </is>
      </c>
      <c r="C453" s="4" t="inlineStr">
        <is>
          <t>industry</t>
        </is>
      </c>
      <c r="D453" s="4" t="inlineStr">
        <is>
          <t>Industry</t>
        </is>
      </c>
      <c r="E453" s="4" t="inlineStr"/>
    </row>
    <row r="454">
      <c r="A454" s="4" t="inlineStr">
        <is>
          <t>276</t>
        </is>
      </c>
      <c r="B454" s="4" t="inlineStr">
        <is>
          <t>Construction</t>
        </is>
      </c>
      <c r="C454" s="4" t="inlineStr">
        <is>
          <t>industry</t>
        </is>
      </c>
      <c r="D454" s="4" t="inlineStr">
        <is>
          <t>Industry</t>
        </is>
      </c>
      <c r="E454" s="4" t="inlineStr"/>
    </row>
    <row r="455">
      <c r="A455" s="4" t="inlineStr">
        <is>
          <t>265</t>
        </is>
      </c>
      <c r="B455" s="4" t="inlineStr">
        <is>
          <t>Consulting</t>
        </is>
      </c>
      <c r="C455" s="4" t="inlineStr">
        <is>
          <t>industry</t>
        </is>
      </c>
      <c r="D455" s="4" t="inlineStr">
        <is>
          <t>Industry</t>
        </is>
      </c>
      <c r="E455" s="4" t="inlineStr"/>
    </row>
    <row r="456">
      <c r="A456" s="4" t="inlineStr">
        <is>
          <t>254</t>
        </is>
      </c>
      <c r="B456" s="4" t="inlineStr">
        <is>
          <t>Consumer Products</t>
        </is>
      </c>
      <c r="C456" s="4" t="inlineStr">
        <is>
          <t>industry</t>
        </is>
      </c>
      <c r="D456" s="4" t="inlineStr">
        <is>
          <t>Industry</t>
        </is>
      </c>
      <c r="E456" s="4" t="inlineStr"/>
    </row>
    <row r="457">
      <c r="A457" s="4" t="inlineStr">
        <is>
          <t>1179</t>
        </is>
      </c>
      <c r="B457" s="4" t="inlineStr">
        <is>
          <t>Data Analytics</t>
        </is>
      </c>
      <c r="C457" s="4" t="inlineStr">
        <is>
          <t>industry</t>
        </is>
      </c>
      <c r="D457" s="4" t="inlineStr">
        <is>
          <t>Industry</t>
        </is>
      </c>
      <c r="E457" s="4" t="inlineStr"/>
    </row>
    <row r="458">
      <c r="A458" s="4" t="inlineStr">
        <is>
          <t>1152</t>
        </is>
      </c>
      <c r="B458" s="4" t="inlineStr">
        <is>
          <t>Economic Development</t>
        </is>
      </c>
      <c r="C458" s="4" t="inlineStr">
        <is>
          <t>industry</t>
        </is>
      </c>
      <c r="D458" s="4" t="inlineStr">
        <is>
          <t>Industry</t>
        </is>
      </c>
      <c r="E458" s="4" t="inlineStr"/>
    </row>
    <row r="459">
      <c r="A459" s="4" t="inlineStr">
        <is>
          <t>285</t>
        </is>
      </c>
      <c r="B459" s="4" t="inlineStr">
        <is>
          <t>Education</t>
        </is>
      </c>
      <c r="C459" s="4" t="inlineStr">
        <is>
          <t>industry</t>
        </is>
      </c>
      <c r="D459" s="4" t="inlineStr">
        <is>
          <t>Industry</t>
        </is>
      </c>
      <c r="E459" s="4" t="inlineStr"/>
    </row>
    <row r="460">
      <c r="A460" s="4" t="inlineStr">
        <is>
          <t>296</t>
        </is>
      </c>
      <c r="B460" s="4" t="inlineStr">
        <is>
          <t>Energy</t>
        </is>
      </c>
      <c r="C460" s="4" t="inlineStr">
        <is>
          <t>industry</t>
        </is>
      </c>
      <c r="D460" s="4" t="inlineStr">
        <is>
          <t>Industry</t>
        </is>
      </c>
      <c r="E460" s="4" t="inlineStr"/>
    </row>
    <row r="461">
      <c r="A461" s="4" t="inlineStr">
        <is>
          <t>268</t>
        </is>
      </c>
      <c r="B461" s="4" t="inlineStr">
        <is>
          <t>Entrepreneurship</t>
        </is>
      </c>
      <c r="C461" s="4" t="inlineStr">
        <is>
          <t>industry</t>
        </is>
      </c>
      <c r="D461" s="4" t="inlineStr">
        <is>
          <t>Industry</t>
        </is>
      </c>
      <c r="E461" s="4" t="inlineStr"/>
    </row>
    <row r="462">
      <c r="A462" s="4" t="inlineStr">
        <is>
          <t>252</t>
        </is>
      </c>
      <c r="B462" s="4" t="inlineStr">
        <is>
          <t>Finance</t>
        </is>
      </c>
      <c r="C462" s="4" t="inlineStr">
        <is>
          <t>industry</t>
        </is>
      </c>
      <c r="D462" s="4" t="inlineStr">
        <is>
          <t>Industry</t>
        </is>
      </c>
      <c r="E462" s="4" t="inlineStr"/>
    </row>
    <row r="463">
      <c r="A463" s="4" t="inlineStr">
        <is>
          <t>305</t>
        </is>
      </c>
      <c r="B463" s="4" t="inlineStr">
        <is>
          <t>FinTech</t>
        </is>
      </c>
      <c r="C463" s="4" t="inlineStr">
        <is>
          <t>industry</t>
        </is>
      </c>
      <c r="D463" s="4" t="inlineStr">
        <is>
          <t>Industry</t>
        </is>
      </c>
      <c r="E463" s="4" t="inlineStr"/>
    </row>
    <row r="464">
      <c r="A464" s="4" t="inlineStr">
        <is>
          <t>278</t>
        </is>
      </c>
      <c r="B464" s="4" t="inlineStr">
        <is>
          <t>Government</t>
        </is>
      </c>
      <c r="C464" s="4" t="inlineStr">
        <is>
          <t>industry</t>
        </is>
      </c>
      <c r="D464" s="4" t="inlineStr">
        <is>
          <t>Industry</t>
        </is>
      </c>
      <c r="E464" s="4" t="inlineStr"/>
    </row>
    <row r="465">
      <c r="A465" s="4" t="inlineStr">
        <is>
          <t>263</t>
        </is>
      </c>
      <c r="B465" s="4" t="inlineStr">
        <is>
          <t>Healthcare, Pharmaceuticals, Biotech</t>
        </is>
      </c>
      <c r="C465" s="4" t="inlineStr">
        <is>
          <t>industry</t>
        </is>
      </c>
      <c r="D465" s="4" t="inlineStr">
        <is>
          <t>Industry</t>
        </is>
      </c>
      <c r="E465" s="4" t="inlineStr"/>
    </row>
    <row r="466">
      <c r="A466" s="4" t="inlineStr">
        <is>
          <t>291</t>
        </is>
      </c>
      <c r="B466" s="4" t="inlineStr">
        <is>
          <t>Human Capital</t>
        </is>
      </c>
      <c r="C466" s="4" t="inlineStr">
        <is>
          <t>industry</t>
        </is>
      </c>
      <c r="D466" s="4" t="inlineStr">
        <is>
          <t>Industry</t>
        </is>
      </c>
      <c r="E466" s="4" t="inlineStr"/>
    </row>
    <row r="467">
      <c r="A467" s="4" t="inlineStr">
        <is>
          <t>300</t>
        </is>
      </c>
      <c r="B467" s="4" t="inlineStr">
        <is>
          <t>Impact Investing</t>
        </is>
      </c>
      <c r="C467" s="4" t="inlineStr">
        <is>
          <t>industry</t>
        </is>
      </c>
      <c r="D467" s="4" t="inlineStr">
        <is>
          <t>Industry</t>
        </is>
      </c>
      <c r="E467" s="4" t="inlineStr"/>
    </row>
    <row r="468">
      <c r="A468" s="4" t="inlineStr">
        <is>
          <t>261</t>
        </is>
      </c>
      <c r="B468" s="4" t="inlineStr">
        <is>
          <t>Manufacturing</t>
        </is>
      </c>
      <c r="C468" s="4" t="inlineStr">
        <is>
          <t>industry</t>
        </is>
      </c>
      <c r="D468" s="4" t="inlineStr">
        <is>
          <t>Industry</t>
        </is>
      </c>
      <c r="E468" s="4" t="inlineStr"/>
    </row>
    <row r="469">
      <c r="A469" s="4" t="inlineStr">
        <is>
          <t>1187</t>
        </is>
      </c>
      <c r="B469" s="4" t="inlineStr">
        <is>
          <t>Marketing</t>
        </is>
      </c>
      <c r="C469" s="4" t="inlineStr">
        <is>
          <t>industry</t>
        </is>
      </c>
      <c r="D469" s="4" t="inlineStr">
        <is>
          <t>Industry</t>
        </is>
      </c>
      <c r="E469" s="4" t="inlineStr"/>
    </row>
    <row r="470">
      <c r="A470" s="4" t="inlineStr">
        <is>
          <t>280</t>
        </is>
      </c>
      <c r="B470" s="4" t="inlineStr">
        <is>
          <t>Media/Entertainment</t>
        </is>
      </c>
      <c r="C470" s="4" t="inlineStr">
        <is>
          <t>industry</t>
        </is>
      </c>
      <c r="D470" s="4" t="inlineStr">
        <is>
          <t>Industry</t>
        </is>
      </c>
      <c r="E470" s="4" t="inlineStr"/>
    </row>
    <row r="471">
      <c r="A471" s="4" t="inlineStr">
        <is>
          <t>281</t>
        </is>
      </c>
      <c r="B471" s="4" t="inlineStr">
        <is>
          <t>Nonprofit</t>
        </is>
      </c>
      <c r="C471" s="4" t="inlineStr">
        <is>
          <t>industry</t>
        </is>
      </c>
      <c r="D471" s="4" t="inlineStr">
        <is>
          <t>Industry</t>
        </is>
      </c>
      <c r="E471" s="4" t="inlineStr"/>
    </row>
    <row r="472">
      <c r="A472" s="4" t="inlineStr">
        <is>
          <t>271</t>
        </is>
      </c>
      <c r="B472" s="4" t="inlineStr">
        <is>
          <t>Other</t>
        </is>
      </c>
      <c r="C472" s="4" t="inlineStr">
        <is>
          <t>industry</t>
        </is>
      </c>
      <c r="D472" s="4" t="inlineStr">
        <is>
          <t>Industry</t>
        </is>
      </c>
      <c r="E472" s="4" t="inlineStr"/>
    </row>
    <row r="473">
      <c r="A473" s="4" t="inlineStr">
        <is>
          <t>1188</t>
        </is>
      </c>
      <c r="B473" s="4" t="inlineStr">
        <is>
          <t>Private Equity / Venture Capital</t>
        </is>
      </c>
      <c r="C473" s="4" t="inlineStr">
        <is>
          <t>industry</t>
        </is>
      </c>
      <c r="D473" s="4" t="inlineStr">
        <is>
          <t>Industry</t>
        </is>
      </c>
      <c r="E473" s="4" t="inlineStr"/>
    </row>
    <row r="474">
      <c r="A474" s="4" t="inlineStr">
        <is>
          <t>286</t>
        </is>
      </c>
      <c r="B474" s="4" t="inlineStr">
        <is>
          <t>Real Estate</t>
        </is>
      </c>
      <c r="C474" s="4" t="inlineStr">
        <is>
          <t>industry</t>
        </is>
      </c>
      <c r="D474" s="4" t="inlineStr">
        <is>
          <t>Industry</t>
        </is>
      </c>
      <c r="E474" s="4" t="inlineStr"/>
    </row>
    <row r="475">
      <c r="A475" s="4" t="inlineStr">
        <is>
          <t>1153</t>
        </is>
      </c>
      <c r="B475" s="4" t="inlineStr">
        <is>
          <t>Sustainability</t>
        </is>
      </c>
      <c r="C475" s="4" t="inlineStr">
        <is>
          <t>industry</t>
        </is>
      </c>
      <c r="D475" s="4" t="inlineStr">
        <is>
          <t>Industry</t>
        </is>
      </c>
      <c r="E475" s="4" t="inlineStr"/>
    </row>
    <row r="476">
      <c r="A476" s="4" t="inlineStr">
        <is>
          <t>255</t>
        </is>
      </c>
      <c r="B476" s="4" t="inlineStr">
        <is>
          <t>Technology</t>
        </is>
      </c>
      <c r="C476" s="4" t="inlineStr">
        <is>
          <t>industry</t>
        </is>
      </c>
      <c r="D476" s="4" t="inlineStr">
        <is>
          <t>Industry</t>
        </is>
      </c>
      <c r="E476" s="4" t="inlineStr"/>
    </row>
    <row r="477">
      <c r="A477" s="4" t="inlineStr">
        <is>
          <t>304</t>
        </is>
      </c>
      <c r="B477" s="4" t="inlineStr">
        <is>
          <t>Transportation</t>
        </is>
      </c>
      <c r="C477" s="4" t="inlineStr">
        <is>
          <t>industry</t>
        </is>
      </c>
      <c r="D477" s="4" t="inlineStr">
        <is>
          <t>Industry</t>
        </is>
      </c>
      <c r="E477" s="4" t="inlineStr"/>
    </row>
    <row r="478">
      <c r="A478" s="4" t="inlineStr">
        <is>
          <t>1659</t>
        </is>
      </c>
      <c r="B478" s="4" t="inlineStr">
        <is>
          <t>1st Year MBA students</t>
        </is>
      </c>
      <c r="C478" s="4" t="inlineStr">
        <is>
          <t>localist_audience</t>
        </is>
      </c>
      <c r="D478" s="4" t="inlineStr">
        <is>
          <t>Localist Audience</t>
        </is>
      </c>
      <c r="E478" s="4" t="inlineStr"/>
    </row>
    <row r="479">
      <c r="A479" s="4" t="inlineStr">
        <is>
          <t>1673</t>
        </is>
      </c>
      <c r="B479" s="4" t="inlineStr">
        <is>
          <t>2nd Year MBA Students</t>
        </is>
      </c>
      <c r="C479" s="4" t="inlineStr">
        <is>
          <t>localist_audience</t>
        </is>
      </c>
      <c r="D479" s="4" t="inlineStr">
        <is>
          <t>Localist Audience</t>
        </is>
      </c>
      <c r="E479" s="4" t="inlineStr"/>
    </row>
    <row r="480">
      <c r="A480" s="4" t="inlineStr">
        <is>
          <t>1662</t>
        </is>
      </c>
      <c r="B480" s="4" t="inlineStr">
        <is>
          <t>Doctoral Students</t>
        </is>
      </c>
      <c r="C480" s="4" t="inlineStr">
        <is>
          <t>localist_audience</t>
        </is>
      </c>
      <c r="D480" s="4" t="inlineStr">
        <is>
          <t>Localist Audience</t>
        </is>
      </c>
      <c r="E480" s="4" t="inlineStr"/>
    </row>
    <row r="481">
      <c r="A481" s="4" t="inlineStr">
        <is>
          <t>1661</t>
        </is>
      </c>
      <c r="B481" s="4" t="inlineStr">
        <is>
          <t>EMBA students</t>
        </is>
      </c>
      <c r="C481" s="4" t="inlineStr">
        <is>
          <t>localist_audience</t>
        </is>
      </c>
      <c r="D481" s="4" t="inlineStr">
        <is>
          <t>Localist Audience</t>
        </is>
      </c>
      <c r="E481" s="4" t="inlineStr"/>
    </row>
    <row r="482">
      <c r="A482" s="4" t="inlineStr">
        <is>
          <t>1664</t>
        </is>
      </c>
      <c r="B482" s="4" t="inlineStr">
        <is>
          <t>GNAM students</t>
        </is>
      </c>
      <c r="C482" s="4" t="inlineStr">
        <is>
          <t>localist_audience</t>
        </is>
      </c>
      <c r="D482" s="4" t="inlineStr">
        <is>
          <t>Localist Audience</t>
        </is>
      </c>
      <c r="E482" s="4" t="inlineStr"/>
    </row>
    <row r="483">
      <c r="A483" s="4" t="inlineStr">
        <is>
          <t>1660</t>
        </is>
      </c>
      <c r="B483" s="4" t="inlineStr">
        <is>
          <t>MAM &amp; MMS students</t>
        </is>
      </c>
      <c r="C483" s="4" t="inlineStr">
        <is>
          <t>localist_audience</t>
        </is>
      </c>
      <c r="D483" s="4" t="inlineStr">
        <is>
          <t>Localist Audience</t>
        </is>
      </c>
      <c r="E483" s="4" t="inlineStr"/>
    </row>
    <row r="484">
      <c r="A484" s="4" t="inlineStr">
        <is>
          <t>1671</t>
        </is>
      </c>
      <c r="B484" s="4" t="inlineStr">
        <is>
          <t>Partners, Spouses &amp; Family</t>
        </is>
      </c>
      <c r="C484" s="4" t="inlineStr">
        <is>
          <t>localist_audience</t>
        </is>
      </c>
      <c r="D484" s="4" t="inlineStr">
        <is>
          <t>Localist Audience</t>
        </is>
      </c>
      <c r="E484" s="4" t="inlineStr"/>
    </row>
    <row r="485">
      <c r="A485" s="4" t="inlineStr">
        <is>
          <t>1663</t>
        </is>
      </c>
      <c r="B485" s="4" t="inlineStr">
        <is>
          <t>PEM students</t>
        </is>
      </c>
      <c r="C485" s="4" t="inlineStr">
        <is>
          <t>localist_audience</t>
        </is>
      </c>
      <c r="D485" s="4" t="inlineStr">
        <is>
          <t>Localist Audience</t>
        </is>
      </c>
      <c r="E485" s="4" t="inlineStr"/>
    </row>
    <row r="486">
      <c r="A486" s="4" t="inlineStr">
        <is>
          <t>1672</t>
        </is>
      </c>
      <c r="B486" s="4" t="inlineStr">
        <is>
          <t>Yale Community</t>
        </is>
      </c>
      <c r="C486" s="4" t="inlineStr">
        <is>
          <t>localist_audience</t>
        </is>
      </c>
      <c r="D486" s="4" t="inlineStr">
        <is>
          <t>Localist Audience</t>
        </is>
      </c>
      <c r="E486" s="4" t="inlineStr"/>
    </row>
    <row r="487">
      <c r="A487" s="4" t="inlineStr">
        <is>
          <t>1666</t>
        </is>
      </c>
      <c r="B487" s="4" t="inlineStr">
        <is>
          <t>Yale Graduate &amp; Professional students</t>
        </is>
      </c>
      <c r="C487" s="4" t="inlineStr">
        <is>
          <t>localist_audience</t>
        </is>
      </c>
      <c r="D487" s="4" t="inlineStr">
        <is>
          <t>Localist Audience</t>
        </is>
      </c>
      <c r="E487" s="4" t="inlineStr"/>
    </row>
    <row r="488">
      <c r="A488" s="4" t="inlineStr">
        <is>
          <t>1670</t>
        </is>
      </c>
      <c r="B488" s="4" t="inlineStr">
        <is>
          <t>Yale SOM Alumni</t>
        </is>
      </c>
      <c r="C488" s="4" t="inlineStr">
        <is>
          <t>localist_audience</t>
        </is>
      </c>
      <c r="D488" s="4" t="inlineStr">
        <is>
          <t>Localist Audience</t>
        </is>
      </c>
      <c r="E488" s="4" t="inlineStr"/>
    </row>
    <row r="489">
      <c r="A489" s="4" t="inlineStr">
        <is>
          <t>1669</t>
        </is>
      </c>
      <c r="B489" s="4" t="inlineStr">
        <is>
          <t>Yale SOM community</t>
        </is>
      </c>
      <c r="C489" s="4" t="inlineStr">
        <is>
          <t>localist_audience</t>
        </is>
      </c>
      <c r="D489" s="4" t="inlineStr">
        <is>
          <t>Localist Audience</t>
        </is>
      </c>
      <c r="E489" s="4" t="inlineStr"/>
    </row>
    <row r="490">
      <c r="A490" s="4" t="inlineStr">
        <is>
          <t>1667</t>
        </is>
      </c>
      <c r="B490" s="4" t="inlineStr">
        <is>
          <t>Yale SOM faculty</t>
        </is>
      </c>
      <c r="C490" s="4" t="inlineStr">
        <is>
          <t>localist_audience</t>
        </is>
      </c>
      <c r="D490" s="4" t="inlineStr">
        <is>
          <t>Localist Audience</t>
        </is>
      </c>
      <c r="E490" s="4" t="inlineStr"/>
    </row>
    <row r="491">
      <c r="A491" s="4" t="inlineStr">
        <is>
          <t>1668</t>
        </is>
      </c>
      <c r="B491" s="4" t="inlineStr">
        <is>
          <t>Yale SOM staff</t>
        </is>
      </c>
      <c r="C491" s="4" t="inlineStr">
        <is>
          <t>localist_audience</t>
        </is>
      </c>
      <c r="D491" s="4" t="inlineStr">
        <is>
          <t>Localist Audience</t>
        </is>
      </c>
      <c r="E491" s="4" t="inlineStr"/>
    </row>
    <row r="492">
      <c r="A492" s="4" t="inlineStr">
        <is>
          <t>1665</t>
        </is>
      </c>
      <c r="B492" s="4" t="inlineStr">
        <is>
          <t>Yale Undergraduate students</t>
        </is>
      </c>
      <c r="C492" s="4" t="inlineStr">
        <is>
          <t>localist_audience</t>
        </is>
      </c>
      <c r="D492" s="4" t="inlineStr">
        <is>
          <t>Localist Audience</t>
        </is>
      </c>
      <c r="E492" s="4" t="inlineStr"/>
    </row>
    <row r="493">
      <c r="A493" s="4" t="inlineStr">
        <is>
          <t>1713</t>
        </is>
      </c>
      <c r="B493" s="4" t="inlineStr">
        <is>
          <t>All Staff Meeting</t>
        </is>
      </c>
      <c r="C493" s="4" t="inlineStr">
        <is>
          <t>localist_event_type</t>
        </is>
      </c>
      <c r="D493" s="4" t="inlineStr">
        <is>
          <t>Localist Event Type</t>
        </is>
      </c>
      <c r="E493" s="4" t="inlineStr"/>
    </row>
    <row r="494">
      <c r="A494" s="4" t="inlineStr">
        <is>
          <t>1678</t>
        </is>
      </c>
      <c r="B494" s="4" t="inlineStr">
        <is>
          <t>Art Exhibition</t>
        </is>
      </c>
      <c r="C494" s="4" t="inlineStr">
        <is>
          <t>localist_event_type</t>
        </is>
      </c>
      <c r="D494" s="4" t="inlineStr">
        <is>
          <t>Localist Event Type</t>
        </is>
      </c>
      <c r="E494" s="4" t="inlineStr"/>
    </row>
    <row r="495">
      <c r="A495" s="4" t="inlineStr">
        <is>
          <t>1685</t>
        </is>
      </c>
      <c r="B495" s="4" t="inlineStr">
        <is>
          <t>Book Talk</t>
        </is>
      </c>
      <c r="C495" s="4" t="inlineStr">
        <is>
          <t>localist_event_type</t>
        </is>
      </c>
      <c r="D495" s="4" t="inlineStr">
        <is>
          <t>Localist Event Type</t>
        </is>
      </c>
      <c r="E495" s="4" t="inlineStr"/>
    </row>
    <row r="496">
      <c r="A496" s="4" t="inlineStr">
        <is>
          <t>1677</t>
        </is>
      </c>
      <c r="B496" s="4" t="inlineStr">
        <is>
          <t>Case Competition</t>
        </is>
      </c>
      <c r="C496" s="4" t="inlineStr">
        <is>
          <t>localist_event_type</t>
        </is>
      </c>
      <c r="D496" s="4" t="inlineStr">
        <is>
          <t>Localist Event Type</t>
        </is>
      </c>
      <c r="E496" s="4" t="inlineStr"/>
    </row>
    <row r="497">
      <c r="A497" s="4" t="inlineStr">
        <is>
          <t>1675</t>
        </is>
      </c>
      <c r="B497" s="4" t="inlineStr">
        <is>
          <t>Colloquia &amp; Symposia</t>
        </is>
      </c>
      <c r="C497" s="4" t="inlineStr">
        <is>
          <t>localist_event_type</t>
        </is>
      </c>
      <c r="D497" s="4" t="inlineStr">
        <is>
          <t>Localist Event Type</t>
        </is>
      </c>
      <c r="E497" s="4" t="inlineStr"/>
    </row>
    <row r="498">
      <c r="A498" s="4" t="inlineStr">
        <is>
          <t>1715</t>
        </is>
      </c>
      <c r="B498" s="4" t="inlineStr">
        <is>
          <t>Community Engagement</t>
        </is>
      </c>
      <c r="C498" s="4" t="inlineStr">
        <is>
          <t>localist_event_type</t>
        </is>
      </c>
      <c r="D498" s="4" t="inlineStr">
        <is>
          <t>Localist Event Type</t>
        </is>
      </c>
      <c r="E498" s="4" t="inlineStr"/>
    </row>
    <row r="499">
      <c r="A499" s="4" t="inlineStr">
        <is>
          <t>1676</t>
        </is>
      </c>
      <c r="B499" s="4" t="inlineStr">
        <is>
          <t>Conferences</t>
        </is>
      </c>
      <c r="C499" s="4" t="inlineStr">
        <is>
          <t>localist_event_type</t>
        </is>
      </c>
      <c r="D499" s="4" t="inlineStr">
        <is>
          <t>Localist Event Type</t>
        </is>
      </c>
      <c r="E499" s="4" t="inlineStr"/>
    </row>
    <row r="500">
      <c r="A500" s="4" t="inlineStr">
        <is>
          <t>1687</t>
        </is>
      </c>
      <c r="B500" s="4" t="inlineStr">
        <is>
          <t>Dates &amp; Deadlines</t>
        </is>
      </c>
      <c r="C500" s="4" t="inlineStr">
        <is>
          <t>localist_event_type</t>
        </is>
      </c>
      <c r="D500" s="4" t="inlineStr">
        <is>
          <t>Localist Event Type</t>
        </is>
      </c>
      <c r="E500" s="4" t="inlineStr"/>
    </row>
    <row r="501">
      <c r="A501" s="4" t="inlineStr">
        <is>
          <t>1688</t>
        </is>
      </c>
      <c r="B501" s="4" t="inlineStr">
        <is>
          <t>Faculty Seminar Series</t>
        </is>
      </c>
      <c r="C501" s="4" t="inlineStr">
        <is>
          <t>localist_event_type</t>
        </is>
      </c>
      <c r="D501" s="4" t="inlineStr">
        <is>
          <t>Localist Event Type</t>
        </is>
      </c>
      <c r="E501" s="4" t="inlineStr"/>
    </row>
    <row r="502">
      <c r="A502" s="4" t="inlineStr">
        <is>
          <t>1679</t>
        </is>
      </c>
      <c r="B502" s="4" t="inlineStr">
        <is>
          <t>Film &amp; Media Screening</t>
        </is>
      </c>
      <c r="C502" s="4" t="inlineStr">
        <is>
          <t>localist_event_type</t>
        </is>
      </c>
      <c r="D502" s="4" t="inlineStr">
        <is>
          <t>Localist Event Type</t>
        </is>
      </c>
      <c r="E502" s="4" t="inlineStr"/>
    </row>
    <row r="503">
      <c r="A503" s="4" t="inlineStr">
        <is>
          <t>1681</t>
        </is>
      </c>
      <c r="B503" s="4" t="inlineStr">
        <is>
          <t>Info Session</t>
        </is>
      </c>
      <c r="C503" s="4" t="inlineStr">
        <is>
          <t>localist_event_type</t>
        </is>
      </c>
      <c r="D503" s="4" t="inlineStr">
        <is>
          <t>Localist Event Type</t>
        </is>
      </c>
      <c r="E503" s="4" t="inlineStr"/>
    </row>
    <row r="504">
      <c r="A504" s="4" t="inlineStr">
        <is>
          <t>1674</t>
        </is>
      </c>
      <c r="B504" s="4" t="inlineStr">
        <is>
          <t>Lectures &amp; Talks</t>
        </is>
      </c>
      <c r="C504" s="4" t="inlineStr">
        <is>
          <t>localist_event_type</t>
        </is>
      </c>
      <c r="D504" s="4" t="inlineStr">
        <is>
          <t>Localist Event Type</t>
        </is>
      </c>
      <c r="E504" s="4" t="inlineStr"/>
    </row>
    <row r="505">
      <c r="A505" s="4" t="inlineStr">
        <is>
          <t>1683</t>
        </is>
      </c>
      <c r="B505" s="4" t="inlineStr">
        <is>
          <t>Livestreams &amp; Webinars</t>
        </is>
      </c>
      <c r="C505" s="4" t="inlineStr">
        <is>
          <t>localist_event_type</t>
        </is>
      </c>
      <c r="D505" s="4" t="inlineStr">
        <is>
          <t>Localist Event Type</t>
        </is>
      </c>
      <c r="E505" s="4" t="inlineStr"/>
    </row>
    <row r="506">
      <c r="A506" s="4" t="inlineStr">
        <is>
          <t>1714</t>
        </is>
      </c>
      <c r="B506" s="4" t="inlineStr">
        <is>
          <t>Networking</t>
        </is>
      </c>
      <c r="C506" s="4" t="inlineStr">
        <is>
          <t>localist_event_type</t>
        </is>
      </c>
      <c r="D506" s="4" t="inlineStr">
        <is>
          <t>Localist Event Type</t>
        </is>
      </c>
      <c r="E506" s="4" t="inlineStr"/>
    </row>
    <row r="507">
      <c r="A507" s="4" t="inlineStr">
        <is>
          <t>1684</t>
        </is>
      </c>
      <c r="B507" s="4" t="inlineStr">
        <is>
          <t>Office Hours</t>
        </is>
      </c>
      <c r="C507" s="4" t="inlineStr">
        <is>
          <t>localist_event_type</t>
        </is>
      </c>
      <c r="D507" s="4" t="inlineStr">
        <is>
          <t>Localist Event Type</t>
        </is>
      </c>
      <c r="E507" s="4" t="inlineStr"/>
    </row>
    <row r="508">
      <c r="A508" s="4" t="inlineStr">
        <is>
          <t>1680</t>
        </is>
      </c>
      <c r="B508" s="4" t="inlineStr">
        <is>
          <t>Panel Discussions &amp; Roundtables</t>
        </is>
      </c>
      <c r="C508" s="4" t="inlineStr">
        <is>
          <t>localist_event_type</t>
        </is>
      </c>
      <c r="D508" s="4" t="inlineStr">
        <is>
          <t>Localist Event Type</t>
        </is>
      </c>
      <c r="E508" s="4" t="inlineStr"/>
    </row>
    <row r="509">
      <c r="A509" s="4" t="inlineStr">
        <is>
          <t>1686</t>
        </is>
      </c>
      <c r="B509" s="4" t="inlineStr">
        <is>
          <t>Podcast</t>
        </is>
      </c>
      <c r="C509" s="4" t="inlineStr">
        <is>
          <t>localist_event_type</t>
        </is>
      </c>
      <c r="D509" s="4" t="inlineStr">
        <is>
          <t>Localist Event Type</t>
        </is>
      </c>
      <c r="E509" s="4" t="inlineStr"/>
    </row>
    <row r="510">
      <c r="A510" s="4" t="inlineStr">
        <is>
          <t>1682</t>
        </is>
      </c>
      <c r="B510" s="4" t="inlineStr">
        <is>
          <t>Research Study</t>
        </is>
      </c>
      <c r="C510" s="4" t="inlineStr">
        <is>
          <t>localist_event_type</t>
        </is>
      </c>
      <c r="D510" s="4" t="inlineStr">
        <is>
          <t>Localist Event Type</t>
        </is>
      </c>
      <c r="E510" s="4" t="inlineStr"/>
    </row>
    <row r="511">
      <c r="A511" s="4" t="inlineStr">
        <is>
          <t>1689</t>
        </is>
      </c>
      <c r="B511" s="4" t="inlineStr">
        <is>
          <t>Workshops</t>
        </is>
      </c>
      <c r="C511" s="4" t="inlineStr">
        <is>
          <t>localist_event_type</t>
        </is>
      </c>
      <c r="D511" s="4" t="inlineStr">
        <is>
          <t>Localist Event Type</t>
        </is>
      </c>
      <c r="E511" s="4" t="inlineStr"/>
    </row>
    <row r="512">
      <c r="A512" s="4" t="inlineStr">
        <is>
          <t>1690</t>
        </is>
      </c>
      <c r="B512" s="4" t="inlineStr">
        <is>
          <t>Academic Affairs and Student Life (AASL)</t>
        </is>
      </c>
      <c r="C512" s="4" t="inlineStr">
        <is>
          <t>localist_groups</t>
        </is>
      </c>
      <c r="D512" s="4" t="inlineStr">
        <is>
          <t>Localist Groups</t>
        </is>
      </c>
      <c r="E512" s="4" t="inlineStr"/>
    </row>
    <row r="513">
      <c r="A513" s="4" t="inlineStr">
        <is>
          <t>1691</t>
        </is>
      </c>
      <c r="B513" s="4" t="inlineStr">
        <is>
          <t>Admissions</t>
        </is>
      </c>
      <c r="C513" s="4" t="inlineStr">
        <is>
          <t>localist_groups</t>
        </is>
      </c>
      <c r="D513" s="4" t="inlineStr">
        <is>
          <t>Localist Groups</t>
        </is>
      </c>
      <c r="E513" s="4" t="inlineStr"/>
    </row>
    <row r="514">
      <c r="A514" s="4" t="inlineStr">
        <is>
          <t>1692</t>
        </is>
      </c>
      <c r="B514" s="4" t="inlineStr">
        <is>
          <t>Business Operations</t>
        </is>
      </c>
      <c r="C514" s="4" t="inlineStr">
        <is>
          <t>localist_groups</t>
        </is>
      </c>
      <c r="D514" s="4" t="inlineStr">
        <is>
          <t>Localist Groups</t>
        </is>
      </c>
      <c r="E514" s="4" t="inlineStr"/>
    </row>
    <row r="515">
      <c r="A515" s="4" t="inlineStr">
        <is>
          <t>1693</t>
        </is>
      </c>
      <c r="B515" s="4" t="inlineStr">
        <is>
          <t>Career Development Office</t>
        </is>
      </c>
      <c r="C515" s="4" t="inlineStr">
        <is>
          <t>localist_groups</t>
        </is>
      </c>
      <c r="D515" s="4" t="inlineStr">
        <is>
          <t>Localist Groups</t>
        </is>
      </c>
      <c r="E515" s="4" t="inlineStr"/>
    </row>
    <row r="516">
      <c r="A516" s="4" t="inlineStr">
        <is>
          <t>1694</t>
        </is>
      </c>
      <c r="B516" s="4" t="inlineStr">
        <is>
          <t>Chief Executive Leadership Institute</t>
        </is>
      </c>
      <c r="C516" s="4" t="inlineStr">
        <is>
          <t>localist_groups</t>
        </is>
      </c>
      <c r="D516" s="4" t="inlineStr">
        <is>
          <t>Localist Groups</t>
        </is>
      </c>
      <c r="E516" s="4" t="inlineStr"/>
    </row>
    <row r="517">
      <c r="A517" s="4" t="inlineStr">
        <is>
          <t>1695</t>
        </is>
      </c>
      <c r="B517" s="4" t="inlineStr">
        <is>
          <t>Dean's Office</t>
        </is>
      </c>
      <c r="C517" s="4" t="inlineStr">
        <is>
          <t>localist_groups</t>
        </is>
      </c>
      <c r="D517" s="4" t="inlineStr">
        <is>
          <t>Localist Groups</t>
        </is>
      </c>
      <c r="E517" s="4" t="inlineStr"/>
    </row>
    <row r="518">
      <c r="A518" s="4" t="inlineStr">
        <is>
          <t>1696</t>
        </is>
      </c>
      <c r="B518" s="4" t="inlineStr">
        <is>
          <t>Human Resources</t>
        </is>
      </c>
      <c r="C518" s="4" t="inlineStr">
        <is>
          <t>localist_groups</t>
        </is>
      </c>
      <c r="D518" s="4" t="inlineStr">
        <is>
          <t>Localist Groups</t>
        </is>
      </c>
      <c r="E518" s="4" t="inlineStr"/>
    </row>
    <row r="519">
      <c r="A519" s="4" t="inlineStr">
        <is>
          <t>1697</t>
        </is>
      </c>
      <c r="B519" s="4" t="inlineStr">
        <is>
          <t>International Center for Finance</t>
        </is>
      </c>
      <c r="C519" s="4" t="inlineStr">
        <is>
          <t>localist_groups</t>
        </is>
      </c>
      <c r="D519" s="4" t="inlineStr">
        <is>
          <t>Localist Groups</t>
        </is>
      </c>
      <c r="E519" s="4" t="inlineStr"/>
    </row>
    <row r="520">
      <c r="A520" s="4" t="inlineStr">
        <is>
          <t>1698</t>
        </is>
      </c>
      <c r="B520" s="4" t="inlineStr">
        <is>
          <t>Jackson School of Global Affairs</t>
        </is>
      </c>
      <c r="C520" s="4" t="inlineStr">
        <is>
          <t>localist_groups</t>
        </is>
      </c>
      <c r="D520" s="4" t="inlineStr">
        <is>
          <t>Localist Groups</t>
        </is>
      </c>
      <c r="E520" s="4" t="inlineStr"/>
    </row>
    <row r="521">
      <c r="A521" s="4" t="inlineStr">
        <is>
          <t>1699</t>
        </is>
      </c>
      <c r="B521" s="4" t="inlineStr">
        <is>
          <t>Office of Community Engagement and Dialogue (OCED)</t>
        </is>
      </c>
      <c r="C521" s="4" t="inlineStr">
        <is>
          <t>localist_groups</t>
        </is>
      </c>
      <c r="D521" s="4" t="inlineStr">
        <is>
          <t>Localist Groups</t>
        </is>
      </c>
      <c r="E521" s="4" t="inlineStr"/>
    </row>
    <row r="522">
      <c r="A522" s="4" t="inlineStr">
        <is>
          <t>1112</t>
        </is>
      </c>
      <c r="B522" s="4" t="inlineStr">
        <is>
          <t>Africa</t>
        </is>
      </c>
      <c r="C522" s="4" t="inlineStr">
        <is>
          <t>location</t>
        </is>
      </c>
      <c r="D522" s="4" t="inlineStr">
        <is>
          <t>Location</t>
        </is>
      </c>
      <c r="E522" s="4" t="inlineStr"/>
    </row>
    <row r="523">
      <c r="A523" s="4" t="inlineStr">
        <is>
          <t>1113</t>
        </is>
      </c>
      <c r="B523" s="4" t="inlineStr">
        <is>
          <t>Asia</t>
        </is>
      </c>
      <c r="C523" s="4" t="inlineStr">
        <is>
          <t>location</t>
        </is>
      </c>
      <c r="D523" s="4" t="inlineStr">
        <is>
          <t>Location</t>
        </is>
      </c>
      <c r="E523" s="4" t="inlineStr"/>
    </row>
    <row r="524">
      <c r="A524" s="4" t="inlineStr">
        <is>
          <t>1114</t>
        </is>
      </c>
      <c r="B524" s="4" t="inlineStr">
        <is>
          <t>Australia</t>
        </is>
      </c>
      <c r="C524" s="4" t="inlineStr">
        <is>
          <t>location</t>
        </is>
      </c>
      <c r="D524" s="4" t="inlineStr">
        <is>
          <t>Location</t>
        </is>
      </c>
      <c r="E524" s="4" t="inlineStr"/>
    </row>
    <row r="525">
      <c r="A525" s="4" t="inlineStr">
        <is>
          <t>1120</t>
        </is>
      </c>
      <c r="B525" s="4" t="inlineStr">
        <is>
          <t>Canada</t>
        </is>
      </c>
      <c r="C525" s="4" t="inlineStr">
        <is>
          <t>location</t>
        </is>
      </c>
      <c r="D525" s="4" t="inlineStr">
        <is>
          <t>Location</t>
        </is>
      </c>
      <c r="E525" s="4" t="inlineStr">
        <is>
          <t>1119</t>
        </is>
      </c>
    </row>
    <row r="526">
      <c r="A526" s="4" t="inlineStr">
        <is>
          <t>1115</t>
        </is>
      </c>
      <c r="B526" s="4" t="inlineStr">
        <is>
          <t>Central/South America</t>
        </is>
      </c>
      <c r="C526" s="4" t="inlineStr">
        <is>
          <t>location</t>
        </is>
      </c>
      <c r="D526" s="4" t="inlineStr">
        <is>
          <t>Location</t>
        </is>
      </c>
      <c r="E526" s="4" t="inlineStr"/>
    </row>
    <row r="527">
      <c r="A527" s="4" t="inlineStr">
        <is>
          <t>1116</t>
        </is>
      </c>
      <c r="B527" s="4" t="inlineStr">
        <is>
          <t>Europe</t>
        </is>
      </c>
      <c r="C527" s="4" t="inlineStr">
        <is>
          <t>location</t>
        </is>
      </c>
      <c r="D527" s="4" t="inlineStr">
        <is>
          <t>Location</t>
        </is>
      </c>
      <c r="E527" s="4" t="inlineStr"/>
    </row>
    <row r="528">
      <c r="A528" s="4" t="inlineStr">
        <is>
          <t>1117</t>
        </is>
      </c>
      <c r="B528" s="4" t="inlineStr">
        <is>
          <t>Middle East</t>
        </is>
      </c>
      <c r="C528" s="4" t="inlineStr">
        <is>
          <t>location</t>
        </is>
      </c>
      <c r="D528" s="4" t="inlineStr">
        <is>
          <t>Location</t>
        </is>
      </c>
      <c r="E528" s="4" t="inlineStr"/>
    </row>
    <row r="529">
      <c r="A529" s="4" t="inlineStr">
        <is>
          <t>1119</t>
        </is>
      </c>
      <c r="B529" s="4" t="inlineStr">
        <is>
          <t>North America</t>
        </is>
      </c>
      <c r="C529" s="4" t="inlineStr">
        <is>
          <t>location</t>
        </is>
      </c>
      <c r="D529" s="4" t="inlineStr">
        <is>
          <t>Location</t>
        </is>
      </c>
      <c r="E529" s="4" t="inlineStr"/>
    </row>
    <row r="530">
      <c r="A530" s="4" t="inlineStr">
        <is>
          <t>1118</t>
        </is>
      </c>
      <c r="B530" s="4" t="inlineStr">
        <is>
          <t>Oceania</t>
        </is>
      </c>
      <c r="C530" s="4" t="inlineStr">
        <is>
          <t>location</t>
        </is>
      </c>
      <c r="D530" s="4" t="inlineStr">
        <is>
          <t>Location</t>
        </is>
      </c>
      <c r="E530" s="4" t="inlineStr"/>
    </row>
    <row r="531">
      <c r="A531" s="4" t="inlineStr">
        <is>
          <t>1122</t>
        </is>
      </c>
      <c r="B531" s="4" t="inlineStr">
        <is>
          <t>United States</t>
        </is>
      </c>
      <c r="C531" s="4" t="inlineStr">
        <is>
          <t>location</t>
        </is>
      </c>
      <c r="D531" s="4" t="inlineStr">
        <is>
          <t>Location</t>
        </is>
      </c>
      <c r="E531" s="4" t="inlineStr">
        <is>
          <t>1119</t>
        </is>
      </c>
    </row>
    <row r="532">
      <c r="A532" s="4" t="inlineStr">
        <is>
          <t>1138</t>
        </is>
      </c>
      <c r="B532" s="4" t="inlineStr">
        <is>
          <t>Evans Hall</t>
        </is>
      </c>
      <c r="C532" s="4" t="inlineStr">
        <is>
          <t>media_tags</t>
        </is>
      </c>
      <c r="D532" s="4" t="inlineStr">
        <is>
          <t>Media Tags</t>
        </is>
      </c>
      <c r="E532" s="4" t="inlineStr"/>
    </row>
    <row r="533">
      <c r="A533" s="4" t="inlineStr">
        <is>
          <t>1143</t>
        </is>
      </c>
      <c r="B533" s="4" t="inlineStr">
        <is>
          <t>Executive Education</t>
        </is>
      </c>
      <c r="C533" s="4" t="inlineStr">
        <is>
          <t>media_tags</t>
        </is>
      </c>
      <c r="D533" s="4" t="inlineStr">
        <is>
          <t>Media Tags</t>
        </is>
      </c>
      <c r="E533" s="4" t="inlineStr"/>
    </row>
    <row r="534">
      <c r="A534" s="4" t="inlineStr">
        <is>
          <t>1139</t>
        </is>
      </c>
      <c r="B534" s="4" t="inlineStr">
        <is>
          <t>Faculty</t>
        </is>
      </c>
      <c r="C534" s="4" t="inlineStr">
        <is>
          <t>media_tags</t>
        </is>
      </c>
      <c r="D534" s="4" t="inlineStr">
        <is>
          <t>Media Tags</t>
        </is>
      </c>
      <c r="E534" s="4" t="inlineStr"/>
    </row>
    <row r="535">
      <c r="A535" s="4" t="inlineStr">
        <is>
          <t>1141</t>
        </is>
      </c>
      <c r="B535" s="4" t="inlineStr">
        <is>
          <t>Global</t>
        </is>
      </c>
      <c r="C535" s="4" t="inlineStr">
        <is>
          <t>media_tags</t>
        </is>
      </c>
      <c r="D535" s="4" t="inlineStr">
        <is>
          <t>Media Tags</t>
        </is>
      </c>
      <c r="E535" s="4" t="inlineStr"/>
    </row>
    <row r="536">
      <c r="A536" s="4" t="inlineStr">
        <is>
          <t>1169</t>
        </is>
      </c>
      <c r="B536" s="4" t="inlineStr">
        <is>
          <t>myPortal</t>
        </is>
      </c>
      <c r="C536" s="4" t="inlineStr">
        <is>
          <t>media_tags</t>
        </is>
      </c>
      <c r="D536" s="4" t="inlineStr">
        <is>
          <t>Media Tags</t>
        </is>
      </c>
      <c r="E536" s="4" t="inlineStr"/>
    </row>
    <row r="537">
      <c r="A537" s="4" t="inlineStr">
        <is>
          <t>1181</t>
        </is>
      </c>
      <c r="B537" s="4" t="inlineStr">
        <is>
          <t>Podcast Image</t>
        </is>
      </c>
      <c r="C537" s="4" t="inlineStr">
        <is>
          <t>media_tags</t>
        </is>
      </c>
      <c r="D537" s="4" t="inlineStr">
        <is>
          <t>Media Tags</t>
        </is>
      </c>
      <c r="E537" s="4" t="inlineStr"/>
    </row>
    <row r="538">
      <c r="A538" s="4" t="inlineStr">
        <is>
          <t>1140</t>
        </is>
      </c>
      <c r="B538" s="4" t="inlineStr">
        <is>
          <t>Programs</t>
        </is>
      </c>
      <c r="C538" s="4" t="inlineStr">
        <is>
          <t>media_tags</t>
        </is>
      </c>
      <c r="D538" s="4" t="inlineStr">
        <is>
          <t>Media Tags</t>
        </is>
      </c>
      <c r="E538" s="4" t="inlineStr"/>
    </row>
    <row r="539">
      <c r="A539" s="4" t="inlineStr">
        <is>
          <t>1292</t>
        </is>
      </c>
      <c r="B539" s="4" t="inlineStr">
        <is>
          <t>Blended</t>
        </is>
      </c>
      <c r="C539" s="4" t="inlineStr">
        <is>
          <t>modality</t>
        </is>
      </c>
      <c r="D539" s="4" t="inlineStr">
        <is>
          <t>Modality</t>
        </is>
      </c>
      <c r="E539" s="4" t="inlineStr"/>
    </row>
    <row r="540">
      <c r="A540" s="4" t="inlineStr">
        <is>
          <t>1293</t>
        </is>
      </c>
      <c r="B540" s="4" t="inlineStr">
        <is>
          <t>In-Person</t>
        </is>
      </c>
      <c r="C540" s="4" t="inlineStr">
        <is>
          <t>modality</t>
        </is>
      </c>
      <c r="D540" s="4" t="inlineStr">
        <is>
          <t>Modality</t>
        </is>
      </c>
      <c r="E540" s="4" t="inlineStr"/>
    </row>
    <row r="541">
      <c r="A541" s="4" t="inlineStr">
        <is>
          <t>1294</t>
        </is>
      </c>
      <c r="B541" s="4" t="inlineStr">
        <is>
          <t>Live Online</t>
        </is>
      </c>
      <c r="C541" s="4" t="inlineStr">
        <is>
          <t>modality</t>
        </is>
      </c>
      <c r="D541" s="4" t="inlineStr">
        <is>
          <t>Modality</t>
        </is>
      </c>
      <c r="E541" s="4" t="inlineStr"/>
    </row>
    <row r="542">
      <c r="A542" s="4" t="inlineStr">
        <is>
          <t>1295</t>
        </is>
      </c>
      <c r="B542" s="4" t="inlineStr">
        <is>
          <t>Online</t>
        </is>
      </c>
      <c r="C542" s="4" t="inlineStr">
        <is>
          <t>modality</t>
        </is>
      </c>
      <c r="D542" s="4" t="inlineStr">
        <is>
          <t>Modality</t>
        </is>
      </c>
      <c r="E542" s="4" t="inlineStr"/>
    </row>
    <row r="543">
      <c r="A543" s="4" t="inlineStr">
        <is>
          <t>1379</t>
        </is>
      </c>
      <c r="B543" s="4" t="inlineStr">
        <is>
          <t>1stGenYale</t>
        </is>
      </c>
      <c r="C543" s="4" t="inlineStr">
        <is>
          <t>organizer</t>
        </is>
      </c>
      <c r="D543" s="4" t="inlineStr">
        <is>
          <t>Organizer</t>
        </is>
      </c>
      <c r="E543" s="4" t="inlineStr"/>
    </row>
    <row r="544">
      <c r="A544" s="4" t="inlineStr">
        <is>
          <t>1221</t>
        </is>
      </c>
      <c r="B544" s="4" t="inlineStr">
        <is>
          <t>Academic Affairs &amp; Student Life</t>
        </is>
      </c>
      <c r="C544" s="4" t="inlineStr">
        <is>
          <t>organizer</t>
        </is>
      </c>
      <c r="D544" s="4" t="inlineStr">
        <is>
          <t>Organizer</t>
        </is>
      </c>
      <c r="E544" s="4" t="inlineStr"/>
    </row>
    <row r="545">
      <c r="A545" s="4" t="inlineStr">
        <is>
          <t>1297</t>
        </is>
      </c>
      <c r="B545" s="4" t="inlineStr">
        <is>
          <t>Academic Affairs and Student Life</t>
        </is>
      </c>
      <c r="C545" s="4" t="inlineStr">
        <is>
          <t>organizer</t>
        </is>
      </c>
      <c r="D545" s="4" t="inlineStr">
        <is>
          <t>Organizer</t>
        </is>
      </c>
      <c r="E545" s="4" t="inlineStr"/>
    </row>
    <row r="546">
      <c r="A546" s="4" t="inlineStr">
        <is>
          <t>1307</t>
        </is>
      </c>
      <c r="B546" s="4" t="inlineStr">
        <is>
          <t>Academics</t>
        </is>
      </c>
      <c r="C546" s="4" t="inlineStr">
        <is>
          <t>organizer</t>
        </is>
      </c>
      <c r="D546" s="4" t="inlineStr">
        <is>
          <t>Organizer</t>
        </is>
      </c>
      <c r="E546" s="4" t="inlineStr"/>
    </row>
    <row r="547">
      <c r="A547" s="4" t="inlineStr">
        <is>
          <t>1370</t>
        </is>
      </c>
      <c r="B547" s="4" t="inlineStr">
        <is>
          <t>Adam Smith Society</t>
        </is>
      </c>
      <c r="C547" s="4" t="inlineStr">
        <is>
          <t>organizer</t>
        </is>
      </c>
      <c r="D547" s="4" t="inlineStr">
        <is>
          <t>Organizer</t>
        </is>
      </c>
      <c r="E547" s="4" t="inlineStr"/>
    </row>
    <row r="548">
      <c r="A548" s="4" t="inlineStr">
        <is>
          <t>1363</t>
        </is>
      </c>
      <c r="B548" s="4" t="inlineStr">
        <is>
          <t>Admissions</t>
        </is>
      </c>
      <c r="C548" s="4" t="inlineStr">
        <is>
          <t>organizer</t>
        </is>
      </c>
      <c r="D548" s="4" t="inlineStr">
        <is>
          <t>Organizer</t>
        </is>
      </c>
      <c r="E548" s="4" t="inlineStr"/>
    </row>
    <row r="549">
      <c r="A549" s="4" t="inlineStr">
        <is>
          <t>1539</t>
        </is>
      </c>
      <c r="B549" s="4" t="inlineStr">
        <is>
          <t>Aerospace &amp; Defense Club</t>
        </is>
      </c>
      <c r="C549" s="4" t="inlineStr">
        <is>
          <t>organizer</t>
        </is>
      </c>
      <c r="D549" s="4" t="inlineStr">
        <is>
          <t>Organizer</t>
        </is>
      </c>
      <c r="E549" s="4" t="inlineStr"/>
    </row>
    <row r="550">
      <c r="A550" s="4" t="inlineStr">
        <is>
          <t>1584</t>
        </is>
      </c>
      <c r="B550" s="4" t="inlineStr">
        <is>
          <t>Africa Business &amp;  Society Club</t>
        </is>
      </c>
      <c r="C550" s="4" t="inlineStr">
        <is>
          <t>organizer</t>
        </is>
      </c>
      <c r="D550" s="4" t="inlineStr">
        <is>
          <t>Organizer</t>
        </is>
      </c>
      <c r="E550" s="4" t="inlineStr"/>
    </row>
    <row r="551">
      <c r="A551" s="4" t="inlineStr">
        <is>
          <t>1259</t>
        </is>
      </c>
      <c r="B551" s="4" t="inlineStr">
        <is>
          <t>Africa Business &amp; Society</t>
        </is>
      </c>
      <c r="C551" s="4" t="inlineStr">
        <is>
          <t>organizer</t>
        </is>
      </c>
      <c r="D551" s="4" t="inlineStr">
        <is>
          <t>Organizer</t>
        </is>
      </c>
      <c r="E551" s="4" t="inlineStr"/>
    </row>
    <row r="552">
      <c r="A552" s="4" t="inlineStr">
        <is>
          <t>1765</t>
        </is>
      </c>
      <c r="B552" s="4" t="inlineStr">
        <is>
          <t>African Business &amp; Society Club</t>
        </is>
      </c>
      <c r="C552" s="4" t="inlineStr">
        <is>
          <t>organizer</t>
        </is>
      </c>
      <c r="D552" s="4" t="inlineStr">
        <is>
          <t>Organizer</t>
        </is>
      </c>
      <c r="E552" s="4" t="inlineStr"/>
    </row>
    <row r="553">
      <c r="A553" s="4" t="inlineStr">
        <is>
          <t>1754</t>
        </is>
      </c>
      <c r="B553" s="4" t="inlineStr">
        <is>
          <t>AI at Yale</t>
        </is>
      </c>
      <c r="C553" s="4" t="inlineStr">
        <is>
          <t>organizer</t>
        </is>
      </c>
      <c r="D553" s="4" t="inlineStr">
        <is>
          <t>Organizer</t>
        </is>
      </c>
      <c r="E553" s="4" t="inlineStr"/>
    </row>
    <row r="554">
      <c r="A554" s="4" t="inlineStr">
        <is>
          <t>1728</t>
        </is>
      </c>
      <c r="B554" s="4" t="inlineStr">
        <is>
          <t>AI at Yale &amp; Yale Library</t>
        </is>
      </c>
      <c r="C554" s="4" t="inlineStr">
        <is>
          <t>organizer</t>
        </is>
      </c>
      <c r="D554" s="4" t="inlineStr">
        <is>
          <t>Organizer</t>
        </is>
      </c>
      <c r="E554" s="4" t="inlineStr"/>
    </row>
    <row r="555">
      <c r="A555" s="4" t="inlineStr">
        <is>
          <t>1223</t>
        </is>
      </c>
      <c r="B555" s="4" t="inlineStr">
        <is>
          <t>Alumni Relations</t>
        </is>
      </c>
      <c r="C555" s="4" t="inlineStr">
        <is>
          <t>organizer</t>
        </is>
      </c>
      <c r="D555" s="4" t="inlineStr">
        <is>
          <t>Organizer</t>
        </is>
      </c>
      <c r="E555" s="4" t="inlineStr"/>
    </row>
    <row r="556">
      <c r="A556" s="4" t="inlineStr">
        <is>
          <t>1275</t>
        </is>
      </c>
      <c r="B556" s="4" t="inlineStr">
        <is>
          <t>American-Latine Business Association</t>
        </is>
      </c>
      <c r="C556" s="4" t="inlineStr">
        <is>
          <t>organizer</t>
        </is>
      </c>
      <c r="D556" s="4" t="inlineStr">
        <is>
          <t>Organizer</t>
        </is>
      </c>
      <c r="E556" s="4" t="inlineStr"/>
    </row>
    <row r="557">
      <c r="A557" s="4" t="inlineStr">
        <is>
          <t>1469</t>
        </is>
      </c>
      <c r="B557" s="4" t="inlineStr">
        <is>
          <t>Artificial Intelligence Association</t>
        </is>
      </c>
      <c r="C557" s="4" t="inlineStr">
        <is>
          <t>organizer</t>
        </is>
      </c>
      <c r="D557" s="4" t="inlineStr">
        <is>
          <t>Organizer</t>
        </is>
      </c>
      <c r="E557" s="4" t="inlineStr"/>
    </row>
    <row r="558">
      <c r="A558" s="4" t="inlineStr">
        <is>
          <t>1270</t>
        </is>
      </c>
      <c r="B558" s="4" t="inlineStr">
        <is>
          <t>Artificial Intelligence Group</t>
        </is>
      </c>
      <c r="C558" s="4" t="inlineStr">
        <is>
          <t>organizer</t>
        </is>
      </c>
      <c r="D558" s="4" t="inlineStr">
        <is>
          <t>Organizer</t>
        </is>
      </c>
      <c r="E558" s="4" t="inlineStr"/>
    </row>
    <row r="559">
      <c r="A559" s="4" t="inlineStr">
        <is>
          <t>1274</t>
        </is>
      </c>
      <c r="B559" s="4" t="inlineStr">
        <is>
          <t>Arts and Culture Club</t>
        </is>
      </c>
      <c r="C559" s="4" t="inlineStr">
        <is>
          <t>organizer</t>
        </is>
      </c>
      <c r="D559" s="4" t="inlineStr">
        <is>
          <t>Organizer</t>
        </is>
      </c>
      <c r="E559" s="4" t="inlineStr"/>
    </row>
    <row r="560">
      <c r="A560" s="4" t="inlineStr">
        <is>
          <t>1411</t>
        </is>
      </c>
      <c r="B560" s="4" t="inlineStr">
        <is>
          <t>Arts Council of Greater New Haven &amp; Yale SOM</t>
        </is>
      </c>
      <c r="C560" s="4" t="inlineStr">
        <is>
          <t>organizer</t>
        </is>
      </c>
      <c r="D560" s="4" t="inlineStr">
        <is>
          <t>Organizer</t>
        </is>
      </c>
      <c r="E560" s="4" t="inlineStr"/>
    </row>
    <row r="561">
      <c r="A561" s="4" t="inlineStr">
        <is>
          <t>1327</t>
        </is>
      </c>
      <c r="B561" s="4" t="inlineStr">
        <is>
          <t>Asian, Asian-American and Pacific Islander Association</t>
        </is>
      </c>
      <c r="C561" s="4" t="inlineStr">
        <is>
          <t>organizer</t>
        </is>
      </c>
      <c r="D561" s="4" t="inlineStr">
        <is>
          <t>Organizer</t>
        </is>
      </c>
      <c r="E561" s="4" t="inlineStr"/>
    </row>
    <row r="562">
      <c r="A562" s="4" t="inlineStr">
        <is>
          <t>1302</t>
        </is>
      </c>
      <c r="B562" s="4" t="inlineStr">
        <is>
          <t>Ask Me Anything (AMA)</t>
        </is>
      </c>
      <c r="C562" s="4" t="inlineStr">
        <is>
          <t>organizer</t>
        </is>
      </c>
      <c r="D562" s="4" t="inlineStr">
        <is>
          <t>Organizer</t>
        </is>
      </c>
      <c r="E562" s="4" t="inlineStr"/>
    </row>
    <row r="563">
      <c r="A563" s="4" t="inlineStr">
        <is>
          <t>1600</t>
        </is>
      </c>
      <c r="B563" s="4" t="inlineStr">
        <is>
          <t>Aspire Fellow's Program</t>
        </is>
      </c>
      <c r="C563" s="4" t="inlineStr">
        <is>
          <t>organizer</t>
        </is>
      </c>
      <c r="D563" s="4" t="inlineStr">
        <is>
          <t>Organizer</t>
        </is>
      </c>
      <c r="E563" s="4" t="inlineStr"/>
    </row>
    <row r="564">
      <c r="A564" s="4" t="inlineStr">
        <is>
          <t>1252</t>
        </is>
      </c>
      <c r="B564" s="4" t="inlineStr">
        <is>
          <t>Association of Hispanic and Latin American Students</t>
        </is>
      </c>
      <c r="C564" s="4" t="inlineStr">
        <is>
          <t>organizer</t>
        </is>
      </c>
      <c r="D564" s="4" t="inlineStr">
        <is>
          <t>Organizer</t>
        </is>
      </c>
      <c r="E564" s="4" t="inlineStr"/>
    </row>
    <row r="565">
      <c r="A565" s="4" t="inlineStr">
        <is>
          <t>1322</t>
        </is>
      </c>
      <c r="B565" s="4" t="inlineStr">
        <is>
          <t>Behavioral Lab</t>
        </is>
      </c>
      <c r="C565" s="4" t="inlineStr">
        <is>
          <t>organizer</t>
        </is>
      </c>
      <c r="D565" s="4" t="inlineStr">
        <is>
          <t>Organizer</t>
        </is>
      </c>
      <c r="E565" s="4" t="inlineStr"/>
    </row>
    <row r="566">
      <c r="A566" s="4" t="inlineStr">
        <is>
          <t>1630</t>
        </is>
      </c>
      <c r="B566" s="4" t="inlineStr">
        <is>
          <t>Being Well at Yale</t>
        </is>
      </c>
      <c r="C566" s="4" t="inlineStr">
        <is>
          <t>organizer</t>
        </is>
      </c>
      <c r="D566" s="4" t="inlineStr">
        <is>
          <t>Organizer</t>
        </is>
      </c>
      <c r="E566" s="4" t="inlineStr"/>
    </row>
    <row r="567">
      <c r="A567" s="4" t="inlineStr">
        <is>
          <t>1448</t>
        </is>
      </c>
      <c r="B567" s="4" t="inlineStr">
        <is>
          <t>Belonging at Yale</t>
        </is>
      </c>
      <c r="C567" s="4" t="inlineStr">
        <is>
          <t>organizer</t>
        </is>
      </c>
      <c r="D567" s="4" t="inlineStr">
        <is>
          <t>Organizer</t>
        </is>
      </c>
      <c r="E567" s="4" t="inlineStr"/>
    </row>
    <row r="568">
      <c r="A568" s="4" t="inlineStr">
        <is>
          <t>1450</t>
        </is>
      </c>
      <c r="B568" s="4" t="inlineStr">
        <is>
          <t>Belonging at Yale &amp; Yale Schwarzman Center</t>
        </is>
      </c>
      <c r="C568" s="4" t="inlineStr">
        <is>
          <t>organizer</t>
        </is>
      </c>
      <c r="D568" s="4" t="inlineStr">
        <is>
          <t>Organizer</t>
        </is>
      </c>
      <c r="E568" s="4" t="inlineStr"/>
    </row>
    <row r="569">
      <c r="A569" s="4" t="inlineStr">
        <is>
          <t>1725</t>
        </is>
      </c>
      <c r="B569" s="4" t="inlineStr">
        <is>
          <t>Belonging at Yale: Cultivating Conversation</t>
        </is>
      </c>
      <c r="C569" s="4" t="inlineStr">
        <is>
          <t>organizer</t>
        </is>
      </c>
      <c r="D569" s="4" t="inlineStr">
        <is>
          <t>Organizer</t>
        </is>
      </c>
      <c r="E569" s="4" t="inlineStr"/>
    </row>
    <row r="570">
      <c r="A570" s="4" t="inlineStr">
        <is>
          <t>1235</t>
        </is>
      </c>
      <c r="B570" s="4" t="inlineStr">
        <is>
          <t>Black Business Alliance</t>
        </is>
      </c>
      <c r="C570" s="4" t="inlineStr">
        <is>
          <t>organizer</t>
        </is>
      </c>
      <c r="D570" s="4" t="inlineStr">
        <is>
          <t>Organizer</t>
        </is>
      </c>
      <c r="E570" s="4" t="inlineStr"/>
    </row>
    <row r="571">
      <c r="A571" s="4" t="inlineStr">
        <is>
          <t>1473</t>
        </is>
      </c>
      <c r="B571" s="4" t="inlineStr">
        <is>
          <t>Black Business Alliance</t>
        </is>
      </c>
      <c r="C571" s="4" t="inlineStr">
        <is>
          <t>organizer</t>
        </is>
      </c>
      <c r="D571" s="4" t="inlineStr">
        <is>
          <t>Organizer</t>
        </is>
      </c>
      <c r="E571" s="4" t="inlineStr"/>
    </row>
    <row r="572">
      <c r="A572" s="4" t="inlineStr">
        <is>
          <t>1388</t>
        </is>
      </c>
      <c r="B572" s="4" t="inlineStr">
        <is>
          <t>Blockchain Club</t>
        </is>
      </c>
      <c r="C572" s="4" t="inlineStr">
        <is>
          <t>organizer</t>
        </is>
      </c>
      <c r="D572" s="4" t="inlineStr">
        <is>
          <t>Organizer</t>
        </is>
      </c>
      <c r="E572" s="4" t="inlineStr"/>
    </row>
    <row r="573">
      <c r="A573" s="4" t="inlineStr">
        <is>
          <t>1609</t>
        </is>
      </c>
      <c r="B573" s="4" t="inlineStr">
        <is>
          <t>Blue Center for Global Strategic Assessment</t>
        </is>
      </c>
      <c r="C573" s="4" t="inlineStr">
        <is>
          <t>organizer</t>
        </is>
      </c>
      <c r="D573" s="4" t="inlineStr">
        <is>
          <t>Organizer</t>
        </is>
      </c>
      <c r="E573" s="4" t="inlineStr"/>
    </row>
    <row r="574">
      <c r="A574" s="4" t="inlineStr">
        <is>
          <t>1279</t>
        </is>
      </c>
      <c r="B574" s="4" t="inlineStr">
        <is>
          <t>Board Game Group</t>
        </is>
      </c>
      <c r="C574" s="4" t="inlineStr">
        <is>
          <t>organizer</t>
        </is>
      </c>
      <c r="D574" s="4" t="inlineStr">
        <is>
          <t>Organizer</t>
        </is>
      </c>
      <c r="E574" s="4" t="inlineStr"/>
    </row>
    <row r="575">
      <c r="A575" s="4" t="inlineStr">
        <is>
          <t>1300</t>
        </is>
      </c>
      <c r="B575" s="4" t="inlineStr">
        <is>
          <t>Board Game Group</t>
        </is>
      </c>
      <c r="C575" s="4" t="inlineStr">
        <is>
          <t>organizer</t>
        </is>
      </c>
      <c r="D575" s="4" t="inlineStr">
        <is>
          <t>Organizer</t>
        </is>
      </c>
      <c r="E575" s="4" t="inlineStr"/>
    </row>
    <row r="576">
      <c r="A576" s="4" t="inlineStr">
        <is>
          <t>1303</t>
        </is>
      </c>
      <c r="B576" s="4" t="inlineStr">
        <is>
          <t>Business and Politics Club</t>
        </is>
      </c>
      <c r="C576" s="4" t="inlineStr">
        <is>
          <t>organizer</t>
        </is>
      </c>
      <c r="D576" s="4" t="inlineStr">
        <is>
          <t>Organizer</t>
        </is>
      </c>
      <c r="E576" s="4" t="inlineStr"/>
    </row>
    <row r="577">
      <c r="A577" s="4" t="inlineStr">
        <is>
          <t>1321</t>
        </is>
      </c>
      <c r="B577" s="4" t="inlineStr">
        <is>
          <t>Business and the Environment Club</t>
        </is>
      </c>
      <c r="C577" s="4" t="inlineStr">
        <is>
          <t>organizer</t>
        </is>
      </c>
      <c r="D577" s="4" t="inlineStr">
        <is>
          <t>Organizer</t>
        </is>
      </c>
      <c r="E577" s="4" t="inlineStr"/>
    </row>
    <row r="578">
      <c r="A578" s="4" t="inlineStr">
        <is>
          <t>1445</t>
        </is>
      </c>
      <c r="B578" s="4" t="inlineStr">
        <is>
          <t>Business Operations</t>
        </is>
      </c>
      <c r="C578" s="4" t="inlineStr">
        <is>
          <t>organizer</t>
        </is>
      </c>
      <c r="D578" s="4" t="inlineStr">
        <is>
          <t>Organizer</t>
        </is>
      </c>
      <c r="E578" s="4" t="inlineStr"/>
    </row>
    <row r="579">
      <c r="A579" s="4" t="inlineStr">
        <is>
          <t>1625</t>
        </is>
      </c>
      <c r="B579" s="4" t="inlineStr">
        <is>
          <t>CARE &amp; Office of Inclusion and  Diversity</t>
        </is>
      </c>
      <c r="C579" s="4" t="inlineStr">
        <is>
          <t>organizer</t>
        </is>
      </c>
      <c r="D579" s="4" t="inlineStr">
        <is>
          <t>Organizer</t>
        </is>
      </c>
      <c r="E579" s="4" t="inlineStr"/>
    </row>
    <row r="580">
      <c r="A580" s="4" t="inlineStr">
        <is>
          <t>1419</t>
        </is>
      </c>
      <c r="B580" s="4" t="inlineStr">
        <is>
          <t>Career Development Office</t>
        </is>
      </c>
      <c r="C580" s="4" t="inlineStr">
        <is>
          <t>organizer</t>
        </is>
      </c>
      <c r="D580" s="4" t="inlineStr">
        <is>
          <t>Organizer</t>
        </is>
      </c>
      <c r="E580" s="4" t="inlineStr"/>
    </row>
    <row r="581">
      <c r="A581" s="4" t="inlineStr">
        <is>
          <t>1578</t>
        </is>
      </c>
      <c r="B581" s="4" t="inlineStr">
        <is>
          <t>Case Study Research &amp; Development Team</t>
        </is>
      </c>
      <c r="C581" s="4" t="inlineStr">
        <is>
          <t>organizer</t>
        </is>
      </c>
      <c r="D581" s="4" t="inlineStr">
        <is>
          <t>Organizer</t>
        </is>
      </c>
      <c r="E581" s="4" t="inlineStr"/>
    </row>
    <row r="582">
      <c r="A582" s="4" t="inlineStr">
        <is>
          <t>1291</t>
        </is>
      </c>
      <c r="B582" s="4" t="inlineStr">
        <is>
          <t>CBEY</t>
        </is>
      </c>
      <c r="C582" s="4" t="inlineStr">
        <is>
          <t>organizer</t>
        </is>
      </c>
      <c r="D582" s="4" t="inlineStr">
        <is>
          <t>Organizer</t>
        </is>
      </c>
      <c r="E582" s="4" t="inlineStr"/>
    </row>
    <row r="583">
      <c r="A583" s="4" t="inlineStr">
        <is>
          <t>1470</t>
        </is>
      </c>
      <c r="B583" s="4" t="inlineStr">
        <is>
          <t>CBEY &amp; SOM Business &amp; Environment Club</t>
        </is>
      </c>
      <c r="C583" s="4" t="inlineStr">
        <is>
          <t>organizer</t>
        </is>
      </c>
      <c r="D583" s="4" t="inlineStr">
        <is>
          <t>Organizer</t>
        </is>
      </c>
      <c r="E583" s="4" t="inlineStr"/>
    </row>
    <row r="584">
      <c r="A584" s="4" t="inlineStr">
        <is>
          <t>1376</t>
        </is>
      </c>
      <c r="B584" s="4" t="inlineStr">
        <is>
          <t>CBEY &amp; The Conservation Network</t>
        </is>
      </c>
      <c r="C584" s="4" t="inlineStr">
        <is>
          <t>organizer</t>
        </is>
      </c>
      <c r="D584" s="4" t="inlineStr">
        <is>
          <t>Organizer</t>
        </is>
      </c>
      <c r="E584" s="4" t="inlineStr"/>
    </row>
    <row r="585">
      <c r="A585" s="4" t="inlineStr">
        <is>
          <t>1352</t>
        </is>
      </c>
      <c r="B585" s="4" t="inlineStr">
        <is>
          <t>CBEY Office of Career &amp; Professional Development</t>
        </is>
      </c>
      <c r="C585" s="4" t="inlineStr">
        <is>
          <t>organizer</t>
        </is>
      </c>
      <c r="D585" s="4" t="inlineStr">
        <is>
          <t>Organizer</t>
        </is>
      </c>
      <c r="E585" s="4" t="inlineStr"/>
    </row>
    <row r="586">
      <c r="A586" s="4" t="inlineStr">
        <is>
          <t>1500</t>
        </is>
      </c>
      <c r="B586" s="4" t="inlineStr">
        <is>
          <t>Center for Algorithms, Data, and Market Design at Yale</t>
        </is>
      </c>
      <c r="C586" s="4" t="inlineStr">
        <is>
          <t>organizer</t>
        </is>
      </c>
      <c r="D586" s="4" t="inlineStr">
        <is>
          <t>Organizer</t>
        </is>
      </c>
      <c r="E586" s="4" t="inlineStr"/>
    </row>
    <row r="587">
      <c r="A587" s="4" t="inlineStr">
        <is>
          <t>1225</t>
        </is>
      </c>
      <c r="B587" s="4" t="inlineStr">
        <is>
          <t>Center for Customer Insights</t>
        </is>
      </c>
      <c r="C587" s="4" t="inlineStr">
        <is>
          <t>organizer</t>
        </is>
      </c>
      <c r="D587" s="4" t="inlineStr">
        <is>
          <t>Organizer</t>
        </is>
      </c>
      <c r="E587" s="4" t="inlineStr"/>
    </row>
    <row r="588">
      <c r="A588" s="4" t="inlineStr">
        <is>
          <t>1560</t>
        </is>
      </c>
      <c r="B588" s="4" t="inlineStr">
        <is>
          <t>Center for the Study of American Politics</t>
        </is>
      </c>
      <c r="C588" s="4" t="inlineStr">
        <is>
          <t>organizer</t>
        </is>
      </c>
      <c r="D588" s="4" t="inlineStr">
        <is>
          <t>Organizer</t>
        </is>
      </c>
      <c r="E588" s="4" t="inlineStr"/>
    </row>
    <row r="589">
      <c r="A589" s="4" t="inlineStr">
        <is>
          <t>1389</t>
        </is>
      </c>
      <c r="B589" s="4" t="inlineStr">
        <is>
          <t>Chief Executive Leadership Institute</t>
        </is>
      </c>
      <c r="C589" s="4" t="inlineStr">
        <is>
          <t>organizer</t>
        </is>
      </c>
      <c r="D589" s="4" t="inlineStr">
        <is>
          <t>Organizer</t>
        </is>
      </c>
      <c r="E589" s="4" t="inlineStr"/>
    </row>
    <row r="590">
      <c r="A590" s="4" t="inlineStr">
        <is>
          <t>1265</t>
        </is>
      </c>
      <c r="B590" s="4" t="inlineStr">
        <is>
          <t>Christian Fellowship</t>
        </is>
      </c>
      <c r="C590" s="4" t="inlineStr">
        <is>
          <t>organizer</t>
        </is>
      </c>
      <c r="D590" s="4" t="inlineStr">
        <is>
          <t>Organizer</t>
        </is>
      </c>
      <c r="E590" s="4" t="inlineStr"/>
    </row>
    <row r="591">
      <c r="A591" s="4" t="inlineStr">
        <is>
          <t>1333</t>
        </is>
      </c>
      <c r="B591" s="4" t="inlineStr">
        <is>
          <t>City of New Haven</t>
        </is>
      </c>
      <c r="C591" s="4" t="inlineStr">
        <is>
          <t>organizer</t>
        </is>
      </c>
      <c r="D591" s="4" t="inlineStr">
        <is>
          <t>Organizer</t>
        </is>
      </c>
      <c r="E591" s="4" t="inlineStr"/>
    </row>
    <row r="592">
      <c r="A592" s="4" t="inlineStr">
        <is>
          <t>1334</t>
        </is>
      </c>
      <c r="B592" s="4" t="inlineStr">
        <is>
          <t>Cohort: Blue</t>
        </is>
      </c>
      <c r="C592" s="4" t="inlineStr">
        <is>
          <t>organizer</t>
        </is>
      </c>
      <c r="D592" s="4" t="inlineStr">
        <is>
          <t>Organizer</t>
        </is>
      </c>
      <c r="E592" s="4" t="inlineStr"/>
    </row>
    <row r="593">
      <c r="A593" s="4" t="inlineStr">
        <is>
          <t>1319</t>
        </is>
      </c>
      <c r="B593" s="4" t="inlineStr">
        <is>
          <t>Cohort: Gold</t>
        </is>
      </c>
      <c r="C593" s="4" t="inlineStr">
        <is>
          <t>organizer</t>
        </is>
      </c>
      <c r="D593" s="4" t="inlineStr">
        <is>
          <t>Organizer</t>
        </is>
      </c>
      <c r="E593" s="4" t="inlineStr"/>
    </row>
    <row r="594">
      <c r="A594" s="4" t="inlineStr">
        <is>
          <t>1277</t>
        </is>
      </c>
      <c r="B594" s="4" t="inlineStr">
        <is>
          <t>Cohort: Green</t>
        </is>
      </c>
      <c r="C594" s="4" t="inlineStr">
        <is>
          <t>organizer</t>
        </is>
      </c>
      <c r="D594" s="4" t="inlineStr">
        <is>
          <t>Organizer</t>
        </is>
      </c>
      <c r="E594" s="4" t="inlineStr"/>
    </row>
    <row r="595">
      <c r="A595" s="4" t="inlineStr">
        <is>
          <t>1474</t>
        </is>
      </c>
      <c r="B595" s="4" t="inlineStr">
        <is>
          <t>Cohort: Orange</t>
        </is>
      </c>
      <c r="C595" s="4" t="inlineStr">
        <is>
          <t>organizer</t>
        </is>
      </c>
      <c r="D595" s="4" t="inlineStr">
        <is>
          <t>Organizer</t>
        </is>
      </c>
      <c r="E595" s="4" t="inlineStr"/>
    </row>
    <row r="596">
      <c r="A596" s="4" t="inlineStr">
        <is>
          <t>1400</t>
        </is>
      </c>
      <c r="B596" s="4" t="inlineStr">
        <is>
          <t>Cohort: Purple</t>
        </is>
      </c>
      <c r="C596" s="4" t="inlineStr">
        <is>
          <t>organizer</t>
        </is>
      </c>
      <c r="D596" s="4" t="inlineStr">
        <is>
          <t>Organizer</t>
        </is>
      </c>
      <c r="E596" s="4" t="inlineStr"/>
    </row>
    <row r="597">
      <c r="A597" s="4" t="inlineStr">
        <is>
          <t>1392</t>
        </is>
      </c>
      <c r="B597" s="4" t="inlineStr">
        <is>
          <t>Cohort: Red</t>
        </is>
      </c>
      <c r="C597" s="4" t="inlineStr">
        <is>
          <t>organizer</t>
        </is>
      </c>
      <c r="D597" s="4" t="inlineStr">
        <is>
          <t>Organizer</t>
        </is>
      </c>
      <c r="E597" s="4" t="inlineStr"/>
    </row>
    <row r="598">
      <c r="A598" s="4" t="inlineStr">
        <is>
          <t>1325</t>
        </is>
      </c>
      <c r="B598" s="4" t="inlineStr">
        <is>
          <t>Cohort: Silver</t>
        </is>
      </c>
      <c r="C598" s="4" t="inlineStr">
        <is>
          <t>organizer</t>
        </is>
      </c>
      <c r="D598" s="4" t="inlineStr">
        <is>
          <t>Organizer</t>
        </is>
      </c>
      <c r="E598" s="4" t="inlineStr"/>
    </row>
    <row r="599">
      <c r="A599" s="4" t="inlineStr">
        <is>
          <t>1409</t>
        </is>
      </c>
      <c r="B599" s="4" t="inlineStr">
        <is>
          <t>Communications</t>
        </is>
      </c>
      <c r="C599" s="4" t="inlineStr">
        <is>
          <t>organizer</t>
        </is>
      </c>
      <c r="D599" s="4" t="inlineStr">
        <is>
          <t>Organizer</t>
        </is>
      </c>
      <c r="E599" s="4" t="inlineStr"/>
    </row>
    <row r="600">
      <c r="A600" s="4" t="inlineStr">
        <is>
          <t>1435</t>
        </is>
      </c>
      <c r="B600" s="4" t="inlineStr">
        <is>
          <t>Communications Team</t>
        </is>
      </c>
      <c r="C600" s="4" t="inlineStr">
        <is>
          <t>organizer</t>
        </is>
      </c>
      <c r="D600" s="4" t="inlineStr">
        <is>
          <t>Organizer</t>
        </is>
      </c>
      <c r="E600" s="4" t="inlineStr"/>
    </row>
    <row r="601">
      <c r="A601" s="4" t="inlineStr">
        <is>
          <t>1628</t>
        </is>
      </c>
      <c r="B601" s="4" t="inlineStr">
        <is>
          <t>Communications Video Team</t>
        </is>
      </c>
      <c r="C601" s="4" t="inlineStr">
        <is>
          <t>organizer</t>
        </is>
      </c>
      <c r="D601" s="4" t="inlineStr">
        <is>
          <t>Organizer</t>
        </is>
      </c>
      <c r="E601" s="4" t="inlineStr"/>
    </row>
    <row r="602">
      <c r="A602" s="4" t="inlineStr">
        <is>
          <t>1531</t>
        </is>
      </c>
      <c r="B602" s="4" t="inlineStr">
        <is>
          <t>Computational Social Science Workshop Series</t>
        </is>
      </c>
      <c r="C602" s="4" t="inlineStr">
        <is>
          <t>organizer</t>
        </is>
      </c>
      <c r="D602" s="4" t="inlineStr">
        <is>
          <t>Organizer</t>
        </is>
      </c>
      <c r="E602" s="4" t="inlineStr"/>
    </row>
    <row r="603">
      <c r="A603" s="4" t="inlineStr">
        <is>
          <t>1262</t>
        </is>
      </c>
      <c r="B603" s="4" t="inlineStr">
        <is>
          <t>Consortium - Yale Chapter</t>
        </is>
      </c>
      <c r="C603" s="4" t="inlineStr">
        <is>
          <t>organizer</t>
        </is>
      </c>
      <c r="D603" s="4" t="inlineStr">
        <is>
          <t>Organizer</t>
        </is>
      </c>
      <c r="E603" s="4" t="inlineStr"/>
    </row>
    <row r="604">
      <c r="A604" s="4" t="inlineStr">
        <is>
          <t>1220</t>
        </is>
      </c>
      <c r="B604" s="4" t="inlineStr">
        <is>
          <t>Consulting Club</t>
        </is>
      </c>
      <c r="C604" s="4" t="inlineStr">
        <is>
          <t>organizer</t>
        </is>
      </c>
      <c r="D604" s="4" t="inlineStr">
        <is>
          <t>Organizer</t>
        </is>
      </c>
      <c r="E604" s="4" t="inlineStr"/>
    </row>
    <row r="605">
      <c r="A605" s="4" t="inlineStr">
        <is>
          <t>1730</t>
        </is>
      </c>
      <c r="B605" s="4" t="inlineStr">
        <is>
          <t>Council on East Asian Studies</t>
        </is>
      </c>
      <c r="C605" s="4" t="inlineStr">
        <is>
          <t>organizer</t>
        </is>
      </c>
      <c r="D605" s="4" t="inlineStr">
        <is>
          <t>Organizer</t>
        </is>
      </c>
      <c r="E605" s="4" t="inlineStr"/>
    </row>
    <row r="606">
      <c r="A606" s="4" t="inlineStr">
        <is>
          <t>1268</t>
        </is>
      </c>
      <c r="B606" s="4" t="inlineStr">
        <is>
          <t>Data Analytics Club</t>
        </is>
      </c>
      <c r="C606" s="4" t="inlineStr">
        <is>
          <t>organizer</t>
        </is>
      </c>
      <c r="D606" s="4" t="inlineStr">
        <is>
          <t>Organizer</t>
        </is>
      </c>
      <c r="E606" s="4" t="inlineStr"/>
    </row>
    <row r="607">
      <c r="A607" s="4" t="inlineStr">
        <is>
          <t>1299</t>
        </is>
      </c>
      <c r="B607" s="4" t="inlineStr">
        <is>
          <t>Data Analytics Club</t>
        </is>
      </c>
      <c r="C607" s="4" t="inlineStr">
        <is>
          <t>organizer</t>
        </is>
      </c>
      <c r="D607" s="4" t="inlineStr">
        <is>
          <t>Organizer</t>
        </is>
      </c>
      <c r="E607" s="4" t="inlineStr"/>
    </row>
    <row r="608">
      <c r="A608" s="4" t="inlineStr">
        <is>
          <t>1579</t>
        </is>
      </c>
      <c r="B608" s="4" t="inlineStr">
        <is>
          <t>Data-Intensive Social Science Center</t>
        </is>
      </c>
      <c r="C608" s="4" t="inlineStr">
        <is>
          <t>organizer</t>
        </is>
      </c>
      <c r="D608" s="4" t="inlineStr">
        <is>
          <t>Organizer</t>
        </is>
      </c>
      <c r="E608" s="4" t="inlineStr"/>
    </row>
    <row r="609">
      <c r="A609" s="4" t="inlineStr">
        <is>
          <t>1575</t>
        </is>
      </c>
      <c r="B609" s="4" t="inlineStr">
        <is>
          <t>David Geffen School of Drama at Yale</t>
        </is>
      </c>
      <c r="C609" s="4" t="inlineStr">
        <is>
          <t>organizer</t>
        </is>
      </c>
      <c r="D609" s="4" t="inlineStr">
        <is>
          <t>Organizer</t>
        </is>
      </c>
      <c r="E609" s="4" t="inlineStr"/>
    </row>
    <row r="610">
      <c r="A610" s="4" t="inlineStr">
        <is>
          <t>1329</t>
        </is>
      </c>
      <c r="B610" s="4" t="inlineStr">
        <is>
          <t>Dean‚Äôs Office Events</t>
        </is>
      </c>
      <c r="C610" s="4" t="inlineStr">
        <is>
          <t>organizer</t>
        </is>
      </c>
      <c r="D610" s="4" t="inlineStr">
        <is>
          <t>Organizer</t>
        </is>
      </c>
      <c r="E610" s="4" t="inlineStr"/>
    </row>
    <row r="611">
      <c r="A611" s="4" t="inlineStr">
        <is>
          <t>1605</t>
        </is>
      </c>
      <c r="B611" s="4" t="inlineStr">
        <is>
          <t>Dean's Distinguished Lecture Series</t>
        </is>
      </c>
      <c r="C611" s="4" t="inlineStr">
        <is>
          <t>organizer</t>
        </is>
      </c>
      <c r="D611" s="4" t="inlineStr">
        <is>
          <t>Organizer</t>
        </is>
      </c>
      <c r="E611" s="4" t="inlineStr"/>
    </row>
    <row r="612">
      <c r="A612" s="4" t="inlineStr">
        <is>
          <t>1396</t>
        </is>
      </c>
      <c r="B612" s="4" t="inlineStr">
        <is>
          <t>Dean's Office</t>
        </is>
      </c>
      <c r="C612" s="4" t="inlineStr">
        <is>
          <t>organizer</t>
        </is>
      </c>
      <c r="D612" s="4" t="inlineStr">
        <is>
          <t>Organizer</t>
        </is>
      </c>
      <c r="E612" s="4" t="inlineStr"/>
    </row>
    <row r="613">
      <c r="A613" s="4" t="inlineStr">
        <is>
          <t>1456</t>
        </is>
      </c>
      <c r="B613" s="4" t="inlineStr">
        <is>
          <t>Dean's Office</t>
        </is>
      </c>
      <c r="C613" s="4" t="inlineStr">
        <is>
          <t>organizer</t>
        </is>
      </c>
      <c r="D613" s="4" t="inlineStr">
        <is>
          <t>Organizer</t>
        </is>
      </c>
      <c r="E613" s="4" t="inlineStr"/>
    </row>
    <row r="614">
      <c r="A614" s="4" t="inlineStr">
        <is>
          <t>1510</t>
        </is>
      </c>
      <c r="B614" s="4" t="inlineStr">
        <is>
          <t>Dean's Office &amp; HR</t>
        </is>
      </c>
      <c r="C614" s="4" t="inlineStr">
        <is>
          <t>organizer</t>
        </is>
      </c>
      <c r="D614" s="4" t="inlineStr">
        <is>
          <t>Organizer</t>
        </is>
      </c>
      <c r="E614" s="4" t="inlineStr"/>
    </row>
    <row r="615">
      <c r="A615" s="4" t="inlineStr">
        <is>
          <t>1335</t>
        </is>
      </c>
      <c r="B615" s="4" t="inlineStr">
        <is>
          <t>Dean's Office &amp; The City of New Haven</t>
        </is>
      </c>
      <c r="C615" s="4" t="inlineStr">
        <is>
          <t>organizer</t>
        </is>
      </c>
      <c r="D615" s="4" t="inlineStr">
        <is>
          <t>Organizer</t>
        </is>
      </c>
      <c r="E615" s="4" t="inlineStr"/>
    </row>
    <row r="616">
      <c r="A616" s="4" t="inlineStr">
        <is>
          <t>1764</t>
        </is>
      </c>
      <c r="B616" s="4" t="inlineStr">
        <is>
          <t>Dean's Office &amp; Title IX Working Group</t>
        </is>
      </c>
      <c r="C616" s="4" t="inlineStr">
        <is>
          <t>organizer</t>
        </is>
      </c>
      <c r="D616" s="4" t="inlineStr">
        <is>
          <t>Organizer</t>
        </is>
      </c>
      <c r="E616" s="4" t="inlineStr"/>
    </row>
    <row r="617">
      <c r="A617" s="4" t="inlineStr">
        <is>
          <t>1397</t>
        </is>
      </c>
      <c r="B617" s="4" t="inlineStr">
        <is>
          <t>Dean's Office Events</t>
        </is>
      </c>
      <c r="C617" s="4" t="inlineStr">
        <is>
          <t>organizer</t>
        </is>
      </c>
      <c r="D617" s="4" t="inlineStr">
        <is>
          <t>Organizer</t>
        </is>
      </c>
      <c r="E617" s="4" t="inlineStr"/>
    </row>
    <row r="618">
      <c r="A618" s="4" t="inlineStr">
        <is>
          <t>1432</t>
        </is>
      </c>
      <c r="B618" s="4" t="inlineStr">
        <is>
          <t>Dean's Office Speaker Series</t>
        </is>
      </c>
      <c r="C618" s="4" t="inlineStr">
        <is>
          <t>organizer</t>
        </is>
      </c>
      <c r="D618" s="4" t="inlineStr">
        <is>
          <t>Organizer</t>
        </is>
      </c>
      <c r="E618" s="4" t="inlineStr"/>
    </row>
    <row r="619">
      <c r="A619" s="4" t="inlineStr">
        <is>
          <t>1241</t>
        </is>
      </c>
      <c r="B619" s="4" t="inlineStr">
        <is>
          <t>Dean's Office Speaker Series &amp; Events</t>
        </is>
      </c>
      <c r="C619" s="4" t="inlineStr">
        <is>
          <t>organizer</t>
        </is>
      </c>
      <c r="D619" s="4" t="inlineStr">
        <is>
          <t>Organizer</t>
        </is>
      </c>
      <c r="E619" s="4" t="inlineStr"/>
    </row>
    <row r="620">
      <c r="A620" s="4" t="inlineStr">
        <is>
          <t>1649</t>
        </is>
      </c>
      <c r="B620" s="4" t="inlineStr">
        <is>
          <t>Deputy Dean's Office</t>
        </is>
      </c>
      <c r="C620" s="4" t="inlineStr">
        <is>
          <t>organizer</t>
        </is>
      </c>
      <c r="D620" s="4" t="inlineStr">
        <is>
          <t>Organizer</t>
        </is>
      </c>
      <c r="E620" s="4" t="inlineStr"/>
    </row>
    <row r="621">
      <c r="A621" s="4" t="inlineStr">
        <is>
          <t>1773</t>
        </is>
      </c>
      <c r="B621" s="4" t="inlineStr">
        <is>
          <t>Deputy Dean's Office</t>
        </is>
      </c>
      <c r="C621" s="4" t="inlineStr">
        <is>
          <t>organizer</t>
        </is>
      </c>
      <c r="D621" s="4" t="inlineStr">
        <is>
          <t>Organizer</t>
        </is>
      </c>
      <c r="E621" s="4" t="inlineStr"/>
    </row>
    <row r="622">
      <c r="A622" s="4" t="inlineStr">
        <is>
          <t>1328</t>
        </is>
      </c>
      <c r="B622" s="4" t="inlineStr">
        <is>
          <t>Design and Innovation Club</t>
        </is>
      </c>
      <c r="C622" s="4" t="inlineStr">
        <is>
          <t>organizer</t>
        </is>
      </c>
      <c r="D622" s="4" t="inlineStr">
        <is>
          <t>Organizer</t>
        </is>
      </c>
      <c r="E622" s="4" t="inlineStr"/>
    </row>
    <row r="623">
      <c r="A623" s="4" t="inlineStr">
        <is>
          <t>1407</t>
        </is>
      </c>
      <c r="B623" s="4" t="inlineStr">
        <is>
          <t>Development &amp; Alumni Relations</t>
        </is>
      </c>
      <c r="C623" s="4" t="inlineStr">
        <is>
          <t>organizer</t>
        </is>
      </c>
      <c r="D623" s="4" t="inlineStr">
        <is>
          <t>Organizer</t>
        </is>
      </c>
      <c r="E623" s="4" t="inlineStr"/>
    </row>
    <row r="624">
      <c r="A624" s="4" t="inlineStr">
        <is>
          <t>1463</t>
        </is>
      </c>
      <c r="B624" s="4" t="inlineStr">
        <is>
          <t>Development and Alumni Relations</t>
        </is>
      </c>
      <c r="C624" s="4" t="inlineStr">
        <is>
          <t>organizer</t>
        </is>
      </c>
      <c r="D624" s="4" t="inlineStr">
        <is>
          <t>Organizer</t>
        </is>
      </c>
      <c r="E624" s="4" t="inlineStr"/>
    </row>
    <row r="625">
      <c r="A625" s="4" t="inlineStr">
        <is>
          <t>1743</t>
        </is>
      </c>
      <c r="B625" s="4" t="inlineStr">
        <is>
          <t>Downtown</t>
        </is>
      </c>
      <c r="C625" s="4" t="inlineStr">
        <is>
          <t>organizer</t>
        </is>
      </c>
      <c r="D625" s="4" t="inlineStr">
        <is>
          <t>Organizer</t>
        </is>
      </c>
      <c r="E625" s="4" t="inlineStr"/>
    </row>
    <row r="626">
      <c r="A626" s="4" t="inlineStr">
        <is>
          <t>1421</t>
        </is>
      </c>
      <c r="B626" s="4" t="inlineStr">
        <is>
          <t>Economic Development and Arts &amp; Culture Clubs</t>
        </is>
      </c>
      <c r="C626" s="4" t="inlineStr">
        <is>
          <t>organizer</t>
        </is>
      </c>
      <c r="D626" s="4" t="inlineStr">
        <is>
          <t>Organizer</t>
        </is>
      </c>
      <c r="E626" s="4" t="inlineStr"/>
    </row>
    <row r="627">
      <c r="A627" s="4" t="inlineStr">
        <is>
          <t>1287</t>
        </is>
      </c>
      <c r="B627" s="4" t="inlineStr">
        <is>
          <t>Economic Development Club</t>
        </is>
      </c>
      <c r="C627" s="4" t="inlineStr">
        <is>
          <t>organizer</t>
        </is>
      </c>
      <c r="D627" s="4" t="inlineStr">
        <is>
          <t>Organizer</t>
        </is>
      </c>
      <c r="E627" s="4" t="inlineStr"/>
    </row>
    <row r="628">
      <c r="A628" s="4" t="inlineStr">
        <is>
          <t>1761</t>
        </is>
      </c>
      <c r="B628" s="4" t="inlineStr">
        <is>
          <t>Editing Press</t>
        </is>
      </c>
      <c r="C628" s="4" t="inlineStr">
        <is>
          <t>organizer</t>
        </is>
      </c>
      <c r="D628" s="4" t="inlineStr">
        <is>
          <t>Organizer</t>
        </is>
      </c>
      <c r="E628" s="4" t="inlineStr"/>
    </row>
    <row r="629">
      <c r="A629" s="4" t="inlineStr">
        <is>
          <t>1226</t>
        </is>
      </c>
      <c r="B629" s="4" t="inlineStr">
        <is>
          <t>Education Club</t>
        </is>
      </c>
      <c r="C629" s="4" t="inlineStr">
        <is>
          <t>organizer</t>
        </is>
      </c>
      <c r="D629" s="4" t="inlineStr">
        <is>
          <t>Organizer</t>
        </is>
      </c>
      <c r="E629" s="4" t="inlineStr"/>
    </row>
    <row r="630">
      <c r="A630" s="4" t="inlineStr">
        <is>
          <t>1515</t>
        </is>
      </c>
      <c r="B630" s="4" t="inlineStr">
        <is>
          <t>Elm Shakespeare &amp; Whitney Center</t>
        </is>
      </c>
      <c r="C630" s="4" t="inlineStr">
        <is>
          <t>organizer</t>
        </is>
      </c>
      <c r="D630" s="4" t="inlineStr">
        <is>
          <t>Organizer</t>
        </is>
      </c>
      <c r="E630" s="4" t="inlineStr"/>
    </row>
    <row r="631">
      <c r="A631" s="4" t="inlineStr">
        <is>
          <t>1269</t>
        </is>
      </c>
      <c r="B631" s="4" t="inlineStr">
        <is>
          <t>Energy Club</t>
        </is>
      </c>
      <c r="C631" s="4" t="inlineStr">
        <is>
          <t>organizer</t>
        </is>
      </c>
      <c r="D631" s="4" t="inlineStr">
        <is>
          <t>Organizer</t>
        </is>
      </c>
      <c r="E631" s="4" t="inlineStr"/>
    </row>
    <row r="632">
      <c r="A632" s="4" t="inlineStr">
        <is>
          <t>1462</t>
        </is>
      </c>
      <c r="B632" s="4" t="inlineStr">
        <is>
          <t>Entrepreneurship Through Acquisition Club</t>
        </is>
      </c>
      <c r="C632" s="4" t="inlineStr">
        <is>
          <t>organizer</t>
        </is>
      </c>
      <c r="D632" s="4" t="inlineStr">
        <is>
          <t>Organizer</t>
        </is>
      </c>
      <c r="E632" s="4" t="inlineStr"/>
    </row>
    <row r="633">
      <c r="A633" s="4" t="inlineStr">
        <is>
          <t>1576</t>
        </is>
      </c>
      <c r="B633" s="4" t="inlineStr">
        <is>
          <t>ESMT Berlin</t>
        </is>
      </c>
      <c r="C633" s="4" t="inlineStr">
        <is>
          <t>organizer</t>
        </is>
      </c>
      <c r="D633" s="4" t="inlineStr">
        <is>
          <t>Organizer</t>
        </is>
      </c>
      <c r="E633" s="4" t="inlineStr"/>
    </row>
    <row r="634">
      <c r="A634" s="4" t="inlineStr">
        <is>
          <t>1324</t>
        </is>
      </c>
      <c r="B634" s="4" t="inlineStr">
        <is>
          <t>EuroSOM</t>
        </is>
      </c>
      <c r="C634" s="4" t="inlineStr">
        <is>
          <t>organizer</t>
        </is>
      </c>
      <c r="D634" s="4" t="inlineStr">
        <is>
          <t>Organizer</t>
        </is>
      </c>
      <c r="E634" s="4" t="inlineStr"/>
    </row>
    <row r="635">
      <c r="A635" s="4" t="inlineStr">
        <is>
          <t>1553</t>
        </is>
      </c>
      <c r="B635" s="4" t="inlineStr">
        <is>
          <t>Events Management Team</t>
        </is>
      </c>
      <c r="C635" s="4" t="inlineStr">
        <is>
          <t>organizer</t>
        </is>
      </c>
      <c r="D635" s="4" t="inlineStr">
        <is>
          <t>Organizer</t>
        </is>
      </c>
      <c r="E635" s="4" t="inlineStr"/>
    </row>
    <row r="636">
      <c r="A636" s="4" t="inlineStr">
        <is>
          <t>1378</t>
        </is>
      </c>
      <c r="B636" s="4" t="inlineStr">
        <is>
          <t>Executive Education</t>
        </is>
      </c>
      <c r="C636" s="4" t="inlineStr">
        <is>
          <t>organizer</t>
        </is>
      </c>
      <c r="D636" s="4" t="inlineStr">
        <is>
          <t>Organizer</t>
        </is>
      </c>
      <c r="E636" s="4" t="inlineStr"/>
    </row>
    <row r="637">
      <c r="A637" s="4" t="inlineStr">
        <is>
          <t>1229</t>
        </is>
      </c>
      <c r="B637" s="4" t="inlineStr">
        <is>
          <t>Facilities</t>
        </is>
      </c>
      <c r="C637" s="4" t="inlineStr">
        <is>
          <t>organizer</t>
        </is>
      </c>
      <c r="D637" s="4" t="inlineStr">
        <is>
          <t>Organizer</t>
        </is>
      </c>
      <c r="E637" s="4" t="inlineStr"/>
    </row>
    <row r="638">
      <c r="A638" s="4" t="inlineStr">
        <is>
          <t>1316</t>
        </is>
      </c>
      <c r="B638" s="4" t="inlineStr">
        <is>
          <t>Facilities &amp; Operations</t>
        </is>
      </c>
      <c r="C638" s="4" t="inlineStr">
        <is>
          <t>organizer</t>
        </is>
      </c>
      <c r="D638" s="4" t="inlineStr">
        <is>
          <t>Organizer</t>
        </is>
      </c>
      <c r="E638" s="4" t="inlineStr"/>
    </row>
    <row r="639">
      <c r="A639" s="4" t="inlineStr">
        <is>
          <t>1653</t>
        </is>
      </c>
      <c r="B639" s="4" t="inlineStr">
        <is>
          <t>Facilities &amp; Operations + HR</t>
        </is>
      </c>
      <c r="C639" s="4" t="inlineStr">
        <is>
          <t>organizer</t>
        </is>
      </c>
      <c r="D639" s="4" t="inlineStr">
        <is>
          <t>Organizer</t>
        </is>
      </c>
      <c r="E639" s="4" t="inlineStr"/>
    </row>
    <row r="640">
      <c r="A640" s="4" t="inlineStr">
        <is>
          <t>1517</t>
        </is>
      </c>
      <c r="B640" s="4" t="inlineStr">
        <is>
          <t>Faculty Seminar Series</t>
        </is>
      </c>
      <c r="C640" s="4" t="inlineStr">
        <is>
          <t>organizer</t>
        </is>
      </c>
      <c r="D640" s="4" t="inlineStr">
        <is>
          <t>Organizer</t>
        </is>
      </c>
      <c r="E640" s="4" t="inlineStr"/>
    </row>
    <row r="641">
      <c r="A641" s="4" t="inlineStr">
        <is>
          <t>1365</t>
        </is>
      </c>
      <c r="B641" s="4" t="inlineStr">
        <is>
          <t>FASPE</t>
        </is>
      </c>
      <c r="C641" s="4" t="inlineStr">
        <is>
          <t>organizer</t>
        </is>
      </c>
      <c r="D641" s="4" t="inlineStr">
        <is>
          <t>Organizer</t>
        </is>
      </c>
      <c r="E641" s="4" t="inlineStr"/>
    </row>
    <row r="642">
      <c r="A642" s="4" t="inlineStr">
        <is>
          <t>1573</t>
        </is>
      </c>
      <c r="B642" s="4" t="inlineStr">
        <is>
          <t>Fellowships at Auschwitz for the Study of Professional Ethics</t>
        </is>
      </c>
      <c r="C642" s="4" t="inlineStr">
        <is>
          <t>organizer</t>
        </is>
      </c>
      <c r="D642" s="4" t="inlineStr">
        <is>
          <t>Organizer</t>
        </is>
      </c>
      <c r="E642" s="4" t="inlineStr"/>
    </row>
    <row r="643">
      <c r="A643" s="4" t="inlineStr">
        <is>
          <t>1243</t>
        </is>
      </c>
      <c r="B643" s="4" t="inlineStr">
        <is>
          <t>Finance Club</t>
        </is>
      </c>
      <c r="C643" s="4" t="inlineStr">
        <is>
          <t>organizer</t>
        </is>
      </c>
      <c r="D643" s="4" t="inlineStr">
        <is>
          <t>Organizer</t>
        </is>
      </c>
      <c r="E643" s="4" t="inlineStr"/>
    </row>
    <row r="644">
      <c r="A644" s="4" t="inlineStr">
        <is>
          <t>1216</t>
        </is>
      </c>
      <c r="B644" s="4" t="inlineStr">
        <is>
          <t>Financial Aid</t>
        </is>
      </c>
      <c r="C644" s="4" t="inlineStr">
        <is>
          <t>organizer</t>
        </is>
      </c>
      <c r="D644" s="4" t="inlineStr">
        <is>
          <t>Organizer</t>
        </is>
      </c>
      <c r="E644" s="4" t="inlineStr"/>
    </row>
    <row r="645">
      <c r="A645" s="4" t="inlineStr">
        <is>
          <t>1436</t>
        </is>
      </c>
      <c r="B645" s="4" t="inlineStr">
        <is>
          <t>Financial Aid</t>
        </is>
      </c>
      <c r="C645" s="4" t="inlineStr">
        <is>
          <t>organizer</t>
        </is>
      </c>
      <c r="D645" s="4" t="inlineStr">
        <is>
          <t>Organizer</t>
        </is>
      </c>
      <c r="E645" s="4" t="inlineStr"/>
    </row>
    <row r="646">
      <c r="A646" s="4" t="inlineStr">
        <is>
          <t>1618</t>
        </is>
      </c>
      <c r="B646" s="4" t="inlineStr">
        <is>
          <t>Financial Aid Office</t>
        </is>
      </c>
      <c r="C646" s="4" t="inlineStr">
        <is>
          <t>organizer</t>
        </is>
      </c>
      <c r="D646" s="4" t="inlineStr">
        <is>
          <t>Organizer</t>
        </is>
      </c>
      <c r="E646" s="4" t="inlineStr"/>
    </row>
    <row r="647">
      <c r="A647" s="4" t="inlineStr">
        <is>
          <t>1569</t>
        </is>
      </c>
      <c r="B647" s="4" t="inlineStr">
        <is>
          <t>Financial Aid Office</t>
        </is>
      </c>
      <c r="C647" s="4" t="inlineStr">
        <is>
          <t>organizer</t>
        </is>
      </c>
      <c r="D647" s="4" t="inlineStr">
        <is>
          <t>Organizer</t>
        </is>
      </c>
      <c r="E647" s="4" t="inlineStr"/>
    </row>
    <row r="648">
      <c r="A648" s="4" t="inlineStr">
        <is>
          <t>1464</t>
        </is>
      </c>
      <c r="B648" s="4" t="inlineStr">
        <is>
          <t>First-Generation, Low-Income Club</t>
        </is>
      </c>
      <c r="C648" s="4" t="inlineStr">
        <is>
          <t>organizer</t>
        </is>
      </c>
      <c r="D648" s="4" t="inlineStr">
        <is>
          <t>Organizer</t>
        </is>
      </c>
      <c r="E648" s="4" t="inlineStr"/>
    </row>
    <row r="649">
      <c r="A649" s="4" t="inlineStr">
        <is>
          <t>1286</t>
        </is>
      </c>
      <c r="B649" s="4" t="inlineStr">
        <is>
          <t>Fit for Thought</t>
        </is>
      </c>
      <c r="C649" s="4" t="inlineStr">
        <is>
          <t>organizer</t>
        </is>
      </c>
      <c r="D649" s="4" t="inlineStr">
        <is>
          <t>Organizer</t>
        </is>
      </c>
      <c r="E649" s="4" t="inlineStr"/>
    </row>
    <row r="650">
      <c r="A650" s="4" t="inlineStr">
        <is>
          <t>1236</t>
        </is>
      </c>
      <c r="B650" s="4" t="inlineStr">
        <is>
          <t>Food, Agribusiness, and Beverage Club</t>
        </is>
      </c>
      <c r="C650" s="4" t="inlineStr">
        <is>
          <t>organizer</t>
        </is>
      </c>
      <c r="D650" s="4" t="inlineStr">
        <is>
          <t>Organizer</t>
        </is>
      </c>
      <c r="E650" s="4" t="inlineStr"/>
    </row>
    <row r="651">
      <c r="A651" s="4" t="inlineStr">
        <is>
          <t>1339</t>
        </is>
      </c>
      <c r="B651" s="4" t="inlineStr">
        <is>
          <t>Future Leaders of Yale and Office of Diversity &amp; Inclusion</t>
        </is>
      </c>
      <c r="C651" s="4" t="inlineStr">
        <is>
          <t>organizer</t>
        </is>
      </c>
      <c r="D651" s="4" t="inlineStr">
        <is>
          <t>Organizer</t>
        </is>
      </c>
      <c r="E651" s="4" t="inlineStr"/>
    </row>
    <row r="652">
      <c r="A652" s="4" t="inlineStr">
        <is>
          <t>1256</t>
        </is>
      </c>
      <c r="B652" s="4" t="inlineStr">
        <is>
          <t>General Management Club</t>
        </is>
      </c>
      <c r="C652" s="4" t="inlineStr">
        <is>
          <t>organizer</t>
        </is>
      </c>
      <c r="D652" s="4" t="inlineStr">
        <is>
          <t>Organizer</t>
        </is>
      </c>
      <c r="E652" s="4" t="inlineStr"/>
    </row>
    <row r="653">
      <c r="A653" s="4" t="inlineStr">
        <is>
          <t>1621</t>
        </is>
      </c>
      <c r="B653" s="4" t="inlineStr">
        <is>
          <t>George Herbert Walker Lecture Fund</t>
        </is>
      </c>
      <c r="C653" s="4" t="inlineStr">
        <is>
          <t>organizer</t>
        </is>
      </c>
      <c r="D653" s="4" t="inlineStr">
        <is>
          <t>Organizer</t>
        </is>
      </c>
      <c r="E653" s="4" t="inlineStr"/>
    </row>
    <row r="654">
      <c r="A654" s="4" t="inlineStr">
        <is>
          <t>1457</t>
        </is>
      </c>
      <c r="B654" s="4" t="inlineStr">
        <is>
          <t>Global Health Justice Partnership &amp; Yale LGBTQ Mental Health Initiative</t>
        </is>
      </c>
      <c r="C654" s="4" t="inlineStr">
        <is>
          <t>organizer</t>
        </is>
      </c>
      <c r="D654" s="4" t="inlineStr">
        <is>
          <t>Organizer</t>
        </is>
      </c>
      <c r="E654" s="4" t="inlineStr"/>
    </row>
    <row r="655">
      <c r="A655" s="4" t="inlineStr">
        <is>
          <t>1422</t>
        </is>
      </c>
      <c r="B655" s="4" t="inlineStr">
        <is>
          <t>Global Initiatives Team</t>
        </is>
      </c>
      <c r="C655" s="4" t="inlineStr">
        <is>
          <t>organizer</t>
        </is>
      </c>
      <c r="D655" s="4" t="inlineStr">
        <is>
          <t>Organizer</t>
        </is>
      </c>
      <c r="E655" s="4" t="inlineStr"/>
    </row>
    <row r="656">
      <c r="A656" s="4" t="inlineStr">
        <is>
          <t>1415</t>
        </is>
      </c>
      <c r="B656" s="4" t="inlineStr">
        <is>
          <t>Global Initiatives Team</t>
        </is>
      </c>
      <c r="C656" s="4" t="inlineStr">
        <is>
          <t>organizer</t>
        </is>
      </c>
      <c r="D656" s="4" t="inlineStr">
        <is>
          <t>Organizer</t>
        </is>
      </c>
      <c r="E656" s="4" t="inlineStr"/>
    </row>
    <row r="657">
      <c r="A657" s="4" t="inlineStr">
        <is>
          <t>1386</t>
        </is>
      </c>
      <c r="B657" s="4" t="inlineStr">
        <is>
          <t>Global Network &amp; Y-SIM</t>
        </is>
      </c>
      <c r="C657" s="4" t="inlineStr">
        <is>
          <t>organizer</t>
        </is>
      </c>
      <c r="D657" s="4" t="inlineStr">
        <is>
          <t>Organizer</t>
        </is>
      </c>
      <c r="E657" s="4" t="inlineStr"/>
    </row>
    <row r="658">
      <c r="A658" s="4" t="inlineStr">
        <is>
          <t>1413</t>
        </is>
      </c>
      <c r="B658" s="4" t="inlineStr">
        <is>
          <t>Global Network for Advanced Management</t>
        </is>
      </c>
      <c r="C658" s="4" t="inlineStr">
        <is>
          <t>organizer</t>
        </is>
      </c>
      <c r="D658" s="4" t="inlineStr">
        <is>
          <t>Organizer</t>
        </is>
      </c>
      <c r="E658" s="4" t="inlineStr"/>
    </row>
    <row r="659">
      <c r="A659" s="4" t="inlineStr">
        <is>
          <t>1589</t>
        </is>
      </c>
      <c r="B659" s="4" t="inlineStr">
        <is>
          <t>Global Table at the Schwarzman Center</t>
        </is>
      </c>
      <c r="C659" s="4" t="inlineStr">
        <is>
          <t>organizer</t>
        </is>
      </c>
      <c r="D659" s="4" t="inlineStr">
        <is>
          <t>Organizer</t>
        </is>
      </c>
      <c r="E659" s="4" t="inlineStr"/>
    </row>
    <row r="660">
      <c r="A660" s="4" t="inlineStr">
        <is>
          <t>1588</t>
        </is>
      </c>
      <c r="B660" s="4" t="inlineStr">
        <is>
          <t>GNAM Speaker Series</t>
        </is>
      </c>
      <c r="C660" s="4" t="inlineStr">
        <is>
          <t>organizer</t>
        </is>
      </c>
      <c r="D660" s="4" t="inlineStr">
        <is>
          <t>Organizer</t>
        </is>
      </c>
      <c r="E660" s="4" t="inlineStr"/>
    </row>
    <row r="661">
      <c r="A661" s="4" t="inlineStr">
        <is>
          <t>1281</t>
        </is>
      </c>
      <c r="B661" s="4" t="inlineStr">
        <is>
          <t>Golf Club</t>
        </is>
      </c>
      <c r="C661" s="4" t="inlineStr">
        <is>
          <t>organizer</t>
        </is>
      </c>
      <c r="D661" s="4" t="inlineStr">
        <is>
          <t>Organizer</t>
        </is>
      </c>
      <c r="E661" s="4" t="inlineStr"/>
    </row>
    <row r="662">
      <c r="A662" s="4" t="inlineStr">
        <is>
          <t>1245</t>
        </is>
      </c>
      <c r="B662" s="4" t="inlineStr">
        <is>
          <t>Greater China Club</t>
        </is>
      </c>
      <c r="C662" s="4" t="inlineStr">
        <is>
          <t>organizer</t>
        </is>
      </c>
      <c r="D662" s="4" t="inlineStr">
        <is>
          <t>Organizer</t>
        </is>
      </c>
      <c r="E662" s="4" t="inlineStr"/>
    </row>
    <row r="663">
      <c r="A663" s="4" t="inlineStr">
        <is>
          <t>1610</t>
        </is>
      </c>
      <c r="B663" s="4" t="inlineStr">
        <is>
          <t>HAVEN Free Clinic &amp; Yale Medicine</t>
        </is>
      </c>
      <c r="C663" s="4" t="inlineStr">
        <is>
          <t>organizer</t>
        </is>
      </c>
      <c r="D663" s="4" t="inlineStr">
        <is>
          <t>Organizer</t>
        </is>
      </c>
      <c r="E663" s="4" t="inlineStr"/>
    </row>
    <row r="664">
      <c r="A664" s="4" t="inlineStr">
        <is>
          <t>1271</t>
        </is>
      </c>
      <c r="B664" s="4" t="inlineStr">
        <is>
          <t>Healthcare and Life Sciences Club</t>
        </is>
      </c>
      <c r="C664" s="4" t="inlineStr">
        <is>
          <t>organizer</t>
        </is>
      </c>
      <c r="D664" s="4" t="inlineStr">
        <is>
          <t>Organizer</t>
        </is>
      </c>
      <c r="E664" s="4" t="inlineStr"/>
    </row>
    <row r="665">
      <c r="A665" s="4" t="inlineStr">
        <is>
          <t>1420</t>
        </is>
      </c>
      <c r="B665" s="4" t="inlineStr">
        <is>
          <t>Healthcare Conference</t>
        </is>
      </c>
      <c r="C665" s="4" t="inlineStr">
        <is>
          <t>organizer</t>
        </is>
      </c>
      <c r="D665" s="4" t="inlineStr">
        <is>
          <t>Organizer</t>
        </is>
      </c>
      <c r="E665" s="4" t="inlineStr"/>
    </row>
    <row r="666">
      <c r="A666" s="4" t="inlineStr">
        <is>
          <t>1289</t>
        </is>
      </c>
      <c r="B666" s="4" t="inlineStr">
        <is>
          <t>Hockey Club</t>
        </is>
      </c>
      <c r="C666" s="4" t="inlineStr">
        <is>
          <t>organizer</t>
        </is>
      </c>
      <c r="D666" s="4" t="inlineStr">
        <is>
          <t>Organizer</t>
        </is>
      </c>
      <c r="E666" s="4" t="inlineStr"/>
    </row>
    <row r="667">
      <c r="A667" s="4" t="inlineStr">
        <is>
          <t>1230</t>
        </is>
      </c>
      <c r="B667" s="4" t="inlineStr">
        <is>
          <t>HR</t>
        </is>
      </c>
      <c r="C667" s="4" t="inlineStr">
        <is>
          <t>organizer</t>
        </is>
      </c>
      <c r="D667" s="4" t="inlineStr">
        <is>
          <t>Organizer</t>
        </is>
      </c>
      <c r="E667" s="4" t="inlineStr"/>
    </row>
    <row r="668">
      <c r="A668" s="4" t="inlineStr">
        <is>
          <t>1632</t>
        </is>
      </c>
      <c r="B668" s="4" t="inlineStr">
        <is>
          <t>HR &amp; OID</t>
        </is>
      </c>
      <c r="C668" s="4" t="inlineStr">
        <is>
          <t>organizer</t>
        </is>
      </c>
      <c r="D668" s="4" t="inlineStr">
        <is>
          <t>Organizer</t>
        </is>
      </c>
      <c r="E668" s="4" t="inlineStr"/>
    </row>
    <row r="669">
      <c r="A669" s="4" t="inlineStr">
        <is>
          <t>1326</t>
        </is>
      </c>
      <c r="B669" s="4" t="inlineStr">
        <is>
          <t>HR &amp; YPFS</t>
        </is>
      </c>
      <c r="C669" s="4" t="inlineStr">
        <is>
          <t>organizer</t>
        </is>
      </c>
      <c r="D669" s="4" t="inlineStr">
        <is>
          <t>Organizer</t>
        </is>
      </c>
      <c r="E669" s="4" t="inlineStr"/>
    </row>
    <row r="670">
      <c r="A670" s="4" t="inlineStr">
        <is>
          <t>1273</t>
        </is>
      </c>
      <c r="B670" s="4" t="inlineStr">
        <is>
          <t>Impact Investing Club</t>
        </is>
      </c>
      <c r="C670" s="4" t="inlineStr">
        <is>
          <t>organizer</t>
        </is>
      </c>
      <c r="D670" s="4" t="inlineStr">
        <is>
          <t>Organizer</t>
        </is>
      </c>
      <c r="E670" s="4" t="inlineStr"/>
    </row>
    <row r="671">
      <c r="A671" s="4" t="inlineStr">
        <is>
          <t>1285</t>
        </is>
      </c>
      <c r="B671" s="4" t="inlineStr">
        <is>
          <t>Inclusive Economic Development Lab</t>
        </is>
      </c>
      <c r="C671" s="4" t="inlineStr">
        <is>
          <t>organizer</t>
        </is>
      </c>
      <c r="D671" s="4" t="inlineStr">
        <is>
          <t>Organizer</t>
        </is>
      </c>
      <c r="E671" s="4" t="inlineStr"/>
    </row>
    <row r="672">
      <c r="A672" s="4" t="inlineStr">
        <is>
          <t>1441</t>
        </is>
      </c>
      <c r="B672" s="4" t="inlineStr">
        <is>
          <t>Inclusive Economic Development Lab  &amp; PSEII</t>
        </is>
      </c>
      <c r="C672" s="4" t="inlineStr">
        <is>
          <t>organizer</t>
        </is>
      </c>
      <c r="D672" s="4" t="inlineStr">
        <is>
          <t>Organizer</t>
        </is>
      </c>
      <c r="E672" s="4" t="inlineStr"/>
    </row>
    <row r="673">
      <c r="A673" s="4" t="inlineStr">
        <is>
          <t>1622</t>
        </is>
      </c>
      <c r="B673" s="4" t="inlineStr">
        <is>
          <t>Innovation &amp; Entrepreneurship Seminar Series</t>
        </is>
      </c>
      <c r="C673" s="4" t="inlineStr">
        <is>
          <t>organizer</t>
        </is>
      </c>
      <c r="D673" s="4" t="inlineStr">
        <is>
          <t>Organizer</t>
        </is>
      </c>
      <c r="E673" s="4" t="inlineStr"/>
    </row>
    <row r="674">
      <c r="A674" s="4" t="inlineStr">
        <is>
          <t>1371</t>
        </is>
      </c>
      <c r="B674" s="4" t="inlineStr">
        <is>
          <t>Institution for Social and Policy Studies</t>
        </is>
      </c>
      <c r="C674" s="4" t="inlineStr">
        <is>
          <t>organizer</t>
        </is>
      </c>
      <c r="D674" s="4" t="inlineStr">
        <is>
          <t>Organizer</t>
        </is>
      </c>
      <c r="E674" s="4" t="inlineStr"/>
    </row>
    <row r="675">
      <c r="A675" s="4" t="inlineStr">
        <is>
          <t>1368</t>
        </is>
      </c>
      <c r="B675" s="4" t="inlineStr">
        <is>
          <t>Internal Communications</t>
        </is>
      </c>
      <c r="C675" s="4" t="inlineStr">
        <is>
          <t>organizer</t>
        </is>
      </c>
      <c r="D675" s="4" t="inlineStr">
        <is>
          <t>Organizer</t>
        </is>
      </c>
      <c r="E675" s="4" t="inlineStr"/>
    </row>
    <row r="676">
      <c r="A676" s="4" t="inlineStr">
        <is>
          <t>1775</t>
        </is>
      </c>
      <c r="B676" s="4" t="inlineStr">
        <is>
          <t>Internal Communications</t>
        </is>
      </c>
      <c r="C676" s="4" t="inlineStr">
        <is>
          <t>organizer</t>
        </is>
      </c>
      <c r="D676" s="4" t="inlineStr">
        <is>
          <t>Organizer</t>
        </is>
      </c>
      <c r="E676" s="4" t="inlineStr"/>
    </row>
    <row r="677">
      <c r="A677" s="4" t="inlineStr">
        <is>
          <t>1367</t>
        </is>
      </c>
      <c r="B677" s="4" t="inlineStr">
        <is>
          <t>Internal Communications Team</t>
        </is>
      </c>
      <c r="C677" s="4" t="inlineStr">
        <is>
          <t>organizer</t>
        </is>
      </c>
      <c r="D677" s="4" t="inlineStr">
        <is>
          <t>Organizer</t>
        </is>
      </c>
      <c r="E677" s="4" t="inlineStr"/>
    </row>
    <row r="678">
      <c r="A678" s="4" t="inlineStr">
        <is>
          <t>1244</t>
        </is>
      </c>
      <c r="B678" s="4" t="inlineStr">
        <is>
          <t>International Center for Finance</t>
        </is>
      </c>
      <c r="C678" s="4" t="inlineStr">
        <is>
          <t>organizer</t>
        </is>
      </c>
      <c r="D678" s="4" t="inlineStr">
        <is>
          <t>Organizer</t>
        </is>
      </c>
      <c r="E678" s="4" t="inlineStr"/>
    </row>
    <row r="679">
      <c r="A679" s="4" t="inlineStr">
        <is>
          <t>1438</t>
        </is>
      </c>
      <c r="B679" s="4" t="inlineStr">
        <is>
          <t>International Center for Finance &amp; CBEY</t>
        </is>
      </c>
      <c r="C679" s="4" t="inlineStr">
        <is>
          <t>organizer</t>
        </is>
      </c>
      <c r="D679" s="4" t="inlineStr">
        <is>
          <t>Organizer</t>
        </is>
      </c>
      <c r="E679" s="4" t="inlineStr"/>
    </row>
    <row r="680">
      <c r="A680" s="4" t="inlineStr">
        <is>
          <t>1489</t>
        </is>
      </c>
      <c r="B680" s="4" t="inlineStr">
        <is>
          <t>International Festival of Arts and Ideas</t>
        </is>
      </c>
      <c r="C680" s="4" t="inlineStr">
        <is>
          <t>organizer</t>
        </is>
      </c>
      <c r="D680" s="4" t="inlineStr">
        <is>
          <t>Organizer</t>
        </is>
      </c>
      <c r="E680" s="4" t="inlineStr"/>
    </row>
    <row r="681">
      <c r="A681" s="4" t="inlineStr">
        <is>
          <t>1246</t>
        </is>
      </c>
      <c r="B681" s="4" t="inlineStr">
        <is>
          <t>Internship Fund</t>
        </is>
      </c>
      <c r="C681" s="4" t="inlineStr">
        <is>
          <t>organizer</t>
        </is>
      </c>
      <c r="D681" s="4" t="inlineStr">
        <is>
          <t>Organizer</t>
        </is>
      </c>
      <c r="E681" s="4" t="inlineStr"/>
    </row>
    <row r="682">
      <c r="A682" s="4" t="inlineStr">
        <is>
          <t>1263</t>
        </is>
      </c>
      <c r="B682" s="4" t="inlineStr">
        <is>
          <t>Investment Management Club</t>
        </is>
      </c>
      <c r="C682" s="4" t="inlineStr">
        <is>
          <t>organizer</t>
        </is>
      </c>
      <c r="D682" s="4" t="inlineStr">
        <is>
          <t>Organizer</t>
        </is>
      </c>
      <c r="E682" s="4" t="inlineStr"/>
    </row>
    <row r="683">
      <c r="A683" s="4" t="inlineStr">
        <is>
          <t>1233</t>
        </is>
      </c>
      <c r="B683" s="4" t="inlineStr">
        <is>
          <t>It's Your Yale</t>
        </is>
      </c>
      <c r="C683" s="4" t="inlineStr">
        <is>
          <t>organizer</t>
        </is>
      </c>
      <c r="D683" s="4" t="inlineStr">
        <is>
          <t>Organizer</t>
        </is>
      </c>
      <c r="E683" s="4" t="inlineStr"/>
    </row>
    <row r="684">
      <c r="A684" s="4" t="inlineStr">
        <is>
          <t>1255</t>
        </is>
      </c>
      <c r="B684" s="4" t="inlineStr">
        <is>
          <t>Jackson School of Global Affairs</t>
        </is>
      </c>
      <c r="C684" s="4" t="inlineStr">
        <is>
          <t>organizer</t>
        </is>
      </c>
      <c r="D684" s="4" t="inlineStr">
        <is>
          <t>Organizer</t>
        </is>
      </c>
      <c r="E684" s="4" t="inlineStr"/>
    </row>
    <row r="685">
      <c r="A685" s="4" t="inlineStr">
        <is>
          <t>1454</t>
        </is>
      </c>
      <c r="B685" s="4" t="inlineStr">
        <is>
          <t>Jackson School of Global Affairs &amp; MacMillan Center</t>
        </is>
      </c>
      <c r="C685" s="4" t="inlineStr">
        <is>
          <t>organizer</t>
        </is>
      </c>
      <c r="D685" s="4" t="inlineStr">
        <is>
          <t>Organizer</t>
        </is>
      </c>
      <c r="E685" s="4" t="inlineStr"/>
    </row>
    <row r="686">
      <c r="A686" s="4" t="inlineStr">
        <is>
          <t>1541</t>
        </is>
      </c>
      <c r="B686" s="4" t="inlineStr">
        <is>
          <t>Japan Club</t>
        </is>
      </c>
      <c r="C686" s="4" t="inlineStr">
        <is>
          <t>organizer</t>
        </is>
      </c>
      <c r="D686" s="4" t="inlineStr">
        <is>
          <t>Organizer</t>
        </is>
      </c>
      <c r="E686" s="4" t="inlineStr"/>
    </row>
    <row r="687">
      <c r="A687" s="4" t="inlineStr">
        <is>
          <t>1276</t>
        </is>
      </c>
      <c r="B687" s="4" t="inlineStr">
        <is>
          <t>Jewish Students Association</t>
        </is>
      </c>
      <c r="C687" s="4" t="inlineStr">
        <is>
          <t>organizer</t>
        </is>
      </c>
      <c r="D687" s="4" t="inlineStr">
        <is>
          <t>Organizer</t>
        </is>
      </c>
      <c r="E687" s="4" t="inlineStr"/>
    </row>
    <row r="688">
      <c r="A688" s="4" t="inlineStr">
        <is>
          <t>1267</t>
        </is>
      </c>
      <c r="B688" s="4" t="inlineStr">
        <is>
          <t>Korea Club</t>
        </is>
      </c>
      <c r="C688" s="4" t="inlineStr">
        <is>
          <t>organizer</t>
        </is>
      </c>
      <c r="D688" s="4" t="inlineStr">
        <is>
          <t>Organizer</t>
        </is>
      </c>
      <c r="E688" s="4" t="inlineStr"/>
    </row>
    <row r="689">
      <c r="A689" s="4" t="inlineStr">
        <is>
          <t>1332</t>
        </is>
      </c>
      <c r="B689" s="4" t="inlineStr">
        <is>
          <t>Librarian Services</t>
        </is>
      </c>
      <c r="C689" s="4" t="inlineStr">
        <is>
          <t>organizer</t>
        </is>
      </c>
      <c r="D689" s="4" t="inlineStr">
        <is>
          <t>Organizer</t>
        </is>
      </c>
      <c r="E689" s="4" t="inlineStr"/>
    </row>
    <row r="690">
      <c r="A690" s="4" t="inlineStr">
        <is>
          <t>1355</t>
        </is>
      </c>
      <c r="B690" s="4" t="inlineStr">
        <is>
          <t>Library Services</t>
        </is>
      </c>
      <c r="C690" s="4" t="inlineStr">
        <is>
          <t>organizer</t>
        </is>
      </c>
      <c r="D690" s="4" t="inlineStr">
        <is>
          <t>Organizer</t>
        </is>
      </c>
      <c r="E690" s="4" t="inlineStr"/>
    </row>
    <row r="691">
      <c r="A691" s="4" t="inlineStr">
        <is>
          <t>1231</t>
        </is>
      </c>
      <c r="B691" s="4" t="inlineStr">
        <is>
          <t>Marketing Club</t>
        </is>
      </c>
      <c r="C691" s="4" t="inlineStr">
        <is>
          <t>organizer</t>
        </is>
      </c>
      <c r="D691" s="4" t="inlineStr">
        <is>
          <t>Organizer</t>
        </is>
      </c>
      <c r="E691" s="4" t="inlineStr"/>
    </row>
    <row r="692">
      <c r="A692" s="4" t="inlineStr">
        <is>
          <t>1744</t>
        </is>
      </c>
      <c r="B692" s="4" t="inlineStr">
        <is>
          <t>Master Management Studies</t>
        </is>
      </c>
      <c r="C692" s="4" t="inlineStr">
        <is>
          <t>organizer</t>
        </is>
      </c>
      <c r="D692" s="4" t="inlineStr">
        <is>
          <t>Organizer</t>
        </is>
      </c>
      <c r="E692" s="4" t="inlineStr"/>
    </row>
    <row r="693">
      <c r="A693" s="4" t="inlineStr">
        <is>
          <t>1461</t>
        </is>
      </c>
      <c r="B693" s="4" t="inlineStr">
        <is>
          <t>MBA Admissions</t>
        </is>
      </c>
      <c r="C693" s="4" t="inlineStr">
        <is>
          <t>organizer</t>
        </is>
      </c>
      <c r="D693" s="4" t="inlineStr">
        <is>
          <t>Organizer</t>
        </is>
      </c>
      <c r="E693" s="4" t="inlineStr"/>
    </row>
    <row r="694">
      <c r="A694" s="4" t="inlineStr">
        <is>
          <t>1570</t>
        </is>
      </c>
      <c r="B694" s="4" t="inlineStr">
        <is>
          <t>MBA Admissions &amp; Poorvu Center for Teaching and Learning</t>
        </is>
      </c>
      <c r="C694" s="4" t="inlineStr">
        <is>
          <t>organizer</t>
        </is>
      </c>
      <c r="D694" s="4" t="inlineStr">
        <is>
          <t>Organizer</t>
        </is>
      </c>
      <c r="E694" s="4" t="inlineStr"/>
    </row>
    <row r="695">
      <c r="A695" s="4" t="inlineStr">
        <is>
          <t>1219</t>
        </is>
      </c>
      <c r="B695" s="4" t="inlineStr">
        <is>
          <t>MBA Core Tutoring</t>
        </is>
      </c>
      <c r="C695" s="4" t="inlineStr">
        <is>
          <t>organizer</t>
        </is>
      </c>
      <c r="D695" s="4" t="inlineStr">
        <is>
          <t>Organizer</t>
        </is>
      </c>
      <c r="E695" s="4" t="inlineStr"/>
    </row>
    <row r="696">
      <c r="A696" s="4" t="inlineStr">
        <is>
          <t>1215</t>
        </is>
      </c>
      <c r="B696" s="4" t="inlineStr">
        <is>
          <t>MBA for Executives Event Registration</t>
        </is>
      </c>
      <c r="C696" s="4" t="inlineStr">
        <is>
          <t>organizer</t>
        </is>
      </c>
      <c r="D696" s="4" t="inlineStr">
        <is>
          <t>Organizer</t>
        </is>
      </c>
      <c r="E696" s="4" t="inlineStr"/>
    </row>
    <row r="697">
      <c r="A697" s="4" t="inlineStr">
        <is>
          <t>1433</t>
        </is>
      </c>
      <c r="B697" s="4" t="inlineStr">
        <is>
          <t>MBA for Executives Program</t>
        </is>
      </c>
      <c r="C697" s="4" t="inlineStr">
        <is>
          <t>organizer</t>
        </is>
      </c>
      <c r="D697" s="4" t="inlineStr">
        <is>
          <t>Organizer</t>
        </is>
      </c>
      <c r="E697" s="4" t="inlineStr"/>
    </row>
    <row r="698">
      <c r="A698" s="4" t="inlineStr">
        <is>
          <t>1218</t>
        </is>
      </c>
      <c r="B698" s="4" t="inlineStr">
        <is>
          <t>MBA For Executives: Extended Classroom</t>
        </is>
      </c>
      <c r="C698" s="4" t="inlineStr">
        <is>
          <t>organizer</t>
        </is>
      </c>
      <c r="D698" s="4" t="inlineStr">
        <is>
          <t>Organizer</t>
        </is>
      </c>
      <c r="E698" s="4" t="inlineStr"/>
    </row>
    <row r="699">
      <c r="A699" s="4" t="inlineStr">
        <is>
          <t>1249</t>
        </is>
      </c>
      <c r="B699" s="4" t="inlineStr">
        <is>
          <t>Media, Entertainment &amp; Sports Association</t>
        </is>
      </c>
      <c r="C699" s="4" t="inlineStr">
        <is>
          <t>organizer</t>
        </is>
      </c>
      <c r="D699" s="4" t="inlineStr">
        <is>
          <t>Organizer</t>
        </is>
      </c>
      <c r="E699" s="4" t="inlineStr"/>
    </row>
    <row r="700">
      <c r="A700" s="4" t="inlineStr">
        <is>
          <t>1404</t>
        </is>
      </c>
      <c r="B700" s="4" t="inlineStr">
        <is>
          <t>Middle East and North Africa Club</t>
        </is>
      </c>
      <c r="C700" s="4" t="inlineStr">
        <is>
          <t>organizer</t>
        </is>
      </c>
      <c r="D700" s="4" t="inlineStr">
        <is>
          <t>Organizer</t>
        </is>
      </c>
      <c r="E700" s="4" t="inlineStr"/>
    </row>
    <row r="701">
      <c r="A701" s="4" t="inlineStr">
        <is>
          <t>1331</t>
        </is>
      </c>
      <c r="B701" s="4" t="inlineStr">
        <is>
          <t>MIINT</t>
        </is>
      </c>
      <c r="C701" s="4" t="inlineStr">
        <is>
          <t>organizer</t>
        </is>
      </c>
      <c r="D701" s="4" t="inlineStr">
        <is>
          <t>Organizer</t>
        </is>
      </c>
      <c r="E701" s="4" t="inlineStr"/>
    </row>
    <row r="702">
      <c r="A702" s="4" t="inlineStr">
        <is>
          <t>1595</t>
        </is>
      </c>
      <c r="B702" s="4" t="inlineStr">
        <is>
          <t>MIINT Program</t>
        </is>
      </c>
      <c r="C702" s="4" t="inlineStr">
        <is>
          <t>organizer</t>
        </is>
      </c>
      <c r="D702" s="4" t="inlineStr">
        <is>
          <t>Organizer</t>
        </is>
      </c>
      <c r="E702" s="4" t="inlineStr"/>
    </row>
    <row r="703">
      <c r="A703" s="4" t="inlineStr">
        <is>
          <t>1748</t>
        </is>
      </c>
      <c r="B703" s="4" t="inlineStr">
        <is>
          <t>MMS-AM Admissions</t>
        </is>
      </c>
      <c r="C703" s="4" t="inlineStr">
        <is>
          <t>organizer</t>
        </is>
      </c>
      <c r="D703" s="4" t="inlineStr">
        <is>
          <t>Organizer</t>
        </is>
      </c>
      <c r="E703" s="4" t="inlineStr"/>
    </row>
    <row r="704">
      <c r="A704" s="4" t="inlineStr">
        <is>
          <t>1769</t>
        </is>
      </c>
      <c r="B704" s="4" t="inlineStr">
        <is>
          <t>Muslim Students Association &amp; OCED</t>
        </is>
      </c>
      <c r="C704" s="4" t="inlineStr">
        <is>
          <t>organizer</t>
        </is>
      </c>
      <c r="D704" s="4" t="inlineStr">
        <is>
          <t>Organizer</t>
        </is>
      </c>
      <c r="E704" s="4" t="inlineStr"/>
    </row>
    <row r="705">
      <c r="A705" s="4" t="inlineStr">
        <is>
          <t>1228</t>
        </is>
      </c>
      <c r="B705" s="4" t="inlineStr">
        <is>
          <t>Net Impact</t>
        </is>
      </c>
      <c r="C705" s="4" t="inlineStr">
        <is>
          <t>organizer</t>
        </is>
      </c>
      <c r="D705" s="4" t="inlineStr">
        <is>
          <t>Organizer</t>
        </is>
      </c>
      <c r="E705" s="4" t="inlineStr"/>
    </row>
    <row r="706">
      <c r="A706" s="4" t="inlineStr">
        <is>
          <t>1425</t>
        </is>
      </c>
      <c r="B706" s="4" t="inlineStr">
        <is>
          <t>Net Impact Club</t>
        </is>
      </c>
      <c r="C706" s="4" t="inlineStr">
        <is>
          <t>organizer</t>
        </is>
      </c>
      <c r="D706" s="4" t="inlineStr">
        <is>
          <t>Organizer</t>
        </is>
      </c>
      <c r="E706" s="4" t="inlineStr"/>
    </row>
    <row r="707">
      <c r="A707" s="4" t="inlineStr">
        <is>
          <t>1530</t>
        </is>
      </c>
      <c r="B707" s="4" t="inlineStr">
        <is>
          <t>New Haven Chamber Orchestra</t>
        </is>
      </c>
      <c r="C707" s="4" t="inlineStr">
        <is>
          <t>organizer</t>
        </is>
      </c>
      <c r="D707" s="4" t="inlineStr">
        <is>
          <t>Organizer</t>
        </is>
      </c>
      <c r="E707" s="4" t="inlineStr"/>
    </row>
    <row r="708">
      <c r="A708" s="4" t="inlineStr">
        <is>
          <t>1731</t>
        </is>
      </c>
      <c r="B708" s="4" t="inlineStr">
        <is>
          <t>New Haven PAUSE Project</t>
        </is>
      </c>
      <c r="C708" s="4" t="inlineStr">
        <is>
          <t>organizer</t>
        </is>
      </c>
      <c r="D708" s="4" t="inlineStr">
        <is>
          <t>Organizer</t>
        </is>
      </c>
      <c r="E708" s="4" t="inlineStr"/>
    </row>
    <row r="709">
      <c r="A709" s="4" t="inlineStr">
        <is>
          <t>1548</t>
        </is>
      </c>
      <c r="B709" s="4" t="inlineStr">
        <is>
          <t>New Haven Reads</t>
        </is>
      </c>
      <c r="C709" s="4" t="inlineStr">
        <is>
          <t>organizer</t>
        </is>
      </c>
      <c r="D709" s="4" t="inlineStr">
        <is>
          <t>Organizer</t>
        </is>
      </c>
      <c r="E709" s="4" t="inlineStr"/>
    </row>
    <row r="710">
      <c r="A710" s="4" t="inlineStr">
        <is>
          <t>1257</t>
        </is>
      </c>
      <c r="B710" s="4" t="inlineStr">
        <is>
          <t>Nonprofit Board Fellows</t>
        </is>
      </c>
      <c r="C710" s="4" t="inlineStr">
        <is>
          <t>organizer</t>
        </is>
      </c>
      <c r="D710" s="4" t="inlineStr">
        <is>
          <t>Organizer</t>
        </is>
      </c>
      <c r="E710" s="4" t="inlineStr"/>
    </row>
    <row r="711">
      <c r="A711" s="4" t="inlineStr">
        <is>
          <t>1387</t>
        </is>
      </c>
      <c r="B711" s="4" t="inlineStr">
        <is>
          <t>Not Important</t>
        </is>
      </c>
      <c r="C711" s="4" t="inlineStr">
        <is>
          <t>organizer</t>
        </is>
      </c>
      <c r="D711" s="4" t="inlineStr">
        <is>
          <t>Organizer</t>
        </is>
      </c>
      <c r="E711" s="4" t="inlineStr"/>
    </row>
    <row r="712">
      <c r="A712" s="4" t="inlineStr">
        <is>
          <t>1654</t>
        </is>
      </c>
      <c r="B712" s="4" t="inlineStr">
        <is>
          <t>Office of Community Engagement and Dialogue</t>
        </is>
      </c>
      <c r="C712" s="4" t="inlineStr">
        <is>
          <t>organizer</t>
        </is>
      </c>
      <c r="D712" s="4" t="inlineStr">
        <is>
          <t>Organizer</t>
        </is>
      </c>
      <c r="E712" s="4" t="inlineStr"/>
    </row>
    <row r="713">
      <c r="A713" s="4" t="inlineStr">
        <is>
          <t>1752</t>
        </is>
      </c>
      <c r="B713" s="4" t="inlineStr">
        <is>
          <t>Office of Community Engagement and Dialogue &amp; Women in Management</t>
        </is>
      </c>
      <c r="C713" s="4" t="inlineStr">
        <is>
          <t>organizer</t>
        </is>
      </c>
      <c r="D713" s="4" t="inlineStr">
        <is>
          <t>Organizer</t>
        </is>
      </c>
      <c r="E713" s="4" t="inlineStr"/>
    </row>
    <row r="714">
      <c r="A714" s="4" t="inlineStr">
        <is>
          <t>1282</t>
        </is>
      </c>
      <c r="B714" s="4" t="inlineStr">
        <is>
          <t>Office of Community Liaison</t>
        </is>
      </c>
      <c r="C714" s="4" t="inlineStr">
        <is>
          <t>organizer</t>
        </is>
      </c>
      <c r="D714" s="4" t="inlineStr">
        <is>
          <t>Organizer</t>
        </is>
      </c>
      <c r="E714" s="4" t="inlineStr"/>
    </row>
    <row r="715">
      <c r="A715" s="4" t="inlineStr">
        <is>
          <t>1237</t>
        </is>
      </c>
      <c r="B715" s="4" t="inlineStr">
        <is>
          <t>Office of Community Liasion</t>
        </is>
      </c>
      <c r="C715" s="4" t="inlineStr">
        <is>
          <t>organizer</t>
        </is>
      </c>
      <c r="D715" s="4" t="inlineStr">
        <is>
          <t>Organizer</t>
        </is>
      </c>
      <c r="E715" s="4" t="inlineStr"/>
    </row>
    <row r="716">
      <c r="A716" s="4" t="inlineStr">
        <is>
          <t>1224</t>
        </is>
      </c>
      <c r="B716" s="4" t="inlineStr">
        <is>
          <t>Office of Inclusion &amp; Diversity</t>
        </is>
      </c>
      <c r="C716" s="4" t="inlineStr">
        <is>
          <t>organizer</t>
        </is>
      </c>
      <c r="D716" s="4" t="inlineStr">
        <is>
          <t>Organizer</t>
        </is>
      </c>
      <c r="E716" s="4" t="inlineStr"/>
    </row>
    <row r="717">
      <c r="A717" s="4" t="inlineStr">
        <is>
          <t>1296</t>
        </is>
      </c>
      <c r="B717" s="4" t="inlineStr">
        <is>
          <t>Office of Inclusion and Diversity</t>
        </is>
      </c>
      <c r="C717" s="4" t="inlineStr">
        <is>
          <t>organizer</t>
        </is>
      </c>
      <c r="D717" s="4" t="inlineStr">
        <is>
          <t>Organizer</t>
        </is>
      </c>
      <c r="E717" s="4" t="inlineStr"/>
    </row>
    <row r="718">
      <c r="A718" s="4" t="inlineStr">
        <is>
          <t>1406</t>
        </is>
      </c>
      <c r="B718" s="4" t="inlineStr">
        <is>
          <t>Office of International Affairs, Yale University</t>
        </is>
      </c>
      <c r="C718" s="4" t="inlineStr">
        <is>
          <t>organizer</t>
        </is>
      </c>
      <c r="D718" s="4" t="inlineStr">
        <is>
          <t>Organizer</t>
        </is>
      </c>
      <c r="E718" s="4" t="inlineStr"/>
    </row>
    <row r="719">
      <c r="A719" s="4" t="inlineStr">
        <is>
          <t>1356</t>
        </is>
      </c>
      <c r="B719" s="4" t="inlineStr">
        <is>
          <t>Office of International Students &amp; Scholars</t>
        </is>
      </c>
      <c r="C719" s="4" t="inlineStr">
        <is>
          <t>organizer</t>
        </is>
      </c>
      <c r="D719" s="4" t="inlineStr">
        <is>
          <t>Organizer</t>
        </is>
      </c>
      <c r="E719" s="4" t="inlineStr"/>
    </row>
    <row r="720">
      <c r="A720" s="4" t="inlineStr">
        <is>
          <t>1604</t>
        </is>
      </c>
      <c r="B720" s="4" t="inlineStr">
        <is>
          <t>Office of the Provost</t>
        </is>
      </c>
      <c r="C720" s="4" t="inlineStr">
        <is>
          <t>organizer</t>
        </is>
      </c>
      <c r="D720" s="4" t="inlineStr">
        <is>
          <t>Organizer</t>
        </is>
      </c>
      <c r="E720" s="4" t="inlineStr"/>
    </row>
    <row r="721">
      <c r="A721" s="4" t="inlineStr">
        <is>
          <t>1704</t>
        </is>
      </c>
      <c r="B721" s="4" t="inlineStr">
        <is>
          <t>Office of the Secretary and Vice President for University Life</t>
        </is>
      </c>
      <c r="C721" s="4" t="inlineStr">
        <is>
          <t>organizer</t>
        </is>
      </c>
      <c r="D721" s="4" t="inlineStr">
        <is>
          <t>Organizer</t>
        </is>
      </c>
      <c r="E721" s="4" t="inlineStr"/>
    </row>
    <row r="722">
      <c r="A722" s="4" t="inlineStr">
        <is>
          <t>1377</t>
        </is>
      </c>
      <c r="B722" s="4" t="inlineStr">
        <is>
          <t>Office of the Secretary, Yale University</t>
        </is>
      </c>
      <c r="C722" s="4" t="inlineStr">
        <is>
          <t>organizer</t>
        </is>
      </c>
      <c r="D722" s="4" t="inlineStr">
        <is>
          <t>Organizer</t>
        </is>
      </c>
      <c r="E722" s="4" t="inlineStr"/>
    </row>
    <row r="723">
      <c r="A723" s="4" t="inlineStr">
        <is>
          <t>1434</t>
        </is>
      </c>
      <c r="B723" s="4" t="inlineStr">
        <is>
          <t>OID &amp; SOM Hospitality</t>
        </is>
      </c>
      <c r="C723" s="4" t="inlineStr">
        <is>
          <t>organizer</t>
        </is>
      </c>
      <c r="D723" s="4" t="inlineStr">
        <is>
          <t>Organizer</t>
        </is>
      </c>
      <c r="E723" s="4" t="inlineStr"/>
    </row>
    <row r="724">
      <c r="A724" s="4" t="inlineStr">
        <is>
          <t>1308</t>
        </is>
      </c>
      <c r="B724" s="4" t="inlineStr">
        <is>
          <t>Organizational Behavior Faculty Seminar Series</t>
        </is>
      </c>
      <c r="C724" s="4" t="inlineStr">
        <is>
          <t>organizer</t>
        </is>
      </c>
      <c r="D724" s="4" t="inlineStr">
        <is>
          <t>Organizer</t>
        </is>
      </c>
      <c r="E724" s="4" t="inlineStr"/>
    </row>
    <row r="725">
      <c r="A725" s="4" t="inlineStr">
        <is>
          <t>1266</t>
        </is>
      </c>
      <c r="B725" s="4" t="inlineStr">
        <is>
          <t>Out Of Office</t>
        </is>
      </c>
      <c r="C725" s="4" t="inlineStr">
        <is>
          <t>organizer</t>
        </is>
      </c>
      <c r="D725" s="4" t="inlineStr">
        <is>
          <t>Organizer</t>
        </is>
      </c>
      <c r="E725" s="4" t="inlineStr"/>
    </row>
    <row r="726">
      <c r="A726" s="4" t="inlineStr">
        <is>
          <t>1217</t>
        </is>
      </c>
      <c r="B726" s="4" t="inlineStr">
        <is>
          <t>Partners Club</t>
        </is>
      </c>
      <c r="C726" s="4" t="inlineStr">
        <is>
          <t>organizer</t>
        </is>
      </c>
      <c r="D726" s="4" t="inlineStr">
        <is>
          <t>Organizer</t>
        </is>
      </c>
      <c r="E726" s="4" t="inlineStr"/>
    </row>
    <row r="727">
      <c r="A727" s="4" t="inlineStr">
        <is>
          <t>1631</t>
        </is>
      </c>
      <c r="B727" s="4" t="inlineStr">
        <is>
          <t>PhD Social Committee</t>
        </is>
      </c>
      <c r="C727" s="4" t="inlineStr">
        <is>
          <t>organizer</t>
        </is>
      </c>
      <c r="D727" s="4" t="inlineStr">
        <is>
          <t>Organizer</t>
        </is>
      </c>
      <c r="E727" s="4" t="inlineStr"/>
    </row>
    <row r="728">
      <c r="A728" s="4" t="inlineStr">
        <is>
          <t>1369</t>
        </is>
      </c>
      <c r="B728" s="4" t="inlineStr">
        <is>
          <t>Philanthropy Conference</t>
        </is>
      </c>
      <c r="C728" s="4" t="inlineStr">
        <is>
          <t>organizer</t>
        </is>
      </c>
      <c r="D728" s="4" t="inlineStr">
        <is>
          <t>Organizer</t>
        </is>
      </c>
      <c r="E728" s="4" t="inlineStr"/>
    </row>
    <row r="729">
      <c r="A729" s="4" t="inlineStr">
        <is>
          <t>1540</t>
        </is>
      </c>
      <c r="B729" s="4" t="inlineStr">
        <is>
          <t>Poynter Fellowship in Journalism</t>
        </is>
      </c>
      <c r="C729" s="4" t="inlineStr">
        <is>
          <t>organizer</t>
        </is>
      </c>
      <c r="D729" s="4" t="inlineStr">
        <is>
          <t>Organizer</t>
        </is>
      </c>
      <c r="E729" s="4" t="inlineStr"/>
    </row>
    <row r="730">
      <c r="A730" s="4" t="inlineStr">
        <is>
          <t>1709</t>
        </is>
      </c>
      <c r="B730" s="4" t="inlineStr">
        <is>
          <t>Poynter Fellowship in Journalism &amp; Cultivating Conversation</t>
        </is>
      </c>
      <c r="C730" s="4" t="inlineStr">
        <is>
          <t>organizer</t>
        </is>
      </c>
      <c r="D730" s="4" t="inlineStr">
        <is>
          <t>Organizer</t>
        </is>
      </c>
      <c r="E730" s="4" t="inlineStr"/>
    </row>
    <row r="731">
      <c r="A731" s="4" t="inlineStr">
        <is>
          <t>1702</t>
        </is>
      </c>
      <c r="B731" s="4" t="inlineStr">
        <is>
          <t>Poynter Fellowship in Journalism &amp; Cultivating Conversations</t>
        </is>
      </c>
      <c r="C731" s="4" t="inlineStr">
        <is>
          <t>organizer</t>
        </is>
      </c>
      <c r="D731" s="4" t="inlineStr">
        <is>
          <t>Organizer</t>
        </is>
      </c>
      <c r="E731" s="4" t="inlineStr"/>
    </row>
    <row r="732">
      <c r="A732" s="4" t="inlineStr">
        <is>
          <t>1737</t>
        </is>
      </c>
      <c r="B732" s="4" t="inlineStr">
        <is>
          <t>President's Office</t>
        </is>
      </c>
      <c r="C732" s="4" t="inlineStr">
        <is>
          <t>organizer</t>
        </is>
      </c>
      <c r="D732" s="4" t="inlineStr">
        <is>
          <t>Organizer</t>
        </is>
      </c>
      <c r="E732" s="4" t="inlineStr"/>
    </row>
    <row r="733">
      <c r="A733" s="4" t="inlineStr">
        <is>
          <t>1247</t>
        </is>
      </c>
      <c r="B733" s="4" t="inlineStr">
        <is>
          <t>Private Equity &amp; Venture Capital Club</t>
        </is>
      </c>
      <c r="C733" s="4" t="inlineStr">
        <is>
          <t>organizer</t>
        </is>
      </c>
      <c r="D733" s="4" t="inlineStr">
        <is>
          <t>Organizer</t>
        </is>
      </c>
      <c r="E733" s="4" t="inlineStr"/>
    </row>
    <row r="734">
      <c r="A734" s="4" t="inlineStr">
        <is>
          <t>1232</t>
        </is>
      </c>
      <c r="B734" s="4" t="inlineStr">
        <is>
          <t>Professional Communication Center</t>
        </is>
      </c>
      <c r="C734" s="4" t="inlineStr">
        <is>
          <t>organizer</t>
        </is>
      </c>
      <c r="D734" s="4" t="inlineStr">
        <is>
          <t>Organizer</t>
        </is>
      </c>
      <c r="E734" s="4" t="inlineStr"/>
    </row>
    <row r="735">
      <c r="A735" s="4" t="inlineStr">
        <is>
          <t>1360</t>
        </is>
      </c>
      <c r="B735" s="4" t="inlineStr">
        <is>
          <t>Profs. Ed Kaplan, Toby Moskowitz, Barry Nalebuff, Edieal Pinker, Jeff Sonnenfeld, and Gal Zauberman.</t>
        </is>
      </c>
      <c r="C735" s="4" t="inlineStr">
        <is>
          <t>organizer</t>
        </is>
      </c>
      <c r="D735" s="4" t="inlineStr">
        <is>
          <t>Organizer</t>
        </is>
      </c>
      <c r="E735" s="4" t="inlineStr"/>
    </row>
    <row r="736">
      <c r="A736" s="4" t="inlineStr">
        <is>
          <t>1478</t>
        </is>
      </c>
      <c r="B736" s="4" t="inlineStr">
        <is>
          <t>Program on Entrepreneurship</t>
        </is>
      </c>
      <c r="C736" s="4" t="inlineStr">
        <is>
          <t>organizer</t>
        </is>
      </c>
      <c r="D736" s="4" t="inlineStr">
        <is>
          <t>Organizer</t>
        </is>
      </c>
      <c r="E736" s="4" t="inlineStr"/>
    </row>
    <row r="737">
      <c r="A737" s="4" t="inlineStr">
        <is>
          <t>1399</t>
        </is>
      </c>
      <c r="B737" s="4" t="inlineStr">
        <is>
          <t>Program on Entrepreneurship</t>
        </is>
      </c>
      <c r="C737" s="4" t="inlineStr">
        <is>
          <t>organizer</t>
        </is>
      </c>
      <c r="D737" s="4" t="inlineStr">
        <is>
          <t>Organizer</t>
        </is>
      </c>
      <c r="E737" s="4" t="inlineStr"/>
    </row>
    <row r="738">
      <c r="A738" s="4" t="inlineStr">
        <is>
          <t>1606</t>
        </is>
      </c>
      <c r="B738" s="4" t="inlineStr">
        <is>
          <t>Program on Ethics, Politics and Economics</t>
        </is>
      </c>
      <c r="C738" s="4" t="inlineStr">
        <is>
          <t>organizer</t>
        </is>
      </c>
      <c r="D738" s="4" t="inlineStr">
        <is>
          <t>Organizer</t>
        </is>
      </c>
      <c r="E738" s="4" t="inlineStr"/>
    </row>
    <row r="739">
      <c r="A739" s="4" t="inlineStr">
        <is>
          <t>1283</t>
        </is>
      </c>
      <c r="B739" s="4" t="inlineStr">
        <is>
          <t>Program on Refugees, Forced Displacement &amp; Humanitarian Responses</t>
        </is>
      </c>
      <c r="C739" s="4" t="inlineStr">
        <is>
          <t>organizer</t>
        </is>
      </c>
      <c r="D739" s="4" t="inlineStr">
        <is>
          <t>Organizer</t>
        </is>
      </c>
      <c r="E739" s="4" t="inlineStr"/>
    </row>
    <row r="740">
      <c r="A740" s="4" t="inlineStr">
        <is>
          <t>1402</t>
        </is>
      </c>
      <c r="B740" s="4" t="inlineStr">
        <is>
          <t>Program on Refugees, Forced Displacement, and Humanitarian Responses</t>
        </is>
      </c>
      <c r="C740" s="4" t="inlineStr">
        <is>
          <t>organizer</t>
        </is>
      </c>
      <c r="D740" s="4" t="inlineStr">
        <is>
          <t>Organizer</t>
        </is>
      </c>
      <c r="E740" s="4" t="inlineStr"/>
    </row>
    <row r="741">
      <c r="A741" s="4" t="inlineStr">
        <is>
          <t>1239</t>
        </is>
      </c>
      <c r="B741" s="4" t="inlineStr">
        <is>
          <t>Program on Social Enterprise</t>
        </is>
      </c>
      <c r="C741" s="4" t="inlineStr">
        <is>
          <t>organizer</t>
        </is>
      </c>
      <c r="D741" s="4" t="inlineStr">
        <is>
          <t>Organizer</t>
        </is>
      </c>
      <c r="E741" s="4" t="inlineStr"/>
    </row>
    <row r="742">
      <c r="A742" s="4" t="inlineStr">
        <is>
          <t>1310</t>
        </is>
      </c>
      <c r="B742" s="4" t="inlineStr">
        <is>
          <t>Program on Social Enterprise &amp; WIM</t>
        </is>
      </c>
      <c r="C742" s="4" t="inlineStr">
        <is>
          <t>organizer</t>
        </is>
      </c>
      <c r="D742" s="4" t="inlineStr">
        <is>
          <t>Organizer</t>
        </is>
      </c>
      <c r="E742" s="4" t="inlineStr"/>
    </row>
    <row r="743">
      <c r="A743" s="4" t="inlineStr">
        <is>
          <t>1533</t>
        </is>
      </c>
      <c r="B743" s="4" t="inlineStr">
        <is>
          <t>Program on Social Enterprise, Innovation, and Impact</t>
        </is>
      </c>
      <c r="C743" s="4" t="inlineStr">
        <is>
          <t>organizer</t>
        </is>
      </c>
      <c r="D743" s="4" t="inlineStr">
        <is>
          <t>Organizer</t>
        </is>
      </c>
      <c r="E743" s="4" t="inlineStr"/>
    </row>
    <row r="744">
      <c r="A744" s="4" t="inlineStr">
        <is>
          <t>1320</t>
        </is>
      </c>
      <c r="B744" s="4" t="inlineStr">
        <is>
          <t>Program on Stakeholder Innovation and Management</t>
        </is>
      </c>
      <c r="C744" s="4" t="inlineStr">
        <is>
          <t>organizer</t>
        </is>
      </c>
      <c r="D744" s="4" t="inlineStr">
        <is>
          <t>Organizer</t>
        </is>
      </c>
      <c r="E744" s="4" t="inlineStr"/>
    </row>
    <row r="745">
      <c r="A745" s="4" t="inlineStr">
        <is>
          <t>1298</t>
        </is>
      </c>
      <c r="B745" s="4" t="inlineStr">
        <is>
          <t>Real Estate Club</t>
        </is>
      </c>
      <c r="C745" s="4" t="inlineStr">
        <is>
          <t>organizer</t>
        </is>
      </c>
      <c r="D745" s="4" t="inlineStr">
        <is>
          <t>Organizer</t>
        </is>
      </c>
      <c r="E745" s="4" t="inlineStr"/>
    </row>
    <row r="746">
      <c r="A746" s="4" t="inlineStr">
        <is>
          <t>1393</t>
        </is>
      </c>
      <c r="B746" s="4" t="inlineStr">
        <is>
          <t>Register for Zoom link</t>
        </is>
      </c>
      <c r="C746" s="4" t="inlineStr">
        <is>
          <t>organizer</t>
        </is>
      </c>
      <c r="D746" s="4" t="inlineStr">
        <is>
          <t>Organizer</t>
        </is>
      </c>
      <c r="E746" s="4" t="inlineStr"/>
    </row>
    <row r="747">
      <c r="A747" s="4" t="inlineStr">
        <is>
          <t>1306</t>
        </is>
      </c>
      <c r="B747" s="4" t="inlineStr">
        <is>
          <t>Registrar</t>
        </is>
      </c>
      <c r="C747" s="4" t="inlineStr">
        <is>
          <t>organizer</t>
        </is>
      </c>
      <c r="D747" s="4" t="inlineStr">
        <is>
          <t>Organizer</t>
        </is>
      </c>
      <c r="E747" s="4" t="inlineStr"/>
    </row>
    <row r="748">
      <c r="A748" s="4" t="inlineStr">
        <is>
          <t>1278</t>
        </is>
      </c>
      <c r="B748" s="4" t="inlineStr">
        <is>
          <t>Retail Club</t>
        </is>
      </c>
      <c r="C748" s="4" t="inlineStr">
        <is>
          <t>organizer</t>
        </is>
      </c>
      <c r="D748" s="4" t="inlineStr">
        <is>
          <t>Organizer</t>
        </is>
      </c>
      <c r="E748" s="4" t="inlineStr"/>
    </row>
    <row r="749">
      <c r="A749" s="4" t="inlineStr">
        <is>
          <t>1337</t>
        </is>
      </c>
      <c r="B749" s="4" t="inlineStr">
        <is>
          <t>SH</t>
        </is>
      </c>
      <c r="C749" s="4" t="inlineStr">
        <is>
          <t>organizer</t>
        </is>
      </c>
      <c r="D749" s="4" t="inlineStr">
        <is>
          <t>Organizer</t>
        </is>
      </c>
      <c r="E749" s="4" t="inlineStr"/>
    </row>
    <row r="750">
      <c r="A750" s="4" t="inlineStr">
        <is>
          <t>1538</t>
        </is>
      </c>
      <c r="B750" s="4" t="inlineStr">
        <is>
          <t>SHARE Center</t>
        </is>
      </c>
      <c r="C750" s="4" t="inlineStr">
        <is>
          <t>organizer</t>
        </is>
      </c>
      <c r="D750" s="4" t="inlineStr">
        <is>
          <t>Organizer</t>
        </is>
      </c>
      <c r="E750" s="4" t="inlineStr"/>
    </row>
    <row r="751">
      <c r="A751" s="4" t="inlineStr">
        <is>
          <t>1477</t>
        </is>
      </c>
      <c r="B751" s="4" t="inlineStr">
        <is>
          <t>SI Lab</t>
        </is>
      </c>
      <c r="C751" s="4" t="inlineStr">
        <is>
          <t>organizer</t>
        </is>
      </c>
      <c r="D751" s="4" t="inlineStr">
        <is>
          <t>Organizer</t>
        </is>
      </c>
      <c r="E751" s="4" t="inlineStr"/>
    </row>
    <row r="752">
      <c r="A752" s="4" t="inlineStr">
        <is>
          <t>1418</t>
        </is>
      </c>
      <c r="B752" s="4" t="inlineStr">
        <is>
          <t>Ski &amp; Snowboard Club</t>
        </is>
      </c>
      <c r="C752" s="4" t="inlineStr">
        <is>
          <t>organizer</t>
        </is>
      </c>
      <c r="D752" s="4" t="inlineStr">
        <is>
          <t>Organizer</t>
        </is>
      </c>
      <c r="E752" s="4" t="inlineStr"/>
    </row>
    <row r="753">
      <c r="A753" s="4" t="inlineStr">
        <is>
          <t>1250</t>
        </is>
      </c>
      <c r="B753" s="4" t="inlineStr">
        <is>
          <t>Social Impact Consulting Club</t>
        </is>
      </c>
      <c r="C753" s="4" t="inlineStr">
        <is>
          <t>organizer</t>
        </is>
      </c>
      <c r="D753" s="4" t="inlineStr">
        <is>
          <t>Organizer</t>
        </is>
      </c>
      <c r="E753" s="4" t="inlineStr"/>
    </row>
    <row r="754">
      <c r="A754" s="4" t="inlineStr">
        <is>
          <t>1272</t>
        </is>
      </c>
      <c r="B754" s="4" t="inlineStr">
        <is>
          <t>Social Impact Lab</t>
        </is>
      </c>
      <c r="C754" s="4" t="inlineStr">
        <is>
          <t>organizer</t>
        </is>
      </c>
      <c r="D754" s="4" t="inlineStr">
        <is>
          <t>Organizer</t>
        </is>
      </c>
      <c r="E754" s="4" t="inlineStr"/>
    </row>
    <row r="755">
      <c r="A755" s="4" t="inlineStr">
        <is>
          <t>1384</t>
        </is>
      </c>
      <c r="B755" s="4" t="inlineStr">
        <is>
          <t>Social Impact Lab</t>
        </is>
      </c>
      <c r="C755" s="4" t="inlineStr">
        <is>
          <t>organizer</t>
        </is>
      </c>
      <c r="D755" s="4" t="inlineStr">
        <is>
          <t>Organizer</t>
        </is>
      </c>
      <c r="E755" s="4" t="inlineStr"/>
    </row>
    <row r="756">
      <c r="A756" s="4" t="inlineStr">
        <is>
          <t>1616</t>
        </is>
      </c>
      <c r="B756" s="4" t="inlineStr">
        <is>
          <t>Social Impact Lab &amp; Out of Office</t>
        </is>
      </c>
      <c r="C756" s="4" t="inlineStr">
        <is>
          <t>organizer</t>
        </is>
      </c>
      <c r="D756" s="4" t="inlineStr">
        <is>
          <t>Organizer</t>
        </is>
      </c>
      <c r="E756" s="4" t="inlineStr"/>
    </row>
    <row r="757">
      <c r="A757" s="4" t="inlineStr">
        <is>
          <t>1443</t>
        </is>
      </c>
      <c r="B757" s="4" t="inlineStr">
        <is>
          <t>Social Media Team</t>
        </is>
      </c>
      <c r="C757" s="4" t="inlineStr">
        <is>
          <t>organizer</t>
        </is>
      </c>
      <c r="D757" s="4" t="inlineStr">
        <is>
          <t>Organizer</t>
        </is>
      </c>
      <c r="E757" s="4" t="inlineStr"/>
    </row>
    <row r="758">
      <c r="A758" s="4" t="inlineStr">
        <is>
          <t>1403</t>
        </is>
      </c>
      <c r="B758" s="4" t="inlineStr">
        <is>
          <t>Social Sector Club Council &amp; Net Impact</t>
        </is>
      </c>
      <c r="C758" s="4" t="inlineStr">
        <is>
          <t>organizer</t>
        </is>
      </c>
      <c r="D758" s="4" t="inlineStr">
        <is>
          <t>Organizer</t>
        </is>
      </c>
      <c r="E758" s="4" t="inlineStr"/>
    </row>
    <row r="759">
      <c r="A759" s="4" t="inlineStr">
        <is>
          <t>1475</t>
        </is>
      </c>
      <c r="B759" s="4" t="inlineStr">
        <is>
          <t>SOM Communications: Video Team</t>
        </is>
      </c>
      <c r="C759" s="4" t="inlineStr">
        <is>
          <t>organizer</t>
        </is>
      </c>
      <c r="D759" s="4" t="inlineStr">
        <is>
          <t>Organizer</t>
        </is>
      </c>
      <c r="E759" s="4" t="inlineStr"/>
    </row>
    <row r="760">
      <c r="A760" s="4" t="inlineStr">
        <is>
          <t>1494</t>
        </is>
      </c>
      <c r="B760" s="4" t="inlineStr">
        <is>
          <t>SOM Digital Media Team</t>
        </is>
      </c>
      <c r="C760" s="4" t="inlineStr">
        <is>
          <t>organizer</t>
        </is>
      </c>
      <c r="D760" s="4" t="inlineStr">
        <is>
          <t>Organizer</t>
        </is>
      </c>
      <c r="E760" s="4" t="inlineStr"/>
    </row>
    <row r="761">
      <c r="A761" s="4" t="inlineStr">
        <is>
          <t>1745</t>
        </is>
      </c>
      <c r="B761" s="4" t="inlineStr">
        <is>
          <t>SOM Facilities</t>
        </is>
      </c>
      <c r="C761" s="4" t="inlineStr">
        <is>
          <t>organizer</t>
        </is>
      </c>
      <c r="D761" s="4" t="inlineStr">
        <is>
          <t>Organizer</t>
        </is>
      </c>
      <c r="E761" s="4" t="inlineStr"/>
    </row>
    <row r="762">
      <c r="A762" s="4" t="inlineStr">
        <is>
          <t>1723</t>
        </is>
      </c>
      <c r="B762" s="4" t="inlineStr">
        <is>
          <t>SOM Facilities &amp; SOM HR</t>
        </is>
      </c>
      <c r="C762" s="4" t="inlineStr">
        <is>
          <t>organizer</t>
        </is>
      </c>
      <c r="D762" s="4" t="inlineStr">
        <is>
          <t>Organizer</t>
        </is>
      </c>
      <c r="E762" s="4" t="inlineStr"/>
    </row>
    <row r="763">
      <c r="A763" s="4" t="inlineStr">
        <is>
          <t>1362</t>
        </is>
      </c>
      <c r="B763" s="4" t="inlineStr">
        <is>
          <t>SOM faculty including Profs. Ed Kaplan, Toby Moskowitz, Barry Nalebuff, Edieal Pinker, Jeff Sonnenfeld, and Gal Zauberman.</t>
        </is>
      </c>
      <c r="C763" s="4" t="inlineStr">
        <is>
          <t>organizer</t>
        </is>
      </c>
      <c r="D763" s="4" t="inlineStr">
        <is>
          <t>Organizer</t>
        </is>
      </c>
      <c r="E763" s="4" t="inlineStr"/>
    </row>
    <row r="764">
      <c r="A764" s="4" t="inlineStr">
        <is>
          <t>1491</t>
        </is>
      </c>
      <c r="B764" s="4" t="inlineStr">
        <is>
          <t>SOM Historian</t>
        </is>
      </c>
      <c r="C764" s="4" t="inlineStr">
        <is>
          <t>organizer</t>
        </is>
      </c>
      <c r="D764" s="4" t="inlineStr">
        <is>
          <t>Organizer</t>
        </is>
      </c>
      <c r="E764" s="4" t="inlineStr"/>
    </row>
    <row r="765">
      <c r="A765" s="4" t="inlineStr">
        <is>
          <t>1309</t>
        </is>
      </c>
      <c r="B765" s="4" t="inlineStr">
        <is>
          <t>SOM Hospitality</t>
        </is>
      </c>
      <c r="C765" s="4" t="inlineStr">
        <is>
          <t>organizer</t>
        </is>
      </c>
      <c r="D765" s="4" t="inlineStr">
        <is>
          <t>Organizer</t>
        </is>
      </c>
      <c r="E765" s="4" t="inlineStr"/>
    </row>
    <row r="766">
      <c r="A766" s="4" t="inlineStr">
        <is>
          <t>1330</t>
        </is>
      </c>
      <c r="B766" s="4" t="inlineStr">
        <is>
          <t>SOM Hospitality</t>
        </is>
      </c>
      <c r="C766" s="4" t="inlineStr">
        <is>
          <t>organizer</t>
        </is>
      </c>
      <c r="D766" s="4" t="inlineStr">
        <is>
          <t>Organizer</t>
        </is>
      </c>
      <c r="E766" s="4" t="inlineStr"/>
    </row>
    <row r="767">
      <c r="A767" s="4" t="inlineStr">
        <is>
          <t>1724</t>
        </is>
      </c>
      <c r="B767" s="4" t="inlineStr">
        <is>
          <t>SOM Hospitality &amp; OCED</t>
        </is>
      </c>
      <c r="C767" s="4" t="inlineStr">
        <is>
          <t>organizer</t>
        </is>
      </c>
      <c r="D767" s="4" t="inlineStr">
        <is>
          <t>Organizer</t>
        </is>
      </c>
      <c r="E767" s="4" t="inlineStr"/>
    </row>
    <row r="768">
      <c r="A768" s="4" t="inlineStr">
        <is>
          <t>1528</t>
        </is>
      </c>
      <c r="B768" s="4" t="inlineStr">
        <is>
          <t>SOM Hospitality &amp; Office of Inclusion &amp; Diversity</t>
        </is>
      </c>
      <c r="C768" s="4" t="inlineStr">
        <is>
          <t>organizer</t>
        </is>
      </c>
      <c r="D768" s="4" t="inlineStr">
        <is>
          <t>Organizer</t>
        </is>
      </c>
      <c r="E768" s="4" t="inlineStr"/>
    </row>
    <row r="769">
      <c r="A769" s="4" t="inlineStr">
        <is>
          <t>1354</t>
        </is>
      </c>
      <c r="B769" s="4" t="inlineStr">
        <is>
          <t>SOM IT</t>
        </is>
      </c>
      <c r="C769" s="4" t="inlineStr">
        <is>
          <t>organizer</t>
        </is>
      </c>
      <c r="D769" s="4" t="inlineStr">
        <is>
          <t>Organizer</t>
        </is>
      </c>
      <c r="E769" s="4" t="inlineStr"/>
    </row>
    <row r="770">
      <c r="A770" s="4" t="inlineStr">
        <is>
          <t>1214</t>
        </is>
      </c>
      <c r="B770" s="4" t="inlineStr">
        <is>
          <t>SOM Orientation 2023</t>
        </is>
      </c>
      <c r="C770" s="4" t="inlineStr">
        <is>
          <t>organizer</t>
        </is>
      </c>
      <c r="D770" s="4" t="inlineStr">
        <is>
          <t>Organizer</t>
        </is>
      </c>
      <c r="E770" s="4" t="inlineStr"/>
    </row>
    <row r="771">
      <c r="A771" s="4" t="inlineStr">
        <is>
          <t>1496</t>
        </is>
      </c>
      <c r="B771" s="4" t="inlineStr">
        <is>
          <t>SOM Orientation 2024</t>
        </is>
      </c>
      <c r="C771" s="4" t="inlineStr">
        <is>
          <t>organizer</t>
        </is>
      </c>
      <c r="D771" s="4" t="inlineStr">
        <is>
          <t>Organizer</t>
        </is>
      </c>
      <c r="E771" s="4" t="inlineStr"/>
    </row>
    <row r="772">
      <c r="A772" s="4" t="inlineStr">
        <is>
          <t>1634</t>
        </is>
      </c>
      <c r="B772" s="4" t="inlineStr">
        <is>
          <t>SOM Orientation 2025</t>
        </is>
      </c>
      <c r="C772" s="4" t="inlineStr">
        <is>
          <t>organizer</t>
        </is>
      </c>
      <c r="D772" s="4" t="inlineStr">
        <is>
          <t>Organizer</t>
        </is>
      </c>
      <c r="E772" s="4" t="inlineStr"/>
    </row>
    <row r="773">
      <c r="A773" s="4" t="inlineStr">
        <is>
          <t>1655</t>
        </is>
      </c>
      <c r="B773" s="4" t="inlineStr">
        <is>
          <t>SOM Podcasts</t>
        </is>
      </c>
      <c r="C773" s="4" t="inlineStr">
        <is>
          <t>organizer</t>
        </is>
      </c>
      <c r="D773" s="4" t="inlineStr">
        <is>
          <t>Organizer</t>
        </is>
      </c>
      <c r="E773" s="4" t="inlineStr"/>
    </row>
    <row r="774">
      <c r="A774" s="4" t="inlineStr">
        <is>
          <t>1284</t>
        </is>
      </c>
      <c r="B774" s="4" t="inlineStr">
        <is>
          <t>SOM Run</t>
        </is>
      </c>
      <c r="C774" s="4" t="inlineStr">
        <is>
          <t>organizer</t>
        </is>
      </c>
      <c r="D774" s="4" t="inlineStr">
        <is>
          <t>Organizer</t>
        </is>
      </c>
      <c r="E774" s="4" t="inlineStr"/>
    </row>
    <row r="775">
      <c r="A775" s="4" t="inlineStr">
        <is>
          <t>1301</t>
        </is>
      </c>
      <c r="B775" s="4" t="inlineStr">
        <is>
          <t>SOM Run</t>
        </is>
      </c>
      <c r="C775" s="4" t="inlineStr">
        <is>
          <t>organizer</t>
        </is>
      </c>
      <c r="D775" s="4" t="inlineStr">
        <is>
          <t>Organizer</t>
        </is>
      </c>
      <c r="E775" s="4" t="inlineStr"/>
    </row>
    <row r="776">
      <c r="A776" s="4" t="inlineStr">
        <is>
          <t>1546</t>
        </is>
      </c>
      <c r="B776" s="4" t="inlineStr">
        <is>
          <t>SOM Staff Sustainability Committee</t>
        </is>
      </c>
      <c r="C776" s="4" t="inlineStr">
        <is>
          <t>organizer</t>
        </is>
      </c>
      <c r="D776" s="4" t="inlineStr">
        <is>
          <t>Organizer</t>
        </is>
      </c>
      <c r="E776" s="4" t="inlineStr"/>
    </row>
    <row r="777">
      <c r="A777" s="4" t="inlineStr">
        <is>
          <t>1729</t>
        </is>
      </c>
      <c r="B777" s="4" t="inlineStr">
        <is>
          <t>SOM Student &amp; SOM Staff Sustainable Committees + Facilities &amp; Operations</t>
        </is>
      </c>
      <c r="C777" s="4" t="inlineStr">
        <is>
          <t>organizer</t>
        </is>
      </c>
      <c r="D777" s="4" t="inlineStr">
        <is>
          <t>Organizer</t>
        </is>
      </c>
      <c r="E777" s="4" t="inlineStr"/>
    </row>
    <row r="778">
      <c r="A778" s="4" t="inlineStr">
        <is>
          <t>1315</t>
        </is>
      </c>
      <c r="B778" s="4" t="inlineStr">
        <is>
          <t>SOM Sustainability Committee &amp; CBEY</t>
        </is>
      </c>
      <c r="C778" s="4" t="inlineStr">
        <is>
          <t>organizer</t>
        </is>
      </c>
      <c r="D778" s="4" t="inlineStr">
        <is>
          <t>Organizer</t>
        </is>
      </c>
      <c r="E778" s="4" t="inlineStr"/>
    </row>
    <row r="779">
      <c r="A779" s="4" t="inlineStr">
        <is>
          <t>1264</t>
        </is>
      </c>
      <c r="B779" s="4" t="inlineStr">
        <is>
          <t>SOM United Soccer Club</t>
        </is>
      </c>
      <c r="C779" s="4" t="inlineStr">
        <is>
          <t>organizer</t>
        </is>
      </c>
      <c r="D779" s="4" t="inlineStr">
        <is>
          <t>Organizer</t>
        </is>
      </c>
      <c r="E779" s="4" t="inlineStr"/>
    </row>
    <row r="780">
      <c r="A780" s="4" t="inlineStr">
        <is>
          <t>1705</t>
        </is>
      </c>
      <c r="B780" s="4" t="inlineStr">
        <is>
          <t>SOMIT</t>
        </is>
      </c>
      <c r="C780" s="4" t="inlineStr">
        <is>
          <t>organizer</t>
        </is>
      </c>
      <c r="D780" s="4" t="inlineStr">
        <is>
          <t>Organizer</t>
        </is>
      </c>
      <c r="E780" s="4" t="inlineStr"/>
    </row>
    <row r="781">
      <c r="A781" s="4" t="inlineStr">
        <is>
          <t>1260</t>
        </is>
      </c>
      <c r="B781" s="4" t="inlineStr">
        <is>
          <t>South Asia Club</t>
        </is>
      </c>
      <c r="C781" s="4" t="inlineStr">
        <is>
          <t>organizer</t>
        </is>
      </c>
      <c r="D781" s="4" t="inlineStr">
        <is>
          <t>Organizer</t>
        </is>
      </c>
      <c r="E781" s="4" t="inlineStr"/>
    </row>
    <row r="782">
      <c r="A782" s="4" t="inlineStr">
        <is>
          <t>1734</t>
        </is>
      </c>
      <c r="B782" s="4" t="inlineStr">
        <is>
          <t>South Asia Club</t>
        </is>
      </c>
      <c r="C782" s="4" t="inlineStr">
        <is>
          <t>organizer</t>
        </is>
      </c>
      <c r="D782" s="4" t="inlineStr">
        <is>
          <t>Organizer</t>
        </is>
      </c>
      <c r="E782" s="4" t="inlineStr"/>
    </row>
    <row r="783">
      <c r="A783" s="4" t="inlineStr">
        <is>
          <t>1261</t>
        </is>
      </c>
      <c r="B783" s="4" t="inlineStr">
        <is>
          <t>Southeast Asia Club</t>
        </is>
      </c>
      <c r="C783" s="4" t="inlineStr">
        <is>
          <t>organizer</t>
        </is>
      </c>
      <c r="D783" s="4" t="inlineStr">
        <is>
          <t>Organizer</t>
        </is>
      </c>
      <c r="E783" s="4" t="inlineStr"/>
    </row>
    <row r="784">
      <c r="A784" s="4" t="inlineStr">
        <is>
          <t>1254</t>
        </is>
      </c>
      <c r="B784" s="4" t="inlineStr">
        <is>
          <t>Startup &amp; Entrepreneurship Club</t>
        </is>
      </c>
      <c r="C784" s="4" t="inlineStr">
        <is>
          <t>organizer</t>
        </is>
      </c>
      <c r="D784" s="4" t="inlineStr">
        <is>
          <t>Organizer</t>
        </is>
      </c>
      <c r="E784" s="4" t="inlineStr"/>
    </row>
    <row r="785">
      <c r="A785" s="4" t="inlineStr">
        <is>
          <t>1567</t>
        </is>
      </c>
      <c r="B785" s="4" t="inlineStr">
        <is>
          <t>Student Accessibility Services</t>
        </is>
      </c>
      <c r="C785" s="4" t="inlineStr">
        <is>
          <t>organizer</t>
        </is>
      </c>
      <c r="D785" s="4" t="inlineStr">
        <is>
          <t>Organizer</t>
        </is>
      </c>
      <c r="E785" s="4" t="inlineStr"/>
    </row>
    <row r="786">
      <c r="A786" s="4" t="inlineStr">
        <is>
          <t>1526</t>
        </is>
      </c>
      <c r="B786" s="4" t="inlineStr">
        <is>
          <t>Student Clubs</t>
        </is>
      </c>
      <c r="C786" s="4" t="inlineStr">
        <is>
          <t>organizer</t>
        </is>
      </c>
      <c r="D786" s="4" t="inlineStr">
        <is>
          <t>Organizer</t>
        </is>
      </c>
      <c r="E786" s="4" t="inlineStr"/>
    </row>
    <row r="787">
      <c r="A787" s="4" t="inlineStr">
        <is>
          <t>1572</t>
        </is>
      </c>
      <c r="B787" s="4" t="inlineStr">
        <is>
          <t>Student Conferences</t>
        </is>
      </c>
      <c r="C787" s="4" t="inlineStr">
        <is>
          <t>organizer</t>
        </is>
      </c>
      <c r="D787" s="4" t="inlineStr">
        <is>
          <t>Organizer</t>
        </is>
      </c>
      <c r="E787" s="4" t="inlineStr"/>
    </row>
    <row r="788">
      <c r="A788" s="4" t="inlineStr">
        <is>
          <t>1607</t>
        </is>
      </c>
      <c r="B788" s="4" t="inlineStr">
        <is>
          <t>Student Conferences Committee</t>
        </is>
      </c>
      <c r="C788" s="4" t="inlineStr">
        <is>
          <t>organizer</t>
        </is>
      </c>
      <c r="D788" s="4" t="inlineStr">
        <is>
          <t>Organizer</t>
        </is>
      </c>
      <c r="E788" s="4" t="inlineStr"/>
    </row>
    <row r="789">
      <c r="A789" s="4" t="inlineStr">
        <is>
          <t>1222</t>
        </is>
      </c>
      <c r="B789" s="4" t="inlineStr">
        <is>
          <t>Student Government</t>
        </is>
      </c>
      <c r="C789" s="4" t="inlineStr">
        <is>
          <t>organizer</t>
        </is>
      </c>
      <c r="D789" s="4" t="inlineStr">
        <is>
          <t>Organizer</t>
        </is>
      </c>
      <c r="E789" s="4" t="inlineStr"/>
    </row>
    <row r="790">
      <c r="A790" s="4" t="inlineStr">
        <is>
          <t>1558</t>
        </is>
      </c>
      <c r="B790" s="4" t="inlineStr">
        <is>
          <t>Student Government  Health &amp; Wellness Committee</t>
        </is>
      </c>
      <c r="C790" s="4" t="inlineStr">
        <is>
          <t>organizer</t>
        </is>
      </c>
      <c r="D790" s="4" t="inlineStr">
        <is>
          <t>Organizer</t>
        </is>
      </c>
      <c r="E790" s="4" t="inlineStr"/>
    </row>
    <row r="791">
      <c r="A791" s="4" t="inlineStr">
        <is>
          <t>1585</t>
        </is>
      </c>
      <c r="B791" s="4" t="inlineStr">
        <is>
          <t>Student Government &amp; Internal Communications Team</t>
        </is>
      </c>
      <c r="C791" s="4" t="inlineStr">
        <is>
          <t>organizer</t>
        </is>
      </c>
      <c r="D791" s="4" t="inlineStr">
        <is>
          <t>Organizer</t>
        </is>
      </c>
      <c r="E791" s="4" t="inlineStr"/>
    </row>
    <row r="792">
      <c r="A792" s="4" t="inlineStr">
        <is>
          <t>1459</t>
        </is>
      </c>
      <c r="B792" s="4" t="inlineStr">
        <is>
          <t>Student Government Sustainability</t>
        </is>
      </c>
      <c r="C792" s="4" t="inlineStr">
        <is>
          <t>organizer</t>
        </is>
      </c>
      <c r="D792" s="4" t="inlineStr">
        <is>
          <t>Organizer</t>
        </is>
      </c>
      <c r="E792" s="4" t="inlineStr"/>
    </row>
    <row r="793">
      <c r="A793" s="4" t="inlineStr">
        <is>
          <t>1547</t>
        </is>
      </c>
      <c r="B793" s="4" t="inlineStr">
        <is>
          <t>Student Health &amp; Wellness Committee</t>
        </is>
      </c>
      <c r="C793" s="4" t="inlineStr">
        <is>
          <t>organizer</t>
        </is>
      </c>
      <c r="D793" s="4" t="inlineStr">
        <is>
          <t>Organizer</t>
        </is>
      </c>
      <c r="E793" s="4" t="inlineStr"/>
    </row>
    <row r="794">
      <c r="A794" s="4" t="inlineStr">
        <is>
          <t>1382</t>
        </is>
      </c>
      <c r="B794" s="4" t="inlineStr">
        <is>
          <t>Student Life</t>
        </is>
      </c>
      <c r="C794" s="4" t="inlineStr">
        <is>
          <t>organizer</t>
        </is>
      </c>
      <c r="D794" s="4" t="inlineStr">
        <is>
          <t>Organizer</t>
        </is>
      </c>
      <c r="E794" s="4" t="inlineStr"/>
    </row>
    <row r="795">
      <c r="A795" s="4" t="inlineStr">
        <is>
          <t>1251</t>
        </is>
      </c>
      <c r="B795" s="4" t="inlineStr">
        <is>
          <t>Student Life Committee</t>
        </is>
      </c>
      <c r="C795" s="4" t="inlineStr">
        <is>
          <t>organizer</t>
        </is>
      </c>
      <c r="D795" s="4" t="inlineStr">
        <is>
          <t>Organizer</t>
        </is>
      </c>
      <c r="E795" s="4" t="inlineStr"/>
    </row>
    <row r="796">
      <c r="A796" s="4" t="inlineStr">
        <is>
          <t>1280</t>
        </is>
      </c>
      <c r="B796" s="4" t="inlineStr">
        <is>
          <t>Students for Racial Equity</t>
        </is>
      </c>
      <c r="C796" s="4" t="inlineStr">
        <is>
          <t>organizer</t>
        </is>
      </c>
      <c r="D796" s="4" t="inlineStr">
        <is>
          <t>Organizer</t>
        </is>
      </c>
      <c r="E796" s="4" t="inlineStr"/>
    </row>
    <row r="797">
      <c r="A797" s="4" t="inlineStr">
        <is>
          <t>1756</t>
        </is>
      </c>
      <c r="B797" s="4" t="inlineStr">
        <is>
          <t>Swensen Asset Management Institute</t>
        </is>
      </c>
      <c r="C797" s="4" t="inlineStr">
        <is>
          <t>organizer</t>
        </is>
      </c>
      <c r="D797" s="4" t="inlineStr">
        <is>
          <t>Organizer</t>
        </is>
      </c>
      <c r="E797" s="4" t="inlineStr"/>
    </row>
    <row r="798">
      <c r="A798" s="4" t="inlineStr">
        <is>
          <t>1658</t>
        </is>
      </c>
      <c r="B798" s="4" t="inlineStr">
        <is>
          <t>Swensen Institute of Asset Management</t>
        </is>
      </c>
      <c r="C798" s="4" t="inlineStr">
        <is>
          <t>organizer</t>
        </is>
      </c>
      <c r="D798" s="4" t="inlineStr">
        <is>
          <t>Organizer</t>
        </is>
      </c>
      <c r="E798" s="4" t="inlineStr"/>
    </row>
    <row r="799">
      <c r="A799" s="4" t="inlineStr">
        <is>
          <t>1465</t>
        </is>
      </c>
      <c r="B799" s="4" t="inlineStr">
        <is>
          <t>Tech &amp; Society Club</t>
        </is>
      </c>
      <c r="C799" s="4" t="inlineStr">
        <is>
          <t>organizer</t>
        </is>
      </c>
      <c r="D799" s="4" t="inlineStr">
        <is>
          <t>Organizer</t>
        </is>
      </c>
      <c r="E799" s="4" t="inlineStr"/>
    </row>
    <row r="800">
      <c r="A800" s="4" t="inlineStr">
        <is>
          <t>1467</t>
        </is>
      </c>
      <c r="B800" s="4" t="inlineStr">
        <is>
          <t>Tech Club, AI Club  &amp;Program on Entrepreneurship</t>
        </is>
      </c>
      <c r="C800" s="4" t="inlineStr">
        <is>
          <t>organizer</t>
        </is>
      </c>
      <c r="D800" s="4" t="inlineStr">
        <is>
          <t>Organizer</t>
        </is>
      </c>
      <c r="E800" s="4" t="inlineStr"/>
    </row>
    <row r="801">
      <c r="A801" s="4" t="inlineStr">
        <is>
          <t>1258</t>
        </is>
      </c>
      <c r="B801" s="4" t="inlineStr">
        <is>
          <t>Technology Club</t>
        </is>
      </c>
      <c r="C801" s="4" t="inlineStr">
        <is>
          <t>organizer</t>
        </is>
      </c>
      <c r="D801" s="4" t="inlineStr">
        <is>
          <t>Organizer</t>
        </is>
      </c>
      <c r="E801" s="4" t="inlineStr"/>
    </row>
    <row r="802">
      <c r="A802" s="4" t="inlineStr">
        <is>
          <t>1305</t>
        </is>
      </c>
      <c r="B802" s="4" t="inlineStr">
        <is>
          <t>The Artsy Fund</t>
        </is>
      </c>
      <c r="C802" s="4" t="inlineStr">
        <is>
          <t>organizer</t>
        </is>
      </c>
      <c r="D802" s="4" t="inlineStr">
        <is>
          <t>Organizer</t>
        </is>
      </c>
      <c r="E802" s="4" t="inlineStr"/>
    </row>
    <row r="803">
      <c r="A803" s="4" t="inlineStr">
        <is>
          <t>1736</t>
        </is>
      </c>
      <c r="B803" s="4" t="inlineStr">
        <is>
          <t>The Artsy Fund</t>
        </is>
      </c>
      <c r="C803" s="4" t="inlineStr">
        <is>
          <t>organizer</t>
        </is>
      </c>
      <c r="D803" s="4" t="inlineStr">
        <is>
          <t>Organizer</t>
        </is>
      </c>
      <c r="E803" s="4" t="inlineStr"/>
    </row>
    <row r="804">
      <c r="A804" s="4" t="inlineStr">
        <is>
          <t>1493</t>
        </is>
      </c>
      <c r="B804" s="4" t="inlineStr">
        <is>
          <t>The Broad Center</t>
        </is>
      </c>
      <c r="C804" s="4" t="inlineStr">
        <is>
          <t>organizer</t>
        </is>
      </c>
      <c r="D804" s="4" t="inlineStr">
        <is>
          <t>Organizer</t>
        </is>
      </c>
      <c r="E804" s="4" t="inlineStr"/>
    </row>
    <row r="805">
      <c r="A805" s="4" t="inlineStr">
        <is>
          <t>1582</t>
        </is>
      </c>
      <c r="B805" s="4" t="inlineStr">
        <is>
          <t>The Broad Center &amp; Education Club</t>
        </is>
      </c>
      <c r="C805" s="4" t="inlineStr">
        <is>
          <t>organizer</t>
        </is>
      </c>
      <c r="D805" s="4" t="inlineStr">
        <is>
          <t>Organizer</t>
        </is>
      </c>
      <c r="E805" s="4" t="inlineStr"/>
    </row>
    <row r="806">
      <c r="A806" s="4" t="inlineStr">
        <is>
          <t>1466</t>
        </is>
      </c>
      <c r="B806" s="4" t="inlineStr">
        <is>
          <t>The Council on Anti-Racism</t>
        </is>
      </c>
      <c r="C806" s="4" t="inlineStr">
        <is>
          <t>organizer</t>
        </is>
      </c>
      <c r="D806" s="4" t="inlineStr">
        <is>
          <t>Organizer</t>
        </is>
      </c>
      <c r="E806" s="4" t="inlineStr"/>
    </row>
    <row r="807">
      <c r="A807" s="4" t="inlineStr">
        <is>
          <t>1594</t>
        </is>
      </c>
      <c r="B807" s="4" t="inlineStr">
        <is>
          <t>The Gordon Grand Lecture Fellowship</t>
        </is>
      </c>
      <c r="C807" s="4" t="inlineStr">
        <is>
          <t>organizer</t>
        </is>
      </c>
      <c r="D807" s="4" t="inlineStr">
        <is>
          <t>Organizer</t>
        </is>
      </c>
      <c r="E807" s="4" t="inlineStr"/>
    </row>
    <row r="808">
      <c r="A808" s="4" t="inlineStr">
        <is>
          <t>1405</t>
        </is>
      </c>
      <c r="B808" s="4" t="inlineStr">
        <is>
          <t>The Institution for Social and Policy Studies</t>
        </is>
      </c>
      <c r="C808" s="4" t="inlineStr">
        <is>
          <t>organizer</t>
        </is>
      </c>
      <c r="D808" s="4" t="inlineStr">
        <is>
          <t>Organizer</t>
        </is>
      </c>
      <c r="E808" s="4" t="inlineStr"/>
    </row>
    <row r="809">
      <c r="A809" s="4" t="inlineStr">
        <is>
          <t>1234</t>
        </is>
      </c>
      <c r="B809" s="4" t="inlineStr">
        <is>
          <t>The International Center for Finance</t>
        </is>
      </c>
      <c r="C809" s="4" t="inlineStr">
        <is>
          <t>organizer</t>
        </is>
      </c>
      <c r="D809" s="4" t="inlineStr">
        <is>
          <t>Organizer</t>
        </is>
      </c>
      <c r="E809" s="4" t="inlineStr"/>
    </row>
    <row r="810">
      <c r="A810" s="4" t="inlineStr">
        <is>
          <t>1597</t>
        </is>
      </c>
      <c r="B810" s="4" t="inlineStr">
        <is>
          <t>The Program on Social Enterprise Innovation and Impact</t>
        </is>
      </c>
      <c r="C810" s="4" t="inlineStr">
        <is>
          <t>organizer</t>
        </is>
      </c>
      <c r="D810" s="4" t="inlineStr">
        <is>
          <t>Organizer</t>
        </is>
      </c>
      <c r="E810" s="4" t="inlineStr"/>
    </row>
    <row r="811">
      <c r="A811" s="4" t="inlineStr">
        <is>
          <t>1710</t>
        </is>
      </c>
      <c r="B811" s="4" t="inlineStr">
        <is>
          <t>The Shops at Yale</t>
        </is>
      </c>
      <c r="C811" s="4" t="inlineStr">
        <is>
          <t>organizer</t>
        </is>
      </c>
      <c r="D811" s="4" t="inlineStr">
        <is>
          <t>Organizer</t>
        </is>
      </c>
      <c r="E811" s="4" t="inlineStr"/>
    </row>
    <row r="812">
      <c r="A812" s="4" t="inlineStr">
        <is>
          <t>1755</t>
        </is>
      </c>
      <c r="B812" s="4" t="inlineStr">
        <is>
          <t>The Swensen Institute</t>
        </is>
      </c>
      <c r="C812" s="4" t="inlineStr">
        <is>
          <t>organizer</t>
        </is>
      </c>
      <c r="D812" s="4" t="inlineStr">
        <is>
          <t>Organizer</t>
        </is>
      </c>
      <c r="E812" s="4" t="inlineStr"/>
    </row>
    <row r="813">
      <c r="A813" s="4" t="inlineStr">
        <is>
          <t>1554</t>
        </is>
      </c>
      <c r="B813" s="4" t="inlineStr">
        <is>
          <t>The Tsai Leadership Program</t>
        </is>
      </c>
      <c r="C813" s="4" t="inlineStr">
        <is>
          <t>organizer</t>
        </is>
      </c>
      <c r="D813" s="4" t="inlineStr">
        <is>
          <t>Organizer</t>
        </is>
      </c>
      <c r="E813" s="4" t="inlineStr"/>
    </row>
    <row r="814">
      <c r="A814" s="4" t="inlineStr">
        <is>
          <t>1583</t>
        </is>
      </c>
      <c r="B814" s="4" t="inlineStr">
        <is>
          <t>The Yale Law School Center for the Study of Corporate Law</t>
        </is>
      </c>
      <c r="C814" s="4" t="inlineStr">
        <is>
          <t>organizer</t>
        </is>
      </c>
      <c r="D814" s="4" t="inlineStr">
        <is>
          <t>Organizer</t>
        </is>
      </c>
      <c r="E814" s="4" t="inlineStr"/>
    </row>
    <row r="815">
      <c r="A815" s="4" t="inlineStr">
        <is>
          <t>1513</t>
        </is>
      </c>
      <c r="B815" s="4" t="inlineStr">
        <is>
          <t>The Yale SOM Operations Eli Seminar Series</t>
        </is>
      </c>
      <c r="C815" s="4" t="inlineStr">
        <is>
          <t>organizer</t>
        </is>
      </c>
      <c r="D815" s="4" t="inlineStr">
        <is>
          <t>Organizer</t>
        </is>
      </c>
      <c r="E815" s="4" t="inlineStr"/>
    </row>
    <row r="816">
      <c r="A816" s="4" t="inlineStr">
        <is>
          <t>1522</t>
        </is>
      </c>
      <c r="B816" s="4" t="inlineStr">
        <is>
          <t>The Yale SOM Operations Seminar Series</t>
        </is>
      </c>
      <c r="C816" s="4" t="inlineStr">
        <is>
          <t>organizer</t>
        </is>
      </c>
      <c r="D816" s="4" t="inlineStr">
        <is>
          <t>Organizer</t>
        </is>
      </c>
      <c r="E816" s="4" t="inlineStr"/>
    </row>
    <row r="817">
      <c r="A817" s="4" t="inlineStr">
        <is>
          <t>1364</t>
        </is>
      </c>
      <c r="B817" s="4" t="inlineStr">
        <is>
          <t>The Yale SOM Operations Seminar Series</t>
        </is>
      </c>
      <c r="C817" s="4" t="inlineStr">
        <is>
          <t>organizer</t>
        </is>
      </c>
      <c r="D817" s="4" t="inlineStr">
        <is>
          <t>Organizer</t>
        </is>
      </c>
      <c r="E817" s="4" t="inlineStr"/>
    </row>
    <row r="818">
      <c r="A818" s="4" t="inlineStr">
        <is>
          <t>1361</t>
        </is>
      </c>
      <c r="B818" s="4" t="inlineStr">
        <is>
          <t>This talk is sponsored by a group of SOM faculty including Profs. Ed Kaplan, Toby Moskowitz, Barry Nalebuff, Edieal Pinker, Jeff Sonnenfeld, and Gal Zauberman.</t>
        </is>
      </c>
      <c r="C818" s="4" t="inlineStr">
        <is>
          <t>organizer</t>
        </is>
      </c>
      <c r="D818" s="4" t="inlineStr">
        <is>
          <t>Organizer</t>
        </is>
      </c>
      <c r="E818" s="4" t="inlineStr"/>
    </row>
    <row r="819">
      <c r="A819" s="4" t="inlineStr">
        <is>
          <t>1746</t>
        </is>
      </c>
      <c r="B819" s="4" t="inlineStr">
        <is>
          <t>Tim Shea</t>
        </is>
      </c>
      <c r="C819" s="4" t="inlineStr">
        <is>
          <t>organizer</t>
        </is>
      </c>
      <c r="D819" s="4" t="inlineStr">
        <is>
          <t>Organizer</t>
        </is>
      </c>
      <c r="E819" s="4" t="inlineStr"/>
    </row>
    <row r="820">
      <c r="A820" s="4" t="inlineStr">
        <is>
          <t>1763</t>
        </is>
      </c>
      <c r="B820" s="4" t="inlineStr">
        <is>
          <t>Title IX at Yale SOM</t>
        </is>
      </c>
      <c r="C820" s="4" t="inlineStr">
        <is>
          <t>organizer</t>
        </is>
      </c>
      <c r="D820" s="4" t="inlineStr">
        <is>
          <t>Organizer</t>
        </is>
      </c>
      <c r="E820" s="4" t="inlineStr"/>
    </row>
    <row r="821">
      <c r="A821" s="4" t="inlineStr">
        <is>
          <t>1338</t>
        </is>
      </c>
      <c r="B821" s="4" t="inlineStr">
        <is>
          <t>Title IX Working Group</t>
        </is>
      </c>
      <c r="C821" s="4" t="inlineStr">
        <is>
          <t>organizer</t>
        </is>
      </c>
      <c r="D821" s="4" t="inlineStr">
        <is>
          <t>Organizer</t>
        </is>
      </c>
      <c r="E821" s="4" t="inlineStr"/>
    </row>
    <row r="822">
      <c r="A822" s="4" t="inlineStr">
        <is>
          <t>1767</t>
        </is>
      </c>
      <c r="B822" s="4" t="inlineStr">
        <is>
          <t>Title IX Working Group, Social Impact Lab, Media, Entertainment &amp; Sports Association</t>
        </is>
      </c>
      <c r="C822" s="4" t="inlineStr">
        <is>
          <t>organizer</t>
        </is>
      </c>
      <c r="D822" s="4" t="inlineStr">
        <is>
          <t>Organizer</t>
        </is>
      </c>
      <c r="E822" s="4" t="inlineStr"/>
    </row>
    <row r="823">
      <c r="A823" s="4" t="inlineStr">
        <is>
          <t>1656</t>
        </is>
      </c>
      <c r="B823" s="4" t="inlineStr">
        <is>
          <t>Town Green District</t>
        </is>
      </c>
      <c r="C823" s="4" t="inlineStr">
        <is>
          <t>organizer</t>
        </is>
      </c>
      <c r="D823" s="4" t="inlineStr">
        <is>
          <t>Organizer</t>
        </is>
      </c>
      <c r="E823" s="4" t="inlineStr"/>
    </row>
    <row r="824">
      <c r="A824" s="4" t="inlineStr">
        <is>
          <t>1762</t>
        </is>
      </c>
      <c r="B824" s="4" t="inlineStr">
        <is>
          <t>Trumbull College</t>
        </is>
      </c>
      <c r="C824" s="4" t="inlineStr">
        <is>
          <t>organizer</t>
        </is>
      </c>
      <c r="D824" s="4" t="inlineStr">
        <is>
          <t>Organizer</t>
        </is>
      </c>
      <c r="E824" s="4" t="inlineStr"/>
    </row>
    <row r="825">
      <c r="A825" s="4" t="inlineStr">
        <is>
          <t>1317</t>
        </is>
      </c>
      <c r="B825" s="4" t="inlineStr">
        <is>
          <t>Tsai Center for Innovative Thinking</t>
        </is>
      </c>
      <c r="C825" s="4" t="inlineStr">
        <is>
          <t>organizer</t>
        </is>
      </c>
      <c r="D825" s="4" t="inlineStr">
        <is>
          <t>Organizer</t>
        </is>
      </c>
      <c r="E825" s="4" t="inlineStr"/>
    </row>
    <row r="826">
      <c r="A826" s="4" t="inlineStr">
        <is>
          <t>1652</t>
        </is>
      </c>
      <c r="B826" s="4" t="inlineStr">
        <is>
          <t>Tsai City</t>
        </is>
      </c>
      <c r="C826" s="4" t="inlineStr">
        <is>
          <t>organizer</t>
        </is>
      </c>
      <c r="D826" s="4" t="inlineStr">
        <is>
          <t>Organizer</t>
        </is>
      </c>
      <c r="E826" s="4" t="inlineStr"/>
    </row>
    <row r="827">
      <c r="A827" s="4" t="inlineStr">
        <is>
          <t>1424</t>
        </is>
      </c>
      <c r="B827" s="4" t="inlineStr">
        <is>
          <t>Tsai CITY &amp; CBEY</t>
        </is>
      </c>
      <c r="C827" s="4" t="inlineStr">
        <is>
          <t>organizer</t>
        </is>
      </c>
      <c r="D827" s="4" t="inlineStr">
        <is>
          <t>Organizer</t>
        </is>
      </c>
      <c r="E827" s="4" t="inlineStr"/>
    </row>
    <row r="828">
      <c r="A828" s="4" t="inlineStr">
        <is>
          <t>1423</t>
        </is>
      </c>
      <c r="B828" s="4" t="inlineStr">
        <is>
          <t>Tsai CITY + CBEY Planetory Innovator Series</t>
        </is>
      </c>
      <c r="C828" s="4" t="inlineStr">
        <is>
          <t>organizer</t>
        </is>
      </c>
      <c r="D828" s="4" t="inlineStr">
        <is>
          <t>Organizer</t>
        </is>
      </c>
      <c r="E828" s="4" t="inlineStr"/>
    </row>
    <row r="829">
      <c r="A829" s="4" t="inlineStr">
        <is>
          <t>1719</t>
        </is>
      </c>
      <c r="B829" s="4" t="inlineStr">
        <is>
          <t>United Way Greater New Haven</t>
        </is>
      </c>
      <c r="C829" s="4" t="inlineStr">
        <is>
          <t>organizer</t>
        </is>
      </c>
      <c r="D829" s="4" t="inlineStr">
        <is>
          <t>Organizer</t>
        </is>
      </c>
      <c r="E829" s="4" t="inlineStr"/>
    </row>
    <row r="830">
      <c r="A830" s="4" t="inlineStr">
        <is>
          <t>1242</t>
        </is>
      </c>
      <c r="B830" s="4" t="inlineStr">
        <is>
          <t>Veterans Club</t>
        </is>
      </c>
      <c r="C830" s="4" t="inlineStr">
        <is>
          <t>organizer</t>
        </is>
      </c>
      <c r="D830" s="4" t="inlineStr">
        <is>
          <t>Organizer</t>
        </is>
      </c>
      <c r="E830" s="4" t="inlineStr"/>
    </row>
    <row r="831">
      <c r="A831" s="4" t="inlineStr">
        <is>
          <t>1227</t>
        </is>
      </c>
      <c r="B831" s="4" t="inlineStr">
        <is>
          <t>Voices</t>
        </is>
      </c>
      <c r="C831" s="4" t="inlineStr">
        <is>
          <t>organizer</t>
        </is>
      </c>
      <c r="D831" s="4" t="inlineStr">
        <is>
          <t>Organizer</t>
        </is>
      </c>
      <c r="E831" s="4" t="inlineStr"/>
    </row>
    <row r="832">
      <c r="A832" s="4" t="inlineStr">
        <is>
          <t>1240</t>
        </is>
      </c>
      <c r="B832" s="4" t="inlineStr">
        <is>
          <t>Wilderness Leadership Development</t>
        </is>
      </c>
      <c r="C832" s="4" t="inlineStr">
        <is>
          <t>organizer</t>
        </is>
      </c>
      <c r="D832" s="4" t="inlineStr">
        <is>
          <t>Organizer</t>
        </is>
      </c>
      <c r="E832" s="4" t="inlineStr"/>
    </row>
    <row r="833">
      <c r="A833" s="4" t="inlineStr">
        <is>
          <t>1238</t>
        </is>
      </c>
      <c r="B833" s="4" t="inlineStr">
        <is>
          <t>Wine Society</t>
        </is>
      </c>
      <c r="C833" s="4" t="inlineStr">
        <is>
          <t>organizer</t>
        </is>
      </c>
      <c r="D833" s="4" t="inlineStr">
        <is>
          <t>Organizer</t>
        </is>
      </c>
      <c r="E833" s="4" t="inlineStr"/>
    </row>
    <row r="834">
      <c r="A834" s="4" t="inlineStr">
        <is>
          <t>1248</t>
        </is>
      </c>
      <c r="B834" s="4" t="inlineStr">
        <is>
          <t>Women In Management</t>
        </is>
      </c>
      <c r="C834" s="4" t="inlineStr">
        <is>
          <t>organizer</t>
        </is>
      </c>
      <c r="D834" s="4" t="inlineStr">
        <is>
          <t>Organizer</t>
        </is>
      </c>
      <c r="E834" s="4" t="inlineStr"/>
    </row>
    <row r="835">
      <c r="A835" s="4" t="inlineStr">
        <is>
          <t>1442</t>
        </is>
      </c>
      <c r="B835" s="4" t="inlineStr">
        <is>
          <t>Women In Management Club</t>
        </is>
      </c>
      <c r="C835" s="4" t="inlineStr">
        <is>
          <t>organizer</t>
        </is>
      </c>
      <c r="D835" s="4" t="inlineStr">
        <is>
          <t>Organizer</t>
        </is>
      </c>
      <c r="E835" s="4" t="inlineStr"/>
    </row>
    <row r="836">
      <c r="A836" s="4" t="inlineStr">
        <is>
          <t>1770</t>
        </is>
      </c>
      <c r="B836" s="4" t="inlineStr">
        <is>
          <t>Women's Faculty Forum</t>
        </is>
      </c>
      <c r="C836" s="4" t="inlineStr">
        <is>
          <t>organizer</t>
        </is>
      </c>
      <c r="D836" s="4" t="inlineStr">
        <is>
          <t>Organizer</t>
        </is>
      </c>
      <c r="E836" s="4" t="inlineStr"/>
    </row>
    <row r="837">
      <c r="A837" s="4" t="inlineStr">
        <is>
          <t>1479</t>
        </is>
      </c>
      <c r="B837" s="4" t="inlineStr">
        <is>
          <t>Women's Mental Health Conference</t>
        </is>
      </c>
      <c r="C837" s="4" t="inlineStr">
        <is>
          <t>organizer</t>
        </is>
      </c>
      <c r="D837" s="4" t="inlineStr">
        <is>
          <t>Organizer</t>
        </is>
      </c>
      <c r="E837" s="4" t="inlineStr"/>
    </row>
    <row r="838">
      <c r="A838" s="4" t="inlineStr">
        <is>
          <t>1398</t>
        </is>
      </c>
      <c r="B838" s="4" t="inlineStr">
        <is>
          <t>Working Women's Network</t>
        </is>
      </c>
      <c r="C838" s="4" t="inlineStr">
        <is>
          <t>organizer</t>
        </is>
      </c>
      <c r="D838" s="4" t="inlineStr">
        <is>
          <t>Organizer</t>
        </is>
      </c>
      <c r="E838" s="4" t="inlineStr"/>
    </row>
    <row r="839">
      <c r="A839" s="4" t="inlineStr">
        <is>
          <t>1735</t>
        </is>
      </c>
      <c r="B839" s="4" t="inlineStr">
        <is>
          <t>Wu Tsai Institute &amp; Yale Peabody Museum</t>
        </is>
      </c>
      <c r="C839" s="4" t="inlineStr">
        <is>
          <t>organizer</t>
        </is>
      </c>
      <c r="D839" s="4" t="inlineStr">
        <is>
          <t>Organizer</t>
        </is>
      </c>
      <c r="E839" s="4" t="inlineStr"/>
    </row>
    <row r="840">
      <c r="A840" s="4" t="inlineStr">
        <is>
          <t>1439</t>
        </is>
      </c>
      <c r="B840" s="4" t="inlineStr">
        <is>
          <t>Wu Tsai Institute at Yale</t>
        </is>
      </c>
      <c r="C840" s="4" t="inlineStr">
        <is>
          <t>organizer</t>
        </is>
      </c>
      <c r="D840" s="4" t="inlineStr">
        <is>
          <t>Organizer</t>
        </is>
      </c>
      <c r="E840" s="4" t="inlineStr"/>
    </row>
    <row r="841">
      <c r="A841" s="4" t="inlineStr">
        <is>
          <t>1739</t>
        </is>
      </c>
      <c r="B841" s="4" t="inlineStr">
        <is>
          <t>Yale</t>
        </is>
      </c>
      <c r="C841" s="4" t="inlineStr">
        <is>
          <t>organizer</t>
        </is>
      </c>
      <c r="D841" s="4" t="inlineStr">
        <is>
          <t>Organizer</t>
        </is>
      </c>
      <c r="E841" s="4" t="inlineStr"/>
    </row>
    <row r="842">
      <c r="A842" s="4" t="inlineStr">
        <is>
          <t>1524</t>
        </is>
      </c>
      <c r="B842" s="4" t="inlineStr">
        <is>
          <t>Yale  Poorvu Center for Teaching and Learning</t>
        </is>
      </c>
      <c r="C842" s="4" t="inlineStr">
        <is>
          <t>organizer</t>
        </is>
      </c>
      <c r="D842" s="4" t="inlineStr">
        <is>
          <t>Organizer</t>
        </is>
      </c>
      <c r="E842" s="4" t="inlineStr"/>
    </row>
    <row r="843">
      <c r="A843" s="4" t="inlineStr">
        <is>
          <t>1557</t>
        </is>
      </c>
      <c r="B843" s="4" t="inlineStr">
        <is>
          <t>Yale  SOM Arts &amp; Culture Club + Yale Blockchain Club</t>
        </is>
      </c>
      <c r="C843" s="4" t="inlineStr">
        <is>
          <t>organizer</t>
        </is>
      </c>
      <c r="D843" s="4" t="inlineStr">
        <is>
          <t>Organizer</t>
        </is>
      </c>
      <c r="E843" s="4" t="inlineStr"/>
    </row>
    <row r="844">
      <c r="A844" s="4" t="inlineStr">
        <is>
          <t>1488</t>
        </is>
      </c>
      <c r="B844" s="4" t="inlineStr">
        <is>
          <t>Yale Affinity Groups</t>
        </is>
      </c>
      <c r="C844" s="4" t="inlineStr">
        <is>
          <t>organizer</t>
        </is>
      </c>
      <c r="D844" s="4" t="inlineStr">
        <is>
          <t>Organizer</t>
        </is>
      </c>
      <c r="E844" s="4" t="inlineStr"/>
    </row>
    <row r="845">
      <c r="A845" s="4" t="inlineStr">
        <is>
          <t>1426</t>
        </is>
      </c>
      <c r="B845" s="4" t="inlineStr">
        <is>
          <t>Yale Africa Innovation Symposium II</t>
        </is>
      </c>
      <c r="C845" s="4" t="inlineStr">
        <is>
          <t>organizer</t>
        </is>
      </c>
      <c r="D845" s="4" t="inlineStr">
        <is>
          <t>Organizer</t>
        </is>
      </c>
      <c r="E845" s="4" t="inlineStr"/>
    </row>
    <row r="846">
      <c r="A846" s="4" t="inlineStr">
        <is>
          <t>1591</t>
        </is>
      </c>
      <c r="B846" s="4" t="inlineStr">
        <is>
          <t>Yale Artificial Intelligence Association &amp; Y-SIM</t>
        </is>
      </c>
      <c r="C846" s="4" t="inlineStr">
        <is>
          <t>organizer</t>
        </is>
      </c>
      <c r="D846" s="4" t="inlineStr">
        <is>
          <t>Organizer</t>
        </is>
      </c>
      <c r="E846" s="4" t="inlineStr"/>
    </row>
    <row r="847">
      <c r="A847" s="4" t="inlineStr">
        <is>
          <t>1733</t>
        </is>
      </c>
      <c r="B847" s="4" t="inlineStr">
        <is>
          <t>Yale Athletics</t>
        </is>
      </c>
      <c r="C847" s="4" t="inlineStr">
        <is>
          <t>organizer</t>
        </is>
      </c>
      <c r="D847" s="4" t="inlineStr">
        <is>
          <t>Organizer</t>
        </is>
      </c>
      <c r="E847" s="4" t="inlineStr"/>
    </row>
    <row r="848">
      <c r="A848" s="4" t="inlineStr">
        <is>
          <t>1615</t>
        </is>
      </c>
      <c r="B848" s="4" t="inlineStr">
        <is>
          <t>Yale Athletics</t>
        </is>
      </c>
      <c r="C848" s="4" t="inlineStr">
        <is>
          <t>organizer</t>
        </is>
      </c>
      <c r="D848" s="4" t="inlineStr">
        <is>
          <t>Organizer</t>
        </is>
      </c>
      <c r="E848" s="4" t="inlineStr"/>
    </row>
    <row r="849">
      <c r="A849" s="4" t="inlineStr">
        <is>
          <t>1751</t>
        </is>
      </c>
      <c r="B849" s="4" t="inlineStr">
        <is>
          <t>Yale Biotech Club</t>
        </is>
      </c>
      <c r="C849" s="4" t="inlineStr">
        <is>
          <t>organizer</t>
        </is>
      </c>
      <c r="D849" s="4" t="inlineStr">
        <is>
          <t>Organizer</t>
        </is>
      </c>
      <c r="E849" s="4" t="inlineStr"/>
    </row>
    <row r="850">
      <c r="A850" s="4" t="inlineStr">
        <is>
          <t>1614</t>
        </is>
      </c>
      <c r="B850" s="4" t="inlineStr">
        <is>
          <t>Yale Black Business Alliance</t>
        </is>
      </c>
      <c r="C850" s="4" t="inlineStr">
        <is>
          <t>organizer</t>
        </is>
      </c>
      <c r="D850" s="4" t="inlineStr">
        <is>
          <t>Organizer</t>
        </is>
      </c>
      <c r="E850" s="4" t="inlineStr"/>
    </row>
    <row r="851">
      <c r="A851" s="4" t="inlineStr">
        <is>
          <t>1727</t>
        </is>
      </c>
      <c r="B851" s="4" t="inlineStr">
        <is>
          <t>Yale Black Studies Department</t>
        </is>
      </c>
      <c r="C851" s="4" t="inlineStr">
        <is>
          <t>organizer</t>
        </is>
      </c>
      <c r="D851" s="4" t="inlineStr">
        <is>
          <t>Organizer</t>
        </is>
      </c>
      <c r="E851" s="4" t="inlineStr"/>
    </row>
    <row r="852">
      <c r="A852" s="4" t="inlineStr">
        <is>
          <t>1596</t>
        </is>
      </c>
      <c r="B852" s="4" t="inlineStr">
        <is>
          <t>Yale Blockchain Club</t>
        </is>
      </c>
      <c r="C852" s="4" t="inlineStr">
        <is>
          <t>organizer</t>
        </is>
      </c>
      <c r="D852" s="4" t="inlineStr">
        <is>
          <t>Organizer</t>
        </is>
      </c>
      <c r="E852" s="4" t="inlineStr"/>
    </row>
    <row r="853">
      <c r="A853" s="4" t="inlineStr">
        <is>
          <t>1516</t>
        </is>
      </c>
      <c r="B853" s="4" t="inlineStr">
        <is>
          <t>Yale Campus Health</t>
        </is>
      </c>
      <c r="C853" s="4" t="inlineStr">
        <is>
          <t>organizer</t>
        </is>
      </c>
      <c r="D853" s="4" t="inlineStr">
        <is>
          <t>Organizer</t>
        </is>
      </c>
      <c r="E853" s="4" t="inlineStr"/>
    </row>
    <row r="854">
      <c r="A854" s="4" t="inlineStr">
        <is>
          <t>1758</t>
        </is>
      </c>
      <c r="B854" s="4" t="inlineStr">
        <is>
          <t>Yale Campus Health</t>
        </is>
      </c>
      <c r="C854" s="4" t="inlineStr">
        <is>
          <t>organizer</t>
        </is>
      </c>
      <c r="D854" s="4" t="inlineStr">
        <is>
          <t>Organizer</t>
        </is>
      </c>
      <c r="E854" s="4" t="inlineStr"/>
    </row>
    <row r="855">
      <c r="A855" s="4" t="inlineStr">
        <is>
          <t>1336</t>
        </is>
      </c>
      <c r="B855" s="4" t="inlineStr">
        <is>
          <t>Yale Campus Security</t>
        </is>
      </c>
      <c r="C855" s="4" t="inlineStr">
        <is>
          <t>organizer</t>
        </is>
      </c>
      <c r="D855" s="4" t="inlineStr">
        <is>
          <t>Organizer</t>
        </is>
      </c>
      <c r="E855" s="4" t="inlineStr"/>
    </row>
    <row r="856">
      <c r="A856" s="4" t="inlineStr">
        <is>
          <t>1620</t>
        </is>
      </c>
      <c r="B856" s="4" t="inlineStr">
        <is>
          <t>Yale Center Beijing</t>
        </is>
      </c>
      <c r="C856" s="4" t="inlineStr">
        <is>
          <t>organizer</t>
        </is>
      </c>
      <c r="D856" s="4" t="inlineStr">
        <is>
          <t>Organizer</t>
        </is>
      </c>
      <c r="E856" s="4" t="inlineStr"/>
    </row>
    <row r="857">
      <c r="A857" s="4" t="inlineStr">
        <is>
          <t>1703</t>
        </is>
      </c>
      <c r="B857" s="4" t="inlineStr">
        <is>
          <t>Yale Center Beijing &amp; Yale SOM</t>
        </is>
      </c>
      <c r="C857" s="4" t="inlineStr">
        <is>
          <t>organizer</t>
        </is>
      </c>
      <c r="D857" s="4" t="inlineStr">
        <is>
          <t>Organizer</t>
        </is>
      </c>
      <c r="E857" s="4" t="inlineStr"/>
    </row>
    <row r="858">
      <c r="A858" s="4" t="inlineStr">
        <is>
          <t>1601</t>
        </is>
      </c>
      <c r="B858" s="4" t="inlineStr">
        <is>
          <t>Yale Center for British Art</t>
        </is>
      </c>
      <c r="C858" s="4" t="inlineStr">
        <is>
          <t>organizer</t>
        </is>
      </c>
      <c r="D858" s="4" t="inlineStr">
        <is>
          <t>Organizer</t>
        </is>
      </c>
      <c r="E858" s="4" t="inlineStr"/>
    </row>
    <row r="859">
      <c r="A859" s="4" t="inlineStr">
        <is>
          <t>1490</t>
        </is>
      </c>
      <c r="B859" s="4" t="inlineStr">
        <is>
          <t>Yale Center for British Arts</t>
        </is>
      </c>
      <c r="C859" s="4" t="inlineStr">
        <is>
          <t>organizer</t>
        </is>
      </c>
      <c r="D859" s="4" t="inlineStr">
        <is>
          <t>Organizer</t>
        </is>
      </c>
      <c r="E859" s="4" t="inlineStr"/>
    </row>
    <row r="860">
      <c r="A860" s="4" t="inlineStr">
        <is>
          <t>1304</t>
        </is>
      </c>
      <c r="B860" s="4" t="inlineStr">
        <is>
          <t>Yale Center for Business &amp; the Environment</t>
        </is>
      </c>
      <c r="C860" s="4" t="inlineStr">
        <is>
          <t>organizer</t>
        </is>
      </c>
      <c r="D860" s="4" t="inlineStr">
        <is>
          <t>Organizer</t>
        </is>
      </c>
      <c r="E860" s="4" t="inlineStr"/>
    </row>
    <row r="861">
      <c r="A861" s="4" t="inlineStr">
        <is>
          <t>1253</t>
        </is>
      </c>
      <c r="B861" s="4" t="inlineStr">
        <is>
          <t>Yale Center for Customer Insights</t>
        </is>
      </c>
      <c r="C861" s="4" t="inlineStr">
        <is>
          <t>organizer</t>
        </is>
      </c>
      <c r="D861" s="4" t="inlineStr">
        <is>
          <t>Organizer</t>
        </is>
      </c>
      <c r="E861" s="4" t="inlineStr"/>
    </row>
    <row r="862">
      <c r="A862" s="4" t="inlineStr">
        <is>
          <t>1740</t>
        </is>
      </c>
      <c r="B862" s="4" t="inlineStr">
        <is>
          <t>Yale Center for Environmental Justice</t>
        </is>
      </c>
      <c r="C862" s="4" t="inlineStr">
        <is>
          <t>organizer</t>
        </is>
      </c>
      <c r="D862" s="4" t="inlineStr">
        <is>
          <t>Organizer</t>
        </is>
      </c>
      <c r="E862" s="4" t="inlineStr"/>
    </row>
    <row r="863">
      <c r="A863" s="4" t="inlineStr">
        <is>
          <t>1617</t>
        </is>
      </c>
      <c r="B863" s="4" t="inlineStr">
        <is>
          <t>Yale Center for Environmental Law and Policy</t>
        </is>
      </c>
      <c r="C863" s="4" t="inlineStr">
        <is>
          <t>organizer</t>
        </is>
      </c>
      <c r="D863" s="4" t="inlineStr">
        <is>
          <t>Organizer</t>
        </is>
      </c>
      <c r="E863" s="4" t="inlineStr"/>
    </row>
    <row r="864">
      <c r="A864" s="4" t="inlineStr">
        <is>
          <t>1612</t>
        </is>
      </c>
      <c r="B864" s="4" t="inlineStr">
        <is>
          <t>Yale Center for International Finance</t>
        </is>
      </c>
      <c r="C864" s="4" t="inlineStr">
        <is>
          <t>organizer</t>
        </is>
      </c>
      <c r="D864" s="4" t="inlineStr">
        <is>
          <t>Organizer</t>
        </is>
      </c>
      <c r="E864" s="4" t="inlineStr"/>
    </row>
    <row r="865">
      <c r="A865" s="4" t="inlineStr">
        <is>
          <t>1721</t>
        </is>
      </c>
      <c r="B865" s="4" t="inlineStr">
        <is>
          <t>Yale Center for International Finance &amp; Yale Alumni Real Estate Association</t>
        </is>
      </c>
      <c r="C865" s="4" t="inlineStr">
        <is>
          <t>organizer</t>
        </is>
      </c>
      <c r="D865" s="4" t="inlineStr">
        <is>
          <t>Organizer</t>
        </is>
      </c>
      <c r="E865" s="4" t="inlineStr"/>
    </row>
    <row r="866">
      <c r="A866" s="4" t="inlineStr">
        <is>
          <t>1437</t>
        </is>
      </c>
      <c r="B866" s="4" t="inlineStr">
        <is>
          <t>Yale Center for International Finance and Yale SOM AI Group</t>
        </is>
      </c>
      <c r="C866" s="4" t="inlineStr">
        <is>
          <t>organizer</t>
        </is>
      </c>
      <c r="D866" s="4" t="inlineStr">
        <is>
          <t>Organizer</t>
        </is>
      </c>
      <c r="E866" s="4" t="inlineStr"/>
    </row>
    <row r="867">
      <c r="A867" s="4" t="inlineStr">
        <is>
          <t>1760</t>
        </is>
      </c>
      <c r="B867" s="4" t="inlineStr">
        <is>
          <t>Yale Center for the Study of Corporate Law</t>
        </is>
      </c>
      <c r="C867" s="4" t="inlineStr">
        <is>
          <t>organizer</t>
        </is>
      </c>
      <c r="D867" s="4" t="inlineStr">
        <is>
          <t>Organizer</t>
        </is>
      </c>
      <c r="E867" s="4" t="inlineStr"/>
    </row>
    <row r="868">
      <c r="A868" s="4" t="inlineStr">
        <is>
          <t>1726</t>
        </is>
      </c>
      <c r="B868" s="4" t="inlineStr">
        <is>
          <t>Yale Clean Energy Conference &amp; Dean's Office</t>
        </is>
      </c>
      <c r="C868" s="4" t="inlineStr">
        <is>
          <t>organizer</t>
        </is>
      </c>
      <c r="D868" s="4" t="inlineStr">
        <is>
          <t>Organizer</t>
        </is>
      </c>
      <c r="E868" s="4" t="inlineStr"/>
    </row>
    <row r="869">
      <c r="A869" s="4" t="inlineStr">
        <is>
          <t>1495</t>
        </is>
      </c>
      <c r="B869" s="4" t="inlineStr">
        <is>
          <t>Yale College</t>
        </is>
      </c>
      <c r="C869" s="4" t="inlineStr">
        <is>
          <t>organizer</t>
        </is>
      </c>
      <c r="D869" s="4" t="inlineStr">
        <is>
          <t>Organizer</t>
        </is>
      </c>
      <c r="E869" s="4" t="inlineStr"/>
    </row>
    <row r="870">
      <c r="A870" s="4" t="inlineStr">
        <is>
          <t>1711</t>
        </is>
      </c>
      <c r="B870" s="4" t="inlineStr">
        <is>
          <t>Yale College</t>
        </is>
      </c>
      <c r="C870" s="4" t="inlineStr">
        <is>
          <t>organizer</t>
        </is>
      </c>
      <c r="D870" s="4" t="inlineStr">
        <is>
          <t>Organizer</t>
        </is>
      </c>
      <c r="E870" s="4" t="inlineStr"/>
    </row>
    <row r="871">
      <c r="A871" s="4" t="inlineStr">
        <is>
          <t>1747</t>
        </is>
      </c>
      <c r="B871" s="4" t="inlineStr">
        <is>
          <t>Yale Committee on Trust in Higher Education</t>
        </is>
      </c>
      <c r="C871" s="4" t="inlineStr">
        <is>
          <t>organizer</t>
        </is>
      </c>
      <c r="D871" s="4" t="inlineStr">
        <is>
          <t>Organizer</t>
        </is>
      </c>
      <c r="E871" s="4" t="inlineStr"/>
    </row>
    <row r="872">
      <c r="A872" s="4" t="inlineStr">
        <is>
          <t>1624</t>
        </is>
      </c>
      <c r="B872" s="4" t="inlineStr">
        <is>
          <t>Yale Department of Psychiatry.</t>
        </is>
      </c>
      <c r="C872" s="4" t="inlineStr">
        <is>
          <t>organizer</t>
        </is>
      </c>
      <c r="D872" s="4" t="inlineStr">
        <is>
          <t>Organizer</t>
        </is>
      </c>
      <c r="E872" s="4" t="inlineStr"/>
    </row>
    <row r="873">
      <c r="A873" s="4" t="inlineStr">
        <is>
          <t>1366</t>
        </is>
      </c>
      <c r="B873" s="4" t="inlineStr">
        <is>
          <t>Yale Digital Ethics Center</t>
        </is>
      </c>
      <c r="C873" s="4" t="inlineStr">
        <is>
          <t>organizer</t>
        </is>
      </c>
      <c r="D873" s="4" t="inlineStr">
        <is>
          <t>Organizer</t>
        </is>
      </c>
      <c r="E873" s="4" t="inlineStr"/>
    </row>
    <row r="874">
      <c r="A874" s="4" t="inlineStr">
        <is>
          <t>1458</t>
        </is>
      </c>
      <c r="B874" s="4" t="inlineStr">
        <is>
          <t>Yale Economic Growth Center</t>
        </is>
      </c>
      <c r="C874" s="4" t="inlineStr">
        <is>
          <t>organizer</t>
        </is>
      </c>
      <c r="D874" s="4" t="inlineStr">
        <is>
          <t>Organizer</t>
        </is>
      </c>
      <c r="E874" s="4" t="inlineStr"/>
    </row>
    <row r="875">
      <c r="A875" s="4" t="inlineStr">
        <is>
          <t>1732</t>
        </is>
      </c>
      <c r="B875" s="4" t="inlineStr">
        <is>
          <t>Yale Economics Department &amp; Sky Campus Wellness</t>
        </is>
      </c>
      <c r="C875" s="4" t="inlineStr">
        <is>
          <t>organizer</t>
        </is>
      </c>
      <c r="D875" s="4" t="inlineStr">
        <is>
          <t>Organizer</t>
        </is>
      </c>
      <c r="E875" s="4" t="inlineStr"/>
    </row>
    <row r="876">
      <c r="A876" s="4" t="inlineStr">
        <is>
          <t>1602</t>
        </is>
      </c>
      <c r="B876" s="4" t="inlineStr">
        <is>
          <t>Yale Engineering</t>
        </is>
      </c>
      <c r="C876" s="4" t="inlineStr">
        <is>
          <t>organizer</t>
        </is>
      </c>
      <c r="D876" s="4" t="inlineStr">
        <is>
          <t>Organizer</t>
        </is>
      </c>
      <c r="E876" s="4" t="inlineStr"/>
    </row>
    <row r="877">
      <c r="A877" s="4" t="inlineStr">
        <is>
          <t>1741</t>
        </is>
      </c>
      <c r="B877" s="4" t="inlineStr">
        <is>
          <t>Yale Entrepreneurial Society &amp; The Yale Table</t>
        </is>
      </c>
      <c r="C877" s="4" t="inlineStr">
        <is>
          <t>organizer</t>
        </is>
      </c>
      <c r="D877" s="4" t="inlineStr">
        <is>
          <t>Organizer</t>
        </is>
      </c>
      <c r="E877" s="4" t="inlineStr"/>
    </row>
    <row r="878">
      <c r="A878" s="4" t="inlineStr">
        <is>
          <t>1529</t>
        </is>
      </c>
      <c r="B878" s="4" t="inlineStr">
        <is>
          <t>Yale Faculty Seminar Series</t>
        </is>
      </c>
      <c r="C878" s="4" t="inlineStr">
        <is>
          <t>organizer</t>
        </is>
      </c>
      <c r="D878" s="4" t="inlineStr">
        <is>
          <t>Organizer</t>
        </is>
      </c>
      <c r="E878" s="4" t="inlineStr"/>
    </row>
    <row r="879">
      <c r="A879" s="4" t="inlineStr">
        <is>
          <t>1288</t>
        </is>
      </c>
      <c r="B879" s="4" t="inlineStr">
        <is>
          <t>Yale Grad Crew</t>
        </is>
      </c>
      <c r="C879" s="4" t="inlineStr">
        <is>
          <t>organizer</t>
        </is>
      </c>
      <c r="D879" s="4" t="inlineStr">
        <is>
          <t>Organizer</t>
        </is>
      </c>
      <c r="E879" s="4" t="inlineStr"/>
    </row>
    <row r="880">
      <c r="A880" s="4" t="inlineStr">
        <is>
          <t>1380</t>
        </is>
      </c>
      <c r="B880" s="4" t="inlineStr">
        <is>
          <t>Yale Grad Rugby Football Club</t>
        </is>
      </c>
      <c r="C880" s="4" t="inlineStr">
        <is>
          <t>organizer</t>
        </is>
      </c>
      <c r="D880" s="4" t="inlineStr">
        <is>
          <t>Organizer</t>
        </is>
      </c>
      <c r="E880" s="4" t="inlineStr"/>
    </row>
    <row r="881">
      <c r="A881" s="4" t="inlineStr">
        <is>
          <t>1525</t>
        </is>
      </c>
      <c r="B881" s="4" t="inlineStr">
        <is>
          <t>Yale Health</t>
        </is>
      </c>
      <c r="C881" s="4" t="inlineStr">
        <is>
          <t>organizer</t>
        </is>
      </c>
      <c r="D881" s="4" t="inlineStr">
        <is>
          <t>Organizer</t>
        </is>
      </c>
      <c r="E881" s="4" t="inlineStr"/>
    </row>
    <row r="882">
      <c r="A882" s="4" t="inlineStr">
        <is>
          <t>1718</t>
        </is>
      </c>
      <c r="B882" s="4" t="inlineStr">
        <is>
          <t>Yale Health</t>
        </is>
      </c>
      <c r="C882" s="4" t="inlineStr">
        <is>
          <t>organizer</t>
        </is>
      </c>
      <c r="D882" s="4" t="inlineStr">
        <is>
          <t>Organizer</t>
        </is>
      </c>
      <c r="E882" s="4" t="inlineStr"/>
    </row>
    <row r="883">
      <c r="A883" s="4" t="inlineStr">
        <is>
          <t>1410</t>
        </is>
      </c>
      <c r="B883" s="4" t="inlineStr">
        <is>
          <t>Yale Health Plan</t>
        </is>
      </c>
      <c r="C883" s="4" t="inlineStr">
        <is>
          <t>organizer</t>
        </is>
      </c>
      <c r="D883" s="4" t="inlineStr">
        <is>
          <t>Organizer</t>
        </is>
      </c>
      <c r="E883" s="4" t="inlineStr"/>
    </row>
    <row r="884">
      <c r="A884" s="4" t="inlineStr">
        <is>
          <t>1537</t>
        </is>
      </c>
      <c r="B884" s="4" t="inlineStr">
        <is>
          <t>Yale HR-United Way</t>
        </is>
      </c>
      <c r="C884" s="4" t="inlineStr">
        <is>
          <t>organizer</t>
        </is>
      </c>
      <c r="D884" s="4" t="inlineStr">
        <is>
          <t>Organizer</t>
        </is>
      </c>
      <c r="E884" s="4" t="inlineStr"/>
    </row>
    <row r="885">
      <c r="A885" s="4" t="inlineStr">
        <is>
          <t>1563</t>
        </is>
      </c>
      <c r="B885" s="4" t="inlineStr">
        <is>
          <t>Yale Hunger and Homelessness Action Project</t>
        </is>
      </c>
      <c r="C885" s="4" t="inlineStr">
        <is>
          <t>organizer</t>
        </is>
      </c>
      <c r="D885" s="4" t="inlineStr">
        <is>
          <t>Organizer</t>
        </is>
      </c>
      <c r="E885" s="4" t="inlineStr"/>
    </row>
    <row r="886">
      <c r="A886" s="4" t="inlineStr">
        <is>
          <t>1613</t>
        </is>
      </c>
      <c r="B886" s="4" t="inlineStr">
        <is>
          <t>Yale Hunger and Homelessness Action Project</t>
        </is>
      </c>
      <c r="C886" s="4" t="inlineStr">
        <is>
          <t>organizer</t>
        </is>
      </c>
      <c r="D886" s="4" t="inlineStr">
        <is>
          <t>Organizer</t>
        </is>
      </c>
      <c r="E886" s="4" t="inlineStr"/>
    </row>
    <row r="887">
      <c r="A887" s="4" t="inlineStr">
        <is>
          <t>1427</t>
        </is>
      </c>
      <c r="B887" s="4" t="inlineStr">
        <is>
          <t>Yale Informational Technology Services</t>
        </is>
      </c>
      <c r="C887" s="4" t="inlineStr">
        <is>
          <t>organizer</t>
        </is>
      </c>
      <c r="D887" s="4" t="inlineStr">
        <is>
          <t>Organizer</t>
        </is>
      </c>
      <c r="E887" s="4" t="inlineStr"/>
    </row>
    <row r="888">
      <c r="A888" s="4" t="inlineStr">
        <is>
          <t>1312</t>
        </is>
      </c>
      <c r="B888" s="4" t="inlineStr">
        <is>
          <t>Yale Insights</t>
        </is>
      </c>
      <c r="C888" s="4" t="inlineStr">
        <is>
          <t>organizer</t>
        </is>
      </c>
      <c r="D888" s="4" t="inlineStr">
        <is>
          <t>Organizer</t>
        </is>
      </c>
      <c r="E888" s="4" t="inlineStr"/>
    </row>
    <row r="889">
      <c r="A889" s="4" t="inlineStr">
        <is>
          <t>1480</t>
        </is>
      </c>
      <c r="B889" s="4" t="inlineStr">
        <is>
          <t>Yale Institute for Biospheric Studies</t>
        </is>
      </c>
      <c r="C889" s="4" t="inlineStr">
        <is>
          <t>organizer</t>
        </is>
      </c>
      <c r="D889" s="4" t="inlineStr">
        <is>
          <t>Organizer</t>
        </is>
      </c>
      <c r="E889" s="4" t="inlineStr"/>
    </row>
    <row r="890">
      <c r="A890" s="4" t="inlineStr">
        <is>
          <t>1712</t>
        </is>
      </c>
      <c r="B890" s="4" t="inlineStr">
        <is>
          <t>Yale Institute for Global Health</t>
        </is>
      </c>
      <c r="C890" s="4" t="inlineStr">
        <is>
          <t>organizer</t>
        </is>
      </c>
      <c r="D890" s="4" t="inlineStr">
        <is>
          <t>Organizer</t>
        </is>
      </c>
      <c r="E890" s="4" t="inlineStr"/>
    </row>
    <row r="891">
      <c r="A891" s="4" t="inlineStr">
        <is>
          <t>1385</t>
        </is>
      </c>
      <c r="B891" s="4" t="inlineStr">
        <is>
          <t>Yale Institution for Social and Policy Studies</t>
        </is>
      </c>
      <c r="C891" s="4" t="inlineStr">
        <is>
          <t>organizer</t>
        </is>
      </c>
      <c r="D891" s="4" t="inlineStr">
        <is>
          <t>Organizer</t>
        </is>
      </c>
      <c r="E891" s="4" t="inlineStr"/>
    </row>
    <row r="892">
      <c r="A892" s="4" t="inlineStr">
        <is>
          <t>1564</t>
        </is>
      </c>
      <c r="B892" s="4" t="inlineStr">
        <is>
          <t>Yale Jackson School of Global Affairs</t>
        </is>
      </c>
      <c r="C892" s="4" t="inlineStr">
        <is>
          <t>organizer</t>
        </is>
      </c>
      <c r="D892" s="4" t="inlineStr">
        <is>
          <t>Organizer</t>
        </is>
      </c>
      <c r="E892" s="4" t="inlineStr"/>
    </row>
    <row r="893">
      <c r="A893" s="4" t="inlineStr">
        <is>
          <t>1453</t>
        </is>
      </c>
      <c r="B893" s="4" t="inlineStr">
        <is>
          <t>Yale Law &amp; Business Society &amp; The Chae Initiative in Private Sector Leadership</t>
        </is>
      </c>
      <c r="C893" s="4" t="inlineStr">
        <is>
          <t>organizer</t>
        </is>
      </c>
      <c r="D893" s="4" t="inlineStr">
        <is>
          <t>Organizer</t>
        </is>
      </c>
      <c r="E893" s="4" t="inlineStr"/>
    </row>
    <row r="894">
      <c r="A894" s="4" t="inlineStr">
        <is>
          <t>1381</t>
        </is>
      </c>
      <c r="B894" s="4" t="inlineStr">
        <is>
          <t>Yale Law Center for the Study of Corporate Law</t>
        </is>
      </c>
      <c r="C894" s="4" t="inlineStr">
        <is>
          <t>organizer</t>
        </is>
      </c>
      <c r="D894" s="4" t="inlineStr">
        <is>
          <t>Organizer</t>
        </is>
      </c>
      <c r="E894" s="4" t="inlineStr"/>
    </row>
    <row r="895">
      <c r="A895" s="4" t="inlineStr">
        <is>
          <t>1313</t>
        </is>
      </c>
      <c r="B895" s="4" t="inlineStr">
        <is>
          <t>Yale Law School</t>
        </is>
      </c>
      <c r="C895" s="4" t="inlineStr">
        <is>
          <t>organizer</t>
        </is>
      </c>
      <c r="D895" s="4" t="inlineStr">
        <is>
          <t>Organizer</t>
        </is>
      </c>
      <c r="E895" s="4" t="inlineStr"/>
    </row>
    <row r="896">
      <c r="A896" s="4" t="inlineStr">
        <is>
          <t>1449</t>
        </is>
      </c>
      <c r="B896" s="4" t="inlineStr">
        <is>
          <t>Yale Law School &amp; Thurman Arnold Project at Yale</t>
        </is>
      </c>
      <c r="C896" s="4" t="inlineStr">
        <is>
          <t>organizer</t>
        </is>
      </c>
      <c r="D896" s="4" t="inlineStr">
        <is>
          <t>Organizer</t>
        </is>
      </c>
      <c r="E896" s="4" t="inlineStr"/>
    </row>
    <row r="897">
      <c r="A897" s="4" t="inlineStr">
        <is>
          <t>1716</t>
        </is>
      </c>
      <c r="B897" s="4" t="inlineStr">
        <is>
          <t>Yale Law School &amp; Yale School of Public Health</t>
        </is>
      </c>
      <c r="C897" s="4" t="inlineStr">
        <is>
          <t>organizer</t>
        </is>
      </c>
      <c r="D897" s="4" t="inlineStr">
        <is>
          <t>Organizer</t>
        </is>
      </c>
      <c r="E897" s="4" t="inlineStr"/>
    </row>
    <row r="898">
      <c r="A898" s="4" t="inlineStr">
        <is>
          <t>1651</t>
        </is>
      </c>
      <c r="B898" s="4" t="inlineStr">
        <is>
          <t>Yale Law School &amp; Yale School of the Environment</t>
        </is>
      </c>
      <c r="C898" s="4" t="inlineStr">
        <is>
          <t>organizer</t>
        </is>
      </c>
      <c r="D898" s="4" t="inlineStr">
        <is>
          <t>Organizer</t>
        </is>
      </c>
      <c r="E898" s="4" t="inlineStr"/>
    </row>
    <row r="899">
      <c r="A899" s="4" t="inlineStr">
        <is>
          <t>1523</t>
        </is>
      </c>
      <c r="B899" s="4" t="inlineStr">
        <is>
          <t>Yale Law School Center for the Study of Corporate Law</t>
        </is>
      </c>
      <c r="C899" s="4" t="inlineStr">
        <is>
          <t>organizer</t>
        </is>
      </c>
      <c r="D899" s="4" t="inlineStr">
        <is>
          <t>Organizer</t>
        </is>
      </c>
      <c r="E899" s="4" t="inlineStr"/>
    </row>
    <row r="900">
      <c r="A900" s="4" t="inlineStr">
        <is>
          <t>1447</t>
        </is>
      </c>
      <c r="B900" s="4" t="inlineStr">
        <is>
          <t>Yale Law School Ludwig Program in Public Sector Leadership</t>
        </is>
      </c>
      <c r="C900" s="4" t="inlineStr">
        <is>
          <t>organizer</t>
        </is>
      </c>
      <c r="D900" s="4" t="inlineStr">
        <is>
          <t>Organizer</t>
        </is>
      </c>
      <c r="E900" s="4" t="inlineStr"/>
    </row>
    <row r="901">
      <c r="A901" s="4" t="inlineStr">
        <is>
          <t>1657</t>
        </is>
      </c>
      <c r="B901" s="4" t="inlineStr">
        <is>
          <t>Yale Learn and Grow</t>
        </is>
      </c>
      <c r="C901" s="4" t="inlineStr">
        <is>
          <t>organizer</t>
        </is>
      </c>
      <c r="D901" s="4" t="inlineStr">
        <is>
          <t>Organizer</t>
        </is>
      </c>
      <c r="E901" s="4" t="inlineStr"/>
    </row>
    <row r="902">
      <c r="A902" s="4" t="inlineStr">
        <is>
          <t>1483</t>
        </is>
      </c>
      <c r="B902" s="4" t="inlineStr">
        <is>
          <t>Yale LGBTQ</t>
        </is>
      </c>
      <c r="C902" s="4" t="inlineStr">
        <is>
          <t>organizer</t>
        </is>
      </c>
      <c r="D902" s="4" t="inlineStr">
        <is>
          <t>Organizer</t>
        </is>
      </c>
      <c r="E902" s="4" t="inlineStr"/>
    </row>
    <row r="903">
      <c r="A903" s="4" t="inlineStr">
        <is>
          <t>1650</t>
        </is>
      </c>
      <c r="B903" s="4" t="inlineStr">
        <is>
          <t>Yale LGBTQ Center</t>
        </is>
      </c>
      <c r="C903" s="4" t="inlineStr">
        <is>
          <t>organizer</t>
        </is>
      </c>
      <c r="D903" s="4" t="inlineStr">
        <is>
          <t>Organizer</t>
        </is>
      </c>
      <c r="E903" s="4" t="inlineStr"/>
    </row>
    <row r="904">
      <c r="A904" s="4" t="inlineStr">
        <is>
          <t>1508</t>
        </is>
      </c>
      <c r="B904" s="4" t="inlineStr">
        <is>
          <t>Yale Library</t>
        </is>
      </c>
      <c r="C904" s="4" t="inlineStr">
        <is>
          <t>organizer</t>
        </is>
      </c>
      <c r="D904" s="4" t="inlineStr">
        <is>
          <t>Organizer</t>
        </is>
      </c>
      <c r="E904" s="4" t="inlineStr"/>
    </row>
    <row r="905">
      <c r="A905" s="4" t="inlineStr">
        <is>
          <t>1428</t>
        </is>
      </c>
      <c r="B905" s="4" t="inlineStr">
        <is>
          <t>Yale MacMillan Center</t>
        </is>
      </c>
      <c r="C905" s="4" t="inlineStr">
        <is>
          <t>organizer</t>
        </is>
      </c>
      <c r="D905" s="4" t="inlineStr">
        <is>
          <t>Organizer</t>
        </is>
      </c>
      <c r="E905" s="4" t="inlineStr"/>
    </row>
    <row r="906">
      <c r="A906" s="4" t="inlineStr">
        <is>
          <t>1511</t>
        </is>
      </c>
      <c r="B906" s="4" t="inlineStr">
        <is>
          <t>Yale Marketing Seminar</t>
        </is>
      </c>
      <c r="C906" s="4" t="inlineStr">
        <is>
          <t>organizer</t>
        </is>
      </c>
      <c r="D906" s="4" t="inlineStr">
        <is>
          <t>Organizer</t>
        </is>
      </c>
      <c r="E906" s="4" t="inlineStr"/>
    </row>
    <row r="907">
      <c r="A907" s="4" t="inlineStr">
        <is>
          <t>1429</t>
        </is>
      </c>
      <c r="B907" s="4" t="inlineStr">
        <is>
          <t>Yale Marketing Seminar Series</t>
        </is>
      </c>
      <c r="C907" s="4" t="inlineStr">
        <is>
          <t>organizer</t>
        </is>
      </c>
      <c r="D907" s="4" t="inlineStr">
        <is>
          <t>Organizer</t>
        </is>
      </c>
      <c r="E907" s="4" t="inlineStr"/>
    </row>
    <row r="908">
      <c r="A908" s="4" t="inlineStr">
        <is>
          <t>1468</t>
        </is>
      </c>
      <c r="B908" s="4" t="inlineStr">
        <is>
          <t>Yale Marketing Seminar Series</t>
        </is>
      </c>
      <c r="C908" s="4" t="inlineStr">
        <is>
          <t>organizer</t>
        </is>
      </c>
      <c r="D908" s="4" t="inlineStr">
        <is>
          <t>Organizer</t>
        </is>
      </c>
      <c r="E908" s="4" t="inlineStr"/>
    </row>
    <row r="909">
      <c r="A909" s="4" t="inlineStr">
        <is>
          <t>1536</t>
        </is>
      </c>
      <c r="B909" s="4" t="inlineStr">
        <is>
          <t>Yale Marketing Seminar Series</t>
        </is>
      </c>
      <c r="C909" s="4" t="inlineStr">
        <is>
          <t>organizer</t>
        </is>
      </c>
      <c r="D909" s="4" t="inlineStr">
        <is>
          <t>Organizer</t>
        </is>
      </c>
      <c r="E909" s="4" t="inlineStr"/>
    </row>
    <row r="910">
      <c r="A910" s="4" t="inlineStr">
        <is>
          <t>1440</t>
        </is>
      </c>
      <c r="B910" s="4" t="inlineStr">
        <is>
          <t>Yale News</t>
        </is>
      </c>
      <c r="C910" s="4" t="inlineStr">
        <is>
          <t>organizer</t>
        </is>
      </c>
      <c r="D910" s="4" t="inlineStr">
        <is>
          <t>Organizer</t>
        </is>
      </c>
      <c r="E910" s="4" t="inlineStr"/>
    </row>
    <row r="911">
      <c r="A911" s="4" t="inlineStr">
        <is>
          <t>1722</t>
        </is>
      </c>
      <c r="B911" s="4" t="inlineStr">
        <is>
          <t>Yale Office of Employee Engagement &amp; Workplace Culture</t>
        </is>
      </c>
      <c r="C911" s="4" t="inlineStr">
        <is>
          <t>organizer</t>
        </is>
      </c>
      <c r="D911" s="4" t="inlineStr">
        <is>
          <t>Organizer</t>
        </is>
      </c>
      <c r="E911" s="4" t="inlineStr"/>
    </row>
    <row r="912">
      <c r="A912" s="4" t="inlineStr">
        <is>
          <t>1598</t>
        </is>
      </c>
      <c r="B912" s="4" t="inlineStr">
        <is>
          <t>Yale Office of Inclusion &amp; Diversity &amp; Yale Working Women's Network</t>
        </is>
      </c>
      <c r="C912" s="4" t="inlineStr">
        <is>
          <t>organizer</t>
        </is>
      </c>
      <c r="D912" s="4" t="inlineStr">
        <is>
          <t>Organizer</t>
        </is>
      </c>
      <c r="E912" s="4" t="inlineStr"/>
    </row>
    <row r="913">
      <c r="A913" s="4" t="inlineStr">
        <is>
          <t>1482</t>
        </is>
      </c>
      <c r="B913" s="4" t="inlineStr">
        <is>
          <t>Yale Office of International Affairs</t>
        </is>
      </c>
      <c r="C913" s="4" t="inlineStr">
        <is>
          <t>organizer</t>
        </is>
      </c>
      <c r="D913" s="4" t="inlineStr">
        <is>
          <t>Organizer</t>
        </is>
      </c>
      <c r="E913" s="4" t="inlineStr"/>
    </row>
    <row r="914">
      <c r="A914" s="4" t="inlineStr">
        <is>
          <t>1394</t>
        </is>
      </c>
      <c r="B914" s="4" t="inlineStr">
        <is>
          <t>Yale Office of LGBTQ Resources</t>
        </is>
      </c>
      <c r="C914" s="4" t="inlineStr">
        <is>
          <t>organizer</t>
        </is>
      </c>
      <c r="D914" s="4" t="inlineStr">
        <is>
          <t>Organizer</t>
        </is>
      </c>
      <c r="E914" s="4" t="inlineStr"/>
    </row>
    <row r="915">
      <c r="A915" s="4" t="inlineStr">
        <is>
          <t>1514</t>
        </is>
      </c>
      <c r="B915" s="4" t="inlineStr">
        <is>
          <t>Yale Office of Strategic Analysis</t>
        </is>
      </c>
      <c r="C915" s="4" t="inlineStr">
        <is>
          <t>organizer</t>
        </is>
      </c>
      <c r="D915" s="4" t="inlineStr">
        <is>
          <t>Organizer</t>
        </is>
      </c>
      <c r="E915" s="4" t="inlineStr"/>
    </row>
    <row r="916">
      <c r="A916" s="4" t="inlineStr">
        <is>
          <t>1472</t>
        </is>
      </c>
      <c r="B916" s="4" t="inlineStr">
        <is>
          <t>Yale Office of Sustainability</t>
        </is>
      </c>
      <c r="C916" s="4" t="inlineStr">
        <is>
          <t>organizer</t>
        </is>
      </c>
      <c r="D916" s="4" t="inlineStr">
        <is>
          <t>Organizer</t>
        </is>
      </c>
      <c r="E916" s="4" t="inlineStr"/>
    </row>
    <row r="917">
      <c r="A917" s="4" t="inlineStr">
        <is>
          <t>1701</t>
        </is>
      </c>
      <c r="B917" s="4" t="inlineStr">
        <is>
          <t>Yale Office of the President</t>
        </is>
      </c>
      <c r="C917" s="4" t="inlineStr">
        <is>
          <t>organizer</t>
        </is>
      </c>
      <c r="D917" s="4" t="inlineStr">
        <is>
          <t>Organizer</t>
        </is>
      </c>
      <c r="E917" s="4" t="inlineStr"/>
    </row>
    <row r="918">
      <c r="A918" s="4" t="inlineStr">
        <is>
          <t>1556</t>
        </is>
      </c>
      <c r="B918" s="4" t="inlineStr">
        <is>
          <t>Yale Office of the Secretary &amp; Vice President for Student Life</t>
        </is>
      </c>
      <c r="C918" s="4" t="inlineStr">
        <is>
          <t>organizer</t>
        </is>
      </c>
      <c r="D918" s="4" t="inlineStr">
        <is>
          <t>Organizer</t>
        </is>
      </c>
      <c r="E918" s="4" t="inlineStr"/>
    </row>
    <row r="919">
      <c r="A919" s="4" t="inlineStr">
        <is>
          <t>1753</t>
        </is>
      </c>
      <c r="B919" s="4" t="inlineStr">
        <is>
          <t>Yale Peabody Museum</t>
        </is>
      </c>
      <c r="C919" s="4" t="inlineStr">
        <is>
          <t>organizer</t>
        </is>
      </c>
      <c r="D919" s="4" t="inlineStr">
        <is>
          <t>Organizer</t>
        </is>
      </c>
      <c r="E919" s="4" t="inlineStr"/>
    </row>
    <row r="920">
      <c r="A920" s="4" t="inlineStr">
        <is>
          <t>1417</t>
        </is>
      </c>
      <c r="B920" s="4" t="inlineStr">
        <is>
          <t>Yale Philanthrophy</t>
        </is>
      </c>
      <c r="C920" s="4" t="inlineStr">
        <is>
          <t>organizer</t>
        </is>
      </c>
      <c r="D920" s="4" t="inlineStr">
        <is>
          <t>Organizer</t>
        </is>
      </c>
      <c r="E920" s="4" t="inlineStr"/>
    </row>
    <row r="921">
      <c r="A921" s="4" t="inlineStr">
        <is>
          <t>1757</t>
        </is>
      </c>
      <c r="B921" s="4" t="inlineStr">
        <is>
          <t>Yale Philanthropy Conference</t>
        </is>
      </c>
      <c r="C921" s="4" t="inlineStr">
        <is>
          <t>organizer</t>
        </is>
      </c>
      <c r="D921" s="4" t="inlineStr">
        <is>
          <t>Organizer</t>
        </is>
      </c>
      <c r="E921" s="4" t="inlineStr"/>
    </row>
    <row r="922">
      <c r="A922" s="4" t="inlineStr">
        <is>
          <t>1603</t>
        </is>
      </c>
      <c r="B922" s="4" t="inlineStr">
        <is>
          <t>Yale Planetary Solutions</t>
        </is>
      </c>
      <c r="C922" s="4" t="inlineStr">
        <is>
          <t>organizer</t>
        </is>
      </c>
      <c r="D922" s="4" t="inlineStr">
        <is>
          <t>Organizer</t>
        </is>
      </c>
      <c r="E922" s="4" t="inlineStr"/>
    </row>
    <row r="923">
      <c r="A923" s="4" t="inlineStr">
        <is>
          <t>1446</t>
        </is>
      </c>
      <c r="B923" s="4" t="inlineStr">
        <is>
          <t>Yale Planetary Solutions &amp; Yale MacMillan International Center</t>
        </is>
      </c>
      <c r="C923" s="4" t="inlineStr">
        <is>
          <t>organizer</t>
        </is>
      </c>
      <c r="D923" s="4" t="inlineStr">
        <is>
          <t>Organizer</t>
        </is>
      </c>
      <c r="E923" s="4" t="inlineStr"/>
    </row>
    <row r="924">
      <c r="A924" s="4" t="inlineStr">
        <is>
          <t>1587</t>
        </is>
      </c>
      <c r="B924" s="4" t="inlineStr">
        <is>
          <t>Yale Politics Initiative</t>
        </is>
      </c>
      <c r="C924" s="4" t="inlineStr">
        <is>
          <t>organizer</t>
        </is>
      </c>
      <c r="D924" s="4" t="inlineStr">
        <is>
          <t>Organizer</t>
        </is>
      </c>
      <c r="E924" s="4" t="inlineStr"/>
    </row>
    <row r="925">
      <c r="A925" s="4" t="inlineStr">
        <is>
          <t>1700</t>
        </is>
      </c>
      <c r="B925" s="4" t="inlineStr">
        <is>
          <t>Yale Postdoctoral Association</t>
        </is>
      </c>
      <c r="C925" s="4" t="inlineStr">
        <is>
          <t>organizer</t>
        </is>
      </c>
      <c r="D925" s="4" t="inlineStr">
        <is>
          <t>Organizer</t>
        </is>
      </c>
      <c r="E925" s="4" t="inlineStr"/>
    </row>
    <row r="926">
      <c r="A926" s="4" t="inlineStr">
        <is>
          <t>1581</t>
        </is>
      </c>
      <c r="B926" s="4" t="inlineStr">
        <is>
          <t>Yale Program on Entrepreneurship</t>
        </is>
      </c>
      <c r="C926" s="4" t="inlineStr">
        <is>
          <t>organizer</t>
        </is>
      </c>
      <c r="D926" s="4" t="inlineStr">
        <is>
          <t>Organizer</t>
        </is>
      </c>
      <c r="E926" s="4" t="inlineStr"/>
    </row>
    <row r="927">
      <c r="A927" s="4" t="inlineStr">
        <is>
          <t>1430</t>
        </is>
      </c>
      <c r="B927" s="4" t="inlineStr">
        <is>
          <t>Yale Program on Financial Security</t>
        </is>
      </c>
      <c r="C927" s="4" t="inlineStr">
        <is>
          <t>organizer</t>
        </is>
      </c>
      <c r="D927" s="4" t="inlineStr">
        <is>
          <t>Organizer</t>
        </is>
      </c>
      <c r="E927" s="4" t="inlineStr"/>
    </row>
    <row r="928">
      <c r="A928" s="4" t="inlineStr">
        <is>
          <t>1590</t>
        </is>
      </c>
      <c r="B928" s="4" t="inlineStr">
        <is>
          <t>Yale Program on Financial Stability</t>
        </is>
      </c>
      <c r="C928" s="4" t="inlineStr">
        <is>
          <t>organizer</t>
        </is>
      </c>
      <c r="D928" s="4" t="inlineStr">
        <is>
          <t>Organizer</t>
        </is>
      </c>
      <c r="E928" s="4" t="inlineStr"/>
    </row>
    <row r="929">
      <c r="A929" s="4" t="inlineStr">
        <is>
          <t>1323</t>
        </is>
      </c>
      <c r="B929" s="4" t="inlineStr">
        <is>
          <t>Yale Program on Stakeholder Innovation and Management</t>
        </is>
      </c>
      <c r="C929" s="4" t="inlineStr">
        <is>
          <t>organizer</t>
        </is>
      </c>
      <c r="D929" s="4" t="inlineStr">
        <is>
          <t>Organizer</t>
        </is>
      </c>
      <c r="E929" s="4" t="inlineStr"/>
    </row>
    <row r="930">
      <c r="A930" s="4" t="inlineStr">
        <is>
          <t>1717</t>
        </is>
      </c>
      <c r="B930" s="4" t="inlineStr">
        <is>
          <t>Yale School of Arr</t>
        </is>
      </c>
      <c r="C930" s="4" t="inlineStr">
        <is>
          <t>organizer</t>
        </is>
      </c>
      <c r="D930" s="4" t="inlineStr">
        <is>
          <t>Organizer</t>
        </is>
      </c>
      <c r="E930" s="4" t="inlineStr"/>
    </row>
    <row r="931">
      <c r="A931" s="4" t="inlineStr">
        <is>
          <t>1720</t>
        </is>
      </c>
      <c r="B931" s="4" t="inlineStr">
        <is>
          <t>Yale School of Art</t>
        </is>
      </c>
      <c r="C931" s="4" t="inlineStr">
        <is>
          <t>organizer</t>
        </is>
      </c>
      <c r="D931" s="4" t="inlineStr">
        <is>
          <t>Organizer</t>
        </is>
      </c>
      <c r="E931" s="4" t="inlineStr"/>
    </row>
    <row r="932">
      <c r="A932" s="4" t="inlineStr">
        <is>
          <t>1318</t>
        </is>
      </c>
      <c r="B932" s="4" t="inlineStr">
        <is>
          <t>Yale School of Engineering and Applied Science</t>
        </is>
      </c>
      <c r="C932" s="4" t="inlineStr">
        <is>
          <t>organizer</t>
        </is>
      </c>
      <c r="D932" s="4" t="inlineStr">
        <is>
          <t>Organizer</t>
        </is>
      </c>
      <c r="E932" s="4" t="inlineStr"/>
    </row>
    <row r="933">
      <c r="A933" s="4" t="inlineStr">
        <is>
          <t>1455</t>
        </is>
      </c>
      <c r="B933" s="4" t="inlineStr">
        <is>
          <t>Yale School of Management Education Club</t>
        </is>
      </c>
      <c r="C933" s="4" t="inlineStr">
        <is>
          <t>organizer</t>
        </is>
      </c>
      <c r="D933" s="4" t="inlineStr">
        <is>
          <t>Organizer</t>
        </is>
      </c>
      <c r="E933" s="4" t="inlineStr"/>
    </row>
    <row r="934">
      <c r="A934" s="4" t="inlineStr">
        <is>
          <t>1314</t>
        </is>
      </c>
      <c r="B934" s="4" t="inlineStr">
        <is>
          <t>Yale School of Public Health</t>
        </is>
      </c>
      <c r="C934" s="4" t="inlineStr">
        <is>
          <t>organizer</t>
        </is>
      </c>
      <c r="D934" s="4" t="inlineStr">
        <is>
          <t>Organizer</t>
        </is>
      </c>
      <c r="E934" s="4" t="inlineStr"/>
    </row>
    <row r="935">
      <c r="A935" s="4" t="inlineStr">
        <is>
          <t>1561</t>
        </is>
      </c>
      <c r="B935" s="4" t="inlineStr">
        <is>
          <t>Yale School of Public Health</t>
        </is>
      </c>
      <c r="C935" s="4" t="inlineStr">
        <is>
          <t>organizer</t>
        </is>
      </c>
      <c r="D935" s="4" t="inlineStr">
        <is>
          <t>Organizer</t>
        </is>
      </c>
      <c r="E935" s="4" t="inlineStr"/>
    </row>
    <row r="936">
      <c r="A936" s="4" t="inlineStr">
        <is>
          <t>1452</t>
        </is>
      </c>
      <c r="B936" s="4" t="inlineStr">
        <is>
          <t>Yale School of Public Health &amp; MacMillan Center</t>
        </is>
      </c>
      <c r="C936" s="4" t="inlineStr">
        <is>
          <t>organizer</t>
        </is>
      </c>
      <c r="D936" s="4" t="inlineStr">
        <is>
          <t>Organizer</t>
        </is>
      </c>
      <c r="E936" s="4" t="inlineStr"/>
    </row>
    <row r="937">
      <c r="A937" s="4" t="inlineStr">
        <is>
          <t>1383</t>
        </is>
      </c>
      <c r="B937" s="4" t="inlineStr">
        <is>
          <t>Yale School of the Environment</t>
        </is>
      </c>
      <c r="C937" s="4" t="inlineStr">
        <is>
          <t>organizer</t>
        </is>
      </c>
      <c r="D937" s="4" t="inlineStr">
        <is>
          <t>Organizer</t>
        </is>
      </c>
      <c r="E937" s="4" t="inlineStr"/>
    </row>
    <row r="938">
      <c r="A938" s="4" t="inlineStr">
        <is>
          <t>1559</t>
        </is>
      </c>
      <c r="B938" s="4" t="inlineStr">
        <is>
          <t>Yale Schwarzman Center</t>
        </is>
      </c>
      <c r="C938" s="4" t="inlineStr">
        <is>
          <t>organizer</t>
        </is>
      </c>
      <c r="D938" s="4" t="inlineStr">
        <is>
          <t>Organizer</t>
        </is>
      </c>
      <c r="E938" s="4" t="inlineStr"/>
    </row>
    <row r="939">
      <c r="A939" s="4" t="inlineStr">
        <is>
          <t>1774</t>
        </is>
      </c>
      <c r="B939" s="4" t="inlineStr">
        <is>
          <t>Yale Schwarzman Center  &amp; Yale Hospitality</t>
        </is>
      </c>
      <c r="C939" s="4" t="inlineStr">
        <is>
          <t>organizer</t>
        </is>
      </c>
      <c r="D939" s="4" t="inlineStr">
        <is>
          <t>Organizer</t>
        </is>
      </c>
      <c r="E939" s="4" t="inlineStr"/>
    </row>
    <row r="940">
      <c r="A940" s="4" t="inlineStr">
        <is>
          <t>1580</t>
        </is>
      </c>
      <c r="B940" s="4" t="inlineStr">
        <is>
          <t>Yale SOM Artificial Intelligence Association</t>
        </is>
      </c>
      <c r="C940" s="4" t="inlineStr">
        <is>
          <t>organizer</t>
        </is>
      </c>
      <c r="D940" s="4" t="inlineStr">
        <is>
          <t>Organizer</t>
        </is>
      </c>
      <c r="E940" s="4" t="inlineStr"/>
    </row>
    <row r="941">
      <c r="A941" s="4" t="inlineStr">
        <is>
          <t>1535</t>
        </is>
      </c>
      <c r="B941" s="4" t="inlineStr">
        <is>
          <t>Yale SOM Community</t>
        </is>
      </c>
      <c r="C941" s="4" t="inlineStr">
        <is>
          <t>organizer</t>
        </is>
      </c>
      <c r="D941" s="4" t="inlineStr">
        <is>
          <t>Organizer</t>
        </is>
      </c>
      <c r="E941" s="4" t="inlineStr"/>
    </row>
    <row r="942">
      <c r="A942" s="4" t="inlineStr">
        <is>
          <t>1532</t>
        </is>
      </c>
      <c r="B942" s="4" t="inlineStr">
        <is>
          <t>Yale SOM Dean's Office &amp; Yale Clean Energy Collaborative</t>
        </is>
      </c>
      <c r="C942" s="4" t="inlineStr">
        <is>
          <t>organizer</t>
        </is>
      </c>
      <c r="D942" s="4" t="inlineStr">
        <is>
          <t>Organizer</t>
        </is>
      </c>
      <c r="E942" s="4" t="inlineStr"/>
    </row>
    <row r="943">
      <c r="A943" s="4" t="inlineStr">
        <is>
          <t>1586</t>
        </is>
      </c>
      <c r="B943" s="4" t="inlineStr">
        <is>
          <t>Yale SOM Education Club</t>
        </is>
      </c>
      <c r="C943" s="4" t="inlineStr">
        <is>
          <t>organizer</t>
        </is>
      </c>
      <c r="D943" s="4" t="inlineStr">
        <is>
          <t>Organizer</t>
        </is>
      </c>
      <c r="E943" s="4" t="inlineStr"/>
    </row>
    <row r="944">
      <c r="A944" s="4" t="inlineStr">
        <is>
          <t>1357</t>
        </is>
      </c>
      <c r="B944" s="4" t="inlineStr">
        <is>
          <t>Yale SOM Faculty</t>
        </is>
      </c>
      <c r="C944" s="4" t="inlineStr">
        <is>
          <t>organizer</t>
        </is>
      </c>
      <c r="D944" s="4" t="inlineStr">
        <is>
          <t>Organizer</t>
        </is>
      </c>
      <c r="E944" s="4" t="inlineStr"/>
    </row>
    <row r="945">
      <c r="A945" s="4" t="inlineStr">
        <is>
          <t>1395</t>
        </is>
      </c>
      <c r="B945" s="4" t="inlineStr">
        <is>
          <t>Yale SOM Faculty Honors</t>
        </is>
      </c>
      <c r="C945" s="4" t="inlineStr">
        <is>
          <t>organizer</t>
        </is>
      </c>
      <c r="D945" s="4" t="inlineStr">
        <is>
          <t>Organizer</t>
        </is>
      </c>
      <c r="E945" s="4" t="inlineStr"/>
    </row>
    <row r="946">
      <c r="A946" s="4" t="inlineStr">
        <is>
          <t>1481</t>
        </is>
      </c>
      <c r="B946" s="4" t="inlineStr">
        <is>
          <t>Yale SOM FLI Club</t>
        </is>
      </c>
      <c r="C946" s="4" t="inlineStr">
        <is>
          <t>organizer</t>
        </is>
      </c>
      <c r="D946" s="4" t="inlineStr">
        <is>
          <t>Organizer</t>
        </is>
      </c>
      <c r="E946" s="4" t="inlineStr"/>
    </row>
    <row r="947">
      <c r="A947" s="4" t="inlineStr">
        <is>
          <t>1451</t>
        </is>
      </c>
      <c r="B947" s="4" t="inlineStr">
        <is>
          <t>Yale SOM Healthcare &amp; Life Sciences Club</t>
        </is>
      </c>
      <c r="C947" s="4" t="inlineStr">
        <is>
          <t>organizer</t>
        </is>
      </c>
      <c r="D947" s="4" t="inlineStr">
        <is>
          <t>Organizer</t>
        </is>
      </c>
      <c r="E947" s="4" t="inlineStr"/>
    </row>
    <row r="948">
      <c r="A948" s="4" t="inlineStr">
        <is>
          <t>1401</t>
        </is>
      </c>
      <c r="B948" s="4" t="inlineStr">
        <is>
          <t>Yale SOM Hospitality</t>
        </is>
      </c>
      <c r="C948" s="4" t="inlineStr">
        <is>
          <t>organizer</t>
        </is>
      </c>
      <c r="D948" s="4" t="inlineStr">
        <is>
          <t>Organizer</t>
        </is>
      </c>
      <c r="E948" s="4" t="inlineStr"/>
    </row>
    <row r="949">
      <c r="A949" s="4" t="inlineStr">
        <is>
          <t>1476</t>
        </is>
      </c>
      <c r="B949" s="4" t="inlineStr">
        <is>
          <t>Yale SOM Innovation and Entrepreneurship Seminar</t>
        </is>
      </c>
      <c r="C949" s="4" t="inlineStr">
        <is>
          <t>organizer</t>
        </is>
      </c>
      <c r="D949" s="4" t="inlineStr">
        <is>
          <t>Organizer</t>
        </is>
      </c>
      <c r="E949" s="4" t="inlineStr"/>
    </row>
    <row r="950">
      <c r="A950" s="4" t="inlineStr">
        <is>
          <t>1608</t>
        </is>
      </c>
      <c r="B950" s="4" t="inlineStr">
        <is>
          <t>Yale SOM Office of Inclusion &amp; Diversity</t>
        </is>
      </c>
      <c r="C950" s="4" t="inlineStr">
        <is>
          <t>organizer</t>
        </is>
      </c>
      <c r="D950" s="4" t="inlineStr">
        <is>
          <t>Organizer</t>
        </is>
      </c>
      <c r="E950" s="4" t="inlineStr"/>
    </row>
    <row r="951">
      <c r="A951" s="4" t="inlineStr">
        <is>
          <t>1412</t>
        </is>
      </c>
      <c r="B951" s="4" t="inlineStr">
        <is>
          <t>Yale SOM Operations Department</t>
        </is>
      </c>
      <c r="C951" s="4" t="inlineStr">
        <is>
          <t>organizer</t>
        </is>
      </c>
      <c r="D951" s="4" t="inlineStr">
        <is>
          <t>Organizer</t>
        </is>
      </c>
      <c r="E951" s="4" t="inlineStr"/>
    </row>
    <row r="952">
      <c r="A952" s="4" t="inlineStr">
        <is>
          <t>1599</t>
        </is>
      </c>
      <c r="B952" s="4" t="inlineStr">
        <is>
          <t>Yale SOM PE/VC Club &amp; YANIS</t>
        </is>
      </c>
      <c r="C952" s="4" t="inlineStr">
        <is>
          <t>organizer</t>
        </is>
      </c>
      <c r="D952" s="4" t="inlineStr">
        <is>
          <t>Organizer</t>
        </is>
      </c>
      <c r="E952" s="4" t="inlineStr"/>
    </row>
    <row r="953">
      <c r="A953" s="4" t="inlineStr">
        <is>
          <t>1626</t>
        </is>
      </c>
      <c r="B953" s="4" t="inlineStr">
        <is>
          <t>Yale SOM Staff Sustainability Interest Group</t>
        </is>
      </c>
      <c r="C953" s="4" t="inlineStr">
        <is>
          <t>organizer</t>
        </is>
      </c>
      <c r="D953" s="4" t="inlineStr">
        <is>
          <t>Organizer</t>
        </is>
      </c>
      <c r="E953" s="4" t="inlineStr"/>
    </row>
    <row r="954">
      <c r="A954" s="4" t="inlineStr">
        <is>
          <t>1471</t>
        </is>
      </c>
      <c r="B954" s="4" t="inlineStr">
        <is>
          <t>Yale SOM Sustainability Committee</t>
        </is>
      </c>
      <c r="C954" s="4" t="inlineStr">
        <is>
          <t>organizer</t>
        </is>
      </c>
      <c r="D954" s="4" t="inlineStr">
        <is>
          <t>Organizer</t>
        </is>
      </c>
      <c r="E954" s="4" t="inlineStr"/>
    </row>
    <row r="955">
      <c r="A955" s="4" t="inlineStr">
        <is>
          <t>1534</t>
        </is>
      </c>
      <c r="B955" s="4" t="inlineStr">
        <is>
          <t>Yale Student Health Department</t>
        </is>
      </c>
      <c r="C955" s="4" t="inlineStr">
        <is>
          <t>organizer</t>
        </is>
      </c>
      <c r="D955" s="4" t="inlineStr">
        <is>
          <t>Organizer</t>
        </is>
      </c>
      <c r="E955" s="4" t="inlineStr"/>
    </row>
    <row r="956">
      <c r="A956" s="4" t="inlineStr">
        <is>
          <t>1627</t>
        </is>
      </c>
      <c r="B956" s="4" t="inlineStr">
        <is>
          <t>Yale Student UFO Society</t>
        </is>
      </c>
      <c r="C956" s="4" t="inlineStr">
        <is>
          <t>organizer</t>
        </is>
      </c>
      <c r="D956" s="4" t="inlineStr">
        <is>
          <t>Organizer</t>
        </is>
      </c>
      <c r="E956" s="4" t="inlineStr"/>
    </row>
    <row r="957">
      <c r="A957" s="4" t="inlineStr">
        <is>
          <t>1768</t>
        </is>
      </c>
      <c r="B957" s="4" t="inlineStr">
        <is>
          <t>Yale Taiwanese Student Association</t>
        </is>
      </c>
      <c r="C957" s="4" t="inlineStr">
        <is>
          <t>organizer</t>
        </is>
      </c>
      <c r="D957" s="4" t="inlineStr">
        <is>
          <t>Organizer</t>
        </is>
      </c>
      <c r="E957" s="4" t="inlineStr"/>
    </row>
    <row r="958">
      <c r="A958" s="4" t="inlineStr">
        <is>
          <t>1414</t>
        </is>
      </c>
      <c r="B958" s="4" t="inlineStr">
        <is>
          <t>Yale Tango Club</t>
        </is>
      </c>
      <c r="C958" s="4" t="inlineStr">
        <is>
          <t>organizer</t>
        </is>
      </c>
      <c r="D958" s="4" t="inlineStr">
        <is>
          <t>Organizer</t>
        </is>
      </c>
      <c r="E958" s="4" t="inlineStr"/>
    </row>
    <row r="959">
      <c r="A959" s="4" t="inlineStr">
        <is>
          <t>1509</t>
        </is>
      </c>
      <c r="B959" s="4" t="inlineStr">
        <is>
          <t>Yale Today</t>
        </is>
      </c>
      <c r="C959" s="4" t="inlineStr">
        <is>
          <t>organizer</t>
        </is>
      </c>
      <c r="D959" s="4" t="inlineStr">
        <is>
          <t>Organizer</t>
        </is>
      </c>
      <c r="E959" s="4" t="inlineStr"/>
    </row>
    <row r="960">
      <c r="A960" s="4" t="inlineStr">
        <is>
          <t>1416</t>
        </is>
      </c>
      <c r="B960" s="4" t="inlineStr">
        <is>
          <t>Yale University</t>
        </is>
      </c>
      <c r="C960" s="4" t="inlineStr">
        <is>
          <t>organizer</t>
        </is>
      </c>
      <c r="D960" s="4" t="inlineStr">
        <is>
          <t>Organizer</t>
        </is>
      </c>
      <c r="E960" s="4" t="inlineStr"/>
    </row>
    <row r="961">
      <c r="A961" s="4" t="inlineStr">
        <is>
          <t>1311</t>
        </is>
      </c>
      <c r="B961" s="4" t="inlineStr">
        <is>
          <t>Yale University</t>
        </is>
      </c>
      <c r="C961" s="4" t="inlineStr">
        <is>
          <t>organizer</t>
        </is>
      </c>
      <c r="D961" s="4" t="inlineStr">
        <is>
          <t>Organizer</t>
        </is>
      </c>
      <c r="E961" s="4" t="inlineStr"/>
    </row>
    <row r="962">
      <c r="A962" s="4" t="inlineStr">
        <is>
          <t>1431</t>
        </is>
      </c>
      <c r="B962" s="4" t="inlineStr">
        <is>
          <t>Yale University Chaplain's Office</t>
        </is>
      </c>
      <c r="C962" s="4" t="inlineStr">
        <is>
          <t>organizer</t>
        </is>
      </c>
      <c r="D962" s="4" t="inlineStr">
        <is>
          <t>Organizer</t>
        </is>
      </c>
      <c r="E962" s="4" t="inlineStr"/>
    </row>
    <row r="963">
      <c r="A963" s="4" t="inlineStr">
        <is>
          <t>1629</t>
        </is>
      </c>
      <c r="B963" s="4" t="inlineStr">
        <is>
          <t>Yale University International Operations &amp; Compliance Committee</t>
        </is>
      </c>
      <c r="C963" s="4" t="inlineStr">
        <is>
          <t>organizer</t>
        </is>
      </c>
      <c r="D963" s="4" t="inlineStr">
        <is>
          <t>Organizer</t>
        </is>
      </c>
      <c r="E963" s="4" t="inlineStr"/>
    </row>
    <row r="964">
      <c r="A964" s="4" t="inlineStr">
        <is>
          <t>1623</t>
        </is>
      </c>
      <c r="B964" s="4" t="inlineStr">
        <is>
          <t>Yale University Library</t>
        </is>
      </c>
      <c r="C964" s="4" t="inlineStr">
        <is>
          <t>organizer</t>
        </is>
      </c>
      <c r="D964" s="4" t="inlineStr">
        <is>
          <t>Organizer</t>
        </is>
      </c>
      <c r="E964" s="4" t="inlineStr"/>
    </row>
    <row r="965">
      <c r="A965" s="4" t="inlineStr">
        <is>
          <t>1562</t>
        </is>
      </c>
      <c r="B965" s="4" t="inlineStr">
        <is>
          <t>Yale University Office of the President</t>
        </is>
      </c>
      <c r="C965" s="4" t="inlineStr">
        <is>
          <t>organizer</t>
        </is>
      </c>
      <c r="D965" s="4" t="inlineStr">
        <is>
          <t>Organizer</t>
        </is>
      </c>
      <c r="E965" s="4" t="inlineStr"/>
    </row>
    <row r="966">
      <c r="A966" s="4" t="inlineStr">
        <is>
          <t>1759</t>
        </is>
      </c>
      <c r="B966" s="4" t="inlineStr">
        <is>
          <t>Yale University President's Office</t>
        </is>
      </c>
      <c r="C966" s="4" t="inlineStr">
        <is>
          <t>organizer</t>
        </is>
      </c>
      <c r="D966" s="4" t="inlineStr">
        <is>
          <t>Organizer</t>
        </is>
      </c>
      <c r="E966" s="4" t="inlineStr"/>
    </row>
    <row r="967">
      <c r="A967" s="4" t="inlineStr">
        <is>
          <t>1742</t>
        </is>
      </c>
      <c r="B967" s="4" t="inlineStr">
        <is>
          <t>Yale University Veteran and Military Affairs</t>
        </is>
      </c>
      <c r="C967" s="4" t="inlineStr">
        <is>
          <t>organizer</t>
        </is>
      </c>
      <c r="D967" s="4" t="inlineStr">
        <is>
          <t>Organizer</t>
        </is>
      </c>
      <c r="E967" s="4" t="inlineStr"/>
    </row>
    <row r="968">
      <c r="A968" s="4" t="inlineStr">
        <is>
          <t>1408</t>
        </is>
      </c>
      <c r="B968" s="4" t="inlineStr">
        <is>
          <t>Yale University Working Women's Network</t>
        </is>
      </c>
      <c r="C968" s="4" t="inlineStr">
        <is>
          <t>organizer</t>
        </is>
      </c>
      <c r="D968" s="4" t="inlineStr">
        <is>
          <t>Organizer</t>
        </is>
      </c>
      <c r="E968" s="4" t="inlineStr"/>
    </row>
    <row r="969">
      <c r="A969" s="4" t="inlineStr">
        <is>
          <t>1353</t>
        </is>
      </c>
      <c r="B969" s="4" t="inlineStr">
        <is>
          <t>Yale Ventures</t>
        </is>
      </c>
      <c r="C969" s="4" t="inlineStr">
        <is>
          <t>organizer</t>
        </is>
      </c>
      <c r="D969" s="4" t="inlineStr">
        <is>
          <t>Organizer</t>
        </is>
      </c>
      <c r="E969" s="4" t="inlineStr"/>
    </row>
    <row r="970">
      <c r="A970" s="4" t="inlineStr">
        <is>
          <t>1444</t>
        </is>
      </c>
      <c r="B970" s="4" t="inlineStr">
        <is>
          <t>Yale Ventures</t>
        </is>
      </c>
      <c r="C970" s="4" t="inlineStr">
        <is>
          <t>organizer</t>
        </is>
      </c>
      <c r="D970" s="4" t="inlineStr">
        <is>
          <t>Organizer</t>
        </is>
      </c>
      <c r="E970" s="4" t="inlineStr"/>
    </row>
    <row r="971">
      <c r="A971" s="4" t="inlineStr">
        <is>
          <t>1527</t>
        </is>
      </c>
      <c r="B971" s="4" t="inlineStr">
        <is>
          <t>Yale Ventures &amp; Yale Engineering Innovators</t>
        </is>
      </c>
      <c r="C971" s="4" t="inlineStr">
        <is>
          <t>organizer</t>
        </is>
      </c>
      <c r="D971" s="4" t="inlineStr">
        <is>
          <t>Organizer</t>
        </is>
      </c>
      <c r="E971" s="4" t="inlineStr"/>
    </row>
    <row r="972">
      <c r="A972" s="4" t="inlineStr">
        <is>
          <t>1633</t>
        </is>
      </c>
      <c r="B972" s="4" t="inlineStr">
        <is>
          <t>Yale Women Faculty Forum</t>
        </is>
      </c>
      <c r="C972" s="4" t="inlineStr">
        <is>
          <t>organizer</t>
        </is>
      </c>
      <c r="D972" s="4" t="inlineStr">
        <is>
          <t>Organizer</t>
        </is>
      </c>
      <c r="E972" s="4" t="inlineStr"/>
    </row>
    <row r="973">
      <c r="A973" s="4" t="inlineStr">
        <is>
          <t>1492</t>
        </is>
      </c>
      <c r="B973" s="4" t="inlineStr">
        <is>
          <t>Yale-USP Strategic Partnership Initiatives</t>
        </is>
      </c>
      <c r="C973" s="4" t="inlineStr">
        <is>
          <t>organizer</t>
        </is>
      </c>
      <c r="D973" s="4" t="inlineStr">
        <is>
          <t>Organizer</t>
        </is>
      </c>
      <c r="E973" s="4" t="inlineStr"/>
    </row>
    <row r="974">
      <c r="A974" s="4" t="inlineStr">
        <is>
          <t>1391</t>
        </is>
      </c>
      <c r="B974" s="4" t="inlineStr">
        <is>
          <t>YHHAP</t>
        </is>
      </c>
      <c r="C974" s="4" t="inlineStr">
        <is>
          <t>organizer</t>
        </is>
      </c>
      <c r="D974" s="4" t="inlineStr">
        <is>
          <t>Organizer</t>
        </is>
      </c>
      <c r="E974" s="4" t="inlineStr"/>
    </row>
    <row r="975">
      <c r="A975" s="4" t="inlineStr">
        <is>
          <t>1290</t>
        </is>
      </c>
      <c r="B975" s="4" t="inlineStr">
        <is>
          <t>YPFS &amp; Yale Jackson School of Global Affairs</t>
        </is>
      </c>
      <c r="C975" s="4" t="inlineStr">
        <is>
          <t>organizer</t>
        </is>
      </c>
      <c r="D975" s="4" t="inlineStr">
        <is>
          <t>Organizer</t>
        </is>
      </c>
      <c r="E975" s="4" t="inlineStr"/>
    </row>
    <row r="976">
      <c r="A976" s="4" t="inlineStr">
        <is>
          <t>1549</t>
        </is>
      </c>
      <c r="B976" s="4" t="inlineStr">
        <is>
          <t>Alumni</t>
        </is>
      </c>
      <c r="C976" s="4" t="inlineStr">
        <is>
          <t>profile_type</t>
        </is>
      </c>
      <c r="D976" s="4" t="inlineStr">
        <is>
          <t>Profile Type</t>
        </is>
      </c>
      <c r="E976" s="4" t="inlineStr"/>
    </row>
    <row r="977">
      <c r="A977" s="4" t="inlineStr">
        <is>
          <t>1552</t>
        </is>
      </c>
      <c r="B977" s="4" t="inlineStr">
        <is>
          <t>Ambassador</t>
        </is>
      </c>
      <c r="C977" s="4" t="inlineStr">
        <is>
          <t>profile_type</t>
        </is>
      </c>
      <c r="D977" s="4" t="inlineStr">
        <is>
          <t>Profile Type</t>
        </is>
      </c>
      <c r="E977" s="4" t="inlineStr"/>
    </row>
    <row r="978">
      <c r="A978" s="4" t="inlineStr">
        <is>
          <t>1550</t>
        </is>
      </c>
      <c r="B978" s="4" t="inlineStr">
        <is>
          <t>Faculty</t>
        </is>
      </c>
      <c r="C978" s="4" t="inlineStr">
        <is>
          <t>profile_type</t>
        </is>
      </c>
      <c r="D978" s="4" t="inlineStr">
        <is>
          <t>Profile Type</t>
        </is>
      </c>
      <c r="E978" s="4" t="inlineStr"/>
    </row>
    <row r="979">
      <c r="A979" s="4" t="inlineStr">
        <is>
          <t>1551</t>
        </is>
      </c>
      <c r="B979" s="4" t="inlineStr">
        <is>
          <t>Student</t>
        </is>
      </c>
      <c r="C979" s="4" t="inlineStr">
        <is>
          <t>profile_type</t>
        </is>
      </c>
      <c r="D979" s="4" t="inlineStr">
        <is>
          <t>Profile Type</t>
        </is>
      </c>
      <c r="E979" s="4" t="inlineStr"/>
    </row>
    <row r="980">
      <c r="A980" s="4" t="inlineStr">
        <is>
          <t>79</t>
        </is>
      </c>
      <c r="B980" s="4" t="inlineStr">
        <is>
          <t>Doctoral Programs</t>
        </is>
      </c>
      <c r="C980" s="4" t="inlineStr">
        <is>
          <t>program</t>
        </is>
      </c>
      <c r="D980" s="4" t="inlineStr">
        <is>
          <t>Program</t>
        </is>
      </c>
      <c r="E980" s="4" t="inlineStr"/>
    </row>
    <row r="981">
      <c r="A981" s="4" t="inlineStr">
        <is>
          <t>1635</t>
        </is>
      </c>
      <c r="B981" s="4" t="inlineStr">
        <is>
          <t>Double Degrees</t>
        </is>
      </c>
      <c r="C981" s="4" t="inlineStr">
        <is>
          <t>program</t>
        </is>
      </c>
      <c r="D981" s="4" t="inlineStr">
        <is>
          <t>Program</t>
        </is>
      </c>
      <c r="E981" s="4" t="inlineStr"/>
    </row>
    <row r="982">
      <c r="A982" s="4" t="inlineStr">
        <is>
          <t>87</t>
        </is>
      </c>
      <c r="B982" s="4" t="inlineStr">
        <is>
          <t>Joint Programs</t>
        </is>
      </c>
      <c r="C982" s="4" t="inlineStr">
        <is>
          <t>program</t>
        </is>
      </c>
      <c r="D982" s="4" t="inlineStr">
        <is>
          <t>Program</t>
        </is>
      </c>
      <c r="E982" s="4" t="inlineStr"/>
    </row>
    <row r="983">
      <c r="A983" s="4" t="inlineStr">
        <is>
          <t>1183</t>
        </is>
      </c>
      <c r="B983" s="4" t="inlineStr">
        <is>
          <t>M2M Pathways</t>
        </is>
      </c>
      <c r="C983" s="4" t="inlineStr">
        <is>
          <t>program</t>
        </is>
      </c>
      <c r="D983" s="4" t="inlineStr">
        <is>
          <t>Program</t>
        </is>
      </c>
      <c r="E983" s="4" t="inlineStr"/>
    </row>
    <row r="984">
      <c r="A984" s="4" t="inlineStr">
        <is>
          <t>81</t>
        </is>
      </c>
      <c r="B984" s="4" t="inlineStr">
        <is>
          <t>Master of Advanced Management</t>
        </is>
      </c>
      <c r="C984" s="4" t="inlineStr">
        <is>
          <t>program</t>
        </is>
      </c>
      <c r="D984" s="4" t="inlineStr">
        <is>
          <t>Program</t>
        </is>
      </c>
      <c r="E984" s="4" t="inlineStr"/>
    </row>
    <row r="985">
      <c r="A985" s="4" t="inlineStr">
        <is>
          <t>84</t>
        </is>
      </c>
      <c r="B985" s="4" t="inlineStr">
        <is>
          <t>Master’s Degree in Global Business &amp; Society</t>
        </is>
      </c>
      <c r="C985" s="4" t="inlineStr">
        <is>
          <t>program</t>
        </is>
      </c>
      <c r="D985" s="4" t="inlineStr">
        <is>
          <t>Program</t>
        </is>
      </c>
      <c r="E985" s="4" t="inlineStr"/>
    </row>
    <row r="986">
      <c r="A986" s="4" t="inlineStr">
        <is>
          <t>85</t>
        </is>
      </c>
      <c r="B986" s="4" t="inlineStr">
        <is>
          <t>Master’s Degree in Public Education Management</t>
        </is>
      </c>
      <c r="C986" s="4" t="inlineStr">
        <is>
          <t>program</t>
        </is>
      </c>
      <c r="D986" s="4" t="inlineStr">
        <is>
          <t>Program</t>
        </is>
      </c>
      <c r="E986" s="4" t="inlineStr"/>
    </row>
    <row r="987">
      <c r="A987" s="4" t="inlineStr">
        <is>
          <t>86</t>
        </is>
      </c>
      <c r="B987" s="4" t="inlineStr">
        <is>
          <t>Master’s Degree in Systemic Risk</t>
        </is>
      </c>
      <c r="C987" s="4" t="inlineStr">
        <is>
          <t>program</t>
        </is>
      </c>
      <c r="D987" s="4" t="inlineStr">
        <is>
          <t>Program</t>
        </is>
      </c>
      <c r="E987" s="4" t="inlineStr"/>
    </row>
    <row r="988">
      <c r="A988" s="4" t="inlineStr">
        <is>
          <t>82</t>
        </is>
      </c>
      <c r="B988" s="4" t="inlineStr">
        <is>
          <t>Master’s in Asset Management</t>
        </is>
      </c>
      <c r="C988" s="4" t="inlineStr">
        <is>
          <t>program</t>
        </is>
      </c>
      <c r="D988" s="4" t="inlineStr">
        <is>
          <t>Program</t>
        </is>
      </c>
      <c r="E988" s="4" t="inlineStr"/>
    </row>
    <row r="989">
      <c r="A989" s="4" t="inlineStr">
        <is>
          <t>1200</t>
        </is>
      </c>
      <c r="B989" s="4" t="inlineStr">
        <is>
          <t>Master's in Technology Management</t>
        </is>
      </c>
      <c r="C989" s="4" t="inlineStr">
        <is>
          <t>program</t>
        </is>
      </c>
      <c r="D989" s="4" t="inlineStr">
        <is>
          <t>Program</t>
        </is>
      </c>
      <c r="E989" s="4" t="inlineStr"/>
    </row>
    <row r="990">
      <c r="A990" s="4" t="inlineStr">
        <is>
          <t>4</t>
        </is>
      </c>
      <c r="B990" s="4" t="inlineStr">
        <is>
          <t>MBA</t>
        </is>
      </c>
      <c r="C990" s="4" t="inlineStr">
        <is>
          <t>program</t>
        </is>
      </c>
      <c r="D990" s="4" t="inlineStr">
        <is>
          <t>Program</t>
        </is>
      </c>
      <c r="E990" s="4" t="inlineStr"/>
    </row>
    <row r="991">
      <c r="A991" s="4" t="inlineStr">
        <is>
          <t>80</t>
        </is>
      </c>
      <c r="B991" s="4" t="inlineStr">
        <is>
          <t>MBA for Executives</t>
        </is>
      </c>
      <c r="C991" s="4" t="inlineStr">
        <is>
          <t>program</t>
        </is>
      </c>
      <c r="D991" s="4" t="inlineStr">
        <is>
          <t>Program</t>
        </is>
      </c>
      <c r="E991" s="4" t="inlineStr"/>
    </row>
    <row r="992">
      <c r="A992" s="4" t="inlineStr">
        <is>
          <t>90</t>
        </is>
      </c>
      <c r="B992" s="4" t="inlineStr">
        <is>
          <t>Yale Silver Scholars</t>
        </is>
      </c>
      <c r="C992" s="4" t="inlineStr">
        <is>
          <t>program</t>
        </is>
      </c>
      <c r="D992" s="4" t="inlineStr">
        <is>
          <t>Program</t>
        </is>
      </c>
      <c r="E992" s="4" t="inlineStr"/>
    </row>
    <row r="993">
      <c r="A993" s="4" t="inlineStr">
        <is>
          <t>1170</t>
        </is>
      </c>
      <c r="B993" s="4" t="inlineStr">
        <is>
          <t>Announcement</t>
        </is>
      </c>
      <c r="C993" s="4" t="inlineStr">
        <is>
          <t>story_type</t>
        </is>
      </c>
      <c r="D993" s="4" t="inlineStr">
        <is>
          <t>Story Type</t>
        </is>
      </c>
      <c r="E993" s="4" t="inlineStr"/>
    </row>
    <row r="994">
      <c r="A994" s="4" t="inlineStr">
        <is>
          <t>974</t>
        </is>
      </c>
      <c r="B994" s="4" t="inlineStr">
        <is>
          <t>Blog</t>
        </is>
      </c>
      <c r="C994" s="4" t="inlineStr">
        <is>
          <t>story_type</t>
        </is>
      </c>
      <c r="D994" s="4" t="inlineStr">
        <is>
          <t>Story Type</t>
        </is>
      </c>
      <c r="E994" s="4" t="inlineStr"/>
    </row>
    <row r="995">
      <c r="A995" s="4" t="inlineStr">
        <is>
          <t>1157</t>
        </is>
      </c>
      <c r="B995" s="4" t="inlineStr">
        <is>
          <t>Five questions</t>
        </is>
      </c>
      <c r="C995" s="4" t="inlineStr">
        <is>
          <t>story_type</t>
        </is>
      </c>
      <c r="D995" s="4" t="inlineStr">
        <is>
          <t>Story Type</t>
        </is>
      </c>
      <c r="E995" s="4" t="inlineStr"/>
    </row>
    <row r="996">
      <c r="A996" s="4" t="inlineStr">
        <is>
          <t>924</t>
        </is>
      </c>
      <c r="B996" s="4" t="inlineStr">
        <is>
          <t>News</t>
        </is>
      </c>
      <c r="C996" s="4" t="inlineStr">
        <is>
          <t>story_type</t>
        </is>
      </c>
      <c r="D996" s="4" t="inlineStr">
        <is>
          <t>Story Type</t>
        </is>
      </c>
      <c r="E996" s="4" t="inlineStr"/>
    </row>
    <row r="997">
      <c r="A997" s="4" t="inlineStr">
        <is>
          <t>130</t>
        </is>
      </c>
      <c r="B997" s="4" t="inlineStr">
        <is>
          <t>Accounting</t>
        </is>
      </c>
      <c r="C997" s="4" t="inlineStr">
        <is>
          <t>topics</t>
        </is>
      </c>
      <c r="D997" s="4" t="inlineStr">
        <is>
          <t>Topics</t>
        </is>
      </c>
      <c r="E997" s="4" t="inlineStr"/>
    </row>
    <row r="998">
      <c r="A998" s="4" t="inlineStr">
        <is>
          <t>109</t>
        </is>
      </c>
      <c r="B998" s="4" t="inlineStr">
        <is>
          <t>Admissions</t>
        </is>
      </c>
      <c r="C998" s="4" t="inlineStr">
        <is>
          <t>topics</t>
        </is>
      </c>
      <c r="D998" s="4" t="inlineStr">
        <is>
          <t>Topics</t>
        </is>
      </c>
      <c r="E998" s="4" t="inlineStr"/>
    </row>
    <row r="999">
      <c r="A999" s="4" t="inlineStr">
        <is>
          <t>1749</t>
        </is>
      </c>
      <c r="B999" s="4" t="inlineStr">
        <is>
          <t>AI (Artificial Intelligence)</t>
        </is>
      </c>
      <c r="C999" s="4" t="inlineStr">
        <is>
          <t>topics</t>
        </is>
      </c>
      <c r="D999" s="4" t="inlineStr">
        <is>
          <t>Topics</t>
        </is>
      </c>
      <c r="E999" s="4" t="inlineStr"/>
    </row>
    <row r="1000">
      <c r="A1000" s="4" t="inlineStr">
        <is>
          <t>120</t>
        </is>
      </c>
      <c r="B1000" s="4" t="inlineStr">
        <is>
          <t>Alumni</t>
        </is>
      </c>
      <c r="C1000" s="4" t="inlineStr">
        <is>
          <t>topics</t>
        </is>
      </c>
      <c r="D1000" s="4" t="inlineStr">
        <is>
          <t>Topics</t>
        </is>
      </c>
      <c r="E1000" s="4" t="inlineStr"/>
    </row>
    <row r="1001">
      <c r="A1001" s="4" t="inlineStr">
        <is>
          <t>958</t>
        </is>
      </c>
      <c r="B1001" s="4" t="inlineStr">
        <is>
          <t>Arts Management</t>
        </is>
      </c>
      <c r="C1001" s="4" t="inlineStr">
        <is>
          <t>topics</t>
        </is>
      </c>
      <c r="D1001" s="4" t="inlineStr">
        <is>
          <t>Topics</t>
        </is>
      </c>
      <c r="E1001" s="4" t="inlineStr"/>
    </row>
    <row r="1002">
      <c r="A1002" s="4" t="inlineStr">
        <is>
          <t>310</t>
        </is>
      </c>
      <c r="B1002" s="4" t="inlineStr">
        <is>
          <t>Asset Management</t>
        </is>
      </c>
      <c r="C1002" s="4" t="inlineStr">
        <is>
          <t>topics</t>
        </is>
      </c>
      <c r="D1002" s="4" t="inlineStr">
        <is>
          <t>Topics</t>
        </is>
      </c>
      <c r="E1002" s="4" t="inlineStr"/>
    </row>
    <row r="1003">
      <c r="A1003" s="4" t="inlineStr">
        <is>
          <t>123</t>
        </is>
      </c>
      <c r="B1003" s="4" t="inlineStr">
        <is>
          <t>Behavioral</t>
        </is>
      </c>
      <c r="C1003" s="4" t="inlineStr">
        <is>
          <t>topics</t>
        </is>
      </c>
      <c r="D1003" s="4" t="inlineStr">
        <is>
          <t>Topics</t>
        </is>
      </c>
      <c r="E1003" s="4" t="inlineStr"/>
    </row>
    <row r="1004">
      <c r="A1004" s="4" t="inlineStr">
        <is>
          <t>940</t>
        </is>
      </c>
      <c r="B1004" s="4" t="inlineStr">
        <is>
          <t>Black Lives Matter</t>
        </is>
      </c>
      <c r="C1004" s="4" t="inlineStr">
        <is>
          <t>topics</t>
        </is>
      </c>
      <c r="D1004" s="4" t="inlineStr">
        <is>
          <t>Topics</t>
        </is>
      </c>
      <c r="E1004" s="4" t="inlineStr"/>
    </row>
    <row r="1005">
      <c r="A1005" s="4" t="inlineStr">
        <is>
          <t>983</t>
        </is>
      </c>
      <c r="B1005" s="4" t="inlineStr">
        <is>
          <t>CEOs</t>
        </is>
      </c>
      <c r="C1005" s="4" t="inlineStr">
        <is>
          <t>topics</t>
        </is>
      </c>
      <c r="D1005" s="4" t="inlineStr">
        <is>
          <t>Topics</t>
        </is>
      </c>
      <c r="E1005" s="4" t="inlineStr"/>
    </row>
    <row r="1006">
      <c r="A1006" s="4" t="inlineStr">
        <is>
          <t>253</t>
        </is>
      </c>
      <c r="B1006" s="4" t="inlineStr">
        <is>
          <t>Community</t>
        </is>
      </c>
      <c r="C1006" s="4" t="inlineStr">
        <is>
          <t>topics</t>
        </is>
      </c>
      <c r="D1006" s="4" t="inlineStr">
        <is>
          <t>Topics</t>
        </is>
      </c>
      <c r="E1006" s="4" t="inlineStr"/>
    </row>
    <row r="1007">
      <c r="A1007" s="4" t="inlineStr">
        <is>
          <t>980</t>
        </is>
      </c>
      <c r="B1007" s="4" t="inlineStr">
        <is>
          <t>Competitive Strategy</t>
        </is>
      </c>
      <c r="C1007" s="4" t="inlineStr">
        <is>
          <t>topics</t>
        </is>
      </c>
      <c r="D1007" s="4" t="inlineStr">
        <is>
          <t>Topics</t>
        </is>
      </c>
      <c r="E1007" s="4" t="inlineStr"/>
    </row>
    <row r="1008">
      <c r="A1008" s="4" t="inlineStr">
        <is>
          <t>954</t>
        </is>
      </c>
      <c r="B1008" s="4" t="inlineStr">
        <is>
          <t>Conferences</t>
        </is>
      </c>
      <c r="C1008" s="4" t="inlineStr">
        <is>
          <t>topics</t>
        </is>
      </c>
      <c r="D1008" s="4" t="inlineStr">
        <is>
          <t>Topics</t>
        </is>
      </c>
      <c r="E1008" s="4" t="inlineStr"/>
    </row>
    <row r="1009">
      <c r="A1009" s="4" t="inlineStr">
        <is>
          <t>298</t>
        </is>
      </c>
      <c r="B1009" s="4" t="inlineStr">
        <is>
          <t>Consulting</t>
        </is>
      </c>
      <c r="C1009" s="4" t="inlineStr">
        <is>
          <t>topics</t>
        </is>
      </c>
      <c r="D1009" s="4" t="inlineStr">
        <is>
          <t>Topics</t>
        </is>
      </c>
      <c r="E1009" s="4" t="inlineStr"/>
    </row>
    <row r="1010">
      <c r="A1010" s="4" t="inlineStr">
        <is>
          <t>303</t>
        </is>
      </c>
      <c r="B1010" s="4" t="inlineStr">
        <is>
          <t>Consumer Products</t>
        </is>
      </c>
      <c r="C1010" s="4" t="inlineStr">
        <is>
          <t>topics</t>
        </is>
      </c>
      <c r="D1010" s="4" t="inlineStr">
        <is>
          <t>Topics</t>
        </is>
      </c>
      <c r="E1010" s="4" t="inlineStr"/>
    </row>
    <row r="1011">
      <c r="A1011" s="4" t="inlineStr">
        <is>
          <t>939</t>
        </is>
      </c>
      <c r="B1011" s="4" t="inlineStr">
        <is>
          <t>COVID19</t>
        </is>
      </c>
      <c r="C1011" s="4" t="inlineStr">
        <is>
          <t>topics</t>
        </is>
      </c>
      <c r="D1011" s="4" t="inlineStr">
        <is>
          <t>Topics</t>
        </is>
      </c>
      <c r="E1011" s="4" t="inlineStr"/>
    </row>
    <row r="1012">
      <c r="A1012" s="4" t="inlineStr">
        <is>
          <t>124</t>
        </is>
      </c>
      <c r="B1012" s="4" t="inlineStr">
        <is>
          <t>Curriculum</t>
        </is>
      </c>
      <c r="C1012" s="4" t="inlineStr">
        <is>
          <t>topics</t>
        </is>
      </c>
      <c r="D1012" s="4" t="inlineStr">
        <is>
          <t>Topics</t>
        </is>
      </c>
      <c r="E1012" s="4" t="inlineStr"/>
    </row>
    <row r="1013">
      <c r="A1013" s="4" t="inlineStr">
        <is>
          <t>945</t>
        </is>
      </c>
      <c r="B1013" s="4" t="inlineStr">
        <is>
          <t>Data</t>
        </is>
      </c>
      <c r="C1013" s="4" t="inlineStr">
        <is>
          <t>topics</t>
        </is>
      </c>
      <c r="D1013" s="4" t="inlineStr">
        <is>
          <t>Topics</t>
        </is>
      </c>
      <c r="E1013" s="4" t="inlineStr"/>
    </row>
    <row r="1014">
      <c r="A1014" s="4" t="inlineStr">
        <is>
          <t>943</t>
        </is>
      </c>
      <c r="B1014" s="4" t="inlineStr">
        <is>
          <t>Design &amp;amp; Innovation</t>
        </is>
      </c>
      <c r="C1014" s="4" t="inlineStr">
        <is>
          <t>topics</t>
        </is>
      </c>
      <c r="D1014" s="4" t="inlineStr">
        <is>
          <t>Topics</t>
        </is>
      </c>
      <c r="E1014" s="4" t="inlineStr"/>
    </row>
    <row r="1015">
      <c r="A1015" s="4" t="inlineStr">
        <is>
          <t>132</t>
        </is>
      </c>
      <c r="B1015" s="4" t="inlineStr">
        <is>
          <t>Diversity and Inclusion</t>
        </is>
      </c>
      <c r="C1015" s="4" t="inlineStr">
        <is>
          <t>topics</t>
        </is>
      </c>
      <c r="D1015" s="4" t="inlineStr">
        <is>
          <t>Topics</t>
        </is>
      </c>
      <c r="E1015" s="4" t="inlineStr"/>
    </row>
    <row r="1016">
      <c r="A1016" s="4" t="inlineStr">
        <is>
          <t>133</t>
        </is>
      </c>
      <c r="B1016" s="4" t="inlineStr">
        <is>
          <t>Economic Development</t>
        </is>
      </c>
      <c r="C1016" s="4" t="inlineStr">
        <is>
          <t>topics</t>
        </is>
      </c>
      <c r="D1016" s="4" t="inlineStr">
        <is>
          <t>Topics</t>
        </is>
      </c>
      <c r="E1016" s="4" t="inlineStr"/>
    </row>
    <row r="1017">
      <c r="A1017" s="4" t="inlineStr">
        <is>
          <t>937</t>
        </is>
      </c>
      <c r="B1017" s="4" t="inlineStr">
        <is>
          <t>Economics</t>
        </is>
      </c>
      <c r="C1017" s="4" t="inlineStr">
        <is>
          <t>topics</t>
        </is>
      </c>
      <c r="D1017" s="4" t="inlineStr">
        <is>
          <t>Topics</t>
        </is>
      </c>
      <c r="E1017" s="4" t="inlineStr"/>
    </row>
    <row r="1018">
      <c r="A1018" s="4" t="inlineStr">
        <is>
          <t>121</t>
        </is>
      </c>
      <c r="B1018" s="4" t="inlineStr">
        <is>
          <t>Education</t>
        </is>
      </c>
      <c r="C1018" s="4" t="inlineStr">
        <is>
          <t>topics</t>
        </is>
      </c>
      <c r="D1018" s="4" t="inlineStr">
        <is>
          <t>Topics</t>
        </is>
      </c>
      <c r="E1018" s="4" t="inlineStr"/>
    </row>
    <row r="1019">
      <c r="A1019" s="4" t="inlineStr">
        <is>
          <t>308</t>
        </is>
      </c>
      <c r="B1019" s="4" t="inlineStr">
        <is>
          <t>Energy</t>
        </is>
      </c>
      <c r="C1019" s="4" t="inlineStr">
        <is>
          <t>topics</t>
        </is>
      </c>
      <c r="D1019" s="4" t="inlineStr">
        <is>
          <t>Topics</t>
        </is>
      </c>
      <c r="E1019" s="4" t="inlineStr"/>
    </row>
    <row r="1020">
      <c r="A1020" s="4" t="inlineStr">
        <is>
          <t>127</t>
        </is>
      </c>
      <c r="B1020" s="4" t="inlineStr">
        <is>
          <t>Entrepreneurship</t>
        </is>
      </c>
      <c r="C1020" s="4" t="inlineStr">
        <is>
          <t>topics</t>
        </is>
      </c>
      <c r="D1020" s="4" t="inlineStr">
        <is>
          <t>Topics</t>
        </is>
      </c>
      <c r="E1020" s="4" t="inlineStr"/>
    </row>
    <row r="1021">
      <c r="A1021" s="4" t="inlineStr">
        <is>
          <t>1543</t>
        </is>
      </c>
      <c r="B1021" s="4" t="inlineStr">
        <is>
          <t>Events</t>
        </is>
      </c>
      <c r="C1021" s="4" t="inlineStr">
        <is>
          <t>topics</t>
        </is>
      </c>
      <c r="D1021" s="4" t="inlineStr">
        <is>
          <t>Topics</t>
        </is>
      </c>
      <c r="E1021" s="4" t="inlineStr"/>
    </row>
    <row r="1022">
      <c r="A1022" s="4" t="inlineStr">
        <is>
          <t>119</t>
        </is>
      </c>
      <c r="B1022" s="4" t="inlineStr">
        <is>
          <t>Faculty</t>
        </is>
      </c>
      <c r="C1022" s="4" t="inlineStr">
        <is>
          <t>topics</t>
        </is>
      </c>
      <c r="D1022" s="4" t="inlineStr">
        <is>
          <t>Topics</t>
        </is>
      </c>
      <c r="E1022" s="4" t="inlineStr"/>
    </row>
    <row r="1023">
      <c r="A1023" s="4" t="inlineStr">
        <is>
          <t>111</t>
        </is>
      </c>
      <c r="B1023" s="4" t="inlineStr">
        <is>
          <t>Finance</t>
        </is>
      </c>
      <c r="C1023" s="4" t="inlineStr">
        <is>
          <t>topics</t>
        </is>
      </c>
      <c r="D1023" s="4" t="inlineStr">
        <is>
          <t>Topics</t>
        </is>
      </c>
      <c r="E1023" s="4" t="inlineStr"/>
    </row>
    <row r="1024">
      <c r="A1024" s="4" t="inlineStr">
        <is>
          <t>947</t>
        </is>
      </c>
      <c r="B1024" s="4" t="inlineStr">
        <is>
          <t>Financial Crises</t>
        </is>
      </c>
      <c r="C1024" s="4" t="inlineStr">
        <is>
          <t>topics</t>
        </is>
      </c>
      <c r="D1024" s="4" t="inlineStr">
        <is>
          <t>Topics</t>
        </is>
      </c>
      <c r="E1024" s="4" t="inlineStr"/>
    </row>
    <row r="1025">
      <c r="A1025" s="4" t="inlineStr">
        <is>
          <t>959</t>
        </is>
      </c>
      <c r="B1025" s="4" t="inlineStr">
        <is>
          <t>Financial History</t>
        </is>
      </c>
      <c r="C1025" s="4" t="inlineStr">
        <is>
          <t>topics</t>
        </is>
      </c>
      <c r="D1025" s="4" t="inlineStr">
        <is>
          <t>Topics</t>
        </is>
      </c>
      <c r="E1025" s="4" t="inlineStr"/>
    </row>
    <row r="1026">
      <c r="A1026" s="4" t="inlineStr">
        <is>
          <t>978</t>
        </is>
      </c>
      <c r="B1026" s="4" t="inlineStr">
        <is>
          <t>FinTech</t>
        </is>
      </c>
      <c r="C1026" s="4" t="inlineStr">
        <is>
          <t>topics</t>
        </is>
      </c>
      <c r="D1026" s="4" t="inlineStr">
        <is>
          <t>Topics</t>
        </is>
      </c>
      <c r="E1026" s="4" t="inlineStr"/>
    </row>
    <row r="1027">
      <c r="A1027" s="4" t="inlineStr">
        <is>
          <t>117</t>
        </is>
      </c>
      <c r="B1027" s="4" t="inlineStr">
        <is>
          <t>Global Business</t>
        </is>
      </c>
      <c r="C1027" s="4" t="inlineStr">
        <is>
          <t>topics</t>
        </is>
      </c>
      <c r="D1027" s="4" t="inlineStr">
        <is>
          <t>Topics</t>
        </is>
      </c>
      <c r="E1027" s="4" t="inlineStr"/>
    </row>
    <row r="1028">
      <c r="A1028" s="4" t="inlineStr">
        <is>
          <t>126</t>
        </is>
      </c>
      <c r="B1028" s="4" t="inlineStr">
        <is>
          <t>Global Network</t>
        </is>
      </c>
      <c r="C1028" s="4" t="inlineStr">
        <is>
          <t>topics</t>
        </is>
      </c>
      <c r="D1028" s="4" t="inlineStr">
        <is>
          <t>Topics</t>
        </is>
      </c>
      <c r="E1028" s="4" t="inlineStr"/>
    </row>
    <row r="1029">
      <c r="A1029" s="4" t="inlineStr">
        <is>
          <t>966</t>
        </is>
      </c>
      <c r="B1029" s="4" t="inlineStr">
        <is>
          <t>Global Network Week</t>
        </is>
      </c>
      <c r="C1029" s="4" t="inlineStr">
        <is>
          <t>topics</t>
        </is>
      </c>
      <c r="D1029" s="4" t="inlineStr">
        <is>
          <t>Topics</t>
        </is>
      </c>
      <c r="E1029" s="4" t="inlineStr"/>
    </row>
    <row r="1030">
      <c r="A1030" s="4" t="inlineStr">
        <is>
          <t>952</t>
        </is>
      </c>
      <c r="B1030" s="4" t="inlineStr">
        <is>
          <t>Global Social Entrepreneurship</t>
        </is>
      </c>
      <c r="C1030" s="4" t="inlineStr">
        <is>
          <t>topics</t>
        </is>
      </c>
      <c r="D1030" s="4" t="inlineStr">
        <is>
          <t>Topics</t>
        </is>
      </c>
      <c r="E1030" s="4" t="inlineStr"/>
    </row>
    <row r="1031">
      <c r="A1031" s="4" t="inlineStr">
        <is>
          <t>956</t>
        </is>
      </c>
      <c r="B1031" s="4" t="inlineStr">
        <is>
          <t>Government</t>
        </is>
      </c>
      <c r="C1031" s="4" t="inlineStr">
        <is>
          <t>topics</t>
        </is>
      </c>
      <c r="D1031" s="4" t="inlineStr">
        <is>
          <t>Topics</t>
        </is>
      </c>
      <c r="E1031" s="4" t="inlineStr"/>
    </row>
    <row r="1032">
      <c r="A1032" s="4" t="inlineStr">
        <is>
          <t>122</t>
        </is>
      </c>
      <c r="B1032" s="4" t="inlineStr">
        <is>
          <t>Healthcare</t>
        </is>
      </c>
      <c r="C1032" s="4" t="inlineStr">
        <is>
          <t>topics</t>
        </is>
      </c>
      <c r="D1032" s="4" t="inlineStr">
        <is>
          <t>Topics</t>
        </is>
      </c>
      <c r="E1032" s="4" t="inlineStr"/>
    </row>
    <row r="1033">
      <c r="A1033" s="4" t="inlineStr">
        <is>
          <t>1611</t>
        </is>
      </c>
      <c r="B1033" s="4" t="inlineStr">
        <is>
          <t>High Tech Webinars</t>
        </is>
      </c>
      <c r="C1033" s="4" t="inlineStr">
        <is>
          <t>topics</t>
        </is>
      </c>
      <c r="D1033" s="4" t="inlineStr">
        <is>
          <t>Topics</t>
        </is>
      </c>
      <c r="E1033" s="4" t="inlineStr"/>
    </row>
    <row r="1034">
      <c r="A1034" s="4" t="inlineStr">
        <is>
          <t>957</t>
        </is>
      </c>
      <c r="B1034" s="4" t="inlineStr">
        <is>
          <t>Human Capital</t>
        </is>
      </c>
      <c r="C1034" s="4" t="inlineStr">
        <is>
          <t>topics</t>
        </is>
      </c>
      <c r="D1034" s="4" t="inlineStr">
        <is>
          <t>Topics</t>
        </is>
      </c>
      <c r="E1034" s="4" t="inlineStr"/>
    </row>
    <row r="1035">
      <c r="A1035" s="4" t="inlineStr">
        <is>
          <t>929</t>
        </is>
      </c>
      <c r="B1035" s="4" t="inlineStr">
        <is>
          <t>Impact</t>
        </is>
      </c>
      <c r="C1035" s="4" t="inlineStr">
        <is>
          <t>topics</t>
        </is>
      </c>
      <c r="D1035" s="4" t="inlineStr">
        <is>
          <t>Topics</t>
        </is>
      </c>
      <c r="E1035" s="4" t="inlineStr"/>
    </row>
    <row r="1036">
      <c r="A1036" s="4" t="inlineStr">
        <is>
          <t>965</t>
        </is>
      </c>
      <c r="B1036" s="4" t="inlineStr">
        <is>
          <t>Impact Investing</t>
        </is>
      </c>
      <c r="C1036" s="4" t="inlineStr">
        <is>
          <t>topics</t>
        </is>
      </c>
      <c r="D1036" s="4" t="inlineStr">
        <is>
          <t>Topics</t>
        </is>
      </c>
      <c r="E1036" s="4" t="inlineStr"/>
    </row>
    <row r="1037">
      <c r="A1037" s="4" t="inlineStr">
        <is>
          <t>131</t>
        </is>
      </c>
      <c r="B1037" s="4" t="inlineStr">
        <is>
          <t>Innovation</t>
        </is>
      </c>
      <c r="C1037" s="4" t="inlineStr">
        <is>
          <t>topics</t>
        </is>
      </c>
      <c r="D1037" s="4" t="inlineStr">
        <is>
          <t>Topics</t>
        </is>
      </c>
      <c r="E1037" s="4" t="inlineStr"/>
    </row>
    <row r="1038">
      <c r="A1038" s="4" t="inlineStr">
        <is>
          <t>951</t>
        </is>
      </c>
      <c r="B1038" s="4" t="inlineStr">
        <is>
          <t>Internships</t>
        </is>
      </c>
      <c r="C1038" s="4" t="inlineStr">
        <is>
          <t>topics</t>
        </is>
      </c>
      <c r="D1038" s="4" t="inlineStr">
        <is>
          <t>Topics</t>
        </is>
      </c>
      <c r="E1038" s="4" t="inlineStr"/>
    </row>
    <row r="1039">
      <c r="A1039" s="4" t="inlineStr">
        <is>
          <t>963</t>
        </is>
      </c>
      <c r="B1039" s="4" t="inlineStr">
        <is>
          <t>Investing</t>
        </is>
      </c>
      <c r="C1039" s="4" t="inlineStr">
        <is>
          <t>topics</t>
        </is>
      </c>
      <c r="D1039" s="4" t="inlineStr">
        <is>
          <t>Topics</t>
        </is>
      </c>
      <c r="E1039" s="4" t="inlineStr"/>
    </row>
    <row r="1040">
      <c r="A1040" s="4" t="inlineStr">
        <is>
          <t>108</t>
        </is>
      </c>
      <c r="B1040" s="4" t="inlineStr">
        <is>
          <t>Leadership</t>
        </is>
      </c>
      <c r="C1040" s="4" t="inlineStr">
        <is>
          <t>topics</t>
        </is>
      </c>
      <c r="D1040" s="4" t="inlineStr">
        <is>
          <t>Topics</t>
        </is>
      </c>
      <c r="E1040" s="4" t="inlineStr"/>
    </row>
    <row r="1041">
      <c r="A1041" s="4" t="inlineStr">
        <is>
          <t>986</t>
        </is>
      </c>
      <c r="B1041" s="4" t="inlineStr">
        <is>
          <t>Manufacturing</t>
        </is>
      </c>
      <c r="C1041" s="4" t="inlineStr">
        <is>
          <t>topics</t>
        </is>
      </c>
      <c r="D1041" s="4" t="inlineStr">
        <is>
          <t>Topics</t>
        </is>
      </c>
      <c r="E1041" s="4" t="inlineStr"/>
    </row>
    <row r="1042">
      <c r="A1042" s="4" t="inlineStr">
        <is>
          <t>112</t>
        </is>
      </c>
      <c r="B1042" s="4" t="inlineStr">
        <is>
          <t>Marketing</t>
        </is>
      </c>
      <c r="C1042" s="4" t="inlineStr">
        <is>
          <t>topics</t>
        </is>
      </c>
      <c r="D1042" s="4" t="inlineStr">
        <is>
          <t>Topics</t>
        </is>
      </c>
      <c r="E1042" s="4" t="inlineStr"/>
    </row>
    <row r="1043">
      <c r="A1043" s="4" t="inlineStr">
        <is>
          <t>307</t>
        </is>
      </c>
      <c r="B1043" s="4" t="inlineStr">
        <is>
          <t>Media/Entertainment</t>
        </is>
      </c>
      <c r="C1043" s="4" t="inlineStr">
        <is>
          <t>topics</t>
        </is>
      </c>
      <c r="D1043" s="4" t="inlineStr">
        <is>
          <t>Topics</t>
        </is>
      </c>
      <c r="E1043" s="4" t="inlineStr"/>
    </row>
    <row r="1044">
      <c r="A1044" s="4" t="inlineStr">
        <is>
          <t>299</t>
        </is>
      </c>
      <c r="B1044" s="4" t="inlineStr">
        <is>
          <t>Nonprofit</t>
        </is>
      </c>
      <c r="C1044" s="4" t="inlineStr">
        <is>
          <t>topics</t>
        </is>
      </c>
      <c r="D1044" s="4" t="inlineStr">
        <is>
          <t>Topics</t>
        </is>
      </c>
      <c r="E1044" s="4" t="inlineStr"/>
    </row>
    <row r="1045">
      <c r="A1045" s="4" t="inlineStr">
        <is>
          <t>118</t>
        </is>
      </c>
      <c r="B1045" s="4" t="inlineStr">
        <is>
          <t>Operations</t>
        </is>
      </c>
      <c r="C1045" s="4" t="inlineStr">
        <is>
          <t>topics</t>
        </is>
      </c>
      <c r="D1045" s="4" t="inlineStr">
        <is>
          <t>Topics</t>
        </is>
      </c>
      <c r="E1045" s="4" t="inlineStr"/>
    </row>
    <row r="1046">
      <c r="A1046" s="4" t="inlineStr">
        <is>
          <t>113</t>
        </is>
      </c>
      <c r="B1046" s="4" t="inlineStr">
        <is>
          <t>Organizational Behavior</t>
        </is>
      </c>
      <c r="C1046" s="4" t="inlineStr">
        <is>
          <t>topics</t>
        </is>
      </c>
      <c r="D1046" s="4" t="inlineStr">
        <is>
          <t>Topics</t>
        </is>
      </c>
      <c r="E1046" s="4" t="inlineStr"/>
    </row>
    <row r="1047">
      <c r="A1047" s="4" t="inlineStr">
        <is>
          <t>948</t>
        </is>
      </c>
      <c r="B1047" s="4" t="inlineStr">
        <is>
          <t>Politics</t>
        </is>
      </c>
      <c r="C1047" s="4" t="inlineStr">
        <is>
          <t>topics</t>
        </is>
      </c>
      <c r="D1047" s="4" t="inlineStr">
        <is>
          <t>Topics</t>
        </is>
      </c>
      <c r="E1047" s="4" t="inlineStr"/>
    </row>
    <row r="1048">
      <c r="A1048" s="4" t="inlineStr">
        <is>
          <t>961</t>
        </is>
      </c>
      <c r="B1048" s="4" t="inlineStr">
        <is>
          <t>Public Policy</t>
        </is>
      </c>
      <c r="C1048" s="4" t="inlineStr">
        <is>
          <t>topics</t>
        </is>
      </c>
      <c r="D1048" s="4" t="inlineStr">
        <is>
          <t>Topics</t>
        </is>
      </c>
      <c r="E1048" s="4" t="inlineStr"/>
    </row>
    <row r="1049">
      <c r="A1049" s="4" t="inlineStr">
        <is>
          <t>309</t>
        </is>
      </c>
      <c r="B1049" s="4" t="inlineStr">
        <is>
          <t>Real Estate</t>
        </is>
      </c>
      <c r="C1049" s="4" t="inlineStr">
        <is>
          <t>topics</t>
        </is>
      </c>
      <c r="D1049" s="4" t="inlineStr">
        <is>
          <t>Topics</t>
        </is>
      </c>
      <c r="E1049" s="4" t="inlineStr"/>
    </row>
    <row r="1050">
      <c r="A1050" s="4" t="inlineStr">
        <is>
          <t>114</t>
        </is>
      </c>
      <c r="B1050" s="4" t="inlineStr">
        <is>
          <t>Social Enterprise</t>
        </is>
      </c>
      <c r="C1050" s="4" t="inlineStr">
        <is>
          <t>topics</t>
        </is>
      </c>
      <c r="D1050" s="4" t="inlineStr">
        <is>
          <t>Topics</t>
        </is>
      </c>
      <c r="E1050" s="4" t="inlineStr"/>
    </row>
    <row r="1051">
      <c r="A1051" s="4" t="inlineStr">
        <is>
          <t>1147</t>
        </is>
      </c>
      <c r="B1051" s="4" t="inlineStr">
        <is>
          <t>Social Impact</t>
        </is>
      </c>
      <c r="C1051" s="4" t="inlineStr">
        <is>
          <t>topics</t>
        </is>
      </c>
      <c r="D1051" s="4" t="inlineStr">
        <is>
          <t>Topics</t>
        </is>
      </c>
      <c r="E1051" s="4" t="inlineStr"/>
    </row>
    <row r="1052">
      <c r="A1052" s="4" t="inlineStr">
        <is>
          <t>1145</t>
        </is>
      </c>
      <c r="B1052" s="4" t="inlineStr">
        <is>
          <t>Stakeholder Capitalism</t>
        </is>
      </c>
      <c r="C1052" s="4" t="inlineStr">
        <is>
          <t>topics</t>
        </is>
      </c>
      <c r="D1052" s="4" t="inlineStr">
        <is>
          <t>Topics</t>
        </is>
      </c>
      <c r="E1052" s="4" t="inlineStr"/>
    </row>
    <row r="1053">
      <c r="A1053" s="4" t="inlineStr">
        <is>
          <t>1542</t>
        </is>
      </c>
      <c r="B1053" s="4" t="inlineStr">
        <is>
          <t>Student Experience</t>
        </is>
      </c>
      <c r="C1053" s="4" t="inlineStr">
        <is>
          <t>topics</t>
        </is>
      </c>
      <c r="D1053" s="4" t="inlineStr">
        <is>
          <t>Topics</t>
        </is>
      </c>
      <c r="E1053" s="4" t="inlineStr"/>
    </row>
    <row r="1054">
      <c r="A1054" s="4" t="inlineStr">
        <is>
          <t>115</t>
        </is>
      </c>
      <c r="B1054" s="4" t="inlineStr">
        <is>
          <t>Sustainability</t>
        </is>
      </c>
      <c r="C1054" s="4" t="inlineStr">
        <is>
          <t>topics</t>
        </is>
      </c>
      <c r="D1054" s="4" t="inlineStr">
        <is>
          <t>Topics</t>
        </is>
      </c>
      <c r="E1054" s="4" t="inlineStr"/>
    </row>
    <row r="1055">
      <c r="A1055" s="4" t="inlineStr">
        <is>
          <t>302</t>
        </is>
      </c>
      <c r="B1055" s="4" t="inlineStr">
        <is>
          <t>Technology</t>
        </is>
      </c>
      <c r="C1055" s="4" t="inlineStr">
        <is>
          <t>topics</t>
        </is>
      </c>
      <c r="D1055" s="4" t="inlineStr">
        <is>
          <t>Topics</t>
        </is>
      </c>
      <c r="E1055" s="4" t="inlineStr"/>
    </row>
    <row r="1056">
      <c r="A1056" s="4" t="inlineStr">
        <is>
          <t>981</t>
        </is>
      </c>
      <c r="B1056" s="4" t="inlineStr">
        <is>
          <t>Women's Leadership</t>
        </is>
      </c>
      <c r="C1056" s="4" t="inlineStr">
        <is>
          <t>topics</t>
        </is>
      </c>
      <c r="D1056" s="4" t="inlineStr">
        <is>
          <t>Topics</t>
        </is>
      </c>
      <c r="E1056" s="4" t="inlineStr"/>
    </row>
    <row r="1057">
      <c r="A1057" s="4" t="inlineStr">
        <is>
          <t>1544</t>
        </is>
      </c>
      <c r="B1057" s="4" t="inlineStr">
        <is>
          <t>Yale University</t>
        </is>
      </c>
      <c r="C1057" s="4" t="inlineStr">
        <is>
          <t>topics</t>
        </is>
      </c>
      <c r="D1057" s="4" t="inlineStr">
        <is>
          <t>Topics</t>
        </is>
      </c>
      <c r="E1057" s="4" t="inlineStr"/>
    </row>
  </sheetData>
  <autoFilter ref="A1:E105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sheetData>
    <row r="1">
      <c r="A1" t="inlineStr">
        <is>
          <t>Content Types</t>
        </is>
      </c>
    </row>
    <row r="2">
      <c r="A2" t="inlineStr">
        <is>
          <t>ampersand_story</t>
        </is>
      </c>
    </row>
    <row r="3">
      <c r="A3" t="inlineStr">
        <is>
          <t>course</t>
        </is>
      </c>
    </row>
    <row r="4">
      <c r="A4" t="inlineStr">
        <is>
          <t>enews_announcement</t>
        </is>
      </c>
    </row>
    <row r="5">
      <c r="A5" t="inlineStr">
        <is>
          <t>event</t>
        </is>
      </c>
    </row>
    <row r="6">
      <c r="A6" t="inlineStr">
        <is>
          <t>faculty</t>
        </is>
      </c>
    </row>
    <row r="7">
      <c r="A7" t="inlineStr">
        <is>
          <t>impact_story</t>
        </is>
      </c>
    </row>
    <row r="8">
      <c r="A8" t="inlineStr">
        <is>
          <t>landing_page</t>
        </is>
      </c>
    </row>
    <row r="9">
      <c r="A9" t="inlineStr">
        <is>
          <t>page</t>
        </is>
      </c>
    </row>
    <row r="10">
      <c r="A10" t="inlineStr">
        <is>
          <t>podcast</t>
        </is>
      </c>
    </row>
    <row r="11">
      <c r="A11" t="inlineStr">
        <is>
          <t>podcast_series</t>
        </is>
      </c>
    </row>
    <row r="12">
      <c r="A12" t="inlineStr">
        <is>
          <t>profile</t>
        </is>
      </c>
    </row>
    <row r="13">
      <c r="A13" t="inlineStr">
        <is>
          <t>publications</t>
        </is>
      </c>
    </row>
    <row r="14">
      <c r="A14" t="inlineStr">
        <is>
          <t>story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sheetData>
    <row r="1">
      <c r="A1" s="3" t="inlineStr">
        <is>
          <t>page</t>
        </is>
      </c>
      <c r="B1" s="3" t="inlineStr">
        <is>
          <t>url</t>
        </is>
      </c>
      <c r="C1" s="3" t="inlineStr">
        <is>
          <t>pageBundle</t>
        </is>
      </c>
      <c r="D1" s="3" t="inlineStr">
        <is>
          <t>pageEntityId</t>
        </is>
      </c>
      <c r="E1" s="3" t="inlineStr">
        <is>
          <t>pageTitle</t>
        </is>
      </c>
      <c r="F1" s="3" t="inlineStr">
        <is>
          <t>viewId</t>
        </is>
      </c>
      <c r="G1" s="3" t="inlineStr">
        <is>
          <t>displayId</t>
        </is>
      </c>
      <c r="H1" s="3" t="inlineStr">
        <is>
          <t>displayTitle</t>
        </is>
      </c>
      <c r="I1" s="3" t="inlineStr">
        <is>
          <t>contentTypes</t>
        </is>
      </c>
      <c r="J1" s="3" t="inlineStr">
        <is>
          <t>limit</t>
        </is>
      </c>
      <c r="K1" s="3" t="inlineStr">
        <is>
          <t>source</t>
        </is>
      </c>
      <c r="L1" s="3" t="inlineStr">
        <is>
          <t>rawArgs</t>
        </is>
      </c>
      <c r="M1" s="3" t="inlineStr">
        <is>
          <t>argumentDimensions</t>
        </is>
      </c>
      <c r="N1" s="3" t="inlineStr">
        <is>
          <t>argumentValues</t>
        </is>
      </c>
    </row>
    <row r="2">
      <c r="A2" s="4" t="inlineStr">
        <is>
          <t>/case-studies</t>
        </is>
      </c>
      <c r="B2" s="4" t="inlineStr">
        <is>
          <t>https://som.yale.edu/case-studies</t>
        </is>
      </c>
      <c r="C2" s="4" t="inlineStr">
        <is>
          <t>center</t>
        </is>
      </c>
      <c r="D2" s="4" t="inlineStr">
        <is>
          <t>315</t>
        </is>
      </c>
      <c r="E2" s="4" t="inlineStr">
        <is>
          <t>Case Study Research \u0026 Development Team (CRDT)</t>
        </is>
      </c>
      <c r="F2" s="4" t="inlineStr">
        <is>
          <t>stories_grid_without_images</t>
        </is>
      </c>
      <c r="G2" s="4" t="inlineStr">
        <is>
          <t>embed_news</t>
        </is>
      </c>
      <c r="H2" s="4" t="inlineStr">
        <is>
          <t>All news</t>
        </is>
      </c>
      <c r="I2" s="4" t="inlineStr">
        <is>
          <t>story</t>
        </is>
      </c>
      <c r="J2" s="4" t="n">
        <v>3</v>
      </c>
      <c r="K2" s="4" t="inlineStr">
        <is>
          <t>manual-override</t>
        </is>
      </c>
      <c r="L2" s="4" t="inlineStr">
        <is>
          <t>942</t>
        </is>
      </c>
      <c r="M2" t="inlineStr">
        <is>
          <t>context</t>
        </is>
      </c>
      <c r="N2" t="inlineStr">
        <is>
          <t>Case Study Research and Development (942)</t>
        </is>
      </c>
    </row>
    <row r="3">
      <c r="A3" s="4" t="inlineStr">
        <is>
          <t>/alumni</t>
        </is>
      </c>
      <c r="B3" s="4" t="inlineStr">
        <is>
          <t>https://som.yale.edu/alumni</t>
        </is>
      </c>
      <c r="C3" s="4" t="inlineStr">
        <is>
          <t>page</t>
        </is>
      </c>
      <c r="D3" s="4" t="inlineStr">
        <is>
          <t>243385</t>
        </is>
      </c>
      <c r="E3" s="4" t="inlineStr">
        <is>
          <t>Alumni</t>
        </is>
      </c>
      <c r="F3" s="4" t="inlineStr">
        <is>
          <t>event_teaser_list</t>
        </is>
      </c>
      <c r="G3" s="4" t="inlineStr">
        <is>
          <t>embed_1</t>
        </is>
      </c>
      <c r="H3" s="4" t="inlineStr">
        <is>
          <t>Embed</t>
        </is>
      </c>
      <c r="I3" s="4" t="inlineStr">
        <is>
          <t>event</t>
        </is>
      </c>
      <c r="J3" s="4" t="n">
        <v>3</v>
      </c>
      <c r="K3" s="4" t="inlineStr">
        <is>
          <t>section-context</t>
        </is>
      </c>
      <c r="L3" s="4" t="inlineStr">
        <is>
          <t>1142</t>
        </is>
      </c>
      <c r="M3" t="inlineStr">
        <is>
          <t>context</t>
        </is>
      </c>
      <c r="N3" t="inlineStr">
        <is>
          <t>Alumni (1142)</t>
        </is>
      </c>
    </row>
    <row r="4">
      <c r="A4" s="4" t="inlineStr">
        <is>
          <t>/alumni</t>
        </is>
      </c>
      <c r="B4" s="4" t="inlineStr">
        <is>
          <t>https://som.yale.edu/alumni</t>
        </is>
      </c>
      <c r="C4" s="4" t="inlineStr">
        <is>
          <t>page</t>
        </is>
      </c>
      <c r="D4" s="4" t="inlineStr">
        <is>
          <t>243385</t>
        </is>
      </c>
      <c r="E4" s="4" t="inlineStr">
        <is>
          <t>Alumni</t>
        </is>
      </c>
      <c r="F4" s="4" t="inlineStr">
        <is>
          <t>stories_grid_with_images</t>
        </is>
      </c>
      <c r="G4" s="4" t="inlineStr">
        <is>
          <t>embed_1</t>
        </is>
      </c>
      <c r="H4" s="4" t="inlineStr">
        <is>
          <t>All stories</t>
        </is>
      </c>
      <c r="I4" s="4" t="inlineStr">
        <is>
          <t>story</t>
        </is>
      </c>
      <c r="J4" s="4" t="n">
        <v>3</v>
      </c>
      <c r="K4" s="4" t="inlineStr">
        <is>
          <t>section-context</t>
        </is>
      </c>
      <c r="L4" s="4" t="inlineStr">
        <is>
          <t>1142</t>
        </is>
      </c>
      <c r="M4" t="inlineStr">
        <is>
          <t>context</t>
        </is>
      </c>
      <c r="N4" t="inlineStr">
        <is>
          <t>Alumni (1142)</t>
        </is>
      </c>
    </row>
    <row r="5">
      <c r="A5" s="4" t="inlineStr">
        <is>
          <t>/centers/center-for-customer-insights</t>
        </is>
      </c>
      <c r="B5" s="4" t="inlineStr">
        <is>
          <t>https://som.yale.edu/centers/center-for-customer-insights</t>
        </is>
      </c>
      <c r="C5" s="4" t="inlineStr">
        <is>
          <t>center</t>
        </is>
      </c>
      <c r="D5" s="4" t="inlineStr">
        <is>
          <t>134</t>
        </is>
      </c>
      <c r="E5" s="4" t="inlineStr">
        <is>
          <t>Yale Center for Customer Insights</t>
        </is>
      </c>
      <c r="F5" s="4" t="inlineStr">
        <is>
          <t>stories_grid_with_images</t>
        </is>
      </c>
      <c r="G5" s="4" t="inlineStr">
        <is>
          <t>embed_blog</t>
        </is>
      </c>
      <c r="H5" s="4" t="inlineStr">
        <is>
          <t>All blogs</t>
        </is>
      </c>
      <c r="I5" s="4" t="inlineStr">
        <is>
          <t>story</t>
        </is>
      </c>
      <c r="J5" s="4" t="n">
        <v>3</v>
      </c>
      <c r="K5" s="4" t="inlineStr">
        <is>
          <t>section-context</t>
        </is>
      </c>
      <c r="L5" s="4" t="inlineStr">
        <is>
          <t>944</t>
        </is>
      </c>
      <c r="M5" t="inlineStr">
        <is>
          <t>context</t>
        </is>
      </c>
      <c r="N5" t="inlineStr">
        <is>
          <t>Center for Customer Insights (944)</t>
        </is>
      </c>
    </row>
    <row r="6">
      <c r="A6" s="4" t="inlineStr">
        <is>
          <t>/centers/chief-executive-leadership-institute</t>
        </is>
      </c>
      <c r="B6" s="4" t="inlineStr">
        <is>
          <t>https://som.yale.edu/centers/chief-executive-leadership-institute</t>
        </is>
      </c>
      <c r="C6" s="4" t="inlineStr">
        <is>
          <t>center</t>
        </is>
      </c>
      <c r="D6" s="4" t="inlineStr">
        <is>
          <t>107</t>
        </is>
      </c>
      <c r="E6" s="4" t="inlineStr">
        <is>
          <t>Chief Executive Leadership Institute</t>
        </is>
      </c>
      <c r="F6" s="4" t="inlineStr">
        <is>
          <t>stories_grid_with_images</t>
        </is>
      </c>
      <c r="G6" s="4" t="inlineStr">
        <is>
          <t>embed_news</t>
        </is>
      </c>
      <c r="H6" s="4" t="inlineStr">
        <is>
          <t>All news</t>
        </is>
      </c>
      <c r="I6" s="4" t="inlineStr">
        <is>
          <t>story</t>
        </is>
      </c>
      <c r="J6" s="4" t="n">
        <v>3</v>
      </c>
      <c r="K6" s="4" t="inlineStr">
        <is>
          <t>section-context</t>
        </is>
      </c>
      <c r="L6" s="4" t="inlineStr">
        <is>
          <t>925</t>
        </is>
      </c>
      <c r="M6" t="inlineStr">
        <is>
          <t>context</t>
        </is>
      </c>
      <c r="N6" t="inlineStr">
        <is>
          <t>Chief Executive Leadership Institute (925)</t>
        </is>
      </c>
    </row>
    <row r="7">
      <c r="A7" s="4" t="inlineStr">
        <is>
          <t>/centers/international-center-for-finance</t>
        </is>
      </c>
      <c r="B7" s="4" t="inlineStr">
        <is>
          <t>https://som.yale.edu/centers/international-center-for-finance</t>
        </is>
      </c>
      <c r="C7" s="4" t="inlineStr">
        <is>
          <t>center</t>
        </is>
      </c>
      <c r="D7" s="4" t="inlineStr">
        <is>
          <t>83</t>
        </is>
      </c>
      <c r="E7" s="4" t="inlineStr">
        <is>
          <t>International Center for Finance</t>
        </is>
      </c>
      <c r="F7" s="4" t="inlineStr">
        <is>
          <t>stories_teaser_cards</t>
        </is>
      </c>
      <c r="G7" s="4" t="inlineStr">
        <is>
          <t>embed_all</t>
        </is>
      </c>
      <c r="H7" s="4" t="inlineStr">
        <is>
          <t>All stories</t>
        </is>
      </c>
      <c r="I7" s="4" t="inlineStr">
        <is>
          <t>story</t>
        </is>
      </c>
      <c r="J7" s="4" t="n">
        <v>3</v>
      </c>
      <c r="K7" s="4" t="inlineStr">
        <is>
          <t>section-context</t>
        </is>
      </c>
      <c r="L7" s="4" t="inlineStr">
        <is>
          <t>931</t>
        </is>
      </c>
      <c r="M7" t="inlineStr">
        <is>
          <t>context</t>
        </is>
      </c>
      <c r="N7" t="inlineStr">
        <is>
          <t>International Center for Finance (931)</t>
        </is>
      </c>
    </row>
    <row r="8">
      <c r="A8" s="4" t="inlineStr">
        <is>
          <t>/centers/program-on-entrepreneurship</t>
        </is>
      </c>
      <c r="B8" s="4" t="inlineStr">
        <is>
          <t>https://som.yale.edu/centers/program-on-entrepreneurship</t>
        </is>
      </c>
      <c r="C8" s="4" t="inlineStr">
        <is>
          <t>center</t>
        </is>
      </c>
      <c r="D8" s="4" t="inlineStr">
        <is>
          <t>105</t>
        </is>
      </c>
      <c r="E8" s="4" t="inlineStr">
        <is>
          <t>Program on Entrepreneurship</t>
        </is>
      </c>
      <c r="F8" s="4" t="inlineStr">
        <is>
          <t>stories_grid_without_images</t>
        </is>
      </c>
      <c r="G8" s="4" t="inlineStr">
        <is>
          <t>embed_1</t>
        </is>
      </c>
      <c r="H8" s="4" t="inlineStr">
        <is>
          <t>All stories</t>
        </is>
      </c>
      <c r="I8" s="4" t="inlineStr">
        <is>
          <t>story</t>
        </is>
      </c>
      <c r="J8" s="4" t="n">
        <v>3</v>
      </c>
      <c r="K8" s="4" t="inlineStr">
        <is>
          <t>section-context</t>
        </is>
      </c>
      <c r="L8" s="4" t="inlineStr">
        <is>
          <t>934</t>
        </is>
      </c>
      <c r="M8" t="inlineStr">
        <is>
          <t>context</t>
        </is>
      </c>
      <c r="N8" t="inlineStr">
        <is>
          <t>Program on Entrepreneurship (934)</t>
        </is>
      </c>
    </row>
    <row r="9">
      <c r="A9" s="4" t="inlineStr">
        <is>
          <t>/centers/program-on-financial-stability</t>
        </is>
      </c>
      <c r="B9" s="4" t="inlineStr">
        <is>
          <t>https://som.yale.edu/centers/program-on-financial-stability</t>
        </is>
      </c>
      <c r="C9" s="4" t="inlineStr">
        <is>
          <t>center</t>
        </is>
      </c>
      <c r="D9" s="4" t="inlineStr">
        <is>
          <t>106</t>
        </is>
      </c>
      <c r="E9" s="4" t="inlineStr">
        <is>
          <t>Program on Financial Stability</t>
        </is>
      </c>
      <c r="F9" s="4" t="inlineStr">
        <is>
          <t>stories_grid_without_images</t>
        </is>
      </c>
      <c r="G9" s="4" t="inlineStr">
        <is>
          <t>embed_1</t>
        </is>
      </c>
      <c r="H9" s="4" t="inlineStr">
        <is>
          <t>All stories</t>
        </is>
      </c>
      <c r="I9" s="4" t="inlineStr">
        <is>
          <t>story</t>
        </is>
      </c>
      <c r="J9" s="4" t="n">
        <v>3</v>
      </c>
      <c r="K9" s="4" t="inlineStr">
        <is>
          <t>section-context</t>
        </is>
      </c>
      <c r="L9" s="4" t="inlineStr">
        <is>
          <t>955</t>
        </is>
      </c>
      <c r="M9" t="inlineStr">
        <is>
          <t>context</t>
        </is>
      </c>
      <c r="N9" t="inlineStr">
        <is>
          <t>Program on Financial Stability (955)</t>
        </is>
      </c>
    </row>
    <row r="10">
      <c r="A10" s="4" t="inlineStr">
        <is>
          <t>/centers/swensen-asset-management-institute</t>
        </is>
      </c>
      <c r="B10" s="4" t="inlineStr">
        <is>
          <t>https://som.yale.edu/centers/swensen-asset-management-institute</t>
        </is>
      </c>
      <c r="C10" s="4" t="inlineStr">
        <is>
          <t>center</t>
        </is>
      </c>
      <c r="D10" s="4" t="inlineStr">
        <is>
          <t>1173</t>
        </is>
      </c>
      <c r="E10" s="4" t="inlineStr">
        <is>
          <t>Swensen Asset Management Institute</t>
        </is>
      </c>
      <c r="F10" s="4" t="inlineStr">
        <is>
          <t>stories_teaser_cards</t>
        </is>
      </c>
      <c r="G10" s="4" t="inlineStr">
        <is>
          <t>embed_all</t>
        </is>
      </c>
      <c r="H10" s="4" t="inlineStr">
        <is>
          <t>All stories</t>
        </is>
      </c>
      <c r="I10" s="4" t="inlineStr">
        <is>
          <t>story</t>
        </is>
      </c>
      <c r="J10" s="4" t="n">
        <v>3</v>
      </c>
      <c r="K10" s="4" t="inlineStr">
        <is>
          <t>section-context</t>
        </is>
      </c>
      <c r="L10" s="4" t="inlineStr">
        <is>
          <t>1174</t>
        </is>
      </c>
      <c r="M10" t="inlineStr">
        <is>
          <t>context</t>
        </is>
      </c>
      <c r="N10" t="inlineStr">
        <is>
          <t>Swensen Asset Management Institute (1174)</t>
        </is>
      </c>
    </row>
    <row r="11">
      <c r="A11" s="4" t="inlineStr">
        <is>
          <t>/centers/the-broad-center</t>
        </is>
      </c>
      <c r="B11" s="4" t="inlineStr">
        <is>
          <t>https://som.yale.edu/centers/the-broad-center</t>
        </is>
      </c>
      <c r="C11" s="4" t="inlineStr">
        <is>
          <t>center</t>
        </is>
      </c>
      <c r="D11" s="4" t="inlineStr">
        <is>
          <t>5</t>
        </is>
      </c>
      <c r="E11" s="4" t="inlineStr">
        <is>
          <t>The Broad Center</t>
        </is>
      </c>
      <c r="F11" s="4" t="inlineStr">
        <is>
          <t>stories_grid_with_images</t>
        </is>
      </c>
      <c r="G11" s="4" t="inlineStr">
        <is>
          <t>embed_1</t>
        </is>
      </c>
      <c r="H11" s="4" t="inlineStr">
        <is>
          <t>All stories</t>
        </is>
      </c>
      <c r="I11" s="4" t="inlineStr">
        <is>
          <t>story</t>
        </is>
      </c>
      <c r="J11" s="4" t="n">
        <v>3</v>
      </c>
      <c r="K11" s="4" t="inlineStr">
        <is>
          <t>section-context</t>
        </is>
      </c>
      <c r="L11" s="4" t="inlineStr">
        <is>
          <t>926</t>
        </is>
      </c>
      <c r="M11" t="inlineStr">
        <is>
          <t>context</t>
        </is>
      </c>
      <c r="N11" t="inlineStr">
        <is>
          <t>The Broad Center (926)</t>
        </is>
      </c>
    </row>
    <row r="12">
      <c r="A12" s="4" t="inlineStr">
        <is>
          <t>/centers/the-broad-center/masters-degree-in-public-education-management</t>
        </is>
      </c>
      <c r="B12" s="4" t="inlineStr">
        <is>
          <t>https://som.yale.edu/centers/the-broad-center/masters-degree-in-public-education-management</t>
        </is>
      </c>
      <c r="C12" s="4" t="inlineStr">
        <is>
          <t>page</t>
        </is>
      </c>
      <c r="D12" s="4" t="inlineStr">
        <is>
          <t>226963</t>
        </is>
      </c>
      <c r="E12" s="4" t="inlineStr">
        <is>
          <t>Master\u2019s Degree in Public Education Management</t>
        </is>
      </c>
      <c r="F12" s="4" t="inlineStr">
        <is>
          <t>stories_teaser_cards</t>
        </is>
      </c>
      <c r="G12" s="4" t="inlineStr">
        <is>
          <t>embed_news</t>
        </is>
      </c>
      <c r="H12" s="4" t="inlineStr">
        <is>
          <t>All news</t>
        </is>
      </c>
      <c r="I12" s="4" t="inlineStr">
        <is>
          <t>story</t>
        </is>
      </c>
      <c r="J12" s="4" t="n">
        <v>3</v>
      </c>
      <c r="K12" s="4" t="inlineStr">
        <is>
          <t>section-context</t>
        </is>
      </c>
      <c r="L12" s="4" t="inlineStr">
        <is>
          <t>926</t>
        </is>
      </c>
      <c r="M12" t="inlineStr">
        <is>
          <t>context</t>
        </is>
      </c>
      <c r="N12" t="inlineStr">
        <is>
          <t>The Broad Center (926)</t>
        </is>
      </c>
    </row>
    <row r="13">
      <c r="A13" s="4" t="inlineStr">
        <is>
          <t>/centers/the-broad-center/masters-degree-in-public-education-management</t>
        </is>
      </c>
      <c r="B13" s="4" t="inlineStr">
        <is>
          <t>https://som.yale.edu/centers/the-broad-center/masters-degree-in-public-education-management</t>
        </is>
      </c>
      <c r="C13" s="4" t="inlineStr">
        <is>
          <t>page</t>
        </is>
      </c>
      <c r="D13" s="4" t="inlineStr">
        <is>
          <t>226963</t>
        </is>
      </c>
      <c r="E13" s="4" t="inlineStr">
        <is>
          <t>Master\u2019s Degree in Public Education Management</t>
        </is>
      </c>
      <c r="F13" s="4" t="inlineStr">
        <is>
          <t>stories_teaser_cards</t>
        </is>
      </c>
      <c r="G13" s="4" t="inlineStr">
        <is>
          <t>embed_news</t>
        </is>
      </c>
      <c r="H13" s="4" t="inlineStr">
        <is>
          <t>All news</t>
        </is>
      </c>
      <c r="I13" s="4" t="inlineStr">
        <is>
          <t>story</t>
        </is>
      </c>
      <c r="J13" s="4" t="n">
        <v>3</v>
      </c>
      <c r="K13" s="4" t="inlineStr">
        <is>
          <t>section-context</t>
        </is>
      </c>
      <c r="L13" s="4" t="inlineStr">
        <is>
          <t>926</t>
        </is>
      </c>
      <c r="M13" t="inlineStr">
        <is>
          <t>context</t>
        </is>
      </c>
      <c r="N13" t="inlineStr">
        <is>
          <t>The Broad Center (926)</t>
        </is>
      </c>
    </row>
    <row r="14">
      <c r="A14" s="4" t="inlineStr">
        <is>
          <t>/programs/emba</t>
        </is>
      </c>
      <c r="B14" s="4" t="inlineStr">
        <is>
          <t>https://som.yale.edu/programs/emba</t>
        </is>
      </c>
      <c r="C14" s="4" t="inlineStr">
        <is>
          <t>program</t>
        </is>
      </c>
      <c r="D14" s="4" t="inlineStr">
        <is>
          <t>80</t>
        </is>
      </c>
      <c r="E14" s="4" t="inlineStr">
        <is>
          <t>MBA for Executives</t>
        </is>
      </c>
      <c r="F14" s="4" t="inlineStr">
        <is>
          <t>event_teaser_list</t>
        </is>
      </c>
      <c r="G14" s="4" t="inlineStr">
        <is>
          <t>embed_1</t>
        </is>
      </c>
      <c r="H14" s="4" t="inlineStr">
        <is>
          <t>Embed</t>
        </is>
      </c>
      <c r="I14" s="4" t="inlineStr">
        <is>
          <t>event</t>
        </is>
      </c>
      <c r="J14" s="4" t="n">
        <v>3</v>
      </c>
      <c r="K14" s="4" t="inlineStr">
        <is>
          <t>section-context</t>
        </is>
      </c>
      <c r="L14" s="4" t="inlineStr">
        <is>
          <t>928</t>
        </is>
      </c>
      <c r="M14" t="inlineStr">
        <is>
          <t>context</t>
        </is>
      </c>
      <c r="N14" t="inlineStr">
        <is>
          <t>MBA For Executives (928)</t>
        </is>
      </c>
    </row>
    <row r="15">
      <c r="A15" s="4" t="inlineStr">
        <is>
          <t>/programs/emba</t>
        </is>
      </c>
      <c r="B15" s="4" t="inlineStr">
        <is>
          <t>https://som.yale.edu/programs/emba</t>
        </is>
      </c>
      <c r="C15" s="4" t="inlineStr">
        <is>
          <t>program</t>
        </is>
      </c>
      <c r="D15" s="4" t="inlineStr">
        <is>
          <t>80</t>
        </is>
      </c>
      <c r="E15" s="4" t="inlineStr">
        <is>
          <t>MBA for Executives</t>
        </is>
      </c>
      <c r="F15" s="4" t="inlineStr">
        <is>
          <t>stories_teaser_cards</t>
        </is>
      </c>
      <c r="G15" s="4" t="inlineStr">
        <is>
          <t>embed_blog</t>
        </is>
      </c>
      <c r="H15" s="4" t="inlineStr">
        <is>
          <t>All blogs</t>
        </is>
      </c>
      <c r="I15" s="4" t="inlineStr">
        <is>
          <t>story</t>
        </is>
      </c>
      <c r="J15" s="4" t="n">
        <v>3</v>
      </c>
      <c r="K15" s="4" t="inlineStr">
        <is>
          <t>section-context</t>
        </is>
      </c>
      <c r="L15" s="4" t="inlineStr">
        <is>
          <t>928</t>
        </is>
      </c>
      <c r="M15" t="inlineStr">
        <is>
          <t>context</t>
        </is>
      </c>
      <c r="N15" t="inlineStr">
        <is>
          <t>MBA For Executives (928)</t>
        </is>
      </c>
    </row>
    <row r="16">
      <c r="A16" s="4" t="inlineStr">
        <is>
          <t>/programs/emba/admissions</t>
        </is>
      </c>
      <c r="B16" s="4" t="inlineStr">
        <is>
          <t>https://som.yale.edu/programs/emba/admissions</t>
        </is>
      </c>
      <c r="C16" s="4" t="inlineStr">
        <is>
          <t>page</t>
        </is>
      </c>
      <c r="D16" s="4" t="inlineStr">
        <is>
          <t>232644</t>
        </is>
      </c>
      <c r="E16" s="4" t="inlineStr">
        <is>
          <t>Admissions</t>
        </is>
      </c>
      <c r="F16" s="4" t="inlineStr">
        <is>
          <t>event_teaser_list</t>
        </is>
      </c>
      <c r="G16" s="4" t="inlineStr">
        <is>
          <t>embed_1</t>
        </is>
      </c>
      <c r="H16" s="4" t="inlineStr">
        <is>
          <t>Embed</t>
        </is>
      </c>
      <c r="I16" s="4" t="inlineStr">
        <is>
          <t>event</t>
        </is>
      </c>
      <c r="J16" s="4" t="n">
        <v>3</v>
      </c>
      <c r="K16" s="4" t="inlineStr">
        <is>
          <t>section-context</t>
        </is>
      </c>
      <c r="L16" s="4" t="inlineStr">
        <is>
          <t>928</t>
        </is>
      </c>
      <c r="M16" t="inlineStr">
        <is>
          <t>context</t>
        </is>
      </c>
      <c r="N16" t="inlineStr">
        <is>
          <t>MBA For Executives (928)</t>
        </is>
      </c>
    </row>
    <row r="17">
      <c r="A17" s="4" t="inlineStr">
        <is>
          <t>/programs/emba/admissions</t>
        </is>
      </c>
      <c r="B17" s="4" t="inlineStr">
        <is>
          <t>https://som.yale.edu/programs/emba/admissions</t>
        </is>
      </c>
      <c r="C17" s="4" t="inlineStr">
        <is>
          <t>page</t>
        </is>
      </c>
      <c r="D17" s="4" t="inlineStr">
        <is>
          <t>232644</t>
        </is>
      </c>
      <c r="E17" s="4" t="inlineStr">
        <is>
          <t>Admissions</t>
        </is>
      </c>
      <c r="F17" s="4" t="inlineStr">
        <is>
          <t>event_teaser_list</t>
        </is>
      </c>
      <c r="G17" s="4" t="inlineStr">
        <is>
          <t>embed_1</t>
        </is>
      </c>
      <c r="H17" s="4" t="inlineStr">
        <is>
          <t>Embed</t>
        </is>
      </c>
      <c r="I17" s="4" t="inlineStr">
        <is>
          <t>event</t>
        </is>
      </c>
      <c r="J17" s="4" t="n">
        <v>3</v>
      </c>
      <c r="K17" s="4" t="inlineStr">
        <is>
          <t>section-context</t>
        </is>
      </c>
      <c r="L17" s="4" t="inlineStr">
        <is>
          <t>928</t>
        </is>
      </c>
      <c r="M17" t="inlineStr">
        <is>
          <t>context</t>
        </is>
      </c>
      <c r="N17" t="inlineStr">
        <is>
          <t>MBA For Executives (928)</t>
        </is>
      </c>
    </row>
    <row r="18">
      <c r="A18" s="4" t="inlineStr">
        <is>
          <t>/programs/emba/admissions</t>
        </is>
      </c>
      <c r="B18" s="4" t="inlineStr">
        <is>
          <t>https://som.yale.edu/programs/emba/admissions</t>
        </is>
      </c>
      <c r="C18" s="4" t="inlineStr">
        <is>
          <t>page</t>
        </is>
      </c>
      <c r="D18" s="4" t="inlineStr">
        <is>
          <t>232644</t>
        </is>
      </c>
      <c r="E18" s="4" t="inlineStr">
        <is>
          <t>Admissions</t>
        </is>
      </c>
      <c r="F18" s="4" t="inlineStr">
        <is>
          <t>stories_teaser_cards</t>
        </is>
      </c>
      <c r="G18" s="4" t="inlineStr">
        <is>
          <t>embed_blog</t>
        </is>
      </c>
      <c r="H18" s="4" t="inlineStr">
        <is>
          <t>All blogs</t>
        </is>
      </c>
      <c r="I18" s="4" t="inlineStr">
        <is>
          <t>story</t>
        </is>
      </c>
      <c r="J18" s="4" t="n">
        <v>3</v>
      </c>
      <c r="K18" s="4" t="inlineStr">
        <is>
          <t>section-context</t>
        </is>
      </c>
      <c r="L18" s="4" t="inlineStr">
        <is>
          <t>928</t>
        </is>
      </c>
      <c r="M18" t="inlineStr">
        <is>
          <t>context</t>
        </is>
      </c>
      <c r="N18" t="inlineStr">
        <is>
          <t>MBA For Executives (928)</t>
        </is>
      </c>
    </row>
    <row r="19">
      <c r="A19" s="4" t="inlineStr">
        <is>
          <t>/programs/emba/admissions</t>
        </is>
      </c>
      <c r="B19" s="4" t="inlineStr">
        <is>
          <t>https://som.yale.edu/programs/emba/admissions</t>
        </is>
      </c>
      <c r="C19" s="4" t="inlineStr">
        <is>
          <t>page</t>
        </is>
      </c>
      <c r="D19" s="4" t="inlineStr">
        <is>
          <t>232644</t>
        </is>
      </c>
      <c r="E19" s="4" t="inlineStr">
        <is>
          <t>Admissions</t>
        </is>
      </c>
      <c r="F19" s="4" t="inlineStr">
        <is>
          <t>stories_teaser_cards</t>
        </is>
      </c>
      <c r="G19" s="4" t="inlineStr">
        <is>
          <t>embed_blog</t>
        </is>
      </c>
      <c r="H19" s="4" t="inlineStr">
        <is>
          <t>All blogs</t>
        </is>
      </c>
      <c r="I19" s="4" t="inlineStr">
        <is>
          <t>story</t>
        </is>
      </c>
      <c r="J19" s="4" t="n">
        <v>3</v>
      </c>
      <c r="K19" s="4" t="inlineStr">
        <is>
          <t>section-context</t>
        </is>
      </c>
      <c r="L19" s="4" t="inlineStr">
        <is>
          <t>928</t>
        </is>
      </c>
      <c r="M19" t="inlineStr">
        <is>
          <t>context</t>
        </is>
      </c>
      <c r="N19" t="inlineStr">
        <is>
          <t>MBA For Executives (928)</t>
        </is>
      </c>
    </row>
    <row r="20">
      <c r="A20" s="4" t="inlineStr">
        <is>
          <t>/programs/emba/curriculum/global-offerings</t>
        </is>
      </c>
      <c r="B20" s="4" t="inlineStr">
        <is>
          <t>https://som.yale.edu/programs/emba/curriculum/global-offerings</t>
        </is>
      </c>
      <c r="C20" s="4" t="inlineStr">
        <is>
          <t>page</t>
        </is>
      </c>
      <c r="D20" s="4" t="inlineStr">
        <is>
          <t>269045</t>
        </is>
      </c>
      <c r="E20" s="4" t="inlineStr">
        <is>
          <t>Global Offerings</t>
        </is>
      </c>
      <c r="F20" s="4" t="inlineStr">
        <is>
          <t>stories_teaser_cards</t>
        </is>
      </c>
      <c r="G20" s="4" t="inlineStr">
        <is>
          <t>embed_blog</t>
        </is>
      </c>
      <c r="H20" s="4" t="inlineStr">
        <is>
          <t>All blogs</t>
        </is>
      </c>
      <c r="I20" s="4" t="inlineStr">
        <is>
          <t>story</t>
        </is>
      </c>
      <c r="J20" s="4" t="n">
        <v>3</v>
      </c>
      <c r="K20" s="4" t="inlineStr">
        <is>
          <t>section-context</t>
        </is>
      </c>
      <c r="L20" s="4" t="inlineStr">
        <is>
          <t>928</t>
        </is>
      </c>
      <c r="M20" t="inlineStr">
        <is>
          <t>context</t>
        </is>
      </c>
      <c r="N20" t="inlineStr">
        <is>
          <t>MBA For Executives (928)</t>
        </is>
      </c>
    </row>
    <row r="21">
      <c r="A21" s="4" t="inlineStr">
        <is>
          <t>/programs/emba/curriculum/global-offerings</t>
        </is>
      </c>
      <c r="B21" s="4" t="inlineStr">
        <is>
          <t>https://som.yale.edu/programs/emba/curriculum/global-offerings</t>
        </is>
      </c>
      <c r="C21" s="4" t="inlineStr">
        <is>
          <t>page</t>
        </is>
      </c>
      <c r="D21" s="4" t="inlineStr">
        <is>
          <t>269045</t>
        </is>
      </c>
      <c r="E21" s="4" t="inlineStr">
        <is>
          <t>Global Offerings</t>
        </is>
      </c>
      <c r="F21" s="4" t="inlineStr">
        <is>
          <t>stories_teaser_cards</t>
        </is>
      </c>
      <c r="G21" s="4" t="inlineStr">
        <is>
          <t>embed_blog</t>
        </is>
      </c>
      <c r="H21" s="4" t="inlineStr">
        <is>
          <t>All blogs</t>
        </is>
      </c>
      <c r="I21" s="4" t="inlineStr">
        <is>
          <t>story</t>
        </is>
      </c>
      <c r="J21" s="4" t="n">
        <v>3</v>
      </c>
      <c r="K21" s="4" t="inlineStr">
        <is>
          <t>section-context</t>
        </is>
      </c>
      <c r="L21" s="4" t="inlineStr">
        <is>
          <t>928</t>
        </is>
      </c>
      <c r="M21" t="inlineStr">
        <is>
          <t>context</t>
        </is>
      </c>
      <c r="N21" t="inlineStr">
        <is>
          <t>MBA For Executives (928)</t>
        </is>
      </c>
    </row>
    <row r="22">
      <c r="A22" s="4" t="inlineStr">
        <is>
          <t>/programs/mam</t>
        </is>
      </c>
      <c r="B22" s="4" t="inlineStr">
        <is>
          <t>https://som.yale.edu/programs/mam</t>
        </is>
      </c>
      <c r="C22" s="4" t="inlineStr">
        <is>
          <t>program</t>
        </is>
      </c>
      <c r="D22" s="4" t="inlineStr">
        <is>
          <t>81</t>
        </is>
      </c>
      <c r="E22" s="4" t="inlineStr">
        <is>
          <t>Master of Advanced Management</t>
        </is>
      </c>
      <c r="F22" s="4" t="inlineStr">
        <is>
          <t>event_teaser_list</t>
        </is>
      </c>
      <c r="G22" s="4" t="inlineStr">
        <is>
          <t>embed_1</t>
        </is>
      </c>
      <c r="H22" s="4" t="inlineStr">
        <is>
          <t>Embed</t>
        </is>
      </c>
      <c r="I22" s="4" t="inlineStr">
        <is>
          <t>event</t>
        </is>
      </c>
      <c r="J22" s="4" t="n">
        <v>3</v>
      </c>
      <c r="K22" s="4" t="inlineStr">
        <is>
          <t>section-context</t>
        </is>
      </c>
      <c r="L22" s="4" t="inlineStr">
        <is>
          <t>932</t>
        </is>
      </c>
      <c r="M22" t="inlineStr">
        <is>
          <t>context</t>
        </is>
      </c>
      <c r="N22" t="inlineStr">
        <is>
          <t>Master of Advanced Management (932)</t>
        </is>
      </c>
    </row>
    <row r="23">
      <c r="A23" s="4" t="inlineStr">
        <is>
          <t>/programs/mam</t>
        </is>
      </c>
      <c r="B23" s="4" t="inlineStr">
        <is>
          <t>https://som.yale.edu/programs/mam</t>
        </is>
      </c>
      <c r="C23" s="4" t="inlineStr">
        <is>
          <t>program</t>
        </is>
      </c>
      <c r="D23" s="4" t="inlineStr">
        <is>
          <t>81</t>
        </is>
      </c>
      <c r="E23" s="4" t="inlineStr">
        <is>
          <t>Master of Advanced Management</t>
        </is>
      </c>
      <c r="F23" s="4" t="inlineStr">
        <is>
          <t>stories_teaser_cards</t>
        </is>
      </c>
      <c r="G23" s="4" t="inlineStr">
        <is>
          <t>embed_blog</t>
        </is>
      </c>
      <c r="H23" s="4" t="inlineStr">
        <is>
          <t>All blogs</t>
        </is>
      </c>
      <c r="I23" s="4" t="inlineStr">
        <is>
          <t>story</t>
        </is>
      </c>
      <c r="J23" s="4" t="n">
        <v>3</v>
      </c>
      <c r="K23" s="4" t="inlineStr">
        <is>
          <t>section-context</t>
        </is>
      </c>
      <c r="L23" s="4" t="inlineStr">
        <is>
          <t>932</t>
        </is>
      </c>
      <c r="M23" t="inlineStr">
        <is>
          <t>context</t>
        </is>
      </c>
      <c r="N23" t="inlineStr">
        <is>
          <t>Master of Advanced Management (932)</t>
        </is>
      </c>
    </row>
    <row r="24">
      <c r="A24" s="4" t="inlineStr">
        <is>
          <t>/programs/mam/admissions</t>
        </is>
      </c>
      <c r="B24" s="4" t="inlineStr">
        <is>
          <t>https://som.yale.edu/programs/mam/admissions</t>
        </is>
      </c>
      <c r="C24" s="4" t="inlineStr">
        <is>
          <t>page</t>
        </is>
      </c>
      <c r="D24" s="4" t="inlineStr">
        <is>
          <t>17286</t>
        </is>
      </c>
      <c r="E24" s="4" t="inlineStr">
        <is>
          <t>Admissions</t>
        </is>
      </c>
      <c r="F24" s="4" t="inlineStr">
        <is>
          <t>stories_teaser_cards</t>
        </is>
      </c>
      <c r="G24" s="4" t="inlineStr">
        <is>
          <t>embed_all</t>
        </is>
      </c>
      <c r="H24" s="4" t="inlineStr">
        <is>
          <t>All stories</t>
        </is>
      </c>
      <c r="I24" s="4" t="inlineStr">
        <is>
          <t>story</t>
        </is>
      </c>
      <c r="J24" s="4" t="n">
        <v>3</v>
      </c>
      <c r="K24" s="4" t="inlineStr">
        <is>
          <t>section-context</t>
        </is>
      </c>
      <c r="L24" s="4" t="inlineStr">
        <is>
          <t>932</t>
        </is>
      </c>
      <c r="M24" t="inlineStr">
        <is>
          <t>context</t>
        </is>
      </c>
      <c r="N24" t="inlineStr">
        <is>
          <t>Master of Advanced Management (932)</t>
        </is>
      </c>
    </row>
    <row r="25">
      <c r="A25" s="4" t="inlineStr">
        <is>
          <t>/programs/mam/admissions</t>
        </is>
      </c>
      <c r="B25" s="4" t="inlineStr">
        <is>
          <t>https://som.yale.edu/programs/mam/admissions</t>
        </is>
      </c>
      <c r="C25" s="4" t="inlineStr">
        <is>
          <t>page</t>
        </is>
      </c>
      <c r="D25" s="4" t="inlineStr">
        <is>
          <t>17286</t>
        </is>
      </c>
      <c r="E25" s="4" t="inlineStr">
        <is>
          <t>Admissions</t>
        </is>
      </c>
      <c r="F25" s="4" t="inlineStr">
        <is>
          <t>stories_teaser_cards</t>
        </is>
      </c>
      <c r="G25" s="4" t="inlineStr">
        <is>
          <t>embed_all</t>
        </is>
      </c>
      <c r="H25" s="4" t="inlineStr">
        <is>
          <t>All stories</t>
        </is>
      </c>
      <c r="I25" s="4" t="inlineStr">
        <is>
          <t>story</t>
        </is>
      </c>
      <c r="J25" s="4" t="n">
        <v>3</v>
      </c>
      <c r="K25" s="4" t="inlineStr">
        <is>
          <t>section-context</t>
        </is>
      </c>
      <c r="L25" s="4" t="inlineStr">
        <is>
          <t>932</t>
        </is>
      </c>
      <c r="M25" t="inlineStr">
        <is>
          <t>context</t>
        </is>
      </c>
      <c r="N25" t="inlineStr">
        <is>
          <t>Master of Advanced Management (932)</t>
        </is>
      </c>
    </row>
    <row r="26">
      <c r="A26" s="4" t="inlineStr">
        <is>
          <t>/programs/mba</t>
        </is>
      </c>
      <c r="B26" s="4" t="inlineStr">
        <is>
          <t>https://som.yale.edu/programs/mba</t>
        </is>
      </c>
      <c r="C26" s="4" t="inlineStr">
        <is>
          <t>program</t>
        </is>
      </c>
      <c r="D26" s="4" t="inlineStr">
        <is>
          <t>4</t>
        </is>
      </c>
      <c r="E26" s="4" t="inlineStr">
        <is>
          <t>MBA</t>
        </is>
      </c>
      <c r="F26" s="4" t="inlineStr">
        <is>
          <t>event_teaser_list</t>
        </is>
      </c>
      <c r="G26" s="4" t="inlineStr">
        <is>
          <t>embed_1</t>
        </is>
      </c>
      <c r="H26" s="4" t="inlineStr">
        <is>
          <t>Embed</t>
        </is>
      </c>
      <c r="I26" s="4" t="inlineStr">
        <is>
          <t>event</t>
        </is>
      </c>
      <c r="J26" s="4" t="n">
        <v>3</v>
      </c>
      <c r="K26" s="4" t="inlineStr">
        <is>
          <t>section-context</t>
        </is>
      </c>
      <c r="L26" s="4" t="inlineStr">
        <is>
          <t>92</t>
        </is>
      </c>
      <c r="M26" t="inlineStr">
        <is>
          <t>context</t>
        </is>
      </c>
      <c r="N26" t="inlineStr">
        <is>
          <t>MBA (92)</t>
        </is>
      </c>
    </row>
    <row r="27">
      <c r="A27" s="4" t="inlineStr">
        <is>
          <t>/programs/mba</t>
        </is>
      </c>
      <c r="B27" s="4" t="inlineStr">
        <is>
          <t>https://som.yale.edu/programs/mba</t>
        </is>
      </c>
      <c r="C27" s="4" t="inlineStr">
        <is>
          <t>program</t>
        </is>
      </c>
      <c r="D27" s="4" t="inlineStr">
        <is>
          <t>4</t>
        </is>
      </c>
      <c r="E27" s="4" t="inlineStr">
        <is>
          <t>MBA</t>
        </is>
      </c>
      <c r="F27" s="4" t="inlineStr">
        <is>
          <t>stories_teaser_cards</t>
        </is>
      </c>
      <c r="G27" s="4" t="inlineStr">
        <is>
          <t>embed_blog</t>
        </is>
      </c>
      <c r="H27" s="4" t="inlineStr">
        <is>
          <t>All blogs</t>
        </is>
      </c>
      <c r="I27" s="4" t="inlineStr">
        <is>
          <t>story</t>
        </is>
      </c>
      <c r="J27" s="4" t="n">
        <v>3</v>
      </c>
      <c r="K27" s="4" t="inlineStr">
        <is>
          <t>section-context</t>
        </is>
      </c>
      <c r="L27" s="4" t="inlineStr">
        <is>
          <t>92</t>
        </is>
      </c>
      <c r="M27" t="inlineStr">
        <is>
          <t>context</t>
        </is>
      </c>
      <c r="N27" t="inlineStr">
        <is>
          <t>MBA (92)</t>
        </is>
      </c>
    </row>
    <row r="28">
      <c r="A28" s="4" t="inlineStr">
        <is>
          <t>/programs/mba/admissions</t>
        </is>
      </c>
      <c r="B28" s="4" t="inlineStr">
        <is>
          <t>https://som.yale.edu/programs/mba/admissions</t>
        </is>
      </c>
      <c r="C28" s="4" t="inlineStr">
        <is>
          <t>page</t>
        </is>
      </c>
      <c r="D28" s="4" t="inlineStr">
        <is>
          <t>231090</t>
        </is>
      </c>
      <c r="E28" s="4" t="inlineStr">
        <is>
          <t>MBA Admissions</t>
        </is>
      </c>
      <c r="F28" s="4" t="inlineStr">
        <is>
          <t>event_teaser_list</t>
        </is>
      </c>
      <c r="G28" s="4" t="inlineStr">
        <is>
          <t>embed_1</t>
        </is>
      </c>
      <c r="H28" s="4" t="inlineStr">
        <is>
          <t>Embed</t>
        </is>
      </c>
      <c r="I28" s="4" t="inlineStr">
        <is>
          <t>event</t>
        </is>
      </c>
      <c r="J28" s="4" t="n">
        <v>3</v>
      </c>
      <c r="K28" s="4" t="inlineStr">
        <is>
          <t>section-context</t>
        </is>
      </c>
      <c r="L28" s="4" t="inlineStr">
        <is>
          <t>92</t>
        </is>
      </c>
      <c r="M28" t="inlineStr">
        <is>
          <t>context</t>
        </is>
      </c>
      <c r="N28" t="inlineStr">
        <is>
          <t>MBA (92)</t>
        </is>
      </c>
    </row>
    <row r="29">
      <c r="A29" s="4" t="inlineStr">
        <is>
          <t>/programs/mba/admissions</t>
        </is>
      </c>
      <c r="B29" s="4" t="inlineStr">
        <is>
          <t>https://som.yale.edu/programs/mba/admissions</t>
        </is>
      </c>
      <c r="C29" s="4" t="inlineStr">
        <is>
          <t>page</t>
        </is>
      </c>
      <c r="D29" s="4" t="inlineStr">
        <is>
          <t>231090</t>
        </is>
      </c>
      <c r="E29" s="4" t="inlineStr">
        <is>
          <t>MBA Admissions</t>
        </is>
      </c>
      <c r="F29" s="4" t="inlineStr">
        <is>
          <t>event_teaser_list</t>
        </is>
      </c>
      <c r="G29" s="4" t="inlineStr">
        <is>
          <t>embed_1</t>
        </is>
      </c>
      <c r="H29" s="4" t="inlineStr">
        <is>
          <t>Embed</t>
        </is>
      </c>
      <c r="I29" s="4" t="inlineStr">
        <is>
          <t>event</t>
        </is>
      </c>
      <c r="J29" s="4" t="n">
        <v>3</v>
      </c>
      <c r="K29" s="4" t="inlineStr">
        <is>
          <t>section-context</t>
        </is>
      </c>
      <c r="L29" s="4" t="inlineStr">
        <is>
          <t>92</t>
        </is>
      </c>
      <c r="M29" t="inlineStr">
        <is>
          <t>context</t>
        </is>
      </c>
      <c r="N29" t="inlineStr">
        <is>
          <t>MBA (92)</t>
        </is>
      </c>
    </row>
    <row r="30">
      <c r="A30" s="4" t="inlineStr">
        <is>
          <t>/programs/mba/admissions</t>
        </is>
      </c>
      <c r="B30" s="4" t="inlineStr">
        <is>
          <t>https://som.yale.edu/programs/mba/admissions</t>
        </is>
      </c>
      <c r="C30" s="4" t="inlineStr">
        <is>
          <t>page</t>
        </is>
      </c>
      <c r="D30" s="4" t="inlineStr">
        <is>
          <t>231090</t>
        </is>
      </c>
      <c r="E30" s="4" t="inlineStr">
        <is>
          <t>MBA Admissions</t>
        </is>
      </c>
      <c r="F30" s="4" t="inlineStr">
        <is>
          <t>stories_grid_with_images</t>
        </is>
      </c>
      <c r="G30" s="4" t="inlineStr">
        <is>
          <t>embed_blog</t>
        </is>
      </c>
      <c r="H30" s="4" t="inlineStr">
        <is>
          <t>All blogs</t>
        </is>
      </c>
      <c r="I30" s="4" t="inlineStr">
        <is>
          <t>story</t>
        </is>
      </c>
      <c r="J30" s="4" t="n">
        <v>3</v>
      </c>
      <c r="K30" s="4" t="inlineStr">
        <is>
          <t>section-context</t>
        </is>
      </c>
      <c r="L30" s="4" t="inlineStr">
        <is>
          <t>92</t>
        </is>
      </c>
      <c r="M30" t="inlineStr">
        <is>
          <t>context</t>
        </is>
      </c>
      <c r="N30" t="inlineStr">
        <is>
          <t>MBA (92)</t>
        </is>
      </c>
    </row>
    <row r="31">
      <c r="A31" s="4" t="inlineStr">
        <is>
          <t>/programs/mba/admissions</t>
        </is>
      </c>
      <c r="B31" s="4" t="inlineStr">
        <is>
          <t>https://som.yale.edu/programs/mba/admissions</t>
        </is>
      </c>
      <c r="C31" s="4" t="inlineStr">
        <is>
          <t>page</t>
        </is>
      </c>
      <c r="D31" s="4" t="inlineStr">
        <is>
          <t>231090</t>
        </is>
      </c>
      <c r="E31" s="4" t="inlineStr">
        <is>
          <t>MBA Admissions</t>
        </is>
      </c>
      <c r="F31" s="4" t="inlineStr">
        <is>
          <t>stories_grid_with_images</t>
        </is>
      </c>
      <c r="G31" s="4" t="inlineStr">
        <is>
          <t>embed_blog</t>
        </is>
      </c>
      <c r="H31" s="4" t="inlineStr">
        <is>
          <t>All blogs</t>
        </is>
      </c>
      <c r="I31" s="4" t="inlineStr">
        <is>
          <t>story</t>
        </is>
      </c>
      <c r="J31" s="4" t="n">
        <v>3</v>
      </c>
      <c r="K31" s="4" t="inlineStr">
        <is>
          <t>section-context</t>
        </is>
      </c>
      <c r="L31" s="4" t="inlineStr">
        <is>
          <t>92</t>
        </is>
      </c>
      <c r="M31" t="inlineStr">
        <is>
          <t>context</t>
        </is>
      </c>
      <c r="N31" t="inlineStr">
        <is>
          <t>MBA (92)</t>
        </is>
      </c>
    </row>
    <row r="32">
      <c r="A32" s="4" t="inlineStr">
        <is>
          <t>/programs/mba/admissions/application-information/application-guide</t>
        </is>
      </c>
      <c r="B32" s="4" t="inlineStr">
        <is>
          <t>https://som.yale.edu/programs/mba/admissions/application-information/application-guide</t>
        </is>
      </c>
      <c r="C32" s="4" t="inlineStr">
        <is>
          <t>page</t>
        </is>
      </c>
      <c r="D32" s="4" t="inlineStr">
        <is>
          <t>269469</t>
        </is>
      </c>
      <c r="E32" s="4" t="inlineStr">
        <is>
          <t>2025-2026 Application Guide</t>
        </is>
      </c>
      <c r="F32" s="4" t="inlineStr">
        <is>
          <t>stories_grid_with_images</t>
        </is>
      </c>
      <c r="G32" s="4" t="inlineStr">
        <is>
          <t>embed_blog</t>
        </is>
      </c>
      <c r="H32" s="4" t="inlineStr">
        <is>
          <t>All blogs</t>
        </is>
      </c>
      <c r="I32" s="4" t="inlineStr">
        <is>
          <t>story</t>
        </is>
      </c>
      <c r="J32" s="4" t="n">
        <v>3</v>
      </c>
      <c r="K32" s="4" t="inlineStr">
        <is>
          <t>section-context</t>
        </is>
      </c>
      <c r="L32" s="4" t="inlineStr">
        <is>
          <t>92</t>
        </is>
      </c>
      <c r="M32" t="inlineStr">
        <is>
          <t>context</t>
        </is>
      </c>
      <c r="N32" t="inlineStr">
        <is>
          <t>MBA (92)</t>
        </is>
      </c>
    </row>
    <row r="33">
      <c r="A33" s="4" t="inlineStr">
        <is>
          <t>/programs/mba/admissions/application-information/application-guide</t>
        </is>
      </c>
      <c r="B33" s="4" t="inlineStr">
        <is>
          <t>https://som.yale.edu/programs/mba/admissions/application-information/application-guide</t>
        </is>
      </c>
      <c r="C33" s="4" t="inlineStr">
        <is>
          <t>page</t>
        </is>
      </c>
      <c r="D33" s="4" t="inlineStr">
        <is>
          <t>269469</t>
        </is>
      </c>
      <c r="E33" s="4" t="inlineStr">
        <is>
          <t>2025-2026 Application Guide</t>
        </is>
      </c>
      <c r="F33" s="4" t="inlineStr">
        <is>
          <t>stories_grid_with_images</t>
        </is>
      </c>
      <c r="G33" s="4" t="inlineStr">
        <is>
          <t>embed_blog</t>
        </is>
      </c>
      <c r="H33" s="4" t="inlineStr">
        <is>
          <t>All blogs</t>
        </is>
      </c>
      <c r="I33" s="4" t="inlineStr">
        <is>
          <t>story</t>
        </is>
      </c>
      <c r="J33" s="4" t="n">
        <v>3</v>
      </c>
      <c r="K33" s="4" t="inlineStr">
        <is>
          <t>section-context</t>
        </is>
      </c>
      <c r="L33" s="4" t="inlineStr">
        <is>
          <t>92</t>
        </is>
      </c>
      <c r="M33" t="inlineStr">
        <is>
          <t>context</t>
        </is>
      </c>
      <c r="N33" t="inlineStr">
        <is>
          <t>MBA (92)</t>
        </is>
      </c>
    </row>
    <row r="34">
      <c r="A34" s="4" t="inlineStr">
        <is>
          <t>/programs/mba/career-paths</t>
        </is>
      </c>
      <c r="B34" s="4" t="inlineStr">
        <is>
          <t>https://som.yale.edu/programs/mba/career-paths</t>
        </is>
      </c>
      <c r="C34" s="4" t="inlineStr">
        <is>
          <t>page</t>
        </is>
      </c>
      <c r="D34" s="4" t="inlineStr">
        <is>
          <t>144533</t>
        </is>
      </c>
      <c r="E34" s="4" t="inlineStr">
        <is>
          <t>MBA Career Paths</t>
        </is>
      </c>
      <c r="F34" s="4" t="inlineStr">
        <is>
          <t>stories_grid_with_images</t>
        </is>
      </c>
      <c r="G34" s="4" t="inlineStr">
        <is>
          <t>embed_blog</t>
        </is>
      </c>
      <c r="H34" s="4" t="inlineStr">
        <is>
          <t>All blogs</t>
        </is>
      </c>
      <c r="I34" s="4" t="inlineStr">
        <is>
          <t>story</t>
        </is>
      </c>
      <c r="J34" s="4" t="n">
        <v>3</v>
      </c>
      <c r="K34" s="4" t="inlineStr">
        <is>
          <t>section-context</t>
        </is>
      </c>
      <c r="L34" s="4" t="inlineStr">
        <is>
          <t>92</t>
        </is>
      </c>
      <c r="M34" t="inlineStr">
        <is>
          <t>context</t>
        </is>
      </c>
      <c r="N34" t="inlineStr">
        <is>
          <t>MBA (92)</t>
        </is>
      </c>
    </row>
    <row r="35">
      <c r="A35" s="4" t="inlineStr">
        <is>
          <t>/programs/mba/career-paths</t>
        </is>
      </c>
      <c r="B35" s="4" t="inlineStr">
        <is>
          <t>https://som.yale.edu/programs/mba/career-paths</t>
        </is>
      </c>
      <c r="C35" s="4" t="inlineStr">
        <is>
          <t>page</t>
        </is>
      </c>
      <c r="D35" s="4" t="inlineStr">
        <is>
          <t>144533</t>
        </is>
      </c>
      <c r="E35" s="4" t="inlineStr">
        <is>
          <t>MBA Career Paths</t>
        </is>
      </c>
      <c r="F35" s="4" t="inlineStr">
        <is>
          <t>stories_grid_with_images</t>
        </is>
      </c>
      <c r="G35" s="4" t="inlineStr">
        <is>
          <t>embed_blog</t>
        </is>
      </c>
      <c r="H35" s="4" t="inlineStr">
        <is>
          <t>All blogs</t>
        </is>
      </c>
      <c r="I35" s="4" t="inlineStr">
        <is>
          <t>story</t>
        </is>
      </c>
      <c r="J35" s="4" t="n">
        <v>3</v>
      </c>
      <c r="K35" s="4" t="inlineStr">
        <is>
          <t>section-context</t>
        </is>
      </c>
      <c r="L35" s="4" t="inlineStr">
        <is>
          <t>92</t>
        </is>
      </c>
      <c r="M35" t="inlineStr">
        <is>
          <t>context</t>
        </is>
      </c>
      <c r="N35" t="inlineStr">
        <is>
          <t>MBA (92)</t>
        </is>
      </c>
    </row>
    <row r="36">
      <c r="A36" s="4" t="inlineStr">
        <is>
          <t>/programs/mba/career-paths/employment-report-2025-26</t>
        </is>
      </c>
      <c r="B36" s="4" t="inlineStr">
        <is>
          <t>https://som.yale.edu/programs/mba/career-paths/employment-report-2025-26</t>
        </is>
      </c>
      <c r="C36" s="4" t="inlineStr">
        <is>
          <t>page</t>
        </is>
      </c>
      <c r="D36" s="4" t="inlineStr">
        <is>
          <t>280293</t>
        </is>
      </c>
      <c r="E36" s="4" t="inlineStr">
        <is>
          <t>Employment Report 2025-26</t>
        </is>
      </c>
      <c r="F36" s="4" t="inlineStr">
        <is>
          <t>stories_teaser_cards</t>
        </is>
      </c>
      <c r="G36" s="4" t="inlineStr">
        <is>
          <t>embed_all</t>
        </is>
      </c>
      <c r="H36" s="4" t="inlineStr">
        <is>
          <t>All stories</t>
        </is>
      </c>
      <c r="I36" s="4" t="inlineStr">
        <is>
          <t>story</t>
        </is>
      </c>
      <c r="J36" s="4" t="n">
        <v>3</v>
      </c>
      <c r="K36" s="4" t="inlineStr">
        <is>
          <t>section-context</t>
        </is>
      </c>
      <c r="L36" s="4" t="inlineStr">
        <is>
          <t>92</t>
        </is>
      </c>
      <c r="M36" t="inlineStr">
        <is>
          <t>context</t>
        </is>
      </c>
      <c r="N36" t="inlineStr">
        <is>
          <t>MBA (92)</t>
        </is>
      </c>
    </row>
    <row r="37">
      <c r="A37" s="4" t="inlineStr">
        <is>
          <t>/programs/mba/career-paths/employment-report-2025-26</t>
        </is>
      </c>
      <c r="B37" s="4" t="inlineStr">
        <is>
          <t>https://som.yale.edu/programs/mba/career-paths/employment-report-2025-26</t>
        </is>
      </c>
      <c r="C37" s="4" t="inlineStr">
        <is>
          <t>page</t>
        </is>
      </c>
      <c r="D37" s="4" t="inlineStr">
        <is>
          <t>280293</t>
        </is>
      </c>
      <c r="E37" s="4" t="inlineStr">
        <is>
          <t>Employment Report 2025-26</t>
        </is>
      </c>
      <c r="F37" s="4" t="inlineStr">
        <is>
          <t>stories_teaser_cards</t>
        </is>
      </c>
      <c r="G37" s="4" t="inlineStr">
        <is>
          <t>embed_all</t>
        </is>
      </c>
      <c r="H37" s="4" t="inlineStr">
        <is>
          <t>All stories</t>
        </is>
      </c>
      <c r="I37" s="4" t="inlineStr">
        <is>
          <t>story</t>
        </is>
      </c>
      <c r="J37" s="4" t="n">
        <v>3</v>
      </c>
      <c r="K37" s="4" t="inlineStr">
        <is>
          <t>section-context</t>
        </is>
      </c>
      <c r="L37" s="4" t="inlineStr">
        <is>
          <t>92</t>
        </is>
      </c>
      <c r="M37" t="inlineStr">
        <is>
          <t>context</t>
        </is>
      </c>
      <c r="N37" t="inlineStr">
        <is>
          <t>MBA (92)</t>
        </is>
      </c>
    </row>
    <row r="38">
      <c r="A38" s="4" t="inlineStr">
        <is>
          <t>/programs/mba/integrated-curriculum/global-study</t>
        </is>
      </c>
      <c r="B38" s="4" t="inlineStr">
        <is>
          <t>https://som.yale.edu/programs/mba/integrated-curriculum/global-study</t>
        </is>
      </c>
      <c r="C38" s="4" t="inlineStr">
        <is>
          <t>page</t>
        </is>
      </c>
      <c r="D38" s="4" t="inlineStr">
        <is>
          <t>140881</t>
        </is>
      </c>
      <c r="E38" s="4" t="inlineStr">
        <is>
          <t>Global Study</t>
        </is>
      </c>
      <c r="F38" s="4" t="inlineStr">
        <is>
          <t>stories_teaser_cards</t>
        </is>
      </c>
      <c r="G38" s="4" t="inlineStr">
        <is>
          <t>embed_blog</t>
        </is>
      </c>
      <c r="H38" s="4" t="inlineStr">
        <is>
          <t>All blogs</t>
        </is>
      </c>
      <c r="I38" s="4" t="inlineStr">
        <is>
          <t>story</t>
        </is>
      </c>
      <c r="J38" s="4" t="n">
        <v>3</v>
      </c>
      <c r="K38" s="4" t="inlineStr">
        <is>
          <t>section-context</t>
        </is>
      </c>
      <c r="L38" s="4" t="inlineStr">
        <is>
          <t>92</t>
        </is>
      </c>
      <c r="M38" t="inlineStr">
        <is>
          <t>context</t>
        </is>
      </c>
      <c r="N38" t="inlineStr">
        <is>
          <t>MBA (92)</t>
        </is>
      </c>
    </row>
    <row r="39">
      <c r="A39" s="4" t="inlineStr">
        <is>
          <t>/programs/mba/integrated-curriculum/global-study</t>
        </is>
      </c>
      <c r="B39" s="4" t="inlineStr">
        <is>
          <t>https://som.yale.edu/programs/mba/integrated-curriculum/global-study</t>
        </is>
      </c>
      <c r="C39" s="4" t="inlineStr">
        <is>
          <t>page</t>
        </is>
      </c>
      <c r="D39" s="4" t="inlineStr">
        <is>
          <t>140881</t>
        </is>
      </c>
      <c r="E39" s="4" t="inlineStr">
        <is>
          <t>Global Study</t>
        </is>
      </c>
      <c r="F39" s="4" t="inlineStr">
        <is>
          <t>stories_teaser_cards</t>
        </is>
      </c>
      <c r="G39" s="4" t="inlineStr">
        <is>
          <t>embed_blog</t>
        </is>
      </c>
      <c r="H39" s="4" t="inlineStr">
        <is>
          <t>All blogs</t>
        </is>
      </c>
      <c r="I39" s="4" t="inlineStr">
        <is>
          <t>story</t>
        </is>
      </c>
      <c r="J39" s="4" t="n">
        <v>3</v>
      </c>
      <c r="K39" s="4" t="inlineStr">
        <is>
          <t>section-context</t>
        </is>
      </c>
      <c r="L39" s="4" t="inlineStr">
        <is>
          <t>92</t>
        </is>
      </c>
      <c r="M39" t="inlineStr">
        <is>
          <t>context</t>
        </is>
      </c>
      <c r="N39" t="inlineStr">
        <is>
          <t>MBA (92)</t>
        </is>
      </c>
    </row>
    <row r="40">
      <c r="A40" s="4" t="inlineStr">
        <is>
          <t>/programs/mms-asset-management</t>
        </is>
      </c>
      <c r="B40" s="4" t="inlineStr">
        <is>
          <t>https://som.yale.edu/programs/mms-asset-management</t>
        </is>
      </c>
      <c r="C40" s="4" t="inlineStr">
        <is>
          <t>program</t>
        </is>
      </c>
      <c r="D40" s="4" t="inlineStr">
        <is>
          <t>82</t>
        </is>
      </c>
      <c r="E40" s="4" t="inlineStr">
        <is>
          <t>Master\u2019s in Asset Management</t>
        </is>
      </c>
      <c r="F40" s="4" t="inlineStr">
        <is>
          <t>event_teaser_list</t>
        </is>
      </c>
      <c r="G40" s="4" t="inlineStr">
        <is>
          <t>embed_1</t>
        </is>
      </c>
      <c r="H40" s="4" t="inlineStr">
        <is>
          <t>Embed</t>
        </is>
      </c>
      <c r="I40" s="4" t="inlineStr">
        <is>
          <t>event</t>
        </is>
      </c>
      <c r="J40" s="4" t="n">
        <v>3</v>
      </c>
      <c r="K40" s="4" t="inlineStr">
        <is>
          <t>section-context</t>
        </is>
      </c>
      <c r="L40" s="4" t="inlineStr">
        <is>
          <t>930</t>
        </is>
      </c>
      <c r="M40" t="inlineStr">
        <is>
          <t>context</t>
        </is>
      </c>
      <c r="N40" t="inlineStr">
        <is>
          <t>Master's Degree in Asset Management (930)</t>
        </is>
      </c>
    </row>
    <row r="41">
      <c r="A41" s="4" t="inlineStr">
        <is>
          <t>/programs/mms-asset-management</t>
        </is>
      </c>
      <c r="B41" s="4" t="inlineStr">
        <is>
          <t>https://som.yale.edu/programs/mms-asset-management</t>
        </is>
      </c>
      <c r="C41" s="4" t="inlineStr">
        <is>
          <t>program</t>
        </is>
      </c>
      <c r="D41" s="4" t="inlineStr">
        <is>
          <t>82</t>
        </is>
      </c>
      <c r="E41" s="4" t="inlineStr">
        <is>
          <t>Master\u2019s in Asset Management</t>
        </is>
      </c>
      <c r="F41" s="4" t="inlineStr">
        <is>
          <t>stories_teaser_cards</t>
        </is>
      </c>
      <c r="G41" s="4" t="inlineStr">
        <is>
          <t>embed_blog</t>
        </is>
      </c>
      <c r="H41" s="4" t="inlineStr">
        <is>
          <t>All blogs</t>
        </is>
      </c>
      <c r="I41" s="4" t="inlineStr">
        <is>
          <t>story</t>
        </is>
      </c>
      <c r="J41" s="4" t="n">
        <v>3</v>
      </c>
      <c r="K41" s="4" t="inlineStr">
        <is>
          <t>section-context</t>
        </is>
      </c>
      <c r="L41" s="4" t="inlineStr">
        <is>
          <t>930</t>
        </is>
      </c>
      <c r="M41" t="inlineStr">
        <is>
          <t>context</t>
        </is>
      </c>
      <c r="N41" t="inlineStr">
        <is>
          <t>Master's Degree in Asset Management (930)</t>
        </is>
      </c>
    </row>
    <row r="42">
      <c r="A42" s="4" t="inlineStr">
        <is>
          <t>/programs/mms-global-business-and-society</t>
        </is>
      </c>
      <c r="B42" s="4" t="inlineStr">
        <is>
          <t>https://som.yale.edu/programs/mms-global-business-and-society</t>
        </is>
      </c>
      <c r="C42" s="4" t="inlineStr">
        <is>
          <t>program</t>
        </is>
      </c>
      <c r="D42" s="4" t="inlineStr">
        <is>
          <t>84</t>
        </is>
      </c>
      <c r="E42" s="4" t="inlineStr">
        <is>
          <t>Master\u2019s Degree in Global Business \u0026 Society</t>
        </is>
      </c>
      <c r="F42" s="4" t="inlineStr">
        <is>
          <t>event_teaser_list</t>
        </is>
      </c>
      <c r="G42" s="4" t="inlineStr">
        <is>
          <t>embed_1</t>
        </is>
      </c>
      <c r="H42" s="4" t="inlineStr">
        <is>
          <t>Embed</t>
        </is>
      </c>
      <c r="I42" s="4" t="inlineStr">
        <is>
          <t>event</t>
        </is>
      </c>
      <c r="J42" s="4" t="n">
        <v>3</v>
      </c>
      <c r="K42" s="4" t="inlineStr">
        <is>
          <t>section-context</t>
        </is>
      </c>
      <c r="L42" s="4" t="inlineStr">
        <is>
          <t>950</t>
        </is>
      </c>
      <c r="M42" t="inlineStr">
        <is>
          <t>context</t>
        </is>
      </c>
      <c r="N42" t="inlineStr">
        <is>
          <t>Master's Degree in Global Business and Society (950)</t>
        </is>
      </c>
    </row>
    <row r="43">
      <c r="A43" s="4" t="inlineStr">
        <is>
          <t>/programs/mms-global-business-and-society</t>
        </is>
      </c>
      <c r="B43" s="4" t="inlineStr">
        <is>
          <t>https://som.yale.edu/programs/mms-global-business-and-society</t>
        </is>
      </c>
      <c r="C43" s="4" t="inlineStr">
        <is>
          <t>program</t>
        </is>
      </c>
      <c r="D43" s="4" t="inlineStr">
        <is>
          <t>84</t>
        </is>
      </c>
      <c r="E43" s="4" t="inlineStr">
        <is>
          <t>Master\u2019s Degree in Global Business \u0026 Society</t>
        </is>
      </c>
      <c r="F43" s="4" t="inlineStr">
        <is>
          <t>stories_teaser_cards</t>
        </is>
      </c>
      <c r="G43" s="4" t="inlineStr">
        <is>
          <t>embed_blog</t>
        </is>
      </c>
      <c r="H43" s="4" t="inlineStr">
        <is>
          <t>All blogs</t>
        </is>
      </c>
      <c r="I43" s="4" t="inlineStr">
        <is>
          <t>story</t>
        </is>
      </c>
      <c r="J43" s="4" t="n">
        <v>3</v>
      </c>
      <c r="K43" s="4" t="inlineStr">
        <is>
          <t>section-context</t>
        </is>
      </c>
      <c r="L43" s="4" t="inlineStr">
        <is>
          <t>950</t>
        </is>
      </c>
      <c r="M43" t="inlineStr">
        <is>
          <t>context</t>
        </is>
      </c>
      <c r="N43" t="inlineStr">
        <is>
          <t>Master's Degree in Global Business and Society (950)</t>
        </is>
      </c>
    </row>
    <row r="44">
      <c r="A44" s="4" t="inlineStr">
        <is>
          <t>/programs/mms-global-business-and-society/admissions</t>
        </is>
      </c>
      <c r="B44" s="4" t="inlineStr">
        <is>
          <t>https://som.yale.edu/programs/mms-global-business-and-society/admissions</t>
        </is>
      </c>
      <c r="C44" s="4" t="inlineStr">
        <is>
          <t>page</t>
        </is>
      </c>
      <c r="D44" s="4" t="inlineStr">
        <is>
          <t>126757</t>
        </is>
      </c>
      <c r="E44" s="4" t="inlineStr">
        <is>
          <t>Admissions</t>
        </is>
      </c>
      <c r="F44" s="4" t="inlineStr">
        <is>
          <t>stories_teaser_cards</t>
        </is>
      </c>
      <c r="G44" s="4" t="inlineStr">
        <is>
          <t>embed_blog</t>
        </is>
      </c>
      <c r="H44" s="4" t="inlineStr">
        <is>
          <t>All blogs</t>
        </is>
      </c>
      <c r="I44" s="4" t="inlineStr">
        <is>
          <t>story</t>
        </is>
      </c>
      <c r="J44" s="4" t="n">
        <v>3</v>
      </c>
      <c r="K44" s="4" t="inlineStr">
        <is>
          <t>section-context</t>
        </is>
      </c>
      <c r="L44" s="4" t="inlineStr">
        <is>
          <t>950</t>
        </is>
      </c>
      <c r="M44" t="inlineStr">
        <is>
          <t>context</t>
        </is>
      </c>
      <c r="N44" t="inlineStr">
        <is>
          <t>Master's Degree in Global Business and Society (950)</t>
        </is>
      </c>
    </row>
    <row r="45">
      <c r="A45" s="4" t="inlineStr">
        <is>
          <t>/programs/mms-global-business-and-society/admissions</t>
        </is>
      </c>
      <c r="B45" s="4" t="inlineStr">
        <is>
          <t>https://som.yale.edu/programs/mms-global-business-and-society/admissions</t>
        </is>
      </c>
      <c r="C45" s="4" t="inlineStr">
        <is>
          <t>page</t>
        </is>
      </c>
      <c r="D45" s="4" t="inlineStr">
        <is>
          <t>126757</t>
        </is>
      </c>
      <c r="E45" s="4" t="inlineStr">
        <is>
          <t>Admissions</t>
        </is>
      </c>
      <c r="F45" s="4" t="inlineStr">
        <is>
          <t>stories_teaser_cards</t>
        </is>
      </c>
      <c r="G45" s="4" t="inlineStr">
        <is>
          <t>embed_blog</t>
        </is>
      </c>
      <c r="H45" s="4" t="inlineStr">
        <is>
          <t>All blogs</t>
        </is>
      </c>
      <c r="I45" s="4" t="inlineStr">
        <is>
          <t>story</t>
        </is>
      </c>
      <c r="J45" s="4" t="n">
        <v>3</v>
      </c>
      <c r="K45" s="4" t="inlineStr">
        <is>
          <t>section-context</t>
        </is>
      </c>
      <c r="L45" s="4" t="inlineStr">
        <is>
          <t>950</t>
        </is>
      </c>
      <c r="M45" t="inlineStr">
        <is>
          <t>context</t>
        </is>
      </c>
      <c r="N45" t="inlineStr">
        <is>
          <t>Master's Degree in Global Business and Society (950)</t>
        </is>
      </c>
    </row>
  </sheetData>
  <autoFilter ref="A1:N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2026-03-09T19:22:52Z</dcterms:created>
  <dcterms:modified xmlns:dcterms="http://purl.org/dc/terms/" xmlns:xsi="http://www.w3.org/2001/XMLSchema-instance" xsi:type="dcterms:W3CDTF">2026-03-09T19:22:53Z</dcterms:modified>
</cp:coreProperties>
</file>